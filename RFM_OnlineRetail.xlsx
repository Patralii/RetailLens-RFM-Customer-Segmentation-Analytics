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FM Metrics" sheetId="3" state="visible" r:id="rId3"/>
    <sheet xmlns:r="http://schemas.openxmlformats.org/officeDocument/2006/relationships" name="Segment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£#,##0.00"/>
    <numFmt numFmtId="165" formatCode="yyyy-mm-dd"/>
    <numFmt numFmtId="166" formatCode="DD-MMM-YYYY"/>
    <numFmt numFmtId="167" formatCode="&quot;£&quot;#,##0"/>
    <numFmt numFmtId="168" formatCode="#,##0.0"/>
    <numFmt numFmtId="169" formatCode="£#,##0"/>
    <numFmt numFmtId="170" formatCode="0.0%"/>
  </numFmts>
  <fonts count="4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C3E50"/>
      <sz val="9"/>
    </font>
    <font>
      <name val="Calibri"/>
      <b val="1"/>
      <color rgb="00FFFFFF"/>
      <sz val="9"/>
    </font>
    <font>
      <name val="Calibri"/>
      <color rgb="002C3E50"/>
      <sz val="10"/>
    </font>
    <font>
      <name val="Calibri"/>
      <b val="1"/>
      <color rgb="002C3E50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0C5460"/>
      <sz val="10"/>
    </font>
    <font>
      <name val="Calibri"/>
      <b val="1"/>
      <color rgb="00856404"/>
      <sz val="10"/>
    </font>
    <font>
      <name val="Calibri"/>
      <b val="1"/>
      <color rgb="00721C24"/>
      <sz val="10"/>
    </font>
    <font>
      <name val="Calibri"/>
      <b val="1"/>
      <color rgb="00383D41"/>
      <sz val="10"/>
    </font>
    <font>
      <name val="Calibri"/>
      <b val="1"/>
      <color rgb="00145A32"/>
      <sz val="10"/>
    </font>
    <font>
      <name val="Calibri"/>
      <b val="1"/>
      <color rgb="001B4F72"/>
      <sz val="10"/>
    </font>
    <font>
      <name val="Calibri"/>
      <b val="1"/>
      <color rgb="00784212"/>
      <sz val="10"/>
    </font>
    <font>
      <name val="Calibri"/>
      <b val="1"/>
      <color rgb="00FFFFFF"/>
      <sz val="15"/>
    </font>
    <font>
      <name val="Calibri"/>
      <i val="1"/>
      <color rgb="00AAAAAA"/>
      <sz val="10"/>
    </font>
    <font>
      <name val="Calibri"/>
      <b val="1"/>
      <color rgb="00FFFFFF"/>
      <sz val="20"/>
    </font>
    <font>
      <name val="Calibri"/>
      <i val="1"/>
      <color rgb="00DDDDDD"/>
      <sz val="9"/>
    </font>
    <font>
      <name val="Calibri"/>
      <b val="1"/>
      <color rgb="00FFFFFF"/>
      <sz val="12"/>
    </font>
    <font>
      <name val="Calibri"/>
      <color rgb="00155724"/>
      <sz val="10"/>
    </font>
    <font>
      <name val="Calibri"/>
      <i val="1"/>
      <color rgb="00155724"/>
      <sz val="10"/>
    </font>
    <font>
      <name val="Calibri"/>
      <color rgb="000C5460"/>
      <sz val="10"/>
    </font>
    <font>
      <name val="Calibri"/>
      <i val="1"/>
      <color rgb="000C5460"/>
      <sz val="10"/>
    </font>
    <font>
      <name val="Calibri"/>
      <color rgb="00856404"/>
      <sz val="10"/>
    </font>
    <font>
      <name val="Calibri"/>
      <i val="1"/>
      <color rgb="00856404"/>
      <sz val="10"/>
    </font>
    <font>
      <name val="Calibri"/>
      <color rgb="001B4F72"/>
      <sz val="10"/>
    </font>
    <font>
      <name val="Calibri"/>
      <i val="1"/>
      <color rgb="001B4F72"/>
      <sz val="10"/>
    </font>
    <font>
      <name val="Calibri"/>
      <color rgb="00145A32"/>
      <sz val="10"/>
    </font>
    <font>
      <name val="Calibri"/>
      <i val="1"/>
      <color rgb="00145A32"/>
      <sz val="10"/>
    </font>
    <font>
      <name val="Calibri"/>
      <color rgb="00721C24"/>
      <sz val="10"/>
    </font>
    <font>
      <name val="Calibri"/>
      <i val="1"/>
      <color rgb="00721C24"/>
      <sz val="10"/>
    </font>
    <font>
      <name val="Calibri"/>
      <color rgb="00784212"/>
      <sz val="10"/>
    </font>
    <font>
      <name val="Calibri"/>
      <i val="1"/>
      <color rgb="00784212"/>
      <sz val="10"/>
    </font>
    <font>
      <name val="Calibri"/>
      <color rgb="00383D41"/>
      <sz val="10"/>
    </font>
    <font>
      <name val="Calibri"/>
      <i val="1"/>
      <color rgb="00383D41"/>
      <sz val="10"/>
    </font>
    <font>
      <name val="Calibri"/>
      <i val="1"/>
      <color rgb="00555555"/>
      <sz val="9"/>
    </font>
    <font>
      <name val="Calibri"/>
      <b val="1"/>
      <color rgb="000F3460"/>
      <sz val="10"/>
    </font>
    <font>
      <name val="Calibri"/>
      <i val="1"/>
      <color rgb="00AAAAAA"/>
      <sz val="9"/>
    </font>
  </fonts>
  <fills count="31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ECF0F1"/>
        <bgColor rgb="00ECF0F1"/>
      </patternFill>
    </fill>
    <fill>
      <patternFill patternType="solid">
        <fgColor rgb="00E94560"/>
        <bgColor rgb="00E94560"/>
      </patternFill>
    </fill>
    <fill>
      <patternFill patternType="solid">
        <fgColor rgb="00F8F9FA"/>
        <bgColor rgb="00F8F9FA"/>
      </patternFill>
    </fill>
    <fill>
      <patternFill patternType="solid">
        <fgColor rgb="0027AE60"/>
        <bgColor rgb="0027AE60"/>
      </patternFill>
    </fill>
    <fill>
      <patternFill patternType="solid">
        <fgColor rgb="00D4EDDA"/>
        <bgColor rgb="00D4EDDA"/>
      </patternFill>
    </fill>
    <fill>
      <patternFill patternType="solid">
        <fgColor rgb="00D1ECF1"/>
        <bgColor rgb="00D1ECF1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6D8D9"/>
        <bgColor rgb="00D6D8D9"/>
      </patternFill>
    </fill>
    <fill>
      <patternFill patternType="solid">
        <fgColor rgb="00D5F5E3"/>
        <bgColor rgb="00D5F5E3"/>
      </patternFill>
    </fill>
    <fill>
      <patternFill patternType="solid">
        <fgColor rgb="00D6EAF8"/>
        <bgColor rgb="00D6EAF8"/>
      </patternFill>
    </fill>
    <fill>
      <patternFill patternType="solid">
        <fgColor rgb="00FAD7A0"/>
        <bgColor rgb="00FAD7A0"/>
      </patternFill>
    </fill>
    <fill>
      <patternFill patternType="solid">
        <fgColor rgb="001A1A2E"/>
        <bgColor rgb="001A1A2E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E74C3C"/>
        <bgColor rgb="00E74C3C"/>
      </patternFill>
    </fill>
    <fill>
      <patternFill patternType="solid">
        <fgColor rgb="00FFF9E6"/>
        <bgColor rgb="00FFF9E6"/>
      </patternFill>
    </fill>
    <fill>
      <patternFill patternType="solid">
        <fgColor rgb="00F5A623"/>
        <bgColor rgb="00F5A623"/>
      </patternFill>
    </fill>
    <fill>
      <patternFill patternType="solid">
        <fgColor rgb="00A8A8A8"/>
        <bgColor rgb="00A8A8A8"/>
      </patternFill>
    </fill>
    <fill>
      <patternFill patternType="solid">
        <fgColor rgb="00CD7F32"/>
        <bgColor rgb="00CD7F32"/>
      </patternFill>
    </fill>
    <fill>
      <patternFill patternType="solid">
        <fgColor rgb="00F0F4F8"/>
        <bgColor rgb="00F0F4F8"/>
      </patternFill>
    </fill>
    <fill>
      <patternFill patternType="solid">
        <fgColor rgb="001A5276"/>
        <bgColor rgb="001A5276"/>
      </patternFill>
    </fill>
    <fill>
      <patternFill patternType="solid">
        <fgColor rgb="001F618D"/>
        <bgColor rgb="001F618D"/>
      </patternFill>
    </fill>
    <fill>
      <patternFill patternType="solid">
        <fgColor rgb="002471A3"/>
        <bgColor rgb="002471A3"/>
      </patternFill>
    </fill>
    <fill>
      <patternFill patternType="solid">
        <fgColor rgb="002980B9"/>
        <bgColor rgb="002980B9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7" fillId="17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3" fontId="19" fillId="2" borderId="0" applyAlignment="1" pivotButton="0" quotePrefix="0" xfId="0">
      <alignment horizontal="center" vertical="center"/>
    </xf>
    <xf numFmtId="167" fontId="19" fillId="8" borderId="0" applyAlignment="1" pivotButton="0" quotePrefix="0" xfId="0">
      <alignment horizontal="center" vertical="center"/>
    </xf>
    <xf numFmtId="3" fontId="19" fillId="18" borderId="0" applyAlignment="1" pivotButton="0" quotePrefix="0" xfId="0">
      <alignment horizontal="center" vertical="center"/>
    </xf>
    <xf numFmtId="168" fontId="19" fillId="19" borderId="0" applyAlignment="1" pivotButton="0" quotePrefix="0" xfId="0">
      <alignment horizontal="center" vertical="center"/>
    </xf>
    <xf numFmtId="167" fontId="19" fillId="2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169" fontId="1" fillId="6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9" fontId="22" fillId="9" borderId="1" applyAlignment="1" pivotButton="0" quotePrefix="0" xfId="0">
      <alignment horizontal="center" vertical="center"/>
    </xf>
    <xf numFmtId="168" fontId="22" fillId="9" borderId="1" applyAlignment="1" pivotButton="0" quotePrefix="0" xfId="0">
      <alignment horizontal="center" vertical="center"/>
    </xf>
    <xf numFmtId="164" fontId="22" fillId="9" borderId="1" applyAlignment="1" pivotButton="0" quotePrefix="0" xfId="0">
      <alignment horizontal="center" vertical="center"/>
    </xf>
    <xf numFmtId="170" fontId="22" fillId="9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left" vertical="center"/>
    </xf>
    <xf numFmtId="0" fontId="2" fillId="20" borderId="0" applyAlignment="1" pivotButton="0" quotePrefix="0" xfId="0">
      <alignment horizontal="left" vertical="center"/>
    </xf>
    <xf numFmtId="169" fontId="1" fillId="20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9" fontId="24" fillId="10" borderId="1" applyAlignment="1" pivotButton="0" quotePrefix="0" xfId="0">
      <alignment horizontal="center" vertical="center"/>
    </xf>
    <xf numFmtId="168" fontId="24" fillId="10" borderId="1" applyAlignment="1" pivotButton="0" quotePrefix="0" xfId="0">
      <alignment horizontal="center" vertical="center"/>
    </xf>
    <xf numFmtId="164" fontId="24" fillId="10" borderId="1" applyAlignment="1" pivotButton="0" quotePrefix="0" xfId="0">
      <alignment horizontal="center" vertical="center"/>
    </xf>
    <xf numFmtId="170" fontId="24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169" fontId="1" fillId="8" borderId="0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9" fontId="26" fillId="11" borderId="1" applyAlignment="1" pivotButton="0" quotePrefix="0" xfId="0">
      <alignment horizontal="center" vertical="center"/>
    </xf>
    <xf numFmtId="168" fontId="26" fillId="11" borderId="1" applyAlignment="1" pivotButton="0" quotePrefix="0" xfId="0">
      <alignment horizontal="center" vertical="center"/>
    </xf>
    <xf numFmtId="164" fontId="26" fillId="11" borderId="1" applyAlignment="1" pivotButton="0" quotePrefix="0" xfId="0">
      <alignment horizontal="center" vertical="center"/>
    </xf>
    <xf numFmtId="170" fontId="26" fillId="11" borderId="1" applyAlignment="1" pivotButton="0" quotePrefix="0" xfId="0">
      <alignment horizontal="center" vertical="center"/>
    </xf>
    <xf numFmtId="0" fontId="26" fillId="11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/>
    </xf>
    <xf numFmtId="0" fontId="2" fillId="19" borderId="0" applyAlignment="1" pivotButton="0" quotePrefix="0" xfId="0">
      <alignment horizontal="left" vertical="center"/>
    </xf>
    <xf numFmtId="169" fontId="1" fillId="19" borderId="0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169" fontId="28" fillId="15" borderId="1" applyAlignment="1" pivotButton="0" quotePrefix="0" xfId="0">
      <alignment horizontal="center" vertical="center"/>
    </xf>
    <xf numFmtId="168" fontId="28" fillId="15" borderId="1" applyAlignment="1" pivotButton="0" quotePrefix="0" xfId="0">
      <alignment horizontal="center" vertical="center"/>
    </xf>
    <xf numFmtId="164" fontId="28" fillId="15" borderId="1" applyAlignment="1" pivotButton="0" quotePrefix="0" xfId="0">
      <alignment horizontal="center" vertical="center"/>
    </xf>
    <xf numFmtId="170" fontId="28" fillId="15" borderId="1" applyAlignment="1" pivotButton="0" quotePrefix="0" xfId="0">
      <alignment horizontal="center" vertical="center"/>
    </xf>
    <xf numFmtId="0" fontId="28" fillId="15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8" fillId="21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center" vertical="center"/>
    </xf>
    <xf numFmtId="169" fontId="30" fillId="14" borderId="1" applyAlignment="1" pivotButton="0" quotePrefix="0" xfId="0">
      <alignment horizontal="center" vertical="center"/>
    </xf>
    <xf numFmtId="168" fontId="30" fillId="14" borderId="1" applyAlignment="1" pivotButton="0" quotePrefix="0" xfId="0">
      <alignment horizontal="center" vertical="center"/>
    </xf>
    <xf numFmtId="164" fontId="30" fillId="14" borderId="1" applyAlignment="1" pivotButton="0" quotePrefix="0" xfId="0">
      <alignment horizontal="center" vertical="center"/>
    </xf>
    <xf numFmtId="170" fontId="30" fillId="14" borderId="1" applyAlignment="1" pivotButton="0" quotePrefix="0" xfId="0">
      <alignment horizontal="center" vertical="center"/>
    </xf>
    <xf numFmtId="0" fontId="30" fillId="14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169" fontId="32" fillId="12" borderId="1" applyAlignment="1" pivotButton="0" quotePrefix="0" xfId="0">
      <alignment horizontal="center" vertical="center"/>
    </xf>
    <xf numFmtId="168" fontId="32" fillId="12" borderId="1" applyAlignment="1" pivotButton="0" quotePrefix="0" xfId="0">
      <alignment horizontal="center" vertical="center"/>
    </xf>
    <xf numFmtId="164" fontId="32" fillId="12" borderId="1" applyAlignment="1" pivotButton="0" quotePrefix="0" xfId="0">
      <alignment horizontal="center" vertical="center"/>
    </xf>
    <xf numFmtId="170" fontId="32" fillId="12" borderId="1" applyAlignment="1" pivotButton="0" quotePrefix="0" xfId="0">
      <alignment horizontal="center" vertical="center"/>
    </xf>
    <xf numFmtId="0" fontId="32" fillId="12" borderId="1" applyAlignment="1" pivotButton="0" quotePrefix="0" xfId="0">
      <alignment horizontal="center" vertical="center"/>
    </xf>
    <xf numFmtId="0" fontId="33" fillId="12" borderId="1" applyAlignment="1" pivotButton="0" quotePrefix="0" xfId="0">
      <alignment horizontal="left" vertical="center"/>
    </xf>
    <xf numFmtId="0" fontId="2" fillId="22" borderId="0" applyAlignment="1" pivotButton="0" quotePrefix="0" xfId="0">
      <alignment horizontal="center" vertical="center"/>
    </xf>
    <xf numFmtId="3" fontId="7" fillId="22" borderId="0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169" fontId="34" fillId="16" borderId="1" applyAlignment="1" pivotButton="0" quotePrefix="0" xfId="0">
      <alignment horizontal="center" vertical="center"/>
    </xf>
    <xf numFmtId="168" fontId="34" fillId="16" borderId="1" applyAlignment="1" pivotButton="0" quotePrefix="0" xfId="0">
      <alignment horizontal="center" vertical="center"/>
    </xf>
    <xf numFmtId="164" fontId="34" fillId="16" borderId="1" applyAlignment="1" pivotButton="0" quotePrefix="0" xfId="0">
      <alignment horizontal="center" vertical="center"/>
    </xf>
    <xf numFmtId="170" fontId="34" fillId="16" borderId="1" applyAlignment="1" pivotButton="0" quotePrefix="0" xfId="0">
      <alignment horizontal="center" vertical="center"/>
    </xf>
    <xf numFmtId="0" fontId="34" fillId="16" borderId="1" applyAlignment="1" pivotButton="0" quotePrefix="0" xfId="0">
      <alignment horizontal="center" vertical="center"/>
    </xf>
    <xf numFmtId="0" fontId="35" fillId="16" borderId="1" applyAlignment="1" pivotButton="0" quotePrefix="0" xfId="0">
      <alignment horizontal="left" vertical="center"/>
    </xf>
    <xf numFmtId="0" fontId="2" fillId="23" borderId="0" applyAlignment="1" pivotButton="0" quotePrefix="0" xfId="0">
      <alignment horizontal="center" vertical="center"/>
    </xf>
    <xf numFmtId="3" fontId="7" fillId="2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169" fontId="36" fillId="13" borderId="1" applyAlignment="1" pivotButton="0" quotePrefix="0" xfId="0">
      <alignment horizontal="center" vertical="center"/>
    </xf>
    <xf numFmtId="168" fontId="36" fillId="13" borderId="1" applyAlignment="1" pivotButton="0" quotePrefix="0" xfId="0">
      <alignment horizontal="center" vertical="center"/>
    </xf>
    <xf numFmtId="164" fontId="36" fillId="13" borderId="1" applyAlignment="1" pivotButton="0" quotePrefix="0" xfId="0">
      <alignment horizontal="center" vertical="center"/>
    </xf>
    <xf numFmtId="170" fontId="36" fillId="13" borderId="1" applyAlignment="1" pivotButton="0" quotePrefix="0" xfId="0">
      <alignment horizontal="center" vertical="center"/>
    </xf>
    <xf numFmtId="0" fontId="36" fillId="13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left" vertical="center"/>
    </xf>
    <xf numFmtId="3" fontId="7" fillId="18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169" fontId="2" fillId="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3" fontId="7" fillId="2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9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4" borderId="1" applyAlignment="1" pivotButton="0" quotePrefix="0" xfId="0">
      <alignment horizontal="left" vertical="center" wrapText="1"/>
    </xf>
    <xf numFmtId="169" fontId="21" fillId="2" borderId="0" applyAlignment="1" pivotButton="0" quotePrefix="0" xfId="0">
      <alignment horizontal="center" vertical="center"/>
    </xf>
    <xf numFmtId="0" fontId="39" fillId="25" borderId="1" applyAlignment="1" pivotButton="0" quotePrefix="0" xfId="0">
      <alignment horizontal="left" vertical="center"/>
    </xf>
    <xf numFmtId="0" fontId="5" fillId="25" borderId="1" applyAlignment="1" pivotButton="0" quotePrefix="0" xfId="0">
      <alignment horizontal="left" vertical="center" wrapText="1"/>
    </xf>
    <xf numFmtId="0" fontId="2" fillId="26" borderId="0" applyAlignment="1" pivotButton="0" quotePrefix="0" xfId="0">
      <alignment horizontal="center" vertical="center"/>
    </xf>
    <xf numFmtId="169" fontId="21" fillId="26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169" fontId="21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69" fontId="21" fillId="28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169" fontId="21" fillId="29" borderId="0" applyAlignment="1" pivotButton="0" quotePrefix="0" xfId="0">
      <alignment horizontal="center" vertical="center"/>
    </xf>
    <xf numFmtId="0" fontId="2" fillId="30" borderId="0" applyAlignment="1" pivotButton="0" quotePrefix="0" xfId="0">
      <alignment horizontal="center" vertical="center"/>
    </xf>
    <xf numFmtId="169" fontId="21" fillId="30" borderId="0" applyAlignment="1" pivotButton="0" quotePrefix="0" xfId="0">
      <alignment horizontal="center" vertical="center"/>
    </xf>
    <xf numFmtId="0" fontId="40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B1:S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</cols>
  <sheetData>
    <row r="1" ht="45" customHeight="1">
      <c r="B1" s="1" t="inlineStr">
        <is>
          <t>🎯  RFM CUSTOMER SEGMENTATION DASHBOARD  |  Online Retail  |  Dec 2010 – Dec 2011</t>
        </is>
      </c>
    </row>
    <row r="2" ht="22" customHeight="1">
      <c r="B2" s="2" t="inlineStr">
        <is>
          <t>Reference Date: 10-Dec-2011   •   4,338 Customers   •   397,884 Clean Transactions   •   Data: UCI Online Retail Dataset</t>
        </is>
      </c>
    </row>
    <row r="3" ht="8" customHeight="1"/>
    <row r="4" ht="8" customHeight="1"/>
    <row r="5" ht="22" customHeight="1">
      <c r="B5" s="3" t="inlineStr">
        <is>
          <t>👥 Total Customers</t>
        </is>
      </c>
      <c r="F5" s="4" t="inlineStr">
        <is>
          <t>💰 Total Revenue</t>
        </is>
      </c>
      <c r="J5" s="5" t="inlineStr">
        <is>
          <t>📅 Avg Recency (Days)</t>
        </is>
      </c>
      <c r="N5" s="6" t="inlineStr">
        <is>
          <t>🔁 Avg Frequency</t>
        </is>
      </c>
      <c r="R5" s="3" t="inlineStr">
        <is>
          <t>💳 Avg Spend/Customer</t>
        </is>
      </c>
    </row>
    <row r="6" ht="22" customHeight="1">
      <c r="B6" s="7">
        <f>COUNTA('RFM Metrics'!A3:A4340)</f>
        <v/>
      </c>
      <c r="F6" s="8">
        <f>SUM('RFM Metrics'!E3:E4340)</f>
        <v/>
      </c>
      <c r="J6" s="9">
        <f>ROUND(AVERAGE('RFM Metrics'!C3:C4340),0)</f>
        <v/>
      </c>
      <c r="N6" s="10">
        <f>ROUND(AVERAGE('RFM Metrics'!D3:D4340),1)</f>
        <v/>
      </c>
      <c r="R6" s="11">
        <f>IFERROR(SUM('RFM Metrics'!E3:E4340)/COUNTA('RFM Metrics'!A3:A4340),0)</f>
        <v/>
      </c>
    </row>
    <row r="7" ht="22" customHeight="1"/>
    <row r="8" ht="22" customHeight="1">
      <c r="B8" s="12" t="inlineStr">
        <is>
          <t>FY2011 dataset</t>
        </is>
      </c>
      <c r="F8" s="13" t="inlineStr">
        <is>
          <t>FY2011 dataset</t>
        </is>
      </c>
      <c r="J8" s="14" t="inlineStr">
        <is>
          <t>FY2011 dataset</t>
        </is>
      </c>
      <c r="N8" s="15" t="inlineStr">
        <is>
          <t>FY2011 dataset</t>
        </is>
      </c>
      <c r="R8" s="12" t="inlineStr">
        <is>
          <t>FY2011 dataset</t>
        </is>
      </c>
    </row>
    <row r="9" ht="22" customHeight="1"/>
    <row r="10" ht="28" customHeight="1">
      <c r="B10" s="16" t="inlineStr">
        <is>
          <t>📋  SEGMENT BREAKDOWN</t>
        </is>
      </c>
      <c r="K10" s="16" t="inlineStr">
        <is>
          <t>💡  REVENUE OPPORTUNITY SIGNALS</t>
        </is>
      </c>
    </row>
    <row r="11" ht="30" customHeight="1">
      <c r="B11" s="17" t="inlineStr">
        <is>
          <t>Segment</t>
        </is>
      </c>
      <c r="C11" s="17" t="inlineStr">
        <is>
          <t>Customers</t>
        </is>
      </c>
      <c r="D11" s="17" t="inlineStr">
        <is>
          <t>Revenue (£)</t>
        </is>
      </c>
      <c r="E11" s="17" t="inlineStr">
        <is>
          <t>Avg Recency</t>
        </is>
      </c>
      <c r="F11" s="17" t="inlineStr">
        <is>
          <t>Avg Monetary</t>
        </is>
      </c>
      <c r="G11" s="17" t="inlineStr">
        <is>
          <t>% Customers</t>
        </is>
      </c>
      <c r="H11" s="17" t="inlineStr">
        <is>
          <t>% Revenue</t>
        </is>
      </c>
      <c r="I11" s="17" t="inlineStr">
        <is>
          <t>Action</t>
        </is>
      </c>
      <c r="K11" s="18" t="inlineStr">
        <is>
          <t>🚨  At Risk Revenue Exposure</t>
        </is>
      </c>
      <c r="O11" s="19">
        <f>SUMIF('RFM Metrics'!J3:J4340,"At Risk",'RFM Metrics'!E3:E4340)</f>
        <v/>
      </c>
    </row>
    <row r="12" ht="30" customHeight="1">
      <c r="B12" s="20" t="inlineStr">
        <is>
          <t>Champions</t>
        </is>
      </c>
      <c r="C12" s="21">
        <f>COUNTIF('RFM Metrics'!J3:J4340,B12)</f>
        <v/>
      </c>
      <c r="D12" s="22">
        <f>SUMIF('RFM Metrics'!J3:J4340,B12,'RFM Metrics'!E3:E4340)</f>
        <v/>
      </c>
      <c r="E12" s="23">
        <f>IFERROR(AVERAGEIF('RFM Metrics'!J3:J4340,B12,'RFM Metrics'!C3:C4340),0)</f>
        <v/>
      </c>
      <c r="F12" s="24">
        <f>IFERROR(AVERAGEIF('RFM Metrics'!J3:J4340,B12,'RFM Metrics'!E3:E4340),0)</f>
        <v/>
      </c>
      <c r="G12" s="24">
        <f>IFERROR(C12/COUNTA('RFM Metrics'!A3:A4340),0)</f>
        <v/>
      </c>
      <c r="H12" s="25">
        <f>IFERROR(D12/SUM('RFM Metrics'!E3:E4340),0)</f>
        <v/>
      </c>
      <c r="I12" s="26" t="inlineStr">
        <is>
          <t>🎁 VIP Reward + Referral</t>
        </is>
      </c>
      <c r="K12" s="27" t="inlineStr">
        <is>
          <t>💀  Lost Revenue Exposure</t>
        </is>
      </c>
      <c r="O12" s="28">
        <f>SUMIF('RFM Metrics'!J3:J4340,"Lost",'RFM Metrics'!E3:E4340)</f>
        <v/>
      </c>
    </row>
    <row r="13" ht="30" customHeight="1">
      <c r="B13" s="29" t="inlineStr">
        <is>
          <t>Loyal Customers</t>
        </is>
      </c>
      <c r="C13" s="30">
        <f>COUNTIF('RFM Metrics'!J3:J4340,B13)</f>
        <v/>
      </c>
      <c r="D13" s="31">
        <f>SUMIF('RFM Metrics'!J3:J4340,B13,'RFM Metrics'!E3:E4340)</f>
        <v/>
      </c>
      <c r="E13" s="32">
        <f>IFERROR(AVERAGEIF('RFM Metrics'!J3:J4340,B13,'RFM Metrics'!C3:C4340),0)</f>
        <v/>
      </c>
      <c r="F13" s="33">
        <f>IFERROR(AVERAGEIF('RFM Metrics'!J3:J4340,B13,'RFM Metrics'!E3:E4340),0)</f>
        <v/>
      </c>
      <c r="G13" s="33">
        <f>IFERROR(C13/COUNTA('RFM Metrics'!A3:A4340),0)</f>
        <v/>
      </c>
      <c r="H13" s="34">
        <f>IFERROR(D13/SUM('RFM Metrics'!E3:E4340),0)</f>
        <v/>
      </c>
      <c r="I13" s="35" t="inlineStr">
        <is>
          <t>⭐ Loyalty Points + Upsell</t>
        </is>
      </c>
      <c r="K13" s="36" t="inlineStr">
        <is>
          <t>🏆  Champions Revenue</t>
        </is>
      </c>
      <c r="O13" s="37">
        <f>SUMIF('RFM Metrics'!J3:J4340,"Champions",'RFM Metrics'!E3:E4340)</f>
        <v/>
      </c>
    </row>
    <row r="14" ht="30" customHeight="1">
      <c r="B14" s="38" t="inlineStr">
        <is>
          <t>Potential Loyalist</t>
        </is>
      </c>
      <c r="C14" s="39">
        <f>COUNTIF('RFM Metrics'!J3:J4340,B14)</f>
        <v/>
      </c>
      <c r="D14" s="40">
        <f>SUMIF('RFM Metrics'!J3:J4340,B14,'RFM Metrics'!E3:E4340)</f>
        <v/>
      </c>
      <c r="E14" s="41">
        <f>IFERROR(AVERAGEIF('RFM Metrics'!J3:J4340,B14,'RFM Metrics'!C3:C4340),0)</f>
        <v/>
      </c>
      <c r="F14" s="42">
        <f>IFERROR(AVERAGEIF('RFM Metrics'!J3:J4340,B14,'RFM Metrics'!E3:E4340),0)</f>
        <v/>
      </c>
      <c r="G14" s="42">
        <f>IFERROR(C14/COUNTA('RFM Metrics'!A3:A4340),0)</f>
        <v/>
      </c>
      <c r="H14" s="43">
        <f>IFERROR(D14/SUM('RFM Metrics'!E3:E4340),0)</f>
        <v/>
      </c>
      <c r="I14" s="44" t="inlineStr">
        <is>
          <t>💌 Nurture Campaign</t>
        </is>
      </c>
      <c r="K14" s="45" t="inlineStr">
        <is>
          <t>🔁  Total Win-Back Opportunity</t>
        </is>
      </c>
      <c r="O14" s="46">
        <f>SUMIF('RFM Metrics'!J3:J4340,"At Risk",'RFM Metrics'!E3:E4340)+SUMIF('RFM Metrics'!J3:J4340,"Lost",'RFM Metrics'!E3:E4340)</f>
        <v/>
      </c>
    </row>
    <row r="15" ht="20" customHeight="1">
      <c r="B15" s="47" t="inlineStr">
        <is>
          <t>Promising</t>
        </is>
      </c>
      <c r="C15" s="48">
        <f>COUNTIF('RFM Metrics'!J3:J4340,B15)</f>
        <v/>
      </c>
      <c r="D15" s="49">
        <f>SUMIF('RFM Metrics'!J3:J4340,B15,'RFM Metrics'!E3:E4340)</f>
        <v/>
      </c>
      <c r="E15" s="50">
        <f>IFERROR(AVERAGEIF('RFM Metrics'!J3:J4340,B15,'RFM Metrics'!C3:C4340),0)</f>
        <v/>
      </c>
      <c r="F15" s="51">
        <f>IFERROR(AVERAGEIF('RFM Metrics'!J3:J4340,B15,'RFM Metrics'!E3:E4340),0)</f>
        <v/>
      </c>
      <c r="G15" s="51">
        <f>IFERROR(C15/COUNTA('RFM Metrics'!A3:A4340),0)</f>
        <v/>
      </c>
      <c r="H15" s="52">
        <f>IFERROR(D15/SUM('RFM Metrics'!E3:E4340),0)</f>
        <v/>
      </c>
      <c r="I15" s="53" t="inlineStr">
        <is>
          <t>🎯 Second Purchase Offer</t>
        </is>
      </c>
      <c r="K15" s="54" t="inlineStr">
        <is>
          <t>💡 Win back At Risk + Lost customers to recover the opportunity above</t>
        </is>
      </c>
    </row>
    <row r="16" ht="26" customHeight="1">
      <c r="B16" s="55" t="inlineStr">
        <is>
          <t>New Customers</t>
        </is>
      </c>
      <c r="C16" s="56">
        <f>COUNTIF('RFM Metrics'!J3:J4340,B16)</f>
        <v/>
      </c>
      <c r="D16" s="57">
        <f>SUMIF('RFM Metrics'!J3:J4340,B16,'RFM Metrics'!E3:E4340)</f>
        <v/>
      </c>
      <c r="E16" s="58">
        <f>IFERROR(AVERAGEIF('RFM Metrics'!J3:J4340,B16,'RFM Metrics'!C3:C4340),0)</f>
        <v/>
      </c>
      <c r="F16" s="59">
        <f>IFERROR(AVERAGEIF('RFM Metrics'!J3:J4340,B16,'RFM Metrics'!E3:E4340),0)</f>
        <v/>
      </c>
      <c r="G16" s="59">
        <f>IFERROR(C16/COUNTA('RFM Metrics'!A3:A4340),0)</f>
        <v/>
      </c>
      <c r="H16" s="60">
        <f>IFERROR(D16/SUM('RFM Metrics'!E3:E4340),0)</f>
        <v/>
      </c>
      <c r="I16" s="61" t="inlineStr">
        <is>
          <t>👋 Welcome Series</t>
        </is>
      </c>
      <c r="K16" s="62" t="inlineStr">
        <is>
          <t>💎  REVENUE BAND DISTRIBUTION</t>
        </is>
      </c>
    </row>
    <row r="17" ht="30" customHeight="1">
      <c r="B17" s="63" t="inlineStr">
        <is>
          <t>At Risk</t>
        </is>
      </c>
      <c r="C17" s="64">
        <f>COUNTIF('RFM Metrics'!J3:J4340,B17)</f>
        <v/>
      </c>
      <c r="D17" s="65">
        <f>SUMIF('RFM Metrics'!J3:J4340,B17,'RFM Metrics'!E3:E4340)</f>
        <v/>
      </c>
      <c r="E17" s="66">
        <f>IFERROR(AVERAGEIF('RFM Metrics'!J3:J4340,B17,'RFM Metrics'!C3:C4340),0)</f>
        <v/>
      </c>
      <c r="F17" s="67">
        <f>IFERROR(AVERAGEIF('RFM Metrics'!J3:J4340,B17,'RFM Metrics'!E3:E4340),0)</f>
        <v/>
      </c>
      <c r="G17" s="67">
        <f>IFERROR(C17/COUNTA('RFM Metrics'!A3:A4340),0)</f>
        <v/>
      </c>
      <c r="H17" s="68">
        <f>IFERROR(D17/SUM('RFM Metrics'!E3:E4340),0)</f>
        <v/>
      </c>
      <c r="I17" s="69" t="inlineStr">
        <is>
          <t>🚨 Win-Back Email</t>
        </is>
      </c>
      <c r="K17" s="70" t="inlineStr">
        <is>
          <t>🏆 Platinum  ≥ £5,000</t>
        </is>
      </c>
      <c r="O17" s="71">
        <f>COUNTIF('RFM Metrics'!K3:K4340,"🏆 Platinum")</f>
        <v/>
      </c>
    </row>
    <row r="18" ht="30" customHeight="1">
      <c r="B18" s="72" t="inlineStr">
        <is>
          <t>Need Attention</t>
        </is>
      </c>
      <c r="C18" s="73">
        <f>COUNTIF('RFM Metrics'!J3:J4340,B18)</f>
        <v/>
      </c>
      <c r="D18" s="74">
        <f>SUMIF('RFM Metrics'!J3:J4340,B18,'RFM Metrics'!E3:E4340)</f>
        <v/>
      </c>
      <c r="E18" s="75">
        <f>IFERROR(AVERAGEIF('RFM Metrics'!J3:J4340,B18,'RFM Metrics'!C3:C4340),0)</f>
        <v/>
      </c>
      <c r="F18" s="76">
        <f>IFERROR(AVERAGEIF('RFM Metrics'!J3:J4340,B18,'RFM Metrics'!E3:E4340),0)</f>
        <v/>
      </c>
      <c r="G18" s="76">
        <f>IFERROR(C18/COUNTA('RFM Metrics'!A3:A4340),0)</f>
        <v/>
      </c>
      <c r="H18" s="77">
        <f>IFERROR(D18/SUM('RFM Metrics'!E3:E4340),0)</f>
        <v/>
      </c>
      <c r="I18" s="78" t="inlineStr">
        <is>
          <t>📧 Re-engagement Survey</t>
        </is>
      </c>
      <c r="K18" s="79" t="inlineStr">
        <is>
          <t>🥇 Gold      ≥ £2,000</t>
        </is>
      </c>
      <c r="O18" s="80">
        <f>COUNTIF('RFM Metrics'!K3:K4340,"🥇 Gold")</f>
        <v/>
      </c>
    </row>
    <row r="19" ht="30" customHeight="1">
      <c r="B19" s="81" t="inlineStr">
        <is>
          <t>Lost</t>
        </is>
      </c>
      <c r="C19" s="82">
        <f>COUNTIF('RFM Metrics'!J3:J4340,B19)</f>
        <v/>
      </c>
      <c r="D19" s="83">
        <f>SUMIF('RFM Metrics'!J3:J4340,B19,'RFM Metrics'!E3:E4340)</f>
        <v/>
      </c>
      <c r="E19" s="84">
        <f>IFERROR(AVERAGEIF('RFM Metrics'!J3:J4340,B19,'RFM Metrics'!C3:C4340),0)</f>
        <v/>
      </c>
      <c r="F19" s="85">
        <f>IFERROR(AVERAGEIF('RFM Metrics'!J3:J4340,B19,'RFM Metrics'!E3:E4340),0)</f>
        <v/>
      </c>
      <c r="G19" s="85">
        <f>IFERROR(C19/COUNTA('RFM Metrics'!A3:A4340),0)</f>
        <v/>
      </c>
      <c r="H19" s="86">
        <f>IFERROR(D19/SUM('RFM Metrics'!E3:E4340),0)</f>
        <v/>
      </c>
      <c r="I19" s="87" t="inlineStr">
        <is>
          <t>💤 Sunset / Reactivate</t>
        </is>
      </c>
      <c r="K19" s="5" t="inlineStr">
        <is>
          <t>🥈 Silver    ≥ £800</t>
        </is>
      </c>
      <c r="O19" s="88">
        <f>COUNTIF('RFM Metrics'!K3:K4340,"🥈 Silver")</f>
        <v/>
      </c>
    </row>
    <row r="20" ht="30" customHeight="1">
      <c r="B20" s="89" t="inlineStr">
        <is>
          <t>TOTAL</t>
        </is>
      </c>
      <c r="C20" s="90">
        <f>SUM(C12:C19)</f>
        <v/>
      </c>
      <c r="D20" s="91">
        <f>SUM(D12:D19)</f>
        <v/>
      </c>
      <c r="E20" s="62" t="inlineStr"/>
      <c r="F20" s="62" t="inlineStr"/>
      <c r="G20" s="62" t="inlineStr"/>
      <c r="H20" s="62" t="inlineStr"/>
      <c r="I20" s="62" t="inlineStr"/>
      <c r="K20" s="92" t="inlineStr">
        <is>
          <t>🥉 Bronze    &lt; £800</t>
        </is>
      </c>
      <c r="O20" s="93">
        <f>COUNTIF('RFM Metrics'!K3:K4340,"🥉 Bronze")</f>
        <v/>
      </c>
    </row>
    <row r="22" ht="26" customHeight="1">
      <c r="B22" s="94" t="inlineStr">
        <is>
          <t>📖  HOW TO READ THIS DASHBOARD</t>
        </is>
      </c>
      <c r="K22" s="62" t="inlineStr">
        <is>
          <t>🌍  TOP COUNTRIES BY REVENUE</t>
        </is>
      </c>
    </row>
    <row r="23" ht="26" customHeight="1">
      <c r="B23" s="95" t="inlineStr">
        <is>
          <t>🔢 R Score (Recency):</t>
        </is>
      </c>
      <c r="C23" s="96" t="n"/>
      <c r="D23" s="97" t="inlineStr">
        <is>
          <t>1–5. Score 5 = last purchase ≤30 days ago. Lower recency days = higher score.</t>
        </is>
      </c>
      <c r="E23" s="96" t="n"/>
      <c r="F23" s="96" t="n"/>
      <c r="G23" s="96" t="n"/>
      <c r="H23" s="96" t="n"/>
      <c r="I23" s="96" t="n"/>
      <c r="K23" s="3" t="inlineStr">
        <is>
          <t>🌍 United Kingdom</t>
        </is>
      </c>
      <c r="O23" s="98" t="n">
        <v>7308391.55</v>
      </c>
    </row>
    <row r="24" ht="26" customHeight="1">
      <c r="B24" s="99" t="inlineStr">
        <is>
          <t>🔢 F Score (Frequency):</t>
        </is>
      </c>
      <c r="C24" s="96" t="n"/>
      <c r="D24" s="100" t="inlineStr">
        <is>
          <t>1–5. Score 5 = 20+ unique orders. Measures loyalty through repeat purchases.</t>
        </is>
      </c>
      <c r="E24" s="96" t="n"/>
      <c r="F24" s="96" t="n"/>
      <c r="G24" s="96" t="n"/>
      <c r="H24" s="96" t="n"/>
      <c r="I24" s="96" t="n"/>
      <c r="K24" s="101" t="inlineStr">
        <is>
          <t>🌍 Netherlands</t>
        </is>
      </c>
      <c r="O24" s="102" t="n">
        <v>285446.34</v>
      </c>
    </row>
    <row r="25" ht="26" customHeight="1">
      <c r="B25" s="95" t="inlineStr">
        <is>
          <t>🔢 M Score (Monetary):</t>
        </is>
      </c>
      <c r="C25" s="96" t="n"/>
      <c r="D25" s="97" t="inlineStr">
        <is>
          <t>1–5. Score 5 = £5,000+ lifetime spend. Benchmarked to this dataset's distribution.</t>
        </is>
      </c>
      <c r="E25" s="96" t="n"/>
      <c r="F25" s="96" t="n"/>
      <c r="G25" s="96" t="n"/>
      <c r="H25" s="96" t="n"/>
      <c r="I25" s="96" t="n"/>
      <c r="K25" s="103" t="inlineStr">
        <is>
          <t>🌍 EIRE</t>
        </is>
      </c>
      <c r="O25" s="104" t="n">
        <v>265545.9</v>
      </c>
    </row>
    <row r="26" ht="26" customHeight="1">
      <c r="B26" s="99" t="inlineStr">
        <is>
          <t>🏷️ RFM Combo:</t>
        </is>
      </c>
      <c r="C26" s="96" t="n"/>
      <c r="D26" s="100" t="inlineStr">
        <is>
          <t>3-digit string (e.g. 555 = Champion). Mapped via XLOOKUP to Segment Map sheet.</t>
        </is>
      </c>
      <c r="E26" s="96" t="n"/>
      <c r="F26" s="96" t="n"/>
      <c r="G26" s="96" t="n"/>
      <c r="H26" s="96" t="n"/>
      <c r="I26" s="96" t="n"/>
      <c r="K26" s="105" t="inlineStr">
        <is>
          <t>🌍 Germany</t>
        </is>
      </c>
      <c r="O26" s="106" t="n">
        <v>228867.14</v>
      </c>
    </row>
    <row r="27" ht="26" customHeight="1">
      <c r="B27" s="95" t="inlineStr">
        <is>
          <t>🎯 Key Insight:</t>
        </is>
      </c>
      <c r="C27" s="96" t="n"/>
      <c r="D27" s="97" t="inlineStr">
        <is>
          <t>Champions = protect &amp; reward. At Risk = win-back urgently. Lost = reactivate or sunset.</t>
        </is>
      </c>
      <c r="E27" s="96" t="n"/>
      <c r="F27" s="96" t="n"/>
      <c r="G27" s="96" t="n"/>
      <c r="H27" s="96" t="n"/>
      <c r="I27" s="96" t="n"/>
      <c r="K27" s="107" t="inlineStr">
        <is>
          <t>🌍 France</t>
        </is>
      </c>
      <c r="O27" s="108" t="n">
        <v>209024.05</v>
      </c>
    </row>
    <row r="28" ht="26" customHeight="1">
      <c r="K28" s="109" t="inlineStr">
        <is>
          <t>🌍 Australia</t>
        </is>
      </c>
      <c r="O28" s="110" t="n">
        <v>138521.31</v>
      </c>
    </row>
    <row r="29">
      <c r="B29" s="111" t="inlineStr">
        <is>
          <t>Built with Excel  •  UCI Online Retail Dataset  •  RFM Analysis  •  Data Analytics Portfolio  •  2024</t>
        </is>
      </c>
    </row>
  </sheetData>
  <mergeCells count="62">
    <mergeCell ref="F6:I7"/>
    <mergeCell ref="K23:N23"/>
    <mergeCell ref="D27:I27"/>
    <mergeCell ref="K14:N14"/>
    <mergeCell ref="B25:C25"/>
    <mergeCell ref="K17:N17"/>
    <mergeCell ref="B2:S2"/>
    <mergeCell ref="O28:S28"/>
    <mergeCell ref="O19:S19"/>
    <mergeCell ref="B8:E9"/>
    <mergeCell ref="B22:I22"/>
    <mergeCell ref="K22:S22"/>
    <mergeCell ref="O24:S24"/>
    <mergeCell ref="B5:E5"/>
    <mergeCell ref="J6:M7"/>
    <mergeCell ref="B1:S1"/>
    <mergeCell ref="O18:S18"/>
    <mergeCell ref="B27:C27"/>
    <mergeCell ref="K19:N19"/>
    <mergeCell ref="K28:N28"/>
    <mergeCell ref="K13:N13"/>
    <mergeCell ref="B29:S29"/>
    <mergeCell ref="K18:N18"/>
    <mergeCell ref="O20:S20"/>
    <mergeCell ref="N8:Q9"/>
    <mergeCell ref="F8:I9"/>
    <mergeCell ref="K25:N25"/>
    <mergeCell ref="B23:C23"/>
    <mergeCell ref="K24:N24"/>
    <mergeCell ref="O26:S26"/>
    <mergeCell ref="J5:M5"/>
    <mergeCell ref="D25:I25"/>
    <mergeCell ref="B6:E7"/>
    <mergeCell ref="R8:S9"/>
    <mergeCell ref="D24:I24"/>
    <mergeCell ref="K10:S10"/>
    <mergeCell ref="K26:N26"/>
    <mergeCell ref="O25:S25"/>
    <mergeCell ref="D23:I23"/>
    <mergeCell ref="B10:I10"/>
    <mergeCell ref="K11:N11"/>
    <mergeCell ref="K20:N20"/>
    <mergeCell ref="D26:I26"/>
    <mergeCell ref="F5:I5"/>
    <mergeCell ref="N6:Q7"/>
    <mergeCell ref="K16:S16"/>
    <mergeCell ref="O27:S27"/>
    <mergeCell ref="O12:S12"/>
    <mergeCell ref="N5:Q5"/>
    <mergeCell ref="B24:C24"/>
    <mergeCell ref="K15:S15"/>
    <mergeCell ref="O17:S17"/>
    <mergeCell ref="O11:S11"/>
    <mergeCell ref="J8:M9"/>
    <mergeCell ref="R6:S7"/>
    <mergeCell ref="K12:N12"/>
    <mergeCell ref="O23:S23"/>
    <mergeCell ref="O14:S14"/>
    <mergeCell ref="B26:C26"/>
    <mergeCell ref="R5:S5"/>
    <mergeCell ref="O13:S13"/>
    <mergeCell ref="K27:N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3460"/>
    <outlinePr summaryBelow="1" summaryRight="1"/>
    <pageSetUpPr/>
  </sheetPr>
  <dimension ref="A1:I5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3" customWidth="1" min="4" max="4"/>
    <col width="30" customWidth="1" min="5" max="5"/>
    <col width="10" customWidth="1" min="6" max="6"/>
    <col width="12" customWidth="1" min="7" max="7"/>
    <col width="13" customWidth="1" min="8" max="8"/>
    <col width="18" customWidth="1" min="9" max="9"/>
  </cols>
  <sheetData>
    <row r="1" ht="30" customHeight="1">
      <c r="A1" s="112" t="inlineStr">
        <is>
          <t>🛒  Online Retail Transaction Data  |  Dec 2010 – Dec 2011  |  Sample: 5,000 rows</t>
        </is>
      </c>
    </row>
    <row r="2" ht="20" customHeight="1">
      <c r="A2" s="113" t="inlineStr">
        <is>
          <t>InvoiceNo</t>
        </is>
      </c>
      <c r="B2" s="113" t="inlineStr">
        <is>
          <t>CustomerID</t>
        </is>
      </c>
      <c r="C2" s="113" t="inlineStr">
        <is>
          <t>Country</t>
        </is>
      </c>
      <c r="D2" s="113" t="inlineStr">
        <is>
          <t>StockCode</t>
        </is>
      </c>
      <c r="E2" s="113" t="inlineStr">
        <is>
          <t>Description</t>
        </is>
      </c>
      <c r="F2" s="113" t="inlineStr">
        <is>
          <t>Quantity</t>
        </is>
      </c>
      <c r="G2" s="113" t="inlineStr">
        <is>
          <t>UnitPrice</t>
        </is>
      </c>
      <c r="H2" s="113" t="inlineStr">
        <is>
          <t>Total Sales</t>
        </is>
      </c>
      <c r="I2" s="113" t="inlineStr">
        <is>
          <t>InvoiceDate</t>
        </is>
      </c>
    </row>
    <row r="3">
      <c r="A3" s="114" t="inlineStr">
        <is>
          <t>536377</t>
        </is>
      </c>
      <c r="B3" s="114" t="n">
        <v>17850</v>
      </c>
      <c r="C3" s="114" t="inlineStr">
        <is>
          <t>United Kingdom</t>
        </is>
      </c>
      <c r="D3" s="114" t="inlineStr">
        <is>
          <t>22633</t>
        </is>
      </c>
      <c r="E3" s="114" t="inlineStr">
        <is>
          <t>HAND WARMER UNION JACK</t>
        </is>
      </c>
      <c r="F3" s="114" t="n">
        <v>6</v>
      </c>
      <c r="G3" s="115" t="n">
        <v>1.85</v>
      </c>
      <c r="H3" s="115" t="n">
        <v>11.1</v>
      </c>
      <c r="I3" s="116" t="n">
        <v>40513</v>
      </c>
    </row>
    <row r="4">
      <c r="A4" s="117" t="inlineStr">
        <is>
          <t>536381</t>
        </is>
      </c>
      <c r="B4" s="117" t="n">
        <v>15311</v>
      </c>
      <c r="C4" s="117" t="inlineStr">
        <is>
          <t>United Kingdom</t>
        </is>
      </c>
      <c r="D4" s="117" t="inlineStr">
        <is>
          <t>22083</t>
        </is>
      </c>
      <c r="E4" s="117" t="inlineStr">
        <is>
          <t>PAPER CHAIN KIT RETROSPOT</t>
        </is>
      </c>
      <c r="F4" s="117" t="n">
        <v>1</v>
      </c>
      <c r="G4" s="118" t="n">
        <v>2.95</v>
      </c>
      <c r="H4" s="118" t="n">
        <v>2.95</v>
      </c>
      <c r="I4" s="119" t="n">
        <v>40513</v>
      </c>
    </row>
    <row r="5">
      <c r="A5" s="114" t="inlineStr">
        <is>
          <t>536392</t>
        </is>
      </c>
      <c r="B5" s="114" t="n">
        <v>13705</v>
      </c>
      <c r="C5" s="114" t="inlineStr">
        <is>
          <t>United Kingdom</t>
        </is>
      </c>
      <c r="D5" s="114" t="inlineStr">
        <is>
          <t>22827</t>
        </is>
      </c>
      <c r="E5" s="114" t="inlineStr">
        <is>
          <t>RUSTIC  SEVENTEEN DRAWER SIDEBOARD</t>
        </is>
      </c>
      <c r="F5" s="114" t="n">
        <v>1</v>
      </c>
      <c r="G5" s="115" t="n">
        <v>165</v>
      </c>
      <c r="H5" s="115" t="n">
        <v>165</v>
      </c>
      <c r="I5" s="116" t="n">
        <v>40513</v>
      </c>
    </row>
    <row r="6">
      <c r="A6" s="117" t="inlineStr">
        <is>
          <t>536398</t>
        </is>
      </c>
      <c r="B6" s="117" t="n">
        <v>13448</v>
      </c>
      <c r="C6" s="117" t="inlineStr">
        <is>
          <t>United Kingdom</t>
        </is>
      </c>
      <c r="D6" s="117" t="inlineStr">
        <is>
          <t>22111</t>
        </is>
      </c>
      <c r="E6" s="117" t="inlineStr">
        <is>
          <t>SCOTTIE DOG HOT WATER BOTTLE</t>
        </is>
      </c>
      <c r="F6" s="117" t="n">
        <v>9</v>
      </c>
      <c r="G6" s="118" t="n">
        <v>4.95</v>
      </c>
      <c r="H6" s="118" t="n">
        <v>44.55</v>
      </c>
      <c r="I6" s="119" t="n">
        <v>40513</v>
      </c>
    </row>
    <row r="7">
      <c r="A7" s="114" t="inlineStr">
        <is>
          <t>536408</t>
        </is>
      </c>
      <c r="B7" s="114" t="n">
        <v>14307</v>
      </c>
      <c r="C7" s="114" t="inlineStr">
        <is>
          <t>United Kingdom</t>
        </is>
      </c>
      <c r="D7" s="114" t="inlineStr">
        <is>
          <t>21733</t>
        </is>
      </c>
      <c r="E7" s="114" t="inlineStr">
        <is>
          <t>RED HANGING HEART T-LIGHT HOLDER</t>
        </is>
      </c>
      <c r="F7" s="114" t="n">
        <v>6</v>
      </c>
      <c r="G7" s="115" t="n">
        <v>2.95</v>
      </c>
      <c r="H7" s="115" t="n">
        <v>17.7</v>
      </c>
      <c r="I7" s="116" t="n">
        <v>40513</v>
      </c>
    </row>
    <row r="8">
      <c r="A8" s="117" t="inlineStr">
        <is>
          <t>536409</t>
        </is>
      </c>
      <c r="B8" s="117" t="n">
        <v>17908</v>
      </c>
      <c r="C8" s="117" t="inlineStr">
        <is>
          <t>United Kingdom</t>
        </is>
      </c>
      <c r="D8" s="117" t="inlineStr">
        <is>
          <t>21866</t>
        </is>
      </c>
      <c r="E8" s="117" t="inlineStr">
        <is>
          <t>UNION JACK FLAG LUGGAGE TAG</t>
        </is>
      </c>
      <c r="F8" s="117" t="n">
        <v>1</v>
      </c>
      <c r="G8" s="118" t="n">
        <v>1.25</v>
      </c>
      <c r="H8" s="118" t="n">
        <v>1.25</v>
      </c>
      <c r="I8" s="119" t="n">
        <v>40513</v>
      </c>
    </row>
    <row r="9">
      <c r="A9" s="114" t="inlineStr">
        <is>
          <t>536412</t>
        </is>
      </c>
      <c r="B9" s="114" t="n">
        <v>17920</v>
      </c>
      <c r="C9" s="114" t="inlineStr">
        <is>
          <t>United Kingdom</t>
        </is>
      </c>
      <c r="D9" s="114" t="inlineStr">
        <is>
          <t>22273</t>
        </is>
      </c>
      <c r="E9" s="114" t="inlineStr">
        <is>
          <t>FELTCRAFT DOLL MOLLY</t>
        </is>
      </c>
      <c r="F9" s="114" t="n">
        <v>1</v>
      </c>
      <c r="G9" s="115" t="n">
        <v>2.95</v>
      </c>
      <c r="H9" s="115" t="n">
        <v>2.95</v>
      </c>
      <c r="I9" s="116" t="n">
        <v>40513</v>
      </c>
    </row>
    <row r="10">
      <c r="A10" s="117" t="inlineStr">
        <is>
          <t>536415</t>
        </is>
      </c>
      <c r="B10" s="117" t="n">
        <v>12838</v>
      </c>
      <c r="C10" s="117" t="inlineStr">
        <is>
          <t>United Kingdom</t>
        </is>
      </c>
      <c r="D10" s="117" t="inlineStr">
        <is>
          <t>22807</t>
        </is>
      </c>
      <c r="E10" s="117" t="inlineStr">
        <is>
          <t>SET OF 6 T-LIGHTS TOADSTOOLS</t>
        </is>
      </c>
      <c r="F10" s="117" t="n">
        <v>12</v>
      </c>
      <c r="G10" s="118" t="n">
        <v>2.95</v>
      </c>
      <c r="H10" s="118" t="n">
        <v>35.4</v>
      </c>
      <c r="I10" s="119" t="n">
        <v>40513</v>
      </c>
    </row>
    <row r="11">
      <c r="A11" s="114" t="inlineStr">
        <is>
          <t>536464</t>
        </is>
      </c>
      <c r="B11" s="114" t="n">
        <v>17968</v>
      </c>
      <c r="C11" s="114" t="inlineStr">
        <is>
          <t>United Kingdom</t>
        </is>
      </c>
      <c r="D11" s="114" t="inlineStr">
        <is>
          <t>21977</t>
        </is>
      </c>
      <c r="E11" s="114" t="inlineStr">
        <is>
          <t>PACK OF 60 PINK PAISLEY CAKE CASES</t>
        </is>
      </c>
      <c r="F11" s="114" t="n">
        <v>1</v>
      </c>
      <c r="G11" s="115" t="n">
        <v>0.55</v>
      </c>
      <c r="H11" s="115" t="n">
        <v>0.55</v>
      </c>
      <c r="I11" s="116" t="n">
        <v>40513</v>
      </c>
    </row>
    <row r="12">
      <c r="A12" s="117" t="inlineStr">
        <is>
          <t>536464</t>
        </is>
      </c>
      <c r="B12" s="117" t="n">
        <v>17968</v>
      </c>
      <c r="C12" s="117" t="inlineStr">
        <is>
          <t>United Kingdom</t>
        </is>
      </c>
      <c r="D12" s="117" t="inlineStr">
        <is>
          <t>22809</t>
        </is>
      </c>
      <c r="E12" s="117" t="inlineStr">
        <is>
          <t>SET OF 6 T-LIGHTS SANTA</t>
        </is>
      </c>
      <c r="F12" s="117" t="n">
        <v>1</v>
      </c>
      <c r="G12" s="118" t="n">
        <v>2.95</v>
      </c>
      <c r="H12" s="118" t="n">
        <v>2.95</v>
      </c>
      <c r="I12" s="119" t="n">
        <v>40513</v>
      </c>
    </row>
    <row r="13">
      <c r="A13" s="114" t="inlineStr">
        <is>
          <t>536477</t>
        </is>
      </c>
      <c r="B13" s="114" t="n">
        <v>16210</v>
      </c>
      <c r="C13" s="114" t="inlineStr">
        <is>
          <t>United Kingdom</t>
        </is>
      </c>
      <c r="D13" s="114" t="inlineStr">
        <is>
          <t>20977</t>
        </is>
      </c>
      <c r="E13" s="114" t="inlineStr">
        <is>
          <t>36 PENCILS TUBE WOODLAND</t>
        </is>
      </c>
      <c r="F13" s="114" t="n">
        <v>16</v>
      </c>
      <c r="G13" s="115" t="n">
        <v>1.25</v>
      </c>
      <c r="H13" s="115" t="n">
        <v>20</v>
      </c>
      <c r="I13" s="116" t="n">
        <v>40513</v>
      </c>
    </row>
    <row r="14">
      <c r="A14" s="117" t="inlineStr">
        <is>
          <t>536488</t>
        </is>
      </c>
      <c r="B14" s="117" t="n">
        <v>17897</v>
      </c>
      <c r="C14" s="117" t="inlineStr">
        <is>
          <t>United Kingdom</t>
        </is>
      </c>
      <c r="D14" s="117" t="inlineStr">
        <is>
          <t>22961</t>
        </is>
      </c>
      <c r="E14" s="117" t="inlineStr">
        <is>
          <t>JAM MAKING SET PRINTED</t>
        </is>
      </c>
      <c r="F14" s="117" t="n">
        <v>1</v>
      </c>
      <c r="G14" s="118" t="n">
        <v>1.45</v>
      </c>
      <c r="H14" s="118" t="n">
        <v>1.45</v>
      </c>
      <c r="I14" s="119" t="n">
        <v>40513</v>
      </c>
    </row>
    <row r="15">
      <c r="A15" s="114" t="inlineStr">
        <is>
          <t>536508</t>
        </is>
      </c>
      <c r="B15" s="114" t="n">
        <v>17181</v>
      </c>
      <c r="C15" s="114" t="inlineStr">
        <is>
          <t>United Kingdom</t>
        </is>
      </c>
      <c r="D15" s="114" t="inlineStr">
        <is>
          <t>21326</t>
        </is>
      </c>
      <c r="E15" s="114" t="inlineStr">
        <is>
          <t>AGED GLASS SILVER T-LIGHT HOLDER</t>
        </is>
      </c>
      <c r="F15" s="114" t="n">
        <v>144</v>
      </c>
      <c r="G15" s="115" t="n">
        <v>0.55</v>
      </c>
      <c r="H15" s="115" t="n">
        <v>79.2</v>
      </c>
      <c r="I15" s="116" t="n">
        <v>40513</v>
      </c>
    </row>
    <row r="16">
      <c r="A16" s="117" t="inlineStr">
        <is>
          <t>536522</t>
        </is>
      </c>
      <c r="B16" s="117" t="n">
        <v>15012</v>
      </c>
      <c r="C16" s="117" t="inlineStr">
        <is>
          <t>United Kingdom</t>
        </is>
      </c>
      <c r="D16" s="117" t="inlineStr">
        <is>
          <t>84836</t>
        </is>
      </c>
      <c r="E16" s="117" t="inlineStr">
        <is>
          <t>ZINC METAL HEART DECORATION</t>
        </is>
      </c>
      <c r="F16" s="117" t="n">
        <v>2</v>
      </c>
      <c r="G16" s="118" t="n">
        <v>1.25</v>
      </c>
      <c r="H16" s="118" t="n">
        <v>2.5</v>
      </c>
      <c r="I16" s="119" t="n">
        <v>40513</v>
      </c>
    </row>
    <row r="17">
      <c r="A17" s="114" t="inlineStr">
        <is>
          <t>536529</t>
        </is>
      </c>
      <c r="B17" s="114" t="n">
        <v>14237</v>
      </c>
      <c r="C17" s="114" t="inlineStr">
        <is>
          <t>United Kingdom</t>
        </is>
      </c>
      <c r="D17" s="114" t="inlineStr">
        <is>
          <t>21743</t>
        </is>
      </c>
      <c r="E17" s="114" t="inlineStr">
        <is>
          <t xml:space="preserve">STAR PORTABLE TABLE LIGHT </t>
        </is>
      </c>
      <c r="F17" s="114" t="n">
        <v>6</v>
      </c>
      <c r="G17" s="115" t="n">
        <v>2.95</v>
      </c>
      <c r="H17" s="115" t="n">
        <v>17.7</v>
      </c>
      <c r="I17" s="116" t="n">
        <v>40513</v>
      </c>
    </row>
    <row r="18">
      <c r="A18" s="117" t="inlineStr">
        <is>
          <t>536532</t>
        </is>
      </c>
      <c r="B18" s="117" t="n">
        <v>12433</v>
      </c>
      <c r="C18" s="117" t="inlineStr">
        <is>
          <t>Norway</t>
        </is>
      </c>
      <c r="D18" s="117" t="inlineStr">
        <is>
          <t>84992</t>
        </is>
      </c>
      <c r="E18" s="117" t="inlineStr">
        <is>
          <t>72 SWEETHEART FAIRY CAKE CASES</t>
        </is>
      </c>
      <c r="F18" s="117" t="n">
        <v>24</v>
      </c>
      <c r="G18" s="118" t="n">
        <v>0.55</v>
      </c>
      <c r="H18" s="118" t="n">
        <v>13.2</v>
      </c>
      <c r="I18" s="119" t="n">
        <v>40513</v>
      </c>
    </row>
    <row r="19">
      <c r="A19" s="114" t="inlineStr">
        <is>
          <t>536557</t>
        </is>
      </c>
      <c r="B19" s="114" t="n">
        <v>17841</v>
      </c>
      <c r="C19" s="114" t="inlineStr">
        <is>
          <t>United Kingdom</t>
        </is>
      </c>
      <c r="D19" s="114" t="inlineStr">
        <is>
          <t>22786</t>
        </is>
      </c>
      <c r="E19" s="114" t="inlineStr">
        <is>
          <t>CUSHION COVER PINK UNION JACK</t>
        </is>
      </c>
      <c r="F19" s="114" t="n">
        <v>2</v>
      </c>
      <c r="G19" s="115" t="n">
        <v>5.95</v>
      </c>
      <c r="H19" s="115" t="n">
        <v>11.9</v>
      </c>
      <c r="I19" s="116" t="n">
        <v>40513</v>
      </c>
    </row>
    <row r="20">
      <c r="A20" s="117" t="inlineStr">
        <is>
          <t>536559</t>
        </is>
      </c>
      <c r="B20" s="117" t="n">
        <v>17873</v>
      </c>
      <c r="C20" s="117" t="inlineStr">
        <is>
          <t>United Kingdom</t>
        </is>
      </c>
      <c r="D20" s="117" t="inlineStr">
        <is>
          <t>51014L</t>
        </is>
      </c>
      <c r="E20" s="117" t="inlineStr">
        <is>
          <t>FEATHER PEN,LIGHT PINK</t>
        </is>
      </c>
      <c r="F20" s="117" t="n">
        <v>12</v>
      </c>
      <c r="G20" s="118" t="n">
        <v>0.85</v>
      </c>
      <c r="H20" s="118" t="n">
        <v>10.2</v>
      </c>
      <c r="I20" s="119" t="n">
        <v>40513</v>
      </c>
    </row>
    <row r="21">
      <c r="A21" s="114" t="inlineStr">
        <is>
          <t>536561</t>
        </is>
      </c>
      <c r="B21" s="114" t="n">
        <v>12921</v>
      </c>
      <c r="C21" s="114" t="inlineStr">
        <is>
          <t>United Kingdom</t>
        </is>
      </c>
      <c r="D21" s="114" t="inlineStr">
        <is>
          <t>22274</t>
        </is>
      </c>
      <c r="E21" s="114" t="inlineStr">
        <is>
          <t>FELTCRAFT DOLL EMILY</t>
        </is>
      </c>
      <c r="F21" s="114" t="n">
        <v>6</v>
      </c>
      <c r="G21" s="115" t="n">
        <v>2.95</v>
      </c>
      <c r="H21" s="115" t="n">
        <v>17.7</v>
      </c>
      <c r="I21" s="116" t="n">
        <v>40513</v>
      </c>
    </row>
    <row r="22">
      <c r="A22" s="117" t="inlineStr">
        <is>
          <t>536569</t>
        </is>
      </c>
      <c r="B22" s="117" t="n">
        <v>16274</v>
      </c>
      <c r="C22" s="117" t="inlineStr">
        <is>
          <t>United Kingdom</t>
        </is>
      </c>
      <c r="D22" s="117" t="inlineStr">
        <is>
          <t>21810</t>
        </is>
      </c>
      <c r="E22" s="117" t="inlineStr">
        <is>
          <t>CHRISTMAS HANGING STAR WITH BELL</t>
        </is>
      </c>
      <c r="F22" s="117" t="n">
        <v>2</v>
      </c>
      <c r="G22" s="118" t="n">
        <v>1.25</v>
      </c>
      <c r="H22" s="118" t="n">
        <v>2.5</v>
      </c>
      <c r="I22" s="119" t="n">
        <v>40513</v>
      </c>
    </row>
    <row r="23">
      <c r="A23" s="114" t="inlineStr">
        <is>
          <t>536590</t>
        </is>
      </c>
      <c r="B23" s="114" t="n">
        <v>13065</v>
      </c>
      <c r="C23" s="114" t="inlineStr">
        <is>
          <t>United Kingdom</t>
        </is>
      </c>
      <c r="D23" s="114" t="inlineStr">
        <is>
          <t>22457</t>
        </is>
      </c>
      <c r="E23" s="114" t="inlineStr">
        <is>
          <t xml:space="preserve">NATURAL SLATE HEART CHALKBOARD </t>
        </is>
      </c>
      <c r="F23" s="114" t="n">
        <v>6</v>
      </c>
      <c r="G23" s="115" t="n">
        <v>2.95</v>
      </c>
      <c r="H23" s="115" t="n">
        <v>17.7</v>
      </c>
      <c r="I23" s="116" t="n">
        <v>40513</v>
      </c>
    </row>
    <row r="24">
      <c r="A24" s="117" t="inlineStr">
        <is>
          <t>536590</t>
        </is>
      </c>
      <c r="B24" s="117" t="n">
        <v>13065</v>
      </c>
      <c r="C24" s="117" t="inlineStr">
        <is>
          <t>United Kingdom</t>
        </is>
      </c>
      <c r="D24" s="117" t="inlineStr">
        <is>
          <t>71477</t>
        </is>
      </c>
      <c r="E24" s="117" t="inlineStr">
        <is>
          <t>COLOUR GLASS. STAR T-LIGHT HOLDER</t>
        </is>
      </c>
      <c r="F24" s="117" t="n">
        <v>4</v>
      </c>
      <c r="G24" s="118" t="n">
        <v>3.25</v>
      </c>
      <c r="H24" s="118" t="n">
        <v>13</v>
      </c>
      <c r="I24" s="119" t="n">
        <v>40513</v>
      </c>
    </row>
    <row r="25">
      <c r="A25" s="114" t="inlineStr">
        <is>
          <t>536623</t>
        </is>
      </c>
      <c r="B25" s="114" t="n">
        <v>15601</v>
      </c>
      <c r="C25" s="114" t="inlineStr">
        <is>
          <t>United Kingdom</t>
        </is>
      </c>
      <c r="D25" s="114" t="inlineStr">
        <is>
          <t>21518</t>
        </is>
      </c>
      <c r="E25" s="114" t="inlineStr">
        <is>
          <t xml:space="preserve">BANK ACCOUNT  GREETING  CARD </t>
        </is>
      </c>
      <c r="F25" s="114" t="n">
        <v>12</v>
      </c>
      <c r="G25" s="115" t="n">
        <v>0.42</v>
      </c>
      <c r="H25" s="115" t="n">
        <v>5.04</v>
      </c>
      <c r="I25" s="116" t="n">
        <v>40514</v>
      </c>
    </row>
    <row r="26">
      <c r="A26" s="117" t="inlineStr">
        <is>
          <t>536627</t>
        </is>
      </c>
      <c r="B26" s="117" t="n">
        <v>15658</v>
      </c>
      <c r="C26" s="117" t="inlineStr">
        <is>
          <t>United Kingdom</t>
        </is>
      </c>
      <c r="D26" s="117" t="inlineStr">
        <is>
          <t>22961</t>
        </is>
      </c>
      <c r="E26" s="117" t="inlineStr">
        <is>
          <t>JAM MAKING SET PRINTED</t>
        </is>
      </c>
      <c r="F26" s="117" t="n">
        <v>12</v>
      </c>
      <c r="G26" s="118" t="n">
        <v>1.45</v>
      </c>
      <c r="H26" s="118" t="n">
        <v>17.4</v>
      </c>
      <c r="I26" s="119" t="n">
        <v>40514</v>
      </c>
    </row>
    <row r="27">
      <c r="A27" s="114" t="inlineStr">
        <is>
          <t>536638</t>
        </is>
      </c>
      <c r="B27" s="114" t="n">
        <v>16244</v>
      </c>
      <c r="C27" s="114" t="inlineStr">
        <is>
          <t>United Kingdom</t>
        </is>
      </c>
      <c r="D27" s="114" t="inlineStr">
        <is>
          <t>22318</t>
        </is>
      </c>
      <c r="E27" s="114" t="inlineStr">
        <is>
          <t>FIVE HEART HANGING DECORATION</t>
        </is>
      </c>
      <c r="F27" s="114" t="n">
        <v>6</v>
      </c>
      <c r="G27" s="115" t="n">
        <v>2.95</v>
      </c>
      <c r="H27" s="115" t="n">
        <v>17.7</v>
      </c>
      <c r="I27" s="116" t="n">
        <v>40514</v>
      </c>
    </row>
    <row r="28">
      <c r="A28" s="117" t="inlineStr">
        <is>
          <t>536638</t>
        </is>
      </c>
      <c r="B28" s="117" t="n">
        <v>16244</v>
      </c>
      <c r="C28" s="117" t="inlineStr">
        <is>
          <t>United Kingdom</t>
        </is>
      </c>
      <c r="D28" s="117" t="inlineStr">
        <is>
          <t>22212</t>
        </is>
      </c>
      <c r="E28" s="117" t="inlineStr">
        <is>
          <t>FOUR HOOK  WHITE LOVEBIRDS</t>
        </is>
      </c>
      <c r="F28" s="117" t="n">
        <v>6</v>
      </c>
      <c r="G28" s="118" t="n">
        <v>2.1</v>
      </c>
      <c r="H28" s="118" t="n">
        <v>12.6</v>
      </c>
      <c r="I28" s="119" t="n">
        <v>40514</v>
      </c>
    </row>
    <row r="29">
      <c r="A29" s="114" t="inlineStr">
        <is>
          <t>536638</t>
        </is>
      </c>
      <c r="B29" s="114" t="n">
        <v>16244</v>
      </c>
      <c r="C29" s="114" t="inlineStr">
        <is>
          <t>United Kingdom</t>
        </is>
      </c>
      <c r="D29" s="114" t="inlineStr">
        <is>
          <t>22131</t>
        </is>
      </c>
      <c r="E29" s="114" t="inlineStr">
        <is>
          <t xml:space="preserve">FOOD CONTAINER SET 3 LOVE HEART </t>
        </is>
      </c>
      <c r="F29" s="114" t="n">
        <v>6</v>
      </c>
      <c r="G29" s="115" t="n">
        <v>1.95</v>
      </c>
      <c r="H29" s="115" t="n">
        <v>11.7</v>
      </c>
      <c r="I29" s="116" t="n">
        <v>40514</v>
      </c>
    </row>
    <row r="30">
      <c r="A30" s="117" t="inlineStr">
        <is>
          <t>536639</t>
        </is>
      </c>
      <c r="B30" s="117" t="n">
        <v>15111</v>
      </c>
      <c r="C30" s="117" t="inlineStr">
        <is>
          <t>United Kingdom</t>
        </is>
      </c>
      <c r="D30" s="117" t="inlineStr">
        <is>
          <t>22112</t>
        </is>
      </c>
      <c r="E30" s="117" t="inlineStr">
        <is>
          <t>CHOCOLATE HOT WATER BOTTLE</t>
        </is>
      </c>
      <c r="F30" s="117" t="n">
        <v>3</v>
      </c>
      <c r="G30" s="118" t="n">
        <v>4.95</v>
      </c>
      <c r="H30" s="118" t="n">
        <v>14.85</v>
      </c>
      <c r="I30" s="119" t="n">
        <v>40514</v>
      </c>
    </row>
    <row r="31">
      <c r="A31" s="114" t="inlineStr">
        <is>
          <t>536639</t>
        </is>
      </c>
      <c r="B31" s="114" t="n">
        <v>15111</v>
      </c>
      <c r="C31" s="114" t="inlineStr">
        <is>
          <t>United Kingdom</t>
        </is>
      </c>
      <c r="D31" s="114" t="inlineStr">
        <is>
          <t>22865</t>
        </is>
      </c>
      <c r="E31" s="114" t="inlineStr">
        <is>
          <t>HAND WARMER OWL DESIGN</t>
        </is>
      </c>
      <c r="F31" s="114" t="n">
        <v>12</v>
      </c>
      <c r="G31" s="115" t="n">
        <v>2.1</v>
      </c>
      <c r="H31" s="115" t="n">
        <v>25.2</v>
      </c>
      <c r="I31" s="116" t="n">
        <v>40514</v>
      </c>
    </row>
    <row r="32">
      <c r="A32" s="117" t="inlineStr">
        <is>
          <t>536643</t>
        </is>
      </c>
      <c r="B32" s="117" t="n">
        <v>14390</v>
      </c>
      <c r="C32" s="117" t="inlineStr">
        <is>
          <t>United Kingdom</t>
        </is>
      </c>
      <c r="D32" s="117" t="inlineStr">
        <is>
          <t>22112</t>
        </is>
      </c>
      <c r="E32" s="117" t="inlineStr">
        <is>
          <t>CHOCOLATE HOT WATER BOTTLE</t>
        </is>
      </c>
      <c r="F32" s="117" t="n">
        <v>6</v>
      </c>
      <c r="G32" s="118" t="n">
        <v>4.95</v>
      </c>
      <c r="H32" s="118" t="n">
        <v>29.7</v>
      </c>
      <c r="I32" s="119" t="n">
        <v>40514</v>
      </c>
    </row>
    <row r="33">
      <c r="A33" s="114" t="inlineStr">
        <is>
          <t>536698</t>
        </is>
      </c>
      <c r="B33" s="114" t="n">
        <v>15363</v>
      </c>
      <c r="C33" s="114" t="inlineStr">
        <is>
          <t>United Kingdom</t>
        </is>
      </c>
      <c r="D33" s="114" t="inlineStr">
        <is>
          <t>22669</t>
        </is>
      </c>
      <c r="E33" s="114" t="inlineStr">
        <is>
          <t xml:space="preserve">RED BABY BUNTING </t>
        </is>
      </c>
      <c r="F33" s="114" t="n">
        <v>5</v>
      </c>
      <c r="G33" s="115" t="n">
        <v>2.95</v>
      </c>
      <c r="H33" s="115" t="n">
        <v>14.75</v>
      </c>
      <c r="I33" s="116" t="n">
        <v>40514</v>
      </c>
    </row>
    <row r="34">
      <c r="A34" s="117" t="inlineStr">
        <is>
          <t>536739</t>
        </is>
      </c>
      <c r="B34" s="117" t="n">
        <v>14180</v>
      </c>
      <c r="C34" s="117" t="inlineStr">
        <is>
          <t>United Kingdom</t>
        </is>
      </c>
      <c r="D34" s="117" t="inlineStr">
        <is>
          <t>35004C</t>
        </is>
      </c>
      <c r="E34" s="117" t="inlineStr">
        <is>
          <t>SET OF 3 COLOURED  FLYING DUCKS</t>
        </is>
      </c>
      <c r="F34" s="117" t="n">
        <v>3</v>
      </c>
      <c r="G34" s="118" t="n">
        <v>5.45</v>
      </c>
      <c r="H34" s="118" t="n">
        <v>16.35</v>
      </c>
      <c r="I34" s="119" t="n">
        <v>40514</v>
      </c>
    </row>
    <row r="35">
      <c r="A35" s="114" t="inlineStr">
        <is>
          <t>536743</t>
        </is>
      </c>
      <c r="B35" s="114" t="n">
        <v>17964</v>
      </c>
      <c r="C35" s="114" t="inlineStr">
        <is>
          <t>United Kingdom</t>
        </is>
      </c>
      <c r="D35" s="114" t="inlineStr">
        <is>
          <t>21918</t>
        </is>
      </c>
      <c r="E35" s="114" t="inlineStr">
        <is>
          <t>SET 12 KIDS COLOUR  CHALK STICKS</t>
        </is>
      </c>
      <c r="F35" s="114" t="n">
        <v>1</v>
      </c>
      <c r="G35" s="115" t="n">
        <v>0.42</v>
      </c>
      <c r="H35" s="115" t="n">
        <v>0.42</v>
      </c>
      <c r="I35" s="116" t="n">
        <v>40514</v>
      </c>
    </row>
    <row r="36">
      <c r="A36" s="117" t="inlineStr">
        <is>
          <t>536745</t>
        </is>
      </c>
      <c r="B36" s="117" t="n">
        <v>17235</v>
      </c>
      <c r="C36" s="117" t="inlineStr">
        <is>
          <t>United Kingdom</t>
        </is>
      </c>
      <c r="D36" s="117" t="inlineStr">
        <is>
          <t>22737</t>
        </is>
      </c>
      <c r="E36" s="117" t="inlineStr">
        <is>
          <t xml:space="preserve">RIBBON REEL CHRISTMAS PRESENT </t>
        </is>
      </c>
      <c r="F36" s="117" t="n">
        <v>10</v>
      </c>
      <c r="G36" s="118" t="n">
        <v>1.65</v>
      </c>
      <c r="H36" s="118" t="n">
        <v>16.5</v>
      </c>
      <c r="I36" s="119" t="n">
        <v>40514</v>
      </c>
    </row>
    <row r="37">
      <c r="A37" s="114" t="inlineStr">
        <is>
          <t>536749</t>
        </is>
      </c>
      <c r="B37" s="114" t="n">
        <v>17976</v>
      </c>
      <c r="C37" s="114" t="inlineStr">
        <is>
          <t>United Kingdom</t>
        </is>
      </c>
      <c r="D37" s="114" t="inlineStr">
        <is>
          <t>21416</t>
        </is>
      </c>
      <c r="E37" s="114" t="inlineStr">
        <is>
          <t>CLAM SHELL LARGE</t>
        </is>
      </c>
      <c r="F37" s="114" t="n">
        <v>1</v>
      </c>
      <c r="G37" s="115" t="n">
        <v>3.75</v>
      </c>
      <c r="H37" s="115" t="n">
        <v>3.75</v>
      </c>
      <c r="I37" s="116" t="n">
        <v>40514</v>
      </c>
    </row>
    <row r="38">
      <c r="A38" s="117" t="inlineStr">
        <is>
          <t>536771</t>
        </is>
      </c>
      <c r="B38" s="117" t="n">
        <v>17581</v>
      </c>
      <c r="C38" s="117" t="inlineStr">
        <is>
          <t>United Kingdom</t>
        </is>
      </c>
      <c r="D38" s="117" t="inlineStr">
        <is>
          <t>22964</t>
        </is>
      </c>
      <c r="E38" s="117" t="inlineStr">
        <is>
          <t>3 PIECE SPACEBOY COOKIE CUTTER SET</t>
        </is>
      </c>
      <c r="F38" s="117" t="n">
        <v>6</v>
      </c>
      <c r="G38" s="118" t="n">
        <v>2.1</v>
      </c>
      <c r="H38" s="118" t="n">
        <v>12.6</v>
      </c>
      <c r="I38" s="119" t="n">
        <v>40514</v>
      </c>
    </row>
    <row r="39">
      <c r="A39" s="114" t="inlineStr">
        <is>
          <t>536782</t>
        </is>
      </c>
      <c r="B39" s="114" t="n">
        <v>17567</v>
      </c>
      <c r="C39" s="114" t="inlineStr">
        <is>
          <t>United Kingdom</t>
        </is>
      </c>
      <c r="D39" s="114" t="inlineStr">
        <is>
          <t>22077</t>
        </is>
      </c>
      <c r="E39" s="114" t="inlineStr">
        <is>
          <t>6 RIBBONS RUSTIC CHARM</t>
        </is>
      </c>
      <c r="F39" s="114" t="n">
        <v>12</v>
      </c>
      <c r="G39" s="115" t="n">
        <v>1.65</v>
      </c>
      <c r="H39" s="115" t="n">
        <v>19.8</v>
      </c>
      <c r="I39" s="116" t="n">
        <v>40514</v>
      </c>
    </row>
    <row r="40">
      <c r="A40" s="117" t="inlineStr">
        <is>
          <t>536796</t>
        </is>
      </c>
      <c r="B40" s="117" t="n">
        <v>15574</v>
      </c>
      <c r="C40" s="117" t="inlineStr">
        <is>
          <t>United Kingdom</t>
        </is>
      </c>
      <c r="D40" s="117" t="inlineStr">
        <is>
          <t>22902</t>
        </is>
      </c>
      <c r="E40" s="117" t="inlineStr">
        <is>
          <t>TOTE BAG I LOVE LONDON</t>
        </is>
      </c>
      <c r="F40" s="117" t="n">
        <v>1</v>
      </c>
      <c r="G40" s="118" t="n">
        <v>2.1</v>
      </c>
      <c r="H40" s="118" t="n">
        <v>2.1</v>
      </c>
      <c r="I40" s="119" t="n">
        <v>40514</v>
      </c>
    </row>
    <row r="41">
      <c r="A41" s="114" t="inlineStr">
        <is>
          <t>536796</t>
        </is>
      </c>
      <c r="B41" s="114" t="n">
        <v>15574</v>
      </c>
      <c r="C41" s="114" t="inlineStr">
        <is>
          <t>United Kingdom</t>
        </is>
      </c>
      <c r="D41" s="114" t="inlineStr">
        <is>
          <t>22557</t>
        </is>
      </c>
      <c r="E41" s="114" t="inlineStr">
        <is>
          <t xml:space="preserve">PLASTERS IN TIN VINTAGE PAISLEY </t>
        </is>
      </c>
      <c r="F41" s="114" t="n">
        <v>1</v>
      </c>
      <c r="G41" s="115" t="n">
        <v>1.65</v>
      </c>
      <c r="H41" s="115" t="n">
        <v>1.65</v>
      </c>
      <c r="I41" s="116" t="n">
        <v>40514</v>
      </c>
    </row>
    <row r="42">
      <c r="A42" s="117" t="inlineStr">
        <is>
          <t>536804</t>
        </is>
      </c>
      <c r="B42" s="117" t="n">
        <v>14031</v>
      </c>
      <c r="C42" s="117" t="inlineStr">
        <is>
          <t>United Kingdom</t>
        </is>
      </c>
      <c r="D42" s="117" t="inlineStr">
        <is>
          <t>84879</t>
        </is>
      </c>
      <c r="E42" s="117" t="inlineStr">
        <is>
          <t>ASSORTED COLOUR BIRD ORNAMENT</t>
        </is>
      </c>
      <c r="F42" s="117" t="n">
        <v>48</v>
      </c>
      <c r="G42" s="118" t="n">
        <v>1.69</v>
      </c>
      <c r="H42" s="118" t="n">
        <v>81.12</v>
      </c>
      <c r="I42" s="119" t="n">
        <v>40514</v>
      </c>
    </row>
    <row r="43">
      <c r="A43" s="114" t="inlineStr">
        <is>
          <t>536833</t>
        </is>
      </c>
      <c r="B43" s="114" t="n">
        <v>18239</v>
      </c>
      <c r="C43" s="114" t="inlineStr">
        <is>
          <t>United Kingdom</t>
        </is>
      </c>
      <c r="D43" s="114" t="inlineStr">
        <is>
          <t>85123A</t>
        </is>
      </c>
      <c r="E43" s="114" t="inlineStr">
        <is>
          <t>WHITE HANGING HEART T-LIGHT HOLDER</t>
        </is>
      </c>
      <c r="F43" s="114" t="n">
        <v>6</v>
      </c>
      <c r="G43" s="115" t="n">
        <v>2.95</v>
      </c>
      <c r="H43" s="115" t="n">
        <v>17.7</v>
      </c>
      <c r="I43" s="116" t="n">
        <v>40514</v>
      </c>
    </row>
    <row r="44">
      <c r="A44" s="117" t="inlineStr">
        <is>
          <t>536836</t>
        </is>
      </c>
      <c r="B44" s="117" t="n">
        <v>18168</v>
      </c>
      <c r="C44" s="117" t="inlineStr">
        <is>
          <t>United Kingdom</t>
        </is>
      </c>
      <c r="D44" s="117" t="inlineStr">
        <is>
          <t>47559B</t>
        </is>
      </c>
      <c r="E44" s="117" t="inlineStr">
        <is>
          <t>TEA TIME OVEN GLOVE</t>
        </is>
      </c>
      <c r="F44" s="117" t="n">
        <v>6</v>
      </c>
      <c r="G44" s="118" t="n">
        <v>1.25</v>
      </c>
      <c r="H44" s="118" t="n">
        <v>7.5</v>
      </c>
      <c r="I44" s="119" t="n">
        <v>40514</v>
      </c>
    </row>
    <row r="45">
      <c r="A45" s="114" t="inlineStr">
        <is>
          <t>536839</t>
        </is>
      </c>
      <c r="B45" s="114" t="n">
        <v>15093</v>
      </c>
      <c r="C45" s="114" t="inlineStr">
        <is>
          <t>United Kingdom</t>
        </is>
      </c>
      <c r="D45" s="114" t="inlineStr">
        <is>
          <t>22585</t>
        </is>
      </c>
      <c r="E45" s="114" t="inlineStr">
        <is>
          <t>PACK OF 6 BIRDY GIFT TAGS</t>
        </is>
      </c>
      <c r="F45" s="114" t="n">
        <v>144</v>
      </c>
      <c r="G45" s="115" t="n">
        <v>1.06</v>
      </c>
      <c r="H45" s="115" t="n">
        <v>152.64</v>
      </c>
      <c r="I45" s="116" t="n">
        <v>40514</v>
      </c>
    </row>
    <row r="46">
      <c r="A46" s="117" t="inlineStr">
        <is>
          <t>536846</t>
        </is>
      </c>
      <c r="B46" s="117" t="n">
        <v>14573</v>
      </c>
      <c r="C46" s="117" t="inlineStr">
        <is>
          <t>United Kingdom</t>
        </is>
      </c>
      <c r="D46" s="117" t="inlineStr">
        <is>
          <t>22766</t>
        </is>
      </c>
      <c r="E46" s="117" t="inlineStr">
        <is>
          <t>PHOTO FRAME CORNICE</t>
        </is>
      </c>
      <c r="F46" s="117" t="n">
        <v>2</v>
      </c>
      <c r="G46" s="118" t="n">
        <v>2.95</v>
      </c>
      <c r="H46" s="118" t="n">
        <v>5.9</v>
      </c>
      <c r="I46" s="119" t="n">
        <v>40514</v>
      </c>
    </row>
    <row r="47">
      <c r="A47" s="114" t="inlineStr">
        <is>
          <t>536846</t>
        </is>
      </c>
      <c r="B47" s="114" t="n">
        <v>14573</v>
      </c>
      <c r="C47" s="114" t="inlineStr">
        <is>
          <t>United Kingdom</t>
        </is>
      </c>
      <c r="D47" s="114" t="inlineStr">
        <is>
          <t>22423</t>
        </is>
      </c>
      <c r="E47" s="114" t="inlineStr">
        <is>
          <t>REGENCY CAKESTAND 3 TIER</t>
        </is>
      </c>
      <c r="F47" s="114" t="n">
        <v>1</v>
      </c>
      <c r="G47" s="115" t="n">
        <v>12.75</v>
      </c>
      <c r="H47" s="115" t="n">
        <v>12.75</v>
      </c>
      <c r="I47" s="116" t="n">
        <v>40514</v>
      </c>
    </row>
    <row r="48">
      <c r="A48" s="117" t="inlineStr">
        <is>
          <t>536846</t>
        </is>
      </c>
      <c r="B48" s="117" t="n">
        <v>14573</v>
      </c>
      <c r="C48" s="117" t="inlineStr">
        <is>
          <t>United Kingdom</t>
        </is>
      </c>
      <c r="D48" s="117" t="inlineStr">
        <is>
          <t>22141</t>
        </is>
      </c>
      <c r="E48" s="117" t="inlineStr">
        <is>
          <t>CHRISTMAS CRAFT TREE TOP ANGEL</t>
        </is>
      </c>
      <c r="F48" s="117" t="n">
        <v>1</v>
      </c>
      <c r="G48" s="118" t="n">
        <v>2.1</v>
      </c>
      <c r="H48" s="118" t="n">
        <v>2.1</v>
      </c>
      <c r="I48" s="119" t="n">
        <v>40514</v>
      </c>
    </row>
    <row r="49">
      <c r="A49" s="114" t="inlineStr">
        <is>
          <t>536856</t>
        </is>
      </c>
      <c r="B49" s="114" t="n">
        <v>13370</v>
      </c>
      <c r="C49" s="114" t="inlineStr">
        <is>
          <t>United Kingdom</t>
        </is>
      </c>
      <c r="D49" s="114" t="inlineStr">
        <is>
          <t>22798</t>
        </is>
      </c>
      <c r="E49" s="114" t="inlineStr">
        <is>
          <t>ANTIQUE GLASS DRESSING TABLE POT</t>
        </is>
      </c>
      <c r="F49" s="114" t="n">
        <v>8</v>
      </c>
      <c r="G49" s="115" t="n">
        <v>2.95</v>
      </c>
      <c r="H49" s="115" t="n">
        <v>23.6</v>
      </c>
      <c r="I49" s="116" t="n">
        <v>40515</v>
      </c>
    </row>
    <row r="50">
      <c r="A50" s="117" t="inlineStr">
        <is>
          <t>536856</t>
        </is>
      </c>
      <c r="B50" s="117" t="n">
        <v>13370</v>
      </c>
      <c r="C50" s="117" t="inlineStr">
        <is>
          <t>United Kingdom</t>
        </is>
      </c>
      <c r="D50" s="117" t="inlineStr">
        <is>
          <t>22620</t>
        </is>
      </c>
      <c r="E50" s="117" t="inlineStr">
        <is>
          <t>4 TRADITIONAL SPINNING TOPS</t>
        </is>
      </c>
      <c r="F50" s="117" t="n">
        <v>12</v>
      </c>
      <c r="G50" s="118" t="n">
        <v>1.25</v>
      </c>
      <c r="H50" s="118" t="n">
        <v>15</v>
      </c>
      <c r="I50" s="119" t="n">
        <v>40515</v>
      </c>
    </row>
    <row r="51">
      <c r="A51" s="114" t="inlineStr">
        <is>
          <t>536859</t>
        </is>
      </c>
      <c r="B51" s="114" t="n">
        <v>12841</v>
      </c>
      <c r="C51" s="114" t="inlineStr">
        <is>
          <t>United Kingdom</t>
        </is>
      </c>
      <c r="D51" s="114" t="inlineStr">
        <is>
          <t>22468</t>
        </is>
      </c>
      <c r="E51" s="114" t="inlineStr">
        <is>
          <t>BABUSHKA LIGHTS STRING OF 10</t>
        </is>
      </c>
      <c r="F51" s="114" t="n">
        <v>3</v>
      </c>
      <c r="G51" s="115" t="n">
        <v>6.75</v>
      </c>
      <c r="H51" s="115" t="n">
        <v>20.25</v>
      </c>
      <c r="I51" s="116" t="n">
        <v>40515</v>
      </c>
    </row>
    <row r="52">
      <c r="A52" s="117" t="inlineStr">
        <is>
          <t>536860</t>
        </is>
      </c>
      <c r="B52" s="117" t="n">
        <v>16905</v>
      </c>
      <c r="C52" s="117" t="inlineStr">
        <is>
          <t>United Kingdom</t>
        </is>
      </c>
      <c r="D52" s="117" t="inlineStr">
        <is>
          <t>22155</t>
        </is>
      </c>
      <c r="E52" s="117" t="inlineStr">
        <is>
          <t>STAR DECORATION RUSTIC</t>
        </is>
      </c>
      <c r="F52" s="117" t="n">
        <v>10</v>
      </c>
      <c r="G52" s="118" t="n">
        <v>0.42</v>
      </c>
      <c r="H52" s="118" t="n">
        <v>4.2</v>
      </c>
      <c r="I52" s="119" t="n">
        <v>40515</v>
      </c>
    </row>
    <row r="53">
      <c r="A53" s="114" t="inlineStr">
        <is>
          <t>536863</t>
        </is>
      </c>
      <c r="B53" s="114" t="n">
        <v>17967</v>
      </c>
      <c r="C53" s="114" t="inlineStr">
        <is>
          <t>United Kingdom</t>
        </is>
      </c>
      <c r="D53" s="114" t="inlineStr">
        <is>
          <t>20727</t>
        </is>
      </c>
      <c r="E53" s="114" t="inlineStr">
        <is>
          <t>LUNCH BAG  BLACK SKULL.</t>
        </is>
      </c>
      <c r="F53" s="114" t="n">
        <v>1</v>
      </c>
      <c r="G53" s="115" t="n">
        <v>1.65</v>
      </c>
      <c r="H53" s="115" t="n">
        <v>1.65</v>
      </c>
      <c r="I53" s="116" t="n">
        <v>40515</v>
      </c>
    </row>
    <row r="54">
      <c r="A54" s="117" t="inlineStr">
        <is>
          <t>536863</t>
        </is>
      </c>
      <c r="B54" s="117" t="n">
        <v>17967</v>
      </c>
      <c r="C54" s="117" t="inlineStr">
        <is>
          <t>United Kingdom</t>
        </is>
      </c>
      <c r="D54" s="117" t="inlineStr">
        <is>
          <t>16237</t>
        </is>
      </c>
      <c r="E54" s="117" t="inlineStr">
        <is>
          <t>SLEEPING CAT ERASERS</t>
        </is>
      </c>
      <c r="F54" s="117" t="n">
        <v>1</v>
      </c>
      <c r="G54" s="118" t="n">
        <v>0.21</v>
      </c>
      <c r="H54" s="118" t="n">
        <v>0.21</v>
      </c>
      <c r="I54" s="119" t="n">
        <v>40515</v>
      </c>
    </row>
    <row r="55">
      <c r="A55" s="114" t="inlineStr">
        <is>
          <t>536874</t>
        </is>
      </c>
      <c r="B55" s="114" t="n">
        <v>16891</v>
      </c>
      <c r="C55" s="114" t="inlineStr">
        <is>
          <t>United Kingdom</t>
        </is>
      </c>
      <c r="D55" s="114" t="inlineStr">
        <is>
          <t>22451</t>
        </is>
      </c>
      <c r="E55" s="114" t="inlineStr">
        <is>
          <t>SILK PURSE BABUSHKA RED</t>
        </is>
      </c>
      <c r="F55" s="114" t="n">
        <v>1</v>
      </c>
      <c r="G55" s="115" t="n">
        <v>3.35</v>
      </c>
      <c r="H55" s="115" t="n">
        <v>3.35</v>
      </c>
      <c r="I55" s="116" t="n">
        <v>40515</v>
      </c>
    </row>
    <row r="56">
      <c r="A56" s="117" t="inlineStr">
        <is>
          <t>536874</t>
        </is>
      </c>
      <c r="B56" s="117" t="n">
        <v>16891</v>
      </c>
      <c r="C56" s="117" t="inlineStr">
        <is>
          <t>United Kingdom</t>
        </is>
      </c>
      <c r="D56" s="117" t="inlineStr">
        <is>
          <t>21407</t>
        </is>
      </c>
      <c r="E56" s="117" t="inlineStr">
        <is>
          <t xml:space="preserve">BROWN CHECK CAT DOORSTOP </t>
        </is>
      </c>
      <c r="F56" s="117" t="n">
        <v>1</v>
      </c>
      <c r="G56" s="118" t="n">
        <v>4.25</v>
      </c>
      <c r="H56" s="118" t="n">
        <v>4.25</v>
      </c>
      <c r="I56" s="119" t="n">
        <v>40515</v>
      </c>
    </row>
    <row r="57">
      <c r="A57" s="114" t="inlineStr">
        <is>
          <t>536884</t>
        </is>
      </c>
      <c r="B57" s="114" t="n">
        <v>14589</v>
      </c>
      <c r="C57" s="114" t="inlineStr">
        <is>
          <t>United Kingdom</t>
        </is>
      </c>
      <c r="D57" s="114" t="inlineStr">
        <is>
          <t>48185</t>
        </is>
      </c>
      <c r="E57" s="114" t="inlineStr">
        <is>
          <t>DOORMAT FAIRY CAKE</t>
        </is>
      </c>
      <c r="F57" s="114" t="n">
        <v>1</v>
      </c>
      <c r="G57" s="115" t="n">
        <v>7.95</v>
      </c>
      <c r="H57" s="115" t="n">
        <v>7.95</v>
      </c>
      <c r="I57" s="116" t="n">
        <v>40515</v>
      </c>
    </row>
    <row r="58">
      <c r="A58" s="117" t="inlineStr">
        <is>
          <t>536938</t>
        </is>
      </c>
      <c r="B58" s="117" t="n">
        <v>14680</v>
      </c>
      <c r="C58" s="117" t="inlineStr">
        <is>
          <t>United Kingdom</t>
        </is>
      </c>
      <c r="D58" s="117" t="inlineStr">
        <is>
          <t>21931</t>
        </is>
      </c>
      <c r="E58" s="117" t="inlineStr">
        <is>
          <t>JUMBO STORAGE BAG SUKI</t>
        </is>
      </c>
      <c r="F58" s="117" t="n">
        <v>20</v>
      </c>
      <c r="G58" s="118" t="n">
        <v>1.95</v>
      </c>
      <c r="H58" s="118" t="n">
        <v>39</v>
      </c>
      <c r="I58" s="119" t="n">
        <v>40515</v>
      </c>
    </row>
    <row r="59">
      <c r="A59" s="114" t="inlineStr">
        <is>
          <t>536943</t>
        </is>
      </c>
      <c r="B59" s="114" t="n">
        <v>17884</v>
      </c>
      <c r="C59" s="114" t="inlineStr">
        <is>
          <t>United Kingdom</t>
        </is>
      </c>
      <c r="D59" s="114" t="inlineStr">
        <is>
          <t>22585</t>
        </is>
      </c>
      <c r="E59" s="114" t="inlineStr">
        <is>
          <t>PACK OF 6 BIRDY GIFT TAGS</t>
        </is>
      </c>
      <c r="F59" s="114" t="n">
        <v>5</v>
      </c>
      <c r="G59" s="115" t="n">
        <v>1.25</v>
      </c>
      <c r="H59" s="115" t="n">
        <v>6.25</v>
      </c>
      <c r="I59" s="116" t="n">
        <v>40515</v>
      </c>
    </row>
    <row r="60">
      <c r="A60" s="117" t="inlineStr">
        <is>
          <t>536946</t>
        </is>
      </c>
      <c r="B60" s="117" t="n">
        <v>13013</v>
      </c>
      <c r="C60" s="117" t="inlineStr">
        <is>
          <t>United Kingdom</t>
        </is>
      </c>
      <c r="D60" s="117" t="inlineStr">
        <is>
          <t>22449</t>
        </is>
      </c>
      <c r="E60" s="117" t="inlineStr">
        <is>
          <t>SILK PURSE BABUSHKA PINK</t>
        </is>
      </c>
      <c r="F60" s="117" t="n">
        <v>12</v>
      </c>
      <c r="G60" s="118" t="n">
        <v>3.35</v>
      </c>
      <c r="H60" s="118" t="n">
        <v>40.2</v>
      </c>
      <c r="I60" s="119" t="n">
        <v>40515</v>
      </c>
    </row>
    <row r="61">
      <c r="A61" s="114" t="inlineStr">
        <is>
          <t>536977</t>
        </is>
      </c>
      <c r="B61" s="114" t="n">
        <v>17954</v>
      </c>
      <c r="C61" s="114" t="inlineStr">
        <is>
          <t>United Kingdom</t>
        </is>
      </c>
      <c r="D61" s="114" t="inlineStr">
        <is>
          <t>21974</t>
        </is>
      </c>
      <c r="E61" s="114" t="inlineStr">
        <is>
          <t>SET OF 36 PAISLEY FLOWER DOILIES</t>
        </is>
      </c>
      <c r="F61" s="114" t="n">
        <v>2</v>
      </c>
      <c r="G61" s="115" t="n">
        <v>1.45</v>
      </c>
      <c r="H61" s="115" t="n">
        <v>2.9</v>
      </c>
      <c r="I61" s="116" t="n">
        <v>40515</v>
      </c>
    </row>
    <row r="62">
      <c r="A62" s="117" t="inlineStr">
        <is>
          <t>536984</t>
        </is>
      </c>
      <c r="B62" s="117" t="n">
        <v>17841</v>
      </c>
      <c r="C62" s="117" t="inlineStr">
        <is>
          <t>United Kingdom</t>
        </is>
      </c>
      <c r="D62" s="117" t="inlineStr">
        <is>
          <t>22041</t>
        </is>
      </c>
      <c r="E62" s="117" t="inlineStr">
        <is>
          <t xml:space="preserve">RECORD FRAME 7" SINGLE SIZE </t>
        </is>
      </c>
      <c r="F62" s="117" t="n">
        <v>6</v>
      </c>
      <c r="G62" s="118" t="n">
        <v>2.55</v>
      </c>
      <c r="H62" s="118" t="n">
        <v>15.3</v>
      </c>
      <c r="I62" s="119" t="n">
        <v>40515</v>
      </c>
    </row>
    <row r="63">
      <c r="A63" s="114" t="inlineStr">
        <is>
          <t>536984</t>
        </is>
      </c>
      <c r="B63" s="114" t="n">
        <v>17841</v>
      </c>
      <c r="C63" s="114" t="inlineStr">
        <is>
          <t>United Kingdom</t>
        </is>
      </c>
      <c r="D63" s="114" t="inlineStr">
        <is>
          <t>22654</t>
        </is>
      </c>
      <c r="E63" s="114" t="inlineStr">
        <is>
          <t xml:space="preserve">DELUXE SEWING KIT </t>
        </is>
      </c>
      <c r="F63" s="114" t="n">
        <v>9</v>
      </c>
      <c r="G63" s="115" t="n">
        <v>5.95</v>
      </c>
      <c r="H63" s="115" t="n">
        <v>53.55</v>
      </c>
      <c r="I63" s="116" t="n">
        <v>40515</v>
      </c>
    </row>
    <row r="64">
      <c r="A64" s="117" t="inlineStr">
        <is>
          <t>536987</t>
        </is>
      </c>
      <c r="B64" s="117" t="n">
        <v>17198</v>
      </c>
      <c r="C64" s="117" t="inlineStr">
        <is>
          <t>United Kingdom</t>
        </is>
      </c>
      <c r="D64" s="117" t="inlineStr">
        <is>
          <t>21928</t>
        </is>
      </c>
      <c r="E64" s="117" t="inlineStr">
        <is>
          <t>JUMBO BAG SCANDINAVIAN PAISLEY</t>
        </is>
      </c>
      <c r="F64" s="117" t="n">
        <v>1</v>
      </c>
      <c r="G64" s="118" t="n">
        <v>1.95</v>
      </c>
      <c r="H64" s="118" t="n">
        <v>1.95</v>
      </c>
      <c r="I64" s="119" t="n">
        <v>40515</v>
      </c>
    </row>
    <row r="65">
      <c r="A65" s="114" t="inlineStr">
        <is>
          <t>536992</t>
        </is>
      </c>
      <c r="B65" s="114" t="n">
        <v>15769</v>
      </c>
      <c r="C65" s="114" t="inlineStr">
        <is>
          <t>United Kingdom</t>
        </is>
      </c>
      <c r="D65" s="114" t="inlineStr">
        <is>
          <t>84032B</t>
        </is>
      </c>
      <c r="E65" s="114" t="inlineStr">
        <is>
          <t>CHARLIE + LOLA RED HOT WATER BOTTLE</t>
        </is>
      </c>
      <c r="F65" s="114" t="n">
        <v>36</v>
      </c>
      <c r="G65" s="115" t="n">
        <v>2.55</v>
      </c>
      <c r="H65" s="115" t="n">
        <v>91.8</v>
      </c>
      <c r="I65" s="116" t="n">
        <v>40515</v>
      </c>
    </row>
    <row r="66">
      <c r="A66" s="117" t="inlineStr">
        <is>
          <t>536993</t>
        </is>
      </c>
      <c r="B66" s="117" t="n">
        <v>14396</v>
      </c>
      <c r="C66" s="117" t="inlineStr">
        <is>
          <t>United Kingdom</t>
        </is>
      </c>
      <c r="D66" s="117" t="inlineStr">
        <is>
          <t>21936</t>
        </is>
      </c>
      <c r="E66" s="117" t="inlineStr">
        <is>
          <t>RED RETROSPOT PICNIC BAG</t>
        </is>
      </c>
      <c r="F66" s="117" t="n">
        <v>1</v>
      </c>
      <c r="G66" s="118" t="n">
        <v>2.95</v>
      </c>
      <c r="H66" s="118" t="n">
        <v>2.95</v>
      </c>
      <c r="I66" s="119" t="n">
        <v>40515</v>
      </c>
    </row>
    <row r="67">
      <c r="A67" s="114" t="inlineStr">
        <is>
          <t>537036</t>
        </is>
      </c>
      <c r="B67" s="114" t="n">
        <v>15545</v>
      </c>
      <c r="C67" s="114" t="inlineStr">
        <is>
          <t>United Kingdom</t>
        </is>
      </c>
      <c r="D67" s="114" t="inlineStr">
        <is>
          <t>85049G</t>
        </is>
      </c>
      <c r="E67" s="114" t="inlineStr">
        <is>
          <t xml:space="preserve">CHOCOLATE BOX RIBBONS </t>
        </is>
      </c>
      <c r="F67" s="114" t="n">
        <v>1</v>
      </c>
      <c r="G67" s="115" t="n">
        <v>1.25</v>
      </c>
      <c r="H67" s="115" t="n">
        <v>1.25</v>
      </c>
      <c r="I67" s="116" t="n">
        <v>40515</v>
      </c>
    </row>
    <row r="68">
      <c r="A68" s="117" t="inlineStr">
        <is>
          <t>537042</t>
        </is>
      </c>
      <c r="B68" s="117" t="n">
        <v>13838</v>
      </c>
      <c r="C68" s="117" t="inlineStr">
        <is>
          <t>United Kingdom</t>
        </is>
      </c>
      <c r="D68" s="117" t="inlineStr">
        <is>
          <t>15056P</t>
        </is>
      </c>
      <c r="E68" s="117" t="inlineStr">
        <is>
          <t>EDWARDIAN PARASOL PINK</t>
        </is>
      </c>
      <c r="F68" s="117" t="n">
        <v>2</v>
      </c>
      <c r="G68" s="118" t="n">
        <v>5.95</v>
      </c>
      <c r="H68" s="118" t="n">
        <v>11.9</v>
      </c>
      <c r="I68" s="119" t="n">
        <v>40517</v>
      </c>
    </row>
    <row r="69">
      <c r="A69" s="114" t="inlineStr">
        <is>
          <t>537051</t>
        </is>
      </c>
      <c r="B69" s="114" t="n">
        <v>15708</v>
      </c>
      <c r="C69" s="114" t="inlineStr">
        <is>
          <t>United Kingdom</t>
        </is>
      </c>
      <c r="D69" s="114" t="inlineStr">
        <is>
          <t>22625</t>
        </is>
      </c>
      <c r="E69" s="114" t="inlineStr">
        <is>
          <t>RED KITCHEN SCALES</t>
        </is>
      </c>
      <c r="F69" s="114" t="n">
        <v>1</v>
      </c>
      <c r="G69" s="115" t="n">
        <v>8.5</v>
      </c>
      <c r="H69" s="115" t="n">
        <v>8.5</v>
      </c>
      <c r="I69" s="116" t="n">
        <v>40517</v>
      </c>
    </row>
    <row r="70">
      <c r="A70" s="117" t="inlineStr">
        <is>
          <t>537111</t>
        </is>
      </c>
      <c r="B70" s="117" t="n">
        <v>14810</v>
      </c>
      <c r="C70" s="117" t="inlineStr">
        <is>
          <t>United Kingdom</t>
        </is>
      </c>
      <c r="D70" s="117" t="inlineStr">
        <is>
          <t>22899</t>
        </is>
      </c>
      <c r="E70" s="117" t="inlineStr">
        <is>
          <t xml:space="preserve">CHILDREN'S APRON DOLLY GIRL </t>
        </is>
      </c>
      <c r="F70" s="117" t="n">
        <v>4</v>
      </c>
      <c r="G70" s="118" t="n">
        <v>2.1</v>
      </c>
      <c r="H70" s="118" t="n">
        <v>8.4</v>
      </c>
      <c r="I70" s="119" t="n">
        <v>40517</v>
      </c>
    </row>
    <row r="71">
      <c r="A71" s="114" t="inlineStr">
        <is>
          <t>537126</t>
        </is>
      </c>
      <c r="B71" s="114" t="n">
        <v>18118</v>
      </c>
      <c r="C71" s="114" t="inlineStr">
        <is>
          <t>United Kingdom</t>
        </is>
      </c>
      <c r="D71" s="114" t="inlineStr">
        <is>
          <t>21218</t>
        </is>
      </c>
      <c r="E71" s="114" t="inlineStr">
        <is>
          <t>RED SPOTTY BISCUIT TIN</t>
        </is>
      </c>
      <c r="F71" s="114" t="n">
        <v>1</v>
      </c>
      <c r="G71" s="115" t="n">
        <v>3.75</v>
      </c>
      <c r="H71" s="115" t="n">
        <v>3.75</v>
      </c>
      <c r="I71" s="116" t="n">
        <v>40517</v>
      </c>
    </row>
    <row r="72">
      <c r="A72" s="117" t="inlineStr">
        <is>
          <t>537126</t>
        </is>
      </c>
      <c r="B72" s="117" t="n">
        <v>18118</v>
      </c>
      <c r="C72" s="117" t="inlineStr">
        <is>
          <t>United Kingdom</t>
        </is>
      </c>
      <c r="D72" s="117" t="inlineStr">
        <is>
          <t>22750</t>
        </is>
      </c>
      <c r="E72" s="117" t="inlineStr">
        <is>
          <t>FELTCRAFT PRINCESS LOLA DOLL</t>
        </is>
      </c>
      <c r="F72" s="117" t="n">
        <v>1</v>
      </c>
      <c r="G72" s="118" t="n">
        <v>3.75</v>
      </c>
      <c r="H72" s="118" t="n">
        <v>3.75</v>
      </c>
      <c r="I72" s="119" t="n">
        <v>40517</v>
      </c>
    </row>
    <row r="73">
      <c r="A73" s="114" t="inlineStr">
        <is>
          <t>537126</t>
        </is>
      </c>
      <c r="B73" s="114" t="n">
        <v>18118</v>
      </c>
      <c r="C73" s="114" t="inlineStr">
        <is>
          <t>United Kingdom</t>
        </is>
      </c>
      <c r="D73" s="114" t="inlineStr">
        <is>
          <t>20724</t>
        </is>
      </c>
      <c r="E73" s="114" t="inlineStr">
        <is>
          <t>RED RETROSPOT CHARLOTTE BAG</t>
        </is>
      </c>
      <c r="F73" s="114" t="n">
        <v>3</v>
      </c>
      <c r="G73" s="115" t="n">
        <v>0.85</v>
      </c>
      <c r="H73" s="115" t="n">
        <v>2.55</v>
      </c>
      <c r="I73" s="116" t="n">
        <v>40517</v>
      </c>
    </row>
    <row r="74">
      <c r="A74" s="117" t="inlineStr">
        <is>
          <t>537128</t>
        </is>
      </c>
      <c r="B74" s="117" t="n">
        <v>12841</v>
      </c>
      <c r="C74" s="117" t="inlineStr">
        <is>
          <t>United Kingdom</t>
        </is>
      </c>
      <c r="D74" s="117" t="inlineStr">
        <is>
          <t>22666</t>
        </is>
      </c>
      <c r="E74" s="117" t="inlineStr">
        <is>
          <t>RECIPE BOX PANTRY YELLOW DESIGN</t>
        </is>
      </c>
      <c r="F74" s="117" t="n">
        <v>1</v>
      </c>
      <c r="G74" s="118" t="n">
        <v>2.95</v>
      </c>
      <c r="H74" s="118" t="n">
        <v>2.95</v>
      </c>
      <c r="I74" s="119" t="n">
        <v>40517</v>
      </c>
    </row>
    <row r="75">
      <c r="A75" s="114" t="inlineStr">
        <is>
          <t>537138</t>
        </is>
      </c>
      <c r="B75" s="114" t="n">
        <v>17211</v>
      </c>
      <c r="C75" s="114" t="inlineStr">
        <is>
          <t>United Kingdom</t>
        </is>
      </c>
      <c r="D75" s="114" t="inlineStr">
        <is>
          <t>84508B</t>
        </is>
      </c>
      <c r="E75" s="114" t="inlineStr">
        <is>
          <t>STRIPES DESIGN TEDDY</t>
        </is>
      </c>
      <c r="F75" s="114" t="n">
        <v>4</v>
      </c>
      <c r="G75" s="115" t="n">
        <v>2.55</v>
      </c>
      <c r="H75" s="115" t="n">
        <v>10.2</v>
      </c>
      <c r="I75" s="116" t="n">
        <v>40517</v>
      </c>
    </row>
    <row r="76">
      <c r="A76" s="117" t="inlineStr">
        <is>
          <t>537140</t>
        </is>
      </c>
      <c r="B76" s="117" t="n">
        <v>12748</v>
      </c>
      <c r="C76" s="117" t="inlineStr">
        <is>
          <t>United Kingdom</t>
        </is>
      </c>
      <c r="D76" s="117" t="inlineStr">
        <is>
          <t>22181</t>
        </is>
      </c>
      <c r="E76" s="117" t="inlineStr">
        <is>
          <t>SNOWSTORM PHOTO FRAME FRIDGE MAGNET</t>
        </is>
      </c>
      <c r="F76" s="117" t="n">
        <v>1</v>
      </c>
      <c r="G76" s="118" t="n">
        <v>0.85</v>
      </c>
      <c r="H76" s="118" t="n">
        <v>0.85</v>
      </c>
      <c r="I76" s="119" t="n">
        <v>40517</v>
      </c>
    </row>
    <row r="77">
      <c r="A77" s="114" t="inlineStr">
        <is>
          <t>537142</t>
        </is>
      </c>
      <c r="B77" s="114" t="n">
        <v>12748</v>
      </c>
      <c r="C77" s="114" t="inlineStr">
        <is>
          <t>United Kingdom</t>
        </is>
      </c>
      <c r="D77" s="114" t="inlineStr">
        <is>
          <t>84836</t>
        </is>
      </c>
      <c r="E77" s="114" t="inlineStr">
        <is>
          <t>ZINC METAL HEART DECORATION</t>
        </is>
      </c>
      <c r="F77" s="114" t="n">
        <v>1</v>
      </c>
      <c r="G77" s="115" t="n">
        <v>1.25</v>
      </c>
      <c r="H77" s="115" t="n">
        <v>1.25</v>
      </c>
      <c r="I77" s="116" t="n">
        <v>40517</v>
      </c>
    </row>
    <row r="78">
      <c r="A78" s="117" t="inlineStr">
        <is>
          <t>537144</t>
        </is>
      </c>
      <c r="B78" s="117" t="n">
        <v>15880</v>
      </c>
      <c r="C78" s="117" t="inlineStr">
        <is>
          <t>United Kingdom</t>
        </is>
      </c>
      <c r="D78" s="117" t="inlineStr">
        <is>
          <t>22469</t>
        </is>
      </c>
      <c r="E78" s="117" t="inlineStr">
        <is>
          <t>HEART OF WICKER SMALL</t>
        </is>
      </c>
      <c r="F78" s="117" t="n">
        <v>2</v>
      </c>
      <c r="G78" s="118" t="n">
        <v>1.65</v>
      </c>
      <c r="H78" s="118" t="n">
        <v>3.3</v>
      </c>
      <c r="I78" s="119" t="n">
        <v>40517</v>
      </c>
    </row>
    <row r="79">
      <c r="A79" s="114" t="inlineStr">
        <is>
          <t>537144</t>
        </is>
      </c>
      <c r="B79" s="114" t="n">
        <v>15880</v>
      </c>
      <c r="C79" s="114" t="inlineStr">
        <is>
          <t>United Kingdom</t>
        </is>
      </c>
      <c r="D79" s="114" t="inlineStr">
        <is>
          <t>22730</t>
        </is>
      </c>
      <c r="E79" s="114" t="inlineStr">
        <is>
          <t>ALARM CLOCK BAKELIKE IVORY</t>
        </is>
      </c>
      <c r="F79" s="114" t="n">
        <v>1</v>
      </c>
      <c r="G79" s="115" t="n">
        <v>3.75</v>
      </c>
      <c r="H79" s="115" t="n">
        <v>3.75</v>
      </c>
      <c r="I79" s="116" t="n">
        <v>40517</v>
      </c>
    </row>
    <row r="80">
      <c r="A80" s="117" t="inlineStr">
        <is>
          <t>537159</t>
        </is>
      </c>
      <c r="B80" s="117" t="n">
        <v>14527</v>
      </c>
      <c r="C80" s="117" t="inlineStr">
        <is>
          <t>United Kingdom</t>
        </is>
      </c>
      <c r="D80" s="117" t="inlineStr">
        <is>
          <t>22112</t>
        </is>
      </c>
      <c r="E80" s="117" t="inlineStr">
        <is>
          <t>CHOCOLATE HOT WATER BOTTLE</t>
        </is>
      </c>
      <c r="F80" s="117" t="n">
        <v>6</v>
      </c>
      <c r="G80" s="118" t="n">
        <v>4.95</v>
      </c>
      <c r="H80" s="118" t="n">
        <v>29.7</v>
      </c>
      <c r="I80" s="119" t="n">
        <v>40517</v>
      </c>
    </row>
    <row r="81">
      <c r="A81" s="114" t="inlineStr">
        <is>
          <t>537176</t>
        </is>
      </c>
      <c r="B81" s="114" t="n">
        <v>16411</v>
      </c>
      <c r="C81" s="114" t="inlineStr">
        <is>
          <t>United Kingdom</t>
        </is>
      </c>
      <c r="D81" s="114" t="inlineStr">
        <is>
          <t>22312</t>
        </is>
      </c>
      <c r="E81" s="114" t="inlineStr">
        <is>
          <t>OFFICE MUG WARMER POLKADOT</t>
        </is>
      </c>
      <c r="F81" s="114" t="n">
        <v>1</v>
      </c>
      <c r="G81" s="115" t="n">
        <v>2.95</v>
      </c>
      <c r="H81" s="115" t="n">
        <v>2.95</v>
      </c>
      <c r="I81" s="116" t="n">
        <v>40517</v>
      </c>
    </row>
    <row r="82">
      <c r="A82" s="117" t="inlineStr">
        <is>
          <t>537176</t>
        </is>
      </c>
      <c r="B82" s="117" t="n">
        <v>16411</v>
      </c>
      <c r="C82" s="117" t="inlineStr">
        <is>
          <t>United Kingdom</t>
        </is>
      </c>
      <c r="D82" s="117" t="inlineStr">
        <is>
          <t>22697</t>
        </is>
      </c>
      <c r="E82" s="117" t="inlineStr">
        <is>
          <t>GREEN REGENCY TEACUP AND SAUCER</t>
        </is>
      </c>
      <c r="F82" s="117" t="n">
        <v>1</v>
      </c>
      <c r="G82" s="118" t="n">
        <v>2.95</v>
      </c>
      <c r="H82" s="118" t="n">
        <v>2.95</v>
      </c>
      <c r="I82" s="119" t="n">
        <v>40517</v>
      </c>
    </row>
    <row r="83">
      <c r="A83" s="114" t="inlineStr">
        <is>
          <t>537179</t>
        </is>
      </c>
      <c r="B83" s="114" t="n">
        <v>13767</v>
      </c>
      <c r="C83" s="114" t="inlineStr">
        <is>
          <t>United Kingdom</t>
        </is>
      </c>
      <c r="D83" s="114" t="inlineStr">
        <is>
          <t>22699</t>
        </is>
      </c>
      <c r="E83" s="114" t="inlineStr">
        <is>
          <t xml:space="preserve">ROSES REGENCY TEACUP AND SAUCER </t>
        </is>
      </c>
      <c r="F83" s="114" t="n">
        <v>8</v>
      </c>
      <c r="G83" s="115" t="n">
        <v>2.95</v>
      </c>
      <c r="H83" s="115" t="n">
        <v>23.6</v>
      </c>
      <c r="I83" s="116" t="n">
        <v>40517</v>
      </c>
    </row>
    <row r="84">
      <c r="A84" s="117" t="inlineStr">
        <is>
          <t>537196</t>
        </is>
      </c>
      <c r="B84" s="117" t="n">
        <v>15426</v>
      </c>
      <c r="C84" s="117" t="inlineStr">
        <is>
          <t>United Kingdom</t>
        </is>
      </c>
      <c r="D84" s="117" t="inlineStr">
        <is>
          <t>84509G</t>
        </is>
      </c>
      <c r="E84" s="117" t="inlineStr">
        <is>
          <t xml:space="preserve">SET OF 4 FAIRY CAKE PLACEMATS </t>
        </is>
      </c>
      <c r="F84" s="117" t="n">
        <v>2</v>
      </c>
      <c r="G84" s="118" t="n">
        <v>3.75</v>
      </c>
      <c r="H84" s="118" t="n">
        <v>7.5</v>
      </c>
      <c r="I84" s="119" t="n">
        <v>40517</v>
      </c>
    </row>
    <row r="85">
      <c r="A85" s="114" t="inlineStr">
        <is>
          <t>537198</t>
        </is>
      </c>
      <c r="B85" s="114" t="n">
        <v>12647</v>
      </c>
      <c r="C85" s="114" t="inlineStr">
        <is>
          <t>Germany</t>
        </is>
      </c>
      <c r="D85" s="114" t="inlineStr">
        <is>
          <t>POST</t>
        </is>
      </c>
      <c r="E85" s="114" t="inlineStr">
        <is>
          <t>POSTAGE</t>
        </is>
      </c>
      <c r="F85" s="114" t="n">
        <v>1</v>
      </c>
      <c r="G85" s="115" t="n">
        <v>18</v>
      </c>
      <c r="H85" s="115" t="n">
        <v>18</v>
      </c>
      <c r="I85" s="116" t="n">
        <v>40517</v>
      </c>
    </row>
    <row r="86">
      <c r="A86" s="117" t="inlineStr">
        <is>
          <t>537204</t>
        </is>
      </c>
      <c r="B86" s="117" t="n">
        <v>15555</v>
      </c>
      <c r="C86" s="117" t="inlineStr">
        <is>
          <t>United Kingdom</t>
        </is>
      </c>
      <c r="D86" s="117" t="inlineStr">
        <is>
          <t>21819</t>
        </is>
      </c>
      <c r="E86" s="117" t="inlineStr">
        <is>
          <t xml:space="preserve">GLITTER CHRISTMAS STAR </t>
        </is>
      </c>
      <c r="F86" s="117" t="n">
        <v>6</v>
      </c>
      <c r="G86" s="118" t="n">
        <v>0.85</v>
      </c>
      <c r="H86" s="118" t="n">
        <v>5.1</v>
      </c>
      <c r="I86" s="119" t="n">
        <v>40517</v>
      </c>
    </row>
    <row r="87">
      <c r="A87" s="114" t="inlineStr">
        <is>
          <t>537209</t>
        </is>
      </c>
      <c r="B87" s="114" t="n">
        <v>14606</v>
      </c>
      <c r="C87" s="114" t="inlineStr">
        <is>
          <t>United Kingdom</t>
        </is>
      </c>
      <c r="D87" s="114" t="inlineStr">
        <is>
          <t>22577</t>
        </is>
      </c>
      <c r="E87" s="114" t="inlineStr">
        <is>
          <t>WOODEN HEART CHRISTMAS SCANDINAVIAN</t>
        </is>
      </c>
      <c r="F87" s="114" t="n">
        <v>3</v>
      </c>
      <c r="G87" s="115" t="n">
        <v>0.85</v>
      </c>
      <c r="H87" s="115" t="n">
        <v>2.55</v>
      </c>
      <c r="I87" s="116" t="n">
        <v>40517</v>
      </c>
    </row>
    <row r="88">
      <c r="A88" s="117" t="inlineStr">
        <is>
          <t>537215</t>
        </is>
      </c>
      <c r="B88" s="117" t="n">
        <v>12747</v>
      </c>
      <c r="C88" s="117" t="inlineStr">
        <is>
          <t>United Kingdom</t>
        </is>
      </c>
      <c r="D88" s="117" t="inlineStr">
        <is>
          <t>82484</t>
        </is>
      </c>
      <c r="E88" s="117" t="inlineStr">
        <is>
          <t>WOOD BLACK BOARD ANT WHITE FINISH</t>
        </is>
      </c>
      <c r="F88" s="117" t="n">
        <v>36</v>
      </c>
      <c r="G88" s="118" t="n">
        <v>5.55</v>
      </c>
      <c r="H88" s="118" t="n">
        <v>199.8</v>
      </c>
      <c r="I88" s="119" t="n">
        <v>40517</v>
      </c>
    </row>
    <row r="89">
      <c r="A89" s="114" t="inlineStr">
        <is>
          <t>537219</t>
        </is>
      </c>
      <c r="B89" s="114" t="n">
        <v>14081</v>
      </c>
      <c r="C89" s="114" t="inlineStr">
        <is>
          <t>United Kingdom</t>
        </is>
      </c>
      <c r="D89" s="114" t="inlineStr">
        <is>
          <t>22548</t>
        </is>
      </c>
      <c r="E89" s="114" t="inlineStr">
        <is>
          <t>HEADS AND TAILS SPORTING FUN</t>
        </is>
      </c>
      <c r="F89" s="114" t="n">
        <v>4</v>
      </c>
      <c r="G89" s="115" t="n">
        <v>1.25</v>
      </c>
      <c r="H89" s="115" t="n">
        <v>5</v>
      </c>
      <c r="I89" s="116" t="n">
        <v>40517</v>
      </c>
    </row>
    <row r="90">
      <c r="A90" s="117" t="inlineStr">
        <is>
          <t>537224</t>
        </is>
      </c>
      <c r="B90" s="117" t="n">
        <v>13174</v>
      </c>
      <c r="C90" s="117" t="inlineStr">
        <is>
          <t>United Kingdom</t>
        </is>
      </c>
      <c r="D90" s="117" t="inlineStr">
        <is>
          <t>22588</t>
        </is>
      </c>
      <c r="E90" s="117" t="inlineStr">
        <is>
          <t>CARD HOLDER GINGHAM HEART</t>
        </is>
      </c>
      <c r="F90" s="117" t="n">
        <v>10</v>
      </c>
      <c r="G90" s="118" t="n">
        <v>2.55</v>
      </c>
      <c r="H90" s="118" t="n">
        <v>25.5</v>
      </c>
      <c r="I90" s="119" t="n">
        <v>40517</v>
      </c>
    </row>
    <row r="91">
      <c r="A91" s="114" t="inlineStr">
        <is>
          <t>537224</t>
        </is>
      </c>
      <c r="B91" s="114" t="n">
        <v>13174</v>
      </c>
      <c r="C91" s="114" t="inlineStr">
        <is>
          <t>United Kingdom</t>
        </is>
      </c>
      <c r="D91" s="114" t="inlineStr">
        <is>
          <t>21802</t>
        </is>
      </c>
      <c r="E91" s="114" t="inlineStr">
        <is>
          <t>CHRISTMAS TREE HEART DECORATION</t>
        </is>
      </c>
      <c r="F91" s="114" t="n">
        <v>3</v>
      </c>
      <c r="G91" s="115" t="n">
        <v>0.42</v>
      </c>
      <c r="H91" s="115" t="n">
        <v>1.26</v>
      </c>
      <c r="I91" s="116" t="n">
        <v>40517</v>
      </c>
    </row>
    <row r="92">
      <c r="A92" s="117" t="inlineStr">
        <is>
          <t>537225</t>
        </is>
      </c>
      <c r="B92" s="117" t="n">
        <v>12748</v>
      </c>
      <c r="C92" s="117" t="inlineStr">
        <is>
          <t>United Kingdom</t>
        </is>
      </c>
      <c r="D92" s="117" t="inlineStr">
        <is>
          <t>79067</t>
        </is>
      </c>
      <c r="E92" s="117" t="inlineStr">
        <is>
          <t>CORONA MEXICAN TRAY</t>
        </is>
      </c>
      <c r="F92" s="117" t="n">
        <v>1</v>
      </c>
      <c r="G92" s="118" t="n">
        <v>3.75</v>
      </c>
      <c r="H92" s="118" t="n">
        <v>3.75</v>
      </c>
      <c r="I92" s="119" t="n">
        <v>40517</v>
      </c>
    </row>
    <row r="93">
      <c r="A93" s="114" t="inlineStr">
        <is>
          <t>537226</t>
        </is>
      </c>
      <c r="B93" s="114" t="n">
        <v>15987</v>
      </c>
      <c r="C93" s="114" t="inlineStr">
        <is>
          <t>United Kingdom</t>
        </is>
      </c>
      <c r="D93" s="114" t="inlineStr">
        <is>
          <t>20802</t>
        </is>
      </c>
      <c r="E93" s="114" t="inlineStr">
        <is>
          <t>SMALL GLASS SUNDAE DISH CLEAR</t>
        </is>
      </c>
      <c r="F93" s="114" t="n">
        <v>6</v>
      </c>
      <c r="G93" s="115" t="n">
        <v>1.65</v>
      </c>
      <c r="H93" s="115" t="n">
        <v>9.9</v>
      </c>
      <c r="I93" s="116" t="n">
        <v>40518</v>
      </c>
    </row>
    <row r="94">
      <c r="A94" s="117" t="inlineStr">
        <is>
          <t>537239</t>
        </is>
      </c>
      <c r="B94" s="117" t="n">
        <v>18219</v>
      </c>
      <c r="C94" s="117" t="inlineStr">
        <is>
          <t>United Kingdom</t>
        </is>
      </c>
      <c r="D94" s="117" t="inlineStr">
        <is>
          <t>22767</t>
        </is>
      </c>
      <c r="E94" s="117" t="inlineStr">
        <is>
          <t xml:space="preserve">TRIPLE PHOTO FRAME CORNICE </t>
        </is>
      </c>
      <c r="F94" s="117" t="n">
        <v>2</v>
      </c>
      <c r="G94" s="118" t="n">
        <v>9.949999999999999</v>
      </c>
      <c r="H94" s="118" t="n">
        <v>19.9</v>
      </c>
      <c r="I94" s="119" t="n">
        <v>40518</v>
      </c>
    </row>
    <row r="95">
      <c r="A95" s="114" t="inlineStr">
        <is>
          <t>537256</t>
        </is>
      </c>
      <c r="B95" s="114" t="n">
        <v>16210</v>
      </c>
      <c r="C95" s="114" t="inlineStr">
        <is>
          <t>United Kingdom</t>
        </is>
      </c>
      <c r="D95" s="114" t="inlineStr">
        <is>
          <t>21137</t>
        </is>
      </c>
      <c r="E95" s="114" t="inlineStr">
        <is>
          <t>BLACK RECORD COVER FRAME</t>
        </is>
      </c>
      <c r="F95" s="114" t="n">
        <v>480</v>
      </c>
      <c r="G95" s="115" t="n">
        <v>3.39</v>
      </c>
      <c r="H95" s="115" t="n">
        <v>1627.2</v>
      </c>
      <c r="I95" s="116" t="n">
        <v>40518</v>
      </c>
    </row>
    <row r="96">
      <c r="A96" s="117" t="inlineStr">
        <is>
          <t>537262</t>
        </is>
      </c>
      <c r="B96" s="117" t="n">
        <v>15039</v>
      </c>
      <c r="C96" s="117" t="inlineStr">
        <is>
          <t>United Kingdom</t>
        </is>
      </c>
      <c r="D96" s="117" t="inlineStr">
        <is>
          <t>85099B</t>
        </is>
      </c>
      <c r="E96" s="117" t="inlineStr">
        <is>
          <t>JUMBO BAG RED RETROSPOT</t>
        </is>
      </c>
      <c r="F96" s="117" t="n">
        <v>10</v>
      </c>
      <c r="G96" s="118" t="n">
        <v>1.95</v>
      </c>
      <c r="H96" s="118" t="n">
        <v>19.5</v>
      </c>
      <c r="I96" s="119" t="n">
        <v>40518</v>
      </c>
    </row>
    <row r="97">
      <c r="A97" s="114" t="inlineStr">
        <is>
          <t>537351</t>
        </is>
      </c>
      <c r="B97" s="114" t="n">
        <v>16898</v>
      </c>
      <c r="C97" s="114" t="inlineStr">
        <is>
          <t>United Kingdom</t>
        </is>
      </c>
      <c r="D97" s="114" t="inlineStr">
        <is>
          <t>22121</t>
        </is>
      </c>
      <c r="E97" s="114" t="inlineStr">
        <is>
          <t xml:space="preserve">NOEL WOODEN BLOCK LETTERS </t>
        </is>
      </c>
      <c r="F97" s="114" t="n">
        <v>1</v>
      </c>
      <c r="G97" s="115" t="n">
        <v>5.95</v>
      </c>
      <c r="H97" s="115" t="n">
        <v>5.95</v>
      </c>
      <c r="I97" s="116" t="n">
        <v>40518</v>
      </c>
    </row>
    <row r="98">
      <c r="A98" s="117" t="inlineStr">
        <is>
          <t>537354</t>
        </is>
      </c>
      <c r="B98" s="117" t="n">
        <v>12748</v>
      </c>
      <c r="C98" s="117" t="inlineStr">
        <is>
          <t>United Kingdom</t>
        </is>
      </c>
      <c r="D98" s="117" t="inlineStr">
        <is>
          <t>22356</t>
        </is>
      </c>
      <c r="E98" s="117" t="inlineStr">
        <is>
          <t>CHARLOTTE BAG PINK POLKADOT</t>
        </is>
      </c>
      <c r="F98" s="117" t="n">
        <v>2</v>
      </c>
      <c r="G98" s="118" t="n">
        <v>0.85</v>
      </c>
      <c r="H98" s="118" t="n">
        <v>1.7</v>
      </c>
      <c r="I98" s="119" t="n">
        <v>40518</v>
      </c>
    </row>
    <row r="99">
      <c r="A99" s="114" t="inlineStr">
        <is>
          <t>537372</t>
        </is>
      </c>
      <c r="B99" s="114" t="n">
        <v>16919</v>
      </c>
      <c r="C99" s="114" t="inlineStr">
        <is>
          <t>United Kingdom</t>
        </is>
      </c>
      <c r="D99" s="114" t="inlineStr">
        <is>
          <t>21818</t>
        </is>
      </c>
      <c r="E99" s="114" t="inlineStr">
        <is>
          <t xml:space="preserve">GLITTER CHRISTMAS HEART </t>
        </is>
      </c>
      <c r="F99" s="114" t="n">
        <v>4</v>
      </c>
      <c r="G99" s="115" t="n">
        <v>0.85</v>
      </c>
      <c r="H99" s="115" t="n">
        <v>3.4</v>
      </c>
      <c r="I99" s="116" t="n">
        <v>40518</v>
      </c>
    </row>
    <row r="100">
      <c r="A100" s="117" t="inlineStr">
        <is>
          <t>537372</t>
        </is>
      </c>
      <c r="B100" s="117" t="n">
        <v>16919</v>
      </c>
      <c r="C100" s="117" t="inlineStr">
        <is>
          <t>United Kingdom</t>
        </is>
      </c>
      <c r="D100" s="117" t="inlineStr">
        <is>
          <t>22158</t>
        </is>
      </c>
      <c r="E100" s="117" t="inlineStr">
        <is>
          <t>3 HEARTS HANGING DECORATION RUSTIC</t>
        </is>
      </c>
      <c r="F100" s="117" t="n">
        <v>5</v>
      </c>
      <c r="G100" s="118" t="n">
        <v>2.95</v>
      </c>
      <c r="H100" s="118" t="n">
        <v>14.75</v>
      </c>
      <c r="I100" s="119" t="n">
        <v>40518</v>
      </c>
    </row>
    <row r="101">
      <c r="A101" s="114" t="inlineStr">
        <is>
          <t>537375</t>
        </is>
      </c>
      <c r="B101" s="114" t="n">
        <v>17019</v>
      </c>
      <c r="C101" s="114" t="inlineStr">
        <is>
          <t>United Kingdom</t>
        </is>
      </c>
      <c r="D101" s="114" t="inlineStr">
        <is>
          <t>70007</t>
        </is>
      </c>
      <c r="E101" s="114" t="inlineStr">
        <is>
          <t>HI TEC ALPINE HAND WARMER</t>
        </is>
      </c>
      <c r="F101" s="114" t="n">
        <v>6</v>
      </c>
      <c r="G101" s="115" t="n">
        <v>1.65</v>
      </c>
      <c r="H101" s="115" t="n">
        <v>9.9</v>
      </c>
      <c r="I101" s="116" t="n">
        <v>40518</v>
      </c>
    </row>
    <row r="102">
      <c r="A102" s="117" t="inlineStr">
        <is>
          <t>537374</t>
        </is>
      </c>
      <c r="B102" s="117" t="n">
        <v>17259</v>
      </c>
      <c r="C102" s="117" t="inlineStr">
        <is>
          <t>United Kingdom</t>
        </is>
      </c>
      <c r="D102" s="117" t="inlineStr">
        <is>
          <t>79051A</t>
        </is>
      </c>
      <c r="E102" s="117" t="inlineStr">
        <is>
          <t>SMOKEY GREY COLOUR D.O.F. GLASS</t>
        </is>
      </c>
      <c r="F102" s="117" t="n">
        <v>4</v>
      </c>
      <c r="G102" s="118" t="n">
        <v>0.65</v>
      </c>
      <c r="H102" s="118" t="n">
        <v>2.6</v>
      </c>
      <c r="I102" s="119" t="n">
        <v>40518</v>
      </c>
    </row>
    <row r="103">
      <c r="A103" s="114" t="inlineStr">
        <is>
          <t>537377</t>
        </is>
      </c>
      <c r="B103" s="114" t="n">
        <v>15882</v>
      </c>
      <c r="C103" s="114" t="inlineStr">
        <is>
          <t>United Kingdom</t>
        </is>
      </c>
      <c r="D103" s="114" t="inlineStr">
        <is>
          <t>22866</t>
        </is>
      </c>
      <c r="E103" s="114" t="inlineStr">
        <is>
          <t>HAND WARMER SCOTTY DOG DESIGN</t>
        </is>
      </c>
      <c r="F103" s="114" t="n">
        <v>10</v>
      </c>
      <c r="G103" s="115" t="n">
        <v>2.1</v>
      </c>
      <c r="H103" s="115" t="n">
        <v>21</v>
      </c>
      <c r="I103" s="116" t="n">
        <v>40518</v>
      </c>
    </row>
    <row r="104">
      <c r="A104" s="117" t="inlineStr">
        <is>
          <t>537378</t>
        </is>
      </c>
      <c r="B104" s="117" t="n">
        <v>14911</v>
      </c>
      <c r="C104" s="117" t="inlineStr">
        <is>
          <t>EIRE</t>
        </is>
      </c>
      <c r="D104" s="117" t="inlineStr">
        <is>
          <t>22627</t>
        </is>
      </c>
      <c r="E104" s="117" t="inlineStr">
        <is>
          <t>MINT KITCHEN SCALES</t>
        </is>
      </c>
      <c r="F104" s="117" t="n">
        <v>6</v>
      </c>
      <c r="G104" s="118" t="n">
        <v>8.5</v>
      </c>
      <c r="H104" s="118" t="n">
        <v>51</v>
      </c>
      <c r="I104" s="119" t="n">
        <v>40518</v>
      </c>
    </row>
    <row r="105">
      <c r="A105" s="114" t="inlineStr">
        <is>
          <t>537382</t>
        </is>
      </c>
      <c r="B105" s="114" t="n">
        <v>16710</v>
      </c>
      <c r="C105" s="114" t="inlineStr">
        <is>
          <t>United Kingdom</t>
        </is>
      </c>
      <c r="D105" s="114" t="inlineStr">
        <is>
          <t>20668</t>
        </is>
      </c>
      <c r="E105" s="114" t="inlineStr">
        <is>
          <t>DISCO BALL CHRISTMAS DECORATION</t>
        </is>
      </c>
      <c r="F105" s="114" t="n">
        <v>24</v>
      </c>
      <c r="G105" s="115" t="n">
        <v>0.12</v>
      </c>
      <c r="H105" s="115" t="n">
        <v>2.88</v>
      </c>
      <c r="I105" s="116" t="n">
        <v>40518</v>
      </c>
    </row>
    <row r="106">
      <c r="A106" s="117" t="inlineStr">
        <is>
          <t>537385</t>
        </is>
      </c>
      <c r="B106" s="117" t="n">
        <v>14487</v>
      </c>
      <c r="C106" s="117" t="inlineStr">
        <is>
          <t>United Kingdom</t>
        </is>
      </c>
      <c r="D106" s="117" t="inlineStr">
        <is>
          <t>84378</t>
        </is>
      </c>
      <c r="E106" s="117" t="inlineStr">
        <is>
          <t>SET OF 3 HEART COOKIE CUTTERS</t>
        </is>
      </c>
      <c r="F106" s="117" t="n">
        <v>1</v>
      </c>
      <c r="G106" s="118" t="n">
        <v>1.25</v>
      </c>
      <c r="H106" s="118" t="n">
        <v>1.25</v>
      </c>
      <c r="I106" s="119" t="n">
        <v>40518</v>
      </c>
    </row>
    <row r="107">
      <c r="A107" s="114" t="inlineStr">
        <is>
          <t>537391</t>
        </is>
      </c>
      <c r="B107" s="114" t="n">
        <v>16550</v>
      </c>
      <c r="C107" s="114" t="inlineStr">
        <is>
          <t>United Kingdom</t>
        </is>
      </c>
      <c r="D107" s="114" t="inlineStr">
        <is>
          <t>22956</t>
        </is>
      </c>
      <c r="E107" s="114" t="inlineStr">
        <is>
          <t>36 FOIL HEART CAKE CASES</t>
        </is>
      </c>
      <c r="F107" s="114" t="n">
        <v>6</v>
      </c>
      <c r="G107" s="115" t="n">
        <v>2.1</v>
      </c>
      <c r="H107" s="115" t="n">
        <v>12.6</v>
      </c>
      <c r="I107" s="116" t="n">
        <v>40518</v>
      </c>
    </row>
    <row r="108">
      <c r="A108" s="117" t="inlineStr">
        <is>
          <t>537395</t>
        </is>
      </c>
      <c r="B108" s="117" t="n">
        <v>15356</v>
      </c>
      <c r="C108" s="117" t="inlineStr">
        <is>
          <t>United Kingdom</t>
        </is>
      </c>
      <c r="D108" s="117" t="inlineStr">
        <is>
          <t>22632</t>
        </is>
      </c>
      <c r="E108" s="117" t="inlineStr">
        <is>
          <t>HAND WARMER RED RETROSPOT</t>
        </is>
      </c>
      <c r="F108" s="117" t="n">
        <v>1</v>
      </c>
      <c r="G108" s="118" t="n">
        <v>2.1</v>
      </c>
      <c r="H108" s="118" t="n">
        <v>2.1</v>
      </c>
      <c r="I108" s="119" t="n">
        <v>40518</v>
      </c>
    </row>
    <row r="109">
      <c r="A109" s="114" t="inlineStr">
        <is>
          <t>537397</t>
        </is>
      </c>
      <c r="B109" s="114" t="n">
        <v>16817</v>
      </c>
      <c r="C109" s="114" t="inlineStr">
        <is>
          <t>United Kingdom</t>
        </is>
      </c>
      <c r="D109" s="114" t="inlineStr">
        <is>
          <t>22867</t>
        </is>
      </c>
      <c r="E109" s="114" t="inlineStr">
        <is>
          <t>HAND WARMER BIRD DESIGN</t>
        </is>
      </c>
      <c r="F109" s="114" t="n">
        <v>12</v>
      </c>
      <c r="G109" s="115" t="n">
        <v>2.1</v>
      </c>
      <c r="H109" s="115" t="n">
        <v>25.2</v>
      </c>
      <c r="I109" s="116" t="n">
        <v>40518</v>
      </c>
    </row>
    <row r="110">
      <c r="A110" s="117" t="inlineStr">
        <is>
          <t>537399</t>
        </is>
      </c>
      <c r="B110" s="117" t="n">
        <v>13030</v>
      </c>
      <c r="C110" s="117" t="inlineStr">
        <is>
          <t>United Kingdom</t>
        </is>
      </c>
      <c r="D110" s="117" t="inlineStr">
        <is>
          <t>21784</t>
        </is>
      </c>
      <c r="E110" s="117" t="inlineStr">
        <is>
          <t xml:space="preserve">SHOE SHINE BOX </t>
        </is>
      </c>
      <c r="F110" s="117" t="n">
        <v>1</v>
      </c>
      <c r="G110" s="118" t="n">
        <v>9.949999999999999</v>
      </c>
      <c r="H110" s="118" t="n">
        <v>9.949999999999999</v>
      </c>
      <c r="I110" s="119" t="n">
        <v>40518</v>
      </c>
    </row>
    <row r="111">
      <c r="A111" s="114" t="inlineStr">
        <is>
          <t>537405</t>
        </is>
      </c>
      <c r="B111" s="114" t="n">
        <v>17841</v>
      </c>
      <c r="C111" s="114" t="inlineStr">
        <is>
          <t>United Kingdom</t>
        </is>
      </c>
      <c r="D111" s="114" t="inlineStr">
        <is>
          <t>85045</t>
        </is>
      </c>
      <c r="E111" s="114" t="inlineStr">
        <is>
          <t>GREEN CHRISTMAS TREE STRING 20LIGHT</t>
        </is>
      </c>
      <c r="F111" s="114" t="n">
        <v>1</v>
      </c>
      <c r="G111" s="115" t="n">
        <v>4.95</v>
      </c>
      <c r="H111" s="115" t="n">
        <v>4.95</v>
      </c>
      <c r="I111" s="116" t="n">
        <v>40518</v>
      </c>
    </row>
    <row r="112">
      <c r="A112" s="117" t="inlineStr">
        <is>
          <t>537405</t>
        </is>
      </c>
      <c r="B112" s="117" t="n">
        <v>17841</v>
      </c>
      <c r="C112" s="117" t="inlineStr">
        <is>
          <t>United Kingdom</t>
        </is>
      </c>
      <c r="D112" s="117" t="inlineStr">
        <is>
          <t>20668</t>
        </is>
      </c>
      <c r="E112" s="117" t="inlineStr">
        <is>
          <t>DISCO BALL CHRISTMAS DECORATION</t>
        </is>
      </c>
      <c r="F112" s="117" t="n">
        <v>24</v>
      </c>
      <c r="G112" s="118" t="n">
        <v>0.12</v>
      </c>
      <c r="H112" s="118" t="n">
        <v>2.88</v>
      </c>
      <c r="I112" s="119" t="n">
        <v>40518</v>
      </c>
    </row>
    <row r="113">
      <c r="A113" s="114" t="inlineStr">
        <is>
          <t>537419</t>
        </is>
      </c>
      <c r="B113" s="114" t="n">
        <v>13495</v>
      </c>
      <c r="C113" s="114" t="inlineStr">
        <is>
          <t>United Kingdom</t>
        </is>
      </c>
      <c r="D113" s="114" t="inlineStr">
        <is>
          <t>22189</t>
        </is>
      </c>
      <c r="E113" s="114" t="inlineStr">
        <is>
          <t>CREAM HEART CARD HOLDER</t>
        </is>
      </c>
      <c r="F113" s="114" t="n">
        <v>8</v>
      </c>
      <c r="G113" s="115" t="n">
        <v>3.95</v>
      </c>
      <c r="H113" s="115" t="n">
        <v>31.6</v>
      </c>
      <c r="I113" s="116" t="n">
        <v>40518</v>
      </c>
    </row>
    <row r="114">
      <c r="A114" s="117" t="inlineStr">
        <is>
          <t>537420</t>
        </is>
      </c>
      <c r="B114" s="117" t="n">
        <v>17519</v>
      </c>
      <c r="C114" s="117" t="inlineStr">
        <is>
          <t>United Kingdom</t>
        </is>
      </c>
      <c r="D114" s="117" t="inlineStr">
        <is>
          <t>22942</t>
        </is>
      </c>
      <c r="E114" s="117" t="inlineStr">
        <is>
          <t xml:space="preserve">CHRISTMAS LIGHTS 10 SANTAS </t>
        </is>
      </c>
      <c r="F114" s="117" t="n">
        <v>2</v>
      </c>
      <c r="G114" s="118" t="n">
        <v>8.5</v>
      </c>
      <c r="H114" s="118" t="n">
        <v>17</v>
      </c>
      <c r="I114" s="119" t="n">
        <v>40518</v>
      </c>
    </row>
    <row r="115">
      <c r="A115" s="114" t="inlineStr">
        <is>
          <t>537446</t>
        </is>
      </c>
      <c r="B115" s="114" t="n">
        <v>18055</v>
      </c>
      <c r="C115" s="114" t="inlineStr">
        <is>
          <t>United Kingdom</t>
        </is>
      </c>
      <c r="D115" s="114" t="inlineStr">
        <is>
          <t>72819</t>
        </is>
      </c>
      <c r="E115" s="114" t="inlineStr">
        <is>
          <t>CUPID DESIGN SCENTED CANDLES</t>
        </is>
      </c>
      <c r="F115" s="114" t="n">
        <v>6</v>
      </c>
      <c r="G115" s="115" t="n">
        <v>2.55</v>
      </c>
      <c r="H115" s="115" t="n">
        <v>15.3</v>
      </c>
      <c r="I115" s="116" t="n">
        <v>40519</v>
      </c>
    </row>
    <row r="116">
      <c r="A116" s="117" t="inlineStr">
        <is>
          <t>537489</t>
        </is>
      </c>
      <c r="B116" s="117" t="n">
        <v>17017</v>
      </c>
      <c r="C116" s="117" t="inlineStr">
        <is>
          <t>United Kingdom</t>
        </is>
      </c>
      <c r="D116" s="117" t="inlineStr">
        <is>
          <t>22556</t>
        </is>
      </c>
      <c r="E116" s="117" t="inlineStr">
        <is>
          <t xml:space="preserve">PLASTERS IN TIN CIRCUS PARADE </t>
        </is>
      </c>
      <c r="F116" s="117" t="n">
        <v>12</v>
      </c>
      <c r="G116" s="118" t="n">
        <v>1.65</v>
      </c>
      <c r="H116" s="118" t="n">
        <v>19.8</v>
      </c>
      <c r="I116" s="119" t="n">
        <v>40519</v>
      </c>
    </row>
    <row r="117">
      <c r="A117" s="114" t="inlineStr">
        <is>
          <t>537523</t>
        </is>
      </c>
      <c r="B117" s="114" t="n">
        <v>14176</v>
      </c>
      <c r="C117" s="114" t="inlineStr">
        <is>
          <t>United Kingdom</t>
        </is>
      </c>
      <c r="D117" s="114" t="inlineStr">
        <is>
          <t>22968</t>
        </is>
      </c>
      <c r="E117" s="114" t="inlineStr">
        <is>
          <t xml:space="preserve">ROSE COTTAGE KEEPSAKE BOX </t>
        </is>
      </c>
      <c r="F117" s="114" t="n">
        <v>2</v>
      </c>
      <c r="G117" s="115" t="n">
        <v>9.949999999999999</v>
      </c>
      <c r="H117" s="115" t="n">
        <v>19.9</v>
      </c>
      <c r="I117" s="116" t="n">
        <v>40519</v>
      </c>
    </row>
    <row r="118">
      <c r="A118" s="117" t="inlineStr">
        <is>
          <t>537595</t>
        </is>
      </c>
      <c r="B118" s="117" t="n">
        <v>13569</v>
      </c>
      <c r="C118" s="117" t="inlineStr">
        <is>
          <t>United Kingdom</t>
        </is>
      </c>
      <c r="D118" s="117" t="inlineStr">
        <is>
          <t>21287</t>
        </is>
      </c>
      <c r="E118" s="117" t="inlineStr">
        <is>
          <t xml:space="preserve">SCENTED VELVET LOUNGE CANDLE </t>
        </is>
      </c>
      <c r="F118" s="117" t="n">
        <v>3</v>
      </c>
      <c r="G118" s="118" t="n">
        <v>1.25</v>
      </c>
      <c r="H118" s="118" t="n">
        <v>3.75</v>
      </c>
      <c r="I118" s="119" t="n">
        <v>40519</v>
      </c>
    </row>
    <row r="119">
      <c r="A119" s="114" t="inlineStr">
        <is>
          <t>537604</t>
        </is>
      </c>
      <c r="B119" s="114" t="n">
        <v>13488</v>
      </c>
      <c r="C119" s="114" t="inlineStr">
        <is>
          <t>United Kingdom</t>
        </is>
      </c>
      <c r="D119" s="114" t="inlineStr">
        <is>
          <t>22305</t>
        </is>
      </c>
      <c r="E119" s="114" t="inlineStr">
        <is>
          <t>COFFEE MUG PINK PAISLEY DESIGN</t>
        </is>
      </c>
      <c r="F119" s="114" t="n">
        <v>12</v>
      </c>
      <c r="G119" s="115" t="n">
        <v>2.55</v>
      </c>
      <c r="H119" s="115" t="n">
        <v>30.6</v>
      </c>
      <c r="I119" s="116" t="n">
        <v>40519</v>
      </c>
    </row>
    <row r="120">
      <c r="A120" s="117" t="inlineStr">
        <is>
          <t>537609</t>
        </is>
      </c>
      <c r="B120" s="117" t="n">
        <v>17675</v>
      </c>
      <c r="C120" s="117" t="inlineStr">
        <is>
          <t>United Kingdom</t>
        </is>
      </c>
      <c r="D120" s="117" t="inlineStr">
        <is>
          <t>22730</t>
        </is>
      </c>
      <c r="E120" s="117" t="inlineStr">
        <is>
          <t>ALARM CLOCK BAKELIKE IVORY</t>
        </is>
      </c>
      <c r="F120" s="117" t="n">
        <v>8</v>
      </c>
      <c r="G120" s="118" t="n">
        <v>3.75</v>
      </c>
      <c r="H120" s="118" t="n">
        <v>30</v>
      </c>
      <c r="I120" s="119" t="n">
        <v>40519</v>
      </c>
    </row>
    <row r="121">
      <c r="A121" s="114" t="inlineStr">
        <is>
          <t>537609</t>
        </is>
      </c>
      <c r="B121" s="114" t="n">
        <v>17675</v>
      </c>
      <c r="C121" s="114" t="inlineStr">
        <is>
          <t>United Kingdom</t>
        </is>
      </c>
      <c r="D121" s="114" t="inlineStr">
        <is>
          <t>22867</t>
        </is>
      </c>
      <c r="E121" s="114" t="inlineStr">
        <is>
          <t>HAND WARMER BIRD DESIGN</t>
        </is>
      </c>
      <c r="F121" s="114" t="n">
        <v>36</v>
      </c>
      <c r="G121" s="115" t="n">
        <v>2.1</v>
      </c>
      <c r="H121" s="115" t="n">
        <v>75.59999999999999</v>
      </c>
      <c r="I121" s="116" t="n">
        <v>40519</v>
      </c>
    </row>
    <row r="122">
      <c r="A122" s="117" t="inlineStr">
        <is>
          <t>537614</t>
        </is>
      </c>
      <c r="B122" s="117" t="n">
        <v>16904</v>
      </c>
      <c r="C122" s="117" t="inlineStr">
        <is>
          <t>United Kingdom</t>
        </is>
      </c>
      <c r="D122" s="117" t="inlineStr">
        <is>
          <t>22867</t>
        </is>
      </c>
      <c r="E122" s="117" t="inlineStr">
        <is>
          <t>HAND WARMER BIRD DESIGN</t>
        </is>
      </c>
      <c r="F122" s="117" t="n">
        <v>18</v>
      </c>
      <c r="G122" s="118" t="n">
        <v>2.1</v>
      </c>
      <c r="H122" s="118" t="n">
        <v>37.8</v>
      </c>
      <c r="I122" s="119" t="n">
        <v>40519</v>
      </c>
    </row>
    <row r="123">
      <c r="A123" s="114" t="inlineStr">
        <is>
          <t>537620</t>
        </is>
      </c>
      <c r="B123" s="114" t="n">
        <v>13880</v>
      </c>
      <c r="C123" s="114" t="inlineStr">
        <is>
          <t>United Kingdom</t>
        </is>
      </c>
      <c r="D123" s="114" t="inlineStr">
        <is>
          <t>22792</t>
        </is>
      </c>
      <c r="E123" s="114" t="inlineStr">
        <is>
          <t>FLUTED ANTIQUE CANDLE HOLDER</t>
        </is>
      </c>
      <c r="F123" s="114" t="n">
        <v>12</v>
      </c>
      <c r="G123" s="115" t="n">
        <v>0.85</v>
      </c>
      <c r="H123" s="115" t="n">
        <v>10.2</v>
      </c>
      <c r="I123" s="116" t="n">
        <v>40519</v>
      </c>
    </row>
    <row r="124">
      <c r="A124" s="117" t="inlineStr">
        <is>
          <t>537623</t>
        </is>
      </c>
      <c r="B124" s="117" t="n">
        <v>15858</v>
      </c>
      <c r="C124" s="117" t="inlineStr">
        <is>
          <t>United Kingdom</t>
        </is>
      </c>
      <c r="D124" s="117" t="inlineStr">
        <is>
          <t>22439</t>
        </is>
      </c>
      <c r="E124" s="117" t="inlineStr">
        <is>
          <t xml:space="preserve">6 ROCKET BALLOONS </t>
        </is>
      </c>
      <c r="F124" s="117" t="n">
        <v>2</v>
      </c>
      <c r="G124" s="118" t="n">
        <v>0.65</v>
      </c>
      <c r="H124" s="118" t="n">
        <v>1.3</v>
      </c>
      <c r="I124" s="119" t="n">
        <v>40519</v>
      </c>
    </row>
    <row r="125">
      <c r="A125" s="114" t="inlineStr">
        <is>
          <t>537634</t>
        </is>
      </c>
      <c r="B125" s="114" t="n">
        <v>16775</v>
      </c>
      <c r="C125" s="114" t="inlineStr">
        <is>
          <t>United Kingdom</t>
        </is>
      </c>
      <c r="D125" s="114" t="inlineStr">
        <is>
          <t>22118</t>
        </is>
      </c>
      <c r="E125" s="114" t="inlineStr">
        <is>
          <t>JOY WOODEN BLOCK LETTERS</t>
        </is>
      </c>
      <c r="F125" s="114" t="n">
        <v>1</v>
      </c>
      <c r="G125" s="115" t="n">
        <v>4.95</v>
      </c>
      <c r="H125" s="115" t="n">
        <v>4.95</v>
      </c>
      <c r="I125" s="116" t="n">
        <v>40519</v>
      </c>
    </row>
    <row r="126">
      <c r="A126" s="117" t="inlineStr">
        <is>
          <t>537646</t>
        </is>
      </c>
      <c r="B126" s="117" t="n">
        <v>17591</v>
      </c>
      <c r="C126" s="117" t="inlineStr">
        <is>
          <t>United Kingdom</t>
        </is>
      </c>
      <c r="D126" s="117" t="inlineStr">
        <is>
          <t>21114</t>
        </is>
      </c>
      <c r="E126" s="117" t="inlineStr">
        <is>
          <t>LAVENDER SCENTED FABRIC HEART</t>
        </is>
      </c>
      <c r="F126" s="117" t="n">
        <v>5</v>
      </c>
      <c r="G126" s="118" t="n">
        <v>1.25</v>
      </c>
      <c r="H126" s="118" t="n">
        <v>6.25</v>
      </c>
      <c r="I126" s="119" t="n">
        <v>40519</v>
      </c>
    </row>
    <row r="127">
      <c r="A127" s="114" t="inlineStr">
        <is>
          <t>537646</t>
        </is>
      </c>
      <c r="B127" s="114" t="n">
        <v>17591</v>
      </c>
      <c r="C127" s="114" t="inlineStr">
        <is>
          <t>United Kingdom</t>
        </is>
      </c>
      <c r="D127" s="114" t="inlineStr">
        <is>
          <t>22585</t>
        </is>
      </c>
      <c r="E127" s="114" t="inlineStr">
        <is>
          <t>PACK OF 6 BIRDY GIFT TAGS</t>
        </is>
      </c>
      <c r="F127" s="114" t="n">
        <v>1</v>
      </c>
      <c r="G127" s="115" t="n">
        <v>1.25</v>
      </c>
      <c r="H127" s="115" t="n">
        <v>1.25</v>
      </c>
      <c r="I127" s="116" t="n">
        <v>40519</v>
      </c>
    </row>
    <row r="128">
      <c r="A128" s="117" t="inlineStr">
        <is>
          <t>537649</t>
        </is>
      </c>
      <c r="B128" s="117" t="n">
        <v>13807</v>
      </c>
      <c r="C128" s="117" t="inlineStr">
        <is>
          <t>United Kingdom</t>
        </is>
      </c>
      <c r="D128" s="117" t="inlineStr">
        <is>
          <t>22469</t>
        </is>
      </c>
      <c r="E128" s="117" t="inlineStr">
        <is>
          <t>HEART OF WICKER SMALL</t>
        </is>
      </c>
      <c r="F128" s="117" t="n">
        <v>12</v>
      </c>
      <c r="G128" s="118" t="n">
        <v>1.65</v>
      </c>
      <c r="H128" s="118" t="n">
        <v>19.8</v>
      </c>
      <c r="I128" s="119" t="n">
        <v>40519</v>
      </c>
    </row>
    <row r="129">
      <c r="A129" s="114" t="inlineStr">
        <is>
          <t>537653</t>
        </is>
      </c>
      <c r="B129" s="114" t="n">
        <v>17897</v>
      </c>
      <c r="C129" s="114" t="inlineStr">
        <is>
          <t>United Kingdom</t>
        </is>
      </c>
      <c r="D129" s="114" t="inlineStr">
        <is>
          <t>84596J</t>
        </is>
      </c>
      <c r="E129" s="114" t="inlineStr">
        <is>
          <t>MIXED NUTS LIGHT GREEN BOWL</t>
        </is>
      </c>
      <c r="F129" s="114" t="n">
        <v>1</v>
      </c>
      <c r="G129" s="115" t="n">
        <v>1.25</v>
      </c>
      <c r="H129" s="115" t="n">
        <v>1.25</v>
      </c>
      <c r="I129" s="116" t="n">
        <v>40519</v>
      </c>
    </row>
    <row r="130">
      <c r="A130" s="117" t="inlineStr">
        <is>
          <t>537653</t>
        </is>
      </c>
      <c r="B130" s="117" t="n">
        <v>17897</v>
      </c>
      <c r="C130" s="117" t="inlineStr">
        <is>
          <t>United Kingdom</t>
        </is>
      </c>
      <c r="D130" s="117" t="inlineStr">
        <is>
          <t>22727</t>
        </is>
      </c>
      <c r="E130" s="117" t="inlineStr">
        <is>
          <t xml:space="preserve">ALARM CLOCK BAKELIKE RED </t>
        </is>
      </c>
      <c r="F130" s="117" t="n">
        <v>1</v>
      </c>
      <c r="G130" s="118" t="n">
        <v>3.75</v>
      </c>
      <c r="H130" s="118" t="n">
        <v>3.75</v>
      </c>
      <c r="I130" s="119" t="n">
        <v>40519</v>
      </c>
    </row>
    <row r="131">
      <c r="A131" s="114" t="inlineStr">
        <is>
          <t>537658</t>
        </is>
      </c>
      <c r="B131" s="114" t="n">
        <v>18102</v>
      </c>
      <c r="C131" s="114" t="inlineStr">
        <is>
          <t>United Kingdom</t>
        </is>
      </c>
      <c r="D131" s="114" t="inlineStr">
        <is>
          <t>22188</t>
        </is>
      </c>
      <c r="E131" s="114" t="inlineStr">
        <is>
          <t>BLACK HEART CARD HOLDER</t>
        </is>
      </c>
      <c r="F131" s="114" t="n">
        <v>36</v>
      </c>
      <c r="G131" s="115" t="n">
        <v>2.31</v>
      </c>
      <c r="H131" s="115" t="n">
        <v>83.16</v>
      </c>
      <c r="I131" s="116" t="n">
        <v>40519</v>
      </c>
    </row>
    <row r="132">
      <c r="A132" s="117" t="inlineStr">
        <is>
          <t>537672</t>
        </is>
      </c>
      <c r="B132" s="117" t="n">
        <v>13050</v>
      </c>
      <c r="C132" s="117" t="inlineStr">
        <is>
          <t>United Kingdom</t>
        </is>
      </c>
      <c r="D132" s="117" t="inlineStr">
        <is>
          <t>21908</t>
        </is>
      </c>
      <c r="E132" s="117" t="inlineStr">
        <is>
          <t>CHOCOLATE THIS WAY METAL SIGN</t>
        </is>
      </c>
      <c r="F132" s="117" t="n">
        <v>12</v>
      </c>
      <c r="G132" s="118" t="n">
        <v>2.1</v>
      </c>
      <c r="H132" s="118" t="n">
        <v>25.2</v>
      </c>
      <c r="I132" s="119" t="n">
        <v>40520</v>
      </c>
    </row>
    <row r="133">
      <c r="A133" s="114" t="inlineStr">
        <is>
          <t>537674</t>
        </is>
      </c>
      <c r="B133" s="114" t="n">
        <v>15628</v>
      </c>
      <c r="C133" s="114" t="inlineStr">
        <is>
          <t>United Kingdom</t>
        </is>
      </c>
      <c r="D133" s="114" t="inlineStr">
        <is>
          <t>20971</t>
        </is>
      </c>
      <c r="E133" s="114" t="inlineStr">
        <is>
          <t>PINK BLUE FELT CRAFT TRINKET BOX</t>
        </is>
      </c>
      <c r="F133" s="114" t="n">
        <v>12</v>
      </c>
      <c r="G133" s="115" t="n">
        <v>1.25</v>
      </c>
      <c r="H133" s="115" t="n">
        <v>15</v>
      </c>
      <c r="I133" s="116" t="n">
        <v>40520</v>
      </c>
    </row>
    <row r="134">
      <c r="A134" s="117" t="inlineStr">
        <is>
          <t>537688</t>
        </is>
      </c>
      <c r="B134" s="117" t="n">
        <v>17406</v>
      </c>
      <c r="C134" s="117" t="inlineStr">
        <is>
          <t>United Kingdom</t>
        </is>
      </c>
      <c r="D134" s="117" t="inlineStr">
        <is>
          <t>21175</t>
        </is>
      </c>
      <c r="E134" s="117" t="inlineStr">
        <is>
          <t>GIN + TONIC DIET METAL SIGN</t>
        </is>
      </c>
      <c r="F134" s="117" t="n">
        <v>24</v>
      </c>
      <c r="G134" s="118" t="n">
        <v>2.1</v>
      </c>
      <c r="H134" s="118" t="n">
        <v>50.4</v>
      </c>
      <c r="I134" s="119" t="n">
        <v>40520</v>
      </c>
    </row>
    <row r="135">
      <c r="A135" s="114" t="inlineStr">
        <is>
          <t>537690</t>
        </is>
      </c>
      <c r="B135" s="114" t="n">
        <v>13983</v>
      </c>
      <c r="C135" s="114" t="inlineStr">
        <is>
          <t>United Kingdom</t>
        </is>
      </c>
      <c r="D135" s="114" t="inlineStr">
        <is>
          <t>22112</t>
        </is>
      </c>
      <c r="E135" s="114" t="inlineStr">
        <is>
          <t>CHOCOLATE HOT WATER BOTTLE</t>
        </is>
      </c>
      <c r="F135" s="114" t="n">
        <v>12</v>
      </c>
      <c r="G135" s="115" t="n">
        <v>4.95</v>
      </c>
      <c r="H135" s="115" t="n">
        <v>59.4</v>
      </c>
      <c r="I135" s="116" t="n">
        <v>40520</v>
      </c>
    </row>
    <row r="136">
      <c r="A136" s="117" t="inlineStr">
        <is>
          <t>537758</t>
        </is>
      </c>
      <c r="B136" s="117" t="n">
        <v>16122</v>
      </c>
      <c r="C136" s="117" t="inlineStr">
        <is>
          <t>United Kingdom</t>
        </is>
      </c>
      <c r="D136" s="117" t="inlineStr">
        <is>
          <t>84536B</t>
        </is>
      </c>
      <c r="E136" s="117" t="inlineStr">
        <is>
          <t>FAIRY CAKES NOTEBOOK A7 SIZE</t>
        </is>
      </c>
      <c r="F136" s="117" t="n">
        <v>16</v>
      </c>
      <c r="G136" s="118" t="n">
        <v>0.42</v>
      </c>
      <c r="H136" s="118" t="n">
        <v>6.72</v>
      </c>
      <c r="I136" s="119" t="n">
        <v>40520</v>
      </c>
    </row>
    <row r="137">
      <c r="A137" s="114" t="inlineStr">
        <is>
          <t>537762</t>
        </is>
      </c>
      <c r="B137" s="114" t="n">
        <v>16558</v>
      </c>
      <c r="C137" s="114" t="inlineStr">
        <is>
          <t>United Kingdom</t>
        </is>
      </c>
      <c r="D137" s="114" t="inlineStr">
        <is>
          <t>22835</t>
        </is>
      </c>
      <c r="E137" s="114" t="inlineStr">
        <is>
          <t>HOT WATER BOTTLE I AM SO POORLY</t>
        </is>
      </c>
      <c r="F137" s="114" t="n">
        <v>4</v>
      </c>
      <c r="G137" s="115" t="n">
        <v>4.65</v>
      </c>
      <c r="H137" s="115" t="n">
        <v>18.6</v>
      </c>
      <c r="I137" s="116" t="n">
        <v>40520</v>
      </c>
    </row>
    <row r="138">
      <c r="A138" s="117" t="inlineStr">
        <is>
          <t>537762</t>
        </is>
      </c>
      <c r="B138" s="117" t="n">
        <v>16558</v>
      </c>
      <c r="C138" s="117" t="inlineStr">
        <is>
          <t>United Kingdom</t>
        </is>
      </c>
      <c r="D138" s="117" t="inlineStr">
        <is>
          <t>22310</t>
        </is>
      </c>
      <c r="E138" s="117" t="inlineStr">
        <is>
          <t xml:space="preserve">IVORY KNITTED MUG COSY </t>
        </is>
      </c>
      <c r="F138" s="117" t="n">
        <v>6</v>
      </c>
      <c r="G138" s="118" t="n">
        <v>1.65</v>
      </c>
      <c r="H138" s="118" t="n">
        <v>9.9</v>
      </c>
      <c r="I138" s="119" t="n">
        <v>40520</v>
      </c>
    </row>
    <row r="139">
      <c r="A139" s="114" t="inlineStr">
        <is>
          <t>537762</t>
        </is>
      </c>
      <c r="B139" s="114" t="n">
        <v>16558</v>
      </c>
      <c r="C139" s="114" t="inlineStr">
        <is>
          <t>United Kingdom</t>
        </is>
      </c>
      <c r="D139" s="114" t="inlineStr">
        <is>
          <t>84970S</t>
        </is>
      </c>
      <c r="E139" s="114" t="inlineStr">
        <is>
          <t>HANGING HEART ZINC T-LIGHT HOLDER</t>
        </is>
      </c>
      <c r="F139" s="114" t="n">
        <v>12</v>
      </c>
      <c r="G139" s="115" t="n">
        <v>0.85</v>
      </c>
      <c r="H139" s="115" t="n">
        <v>10.2</v>
      </c>
      <c r="I139" s="116" t="n">
        <v>40520</v>
      </c>
    </row>
    <row r="140">
      <c r="A140" s="117" t="inlineStr">
        <is>
          <t>537765</t>
        </is>
      </c>
      <c r="B140" s="117" t="n">
        <v>14606</v>
      </c>
      <c r="C140" s="117" t="inlineStr">
        <is>
          <t>United Kingdom</t>
        </is>
      </c>
      <c r="D140" s="117" t="inlineStr">
        <is>
          <t>22119</t>
        </is>
      </c>
      <c r="E140" s="117" t="inlineStr">
        <is>
          <t>PEACE WOODEN BLOCK LETTERS</t>
        </is>
      </c>
      <c r="F140" s="117" t="n">
        <v>1</v>
      </c>
      <c r="G140" s="118" t="n">
        <v>6.95</v>
      </c>
      <c r="H140" s="118" t="n">
        <v>6.95</v>
      </c>
      <c r="I140" s="119" t="n">
        <v>40520</v>
      </c>
    </row>
    <row r="141">
      <c r="A141" s="114" t="inlineStr">
        <is>
          <t>537769</t>
        </is>
      </c>
      <c r="B141" s="114" t="n">
        <v>15021</v>
      </c>
      <c r="C141" s="114" t="inlineStr">
        <is>
          <t>United Kingdom</t>
        </is>
      </c>
      <c r="D141" s="114" t="inlineStr">
        <is>
          <t>22156</t>
        </is>
      </c>
      <c r="E141" s="114" t="inlineStr">
        <is>
          <t xml:space="preserve">HEART DECORATION WITH PEARLS </t>
        </is>
      </c>
      <c r="F141" s="114" t="n">
        <v>2</v>
      </c>
      <c r="G141" s="115" t="n">
        <v>0.85</v>
      </c>
      <c r="H141" s="115" t="n">
        <v>1.7</v>
      </c>
      <c r="I141" s="116" t="n">
        <v>40520</v>
      </c>
    </row>
    <row r="142">
      <c r="A142" s="117" t="inlineStr">
        <is>
          <t>537769</t>
        </is>
      </c>
      <c r="B142" s="117" t="n">
        <v>15021</v>
      </c>
      <c r="C142" s="117" t="inlineStr">
        <is>
          <t>United Kingdom</t>
        </is>
      </c>
      <c r="D142" s="117" t="inlineStr">
        <is>
          <t>22157</t>
        </is>
      </c>
      <c r="E142" s="117" t="inlineStr">
        <is>
          <t>ANGEL DECORATION WITH LACE PADDED</t>
        </is>
      </c>
      <c r="F142" s="117" t="n">
        <v>3</v>
      </c>
      <c r="G142" s="118" t="n">
        <v>0.85</v>
      </c>
      <c r="H142" s="118" t="n">
        <v>2.55</v>
      </c>
      <c r="I142" s="119" t="n">
        <v>40520</v>
      </c>
    </row>
    <row r="143">
      <c r="A143" s="114" t="inlineStr">
        <is>
          <t>537781</t>
        </is>
      </c>
      <c r="B143" s="114" t="n">
        <v>17341</v>
      </c>
      <c r="C143" s="114" t="inlineStr">
        <is>
          <t>United Kingdom</t>
        </is>
      </c>
      <c r="D143" s="114" t="inlineStr">
        <is>
          <t>22144</t>
        </is>
      </c>
      <c r="E143" s="114" t="inlineStr">
        <is>
          <t>CHRISTMAS CRAFT LITTLE FRIENDS</t>
        </is>
      </c>
      <c r="F143" s="114" t="n">
        <v>2</v>
      </c>
      <c r="G143" s="115" t="n">
        <v>2.1</v>
      </c>
      <c r="H143" s="115" t="n">
        <v>4.2</v>
      </c>
      <c r="I143" s="116" t="n">
        <v>40520</v>
      </c>
    </row>
    <row r="144">
      <c r="A144" s="117" t="inlineStr">
        <is>
          <t>537789</t>
        </is>
      </c>
      <c r="B144" s="117" t="n">
        <v>14051</v>
      </c>
      <c r="C144" s="117" t="inlineStr">
        <is>
          <t>United Kingdom</t>
        </is>
      </c>
      <c r="D144" s="117" t="inlineStr">
        <is>
          <t>22777</t>
        </is>
      </c>
      <c r="E144" s="117" t="inlineStr">
        <is>
          <t>GLASS CLOCHE LARGE</t>
        </is>
      </c>
      <c r="F144" s="117" t="n">
        <v>4</v>
      </c>
      <c r="G144" s="118" t="n">
        <v>8.5</v>
      </c>
      <c r="H144" s="118" t="n">
        <v>34</v>
      </c>
      <c r="I144" s="119" t="n">
        <v>40520</v>
      </c>
    </row>
    <row r="145">
      <c r="A145" s="114" t="inlineStr">
        <is>
          <t>537794</t>
        </is>
      </c>
      <c r="B145" s="114" t="n">
        <v>16713</v>
      </c>
      <c r="C145" s="114" t="inlineStr">
        <is>
          <t>United Kingdom</t>
        </is>
      </c>
      <c r="D145" s="114" t="inlineStr">
        <is>
          <t>22110</t>
        </is>
      </c>
      <c r="E145" s="114" t="inlineStr">
        <is>
          <t>BIRD HOUSE HOT WATER BOTTLE</t>
        </is>
      </c>
      <c r="F145" s="114" t="n">
        <v>2</v>
      </c>
      <c r="G145" s="115" t="n">
        <v>2.55</v>
      </c>
      <c r="H145" s="115" t="n">
        <v>5.1</v>
      </c>
      <c r="I145" s="116" t="n">
        <v>40520</v>
      </c>
    </row>
    <row r="146">
      <c r="A146" s="117" t="inlineStr">
        <is>
          <t>537794</t>
        </is>
      </c>
      <c r="B146" s="117" t="n">
        <v>16713</v>
      </c>
      <c r="C146" s="117" t="inlineStr">
        <is>
          <t>United Kingdom</t>
        </is>
      </c>
      <c r="D146" s="117" t="inlineStr">
        <is>
          <t>22983</t>
        </is>
      </c>
      <c r="E146" s="117" t="inlineStr">
        <is>
          <t>CARD BILLBOARD FONT</t>
        </is>
      </c>
      <c r="F146" s="117" t="n">
        <v>12</v>
      </c>
      <c r="G146" s="118" t="n">
        <v>0.42</v>
      </c>
      <c r="H146" s="118" t="n">
        <v>5.04</v>
      </c>
      <c r="I146" s="119" t="n">
        <v>40520</v>
      </c>
    </row>
    <row r="147">
      <c r="A147" s="114" t="inlineStr">
        <is>
          <t>537822</t>
        </is>
      </c>
      <c r="B147" s="114" t="n">
        <v>13523</v>
      </c>
      <c r="C147" s="114" t="inlineStr">
        <is>
          <t>United Kingdom</t>
        </is>
      </c>
      <c r="D147" s="114" t="inlineStr">
        <is>
          <t>21537</t>
        </is>
      </c>
      <c r="E147" s="114" t="inlineStr">
        <is>
          <t>RED RETROSPOT PUDDING BOWL</t>
        </is>
      </c>
      <c r="F147" s="114" t="n">
        <v>4</v>
      </c>
      <c r="G147" s="115" t="n">
        <v>4.25</v>
      </c>
      <c r="H147" s="115" t="n">
        <v>17</v>
      </c>
      <c r="I147" s="116" t="n">
        <v>40520</v>
      </c>
    </row>
    <row r="148">
      <c r="A148" s="117" t="inlineStr">
        <is>
          <t>537829</t>
        </is>
      </c>
      <c r="B148" s="117" t="n">
        <v>15498</v>
      </c>
      <c r="C148" s="117" t="inlineStr">
        <is>
          <t>United Kingdom</t>
        </is>
      </c>
      <c r="D148" s="117" t="inlineStr">
        <is>
          <t>22569</t>
        </is>
      </c>
      <c r="E148" s="117" t="inlineStr">
        <is>
          <t>FELTCRAFT CUSHION BUTTERFLY</t>
        </is>
      </c>
      <c r="F148" s="117" t="n">
        <v>4</v>
      </c>
      <c r="G148" s="118" t="n">
        <v>3.75</v>
      </c>
      <c r="H148" s="118" t="n">
        <v>15</v>
      </c>
      <c r="I148" s="119" t="n">
        <v>40520</v>
      </c>
    </row>
    <row r="149">
      <c r="A149" s="114" t="inlineStr">
        <is>
          <t>537844</t>
        </is>
      </c>
      <c r="B149" s="114" t="n">
        <v>17999</v>
      </c>
      <c r="C149" s="114" t="inlineStr">
        <is>
          <t>United Kingdom</t>
        </is>
      </c>
      <c r="D149" s="114" t="inlineStr">
        <is>
          <t>22847</t>
        </is>
      </c>
      <c r="E149" s="114" t="inlineStr">
        <is>
          <t>BREAD BIN DINER STYLE IVORY</t>
        </is>
      </c>
      <c r="F149" s="114" t="n">
        <v>1</v>
      </c>
      <c r="G149" s="115" t="n">
        <v>16.95</v>
      </c>
      <c r="H149" s="115" t="n">
        <v>16.95</v>
      </c>
      <c r="I149" s="116" t="n">
        <v>40520</v>
      </c>
    </row>
    <row r="150">
      <c r="A150" s="117" t="inlineStr">
        <is>
          <t>537859</t>
        </is>
      </c>
      <c r="B150" s="117" t="n">
        <v>14030</v>
      </c>
      <c r="C150" s="117" t="inlineStr">
        <is>
          <t>United Kingdom</t>
        </is>
      </c>
      <c r="D150" s="117" t="inlineStr">
        <is>
          <t>21124</t>
        </is>
      </c>
      <c r="E150" s="117" t="inlineStr">
        <is>
          <t>SET/10 BLUE POLKADOT PARTY CANDLES</t>
        </is>
      </c>
      <c r="F150" s="117" t="n">
        <v>2</v>
      </c>
      <c r="G150" s="118" t="n">
        <v>1.25</v>
      </c>
      <c r="H150" s="118" t="n">
        <v>2.5</v>
      </c>
      <c r="I150" s="119" t="n">
        <v>40520</v>
      </c>
    </row>
    <row r="151">
      <c r="A151" s="114" t="inlineStr">
        <is>
          <t>537859</t>
        </is>
      </c>
      <c r="B151" s="114" t="n">
        <v>14030</v>
      </c>
      <c r="C151" s="114" t="inlineStr">
        <is>
          <t>United Kingdom</t>
        </is>
      </c>
      <c r="D151" s="114" t="inlineStr">
        <is>
          <t>22111</t>
        </is>
      </c>
      <c r="E151" s="114" t="inlineStr">
        <is>
          <t>SCOTTIE DOG HOT WATER BOTTLE</t>
        </is>
      </c>
      <c r="F151" s="114" t="n">
        <v>1</v>
      </c>
      <c r="G151" s="115" t="n">
        <v>4.95</v>
      </c>
      <c r="H151" s="115" t="n">
        <v>4.95</v>
      </c>
      <c r="I151" s="116" t="n">
        <v>40520</v>
      </c>
    </row>
    <row r="152">
      <c r="A152" s="117" t="inlineStr">
        <is>
          <t>537864</t>
        </is>
      </c>
      <c r="B152" s="117" t="n">
        <v>16700</v>
      </c>
      <c r="C152" s="117" t="inlineStr">
        <is>
          <t>United Kingdom</t>
        </is>
      </c>
      <c r="D152" s="117" t="inlineStr">
        <is>
          <t>22616</t>
        </is>
      </c>
      <c r="E152" s="117" t="inlineStr">
        <is>
          <t xml:space="preserve">PACK OF 12 LONDON TISSUES </t>
        </is>
      </c>
      <c r="F152" s="117" t="n">
        <v>24</v>
      </c>
      <c r="G152" s="118" t="n">
        <v>0.29</v>
      </c>
      <c r="H152" s="118" t="n">
        <v>6.96</v>
      </c>
      <c r="I152" s="119" t="n">
        <v>40520</v>
      </c>
    </row>
    <row r="153">
      <c r="A153" s="114" t="inlineStr">
        <is>
          <t>537865</t>
        </is>
      </c>
      <c r="B153" s="114" t="n">
        <v>16011</v>
      </c>
      <c r="C153" s="114" t="inlineStr">
        <is>
          <t>United Kingdom</t>
        </is>
      </c>
      <c r="D153" s="114" t="inlineStr">
        <is>
          <t>22589</t>
        </is>
      </c>
      <c r="E153" s="114" t="inlineStr">
        <is>
          <t>CARDHOLDER GINGHAM STAR</t>
        </is>
      </c>
      <c r="F153" s="114" t="n">
        <v>3</v>
      </c>
      <c r="G153" s="115" t="n">
        <v>2.55</v>
      </c>
      <c r="H153" s="115" t="n">
        <v>7.65</v>
      </c>
      <c r="I153" s="116" t="n">
        <v>40520</v>
      </c>
    </row>
    <row r="154">
      <c r="A154" s="117" t="inlineStr">
        <is>
          <t>537868</t>
        </is>
      </c>
      <c r="B154" s="117" t="n">
        <v>12433</v>
      </c>
      <c r="C154" s="117" t="inlineStr">
        <is>
          <t>Norway</t>
        </is>
      </c>
      <c r="D154" s="117" t="inlineStr">
        <is>
          <t>22557</t>
        </is>
      </c>
      <c r="E154" s="117" t="inlineStr">
        <is>
          <t xml:space="preserve">PLASTERS IN TIN VINTAGE PAISLEY </t>
        </is>
      </c>
      <c r="F154" s="117" t="n">
        <v>36</v>
      </c>
      <c r="G154" s="118" t="n">
        <v>1.65</v>
      </c>
      <c r="H154" s="118" t="n">
        <v>59.4</v>
      </c>
      <c r="I154" s="119" t="n">
        <v>40520</v>
      </c>
    </row>
    <row r="155">
      <c r="A155" s="114" t="inlineStr">
        <is>
          <t>537888</t>
        </is>
      </c>
      <c r="B155" s="114" t="n">
        <v>15358</v>
      </c>
      <c r="C155" s="114" t="inlineStr">
        <is>
          <t>United Kingdom</t>
        </is>
      </c>
      <c r="D155" s="114" t="inlineStr">
        <is>
          <t>22951</t>
        </is>
      </c>
      <c r="E155" s="114" t="inlineStr">
        <is>
          <t>60 CAKE CASES DOLLY GIRL DESIGN</t>
        </is>
      </c>
      <c r="F155" s="114" t="n">
        <v>24</v>
      </c>
      <c r="G155" s="115" t="n">
        <v>0.55</v>
      </c>
      <c r="H155" s="115" t="n">
        <v>13.2</v>
      </c>
      <c r="I155" s="116" t="n">
        <v>40521</v>
      </c>
    </row>
    <row r="156">
      <c r="A156" s="117" t="inlineStr">
        <is>
          <t>537896</t>
        </is>
      </c>
      <c r="B156" s="117" t="n">
        <v>18071</v>
      </c>
      <c r="C156" s="117" t="inlineStr">
        <is>
          <t>United Kingdom</t>
        </is>
      </c>
      <c r="D156" s="117" t="inlineStr">
        <is>
          <t>22800</t>
        </is>
      </c>
      <c r="E156" s="117" t="inlineStr">
        <is>
          <t>ANTIQUE TALL SWIRLGLASS TRINKET POT</t>
        </is>
      </c>
      <c r="F156" s="117" t="n">
        <v>4</v>
      </c>
      <c r="G156" s="118" t="n">
        <v>3.75</v>
      </c>
      <c r="H156" s="118" t="n">
        <v>15</v>
      </c>
      <c r="I156" s="119" t="n">
        <v>40521</v>
      </c>
    </row>
    <row r="157">
      <c r="A157" s="114" t="inlineStr">
        <is>
          <t>537915</t>
        </is>
      </c>
      <c r="B157" s="114" t="n">
        <v>12797</v>
      </c>
      <c r="C157" s="114" t="inlineStr">
        <is>
          <t>Portugal</t>
        </is>
      </c>
      <c r="D157" s="114" t="inlineStr">
        <is>
          <t>21791</t>
        </is>
      </c>
      <c r="E157" s="114" t="inlineStr">
        <is>
          <t xml:space="preserve">VINTAGE HEADS AND TAILS CARD GAME </t>
        </is>
      </c>
      <c r="F157" s="114" t="n">
        <v>12</v>
      </c>
      <c r="G157" s="115" t="n">
        <v>1.25</v>
      </c>
      <c r="H157" s="115" t="n">
        <v>15</v>
      </c>
      <c r="I157" s="116" t="n">
        <v>40521</v>
      </c>
    </row>
    <row r="158">
      <c r="A158" s="117" t="inlineStr">
        <is>
          <t>538008</t>
        </is>
      </c>
      <c r="B158" s="117" t="n">
        <v>12683</v>
      </c>
      <c r="C158" s="117" t="inlineStr">
        <is>
          <t>France</t>
        </is>
      </c>
      <c r="D158" s="117" t="inlineStr">
        <is>
          <t>22636</t>
        </is>
      </c>
      <c r="E158" s="117" t="inlineStr">
        <is>
          <t>CHILDS BREAKFAST SET CIRCUS PARADE</t>
        </is>
      </c>
      <c r="F158" s="117" t="n">
        <v>4</v>
      </c>
      <c r="G158" s="118" t="n">
        <v>8.5</v>
      </c>
      <c r="H158" s="118" t="n">
        <v>34</v>
      </c>
      <c r="I158" s="119" t="n">
        <v>40521</v>
      </c>
    </row>
    <row r="159">
      <c r="A159" s="114" t="inlineStr">
        <is>
          <t>538008</t>
        </is>
      </c>
      <c r="B159" s="114" t="n">
        <v>12683</v>
      </c>
      <c r="C159" s="114" t="inlineStr">
        <is>
          <t>France</t>
        </is>
      </c>
      <c r="D159" s="114" t="inlineStr">
        <is>
          <t>22859</t>
        </is>
      </c>
      <c r="E159" s="114" t="inlineStr">
        <is>
          <t>EASTER TIN BUNNY BOUQUET</t>
        </is>
      </c>
      <c r="F159" s="114" t="n">
        <v>6</v>
      </c>
      <c r="G159" s="115" t="n">
        <v>1.65</v>
      </c>
      <c r="H159" s="115" t="n">
        <v>9.9</v>
      </c>
      <c r="I159" s="116" t="n">
        <v>40521</v>
      </c>
    </row>
    <row r="160">
      <c r="A160" s="117" t="inlineStr">
        <is>
          <t>538014</t>
        </is>
      </c>
      <c r="B160" s="117" t="n">
        <v>14440</v>
      </c>
      <c r="C160" s="117" t="inlineStr">
        <is>
          <t>United Kingdom</t>
        </is>
      </c>
      <c r="D160" s="117" t="inlineStr">
        <is>
          <t>72807A</t>
        </is>
      </c>
      <c r="E160" s="117" t="inlineStr">
        <is>
          <t>SET/3 ROSE CANDLE IN JEWELLED BOX</t>
        </is>
      </c>
      <c r="F160" s="117" t="n">
        <v>12</v>
      </c>
      <c r="G160" s="118" t="n">
        <v>4.25</v>
      </c>
      <c r="H160" s="118" t="n">
        <v>51</v>
      </c>
      <c r="I160" s="119" t="n">
        <v>40521</v>
      </c>
    </row>
    <row r="161">
      <c r="A161" s="114" t="inlineStr">
        <is>
          <t>538035</t>
        </is>
      </c>
      <c r="B161" s="114" t="n">
        <v>16065</v>
      </c>
      <c r="C161" s="114" t="inlineStr">
        <is>
          <t>United Kingdom</t>
        </is>
      </c>
      <c r="D161" s="114" t="inlineStr">
        <is>
          <t>22663</t>
        </is>
      </c>
      <c r="E161" s="114" t="inlineStr">
        <is>
          <t>JUMBO BAG DOLLY GIRL DESIGN</t>
        </is>
      </c>
      <c r="F161" s="114" t="n">
        <v>1</v>
      </c>
      <c r="G161" s="115" t="n">
        <v>1.95</v>
      </c>
      <c r="H161" s="115" t="n">
        <v>1.95</v>
      </c>
      <c r="I161" s="116" t="n">
        <v>40521</v>
      </c>
    </row>
    <row r="162">
      <c r="A162" s="117" t="inlineStr">
        <is>
          <t>538035</t>
        </is>
      </c>
      <c r="B162" s="117" t="n">
        <v>16065</v>
      </c>
      <c r="C162" s="117" t="inlineStr">
        <is>
          <t>United Kingdom</t>
        </is>
      </c>
      <c r="D162" s="117" t="inlineStr">
        <is>
          <t>22367</t>
        </is>
      </c>
      <c r="E162" s="117" t="inlineStr">
        <is>
          <t>CHILDRENS APRON SPACEBOY DESIGN</t>
        </is>
      </c>
      <c r="F162" s="117" t="n">
        <v>2</v>
      </c>
      <c r="G162" s="118" t="n">
        <v>1.95</v>
      </c>
      <c r="H162" s="118" t="n">
        <v>3.9</v>
      </c>
      <c r="I162" s="119" t="n">
        <v>40521</v>
      </c>
    </row>
    <row r="163">
      <c r="A163" s="114" t="inlineStr">
        <is>
          <t>538035</t>
        </is>
      </c>
      <c r="B163" s="114" t="n">
        <v>16065</v>
      </c>
      <c r="C163" s="114" t="inlineStr">
        <is>
          <t>United Kingdom</t>
        </is>
      </c>
      <c r="D163" s="114" t="inlineStr">
        <is>
          <t>21733</t>
        </is>
      </c>
      <c r="E163" s="114" t="inlineStr">
        <is>
          <t>RED HANGING HEART T-LIGHT HOLDER</t>
        </is>
      </c>
      <c r="F163" s="114" t="n">
        <v>4</v>
      </c>
      <c r="G163" s="115" t="n">
        <v>2.95</v>
      </c>
      <c r="H163" s="115" t="n">
        <v>11.8</v>
      </c>
      <c r="I163" s="116" t="n">
        <v>40521</v>
      </c>
    </row>
    <row r="164">
      <c r="A164" s="117" t="inlineStr">
        <is>
          <t>538035</t>
        </is>
      </c>
      <c r="B164" s="117" t="n">
        <v>16065</v>
      </c>
      <c r="C164" s="117" t="inlineStr">
        <is>
          <t>United Kingdom</t>
        </is>
      </c>
      <c r="D164" s="117" t="inlineStr">
        <is>
          <t>21115</t>
        </is>
      </c>
      <c r="E164" s="117" t="inlineStr">
        <is>
          <t>ROSE CARAVAN DOORSTOP</t>
        </is>
      </c>
      <c r="F164" s="117" t="n">
        <v>1</v>
      </c>
      <c r="G164" s="118" t="n">
        <v>6.75</v>
      </c>
      <c r="H164" s="118" t="n">
        <v>6.75</v>
      </c>
      <c r="I164" s="119" t="n">
        <v>40521</v>
      </c>
    </row>
    <row r="165">
      <c r="A165" s="114" t="inlineStr">
        <is>
          <t>538040</t>
        </is>
      </c>
      <c r="B165" s="114" t="n">
        <v>16520</v>
      </c>
      <c r="C165" s="114" t="inlineStr">
        <is>
          <t>United Kingdom</t>
        </is>
      </c>
      <c r="D165" s="114" t="inlineStr">
        <is>
          <t>22927</t>
        </is>
      </c>
      <c r="E165" s="114" t="inlineStr">
        <is>
          <t>GREEN GIANT GARDEN THERMOMETER</t>
        </is>
      </c>
      <c r="F165" s="114" t="n">
        <v>1</v>
      </c>
      <c r="G165" s="115" t="n">
        <v>5.95</v>
      </c>
      <c r="H165" s="115" t="n">
        <v>5.95</v>
      </c>
      <c r="I165" s="116" t="n">
        <v>40521</v>
      </c>
    </row>
    <row r="166">
      <c r="A166" s="117" t="inlineStr">
        <is>
          <t>538051</t>
        </is>
      </c>
      <c r="B166" s="117" t="n">
        <v>18041</v>
      </c>
      <c r="C166" s="117" t="inlineStr">
        <is>
          <t>United Kingdom</t>
        </is>
      </c>
      <c r="D166" s="117" t="inlineStr">
        <is>
          <t>22601</t>
        </is>
      </c>
      <c r="E166" s="117" t="inlineStr">
        <is>
          <t>CHRISTMAS RETROSPOT ANGEL WOOD</t>
        </is>
      </c>
      <c r="F166" s="117" t="n">
        <v>5</v>
      </c>
      <c r="G166" s="118" t="n">
        <v>0.85</v>
      </c>
      <c r="H166" s="118" t="n">
        <v>4.25</v>
      </c>
      <c r="I166" s="119" t="n">
        <v>40521</v>
      </c>
    </row>
    <row r="167">
      <c r="A167" s="114" t="inlineStr">
        <is>
          <t>538051</t>
        </is>
      </c>
      <c r="B167" s="114" t="n">
        <v>18041</v>
      </c>
      <c r="C167" s="114" t="inlineStr">
        <is>
          <t>United Kingdom</t>
        </is>
      </c>
      <c r="D167" s="114" t="inlineStr">
        <is>
          <t>79000</t>
        </is>
      </c>
      <c r="E167" s="114" t="inlineStr">
        <is>
          <t>MOROCCAN TEA GLASS</t>
        </is>
      </c>
      <c r="F167" s="114" t="n">
        <v>12</v>
      </c>
      <c r="G167" s="115" t="n">
        <v>0.85</v>
      </c>
      <c r="H167" s="115" t="n">
        <v>10.2</v>
      </c>
      <c r="I167" s="116" t="n">
        <v>40521</v>
      </c>
    </row>
    <row r="168">
      <c r="A168" s="117" t="inlineStr">
        <is>
          <t>538053</t>
        </is>
      </c>
      <c r="B168" s="117" t="n">
        <v>15856</v>
      </c>
      <c r="C168" s="117" t="inlineStr">
        <is>
          <t>United Kingdom</t>
        </is>
      </c>
      <c r="D168" s="117" t="inlineStr">
        <is>
          <t>22941</t>
        </is>
      </c>
      <c r="E168" s="117" t="inlineStr">
        <is>
          <t>CHRISTMAS LIGHTS 10 REINDEER</t>
        </is>
      </c>
      <c r="F168" s="117" t="n">
        <v>6</v>
      </c>
      <c r="G168" s="118" t="n">
        <v>8.5</v>
      </c>
      <c r="H168" s="118" t="n">
        <v>51</v>
      </c>
      <c r="I168" s="119" t="n">
        <v>40521</v>
      </c>
    </row>
    <row r="169">
      <c r="A169" s="114" t="inlineStr">
        <is>
          <t>538057</t>
        </is>
      </c>
      <c r="B169" s="114" t="n">
        <v>13102</v>
      </c>
      <c r="C169" s="114" t="inlineStr">
        <is>
          <t>United Kingdom</t>
        </is>
      </c>
      <c r="D169" s="114" t="inlineStr">
        <is>
          <t>79067</t>
        </is>
      </c>
      <c r="E169" s="114" t="inlineStr">
        <is>
          <t>CORONA MEXICAN TRAY</t>
        </is>
      </c>
      <c r="F169" s="114" t="n">
        <v>4</v>
      </c>
      <c r="G169" s="115" t="n">
        <v>3.75</v>
      </c>
      <c r="H169" s="115" t="n">
        <v>15</v>
      </c>
      <c r="I169" s="116" t="n">
        <v>40521</v>
      </c>
    </row>
    <row r="170">
      <c r="A170" s="117" t="inlineStr">
        <is>
          <t>538064</t>
        </is>
      </c>
      <c r="B170" s="117" t="n">
        <v>15271</v>
      </c>
      <c r="C170" s="117" t="inlineStr">
        <is>
          <t>United Kingdom</t>
        </is>
      </c>
      <c r="D170" s="117" t="inlineStr">
        <is>
          <t>21930</t>
        </is>
      </c>
      <c r="E170" s="117" t="inlineStr">
        <is>
          <t>JUMBO STORAGE BAG SKULLS</t>
        </is>
      </c>
      <c r="F170" s="117" t="n">
        <v>2</v>
      </c>
      <c r="G170" s="118" t="n">
        <v>1.95</v>
      </c>
      <c r="H170" s="118" t="n">
        <v>3.9</v>
      </c>
      <c r="I170" s="119" t="n">
        <v>40521</v>
      </c>
    </row>
    <row r="171">
      <c r="A171" s="114" t="inlineStr">
        <is>
          <t>538067</t>
        </is>
      </c>
      <c r="B171" s="114" t="n">
        <v>15288</v>
      </c>
      <c r="C171" s="114" t="inlineStr">
        <is>
          <t>United Kingdom</t>
        </is>
      </c>
      <c r="D171" s="114" t="inlineStr">
        <is>
          <t>22630</t>
        </is>
      </c>
      <c r="E171" s="114" t="inlineStr">
        <is>
          <t>DOLLY GIRL LUNCH BOX</t>
        </is>
      </c>
      <c r="F171" s="114" t="n">
        <v>4</v>
      </c>
      <c r="G171" s="115" t="n">
        <v>1.95</v>
      </c>
      <c r="H171" s="115" t="n">
        <v>7.8</v>
      </c>
      <c r="I171" s="116" t="n">
        <v>40521</v>
      </c>
    </row>
    <row r="172">
      <c r="A172" s="117" t="inlineStr">
        <is>
          <t>538069</t>
        </is>
      </c>
      <c r="B172" s="117" t="n">
        <v>16795</v>
      </c>
      <c r="C172" s="117" t="inlineStr">
        <is>
          <t>United Kingdom</t>
        </is>
      </c>
      <c r="D172" s="117" t="inlineStr">
        <is>
          <t>22834</t>
        </is>
      </c>
      <c r="E172" s="117" t="inlineStr">
        <is>
          <t>HAND WARMER BABUSHKA DESIGN</t>
        </is>
      </c>
      <c r="F172" s="117" t="n">
        <v>3</v>
      </c>
      <c r="G172" s="118" t="n">
        <v>2.1</v>
      </c>
      <c r="H172" s="118" t="n">
        <v>6.3</v>
      </c>
      <c r="I172" s="119" t="n">
        <v>40521</v>
      </c>
    </row>
    <row r="173">
      <c r="A173" s="114" t="inlineStr">
        <is>
          <t>538069</t>
        </is>
      </c>
      <c r="B173" s="114" t="n">
        <v>16795</v>
      </c>
      <c r="C173" s="114" t="inlineStr">
        <is>
          <t>United Kingdom</t>
        </is>
      </c>
      <c r="D173" s="114" t="inlineStr">
        <is>
          <t>84536A</t>
        </is>
      </c>
      <c r="E173" s="114" t="inlineStr">
        <is>
          <t>ENGLISH ROSE NOTEBOOK A7 SIZE</t>
        </is>
      </c>
      <c r="F173" s="114" t="n">
        <v>3</v>
      </c>
      <c r="G173" s="115" t="n">
        <v>0.42</v>
      </c>
      <c r="H173" s="115" t="n">
        <v>1.26</v>
      </c>
      <c r="I173" s="116" t="n">
        <v>40521</v>
      </c>
    </row>
    <row r="174">
      <c r="A174" s="117" t="inlineStr">
        <is>
          <t>538080</t>
        </is>
      </c>
      <c r="B174" s="117" t="n">
        <v>17646</v>
      </c>
      <c r="C174" s="117" t="inlineStr">
        <is>
          <t>United Kingdom</t>
        </is>
      </c>
      <c r="D174" s="117" t="inlineStr">
        <is>
          <t>22925</t>
        </is>
      </c>
      <c r="E174" s="117" t="inlineStr">
        <is>
          <t>BLUE GIANT GARDEN THERMOMETER</t>
        </is>
      </c>
      <c r="F174" s="117" t="n">
        <v>2</v>
      </c>
      <c r="G174" s="118" t="n">
        <v>5.95</v>
      </c>
      <c r="H174" s="118" t="n">
        <v>11.9</v>
      </c>
      <c r="I174" s="119" t="n">
        <v>40521</v>
      </c>
    </row>
    <row r="175">
      <c r="A175" s="114" t="inlineStr">
        <is>
          <t>538087</t>
        </is>
      </c>
      <c r="B175" s="114" t="n">
        <v>17339</v>
      </c>
      <c r="C175" s="114" t="inlineStr">
        <is>
          <t>United Kingdom</t>
        </is>
      </c>
      <c r="D175" s="114" t="inlineStr">
        <is>
          <t>21479</t>
        </is>
      </c>
      <c r="E175" s="114" t="inlineStr">
        <is>
          <t xml:space="preserve">WHITE SKULL HOT WATER BOTTLE </t>
        </is>
      </c>
      <c r="F175" s="114" t="n">
        <v>4</v>
      </c>
      <c r="G175" s="115" t="n">
        <v>3.75</v>
      </c>
      <c r="H175" s="115" t="n">
        <v>15</v>
      </c>
      <c r="I175" s="116" t="n">
        <v>40521</v>
      </c>
    </row>
    <row r="176">
      <c r="A176" s="117" t="inlineStr">
        <is>
          <t>538097</t>
        </is>
      </c>
      <c r="B176" s="117" t="n">
        <v>15192</v>
      </c>
      <c r="C176" s="117" t="inlineStr">
        <is>
          <t>United Kingdom</t>
        </is>
      </c>
      <c r="D176" s="117" t="inlineStr">
        <is>
          <t>20749</t>
        </is>
      </c>
      <c r="E176" s="117" t="inlineStr">
        <is>
          <t>ASSORTED COLOUR MINI CASES</t>
        </is>
      </c>
      <c r="F176" s="117" t="n">
        <v>2</v>
      </c>
      <c r="G176" s="118" t="n">
        <v>7.95</v>
      </c>
      <c r="H176" s="118" t="n">
        <v>15.9</v>
      </c>
      <c r="I176" s="119" t="n">
        <v>40521</v>
      </c>
    </row>
    <row r="177">
      <c r="A177" s="114" t="inlineStr">
        <is>
          <t>538146</t>
        </is>
      </c>
      <c r="B177" s="114" t="n">
        <v>15596</v>
      </c>
      <c r="C177" s="114" t="inlineStr">
        <is>
          <t>United Kingdom</t>
        </is>
      </c>
      <c r="D177" s="114" t="inlineStr">
        <is>
          <t>22629</t>
        </is>
      </c>
      <c r="E177" s="114" t="inlineStr">
        <is>
          <t xml:space="preserve">SPACEBOY LUNCH BOX </t>
        </is>
      </c>
      <c r="F177" s="114" t="n">
        <v>12</v>
      </c>
      <c r="G177" s="115" t="n">
        <v>1.95</v>
      </c>
      <c r="H177" s="115" t="n">
        <v>23.4</v>
      </c>
      <c r="I177" s="116" t="n">
        <v>40521</v>
      </c>
    </row>
    <row r="178">
      <c r="A178" s="117" t="inlineStr">
        <is>
          <t>538155</t>
        </is>
      </c>
      <c r="B178" s="117" t="n">
        <v>16907</v>
      </c>
      <c r="C178" s="117" t="inlineStr">
        <is>
          <t>United Kingdom</t>
        </is>
      </c>
      <c r="D178" s="117" t="inlineStr">
        <is>
          <t>22913</t>
        </is>
      </c>
      <c r="E178" s="117" t="inlineStr">
        <is>
          <t>RED COAT RACK PARIS FASHION</t>
        </is>
      </c>
      <c r="F178" s="117" t="n">
        <v>1</v>
      </c>
      <c r="G178" s="118" t="n">
        <v>4.95</v>
      </c>
      <c r="H178" s="118" t="n">
        <v>4.95</v>
      </c>
      <c r="I178" s="119" t="n">
        <v>40521</v>
      </c>
    </row>
    <row r="179">
      <c r="A179" s="114" t="inlineStr">
        <is>
          <t>538156</t>
        </is>
      </c>
      <c r="B179" s="114" t="n">
        <v>15555</v>
      </c>
      <c r="C179" s="114" t="inlineStr">
        <is>
          <t>United Kingdom</t>
        </is>
      </c>
      <c r="D179" s="114" t="inlineStr">
        <is>
          <t>22149</t>
        </is>
      </c>
      <c r="E179" s="114" t="inlineStr">
        <is>
          <t>FELTCRAFT 6 FLOWER FRIENDS</t>
        </is>
      </c>
      <c r="F179" s="114" t="n">
        <v>6</v>
      </c>
      <c r="G179" s="115" t="n">
        <v>2.1</v>
      </c>
      <c r="H179" s="115" t="n">
        <v>12.6</v>
      </c>
      <c r="I179" s="116" t="n">
        <v>40521</v>
      </c>
    </row>
    <row r="180">
      <c r="A180" s="117" t="inlineStr">
        <is>
          <t>538156</t>
        </is>
      </c>
      <c r="B180" s="117" t="n">
        <v>15555</v>
      </c>
      <c r="C180" s="117" t="inlineStr">
        <is>
          <t>United Kingdom</t>
        </is>
      </c>
      <c r="D180" s="117" t="inlineStr">
        <is>
          <t>22750</t>
        </is>
      </c>
      <c r="E180" s="117" t="inlineStr">
        <is>
          <t>FELTCRAFT PRINCESS LOLA DOLL</t>
        </is>
      </c>
      <c r="F180" s="117" t="n">
        <v>3</v>
      </c>
      <c r="G180" s="118" t="n">
        <v>3.75</v>
      </c>
      <c r="H180" s="118" t="n">
        <v>11.25</v>
      </c>
      <c r="I180" s="119" t="n">
        <v>40521</v>
      </c>
    </row>
    <row r="181">
      <c r="A181" s="114" t="inlineStr">
        <is>
          <t>538171</t>
        </is>
      </c>
      <c r="B181" s="114" t="n">
        <v>17530</v>
      </c>
      <c r="C181" s="114" t="inlineStr">
        <is>
          <t>United Kingdom</t>
        </is>
      </c>
      <c r="D181" s="114" t="inlineStr">
        <is>
          <t>21882</t>
        </is>
      </c>
      <c r="E181" s="114" t="inlineStr">
        <is>
          <t>SKULLS TAPE</t>
        </is>
      </c>
      <c r="F181" s="114" t="n">
        <v>5</v>
      </c>
      <c r="G181" s="115" t="n">
        <v>0.65</v>
      </c>
      <c r="H181" s="115" t="n">
        <v>3.25</v>
      </c>
      <c r="I181" s="116" t="n">
        <v>40521</v>
      </c>
    </row>
    <row r="182">
      <c r="A182" s="117" t="inlineStr">
        <is>
          <t>538180</t>
        </is>
      </c>
      <c r="B182" s="117" t="n">
        <v>13418</v>
      </c>
      <c r="C182" s="117" t="inlineStr">
        <is>
          <t>United Kingdom</t>
        </is>
      </c>
      <c r="D182" s="117" t="inlineStr">
        <is>
          <t>22927</t>
        </is>
      </c>
      <c r="E182" s="117" t="inlineStr">
        <is>
          <t>GREEN GIANT GARDEN THERMOMETER</t>
        </is>
      </c>
      <c r="F182" s="117" t="n">
        <v>2</v>
      </c>
      <c r="G182" s="118" t="n">
        <v>5.95</v>
      </c>
      <c r="H182" s="118" t="n">
        <v>11.9</v>
      </c>
      <c r="I182" s="119" t="n">
        <v>40522</v>
      </c>
    </row>
    <row r="183">
      <c r="A183" s="114" t="inlineStr">
        <is>
          <t>538183</t>
        </is>
      </c>
      <c r="B183" s="114" t="n">
        <v>16265</v>
      </c>
      <c r="C183" s="114" t="inlineStr">
        <is>
          <t>United Kingdom</t>
        </is>
      </c>
      <c r="D183" s="114" t="inlineStr">
        <is>
          <t>84951B</t>
        </is>
      </c>
      <c r="E183" s="114" t="inlineStr">
        <is>
          <t>SET OF 4 BLACK LOVEBIRD COASTERS</t>
        </is>
      </c>
      <c r="F183" s="114" t="n">
        <v>6</v>
      </c>
      <c r="G183" s="115" t="n">
        <v>2.55</v>
      </c>
      <c r="H183" s="115" t="n">
        <v>15.3</v>
      </c>
      <c r="I183" s="116" t="n">
        <v>40522</v>
      </c>
    </row>
    <row r="184">
      <c r="A184" s="117" t="inlineStr">
        <is>
          <t>538183</t>
        </is>
      </c>
      <c r="B184" s="117" t="n">
        <v>16265</v>
      </c>
      <c r="C184" s="117" t="inlineStr">
        <is>
          <t>United Kingdom</t>
        </is>
      </c>
      <c r="D184" s="117" t="inlineStr">
        <is>
          <t>21464</t>
        </is>
      </c>
      <c r="E184" s="117" t="inlineStr">
        <is>
          <t>DISCO BALL ROTATOR BATTERY OPERATED</t>
        </is>
      </c>
      <c r="F184" s="117" t="n">
        <v>2</v>
      </c>
      <c r="G184" s="118" t="n">
        <v>4.25</v>
      </c>
      <c r="H184" s="118" t="n">
        <v>8.5</v>
      </c>
      <c r="I184" s="119" t="n">
        <v>40522</v>
      </c>
    </row>
    <row r="185">
      <c r="A185" s="114" t="inlineStr">
        <is>
          <t>538184</t>
        </is>
      </c>
      <c r="B185" s="114" t="n">
        <v>17880</v>
      </c>
      <c r="C185" s="114" t="inlineStr">
        <is>
          <t>United Kingdom</t>
        </is>
      </c>
      <c r="D185" s="114" t="inlineStr">
        <is>
          <t>22544</t>
        </is>
      </c>
      <c r="E185" s="114" t="inlineStr">
        <is>
          <t>MINI JIGSAW SPACEBOY</t>
        </is>
      </c>
      <c r="F185" s="114" t="n">
        <v>24</v>
      </c>
      <c r="G185" s="115" t="n">
        <v>0.42</v>
      </c>
      <c r="H185" s="115" t="n">
        <v>10.08</v>
      </c>
      <c r="I185" s="116" t="n">
        <v>40522</v>
      </c>
    </row>
    <row r="186">
      <c r="A186" s="117" t="inlineStr">
        <is>
          <t>538209</t>
        </is>
      </c>
      <c r="B186" s="117" t="n">
        <v>12748</v>
      </c>
      <c r="C186" s="117" t="inlineStr">
        <is>
          <t>United Kingdom</t>
        </is>
      </c>
      <c r="D186" s="117" t="inlineStr">
        <is>
          <t>22494</t>
        </is>
      </c>
      <c r="E186" s="117" t="inlineStr">
        <is>
          <t xml:space="preserve">EMERGENCY FIRST AID TIN </t>
        </is>
      </c>
      <c r="F186" s="117" t="n">
        <v>2</v>
      </c>
      <c r="G186" s="118" t="n">
        <v>1.25</v>
      </c>
      <c r="H186" s="118" t="n">
        <v>2.5</v>
      </c>
      <c r="I186" s="119" t="n">
        <v>40522</v>
      </c>
    </row>
    <row r="187">
      <c r="A187" s="114" t="inlineStr">
        <is>
          <t>538255</t>
        </is>
      </c>
      <c r="B187" s="114" t="n">
        <v>14911</v>
      </c>
      <c r="C187" s="114" t="inlineStr">
        <is>
          <t>EIRE</t>
        </is>
      </c>
      <c r="D187" s="114" t="inlineStr">
        <is>
          <t>17091J</t>
        </is>
      </c>
      <c r="E187" s="114" t="inlineStr">
        <is>
          <t>VANILLA INCENSE IN TIN</t>
        </is>
      </c>
      <c r="F187" s="114" t="n">
        <v>6</v>
      </c>
      <c r="G187" s="115" t="n">
        <v>1.25</v>
      </c>
      <c r="H187" s="115" t="n">
        <v>7.5</v>
      </c>
      <c r="I187" s="116" t="n">
        <v>40522</v>
      </c>
    </row>
    <row r="188">
      <c r="A188" s="117" t="inlineStr">
        <is>
          <t>538255</t>
        </is>
      </c>
      <c r="B188" s="117" t="n">
        <v>14911</v>
      </c>
      <c r="C188" s="117" t="inlineStr">
        <is>
          <t>EIRE</t>
        </is>
      </c>
      <c r="D188" s="117" t="inlineStr">
        <is>
          <t>21042</t>
        </is>
      </c>
      <c r="E188" s="117" t="inlineStr">
        <is>
          <t xml:space="preserve">RED RETROSPOT APRON </t>
        </is>
      </c>
      <c r="F188" s="117" t="n">
        <v>3</v>
      </c>
      <c r="G188" s="118" t="n">
        <v>5.95</v>
      </c>
      <c r="H188" s="118" t="n">
        <v>17.85</v>
      </c>
      <c r="I188" s="119" t="n">
        <v>40522</v>
      </c>
    </row>
    <row r="189">
      <c r="A189" s="114" t="inlineStr">
        <is>
          <t>538312</t>
        </is>
      </c>
      <c r="B189" s="114" t="n">
        <v>16727</v>
      </c>
      <c r="C189" s="114" t="inlineStr">
        <is>
          <t>United Kingdom</t>
        </is>
      </c>
      <c r="D189" s="114" t="inlineStr">
        <is>
          <t>22791</t>
        </is>
      </c>
      <c r="E189" s="114" t="inlineStr">
        <is>
          <t>T-LIGHT GLASS FLUTED ANTIQUE</t>
        </is>
      </c>
      <c r="F189" s="114" t="n">
        <v>12</v>
      </c>
      <c r="G189" s="115" t="n">
        <v>1.25</v>
      </c>
      <c r="H189" s="115" t="n">
        <v>15</v>
      </c>
      <c r="I189" s="116" t="n">
        <v>40522</v>
      </c>
    </row>
    <row r="190">
      <c r="A190" s="117" t="inlineStr">
        <is>
          <t>538354</t>
        </is>
      </c>
      <c r="B190" s="117" t="n">
        <v>16873</v>
      </c>
      <c r="C190" s="117" t="inlineStr">
        <is>
          <t>United Kingdom</t>
        </is>
      </c>
      <c r="D190" s="117" t="inlineStr">
        <is>
          <t>22150</t>
        </is>
      </c>
      <c r="E190" s="117" t="inlineStr">
        <is>
          <t>3 STRIPEY MICE FELTCRAFT</t>
        </is>
      </c>
      <c r="F190" s="117" t="n">
        <v>18</v>
      </c>
      <c r="G190" s="118" t="n">
        <v>1.95</v>
      </c>
      <c r="H190" s="118" t="n">
        <v>35.1</v>
      </c>
      <c r="I190" s="119" t="n">
        <v>40522</v>
      </c>
    </row>
    <row r="191">
      <c r="A191" s="114" t="inlineStr">
        <is>
          <t>538361</t>
        </is>
      </c>
      <c r="B191" s="114" t="n">
        <v>17757</v>
      </c>
      <c r="C191" s="114" t="inlineStr">
        <is>
          <t>United Kingdom</t>
        </is>
      </c>
      <c r="D191" s="114" t="inlineStr">
        <is>
          <t>22141</t>
        </is>
      </c>
      <c r="E191" s="114" t="inlineStr">
        <is>
          <t>CHRISTMAS CRAFT TREE TOP ANGEL</t>
        </is>
      </c>
      <c r="F191" s="114" t="n">
        <v>4</v>
      </c>
      <c r="G191" s="115" t="n">
        <v>2.1</v>
      </c>
      <c r="H191" s="115" t="n">
        <v>8.4</v>
      </c>
      <c r="I191" s="116" t="n">
        <v>40522</v>
      </c>
    </row>
    <row r="192">
      <c r="A192" s="117" t="inlineStr">
        <is>
          <t>538367</t>
        </is>
      </c>
      <c r="B192" s="117" t="n">
        <v>14800</v>
      </c>
      <c r="C192" s="117" t="inlineStr">
        <is>
          <t>United Kingdom</t>
        </is>
      </c>
      <c r="D192" s="117" t="inlineStr">
        <is>
          <t>20830</t>
        </is>
      </c>
      <c r="E192" s="117" t="inlineStr">
        <is>
          <t>SILVER PHOTO FRAME</t>
        </is>
      </c>
      <c r="F192" s="117" t="n">
        <v>6</v>
      </c>
      <c r="G192" s="118" t="n">
        <v>2.1</v>
      </c>
      <c r="H192" s="118" t="n">
        <v>12.6</v>
      </c>
      <c r="I192" s="119" t="n">
        <v>40524</v>
      </c>
    </row>
    <row r="193">
      <c r="A193" s="114" t="inlineStr">
        <is>
          <t>538379</t>
        </is>
      </c>
      <c r="B193" s="114" t="n">
        <v>17126</v>
      </c>
      <c r="C193" s="114" t="inlineStr">
        <is>
          <t>United Kingdom</t>
        </is>
      </c>
      <c r="D193" s="114" t="inlineStr">
        <is>
          <t>22972</t>
        </is>
      </c>
      <c r="E193" s="114" t="inlineStr">
        <is>
          <t>CHILDREN'S SPACEBOY MUG</t>
        </is>
      </c>
      <c r="F193" s="114" t="n">
        <v>1</v>
      </c>
      <c r="G193" s="115" t="n">
        <v>1.65</v>
      </c>
      <c r="H193" s="115" t="n">
        <v>1.65</v>
      </c>
      <c r="I193" s="116" t="n">
        <v>40524</v>
      </c>
    </row>
    <row r="194">
      <c r="A194" s="117" t="inlineStr">
        <is>
          <t>538382</t>
        </is>
      </c>
      <c r="B194" s="117" t="n">
        <v>17218</v>
      </c>
      <c r="C194" s="117" t="inlineStr">
        <is>
          <t>United Kingdom</t>
        </is>
      </c>
      <c r="D194" s="117" t="inlineStr">
        <is>
          <t>21914</t>
        </is>
      </c>
      <c r="E194" s="117" t="inlineStr">
        <is>
          <t xml:space="preserve">BLUE HARMONICA IN BOX </t>
        </is>
      </c>
      <c r="F194" s="117" t="n">
        <v>3</v>
      </c>
      <c r="G194" s="118" t="n">
        <v>1.25</v>
      </c>
      <c r="H194" s="118" t="n">
        <v>3.75</v>
      </c>
      <c r="I194" s="119" t="n">
        <v>40524</v>
      </c>
    </row>
    <row r="195">
      <c r="A195" s="114" t="inlineStr">
        <is>
          <t>538418</t>
        </is>
      </c>
      <c r="B195" s="114" t="n">
        <v>17372</v>
      </c>
      <c r="C195" s="114" t="inlineStr">
        <is>
          <t>United Kingdom</t>
        </is>
      </c>
      <c r="D195" s="114" t="inlineStr">
        <is>
          <t>22910</t>
        </is>
      </c>
      <c r="E195" s="114" t="inlineStr">
        <is>
          <t>PAPER CHAIN KIT VINTAGE CHRISTMAS</t>
        </is>
      </c>
      <c r="F195" s="114" t="n">
        <v>4</v>
      </c>
      <c r="G195" s="115" t="n">
        <v>2.95</v>
      </c>
      <c r="H195" s="115" t="n">
        <v>11.8</v>
      </c>
      <c r="I195" s="116" t="n">
        <v>40524</v>
      </c>
    </row>
    <row r="196">
      <c r="A196" s="117" t="inlineStr">
        <is>
          <t>538418</t>
        </is>
      </c>
      <c r="B196" s="117" t="n">
        <v>17372</v>
      </c>
      <c r="C196" s="117" t="inlineStr">
        <is>
          <t>United Kingdom</t>
        </is>
      </c>
      <c r="D196" s="117" t="inlineStr">
        <is>
          <t>84992</t>
        </is>
      </c>
      <c r="E196" s="117" t="inlineStr">
        <is>
          <t>72 SWEETHEART FAIRY CAKE CASES</t>
        </is>
      </c>
      <c r="F196" s="117" t="n">
        <v>2</v>
      </c>
      <c r="G196" s="118" t="n">
        <v>0.55</v>
      </c>
      <c r="H196" s="118" t="n">
        <v>1.1</v>
      </c>
      <c r="I196" s="119" t="n">
        <v>40524</v>
      </c>
    </row>
    <row r="197">
      <c r="A197" s="114" t="inlineStr">
        <is>
          <t>538419</t>
        </is>
      </c>
      <c r="B197" s="114" t="n">
        <v>16367</v>
      </c>
      <c r="C197" s="114" t="inlineStr">
        <is>
          <t>United Kingdom</t>
        </is>
      </c>
      <c r="D197" s="114" t="inlineStr">
        <is>
          <t>21380</t>
        </is>
      </c>
      <c r="E197" s="114" t="inlineStr">
        <is>
          <t>WOODEN HAPPY BIRTHDAY GARLAND</t>
        </is>
      </c>
      <c r="F197" s="114" t="n">
        <v>1</v>
      </c>
      <c r="G197" s="115" t="n">
        <v>2.95</v>
      </c>
      <c r="H197" s="115" t="n">
        <v>2.95</v>
      </c>
      <c r="I197" s="116" t="n">
        <v>40524</v>
      </c>
    </row>
    <row r="198">
      <c r="A198" s="117" t="inlineStr">
        <is>
          <t>538419</t>
        </is>
      </c>
      <c r="B198" s="117" t="n">
        <v>16367</v>
      </c>
      <c r="C198" s="117" t="inlineStr">
        <is>
          <t>United Kingdom</t>
        </is>
      </c>
      <c r="D198" s="117" t="inlineStr">
        <is>
          <t>84978</t>
        </is>
      </c>
      <c r="E198" s="117" t="inlineStr">
        <is>
          <t>HANGING HEART JAR T-LIGHT HOLDER</t>
        </is>
      </c>
      <c r="F198" s="117" t="n">
        <v>12</v>
      </c>
      <c r="G198" s="118" t="n">
        <v>1.25</v>
      </c>
      <c r="H198" s="118" t="n">
        <v>15</v>
      </c>
      <c r="I198" s="119" t="n">
        <v>40524</v>
      </c>
    </row>
    <row r="199">
      <c r="A199" s="114" t="inlineStr">
        <is>
          <t>538421</t>
        </is>
      </c>
      <c r="B199" s="114" t="n">
        <v>17917</v>
      </c>
      <c r="C199" s="114" t="inlineStr">
        <is>
          <t>United Kingdom</t>
        </is>
      </c>
      <c r="D199" s="114" t="inlineStr">
        <is>
          <t>21982</t>
        </is>
      </c>
      <c r="E199" s="114" t="inlineStr">
        <is>
          <t xml:space="preserve">PACK OF 12 SUKI TISSUES </t>
        </is>
      </c>
      <c r="F199" s="114" t="n">
        <v>4</v>
      </c>
      <c r="G199" s="115" t="n">
        <v>0.29</v>
      </c>
      <c r="H199" s="115" t="n">
        <v>1.16</v>
      </c>
      <c r="I199" s="116" t="n">
        <v>40524</v>
      </c>
    </row>
    <row r="200">
      <c r="A200" s="117" t="inlineStr">
        <is>
          <t>538449</t>
        </is>
      </c>
      <c r="B200" s="117" t="n">
        <v>17085</v>
      </c>
      <c r="C200" s="117" t="inlineStr">
        <is>
          <t>United Kingdom</t>
        </is>
      </c>
      <c r="D200" s="117" t="inlineStr">
        <is>
          <t>21733</t>
        </is>
      </c>
      <c r="E200" s="117" t="inlineStr">
        <is>
          <t>RED HANGING HEART T-LIGHT HOLDER</t>
        </is>
      </c>
      <c r="F200" s="117" t="n">
        <v>4</v>
      </c>
      <c r="G200" s="118" t="n">
        <v>2.95</v>
      </c>
      <c r="H200" s="118" t="n">
        <v>11.8</v>
      </c>
      <c r="I200" s="119" t="n">
        <v>40524</v>
      </c>
    </row>
    <row r="201">
      <c r="A201" s="114" t="inlineStr">
        <is>
          <t>538473</t>
        </is>
      </c>
      <c r="B201" s="114" t="n">
        <v>13668</v>
      </c>
      <c r="C201" s="114" t="inlineStr">
        <is>
          <t>United Kingdom</t>
        </is>
      </c>
      <c r="D201" s="114" t="inlineStr">
        <is>
          <t>21755</t>
        </is>
      </c>
      <c r="E201" s="114" t="inlineStr">
        <is>
          <t>LOVE BUILDING BLOCK WORD</t>
        </is>
      </c>
      <c r="F201" s="114" t="n">
        <v>4</v>
      </c>
      <c r="G201" s="115" t="n">
        <v>5.95</v>
      </c>
      <c r="H201" s="115" t="n">
        <v>23.8</v>
      </c>
      <c r="I201" s="116" t="n">
        <v>40524</v>
      </c>
    </row>
    <row r="202">
      <c r="A202" s="117" t="inlineStr">
        <is>
          <t>538504</t>
        </is>
      </c>
      <c r="B202" s="117" t="n">
        <v>16011</v>
      </c>
      <c r="C202" s="117" t="inlineStr">
        <is>
          <t>United Kingdom</t>
        </is>
      </c>
      <c r="D202" s="117" t="inlineStr">
        <is>
          <t>22457</t>
        </is>
      </c>
      <c r="E202" s="117" t="inlineStr">
        <is>
          <t xml:space="preserve">NATURAL SLATE HEART CHALKBOARD </t>
        </is>
      </c>
      <c r="F202" s="117" t="n">
        <v>12</v>
      </c>
      <c r="G202" s="118" t="n">
        <v>2.95</v>
      </c>
      <c r="H202" s="118" t="n">
        <v>35.4</v>
      </c>
      <c r="I202" s="119" t="n">
        <v>40524</v>
      </c>
    </row>
    <row r="203">
      <c r="A203" s="114" t="inlineStr">
        <is>
          <t>538507</t>
        </is>
      </c>
      <c r="B203" s="114" t="n">
        <v>15547</v>
      </c>
      <c r="C203" s="114" t="inlineStr">
        <is>
          <t>United Kingdom</t>
        </is>
      </c>
      <c r="D203" s="114" t="inlineStr">
        <is>
          <t>21592</t>
        </is>
      </c>
      <c r="E203" s="114" t="inlineStr">
        <is>
          <t xml:space="preserve">RETROSPOT CIGAR BOX MATCHES </t>
        </is>
      </c>
      <c r="F203" s="114" t="n">
        <v>1</v>
      </c>
      <c r="G203" s="115" t="n">
        <v>1.25</v>
      </c>
      <c r="H203" s="115" t="n">
        <v>1.25</v>
      </c>
      <c r="I203" s="116" t="n">
        <v>40524</v>
      </c>
    </row>
    <row r="204">
      <c r="A204" s="117" t="inlineStr">
        <is>
          <t>538508</t>
        </is>
      </c>
      <c r="B204" s="117" t="n">
        <v>15998</v>
      </c>
      <c r="C204" s="117" t="inlineStr">
        <is>
          <t>United Kingdom</t>
        </is>
      </c>
      <c r="D204" s="117" t="inlineStr">
        <is>
          <t>22534</t>
        </is>
      </c>
      <c r="E204" s="117" t="inlineStr">
        <is>
          <t xml:space="preserve">MAGIC DRAWING SLATE SPACEBOY </t>
        </is>
      </c>
      <c r="F204" s="117" t="n">
        <v>4</v>
      </c>
      <c r="G204" s="118" t="n">
        <v>0.42</v>
      </c>
      <c r="H204" s="118" t="n">
        <v>1.68</v>
      </c>
      <c r="I204" s="119" t="n">
        <v>40524</v>
      </c>
    </row>
    <row r="205">
      <c r="A205" s="114" t="inlineStr">
        <is>
          <t>538510</t>
        </is>
      </c>
      <c r="B205" s="114" t="n">
        <v>18004</v>
      </c>
      <c r="C205" s="114" t="inlineStr">
        <is>
          <t>United Kingdom</t>
        </is>
      </c>
      <c r="D205" s="114" t="inlineStr">
        <is>
          <t>21136</t>
        </is>
      </c>
      <c r="E205" s="114" t="inlineStr">
        <is>
          <t>PAINTED METAL PEARS ASSORTED</t>
        </is>
      </c>
      <c r="F205" s="114" t="n">
        <v>1</v>
      </c>
      <c r="G205" s="115" t="n">
        <v>1.69</v>
      </c>
      <c r="H205" s="115" t="n">
        <v>1.69</v>
      </c>
      <c r="I205" s="116" t="n">
        <v>40524</v>
      </c>
    </row>
    <row r="206">
      <c r="A206" s="117" t="inlineStr">
        <is>
          <t>538517</t>
        </is>
      </c>
      <c r="B206" s="117" t="n">
        <v>17618</v>
      </c>
      <c r="C206" s="117" t="inlineStr">
        <is>
          <t>United Kingdom</t>
        </is>
      </c>
      <c r="D206" s="117" t="inlineStr">
        <is>
          <t>85227</t>
        </is>
      </c>
      <c r="E206" s="117" t="inlineStr">
        <is>
          <t>SET OF 6 3D KIT CARDS FOR KIDS</t>
        </is>
      </c>
      <c r="F206" s="117" t="n">
        <v>4</v>
      </c>
      <c r="G206" s="118" t="n">
        <v>0.85</v>
      </c>
      <c r="H206" s="118" t="n">
        <v>3.4</v>
      </c>
      <c r="I206" s="119" t="n">
        <v>40524</v>
      </c>
    </row>
    <row r="207">
      <c r="A207" s="114" t="inlineStr">
        <is>
          <t>538526</t>
        </is>
      </c>
      <c r="B207" s="114" t="n">
        <v>13225</v>
      </c>
      <c r="C207" s="114" t="inlineStr">
        <is>
          <t>United Kingdom</t>
        </is>
      </c>
      <c r="D207" s="114" t="inlineStr">
        <is>
          <t>72351B</t>
        </is>
      </c>
      <c r="E207" s="114" t="inlineStr">
        <is>
          <t>SET/6 PINK  BUTTERFLY T-LIGHTS</t>
        </is>
      </c>
      <c r="F207" s="114" t="n">
        <v>144</v>
      </c>
      <c r="G207" s="115" t="n">
        <v>1.69</v>
      </c>
      <c r="H207" s="115" t="n">
        <v>243.36</v>
      </c>
      <c r="I207" s="116" t="n">
        <v>40525</v>
      </c>
    </row>
    <row r="208">
      <c r="A208" s="117" t="inlineStr">
        <is>
          <t>538533</t>
        </is>
      </c>
      <c r="B208" s="117" t="n">
        <v>14796</v>
      </c>
      <c r="C208" s="117" t="inlineStr">
        <is>
          <t>United Kingdom</t>
        </is>
      </c>
      <c r="D208" s="117" t="inlineStr">
        <is>
          <t>22065</t>
        </is>
      </c>
      <c r="E208" s="117" t="inlineStr">
        <is>
          <t xml:space="preserve">CHRISTMAS PUDDING TRINKET POT </t>
        </is>
      </c>
      <c r="F208" s="117" t="n">
        <v>10</v>
      </c>
      <c r="G208" s="118" t="n">
        <v>1.45</v>
      </c>
      <c r="H208" s="118" t="n">
        <v>14.5</v>
      </c>
      <c r="I208" s="119" t="n">
        <v>40525</v>
      </c>
    </row>
    <row r="209">
      <c r="A209" s="114" t="inlineStr">
        <is>
          <t>538558</t>
        </is>
      </c>
      <c r="B209" s="114" t="n">
        <v>13069</v>
      </c>
      <c r="C209" s="114" t="inlineStr">
        <is>
          <t>United Kingdom</t>
        </is>
      </c>
      <c r="D209" s="114" t="inlineStr">
        <is>
          <t>21882</t>
        </is>
      </c>
      <c r="E209" s="114" t="inlineStr">
        <is>
          <t>SKULLS TAPE</t>
        </is>
      </c>
      <c r="F209" s="114" t="n">
        <v>24</v>
      </c>
      <c r="G209" s="115" t="n">
        <v>0.19</v>
      </c>
      <c r="H209" s="115" t="n">
        <v>4.56</v>
      </c>
      <c r="I209" s="116" t="n">
        <v>40525</v>
      </c>
    </row>
    <row r="210">
      <c r="A210" s="117" t="inlineStr">
        <is>
          <t>538597</t>
        </is>
      </c>
      <c r="B210" s="117" t="n">
        <v>15555</v>
      </c>
      <c r="C210" s="117" t="inlineStr">
        <is>
          <t>United Kingdom</t>
        </is>
      </c>
      <c r="D210" s="117" t="inlineStr">
        <is>
          <t>82494L</t>
        </is>
      </c>
      <c r="E210" s="117" t="inlineStr">
        <is>
          <t xml:space="preserve">WOODEN FRAME ANTIQUE WHITE </t>
        </is>
      </c>
      <c r="F210" s="117" t="n">
        <v>6</v>
      </c>
      <c r="G210" s="118" t="n">
        <v>2.95</v>
      </c>
      <c r="H210" s="118" t="n">
        <v>17.7</v>
      </c>
      <c r="I210" s="119" t="n">
        <v>40525</v>
      </c>
    </row>
    <row r="211">
      <c r="A211" s="114" t="inlineStr">
        <is>
          <t>538625</t>
        </is>
      </c>
      <c r="B211" s="114" t="n">
        <v>14544</v>
      </c>
      <c r="C211" s="114" t="inlineStr">
        <is>
          <t>United Kingdom</t>
        </is>
      </c>
      <c r="D211" s="114" t="inlineStr">
        <is>
          <t>22457</t>
        </is>
      </c>
      <c r="E211" s="114" t="inlineStr">
        <is>
          <t xml:space="preserve">NATURAL SLATE HEART CHALKBOARD </t>
        </is>
      </c>
      <c r="F211" s="114" t="n">
        <v>2</v>
      </c>
      <c r="G211" s="115" t="n">
        <v>2.95</v>
      </c>
      <c r="H211" s="115" t="n">
        <v>5.9</v>
      </c>
      <c r="I211" s="116" t="n">
        <v>40525</v>
      </c>
    </row>
    <row r="212">
      <c r="A212" s="117" t="inlineStr">
        <is>
          <t>538629</t>
        </is>
      </c>
      <c r="B212" s="117" t="n">
        <v>17799</v>
      </c>
      <c r="C212" s="117" t="inlineStr">
        <is>
          <t>United Kingdom</t>
        </is>
      </c>
      <c r="D212" s="117" t="inlineStr">
        <is>
          <t>22602</t>
        </is>
      </c>
      <c r="E212" s="117" t="inlineStr">
        <is>
          <t>CHRISTMAS RETROSPOT HEART WOOD</t>
        </is>
      </c>
      <c r="F212" s="117" t="n">
        <v>6</v>
      </c>
      <c r="G212" s="118" t="n">
        <v>0.85</v>
      </c>
      <c r="H212" s="118" t="n">
        <v>5.1</v>
      </c>
      <c r="I212" s="119" t="n">
        <v>40525</v>
      </c>
    </row>
    <row r="213">
      <c r="A213" s="114" t="inlineStr">
        <is>
          <t>538637</t>
        </is>
      </c>
      <c r="B213" s="114" t="n">
        <v>17611</v>
      </c>
      <c r="C213" s="114" t="inlineStr">
        <is>
          <t>United Kingdom</t>
        </is>
      </c>
      <c r="D213" s="114" t="inlineStr">
        <is>
          <t>21484</t>
        </is>
      </c>
      <c r="E213" s="114" t="inlineStr">
        <is>
          <t>CHICK GREY HOT WATER BOTTLE</t>
        </is>
      </c>
      <c r="F213" s="114" t="n">
        <v>2</v>
      </c>
      <c r="G213" s="115" t="n">
        <v>3.45</v>
      </c>
      <c r="H213" s="115" t="n">
        <v>6.9</v>
      </c>
      <c r="I213" s="116" t="n">
        <v>40525</v>
      </c>
    </row>
    <row r="214">
      <c r="A214" s="117" t="inlineStr">
        <is>
          <t>538637</t>
        </is>
      </c>
      <c r="B214" s="117" t="n">
        <v>17611</v>
      </c>
      <c r="C214" s="117" t="inlineStr">
        <is>
          <t>United Kingdom</t>
        </is>
      </c>
      <c r="D214" s="117" t="inlineStr">
        <is>
          <t>22920</t>
        </is>
      </c>
      <c r="E214" s="117" t="inlineStr">
        <is>
          <t>HERB MARKER BASIL</t>
        </is>
      </c>
      <c r="F214" s="117" t="n">
        <v>4</v>
      </c>
      <c r="G214" s="118" t="n">
        <v>0.65</v>
      </c>
      <c r="H214" s="118" t="n">
        <v>2.6</v>
      </c>
      <c r="I214" s="119" t="n">
        <v>40525</v>
      </c>
    </row>
    <row r="215">
      <c r="A215" s="114" t="inlineStr">
        <is>
          <t>538645</t>
        </is>
      </c>
      <c r="B215" s="114" t="n">
        <v>13269</v>
      </c>
      <c r="C215" s="114" t="inlineStr">
        <is>
          <t>United Kingdom</t>
        </is>
      </c>
      <c r="D215" s="114" t="inlineStr">
        <is>
          <t>22374</t>
        </is>
      </c>
      <c r="E215" s="114" t="inlineStr">
        <is>
          <t>AIRLINE BAG VINTAGE JET SET RED</t>
        </is>
      </c>
      <c r="F215" s="114" t="n">
        <v>4</v>
      </c>
      <c r="G215" s="115" t="n">
        <v>4.25</v>
      </c>
      <c r="H215" s="115" t="n">
        <v>17</v>
      </c>
      <c r="I215" s="116" t="n">
        <v>40525</v>
      </c>
    </row>
    <row r="216">
      <c r="A216" s="117" t="inlineStr">
        <is>
          <t>538651</t>
        </is>
      </c>
      <c r="B216" s="117" t="n">
        <v>15311</v>
      </c>
      <c r="C216" s="117" t="inlineStr">
        <is>
          <t>United Kingdom</t>
        </is>
      </c>
      <c r="D216" s="117" t="inlineStr">
        <is>
          <t>21470</t>
        </is>
      </c>
      <c r="E216" s="117" t="inlineStr">
        <is>
          <t>FLOWER VINE RAFFIA FOOD COVER</t>
        </is>
      </c>
      <c r="F216" s="117" t="n">
        <v>2</v>
      </c>
      <c r="G216" s="118" t="n">
        <v>3.75</v>
      </c>
      <c r="H216" s="118" t="n">
        <v>7.5</v>
      </c>
      <c r="I216" s="119" t="n">
        <v>40525</v>
      </c>
    </row>
    <row r="217">
      <c r="A217" s="114" t="inlineStr">
        <is>
          <t>538651</t>
        </is>
      </c>
      <c r="B217" s="114" t="n">
        <v>15311</v>
      </c>
      <c r="C217" s="114" t="inlineStr">
        <is>
          <t>United Kingdom</t>
        </is>
      </c>
      <c r="D217" s="114" t="inlineStr">
        <is>
          <t>84997D</t>
        </is>
      </c>
      <c r="E217" s="114" t="inlineStr">
        <is>
          <t>PINK 3 PIECE POLKADOT CUTLERY SET</t>
        </is>
      </c>
      <c r="F217" s="114" t="n">
        <v>4</v>
      </c>
      <c r="G217" s="115" t="n">
        <v>3.75</v>
      </c>
      <c r="H217" s="115" t="n">
        <v>15</v>
      </c>
      <c r="I217" s="116" t="n">
        <v>40525</v>
      </c>
    </row>
    <row r="218">
      <c r="A218" s="117" t="inlineStr">
        <is>
          <t>538660</t>
        </is>
      </c>
      <c r="B218" s="117" t="n">
        <v>15808</v>
      </c>
      <c r="C218" s="117" t="inlineStr">
        <is>
          <t>United Kingdom</t>
        </is>
      </c>
      <c r="D218" s="117" t="inlineStr">
        <is>
          <t>22113</t>
        </is>
      </c>
      <c r="E218" s="117" t="inlineStr">
        <is>
          <t>GREY HEART HOT WATER BOTTLE</t>
        </is>
      </c>
      <c r="F218" s="117" t="n">
        <v>18</v>
      </c>
      <c r="G218" s="118" t="n">
        <v>3.75</v>
      </c>
      <c r="H218" s="118" t="n">
        <v>67.5</v>
      </c>
      <c r="I218" s="119" t="n">
        <v>40525</v>
      </c>
    </row>
    <row r="219">
      <c r="A219" s="114" t="inlineStr">
        <is>
          <t>538683</t>
        </is>
      </c>
      <c r="B219" s="114" t="n">
        <v>14525</v>
      </c>
      <c r="C219" s="114" t="inlineStr">
        <is>
          <t>United Kingdom</t>
        </is>
      </c>
      <c r="D219" s="114" t="inlineStr">
        <is>
          <t>22297</t>
        </is>
      </c>
      <c r="E219" s="114" t="inlineStr">
        <is>
          <t>HEART IVORY TRELLIS SMALL</t>
        </is>
      </c>
      <c r="F219" s="114" t="n">
        <v>24</v>
      </c>
      <c r="G219" s="115" t="n">
        <v>1.25</v>
      </c>
      <c r="H219" s="115" t="n">
        <v>30</v>
      </c>
      <c r="I219" s="116" t="n">
        <v>40525</v>
      </c>
    </row>
    <row r="220">
      <c r="A220" s="117" t="inlineStr">
        <is>
          <t>538707</t>
        </is>
      </c>
      <c r="B220" s="117" t="n">
        <v>17894</v>
      </c>
      <c r="C220" s="117" t="inlineStr">
        <is>
          <t>United Kingdom</t>
        </is>
      </c>
      <c r="D220" s="117" t="inlineStr">
        <is>
          <t>22899</t>
        </is>
      </c>
      <c r="E220" s="117" t="inlineStr">
        <is>
          <t xml:space="preserve">CHILDREN'S APRON DOLLY GIRL </t>
        </is>
      </c>
      <c r="F220" s="117" t="n">
        <v>1</v>
      </c>
      <c r="G220" s="118" t="n">
        <v>2.1</v>
      </c>
      <c r="H220" s="118" t="n">
        <v>2.1</v>
      </c>
      <c r="I220" s="119" t="n">
        <v>40526</v>
      </c>
    </row>
    <row r="221">
      <c r="A221" s="114" t="inlineStr">
        <is>
          <t>538709</t>
        </is>
      </c>
      <c r="B221" s="114" t="n">
        <v>16442</v>
      </c>
      <c r="C221" s="114" t="inlineStr">
        <is>
          <t>United Kingdom</t>
        </is>
      </c>
      <c r="D221" s="114" t="inlineStr">
        <is>
          <t>21244</t>
        </is>
      </c>
      <c r="E221" s="114" t="inlineStr">
        <is>
          <t xml:space="preserve">BLUE POLKADOT PLATE </t>
        </is>
      </c>
      <c r="F221" s="114" t="n">
        <v>2</v>
      </c>
      <c r="G221" s="115" t="n">
        <v>1.69</v>
      </c>
      <c r="H221" s="115" t="n">
        <v>3.38</v>
      </c>
      <c r="I221" s="116" t="n">
        <v>40526</v>
      </c>
    </row>
    <row r="222">
      <c r="A222" s="117" t="inlineStr">
        <is>
          <t>538715</t>
        </is>
      </c>
      <c r="B222" s="117" t="n">
        <v>14907</v>
      </c>
      <c r="C222" s="117" t="inlineStr">
        <is>
          <t>United Kingdom</t>
        </is>
      </c>
      <c r="D222" s="117" t="inlineStr">
        <is>
          <t>22077</t>
        </is>
      </c>
      <c r="E222" s="117" t="inlineStr">
        <is>
          <t>6 RIBBONS RUSTIC CHARM</t>
        </is>
      </c>
      <c r="F222" s="117" t="n">
        <v>12</v>
      </c>
      <c r="G222" s="118" t="n">
        <v>1.65</v>
      </c>
      <c r="H222" s="118" t="n">
        <v>19.8</v>
      </c>
      <c r="I222" s="119" t="n">
        <v>40526</v>
      </c>
    </row>
    <row r="223">
      <c r="A223" s="114" t="inlineStr">
        <is>
          <t>538715</t>
        </is>
      </c>
      <c r="B223" s="114" t="n">
        <v>14907</v>
      </c>
      <c r="C223" s="114" t="inlineStr">
        <is>
          <t>United Kingdom</t>
        </is>
      </c>
      <c r="D223" s="114" t="inlineStr">
        <is>
          <t>22147</t>
        </is>
      </c>
      <c r="E223" s="114" t="inlineStr">
        <is>
          <t>FELTCRAFT BUTTERFLY HEARTS</t>
        </is>
      </c>
      <c r="F223" s="114" t="n">
        <v>12</v>
      </c>
      <c r="G223" s="115" t="n">
        <v>1.45</v>
      </c>
      <c r="H223" s="115" t="n">
        <v>17.4</v>
      </c>
      <c r="I223" s="116" t="n">
        <v>40526</v>
      </c>
    </row>
    <row r="224">
      <c r="A224" s="117" t="inlineStr">
        <is>
          <t>538715</t>
        </is>
      </c>
      <c r="B224" s="117" t="n">
        <v>14907</v>
      </c>
      <c r="C224" s="117" t="inlineStr">
        <is>
          <t>United Kingdom</t>
        </is>
      </c>
      <c r="D224" s="117" t="inlineStr">
        <is>
          <t>22568</t>
        </is>
      </c>
      <c r="E224" s="117" t="inlineStr">
        <is>
          <t>FELTCRAFT CUSHION OWL</t>
        </is>
      </c>
      <c r="F224" s="117" t="n">
        <v>4</v>
      </c>
      <c r="G224" s="118" t="n">
        <v>3.75</v>
      </c>
      <c r="H224" s="118" t="n">
        <v>15</v>
      </c>
      <c r="I224" s="119" t="n">
        <v>40526</v>
      </c>
    </row>
    <row r="225">
      <c r="A225" s="114" t="inlineStr">
        <is>
          <t>538783</t>
        </is>
      </c>
      <c r="B225" s="114" t="n">
        <v>14961</v>
      </c>
      <c r="C225" s="114" t="inlineStr">
        <is>
          <t>United Kingdom</t>
        </is>
      </c>
      <c r="D225" s="114" t="inlineStr">
        <is>
          <t>20727</t>
        </is>
      </c>
      <c r="E225" s="114" t="inlineStr">
        <is>
          <t>LUNCH BAG  BLACK SKULL.</t>
        </is>
      </c>
      <c r="F225" s="114" t="n">
        <v>10</v>
      </c>
      <c r="G225" s="115" t="n">
        <v>1.65</v>
      </c>
      <c r="H225" s="115" t="n">
        <v>16.5</v>
      </c>
      <c r="I225" s="116" t="n">
        <v>40526</v>
      </c>
    </row>
    <row r="226">
      <c r="A226" s="117" t="inlineStr">
        <is>
          <t>538783</t>
        </is>
      </c>
      <c r="B226" s="117" t="n">
        <v>14961</v>
      </c>
      <c r="C226" s="117" t="inlineStr">
        <is>
          <t>United Kingdom</t>
        </is>
      </c>
      <c r="D226" s="117" t="inlineStr">
        <is>
          <t>21485</t>
        </is>
      </c>
      <c r="E226" s="117" t="inlineStr">
        <is>
          <t>RETROSPOT HEART HOT WATER BOTTLE</t>
        </is>
      </c>
      <c r="F226" s="117" t="n">
        <v>6</v>
      </c>
      <c r="G226" s="118" t="n">
        <v>4.95</v>
      </c>
      <c r="H226" s="118" t="n">
        <v>29.7</v>
      </c>
      <c r="I226" s="119" t="n">
        <v>40526</v>
      </c>
    </row>
    <row r="227">
      <c r="A227" s="114" t="inlineStr">
        <is>
          <t>538796</t>
        </is>
      </c>
      <c r="B227" s="114" t="n">
        <v>17041</v>
      </c>
      <c r="C227" s="114" t="inlineStr">
        <is>
          <t>United Kingdom</t>
        </is>
      </c>
      <c r="D227" s="114" t="inlineStr">
        <is>
          <t>22937</t>
        </is>
      </c>
      <c r="E227" s="114" t="inlineStr">
        <is>
          <t>BAKING MOULD CHOCOLATE CUPCAKES</t>
        </is>
      </c>
      <c r="F227" s="114" t="n">
        <v>6</v>
      </c>
      <c r="G227" s="115" t="n">
        <v>2.55</v>
      </c>
      <c r="H227" s="115" t="n">
        <v>15.3</v>
      </c>
      <c r="I227" s="116" t="n">
        <v>40526</v>
      </c>
    </row>
    <row r="228">
      <c r="A228" s="117" t="inlineStr">
        <is>
          <t>538807</t>
        </is>
      </c>
      <c r="B228" s="117" t="n">
        <v>17194</v>
      </c>
      <c r="C228" s="117" t="inlineStr">
        <is>
          <t>United Kingdom</t>
        </is>
      </c>
      <c r="D228" s="117" t="inlineStr">
        <is>
          <t>85232D</t>
        </is>
      </c>
      <c r="E228" s="117" t="inlineStr">
        <is>
          <t>SET/3 DECOUPAGE STACKING TINS</t>
        </is>
      </c>
      <c r="F228" s="117" t="n">
        <v>1</v>
      </c>
      <c r="G228" s="118" t="n">
        <v>4.95</v>
      </c>
      <c r="H228" s="118" t="n">
        <v>4.95</v>
      </c>
      <c r="I228" s="119" t="n">
        <v>40526</v>
      </c>
    </row>
    <row r="229">
      <c r="A229" s="114" t="inlineStr">
        <is>
          <t>538807</t>
        </is>
      </c>
      <c r="B229" s="114" t="n">
        <v>17194</v>
      </c>
      <c r="C229" s="114" t="inlineStr">
        <is>
          <t>United Kingdom</t>
        </is>
      </c>
      <c r="D229" s="114" t="inlineStr">
        <is>
          <t>M</t>
        </is>
      </c>
      <c r="E229" s="114" t="inlineStr">
        <is>
          <t>Manual</t>
        </is>
      </c>
      <c r="F229" s="114" t="n">
        <v>1</v>
      </c>
      <c r="G229" s="115" t="n">
        <v>20</v>
      </c>
      <c r="H229" s="115" t="n">
        <v>20</v>
      </c>
      <c r="I229" s="116" t="n">
        <v>40526</v>
      </c>
    </row>
    <row r="230">
      <c r="A230" s="117" t="inlineStr">
        <is>
          <t>538807</t>
        </is>
      </c>
      <c r="B230" s="117" t="n">
        <v>17194</v>
      </c>
      <c r="C230" s="117" t="inlineStr">
        <is>
          <t>United Kingdom</t>
        </is>
      </c>
      <c r="D230" s="117" t="inlineStr">
        <is>
          <t>21441</t>
        </is>
      </c>
      <c r="E230" s="117" t="inlineStr">
        <is>
          <t>BLUE BIRDHOUSE DECORATION</t>
        </is>
      </c>
      <c r="F230" s="117" t="n">
        <v>1</v>
      </c>
      <c r="G230" s="118" t="n">
        <v>0.85</v>
      </c>
      <c r="H230" s="118" t="n">
        <v>0.85</v>
      </c>
      <c r="I230" s="119" t="n">
        <v>40526</v>
      </c>
    </row>
    <row r="231">
      <c r="A231" s="114" t="inlineStr">
        <is>
          <t>538808</t>
        </is>
      </c>
      <c r="B231" s="114" t="n">
        <v>14057</v>
      </c>
      <c r="C231" s="114" t="inlineStr">
        <is>
          <t>United Kingdom</t>
        </is>
      </c>
      <c r="D231" s="114" t="inlineStr">
        <is>
          <t>22549</t>
        </is>
      </c>
      <c r="E231" s="114" t="inlineStr">
        <is>
          <t>PICTURE DOMINOES</t>
        </is>
      </c>
      <c r="F231" s="114" t="n">
        <v>24</v>
      </c>
      <c r="G231" s="115" t="n">
        <v>1.45</v>
      </c>
      <c r="H231" s="115" t="n">
        <v>34.8</v>
      </c>
      <c r="I231" s="116" t="n">
        <v>40526</v>
      </c>
    </row>
    <row r="232">
      <c r="A232" s="117" t="inlineStr">
        <is>
          <t>538810</t>
        </is>
      </c>
      <c r="B232" s="117" t="n">
        <v>14871</v>
      </c>
      <c r="C232" s="117" t="inlineStr">
        <is>
          <t>United Kingdom</t>
        </is>
      </c>
      <c r="D232" s="117" t="inlineStr">
        <is>
          <t>22554</t>
        </is>
      </c>
      <c r="E232" s="117" t="inlineStr">
        <is>
          <t>PLASTERS IN TIN WOODLAND ANIMALS</t>
        </is>
      </c>
      <c r="F232" s="117" t="n">
        <v>1</v>
      </c>
      <c r="G232" s="118" t="n">
        <v>1.65</v>
      </c>
      <c r="H232" s="118" t="n">
        <v>1.65</v>
      </c>
      <c r="I232" s="119" t="n">
        <v>40526</v>
      </c>
    </row>
    <row r="233">
      <c r="A233" s="114" t="inlineStr">
        <is>
          <t>538811</t>
        </is>
      </c>
      <c r="B233" s="114" t="n">
        <v>13178</v>
      </c>
      <c r="C233" s="114" t="inlineStr">
        <is>
          <t>United Kingdom</t>
        </is>
      </c>
      <c r="D233" s="114" t="inlineStr">
        <is>
          <t>22382</t>
        </is>
      </c>
      <c r="E233" s="114" t="inlineStr">
        <is>
          <t xml:space="preserve">LUNCH BAG SPACEBOY DESIGN </t>
        </is>
      </c>
      <c r="F233" s="114" t="n">
        <v>20</v>
      </c>
      <c r="G233" s="115" t="n">
        <v>1.65</v>
      </c>
      <c r="H233" s="115" t="n">
        <v>33</v>
      </c>
      <c r="I233" s="116" t="n">
        <v>40526</v>
      </c>
    </row>
    <row r="234">
      <c r="A234" s="117" t="inlineStr">
        <is>
          <t>538815</t>
        </is>
      </c>
      <c r="B234" s="117" t="n">
        <v>18219</v>
      </c>
      <c r="C234" s="117" t="inlineStr">
        <is>
          <t>United Kingdom</t>
        </is>
      </c>
      <c r="D234" s="117" t="inlineStr">
        <is>
          <t>20983</t>
        </is>
      </c>
      <c r="E234" s="117" t="inlineStr">
        <is>
          <t>12 PENCILS TALL TUBE RED RETROSPOT</t>
        </is>
      </c>
      <c r="F234" s="117" t="n">
        <v>12</v>
      </c>
      <c r="G234" s="118" t="n">
        <v>0.85</v>
      </c>
      <c r="H234" s="118" t="n">
        <v>10.2</v>
      </c>
      <c r="I234" s="119" t="n">
        <v>40526</v>
      </c>
    </row>
    <row r="235">
      <c r="A235" s="114" t="inlineStr">
        <is>
          <t>538826</t>
        </is>
      </c>
      <c r="B235" s="114" t="n">
        <v>12370</v>
      </c>
      <c r="C235" s="114" t="inlineStr">
        <is>
          <t>Cyprus</t>
        </is>
      </c>
      <c r="D235" s="114" t="inlineStr">
        <is>
          <t>22745</t>
        </is>
      </c>
      <c r="E235" s="114" t="inlineStr">
        <is>
          <t xml:space="preserve">POPPY'S PLAYHOUSE BEDROOM </t>
        </is>
      </c>
      <c r="F235" s="114" t="n">
        <v>1</v>
      </c>
      <c r="G235" s="115" t="n">
        <v>2.1</v>
      </c>
      <c r="H235" s="115" t="n">
        <v>2.1</v>
      </c>
      <c r="I235" s="116" t="n">
        <v>40526</v>
      </c>
    </row>
    <row r="236">
      <c r="A236" s="117" t="inlineStr">
        <is>
          <t>538826</t>
        </is>
      </c>
      <c r="B236" s="117" t="n">
        <v>12370</v>
      </c>
      <c r="C236" s="117" t="inlineStr">
        <is>
          <t>Cyprus</t>
        </is>
      </c>
      <c r="D236" s="117" t="inlineStr">
        <is>
          <t>22784</t>
        </is>
      </c>
      <c r="E236" s="117" t="inlineStr">
        <is>
          <t xml:space="preserve">LANTERN CREAM GAZEBO </t>
        </is>
      </c>
      <c r="F236" s="117" t="n">
        <v>9</v>
      </c>
      <c r="G236" s="118" t="n">
        <v>4.95</v>
      </c>
      <c r="H236" s="118" t="n">
        <v>44.55</v>
      </c>
      <c r="I236" s="119" t="n">
        <v>40526</v>
      </c>
    </row>
    <row r="237">
      <c r="A237" s="114" t="inlineStr">
        <is>
          <t>538832</t>
        </is>
      </c>
      <c r="B237" s="114" t="n">
        <v>17158</v>
      </c>
      <c r="C237" s="114" t="inlineStr">
        <is>
          <t>United Kingdom</t>
        </is>
      </c>
      <c r="D237" s="114" t="inlineStr">
        <is>
          <t>84945</t>
        </is>
      </c>
      <c r="E237" s="114" t="inlineStr">
        <is>
          <t>MULTI COLOUR SILVER T-LIGHT HOLDER</t>
        </is>
      </c>
      <c r="F237" s="114" t="n">
        <v>12</v>
      </c>
      <c r="G237" s="115" t="n">
        <v>0.85</v>
      </c>
      <c r="H237" s="115" t="n">
        <v>10.2</v>
      </c>
      <c r="I237" s="116" t="n">
        <v>40526</v>
      </c>
    </row>
    <row r="238">
      <c r="A238" s="117" t="inlineStr">
        <is>
          <t>538839</t>
        </is>
      </c>
      <c r="B238" s="117" t="n">
        <v>14606</v>
      </c>
      <c r="C238" s="117" t="inlineStr">
        <is>
          <t>United Kingdom</t>
        </is>
      </c>
      <c r="D238" s="117" t="inlineStr">
        <is>
          <t>21934</t>
        </is>
      </c>
      <c r="E238" s="117" t="inlineStr">
        <is>
          <t>SKULL SHOULDER BAG</t>
        </is>
      </c>
      <c r="F238" s="117" t="n">
        <v>2</v>
      </c>
      <c r="G238" s="118" t="n">
        <v>1.65</v>
      </c>
      <c r="H238" s="118" t="n">
        <v>3.3</v>
      </c>
      <c r="I238" s="119" t="n">
        <v>40526</v>
      </c>
    </row>
    <row r="239">
      <c r="A239" s="114" t="inlineStr">
        <is>
          <t>538839</t>
        </is>
      </c>
      <c r="B239" s="114" t="n">
        <v>14606</v>
      </c>
      <c r="C239" s="114" t="inlineStr">
        <is>
          <t>United Kingdom</t>
        </is>
      </c>
      <c r="D239" s="114" t="inlineStr">
        <is>
          <t>22214</t>
        </is>
      </c>
      <c r="E239" s="114" t="inlineStr">
        <is>
          <t>CANDLE PLATE LACE WHITE</t>
        </is>
      </c>
      <c r="F239" s="114" t="n">
        <v>1</v>
      </c>
      <c r="G239" s="115" t="n">
        <v>2.55</v>
      </c>
      <c r="H239" s="115" t="n">
        <v>2.55</v>
      </c>
      <c r="I239" s="116" t="n">
        <v>40526</v>
      </c>
    </row>
    <row r="240">
      <c r="A240" s="117" t="inlineStr">
        <is>
          <t>538853</t>
        </is>
      </c>
      <c r="B240" s="117" t="n">
        <v>16805</v>
      </c>
      <c r="C240" s="117" t="inlineStr">
        <is>
          <t>United Kingdom</t>
        </is>
      </c>
      <c r="D240" s="117" t="inlineStr">
        <is>
          <t>20975</t>
        </is>
      </c>
      <c r="E240" s="117" t="inlineStr">
        <is>
          <t>12 PENCILS SMALL TUBE RED RETROSPOT</t>
        </is>
      </c>
      <c r="F240" s="117" t="n">
        <v>2</v>
      </c>
      <c r="G240" s="118" t="n">
        <v>0.65</v>
      </c>
      <c r="H240" s="118" t="n">
        <v>1.3</v>
      </c>
      <c r="I240" s="119" t="n">
        <v>40526</v>
      </c>
    </row>
    <row r="241">
      <c r="A241" s="114" t="inlineStr">
        <is>
          <t>538854</t>
        </is>
      </c>
      <c r="B241" s="114" t="n">
        <v>13102</v>
      </c>
      <c r="C241" s="114" t="inlineStr">
        <is>
          <t>United Kingdom</t>
        </is>
      </c>
      <c r="D241" s="114" t="inlineStr">
        <is>
          <t>22738</t>
        </is>
      </c>
      <c r="E241" s="114" t="inlineStr">
        <is>
          <t>RIBBON REEL SNOWY VILLAGE</t>
        </is>
      </c>
      <c r="F241" s="114" t="n">
        <v>10</v>
      </c>
      <c r="G241" s="115" t="n">
        <v>1.65</v>
      </c>
      <c r="H241" s="115" t="n">
        <v>16.5</v>
      </c>
      <c r="I241" s="116" t="n">
        <v>40526</v>
      </c>
    </row>
    <row r="242">
      <c r="A242" s="117" t="inlineStr">
        <is>
          <t>538879</t>
        </is>
      </c>
      <c r="B242" s="117" t="n">
        <v>15392</v>
      </c>
      <c r="C242" s="117" t="inlineStr">
        <is>
          <t>United Kingdom</t>
        </is>
      </c>
      <c r="D242" s="117" t="inlineStr">
        <is>
          <t>22595</t>
        </is>
      </c>
      <c r="E242" s="117" t="inlineStr">
        <is>
          <t>CHRISTMAS GINGHAM HEART</t>
        </is>
      </c>
      <c r="F242" s="117" t="n">
        <v>36</v>
      </c>
      <c r="G242" s="118" t="n">
        <v>0.85</v>
      </c>
      <c r="H242" s="118" t="n">
        <v>30.6</v>
      </c>
      <c r="I242" s="119" t="n">
        <v>40526</v>
      </c>
    </row>
    <row r="243">
      <c r="A243" s="114" t="inlineStr">
        <is>
          <t>538886</t>
        </is>
      </c>
      <c r="B243" s="114" t="n">
        <v>13846</v>
      </c>
      <c r="C243" s="114" t="inlineStr">
        <is>
          <t>United Kingdom</t>
        </is>
      </c>
      <c r="D243" s="114" t="inlineStr">
        <is>
          <t>21882</t>
        </is>
      </c>
      <c r="E243" s="114" t="inlineStr">
        <is>
          <t>SKULLS TAPE</t>
        </is>
      </c>
      <c r="F243" s="114" t="n">
        <v>12</v>
      </c>
      <c r="G243" s="115" t="n">
        <v>0.65</v>
      </c>
      <c r="H243" s="115" t="n">
        <v>7.8</v>
      </c>
      <c r="I243" s="116" t="n">
        <v>40526</v>
      </c>
    </row>
    <row r="244">
      <c r="A244" s="117" t="inlineStr">
        <is>
          <t>538886</t>
        </is>
      </c>
      <c r="B244" s="117" t="n">
        <v>13846</v>
      </c>
      <c r="C244" s="117" t="inlineStr">
        <is>
          <t>United Kingdom</t>
        </is>
      </c>
      <c r="D244" s="117" t="inlineStr">
        <is>
          <t>22327</t>
        </is>
      </c>
      <c r="E244" s="117" t="inlineStr">
        <is>
          <t>ROUND SNACK BOXES SET OF 4 SKULLS</t>
        </is>
      </c>
      <c r="F244" s="117" t="n">
        <v>6</v>
      </c>
      <c r="G244" s="118" t="n">
        <v>2.95</v>
      </c>
      <c r="H244" s="118" t="n">
        <v>17.7</v>
      </c>
      <c r="I244" s="119" t="n">
        <v>40526</v>
      </c>
    </row>
    <row r="245">
      <c r="A245" s="114" t="inlineStr">
        <is>
          <t>538917</t>
        </is>
      </c>
      <c r="B245" s="114" t="n">
        <v>17449</v>
      </c>
      <c r="C245" s="114" t="inlineStr">
        <is>
          <t>United Kingdom</t>
        </is>
      </c>
      <c r="D245" s="114" t="inlineStr">
        <is>
          <t>82494L</t>
        </is>
      </c>
      <c r="E245" s="114" t="inlineStr">
        <is>
          <t xml:space="preserve">WOODEN FRAME ANTIQUE WHITE </t>
        </is>
      </c>
      <c r="F245" s="114" t="n">
        <v>3</v>
      </c>
      <c r="G245" s="115" t="n">
        <v>2.95</v>
      </c>
      <c r="H245" s="115" t="n">
        <v>8.85</v>
      </c>
      <c r="I245" s="116" t="n">
        <v>40527</v>
      </c>
    </row>
    <row r="246">
      <c r="A246" s="117" t="inlineStr">
        <is>
          <t>538944</t>
        </is>
      </c>
      <c r="B246" s="117" t="n">
        <v>13295</v>
      </c>
      <c r="C246" s="117" t="inlineStr">
        <is>
          <t>United Kingdom</t>
        </is>
      </c>
      <c r="D246" s="117" t="inlineStr">
        <is>
          <t>21733</t>
        </is>
      </c>
      <c r="E246" s="117" t="inlineStr">
        <is>
          <t>RED HANGING HEART T-LIGHT HOLDER</t>
        </is>
      </c>
      <c r="F246" s="117" t="n">
        <v>6</v>
      </c>
      <c r="G246" s="118" t="n">
        <v>2.95</v>
      </c>
      <c r="H246" s="118" t="n">
        <v>17.7</v>
      </c>
      <c r="I246" s="119" t="n">
        <v>40527</v>
      </c>
    </row>
    <row r="247">
      <c r="A247" s="114" t="inlineStr">
        <is>
          <t>538951</t>
        </is>
      </c>
      <c r="B247" s="114" t="n">
        <v>16782</v>
      </c>
      <c r="C247" s="114" t="inlineStr">
        <is>
          <t>United Kingdom</t>
        </is>
      </c>
      <c r="D247" s="114" t="inlineStr">
        <is>
          <t>22697</t>
        </is>
      </c>
      <c r="E247" s="114" t="inlineStr">
        <is>
          <t>GREEN REGENCY TEACUP AND SAUCER</t>
        </is>
      </c>
      <c r="F247" s="114" t="n">
        <v>2</v>
      </c>
      <c r="G247" s="115" t="n">
        <v>2.95</v>
      </c>
      <c r="H247" s="115" t="n">
        <v>5.9</v>
      </c>
      <c r="I247" s="116" t="n">
        <v>40527</v>
      </c>
    </row>
    <row r="248">
      <c r="A248" s="117" t="inlineStr">
        <is>
          <t>538991</t>
        </is>
      </c>
      <c r="B248" s="117" t="n">
        <v>17511</v>
      </c>
      <c r="C248" s="117" t="inlineStr">
        <is>
          <t>United Kingdom</t>
        </is>
      </c>
      <c r="D248" s="117" t="inlineStr">
        <is>
          <t>22952</t>
        </is>
      </c>
      <c r="E248" s="117" t="inlineStr">
        <is>
          <t>60 CAKE CASES VINTAGE CHRISTMAS</t>
        </is>
      </c>
      <c r="F248" s="117" t="n">
        <v>120</v>
      </c>
      <c r="G248" s="118" t="n">
        <v>0.42</v>
      </c>
      <c r="H248" s="118" t="n">
        <v>50.4</v>
      </c>
      <c r="I248" s="119" t="n">
        <v>40527</v>
      </c>
    </row>
    <row r="249">
      <c r="A249" s="114" t="inlineStr">
        <is>
          <t>538992</t>
        </is>
      </c>
      <c r="B249" s="114" t="n">
        <v>15950</v>
      </c>
      <c r="C249" s="114" t="inlineStr">
        <is>
          <t>United Kingdom</t>
        </is>
      </c>
      <c r="D249" s="114" t="inlineStr">
        <is>
          <t>22113</t>
        </is>
      </c>
      <c r="E249" s="114" t="inlineStr">
        <is>
          <t>GREY HEART HOT WATER BOTTLE</t>
        </is>
      </c>
      <c r="F249" s="114" t="n">
        <v>5</v>
      </c>
      <c r="G249" s="115" t="n">
        <v>3.75</v>
      </c>
      <c r="H249" s="115" t="n">
        <v>18.75</v>
      </c>
      <c r="I249" s="116" t="n">
        <v>40527</v>
      </c>
    </row>
    <row r="250">
      <c r="A250" s="117" t="inlineStr">
        <is>
          <t>538999</t>
        </is>
      </c>
      <c r="B250" s="117" t="n">
        <v>16003</v>
      </c>
      <c r="C250" s="117" t="inlineStr">
        <is>
          <t>United Kingdom</t>
        </is>
      </c>
      <c r="D250" s="117" t="inlineStr">
        <is>
          <t>85141</t>
        </is>
      </c>
      <c r="E250" s="117" t="inlineStr">
        <is>
          <t>JARDIN ETCHED GLASS FRUITBOWL</t>
        </is>
      </c>
      <c r="F250" s="117" t="n">
        <v>2</v>
      </c>
      <c r="G250" s="118" t="n">
        <v>10.75</v>
      </c>
      <c r="H250" s="118" t="n">
        <v>21.5</v>
      </c>
      <c r="I250" s="119" t="n">
        <v>40527</v>
      </c>
    </row>
    <row r="251">
      <c r="A251" s="114" t="inlineStr">
        <is>
          <t>539002</t>
        </is>
      </c>
      <c r="B251" s="114" t="n">
        <v>14527</v>
      </c>
      <c r="C251" s="114" t="inlineStr">
        <is>
          <t>United Kingdom</t>
        </is>
      </c>
      <c r="D251" s="114" t="inlineStr">
        <is>
          <t>22624</t>
        </is>
      </c>
      <c r="E251" s="114" t="inlineStr">
        <is>
          <t>IVORY KITCHEN SCALES</t>
        </is>
      </c>
      <c r="F251" s="114" t="n">
        <v>1</v>
      </c>
      <c r="G251" s="115" t="n">
        <v>8.5</v>
      </c>
      <c r="H251" s="115" t="n">
        <v>8.5</v>
      </c>
      <c r="I251" s="116" t="n">
        <v>40527</v>
      </c>
    </row>
    <row r="252">
      <c r="A252" s="117" t="inlineStr">
        <is>
          <t>539009</t>
        </is>
      </c>
      <c r="B252" s="117" t="n">
        <v>13221</v>
      </c>
      <c r="C252" s="117" t="inlineStr">
        <is>
          <t>United Kingdom</t>
        </is>
      </c>
      <c r="D252" s="117" t="inlineStr">
        <is>
          <t>79329</t>
        </is>
      </c>
      <c r="E252" s="117" t="inlineStr">
        <is>
          <t>PINK FLOCK GLASS CANDLEHOLDER</t>
        </is>
      </c>
      <c r="F252" s="117" t="n">
        <v>6</v>
      </c>
      <c r="G252" s="118" t="n">
        <v>1.65</v>
      </c>
      <c r="H252" s="118" t="n">
        <v>9.9</v>
      </c>
      <c r="I252" s="119" t="n">
        <v>40527</v>
      </c>
    </row>
    <row r="253">
      <c r="A253" s="114" t="inlineStr">
        <is>
          <t>539009</t>
        </is>
      </c>
      <c r="B253" s="114" t="n">
        <v>13221</v>
      </c>
      <c r="C253" s="114" t="inlineStr">
        <is>
          <t>United Kingdom</t>
        </is>
      </c>
      <c r="D253" s="114" t="inlineStr">
        <is>
          <t>22423</t>
        </is>
      </c>
      <c r="E253" s="114" t="inlineStr">
        <is>
          <t>REGENCY CAKESTAND 3 TIER</t>
        </is>
      </c>
      <c r="F253" s="114" t="n">
        <v>3</v>
      </c>
      <c r="G253" s="115" t="n">
        <v>12.75</v>
      </c>
      <c r="H253" s="115" t="n">
        <v>38.25</v>
      </c>
      <c r="I253" s="116" t="n">
        <v>40527</v>
      </c>
    </row>
    <row r="254">
      <c r="A254" s="117" t="inlineStr">
        <is>
          <t>539012</t>
        </is>
      </c>
      <c r="B254" s="117" t="n">
        <v>17858</v>
      </c>
      <c r="C254" s="117" t="inlineStr">
        <is>
          <t>United Kingdom</t>
        </is>
      </c>
      <c r="D254" s="117" t="inlineStr">
        <is>
          <t>22774</t>
        </is>
      </c>
      <c r="E254" s="117" t="inlineStr">
        <is>
          <t>RED DRAWER KNOB ACRYLIC EDWARDIAN</t>
        </is>
      </c>
      <c r="F254" s="117" t="n">
        <v>192</v>
      </c>
      <c r="G254" s="118" t="n">
        <v>0.85</v>
      </c>
      <c r="H254" s="118" t="n">
        <v>163.2</v>
      </c>
      <c r="I254" s="119" t="n">
        <v>40527</v>
      </c>
    </row>
    <row r="255">
      <c r="A255" s="114" t="inlineStr">
        <is>
          <t>539012</t>
        </is>
      </c>
      <c r="B255" s="114" t="n">
        <v>17858</v>
      </c>
      <c r="C255" s="114" t="inlineStr">
        <is>
          <t>United Kingdom</t>
        </is>
      </c>
      <c r="D255" s="114" t="inlineStr">
        <is>
          <t>21670</t>
        </is>
      </c>
      <c r="E255" s="114" t="inlineStr">
        <is>
          <t>BLUE SPOT CERAMIC DRAWER KNOB</t>
        </is>
      </c>
      <c r="F255" s="114" t="n">
        <v>192</v>
      </c>
      <c r="G255" s="115" t="n">
        <v>0.85</v>
      </c>
      <c r="H255" s="115" t="n">
        <v>163.2</v>
      </c>
      <c r="I255" s="116" t="n">
        <v>40527</v>
      </c>
    </row>
    <row r="256">
      <c r="A256" s="117" t="inlineStr">
        <is>
          <t>539016</t>
        </is>
      </c>
      <c r="B256" s="117" t="n">
        <v>13418</v>
      </c>
      <c r="C256" s="117" t="inlineStr">
        <is>
          <t>United Kingdom</t>
        </is>
      </c>
      <c r="D256" s="117" t="inlineStr">
        <is>
          <t>22109</t>
        </is>
      </c>
      <c r="E256" s="117" t="inlineStr">
        <is>
          <t>FULL ENGLISH BREAKFAST PLATE</t>
        </is>
      </c>
      <c r="F256" s="117" t="n">
        <v>16</v>
      </c>
      <c r="G256" s="118" t="n">
        <v>3.39</v>
      </c>
      <c r="H256" s="118" t="n">
        <v>54.24</v>
      </c>
      <c r="I256" s="119" t="n">
        <v>40527</v>
      </c>
    </row>
    <row r="257">
      <c r="A257" s="114" t="inlineStr">
        <is>
          <t>539036</t>
        </is>
      </c>
      <c r="B257" s="114" t="n">
        <v>14913</v>
      </c>
      <c r="C257" s="114" t="inlineStr">
        <is>
          <t>United Kingdom</t>
        </is>
      </c>
      <c r="D257" s="114" t="inlineStr">
        <is>
          <t>16225</t>
        </is>
      </c>
      <c r="E257" s="114" t="inlineStr">
        <is>
          <t>RATTLE SNAKE EGGS</t>
        </is>
      </c>
      <c r="F257" s="114" t="n">
        <v>24</v>
      </c>
      <c r="G257" s="115" t="n">
        <v>0.42</v>
      </c>
      <c r="H257" s="115" t="n">
        <v>10.08</v>
      </c>
      <c r="I257" s="116" t="n">
        <v>40527</v>
      </c>
    </row>
    <row r="258">
      <c r="A258" s="117" t="inlineStr">
        <is>
          <t>539044</t>
        </is>
      </c>
      <c r="B258" s="117" t="n">
        <v>15727</v>
      </c>
      <c r="C258" s="117" t="inlineStr">
        <is>
          <t>United Kingdom</t>
        </is>
      </c>
      <c r="D258" s="117" t="inlineStr">
        <is>
          <t>22197</t>
        </is>
      </c>
      <c r="E258" s="117" t="inlineStr">
        <is>
          <t>SMALL POPCORN HOLDER</t>
        </is>
      </c>
      <c r="F258" s="117" t="n">
        <v>29</v>
      </c>
      <c r="G258" s="118" t="n">
        <v>0.85</v>
      </c>
      <c r="H258" s="118" t="n">
        <v>24.65</v>
      </c>
      <c r="I258" s="119" t="n">
        <v>40527</v>
      </c>
    </row>
    <row r="259">
      <c r="A259" s="114" t="inlineStr">
        <is>
          <t>539044</t>
        </is>
      </c>
      <c r="B259" s="114" t="n">
        <v>15727</v>
      </c>
      <c r="C259" s="114" t="inlineStr">
        <is>
          <t>United Kingdom</t>
        </is>
      </c>
      <c r="D259" s="114" t="inlineStr">
        <is>
          <t>22111</t>
        </is>
      </c>
      <c r="E259" s="114" t="inlineStr">
        <is>
          <t>SCOTTIE DOG HOT WATER BOTTLE</t>
        </is>
      </c>
      <c r="F259" s="114" t="n">
        <v>2</v>
      </c>
      <c r="G259" s="115" t="n">
        <v>4.95</v>
      </c>
      <c r="H259" s="115" t="n">
        <v>9.9</v>
      </c>
      <c r="I259" s="116" t="n">
        <v>40527</v>
      </c>
    </row>
    <row r="260">
      <c r="A260" s="117" t="inlineStr">
        <is>
          <t>539053</t>
        </is>
      </c>
      <c r="B260" s="117" t="n">
        <v>16725</v>
      </c>
      <c r="C260" s="117" t="inlineStr">
        <is>
          <t>United Kingdom</t>
        </is>
      </c>
      <c r="D260" s="117" t="inlineStr">
        <is>
          <t>22941</t>
        </is>
      </c>
      <c r="E260" s="117" t="inlineStr">
        <is>
          <t>CHRISTMAS LIGHTS 10 REINDEER</t>
        </is>
      </c>
      <c r="F260" s="117" t="n">
        <v>1</v>
      </c>
      <c r="G260" s="118" t="n">
        <v>8.5</v>
      </c>
      <c r="H260" s="118" t="n">
        <v>8.5</v>
      </c>
      <c r="I260" s="119" t="n">
        <v>40527</v>
      </c>
    </row>
    <row r="261">
      <c r="A261" s="114" t="inlineStr">
        <is>
          <t>539075</t>
        </is>
      </c>
      <c r="B261" s="114" t="n">
        <v>17189</v>
      </c>
      <c r="C261" s="114" t="inlineStr">
        <is>
          <t>United Kingdom</t>
        </is>
      </c>
      <c r="D261" s="114" t="inlineStr">
        <is>
          <t>84029G</t>
        </is>
      </c>
      <c r="E261" s="114" t="inlineStr">
        <is>
          <t>KNITTED UNION FLAG HOT WATER BOTTLE</t>
        </is>
      </c>
      <c r="F261" s="114" t="n">
        <v>4</v>
      </c>
      <c r="G261" s="115" t="n">
        <v>3.75</v>
      </c>
      <c r="H261" s="115" t="n">
        <v>15</v>
      </c>
      <c r="I261" s="116" t="n">
        <v>40527</v>
      </c>
    </row>
    <row r="262">
      <c r="A262" s="117" t="inlineStr">
        <is>
          <t>539082</t>
        </is>
      </c>
      <c r="B262" s="117" t="n">
        <v>13317</v>
      </c>
      <c r="C262" s="117" t="inlineStr">
        <is>
          <t>United Kingdom</t>
        </is>
      </c>
      <c r="D262" s="117" t="inlineStr">
        <is>
          <t>84992</t>
        </is>
      </c>
      <c r="E262" s="117" t="inlineStr">
        <is>
          <t>72 SWEETHEART FAIRY CAKE CASES</t>
        </is>
      </c>
      <c r="F262" s="117" t="n">
        <v>24</v>
      </c>
      <c r="G262" s="118" t="n">
        <v>0.55</v>
      </c>
      <c r="H262" s="118" t="n">
        <v>13.2</v>
      </c>
      <c r="I262" s="119" t="n">
        <v>40528</v>
      </c>
    </row>
    <row r="263">
      <c r="A263" s="114" t="inlineStr">
        <is>
          <t>539082</t>
        </is>
      </c>
      <c r="B263" s="114" t="n">
        <v>13317</v>
      </c>
      <c r="C263" s="114" t="inlineStr">
        <is>
          <t>United Kingdom</t>
        </is>
      </c>
      <c r="D263" s="114" t="inlineStr">
        <is>
          <t>21527</t>
        </is>
      </c>
      <c r="E263" s="114" t="inlineStr">
        <is>
          <t xml:space="preserve">RED RETROSPOT TRADITIONAL TEAPOT </t>
        </is>
      </c>
      <c r="F263" s="114" t="n">
        <v>2</v>
      </c>
      <c r="G263" s="115" t="n">
        <v>7.95</v>
      </c>
      <c r="H263" s="115" t="n">
        <v>15.9</v>
      </c>
      <c r="I263" s="116" t="n">
        <v>40528</v>
      </c>
    </row>
    <row r="264">
      <c r="A264" s="117" t="inlineStr">
        <is>
          <t>539091</t>
        </is>
      </c>
      <c r="B264" s="117" t="n">
        <v>13756</v>
      </c>
      <c r="C264" s="117" t="inlineStr">
        <is>
          <t>United Kingdom</t>
        </is>
      </c>
      <c r="D264" s="117" t="inlineStr">
        <is>
          <t>21741</t>
        </is>
      </c>
      <c r="E264" s="117" t="inlineStr">
        <is>
          <t>COSY SLIPPER SHOES LARGE GREEN</t>
        </is>
      </c>
      <c r="F264" s="117" t="n">
        <v>6</v>
      </c>
      <c r="G264" s="118" t="n">
        <v>2.95</v>
      </c>
      <c r="H264" s="118" t="n">
        <v>17.7</v>
      </c>
      <c r="I264" s="119" t="n">
        <v>40528</v>
      </c>
    </row>
    <row r="265">
      <c r="A265" s="114" t="inlineStr">
        <is>
          <t>539102</t>
        </is>
      </c>
      <c r="B265" s="114" t="n">
        <v>16029</v>
      </c>
      <c r="C265" s="114" t="inlineStr">
        <is>
          <t>United Kingdom</t>
        </is>
      </c>
      <c r="D265" s="114" t="inlineStr">
        <is>
          <t>85152</t>
        </is>
      </c>
      <c r="E265" s="114" t="inlineStr">
        <is>
          <t xml:space="preserve">HAND OVER THE CHOCOLATE   SIGN </t>
        </is>
      </c>
      <c r="F265" s="114" t="n">
        <v>144</v>
      </c>
      <c r="G265" s="115" t="n">
        <v>1.53</v>
      </c>
      <c r="H265" s="115" t="n">
        <v>220.32</v>
      </c>
      <c r="I265" s="116" t="n">
        <v>40528</v>
      </c>
    </row>
    <row r="266">
      <c r="A266" s="117" t="inlineStr">
        <is>
          <t>539103</t>
        </is>
      </c>
      <c r="B266" s="117" t="n">
        <v>16985</v>
      </c>
      <c r="C266" s="117" t="inlineStr">
        <is>
          <t>United Kingdom</t>
        </is>
      </c>
      <c r="D266" s="117" t="inlineStr">
        <is>
          <t>21871</t>
        </is>
      </c>
      <c r="E266" s="117" t="inlineStr">
        <is>
          <t>SAVE THE PLANET MUG</t>
        </is>
      </c>
      <c r="F266" s="117" t="n">
        <v>12</v>
      </c>
      <c r="G266" s="118" t="n">
        <v>1.25</v>
      </c>
      <c r="H266" s="118" t="n">
        <v>15</v>
      </c>
      <c r="I266" s="119" t="n">
        <v>40528</v>
      </c>
    </row>
    <row r="267">
      <c r="A267" s="114" t="inlineStr">
        <is>
          <t>539106</t>
        </is>
      </c>
      <c r="B267" s="114" t="n">
        <v>16705</v>
      </c>
      <c r="C267" s="114" t="inlineStr">
        <is>
          <t>United Kingdom</t>
        </is>
      </c>
      <c r="D267" s="114" t="inlineStr">
        <is>
          <t>22625</t>
        </is>
      </c>
      <c r="E267" s="114" t="inlineStr">
        <is>
          <t>RED KITCHEN SCALES</t>
        </is>
      </c>
      <c r="F267" s="114" t="n">
        <v>12</v>
      </c>
      <c r="G267" s="115" t="n">
        <v>7.65</v>
      </c>
      <c r="H267" s="115" t="n">
        <v>91.8</v>
      </c>
      <c r="I267" s="116" t="n">
        <v>40528</v>
      </c>
    </row>
    <row r="268">
      <c r="A268" s="117" t="inlineStr">
        <is>
          <t>539112</t>
        </is>
      </c>
      <c r="B268" s="117" t="n">
        <v>13468</v>
      </c>
      <c r="C268" s="117" t="inlineStr">
        <is>
          <t>United Kingdom</t>
        </is>
      </c>
      <c r="D268" s="117" t="inlineStr">
        <is>
          <t>84879</t>
        </is>
      </c>
      <c r="E268" s="117" t="inlineStr">
        <is>
          <t>ASSORTED COLOUR BIRD ORNAMENT</t>
        </is>
      </c>
      <c r="F268" s="117" t="n">
        <v>8</v>
      </c>
      <c r="G268" s="118" t="n">
        <v>1.69</v>
      </c>
      <c r="H268" s="118" t="n">
        <v>13.52</v>
      </c>
      <c r="I268" s="119" t="n">
        <v>40528</v>
      </c>
    </row>
    <row r="269">
      <c r="A269" s="114" t="inlineStr">
        <is>
          <t>539118</t>
        </is>
      </c>
      <c r="B269" s="114" t="n">
        <v>15563</v>
      </c>
      <c r="C269" s="114" t="inlineStr">
        <is>
          <t>United Kingdom</t>
        </is>
      </c>
      <c r="D269" s="114" t="inlineStr">
        <is>
          <t>22554</t>
        </is>
      </c>
      <c r="E269" s="114" t="inlineStr">
        <is>
          <t>PLASTERS IN TIN WOODLAND ANIMALS</t>
        </is>
      </c>
      <c r="F269" s="114" t="n">
        <v>5</v>
      </c>
      <c r="G269" s="115" t="n">
        <v>1.65</v>
      </c>
      <c r="H269" s="115" t="n">
        <v>8.25</v>
      </c>
      <c r="I269" s="116" t="n">
        <v>40528</v>
      </c>
    </row>
    <row r="270">
      <c r="A270" s="117" t="inlineStr">
        <is>
          <t>539118</t>
        </is>
      </c>
      <c r="B270" s="117" t="n">
        <v>15563</v>
      </c>
      <c r="C270" s="117" t="inlineStr">
        <is>
          <t>United Kingdom</t>
        </is>
      </c>
      <c r="D270" s="117" t="inlineStr">
        <is>
          <t>21918</t>
        </is>
      </c>
      <c r="E270" s="117" t="inlineStr">
        <is>
          <t>SET 12 KIDS COLOUR  CHALK STICKS</t>
        </is>
      </c>
      <c r="F270" s="117" t="n">
        <v>12</v>
      </c>
      <c r="G270" s="118" t="n">
        <v>0.42</v>
      </c>
      <c r="H270" s="118" t="n">
        <v>5.04</v>
      </c>
      <c r="I270" s="119" t="n">
        <v>40528</v>
      </c>
    </row>
    <row r="271">
      <c r="A271" s="114" t="inlineStr">
        <is>
          <t>539215</t>
        </is>
      </c>
      <c r="B271" s="114" t="n">
        <v>15574</v>
      </c>
      <c r="C271" s="114" t="inlineStr">
        <is>
          <t>United Kingdom</t>
        </is>
      </c>
      <c r="D271" s="114" t="inlineStr">
        <is>
          <t>22585</t>
        </is>
      </c>
      <c r="E271" s="114" t="inlineStr">
        <is>
          <t>PACK OF 6 BIRDY GIFT TAGS</t>
        </is>
      </c>
      <c r="F271" s="114" t="n">
        <v>4</v>
      </c>
      <c r="G271" s="115" t="n">
        <v>1.25</v>
      </c>
      <c r="H271" s="115" t="n">
        <v>5</v>
      </c>
      <c r="I271" s="116" t="n">
        <v>40528</v>
      </c>
    </row>
    <row r="272">
      <c r="A272" s="117" t="inlineStr">
        <is>
          <t>539222</t>
        </is>
      </c>
      <c r="B272" s="117" t="n">
        <v>14621</v>
      </c>
      <c r="C272" s="117" t="inlineStr">
        <is>
          <t>United Kingdom</t>
        </is>
      </c>
      <c r="D272" s="117" t="inlineStr">
        <is>
          <t>20726</t>
        </is>
      </c>
      <c r="E272" s="117" t="inlineStr">
        <is>
          <t>LUNCH BAG WOODLAND</t>
        </is>
      </c>
      <c r="F272" s="117" t="n">
        <v>10</v>
      </c>
      <c r="G272" s="118" t="n">
        <v>1.65</v>
      </c>
      <c r="H272" s="118" t="n">
        <v>16.5</v>
      </c>
      <c r="I272" s="119" t="n">
        <v>40528</v>
      </c>
    </row>
    <row r="273">
      <c r="A273" s="114" t="inlineStr">
        <is>
          <t>539243</t>
        </is>
      </c>
      <c r="B273" s="114" t="n">
        <v>18116</v>
      </c>
      <c r="C273" s="114" t="inlineStr">
        <is>
          <t>United Kingdom</t>
        </is>
      </c>
      <c r="D273" s="114" t="inlineStr">
        <is>
          <t>82494L</t>
        </is>
      </c>
      <c r="E273" s="114" t="inlineStr">
        <is>
          <t xml:space="preserve">WOODEN FRAME ANTIQUE WHITE </t>
        </is>
      </c>
      <c r="F273" s="114" t="n">
        <v>2</v>
      </c>
      <c r="G273" s="115" t="n">
        <v>2.95</v>
      </c>
      <c r="H273" s="115" t="n">
        <v>5.9</v>
      </c>
      <c r="I273" s="116" t="n">
        <v>40528</v>
      </c>
    </row>
    <row r="274">
      <c r="A274" s="117" t="inlineStr">
        <is>
          <t>539243</t>
        </is>
      </c>
      <c r="B274" s="117" t="n">
        <v>18116</v>
      </c>
      <c r="C274" s="117" t="inlineStr">
        <is>
          <t>United Kingdom</t>
        </is>
      </c>
      <c r="D274" s="117" t="inlineStr">
        <is>
          <t>85039A</t>
        </is>
      </c>
      <c r="E274" s="117" t="inlineStr">
        <is>
          <t>SET/4 RED MINI ROSE CANDLE IN BOWL</t>
        </is>
      </c>
      <c r="F274" s="117" t="n">
        <v>1</v>
      </c>
      <c r="G274" s="118" t="n">
        <v>1.65</v>
      </c>
      <c r="H274" s="118" t="n">
        <v>1.65</v>
      </c>
      <c r="I274" s="119" t="n">
        <v>40528</v>
      </c>
    </row>
    <row r="275">
      <c r="A275" s="114" t="inlineStr">
        <is>
          <t>539250</t>
        </is>
      </c>
      <c r="B275" s="114" t="n">
        <v>15157</v>
      </c>
      <c r="C275" s="114" t="inlineStr">
        <is>
          <t>United Kingdom</t>
        </is>
      </c>
      <c r="D275" s="114" t="inlineStr">
        <is>
          <t>22640</t>
        </is>
      </c>
      <c r="E275" s="114" t="inlineStr">
        <is>
          <t xml:space="preserve">SET OF 4 NAPKIN CHARMS 3 KEYS </t>
        </is>
      </c>
      <c r="F275" s="114" t="n">
        <v>32</v>
      </c>
      <c r="G275" s="115" t="n">
        <v>0.85</v>
      </c>
      <c r="H275" s="115" t="n">
        <v>27.2</v>
      </c>
      <c r="I275" s="116" t="n">
        <v>40528</v>
      </c>
    </row>
    <row r="276">
      <c r="A276" s="117" t="inlineStr">
        <is>
          <t>539250</t>
        </is>
      </c>
      <c r="B276" s="117" t="n">
        <v>15157</v>
      </c>
      <c r="C276" s="117" t="inlineStr">
        <is>
          <t>United Kingdom</t>
        </is>
      </c>
      <c r="D276" s="117" t="inlineStr">
        <is>
          <t>85034C</t>
        </is>
      </c>
      <c r="E276" s="117" t="inlineStr">
        <is>
          <t>3 ROSE MORRIS BOXED CANDLES</t>
        </is>
      </c>
      <c r="F276" s="117" t="n">
        <v>12</v>
      </c>
      <c r="G276" s="118" t="n">
        <v>1.25</v>
      </c>
      <c r="H276" s="118" t="n">
        <v>15</v>
      </c>
      <c r="I276" s="119" t="n">
        <v>40528</v>
      </c>
    </row>
    <row r="277">
      <c r="A277" s="114" t="inlineStr">
        <is>
          <t>539259</t>
        </is>
      </c>
      <c r="B277" s="114" t="n">
        <v>13050</v>
      </c>
      <c r="C277" s="114" t="inlineStr">
        <is>
          <t>United Kingdom</t>
        </is>
      </c>
      <c r="D277" s="114" t="inlineStr">
        <is>
          <t>22652</t>
        </is>
      </c>
      <c r="E277" s="114" t="inlineStr">
        <is>
          <t>TRAVEL SEWING KIT</t>
        </is>
      </c>
      <c r="F277" s="114" t="n">
        <v>10</v>
      </c>
      <c r="G277" s="115" t="n">
        <v>1.65</v>
      </c>
      <c r="H277" s="115" t="n">
        <v>16.5</v>
      </c>
      <c r="I277" s="116" t="n">
        <v>40528</v>
      </c>
    </row>
    <row r="278">
      <c r="A278" s="117" t="inlineStr">
        <is>
          <t>539262</t>
        </is>
      </c>
      <c r="B278" s="117" t="n">
        <v>15789</v>
      </c>
      <c r="C278" s="117" t="inlineStr">
        <is>
          <t>United Kingdom</t>
        </is>
      </c>
      <c r="D278" s="117" t="inlineStr">
        <is>
          <t>85159B</t>
        </is>
      </c>
      <c r="E278" s="117" t="inlineStr">
        <is>
          <t>WHITE TEA,COFFEE,SUGAR JARS</t>
        </is>
      </c>
      <c r="F278" s="117" t="n">
        <v>12</v>
      </c>
      <c r="G278" s="118" t="n">
        <v>1.25</v>
      </c>
      <c r="H278" s="118" t="n">
        <v>15</v>
      </c>
      <c r="I278" s="119" t="n">
        <v>40528</v>
      </c>
    </row>
    <row r="279">
      <c r="A279" s="114" t="inlineStr">
        <is>
          <t>539263</t>
        </is>
      </c>
      <c r="B279" s="114" t="n">
        <v>16560</v>
      </c>
      <c r="C279" s="114" t="inlineStr">
        <is>
          <t>United Kingdom</t>
        </is>
      </c>
      <c r="D279" s="114" t="inlineStr">
        <is>
          <t>22909</t>
        </is>
      </c>
      <c r="E279" s="114" t="inlineStr">
        <is>
          <t>SET OF 20 VINTAGE CHRISTMAS NAPKINS</t>
        </is>
      </c>
      <c r="F279" s="114" t="n">
        <v>12</v>
      </c>
      <c r="G279" s="115" t="n">
        <v>0.85</v>
      </c>
      <c r="H279" s="115" t="n">
        <v>10.2</v>
      </c>
      <c r="I279" s="116" t="n">
        <v>40528</v>
      </c>
    </row>
    <row r="280">
      <c r="A280" s="117" t="inlineStr">
        <is>
          <t>539263</t>
        </is>
      </c>
      <c r="B280" s="117" t="n">
        <v>16560</v>
      </c>
      <c r="C280" s="117" t="inlineStr">
        <is>
          <t>United Kingdom</t>
        </is>
      </c>
      <c r="D280" s="117" t="inlineStr">
        <is>
          <t>21231</t>
        </is>
      </c>
      <c r="E280" s="117" t="inlineStr">
        <is>
          <t>SWEETHEART CERAMIC TRINKET BOX</t>
        </is>
      </c>
      <c r="F280" s="117" t="n">
        <v>12</v>
      </c>
      <c r="G280" s="118" t="n">
        <v>1.25</v>
      </c>
      <c r="H280" s="118" t="n">
        <v>15</v>
      </c>
      <c r="I280" s="119" t="n">
        <v>40528</v>
      </c>
    </row>
    <row r="281">
      <c r="A281" s="114" t="inlineStr">
        <is>
          <t>539281</t>
        </is>
      </c>
      <c r="B281" s="114" t="n">
        <v>18176</v>
      </c>
      <c r="C281" s="114" t="inlineStr">
        <is>
          <t>United Kingdom</t>
        </is>
      </c>
      <c r="D281" s="114" t="inlineStr">
        <is>
          <t>20854</t>
        </is>
      </c>
      <c r="E281" s="114" t="inlineStr">
        <is>
          <t>BLUE PATCH PURSE PINK HEART</t>
        </is>
      </c>
      <c r="F281" s="114" t="n">
        <v>20</v>
      </c>
      <c r="G281" s="115" t="n">
        <v>1.65</v>
      </c>
      <c r="H281" s="115" t="n">
        <v>33</v>
      </c>
      <c r="I281" s="116" t="n">
        <v>40528</v>
      </c>
    </row>
    <row r="282">
      <c r="A282" s="117" t="inlineStr">
        <is>
          <t>539318</t>
        </is>
      </c>
      <c r="B282" s="117" t="n">
        <v>12348</v>
      </c>
      <c r="C282" s="117" t="inlineStr">
        <is>
          <t>Finland</t>
        </is>
      </c>
      <c r="D282" s="117" t="inlineStr">
        <is>
          <t>21981</t>
        </is>
      </c>
      <c r="E282" s="117" t="inlineStr">
        <is>
          <t xml:space="preserve">PACK OF 12 WOODLAND TISSUES </t>
        </is>
      </c>
      <c r="F282" s="117" t="n">
        <v>144</v>
      </c>
      <c r="G282" s="118" t="n">
        <v>0.29</v>
      </c>
      <c r="H282" s="118" t="n">
        <v>41.76</v>
      </c>
      <c r="I282" s="119" t="n">
        <v>40528</v>
      </c>
    </row>
    <row r="283">
      <c r="A283" s="114" t="inlineStr">
        <is>
          <t>539324</t>
        </is>
      </c>
      <c r="B283" s="114" t="n">
        <v>14985</v>
      </c>
      <c r="C283" s="114" t="inlineStr">
        <is>
          <t>United Kingdom</t>
        </is>
      </c>
      <c r="D283" s="114" t="inlineStr">
        <is>
          <t>21791</t>
        </is>
      </c>
      <c r="E283" s="114" t="inlineStr">
        <is>
          <t xml:space="preserve">VINTAGE HEADS AND TAILS CARD GAME </t>
        </is>
      </c>
      <c r="F283" s="114" t="n">
        <v>1</v>
      </c>
      <c r="G283" s="115" t="n">
        <v>1.25</v>
      </c>
      <c r="H283" s="115" t="n">
        <v>1.25</v>
      </c>
      <c r="I283" s="116" t="n">
        <v>40528</v>
      </c>
    </row>
    <row r="284">
      <c r="A284" s="117" t="inlineStr">
        <is>
          <t>539324</t>
        </is>
      </c>
      <c r="B284" s="117" t="n">
        <v>14985</v>
      </c>
      <c r="C284" s="117" t="inlineStr">
        <is>
          <t>United Kingdom</t>
        </is>
      </c>
      <c r="D284" s="117" t="inlineStr">
        <is>
          <t>22493</t>
        </is>
      </c>
      <c r="E284" s="117" t="inlineStr">
        <is>
          <t>PAINT YOUR OWN CANVAS SET</t>
        </is>
      </c>
      <c r="F284" s="117" t="n">
        <v>1</v>
      </c>
      <c r="G284" s="118" t="n">
        <v>1.65</v>
      </c>
      <c r="H284" s="118" t="n">
        <v>1.65</v>
      </c>
      <c r="I284" s="119" t="n">
        <v>40528</v>
      </c>
    </row>
    <row r="285">
      <c r="A285" s="114" t="inlineStr">
        <is>
          <t>539330</t>
        </is>
      </c>
      <c r="B285" s="114" t="n">
        <v>12370</v>
      </c>
      <c r="C285" s="114" t="inlineStr">
        <is>
          <t>Austria</t>
        </is>
      </c>
      <c r="D285" s="114" t="inlineStr">
        <is>
          <t>22313</t>
        </is>
      </c>
      <c r="E285" s="114" t="inlineStr">
        <is>
          <t>OFFICE MUG WARMER PINK</t>
        </is>
      </c>
      <c r="F285" s="114" t="n">
        <v>6</v>
      </c>
      <c r="G285" s="115" t="n">
        <v>2.95</v>
      </c>
      <c r="H285" s="115" t="n">
        <v>17.7</v>
      </c>
      <c r="I285" s="116" t="n">
        <v>40529</v>
      </c>
    </row>
    <row r="286">
      <c r="A286" s="117" t="inlineStr">
        <is>
          <t>539333</t>
        </is>
      </c>
      <c r="B286" s="117" t="n">
        <v>13627</v>
      </c>
      <c r="C286" s="117" t="inlineStr">
        <is>
          <t>United Kingdom</t>
        </is>
      </c>
      <c r="D286" s="117" t="inlineStr">
        <is>
          <t>22720</t>
        </is>
      </c>
      <c r="E286" s="117" t="inlineStr">
        <is>
          <t xml:space="preserve">SET OF 3 CAKE TINS PANTRY DESIGN </t>
        </is>
      </c>
      <c r="F286" s="117" t="n">
        <v>3</v>
      </c>
      <c r="G286" s="118" t="n">
        <v>4.95</v>
      </c>
      <c r="H286" s="118" t="n">
        <v>14.85</v>
      </c>
      <c r="I286" s="119" t="n">
        <v>40529</v>
      </c>
    </row>
    <row r="287">
      <c r="A287" s="114" t="inlineStr">
        <is>
          <t>539338</t>
        </is>
      </c>
      <c r="B287" s="114" t="n">
        <v>17404</v>
      </c>
      <c r="C287" s="114" t="inlineStr">
        <is>
          <t>Sweden</t>
        </is>
      </c>
      <c r="D287" s="114" t="inlineStr">
        <is>
          <t>22721</t>
        </is>
      </c>
      <c r="E287" s="114" t="inlineStr">
        <is>
          <t>SET OF 3 CAKE TINS SKETCHBOOK</t>
        </is>
      </c>
      <c r="F287" s="114" t="n">
        <v>3</v>
      </c>
      <c r="G287" s="115" t="n">
        <v>4.95</v>
      </c>
      <c r="H287" s="115" t="n">
        <v>14.85</v>
      </c>
      <c r="I287" s="116" t="n">
        <v>40529</v>
      </c>
    </row>
    <row r="288">
      <c r="A288" s="117" t="inlineStr">
        <is>
          <t>539351</t>
        </is>
      </c>
      <c r="B288" s="117" t="n">
        <v>12551</v>
      </c>
      <c r="C288" s="117" t="inlineStr">
        <is>
          <t>Spain</t>
        </is>
      </c>
      <c r="D288" s="117" t="inlineStr">
        <is>
          <t>21934</t>
        </is>
      </c>
      <c r="E288" s="117" t="inlineStr">
        <is>
          <t>SKULL SHOULDER BAG</t>
        </is>
      </c>
      <c r="F288" s="117" t="n">
        <v>10</v>
      </c>
      <c r="G288" s="118" t="n">
        <v>1.65</v>
      </c>
      <c r="H288" s="118" t="n">
        <v>16.5</v>
      </c>
      <c r="I288" s="119" t="n">
        <v>40529</v>
      </c>
    </row>
    <row r="289">
      <c r="A289" s="114" t="inlineStr">
        <is>
          <t>539353</t>
        </is>
      </c>
      <c r="B289" s="114" t="n">
        <v>12782</v>
      </c>
      <c r="C289" s="114" t="inlineStr">
        <is>
          <t>Portugal</t>
        </is>
      </c>
      <c r="D289" s="114" t="inlineStr">
        <is>
          <t>84584</t>
        </is>
      </c>
      <c r="E289" s="114" t="inlineStr">
        <is>
          <t>PINK GINGHAM CAT WITH SCARF</t>
        </is>
      </c>
      <c r="F289" s="114" t="n">
        <v>6</v>
      </c>
      <c r="G289" s="115" t="n">
        <v>2.55</v>
      </c>
      <c r="H289" s="115" t="n">
        <v>15.3</v>
      </c>
      <c r="I289" s="116" t="n">
        <v>40529</v>
      </c>
    </row>
    <row r="290">
      <c r="A290" s="117" t="inlineStr">
        <is>
          <t>539374</t>
        </is>
      </c>
      <c r="B290" s="117" t="n">
        <v>14769</v>
      </c>
      <c r="C290" s="117" t="inlineStr">
        <is>
          <t>United Kingdom</t>
        </is>
      </c>
      <c r="D290" s="117" t="inlineStr">
        <is>
          <t>82483</t>
        </is>
      </c>
      <c r="E290" s="117" t="inlineStr">
        <is>
          <t>WOOD 2 DRAWER CABINET WHITE FINISH</t>
        </is>
      </c>
      <c r="F290" s="117" t="n">
        <v>4</v>
      </c>
      <c r="G290" s="118" t="n">
        <v>5.95</v>
      </c>
      <c r="H290" s="118" t="n">
        <v>23.8</v>
      </c>
      <c r="I290" s="119" t="n">
        <v>40529</v>
      </c>
    </row>
    <row r="291">
      <c r="A291" s="114" t="inlineStr">
        <is>
          <t>539374</t>
        </is>
      </c>
      <c r="B291" s="114" t="n">
        <v>14769</v>
      </c>
      <c r="C291" s="114" t="inlineStr">
        <is>
          <t>United Kingdom</t>
        </is>
      </c>
      <c r="D291" s="114" t="inlineStr">
        <is>
          <t>22030</t>
        </is>
      </c>
      <c r="E291" s="114" t="inlineStr">
        <is>
          <t>SWALLOWS GREETING CARD</t>
        </is>
      </c>
      <c r="F291" s="114" t="n">
        <v>12</v>
      </c>
      <c r="G291" s="115" t="n">
        <v>0.42</v>
      </c>
      <c r="H291" s="115" t="n">
        <v>5.04</v>
      </c>
      <c r="I291" s="116" t="n">
        <v>40529</v>
      </c>
    </row>
    <row r="292">
      <c r="A292" s="117" t="inlineStr">
        <is>
          <t>539442</t>
        </is>
      </c>
      <c r="B292" s="117" t="n">
        <v>16558</v>
      </c>
      <c r="C292" s="117" t="inlineStr">
        <is>
          <t>United Kingdom</t>
        </is>
      </c>
      <c r="D292" s="117" t="inlineStr">
        <is>
          <t>22112</t>
        </is>
      </c>
      <c r="E292" s="117" t="inlineStr">
        <is>
          <t>CHOCOLATE HOT WATER BOTTLE</t>
        </is>
      </c>
      <c r="F292" s="117" t="n">
        <v>6</v>
      </c>
      <c r="G292" s="118" t="n">
        <v>4.95</v>
      </c>
      <c r="H292" s="118" t="n">
        <v>29.7</v>
      </c>
      <c r="I292" s="119" t="n">
        <v>40529</v>
      </c>
    </row>
    <row r="293">
      <c r="A293" s="114" t="inlineStr">
        <is>
          <t>539444</t>
        </is>
      </c>
      <c r="B293" s="114" t="n">
        <v>14146</v>
      </c>
      <c r="C293" s="114" t="inlineStr">
        <is>
          <t>United Kingdom</t>
        </is>
      </c>
      <c r="D293" s="114" t="inlineStr">
        <is>
          <t>85199L</t>
        </is>
      </c>
      <c r="E293" s="114" t="inlineStr">
        <is>
          <t>LARGE HANGING IVORY &amp; RED WOOD BIRD</t>
        </is>
      </c>
      <c r="F293" s="114" t="n">
        <v>12</v>
      </c>
      <c r="G293" s="115" t="n">
        <v>0.65</v>
      </c>
      <c r="H293" s="115" t="n">
        <v>7.8</v>
      </c>
      <c r="I293" s="116" t="n">
        <v>40529</v>
      </c>
    </row>
    <row r="294">
      <c r="A294" s="117" t="inlineStr">
        <is>
          <t>539462</t>
        </is>
      </c>
      <c r="B294" s="117" t="n">
        <v>14032</v>
      </c>
      <c r="C294" s="117" t="inlineStr">
        <is>
          <t>United Kingdom</t>
        </is>
      </c>
      <c r="D294" s="117" t="inlineStr">
        <is>
          <t>22198</t>
        </is>
      </c>
      <c r="E294" s="117" t="inlineStr">
        <is>
          <t xml:space="preserve">LARGE POPCORN HOLDER </t>
        </is>
      </c>
      <c r="F294" s="117" t="n">
        <v>12</v>
      </c>
      <c r="G294" s="118" t="n">
        <v>1.65</v>
      </c>
      <c r="H294" s="118" t="n">
        <v>19.8</v>
      </c>
      <c r="I294" s="119" t="n">
        <v>40531</v>
      </c>
    </row>
    <row r="295">
      <c r="A295" s="114" t="inlineStr">
        <is>
          <t>539464</t>
        </is>
      </c>
      <c r="B295" s="114" t="n">
        <v>17913</v>
      </c>
      <c r="C295" s="114" t="inlineStr">
        <is>
          <t>United Kingdom</t>
        </is>
      </c>
      <c r="D295" s="114" t="inlineStr">
        <is>
          <t>20768</t>
        </is>
      </c>
      <c r="E295" s="114" t="inlineStr">
        <is>
          <t xml:space="preserve">GREEN FERN JOURNAL </t>
        </is>
      </c>
      <c r="F295" s="114" t="n">
        <v>2</v>
      </c>
      <c r="G295" s="115" t="n">
        <v>2.55</v>
      </c>
      <c r="H295" s="115" t="n">
        <v>5.1</v>
      </c>
      <c r="I295" s="116" t="n">
        <v>40531</v>
      </c>
    </row>
    <row r="296">
      <c r="A296" s="117" t="inlineStr">
        <is>
          <t>539465</t>
        </is>
      </c>
      <c r="B296" s="117" t="n">
        <v>16684</v>
      </c>
      <c r="C296" s="117" t="inlineStr">
        <is>
          <t>United Kingdom</t>
        </is>
      </c>
      <c r="D296" s="117" t="inlineStr">
        <is>
          <t>22423</t>
        </is>
      </c>
      <c r="E296" s="117" t="inlineStr">
        <is>
          <t>REGENCY CAKESTAND 3 TIER</t>
        </is>
      </c>
      <c r="F296" s="117" t="n">
        <v>12</v>
      </c>
      <c r="G296" s="118" t="n">
        <v>12.75</v>
      </c>
      <c r="H296" s="118" t="n">
        <v>153</v>
      </c>
      <c r="I296" s="119" t="n">
        <v>40531</v>
      </c>
    </row>
    <row r="297">
      <c r="A297" s="114" t="inlineStr">
        <is>
          <t>539470</t>
        </is>
      </c>
      <c r="B297" s="114" t="n">
        <v>14472</v>
      </c>
      <c r="C297" s="114" t="inlineStr">
        <is>
          <t>United Kingdom</t>
        </is>
      </c>
      <c r="D297" s="114" t="inlineStr">
        <is>
          <t>84879</t>
        </is>
      </c>
      <c r="E297" s="114" t="inlineStr">
        <is>
          <t>ASSORTED COLOUR BIRD ORNAMENT</t>
        </is>
      </c>
      <c r="F297" s="114" t="n">
        <v>8</v>
      </c>
      <c r="G297" s="115" t="n">
        <v>1.69</v>
      </c>
      <c r="H297" s="115" t="n">
        <v>13.52</v>
      </c>
      <c r="I297" s="116" t="n">
        <v>40531</v>
      </c>
    </row>
    <row r="298">
      <c r="A298" s="117" t="inlineStr">
        <is>
          <t>539478</t>
        </is>
      </c>
      <c r="B298" s="117" t="n">
        <v>17343</v>
      </c>
      <c r="C298" s="117" t="inlineStr">
        <is>
          <t>United Kingdom</t>
        </is>
      </c>
      <c r="D298" s="117" t="inlineStr">
        <is>
          <t>21485</t>
        </is>
      </c>
      <c r="E298" s="117" t="inlineStr">
        <is>
          <t>RETROSPOT HEART HOT WATER BOTTLE</t>
        </is>
      </c>
      <c r="F298" s="117" t="n">
        <v>2</v>
      </c>
      <c r="G298" s="118" t="n">
        <v>4.95</v>
      </c>
      <c r="H298" s="118" t="n">
        <v>9.9</v>
      </c>
      <c r="I298" s="119" t="n">
        <v>40531</v>
      </c>
    </row>
    <row r="299">
      <c r="A299" s="114" t="inlineStr">
        <is>
          <t>539490</t>
        </is>
      </c>
      <c r="B299" s="114" t="n">
        <v>17069</v>
      </c>
      <c r="C299" s="114" t="inlineStr">
        <is>
          <t>United Kingdom</t>
        </is>
      </c>
      <c r="D299" s="114" t="inlineStr">
        <is>
          <t>84950</t>
        </is>
      </c>
      <c r="E299" s="114" t="inlineStr">
        <is>
          <t>ASSORTED COLOUR T-LIGHT HOLDER</t>
        </is>
      </c>
      <c r="F299" s="114" t="n">
        <v>12</v>
      </c>
      <c r="G299" s="115" t="n">
        <v>0.65</v>
      </c>
      <c r="H299" s="115" t="n">
        <v>7.8</v>
      </c>
      <c r="I299" s="116" t="n">
        <v>40532</v>
      </c>
    </row>
    <row r="300">
      <c r="A300" s="117" t="inlineStr">
        <is>
          <t>539502</t>
        </is>
      </c>
      <c r="B300" s="117" t="n">
        <v>14099</v>
      </c>
      <c r="C300" s="117" t="inlineStr">
        <is>
          <t>United Kingdom</t>
        </is>
      </c>
      <c r="D300" s="117" t="inlineStr">
        <is>
          <t>22311</t>
        </is>
      </c>
      <c r="E300" s="117" t="inlineStr">
        <is>
          <t xml:space="preserve">OFFICE MUG WARMER BLACK+SILVER </t>
        </is>
      </c>
      <c r="F300" s="117" t="n">
        <v>2</v>
      </c>
      <c r="G300" s="118" t="n">
        <v>2.95</v>
      </c>
      <c r="H300" s="118" t="n">
        <v>5.9</v>
      </c>
      <c r="I300" s="119" t="n">
        <v>40532</v>
      </c>
    </row>
    <row r="301">
      <c r="A301" s="114" t="inlineStr">
        <is>
          <t>539551</t>
        </is>
      </c>
      <c r="B301" s="114" t="n">
        <v>12721</v>
      </c>
      <c r="C301" s="114" t="inlineStr">
        <is>
          <t>France</t>
        </is>
      </c>
      <c r="D301" s="114" t="inlineStr">
        <is>
          <t>20681</t>
        </is>
      </c>
      <c r="E301" s="114" t="inlineStr">
        <is>
          <t>PINK POLKADOT CHILDRENS UMBRELLA</t>
        </is>
      </c>
      <c r="F301" s="114" t="n">
        <v>6</v>
      </c>
      <c r="G301" s="115" t="n">
        <v>3.25</v>
      </c>
      <c r="H301" s="115" t="n">
        <v>19.5</v>
      </c>
      <c r="I301" s="116" t="n">
        <v>40532</v>
      </c>
    </row>
    <row r="302">
      <c r="A302" s="117" t="inlineStr">
        <is>
          <t>539586</t>
        </is>
      </c>
      <c r="B302" s="117" t="n">
        <v>14298</v>
      </c>
      <c r="C302" s="117" t="inlineStr">
        <is>
          <t>United Kingdom</t>
        </is>
      </c>
      <c r="D302" s="117" t="inlineStr">
        <is>
          <t>21065</t>
        </is>
      </c>
      <c r="E302" s="117" t="inlineStr">
        <is>
          <t>BOOM BOX SPEAKER GIRLS</t>
        </is>
      </c>
      <c r="F302" s="117" t="n">
        <v>24</v>
      </c>
      <c r="G302" s="118" t="n">
        <v>1.25</v>
      </c>
      <c r="H302" s="118" t="n">
        <v>30</v>
      </c>
      <c r="I302" s="119" t="n">
        <v>40532</v>
      </c>
    </row>
    <row r="303">
      <c r="A303" s="114" t="inlineStr">
        <is>
          <t>539586</t>
        </is>
      </c>
      <c r="B303" s="114" t="n">
        <v>14298</v>
      </c>
      <c r="C303" s="114" t="inlineStr">
        <is>
          <t>United Kingdom</t>
        </is>
      </c>
      <c r="D303" s="114" t="inlineStr">
        <is>
          <t>22609</t>
        </is>
      </c>
      <c r="E303" s="114" t="inlineStr">
        <is>
          <t>PENS ASSORTED SPACEBALL</t>
        </is>
      </c>
      <c r="F303" s="114" t="n">
        <v>108</v>
      </c>
      <c r="G303" s="115" t="n">
        <v>0.21</v>
      </c>
      <c r="H303" s="115" t="n">
        <v>22.68</v>
      </c>
      <c r="I303" s="116" t="n">
        <v>40532</v>
      </c>
    </row>
    <row r="304">
      <c r="A304" s="117" t="inlineStr">
        <is>
          <t>539593</t>
        </is>
      </c>
      <c r="B304" s="117" t="n">
        <v>13319</v>
      </c>
      <c r="C304" s="117" t="inlineStr">
        <is>
          <t>United Kingdom</t>
        </is>
      </c>
      <c r="D304" s="117" t="inlineStr">
        <is>
          <t>84347</t>
        </is>
      </c>
      <c r="E304" s="117" t="inlineStr">
        <is>
          <t>ROTATING SILVER ANGELS T-LIGHT HLDR</t>
        </is>
      </c>
      <c r="F304" s="117" t="n">
        <v>12</v>
      </c>
      <c r="G304" s="118" t="n">
        <v>2.55</v>
      </c>
      <c r="H304" s="118" t="n">
        <v>30.6</v>
      </c>
      <c r="I304" s="119" t="n">
        <v>40532</v>
      </c>
    </row>
    <row r="305">
      <c r="A305" s="114" t="inlineStr">
        <is>
          <t>539607</t>
        </is>
      </c>
      <c r="B305" s="114" t="n">
        <v>12681</v>
      </c>
      <c r="C305" s="114" t="inlineStr">
        <is>
          <t>France</t>
        </is>
      </c>
      <c r="D305" s="114" t="inlineStr">
        <is>
          <t>POST</t>
        </is>
      </c>
      <c r="E305" s="114" t="inlineStr">
        <is>
          <t>POSTAGE</t>
        </is>
      </c>
      <c r="F305" s="114" t="n">
        <v>5</v>
      </c>
      <c r="G305" s="115" t="n">
        <v>18</v>
      </c>
      <c r="H305" s="115" t="n">
        <v>90</v>
      </c>
      <c r="I305" s="116" t="n">
        <v>40532</v>
      </c>
    </row>
    <row r="306">
      <c r="A306" s="117" t="inlineStr">
        <is>
          <t>539628</t>
        </is>
      </c>
      <c r="B306" s="117" t="n">
        <v>18097</v>
      </c>
      <c r="C306" s="117" t="inlineStr">
        <is>
          <t>United Kingdom</t>
        </is>
      </c>
      <c r="D306" s="117" t="inlineStr">
        <is>
          <t>16033</t>
        </is>
      </c>
      <c r="E306" s="117" t="inlineStr">
        <is>
          <t>MINI HIGHLIGHTER PENS</t>
        </is>
      </c>
      <c r="F306" s="117" t="n">
        <v>120</v>
      </c>
      <c r="G306" s="118" t="n">
        <v>0.12</v>
      </c>
      <c r="H306" s="118" t="n">
        <v>14.4</v>
      </c>
      <c r="I306" s="119" t="n">
        <v>40532</v>
      </c>
    </row>
    <row r="307">
      <c r="A307" s="114" t="inlineStr">
        <is>
          <t>539628</t>
        </is>
      </c>
      <c r="B307" s="114" t="n">
        <v>18097</v>
      </c>
      <c r="C307" s="114" t="inlineStr">
        <is>
          <t>United Kingdom</t>
        </is>
      </c>
      <c r="D307" s="114" t="inlineStr">
        <is>
          <t>21231</t>
        </is>
      </c>
      <c r="E307" s="114" t="inlineStr">
        <is>
          <t>SWEETHEART CERAMIC TRINKET BOX</t>
        </is>
      </c>
      <c r="F307" s="114" t="n">
        <v>12</v>
      </c>
      <c r="G307" s="115" t="n">
        <v>1.25</v>
      </c>
      <c r="H307" s="115" t="n">
        <v>15</v>
      </c>
      <c r="I307" s="116" t="n">
        <v>40532</v>
      </c>
    </row>
    <row r="308">
      <c r="A308" s="117" t="inlineStr">
        <is>
          <t>539635</t>
        </is>
      </c>
      <c r="B308" s="117" t="n">
        <v>14051</v>
      </c>
      <c r="C308" s="117" t="inlineStr">
        <is>
          <t>United Kingdom</t>
        </is>
      </c>
      <c r="D308" s="117" t="inlineStr">
        <is>
          <t>15056N</t>
        </is>
      </c>
      <c r="E308" s="117" t="inlineStr">
        <is>
          <t>EDWARDIAN PARASOL NATURAL</t>
        </is>
      </c>
      <c r="F308" s="117" t="n">
        <v>24</v>
      </c>
      <c r="G308" s="118" t="n">
        <v>5.95</v>
      </c>
      <c r="H308" s="118" t="n">
        <v>142.8</v>
      </c>
      <c r="I308" s="119" t="n">
        <v>40532</v>
      </c>
    </row>
    <row r="309">
      <c r="A309" s="114" t="inlineStr">
        <is>
          <t>539636</t>
        </is>
      </c>
      <c r="B309" s="114" t="n">
        <v>12481</v>
      </c>
      <c r="C309" s="114" t="inlineStr">
        <is>
          <t>Germany</t>
        </is>
      </c>
      <c r="D309" s="114" t="inlineStr">
        <is>
          <t>22847</t>
        </is>
      </c>
      <c r="E309" s="114" t="inlineStr">
        <is>
          <t>BREAD BIN DINER STYLE IVORY</t>
        </is>
      </c>
      <c r="F309" s="114" t="n">
        <v>4</v>
      </c>
      <c r="G309" s="115" t="n">
        <v>14.95</v>
      </c>
      <c r="H309" s="115" t="n">
        <v>59.8</v>
      </c>
      <c r="I309" s="116" t="n">
        <v>40532</v>
      </c>
    </row>
    <row r="310">
      <c r="A310" s="117" t="inlineStr">
        <is>
          <t>539642</t>
        </is>
      </c>
      <c r="B310" s="117" t="n">
        <v>15867</v>
      </c>
      <c r="C310" s="117" t="inlineStr">
        <is>
          <t>United Kingdom</t>
        </is>
      </c>
      <c r="D310" s="117" t="inlineStr">
        <is>
          <t>15056N</t>
        </is>
      </c>
      <c r="E310" s="117" t="inlineStr">
        <is>
          <t>EDWARDIAN PARASOL NATURAL</t>
        </is>
      </c>
      <c r="F310" s="117" t="n">
        <v>2</v>
      </c>
      <c r="G310" s="118" t="n">
        <v>5.95</v>
      </c>
      <c r="H310" s="118" t="n">
        <v>11.9</v>
      </c>
      <c r="I310" s="119" t="n">
        <v>40532</v>
      </c>
    </row>
    <row r="311">
      <c r="A311" s="114" t="inlineStr">
        <is>
          <t>539725</t>
        </is>
      </c>
      <c r="B311" s="114" t="n">
        <v>17211</v>
      </c>
      <c r="C311" s="114" t="inlineStr">
        <is>
          <t>United Kingdom</t>
        </is>
      </c>
      <c r="D311" s="114" t="inlineStr">
        <is>
          <t>21524</t>
        </is>
      </c>
      <c r="E311" s="114" t="inlineStr">
        <is>
          <t>DOORMAT SPOTTY HOME SWEET HOME</t>
        </is>
      </c>
      <c r="F311" s="114" t="n">
        <v>1</v>
      </c>
      <c r="G311" s="115" t="n">
        <v>7.95</v>
      </c>
      <c r="H311" s="115" t="n">
        <v>7.95</v>
      </c>
      <c r="I311" s="116" t="n">
        <v>40533</v>
      </c>
    </row>
    <row r="312">
      <c r="A312" s="117" t="inlineStr">
        <is>
          <t>539728</t>
        </is>
      </c>
      <c r="B312" s="117" t="n">
        <v>16270</v>
      </c>
      <c r="C312" s="117" t="inlineStr">
        <is>
          <t>United Kingdom</t>
        </is>
      </c>
      <c r="D312" s="117" t="inlineStr">
        <is>
          <t>20963</t>
        </is>
      </c>
      <c r="E312" s="117" t="inlineStr">
        <is>
          <t>APPLE BATH SPONGE</t>
        </is>
      </c>
      <c r="F312" s="117" t="n">
        <v>50</v>
      </c>
      <c r="G312" s="118" t="n">
        <v>1.25</v>
      </c>
      <c r="H312" s="118" t="n">
        <v>62.5</v>
      </c>
      <c r="I312" s="119" t="n">
        <v>40533</v>
      </c>
    </row>
    <row r="313">
      <c r="A313" s="114" t="inlineStr">
        <is>
          <t>539731</t>
        </is>
      </c>
      <c r="B313" s="114" t="n">
        <v>14646</v>
      </c>
      <c r="C313" s="114" t="inlineStr">
        <is>
          <t>Netherlands</t>
        </is>
      </c>
      <c r="D313" s="114" t="inlineStr">
        <is>
          <t>84997D</t>
        </is>
      </c>
      <c r="E313" s="114" t="inlineStr">
        <is>
          <t>PINK 3 PIECE POLKADOT CUTLERY SET</t>
        </is>
      </c>
      <c r="F313" s="114" t="n">
        <v>72</v>
      </c>
      <c r="G313" s="115" t="n">
        <v>3.39</v>
      </c>
      <c r="H313" s="115" t="n">
        <v>244.08</v>
      </c>
      <c r="I313" s="116" t="n">
        <v>40533</v>
      </c>
    </row>
    <row r="314">
      <c r="A314" s="117" t="inlineStr">
        <is>
          <t>539761</t>
        </is>
      </c>
      <c r="B314" s="117" t="n">
        <v>17593</v>
      </c>
      <c r="C314" s="117" t="inlineStr">
        <is>
          <t>United Kingdom</t>
        </is>
      </c>
      <c r="D314" s="117" t="inlineStr">
        <is>
          <t>20704</t>
        </is>
      </c>
      <c r="E314" s="117" t="inlineStr">
        <is>
          <t>MR ROBOT SOFT TOY</t>
        </is>
      </c>
      <c r="F314" s="117" t="n">
        <v>8</v>
      </c>
      <c r="G314" s="118" t="n">
        <v>1.95</v>
      </c>
      <c r="H314" s="118" t="n">
        <v>15.6</v>
      </c>
      <c r="I314" s="119" t="n">
        <v>40534</v>
      </c>
    </row>
    <row r="315">
      <c r="A315" s="114" t="inlineStr">
        <is>
          <t>539764</t>
        </is>
      </c>
      <c r="B315" s="114" t="n">
        <v>14533</v>
      </c>
      <c r="C315" s="114" t="inlineStr">
        <is>
          <t>United Kingdom</t>
        </is>
      </c>
      <c r="D315" s="114" t="inlineStr">
        <is>
          <t>20704</t>
        </is>
      </c>
      <c r="E315" s="114" t="inlineStr">
        <is>
          <t>MR ROBOT SOFT TOY</t>
        </is>
      </c>
      <c r="F315" s="114" t="n">
        <v>8</v>
      </c>
      <c r="G315" s="115" t="n">
        <v>1.95</v>
      </c>
      <c r="H315" s="115" t="n">
        <v>15.6</v>
      </c>
      <c r="I315" s="116" t="n">
        <v>40534</v>
      </c>
    </row>
    <row r="316">
      <c r="A316" s="117" t="inlineStr">
        <is>
          <t>539831</t>
        </is>
      </c>
      <c r="B316" s="117" t="n">
        <v>14606</v>
      </c>
      <c r="C316" s="117" t="inlineStr">
        <is>
          <t>United Kingdom</t>
        </is>
      </c>
      <c r="D316" s="117" t="inlineStr">
        <is>
          <t>21870</t>
        </is>
      </c>
      <c r="E316" s="117" t="inlineStr">
        <is>
          <t>I CAN ONLY PLEASE ONE PERSON MUG</t>
        </is>
      </c>
      <c r="F316" s="117" t="n">
        <v>1</v>
      </c>
      <c r="G316" s="118" t="n">
        <v>1.25</v>
      </c>
      <c r="H316" s="118" t="n">
        <v>1.25</v>
      </c>
      <c r="I316" s="119" t="n">
        <v>40534</v>
      </c>
    </row>
    <row r="317">
      <c r="A317" s="114" t="inlineStr">
        <is>
          <t>539957</t>
        </is>
      </c>
      <c r="B317" s="114" t="n">
        <v>12585</v>
      </c>
      <c r="C317" s="114" t="inlineStr">
        <is>
          <t>Germany</t>
        </is>
      </c>
      <c r="D317" s="114" t="inlineStr">
        <is>
          <t>20828</t>
        </is>
      </c>
      <c r="E317" s="114" t="inlineStr">
        <is>
          <t>GLITTER BUTTERFLY CLIPS</t>
        </is>
      </c>
      <c r="F317" s="114" t="n">
        <v>12</v>
      </c>
      <c r="G317" s="115" t="n">
        <v>2.55</v>
      </c>
      <c r="H317" s="115" t="n">
        <v>30.6</v>
      </c>
      <c r="I317" s="116" t="n">
        <v>40535</v>
      </c>
    </row>
    <row r="318">
      <c r="A318" s="117" t="inlineStr">
        <is>
          <t>539984</t>
        </is>
      </c>
      <c r="B318" s="117" t="n">
        <v>14911</v>
      </c>
      <c r="C318" s="117" t="inlineStr">
        <is>
          <t>EIRE</t>
        </is>
      </c>
      <c r="D318" s="117" t="inlineStr">
        <is>
          <t>22621</t>
        </is>
      </c>
      <c r="E318" s="117" t="inlineStr">
        <is>
          <t>TRADITIONAL KNITTING NANCY</t>
        </is>
      </c>
      <c r="F318" s="117" t="n">
        <v>12</v>
      </c>
      <c r="G318" s="118" t="n">
        <v>1.45</v>
      </c>
      <c r="H318" s="118" t="n">
        <v>17.4</v>
      </c>
      <c r="I318" s="119" t="n">
        <v>40535</v>
      </c>
    </row>
    <row r="319">
      <c r="A319" s="114" t="inlineStr">
        <is>
          <t>539985</t>
        </is>
      </c>
      <c r="B319" s="114" t="n">
        <v>15856</v>
      </c>
      <c r="C319" s="114" t="inlineStr">
        <is>
          <t>United Kingdom</t>
        </is>
      </c>
      <c r="D319" s="114" t="inlineStr">
        <is>
          <t>84050</t>
        </is>
      </c>
      <c r="E319" s="114" t="inlineStr">
        <is>
          <t>PINK HEART SHAPE EGG FRYING PAN</t>
        </is>
      </c>
      <c r="F319" s="114" t="n">
        <v>72</v>
      </c>
      <c r="G319" s="115" t="n">
        <v>1.25</v>
      </c>
      <c r="H319" s="115" t="n">
        <v>90</v>
      </c>
      <c r="I319" s="116" t="n">
        <v>40535</v>
      </c>
    </row>
    <row r="320">
      <c r="A320" s="117" t="inlineStr">
        <is>
          <t>539988</t>
        </is>
      </c>
      <c r="B320" s="117" t="n">
        <v>18116</v>
      </c>
      <c r="C320" s="117" t="inlineStr">
        <is>
          <t>United Kingdom</t>
        </is>
      </c>
      <c r="D320" s="117" t="inlineStr">
        <is>
          <t>20751</t>
        </is>
      </c>
      <c r="E320" s="117" t="inlineStr">
        <is>
          <t>FUNKY WASHING UP GLOVES ASSORTED</t>
        </is>
      </c>
      <c r="F320" s="117" t="n">
        <v>2</v>
      </c>
      <c r="G320" s="118" t="n">
        <v>2.1</v>
      </c>
      <c r="H320" s="118" t="n">
        <v>4.2</v>
      </c>
      <c r="I320" s="119" t="n">
        <v>40535</v>
      </c>
    </row>
    <row r="321">
      <c r="A321" s="114" t="inlineStr">
        <is>
          <t>539993</t>
        </is>
      </c>
      <c r="B321" s="114" t="n">
        <v>13313</v>
      </c>
      <c r="C321" s="114" t="inlineStr">
        <is>
          <t>United Kingdom</t>
        </is>
      </c>
      <c r="D321" s="114" t="inlineStr">
        <is>
          <t>22667</t>
        </is>
      </c>
      <c r="E321" s="114" t="inlineStr">
        <is>
          <t xml:space="preserve">RECIPE BOX RETROSPOT </t>
        </is>
      </c>
      <c r="F321" s="114" t="n">
        <v>6</v>
      </c>
      <c r="G321" s="115" t="n">
        <v>2.95</v>
      </c>
      <c r="H321" s="115" t="n">
        <v>17.7</v>
      </c>
      <c r="I321" s="116" t="n">
        <v>40547</v>
      </c>
    </row>
    <row r="322">
      <c r="A322" s="117" t="inlineStr">
        <is>
          <t>540013</t>
        </is>
      </c>
      <c r="B322" s="117" t="n">
        <v>16255</v>
      </c>
      <c r="C322" s="117" t="inlineStr">
        <is>
          <t>United Kingdom</t>
        </is>
      </c>
      <c r="D322" s="117" t="inlineStr">
        <is>
          <t>84378</t>
        </is>
      </c>
      <c r="E322" s="117" t="inlineStr">
        <is>
          <t>SET OF 3 HEART COOKIE CUTTERS</t>
        </is>
      </c>
      <c r="F322" s="117" t="n">
        <v>2</v>
      </c>
      <c r="G322" s="118" t="n">
        <v>1.25</v>
      </c>
      <c r="H322" s="118" t="n">
        <v>2.5</v>
      </c>
      <c r="I322" s="119" t="n">
        <v>40547</v>
      </c>
    </row>
    <row r="323">
      <c r="A323" s="114" t="inlineStr">
        <is>
          <t>540014</t>
        </is>
      </c>
      <c r="B323" s="114" t="n">
        <v>14606</v>
      </c>
      <c r="C323" s="114" t="inlineStr">
        <is>
          <t>United Kingdom</t>
        </is>
      </c>
      <c r="D323" s="114" t="inlineStr">
        <is>
          <t>22262</t>
        </is>
      </c>
      <c r="E323" s="114" t="inlineStr">
        <is>
          <t>FELT EGG COSY CHICKEN</t>
        </is>
      </c>
      <c r="F323" s="114" t="n">
        <v>6</v>
      </c>
      <c r="G323" s="115" t="n">
        <v>0.85</v>
      </c>
      <c r="H323" s="115" t="n">
        <v>5.1</v>
      </c>
      <c r="I323" s="116" t="n">
        <v>40547</v>
      </c>
    </row>
    <row r="324">
      <c r="A324" s="117" t="inlineStr">
        <is>
          <t>540015</t>
        </is>
      </c>
      <c r="B324" s="117" t="n">
        <v>13319</v>
      </c>
      <c r="C324" s="117" t="inlineStr">
        <is>
          <t>United Kingdom</t>
        </is>
      </c>
      <c r="D324" s="117" t="inlineStr">
        <is>
          <t>21481</t>
        </is>
      </c>
      <c r="E324" s="117" t="inlineStr">
        <is>
          <t>FAWN BLUE HOT WATER BOTTLE</t>
        </is>
      </c>
      <c r="F324" s="117" t="n">
        <v>6</v>
      </c>
      <c r="G324" s="118" t="n">
        <v>2.95</v>
      </c>
      <c r="H324" s="118" t="n">
        <v>17.7</v>
      </c>
      <c r="I324" s="119" t="n">
        <v>40547</v>
      </c>
    </row>
    <row r="325">
      <c r="A325" s="114" t="inlineStr">
        <is>
          <t>540021</t>
        </is>
      </c>
      <c r="B325" s="114" t="n">
        <v>17841</v>
      </c>
      <c r="C325" s="114" t="inlineStr">
        <is>
          <t>United Kingdom</t>
        </is>
      </c>
      <c r="D325" s="114" t="inlineStr">
        <is>
          <t>82494L</t>
        </is>
      </c>
      <c r="E325" s="114" t="inlineStr">
        <is>
          <t xml:space="preserve">WOODEN FRAME ANTIQUE WHITE </t>
        </is>
      </c>
      <c r="F325" s="114" t="n">
        <v>2</v>
      </c>
      <c r="G325" s="115" t="n">
        <v>2.95</v>
      </c>
      <c r="H325" s="115" t="n">
        <v>5.9</v>
      </c>
      <c r="I325" s="116" t="n">
        <v>40547</v>
      </c>
    </row>
    <row r="326">
      <c r="A326" s="117" t="inlineStr">
        <is>
          <t>540021</t>
        </is>
      </c>
      <c r="B326" s="117" t="n">
        <v>17841</v>
      </c>
      <c r="C326" s="117" t="inlineStr">
        <is>
          <t>United Kingdom</t>
        </is>
      </c>
      <c r="D326" s="117" t="inlineStr">
        <is>
          <t>22236</t>
        </is>
      </c>
      <c r="E326" s="117" t="inlineStr">
        <is>
          <t>CAKE STAND 3 TIER MAGIC GARDEN</t>
        </is>
      </c>
      <c r="F326" s="117" t="n">
        <v>1</v>
      </c>
      <c r="G326" s="118" t="n">
        <v>12.75</v>
      </c>
      <c r="H326" s="118" t="n">
        <v>12.75</v>
      </c>
      <c r="I326" s="119" t="n">
        <v>40547</v>
      </c>
    </row>
    <row r="327">
      <c r="A327" s="114" t="inlineStr">
        <is>
          <t>540023</t>
        </is>
      </c>
      <c r="B327" s="114" t="n">
        <v>15039</v>
      </c>
      <c r="C327" s="114" t="inlineStr">
        <is>
          <t>United Kingdom</t>
        </is>
      </c>
      <c r="D327" s="114" t="inlineStr">
        <is>
          <t>21428</t>
        </is>
      </c>
      <c r="E327" s="114" t="inlineStr">
        <is>
          <t xml:space="preserve">SET3 BOOK BOX GREEN GINGHAM FLOWER </t>
        </is>
      </c>
      <c r="F327" s="114" t="n">
        <v>4</v>
      </c>
      <c r="G327" s="115" t="n">
        <v>4.25</v>
      </c>
      <c r="H327" s="115" t="n">
        <v>17</v>
      </c>
      <c r="I327" s="116" t="n">
        <v>40547</v>
      </c>
    </row>
    <row r="328">
      <c r="A328" s="117" t="inlineStr">
        <is>
          <t>540027</t>
        </is>
      </c>
      <c r="B328" s="117" t="n">
        <v>14210</v>
      </c>
      <c r="C328" s="117" t="inlineStr">
        <is>
          <t>United Kingdom</t>
        </is>
      </c>
      <c r="D328" s="117" t="inlineStr">
        <is>
          <t>21217</t>
        </is>
      </c>
      <c r="E328" s="117" t="inlineStr">
        <is>
          <t>RED RETROSPOT ROUND CAKE TINS</t>
        </is>
      </c>
      <c r="F328" s="117" t="n">
        <v>2</v>
      </c>
      <c r="G328" s="118" t="n">
        <v>9.949999999999999</v>
      </c>
      <c r="H328" s="118" t="n">
        <v>19.9</v>
      </c>
      <c r="I328" s="119" t="n">
        <v>40547</v>
      </c>
    </row>
    <row r="329">
      <c r="A329" s="114" t="inlineStr">
        <is>
          <t>540093</t>
        </is>
      </c>
      <c r="B329" s="114" t="n">
        <v>16725</v>
      </c>
      <c r="C329" s="114" t="inlineStr">
        <is>
          <t>United Kingdom</t>
        </is>
      </c>
      <c r="D329" s="114" t="inlineStr">
        <is>
          <t>22723</t>
        </is>
      </c>
      <c r="E329" s="114" t="inlineStr">
        <is>
          <t>SET OF 6 HERB TINS SKETCHBOOK</t>
        </is>
      </c>
      <c r="F329" s="114" t="n">
        <v>1</v>
      </c>
      <c r="G329" s="115" t="n">
        <v>3.95</v>
      </c>
      <c r="H329" s="115" t="n">
        <v>3.95</v>
      </c>
      <c r="I329" s="116" t="n">
        <v>40547</v>
      </c>
    </row>
    <row r="330">
      <c r="A330" s="117" t="inlineStr">
        <is>
          <t>540095</t>
        </is>
      </c>
      <c r="B330" s="117" t="n">
        <v>14553</v>
      </c>
      <c r="C330" s="117" t="inlineStr">
        <is>
          <t>United Kingdom</t>
        </is>
      </c>
      <c r="D330" s="117" t="inlineStr">
        <is>
          <t>22292</t>
        </is>
      </c>
      <c r="E330" s="117" t="inlineStr">
        <is>
          <t>HANGING CHICK  YELLOW DECORATION</t>
        </is>
      </c>
      <c r="F330" s="117" t="n">
        <v>4</v>
      </c>
      <c r="G330" s="118" t="n">
        <v>1.45</v>
      </c>
      <c r="H330" s="118" t="n">
        <v>5.8</v>
      </c>
      <c r="I330" s="119" t="n">
        <v>40547</v>
      </c>
    </row>
    <row r="331">
      <c r="A331" s="114" t="inlineStr">
        <is>
          <t>540120</t>
        </is>
      </c>
      <c r="B331" s="114" t="n">
        <v>17675</v>
      </c>
      <c r="C331" s="114" t="inlineStr">
        <is>
          <t>United Kingdom</t>
        </is>
      </c>
      <c r="D331" s="114" t="inlineStr">
        <is>
          <t>22625</t>
        </is>
      </c>
      <c r="E331" s="114" t="inlineStr">
        <is>
          <t>RED KITCHEN SCALES</t>
        </is>
      </c>
      <c r="F331" s="114" t="n">
        <v>4</v>
      </c>
      <c r="G331" s="115" t="n">
        <v>8.5</v>
      </c>
      <c r="H331" s="115" t="n">
        <v>34</v>
      </c>
      <c r="I331" s="116" t="n">
        <v>40548</v>
      </c>
    </row>
    <row r="332">
      <c r="A332" s="117" t="inlineStr">
        <is>
          <t>540163</t>
        </is>
      </c>
      <c r="B332" s="117" t="n">
        <v>13089</v>
      </c>
      <c r="C332" s="117" t="inlineStr">
        <is>
          <t>United Kingdom</t>
        </is>
      </c>
      <c r="D332" s="117" t="inlineStr">
        <is>
          <t>22715</t>
        </is>
      </c>
      <c r="E332" s="117" t="inlineStr">
        <is>
          <t>CARD WEDDING DAY</t>
        </is>
      </c>
      <c r="F332" s="117" t="n">
        <v>12</v>
      </c>
      <c r="G332" s="118" t="n">
        <v>0.42</v>
      </c>
      <c r="H332" s="118" t="n">
        <v>5.04</v>
      </c>
      <c r="I332" s="119" t="n">
        <v>40548</v>
      </c>
    </row>
    <row r="333">
      <c r="A333" s="114" t="inlineStr">
        <is>
          <t>540163</t>
        </is>
      </c>
      <c r="B333" s="114" t="n">
        <v>13089</v>
      </c>
      <c r="C333" s="114" t="inlineStr">
        <is>
          <t>United Kingdom</t>
        </is>
      </c>
      <c r="D333" s="114" t="inlineStr">
        <is>
          <t>16161P</t>
        </is>
      </c>
      <c r="E333" s="114" t="inlineStr">
        <is>
          <t xml:space="preserve">WRAP ENGLISH ROSE </t>
        </is>
      </c>
      <c r="F333" s="114" t="n">
        <v>25</v>
      </c>
      <c r="G333" s="115" t="n">
        <v>0.42</v>
      </c>
      <c r="H333" s="115" t="n">
        <v>10.5</v>
      </c>
      <c r="I333" s="116" t="n">
        <v>40548</v>
      </c>
    </row>
    <row r="334">
      <c r="A334" s="117" t="inlineStr">
        <is>
          <t>540168</t>
        </is>
      </c>
      <c r="B334" s="117" t="n">
        <v>13715</v>
      </c>
      <c r="C334" s="117" t="inlineStr">
        <is>
          <t>United Kingdom</t>
        </is>
      </c>
      <c r="D334" s="117" t="inlineStr">
        <is>
          <t>84985A</t>
        </is>
      </c>
      <c r="E334" s="117" t="inlineStr">
        <is>
          <t>SET OF 72 GREEN PAPER DOILIES</t>
        </is>
      </c>
      <c r="F334" s="117" t="n">
        <v>2</v>
      </c>
      <c r="G334" s="118" t="n">
        <v>1.45</v>
      </c>
      <c r="H334" s="118" t="n">
        <v>2.9</v>
      </c>
      <c r="I334" s="119" t="n">
        <v>40548</v>
      </c>
    </row>
    <row r="335">
      <c r="A335" s="114" t="inlineStr">
        <is>
          <t>540169</t>
        </is>
      </c>
      <c r="B335" s="114" t="n">
        <v>14527</v>
      </c>
      <c r="C335" s="114" t="inlineStr">
        <is>
          <t>United Kingdom</t>
        </is>
      </c>
      <c r="D335" s="114" t="inlineStr">
        <is>
          <t>22194</t>
        </is>
      </c>
      <c r="E335" s="114" t="inlineStr">
        <is>
          <t>BLACK DINER WALL CLOCK</t>
        </is>
      </c>
      <c r="F335" s="114" t="n">
        <v>1</v>
      </c>
      <c r="G335" s="115" t="n">
        <v>8.5</v>
      </c>
      <c r="H335" s="115" t="n">
        <v>8.5</v>
      </c>
      <c r="I335" s="116" t="n">
        <v>40548</v>
      </c>
    </row>
    <row r="336">
      <c r="A336" s="117" t="inlineStr">
        <is>
          <t>540178</t>
        </is>
      </c>
      <c r="B336" s="117" t="n">
        <v>12681</v>
      </c>
      <c r="C336" s="117" t="inlineStr">
        <is>
          <t>France</t>
        </is>
      </c>
      <c r="D336" s="117" t="inlineStr">
        <is>
          <t>22961</t>
        </is>
      </c>
      <c r="E336" s="117" t="inlineStr">
        <is>
          <t>JAM MAKING SET PRINTED</t>
        </is>
      </c>
      <c r="F336" s="117" t="n">
        <v>12</v>
      </c>
      <c r="G336" s="118" t="n">
        <v>1.45</v>
      </c>
      <c r="H336" s="118" t="n">
        <v>17.4</v>
      </c>
      <c r="I336" s="119" t="n">
        <v>40548</v>
      </c>
    </row>
    <row r="337">
      <c r="A337" s="114" t="inlineStr">
        <is>
          <t>540178</t>
        </is>
      </c>
      <c r="B337" s="114" t="n">
        <v>12681</v>
      </c>
      <c r="C337" s="114" t="inlineStr">
        <is>
          <t>France</t>
        </is>
      </c>
      <c r="D337" s="114" t="inlineStr">
        <is>
          <t>20973</t>
        </is>
      </c>
      <c r="E337" s="114" t="inlineStr">
        <is>
          <t>12 PENCIL SMALL TUBE WOODLAND</t>
        </is>
      </c>
      <c r="F337" s="114" t="n">
        <v>24</v>
      </c>
      <c r="G337" s="115" t="n">
        <v>0.65</v>
      </c>
      <c r="H337" s="115" t="n">
        <v>15.6</v>
      </c>
      <c r="I337" s="116" t="n">
        <v>40548</v>
      </c>
    </row>
    <row r="338">
      <c r="A338" s="117" t="inlineStr">
        <is>
          <t>540179</t>
        </is>
      </c>
      <c r="B338" s="117" t="n">
        <v>16033</v>
      </c>
      <c r="C338" s="117" t="inlineStr">
        <is>
          <t>United Kingdom</t>
        </is>
      </c>
      <c r="D338" s="117" t="inlineStr">
        <is>
          <t>22853</t>
        </is>
      </c>
      <c r="E338" s="117" t="inlineStr">
        <is>
          <t>CAT BOWL VINTAGE CREAM</t>
        </is>
      </c>
      <c r="F338" s="117" t="n">
        <v>1</v>
      </c>
      <c r="G338" s="118" t="n">
        <v>3.25</v>
      </c>
      <c r="H338" s="118" t="n">
        <v>3.25</v>
      </c>
      <c r="I338" s="119" t="n">
        <v>40548</v>
      </c>
    </row>
    <row r="339">
      <c r="A339" s="114" t="inlineStr">
        <is>
          <t>540179</t>
        </is>
      </c>
      <c r="B339" s="114" t="n">
        <v>16033</v>
      </c>
      <c r="C339" s="114" t="inlineStr">
        <is>
          <t>United Kingdom</t>
        </is>
      </c>
      <c r="D339" s="114" t="inlineStr">
        <is>
          <t>48111</t>
        </is>
      </c>
      <c r="E339" s="114" t="inlineStr">
        <is>
          <t>DOORMAT 3 SMILEY CATS</t>
        </is>
      </c>
      <c r="F339" s="114" t="n">
        <v>1</v>
      </c>
      <c r="G339" s="115" t="n">
        <v>7.95</v>
      </c>
      <c r="H339" s="115" t="n">
        <v>7.95</v>
      </c>
      <c r="I339" s="116" t="n">
        <v>40548</v>
      </c>
    </row>
    <row r="340">
      <c r="A340" s="117" t="inlineStr">
        <is>
          <t>540183</t>
        </is>
      </c>
      <c r="B340" s="117" t="n">
        <v>15093</v>
      </c>
      <c r="C340" s="117" t="inlineStr">
        <is>
          <t>United Kingdom</t>
        </is>
      </c>
      <c r="D340" s="117" t="inlineStr">
        <is>
          <t>20685</t>
        </is>
      </c>
      <c r="E340" s="117" t="inlineStr">
        <is>
          <t>DOORMAT RED RETROSPOT</t>
        </is>
      </c>
      <c r="F340" s="117" t="n">
        <v>10</v>
      </c>
      <c r="G340" s="118" t="n">
        <v>6.75</v>
      </c>
      <c r="H340" s="118" t="n">
        <v>67.5</v>
      </c>
      <c r="I340" s="119" t="n">
        <v>40548</v>
      </c>
    </row>
    <row r="341">
      <c r="A341" s="114" t="inlineStr">
        <is>
          <t>540187</t>
        </is>
      </c>
      <c r="B341" s="114" t="n">
        <v>15358</v>
      </c>
      <c r="C341" s="114" t="inlineStr">
        <is>
          <t>United Kingdom</t>
        </is>
      </c>
      <c r="D341" s="114" t="inlineStr">
        <is>
          <t>20972</t>
        </is>
      </c>
      <c r="E341" s="114" t="inlineStr">
        <is>
          <t xml:space="preserve">PINK CREAM FELT CRAFT TRINKET BOX </t>
        </is>
      </c>
      <c r="F341" s="114" t="n">
        <v>12</v>
      </c>
      <c r="G341" s="115" t="n">
        <v>1.25</v>
      </c>
      <c r="H341" s="115" t="n">
        <v>15</v>
      </c>
      <c r="I341" s="116" t="n">
        <v>40548</v>
      </c>
    </row>
    <row r="342">
      <c r="A342" s="117" t="inlineStr">
        <is>
          <t>540247</t>
        </is>
      </c>
      <c r="B342" s="117" t="n">
        <v>15464</v>
      </c>
      <c r="C342" s="117" t="inlineStr">
        <is>
          <t>United Kingdom</t>
        </is>
      </c>
      <c r="D342" s="117" t="inlineStr">
        <is>
          <t>22427</t>
        </is>
      </c>
      <c r="E342" s="117" t="inlineStr">
        <is>
          <t>ENAMEL FLOWER JUG CREAM</t>
        </is>
      </c>
      <c r="F342" s="117" t="n">
        <v>1</v>
      </c>
      <c r="G342" s="118" t="n">
        <v>5.95</v>
      </c>
      <c r="H342" s="118" t="n">
        <v>5.95</v>
      </c>
      <c r="I342" s="119" t="n">
        <v>40548</v>
      </c>
    </row>
    <row r="343">
      <c r="A343" s="114" t="inlineStr">
        <is>
          <t>540247</t>
        </is>
      </c>
      <c r="B343" s="114" t="n">
        <v>15464</v>
      </c>
      <c r="C343" s="114" t="inlineStr">
        <is>
          <t>United Kingdom</t>
        </is>
      </c>
      <c r="D343" s="114" t="inlineStr">
        <is>
          <t>20751</t>
        </is>
      </c>
      <c r="E343" s="114" t="inlineStr">
        <is>
          <t>FUNKY WASHING UP GLOVES ASSORTED</t>
        </is>
      </c>
      <c r="F343" s="114" t="n">
        <v>4</v>
      </c>
      <c r="G343" s="115" t="n">
        <v>2.1</v>
      </c>
      <c r="H343" s="115" t="n">
        <v>8.4</v>
      </c>
      <c r="I343" s="116" t="n">
        <v>40548</v>
      </c>
    </row>
    <row r="344">
      <c r="A344" s="117" t="inlineStr">
        <is>
          <t>540260</t>
        </is>
      </c>
      <c r="B344" s="117" t="n">
        <v>13097</v>
      </c>
      <c r="C344" s="117" t="inlineStr">
        <is>
          <t>United Kingdom</t>
        </is>
      </c>
      <c r="D344" s="117" t="inlineStr">
        <is>
          <t>21232</t>
        </is>
      </c>
      <c r="E344" s="117" t="inlineStr">
        <is>
          <t>STRAWBERRY CERAMIC TRINKET BOX</t>
        </is>
      </c>
      <c r="F344" s="117" t="n">
        <v>12</v>
      </c>
      <c r="G344" s="118" t="n">
        <v>1.25</v>
      </c>
      <c r="H344" s="118" t="n">
        <v>15</v>
      </c>
      <c r="I344" s="119" t="n">
        <v>40549</v>
      </c>
    </row>
    <row r="345">
      <c r="A345" s="114" t="inlineStr">
        <is>
          <t>540260</t>
        </is>
      </c>
      <c r="B345" s="114" t="n">
        <v>13097</v>
      </c>
      <c r="C345" s="114" t="inlineStr">
        <is>
          <t>United Kingdom</t>
        </is>
      </c>
      <c r="D345" s="114" t="inlineStr">
        <is>
          <t>21314</t>
        </is>
      </c>
      <c r="E345" s="114" t="inlineStr">
        <is>
          <t>SMALL GLASS HEART TRINKET POT</t>
        </is>
      </c>
      <c r="F345" s="114" t="n">
        <v>8</v>
      </c>
      <c r="G345" s="115" t="n">
        <v>2.1</v>
      </c>
      <c r="H345" s="115" t="n">
        <v>16.8</v>
      </c>
      <c r="I345" s="116" t="n">
        <v>40549</v>
      </c>
    </row>
    <row r="346">
      <c r="A346" s="117" t="inlineStr">
        <is>
          <t>540265</t>
        </is>
      </c>
      <c r="B346" s="117" t="n">
        <v>15271</v>
      </c>
      <c r="C346" s="117" t="inlineStr">
        <is>
          <t>United Kingdom</t>
        </is>
      </c>
      <c r="D346" s="117" t="inlineStr">
        <is>
          <t>22464</t>
        </is>
      </c>
      <c r="E346" s="117" t="inlineStr">
        <is>
          <t>HANGING METAL HEART LANTERN</t>
        </is>
      </c>
      <c r="F346" s="117" t="n">
        <v>12</v>
      </c>
      <c r="G346" s="118" t="n">
        <v>1.65</v>
      </c>
      <c r="H346" s="118" t="n">
        <v>19.8</v>
      </c>
      <c r="I346" s="119" t="n">
        <v>40549</v>
      </c>
    </row>
    <row r="347">
      <c r="A347" s="114" t="inlineStr">
        <is>
          <t>540265</t>
        </is>
      </c>
      <c r="B347" s="114" t="n">
        <v>15271</v>
      </c>
      <c r="C347" s="114" t="inlineStr">
        <is>
          <t>United Kingdom</t>
        </is>
      </c>
      <c r="D347" s="114" t="inlineStr">
        <is>
          <t>84970S</t>
        </is>
      </c>
      <c r="E347" s="114" t="inlineStr">
        <is>
          <t>HANGING HEART ZINC T-LIGHT HOLDER</t>
        </is>
      </c>
      <c r="F347" s="114" t="n">
        <v>12</v>
      </c>
      <c r="G347" s="115" t="n">
        <v>0.85</v>
      </c>
      <c r="H347" s="115" t="n">
        <v>10.2</v>
      </c>
      <c r="I347" s="116" t="n">
        <v>40549</v>
      </c>
    </row>
    <row r="348">
      <c r="A348" s="117" t="inlineStr">
        <is>
          <t>540275</t>
        </is>
      </c>
      <c r="B348" s="117" t="n">
        <v>13680</v>
      </c>
      <c r="C348" s="117" t="inlineStr">
        <is>
          <t>United Kingdom</t>
        </is>
      </c>
      <c r="D348" s="117" t="inlineStr">
        <is>
          <t>20728</t>
        </is>
      </c>
      <c r="E348" s="117" t="inlineStr">
        <is>
          <t>LUNCH BAG CARS BLUE</t>
        </is>
      </c>
      <c r="F348" s="117" t="n">
        <v>30</v>
      </c>
      <c r="G348" s="118" t="n">
        <v>1.65</v>
      </c>
      <c r="H348" s="118" t="n">
        <v>49.5</v>
      </c>
      <c r="I348" s="119" t="n">
        <v>40549</v>
      </c>
    </row>
    <row r="349">
      <c r="A349" s="114" t="inlineStr">
        <is>
          <t>540278</t>
        </is>
      </c>
      <c r="B349" s="114" t="n">
        <v>15719</v>
      </c>
      <c r="C349" s="114" t="inlineStr">
        <is>
          <t>United Kingdom</t>
        </is>
      </c>
      <c r="D349" s="114" t="inlineStr">
        <is>
          <t>21430</t>
        </is>
      </c>
      <c r="E349" s="114" t="inlineStr">
        <is>
          <t>SET/3 RED GINGHAM ROSE STORAGE BOX</t>
        </is>
      </c>
      <c r="F349" s="114" t="n">
        <v>2</v>
      </c>
      <c r="G349" s="115" t="n">
        <v>3.75</v>
      </c>
      <c r="H349" s="115" t="n">
        <v>7.5</v>
      </c>
      <c r="I349" s="116" t="n">
        <v>40549</v>
      </c>
    </row>
    <row r="350">
      <c r="A350" s="117" t="inlineStr">
        <is>
          <t>540278</t>
        </is>
      </c>
      <c r="B350" s="117" t="n">
        <v>15719</v>
      </c>
      <c r="C350" s="117" t="inlineStr">
        <is>
          <t>United Kingdom</t>
        </is>
      </c>
      <c r="D350" s="117" t="inlineStr">
        <is>
          <t>21232</t>
        </is>
      </c>
      <c r="E350" s="117" t="inlineStr">
        <is>
          <t>STRAWBERRY CERAMIC TRINKET BOX</t>
        </is>
      </c>
      <c r="F350" s="117" t="n">
        <v>4</v>
      </c>
      <c r="G350" s="118" t="n">
        <v>1.25</v>
      </c>
      <c r="H350" s="118" t="n">
        <v>5</v>
      </c>
      <c r="I350" s="119" t="n">
        <v>40549</v>
      </c>
    </row>
    <row r="351">
      <c r="A351" s="114" t="inlineStr">
        <is>
          <t>540278</t>
        </is>
      </c>
      <c r="B351" s="114" t="n">
        <v>15719</v>
      </c>
      <c r="C351" s="114" t="inlineStr">
        <is>
          <t>United Kingdom</t>
        </is>
      </c>
      <c r="D351" s="114" t="inlineStr">
        <is>
          <t>21174</t>
        </is>
      </c>
      <c r="E351" s="114" t="inlineStr">
        <is>
          <t>POTTERING IN THE SHED METAL SIGN</t>
        </is>
      </c>
      <c r="F351" s="114" t="n">
        <v>2</v>
      </c>
      <c r="G351" s="115" t="n">
        <v>1.95</v>
      </c>
      <c r="H351" s="115" t="n">
        <v>3.9</v>
      </c>
      <c r="I351" s="116" t="n">
        <v>40549</v>
      </c>
    </row>
    <row r="352">
      <c r="A352" s="117" t="inlineStr">
        <is>
          <t>540288</t>
        </is>
      </c>
      <c r="B352" s="117" t="n">
        <v>17634</v>
      </c>
      <c r="C352" s="117" t="inlineStr">
        <is>
          <t>United Kingdom</t>
        </is>
      </c>
      <c r="D352" s="117" t="inlineStr">
        <is>
          <t>21524</t>
        </is>
      </c>
      <c r="E352" s="117" t="inlineStr">
        <is>
          <t>DOORMAT SPOTTY HOME SWEET HOME</t>
        </is>
      </c>
      <c r="F352" s="117" t="n">
        <v>1</v>
      </c>
      <c r="G352" s="118" t="n">
        <v>7.95</v>
      </c>
      <c r="H352" s="118" t="n">
        <v>7.95</v>
      </c>
      <c r="I352" s="119" t="n">
        <v>40549</v>
      </c>
    </row>
    <row r="353">
      <c r="A353" s="114" t="inlineStr">
        <is>
          <t>540316</t>
        </is>
      </c>
      <c r="B353" s="114" t="n">
        <v>16676</v>
      </c>
      <c r="C353" s="114" t="inlineStr">
        <is>
          <t>United Kingdom</t>
        </is>
      </c>
      <c r="D353" s="114" t="inlineStr">
        <is>
          <t>22624</t>
        </is>
      </c>
      <c r="E353" s="114" t="inlineStr">
        <is>
          <t>IVORY KITCHEN SCALES</t>
        </is>
      </c>
      <c r="F353" s="114" t="n">
        <v>2</v>
      </c>
      <c r="G353" s="115" t="n">
        <v>8.5</v>
      </c>
      <c r="H353" s="115" t="n">
        <v>17</v>
      </c>
      <c r="I353" s="116" t="n">
        <v>40549</v>
      </c>
    </row>
    <row r="354">
      <c r="A354" s="117" t="inlineStr">
        <is>
          <t>540316</t>
        </is>
      </c>
      <c r="B354" s="117" t="n">
        <v>16676</v>
      </c>
      <c r="C354" s="117" t="inlineStr">
        <is>
          <t>United Kingdom</t>
        </is>
      </c>
      <c r="D354" s="117" t="inlineStr">
        <is>
          <t>22481</t>
        </is>
      </c>
      <c r="E354" s="117" t="inlineStr">
        <is>
          <t>BLACK TEA TOWEL CLASSIC DESIGN</t>
        </is>
      </c>
      <c r="F354" s="117" t="n">
        <v>24</v>
      </c>
      <c r="G354" s="118" t="n">
        <v>0.42</v>
      </c>
      <c r="H354" s="118" t="n">
        <v>10.08</v>
      </c>
      <c r="I354" s="119" t="n">
        <v>40549</v>
      </c>
    </row>
    <row r="355">
      <c r="A355" s="114" t="inlineStr">
        <is>
          <t>540348</t>
        </is>
      </c>
      <c r="B355" s="114" t="n">
        <v>12841</v>
      </c>
      <c r="C355" s="114" t="inlineStr">
        <is>
          <t>United Kingdom</t>
        </is>
      </c>
      <c r="D355" s="114" t="inlineStr">
        <is>
          <t>22934</t>
        </is>
      </c>
      <c r="E355" s="114" t="inlineStr">
        <is>
          <t>BAKING MOULD EASTER EGG WHITE CHOC</t>
        </is>
      </c>
      <c r="F355" s="114" t="n">
        <v>2</v>
      </c>
      <c r="G355" s="115" t="n">
        <v>2.95</v>
      </c>
      <c r="H355" s="115" t="n">
        <v>5.9</v>
      </c>
      <c r="I355" s="116" t="n">
        <v>40549</v>
      </c>
    </row>
    <row r="356">
      <c r="A356" s="117" t="inlineStr">
        <is>
          <t>540353</t>
        </is>
      </c>
      <c r="B356" s="117" t="n">
        <v>13764</v>
      </c>
      <c r="C356" s="117" t="inlineStr">
        <is>
          <t>United Kingdom</t>
        </is>
      </c>
      <c r="D356" s="117" t="inlineStr">
        <is>
          <t>21248</t>
        </is>
      </c>
      <c r="E356" s="117" t="inlineStr">
        <is>
          <t>DOOR HANGER  MUM + DADS ROOM</t>
        </is>
      </c>
      <c r="F356" s="117" t="n">
        <v>2</v>
      </c>
      <c r="G356" s="118" t="n">
        <v>1.45</v>
      </c>
      <c r="H356" s="118" t="n">
        <v>2.9</v>
      </c>
      <c r="I356" s="119" t="n">
        <v>40549</v>
      </c>
    </row>
    <row r="357">
      <c r="A357" s="114" t="inlineStr">
        <is>
          <t>540353</t>
        </is>
      </c>
      <c r="B357" s="114" t="n">
        <v>13764</v>
      </c>
      <c r="C357" s="114" t="inlineStr">
        <is>
          <t>United Kingdom</t>
        </is>
      </c>
      <c r="D357" s="114" t="inlineStr">
        <is>
          <t>22722</t>
        </is>
      </c>
      <c r="E357" s="114" t="inlineStr">
        <is>
          <t>SET OF 6 SPICE TINS PANTRY DESIGN</t>
        </is>
      </c>
      <c r="F357" s="114" t="n">
        <v>3</v>
      </c>
      <c r="G357" s="115" t="n">
        <v>3.95</v>
      </c>
      <c r="H357" s="115" t="n">
        <v>11.85</v>
      </c>
      <c r="I357" s="116" t="n">
        <v>40549</v>
      </c>
    </row>
    <row r="358">
      <c r="A358" s="117" t="inlineStr">
        <is>
          <t>540353</t>
        </is>
      </c>
      <c r="B358" s="117" t="n">
        <v>13764</v>
      </c>
      <c r="C358" s="117" t="inlineStr">
        <is>
          <t>United Kingdom</t>
        </is>
      </c>
      <c r="D358" s="117" t="inlineStr">
        <is>
          <t>22961</t>
        </is>
      </c>
      <c r="E358" s="117" t="inlineStr">
        <is>
          <t>JAM MAKING SET PRINTED</t>
        </is>
      </c>
      <c r="F358" s="117" t="n">
        <v>3</v>
      </c>
      <c r="G358" s="118" t="n">
        <v>1.45</v>
      </c>
      <c r="H358" s="118" t="n">
        <v>4.35</v>
      </c>
      <c r="I358" s="119" t="n">
        <v>40549</v>
      </c>
    </row>
    <row r="359">
      <c r="A359" s="114" t="inlineStr">
        <is>
          <t>540357</t>
        </is>
      </c>
      <c r="B359" s="114" t="n">
        <v>13093</v>
      </c>
      <c r="C359" s="114" t="inlineStr">
        <is>
          <t>United Kingdom</t>
        </is>
      </c>
      <c r="D359" s="114" t="inlineStr">
        <is>
          <t>16161P</t>
        </is>
      </c>
      <c r="E359" s="114" t="inlineStr">
        <is>
          <t xml:space="preserve">WRAP ENGLISH ROSE </t>
        </is>
      </c>
      <c r="F359" s="114" t="n">
        <v>25</v>
      </c>
      <c r="G359" s="115" t="n">
        <v>0.42</v>
      </c>
      <c r="H359" s="115" t="n">
        <v>10.5</v>
      </c>
      <c r="I359" s="116" t="n">
        <v>40549</v>
      </c>
    </row>
    <row r="360">
      <c r="A360" s="117" t="inlineStr">
        <is>
          <t>540362</t>
        </is>
      </c>
      <c r="B360" s="117" t="n">
        <v>13656</v>
      </c>
      <c r="C360" s="117" t="inlineStr">
        <is>
          <t>United Kingdom</t>
        </is>
      </c>
      <c r="D360" s="117" t="inlineStr">
        <is>
          <t>22355</t>
        </is>
      </c>
      <c r="E360" s="117" t="inlineStr">
        <is>
          <t>CHARLOTTE BAG SUKI DESIGN</t>
        </is>
      </c>
      <c r="F360" s="117" t="n">
        <v>5</v>
      </c>
      <c r="G360" s="118" t="n">
        <v>0.85</v>
      </c>
      <c r="H360" s="118" t="n">
        <v>4.25</v>
      </c>
      <c r="I360" s="119" t="n">
        <v>40549</v>
      </c>
    </row>
    <row r="361">
      <c r="A361" s="114" t="inlineStr">
        <is>
          <t>540362</t>
        </is>
      </c>
      <c r="B361" s="114" t="n">
        <v>13656</v>
      </c>
      <c r="C361" s="114" t="inlineStr">
        <is>
          <t>United Kingdom</t>
        </is>
      </c>
      <c r="D361" s="114" t="inlineStr">
        <is>
          <t>22117</t>
        </is>
      </c>
      <c r="E361" s="114" t="inlineStr">
        <is>
          <t xml:space="preserve">METAL SIGN HER DINNER IS SERVED </t>
        </is>
      </c>
      <c r="F361" s="114" t="n">
        <v>2</v>
      </c>
      <c r="G361" s="115" t="n">
        <v>2.95</v>
      </c>
      <c r="H361" s="115" t="n">
        <v>5.9</v>
      </c>
      <c r="I361" s="116" t="n">
        <v>40549</v>
      </c>
    </row>
    <row r="362">
      <c r="A362" s="117" t="inlineStr">
        <is>
          <t>540364</t>
        </is>
      </c>
      <c r="B362" s="117" t="n">
        <v>14505</v>
      </c>
      <c r="C362" s="117" t="inlineStr">
        <is>
          <t>United Kingdom</t>
        </is>
      </c>
      <c r="D362" s="117" t="inlineStr">
        <is>
          <t>22789</t>
        </is>
      </c>
      <c r="E362" s="117" t="inlineStr">
        <is>
          <t>T-LIGHT HOLDER SWEETHEART HANGING</t>
        </is>
      </c>
      <c r="F362" s="117" t="n">
        <v>2</v>
      </c>
      <c r="G362" s="118" t="n">
        <v>1.95</v>
      </c>
      <c r="H362" s="118" t="n">
        <v>3.9</v>
      </c>
      <c r="I362" s="119" t="n">
        <v>40549</v>
      </c>
    </row>
    <row r="363">
      <c r="A363" s="114" t="inlineStr">
        <is>
          <t>540372</t>
        </is>
      </c>
      <c r="B363" s="114" t="n">
        <v>13081</v>
      </c>
      <c r="C363" s="114" t="inlineStr">
        <is>
          <t>United Kingdom</t>
        </is>
      </c>
      <c r="D363" s="114" t="inlineStr">
        <is>
          <t>22624</t>
        </is>
      </c>
      <c r="E363" s="114" t="inlineStr">
        <is>
          <t>IVORY KITCHEN SCALES</t>
        </is>
      </c>
      <c r="F363" s="114" t="n">
        <v>2</v>
      </c>
      <c r="G363" s="115" t="n">
        <v>8.5</v>
      </c>
      <c r="H363" s="115" t="n">
        <v>17</v>
      </c>
      <c r="I363" s="116" t="n">
        <v>40549</v>
      </c>
    </row>
    <row r="364">
      <c r="A364" s="117" t="inlineStr">
        <is>
          <t>540372</t>
        </is>
      </c>
      <c r="B364" s="117" t="n">
        <v>13081</v>
      </c>
      <c r="C364" s="117" t="inlineStr">
        <is>
          <t>United Kingdom</t>
        </is>
      </c>
      <c r="D364" s="117" t="inlineStr">
        <is>
          <t>22637</t>
        </is>
      </c>
      <c r="E364" s="117" t="inlineStr">
        <is>
          <t xml:space="preserve">PIGGY BANK RETROSPOT </t>
        </is>
      </c>
      <c r="F364" s="117" t="n">
        <v>12</v>
      </c>
      <c r="G364" s="118" t="n">
        <v>2.55</v>
      </c>
      <c r="H364" s="118" t="n">
        <v>30.6</v>
      </c>
      <c r="I364" s="119" t="n">
        <v>40549</v>
      </c>
    </row>
    <row r="365">
      <c r="A365" s="114" t="inlineStr">
        <is>
          <t>540372</t>
        </is>
      </c>
      <c r="B365" s="114" t="n">
        <v>13081</v>
      </c>
      <c r="C365" s="114" t="inlineStr">
        <is>
          <t>United Kingdom</t>
        </is>
      </c>
      <c r="D365" s="114" t="inlineStr">
        <is>
          <t>16169K</t>
        </is>
      </c>
      <c r="E365" s="114" t="inlineStr">
        <is>
          <t>WRAP FOLK ART</t>
        </is>
      </c>
      <c r="F365" s="114" t="n">
        <v>25</v>
      </c>
      <c r="G365" s="115" t="n">
        <v>0.42</v>
      </c>
      <c r="H365" s="115" t="n">
        <v>10.5</v>
      </c>
      <c r="I365" s="116" t="n">
        <v>40549</v>
      </c>
    </row>
    <row r="366">
      <c r="A366" s="117" t="inlineStr">
        <is>
          <t>540407</t>
        </is>
      </c>
      <c r="B366" s="117" t="n">
        <v>16839</v>
      </c>
      <c r="C366" s="117" t="inlineStr">
        <is>
          <t>United Kingdom</t>
        </is>
      </c>
      <c r="D366" s="117" t="inlineStr">
        <is>
          <t>20801</t>
        </is>
      </c>
      <c r="E366" s="117" t="inlineStr">
        <is>
          <t>LARGE PINK GLASS SUNDAE DISH</t>
        </is>
      </c>
      <c r="F366" s="117" t="n">
        <v>16</v>
      </c>
      <c r="G366" s="118" t="n">
        <v>0.75</v>
      </c>
      <c r="H366" s="118" t="n">
        <v>12</v>
      </c>
      <c r="I366" s="119" t="n">
        <v>40550</v>
      </c>
    </row>
    <row r="367">
      <c r="A367" s="114" t="inlineStr">
        <is>
          <t>540453</t>
        </is>
      </c>
      <c r="B367" s="114" t="n">
        <v>13426</v>
      </c>
      <c r="C367" s="114" t="inlineStr">
        <is>
          <t>United Kingdom</t>
        </is>
      </c>
      <c r="D367" s="114" t="inlineStr">
        <is>
          <t>47559B</t>
        </is>
      </c>
      <c r="E367" s="114" t="inlineStr">
        <is>
          <t>TEA TIME OVEN GLOVE</t>
        </is>
      </c>
      <c r="F367" s="114" t="n">
        <v>50</v>
      </c>
      <c r="G367" s="115" t="n">
        <v>1.06</v>
      </c>
      <c r="H367" s="115" t="n">
        <v>53</v>
      </c>
      <c r="I367" s="116" t="n">
        <v>40550</v>
      </c>
    </row>
    <row r="368">
      <c r="A368" s="117" t="inlineStr">
        <is>
          <t>540453</t>
        </is>
      </c>
      <c r="B368" s="117" t="n">
        <v>13426</v>
      </c>
      <c r="C368" s="117" t="inlineStr">
        <is>
          <t>United Kingdom</t>
        </is>
      </c>
      <c r="D368" s="117" t="inlineStr">
        <is>
          <t>22718</t>
        </is>
      </c>
      <c r="E368" s="117" t="inlineStr">
        <is>
          <t xml:space="preserve">CARD CAT AND TREE </t>
        </is>
      </c>
      <c r="F368" s="117" t="n">
        <v>12</v>
      </c>
      <c r="G368" s="118" t="n">
        <v>0.42</v>
      </c>
      <c r="H368" s="118" t="n">
        <v>5.04</v>
      </c>
      <c r="I368" s="119" t="n">
        <v>40550</v>
      </c>
    </row>
    <row r="369">
      <c r="A369" s="114" t="inlineStr">
        <is>
          <t>540453</t>
        </is>
      </c>
      <c r="B369" s="114" t="n">
        <v>13426</v>
      </c>
      <c r="C369" s="114" t="inlineStr">
        <is>
          <t>United Kingdom</t>
        </is>
      </c>
      <c r="D369" s="114" t="inlineStr">
        <is>
          <t>22035</t>
        </is>
      </c>
      <c r="E369" s="114" t="inlineStr">
        <is>
          <t xml:space="preserve">VINTAGE CARAVAN GREETING CARD </t>
        </is>
      </c>
      <c r="F369" s="114" t="n">
        <v>12</v>
      </c>
      <c r="G369" s="115" t="n">
        <v>0.42</v>
      </c>
      <c r="H369" s="115" t="n">
        <v>5.04</v>
      </c>
      <c r="I369" s="116" t="n">
        <v>40550</v>
      </c>
    </row>
    <row r="370">
      <c r="A370" s="117" t="inlineStr">
        <is>
          <t>540458</t>
        </is>
      </c>
      <c r="B370" s="117" t="n">
        <v>12501</v>
      </c>
      <c r="C370" s="117" t="inlineStr">
        <is>
          <t>Germany</t>
        </is>
      </c>
      <c r="D370" s="117" t="inlineStr">
        <is>
          <t>22747</t>
        </is>
      </c>
      <c r="E370" s="117" t="inlineStr">
        <is>
          <t>POPPY'S PLAYHOUSE BATHROOM</t>
        </is>
      </c>
      <c r="F370" s="117" t="n">
        <v>6</v>
      </c>
      <c r="G370" s="118" t="n">
        <v>2.1</v>
      </c>
      <c r="H370" s="118" t="n">
        <v>12.6</v>
      </c>
      <c r="I370" s="119" t="n">
        <v>40550</v>
      </c>
    </row>
    <row r="371">
      <c r="A371" s="114" t="inlineStr">
        <is>
          <t>540458</t>
        </is>
      </c>
      <c r="B371" s="114" t="n">
        <v>12501</v>
      </c>
      <c r="C371" s="114" t="inlineStr">
        <is>
          <t>Germany</t>
        </is>
      </c>
      <c r="D371" s="114" t="inlineStr">
        <is>
          <t>22131</t>
        </is>
      </c>
      <c r="E371" s="114" t="inlineStr">
        <is>
          <t xml:space="preserve">FOOD CONTAINER SET 3 LOVE HEART </t>
        </is>
      </c>
      <c r="F371" s="114" t="n">
        <v>6</v>
      </c>
      <c r="G371" s="115" t="n">
        <v>1.95</v>
      </c>
      <c r="H371" s="115" t="n">
        <v>11.7</v>
      </c>
      <c r="I371" s="116" t="n">
        <v>40550</v>
      </c>
    </row>
    <row r="372">
      <c r="A372" s="117" t="inlineStr">
        <is>
          <t>540462</t>
        </is>
      </c>
      <c r="B372" s="117" t="n">
        <v>16779</v>
      </c>
      <c r="C372" s="117" t="inlineStr">
        <is>
          <t>United Kingdom</t>
        </is>
      </c>
      <c r="D372" s="117" t="inlineStr">
        <is>
          <t>22896</t>
        </is>
      </c>
      <c r="E372" s="117" t="inlineStr">
        <is>
          <t>PEG BAG APPLES DESIGN</t>
        </is>
      </c>
      <c r="F372" s="117" t="n">
        <v>6</v>
      </c>
      <c r="G372" s="118" t="n">
        <v>2.55</v>
      </c>
      <c r="H372" s="118" t="n">
        <v>15.3</v>
      </c>
      <c r="I372" s="119" t="n">
        <v>40550</v>
      </c>
    </row>
    <row r="373">
      <c r="A373" s="114" t="inlineStr">
        <is>
          <t>540469</t>
        </is>
      </c>
      <c r="B373" s="114" t="n">
        <v>12484</v>
      </c>
      <c r="C373" s="114" t="inlineStr">
        <is>
          <t>Spain</t>
        </is>
      </c>
      <c r="D373" s="114" t="inlineStr">
        <is>
          <t>22745</t>
        </is>
      </c>
      <c r="E373" s="114" t="inlineStr">
        <is>
          <t xml:space="preserve">POPPY'S PLAYHOUSE BEDROOM </t>
        </is>
      </c>
      <c r="F373" s="114" t="n">
        <v>3</v>
      </c>
      <c r="G373" s="115" t="n">
        <v>2.1</v>
      </c>
      <c r="H373" s="115" t="n">
        <v>6.3</v>
      </c>
      <c r="I373" s="116" t="n">
        <v>40550</v>
      </c>
    </row>
    <row r="374">
      <c r="A374" s="117" t="inlineStr">
        <is>
          <t>540471</t>
        </is>
      </c>
      <c r="B374" s="117" t="n">
        <v>15601</v>
      </c>
      <c r="C374" s="117" t="inlineStr">
        <is>
          <t>United Kingdom</t>
        </is>
      </c>
      <c r="D374" s="117" t="inlineStr">
        <is>
          <t>84755</t>
        </is>
      </c>
      <c r="E374" s="117" t="inlineStr">
        <is>
          <t>COLOUR GLASS T-LIGHT HOLDER HANGING</t>
        </is>
      </c>
      <c r="F374" s="117" t="n">
        <v>16</v>
      </c>
      <c r="G374" s="118" t="n">
        <v>0.65</v>
      </c>
      <c r="H374" s="118" t="n">
        <v>10.4</v>
      </c>
      <c r="I374" s="119" t="n">
        <v>40550</v>
      </c>
    </row>
    <row r="375">
      <c r="A375" s="114" t="inlineStr">
        <is>
          <t>540473</t>
        </is>
      </c>
      <c r="B375" s="114" t="n">
        <v>17284</v>
      </c>
      <c r="C375" s="114" t="inlineStr">
        <is>
          <t>United Kingdom</t>
        </is>
      </c>
      <c r="D375" s="114" t="inlineStr">
        <is>
          <t>21446</t>
        </is>
      </c>
      <c r="E375" s="114" t="inlineStr">
        <is>
          <t>12 RED ROSE PEG PLACE SETTINGS</t>
        </is>
      </c>
      <c r="F375" s="114" t="n">
        <v>4</v>
      </c>
      <c r="G375" s="115" t="n">
        <v>1.25</v>
      </c>
      <c r="H375" s="115" t="n">
        <v>5</v>
      </c>
      <c r="I375" s="116" t="n">
        <v>40550</v>
      </c>
    </row>
    <row r="376">
      <c r="A376" s="117" t="inlineStr">
        <is>
          <t>540477</t>
        </is>
      </c>
      <c r="B376" s="117" t="n">
        <v>13233</v>
      </c>
      <c r="C376" s="117" t="inlineStr">
        <is>
          <t>United Kingdom</t>
        </is>
      </c>
      <c r="D376" s="117" t="inlineStr">
        <is>
          <t>85184C</t>
        </is>
      </c>
      <c r="E376" s="117" t="inlineStr">
        <is>
          <t>S/4 VALENTINE DECOUPAGE HEART BOX</t>
        </is>
      </c>
      <c r="F376" s="117" t="n">
        <v>24</v>
      </c>
      <c r="G376" s="118" t="n">
        <v>1.25</v>
      </c>
      <c r="H376" s="118" t="n">
        <v>30</v>
      </c>
      <c r="I376" s="119" t="n">
        <v>40550</v>
      </c>
    </row>
    <row r="377">
      <c r="A377" s="114" t="inlineStr">
        <is>
          <t>540477</t>
        </is>
      </c>
      <c r="B377" s="114" t="n">
        <v>13233</v>
      </c>
      <c r="C377" s="114" t="inlineStr">
        <is>
          <t>United Kingdom</t>
        </is>
      </c>
      <c r="D377" s="114" t="inlineStr">
        <is>
          <t>21620</t>
        </is>
      </c>
      <c r="E377" s="114" t="inlineStr">
        <is>
          <t>SET OF 4 ROSE BOTANICAL CANDLES</t>
        </is>
      </c>
      <c r="F377" s="114" t="n">
        <v>12</v>
      </c>
      <c r="G377" s="115" t="n">
        <v>1.25</v>
      </c>
      <c r="H377" s="115" t="n">
        <v>15</v>
      </c>
      <c r="I377" s="116" t="n">
        <v>40550</v>
      </c>
    </row>
    <row r="378">
      <c r="A378" s="117" t="inlineStr">
        <is>
          <t>540489</t>
        </is>
      </c>
      <c r="B378" s="117" t="n">
        <v>13593</v>
      </c>
      <c r="C378" s="117" t="inlineStr">
        <is>
          <t>United Kingdom</t>
        </is>
      </c>
      <c r="D378" s="117" t="inlineStr">
        <is>
          <t>21485</t>
        </is>
      </c>
      <c r="E378" s="117" t="inlineStr">
        <is>
          <t>RETROSPOT HEART HOT WATER BOTTLE</t>
        </is>
      </c>
      <c r="F378" s="117" t="n">
        <v>1</v>
      </c>
      <c r="G378" s="118" t="n">
        <v>4.95</v>
      </c>
      <c r="H378" s="118" t="n">
        <v>4.95</v>
      </c>
      <c r="I378" s="119" t="n">
        <v>40550</v>
      </c>
    </row>
    <row r="379">
      <c r="A379" s="114" t="inlineStr">
        <is>
          <t>540493</t>
        </is>
      </c>
      <c r="B379" s="114" t="n">
        <v>14867</v>
      </c>
      <c r="C379" s="114" t="inlineStr">
        <is>
          <t>United Kingdom</t>
        </is>
      </c>
      <c r="D379" s="114" t="inlineStr">
        <is>
          <t>21174</t>
        </is>
      </c>
      <c r="E379" s="114" t="inlineStr">
        <is>
          <t>POTTERING IN THE SHED METAL SIGN</t>
        </is>
      </c>
      <c r="F379" s="114" t="n">
        <v>12</v>
      </c>
      <c r="G379" s="115" t="n">
        <v>1.95</v>
      </c>
      <c r="H379" s="115" t="n">
        <v>23.4</v>
      </c>
      <c r="I379" s="116" t="n">
        <v>40550</v>
      </c>
    </row>
    <row r="380">
      <c r="A380" s="117" t="inlineStr">
        <is>
          <t>540499</t>
        </is>
      </c>
      <c r="B380" s="117" t="n">
        <v>16923</v>
      </c>
      <c r="C380" s="117" t="inlineStr">
        <is>
          <t>United Kingdom</t>
        </is>
      </c>
      <c r="D380" s="117" t="inlineStr">
        <is>
          <t>21755</t>
        </is>
      </c>
      <c r="E380" s="117" t="inlineStr">
        <is>
          <t>LOVE BUILDING BLOCK WORD</t>
        </is>
      </c>
      <c r="F380" s="117" t="n">
        <v>2</v>
      </c>
      <c r="G380" s="118" t="n">
        <v>5.95</v>
      </c>
      <c r="H380" s="118" t="n">
        <v>11.9</v>
      </c>
      <c r="I380" s="119" t="n">
        <v>40552</v>
      </c>
    </row>
    <row r="381">
      <c r="A381" s="114" t="inlineStr">
        <is>
          <t>540508</t>
        </is>
      </c>
      <c r="B381" s="114" t="n">
        <v>14810</v>
      </c>
      <c r="C381" s="114" t="inlineStr">
        <is>
          <t>United Kingdom</t>
        </is>
      </c>
      <c r="D381" s="114" t="inlineStr">
        <is>
          <t>82482</t>
        </is>
      </c>
      <c r="E381" s="114" t="inlineStr">
        <is>
          <t>WOODEN PICTURE FRAME WHITE FINISH</t>
        </is>
      </c>
      <c r="F381" s="114" t="n">
        <v>2</v>
      </c>
      <c r="G381" s="115" t="n">
        <v>2.55</v>
      </c>
      <c r="H381" s="115" t="n">
        <v>5.1</v>
      </c>
      <c r="I381" s="116" t="n">
        <v>40552</v>
      </c>
    </row>
    <row r="382">
      <c r="A382" s="117" t="inlineStr">
        <is>
          <t>540508</t>
        </is>
      </c>
      <c r="B382" s="117" t="n">
        <v>14810</v>
      </c>
      <c r="C382" s="117" t="inlineStr">
        <is>
          <t>United Kingdom</t>
        </is>
      </c>
      <c r="D382" s="117" t="inlineStr">
        <is>
          <t>82494L</t>
        </is>
      </c>
      <c r="E382" s="117" t="inlineStr">
        <is>
          <t xml:space="preserve">WOODEN FRAME ANTIQUE WHITE </t>
        </is>
      </c>
      <c r="F382" s="117" t="n">
        <v>4</v>
      </c>
      <c r="G382" s="118" t="n">
        <v>2.95</v>
      </c>
      <c r="H382" s="118" t="n">
        <v>11.8</v>
      </c>
      <c r="I382" s="119" t="n">
        <v>40552</v>
      </c>
    </row>
    <row r="383">
      <c r="A383" s="114" t="inlineStr">
        <is>
          <t>540509</t>
        </is>
      </c>
      <c r="B383" s="114" t="n">
        <v>14800</v>
      </c>
      <c r="C383" s="114" t="inlineStr">
        <is>
          <t>United Kingdom</t>
        </is>
      </c>
      <c r="D383" s="114" t="inlineStr">
        <is>
          <t>22203</t>
        </is>
      </c>
      <c r="E383" s="114" t="inlineStr">
        <is>
          <t>MILK PAN RED RETROSPOT</t>
        </is>
      </c>
      <c r="F383" s="114" t="n">
        <v>1</v>
      </c>
      <c r="G383" s="115" t="n">
        <v>3.75</v>
      </c>
      <c r="H383" s="115" t="n">
        <v>3.75</v>
      </c>
      <c r="I383" s="116" t="n">
        <v>40552</v>
      </c>
    </row>
    <row r="384">
      <c r="A384" s="117" t="inlineStr">
        <is>
          <t>540509</t>
        </is>
      </c>
      <c r="B384" s="117" t="n">
        <v>14800</v>
      </c>
      <c r="C384" s="117" t="inlineStr">
        <is>
          <t>United Kingdom</t>
        </is>
      </c>
      <c r="D384" s="117" t="inlineStr">
        <is>
          <t>16161U</t>
        </is>
      </c>
      <c r="E384" s="117" t="inlineStr">
        <is>
          <t>WRAP SUKI AND FRIENDS</t>
        </is>
      </c>
      <c r="F384" s="117" t="n">
        <v>25</v>
      </c>
      <c r="G384" s="118" t="n">
        <v>0.42</v>
      </c>
      <c r="H384" s="118" t="n">
        <v>10.5</v>
      </c>
      <c r="I384" s="119" t="n">
        <v>40552</v>
      </c>
    </row>
    <row r="385">
      <c r="A385" s="114" t="inlineStr">
        <is>
          <t>540512</t>
        </is>
      </c>
      <c r="B385" s="114" t="n">
        <v>17114</v>
      </c>
      <c r="C385" s="114" t="inlineStr">
        <is>
          <t>United Kingdom</t>
        </is>
      </c>
      <c r="D385" s="114" t="inlineStr">
        <is>
          <t>22027</t>
        </is>
      </c>
      <c r="E385" s="114" t="inlineStr">
        <is>
          <t>TEA PARTY BIRTHDAY CARD</t>
        </is>
      </c>
      <c r="F385" s="114" t="n">
        <v>12</v>
      </c>
      <c r="G385" s="115" t="n">
        <v>0.42</v>
      </c>
      <c r="H385" s="115" t="n">
        <v>5.04</v>
      </c>
      <c r="I385" s="116" t="n">
        <v>40552</v>
      </c>
    </row>
    <row r="386">
      <c r="A386" s="117" t="inlineStr">
        <is>
          <t>540513</t>
        </is>
      </c>
      <c r="B386" s="117" t="n">
        <v>13758</v>
      </c>
      <c r="C386" s="117" t="inlineStr">
        <is>
          <t>United Kingdom</t>
        </is>
      </c>
      <c r="D386" s="117" t="inlineStr">
        <is>
          <t>22113</t>
        </is>
      </c>
      <c r="E386" s="117" t="inlineStr">
        <is>
          <t>GREY HEART HOT WATER BOTTLE</t>
        </is>
      </c>
      <c r="F386" s="117" t="n">
        <v>12</v>
      </c>
      <c r="G386" s="118" t="n">
        <v>3.75</v>
      </c>
      <c r="H386" s="118" t="n">
        <v>45</v>
      </c>
      <c r="I386" s="119" t="n">
        <v>40552</v>
      </c>
    </row>
    <row r="387">
      <c r="A387" s="114" t="inlineStr">
        <is>
          <t>540513</t>
        </is>
      </c>
      <c r="B387" s="114" t="n">
        <v>13758</v>
      </c>
      <c r="C387" s="114" t="inlineStr">
        <is>
          <t>United Kingdom</t>
        </is>
      </c>
      <c r="D387" s="114" t="inlineStr">
        <is>
          <t>21733</t>
        </is>
      </c>
      <c r="E387" s="114" t="inlineStr">
        <is>
          <t>RED HANGING HEART T-LIGHT HOLDER</t>
        </is>
      </c>
      <c r="F387" s="114" t="n">
        <v>32</v>
      </c>
      <c r="G387" s="115" t="n">
        <v>2.55</v>
      </c>
      <c r="H387" s="115" t="n">
        <v>81.59999999999999</v>
      </c>
      <c r="I387" s="116" t="n">
        <v>40552</v>
      </c>
    </row>
    <row r="388">
      <c r="A388" s="117" t="inlineStr">
        <is>
          <t>540513</t>
        </is>
      </c>
      <c r="B388" s="117" t="n">
        <v>13758</v>
      </c>
      <c r="C388" s="117" t="inlineStr">
        <is>
          <t>United Kingdom</t>
        </is>
      </c>
      <c r="D388" s="117" t="inlineStr">
        <is>
          <t>85123A</t>
        </is>
      </c>
      <c r="E388" s="117" t="inlineStr">
        <is>
          <t>WHITE HANGING HEART T-LIGHT HOLDER</t>
        </is>
      </c>
      <c r="F388" s="117" t="n">
        <v>32</v>
      </c>
      <c r="G388" s="118" t="n">
        <v>2.55</v>
      </c>
      <c r="H388" s="118" t="n">
        <v>81.59999999999999</v>
      </c>
      <c r="I388" s="119" t="n">
        <v>40552</v>
      </c>
    </row>
    <row r="389">
      <c r="A389" s="114" t="inlineStr">
        <is>
          <t>540520</t>
        </is>
      </c>
      <c r="B389" s="114" t="n">
        <v>17555</v>
      </c>
      <c r="C389" s="114" t="inlineStr">
        <is>
          <t>United Kingdom</t>
        </is>
      </c>
      <c r="D389" s="114" t="inlineStr">
        <is>
          <t>22617</t>
        </is>
      </c>
      <c r="E389" s="114" t="inlineStr">
        <is>
          <t>BAKING SET SPACEBOY DESIGN</t>
        </is>
      </c>
      <c r="F389" s="114" t="n">
        <v>1</v>
      </c>
      <c r="G389" s="115" t="n">
        <v>4.95</v>
      </c>
      <c r="H389" s="115" t="n">
        <v>4.95</v>
      </c>
      <c r="I389" s="116" t="n">
        <v>40552</v>
      </c>
    </row>
    <row r="390">
      <c r="A390" s="117" t="inlineStr">
        <is>
          <t>540531</t>
        </is>
      </c>
      <c r="B390" s="117" t="n">
        <v>16549</v>
      </c>
      <c r="C390" s="117" t="inlineStr">
        <is>
          <t>United Kingdom</t>
        </is>
      </c>
      <c r="D390" s="117" t="inlineStr">
        <is>
          <t>21181</t>
        </is>
      </c>
      <c r="E390" s="117" t="inlineStr">
        <is>
          <t>PLEASE ONE PERSON METAL SIGN</t>
        </is>
      </c>
      <c r="F390" s="117" t="n">
        <v>1</v>
      </c>
      <c r="G390" s="118" t="n">
        <v>2.1</v>
      </c>
      <c r="H390" s="118" t="n">
        <v>2.1</v>
      </c>
      <c r="I390" s="119" t="n">
        <v>40552</v>
      </c>
    </row>
    <row r="391">
      <c r="A391" s="114" t="inlineStr">
        <is>
          <t>540531</t>
        </is>
      </c>
      <c r="B391" s="114" t="n">
        <v>16549</v>
      </c>
      <c r="C391" s="114" t="inlineStr">
        <is>
          <t>United Kingdom</t>
        </is>
      </c>
      <c r="D391" s="114" t="inlineStr">
        <is>
          <t>21754</t>
        </is>
      </c>
      <c r="E391" s="114" t="inlineStr">
        <is>
          <t>HOME BUILDING BLOCK WORD</t>
        </is>
      </c>
      <c r="F391" s="114" t="n">
        <v>1</v>
      </c>
      <c r="G391" s="115" t="n">
        <v>5.95</v>
      </c>
      <c r="H391" s="115" t="n">
        <v>5.95</v>
      </c>
      <c r="I391" s="116" t="n">
        <v>40552</v>
      </c>
    </row>
    <row r="392">
      <c r="A392" s="117" t="inlineStr">
        <is>
          <t>540533</t>
        </is>
      </c>
      <c r="B392" s="117" t="n">
        <v>15005</v>
      </c>
      <c r="C392" s="117" t="inlineStr">
        <is>
          <t>United Kingdom</t>
        </is>
      </c>
      <c r="D392" s="117" t="inlineStr">
        <is>
          <t>20713</t>
        </is>
      </c>
      <c r="E392" s="117" t="inlineStr">
        <is>
          <t>JUMBO BAG OWLS</t>
        </is>
      </c>
      <c r="F392" s="117" t="n">
        <v>3</v>
      </c>
      <c r="G392" s="118" t="n">
        <v>1.95</v>
      </c>
      <c r="H392" s="118" t="n">
        <v>5.85</v>
      </c>
      <c r="I392" s="119" t="n">
        <v>40552</v>
      </c>
    </row>
    <row r="393">
      <c r="A393" s="114" t="inlineStr">
        <is>
          <t>540536</t>
        </is>
      </c>
      <c r="B393" s="114" t="n">
        <v>17757</v>
      </c>
      <c r="C393" s="114" t="inlineStr">
        <is>
          <t>United Kingdom</t>
        </is>
      </c>
      <c r="D393" s="114" t="inlineStr">
        <is>
          <t>22681</t>
        </is>
      </c>
      <c r="E393" s="114" t="inlineStr">
        <is>
          <t>FRENCH BLUE METAL DOOR SIGN 6</t>
        </is>
      </c>
      <c r="F393" s="114" t="n">
        <v>3</v>
      </c>
      <c r="G393" s="115" t="n">
        <v>1.25</v>
      </c>
      <c r="H393" s="115" t="n">
        <v>3.75</v>
      </c>
      <c r="I393" s="116" t="n">
        <v>40552</v>
      </c>
    </row>
    <row r="394">
      <c r="A394" s="117" t="inlineStr">
        <is>
          <t>540536</t>
        </is>
      </c>
      <c r="B394" s="117" t="n">
        <v>17757</v>
      </c>
      <c r="C394" s="117" t="inlineStr">
        <is>
          <t>United Kingdom</t>
        </is>
      </c>
      <c r="D394" s="117" t="inlineStr">
        <is>
          <t>85099F</t>
        </is>
      </c>
      <c r="E394" s="117" t="inlineStr">
        <is>
          <t>JUMBO BAG STRAWBERRY</t>
        </is>
      </c>
      <c r="F394" s="117" t="n">
        <v>2</v>
      </c>
      <c r="G394" s="118" t="n">
        <v>1.95</v>
      </c>
      <c r="H394" s="118" t="n">
        <v>3.9</v>
      </c>
      <c r="I394" s="119" t="n">
        <v>40552</v>
      </c>
    </row>
    <row r="395">
      <c r="A395" s="114" t="inlineStr">
        <is>
          <t>540537</t>
        </is>
      </c>
      <c r="B395" s="114" t="n">
        <v>13565</v>
      </c>
      <c r="C395" s="114" t="inlineStr">
        <is>
          <t>United Kingdom</t>
        </is>
      </c>
      <c r="D395" s="114" t="inlineStr">
        <is>
          <t>22695</t>
        </is>
      </c>
      <c r="E395" s="114" t="inlineStr">
        <is>
          <t>WICKER WREATH SMALL</t>
        </is>
      </c>
      <c r="F395" s="114" t="n">
        <v>4</v>
      </c>
      <c r="G395" s="115" t="n">
        <v>1.45</v>
      </c>
      <c r="H395" s="115" t="n">
        <v>5.8</v>
      </c>
      <c r="I395" s="116" t="n">
        <v>40552</v>
      </c>
    </row>
    <row r="396">
      <c r="A396" s="117" t="inlineStr">
        <is>
          <t>540538</t>
        </is>
      </c>
      <c r="B396" s="117" t="n">
        <v>17841</v>
      </c>
      <c r="C396" s="117" t="inlineStr">
        <is>
          <t>United Kingdom</t>
        </is>
      </c>
      <c r="D396" s="117" t="inlineStr">
        <is>
          <t>22212</t>
        </is>
      </c>
      <c r="E396" s="117" t="inlineStr">
        <is>
          <t>FOUR HOOK  WHITE LOVEBIRDS</t>
        </is>
      </c>
      <c r="F396" s="117" t="n">
        <v>1</v>
      </c>
      <c r="G396" s="118" t="n">
        <v>2.1</v>
      </c>
      <c r="H396" s="118" t="n">
        <v>2.1</v>
      </c>
      <c r="I396" s="119" t="n">
        <v>40552</v>
      </c>
    </row>
    <row r="397">
      <c r="A397" s="114" t="inlineStr">
        <is>
          <t>540539</t>
        </is>
      </c>
      <c r="B397" s="114" t="n">
        <v>18260</v>
      </c>
      <c r="C397" s="114" t="inlineStr">
        <is>
          <t>United Kingdom</t>
        </is>
      </c>
      <c r="D397" s="114" t="inlineStr">
        <is>
          <t>71459</t>
        </is>
      </c>
      <c r="E397" s="114" t="inlineStr">
        <is>
          <t>HANGING JAM JAR T-LIGHT HOLDER</t>
        </is>
      </c>
      <c r="F397" s="114" t="n">
        <v>36</v>
      </c>
      <c r="G397" s="115" t="n">
        <v>0.85</v>
      </c>
      <c r="H397" s="115" t="n">
        <v>30.6</v>
      </c>
      <c r="I397" s="116" t="n">
        <v>40552</v>
      </c>
    </row>
    <row r="398">
      <c r="A398" s="117" t="inlineStr">
        <is>
          <t>540543</t>
        </is>
      </c>
      <c r="B398" s="117" t="n">
        <v>14395</v>
      </c>
      <c r="C398" s="117" t="inlineStr">
        <is>
          <t>United Kingdom</t>
        </is>
      </c>
      <c r="D398" s="117" t="inlineStr">
        <is>
          <t>84849B</t>
        </is>
      </c>
      <c r="E398" s="117" t="inlineStr">
        <is>
          <t>FAIRY SOAP SOAP HOLDER</t>
        </is>
      </c>
      <c r="F398" s="117" t="n">
        <v>4</v>
      </c>
      <c r="G398" s="118" t="n">
        <v>1.69</v>
      </c>
      <c r="H398" s="118" t="n">
        <v>6.76</v>
      </c>
      <c r="I398" s="119" t="n">
        <v>40552</v>
      </c>
    </row>
    <row r="399">
      <c r="A399" s="114" t="inlineStr">
        <is>
          <t>540543</t>
        </is>
      </c>
      <c r="B399" s="114" t="n">
        <v>14395</v>
      </c>
      <c r="C399" s="114" t="inlineStr">
        <is>
          <t>United Kingdom</t>
        </is>
      </c>
      <c r="D399" s="114" t="inlineStr">
        <is>
          <t>21429</t>
        </is>
      </c>
      <c r="E399" s="114" t="inlineStr">
        <is>
          <t>RED GINGHAM ROSE JEWELLERY BOX</t>
        </is>
      </c>
      <c r="F399" s="114" t="n">
        <v>4</v>
      </c>
      <c r="G399" s="115" t="n">
        <v>1.65</v>
      </c>
      <c r="H399" s="115" t="n">
        <v>6.6</v>
      </c>
      <c r="I399" s="116" t="n">
        <v>40552</v>
      </c>
    </row>
    <row r="400">
      <c r="A400" s="117" t="inlineStr">
        <is>
          <t>540545</t>
        </is>
      </c>
      <c r="B400" s="117" t="n">
        <v>13451</v>
      </c>
      <c r="C400" s="117" t="inlineStr">
        <is>
          <t>United Kingdom</t>
        </is>
      </c>
      <c r="D400" s="117" t="inlineStr">
        <is>
          <t>22193</t>
        </is>
      </c>
      <c r="E400" s="117" t="inlineStr">
        <is>
          <t>RED DINER WALL CLOCK</t>
        </is>
      </c>
      <c r="F400" s="117" t="n">
        <v>1</v>
      </c>
      <c r="G400" s="118" t="n">
        <v>8.5</v>
      </c>
      <c r="H400" s="118" t="n">
        <v>8.5</v>
      </c>
      <c r="I400" s="119" t="n">
        <v>40552</v>
      </c>
    </row>
    <row r="401">
      <c r="A401" s="114" t="inlineStr">
        <is>
          <t>540545</t>
        </is>
      </c>
      <c r="B401" s="114" t="n">
        <v>13451</v>
      </c>
      <c r="C401" s="114" t="inlineStr">
        <is>
          <t>United Kingdom</t>
        </is>
      </c>
      <c r="D401" s="114" t="inlineStr">
        <is>
          <t>22723</t>
        </is>
      </c>
      <c r="E401" s="114" t="inlineStr">
        <is>
          <t>SET OF 6 HERB TINS SKETCHBOOK</t>
        </is>
      </c>
      <c r="F401" s="114" t="n">
        <v>2</v>
      </c>
      <c r="G401" s="115" t="n">
        <v>3.95</v>
      </c>
      <c r="H401" s="115" t="n">
        <v>7.9</v>
      </c>
      <c r="I401" s="116" t="n">
        <v>40552</v>
      </c>
    </row>
    <row r="402">
      <c r="A402" s="117" t="inlineStr">
        <is>
          <t>540550</t>
        </is>
      </c>
      <c r="B402" s="117" t="n">
        <v>12539</v>
      </c>
      <c r="C402" s="117" t="inlineStr">
        <is>
          <t>Spain</t>
        </is>
      </c>
      <c r="D402" s="117" t="inlineStr">
        <is>
          <t>22961</t>
        </is>
      </c>
      <c r="E402" s="117" t="inlineStr">
        <is>
          <t>JAM MAKING SET PRINTED</t>
        </is>
      </c>
      <c r="F402" s="117" t="n">
        <v>12</v>
      </c>
      <c r="G402" s="118" t="n">
        <v>1.45</v>
      </c>
      <c r="H402" s="118" t="n">
        <v>17.4</v>
      </c>
      <c r="I402" s="119" t="n">
        <v>40553</v>
      </c>
    </row>
    <row r="403">
      <c r="A403" s="114" t="inlineStr">
        <is>
          <t>540554</t>
        </is>
      </c>
      <c r="B403" s="114" t="n">
        <v>18171</v>
      </c>
      <c r="C403" s="114" t="inlineStr">
        <is>
          <t>United Kingdom</t>
        </is>
      </c>
      <c r="D403" s="114" t="inlineStr">
        <is>
          <t>85014B</t>
        </is>
      </c>
      <c r="E403" s="114" t="inlineStr">
        <is>
          <t>RED RETROSPOT UMBRELLA</t>
        </is>
      </c>
      <c r="F403" s="114" t="n">
        <v>3</v>
      </c>
      <c r="G403" s="115" t="n">
        <v>5.95</v>
      </c>
      <c r="H403" s="115" t="n">
        <v>17.85</v>
      </c>
      <c r="I403" s="116" t="n">
        <v>40553</v>
      </c>
    </row>
    <row r="404">
      <c r="A404" s="117" t="inlineStr">
        <is>
          <t>540561</t>
        </is>
      </c>
      <c r="B404" s="117" t="n">
        <v>13004</v>
      </c>
      <c r="C404" s="117" t="inlineStr">
        <is>
          <t>United Kingdom</t>
        </is>
      </c>
      <c r="D404" s="117" t="inlineStr">
        <is>
          <t>85059</t>
        </is>
      </c>
      <c r="E404" s="117" t="inlineStr">
        <is>
          <t>FRENCH ENAMEL WATER BASIN</t>
        </is>
      </c>
      <c r="F404" s="117" t="n">
        <v>16</v>
      </c>
      <c r="G404" s="118" t="n">
        <v>1.25</v>
      </c>
      <c r="H404" s="118" t="n">
        <v>20</v>
      </c>
      <c r="I404" s="119" t="n">
        <v>40553</v>
      </c>
    </row>
    <row r="405">
      <c r="A405" s="114" t="inlineStr">
        <is>
          <t>540645</t>
        </is>
      </c>
      <c r="B405" s="114" t="n">
        <v>14060</v>
      </c>
      <c r="C405" s="114" t="inlineStr">
        <is>
          <t>United Kingdom</t>
        </is>
      </c>
      <c r="D405" s="114" t="inlineStr">
        <is>
          <t>21620</t>
        </is>
      </c>
      <c r="E405" s="114" t="inlineStr">
        <is>
          <t>SET OF 4 ROSE BOTANICAL CANDLES</t>
        </is>
      </c>
      <c r="F405" s="114" t="n">
        <v>12</v>
      </c>
      <c r="G405" s="115" t="n">
        <v>1.25</v>
      </c>
      <c r="H405" s="115" t="n">
        <v>15</v>
      </c>
      <c r="I405" s="116" t="n">
        <v>40553</v>
      </c>
    </row>
    <row r="406">
      <c r="A406" s="117" t="inlineStr">
        <is>
          <t>540647</t>
        </is>
      </c>
      <c r="B406" s="117" t="n">
        <v>17406</v>
      </c>
      <c r="C406" s="117" t="inlineStr">
        <is>
          <t>United Kingdom</t>
        </is>
      </c>
      <c r="D406" s="117" t="inlineStr">
        <is>
          <t>21733</t>
        </is>
      </c>
      <c r="E406" s="117" t="inlineStr">
        <is>
          <t>RED HANGING HEART T-LIGHT HOLDER</t>
        </is>
      </c>
      <c r="F406" s="117" t="n">
        <v>3</v>
      </c>
      <c r="G406" s="118" t="n">
        <v>2.95</v>
      </c>
      <c r="H406" s="118" t="n">
        <v>8.85</v>
      </c>
      <c r="I406" s="119" t="n">
        <v>40553</v>
      </c>
    </row>
    <row r="407">
      <c r="A407" s="114" t="inlineStr">
        <is>
          <t>540647</t>
        </is>
      </c>
      <c r="B407" s="114" t="n">
        <v>17406</v>
      </c>
      <c r="C407" s="114" t="inlineStr">
        <is>
          <t>United Kingdom</t>
        </is>
      </c>
      <c r="D407" s="114" t="inlineStr">
        <is>
          <t>22798</t>
        </is>
      </c>
      <c r="E407" s="114" t="inlineStr">
        <is>
          <t>ANTIQUE GLASS DRESSING TABLE POT</t>
        </is>
      </c>
      <c r="F407" s="114" t="n">
        <v>8</v>
      </c>
      <c r="G407" s="115" t="n">
        <v>2.95</v>
      </c>
      <c r="H407" s="115" t="n">
        <v>23.6</v>
      </c>
      <c r="I407" s="116" t="n">
        <v>40553</v>
      </c>
    </row>
    <row r="408">
      <c r="A408" s="117" t="inlineStr">
        <is>
          <t>540664</t>
        </is>
      </c>
      <c r="B408" s="117" t="n">
        <v>15044</v>
      </c>
      <c r="C408" s="117" t="inlineStr">
        <is>
          <t>United Kingdom</t>
        </is>
      </c>
      <c r="D408" s="117" t="inlineStr">
        <is>
          <t>21756</t>
        </is>
      </c>
      <c r="E408" s="117" t="inlineStr">
        <is>
          <t>BATH BUILDING BLOCK WORD</t>
        </is>
      </c>
      <c r="F408" s="117" t="n">
        <v>4</v>
      </c>
      <c r="G408" s="118" t="n">
        <v>5.95</v>
      </c>
      <c r="H408" s="118" t="n">
        <v>23.8</v>
      </c>
      <c r="I408" s="119" t="n">
        <v>40553</v>
      </c>
    </row>
    <row r="409">
      <c r="A409" s="114" t="inlineStr">
        <is>
          <t>540672</t>
        </is>
      </c>
      <c r="B409" s="114" t="n">
        <v>15281</v>
      </c>
      <c r="C409" s="114" t="inlineStr">
        <is>
          <t>United Kingdom</t>
        </is>
      </c>
      <c r="D409" s="114" t="inlineStr">
        <is>
          <t>22570</t>
        </is>
      </c>
      <c r="E409" s="114" t="inlineStr">
        <is>
          <t>FELTCRAFT CUSHION RABBIT</t>
        </is>
      </c>
      <c r="F409" s="114" t="n">
        <v>8</v>
      </c>
      <c r="G409" s="115" t="n">
        <v>3.75</v>
      </c>
      <c r="H409" s="115" t="n">
        <v>30</v>
      </c>
      <c r="I409" s="116" t="n">
        <v>40553</v>
      </c>
    </row>
    <row r="410">
      <c r="A410" s="117" t="inlineStr">
        <is>
          <t>540672</t>
        </is>
      </c>
      <c r="B410" s="117" t="n">
        <v>15281</v>
      </c>
      <c r="C410" s="117" t="inlineStr">
        <is>
          <t>United Kingdom</t>
        </is>
      </c>
      <c r="D410" s="117" t="inlineStr">
        <is>
          <t>21890</t>
        </is>
      </c>
      <c r="E410" s="117" t="inlineStr">
        <is>
          <t>S/6 WOODEN SKITTLES IN COTTON BAG</t>
        </is>
      </c>
      <c r="F410" s="117" t="n">
        <v>6</v>
      </c>
      <c r="G410" s="118" t="n">
        <v>2.95</v>
      </c>
      <c r="H410" s="118" t="n">
        <v>17.7</v>
      </c>
      <c r="I410" s="119" t="n">
        <v>40553</v>
      </c>
    </row>
    <row r="411">
      <c r="A411" s="114" t="inlineStr">
        <is>
          <t>540680</t>
        </is>
      </c>
      <c r="B411" s="114" t="n">
        <v>15311</v>
      </c>
      <c r="C411" s="114" t="inlineStr">
        <is>
          <t>United Kingdom</t>
        </is>
      </c>
      <c r="D411" s="114" t="inlineStr">
        <is>
          <t>22771</t>
        </is>
      </c>
      <c r="E411" s="114" t="inlineStr">
        <is>
          <t>CLEAR DRAWER KNOB ACRYLIC EDWARDIAN</t>
        </is>
      </c>
      <c r="F411" s="114" t="n">
        <v>24</v>
      </c>
      <c r="G411" s="115" t="n">
        <v>1.25</v>
      </c>
      <c r="H411" s="115" t="n">
        <v>30</v>
      </c>
      <c r="I411" s="116" t="n">
        <v>40553</v>
      </c>
    </row>
    <row r="412">
      <c r="A412" s="117" t="inlineStr">
        <is>
          <t>540691</t>
        </is>
      </c>
      <c r="B412" s="117" t="n">
        <v>17450</v>
      </c>
      <c r="C412" s="117" t="inlineStr">
        <is>
          <t>United Kingdom</t>
        </is>
      </c>
      <c r="D412" s="117" t="inlineStr">
        <is>
          <t>22889</t>
        </is>
      </c>
      <c r="E412" s="117" t="inlineStr">
        <is>
          <t xml:space="preserve">NUMBER TILE VINTAGE FONT No </t>
        </is>
      </c>
      <c r="F412" s="117" t="n">
        <v>24</v>
      </c>
      <c r="G412" s="118" t="n">
        <v>2.17</v>
      </c>
      <c r="H412" s="118" t="n">
        <v>52.08</v>
      </c>
      <c r="I412" s="119" t="n">
        <v>40554</v>
      </c>
    </row>
    <row r="413">
      <c r="A413" s="114" t="inlineStr">
        <is>
          <t>540692</t>
        </is>
      </c>
      <c r="B413" s="114" t="n">
        <v>14320</v>
      </c>
      <c r="C413" s="114" t="inlineStr">
        <is>
          <t>United Kingdom</t>
        </is>
      </c>
      <c r="D413" s="114" t="inlineStr">
        <is>
          <t>21210</t>
        </is>
      </c>
      <c r="E413" s="114" t="inlineStr">
        <is>
          <t>SET OF 72 RETROSPOT PAPER  DOILIES</t>
        </is>
      </c>
      <c r="F413" s="114" t="n">
        <v>12</v>
      </c>
      <c r="G413" s="115" t="n">
        <v>1.45</v>
      </c>
      <c r="H413" s="115" t="n">
        <v>17.4</v>
      </c>
      <c r="I413" s="116" t="n">
        <v>40554</v>
      </c>
    </row>
    <row r="414">
      <c r="A414" s="117" t="inlineStr">
        <is>
          <t>540703</t>
        </is>
      </c>
      <c r="B414" s="117" t="n">
        <v>14135</v>
      </c>
      <c r="C414" s="117" t="inlineStr">
        <is>
          <t>United Kingdom</t>
        </is>
      </c>
      <c r="D414" s="117" t="inlineStr">
        <is>
          <t>16161P</t>
        </is>
      </c>
      <c r="E414" s="117" t="inlineStr">
        <is>
          <t xml:space="preserve">WRAP ENGLISH ROSE </t>
        </is>
      </c>
      <c r="F414" s="117" t="n">
        <v>25</v>
      </c>
      <c r="G414" s="118" t="n">
        <v>0.42</v>
      </c>
      <c r="H414" s="118" t="n">
        <v>10.5</v>
      </c>
      <c r="I414" s="119" t="n">
        <v>40554</v>
      </c>
    </row>
    <row r="415">
      <c r="A415" s="114" t="inlineStr">
        <is>
          <t>540779</t>
        </is>
      </c>
      <c r="B415" s="114" t="n">
        <v>15346</v>
      </c>
      <c r="C415" s="114" t="inlineStr">
        <is>
          <t>United Kingdom</t>
        </is>
      </c>
      <c r="D415" s="114" t="inlineStr">
        <is>
          <t>21892</t>
        </is>
      </c>
      <c r="E415" s="114" t="inlineStr">
        <is>
          <t xml:space="preserve">TRADITIONAL WOODEN CATCH CUP GAME </t>
        </is>
      </c>
      <c r="F415" s="114" t="n">
        <v>12</v>
      </c>
      <c r="G415" s="115" t="n">
        <v>1.25</v>
      </c>
      <c r="H415" s="115" t="n">
        <v>15</v>
      </c>
      <c r="I415" s="116" t="n">
        <v>40554</v>
      </c>
    </row>
    <row r="416">
      <c r="A416" s="117" t="inlineStr">
        <is>
          <t>540798</t>
        </is>
      </c>
      <c r="B416" s="117" t="n">
        <v>17365</v>
      </c>
      <c r="C416" s="117" t="inlineStr">
        <is>
          <t>United Kingdom</t>
        </is>
      </c>
      <c r="D416" s="117" t="inlineStr">
        <is>
          <t>20992</t>
        </is>
      </c>
      <c r="E416" s="117" t="inlineStr">
        <is>
          <t>JAZZ HEARTS PURSE NOTEBOOK</t>
        </is>
      </c>
      <c r="F416" s="117" t="n">
        <v>6</v>
      </c>
      <c r="G416" s="118" t="n">
        <v>0.85</v>
      </c>
      <c r="H416" s="118" t="n">
        <v>5.1</v>
      </c>
      <c r="I416" s="119" t="n">
        <v>40554</v>
      </c>
    </row>
    <row r="417">
      <c r="A417" s="114" t="inlineStr">
        <is>
          <t>540816</t>
        </is>
      </c>
      <c r="B417" s="114" t="n">
        <v>15518</v>
      </c>
      <c r="C417" s="114" t="inlineStr">
        <is>
          <t>United Kingdom</t>
        </is>
      </c>
      <c r="D417" s="114" t="inlineStr">
        <is>
          <t>20972</t>
        </is>
      </c>
      <c r="E417" s="114" t="inlineStr">
        <is>
          <t xml:space="preserve">PINK CREAM FELT CRAFT TRINKET BOX </t>
        </is>
      </c>
      <c r="F417" s="114" t="n">
        <v>4</v>
      </c>
      <c r="G417" s="115" t="n">
        <v>1.25</v>
      </c>
      <c r="H417" s="115" t="n">
        <v>5</v>
      </c>
      <c r="I417" s="116" t="n">
        <v>40554</v>
      </c>
    </row>
    <row r="418">
      <c r="A418" s="117" t="inlineStr">
        <is>
          <t>540816</t>
        </is>
      </c>
      <c r="B418" s="117" t="n">
        <v>15518</v>
      </c>
      <c r="C418" s="117" t="inlineStr">
        <is>
          <t>United Kingdom</t>
        </is>
      </c>
      <c r="D418" s="117" t="inlineStr">
        <is>
          <t>22907</t>
        </is>
      </c>
      <c r="E418" s="117" t="inlineStr">
        <is>
          <t>PACK OF 20 NAPKINS PANTRY DESIGN</t>
        </is>
      </c>
      <c r="F418" s="117" t="n">
        <v>3</v>
      </c>
      <c r="G418" s="118" t="n">
        <v>0.85</v>
      </c>
      <c r="H418" s="118" t="n">
        <v>2.55</v>
      </c>
      <c r="I418" s="119" t="n">
        <v>40554</v>
      </c>
    </row>
    <row r="419">
      <c r="A419" s="114" t="inlineStr">
        <is>
          <t>540827</t>
        </is>
      </c>
      <c r="B419" s="114" t="n">
        <v>17569</v>
      </c>
      <c r="C419" s="114" t="inlineStr">
        <is>
          <t>United Kingdom</t>
        </is>
      </c>
      <c r="D419" s="114" t="inlineStr">
        <is>
          <t>82600</t>
        </is>
      </c>
      <c r="E419" s="114" t="inlineStr">
        <is>
          <t>NO SINGING METAL SIGN</t>
        </is>
      </c>
      <c r="F419" s="114" t="n">
        <v>3</v>
      </c>
      <c r="G419" s="115" t="n">
        <v>2.1</v>
      </c>
      <c r="H419" s="115" t="n">
        <v>6.3</v>
      </c>
      <c r="I419" s="116" t="n">
        <v>40554</v>
      </c>
    </row>
    <row r="420">
      <c r="A420" s="117" t="inlineStr">
        <is>
          <t>540838</t>
        </is>
      </c>
      <c r="B420" s="117" t="n">
        <v>13862</v>
      </c>
      <c r="C420" s="117" t="inlineStr">
        <is>
          <t>United Kingdom</t>
        </is>
      </c>
      <c r="D420" s="117" t="inlineStr">
        <is>
          <t>21356</t>
        </is>
      </c>
      <c r="E420" s="117" t="inlineStr">
        <is>
          <t>TOAST ITS - FAIRY FLOWER</t>
        </is>
      </c>
      <c r="F420" s="117" t="n">
        <v>12</v>
      </c>
      <c r="G420" s="118" t="n">
        <v>1.25</v>
      </c>
      <c r="H420" s="118" t="n">
        <v>15</v>
      </c>
      <c r="I420" s="119" t="n">
        <v>40554</v>
      </c>
    </row>
    <row r="421">
      <c r="A421" s="114" t="inlineStr">
        <is>
          <t>540839</t>
        </is>
      </c>
      <c r="B421" s="114" t="n">
        <v>16791</v>
      </c>
      <c r="C421" s="114" t="inlineStr">
        <is>
          <t>United Kingdom</t>
        </is>
      </c>
      <c r="D421" s="114" t="inlineStr">
        <is>
          <t>20914</t>
        </is>
      </c>
      <c r="E421" s="114" t="inlineStr">
        <is>
          <t>SET/5 RED RETROSPOT LID GLASS BOWLS</t>
        </is>
      </c>
      <c r="F421" s="114" t="n">
        <v>1</v>
      </c>
      <c r="G421" s="115" t="n">
        <v>2.95</v>
      </c>
      <c r="H421" s="115" t="n">
        <v>2.95</v>
      </c>
      <c r="I421" s="116" t="n">
        <v>40554</v>
      </c>
    </row>
    <row r="422">
      <c r="A422" s="117" t="inlineStr">
        <is>
          <t>540849</t>
        </is>
      </c>
      <c r="B422" s="117" t="n">
        <v>14270</v>
      </c>
      <c r="C422" s="117" t="inlineStr">
        <is>
          <t>United Kingdom</t>
        </is>
      </c>
      <c r="D422" s="117" t="inlineStr">
        <is>
          <t>21212</t>
        </is>
      </c>
      <c r="E422" s="117" t="inlineStr">
        <is>
          <t>PACK OF 72 RETROSPOT CAKE CASES</t>
        </is>
      </c>
      <c r="F422" s="117" t="n">
        <v>24</v>
      </c>
      <c r="G422" s="118" t="n">
        <v>0.55</v>
      </c>
      <c r="H422" s="118" t="n">
        <v>13.2</v>
      </c>
      <c r="I422" s="119" t="n">
        <v>40555</v>
      </c>
    </row>
    <row r="423">
      <c r="A423" s="114" t="inlineStr">
        <is>
          <t>540849</t>
        </is>
      </c>
      <c r="B423" s="114" t="n">
        <v>14270</v>
      </c>
      <c r="C423" s="114" t="inlineStr">
        <is>
          <t>United Kingdom</t>
        </is>
      </c>
      <c r="D423" s="114" t="inlineStr">
        <is>
          <t>22624</t>
        </is>
      </c>
      <c r="E423" s="114" t="inlineStr">
        <is>
          <t>IVORY KITCHEN SCALES</t>
        </is>
      </c>
      <c r="F423" s="114" t="n">
        <v>2</v>
      </c>
      <c r="G423" s="115" t="n">
        <v>8.5</v>
      </c>
      <c r="H423" s="115" t="n">
        <v>17</v>
      </c>
      <c r="I423" s="116" t="n">
        <v>40555</v>
      </c>
    </row>
    <row r="424">
      <c r="A424" s="117" t="inlineStr">
        <is>
          <t>540856</t>
        </is>
      </c>
      <c r="B424" s="117" t="n">
        <v>16655</v>
      </c>
      <c r="C424" s="117" t="inlineStr">
        <is>
          <t>United Kingdom</t>
        </is>
      </c>
      <c r="D424" s="117" t="inlineStr">
        <is>
          <t>22726</t>
        </is>
      </c>
      <c r="E424" s="117" t="inlineStr">
        <is>
          <t>ALARM CLOCK BAKELIKE GREEN</t>
        </is>
      </c>
      <c r="F424" s="117" t="n">
        <v>4</v>
      </c>
      <c r="G424" s="118" t="n">
        <v>3.75</v>
      </c>
      <c r="H424" s="118" t="n">
        <v>15</v>
      </c>
      <c r="I424" s="119" t="n">
        <v>40555</v>
      </c>
    </row>
    <row r="425">
      <c r="A425" s="114" t="inlineStr">
        <is>
          <t>540859</t>
        </is>
      </c>
      <c r="B425" s="114" t="n">
        <v>17965</v>
      </c>
      <c r="C425" s="114" t="inlineStr">
        <is>
          <t>United Kingdom</t>
        </is>
      </c>
      <c r="D425" s="114" t="inlineStr">
        <is>
          <t>20748</t>
        </is>
      </c>
      <c r="E425" s="114" t="inlineStr">
        <is>
          <t>KENSINGTON COFFEE SET</t>
        </is>
      </c>
      <c r="F425" s="114" t="n">
        <v>1</v>
      </c>
      <c r="G425" s="115" t="n">
        <v>12.75</v>
      </c>
      <c r="H425" s="115" t="n">
        <v>12.75</v>
      </c>
      <c r="I425" s="116" t="n">
        <v>40555</v>
      </c>
    </row>
    <row r="426">
      <c r="A426" s="117" t="inlineStr">
        <is>
          <t>540866</t>
        </is>
      </c>
      <c r="B426" s="117" t="n">
        <v>17324</v>
      </c>
      <c r="C426" s="117" t="inlineStr">
        <is>
          <t>United Kingdom</t>
        </is>
      </c>
      <c r="D426" s="117" t="inlineStr">
        <is>
          <t>21499</t>
        </is>
      </c>
      <c r="E426" s="117" t="inlineStr">
        <is>
          <t>BLUE POLKADOT WRAP</t>
        </is>
      </c>
      <c r="F426" s="117" t="n">
        <v>25</v>
      </c>
      <c r="G426" s="118" t="n">
        <v>0.42</v>
      </c>
      <c r="H426" s="118" t="n">
        <v>10.5</v>
      </c>
      <c r="I426" s="119" t="n">
        <v>40555</v>
      </c>
    </row>
    <row r="427">
      <c r="A427" s="114" t="inlineStr">
        <is>
          <t>540907</t>
        </is>
      </c>
      <c r="B427" s="114" t="n">
        <v>13488</v>
      </c>
      <c r="C427" s="114" t="inlineStr">
        <is>
          <t>United Kingdom</t>
        </is>
      </c>
      <c r="D427" s="114" t="inlineStr">
        <is>
          <t>22749</t>
        </is>
      </c>
      <c r="E427" s="114" t="inlineStr">
        <is>
          <t>FELTCRAFT PRINCESS CHARLOTTE DOLL</t>
        </is>
      </c>
      <c r="F427" s="114" t="n">
        <v>4</v>
      </c>
      <c r="G427" s="115" t="n">
        <v>3.75</v>
      </c>
      <c r="H427" s="115" t="n">
        <v>15</v>
      </c>
      <c r="I427" s="116" t="n">
        <v>40555</v>
      </c>
    </row>
    <row r="428">
      <c r="A428" s="117" t="inlineStr">
        <is>
          <t>540907</t>
        </is>
      </c>
      <c r="B428" s="117" t="n">
        <v>13488</v>
      </c>
      <c r="C428" s="117" t="inlineStr">
        <is>
          <t>United Kingdom</t>
        </is>
      </c>
      <c r="D428" s="117" t="inlineStr">
        <is>
          <t>21912</t>
        </is>
      </c>
      <c r="E428" s="117" t="inlineStr">
        <is>
          <t>VINTAGE SNAKES &amp; LADDERS</t>
        </is>
      </c>
      <c r="F428" s="117" t="n">
        <v>4</v>
      </c>
      <c r="G428" s="118" t="n">
        <v>3.75</v>
      </c>
      <c r="H428" s="118" t="n">
        <v>15</v>
      </c>
      <c r="I428" s="119" t="n">
        <v>40555</v>
      </c>
    </row>
    <row r="429">
      <c r="A429" s="114" t="inlineStr">
        <is>
          <t>540907</t>
        </is>
      </c>
      <c r="B429" s="114" t="n">
        <v>13488</v>
      </c>
      <c r="C429" s="114" t="inlineStr">
        <is>
          <t>United Kingdom</t>
        </is>
      </c>
      <c r="D429" s="114" t="inlineStr">
        <is>
          <t>21754</t>
        </is>
      </c>
      <c r="E429" s="114" t="inlineStr">
        <is>
          <t>HOME BUILDING BLOCK WORD</t>
        </is>
      </c>
      <c r="F429" s="114" t="n">
        <v>3</v>
      </c>
      <c r="G429" s="115" t="n">
        <v>5.95</v>
      </c>
      <c r="H429" s="115" t="n">
        <v>17.85</v>
      </c>
      <c r="I429" s="116" t="n">
        <v>40555</v>
      </c>
    </row>
    <row r="430">
      <c r="A430" s="117" t="inlineStr">
        <is>
          <t>540953</t>
        </is>
      </c>
      <c r="B430" s="117" t="n">
        <v>14587</v>
      </c>
      <c r="C430" s="117" t="inlineStr">
        <is>
          <t>United Kingdom</t>
        </is>
      </c>
      <c r="D430" s="117" t="inlineStr">
        <is>
          <t>21124</t>
        </is>
      </c>
      <c r="E430" s="117" t="inlineStr">
        <is>
          <t>SET/10 BLUE POLKADOT PARTY CANDLES</t>
        </is>
      </c>
      <c r="F430" s="117" t="n">
        <v>1</v>
      </c>
      <c r="G430" s="118" t="n">
        <v>1.25</v>
      </c>
      <c r="H430" s="118" t="n">
        <v>1.25</v>
      </c>
      <c r="I430" s="119" t="n">
        <v>40555</v>
      </c>
    </row>
    <row r="431">
      <c r="A431" s="114" t="inlineStr">
        <is>
          <t>540957</t>
        </is>
      </c>
      <c r="B431" s="114" t="n">
        <v>15311</v>
      </c>
      <c r="C431" s="114" t="inlineStr">
        <is>
          <t>United Kingdom</t>
        </is>
      </c>
      <c r="D431" s="114" t="inlineStr">
        <is>
          <t>21240</t>
        </is>
      </c>
      <c r="E431" s="114" t="inlineStr">
        <is>
          <t>BLUE POLKADOT CUP</t>
        </is>
      </c>
      <c r="F431" s="114" t="n">
        <v>4</v>
      </c>
      <c r="G431" s="115" t="n">
        <v>0.85</v>
      </c>
      <c r="H431" s="115" t="n">
        <v>3.4</v>
      </c>
      <c r="I431" s="116" t="n">
        <v>40555</v>
      </c>
    </row>
    <row r="432">
      <c r="A432" s="117" t="inlineStr">
        <is>
          <t>540968</t>
        </is>
      </c>
      <c r="B432" s="117" t="n">
        <v>17338</v>
      </c>
      <c r="C432" s="117" t="inlineStr">
        <is>
          <t>United Kingdom</t>
        </is>
      </c>
      <c r="D432" s="117" t="inlineStr">
        <is>
          <t>22212</t>
        </is>
      </c>
      <c r="E432" s="117" t="inlineStr">
        <is>
          <t>FOUR HOOK  WHITE LOVEBIRDS</t>
        </is>
      </c>
      <c r="F432" s="117" t="n">
        <v>4</v>
      </c>
      <c r="G432" s="118" t="n">
        <v>2.1</v>
      </c>
      <c r="H432" s="118" t="n">
        <v>8.4</v>
      </c>
      <c r="I432" s="119" t="n">
        <v>40555</v>
      </c>
    </row>
    <row r="433">
      <c r="A433" s="114" t="inlineStr">
        <is>
          <t>540968</t>
        </is>
      </c>
      <c r="B433" s="114" t="n">
        <v>17338</v>
      </c>
      <c r="C433" s="114" t="inlineStr">
        <is>
          <t>United Kingdom</t>
        </is>
      </c>
      <c r="D433" s="114" t="inlineStr">
        <is>
          <t>22295</t>
        </is>
      </c>
      <c r="E433" s="114" t="inlineStr">
        <is>
          <t>HEART FILIGREE DOVE LARGE</t>
        </is>
      </c>
      <c r="F433" s="114" t="n">
        <v>9</v>
      </c>
      <c r="G433" s="115" t="n">
        <v>1.65</v>
      </c>
      <c r="H433" s="115" t="n">
        <v>14.85</v>
      </c>
      <c r="I433" s="116" t="n">
        <v>40555</v>
      </c>
    </row>
    <row r="434">
      <c r="A434" s="117" t="inlineStr">
        <is>
          <t>540968</t>
        </is>
      </c>
      <c r="B434" s="117" t="n">
        <v>17338</v>
      </c>
      <c r="C434" s="117" t="inlineStr">
        <is>
          <t>United Kingdom</t>
        </is>
      </c>
      <c r="D434" s="117" t="inlineStr">
        <is>
          <t>75049L</t>
        </is>
      </c>
      <c r="E434" s="117" t="inlineStr">
        <is>
          <t>LARGE CIRCULAR MIRROR MOBILE</t>
        </is>
      </c>
      <c r="F434" s="117" t="n">
        <v>3</v>
      </c>
      <c r="G434" s="118" t="n">
        <v>1.25</v>
      </c>
      <c r="H434" s="118" t="n">
        <v>3.75</v>
      </c>
      <c r="I434" s="119" t="n">
        <v>40555</v>
      </c>
    </row>
    <row r="435">
      <c r="A435" s="114" t="inlineStr">
        <is>
          <t>540968</t>
        </is>
      </c>
      <c r="B435" s="114" t="n">
        <v>17338</v>
      </c>
      <c r="C435" s="114" t="inlineStr">
        <is>
          <t>United Kingdom</t>
        </is>
      </c>
      <c r="D435" s="114" t="inlineStr">
        <is>
          <t>22271</t>
        </is>
      </c>
      <c r="E435" s="114" t="inlineStr">
        <is>
          <t>FELTCRAFT DOLL ROSIE</t>
        </is>
      </c>
      <c r="F435" s="114" t="n">
        <v>4</v>
      </c>
      <c r="G435" s="115" t="n">
        <v>2.95</v>
      </c>
      <c r="H435" s="115" t="n">
        <v>11.8</v>
      </c>
      <c r="I435" s="116" t="n">
        <v>40555</v>
      </c>
    </row>
    <row r="436">
      <c r="A436" s="117" t="inlineStr">
        <is>
          <t>540980</t>
        </is>
      </c>
      <c r="B436" s="117" t="n">
        <v>14514</v>
      </c>
      <c r="C436" s="117" t="inlineStr">
        <is>
          <t>United Kingdom</t>
        </is>
      </c>
      <c r="D436" s="117" t="inlineStr">
        <is>
          <t>47590A</t>
        </is>
      </c>
      <c r="E436" s="117" t="inlineStr">
        <is>
          <t>BLUE HAPPY BIRTHDAY BUNTING</t>
        </is>
      </c>
      <c r="F436" s="117" t="n">
        <v>2</v>
      </c>
      <c r="G436" s="118" t="n">
        <v>5.45</v>
      </c>
      <c r="H436" s="118" t="n">
        <v>10.9</v>
      </c>
      <c r="I436" s="119" t="n">
        <v>40555</v>
      </c>
    </row>
    <row r="437">
      <c r="A437" s="114" t="inlineStr">
        <is>
          <t>540986</t>
        </is>
      </c>
      <c r="B437" s="114" t="n">
        <v>15291</v>
      </c>
      <c r="C437" s="114" t="inlineStr">
        <is>
          <t>United Kingdom</t>
        </is>
      </c>
      <c r="D437" s="114" t="inlineStr">
        <is>
          <t>21136</t>
        </is>
      </c>
      <c r="E437" s="114" t="inlineStr">
        <is>
          <t>PAINTED METAL PEARS ASSORTED</t>
        </is>
      </c>
      <c r="F437" s="114" t="n">
        <v>8</v>
      </c>
      <c r="G437" s="115" t="n">
        <v>1.69</v>
      </c>
      <c r="H437" s="115" t="n">
        <v>13.52</v>
      </c>
      <c r="I437" s="116" t="n">
        <v>40555</v>
      </c>
    </row>
    <row r="438">
      <c r="A438" s="117" t="inlineStr">
        <is>
          <t>540990</t>
        </is>
      </c>
      <c r="B438" s="117" t="n">
        <v>17048</v>
      </c>
      <c r="C438" s="117" t="inlineStr">
        <is>
          <t>United Kingdom</t>
        </is>
      </c>
      <c r="D438" s="117" t="inlineStr">
        <is>
          <t>85123A</t>
        </is>
      </c>
      <c r="E438" s="117" t="inlineStr">
        <is>
          <t>WHITE HANGING HEART T-LIGHT HOLDER</t>
        </is>
      </c>
      <c r="F438" s="117" t="n">
        <v>6</v>
      </c>
      <c r="G438" s="118" t="n">
        <v>2.95</v>
      </c>
      <c r="H438" s="118" t="n">
        <v>17.7</v>
      </c>
      <c r="I438" s="119" t="n">
        <v>40555</v>
      </c>
    </row>
    <row r="439">
      <c r="A439" s="114" t="inlineStr">
        <is>
          <t>540992</t>
        </is>
      </c>
      <c r="B439" s="114" t="n">
        <v>17364</v>
      </c>
      <c r="C439" s="114" t="inlineStr">
        <is>
          <t>United Kingdom</t>
        </is>
      </c>
      <c r="D439" s="114" t="inlineStr">
        <is>
          <t>84949</t>
        </is>
      </c>
      <c r="E439" s="114" t="inlineStr">
        <is>
          <t>SILVER HANGING T-LIGHT HOLDER</t>
        </is>
      </c>
      <c r="F439" s="114" t="n">
        <v>6</v>
      </c>
      <c r="G439" s="115" t="n">
        <v>1.65</v>
      </c>
      <c r="H439" s="115" t="n">
        <v>9.9</v>
      </c>
      <c r="I439" s="116" t="n">
        <v>40555</v>
      </c>
    </row>
    <row r="440">
      <c r="A440" s="117" t="inlineStr">
        <is>
          <t>541004</t>
        </is>
      </c>
      <c r="B440" s="117" t="n">
        <v>18190</v>
      </c>
      <c r="C440" s="117" t="inlineStr">
        <is>
          <t>United Kingdom</t>
        </is>
      </c>
      <c r="D440" s="117" t="inlineStr">
        <is>
          <t>22767</t>
        </is>
      </c>
      <c r="E440" s="117" t="inlineStr">
        <is>
          <t xml:space="preserve">TRIPLE PHOTO FRAME CORNICE </t>
        </is>
      </c>
      <c r="F440" s="117" t="n">
        <v>2</v>
      </c>
      <c r="G440" s="118" t="n">
        <v>9.949999999999999</v>
      </c>
      <c r="H440" s="118" t="n">
        <v>19.9</v>
      </c>
      <c r="I440" s="119" t="n">
        <v>40556</v>
      </c>
    </row>
    <row r="441">
      <c r="A441" s="114" t="inlineStr">
        <is>
          <t>541005</t>
        </is>
      </c>
      <c r="B441" s="114" t="n">
        <v>16161</v>
      </c>
      <c r="C441" s="114" t="inlineStr">
        <is>
          <t>United Kingdom</t>
        </is>
      </c>
      <c r="D441" s="114" t="inlineStr">
        <is>
          <t>85099C</t>
        </is>
      </c>
      <c r="E441" s="114" t="inlineStr">
        <is>
          <t>JUMBO  BAG BAROQUE BLACK WHITE</t>
        </is>
      </c>
      <c r="F441" s="114" t="n">
        <v>5</v>
      </c>
      <c r="G441" s="115" t="n">
        <v>1.95</v>
      </c>
      <c r="H441" s="115" t="n">
        <v>9.75</v>
      </c>
      <c r="I441" s="116" t="n">
        <v>40556</v>
      </c>
    </row>
    <row r="442">
      <c r="A442" s="117" t="inlineStr">
        <is>
          <t>541006</t>
        </is>
      </c>
      <c r="B442" s="117" t="n">
        <v>13993</v>
      </c>
      <c r="C442" s="117" t="inlineStr">
        <is>
          <t>United Kingdom</t>
        </is>
      </c>
      <c r="D442" s="117" t="inlineStr">
        <is>
          <t>21670</t>
        </is>
      </c>
      <c r="E442" s="117" t="inlineStr">
        <is>
          <t>BLUE SPOT CERAMIC DRAWER KNOB</t>
        </is>
      </c>
      <c r="F442" s="117" t="n">
        <v>12</v>
      </c>
      <c r="G442" s="118" t="n">
        <v>1.25</v>
      </c>
      <c r="H442" s="118" t="n">
        <v>15</v>
      </c>
      <c r="I442" s="119" t="n">
        <v>40556</v>
      </c>
    </row>
    <row r="443">
      <c r="A443" s="114" t="inlineStr">
        <is>
          <t>541021</t>
        </is>
      </c>
      <c r="B443" s="114" t="n">
        <v>13093</v>
      </c>
      <c r="C443" s="114" t="inlineStr">
        <is>
          <t>United Kingdom</t>
        </is>
      </c>
      <c r="D443" s="114" t="inlineStr">
        <is>
          <t>22846</t>
        </is>
      </c>
      <c r="E443" s="114" t="inlineStr">
        <is>
          <t xml:space="preserve">BREAD BIN DINER STYLE RED </t>
        </is>
      </c>
      <c r="F443" s="114" t="n">
        <v>4</v>
      </c>
      <c r="G443" s="115" t="n">
        <v>14.95</v>
      </c>
      <c r="H443" s="115" t="n">
        <v>59.8</v>
      </c>
      <c r="I443" s="116" t="n">
        <v>40556</v>
      </c>
    </row>
    <row r="444">
      <c r="A444" s="117" t="inlineStr">
        <is>
          <t>541103</t>
        </is>
      </c>
      <c r="B444" s="117" t="n">
        <v>14215</v>
      </c>
      <c r="C444" s="117" t="inlineStr">
        <is>
          <t>United Kingdom</t>
        </is>
      </c>
      <c r="D444" s="117" t="inlineStr">
        <is>
          <t>20772</t>
        </is>
      </c>
      <c r="E444" s="117" t="inlineStr">
        <is>
          <t>GARDEN PATH JOURNAL</t>
        </is>
      </c>
      <c r="F444" s="117" t="n">
        <v>6</v>
      </c>
      <c r="G444" s="118" t="n">
        <v>2.55</v>
      </c>
      <c r="H444" s="118" t="n">
        <v>15.3</v>
      </c>
      <c r="I444" s="119" t="n">
        <v>40556</v>
      </c>
    </row>
    <row r="445">
      <c r="A445" s="114" t="inlineStr">
        <is>
          <t>541110</t>
        </is>
      </c>
      <c r="B445" s="114" t="n">
        <v>15916</v>
      </c>
      <c r="C445" s="114" t="inlineStr">
        <is>
          <t>United Kingdom</t>
        </is>
      </c>
      <c r="D445" s="114" t="inlineStr">
        <is>
          <t>72351A</t>
        </is>
      </c>
      <c r="E445" s="114" t="inlineStr">
        <is>
          <t>SET/6 TURQUOISE BUTTERFLY T-LIGHTS</t>
        </is>
      </c>
      <c r="F445" s="114" t="n">
        <v>8</v>
      </c>
      <c r="G445" s="115" t="n">
        <v>2.1</v>
      </c>
      <c r="H445" s="115" t="n">
        <v>16.8</v>
      </c>
      <c r="I445" s="116" t="n">
        <v>40556</v>
      </c>
    </row>
    <row r="446">
      <c r="A446" s="117" t="inlineStr">
        <is>
          <t>541110</t>
        </is>
      </c>
      <c r="B446" s="117" t="n">
        <v>15916</v>
      </c>
      <c r="C446" s="117" t="inlineStr">
        <is>
          <t>United Kingdom</t>
        </is>
      </c>
      <c r="D446" s="117" t="inlineStr">
        <is>
          <t>22028</t>
        </is>
      </c>
      <c r="E446" s="117" t="inlineStr">
        <is>
          <t>PENNY FARTHING BIRTHDAY CARD</t>
        </is>
      </c>
      <c r="F446" s="117" t="n">
        <v>12</v>
      </c>
      <c r="G446" s="118" t="n">
        <v>0.42</v>
      </c>
      <c r="H446" s="118" t="n">
        <v>5.04</v>
      </c>
      <c r="I446" s="119" t="n">
        <v>40556</v>
      </c>
    </row>
    <row r="447">
      <c r="A447" s="114" t="inlineStr">
        <is>
          <t>541111</t>
        </is>
      </c>
      <c r="B447" s="114" t="n">
        <v>15687</v>
      </c>
      <c r="C447" s="114" t="inlineStr">
        <is>
          <t>United Kingdom</t>
        </is>
      </c>
      <c r="D447" s="114" t="inlineStr">
        <is>
          <t>21531</t>
        </is>
      </c>
      <c r="E447" s="114" t="inlineStr">
        <is>
          <t>RED RETROSPOT SUGAR JAM BOWL</t>
        </is>
      </c>
      <c r="F447" s="114" t="n">
        <v>6</v>
      </c>
      <c r="G447" s="115" t="n">
        <v>2.55</v>
      </c>
      <c r="H447" s="115" t="n">
        <v>15.3</v>
      </c>
      <c r="I447" s="116" t="n">
        <v>40556</v>
      </c>
    </row>
    <row r="448">
      <c r="A448" s="117" t="inlineStr">
        <is>
          <t>541115</t>
        </is>
      </c>
      <c r="B448" s="117" t="n">
        <v>12578</v>
      </c>
      <c r="C448" s="117" t="inlineStr">
        <is>
          <t>Italy</t>
        </is>
      </c>
      <c r="D448" s="117" t="inlineStr">
        <is>
          <t>22516</t>
        </is>
      </c>
      <c r="E448" s="117" t="inlineStr">
        <is>
          <t>CHILDS GARDEN RAKE BLUE</t>
        </is>
      </c>
      <c r="F448" s="117" t="n">
        <v>6</v>
      </c>
      <c r="G448" s="118" t="n">
        <v>2.1</v>
      </c>
      <c r="H448" s="118" t="n">
        <v>12.6</v>
      </c>
      <c r="I448" s="119" t="n">
        <v>40556</v>
      </c>
    </row>
    <row r="449">
      <c r="A449" s="114" t="inlineStr">
        <is>
          <t>541121</t>
        </is>
      </c>
      <c r="B449" s="114" t="n">
        <v>12672</v>
      </c>
      <c r="C449" s="114" t="inlineStr">
        <is>
          <t>France</t>
        </is>
      </c>
      <c r="D449" s="114" t="inlineStr">
        <is>
          <t>20749</t>
        </is>
      </c>
      <c r="E449" s="114" t="inlineStr">
        <is>
          <t>ASSORTED COLOUR MINI CASES</t>
        </is>
      </c>
      <c r="F449" s="114" t="n">
        <v>2</v>
      </c>
      <c r="G449" s="115" t="n">
        <v>7.95</v>
      </c>
      <c r="H449" s="115" t="n">
        <v>15.9</v>
      </c>
      <c r="I449" s="116" t="n">
        <v>40557</v>
      </c>
    </row>
    <row r="450">
      <c r="A450" s="117" t="inlineStr">
        <is>
          <t>541122</t>
        </is>
      </c>
      <c r="B450" s="117" t="n">
        <v>12708</v>
      </c>
      <c r="C450" s="117" t="inlineStr">
        <is>
          <t>Germany</t>
        </is>
      </c>
      <c r="D450" s="117" t="inlineStr">
        <is>
          <t>22328</t>
        </is>
      </c>
      <c r="E450" s="117" t="inlineStr">
        <is>
          <t xml:space="preserve">ROUND SNACK BOXES SET OF 4 FRUITS </t>
        </is>
      </c>
      <c r="F450" s="117" t="n">
        <v>6</v>
      </c>
      <c r="G450" s="118" t="n">
        <v>2.95</v>
      </c>
      <c r="H450" s="118" t="n">
        <v>17.7</v>
      </c>
      <c r="I450" s="119" t="n">
        <v>40557</v>
      </c>
    </row>
    <row r="451">
      <c r="A451" s="114" t="inlineStr">
        <is>
          <t>541123</t>
        </is>
      </c>
      <c r="B451" s="114" t="n">
        <v>13385</v>
      </c>
      <c r="C451" s="114" t="inlineStr">
        <is>
          <t>United Kingdom</t>
        </is>
      </c>
      <c r="D451" s="114" t="inlineStr">
        <is>
          <t>21507</t>
        </is>
      </c>
      <c r="E451" s="114" t="inlineStr">
        <is>
          <t xml:space="preserve">ELEPHANT, BIRTHDAY CARD, </t>
        </is>
      </c>
      <c r="F451" s="114" t="n">
        <v>12</v>
      </c>
      <c r="G451" s="115" t="n">
        <v>0.42</v>
      </c>
      <c r="H451" s="115" t="n">
        <v>5.04</v>
      </c>
      <c r="I451" s="116" t="n">
        <v>40557</v>
      </c>
    </row>
    <row r="452">
      <c r="A452" s="117" t="inlineStr">
        <is>
          <t>541136</t>
        </is>
      </c>
      <c r="B452" s="117" t="n">
        <v>18229</v>
      </c>
      <c r="C452" s="117" t="inlineStr">
        <is>
          <t>United Kingdom</t>
        </is>
      </c>
      <c r="D452" s="117" t="inlineStr">
        <is>
          <t>35004C</t>
        </is>
      </c>
      <c r="E452" s="117" t="inlineStr">
        <is>
          <t>SET OF 3 COLOURED  FLYING DUCKS</t>
        </is>
      </c>
      <c r="F452" s="117" t="n">
        <v>12</v>
      </c>
      <c r="G452" s="118" t="n">
        <v>4.65</v>
      </c>
      <c r="H452" s="118" t="n">
        <v>55.8</v>
      </c>
      <c r="I452" s="119" t="n">
        <v>40557</v>
      </c>
    </row>
    <row r="453">
      <c r="A453" s="114" t="inlineStr">
        <is>
          <t>541138</t>
        </is>
      </c>
      <c r="B453" s="114" t="n">
        <v>12553</v>
      </c>
      <c r="C453" s="114" t="inlineStr">
        <is>
          <t>France</t>
        </is>
      </c>
      <c r="D453" s="114" t="inlineStr">
        <is>
          <t>POST</t>
        </is>
      </c>
      <c r="E453" s="114" t="inlineStr">
        <is>
          <t>POSTAGE</t>
        </is>
      </c>
      <c r="F453" s="114" t="n">
        <v>6</v>
      </c>
      <c r="G453" s="115" t="n">
        <v>18</v>
      </c>
      <c r="H453" s="115" t="n">
        <v>108</v>
      </c>
      <c r="I453" s="116" t="n">
        <v>40557</v>
      </c>
    </row>
    <row r="454">
      <c r="A454" s="117" t="inlineStr">
        <is>
          <t>541202</t>
        </is>
      </c>
      <c r="B454" s="117" t="n">
        <v>17581</v>
      </c>
      <c r="C454" s="117" t="inlineStr">
        <is>
          <t>United Kingdom</t>
        </is>
      </c>
      <c r="D454" s="117" t="inlineStr">
        <is>
          <t>84050</t>
        </is>
      </c>
      <c r="E454" s="117" t="inlineStr">
        <is>
          <t>PINK HEART SHAPE EGG FRYING PAN</t>
        </is>
      </c>
      <c r="F454" s="117" t="n">
        <v>6</v>
      </c>
      <c r="G454" s="118" t="n">
        <v>1.65</v>
      </c>
      <c r="H454" s="118" t="n">
        <v>9.9</v>
      </c>
      <c r="I454" s="119" t="n">
        <v>40557</v>
      </c>
    </row>
    <row r="455">
      <c r="A455" s="114" t="inlineStr">
        <is>
          <t>541220</t>
        </is>
      </c>
      <c r="B455" s="114" t="n">
        <v>14156</v>
      </c>
      <c r="C455" s="114" t="inlineStr">
        <is>
          <t>EIRE</t>
        </is>
      </c>
      <c r="D455" s="114" t="inlineStr">
        <is>
          <t>22557</t>
        </is>
      </c>
      <c r="E455" s="114" t="inlineStr">
        <is>
          <t xml:space="preserve">PLASTERS IN TIN VINTAGE PAISLEY </t>
        </is>
      </c>
      <c r="F455" s="114" t="n">
        <v>192</v>
      </c>
      <c r="G455" s="115" t="n">
        <v>1.45</v>
      </c>
      <c r="H455" s="115" t="n">
        <v>278.4</v>
      </c>
      <c r="I455" s="116" t="n">
        <v>40557</v>
      </c>
    </row>
    <row r="456">
      <c r="A456" s="117" t="inlineStr">
        <is>
          <t>541220</t>
        </is>
      </c>
      <c r="B456" s="117" t="n">
        <v>14156</v>
      </c>
      <c r="C456" s="117" t="inlineStr">
        <is>
          <t>EIRE</t>
        </is>
      </c>
      <c r="D456" s="117" t="inlineStr">
        <is>
          <t>22957</t>
        </is>
      </c>
      <c r="E456" s="117" t="inlineStr">
        <is>
          <t>SET 3 PAPER VINTAGE CHICK PAPER EGG</t>
        </is>
      </c>
      <c r="F456" s="117" t="n">
        <v>240</v>
      </c>
      <c r="G456" s="118" t="n">
        <v>2.55</v>
      </c>
      <c r="H456" s="118" t="n">
        <v>612</v>
      </c>
      <c r="I456" s="119" t="n">
        <v>40557</v>
      </c>
    </row>
    <row r="457">
      <c r="A457" s="114" t="inlineStr">
        <is>
          <t>541223</t>
        </is>
      </c>
      <c r="B457" s="114" t="n">
        <v>17954</v>
      </c>
      <c r="C457" s="114" t="inlineStr">
        <is>
          <t>United Kingdom</t>
        </is>
      </c>
      <c r="D457" s="114" t="inlineStr">
        <is>
          <t>84375</t>
        </is>
      </c>
      <c r="E457" s="114" t="inlineStr">
        <is>
          <t>SET OF 20 KIDS COOKIE CUTTERS</t>
        </is>
      </c>
      <c r="F457" s="114" t="n">
        <v>1</v>
      </c>
      <c r="G457" s="115" t="n">
        <v>2.1</v>
      </c>
      <c r="H457" s="115" t="n">
        <v>2.1</v>
      </c>
      <c r="I457" s="116" t="n">
        <v>40557</v>
      </c>
    </row>
    <row r="458">
      <c r="A458" s="117" t="inlineStr">
        <is>
          <t>541226</t>
        </is>
      </c>
      <c r="B458" s="117" t="n">
        <v>15854</v>
      </c>
      <c r="C458" s="117" t="inlineStr">
        <is>
          <t>United Kingdom</t>
        </is>
      </c>
      <c r="D458" s="117" t="inlineStr">
        <is>
          <t>85014B</t>
        </is>
      </c>
      <c r="E458" s="117" t="inlineStr">
        <is>
          <t>RED RETROSPOT UMBRELLA</t>
        </is>
      </c>
      <c r="F458" s="117" t="n">
        <v>6</v>
      </c>
      <c r="G458" s="118" t="n">
        <v>5.95</v>
      </c>
      <c r="H458" s="118" t="n">
        <v>35.7</v>
      </c>
      <c r="I458" s="119" t="n">
        <v>40557</v>
      </c>
    </row>
    <row r="459">
      <c r="A459" s="114" t="inlineStr">
        <is>
          <t>541239</t>
        </is>
      </c>
      <c r="B459" s="114" t="n">
        <v>16401</v>
      </c>
      <c r="C459" s="114" t="inlineStr">
        <is>
          <t>United Kingdom</t>
        </is>
      </c>
      <c r="D459" s="114" t="inlineStr">
        <is>
          <t>22328</t>
        </is>
      </c>
      <c r="E459" s="114" t="inlineStr">
        <is>
          <t xml:space="preserve">ROUND SNACK BOXES SET OF 4 FRUITS </t>
        </is>
      </c>
      <c r="F459" s="114" t="n">
        <v>1</v>
      </c>
      <c r="G459" s="115" t="n">
        <v>2.95</v>
      </c>
      <c r="H459" s="115" t="n">
        <v>2.95</v>
      </c>
      <c r="I459" s="116" t="n">
        <v>40559</v>
      </c>
    </row>
    <row r="460">
      <c r="A460" s="117" t="inlineStr">
        <is>
          <t>541253</t>
        </is>
      </c>
      <c r="B460" s="117" t="n">
        <v>17841</v>
      </c>
      <c r="C460" s="117" t="inlineStr">
        <is>
          <t>United Kingdom</t>
        </is>
      </c>
      <c r="D460" s="117" t="inlineStr">
        <is>
          <t>22930</t>
        </is>
      </c>
      <c r="E460" s="117" t="inlineStr">
        <is>
          <t>BAKING MOULD HEART MILK CHOCOLATE</t>
        </is>
      </c>
      <c r="F460" s="117" t="n">
        <v>1</v>
      </c>
      <c r="G460" s="118" t="n">
        <v>2.55</v>
      </c>
      <c r="H460" s="118" t="n">
        <v>2.55</v>
      </c>
      <c r="I460" s="119" t="n">
        <v>40559</v>
      </c>
    </row>
    <row r="461">
      <c r="A461" s="114" t="inlineStr">
        <is>
          <t>541253</t>
        </is>
      </c>
      <c r="B461" s="114" t="n">
        <v>17841</v>
      </c>
      <c r="C461" s="114" t="inlineStr">
        <is>
          <t>United Kingdom</t>
        </is>
      </c>
      <c r="D461" s="114" t="inlineStr">
        <is>
          <t>20735</t>
        </is>
      </c>
      <c r="E461" s="114" t="inlineStr">
        <is>
          <t xml:space="preserve">BLACK MINI TAPE MEASURE </t>
        </is>
      </c>
      <c r="F461" s="114" t="n">
        <v>1</v>
      </c>
      <c r="G461" s="115" t="n">
        <v>0.85</v>
      </c>
      <c r="H461" s="115" t="n">
        <v>0.85</v>
      </c>
      <c r="I461" s="116" t="n">
        <v>40559</v>
      </c>
    </row>
    <row r="462">
      <c r="A462" s="117" t="inlineStr">
        <is>
          <t>541258</t>
        </is>
      </c>
      <c r="B462" s="117" t="n">
        <v>13634</v>
      </c>
      <c r="C462" s="117" t="inlineStr">
        <is>
          <t>United Kingdom</t>
        </is>
      </c>
      <c r="D462" s="117" t="inlineStr">
        <is>
          <t>22988</t>
        </is>
      </c>
      <c r="E462" s="117" t="inlineStr">
        <is>
          <t xml:space="preserve">SOLDIERS EGG CUP </t>
        </is>
      </c>
      <c r="F462" s="117" t="n">
        <v>12</v>
      </c>
      <c r="G462" s="118" t="n">
        <v>1.25</v>
      </c>
      <c r="H462" s="118" t="n">
        <v>15</v>
      </c>
      <c r="I462" s="119" t="n">
        <v>40559</v>
      </c>
    </row>
    <row r="463">
      <c r="A463" s="114" t="inlineStr">
        <is>
          <t>541262</t>
        </is>
      </c>
      <c r="B463" s="114" t="n">
        <v>18069</v>
      </c>
      <c r="C463" s="114" t="inlineStr">
        <is>
          <t>United Kingdom</t>
        </is>
      </c>
      <c r="D463" s="114" t="inlineStr">
        <is>
          <t>22335</t>
        </is>
      </c>
      <c r="E463" s="114" t="inlineStr">
        <is>
          <t xml:space="preserve">HEART DECORATION PAINTED ZINC </t>
        </is>
      </c>
      <c r="F463" s="114" t="n">
        <v>2</v>
      </c>
      <c r="G463" s="115" t="n">
        <v>0.65</v>
      </c>
      <c r="H463" s="115" t="n">
        <v>1.3</v>
      </c>
      <c r="I463" s="116" t="n">
        <v>40559</v>
      </c>
    </row>
    <row r="464">
      <c r="A464" s="117" t="inlineStr">
        <is>
          <t>541263</t>
        </is>
      </c>
      <c r="B464" s="117" t="n">
        <v>16843</v>
      </c>
      <c r="C464" s="117" t="inlineStr">
        <is>
          <t>United Kingdom</t>
        </is>
      </c>
      <c r="D464" s="117" t="inlineStr">
        <is>
          <t>22722</t>
        </is>
      </c>
      <c r="E464" s="117" t="inlineStr">
        <is>
          <t>SET OF 6 SPICE TINS PANTRY DESIGN</t>
        </is>
      </c>
      <c r="F464" s="117" t="n">
        <v>8</v>
      </c>
      <c r="G464" s="118" t="n">
        <v>3.95</v>
      </c>
      <c r="H464" s="118" t="n">
        <v>31.6</v>
      </c>
      <c r="I464" s="119" t="n">
        <v>40559</v>
      </c>
    </row>
    <row r="465">
      <c r="A465" s="114" t="inlineStr">
        <is>
          <t>541265</t>
        </is>
      </c>
      <c r="B465" s="114" t="n">
        <v>17609</v>
      </c>
      <c r="C465" s="114" t="inlineStr">
        <is>
          <t>United Kingdom</t>
        </is>
      </c>
      <c r="D465" s="114" t="inlineStr">
        <is>
          <t>47503H</t>
        </is>
      </c>
      <c r="E465" s="114" t="inlineStr">
        <is>
          <t xml:space="preserve">ASS FLORAL PRINT SPIRIT LEVEL </t>
        </is>
      </c>
      <c r="F465" s="114" t="n">
        <v>2</v>
      </c>
      <c r="G465" s="115" t="n">
        <v>1.95</v>
      </c>
      <c r="H465" s="115" t="n">
        <v>3.9</v>
      </c>
      <c r="I465" s="116" t="n">
        <v>40559</v>
      </c>
    </row>
    <row r="466">
      <c r="A466" s="117" t="inlineStr">
        <is>
          <t>541265</t>
        </is>
      </c>
      <c r="B466" s="117" t="n">
        <v>17609</v>
      </c>
      <c r="C466" s="117" t="inlineStr">
        <is>
          <t>United Kingdom</t>
        </is>
      </c>
      <c r="D466" s="117" t="inlineStr">
        <is>
          <t>22382</t>
        </is>
      </c>
      <c r="E466" s="117" t="inlineStr">
        <is>
          <t xml:space="preserve">LUNCH BAG SPACEBOY DESIGN </t>
        </is>
      </c>
      <c r="F466" s="117" t="n">
        <v>2</v>
      </c>
      <c r="G466" s="118" t="n">
        <v>1.65</v>
      </c>
      <c r="H466" s="118" t="n">
        <v>3.3</v>
      </c>
      <c r="I466" s="119" t="n">
        <v>40559</v>
      </c>
    </row>
    <row r="467">
      <c r="A467" s="114" t="inlineStr">
        <is>
          <t>541265</t>
        </is>
      </c>
      <c r="B467" s="114" t="n">
        <v>17609</v>
      </c>
      <c r="C467" s="114" t="inlineStr">
        <is>
          <t>United Kingdom</t>
        </is>
      </c>
      <c r="D467" s="114" t="inlineStr">
        <is>
          <t>22195</t>
        </is>
      </c>
      <c r="E467" s="114" t="inlineStr">
        <is>
          <t>LARGE HEART MEASURING SPOONS</t>
        </is>
      </c>
      <c r="F467" s="114" t="n">
        <v>1</v>
      </c>
      <c r="G467" s="115" t="n">
        <v>1.65</v>
      </c>
      <c r="H467" s="115" t="n">
        <v>1.65</v>
      </c>
      <c r="I467" s="116" t="n">
        <v>40559</v>
      </c>
    </row>
    <row r="468">
      <c r="A468" s="117" t="inlineStr">
        <is>
          <t>541268</t>
        </is>
      </c>
      <c r="B468" s="117" t="n">
        <v>12872</v>
      </c>
      <c r="C468" s="117" t="inlineStr">
        <is>
          <t>United Kingdom</t>
        </is>
      </c>
      <c r="D468" s="117" t="inlineStr">
        <is>
          <t>22457</t>
        </is>
      </c>
      <c r="E468" s="117" t="inlineStr">
        <is>
          <t xml:space="preserve">NATURAL SLATE HEART CHALKBOARD </t>
        </is>
      </c>
      <c r="F468" s="117" t="n">
        <v>3</v>
      </c>
      <c r="G468" s="118" t="n">
        <v>2.95</v>
      </c>
      <c r="H468" s="118" t="n">
        <v>8.85</v>
      </c>
      <c r="I468" s="119" t="n">
        <v>40560</v>
      </c>
    </row>
    <row r="469">
      <c r="A469" s="114" t="inlineStr">
        <is>
          <t>541270</t>
        </is>
      </c>
      <c r="B469" s="114" t="n">
        <v>14976</v>
      </c>
      <c r="C469" s="114" t="inlineStr">
        <is>
          <t>United Kingdom</t>
        </is>
      </c>
      <c r="D469" s="114" t="inlineStr">
        <is>
          <t>82599</t>
        </is>
      </c>
      <c r="E469" s="114" t="inlineStr">
        <is>
          <t>FANNY'S REST STOPMETAL SIGN</t>
        </is>
      </c>
      <c r="F469" s="114" t="n">
        <v>2</v>
      </c>
      <c r="G469" s="115" t="n">
        <v>2.1</v>
      </c>
      <c r="H469" s="115" t="n">
        <v>4.2</v>
      </c>
      <c r="I469" s="116" t="n">
        <v>40560</v>
      </c>
    </row>
    <row r="470">
      <c r="A470" s="117" t="inlineStr">
        <is>
          <t>541271</t>
        </is>
      </c>
      <c r="B470" s="117" t="n">
        <v>12388</v>
      </c>
      <c r="C470" s="117" t="inlineStr">
        <is>
          <t>Australia</t>
        </is>
      </c>
      <c r="D470" s="117" t="inlineStr">
        <is>
          <t>71459</t>
        </is>
      </c>
      <c r="E470" s="117" t="inlineStr">
        <is>
          <t>HANGING JAM JAR T-LIGHT HOLDER</t>
        </is>
      </c>
      <c r="F470" s="117" t="n">
        <v>24</v>
      </c>
      <c r="G470" s="118" t="n">
        <v>0.85</v>
      </c>
      <c r="H470" s="118" t="n">
        <v>20.4</v>
      </c>
      <c r="I470" s="119" t="n">
        <v>40560</v>
      </c>
    </row>
    <row r="471">
      <c r="A471" s="114" t="inlineStr">
        <is>
          <t>541274</t>
        </is>
      </c>
      <c r="B471" s="114" t="n">
        <v>15696</v>
      </c>
      <c r="C471" s="114" t="inlineStr">
        <is>
          <t>United Kingdom</t>
        </is>
      </c>
      <c r="D471" s="114" t="inlineStr">
        <is>
          <t>84997D</t>
        </is>
      </c>
      <c r="E471" s="114" t="inlineStr">
        <is>
          <t>PINK 3 PIECE POLKADOT CUTLERY SET</t>
        </is>
      </c>
      <c r="F471" s="114" t="n">
        <v>6</v>
      </c>
      <c r="G471" s="115" t="n">
        <v>3.75</v>
      </c>
      <c r="H471" s="115" t="n">
        <v>22.5</v>
      </c>
      <c r="I471" s="116" t="n">
        <v>40560</v>
      </c>
    </row>
    <row r="472">
      <c r="A472" s="117" t="inlineStr">
        <is>
          <t>541280</t>
        </is>
      </c>
      <c r="B472" s="117" t="n">
        <v>15296</v>
      </c>
      <c r="C472" s="117" t="inlineStr">
        <is>
          <t>United Kingdom</t>
        </is>
      </c>
      <c r="D472" s="117" t="inlineStr">
        <is>
          <t>21731</t>
        </is>
      </c>
      <c r="E472" s="117" t="inlineStr">
        <is>
          <t>RED TOADSTOOL LED NIGHT LIGHT</t>
        </is>
      </c>
      <c r="F472" s="117" t="n">
        <v>12</v>
      </c>
      <c r="G472" s="118" t="n">
        <v>1.65</v>
      </c>
      <c r="H472" s="118" t="n">
        <v>19.8</v>
      </c>
      <c r="I472" s="119" t="n">
        <v>40560</v>
      </c>
    </row>
    <row r="473">
      <c r="A473" s="114" t="inlineStr">
        <is>
          <t>541283</t>
        </is>
      </c>
      <c r="B473" s="114" t="n">
        <v>12820</v>
      </c>
      <c r="C473" s="114" t="inlineStr">
        <is>
          <t>United Kingdom</t>
        </is>
      </c>
      <c r="D473" s="114" t="inlineStr">
        <is>
          <t>84992</t>
        </is>
      </c>
      <c r="E473" s="114" t="inlineStr">
        <is>
          <t>72 SWEETHEART FAIRY CAKE CASES</t>
        </is>
      </c>
      <c r="F473" s="114" t="n">
        <v>24</v>
      </c>
      <c r="G473" s="115" t="n">
        <v>0.55</v>
      </c>
      <c r="H473" s="115" t="n">
        <v>13.2</v>
      </c>
      <c r="I473" s="116" t="n">
        <v>40560</v>
      </c>
    </row>
    <row r="474">
      <c r="A474" s="117" t="inlineStr">
        <is>
          <t>541289</t>
        </is>
      </c>
      <c r="B474" s="117" t="n">
        <v>14606</v>
      </c>
      <c r="C474" s="117" t="inlineStr">
        <is>
          <t>United Kingdom</t>
        </is>
      </c>
      <c r="D474" s="117" t="inlineStr">
        <is>
          <t>21664</t>
        </is>
      </c>
      <c r="E474" s="117" t="inlineStr">
        <is>
          <t>RIDGED GLASS STORAGE JAR CREAM LID</t>
        </is>
      </c>
      <c r="F474" s="117" t="n">
        <v>3</v>
      </c>
      <c r="G474" s="118" t="n">
        <v>3.75</v>
      </c>
      <c r="H474" s="118" t="n">
        <v>11.25</v>
      </c>
      <c r="I474" s="119" t="n">
        <v>40560</v>
      </c>
    </row>
    <row r="475">
      <c r="A475" s="114" t="inlineStr">
        <is>
          <t>541291</t>
        </is>
      </c>
      <c r="B475" s="114" t="n">
        <v>14667</v>
      </c>
      <c r="C475" s="114" t="inlineStr">
        <is>
          <t>United Kingdom</t>
        </is>
      </c>
      <c r="D475" s="114" t="inlineStr">
        <is>
          <t>21034</t>
        </is>
      </c>
      <c r="E475" s="114" t="inlineStr">
        <is>
          <t>REX CASH+CARRY JUMBO SHOPPER</t>
        </is>
      </c>
      <c r="F475" s="114" t="n">
        <v>4</v>
      </c>
      <c r="G475" s="115" t="n">
        <v>0.95</v>
      </c>
      <c r="H475" s="115" t="n">
        <v>3.8</v>
      </c>
      <c r="I475" s="116" t="n">
        <v>40560</v>
      </c>
    </row>
    <row r="476">
      <c r="A476" s="117" t="inlineStr">
        <is>
          <t>541291</t>
        </is>
      </c>
      <c r="B476" s="117" t="n">
        <v>14667</v>
      </c>
      <c r="C476" s="117" t="inlineStr">
        <is>
          <t>United Kingdom</t>
        </is>
      </c>
      <c r="D476" s="117" t="inlineStr">
        <is>
          <t>21621</t>
        </is>
      </c>
      <c r="E476" s="117" t="inlineStr">
        <is>
          <t>VINTAGE UNION JACK BUNTING</t>
        </is>
      </c>
      <c r="F476" s="117" t="n">
        <v>4</v>
      </c>
      <c r="G476" s="118" t="n">
        <v>8.5</v>
      </c>
      <c r="H476" s="118" t="n">
        <v>34</v>
      </c>
      <c r="I476" s="119" t="n">
        <v>40560</v>
      </c>
    </row>
    <row r="477">
      <c r="A477" s="114" t="inlineStr">
        <is>
          <t>541292</t>
        </is>
      </c>
      <c r="B477" s="114" t="n">
        <v>15596</v>
      </c>
      <c r="C477" s="114" t="inlineStr">
        <is>
          <t>United Kingdom</t>
        </is>
      </c>
      <c r="D477" s="114" t="inlineStr">
        <is>
          <t>35809A</t>
        </is>
      </c>
      <c r="E477" s="114" t="inlineStr">
        <is>
          <t>ENAMEL PINK TEA CONTAINER</t>
        </is>
      </c>
      <c r="F477" s="114" t="n">
        <v>6</v>
      </c>
      <c r="G477" s="115" t="n">
        <v>2.1</v>
      </c>
      <c r="H477" s="115" t="n">
        <v>12.6</v>
      </c>
      <c r="I477" s="116" t="n">
        <v>40560</v>
      </c>
    </row>
    <row r="478">
      <c r="A478" s="117" t="inlineStr">
        <is>
          <t>541293</t>
        </is>
      </c>
      <c r="B478" s="117" t="n">
        <v>15311</v>
      </c>
      <c r="C478" s="117" t="inlineStr">
        <is>
          <t>United Kingdom</t>
        </is>
      </c>
      <c r="D478" s="117" t="inlineStr">
        <is>
          <t>20676</t>
        </is>
      </c>
      <c r="E478" s="117" t="inlineStr">
        <is>
          <t>RED RETROSPOT BOWL</t>
        </is>
      </c>
      <c r="F478" s="117" t="n">
        <v>1</v>
      </c>
      <c r="G478" s="118" t="n">
        <v>1.25</v>
      </c>
      <c r="H478" s="118" t="n">
        <v>1.25</v>
      </c>
      <c r="I478" s="119" t="n">
        <v>40560</v>
      </c>
    </row>
    <row r="479">
      <c r="A479" s="114" t="inlineStr">
        <is>
          <t>541371</t>
        </is>
      </c>
      <c r="B479" s="114" t="n">
        <v>13983</v>
      </c>
      <c r="C479" s="114" t="inlineStr">
        <is>
          <t>United Kingdom</t>
        </is>
      </c>
      <c r="D479" s="114" t="inlineStr">
        <is>
          <t>22585</t>
        </is>
      </c>
      <c r="E479" s="114" t="inlineStr">
        <is>
          <t>PACK OF 6 BIRDY GIFT TAGS</t>
        </is>
      </c>
      <c r="F479" s="114" t="n">
        <v>12</v>
      </c>
      <c r="G479" s="115" t="n">
        <v>1.25</v>
      </c>
      <c r="H479" s="115" t="n">
        <v>15</v>
      </c>
      <c r="I479" s="116" t="n">
        <v>40560</v>
      </c>
    </row>
    <row r="480">
      <c r="A480" s="117" t="inlineStr">
        <is>
          <t>541371</t>
        </is>
      </c>
      <c r="B480" s="117" t="n">
        <v>13983</v>
      </c>
      <c r="C480" s="117" t="inlineStr">
        <is>
          <t>United Kingdom</t>
        </is>
      </c>
      <c r="D480" s="117" t="inlineStr">
        <is>
          <t>22584</t>
        </is>
      </c>
      <c r="E480" s="117" t="inlineStr">
        <is>
          <t>PACK OF 6 PANNETONE GIFT BOXES</t>
        </is>
      </c>
      <c r="F480" s="117" t="n">
        <v>1</v>
      </c>
      <c r="G480" s="118" t="n">
        <v>2.55</v>
      </c>
      <c r="H480" s="118" t="n">
        <v>2.55</v>
      </c>
      <c r="I480" s="119" t="n">
        <v>40560</v>
      </c>
    </row>
    <row r="481">
      <c r="A481" s="114" t="inlineStr">
        <is>
          <t>541400</t>
        </is>
      </c>
      <c r="B481" s="114" t="n">
        <v>13929</v>
      </c>
      <c r="C481" s="114" t="inlineStr">
        <is>
          <t>United Kingdom</t>
        </is>
      </c>
      <c r="D481" s="114" t="inlineStr">
        <is>
          <t>21340</t>
        </is>
      </c>
      <c r="E481" s="114" t="inlineStr">
        <is>
          <t>CLASSIC METAL BIRDCAGE PLANT HOLDER</t>
        </is>
      </c>
      <c r="F481" s="114" t="n">
        <v>40</v>
      </c>
      <c r="G481" s="115" t="n">
        <v>9.949999999999999</v>
      </c>
      <c r="H481" s="115" t="n">
        <v>398</v>
      </c>
      <c r="I481" s="116" t="n">
        <v>40560</v>
      </c>
    </row>
    <row r="482">
      <c r="A482" s="117" t="inlineStr">
        <is>
          <t>541406</t>
        </is>
      </c>
      <c r="B482" s="117" t="n">
        <v>14657</v>
      </c>
      <c r="C482" s="117" t="inlineStr">
        <is>
          <t>United Kingdom</t>
        </is>
      </c>
      <c r="D482" s="117" t="inlineStr">
        <is>
          <t>22934</t>
        </is>
      </c>
      <c r="E482" s="117" t="inlineStr">
        <is>
          <t>BAKING MOULD EASTER EGG WHITE CHOC</t>
        </is>
      </c>
      <c r="F482" s="117" t="n">
        <v>3</v>
      </c>
      <c r="G482" s="118" t="n">
        <v>2.95</v>
      </c>
      <c r="H482" s="118" t="n">
        <v>8.85</v>
      </c>
      <c r="I482" s="119" t="n">
        <v>40560</v>
      </c>
    </row>
    <row r="483">
      <c r="A483" s="114" t="inlineStr">
        <is>
          <t>541410</t>
        </is>
      </c>
      <c r="B483" s="114" t="n">
        <v>13089</v>
      </c>
      <c r="C483" s="114" t="inlineStr">
        <is>
          <t>United Kingdom</t>
        </is>
      </c>
      <c r="D483" s="114" t="inlineStr">
        <is>
          <t>22329</t>
        </is>
      </c>
      <c r="E483" s="114" t="inlineStr">
        <is>
          <t>ROUND CONTAINER SET OF 5 RETROSPOT</t>
        </is>
      </c>
      <c r="F483" s="114" t="n">
        <v>12</v>
      </c>
      <c r="G483" s="115" t="n">
        <v>1.65</v>
      </c>
      <c r="H483" s="115" t="n">
        <v>19.8</v>
      </c>
      <c r="I483" s="116" t="n">
        <v>40560</v>
      </c>
    </row>
    <row r="484">
      <c r="A484" s="117" t="inlineStr">
        <is>
          <t>541436</t>
        </is>
      </c>
      <c r="B484" s="117" t="n">
        <v>15291</v>
      </c>
      <c r="C484" s="117" t="inlineStr">
        <is>
          <t>United Kingdom</t>
        </is>
      </c>
      <c r="D484" s="117" t="inlineStr">
        <is>
          <t>21756</t>
        </is>
      </c>
      <c r="E484" s="117" t="inlineStr">
        <is>
          <t>BATH BUILDING BLOCK WORD</t>
        </is>
      </c>
      <c r="F484" s="117" t="n">
        <v>6</v>
      </c>
      <c r="G484" s="118" t="n">
        <v>5.95</v>
      </c>
      <c r="H484" s="118" t="n">
        <v>35.7</v>
      </c>
      <c r="I484" s="119" t="n">
        <v>40561</v>
      </c>
    </row>
    <row r="485">
      <c r="A485" s="114" t="inlineStr">
        <is>
          <t>541485</t>
        </is>
      </c>
      <c r="B485" s="114" t="n">
        <v>18118</v>
      </c>
      <c r="C485" s="114" t="inlineStr">
        <is>
          <t>United Kingdom</t>
        </is>
      </c>
      <c r="D485" s="114" t="inlineStr">
        <is>
          <t>21166</t>
        </is>
      </c>
      <c r="E485" s="114" t="inlineStr">
        <is>
          <t xml:space="preserve">COOK WITH WINE METAL SIGN </t>
        </is>
      </c>
      <c r="F485" s="114" t="n">
        <v>1</v>
      </c>
      <c r="G485" s="115" t="n">
        <v>1.95</v>
      </c>
      <c r="H485" s="115" t="n">
        <v>1.95</v>
      </c>
      <c r="I485" s="116" t="n">
        <v>40561</v>
      </c>
    </row>
    <row r="486">
      <c r="A486" s="117" t="inlineStr">
        <is>
          <t>541485</t>
        </is>
      </c>
      <c r="B486" s="117" t="n">
        <v>18118</v>
      </c>
      <c r="C486" s="117" t="inlineStr">
        <is>
          <t>United Kingdom</t>
        </is>
      </c>
      <c r="D486" s="117" t="inlineStr">
        <is>
          <t>21864</t>
        </is>
      </c>
      <c r="E486" s="117" t="inlineStr">
        <is>
          <t xml:space="preserve">UNION JACK FLAG PASSPORT COVER </t>
        </is>
      </c>
      <c r="F486" s="117" t="n">
        <v>1</v>
      </c>
      <c r="G486" s="118" t="n">
        <v>2.1</v>
      </c>
      <c r="H486" s="118" t="n">
        <v>2.1</v>
      </c>
      <c r="I486" s="119" t="n">
        <v>40561</v>
      </c>
    </row>
    <row r="487">
      <c r="A487" s="114" t="inlineStr">
        <is>
          <t>541489</t>
        </is>
      </c>
      <c r="B487" s="114" t="n">
        <v>15023</v>
      </c>
      <c r="C487" s="114" t="inlineStr">
        <is>
          <t>United Kingdom</t>
        </is>
      </c>
      <c r="D487" s="114" t="inlineStr">
        <is>
          <t>84988</t>
        </is>
      </c>
      <c r="E487" s="114" t="inlineStr">
        <is>
          <t>SET OF 72 PINK HEART PAPER DOILIES</t>
        </is>
      </c>
      <c r="F487" s="114" t="n">
        <v>4</v>
      </c>
      <c r="G487" s="115" t="n">
        <v>1.45</v>
      </c>
      <c r="H487" s="115" t="n">
        <v>5.8</v>
      </c>
      <c r="I487" s="116" t="n">
        <v>40561</v>
      </c>
    </row>
    <row r="488">
      <c r="A488" s="117" t="inlineStr">
        <is>
          <t>541504</t>
        </is>
      </c>
      <c r="B488" s="117" t="n">
        <v>14415</v>
      </c>
      <c r="C488" s="117" t="inlineStr">
        <is>
          <t>United Kingdom</t>
        </is>
      </c>
      <c r="D488" s="117" t="inlineStr">
        <is>
          <t>22386</t>
        </is>
      </c>
      <c r="E488" s="117" t="inlineStr">
        <is>
          <t>JUMBO BAG PINK POLKADOT</t>
        </is>
      </c>
      <c r="F488" s="117" t="n">
        <v>2</v>
      </c>
      <c r="G488" s="118" t="n">
        <v>1.95</v>
      </c>
      <c r="H488" s="118" t="n">
        <v>3.9</v>
      </c>
      <c r="I488" s="119" t="n">
        <v>40561</v>
      </c>
    </row>
    <row r="489">
      <c r="A489" s="114" t="inlineStr">
        <is>
          <t>541518</t>
        </is>
      </c>
      <c r="B489" s="114" t="n">
        <v>12451</v>
      </c>
      <c r="C489" s="114" t="inlineStr">
        <is>
          <t>Switzerland</t>
        </is>
      </c>
      <c r="D489" s="114" t="inlineStr">
        <is>
          <t>21035</t>
        </is>
      </c>
      <c r="E489" s="114" t="inlineStr">
        <is>
          <t xml:space="preserve">SET/2 RED RETROSPOT TEA TOWELS </t>
        </is>
      </c>
      <c r="F489" s="114" t="n">
        <v>6</v>
      </c>
      <c r="G489" s="115" t="n">
        <v>2.95</v>
      </c>
      <c r="H489" s="115" t="n">
        <v>17.7</v>
      </c>
      <c r="I489" s="116" t="n">
        <v>40562</v>
      </c>
    </row>
    <row r="490">
      <c r="A490" s="117" t="inlineStr">
        <is>
          <t>541518</t>
        </is>
      </c>
      <c r="B490" s="117" t="n">
        <v>12451</v>
      </c>
      <c r="C490" s="117" t="inlineStr">
        <is>
          <t>Switzerland</t>
        </is>
      </c>
      <c r="D490" s="117" t="inlineStr">
        <is>
          <t>40016</t>
        </is>
      </c>
      <c r="E490" s="117" t="inlineStr">
        <is>
          <t>CHINESE DRAGON PAPER LANTERNS</t>
        </is>
      </c>
      <c r="F490" s="117" t="n">
        <v>24</v>
      </c>
      <c r="G490" s="118" t="n">
        <v>0.42</v>
      </c>
      <c r="H490" s="118" t="n">
        <v>10.08</v>
      </c>
      <c r="I490" s="119" t="n">
        <v>40562</v>
      </c>
    </row>
    <row r="491">
      <c r="A491" s="114" t="inlineStr">
        <is>
          <t>541520</t>
        </is>
      </c>
      <c r="B491" s="114" t="n">
        <v>12422</v>
      </c>
      <c r="C491" s="114" t="inlineStr">
        <is>
          <t>Australia</t>
        </is>
      </c>
      <c r="D491" s="114" t="inlineStr">
        <is>
          <t>85099C</t>
        </is>
      </c>
      <c r="E491" s="114" t="inlineStr">
        <is>
          <t>JUMBO  BAG BAROQUE BLACK WHITE</t>
        </is>
      </c>
      <c r="F491" s="114" t="n">
        <v>10</v>
      </c>
      <c r="G491" s="115" t="n">
        <v>1.95</v>
      </c>
      <c r="H491" s="115" t="n">
        <v>19.5</v>
      </c>
      <c r="I491" s="116" t="n">
        <v>40562</v>
      </c>
    </row>
    <row r="492">
      <c r="A492" s="117" t="inlineStr">
        <is>
          <t>541521</t>
        </is>
      </c>
      <c r="B492" s="117" t="n">
        <v>15298</v>
      </c>
      <c r="C492" s="117" t="inlineStr">
        <is>
          <t>United Kingdom</t>
        </is>
      </c>
      <c r="D492" s="117" t="inlineStr">
        <is>
          <t>22197</t>
        </is>
      </c>
      <c r="E492" s="117" t="inlineStr">
        <is>
          <t>SMALL POPCORN HOLDER</t>
        </is>
      </c>
      <c r="F492" s="117" t="n">
        <v>48</v>
      </c>
      <c r="G492" s="118" t="n">
        <v>0.85</v>
      </c>
      <c r="H492" s="118" t="n">
        <v>40.8</v>
      </c>
      <c r="I492" s="119" t="n">
        <v>40562</v>
      </c>
    </row>
    <row r="493">
      <c r="A493" s="114" t="inlineStr">
        <is>
          <t>541530</t>
        </is>
      </c>
      <c r="B493" s="114" t="n">
        <v>14769</v>
      </c>
      <c r="C493" s="114" t="inlineStr">
        <is>
          <t>United Kingdom</t>
        </is>
      </c>
      <c r="D493" s="114" t="inlineStr">
        <is>
          <t>21754</t>
        </is>
      </c>
      <c r="E493" s="114" t="inlineStr">
        <is>
          <t>HOME BUILDING BLOCK WORD</t>
        </is>
      </c>
      <c r="F493" s="114" t="n">
        <v>3</v>
      </c>
      <c r="G493" s="115" t="n">
        <v>5.95</v>
      </c>
      <c r="H493" s="115" t="n">
        <v>17.85</v>
      </c>
      <c r="I493" s="116" t="n">
        <v>40562</v>
      </c>
    </row>
    <row r="494">
      <c r="A494" s="117" t="inlineStr">
        <is>
          <t>541552</t>
        </is>
      </c>
      <c r="B494" s="117" t="n">
        <v>15039</v>
      </c>
      <c r="C494" s="117" t="inlineStr">
        <is>
          <t>United Kingdom</t>
        </is>
      </c>
      <c r="D494" s="117" t="inlineStr">
        <is>
          <t>22835</t>
        </is>
      </c>
      <c r="E494" s="117" t="inlineStr">
        <is>
          <t>HOT WATER BOTTLE I AM SO POORLY</t>
        </is>
      </c>
      <c r="F494" s="117" t="n">
        <v>2</v>
      </c>
      <c r="G494" s="118" t="n">
        <v>4.65</v>
      </c>
      <c r="H494" s="118" t="n">
        <v>9.300000000000001</v>
      </c>
      <c r="I494" s="119" t="n">
        <v>40562</v>
      </c>
    </row>
    <row r="495">
      <c r="A495" s="114" t="inlineStr">
        <is>
          <t>541564</t>
        </is>
      </c>
      <c r="B495" s="114" t="n">
        <v>16904</v>
      </c>
      <c r="C495" s="114" t="inlineStr">
        <is>
          <t>United Kingdom</t>
        </is>
      </c>
      <c r="D495" s="114" t="inlineStr">
        <is>
          <t>22914</t>
        </is>
      </c>
      <c r="E495" s="114" t="inlineStr">
        <is>
          <t>BLUE COAT RACK PARIS FASHION</t>
        </is>
      </c>
      <c r="F495" s="114" t="n">
        <v>1</v>
      </c>
      <c r="G495" s="115" t="n">
        <v>4.95</v>
      </c>
      <c r="H495" s="115" t="n">
        <v>4.95</v>
      </c>
      <c r="I495" s="116" t="n">
        <v>40562</v>
      </c>
    </row>
    <row r="496">
      <c r="A496" s="117" t="inlineStr">
        <is>
          <t>541564</t>
        </is>
      </c>
      <c r="B496" s="117" t="n">
        <v>16904</v>
      </c>
      <c r="C496" s="117" t="inlineStr">
        <is>
          <t>United Kingdom</t>
        </is>
      </c>
      <c r="D496" s="117" t="inlineStr">
        <is>
          <t>21900</t>
        </is>
      </c>
      <c r="E496" s="117" t="inlineStr">
        <is>
          <t>KEY FOB , SHED</t>
        </is>
      </c>
      <c r="F496" s="117" t="n">
        <v>19</v>
      </c>
      <c r="G496" s="118" t="n">
        <v>0.65</v>
      </c>
      <c r="H496" s="118" t="n">
        <v>12.35</v>
      </c>
      <c r="I496" s="119" t="n">
        <v>40562</v>
      </c>
    </row>
    <row r="497">
      <c r="A497" s="114" t="inlineStr">
        <is>
          <t>541566</t>
        </is>
      </c>
      <c r="B497" s="114" t="n">
        <v>17722</v>
      </c>
      <c r="C497" s="114" t="inlineStr">
        <is>
          <t>United Kingdom</t>
        </is>
      </c>
      <c r="D497" s="114" t="inlineStr">
        <is>
          <t>85184C</t>
        </is>
      </c>
      <c r="E497" s="114" t="inlineStr">
        <is>
          <t>S/4 VALENTINE DECOUPAGE HEART BOX</t>
        </is>
      </c>
      <c r="F497" s="114" t="n">
        <v>24</v>
      </c>
      <c r="G497" s="115" t="n">
        <v>1.25</v>
      </c>
      <c r="H497" s="115" t="n">
        <v>30</v>
      </c>
      <c r="I497" s="116" t="n">
        <v>40562</v>
      </c>
    </row>
    <row r="498">
      <c r="A498" s="117" t="inlineStr">
        <is>
          <t>541566</t>
        </is>
      </c>
      <c r="B498" s="117" t="n">
        <v>17722</v>
      </c>
      <c r="C498" s="117" t="inlineStr">
        <is>
          <t>United Kingdom</t>
        </is>
      </c>
      <c r="D498" s="117" t="inlineStr">
        <is>
          <t>21200</t>
        </is>
      </c>
      <c r="E498" s="117" t="inlineStr">
        <is>
          <t>MULTICOLOUR HONEYCOMB PAPER GARLAND</t>
        </is>
      </c>
      <c r="F498" s="117" t="n">
        <v>48</v>
      </c>
      <c r="G498" s="118" t="n">
        <v>0.65</v>
      </c>
      <c r="H498" s="118" t="n">
        <v>31.2</v>
      </c>
      <c r="I498" s="119" t="n">
        <v>40562</v>
      </c>
    </row>
    <row r="499">
      <c r="A499" s="114" t="inlineStr">
        <is>
          <t>541567</t>
        </is>
      </c>
      <c r="B499" s="114" t="n">
        <v>12681</v>
      </c>
      <c r="C499" s="114" t="inlineStr">
        <is>
          <t>France</t>
        </is>
      </c>
      <c r="D499" s="114" t="inlineStr">
        <is>
          <t>22191</t>
        </is>
      </c>
      <c r="E499" s="114" t="inlineStr">
        <is>
          <t>IVORY DINER WALL CLOCK</t>
        </is>
      </c>
      <c r="F499" s="114" t="n">
        <v>2</v>
      </c>
      <c r="G499" s="115" t="n">
        <v>8.5</v>
      </c>
      <c r="H499" s="115" t="n">
        <v>17</v>
      </c>
      <c r="I499" s="116" t="n">
        <v>40562</v>
      </c>
    </row>
    <row r="500">
      <c r="A500" s="117" t="inlineStr">
        <is>
          <t>541570</t>
        </is>
      </c>
      <c r="B500" s="117" t="n">
        <v>14646</v>
      </c>
      <c r="C500" s="117" t="inlineStr">
        <is>
          <t>Netherlands</t>
        </is>
      </c>
      <c r="D500" s="117" t="inlineStr">
        <is>
          <t>22242</t>
        </is>
      </c>
      <c r="E500" s="117" t="inlineStr">
        <is>
          <t>5 HOOK HANGER MAGIC TOADSTOOL</t>
        </is>
      </c>
      <c r="F500" s="117" t="n">
        <v>192</v>
      </c>
      <c r="G500" s="118" t="n">
        <v>1.45</v>
      </c>
      <c r="H500" s="118" t="n">
        <v>278.4</v>
      </c>
      <c r="I500" s="119" t="n">
        <v>40562</v>
      </c>
    </row>
    <row r="501">
      <c r="A501" s="114" t="inlineStr">
        <is>
          <t>541593</t>
        </is>
      </c>
      <c r="B501" s="114" t="n">
        <v>17611</v>
      </c>
      <c r="C501" s="114" t="inlineStr">
        <is>
          <t>United Kingdom</t>
        </is>
      </c>
      <c r="D501" s="114" t="inlineStr">
        <is>
          <t>21671</t>
        </is>
      </c>
      <c r="E501" s="114" t="inlineStr">
        <is>
          <t>RED SPOT CERAMIC DRAWER KNOB</t>
        </is>
      </c>
      <c r="F501" s="114" t="n">
        <v>6</v>
      </c>
      <c r="G501" s="115" t="n">
        <v>1.25</v>
      </c>
      <c r="H501" s="115" t="n">
        <v>7.5</v>
      </c>
      <c r="I501" s="116" t="n">
        <v>40562</v>
      </c>
    </row>
    <row r="502">
      <c r="A502" s="117" t="inlineStr">
        <is>
          <t>541593</t>
        </is>
      </c>
      <c r="B502" s="117" t="n">
        <v>17611</v>
      </c>
      <c r="C502" s="117" t="inlineStr">
        <is>
          <t>United Kingdom</t>
        </is>
      </c>
      <c r="D502" s="117" t="inlineStr">
        <is>
          <t>23233</t>
        </is>
      </c>
      <c r="E502" s="117" t="inlineStr">
        <is>
          <t>WRAP POPPIES  DESIGN</t>
        </is>
      </c>
      <c r="F502" s="117" t="n">
        <v>25</v>
      </c>
      <c r="G502" s="118" t="n">
        <v>0.42</v>
      </c>
      <c r="H502" s="118" t="n">
        <v>10.5</v>
      </c>
      <c r="I502" s="119" t="n">
        <v>40562</v>
      </c>
    </row>
    <row r="503">
      <c r="A503" s="114" t="inlineStr">
        <is>
          <t>541604</t>
        </is>
      </c>
      <c r="B503" s="114" t="n">
        <v>14572</v>
      </c>
      <c r="C503" s="114" t="inlineStr">
        <is>
          <t>United Kingdom</t>
        </is>
      </c>
      <c r="D503" s="114" t="inlineStr">
        <is>
          <t>21559</t>
        </is>
      </c>
      <c r="E503" s="114" t="inlineStr">
        <is>
          <t>STRAWBERRY LUNCH BOX WITH CUTLERY</t>
        </is>
      </c>
      <c r="F503" s="114" t="n">
        <v>3</v>
      </c>
      <c r="G503" s="115" t="n">
        <v>2.55</v>
      </c>
      <c r="H503" s="115" t="n">
        <v>7.65</v>
      </c>
      <c r="I503" s="116" t="n">
        <v>40562</v>
      </c>
    </row>
    <row r="504">
      <c r="A504" s="117" t="inlineStr">
        <is>
          <t>541631</t>
        </is>
      </c>
      <c r="B504" s="117" t="n">
        <v>12637</v>
      </c>
      <c r="C504" s="117" t="inlineStr">
        <is>
          <t>France</t>
        </is>
      </c>
      <c r="D504" s="117" t="inlineStr">
        <is>
          <t>22120</t>
        </is>
      </c>
      <c r="E504" s="117" t="inlineStr">
        <is>
          <t>WELCOME  WOODEN BLOCK LETTERS</t>
        </is>
      </c>
      <c r="F504" s="117" t="n">
        <v>6</v>
      </c>
      <c r="G504" s="118" t="n">
        <v>9.949999999999999</v>
      </c>
      <c r="H504" s="118" t="n">
        <v>59.7</v>
      </c>
      <c r="I504" s="119" t="n">
        <v>40563</v>
      </c>
    </row>
    <row r="505">
      <c r="A505" s="114" t="inlineStr">
        <is>
          <t>541631</t>
        </is>
      </c>
      <c r="B505" s="114" t="n">
        <v>12637</v>
      </c>
      <c r="C505" s="114" t="inlineStr">
        <is>
          <t>France</t>
        </is>
      </c>
      <c r="D505" s="114" t="inlineStr">
        <is>
          <t>22362</t>
        </is>
      </c>
      <c r="E505" s="114" t="inlineStr">
        <is>
          <t>GLASS JAR PEACOCK BATH SALTS</t>
        </is>
      </c>
      <c r="F505" s="114" t="n">
        <v>6</v>
      </c>
      <c r="G505" s="115" t="n">
        <v>2.95</v>
      </c>
      <c r="H505" s="115" t="n">
        <v>17.7</v>
      </c>
      <c r="I505" s="116" t="n">
        <v>40563</v>
      </c>
    </row>
    <row r="506">
      <c r="A506" s="117" t="inlineStr">
        <is>
          <t>541655</t>
        </is>
      </c>
      <c r="B506" s="117" t="n">
        <v>14779</v>
      </c>
      <c r="C506" s="117" t="inlineStr">
        <is>
          <t>United Kingdom</t>
        </is>
      </c>
      <c r="D506" s="117" t="inlineStr">
        <is>
          <t>21420</t>
        </is>
      </c>
      <c r="E506" s="117" t="inlineStr">
        <is>
          <t>OYSTER TRINKET BOX</t>
        </is>
      </c>
      <c r="F506" s="117" t="n">
        <v>1</v>
      </c>
      <c r="G506" s="118" t="n">
        <v>3.25</v>
      </c>
      <c r="H506" s="118" t="n">
        <v>3.25</v>
      </c>
      <c r="I506" s="119" t="n">
        <v>40563</v>
      </c>
    </row>
    <row r="507">
      <c r="A507" s="114" t="inlineStr">
        <is>
          <t>541655</t>
        </is>
      </c>
      <c r="B507" s="114" t="n">
        <v>14779</v>
      </c>
      <c r="C507" s="114" t="inlineStr">
        <is>
          <t>United Kingdom</t>
        </is>
      </c>
      <c r="D507" s="114" t="inlineStr">
        <is>
          <t>21378</t>
        </is>
      </c>
      <c r="E507" s="114" t="inlineStr">
        <is>
          <t>SMALL TALL CAMPHOR WOOD TOADSTOOL</t>
        </is>
      </c>
      <c r="F507" s="114" t="n">
        <v>1</v>
      </c>
      <c r="G507" s="115" t="n">
        <v>1.65</v>
      </c>
      <c r="H507" s="115" t="n">
        <v>1.65</v>
      </c>
      <c r="I507" s="116" t="n">
        <v>40563</v>
      </c>
    </row>
    <row r="508">
      <c r="A508" s="117" t="inlineStr">
        <is>
          <t>541677</t>
        </is>
      </c>
      <c r="B508" s="117" t="n">
        <v>12747</v>
      </c>
      <c r="C508" s="117" t="inlineStr">
        <is>
          <t>United Kingdom</t>
        </is>
      </c>
      <c r="D508" s="117" t="inlineStr">
        <is>
          <t>82494L</t>
        </is>
      </c>
      <c r="E508" s="117" t="inlineStr">
        <is>
          <t xml:space="preserve">WOODEN FRAME ANTIQUE WHITE </t>
        </is>
      </c>
      <c r="F508" s="117" t="n">
        <v>12</v>
      </c>
      <c r="G508" s="118" t="n">
        <v>2.95</v>
      </c>
      <c r="H508" s="118" t="n">
        <v>35.4</v>
      </c>
      <c r="I508" s="119" t="n">
        <v>40563</v>
      </c>
    </row>
    <row r="509">
      <c r="A509" s="114" t="inlineStr">
        <is>
          <t>541683</t>
        </is>
      </c>
      <c r="B509" s="114" t="n">
        <v>14085</v>
      </c>
      <c r="C509" s="114" t="inlineStr">
        <is>
          <t>United Kingdom</t>
        </is>
      </c>
      <c r="D509" s="114" t="inlineStr">
        <is>
          <t>22493</t>
        </is>
      </c>
      <c r="E509" s="114" t="inlineStr">
        <is>
          <t>PAINT YOUR OWN CANVAS SET</t>
        </is>
      </c>
      <c r="F509" s="114" t="n">
        <v>8</v>
      </c>
      <c r="G509" s="115" t="n">
        <v>1.65</v>
      </c>
      <c r="H509" s="115" t="n">
        <v>13.2</v>
      </c>
      <c r="I509" s="116" t="n">
        <v>40563</v>
      </c>
    </row>
    <row r="510">
      <c r="A510" s="117" t="inlineStr">
        <is>
          <t>541711</t>
        </is>
      </c>
      <c r="B510" s="117" t="n">
        <v>14646</v>
      </c>
      <c r="C510" s="117" t="inlineStr">
        <is>
          <t>Netherlands</t>
        </is>
      </c>
      <c r="D510" s="117" t="inlineStr">
        <is>
          <t>21239</t>
        </is>
      </c>
      <c r="E510" s="117" t="inlineStr">
        <is>
          <t>PINK  POLKADOT CUP</t>
        </is>
      </c>
      <c r="F510" s="117" t="n">
        <v>96</v>
      </c>
      <c r="G510" s="118" t="n">
        <v>0.72</v>
      </c>
      <c r="H510" s="118" t="n">
        <v>69.12</v>
      </c>
      <c r="I510" s="119" t="n">
        <v>40564</v>
      </c>
    </row>
    <row r="511">
      <c r="A511" s="114" t="inlineStr">
        <is>
          <t>541711</t>
        </is>
      </c>
      <c r="B511" s="114" t="n">
        <v>14646</v>
      </c>
      <c r="C511" s="114" t="inlineStr">
        <is>
          <t>Netherlands</t>
        </is>
      </c>
      <c r="D511" s="114" t="inlineStr">
        <is>
          <t>22772</t>
        </is>
      </c>
      <c r="E511" s="114" t="inlineStr">
        <is>
          <t>PINK DRAWER KNOB ACRYLIC EDWARDIAN</t>
        </is>
      </c>
      <c r="F511" s="114" t="n">
        <v>24</v>
      </c>
      <c r="G511" s="115" t="n">
        <v>1.25</v>
      </c>
      <c r="H511" s="115" t="n">
        <v>30</v>
      </c>
      <c r="I511" s="116" t="n">
        <v>40564</v>
      </c>
    </row>
    <row r="512">
      <c r="A512" s="117" t="inlineStr">
        <is>
          <t>541711</t>
        </is>
      </c>
      <c r="B512" s="117" t="n">
        <v>14646</v>
      </c>
      <c r="C512" s="117" t="inlineStr">
        <is>
          <t>Netherlands</t>
        </is>
      </c>
      <c r="D512" s="117" t="inlineStr">
        <is>
          <t>22416</t>
        </is>
      </c>
      <c r="E512" s="117" t="inlineStr">
        <is>
          <t xml:space="preserve">SET OF 36 DOILIES SPACEBOY DESIGN </t>
        </is>
      </c>
      <c r="F512" s="117" t="n">
        <v>36</v>
      </c>
      <c r="G512" s="118" t="n">
        <v>1.45</v>
      </c>
      <c r="H512" s="118" t="n">
        <v>52.2</v>
      </c>
      <c r="I512" s="119" t="n">
        <v>40564</v>
      </c>
    </row>
    <row r="513">
      <c r="A513" s="114" t="inlineStr">
        <is>
          <t>541784</t>
        </is>
      </c>
      <c r="B513" s="114" t="n">
        <v>17277</v>
      </c>
      <c r="C513" s="114" t="inlineStr">
        <is>
          <t>United Kingdom</t>
        </is>
      </c>
      <c r="D513" s="114" t="inlineStr">
        <is>
          <t>22616</t>
        </is>
      </c>
      <c r="E513" s="114" t="inlineStr">
        <is>
          <t xml:space="preserve">PACK OF 12 LONDON TISSUES </t>
        </is>
      </c>
      <c r="F513" s="114" t="n">
        <v>24</v>
      </c>
      <c r="G513" s="115" t="n">
        <v>0.29</v>
      </c>
      <c r="H513" s="115" t="n">
        <v>6.96</v>
      </c>
      <c r="I513" s="116" t="n">
        <v>40564</v>
      </c>
    </row>
    <row r="514">
      <c r="A514" s="117" t="inlineStr">
        <is>
          <t>541785</t>
        </is>
      </c>
      <c r="B514" s="117" t="n">
        <v>14779</v>
      </c>
      <c r="C514" s="117" t="inlineStr">
        <is>
          <t>United Kingdom</t>
        </is>
      </c>
      <c r="D514" s="117" t="inlineStr">
        <is>
          <t>21761</t>
        </is>
      </c>
      <c r="E514" s="117" t="inlineStr">
        <is>
          <t>WOOD AND GLASS MEDICINE CABINET</t>
        </is>
      </c>
      <c r="F514" s="117" t="n">
        <v>1</v>
      </c>
      <c r="G514" s="118" t="n">
        <v>29.95</v>
      </c>
      <c r="H514" s="118" t="n">
        <v>29.95</v>
      </c>
      <c r="I514" s="119" t="n">
        <v>40564</v>
      </c>
    </row>
    <row r="515">
      <c r="A515" s="114" t="inlineStr">
        <is>
          <t>541789</t>
        </is>
      </c>
      <c r="B515" s="114" t="n">
        <v>14088</v>
      </c>
      <c r="C515" s="114" t="inlineStr">
        <is>
          <t>United Kingdom</t>
        </is>
      </c>
      <c r="D515" s="114" t="inlineStr">
        <is>
          <t>22727</t>
        </is>
      </c>
      <c r="E515" s="114" t="inlineStr">
        <is>
          <t xml:space="preserve">ALARM CLOCK BAKELIKE RED </t>
        </is>
      </c>
      <c r="F515" s="114" t="n">
        <v>36</v>
      </c>
      <c r="G515" s="115" t="n">
        <v>3.39</v>
      </c>
      <c r="H515" s="115" t="n">
        <v>122.04</v>
      </c>
      <c r="I515" s="116" t="n">
        <v>40564</v>
      </c>
    </row>
    <row r="516">
      <c r="A516" s="117" t="inlineStr">
        <is>
          <t>541793</t>
        </is>
      </c>
      <c r="B516" s="117" t="n">
        <v>13969</v>
      </c>
      <c r="C516" s="117" t="inlineStr">
        <is>
          <t>United Kingdom</t>
        </is>
      </c>
      <c r="D516" s="117" t="inlineStr">
        <is>
          <t>22377</t>
        </is>
      </c>
      <c r="E516" s="117" t="inlineStr">
        <is>
          <t xml:space="preserve">BOTTLE BAG RETROSPOT </t>
        </is>
      </c>
      <c r="F516" s="117" t="n">
        <v>20</v>
      </c>
      <c r="G516" s="118" t="n">
        <v>0.85</v>
      </c>
      <c r="H516" s="118" t="n">
        <v>17</v>
      </c>
      <c r="I516" s="119" t="n">
        <v>40564</v>
      </c>
    </row>
    <row r="517">
      <c r="A517" s="114" t="inlineStr">
        <is>
          <t>541796</t>
        </is>
      </c>
      <c r="B517" s="114" t="n">
        <v>14092</v>
      </c>
      <c r="C517" s="114" t="inlineStr">
        <is>
          <t>United Kingdom</t>
        </is>
      </c>
      <c r="D517" s="114" t="inlineStr">
        <is>
          <t>22859</t>
        </is>
      </c>
      <c r="E517" s="114" t="inlineStr">
        <is>
          <t>EASTER TIN BUNNY BOUQUET</t>
        </is>
      </c>
      <c r="F517" s="114" t="n">
        <v>6</v>
      </c>
      <c r="G517" s="115" t="n">
        <v>1.65</v>
      </c>
      <c r="H517" s="115" t="n">
        <v>9.9</v>
      </c>
      <c r="I517" s="116" t="n">
        <v>40564</v>
      </c>
    </row>
    <row r="518">
      <c r="A518" s="117" t="inlineStr">
        <is>
          <t>541814</t>
        </is>
      </c>
      <c r="B518" s="117" t="n">
        <v>17306</v>
      </c>
      <c r="C518" s="117" t="inlineStr">
        <is>
          <t>United Kingdom</t>
        </is>
      </c>
      <c r="D518" s="117" t="inlineStr">
        <is>
          <t>22971</t>
        </is>
      </c>
      <c r="E518" s="117" t="inlineStr">
        <is>
          <t>QUEENS GUARD COFFEE MUG</t>
        </is>
      </c>
      <c r="F518" s="117" t="n">
        <v>36</v>
      </c>
      <c r="G518" s="118" t="n">
        <v>2.1</v>
      </c>
      <c r="H518" s="118" t="n">
        <v>75.59999999999999</v>
      </c>
      <c r="I518" s="119" t="n">
        <v>40564</v>
      </c>
    </row>
    <row r="519">
      <c r="A519" s="114" t="inlineStr">
        <is>
          <t>541816</t>
        </is>
      </c>
      <c r="B519" s="114" t="n">
        <v>17799</v>
      </c>
      <c r="C519" s="114" t="inlineStr">
        <is>
          <t>United Kingdom</t>
        </is>
      </c>
      <c r="D519" s="114" t="inlineStr">
        <is>
          <t>15056N</t>
        </is>
      </c>
      <c r="E519" s="114" t="inlineStr">
        <is>
          <t>EDWARDIAN PARASOL NATURAL</t>
        </is>
      </c>
      <c r="F519" s="114" t="n">
        <v>1</v>
      </c>
      <c r="G519" s="115" t="n">
        <v>5.95</v>
      </c>
      <c r="H519" s="115" t="n">
        <v>5.95</v>
      </c>
      <c r="I519" s="116" t="n">
        <v>40564</v>
      </c>
    </row>
    <row r="520">
      <c r="A520" s="117" t="inlineStr">
        <is>
          <t>541816</t>
        </is>
      </c>
      <c r="B520" s="117" t="n">
        <v>17799</v>
      </c>
      <c r="C520" s="117" t="inlineStr">
        <is>
          <t>United Kingdom</t>
        </is>
      </c>
      <c r="D520" s="117" t="inlineStr">
        <is>
          <t>22457</t>
        </is>
      </c>
      <c r="E520" s="117" t="inlineStr">
        <is>
          <t xml:space="preserve">NATURAL SLATE HEART CHALKBOARD </t>
        </is>
      </c>
      <c r="F520" s="117" t="n">
        <v>5</v>
      </c>
      <c r="G520" s="118" t="n">
        <v>2.95</v>
      </c>
      <c r="H520" s="118" t="n">
        <v>14.75</v>
      </c>
      <c r="I520" s="119" t="n">
        <v>40564</v>
      </c>
    </row>
    <row r="521">
      <c r="A521" s="114" t="inlineStr">
        <is>
          <t>541816</t>
        </is>
      </c>
      <c r="B521" s="114" t="n">
        <v>17799</v>
      </c>
      <c r="C521" s="114" t="inlineStr">
        <is>
          <t>United Kingdom</t>
        </is>
      </c>
      <c r="D521" s="114" t="inlineStr">
        <is>
          <t>85040A</t>
        </is>
      </c>
      <c r="E521" s="114" t="inlineStr">
        <is>
          <t>S/4 PINK FLOWER CANDLES IN BOWL</t>
        </is>
      </c>
      <c r="F521" s="114" t="n">
        <v>4</v>
      </c>
      <c r="G521" s="115" t="n">
        <v>1.65</v>
      </c>
      <c r="H521" s="115" t="n">
        <v>6.6</v>
      </c>
      <c r="I521" s="116" t="n">
        <v>40564</v>
      </c>
    </row>
    <row r="522">
      <c r="A522" s="117" t="inlineStr">
        <is>
          <t>541842</t>
        </is>
      </c>
      <c r="B522" s="117" t="n">
        <v>16085</v>
      </c>
      <c r="C522" s="117" t="inlineStr">
        <is>
          <t>United Kingdom</t>
        </is>
      </c>
      <c r="D522" s="117" t="inlineStr">
        <is>
          <t>85150</t>
        </is>
      </c>
      <c r="E522" s="117" t="inlineStr">
        <is>
          <t>LADIES &amp; GENTLEMEN METAL SIGN</t>
        </is>
      </c>
      <c r="F522" s="117" t="n">
        <v>3</v>
      </c>
      <c r="G522" s="118" t="n">
        <v>2.55</v>
      </c>
      <c r="H522" s="118" t="n">
        <v>7.65</v>
      </c>
      <c r="I522" s="119" t="n">
        <v>40566</v>
      </c>
    </row>
    <row r="523">
      <c r="A523" s="114" t="inlineStr">
        <is>
          <t>541843</t>
        </is>
      </c>
      <c r="B523" s="114" t="n">
        <v>13659</v>
      </c>
      <c r="C523" s="114" t="inlineStr">
        <is>
          <t>United Kingdom</t>
        </is>
      </c>
      <c r="D523" s="114" t="inlineStr">
        <is>
          <t>85123A</t>
        </is>
      </c>
      <c r="E523" s="114" t="inlineStr">
        <is>
          <t>WHITE HANGING HEART T-LIGHT HOLDER</t>
        </is>
      </c>
      <c r="F523" s="114" t="n">
        <v>1</v>
      </c>
      <c r="G523" s="115" t="n">
        <v>2.95</v>
      </c>
      <c r="H523" s="115" t="n">
        <v>2.95</v>
      </c>
      <c r="I523" s="116" t="n">
        <v>40566</v>
      </c>
    </row>
    <row r="524">
      <c r="A524" s="117" t="inlineStr">
        <is>
          <t>541843</t>
        </is>
      </c>
      <c r="B524" s="117" t="n">
        <v>13659</v>
      </c>
      <c r="C524" s="117" t="inlineStr">
        <is>
          <t>United Kingdom</t>
        </is>
      </c>
      <c r="D524" s="117" t="inlineStr">
        <is>
          <t>85212</t>
        </is>
      </c>
      <c r="E524" s="117" t="inlineStr">
        <is>
          <t xml:space="preserve">MINI PAINTED GARDEN DECORATION </t>
        </is>
      </c>
      <c r="F524" s="117" t="n">
        <v>12</v>
      </c>
      <c r="G524" s="118" t="n">
        <v>0.85</v>
      </c>
      <c r="H524" s="118" t="n">
        <v>10.2</v>
      </c>
      <c r="I524" s="119" t="n">
        <v>40566</v>
      </c>
    </row>
    <row r="525">
      <c r="A525" s="114" t="inlineStr">
        <is>
          <t>541843</t>
        </is>
      </c>
      <c r="B525" s="114" t="n">
        <v>13659</v>
      </c>
      <c r="C525" s="114" t="inlineStr">
        <is>
          <t>United Kingdom</t>
        </is>
      </c>
      <c r="D525" s="114" t="inlineStr">
        <is>
          <t>20893</t>
        </is>
      </c>
      <c r="E525" s="114" t="inlineStr">
        <is>
          <t>HANGING BAUBLE T-LIGHT HOLDER SMALL</t>
        </is>
      </c>
      <c r="F525" s="114" t="n">
        <v>12</v>
      </c>
      <c r="G525" s="115" t="n">
        <v>2.55</v>
      </c>
      <c r="H525" s="115" t="n">
        <v>30.6</v>
      </c>
      <c r="I525" s="116" t="n">
        <v>40566</v>
      </c>
    </row>
    <row r="526">
      <c r="A526" s="117" t="inlineStr">
        <is>
          <t>541843</t>
        </is>
      </c>
      <c r="B526" s="117" t="n">
        <v>13659</v>
      </c>
      <c r="C526" s="117" t="inlineStr">
        <is>
          <t>United Kingdom</t>
        </is>
      </c>
      <c r="D526" s="117" t="inlineStr">
        <is>
          <t>85123A</t>
        </is>
      </c>
      <c r="E526" s="117" t="inlineStr">
        <is>
          <t>WHITE HANGING HEART T-LIGHT HOLDER</t>
        </is>
      </c>
      <c r="F526" s="117" t="n">
        <v>2</v>
      </c>
      <c r="G526" s="118" t="n">
        <v>2.95</v>
      </c>
      <c r="H526" s="118" t="n">
        <v>5.9</v>
      </c>
      <c r="I526" s="119" t="n">
        <v>40566</v>
      </c>
    </row>
    <row r="527">
      <c r="A527" s="114" t="inlineStr">
        <is>
          <t>541848</t>
        </is>
      </c>
      <c r="B527" s="114" t="n">
        <v>17611</v>
      </c>
      <c r="C527" s="114" t="inlineStr">
        <is>
          <t>United Kingdom</t>
        </is>
      </c>
      <c r="D527" s="114" t="inlineStr">
        <is>
          <t>22294</t>
        </is>
      </c>
      <c r="E527" s="114" t="inlineStr">
        <is>
          <t>HEART FILIGREE DOVE  SMALL</t>
        </is>
      </c>
      <c r="F527" s="114" t="n">
        <v>6</v>
      </c>
      <c r="G527" s="115" t="n">
        <v>1.25</v>
      </c>
      <c r="H527" s="115" t="n">
        <v>7.5</v>
      </c>
      <c r="I527" s="116" t="n">
        <v>40566</v>
      </c>
    </row>
    <row r="528">
      <c r="A528" s="117" t="inlineStr">
        <is>
          <t>541850</t>
        </is>
      </c>
      <c r="B528" s="117" t="n">
        <v>14224</v>
      </c>
      <c r="C528" s="117" t="inlineStr">
        <is>
          <t>United Kingdom</t>
        </is>
      </c>
      <c r="D528" s="117" t="inlineStr">
        <is>
          <t>84673B</t>
        </is>
      </c>
      <c r="E528" s="117" t="inlineStr">
        <is>
          <t>BLUE FLY SWAT</t>
        </is>
      </c>
      <c r="F528" s="117" t="n">
        <v>1</v>
      </c>
      <c r="G528" s="118" t="n">
        <v>0.65</v>
      </c>
      <c r="H528" s="118" t="n">
        <v>0.65</v>
      </c>
      <c r="I528" s="119" t="n">
        <v>40566</v>
      </c>
    </row>
    <row r="529">
      <c r="A529" s="114" t="inlineStr">
        <is>
          <t>541855</t>
        </is>
      </c>
      <c r="B529" s="114" t="n">
        <v>13742</v>
      </c>
      <c r="C529" s="114" t="inlineStr">
        <is>
          <t>United Kingdom</t>
        </is>
      </c>
      <c r="D529" s="114" t="inlineStr">
        <is>
          <t>22457</t>
        </is>
      </c>
      <c r="E529" s="114" t="inlineStr">
        <is>
          <t xml:space="preserve">NATURAL SLATE HEART CHALKBOARD </t>
        </is>
      </c>
      <c r="F529" s="114" t="n">
        <v>1</v>
      </c>
      <c r="G529" s="115" t="n">
        <v>2.95</v>
      </c>
      <c r="H529" s="115" t="n">
        <v>2.95</v>
      </c>
      <c r="I529" s="116" t="n">
        <v>40566</v>
      </c>
    </row>
    <row r="530">
      <c r="A530" s="117" t="inlineStr">
        <is>
          <t>541857</t>
        </is>
      </c>
      <c r="B530" s="117" t="n">
        <v>12727</v>
      </c>
      <c r="C530" s="117" t="inlineStr">
        <is>
          <t>France</t>
        </is>
      </c>
      <c r="D530" s="117" t="inlineStr">
        <is>
          <t>82484</t>
        </is>
      </c>
      <c r="E530" s="117" t="inlineStr">
        <is>
          <t>WOOD BLACK BOARD ANT WHITE FINISH</t>
        </is>
      </c>
      <c r="F530" s="117" t="n">
        <v>3</v>
      </c>
      <c r="G530" s="118" t="n">
        <v>6.45</v>
      </c>
      <c r="H530" s="118" t="n">
        <v>19.35</v>
      </c>
      <c r="I530" s="119" t="n">
        <v>40566</v>
      </c>
    </row>
    <row r="531">
      <c r="A531" s="114" t="inlineStr">
        <is>
          <t>541858</t>
        </is>
      </c>
      <c r="B531" s="114" t="n">
        <v>16983</v>
      </c>
      <c r="C531" s="114" t="inlineStr">
        <is>
          <t>United Kingdom</t>
        </is>
      </c>
      <c r="D531" s="114" t="inlineStr">
        <is>
          <t>22776</t>
        </is>
      </c>
      <c r="E531" s="114" t="inlineStr">
        <is>
          <t>SWEETHEART CAKESTAND 3 TIER</t>
        </is>
      </c>
      <c r="F531" s="114" t="n">
        <v>1</v>
      </c>
      <c r="G531" s="115" t="n">
        <v>9.949999999999999</v>
      </c>
      <c r="H531" s="115" t="n">
        <v>9.949999999999999</v>
      </c>
      <c r="I531" s="116" t="n">
        <v>40566</v>
      </c>
    </row>
    <row r="532">
      <c r="A532" s="117" t="inlineStr">
        <is>
          <t>541872</t>
        </is>
      </c>
      <c r="B532" s="117" t="n">
        <v>14796</v>
      </c>
      <c r="C532" s="117" t="inlineStr">
        <is>
          <t>United Kingdom</t>
        </is>
      </c>
      <c r="D532" s="117" t="inlineStr">
        <is>
          <t>22631</t>
        </is>
      </c>
      <c r="E532" s="117" t="inlineStr">
        <is>
          <t xml:space="preserve">CIRCUS PARADE LUNCH BOX </t>
        </is>
      </c>
      <c r="F532" s="117" t="n">
        <v>1</v>
      </c>
      <c r="G532" s="118" t="n">
        <v>1.95</v>
      </c>
      <c r="H532" s="118" t="n">
        <v>1.95</v>
      </c>
      <c r="I532" s="119" t="n">
        <v>40567</v>
      </c>
    </row>
    <row r="533">
      <c r="A533" s="114" t="inlineStr">
        <is>
          <t>541872</t>
        </is>
      </c>
      <c r="B533" s="114" t="n">
        <v>14796</v>
      </c>
      <c r="C533" s="114" t="inlineStr">
        <is>
          <t>United Kingdom</t>
        </is>
      </c>
      <c r="D533" s="114" t="inlineStr">
        <is>
          <t>21213</t>
        </is>
      </c>
      <c r="E533" s="114" t="inlineStr">
        <is>
          <t>PACK OF 72 SKULL CAKE CASES</t>
        </is>
      </c>
      <c r="F533" s="114" t="n">
        <v>2</v>
      </c>
      <c r="G533" s="115" t="n">
        <v>0.55</v>
      </c>
      <c r="H533" s="115" t="n">
        <v>1.1</v>
      </c>
      <c r="I533" s="116" t="n">
        <v>40567</v>
      </c>
    </row>
    <row r="534">
      <c r="A534" s="117" t="inlineStr">
        <is>
          <t>541872</t>
        </is>
      </c>
      <c r="B534" s="117" t="n">
        <v>14796</v>
      </c>
      <c r="C534" s="117" t="inlineStr">
        <is>
          <t>United Kingdom</t>
        </is>
      </c>
      <c r="D534" s="117" t="inlineStr">
        <is>
          <t>21166</t>
        </is>
      </c>
      <c r="E534" s="117" t="inlineStr">
        <is>
          <t xml:space="preserve">COOK WITH WINE METAL SIGN </t>
        </is>
      </c>
      <c r="F534" s="117" t="n">
        <v>4</v>
      </c>
      <c r="G534" s="118" t="n">
        <v>1.95</v>
      </c>
      <c r="H534" s="118" t="n">
        <v>7.8</v>
      </c>
      <c r="I534" s="119" t="n">
        <v>40567</v>
      </c>
    </row>
    <row r="535">
      <c r="A535" s="114" t="inlineStr">
        <is>
          <t>541884</t>
        </is>
      </c>
      <c r="B535" s="114" t="n">
        <v>14782</v>
      </c>
      <c r="C535" s="114" t="inlineStr">
        <is>
          <t>United Kingdom</t>
        </is>
      </c>
      <c r="D535" s="114" t="inlineStr">
        <is>
          <t>22457</t>
        </is>
      </c>
      <c r="E535" s="114" t="inlineStr">
        <is>
          <t xml:space="preserve">NATURAL SLATE HEART CHALKBOARD </t>
        </is>
      </c>
      <c r="F535" s="114" t="n">
        <v>6</v>
      </c>
      <c r="G535" s="115" t="n">
        <v>2.95</v>
      </c>
      <c r="H535" s="115" t="n">
        <v>17.7</v>
      </c>
      <c r="I535" s="116" t="n">
        <v>40567</v>
      </c>
    </row>
    <row r="536">
      <c r="A536" s="117" t="inlineStr">
        <is>
          <t>541949</t>
        </is>
      </c>
      <c r="B536" s="117" t="n">
        <v>18136</v>
      </c>
      <c r="C536" s="117" t="inlineStr">
        <is>
          <t>United Kingdom</t>
        </is>
      </c>
      <c r="D536" s="117" t="inlineStr">
        <is>
          <t>22748</t>
        </is>
      </c>
      <c r="E536" s="117" t="inlineStr">
        <is>
          <t>POPPY'S PLAYHOUSE KITCHEN</t>
        </is>
      </c>
      <c r="F536" s="117" t="n">
        <v>6</v>
      </c>
      <c r="G536" s="118" t="n">
        <v>2.1</v>
      </c>
      <c r="H536" s="118" t="n">
        <v>12.6</v>
      </c>
      <c r="I536" s="119" t="n">
        <v>40567</v>
      </c>
    </row>
    <row r="537">
      <c r="A537" s="114" t="inlineStr">
        <is>
          <t>541962</t>
        </is>
      </c>
      <c r="B537" s="114" t="n">
        <v>12693</v>
      </c>
      <c r="C537" s="114" t="inlineStr">
        <is>
          <t>Germany</t>
        </is>
      </c>
      <c r="D537" s="114" t="inlineStr">
        <is>
          <t>22957</t>
        </is>
      </c>
      <c r="E537" s="114" t="inlineStr">
        <is>
          <t>SET 3 PAPER VINTAGE CHICK PAPER EGG</t>
        </is>
      </c>
      <c r="F537" s="114" t="n">
        <v>6</v>
      </c>
      <c r="G537" s="115" t="n">
        <v>2.95</v>
      </c>
      <c r="H537" s="115" t="n">
        <v>17.7</v>
      </c>
      <c r="I537" s="116" t="n">
        <v>40567</v>
      </c>
    </row>
    <row r="538">
      <c r="A538" s="117" t="inlineStr">
        <is>
          <t>541962</t>
        </is>
      </c>
      <c r="B538" s="117" t="n">
        <v>12693</v>
      </c>
      <c r="C538" s="117" t="inlineStr">
        <is>
          <t>Germany</t>
        </is>
      </c>
      <c r="D538" s="117" t="inlineStr">
        <is>
          <t>21880</t>
        </is>
      </c>
      <c r="E538" s="117" t="inlineStr">
        <is>
          <t>RED RETROSPOT TAPE</t>
        </is>
      </c>
      <c r="F538" s="117" t="n">
        <v>12</v>
      </c>
      <c r="G538" s="118" t="n">
        <v>0.65</v>
      </c>
      <c r="H538" s="118" t="n">
        <v>7.8</v>
      </c>
      <c r="I538" s="119" t="n">
        <v>40567</v>
      </c>
    </row>
    <row r="539">
      <c r="A539" s="114" t="inlineStr">
        <is>
          <t>541966</t>
        </is>
      </c>
      <c r="B539" s="114" t="n">
        <v>13854</v>
      </c>
      <c r="C539" s="114" t="inlineStr">
        <is>
          <t>United Kingdom</t>
        </is>
      </c>
      <c r="D539" s="114" t="inlineStr">
        <is>
          <t>22469</t>
        </is>
      </c>
      <c r="E539" s="114" t="inlineStr">
        <is>
          <t>HEART OF WICKER SMALL</t>
        </is>
      </c>
      <c r="F539" s="114" t="n">
        <v>40</v>
      </c>
      <c r="G539" s="115" t="n">
        <v>1.45</v>
      </c>
      <c r="H539" s="115" t="n">
        <v>58</v>
      </c>
      <c r="I539" s="116" t="n">
        <v>40567</v>
      </c>
    </row>
    <row r="540">
      <c r="A540" s="117" t="inlineStr">
        <is>
          <t>541970</t>
        </is>
      </c>
      <c r="B540" s="117" t="n">
        <v>15179</v>
      </c>
      <c r="C540" s="117" t="inlineStr">
        <is>
          <t>United Kingdom</t>
        </is>
      </c>
      <c r="D540" s="117" t="inlineStr">
        <is>
          <t>21914</t>
        </is>
      </c>
      <c r="E540" s="117" t="inlineStr">
        <is>
          <t xml:space="preserve">BLUE HARMONICA IN BOX </t>
        </is>
      </c>
      <c r="F540" s="117" t="n">
        <v>12</v>
      </c>
      <c r="G540" s="118" t="n">
        <v>1.25</v>
      </c>
      <c r="H540" s="118" t="n">
        <v>15</v>
      </c>
      <c r="I540" s="119" t="n">
        <v>40567</v>
      </c>
    </row>
    <row r="541">
      <c r="A541" s="114" t="inlineStr">
        <is>
          <t>541970</t>
        </is>
      </c>
      <c r="B541" s="114" t="n">
        <v>15179</v>
      </c>
      <c r="C541" s="114" t="inlineStr">
        <is>
          <t>United Kingdom</t>
        </is>
      </c>
      <c r="D541" s="114" t="inlineStr">
        <is>
          <t>22560</t>
        </is>
      </c>
      <c r="E541" s="114" t="inlineStr">
        <is>
          <t>TRADITIONAL MODELLING CLAY</t>
        </is>
      </c>
      <c r="F541" s="114" t="n">
        <v>48</v>
      </c>
      <c r="G541" s="115" t="n">
        <v>1.06</v>
      </c>
      <c r="H541" s="115" t="n">
        <v>50.88</v>
      </c>
      <c r="I541" s="116" t="n">
        <v>40567</v>
      </c>
    </row>
    <row r="542">
      <c r="A542" s="117" t="inlineStr">
        <is>
          <t>541974</t>
        </is>
      </c>
      <c r="B542" s="117" t="n">
        <v>14541</v>
      </c>
      <c r="C542" s="117" t="inlineStr">
        <is>
          <t>United Kingdom</t>
        </is>
      </c>
      <c r="D542" s="117" t="inlineStr">
        <is>
          <t>84457</t>
        </is>
      </c>
      <c r="E542" s="117" t="inlineStr">
        <is>
          <t>SET/3 RABBITS FLOWER SKIPPPING ROPE</t>
        </is>
      </c>
      <c r="F542" s="117" t="n">
        <v>2</v>
      </c>
      <c r="G542" s="118" t="n">
        <v>0.85</v>
      </c>
      <c r="H542" s="118" t="n">
        <v>1.7</v>
      </c>
      <c r="I542" s="119" t="n">
        <v>40567</v>
      </c>
    </row>
    <row r="543">
      <c r="A543" s="114" t="inlineStr">
        <is>
          <t>541979</t>
        </is>
      </c>
      <c r="B543" s="114" t="n">
        <v>14911</v>
      </c>
      <c r="C543" s="114" t="inlineStr">
        <is>
          <t>EIRE</t>
        </is>
      </c>
      <c r="D543" s="114" t="inlineStr">
        <is>
          <t>22424</t>
        </is>
      </c>
      <c r="E543" s="114" t="inlineStr">
        <is>
          <t>ENAMEL BREAD BIN CREAM</t>
        </is>
      </c>
      <c r="F543" s="114" t="n">
        <v>1</v>
      </c>
      <c r="G543" s="115" t="n">
        <v>12.75</v>
      </c>
      <c r="H543" s="115" t="n">
        <v>12.75</v>
      </c>
      <c r="I543" s="116" t="n">
        <v>40567</v>
      </c>
    </row>
    <row r="544">
      <c r="A544" s="117" t="inlineStr">
        <is>
          <t>541985</t>
        </is>
      </c>
      <c r="B544" s="117" t="n">
        <v>15052</v>
      </c>
      <c r="C544" s="117" t="inlineStr">
        <is>
          <t>United Kingdom</t>
        </is>
      </c>
      <c r="D544" s="117" t="inlineStr">
        <is>
          <t>22766</t>
        </is>
      </c>
      <c r="E544" s="117" t="inlineStr">
        <is>
          <t>PHOTO FRAME CORNICE</t>
        </is>
      </c>
      <c r="F544" s="117" t="n">
        <v>2</v>
      </c>
      <c r="G544" s="118" t="n">
        <v>2.95</v>
      </c>
      <c r="H544" s="118" t="n">
        <v>5.9</v>
      </c>
      <c r="I544" s="119" t="n">
        <v>40567</v>
      </c>
    </row>
    <row r="545">
      <c r="A545" s="114" t="inlineStr">
        <is>
          <t>541996</t>
        </is>
      </c>
      <c r="B545" s="114" t="n">
        <v>18075</v>
      </c>
      <c r="C545" s="114" t="inlineStr">
        <is>
          <t>United Kingdom</t>
        </is>
      </c>
      <c r="D545" s="114" t="inlineStr">
        <is>
          <t>84946</t>
        </is>
      </c>
      <c r="E545" s="114" t="inlineStr">
        <is>
          <t>ANTIQUE SILVER TEA GLASS ETCHED</t>
        </is>
      </c>
      <c r="F545" s="114" t="n">
        <v>12</v>
      </c>
      <c r="G545" s="115" t="n">
        <v>1.25</v>
      </c>
      <c r="H545" s="115" t="n">
        <v>15</v>
      </c>
      <c r="I545" s="116" t="n">
        <v>40568</v>
      </c>
    </row>
    <row r="546">
      <c r="A546" s="117" t="inlineStr">
        <is>
          <t>541998</t>
        </is>
      </c>
      <c r="B546" s="117" t="n">
        <v>12348</v>
      </c>
      <c r="C546" s="117" t="inlineStr">
        <is>
          <t>Finland</t>
        </is>
      </c>
      <c r="D546" s="117" t="inlineStr">
        <is>
          <t>21983</t>
        </is>
      </c>
      <c r="E546" s="117" t="inlineStr">
        <is>
          <t xml:space="preserve">PACK OF 12 BLUE PAISLEY TISSUES </t>
        </is>
      </c>
      <c r="F546" s="117" t="n">
        <v>144</v>
      </c>
      <c r="G546" s="118" t="n">
        <v>0.29</v>
      </c>
      <c r="H546" s="118" t="n">
        <v>41.76</v>
      </c>
      <c r="I546" s="119" t="n">
        <v>40568</v>
      </c>
    </row>
    <row r="547">
      <c r="A547" s="114" t="inlineStr">
        <is>
          <t>542001</t>
        </is>
      </c>
      <c r="B547" s="114" t="n">
        <v>14298</v>
      </c>
      <c r="C547" s="114" t="inlineStr">
        <is>
          <t>United Kingdom</t>
        </is>
      </c>
      <c r="D547" s="114" t="inlineStr">
        <is>
          <t>21110</t>
        </is>
      </c>
      <c r="E547" s="114" t="inlineStr">
        <is>
          <t>LARGE CAKE TOWEL PINK SPOTS</t>
        </is>
      </c>
      <c r="F547" s="114" t="n">
        <v>24</v>
      </c>
      <c r="G547" s="115" t="n">
        <v>1.95</v>
      </c>
      <c r="H547" s="115" t="n">
        <v>46.8</v>
      </c>
      <c r="I547" s="116" t="n">
        <v>40568</v>
      </c>
    </row>
    <row r="548">
      <c r="A548" s="117" t="inlineStr">
        <is>
          <t>542006</t>
        </is>
      </c>
      <c r="B548" s="117" t="n">
        <v>15218</v>
      </c>
      <c r="C548" s="117" t="inlineStr">
        <is>
          <t>United Kingdom</t>
        </is>
      </c>
      <c r="D548" s="117" t="inlineStr">
        <is>
          <t>72741</t>
        </is>
      </c>
      <c r="E548" s="117" t="inlineStr">
        <is>
          <t>GRAND CHOCOLATECANDLE</t>
        </is>
      </c>
      <c r="F548" s="117" t="n">
        <v>9</v>
      </c>
      <c r="G548" s="118" t="n">
        <v>1.45</v>
      </c>
      <c r="H548" s="118" t="n">
        <v>13.05</v>
      </c>
      <c r="I548" s="119" t="n">
        <v>40568</v>
      </c>
    </row>
    <row r="549">
      <c r="A549" s="114" t="inlineStr">
        <is>
          <t>542026</t>
        </is>
      </c>
      <c r="B549" s="114" t="n">
        <v>15110</v>
      </c>
      <c r="C549" s="114" t="inlineStr">
        <is>
          <t>United Kingdom</t>
        </is>
      </c>
      <c r="D549" s="114" t="inlineStr">
        <is>
          <t>22399</t>
        </is>
      </c>
      <c r="E549" s="114" t="inlineStr">
        <is>
          <t>MAGNETS PACK OF 4 CHILDHOOD MEMORY</t>
        </is>
      </c>
      <c r="F549" s="114" t="n">
        <v>12</v>
      </c>
      <c r="G549" s="115" t="n">
        <v>1.25</v>
      </c>
      <c r="H549" s="115" t="n">
        <v>15</v>
      </c>
      <c r="I549" s="116" t="n">
        <v>40568</v>
      </c>
    </row>
    <row r="550">
      <c r="A550" s="117" t="inlineStr">
        <is>
          <t>542090</t>
        </is>
      </c>
      <c r="B550" s="117" t="n">
        <v>15518</v>
      </c>
      <c r="C550" s="117" t="inlineStr">
        <is>
          <t>United Kingdom</t>
        </is>
      </c>
      <c r="D550" s="117" t="inlineStr">
        <is>
          <t>21711</t>
        </is>
      </c>
      <c r="E550" s="117" t="inlineStr">
        <is>
          <t>FOLDING UMBRELLA WHITE/RED POLKADOT</t>
        </is>
      </c>
      <c r="F550" s="117" t="n">
        <v>1</v>
      </c>
      <c r="G550" s="118" t="n">
        <v>4.95</v>
      </c>
      <c r="H550" s="118" t="n">
        <v>4.95</v>
      </c>
      <c r="I550" s="119" t="n">
        <v>40568</v>
      </c>
    </row>
    <row r="551">
      <c r="A551" s="114" t="inlineStr">
        <is>
          <t>542102</t>
        </is>
      </c>
      <c r="B551" s="114" t="n">
        <v>12744</v>
      </c>
      <c r="C551" s="114" t="inlineStr">
        <is>
          <t>Singapore</t>
        </is>
      </c>
      <c r="D551" s="114" t="inlineStr">
        <is>
          <t>21156</t>
        </is>
      </c>
      <c r="E551" s="114" t="inlineStr">
        <is>
          <t>RETROSPOT CHILDRENS APRON</t>
        </is>
      </c>
      <c r="F551" s="114" t="n">
        <v>16</v>
      </c>
      <c r="G551" s="115" t="n">
        <v>1.95</v>
      </c>
      <c r="H551" s="115" t="n">
        <v>31.2</v>
      </c>
      <c r="I551" s="116" t="n">
        <v>40568</v>
      </c>
    </row>
    <row r="552">
      <c r="A552" s="117" t="inlineStr">
        <is>
          <t>542103</t>
        </is>
      </c>
      <c r="B552" s="117" t="n">
        <v>13198</v>
      </c>
      <c r="C552" s="117" t="inlineStr">
        <is>
          <t>United Kingdom</t>
        </is>
      </c>
      <c r="D552" s="117" t="inlineStr">
        <is>
          <t>21249</t>
        </is>
      </c>
      <c r="E552" s="117" t="inlineStr">
        <is>
          <t xml:space="preserve">WOODLAND  HEIGHT CHART STICKERS </t>
        </is>
      </c>
      <c r="F552" s="117" t="n">
        <v>6</v>
      </c>
      <c r="G552" s="118" t="n">
        <v>2.95</v>
      </c>
      <c r="H552" s="118" t="n">
        <v>17.7</v>
      </c>
      <c r="I552" s="119" t="n">
        <v>40568</v>
      </c>
    </row>
    <row r="553">
      <c r="A553" s="114" t="inlineStr">
        <is>
          <t>542107</t>
        </is>
      </c>
      <c r="B553" s="114" t="n">
        <v>16222</v>
      </c>
      <c r="C553" s="114" t="inlineStr">
        <is>
          <t>United Kingdom</t>
        </is>
      </c>
      <c r="D553" s="114" t="inlineStr">
        <is>
          <t>22721</t>
        </is>
      </c>
      <c r="E553" s="114" t="inlineStr">
        <is>
          <t>SET OF 3 CAKE TINS SKETCHBOOK</t>
        </is>
      </c>
      <c r="F553" s="114" t="n">
        <v>1</v>
      </c>
      <c r="G553" s="115" t="n">
        <v>4.95</v>
      </c>
      <c r="H553" s="115" t="n">
        <v>4.95</v>
      </c>
      <c r="I553" s="116" t="n">
        <v>40568</v>
      </c>
    </row>
    <row r="554">
      <c r="A554" s="117" t="inlineStr">
        <is>
          <t>542113</t>
        </is>
      </c>
      <c r="B554" s="117" t="n">
        <v>14341</v>
      </c>
      <c r="C554" s="117" t="inlineStr">
        <is>
          <t>United Kingdom</t>
        </is>
      </c>
      <c r="D554" s="117" t="inlineStr">
        <is>
          <t>22891</t>
        </is>
      </c>
      <c r="E554" s="117" t="inlineStr">
        <is>
          <t>TEA FOR ONE POLKADOT</t>
        </is>
      </c>
      <c r="F554" s="117" t="n">
        <v>3</v>
      </c>
      <c r="G554" s="118" t="n">
        <v>4.25</v>
      </c>
      <c r="H554" s="118" t="n">
        <v>12.75</v>
      </c>
      <c r="I554" s="119" t="n">
        <v>40568</v>
      </c>
    </row>
    <row r="555">
      <c r="A555" s="114" t="inlineStr">
        <is>
          <t>542111</t>
        </is>
      </c>
      <c r="B555" s="114" t="n">
        <v>14341</v>
      </c>
      <c r="C555" s="114" t="inlineStr">
        <is>
          <t>United Kingdom</t>
        </is>
      </c>
      <c r="D555" s="114" t="inlineStr">
        <is>
          <t>22189</t>
        </is>
      </c>
      <c r="E555" s="114" t="inlineStr">
        <is>
          <t>CREAM HEART CARD HOLDER</t>
        </is>
      </c>
      <c r="F555" s="114" t="n">
        <v>4</v>
      </c>
      <c r="G555" s="115" t="n">
        <v>3.95</v>
      </c>
      <c r="H555" s="115" t="n">
        <v>15.8</v>
      </c>
      <c r="I555" s="116" t="n">
        <v>40568</v>
      </c>
    </row>
    <row r="556">
      <c r="A556" s="117" t="inlineStr">
        <is>
          <t>542121</t>
        </is>
      </c>
      <c r="B556" s="117" t="n">
        <v>17515</v>
      </c>
      <c r="C556" s="117" t="inlineStr">
        <is>
          <t>United Kingdom</t>
        </is>
      </c>
      <c r="D556" s="117" t="inlineStr">
        <is>
          <t>82484</t>
        </is>
      </c>
      <c r="E556" s="117" t="inlineStr">
        <is>
          <t>WOOD BLACK BOARD ANT WHITE FINISH</t>
        </is>
      </c>
      <c r="F556" s="117" t="n">
        <v>2</v>
      </c>
      <c r="G556" s="118" t="n">
        <v>6.45</v>
      </c>
      <c r="H556" s="118" t="n">
        <v>12.9</v>
      </c>
      <c r="I556" s="119" t="n">
        <v>40568</v>
      </c>
    </row>
    <row r="557">
      <c r="A557" s="114" t="inlineStr">
        <is>
          <t>542142</t>
        </is>
      </c>
      <c r="B557" s="114" t="n">
        <v>12971</v>
      </c>
      <c r="C557" s="114" t="inlineStr">
        <is>
          <t>United Kingdom</t>
        </is>
      </c>
      <c r="D557" s="114" t="inlineStr">
        <is>
          <t>15044D</t>
        </is>
      </c>
      <c r="E557" s="114" t="inlineStr">
        <is>
          <t>RED PAPER PARASOL</t>
        </is>
      </c>
      <c r="F557" s="114" t="n">
        <v>18</v>
      </c>
      <c r="G557" s="115" t="n">
        <v>2.95</v>
      </c>
      <c r="H557" s="115" t="n">
        <v>53.1</v>
      </c>
      <c r="I557" s="116" t="n">
        <v>40569</v>
      </c>
    </row>
    <row r="558">
      <c r="A558" s="117" t="inlineStr">
        <is>
          <t>542143</t>
        </is>
      </c>
      <c r="B558" s="117" t="n">
        <v>15061</v>
      </c>
      <c r="C558" s="117" t="inlineStr">
        <is>
          <t>United Kingdom</t>
        </is>
      </c>
      <c r="D558" s="117" t="inlineStr">
        <is>
          <t>48194</t>
        </is>
      </c>
      <c r="E558" s="117" t="inlineStr">
        <is>
          <t>DOORMAT HEARTS</t>
        </is>
      </c>
      <c r="F558" s="117" t="n">
        <v>10</v>
      </c>
      <c r="G558" s="118" t="n">
        <v>6.75</v>
      </c>
      <c r="H558" s="118" t="n">
        <v>67.5</v>
      </c>
      <c r="I558" s="119" t="n">
        <v>40569</v>
      </c>
    </row>
    <row r="559">
      <c r="A559" s="114" t="inlineStr">
        <is>
          <t>542149</t>
        </is>
      </c>
      <c r="B559" s="114" t="n">
        <v>17811</v>
      </c>
      <c r="C559" s="114" t="inlineStr">
        <is>
          <t>United Kingdom</t>
        </is>
      </c>
      <c r="D559" s="114" t="inlineStr">
        <is>
          <t>84992</t>
        </is>
      </c>
      <c r="E559" s="114" t="inlineStr">
        <is>
          <t>72 SWEETHEART FAIRY CAKE CASES</t>
        </is>
      </c>
      <c r="F559" s="114" t="n">
        <v>1</v>
      </c>
      <c r="G559" s="115" t="n">
        <v>0.55</v>
      </c>
      <c r="H559" s="115" t="n">
        <v>0.55</v>
      </c>
      <c r="I559" s="116" t="n">
        <v>40569</v>
      </c>
    </row>
    <row r="560">
      <c r="A560" s="117" t="inlineStr">
        <is>
          <t>542155</t>
        </is>
      </c>
      <c r="B560" s="117" t="n">
        <v>15777</v>
      </c>
      <c r="C560" s="117" t="inlineStr">
        <is>
          <t>United Kingdom</t>
        </is>
      </c>
      <c r="D560" s="117" t="inlineStr">
        <is>
          <t>21348</t>
        </is>
      </c>
      <c r="E560" s="117" t="inlineStr">
        <is>
          <t xml:space="preserve">PINK SPOTS CHOCOLATE NESTING BOXES </t>
        </is>
      </c>
      <c r="F560" s="117" t="n">
        <v>112</v>
      </c>
      <c r="G560" s="118" t="n">
        <v>2.55</v>
      </c>
      <c r="H560" s="118" t="n">
        <v>285.6</v>
      </c>
      <c r="I560" s="119" t="n">
        <v>40569</v>
      </c>
    </row>
    <row r="561">
      <c r="A561" s="114" t="inlineStr">
        <is>
          <t>542192</t>
        </is>
      </c>
      <c r="B561" s="114" t="n">
        <v>14049</v>
      </c>
      <c r="C561" s="114" t="inlineStr">
        <is>
          <t>United Kingdom</t>
        </is>
      </c>
      <c r="D561" s="114" t="inlineStr">
        <is>
          <t>22662</t>
        </is>
      </c>
      <c r="E561" s="114" t="inlineStr">
        <is>
          <t>LUNCH BAG DOLLY GIRL DESIGN</t>
        </is>
      </c>
      <c r="F561" s="114" t="n">
        <v>10</v>
      </c>
      <c r="G561" s="115" t="n">
        <v>1.65</v>
      </c>
      <c r="H561" s="115" t="n">
        <v>16.5</v>
      </c>
      <c r="I561" s="116" t="n">
        <v>40569</v>
      </c>
    </row>
    <row r="562">
      <c r="A562" s="117" t="inlineStr">
        <is>
          <t>542192</t>
        </is>
      </c>
      <c r="B562" s="117" t="n">
        <v>14049</v>
      </c>
      <c r="C562" s="117" t="inlineStr">
        <is>
          <t>United Kingdom</t>
        </is>
      </c>
      <c r="D562" s="117" t="inlineStr">
        <is>
          <t>22131</t>
        </is>
      </c>
      <c r="E562" s="117" t="inlineStr">
        <is>
          <t xml:space="preserve">FOOD CONTAINER SET 3 LOVE HEART </t>
        </is>
      </c>
      <c r="F562" s="117" t="n">
        <v>3</v>
      </c>
      <c r="G562" s="118" t="n">
        <v>1.95</v>
      </c>
      <c r="H562" s="118" t="n">
        <v>5.85</v>
      </c>
      <c r="I562" s="119" t="n">
        <v>40569</v>
      </c>
    </row>
    <row r="563">
      <c r="A563" s="114" t="inlineStr">
        <is>
          <t>542215</t>
        </is>
      </c>
      <c r="B563" s="114" t="n">
        <v>12472</v>
      </c>
      <c r="C563" s="114" t="inlineStr">
        <is>
          <t>Germany</t>
        </is>
      </c>
      <c r="D563" s="114" t="inlineStr">
        <is>
          <t>85049G</t>
        </is>
      </c>
      <c r="E563" s="114" t="inlineStr">
        <is>
          <t xml:space="preserve">CHOCOLATE BOX RIBBONS </t>
        </is>
      </c>
      <c r="F563" s="114" t="n">
        <v>12</v>
      </c>
      <c r="G563" s="115" t="n">
        <v>1.25</v>
      </c>
      <c r="H563" s="115" t="n">
        <v>15</v>
      </c>
      <c r="I563" s="116" t="n">
        <v>40569</v>
      </c>
    </row>
    <row r="564">
      <c r="A564" s="117" t="inlineStr">
        <is>
          <t>542215</t>
        </is>
      </c>
      <c r="B564" s="117" t="n">
        <v>12472</v>
      </c>
      <c r="C564" s="117" t="inlineStr">
        <is>
          <t>Germany</t>
        </is>
      </c>
      <c r="D564" s="117" t="inlineStr">
        <is>
          <t>21673</t>
        </is>
      </c>
      <c r="E564" s="117" t="inlineStr">
        <is>
          <t>WHITE SPOT BLUE CERAMIC DRAWER KNOB</t>
        </is>
      </c>
      <c r="F564" s="117" t="n">
        <v>12</v>
      </c>
      <c r="G564" s="118" t="n">
        <v>1.25</v>
      </c>
      <c r="H564" s="118" t="n">
        <v>15</v>
      </c>
      <c r="I564" s="119" t="n">
        <v>40569</v>
      </c>
    </row>
    <row r="565">
      <c r="A565" s="114" t="inlineStr">
        <is>
          <t>542239</t>
        </is>
      </c>
      <c r="B565" s="114" t="n">
        <v>17786</v>
      </c>
      <c r="C565" s="114" t="inlineStr">
        <is>
          <t>United Kingdom</t>
        </is>
      </c>
      <c r="D565" s="114" t="inlineStr">
        <is>
          <t>21181</t>
        </is>
      </c>
      <c r="E565" s="114" t="inlineStr">
        <is>
          <t>PLEASE ONE PERSON METAL SIGN</t>
        </is>
      </c>
      <c r="F565" s="114" t="n">
        <v>2</v>
      </c>
      <c r="G565" s="115" t="n">
        <v>2.1</v>
      </c>
      <c r="H565" s="115" t="n">
        <v>4.2</v>
      </c>
      <c r="I565" s="116" t="n">
        <v>40569</v>
      </c>
    </row>
    <row r="566">
      <c r="A566" s="117" t="inlineStr">
        <is>
          <t>542239</t>
        </is>
      </c>
      <c r="B566" s="117" t="n">
        <v>17786</v>
      </c>
      <c r="C566" s="117" t="inlineStr">
        <is>
          <t>United Kingdom</t>
        </is>
      </c>
      <c r="D566" s="117" t="inlineStr">
        <is>
          <t>22413</t>
        </is>
      </c>
      <c r="E566" s="117" t="inlineStr">
        <is>
          <t xml:space="preserve">METAL SIGN TAKE IT OR LEAVE IT </t>
        </is>
      </c>
      <c r="F566" s="117" t="n">
        <v>1</v>
      </c>
      <c r="G566" s="118" t="n">
        <v>2.95</v>
      </c>
      <c r="H566" s="118" t="n">
        <v>2.95</v>
      </c>
      <c r="I566" s="119" t="n">
        <v>40569</v>
      </c>
    </row>
    <row r="567">
      <c r="A567" s="114" t="inlineStr">
        <is>
          <t>542266</t>
        </is>
      </c>
      <c r="B567" s="114" t="n">
        <v>16918</v>
      </c>
      <c r="C567" s="114" t="inlineStr">
        <is>
          <t>United Kingdom</t>
        </is>
      </c>
      <c r="D567" s="114" t="inlineStr">
        <is>
          <t>22654</t>
        </is>
      </c>
      <c r="E567" s="114" t="inlineStr">
        <is>
          <t xml:space="preserve">DELUXE SEWING KIT </t>
        </is>
      </c>
      <c r="F567" s="114" t="n">
        <v>3</v>
      </c>
      <c r="G567" s="115" t="n">
        <v>5.95</v>
      </c>
      <c r="H567" s="115" t="n">
        <v>17.85</v>
      </c>
      <c r="I567" s="116" t="n">
        <v>40569</v>
      </c>
    </row>
    <row r="568">
      <c r="A568" s="117" t="inlineStr">
        <is>
          <t>542266</t>
        </is>
      </c>
      <c r="B568" s="117" t="n">
        <v>16918</v>
      </c>
      <c r="C568" s="117" t="inlineStr">
        <is>
          <t>United Kingdom</t>
        </is>
      </c>
      <c r="D568" s="117" t="inlineStr">
        <is>
          <t>22167</t>
        </is>
      </c>
      <c r="E568" s="117" t="inlineStr">
        <is>
          <t xml:space="preserve"> OVAL WALL MIRROR DIAMANTE </t>
        </is>
      </c>
      <c r="F568" s="117" t="n">
        <v>1</v>
      </c>
      <c r="G568" s="118" t="n">
        <v>9.949999999999999</v>
      </c>
      <c r="H568" s="118" t="n">
        <v>9.949999999999999</v>
      </c>
      <c r="I568" s="119" t="n">
        <v>40569</v>
      </c>
    </row>
    <row r="569">
      <c r="A569" s="114" t="inlineStr">
        <is>
          <t>542275</t>
        </is>
      </c>
      <c r="B569" s="114" t="n">
        <v>13089</v>
      </c>
      <c r="C569" s="114" t="inlineStr">
        <is>
          <t>United Kingdom</t>
        </is>
      </c>
      <c r="D569" s="114" t="inlineStr">
        <is>
          <t>22960</t>
        </is>
      </c>
      <c r="E569" s="114" t="inlineStr">
        <is>
          <t>JAM MAKING SET WITH JARS</t>
        </is>
      </c>
      <c r="F569" s="114" t="n">
        <v>6</v>
      </c>
      <c r="G569" s="115" t="n">
        <v>4.25</v>
      </c>
      <c r="H569" s="115" t="n">
        <v>25.5</v>
      </c>
      <c r="I569" s="116" t="n">
        <v>40570</v>
      </c>
    </row>
    <row r="570">
      <c r="A570" s="117" t="inlineStr">
        <is>
          <t>542276</t>
        </is>
      </c>
      <c r="B570" s="117" t="n">
        <v>12764</v>
      </c>
      <c r="C570" s="117" t="inlineStr">
        <is>
          <t>Lebanon</t>
        </is>
      </c>
      <c r="D570" s="117" t="inlineStr">
        <is>
          <t>22723</t>
        </is>
      </c>
      <c r="E570" s="117" t="inlineStr">
        <is>
          <t>SET OF 6 HERB TINS SKETCHBOOK</t>
        </is>
      </c>
      <c r="F570" s="117" t="n">
        <v>8</v>
      </c>
      <c r="G570" s="118" t="n">
        <v>3.95</v>
      </c>
      <c r="H570" s="118" t="n">
        <v>31.6</v>
      </c>
      <c r="I570" s="119" t="n">
        <v>40570</v>
      </c>
    </row>
    <row r="571">
      <c r="A571" s="114" t="inlineStr">
        <is>
          <t>542276</t>
        </is>
      </c>
      <c r="B571" s="114" t="n">
        <v>12764</v>
      </c>
      <c r="C571" s="114" t="inlineStr">
        <is>
          <t>Lebanon</t>
        </is>
      </c>
      <c r="D571" s="114" t="inlineStr">
        <is>
          <t>22854</t>
        </is>
      </c>
      <c r="E571" s="114" t="inlineStr">
        <is>
          <t>CREAM SWEETHEART EGG HOLDER</t>
        </is>
      </c>
      <c r="F571" s="114" t="n">
        <v>8</v>
      </c>
      <c r="G571" s="115" t="n">
        <v>4.95</v>
      </c>
      <c r="H571" s="115" t="n">
        <v>39.6</v>
      </c>
      <c r="I571" s="116" t="n">
        <v>40570</v>
      </c>
    </row>
    <row r="572">
      <c r="A572" s="117" t="inlineStr">
        <is>
          <t>542303</t>
        </is>
      </c>
      <c r="B572" s="117" t="n">
        <v>12539</v>
      </c>
      <c r="C572" s="117" t="inlineStr">
        <is>
          <t>Spain</t>
        </is>
      </c>
      <c r="D572" s="117" t="inlineStr">
        <is>
          <t>22423</t>
        </is>
      </c>
      <c r="E572" s="117" t="inlineStr">
        <is>
          <t>REGENCY CAKESTAND 3 TIER</t>
        </is>
      </c>
      <c r="F572" s="117" t="n">
        <v>14</v>
      </c>
      <c r="G572" s="118" t="n">
        <v>12.75</v>
      </c>
      <c r="H572" s="118" t="n">
        <v>178.5</v>
      </c>
      <c r="I572" s="119" t="n">
        <v>40570</v>
      </c>
    </row>
    <row r="573">
      <c r="A573" s="114" t="inlineStr">
        <is>
          <t>542303</t>
        </is>
      </c>
      <c r="B573" s="114" t="n">
        <v>12539</v>
      </c>
      <c r="C573" s="114" t="inlineStr">
        <is>
          <t>Spain</t>
        </is>
      </c>
      <c r="D573" s="114" t="inlineStr">
        <is>
          <t>22742</t>
        </is>
      </c>
      <c r="E573" s="114" t="inlineStr">
        <is>
          <t>MAKE YOUR OWN PLAYTIME CARD KIT</t>
        </is>
      </c>
      <c r="F573" s="114" t="n">
        <v>6</v>
      </c>
      <c r="G573" s="115" t="n">
        <v>2.95</v>
      </c>
      <c r="H573" s="115" t="n">
        <v>17.7</v>
      </c>
      <c r="I573" s="116" t="n">
        <v>40570</v>
      </c>
    </row>
    <row r="574">
      <c r="A574" s="117" t="inlineStr">
        <is>
          <t>542345</t>
        </is>
      </c>
      <c r="B574" s="117" t="n">
        <v>15910</v>
      </c>
      <c r="C574" s="117" t="inlineStr">
        <is>
          <t>United Kingdom</t>
        </is>
      </c>
      <c r="D574" s="117" t="inlineStr">
        <is>
          <t>22703</t>
        </is>
      </c>
      <c r="E574" s="117" t="inlineStr">
        <is>
          <t>PINK CAT BOWL</t>
        </is>
      </c>
      <c r="F574" s="117" t="n">
        <v>2</v>
      </c>
      <c r="G574" s="118" t="n">
        <v>2.1</v>
      </c>
      <c r="H574" s="118" t="n">
        <v>4.2</v>
      </c>
      <c r="I574" s="119" t="n">
        <v>40570</v>
      </c>
    </row>
    <row r="575">
      <c r="A575" s="114" t="inlineStr">
        <is>
          <t>542345</t>
        </is>
      </c>
      <c r="B575" s="114" t="n">
        <v>15910</v>
      </c>
      <c r="C575" s="114" t="inlineStr">
        <is>
          <t>United Kingdom</t>
        </is>
      </c>
      <c r="D575" s="114" t="inlineStr">
        <is>
          <t>22131</t>
        </is>
      </c>
      <c r="E575" s="114" t="inlineStr">
        <is>
          <t xml:space="preserve">FOOD CONTAINER SET 3 LOVE HEART </t>
        </is>
      </c>
      <c r="F575" s="114" t="n">
        <v>2</v>
      </c>
      <c r="G575" s="115" t="n">
        <v>1.95</v>
      </c>
      <c r="H575" s="115" t="n">
        <v>3.9</v>
      </c>
      <c r="I575" s="116" t="n">
        <v>40570</v>
      </c>
    </row>
    <row r="576">
      <c r="A576" s="117" t="inlineStr">
        <is>
          <t>542354</t>
        </is>
      </c>
      <c r="B576" s="117" t="n">
        <v>14709</v>
      </c>
      <c r="C576" s="117" t="inlineStr">
        <is>
          <t>United Kingdom</t>
        </is>
      </c>
      <c r="D576" s="117" t="inlineStr">
        <is>
          <t>21755</t>
        </is>
      </c>
      <c r="E576" s="117" t="inlineStr">
        <is>
          <t>LOVE BUILDING BLOCK WORD</t>
        </is>
      </c>
      <c r="F576" s="117" t="n">
        <v>3</v>
      </c>
      <c r="G576" s="118" t="n">
        <v>5.95</v>
      </c>
      <c r="H576" s="118" t="n">
        <v>17.85</v>
      </c>
      <c r="I576" s="119" t="n">
        <v>40570</v>
      </c>
    </row>
    <row r="577">
      <c r="A577" s="114" t="inlineStr">
        <is>
          <t>542353</t>
        </is>
      </c>
      <c r="B577" s="114" t="n">
        <v>16700</v>
      </c>
      <c r="C577" s="114" t="inlineStr">
        <is>
          <t>United Kingdom</t>
        </is>
      </c>
      <c r="D577" s="114" t="inlineStr">
        <is>
          <t>22328</t>
        </is>
      </c>
      <c r="E577" s="114" t="inlineStr">
        <is>
          <t xml:space="preserve">ROUND SNACK BOXES SET OF 4 FRUITS </t>
        </is>
      </c>
      <c r="F577" s="114" t="n">
        <v>6</v>
      </c>
      <c r="G577" s="115" t="n">
        <v>2.95</v>
      </c>
      <c r="H577" s="115" t="n">
        <v>17.7</v>
      </c>
      <c r="I577" s="116" t="n">
        <v>40570</v>
      </c>
    </row>
    <row r="578">
      <c r="A578" s="117" t="inlineStr">
        <is>
          <t>542360</t>
        </is>
      </c>
      <c r="B578" s="117" t="n">
        <v>14701</v>
      </c>
      <c r="C578" s="117" t="inlineStr">
        <is>
          <t>United Kingdom</t>
        </is>
      </c>
      <c r="D578" s="117" t="inlineStr">
        <is>
          <t>22328</t>
        </is>
      </c>
      <c r="E578" s="117" t="inlineStr">
        <is>
          <t xml:space="preserve">ROUND SNACK BOXES SET OF 4 FRUITS </t>
        </is>
      </c>
      <c r="F578" s="117" t="n">
        <v>2</v>
      </c>
      <c r="G578" s="118" t="n">
        <v>2.95</v>
      </c>
      <c r="H578" s="118" t="n">
        <v>5.9</v>
      </c>
      <c r="I578" s="119" t="n">
        <v>40570</v>
      </c>
    </row>
    <row r="579">
      <c r="A579" s="114" t="inlineStr">
        <is>
          <t>542360</t>
        </is>
      </c>
      <c r="B579" s="114" t="n">
        <v>14701</v>
      </c>
      <c r="C579" s="114" t="inlineStr">
        <is>
          <t>United Kingdom</t>
        </is>
      </c>
      <c r="D579" s="114" t="inlineStr">
        <is>
          <t>22766</t>
        </is>
      </c>
      <c r="E579" s="114" t="inlineStr">
        <is>
          <t>PHOTO FRAME CORNICE</t>
        </is>
      </c>
      <c r="F579" s="114" t="n">
        <v>4</v>
      </c>
      <c r="G579" s="115" t="n">
        <v>2.95</v>
      </c>
      <c r="H579" s="115" t="n">
        <v>11.8</v>
      </c>
      <c r="I579" s="116" t="n">
        <v>40570</v>
      </c>
    </row>
    <row r="580">
      <c r="A580" s="117" t="inlineStr">
        <is>
          <t>542360</t>
        </is>
      </c>
      <c r="B580" s="117" t="n">
        <v>14701</v>
      </c>
      <c r="C580" s="117" t="inlineStr">
        <is>
          <t>United Kingdom</t>
        </is>
      </c>
      <c r="D580" s="117" t="inlineStr">
        <is>
          <t>22113</t>
        </is>
      </c>
      <c r="E580" s="117" t="inlineStr">
        <is>
          <t>GREY HEART HOT WATER BOTTLE</t>
        </is>
      </c>
      <c r="F580" s="117" t="n">
        <v>2</v>
      </c>
      <c r="G580" s="118" t="n">
        <v>3.75</v>
      </c>
      <c r="H580" s="118" t="n">
        <v>7.5</v>
      </c>
      <c r="I580" s="119" t="n">
        <v>40570</v>
      </c>
    </row>
    <row r="581">
      <c r="A581" s="114" t="inlineStr">
        <is>
          <t>542373</t>
        </is>
      </c>
      <c r="B581" s="114" t="n">
        <v>16767</v>
      </c>
      <c r="C581" s="114" t="inlineStr">
        <is>
          <t>United Kingdom</t>
        </is>
      </c>
      <c r="D581" s="114" t="inlineStr">
        <is>
          <t>22091</t>
        </is>
      </c>
      <c r="E581" s="114" t="inlineStr">
        <is>
          <t>EMPIRE TISSUE BOX</t>
        </is>
      </c>
      <c r="F581" s="114" t="n">
        <v>72</v>
      </c>
      <c r="G581" s="115" t="n">
        <v>1.06</v>
      </c>
      <c r="H581" s="115" t="n">
        <v>76.31999999999999</v>
      </c>
      <c r="I581" s="116" t="n">
        <v>40570</v>
      </c>
    </row>
    <row r="582">
      <c r="A582" s="117" t="inlineStr">
        <is>
          <t>542373</t>
        </is>
      </c>
      <c r="B582" s="117" t="n">
        <v>16767</v>
      </c>
      <c r="C582" s="117" t="inlineStr">
        <is>
          <t>United Kingdom</t>
        </is>
      </c>
      <c r="D582" s="117" t="inlineStr">
        <is>
          <t>22960</t>
        </is>
      </c>
      <c r="E582" s="117" t="inlineStr">
        <is>
          <t>JAM MAKING SET WITH JARS</t>
        </is>
      </c>
      <c r="F582" s="117" t="n">
        <v>12</v>
      </c>
      <c r="G582" s="118" t="n">
        <v>3.75</v>
      </c>
      <c r="H582" s="118" t="n">
        <v>45</v>
      </c>
      <c r="I582" s="119" t="n">
        <v>40570</v>
      </c>
    </row>
    <row r="583">
      <c r="A583" s="114" t="inlineStr">
        <is>
          <t>542377</t>
        </is>
      </c>
      <c r="B583" s="114" t="n">
        <v>13506</v>
      </c>
      <c r="C583" s="114" t="inlineStr">
        <is>
          <t>United Kingdom</t>
        </is>
      </c>
      <c r="D583" s="114" t="inlineStr">
        <is>
          <t>22801</t>
        </is>
      </c>
      <c r="E583" s="114" t="inlineStr">
        <is>
          <t>ANTIQUE GLASS PEDESTAL BOWL</t>
        </is>
      </c>
      <c r="F583" s="114" t="n">
        <v>4</v>
      </c>
      <c r="G583" s="115" t="n">
        <v>3.75</v>
      </c>
      <c r="H583" s="115" t="n">
        <v>15</v>
      </c>
      <c r="I583" s="116" t="n">
        <v>40570</v>
      </c>
    </row>
    <row r="584">
      <c r="A584" s="117" t="inlineStr">
        <is>
          <t>542393</t>
        </is>
      </c>
      <c r="B584" s="117" t="n">
        <v>18125</v>
      </c>
      <c r="C584" s="117" t="inlineStr">
        <is>
          <t>United Kingdom</t>
        </is>
      </c>
      <c r="D584" s="117" t="inlineStr">
        <is>
          <t>72807C</t>
        </is>
      </c>
      <c r="E584" s="117" t="inlineStr">
        <is>
          <t>SET/3 VANILLA SCENTED CANDLE IN BOX</t>
        </is>
      </c>
      <c r="F584" s="117" t="n">
        <v>1</v>
      </c>
      <c r="G584" s="118" t="n">
        <v>4.25</v>
      </c>
      <c r="H584" s="118" t="n">
        <v>4.25</v>
      </c>
      <c r="I584" s="119" t="n">
        <v>40570</v>
      </c>
    </row>
    <row r="585">
      <c r="A585" s="114" t="inlineStr">
        <is>
          <t>542393</t>
        </is>
      </c>
      <c r="B585" s="114" t="n">
        <v>18125</v>
      </c>
      <c r="C585" s="114" t="inlineStr">
        <is>
          <t>United Kingdom</t>
        </is>
      </c>
      <c r="D585" s="114" t="inlineStr">
        <is>
          <t>85184C</t>
        </is>
      </c>
      <c r="E585" s="114" t="inlineStr">
        <is>
          <t>S/4 VALENTINE DECOUPAGE HEART BOX</t>
        </is>
      </c>
      <c r="F585" s="114" t="n">
        <v>2</v>
      </c>
      <c r="G585" s="115" t="n">
        <v>2.95</v>
      </c>
      <c r="H585" s="115" t="n">
        <v>5.9</v>
      </c>
      <c r="I585" s="116" t="n">
        <v>40570</v>
      </c>
    </row>
    <row r="586">
      <c r="A586" s="117" t="inlineStr">
        <is>
          <t>542393</t>
        </is>
      </c>
      <c r="B586" s="117" t="n">
        <v>18125</v>
      </c>
      <c r="C586" s="117" t="inlineStr">
        <is>
          <t>United Kingdom</t>
        </is>
      </c>
      <c r="D586" s="117" t="inlineStr">
        <is>
          <t>84558A</t>
        </is>
      </c>
      <c r="E586" s="117" t="inlineStr">
        <is>
          <t>3D DOG PICTURE PLAYING CARDS</t>
        </is>
      </c>
      <c r="F586" s="117" t="n">
        <v>2</v>
      </c>
      <c r="G586" s="118" t="n">
        <v>2.95</v>
      </c>
      <c r="H586" s="118" t="n">
        <v>5.9</v>
      </c>
      <c r="I586" s="119" t="n">
        <v>40570</v>
      </c>
    </row>
    <row r="587">
      <c r="A587" s="114" t="inlineStr">
        <is>
          <t>542399</t>
        </is>
      </c>
      <c r="B587" s="114" t="n">
        <v>15549</v>
      </c>
      <c r="C587" s="114" t="inlineStr">
        <is>
          <t>United Kingdom</t>
        </is>
      </c>
      <c r="D587" s="114" t="inlineStr">
        <is>
          <t>22835</t>
        </is>
      </c>
      <c r="E587" s="114" t="inlineStr">
        <is>
          <t>HOT WATER BOTTLE I AM SO POORLY</t>
        </is>
      </c>
      <c r="F587" s="114" t="n">
        <v>3</v>
      </c>
      <c r="G587" s="115" t="n">
        <v>4.65</v>
      </c>
      <c r="H587" s="115" t="n">
        <v>13.95</v>
      </c>
      <c r="I587" s="116" t="n">
        <v>40570</v>
      </c>
    </row>
    <row r="588">
      <c r="A588" s="117" t="inlineStr">
        <is>
          <t>542401</t>
        </is>
      </c>
      <c r="B588" s="117" t="n">
        <v>14541</v>
      </c>
      <c r="C588" s="117" t="inlineStr">
        <is>
          <t>United Kingdom</t>
        </is>
      </c>
      <c r="D588" s="117" t="inlineStr">
        <is>
          <t>22561</t>
        </is>
      </c>
      <c r="E588" s="117" t="inlineStr">
        <is>
          <t>WOODEN SCHOOL COLOURING SET</t>
        </is>
      </c>
      <c r="F588" s="117" t="n">
        <v>4</v>
      </c>
      <c r="G588" s="118" t="n">
        <v>1.65</v>
      </c>
      <c r="H588" s="118" t="n">
        <v>6.6</v>
      </c>
      <c r="I588" s="119" t="n">
        <v>40570</v>
      </c>
    </row>
    <row r="589">
      <c r="A589" s="114" t="inlineStr">
        <is>
          <t>542407</t>
        </is>
      </c>
      <c r="B589" s="114" t="n">
        <v>15601</v>
      </c>
      <c r="C589" s="114" t="inlineStr">
        <is>
          <t>United Kingdom</t>
        </is>
      </c>
      <c r="D589" s="114" t="inlineStr">
        <is>
          <t>22805</t>
        </is>
      </c>
      <c r="E589" s="114" t="inlineStr">
        <is>
          <t>BLUE DRAWER KNOB ACRYLIC EDWARDIAN</t>
        </is>
      </c>
      <c r="F589" s="114" t="n">
        <v>12</v>
      </c>
      <c r="G589" s="115" t="n">
        <v>1.25</v>
      </c>
      <c r="H589" s="115" t="n">
        <v>15</v>
      </c>
      <c r="I589" s="116" t="n">
        <v>40570</v>
      </c>
    </row>
    <row r="590">
      <c r="A590" s="117" t="inlineStr">
        <is>
          <t>542407</t>
        </is>
      </c>
      <c r="B590" s="117" t="n">
        <v>15601</v>
      </c>
      <c r="C590" s="117" t="inlineStr">
        <is>
          <t>United Kingdom</t>
        </is>
      </c>
      <c r="D590" s="117" t="inlineStr">
        <is>
          <t>48184</t>
        </is>
      </c>
      <c r="E590" s="117" t="inlineStr">
        <is>
          <t xml:space="preserve">DOORMAT ENGLISH ROSE </t>
        </is>
      </c>
      <c r="F590" s="117" t="n">
        <v>4</v>
      </c>
      <c r="G590" s="118" t="n">
        <v>7.95</v>
      </c>
      <c r="H590" s="118" t="n">
        <v>31.8</v>
      </c>
      <c r="I590" s="119" t="n">
        <v>40570</v>
      </c>
    </row>
    <row r="591">
      <c r="A591" s="114" t="inlineStr">
        <is>
          <t>542409</t>
        </is>
      </c>
      <c r="B591" s="114" t="n">
        <v>15311</v>
      </c>
      <c r="C591" s="114" t="inlineStr">
        <is>
          <t>United Kingdom</t>
        </is>
      </c>
      <c r="D591" s="114" t="inlineStr">
        <is>
          <t>22470</t>
        </is>
      </c>
      <c r="E591" s="114" t="inlineStr">
        <is>
          <t>HEART OF WICKER LARGE</t>
        </is>
      </c>
      <c r="F591" s="114" t="n">
        <v>5</v>
      </c>
      <c r="G591" s="115" t="n">
        <v>2.95</v>
      </c>
      <c r="H591" s="115" t="n">
        <v>14.75</v>
      </c>
      <c r="I591" s="116" t="n">
        <v>40570</v>
      </c>
    </row>
    <row r="592">
      <c r="A592" s="117" t="inlineStr">
        <is>
          <t>542412</t>
        </is>
      </c>
      <c r="B592" s="117" t="n">
        <v>16725</v>
      </c>
      <c r="C592" s="117" t="inlineStr">
        <is>
          <t>United Kingdom</t>
        </is>
      </c>
      <c r="D592" s="117" t="inlineStr">
        <is>
          <t>22660</t>
        </is>
      </c>
      <c r="E592" s="117" t="inlineStr">
        <is>
          <t>DOORMAT I LOVE LONDON</t>
        </is>
      </c>
      <c r="F592" s="117" t="n">
        <v>1</v>
      </c>
      <c r="G592" s="118" t="n">
        <v>7.95</v>
      </c>
      <c r="H592" s="118" t="n">
        <v>7.95</v>
      </c>
      <c r="I592" s="119" t="n">
        <v>40570</v>
      </c>
    </row>
    <row r="593">
      <c r="A593" s="114" t="inlineStr">
        <is>
          <t>542431</t>
        </is>
      </c>
      <c r="B593" s="114" t="n">
        <v>12853</v>
      </c>
      <c r="C593" s="114" t="inlineStr">
        <is>
          <t>United Kingdom</t>
        </is>
      </c>
      <c r="D593" s="114" t="inlineStr">
        <is>
          <t>22933</t>
        </is>
      </c>
      <c r="E593" s="114" t="inlineStr">
        <is>
          <t>BAKING MOULD EASTER EGG MILK CHOC</t>
        </is>
      </c>
      <c r="F593" s="114" t="n">
        <v>6</v>
      </c>
      <c r="G593" s="115" t="n">
        <v>2.95</v>
      </c>
      <c r="H593" s="115" t="n">
        <v>17.7</v>
      </c>
      <c r="I593" s="116" t="n">
        <v>40571</v>
      </c>
    </row>
    <row r="594">
      <c r="A594" s="117" t="inlineStr">
        <is>
          <t>542470</t>
        </is>
      </c>
      <c r="B594" s="117" t="n">
        <v>14133</v>
      </c>
      <c r="C594" s="117" t="inlineStr">
        <is>
          <t>United Kingdom</t>
        </is>
      </c>
      <c r="D594" s="117" t="inlineStr">
        <is>
          <t>22551</t>
        </is>
      </c>
      <c r="E594" s="117" t="inlineStr">
        <is>
          <t>PLASTERS IN TIN SPACEBOY</t>
        </is>
      </c>
      <c r="F594" s="117" t="n">
        <v>12</v>
      </c>
      <c r="G594" s="118" t="n">
        <v>1.65</v>
      </c>
      <c r="H594" s="118" t="n">
        <v>19.8</v>
      </c>
      <c r="I594" s="119" t="n">
        <v>40571</v>
      </c>
    </row>
    <row r="595">
      <c r="A595" s="114" t="inlineStr">
        <is>
          <t>542519</t>
        </is>
      </c>
      <c r="B595" s="114" t="n">
        <v>15159</v>
      </c>
      <c r="C595" s="114" t="inlineStr">
        <is>
          <t>United Kingdom</t>
        </is>
      </c>
      <c r="D595" s="114" t="inlineStr">
        <is>
          <t>22729</t>
        </is>
      </c>
      <c r="E595" s="114" t="inlineStr">
        <is>
          <t>ALARM CLOCK BAKELIKE ORANGE</t>
        </is>
      </c>
      <c r="F595" s="114" t="n">
        <v>8</v>
      </c>
      <c r="G595" s="115" t="n">
        <v>3.75</v>
      </c>
      <c r="H595" s="115" t="n">
        <v>30</v>
      </c>
      <c r="I595" s="116" t="n">
        <v>40571</v>
      </c>
    </row>
    <row r="596">
      <c r="A596" s="117" t="inlineStr">
        <is>
          <t>542519</t>
        </is>
      </c>
      <c r="B596" s="117" t="n">
        <v>15159</v>
      </c>
      <c r="C596" s="117" t="inlineStr">
        <is>
          <t>United Kingdom</t>
        </is>
      </c>
      <c r="D596" s="117" t="inlineStr">
        <is>
          <t>22661</t>
        </is>
      </c>
      <c r="E596" s="117" t="inlineStr">
        <is>
          <t>CHARLOTTE BAG DOLLY GIRL DESIGN</t>
        </is>
      </c>
      <c r="F596" s="117" t="n">
        <v>10</v>
      </c>
      <c r="G596" s="118" t="n">
        <v>0.85</v>
      </c>
      <c r="H596" s="118" t="n">
        <v>8.5</v>
      </c>
      <c r="I596" s="119" t="n">
        <v>40571</v>
      </c>
    </row>
    <row r="597">
      <c r="A597" s="114" t="inlineStr">
        <is>
          <t>542520</t>
        </is>
      </c>
      <c r="B597" s="114" t="n">
        <v>15547</v>
      </c>
      <c r="C597" s="114" t="inlineStr">
        <is>
          <t>United Kingdom</t>
        </is>
      </c>
      <c r="D597" s="114" t="inlineStr">
        <is>
          <t>22083</t>
        </is>
      </c>
      <c r="E597" s="114" t="inlineStr">
        <is>
          <t>PAPER CHAIN KIT RETROSPOT</t>
        </is>
      </c>
      <c r="F597" s="114" t="n">
        <v>2</v>
      </c>
      <c r="G597" s="115" t="n">
        <v>2.95</v>
      </c>
      <c r="H597" s="115" t="n">
        <v>5.9</v>
      </c>
      <c r="I597" s="116" t="n">
        <v>40571</v>
      </c>
    </row>
    <row r="598">
      <c r="A598" s="117" t="inlineStr">
        <is>
          <t>542526</t>
        </is>
      </c>
      <c r="B598" s="117" t="n">
        <v>14659</v>
      </c>
      <c r="C598" s="117" t="inlineStr">
        <is>
          <t>United Kingdom</t>
        </is>
      </c>
      <c r="D598" s="117" t="inlineStr">
        <is>
          <t>22784</t>
        </is>
      </c>
      <c r="E598" s="117" t="inlineStr">
        <is>
          <t xml:space="preserve">LANTERN CREAM GAZEBO </t>
        </is>
      </c>
      <c r="F598" s="117" t="n">
        <v>3</v>
      </c>
      <c r="G598" s="118" t="n">
        <v>4.95</v>
      </c>
      <c r="H598" s="118" t="n">
        <v>14.85</v>
      </c>
      <c r="I598" s="119" t="n">
        <v>40571</v>
      </c>
    </row>
    <row r="599">
      <c r="A599" s="114" t="inlineStr">
        <is>
          <t>542534</t>
        </is>
      </c>
      <c r="B599" s="114" t="n">
        <v>13707</v>
      </c>
      <c r="C599" s="114" t="inlineStr">
        <is>
          <t>United Kingdom</t>
        </is>
      </c>
      <c r="D599" s="114" t="inlineStr">
        <is>
          <t>72807A</t>
        </is>
      </c>
      <c r="E599" s="114" t="inlineStr">
        <is>
          <t>SET/3 ROSE CANDLE IN JEWELLED BOX</t>
        </is>
      </c>
      <c r="F599" s="114" t="n">
        <v>4</v>
      </c>
      <c r="G599" s="115" t="n">
        <v>4.25</v>
      </c>
      <c r="H599" s="115" t="n">
        <v>17</v>
      </c>
      <c r="I599" s="116" t="n">
        <v>40571</v>
      </c>
    </row>
    <row r="600">
      <c r="A600" s="117" t="inlineStr">
        <is>
          <t>542568</t>
        </is>
      </c>
      <c r="B600" s="117" t="n">
        <v>14215</v>
      </c>
      <c r="C600" s="117" t="inlineStr">
        <is>
          <t>United Kingdom</t>
        </is>
      </c>
      <c r="D600" s="117" t="inlineStr">
        <is>
          <t>22175</t>
        </is>
      </c>
      <c r="E600" s="117" t="inlineStr">
        <is>
          <t>PINK OWL SOFT TOY</t>
        </is>
      </c>
      <c r="F600" s="117" t="n">
        <v>12</v>
      </c>
      <c r="G600" s="118" t="n">
        <v>2.95</v>
      </c>
      <c r="H600" s="118" t="n">
        <v>35.4</v>
      </c>
      <c r="I600" s="119" t="n">
        <v>40571</v>
      </c>
    </row>
    <row r="601">
      <c r="A601" s="114" t="inlineStr">
        <is>
          <t>542585</t>
        </is>
      </c>
      <c r="B601" s="114" t="n">
        <v>17329</v>
      </c>
      <c r="C601" s="114" t="inlineStr">
        <is>
          <t>United Kingdom</t>
        </is>
      </c>
      <c r="D601" s="114" t="inlineStr">
        <is>
          <t>72802A</t>
        </is>
      </c>
      <c r="E601" s="114" t="inlineStr">
        <is>
          <t>ROSE SCENT CANDLE IN JEWELLED BOX</t>
        </is>
      </c>
      <c r="F601" s="114" t="n">
        <v>18</v>
      </c>
      <c r="G601" s="115" t="n">
        <v>3.81</v>
      </c>
      <c r="H601" s="115" t="n">
        <v>68.58</v>
      </c>
      <c r="I601" s="116" t="n">
        <v>40571</v>
      </c>
    </row>
    <row r="602">
      <c r="A602" s="117" t="inlineStr">
        <is>
          <t>542595</t>
        </is>
      </c>
      <c r="B602" s="117" t="n">
        <v>14040</v>
      </c>
      <c r="C602" s="117" t="inlineStr">
        <is>
          <t>United Kingdom</t>
        </is>
      </c>
      <c r="D602" s="117" t="inlineStr">
        <is>
          <t>22491</t>
        </is>
      </c>
      <c r="E602" s="117" t="inlineStr">
        <is>
          <t>PACK OF 12 COLOURED PENCILS</t>
        </is>
      </c>
      <c r="F602" s="117" t="n">
        <v>4</v>
      </c>
      <c r="G602" s="118" t="n">
        <v>0.85</v>
      </c>
      <c r="H602" s="118" t="n">
        <v>3.4</v>
      </c>
      <c r="I602" s="119" t="n">
        <v>40573</v>
      </c>
    </row>
    <row r="603">
      <c r="A603" s="114" t="inlineStr">
        <is>
          <t>542599</t>
        </is>
      </c>
      <c r="B603" s="114" t="n">
        <v>17062</v>
      </c>
      <c r="C603" s="114" t="inlineStr">
        <is>
          <t>United Kingdom</t>
        </is>
      </c>
      <c r="D603" s="114" t="inlineStr">
        <is>
          <t>22079</t>
        </is>
      </c>
      <c r="E603" s="114" t="inlineStr">
        <is>
          <t xml:space="preserve">RIBBON REEL HEARTS DESIGN </t>
        </is>
      </c>
      <c r="F603" s="114" t="n">
        <v>5</v>
      </c>
      <c r="G603" s="115" t="n">
        <v>1.65</v>
      </c>
      <c r="H603" s="115" t="n">
        <v>8.25</v>
      </c>
      <c r="I603" s="116" t="n">
        <v>40573</v>
      </c>
    </row>
    <row r="604">
      <c r="A604" s="117" t="inlineStr">
        <is>
          <t>542617</t>
        </is>
      </c>
      <c r="B604" s="117" t="n">
        <v>17463</v>
      </c>
      <c r="C604" s="117" t="inlineStr">
        <is>
          <t>United Kingdom</t>
        </is>
      </c>
      <c r="D604" s="117" t="inlineStr">
        <is>
          <t>22566</t>
        </is>
      </c>
      <c r="E604" s="117" t="inlineStr">
        <is>
          <t>FELTCRAFT HAIRBAND PINK AND PURPLE</t>
        </is>
      </c>
      <c r="F604" s="117" t="n">
        <v>1</v>
      </c>
      <c r="G604" s="118" t="n">
        <v>0.85</v>
      </c>
      <c r="H604" s="118" t="n">
        <v>0.85</v>
      </c>
      <c r="I604" s="119" t="n">
        <v>40573</v>
      </c>
    </row>
    <row r="605">
      <c r="A605" s="114" t="inlineStr">
        <is>
          <t>542617</t>
        </is>
      </c>
      <c r="B605" s="114" t="n">
        <v>17463</v>
      </c>
      <c r="C605" s="114" t="inlineStr">
        <is>
          <t>United Kingdom</t>
        </is>
      </c>
      <c r="D605" s="114" t="inlineStr">
        <is>
          <t>72807C</t>
        </is>
      </c>
      <c r="E605" s="114" t="inlineStr">
        <is>
          <t>SET/3 VANILLA SCENTED CANDLE IN BOX</t>
        </is>
      </c>
      <c r="F605" s="114" t="n">
        <v>1</v>
      </c>
      <c r="G605" s="115" t="n">
        <v>4.25</v>
      </c>
      <c r="H605" s="115" t="n">
        <v>4.25</v>
      </c>
      <c r="I605" s="116" t="n">
        <v>40573</v>
      </c>
    </row>
    <row r="606">
      <c r="A606" s="117" t="inlineStr">
        <is>
          <t>542617</t>
        </is>
      </c>
      <c r="B606" s="117" t="n">
        <v>17463</v>
      </c>
      <c r="C606" s="117" t="inlineStr">
        <is>
          <t>United Kingdom</t>
        </is>
      </c>
      <c r="D606" s="117" t="inlineStr">
        <is>
          <t>21294</t>
        </is>
      </c>
      <c r="E606" s="117" t="inlineStr">
        <is>
          <t>ETCHED GLASS COASTER</t>
        </is>
      </c>
      <c r="F606" s="117" t="n">
        <v>4</v>
      </c>
      <c r="G606" s="118" t="n">
        <v>1.25</v>
      </c>
      <c r="H606" s="118" t="n">
        <v>5</v>
      </c>
      <c r="I606" s="119" t="n">
        <v>40573</v>
      </c>
    </row>
    <row r="607">
      <c r="A607" s="114" t="inlineStr">
        <is>
          <t>542618</t>
        </is>
      </c>
      <c r="B607" s="114" t="n">
        <v>14502</v>
      </c>
      <c r="C607" s="114" t="inlineStr">
        <is>
          <t>United Kingdom</t>
        </is>
      </c>
      <c r="D607" s="114" t="inlineStr">
        <is>
          <t>22359</t>
        </is>
      </c>
      <c r="E607" s="114" t="inlineStr">
        <is>
          <t>GLASS JAR KINGS CHOICE</t>
        </is>
      </c>
      <c r="F607" s="114" t="n">
        <v>1</v>
      </c>
      <c r="G607" s="115" t="n">
        <v>2.95</v>
      </c>
      <c r="H607" s="115" t="n">
        <v>2.95</v>
      </c>
      <c r="I607" s="116" t="n">
        <v>40573</v>
      </c>
    </row>
    <row r="608">
      <c r="A608" s="117" t="inlineStr">
        <is>
          <t>542618</t>
        </is>
      </c>
      <c r="B608" s="117" t="n">
        <v>14502</v>
      </c>
      <c r="C608" s="117" t="inlineStr">
        <is>
          <t>United Kingdom</t>
        </is>
      </c>
      <c r="D608" s="117" t="inlineStr">
        <is>
          <t>22469</t>
        </is>
      </c>
      <c r="E608" s="117" t="inlineStr">
        <is>
          <t>HEART OF WICKER SMALL</t>
        </is>
      </c>
      <c r="F608" s="117" t="n">
        <v>3</v>
      </c>
      <c r="G608" s="118" t="n">
        <v>1.65</v>
      </c>
      <c r="H608" s="118" t="n">
        <v>4.95</v>
      </c>
      <c r="I608" s="119" t="n">
        <v>40573</v>
      </c>
    </row>
    <row r="609">
      <c r="A609" s="114" t="inlineStr">
        <is>
          <t>542627</t>
        </is>
      </c>
      <c r="B609" s="114" t="n">
        <v>14426</v>
      </c>
      <c r="C609" s="114" t="inlineStr">
        <is>
          <t>United Kingdom</t>
        </is>
      </c>
      <c r="D609" s="114" t="inlineStr">
        <is>
          <t>84992</t>
        </is>
      </c>
      <c r="E609" s="114" t="inlineStr">
        <is>
          <t>72 SWEETHEART FAIRY CAKE CASES</t>
        </is>
      </c>
      <c r="F609" s="114" t="n">
        <v>24</v>
      </c>
      <c r="G609" s="115" t="n">
        <v>0.55</v>
      </c>
      <c r="H609" s="115" t="n">
        <v>13.2</v>
      </c>
      <c r="I609" s="116" t="n">
        <v>40574</v>
      </c>
    </row>
    <row r="610">
      <c r="A610" s="117" t="inlineStr">
        <is>
          <t>542648</t>
        </is>
      </c>
      <c r="B610" s="117" t="n">
        <v>12476</v>
      </c>
      <c r="C610" s="117" t="inlineStr">
        <is>
          <t>Germany</t>
        </is>
      </c>
      <c r="D610" s="117" t="inlineStr">
        <is>
          <t>84279P</t>
        </is>
      </c>
      <c r="E610" s="117" t="inlineStr">
        <is>
          <t>CHERRY BLOSSOM  DECORATIVE FLASK</t>
        </is>
      </c>
      <c r="F610" s="117" t="n">
        <v>4</v>
      </c>
      <c r="G610" s="118" t="n">
        <v>3.75</v>
      </c>
      <c r="H610" s="118" t="n">
        <v>15</v>
      </c>
      <c r="I610" s="119" t="n">
        <v>40574</v>
      </c>
    </row>
    <row r="611">
      <c r="A611" s="114" t="inlineStr">
        <is>
          <t>542647</t>
        </is>
      </c>
      <c r="B611" s="114" t="n">
        <v>18245</v>
      </c>
      <c r="C611" s="114" t="inlineStr">
        <is>
          <t>United Kingdom</t>
        </is>
      </c>
      <c r="D611" s="114" t="inlineStr">
        <is>
          <t>22699</t>
        </is>
      </c>
      <c r="E611" s="114" t="inlineStr">
        <is>
          <t xml:space="preserve">ROSES REGENCY TEACUP AND SAUCER </t>
        </is>
      </c>
      <c r="F611" s="114" t="n">
        <v>6</v>
      </c>
      <c r="G611" s="115" t="n">
        <v>2.95</v>
      </c>
      <c r="H611" s="115" t="n">
        <v>17.7</v>
      </c>
      <c r="I611" s="116" t="n">
        <v>40574</v>
      </c>
    </row>
    <row r="612">
      <c r="A612" s="117" t="inlineStr">
        <is>
          <t>542673</t>
        </is>
      </c>
      <c r="B612" s="117" t="n">
        <v>14527</v>
      </c>
      <c r="C612" s="117" t="inlineStr">
        <is>
          <t>United Kingdom</t>
        </is>
      </c>
      <c r="D612" s="117" t="inlineStr">
        <is>
          <t>21246</t>
        </is>
      </c>
      <c r="E612" s="117" t="inlineStr">
        <is>
          <t>RED RETROSPOT BIG BOWL</t>
        </is>
      </c>
      <c r="F612" s="117" t="n">
        <v>2</v>
      </c>
      <c r="G612" s="118" t="n">
        <v>4.95</v>
      </c>
      <c r="H612" s="118" t="n">
        <v>9.9</v>
      </c>
      <c r="I612" s="119" t="n">
        <v>40574</v>
      </c>
    </row>
    <row r="613">
      <c r="A613" s="114" t="inlineStr">
        <is>
          <t>542691</t>
        </is>
      </c>
      <c r="B613" s="114" t="n">
        <v>13408</v>
      </c>
      <c r="C613" s="114" t="inlineStr">
        <is>
          <t>United Kingdom</t>
        </is>
      </c>
      <c r="D613" s="114" t="inlineStr">
        <is>
          <t>21914</t>
        </is>
      </c>
      <c r="E613" s="114" t="inlineStr">
        <is>
          <t xml:space="preserve">BLUE HARMONICA IN BOX </t>
        </is>
      </c>
      <c r="F613" s="114" t="n">
        <v>12</v>
      </c>
      <c r="G613" s="115" t="n">
        <v>1.25</v>
      </c>
      <c r="H613" s="115" t="n">
        <v>15</v>
      </c>
      <c r="I613" s="116" t="n">
        <v>40574</v>
      </c>
    </row>
    <row r="614">
      <c r="A614" s="117" t="inlineStr">
        <is>
          <t>542713</t>
        </is>
      </c>
      <c r="B614" s="117" t="n">
        <v>12668</v>
      </c>
      <c r="C614" s="117" t="inlineStr">
        <is>
          <t>Germany</t>
        </is>
      </c>
      <c r="D614" s="117" t="inlineStr">
        <is>
          <t>22449</t>
        </is>
      </c>
      <c r="E614" s="117" t="inlineStr">
        <is>
          <t>SILK PURSE BABUSHKA PINK</t>
        </is>
      </c>
      <c r="F614" s="117" t="n">
        <v>6</v>
      </c>
      <c r="G614" s="118" t="n">
        <v>3.35</v>
      </c>
      <c r="H614" s="118" t="n">
        <v>20.1</v>
      </c>
      <c r="I614" s="119" t="n">
        <v>40574</v>
      </c>
    </row>
    <row r="615">
      <c r="A615" s="114" t="inlineStr">
        <is>
          <t>542717</t>
        </is>
      </c>
      <c r="B615" s="114" t="n">
        <v>17580</v>
      </c>
      <c r="C615" s="114" t="inlineStr">
        <is>
          <t>United Kingdom</t>
        </is>
      </c>
      <c r="D615" s="114" t="inlineStr">
        <is>
          <t>22907</t>
        </is>
      </c>
      <c r="E615" s="114" t="inlineStr">
        <is>
          <t>PACK OF 20 NAPKINS PANTRY DESIGN</t>
        </is>
      </c>
      <c r="F615" s="114" t="n">
        <v>1</v>
      </c>
      <c r="G615" s="115" t="n">
        <v>0.85</v>
      </c>
      <c r="H615" s="115" t="n">
        <v>0.85</v>
      </c>
      <c r="I615" s="116" t="n">
        <v>40574</v>
      </c>
    </row>
    <row r="616">
      <c r="A616" s="117" t="inlineStr">
        <is>
          <t>542719</t>
        </is>
      </c>
      <c r="B616" s="117" t="n">
        <v>17619</v>
      </c>
      <c r="C616" s="117" t="inlineStr">
        <is>
          <t>United Kingdom</t>
        </is>
      </c>
      <c r="D616" s="117" t="inlineStr">
        <is>
          <t>22068</t>
        </is>
      </c>
      <c r="E616" s="117" t="inlineStr">
        <is>
          <t>BLACK PIRATE TREASURE CHEST</t>
        </is>
      </c>
      <c r="F616" s="117" t="n">
        <v>2</v>
      </c>
      <c r="G616" s="118" t="n">
        <v>1.65</v>
      </c>
      <c r="H616" s="118" t="n">
        <v>3.3</v>
      </c>
      <c r="I616" s="119" t="n">
        <v>40574</v>
      </c>
    </row>
    <row r="617">
      <c r="A617" s="114" t="inlineStr">
        <is>
          <t>542720</t>
        </is>
      </c>
      <c r="B617" s="114" t="n">
        <v>12778</v>
      </c>
      <c r="C617" s="114" t="inlineStr">
        <is>
          <t>Netherlands</t>
        </is>
      </c>
      <c r="D617" s="114" t="inlineStr">
        <is>
          <t>21231</t>
        </is>
      </c>
      <c r="E617" s="114" t="inlineStr">
        <is>
          <t>SWEETHEART CERAMIC TRINKET BOX</t>
        </is>
      </c>
      <c r="F617" s="114" t="n">
        <v>12</v>
      </c>
      <c r="G617" s="115" t="n">
        <v>1.25</v>
      </c>
      <c r="H617" s="115" t="n">
        <v>15</v>
      </c>
      <c r="I617" s="116" t="n">
        <v>40574</v>
      </c>
    </row>
    <row r="618">
      <c r="A618" s="117" t="inlineStr">
        <is>
          <t>542727</t>
        </is>
      </c>
      <c r="B618" s="117" t="n">
        <v>17604</v>
      </c>
      <c r="C618" s="117" t="inlineStr">
        <is>
          <t>United Kingdom</t>
        </is>
      </c>
      <c r="D618" s="117" t="inlineStr">
        <is>
          <t>21165</t>
        </is>
      </c>
      <c r="E618" s="117" t="inlineStr">
        <is>
          <t xml:space="preserve">BEWARE OF THE CAT METAL SIGN </t>
        </is>
      </c>
      <c r="F618" s="117" t="n">
        <v>2</v>
      </c>
      <c r="G618" s="118" t="n">
        <v>1.69</v>
      </c>
      <c r="H618" s="118" t="n">
        <v>3.38</v>
      </c>
      <c r="I618" s="119" t="n">
        <v>40574</v>
      </c>
    </row>
    <row r="619">
      <c r="A619" s="114" t="inlineStr">
        <is>
          <t>542735</t>
        </is>
      </c>
      <c r="B619" s="114" t="n">
        <v>12681</v>
      </c>
      <c r="C619" s="114" t="inlineStr">
        <is>
          <t>France</t>
        </is>
      </c>
      <c r="D619" s="114" t="inlineStr">
        <is>
          <t>22300</t>
        </is>
      </c>
      <c r="E619" s="114" t="inlineStr">
        <is>
          <t>COFFEE MUG DOG + BALL DESIGN</t>
        </is>
      </c>
      <c r="F619" s="114" t="n">
        <v>6</v>
      </c>
      <c r="G619" s="115" t="n">
        <v>2.55</v>
      </c>
      <c r="H619" s="115" t="n">
        <v>15.3</v>
      </c>
      <c r="I619" s="116" t="n">
        <v>40574</v>
      </c>
    </row>
    <row r="620">
      <c r="A620" s="117" t="inlineStr">
        <is>
          <t>542737</t>
        </is>
      </c>
      <c r="B620" s="117" t="n">
        <v>15058</v>
      </c>
      <c r="C620" s="117" t="inlineStr">
        <is>
          <t>United Kingdom</t>
        </is>
      </c>
      <c r="D620" s="117" t="inlineStr">
        <is>
          <t>21758</t>
        </is>
      </c>
      <c r="E620" s="117" t="inlineStr">
        <is>
          <t>VINTAGE SHELLS PRINT</t>
        </is>
      </c>
      <c r="F620" s="117" t="n">
        <v>2</v>
      </c>
      <c r="G620" s="118" t="n">
        <v>6.45</v>
      </c>
      <c r="H620" s="118" t="n">
        <v>12.9</v>
      </c>
      <c r="I620" s="119" t="n">
        <v>40574</v>
      </c>
    </row>
    <row r="621">
      <c r="A621" s="114" t="inlineStr">
        <is>
          <t>542776</t>
        </is>
      </c>
      <c r="B621" s="114" t="n">
        <v>15240</v>
      </c>
      <c r="C621" s="114" t="inlineStr">
        <is>
          <t>United Kingdom</t>
        </is>
      </c>
      <c r="D621" s="114" t="inlineStr">
        <is>
          <t>79321</t>
        </is>
      </c>
      <c r="E621" s="114" t="inlineStr">
        <is>
          <t>CHILLI LIGHTS</t>
        </is>
      </c>
      <c r="F621" s="114" t="n">
        <v>4</v>
      </c>
      <c r="G621" s="115" t="n">
        <v>4.95</v>
      </c>
      <c r="H621" s="115" t="n">
        <v>19.8</v>
      </c>
      <c r="I621" s="116" t="n">
        <v>40575</v>
      </c>
    </row>
    <row r="622">
      <c r="A622" s="117" t="inlineStr">
        <is>
          <t>542777</t>
        </is>
      </c>
      <c r="B622" s="117" t="n">
        <v>14911</v>
      </c>
      <c r="C622" s="117" t="inlineStr">
        <is>
          <t>EIRE</t>
        </is>
      </c>
      <c r="D622" s="117" t="inlineStr">
        <is>
          <t>20658</t>
        </is>
      </c>
      <c r="E622" s="117" t="inlineStr">
        <is>
          <t>RED RETROSPOT LUGGAGE TAG</t>
        </is>
      </c>
      <c r="F622" s="117" t="n">
        <v>12</v>
      </c>
      <c r="G622" s="118" t="n">
        <v>1.25</v>
      </c>
      <c r="H622" s="118" t="n">
        <v>15</v>
      </c>
      <c r="I622" s="119" t="n">
        <v>40575</v>
      </c>
    </row>
    <row r="623">
      <c r="A623" s="114" t="inlineStr">
        <is>
          <t>542778</t>
        </is>
      </c>
      <c r="B623" s="114" t="n">
        <v>14496</v>
      </c>
      <c r="C623" s="114" t="inlineStr">
        <is>
          <t>United Kingdom</t>
        </is>
      </c>
      <c r="D623" s="114" t="inlineStr">
        <is>
          <t>22771</t>
        </is>
      </c>
      <c r="E623" s="114" t="inlineStr">
        <is>
          <t>CLEAR DRAWER KNOB ACRYLIC EDWARDIAN</t>
        </is>
      </c>
      <c r="F623" s="114" t="n">
        <v>12</v>
      </c>
      <c r="G623" s="115" t="n">
        <v>1.25</v>
      </c>
      <c r="H623" s="115" t="n">
        <v>15</v>
      </c>
      <c r="I623" s="116" t="n">
        <v>40575</v>
      </c>
    </row>
    <row r="624">
      <c r="A624" s="117" t="inlineStr">
        <is>
          <t>542785</t>
        </is>
      </c>
      <c r="B624" s="117" t="n">
        <v>13881</v>
      </c>
      <c r="C624" s="117" t="inlineStr">
        <is>
          <t>United Kingdom</t>
        </is>
      </c>
      <c r="D624" s="117" t="inlineStr">
        <is>
          <t>22150</t>
        </is>
      </c>
      <c r="E624" s="117" t="inlineStr">
        <is>
          <t>3 STRIPEY MICE FELTCRAFT</t>
        </is>
      </c>
      <c r="F624" s="117" t="n">
        <v>40</v>
      </c>
      <c r="G624" s="118" t="n">
        <v>1.65</v>
      </c>
      <c r="H624" s="118" t="n">
        <v>66</v>
      </c>
      <c r="I624" s="119" t="n">
        <v>40575</v>
      </c>
    </row>
    <row r="625">
      <c r="A625" s="114" t="inlineStr">
        <is>
          <t>542788</t>
        </is>
      </c>
      <c r="B625" s="114" t="n">
        <v>16570</v>
      </c>
      <c r="C625" s="114" t="inlineStr">
        <is>
          <t>United Kingdom</t>
        </is>
      </c>
      <c r="D625" s="114" t="inlineStr">
        <is>
          <t>22148</t>
        </is>
      </c>
      <c r="E625" s="114" t="inlineStr">
        <is>
          <t xml:space="preserve">EASTER CRAFT 4 CHICKS </t>
        </is>
      </c>
      <c r="F625" s="114" t="n">
        <v>24</v>
      </c>
      <c r="G625" s="115" t="n">
        <v>1.95</v>
      </c>
      <c r="H625" s="115" t="n">
        <v>46.8</v>
      </c>
      <c r="I625" s="116" t="n">
        <v>40575</v>
      </c>
    </row>
    <row r="626">
      <c r="A626" s="117" t="inlineStr">
        <is>
          <t>542789</t>
        </is>
      </c>
      <c r="B626" s="117" t="n">
        <v>17511</v>
      </c>
      <c r="C626" s="117" t="inlineStr">
        <is>
          <t>United Kingdom</t>
        </is>
      </c>
      <c r="D626" s="117" t="inlineStr">
        <is>
          <t>21499</t>
        </is>
      </c>
      <c r="E626" s="117" t="inlineStr">
        <is>
          <t>BLUE POLKADOT WRAP</t>
        </is>
      </c>
      <c r="F626" s="117" t="n">
        <v>25</v>
      </c>
      <c r="G626" s="118" t="n">
        <v>0.42</v>
      </c>
      <c r="H626" s="118" t="n">
        <v>10.5</v>
      </c>
      <c r="I626" s="119" t="n">
        <v>40575</v>
      </c>
    </row>
    <row r="627">
      <c r="A627" s="114" t="inlineStr">
        <is>
          <t>542791</t>
        </is>
      </c>
      <c r="B627" s="114" t="n">
        <v>15039</v>
      </c>
      <c r="C627" s="114" t="inlineStr">
        <is>
          <t>United Kingdom</t>
        </is>
      </c>
      <c r="D627" s="114" t="inlineStr">
        <is>
          <t>22435</t>
        </is>
      </c>
      <c r="E627" s="114" t="inlineStr">
        <is>
          <t>SET OF 9 HEART SHAPED BALLOONS</t>
        </is>
      </c>
      <c r="F627" s="114" t="n">
        <v>10</v>
      </c>
      <c r="G627" s="115" t="n">
        <v>1.25</v>
      </c>
      <c r="H627" s="115" t="n">
        <v>12.5</v>
      </c>
      <c r="I627" s="116" t="n">
        <v>40575</v>
      </c>
    </row>
    <row r="628">
      <c r="A628" s="117" t="inlineStr">
        <is>
          <t>542797</t>
        </is>
      </c>
      <c r="B628" s="117" t="n">
        <v>17884</v>
      </c>
      <c r="C628" s="117" t="inlineStr">
        <is>
          <t>United Kingdom</t>
        </is>
      </c>
      <c r="D628" s="117" t="inlineStr">
        <is>
          <t>21224</t>
        </is>
      </c>
      <c r="E628" s="117" t="inlineStr">
        <is>
          <t>SET/4 SKULL BADGES</t>
        </is>
      </c>
      <c r="F628" s="117" t="n">
        <v>20</v>
      </c>
      <c r="G628" s="118" t="n">
        <v>1.25</v>
      </c>
      <c r="H628" s="118" t="n">
        <v>25</v>
      </c>
      <c r="I628" s="119" t="n">
        <v>40575</v>
      </c>
    </row>
    <row r="629">
      <c r="A629" s="114" t="inlineStr">
        <is>
          <t>542806</t>
        </is>
      </c>
      <c r="B629" s="114" t="n">
        <v>12836</v>
      </c>
      <c r="C629" s="114" t="inlineStr">
        <is>
          <t>United Kingdom</t>
        </is>
      </c>
      <c r="D629" s="114" t="inlineStr">
        <is>
          <t>22914</t>
        </is>
      </c>
      <c r="E629" s="114" t="inlineStr">
        <is>
          <t>BLUE COAT RACK PARIS FASHION</t>
        </is>
      </c>
      <c r="F629" s="114" t="n">
        <v>6</v>
      </c>
      <c r="G629" s="115" t="n">
        <v>4.95</v>
      </c>
      <c r="H629" s="115" t="n">
        <v>29.7</v>
      </c>
      <c r="I629" s="116" t="n">
        <v>40575</v>
      </c>
    </row>
    <row r="630">
      <c r="A630" s="117" t="inlineStr">
        <is>
          <t>542858</t>
        </is>
      </c>
      <c r="B630" s="117" t="n">
        <v>17228</v>
      </c>
      <c r="C630" s="117" t="inlineStr">
        <is>
          <t>United Kingdom</t>
        </is>
      </c>
      <c r="D630" s="117" t="inlineStr">
        <is>
          <t>22469</t>
        </is>
      </c>
      <c r="E630" s="117" t="inlineStr">
        <is>
          <t>HEART OF WICKER SMALL</t>
        </is>
      </c>
      <c r="F630" s="117" t="n">
        <v>2</v>
      </c>
      <c r="G630" s="118" t="n">
        <v>1.65</v>
      </c>
      <c r="H630" s="118" t="n">
        <v>3.3</v>
      </c>
      <c r="I630" s="119" t="n">
        <v>40575</v>
      </c>
    </row>
    <row r="631">
      <c r="A631" s="114" t="inlineStr">
        <is>
          <t>542870</t>
        </is>
      </c>
      <c r="B631" s="114" t="n">
        <v>15203</v>
      </c>
      <c r="C631" s="114" t="inlineStr">
        <is>
          <t>United Kingdom</t>
        </is>
      </c>
      <c r="D631" s="114" t="inlineStr">
        <is>
          <t>22817</t>
        </is>
      </c>
      <c r="E631" s="114" t="inlineStr">
        <is>
          <t>CARD SUKI BIRTHDAY</t>
        </is>
      </c>
      <c r="F631" s="114" t="n">
        <v>12</v>
      </c>
      <c r="G631" s="115" t="n">
        <v>0.42</v>
      </c>
      <c r="H631" s="115" t="n">
        <v>5.04</v>
      </c>
      <c r="I631" s="116" t="n">
        <v>40575</v>
      </c>
    </row>
    <row r="632">
      <c r="A632" s="117" t="inlineStr">
        <is>
          <t>542872</t>
        </is>
      </c>
      <c r="B632" s="117" t="n">
        <v>15939</v>
      </c>
      <c r="C632" s="117" t="inlineStr">
        <is>
          <t>United Kingdom</t>
        </is>
      </c>
      <c r="D632" s="117" t="inlineStr">
        <is>
          <t>84970L</t>
        </is>
      </c>
      <c r="E632" s="117" t="inlineStr">
        <is>
          <t>SINGLE HEART ZINC T-LIGHT HOLDER</t>
        </is>
      </c>
      <c r="F632" s="117" t="n">
        <v>12</v>
      </c>
      <c r="G632" s="118" t="n">
        <v>0.95</v>
      </c>
      <c r="H632" s="118" t="n">
        <v>11.4</v>
      </c>
      <c r="I632" s="119" t="n">
        <v>40575</v>
      </c>
    </row>
    <row r="633">
      <c r="A633" s="114" t="inlineStr">
        <is>
          <t>542881</t>
        </is>
      </c>
      <c r="B633" s="114" t="n">
        <v>14587</v>
      </c>
      <c r="C633" s="114" t="inlineStr">
        <is>
          <t>United Kingdom</t>
        </is>
      </c>
      <c r="D633" s="114" t="inlineStr">
        <is>
          <t>22297</t>
        </is>
      </c>
      <c r="E633" s="114" t="inlineStr">
        <is>
          <t>HEART IVORY TRELLIS SMALL</t>
        </is>
      </c>
      <c r="F633" s="114" t="n">
        <v>4</v>
      </c>
      <c r="G633" s="115" t="n">
        <v>1.25</v>
      </c>
      <c r="H633" s="115" t="n">
        <v>5</v>
      </c>
      <c r="I633" s="116" t="n">
        <v>40575</v>
      </c>
    </row>
    <row r="634">
      <c r="A634" s="117" t="inlineStr">
        <is>
          <t>542886</t>
        </is>
      </c>
      <c r="B634" s="117" t="n">
        <v>16515</v>
      </c>
      <c r="C634" s="117" t="inlineStr">
        <is>
          <t>United Kingdom</t>
        </is>
      </c>
      <c r="D634" s="117" t="inlineStr">
        <is>
          <t>84879</t>
        </is>
      </c>
      <c r="E634" s="117" t="inlineStr">
        <is>
          <t>ASSORTED COLOUR BIRD ORNAMENT</t>
        </is>
      </c>
      <c r="F634" s="117" t="n">
        <v>24</v>
      </c>
      <c r="G634" s="118" t="n">
        <v>1.69</v>
      </c>
      <c r="H634" s="118" t="n">
        <v>40.56</v>
      </c>
      <c r="I634" s="119" t="n">
        <v>40575</v>
      </c>
    </row>
    <row r="635">
      <c r="A635" s="114" t="inlineStr">
        <is>
          <t>542893</t>
        </is>
      </c>
      <c r="B635" s="114" t="n">
        <v>18202</v>
      </c>
      <c r="C635" s="114" t="inlineStr">
        <is>
          <t>United Kingdom</t>
        </is>
      </c>
      <c r="D635" s="114" t="inlineStr">
        <is>
          <t>22457</t>
        </is>
      </c>
      <c r="E635" s="114" t="inlineStr">
        <is>
          <t xml:space="preserve">NATURAL SLATE HEART CHALKBOARD </t>
        </is>
      </c>
      <c r="F635" s="114" t="n">
        <v>6</v>
      </c>
      <c r="G635" s="115" t="n">
        <v>2.95</v>
      </c>
      <c r="H635" s="115" t="n">
        <v>17.7</v>
      </c>
      <c r="I635" s="116" t="n">
        <v>40575</v>
      </c>
    </row>
    <row r="636">
      <c r="A636" s="117" t="inlineStr">
        <is>
          <t>542898</t>
        </is>
      </c>
      <c r="B636" s="117" t="n">
        <v>16110</v>
      </c>
      <c r="C636" s="117" t="inlineStr">
        <is>
          <t>United Kingdom</t>
        </is>
      </c>
      <c r="D636" s="117" t="inlineStr">
        <is>
          <t>21755</t>
        </is>
      </c>
      <c r="E636" s="117" t="inlineStr">
        <is>
          <t>LOVE BUILDING BLOCK WORD</t>
        </is>
      </c>
      <c r="F636" s="117" t="n">
        <v>1</v>
      </c>
      <c r="G636" s="118" t="n">
        <v>5.95</v>
      </c>
      <c r="H636" s="118" t="n">
        <v>5.95</v>
      </c>
      <c r="I636" s="119" t="n">
        <v>40575</v>
      </c>
    </row>
    <row r="637">
      <c r="A637" s="114" t="inlineStr">
        <is>
          <t>542898</t>
        </is>
      </c>
      <c r="B637" s="114" t="n">
        <v>16110</v>
      </c>
      <c r="C637" s="114" t="inlineStr">
        <is>
          <t>United Kingdom</t>
        </is>
      </c>
      <c r="D637" s="114" t="inlineStr">
        <is>
          <t>22931</t>
        </is>
      </c>
      <c r="E637" s="114" t="inlineStr">
        <is>
          <t>BAKING MOULD HEART WHITE CHOCOLATE</t>
        </is>
      </c>
      <c r="F637" s="114" t="n">
        <v>2</v>
      </c>
      <c r="G637" s="115" t="n">
        <v>2.55</v>
      </c>
      <c r="H637" s="115" t="n">
        <v>5.1</v>
      </c>
      <c r="I637" s="116" t="n">
        <v>40575</v>
      </c>
    </row>
    <row r="638">
      <c r="A638" s="117" t="inlineStr">
        <is>
          <t>542898</t>
        </is>
      </c>
      <c r="B638" s="117" t="n">
        <v>16110</v>
      </c>
      <c r="C638" s="117" t="inlineStr">
        <is>
          <t>United Kingdom</t>
        </is>
      </c>
      <c r="D638" s="117" t="inlineStr">
        <is>
          <t>22917</t>
        </is>
      </c>
      <c r="E638" s="117" t="inlineStr">
        <is>
          <t>HERB MARKER ROSEMARY</t>
        </is>
      </c>
      <c r="F638" s="117" t="n">
        <v>2</v>
      </c>
      <c r="G638" s="118" t="n">
        <v>0.65</v>
      </c>
      <c r="H638" s="118" t="n">
        <v>1.3</v>
      </c>
      <c r="I638" s="119" t="n">
        <v>40575</v>
      </c>
    </row>
    <row r="639">
      <c r="A639" s="114" t="inlineStr">
        <is>
          <t>542914</t>
        </is>
      </c>
      <c r="B639" s="114" t="n">
        <v>16161</v>
      </c>
      <c r="C639" s="114" t="inlineStr">
        <is>
          <t>United Kingdom</t>
        </is>
      </c>
      <c r="D639" s="114" t="inlineStr">
        <is>
          <t>21563</t>
        </is>
      </c>
      <c r="E639" s="114" t="inlineStr">
        <is>
          <t xml:space="preserve">RED HEART SHAPE LOVE BUCKET </t>
        </is>
      </c>
      <c r="F639" s="114" t="n">
        <v>3</v>
      </c>
      <c r="G639" s="115" t="n">
        <v>2.95</v>
      </c>
      <c r="H639" s="115" t="n">
        <v>8.85</v>
      </c>
      <c r="I639" s="116" t="n">
        <v>40575</v>
      </c>
    </row>
    <row r="640">
      <c r="A640" s="117" t="inlineStr">
        <is>
          <t>542914</t>
        </is>
      </c>
      <c r="B640" s="117" t="n">
        <v>16161</v>
      </c>
      <c r="C640" s="117" t="inlineStr">
        <is>
          <t>United Kingdom</t>
        </is>
      </c>
      <c r="D640" s="117" t="inlineStr">
        <is>
          <t>85099B</t>
        </is>
      </c>
      <c r="E640" s="117" t="inlineStr">
        <is>
          <t>JUMBO BAG RED RETROSPOT</t>
        </is>
      </c>
      <c r="F640" s="117" t="n">
        <v>8</v>
      </c>
      <c r="G640" s="118" t="n">
        <v>1.95</v>
      </c>
      <c r="H640" s="118" t="n">
        <v>15.6</v>
      </c>
      <c r="I640" s="119" t="n">
        <v>40575</v>
      </c>
    </row>
    <row r="641">
      <c r="A641" s="114" t="inlineStr">
        <is>
          <t>542923</t>
        </is>
      </c>
      <c r="B641" s="114" t="n">
        <v>14665</v>
      </c>
      <c r="C641" s="114" t="inlineStr">
        <is>
          <t>United Kingdom</t>
        </is>
      </c>
      <c r="D641" s="114" t="inlineStr">
        <is>
          <t>22727</t>
        </is>
      </c>
      <c r="E641" s="114" t="inlineStr">
        <is>
          <t xml:space="preserve">ALARM CLOCK BAKELIKE RED </t>
        </is>
      </c>
      <c r="F641" s="114" t="n">
        <v>4</v>
      </c>
      <c r="G641" s="115" t="n">
        <v>3.75</v>
      </c>
      <c r="H641" s="115" t="n">
        <v>15</v>
      </c>
      <c r="I641" s="116" t="n">
        <v>40576</v>
      </c>
    </row>
    <row r="642">
      <c r="A642" s="117" t="inlineStr">
        <is>
          <t>542928</t>
        </is>
      </c>
      <c r="B642" s="117" t="n">
        <v>17863</v>
      </c>
      <c r="C642" s="117" t="inlineStr">
        <is>
          <t>United Kingdom</t>
        </is>
      </c>
      <c r="D642" s="117" t="inlineStr">
        <is>
          <t>22539</t>
        </is>
      </c>
      <c r="E642" s="117" t="inlineStr">
        <is>
          <t>MINI JIGSAW DOLLY GIRL</t>
        </is>
      </c>
      <c r="F642" s="117" t="n">
        <v>24</v>
      </c>
      <c r="G642" s="118" t="n">
        <v>0.42</v>
      </c>
      <c r="H642" s="118" t="n">
        <v>10.08</v>
      </c>
      <c r="I642" s="119" t="n">
        <v>40576</v>
      </c>
    </row>
    <row r="643">
      <c r="A643" s="114" t="inlineStr">
        <is>
          <t>542929</t>
        </is>
      </c>
      <c r="B643" s="114" t="n">
        <v>17811</v>
      </c>
      <c r="C643" s="114" t="inlineStr">
        <is>
          <t>United Kingdom</t>
        </is>
      </c>
      <c r="D643" s="114" t="inlineStr">
        <is>
          <t>22508</t>
        </is>
      </c>
      <c r="E643" s="114" t="inlineStr">
        <is>
          <t>DOORSTOP RETROSPOT HEART</t>
        </is>
      </c>
      <c r="F643" s="114" t="n">
        <v>2</v>
      </c>
      <c r="G643" s="115" t="n">
        <v>3.75</v>
      </c>
      <c r="H643" s="115" t="n">
        <v>7.5</v>
      </c>
      <c r="I643" s="116" t="n">
        <v>40576</v>
      </c>
    </row>
    <row r="644">
      <c r="A644" s="117" t="inlineStr">
        <is>
          <t>542932</t>
        </is>
      </c>
      <c r="B644" s="117" t="n">
        <v>13089</v>
      </c>
      <c r="C644" s="117" t="inlineStr">
        <is>
          <t>United Kingdom</t>
        </is>
      </c>
      <c r="D644" s="117" t="inlineStr">
        <is>
          <t>84970S</t>
        </is>
      </c>
      <c r="E644" s="117" t="inlineStr">
        <is>
          <t>HANGING HEART ZINC T-LIGHT HOLDER</t>
        </is>
      </c>
      <c r="F644" s="117" t="n">
        <v>24</v>
      </c>
      <c r="G644" s="118" t="n">
        <v>0.85</v>
      </c>
      <c r="H644" s="118" t="n">
        <v>20.4</v>
      </c>
      <c r="I644" s="119" t="n">
        <v>40576</v>
      </c>
    </row>
    <row r="645">
      <c r="A645" s="114" t="inlineStr">
        <is>
          <t>542993</t>
        </is>
      </c>
      <c r="B645" s="114" t="n">
        <v>16156</v>
      </c>
      <c r="C645" s="114" t="inlineStr">
        <is>
          <t>United Kingdom</t>
        </is>
      </c>
      <c r="D645" s="114" t="inlineStr">
        <is>
          <t>22859</t>
        </is>
      </c>
      <c r="E645" s="114" t="inlineStr">
        <is>
          <t>EASTER TIN BUNNY BOUQUET</t>
        </is>
      </c>
      <c r="F645" s="114" t="n">
        <v>6</v>
      </c>
      <c r="G645" s="115" t="n">
        <v>1.65</v>
      </c>
      <c r="H645" s="115" t="n">
        <v>9.9</v>
      </c>
      <c r="I645" s="116" t="n">
        <v>40576</v>
      </c>
    </row>
    <row r="646">
      <c r="A646" s="117" t="inlineStr">
        <is>
          <t>542994</t>
        </is>
      </c>
      <c r="B646" s="117" t="n">
        <v>17230</v>
      </c>
      <c r="C646" s="117" t="inlineStr">
        <is>
          <t>United Kingdom</t>
        </is>
      </c>
      <c r="D646" s="117" t="inlineStr">
        <is>
          <t>22660</t>
        </is>
      </c>
      <c r="E646" s="117" t="inlineStr">
        <is>
          <t>DOORMAT I LOVE LONDON</t>
        </is>
      </c>
      <c r="F646" s="117" t="n">
        <v>4</v>
      </c>
      <c r="G646" s="118" t="n">
        <v>7.95</v>
      </c>
      <c r="H646" s="118" t="n">
        <v>31.8</v>
      </c>
      <c r="I646" s="119" t="n">
        <v>40576</v>
      </c>
    </row>
    <row r="647">
      <c r="A647" s="114" t="inlineStr">
        <is>
          <t>542995</t>
        </is>
      </c>
      <c r="B647" s="114" t="n">
        <v>13728</v>
      </c>
      <c r="C647" s="114" t="inlineStr">
        <is>
          <t>United Kingdom</t>
        </is>
      </c>
      <c r="D647" s="114" t="inlineStr">
        <is>
          <t>20685</t>
        </is>
      </c>
      <c r="E647" s="114" t="inlineStr">
        <is>
          <t>DOORMAT RED RETROSPOT</t>
        </is>
      </c>
      <c r="F647" s="114" t="n">
        <v>2</v>
      </c>
      <c r="G647" s="115" t="n">
        <v>7.95</v>
      </c>
      <c r="H647" s="115" t="n">
        <v>15.9</v>
      </c>
      <c r="I647" s="116" t="n">
        <v>40576</v>
      </c>
    </row>
    <row r="648">
      <c r="A648" s="117" t="inlineStr">
        <is>
          <t>543001</t>
        </is>
      </c>
      <c r="B648" s="117" t="n">
        <v>14127</v>
      </c>
      <c r="C648" s="117" t="inlineStr">
        <is>
          <t>United Kingdom</t>
        </is>
      </c>
      <c r="D648" s="117" t="inlineStr">
        <is>
          <t>48111</t>
        </is>
      </c>
      <c r="E648" s="117" t="inlineStr">
        <is>
          <t>DOORMAT 3 SMILEY CATS</t>
        </is>
      </c>
      <c r="F648" s="117" t="n">
        <v>2</v>
      </c>
      <c r="G648" s="118" t="n">
        <v>7.95</v>
      </c>
      <c r="H648" s="118" t="n">
        <v>15.9</v>
      </c>
      <c r="I648" s="119" t="n">
        <v>40576</v>
      </c>
    </row>
    <row r="649">
      <c r="A649" s="114" t="inlineStr">
        <is>
          <t>543005</t>
        </is>
      </c>
      <c r="B649" s="114" t="n">
        <v>16378</v>
      </c>
      <c r="C649" s="114" t="inlineStr">
        <is>
          <t>United Kingdom</t>
        </is>
      </c>
      <c r="D649" s="114" t="inlineStr">
        <is>
          <t>22595</t>
        </is>
      </c>
      <c r="E649" s="114" t="inlineStr">
        <is>
          <t>GINGHAM HEART DECORATION</t>
        </is>
      </c>
      <c r="F649" s="114" t="n">
        <v>12</v>
      </c>
      <c r="G649" s="115" t="n">
        <v>0.85</v>
      </c>
      <c r="H649" s="115" t="n">
        <v>10.2</v>
      </c>
      <c r="I649" s="116" t="n">
        <v>40576</v>
      </c>
    </row>
    <row r="650">
      <c r="A650" s="117" t="inlineStr">
        <is>
          <t>543010</t>
        </is>
      </c>
      <c r="B650" s="117" t="n">
        <v>18250</v>
      </c>
      <c r="C650" s="117" t="inlineStr">
        <is>
          <t>United Kingdom</t>
        </is>
      </c>
      <c r="D650" s="117" t="inlineStr">
        <is>
          <t>22853</t>
        </is>
      </c>
      <c r="E650" s="117" t="inlineStr">
        <is>
          <t>CAT BOWL VINTAGE CREAM</t>
        </is>
      </c>
      <c r="F650" s="117" t="n">
        <v>6</v>
      </c>
      <c r="G650" s="118" t="n">
        <v>3.25</v>
      </c>
      <c r="H650" s="118" t="n">
        <v>19.5</v>
      </c>
      <c r="I650" s="119" t="n">
        <v>40576</v>
      </c>
    </row>
    <row r="651">
      <c r="A651" s="114" t="inlineStr">
        <is>
          <t>543020</t>
        </is>
      </c>
      <c r="B651" s="114" t="n">
        <v>15005</v>
      </c>
      <c r="C651" s="114" t="inlineStr">
        <is>
          <t>United Kingdom</t>
        </is>
      </c>
      <c r="D651" s="114" t="inlineStr">
        <is>
          <t>82486</t>
        </is>
      </c>
      <c r="E651" s="114" t="inlineStr">
        <is>
          <t>WOOD S/3 CABINET ANT WHITE FINISH</t>
        </is>
      </c>
      <c r="F651" s="114" t="n">
        <v>2</v>
      </c>
      <c r="G651" s="115" t="n">
        <v>7.95</v>
      </c>
      <c r="H651" s="115" t="n">
        <v>15.9</v>
      </c>
      <c r="I651" s="116" t="n">
        <v>40576</v>
      </c>
    </row>
    <row r="652">
      <c r="A652" s="117" t="inlineStr">
        <is>
          <t>543021</t>
        </is>
      </c>
      <c r="B652" s="117" t="n">
        <v>15421</v>
      </c>
      <c r="C652" s="117" t="inlineStr">
        <is>
          <t>United Kingdom</t>
        </is>
      </c>
      <c r="D652" s="117" t="inlineStr">
        <is>
          <t>21181</t>
        </is>
      </c>
      <c r="E652" s="117" t="inlineStr">
        <is>
          <t>PLEASE ONE PERSON METAL SIGN</t>
        </is>
      </c>
      <c r="F652" s="117" t="n">
        <v>12</v>
      </c>
      <c r="G652" s="118" t="n">
        <v>2.1</v>
      </c>
      <c r="H652" s="118" t="n">
        <v>25.2</v>
      </c>
      <c r="I652" s="119" t="n">
        <v>40576</v>
      </c>
    </row>
    <row r="653">
      <c r="A653" s="114" t="inlineStr">
        <is>
          <t>543022</t>
        </is>
      </c>
      <c r="B653" s="114" t="n">
        <v>16771</v>
      </c>
      <c r="C653" s="114" t="inlineStr">
        <is>
          <t>United Kingdom</t>
        </is>
      </c>
      <c r="D653" s="114" t="inlineStr">
        <is>
          <t>21165</t>
        </is>
      </c>
      <c r="E653" s="114" t="inlineStr">
        <is>
          <t xml:space="preserve">BEWARE OF THE CAT METAL SIGN </t>
        </is>
      </c>
      <c r="F653" s="114" t="n">
        <v>3</v>
      </c>
      <c r="G653" s="115" t="n">
        <v>1.69</v>
      </c>
      <c r="H653" s="115" t="n">
        <v>5.07</v>
      </c>
      <c r="I653" s="116" t="n">
        <v>40576</v>
      </c>
    </row>
    <row r="654">
      <c r="A654" s="117" t="inlineStr">
        <is>
          <t>543030</t>
        </is>
      </c>
      <c r="B654" s="117" t="n">
        <v>12437</v>
      </c>
      <c r="C654" s="117" t="inlineStr">
        <is>
          <t>France</t>
        </is>
      </c>
      <c r="D654" s="117" t="inlineStr">
        <is>
          <t>22693</t>
        </is>
      </c>
      <c r="E654" s="117" t="inlineStr">
        <is>
          <t>GROW A FLYTRAP OR SUNFLOWER IN TIN</t>
        </is>
      </c>
      <c r="F654" s="117" t="n">
        <v>24</v>
      </c>
      <c r="G654" s="118" t="n">
        <v>1.25</v>
      </c>
      <c r="H654" s="118" t="n">
        <v>30</v>
      </c>
      <c r="I654" s="119" t="n">
        <v>40576</v>
      </c>
    </row>
    <row r="655">
      <c r="A655" s="114" t="inlineStr">
        <is>
          <t>543033</t>
        </is>
      </c>
      <c r="B655" s="114" t="n">
        <v>17841</v>
      </c>
      <c r="C655" s="114" t="inlineStr">
        <is>
          <t>United Kingdom</t>
        </is>
      </c>
      <c r="D655" s="114" t="inlineStr">
        <is>
          <t>22629</t>
        </is>
      </c>
      <c r="E655" s="114" t="inlineStr">
        <is>
          <t xml:space="preserve">SPACEBOY LUNCH BOX </t>
        </is>
      </c>
      <c r="F655" s="114" t="n">
        <v>1</v>
      </c>
      <c r="G655" s="115" t="n">
        <v>1.95</v>
      </c>
      <c r="H655" s="115" t="n">
        <v>1.95</v>
      </c>
      <c r="I655" s="116" t="n">
        <v>40576</v>
      </c>
    </row>
    <row r="656">
      <c r="A656" s="117" t="inlineStr">
        <is>
          <t>543036</t>
        </is>
      </c>
      <c r="B656" s="117" t="n">
        <v>17223</v>
      </c>
      <c r="C656" s="117" t="inlineStr">
        <is>
          <t>United Kingdom</t>
        </is>
      </c>
      <c r="D656" s="117" t="inlineStr">
        <is>
          <t>21716</t>
        </is>
      </c>
      <c r="E656" s="117" t="inlineStr">
        <is>
          <t>BOYS VINTAGE TIN SEASIDE BUCKET</t>
        </is>
      </c>
      <c r="F656" s="117" t="n">
        <v>6</v>
      </c>
      <c r="G656" s="118" t="n">
        <v>2.55</v>
      </c>
      <c r="H656" s="118" t="n">
        <v>15.3</v>
      </c>
      <c r="I656" s="119" t="n">
        <v>40576</v>
      </c>
    </row>
    <row r="657">
      <c r="A657" s="114" t="inlineStr">
        <is>
          <t>543037</t>
        </is>
      </c>
      <c r="B657" s="114" t="n">
        <v>12350</v>
      </c>
      <c r="C657" s="114" t="inlineStr">
        <is>
          <t>Norway</t>
        </is>
      </c>
      <c r="D657" s="114" t="inlineStr">
        <is>
          <t>21864</t>
        </is>
      </c>
      <c r="E657" s="114" t="inlineStr">
        <is>
          <t xml:space="preserve">UNION JACK FLAG PASSPORT COVER </t>
        </is>
      </c>
      <c r="F657" s="114" t="n">
        <v>12</v>
      </c>
      <c r="G657" s="115" t="n">
        <v>2.1</v>
      </c>
      <c r="H657" s="115" t="n">
        <v>25.2</v>
      </c>
      <c r="I657" s="116" t="n">
        <v>40576</v>
      </c>
    </row>
    <row r="658">
      <c r="A658" s="117" t="inlineStr">
        <is>
          <t>543037</t>
        </is>
      </c>
      <c r="B658" s="117" t="n">
        <v>12350</v>
      </c>
      <c r="C658" s="117" t="inlineStr">
        <is>
          <t>Norway</t>
        </is>
      </c>
      <c r="D658" s="117" t="inlineStr">
        <is>
          <t>POST</t>
        </is>
      </c>
      <c r="E658" s="117" t="inlineStr">
        <is>
          <t>POSTAGE</t>
        </is>
      </c>
      <c r="F658" s="117" t="n">
        <v>1</v>
      </c>
      <c r="G658" s="118" t="n">
        <v>40</v>
      </c>
      <c r="H658" s="118" t="n">
        <v>40</v>
      </c>
      <c r="I658" s="119" t="n">
        <v>40576</v>
      </c>
    </row>
    <row r="659">
      <c r="A659" s="114" t="inlineStr">
        <is>
          <t>543040</t>
        </is>
      </c>
      <c r="B659" s="114" t="n">
        <v>17337</v>
      </c>
      <c r="C659" s="114" t="inlineStr">
        <is>
          <t>United Kingdom</t>
        </is>
      </c>
      <c r="D659" s="114" t="inlineStr">
        <is>
          <t>20725</t>
        </is>
      </c>
      <c r="E659" s="114" t="inlineStr">
        <is>
          <t>LUNCH BAG RED RETROSPOT</t>
        </is>
      </c>
      <c r="F659" s="114" t="n">
        <v>1</v>
      </c>
      <c r="G659" s="115" t="n">
        <v>1.65</v>
      </c>
      <c r="H659" s="115" t="n">
        <v>1.65</v>
      </c>
      <c r="I659" s="116" t="n">
        <v>40576</v>
      </c>
    </row>
    <row r="660">
      <c r="A660" s="117" t="inlineStr">
        <is>
          <t>543040</t>
        </is>
      </c>
      <c r="B660" s="117" t="n">
        <v>17337</v>
      </c>
      <c r="C660" s="117" t="inlineStr">
        <is>
          <t>United Kingdom</t>
        </is>
      </c>
      <c r="D660" s="117" t="inlineStr">
        <is>
          <t>22363</t>
        </is>
      </c>
      <c r="E660" s="117" t="inlineStr">
        <is>
          <t xml:space="preserve">GLASS JAR MARMALADE </t>
        </is>
      </c>
      <c r="F660" s="117" t="n">
        <v>10</v>
      </c>
      <c r="G660" s="118" t="n">
        <v>2.95</v>
      </c>
      <c r="H660" s="118" t="n">
        <v>29.5</v>
      </c>
      <c r="I660" s="119" t="n">
        <v>40576</v>
      </c>
    </row>
    <row r="661">
      <c r="A661" s="114" t="inlineStr">
        <is>
          <t>543040</t>
        </is>
      </c>
      <c r="B661" s="114" t="n">
        <v>17337</v>
      </c>
      <c r="C661" s="114" t="inlineStr">
        <is>
          <t>United Kingdom</t>
        </is>
      </c>
      <c r="D661" s="114" t="inlineStr">
        <is>
          <t>22311</t>
        </is>
      </c>
      <c r="E661" s="114" t="inlineStr">
        <is>
          <t xml:space="preserve">OFFICE MUG WARMER BLACK+SILVER </t>
        </is>
      </c>
      <c r="F661" s="114" t="n">
        <v>1</v>
      </c>
      <c r="G661" s="115" t="n">
        <v>2.95</v>
      </c>
      <c r="H661" s="115" t="n">
        <v>2.95</v>
      </c>
      <c r="I661" s="116" t="n">
        <v>40576</v>
      </c>
    </row>
    <row r="662">
      <c r="A662" s="117" t="inlineStr">
        <is>
          <t>543040</t>
        </is>
      </c>
      <c r="B662" s="117" t="n">
        <v>17337</v>
      </c>
      <c r="C662" s="117" t="inlineStr">
        <is>
          <t>United Kingdom</t>
        </is>
      </c>
      <c r="D662" s="117" t="inlineStr">
        <is>
          <t>22417</t>
        </is>
      </c>
      <c r="E662" s="117" t="inlineStr">
        <is>
          <t>PACK OF 60 SPACEBOY CAKE CASES</t>
        </is>
      </c>
      <c r="F662" s="117" t="n">
        <v>1</v>
      </c>
      <c r="G662" s="118" t="n">
        <v>0.55</v>
      </c>
      <c r="H662" s="118" t="n">
        <v>0.55</v>
      </c>
      <c r="I662" s="119" t="n">
        <v>40576</v>
      </c>
    </row>
    <row r="663">
      <c r="A663" s="114" t="inlineStr">
        <is>
          <t>543044</t>
        </is>
      </c>
      <c r="B663" s="114" t="n">
        <v>17071</v>
      </c>
      <c r="C663" s="114" t="inlineStr">
        <is>
          <t>United Kingdom</t>
        </is>
      </c>
      <c r="D663" s="114" t="inlineStr">
        <is>
          <t>22470</t>
        </is>
      </c>
      <c r="E663" s="114" t="inlineStr">
        <is>
          <t>HEART OF WICKER LARGE</t>
        </is>
      </c>
      <c r="F663" s="114" t="n">
        <v>6</v>
      </c>
      <c r="G663" s="115" t="n">
        <v>2.95</v>
      </c>
      <c r="H663" s="115" t="n">
        <v>17.7</v>
      </c>
      <c r="I663" s="116" t="n">
        <v>40577</v>
      </c>
    </row>
    <row r="664">
      <c r="A664" s="117" t="inlineStr">
        <is>
          <t>543046</t>
        </is>
      </c>
      <c r="B664" s="117" t="n">
        <v>13873</v>
      </c>
      <c r="C664" s="117" t="inlineStr">
        <is>
          <t>United Kingdom</t>
        </is>
      </c>
      <c r="D664" s="117" t="inlineStr">
        <is>
          <t>21717</t>
        </is>
      </c>
      <c r="E664" s="117" t="inlineStr">
        <is>
          <t>EASTER TIN BUCKET</t>
        </is>
      </c>
      <c r="F664" s="117" t="n">
        <v>8</v>
      </c>
      <c r="G664" s="118" t="n">
        <v>2.55</v>
      </c>
      <c r="H664" s="118" t="n">
        <v>20.4</v>
      </c>
      <c r="I664" s="119" t="n">
        <v>40577</v>
      </c>
    </row>
    <row r="665">
      <c r="A665" s="114" t="inlineStr">
        <is>
          <t>543099</t>
        </is>
      </c>
      <c r="B665" s="114" t="n">
        <v>16684</v>
      </c>
      <c r="C665" s="114" t="inlineStr">
        <is>
          <t>United Kingdom</t>
        </is>
      </c>
      <c r="D665" s="114" t="inlineStr">
        <is>
          <t>22970</t>
        </is>
      </c>
      <c r="E665" s="114" t="inlineStr">
        <is>
          <t>LONDON BUS COFFEE MUG</t>
        </is>
      </c>
      <c r="F665" s="114" t="n">
        <v>72</v>
      </c>
      <c r="G665" s="115" t="n">
        <v>2.1</v>
      </c>
      <c r="H665" s="115" t="n">
        <v>151.2</v>
      </c>
      <c r="I665" s="116" t="n">
        <v>40577</v>
      </c>
    </row>
    <row r="666">
      <c r="A666" s="117" t="inlineStr">
        <is>
          <t>543114</t>
        </is>
      </c>
      <c r="B666" s="117" t="n">
        <v>14156</v>
      </c>
      <c r="C666" s="117" t="inlineStr">
        <is>
          <t>EIRE</t>
        </is>
      </c>
      <c r="D666" s="117" t="inlineStr">
        <is>
          <t>22720</t>
        </is>
      </c>
      <c r="E666" s="117" t="inlineStr">
        <is>
          <t xml:space="preserve">SET OF 3 CAKE TINS PANTRY DESIGN </t>
        </is>
      </c>
      <c r="F666" s="117" t="n">
        <v>3</v>
      </c>
      <c r="G666" s="118" t="n">
        <v>4.95</v>
      </c>
      <c r="H666" s="118" t="n">
        <v>14.85</v>
      </c>
      <c r="I666" s="119" t="n">
        <v>40577</v>
      </c>
    </row>
    <row r="667">
      <c r="A667" s="114" t="inlineStr">
        <is>
          <t>543116</t>
        </is>
      </c>
      <c r="B667" s="114" t="n">
        <v>17672</v>
      </c>
      <c r="C667" s="114" t="inlineStr">
        <is>
          <t>United Kingdom</t>
        </is>
      </c>
      <c r="D667" s="114" t="inlineStr">
        <is>
          <t>22456</t>
        </is>
      </c>
      <c r="E667" s="114" t="inlineStr">
        <is>
          <t xml:space="preserve">NATURAL SLATE CHALKBOARD LARGE </t>
        </is>
      </c>
      <c r="F667" s="114" t="n">
        <v>12</v>
      </c>
      <c r="G667" s="115" t="n">
        <v>4.95</v>
      </c>
      <c r="H667" s="115" t="n">
        <v>59.4</v>
      </c>
      <c r="I667" s="116" t="n">
        <v>40577</v>
      </c>
    </row>
    <row r="668">
      <c r="A668" s="117" t="inlineStr">
        <is>
          <t>543118</t>
        </is>
      </c>
      <c r="B668" s="117" t="n">
        <v>13842</v>
      </c>
      <c r="C668" s="117" t="inlineStr">
        <is>
          <t>United Kingdom</t>
        </is>
      </c>
      <c r="D668" s="117" t="inlineStr">
        <is>
          <t>22149</t>
        </is>
      </c>
      <c r="E668" s="117" t="inlineStr">
        <is>
          <t>FELTCRAFT 6 FLOWER FRIENDS</t>
        </is>
      </c>
      <c r="F668" s="117" t="n">
        <v>6</v>
      </c>
      <c r="G668" s="118" t="n">
        <v>2.1</v>
      </c>
      <c r="H668" s="118" t="n">
        <v>12.6</v>
      </c>
      <c r="I668" s="119" t="n">
        <v>40577</v>
      </c>
    </row>
    <row r="669">
      <c r="A669" s="114" t="inlineStr">
        <is>
          <t>543118</t>
        </is>
      </c>
      <c r="B669" s="114" t="n">
        <v>13842</v>
      </c>
      <c r="C669" s="114" t="inlineStr">
        <is>
          <t>United Kingdom</t>
        </is>
      </c>
      <c r="D669" s="114" t="inlineStr">
        <is>
          <t>22815</t>
        </is>
      </c>
      <c r="E669" s="114" t="inlineStr">
        <is>
          <t>CARD PSYCHEDELIC APPLES</t>
        </is>
      </c>
      <c r="F669" s="114" t="n">
        <v>12</v>
      </c>
      <c r="G669" s="115" t="n">
        <v>0.42</v>
      </c>
      <c r="H669" s="115" t="n">
        <v>5.04</v>
      </c>
      <c r="I669" s="116" t="n">
        <v>40577</v>
      </c>
    </row>
    <row r="670">
      <c r="A670" s="117" t="inlineStr">
        <is>
          <t>543132</t>
        </is>
      </c>
      <c r="B670" s="117" t="n">
        <v>15235</v>
      </c>
      <c r="C670" s="117" t="inlineStr">
        <is>
          <t>United Kingdom</t>
        </is>
      </c>
      <c r="D670" s="117" t="inlineStr">
        <is>
          <t>22780</t>
        </is>
      </c>
      <c r="E670" s="117" t="inlineStr">
        <is>
          <t>LIGHT GARLAND BUTTERFILES PINK</t>
        </is>
      </c>
      <c r="F670" s="117" t="n">
        <v>4</v>
      </c>
      <c r="G670" s="118" t="n">
        <v>4.25</v>
      </c>
      <c r="H670" s="118" t="n">
        <v>17</v>
      </c>
      <c r="I670" s="119" t="n">
        <v>40577</v>
      </c>
    </row>
    <row r="671">
      <c r="A671" s="114" t="inlineStr">
        <is>
          <t>543174</t>
        </is>
      </c>
      <c r="B671" s="114" t="n">
        <v>16938</v>
      </c>
      <c r="C671" s="114" t="inlineStr">
        <is>
          <t>United Kingdom</t>
        </is>
      </c>
      <c r="D671" s="114" t="inlineStr">
        <is>
          <t>21790</t>
        </is>
      </c>
      <c r="E671" s="114" t="inlineStr">
        <is>
          <t>VINTAGE SNAP CARDS</t>
        </is>
      </c>
      <c r="F671" s="114" t="n">
        <v>12</v>
      </c>
      <c r="G671" s="115" t="n">
        <v>0.85</v>
      </c>
      <c r="H671" s="115" t="n">
        <v>10.2</v>
      </c>
      <c r="I671" s="116" t="n">
        <v>40578</v>
      </c>
    </row>
    <row r="672">
      <c r="A672" s="117" t="inlineStr">
        <is>
          <t>543191</t>
        </is>
      </c>
      <c r="B672" s="117" t="n">
        <v>13137</v>
      </c>
      <c r="C672" s="117" t="inlineStr">
        <is>
          <t>United Kingdom</t>
        </is>
      </c>
      <c r="D672" s="117" t="inlineStr">
        <is>
          <t>21122</t>
        </is>
      </c>
      <c r="E672" s="117" t="inlineStr">
        <is>
          <t>SET/10 PINK POLKADOT PARTY CANDLES</t>
        </is>
      </c>
      <c r="F672" s="117" t="n">
        <v>3</v>
      </c>
      <c r="G672" s="118" t="n">
        <v>1.25</v>
      </c>
      <c r="H672" s="118" t="n">
        <v>3.75</v>
      </c>
      <c r="I672" s="119" t="n">
        <v>40578</v>
      </c>
    </row>
    <row r="673">
      <c r="A673" s="114" t="inlineStr">
        <is>
          <t>543191</t>
        </is>
      </c>
      <c r="B673" s="114" t="n">
        <v>13137</v>
      </c>
      <c r="C673" s="114" t="inlineStr">
        <is>
          <t>United Kingdom</t>
        </is>
      </c>
      <c r="D673" s="114" t="inlineStr">
        <is>
          <t>22270</t>
        </is>
      </c>
      <c r="E673" s="114" t="inlineStr">
        <is>
          <t>HAPPY EASTER HANGING DECORATION</t>
        </is>
      </c>
      <c r="F673" s="114" t="n">
        <v>1</v>
      </c>
      <c r="G673" s="115" t="n">
        <v>3.75</v>
      </c>
      <c r="H673" s="115" t="n">
        <v>3.75</v>
      </c>
      <c r="I673" s="116" t="n">
        <v>40578</v>
      </c>
    </row>
    <row r="674">
      <c r="A674" s="117" t="inlineStr">
        <is>
          <t>543245</t>
        </is>
      </c>
      <c r="B674" s="117" t="n">
        <v>16725</v>
      </c>
      <c r="C674" s="117" t="inlineStr">
        <is>
          <t>United Kingdom</t>
        </is>
      </c>
      <c r="D674" s="117" t="inlineStr">
        <is>
          <t>21812</t>
        </is>
      </c>
      <c r="E674" s="117" t="inlineStr">
        <is>
          <t>GARLAND WITH HEARTS AND BELLS</t>
        </is>
      </c>
      <c r="F674" s="117" t="n">
        <v>1</v>
      </c>
      <c r="G674" s="118" t="n">
        <v>4.95</v>
      </c>
      <c r="H674" s="118" t="n">
        <v>4.95</v>
      </c>
      <c r="I674" s="119" t="n">
        <v>40578</v>
      </c>
    </row>
    <row r="675">
      <c r="A675" s="114" t="inlineStr">
        <is>
          <t>543245</t>
        </is>
      </c>
      <c r="B675" s="114" t="n">
        <v>16725</v>
      </c>
      <c r="C675" s="114" t="inlineStr">
        <is>
          <t>United Kingdom</t>
        </is>
      </c>
      <c r="D675" s="114" t="inlineStr">
        <is>
          <t>21535</t>
        </is>
      </c>
      <c r="E675" s="114" t="inlineStr">
        <is>
          <t>RED RETROSPOT SMALL MILK JUG</t>
        </is>
      </c>
      <c r="F675" s="114" t="n">
        <v>2</v>
      </c>
      <c r="G675" s="115" t="n">
        <v>2.55</v>
      </c>
      <c r="H675" s="115" t="n">
        <v>5.1</v>
      </c>
      <c r="I675" s="116" t="n">
        <v>40578</v>
      </c>
    </row>
    <row r="676">
      <c r="A676" s="117" t="inlineStr">
        <is>
          <t>543273</t>
        </is>
      </c>
      <c r="B676" s="117" t="n">
        <v>16456</v>
      </c>
      <c r="C676" s="117" t="inlineStr">
        <is>
          <t>United Kingdom</t>
        </is>
      </c>
      <c r="D676" s="117" t="inlineStr">
        <is>
          <t>21931</t>
        </is>
      </c>
      <c r="E676" s="117" t="inlineStr">
        <is>
          <t>JUMBO STORAGE BAG SUKI</t>
        </is>
      </c>
      <c r="F676" s="117" t="n">
        <v>20</v>
      </c>
      <c r="G676" s="118" t="n">
        <v>1.95</v>
      </c>
      <c r="H676" s="118" t="n">
        <v>39</v>
      </c>
      <c r="I676" s="119" t="n">
        <v>40580</v>
      </c>
    </row>
    <row r="677">
      <c r="A677" s="114" t="inlineStr">
        <is>
          <t>543293</t>
        </is>
      </c>
      <c r="B677" s="114" t="n">
        <v>17613</v>
      </c>
      <c r="C677" s="114" t="inlineStr">
        <is>
          <t>United Kingdom</t>
        </is>
      </c>
      <c r="D677" s="114" t="inlineStr">
        <is>
          <t>22113</t>
        </is>
      </c>
      <c r="E677" s="114" t="inlineStr">
        <is>
          <t>GREY HEART HOT WATER BOTTLE</t>
        </is>
      </c>
      <c r="F677" s="114" t="n">
        <v>4</v>
      </c>
      <c r="G677" s="115" t="n">
        <v>3.75</v>
      </c>
      <c r="H677" s="115" t="n">
        <v>15</v>
      </c>
      <c r="I677" s="116" t="n">
        <v>40581</v>
      </c>
    </row>
    <row r="678">
      <c r="A678" s="117" t="inlineStr">
        <is>
          <t>543300</t>
        </is>
      </c>
      <c r="B678" s="117" t="n">
        <v>13334</v>
      </c>
      <c r="C678" s="117" t="inlineStr">
        <is>
          <t>United Kingdom</t>
        </is>
      </c>
      <c r="D678" s="117" t="inlineStr">
        <is>
          <t>22349</t>
        </is>
      </c>
      <c r="E678" s="117" t="inlineStr">
        <is>
          <t>DOG BOWL CHASING BALL DESIGN</t>
        </is>
      </c>
      <c r="F678" s="117" t="n">
        <v>6</v>
      </c>
      <c r="G678" s="118" t="n">
        <v>3.75</v>
      </c>
      <c r="H678" s="118" t="n">
        <v>22.5</v>
      </c>
      <c r="I678" s="119" t="n">
        <v>40581</v>
      </c>
    </row>
    <row r="679">
      <c r="A679" s="114" t="inlineStr">
        <is>
          <t>543306</t>
        </is>
      </c>
      <c r="B679" s="114" t="n">
        <v>16686</v>
      </c>
      <c r="C679" s="114" t="inlineStr">
        <is>
          <t>United Kingdom</t>
        </is>
      </c>
      <c r="D679" s="114" t="inlineStr">
        <is>
          <t>22433</t>
        </is>
      </c>
      <c r="E679" s="114" t="inlineStr">
        <is>
          <t>WATERING CAN GREEN DINOSAUR</t>
        </is>
      </c>
      <c r="F679" s="114" t="n">
        <v>1</v>
      </c>
      <c r="G679" s="115" t="n">
        <v>1.95</v>
      </c>
      <c r="H679" s="115" t="n">
        <v>1.95</v>
      </c>
      <c r="I679" s="116" t="n">
        <v>40581</v>
      </c>
    </row>
    <row r="680">
      <c r="A680" s="117" t="inlineStr">
        <is>
          <t>543309</t>
        </is>
      </c>
      <c r="B680" s="117" t="n">
        <v>18118</v>
      </c>
      <c r="C680" s="117" t="inlineStr">
        <is>
          <t>United Kingdom</t>
        </is>
      </c>
      <c r="D680" s="117" t="inlineStr">
        <is>
          <t>22568</t>
        </is>
      </c>
      <c r="E680" s="117" t="inlineStr">
        <is>
          <t>FELTCRAFT CUSHION OWL</t>
        </is>
      </c>
      <c r="F680" s="117" t="n">
        <v>1</v>
      </c>
      <c r="G680" s="118" t="n">
        <v>3.75</v>
      </c>
      <c r="H680" s="118" t="n">
        <v>3.75</v>
      </c>
      <c r="I680" s="119" t="n">
        <v>40581</v>
      </c>
    </row>
    <row r="681">
      <c r="A681" s="114" t="inlineStr">
        <is>
          <t>543357</t>
        </is>
      </c>
      <c r="B681" s="114" t="n">
        <v>12388</v>
      </c>
      <c r="C681" s="114" t="inlineStr">
        <is>
          <t>Australia</t>
        </is>
      </c>
      <c r="D681" s="114" t="inlineStr">
        <is>
          <t>47590B</t>
        </is>
      </c>
      <c r="E681" s="114" t="inlineStr">
        <is>
          <t>PINK HAPPY BIRTHDAY BUNTING</t>
        </is>
      </c>
      <c r="F681" s="114" t="n">
        <v>3</v>
      </c>
      <c r="G681" s="115" t="n">
        <v>5.45</v>
      </c>
      <c r="H681" s="115" t="n">
        <v>16.35</v>
      </c>
      <c r="I681" s="116" t="n">
        <v>40581</v>
      </c>
    </row>
    <row r="682">
      <c r="A682" s="117" t="inlineStr">
        <is>
          <t>543369</t>
        </is>
      </c>
      <c r="B682" s="117" t="n">
        <v>16255</v>
      </c>
      <c r="C682" s="117" t="inlineStr">
        <is>
          <t>United Kingdom</t>
        </is>
      </c>
      <c r="D682" s="117" t="inlineStr">
        <is>
          <t>22558</t>
        </is>
      </c>
      <c r="E682" s="117" t="inlineStr">
        <is>
          <t xml:space="preserve">CLOTHES PEGS RETROSPOT PACK 24 </t>
        </is>
      </c>
      <c r="F682" s="117" t="n">
        <v>4</v>
      </c>
      <c r="G682" s="118" t="n">
        <v>1.49</v>
      </c>
      <c r="H682" s="118" t="n">
        <v>5.96</v>
      </c>
      <c r="I682" s="119" t="n">
        <v>40581</v>
      </c>
    </row>
    <row r="683">
      <c r="A683" s="114" t="inlineStr">
        <is>
          <t>543370</t>
        </is>
      </c>
      <c r="B683" s="114" t="n">
        <v>12359</v>
      </c>
      <c r="C683" s="114" t="inlineStr">
        <is>
          <t>Cyprus</t>
        </is>
      </c>
      <c r="D683" s="114" t="inlineStr">
        <is>
          <t>22917</t>
        </is>
      </c>
      <c r="E683" s="114" t="inlineStr">
        <is>
          <t>HERB MARKER ROSEMARY</t>
        </is>
      </c>
      <c r="F683" s="114" t="n">
        <v>12</v>
      </c>
      <c r="G683" s="115" t="n">
        <v>0.65</v>
      </c>
      <c r="H683" s="115" t="n">
        <v>7.8</v>
      </c>
      <c r="I683" s="116" t="n">
        <v>40581</v>
      </c>
    </row>
    <row r="684">
      <c r="A684" s="117" t="inlineStr">
        <is>
          <t>543371</t>
        </is>
      </c>
      <c r="B684" s="117" t="n">
        <v>14048</v>
      </c>
      <c r="C684" s="117" t="inlineStr">
        <is>
          <t>United Kingdom</t>
        </is>
      </c>
      <c r="D684" s="117" t="inlineStr">
        <is>
          <t>21679</t>
        </is>
      </c>
      <c r="E684" s="117" t="inlineStr">
        <is>
          <t>SKULLS  STICKERS</t>
        </is>
      </c>
      <c r="F684" s="117" t="n">
        <v>6</v>
      </c>
      <c r="G684" s="118" t="n">
        <v>0.85</v>
      </c>
      <c r="H684" s="118" t="n">
        <v>5.1</v>
      </c>
      <c r="I684" s="119" t="n">
        <v>40581</v>
      </c>
    </row>
    <row r="685">
      <c r="A685" s="114" t="inlineStr">
        <is>
          <t>543371</t>
        </is>
      </c>
      <c r="B685" s="114" t="n">
        <v>14048</v>
      </c>
      <c r="C685" s="114" t="inlineStr">
        <is>
          <t>United Kingdom</t>
        </is>
      </c>
      <c r="D685" s="114" t="inlineStr">
        <is>
          <t>21864</t>
        </is>
      </c>
      <c r="E685" s="114" t="inlineStr">
        <is>
          <t xml:space="preserve">UNION JACK FLAG PASSPORT COVER </t>
        </is>
      </c>
      <c r="F685" s="114" t="n">
        <v>4</v>
      </c>
      <c r="G685" s="115" t="n">
        <v>2.1</v>
      </c>
      <c r="H685" s="115" t="n">
        <v>8.4</v>
      </c>
      <c r="I685" s="116" t="n">
        <v>40581</v>
      </c>
    </row>
    <row r="686">
      <c r="A686" s="117" t="inlineStr">
        <is>
          <t>543371</t>
        </is>
      </c>
      <c r="B686" s="117" t="n">
        <v>14048</v>
      </c>
      <c r="C686" s="117" t="inlineStr">
        <is>
          <t>United Kingdom</t>
        </is>
      </c>
      <c r="D686" s="117" t="inlineStr">
        <is>
          <t>20931</t>
        </is>
      </c>
      <c r="E686" s="117" t="inlineStr">
        <is>
          <t xml:space="preserve">BLUE POT PLANT CANDLE </t>
        </is>
      </c>
      <c r="F686" s="117" t="n">
        <v>1</v>
      </c>
      <c r="G686" s="118" t="n">
        <v>3.75</v>
      </c>
      <c r="H686" s="118" t="n">
        <v>3.75</v>
      </c>
      <c r="I686" s="119" t="n">
        <v>40581</v>
      </c>
    </row>
    <row r="687">
      <c r="A687" s="114" t="inlineStr">
        <is>
          <t>543458</t>
        </is>
      </c>
      <c r="B687" s="114" t="n">
        <v>14587</v>
      </c>
      <c r="C687" s="114" t="inlineStr">
        <is>
          <t>United Kingdom</t>
        </is>
      </c>
      <c r="D687" s="114" t="inlineStr">
        <is>
          <t>20677</t>
        </is>
      </c>
      <c r="E687" s="114" t="inlineStr">
        <is>
          <t>PINK POLKADOT BOWL</t>
        </is>
      </c>
      <c r="F687" s="114" t="n">
        <v>4</v>
      </c>
      <c r="G687" s="115" t="n">
        <v>1.25</v>
      </c>
      <c r="H687" s="115" t="n">
        <v>5</v>
      </c>
      <c r="I687" s="116" t="n">
        <v>40582</v>
      </c>
    </row>
    <row r="688">
      <c r="A688" s="117" t="inlineStr">
        <is>
          <t>543463</t>
        </is>
      </c>
      <c r="B688" s="117" t="n">
        <v>15311</v>
      </c>
      <c r="C688" s="117" t="inlineStr">
        <is>
          <t>United Kingdom</t>
        </is>
      </c>
      <c r="D688" s="117" t="inlineStr">
        <is>
          <t>22241</t>
        </is>
      </c>
      <c r="E688" s="117" t="inlineStr">
        <is>
          <t>GARLAND WOODEN HAPPY EASTER</t>
        </is>
      </c>
      <c r="F688" s="117" t="n">
        <v>12</v>
      </c>
      <c r="G688" s="118" t="n">
        <v>1.25</v>
      </c>
      <c r="H688" s="118" t="n">
        <v>15</v>
      </c>
      <c r="I688" s="119" t="n">
        <v>40582</v>
      </c>
    </row>
    <row r="689">
      <c r="A689" s="114" t="inlineStr">
        <is>
          <t>543470</t>
        </is>
      </c>
      <c r="B689" s="114" t="n">
        <v>16951</v>
      </c>
      <c r="C689" s="114" t="inlineStr">
        <is>
          <t>United Kingdom</t>
        </is>
      </c>
      <c r="D689" s="114" t="inlineStr">
        <is>
          <t>22492</t>
        </is>
      </c>
      <c r="E689" s="114" t="inlineStr">
        <is>
          <t xml:space="preserve">MINI PAINT SET VINTAGE </t>
        </is>
      </c>
      <c r="F689" s="114" t="n">
        <v>36</v>
      </c>
      <c r="G689" s="115" t="n">
        <v>0.65</v>
      </c>
      <c r="H689" s="115" t="n">
        <v>23.4</v>
      </c>
      <c r="I689" s="116" t="n">
        <v>40582</v>
      </c>
    </row>
    <row r="690">
      <c r="A690" s="117" t="inlineStr">
        <is>
          <t>543474</t>
        </is>
      </c>
      <c r="B690" s="117" t="n">
        <v>14415</v>
      </c>
      <c r="C690" s="117" t="inlineStr">
        <is>
          <t>United Kingdom</t>
        </is>
      </c>
      <c r="D690" s="117" t="inlineStr">
        <is>
          <t>22189</t>
        </is>
      </c>
      <c r="E690" s="117" t="inlineStr">
        <is>
          <t>CREAM HEART CARD HOLDER</t>
        </is>
      </c>
      <c r="F690" s="117" t="n">
        <v>2</v>
      </c>
      <c r="G690" s="118" t="n">
        <v>3.95</v>
      </c>
      <c r="H690" s="118" t="n">
        <v>7.9</v>
      </c>
      <c r="I690" s="119" t="n">
        <v>40582</v>
      </c>
    </row>
    <row r="691">
      <c r="A691" s="114" t="inlineStr">
        <is>
          <t>543482</t>
        </is>
      </c>
      <c r="B691" s="114" t="n">
        <v>17881</v>
      </c>
      <c r="C691" s="114" t="inlineStr">
        <is>
          <t>United Kingdom</t>
        </is>
      </c>
      <c r="D691" s="114" t="inlineStr">
        <is>
          <t>84406B</t>
        </is>
      </c>
      <c r="E691" s="114" t="inlineStr">
        <is>
          <t>CREAM CUPID HEARTS COAT HANGER</t>
        </is>
      </c>
      <c r="F691" s="114" t="n">
        <v>8</v>
      </c>
      <c r="G691" s="115" t="n">
        <v>4.15</v>
      </c>
      <c r="H691" s="115" t="n">
        <v>33.2</v>
      </c>
      <c r="I691" s="116" t="n">
        <v>40582</v>
      </c>
    </row>
    <row r="692">
      <c r="A692" s="117" t="inlineStr">
        <is>
          <t>543485</t>
        </is>
      </c>
      <c r="B692" s="117" t="n">
        <v>15843</v>
      </c>
      <c r="C692" s="117" t="inlineStr">
        <is>
          <t>United Kingdom</t>
        </is>
      </c>
      <c r="D692" s="117" t="inlineStr">
        <is>
          <t>21662</t>
        </is>
      </c>
      <c r="E692" s="117" t="inlineStr">
        <is>
          <t>VINTAGE GLASS COFFEE CADDY</t>
        </is>
      </c>
      <c r="F692" s="117" t="n">
        <v>3</v>
      </c>
      <c r="G692" s="118" t="n">
        <v>5.95</v>
      </c>
      <c r="H692" s="118" t="n">
        <v>17.85</v>
      </c>
      <c r="I692" s="119" t="n">
        <v>40583</v>
      </c>
    </row>
    <row r="693">
      <c r="A693" s="114" t="inlineStr">
        <is>
          <t>543507</t>
        </is>
      </c>
      <c r="B693" s="114" t="n">
        <v>15039</v>
      </c>
      <c r="C693" s="114" t="inlineStr">
        <is>
          <t>United Kingdom</t>
        </is>
      </c>
      <c r="D693" s="114" t="inlineStr">
        <is>
          <t>22386</t>
        </is>
      </c>
      <c r="E693" s="114" t="inlineStr">
        <is>
          <t>JUMBO BAG PINK POLKADOT</t>
        </is>
      </c>
      <c r="F693" s="114" t="n">
        <v>10</v>
      </c>
      <c r="G693" s="115" t="n">
        <v>1.95</v>
      </c>
      <c r="H693" s="115" t="n">
        <v>19.5</v>
      </c>
      <c r="I693" s="116" t="n">
        <v>40583</v>
      </c>
    </row>
    <row r="694">
      <c r="A694" s="117" t="inlineStr">
        <is>
          <t>543518</t>
        </is>
      </c>
      <c r="B694" s="117" t="n">
        <v>12753</v>
      </c>
      <c r="C694" s="117" t="inlineStr">
        <is>
          <t>Japan</t>
        </is>
      </c>
      <c r="D694" s="117" t="inlineStr">
        <is>
          <t>22857</t>
        </is>
      </c>
      <c r="E694" s="117" t="inlineStr">
        <is>
          <t>ASSORTED EASTER GIFT TAGS</t>
        </is>
      </c>
      <c r="F694" s="117" t="n">
        <v>60</v>
      </c>
      <c r="G694" s="118" t="n">
        <v>0.85</v>
      </c>
      <c r="H694" s="118" t="n">
        <v>51</v>
      </c>
      <c r="I694" s="119" t="n">
        <v>40583</v>
      </c>
    </row>
    <row r="695">
      <c r="A695" s="114" t="inlineStr">
        <is>
          <t>543529</t>
        </is>
      </c>
      <c r="B695" s="114" t="n">
        <v>18109</v>
      </c>
      <c r="C695" s="114" t="inlineStr">
        <is>
          <t>United Kingdom</t>
        </is>
      </c>
      <c r="D695" s="114" t="inlineStr">
        <is>
          <t>21259</t>
        </is>
      </c>
      <c r="E695" s="114" t="inlineStr">
        <is>
          <t xml:space="preserve">VICTORIAN SEWING BOX SMALL </t>
        </is>
      </c>
      <c r="F695" s="114" t="n">
        <v>7</v>
      </c>
      <c r="G695" s="115" t="n">
        <v>5.95</v>
      </c>
      <c r="H695" s="115" t="n">
        <v>41.65</v>
      </c>
      <c r="I695" s="116" t="n">
        <v>40583</v>
      </c>
    </row>
    <row r="696">
      <c r="A696" s="117" t="inlineStr">
        <is>
          <t>543535</t>
        </is>
      </c>
      <c r="B696" s="117" t="n">
        <v>17537</v>
      </c>
      <c r="C696" s="117" t="inlineStr">
        <is>
          <t>United Kingdom</t>
        </is>
      </c>
      <c r="D696" s="117" t="inlineStr">
        <is>
          <t>22926</t>
        </is>
      </c>
      <c r="E696" s="117" t="inlineStr">
        <is>
          <t>IVORY GIANT GARDEN THERMOMETER</t>
        </is>
      </c>
      <c r="F696" s="117" t="n">
        <v>2</v>
      </c>
      <c r="G696" s="118" t="n">
        <v>5.95</v>
      </c>
      <c r="H696" s="118" t="n">
        <v>11.9</v>
      </c>
      <c r="I696" s="119" t="n">
        <v>40583</v>
      </c>
    </row>
    <row r="697">
      <c r="A697" s="114" t="inlineStr">
        <is>
          <t>543535</t>
        </is>
      </c>
      <c r="B697" s="114" t="n">
        <v>17537</v>
      </c>
      <c r="C697" s="114" t="inlineStr">
        <is>
          <t>United Kingdom</t>
        </is>
      </c>
      <c r="D697" s="114" t="inlineStr">
        <is>
          <t>90122C</t>
        </is>
      </c>
      <c r="E697" s="114" t="inlineStr">
        <is>
          <t>TURQUOISE CRYSTAL+GLASS BRACELET</t>
        </is>
      </c>
      <c r="F697" s="114" t="n">
        <v>1</v>
      </c>
      <c r="G697" s="115" t="n">
        <v>4.95</v>
      </c>
      <c r="H697" s="115" t="n">
        <v>4.95</v>
      </c>
      <c r="I697" s="116" t="n">
        <v>40583</v>
      </c>
    </row>
    <row r="698">
      <c r="A698" s="117" t="inlineStr">
        <is>
          <t>543550</t>
        </is>
      </c>
      <c r="B698" s="117" t="n">
        <v>12601</v>
      </c>
      <c r="C698" s="117" t="inlineStr">
        <is>
          <t>Germany</t>
        </is>
      </c>
      <c r="D698" s="117" t="inlineStr">
        <is>
          <t>21314</t>
        </is>
      </c>
      <c r="E698" s="117" t="inlineStr">
        <is>
          <t>SMALL GLASS HEART TRINKET POT</t>
        </is>
      </c>
      <c r="F698" s="117" t="n">
        <v>8</v>
      </c>
      <c r="G698" s="118" t="n">
        <v>2.1</v>
      </c>
      <c r="H698" s="118" t="n">
        <v>16.8</v>
      </c>
      <c r="I698" s="119" t="n">
        <v>40584</v>
      </c>
    </row>
    <row r="699">
      <c r="A699" s="114" t="inlineStr">
        <is>
          <t>543554</t>
        </is>
      </c>
      <c r="B699" s="114" t="n">
        <v>14733</v>
      </c>
      <c r="C699" s="114" t="inlineStr">
        <is>
          <t>United Kingdom</t>
        </is>
      </c>
      <c r="D699" s="114" t="inlineStr">
        <is>
          <t>22666</t>
        </is>
      </c>
      <c r="E699" s="114" t="inlineStr">
        <is>
          <t>RECIPE BOX PANTRY YELLOW DESIGN</t>
        </is>
      </c>
      <c r="F699" s="114" t="n">
        <v>6</v>
      </c>
      <c r="G699" s="115" t="n">
        <v>2.95</v>
      </c>
      <c r="H699" s="115" t="n">
        <v>17.7</v>
      </c>
      <c r="I699" s="116" t="n">
        <v>40584</v>
      </c>
    </row>
    <row r="700">
      <c r="A700" s="117" t="inlineStr">
        <is>
          <t>543554</t>
        </is>
      </c>
      <c r="B700" s="117" t="n">
        <v>14733</v>
      </c>
      <c r="C700" s="117" t="inlineStr">
        <is>
          <t>United Kingdom</t>
        </is>
      </c>
      <c r="D700" s="117" t="inlineStr">
        <is>
          <t>22624</t>
        </is>
      </c>
      <c r="E700" s="117" t="inlineStr">
        <is>
          <t>IVORY KITCHEN SCALES</t>
        </is>
      </c>
      <c r="F700" s="117" t="n">
        <v>2</v>
      </c>
      <c r="G700" s="118" t="n">
        <v>8.5</v>
      </c>
      <c r="H700" s="118" t="n">
        <v>17</v>
      </c>
      <c r="I700" s="119" t="n">
        <v>40584</v>
      </c>
    </row>
    <row r="701">
      <c r="A701" s="114" t="inlineStr">
        <is>
          <t>543555</t>
        </is>
      </c>
      <c r="B701" s="114" t="n">
        <v>17686</v>
      </c>
      <c r="C701" s="114" t="inlineStr">
        <is>
          <t>United Kingdom</t>
        </is>
      </c>
      <c r="D701" s="114" t="inlineStr">
        <is>
          <t>22849</t>
        </is>
      </c>
      <c r="E701" s="114" t="inlineStr">
        <is>
          <t>BREAD BIN DINER STYLE MINT</t>
        </is>
      </c>
      <c r="F701" s="114" t="n">
        <v>4</v>
      </c>
      <c r="G701" s="115" t="n">
        <v>14.95</v>
      </c>
      <c r="H701" s="115" t="n">
        <v>59.8</v>
      </c>
      <c r="I701" s="116" t="n">
        <v>40584</v>
      </c>
    </row>
    <row r="702">
      <c r="A702" s="117" t="inlineStr">
        <is>
          <t>543555</t>
        </is>
      </c>
      <c r="B702" s="117" t="n">
        <v>17686</v>
      </c>
      <c r="C702" s="117" t="inlineStr">
        <is>
          <t>United Kingdom</t>
        </is>
      </c>
      <c r="D702" s="117" t="inlineStr">
        <is>
          <t>21669</t>
        </is>
      </c>
      <c r="E702" s="117" t="inlineStr">
        <is>
          <t>BLUE STRIPE CERAMIC DRAWER KNOB</t>
        </is>
      </c>
      <c r="F702" s="117" t="n">
        <v>12</v>
      </c>
      <c r="G702" s="118" t="n">
        <v>1.25</v>
      </c>
      <c r="H702" s="118" t="n">
        <v>15</v>
      </c>
      <c r="I702" s="119" t="n">
        <v>40584</v>
      </c>
    </row>
    <row r="703">
      <c r="A703" s="114" t="inlineStr">
        <is>
          <t>543596</t>
        </is>
      </c>
      <c r="B703" s="114" t="n">
        <v>14898</v>
      </c>
      <c r="C703" s="114" t="inlineStr">
        <is>
          <t>United Kingdom</t>
        </is>
      </c>
      <c r="D703" s="114" t="inlineStr">
        <is>
          <t>85170D</t>
        </is>
      </c>
      <c r="E703" s="114" t="inlineStr">
        <is>
          <t>SET/6 PINK BIRD T-LIGHT CANDLES</t>
        </is>
      </c>
      <c r="F703" s="114" t="n">
        <v>6</v>
      </c>
      <c r="G703" s="115" t="n">
        <v>2.1</v>
      </c>
      <c r="H703" s="115" t="n">
        <v>12.6</v>
      </c>
      <c r="I703" s="116" t="n">
        <v>40584</v>
      </c>
    </row>
    <row r="704">
      <c r="A704" s="117" t="inlineStr">
        <is>
          <t>543597</t>
        </is>
      </c>
      <c r="B704" s="117" t="n">
        <v>12857</v>
      </c>
      <c r="C704" s="117" t="inlineStr">
        <is>
          <t>United Kingdom</t>
        </is>
      </c>
      <c r="D704" s="117" t="inlineStr">
        <is>
          <t>22173</t>
        </is>
      </c>
      <c r="E704" s="117" t="inlineStr">
        <is>
          <t>METAL 4 HOOK HANGER FRENCH CHATEAU</t>
        </is>
      </c>
      <c r="F704" s="117" t="n">
        <v>8</v>
      </c>
      <c r="G704" s="118" t="n">
        <v>2.95</v>
      </c>
      <c r="H704" s="118" t="n">
        <v>23.6</v>
      </c>
      <c r="I704" s="119" t="n">
        <v>40584</v>
      </c>
    </row>
    <row r="705">
      <c r="A705" s="114" t="inlineStr">
        <is>
          <t>543600</t>
        </is>
      </c>
      <c r="B705" s="114" t="n">
        <v>18168</v>
      </c>
      <c r="C705" s="114" t="inlineStr">
        <is>
          <t>United Kingdom</t>
        </is>
      </c>
      <c r="D705" s="114" t="inlineStr">
        <is>
          <t>22329</t>
        </is>
      </c>
      <c r="E705" s="114" t="inlineStr">
        <is>
          <t>ROUND CONTAINER SET OF 5 RETROSPOT</t>
        </is>
      </c>
      <c r="F705" s="114" t="n">
        <v>2</v>
      </c>
      <c r="G705" s="115" t="n">
        <v>1.65</v>
      </c>
      <c r="H705" s="115" t="n">
        <v>3.3</v>
      </c>
      <c r="I705" s="116" t="n">
        <v>40584</v>
      </c>
    </row>
    <row r="706">
      <c r="A706" s="117" t="inlineStr">
        <is>
          <t>543610</t>
        </is>
      </c>
      <c r="B706" s="117" t="n">
        <v>16425</v>
      </c>
      <c r="C706" s="117" t="inlineStr">
        <is>
          <t>United Kingdom</t>
        </is>
      </c>
      <c r="D706" s="117" t="inlineStr">
        <is>
          <t>16161P</t>
        </is>
      </c>
      <c r="E706" s="117" t="inlineStr">
        <is>
          <t xml:space="preserve">WRAP ENGLISH ROSE </t>
        </is>
      </c>
      <c r="F706" s="117" t="n">
        <v>25</v>
      </c>
      <c r="G706" s="118" t="n">
        <v>0.42</v>
      </c>
      <c r="H706" s="118" t="n">
        <v>10.5</v>
      </c>
      <c r="I706" s="119" t="n">
        <v>40584</v>
      </c>
    </row>
    <row r="707">
      <c r="A707" s="114" t="inlineStr">
        <is>
          <t>543610</t>
        </is>
      </c>
      <c r="B707" s="114" t="n">
        <v>16425</v>
      </c>
      <c r="C707" s="114" t="inlineStr">
        <is>
          <t>United Kingdom</t>
        </is>
      </c>
      <c r="D707" s="114" t="inlineStr">
        <is>
          <t>48185</t>
        </is>
      </c>
      <c r="E707" s="114" t="inlineStr">
        <is>
          <t>DOORMAT FAIRY CAKE</t>
        </is>
      </c>
      <c r="F707" s="114" t="n">
        <v>2</v>
      </c>
      <c r="G707" s="115" t="n">
        <v>7.95</v>
      </c>
      <c r="H707" s="115" t="n">
        <v>15.9</v>
      </c>
      <c r="I707" s="116" t="n">
        <v>40584</v>
      </c>
    </row>
    <row r="708">
      <c r="A708" s="117" t="inlineStr">
        <is>
          <t>543631</t>
        </is>
      </c>
      <c r="B708" s="117" t="n">
        <v>14081</v>
      </c>
      <c r="C708" s="117" t="inlineStr">
        <is>
          <t>United Kingdom</t>
        </is>
      </c>
      <c r="D708" s="117" t="inlineStr">
        <is>
          <t>21873</t>
        </is>
      </c>
      <c r="E708" s="117" t="inlineStr">
        <is>
          <t>IF YOU CAN'T STAND THE HEAT MUG</t>
        </is>
      </c>
      <c r="F708" s="117" t="n">
        <v>6</v>
      </c>
      <c r="G708" s="118" t="n">
        <v>1.25</v>
      </c>
      <c r="H708" s="118" t="n">
        <v>7.5</v>
      </c>
      <c r="I708" s="119" t="n">
        <v>40584</v>
      </c>
    </row>
    <row r="709">
      <c r="A709" s="114" t="inlineStr">
        <is>
          <t>543653</t>
        </is>
      </c>
      <c r="B709" s="114" t="n">
        <v>14796</v>
      </c>
      <c r="C709" s="114" t="inlineStr">
        <is>
          <t>United Kingdom</t>
        </is>
      </c>
      <c r="D709" s="114" t="inlineStr">
        <is>
          <t>22131</t>
        </is>
      </c>
      <c r="E709" s="114" t="inlineStr">
        <is>
          <t xml:space="preserve">FOOD CONTAINER SET 3 LOVE HEART </t>
        </is>
      </c>
      <c r="F709" s="114" t="n">
        <v>2</v>
      </c>
      <c r="G709" s="115" t="n">
        <v>1.95</v>
      </c>
      <c r="H709" s="115" t="n">
        <v>3.9</v>
      </c>
      <c r="I709" s="116" t="n">
        <v>40585</v>
      </c>
    </row>
    <row r="710">
      <c r="A710" s="117" t="inlineStr">
        <is>
          <t>543657</t>
        </is>
      </c>
      <c r="B710" s="117" t="n">
        <v>15133</v>
      </c>
      <c r="C710" s="117" t="inlineStr">
        <is>
          <t>United Kingdom</t>
        </is>
      </c>
      <c r="D710" s="117" t="inlineStr">
        <is>
          <t>22748</t>
        </is>
      </c>
      <c r="E710" s="117" t="inlineStr">
        <is>
          <t>POPPY'S PLAYHOUSE KITCHEN</t>
        </is>
      </c>
      <c r="F710" s="117" t="n">
        <v>6</v>
      </c>
      <c r="G710" s="118" t="n">
        <v>2.1</v>
      </c>
      <c r="H710" s="118" t="n">
        <v>12.6</v>
      </c>
      <c r="I710" s="119" t="n">
        <v>40585</v>
      </c>
    </row>
    <row r="711">
      <c r="A711" s="114" t="inlineStr">
        <is>
          <t>543693</t>
        </is>
      </c>
      <c r="B711" s="114" t="n">
        <v>12897</v>
      </c>
      <c r="C711" s="114" t="inlineStr">
        <is>
          <t>United Kingdom</t>
        </is>
      </c>
      <c r="D711" s="114" t="inlineStr">
        <is>
          <t>22470</t>
        </is>
      </c>
      <c r="E711" s="114" t="inlineStr">
        <is>
          <t>HEART OF WICKER LARGE</t>
        </is>
      </c>
      <c r="F711" s="114" t="n">
        <v>24</v>
      </c>
      <c r="G711" s="115" t="n">
        <v>2.95</v>
      </c>
      <c r="H711" s="115" t="n">
        <v>70.8</v>
      </c>
      <c r="I711" s="116" t="n">
        <v>40585</v>
      </c>
    </row>
    <row r="712">
      <c r="A712" s="117" t="inlineStr">
        <is>
          <t>543735</t>
        </is>
      </c>
      <c r="B712" s="117" t="n">
        <v>16191</v>
      </c>
      <c r="C712" s="117" t="inlineStr">
        <is>
          <t>United Kingdom</t>
        </is>
      </c>
      <c r="D712" s="117" t="inlineStr">
        <is>
          <t>22720</t>
        </is>
      </c>
      <c r="E712" s="117" t="inlineStr">
        <is>
          <t xml:space="preserve">SET OF 3 CAKE TINS PANTRY DESIGN </t>
        </is>
      </c>
      <c r="F712" s="117" t="n">
        <v>24</v>
      </c>
      <c r="G712" s="118" t="n">
        <v>4.25</v>
      </c>
      <c r="H712" s="118" t="n">
        <v>102</v>
      </c>
      <c r="I712" s="119" t="n">
        <v>40585</v>
      </c>
    </row>
    <row r="713">
      <c r="A713" s="114" t="inlineStr">
        <is>
          <t>543736</t>
        </is>
      </c>
      <c r="B713" s="114" t="n">
        <v>15044</v>
      </c>
      <c r="C713" s="114" t="inlineStr">
        <is>
          <t>United Kingdom</t>
        </is>
      </c>
      <c r="D713" s="114" t="inlineStr">
        <is>
          <t>23230</t>
        </is>
      </c>
      <c r="E713" s="114" t="inlineStr">
        <is>
          <t>WRAP ALPHABET DESIGN</t>
        </is>
      </c>
      <c r="F713" s="114" t="n">
        <v>25</v>
      </c>
      <c r="G713" s="115" t="n">
        <v>0.42</v>
      </c>
      <c r="H713" s="115" t="n">
        <v>10.5</v>
      </c>
      <c r="I713" s="116" t="n">
        <v>40585</v>
      </c>
    </row>
    <row r="714">
      <c r="A714" s="117" t="inlineStr">
        <is>
          <t>543737</t>
        </is>
      </c>
      <c r="B714" s="117" t="n">
        <v>12477</v>
      </c>
      <c r="C714" s="117" t="inlineStr">
        <is>
          <t>Germany</t>
        </is>
      </c>
      <c r="D714" s="117" t="inlineStr">
        <is>
          <t>22482</t>
        </is>
      </c>
      <c r="E714" s="117" t="inlineStr">
        <is>
          <t>BLUE TEA TOWEL CLASSIC DESIGN</t>
        </is>
      </c>
      <c r="F714" s="117" t="n">
        <v>12</v>
      </c>
      <c r="G714" s="118" t="n">
        <v>1.25</v>
      </c>
      <c r="H714" s="118" t="n">
        <v>15</v>
      </c>
      <c r="I714" s="119" t="n">
        <v>40585</v>
      </c>
    </row>
    <row r="715">
      <c r="A715" s="114" t="inlineStr">
        <is>
          <t>543777</t>
        </is>
      </c>
      <c r="B715" s="114" t="n">
        <v>15406</v>
      </c>
      <c r="C715" s="114" t="inlineStr">
        <is>
          <t>United Kingdom</t>
        </is>
      </c>
      <c r="D715" s="114" t="inlineStr">
        <is>
          <t>21592</t>
        </is>
      </c>
      <c r="E715" s="114" t="inlineStr">
        <is>
          <t xml:space="preserve">RETROSPOT CIGAR BOX MATCHES </t>
        </is>
      </c>
      <c r="F715" s="114" t="n">
        <v>3</v>
      </c>
      <c r="G715" s="115" t="n">
        <v>1.25</v>
      </c>
      <c r="H715" s="115" t="n">
        <v>3.75</v>
      </c>
      <c r="I715" s="116" t="n">
        <v>40585</v>
      </c>
    </row>
    <row r="716">
      <c r="A716" s="117" t="inlineStr">
        <is>
          <t>543800</t>
        </is>
      </c>
      <c r="B716" s="117" t="n">
        <v>17282</v>
      </c>
      <c r="C716" s="117" t="inlineStr">
        <is>
          <t>United Kingdom</t>
        </is>
      </c>
      <c r="D716" s="117" t="inlineStr">
        <is>
          <t>20774</t>
        </is>
      </c>
      <c r="E716" s="117" t="inlineStr">
        <is>
          <t>GREEN FERN NOTEBOOK</t>
        </is>
      </c>
      <c r="F716" s="117" t="n">
        <v>2</v>
      </c>
      <c r="G716" s="118" t="n">
        <v>1.65</v>
      </c>
      <c r="H716" s="118" t="n">
        <v>3.3</v>
      </c>
      <c r="I716" s="119" t="n">
        <v>40587</v>
      </c>
    </row>
    <row r="717">
      <c r="A717" s="114" t="inlineStr">
        <is>
          <t>543803</t>
        </is>
      </c>
      <c r="B717" s="114" t="n">
        <v>17126</v>
      </c>
      <c r="C717" s="114" t="inlineStr">
        <is>
          <t>United Kingdom</t>
        </is>
      </c>
      <c r="D717" s="114" t="inlineStr">
        <is>
          <t>22524</t>
        </is>
      </c>
      <c r="E717" s="114" t="inlineStr">
        <is>
          <t>CHILDRENS GARDEN GLOVES BLUE</t>
        </is>
      </c>
      <c r="F717" s="114" t="n">
        <v>1</v>
      </c>
      <c r="G717" s="115" t="n">
        <v>1.25</v>
      </c>
      <c r="H717" s="115" t="n">
        <v>1.25</v>
      </c>
      <c r="I717" s="116" t="n">
        <v>40587</v>
      </c>
    </row>
    <row r="718">
      <c r="A718" s="117" t="inlineStr">
        <is>
          <t>543803</t>
        </is>
      </c>
      <c r="B718" s="117" t="n">
        <v>17126</v>
      </c>
      <c r="C718" s="117" t="inlineStr">
        <is>
          <t>United Kingdom</t>
        </is>
      </c>
      <c r="D718" s="117" t="inlineStr">
        <is>
          <t>84231</t>
        </is>
      </c>
      <c r="E718" s="117" t="inlineStr">
        <is>
          <t>EASTER BUNNY WITH BASKET ON BACK</t>
        </is>
      </c>
      <c r="F718" s="117" t="n">
        <v>1</v>
      </c>
      <c r="G718" s="118" t="n">
        <v>0.65</v>
      </c>
      <c r="H718" s="118" t="n">
        <v>0.65</v>
      </c>
      <c r="I718" s="119" t="n">
        <v>40587</v>
      </c>
    </row>
    <row r="719">
      <c r="A719" s="114" t="inlineStr">
        <is>
          <t>543806</t>
        </is>
      </c>
      <c r="B719" s="114" t="n">
        <v>17085</v>
      </c>
      <c r="C719" s="114" t="inlineStr">
        <is>
          <t>United Kingdom</t>
        </is>
      </c>
      <c r="D719" s="114" t="inlineStr">
        <is>
          <t>82583</t>
        </is>
      </c>
      <c r="E719" s="114" t="inlineStr">
        <is>
          <t>HOT BATHS METAL SIGN</t>
        </is>
      </c>
      <c r="F719" s="114" t="n">
        <v>2</v>
      </c>
      <c r="G719" s="115" t="n">
        <v>2.1</v>
      </c>
      <c r="H719" s="115" t="n">
        <v>4.2</v>
      </c>
      <c r="I719" s="116" t="n">
        <v>40587</v>
      </c>
    </row>
    <row r="720">
      <c r="A720" s="117" t="inlineStr">
        <is>
          <t>543810</t>
        </is>
      </c>
      <c r="B720" s="117" t="n">
        <v>13171</v>
      </c>
      <c r="C720" s="117" t="inlineStr">
        <is>
          <t>United Kingdom</t>
        </is>
      </c>
      <c r="D720" s="117" t="inlineStr">
        <is>
          <t>21781</t>
        </is>
      </c>
      <c r="E720" s="117" t="inlineStr">
        <is>
          <t>MA CAMPAGNE CUTLERY BOX</t>
        </is>
      </c>
      <c r="F720" s="117" t="n">
        <v>1</v>
      </c>
      <c r="G720" s="118" t="n">
        <v>14.95</v>
      </c>
      <c r="H720" s="118" t="n">
        <v>14.95</v>
      </c>
      <c r="I720" s="119" t="n">
        <v>40587</v>
      </c>
    </row>
    <row r="721">
      <c r="A721" s="114" t="inlineStr">
        <is>
          <t>543810</t>
        </is>
      </c>
      <c r="B721" s="114" t="n">
        <v>13171</v>
      </c>
      <c r="C721" s="114" t="inlineStr">
        <is>
          <t>United Kingdom</t>
        </is>
      </c>
      <c r="D721" s="114" t="inlineStr">
        <is>
          <t>22843</t>
        </is>
      </c>
      <c r="E721" s="114" t="inlineStr">
        <is>
          <t>BISCUIT TIN VINTAGE GREEN</t>
        </is>
      </c>
      <c r="F721" s="114" t="n">
        <v>1</v>
      </c>
      <c r="G721" s="115" t="n">
        <v>6.75</v>
      </c>
      <c r="H721" s="115" t="n">
        <v>6.75</v>
      </c>
      <c r="I721" s="116" t="n">
        <v>40587</v>
      </c>
    </row>
    <row r="722">
      <c r="A722" s="117" t="inlineStr">
        <is>
          <t>543812</t>
        </is>
      </c>
      <c r="B722" s="117" t="n">
        <v>17472</v>
      </c>
      <c r="C722" s="117" t="inlineStr">
        <is>
          <t>United Kingdom</t>
        </is>
      </c>
      <c r="D722" s="117" t="inlineStr">
        <is>
          <t>21790</t>
        </is>
      </c>
      <c r="E722" s="117" t="inlineStr">
        <is>
          <t>VINTAGE SNAP CARDS</t>
        </is>
      </c>
      <c r="F722" s="117" t="n">
        <v>1</v>
      </c>
      <c r="G722" s="118" t="n">
        <v>0.85</v>
      </c>
      <c r="H722" s="118" t="n">
        <v>0.85</v>
      </c>
      <c r="I722" s="119" t="n">
        <v>40587</v>
      </c>
    </row>
    <row r="723">
      <c r="A723" s="114" t="inlineStr">
        <is>
          <t>543828</t>
        </is>
      </c>
      <c r="B723" s="114" t="n">
        <v>14156</v>
      </c>
      <c r="C723" s="114" t="inlineStr">
        <is>
          <t>EIRE</t>
        </is>
      </c>
      <c r="D723" s="114" t="inlineStr">
        <is>
          <t>20828</t>
        </is>
      </c>
      <c r="E723" s="114" t="inlineStr">
        <is>
          <t>GLITTER BUTTERFLY CLIPS</t>
        </is>
      </c>
      <c r="F723" s="114" t="n">
        <v>12</v>
      </c>
      <c r="G723" s="115" t="n">
        <v>2.55</v>
      </c>
      <c r="H723" s="115" t="n">
        <v>30.6</v>
      </c>
      <c r="I723" s="116" t="n">
        <v>40588</v>
      </c>
    </row>
    <row r="724">
      <c r="A724" s="117" t="inlineStr">
        <is>
          <t>543836</t>
        </is>
      </c>
      <c r="B724" s="117" t="n">
        <v>15236</v>
      </c>
      <c r="C724" s="117" t="inlineStr">
        <is>
          <t>United Kingdom</t>
        </is>
      </c>
      <c r="D724" s="117" t="inlineStr">
        <is>
          <t>22986</t>
        </is>
      </c>
      <c r="E724" s="117" t="inlineStr">
        <is>
          <t>GINGHAM ROSE WRAP</t>
        </is>
      </c>
      <c r="F724" s="117" t="n">
        <v>25</v>
      </c>
      <c r="G724" s="118" t="n">
        <v>0.42</v>
      </c>
      <c r="H724" s="118" t="n">
        <v>10.5</v>
      </c>
      <c r="I724" s="119" t="n">
        <v>40588</v>
      </c>
    </row>
    <row r="725">
      <c r="A725" s="114" t="inlineStr">
        <is>
          <t>543913</t>
        </is>
      </c>
      <c r="B725" s="114" t="n">
        <v>17591</v>
      </c>
      <c r="C725" s="114" t="inlineStr">
        <is>
          <t>United Kingdom</t>
        </is>
      </c>
      <c r="D725" s="114" t="inlineStr">
        <is>
          <t>21166</t>
        </is>
      </c>
      <c r="E725" s="114" t="inlineStr">
        <is>
          <t xml:space="preserve">COOK WITH WINE METAL SIGN </t>
        </is>
      </c>
      <c r="F725" s="114" t="n">
        <v>3</v>
      </c>
      <c r="G725" s="115" t="n">
        <v>2.08</v>
      </c>
      <c r="H725" s="115" t="n">
        <v>6.24</v>
      </c>
      <c r="I725" s="116" t="n">
        <v>40588</v>
      </c>
    </row>
    <row r="726">
      <c r="A726" s="117" t="inlineStr">
        <is>
          <t>543914</t>
        </is>
      </c>
      <c r="B726" s="117" t="n">
        <v>14715</v>
      </c>
      <c r="C726" s="117" t="inlineStr">
        <is>
          <t>United Kingdom</t>
        </is>
      </c>
      <c r="D726" s="117" t="inlineStr">
        <is>
          <t>22908</t>
        </is>
      </c>
      <c r="E726" s="117" t="inlineStr">
        <is>
          <t>PACK OF 20 NAPKINS RED APPLES</t>
        </is>
      </c>
      <c r="F726" s="117" t="n">
        <v>6</v>
      </c>
      <c r="G726" s="118" t="n">
        <v>0.85</v>
      </c>
      <c r="H726" s="118" t="n">
        <v>5.1</v>
      </c>
      <c r="I726" s="119" t="n">
        <v>40588</v>
      </c>
    </row>
    <row r="727">
      <c r="A727" s="114" t="inlineStr">
        <is>
          <t>543973</t>
        </is>
      </c>
      <c r="B727" s="114" t="n">
        <v>17571</v>
      </c>
      <c r="C727" s="114" t="inlineStr">
        <is>
          <t>United Kingdom</t>
        </is>
      </c>
      <c r="D727" s="114" t="inlineStr">
        <is>
          <t>85206A</t>
        </is>
      </c>
      <c r="E727" s="114" t="inlineStr">
        <is>
          <t>CREAM FELT EASTER EGG BASKET</t>
        </is>
      </c>
      <c r="F727" s="114" t="n">
        <v>1</v>
      </c>
      <c r="G727" s="115" t="n">
        <v>1.65</v>
      </c>
      <c r="H727" s="115" t="n">
        <v>1.65</v>
      </c>
      <c r="I727" s="116" t="n">
        <v>40588</v>
      </c>
    </row>
    <row r="728">
      <c r="A728" s="117" t="inlineStr">
        <is>
          <t>543973</t>
        </is>
      </c>
      <c r="B728" s="117" t="n">
        <v>17571</v>
      </c>
      <c r="C728" s="117" t="inlineStr">
        <is>
          <t>United Kingdom</t>
        </is>
      </c>
      <c r="D728" s="117" t="inlineStr">
        <is>
          <t>22789</t>
        </is>
      </c>
      <c r="E728" s="117" t="inlineStr">
        <is>
          <t>T-LIGHT HOLDER SWEETHEART HANGING</t>
        </is>
      </c>
      <c r="F728" s="117" t="n">
        <v>8</v>
      </c>
      <c r="G728" s="118" t="n">
        <v>1.95</v>
      </c>
      <c r="H728" s="118" t="n">
        <v>15.6</v>
      </c>
      <c r="I728" s="119" t="n">
        <v>40588</v>
      </c>
    </row>
    <row r="729">
      <c r="A729" s="114" t="inlineStr">
        <is>
          <t>543975</t>
        </is>
      </c>
      <c r="B729" s="114" t="n">
        <v>17231</v>
      </c>
      <c r="C729" s="114" t="inlineStr">
        <is>
          <t>United Kingdom</t>
        </is>
      </c>
      <c r="D729" s="114" t="inlineStr">
        <is>
          <t>90014A</t>
        </is>
      </c>
      <c r="E729" s="114" t="inlineStr">
        <is>
          <t>SILVER/MOP ORBIT NECKLACE</t>
        </is>
      </c>
      <c r="F729" s="114" t="n">
        <v>2</v>
      </c>
      <c r="G729" s="115" t="n">
        <v>9.949999999999999</v>
      </c>
      <c r="H729" s="115" t="n">
        <v>19.9</v>
      </c>
      <c r="I729" s="116" t="n">
        <v>40588</v>
      </c>
    </row>
    <row r="730">
      <c r="A730" s="117" t="inlineStr">
        <is>
          <t>543975</t>
        </is>
      </c>
      <c r="B730" s="117" t="n">
        <v>17231</v>
      </c>
      <c r="C730" s="117" t="inlineStr">
        <is>
          <t>United Kingdom</t>
        </is>
      </c>
      <c r="D730" s="117" t="inlineStr">
        <is>
          <t>84849D</t>
        </is>
      </c>
      <c r="E730" s="117" t="inlineStr">
        <is>
          <t>HOT BATHS SOAP HOLDER</t>
        </is>
      </c>
      <c r="F730" s="117" t="n">
        <v>2</v>
      </c>
      <c r="G730" s="118" t="n">
        <v>1.69</v>
      </c>
      <c r="H730" s="118" t="n">
        <v>3.38</v>
      </c>
      <c r="I730" s="119" t="n">
        <v>40588</v>
      </c>
    </row>
    <row r="731">
      <c r="A731" s="114" t="inlineStr">
        <is>
          <t>543977</t>
        </is>
      </c>
      <c r="B731" s="114" t="n">
        <v>15615</v>
      </c>
      <c r="C731" s="114" t="inlineStr">
        <is>
          <t>United Kingdom</t>
        </is>
      </c>
      <c r="D731" s="114" t="inlineStr">
        <is>
          <t>22457</t>
        </is>
      </c>
      <c r="E731" s="114" t="inlineStr">
        <is>
          <t xml:space="preserve">NATURAL SLATE HEART CHALKBOARD </t>
        </is>
      </c>
      <c r="F731" s="114" t="n">
        <v>12</v>
      </c>
      <c r="G731" s="115" t="n">
        <v>2.95</v>
      </c>
      <c r="H731" s="115" t="n">
        <v>35.4</v>
      </c>
      <c r="I731" s="116" t="n">
        <v>40588</v>
      </c>
    </row>
    <row r="732">
      <c r="A732" s="117" t="inlineStr">
        <is>
          <t>543978</t>
        </is>
      </c>
      <c r="B732" s="117" t="n">
        <v>12867</v>
      </c>
      <c r="C732" s="117" t="inlineStr">
        <is>
          <t>United Kingdom</t>
        </is>
      </c>
      <c r="D732" s="117" t="inlineStr">
        <is>
          <t>22348</t>
        </is>
      </c>
      <c r="E732" s="117" t="inlineStr">
        <is>
          <t>TEA BAG PLATE RED RETROSPOT</t>
        </is>
      </c>
      <c r="F732" s="117" t="n">
        <v>10</v>
      </c>
      <c r="G732" s="118" t="n">
        <v>0.85</v>
      </c>
      <c r="H732" s="118" t="n">
        <v>8.5</v>
      </c>
      <c r="I732" s="119" t="n">
        <v>40588</v>
      </c>
    </row>
    <row r="733">
      <c r="A733" s="114" t="inlineStr">
        <is>
          <t>543978</t>
        </is>
      </c>
      <c r="B733" s="114" t="n">
        <v>12867</v>
      </c>
      <c r="C733" s="114" t="inlineStr">
        <is>
          <t>United Kingdom</t>
        </is>
      </c>
      <c r="D733" s="114" t="inlineStr">
        <is>
          <t>21976</t>
        </is>
      </c>
      <c r="E733" s="114" t="inlineStr">
        <is>
          <t>PACK OF 60 MUSHROOM CAKE CASES</t>
        </is>
      </c>
      <c r="F733" s="114" t="n">
        <v>3</v>
      </c>
      <c r="G733" s="115" t="n">
        <v>0.55</v>
      </c>
      <c r="H733" s="115" t="n">
        <v>1.65</v>
      </c>
      <c r="I733" s="116" t="n">
        <v>40588</v>
      </c>
    </row>
    <row r="734">
      <c r="A734" s="117" t="inlineStr">
        <is>
          <t>543981</t>
        </is>
      </c>
      <c r="B734" s="117" t="n">
        <v>15358</v>
      </c>
      <c r="C734" s="117" t="inlineStr">
        <is>
          <t>United Kingdom</t>
        </is>
      </c>
      <c r="D734" s="117" t="inlineStr">
        <is>
          <t>22817</t>
        </is>
      </c>
      <c r="E734" s="117" t="inlineStr">
        <is>
          <t>CARD SUKI BIRTHDAY</t>
        </is>
      </c>
      <c r="F734" s="117" t="n">
        <v>12</v>
      </c>
      <c r="G734" s="118" t="n">
        <v>0.42</v>
      </c>
      <c r="H734" s="118" t="n">
        <v>5.04</v>
      </c>
      <c r="I734" s="119" t="n">
        <v>40589</v>
      </c>
    </row>
    <row r="735">
      <c r="A735" s="114" t="inlineStr">
        <is>
          <t>543984</t>
        </is>
      </c>
      <c r="B735" s="114" t="n">
        <v>15601</v>
      </c>
      <c r="C735" s="114" t="inlineStr">
        <is>
          <t>United Kingdom</t>
        </is>
      </c>
      <c r="D735" s="114" t="inlineStr">
        <is>
          <t>22969</t>
        </is>
      </c>
      <c r="E735" s="114" t="inlineStr">
        <is>
          <t>HOMEMADE JAM SCENTED CANDLES</t>
        </is>
      </c>
      <c r="F735" s="114" t="n">
        <v>24</v>
      </c>
      <c r="G735" s="115" t="n">
        <v>1.45</v>
      </c>
      <c r="H735" s="115" t="n">
        <v>34.8</v>
      </c>
      <c r="I735" s="116" t="n">
        <v>40589</v>
      </c>
    </row>
    <row r="736">
      <c r="A736" s="117" t="inlineStr">
        <is>
          <t>543986</t>
        </is>
      </c>
      <c r="B736" s="117" t="n">
        <v>16738</v>
      </c>
      <c r="C736" s="117" t="inlineStr">
        <is>
          <t>United Kingdom</t>
        </is>
      </c>
      <c r="D736" s="117" t="inlineStr">
        <is>
          <t>46000U</t>
        </is>
      </c>
      <c r="E736" s="117" t="inlineStr">
        <is>
          <t>POLYESTER FILLER PAD 30CMx30CM</t>
        </is>
      </c>
      <c r="F736" s="117" t="n">
        <v>3</v>
      </c>
      <c r="G736" s="118" t="n">
        <v>1.25</v>
      </c>
      <c r="H736" s="118" t="n">
        <v>3.75</v>
      </c>
      <c r="I736" s="119" t="n">
        <v>40589</v>
      </c>
    </row>
    <row r="737">
      <c r="A737" s="114" t="inlineStr">
        <is>
          <t>543989</t>
        </is>
      </c>
      <c r="B737" s="114" t="n">
        <v>12415</v>
      </c>
      <c r="C737" s="114" t="inlineStr">
        <is>
          <t>Australia</t>
        </is>
      </c>
      <c r="D737" s="114" t="inlineStr">
        <is>
          <t>22029</t>
        </is>
      </c>
      <c r="E737" s="114" t="inlineStr">
        <is>
          <t>SPACEBOY BIRTHDAY CARD</t>
        </is>
      </c>
      <c r="F737" s="114" t="n">
        <v>144</v>
      </c>
      <c r="G737" s="115" t="n">
        <v>0.36</v>
      </c>
      <c r="H737" s="115" t="n">
        <v>51.84</v>
      </c>
      <c r="I737" s="116" t="n">
        <v>40589</v>
      </c>
    </row>
    <row r="738">
      <c r="A738" s="117" t="inlineStr">
        <is>
          <t>543989</t>
        </is>
      </c>
      <c r="B738" s="117" t="n">
        <v>12415</v>
      </c>
      <c r="C738" s="117" t="inlineStr">
        <is>
          <t>Australia</t>
        </is>
      </c>
      <c r="D738" s="117" t="inlineStr">
        <is>
          <t>21212</t>
        </is>
      </c>
      <c r="E738" s="117" t="inlineStr">
        <is>
          <t>PACK OF 72 RETROSPOT CAKE CASES</t>
        </is>
      </c>
      <c r="F738" s="117" t="n">
        <v>120</v>
      </c>
      <c r="G738" s="118" t="n">
        <v>0.42</v>
      </c>
      <c r="H738" s="118" t="n">
        <v>50.4</v>
      </c>
      <c r="I738" s="119" t="n">
        <v>40589</v>
      </c>
    </row>
    <row r="739">
      <c r="A739" s="114" t="inlineStr">
        <is>
          <t>543996</t>
        </is>
      </c>
      <c r="B739" s="114" t="n">
        <v>15811</v>
      </c>
      <c r="C739" s="114" t="inlineStr">
        <is>
          <t>United Kingdom</t>
        </is>
      </c>
      <c r="D739" s="114" t="inlineStr">
        <is>
          <t>22881</t>
        </is>
      </c>
      <c r="E739" s="114" t="inlineStr">
        <is>
          <t>NUMBER TILE VINTAGE FONT 2</t>
        </is>
      </c>
      <c r="F739" s="114" t="n">
        <v>8</v>
      </c>
      <c r="G739" s="115" t="n">
        <v>1.95</v>
      </c>
      <c r="H739" s="115" t="n">
        <v>15.6</v>
      </c>
      <c r="I739" s="116" t="n">
        <v>40589</v>
      </c>
    </row>
    <row r="740">
      <c r="A740" s="117" t="inlineStr">
        <is>
          <t>544037</t>
        </is>
      </c>
      <c r="B740" s="117" t="n">
        <v>14961</v>
      </c>
      <c r="C740" s="117" t="inlineStr">
        <is>
          <t>United Kingdom</t>
        </is>
      </c>
      <c r="D740" s="117" t="inlineStr">
        <is>
          <t>84992</t>
        </is>
      </c>
      <c r="E740" s="117" t="inlineStr">
        <is>
          <t>72 SWEETHEART FAIRY CAKE CASES</t>
        </is>
      </c>
      <c r="F740" s="117" t="n">
        <v>24</v>
      </c>
      <c r="G740" s="118" t="n">
        <v>0.55</v>
      </c>
      <c r="H740" s="118" t="n">
        <v>13.2</v>
      </c>
      <c r="I740" s="119" t="n">
        <v>40589</v>
      </c>
    </row>
    <row r="741">
      <c r="A741" s="114" t="inlineStr">
        <is>
          <t>544037</t>
        </is>
      </c>
      <c r="B741" s="114" t="n">
        <v>14961</v>
      </c>
      <c r="C741" s="114" t="inlineStr">
        <is>
          <t>United Kingdom</t>
        </is>
      </c>
      <c r="D741" s="114" t="inlineStr">
        <is>
          <t>21662</t>
        </is>
      </c>
      <c r="E741" s="114" t="inlineStr">
        <is>
          <t>VINTAGE GLASS COFFEE CADDY</t>
        </is>
      </c>
      <c r="F741" s="114" t="n">
        <v>3</v>
      </c>
      <c r="G741" s="115" t="n">
        <v>5.95</v>
      </c>
      <c r="H741" s="115" t="n">
        <v>17.85</v>
      </c>
      <c r="I741" s="116" t="n">
        <v>40589</v>
      </c>
    </row>
    <row r="742">
      <c r="A742" s="117" t="inlineStr">
        <is>
          <t>544051</t>
        </is>
      </c>
      <c r="B742" s="117" t="n">
        <v>16700</v>
      </c>
      <c r="C742" s="117" t="inlineStr">
        <is>
          <t>United Kingdom</t>
        </is>
      </c>
      <c r="D742" s="117" t="inlineStr">
        <is>
          <t>20728</t>
        </is>
      </c>
      <c r="E742" s="117" t="inlineStr">
        <is>
          <t>LUNCH BAG CARS BLUE</t>
        </is>
      </c>
      <c r="F742" s="117" t="n">
        <v>10</v>
      </c>
      <c r="G742" s="118" t="n">
        <v>1.65</v>
      </c>
      <c r="H742" s="118" t="n">
        <v>16.5</v>
      </c>
      <c r="I742" s="119" t="n">
        <v>40589</v>
      </c>
    </row>
    <row r="743">
      <c r="A743" s="114" t="inlineStr">
        <is>
          <t>544055</t>
        </is>
      </c>
      <c r="B743" s="114" t="n">
        <v>14035</v>
      </c>
      <c r="C743" s="114" t="inlineStr">
        <is>
          <t>United Kingdom</t>
        </is>
      </c>
      <c r="D743" s="114" t="inlineStr">
        <is>
          <t>21390</t>
        </is>
      </c>
      <c r="E743" s="114" t="inlineStr">
        <is>
          <t>FILIGRIS HEART WITH BUTTERFLY</t>
        </is>
      </c>
      <c r="F743" s="114" t="n">
        <v>24</v>
      </c>
      <c r="G743" s="115" t="n">
        <v>1.25</v>
      </c>
      <c r="H743" s="115" t="n">
        <v>30</v>
      </c>
      <c r="I743" s="116" t="n">
        <v>40589</v>
      </c>
    </row>
    <row r="744">
      <c r="A744" s="117" t="inlineStr">
        <is>
          <t>544059</t>
        </is>
      </c>
      <c r="B744" s="117" t="n">
        <v>14534</v>
      </c>
      <c r="C744" s="117" t="inlineStr">
        <is>
          <t>United Kingdom</t>
        </is>
      </c>
      <c r="D744" s="117" t="inlineStr">
        <is>
          <t>22727</t>
        </is>
      </c>
      <c r="E744" s="117" t="inlineStr">
        <is>
          <t xml:space="preserve">ALARM CLOCK BAKELIKE RED </t>
        </is>
      </c>
      <c r="F744" s="117" t="n">
        <v>2</v>
      </c>
      <c r="G744" s="118" t="n">
        <v>3.75</v>
      </c>
      <c r="H744" s="118" t="n">
        <v>7.5</v>
      </c>
      <c r="I744" s="119" t="n">
        <v>40589</v>
      </c>
    </row>
    <row r="745">
      <c r="A745" s="114" t="inlineStr">
        <is>
          <t>544067</t>
        </is>
      </c>
      <c r="B745" s="114" t="n">
        <v>16431</v>
      </c>
      <c r="C745" s="114" t="inlineStr">
        <is>
          <t>United Kingdom</t>
        </is>
      </c>
      <c r="D745" s="114" t="inlineStr">
        <is>
          <t>22697</t>
        </is>
      </c>
      <c r="E745" s="114" t="inlineStr">
        <is>
          <t>GREEN REGENCY TEACUP AND SAUCER</t>
        </is>
      </c>
      <c r="F745" s="114" t="n">
        <v>8</v>
      </c>
      <c r="G745" s="115" t="n">
        <v>2.95</v>
      </c>
      <c r="H745" s="115" t="n">
        <v>23.6</v>
      </c>
      <c r="I745" s="116" t="n">
        <v>40589</v>
      </c>
    </row>
    <row r="746">
      <c r="A746" s="117" t="inlineStr">
        <is>
          <t>544070</t>
        </is>
      </c>
      <c r="B746" s="117" t="n">
        <v>15370</v>
      </c>
      <c r="C746" s="117" t="inlineStr">
        <is>
          <t>United Kingdom</t>
        </is>
      </c>
      <c r="D746" s="117" t="inlineStr">
        <is>
          <t>47559B</t>
        </is>
      </c>
      <c r="E746" s="117" t="inlineStr">
        <is>
          <t>TEA TIME OVEN GLOVE</t>
        </is>
      </c>
      <c r="F746" s="117" t="n">
        <v>10</v>
      </c>
      <c r="G746" s="118" t="n">
        <v>1.25</v>
      </c>
      <c r="H746" s="118" t="n">
        <v>12.5</v>
      </c>
      <c r="I746" s="119" t="n">
        <v>40589</v>
      </c>
    </row>
    <row r="747">
      <c r="A747" s="114" t="inlineStr">
        <is>
          <t>544074</t>
        </is>
      </c>
      <c r="B747" s="114" t="n">
        <v>14156</v>
      </c>
      <c r="C747" s="114" t="inlineStr">
        <is>
          <t>EIRE</t>
        </is>
      </c>
      <c r="D747" s="114" t="inlineStr">
        <is>
          <t>22450</t>
        </is>
      </c>
      <c r="E747" s="114" t="inlineStr">
        <is>
          <t>SILK PURSE BABUSHKA BLUE</t>
        </is>
      </c>
      <c r="F747" s="114" t="n">
        <v>2</v>
      </c>
      <c r="G747" s="115" t="n">
        <v>3.35</v>
      </c>
      <c r="H747" s="115" t="n">
        <v>6.7</v>
      </c>
      <c r="I747" s="116" t="n">
        <v>40589</v>
      </c>
    </row>
    <row r="748">
      <c r="A748" s="117" t="inlineStr">
        <is>
          <t>544074</t>
        </is>
      </c>
      <c r="B748" s="117" t="n">
        <v>14156</v>
      </c>
      <c r="C748" s="117" t="inlineStr">
        <is>
          <t>EIRE</t>
        </is>
      </c>
      <c r="D748" s="117" t="inlineStr">
        <is>
          <t>82581</t>
        </is>
      </c>
      <c r="E748" s="117" t="inlineStr">
        <is>
          <t>TOILET METAL SIGN</t>
        </is>
      </c>
      <c r="F748" s="117" t="n">
        <v>6</v>
      </c>
      <c r="G748" s="118" t="n">
        <v>0.55</v>
      </c>
      <c r="H748" s="118" t="n">
        <v>3.3</v>
      </c>
      <c r="I748" s="119" t="n">
        <v>40589</v>
      </c>
    </row>
    <row r="749">
      <c r="A749" s="114" t="inlineStr">
        <is>
          <t>544077</t>
        </is>
      </c>
      <c r="B749" s="114" t="n">
        <v>14825</v>
      </c>
      <c r="C749" s="114" t="inlineStr">
        <is>
          <t>United Kingdom</t>
        </is>
      </c>
      <c r="D749" s="114" t="inlineStr">
        <is>
          <t>22249</t>
        </is>
      </c>
      <c r="E749" s="114" t="inlineStr">
        <is>
          <t>DECORATION WHITE CHICK MAGIC GARDEN</t>
        </is>
      </c>
      <c r="F749" s="114" t="n">
        <v>2</v>
      </c>
      <c r="G749" s="115" t="n">
        <v>0.85</v>
      </c>
      <c r="H749" s="115" t="n">
        <v>1.7</v>
      </c>
      <c r="I749" s="116" t="n">
        <v>40589</v>
      </c>
    </row>
    <row r="750">
      <c r="A750" s="117" t="inlineStr">
        <is>
          <t>544092</t>
        </is>
      </c>
      <c r="B750" s="117" t="n">
        <v>17512</v>
      </c>
      <c r="C750" s="117" t="inlineStr">
        <is>
          <t>United Kingdom</t>
        </is>
      </c>
      <c r="D750" s="117" t="inlineStr">
        <is>
          <t>22686</t>
        </is>
      </c>
      <c r="E750" s="117" t="inlineStr">
        <is>
          <t>FRENCH BLUE METAL DOOR SIGN No</t>
        </is>
      </c>
      <c r="F750" s="117" t="n">
        <v>12</v>
      </c>
      <c r="G750" s="118" t="n">
        <v>1.25</v>
      </c>
      <c r="H750" s="118" t="n">
        <v>15</v>
      </c>
      <c r="I750" s="119" t="n">
        <v>40590</v>
      </c>
    </row>
    <row r="751">
      <c r="A751" s="114" t="inlineStr">
        <is>
          <t>544097</t>
        </is>
      </c>
      <c r="B751" s="114" t="n">
        <v>12455</v>
      </c>
      <c r="C751" s="114" t="inlineStr">
        <is>
          <t>Cyprus</t>
        </is>
      </c>
      <c r="D751" s="114" t="inlineStr">
        <is>
          <t>22597</t>
        </is>
      </c>
      <c r="E751" s="114" t="inlineStr">
        <is>
          <t xml:space="preserve">MUSICAL ZINC HEART DECORATION </t>
        </is>
      </c>
      <c r="F751" s="114" t="n">
        <v>48</v>
      </c>
      <c r="G751" s="115" t="n">
        <v>0.85</v>
      </c>
      <c r="H751" s="115" t="n">
        <v>40.8</v>
      </c>
      <c r="I751" s="116" t="n">
        <v>40590</v>
      </c>
    </row>
    <row r="752">
      <c r="A752" s="117" t="inlineStr">
        <is>
          <t>544100</t>
        </is>
      </c>
      <c r="B752" s="117" t="n">
        <v>15002</v>
      </c>
      <c r="C752" s="117" t="inlineStr">
        <is>
          <t>United Kingdom</t>
        </is>
      </c>
      <c r="D752" s="117" t="inlineStr">
        <is>
          <t>72351A</t>
        </is>
      </c>
      <c r="E752" s="117" t="inlineStr">
        <is>
          <t>SET/6 TURQUOISE BUTTERFLY T-LIGHTS</t>
        </is>
      </c>
      <c r="F752" s="117" t="n">
        <v>4</v>
      </c>
      <c r="G752" s="118" t="n">
        <v>2.1</v>
      </c>
      <c r="H752" s="118" t="n">
        <v>8.4</v>
      </c>
      <c r="I752" s="119" t="n">
        <v>40590</v>
      </c>
    </row>
    <row r="753">
      <c r="A753" s="114" t="inlineStr">
        <is>
          <t>544106</t>
        </is>
      </c>
      <c r="B753" s="114" t="n">
        <v>14530</v>
      </c>
      <c r="C753" s="114" t="inlineStr">
        <is>
          <t>United Kingdom</t>
        </is>
      </c>
      <c r="D753" s="114" t="inlineStr">
        <is>
          <t>22457</t>
        </is>
      </c>
      <c r="E753" s="114" t="inlineStr">
        <is>
          <t xml:space="preserve">NATURAL SLATE HEART CHALKBOARD </t>
        </is>
      </c>
      <c r="F753" s="114" t="n">
        <v>12</v>
      </c>
      <c r="G753" s="115" t="n">
        <v>2.95</v>
      </c>
      <c r="H753" s="115" t="n">
        <v>35.4</v>
      </c>
      <c r="I753" s="116" t="n">
        <v>40590</v>
      </c>
    </row>
    <row r="754">
      <c r="A754" s="117" t="inlineStr">
        <is>
          <t>544107</t>
        </is>
      </c>
      <c r="B754" s="117" t="n">
        <v>15670</v>
      </c>
      <c r="C754" s="117" t="inlineStr">
        <is>
          <t>United Kingdom</t>
        </is>
      </c>
      <c r="D754" s="117" t="inlineStr">
        <is>
          <t>22499</t>
        </is>
      </c>
      <c r="E754" s="117" t="inlineStr">
        <is>
          <t>WOODEN UNION JACK BUNTING</t>
        </is>
      </c>
      <c r="F754" s="117" t="n">
        <v>3</v>
      </c>
      <c r="G754" s="118" t="n">
        <v>5.95</v>
      </c>
      <c r="H754" s="118" t="n">
        <v>17.85</v>
      </c>
      <c r="I754" s="119" t="n">
        <v>40590</v>
      </c>
    </row>
    <row r="755">
      <c r="A755" s="114" t="inlineStr">
        <is>
          <t>544112</t>
        </is>
      </c>
      <c r="B755" s="114" t="n">
        <v>15039</v>
      </c>
      <c r="C755" s="114" t="inlineStr">
        <is>
          <t>United Kingdom</t>
        </is>
      </c>
      <c r="D755" s="114" t="inlineStr">
        <is>
          <t>20713</t>
        </is>
      </c>
      <c r="E755" s="114" t="inlineStr">
        <is>
          <t>JUMBO BAG OWLS</t>
        </is>
      </c>
      <c r="F755" s="114" t="n">
        <v>10</v>
      </c>
      <c r="G755" s="115" t="n">
        <v>1.95</v>
      </c>
      <c r="H755" s="115" t="n">
        <v>19.5</v>
      </c>
      <c r="I755" s="116" t="n">
        <v>40590</v>
      </c>
    </row>
    <row r="756">
      <c r="A756" s="117" t="inlineStr">
        <is>
          <t>544158</t>
        </is>
      </c>
      <c r="B756" s="117" t="n">
        <v>14944</v>
      </c>
      <c r="C756" s="117" t="inlineStr">
        <is>
          <t>United Kingdom</t>
        </is>
      </c>
      <c r="D756" s="117" t="inlineStr">
        <is>
          <t>84792</t>
        </is>
      </c>
      <c r="E756" s="117" t="inlineStr">
        <is>
          <t>ENCHANTED BIRD COATHANGER 5 HOOK</t>
        </is>
      </c>
      <c r="F756" s="117" t="n">
        <v>4</v>
      </c>
      <c r="G756" s="118" t="n">
        <v>4.65</v>
      </c>
      <c r="H756" s="118" t="n">
        <v>18.6</v>
      </c>
      <c r="I756" s="119" t="n">
        <v>40590</v>
      </c>
    </row>
    <row r="757">
      <c r="A757" s="114" t="inlineStr">
        <is>
          <t>544177</t>
        </is>
      </c>
      <c r="B757" s="114" t="n">
        <v>13001</v>
      </c>
      <c r="C757" s="114" t="inlineStr">
        <is>
          <t>United Kingdom</t>
        </is>
      </c>
      <c r="D757" s="114" t="inlineStr">
        <is>
          <t>47566</t>
        </is>
      </c>
      <c r="E757" s="114" t="inlineStr">
        <is>
          <t>PARTY BUNTING</t>
        </is>
      </c>
      <c r="F757" s="114" t="n">
        <v>100</v>
      </c>
      <c r="G757" s="115" t="n">
        <v>4.15</v>
      </c>
      <c r="H757" s="115" t="n">
        <v>415</v>
      </c>
      <c r="I757" s="116" t="n">
        <v>40590</v>
      </c>
    </row>
    <row r="758">
      <c r="A758" s="117" t="inlineStr">
        <is>
          <t>544191</t>
        </is>
      </c>
      <c r="B758" s="117" t="n">
        <v>13089</v>
      </c>
      <c r="C758" s="117" t="inlineStr">
        <is>
          <t>United Kingdom</t>
        </is>
      </c>
      <c r="D758" s="117" t="inlineStr">
        <is>
          <t>82484</t>
        </is>
      </c>
      <c r="E758" s="117" t="inlineStr">
        <is>
          <t>WOOD BLACK BOARD ANT WHITE FINISH</t>
        </is>
      </c>
      <c r="F758" s="117" t="n">
        <v>6</v>
      </c>
      <c r="G758" s="118" t="n">
        <v>7.95</v>
      </c>
      <c r="H758" s="118" t="n">
        <v>47.7</v>
      </c>
      <c r="I758" s="119" t="n">
        <v>40590</v>
      </c>
    </row>
    <row r="759">
      <c r="A759" s="114" t="inlineStr">
        <is>
          <t>544191</t>
        </is>
      </c>
      <c r="B759" s="114" t="n">
        <v>13089</v>
      </c>
      <c r="C759" s="114" t="inlineStr">
        <is>
          <t>United Kingdom</t>
        </is>
      </c>
      <c r="D759" s="114" t="inlineStr">
        <is>
          <t>15056N</t>
        </is>
      </c>
      <c r="E759" s="114" t="inlineStr">
        <is>
          <t>EDWARDIAN PARASOL NATURAL</t>
        </is>
      </c>
      <c r="F759" s="114" t="n">
        <v>3</v>
      </c>
      <c r="G759" s="115" t="n">
        <v>5.95</v>
      </c>
      <c r="H759" s="115" t="n">
        <v>17.85</v>
      </c>
      <c r="I759" s="116" t="n">
        <v>40590</v>
      </c>
    </row>
    <row r="760">
      <c r="A760" s="117" t="inlineStr">
        <is>
          <t>544193</t>
        </is>
      </c>
      <c r="B760" s="117" t="n">
        <v>12431</v>
      </c>
      <c r="C760" s="117" t="inlineStr">
        <is>
          <t>Belgium</t>
        </is>
      </c>
      <c r="D760" s="117" t="inlineStr">
        <is>
          <t>22329</t>
        </is>
      </c>
      <c r="E760" s="117" t="inlineStr">
        <is>
          <t>ROUND CONTAINER SET OF 5 RETROSPOT</t>
        </is>
      </c>
      <c r="F760" s="117" t="n">
        <v>12</v>
      </c>
      <c r="G760" s="118" t="n">
        <v>1.65</v>
      </c>
      <c r="H760" s="118" t="n">
        <v>19.8</v>
      </c>
      <c r="I760" s="119" t="n">
        <v>40591</v>
      </c>
    </row>
    <row r="761">
      <c r="A761" s="114" t="inlineStr">
        <is>
          <t>544211</t>
        </is>
      </c>
      <c r="B761" s="114" t="n">
        <v>13018</v>
      </c>
      <c r="C761" s="114" t="inlineStr">
        <is>
          <t>United Kingdom</t>
        </is>
      </c>
      <c r="D761" s="114" t="inlineStr">
        <is>
          <t>22693</t>
        </is>
      </c>
      <c r="E761" s="114" t="inlineStr">
        <is>
          <t>GROW A FLYTRAP OR SUNFLOWER IN TIN</t>
        </is>
      </c>
      <c r="F761" s="114" t="n">
        <v>24</v>
      </c>
      <c r="G761" s="115" t="n">
        <v>1.25</v>
      </c>
      <c r="H761" s="115" t="n">
        <v>30</v>
      </c>
      <c r="I761" s="116" t="n">
        <v>40591</v>
      </c>
    </row>
    <row r="762">
      <c r="A762" s="117" t="inlineStr">
        <is>
          <t>544286</t>
        </is>
      </c>
      <c r="B762" s="117" t="n">
        <v>13151</v>
      </c>
      <c r="C762" s="117" t="inlineStr">
        <is>
          <t>United Kingdom</t>
        </is>
      </c>
      <c r="D762" s="117" t="inlineStr">
        <is>
          <t>21428</t>
        </is>
      </c>
      <c r="E762" s="117" t="inlineStr">
        <is>
          <t xml:space="preserve">SET3 BOOK BOX GREEN GINGHAM FLOWER </t>
        </is>
      </c>
      <c r="F762" s="117" t="n">
        <v>2</v>
      </c>
      <c r="G762" s="118" t="n">
        <v>4.25</v>
      </c>
      <c r="H762" s="118" t="n">
        <v>8.5</v>
      </c>
      <c r="I762" s="119" t="n">
        <v>40591</v>
      </c>
    </row>
    <row r="763">
      <c r="A763" s="114" t="inlineStr">
        <is>
          <t>544294</t>
        </is>
      </c>
      <c r="B763" s="114" t="n">
        <v>15601</v>
      </c>
      <c r="C763" s="114" t="inlineStr">
        <is>
          <t>United Kingdom</t>
        </is>
      </c>
      <c r="D763" s="114" t="inlineStr">
        <is>
          <t>22718</t>
        </is>
      </c>
      <c r="E763" s="114" t="inlineStr">
        <is>
          <t xml:space="preserve">CARD CAT AND TREE </t>
        </is>
      </c>
      <c r="F763" s="114" t="n">
        <v>12</v>
      </c>
      <c r="G763" s="115" t="n">
        <v>0.42</v>
      </c>
      <c r="H763" s="115" t="n">
        <v>5.04</v>
      </c>
      <c r="I763" s="116" t="n">
        <v>40591</v>
      </c>
    </row>
    <row r="764">
      <c r="A764" s="117" t="inlineStr">
        <is>
          <t>544294</t>
        </is>
      </c>
      <c r="B764" s="117" t="n">
        <v>15601</v>
      </c>
      <c r="C764" s="117" t="inlineStr">
        <is>
          <t>United Kingdom</t>
        </is>
      </c>
      <c r="D764" s="117" t="inlineStr">
        <is>
          <t>22026</t>
        </is>
      </c>
      <c r="E764" s="117" t="inlineStr">
        <is>
          <t xml:space="preserve">BANQUET BIRTHDAY  CARD  </t>
        </is>
      </c>
      <c r="F764" s="117" t="n">
        <v>12</v>
      </c>
      <c r="G764" s="118" t="n">
        <v>0.42</v>
      </c>
      <c r="H764" s="118" t="n">
        <v>5.04</v>
      </c>
      <c r="I764" s="119" t="n">
        <v>40591</v>
      </c>
    </row>
    <row r="765">
      <c r="A765" s="114" t="inlineStr">
        <is>
          <t>544293</t>
        </is>
      </c>
      <c r="B765" s="114" t="n">
        <v>17954</v>
      </c>
      <c r="C765" s="114" t="inlineStr">
        <is>
          <t>United Kingdom</t>
        </is>
      </c>
      <c r="D765" s="114" t="inlineStr">
        <is>
          <t>21618</t>
        </is>
      </c>
      <c r="E765" s="114" t="inlineStr">
        <is>
          <t>4 WILDFLOWER BOTANICAL CANDLES</t>
        </is>
      </c>
      <c r="F765" s="114" t="n">
        <v>1</v>
      </c>
      <c r="G765" s="115" t="n">
        <v>3.75</v>
      </c>
      <c r="H765" s="115" t="n">
        <v>3.75</v>
      </c>
      <c r="I765" s="116" t="n">
        <v>40591</v>
      </c>
    </row>
    <row r="766">
      <c r="A766" s="117" t="inlineStr">
        <is>
          <t>544295</t>
        </is>
      </c>
      <c r="B766" s="117" t="n">
        <v>14298</v>
      </c>
      <c r="C766" s="117" t="inlineStr">
        <is>
          <t>United Kingdom</t>
        </is>
      </c>
      <c r="D766" s="117" t="inlineStr">
        <is>
          <t>84660B</t>
        </is>
      </c>
      <c r="E766" s="117" t="inlineStr">
        <is>
          <t>BLACK STITCHED WALL CLOCK</t>
        </is>
      </c>
      <c r="F766" s="117" t="n">
        <v>24</v>
      </c>
      <c r="G766" s="118" t="n">
        <v>1.25</v>
      </c>
      <c r="H766" s="118" t="n">
        <v>30</v>
      </c>
      <c r="I766" s="119" t="n">
        <v>40591</v>
      </c>
    </row>
    <row r="767">
      <c r="A767" s="114" t="inlineStr">
        <is>
          <t>544295</t>
        </is>
      </c>
      <c r="B767" s="114" t="n">
        <v>14298</v>
      </c>
      <c r="C767" s="114" t="inlineStr">
        <is>
          <t>United Kingdom</t>
        </is>
      </c>
      <c r="D767" s="114" t="inlineStr">
        <is>
          <t>21730</t>
        </is>
      </c>
      <c r="E767" s="114" t="inlineStr">
        <is>
          <t>GLASS STAR FROSTED T-LIGHT HOLDER</t>
        </is>
      </c>
      <c r="F767" s="114" t="n">
        <v>6</v>
      </c>
      <c r="G767" s="115" t="n">
        <v>4.25</v>
      </c>
      <c r="H767" s="115" t="n">
        <v>25.5</v>
      </c>
      <c r="I767" s="116" t="n">
        <v>40591</v>
      </c>
    </row>
    <row r="768">
      <c r="A768" s="117" t="inlineStr">
        <is>
          <t>544295</t>
        </is>
      </c>
      <c r="B768" s="117" t="n">
        <v>14298</v>
      </c>
      <c r="C768" s="117" t="inlineStr">
        <is>
          <t>United Kingdom</t>
        </is>
      </c>
      <c r="D768" s="117" t="inlineStr">
        <is>
          <t>21174</t>
        </is>
      </c>
      <c r="E768" s="117" t="inlineStr">
        <is>
          <t>POTTERING IN THE SHED METAL SIGN</t>
        </is>
      </c>
      <c r="F768" s="117" t="n">
        <v>12</v>
      </c>
      <c r="G768" s="118" t="n">
        <v>1.85</v>
      </c>
      <c r="H768" s="118" t="n">
        <v>22.2</v>
      </c>
      <c r="I768" s="119" t="n">
        <v>40591</v>
      </c>
    </row>
    <row r="769">
      <c r="A769" s="114" t="inlineStr">
        <is>
          <t>544305</t>
        </is>
      </c>
      <c r="B769" s="114" t="n">
        <v>15044</v>
      </c>
      <c r="C769" s="114" t="inlineStr">
        <is>
          <t>United Kingdom</t>
        </is>
      </c>
      <c r="D769" s="114" t="inlineStr">
        <is>
          <t>82494L</t>
        </is>
      </c>
      <c r="E769" s="114" t="inlineStr">
        <is>
          <t xml:space="preserve">WOODEN FRAME ANTIQUE WHITE </t>
        </is>
      </c>
      <c r="F769" s="114" t="n">
        <v>12</v>
      </c>
      <c r="G769" s="115" t="n">
        <v>2.95</v>
      </c>
      <c r="H769" s="115" t="n">
        <v>35.4</v>
      </c>
      <c r="I769" s="116" t="n">
        <v>40591</v>
      </c>
    </row>
    <row r="770">
      <c r="A770" s="117" t="inlineStr">
        <is>
          <t>544309</t>
        </is>
      </c>
      <c r="B770" s="117" t="n">
        <v>15785</v>
      </c>
      <c r="C770" s="117" t="inlineStr">
        <is>
          <t>United Kingdom</t>
        </is>
      </c>
      <c r="D770" s="117" t="inlineStr">
        <is>
          <t>21975</t>
        </is>
      </c>
      <c r="E770" s="117" t="inlineStr">
        <is>
          <t>PACK OF 60 DINOSAUR CAKE CASES</t>
        </is>
      </c>
      <c r="F770" s="117" t="n">
        <v>24</v>
      </c>
      <c r="G770" s="118" t="n">
        <v>0.55</v>
      </c>
      <c r="H770" s="118" t="n">
        <v>13.2</v>
      </c>
      <c r="I770" s="119" t="n">
        <v>40591</v>
      </c>
    </row>
    <row r="771">
      <c r="A771" s="114" t="inlineStr">
        <is>
          <t>544316</t>
        </is>
      </c>
      <c r="B771" s="114" t="n">
        <v>16556</v>
      </c>
      <c r="C771" s="114" t="inlineStr">
        <is>
          <t>United Kingdom</t>
        </is>
      </c>
      <c r="D771" s="114" t="inlineStr">
        <is>
          <t>21871</t>
        </is>
      </c>
      <c r="E771" s="114" t="inlineStr">
        <is>
          <t>SAVE THE PLANET MUG</t>
        </is>
      </c>
      <c r="F771" s="114" t="n">
        <v>12</v>
      </c>
      <c r="G771" s="115" t="n">
        <v>1.25</v>
      </c>
      <c r="H771" s="115" t="n">
        <v>15</v>
      </c>
      <c r="I771" s="116" t="n">
        <v>40591</v>
      </c>
    </row>
    <row r="772">
      <c r="A772" s="117" t="inlineStr">
        <is>
          <t>544341</t>
        </is>
      </c>
      <c r="B772" s="117" t="n">
        <v>13012</v>
      </c>
      <c r="C772" s="117" t="inlineStr">
        <is>
          <t>United Kingdom</t>
        </is>
      </c>
      <c r="D772" s="117" t="inlineStr">
        <is>
          <t>21174</t>
        </is>
      </c>
      <c r="E772" s="117" t="inlineStr">
        <is>
          <t>POTTERING IN THE SHED METAL SIGN</t>
        </is>
      </c>
      <c r="F772" s="117" t="n">
        <v>12</v>
      </c>
      <c r="G772" s="118" t="n">
        <v>2.08</v>
      </c>
      <c r="H772" s="118" t="n">
        <v>24.96</v>
      </c>
      <c r="I772" s="119" t="n">
        <v>40592</v>
      </c>
    </row>
    <row r="773">
      <c r="A773" s="114" t="inlineStr">
        <is>
          <t>544349</t>
        </is>
      </c>
      <c r="B773" s="114" t="n">
        <v>16713</v>
      </c>
      <c r="C773" s="114" t="inlineStr">
        <is>
          <t>United Kingdom</t>
        </is>
      </c>
      <c r="D773" s="114" t="inlineStr">
        <is>
          <t>22030</t>
        </is>
      </c>
      <c r="E773" s="114" t="inlineStr">
        <is>
          <t>SWALLOWS GREETING CARD</t>
        </is>
      </c>
      <c r="F773" s="114" t="n">
        <v>12</v>
      </c>
      <c r="G773" s="115" t="n">
        <v>0.42</v>
      </c>
      <c r="H773" s="115" t="n">
        <v>5.04</v>
      </c>
      <c r="I773" s="116" t="n">
        <v>40592</v>
      </c>
    </row>
    <row r="774">
      <c r="A774" s="117" t="inlineStr">
        <is>
          <t>544354</t>
        </is>
      </c>
      <c r="B774" s="117" t="n">
        <v>13489</v>
      </c>
      <c r="C774" s="117" t="inlineStr">
        <is>
          <t>United Kingdom</t>
        </is>
      </c>
      <c r="D774" s="117" t="inlineStr">
        <is>
          <t>22567</t>
        </is>
      </c>
      <c r="E774" s="117" t="inlineStr">
        <is>
          <t>20 DOLLY PEGS RETROSPOT</t>
        </is>
      </c>
      <c r="F774" s="117" t="n">
        <v>12</v>
      </c>
      <c r="G774" s="118" t="n">
        <v>1.25</v>
      </c>
      <c r="H774" s="118" t="n">
        <v>15</v>
      </c>
      <c r="I774" s="119" t="n">
        <v>40592</v>
      </c>
    </row>
    <row r="775">
      <c r="A775" s="114" t="inlineStr">
        <is>
          <t>544356</t>
        </is>
      </c>
      <c r="B775" s="114" t="n">
        <v>13904</v>
      </c>
      <c r="C775" s="114" t="inlineStr">
        <is>
          <t>United Kingdom</t>
        </is>
      </c>
      <c r="D775" s="114" t="inlineStr">
        <is>
          <t>22908</t>
        </is>
      </c>
      <c r="E775" s="114" t="inlineStr">
        <is>
          <t>PACK OF 20 NAPKINS RED APPLES</t>
        </is>
      </c>
      <c r="F775" s="114" t="n">
        <v>12</v>
      </c>
      <c r="G775" s="115" t="n">
        <v>0.85</v>
      </c>
      <c r="H775" s="115" t="n">
        <v>10.2</v>
      </c>
      <c r="I775" s="116" t="n">
        <v>40592</v>
      </c>
    </row>
    <row r="776">
      <c r="A776" s="117" t="inlineStr">
        <is>
          <t>544368</t>
        </is>
      </c>
      <c r="B776" s="117" t="n">
        <v>14057</v>
      </c>
      <c r="C776" s="117" t="inlineStr">
        <is>
          <t>United Kingdom</t>
        </is>
      </c>
      <c r="D776" s="117" t="inlineStr">
        <is>
          <t>84077</t>
        </is>
      </c>
      <c r="E776" s="117" t="inlineStr">
        <is>
          <t>WORLD WAR 2 GLIDERS ASSTD DESIGNS</t>
        </is>
      </c>
      <c r="F776" s="117" t="n">
        <v>48</v>
      </c>
      <c r="G776" s="118" t="n">
        <v>0.29</v>
      </c>
      <c r="H776" s="118" t="n">
        <v>13.92</v>
      </c>
      <c r="I776" s="119" t="n">
        <v>40592</v>
      </c>
    </row>
    <row r="777">
      <c r="A777" s="114" t="inlineStr">
        <is>
          <t>544391</t>
        </is>
      </c>
      <c r="B777" s="114" t="n">
        <v>15755</v>
      </c>
      <c r="C777" s="114" t="inlineStr">
        <is>
          <t>United Kingdom</t>
        </is>
      </c>
      <c r="D777" s="114" t="inlineStr">
        <is>
          <t>21259</t>
        </is>
      </c>
      <c r="E777" s="114" t="inlineStr">
        <is>
          <t xml:space="preserve">VICTORIAN SEWING BOX SMALL </t>
        </is>
      </c>
      <c r="F777" s="114" t="n">
        <v>2</v>
      </c>
      <c r="G777" s="115" t="n">
        <v>5.95</v>
      </c>
      <c r="H777" s="115" t="n">
        <v>11.9</v>
      </c>
      <c r="I777" s="116" t="n">
        <v>40592</v>
      </c>
    </row>
    <row r="778">
      <c r="A778" s="117" t="inlineStr">
        <is>
          <t>544393</t>
        </is>
      </c>
      <c r="B778" s="117" t="n">
        <v>16393</v>
      </c>
      <c r="C778" s="117" t="inlineStr">
        <is>
          <t>United Kingdom</t>
        </is>
      </c>
      <c r="D778" s="117" t="inlineStr">
        <is>
          <t>22371</t>
        </is>
      </c>
      <c r="E778" s="117" t="inlineStr">
        <is>
          <t>AIRLINE BAG VINTAGE TOKYO 78</t>
        </is>
      </c>
      <c r="F778" s="117" t="n">
        <v>4</v>
      </c>
      <c r="G778" s="118" t="n">
        <v>4.25</v>
      </c>
      <c r="H778" s="118" t="n">
        <v>17</v>
      </c>
      <c r="I778" s="119" t="n">
        <v>40592</v>
      </c>
    </row>
    <row r="779">
      <c r="A779" s="114" t="inlineStr">
        <is>
          <t>544394</t>
        </is>
      </c>
      <c r="B779" s="114" t="n">
        <v>13932</v>
      </c>
      <c r="C779" s="114" t="inlineStr">
        <is>
          <t>United Kingdom</t>
        </is>
      </c>
      <c r="D779" s="114" t="inlineStr">
        <is>
          <t>22728</t>
        </is>
      </c>
      <c r="E779" s="114" t="inlineStr">
        <is>
          <t>ALARM CLOCK BAKELIKE PINK</t>
        </is>
      </c>
      <c r="F779" s="114" t="n">
        <v>4</v>
      </c>
      <c r="G779" s="115" t="n">
        <v>3.75</v>
      </c>
      <c r="H779" s="115" t="n">
        <v>15</v>
      </c>
      <c r="I779" s="116" t="n">
        <v>40592</v>
      </c>
    </row>
    <row r="780">
      <c r="A780" s="117" t="inlineStr">
        <is>
          <t>544400</t>
        </is>
      </c>
      <c r="B780" s="117" t="n">
        <v>14101</v>
      </c>
      <c r="C780" s="117" t="inlineStr">
        <is>
          <t>United Kingdom</t>
        </is>
      </c>
      <c r="D780" s="117" t="inlineStr">
        <is>
          <t>22616</t>
        </is>
      </c>
      <c r="E780" s="117" t="inlineStr">
        <is>
          <t xml:space="preserve">PACK OF 12 LONDON TISSUES </t>
        </is>
      </c>
      <c r="F780" s="117" t="n">
        <v>504</v>
      </c>
      <c r="G780" s="118" t="n">
        <v>0.25</v>
      </c>
      <c r="H780" s="118" t="n">
        <v>126</v>
      </c>
      <c r="I780" s="119" t="n">
        <v>40592</v>
      </c>
    </row>
    <row r="781">
      <c r="A781" s="114" t="inlineStr">
        <is>
          <t>544412</t>
        </is>
      </c>
      <c r="B781" s="114" t="n">
        <v>16531</v>
      </c>
      <c r="C781" s="114" t="inlineStr">
        <is>
          <t>United Kingdom</t>
        </is>
      </c>
      <c r="D781" s="114" t="inlineStr">
        <is>
          <t>22332</t>
        </is>
      </c>
      <c r="E781" s="114" t="inlineStr">
        <is>
          <t>SKULLS PARTY BAG + STICKER SET</t>
        </is>
      </c>
      <c r="F781" s="114" t="n">
        <v>8</v>
      </c>
      <c r="G781" s="115" t="n">
        <v>1.65</v>
      </c>
      <c r="H781" s="115" t="n">
        <v>13.2</v>
      </c>
      <c r="I781" s="116" t="n">
        <v>40592</v>
      </c>
    </row>
    <row r="782">
      <c r="A782" s="117" t="inlineStr">
        <is>
          <t>544412</t>
        </is>
      </c>
      <c r="B782" s="117" t="n">
        <v>16531</v>
      </c>
      <c r="C782" s="117" t="inlineStr">
        <is>
          <t>United Kingdom</t>
        </is>
      </c>
      <c r="D782" s="117" t="inlineStr">
        <is>
          <t>16238</t>
        </is>
      </c>
      <c r="E782" s="117" t="inlineStr">
        <is>
          <t>PARTY TIME PENCIL ERASERS</t>
        </is>
      </c>
      <c r="F782" s="117" t="n">
        <v>28</v>
      </c>
      <c r="G782" s="118" t="n">
        <v>0.21</v>
      </c>
      <c r="H782" s="118" t="n">
        <v>5.88</v>
      </c>
      <c r="I782" s="119" t="n">
        <v>40592</v>
      </c>
    </row>
    <row r="783">
      <c r="A783" s="114" t="inlineStr">
        <is>
          <t>544449</t>
        </is>
      </c>
      <c r="B783" s="114" t="n">
        <v>16115</v>
      </c>
      <c r="C783" s="114" t="inlineStr">
        <is>
          <t>United Kingdom</t>
        </is>
      </c>
      <c r="D783" s="114" t="inlineStr">
        <is>
          <t>22672</t>
        </is>
      </c>
      <c r="E783" s="114" t="inlineStr">
        <is>
          <t>FRENCH BATHROOM SIGN BLUE METAL</t>
        </is>
      </c>
      <c r="F783" s="114" t="n">
        <v>3</v>
      </c>
      <c r="G783" s="115" t="n">
        <v>1.65</v>
      </c>
      <c r="H783" s="115" t="n">
        <v>4.95</v>
      </c>
      <c r="I783" s="116" t="n">
        <v>40594</v>
      </c>
    </row>
    <row r="784">
      <c r="A784" s="117" t="inlineStr">
        <is>
          <t>544455</t>
        </is>
      </c>
      <c r="B784" s="117" t="n">
        <v>13097</v>
      </c>
      <c r="C784" s="117" t="inlineStr">
        <is>
          <t>United Kingdom</t>
        </is>
      </c>
      <c r="D784" s="117" t="inlineStr">
        <is>
          <t>21791</t>
        </is>
      </c>
      <c r="E784" s="117" t="inlineStr">
        <is>
          <t xml:space="preserve">VINTAGE HEADS AND TAILS CARD GAME </t>
        </is>
      </c>
      <c r="F784" s="117" t="n">
        <v>4</v>
      </c>
      <c r="G784" s="118" t="n">
        <v>1.25</v>
      </c>
      <c r="H784" s="118" t="n">
        <v>5</v>
      </c>
      <c r="I784" s="119" t="n">
        <v>40594</v>
      </c>
    </row>
    <row r="785">
      <c r="A785" s="114" t="inlineStr">
        <is>
          <t>544460</t>
        </is>
      </c>
      <c r="B785" s="114" t="n">
        <v>16931</v>
      </c>
      <c r="C785" s="114" t="inlineStr">
        <is>
          <t>United Kingdom</t>
        </is>
      </c>
      <c r="D785" s="114" t="inlineStr">
        <is>
          <t>21080</t>
        </is>
      </c>
      <c r="E785" s="114" t="inlineStr">
        <is>
          <t xml:space="preserve">SET/20 RED RETROSPOT PAPER NAPKINS </t>
        </is>
      </c>
      <c r="F785" s="114" t="n">
        <v>3</v>
      </c>
      <c r="G785" s="115" t="n">
        <v>0.85</v>
      </c>
      <c r="H785" s="115" t="n">
        <v>2.55</v>
      </c>
      <c r="I785" s="116" t="n">
        <v>40594</v>
      </c>
    </row>
    <row r="786">
      <c r="A786" s="117" t="inlineStr">
        <is>
          <t>544461</t>
        </is>
      </c>
      <c r="B786" s="117" t="n">
        <v>13744</v>
      </c>
      <c r="C786" s="117" t="inlineStr">
        <is>
          <t>United Kingdom</t>
        </is>
      </c>
      <c r="D786" s="117" t="inlineStr">
        <is>
          <t>22025</t>
        </is>
      </c>
      <c r="E786" s="117" t="inlineStr">
        <is>
          <t>RING OF ROSES BIRTHDAY CARD</t>
        </is>
      </c>
      <c r="F786" s="117" t="n">
        <v>12</v>
      </c>
      <c r="G786" s="118" t="n">
        <v>0.42</v>
      </c>
      <c r="H786" s="118" t="n">
        <v>5.04</v>
      </c>
      <c r="I786" s="119" t="n">
        <v>40594</v>
      </c>
    </row>
    <row r="787">
      <c r="A787" s="114" t="inlineStr">
        <is>
          <t>544462</t>
        </is>
      </c>
      <c r="B787" s="114" t="n">
        <v>17050</v>
      </c>
      <c r="C787" s="114" t="inlineStr">
        <is>
          <t>United Kingdom</t>
        </is>
      </c>
      <c r="D787" s="114" t="inlineStr">
        <is>
          <t>22993</t>
        </is>
      </c>
      <c r="E787" s="114" t="inlineStr">
        <is>
          <t>SET OF 4 PANTRY JELLY MOULDS</t>
        </is>
      </c>
      <c r="F787" s="114" t="n">
        <v>1</v>
      </c>
      <c r="G787" s="115" t="n">
        <v>1.25</v>
      </c>
      <c r="H787" s="115" t="n">
        <v>1.25</v>
      </c>
      <c r="I787" s="116" t="n">
        <v>40594</v>
      </c>
    </row>
    <row r="788">
      <c r="A788" s="117" t="inlineStr">
        <is>
          <t>544462</t>
        </is>
      </c>
      <c r="B788" s="117" t="n">
        <v>17050</v>
      </c>
      <c r="C788" s="117" t="inlineStr">
        <is>
          <t>United Kingdom</t>
        </is>
      </c>
      <c r="D788" s="117" t="inlineStr">
        <is>
          <t>20961</t>
        </is>
      </c>
      <c r="E788" s="117" t="inlineStr">
        <is>
          <t xml:space="preserve">STRAWBERRY BATH SPONGE </t>
        </is>
      </c>
      <c r="F788" s="117" t="n">
        <v>10</v>
      </c>
      <c r="G788" s="118" t="n">
        <v>1.25</v>
      </c>
      <c r="H788" s="118" t="n">
        <v>12.5</v>
      </c>
      <c r="I788" s="119" t="n">
        <v>40594</v>
      </c>
    </row>
    <row r="789">
      <c r="A789" s="114" t="inlineStr">
        <is>
          <t>544462</t>
        </is>
      </c>
      <c r="B789" s="114" t="n">
        <v>17050</v>
      </c>
      <c r="C789" s="114" t="inlineStr">
        <is>
          <t>United Kingdom</t>
        </is>
      </c>
      <c r="D789" s="114" t="inlineStr">
        <is>
          <t>22841</t>
        </is>
      </c>
      <c r="E789" s="114" t="inlineStr">
        <is>
          <t>ROUND CAKE TIN VINTAGE GREEN</t>
        </is>
      </c>
      <c r="F789" s="114" t="n">
        <v>1</v>
      </c>
      <c r="G789" s="115" t="n">
        <v>7.95</v>
      </c>
      <c r="H789" s="115" t="n">
        <v>7.95</v>
      </c>
      <c r="I789" s="116" t="n">
        <v>40594</v>
      </c>
    </row>
    <row r="790">
      <c r="A790" s="117" t="inlineStr">
        <is>
          <t>544463</t>
        </is>
      </c>
      <c r="B790" s="117" t="n">
        <v>12988</v>
      </c>
      <c r="C790" s="117" t="inlineStr">
        <is>
          <t>United Kingdom</t>
        </is>
      </c>
      <c r="D790" s="117" t="inlineStr">
        <is>
          <t>85059</t>
        </is>
      </c>
      <c r="E790" s="117" t="inlineStr">
        <is>
          <t>FRENCH ENAMEL WATER BASIN</t>
        </is>
      </c>
      <c r="F790" s="117" t="n">
        <v>1</v>
      </c>
      <c r="G790" s="118" t="n">
        <v>3.75</v>
      </c>
      <c r="H790" s="118" t="n">
        <v>3.75</v>
      </c>
      <c r="I790" s="119" t="n">
        <v>40594</v>
      </c>
    </row>
    <row r="791">
      <c r="A791" s="114" t="inlineStr">
        <is>
          <t>544471</t>
        </is>
      </c>
      <c r="B791" s="114" t="n">
        <v>18094</v>
      </c>
      <c r="C791" s="114" t="inlineStr">
        <is>
          <t>United Kingdom</t>
        </is>
      </c>
      <c r="D791" s="114" t="inlineStr">
        <is>
          <t>21877</t>
        </is>
      </c>
      <c r="E791" s="114" t="inlineStr">
        <is>
          <t>HOME SWEET HOME MUG</t>
        </is>
      </c>
      <c r="F791" s="114" t="n">
        <v>12</v>
      </c>
      <c r="G791" s="115" t="n">
        <v>1.25</v>
      </c>
      <c r="H791" s="115" t="n">
        <v>15</v>
      </c>
      <c r="I791" s="116" t="n">
        <v>40595</v>
      </c>
    </row>
    <row r="792">
      <c r="A792" s="117" t="inlineStr">
        <is>
          <t>544479</t>
        </is>
      </c>
      <c r="B792" s="117" t="n">
        <v>14646</v>
      </c>
      <c r="C792" s="117" t="inlineStr">
        <is>
          <t>Netherlands</t>
        </is>
      </c>
      <c r="D792" s="117" t="inlineStr">
        <is>
          <t>21684</t>
        </is>
      </c>
      <c r="E792" s="117" t="inlineStr">
        <is>
          <t xml:space="preserve">SMALL MEDINA STAMPED METAL BOWL </t>
        </is>
      </c>
      <c r="F792" s="117" t="n">
        <v>360</v>
      </c>
      <c r="G792" s="118" t="n">
        <v>0.64</v>
      </c>
      <c r="H792" s="118" t="n">
        <v>230.4</v>
      </c>
      <c r="I792" s="119" t="n">
        <v>40595</v>
      </c>
    </row>
    <row r="793">
      <c r="A793" s="114" t="inlineStr">
        <is>
          <t>544480</t>
        </is>
      </c>
      <c r="B793" s="114" t="n">
        <v>14646</v>
      </c>
      <c r="C793" s="114" t="inlineStr">
        <is>
          <t>Netherlands</t>
        </is>
      </c>
      <c r="D793" s="114" t="inlineStr">
        <is>
          <t>21988</t>
        </is>
      </c>
      <c r="E793" s="114" t="inlineStr">
        <is>
          <t>PACK OF 6 SKULL PAPER PLATES</t>
        </is>
      </c>
      <c r="F793" s="114" t="n">
        <v>192</v>
      </c>
      <c r="G793" s="115" t="n">
        <v>0.64</v>
      </c>
      <c r="H793" s="115" t="n">
        <v>122.88</v>
      </c>
      <c r="I793" s="116" t="n">
        <v>40595</v>
      </c>
    </row>
    <row r="794">
      <c r="A794" s="117" t="inlineStr">
        <is>
          <t>544482</t>
        </is>
      </c>
      <c r="B794" s="117" t="n">
        <v>16656</v>
      </c>
      <c r="C794" s="117" t="inlineStr">
        <is>
          <t>United Kingdom</t>
        </is>
      </c>
      <c r="D794" s="117" t="inlineStr">
        <is>
          <t>22726</t>
        </is>
      </c>
      <c r="E794" s="117" t="inlineStr">
        <is>
          <t>ALARM CLOCK BAKELIKE GREEN</t>
        </is>
      </c>
      <c r="F794" s="117" t="n">
        <v>4</v>
      </c>
      <c r="G794" s="118" t="n">
        <v>3.75</v>
      </c>
      <c r="H794" s="118" t="n">
        <v>15</v>
      </c>
      <c r="I794" s="119" t="n">
        <v>40595</v>
      </c>
    </row>
    <row r="795">
      <c r="A795" s="114" t="inlineStr">
        <is>
          <t>544484</t>
        </is>
      </c>
      <c r="B795" s="114" t="n">
        <v>15321</v>
      </c>
      <c r="C795" s="114" t="inlineStr">
        <is>
          <t>United Kingdom</t>
        </is>
      </c>
      <c r="D795" s="114" t="inlineStr">
        <is>
          <t>20972</t>
        </is>
      </c>
      <c r="E795" s="114" t="inlineStr">
        <is>
          <t xml:space="preserve">PINK CREAM FELT CRAFT TRINKET BOX </t>
        </is>
      </c>
      <c r="F795" s="114" t="n">
        <v>12</v>
      </c>
      <c r="G795" s="115" t="n">
        <v>1.25</v>
      </c>
      <c r="H795" s="115" t="n">
        <v>15</v>
      </c>
      <c r="I795" s="116" t="n">
        <v>40595</v>
      </c>
    </row>
    <row r="796">
      <c r="A796" s="117" t="inlineStr">
        <is>
          <t>544556</t>
        </is>
      </c>
      <c r="B796" s="117" t="n">
        <v>13477</v>
      </c>
      <c r="C796" s="117" t="inlineStr">
        <is>
          <t>United Kingdom</t>
        </is>
      </c>
      <c r="D796" s="117" t="inlineStr">
        <is>
          <t>22467</t>
        </is>
      </c>
      <c r="E796" s="117" t="inlineStr">
        <is>
          <t>GUMBALL COAT RACK</t>
        </is>
      </c>
      <c r="F796" s="117" t="n">
        <v>6</v>
      </c>
      <c r="G796" s="118" t="n">
        <v>2.55</v>
      </c>
      <c r="H796" s="118" t="n">
        <v>15.3</v>
      </c>
      <c r="I796" s="119" t="n">
        <v>40595</v>
      </c>
    </row>
    <row r="797">
      <c r="A797" s="114" t="inlineStr">
        <is>
          <t>544569</t>
        </is>
      </c>
      <c r="B797" s="114" t="n">
        <v>16980</v>
      </c>
      <c r="C797" s="114" t="inlineStr">
        <is>
          <t>United Kingdom</t>
        </is>
      </c>
      <c r="D797" s="114" t="inlineStr">
        <is>
          <t>84991</t>
        </is>
      </c>
      <c r="E797" s="114" t="inlineStr">
        <is>
          <t>60 TEATIME FAIRY CAKE CASES</t>
        </is>
      </c>
      <c r="F797" s="114" t="n">
        <v>3</v>
      </c>
      <c r="G797" s="115" t="n">
        <v>0.55</v>
      </c>
      <c r="H797" s="115" t="n">
        <v>1.65</v>
      </c>
      <c r="I797" s="116" t="n">
        <v>40595</v>
      </c>
    </row>
    <row r="798">
      <c r="A798" s="117" t="inlineStr">
        <is>
          <t>544569</t>
        </is>
      </c>
      <c r="B798" s="117" t="n">
        <v>16980</v>
      </c>
      <c r="C798" s="117" t="inlineStr">
        <is>
          <t>United Kingdom</t>
        </is>
      </c>
      <c r="D798" s="117" t="inlineStr">
        <is>
          <t>21622</t>
        </is>
      </c>
      <c r="E798" s="117" t="inlineStr">
        <is>
          <t>VINTAGE UNION JACK CUSHION COVER</t>
        </is>
      </c>
      <c r="F798" s="117" t="n">
        <v>3</v>
      </c>
      <c r="G798" s="118" t="n">
        <v>4.95</v>
      </c>
      <c r="H798" s="118" t="n">
        <v>14.85</v>
      </c>
      <c r="I798" s="119" t="n">
        <v>40595</v>
      </c>
    </row>
    <row r="799">
      <c r="A799" s="114" t="inlineStr">
        <is>
          <t>544571</t>
        </is>
      </c>
      <c r="B799" s="114" t="n">
        <v>15146</v>
      </c>
      <c r="C799" s="114" t="inlineStr">
        <is>
          <t>United Kingdom</t>
        </is>
      </c>
      <c r="D799" s="114" t="inlineStr">
        <is>
          <t>22969</t>
        </is>
      </c>
      <c r="E799" s="114" t="inlineStr">
        <is>
          <t>HOMEMADE JAM SCENTED CANDLES</t>
        </is>
      </c>
      <c r="F799" s="114" t="n">
        <v>12</v>
      </c>
      <c r="G799" s="115" t="n">
        <v>1.45</v>
      </c>
      <c r="H799" s="115" t="n">
        <v>17.4</v>
      </c>
      <c r="I799" s="116" t="n">
        <v>40595</v>
      </c>
    </row>
    <row r="800">
      <c r="A800" s="117" t="inlineStr">
        <is>
          <t>544572</t>
        </is>
      </c>
      <c r="B800" s="117" t="n">
        <v>14639</v>
      </c>
      <c r="C800" s="117" t="inlineStr">
        <is>
          <t>United Kingdom</t>
        </is>
      </c>
      <c r="D800" s="117" t="inlineStr">
        <is>
          <t>21672</t>
        </is>
      </c>
      <c r="E800" s="117" t="inlineStr">
        <is>
          <t>WHITE SPOT RED CERAMIC DRAWER KNOB</t>
        </is>
      </c>
      <c r="F800" s="117" t="n">
        <v>36</v>
      </c>
      <c r="G800" s="118" t="n">
        <v>1.25</v>
      </c>
      <c r="H800" s="118" t="n">
        <v>45</v>
      </c>
      <c r="I800" s="119" t="n">
        <v>40595</v>
      </c>
    </row>
    <row r="801">
      <c r="A801" s="114" t="inlineStr">
        <is>
          <t>544586</t>
        </is>
      </c>
      <c r="B801" s="114" t="n">
        <v>17338</v>
      </c>
      <c r="C801" s="114" t="inlineStr">
        <is>
          <t>United Kingdom</t>
        </is>
      </c>
      <c r="D801" s="114" t="inlineStr">
        <is>
          <t>22748</t>
        </is>
      </c>
      <c r="E801" s="114" t="inlineStr">
        <is>
          <t>POPPY'S PLAYHOUSE KITCHEN</t>
        </is>
      </c>
      <c r="F801" s="114" t="n">
        <v>4</v>
      </c>
      <c r="G801" s="115" t="n">
        <v>2.1</v>
      </c>
      <c r="H801" s="115" t="n">
        <v>8.4</v>
      </c>
      <c r="I801" s="116" t="n">
        <v>40595</v>
      </c>
    </row>
    <row r="802">
      <c r="A802" s="117" t="inlineStr">
        <is>
          <t>544597</t>
        </is>
      </c>
      <c r="B802" s="117" t="n">
        <v>16014</v>
      </c>
      <c r="C802" s="117" t="inlineStr">
        <is>
          <t>United Kingdom</t>
        </is>
      </c>
      <c r="D802" s="117" t="inlineStr">
        <is>
          <t>22743</t>
        </is>
      </c>
      <c r="E802" s="117" t="inlineStr">
        <is>
          <t>MAKE YOUR OWN FLOWERPOWER CARD KIT</t>
        </is>
      </c>
      <c r="F802" s="117" t="n">
        <v>3</v>
      </c>
      <c r="G802" s="118" t="n">
        <v>2.95</v>
      </c>
      <c r="H802" s="118" t="n">
        <v>8.85</v>
      </c>
      <c r="I802" s="119" t="n">
        <v>40595</v>
      </c>
    </row>
    <row r="803">
      <c r="A803" s="114" t="inlineStr">
        <is>
          <t>544634</t>
        </is>
      </c>
      <c r="B803" s="114" t="n">
        <v>17994</v>
      </c>
      <c r="C803" s="114" t="inlineStr">
        <is>
          <t>United Kingdom</t>
        </is>
      </c>
      <c r="D803" s="114" t="inlineStr">
        <is>
          <t>22556</t>
        </is>
      </c>
      <c r="E803" s="114" t="inlineStr">
        <is>
          <t xml:space="preserve">PLASTERS IN TIN CIRCUS PARADE </t>
        </is>
      </c>
      <c r="F803" s="114" t="n">
        <v>5</v>
      </c>
      <c r="G803" s="115" t="n">
        <v>1.65</v>
      </c>
      <c r="H803" s="115" t="n">
        <v>8.25</v>
      </c>
      <c r="I803" s="116" t="n">
        <v>40596</v>
      </c>
    </row>
    <row r="804">
      <c r="A804" s="117" t="inlineStr">
        <is>
          <t>544634</t>
        </is>
      </c>
      <c r="B804" s="117" t="n">
        <v>17994</v>
      </c>
      <c r="C804" s="117" t="inlineStr">
        <is>
          <t>United Kingdom</t>
        </is>
      </c>
      <c r="D804" s="117" t="inlineStr">
        <is>
          <t>20675</t>
        </is>
      </c>
      <c r="E804" s="117" t="inlineStr">
        <is>
          <t>BLUE POLKADOT BOWL</t>
        </is>
      </c>
      <c r="F804" s="117" t="n">
        <v>3</v>
      </c>
      <c r="G804" s="118" t="n">
        <v>1.25</v>
      </c>
      <c r="H804" s="118" t="n">
        <v>3.75</v>
      </c>
      <c r="I804" s="119" t="n">
        <v>40596</v>
      </c>
    </row>
    <row r="805">
      <c r="A805" s="114" t="inlineStr">
        <is>
          <t>544644</t>
        </is>
      </c>
      <c r="B805" s="114" t="n">
        <v>17002</v>
      </c>
      <c r="C805" s="114" t="inlineStr">
        <is>
          <t>United Kingdom</t>
        </is>
      </c>
      <c r="D805" s="114" t="inlineStr">
        <is>
          <t>21313</t>
        </is>
      </c>
      <c r="E805" s="114" t="inlineStr">
        <is>
          <t xml:space="preserve">GLASS HEART T-LIGHT HOLDER </t>
        </is>
      </c>
      <c r="F805" s="114" t="n">
        <v>24</v>
      </c>
      <c r="G805" s="115" t="n">
        <v>0.85</v>
      </c>
      <c r="H805" s="115" t="n">
        <v>20.4</v>
      </c>
      <c r="I805" s="116" t="n">
        <v>40596</v>
      </c>
    </row>
    <row r="806">
      <c r="A806" s="117" t="inlineStr">
        <is>
          <t>544645</t>
        </is>
      </c>
      <c r="B806" s="117" t="n">
        <v>16843</v>
      </c>
      <c r="C806" s="117" t="inlineStr">
        <is>
          <t>United Kingdom</t>
        </is>
      </c>
      <c r="D806" s="117" t="inlineStr">
        <is>
          <t>22969</t>
        </is>
      </c>
      <c r="E806" s="117" t="inlineStr">
        <is>
          <t>HOMEMADE JAM SCENTED CANDLES</t>
        </is>
      </c>
      <c r="F806" s="117" t="n">
        <v>24</v>
      </c>
      <c r="G806" s="118" t="n">
        <v>1.45</v>
      </c>
      <c r="H806" s="118" t="n">
        <v>34.8</v>
      </c>
      <c r="I806" s="119" t="n">
        <v>40596</v>
      </c>
    </row>
    <row r="807">
      <c r="A807" s="114" t="inlineStr">
        <is>
          <t>544654</t>
        </is>
      </c>
      <c r="B807" s="114" t="n">
        <v>16913</v>
      </c>
      <c r="C807" s="114" t="inlineStr">
        <is>
          <t>United Kingdom</t>
        </is>
      </c>
      <c r="D807" s="114" t="inlineStr">
        <is>
          <t>21064</t>
        </is>
      </c>
      <c r="E807" s="114" t="inlineStr">
        <is>
          <t>BOOM BOX SPEAKER BOYS</t>
        </is>
      </c>
      <c r="F807" s="114" t="n">
        <v>1</v>
      </c>
      <c r="G807" s="115" t="n">
        <v>5.95</v>
      </c>
      <c r="H807" s="115" t="n">
        <v>5.95</v>
      </c>
      <c r="I807" s="116" t="n">
        <v>40596</v>
      </c>
    </row>
    <row r="808">
      <c r="A808" s="117" t="inlineStr">
        <is>
          <t>544657</t>
        </is>
      </c>
      <c r="B808" s="117" t="n">
        <v>14895</v>
      </c>
      <c r="C808" s="117" t="inlineStr">
        <is>
          <t>United Kingdom</t>
        </is>
      </c>
      <c r="D808" s="117" t="inlineStr">
        <is>
          <t>22203</t>
        </is>
      </c>
      <c r="E808" s="117" t="inlineStr">
        <is>
          <t>MILK PAN RED RETROSPOT</t>
        </is>
      </c>
      <c r="F808" s="117" t="n">
        <v>4</v>
      </c>
      <c r="G808" s="118" t="n">
        <v>3.75</v>
      </c>
      <c r="H808" s="118" t="n">
        <v>15</v>
      </c>
      <c r="I808" s="119" t="n">
        <v>40596</v>
      </c>
    </row>
    <row r="809">
      <c r="A809" s="114" t="inlineStr">
        <is>
          <t>544661</t>
        </is>
      </c>
      <c r="B809" s="114" t="n">
        <v>15303</v>
      </c>
      <c r="C809" s="114" t="inlineStr">
        <is>
          <t>United Kingdom</t>
        </is>
      </c>
      <c r="D809" s="114" t="inlineStr">
        <is>
          <t>22558</t>
        </is>
      </c>
      <c r="E809" s="114" t="inlineStr">
        <is>
          <t xml:space="preserve">CLOTHES PEGS RETROSPOT PACK 24 </t>
        </is>
      </c>
      <c r="F809" s="114" t="n">
        <v>12</v>
      </c>
      <c r="G809" s="115" t="n">
        <v>1.49</v>
      </c>
      <c r="H809" s="115" t="n">
        <v>17.88</v>
      </c>
      <c r="I809" s="116" t="n">
        <v>40596</v>
      </c>
    </row>
    <row r="810">
      <c r="A810" s="117" t="inlineStr">
        <is>
          <t>544662</t>
        </is>
      </c>
      <c r="B810" s="117" t="n">
        <v>12845</v>
      </c>
      <c r="C810" s="117" t="inlineStr">
        <is>
          <t>United Kingdom</t>
        </is>
      </c>
      <c r="D810" s="117" t="inlineStr">
        <is>
          <t>22625</t>
        </is>
      </c>
      <c r="E810" s="117" t="inlineStr">
        <is>
          <t>RED KITCHEN SCALES</t>
        </is>
      </c>
      <c r="F810" s="117" t="n">
        <v>1</v>
      </c>
      <c r="G810" s="118" t="n">
        <v>8.5</v>
      </c>
      <c r="H810" s="118" t="n">
        <v>8.5</v>
      </c>
      <c r="I810" s="119" t="n">
        <v>40596</v>
      </c>
    </row>
    <row r="811">
      <c r="A811" s="114" t="inlineStr">
        <is>
          <t>544667</t>
        </is>
      </c>
      <c r="B811" s="114" t="n">
        <v>17511</v>
      </c>
      <c r="C811" s="114" t="inlineStr">
        <is>
          <t>United Kingdom</t>
        </is>
      </c>
      <c r="D811" s="114" t="inlineStr">
        <is>
          <t>21232</t>
        </is>
      </c>
      <c r="E811" s="114" t="inlineStr">
        <is>
          <t>STRAWBERRY CERAMIC TRINKET BOX</t>
        </is>
      </c>
      <c r="F811" s="114" t="n">
        <v>72</v>
      </c>
      <c r="G811" s="115" t="n">
        <v>1.06</v>
      </c>
      <c r="H811" s="115" t="n">
        <v>76.31999999999999</v>
      </c>
      <c r="I811" s="116" t="n">
        <v>40596</v>
      </c>
    </row>
    <row r="812">
      <c r="A812" s="117" t="inlineStr">
        <is>
          <t>544672</t>
        </is>
      </c>
      <c r="B812" s="117" t="n">
        <v>14646</v>
      </c>
      <c r="C812" s="117" t="inlineStr">
        <is>
          <t>Netherlands</t>
        </is>
      </c>
      <c r="D812" s="117" t="inlineStr">
        <is>
          <t>21210</t>
        </is>
      </c>
      <c r="E812" s="117" t="inlineStr">
        <is>
          <t>SET OF 72 RETROSPOT PAPER  DOILIES</t>
        </is>
      </c>
      <c r="F812" s="117" t="n">
        <v>96</v>
      </c>
      <c r="G812" s="118" t="n">
        <v>1.25</v>
      </c>
      <c r="H812" s="118" t="n">
        <v>120</v>
      </c>
      <c r="I812" s="119" t="n">
        <v>40596</v>
      </c>
    </row>
    <row r="813">
      <c r="A813" s="114" t="inlineStr">
        <is>
          <t>544672</t>
        </is>
      </c>
      <c r="B813" s="114" t="n">
        <v>14646</v>
      </c>
      <c r="C813" s="114" t="inlineStr">
        <is>
          <t>Netherlands</t>
        </is>
      </c>
      <c r="D813" s="114" t="inlineStr">
        <is>
          <t>21987</t>
        </is>
      </c>
      <c r="E813" s="114" t="inlineStr">
        <is>
          <t>PACK OF 6 SKULL PAPER CUPS</t>
        </is>
      </c>
      <c r="F813" s="114" t="n">
        <v>12</v>
      </c>
      <c r="G813" s="115" t="n">
        <v>0.65</v>
      </c>
      <c r="H813" s="115" t="n">
        <v>7.8</v>
      </c>
      <c r="I813" s="116" t="n">
        <v>40596</v>
      </c>
    </row>
    <row r="814">
      <c r="A814" s="117" t="inlineStr">
        <is>
          <t>544673</t>
        </is>
      </c>
      <c r="B814" s="117" t="n">
        <v>13421</v>
      </c>
      <c r="C814" s="117" t="inlineStr">
        <is>
          <t>United Kingdom</t>
        </is>
      </c>
      <c r="D814" s="117" t="inlineStr">
        <is>
          <t>22789</t>
        </is>
      </c>
      <c r="E814" s="117" t="inlineStr">
        <is>
          <t>T-LIGHT HOLDER SWEETHEART HANGING</t>
        </is>
      </c>
      <c r="F814" s="117" t="n">
        <v>12</v>
      </c>
      <c r="G814" s="118" t="n">
        <v>1.95</v>
      </c>
      <c r="H814" s="118" t="n">
        <v>23.4</v>
      </c>
      <c r="I814" s="119" t="n">
        <v>40596</v>
      </c>
    </row>
    <row r="815">
      <c r="A815" s="114" t="inlineStr">
        <is>
          <t>544673</t>
        </is>
      </c>
      <c r="B815" s="114" t="n">
        <v>13421</v>
      </c>
      <c r="C815" s="114" t="inlineStr">
        <is>
          <t>United Kingdom</t>
        </is>
      </c>
      <c r="D815" s="114" t="inlineStr">
        <is>
          <t>22997</t>
        </is>
      </c>
      <c r="E815" s="114" t="inlineStr">
        <is>
          <t>TRAVEL CARD WALLET UNION JACK</t>
        </is>
      </c>
      <c r="F815" s="114" t="n">
        <v>1</v>
      </c>
      <c r="G815" s="115" t="n">
        <v>0.42</v>
      </c>
      <c r="H815" s="115" t="n">
        <v>0.42</v>
      </c>
      <c r="I815" s="116" t="n">
        <v>40596</v>
      </c>
    </row>
    <row r="816">
      <c r="A816" s="117" t="inlineStr">
        <is>
          <t>544677</t>
        </is>
      </c>
      <c r="B816" s="117" t="n">
        <v>18196</v>
      </c>
      <c r="C816" s="117" t="inlineStr">
        <is>
          <t>United Kingdom</t>
        </is>
      </c>
      <c r="D816" s="117" t="inlineStr">
        <is>
          <t>16015</t>
        </is>
      </c>
      <c r="E816" s="117" t="inlineStr">
        <is>
          <t>MEDIUM CHINESE STYLE SCISSOR</t>
        </is>
      </c>
      <c r="F816" s="117" t="n">
        <v>1</v>
      </c>
      <c r="G816" s="118" t="n">
        <v>0.5</v>
      </c>
      <c r="H816" s="118" t="n">
        <v>0.5</v>
      </c>
      <c r="I816" s="119" t="n">
        <v>40596</v>
      </c>
    </row>
    <row r="817">
      <c r="A817" s="114" t="inlineStr">
        <is>
          <t>544677</t>
        </is>
      </c>
      <c r="B817" s="114" t="n">
        <v>18196</v>
      </c>
      <c r="C817" s="114" t="inlineStr">
        <is>
          <t>United Kingdom</t>
        </is>
      </c>
      <c r="D817" s="114" t="inlineStr">
        <is>
          <t>84879</t>
        </is>
      </c>
      <c r="E817" s="114" t="inlineStr">
        <is>
          <t>ASSORTED COLOUR BIRD ORNAMENT</t>
        </is>
      </c>
      <c r="F817" s="114" t="n">
        <v>8</v>
      </c>
      <c r="G817" s="115" t="n">
        <v>1.69</v>
      </c>
      <c r="H817" s="115" t="n">
        <v>13.52</v>
      </c>
      <c r="I817" s="116" t="n">
        <v>40596</v>
      </c>
    </row>
    <row r="818">
      <c r="A818" s="117" t="inlineStr">
        <is>
          <t>544678</t>
        </is>
      </c>
      <c r="B818" s="117" t="n">
        <v>13077</v>
      </c>
      <c r="C818" s="117" t="inlineStr">
        <is>
          <t>United Kingdom</t>
        </is>
      </c>
      <c r="D818" s="117" t="inlineStr">
        <is>
          <t>16169M</t>
        </is>
      </c>
      <c r="E818" s="117" t="inlineStr">
        <is>
          <t xml:space="preserve">WRAP DAISY CARPET </t>
        </is>
      </c>
      <c r="F818" s="117" t="n">
        <v>25</v>
      </c>
      <c r="G818" s="118" t="n">
        <v>0.42</v>
      </c>
      <c r="H818" s="118" t="n">
        <v>10.5</v>
      </c>
      <c r="I818" s="119" t="n">
        <v>40596</v>
      </c>
    </row>
    <row r="819">
      <c r="A819" s="114" t="inlineStr">
        <is>
          <t>544691</t>
        </is>
      </c>
      <c r="B819" s="114" t="n">
        <v>13804</v>
      </c>
      <c r="C819" s="114" t="inlineStr">
        <is>
          <t>United Kingdom</t>
        </is>
      </c>
      <c r="D819" s="114" t="inlineStr">
        <is>
          <t>22980</t>
        </is>
      </c>
      <c r="E819" s="114" t="inlineStr">
        <is>
          <t>PANTRY SCRUBBING BRUSH</t>
        </is>
      </c>
      <c r="F819" s="114" t="n">
        <v>12</v>
      </c>
      <c r="G819" s="115" t="n">
        <v>1.65</v>
      </c>
      <c r="H819" s="115" t="n">
        <v>19.8</v>
      </c>
      <c r="I819" s="116" t="n">
        <v>40597</v>
      </c>
    </row>
    <row r="820">
      <c r="A820" s="117" t="inlineStr">
        <is>
          <t>544700</t>
        </is>
      </c>
      <c r="B820" s="117" t="n">
        <v>18041</v>
      </c>
      <c r="C820" s="117" t="inlineStr">
        <is>
          <t>United Kingdom</t>
        </is>
      </c>
      <c r="D820" s="117" t="inlineStr">
        <is>
          <t>84375</t>
        </is>
      </c>
      <c r="E820" s="117" t="inlineStr">
        <is>
          <t>SET OF 20 KIDS COOKIE CUTTERS</t>
        </is>
      </c>
      <c r="F820" s="117" t="n">
        <v>2</v>
      </c>
      <c r="G820" s="118" t="n">
        <v>2.1</v>
      </c>
      <c r="H820" s="118" t="n">
        <v>4.2</v>
      </c>
      <c r="I820" s="119" t="n">
        <v>40597</v>
      </c>
    </row>
    <row r="821">
      <c r="A821" s="114" t="inlineStr">
        <is>
          <t>544702</t>
        </is>
      </c>
      <c r="B821" s="114" t="n">
        <v>17135</v>
      </c>
      <c r="C821" s="114" t="inlineStr">
        <is>
          <t>United Kingdom</t>
        </is>
      </c>
      <c r="D821" s="114" t="inlineStr">
        <is>
          <t>21231</t>
        </is>
      </c>
      <c r="E821" s="114" t="inlineStr">
        <is>
          <t>SWEETHEART CERAMIC TRINKET BOX</t>
        </is>
      </c>
      <c r="F821" s="114" t="n">
        <v>36</v>
      </c>
      <c r="G821" s="115" t="n">
        <v>1.25</v>
      </c>
      <c r="H821" s="115" t="n">
        <v>45</v>
      </c>
      <c r="I821" s="116" t="n">
        <v>40597</v>
      </c>
    </row>
    <row r="822">
      <c r="A822" s="117" t="inlineStr">
        <is>
          <t>544777</t>
        </is>
      </c>
      <c r="B822" s="117" t="n">
        <v>15311</v>
      </c>
      <c r="C822" s="117" t="inlineStr">
        <is>
          <t>United Kingdom</t>
        </is>
      </c>
      <c r="D822" s="117" t="inlineStr">
        <is>
          <t>85188A</t>
        </is>
      </c>
      <c r="E822" s="117" t="inlineStr">
        <is>
          <t>GREEN METAL SWINGING BUNNY</t>
        </is>
      </c>
      <c r="F822" s="117" t="n">
        <v>4</v>
      </c>
      <c r="G822" s="118" t="n">
        <v>0.85</v>
      </c>
      <c r="H822" s="118" t="n">
        <v>3.4</v>
      </c>
      <c r="I822" s="119" t="n">
        <v>40597</v>
      </c>
    </row>
    <row r="823">
      <c r="A823" s="114" t="inlineStr">
        <is>
          <t>544778</t>
        </is>
      </c>
      <c r="B823" s="114" t="n">
        <v>14978</v>
      </c>
      <c r="C823" s="114" t="inlineStr">
        <is>
          <t>United Kingdom</t>
        </is>
      </c>
      <c r="D823" s="114" t="inlineStr">
        <is>
          <t>72807C</t>
        </is>
      </c>
      <c r="E823" s="114" t="inlineStr">
        <is>
          <t>SET/3 VANILLA SCENTED CANDLE IN BOX</t>
        </is>
      </c>
      <c r="F823" s="114" t="n">
        <v>2</v>
      </c>
      <c r="G823" s="115" t="n">
        <v>4.25</v>
      </c>
      <c r="H823" s="115" t="n">
        <v>8.5</v>
      </c>
      <c r="I823" s="116" t="n">
        <v>40597</v>
      </c>
    </row>
    <row r="824">
      <c r="A824" s="117" t="inlineStr">
        <is>
          <t>544789</t>
        </is>
      </c>
      <c r="B824" s="117" t="n">
        <v>13993</v>
      </c>
      <c r="C824" s="117" t="inlineStr">
        <is>
          <t>United Kingdom</t>
        </is>
      </c>
      <c r="D824" s="117" t="inlineStr">
        <is>
          <t>21218</t>
        </is>
      </c>
      <c r="E824" s="117" t="inlineStr">
        <is>
          <t>RED SPOTTY BISCUIT TIN</t>
        </is>
      </c>
      <c r="F824" s="117" t="n">
        <v>6</v>
      </c>
      <c r="G824" s="118" t="n">
        <v>3.75</v>
      </c>
      <c r="H824" s="118" t="n">
        <v>22.5</v>
      </c>
      <c r="I824" s="119" t="n">
        <v>40597</v>
      </c>
    </row>
    <row r="825">
      <c r="A825" s="114" t="inlineStr">
        <is>
          <t>544790</t>
        </is>
      </c>
      <c r="B825" s="114" t="n">
        <v>16940</v>
      </c>
      <c r="C825" s="114" t="inlineStr">
        <is>
          <t>United Kingdom</t>
        </is>
      </c>
      <c r="D825" s="114" t="inlineStr">
        <is>
          <t>22467</t>
        </is>
      </c>
      <c r="E825" s="114" t="inlineStr">
        <is>
          <t>GUMBALL COAT RACK</t>
        </is>
      </c>
      <c r="F825" s="114" t="n">
        <v>5</v>
      </c>
      <c r="G825" s="115" t="n">
        <v>2.55</v>
      </c>
      <c r="H825" s="115" t="n">
        <v>12.75</v>
      </c>
      <c r="I825" s="116" t="n">
        <v>40597</v>
      </c>
    </row>
    <row r="826">
      <c r="A826" s="117" t="inlineStr">
        <is>
          <t>544795</t>
        </is>
      </c>
      <c r="B826" s="117" t="n">
        <v>15858</v>
      </c>
      <c r="C826" s="117" t="inlineStr">
        <is>
          <t>United Kingdom</t>
        </is>
      </c>
      <c r="D826" s="117" t="inlineStr">
        <is>
          <t>22815</t>
        </is>
      </c>
      <c r="E826" s="117" t="inlineStr">
        <is>
          <t>CARD PSYCHEDELIC APPLES</t>
        </is>
      </c>
      <c r="F826" s="117" t="n">
        <v>12</v>
      </c>
      <c r="G826" s="118" t="n">
        <v>0.42</v>
      </c>
      <c r="H826" s="118" t="n">
        <v>5.04</v>
      </c>
      <c r="I826" s="119" t="n">
        <v>40597</v>
      </c>
    </row>
    <row r="827">
      <c r="A827" s="114" t="inlineStr">
        <is>
          <t>544803</t>
        </is>
      </c>
      <c r="B827" s="114" t="n">
        <v>14606</v>
      </c>
      <c r="C827" s="114" t="inlineStr">
        <is>
          <t>United Kingdom</t>
        </is>
      </c>
      <c r="D827" s="114" t="inlineStr">
        <is>
          <t>22475</t>
        </is>
      </c>
      <c r="E827" s="114" t="inlineStr">
        <is>
          <t>SKULL DESIGN TV DINNER TRAY</t>
        </is>
      </c>
      <c r="F827" s="114" t="n">
        <v>1</v>
      </c>
      <c r="G827" s="115" t="n">
        <v>4.95</v>
      </c>
      <c r="H827" s="115" t="n">
        <v>4.95</v>
      </c>
      <c r="I827" s="116" t="n">
        <v>40597</v>
      </c>
    </row>
    <row r="828">
      <c r="A828" s="117" t="inlineStr">
        <is>
          <t>544804</t>
        </is>
      </c>
      <c r="B828" s="117" t="n">
        <v>17504</v>
      </c>
      <c r="C828" s="117" t="inlineStr">
        <is>
          <t>United Kingdom</t>
        </is>
      </c>
      <c r="D828" s="117" t="inlineStr">
        <is>
          <t>22501</t>
        </is>
      </c>
      <c r="E828" s="117" t="inlineStr">
        <is>
          <t>PICNIC BASKET WICKER LARGE</t>
        </is>
      </c>
      <c r="F828" s="117" t="n">
        <v>4</v>
      </c>
      <c r="G828" s="118" t="n">
        <v>9.949999999999999</v>
      </c>
      <c r="H828" s="118" t="n">
        <v>39.8</v>
      </c>
      <c r="I828" s="119" t="n">
        <v>40597</v>
      </c>
    </row>
    <row r="829">
      <c r="A829" s="114" t="inlineStr">
        <is>
          <t>544810</t>
        </is>
      </c>
      <c r="B829" s="114" t="n">
        <v>17675</v>
      </c>
      <c r="C829" s="114" t="inlineStr">
        <is>
          <t>United Kingdom</t>
        </is>
      </c>
      <c r="D829" s="114" t="inlineStr">
        <is>
          <t>22180</t>
        </is>
      </c>
      <c r="E829" s="114" t="inlineStr">
        <is>
          <t>RETROSPOT LAMP</t>
        </is>
      </c>
      <c r="F829" s="114" t="n">
        <v>2</v>
      </c>
      <c r="G829" s="115" t="n">
        <v>9.949999999999999</v>
      </c>
      <c r="H829" s="115" t="n">
        <v>19.9</v>
      </c>
      <c r="I829" s="116" t="n">
        <v>40597</v>
      </c>
    </row>
    <row r="830">
      <c r="A830" s="117" t="inlineStr">
        <is>
          <t>544816</t>
        </is>
      </c>
      <c r="B830" s="117" t="n">
        <v>13090</v>
      </c>
      <c r="C830" s="117" t="inlineStr">
        <is>
          <t>United Kingdom</t>
        </is>
      </c>
      <c r="D830" s="117" t="inlineStr">
        <is>
          <t>22991</t>
        </is>
      </c>
      <c r="E830" s="117" t="inlineStr">
        <is>
          <t>GIRAFFE WOODEN RULER</t>
        </is>
      </c>
      <c r="F830" s="117" t="n">
        <v>12</v>
      </c>
      <c r="G830" s="118" t="n">
        <v>1.95</v>
      </c>
      <c r="H830" s="118" t="n">
        <v>23.4</v>
      </c>
      <c r="I830" s="119" t="n">
        <v>40597</v>
      </c>
    </row>
    <row r="831">
      <c r="A831" s="114" t="inlineStr">
        <is>
          <t>544824</t>
        </is>
      </c>
      <c r="B831" s="114" t="n">
        <v>17139</v>
      </c>
      <c r="C831" s="114" t="inlineStr">
        <is>
          <t>United Kingdom</t>
        </is>
      </c>
      <c r="D831" s="114" t="inlineStr">
        <is>
          <t>21181</t>
        </is>
      </c>
      <c r="E831" s="114" t="inlineStr">
        <is>
          <t>PLEASE ONE PERSON METAL SIGN</t>
        </is>
      </c>
      <c r="F831" s="114" t="n">
        <v>12</v>
      </c>
      <c r="G831" s="115" t="n">
        <v>2.1</v>
      </c>
      <c r="H831" s="115" t="n">
        <v>25.2</v>
      </c>
      <c r="I831" s="116" t="n">
        <v>40598</v>
      </c>
    </row>
    <row r="832">
      <c r="A832" s="117" t="inlineStr">
        <is>
          <t>544824</t>
        </is>
      </c>
      <c r="B832" s="117" t="n">
        <v>17139</v>
      </c>
      <c r="C832" s="117" t="inlineStr">
        <is>
          <t>United Kingdom</t>
        </is>
      </c>
      <c r="D832" s="117" t="inlineStr">
        <is>
          <t>22488</t>
        </is>
      </c>
      <c r="E832" s="117" t="inlineStr">
        <is>
          <t>NATURAL SLATE RECTANGLE CHALKBOARD</t>
        </is>
      </c>
      <c r="F832" s="117" t="n">
        <v>12</v>
      </c>
      <c r="G832" s="118" t="n">
        <v>1.65</v>
      </c>
      <c r="H832" s="118" t="n">
        <v>19.8</v>
      </c>
      <c r="I832" s="119" t="n">
        <v>40598</v>
      </c>
    </row>
    <row r="833">
      <c r="A833" s="114" t="inlineStr">
        <is>
          <t>544824</t>
        </is>
      </c>
      <c r="B833" s="114" t="n">
        <v>17139</v>
      </c>
      <c r="C833" s="114" t="inlineStr">
        <is>
          <t>United Kingdom</t>
        </is>
      </c>
      <c r="D833" s="114" t="inlineStr">
        <is>
          <t>21558</t>
        </is>
      </c>
      <c r="E833" s="114" t="inlineStr">
        <is>
          <t xml:space="preserve">SKULL LUNCH BOX WITH CUTLERY </t>
        </is>
      </c>
      <c r="F833" s="114" t="n">
        <v>6</v>
      </c>
      <c r="G833" s="115" t="n">
        <v>2.55</v>
      </c>
      <c r="H833" s="115" t="n">
        <v>15.3</v>
      </c>
      <c r="I833" s="116" t="n">
        <v>40598</v>
      </c>
    </row>
    <row r="834">
      <c r="A834" s="117" t="inlineStr">
        <is>
          <t>544824</t>
        </is>
      </c>
      <c r="B834" s="117" t="n">
        <v>17139</v>
      </c>
      <c r="C834" s="117" t="inlineStr">
        <is>
          <t>United Kingdom</t>
        </is>
      </c>
      <c r="D834" s="117" t="inlineStr">
        <is>
          <t>22853</t>
        </is>
      </c>
      <c r="E834" s="117" t="inlineStr">
        <is>
          <t>CAT BOWL VINTAGE CREAM</t>
        </is>
      </c>
      <c r="F834" s="117" t="n">
        <v>6</v>
      </c>
      <c r="G834" s="118" t="n">
        <v>3.25</v>
      </c>
      <c r="H834" s="118" t="n">
        <v>19.5</v>
      </c>
      <c r="I834" s="119" t="n">
        <v>40598</v>
      </c>
    </row>
    <row r="835">
      <c r="A835" s="114" t="inlineStr">
        <is>
          <t>544824</t>
        </is>
      </c>
      <c r="B835" s="114" t="n">
        <v>17139</v>
      </c>
      <c r="C835" s="114" t="inlineStr">
        <is>
          <t>United Kingdom</t>
        </is>
      </c>
      <c r="D835" s="114" t="inlineStr">
        <is>
          <t>22384</t>
        </is>
      </c>
      <c r="E835" s="114" t="inlineStr">
        <is>
          <t>LUNCH BAG PINK POLKADOT</t>
        </is>
      </c>
      <c r="F835" s="114" t="n">
        <v>10</v>
      </c>
      <c r="G835" s="115" t="n">
        <v>1.65</v>
      </c>
      <c r="H835" s="115" t="n">
        <v>16.5</v>
      </c>
      <c r="I835" s="116" t="n">
        <v>40598</v>
      </c>
    </row>
    <row r="836">
      <c r="A836" s="117" t="inlineStr">
        <is>
          <t>544886</t>
        </is>
      </c>
      <c r="B836" s="117" t="n">
        <v>12582</v>
      </c>
      <c r="C836" s="117" t="inlineStr">
        <is>
          <t>Finland</t>
        </is>
      </c>
      <c r="D836" s="117" t="inlineStr">
        <is>
          <t>22467</t>
        </is>
      </c>
      <c r="E836" s="117" t="inlineStr">
        <is>
          <t>GUMBALL COAT RACK</t>
        </is>
      </c>
      <c r="F836" s="117" t="n">
        <v>12</v>
      </c>
      <c r="G836" s="118" t="n">
        <v>2.55</v>
      </c>
      <c r="H836" s="118" t="n">
        <v>30.6</v>
      </c>
      <c r="I836" s="119" t="n">
        <v>40598</v>
      </c>
    </row>
    <row r="837">
      <c r="A837" s="114" t="inlineStr">
        <is>
          <t>544887</t>
        </is>
      </c>
      <c r="B837" s="114" t="n">
        <v>17364</v>
      </c>
      <c r="C837" s="114" t="inlineStr">
        <is>
          <t>United Kingdom</t>
        </is>
      </c>
      <c r="D837" s="114" t="inlineStr">
        <is>
          <t>22075</t>
        </is>
      </c>
      <c r="E837" s="114" t="inlineStr">
        <is>
          <t xml:space="preserve">6 RIBBONS ELEGANT CHRISTMAS </t>
        </is>
      </c>
      <c r="F837" s="114" t="n">
        <v>4</v>
      </c>
      <c r="G837" s="115" t="n">
        <v>1.65</v>
      </c>
      <c r="H837" s="115" t="n">
        <v>6.6</v>
      </c>
      <c r="I837" s="116" t="n">
        <v>40598</v>
      </c>
    </row>
    <row r="838">
      <c r="A838" s="117" t="inlineStr">
        <is>
          <t>544888</t>
        </is>
      </c>
      <c r="B838" s="117" t="n">
        <v>14231</v>
      </c>
      <c r="C838" s="117" t="inlineStr">
        <is>
          <t>United Kingdom</t>
        </is>
      </c>
      <c r="D838" s="117" t="inlineStr">
        <is>
          <t>22669</t>
        </is>
      </c>
      <c r="E838" s="117" t="inlineStr">
        <is>
          <t xml:space="preserve">RED BABY BUNTING </t>
        </is>
      </c>
      <c r="F838" s="117" t="n">
        <v>5</v>
      </c>
      <c r="G838" s="118" t="n">
        <v>2.95</v>
      </c>
      <c r="H838" s="118" t="n">
        <v>14.75</v>
      </c>
      <c r="I838" s="119" t="n">
        <v>40598</v>
      </c>
    </row>
    <row r="839">
      <c r="A839" s="114" t="inlineStr">
        <is>
          <t>544895</t>
        </is>
      </c>
      <c r="B839" s="114" t="n">
        <v>14189</v>
      </c>
      <c r="C839" s="114" t="inlineStr">
        <is>
          <t>United Kingdom</t>
        </is>
      </c>
      <c r="D839" s="114" t="inlineStr">
        <is>
          <t>85227</t>
        </is>
      </c>
      <c r="E839" s="114" t="inlineStr">
        <is>
          <t>SET OF 6 3D KIT CARDS FOR KIDS</t>
        </is>
      </c>
      <c r="F839" s="114" t="n">
        <v>12</v>
      </c>
      <c r="G839" s="115" t="n">
        <v>0.85</v>
      </c>
      <c r="H839" s="115" t="n">
        <v>10.2</v>
      </c>
      <c r="I839" s="116" t="n">
        <v>40598</v>
      </c>
    </row>
    <row r="840">
      <c r="A840" s="117" t="inlineStr">
        <is>
          <t>544900</t>
        </is>
      </c>
      <c r="B840" s="117" t="n">
        <v>15121</v>
      </c>
      <c r="C840" s="117" t="inlineStr">
        <is>
          <t>United Kingdom</t>
        </is>
      </c>
      <c r="D840" s="117" t="inlineStr">
        <is>
          <t>21467</t>
        </is>
      </c>
      <c r="E840" s="117" t="inlineStr">
        <is>
          <t>CHERRY CROCHET FOOD COVER</t>
        </is>
      </c>
      <c r="F840" s="117" t="n">
        <v>6</v>
      </c>
      <c r="G840" s="118" t="n">
        <v>3.75</v>
      </c>
      <c r="H840" s="118" t="n">
        <v>22.5</v>
      </c>
      <c r="I840" s="119" t="n">
        <v>40598</v>
      </c>
    </row>
    <row r="841">
      <c r="A841" s="114" t="inlineStr">
        <is>
          <t>544904</t>
        </is>
      </c>
      <c r="B841" s="114" t="n">
        <v>13018</v>
      </c>
      <c r="C841" s="114" t="inlineStr">
        <is>
          <t>United Kingdom</t>
        </is>
      </c>
      <c r="D841" s="114" t="inlineStr">
        <is>
          <t>22660</t>
        </is>
      </c>
      <c r="E841" s="114" t="inlineStr">
        <is>
          <t>DOORMAT I LOVE LONDON</t>
        </is>
      </c>
      <c r="F841" s="114" t="n">
        <v>2</v>
      </c>
      <c r="G841" s="115" t="n">
        <v>7.95</v>
      </c>
      <c r="H841" s="115" t="n">
        <v>15.9</v>
      </c>
      <c r="I841" s="116" t="n">
        <v>40598</v>
      </c>
    </row>
    <row r="842">
      <c r="A842" s="117" t="inlineStr">
        <is>
          <t>544913</t>
        </is>
      </c>
      <c r="B842" s="117" t="n">
        <v>15543</v>
      </c>
      <c r="C842" s="117" t="inlineStr">
        <is>
          <t>United Kingdom</t>
        </is>
      </c>
      <c r="D842" s="117" t="inlineStr">
        <is>
          <t>22223</t>
        </is>
      </c>
      <c r="E842" s="117" t="inlineStr">
        <is>
          <t>CAKE PLATE LOVEBIRD PINK</t>
        </is>
      </c>
      <c r="F842" s="117" t="n">
        <v>1</v>
      </c>
      <c r="G842" s="118" t="n">
        <v>4.95</v>
      </c>
      <c r="H842" s="118" t="n">
        <v>4.95</v>
      </c>
      <c r="I842" s="119" t="n">
        <v>40598</v>
      </c>
    </row>
    <row r="843">
      <c r="A843" s="114" t="inlineStr">
        <is>
          <t>544913</t>
        </is>
      </c>
      <c r="B843" s="114" t="n">
        <v>15543</v>
      </c>
      <c r="C843" s="114" t="inlineStr">
        <is>
          <t>United Kingdom</t>
        </is>
      </c>
      <c r="D843" s="114" t="inlineStr">
        <is>
          <t>22221</t>
        </is>
      </c>
      <c r="E843" s="114" t="inlineStr">
        <is>
          <t>CAKE STAND LOVEBIRD 2 TIER PINK</t>
        </is>
      </c>
      <c r="F843" s="114" t="n">
        <v>1</v>
      </c>
      <c r="G843" s="115" t="n">
        <v>9.949999999999999</v>
      </c>
      <c r="H843" s="115" t="n">
        <v>9.949999999999999</v>
      </c>
      <c r="I843" s="116" t="n">
        <v>40598</v>
      </c>
    </row>
    <row r="844">
      <c r="A844" s="117" t="inlineStr">
        <is>
          <t>544918</t>
        </is>
      </c>
      <c r="B844" s="117" t="n">
        <v>13081</v>
      </c>
      <c r="C844" s="117" t="inlineStr">
        <is>
          <t>United Kingdom</t>
        </is>
      </c>
      <c r="D844" s="117" t="inlineStr">
        <is>
          <t>21243</t>
        </is>
      </c>
      <c r="E844" s="117" t="inlineStr">
        <is>
          <t xml:space="preserve">PINK  POLKADOT PLATE </t>
        </is>
      </c>
      <c r="F844" s="117" t="n">
        <v>8</v>
      </c>
      <c r="G844" s="118" t="n">
        <v>1.69</v>
      </c>
      <c r="H844" s="118" t="n">
        <v>13.52</v>
      </c>
      <c r="I844" s="119" t="n">
        <v>40598</v>
      </c>
    </row>
    <row r="845">
      <c r="A845" s="114" t="inlineStr">
        <is>
          <t>544924</t>
        </is>
      </c>
      <c r="B845" s="114" t="n">
        <v>13851</v>
      </c>
      <c r="C845" s="114" t="inlineStr">
        <is>
          <t>United Kingdom</t>
        </is>
      </c>
      <c r="D845" s="114" t="inlineStr">
        <is>
          <t>22570</t>
        </is>
      </c>
      <c r="E845" s="114" t="inlineStr">
        <is>
          <t>FELTCRAFT CUSHION RABBIT</t>
        </is>
      </c>
      <c r="F845" s="114" t="n">
        <v>4</v>
      </c>
      <c r="G845" s="115" t="n">
        <v>3.75</v>
      </c>
      <c r="H845" s="115" t="n">
        <v>15</v>
      </c>
      <c r="I845" s="116" t="n">
        <v>40598</v>
      </c>
    </row>
    <row r="846">
      <c r="A846" s="117" t="inlineStr">
        <is>
          <t>544930</t>
        </is>
      </c>
      <c r="B846" s="117" t="n">
        <v>17472</v>
      </c>
      <c r="C846" s="117" t="inlineStr">
        <is>
          <t>United Kingdom</t>
        </is>
      </c>
      <c r="D846" s="117" t="inlineStr">
        <is>
          <t>22457</t>
        </is>
      </c>
      <c r="E846" s="117" t="inlineStr">
        <is>
          <t xml:space="preserve">NATURAL SLATE HEART CHALKBOARD </t>
        </is>
      </c>
      <c r="F846" s="117" t="n">
        <v>2</v>
      </c>
      <c r="G846" s="118" t="n">
        <v>2.95</v>
      </c>
      <c r="H846" s="118" t="n">
        <v>5.9</v>
      </c>
      <c r="I846" s="119" t="n">
        <v>40598</v>
      </c>
    </row>
    <row r="847">
      <c r="A847" s="114" t="inlineStr">
        <is>
          <t>544930</t>
        </is>
      </c>
      <c r="B847" s="114" t="n">
        <v>17472</v>
      </c>
      <c r="C847" s="114" t="inlineStr">
        <is>
          <t>United Kingdom</t>
        </is>
      </c>
      <c r="D847" s="114" t="inlineStr">
        <is>
          <t>21389</t>
        </is>
      </c>
      <c r="E847" s="114" t="inlineStr">
        <is>
          <t>IVORY HANGING DECORATION  BIRD</t>
        </is>
      </c>
      <c r="F847" s="114" t="n">
        <v>2</v>
      </c>
      <c r="G847" s="115" t="n">
        <v>0.85</v>
      </c>
      <c r="H847" s="115" t="n">
        <v>1.7</v>
      </c>
      <c r="I847" s="116" t="n">
        <v>40598</v>
      </c>
    </row>
    <row r="848">
      <c r="A848" s="117" t="inlineStr">
        <is>
          <t>544932</t>
        </is>
      </c>
      <c r="B848" s="117" t="n">
        <v>16133</v>
      </c>
      <c r="C848" s="117" t="inlineStr">
        <is>
          <t>United Kingdom</t>
        </is>
      </c>
      <c r="D848" s="117" t="inlineStr">
        <is>
          <t>22410</t>
        </is>
      </c>
      <c r="E848" s="117" t="inlineStr">
        <is>
          <t>MONEY BOX HOUSEKEEPING DESIGN</t>
        </is>
      </c>
      <c r="F848" s="117" t="n">
        <v>12</v>
      </c>
      <c r="G848" s="118" t="n">
        <v>1.25</v>
      </c>
      <c r="H848" s="118" t="n">
        <v>15</v>
      </c>
      <c r="I848" s="119" t="n">
        <v>40599</v>
      </c>
    </row>
    <row r="849">
      <c r="A849" s="114" t="inlineStr">
        <is>
          <t>544934</t>
        </is>
      </c>
      <c r="B849" s="114" t="n">
        <v>13345</v>
      </c>
      <c r="C849" s="114" t="inlineStr">
        <is>
          <t>United Kingdom</t>
        </is>
      </c>
      <c r="D849" s="114" t="inlineStr">
        <is>
          <t>22663</t>
        </is>
      </c>
      <c r="E849" s="114" t="inlineStr">
        <is>
          <t>JUMBO BAG DOLLY GIRL DESIGN</t>
        </is>
      </c>
      <c r="F849" s="114" t="n">
        <v>10</v>
      </c>
      <c r="G849" s="115" t="n">
        <v>1.95</v>
      </c>
      <c r="H849" s="115" t="n">
        <v>19.5</v>
      </c>
      <c r="I849" s="116" t="n">
        <v>40599</v>
      </c>
    </row>
    <row r="850">
      <c r="A850" s="117" t="inlineStr">
        <is>
          <t>544935</t>
        </is>
      </c>
      <c r="B850" s="117" t="n">
        <v>13870</v>
      </c>
      <c r="C850" s="117" t="inlineStr">
        <is>
          <t>United Kingdom</t>
        </is>
      </c>
      <c r="D850" s="117" t="inlineStr">
        <is>
          <t>22423</t>
        </is>
      </c>
      <c r="E850" s="117" t="inlineStr">
        <is>
          <t>REGENCY CAKESTAND 3 TIER</t>
        </is>
      </c>
      <c r="F850" s="117" t="n">
        <v>2</v>
      </c>
      <c r="G850" s="118" t="n">
        <v>12.75</v>
      </c>
      <c r="H850" s="118" t="n">
        <v>25.5</v>
      </c>
      <c r="I850" s="119" t="n">
        <v>40599</v>
      </c>
    </row>
    <row r="851">
      <c r="A851" s="114" t="inlineStr">
        <is>
          <t>544998</t>
        </is>
      </c>
      <c r="B851" s="114" t="n">
        <v>14470</v>
      </c>
      <c r="C851" s="114" t="inlineStr">
        <is>
          <t>United Kingdom</t>
        </is>
      </c>
      <c r="D851" s="114" t="inlineStr">
        <is>
          <t>20749</t>
        </is>
      </c>
      <c r="E851" s="114" t="inlineStr">
        <is>
          <t>ASSORTED COLOUR MINI CASES</t>
        </is>
      </c>
      <c r="F851" s="114" t="n">
        <v>1</v>
      </c>
      <c r="G851" s="115" t="n">
        <v>7.95</v>
      </c>
      <c r="H851" s="115" t="n">
        <v>7.95</v>
      </c>
      <c r="I851" s="116" t="n">
        <v>40599</v>
      </c>
    </row>
    <row r="852">
      <c r="A852" s="117" t="inlineStr">
        <is>
          <t>545001</t>
        </is>
      </c>
      <c r="B852" s="117" t="n">
        <v>16841</v>
      </c>
      <c r="C852" s="117" t="inlineStr">
        <is>
          <t>United Kingdom</t>
        </is>
      </c>
      <c r="D852" s="117" t="inlineStr">
        <is>
          <t>22951</t>
        </is>
      </c>
      <c r="E852" s="117" t="inlineStr">
        <is>
          <t>60 CAKE CASES DOLLY GIRL DESIGN</t>
        </is>
      </c>
      <c r="F852" s="117" t="n">
        <v>24</v>
      </c>
      <c r="G852" s="118" t="n">
        <v>0.55</v>
      </c>
      <c r="H852" s="118" t="n">
        <v>13.2</v>
      </c>
      <c r="I852" s="119" t="n">
        <v>40599</v>
      </c>
    </row>
    <row r="853">
      <c r="A853" s="114" t="inlineStr">
        <is>
          <t>545013</t>
        </is>
      </c>
      <c r="B853" s="114" t="n">
        <v>13093</v>
      </c>
      <c r="C853" s="114" t="inlineStr">
        <is>
          <t>United Kingdom</t>
        </is>
      </c>
      <c r="D853" s="114" t="inlineStr">
        <is>
          <t>22383</t>
        </is>
      </c>
      <c r="E853" s="114" t="inlineStr">
        <is>
          <t xml:space="preserve">LUNCH BAG SUKI DESIGN </t>
        </is>
      </c>
      <c r="F853" s="114" t="n">
        <v>20</v>
      </c>
      <c r="G853" s="115" t="n">
        <v>1.65</v>
      </c>
      <c r="H853" s="115" t="n">
        <v>33</v>
      </c>
      <c r="I853" s="116" t="n">
        <v>40599</v>
      </c>
    </row>
    <row r="854">
      <c r="A854" s="117" t="inlineStr">
        <is>
          <t>545016</t>
        </is>
      </c>
      <c r="B854" s="117" t="n">
        <v>16473</v>
      </c>
      <c r="C854" s="117" t="inlineStr">
        <is>
          <t>United Kingdom</t>
        </is>
      </c>
      <c r="D854" s="117" t="inlineStr">
        <is>
          <t>22791</t>
        </is>
      </c>
      <c r="E854" s="117" t="inlineStr">
        <is>
          <t>T-LIGHT GLASS FLUTED ANTIQUE</t>
        </is>
      </c>
      <c r="F854" s="117" t="n">
        <v>12</v>
      </c>
      <c r="G854" s="118" t="n">
        <v>1.25</v>
      </c>
      <c r="H854" s="118" t="n">
        <v>15</v>
      </c>
      <c r="I854" s="119" t="n">
        <v>40599</v>
      </c>
    </row>
    <row r="855">
      <c r="A855" s="114" t="inlineStr">
        <is>
          <t>545022</t>
        </is>
      </c>
      <c r="B855" s="114" t="n">
        <v>12921</v>
      </c>
      <c r="C855" s="114" t="inlineStr">
        <is>
          <t>United Kingdom</t>
        </is>
      </c>
      <c r="D855" s="114" t="inlineStr">
        <is>
          <t>20971</t>
        </is>
      </c>
      <c r="E855" s="114" t="inlineStr">
        <is>
          <t>PINK BLUE FELT CRAFT TRINKET BOX</t>
        </is>
      </c>
      <c r="F855" s="114" t="n">
        <v>12</v>
      </c>
      <c r="G855" s="115" t="n">
        <v>1.25</v>
      </c>
      <c r="H855" s="115" t="n">
        <v>15</v>
      </c>
      <c r="I855" s="116" t="n">
        <v>40599</v>
      </c>
    </row>
    <row r="856">
      <c r="A856" s="117" t="inlineStr">
        <is>
          <t>545023</t>
        </is>
      </c>
      <c r="B856" s="117" t="n">
        <v>12921</v>
      </c>
      <c r="C856" s="117" t="inlineStr">
        <is>
          <t>United Kingdom</t>
        </is>
      </c>
      <c r="D856" s="117" t="inlineStr">
        <is>
          <t>84970L</t>
        </is>
      </c>
      <c r="E856" s="117" t="inlineStr">
        <is>
          <t>SINGLE HEART ZINC T-LIGHT HOLDER</t>
        </is>
      </c>
      <c r="F856" s="117" t="n">
        <v>12</v>
      </c>
      <c r="G856" s="118" t="n">
        <v>0.95</v>
      </c>
      <c r="H856" s="118" t="n">
        <v>11.4</v>
      </c>
      <c r="I856" s="119" t="n">
        <v>40599</v>
      </c>
    </row>
    <row r="857">
      <c r="A857" s="114" t="inlineStr">
        <is>
          <t>545030</t>
        </is>
      </c>
      <c r="B857" s="114" t="n">
        <v>13798</v>
      </c>
      <c r="C857" s="114" t="inlineStr">
        <is>
          <t>United Kingdom</t>
        </is>
      </c>
      <c r="D857" s="114" t="inlineStr">
        <is>
          <t>21169</t>
        </is>
      </c>
      <c r="E857" s="114" t="inlineStr">
        <is>
          <t xml:space="preserve">YOU'RE CONFUSING ME METAL SIGN </t>
        </is>
      </c>
      <c r="F857" s="114" t="n">
        <v>48</v>
      </c>
      <c r="G857" s="115" t="n">
        <v>1.45</v>
      </c>
      <c r="H857" s="115" t="n">
        <v>69.59999999999999</v>
      </c>
      <c r="I857" s="116" t="n">
        <v>40599</v>
      </c>
    </row>
    <row r="858">
      <c r="A858" s="117" t="inlineStr">
        <is>
          <t>545043</t>
        </is>
      </c>
      <c r="B858" s="117" t="n">
        <v>16407</v>
      </c>
      <c r="C858" s="117" t="inlineStr">
        <is>
          <t>United Kingdom</t>
        </is>
      </c>
      <c r="D858" s="117" t="inlineStr">
        <is>
          <t>47566B</t>
        </is>
      </c>
      <c r="E858" s="117" t="inlineStr">
        <is>
          <t>TEA TIME PARTY BUNTING</t>
        </is>
      </c>
      <c r="F858" s="117" t="n">
        <v>1</v>
      </c>
      <c r="G858" s="118" t="n">
        <v>4.95</v>
      </c>
      <c r="H858" s="118" t="n">
        <v>4.95</v>
      </c>
      <c r="I858" s="119" t="n">
        <v>40601</v>
      </c>
    </row>
    <row r="859">
      <c r="A859" s="114" t="inlineStr">
        <is>
          <t>545048</t>
        </is>
      </c>
      <c r="B859" s="114" t="n">
        <v>14810</v>
      </c>
      <c r="C859" s="114" t="inlineStr">
        <is>
          <t>United Kingdom</t>
        </is>
      </c>
      <c r="D859" s="114" t="inlineStr">
        <is>
          <t>20716</t>
        </is>
      </c>
      <c r="E859" s="114" t="inlineStr">
        <is>
          <t>PARTY FOOD SHOPPER BAG</t>
        </is>
      </c>
      <c r="F859" s="114" t="n">
        <v>4</v>
      </c>
      <c r="G859" s="115" t="n">
        <v>1.25</v>
      </c>
      <c r="H859" s="115" t="n">
        <v>5</v>
      </c>
      <c r="I859" s="116" t="n">
        <v>40601</v>
      </c>
    </row>
    <row r="860">
      <c r="A860" s="117" t="inlineStr">
        <is>
          <t>545052</t>
        </is>
      </c>
      <c r="B860" s="117" t="n">
        <v>13971</v>
      </c>
      <c r="C860" s="117" t="inlineStr">
        <is>
          <t>United Kingdom</t>
        </is>
      </c>
      <c r="D860" s="117" t="inlineStr">
        <is>
          <t>20728</t>
        </is>
      </c>
      <c r="E860" s="117" t="inlineStr">
        <is>
          <t>LUNCH BAG CARS BLUE</t>
        </is>
      </c>
      <c r="F860" s="117" t="n">
        <v>10</v>
      </c>
      <c r="G860" s="118" t="n">
        <v>1.65</v>
      </c>
      <c r="H860" s="118" t="n">
        <v>16.5</v>
      </c>
      <c r="I860" s="119" t="n">
        <v>40601</v>
      </c>
    </row>
    <row r="861">
      <c r="A861" s="114" t="inlineStr">
        <is>
          <t>545054</t>
        </is>
      </c>
      <c r="B861" s="114" t="n">
        <v>14472</v>
      </c>
      <c r="C861" s="114" t="inlineStr">
        <is>
          <t>United Kingdom</t>
        </is>
      </c>
      <c r="D861" s="114" t="inlineStr">
        <is>
          <t>22294</t>
        </is>
      </c>
      <c r="E861" s="114" t="inlineStr">
        <is>
          <t>HEART FILIGREE DOVE  SMALL</t>
        </is>
      </c>
      <c r="F861" s="114" t="n">
        <v>3</v>
      </c>
      <c r="G861" s="115" t="n">
        <v>1.25</v>
      </c>
      <c r="H861" s="115" t="n">
        <v>3.75</v>
      </c>
      <c r="I861" s="116" t="n">
        <v>40601</v>
      </c>
    </row>
    <row r="862">
      <c r="A862" s="117" t="inlineStr">
        <is>
          <t>545057</t>
        </is>
      </c>
      <c r="B862" s="117" t="n">
        <v>13630</v>
      </c>
      <c r="C862" s="117" t="inlineStr">
        <is>
          <t>United Kingdom</t>
        </is>
      </c>
      <c r="D862" s="117" t="inlineStr">
        <is>
          <t>22178</t>
        </is>
      </c>
      <c r="E862" s="117" t="inlineStr">
        <is>
          <t>VICTORIAN GLASS HANGING T-LIGHT</t>
        </is>
      </c>
      <c r="F862" s="117" t="n">
        <v>12</v>
      </c>
      <c r="G862" s="118" t="n">
        <v>1.25</v>
      </c>
      <c r="H862" s="118" t="n">
        <v>15</v>
      </c>
      <c r="I862" s="119" t="n">
        <v>40601</v>
      </c>
    </row>
    <row r="863">
      <c r="A863" s="114" t="inlineStr">
        <is>
          <t>545062</t>
        </is>
      </c>
      <c r="B863" s="114" t="n">
        <v>12748</v>
      </c>
      <c r="C863" s="114" t="inlineStr">
        <is>
          <t>United Kingdom</t>
        </is>
      </c>
      <c r="D863" s="114" t="inlineStr">
        <is>
          <t>82552</t>
        </is>
      </c>
      <c r="E863" s="114" t="inlineStr">
        <is>
          <t>WASHROOM METAL SIGN</t>
        </is>
      </c>
      <c r="F863" s="114" t="n">
        <v>1</v>
      </c>
      <c r="G863" s="115" t="n">
        <v>1.45</v>
      </c>
      <c r="H863" s="115" t="n">
        <v>1.45</v>
      </c>
      <c r="I863" s="116" t="n">
        <v>40601</v>
      </c>
    </row>
    <row r="864">
      <c r="A864" s="117" t="inlineStr">
        <is>
          <t>545062</t>
        </is>
      </c>
      <c r="B864" s="117" t="n">
        <v>12748</v>
      </c>
      <c r="C864" s="117" t="inlineStr">
        <is>
          <t>United Kingdom</t>
        </is>
      </c>
      <c r="D864" s="117" t="inlineStr">
        <is>
          <t>22729</t>
        </is>
      </c>
      <c r="E864" s="117" t="inlineStr">
        <is>
          <t>ALARM CLOCK BAKELIKE ORANGE</t>
        </is>
      </c>
      <c r="F864" s="117" t="n">
        <v>1</v>
      </c>
      <c r="G864" s="118" t="n">
        <v>3.75</v>
      </c>
      <c r="H864" s="118" t="n">
        <v>3.75</v>
      </c>
      <c r="I864" s="119" t="n">
        <v>40601</v>
      </c>
    </row>
    <row r="865">
      <c r="A865" s="114" t="inlineStr">
        <is>
          <t>545062</t>
        </is>
      </c>
      <c r="B865" s="114" t="n">
        <v>12748</v>
      </c>
      <c r="C865" s="114" t="inlineStr">
        <is>
          <t>United Kingdom</t>
        </is>
      </c>
      <c r="D865" s="114" t="inlineStr">
        <is>
          <t>84847</t>
        </is>
      </c>
      <c r="E865" s="114" t="inlineStr">
        <is>
          <t>FLORAL BATHROOM SET</t>
        </is>
      </c>
      <c r="F865" s="114" t="n">
        <v>1</v>
      </c>
      <c r="G865" s="115" t="n">
        <v>3.75</v>
      </c>
      <c r="H865" s="115" t="n">
        <v>3.75</v>
      </c>
      <c r="I865" s="116" t="n">
        <v>40601</v>
      </c>
    </row>
    <row r="866">
      <c r="A866" s="117" t="inlineStr">
        <is>
          <t>545066</t>
        </is>
      </c>
      <c r="B866" s="117" t="n">
        <v>13610</v>
      </c>
      <c r="C866" s="117" t="inlineStr">
        <is>
          <t>United Kingdom</t>
        </is>
      </c>
      <c r="D866" s="117" t="inlineStr">
        <is>
          <t>85203</t>
        </is>
      </c>
      <c r="E866" s="117" t="inlineStr">
        <is>
          <t xml:space="preserve">HANGING WOOD AND FELT BUTTERFLY </t>
        </is>
      </c>
      <c r="F866" s="117" t="n">
        <v>3</v>
      </c>
      <c r="G866" s="118" t="n">
        <v>0.42</v>
      </c>
      <c r="H866" s="118" t="n">
        <v>1.26</v>
      </c>
      <c r="I866" s="119" t="n">
        <v>40601</v>
      </c>
    </row>
    <row r="867">
      <c r="A867" s="114" t="inlineStr">
        <is>
          <t>545069</t>
        </is>
      </c>
      <c r="B867" s="114" t="n">
        <v>14745</v>
      </c>
      <c r="C867" s="114" t="inlineStr">
        <is>
          <t>United Kingdom</t>
        </is>
      </c>
      <c r="D867" s="114" t="inlineStr">
        <is>
          <t>22384</t>
        </is>
      </c>
      <c r="E867" s="114" t="inlineStr">
        <is>
          <t>LUNCH BAG PINK POLKADOT</t>
        </is>
      </c>
      <c r="F867" s="114" t="n">
        <v>20</v>
      </c>
      <c r="G867" s="115" t="n">
        <v>1.65</v>
      </c>
      <c r="H867" s="115" t="n">
        <v>33</v>
      </c>
      <c r="I867" s="116" t="n">
        <v>40601</v>
      </c>
    </row>
    <row r="868">
      <c r="A868" s="117" t="inlineStr">
        <is>
          <t>545071</t>
        </is>
      </c>
      <c r="B868" s="117" t="n">
        <v>15996</v>
      </c>
      <c r="C868" s="117" t="inlineStr">
        <is>
          <t>United Kingdom</t>
        </is>
      </c>
      <c r="D868" s="117" t="inlineStr">
        <is>
          <t>22883</t>
        </is>
      </c>
      <c r="E868" s="117" t="inlineStr">
        <is>
          <t>NUMBER TILE VINTAGE FONT 4</t>
        </is>
      </c>
      <c r="F868" s="117" t="n">
        <v>2</v>
      </c>
      <c r="G868" s="118" t="n">
        <v>1.95</v>
      </c>
      <c r="H868" s="118" t="n">
        <v>3.9</v>
      </c>
      <c r="I868" s="119" t="n">
        <v>40601</v>
      </c>
    </row>
    <row r="869">
      <c r="A869" s="114" t="inlineStr">
        <is>
          <t>545072</t>
        </is>
      </c>
      <c r="B869" s="114" t="n">
        <v>12781</v>
      </c>
      <c r="C869" s="114" t="inlineStr">
        <is>
          <t>Czech Republic</t>
        </is>
      </c>
      <c r="D869" s="114" t="inlineStr">
        <is>
          <t>22326</t>
        </is>
      </c>
      <c r="E869" s="114" t="inlineStr">
        <is>
          <t xml:space="preserve">ROUND SNACK BOXES SET OF4 WOODLAND </t>
        </is>
      </c>
      <c r="F869" s="114" t="n">
        <v>24</v>
      </c>
      <c r="G869" s="115" t="n">
        <v>2.95</v>
      </c>
      <c r="H869" s="115" t="n">
        <v>70.8</v>
      </c>
      <c r="I869" s="116" t="n">
        <v>40602</v>
      </c>
    </row>
    <row r="870">
      <c r="A870" s="117" t="inlineStr">
        <is>
          <t>545075</t>
        </is>
      </c>
      <c r="B870" s="117" t="n">
        <v>14211</v>
      </c>
      <c r="C870" s="117" t="inlineStr">
        <is>
          <t>United Kingdom</t>
        </is>
      </c>
      <c r="D870" s="117" t="inlineStr">
        <is>
          <t>22728</t>
        </is>
      </c>
      <c r="E870" s="117" t="inlineStr">
        <is>
          <t>ALARM CLOCK BAKELIKE PINK</t>
        </is>
      </c>
      <c r="F870" s="117" t="n">
        <v>4</v>
      </c>
      <c r="G870" s="118" t="n">
        <v>3.75</v>
      </c>
      <c r="H870" s="118" t="n">
        <v>15</v>
      </c>
      <c r="I870" s="119" t="n">
        <v>40602</v>
      </c>
    </row>
    <row r="871">
      <c r="A871" s="114" t="inlineStr">
        <is>
          <t>545080</t>
        </is>
      </c>
      <c r="B871" s="114" t="n">
        <v>13004</v>
      </c>
      <c r="C871" s="114" t="inlineStr">
        <is>
          <t>United Kingdom</t>
        </is>
      </c>
      <c r="D871" s="114" t="inlineStr">
        <is>
          <t>22668</t>
        </is>
      </c>
      <c r="E871" s="114" t="inlineStr">
        <is>
          <t>PINK BABY BUNTING</t>
        </is>
      </c>
      <c r="F871" s="114" t="n">
        <v>5</v>
      </c>
      <c r="G871" s="115" t="n">
        <v>2.95</v>
      </c>
      <c r="H871" s="115" t="n">
        <v>14.75</v>
      </c>
      <c r="I871" s="116" t="n">
        <v>40602</v>
      </c>
    </row>
    <row r="872">
      <c r="A872" s="117" t="inlineStr">
        <is>
          <t>545082</t>
        </is>
      </c>
      <c r="B872" s="117" t="n">
        <v>16992</v>
      </c>
      <c r="C872" s="117" t="inlineStr">
        <is>
          <t>United Kingdom</t>
        </is>
      </c>
      <c r="D872" s="117" t="inlineStr">
        <is>
          <t>21212</t>
        </is>
      </c>
      <c r="E872" s="117" t="inlineStr">
        <is>
          <t>PACK OF 72 RETROSPOT CAKE CASES</t>
        </is>
      </c>
      <c r="F872" s="117" t="n">
        <v>24</v>
      </c>
      <c r="G872" s="118" t="n">
        <v>0.55</v>
      </c>
      <c r="H872" s="118" t="n">
        <v>13.2</v>
      </c>
      <c r="I872" s="119" t="n">
        <v>40602</v>
      </c>
    </row>
    <row r="873">
      <c r="A873" s="114" t="inlineStr">
        <is>
          <t>545083</t>
        </is>
      </c>
      <c r="B873" s="114" t="n">
        <v>15724</v>
      </c>
      <c r="C873" s="114" t="inlineStr">
        <is>
          <t>United Kingdom</t>
        </is>
      </c>
      <c r="D873" s="114" t="inlineStr">
        <is>
          <t>22659</t>
        </is>
      </c>
      <c r="E873" s="114" t="inlineStr">
        <is>
          <t>LUNCH BOX I LOVE LONDON</t>
        </is>
      </c>
      <c r="F873" s="114" t="n">
        <v>12</v>
      </c>
      <c r="G873" s="115" t="n">
        <v>1.95</v>
      </c>
      <c r="H873" s="115" t="n">
        <v>23.4</v>
      </c>
      <c r="I873" s="116" t="n">
        <v>40602</v>
      </c>
    </row>
    <row r="874">
      <c r="A874" s="117" t="inlineStr">
        <is>
          <t>545105</t>
        </is>
      </c>
      <c r="B874" s="117" t="n">
        <v>12598</v>
      </c>
      <c r="C874" s="117" t="inlineStr">
        <is>
          <t>France</t>
        </is>
      </c>
      <c r="D874" s="117" t="inlineStr">
        <is>
          <t>22661</t>
        </is>
      </c>
      <c r="E874" s="117" t="inlineStr">
        <is>
          <t>CHARLOTTE BAG DOLLY GIRL DESIGN</t>
        </is>
      </c>
      <c r="F874" s="117" t="n">
        <v>10</v>
      </c>
      <c r="G874" s="118" t="n">
        <v>0.85</v>
      </c>
      <c r="H874" s="118" t="n">
        <v>8.5</v>
      </c>
      <c r="I874" s="119" t="n">
        <v>40602</v>
      </c>
    </row>
    <row r="875">
      <c r="A875" s="114" t="inlineStr">
        <is>
          <t>545166</t>
        </is>
      </c>
      <c r="B875" s="114" t="n">
        <v>17027</v>
      </c>
      <c r="C875" s="114" t="inlineStr">
        <is>
          <t>United Kingdom</t>
        </is>
      </c>
      <c r="D875" s="114" t="inlineStr">
        <is>
          <t>82581</t>
        </is>
      </c>
      <c r="E875" s="114" t="inlineStr">
        <is>
          <t>TOILET METAL SIGN</t>
        </is>
      </c>
      <c r="F875" s="114" t="n">
        <v>1</v>
      </c>
      <c r="G875" s="115" t="n">
        <v>0.55</v>
      </c>
      <c r="H875" s="115" t="n">
        <v>0.55</v>
      </c>
      <c r="I875" s="116" t="n">
        <v>40602</v>
      </c>
    </row>
    <row r="876">
      <c r="A876" s="117" t="inlineStr">
        <is>
          <t>545182</t>
        </is>
      </c>
      <c r="B876" s="117" t="n">
        <v>14046</v>
      </c>
      <c r="C876" s="117" t="inlineStr">
        <is>
          <t>United Kingdom</t>
        </is>
      </c>
      <c r="D876" s="117" t="inlineStr">
        <is>
          <t>17084J</t>
        </is>
      </c>
      <c r="E876" s="117" t="inlineStr">
        <is>
          <t>LOVE POTION MASALA INCENSE</t>
        </is>
      </c>
      <c r="F876" s="117" t="n">
        <v>25</v>
      </c>
      <c r="G876" s="118" t="n">
        <v>0.21</v>
      </c>
      <c r="H876" s="118" t="n">
        <v>5.25</v>
      </c>
      <c r="I876" s="119" t="n">
        <v>40602</v>
      </c>
    </row>
    <row r="877">
      <c r="A877" s="114" t="inlineStr">
        <is>
          <t>545186</t>
        </is>
      </c>
      <c r="B877" s="114" t="n">
        <v>17841</v>
      </c>
      <c r="C877" s="114" t="inlineStr">
        <is>
          <t>United Kingdom</t>
        </is>
      </c>
      <c r="D877" s="114" t="inlineStr">
        <is>
          <t>22413</t>
        </is>
      </c>
      <c r="E877" s="114" t="inlineStr">
        <is>
          <t xml:space="preserve">METAL SIGN TAKE IT OR LEAVE IT </t>
        </is>
      </c>
      <c r="F877" s="114" t="n">
        <v>1</v>
      </c>
      <c r="G877" s="115" t="n">
        <v>2.95</v>
      </c>
      <c r="H877" s="115" t="n">
        <v>2.95</v>
      </c>
      <c r="I877" s="116" t="n">
        <v>40602</v>
      </c>
    </row>
    <row r="878">
      <c r="A878" s="117" t="inlineStr">
        <is>
          <t>545188</t>
        </is>
      </c>
      <c r="B878" s="117" t="n">
        <v>14056</v>
      </c>
      <c r="C878" s="117" t="inlineStr">
        <is>
          <t>United Kingdom</t>
        </is>
      </c>
      <c r="D878" s="117" t="inlineStr">
        <is>
          <t>22467</t>
        </is>
      </c>
      <c r="E878" s="117" t="inlineStr">
        <is>
          <t>GUMBALL COAT RACK</t>
        </is>
      </c>
      <c r="F878" s="117" t="n">
        <v>4</v>
      </c>
      <c r="G878" s="118" t="n">
        <v>2.55</v>
      </c>
      <c r="H878" s="118" t="n">
        <v>10.2</v>
      </c>
      <c r="I878" s="119" t="n">
        <v>40602</v>
      </c>
    </row>
    <row r="879">
      <c r="A879" s="114" t="inlineStr">
        <is>
          <t>545188</t>
        </is>
      </c>
      <c r="B879" s="114" t="n">
        <v>14056</v>
      </c>
      <c r="C879" s="114" t="inlineStr">
        <is>
          <t>United Kingdom</t>
        </is>
      </c>
      <c r="D879" s="114" t="inlineStr">
        <is>
          <t>22899</t>
        </is>
      </c>
      <c r="E879" s="114" t="inlineStr">
        <is>
          <t xml:space="preserve">CHILDREN'S APRON DOLLY GIRL </t>
        </is>
      </c>
      <c r="F879" s="114" t="n">
        <v>1</v>
      </c>
      <c r="G879" s="115" t="n">
        <v>2.1</v>
      </c>
      <c r="H879" s="115" t="n">
        <v>2.1</v>
      </c>
      <c r="I879" s="116" t="n">
        <v>40602</v>
      </c>
    </row>
    <row r="880">
      <c r="A880" s="117" t="inlineStr">
        <is>
          <t>545188</t>
        </is>
      </c>
      <c r="B880" s="117" t="n">
        <v>14056</v>
      </c>
      <c r="C880" s="117" t="inlineStr">
        <is>
          <t>United Kingdom</t>
        </is>
      </c>
      <c r="D880" s="117" t="inlineStr">
        <is>
          <t>22548</t>
        </is>
      </c>
      <c r="E880" s="117" t="inlineStr">
        <is>
          <t>HEADS AND TAILS SPORTING FUN</t>
        </is>
      </c>
      <c r="F880" s="117" t="n">
        <v>4</v>
      </c>
      <c r="G880" s="118" t="n">
        <v>1.25</v>
      </c>
      <c r="H880" s="118" t="n">
        <v>5</v>
      </c>
      <c r="I880" s="119" t="n">
        <v>40602</v>
      </c>
    </row>
    <row r="881">
      <c r="A881" s="114" t="inlineStr">
        <is>
          <t>545188</t>
        </is>
      </c>
      <c r="B881" s="114" t="n">
        <v>14056</v>
      </c>
      <c r="C881" s="114" t="inlineStr">
        <is>
          <t>United Kingdom</t>
        </is>
      </c>
      <c r="D881" s="114" t="inlineStr">
        <is>
          <t>22403</t>
        </is>
      </c>
      <c r="E881" s="114" t="inlineStr">
        <is>
          <t xml:space="preserve">MAGNETS PACK OF 4 VINTAGE LABELS </t>
        </is>
      </c>
      <c r="F881" s="114" t="n">
        <v>2</v>
      </c>
      <c r="G881" s="115" t="n">
        <v>1.25</v>
      </c>
      <c r="H881" s="115" t="n">
        <v>2.5</v>
      </c>
      <c r="I881" s="116" t="n">
        <v>40602</v>
      </c>
    </row>
    <row r="882">
      <c r="A882" s="117" t="inlineStr">
        <is>
          <t>545188</t>
        </is>
      </c>
      <c r="B882" s="117" t="n">
        <v>14056</v>
      </c>
      <c r="C882" s="117" t="inlineStr">
        <is>
          <t>United Kingdom</t>
        </is>
      </c>
      <c r="D882" s="117" t="inlineStr">
        <is>
          <t>20717</t>
        </is>
      </c>
      <c r="E882" s="117" t="inlineStr">
        <is>
          <t>STRAWBERRY SHOPPER BAG</t>
        </is>
      </c>
      <c r="F882" s="117" t="n">
        <v>4</v>
      </c>
      <c r="G882" s="118" t="n">
        <v>1.25</v>
      </c>
      <c r="H882" s="118" t="n">
        <v>5</v>
      </c>
      <c r="I882" s="119" t="n">
        <v>40602</v>
      </c>
    </row>
    <row r="883">
      <c r="A883" s="114" t="inlineStr">
        <is>
          <t>545222</t>
        </is>
      </c>
      <c r="B883" s="114" t="n">
        <v>13880</v>
      </c>
      <c r="C883" s="114" t="inlineStr">
        <is>
          <t>United Kingdom</t>
        </is>
      </c>
      <c r="D883" s="114" t="inlineStr">
        <is>
          <t>22720</t>
        </is>
      </c>
      <c r="E883" s="114" t="inlineStr">
        <is>
          <t xml:space="preserve">SET OF 3 CAKE TINS PANTRY DESIGN </t>
        </is>
      </c>
      <c r="F883" s="114" t="n">
        <v>12</v>
      </c>
      <c r="G883" s="115" t="n">
        <v>4.95</v>
      </c>
      <c r="H883" s="115" t="n">
        <v>59.4</v>
      </c>
      <c r="I883" s="116" t="n">
        <v>40603</v>
      </c>
    </row>
    <row r="884">
      <c r="A884" s="117" t="inlineStr">
        <is>
          <t>545226</t>
        </is>
      </c>
      <c r="B884" s="117" t="n">
        <v>12428</v>
      </c>
      <c r="C884" s="117" t="inlineStr">
        <is>
          <t>Finland</t>
        </is>
      </c>
      <c r="D884" s="117" t="inlineStr">
        <is>
          <t>22192</t>
        </is>
      </c>
      <c r="E884" s="117" t="inlineStr">
        <is>
          <t>BLUE DINER WALL CLOCK</t>
        </is>
      </c>
      <c r="F884" s="117" t="n">
        <v>2</v>
      </c>
      <c r="G884" s="118" t="n">
        <v>8.5</v>
      </c>
      <c r="H884" s="118" t="n">
        <v>17</v>
      </c>
      <c r="I884" s="119" t="n">
        <v>40603</v>
      </c>
    </row>
    <row r="885">
      <c r="A885" s="114" t="inlineStr">
        <is>
          <t>545226</t>
        </is>
      </c>
      <c r="B885" s="114" t="n">
        <v>12428</v>
      </c>
      <c r="C885" s="114" t="inlineStr">
        <is>
          <t>Finland</t>
        </is>
      </c>
      <c r="D885" s="114" t="inlineStr">
        <is>
          <t>21285</t>
        </is>
      </c>
      <c r="E885" s="114" t="inlineStr">
        <is>
          <t>RETROSPOT CANDLE  MEDIUM</t>
        </is>
      </c>
      <c r="F885" s="114" t="n">
        <v>12</v>
      </c>
      <c r="G885" s="115" t="n">
        <v>2.1</v>
      </c>
      <c r="H885" s="115" t="n">
        <v>25.2</v>
      </c>
      <c r="I885" s="116" t="n">
        <v>40603</v>
      </c>
    </row>
    <row r="886">
      <c r="A886" s="117" t="inlineStr">
        <is>
          <t>545227</t>
        </is>
      </c>
      <c r="B886" s="117" t="n">
        <v>12428</v>
      </c>
      <c r="C886" s="117" t="inlineStr">
        <is>
          <t>Finland</t>
        </is>
      </c>
      <c r="D886" s="117" t="inlineStr">
        <is>
          <t>21537</t>
        </is>
      </c>
      <c r="E886" s="117" t="inlineStr">
        <is>
          <t>RED RETROSPOT PUDDING BOWL</t>
        </is>
      </c>
      <c r="F886" s="117" t="n">
        <v>12</v>
      </c>
      <c r="G886" s="118" t="n">
        <v>4.25</v>
      </c>
      <c r="H886" s="118" t="n">
        <v>51</v>
      </c>
      <c r="I886" s="119" t="n">
        <v>40603</v>
      </c>
    </row>
    <row r="887">
      <c r="A887" s="114" t="inlineStr">
        <is>
          <t>545227</t>
        </is>
      </c>
      <c r="B887" s="114" t="n">
        <v>12428</v>
      </c>
      <c r="C887" s="114" t="inlineStr">
        <is>
          <t>Finland</t>
        </is>
      </c>
      <c r="D887" s="114" t="inlineStr">
        <is>
          <t>22221</t>
        </is>
      </c>
      <c r="E887" s="114" t="inlineStr">
        <is>
          <t>CAKE STAND LOVEBIRD 2 TIER PINK</t>
        </is>
      </c>
      <c r="F887" s="114" t="n">
        <v>4</v>
      </c>
      <c r="G887" s="115" t="n">
        <v>9.949999999999999</v>
      </c>
      <c r="H887" s="115" t="n">
        <v>39.8</v>
      </c>
      <c r="I887" s="116" t="n">
        <v>40603</v>
      </c>
    </row>
    <row r="888">
      <c r="A888" s="117" t="inlineStr">
        <is>
          <t>545232</t>
        </is>
      </c>
      <c r="B888" s="117" t="n">
        <v>15676</v>
      </c>
      <c r="C888" s="117" t="inlineStr">
        <is>
          <t>United Kingdom</t>
        </is>
      </c>
      <c r="D888" s="117" t="inlineStr">
        <is>
          <t>22716</t>
        </is>
      </c>
      <c r="E888" s="117" t="inlineStr">
        <is>
          <t>CARD CIRCUS PARADE</t>
        </is>
      </c>
      <c r="F888" s="117" t="n">
        <v>12</v>
      </c>
      <c r="G888" s="118" t="n">
        <v>0.42</v>
      </c>
      <c r="H888" s="118" t="n">
        <v>5.04</v>
      </c>
      <c r="I888" s="119" t="n">
        <v>40603</v>
      </c>
    </row>
    <row r="889">
      <c r="A889" s="114" t="inlineStr">
        <is>
          <t>545238</t>
        </is>
      </c>
      <c r="B889" s="114" t="n">
        <v>15241</v>
      </c>
      <c r="C889" s="114" t="inlineStr">
        <is>
          <t>United Kingdom</t>
        </is>
      </c>
      <c r="D889" s="114" t="inlineStr">
        <is>
          <t>21122</t>
        </is>
      </c>
      <c r="E889" s="114" t="inlineStr">
        <is>
          <t>SET/10 PINK POLKADOT PARTY CANDLES</t>
        </is>
      </c>
      <c r="F889" s="114" t="n">
        <v>24</v>
      </c>
      <c r="G889" s="115" t="n">
        <v>1.25</v>
      </c>
      <c r="H889" s="115" t="n">
        <v>30</v>
      </c>
      <c r="I889" s="116" t="n">
        <v>40603</v>
      </c>
    </row>
    <row r="890">
      <c r="A890" s="117" t="inlineStr">
        <is>
          <t>545279</t>
        </is>
      </c>
      <c r="B890" s="117" t="n">
        <v>17811</v>
      </c>
      <c r="C890" s="117" t="inlineStr">
        <is>
          <t>United Kingdom</t>
        </is>
      </c>
      <c r="D890" s="117" t="inlineStr">
        <is>
          <t>21731</t>
        </is>
      </c>
      <c r="E890" s="117" t="inlineStr">
        <is>
          <t>RED TOADSTOOL LED NIGHT LIGHT</t>
        </is>
      </c>
      <c r="F890" s="117" t="n">
        <v>4</v>
      </c>
      <c r="G890" s="118" t="n">
        <v>1.65</v>
      </c>
      <c r="H890" s="118" t="n">
        <v>6.6</v>
      </c>
      <c r="I890" s="119" t="n">
        <v>40603</v>
      </c>
    </row>
    <row r="891">
      <c r="A891" s="114" t="inlineStr">
        <is>
          <t>545289</t>
        </is>
      </c>
      <c r="B891" s="114" t="n">
        <v>14732</v>
      </c>
      <c r="C891" s="114" t="inlineStr">
        <is>
          <t>United Kingdom</t>
        </is>
      </c>
      <c r="D891" s="114" t="inlineStr">
        <is>
          <t>21577</t>
        </is>
      </c>
      <c r="E891" s="114" t="inlineStr">
        <is>
          <t>SAVE THE PLANET COTTON TOTE BAG</t>
        </is>
      </c>
      <c r="F891" s="114" t="n">
        <v>6</v>
      </c>
      <c r="G891" s="115" t="n">
        <v>2.25</v>
      </c>
      <c r="H891" s="115" t="n">
        <v>13.5</v>
      </c>
      <c r="I891" s="116" t="n">
        <v>40603</v>
      </c>
    </row>
    <row r="892">
      <c r="A892" s="117" t="inlineStr">
        <is>
          <t>545290</t>
        </is>
      </c>
      <c r="B892" s="117" t="n">
        <v>14688</v>
      </c>
      <c r="C892" s="117" t="inlineStr">
        <is>
          <t>United Kingdom</t>
        </is>
      </c>
      <c r="D892" s="117" t="inlineStr">
        <is>
          <t>21935</t>
        </is>
      </c>
      <c r="E892" s="117" t="inlineStr">
        <is>
          <t>SUKI  SHOULDER BAG</t>
        </is>
      </c>
      <c r="F892" s="117" t="n">
        <v>30</v>
      </c>
      <c r="G892" s="118" t="n">
        <v>1.65</v>
      </c>
      <c r="H892" s="118" t="n">
        <v>49.5</v>
      </c>
      <c r="I892" s="119" t="n">
        <v>40603</v>
      </c>
    </row>
    <row r="893">
      <c r="A893" s="114" t="inlineStr">
        <is>
          <t>545294</t>
        </is>
      </c>
      <c r="B893" s="114" t="n">
        <v>17965</v>
      </c>
      <c r="C893" s="114" t="inlineStr">
        <is>
          <t>United Kingdom</t>
        </is>
      </c>
      <c r="D893" s="114" t="inlineStr">
        <is>
          <t>22860</t>
        </is>
      </c>
      <c r="E893" s="114" t="inlineStr">
        <is>
          <t>EASTER TIN CHICKS PINK DAISY</t>
        </is>
      </c>
      <c r="F893" s="114" t="n">
        <v>6</v>
      </c>
      <c r="G893" s="115" t="n">
        <v>1.65</v>
      </c>
      <c r="H893" s="115" t="n">
        <v>9.9</v>
      </c>
      <c r="I893" s="116" t="n">
        <v>40603</v>
      </c>
    </row>
    <row r="894">
      <c r="A894" s="117" t="inlineStr">
        <is>
          <t>545301</t>
        </is>
      </c>
      <c r="B894" s="117" t="n">
        <v>12679</v>
      </c>
      <c r="C894" s="117" t="inlineStr">
        <is>
          <t>France</t>
        </is>
      </c>
      <c r="D894" s="117" t="inlineStr">
        <is>
          <t>20675</t>
        </is>
      </c>
      <c r="E894" s="117" t="inlineStr">
        <is>
          <t>BLUE POLKADOT BOWL</t>
        </is>
      </c>
      <c r="F894" s="117" t="n">
        <v>8</v>
      </c>
      <c r="G894" s="118" t="n">
        <v>1.25</v>
      </c>
      <c r="H894" s="118" t="n">
        <v>10</v>
      </c>
      <c r="I894" s="119" t="n">
        <v>40603</v>
      </c>
    </row>
    <row r="895">
      <c r="A895" s="114" t="inlineStr">
        <is>
          <t>545302</t>
        </is>
      </c>
      <c r="B895" s="114" t="n">
        <v>14506</v>
      </c>
      <c r="C895" s="114" t="inlineStr">
        <is>
          <t>United Kingdom</t>
        </is>
      </c>
      <c r="D895" s="114" t="inlineStr">
        <is>
          <t>22077</t>
        </is>
      </c>
      <c r="E895" s="114" t="inlineStr">
        <is>
          <t>6 RIBBONS RUSTIC CHARM</t>
        </is>
      </c>
      <c r="F895" s="114" t="n">
        <v>10</v>
      </c>
      <c r="G895" s="115" t="n">
        <v>1.65</v>
      </c>
      <c r="H895" s="115" t="n">
        <v>16.5</v>
      </c>
      <c r="I895" s="116" t="n">
        <v>40603</v>
      </c>
    </row>
    <row r="896">
      <c r="A896" s="117" t="inlineStr">
        <is>
          <t>545304</t>
        </is>
      </c>
      <c r="B896" s="117" t="n">
        <v>16212</v>
      </c>
      <c r="C896" s="117" t="inlineStr">
        <is>
          <t>United Kingdom</t>
        </is>
      </c>
      <c r="D896" s="117" t="inlineStr">
        <is>
          <t>22840</t>
        </is>
      </c>
      <c r="E896" s="117" t="inlineStr">
        <is>
          <t>ROUND CAKE TIN VINTAGE RED</t>
        </is>
      </c>
      <c r="F896" s="117" t="n">
        <v>2</v>
      </c>
      <c r="G896" s="118" t="n">
        <v>7.95</v>
      </c>
      <c r="H896" s="118" t="n">
        <v>15.9</v>
      </c>
      <c r="I896" s="119" t="n">
        <v>40603</v>
      </c>
    </row>
    <row r="897">
      <c r="A897" s="114" t="inlineStr">
        <is>
          <t>545308</t>
        </is>
      </c>
      <c r="B897" s="114" t="n">
        <v>14656</v>
      </c>
      <c r="C897" s="114" t="inlineStr">
        <is>
          <t>United Kingdom</t>
        </is>
      </c>
      <c r="D897" s="114" t="inlineStr">
        <is>
          <t>22231</t>
        </is>
      </c>
      <c r="E897" s="114" t="inlineStr">
        <is>
          <t>JIGSAW TREE WITH BIRDHOUSE</t>
        </is>
      </c>
      <c r="F897" s="114" t="n">
        <v>1</v>
      </c>
      <c r="G897" s="115" t="n">
        <v>1.45</v>
      </c>
      <c r="H897" s="115" t="n">
        <v>1.45</v>
      </c>
      <c r="I897" s="116" t="n">
        <v>40603</v>
      </c>
    </row>
    <row r="898">
      <c r="A898" s="117" t="inlineStr">
        <is>
          <t>545308</t>
        </is>
      </c>
      <c r="B898" s="117" t="n">
        <v>14656</v>
      </c>
      <c r="C898" s="117" t="inlineStr">
        <is>
          <t>United Kingdom</t>
        </is>
      </c>
      <c r="D898" s="117" t="inlineStr">
        <is>
          <t>21166</t>
        </is>
      </c>
      <c r="E898" s="117" t="inlineStr">
        <is>
          <t xml:space="preserve">COOK WITH WINE METAL SIGN </t>
        </is>
      </c>
      <c r="F898" s="117" t="n">
        <v>1</v>
      </c>
      <c r="G898" s="118" t="n">
        <v>2.08</v>
      </c>
      <c r="H898" s="118" t="n">
        <v>2.08</v>
      </c>
      <c r="I898" s="119" t="n">
        <v>40603</v>
      </c>
    </row>
    <row r="899">
      <c r="A899" s="114" t="inlineStr">
        <is>
          <t>545309</t>
        </is>
      </c>
      <c r="B899" s="114" t="n">
        <v>13884</v>
      </c>
      <c r="C899" s="114" t="inlineStr">
        <is>
          <t>United Kingdom</t>
        </is>
      </c>
      <c r="D899" s="114" t="inlineStr">
        <is>
          <t>85123A</t>
        </is>
      </c>
      <c r="E899" s="114" t="inlineStr">
        <is>
          <t>WHITE HANGING HEART T-LIGHT HOLDER</t>
        </is>
      </c>
      <c r="F899" s="114" t="n">
        <v>12</v>
      </c>
      <c r="G899" s="115" t="n">
        <v>2.95</v>
      </c>
      <c r="H899" s="115" t="n">
        <v>35.4</v>
      </c>
      <c r="I899" s="116" t="n">
        <v>40603</v>
      </c>
    </row>
    <row r="900">
      <c r="A900" s="117" t="inlineStr">
        <is>
          <t>545314</t>
        </is>
      </c>
      <c r="B900" s="117" t="n">
        <v>12866</v>
      </c>
      <c r="C900" s="117" t="inlineStr">
        <is>
          <t>Belgium</t>
        </is>
      </c>
      <c r="D900" s="117" t="inlineStr">
        <is>
          <t>22376</t>
        </is>
      </c>
      <c r="E900" s="117" t="inlineStr">
        <is>
          <t>AIRLINE BAG VINTAGE JET SET WHITE</t>
        </is>
      </c>
      <c r="F900" s="117" t="n">
        <v>4</v>
      </c>
      <c r="G900" s="118" t="n">
        <v>4.25</v>
      </c>
      <c r="H900" s="118" t="n">
        <v>17</v>
      </c>
      <c r="I900" s="119" t="n">
        <v>40603</v>
      </c>
    </row>
    <row r="901">
      <c r="A901" s="114" t="inlineStr">
        <is>
          <t>545318</t>
        </is>
      </c>
      <c r="B901" s="114" t="n">
        <v>14676</v>
      </c>
      <c r="C901" s="114" t="inlineStr">
        <is>
          <t>United Kingdom</t>
        </is>
      </c>
      <c r="D901" s="114" t="inlineStr">
        <is>
          <t>22562</t>
        </is>
      </c>
      <c r="E901" s="114" t="inlineStr">
        <is>
          <t>MONSTERS STENCIL CRAFT</t>
        </is>
      </c>
      <c r="F901" s="114" t="n">
        <v>48</v>
      </c>
      <c r="G901" s="115" t="n">
        <v>1.25</v>
      </c>
      <c r="H901" s="115" t="n">
        <v>60</v>
      </c>
      <c r="I901" s="116" t="n">
        <v>40603</v>
      </c>
    </row>
    <row r="902">
      <c r="A902" s="117" t="inlineStr">
        <is>
          <t>545318</t>
        </is>
      </c>
      <c r="B902" s="117" t="n">
        <v>14676</v>
      </c>
      <c r="C902" s="117" t="inlineStr">
        <is>
          <t>United Kingdom</t>
        </is>
      </c>
      <c r="D902" s="117" t="inlineStr">
        <is>
          <t>21915</t>
        </is>
      </c>
      <c r="E902" s="117" t="inlineStr">
        <is>
          <t xml:space="preserve">RED  HARMONICA IN BOX </t>
        </is>
      </c>
      <c r="F902" s="117" t="n">
        <v>36</v>
      </c>
      <c r="G902" s="118" t="n">
        <v>1.25</v>
      </c>
      <c r="H902" s="118" t="n">
        <v>45</v>
      </c>
      <c r="I902" s="119" t="n">
        <v>40603</v>
      </c>
    </row>
    <row r="903">
      <c r="A903" s="114" t="inlineStr">
        <is>
          <t>545324</t>
        </is>
      </c>
      <c r="B903" s="114" t="n">
        <v>13110</v>
      </c>
      <c r="C903" s="114" t="inlineStr">
        <is>
          <t>United Kingdom</t>
        </is>
      </c>
      <c r="D903" s="114" t="inlineStr">
        <is>
          <t>48116</t>
        </is>
      </c>
      <c r="E903" s="114" t="inlineStr">
        <is>
          <t>DOORMAT MULTICOLOUR STRIPE</t>
        </is>
      </c>
      <c r="F903" s="114" t="n">
        <v>1</v>
      </c>
      <c r="G903" s="115" t="n">
        <v>7.95</v>
      </c>
      <c r="H903" s="115" t="n">
        <v>7.95</v>
      </c>
      <c r="I903" s="116" t="n">
        <v>40603</v>
      </c>
    </row>
    <row r="904">
      <c r="A904" s="117" t="inlineStr">
        <is>
          <t>545326</t>
        </is>
      </c>
      <c r="B904" s="117" t="n">
        <v>14560</v>
      </c>
      <c r="C904" s="117" t="inlineStr">
        <is>
          <t>United Kingdom</t>
        </is>
      </c>
      <c r="D904" s="117" t="inlineStr">
        <is>
          <t>22720</t>
        </is>
      </c>
      <c r="E904" s="117" t="inlineStr">
        <is>
          <t xml:space="preserve">SET OF 3 CAKE TINS PANTRY DESIGN </t>
        </is>
      </c>
      <c r="F904" s="117" t="n">
        <v>3</v>
      </c>
      <c r="G904" s="118" t="n">
        <v>4.95</v>
      </c>
      <c r="H904" s="118" t="n">
        <v>14.85</v>
      </c>
      <c r="I904" s="119" t="n">
        <v>40603</v>
      </c>
    </row>
    <row r="905">
      <c r="A905" s="114" t="inlineStr">
        <is>
          <t>545332</t>
        </is>
      </c>
      <c r="B905" s="114" t="n">
        <v>12352</v>
      </c>
      <c r="C905" s="114" t="inlineStr">
        <is>
          <t>Norway</t>
        </is>
      </c>
      <c r="D905" s="114" t="inlineStr">
        <is>
          <t>M</t>
        </is>
      </c>
      <c r="E905" s="114" t="inlineStr">
        <is>
          <t>Manual</t>
        </is>
      </c>
      <c r="F905" s="114" t="n">
        <v>1</v>
      </c>
      <c r="G905" s="115" t="n">
        <v>376.5</v>
      </c>
      <c r="H905" s="115" t="n">
        <v>376.5</v>
      </c>
      <c r="I905" s="116" t="n">
        <v>40603</v>
      </c>
    </row>
    <row r="906">
      <c r="A906" s="117" t="inlineStr">
        <is>
          <t>545340</t>
        </is>
      </c>
      <c r="B906" s="117" t="n">
        <v>15416</v>
      </c>
      <c r="C906" s="117" t="inlineStr">
        <is>
          <t>United Kingdom</t>
        </is>
      </c>
      <c r="D906" s="117" t="inlineStr">
        <is>
          <t>21389</t>
        </is>
      </c>
      <c r="E906" s="117" t="inlineStr">
        <is>
          <t>IVORY HANGING DECORATION  BIRD</t>
        </is>
      </c>
      <c r="F906" s="117" t="n">
        <v>12</v>
      </c>
      <c r="G906" s="118" t="n">
        <v>0.85</v>
      </c>
      <c r="H906" s="118" t="n">
        <v>10.2</v>
      </c>
      <c r="I906" s="119" t="n">
        <v>40604</v>
      </c>
    </row>
    <row r="907">
      <c r="A907" s="114" t="inlineStr">
        <is>
          <t>545342</t>
        </is>
      </c>
      <c r="B907" s="114" t="n">
        <v>13497</v>
      </c>
      <c r="C907" s="114" t="inlineStr">
        <is>
          <t>United Kingdom</t>
        </is>
      </c>
      <c r="D907" s="114" t="inlineStr">
        <is>
          <t>22859</t>
        </is>
      </c>
      <c r="E907" s="114" t="inlineStr">
        <is>
          <t>EASTER TIN BUNNY BOUQUET</t>
        </is>
      </c>
      <c r="F907" s="114" t="n">
        <v>6</v>
      </c>
      <c r="G907" s="115" t="n">
        <v>1.65</v>
      </c>
      <c r="H907" s="115" t="n">
        <v>9.9</v>
      </c>
      <c r="I907" s="116" t="n">
        <v>40604</v>
      </c>
    </row>
    <row r="908">
      <c r="A908" s="117" t="inlineStr">
        <is>
          <t>545346</t>
        </is>
      </c>
      <c r="B908" s="117" t="n">
        <v>12834</v>
      </c>
      <c r="C908" s="117" t="inlineStr">
        <is>
          <t>United Kingdom</t>
        </is>
      </c>
      <c r="D908" s="117" t="inlineStr">
        <is>
          <t>22283</t>
        </is>
      </c>
      <c r="E908" s="117" t="inlineStr">
        <is>
          <t>6 EGG HOUSE PAINTED WOOD</t>
        </is>
      </c>
      <c r="F908" s="117" t="n">
        <v>2</v>
      </c>
      <c r="G908" s="118" t="n">
        <v>7.95</v>
      </c>
      <c r="H908" s="118" t="n">
        <v>15.9</v>
      </c>
      <c r="I908" s="119" t="n">
        <v>40604</v>
      </c>
    </row>
    <row r="909">
      <c r="A909" s="114" t="inlineStr">
        <is>
          <t>545377</t>
        </is>
      </c>
      <c r="B909" s="114" t="n">
        <v>14606</v>
      </c>
      <c r="C909" s="114" t="inlineStr">
        <is>
          <t>United Kingdom</t>
        </is>
      </c>
      <c r="D909" s="114" t="inlineStr">
        <is>
          <t>22311</t>
        </is>
      </c>
      <c r="E909" s="114" t="inlineStr">
        <is>
          <t xml:space="preserve">OFFICE MUG WARMER BLACK+SILVER </t>
        </is>
      </c>
      <c r="F909" s="114" t="n">
        <v>1</v>
      </c>
      <c r="G909" s="115" t="n">
        <v>2.95</v>
      </c>
      <c r="H909" s="115" t="n">
        <v>2.95</v>
      </c>
      <c r="I909" s="116" t="n">
        <v>40604</v>
      </c>
    </row>
    <row r="910">
      <c r="A910" s="117" t="inlineStr">
        <is>
          <t>545410</t>
        </is>
      </c>
      <c r="B910" s="117" t="n">
        <v>16670</v>
      </c>
      <c r="C910" s="117" t="inlineStr">
        <is>
          <t>United Kingdom</t>
        </is>
      </c>
      <c r="D910" s="117" t="inlineStr">
        <is>
          <t>22965</t>
        </is>
      </c>
      <c r="E910" s="117" t="inlineStr">
        <is>
          <t>3 TRADITIONAl BISCUIT CUTTERS  SET</t>
        </is>
      </c>
      <c r="F910" s="117" t="n">
        <v>6</v>
      </c>
      <c r="G910" s="118" t="n">
        <v>2.1</v>
      </c>
      <c r="H910" s="118" t="n">
        <v>12.6</v>
      </c>
      <c r="I910" s="119" t="n">
        <v>40604</v>
      </c>
    </row>
    <row r="911">
      <c r="A911" s="114" t="inlineStr">
        <is>
          <t>545410</t>
        </is>
      </c>
      <c r="B911" s="114" t="n">
        <v>16670</v>
      </c>
      <c r="C911" s="114" t="inlineStr">
        <is>
          <t>United Kingdom</t>
        </is>
      </c>
      <c r="D911" s="114" t="inlineStr">
        <is>
          <t>22112</t>
        </is>
      </c>
      <c r="E911" s="114" t="inlineStr">
        <is>
          <t>CHOCOLATE HOT WATER BOTTLE</t>
        </is>
      </c>
      <c r="F911" s="114" t="n">
        <v>3</v>
      </c>
      <c r="G911" s="115" t="n">
        <v>4.95</v>
      </c>
      <c r="H911" s="115" t="n">
        <v>14.85</v>
      </c>
      <c r="I911" s="116" t="n">
        <v>40604</v>
      </c>
    </row>
    <row r="912">
      <c r="A912" s="117" t="inlineStr">
        <is>
          <t>545417</t>
        </is>
      </c>
      <c r="B912" s="117" t="n">
        <v>15622</v>
      </c>
      <c r="C912" s="117" t="inlineStr">
        <is>
          <t>United Kingdom</t>
        </is>
      </c>
      <c r="D912" s="117" t="inlineStr">
        <is>
          <t>22191</t>
        </is>
      </c>
      <c r="E912" s="117" t="inlineStr">
        <is>
          <t>IVORY DINER WALL CLOCK</t>
        </is>
      </c>
      <c r="F912" s="117" t="n">
        <v>2</v>
      </c>
      <c r="G912" s="118" t="n">
        <v>8.5</v>
      </c>
      <c r="H912" s="118" t="n">
        <v>17</v>
      </c>
      <c r="I912" s="119" t="n">
        <v>40604</v>
      </c>
    </row>
    <row r="913">
      <c r="A913" s="114" t="inlineStr">
        <is>
          <t>545425</t>
        </is>
      </c>
      <c r="B913" s="114" t="n">
        <v>16792</v>
      </c>
      <c r="C913" s="114" t="inlineStr">
        <is>
          <t>United Kingdom</t>
        </is>
      </c>
      <c r="D913" s="114" t="inlineStr">
        <is>
          <t>85123A</t>
        </is>
      </c>
      <c r="E913" s="114" t="inlineStr">
        <is>
          <t>WHITE HANGING HEART T-LIGHT HOLDER</t>
        </is>
      </c>
      <c r="F913" s="114" t="n">
        <v>3</v>
      </c>
      <c r="G913" s="115" t="n">
        <v>2.95</v>
      </c>
      <c r="H913" s="115" t="n">
        <v>8.85</v>
      </c>
      <c r="I913" s="116" t="n">
        <v>40604</v>
      </c>
    </row>
    <row r="914">
      <c r="A914" s="117" t="inlineStr">
        <is>
          <t>545426</t>
        </is>
      </c>
      <c r="B914" s="117" t="n">
        <v>15189</v>
      </c>
      <c r="C914" s="117" t="inlineStr">
        <is>
          <t>United Kingdom</t>
        </is>
      </c>
      <c r="D914" s="117" t="inlineStr">
        <is>
          <t>22699</t>
        </is>
      </c>
      <c r="E914" s="117" t="inlineStr">
        <is>
          <t xml:space="preserve">ROSES REGENCY TEACUP AND SAUCER </t>
        </is>
      </c>
      <c r="F914" s="117" t="n">
        <v>6</v>
      </c>
      <c r="G914" s="118" t="n">
        <v>2.95</v>
      </c>
      <c r="H914" s="118" t="n">
        <v>17.7</v>
      </c>
      <c r="I914" s="119" t="n">
        <v>40604</v>
      </c>
    </row>
    <row r="915">
      <c r="A915" s="114" t="inlineStr">
        <is>
          <t>545429</t>
        </is>
      </c>
      <c r="B915" s="114" t="n">
        <v>15031</v>
      </c>
      <c r="C915" s="114" t="inlineStr">
        <is>
          <t>United Kingdom</t>
        </is>
      </c>
      <c r="D915" s="114" t="inlineStr">
        <is>
          <t>48187</t>
        </is>
      </c>
      <c r="E915" s="114" t="inlineStr">
        <is>
          <t>DOORMAT NEW ENGLAND</t>
        </is>
      </c>
      <c r="F915" s="114" t="n">
        <v>1</v>
      </c>
      <c r="G915" s="115" t="n">
        <v>7.95</v>
      </c>
      <c r="H915" s="115" t="n">
        <v>7.95</v>
      </c>
      <c r="I915" s="116" t="n">
        <v>40604</v>
      </c>
    </row>
    <row r="916">
      <c r="A916" s="117" t="inlineStr">
        <is>
          <t>545447</t>
        </is>
      </c>
      <c r="B916" s="117" t="n">
        <v>17426</v>
      </c>
      <c r="C916" s="117" t="inlineStr">
        <is>
          <t>United Kingdom</t>
        </is>
      </c>
      <c r="D916" s="117" t="inlineStr">
        <is>
          <t>22842</t>
        </is>
      </c>
      <c r="E916" s="117" t="inlineStr">
        <is>
          <t>BISCUIT TIN VINTAGE RED</t>
        </is>
      </c>
      <c r="F916" s="117" t="n">
        <v>4</v>
      </c>
      <c r="G916" s="118" t="n">
        <v>6.75</v>
      </c>
      <c r="H916" s="118" t="n">
        <v>27</v>
      </c>
      <c r="I916" s="119" t="n">
        <v>40604</v>
      </c>
    </row>
    <row r="917">
      <c r="A917" s="114" t="inlineStr">
        <is>
          <t>545462</t>
        </is>
      </c>
      <c r="B917" s="114" t="n">
        <v>17567</v>
      </c>
      <c r="C917" s="114" t="inlineStr">
        <is>
          <t>United Kingdom</t>
        </is>
      </c>
      <c r="D917" s="114" t="inlineStr">
        <is>
          <t>37495</t>
        </is>
      </c>
      <c r="E917" s="114" t="inlineStr">
        <is>
          <t>FAIRY CAKE BIRTHDAY CANDLE SET</t>
        </is>
      </c>
      <c r="F917" s="114" t="n">
        <v>5</v>
      </c>
      <c r="G917" s="115" t="n">
        <v>3.75</v>
      </c>
      <c r="H917" s="115" t="n">
        <v>18.75</v>
      </c>
      <c r="I917" s="116" t="n">
        <v>40605</v>
      </c>
    </row>
    <row r="918">
      <c r="A918" s="117" t="inlineStr">
        <is>
          <t>545471</t>
        </is>
      </c>
      <c r="B918" s="117" t="n">
        <v>15087</v>
      </c>
      <c r="C918" s="117" t="inlineStr">
        <is>
          <t>United Kingdom</t>
        </is>
      </c>
      <c r="D918" s="117" t="inlineStr">
        <is>
          <t>22147</t>
        </is>
      </c>
      <c r="E918" s="117" t="inlineStr">
        <is>
          <t>FELTCRAFT BUTTERFLY HEARTS</t>
        </is>
      </c>
      <c r="F918" s="117" t="n">
        <v>12</v>
      </c>
      <c r="G918" s="118" t="n">
        <v>1.45</v>
      </c>
      <c r="H918" s="118" t="n">
        <v>17.4</v>
      </c>
      <c r="I918" s="119" t="n">
        <v>40605</v>
      </c>
    </row>
    <row r="919">
      <c r="A919" s="114" t="inlineStr">
        <is>
          <t>545474</t>
        </is>
      </c>
      <c r="B919" s="114" t="n">
        <v>16709</v>
      </c>
      <c r="C919" s="114" t="inlineStr">
        <is>
          <t>United Kingdom</t>
        </is>
      </c>
      <c r="D919" s="114" t="inlineStr">
        <is>
          <t>22730</t>
        </is>
      </c>
      <c r="E919" s="114" t="inlineStr">
        <is>
          <t>ALARM CLOCK BAKELIKE IVORY</t>
        </is>
      </c>
      <c r="F919" s="114" t="n">
        <v>4</v>
      </c>
      <c r="G919" s="115" t="n">
        <v>3.75</v>
      </c>
      <c r="H919" s="115" t="n">
        <v>15</v>
      </c>
      <c r="I919" s="116" t="n">
        <v>40605</v>
      </c>
    </row>
    <row r="920">
      <c r="A920" s="117" t="inlineStr">
        <is>
          <t>545475</t>
        </is>
      </c>
      <c r="B920" s="117" t="n">
        <v>12415</v>
      </c>
      <c r="C920" s="117" t="inlineStr">
        <is>
          <t>Australia</t>
        </is>
      </c>
      <c r="D920" s="117" t="inlineStr">
        <is>
          <t>20676</t>
        </is>
      </c>
      <c r="E920" s="117" t="inlineStr">
        <is>
          <t>RED RETROSPOT BOWL</t>
        </is>
      </c>
      <c r="F920" s="117" t="n">
        <v>144</v>
      </c>
      <c r="G920" s="118" t="n">
        <v>1.06</v>
      </c>
      <c r="H920" s="118" t="n">
        <v>152.64</v>
      </c>
      <c r="I920" s="119" t="n">
        <v>40605</v>
      </c>
    </row>
    <row r="921">
      <c r="A921" s="114" t="inlineStr">
        <is>
          <t>545475</t>
        </is>
      </c>
      <c r="B921" s="114" t="n">
        <v>12415</v>
      </c>
      <c r="C921" s="114" t="inlineStr">
        <is>
          <t>Australia</t>
        </is>
      </c>
      <c r="D921" s="114" t="inlineStr">
        <is>
          <t>20675</t>
        </is>
      </c>
      <c r="E921" s="114" t="inlineStr">
        <is>
          <t>BLUE POLKADOT BOWL</t>
        </is>
      </c>
      <c r="F921" s="114" t="n">
        <v>144</v>
      </c>
      <c r="G921" s="115" t="n">
        <v>1.06</v>
      </c>
      <c r="H921" s="115" t="n">
        <v>152.64</v>
      </c>
      <c r="I921" s="116" t="n">
        <v>40605</v>
      </c>
    </row>
    <row r="922">
      <c r="A922" s="117" t="inlineStr">
        <is>
          <t>545518</t>
        </is>
      </c>
      <c r="B922" s="117" t="n">
        <v>18218</v>
      </c>
      <c r="C922" s="117" t="inlineStr">
        <is>
          <t>United Kingdom</t>
        </is>
      </c>
      <c r="D922" s="117" t="inlineStr">
        <is>
          <t>85099F</t>
        </is>
      </c>
      <c r="E922" s="117" t="inlineStr">
        <is>
          <t>JUMBO BAG STRAWBERRY</t>
        </is>
      </c>
      <c r="F922" s="117" t="n">
        <v>10</v>
      </c>
      <c r="G922" s="118" t="n">
        <v>1.95</v>
      </c>
      <c r="H922" s="118" t="n">
        <v>19.5</v>
      </c>
      <c r="I922" s="119" t="n">
        <v>40605</v>
      </c>
    </row>
    <row r="923">
      <c r="A923" s="114" t="inlineStr">
        <is>
          <t>545519</t>
        </is>
      </c>
      <c r="B923" s="114" t="n">
        <v>16159</v>
      </c>
      <c r="C923" s="114" t="inlineStr">
        <is>
          <t>United Kingdom</t>
        </is>
      </c>
      <c r="D923" s="114" t="inlineStr">
        <is>
          <t>84997B</t>
        </is>
      </c>
      <c r="E923" s="114" t="inlineStr">
        <is>
          <t xml:space="preserve">CHILDRENS CUTLERY RETROSPOT RED </t>
        </is>
      </c>
      <c r="F923" s="114" t="n">
        <v>4</v>
      </c>
      <c r="G923" s="115" t="n">
        <v>4.15</v>
      </c>
      <c r="H923" s="115" t="n">
        <v>16.6</v>
      </c>
      <c r="I923" s="116" t="n">
        <v>40605</v>
      </c>
    </row>
    <row r="924">
      <c r="A924" s="117" t="inlineStr">
        <is>
          <t>545523</t>
        </is>
      </c>
      <c r="B924" s="117" t="n">
        <v>14524</v>
      </c>
      <c r="C924" s="117" t="inlineStr">
        <is>
          <t>United Kingdom</t>
        </is>
      </c>
      <c r="D924" s="117" t="inlineStr">
        <is>
          <t>20979</t>
        </is>
      </c>
      <c r="E924" s="117" t="inlineStr">
        <is>
          <t>36 PENCILS TUBE RED RETROSPOT</t>
        </is>
      </c>
      <c r="F924" s="117" t="n">
        <v>1</v>
      </c>
      <c r="G924" s="118" t="n">
        <v>1.25</v>
      </c>
      <c r="H924" s="118" t="n">
        <v>1.25</v>
      </c>
      <c r="I924" s="119" t="n">
        <v>40605</v>
      </c>
    </row>
    <row r="925">
      <c r="A925" s="114" t="inlineStr">
        <is>
          <t>545523</t>
        </is>
      </c>
      <c r="B925" s="114" t="n">
        <v>14524</v>
      </c>
      <c r="C925" s="114" t="inlineStr">
        <is>
          <t>United Kingdom</t>
        </is>
      </c>
      <c r="D925" s="114" t="inlineStr">
        <is>
          <t>21181</t>
        </is>
      </c>
      <c r="E925" s="114" t="inlineStr">
        <is>
          <t>PLEASE ONE PERSON METAL SIGN</t>
        </is>
      </c>
      <c r="F925" s="114" t="n">
        <v>1</v>
      </c>
      <c r="G925" s="115" t="n">
        <v>2.1</v>
      </c>
      <c r="H925" s="115" t="n">
        <v>2.1</v>
      </c>
      <c r="I925" s="116" t="n">
        <v>40605</v>
      </c>
    </row>
    <row r="926">
      <c r="A926" s="117" t="inlineStr">
        <is>
          <t>545530</t>
        </is>
      </c>
      <c r="B926" s="117" t="n">
        <v>17416</v>
      </c>
      <c r="C926" s="117" t="inlineStr">
        <is>
          <t>United Kingdom</t>
        </is>
      </c>
      <c r="D926" s="117" t="inlineStr">
        <is>
          <t>21533</t>
        </is>
      </c>
      <c r="E926" s="117" t="inlineStr">
        <is>
          <t>RETROSPOT LARGE MILK JUG</t>
        </is>
      </c>
      <c r="F926" s="117" t="n">
        <v>3</v>
      </c>
      <c r="G926" s="118" t="n">
        <v>4.95</v>
      </c>
      <c r="H926" s="118" t="n">
        <v>14.85</v>
      </c>
      <c r="I926" s="119" t="n">
        <v>40605</v>
      </c>
    </row>
    <row r="927">
      <c r="A927" s="114" t="inlineStr">
        <is>
          <t>545530</t>
        </is>
      </c>
      <c r="B927" s="114" t="n">
        <v>17416</v>
      </c>
      <c r="C927" s="114" t="inlineStr">
        <is>
          <t>United Kingdom</t>
        </is>
      </c>
      <c r="D927" s="114" t="inlineStr">
        <is>
          <t>22274</t>
        </is>
      </c>
      <c r="E927" s="114" t="inlineStr">
        <is>
          <t>FELTCRAFT DOLL EMILY</t>
        </is>
      </c>
      <c r="F927" s="114" t="n">
        <v>6</v>
      </c>
      <c r="G927" s="115" t="n">
        <v>2.95</v>
      </c>
      <c r="H927" s="115" t="n">
        <v>17.7</v>
      </c>
      <c r="I927" s="116" t="n">
        <v>40605</v>
      </c>
    </row>
    <row r="928">
      <c r="A928" s="117" t="inlineStr">
        <is>
          <t>545530</t>
        </is>
      </c>
      <c r="B928" s="117" t="n">
        <v>17416</v>
      </c>
      <c r="C928" s="117" t="inlineStr">
        <is>
          <t>United Kingdom</t>
        </is>
      </c>
      <c r="D928" s="117" t="inlineStr">
        <is>
          <t>22386</t>
        </is>
      </c>
      <c r="E928" s="117" t="inlineStr">
        <is>
          <t>JUMBO BAG PINK POLKADOT</t>
        </is>
      </c>
      <c r="F928" s="117" t="n">
        <v>10</v>
      </c>
      <c r="G928" s="118" t="n">
        <v>1.95</v>
      </c>
      <c r="H928" s="118" t="n">
        <v>19.5</v>
      </c>
      <c r="I928" s="119" t="n">
        <v>40605</v>
      </c>
    </row>
    <row r="929">
      <c r="A929" s="114" t="inlineStr">
        <is>
          <t>545533</t>
        </is>
      </c>
      <c r="B929" s="114" t="n">
        <v>12524</v>
      </c>
      <c r="C929" s="114" t="inlineStr">
        <is>
          <t>Germany</t>
        </is>
      </c>
      <c r="D929" s="114" t="inlineStr">
        <is>
          <t>21981</t>
        </is>
      </c>
      <c r="E929" s="114" t="inlineStr">
        <is>
          <t xml:space="preserve">PACK OF 12 WOODLAND TISSUES </t>
        </is>
      </c>
      <c r="F929" s="114" t="n">
        <v>48</v>
      </c>
      <c r="G929" s="115" t="n">
        <v>0.29</v>
      </c>
      <c r="H929" s="115" t="n">
        <v>13.92</v>
      </c>
      <c r="I929" s="116" t="n">
        <v>40605</v>
      </c>
    </row>
    <row r="930">
      <c r="A930" s="117" t="inlineStr">
        <is>
          <t>545536</t>
        </is>
      </c>
      <c r="B930" s="117" t="n">
        <v>12417</v>
      </c>
      <c r="C930" s="117" t="inlineStr">
        <is>
          <t>Belgium</t>
        </is>
      </c>
      <c r="D930" s="117" t="inlineStr">
        <is>
          <t>22794</t>
        </is>
      </c>
      <c r="E930" s="117" t="inlineStr">
        <is>
          <t>SWEETHEART WIRE MAGAZINE RACK</t>
        </is>
      </c>
      <c r="F930" s="117" t="n">
        <v>2</v>
      </c>
      <c r="G930" s="118" t="n">
        <v>7.95</v>
      </c>
      <c r="H930" s="118" t="n">
        <v>15.9</v>
      </c>
      <c r="I930" s="119" t="n">
        <v>40605</v>
      </c>
    </row>
    <row r="931">
      <c r="A931" s="114" t="inlineStr">
        <is>
          <t>545545</t>
        </is>
      </c>
      <c r="B931" s="114" t="n">
        <v>17841</v>
      </c>
      <c r="C931" s="114" t="inlineStr">
        <is>
          <t>United Kingdom</t>
        </is>
      </c>
      <c r="D931" s="114" t="inlineStr">
        <is>
          <t>21668</t>
        </is>
      </c>
      <c r="E931" s="114" t="inlineStr">
        <is>
          <t>RED STRIPE CERAMIC DRAWER KNOB</t>
        </is>
      </c>
      <c r="F931" s="114" t="n">
        <v>2</v>
      </c>
      <c r="G931" s="115" t="n">
        <v>1.25</v>
      </c>
      <c r="H931" s="115" t="n">
        <v>2.5</v>
      </c>
      <c r="I931" s="116" t="n">
        <v>40605</v>
      </c>
    </row>
    <row r="932">
      <c r="A932" s="117" t="inlineStr">
        <is>
          <t>545571</t>
        </is>
      </c>
      <c r="B932" s="117" t="n">
        <v>17700</v>
      </c>
      <c r="C932" s="117" t="inlineStr">
        <is>
          <t>United Kingdom</t>
        </is>
      </c>
      <c r="D932" s="117" t="inlineStr">
        <is>
          <t>84879</t>
        </is>
      </c>
      <c r="E932" s="117" t="inlineStr">
        <is>
          <t>ASSORTED COLOUR BIRD ORNAMENT</t>
        </is>
      </c>
      <c r="F932" s="117" t="n">
        <v>8</v>
      </c>
      <c r="G932" s="118" t="n">
        <v>1.69</v>
      </c>
      <c r="H932" s="118" t="n">
        <v>13.52</v>
      </c>
      <c r="I932" s="119" t="n">
        <v>40605</v>
      </c>
    </row>
    <row r="933">
      <c r="A933" s="114" t="inlineStr">
        <is>
          <t>545579</t>
        </is>
      </c>
      <c r="B933" s="114" t="n">
        <v>17508</v>
      </c>
      <c r="C933" s="114" t="inlineStr">
        <is>
          <t>Greece</t>
        </is>
      </c>
      <c r="D933" s="114" t="inlineStr">
        <is>
          <t>20717</t>
        </is>
      </c>
      <c r="E933" s="114" t="inlineStr">
        <is>
          <t>STRAWBERRY SHOPPER BAG</t>
        </is>
      </c>
      <c r="F933" s="114" t="n">
        <v>10</v>
      </c>
      <c r="G933" s="115" t="n">
        <v>1.25</v>
      </c>
      <c r="H933" s="115" t="n">
        <v>12.5</v>
      </c>
      <c r="I933" s="116" t="n">
        <v>40606</v>
      </c>
    </row>
    <row r="934">
      <c r="A934" s="117" t="inlineStr">
        <is>
          <t>545634</t>
        </is>
      </c>
      <c r="B934" s="117" t="n">
        <v>14911</v>
      </c>
      <c r="C934" s="117" t="inlineStr">
        <is>
          <t>EIRE</t>
        </is>
      </c>
      <c r="D934" s="117" t="inlineStr">
        <is>
          <t>22030</t>
        </is>
      </c>
      <c r="E934" s="117" t="inlineStr">
        <is>
          <t>SWALLOWS GREETING CARD</t>
        </is>
      </c>
      <c r="F934" s="117" t="n">
        <v>12</v>
      </c>
      <c r="G934" s="118" t="n">
        <v>0.42</v>
      </c>
      <c r="H934" s="118" t="n">
        <v>5.04</v>
      </c>
      <c r="I934" s="119" t="n">
        <v>40606</v>
      </c>
    </row>
    <row r="935">
      <c r="A935" s="114" t="inlineStr">
        <is>
          <t>545654</t>
        </is>
      </c>
      <c r="B935" s="114" t="n">
        <v>15681</v>
      </c>
      <c r="C935" s="114" t="inlineStr">
        <is>
          <t>United Kingdom</t>
        </is>
      </c>
      <c r="D935" s="114" t="inlineStr">
        <is>
          <t>22917</t>
        </is>
      </c>
      <c r="E935" s="114" t="inlineStr">
        <is>
          <t>HERB MARKER ROSEMARY</t>
        </is>
      </c>
      <c r="F935" s="114" t="n">
        <v>12</v>
      </c>
      <c r="G935" s="115" t="n">
        <v>0.65</v>
      </c>
      <c r="H935" s="115" t="n">
        <v>7.8</v>
      </c>
      <c r="I935" s="116" t="n">
        <v>40606</v>
      </c>
    </row>
    <row r="936">
      <c r="A936" s="117" t="inlineStr">
        <is>
          <t>545655</t>
        </is>
      </c>
      <c r="B936" s="117" t="n">
        <v>14670</v>
      </c>
      <c r="C936" s="117" t="inlineStr">
        <is>
          <t>United Kingdom</t>
        </is>
      </c>
      <c r="D936" s="117" t="inlineStr">
        <is>
          <t>22318</t>
        </is>
      </c>
      <c r="E936" s="117" t="inlineStr">
        <is>
          <t>FIVE HEART HANGING DECORATION</t>
        </is>
      </c>
      <c r="F936" s="117" t="n">
        <v>1</v>
      </c>
      <c r="G936" s="118" t="n">
        <v>2.95</v>
      </c>
      <c r="H936" s="118" t="n">
        <v>2.95</v>
      </c>
      <c r="I936" s="119" t="n">
        <v>40606</v>
      </c>
    </row>
    <row r="937">
      <c r="A937" s="114" t="inlineStr">
        <is>
          <t>545658</t>
        </is>
      </c>
      <c r="B937" s="114" t="n">
        <v>14670</v>
      </c>
      <c r="C937" s="114" t="inlineStr">
        <is>
          <t>United Kingdom</t>
        </is>
      </c>
      <c r="D937" s="114" t="inlineStr">
        <is>
          <t>84836</t>
        </is>
      </c>
      <c r="E937" s="114" t="inlineStr">
        <is>
          <t>ZINC METAL HEART DECORATION</t>
        </is>
      </c>
      <c r="F937" s="114" t="n">
        <v>4</v>
      </c>
      <c r="G937" s="115" t="n">
        <v>1.25</v>
      </c>
      <c r="H937" s="115" t="n">
        <v>5</v>
      </c>
      <c r="I937" s="116" t="n">
        <v>40606</v>
      </c>
    </row>
    <row r="938">
      <c r="A938" s="117" t="inlineStr">
        <is>
          <t>545660</t>
        </is>
      </c>
      <c r="B938" s="117" t="n">
        <v>17191</v>
      </c>
      <c r="C938" s="117" t="inlineStr">
        <is>
          <t>United Kingdom</t>
        </is>
      </c>
      <c r="D938" s="117" t="inlineStr">
        <is>
          <t>79026B</t>
        </is>
      </c>
      <c r="E938" s="117" t="inlineStr">
        <is>
          <t>S/4 ICON COASTER,ELVIS LIVES</t>
        </is>
      </c>
      <c r="F938" s="117" t="n">
        <v>1</v>
      </c>
      <c r="G938" s="118" t="n">
        <v>1.25</v>
      </c>
      <c r="H938" s="118" t="n">
        <v>1.25</v>
      </c>
      <c r="I938" s="119" t="n">
        <v>40606</v>
      </c>
    </row>
    <row r="939">
      <c r="A939" s="114" t="inlineStr">
        <is>
          <t>545664</t>
        </is>
      </c>
      <c r="B939" s="114" t="n">
        <v>12584</v>
      </c>
      <c r="C939" s="114" t="inlineStr">
        <is>
          <t>Italy</t>
        </is>
      </c>
      <c r="D939" s="114" t="inlineStr">
        <is>
          <t>21260</t>
        </is>
      </c>
      <c r="E939" s="114" t="inlineStr">
        <is>
          <t>FIRST AID TIN</t>
        </is>
      </c>
      <c r="F939" s="114" t="n">
        <v>6</v>
      </c>
      <c r="G939" s="115" t="n">
        <v>3.25</v>
      </c>
      <c r="H939" s="115" t="n">
        <v>19.5</v>
      </c>
      <c r="I939" s="116" t="n">
        <v>40606</v>
      </c>
    </row>
    <row r="940">
      <c r="A940" s="117" t="inlineStr">
        <is>
          <t>545681</t>
        </is>
      </c>
      <c r="B940" s="117" t="n">
        <v>16923</v>
      </c>
      <c r="C940" s="117" t="inlineStr">
        <is>
          <t>United Kingdom</t>
        </is>
      </c>
      <c r="D940" s="117" t="inlineStr">
        <is>
          <t>22168</t>
        </is>
      </c>
      <c r="E940" s="117" t="inlineStr">
        <is>
          <t xml:space="preserve">ORGANISER WOOD ANTIQUE WHITE </t>
        </is>
      </c>
      <c r="F940" s="117" t="n">
        <v>1</v>
      </c>
      <c r="G940" s="118" t="n">
        <v>8.5</v>
      </c>
      <c r="H940" s="118" t="n">
        <v>8.5</v>
      </c>
      <c r="I940" s="119" t="n">
        <v>40608</v>
      </c>
    </row>
    <row r="941">
      <c r="A941" s="114" t="inlineStr">
        <is>
          <t>545695</t>
        </is>
      </c>
      <c r="B941" s="114" t="n">
        <v>17050</v>
      </c>
      <c r="C941" s="114" t="inlineStr">
        <is>
          <t>United Kingdom</t>
        </is>
      </c>
      <c r="D941" s="114" t="inlineStr">
        <is>
          <t>22115</t>
        </is>
      </c>
      <c r="E941" s="114" t="inlineStr">
        <is>
          <t>METAL SIGN EMPIRE TEA</t>
        </is>
      </c>
      <c r="F941" s="114" t="n">
        <v>4</v>
      </c>
      <c r="G941" s="115" t="n">
        <v>2.95</v>
      </c>
      <c r="H941" s="115" t="n">
        <v>11.8</v>
      </c>
      <c r="I941" s="116" t="n">
        <v>40608</v>
      </c>
    </row>
    <row r="942">
      <c r="A942" s="117" t="inlineStr">
        <is>
          <t>545695</t>
        </is>
      </c>
      <c r="B942" s="117" t="n">
        <v>17050</v>
      </c>
      <c r="C942" s="117" t="inlineStr">
        <is>
          <t>United Kingdom</t>
        </is>
      </c>
      <c r="D942" s="117" t="inlineStr">
        <is>
          <t>22722</t>
        </is>
      </c>
      <c r="E942" s="117" t="inlineStr">
        <is>
          <t>SET OF 6 SPICE TINS PANTRY DESIGN</t>
        </is>
      </c>
      <c r="F942" s="117" t="n">
        <v>8</v>
      </c>
      <c r="G942" s="118" t="n">
        <v>3.95</v>
      </c>
      <c r="H942" s="118" t="n">
        <v>31.6</v>
      </c>
      <c r="I942" s="119" t="n">
        <v>40608</v>
      </c>
    </row>
    <row r="943">
      <c r="A943" s="114" t="inlineStr">
        <is>
          <t>545701</t>
        </is>
      </c>
      <c r="B943" s="114" t="n">
        <v>17107</v>
      </c>
      <c r="C943" s="114" t="inlineStr">
        <is>
          <t>United Kingdom</t>
        </is>
      </c>
      <c r="D943" s="114" t="inlineStr">
        <is>
          <t>47566B</t>
        </is>
      </c>
      <c r="E943" s="114" t="inlineStr">
        <is>
          <t>TEA TIME PARTY BUNTING</t>
        </is>
      </c>
      <c r="F943" s="114" t="n">
        <v>5</v>
      </c>
      <c r="G943" s="115" t="n">
        <v>4.95</v>
      </c>
      <c r="H943" s="115" t="n">
        <v>24.75</v>
      </c>
      <c r="I943" s="116" t="n">
        <v>40608</v>
      </c>
    </row>
    <row r="944">
      <c r="A944" s="117" t="inlineStr">
        <is>
          <t>545711</t>
        </is>
      </c>
      <c r="B944" s="117" t="n">
        <v>16136</v>
      </c>
      <c r="C944" s="117" t="inlineStr">
        <is>
          <t>United Kingdom</t>
        </is>
      </c>
      <c r="D944" s="117" t="inlineStr">
        <is>
          <t>22777</t>
        </is>
      </c>
      <c r="E944" s="117" t="inlineStr">
        <is>
          <t>GLASS CLOCHE LARGE</t>
        </is>
      </c>
      <c r="F944" s="117" t="n">
        <v>4</v>
      </c>
      <c r="G944" s="118" t="n">
        <v>8.5</v>
      </c>
      <c r="H944" s="118" t="n">
        <v>34</v>
      </c>
      <c r="I944" s="119" t="n">
        <v>40609</v>
      </c>
    </row>
    <row r="945">
      <c r="A945" s="114" t="inlineStr">
        <is>
          <t>545710</t>
        </is>
      </c>
      <c r="B945" s="114" t="n">
        <v>13117</v>
      </c>
      <c r="C945" s="114" t="inlineStr">
        <is>
          <t>United Kingdom</t>
        </is>
      </c>
      <c r="D945" s="114" t="inlineStr">
        <is>
          <t>22254</t>
        </is>
      </c>
      <c r="E945" s="114" t="inlineStr">
        <is>
          <t>FELT TOADSTOOL LARGE</t>
        </is>
      </c>
      <c r="F945" s="114" t="n">
        <v>12</v>
      </c>
      <c r="G945" s="115" t="n">
        <v>1.25</v>
      </c>
      <c r="H945" s="115" t="n">
        <v>15</v>
      </c>
      <c r="I945" s="116" t="n">
        <v>40609</v>
      </c>
    </row>
    <row r="946">
      <c r="A946" s="117" t="inlineStr">
        <is>
          <t>545722</t>
        </is>
      </c>
      <c r="B946" s="117" t="n">
        <v>16013</v>
      </c>
      <c r="C946" s="117" t="inlineStr">
        <is>
          <t>United Kingdom</t>
        </is>
      </c>
      <c r="D946" s="117" t="inlineStr">
        <is>
          <t>79321</t>
        </is>
      </c>
      <c r="E946" s="117" t="inlineStr">
        <is>
          <t>CHILLI LIGHTS</t>
        </is>
      </c>
      <c r="F946" s="117" t="n">
        <v>96</v>
      </c>
      <c r="G946" s="118" t="n">
        <v>4.95</v>
      </c>
      <c r="H946" s="118" t="n">
        <v>475.2</v>
      </c>
      <c r="I946" s="119" t="n">
        <v>40609</v>
      </c>
    </row>
    <row r="947">
      <c r="A947" s="114" t="inlineStr">
        <is>
          <t>545797</t>
        </is>
      </c>
      <c r="B947" s="114" t="n">
        <v>16225</v>
      </c>
      <c r="C947" s="114" t="inlineStr">
        <is>
          <t>United Kingdom</t>
        </is>
      </c>
      <c r="D947" s="114" t="inlineStr">
        <is>
          <t>21609</t>
        </is>
      </c>
      <c r="E947" s="114" t="inlineStr">
        <is>
          <t>SET 12 LAVENDER  BOTANICAL T-LIGHTS</t>
        </is>
      </c>
      <c r="F947" s="114" t="n">
        <v>1</v>
      </c>
      <c r="G947" s="115" t="n">
        <v>2.95</v>
      </c>
      <c r="H947" s="115" t="n">
        <v>2.95</v>
      </c>
      <c r="I947" s="116" t="n">
        <v>40609</v>
      </c>
    </row>
    <row r="948">
      <c r="A948" s="117" t="inlineStr">
        <is>
          <t>545838</t>
        </is>
      </c>
      <c r="B948" s="117" t="n">
        <v>14606</v>
      </c>
      <c r="C948" s="117" t="inlineStr">
        <is>
          <t>United Kingdom</t>
        </is>
      </c>
      <c r="D948" s="117" t="inlineStr">
        <is>
          <t>90214P</t>
        </is>
      </c>
      <c r="E948" s="117" t="inlineStr">
        <is>
          <t>LETTER "P" BLING KEY RING</t>
        </is>
      </c>
      <c r="F948" s="117" t="n">
        <v>1</v>
      </c>
      <c r="G948" s="118" t="n">
        <v>1.25</v>
      </c>
      <c r="H948" s="118" t="n">
        <v>1.25</v>
      </c>
      <c r="I948" s="119" t="n">
        <v>40609</v>
      </c>
    </row>
    <row r="949">
      <c r="A949" s="114" t="inlineStr">
        <is>
          <t>545842</t>
        </is>
      </c>
      <c r="B949" s="114" t="n">
        <v>15498</v>
      </c>
      <c r="C949" s="114" t="inlineStr">
        <is>
          <t>United Kingdom</t>
        </is>
      </c>
      <c r="D949" s="114" t="inlineStr">
        <is>
          <t>21216</t>
        </is>
      </c>
      <c r="E949" s="114" t="inlineStr">
        <is>
          <t>SET 3 RETROSPOT TEA,COFFEE,SUGAR</t>
        </is>
      </c>
      <c r="F949" s="114" t="n">
        <v>4</v>
      </c>
      <c r="G949" s="115" t="n">
        <v>4.95</v>
      </c>
      <c r="H949" s="115" t="n">
        <v>19.8</v>
      </c>
      <c r="I949" s="116" t="n">
        <v>40609</v>
      </c>
    </row>
    <row r="950">
      <c r="A950" s="117" t="inlineStr">
        <is>
          <t>545842</t>
        </is>
      </c>
      <c r="B950" s="117" t="n">
        <v>15498</v>
      </c>
      <c r="C950" s="117" t="inlineStr">
        <is>
          <t>United Kingdom</t>
        </is>
      </c>
      <c r="D950" s="117" t="inlineStr">
        <is>
          <t>22662</t>
        </is>
      </c>
      <c r="E950" s="117" t="inlineStr">
        <is>
          <t>LUNCH BAG DOLLY GIRL DESIGN</t>
        </is>
      </c>
      <c r="F950" s="117" t="n">
        <v>10</v>
      </c>
      <c r="G950" s="118" t="n">
        <v>1.65</v>
      </c>
      <c r="H950" s="118" t="n">
        <v>16.5</v>
      </c>
      <c r="I950" s="119" t="n">
        <v>40609</v>
      </c>
    </row>
    <row r="951">
      <c r="A951" s="114" t="inlineStr">
        <is>
          <t>545845</t>
        </is>
      </c>
      <c r="B951" s="114" t="n">
        <v>12754</v>
      </c>
      <c r="C951" s="114" t="inlineStr">
        <is>
          <t>Japan</t>
        </is>
      </c>
      <c r="D951" s="114" t="inlineStr">
        <is>
          <t>23176</t>
        </is>
      </c>
      <c r="E951" s="114" t="inlineStr">
        <is>
          <t xml:space="preserve">ABC TREASURE BOOK BOX </t>
        </is>
      </c>
      <c r="F951" s="114" t="n">
        <v>1</v>
      </c>
      <c r="G951" s="115" t="n">
        <v>2.25</v>
      </c>
      <c r="H951" s="115" t="n">
        <v>2.25</v>
      </c>
      <c r="I951" s="116" t="n">
        <v>40609</v>
      </c>
    </row>
    <row r="952">
      <c r="A952" s="117" t="inlineStr">
        <is>
          <t>545854</t>
        </is>
      </c>
      <c r="B952" s="117" t="n">
        <v>14817</v>
      </c>
      <c r="C952" s="117" t="inlineStr">
        <is>
          <t>United Kingdom</t>
        </is>
      </c>
      <c r="D952" s="117" t="inlineStr">
        <is>
          <t>22247</t>
        </is>
      </c>
      <c r="E952" s="117" t="inlineStr">
        <is>
          <t>BUNNY DECORATION MAGIC GARDEN</t>
        </is>
      </c>
      <c r="F952" s="117" t="n">
        <v>16</v>
      </c>
      <c r="G952" s="118" t="n">
        <v>0.85</v>
      </c>
      <c r="H952" s="118" t="n">
        <v>13.6</v>
      </c>
      <c r="I952" s="119" t="n">
        <v>40609</v>
      </c>
    </row>
    <row r="953">
      <c r="A953" s="114" t="inlineStr">
        <is>
          <t>545855</t>
        </is>
      </c>
      <c r="B953" s="114" t="n">
        <v>15290</v>
      </c>
      <c r="C953" s="114" t="inlineStr">
        <is>
          <t>United Kingdom</t>
        </is>
      </c>
      <c r="D953" s="114" t="inlineStr">
        <is>
          <t>22302</t>
        </is>
      </c>
      <c r="E953" s="114" t="inlineStr">
        <is>
          <t>COFFEE MUG PEARS  DESIGN</t>
        </is>
      </c>
      <c r="F953" s="114" t="n">
        <v>12</v>
      </c>
      <c r="G953" s="115" t="n">
        <v>2.55</v>
      </c>
      <c r="H953" s="115" t="n">
        <v>30.6</v>
      </c>
      <c r="I953" s="116" t="n">
        <v>40609</v>
      </c>
    </row>
    <row r="954">
      <c r="A954" s="117" t="inlineStr">
        <is>
          <t>545901</t>
        </is>
      </c>
      <c r="B954" s="117" t="n">
        <v>15834</v>
      </c>
      <c r="C954" s="117" t="inlineStr">
        <is>
          <t>United Kingdom</t>
        </is>
      </c>
      <c r="D954" s="117" t="inlineStr">
        <is>
          <t>85086A</t>
        </is>
      </c>
      <c r="E954" s="117" t="inlineStr">
        <is>
          <t>CANDY SPOT HEART DECORATION</t>
        </is>
      </c>
      <c r="F954" s="117" t="n">
        <v>6</v>
      </c>
      <c r="G954" s="118" t="n">
        <v>0.85</v>
      </c>
      <c r="H954" s="118" t="n">
        <v>5.1</v>
      </c>
      <c r="I954" s="119" t="n">
        <v>40609</v>
      </c>
    </row>
    <row r="955">
      <c r="A955" s="114" t="inlineStr">
        <is>
          <t>545901</t>
        </is>
      </c>
      <c r="B955" s="114" t="n">
        <v>15834</v>
      </c>
      <c r="C955" s="114" t="inlineStr">
        <is>
          <t>United Kingdom</t>
        </is>
      </c>
      <c r="D955" s="114" t="inlineStr">
        <is>
          <t>21878</t>
        </is>
      </c>
      <c r="E955" s="114" t="inlineStr">
        <is>
          <t>PACK OF 6 SANDCASTLE FLAGS ASSORTED</t>
        </is>
      </c>
      <c r="F955" s="114" t="n">
        <v>10</v>
      </c>
      <c r="G955" s="115" t="n">
        <v>0.85</v>
      </c>
      <c r="H955" s="115" t="n">
        <v>8.5</v>
      </c>
      <c r="I955" s="116" t="n">
        <v>40609</v>
      </c>
    </row>
    <row r="956">
      <c r="A956" s="117" t="inlineStr">
        <is>
          <t>545901</t>
        </is>
      </c>
      <c r="B956" s="117" t="n">
        <v>15834</v>
      </c>
      <c r="C956" s="117" t="inlineStr">
        <is>
          <t>United Kingdom</t>
        </is>
      </c>
      <c r="D956" s="117" t="inlineStr">
        <is>
          <t>22722</t>
        </is>
      </c>
      <c r="E956" s="117" t="inlineStr">
        <is>
          <t>SET OF 6 SPICE TINS PANTRY DESIGN</t>
        </is>
      </c>
      <c r="F956" s="117" t="n">
        <v>2</v>
      </c>
      <c r="G956" s="118" t="n">
        <v>3.95</v>
      </c>
      <c r="H956" s="118" t="n">
        <v>7.9</v>
      </c>
      <c r="I956" s="119" t="n">
        <v>40609</v>
      </c>
    </row>
    <row r="957">
      <c r="A957" s="114" t="inlineStr">
        <is>
          <t>545914</t>
        </is>
      </c>
      <c r="B957" s="114" t="n">
        <v>13340</v>
      </c>
      <c r="C957" s="114" t="inlineStr">
        <is>
          <t>United Kingdom</t>
        </is>
      </c>
      <c r="D957" s="114" t="inlineStr">
        <is>
          <t>20728</t>
        </is>
      </c>
      <c r="E957" s="114" t="inlineStr">
        <is>
          <t>LUNCH BAG CARS BLUE</t>
        </is>
      </c>
      <c r="F957" s="114" t="n">
        <v>20</v>
      </c>
      <c r="G957" s="115" t="n">
        <v>1.65</v>
      </c>
      <c r="H957" s="115" t="n">
        <v>33</v>
      </c>
      <c r="I957" s="116" t="n">
        <v>40610</v>
      </c>
    </row>
    <row r="958">
      <c r="A958" s="117" t="inlineStr">
        <is>
          <t>545978</t>
        </is>
      </c>
      <c r="B958" s="117" t="n">
        <v>13975</v>
      </c>
      <c r="C958" s="117" t="inlineStr">
        <is>
          <t>United Kingdom</t>
        </is>
      </c>
      <c r="D958" s="117" t="inlineStr">
        <is>
          <t>22059</t>
        </is>
      </c>
      <c r="E958" s="117" t="inlineStr">
        <is>
          <t>CERAMIC STRAWBERRY DESIGN MUG</t>
        </is>
      </c>
      <c r="F958" s="117" t="n">
        <v>3</v>
      </c>
      <c r="G958" s="118" t="n">
        <v>1.49</v>
      </c>
      <c r="H958" s="118" t="n">
        <v>4.47</v>
      </c>
      <c r="I958" s="119" t="n">
        <v>40610</v>
      </c>
    </row>
    <row r="959">
      <c r="A959" s="114" t="inlineStr">
        <is>
          <t>545978</t>
        </is>
      </c>
      <c r="B959" s="114" t="n">
        <v>13975</v>
      </c>
      <c r="C959" s="114" t="inlineStr">
        <is>
          <t>United Kingdom</t>
        </is>
      </c>
      <c r="D959" s="114" t="inlineStr">
        <is>
          <t>22751</t>
        </is>
      </c>
      <c r="E959" s="114" t="inlineStr">
        <is>
          <t>FELTCRAFT PRINCESS OLIVIA DOLL</t>
        </is>
      </c>
      <c r="F959" s="114" t="n">
        <v>2</v>
      </c>
      <c r="G959" s="115" t="n">
        <v>3.75</v>
      </c>
      <c r="H959" s="115" t="n">
        <v>7.5</v>
      </c>
      <c r="I959" s="116" t="n">
        <v>40610</v>
      </c>
    </row>
    <row r="960">
      <c r="A960" s="117" t="inlineStr">
        <is>
          <t>545978</t>
        </is>
      </c>
      <c r="B960" s="117" t="n">
        <v>13975</v>
      </c>
      <c r="C960" s="117" t="inlineStr">
        <is>
          <t>United Kingdom</t>
        </is>
      </c>
      <c r="D960" s="117" t="inlineStr">
        <is>
          <t>22587</t>
        </is>
      </c>
      <c r="E960" s="117" t="inlineStr">
        <is>
          <t>FELTCRAFT HAIRBAND RED AND BLUE</t>
        </is>
      </c>
      <c r="F960" s="117" t="n">
        <v>5</v>
      </c>
      <c r="G960" s="118" t="n">
        <v>0.85</v>
      </c>
      <c r="H960" s="118" t="n">
        <v>4.25</v>
      </c>
      <c r="I960" s="119" t="n">
        <v>40610</v>
      </c>
    </row>
    <row r="961">
      <c r="A961" s="114" t="inlineStr">
        <is>
          <t>545996</t>
        </is>
      </c>
      <c r="B961" s="114" t="n">
        <v>14367</v>
      </c>
      <c r="C961" s="114" t="inlineStr">
        <is>
          <t>United Kingdom</t>
        </is>
      </c>
      <c r="D961" s="114" t="inlineStr">
        <is>
          <t>20982</t>
        </is>
      </c>
      <c r="E961" s="114" t="inlineStr">
        <is>
          <t>12 PENCILS TALL TUBE SKULLS</t>
        </is>
      </c>
      <c r="F961" s="114" t="n">
        <v>24</v>
      </c>
      <c r="G961" s="115" t="n">
        <v>0.85</v>
      </c>
      <c r="H961" s="115" t="n">
        <v>20.4</v>
      </c>
      <c r="I961" s="116" t="n">
        <v>40610</v>
      </c>
    </row>
    <row r="962">
      <c r="A962" s="117" t="inlineStr">
        <is>
          <t>545998</t>
        </is>
      </c>
      <c r="B962" s="117" t="n">
        <v>13373</v>
      </c>
      <c r="C962" s="117" t="inlineStr">
        <is>
          <t>United Kingdom</t>
        </is>
      </c>
      <c r="D962" s="117" t="inlineStr">
        <is>
          <t>21672</t>
        </is>
      </c>
      <c r="E962" s="117" t="inlineStr">
        <is>
          <t>WHITE SPOT RED CERAMIC DRAWER KNOB</t>
        </is>
      </c>
      <c r="F962" s="117" t="n">
        <v>12</v>
      </c>
      <c r="G962" s="118" t="n">
        <v>1.25</v>
      </c>
      <c r="H962" s="118" t="n">
        <v>15</v>
      </c>
      <c r="I962" s="119" t="n">
        <v>40610</v>
      </c>
    </row>
    <row r="963">
      <c r="A963" s="114" t="inlineStr">
        <is>
          <t>545999</t>
        </is>
      </c>
      <c r="B963" s="114" t="n">
        <v>13089</v>
      </c>
      <c r="C963" s="114" t="inlineStr">
        <is>
          <t>United Kingdom</t>
        </is>
      </c>
      <c r="D963" s="114" t="inlineStr">
        <is>
          <t>22772</t>
        </is>
      </c>
      <c r="E963" s="114" t="inlineStr">
        <is>
          <t>PINK DRAWER KNOB ACRYLIC EDWARDIAN</t>
        </is>
      </c>
      <c r="F963" s="114" t="n">
        <v>12</v>
      </c>
      <c r="G963" s="115" t="n">
        <v>1.25</v>
      </c>
      <c r="H963" s="115" t="n">
        <v>15</v>
      </c>
      <c r="I963" s="116" t="n">
        <v>40610</v>
      </c>
    </row>
    <row r="964">
      <c r="A964" s="117" t="inlineStr">
        <is>
          <t>546001</t>
        </is>
      </c>
      <c r="B964" s="117" t="n">
        <v>13854</v>
      </c>
      <c r="C964" s="117" t="inlineStr">
        <is>
          <t>United Kingdom</t>
        </is>
      </c>
      <c r="D964" s="117" t="inlineStr">
        <is>
          <t>84879</t>
        </is>
      </c>
      <c r="E964" s="117" t="inlineStr">
        <is>
          <t>ASSORTED COLOUR BIRD ORNAMENT</t>
        </is>
      </c>
      <c r="F964" s="117" t="n">
        <v>24</v>
      </c>
      <c r="G964" s="118" t="n">
        <v>1.69</v>
      </c>
      <c r="H964" s="118" t="n">
        <v>40.56</v>
      </c>
      <c r="I964" s="119" t="n">
        <v>40610</v>
      </c>
    </row>
    <row r="965">
      <c r="A965" s="114" t="inlineStr">
        <is>
          <t>546005</t>
        </is>
      </c>
      <c r="B965" s="114" t="n">
        <v>14426</v>
      </c>
      <c r="C965" s="114" t="inlineStr">
        <is>
          <t>United Kingdom</t>
        </is>
      </c>
      <c r="D965" s="114" t="inlineStr">
        <is>
          <t>22692</t>
        </is>
      </c>
      <c r="E965" s="114" t="inlineStr">
        <is>
          <t>DOORMAT WELCOME TO OUR HOME</t>
        </is>
      </c>
      <c r="F965" s="114" t="n">
        <v>2</v>
      </c>
      <c r="G965" s="115" t="n">
        <v>7.95</v>
      </c>
      <c r="H965" s="115" t="n">
        <v>15.9</v>
      </c>
      <c r="I965" s="116" t="n">
        <v>40610</v>
      </c>
    </row>
    <row r="966">
      <c r="A966" s="117" t="inlineStr">
        <is>
          <t>546013</t>
        </is>
      </c>
      <c r="B966" s="117" t="n">
        <v>16495</v>
      </c>
      <c r="C966" s="117" t="inlineStr">
        <is>
          <t>United Kingdom</t>
        </is>
      </c>
      <c r="D966" s="117" t="inlineStr">
        <is>
          <t>21080</t>
        </is>
      </c>
      <c r="E966" s="117" t="inlineStr">
        <is>
          <t xml:space="preserve">SET/20 RED RETROSPOT PAPER NAPKINS </t>
        </is>
      </c>
      <c r="F966" s="117" t="n">
        <v>1</v>
      </c>
      <c r="G966" s="118" t="n">
        <v>0.85</v>
      </c>
      <c r="H966" s="118" t="n">
        <v>0.85</v>
      </c>
      <c r="I966" s="119" t="n">
        <v>40610</v>
      </c>
    </row>
    <row r="967">
      <c r="A967" s="114" t="inlineStr">
        <is>
          <t>546017</t>
        </is>
      </c>
      <c r="B967" s="114" t="n">
        <v>14507</v>
      </c>
      <c r="C967" s="114" t="inlineStr">
        <is>
          <t>United Kingdom</t>
        </is>
      </c>
      <c r="D967" s="114" t="inlineStr">
        <is>
          <t>22967</t>
        </is>
      </c>
      <c r="E967" s="114" t="inlineStr">
        <is>
          <t>SET 3 SONG BIRD PAPER EGGS ASSORTED</t>
        </is>
      </c>
      <c r="F967" s="114" t="n">
        <v>4</v>
      </c>
      <c r="G967" s="115" t="n">
        <v>2.95</v>
      </c>
      <c r="H967" s="115" t="n">
        <v>11.8</v>
      </c>
      <c r="I967" s="116" t="n">
        <v>40610</v>
      </c>
    </row>
    <row r="968">
      <c r="A968" s="117" t="inlineStr">
        <is>
          <t>546035</t>
        </is>
      </c>
      <c r="B968" s="117" t="n">
        <v>12924</v>
      </c>
      <c r="C968" s="117" t="inlineStr">
        <is>
          <t>United Kingdom</t>
        </is>
      </c>
      <c r="D968" s="117" t="inlineStr">
        <is>
          <t>22801</t>
        </is>
      </c>
      <c r="E968" s="117" t="inlineStr">
        <is>
          <t>ANTIQUE GLASS PEDESTAL BOWL</t>
        </is>
      </c>
      <c r="F968" s="117" t="n">
        <v>1</v>
      </c>
      <c r="G968" s="118" t="n">
        <v>3.75</v>
      </c>
      <c r="H968" s="118" t="n">
        <v>3.75</v>
      </c>
      <c r="I968" s="119" t="n">
        <v>40611</v>
      </c>
    </row>
    <row r="969">
      <c r="A969" s="114" t="inlineStr">
        <is>
          <t>546037</t>
        </is>
      </c>
      <c r="B969" s="114" t="n">
        <v>14825</v>
      </c>
      <c r="C969" s="114" t="inlineStr">
        <is>
          <t>United Kingdom</t>
        </is>
      </c>
      <c r="D969" s="114" t="inlineStr">
        <is>
          <t>22606</t>
        </is>
      </c>
      <c r="E969" s="114" t="inlineStr">
        <is>
          <t>WOODEN SKITTLES GARDEN SET</t>
        </is>
      </c>
      <c r="F969" s="114" t="n">
        <v>4</v>
      </c>
      <c r="G969" s="115" t="n">
        <v>12.75</v>
      </c>
      <c r="H969" s="115" t="n">
        <v>51</v>
      </c>
      <c r="I969" s="116" t="n">
        <v>40611</v>
      </c>
    </row>
    <row r="970">
      <c r="A970" s="117" t="inlineStr">
        <is>
          <t>546062</t>
        </is>
      </c>
      <c r="B970" s="117" t="n">
        <v>16221</v>
      </c>
      <c r="C970" s="117" t="inlineStr">
        <is>
          <t>United Kingdom</t>
        </is>
      </c>
      <c r="D970" s="117" t="inlineStr">
        <is>
          <t>16008</t>
        </is>
      </c>
      <c r="E970" s="117" t="inlineStr">
        <is>
          <t>SMALL FOLDING SCISSOR(POINTED EDGE)</t>
        </is>
      </c>
      <c r="F970" s="117" t="n">
        <v>72</v>
      </c>
      <c r="G970" s="118" t="n">
        <v>0.25</v>
      </c>
      <c r="H970" s="118" t="n">
        <v>18</v>
      </c>
      <c r="I970" s="119" t="n">
        <v>40611</v>
      </c>
    </row>
    <row r="971">
      <c r="A971" s="114" t="inlineStr">
        <is>
          <t>546084</t>
        </is>
      </c>
      <c r="B971" s="114" t="n">
        <v>14112</v>
      </c>
      <c r="C971" s="114" t="inlineStr">
        <is>
          <t>United Kingdom</t>
        </is>
      </c>
      <c r="D971" s="114" t="inlineStr">
        <is>
          <t>22968</t>
        </is>
      </c>
      <c r="E971" s="114" t="inlineStr">
        <is>
          <t xml:space="preserve">ROSE COTTAGE KEEPSAKE BOX </t>
        </is>
      </c>
      <c r="F971" s="114" t="n">
        <v>2</v>
      </c>
      <c r="G971" s="115" t="n">
        <v>9.949999999999999</v>
      </c>
      <c r="H971" s="115" t="n">
        <v>19.9</v>
      </c>
      <c r="I971" s="116" t="n">
        <v>40611</v>
      </c>
    </row>
    <row r="972">
      <c r="A972" s="117" t="inlineStr">
        <is>
          <t>546089</t>
        </is>
      </c>
      <c r="B972" s="117" t="n">
        <v>17864</v>
      </c>
      <c r="C972" s="117" t="inlineStr">
        <is>
          <t>United Kingdom</t>
        </is>
      </c>
      <c r="D972" s="117" t="inlineStr">
        <is>
          <t>22614</t>
        </is>
      </c>
      <c r="E972" s="117" t="inlineStr">
        <is>
          <t>PACK OF 12 SPACEBOY TISSUES</t>
        </is>
      </c>
      <c r="F972" s="117" t="n">
        <v>12</v>
      </c>
      <c r="G972" s="118" t="n">
        <v>0.29</v>
      </c>
      <c r="H972" s="118" t="n">
        <v>3.48</v>
      </c>
      <c r="I972" s="119" t="n">
        <v>40611</v>
      </c>
    </row>
    <row r="973">
      <c r="A973" s="114" t="inlineStr">
        <is>
          <t>546101</t>
        </is>
      </c>
      <c r="B973" s="114" t="n">
        <v>14803</v>
      </c>
      <c r="C973" s="114" t="inlineStr">
        <is>
          <t>United Kingdom</t>
        </is>
      </c>
      <c r="D973" s="114" t="inlineStr">
        <is>
          <t>22423</t>
        </is>
      </c>
      <c r="E973" s="114" t="inlineStr">
        <is>
          <t>REGENCY CAKESTAND 3 TIER</t>
        </is>
      </c>
      <c r="F973" s="114" t="n">
        <v>16</v>
      </c>
      <c r="G973" s="115" t="n">
        <v>10.95</v>
      </c>
      <c r="H973" s="115" t="n">
        <v>175.2</v>
      </c>
      <c r="I973" s="116" t="n">
        <v>40611</v>
      </c>
    </row>
    <row r="974">
      <c r="A974" s="117" t="inlineStr">
        <is>
          <t>546107</t>
        </is>
      </c>
      <c r="B974" s="117" t="n">
        <v>17238</v>
      </c>
      <c r="C974" s="117" t="inlineStr">
        <is>
          <t>United Kingdom</t>
        </is>
      </c>
      <c r="D974" s="117" t="inlineStr">
        <is>
          <t>21244</t>
        </is>
      </c>
      <c r="E974" s="117" t="inlineStr">
        <is>
          <t xml:space="preserve">BLUE POLKADOT PLATE </t>
        </is>
      </c>
      <c r="F974" s="117" t="n">
        <v>4</v>
      </c>
      <c r="G974" s="118" t="n">
        <v>1.69</v>
      </c>
      <c r="H974" s="118" t="n">
        <v>6.76</v>
      </c>
      <c r="I974" s="119" t="n">
        <v>40611</v>
      </c>
    </row>
    <row r="975">
      <c r="A975" s="114" t="inlineStr">
        <is>
          <t>546108</t>
        </is>
      </c>
      <c r="B975" s="114" t="n">
        <v>15529</v>
      </c>
      <c r="C975" s="114" t="inlineStr">
        <is>
          <t>United Kingdom</t>
        </is>
      </c>
      <c r="D975" s="114" t="inlineStr">
        <is>
          <t>21634</t>
        </is>
      </c>
      <c r="E975" s="114" t="inlineStr">
        <is>
          <t>ASSORTED MINI MADRAS NOTEBOOK</t>
        </is>
      </c>
      <c r="F975" s="114" t="n">
        <v>12</v>
      </c>
      <c r="G975" s="115" t="n">
        <v>1.25</v>
      </c>
      <c r="H975" s="115" t="n">
        <v>15</v>
      </c>
      <c r="I975" s="116" t="n">
        <v>40611</v>
      </c>
    </row>
    <row r="976">
      <c r="A976" s="117" t="inlineStr">
        <is>
          <t>546115</t>
        </is>
      </c>
      <c r="B976" s="117" t="n">
        <v>15379</v>
      </c>
      <c r="C976" s="117" t="inlineStr">
        <is>
          <t>United Kingdom</t>
        </is>
      </c>
      <c r="D976" s="117" t="inlineStr">
        <is>
          <t>22149</t>
        </is>
      </c>
      <c r="E976" s="117" t="inlineStr">
        <is>
          <t>FELTCRAFT 6 FLOWER FRIENDS</t>
        </is>
      </c>
      <c r="F976" s="117" t="n">
        <v>6</v>
      </c>
      <c r="G976" s="118" t="n">
        <v>2.1</v>
      </c>
      <c r="H976" s="118" t="n">
        <v>12.6</v>
      </c>
      <c r="I976" s="119" t="n">
        <v>40611</v>
      </c>
    </row>
    <row r="977">
      <c r="A977" s="114" t="inlineStr">
        <is>
          <t>546117</t>
        </is>
      </c>
      <c r="B977" s="114" t="n">
        <v>16771</v>
      </c>
      <c r="C977" s="114" t="inlineStr">
        <is>
          <t>United Kingdom</t>
        </is>
      </c>
      <c r="D977" s="114" t="inlineStr">
        <is>
          <t>22189</t>
        </is>
      </c>
      <c r="E977" s="114" t="inlineStr">
        <is>
          <t>CREAM HEART CARD HOLDER</t>
        </is>
      </c>
      <c r="F977" s="114" t="n">
        <v>6</v>
      </c>
      <c r="G977" s="115" t="n">
        <v>3.95</v>
      </c>
      <c r="H977" s="115" t="n">
        <v>23.7</v>
      </c>
      <c r="I977" s="116" t="n">
        <v>40611</v>
      </c>
    </row>
    <row r="978">
      <c r="A978" s="117" t="inlineStr">
        <is>
          <t>546117</t>
        </is>
      </c>
      <c r="B978" s="117" t="n">
        <v>16771</v>
      </c>
      <c r="C978" s="117" t="inlineStr">
        <is>
          <t>United Kingdom</t>
        </is>
      </c>
      <c r="D978" s="117" t="inlineStr">
        <is>
          <t>23180</t>
        </is>
      </c>
      <c r="E978" s="117" t="inlineStr">
        <is>
          <t>MUM'S KITCHEN CLOCK</t>
        </is>
      </c>
      <c r="F978" s="117" t="n">
        <v>2</v>
      </c>
      <c r="G978" s="118" t="n">
        <v>4.95</v>
      </c>
      <c r="H978" s="118" t="n">
        <v>9.9</v>
      </c>
      <c r="I978" s="119" t="n">
        <v>40611</v>
      </c>
    </row>
    <row r="979">
      <c r="A979" s="114" t="inlineStr">
        <is>
          <t>546121</t>
        </is>
      </c>
      <c r="B979" s="114" t="n">
        <v>14085</v>
      </c>
      <c r="C979" s="114" t="inlineStr">
        <is>
          <t>United Kingdom</t>
        </is>
      </c>
      <c r="D979" s="114" t="inlineStr">
        <is>
          <t>85016</t>
        </is>
      </c>
      <c r="E979" s="114" t="inlineStr">
        <is>
          <t>SET OF 6 VINTAGE NOTELETS KIT</t>
        </is>
      </c>
      <c r="F979" s="114" t="n">
        <v>3</v>
      </c>
      <c r="G979" s="115" t="n">
        <v>2.55</v>
      </c>
      <c r="H979" s="115" t="n">
        <v>7.65</v>
      </c>
      <c r="I979" s="116" t="n">
        <v>40611</v>
      </c>
    </row>
    <row r="980">
      <c r="A980" s="117" t="inlineStr">
        <is>
          <t>546127</t>
        </is>
      </c>
      <c r="B980" s="117" t="n">
        <v>17730</v>
      </c>
      <c r="C980" s="117" t="inlineStr">
        <is>
          <t>United Kingdom</t>
        </is>
      </c>
      <c r="D980" s="117" t="inlineStr">
        <is>
          <t>21527</t>
        </is>
      </c>
      <c r="E980" s="117" t="inlineStr">
        <is>
          <t xml:space="preserve">RED RETROSPOT TRADITIONAL TEAPOT </t>
        </is>
      </c>
      <c r="F980" s="117" t="n">
        <v>12</v>
      </c>
      <c r="G980" s="118" t="n">
        <v>6.95</v>
      </c>
      <c r="H980" s="118" t="n">
        <v>83.40000000000001</v>
      </c>
      <c r="I980" s="119" t="n">
        <v>40611</v>
      </c>
    </row>
    <row r="981">
      <c r="A981" s="114" t="inlineStr">
        <is>
          <t>546155</t>
        </is>
      </c>
      <c r="B981" s="114" t="n">
        <v>15632</v>
      </c>
      <c r="C981" s="114" t="inlineStr">
        <is>
          <t>United Kingdom</t>
        </is>
      </c>
      <c r="D981" s="114" t="inlineStr">
        <is>
          <t>22553</t>
        </is>
      </c>
      <c r="E981" s="114" t="inlineStr">
        <is>
          <t>PLASTERS IN TIN SKULLS</t>
        </is>
      </c>
      <c r="F981" s="114" t="n">
        <v>12</v>
      </c>
      <c r="G981" s="115" t="n">
        <v>1.65</v>
      </c>
      <c r="H981" s="115" t="n">
        <v>19.8</v>
      </c>
      <c r="I981" s="116" t="n">
        <v>40612</v>
      </c>
    </row>
    <row r="982">
      <c r="A982" s="117" t="inlineStr">
        <is>
          <t>546156</t>
        </is>
      </c>
      <c r="B982" s="117" t="n">
        <v>14297</v>
      </c>
      <c r="C982" s="117" t="inlineStr">
        <is>
          <t>United Kingdom</t>
        </is>
      </c>
      <c r="D982" s="117" t="inlineStr">
        <is>
          <t>22899</t>
        </is>
      </c>
      <c r="E982" s="117" t="inlineStr">
        <is>
          <t xml:space="preserve">CHILDREN'S APRON DOLLY GIRL </t>
        </is>
      </c>
      <c r="F982" s="117" t="n">
        <v>6</v>
      </c>
      <c r="G982" s="118" t="n">
        <v>2.1</v>
      </c>
      <c r="H982" s="118" t="n">
        <v>12.6</v>
      </c>
      <c r="I982" s="119" t="n">
        <v>40612</v>
      </c>
    </row>
    <row r="983">
      <c r="A983" s="114" t="inlineStr">
        <is>
          <t>546230</t>
        </is>
      </c>
      <c r="B983" s="114" t="n">
        <v>13871</v>
      </c>
      <c r="C983" s="114" t="inlineStr">
        <is>
          <t>United Kingdom</t>
        </is>
      </c>
      <c r="D983" s="114" t="inlineStr">
        <is>
          <t>22989</t>
        </is>
      </c>
      <c r="E983" s="114" t="inlineStr">
        <is>
          <t>SET 2 PANTRY DESIGN TEA TOWELS</t>
        </is>
      </c>
      <c r="F983" s="114" t="n">
        <v>6</v>
      </c>
      <c r="G983" s="115" t="n">
        <v>3.25</v>
      </c>
      <c r="H983" s="115" t="n">
        <v>19.5</v>
      </c>
      <c r="I983" s="116" t="n">
        <v>40612</v>
      </c>
    </row>
    <row r="984">
      <c r="A984" s="117" t="inlineStr">
        <is>
          <t>546243</t>
        </is>
      </c>
      <c r="B984" s="117" t="n">
        <v>15308</v>
      </c>
      <c r="C984" s="117" t="inlineStr">
        <is>
          <t>United Kingdom</t>
        </is>
      </c>
      <c r="D984" s="117" t="inlineStr">
        <is>
          <t>22501</t>
        </is>
      </c>
      <c r="E984" s="117" t="inlineStr">
        <is>
          <t>PICNIC BASKET WICKER LARGE</t>
        </is>
      </c>
      <c r="F984" s="117" t="n">
        <v>2</v>
      </c>
      <c r="G984" s="118" t="n">
        <v>9.949999999999999</v>
      </c>
      <c r="H984" s="118" t="n">
        <v>19.9</v>
      </c>
      <c r="I984" s="119" t="n">
        <v>40612</v>
      </c>
    </row>
    <row r="985">
      <c r="A985" s="114" t="inlineStr">
        <is>
          <t>546246</t>
        </is>
      </c>
      <c r="B985" s="114" t="n">
        <v>14841</v>
      </c>
      <c r="C985" s="114" t="inlineStr">
        <is>
          <t>United Kingdom</t>
        </is>
      </c>
      <c r="D985" s="114" t="inlineStr">
        <is>
          <t>22907</t>
        </is>
      </c>
      <c r="E985" s="114" t="inlineStr">
        <is>
          <t>PACK OF 20 NAPKINS PANTRY DESIGN</t>
        </is>
      </c>
      <c r="F985" s="114" t="n">
        <v>12</v>
      </c>
      <c r="G985" s="115" t="n">
        <v>0.85</v>
      </c>
      <c r="H985" s="115" t="n">
        <v>10.2</v>
      </c>
      <c r="I985" s="116" t="n">
        <v>40612</v>
      </c>
    </row>
    <row r="986">
      <c r="A986" s="117" t="inlineStr">
        <is>
          <t>546248</t>
        </is>
      </c>
      <c r="B986" s="117" t="n">
        <v>16477</v>
      </c>
      <c r="C986" s="117" t="inlineStr">
        <is>
          <t>United Kingdom</t>
        </is>
      </c>
      <c r="D986" s="117" t="inlineStr">
        <is>
          <t>22149</t>
        </is>
      </c>
      <c r="E986" s="117" t="inlineStr">
        <is>
          <t>FELTCRAFT 6 FLOWER FRIENDS</t>
        </is>
      </c>
      <c r="F986" s="117" t="n">
        <v>6</v>
      </c>
      <c r="G986" s="118" t="n">
        <v>2.1</v>
      </c>
      <c r="H986" s="118" t="n">
        <v>12.6</v>
      </c>
      <c r="I986" s="119" t="n">
        <v>40612</v>
      </c>
    </row>
    <row r="987">
      <c r="A987" s="114" t="inlineStr">
        <is>
          <t>546252</t>
        </is>
      </c>
      <c r="B987" s="114" t="n">
        <v>14930</v>
      </c>
      <c r="C987" s="114" t="inlineStr">
        <is>
          <t>Channel Islands</t>
        </is>
      </c>
      <c r="D987" s="114" t="inlineStr">
        <is>
          <t>22382</t>
        </is>
      </c>
      <c r="E987" s="114" t="inlineStr">
        <is>
          <t xml:space="preserve">LUNCH BAG SPACEBOY DESIGN </t>
        </is>
      </c>
      <c r="F987" s="114" t="n">
        <v>10</v>
      </c>
      <c r="G987" s="115" t="n">
        <v>1.65</v>
      </c>
      <c r="H987" s="115" t="n">
        <v>16.5</v>
      </c>
      <c r="I987" s="116" t="n">
        <v>40612</v>
      </c>
    </row>
    <row r="988">
      <c r="A988" s="117" t="inlineStr">
        <is>
          <t>546321</t>
        </is>
      </c>
      <c r="B988" s="117" t="n">
        <v>16475</v>
      </c>
      <c r="C988" s="117" t="inlineStr">
        <is>
          <t>United Kingdom</t>
        </is>
      </c>
      <c r="D988" s="117" t="inlineStr">
        <is>
          <t>22224</t>
        </is>
      </c>
      <c r="E988" s="117" t="inlineStr">
        <is>
          <t>WHITE LOVEBIRD LANTERN</t>
        </is>
      </c>
      <c r="F988" s="117" t="n">
        <v>6</v>
      </c>
      <c r="G988" s="118" t="n">
        <v>2.95</v>
      </c>
      <c r="H988" s="118" t="n">
        <v>17.7</v>
      </c>
      <c r="I988" s="119" t="n">
        <v>40613</v>
      </c>
    </row>
    <row r="989">
      <c r="A989" s="114" t="inlineStr">
        <is>
          <t>546365</t>
        </is>
      </c>
      <c r="B989" s="114" t="n">
        <v>12520</v>
      </c>
      <c r="C989" s="114" t="inlineStr">
        <is>
          <t>Germany</t>
        </is>
      </c>
      <c r="D989" s="114" t="inlineStr">
        <is>
          <t>22771</t>
        </is>
      </c>
      <c r="E989" s="114" t="inlineStr">
        <is>
          <t>CLEAR DRAWER KNOB ACRYLIC EDWARDIAN</t>
        </is>
      </c>
      <c r="F989" s="114" t="n">
        <v>12</v>
      </c>
      <c r="G989" s="115" t="n">
        <v>1.25</v>
      </c>
      <c r="H989" s="115" t="n">
        <v>15</v>
      </c>
      <c r="I989" s="116" t="n">
        <v>40613</v>
      </c>
    </row>
    <row r="990">
      <c r="A990" s="117" t="inlineStr">
        <is>
          <t>546389</t>
        </is>
      </c>
      <c r="B990" s="117" t="n">
        <v>16801</v>
      </c>
      <c r="C990" s="117" t="inlineStr">
        <is>
          <t>United Kingdom</t>
        </is>
      </c>
      <c r="D990" s="117" t="inlineStr">
        <is>
          <t>48187</t>
        </is>
      </c>
      <c r="E990" s="117" t="inlineStr">
        <is>
          <t>DOORMAT NEW ENGLAND</t>
        </is>
      </c>
      <c r="F990" s="117" t="n">
        <v>2</v>
      </c>
      <c r="G990" s="118" t="n">
        <v>7.95</v>
      </c>
      <c r="H990" s="118" t="n">
        <v>15.9</v>
      </c>
      <c r="I990" s="119" t="n">
        <v>40613</v>
      </c>
    </row>
    <row r="991">
      <c r="A991" s="114" t="inlineStr">
        <is>
          <t>546392</t>
        </is>
      </c>
      <c r="B991" s="114" t="n">
        <v>14587</v>
      </c>
      <c r="C991" s="114" t="inlineStr">
        <is>
          <t>United Kingdom</t>
        </is>
      </c>
      <c r="D991" s="114" t="inlineStr">
        <is>
          <t>21561</t>
        </is>
      </c>
      <c r="E991" s="114" t="inlineStr">
        <is>
          <t>DINOSAUR LUNCH BOX WITH CUTLERY</t>
        </is>
      </c>
      <c r="F991" s="114" t="n">
        <v>3</v>
      </c>
      <c r="G991" s="115" t="n">
        <v>2.55</v>
      </c>
      <c r="H991" s="115" t="n">
        <v>7.65</v>
      </c>
      <c r="I991" s="116" t="n">
        <v>40613</v>
      </c>
    </row>
    <row r="992">
      <c r="A992" s="117" t="inlineStr">
        <is>
          <t>546392</t>
        </is>
      </c>
      <c r="B992" s="117" t="n">
        <v>14587</v>
      </c>
      <c r="C992" s="117" t="inlineStr">
        <is>
          <t>United Kingdom</t>
        </is>
      </c>
      <c r="D992" s="117" t="inlineStr">
        <is>
          <t>84375</t>
        </is>
      </c>
      <c r="E992" s="117" t="inlineStr">
        <is>
          <t>SET OF 20 KIDS COOKIE CUTTERS</t>
        </is>
      </c>
      <c r="F992" s="117" t="n">
        <v>1</v>
      </c>
      <c r="G992" s="118" t="n">
        <v>2.1</v>
      </c>
      <c r="H992" s="118" t="n">
        <v>2.1</v>
      </c>
      <c r="I992" s="119" t="n">
        <v>40613</v>
      </c>
    </row>
    <row r="993">
      <c r="A993" s="114" t="inlineStr">
        <is>
          <t>546398</t>
        </is>
      </c>
      <c r="B993" s="114" t="n">
        <v>13043</v>
      </c>
      <c r="C993" s="114" t="inlineStr">
        <is>
          <t>United Kingdom</t>
        </is>
      </c>
      <c r="D993" s="114" t="inlineStr">
        <is>
          <t>22301</t>
        </is>
      </c>
      <c r="E993" s="114" t="inlineStr">
        <is>
          <t>COFFEE MUG CAT + BIRD DESIGN</t>
        </is>
      </c>
      <c r="F993" s="114" t="n">
        <v>12</v>
      </c>
      <c r="G993" s="115" t="n">
        <v>2.55</v>
      </c>
      <c r="H993" s="115" t="n">
        <v>30.6</v>
      </c>
      <c r="I993" s="116" t="n">
        <v>40613</v>
      </c>
    </row>
    <row r="994">
      <c r="A994" s="117" t="inlineStr">
        <is>
          <t>546399</t>
        </is>
      </c>
      <c r="B994" s="117" t="n">
        <v>14352</v>
      </c>
      <c r="C994" s="117" t="inlineStr">
        <is>
          <t>United Kingdom</t>
        </is>
      </c>
      <c r="D994" s="117" t="inlineStr">
        <is>
          <t>22084</t>
        </is>
      </c>
      <c r="E994" s="117" t="inlineStr">
        <is>
          <t>PAPER CHAIN KIT EMPIRE</t>
        </is>
      </c>
      <c r="F994" s="117" t="n">
        <v>24</v>
      </c>
      <c r="G994" s="118" t="n">
        <v>2.95</v>
      </c>
      <c r="H994" s="118" t="n">
        <v>70.8</v>
      </c>
      <c r="I994" s="119" t="n">
        <v>40613</v>
      </c>
    </row>
    <row r="995">
      <c r="A995" s="114" t="inlineStr">
        <is>
          <t>546424</t>
        </is>
      </c>
      <c r="B995" s="114" t="n">
        <v>13956</v>
      </c>
      <c r="C995" s="114" t="inlineStr">
        <is>
          <t>United Kingdom</t>
        </is>
      </c>
      <c r="D995" s="114" t="inlineStr">
        <is>
          <t>22098</t>
        </is>
      </c>
      <c r="E995" s="114" t="inlineStr">
        <is>
          <t>BOUDOIR SQUARE TISSUE BOX</t>
        </is>
      </c>
      <c r="F995" s="114" t="n">
        <v>1</v>
      </c>
      <c r="G995" s="115" t="n">
        <v>1.25</v>
      </c>
      <c r="H995" s="115" t="n">
        <v>1.25</v>
      </c>
      <c r="I995" s="116" t="n">
        <v>40615</v>
      </c>
    </row>
    <row r="996">
      <c r="A996" s="117" t="inlineStr">
        <is>
          <t>546425</t>
        </is>
      </c>
      <c r="B996" s="117" t="n">
        <v>16983</v>
      </c>
      <c r="C996" s="117" t="inlineStr">
        <is>
          <t>United Kingdom</t>
        </is>
      </c>
      <c r="D996" s="117" t="inlineStr">
        <is>
          <t>22254</t>
        </is>
      </c>
      <c r="E996" s="117" t="inlineStr">
        <is>
          <t>FELT TOADSTOOL LARGE</t>
        </is>
      </c>
      <c r="F996" s="117" t="n">
        <v>1</v>
      </c>
      <c r="G996" s="118" t="n">
        <v>1.25</v>
      </c>
      <c r="H996" s="118" t="n">
        <v>1.25</v>
      </c>
      <c r="I996" s="119" t="n">
        <v>40615</v>
      </c>
    </row>
    <row r="997">
      <c r="A997" s="114" t="inlineStr">
        <is>
          <t>546425</t>
        </is>
      </c>
      <c r="B997" s="114" t="n">
        <v>16983</v>
      </c>
      <c r="C997" s="114" t="inlineStr">
        <is>
          <t>United Kingdom</t>
        </is>
      </c>
      <c r="D997" s="114" t="inlineStr">
        <is>
          <t>22255</t>
        </is>
      </c>
      <c r="E997" s="114" t="inlineStr">
        <is>
          <t>FELT TOADSTOOL  SMALL</t>
        </is>
      </c>
      <c r="F997" s="114" t="n">
        <v>2</v>
      </c>
      <c r="G997" s="115" t="n">
        <v>0.85</v>
      </c>
      <c r="H997" s="115" t="n">
        <v>1.7</v>
      </c>
      <c r="I997" s="116" t="n">
        <v>40615</v>
      </c>
    </row>
    <row r="998">
      <c r="A998" s="117" t="inlineStr">
        <is>
          <t>546426</t>
        </is>
      </c>
      <c r="B998" s="117" t="n">
        <v>13708</v>
      </c>
      <c r="C998" s="117" t="inlineStr">
        <is>
          <t>United Kingdom</t>
        </is>
      </c>
      <c r="D998" s="117" t="inlineStr">
        <is>
          <t>21904</t>
        </is>
      </c>
      <c r="E998" s="117" t="inlineStr">
        <is>
          <t xml:space="preserve">HOUSE WRECKING METAL SIGN </t>
        </is>
      </c>
      <c r="F998" s="117" t="n">
        <v>1</v>
      </c>
      <c r="G998" s="118" t="n">
        <v>2.1</v>
      </c>
      <c r="H998" s="118" t="n">
        <v>2.1</v>
      </c>
      <c r="I998" s="119" t="n">
        <v>40615</v>
      </c>
    </row>
    <row r="999">
      <c r="A999" s="114" t="inlineStr">
        <is>
          <t>546437</t>
        </is>
      </c>
      <c r="B999" s="114" t="n">
        <v>16807</v>
      </c>
      <c r="C999" s="114" t="inlineStr">
        <is>
          <t>United Kingdom</t>
        </is>
      </c>
      <c r="D999" s="114" t="inlineStr">
        <is>
          <t>23050</t>
        </is>
      </c>
      <c r="E999" s="114" t="inlineStr">
        <is>
          <t>RECYCLED ACAPULCO MAT GREEN</t>
        </is>
      </c>
      <c r="F999" s="114" t="n">
        <v>2</v>
      </c>
      <c r="G999" s="115" t="n">
        <v>8.25</v>
      </c>
      <c r="H999" s="115" t="n">
        <v>16.5</v>
      </c>
      <c r="I999" s="116" t="n">
        <v>40616</v>
      </c>
    </row>
    <row r="1000">
      <c r="A1000" s="117" t="inlineStr">
        <is>
          <t>546466</t>
        </is>
      </c>
      <c r="B1000" s="117" t="n">
        <v>18118</v>
      </c>
      <c r="C1000" s="117" t="inlineStr">
        <is>
          <t>United Kingdom</t>
        </is>
      </c>
      <c r="D1000" s="117" t="inlineStr">
        <is>
          <t>84898F</t>
        </is>
      </c>
      <c r="E1000" s="117" t="inlineStr">
        <is>
          <t>YELLOW FLOWERS FELT HANDBAG KIT</t>
        </is>
      </c>
      <c r="F1000" s="117" t="n">
        <v>1</v>
      </c>
      <c r="G1000" s="118" t="n">
        <v>2.1</v>
      </c>
      <c r="H1000" s="118" t="n">
        <v>2.1</v>
      </c>
      <c r="I1000" s="119" t="n">
        <v>40616</v>
      </c>
    </row>
    <row r="1001">
      <c r="A1001" s="114" t="inlineStr">
        <is>
          <t>546486</t>
        </is>
      </c>
      <c r="B1001" s="114" t="n">
        <v>15039</v>
      </c>
      <c r="C1001" s="114" t="inlineStr">
        <is>
          <t>United Kingdom</t>
        </is>
      </c>
      <c r="D1001" s="114" t="inlineStr">
        <is>
          <t>22423</t>
        </is>
      </c>
      <c r="E1001" s="114" t="inlineStr">
        <is>
          <t>REGENCY CAKESTAND 3 TIER</t>
        </is>
      </c>
      <c r="F1001" s="114" t="n">
        <v>1</v>
      </c>
      <c r="G1001" s="115" t="n">
        <v>12.75</v>
      </c>
      <c r="H1001" s="115" t="n">
        <v>12.75</v>
      </c>
      <c r="I1001" s="116" t="n">
        <v>40616</v>
      </c>
    </row>
    <row r="1002">
      <c r="A1002" s="117" t="inlineStr">
        <is>
          <t>546486</t>
        </is>
      </c>
      <c r="B1002" s="117" t="n">
        <v>15039</v>
      </c>
      <c r="C1002" s="117" t="inlineStr">
        <is>
          <t>United Kingdom</t>
        </is>
      </c>
      <c r="D1002" s="117" t="inlineStr">
        <is>
          <t>21564</t>
        </is>
      </c>
      <c r="E1002" s="117" t="inlineStr">
        <is>
          <t xml:space="preserve">PINK  HEART SHAPE LOVE BUCKET </t>
        </is>
      </c>
      <c r="F1002" s="117" t="n">
        <v>1</v>
      </c>
      <c r="G1002" s="118" t="n">
        <v>2.95</v>
      </c>
      <c r="H1002" s="118" t="n">
        <v>2.95</v>
      </c>
      <c r="I1002" s="119" t="n">
        <v>40616</v>
      </c>
    </row>
    <row r="1003">
      <c r="A1003" s="114" t="inlineStr">
        <is>
          <t>546498</t>
        </is>
      </c>
      <c r="B1003" s="114" t="n">
        <v>15493</v>
      </c>
      <c r="C1003" s="114" t="inlineStr">
        <is>
          <t>United Kingdom</t>
        </is>
      </c>
      <c r="D1003" s="114" t="inlineStr">
        <is>
          <t>21485</t>
        </is>
      </c>
      <c r="E1003" s="114" t="inlineStr">
        <is>
          <t>RETROSPOT HEART HOT WATER BOTTLE</t>
        </is>
      </c>
      <c r="F1003" s="114" t="n">
        <v>1</v>
      </c>
      <c r="G1003" s="115" t="n">
        <v>4.95</v>
      </c>
      <c r="H1003" s="115" t="n">
        <v>4.95</v>
      </c>
      <c r="I1003" s="116" t="n">
        <v>40616</v>
      </c>
    </row>
    <row r="1004">
      <c r="A1004" s="117" t="inlineStr">
        <is>
          <t>546502</t>
        </is>
      </c>
      <c r="B1004" s="117" t="n">
        <v>16005</v>
      </c>
      <c r="C1004" s="117" t="inlineStr">
        <is>
          <t>United Kingdom</t>
        </is>
      </c>
      <c r="D1004" s="117" t="inlineStr">
        <is>
          <t>21899</t>
        </is>
      </c>
      <c r="E1004" s="117" t="inlineStr">
        <is>
          <t>KEY FOB , GARAGE DESIGN</t>
        </is>
      </c>
      <c r="F1004" s="117" t="n">
        <v>1</v>
      </c>
      <c r="G1004" s="118" t="n">
        <v>0.65</v>
      </c>
      <c r="H1004" s="118" t="n">
        <v>0.65</v>
      </c>
      <c r="I1004" s="119" t="n">
        <v>40616</v>
      </c>
    </row>
    <row r="1005">
      <c r="A1005" s="114" t="inlineStr">
        <is>
          <t>546510</t>
        </is>
      </c>
      <c r="B1005" s="114" t="n">
        <v>16353</v>
      </c>
      <c r="C1005" s="114" t="inlineStr">
        <is>
          <t>United Kingdom</t>
        </is>
      </c>
      <c r="D1005" s="114" t="inlineStr">
        <is>
          <t>22998</t>
        </is>
      </c>
      <c r="E1005" s="114" t="inlineStr">
        <is>
          <t>TRAVEL CARD WALLET KEEP CALM</t>
        </is>
      </c>
      <c r="F1005" s="114" t="n">
        <v>24</v>
      </c>
      <c r="G1005" s="115" t="n">
        <v>0.42</v>
      </c>
      <c r="H1005" s="115" t="n">
        <v>10.08</v>
      </c>
      <c r="I1005" s="116" t="n">
        <v>40616</v>
      </c>
    </row>
    <row r="1006">
      <c r="A1006" s="117" t="inlineStr">
        <is>
          <t>546520</t>
        </is>
      </c>
      <c r="B1006" s="117" t="n">
        <v>14911</v>
      </c>
      <c r="C1006" s="117" t="inlineStr">
        <is>
          <t>EIRE</t>
        </is>
      </c>
      <c r="D1006" s="117" t="inlineStr">
        <is>
          <t>21116</t>
        </is>
      </c>
      <c r="E1006" s="117" t="inlineStr">
        <is>
          <t>OWL DOORSTOP</t>
        </is>
      </c>
      <c r="F1006" s="117" t="n">
        <v>3</v>
      </c>
      <c r="G1006" s="118" t="n">
        <v>4.95</v>
      </c>
      <c r="H1006" s="118" t="n">
        <v>14.85</v>
      </c>
      <c r="I1006" s="119" t="n">
        <v>40616</v>
      </c>
    </row>
    <row r="1007">
      <c r="A1007" s="114" t="inlineStr">
        <is>
          <t>546526</t>
        </is>
      </c>
      <c r="B1007" s="114" t="n">
        <v>15061</v>
      </c>
      <c r="C1007" s="114" t="inlineStr">
        <is>
          <t>United Kingdom</t>
        </is>
      </c>
      <c r="D1007" s="114" t="inlineStr">
        <is>
          <t>22328</t>
        </is>
      </c>
      <c r="E1007" s="114" t="inlineStr">
        <is>
          <t xml:space="preserve">ROUND SNACK BOXES SET OF 4 FRUITS </t>
        </is>
      </c>
      <c r="F1007" s="114" t="n">
        <v>12</v>
      </c>
      <c r="G1007" s="115" t="n">
        <v>2.55</v>
      </c>
      <c r="H1007" s="115" t="n">
        <v>30.6</v>
      </c>
      <c r="I1007" s="116" t="n">
        <v>40616</v>
      </c>
    </row>
    <row r="1008">
      <c r="A1008" s="117" t="inlineStr">
        <is>
          <t>546540</t>
        </is>
      </c>
      <c r="B1008" s="117" t="n">
        <v>15061</v>
      </c>
      <c r="C1008" s="117" t="inlineStr">
        <is>
          <t>United Kingdom</t>
        </is>
      </c>
      <c r="D1008" s="117" t="inlineStr">
        <is>
          <t>22752</t>
        </is>
      </c>
      <c r="E1008" s="117" t="inlineStr">
        <is>
          <t>SET 7 BABUSHKA NESTING BOXES</t>
        </is>
      </c>
      <c r="F1008" s="117" t="n">
        <v>30</v>
      </c>
      <c r="G1008" s="118" t="n">
        <v>7.65</v>
      </c>
      <c r="H1008" s="118" t="n">
        <v>229.5</v>
      </c>
      <c r="I1008" s="119" t="n">
        <v>40616</v>
      </c>
    </row>
    <row r="1009">
      <c r="A1009" s="114" t="inlineStr">
        <is>
          <t>546543</t>
        </is>
      </c>
      <c r="B1009" s="114" t="n">
        <v>17841</v>
      </c>
      <c r="C1009" s="114" t="inlineStr">
        <is>
          <t>United Kingdom</t>
        </is>
      </c>
      <c r="D1009" s="114" t="inlineStr">
        <is>
          <t>20724</t>
        </is>
      </c>
      <c r="E1009" s="114" t="inlineStr">
        <is>
          <t>RED RETROSPOT CHARLOTTE BAG</t>
        </is>
      </c>
      <c r="F1009" s="114" t="n">
        <v>4</v>
      </c>
      <c r="G1009" s="115" t="n">
        <v>0.85</v>
      </c>
      <c r="H1009" s="115" t="n">
        <v>3.4</v>
      </c>
      <c r="I1009" s="116" t="n">
        <v>40616</v>
      </c>
    </row>
    <row r="1010">
      <c r="A1010" s="117" t="inlineStr">
        <is>
          <t>546555</t>
        </is>
      </c>
      <c r="B1010" s="117" t="n">
        <v>17675</v>
      </c>
      <c r="C1010" s="117" t="inlineStr">
        <is>
          <t>United Kingdom</t>
        </is>
      </c>
      <c r="D1010" s="117" t="inlineStr">
        <is>
          <t>23051</t>
        </is>
      </c>
      <c r="E1010" s="117" t="inlineStr">
        <is>
          <t>RECYCLED ACAPULCO MAT BLUE</t>
        </is>
      </c>
      <c r="F1010" s="117" t="n">
        <v>2</v>
      </c>
      <c r="G1010" s="118" t="n">
        <v>8.25</v>
      </c>
      <c r="H1010" s="118" t="n">
        <v>16.5</v>
      </c>
      <c r="I1010" s="119" t="n">
        <v>40617</v>
      </c>
    </row>
    <row r="1011">
      <c r="A1011" s="114" t="inlineStr">
        <is>
          <t>546561</t>
        </is>
      </c>
      <c r="B1011" s="114" t="n">
        <v>18260</v>
      </c>
      <c r="C1011" s="114" t="inlineStr">
        <is>
          <t>United Kingdom</t>
        </is>
      </c>
      <c r="D1011" s="114" t="inlineStr">
        <is>
          <t>84978</t>
        </is>
      </c>
      <c r="E1011" s="114" t="inlineStr">
        <is>
          <t>HANGING HEART JAR T-LIGHT HOLDER</t>
        </is>
      </c>
      <c r="F1011" s="114" t="n">
        <v>12</v>
      </c>
      <c r="G1011" s="115" t="n">
        <v>1.25</v>
      </c>
      <c r="H1011" s="115" t="n">
        <v>15</v>
      </c>
      <c r="I1011" s="116" t="n">
        <v>40617</v>
      </c>
    </row>
    <row r="1012">
      <c r="A1012" s="117" t="inlineStr">
        <is>
          <t>546562</t>
        </is>
      </c>
      <c r="B1012" s="117" t="n">
        <v>16293</v>
      </c>
      <c r="C1012" s="117" t="inlineStr">
        <is>
          <t>United Kingdom</t>
        </is>
      </c>
      <c r="D1012" s="117" t="inlineStr">
        <is>
          <t>79321</t>
        </is>
      </c>
      <c r="E1012" s="117" t="inlineStr">
        <is>
          <t>CHILLI LIGHTS</t>
        </is>
      </c>
      <c r="F1012" s="117" t="n">
        <v>4</v>
      </c>
      <c r="G1012" s="118" t="n">
        <v>5.75</v>
      </c>
      <c r="H1012" s="118" t="n">
        <v>23</v>
      </c>
      <c r="I1012" s="119" t="n">
        <v>40617</v>
      </c>
    </row>
    <row r="1013">
      <c r="A1013" s="114" t="inlineStr">
        <is>
          <t>546562</t>
        </is>
      </c>
      <c r="B1013" s="114" t="n">
        <v>16293</v>
      </c>
      <c r="C1013" s="114" t="inlineStr">
        <is>
          <t>United Kingdom</t>
        </is>
      </c>
      <c r="D1013" s="114" t="inlineStr">
        <is>
          <t>22606</t>
        </is>
      </c>
      <c r="E1013" s="114" t="inlineStr">
        <is>
          <t>WOODEN SKITTLES GARDEN SET</t>
        </is>
      </c>
      <c r="F1013" s="114" t="n">
        <v>1</v>
      </c>
      <c r="G1013" s="115" t="n">
        <v>15.95</v>
      </c>
      <c r="H1013" s="115" t="n">
        <v>15.95</v>
      </c>
      <c r="I1013" s="116" t="n">
        <v>40617</v>
      </c>
    </row>
    <row r="1014">
      <c r="A1014" s="117" t="inlineStr">
        <is>
          <t>546563</t>
        </is>
      </c>
      <c r="B1014" s="117" t="n">
        <v>15047</v>
      </c>
      <c r="C1014" s="117" t="inlineStr">
        <is>
          <t>United Kingdom</t>
        </is>
      </c>
      <c r="D1014" s="117" t="inlineStr">
        <is>
          <t>22748</t>
        </is>
      </c>
      <c r="E1014" s="117" t="inlineStr">
        <is>
          <t>POPPY'S PLAYHOUSE KITCHEN</t>
        </is>
      </c>
      <c r="F1014" s="117" t="n">
        <v>6</v>
      </c>
      <c r="G1014" s="118" t="n">
        <v>2.1</v>
      </c>
      <c r="H1014" s="118" t="n">
        <v>12.6</v>
      </c>
      <c r="I1014" s="119" t="n">
        <v>40617</v>
      </c>
    </row>
    <row r="1015">
      <c r="A1015" s="114" t="inlineStr">
        <is>
          <t>546622</t>
        </is>
      </c>
      <c r="B1015" s="114" t="n">
        <v>17954</v>
      </c>
      <c r="C1015" s="114" t="inlineStr">
        <is>
          <t>United Kingdom</t>
        </is>
      </c>
      <c r="D1015" s="114" t="inlineStr">
        <is>
          <t>20751</t>
        </is>
      </c>
      <c r="E1015" s="114" t="inlineStr">
        <is>
          <t>FUNKY WASHING UP GLOVES ASSORTED</t>
        </is>
      </c>
      <c r="F1015" s="114" t="n">
        <v>1</v>
      </c>
      <c r="G1015" s="115" t="n">
        <v>2.1</v>
      </c>
      <c r="H1015" s="115" t="n">
        <v>2.1</v>
      </c>
      <c r="I1015" s="116" t="n">
        <v>40617</v>
      </c>
    </row>
    <row r="1016">
      <c r="A1016" s="117" t="inlineStr">
        <is>
          <t>546638</t>
        </is>
      </c>
      <c r="B1016" s="117" t="n">
        <v>15106</v>
      </c>
      <c r="C1016" s="117" t="inlineStr">
        <is>
          <t>United Kingdom</t>
        </is>
      </c>
      <c r="D1016" s="117" t="inlineStr">
        <is>
          <t>21080</t>
        </is>
      </c>
      <c r="E1016" s="117" t="inlineStr">
        <is>
          <t xml:space="preserve">SET/20 RED RETROSPOT PAPER NAPKINS </t>
        </is>
      </c>
      <c r="F1016" s="117" t="n">
        <v>12</v>
      </c>
      <c r="G1016" s="118" t="n">
        <v>0.85</v>
      </c>
      <c r="H1016" s="118" t="n">
        <v>10.2</v>
      </c>
      <c r="I1016" s="119" t="n">
        <v>40617</v>
      </c>
    </row>
    <row r="1017">
      <c r="A1017" s="114" t="inlineStr">
        <is>
          <t>546642</t>
        </is>
      </c>
      <c r="B1017" s="114" t="n">
        <v>12779</v>
      </c>
      <c r="C1017" s="114" t="inlineStr">
        <is>
          <t>Poland</t>
        </is>
      </c>
      <c r="D1017" s="114" t="inlineStr">
        <is>
          <t>21232</t>
        </is>
      </c>
      <c r="E1017" s="114" t="inlineStr">
        <is>
          <t>STRAWBERRY CERAMIC TRINKET BOX</t>
        </is>
      </c>
      <c r="F1017" s="114" t="n">
        <v>24</v>
      </c>
      <c r="G1017" s="115" t="n">
        <v>1.25</v>
      </c>
      <c r="H1017" s="115" t="n">
        <v>30</v>
      </c>
      <c r="I1017" s="116" t="n">
        <v>40617</v>
      </c>
    </row>
    <row r="1018">
      <c r="A1018" s="117" t="inlineStr">
        <is>
          <t>546660</t>
        </is>
      </c>
      <c r="B1018" s="117" t="n">
        <v>14156</v>
      </c>
      <c r="C1018" s="117" t="inlineStr">
        <is>
          <t>EIRE</t>
        </is>
      </c>
      <c r="D1018" s="117" t="inlineStr">
        <is>
          <t>22926</t>
        </is>
      </c>
      <c r="E1018" s="117" t="inlineStr">
        <is>
          <t>IVORY GIANT GARDEN THERMOMETER</t>
        </is>
      </c>
      <c r="F1018" s="117" t="n">
        <v>2</v>
      </c>
      <c r="G1018" s="118" t="n">
        <v>5.95</v>
      </c>
      <c r="H1018" s="118" t="n">
        <v>11.9</v>
      </c>
      <c r="I1018" s="119" t="n">
        <v>40617</v>
      </c>
    </row>
    <row r="1019">
      <c r="A1019" s="114" t="inlineStr">
        <is>
          <t>546660</t>
        </is>
      </c>
      <c r="B1019" s="114" t="n">
        <v>14156</v>
      </c>
      <c r="C1019" s="114" t="inlineStr">
        <is>
          <t>EIRE</t>
        </is>
      </c>
      <c r="D1019" s="114" t="inlineStr">
        <is>
          <t>22925</t>
        </is>
      </c>
      <c r="E1019" s="114" t="inlineStr">
        <is>
          <t>BLUE GIANT GARDEN THERMOMETER</t>
        </is>
      </c>
      <c r="F1019" s="114" t="n">
        <v>2</v>
      </c>
      <c r="G1019" s="115" t="n">
        <v>5.95</v>
      </c>
      <c r="H1019" s="115" t="n">
        <v>11.9</v>
      </c>
      <c r="I1019" s="116" t="n">
        <v>40617</v>
      </c>
    </row>
    <row r="1020">
      <c r="A1020" s="117" t="inlineStr">
        <is>
          <t>546669</t>
        </is>
      </c>
      <c r="B1020" s="117" t="n">
        <v>14226</v>
      </c>
      <c r="C1020" s="117" t="inlineStr">
        <is>
          <t>United Kingdom</t>
        </is>
      </c>
      <c r="D1020" s="117" t="inlineStr">
        <is>
          <t>84879</t>
        </is>
      </c>
      <c r="E1020" s="117" t="inlineStr">
        <is>
          <t>ASSORTED COLOUR BIRD ORNAMENT</t>
        </is>
      </c>
      <c r="F1020" s="117" t="n">
        <v>160</v>
      </c>
      <c r="G1020" s="118" t="n">
        <v>1.45</v>
      </c>
      <c r="H1020" s="118" t="n">
        <v>232</v>
      </c>
      <c r="I1020" s="119" t="n">
        <v>40617</v>
      </c>
    </row>
    <row r="1021">
      <c r="A1021" s="114" t="inlineStr">
        <is>
          <t>546670</t>
        </is>
      </c>
      <c r="B1021" s="114" t="n">
        <v>13451</v>
      </c>
      <c r="C1021" s="114" t="inlineStr">
        <is>
          <t>United Kingdom</t>
        </is>
      </c>
      <c r="D1021" s="114" t="inlineStr">
        <is>
          <t>22243</t>
        </is>
      </c>
      <c r="E1021" s="114" t="inlineStr">
        <is>
          <t>5 HOOK HANGER RED MAGIC TOADSTOOL</t>
        </is>
      </c>
      <c r="F1021" s="114" t="n">
        <v>5</v>
      </c>
      <c r="G1021" s="115" t="n">
        <v>1.65</v>
      </c>
      <c r="H1021" s="115" t="n">
        <v>8.25</v>
      </c>
      <c r="I1021" s="116" t="n">
        <v>40617</v>
      </c>
    </row>
    <row r="1022">
      <c r="A1022" s="117" t="inlineStr">
        <is>
          <t>546678</t>
        </is>
      </c>
      <c r="B1022" s="117" t="n">
        <v>12681</v>
      </c>
      <c r="C1022" s="117" t="inlineStr">
        <is>
          <t>France</t>
        </is>
      </c>
      <c r="D1022" s="117" t="inlineStr">
        <is>
          <t>21706</t>
        </is>
      </c>
      <c r="E1022" s="117" t="inlineStr">
        <is>
          <t>FOLDING UMBRELLA RED/WHITE POLKADOT</t>
        </is>
      </c>
      <c r="F1022" s="117" t="n">
        <v>4</v>
      </c>
      <c r="G1022" s="118" t="n">
        <v>4.95</v>
      </c>
      <c r="H1022" s="118" t="n">
        <v>19.8</v>
      </c>
      <c r="I1022" s="119" t="n">
        <v>40617</v>
      </c>
    </row>
    <row r="1023">
      <c r="A1023" s="114" t="inlineStr">
        <is>
          <t>546678</t>
        </is>
      </c>
      <c r="B1023" s="114" t="n">
        <v>12681</v>
      </c>
      <c r="C1023" s="114" t="inlineStr">
        <is>
          <t>France</t>
        </is>
      </c>
      <c r="D1023" s="114" t="inlineStr">
        <is>
          <t>22436</t>
        </is>
      </c>
      <c r="E1023" s="114" t="inlineStr">
        <is>
          <t>12 COLOURED PARTY BALLOONS</t>
        </is>
      </c>
      <c r="F1023" s="114" t="n">
        <v>20</v>
      </c>
      <c r="G1023" s="115" t="n">
        <v>0.65</v>
      </c>
      <c r="H1023" s="115" t="n">
        <v>13</v>
      </c>
      <c r="I1023" s="116" t="n">
        <v>40617</v>
      </c>
    </row>
    <row r="1024">
      <c r="A1024" s="117" t="inlineStr">
        <is>
          <t>546679</t>
        </is>
      </c>
      <c r="B1024" s="117" t="n">
        <v>13121</v>
      </c>
      <c r="C1024" s="117" t="inlineStr">
        <is>
          <t>United Kingdom</t>
        </is>
      </c>
      <c r="D1024" s="117" t="inlineStr">
        <is>
          <t>20974</t>
        </is>
      </c>
      <c r="E1024" s="117" t="inlineStr">
        <is>
          <t>12 PENCILS SMALL TUBE SKULL</t>
        </is>
      </c>
      <c r="F1024" s="117" t="n">
        <v>3</v>
      </c>
      <c r="G1024" s="118" t="n">
        <v>0.65</v>
      </c>
      <c r="H1024" s="118" t="n">
        <v>1.95</v>
      </c>
      <c r="I1024" s="119" t="n">
        <v>40617</v>
      </c>
    </row>
    <row r="1025">
      <c r="A1025" s="114" t="inlineStr">
        <is>
          <t>546684</t>
        </is>
      </c>
      <c r="B1025" s="114" t="n">
        <v>16152</v>
      </c>
      <c r="C1025" s="114" t="inlineStr">
        <is>
          <t>United Kingdom</t>
        </is>
      </c>
      <c r="D1025" s="114" t="inlineStr">
        <is>
          <t>21746</t>
        </is>
      </c>
      <c r="E1025" s="114" t="inlineStr">
        <is>
          <t>SMALL RED RETROSPOT WINDMILL</t>
        </is>
      </c>
      <c r="F1025" s="114" t="n">
        <v>96</v>
      </c>
      <c r="G1025" s="115" t="n">
        <v>1.06</v>
      </c>
      <c r="H1025" s="115" t="n">
        <v>101.76</v>
      </c>
      <c r="I1025" s="116" t="n">
        <v>40618</v>
      </c>
    </row>
    <row r="1026">
      <c r="A1026" s="117" t="inlineStr">
        <is>
          <t>546685</t>
        </is>
      </c>
      <c r="B1026" s="117" t="n">
        <v>15687</v>
      </c>
      <c r="C1026" s="117" t="inlineStr">
        <is>
          <t>United Kingdom</t>
        </is>
      </c>
      <c r="D1026" s="117" t="inlineStr">
        <is>
          <t>21977</t>
        </is>
      </c>
      <c r="E1026" s="117" t="inlineStr">
        <is>
          <t>PACK OF 60 PINK PAISLEY CAKE CASES</t>
        </is>
      </c>
      <c r="F1026" s="117" t="n">
        <v>24</v>
      </c>
      <c r="G1026" s="118" t="n">
        <v>0.55</v>
      </c>
      <c r="H1026" s="118" t="n">
        <v>13.2</v>
      </c>
      <c r="I1026" s="119" t="n">
        <v>40618</v>
      </c>
    </row>
    <row r="1027">
      <c r="A1027" s="114" t="inlineStr">
        <is>
          <t>546687</t>
        </is>
      </c>
      <c r="B1027" s="114" t="n">
        <v>16040</v>
      </c>
      <c r="C1027" s="114" t="inlineStr">
        <is>
          <t>United Kingdom</t>
        </is>
      </c>
      <c r="D1027" s="114" t="inlineStr">
        <is>
          <t>22743</t>
        </is>
      </c>
      <c r="E1027" s="114" t="inlineStr">
        <is>
          <t>MAKE YOUR OWN FLOWERPOWER CARD KIT</t>
        </is>
      </c>
      <c r="F1027" s="114" t="n">
        <v>6</v>
      </c>
      <c r="G1027" s="115" t="n">
        <v>2.95</v>
      </c>
      <c r="H1027" s="115" t="n">
        <v>17.7</v>
      </c>
      <c r="I1027" s="116" t="n">
        <v>40618</v>
      </c>
    </row>
    <row r="1028">
      <c r="A1028" s="117" t="inlineStr">
        <is>
          <t>546691</t>
        </is>
      </c>
      <c r="B1028" s="117" t="n">
        <v>15793</v>
      </c>
      <c r="C1028" s="117" t="inlineStr">
        <is>
          <t>United Kingdom</t>
        </is>
      </c>
      <c r="D1028" s="117" t="inlineStr">
        <is>
          <t>84879</t>
        </is>
      </c>
      <c r="E1028" s="117" t="inlineStr">
        <is>
          <t>ASSORTED COLOUR BIRD ORNAMENT</t>
        </is>
      </c>
      <c r="F1028" s="117" t="n">
        <v>88</v>
      </c>
      <c r="G1028" s="118" t="n">
        <v>1.69</v>
      </c>
      <c r="H1028" s="118" t="n">
        <v>148.72</v>
      </c>
      <c r="I1028" s="119" t="n">
        <v>40618</v>
      </c>
    </row>
    <row r="1029">
      <c r="A1029" s="114" t="inlineStr">
        <is>
          <t>546731</t>
        </is>
      </c>
      <c r="B1029" s="114" t="n">
        <v>13089</v>
      </c>
      <c r="C1029" s="114" t="inlineStr">
        <is>
          <t>United Kingdom</t>
        </is>
      </c>
      <c r="D1029" s="114" t="inlineStr">
        <is>
          <t>15036</t>
        </is>
      </c>
      <c r="E1029" s="114" t="inlineStr">
        <is>
          <t>ASSORTED COLOURS SILK FAN</t>
        </is>
      </c>
      <c r="F1029" s="114" t="n">
        <v>24</v>
      </c>
      <c r="G1029" s="115" t="n">
        <v>0.75</v>
      </c>
      <c r="H1029" s="115" t="n">
        <v>18</v>
      </c>
      <c r="I1029" s="116" t="n">
        <v>40618</v>
      </c>
    </row>
    <row r="1030">
      <c r="A1030" s="117" t="inlineStr">
        <is>
          <t>546737</t>
        </is>
      </c>
      <c r="B1030" s="117" t="n">
        <v>13358</v>
      </c>
      <c r="C1030" s="117" t="inlineStr">
        <is>
          <t>United Kingdom</t>
        </is>
      </c>
      <c r="D1030" s="117" t="inlineStr">
        <is>
          <t>35911A</t>
        </is>
      </c>
      <c r="E1030" s="117" t="inlineStr">
        <is>
          <t>MULTICOLOUR RABBIT EGG WARMER</t>
        </is>
      </c>
      <c r="F1030" s="117" t="n">
        <v>12</v>
      </c>
      <c r="G1030" s="118" t="n">
        <v>0.85</v>
      </c>
      <c r="H1030" s="118" t="n">
        <v>10.2</v>
      </c>
      <c r="I1030" s="119" t="n">
        <v>40618</v>
      </c>
    </row>
    <row r="1031">
      <c r="A1031" s="114" t="inlineStr">
        <is>
          <t>546753</t>
        </is>
      </c>
      <c r="B1031" s="114" t="n">
        <v>16383</v>
      </c>
      <c r="C1031" s="114" t="inlineStr">
        <is>
          <t>United Kingdom</t>
        </is>
      </c>
      <c r="D1031" s="114" t="inlineStr">
        <is>
          <t>21389</t>
        </is>
      </c>
      <c r="E1031" s="114" t="inlineStr">
        <is>
          <t>IVORY HANGING DECORATION  BIRD</t>
        </is>
      </c>
      <c r="F1031" s="114" t="n">
        <v>6</v>
      </c>
      <c r="G1031" s="115" t="n">
        <v>0.85</v>
      </c>
      <c r="H1031" s="115" t="n">
        <v>5.1</v>
      </c>
      <c r="I1031" s="116" t="n">
        <v>40618</v>
      </c>
    </row>
    <row r="1032">
      <c r="A1032" s="117" t="inlineStr">
        <is>
          <t>546762</t>
        </is>
      </c>
      <c r="B1032" s="117" t="n">
        <v>17961</v>
      </c>
      <c r="C1032" s="117" t="inlineStr">
        <is>
          <t>United Kingdom</t>
        </is>
      </c>
      <c r="D1032" s="117" t="inlineStr">
        <is>
          <t>20728</t>
        </is>
      </c>
      <c r="E1032" s="117" t="inlineStr">
        <is>
          <t>LUNCH BAG CARS BLUE</t>
        </is>
      </c>
      <c r="F1032" s="117" t="n">
        <v>1</v>
      </c>
      <c r="G1032" s="118" t="n">
        <v>1.65</v>
      </c>
      <c r="H1032" s="118" t="n">
        <v>1.65</v>
      </c>
      <c r="I1032" s="119" t="n">
        <v>40618</v>
      </c>
    </row>
    <row r="1033">
      <c r="A1033" s="114" t="inlineStr">
        <is>
          <t>546774</t>
        </is>
      </c>
      <c r="B1033" s="114" t="n">
        <v>14505</v>
      </c>
      <c r="C1033" s="114" t="inlineStr">
        <is>
          <t>United Kingdom</t>
        </is>
      </c>
      <c r="D1033" s="114" t="inlineStr">
        <is>
          <t>21773</t>
        </is>
      </c>
      <c r="E1033" s="114" t="inlineStr">
        <is>
          <t>DECORATIVE ROSE BATHROOM BOTTLE</t>
        </is>
      </c>
      <c r="F1033" s="114" t="n">
        <v>3</v>
      </c>
      <c r="G1033" s="115" t="n">
        <v>1.25</v>
      </c>
      <c r="H1033" s="115" t="n">
        <v>3.75</v>
      </c>
      <c r="I1033" s="116" t="n">
        <v>40618</v>
      </c>
    </row>
    <row r="1034">
      <c r="A1034" s="117" t="inlineStr">
        <is>
          <t>546774</t>
        </is>
      </c>
      <c r="B1034" s="117" t="n">
        <v>14505</v>
      </c>
      <c r="C1034" s="117" t="inlineStr">
        <is>
          <t>United Kingdom</t>
        </is>
      </c>
      <c r="D1034" s="117" t="inlineStr">
        <is>
          <t>85061W</t>
        </is>
      </c>
      <c r="E1034" s="117" t="inlineStr">
        <is>
          <t>WHITE JEWELLED HEART DECORATION</t>
        </is>
      </c>
      <c r="F1034" s="117" t="n">
        <v>7</v>
      </c>
      <c r="G1034" s="118" t="n">
        <v>0.85</v>
      </c>
      <c r="H1034" s="118" t="n">
        <v>5.95</v>
      </c>
      <c r="I1034" s="119" t="n">
        <v>40618</v>
      </c>
    </row>
    <row r="1035">
      <c r="A1035" s="114" t="inlineStr">
        <is>
          <t>546778</t>
        </is>
      </c>
      <c r="B1035" s="114" t="n">
        <v>14572</v>
      </c>
      <c r="C1035" s="114" t="inlineStr">
        <is>
          <t>United Kingdom</t>
        </is>
      </c>
      <c r="D1035" s="114" t="inlineStr">
        <is>
          <t>47590B</t>
        </is>
      </c>
      <c r="E1035" s="114" t="inlineStr">
        <is>
          <t>PINK HAPPY BIRTHDAY BUNTING</t>
        </is>
      </c>
      <c r="F1035" s="114" t="n">
        <v>2</v>
      </c>
      <c r="G1035" s="115" t="n">
        <v>5.45</v>
      </c>
      <c r="H1035" s="115" t="n">
        <v>10.9</v>
      </c>
      <c r="I1035" s="116" t="n">
        <v>40618</v>
      </c>
    </row>
    <row r="1036">
      <c r="A1036" s="117" t="inlineStr">
        <is>
          <t>546784</t>
        </is>
      </c>
      <c r="B1036" s="117" t="n">
        <v>18189</v>
      </c>
      <c r="C1036" s="117" t="inlineStr">
        <is>
          <t>United Kingdom</t>
        </is>
      </c>
      <c r="D1036" s="117" t="inlineStr">
        <is>
          <t>21231</t>
        </is>
      </c>
      <c r="E1036" s="117" t="inlineStr">
        <is>
          <t>SWEETHEART CERAMIC TRINKET BOX</t>
        </is>
      </c>
      <c r="F1036" s="117" t="n">
        <v>24</v>
      </c>
      <c r="G1036" s="118" t="n">
        <v>1.25</v>
      </c>
      <c r="H1036" s="118" t="n">
        <v>30</v>
      </c>
      <c r="I1036" s="119" t="n">
        <v>40619</v>
      </c>
    </row>
    <row r="1037">
      <c r="A1037" s="114" t="inlineStr">
        <is>
          <t>546790</t>
        </is>
      </c>
      <c r="B1037" s="114" t="n">
        <v>14713</v>
      </c>
      <c r="C1037" s="114" t="inlineStr">
        <is>
          <t>United Kingdom</t>
        </is>
      </c>
      <c r="D1037" s="114" t="inlineStr">
        <is>
          <t>82483</t>
        </is>
      </c>
      <c r="E1037" s="114" t="inlineStr">
        <is>
          <t>WOOD 2 DRAWER CABINET WHITE FINISH</t>
        </is>
      </c>
      <c r="F1037" s="114" t="n">
        <v>2</v>
      </c>
      <c r="G1037" s="115" t="n">
        <v>6.95</v>
      </c>
      <c r="H1037" s="115" t="n">
        <v>13.9</v>
      </c>
      <c r="I1037" s="116" t="n">
        <v>40619</v>
      </c>
    </row>
    <row r="1038">
      <c r="A1038" s="117" t="inlineStr">
        <is>
          <t>546837</t>
        </is>
      </c>
      <c r="B1038" s="117" t="n">
        <v>13650</v>
      </c>
      <c r="C1038" s="117" t="inlineStr">
        <is>
          <t>United Kingdom</t>
        </is>
      </c>
      <c r="D1038" s="117" t="inlineStr">
        <is>
          <t>22832</t>
        </is>
      </c>
      <c r="E1038" s="117" t="inlineStr">
        <is>
          <t>BROCANTE SHELF WITH HOOKS</t>
        </is>
      </c>
      <c r="F1038" s="117" t="n">
        <v>2</v>
      </c>
      <c r="G1038" s="118" t="n">
        <v>10.75</v>
      </c>
      <c r="H1038" s="118" t="n">
        <v>21.5</v>
      </c>
      <c r="I1038" s="119" t="n">
        <v>40619</v>
      </c>
    </row>
    <row r="1039">
      <c r="A1039" s="114" t="inlineStr">
        <is>
          <t>546851</t>
        </is>
      </c>
      <c r="B1039" s="114" t="n">
        <v>12480</v>
      </c>
      <c r="C1039" s="114" t="inlineStr">
        <is>
          <t>Germany</t>
        </is>
      </c>
      <c r="D1039" s="114" t="inlineStr">
        <is>
          <t>22328</t>
        </is>
      </c>
      <c r="E1039" s="114" t="inlineStr">
        <is>
          <t xml:space="preserve">ROUND SNACK BOXES SET OF 4 FRUITS </t>
        </is>
      </c>
      <c r="F1039" s="114" t="n">
        <v>6</v>
      </c>
      <c r="G1039" s="115" t="n">
        <v>2.95</v>
      </c>
      <c r="H1039" s="115" t="n">
        <v>17.7</v>
      </c>
      <c r="I1039" s="116" t="n">
        <v>40619</v>
      </c>
    </row>
    <row r="1040">
      <c r="A1040" s="117" t="inlineStr">
        <is>
          <t>546856</t>
        </is>
      </c>
      <c r="B1040" s="117" t="n">
        <v>15433</v>
      </c>
      <c r="C1040" s="117" t="inlineStr">
        <is>
          <t>United Kingdom</t>
        </is>
      </c>
      <c r="D1040" s="117" t="inlineStr">
        <is>
          <t>22331</t>
        </is>
      </c>
      <c r="E1040" s="117" t="inlineStr">
        <is>
          <t>WOODLAND PARTY BAG + STICKER SET</t>
        </is>
      </c>
      <c r="F1040" s="117" t="n">
        <v>8</v>
      </c>
      <c r="G1040" s="118" t="n">
        <v>1.65</v>
      </c>
      <c r="H1040" s="118" t="n">
        <v>13.2</v>
      </c>
      <c r="I1040" s="119" t="n">
        <v>40619</v>
      </c>
    </row>
    <row r="1041">
      <c r="A1041" s="114" t="inlineStr">
        <is>
          <t>546862</t>
        </is>
      </c>
      <c r="B1041" s="114" t="n">
        <v>16216</v>
      </c>
      <c r="C1041" s="114" t="inlineStr">
        <is>
          <t>United Kingdom</t>
        </is>
      </c>
      <c r="D1041" s="114" t="inlineStr">
        <is>
          <t>22926</t>
        </is>
      </c>
      <c r="E1041" s="114" t="inlineStr">
        <is>
          <t>IVORY GIANT GARDEN THERMOMETER</t>
        </is>
      </c>
      <c r="F1041" s="114" t="n">
        <v>6</v>
      </c>
      <c r="G1041" s="115" t="n">
        <v>5.95</v>
      </c>
      <c r="H1041" s="115" t="n">
        <v>35.7</v>
      </c>
      <c r="I1041" s="116" t="n">
        <v>40619</v>
      </c>
    </row>
    <row r="1042">
      <c r="A1042" s="117" t="inlineStr">
        <is>
          <t>546866</t>
        </is>
      </c>
      <c r="B1042" s="117" t="n">
        <v>14462</v>
      </c>
      <c r="C1042" s="117" t="inlineStr">
        <is>
          <t>United Kingdom</t>
        </is>
      </c>
      <c r="D1042" s="117" t="inlineStr">
        <is>
          <t>22948</t>
        </is>
      </c>
      <c r="E1042" s="117" t="inlineStr">
        <is>
          <t xml:space="preserve">METAL DECORATION NAUGHTY CHILDREN </t>
        </is>
      </c>
      <c r="F1042" s="117" t="n">
        <v>2</v>
      </c>
      <c r="G1042" s="118" t="n">
        <v>0.85</v>
      </c>
      <c r="H1042" s="118" t="n">
        <v>1.7</v>
      </c>
      <c r="I1042" s="119" t="n">
        <v>40619</v>
      </c>
    </row>
    <row r="1043">
      <c r="A1043" s="114" t="inlineStr">
        <is>
          <t>546882</t>
        </is>
      </c>
      <c r="B1043" s="114" t="n">
        <v>14422</v>
      </c>
      <c r="C1043" s="114" t="inlineStr">
        <is>
          <t>United Kingdom</t>
        </is>
      </c>
      <c r="D1043" s="114" t="inlineStr">
        <is>
          <t>22799</t>
        </is>
      </c>
      <c r="E1043" s="114" t="inlineStr">
        <is>
          <t>SWEETHEART WIRE FRUIT BOWL</t>
        </is>
      </c>
      <c r="F1043" s="114" t="n">
        <v>2</v>
      </c>
      <c r="G1043" s="115" t="n">
        <v>8.5</v>
      </c>
      <c r="H1043" s="115" t="n">
        <v>17</v>
      </c>
      <c r="I1043" s="116" t="n">
        <v>40619</v>
      </c>
    </row>
    <row r="1044">
      <c r="A1044" s="117" t="inlineStr">
        <is>
          <t>546890</t>
        </is>
      </c>
      <c r="B1044" s="117" t="n">
        <v>13394</v>
      </c>
      <c r="C1044" s="117" t="inlineStr">
        <is>
          <t>United Kingdom</t>
        </is>
      </c>
      <c r="D1044" s="117" t="inlineStr">
        <is>
          <t>22499</t>
        </is>
      </c>
      <c r="E1044" s="117" t="inlineStr">
        <is>
          <t>WOODEN UNION JACK BUNTING</t>
        </is>
      </c>
      <c r="F1044" s="117" t="n">
        <v>3</v>
      </c>
      <c r="G1044" s="118" t="n">
        <v>5.95</v>
      </c>
      <c r="H1044" s="118" t="n">
        <v>17.85</v>
      </c>
      <c r="I1044" s="119" t="n">
        <v>40619</v>
      </c>
    </row>
    <row r="1045">
      <c r="A1045" s="114" t="inlineStr">
        <is>
          <t>546899</t>
        </is>
      </c>
      <c r="B1045" s="114" t="n">
        <v>14298</v>
      </c>
      <c r="C1045" s="114" t="inlineStr">
        <is>
          <t>United Kingdom</t>
        </is>
      </c>
      <c r="D1045" s="114" t="inlineStr">
        <is>
          <t>22661</t>
        </is>
      </c>
      <c r="E1045" s="114" t="inlineStr">
        <is>
          <t>CHARLOTTE BAG DOLLY GIRL DESIGN</t>
        </is>
      </c>
      <c r="F1045" s="114" t="n">
        <v>50</v>
      </c>
      <c r="G1045" s="115" t="n">
        <v>0.72</v>
      </c>
      <c r="H1045" s="115" t="n">
        <v>36</v>
      </c>
      <c r="I1045" s="116" t="n">
        <v>40619</v>
      </c>
    </row>
    <row r="1046">
      <c r="A1046" s="117" t="inlineStr">
        <is>
          <t>546912</t>
        </is>
      </c>
      <c r="B1046" s="117" t="n">
        <v>15861</v>
      </c>
      <c r="C1046" s="117" t="inlineStr">
        <is>
          <t>United Kingdom</t>
        </is>
      </c>
      <c r="D1046" s="117" t="inlineStr">
        <is>
          <t>22356</t>
        </is>
      </c>
      <c r="E1046" s="117" t="inlineStr">
        <is>
          <t>CHARLOTTE BAG PINK POLKADOT</t>
        </is>
      </c>
      <c r="F1046" s="117" t="n">
        <v>4</v>
      </c>
      <c r="G1046" s="118" t="n">
        <v>0.85</v>
      </c>
      <c r="H1046" s="118" t="n">
        <v>3.4</v>
      </c>
      <c r="I1046" s="119" t="n">
        <v>40619</v>
      </c>
    </row>
    <row r="1047">
      <c r="A1047" s="114" t="inlineStr">
        <is>
          <t>546912</t>
        </is>
      </c>
      <c r="B1047" s="114" t="n">
        <v>15861</v>
      </c>
      <c r="C1047" s="114" t="inlineStr">
        <is>
          <t>United Kingdom</t>
        </is>
      </c>
      <c r="D1047" s="114" t="inlineStr">
        <is>
          <t>22629</t>
        </is>
      </c>
      <c r="E1047" s="114" t="inlineStr">
        <is>
          <t xml:space="preserve">SPACEBOY LUNCH BOX </t>
        </is>
      </c>
      <c r="F1047" s="114" t="n">
        <v>2</v>
      </c>
      <c r="G1047" s="115" t="n">
        <v>1.95</v>
      </c>
      <c r="H1047" s="115" t="n">
        <v>3.9</v>
      </c>
      <c r="I1047" s="116" t="n">
        <v>40619</v>
      </c>
    </row>
    <row r="1048">
      <c r="A1048" s="117" t="inlineStr">
        <is>
          <t>546912</t>
        </is>
      </c>
      <c r="B1048" s="117" t="n">
        <v>15861</v>
      </c>
      <c r="C1048" s="117" t="inlineStr">
        <is>
          <t>United Kingdom</t>
        </is>
      </c>
      <c r="D1048" s="117" t="inlineStr">
        <is>
          <t>22383</t>
        </is>
      </c>
      <c r="E1048" s="117" t="inlineStr">
        <is>
          <t xml:space="preserve">LUNCH BAG SUKI DESIGN </t>
        </is>
      </c>
      <c r="F1048" s="117" t="n">
        <v>2</v>
      </c>
      <c r="G1048" s="118" t="n">
        <v>1.65</v>
      </c>
      <c r="H1048" s="118" t="n">
        <v>3.3</v>
      </c>
      <c r="I1048" s="119" t="n">
        <v>40619</v>
      </c>
    </row>
    <row r="1049">
      <c r="A1049" s="114" t="inlineStr">
        <is>
          <t>546913</t>
        </is>
      </c>
      <c r="B1049" s="114" t="n">
        <v>15861</v>
      </c>
      <c r="C1049" s="114" t="inlineStr">
        <is>
          <t>United Kingdom</t>
        </is>
      </c>
      <c r="D1049" s="114" t="inlineStr">
        <is>
          <t>16237</t>
        </is>
      </c>
      <c r="E1049" s="114" t="inlineStr">
        <is>
          <t>SLEEPING CAT ERASERS</t>
        </is>
      </c>
      <c r="F1049" s="114" t="n">
        <v>30</v>
      </c>
      <c r="G1049" s="115" t="n">
        <v>0.21</v>
      </c>
      <c r="H1049" s="115" t="n">
        <v>6.3</v>
      </c>
      <c r="I1049" s="116" t="n">
        <v>40619</v>
      </c>
    </row>
    <row r="1050">
      <c r="A1050" s="117" t="inlineStr">
        <is>
          <t>546914</t>
        </is>
      </c>
      <c r="B1050" s="117" t="n">
        <v>13072</v>
      </c>
      <c r="C1050" s="117" t="inlineStr">
        <is>
          <t>United Kingdom</t>
        </is>
      </c>
      <c r="D1050" s="117" t="inlineStr">
        <is>
          <t>22084</t>
        </is>
      </c>
      <c r="E1050" s="117" t="inlineStr">
        <is>
          <t>PAPER CHAIN KIT EMPIRE</t>
        </is>
      </c>
      <c r="F1050" s="117" t="n">
        <v>12</v>
      </c>
      <c r="G1050" s="118" t="n">
        <v>2.95</v>
      </c>
      <c r="H1050" s="118" t="n">
        <v>35.4</v>
      </c>
      <c r="I1050" s="119" t="n">
        <v>40620</v>
      </c>
    </row>
    <row r="1051">
      <c r="A1051" s="114" t="inlineStr">
        <is>
          <t>546917</t>
        </is>
      </c>
      <c r="B1051" s="114" t="n">
        <v>14911</v>
      </c>
      <c r="C1051" s="114" t="inlineStr">
        <is>
          <t>EIRE</t>
        </is>
      </c>
      <c r="D1051" s="114" t="inlineStr">
        <is>
          <t>82011B</t>
        </is>
      </c>
      <c r="E1051" s="114" t="inlineStr">
        <is>
          <t>BATHROOM SCALES RUBBER DUCKS</t>
        </is>
      </c>
      <c r="F1051" s="114" t="n">
        <v>2</v>
      </c>
      <c r="G1051" s="115" t="n">
        <v>3.75</v>
      </c>
      <c r="H1051" s="115" t="n">
        <v>7.5</v>
      </c>
      <c r="I1051" s="116" t="n">
        <v>40620</v>
      </c>
    </row>
    <row r="1052">
      <c r="A1052" s="117" t="inlineStr">
        <is>
          <t>546922</t>
        </is>
      </c>
      <c r="B1052" s="117" t="n">
        <v>14110</v>
      </c>
      <c r="C1052" s="117" t="inlineStr">
        <is>
          <t>United Kingdom</t>
        </is>
      </c>
      <c r="D1052" s="117" t="inlineStr">
        <is>
          <t>20723</t>
        </is>
      </c>
      <c r="E1052" s="117" t="inlineStr">
        <is>
          <t>STRAWBERRY CHARLOTTE BAG</t>
        </is>
      </c>
      <c r="F1052" s="117" t="n">
        <v>10</v>
      </c>
      <c r="G1052" s="118" t="n">
        <v>0.85</v>
      </c>
      <c r="H1052" s="118" t="n">
        <v>8.5</v>
      </c>
      <c r="I1052" s="119" t="n">
        <v>40620</v>
      </c>
    </row>
    <row r="1053">
      <c r="A1053" s="114" t="inlineStr">
        <is>
          <t>546944</t>
        </is>
      </c>
      <c r="B1053" s="114" t="n">
        <v>14701</v>
      </c>
      <c r="C1053" s="114" t="inlineStr">
        <is>
          <t>United Kingdom</t>
        </is>
      </c>
      <c r="D1053" s="114" t="inlineStr">
        <is>
          <t>84459B</t>
        </is>
      </c>
      <c r="E1053" s="114" t="inlineStr">
        <is>
          <t xml:space="preserve">YELLOW METAL CHICKEN HEART </t>
        </is>
      </c>
      <c r="F1053" s="114" t="n">
        <v>3</v>
      </c>
      <c r="G1053" s="115" t="n">
        <v>1.49</v>
      </c>
      <c r="H1053" s="115" t="n">
        <v>4.47</v>
      </c>
      <c r="I1053" s="116" t="n">
        <v>40620</v>
      </c>
    </row>
    <row r="1054">
      <c r="A1054" s="117" t="inlineStr">
        <is>
          <t>546950</t>
        </is>
      </c>
      <c r="B1054" s="117" t="n">
        <v>16511</v>
      </c>
      <c r="C1054" s="117" t="inlineStr">
        <is>
          <t>United Kingdom</t>
        </is>
      </c>
      <c r="D1054" s="117" t="inlineStr">
        <is>
          <t>22382</t>
        </is>
      </c>
      <c r="E1054" s="117" t="inlineStr">
        <is>
          <t xml:space="preserve">LUNCH BAG SPACEBOY DESIGN </t>
        </is>
      </c>
      <c r="F1054" s="117" t="n">
        <v>1</v>
      </c>
      <c r="G1054" s="118" t="n">
        <v>1.65</v>
      </c>
      <c r="H1054" s="118" t="n">
        <v>1.65</v>
      </c>
      <c r="I1054" s="119" t="n">
        <v>40620</v>
      </c>
    </row>
    <row r="1055">
      <c r="A1055" s="114" t="inlineStr">
        <is>
          <t>546950</t>
        </is>
      </c>
      <c r="B1055" s="114" t="n">
        <v>16511</v>
      </c>
      <c r="C1055" s="114" t="inlineStr">
        <is>
          <t>United Kingdom</t>
        </is>
      </c>
      <c r="D1055" s="114" t="inlineStr">
        <is>
          <t>22493</t>
        </is>
      </c>
      <c r="E1055" s="114" t="inlineStr">
        <is>
          <t>PAINT YOUR OWN CANVAS SET</t>
        </is>
      </c>
      <c r="F1055" s="114" t="n">
        <v>2</v>
      </c>
      <c r="G1055" s="115" t="n">
        <v>1.65</v>
      </c>
      <c r="H1055" s="115" t="n">
        <v>3.3</v>
      </c>
      <c r="I1055" s="116" t="n">
        <v>40620</v>
      </c>
    </row>
    <row r="1056">
      <c r="A1056" s="117" t="inlineStr">
        <is>
          <t>546951</t>
        </is>
      </c>
      <c r="B1056" s="117" t="n">
        <v>17673</v>
      </c>
      <c r="C1056" s="117" t="inlineStr">
        <is>
          <t>United Kingdom</t>
        </is>
      </c>
      <c r="D1056" s="117" t="inlineStr">
        <is>
          <t>22301</t>
        </is>
      </c>
      <c r="E1056" s="117" t="inlineStr">
        <is>
          <t>COFFEE MUG CAT + BIRD DESIGN</t>
        </is>
      </c>
      <c r="F1056" s="117" t="n">
        <v>6</v>
      </c>
      <c r="G1056" s="118" t="n">
        <v>2.55</v>
      </c>
      <c r="H1056" s="118" t="n">
        <v>15.3</v>
      </c>
      <c r="I1056" s="119" t="n">
        <v>40620</v>
      </c>
    </row>
    <row r="1057">
      <c r="A1057" s="114" t="inlineStr">
        <is>
          <t>546951</t>
        </is>
      </c>
      <c r="B1057" s="114" t="n">
        <v>17673</v>
      </c>
      <c r="C1057" s="114" t="inlineStr">
        <is>
          <t>United Kingdom</t>
        </is>
      </c>
      <c r="D1057" s="114" t="inlineStr">
        <is>
          <t>21670</t>
        </is>
      </c>
      <c r="E1057" s="114" t="inlineStr">
        <is>
          <t>BLUE SPOT CERAMIC DRAWER KNOB</t>
        </is>
      </c>
      <c r="F1057" s="114" t="n">
        <v>6</v>
      </c>
      <c r="G1057" s="115" t="n">
        <v>1.25</v>
      </c>
      <c r="H1057" s="115" t="n">
        <v>7.5</v>
      </c>
      <c r="I1057" s="116" t="n">
        <v>40620</v>
      </c>
    </row>
    <row r="1058">
      <c r="A1058" s="117" t="inlineStr">
        <is>
          <t>546981</t>
        </is>
      </c>
      <c r="B1058" s="117" t="n">
        <v>14066</v>
      </c>
      <c r="C1058" s="117" t="inlineStr">
        <is>
          <t>United Kingdom</t>
        </is>
      </c>
      <c r="D1058" s="117" t="inlineStr">
        <is>
          <t>22822</t>
        </is>
      </c>
      <c r="E1058" s="117" t="inlineStr">
        <is>
          <t>CREAM WALL PLANTER HEART SHAPED</t>
        </is>
      </c>
      <c r="F1058" s="117" t="n">
        <v>6</v>
      </c>
      <c r="G1058" s="118" t="n">
        <v>5.95</v>
      </c>
      <c r="H1058" s="118" t="n">
        <v>35.7</v>
      </c>
      <c r="I1058" s="119" t="n">
        <v>40620</v>
      </c>
    </row>
    <row r="1059">
      <c r="A1059" s="114" t="inlineStr">
        <is>
          <t>546986</t>
        </is>
      </c>
      <c r="B1059" s="114" t="n">
        <v>14194</v>
      </c>
      <c r="C1059" s="114" t="inlineStr">
        <is>
          <t>United Kingdom</t>
        </is>
      </c>
      <c r="D1059" s="114" t="inlineStr">
        <is>
          <t>21915</t>
        </is>
      </c>
      <c r="E1059" s="114" t="inlineStr">
        <is>
          <t xml:space="preserve">RED  HARMONICA IN BOX </t>
        </is>
      </c>
      <c r="F1059" s="114" t="n">
        <v>12</v>
      </c>
      <c r="G1059" s="115" t="n">
        <v>1.25</v>
      </c>
      <c r="H1059" s="115" t="n">
        <v>15</v>
      </c>
      <c r="I1059" s="116" t="n">
        <v>40620</v>
      </c>
    </row>
    <row r="1060">
      <c r="A1060" s="117" t="inlineStr">
        <is>
          <t>546986</t>
        </is>
      </c>
      <c r="B1060" s="117" t="n">
        <v>14194</v>
      </c>
      <c r="C1060" s="117" t="inlineStr">
        <is>
          <t>United Kingdom</t>
        </is>
      </c>
      <c r="D1060" s="117" t="inlineStr">
        <is>
          <t>22721</t>
        </is>
      </c>
      <c r="E1060" s="117" t="inlineStr">
        <is>
          <t>SET OF 3 CAKE TINS SKETCHBOOK</t>
        </is>
      </c>
      <c r="F1060" s="117" t="n">
        <v>3</v>
      </c>
      <c r="G1060" s="118" t="n">
        <v>4.95</v>
      </c>
      <c r="H1060" s="118" t="n">
        <v>14.85</v>
      </c>
      <c r="I1060" s="119" t="n">
        <v>40620</v>
      </c>
    </row>
    <row r="1061">
      <c r="A1061" s="114" t="inlineStr">
        <is>
          <t>546988</t>
        </is>
      </c>
      <c r="B1061" s="114" t="n">
        <v>14194</v>
      </c>
      <c r="C1061" s="114" t="inlineStr">
        <is>
          <t>United Kingdom</t>
        </is>
      </c>
      <c r="D1061" s="114" t="inlineStr">
        <is>
          <t>84879</t>
        </is>
      </c>
      <c r="E1061" s="114" t="inlineStr">
        <is>
          <t>ASSORTED COLOUR BIRD ORNAMENT</t>
        </is>
      </c>
      <c r="F1061" s="114" t="n">
        <v>8</v>
      </c>
      <c r="G1061" s="115" t="n">
        <v>1.69</v>
      </c>
      <c r="H1061" s="115" t="n">
        <v>13.52</v>
      </c>
      <c r="I1061" s="116" t="n">
        <v>40620</v>
      </c>
    </row>
    <row r="1062">
      <c r="A1062" s="117" t="inlineStr">
        <is>
          <t>546988</t>
        </is>
      </c>
      <c r="B1062" s="117" t="n">
        <v>14194</v>
      </c>
      <c r="C1062" s="117" t="inlineStr">
        <is>
          <t>United Kingdom</t>
        </is>
      </c>
      <c r="D1062" s="117" t="inlineStr">
        <is>
          <t>22843</t>
        </is>
      </c>
      <c r="E1062" s="117" t="inlineStr">
        <is>
          <t>BISCUIT TIN VINTAGE GREEN</t>
        </is>
      </c>
      <c r="F1062" s="117" t="n">
        <v>2</v>
      </c>
      <c r="G1062" s="118" t="n">
        <v>6.75</v>
      </c>
      <c r="H1062" s="118" t="n">
        <v>13.5</v>
      </c>
      <c r="I1062" s="119" t="n">
        <v>40620</v>
      </c>
    </row>
    <row r="1063">
      <c r="A1063" s="114" t="inlineStr">
        <is>
          <t>546991</t>
        </is>
      </c>
      <c r="B1063" s="114" t="n">
        <v>12748</v>
      </c>
      <c r="C1063" s="114" t="inlineStr">
        <is>
          <t>United Kingdom</t>
        </is>
      </c>
      <c r="D1063" s="114" t="inlineStr">
        <is>
          <t>21135</t>
        </is>
      </c>
      <c r="E1063" s="114" t="inlineStr">
        <is>
          <t>VICTORIAN  METAL POSTCARD SPRING</t>
        </is>
      </c>
      <c r="F1063" s="114" t="n">
        <v>4</v>
      </c>
      <c r="G1063" s="115" t="n">
        <v>1.69</v>
      </c>
      <c r="H1063" s="115" t="n">
        <v>6.76</v>
      </c>
      <c r="I1063" s="116" t="n">
        <v>40620</v>
      </c>
    </row>
    <row r="1064">
      <c r="A1064" s="117" t="inlineStr">
        <is>
          <t>546998</t>
        </is>
      </c>
      <c r="B1064" s="117" t="n">
        <v>16023</v>
      </c>
      <c r="C1064" s="117" t="inlineStr">
        <is>
          <t>United Kingdom</t>
        </is>
      </c>
      <c r="D1064" s="117" t="inlineStr">
        <is>
          <t>22488</t>
        </is>
      </c>
      <c r="E1064" s="117" t="inlineStr">
        <is>
          <t>NATURAL SLATE RECTANGLE CHALKBOARD</t>
        </is>
      </c>
      <c r="F1064" s="117" t="n">
        <v>2</v>
      </c>
      <c r="G1064" s="118" t="n">
        <v>1.65</v>
      </c>
      <c r="H1064" s="118" t="n">
        <v>3.3</v>
      </c>
      <c r="I1064" s="119" t="n">
        <v>40620</v>
      </c>
    </row>
    <row r="1065">
      <c r="A1065" s="114" t="inlineStr">
        <is>
          <t>546998</t>
        </is>
      </c>
      <c r="B1065" s="114" t="n">
        <v>16023</v>
      </c>
      <c r="C1065" s="114" t="inlineStr">
        <is>
          <t>United Kingdom</t>
        </is>
      </c>
      <c r="D1065" s="114" t="inlineStr">
        <is>
          <t>22072</t>
        </is>
      </c>
      <c r="E1065" s="114" t="inlineStr">
        <is>
          <t xml:space="preserve">RED RETROSPOT TEA CUP AND SAUCER </t>
        </is>
      </c>
      <c r="F1065" s="114" t="n">
        <v>2</v>
      </c>
      <c r="G1065" s="115" t="n">
        <v>3.75</v>
      </c>
      <c r="H1065" s="115" t="n">
        <v>7.5</v>
      </c>
      <c r="I1065" s="116" t="n">
        <v>40620</v>
      </c>
    </row>
    <row r="1066">
      <c r="A1066" s="117" t="inlineStr">
        <is>
          <t>547005</t>
        </is>
      </c>
      <c r="B1066" s="117" t="n">
        <v>12474</v>
      </c>
      <c r="C1066" s="117" t="inlineStr">
        <is>
          <t>Germany</t>
        </is>
      </c>
      <c r="D1066" s="117" t="inlineStr">
        <is>
          <t>22570</t>
        </is>
      </c>
      <c r="E1066" s="117" t="inlineStr">
        <is>
          <t>FELTCRAFT CUSHION RABBIT</t>
        </is>
      </c>
      <c r="F1066" s="117" t="n">
        <v>4</v>
      </c>
      <c r="G1066" s="118" t="n">
        <v>3.75</v>
      </c>
      <c r="H1066" s="118" t="n">
        <v>15</v>
      </c>
      <c r="I1066" s="119" t="n">
        <v>40620</v>
      </c>
    </row>
    <row r="1067">
      <c r="A1067" s="114" t="inlineStr">
        <is>
          <t>547028</t>
        </is>
      </c>
      <c r="B1067" s="114" t="n">
        <v>13593</v>
      </c>
      <c r="C1067" s="114" t="inlineStr">
        <is>
          <t>United Kingdom</t>
        </is>
      </c>
      <c r="D1067" s="114" t="inlineStr">
        <is>
          <t>22804</t>
        </is>
      </c>
      <c r="E1067" s="114" t="inlineStr">
        <is>
          <t>CANDLEHOLDER PINK HANGING HEART</t>
        </is>
      </c>
      <c r="F1067" s="114" t="n">
        <v>4</v>
      </c>
      <c r="G1067" s="115" t="n">
        <v>2.95</v>
      </c>
      <c r="H1067" s="115" t="n">
        <v>11.8</v>
      </c>
      <c r="I1067" s="116" t="n">
        <v>40622</v>
      </c>
    </row>
    <row r="1068">
      <c r="A1068" s="117" t="inlineStr">
        <is>
          <t>547028</t>
        </is>
      </c>
      <c r="B1068" s="117" t="n">
        <v>13593</v>
      </c>
      <c r="C1068" s="117" t="inlineStr">
        <is>
          <t>United Kingdom</t>
        </is>
      </c>
      <c r="D1068" s="117" t="inlineStr">
        <is>
          <t>22193</t>
        </is>
      </c>
      <c r="E1068" s="117" t="inlineStr">
        <is>
          <t>RED DINER WALL CLOCK</t>
        </is>
      </c>
      <c r="F1068" s="117" t="n">
        <v>1</v>
      </c>
      <c r="G1068" s="118" t="n">
        <v>8.5</v>
      </c>
      <c r="H1068" s="118" t="n">
        <v>8.5</v>
      </c>
      <c r="I1068" s="119" t="n">
        <v>40622</v>
      </c>
    </row>
    <row r="1069">
      <c r="A1069" s="114" t="inlineStr">
        <is>
          <t>547034</t>
        </is>
      </c>
      <c r="B1069" s="114" t="n">
        <v>18229</v>
      </c>
      <c r="C1069" s="114" t="inlineStr">
        <is>
          <t>United Kingdom</t>
        </is>
      </c>
      <c r="D1069" s="114" t="inlineStr">
        <is>
          <t>22845</t>
        </is>
      </c>
      <c r="E1069" s="114" t="inlineStr">
        <is>
          <t>VINTAGE CREAM CAT FOOD CONTAINER</t>
        </is>
      </c>
      <c r="F1069" s="114" t="n">
        <v>12</v>
      </c>
      <c r="G1069" s="115" t="n">
        <v>5.55</v>
      </c>
      <c r="H1069" s="115" t="n">
        <v>66.59999999999999</v>
      </c>
      <c r="I1069" s="116" t="n">
        <v>40622</v>
      </c>
    </row>
    <row r="1070">
      <c r="A1070" s="117" t="inlineStr">
        <is>
          <t>547035</t>
        </is>
      </c>
      <c r="B1070" s="117" t="n">
        <v>13911</v>
      </c>
      <c r="C1070" s="117" t="inlineStr">
        <is>
          <t>United Kingdom</t>
        </is>
      </c>
      <c r="D1070" s="117" t="inlineStr">
        <is>
          <t>22492</t>
        </is>
      </c>
      <c r="E1070" s="117" t="inlineStr">
        <is>
          <t xml:space="preserve">MINI PAINT SET VINTAGE </t>
        </is>
      </c>
      <c r="F1070" s="117" t="n">
        <v>36</v>
      </c>
      <c r="G1070" s="118" t="n">
        <v>0.65</v>
      </c>
      <c r="H1070" s="118" t="n">
        <v>23.4</v>
      </c>
      <c r="I1070" s="119" t="n">
        <v>40622</v>
      </c>
    </row>
    <row r="1071">
      <c r="A1071" s="114" t="inlineStr">
        <is>
          <t>547052</t>
        </is>
      </c>
      <c r="B1071" s="114" t="n">
        <v>18225</v>
      </c>
      <c r="C1071" s="114" t="inlineStr">
        <is>
          <t>United Kingdom</t>
        </is>
      </c>
      <c r="D1071" s="114" t="inlineStr">
        <is>
          <t>21181</t>
        </is>
      </c>
      <c r="E1071" s="114" t="inlineStr">
        <is>
          <t>PLEASE ONE PERSON METAL SIGN</t>
        </is>
      </c>
      <c r="F1071" s="114" t="n">
        <v>4</v>
      </c>
      <c r="G1071" s="115" t="n">
        <v>2.1</v>
      </c>
      <c r="H1071" s="115" t="n">
        <v>8.4</v>
      </c>
      <c r="I1071" s="116" t="n">
        <v>40622</v>
      </c>
    </row>
    <row r="1072">
      <c r="A1072" s="117" t="inlineStr">
        <is>
          <t>547058</t>
        </is>
      </c>
      <c r="B1072" s="117" t="n">
        <v>14232</v>
      </c>
      <c r="C1072" s="117" t="inlineStr">
        <is>
          <t>United Kingdom</t>
        </is>
      </c>
      <c r="D1072" s="117" t="inlineStr">
        <is>
          <t>20727</t>
        </is>
      </c>
      <c r="E1072" s="117" t="inlineStr">
        <is>
          <t>LUNCH BAG  BLACK SKULL.</t>
        </is>
      </c>
      <c r="F1072" s="117" t="n">
        <v>10</v>
      </c>
      <c r="G1072" s="118" t="n">
        <v>1.65</v>
      </c>
      <c r="H1072" s="118" t="n">
        <v>16.5</v>
      </c>
      <c r="I1072" s="119" t="n">
        <v>40622</v>
      </c>
    </row>
    <row r="1073">
      <c r="A1073" s="114" t="inlineStr">
        <is>
          <t>547058</t>
        </is>
      </c>
      <c r="B1073" s="114" t="n">
        <v>14232</v>
      </c>
      <c r="C1073" s="114" t="inlineStr">
        <is>
          <t>United Kingdom</t>
        </is>
      </c>
      <c r="D1073" s="114" t="inlineStr">
        <is>
          <t>21169</t>
        </is>
      </c>
      <c r="E1073" s="114" t="inlineStr">
        <is>
          <t xml:space="preserve">YOU'RE CONFUSING ME METAL SIGN </t>
        </is>
      </c>
      <c r="F1073" s="114" t="n">
        <v>12</v>
      </c>
      <c r="G1073" s="115" t="n">
        <v>1.69</v>
      </c>
      <c r="H1073" s="115" t="n">
        <v>20.28</v>
      </c>
      <c r="I1073" s="116" t="n">
        <v>40622</v>
      </c>
    </row>
    <row r="1074">
      <c r="A1074" s="117" t="inlineStr">
        <is>
          <t>547060</t>
        </is>
      </c>
      <c r="B1074" s="117" t="n">
        <v>17954</v>
      </c>
      <c r="C1074" s="117" t="inlineStr">
        <is>
          <t>United Kingdom</t>
        </is>
      </c>
      <c r="D1074" s="117" t="inlineStr">
        <is>
          <t>21677</t>
        </is>
      </c>
      <c r="E1074" s="117" t="inlineStr">
        <is>
          <t>HEARTS  STICKERS</t>
        </is>
      </c>
      <c r="F1074" s="117" t="n">
        <v>6</v>
      </c>
      <c r="G1074" s="118" t="n">
        <v>0.85</v>
      </c>
      <c r="H1074" s="118" t="n">
        <v>5.1</v>
      </c>
      <c r="I1074" s="119" t="n">
        <v>40622</v>
      </c>
    </row>
    <row r="1075">
      <c r="A1075" s="114" t="inlineStr">
        <is>
          <t>547062</t>
        </is>
      </c>
      <c r="B1075" s="114" t="n">
        <v>16728</v>
      </c>
      <c r="C1075" s="114" t="inlineStr">
        <is>
          <t>United Kingdom</t>
        </is>
      </c>
      <c r="D1075" s="114" t="inlineStr">
        <is>
          <t>21877</t>
        </is>
      </c>
      <c r="E1075" s="114" t="inlineStr">
        <is>
          <t>HOME SWEET HOME MUG</t>
        </is>
      </c>
      <c r="F1075" s="114" t="n">
        <v>4</v>
      </c>
      <c r="G1075" s="115" t="n">
        <v>1.25</v>
      </c>
      <c r="H1075" s="115" t="n">
        <v>5</v>
      </c>
      <c r="I1075" s="116" t="n">
        <v>40622</v>
      </c>
    </row>
    <row r="1076">
      <c r="A1076" s="117" t="inlineStr">
        <is>
          <t>547062</t>
        </is>
      </c>
      <c r="B1076" s="117" t="n">
        <v>16728</v>
      </c>
      <c r="C1076" s="117" t="inlineStr">
        <is>
          <t>United Kingdom</t>
        </is>
      </c>
      <c r="D1076" s="117" t="inlineStr">
        <is>
          <t>37482P</t>
        </is>
      </c>
      <c r="E1076" s="117" t="inlineStr">
        <is>
          <t>CUBIC MUG PINK POLKADOT</t>
        </is>
      </c>
      <c r="F1076" s="117" t="n">
        <v>6</v>
      </c>
      <c r="G1076" s="118" t="n">
        <v>0.39</v>
      </c>
      <c r="H1076" s="118" t="n">
        <v>2.34</v>
      </c>
      <c r="I1076" s="119" t="n">
        <v>40622</v>
      </c>
    </row>
    <row r="1077">
      <c r="A1077" s="114" t="inlineStr">
        <is>
          <t>547063</t>
        </is>
      </c>
      <c r="B1077" s="114" t="n">
        <v>14769</v>
      </c>
      <c r="C1077" s="114" t="inlineStr">
        <is>
          <t>United Kingdom</t>
        </is>
      </c>
      <c r="D1077" s="114" t="inlineStr">
        <is>
          <t>21917</t>
        </is>
      </c>
      <c r="E1077" s="114" t="inlineStr">
        <is>
          <t>SET 12 KIDS  WHITE CHALK STICKS</t>
        </is>
      </c>
      <c r="F1077" s="114" t="n">
        <v>4</v>
      </c>
      <c r="G1077" s="115" t="n">
        <v>0.42</v>
      </c>
      <c r="H1077" s="115" t="n">
        <v>1.68</v>
      </c>
      <c r="I1077" s="116" t="n">
        <v>40622</v>
      </c>
    </row>
    <row r="1078">
      <c r="A1078" s="117" t="inlineStr">
        <is>
          <t>547063</t>
        </is>
      </c>
      <c r="B1078" s="117" t="n">
        <v>14769</v>
      </c>
      <c r="C1078" s="117" t="inlineStr">
        <is>
          <t>United Kingdom</t>
        </is>
      </c>
      <c r="D1078" s="117" t="inlineStr">
        <is>
          <t>22960</t>
        </is>
      </c>
      <c r="E1078" s="117" t="inlineStr">
        <is>
          <t>JAM MAKING SET WITH JARS</t>
        </is>
      </c>
      <c r="F1078" s="117" t="n">
        <v>2</v>
      </c>
      <c r="G1078" s="118" t="n">
        <v>4.25</v>
      </c>
      <c r="H1078" s="118" t="n">
        <v>8.5</v>
      </c>
      <c r="I1078" s="119" t="n">
        <v>40622</v>
      </c>
    </row>
    <row r="1079">
      <c r="A1079" s="114" t="inlineStr">
        <is>
          <t>547063</t>
        </is>
      </c>
      <c r="B1079" s="114" t="n">
        <v>14769</v>
      </c>
      <c r="C1079" s="114" t="inlineStr">
        <is>
          <t>United Kingdom</t>
        </is>
      </c>
      <c r="D1079" s="114" t="inlineStr">
        <is>
          <t>22352</t>
        </is>
      </c>
      <c r="E1079" s="114" t="inlineStr">
        <is>
          <t xml:space="preserve">LUNCH BOX WITH CUTLERY RETROSPOT </t>
        </is>
      </c>
      <c r="F1079" s="114" t="n">
        <v>2</v>
      </c>
      <c r="G1079" s="115" t="n">
        <v>2.55</v>
      </c>
      <c r="H1079" s="115" t="n">
        <v>5.1</v>
      </c>
      <c r="I1079" s="116" t="n">
        <v>40622</v>
      </c>
    </row>
    <row r="1080">
      <c r="A1080" s="117" t="inlineStr">
        <is>
          <t>547069</t>
        </is>
      </c>
      <c r="B1080" s="117" t="n">
        <v>16710</v>
      </c>
      <c r="C1080" s="117" t="inlineStr">
        <is>
          <t>United Kingdom</t>
        </is>
      </c>
      <c r="D1080" s="117" t="inlineStr">
        <is>
          <t>22442</t>
        </is>
      </c>
      <c r="E1080" s="117" t="inlineStr">
        <is>
          <t>GROW YOUR OWN FLOWERS SET OF 3</t>
        </is>
      </c>
      <c r="F1080" s="117" t="n">
        <v>2</v>
      </c>
      <c r="G1080" s="118" t="n">
        <v>7.95</v>
      </c>
      <c r="H1080" s="118" t="n">
        <v>15.9</v>
      </c>
      <c r="I1080" s="119" t="n">
        <v>40622</v>
      </c>
    </row>
    <row r="1081">
      <c r="A1081" s="114" t="inlineStr">
        <is>
          <t>547074</t>
        </is>
      </c>
      <c r="B1081" s="114" t="n">
        <v>13102</v>
      </c>
      <c r="C1081" s="114" t="inlineStr">
        <is>
          <t>United Kingdom</t>
        </is>
      </c>
      <c r="D1081" s="114" t="inlineStr">
        <is>
          <t>84527</t>
        </is>
      </c>
      <c r="E1081" s="114" t="inlineStr">
        <is>
          <t>FLAMES SUNGLASSES PINK LENSES</t>
        </is>
      </c>
      <c r="F1081" s="114" t="n">
        <v>12</v>
      </c>
      <c r="G1081" s="115" t="n">
        <v>1.95</v>
      </c>
      <c r="H1081" s="115" t="n">
        <v>23.4</v>
      </c>
      <c r="I1081" s="116" t="n">
        <v>40622</v>
      </c>
    </row>
    <row r="1082">
      <c r="A1082" s="117" t="inlineStr">
        <is>
          <t>547078</t>
        </is>
      </c>
      <c r="B1082" s="117" t="n">
        <v>14408</v>
      </c>
      <c r="C1082" s="117" t="inlineStr">
        <is>
          <t>United Kingdom</t>
        </is>
      </c>
      <c r="D1082" s="117" t="inlineStr">
        <is>
          <t>10135</t>
        </is>
      </c>
      <c r="E1082" s="117" t="inlineStr">
        <is>
          <t>COLOURING PENCILS BROWN TUBE</t>
        </is>
      </c>
      <c r="F1082" s="117" t="n">
        <v>20</v>
      </c>
      <c r="G1082" s="118" t="n">
        <v>1.25</v>
      </c>
      <c r="H1082" s="118" t="n">
        <v>25</v>
      </c>
      <c r="I1082" s="119" t="n">
        <v>40622</v>
      </c>
    </row>
    <row r="1083">
      <c r="A1083" s="114" t="inlineStr">
        <is>
          <t>547088</t>
        </is>
      </c>
      <c r="B1083" s="114" t="n">
        <v>14223</v>
      </c>
      <c r="C1083" s="114" t="inlineStr">
        <is>
          <t>United Kingdom</t>
        </is>
      </c>
      <c r="D1083" s="114" t="inlineStr">
        <is>
          <t>21974</t>
        </is>
      </c>
      <c r="E1083" s="114" t="inlineStr">
        <is>
          <t>SET OF 36 PAISLEY FLOWER DOILIES</t>
        </is>
      </c>
      <c r="F1083" s="114" t="n">
        <v>12</v>
      </c>
      <c r="G1083" s="115" t="n">
        <v>1.45</v>
      </c>
      <c r="H1083" s="115" t="n">
        <v>17.4</v>
      </c>
      <c r="I1083" s="116" t="n">
        <v>40622</v>
      </c>
    </row>
    <row r="1084">
      <c r="A1084" s="117" t="inlineStr">
        <is>
          <t>547097</t>
        </is>
      </c>
      <c r="B1084" s="117" t="n">
        <v>13021</v>
      </c>
      <c r="C1084" s="117" t="inlineStr">
        <is>
          <t>United Kingdom</t>
        </is>
      </c>
      <c r="D1084" s="117" t="inlineStr">
        <is>
          <t>22411</t>
        </is>
      </c>
      <c r="E1084" s="117" t="inlineStr">
        <is>
          <t>JUMBO SHOPPER VINTAGE RED PAISLEY</t>
        </is>
      </c>
      <c r="F1084" s="117" t="n">
        <v>10</v>
      </c>
      <c r="G1084" s="118" t="n">
        <v>1.95</v>
      </c>
      <c r="H1084" s="118" t="n">
        <v>19.5</v>
      </c>
      <c r="I1084" s="119" t="n">
        <v>40623</v>
      </c>
    </row>
    <row r="1085">
      <c r="A1085" s="114" t="inlineStr">
        <is>
          <t>547100</t>
        </is>
      </c>
      <c r="B1085" s="114" t="n">
        <v>15615</v>
      </c>
      <c r="C1085" s="114" t="inlineStr">
        <is>
          <t>United Kingdom</t>
        </is>
      </c>
      <c r="D1085" s="114" t="inlineStr">
        <is>
          <t>84836</t>
        </is>
      </c>
      <c r="E1085" s="114" t="inlineStr">
        <is>
          <t>ZINC METAL HEART DECORATION</t>
        </is>
      </c>
      <c r="F1085" s="114" t="n">
        <v>12</v>
      </c>
      <c r="G1085" s="115" t="n">
        <v>1.25</v>
      </c>
      <c r="H1085" s="115" t="n">
        <v>15</v>
      </c>
      <c r="I1085" s="116" t="n">
        <v>40623</v>
      </c>
    </row>
    <row r="1086">
      <c r="A1086" s="117" t="inlineStr">
        <is>
          <t>547106</t>
        </is>
      </c>
      <c r="B1086" s="117" t="n">
        <v>15039</v>
      </c>
      <c r="C1086" s="117" t="inlineStr">
        <is>
          <t>United Kingdom</t>
        </is>
      </c>
      <c r="D1086" s="117" t="inlineStr">
        <is>
          <t>21240</t>
        </is>
      </c>
      <c r="E1086" s="117" t="inlineStr">
        <is>
          <t>BLUE POLKADOT CUP</t>
        </is>
      </c>
      <c r="F1086" s="117" t="n">
        <v>6</v>
      </c>
      <c r="G1086" s="118" t="n">
        <v>0.85</v>
      </c>
      <c r="H1086" s="118" t="n">
        <v>5.1</v>
      </c>
      <c r="I1086" s="119" t="n">
        <v>40623</v>
      </c>
    </row>
    <row r="1087">
      <c r="A1087" s="114" t="inlineStr">
        <is>
          <t>547109</t>
        </is>
      </c>
      <c r="B1087" s="114" t="n">
        <v>12423</v>
      </c>
      <c r="C1087" s="114" t="inlineStr">
        <is>
          <t>Belgium</t>
        </is>
      </c>
      <c r="D1087" s="114" t="inlineStr">
        <is>
          <t>22382</t>
        </is>
      </c>
      <c r="E1087" s="114" t="inlineStr">
        <is>
          <t xml:space="preserve">LUNCH BAG SPACEBOY DESIGN </t>
        </is>
      </c>
      <c r="F1087" s="114" t="n">
        <v>10</v>
      </c>
      <c r="G1087" s="115" t="n">
        <v>1.65</v>
      </c>
      <c r="H1087" s="115" t="n">
        <v>16.5</v>
      </c>
      <c r="I1087" s="116" t="n">
        <v>40623</v>
      </c>
    </row>
    <row r="1088">
      <c r="A1088" s="117" t="inlineStr">
        <is>
          <t>547114</t>
        </is>
      </c>
      <c r="B1088" s="117" t="n">
        <v>14688</v>
      </c>
      <c r="C1088" s="117" t="inlineStr">
        <is>
          <t>United Kingdom</t>
        </is>
      </c>
      <c r="D1088" s="117" t="inlineStr">
        <is>
          <t>21240</t>
        </is>
      </c>
      <c r="E1088" s="117" t="inlineStr">
        <is>
          <t>BLUE POLKADOT CUP</t>
        </is>
      </c>
      <c r="F1088" s="117" t="n">
        <v>2</v>
      </c>
      <c r="G1088" s="118" t="n">
        <v>0.85</v>
      </c>
      <c r="H1088" s="118" t="n">
        <v>1.7</v>
      </c>
      <c r="I1088" s="119" t="n">
        <v>40623</v>
      </c>
    </row>
    <row r="1089">
      <c r="A1089" s="114" t="inlineStr">
        <is>
          <t>547194</t>
        </is>
      </c>
      <c r="B1089" s="114" t="n">
        <v>12637</v>
      </c>
      <c r="C1089" s="114" t="inlineStr">
        <is>
          <t>France</t>
        </is>
      </c>
      <c r="D1089" s="114" t="inlineStr">
        <is>
          <t>22628</t>
        </is>
      </c>
      <c r="E1089" s="114" t="inlineStr">
        <is>
          <t xml:space="preserve">PICNIC BOXES SET OF 3 RETROSPOT </t>
        </is>
      </c>
      <c r="F1089" s="114" t="n">
        <v>3</v>
      </c>
      <c r="G1089" s="115" t="n">
        <v>4.95</v>
      </c>
      <c r="H1089" s="115" t="n">
        <v>14.85</v>
      </c>
      <c r="I1089" s="116" t="n">
        <v>40623</v>
      </c>
    </row>
    <row r="1090">
      <c r="A1090" s="117" t="inlineStr">
        <is>
          <t>547195</t>
        </is>
      </c>
      <c r="B1090" s="117" t="n">
        <v>17204</v>
      </c>
      <c r="C1090" s="117" t="inlineStr">
        <is>
          <t>United Kingdom</t>
        </is>
      </c>
      <c r="D1090" s="117" t="inlineStr">
        <is>
          <t>22236</t>
        </is>
      </c>
      <c r="E1090" s="117" t="inlineStr">
        <is>
          <t>CAKE STAND 3 TIER MAGIC GARDEN</t>
        </is>
      </c>
      <c r="F1090" s="117" t="n">
        <v>1</v>
      </c>
      <c r="G1090" s="118" t="n">
        <v>12.75</v>
      </c>
      <c r="H1090" s="118" t="n">
        <v>12.75</v>
      </c>
      <c r="I1090" s="119" t="n">
        <v>40623</v>
      </c>
    </row>
    <row r="1091">
      <c r="A1091" s="114" t="inlineStr">
        <is>
          <t>547195</t>
        </is>
      </c>
      <c r="B1091" s="114" t="n">
        <v>17204</v>
      </c>
      <c r="C1091" s="114" t="inlineStr">
        <is>
          <t>United Kingdom</t>
        </is>
      </c>
      <c r="D1091" s="114" t="inlineStr">
        <is>
          <t>22499</t>
        </is>
      </c>
      <c r="E1091" s="114" t="inlineStr">
        <is>
          <t>WOODEN UNION JACK BUNTING</t>
        </is>
      </c>
      <c r="F1091" s="114" t="n">
        <v>3</v>
      </c>
      <c r="G1091" s="115" t="n">
        <v>5.95</v>
      </c>
      <c r="H1091" s="115" t="n">
        <v>17.85</v>
      </c>
      <c r="I1091" s="116" t="n">
        <v>40623</v>
      </c>
    </row>
    <row r="1092">
      <c r="A1092" s="117" t="inlineStr">
        <is>
          <t>547194</t>
        </is>
      </c>
      <c r="B1092" s="117" t="n">
        <v>12637</v>
      </c>
      <c r="C1092" s="117" t="inlineStr">
        <is>
          <t>France</t>
        </is>
      </c>
      <c r="D1092" s="117" t="inlineStr">
        <is>
          <t>22662</t>
        </is>
      </c>
      <c r="E1092" s="117" t="inlineStr">
        <is>
          <t>LUNCH BAG DOLLY GIRL DESIGN</t>
        </is>
      </c>
      <c r="F1092" s="117" t="n">
        <v>1</v>
      </c>
      <c r="G1092" s="118" t="n">
        <v>1.65</v>
      </c>
      <c r="H1092" s="118" t="n">
        <v>1.65</v>
      </c>
      <c r="I1092" s="119" t="n">
        <v>40623</v>
      </c>
    </row>
    <row r="1093">
      <c r="A1093" s="114" t="inlineStr">
        <is>
          <t>547203</t>
        </is>
      </c>
      <c r="B1093" s="114" t="n">
        <v>17146</v>
      </c>
      <c r="C1093" s="114" t="inlineStr">
        <is>
          <t>United Kingdom</t>
        </is>
      </c>
      <c r="D1093" s="114" t="inlineStr">
        <is>
          <t>21669</t>
        </is>
      </c>
      <c r="E1093" s="114" t="inlineStr">
        <is>
          <t>BLUE STRIPE CERAMIC DRAWER KNOB</t>
        </is>
      </c>
      <c r="F1093" s="114" t="n">
        <v>12</v>
      </c>
      <c r="G1093" s="115" t="n">
        <v>1.25</v>
      </c>
      <c r="H1093" s="115" t="n">
        <v>15</v>
      </c>
      <c r="I1093" s="116" t="n">
        <v>40623</v>
      </c>
    </row>
    <row r="1094">
      <c r="A1094" s="117" t="inlineStr">
        <is>
          <t>547204</t>
        </is>
      </c>
      <c r="B1094" s="117" t="n">
        <v>13491</v>
      </c>
      <c r="C1094" s="117" t="inlineStr">
        <is>
          <t>United Kingdom</t>
        </is>
      </c>
      <c r="D1094" s="117" t="inlineStr">
        <is>
          <t>21527</t>
        </is>
      </c>
      <c r="E1094" s="117" t="inlineStr">
        <is>
          <t xml:space="preserve">RED RETROSPOT TRADITIONAL TEAPOT </t>
        </is>
      </c>
      <c r="F1094" s="117" t="n">
        <v>2</v>
      </c>
      <c r="G1094" s="118" t="n">
        <v>7.95</v>
      </c>
      <c r="H1094" s="118" t="n">
        <v>15.9</v>
      </c>
      <c r="I1094" s="119" t="n">
        <v>40623</v>
      </c>
    </row>
    <row r="1095">
      <c r="A1095" s="114" t="inlineStr">
        <is>
          <t>547206</t>
        </is>
      </c>
      <c r="B1095" s="114" t="n">
        <v>16791</v>
      </c>
      <c r="C1095" s="114" t="inlineStr">
        <is>
          <t>United Kingdom</t>
        </is>
      </c>
      <c r="D1095" s="114" t="inlineStr">
        <is>
          <t>22697</t>
        </is>
      </c>
      <c r="E1095" s="114" t="inlineStr">
        <is>
          <t>GREEN REGENCY TEACUP AND SAUCER</t>
        </is>
      </c>
      <c r="F1095" s="114" t="n">
        <v>1</v>
      </c>
      <c r="G1095" s="115" t="n">
        <v>2.95</v>
      </c>
      <c r="H1095" s="115" t="n">
        <v>2.95</v>
      </c>
      <c r="I1095" s="116" t="n">
        <v>40623</v>
      </c>
    </row>
    <row r="1096">
      <c r="A1096" s="117" t="inlineStr">
        <is>
          <t>547209</t>
        </is>
      </c>
      <c r="B1096" s="117" t="n">
        <v>13081</v>
      </c>
      <c r="C1096" s="117" t="inlineStr">
        <is>
          <t>United Kingdom</t>
        </is>
      </c>
      <c r="D1096" s="117" t="inlineStr">
        <is>
          <t>21967</t>
        </is>
      </c>
      <c r="E1096" s="117" t="inlineStr">
        <is>
          <t>PACK OF 12 SKULL TISSUES</t>
        </is>
      </c>
      <c r="F1096" s="117" t="n">
        <v>48</v>
      </c>
      <c r="G1096" s="118" t="n">
        <v>0.29</v>
      </c>
      <c r="H1096" s="118" t="n">
        <v>13.92</v>
      </c>
      <c r="I1096" s="119" t="n">
        <v>40623</v>
      </c>
    </row>
    <row r="1097">
      <c r="A1097" s="114" t="inlineStr">
        <is>
          <t>547209</t>
        </is>
      </c>
      <c r="B1097" s="114" t="n">
        <v>13081</v>
      </c>
      <c r="C1097" s="114" t="inlineStr">
        <is>
          <t>United Kingdom</t>
        </is>
      </c>
      <c r="D1097" s="114" t="inlineStr">
        <is>
          <t>20726</t>
        </is>
      </c>
      <c r="E1097" s="114" t="inlineStr">
        <is>
          <t>LUNCH BAG WOODLAND</t>
        </is>
      </c>
      <c r="F1097" s="114" t="n">
        <v>20</v>
      </c>
      <c r="G1097" s="115" t="n">
        <v>1.65</v>
      </c>
      <c r="H1097" s="115" t="n">
        <v>33</v>
      </c>
      <c r="I1097" s="116" t="n">
        <v>40623</v>
      </c>
    </row>
    <row r="1098">
      <c r="A1098" s="117" t="inlineStr">
        <is>
          <t>547243</t>
        </is>
      </c>
      <c r="B1098" s="117" t="n">
        <v>17231</v>
      </c>
      <c r="C1098" s="117" t="inlineStr">
        <is>
          <t>United Kingdom</t>
        </is>
      </c>
      <c r="D1098" s="117" t="inlineStr">
        <is>
          <t>21902</t>
        </is>
      </c>
      <c r="E1098" s="117" t="inlineStr">
        <is>
          <t xml:space="preserve">KEY FOB , FRONT  DOOR </t>
        </is>
      </c>
      <c r="F1098" s="117" t="n">
        <v>2</v>
      </c>
      <c r="G1098" s="118" t="n">
        <v>0.65</v>
      </c>
      <c r="H1098" s="118" t="n">
        <v>1.3</v>
      </c>
      <c r="I1098" s="119" t="n">
        <v>40623</v>
      </c>
    </row>
    <row r="1099">
      <c r="A1099" s="114" t="inlineStr">
        <is>
          <t>547253</t>
        </is>
      </c>
      <c r="B1099" s="114" t="n">
        <v>13869</v>
      </c>
      <c r="C1099" s="114" t="inlineStr">
        <is>
          <t>United Kingdom</t>
        </is>
      </c>
      <c r="D1099" s="114" t="inlineStr">
        <is>
          <t>22272</t>
        </is>
      </c>
      <c r="E1099" s="114" t="inlineStr">
        <is>
          <t>FELTCRAFT DOLL MARIA</t>
        </is>
      </c>
      <c r="F1099" s="114" t="n">
        <v>3</v>
      </c>
      <c r="G1099" s="115" t="n">
        <v>2.95</v>
      </c>
      <c r="H1099" s="115" t="n">
        <v>8.85</v>
      </c>
      <c r="I1099" s="116" t="n">
        <v>40624</v>
      </c>
    </row>
    <row r="1100">
      <c r="A1100" s="117" t="inlineStr">
        <is>
          <t>547340</t>
        </is>
      </c>
      <c r="B1100" s="117" t="n">
        <v>14875</v>
      </c>
      <c r="C1100" s="117" t="inlineStr">
        <is>
          <t>United Kingdom</t>
        </is>
      </c>
      <c r="D1100" s="117" t="inlineStr">
        <is>
          <t>22083</t>
        </is>
      </c>
      <c r="E1100" s="117" t="inlineStr">
        <is>
          <t>PAPER CHAIN KIT RETROSPOT</t>
        </is>
      </c>
      <c r="F1100" s="117" t="n">
        <v>6</v>
      </c>
      <c r="G1100" s="118" t="n">
        <v>2.95</v>
      </c>
      <c r="H1100" s="118" t="n">
        <v>17.7</v>
      </c>
      <c r="I1100" s="119" t="n">
        <v>40624</v>
      </c>
    </row>
    <row r="1101">
      <c r="A1101" s="114" t="inlineStr">
        <is>
          <t>547350</t>
        </is>
      </c>
      <c r="B1101" s="114" t="n">
        <v>17272</v>
      </c>
      <c r="C1101" s="114" t="inlineStr">
        <is>
          <t>United Kingdom</t>
        </is>
      </c>
      <c r="D1101" s="114" t="inlineStr">
        <is>
          <t>22617</t>
        </is>
      </c>
      <c r="E1101" s="114" t="inlineStr">
        <is>
          <t>BAKING SET SPACEBOY DESIGN</t>
        </is>
      </c>
      <c r="F1101" s="114" t="n">
        <v>4</v>
      </c>
      <c r="G1101" s="115" t="n">
        <v>4.95</v>
      </c>
      <c r="H1101" s="115" t="n">
        <v>19.8</v>
      </c>
      <c r="I1101" s="116" t="n">
        <v>40624</v>
      </c>
    </row>
    <row r="1102">
      <c r="A1102" s="117" t="inlineStr">
        <is>
          <t>547357</t>
        </is>
      </c>
      <c r="B1102" s="117" t="n">
        <v>17613</v>
      </c>
      <c r="C1102" s="117" t="inlineStr">
        <is>
          <t>United Kingdom</t>
        </is>
      </c>
      <c r="D1102" s="117" t="inlineStr">
        <is>
          <t>21402</t>
        </is>
      </c>
      <c r="E1102" s="117" t="inlineStr">
        <is>
          <t>RED  EGG  SPOON</t>
        </is>
      </c>
      <c r="F1102" s="117" t="n">
        <v>24</v>
      </c>
      <c r="G1102" s="118" t="n">
        <v>0.12</v>
      </c>
      <c r="H1102" s="118" t="n">
        <v>2.88</v>
      </c>
      <c r="I1102" s="119" t="n">
        <v>40624</v>
      </c>
    </row>
    <row r="1103">
      <c r="A1103" s="114" t="inlineStr">
        <is>
          <t>547358</t>
        </is>
      </c>
      <c r="B1103" s="114" t="n">
        <v>15998</v>
      </c>
      <c r="C1103" s="114" t="inlineStr">
        <is>
          <t>United Kingdom</t>
        </is>
      </c>
      <c r="D1103" s="114" t="inlineStr">
        <is>
          <t>22749</t>
        </is>
      </c>
      <c r="E1103" s="114" t="inlineStr">
        <is>
          <t>FELTCRAFT PRINCESS CHARLOTTE DOLL</t>
        </is>
      </c>
      <c r="F1103" s="114" t="n">
        <v>1</v>
      </c>
      <c r="G1103" s="115" t="n">
        <v>3.75</v>
      </c>
      <c r="H1103" s="115" t="n">
        <v>3.75</v>
      </c>
      <c r="I1103" s="116" t="n">
        <v>40624</v>
      </c>
    </row>
    <row r="1104">
      <c r="A1104" s="117" t="inlineStr">
        <is>
          <t>547358</t>
        </is>
      </c>
      <c r="B1104" s="117" t="n">
        <v>15998</v>
      </c>
      <c r="C1104" s="117" t="inlineStr">
        <is>
          <t>United Kingdom</t>
        </is>
      </c>
      <c r="D1104" s="117" t="inlineStr">
        <is>
          <t>22439</t>
        </is>
      </c>
      <c r="E1104" s="117" t="inlineStr">
        <is>
          <t xml:space="preserve">6 ROCKET BALLOONS </t>
        </is>
      </c>
      <c r="F1104" s="117" t="n">
        <v>10</v>
      </c>
      <c r="G1104" s="118" t="n">
        <v>0.65</v>
      </c>
      <c r="H1104" s="118" t="n">
        <v>6.5</v>
      </c>
      <c r="I1104" s="119" t="n">
        <v>40624</v>
      </c>
    </row>
    <row r="1105">
      <c r="A1105" s="114" t="inlineStr">
        <is>
          <t>547358</t>
        </is>
      </c>
      <c r="B1105" s="114" t="n">
        <v>15998</v>
      </c>
      <c r="C1105" s="114" t="inlineStr">
        <is>
          <t>United Kingdom</t>
        </is>
      </c>
      <c r="D1105" s="114" t="inlineStr">
        <is>
          <t>22714</t>
        </is>
      </c>
      <c r="E1105" s="114" t="inlineStr">
        <is>
          <t>CARD BIRTHDAY COWBOY</t>
        </is>
      </c>
      <c r="F1105" s="114" t="n">
        <v>12</v>
      </c>
      <c r="G1105" s="115" t="n">
        <v>0.42</v>
      </c>
      <c r="H1105" s="115" t="n">
        <v>5.04</v>
      </c>
      <c r="I1105" s="116" t="n">
        <v>40624</v>
      </c>
    </row>
    <row r="1106">
      <c r="A1106" s="117" t="inlineStr">
        <is>
          <t>547366</t>
        </is>
      </c>
      <c r="B1106" s="117" t="n">
        <v>12831</v>
      </c>
      <c r="C1106" s="117" t="inlineStr">
        <is>
          <t>United Kingdom</t>
        </is>
      </c>
      <c r="D1106" s="117" t="inlineStr">
        <is>
          <t>84970L</t>
        </is>
      </c>
      <c r="E1106" s="117" t="inlineStr">
        <is>
          <t>SINGLE HEART ZINC T-LIGHT HOLDER</t>
        </is>
      </c>
      <c r="F1106" s="117" t="n">
        <v>36</v>
      </c>
      <c r="G1106" s="118" t="n">
        <v>0.95</v>
      </c>
      <c r="H1106" s="118" t="n">
        <v>34.2</v>
      </c>
      <c r="I1106" s="119" t="n">
        <v>40624</v>
      </c>
    </row>
    <row r="1107">
      <c r="A1107" s="114" t="inlineStr">
        <is>
          <t>547374</t>
        </is>
      </c>
      <c r="B1107" s="114" t="n">
        <v>16110</v>
      </c>
      <c r="C1107" s="114" t="inlineStr">
        <is>
          <t>United Kingdom</t>
        </is>
      </c>
      <c r="D1107" s="114" t="inlineStr">
        <is>
          <t>22489</t>
        </is>
      </c>
      <c r="E1107" s="114" t="inlineStr">
        <is>
          <t>PACK OF 12 TRADITIONAL CRAYONS</t>
        </is>
      </c>
      <c r="F1107" s="114" t="n">
        <v>1</v>
      </c>
      <c r="G1107" s="115" t="n">
        <v>0.42</v>
      </c>
      <c r="H1107" s="115" t="n">
        <v>0.42</v>
      </c>
      <c r="I1107" s="116" t="n">
        <v>40624</v>
      </c>
    </row>
    <row r="1108">
      <c r="A1108" s="117" t="inlineStr">
        <is>
          <t>547374</t>
        </is>
      </c>
      <c r="B1108" s="117" t="n">
        <v>16110</v>
      </c>
      <c r="C1108" s="117" t="inlineStr">
        <is>
          <t>United Kingdom</t>
        </is>
      </c>
      <c r="D1108" s="117" t="inlineStr">
        <is>
          <t>84461</t>
        </is>
      </c>
      <c r="E1108" s="117" t="inlineStr">
        <is>
          <t>12 PINK HEN+CHICKS IN BASKET</t>
        </is>
      </c>
      <c r="F1108" s="117" t="n">
        <v>1</v>
      </c>
      <c r="G1108" s="118" t="n">
        <v>2.55</v>
      </c>
      <c r="H1108" s="118" t="n">
        <v>2.55</v>
      </c>
      <c r="I1108" s="119" t="n">
        <v>40624</v>
      </c>
    </row>
    <row r="1109">
      <c r="A1109" s="114" t="inlineStr">
        <is>
          <t>547379</t>
        </is>
      </c>
      <c r="B1109" s="114" t="n">
        <v>12720</v>
      </c>
      <c r="C1109" s="114" t="inlineStr">
        <is>
          <t>Germany</t>
        </is>
      </c>
      <c r="D1109" s="114" t="inlineStr">
        <is>
          <t>21394</t>
        </is>
      </c>
      <c r="E1109" s="114" t="inlineStr">
        <is>
          <t xml:space="preserve">RED POLKADOT BEAKER </t>
        </is>
      </c>
      <c r="F1109" s="114" t="n">
        <v>48</v>
      </c>
      <c r="G1109" s="115" t="n">
        <v>0.39</v>
      </c>
      <c r="H1109" s="115" t="n">
        <v>18.72</v>
      </c>
      <c r="I1109" s="116" t="n">
        <v>40624</v>
      </c>
    </row>
    <row r="1110">
      <c r="A1110" s="117" t="inlineStr">
        <is>
          <t>547382</t>
        </is>
      </c>
      <c r="B1110" s="117" t="n">
        <v>15457</v>
      </c>
      <c r="C1110" s="117" t="inlineStr">
        <is>
          <t>United Kingdom</t>
        </is>
      </c>
      <c r="D1110" s="117" t="inlineStr">
        <is>
          <t>22408</t>
        </is>
      </c>
      <c r="E1110" s="117" t="inlineStr">
        <is>
          <t>MONEY BOX CONFECTIONERY DESIGN</t>
        </is>
      </c>
      <c r="F1110" s="117" t="n">
        <v>2</v>
      </c>
      <c r="G1110" s="118" t="n">
        <v>1.25</v>
      </c>
      <c r="H1110" s="118" t="n">
        <v>2.5</v>
      </c>
      <c r="I1110" s="119" t="n">
        <v>40624</v>
      </c>
    </row>
    <row r="1111">
      <c r="A1111" s="114" t="inlineStr">
        <is>
          <t>547382</t>
        </is>
      </c>
      <c r="B1111" s="114" t="n">
        <v>15457</v>
      </c>
      <c r="C1111" s="114" t="inlineStr">
        <is>
          <t>United Kingdom</t>
        </is>
      </c>
      <c r="D1111" s="114" t="inlineStr">
        <is>
          <t>22382</t>
        </is>
      </c>
      <c r="E1111" s="114" t="inlineStr">
        <is>
          <t xml:space="preserve">LUNCH BAG SPACEBOY DESIGN </t>
        </is>
      </c>
      <c r="F1111" s="114" t="n">
        <v>2</v>
      </c>
      <c r="G1111" s="115" t="n">
        <v>1.65</v>
      </c>
      <c r="H1111" s="115" t="n">
        <v>3.3</v>
      </c>
      <c r="I1111" s="116" t="n">
        <v>40624</v>
      </c>
    </row>
    <row r="1112">
      <c r="A1112" s="117" t="inlineStr">
        <is>
          <t>547382</t>
        </is>
      </c>
      <c r="B1112" s="117" t="n">
        <v>15457</v>
      </c>
      <c r="C1112" s="117" t="inlineStr">
        <is>
          <t>United Kingdom</t>
        </is>
      </c>
      <c r="D1112" s="117" t="inlineStr">
        <is>
          <t>21136</t>
        </is>
      </c>
      <c r="E1112" s="117" t="inlineStr">
        <is>
          <t>PAINTED METAL PEARS ASSORTED</t>
        </is>
      </c>
      <c r="F1112" s="117" t="n">
        <v>5</v>
      </c>
      <c r="G1112" s="118" t="n">
        <v>1.69</v>
      </c>
      <c r="H1112" s="118" t="n">
        <v>8.449999999999999</v>
      </c>
      <c r="I1112" s="119" t="n">
        <v>40624</v>
      </c>
    </row>
    <row r="1113">
      <c r="A1113" s="114" t="inlineStr">
        <is>
          <t>547387</t>
        </is>
      </c>
      <c r="B1113" s="114" t="n">
        <v>12539</v>
      </c>
      <c r="C1113" s="114" t="inlineStr">
        <is>
          <t>Spain</t>
        </is>
      </c>
      <c r="D1113" s="114" t="inlineStr">
        <is>
          <t>22697</t>
        </is>
      </c>
      <c r="E1113" s="114" t="inlineStr">
        <is>
          <t>GREEN REGENCY TEACUP AND SAUCER</t>
        </is>
      </c>
      <c r="F1113" s="114" t="n">
        <v>6</v>
      </c>
      <c r="G1113" s="115" t="n">
        <v>2.95</v>
      </c>
      <c r="H1113" s="115" t="n">
        <v>17.7</v>
      </c>
      <c r="I1113" s="116" t="n">
        <v>40624</v>
      </c>
    </row>
    <row r="1114">
      <c r="A1114" s="117" t="inlineStr">
        <is>
          <t>547389</t>
        </is>
      </c>
      <c r="B1114" s="117" t="n">
        <v>16721</v>
      </c>
      <c r="C1114" s="117" t="inlineStr">
        <is>
          <t>United Kingdom</t>
        </is>
      </c>
      <c r="D1114" s="117" t="inlineStr">
        <is>
          <t>21696</t>
        </is>
      </c>
      <c r="E1114" s="117" t="inlineStr">
        <is>
          <t>SMALL SILVER TRELLIS CANDLEPOT</t>
        </is>
      </c>
      <c r="F1114" s="117" t="n">
        <v>6</v>
      </c>
      <c r="G1114" s="118" t="n">
        <v>2.95</v>
      </c>
      <c r="H1114" s="118" t="n">
        <v>17.7</v>
      </c>
      <c r="I1114" s="119" t="n">
        <v>40624</v>
      </c>
    </row>
    <row r="1115">
      <c r="A1115" s="114" t="inlineStr">
        <is>
          <t>547401</t>
        </is>
      </c>
      <c r="B1115" s="114" t="n">
        <v>17576</v>
      </c>
      <c r="C1115" s="114" t="inlineStr">
        <is>
          <t>United Kingdom</t>
        </is>
      </c>
      <c r="D1115" s="114" t="inlineStr">
        <is>
          <t>22568</t>
        </is>
      </c>
      <c r="E1115" s="114" t="inlineStr">
        <is>
          <t>FELTCRAFT CUSHION OWL</t>
        </is>
      </c>
      <c r="F1115" s="114" t="n">
        <v>2</v>
      </c>
      <c r="G1115" s="115" t="n">
        <v>3.75</v>
      </c>
      <c r="H1115" s="115" t="n">
        <v>7.5</v>
      </c>
      <c r="I1115" s="116" t="n">
        <v>40624</v>
      </c>
    </row>
    <row r="1116">
      <c r="A1116" s="117" t="inlineStr">
        <is>
          <t>547401</t>
        </is>
      </c>
      <c r="B1116" s="117" t="n">
        <v>17576</v>
      </c>
      <c r="C1116" s="117" t="inlineStr">
        <is>
          <t>United Kingdom</t>
        </is>
      </c>
      <c r="D1116" s="117" t="inlineStr">
        <is>
          <t>84800L</t>
        </is>
      </c>
      <c r="E1116" s="117" t="inlineStr">
        <is>
          <t>LARGE WHITE/PINK ROSE ART FLOWER</t>
        </is>
      </c>
      <c r="F1116" s="117" t="n">
        <v>3</v>
      </c>
      <c r="G1116" s="118" t="n">
        <v>2.12</v>
      </c>
      <c r="H1116" s="118" t="n">
        <v>6.36</v>
      </c>
      <c r="I1116" s="119" t="n">
        <v>40624</v>
      </c>
    </row>
    <row r="1117">
      <c r="A1117" s="114" t="inlineStr">
        <is>
          <t>547417</t>
        </is>
      </c>
      <c r="B1117" s="114" t="n">
        <v>13239</v>
      </c>
      <c r="C1117" s="114" t="inlineStr">
        <is>
          <t>United Kingdom</t>
        </is>
      </c>
      <c r="D1117" s="114" t="inlineStr">
        <is>
          <t>22379</t>
        </is>
      </c>
      <c r="E1117" s="114" t="inlineStr">
        <is>
          <t xml:space="preserve">RECYCLING BAG RETROSPOT </t>
        </is>
      </c>
      <c r="F1117" s="114" t="n">
        <v>5</v>
      </c>
      <c r="G1117" s="115" t="n">
        <v>2.1</v>
      </c>
      <c r="H1117" s="115" t="n">
        <v>10.5</v>
      </c>
      <c r="I1117" s="116" t="n">
        <v>40625</v>
      </c>
    </row>
    <row r="1118">
      <c r="A1118" s="117" t="inlineStr">
        <is>
          <t>547417</t>
        </is>
      </c>
      <c r="B1118" s="117" t="n">
        <v>13239</v>
      </c>
      <c r="C1118" s="117" t="inlineStr">
        <is>
          <t>United Kingdom</t>
        </is>
      </c>
      <c r="D1118" s="117" t="inlineStr">
        <is>
          <t>21398</t>
        </is>
      </c>
      <c r="E1118" s="117" t="inlineStr">
        <is>
          <t>RED POLKADOT COFFEE  MUG</t>
        </is>
      </c>
      <c r="F1118" s="117" t="n">
        <v>48</v>
      </c>
      <c r="G1118" s="118" t="n">
        <v>0.39</v>
      </c>
      <c r="H1118" s="118" t="n">
        <v>18.72</v>
      </c>
      <c r="I1118" s="119" t="n">
        <v>40625</v>
      </c>
    </row>
    <row r="1119">
      <c r="A1119" s="114" t="inlineStr">
        <is>
          <t>547417</t>
        </is>
      </c>
      <c r="B1119" s="114" t="n">
        <v>13239</v>
      </c>
      <c r="C1119" s="114" t="inlineStr">
        <is>
          <t>United Kingdom</t>
        </is>
      </c>
      <c r="D1119" s="114" t="inlineStr">
        <is>
          <t>37482P</t>
        </is>
      </c>
      <c r="E1119" s="114" t="inlineStr">
        <is>
          <t>CUBIC MUG PINK POLKADOT</t>
        </is>
      </c>
      <c r="F1119" s="114" t="n">
        <v>6</v>
      </c>
      <c r="G1119" s="115" t="n">
        <v>0.39</v>
      </c>
      <c r="H1119" s="115" t="n">
        <v>2.34</v>
      </c>
      <c r="I1119" s="116" t="n">
        <v>40625</v>
      </c>
    </row>
    <row r="1120">
      <c r="A1120" s="117" t="inlineStr">
        <is>
          <t>547485</t>
        </is>
      </c>
      <c r="B1120" s="117" t="n">
        <v>17019</v>
      </c>
      <c r="C1120" s="117" t="inlineStr">
        <is>
          <t>United Kingdom</t>
        </is>
      </c>
      <c r="D1120" s="117" t="inlineStr">
        <is>
          <t>85123A</t>
        </is>
      </c>
      <c r="E1120" s="117" t="inlineStr">
        <is>
          <t>WHITE HANGING HEART T-LIGHT HOLDER</t>
        </is>
      </c>
      <c r="F1120" s="117" t="n">
        <v>3</v>
      </c>
      <c r="G1120" s="118" t="n">
        <v>2.95</v>
      </c>
      <c r="H1120" s="118" t="n">
        <v>8.85</v>
      </c>
      <c r="I1120" s="119" t="n">
        <v>40625</v>
      </c>
    </row>
    <row r="1121">
      <c r="A1121" s="114" t="inlineStr">
        <is>
          <t>547488</t>
        </is>
      </c>
      <c r="B1121" s="114" t="n">
        <v>13821</v>
      </c>
      <c r="C1121" s="114" t="inlineStr">
        <is>
          <t>United Kingdom</t>
        </is>
      </c>
      <c r="D1121" s="114" t="inlineStr">
        <is>
          <t>22567</t>
        </is>
      </c>
      <c r="E1121" s="114" t="inlineStr">
        <is>
          <t>20 DOLLY PEGS RETROSPOT</t>
        </is>
      </c>
      <c r="F1121" s="114" t="n">
        <v>4</v>
      </c>
      <c r="G1121" s="115" t="n">
        <v>1.25</v>
      </c>
      <c r="H1121" s="115" t="n">
        <v>5</v>
      </c>
      <c r="I1121" s="116" t="n">
        <v>40625</v>
      </c>
    </row>
    <row r="1122">
      <c r="A1122" s="117" t="inlineStr">
        <is>
          <t>547488</t>
        </is>
      </c>
      <c r="B1122" s="117" t="n">
        <v>13821</v>
      </c>
      <c r="C1122" s="117" t="inlineStr">
        <is>
          <t>United Kingdom</t>
        </is>
      </c>
      <c r="D1122" s="117" t="inlineStr">
        <is>
          <t>22472</t>
        </is>
      </c>
      <c r="E1122" s="117" t="inlineStr">
        <is>
          <t>TV DINNER TRAY DOLLY GIRL</t>
        </is>
      </c>
      <c r="F1122" s="117" t="n">
        <v>1</v>
      </c>
      <c r="G1122" s="118" t="n">
        <v>4.95</v>
      </c>
      <c r="H1122" s="118" t="n">
        <v>4.95</v>
      </c>
      <c r="I1122" s="119" t="n">
        <v>40625</v>
      </c>
    </row>
    <row r="1123">
      <c r="A1123" s="114" t="inlineStr">
        <is>
          <t>547489</t>
        </is>
      </c>
      <c r="B1123" s="114" t="n">
        <v>17830</v>
      </c>
      <c r="C1123" s="114" t="inlineStr">
        <is>
          <t>United Kingdom</t>
        </is>
      </c>
      <c r="D1123" s="114" t="inlineStr">
        <is>
          <t>21524</t>
        </is>
      </c>
      <c r="E1123" s="114" t="inlineStr">
        <is>
          <t>DOORMAT SPOTTY HOME SWEET HOME</t>
        </is>
      </c>
      <c r="F1123" s="114" t="n">
        <v>4</v>
      </c>
      <c r="G1123" s="115" t="n">
        <v>7.95</v>
      </c>
      <c r="H1123" s="115" t="n">
        <v>31.8</v>
      </c>
      <c r="I1123" s="116" t="n">
        <v>40625</v>
      </c>
    </row>
    <row r="1124">
      <c r="A1124" s="117" t="inlineStr">
        <is>
          <t>547489</t>
        </is>
      </c>
      <c r="B1124" s="117" t="n">
        <v>17830</v>
      </c>
      <c r="C1124" s="117" t="inlineStr">
        <is>
          <t>United Kingdom</t>
        </is>
      </c>
      <c r="D1124" s="117" t="inlineStr">
        <is>
          <t>21624</t>
        </is>
      </c>
      <c r="E1124" s="117" t="inlineStr">
        <is>
          <t>VINTAGE UNION JACK DOORSTOP</t>
        </is>
      </c>
      <c r="F1124" s="117" t="n">
        <v>3</v>
      </c>
      <c r="G1124" s="118" t="n">
        <v>5.95</v>
      </c>
      <c r="H1124" s="118" t="n">
        <v>17.85</v>
      </c>
      <c r="I1124" s="119" t="n">
        <v>40625</v>
      </c>
    </row>
    <row r="1125">
      <c r="A1125" s="114" t="inlineStr">
        <is>
          <t>547498</t>
        </is>
      </c>
      <c r="B1125" s="114" t="n">
        <v>15021</v>
      </c>
      <c r="C1125" s="114" t="inlineStr">
        <is>
          <t>United Kingdom</t>
        </is>
      </c>
      <c r="D1125" s="114" t="inlineStr">
        <is>
          <t>84596L</t>
        </is>
      </c>
      <c r="E1125" s="114" t="inlineStr">
        <is>
          <t>BISCUITS SMALL BOWL LIGHT BLUE</t>
        </is>
      </c>
      <c r="F1125" s="114" t="n">
        <v>1</v>
      </c>
      <c r="G1125" s="115" t="n">
        <v>0.42</v>
      </c>
      <c r="H1125" s="115" t="n">
        <v>0.42</v>
      </c>
      <c r="I1125" s="116" t="n">
        <v>40625</v>
      </c>
    </row>
    <row r="1126">
      <c r="A1126" s="117" t="inlineStr">
        <is>
          <t>547507</t>
        </is>
      </c>
      <c r="B1126" s="117" t="n">
        <v>16859</v>
      </c>
      <c r="C1126" s="117" t="inlineStr">
        <is>
          <t>United Kingdom</t>
        </is>
      </c>
      <c r="D1126" s="117" t="inlineStr">
        <is>
          <t>20974</t>
        </is>
      </c>
      <c r="E1126" s="117" t="inlineStr">
        <is>
          <t>12 PENCILS SMALL TUBE SKULL</t>
        </is>
      </c>
      <c r="F1126" s="117" t="n">
        <v>24</v>
      </c>
      <c r="G1126" s="118" t="n">
        <v>0.65</v>
      </c>
      <c r="H1126" s="118" t="n">
        <v>15.6</v>
      </c>
      <c r="I1126" s="119" t="n">
        <v>40625</v>
      </c>
    </row>
    <row r="1127">
      <c r="A1127" s="114" t="inlineStr">
        <is>
          <t>547509</t>
        </is>
      </c>
      <c r="B1127" s="114" t="n">
        <v>15606</v>
      </c>
      <c r="C1127" s="114" t="inlineStr">
        <is>
          <t>United Kingdom</t>
        </is>
      </c>
      <c r="D1127" s="114" t="inlineStr">
        <is>
          <t>22666</t>
        </is>
      </c>
      <c r="E1127" s="114" t="inlineStr">
        <is>
          <t>RECIPE BOX PANTRY YELLOW DESIGN</t>
        </is>
      </c>
      <c r="F1127" s="114" t="n">
        <v>24</v>
      </c>
      <c r="G1127" s="115" t="n">
        <v>2.55</v>
      </c>
      <c r="H1127" s="115" t="n">
        <v>61.2</v>
      </c>
      <c r="I1127" s="116" t="n">
        <v>40625</v>
      </c>
    </row>
    <row r="1128">
      <c r="A1128" s="117" t="inlineStr">
        <is>
          <t>547573</t>
        </is>
      </c>
      <c r="B1128" s="117" t="n">
        <v>12948</v>
      </c>
      <c r="C1128" s="117" t="inlineStr">
        <is>
          <t>United Kingdom</t>
        </is>
      </c>
      <c r="D1128" s="117" t="inlineStr">
        <is>
          <t>22860</t>
        </is>
      </c>
      <c r="E1128" s="117" t="inlineStr">
        <is>
          <t>EASTER TIN CHICKS PINK DAISY</t>
        </is>
      </c>
      <c r="F1128" s="117" t="n">
        <v>6</v>
      </c>
      <c r="G1128" s="118" t="n">
        <v>1.65</v>
      </c>
      <c r="H1128" s="118" t="n">
        <v>9.9</v>
      </c>
      <c r="I1128" s="119" t="n">
        <v>40626</v>
      </c>
    </row>
    <row r="1129">
      <c r="A1129" s="114" t="inlineStr">
        <is>
          <t>547578</t>
        </is>
      </c>
      <c r="B1129" s="114" t="n">
        <v>13089</v>
      </c>
      <c r="C1129" s="114" t="inlineStr">
        <is>
          <t>United Kingdom</t>
        </is>
      </c>
      <c r="D1129" s="114" t="inlineStr">
        <is>
          <t>82580</t>
        </is>
      </c>
      <c r="E1129" s="114" t="inlineStr">
        <is>
          <t>BATHROOM METAL SIGN</t>
        </is>
      </c>
      <c r="F1129" s="114" t="n">
        <v>12</v>
      </c>
      <c r="G1129" s="115" t="n">
        <v>0.55</v>
      </c>
      <c r="H1129" s="115" t="n">
        <v>6.6</v>
      </c>
      <c r="I1129" s="116" t="n">
        <v>40626</v>
      </c>
    </row>
    <row r="1130">
      <c r="A1130" s="117" t="inlineStr">
        <is>
          <t>547623</t>
        </is>
      </c>
      <c r="B1130" s="117" t="n">
        <v>15641</v>
      </c>
      <c r="C1130" s="117" t="inlineStr">
        <is>
          <t>United Kingdom</t>
        </is>
      </c>
      <c r="D1130" s="117" t="inlineStr">
        <is>
          <t>21397</t>
        </is>
      </c>
      <c r="E1130" s="117" t="inlineStr">
        <is>
          <t xml:space="preserve">BLUE POLKADOT EGG CUP </t>
        </is>
      </c>
      <c r="F1130" s="117" t="n">
        <v>48</v>
      </c>
      <c r="G1130" s="118" t="n">
        <v>0.39</v>
      </c>
      <c r="H1130" s="118" t="n">
        <v>18.72</v>
      </c>
      <c r="I1130" s="119" t="n">
        <v>40626</v>
      </c>
    </row>
    <row r="1131">
      <c r="A1131" s="114" t="inlineStr">
        <is>
          <t>547649</t>
        </is>
      </c>
      <c r="B1131" s="114" t="n">
        <v>18118</v>
      </c>
      <c r="C1131" s="114" t="inlineStr">
        <is>
          <t>United Kingdom</t>
        </is>
      </c>
      <c r="D1131" s="114" t="inlineStr">
        <is>
          <t>20727</t>
        </is>
      </c>
      <c r="E1131" s="114" t="inlineStr">
        <is>
          <t>LUNCH BAG  BLACK SKULL.</t>
        </is>
      </c>
      <c r="F1131" s="114" t="n">
        <v>2</v>
      </c>
      <c r="G1131" s="115" t="n">
        <v>1.65</v>
      </c>
      <c r="H1131" s="115" t="n">
        <v>3.3</v>
      </c>
      <c r="I1131" s="116" t="n">
        <v>40626</v>
      </c>
    </row>
    <row r="1132">
      <c r="A1132" s="117" t="inlineStr">
        <is>
          <t>547650</t>
        </is>
      </c>
      <c r="B1132" s="117" t="n">
        <v>17059</v>
      </c>
      <c r="C1132" s="117" t="inlineStr">
        <is>
          <t>United Kingdom</t>
        </is>
      </c>
      <c r="D1132" s="117" t="inlineStr">
        <is>
          <t>21499</t>
        </is>
      </c>
      <c r="E1132" s="117" t="inlineStr">
        <is>
          <t>BLUE POLKADOT WRAP</t>
        </is>
      </c>
      <c r="F1132" s="117" t="n">
        <v>25</v>
      </c>
      <c r="G1132" s="118" t="n">
        <v>0.42</v>
      </c>
      <c r="H1132" s="118" t="n">
        <v>10.5</v>
      </c>
      <c r="I1132" s="119" t="n">
        <v>40626</v>
      </c>
    </row>
    <row r="1133">
      <c r="A1133" s="114" t="inlineStr">
        <is>
          <t>547651</t>
        </is>
      </c>
      <c r="B1133" s="114" t="n">
        <v>16904</v>
      </c>
      <c r="C1133" s="114" t="inlineStr">
        <is>
          <t>United Kingdom</t>
        </is>
      </c>
      <c r="D1133" s="114" t="inlineStr">
        <is>
          <t>22244</t>
        </is>
      </c>
      <c r="E1133" s="114" t="inlineStr">
        <is>
          <t>3 HOOK HANGER MAGIC GARDEN</t>
        </is>
      </c>
      <c r="F1133" s="114" t="n">
        <v>1</v>
      </c>
      <c r="G1133" s="115" t="n">
        <v>1.95</v>
      </c>
      <c r="H1133" s="115" t="n">
        <v>1.95</v>
      </c>
      <c r="I1133" s="116" t="n">
        <v>40626</v>
      </c>
    </row>
    <row r="1134">
      <c r="A1134" s="117" t="inlineStr">
        <is>
          <t>547658</t>
        </is>
      </c>
      <c r="B1134" s="117" t="n">
        <v>13736</v>
      </c>
      <c r="C1134" s="117" t="inlineStr">
        <is>
          <t>United Kingdom</t>
        </is>
      </c>
      <c r="D1134" s="117" t="inlineStr">
        <is>
          <t>85214</t>
        </is>
      </c>
      <c r="E1134" s="117" t="inlineStr">
        <is>
          <t>TUB 24 PINK FLOWER PEGS</t>
        </is>
      </c>
      <c r="F1134" s="117" t="n">
        <v>2</v>
      </c>
      <c r="G1134" s="118" t="n">
        <v>1.65</v>
      </c>
      <c r="H1134" s="118" t="n">
        <v>3.3</v>
      </c>
      <c r="I1134" s="119" t="n">
        <v>40626</v>
      </c>
    </row>
    <row r="1135">
      <c r="A1135" s="114" t="inlineStr">
        <is>
          <t>547658</t>
        </is>
      </c>
      <c r="B1135" s="114" t="n">
        <v>13736</v>
      </c>
      <c r="C1135" s="114" t="inlineStr">
        <is>
          <t>United Kingdom</t>
        </is>
      </c>
      <c r="D1135" s="114" t="inlineStr">
        <is>
          <t>20723</t>
        </is>
      </c>
      <c r="E1135" s="114" t="inlineStr">
        <is>
          <t>STRAWBERRY CHARLOTTE BAG</t>
        </is>
      </c>
      <c r="F1135" s="114" t="n">
        <v>6</v>
      </c>
      <c r="G1135" s="115" t="n">
        <v>0.85</v>
      </c>
      <c r="H1135" s="115" t="n">
        <v>5.1</v>
      </c>
      <c r="I1135" s="116" t="n">
        <v>40626</v>
      </c>
    </row>
    <row r="1136">
      <c r="A1136" s="117" t="inlineStr">
        <is>
          <t>547658</t>
        </is>
      </c>
      <c r="B1136" s="117" t="n">
        <v>13736</v>
      </c>
      <c r="C1136" s="117" t="inlineStr">
        <is>
          <t>United Kingdom</t>
        </is>
      </c>
      <c r="D1136" s="117" t="inlineStr">
        <is>
          <t>22666</t>
        </is>
      </c>
      <c r="E1136" s="117" t="inlineStr">
        <is>
          <t>RECIPE BOX PANTRY YELLOW DESIGN</t>
        </is>
      </c>
      <c r="F1136" s="117" t="n">
        <v>1</v>
      </c>
      <c r="G1136" s="118" t="n">
        <v>2.95</v>
      </c>
      <c r="H1136" s="118" t="n">
        <v>2.95</v>
      </c>
      <c r="I1136" s="119" t="n">
        <v>40626</v>
      </c>
    </row>
    <row r="1137">
      <c r="A1137" s="114" t="inlineStr">
        <is>
          <t>547664</t>
        </is>
      </c>
      <c r="B1137" s="114" t="n">
        <v>13069</v>
      </c>
      <c r="C1137" s="114" t="inlineStr">
        <is>
          <t>United Kingdom</t>
        </is>
      </c>
      <c r="D1137" s="114" t="inlineStr">
        <is>
          <t>22380</t>
        </is>
      </c>
      <c r="E1137" s="114" t="inlineStr">
        <is>
          <t xml:space="preserve">TOY TIDY SPACEBOY  </t>
        </is>
      </c>
      <c r="F1137" s="114" t="n">
        <v>10</v>
      </c>
      <c r="G1137" s="115" t="n">
        <v>2.1</v>
      </c>
      <c r="H1137" s="115" t="n">
        <v>21</v>
      </c>
      <c r="I1137" s="116" t="n">
        <v>40626</v>
      </c>
    </row>
    <row r="1138">
      <c r="A1138" s="117" t="inlineStr">
        <is>
          <t>547666</t>
        </is>
      </c>
      <c r="B1138" s="117" t="n">
        <v>14235</v>
      </c>
      <c r="C1138" s="117" t="inlineStr">
        <is>
          <t>United Kingdom</t>
        </is>
      </c>
      <c r="D1138" s="117" t="inlineStr">
        <is>
          <t>22986</t>
        </is>
      </c>
      <c r="E1138" s="117" t="inlineStr">
        <is>
          <t>GINGHAM ROSE WRAP</t>
        </is>
      </c>
      <c r="F1138" s="117" t="n">
        <v>25</v>
      </c>
      <c r="G1138" s="118" t="n">
        <v>0.42</v>
      </c>
      <c r="H1138" s="118" t="n">
        <v>10.5</v>
      </c>
      <c r="I1138" s="119" t="n">
        <v>40626</v>
      </c>
    </row>
    <row r="1139">
      <c r="A1139" s="114" t="inlineStr">
        <is>
          <t>547666</t>
        </is>
      </c>
      <c r="B1139" s="114" t="n">
        <v>14235</v>
      </c>
      <c r="C1139" s="114" t="inlineStr">
        <is>
          <t>United Kingdom</t>
        </is>
      </c>
      <c r="D1139" s="114" t="inlineStr">
        <is>
          <t>22676</t>
        </is>
      </c>
      <c r="E1139" s="114" t="inlineStr">
        <is>
          <t>FRENCH BLUE METAL DOOR SIGN 1</t>
        </is>
      </c>
      <c r="F1139" s="114" t="n">
        <v>10</v>
      </c>
      <c r="G1139" s="115" t="n">
        <v>1.25</v>
      </c>
      <c r="H1139" s="115" t="n">
        <v>12.5</v>
      </c>
      <c r="I1139" s="116" t="n">
        <v>40626</v>
      </c>
    </row>
    <row r="1140">
      <c r="A1140" s="117" t="inlineStr">
        <is>
          <t>547667</t>
        </is>
      </c>
      <c r="B1140" s="117" t="n">
        <v>16700</v>
      </c>
      <c r="C1140" s="117" t="inlineStr">
        <is>
          <t>United Kingdom</t>
        </is>
      </c>
      <c r="D1140" s="117" t="inlineStr">
        <is>
          <t>22999</t>
        </is>
      </c>
      <c r="E1140" s="117" t="inlineStr">
        <is>
          <t>TRAVEL CARD WALLET RETRO PETALS</t>
        </is>
      </c>
      <c r="F1140" s="117" t="n">
        <v>24</v>
      </c>
      <c r="G1140" s="118" t="n">
        <v>0.42</v>
      </c>
      <c r="H1140" s="118" t="n">
        <v>10.08</v>
      </c>
      <c r="I1140" s="119" t="n">
        <v>40626</v>
      </c>
    </row>
    <row r="1141">
      <c r="A1141" s="114" t="inlineStr">
        <is>
          <t>547669</t>
        </is>
      </c>
      <c r="B1141" s="114" t="n">
        <v>12748</v>
      </c>
      <c r="C1141" s="114" t="inlineStr">
        <is>
          <t>United Kingdom</t>
        </is>
      </c>
      <c r="D1141" s="114" t="inlineStr">
        <is>
          <t>21928</t>
        </is>
      </c>
      <c r="E1141" s="114" t="inlineStr">
        <is>
          <t>JUMBO BAG SCANDINAVIAN BLUE PAISLEY</t>
        </is>
      </c>
      <c r="F1141" s="114" t="n">
        <v>5</v>
      </c>
      <c r="G1141" s="115" t="n">
        <v>1.95</v>
      </c>
      <c r="H1141" s="115" t="n">
        <v>9.75</v>
      </c>
      <c r="I1141" s="116" t="n">
        <v>40626</v>
      </c>
    </row>
    <row r="1142">
      <c r="A1142" s="117" t="inlineStr">
        <is>
          <t>547669</t>
        </is>
      </c>
      <c r="B1142" s="117" t="n">
        <v>12748</v>
      </c>
      <c r="C1142" s="117" t="inlineStr">
        <is>
          <t>United Kingdom</t>
        </is>
      </c>
      <c r="D1142" s="117" t="inlineStr">
        <is>
          <t>21937</t>
        </is>
      </c>
      <c r="E1142" s="117" t="inlineStr">
        <is>
          <t>STRAWBERRY   PICNIC BAG</t>
        </is>
      </c>
      <c r="F1142" s="117" t="n">
        <v>1</v>
      </c>
      <c r="G1142" s="118" t="n">
        <v>2.95</v>
      </c>
      <c r="H1142" s="118" t="n">
        <v>2.95</v>
      </c>
      <c r="I1142" s="119" t="n">
        <v>40626</v>
      </c>
    </row>
    <row r="1143">
      <c r="A1143" s="114" t="inlineStr">
        <is>
          <t>547672</t>
        </is>
      </c>
      <c r="B1143" s="114" t="n">
        <v>17754</v>
      </c>
      <c r="C1143" s="114" t="inlineStr">
        <is>
          <t>United Kingdom</t>
        </is>
      </c>
      <c r="D1143" s="114" t="inlineStr">
        <is>
          <t>37482P</t>
        </is>
      </c>
      <c r="E1143" s="114" t="inlineStr">
        <is>
          <t>CUBIC MUG PINK POLKADOT</t>
        </is>
      </c>
      <c r="F1143" s="114" t="n">
        <v>24</v>
      </c>
      <c r="G1143" s="115" t="n">
        <v>0.39</v>
      </c>
      <c r="H1143" s="115" t="n">
        <v>9.359999999999999</v>
      </c>
      <c r="I1143" s="116" t="n">
        <v>40626</v>
      </c>
    </row>
    <row r="1144">
      <c r="A1144" s="117" t="inlineStr">
        <is>
          <t>547691</t>
        </is>
      </c>
      <c r="B1144" s="117" t="n">
        <v>16767</v>
      </c>
      <c r="C1144" s="117" t="inlineStr">
        <is>
          <t>United Kingdom</t>
        </is>
      </c>
      <c r="D1144" s="117" t="inlineStr">
        <is>
          <t>23177</t>
        </is>
      </c>
      <c r="E1144" s="117" t="inlineStr">
        <is>
          <t>TREASURE ISLAND BOOK BOX</t>
        </is>
      </c>
      <c r="F1144" s="117" t="n">
        <v>16</v>
      </c>
      <c r="G1144" s="118" t="n">
        <v>2.25</v>
      </c>
      <c r="H1144" s="118" t="n">
        <v>36</v>
      </c>
      <c r="I1144" s="119" t="n">
        <v>40626</v>
      </c>
    </row>
    <row r="1145">
      <c r="A1145" s="114" t="inlineStr">
        <is>
          <t>547709</t>
        </is>
      </c>
      <c r="B1145" s="114" t="n">
        <v>18109</v>
      </c>
      <c r="C1145" s="114" t="inlineStr">
        <is>
          <t>United Kingdom</t>
        </is>
      </c>
      <c r="D1145" s="114" t="inlineStr">
        <is>
          <t>22720</t>
        </is>
      </c>
      <c r="E1145" s="114" t="inlineStr">
        <is>
          <t xml:space="preserve">SET OF 3 CAKE TINS PANTRY DESIGN </t>
        </is>
      </c>
      <c r="F1145" s="114" t="n">
        <v>2</v>
      </c>
      <c r="G1145" s="115" t="n">
        <v>4.95</v>
      </c>
      <c r="H1145" s="115" t="n">
        <v>9.9</v>
      </c>
      <c r="I1145" s="116" t="n">
        <v>40626</v>
      </c>
    </row>
    <row r="1146">
      <c r="A1146" s="117" t="inlineStr">
        <is>
          <t>547713</t>
        </is>
      </c>
      <c r="B1146" s="117" t="n">
        <v>16458</v>
      </c>
      <c r="C1146" s="117" t="inlineStr">
        <is>
          <t>United Kingdom</t>
        </is>
      </c>
      <c r="D1146" s="117" t="inlineStr">
        <is>
          <t>22661</t>
        </is>
      </c>
      <c r="E1146" s="117" t="inlineStr">
        <is>
          <t>CHARLOTTE BAG DOLLY GIRL DESIGN</t>
        </is>
      </c>
      <c r="F1146" s="117" t="n">
        <v>10</v>
      </c>
      <c r="G1146" s="118" t="n">
        <v>0.85</v>
      </c>
      <c r="H1146" s="118" t="n">
        <v>8.5</v>
      </c>
      <c r="I1146" s="119" t="n">
        <v>40627</v>
      </c>
    </row>
    <row r="1147">
      <c r="A1147" s="114" t="inlineStr">
        <is>
          <t>547715</t>
        </is>
      </c>
      <c r="B1147" s="114" t="n">
        <v>12520</v>
      </c>
      <c r="C1147" s="114" t="inlineStr">
        <is>
          <t>Germany</t>
        </is>
      </c>
      <c r="D1147" s="114" t="inlineStr">
        <is>
          <t>22555</t>
        </is>
      </c>
      <c r="E1147" s="114" t="inlineStr">
        <is>
          <t>PLASTERS IN TIN STRONGMAN</t>
        </is>
      </c>
      <c r="F1147" s="114" t="n">
        <v>12</v>
      </c>
      <c r="G1147" s="115" t="n">
        <v>1.65</v>
      </c>
      <c r="H1147" s="115" t="n">
        <v>19.8</v>
      </c>
      <c r="I1147" s="116" t="n">
        <v>40627</v>
      </c>
    </row>
    <row r="1148">
      <c r="A1148" s="117" t="inlineStr">
        <is>
          <t>547721</t>
        </is>
      </c>
      <c r="B1148" s="117" t="n">
        <v>13000</v>
      </c>
      <c r="C1148" s="117" t="inlineStr">
        <is>
          <t>United Kingdom</t>
        </is>
      </c>
      <c r="D1148" s="117" t="inlineStr">
        <is>
          <t>21080</t>
        </is>
      </c>
      <c r="E1148" s="117" t="inlineStr">
        <is>
          <t xml:space="preserve">SET/20 RED RETROSPOT PAPER NAPKINS </t>
        </is>
      </c>
      <c r="F1148" s="117" t="n">
        <v>12</v>
      </c>
      <c r="G1148" s="118" t="n">
        <v>0.85</v>
      </c>
      <c r="H1148" s="118" t="n">
        <v>10.2</v>
      </c>
      <c r="I1148" s="119" t="n">
        <v>40627</v>
      </c>
    </row>
    <row r="1149">
      <c r="A1149" s="114" t="inlineStr">
        <is>
          <t>547730</t>
        </is>
      </c>
      <c r="B1149" s="114" t="n">
        <v>14796</v>
      </c>
      <c r="C1149" s="114" t="inlineStr">
        <is>
          <t>United Kingdom</t>
        </is>
      </c>
      <c r="D1149" s="114" t="inlineStr">
        <is>
          <t>21877</t>
        </is>
      </c>
      <c r="E1149" s="114" t="inlineStr">
        <is>
          <t>HOME SWEET HOME MUG</t>
        </is>
      </c>
      <c r="F1149" s="114" t="n">
        <v>6</v>
      </c>
      <c r="G1149" s="115" t="n">
        <v>1.25</v>
      </c>
      <c r="H1149" s="115" t="n">
        <v>7.5</v>
      </c>
      <c r="I1149" s="116" t="n">
        <v>40627</v>
      </c>
    </row>
    <row r="1150">
      <c r="A1150" s="117" t="inlineStr">
        <is>
          <t>547789</t>
        </is>
      </c>
      <c r="B1150" s="117" t="n">
        <v>14911</v>
      </c>
      <c r="C1150" s="117" t="inlineStr">
        <is>
          <t>EIRE</t>
        </is>
      </c>
      <c r="D1150" s="117" t="inlineStr">
        <is>
          <t>22763</t>
        </is>
      </c>
      <c r="E1150" s="117" t="inlineStr">
        <is>
          <t>KEY CABINET MA CAMPAGNE</t>
        </is>
      </c>
      <c r="F1150" s="117" t="n">
        <v>2</v>
      </c>
      <c r="G1150" s="118" t="n">
        <v>9.949999999999999</v>
      </c>
      <c r="H1150" s="118" t="n">
        <v>19.9</v>
      </c>
      <c r="I1150" s="119" t="n">
        <v>40627</v>
      </c>
    </row>
    <row r="1151">
      <c r="A1151" s="114" t="inlineStr">
        <is>
          <t>547794</t>
        </is>
      </c>
      <c r="B1151" s="114" t="n">
        <v>14085</v>
      </c>
      <c r="C1151" s="114" t="inlineStr">
        <is>
          <t>United Kingdom</t>
        </is>
      </c>
      <c r="D1151" s="114" t="inlineStr">
        <is>
          <t>23156</t>
        </is>
      </c>
      <c r="E1151" s="114" t="inlineStr">
        <is>
          <t>SET OF 5 MINI GROCERY MAGNETS</t>
        </is>
      </c>
      <c r="F1151" s="114" t="n">
        <v>4</v>
      </c>
      <c r="G1151" s="115" t="n">
        <v>2.08</v>
      </c>
      <c r="H1151" s="115" t="n">
        <v>8.32</v>
      </c>
      <c r="I1151" s="116" t="n">
        <v>40627</v>
      </c>
    </row>
    <row r="1152">
      <c r="A1152" s="117" t="inlineStr">
        <is>
          <t>547805</t>
        </is>
      </c>
      <c r="B1152" s="117" t="n">
        <v>13327</v>
      </c>
      <c r="C1152" s="117" t="inlineStr">
        <is>
          <t>United Kingdom</t>
        </is>
      </c>
      <c r="D1152" s="117" t="inlineStr">
        <is>
          <t>85150</t>
        </is>
      </c>
      <c r="E1152" s="117" t="inlineStr">
        <is>
          <t>LADIES &amp; GENTLEMEN METAL SIGN</t>
        </is>
      </c>
      <c r="F1152" s="117" t="n">
        <v>6</v>
      </c>
      <c r="G1152" s="118" t="n">
        <v>2.55</v>
      </c>
      <c r="H1152" s="118" t="n">
        <v>15.3</v>
      </c>
      <c r="I1152" s="119" t="n">
        <v>40627</v>
      </c>
    </row>
    <row r="1153">
      <c r="A1153" s="114" t="inlineStr">
        <is>
          <t>547809</t>
        </is>
      </c>
      <c r="B1153" s="114" t="n">
        <v>12748</v>
      </c>
      <c r="C1153" s="114" t="inlineStr">
        <is>
          <t>United Kingdom</t>
        </is>
      </c>
      <c r="D1153" s="114" t="inlineStr">
        <is>
          <t>20985</t>
        </is>
      </c>
      <c r="E1153" s="114" t="inlineStr">
        <is>
          <t>HEART CALCULATOR</t>
        </is>
      </c>
      <c r="F1153" s="114" t="n">
        <v>1</v>
      </c>
      <c r="G1153" s="115" t="n">
        <v>1.25</v>
      </c>
      <c r="H1153" s="115" t="n">
        <v>1.25</v>
      </c>
      <c r="I1153" s="116" t="n">
        <v>40627</v>
      </c>
    </row>
    <row r="1154">
      <c r="A1154" s="117" t="inlineStr">
        <is>
          <t>547839</t>
        </is>
      </c>
      <c r="B1154" s="117" t="n">
        <v>12916</v>
      </c>
      <c r="C1154" s="117" t="inlineStr">
        <is>
          <t>United Kingdom</t>
        </is>
      </c>
      <c r="D1154" s="117" t="inlineStr">
        <is>
          <t>82486</t>
        </is>
      </c>
      <c r="E1154" s="117" t="inlineStr">
        <is>
          <t>WOOD S/3 CABINET ANT WHITE FINISH</t>
        </is>
      </c>
      <c r="F1154" s="117" t="n">
        <v>8</v>
      </c>
      <c r="G1154" s="118" t="n">
        <v>8.949999999999999</v>
      </c>
      <c r="H1154" s="118" t="n">
        <v>71.59999999999999</v>
      </c>
      <c r="I1154" s="119" t="n">
        <v>40629</v>
      </c>
    </row>
    <row r="1155">
      <c r="A1155" s="114" t="inlineStr">
        <is>
          <t>547841</t>
        </is>
      </c>
      <c r="B1155" s="114" t="n">
        <v>16923</v>
      </c>
      <c r="C1155" s="114" t="inlineStr">
        <is>
          <t>United Kingdom</t>
        </is>
      </c>
      <c r="D1155" s="114" t="inlineStr">
        <is>
          <t>22698</t>
        </is>
      </c>
      <c r="E1155" s="114" t="inlineStr">
        <is>
          <t>PINK REGENCY TEACUP AND SAUCER</t>
        </is>
      </c>
      <c r="F1155" s="114" t="n">
        <v>8</v>
      </c>
      <c r="G1155" s="115" t="n">
        <v>2.95</v>
      </c>
      <c r="H1155" s="115" t="n">
        <v>23.6</v>
      </c>
      <c r="I1155" s="116" t="n">
        <v>40629</v>
      </c>
    </row>
    <row r="1156">
      <c r="A1156" s="117" t="inlineStr">
        <is>
          <t>547841</t>
        </is>
      </c>
      <c r="B1156" s="117" t="n">
        <v>16923</v>
      </c>
      <c r="C1156" s="117" t="inlineStr">
        <is>
          <t>United Kingdom</t>
        </is>
      </c>
      <c r="D1156" s="117" t="inlineStr">
        <is>
          <t>21257</t>
        </is>
      </c>
      <c r="E1156" s="117" t="inlineStr">
        <is>
          <t>VICTORIAN SEWING BOX MEDIUM</t>
        </is>
      </c>
      <c r="F1156" s="117" t="n">
        <v>2</v>
      </c>
      <c r="G1156" s="118" t="n">
        <v>7.95</v>
      </c>
      <c r="H1156" s="118" t="n">
        <v>15.9</v>
      </c>
      <c r="I1156" s="119" t="n">
        <v>40629</v>
      </c>
    </row>
    <row r="1157">
      <c r="A1157" s="114" t="inlineStr">
        <is>
          <t>547841</t>
        </is>
      </c>
      <c r="B1157" s="114" t="n">
        <v>16923</v>
      </c>
      <c r="C1157" s="114" t="inlineStr">
        <is>
          <t>United Kingdom</t>
        </is>
      </c>
      <c r="D1157" s="114" t="inlineStr">
        <is>
          <t>21906</t>
        </is>
      </c>
      <c r="E1157" s="114" t="inlineStr">
        <is>
          <t>PHARMACIE FIRST AID TIN</t>
        </is>
      </c>
      <c r="F1157" s="114" t="n">
        <v>2</v>
      </c>
      <c r="G1157" s="115" t="n">
        <v>6.75</v>
      </c>
      <c r="H1157" s="115" t="n">
        <v>13.5</v>
      </c>
      <c r="I1157" s="116" t="n">
        <v>40629</v>
      </c>
    </row>
    <row r="1158">
      <c r="A1158" s="117" t="inlineStr">
        <is>
          <t>547842</t>
        </is>
      </c>
      <c r="B1158" s="117" t="n">
        <v>13875</v>
      </c>
      <c r="C1158" s="117" t="inlineStr">
        <is>
          <t>United Kingdom</t>
        </is>
      </c>
      <c r="D1158" s="117" t="inlineStr">
        <is>
          <t>22219</t>
        </is>
      </c>
      <c r="E1158" s="117" t="inlineStr">
        <is>
          <t xml:space="preserve">LOVEBIRD HANGING DECORATION WHITE </t>
        </is>
      </c>
      <c r="F1158" s="117" t="n">
        <v>12</v>
      </c>
      <c r="G1158" s="118" t="n">
        <v>0.85</v>
      </c>
      <c r="H1158" s="118" t="n">
        <v>10.2</v>
      </c>
      <c r="I1158" s="119" t="n">
        <v>40629</v>
      </c>
    </row>
    <row r="1159">
      <c r="A1159" s="114" t="inlineStr">
        <is>
          <t>547862</t>
        </is>
      </c>
      <c r="B1159" s="114" t="n">
        <v>12841</v>
      </c>
      <c r="C1159" s="114" t="inlineStr">
        <is>
          <t>United Kingdom</t>
        </is>
      </c>
      <c r="D1159" s="114" t="inlineStr">
        <is>
          <t>22806</t>
        </is>
      </c>
      <c r="E1159" s="114" t="inlineStr">
        <is>
          <t xml:space="preserve">SET OF 6 T-LIGHTS WEDDING CAKE </t>
        </is>
      </c>
      <c r="F1159" s="114" t="n">
        <v>6</v>
      </c>
      <c r="G1159" s="115" t="n">
        <v>2.95</v>
      </c>
      <c r="H1159" s="115" t="n">
        <v>17.7</v>
      </c>
      <c r="I1159" s="116" t="n">
        <v>40629</v>
      </c>
    </row>
    <row r="1160">
      <c r="A1160" s="117" t="inlineStr">
        <is>
          <t>547866</t>
        </is>
      </c>
      <c r="B1160" s="117" t="n">
        <v>14878</v>
      </c>
      <c r="C1160" s="117" t="inlineStr">
        <is>
          <t>United Kingdom</t>
        </is>
      </c>
      <c r="D1160" s="117" t="inlineStr">
        <is>
          <t>22139</t>
        </is>
      </c>
      <c r="E1160" s="117" t="inlineStr">
        <is>
          <t xml:space="preserve">RETROSPOT TEA SET CERAMIC 11 PC </t>
        </is>
      </c>
      <c r="F1160" s="117" t="n">
        <v>3</v>
      </c>
      <c r="G1160" s="118" t="n">
        <v>4.95</v>
      </c>
      <c r="H1160" s="118" t="n">
        <v>14.85</v>
      </c>
      <c r="I1160" s="119" t="n">
        <v>40629</v>
      </c>
    </row>
    <row r="1161">
      <c r="A1161" s="114" t="inlineStr">
        <is>
          <t>547867</t>
        </is>
      </c>
      <c r="B1161" s="114" t="n">
        <v>13357</v>
      </c>
      <c r="C1161" s="114" t="inlineStr">
        <is>
          <t>United Kingdom</t>
        </is>
      </c>
      <c r="D1161" s="114" t="inlineStr">
        <is>
          <t>22666</t>
        </is>
      </c>
      <c r="E1161" s="114" t="inlineStr">
        <is>
          <t>RECIPE BOX PANTRY YELLOW DESIGN</t>
        </is>
      </c>
      <c r="F1161" s="114" t="n">
        <v>2</v>
      </c>
      <c r="G1161" s="115" t="n">
        <v>2.95</v>
      </c>
      <c r="H1161" s="115" t="n">
        <v>5.9</v>
      </c>
      <c r="I1161" s="116" t="n">
        <v>40629</v>
      </c>
    </row>
    <row r="1162">
      <c r="A1162" s="117" t="inlineStr">
        <is>
          <t>547867</t>
        </is>
      </c>
      <c r="B1162" s="117" t="n">
        <v>13357</v>
      </c>
      <c r="C1162" s="117" t="inlineStr">
        <is>
          <t>United Kingdom</t>
        </is>
      </c>
      <c r="D1162" s="117" t="inlineStr">
        <is>
          <t>22082</t>
        </is>
      </c>
      <c r="E1162" s="117" t="inlineStr">
        <is>
          <t xml:space="preserve">RIBBON REEL STRIPES DESIGN </t>
        </is>
      </c>
      <c r="F1162" s="117" t="n">
        <v>5</v>
      </c>
      <c r="G1162" s="118" t="n">
        <v>1.65</v>
      </c>
      <c r="H1162" s="118" t="n">
        <v>8.25</v>
      </c>
      <c r="I1162" s="119" t="n">
        <v>40629</v>
      </c>
    </row>
    <row r="1163">
      <c r="A1163" s="114" t="inlineStr">
        <is>
          <t>547873</t>
        </is>
      </c>
      <c r="B1163" s="114" t="n">
        <v>13240</v>
      </c>
      <c r="C1163" s="114" t="inlineStr">
        <is>
          <t>United Kingdom</t>
        </is>
      </c>
      <c r="D1163" s="114" t="inlineStr">
        <is>
          <t>85144</t>
        </is>
      </c>
      <c r="E1163" s="114" t="inlineStr">
        <is>
          <t>JARDIN ETCHED GLASS CHEESE DISH</t>
        </is>
      </c>
      <c r="F1163" s="114" t="n">
        <v>2</v>
      </c>
      <c r="G1163" s="115" t="n">
        <v>7.25</v>
      </c>
      <c r="H1163" s="115" t="n">
        <v>14.5</v>
      </c>
      <c r="I1163" s="116" t="n">
        <v>40629</v>
      </c>
    </row>
    <row r="1164">
      <c r="A1164" s="117" t="inlineStr">
        <is>
          <t>547874</t>
        </is>
      </c>
      <c r="B1164" s="117" t="n">
        <v>14476</v>
      </c>
      <c r="C1164" s="117" t="inlineStr">
        <is>
          <t>United Kingdom</t>
        </is>
      </c>
      <c r="D1164" s="117" t="inlineStr">
        <is>
          <t>22499</t>
        </is>
      </c>
      <c r="E1164" s="117" t="inlineStr">
        <is>
          <t>WOODEN UNION JACK BUNTING</t>
        </is>
      </c>
      <c r="F1164" s="117" t="n">
        <v>3</v>
      </c>
      <c r="G1164" s="118" t="n">
        <v>5.95</v>
      </c>
      <c r="H1164" s="118" t="n">
        <v>17.85</v>
      </c>
      <c r="I1164" s="119" t="n">
        <v>40629</v>
      </c>
    </row>
    <row r="1165">
      <c r="A1165" s="114" t="inlineStr">
        <is>
          <t>547876</t>
        </is>
      </c>
      <c r="B1165" s="114" t="n">
        <v>16638</v>
      </c>
      <c r="C1165" s="114" t="inlineStr">
        <is>
          <t>United Kingdom</t>
        </is>
      </c>
      <c r="D1165" s="114" t="inlineStr">
        <is>
          <t>72760B</t>
        </is>
      </c>
      <c r="E1165" s="114" t="inlineStr">
        <is>
          <t>VINTAGE CREAM 3 BASKET CAKE STAND</t>
        </is>
      </c>
      <c r="F1165" s="114" t="n">
        <v>2</v>
      </c>
      <c r="G1165" s="115" t="n">
        <v>9.949999999999999</v>
      </c>
      <c r="H1165" s="115" t="n">
        <v>19.9</v>
      </c>
      <c r="I1165" s="116" t="n">
        <v>40629</v>
      </c>
    </row>
    <row r="1166">
      <c r="A1166" s="117" t="inlineStr">
        <is>
          <t>547877</t>
        </is>
      </c>
      <c r="B1166" s="117" t="n">
        <v>14573</v>
      </c>
      <c r="C1166" s="117" t="inlineStr">
        <is>
          <t>United Kingdom</t>
        </is>
      </c>
      <c r="D1166" s="117" t="inlineStr">
        <is>
          <t>37479B</t>
        </is>
      </c>
      <c r="E1166" s="117" t="inlineStr">
        <is>
          <t>CUBIC MUG FLOCK BLUE ON BROWN</t>
        </is>
      </c>
      <c r="F1166" s="117" t="n">
        <v>1</v>
      </c>
      <c r="G1166" s="118" t="n">
        <v>0.39</v>
      </c>
      <c r="H1166" s="118" t="n">
        <v>0.39</v>
      </c>
      <c r="I1166" s="119" t="n">
        <v>40629</v>
      </c>
    </row>
    <row r="1167">
      <c r="A1167" s="114" t="inlineStr">
        <is>
          <t>547886</t>
        </is>
      </c>
      <c r="B1167" s="114" t="n">
        <v>13652</v>
      </c>
      <c r="C1167" s="114" t="inlineStr">
        <is>
          <t>United Kingdom</t>
        </is>
      </c>
      <c r="D1167" s="114" t="inlineStr">
        <is>
          <t>84077</t>
        </is>
      </c>
      <c r="E1167" s="114" t="inlineStr">
        <is>
          <t>WORLD WAR 2 GLIDERS ASSTD DESIGNS</t>
        </is>
      </c>
      <c r="F1167" s="114" t="n">
        <v>48</v>
      </c>
      <c r="G1167" s="115" t="n">
        <v>0.29</v>
      </c>
      <c r="H1167" s="115" t="n">
        <v>13.92</v>
      </c>
      <c r="I1167" s="116" t="n">
        <v>40630</v>
      </c>
    </row>
    <row r="1168">
      <c r="A1168" s="117" t="inlineStr">
        <is>
          <t>547892</t>
        </is>
      </c>
      <c r="B1168" s="117" t="n">
        <v>12669</v>
      </c>
      <c r="C1168" s="117" t="inlineStr">
        <is>
          <t>France</t>
        </is>
      </c>
      <c r="D1168" s="117" t="inlineStr">
        <is>
          <t>22556</t>
        </is>
      </c>
      <c r="E1168" s="117" t="inlineStr">
        <is>
          <t xml:space="preserve">PLASTERS IN TIN CIRCUS PARADE </t>
        </is>
      </c>
      <c r="F1168" s="117" t="n">
        <v>12</v>
      </c>
      <c r="G1168" s="118" t="n">
        <v>1.65</v>
      </c>
      <c r="H1168" s="118" t="n">
        <v>19.8</v>
      </c>
      <c r="I1168" s="119" t="n">
        <v>40630</v>
      </c>
    </row>
    <row r="1169">
      <c r="A1169" s="114" t="inlineStr">
        <is>
          <t>547896</t>
        </is>
      </c>
      <c r="B1169" s="114" t="n">
        <v>17841</v>
      </c>
      <c r="C1169" s="114" t="inlineStr">
        <is>
          <t>United Kingdom</t>
        </is>
      </c>
      <c r="D1169" s="114" t="inlineStr">
        <is>
          <t>82583</t>
        </is>
      </c>
      <c r="E1169" s="114" t="inlineStr">
        <is>
          <t>HOT BATHS METAL SIGN</t>
        </is>
      </c>
      <c r="F1169" s="114" t="n">
        <v>1</v>
      </c>
      <c r="G1169" s="115" t="n">
        <v>2.1</v>
      </c>
      <c r="H1169" s="115" t="n">
        <v>2.1</v>
      </c>
      <c r="I1169" s="116" t="n">
        <v>40630</v>
      </c>
    </row>
    <row r="1170">
      <c r="A1170" s="117" t="inlineStr">
        <is>
          <t>547906</t>
        </is>
      </c>
      <c r="B1170" s="117" t="n">
        <v>14410</v>
      </c>
      <c r="C1170" s="117" t="inlineStr">
        <is>
          <t>United Kingdom</t>
        </is>
      </c>
      <c r="D1170" s="117" t="inlineStr">
        <is>
          <t>22974</t>
        </is>
      </c>
      <c r="E1170" s="117" t="inlineStr">
        <is>
          <t>CHILDRENS DOLLY GIRL MUG</t>
        </is>
      </c>
      <c r="F1170" s="117" t="n">
        <v>2</v>
      </c>
      <c r="G1170" s="118" t="n">
        <v>1.65</v>
      </c>
      <c r="H1170" s="118" t="n">
        <v>3.3</v>
      </c>
      <c r="I1170" s="119" t="n">
        <v>40630</v>
      </c>
    </row>
    <row r="1171">
      <c r="A1171" s="114" t="inlineStr">
        <is>
          <t>547909</t>
        </is>
      </c>
      <c r="B1171" s="114" t="n">
        <v>15033</v>
      </c>
      <c r="C1171" s="114" t="inlineStr">
        <is>
          <t>United Kingdom</t>
        </is>
      </c>
      <c r="D1171" s="114" t="inlineStr">
        <is>
          <t>21314</t>
        </is>
      </c>
      <c r="E1171" s="114" t="inlineStr">
        <is>
          <t>SMALL GLASS HEART TRINKET POT</t>
        </is>
      </c>
      <c r="F1171" s="114" t="n">
        <v>4</v>
      </c>
      <c r="G1171" s="115" t="n">
        <v>2.1</v>
      </c>
      <c r="H1171" s="115" t="n">
        <v>8.4</v>
      </c>
      <c r="I1171" s="116" t="n">
        <v>40630</v>
      </c>
    </row>
    <row r="1172">
      <c r="A1172" s="117" t="inlineStr">
        <is>
          <t>547909</t>
        </is>
      </c>
      <c r="B1172" s="117" t="n">
        <v>15033</v>
      </c>
      <c r="C1172" s="117" t="inlineStr">
        <is>
          <t>United Kingdom</t>
        </is>
      </c>
      <c r="D1172" s="117" t="inlineStr">
        <is>
          <t>22403</t>
        </is>
      </c>
      <c r="E1172" s="117" t="inlineStr">
        <is>
          <t xml:space="preserve">MAGNETS PACK OF 4 VINTAGE LABELS </t>
        </is>
      </c>
      <c r="F1172" s="117" t="n">
        <v>1</v>
      </c>
      <c r="G1172" s="118" t="n">
        <v>1.25</v>
      </c>
      <c r="H1172" s="118" t="n">
        <v>1.25</v>
      </c>
      <c r="I1172" s="119" t="n">
        <v>40630</v>
      </c>
    </row>
    <row r="1173">
      <c r="A1173" s="114" t="inlineStr">
        <is>
          <t>547910</t>
        </is>
      </c>
      <c r="B1173" s="114" t="n">
        <v>14159</v>
      </c>
      <c r="C1173" s="114" t="inlineStr">
        <is>
          <t>United Kingdom</t>
        </is>
      </c>
      <c r="D1173" s="114" t="inlineStr">
        <is>
          <t>20725</t>
        </is>
      </c>
      <c r="E1173" s="114" t="inlineStr">
        <is>
          <t>LUNCH BAG RED RETROSPOT</t>
        </is>
      </c>
      <c r="F1173" s="114" t="n">
        <v>3</v>
      </c>
      <c r="G1173" s="115" t="n">
        <v>1.65</v>
      </c>
      <c r="H1173" s="115" t="n">
        <v>4.95</v>
      </c>
      <c r="I1173" s="116" t="n">
        <v>40630</v>
      </c>
    </row>
    <row r="1174">
      <c r="A1174" s="117" t="inlineStr">
        <is>
          <t>547912</t>
        </is>
      </c>
      <c r="B1174" s="117" t="n">
        <v>18010</v>
      </c>
      <c r="C1174" s="117" t="inlineStr">
        <is>
          <t>United Kingdom</t>
        </is>
      </c>
      <c r="D1174" s="117" t="inlineStr">
        <is>
          <t>20974</t>
        </is>
      </c>
      <c r="E1174" s="117" t="inlineStr">
        <is>
          <t>12 PENCILS SMALL TUBE SKULL</t>
        </is>
      </c>
      <c r="F1174" s="117" t="n">
        <v>4</v>
      </c>
      <c r="G1174" s="118" t="n">
        <v>0.65</v>
      </c>
      <c r="H1174" s="118" t="n">
        <v>2.6</v>
      </c>
      <c r="I1174" s="119" t="n">
        <v>40630</v>
      </c>
    </row>
    <row r="1175">
      <c r="A1175" s="114" t="inlineStr">
        <is>
          <t>547918</t>
        </is>
      </c>
      <c r="B1175" s="114" t="n">
        <v>15249</v>
      </c>
      <c r="C1175" s="114" t="inlineStr">
        <is>
          <t>United Kingdom</t>
        </is>
      </c>
      <c r="D1175" s="114" t="inlineStr">
        <is>
          <t>85032A</t>
        </is>
      </c>
      <c r="E1175" s="114" t="inlineStr">
        <is>
          <t>ROMANTIC IMAGES GIFT WRAP SET</t>
        </is>
      </c>
      <c r="F1175" s="114" t="n">
        <v>6</v>
      </c>
      <c r="G1175" s="115" t="n">
        <v>2.1</v>
      </c>
      <c r="H1175" s="115" t="n">
        <v>12.6</v>
      </c>
      <c r="I1175" s="116" t="n">
        <v>40630</v>
      </c>
    </row>
    <row r="1176">
      <c r="A1176" s="117" t="inlineStr">
        <is>
          <t>547921</t>
        </is>
      </c>
      <c r="B1176" s="117" t="n">
        <v>14766</v>
      </c>
      <c r="C1176" s="117" t="inlineStr">
        <is>
          <t>United Kingdom</t>
        </is>
      </c>
      <c r="D1176" s="117" t="inlineStr">
        <is>
          <t>21210</t>
        </is>
      </c>
      <c r="E1176" s="117" t="inlineStr">
        <is>
          <t>SET OF 72 RETROSPOT PAPER  DOILIES</t>
        </is>
      </c>
      <c r="F1176" s="117" t="n">
        <v>12</v>
      </c>
      <c r="G1176" s="118" t="n">
        <v>1.45</v>
      </c>
      <c r="H1176" s="118" t="n">
        <v>17.4</v>
      </c>
      <c r="I1176" s="119" t="n">
        <v>40630</v>
      </c>
    </row>
    <row r="1177">
      <c r="A1177" s="114" t="inlineStr">
        <is>
          <t>547934</t>
        </is>
      </c>
      <c r="B1177" s="114" t="n">
        <v>12474</v>
      </c>
      <c r="C1177" s="114" t="inlineStr">
        <is>
          <t>Germany</t>
        </is>
      </c>
      <c r="D1177" s="114" t="inlineStr">
        <is>
          <t>20676</t>
        </is>
      </c>
      <c r="E1177" s="114" t="inlineStr">
        <is>
          <t>RED RETROSPOT BOWL</t>
        </is>
      </c>
      <c r="F1177" s="114" t="n">
        <v>8</v>
      </c>
      <c r="G1177" s="115" t="n">
        <v>1.25</v>
      </c>
      <c r="H1177" s="115" t="n">
        <v>10</v>
      </c>
      <c r="I1177" s="116" t="n">
        <v>40630</v>
      </c>
    </row>
    <row r="1178">
      <c r="A1178" s="117" t="inlineStr">
        <is>
          <t>547960</t>
        </is>
      </c>
      <c r="B1178" s="117" t="n">
        <v>15644</v>
      </c>
      <c r="C1178" s="117" t="inlineStr">
        <is>
          <t>United Kingdom</t>
        </is>
      </c>
      <c r="D1178" s="117" t="inlineStr">
        <is>
          <t>22621</t>
        </is>
      </c>
      <c r="E1178" s="117" t="inlineStr">
        <is>
          <t>TRADITIONAL KNITTING NANCY</t>
        </is>
      </c>
      <c r="F1178" s="117" t="n">
        <v>1</v>
      </c>
      <c r="G1178" s="118" t="n">
        <v>1.45</v>
      </c>
      <c r="H1178" s="118" t="n">
        <v>1.45</v>
      </c>
      <c r="I1178" s="119" t="n">
        <v>40630</v>
      </c>
    </row>
    <row r="1179">
      <c r="A1179" s="114" t="inlineStr">
        <is>
          <t>547987</t>
        </is>
      </c>
      <c r="B1179" s="114" t="n">
        <v>17428</v>
      </c>
      <c r="C1179" s="114" t="inlineStr">
        <is>
          <t>United Kingdom</t>
        </is>
      </c>
      <c r="D1179" s="114" t="inlineStr">
        <is>
          <t>20713</t>
        </is>
      </c>
      <c r="E1179" s="114" t="inlineStr">
        <is>
          <t>JUMBO BAG OWLS</t>
        </is>
      </c>
      <c r="F1179" s="114" t="n">
        <v>10</v>
      </c>
      <c r="G1179" s="115" t="n">
        <v>1.95</v>
      </c>
      <c r="H1179" s="115" t="n">
        <v>19.5</v>
      </c>
      <c r="I1179" s="116" t="n">
        <v>40631</v>
      </c>
    </row>
    <row r="1180">
      <c r="A1180" s="117" t="inlineStr">
        <is>
          <t>547990</t>
        </is>
      </c>
      <c r="B1180" s="117" t="n">
        <v>15589</v>
      </c>
      <c r="C1180" s="117" t="inlineStr">
        <is>
          <t>United Kingdom</t>
        </is>
      </c>
      <c r="D1180" s="117" t="inlineStr">
        <is>
          <t>21277</t>
        </is>
      </c>
      <c r="E1180" s="117" t="inlineStr">
        <is>
          <t>FRENCH STYLE EMBOSSED HEART CABINET</t>
        </is>
      </c>
      <c r="F1180" s="117" t="n">
        <v>1</v>
      </c>
      <c r="G1180" s="118" t="n">
        <v>21.95</v>
      </c>
      <c r="H1180" s="118" t="n">
        <v>21.95</v>
      </c>
      <c r="I1180" s="119" t="n">
        <v>40631</v>
      </c>
    </row>
    <row r="1181">
      <c r="A1181" s="114" t="inlineStr">
        <is>
          <t>548011</t>
        </is>
      </c>
      <c r="B1181" s="114" t="n">
        <v>14646</v>
      </c>
      <c r="C1181" s="114" t="inlineStr">
        <is>
          <t>Netherlands</t>
        </is>
      </c>
      <c r="D1181" s="114" t="inlineStr">
        <is>
          <t>22967</t>
        </is>
      </c>
      <c r="E1181" s="114" t="inlineStr">
        <is>
          <t>SET 3 SONG BIRD PAPER EGGS ASSORTED</t>
        </is>
      </c>
      <c r="F1181" s="114" t="n">
        <v>48</v>
      </c>
      <c r="G1181" s="115" t="n">
        <v>2.55</v>
      </c>
      <c r="H1181" s="115" t="n">
        <v>122.4</v>
      </c>
      <c r="I1181" s="116" t="n">
        <v>40631</v>
      </c>
    </row>
    <row r="1182">
      <c r="A1182" s="117" t="inlineStr">
        <is>
          <t>548011</t>
        </is>
      </c>
      <c r="B1182" s="117" t="n">
        <v>14646</v>
      </c>
      <c r="C1182" s="117" t="inlineStr">
        <is>
          <t>Netherlands</t>
        </is>
      </c>
      <c r="D1182" s="117" t="inlineStr">
        <is>
          <t>22890</t>
        </is>
      </c>
      <c r="E1182" s="117" t="inlineStr">
        <is>
          <t>NOVELTY BISCUITS CAKE STAND 3 TIER</t>
        </is>
      </c>
      <c r="F1182" s="117" t="n">
        <v>24</v>
      </c>
      <c r="G1182" s="118" t="n">
        <v>8.5</v>
      </c>
      <c r="H1182" s="118" t="n">
        <v>204</v>
      </c>
      <c r="I1182" s="119" t="n">
        <v>40631</v>
      </c>
    </row>
    <row r="1183">
      <c r="A1183" s="114" t="inlineStr">
        <is>
          <t>548013</t>
        </is>
      </c>
      <c r="B1183" s="114" t="n">
        <v>17874</v>
      </c>
      <c r="C1183" s="114" t="inlineStr">
        <is>
          <t>United Kingdom</t>
        </is>
      </c>
      <c r="D1183" s="114" t="inlineStr">
        <is>
          <t>22902</t>
        </is>
      </c>
      <c r="E1183" s="114" t="inlineStr">
        <is>
          <t>TOTE BAG I LOVE LONDON</t>
        </is>
      </c>
      <c r="F1183" s="114" t="n">
        <v>12</v>
      </c>
      <c r="G1183" s="115" t="n">
        <v>2.1</v>
      </c>
      <c r="H1183" s="115" t="n">
        <v>25.2</v>
      </c>
      <c r="I1183" s="116" t="n">
        <v>40631</v>
      </c>
    </row>
    <row r="1184">
      <c r="A1184" s="117" t="inlineStr">
        <is>
          <t>548014</t>
        </is>
      </c>
      <c r="B1184" s="117" t="n">
        <v>17719</v>
      </c>
      <c r="C1184" s="117" t="inlineStr">
        <is>
          <t>United Kingdom</t>
        </is>
      </c>
      <c r="D1184" s="117" t="inlineStr">
        <is>
          <t>22845</t>
        </is>
      </c>
      <c r="E1184" s="117" t="inlineStr">
        <is>
          <t>VINTAGE CREAM CAT FOOD CONTAINER</t>
        </is>
      </c>
      <c r="F1184" s="117" t="n">
        <v>2</v>
      </c>
      <c r="G1184" s="118" t="n">
        <v>6.35</v>
      </c>
      <c r="H1184" s="118" t="n">
        <v>12.7</v>
      </c>
      <c r="I1184" s="119" t="n">
        <v>40631</v>
      </c>
    </row>
    <row r="1185">
      <c r="A1185" s="114" t="inlineStr">
        <is>
          <t>548148</t>
        </is>
      </c>
      <c r="B1185" s="114" t="n">
        <v>17931</v>
      </c>
      <c r="C1185" s="114" t="inlineStr">
        <is>
          <t>United Kingdom</t>
        </is>
      </c>
      <c r="D1185" s="114" t="inlineStr">
        <is>
          <t>21928</t>
        </is>
      </c>
      <c r="E1185" s="114" t="inlineStr">
        <is>
          <t>JUMBO BAG SCANDINAVIAN BLUE PAISLEY</t>
        </is>
      </c>
      <c r="F1185" s="114" t="n">
        <v>1</v>
      </c>
      <c r="G1185" s="115" t="n">
        <v>1.95</v>
      </c>
      <c r="H1185" s="115" t="n">
        <v>1.95</v>
      </c>
      <c r="I1185" s="116" t="n">
        <v>40631</v>
      </c>
    </row>
    <row r="1186">
      <c r="A1186" s="117" t="inlineStr">
        <is>
          <t>548154</t>
        </is>
      </c>
      <c r="B1186" s="117" t="n">
        <v>17675</v>
      </c>
      <c r="C1186" s="117" t="inlineStr">
        <is>
          <t>United Kingdom</t>
        </is>
      </c>
      <c r="D1186" s="117" t="inlineStr">
        <is>
          <t>22192</t>
        </is>
      </c>
      <c r="E1186" s="117" t="inlineStr">
        <is>
          <t>BLUE DINER WALL CLOCK</t>
        </is>
      </c>
      <c r="F1186" s="117" t="n">
        <v>2</v>
      </c>
      <c r="G1186" s="118" t="n">
        <v>8.5</v>
      </c>
      <c r="H1186" s="118" t="n">
        <v>17</v>
      </c>
      <c r="I1186" s="119" t="n">
        <v>40631</v>
      </c>
    </row>
    <row r="1187">
      <c r="A1187" s="114" t="inlineStr">
        <is>
          <t>548171</t>
        </is>
      </c>
      <c r="B1187" s="114" t="n">
        <v>16422</v>
      </c>
      <c r="C1187" s="114" t="inlineStr">
        <is>
          <t>United Kingdom</t>
        </is>
      </c>
      <c r="D1187" s="114" t="inlineStr">
        <is>
          <t>47566B</t>
        </is>
      </c>
      <c r="E1187" s="114" t="inlineStr">
        <is>
          <t>TEA TIME PARTY BUNTING</t>
        </is>
      </c>
      <c r="F1187" s="114" t="n">
        <v>20</v>
      </c>
      <c r="G1187" s="115" t="n">
        <v>4.95</v>
      </c>
      <c r="H1187" s="115" t="n">
        <v>99</v>
      </c>
      <c r="I1187" s="116" t="n">
        <v>40631</v>
      </c>
    </row>
    <row r="1188">
      <c r="A1188" s="117" t="inlineStr">
        <is>
          <t>548185</t>
        </is>
      </c>
      <c r="B1188" s="117" t="n">
        <v>15628</v>
      </c>
      <c r="C1188" s="117" t="inlineStr">
        <is>
          <t>United Kingdom</t>
        </is>
      </c>
      <c r="D1188" s="117" t="inlineStr">
        <is>
          <t>22961</t>
        </is>
      </c>
      <c r="E1188" s="117" t="inlineStr">
        <is>
          <t>JAM MAKING SET PRINTED</t>
        </is>
      </c>
      <c r="F1188" s="117" t="n">
        <v>12</v>
      </c>
      <c r="G1188" s="118" t="n">
        <v>1.45</v>
      </c>
      <c r="H1188" s="118" t="n">
        <v>17.4</v>
      </c>
      <c r="I1188" s="119" t="n">
        <v>40631</v>
      </c>
    </row>
    <row r="1189">
      <c r="A1189" s="114" t="inlineStr">
        <is>
          <t>548185</t>
        </is>
      </c>
      <c r="B1189" s="114" t="n">
        <v>15628</v>
      </c>
      <c r="C1189" s="114" t="inlineStr">
        <is>
          <t>United Kingdom</t>
        </is>
      </c>
      <c r="D1189" s="114" t="inlineStr">
        <is>
          <t>22993</t>
        </is>
      </c>
      <c r="E1189" s="114" t="inlineStr">
        <is>
          <t>SET OF 4 PANTRY JELLY MOULDS</t>
        </is>
      </c>
      <c r="F1189" s="114" t="n">
        <v>12</v>
      </c>
      <c r="G1189" s="115" t="n">
        <v>1.25</v>
      </c>
      <c r="H1189" s="115" t="n">
        <v>15</v>
      </c>
      <c r="I1189" s="116" t="n">
        <v>40631</v>
      </c>
    </row>
    <row r="1190">
      <c r="A1190" s="117" t="inlineStr">
        <is>
          <t>548188</t>
        </is>
      </c>
      <c r="B1190" s="117" t="n">
        <v>13263</v>
      </c>
      <c r="C1190" s="117" t="inlineStr">
        <is>
          <t>United Kingdom</t>
        </is>
      </c>
      <c r="D1190" s="117" t="inlineStr">
        <is>
          <t>22917</t>
        </is>
      </c>
      <c r="E1190" s="117" t="inlineStr">
        <is>
          <t>HERB MARKER ROSEMARY</t>
        </is>
      </c>
      <c r="F1190" s="117" t="n">
        <v>2</v>
      </c>
      <c r="G1190" s="118" t="n">
        <v>0.65</v>
      </c>
      <c r="H1190" s="118" t="n">
        <v>1.3</v>
      </c>
      <c r="I1190" s="119" t="n">
        <v>40631</v>
      </c>
    </row>
    <row r="1191">
      <c r="A1191" s="114" t="inlineStr">
        <is>
          <t>548210</t>
        </is>
      </c>
      <c r="B1191" s="114" t="n">
        <v>14606</v>
      </c>
      <c r="C1191" s="114" t="inlineStr">
        <is>
          <t>United Kingdom</t>
        </is>
      </c>
      <c r="D1191" s="114" t="inlineStr">
        <is>
          <t>22362</t>
        </is>
      </c>
      <c r="E1191" s="114" t="inlineStr">
        <is>
          <t>GLASS JAR PEACOCK BATH SALTS</t>
        </is>
      </c>
      <c r="F1191" s="114" t="n">
        <v>1</v>
      </c>
      <c r="G1191" s="115" t="n">
        <v>2.95</v>
      </c>
      <c r="H1191" s="115" t="n">
        <v>2.95</v>
      </c>
      <c r="I1191" s="116" t="n">
        <v>40631</v>
      </c>
    </row>
    <row r="1192">
      <c r="A1192" s="117" t="inlineStr">
        <is>
          <t>548212</t>
        </is>
      </c>
      <c r="B1192" s="117" t="n">
        <v>12456</v>
      </c>
      <c r="C1192" s="117" t="inlineStr">
        <is>
          <t>Switzerland</t>
        </is>
      </c>
      <c r="D1192" s="117" t="inlineStr">
        <is>
          <t>22961</t>
        </is>
      </c>
      <c r="E1192" s="117" t="inlineStr">
        <is>
          <t>JAM MAKING SET PRINTED</t>
        </is>
      </c>
      <c r="F1192" s="117" t="n">
        <v>12</v>
      </c>
      <c r="G1192" s="118" t="n">
        <v>1.45</v>
      </c>
      <c r="H1192" s="118" t="n">
        <v>17.4</v>
      </c>
      <c r="I1192" s="119" t="n">
        <v>40632</v>
      </c>
    </row>
    <row r="1193">
      <c r="A1193" s="114" t="inlineStr">
        <is>
          <t>548213</t>
        </is>
      </c>
      <c r="B1193" s="114" t="n">
        <v>15521</v>
      </c>
      <c r="C1193" s="114" t="inlineStr">
        <is>
          <t>United Kingdom</t>
        </is>
      </c>
      <c r="D1193" s="114" t="inlineStr">
        <is>
          <t>22491</t>
        </is>
      </c>
      <c r="E1193" s="114" t="inlineStr">
        <is>
          <t>PACK OF 12 COLOURED PENCILS</t>
        </is>
      </c>
      <c r="F1193" s="114" t="n">
        <v>12</v>
      </c>
      <c r="G1193" s="115" t="n">
        <v>0.85</v>
      </c>
      <c r="H1193" s="115" t="n">
        <v>10.2</v>
      </c>
      <c r="I1193" s="116" t="n">
        <v>40632</v>
      </c>
    </row>
    <row r="1194">
      <c r="A1194" s="117" t="inlineStr">
        <is>
          <t>548214</t>
        </is>
      </c>
      <c r="B1194" s="117" t="n">
        <v>13720</v>
      </c>
      <c r="C1194" s="117" t="inlineStr">
        <is>
          <t>United Kingdom</t>
        </is>
      </c>
      <c r="D1194" s="117" t="inlineStr">
        <is>
          <t>84836</t>
        </is>
      </c>
      <c r="E1194" s="117" t="inlineStr">
        <is>
          <t>ZINC METAL HEART DECORATION</t>
        </is>
      </c>
      <c r="F1194" s="117" t="n">
        <v>12</v>
      </c>
      <c r="G1194" s="118" t="n">
        <v>1.25</v>
      </c>
      <c r="H1194" s="118" t="n">
        <v>15</v>
      </c>
      <c r="I1194" s="119" t="n">
        <v>40632</v>
      </c>
    </row>
    <row r="1195">
      <c r="A1195" s="114" t="inlineStr">
        <is>
          <t>548234</t>
        </is>
      </c>
      <c r="B1195" s="114" t="n">
        <v>17594</v>
      </c>
      <c r="C1195" s="114" t="inlineStr">
        <is>
          <t>United Kingdom</t>
        </is>
      </c>
      <c r="D1195" s="114" t="inlineStr">
        <is>
          <t>20719</t>
        </is>
      </c>
      <c r="E1195" s="114" t="inlineStr">
        <is>
          <t>WOODLAND CHARLOTTE BAG</t>
        </is>
      </c>
      <c r="F1195" s="114" t="n">
        <v>10</v>
      </c>
      <c r="G1195" s="115" t="n">
        <v>0.85</v>
      </c>
      <c r="H1195" s="115" t="n">
        <v>8.5</v>
      </c>
      <c r="I1195" s="116" t="n">
        <v>40632</v>
      </c>
    </row>
    <row r="1196">
      <c r="A1196" s="117" t="inlineStr">
        <is>
          <t>548255</t>
        </is>
      </c>
      <c r="B1196" s="117" t="n">
        <v>13078</v>
      </c>
      <c r="C1196" s="117" t="inlineStr">
        <is>
          <t>United Kingdom</t>
        </is>
      </c>
      <c r="D1196" s="117" t="inlineStr">
        <is>
          <t>22468</t>
        </is>
      </c>
      <c r="E1196" s="117" t="inlineStr">
        <is>
          <t>BABUSHKA LIGHTS STRING OF 10</t>
        </is>
      </c>
      <c r="F1196" s="117" t="n">
        <v>6</v>
      </c>
      <c r="G1196" s="118" t="n">
        <v>6.75</v>
      </c>
      <c r="H1196" s="118" t="n">
        <v>40.5</v>
      </c>
      <c r="I1196" s="119" t="n">
        <v>40632</v>
      </c>
    </row>
    <row r="1197">
      <c r="A1197" s="114" t="inlineStr">
        <is>
          <t>548257</t>
        </is>
      </c>
      <c r="B1197" s="114" t="n">
        <v>13802</v>
      </c>
      <c r="C1197" s="114" t="inlineStr">
        <is>
          <t>United Kingdom</t>
        </is>
      </c>
      <c r="D1197" s="114" t="inlineStr">
        <is>
          <t>85099B</t>
        </is>
      </c>
      <c r="E1197" s="114" t="inlineStr">
        <is>
          <t>JUMBO BAG RED RETROSPOT</t>
        </is>
      </c>
      <c r="F1197" s="114" t="n">
        <v>200</v>
      </c>
      <c r="G1197" s="115" t="n">
        <v>1.65</v>
      </c>
      <c r="H1197" s="115" t="n">
        <v>330</v>
      </c>
      <c r="I1197" s="116" t="n">
        <v>40632</v>
      </c>
    </row>
    <row r="1198">
      <c r="A1198" s="117" t="inlineStr">
        <is>
          <t>548258</t>
        </is>
      </c>
      <c r="B1198" s="117" t="n">
        <v>14146</v>
      </c>
      <c r="C1198" s="117" t="inlineStr">
        <is>
          <t>United Kingdom</t>
        </is>
      </c>
      <c r="D1198" s="117" t="inlineStr">
        <is>
          <t>22745</t>
        </is>
      </c>
      <c r="E1198" s="117" t="inlineStr">
        <is>
          <t xml:space="preserve">POPPY'S PLAYHOUSE BEDROOM </t>
        </is>
      </c>
      <c r="F1198" s="117" t="n">
        <v>6</v>
      </c>
      <c r="G1198" s="118" t="n">
        <v>2.1</v>
      </c>
      <c r="H1198" s="118" t="n">
        <v>12.6</v>
      </c>
      <c r="I1198" s="119" t="n">
        <v>40632</v>
      </c>
    </row>
    <row r="1199">
      <c r="A1199" s="114" t="inlineStr">
        <is>
          <t>548258</t>
        </is>
      </c>
      <c r="B1199" s="114" t="n">
        <v>14146</v>
      </c>
      <c r="C1199" s="114" t="inlineStr">
        <is>
          <t>United Kingdom</t>
        </is>
      </c>
      <c r="D1199" s="114" t="inlineStr">
        <is>
          <t>23076</t>
        </is>
      </c>
      <c r="E1199" s="114" t="inlineStr">
        <is>
          <t>ICE CREAM SUNDAE LIP GLOSS</t>
        </is>
      </c>
      <c r="F1199" s="114" t="n">
        <v>24</v>
      </c>
      <c r="G1199" s="115" t="n">
        <v>1.25</v>
      </c>
      <c r="H1199" s="115" t="n">
        <v>30</v>
      </c>
      <c r="I1199" s="116" t="n">
        <v>40632</v>
      </c>
    </row>
    <row r="1200">
      <c r="A1200" s="117" t="inlineStr">
        <is>
          <t>548260</t>
        </is>
      </c>
      <c r="B1200" s="117" t="n">
        <v>15373</v>
      </c>
      <c r="C1200" s="117" t="inlineStr">
        <is>
          <t>United Kingdom</t>
        </is>
      </c>
      <c r="D1200" s="117" t="inlineStr">
        <is>
          <t>22138</t>
        </is>
      </c>
      <c r="E1200" s="117" t="inlineStr">
        <is>
          <t xml:space="preserve">BAKING SET 9 PIECE RETROSPOT </t>
        </is>
      </c>
      <c r="F1200" s="117" t="n">
        <v>1</v>
      </c>
      <c r="G1200" s="118" t="n">
        <v>4.95</v>
      </c>
      <c r="H1200" s="118" t="n">
        <v>4.95</v>
      </c>
      <c r="I1200" s="119" t="n">
        <v>40632</v>
      </c>
    </row>
    <row r="1201">
      <c r="A1201" s="114" t="inlineStr">
        <is>
          <t>548308</t>
        </is>
      </c>
      <c r="B1201" s="114" t="n">
        <v>17220</v>
      </c>
      <c r="C1201" s="114" t="inlineStr">
        <is>
          <t>United Kingdom</t>
        </is>
      </c>
      <c r="D1201" s="114" t="inlineStr">
        <is>
          <t>22970</t>
        </is>
      </c>
      <c r="E1201" s="114" t="inlineStr">
        <is>
          <t>LONDON BUS COFFEE MUG</t>
        </is>
      </c>
      <c r="F1201" s="114" t="n">
        <v>6</v>
      </c>
      <c r="G1201" s="115" t="n">
        <v>2.55</v>
      </c>
      <c r="H1201" s="115" t="n">
        <v>15.3</v>
      </c>
      <c r="I1201" s="116" t="n">
        <v>40632</v>
      </c>
    </row>
    <row r="1202">
      <c r="A1202" s="117" t="inlineStr">
        <is>
          <t>548314</t>
        </is>
      </c>
      <c r="B1202" s="117" t="n">
        <v>16949</v>
      </c>
      <c r="C1202" s="117" t="inlineStr">
        <is>
          <t>United Kingdom</t>
        </is>
      </c>
      <c r="D1202" s="117" t="inlineStr">
        <is>
          <t>22969</t>
        </is>
      </c>
      <c r="E1202" s="117" t="inlineStr">
        <is>
          <t>HOMEMADE JAM SCENTED CANDLES</t>
        </is>
      </c>
      <c r="F1202" s="117" t="n">
        <v>12</v>
      </c>
      <c r="G1202" s="118" t="n">
        <v>1.45</v>
      </c>
      <c r="H1202" s="118" t="n">
        <v>17.4</v>
      </c>
      <c r="I1202" s="119" t="n">
        <v>40632</v>
      </c>
    </row>
    <row r="1203">
      <c r="A1203" s="114" t="inlineStr">
        <is>
          <t>548319</t>
        </is>
      </c>
      <c r="B1203" s="114" t="n">
        <v>14180</v>
      </c>
      <c r="C1203" s="114" t="inlineStr">
        <is>
          <t>United Kingdom</t>
        </is>
      </c>
      <c r="D1203" s="114" t="inlineStr">
        <is>
          <t>22168</t>
        </is>
      </c>
      <c r="E1203" s="114" t="inlineStr">
        <is>
          <t xml:space="preserve">ORGANISER WOOD ANTIQUE WHITE </t>
        </is>
      </c>
      <c r="F1203" s="114" t="n">
        <v>2</v>
      </c>
      <c r="G1203" s="115" t="n">
        <v>8.5</v>
      </c>
      <c r="H1203" s="115" t="n">
        <v>17</v>
      </c>
      <c r="I1203" s="116" t="n">
        <v>40632</v>
      </c>
    </row>
    <row r="1204">
      <c r="A1204" s="117" t="inlineStr">
        <is>
          <t>548325</t>
        </is>
      </c>
      <c r="B1204" s="117" t="n">
        <v>13509</v>
      </c>
      <c r="C1204" s="117" t="inlineStr">
        <is>
          <t>United Kingdom</t>
        </is>
      </c>
      <c r="D1204" s="117" t="inlineStr">
        <is>
          <t>20674</t>
        </is>
      </c>
      <c r="E1204" s="117" t="inlineStr">
        <is>
          <t>GREEN POLKADOT BOWL</t>
        </is>
      </c>
      <c r="F1204" s="117" t="n">
        <v>8</v>
      </c>
      <c r="G1204" s="118" t="n">
        <v>1.25</v>
      </c>
      <c r="H1204" s="118" t="n">
        <v>10</v>
      </c>
      <c r="I1204" s="119" t="n">
        <v>40632</v>
      </c>
    </row>
    <row r="1205">
      <c r="A1205" s="114" t="inlineStr">
        <is>
          <t>548330</t>
        </is>
      </c>
      <c r="B1205" s="114" t="n">
        <v>14810</v>
      </c>
      <c r="C1205" s="114" t="inlineStr">
        <is>
          <t>United Kingdom</t>
        </is>
      </c>
      <c r="D1205" s="114" t="inlineStr">
        <is>
          <t>37482P</t>
        </is>
      </c>
      <c r="E1205" s="114" t="inlineStr">
        <is>
          <t>CUBIC MUG PINK POLKADOT</t>
        </is>
      </c>
      <c r="F1205" s="114" t="n">
        <v>6</v>
      </c>
      <c r="G1205" s="115" t="n">
        <v>0.39</v>
      </c>
      <c r="H1205" s="115" t="n">
        <v>2.34</v>
      </c>
      <c r="I1205" s="116" t="n">
        <v>40632</v>
      </c>
    </row>
    <row r="1206">
      <c r="A1206" s="117" t="inlineStr">
        <is>
          <t>548330</t>
        </is>
      </c>
      <c r="B1206" s="117" t="n">
        <v>14810</v>
      </c>
      <c r="C1206" s="117" t="inlineStr">
        <is>
          <t>United Kingdom</t>
        </is>
      </c>
      <c r="D1206" s="117" t="inlineStr">
        <is>
          <t>22383</t>
        </is>
      </c>
      <c r="E1206" s="117" t="inlineStr">
        <is>
          <t xml:space="preserve">LUNCH BAG SUKI DESIGN </t>
        </is>
      </c>
      <c r="F1206" s="117" t="n">
        <v>2</v>
      </c>
      <c r="G1206" s="118" t="n">
        <v>1.65</v>
      </c>
      <c r="H1206" s="118" t="n">
        <v>3.3</v>
      </c>
      <c r="I1206" s="119" t="n">
        <v>40632</v>
      </c>
    </row>
    <row r="1207">
      <c r="A1207" s="114" t="inlineStr">
        <is>
          <t>548353</t>
        </is>
      </c>
      <c r="B1207" s="114" t="n">
        <v>15980</v>
      </c>
      <c r="C1207" s="114" t="inlineStr">
        <is>
          <t>United Kingdom</t>
        </is>
      </c>
      <c r="D1207" s="114" t="inlineStr">
        <is>
          <t>22683</t>
        </is>
      </c>
      <c r="E1207" s="114" t="inlineStr">
        <is>
          <t>FRENCH BLUE METAL DOOR SIGN 8</t>
        </is>
      </c>
      <c r="F1207" s="114" t="n">
        <v>15</v>
      </c>
      <c r="G1207" s="115" t="n">
        <v>1.25</v>
      </c>
      <c r="H1207" s="115" t="n">
        <v>18.75</v>
      </c>
      <c r="I1207" s="116" t="n">
        <v>40632</v>
      </c>
    </row>
    <row r="1208">
      <c r="A1208" s="117" t="inlineStr">
        <is>
          <t>548358</t>
        </is>
      </c>
      <c r="B1208" s="117" t="n">
        <v>15832</v>
      </c>
      <c r="C1208" s="117" t="inlineStr">
        <is>
          <t>United Kingdom</t>
        </is>
      </c>
      <c r="D1208" s="117" t="inlineStr">
        <is>
          <t>82095</t>
        </is>
      </c>
      <c r="E1208" s="117" t="inlineStr">
        <is>
          <t>HEART BUTTONS JEWELLERY BOX</t>
        </is>
      </c>
      <c r="F1208" s="117" t="n">
        <v>2</v>
      </c>
      <c r="G1208" s="118" t="n">
        <v>7.65</v>
      </c>
      <c r="H1208" s="118" t="n">
        <v>15.3</v>
      </c>
      <c r="I1208" s="119" t="n">
        <v>40632</v>
      </c>
    </row>
    <row r="1209">
      <c r="A1209" s="114" t="inlineStr">
        <is>
          <t>548358</t>
        </is>
      </c>
      <c r="B1209" s="114" t="n">
        <v>15832</v>
      </c>
      <c r="C1209" s="114" t="inlineStr">
        <is>
          <t>United Kingdom</t>
        </is>
      </c>
      <c r="D1209" s="114" t="inlineStr">
        <is>
          <t>37448</t>
        </is>
      </c>
      <c r="E1209" s="114" t="inlineStr">
        <is>
          <t>CERAMIC CAKE DESIGN SPOTTED MUG</t>
        </is>
      </c>
      <c r="F1209" s="114" t="n">
        <v>12</v>
      </c>
      <c r="G1209" s="115" t="n">
        <v>1.49</v>
      </c>
      <c r="H1209" s="115" t="n">
        <v>17.88</v>
      </c>
      <c r="I1209" s="116" t="n">
        <v>40632</v>
      </c>
    </row>
    <row r="1210">
      <c r="A1210" s="117" t="inlineStr">
        <is>
          <t>548371</t>
        </is>
      </c>
      <c r="B1210" s="117" t="n">
        <v>17757</v>
      </c>
      <c r="C1210" s="117" t="inlineStr">
        <is>
          <t>United Kingdom</t>
        </is>
      </c>
      <c r="D1210" s="117" t="inlineStr">
        <is>
          <t>22933</t>
        </is>
      </c>
      <c r="E1210" s="117" t="inlineStr">
        <is>
          <t>BAKING MOULD EASTER EGG MILK CHOC</t>
        </is>
      </c>
      <c r="F1210" s="117" t="n">
        <v>2</v>
      </c>
      <c r="G1210" s="118" t="n">
        <v>2.95</v>
      </c>
      <c r="H1210" s="118" t="n">
        <v>5.9</v>
      </c>
      <c r="I1210" s="119" t="n">
        <v>40632</v>
      </c>
    </row>
    <row r="1211">
      <c r="A1211" s="114" t="inlineStr">
        <is>
          <t>548404</t>
        </is>
      </c>
      <c r="B1211" s="114" t="n">
        <v>16398</v>
      </c>
      <c r="C1211" s="114" t="inlineStr">
        <is>
          <t>United Kingdom</t>
        </is>
      </c>
      <c r="D1211" s="114" t="inlineStr">
        <is>
          <t>21877</t>
        </is>
      </c>
      <c r="E1211" s="114" t="inlineStr">
        <is>
          <t>HOME SWEET HOME MUG</t>
        </is>
      </c>
      <c r="F1211" s="114" t="n">
        <v>12</v>
      </c>
      <c r="G1211" s="115" t="n">
        <v>1.25</v>
      </c>
      <c r="H1211" s="115" t="n">
        <v>15</v>
      </c>
      <c r="I1211" s="116" t="n">
        <v>40633</v>
      </c>
    </row>
    <row r="1212">
      <c r="A1212" s="117" t="inlineStr">
        <is>
          <t>548404</t>
        </is>
      </c>
      <c r="B1212" s="117" t="n">
        <v>16398</v>
      </c>
      <c r="C1212" s="117" t="inlineStr">
        <is>
          <t>United Kingdom</t>
        </is>
      </c>
      <c r="D1212" s="117" t="inlineStr">
        <is>
          <t>21166</t>
        </is>
      </c>
      <c r="E1212" s="117" t="inlineStr">
        <is>
          <t xml:space="preserve">COOK WITH WINE METAL SIGN </t>
        </is>
      </c>
      <c r="F1212" s="117" t="n">
        <v>12</v>
      </c>
      <c r="G1212" s="118" t="n">
        <v>2.08</v>
      </c>
      <c r="H1212" s="118" t="n">
        <v>24.96</v>
      </c>
      <c r="I1212" s="119" t="n">
        <v>40633</v>
      </c>
    </row>
    <row r="1213">
      <c r="A1213" s="114" t="inlineStr">
        <is>
          <t>548409</t>
        </is>
      </c>
      <c r="B1213" s="114" t="n">
        <v>12731</v>
      </c>
      <c r="C1213" s="114" t="inlineStr">
        <is>
          <t>France</t>
        </is>
      </c>
      <c r="D1213" s="114" t="inlineStr">
        <is>
          <t>22072</t>
        </is>
      </c>
      <c r="E1213" s="114" t="inlineStr">
        <is>
          <t xml:space="preserve">RED RETROSPOT TEA CUP AND SAUCER </t>
        </is>
      </c>
      <c r="F1213" s="114" t="n">
        <v>24</v>
      </c>
      <c r="G1213" s="115" t="n">
        <v>3.39</v>
      </c>
      <c r="H1213" s="115" t="n">
        <v>81.36</v>
      </c>
      <c r="I1213" s="116" t="n">
        <v>40633</v>
      </c>
    </row>
    <row r="1214">
      <c r="A1214" s="117" t="inlineStr">
        <is>
          <t>548451</t>
        </is>
      </c>
      <c r="B1214" s="117" t="n">
        <v>17365</v>
      </c>
      <c r="C1214" s="117" t="inlineStr">
        <is>
          <t>United Kingdom</t>
        </is>
      </c>
      <c r="D1214" s="117" t="inlineStr">
        <is>
          <t>22548</t>
        </is>
      </c>
      <c r="E1214" s="117" t="inlineStr">
        <is>
          <t>HEADS AND TAILS SPORTING FUN</t>
        </is>
      </c>
      <c r="F1214" s="117" t="n">
        <v>4</v>
      </c>
      <c r="G1214" s="118" t="n">
        <v>1.25</v>
      </c>
      <c r="H1214" s="118" t="n">
        <v>5</v>
      </c>
      <c r="I1214" s="119" t="n">
        <v>40633</v>
      </c>
    </row>
    <row r="1215">
      <c r="A1215" s="114" t="inlineStr">
        <is>
          <t>548452</t>
        </is>
      </c>
      <c r="B1215" s="114" t="n">
        <v>13060</v>
      </c>
      <c r="C1215" s="114" t="inlineStr">
        <is>
          <t>United Kingdom</t>
        </is>
      </c>
      <c r="D1215" s="114" t="inlineStr">
        <is>
          <t>15056N</t>
        </is>
      </c>
      <c r="E1215" s="114" t="inlineStr">
        <is>
          <t>EDWARDIAN PARASOL NATURAL</t>
        </is>
      </c>
      <c r="F1215" s="114" t="n">
        <v>3</v>
      </c>
      <c r="G1215" s="115" t="n">
        <v>5.95</v>
      </c>
      <c r="H1215" s="115" t="n">
        <v>17.85</v>
      </c>
      <c r="I1215" s="116" t="n">
        <v>40633</v>
      </c>
    </row>
    <row r="1216">
      <c r="A1216" s="117" t="inlineStr">
        <is>
          <t>548468</t>
        </is>
      </c>
      <c r="B1216" s="117" t="n">
        <v>14818</v>
      </c>
      <c r="C1216" s="117" t="inlineStr">
        <is>
          <t>United Kingdom</t>
        </is>
      </c>
      <c r="D1216" s="117" t="inlineStr">
        <is>
          <t>21609</t>
        </is>
      </c>
      <c r="E1216" s="117" t="inlineStr">
        <is>
          <t>SET 12 LAVENDER  BOTANICAL T-LIGHTS</t>
        </is>
      </c>
      <c r="F1216" s="117" t="n">
        <v>1</v>
      </c>
      <c r="G1216" s="118" t="n">
        <v>2.95</v>
      </c>
      <c r="H1216" s="118" t="n">
        <v>2.95</v>
      </c>
      <c r="I1216" s="119" t="n">
        <v>40633</v>
      </c>
    </row>
    <row r="1217">
      <c r="A1217" s="114" t="inlineStr">
        <is>
          <t>548492</t>
        </is>
      </c>
      <c r="B1217" s="114" t="n">
        <v>17841</v>
      </c>
      <c r="C1217" s="114" t="inlineStr">
        <is>
          <t>United Kingdom</t>
        </is>
      </c>
      <c r="D1217" s="114" t="inlineStr">
        <is>
          <t>20961</t>
        </is>
      </c>
      <c r="E1217" s="114" t="inlineStr">
        <is>
          <t xml:space="preserve">STRAWBERRY BATH SPONGE </t>
        </is>
      </c>
      <c r="F1217" s="114" t="n">
        <v>1</v>
      </c>
      <c r="G1217" s="115" t="n">
        <v>1.25</v>
      </c>
      <c r="H1217" s="115" t="n">
        <v>1.25</v>
      </c>
      <c r="I1217" s="116" t="n">
        <v>40633</v>
      </c>
    </row>
    <row r="1218">
      <c r="A1218" s="117" t="inlineStr">
        <is>
          <t>548497</t>
        </is>
      </c>
      <c r="B1218" s="117" t="n">
        <v>13089</v>
      </c>
      <c r="C1218" s="117" t="inlineStr">
        <is>
          <t>United Kingdom</t>
        </is>
      </c>
      <c r="D1218" s="117" t="inlineStr">
        <is>
          <t>21135</t>
        </is>
      </c>
      <c r="E1218" s="117" t="inlineStr">
        <is>
          <t>VICTORIAN  METAL POSTCARD SPRING</t>
        </is>
      </c>
      <c r="F1218" s="117" t="n">
        <v>24</v>
      </c>
      <c r="G1218" s="118" t="n">
        <v>1.69</v>
      </c>
      <c r="H1218" s="118" t="n">
        <v>40.56</v>
      </c>
      <c r="I1218" s="119" t="n">
        <v>40633</v>
      </c>
    </row>
    <row r="1219">
      <c r="A1219" s="114" t="inlineStr">
        <is>
          <t>548497</t>
        </is>
      </c>
      <c r="B1219" s="114" t="n">
        <v>13089</v>
      </c>
      <c r="C1219" s="114" t="inlineStr">
        <is>
          <t>United Kingdom</t>
        </is>
      </c>
      <c r="D1219" s="114" t="inlineStr">
        <is>
          <t>20719</t>
        </is>
      </c>
      <c r="E1219" s="114" t="inlineStr">
        <is>
          <t>WOODLAND CHARLOTTE BAG</t>
        </is>
      </c>
      <c r="F1219" s="114" t="n">
        <v>12</v>
      </c>
      <c r="G1219" s="115" t="n">
        <v>0.85</v>
      </c>
      <c r="H1219" s="115" t="n">
        <v>10.2</v>
      </c>
      <c r="I1219" s="116" t="n">
        <v>40633</v>
      </c>
    </row>
    <row r="1220">
      <c r="A1220" s="117" t="inlineStr">
        <is>
          <t>548499</t>
        </is>
      </c>
      <c r="B1220" s="117" t="n">
        <v>17075</v>
      </c>
      <c r="C1220" s="117" t="inlineStr">
        <is>
          <t>United Kingdom</t>
        </is>
      </c>
      <c r="D1220" s="117" t="inlineStr">
        <is>
          <t>22988</t>
        </is>
      </c>
      <c r="E1220" s="117" t="inlineStr">
        <is>
          <t xml:space="preserve">SOLDIERS EGG CUP </t>
        </is>
      </c>
      <c r="F1220" s="117" t="n">
        <v>2</v>
      </c>
      <c r="G1220" s="118" t="n">
        <v>1.25</v>
      </c>
      <c r="H1220" s="118" t="n">
        <v>2.5</v>
      </c>
      <c r="I1220" s="119" t="n">
        <v>40633</v>
      </c>
    </row>
    <row r="1221">
      <c r="A1221" s="114" t="inlineStr">
        <is>
          <t>548511</t>
        </is>
      </c>
      <c r="B1221" s="114" t="n">
        <v>14056</v>
      </c>
      <c r="C1221" s="114" t="inlineStr">
        <is>
          <t>United Kingdom</t>
        </is>
      </c>
      <c r="D1221" s="114" t="inlineStr">
        <is>
          <t>21913</t>
        </is>
      </c>
      <c r="E1221" s="114" t="inlineStr">
        <is>
          <t>VINTAGE SEASIDE JIGSAW PUZZLES</t>
        </is>
      </c>
      <c r="F1221" s="114" t="n">
        <v>1</v>
      </c>
      <c r="G1221" s="115" t="n">
        <v>3.75</v>
      </c>
      <c r="H1221" s="115" t="n">
        <v>3.75</v>
      </c>
      <c r="I1221" s="116" t="n">
        <v>40633</v>
      </c>
    </row>
    <row r="1222">
      <c r="A1222" s="117" t="inlineStr">
        <is>
          <t>548520</t>
        </is>
      </c>
      <c r="B1222" s="117" t="n">
        <v>13126</v>
      </c>
      <c r="C1222" s="117" t="inlineStr">
        <is>
          <t>United Kingdom</t>
        </is>
      </c>
      <c r="D1222" s="117" t="inlineStr">
        <is>
          <t>85132A</t>
        </is>
      </c>
      <c r="E1222" s="117" t="inlineStr">
        <is>
          <t>CHARLIE + LOLA BISCUITS TINS</t>
        </is>
      </c>
      <c r="F1222" s="117" t="n">
        <v>12</v>
      </c>
      <c r="G1222" s="118" t="n">
        <v>1.95</v>
      </c>
      <c r="H1222" s="118" t="n">
        <v>23.4</v>
      </c>
      <c r="I1222" s="119" t="n">
        <v>40633</v>
      </c>
    </row>
    <row r="1223">
      <c r="A1223" s="114" t="inlineStr">
        <is>
          <t>548521</t>
        </is>
      </c>
      <c r="B1223" s="114" t="n">
        <v>17735</v>
      </c>
      <c r="C1223" s="114" t="inlineStr">
        <is>
          <t>United Kingdom</t>
        </is>
      </c>
      <c r="D1223" s="114" t="inlineStr">
        <is>
          <t>22966</t>
        </is>
      </c>
      <c r="E1223" s="114" t="inlineStr">
        <is>
          <t>GINGERBREAD MAN COOKIE CUTTER</t>
        </is>
      </c>
      <c r="F1223" s="114" t="n">
        <v>12</v>
      </c>
      <c r="G1223" s="115" t="n">
        <v>1.25</v>
      </c>
      <c r="H1223" s="115" t="n">
        <v>15</v>
      </c>
      <c r="I1223" s="116" t="n">
        <v>40633</v>
      </c>
    </row>
    <row r="1224">
      <c r="A1224" s="117" t="inlineStr">
        <is>
          <t>548545</t>
        </is>
      </c>
      <c r="B1224" s="117" t="n">
        <v>13118</v>
      </c>
      <c r="C1224" s="117" t="inlineStr">
        <is>
          <t>United Kingdom</t>
        </is>
      </c>
      <c r="D1224" s="117" t="inlineStr">
        <is>
          <t>90014C</t>
        </is>
      </c>
      <c r="E1224" s="117" t="inlineStr">
        <is>
          <t>SILVER/BLACK ORBIT NECKLACE</t>
        </is>
      </c>
      <c r="F1224" s="117" t="n">
        <v>1</v>
      </c>
      <c r="G1224" s="118" t="n">
        <v>9.949999999999999</v>
      </c>
      <c r="H1224" s="118" t="n">
        <v>9.949999999999999</v>
      </c>
      <c r="I1224" s="119" t="n">
        <v>40633</v>
      </c>
    </row>
    <row r="1225">
      <c r="A1225" s="114" t="inlineStr">
        <is>
          <t>548558</t>
        </is>
      </c>
      <c r="B1225" s="114" t="n">
        <v>13626</v>
      </c>
      <c r="C1225" s="114" t="inlineStr">
        <is>
          <t>United Kingdom</t>
        </is>
      </c>
      <c r="D1225" s="114" t="inlineStr">
        <is>
          <t>21430</t>
        </is>
      </c>
      <c r="E1225" s="114" t="inlineStr">
        <is>
          <t>SET/3 RED GINGHAM ROSE STORAGE BOX</t>
        </is>
      </c>
      <c r="F1225" s="114" t="n">
        <v>4</v>
      </c>
      <c r="G1225" s="115" t="n">
        <v>3.75</v>
      </c>
      <c r="H1225" s="115" t="n">
        <v>15</v>
      </c>
      <c r="I1225" s="116" t="n">
        <v>40634</v>
      </c>
    </row>
    <row r="1226">
      <c r="A1226" s="117" t="inlineStr">
        <is>
          <t>548560</t>
        </is>
      </c>
      <c r="B1226" s="117" t="n">
        <v>13468</v>
      </c>
      <c r="C1226" s="117" t="inlineStr">
        <is>
          <t>United Kingdom</t>
        </is>
      </c>
      <c r="D1226" s="117" t="inlineStr">
        <is>
          <t>22178</t>
        </is>
      </c>
      <c r="E1226" s="117" t="inlineStr">
        <is>
          <t>VICTORIAN GLASS HANGING T-LIGHT</t>
        </is>
      </c>
      <c r="F1226" s="117" t="n">
        <v>24</v>
      </c>
      <c r="G1226" s="118" t="n">
        <v>1.25</v>
      </c>
      <c r="H1226" s="118" t="n">
        <v>30</v>
      </c>
      <c r="I1226" s="119" t="n">
        <v>40634</v>
      </c>
    </row>
    <row r="1227">
      <c r="A1227" s="114" t="inlineStr">
        <is>
          <t>548612</t>
        </is>
      </c>
      <c r="B1227" s="114" t="n">
        <v>13137</v>
      </c>
      <c r="C1227" s="114" t="inlineStr">
        <is>
          <t>United Kingdom</t>
        </is>
      </c>
      <c r="D1227" s="114" t="inlineStr">
        <is>
          <t>21136</t>
        </is>
      </c>
      <c r="E1227" s="114" t="inlineStr">
        <is>
          <t>PAINTED METAL PEARS ASSORTED</t>
        </is>
      </c>
      <c r="F1227" s="114" t="n">
        <v>8</v>
      </c>
      <c r="G1227" s="115" t="n">
        <v>1.69</v>
      </c>
      <c r="H1227" s="115" t="n">
        <v>13.52</v>
      </c>
      <c r="I1227" s="116" t="n">
        <v>40634</v>
      </c>
    </row>
    <row r="1228">
      <c r="A1228" s="117" t="inlineStr">
        <is>
          <t>548616</t>
        </is>
      </c>
      <c r="B1228" s="117" t="n">
        <v>18263</v>
      </c>
      <c r="C1228" s="117" t="inlineStr">
        <is>
          <t>United Kingdom</t>
        </is>
      </c>
      <c r="D1228" s="117" t="inlineStr">
        <is>
          <t>23077</t>
        </is>
      </c>
      <c r="E1228" s="117" t="inlineStr">
        <is>
          <t xml:space="preserve">DOUGHNUT LIP GLOSS </t>
        </is>
      </c>
      <c r="F1228" s="117" t="n">
        <v>20</v>
      </c>
      <c r="G1228" s="118" t="n">
        <v>1.25</v>
      </c>
      <c r="H1228" s="118" t="n">
        <v>25</v>
      </c>
      <c r="I1228" s="119" t="n">
        <v>40634</v>
      </c>
    </row>
    <row r="1229">
      <c r="A1229" s="114" t="inlineStr">
        <is>
          <t>548642</t>
        </is>
      </c>
      <c r="B1229" s="114" t="n">
        <v>17287</v>
      </c>
      <c r="C1229" s="114" t="inlineStr">
        <is>
          <t>United Kingdom</t>
        </is>
      </c>
      <c r="D1229" s="114" t="inlineStr">
        <is>
          <t>84406B</t>
        </is>
      </c>
      <c r="E1229" s="114" t="inlineStr">
        <is>
          <t>CREAM CUPID HEARTS COAT HANGER</t>
        </is>
      </c>
      <c r="F1229" s="114" t="n">
        <v>2</v>
      </c>
      <c r="G1229" s="115" t="n">
        <v>4.15</v>
      </c>
      <c r="H1229" s="115" t="n">
        <v>8.300000000000001</v>
      </c>
      <c r="I1229" s="116" t="n">
        <v>40634</v>
      </c>
    </row>
    <row r="1230">
      <c r="A1230" s="117" t="inlineStr">
        <is>
          <t>548648</t>
        </is>
      </c>
      <c r="B1230" s="117" t="n">
        <v>12949</v>
      </c>
      <c r="C1230" s="117" t="inlineStr">
        <is>
          <t>United Kingdom</t>
        </is>
      </c>
      <c r="D1230" s="117" t="inlineStr">
        <is>
          <t>22478</t>
        </is>
      </c>
      <c r="E1230" s="117" t="inlineStr">
        <is>
          <t xml:space="preserve">BIRDHOUSE GARDEN MARKER </t>
        </is>
      </c>
      <c r="F1230" s="117" t="n">
        <v>10</v>
      </c>
      <c r="G1230" s="118" t="n">
        <v>1.25</v>
      </c>
      <c r="H1230" s="118" t="n">
        <v>12.5</v>
      </c>
      <c r="I1230" s="119" t="n">
        <v>40634</v>
      </c>
    </row>
    <row r="1231">
      <c r="A1231" s="114" t="inlineStr">
        <is>
          <t>548650</t>
        </is>
      </c>
      <c r="B1231" s="114" t="n">
        <v>14852</v>
      </c>
      <c r="C1231" s="114" t="inlineStr">
        <is>
          <t>United Kingdom</t>
        </is>
      </c>
      <c r="D1231" s="114" t="inlineStr">
        <is>
          <t>84946</t>
        </is>
      </c>
      <c r="E1231" s="114" t="inlineStr">
        <is>
          <t>ANTIQUE SILVER T-LIGHT GLASS</t>
        </is>
      </c>
      <c r="F1231" s="114" t="n">
        <v>12</v>
      </c>
      <c r="G1231" s="115" t="n">
        <v>1.25</v>
      </c>
      <c r="H1231" s="115" t="n">
        <v>15</v>
      </c>
      <c r="I1231" s="116" t="n">
        <v>40634</v>
      </c>
    </row>
    <row r="1232">
      <c r="A1232" s="117" t="inlineStr">
        <is>
          <t>548664</t>
        </is>
      </c>
      <c r="B1232" s="117" t="n">
        <v>14911</v>
      </c>
      <c r="C1232" s="117" t="inlineStr">
        <is>
          <t>EIRE</t>
        </is>
      </c>
      <c r="D1232" s="117" t="inlineStr">
        <is>
          <t>21441</t>
        </is>
      </c>
      <c r="E1232" s="117" t="inlineStr">
        <is>
          <t>BLUE BIRDHOUSE DECORATION</t>
        </is>
      </c>
      <c r="F1232" s="117" t="n">
        <v>12</v>
      </c>
      <c r="G1232" s="118" t="n">
        <v>0.85</v>
      </c>
      <c r="H1232" s="118" t="n">
        <v>10.2</v>
      </c>
      <c r="I1232" s="119" t="n">
        <v>40634</v>
      </c>
    </row>
    <row r="1233">
      <c r="A1233" s="114" t="inlineStr">
        <is>
          <t>548666</t>
        </is>
      </c>
      <c r="B1233" s="114" t="n">
        <v>13124</v>
      </c>
      <c r="C1233" s="114" t="inlineStr">
        <is>
          <t>United Kingdom</t>
        </is>
      </c>
      <c r="D1233" s="114" t="inlineStr">
        <is>
          <t>22842</t>
        </is>
      </c>
      <c r="E1233" s="114" t="inlineStr">
        <is>
          <t>BISCUIT TIN VINTAGE RED</t>
        </is>
      </c>
      <c r="F1233" s="114" t="n">
        <v>3</v>
      </c>
      <c r="G1233" s="115" t="n">
        <v>6.75</v>
      </c>
      <c r="H1233" s="115" t="n">
        <v>20.25</v>
      </c>
      <c r="I1233" s="116" t="n">
        <v>40634</v>
      </c>
    </row>
    <row r="1234">
      <c r="A1234" s="117" t="inlineStr">
        <is>
          <t>548670</t>
        </is>
      </c>
      <c r="B1234" s="117" t="n">
        <v>15356</v>
      </c>
      <c r="C1234" s="117" t="inlineStr">
        <is>
          <t>United Kingdom</t>
        </is>
      </c>
      <c r="D1234" s="117" t="inlineStr">
        <is>
          <t>84879</t>
        </is>
      </c>
      <c r="E1234" s="117" t="inlineStr">
        <is>
          <t>ASSORTED COLOUR BIRD ORNAMENT</t>
        </is>
      </c>
      <c r="F1234" s="117" t="n">
        <v>6</v>
      </c>
      <c r="G1234" s="118" t="n">
        <v>1.69</v>
      </c>
      <c r="H1234" s="118" t="n">
        <v>10.14</v>
      </c>
      <c r="I1234" s="119" t="n">
        <v>40634</v>
      </c>
    </row>
    <row r="1235">
      <c r="A1235" s="114" t="inlineStr">
        <is>
          <t>548673</t>
        </is>
      </c>
      <c r="B1235" s="114" t="n">
        <v>13767</v>
      </c>
      <c r="C1235" s="114" t="inlineStr">
        <is>
          <t>United Kingdom</t>
        </is>
      </c>
      <c r="D1235" s="114" t="inlineStr">
        <is>
          <t>22729</t>
        </is>
      </c>
      <c r="E1235" s="114" t="inlineStr">
        <is>
          <t>ALARM CLOCK BAKELIKE ORANGE</t>
        </is>
      </c>
      <c r="F1235" s="114" t="n">
        <v>4</v>
      </c>
      <c r="G1235" s="115" t="n">
        <v>3.75</v>
      </c>
      <c r="H1235" s="115" t="n">
        <v>15</v>
      </c>
      <c r="I1235" s="116" t="n">
        <v>40634</v>
      </c>
    </row>
    <row r="1236">
      <c r="A1236" s="117" t="inlineStr">
        <is>
          <t>548698</t>
        </is>
      </c>
      <c r="B1236" s="117" t="n">
        <v>18109</v>
      </c>
      <c r="C1236" s="117" t="inlineStr">
        <is>
          <t>United Kingdom</t>
        </is>
      </c>
      <c r="D1236" s="117" t="inlineStr">
        <is>
          <t>22197</t>
        </is>
      </c>
      <c r="E1236" s="117" t="inlineStr">
        <is>
          <t>SMALL POPCORN HOLDER</t>
        </is>
      </c>
      <c r="F1236" s="117" t="n">
        <v>6</v>
      </c>
      <c r="G1236" s="118" t="n">
        <v>0.85</v>
      </c>
      <c r="H1236" s="118" t="n">
        <v>5.1</v>
      </c>
      <c r="I1236" s="119" t="n">
        <v>40636</v>
      </c>
    </row>
    <row r="1237">
      <c r="A1237" s="114" t="inlineStr">
        <is>
          <t>548701</t>
        </is>
      </c>
      <c r="B1237" s="114" t="n">
        <v>17629</v>
      </c>
      <c r="C1237" s="114" t="inlineStr">
        <is>
          <t>United Kingdom</t>
        </is>
      </c>
      <c r="D1237" s="114" t="inlineStr">
        <is>
          <t>84378</t>
        </is>
      </c>
      <c r="E1237" s="114" t="inlineStr">
        <is>
          <t>SET OF 3 HEART COOKIE CUTTERS</t>
        </is>
      </c>
      <c r="F1237" s="114" t="n">
        <v>12</v>
      </c>
      <c r="G1237" s="115" t="n">
        <v>1.25</v>
      </c>
      <c r="H1237" s="115" t="n">
        <v>15</v>
      </c>
      <c r="I1237" s="116" t="n">
        <v>40636</v>
      </c>
    </row>
    <row r="1238">
      <c r="A1238" s="117" t="inlineStr">
        <is>
          <t>548701</t>
        </is>
      </c>
      <c r="B1238" s="117" t="n">
        <v>17629</v>
      </c>
      <c r="C1238" s="117" t="inlineStr">
        <is>
          <t>United Kingdom</t>
        </is>
      </c>
      <c r="D1238" s="117" t="inlineStr">
        <is>
          <t>22515</t>
        </is>
      </c>
      <c r="E1238" s="117" t="inlineStr">
        <is>
          <t>CHILDS GARDEN SPADE PINK</t>
        </is>
      </c>
      <c r="F1238" s="117" t="n">
        <v>3</v>
      </c>
      <c r="G1238" s="118" t="n">
        <v>2.1</v>
      </c>
      <c r="H1238" s="118" t="n">
        <v>6.3</v>
      </c>
      <c r="I1238" s="119" t="n">
        <v>40636</v>
      </c>
    </row>
    <row r="1239">
      <c r="A1239" s="114" t="inlineStr">
        <is>
          <t>548703</t>
        </is>
      </c>
      <c r="B1239" s="114" t="n">
        <v>16010</v>
      </c>
      <c r="C1239" s="114" t="inlineStr">
        <is>
          <t>United Kingdom</t>
        </is>
      </c>
      <c r="D1239" s="114" t="inlineStr">
        <is>
          <t>22804</t>
        </is>
      </c>
      <c r="E1239" s="114" t="inlineStr">
        <is>
          <t>CANDLEHOLDER PINK HANGING HEART</t>
        </is>
      </c>
      <c r="F1239" s="114" t="n">
        <v>1</v>
      </c>
      <c r="G1239" s="115" t="n">
        <v>2.95</v>
      </c>
      <c r="H1239" s="115" t="n">
        <v>2.95</v>
      </c>
      <c r="I1239" s="116" t="n">
        <v>40636</v>
      </c>
    </row>
    <row r="1240">
      <c r="A1240" s="117" t="inlineStr">
        <is>
          <t>548703</t>
        </is>
      </c>
      <c r="B1240" s="117" t="n">
        <v>16010</v>
      </c>
      <c r="C1240" s="117" t="inlineStr">
        <is>
          <t>United Kingdom</t>
        </is>
      </c>
      <c r="D1240" s="117" t="inlineStr">
        <is>
          <t>22896</t>
        </is>
      </c>
      <c r="E1240" s="117" t="inlineStr">
        <is>
          <t>PEG BAG APPLES DESIGN</t>
        </is>
      </c>
      <c r="F1240" s="117" t="n">
        <v>1</v>
      </c>
      <c r="G1240" s="118" t="n">
        <v>2.55</v>
      </c>
      <c r="H1240" s="118" t="n">
        <v>2.55</v>
      </c>
      <c r="I1240" s="119" t="n">
        <v>40636</v>
      </c>
    </row>
    <row r="1241">
      <c r="A1241" s="114" t="inlineStr">
        <is>
          <t>548703</t>
        </is>
      </c>
      <c r="B1241" s="114" t="n">
        <v>16010</v>
      </c>
      <c r="C1241" s="114" t="inlineStr">
        <is>
          <t>United Kingdom</t>
        </is>
      </c>
      <c r="D1241" s="114" t="inlineStr">
        <is>
          <t>22804</t>
        </is>
      </c>
      <c r="E1241" s="114" t="inlineStr">
        <is>
          <t>CANDLEHOLDER PINK HANGING HEART</t>
        </is>
      </c>
      <c r="F1241" s="114" t="n">
        <v>1</v>
      </c>
      <c r="G1241" s="115" t="n">
        <v>2.95</v>
      </c>
      <c r="H1241" s="115" t="n">
        <v>2.95</v>
      </c>
      <c r="I1241" s="116" t="n">
        <v>40636</v>
      </c>
    </row>
    <row r="1242">
      <c r="A1242" s="117" t="inlineStr">
        <is>
          <t>548703</t>
        </is>
      </c>
      <c r="B1242" s="117" t="n">
        <v>16010</v>
      </c>
      <c r="C1242" s="117" t="inlineStr">
        <is>
          <t>United Kingdom</t>
        </is>
      </c>
      <c r="D1242" s="117" t="inlineStr">
        <is>
          <t>22784</t>
        </is>
      </c>
      <c r="E1242" s="117" t="inlineStr">
        <is>
          <t xml:space="preserve">LANTERN CREAM GAZEBO </t>
        </is>
      </c>
      <c r="F1242" s="117" t="n">
        <v>2</v>
      </c>
      <c r="G1242" s="118" t="n">
        <v>4.95</v>
      </c>
      <c r="H1242" s="118" t="n">
        <v>9.9</v>
      </c>
      <c r="I1242" s="119" t="n">
        <v>40636</v>
      </c>
    </row>
    <row r="1243">
      <c r="A1243" s="114" t="inlineStr">
        <is>
          <t>548708</t>
        </is>
      </c>
      <c r="B1243" s="114" t="n">
        <v>13269</v>
      </c>
      <c r="C1243" s="114" t="inlineStr">
        <is>
          <t>United Kingdom</t>
        </is>
      </c>
      <c r="D1243" s="114" t="inlineStr">
        <is>
          <t>21878</t>
        </is>
      </c>
      <c r="E1243" s="114" t="inlineStr">
        <is>
          <t>PACK OF 6 SANDCASTLE FLAGS ASSORTED</t>
        </is>
      </c>
      <c r="F1243" s="114" t="n">
        <v>9</v>
      </c>
      <c r="G1243" s="115" t="n">
        <v>0.85</v>
      </c>
      <c r="H1243" s="115" t="n">
        <v>7.65</v>
      </c>
      <c r="I1243" s="116" t="n">
        <v>40636</v>
      </c>
    </row>
    <row r="1244">
      <c r="A1244" s="117" t="inlineStr">
        <is>
          <t>548708</t>
        </is>
      </c>
      <c r="B1244" s="117" t="n">
        <v>13269</v>
      </c>
      <c r="C1244" s="117" t="inlineStr">
        <is>
          <t>United Kingdom</t>
        </is>
      </c>
      <c r="D1244" s="117" t="inlineStr">
        <is>
          <t>22371</t>
        </is>
      </c>
      <c r="E1244" s="117" t="inlineStr">
        <is>
          <t>AIRLINE BAG VINTAGE TOKYO 78</t>
        </is>
      </c>
      <c r="F1244" s="117" t="n">
        <v>3</v>
      </c>
      <c r="G1244" s="118" t="n">
        <v>4.25</v>
      </c>
      <c r="H1244" s="118" t="n">
        <v>12.75</v>
      </c>
      <c r="I1244" s="119" t="n">
        <v>40636</v>
      </c>
    </row>
    <row r="1245">
      <c r="A1245" s="114" t="inlineStr">
        <is>
          <t>548709</t>
        </is>
      </c>
      <c r="B1245" s="114" t="n">
        <v>17744</v>
      </c>
      <c r="C1245" s="114" t="inlineStr">
        <is>
          <t>United Kingdom</t>
        </is>
      </c>
      <c r="D1245" s="114" t="inlineStr">
        <is>
          <t>85019A</t>
        </is>
      </c>
      <c r="E1245" s="114" t="inlineStr">
        <is>
          <t>ROMANTIC IMAGES NOTEBOOK SET</t>
        </is>
      </c>
      <c r="F1245" s="114" t="n">
        <v>24</v>
      </c>
      <c r="G1245" s="115" t="n">
        <v>1.25</v>
      </c>
      <c r="H1245" s="115" t="n">
        <v>30</v>
      </c>
      <c r="I1245" s="116" t="n">
        <v>40636</v>
      </c>
    </row>
    <row r="1246">
      <c r="A1246" s="117" t="inlineStr">
        <is>
          <t>548710</t>
        </is>
      </c>
      <c r="B1246" s="117" t="n">
        <v>16678</v>
      </c>
      <c r="C1246" s="117" t="inlineStr">
        <is>
          <t>United Kingdom</t>
        </is>
      </c>
      <c r="D1246" s="117" t="inlineStr">
        <is>
          <t>21136</t>
        </is>
      </c>
      <c r="E1246" s="117" t="inlineStr">
        <is>
          <t>PAINTED METAL PEARS ASSORTED</t>
        </is>
      </c>
      <c r="F1246" s="117" t="n">
        <v>8</v>
      </c>
      <c r="G1246" s="118" t="n">
        <v>1.69</v>
      </c>
      <c r="H1246" s="118" t="n">
        <v>13.52</v>
      </c>
      <c r="I1246" s="119" t="n">
        <v>40636</v>
      </c>
    </row>
    <row r="1247">
      <c r="A1247" s="114" t="inlineStr">
        <is>
          <t>548711</t>
        </is>
      </c>
      <c r="B1247" s="114" t="n">
        <v>18116</v>
      </c>
      <c r="C1247" s="114" t="inlineStr">
        <is>
          <t>United Kingdom</t>
        </is>
      </c>
      <c r="D1247" s="114" t="inlineStr">
        <is>
          <t>22417</t>
        </is>
      </c>
      <c r="E1247" s="114" t="inlineStr">
        <is>
          <t>PACK OF 60 SPACEBOY CAKE CASES</t>
        </is>
      </c>
      <c r="F1247" s="114" t="n">
        <v>1</v>
      </c>
      <c r="G1247" s="115" t="n">
        <v>0.55</v>
      </c>
      <c r="H1247" s="115" t="n">
        <v>0.55</v>
      </c>
      <c r="I1247" s="116" t="n">
        <v>40636</v>
      </c>
    </row>
    <row r="1248">
      <c r="A1248" s="117" t="inlineStr">
        <is>
          <t>548711</t>
        </is>
      </c>
      <c r="B1248" s="117" t="n">
        <v>18116</v>
      </c>
      <c r="C1248" s="117" t="inlineStr">
        <is>
          <t>United Kingdom</t>
        </is>
      </c>
      <c r="D1248" s="117" t="inlineStr">
        <is>
          <t>21900</t>
        </is>
      </c>
      <c r="E1248" s="117" t="inlineStr">
        <is>
          <t>KEY FOB , SHED</t>
        </is>
      </c>
      <c r="F1248" s="117" t="n">
        <v>1</v>
      </c>
      <c r="G1248" s="118" t="n">
        <v>0.65</v>
      </c>
      <c r="H1248" s="118" t="n">
        <v>0.65</v>
      </c>
      <c r="I1248" s="119" t="n">
        <v>40636</v>
      </c>
    </row>
    <row r="1249">
      <c r="A1249" s="114" t="inlineStr">
        <is>
          <t>548714</t>
        </is>
      </c>
      <c r="B1249" s="114" t="n">
        <v>17337</v>
      </c>
      <c r="C1249" s="114" t="inlineStr">
        <is>
          <t>United Kingdom</t>
        </is>
      </c>
      <c r="D1249" s="114" t="inlineStr">
        <is>
          <t>21746</t>
        </is>
      </c>
      <c r="E1249" s="114" t="inlineStr">
        <is>
          <t>SMALL RED RETROSPOT WINDMILL</t>
        </is>
      </c>
      <c r="F1249" s="114" t="n">
        <v>3</v>
      </c>
      <c r="G1249" s="115" t="n">
        <v>1.25</v>
      </c>
      <c r="H1249" s="115" t="n">
        <v>3.75</v>
      </c>
      <c r="I1249" s="116" t="n">
        <v>40636</v>
      </c>
    </row>
    <row r="1250">
      <c r="A1250" s="117" t="inlineStr">
        <is>
          <t>548715</t>
        </is>
      </c>
      <c r="B1250" s="117" t="n">
        <v>17758</v>
      </c>
      <c r="C1250" s="117" t="inlineStr">
        <is>
          <t>United Kingdom</t>
        </is>
      </c>
      <c r="D1250" s="117" t="inlineStr">
        <is>
          <t>21385</t>
        </is>
      </c>
      <c r="E1250" s="117" t="inlineStr">
        <is>
          <t>IVORY HANGING DECORATION  HEART</t>
        </is>
      </c>
      <c r="F1250" s="117" t="n">
        <v>4</v>
      </c>
      <c r="G1250" s="118" t="n">
        <v>0.85</v>
      </c>
      <c r="H1250" s="118" t="n">
        <v>3.4</v>
      </c>
      <c r="I1250" s="119" t="n">
        <v>40636</v>
      </c>
    </row>
    <row r="1251">
      <c r="A1251" s="114" t="inlineStr">
        <is>
          <t>548715</t>
        </is>
      </c>
      <c r="B1251" s="114" t="n">
        <v>17758</v>
      </c>
      <c r="C1251" s="114" t="inlineStr">
        <is>
          <t>United Kingdom</t>
        </is>
      </c>
      <c r="D1251" s="114" t="inlineStr">
        <is>
          <t>20684</t>
        </is>
      </c>
      <c r="E1251" s="114" t="inlineStr">
        <is>
          <t>STRAWBERRY DREAM CHILDS UMBRELLA</t>
        </is>
      </c>
      <c r="F1251" s="114" t="n">
        <v>4</v>
      </c>
      <c r="G1251" s="115" t="n">
        <v>3.25</v>
      </c>
      <c r="H1251" s="115" t="n">
        <v>13</v>
      </c>
      <c r="I1251" s="116" t="n">
        <v>40636</v>
      </c>
    </row>
    <row r="1252">
      <c r="A1252" s="117" t="inlineStr">
        <is>
          <t>548715</t>
        </is>
      </c>
      <c r="B1252" s="117" t="n">
        <v>17758</v>
      </c>
      <c r="C1252" s="117" t="inlineStr">
        <is>
          <t>United Kingdom</t>
        </is>
      </c>
      <c r="D1252" s="117" t="inlineStr">
        <is>
          <t>84569A</t>
        </is>
      </c>
      <c r="E1252" s="117" t="inlineStr">
        <is>
          <t>PACK 3 IRON ON DOG PATCHES</t>
        </is>
      </c>
      <c r="F1252" s="117" t="n">
        <v>4</v>
      </c>
      <c r="G1252" s="118" t="n">
        <v>1.25</v>
      </c>
      <c r="H1252" s="118" t="n">
        <v>5</v>
      </c>
      <c r="I1252" s="119" t="n">
        <v>40636</v>
      </c>
    </row>
    <row r="1253">
      <c r="A1253" s="114" t="inlineStr">
        <is>
          <t>548726</t>
        </is>
      </c>
      <c r="B1253" s="114" t="n">
        <v>13767</v>
      </c>
      <c r="C1253" s="114" t="inlineStr">
        <is>
          <t>United Kingdom</t>
        </is>
      </c>
      <c r="D1253" s="114" t="inlineStr">
        <is>
          <t>22699</t>
        </is>
      </c>
      <c r="E1253" s="114" t="inlineStr">
        <is>
          <t xml:space="preserve">ROSES REGENCY TEACUP AND SAUCER </t>
        </is>
      </c>
      <c r="F1253" s="114" t="n">
        <v>6</v>
      </c>
      <c r="G1253" s="115" t="n">
        <v>2.95</v>
      </c>
      <c r="H1253" s="115" t="n">
        <v>17.7</v>
      </c>
      <c r="I1253" s="116" t="n">
        <v>40637</v>
      </c>
    </row>
    <row r="1254">
      <c r="A1254" s="117" t="inlineStr">
        <is>
          <t>548732</t>
        </is>
      </c>
      <c r="B1254" s="117" t="n">
        <v>16142</v>
      </c>
      <c r="C1254" s="117" t="inlineStr">
        <is>
          <t>United Kingdom</t>
        </is>
      </c>
      <c r="D1254" s="117" t="inlineStr">
        <is>
          <t>21733</t>
        </is>
      </c>
      <c r="E1254" s="117" t="inlineStr">
        <is>
          <t>RED HANGING HEART T-LIGHT HOLDER</t>
        </is>
      </c>
      <c r="F1254" s="117" t="n">
        <v>6</v>
      </c>
      <c r="G1254" s="118" t="n">
        <v>2.95</v>
      </c>
      <c r="H1254" s="118" t="n">
        <v>17.7</v>
      </c>
      <c r="I1254" s="119" t="n">
        <v>40637</v>
      </c>
    </row>
    <row r="1255">
      <c r="A1255" s="114" t="inlineStr">
        <is>
          <t>548740</t>
        </is>
      </c>
      <c r="B1255" s="114" t="n">
        <v>13319</v>
      </c>
      <c r="C1255" s="114" t="inlineStr">
        <is>
          <t>United Kingdom</t>
        </is>
      </c>
      <c r="D1255" s="114" t="inlineStr">
        <is>
          <t>21577</t>
        </is>
      </c>
      <c r="E1255" s="114" t="inlineStr">
        <is>
          <t>SAVE THE PLANET COTTON TOTE BAG</t>
        </is>
      </c>
      <c r="F1255" s="114" t="n">
        <v>6</v>
      </c>
      <c r="G1255" s="115" t="n">
        <v>2.25</v>
      </c>
      <c r="H1255" s="115" t="n">
        <v>13.5</v>
      </c>
      <c r="I1255" s="116" t="n">
        <v>40637</v>
      </c>
    </row>
    <row r="1256">
      <c r="A1256" s="117" t="inlineStr">
        <is>
          <t>548740</t>
        </is>
      </c>
      <c r="B1256" s="117" t="n">
        <v>13319</v>
      </c>
      <c r="C1256" s="117" t="inlineStr">
        <is>
          <t>United Kingdom</t>
        </is>
      </c>
      <c r="D1256" s="117" t="inlineStr">
        <is>
          <t>22499</t>
        </is>
      </c>
      <c r="E1256" s="117" t="inlineStr">
        <is>
          <t>WOODEN UNION JACK BUNTING</t>
        </is>
      </c>
      <c r="F1256" s="117" t="n">
        <v>6</v>
      </c>
      <c r="G1256" s="118" t="n">
        <v>5.95</v>
      </c>
      <c r="H1256" s="118" t="n">
        <v>35.7</v>
      </c>
      <c r="I1256" s="119" t="n">
        <v>40637</v>
      </c>
    </row>
    <row r="1257">
      <c r="A1257" s="114" t="inlineStr">
        <is>
          <t>548780</t>
        </is>
      </c>
      <c r="B1257" s="114" t="n">
        <v>13294</v>
      </c>
      <c r="C1257" s="114" t="inlineStr">
        <is>
          <t>United Kingdom</t>
        </is>
      </c>
      <c r="D1257" s="114" t="inlineStr">
        <is>
          <t>16156S</t>
        </is>
      </c>
      <c r="E1257" s="114" t="inlineStr">
        <is>
          <t xml:space="preserve">WRAP PINK FAIRY CAKES </t>
        </is>
      </c>
      <c r="F1257" s="114" t="n">
        <v>25</v>
      </c>
      <c r="G1257" s="115" t="n">
        <v>0.42</v>
      </c>
      <c r="H1257" s="115" t="n">
        <v>10.5</v>
      </c>
      <c r="I1257" s="116" t="n">
        <v>40637</v>
      </c>
    </row>
    <row r="1258">
      <c r="A1258" s="117" t="inlineStr">
        <is>
          <t>548780</t>
        </is>
      </c>
      <c r="B1258" s="117" t="n">
        <v>13294</v>
      </c>
      <c r="C1258" s="117" t="inlineStr">
        <is>
          <t>United Kingdom</t>
        </is>
      </c>
      <c r="D1258" s="117" t="inlineStr">
        <is>
          <t>85099B</t>
        </is>
      </c>
      <c r="E1258" s="117" t="inlineStr">
        <is>
          <t>JUMBO BAG RED RETROSPOT</t>
        </is>
      </c>
      <c r="F1258" s="117" t="n">
        <v>10</v>
      </c>
      <c r="G1258" s="118" t="n">
        <v>1.95</v>
      </c>
      <c r="H1258" s="118" t="n">
        <v>19.5</v>
      </c>
      <c r="I1258" s="119" t="n">
        <v>40637</v>
      </c>
    </row>
    <row r="1259">
      <c r="A1259" s="114" t="inlineStr">
        <is>
          <t>548796</t>
        </is>
      </c>
      <c r="B1259" s="114" t="n">
        <v>15752</v>
      </c>
      <c r="C1259" s="114" t="inlineStr">
        <is>
          <t>United Kingdom</t>
        </is>
      </c>
      <c r="D1259" s="114" t="inlineStr">
        <is>
          <t>22715</t>
        </is>
      </c>
      <c r="E1259" s="114" t="inlineStr">
        <is>
          <t>CARD WEDDING DAY</t>
        </is>
      </c>
      <c r="F1259" s="114" t="n">
        <v>12</v>
      </c>
      <c r="G1259" s="115" t="n">
        <v>0.42</v>
      </c>
      <c r="H1259" s="115" t="n">
        <v>5.04</v>
      </c>
      <c r="I1259" s="116" t="n">
        <v>40637</v>
      </c>
    </row>
    <row r="1260">
      <c r="A1260" s="117" t="inlineStr">
        <is>
          <t>548869</t>
        </is>
      </c>
      <c r="B1260" s="117" t="n">
        <v>17114</v>
      </c>
      <c r="C1260" s="117" t="inlineStr">
        <is>
          <t>United Kingdom</t>
        </is>
      </c>
      <c r="D1260" s="117" t="inlineStr">
        <is>
          <t>22844</t>
        </is>
      </c>
      <c r="E1260" s="117" t="inlineStr">
        <is>
          <t>VINTAGE CREAM DOG FOOD CONTAINER</t>
        </is>
      </c>
      <c r="F1260" s="117" t="n">
        <v>1</v>
      </c>
      <c r="G1260" s="118" t="n">
        <v>8.5</v>
      </c>
      <c r="H1260" s="118" t="n">
        <v>8.5</v>
      </c>
      <c r="I1260" s="119" t="n">
        <v>40637</v>
      </c>
    </row>
    <row r="1261">
      <c r="A1261" s="114" t="inlineStr">
        <is>
          <t>548870</t>
        </is>
      </c>
      <c r="B1261" s="114" t="n">
        <v>14606</v>
      </c>
      <c r="C1261" s="114" t="inlineStr">
        <is>
          <t>United Kingdom</t>
        </is>
      </c>
      <c r="D1261" s="114" t="inlineStr">
        <is>
          <t>21889</t>
        </is>
      </c>
      <c r="E1261" s="114" t="inlineStr">
        <is>
          <t>WOODEN BOX OF DOMINOES</t>
        </is>
      </c>
      <c r="F1261" s="114" t="n">
        <v>1</v>
      </c>
      <c r="G1261" s="115" t="n">
        <v>1.25</v>
      </c>
      <c r="H1261" s="115" t="n">
        <v>1.25</v>
      </c>
      <c r="I1261" s="116" t="n">
        <v>40637</v>
      </c>
    </row>
    <row r="1262">
      <c r="A1262" s="117" t="inlineStr">
        <is>
          <t>548911</t>
        </is>
      </c>
      <c r="B1262" s="117" t="n">
        <v>12951</v>
      </c>
      <c r="C1262" s="117" t="inlineStr">
        <is>
          <t>United Kingdom</t>
        </is>
      </c>
      <c r="D1262" s="117" t="inlineStr">
        <is>
          <t>22084</t>
        </is>
      </c>
      <c r="E1262" s="117" t="inlineStr">
        <is>
          <t>PAPER CHAIN KIT EMPIRE</t>
        </is>
      </c>
      <c r="F1262" s="117" t="n">
        <v>6</v>
      </c>
      <c r="G1262" s="118" t="n">
        <v>2.95</v>
      </c>
      <c r="H1262" s="118" t="n">
        <v>17.7</v>
      </c>
      <c r="I1262" s="119" t="n">
        <v>40638</v>
      </c>
    </row>
    <row r="1263">
      <c r="A1263" s="114" t="inlineStr">
        <is>
          <t>548918</t>
        </is>
      </c>
      <c r="B1263" s="114" t="n">
        <v>16105</v>
      </c>
      <c r="C1263" s="114" t="inlineStr">
        <is>
          <t>United Kingdom</t>
        </is>
      </c>
      <c r="D1263" s="114" t="inlineStr">
        <is>
          <t>22706</t>
        </is>
      </c>
      <c r="E1263" s="114" t="inlineStr">
        <is>
          <t xml:space="preserve">WRAP COWBOYS  </t>
        </is>
      </c>
      <c r="F1263" s="114" t="n">
        <v>25</v>
      </c>
      <c r="G1263" s="115" t="n">
        <v>0.42</v>
      </c>
      <c r="H1263" s="115" t="n">
        <v>10.5</v>
      </c>
      <c r="I1263" s="116" t="n">
        <v>40638</v>
      </c>
    </row>
    <row r="1264">
      <c r="A1264" s="117" t="inlineStr">
        <is>
          <t>548919</t>
        </is>
      </c>
      <c r="B1264" s="117" t="n">
        <v>13013</v>
      </c>
      <c r="C1264" s="117" t="inlineStr">
        <is>
          <t>United Kingdom</t>
        </is>
      </c>
      <c r="D1264" s="117" t="inlineStr">
        <is>
          <t>22981</t>
        </is>
      </c>
      <c r="E1264" s="117" t="inlineStr">
        <is>
          <t>PANTRY APPLE CORER</t>
        </is>
      </c>
      <c r="F1264" s="117" t="n">
        <v>12</v>
      </c>
      <c r="G1264" s="118" t="n">
        <v>1.45</v>
      </c>
      <c r="H1264" s="118" t="n">
        <v>17.4</v>
      </c>
      <c r="I1264" s="119" t="n">
        <v>40638</v>
      </c>
    </row>
    <row r="1265">
      <c r="A1265" s="114" t="inlineStr">
        <is>
          <t>548919</t>
        </is>
      </c>
      <c r="B1265" s="114" t="n">
        <v>13013</v>
      </c>
      <c r="C1265" s="114" t="inlineStr">
        <is>
          <t>United Kingdom</t>
        </is>
      </c>
      <c r="D1265" s="114" t="inlineStr">
        <is>
          <t>22394</t>
        </is>
      </c>
      <c r="E1265" s="114" t="inlineStr">
        <is>
          <t xml:space="preserve">PAPERWEIGHT KINGS CHOICE </t>
        </is>
      </c>
      <c r="F1265" s="114" t="n">
        <v>12</v>
      </c>
      <c r="G1265" s="115" t="n">
        <v>2.55</v>
      </c>
      <c r="H1265" s="115" t="n">
        <v>30.6</v>
      </c>
      <c r="I1265" s="116" t="n">
        <v>40638</v>
      </c>
    </row>
    <row r="1266">
      <c r="A1266" s="117" t="inlineStr">
        <is>
          <t>548952</t>
        </is>
      </c>
      <c r="B1266" s="117" t="n">
        <v>15572</v>
      </c>
      <c r="C1266" s="117" t="inlineStr">
        <is>
          <t>United Kingdom</t>
        </is>
      </c>
      <c r="D1266" s="117" t="inlineStr">
        <is>
          <t>21034</t>
        </is>
      </c>
      <c r="E1266" s="117" t="inlineStr">
        <is>
          <t>REX CASH+CARRY JUMBO SHOPPER</t>
        </is>
      </c>
      <c r="F1266" s="117" t="n">
        <v>1</v>
      </c>
      <c r="G1266" s="118" t="n">
        <v>0.95</v>
      </c>
      <c r="H1266" s="118" t="n">
        <v>0.95</v>
      </c>
      <c r="I1266" s="119" t="n">
        <v>40638</v>
      </c>
    </row>
    <row r="1267">
      <c r="A1267" s="114" t="inlineStr">
        <is>
          <t>548952</t>
        </is>
      </c>
      <c r="B1267" s="114" t="n">
        <v>15572</v>
      </c>
      <c r="C1267" s="114" t="inlineStr">
        <is>
          <t>United Kingdom</t>
        </is>
      </c>
      <c r="D1267" s="114" t="inlineStr">
        <is>
          <t>22488</t>
        </is>
      </c>
      <c r="E1267" s="114" t="inlineStr">
        <is>
          <t>NATURAL SLATE RECTANGLE CHALKBOARD</t>
        </is>
      </c>
      <c r="F1267" s="114" t="n">
        <v>2</v>
      </c>
      <c r="G1267" s="115" t="n">
        <v>1.65</v>
      </c>
      <c r="H1267" s="115" t="n">
        <v>3.3</v>
      </c>
      <c r="I1267" s="116" t="n">
        <v>40638</v>
      </c>
    </row>
    <row r="1268">
      <c r="A1268" s="117" t="inlineStr">
        <is>
          <t>548952</t>
        </is>
      </c>
      <c r="B1268" s="117" t="n">
        <v>15572</v>
      </c>
      <c r="C1268" s="117" t="inlineStr">
        <is>
          <t>United Kingdom</t>
        </is>
      </c>
      <c r="D1268" s="117" t="inlineStr">
        <is>
          <t>23000</t>
        </is>
      </c>
      <c r="E1268" s="117" t="inlineStr">
        <is>
          <t>TRAVEL CARD WALLET TRANSPORT</t>
        </is>
      </c>
      <c r="F1268" s="117" t="n">
        <v>7</v>
      </c>
      <c r="G1268" s="118" t="n">
        <v>0.42</v>
      </c>
      <c r="H1268" s="118" t="n">
        <v>2.94</v>
      </c>
      <c r="I1268" s="119" t="n">
        <v>40638</v>
      </c>
    </row>
    <row r="1269">
      <c r="A1269" s="114" t="inlineStr">
        <is>
          <t>548984</t>
        </is>
      </c>
      <c r="B1269" s="114" t="n">
        <v>14546</v>
      </c>
      <c r="C1269" s="114" t="inlineStr">
        <is>
          <t>United Kingdom</t>
        </is>
      </c>
      <c r="D1269" s="114" t="inlineStr">
        <is>
          <t>21122</t>
        </is>
      </c>
      <c r="E1269" s="114" t="inlineStr">
        <is>
          <t>SET/10 PINK POLKADOT PARTY CANDLES</t>
        </is>
      </c>
      <c r="F1269" s="114" t="n">
        <v>3</v>
      </c>
      <c r="G1269" s="115" t="n">
        <v>1.25</v>
      </c>
      <c r="H1269" s="115" t="n">
        <v>3.75</v>
      </c>
      <c r="I1269" s="116" t="n">
        <v>40638</v>
      </c>
    </row>
    <row r="1270">
      <c r="A1270" s="117" t="inlineStr">
        <is>
          <t>548987</t>
        </is>
      </c>
      <c r="B1270" s="117" t="n">
        <v>14535</v>
      </c>
      <c r="C1270" s="117" t="inlineStr">
        <is>
          <t>United Kingdom</t>
        </is>
      </c>
      <c r="D1270" s="117" t="inlineStr">
        <is>
          <t>85123A</t>
        </is>
      </c>
      <c r="E1270" s="117" t="inlineStr">
        <is>
          <t>WHITE HANGING HEART T-LIGHT HOLDER</t>
        </is>
      </c>
      <c r="F1270" s="117" t="n">
        <v>6</v>
      </c>
      <c r="G1270" s="118" t="n">
        <v>2.95</v>
      </c>
      <c r="H1270" s="118" t="n">
        <v>17.7</v>
      </c>
      <c r="I1270" s="119" t="n">
        <v>40638</v>
      </c>
    </row>
    <row r="1271">
      <c r="A1271" s="114" t="inlineStr">
        <is>
          <t>548987</t>
        </is>
      </c>
      <c r="B1271" s="114" t="n">
        <v>14535</v>
      </c>
      <c r="C1271" s="114" t="inlineStr">
        <is>
          <t>United Kingdom</t>
        </is>
      </c>
      <c r="D1271" s="114" t="inlineStr">
        <is>
          <t>22794</t>
        </is>
      </c>
      <c r="E1271" s="114" t="inlineStr">
        <is>
          <t>SWEETHEART WIRE MAGAZINE RACK</t>
        </is>
      </c>
      <c r="F1271" s="114" t="n">
        <v>1</v>
      </c>
      <c r="G1271" s="115" t="n">
        <v>7.95</v>
      </c>
      <c r="H1271" s="115" t="n">
        <v>7.95</v>
      </c>
      <c r="I1271" s="116" t="n">
        <v>40638</v>
      </c>
    </row>
    <row r="1272">
      <c r="A1272" s="117" t="inlineStr">
        <is>
          <t>548987</t>
        </is>
      </c>
      <c r="B1272" s="117" t="n">
        <v>14535</v>
      </c>
      <c r="C1272" s="117" t="inlineStr">
        <is>
          <t>United Kingdom</t>
        </is>
      </c>
      <c r="D1272" s="117" t="inlineStr">
        <is>
          <t>21915</t>
        </is>
      </c>
      <c r="E1272" s="117" t="inlineStr">
        <is>
          <t xml:space="preserve">RED  HARMONICA IN BOX </t>
        </is>
      </c>
      <c r="F1272" s="117" t="n">
        <v>6</v>
      </c>
      <c r="G1272" s="118" t="n">
        <v>1.25</v>
      </c>
      <c r="H1272" s="118" t="n">
        <v>7.5</v>
      </c>
      <c r="I1272" s="119" t="n">
        <v>40638</v>
      </c>
    </row>
    <row r="1273">
      <c r="A1273" s="114" t="inlineStr">
        <is>
          <t>548987</t>
        </is>
      </c>
      <c r="B1273" s="114" t="n">
        <v>14535</v>
      </c>
      <c r="C1273" s="114" t="inlineStr">
        <is>
          <t>United Kingdom</t>
        </is>
      </c>
      <c r="D1273" s="114" t="inlineStr">
        <is>
          <t>21212</t>
        </is>
      </c>
      <c r="E1273" s="114" t="inlineStr">
        <is>
          <t>PACK OF 72 RETROSPOT CAKE CASES</t>
        </is>
      </c>
      <c r="F1273" s="114" t="n">
        <v>2</v>
      </c>
      <c r="G1273" s="115" t="n">
        <v>0.55</v>
      </c>
      <c r="H1273" s="115" t="n">
        <v>1.1</v>
      </c>
      <c r="I1273" s="116" t="n">
        <v>40638</v>
      </c>
    </row>
    <row r="1274">
      <c r="A1274" s="117" t="inlineStr">
        <is>
          <t>548992</t>
        </is>
      </c>
      <c r="B1274" s="117" t="n">
        <v>13089</v>
      </c>
      <c r="C1274" s="117" t="inlineStr">
        <is>
          <t>United Kingdom</t>
        </is>
      </c>
      <c r="D1274" s="117" t="inlineStr">
        <is>
          <t>40016</t>
        </is>
      </c>
      <c r="E1274" s="117" t="inlineStr">
        <is>
          <t>CHINESE DRAGON PAPER LANTERNS</t>
        </is>
      </c>
      <c r="F1274" s="117" t="n">
        <v>24</v>
      </c>
      <c r="G1274" s="118" t="n">
        <v>0.42</v>
      </c>
      <c r="H1274" s="118" t="n">
        <v>10.08</v>
      </c>
      <c r="I1274" s="119" t="n">
        <v>40638</v>
      </c>
    </row>
    <row r="1275">
      <c r="A1275" s="114" t="inlineStr">
        <is>
          <t>548992</t>
        </is>
      </c>
      <c r="B1275" s="114" t="n">
        <v>13089</v>
      </c>
      <c r="C1275" s="114" t="inlineStr">
        <is>
          <t>United Kingdom</t>
        </is>
      </c>
      <c r="D1275" s="114" t="inlineStr">
        <is>
          <t>22179</t>
        </is>
      </c>
      <c r="E1275" s="114" t="inlineStr">
        <is>
          <t>SET 10 LIGHTS NIGHT OWL</t>
        </is>
      </c>
      <c r="F1275" s="114" t="n">
        <v>6</v>
      </c>
      <c r="G1275" s="115" t="n">
        <v>6.75</v>
      </c>
      <c r="H1275" s="115" t="n">
        <v>40.5</v>
      </c>
      <c r="I1275" s="116" t="n">
        <v>40638</v>
      </c>
    </row>
    <row r="1276">
      <c r="A1276" s="117" t="inlineStr">
        <is>
          <t>549047</t>
        </is>
      </c>
      <c r="B1276" s="117" t="n">
        <v>17783</v>
      </c>
      <c r="C1276" s="117" t="inlineStr">
        <is>
          <t>United Kingdom</t>
        </is>
      </c>
      <c r="D1276" s="117" t="inlineStr">
        <is>
          <t>84751B</t>
        </is>
      </c>
      <c r="E1276" s="117" t="inlineStr">
        <is>
          <t>BLACK MEDIUM GLASS CAKE STAND</t>
        </is>
      </c>
      <c r="F1276" s="117" t="n">
        <v>2</v>
      </c>
      <c r="G1276" s="118" t="n">
        <v>0.79</v>
      </c>
      <c r="H1276" s="118" t="n">
        <v>1.58</v>
      </c>
      <c r="I1276" s="119" t="n">
        <v>40639</v>
      </c>
    </row>
    <row r="1277">
      <c r="A1277" s="114" t="inlineStr">
        <is>
          <t>549099</t>
        </is>
      </c>
      <c r="B1277" s="114" t="n">
        <v>16241</v>
      </c>
      <c r="C1277" s="114" t="inlineStr">
        <is>
          <t>United Kingdom</t>
        </is>
      </c>
      <c r="D1277" s="114" t="inlineStr">
        <is>
          <t>21977</t>
        </is>
      </c>
      <c r="E1277" s="114" t="inlineStr">
        <is>
          <t>PACK OF 60 PINK PAISLEY CAKE CASES</t>
        </is>
      </c>
      <c r="F1277" s="114" t="n">
        <v>1</v>
      </c>
      <c r="G1277" s="115" t="n">
        <v>0.55</v>
      </c>
      <c r="H1277" s="115" t="n">
        <v>0.55</v>
      </c>
      <c r="I1277" s="116" t="n">
        <v>40639</v>
      </c>
    </row>
    <row r="1278">
      <c r="A1278" s="117" t="inlineStr">
        <is>
          <t>549118</t>
        </is>
      </c>
      <c r="B1278" s="117" t="n">
        <v>14911</v>
      </c>
      <c r="C1278" s="117" t="inlineStr">
        <is>
          <t>EIRE</t>
        </is>
      </c>
      <c r="D1278" s="117" t="inlineStr">
        <is>
          <t>84692</t>
        </is>
      </c>
      <c r="E1278" s="117" t="inlineStr">
        <is>
          <t>BOX OF 24 COCKTAIL PARASOLS</t>
        </is>
      </c>
      <c r="F1278" s="117" t="n">
        <v>25</v>
      </c>
      <c r="G1278" s="118" t="n">
        <v>0.42</v>
      </c>
      <c r="H1278" s="118" t="n">
        <v>10.5</v>
      </c>
      <c r="I1278" s="119" t="n">
        <v>40639</v>
      </c>
    </row>
    <row r="1279">
      <c r="A1279" s="114" t="inlineStr">
        <is>
          <t>549121</t>
        </is>
      </c>
      <c r="B1279" s="114" t="n">
        <v>17140</v>
      </c>
      <c r="C1279" s="114" t="inlineStr">
        <is>
          <t>United Kingdom</t>
        </is>
      </c>
      <c r="D1279" s="114" t="inlineStr">
        <is>
          <t>22423</t>
        </is>
      </c>
      <c r="E1279" s="114" t="inlineStr">
        <is>
          <t>REGENCY CAKESTAND 3 TIER</t>
        </is>
      </c>
      <c r="F1279" s="114" t="n">
        <v>2</v>
      </c>
      <c r="G1279" s="115" t="n">
        <v>12.75</v>
      </c>
      <c r="H1279" s="115" t="n">
        <v>25.5</v>
      </c>
      <c r="I1279" s="116" t="n">
        <v>40639</v>
      </c>
    </row>
    <row r="1280">
      <c r="A1280" s="117" t="inlineStr">
        <is>
          <t>549126</t>
        </is>
      </c>
      <c r="B1280" s="117" t="n">
        <v>16031</v>
      </c>
      <c r="C1280" s="117" t="inlineStr">
        <is>
          <t>United Kingdom</t>
        </is>
      </c>
      <c r="D1280" s="117" t="inlineStr">
        <is>
          <t>16161P</t>
        </is>
      </c>
      <c r="E1280" s="117" t="inlineStr">
        <is>
          <t xml:space="preserve">WRAP ENGLISH ROSE </t>
        </is>
      </c>
      <c r="F1280" s="117" t="n">
        <v>25</v>
      </c>
      <c r="G1280" s="118" t="n">
        <v>0.42</v>
      </c>
      <c r="H1280" s="118" t="n">
        <v>10.5</v>
      </c>
      <c r="I1280" s="119" t="n">
        <v>40639</v>
      </c>
    </row>
    <row r="1281">
      <c r="A1281" s="114" t="inlineStr">
        <is>
          <t>549126</t>
        </is>
      </c>
      <c r="B1281" s="114" t="n">
        <v>16031</v>
      </c>
      <c r="C1281" s="114" t="inlineStr">
        <is>
          <t>United Kingdom</t>
        </is>
      </c>
      <c r="D1281" s="114" t="inlineStr">
        <is>
          <t>22148</t>
        </is>
      </c>
      <c r="E1281" s="114" t="inlineStr">
        <is>
          <t xml:space="preserve">EASTER CRAFT 4 CHICKS </t>
        </is>
      </c>
      <c r="F1281" s="114" t="n">
        <v>2</v>
      </c>
      <c r="G1281" s="115" t="n">
        <v>1.95</v>
      </c>
      <c r="H1281" s="115" t="n">
        <v>3.9</v>
      </c>
      <c r="I1281" s="116" t="n">
        <v>40639</v>
      </c>
    </row>
    <row r="1282">
      <c r="A1282" s="117" t="inlineStr">
        <is>
          <t>549128</t>
        </is>
      </c>
      <c r="B1282" s="117" t="n">
        <v>16713</v>
      </c>
      <c r="C1282" s="117" t="inlineStr">
        <is>
          <t>United Kingdom</t>
        </is>
      </c>
      <c r="D1282" s="117" t="inlineStr">
        <is>
          <t>22170</t>
        </is>
      </c>
      <c r="E1282" s="117" t="inlineStr">
        <is>
          <t>PICTURE FRAME WOOD TRIPLE PORTRAIT</t>
        </is>
      </c>
      <c r="F1282" s="117" t="n">
        <v>2</v>
      </c>
      <c r="G1282" s="118" t="n">
        <v>6.75</v>
      </c>
      <c r="H1282" s="118" t="n">
        <v>13.5</v>
      </c>
      <c r="I1282" s="119" t="n">
        <v>40639</v>
      </c>
    </row>
    <row r="1283">
      <c r="A1283" s="114" t="inlineStr">
        <is>
          <t>549222</t>
        </is>
      </c>
      <c r="B1283" s="114" t="n">
        <v>12347</v>
      </c>
      <c r="C1283" s="114" t="inlineStr">
        <is>
          <t>Iceland</t>
        </is>
      </c>
      <c r="D1283" s="114" t="inlineStr">
        <is>
          <t>22374</t>
        </is>
      </c>
      <c r="E1283" s="114" t="inlineStr">
        <is>
          <t>AIRLINE BAG VINTAGE JET SET RED</t>
        </is>
      </c>
      <c r="F1283" s="114" t="n">
        <v>4</v>
      </c>
      <c r="G1283" s="115" t="n">
        <v>4.25</v>
      </c>
      <c r="H1283" s="115" t="n">
        <v>17</v>
      </c>
      <c r="I1283" s="116" t="n">
        <v>40640</v>
      </c>
    </row>
    <row r="1284">
      <c r="A1284" s="117" t="inlineStr">
        <is>
          <t>549235</t>
        </is>
      </c>
      <c r="B1284" s="117" t="n">
        <v>15530</v>
      </c>
      <c r="C1284" s="117" t="inlineStr">
        <is>
          <t>United Kingdom</t>
        </is>
      </c>
      <c r="D1284" s="117" t="inlineStr">
        <is>
          <t>22652</t>
        </is>
      </c>
      <c r="E1284" s="117" t="inlineStr">
        <is>
          <t>TRAVEL SEWING KIT</t>
        </is>
      </c>
      <c r="F1284" s="117" t="n">
        <v>5</v>
      </c>
      <c r="G1284" s="118" t="n">
        <v>1.65</v>
      </c>
      <c r="H1284" s="118" t="n">
        <v>8.25</v>
      </c>
      <c r="I1284" s="119" t="n">
        <v>40640</v>
      </c>
    </row>
    <row r="1285">
      <c r="A1285" s="114" t="inlineStr">
        <is>
          <t>549240</t>
        </is>
      </c>
      <c r="B1285" s="114" t="n">
        <v>15910</v>
      </c>
      <c r="C1285" s="114" t="inlineStr">
        <is>
          <t>United Kingdom</t>
        </is>
      </c>
      <c r="D1285" s="114" t="inlineStr">
        <is>
          <t>22266</t>
        </is>
      </c>
      <c r="E1285" s="114" t="inlineStr">
        <is>
          <t>EASTER DECORATION HANGING BUNNY</t>
        </is>
      </c>
      <c r="F1285" s="114" t="n">
        <v>3</v>
      </c>
      <c r="G1285" s="115" t="n">
        <v>0.65</v>
      </c>
      <c r="H1285" s="115" t="n">
        <v>1.95</v>
      </c>
      <c r="I1285" s="116" t="n">
        <v>40640</v>
      </c>
    </row>
    <row r="1286">
      <c r="A1286" s="117" t="inlineStr">
        <is>
          <t>549239</t>
        </is>
      </c>
      <c r="B1286" s="117" t="n">
        <v>13102</v>
      </c>
      <c r="C1286" s="117" t="inlineStr">
        <is>
          <t>United Kingdom</t>
        </is>
      </c>
      <c r="D1286" s="117" t="inlineStr">
        <is>
          <t>22311</t>
        </is>
      </c>
      <c r="E1286" s="117" t="inlineStr">
        <is>
          <t xml:space="preserve">OFFICE MUG WARMER BLACK+SILVER </t>
        </is>
      </c>
      <c r="F1286" s="117" t="n">
        <v>6</v>
      </c>
      <c r="G1286" s="118" t="n">
        <v>2.95</v>
      </c>
      <c r="H1286" s="118" t="n">
        <v>17.7</v>
      </c>
      <c r="I1286" s="119" t="n">
        <v>40640</v>
      </c>
    </row>
    <row r="1287">
      <c r="A1287" s="114" t="inlineStr">
        <is>
          <t>549241</t>
        </is>
      </c>
      <c r="B1287" s="114" t="n">
        <v>15719</v>
      </c>
      <c r="C1287" s="114" t="inlineStr">
        <is>
          <t>United Kingdom</t>
        </is>
      </c>
      <c r="D1287" s="114" t="inlineStr">
        <is>
          <t>21928</t>
        </is>
      </c>
      <c r="E1287" s="114" t="inlineStr">
        <is>
          <t>JUMBO BAG SCANDINAVIAN BLUE PAISLEY</t>
        </is>
      </c>
      <c r="F1287" s="114" t="n">
        <v>3</v>
      </c>
      <c r="G1287" s="115" t="n">
        <v>2.08</v>
      </c>
      <c r="H1287" s="115" t="n">
        <v>6.24</v>
      </c>
      <c r="I1287" s="116" t="n">
        <v>40640</v>
      </c>
    </row>
    <row r="1288">
      <c r="A1288" s="117" t="inlineStr">
        <is>
          <t>549245</t>
        </is>
      </c>
      <c r="B1288" s="117" t="n">
        <v>15005</v>
      </c>
      <c r="C1288" s="117" t="inlineStr">
        <is>
          <t>United Kingdom</t>
        </is>
      </c>
      <c r="D1288" s="117" t="inlineStr">
        <is>
          <t>84535B</t>
        </is>
      </c>
      <c r="E1288" s="117" t="inlineStr">
        <is>
          <t>FAIRY CAKES NOTEBOOK A6 SIZE</t>
        </is>
      </c>
      <c r="F1288" s="117" t="n">
        <v>6</v>
      </c>
      <c r="G1288" s="118" t="n">
        <v>0.65</v>
      </c>
      <c r="H1288" s="118" t="n">
        <v>3.9</v>
      </c>
      <c r="I1288" s="119" t="n">
        <v>40640</v>
      </c>
    </row>
    <row r="1289">
      <c r="A1289" s="114" t="inlineStr">
        <is>
          <t>549250</t>
        </is>
      </c>
      <c r="B1289" s="114" t="n">
        <v>14446</v>
      </c>
      <c r="C1289" s="114" t="inlineStr">
        <is>
          <t>United Kingdom</t>
        </is>
      </c>
      <c r="D1289" s="114" t="inlineStr">
        <is>
          <t>22855</t>
        </is>
      </c>
      <c r="E1289" s="114" t="inlineStr">
        <is>
          <t xml:space="preserve">FINE WICKER HEART </t>
        </is>
      </c>
      <c r="F1289" s="114" t="n">
        <v>6</v>
      </c>
      <c r="G1289" s="115" t="n">
        <v>1.25</v>
      </c>
      <c r="H1289" s="115" t="n">
        <v>7.5</v>
      </c>
      <c r="I1289" s="116" t="n">
        <v>40640</v>
      </c>
    </row>
    <row r="1290">
      <c r="A1290" s="117" t="inlineStr">
        <is>
          <t>549250</t>
        </is>
      </c>
      <c r="B1290" s="117" t="n">
        <v>14446</v>
      </c>
      <c r="C1290" s="117" t="inlineStr">
        <is>
          <t>United Kingdom</t>
        </is>
      </c>
      <c r="D1290" s="117" t="inlineStr">
        <is>
          <t>85030</t>
        </is>
      </c>
      <c r="E1290" s="117" t="inlineStr">
        <is>
          <t>FRENCH CHATEAU OVAL PLATTER</t>
        </is>
      </c>
      <c r="F1290" s="117" t="n">
        <v>2</v>
      </c>
      <c r="G1290" s="118" t="n">
        <v>1.95</v>
      </c>
      <c r="H1290" s="118" t="n">
        <v>3.9</v>
      </c>
      <c r="I1290" s="119" t="n">
        <v>40640</v>
      </c>
    </row>
    <row r="1291">
      <c r="A1291" s="114" t="inlineStr">
        <is>
          <t>549250</t>
        </is>
      </c>
      <c r="B1291" s="114" t="n">
        <v>14446</v>
      </c>
      <c r="C1291" s="114" t="inlineStr">
        <is>
          <t>United Kingdom</t>
        </is>
      </c>
      <c r="D1291" s="114" t="inlineStr">
        <is>
          <t>21245</t>
        </is>
      </c>
      <c r="E1291" s="114" t="inlineStr">
        <is>
          <t xml:space="preserve">GREEN POLKADOT PLATE </t>
        </is>
      </c>
      <c r="F1291" s="114" t="n">
        <v>1</v>
      </c>
      <c r="G1291" s="115" t="n">
        <v>1.69</v>
      </c>
      <c r="H1291" s="115" t="n">
        <v>1.69</v>
      </c>
      <c r="I1291" s="116" t="n">
        <v>40640</v>
      </c>
    </row>
    <row r="1292">
      <c r="A1292" s="117" t="inlineStr">
        <is>
          <t>549260</t>
        </is>
      </c>
      <c r="B1292" s="117" t="n">
        <v>17790</v>
      </c>
      <c r="C1292" s="117" t="inlineStr">
        <is>
          <t>United Kingdom</t>
        </is>
      </c>
      <c r="D1292" s="117" t="inlineStr">
        <is>
          <t>21324</t>
        </is>
      </c>
      <c r="E1292" s="117" t="inlineStr">
        <is>
          <t>HANGING MEDINA LANTERN SMALL</t>
        </is>
      </c>
      <c r="F1292" s="117" t="n">
        <v>2</v>
      </c>
      <c r="G1292" s="118" t="n">
        <v>2.95</v>
      </c>
      <c r="H1292" s="118" t="n">
        <v>5.9</v>
      </c>
      <c r="I1292" s="119" t="n">
        <v>40640</v>
      </c>
    </row>
    <row r="1293">
      <c r="A1293" s="114" t="inlineStr">
        <is>
          <t>549262</t>
        </is>
      </c>
      <c r="B1293" s="114" t="n">
        <v>14465</v>
      </c>
      <c r="C1293" s="114" t="inlineStr">
        <is>
          <t>United Kingdom</t>
        </is>
      </c>
      <c r="D1293" s="114" t="inlineStr">
        <is>
          <t>22212</t>
        </is>
      </c>
      <c r="E1293" s="114" t="inlineStr">
        <is>
          <t>FOUR HOOK  WHITE LOVEBIRDS</t>
        </is>
      </c>
      <c r="F1293" s="114" t="n">
        <v>1</v>
      </c>
      <c r="G1293" s="115" t="n">
        <v>2.1</v>
      </c>
      <c r="H1293" s="115" t="n">
        <v>2.1</v>
      </c>
      <c r="I1293" s="116" t="n">
        <v>40640</v>
      </c>
    </row>
    <row r="1294">
      <c r="A1294" s="117" t="inlineStr">
        <is>
          <t>549262</t>
        </is>
      </c>
      <c r="B1294" s="117" t="n">
        <v>14465</v>
      </c>
      <c r="C1294" s="117" t="inlineStr">
        <is>
          <t>United Kingdom</t>
        </is>
      </c>
      <c r="D1294" s="117" t="inlineStr">
        <is>
          <t>21993</t>
        </is>
      </c>
      <c r="E1294" s="117" t="inlineStr">
        <is>
          <t>FLORAL FOLK STATIONERY SET</t>
        </is>
      </c>
      <c r="F1294" s="117" t="n">
        <v>3</v>
      </c>
      <c r="G1294" s="118" t="n">
        <v>2.95</v>
      </c>
      <c r="H1294" s="118" t="n">
        <v>8.85</v>
      </c>
      <c r="I1294" s="119" t="n">
        <v>40640</v>
      </c>
    </row>
    <row r="1295">
      <c r="A1295" s="114" t="inlineStr">
        <is>
          <t>549289</t>
        </is>
      </c>
      <c r="B1295" s="114" t="n">
        <v>14395</v>
      </c>
      <c r="C1295" s="114" t="inlineStr">
        <is>
          <t>United Kingdom</t>
        </is>
      </c>
      <c r="D1295" s="114" t="inlineStr">
        <is>
          <t>21454</t>
        </is>
      </c>
      <c r="E1295" s="114" t="inlineStr">
        <is>
          <t xml:space="preserve">PAINTED PINK RABBIT </t>
        </is>
      </c>
      <c r="F1295" s="114" t="n">
        <v>6</v>
      </c>
      <c r="G1295" s="115" t="n">
        <v>0.85</v>
      </c>
      <c r="H1295" s="115" t="n">
        <v>5.1</v>
      </c>
      <c r="I1295" s="116" t="n">
        <v>40640</v>
      </c>
    </row>
    <row r="1296">
      <c r="A1296" s="117" t="inlineStr">
        <is>
          <t>549289</t>
        </is>
      </c>
      <c r="B1296" s="117" t="n">
        <v>14395</v>
      </c>
      <c r="C1296" s="117" t="inlineStr">
        <is>
          <t>United Kingdom</t>
        </is>
      </c>
      <c r="D1296" s="117" t="inlineStr">
        <is>
          <t>84912A</t>
        </is>
      </c>
      <c r="E1296" s="117" t="inlineStr">
        <is>
          <t>PINK ROSE WASHBAG</t>
        </is>
      </c>
      <c r="F1296" s="117" t="n">
        <v>4</v>
      </c>
      <c r="G1296" s="118" t="n">
        <v>3.75</v>
      </c>
      <c r="H1296" s="118" t="n">
        <v>15</v>
      </c>
      <c r="I1296" s="119" t="n">
        <v>40640</v>
      </c>
    </row>
    <row r="1297">
      <c r="A1297" s="114" t="inlineStr">
        <is>
          <t>549302</t>
        </is>
      </c>
      <c r="B1297" s="114" t="n">
        <v>14246</v>
      </c>
      <c r="C1297" s="114" t="inlineStr">
        <is>
          <t>United Kingdom</t>
        </is>
      </c>
      <c r="D1297" s="114" t="inlineStr">
        <is>
          <t>22568</t>
        </is>
      </c>
      <c r="E1297" s="114" t="inlineStr">
        <is>
          <t>FELTCRAFT CUSHION OWL</t>
        </is>
      </c>
      <c r="F1297" s="114" t="n">
        <v>4</v>
      </c>
      <c r="G1297" s="115" t="n">
        <v>3.75</v>
      </c>
      <c r="H1297" s="115" t="n">
        <v>15</v>
      </c>
      <c r="I1297" s="116" t="n">
        <v>40641</v>
      </c>
    </row>
    <row r="1298">
      <c r="A1298" s="117" t="inlineStr">
        <is>
          <t>549311</t>
        </is>
      </c>
      <c r="B1298" s="117" t="n">
        <v>14924</v>
      </c>
      <c r="C1298" s="117" t="inlineStr">
        <is>
          <t>United Kingdom</t>
        </is>
      </c>
      <c r="D1298" s="117" t="inlineStr">
        <is>
          <t>21314</t>
        </is>
      </c>
      <c r="E1298" s="117" t="inlineStr">
        <is>
          <t>SMALL GLASS HEART TRINKET POT</t>
        </is>
      </c>
      <c r="F1298" s="117" t="n">
        <v>8</v>
      </c>
      <c r="G1298" s="118" t="n">
        <v>2.1</v>
      </c>
      <c r="H1298" s="118" t="n">
        <v>16.8</v>
      </c>
      <c r="I1298" s="119" t="n">
        <v>40641</v>
      </c>
    </row>
    <row r="1299">
      <c r="A1299" s="114" t="inlineStr">
        <is>
          <t>549316</t>
        </is>
      </c>
      <c r="B1299" s="114" t="n">
        <v>12705</v>
      </c>
      <c r="C1299" s="114" t="inlineStr">
        <is>
          <t>Germany</t>
        </is>
      </c>
      <c r="D1299" s="114" t="inlineStr">
        <is>
          <t>22467</t>
        </is>
      </c>
      <c r="E1299" s="114" t="inlineStr">
        <is>
          <t>GUMBALL COAT RACK</t>
        </is>
      </c>
      <c r="F1299" s="114" t="n">
        <v>36</v>
      </c>
      <c r="G1299" s="115" t="n">
        <v>2.1</v>
      </c>
      <c r="H1299" s="115" t="n">
        <v>75.59999999999999</v>
      </c>
      <c r="I1299" s="116" t="n">
        <v>40641</v>
      </c>
    </row>
    <row r="1300">
      <c r="A1300" s="117" t="inlineStr">
        <is>
          <t>549316</t>
        </is>
      </c>
      <c r="B1300" s="117" t="n">
        <v>12705</v>
      </c>
      <c r="C1300" s="117" t="inlineStr">
        <is>
          <t>Germany</t>
        </is>
      </c>
      <c r="D1300" s="117" t="inlineStr">
        <is>
          <t>20726</t>
        </is>
      </c>
      <c r="E1300" s="117" t="inlineStr">
        <is>
          <t>LUNCH BAG WOODLAND</t>
        </is>
      </c>
      <c r="F1300" s="117" t="n">
        <v>10</v>
      </c>
      <c r="G1300" s="118" t="n">
        <v>1.65</v>
      </c>
      <c r="H1300" s="118" t="n">
        <v>16.5</v>
      </c>
      <c r="I1300" s="119" t="n">
        <v>40641</v>
      </c>
    </row>
    <row r="1301">
      <c r="A1301" s="114" t="inlineStr">
        <is>
          <t>549318</t>
        </is>
      </c>
      <c r="B1301" s="114" t="n">
        <v>13911</v>
      </c>
      <c r="C1301" s="114" t="inlineStr">
        <is>
          <t>United Kingdom</t>
        </is>
      </c>
      <c r="D1301" s="114" t="inlineStr">
        <is>
          <t>22693</t>
        </is>
      </c>
      <c r="E1301" s="114" t="inlineStr">
        <is>
          <t>GROW A FLYTRAP OR SUNFLOWER IN TIN</t>
        </is>
      </c>
      <c r="F1301" s="114" t="n">
        <v>24</v>
      </c>
      <c r="G1301" s="115" t="n">
        <v>1.25</v>
      </c>
      <c r="H1301" s="115" t="n">
        <v>30</v>
      </c>
      <c r="I1301" s="116" t="n">
        <v>40641</v>
      </c>
    </row>
    <row r="1302">
      <c r="A1302" s="117" t="inlineStr">
        <is>
          <t>549320</t>
        </is>
      </c>
      <c r="B1302" s="117" t="n">
        <v>16010</v>
      </c>
      <c r="C1302" s="117" t="inlineStr">
        <is>
          <t>United Kingdom</t>
        </is>
      </c>
      <c r="D1302" s="117" t="inlineStr">
        <is>
          <t>22465</t>
        </is>
      </c>
      <c r="E1302" s="117" t="inlineStr">
        <is>
          <t>HANGING METAL STAR LANTERN</t>
        </is>
      </c>
      <c r="F1302" s="117" t="n">
        <v>2</v>
      </c>
      <c r="G1302" s="118" t="n">
        <v>1.65</v>
      </c>
      <c r="H1302" s="118" t="n">
        <v>3.3</v>
      </c>
      <c r="I1302" s="119" t="n">
        <v>40641</v>
      </c>
    </row>
    <row r="1303">
      <c r="A1303" s="114" t="inlineStr">
        <is>
          <t>549321</t>
        </is>
      </c>
      <c r="B1303" s="114" t="n">
        <v>14243</v>
      </c>
      <c r="C1303" s="114" t="inlineStr">
        <is>
          <t>United Kingdom</t>
        </is>
      </c>
      <c r="D1303" s="114" t="inlineStr">
        <is>
          <t>21340</t>
        </is>
      </c>
      <c r="E1303" s="114" t="inlineStr">
        <is>
          <t>CLASSIC METAL BIRDCAGE PLANT HOLDER</t>
        </is>
      </c>
      <c r="F1303" s="114" t="n">
        <v>2</v>
      </c>
      <c r="G1303" s="115" t="n">
        <v>12.75</v>
      </c>
      <c r="H1303" s="115" t="n">
        <v>25.5</v>
      </c>
      <c r="I1303" s="116" t="n">
        <v>40641</v>
      </c>
    </row>
    <row r="1304">
      <c r="A1304" s="117" t="inlineStr">
        <is>
          <t>549323</t>
        </is>
      </c>
      <c r="B1304" s="117" t="n">
        <v>12999</v>
      </c>
      <c r="C1304" s="117" t="inlineStr">
        <is>
          <t>United Kingdom</t>
        </is>
      </c>
      <c r="D1304" s="117" t="inlineStr">
        <is>
          <t>22693</t>
        </is>
      </c>
      <c r="E1304" s="117" t="inlineStr">
        <is>
          <t>GROW A FLYTRAP OR SUNFLOWER IN TIN</t>
        </is>
      </c>
      <c r="F1304" s="117" t="n">
        <v>24</v>
      </c>
      <c r="G1304" s="118" t="n">
        <v>1.25</v>
      </c>
      <c r="H1304" s="118" t="n">
        <v>30</v>
      </c>
      <c r="I1304" s="119" t="n">
        <v>40641</v>
      </c>
    </row>
    <row r="1305">
      <c r="A1305" s="114" t="inlineStr">
        <is>
          <t>549324</t>
        </is>
      </c>
      <c r="B1305" s="114" t="n">
        <v>16045</v>
      </c>
      <c r="C1305" s="114" t="inlineStr">
        <is>
          <t>United Kingdom</t>
        </is>
      </c>
      <c r="D1305" s="114" t="inlineStr">
        <is>
          <t>22969</t>
        </is>
      </c>
      <c r="E1305" s="114" t="inlineStr">
        <is>
          <t>HOMEMADE JAM SCENTED CANDLES</t>
        </is>
      </c>
      <c r="F1305" s="114" t="n">
        <v>24</v>
      </c>
      <c r="G1305" s="115" t="n">
        <v>1.45</v>
      </c>
      <c r="H1305" s="115" t="n">
        <v>34.8</v>
      </c>
      <c r="I1305" s="116" t="n">
        <v>40641</v>
      </c>
    </row>
    <row r="1306">
      <c r="A1306" s="117" t="inlineStr">
        <is>
          <t>549425</t>
        </is>
      </c>
      <c r="B1306" s="117" t="n">
        <v>14030</v>
      </c>
      <c r="C1306" s="117" t="inlineStr">
        <is>
          <t>United Kingdom</t>
        </is>
      </c>
      <c r="D1306" s="117" t="inlineStr">
        <is>
          <t>37413</t>
        </is>
      </c>
      <c r="E1306" s="117" t="inlineStr">
        <is>
          <t>ICON MUG REVOLUTIONARY</t>
        </is>
      </c>
      <c r="F1306" s="117" t="n">
        <v>6</v>
      </c>
      <c r="G1306" s="118" t="n">
        <v>0.39</v>
      </c>
      <c r="H1306" s="118" t="n">
        <v>2.34</v>
      </c>
      <c r="I1306" s="119" t="n">
        <v>40641</v>
      </c>
    </row>
    <row r="1307">
      <c r="A1307" s="114" t="inlineStr">
        <is>
          <t>549429</t>
        </is>
      </c>
      <c r="B1307" s="114" t="n">
        <v>17001</v>
      </c>
      <c r="C1307" s="114" t="inlineStr">
        <is>
          <t>United Kingdom</t>
        </is>
      </c>
      <c r="D1307" s="114" t="inlineStr">
        <is>
          <t>22426</t>
        </is>
      </c>
      <c r="E1307" s="114" t="inlineStr">
        <is>
          <t>ENAMEL WASH BOWL CREAM</t>
        </is>
      </c>
      <c r="F1307" s="114" t="n">
        <v>4</v>
      </c>
      <c r="G1307" s="115" t="n">
        <v>3.75</v>
      </c>
      <c r="H1307" s="115" t="n">
        <v>15</v>
      </c>
      <c r="I1307" s="116" t="n">
        <v>40641</v>
      </c>
    </row>
    <row r="1308">
      <c r="A1308" s="117" t="inlineStr">
        <is>
          <t>549429</t>
        </is>
      </c>
      <c r="B1308" s="117" t="n">
        <v>17001</v>
      </c>
      <c r="C1308" s="117" t="inlineStr">
        <is>
          <t>United Kingdom</t>
        </is>
      </c>
      <c r="D1308" s="117" t="inlineStr">
        <is>
          <t>22727</t>
        </is>
      </c>
      <c r="E1308" s="117" t="inlineStr">
        <is>
          <t xml:space="preserve">ALARM CLOCK BAKELIKE RED </t>
        </is>
      </c>
      <c r="F1308" s="117" t="n">
        <v>4</v>
      </c>
      <c r="G1308" s="118" t="n">
        <v>3.75</v>
      </c>
      <c r="H1308" s="118" t="n">
        <v>15</v>
      </c>
      <c r="I1308" s="119" t="n">
        <v>40641</v>
      </c>
    </row>
    <row r="1309">
      <c r="A1309" s="114" t="inlineStr">
        <is>
          <t>549429</t>
        </is>
      </c>
      <c r="B1309" s="114" t="n">
        <v>17001</v>
      </c>
      <c r="C1309" s="114" t="inlineStr">
        <is>
          <t>United Kingdom</t>
        </is>
      </c>
      <c r="D1309" s="114" t="inlineStr">
        <is>
          <t>85099B</t>
        </is>
      </c>
      <c r="E1309" s="114" t="inlineStr">
        <is>
          <t>JUMBO BAG RED RETROSPOT</t>
        </is>
      </c>
      <c r="F1309" s="114" t="n">
        <v>20</v>
      </c>
      <c r="G1309" s="115" t="n">
        <v>2.08</v>
      </c>
      <c r="H1309" s="115" t="n">
        <v>41.6</v>
      </c>
      <c r="I1309" s="116" t="n">
        <v>40641</v>
      </c>
    </row>
    <row r="1310">
      <c r="A1310" s="117" t="inlineStr">
        <is>
          <t>549446</t>
        </is>
      </c>
      <c r="B1310" s="117" t="n">
        <v>17054</v>
      </c>
      <c r="C1310" s="117" t="inlineStr">
        <is>
          <t>United Kingdom</t>
        </is>
      </c>
      <c r="D1310" s="117" t="inlineStr">
        <is>
          <t>48194</t>
        </is>
      </c>
      <c r="E1310" s="117" t="inlineStr">
        <is>
          <t>DOORMAT HEARTS</t>
        </is>
      </c>
      <c r="F1310" s="117" t="n">
        <v>2</v>
      </c>
      <c r="G1310" s="118" t="n">
        <v>7.95</v>
      </c>
      <c r="H1310" s="118" t="n">
        <v>15.9</v>
      </c>
      <c r="I1310" s="119" t="n">
        <v>40641</v>
      </c>
    </row>
    <row r="1311">
      <c r="A1311" s="114" t="inlineStr">
        <is>
          <t>549546</t>
        </is>
      </c>
      <c r="B1311" s="114" t="n">
        <v>16889</v>
      </c>
      <c r="C1311" s="114" t="inlineStr">
        <is>
          <t>United Kingdom</t>
        </is>
      </c>
      <c r="D1311" s="114" t="inlineStr">
        <is>
          <t>22786</t>
        </is>
      </c>
      <c r="E1311" s="114" t="inlineStr">
        <is>
          <t>CUSHION COVER PINK UNION JACK</t>
        </is>
      </c>
      <c r="F1311" s="114" t="n">
        <v>4</v>
      </c>
      <c r="G1311" s="115" t="n">
        <v>5.95</v>
      </c>
      <c r="H1311" s="115" t="n">
        <v>23.8</v>
      </c>
      <c r="I1311" s="116" t="n">
        <v>40643</v>
      </c>
    </row>
    <row r="1312">
      <c r="A1312" s="117" t="inlineStr">
        <is>
          <t>549550</t>
        </is>
      </c>
      <c r="B1312" s="117" t="n">
        <v>15038</v>
      </c>
      <c r="C1312" s="117" t="inlineStr">
        <is>
          <t>United Kingdom</t>
        </is>
      </c>
      <c r="D1312" s="117" t="inlineStr">
        <is>
          <t>21874</t>
        </is>
      </c>
      <c r="E1312" s="117" t="inlineStr">
        <is>
          <t>GIN AND TONIC MUG</t>
        </is>
      </c>
      <c r="F1312" s="117" t="n">
        <v>1</v>
      </c>
      <c r="G1312" s="118" t="n">
        <v>1.25</v>
      </c>
      <c r="H1312" s="118" t="n">
        <v>1.25</v>
      </c>
      <c r="I1312" s="119" t="n">
        <v>40643</v>
      </c>
    </row>
    <row r="1313">
      <c r="A1313" s="114" t="inlineStr">
        <is>
          <t>549554</t>
        </is>
      </c>
      <c r="B1313" s="114" t="n">
        <v>16779</v>
      </c>
      <c r="C1313" s="114" t="inlineStr">
        <is>
          <t>United Kingdom</t>
        </is>
      </c>
      <c r="D1313" s="114" t="inlineStr">
        <is>
          <t>21216</t>
        </is>
      </c>
      <c r="E1313" s="114" t="inlineStr">
        <is>
          <t>SET 3 RETROSPOT TEA,COFFEE,SUGAR</t>
        </is>
      </c>
      <c r="F1313" s="114" t="n">
        <v>24</v>
      </c>
      <c r="G1313" s="115" t="n">
        <v>4.25</v>
      </c>
      <c r="H1313" s="115" t="n">
        <v>102</v>
      </c>
      <c r="I1313" s="116" t="n">
        <v>40643</v>
      </c>
    </row>
    <row r="1314">
      <c r="A1314" s="117" t="inlineStr">
        <is>
          <t>549556</t>
        </is>
      </c>
      <c r="B1314" s="117" t="n">
        <v>17372</v>
      </c>
      <c r="C1314" s="117" t="inlineStr">
        <is>
          <t>United Kingdom</t>
        </is>
      </c>
      <c r="D1314" s="117" t="inlineStr">
        <is>
          <t>22519</t>
        </is>
      </c>
      <c r="E1314" s="117" t="inlineStr">
        <is>
          <t>CHILDS GARDEN BRUSH PINK</t>
        </is>
      </c>
      <c r="F1314" s="117" t="n">
        <v>1</v>
      </c>
      <c r="G1314" s="118" t="n">
        <v>2.1</v>
      </c>
      <c r="H1314" s="118" t="n">
        <v>2.1</v>
      </c>
      <c r="I1314" s="119" t="n">
        <v>40643</v>
      </c>
    </row>
    <row r="1315">
      <c r="A1315" s="114" t="inlineStr">
        <is>
          <t>549559</t>
        </is>
      </c>
      <c r="B1315" s="114" t="n">
        <v>12447</v>
      </c>
      <c r="C1315" s="114" t="inlineStr">
        <is>
          <t>Belgium</t>
        </is>
      </c>
      <c r="D1315" s="114" t="inlineStr">
        <is>
          <t>20749</t>
        </is>
      </c>
      <c r="E1315" s="114" t="inlineStr">
        <is>
          <t>ASSORTED COLOUR MINI CASES</t>
        </is>
      </c>
      <c r="F1315" s="114" t="n">
        <v>2</v>
      </c>
      <c r="G1315" s="115" t="n">
        <v>7.95</v>
      </c>
      <c r="H1315" s="115" t="n">
        <v>15.9</v>
      </c>
      <c r="I1315" s="116" t="n">
        <v>40643</v>
      </c>
    </row>
    <row r="1316">
      <c r="A1316" s="117" t="inlineStr">
        <is>
          <t>549560</t>
        </is>
      </c>
      <c r="B1316" s="117" t="n">
        <v>15058</v>
      </c>
      <c r="C1316" s="117" t="inlineStr">
        <is>
          <t>United Kingdom</t>
        </is>
      </c>
      <c r="D1316" s="117" t="inlineStr">
        <is>
          <t>22917</t>
        </is>
      </c>
      <c r="E1316" s="117" t="inlineStr">
        <is>
          <t>HERB MARKER ROSEMARY</t>
        </is>
      </c>
      <c r="F1316" s="117" t="n">
        <v>1</v>
      </c>
      <c r="G1316" s="118" t="n">
        <v>0.65</v>
      </c>
      <c r="H1316" s="118" t="n">
        <v>0.65</v>
      </c>
      <c r="I1316" s="119" t="n">
        <v>40643</v>
      </c>
    </row>
    <row r="1317">
      <c r="A1317" s="114" t="inlineStr">
        <is>
          <t>549569</t>
        </is>
      </c>
      <c r="B1317" s="114" t="n">
        <v>15547</v>
      </c>
      <c r="C1317" s="114" t="inlineStr">
        <is>
          <t>United Kingdom</t>
        </is>
      </c>
      <c r="D1317" s="114" t="inlineStr">
        <is>
          <t>85175</t>
        </is>
      </c>
      <c r="E1317" s="114" t="inlineStr">
        <is>
          <t>CACTI T-LIGHT CANDLES</t>
        </is>
      </c>
      <c r="F1317" s="114" t="n">
        <v>16</v>
      </c>
      <c r="G1317" s="115" t="n">
        <v>0.42</v>
      </c>
      <c r="H1317" s="115" t="n">
        <v>6.72</v>
      </c>
      <c r="I1317" s="116" t="n">
        <v>40643</v>
      </c>
    </row>
    <row r="1318">
      <c r="A1318" s="117" t="inlineStr">
        <is>
          <t>549572</t>
        </is>
      </c>
      <c r="B1318" s="117" t="n">
        <v>17757</v>
      </c>
      <c r="C1318" s="117" t="inlineStr">
        <is>
          <t>United Kingdom</t>
        </is>
      </c>
      <c r="D1318" s="117" t="inlineStr">
        <is>
          <t>22482</t>
        </is>
      </c>
      <c r="E1318" s="117" t="inlineStr">
        <is>
          <t>BLUE TEA TOWEL CLASSIC DESIGN</t>
        </is>
      </c>
      <c r="F1318" s="117" t="n">
        <v>4</v>
      </c>
      <c r="G1318" s="118" t="n">
        <v>1.25</v>
      </c>
      <c r="H1318" s="118" t="n">
        <v>5</v>
      </c>
      <c r="I1318" s="119" t="n">
        <v>40643</v>
      </c>
    </row>
    <row r="1319">
      <c r="A1319" s="114" t="inlineStr">
        <is>
          <t>549577</t>
        </is>
      </c>
      <c r="B1319" s="114" t="n">
        <v>14286</v>
      </c>
      <c r="C1319" s="114" t="inlineStr">
        <is>
          <t>United Kingdom</t>
        </is>
      </c>
      <c r="D1319" s="114" t="inlineStr">
        <is>
          <t>22546</t>
        </is>
      </c>
      <c r="E1319" s="114" t="inlineStr">
        <is>
          <t>MINI JIGSAW PURDEY</t>
        </is>
      </c>
      <c r="F1319" s="114" t="n">
        <v>24</v>
      </c>
      <c r="G1319" s="115" t="n">
        <v>0.42</v>
      </c>
      <c r="H1319" s="115" t="n">
        <v>10.08</v>
      </c>
      <c r="I1319" s="116" t="n">
        <v>40644</v>
      </c>
    </row>
    <row r="1320">
      <c r="A1320" s="117" t="inlineStr">
        <is>
          <t>549577</t>
        </is>
      </c>
      <c r="B1320" s="117" t="n">
        <v>14286</v>
      </c>
      <c r="C1320" s="117" t="inlineStr">
        <is>
          <t>United Kingdom</t>
        </is>
      </c>
      <c r="D1320" s="117" t="inlineStr">
        <is>
          <t>22814</t>
        </is>
      </c>
      <c r="E1320" s="117" t="inlineStr">
        <is>
          <t xml:space="preserve">CARD PARTY GAMES </t>
        </is>
      </c>
      <c r="F1320" s="117" t="n">
        <v>12</v>
      </c>
      <c r="G1320" s="118" t="n">
        <v>0.42</v>
      </c>
      <c r="H1320" s="118" t="n">
        <v>5.04</v>
      </c>
      <c r="I1320" s="119" t="n">
        <v>40644</v>
      </c>
    </row>
    <row r="1321">
      <c r="A1321" s="114" t="inlineStr">
        <is>
          <t>549577</t>
        </is>
      </c>
      <c r="B1321" s="114" t="n">
        <v>14286</v>
      </c>
      <c r="C1321" s="114" t="inlineStr">
        <is>
          <t>United Kingdom</t>
        </is>
      </c>
      <c r="D1321" s="114" t="inlineStr">
        <is>
          <t>22089</t>
        </is>
      </c>
      <c r="E1321" s="114" t="inlineStr">
        <is>
          <t>PAPER BUNTING VINTAGE PAISLEY</t>
        </is>
      </c>
      <c r="F1321" s="114" t="n">
        <v>6</v>
      </c>
      <c r="G1321" s="115" t="n">
        <v>2.95</v>
      </c>
      <c r="H1321" s="115" t="n">
        <v>17.7</v>
      </c>
      <c r="I1321" s="116" t="n">
        <v>40644</v>
      </c>
    </row>
    <row r="1322">
      <c r="A1322" s="117" t="inlineStr">
        <is>
          <t>549583</t>
        </is>
      </c>
      <c r="B1322" s="117" t="n">
        <v>15214</v>
      </c>
      <c r="C1322" s="117" t="inlineStr">
        <is>
          <t>United Kingdom</t>
        </is>
      </c>
      <c r="D1322" s="117" t="inlineStr">
        <is>
          <t>21165</t>
        </is>
      </c>
      <c r="E1322" s="117" t="inlineStr">
        <is>
          <t xml:space="preserve">BEWARE OF THE CAT METAL SIGN </t>
        </is>
      </c>
      <c r="F1322" s="117" t="n">
        <v>12</v>
      </c>
      <c r="G1322" s="118" t="n">
        <v>1.69</v>
      </c>
      <c r="H1322" s="118" t="n">
        <v>20.28</v>
      </c>
      <c r="I1322" s="119" t="n">
        <v>40644</v>
      </c>
    </row>
    <row r="1323">
      <c r="A1323" s="114" t="inlineStr">
        <is>
          <t>549587</t>
        </is>
      </c>
      <c r="B1323" s="114" t="n">
        <v>15737</v>
      </c>
      <c r="C1323" s="114" t="inlineStr">
        <is>
          <t>United Kingdom</t>
        </is>
      </c>
      <c r="D1323" s="114" t="inlineStr">
        <is>
          <t>21533</t>
        </is>
      </c>
      <c r="E1323" s="114" t="inlineStr">
        <is>
          <t>RETROSPOT LARGE MILK JUG</t>
        </is>
      </c>
      <c r="F1323" s="114" t="n">
        <v>3</v>
      </c>
      <c r="G1323" s="115" t="n">
        <v>4.95</v>
      </c>
      <c r="H1323" s="115" t="n">
        <v>14.85</v>
      </c>
      <c r="I1323" s="116" t="n">
        <v>40644</v>
      </c>
    </row>
    <row r="1324">
      <c r="A1324" s="117" t="inlineStr">
        <is>
          <t>549596</t>
        </is>
      </c>
      <c r="B1324" s="117" t="n">
        <v>14339</v>
      </c>
      <c r="C1324" s="117" t="inlineStr">
        <is>
          <t>United Kingdom</t>
        </is>
      </c>
      <c r="D1324" s="117" t="inlineStr">
        <is>
          <t>23154</t>
        </is>
      </c>
      <c r="E1324" s="117" t="inlineStr">
        <is>
          <t>SET OF 4 JAM JAR MAGNETS</t>
        </is>
      </c>
      <c r="F1324" s="117" t="n">
        <v>12</v>
      </c>
      <c r="G1324" s="118" t="n">
        <v>2.08</v>
      </c>
      <c r="H1324" s="118" t="n">
        <v>24.96</v>
      </c>
      <c r="I1324" s="119" t="n">
        <v>40644</v>
      </c>
    </row>
    <row r="1325">
      <c r="A1325" s="114" t="inlineStr">
        <is>
          <t>549614</t>
        </is>
      </c>
      <c r="B1325" s="114" t="n">
        <v>12720</v>
      </c>
      <c r="C1325" s="114" t="inlineStr">
        <is>
          <t>Germany</t>
        </is>
      </c>
      <c r="D1325" s="114" t="inlineStr">
        <is>
          <t>22692</t>
        </is>
      </c>
      <c r="E1325" s="114" t="inlineStr">
        <is>
          <t>DOORMAT WELCOME TO OUR HOME</t>
        </is>
      </c>
      <c r="F1325" s="114" t="n">
        <v>2</v>
      </c>
      <c r="G1325" s="115" t="n">
        <v>7.95</v>
      </c>
      <c r="H1325" s="115" t="n">
        <v>15.9</v>
      </c>
      <c r="I1325" s="116" t="n">
        <v>40644</v>
      </c>
    </row>
    <row r="1326">
      <c r="A1326" s="117" t="inlineStr">
        <is>
          <t>549664</t>
        </is>
      </c>
      <c r="B1326" s="117" t="n">
        <v>13113</v>
      </c>
      <c r="C1326" s="117" t="inlineStr">
        <is>
          <t>United Kingdom</t>
        </is>
      </c>
      <c r="D1326" s="117" t="inlineStr">
        <is>
          <t>22501</t>
        </is>
      </c>
      <c r="E1326" s="117" t="inlineStr">
        <is>
          <t>PICNIC BASKET WICKER LARGE</t>
        </is>
      </c>
      <c r="F1326" s="117" t="n">
        <v>16</v>
      </c>
      <c r="G1326" s="118" t="n">
        <v>8.5</v>
      </c>
      <c r="H1326" s="118" t="n">
        <v>136</v>
      </c>
      <c r="I1326" s="119" t="n">
        <v>40644</v>
      </c>
    </row>
    <row r="1327">
      <c r="A1327" s="114" t="inlineStr">
        <is>
          <t>549667</t>
        </is>
      </c>
      <c r="B1327" s="114" t="n">
        <v>14911</v>
      </c>
      <c r="C1327" s="114" t="inlineStr">
        <is>
          <t>EIRE</t>
        </is>
      </c>
      <c r="D1327" s="114" t="inlineStr">
        <is>
          <t>21154</t>
        </is>
      </c>
      <c r="E1327" s="114" t="inlineStr">
        <is>
          <t xml:space="preserve">RED RETROSPOT OVEN GLOVE </t>
        </is>
      </c>
      <c r="F1327" s="114" t="n">
        <v>10</v>
      </c>
      <c r="G1327" s="115" t="n">
        <v>1.25</v>
      </c>
      <c r="H1327" s="115" t="n">
        <v>12.5</v>
      </c>
      <c r="I1327" s="116" t="n">
        <v>40644</v>
      </c>
    </row>
    <row r="1328">
      <c r="A1328" s="117" t="inlineStr">
        <is>
          <t>549670</t>
        </is>
      </c>
      <c r="B1328" s="117" t="n">
        <v>16168</v>
      </c>
      <c r="C1328" s="117" t="inlineStr">
        <is>
          <t>United Kingdom</t>
        </is>
      </c>
      <c r="D1328" s="117" t="inlineStr">
        <is>
          <t>21669</t>
        </is>
      </c>
      <c r="E1328" s="117" t="inlineStr">
        <is>
          <t>BLUE STRIPE CERAMIC DRAWER KNOB</t>
        </is>
      </c>
      <c r="F1328" s="117" t="n">
        <v>12</v>
      </c>
      <c r="G1328" s="118" t="n">
        <v>1.25</v>
      </c>
      <c r="H1328" s="118" t="n">
        <v>15</v>
      </c>
      <c r="I1328" s="119" t="n">
        <v>40644</v>
      </c>
    </row>
    <row r="1329">
      <c r="A1329" s="114" t="inlineStr">
        <is>
          <t>549682</t>
        </is>
      </c>
      <c r="B1329" s="114" t="n">
        <v>12596</v>
      </c>
      <c r="C1329" s="114" t="inlineStr">
        <is>
          <t>Spain</t>
        </is>
      </c>
      <c r="D1329" s="114" t="inlineStr">
        <is>
          <t>85116</t>
        </is>
      </c>
      <c r="E1329" s="114" t="inlineStr">
        <is>
          <t>BLACK CANDELABRA T-LIGHT HOLDER</t>
        </is>
      </c>
      <c r="F1329" s="114" t="n">
        <v>6</v>
      </c>
      <c r="G1329" s="115" t="n">
        <v>2.1</v>
      </c>
      <c r="H1329" s="115" t="n">
        <v>12.6</v>
      </c>
      <c r="I1329" s="116" t="n">
        <v>40644</v>
      </c>
    </row>
    <row r="1330">
      <c r="A1330" s="117" t="inlineStr">
        <is>
          <t>549720</t>
        </is>
      </c>
      <c r="B1330" s="117" t="n">
        <v>14606</v>
      </c>
      <c r="C1330" s="117" t="inlineStr">
        <is>
          <t>United Kingdom</t>
        </is>
      </c>
      <c r="D1330" s="117" t="inlineStr">
        <is>
          <t>20727</t>
        </is>
      </c>
      <c r="E1330" s="117" t="inlineStr">
        <is>
          <t>LUNCH BAG  BLACK SKULL.</t>
        </is>
      </c>
      <c r="F1330" s="117" t="n">
        <v>1</v>
      </c>
      <c r="G1330" s="118" t="n">
        <v>1.65</v>
      </c>
      <c r="H1330" s="118" t="n">
        <v>1.65</v>
      </c>
      <c r="I1330" s="119" t="n">
        <v>40644</v>
      </c>
    </row>
    <row r="1331">
      <c r="A1331" s="114" t="inlineStr">
        <is>
          <t>549729</t>
        </is>
      </c>
      <c r="B1331" s="114" t="n">
        <v>13634</v>
      </c>
      <c r="C1331" s="114" t="inlineStr">
        <is>
          <t>United Kingdom</t>
        </is>
      </c>
      <c r="D1331" s="114" t="inlineStr">
        <is>
          <t>21930</t>
        </is>
      </c>
      <c r="E1331" s="114" t="inlineStr">
        <is>
          <t>JUMBO STORAGE BAG SKULLS</t>
        </is>
      </c>
      <c r="F1331" s="114" t="n">
        <v>2</v>
      </c>
      <c r="G1331" s="115" t="n">
        <v>2.08</v>
      </c>
      <c r="H1331" s="115" t="n">
        <v>4.16</v>
      </c>
      <c r="I1331" s="116" t="n">
        <v>40644</v>
      </c>
    </row>
    <row r="1332">
      <c r="A1332" s="117" t="inlineStr">
        <is>
          <t>549729</t>
        </is>
      </c>
      <c r="B1332" s="117" t="n">
        <v>13634</v>
      </c>
      <c r="C1332" s="117" t="inlineStr">
        <is>
          <t>United Kingdom</t>
        </is>
      </c>
      <c r="D1332" s="117" t="inlineStr">
        <is>
          <t>21928</t>
        </is>
      </c>
      <c r="E1332" s="117" t="inlineStr">
        <is>
          <t>JUMBO BAG SCANDINAVIAN BLUE PAISLEY</t>
        </is>
      </c>
      <c r="F1332" s="117" t="n">
        <v>2</v>
      </c>
      <c r="G1332" s="118" t="n">
        <v>2.08</v>
      </c>
      <c r="H1332" s="118" t="n">
        <v>4.16</v>
      </c>
      <c r="I1332" s="119" t="n">
        <v>40644</v>
      </c>
    </row>
    <row r="1333">
      <c r="A1333" s="114" t="inlineStr">
        <is>
          <t>549732</t>
        </is>
      </c>
      <c r="B1333" s="114" t="n">
        <v>15615</v>
      </c>
      <c r="C1333" s="114" t="inlineStr">
        <is>
          <t>United Kingdom</t>
        </is>
      </c>
      <c r="D1333" s="114" t="inlineStr">
        <is>
          <t>23205</t>
        </is>
      </c>
      <c r="E1333" s="114" t="inlineStr">
        <is>
          <t xml:space="preserve">CHARLOTTE BAG VINTAGE ALPHABET </t>
        </is>
      </c>
      <c r="F1333" s="114" t="n">
        <v>10</v>
      </c>
      <c r="G1333" s="115" t="n">
        <v>0.85</v>
      </c>
      <c r="H1333" s="115" t="n">
        <v>8.5</v>
      </c>
      <c r="I1333" s="116" t="n">
        <v>40644</v>
      </c>
    </row>
    <row r="1334">
      <c r="A1334" s="117" t="inlineStr">
        <is>
          <t>549732</t>
        </is>
      </c>
      <c r="B1334" s="117" t="n">
        <v>15615</v>
      </c>
      <c r="C1334" s="117" t="inlineStr">
        <is>
          <t>United Kingdom</t>
        </is>
      </c>
      <c r="D1334" s="117" t="inlineStr">
        <is>
          <t>84946</t>
        </is>
      </c>
      <c r="E1334" s="117" t="inlineStr">
        <is>
          <t>ANTIQUE SILVER T-LIGHT GLASS</t>
        </is>
      </c>
      <c r="F1334" s="117" t="n">
        <v>12</v>
      </c>
      <c r="G1334" s="118" t="n">
        <v>1.25</v>
      </c>
      <c r="H1334" s="118" t="n">
        <v>15</v>
      </c>
      <c r="I1334" s="119" t="n">
        <v>40644</v>
      </c>
    </row>
    <row r="1335">
      <c r="A1335" s="114" t="inlineStr">
        <is>
          <t>549733</t>
        </is>
      </c>
      <c r="B1335" s="114" t="n">
        <v>17827</v>
      </c>
      <c r="C1335" s="114" t="inlineStr">
        <is>
          <t>United Kingdom</t>
        </is>
      </c>
      <c r="D1335" s="114" t="inlineStr">
        <is>
          <t>85211</t>
        </is>
      </c>
      <c r="E1335" s="114" t="inlineStr">
        <is>
          <t>S/4 GROOVY CAT MAGNETS</t>
        </is>
      </c>
      <c r="F1335" s="114" t="n">
        <v>6</v>
      </c>
      <c r="G1335" s="115" t="n">
        <v>1.65</v>
      </c>
      <c r="H1335" s="115" t="n">
        <v>9.9</v>
      </c>
      <c r="I1335" s="116" t="n">
        <v>40644</v>
      </c>
    </row>
    <row r="1336">
      <c r="A1336" s="117" t="inlineStr">
        <is>
          <t>549734</t>
        </is>
      </c>
      <c r="B1336" s="117" t="n">
        <v>16409</v>
      </c>
      <c r="C1336" s="117" t="inlineStr">
        <is>
          <t>United Kingdom</t>
        </is>
      </c>
      <c r="D1336" s="117" t="inlineStr">
        <is>
          <t>22247</t>
        </is>
      </c>
      <c r="E1336" s="117" t="inlineStr">
        <is>
          <t>BUNNY DECORATION MAGIC GARDEN</t>
        </is>
      </c>
      <c r="F1336" s="117" t="n">
        <v>10</v>
      </c>
      <c r="G1336" s="118" t="n">
        <v>0.85</v>
      </c>
      <c r="H1336" s="118" t="n">
        <v>8.5</v>
      </c>
      <c r="I1336" s="119" t="n">
        <v>40644</v>
      </c>
    </row>
    <row r="1337">
      <c r="A1337" s="114" t="inlineStr">
        <is>
          <t>549749</t>
        </is>
      </c>
      <c r="B1337" s="114" t="n">
        <v>12928</v>
      </c>
      <c r="C1337" s="114" t="inlineStr">
        <is>
          <t>United Kingdom</t>
        </is>
      </c>
      <c r="D1337" s="114" t="inlineStr">
        <is>
          <t>22773</t>
        </is>
      </c>
      <c r="E1337" s="114" t="inlineStr">
        <is>
          <t>GREEN DRAWER KNOB ACRYLIC EDWARDIAN</t>
        </is>
      </c>
      <c r="F1337" s="114" t="n">
        <v>24</v>
      </c>
      <c r="G1337" s="115" t="n">
        <v>1.25</v>
      </c>
      <c r="H1337" s="115" t="n">
        <v>30</v>
      </c>
      <c r="I1337" s="116" t="n">
        <v>40645</v>
      </c>
    </row>
    <row r="1338">
      <c r="A1338" s="117" t="inlineStr">
        <is>
          <t>549750</t>
        </is>
      </c>
      <c r="B1338" s="117" t="n">
        <v>18109</v>
      </c>
      <c r="C1338" s="117" t="inlineStr">
        <is>
          <t>United Kingdom</t>
        </is>
      </c>
      <c r="D1338" s="117" t="inlineStr">
        <is>
          <t>22720</t>
        </is>
      </c>
      <c r="E1338" s="117" t="inlineStr">
        <is>
          <t xml:space="preserve">SET OF 3 CAKE TINS PANTRY DESIGN </t>
        </is>
      </c>
      <c r="F1338" s="117" t="n">
        <v>1</v>
      </c>
      <c r="G1338" s="118" t="n">
        <v>4.95</v>
      </c>
      <c r="H1338" s="118" t="n">
        <v>4.95</v>
      </c>
      <c r="I1338" s="119" t="n">
        <v>40645</v>
      </c>
    </row>
    <row r="1339">
      <c r="A1339" s="114" t="inlineStr">
        <is>
          <t>549755</t>
        </is>
      </c>
      <c r="B1339" s="114" t="n">
        <v>16843</v>
      </c>
      <c r="C1339" s="114" t="inlineStr">
        <is>
          <t>United Kingdom</t>
        </is>
      </c>
      <c r="D1339" s="114" t="inlineStr">
        <is>
          <t>22630</t>
        </is>
      </c>
      <c r="E1339" s="114" t="inlineStr">
        <is>
          <t>DOLLY GIRL LUNCH BOX</t>
        </is>
      </c>
      <c r="F1339" s="114" t="n">
        <v>24</v>
      </c>
      <c r="G1339" s="115" t="n">
        <v>1.95</v>
      </c>
      <c r="H1339" s="115" t="n">
        <v>46.8</v>
      </c>
      <c r="I1339" s="116" t="n">
        <v>40645</v>
      </c>
    </row>
    <row r="1340">
      <c r="A1340" s="117" t="inlineStr">
        <is>
          <t>549787</t>
        </is>
      </c>
      <c r="B1340" s="117" t="n">
        <v>13268</v>
      </c>
      <c r="C1340" s="117" t="inlineStr">
        <is>
          <t>United Kingdom</t>
        </is>
      </c>
      <c r="D1340" s="117" t="inlineStr">
        <is>
          <t>22168</t>
        </is>
      </c>
      <c r="E1340" s="117" t="inlineStr">
        <is>
          <t xml:space="preserve">ORGANISER WOOD ANTIQUE WHITE </t>
        </is>
      </c>
      <c r="F1340" s="117" t="n">
        <v>1</v>
      </c>
      <c r="G1340" s="118" t="n">
        <v>8.5</v>
      </c>
      <c r="H1340" s="118" t="n">
        <v>8.5</v>
      </c>
      <c r="I1340" s="119" t="n">
        <v>40645</v>
      </c>
    </row>
    <row r="1341">
      <c r="A1341" s="114" t="inlineStr">
        <is>
          <t>549789</t>
        </is>
      </c>
      <c r="B1341" s="114" t="n">
        <v>17160</v>
      </c>
      <c r="C1341" s="114" t="inlineStr">
        <is>
          <t>United Kingdom</t>
        </is>
      </c>
      <c r="D1341" s="114" t="inlineStr">
        <is>
          <t>22750</t>
        </is>
      </c>
      <c r="E1341" s="114" t="inlineStr">
        <is>
          <t>FELTCRAFT PRINCESS LOLA DOLL</t>
        </is>
      </c>
      <c r="F1341" s="114" t="n">
        <v>4</v>
      </c>
      <c r="G1341" s="115" t="n">
        <v>3.75</v>
      </c>
      <c r="H1341" s="115" t="n">
        <v>15</v>
      </c>
      <c r="I1341" s="116" t="n">
        <v>40645</v>
      </c>
    </row>
    <row r="1342">
      <c r="A1342" s="117" t="inlineStr">
        <is>
          <t>549831</t>
        </is>
      </c>
      <c r="B1342" s="117" t="n">
        <v>14844</v>
      </c>
      <c r="C1342" s="117" t="inlineStr">
        <is>
          <t>United Kingdom</t>
        </is>
      </c>
      <c r="D1342" s="117" t="inlineStr">
        <is>
          <t>22805</t>
        </is>
      </c>
      <c r="E1342" s="117" t="inlineStr">
        <is>
          <t>BLUE DRAWER KNOB ACRYLIC EDWARDIAN</t>
        </is>
      </c>
      <c r="F1342" s="117" t="n">
        <v>12</v>
      </c>
      <c r="G1342" s="118" t="n">
        <v>1.25</v>
      </c>
      <c r="H1342" s="118" t="n">
        <v>15</v>
      </c>
      <c r="I1342" s="119" t="n">
        <v>40645</v>
      </c>
    </row>
    <row r="1343">
      <c r="A1343" s="114" t="inlineStr">
        <is>
          <t>549832</t>
        </is>
      </c>
      <c r="B1343" s="114" t="n">
        <v>17278</v>
      </c>
      <c r="C1343" s="114" t="inlineStr">
        <is>
          <t>United Kingdom</t>
        </is>
      </c>
      <c r="D1343" s="114" t="inlineStr">
        <is>
          <t>22491</t>
        </is>
      </c>
      <c r="E1343" s="114" t="inlineStr">
        <is>
          <t>PACK OF 12 COLOURED PENCILS</t>
        </is>
      </c>
      <c r="F1343" s="114" t="n">
        <v>24</v>
      </c>
      <c r="G1343" s="115" t="n">
        <v>0.85</v>
      </c>
      <c r="H1343" s="115" t="n">
        <v>20.4</v>
      </c>
      <c r="I1343" s="116" t="n">
        <v>40645</v>
      </c>
    </row>
    <row r="1344">
      <c r="A1344" s="117" t="inlineStr">
        <is>
          <t>549833</t>
        </is>
      </c>
      <c r="B1344" s="117" t="n">
        <v>13458</v>
      </c>
      <c r="C1344" s="117" t="inlineStr">
        <is>
          <t>United Kingdom</t>
        </is>
      </c>
      <c r="D1344" s="117" t="inlineStr">
        <is>
          <t>22151</t>
        </is>
      </c>
      <c r="E1344" s="117" t="inlineStr">
        <is>
          <t>PLACE SETTING WHITE HEART</t>
        </is>
      </c>
      <c r="F1344" s="117" t="n">
        <v>48</v>
      </c>
      <c r="G1344" s="118" t="n">
        <v>0.42</v>
      </c>
      <c r="H1344" s="118" t="n">
        <v>20.16</v>
      </c>
      <c r="I1344" s="119" t="n">
        <v>40645</v>
      </c>
    </row>
    <row r="1345">
      <c r="A1345" s="114" t="inlineStr">
        <is>
          <t>549837</t>
        </is>
      </c>
      <c r="B1345" s="114" t="n">
        <v>16705</v>
      </c>
      <c r="C1345" s="114" t="inlineStr">
        <is>
          <t>United Kingdom</t>
        </is>
      </c>
      <c r="D1345" s="114" t="inlineStr">
        <is>
          <t>82484</t>
        </is>
      </c>
      <c r="E1345" s="114" t="inlineStr">
        <is>
          <t>WOOD BLACK BOARD ANT WHITE FINISH</t>
        </is>
      </c>
      <c r="F1345" s="114" t="n">
        <v>4</v>
      </c>
      <c r="G1345" s="115" t="n">
        <v>7.95</v>
      </c>
      <c r="H1345" s="115" t="n">
        <v>31.8</v>
      </c>
      <c r="I1345" s="116" t="n">
        <v>40645</v>
      </c>
    </row>
    <row r="1346">
      <c r="A1346" s="117" t="inlineStr">
        <is>
          <t>549847</t>
        </is>
      </c>
      <c r="B1346" s="117" t="n">
        <v>15358</v>
      </c>
      <c r="C1346" s="117" t="inlineStr">
        <is>
          <t>United Kingdom</t>
        </is>
      </c>
      <c r="D1346" s="117" t="inlineStr">
        <is>
          <t>22222</t>
        </is>
      </c>
      <c r="E1346" s="117" t="inlineStr">
        <is>
          <t>CAKE PLATE LOVEBIRD WHITE</t>
        </is>
      </c>
      <c r="F1346" s="117" t="n">
        <v>3</v>
      </c>
      <c r="G1346" s="118" t="n">
        <v>4.95</v>
      </c>
      <c r="H1346" s="118" t="n">
        <v>14.85</v>
      </c>
      <c r="I1346" s="119" t="n">
        <v>40645</v>
      </c>
    </row>
    <row r="1347">
      <c r="A1347" s="114" t="inlineStr">
        <is>
          <t>549874</t>
        </is>
      </c>
      <c r="B1347" s="114" t="n">
        <v>16919</v>
      </c>
      <c r="C1347" s="114" t="inlineStr">
        <is>
          <t>United Kingdom</t>
        </is>
      </c>
      <c r="D1347" s="114" t="inlineStr">
        <is>
          <t>22059</t>
        </is>
      </c>
      <c r="E1347" s="114" t="inlineStr">
        <is>
          <t>CERAMIC STRAWBERRY DESIGN MUG</t>
        </is>
      </c>
      <c r="F1347" s="114" t="n">
        <v>8</v>
      </c>
      <c r="G1347" s="115" t="n">
        <v>1.49</v>
      </c>
      <c r="H1347" s="115" t="n">
        <v>11.92</v>
      </c>
      <c r="I1347" s="116" t="n">
        <v>40645</v>
      </c>
    </row>
    <row r="1348">
      <c r="A1348" s="117" t="inlineStr">
        <is>
          <t>549885</t>
        </is>
      </c>
      <c r="B1348" s="117" t="n">
        <v>17204</v>
      </c>
      <c r="C1348" s="117" t="inlineStr">
        <is>
          <t>United Kingdom</t>
        </is>
      </c>
      <c r="D1348" s="117" t="inlineStr">
        <is>
          <t>22427</t>
        </is>
      </c>
      <c r="E1348" s="117" t="inlineStr">
        <is>
          <t>ENAMEL FLOWER JUG CREAM</t>
        </is>
      </c>
      <c r="F1348" s="117" t="n">
        <v>3</v>
      </c>
      <c r="G1348" s="118" t="n">
        <v>5.95</v>
      </c>
      <c r="H1348" s="118" t="n">
        <v>17.85</v>
      </c>
      <c r="I1348" s="119" t="n">
        <v>40645</v>
      </c>
    </row>
    <row r="1349">
      <c r="A1349" s="114" t="inlineStr">
        <is>
          <t>549901</t>
        </is>
      </c>
      <c r="B1349" s="114" t="n">
        <v>17180</v>
      </c>
      <c r="C1349" s="114" t="inlineStr">
        <is>
          <t>United Kingdom</t>
        </is>
      </c>
      <c r="D1349" s="114" t="inlineStr">
        <is>
          <t>22063</t>
        </is>
      </c>
      <c r="E1349" s="114" t="inlineStr">
        <is>
          <t>CERAMIC BOWL WITH STRAWBERRY DESIGN</t>
        </is>
      </c>
      <c r="F1349" s="114" t="n">
        <v>2</v>
      </c>
      <c r="G1349" s="115" t="n">
        <v>2.95</v>
      </c>
      <c r="H1349" s="115" t="n">
        <v>5.9</v>
      </c>
      <c r="I1349" s="116" t="n">
        <v>40645</v>
      </c>
    </row>
    <row r="1350">
      <c r="A1350" s="117" t="inlineStr">
        <is>
          <t>549910</t>
        </is>
      </c>
      <c r="B1350" s="117" t="n">
        <v>16697</v>
      </c>
      <c r="C1350" s="117" t="inlineStr">
        <is>
          <t>United Kingdom</t>
        </is>
      </c>
      <c r="D1350" s="117" t="inlineStr">
        <is>
          <t>22502</t>
        </is>
      </c>
      <c r="E1350" s="117" t="inlineStr">
        <is>
          <t>PICNIC BASKET WICKER SMALL</t>
        </is>
      </c>
      <c r="F1350" s="117" t="n">
        <v>1</v>
      </c>
      <c r="G1350" s="118" t="n">
        <v>5.95</v>
      </c>
      <c r="H1350" s="118" t="n">
        <v>5.95</v>
      </c>
      <c r="I1350" s="119" t="n">
        <v>40645</v>
      </c>
    </row>
    <row r="1351">
      <c r="A1351" s="114" t="inlineStr">
        <is>
          <t>549943</t>
        </is>
      </c>
      <c r="B1351" s="114" t="n">
        <v>13544</v>
      </c>
      <c r="C1351" s="114" t="inlineStr">
        <is>
          <t>United Kingdom</t>
        </is>
      </c>
      <c r="D1351" s="114" t="inlineStr">
        <is>
          <t>22900</t>
        </is>
      </c>
      <c r="E1351" s="114" t="inlineStr">
        <is>
          <t xml:space="preserve"> SET 2 TEA TOWELS I LOVE LONDON </t>
        </is>
      </c>
      <c r="F1351" s="114" t="n">
        <v>1</v>
      </c>
      <c r="G1351" s="115" t="n">
        <v>3.25</v>
      </c>
      <c r="H1351" s="115" t="n">
        <v>3.25</v>
      </c>
      <c r="I1351" s="116" t="n">
        <v>40646</v>
      </c>
    </row>
    <row r="1352">
      <c r="A1352" s="117" t="inlineStr">
        <is>
          <t>549943</t>
        </is>
      </c>
      <c r="B1352" s="117" t="n">
        <v>13544</v>
      </c>
      <c r="C1352" s="117" t="inlineStr">
        <is>
          <t>United Kingdom</t>
        </is>
      </c>
      <c r="D1352" s="117" t="inlineStr">
        <is>
          <t>21864</t>
        </is>
      </c>
      <c r="E1352" s="117" t="inlineStr">
        <is>
          <t xml:space="preserve">UNION JACK FLAG PASSPORT COVER </t>
        </is>
      </c>
      <c r="F1352" s="117" t="n">
        <v>1</v>
      </c>
      <c r="G1352" s="118" t="n">
        <v>2.1</v>
      </c>
      <c r="H1352" s="118" t="n">
        <v>2.1</v>
      </c>
      <c r="I1352" s="119" t="n">
        <v>40646</v>
      </c>
    </row>
    <row r="1353">
      <c r="A1353" s="114" t="inlineStr">
        <is>
          <t>549966</t>
        </is>
      </c>
      <c r="B1353" s="114" t="n">
        <v>16224</v>
      </c>
      <c r="C1353" s="114" t="inlineStr">
        <is>
          <t>United Kingdom</t>
        </is>
      </c>
      <c r="D1353" s="114" t="inlineStr">
        <is>
          <t>21892</t>
        </is>
      </c>
      <c r="E1353" s="114" t="inlineStr">
        <is>
          <t xml:space="preserve">TRADITIONAL WOODEN CATCH CUP GAME </t>
        </is>
      </c>
      <c r="F1353" s="114" t="n">
        <v>12</v>
      </c>
      <c r="G1353" s="115" t="n">
        <v>1.25</v>
      </c>
      <c r="H1353" s="115" t="n">
        <v>15</v>
      </c>
      <c r="I1353" s="116" t="n">
        <v>40646</v>
      </c>
    </row>
    <row r="1354">
      <c r="A1354" s="117" t="inlineStr">
        <is>
          <t>549980</t>
        </is>
      </c>
      <c r="B1354" s="117" t="n">
        <v>14062</v>
      </c>
      <c r="C1354" s="117" t="inlineStr">
        <is>
          <t>United Kingdom</t>
        </is>
      </c>
      <c r="D1354" s="117" t="inlineStr">
        <is>
          <t>84596L</t>
        </is>
      </c>
      <c r="E1354" s="117" t="inlineStr">
        <is>
          <t>BISCUITS SMALL BOWL LIGHT BLUE</t>
        </is>
      </c>
      <c r="F1354" s="117" t="n">
        <v>2</v>
      </c>
      <c r="G1354" s="118" t="n">
        <v>0.42</v>
      </c>
      <c r="H1354" s="118" t="n">
        <v>0.84</v>
      </c>
      <c r="I1354" s="119" t="n">
        <v>40646</v>
      </c>
    </row>
    <row r="1355">
      <c r="A1355" s="114" t="inlineStr">
        <is>
          <t>549981</t>
        </is>
      </c>
      <c r="B1355" s="114" t="n">
        <v>16348</v>
      </c>
      <c r="C1355" s="114" t="inlineStr">
        <is>
          <t>United Kingdom</t>
        </is>
      </c>
      <c r="D1355" s="114" t="inlineStr">
        <is>
          <t>20975</t>
        </is>
      </c>
      <c r="E1355" s="114" t="inlineStr">
        <is>
          <t>12 PENCILS SMALL TUBE RED RETROSPOT</t>
        </is>
      </c>
      <c r="F1355" s="114" t="n">
        <v>5</v>
      </c>
      <c r="G1355" s="115" t="n">
        <v>0.65</v>
      </c>
      <c r="H1355" s="115" t="n">
        <v>3.25</v>
      </c>
      <c r="I1355" s="116" t="n">
        <v>40646</v>
      </c>
    </row>
    <row r="1356">
      <c r="A1356" s="117" t="inlineStr">
        <is>
          <t>549984</t>
        </is>
      </c>
      <c r="B1356" s="117" t="n">
        <v>15147</v>
      </c>
      <c r="C1356" s="117" t="inlineStr">
        <is>
          <t>United Kingdom</t>
        </is>
      </c>
      <c r="D1356" s="117" t="inlineStr">
        <is>
          <t>22424</t>
        </is>
      </c>
      <c r="E1356" s="117" t="inlineStr">
        <is>
          <t>ENAMEL BREAD BIN CREAM</t>
        </is>
      </c>
      <c r="F1356" s="117" t="n">
        <v>8</v>
      </c>
      <c r="G1356" s="118" t="n">
        <v>10.95</v>
      </c>
      <c r="H1356" s="118" t="n">
        <v>87.59999999999999</v>
      </c>
      <c r="I1356" s="119" t="n">
        <v>40646</v>
      </c>
    </row>
    <row r="1357">
      <c r="A1357" s="114" t="inlineStr">
        <is>
          <t>549988</t>
        </is>
      </c>
      <c r="B1357" s="114" t="n">
        <v>14367</v>
      </c>
      <c r="C1357" s="114" t="inlineStr">
        <is>
          <t>United Kingdom</t>
        </is>
      </c>
      <c r="D1357" s="114" t="inlineStr">
        <is>
          <t>23077</t>
        </is>
      </c>
      <c r="E1357" s="114" t="inlineStr">
        <is>
          <t xml:space="preserve">DOUGHNUT LIP GLOSS </t>
        </is>
      </c>
      <c r="F1357" s="114" t="n">
        <v>20</v>
      </c>
      <c r="G1357" s="115" t="n">
        <v>1.25</v>
      </c>
      <c r="H1357" s="115" t="n">
        <v>25</v>
      </c>
      <c r="I1357" s="116" t="n">
        <v>40646</v>
      </c>
    </row>
    <row r="1358">
      <c r="A1358" s="117" t="inlineStr">
        <is>
          <t>549990</t>
        </is>
      </c>
      <c r="B1358" s="117" t="n">
        <v>16678</v>
      </c>
      <c r="C1358" s="117" t="inlineStr">
        <is>
          <t>United Kingdom</t>
        </is>
      </c>
      <c r="D1358" s="117" t="inlineStr">
        <is>
          <t>22082</t>
        </is>
      </c>
      <c r="E1358" s="117" t="inlineStr">
        <is>
          <t xml:space="preserve">RIBBON REEL STRIPES DESIGN </t>
        </is>
      </c>
      <c r="F1358" s="117" t="n">
        <v>10</v>
      </c>
      <c r="G1358" s="118" t="n">
        <v>1.65</v>
      </c>
      <c r="H1358" s="118" t="n">
        <v>16.5</v>
      </c>
      <c r="I1358" s="119" t="n">
        <v>40646</v>
      </c>
    </row>
    <row r="1359">
      <c r="A1359" s="114" t="inlineStr">
        <is>
          <t>549995</t>
        </is>
      </c>
      <c r="B1359" s="114" t="n">
        <v>16131</v>
      </c>
      <c r="C1359" s="114" t="inlineStr">
        <is>
          <t>United Kingdom</t>
        </is>
      </c>
      <c r="D1359" s="114" t="inlineStr">
        <is>
          <t>21889</t>
        </is>
      </c>
      <c r="E1359" s="114" t="inlineStr">
        <is>
          <t>WOODEN BOX OF DOMINOES</t>
        </is>
      </c>
      <c r="F1359" s="114" t="n">
        <v>24</v>
      </c>
      <c r="G1359" s="115" t="n">
        <v>1.25</v>
      </c>
      <c r="H1359" s="115" t="n">
        <v>30</v>
      </c>
      <c r="I1359" s="116" t="n">
        <v>40647</v>
      </c>
    </row>
    <row r="1360">
      <c r="A1360" s="117" t="inlineStr">
        <is>
          <t>550034</t>
        </is>
      </c>
      <c r="B1360" s="117" t="n">
        <v>16187</v>
      </c>
      <c r="C1360" s="117" t="inlineStr">
        <is>
          <t>United Kingdom</t>
        </is>
      </c>
      <c r="D1360" s="117" t="inlineStr">
        <is>
          <t>22899</t>
        </is>
      </c>
      <c r="E1360" s="117" t="inlineStr">
        <is>
          <t xml:space="preserve">CHILDREN'S APRON DOLLY GIRL </t>
        </is>
      </c>
      <c r="F1360" s="117" t="n">
        <v>6</v>
      </c>
      <c r="G1360" s="118" t="n">
        <v>2.1</v>
      </c>
      <c r="H1360" s="118" t="n">
        <v>12.6</v>
      </c>
      <c r="I1360" s="119" t="n">
        <v>40647</v>
      </c>
    </row>
    <row r="1361">
      <c r="A1361" s="114" t="inlineStr">
        <is>
          <t>550035</t>
        </is>
      </c>
      <c r="B1361" s="114" t="n">
        <v>15039</v>
      </c>
      <c r="C1361" s="114" t="inlineStr">
        <is>
          <t>United Kingdom</t>
        </is>
      </c>
      <c r="D1361" s="114" t="inlineStr">
        <is>
          <t>21479</t>
        </is>
      </c>
      <c r="E1361" s="114" t="inlineStr">
        <is>
          <t xml:space="preserve">WHITE SKULL HOT WATER BOTTLE </t>
        </is>
      </c>
      <c r="F1361" s="114" t="n">
        <v>1</v>
      </c>
      <c r="G1361" s="115" t="n">
        <v>3.75</v>
      </c>
      <c r="H1361" s="115" t="n">
        <v>3.75</v>
      </c>
      <c r="I1361" s="116" t="n">
        <v>40647</v>
      </c>
    </row>
    <row r="1362">
      <c r="A1362" s="117" t="inlineStr">
        <is>
          <t>550057</t>
        </is>
      </c>
      <c r="B1362" s="117" t="n">
        <v>14606</v>
      </c>
      <c r="C1362" s="117" t="inlineStr">
        <is>
          <t>United Kingdom</t>
        </is>
      </c>
      <c r="D1362" s="117" t="inlineStr">
        <is>
          <t>22286</t>
        </is>
      </c>
      <c r="E1362" s="117" t="inlineStr">
        <is>
          <t xml:space="preserve">DECORATION WOBBLY RABBIT METAL </t>
        </is>
      </c>
      <c r="F1362" s="117" t="n">
        <v>2</v>
      </c>
      <c r="G1362" s="118" t="n">
        <v>1.65</v>
      </c>
      <c r="H1362" s="118" t="n">
        <v>3.3</v>
      </c>
      <c r="I1362" s="119" t="n">
        <v>40647</v>
      </c>
    </row>
    <row r="1363">
      <c r="A1363" s="114" t="inlineStr">
        <is>
          <t>550106</t>
        </is>
      </c>
      <c r="B1363" s="114" t="n">
        <v>13772</v>
      </c>
      <c r="C1363" s="114" t="inlineStr">
        <is>
          <t>United Kingdom</t>
        </is>
      </c>
      <c r="D1363" s="114" t="inlineStr">
        <is>
          <t>22722</t>
        </is>
      </c>
      <c r="E1363" s="114" t="inlineStr">
        <is>
          <t>SET OF 6 SPICE TINS PANTRY DESIGN</t>
        </is>
      </c>
      <c r="F1363" s="114" t="n">
        <v>2</v>
      </c>
      <c r="G1363" s="115" t="n">
        <v>3.95</v>
      </c>
      <c r="H1363" s="115" t="n">
        <v>7.9</v>
      </c>
      <c r="I1363" s="116" t="n">
        <v>40647</v>
      </c>
    </row>
    <row r="1364">
      <c r="A1364" s="117" t="inlineStr">
        <is>
          <t>550106</t>
        </is>
      </c>
      <c r="B1364" s="117" t="n">
        <v>13772</v>
      </c>
      <c r="C1364" s="117" t="inlineStr">
        <is>
          <t>United Kingdom</t>
        </is>
      </c>
      <c r="D1364" s="117" t="inlineStr">
        <is>
          <t>20712</t>
        </is>
      </c>
      <c r="E1364" s="117" t="inlineStr">
        <is>
          <t>JUMBO BAG WOODLAND ANIMALS</t>
        </is>
      </c>
      <c r="F1364" s="117" t="n">
        <v>1</v>
      </c>
      <c r="G1364" s="118" t="n">
        <v>2.08</v>
      </c>
      <c r="H1364" s="118" t="n">
        <v>2.08</v>
      </c>
      <c r="I1364" s="119" t="n">
        <v>40647</v>
      </c>
    </row>
    <row r="1365">
      <c r="A1365" s="114" t="inlineStr">
        <is>
          <t>550121</t>
        </is>
      </c>
      <c r="B1365" s="114" t="n">
        <v>15271</v>
      </c>
      <c r="C1365" s="114" t="inlineStr">
        <is>
          <t>United Kingdom</t>
        </is>
      </c>
      <c r="D1365" s="114" t="inlineStr">
        <is>
          <t>22148</t>
        </is>
      </c>
      <c r="E1365" s="114" t="inlineStr">
        <is>
          <t xml:space="preserve">EASTER CRAFT 4 CHICKS </t>
        </is>
      </c>
      <c r="F1365" s="114" t="n">
        <v>12</v>
      </c>
      <c r="G1365" s="115" t="n">
        <v>1.95</v>
      </c>
      <c r="H1365" s="115" t="n">
        <v>23.4</v>
      </c>
      <c r="I1365" s="116" t="n">
        <v>40647</v>
      </c>
    </row>
    <row r="1366">
      <c r="A1366" s="117" t="inlineStr">
        <is>
          <t>550134</t>
        </is>
      </c>
      <c r="B1366" s="117" t="n">
        <v>16249</v>
      </c>
      <c r="C1366" s="117" t="inlineStr">
        <is>
          <t>United Kingdom</t>
        </is>
      </c>
      <c r="D1366" s="117" t="inlineStr">
        <is>
          <t>21936</t>
        </is>
      </c>
      <c r="E1366" s="117" t="inlineStr">
        <is>
          <t>RED RETROSPOT PICNIC BAG</t>
        </is>
      </c>
      <c r="F1366" s="117" t="n">
        <v>5</v>
      </c>
      <c r="G1366" s="118" t="n">
        <v>2.95</v>
      </c>
      <c r="H1366" s="118" t="n">
        <v>14.75</v>
      </c>
      <c r="I1366" s="119" t="n">
        <v>40647</v>
      </c>
    </row>
    <row r="1367">
      <c r="A1367" s="114" t="inlineStr">
        <is>
          <t>550137</t>
        </is>
      </c>
      <c r="B1367" s="114" t="n">
        <v>12477</v>
      </c>
      <c r="C1367" s="114" t="inlineStr">
        <is>
          <t>Germany</t>
        </is>
      </c>
      <c r="D1367" s="114" t="inlineStr">
        <is>
          <t>22244</t>
        </is>
      </c>
      <c r="E1367" s="114" t="inlineStr">
        <is>
          <t>3 HOOK HANGER MAGIC GARDEN</t>
        </is>
      </c>
      <c r="F1367" s="114" t="n">
        <v>36</v>
      </c>
      <c r="G1367" s="115" t="n">
        <v>1.95</v>
      </c>
      <c r="H1367" s="115" t="n">
        <v>70.2</v>
      </c>
      <c r="I1367" s="116" t="n">
        <v>40647</v>
      </c>
    </row>
    <row r="1368">
      <c r="A1368" s="117" t="inlineStr">
        <is>
          <t>550145</t>
        </is>
      </c>
      <c r="B1368" s="117" t="n">
        <v>12637</v>
      </c>
      <c r="C1368" s="117" t="inlineStr">
        <is>
          <t>France</t>
        </is>
      </c>
      <c r="D1368" s="117" t="inlineStr">
        <is>
          <t>22556</t>
        </is>
      </c>
      <c r="E1368" s="117" t="inlineStr">
        <is>
          <t xml:space="preserve">PLASTERS IN TIN CIRCUS PARADE </t>
        </is>
      </c>
      <c r="F1368" s="117" t="n">
        <v>12</v>
      </c>
      <c r="G1368" s="118" t="n">
        <v>1.65</v>
      </c>
      <c r="H1368" s="118" t="n">
        <v>19.8</v>
      </c>
      <c r="I1368" s="119" t="n">
        <v>40647</v>
      </c>
    </row>
    <row r="1369">
      <c r="A1369" s="114" t="inlineStr">
        <is>
          <t>550157</t>
        </is>
      </c>
      <c r="B1369" s="114" t="n">
        <v>16393</v>
      </c>
      <c r="C1369" s="114" t="inlineStr">
        <is>
          <t>United Kingdom</t>
        </is>
      </c>
      <c r="D1369" s="114" t="inlineStr">
        <is>
          <t>22892</t>
        </is>
      </c>
      <c r="E1369" s="114" t="inlineStr">
        <is>
          <t>SET OF SALT AND PEPPER TOADSTOOLS</t>
        </is>
      </c>
      <c r="F1369" s="114" t="n">
        <v>6</v>
      </c>
      <c r="G1369" s="115" t="n">
        <v>1.25</v>
      </c>
      <c r="H1369" s="115" t="n">
        <v>7.5</v>
      </c>
      <c r="I1369" s="116" t="n">
        <v>40647</v>
      </c>
    </row>
    <row r="1370">
      <c r="A1370" s="117" t="inlineStr">
        <is>
          <t>550163</t>
        </is>
      </c>
      <c r="B1370" s="117" t="n">
        <v>14154</v>
      </c>
      <c r="C1370" s="117" t="inlineStr">
        <is>
          <t>United Kingdom</t>
        </is>
      </c>
      <c r="D1370" s="117" t="inlineStr">
        <is>
          <t>22706</t>
        </is>
      </c>
      <c r="E1370" s="117" t="inlineStr">
        <is>
          <t xml:space="preserve">WRAP COWBOYS  </t>
        </is>
      </c>
      <c r="F1370" s="117" t="n">
        <v>25</v>
      </c>
      <c r="G1370" s="118" t="n">
        <v>0.42</v>
      </c>
      <c r="H1370" s="118" t="n">
        <v>10.5</v>
      </c>
      <c r="I1370" s="119" t="n">
        <v>40647</v>
      </c>
    </row>
    <row r="1371">
      <c r="A1371" s="114" t="inlineStr">
        <is>
          <t>550180</t>
        </is>
      </c>
      <c r="B1371" s="114" t="n">
        <v>14163</v>
      </c>
      <c r="C1371" s="114" t="inlineStr">
        <is>
          <t>United Kingdom</t>
        </is>
      </c>
      <c r="D1371" s="114" t="inlineStr">
        <is>
          <t>84750B</t>
        </is>
      </c>
      <c r="E1371" s="114" t="inlineStr">
        <is>
          <t>BLACK SMALL GLASS CAKE STAND</t>
        </is>
      </c>
      <c r="F1371" s="114" t="n">
        <v>8</v>
      </c>
      <c r="G1371" s="115" t="n">
        <v>0.39</v>
      </c>
      <c r="H1371" s="115" t="n">
        <v>3.12</v>
      </c>
      <c r="I1371" s="116" t="n">
        <v>40647</v>
      </c>
    </row>
    <row r="1372">
      <c r="A1372" s="117" t="inlineStr">
        <is>
          <t>550193</t>
        </is>
      </c>
      <c r="B1372" s="117" t="n">
        <v>13952</v>
      </c>
      <c r="C1372" s="117" t="inlineStr">
        <is>
          <t>United Kingdom</t>
        </is>
      </c>
      <c r="D1372" s="117" t="inlineStr">
        <is>
          <t>22212</t>
        </is>
      </c>
      <c r="E1372" s="117" t="inlineStr">
        <is>
          <t>FOUR HOOK  WHITE LOVEBIRDS</t>
        </is>
      </c>
      <c r="F1372" s="117" t="n">
        <v>6</v>
      </c>
      <c r="G1372" s="118" t="n">
        <v>2.1</v>
      </c>
      <c r="H1372" s="118" t="n">
        <v>12.6</v>
      </c>
      <c r="I1372" s="119" t="n">
        <v>40648</v>
      </c>
    </row>
    <row r="1373">
      <c r="A1373" s="114" t="inlineStr">
        <is>
          <t>550193</t>
        </is>
      </c>
      <c r="B1373" s="114" t="n">
        <v>13952</v>
      </c>
      <c r="C1373" s="114" t="inlineStr">
        <is>
          <t>United Kingdom</t>
        </is>
      </c>
      <c r="D1373" s="114" t="inlineStr">
        <is>
          <t>22842</t>
        </is>
      </c>
      <c r="E1373" s="114" t="inlineStr">
        <is>
          <t>BISCUIT TIN VINTAGE RED</t>
        </is>
      </c>
      <c r="F1373" s="114" t="n">
        <v>2</v>
      </c>
      <c r="G1373" s="115" t="n">
        <v>6.75</v>
      </c>
      <c r="H1373" s="115" t="n">
        <v>13.5</v>
      </c>
      <c r="I1373" s="116" t="n">
        <v>40648</v>
      </c>
    </row>
    <row r="1374">
      <c r="A1374" s="117" t="inlineStr">
        <is>
          <t>550193</t>
        </is>
      </c>
      <c r="B1374" s="117" t="n">
        <v>13952</v>
      </c>
      <c r="C1374" s="117" t="inlineStr">
        <is>
          <t>United Kingdom</t>
        </is>
      </c>
      <c r="D1374" s="117" t="inlineStr">
        <is>
          <t>85006</t>
        </is>
      </c>
      <c r="E1374" s="117" t="inlineStr">
        <is>
          <t>SET 4 NURSERY DES ROUND BOXES</t>
        </is>
      </c>
      <c r="F1374" s="117" t="n">
        <v>12</v>
      </c>
      <c r="G1374" s="118" t="n">
        <v>0.85</v>
      </c>
      <c r="H1374" s="118" t="n">
        <v>10.2</v>
      </c>
      <c r="I1374" s="119" t="n">
        <v>40648</v>
      </c>
    </row>
    <row r="1375">
      <c r="A1375" s="114" t="inlineStr">
        <is>
          <t>550193</t>
        </is>
      </c>
      <c r="B1375" s="114" t="n">
        <v>13952</v>
      </c>
      <c r="C1375" s="114" t="inlineStr">
        <is>
          <t>United Kingdom</t>
        </is>
      </c>
      <c r="D1375" s="114" t="inlineStr">
        <is>
          <t>46000M</t>
        </is>
      </c>
      <c r="E1375" s="114" t="inlineStr">
        <is>
          <t>POLYESTER FILLER PAD 45x45cm</t>
        </is>
      </c>
      <c r="F1375" s="114" t="n">
        <v>8</v>
      </c>
      <c r="G1375" s="115" t="n">
        <v>1.55</v>
      </c>
      <c r="H1375" s="115" t="n">
        <v>12.4</v>
      </c>
      <c r="I1375" s="116" t="n">
        <v>40648</v>
      </c>
    </row>
    <row r="1376">
      <c r="A1376" s="117" t="inlineStr">
        <is>
          <t>550196</t>
        </is>
      </c>
      <c r="B1376" s="117" t="n">
        <v>14796</v>
      </c>
      <c r="C1376" s="117" t="inlineStr">
        <is>
          <t>United Kingdom</t>
        </is>
      </c>
      <c r="D1376" s="117" t="inlineStr">
        <is>
          <t>22295</t>
        </is>
      </c>
      <c r="E1376" s="117" t="inlineStr">
        <is>
          <t>HEART FILIGREE DOVE LARGE</t>
        </is>
      </c>
      <c r="F1376" s="117" t="n">
        <v>2</v>
      </c>
      <c r="G1376" s="118" t="n">
        <v>1.65</v>
      </c>
      <c r="H1376" s="118" t="n">
        <v>3.3</v>
      </c>
      <c r="I1376" s="119" t="n">
        <v>40648</v>
      </c>
    </row>
    <row r="1377">
      <c r="A1377" s="114" t="inlineStr">
        <is>
          <t>550196</t>
        </is>
      </c>
      <c r="B1377" s="114" t="n">
        <v>14796</v>
      </c>
      <c r="C1377" s="114" t="inlineStr">
        <is>
          <t>United Kingdom</t>
        </is>
      </c>
      <c r="D1377" s="114" t="inlineStr">
        <is>
          <t>22630</t>
        </is>
      </c>
      <c r="E1377" s="114" t="inlineStr">
        <is>
          <t>DOLLY GIRL LUNCH BOX</t>
        </is>
      </c>
      <c r="F1377" s="114" t="n">
        <v>1</v>
      </c>
      <c r="G1377" s="115" t="n">
        <v>1.95</v>
      </c>
      <c r="H1377" s="115" t="n">
        <v>1.95</v>
      </c>
      <c r="I1377" s="116" t="n">
        <v>40648</v>
      </c>
    </row>
    <row r="1378">
      <c r="A1378" s="117" t="inlineStr">
        <is>
          <t>550280</t>
        </is>
      </c>
      <c r="B1378" s="117" t="n">
        <v>13048</v>
      </c>
      <c r="C1378" s="117" t="inlineStr">
        <is>
          <t>United Kingdom</t>
        </is>
      </c>
      <c r="D1378" s="117" t="inlineStr">
        <is>
          <t>22384</t>
        </is>
      </c>
      <c r="E1378" s="117" t="inlineStr">
        <is>
          <t>LUNCH BAG PINK POLKADOT</t>
        </is>
      </c>
      <c r="F1378" s="117" t="n">
        <v>10</v>
      </c>
      <c r="G1378" s="118" t="n">
        <v>1.65</v>
      </c>
      <c r="H1378" s="118" t="n">
        <v>16.5</v>
      </c>
      <c r="I1378" s="119" t="n">
        <v>40648</v>
      </c>
    </row>
    <row r="1379">
      <c r="A1379" s="114" t="inlineStr">
        <is>
          <t>550284</t>
        </is>
      </c>
      <c r="B1379" s="114" t="n">
        <v>12383</v>
      </c>
      <c r="C1379" s="114" t="inlineStr">
        <is>
          <t>Belgium</t>
        </is>
      </c>
      <c r="D1379" s="114" t="inlineStr">
        <is>
          <t>22029</t>
        </is>
      </c>
      <c r="E1379" s="114" t="inlineStr">
        <is>
          <t>SPACEBOY BIRTHDAY CARD</t>
        </is>
      </c>
      <c r="F1379" s="114" t="n">
        <v>12</v>
      </c>
      <c r="G1379" s="115" t="n">
        <v>0.42</v>
      </c>
      <c r="H1379" s="115" t="n">
        <v>5.04</v>
      </c>
      <c r="I1379" s="116" t="n">
        <v>40648</v>
      </c>
    </row>
    <row r="1380">
      <c r="A1380" s="117" t="inlineStr">
        <is>
          <t>550289</t>
        </is>
      </c>
      <c r="B1380" s="117" t="n">
        <v>13880</v>
      </c>
      <c r="C1380" s="117" t="inlineStr">
        <is>
          <t>United Kingdom</t>
        </is>
      </c>
      <c r="D1380" s="117" t="inlineStr">
        <is>
          <t>23076</t>
        </is>
      </c>
      <c r="E1380" s="117" t="inlineStr">
        <is>
          <t>ICE CREAM SUNDAE LIP GLOSS</t>
        </is>
      </c>
      <c r="F1380" s="117" t="n">
        <v>24</v>
      </c>
      <c r="G1380" s="118" t="n">
        <v>1.25</v>
      </c>
      <c r="H1380" s="118" t="n">
        <v>30</v>
      </c>
      <c r="I1380" s="119" t="n">
        <v>40648</v>
      </c>
    </row>
    <row r="1381">
      <c r="A1381" s="114" t="inlineStr">
        <is>
          <t>550297</t>
        </is>
      </c>
      <c r="B1381" s="114" t="n">
        <v>14056</v>
      </c>
      <c r="C1381" s="114" t="inlineStr">
        <is>
          <t>United Kingdom</t>
        </is>
      </c>
      <c r="D1381" s="114" t="inlineStr">
        <is>
          <t>22558</t>
        </is>
      </c>
      <c r="E1381" s="114" t="inlineStr">
        <is>
          <t xml:space="preserve">CLOTHES PEGS RETROSPOT PACK 24 </t>
        </is>
      </c>
      <c r="F1381" s="114" t="n">
        <v>4</v>
      </c>
      <c r="G1381" s="115" t="n">
        <v>1.65</v>
      </c>
      <c r="H1381" s="115" t="n">
        <v>6.6</v>
      </c>
      <c r="I1381" s="116" t="n">
        <v>40648</v>
      </c>
    </row>
    <row r="1382">
      <c r="A1382" s="117" t="inlineStr">
        <is>
          <t>550297</t>
        </is>
      </c>
      <c r="B1382" s="117" t="n">
        <v>14056</v>
      </c>
      <c r="C1382" s="117" t="inlineStr">
        <is>
          <t>United Kingdom</t>
        </is>
      </c>
      <c r="D1382" s="117" t="inlineStr">
        <is>
          <t>48116</t>
        </is>
      </c>
      <c r="E1382" s="117" t="inlineStr">
        <is>
          <t>DOORMAT MULTICOLOUR STRIPE</t>
        </is>
      </c>
      <c r="F1382" s="117" t="n">
        <v>1</v>
      </c>
      <c r="G1382" s="118" t="n">
        <v>7.95</v>
      </c>
      <c r="H1382" s="118" t="n">
        <v>7.95</v>
      </c>
      <c r="I1382" s="119" t="n">
        <v>40648</v>
      </c>
    </row>
    <row r="1383">
      <c r="A1383" s="114" t="inlineStr">
        <is>
          <t>550299</t>
        </is>
      </c>
      <c r="B1383" s="114" t="n">
        <v>17389</v>
      </c>
      <c r="C1383" s="114" t="inlineStr">
        <is>
          <t>United Kingdom</t>
        </is>
      </c>
      <c r="D1383" s="114" t="inlineStr">
        <is>
          <t>22768</t>
        </is>
      </c>
      <c r="E1383" s="114" t="inlineStr">
        <is>
          <t>FAMILY PHOTO FRAME CORNICE</t>
        </is>
      </c>
      <c r="F1383" s="114" t="n">
        <v>6</v>
      </c>
      <c r="G1383" s="115" t="n">
        <v>9.949999999999999</v>
      </c>
      <c r="H1383" s="115" t="n">
        <v>59.7</v>
      </c>
      <c r="I1383" s="116" t="n">
        <v>40648</v>
      </c>
    </row>
    <row r="1384">
      <c r="A1384" s="117" t="inlineStr">
        <is>
          <t>550302</t>
        </is>
      </c>
      <c r="B1384" s="117" t="n">
        <v>14156</v>
      </c>
      <c r="C1384" s="117" t="inlineStr">
        <is>
          <t>EIRE</t>
        </is>
      </c>
      <c r="D1384" s="117" t="inlineStr">
        <is>
          <t>21469</t>
        </is>
      </c>
      <c r="E1384" s="117" t="inlineStr">
        <is>
          <t>POLKA DOT RAFFIA FOOD COVER</t>
        </is>
      </c>
      <c r="F1384" s="117" t="n">
        <v>6</v>
      </c>
      <c r="G1384" s="118" t="n">
        <v>3.75</v>
      </c>
      <c r="H1384" s="118" t="n">
        <v>22.5</v>
      </c>
      <c r="I1384" s="119" t="n">
        <v>40650</v>
      </c>
    </row>
    <row r="1385">
      <c r="A1385" s="114" t="inlineStr">
        <is>
          <t>550302</t>
        </is>
      </c>
      <c r="B1385" s="114" t="n">
        <v>14156</v>
      </c>
      <c r="C1385" s="114" t="inlineStr">
        <is>
          <t>EIRE</t>
        </is>
      </c>
      <c r="D1385" s="114" t="inlineStr">
        <is>
          <t>22521</t>
        </is>
      </c>
      <c r="E1385" s="114" t="inlineStr">
        <is>
          <t>CHILDS GARDEN TROWEL PINK</t>
        </is>
      </c>
      <c r="F1385" s="114" t="n">
        <v>12</v>
      </c>
      <c r="G1385" s="115" t="n">
        <v>0.85</v>
      </c>
      <c r="H1385" s="115" t="n">
        <v>10.2</v>
      </c>
      <c r="I1385" s="116" t="n">
        <v>40650</v>
      </c>
    </row>
    <row r="1386">
      <c r="A1386" s="117" t="inlineStr">
        <is>
          <t>550303</t>
        </is>
      </c>
      <c r="B1386" s="117" t="n">
        <v>18213</v>
      </c>
      <c r="C1386" s="117" t="inlineStr">
        <is>
          <t>United Kingdom</t>
        </is>
      </c>
      <c r="D1386" s="117" t="inlineStr">
        <is>
          <t>22969</t>
        </is>
      </c>
      <c r="E1386" s="117" t="inlineStr">
        <is>
          <t>HOMEMADE JAM SCENTED CANDLES</t>
        </is>
      </c>
      <c r="F1386" s="117" t="n">
        <v>12</v>
      </c>
      <c r="G1386" s="118" t="n">
        <v>1.45</v>
      </c>
      <c r="H1386" s="118" t="n">
        <v>17.4</v>
      </c>
      <c r="I1386" s="119" t="n">
        <v>40650</v>
      </c>
    </row>
    <row r="1387">
      <c r="A1387" s="114" t="inlineStr">
        <is>
          <t>550305</t>
        </is>
      </c>
      <c r="B1387" s="114" t="n">
        <v>17920</v>
      </c>
      <c r="C1387" s="114" t="inlineStr">
        <is>
          <t>United Kingdom</t>
        </is>
      </c>
      <c r="D1387" s="114" t="inlineStr">
        <is>
          <t>22621</t>
        </is>
      </c>
      <c r="E1387" s="114" t="inlineStr">
        <is>
          <t>TRADITIONAL KNITTING NANCY</t>
        </is>
      </c>
      <c r="F1387" s="114" t="n">
        <v>12</v>
      </c>
      <c r="G1387" s="115" t="n">
        <v>1.65</v>
      </c>
      <c r="H1387" s="115" t="n">
        <v>19.8</v>
      </c>
      <c r="I1387" s="116" t="n">
        <v>40650</v>
      </c>
    </row>
    <row r="1388">
      <c r="A1388" s="117" t="inlineStr">
        <is>
          <t>550313</t>
        </is>
      </c>
      <c r="B1388" s="117" t="n">
        <v>12681</v>
      </c>
      <c r="C1388" s="117" t="inlineStr">
        <is>
          <t>France</t>
        </is>
      </c>
      <c r="D1388" s="117" t="inlineStr">
        <is>
          <t>20719</t>
        </is>
      </c>
      <c r="E1388" s="117" t="inlineStr">
        <is>
          <t>WOODLAND CHARLOTTE BAG</t>
        </is>
      </c>
      <c r="F1388" s="117" t="n">
        <v>10</v>
      </c>
      <c r="G1388" s="118" t="n">
        <v>0.85</v>
      </c>
      <c r="H1388" s="118" t="n">
        <v>8.5</v>
      </c>
      <c r="I1388" s="119" t="n">
        <v>40650</v>
      </c>
    </row>
    <row r="1389">
      <c r="A1389" s="114" t="inlineStr">
        <is>
          <t>550314</t>
        </is>
      </c>
      <c r="B1389" s="114" t="n">
        <v>16905</v>
      </c>
      <c r="C1389" s="114" t="inlineStr">
        <is>
          <t>United Kingdom</t>
        </is>
      </c>
      <c r="D1389" s="114" t="inlineStr">
        <is>
          <t>84879</t>
        </is>
      </c>
      <c r="E1389" s="114" t="inlineStr">
        <is>
          <t>ASSORTED COLOUR BIRD ORNAMENT</t>
        </is>
      </c>
      <c r="F1389" s="114" t="n">
        <v>16</v>
      </c>
      <c r="G1389" s="115" t="n">
        <v>1.69</v>
      </c>
      <c r="H1389" s="115" t="n">
        <v>27.04</v>
      </c>
      <c r="I1389" s="116" t="n">
        <v>40650</v>
      </c>
    </row>
    <row r="1390">
      <c r="A1390" s="117" t="inlineStr">
        <is>
          <t>550315</t>
        </is>
      </c>
      <c r="B1390" s="117" t="n">
        <v>17990</v>
      </c>
      <c r="C1390" s="117" t="inlineStr">
        <is>
          <t>United Kingdom</t>
        </is>
      </c>
      <c r="D1390" s="117" t="inlineStr">
        <is>
          <t>22904</t>
        </is>
      </c>
      <c r="E1390" s="117" t="inlineStr">
        <is>
          <t>CALENDAR PAPER CUT DESIGN</t>
        </is>
      </c>
      <c r="F1390" s="117" t="n">
        <v>12</v>
      </c>
      <c r="G1390" s="118" t="n">
        <v>2.95</v>
      </c>
      <c r="H1390" s="118" t="n">
        <v>35.4</v>
      </c>
      <c r="I1390" s="119" t="n">
        <v>40650</v>
      </c>
    </row>
    <row r="1391">
      <c r="A1391" s="114" t="inlineStr">
        <is>
          <t>550316</t>
        </is>
      </c>
      <c r="B1391" s="114" t="n">
        <v>16193</v>
      </c>
      <c r="C1391" s="114" t="inlineStr">
        <is>
          <t>United Kingdom</t>
        </is>
      </c>
      <c r="D1391" s="114" t="inlineStr">
        <is>
          <t>22745</t>
        </is>
      </c>
      <c r="E1391" s="114" t="inlineStr">
        <is>
          <t xml:space="preserve">POPPY'S PLAYHOUSE BEDROOM </t>
        </is>
      </c>
      <c r="F1391" s="114" t="n">
        <v>12</v>
      </c>
      <c r="G1391" s="115" t="n">
        <v>2.1</v>
      </c>
      <c r="H1391" s="115" t="n">
        <v>25.2</v>
      </c>
      <c r="I1391" s="116" t="n">
        <v>40650</v>
      </c>
    </row>
    <row r="1392">
      <c r="A1392" s="117" t="inlineStr">
        <is>
          <t>550320</t>
        </is>
      </c>
      <c r="B1392" s="117" t="n">
        <v>12748</v>
      </c>
      <c r="C1392" s="117" t="inlineStr">
        <is>
          <t>United Kingdom</t>
        </is>
      </c>
      <c r="D1392" s="117" t="inlineStr">
        <is>
          <t>22561</t>
        </is>
      </c>
      <c r="E1392" s="117" t="inlineStr">
        <is>
          <t>WOODEN SCHOOL COLOURING SET</t>
        </is>
      </c>
      <c r="F1392" s="117" t="n">
        <v>2</v>
      </c>
      <c r="G1392" s="118" t="n">
        <v>1.65</v>
      </c>
      <c r="H1392" s="118" t="n">
        <v>3.3</v>
      </c>
      <c r="I1392" s="119" t="n">
        <v>40650</v>
      </c>
    </row>
    <row r="1393">
      <c r="A1393" s="114" t="inlineStr">
        <is>
          <t>550320</t>
        </is>
      </c>
      <c r="B1393" s="114" t="n">
        <v>12748</v>
      </c>
      <c r="C1393" s="114" t="inlineStr">
        <is>
          <t>United Kingdom</t>
        </is>
      </c>
      <c r="D1393" s="114" t="inlineStr">
        <is>
          <t>21770</t>
        </is>
      </c>
      <c r="E1393" s="114" t="inlineStr">
        <is>
          <t>OPEN CLOSED METAL SIGN</t>
        </is>
      </c>
      <c r="F1393" s="114" t="n">
        <v>1</v>
      </c>
      <c r="G1393" s="115" t="n">
        <v>4.95</v>
      </c>
      <c r="H1393" s="115" t="n">
        <v>4.95</v>
      </c>
      <c r="I1393" s="116" t="n">
        <v>40650</v>
      </c>
    </row>
    <row r="1394">
      <c r="A1394" s="117" t="inlineStr">
        <is>
          <t>550321</t>
        </is>
      </c>
      <c r="B1394" s="117" t="n">
        <v>16770</v>
      </c>
      <c r="C1394" s="117" t="inlineStr">
        <is>
          <t>United Kingdom</t>
        </is>
      </c>
      <c r="D1394" s="117" t="inlineStr">
        <is>
          <t>21684</t>
        </is>
      </c>
      <c r="E1394" s="117" t="inlineStr">
        <is>
          <t xml:space="preserve">SMALL MEDINA STAMPED METAL BOWL </t>
        </is>
      </c>
      <c r="F1394" s="117" t="n">
        <v>2</v>
      </c>
      <c r="G1394" s="118" t="n">
        <v>0.85</v>
      </c>
      <c r="H1394" s="118" t="n">
        <v>1.7</v>
      </c>
      <c r="I1394" s="119" t="n">
        <v>40650</v>
      </c>
    </row>
    <row r="1395">
      <c r="A1395" s="114" t="inlineStr">
        <is>
          <t>550321</t>
        </is>
      </c>
      <c r="B1395" s="114" t="n">
        <v>16770</v>
      </c>
      <c r="C1395" s="114" t="inlineStr">
        <is>
          <t>United Kingdom</t>
        </is>
      </c>
      <c r="D1395" s="114" t="inlineStr">
        <is>
          <t>21175</t>
        </is>
      </c>
      <c r="E1395" s="114" t="inlineStr">
        <is>
          <t>GIN + TONIC DIET METAL SIGN</t>
        </is>
      </c>
      <c r="F1395" s="114" t="n">
        <v>1</v>
      </c>
      <c r="G1395" s="115" t="n">
        <v>2.55</v>
      </c>
      <c r="H1395" s="115" t="n">
        <v>2.55</v>
      </c>
      <c r="I1395" s="116" t="n">
        <v>40650</v>
      </c>
    </row>
    <row r="1396">
      <c r="A1396" s="117" t="inlineStr">
        <is>
          <t>550322</t>
        </is>
      </c>
      <c r="B1396" s="117" t="n">
        <v>14524</v>
      </c>
      <c r="C1396" s="117" t="inlineStr">
        <is>
          <t>United Kingdom</t>
        </is>
      </c>
      <c r="D1396" s="117" t="inlineStr">
        <is>
          <t>84029E</t>
        </is>
      </c>
      <c r="E1396" s="117" t="inlineStr">
        <is>
          <t>RED WOOLLY HOTTIE WHITE HEART.</t>
        </is>
      </c>
      <c r="F1396" s="117" t="n">
        <v>1</v>
      </c>
      <c r="G1396" s="118" t="n">
        <v>3.75</v>
      </c>
      <c r="H1396" s="118" t="n">
        <v>3.75</v>
      </c>
      <c r="I1396" s="119" t="n">
        <v>40650</v>
      </c>
    </row>
    <row r="1397">
      <c r="A1397" s="114" t="inlineStr">
        <is>
          <t>550324</t>
        </is>
      </c>
      <c r="B1397" s="114" t="n">
        <v>12997</v>
      </c>
      <c r="C1397" s="114" t="inlineStr">
        <is>
          <t>United Kingdom</t>
        </is>
      </c>
      <c r="D1397" s="114" t="inlineStr">
        <is>
          <t>22672</t>
        </is>
      </c>
      <c r="E1397" s="114" t="inlineStr">
        <is>
          <t>FRENCH BATHROOM SIGN BLUE METAL</t>
        </is>
      </c>
      <c r="F1397" s="114" t="n">
        <v>12</v>
      </c>
      <c r="G1397" s="115" t="n">
        <v>1.65</v>
      </c>
      <c r="H1397" s="115" t="n">
        <v>19.8</v>
      </c>
      <c r="I1397" s="116" t="n">
        <v>40650</v>
      </c>
    </row>
    <row r="1398">
      <c r="A1398" s="117" t="inlineStr">
        <is>
          <t>550325</t>
        </is>
      </c>
      <c r="B1398" s="117" t="n">
        <v>15745</v>
      </c>
      <c r="C1398" s="117" t="inlineStr">
        <is>
          <t>United Kingdom</t>
        </is>
      </c>
      <c r="D1398" s="117" t="inlineStr">
        <is>
          <t>46000R</t>
        </is>
      </c>
      <c r="E1398" s="117" t="inlineStr">
        <is>
          <t>POLYESTER FILLER PAD 45x30cm</t>
        </is>
      </c>
      <c r="F1398" s="117" t="n">
        <v>4</v>
      </c>
      <c r="G1398" s="118" t="n">
        <v>1.45</v>
      </c>
      <c r="H1398" s="118" t="n">
        <v>5.8</v>
      </c>
      <c r="I1398" s="119" t="n">
        <v>40650</v>
      </c>
    </row>
    <row r="1399">
      <c r="A1399" s="114" t="inlineStr">
        <is>
          <t>550327</t>
        </is>
      </c>
      <c r="B1399" s="114" t="n">
        <v>12878</v>
      </c>
      <c r="C1399" s="114" t="inlineStr">
        <is>
          <t>United Kingdom</t>
        </is>
      </c>
      <c r="D1399" s="114" t="inlineStr">
        <is>
          <t>21668</t>
        </is>
      </c>
      <c r="E1399" s="114" t="inlineStr">
        <is>
          <t>RED STRIPE CERAMIC DRAWER KNOB</t>
        </is>
      </c>
      <c r="F1399" s="114" t="n">
        <v>24</v>
      </c>
      <c r="G1399" s="115" t="n">
        <v>1.25</v>
      </c>
      <c r="H1399" s="115" t="n">
        <v>30</v>
      </c>
      <c r="I1399" s="116" t="n">
        <v>40650</v>
      </c>
    </row>
    <row r="1400">
      <c r="A1400" s="117" t="inlineStr">
        <is>
          <t>550327</t>
        </is>
      </c>
      <c r="B1400" s="117" t="n">
        <v>12878</v>
      </c>
      <c r="C1400" s="117" t="inlineStr">
        <is>
          <t>United Kingdom</t>
        </is>
      </c>
      <c r="D1400" s="117" t="inlineStr">
        <is>
          <t>23204</t>
        </is>
      </c>
      <c r="E1400" s="117" t="inlineStr">
        <is>
          <t>CHARLOTTE BAG APPLES DESIGN</t>
        </is>
      </c>
      <c r="F1400" s="117" t="n">
        <v>10</v>
      </c>
      <c r="G1400" s="118" t="n">
        <v>0.85</v>
      </c>
      <c r="H1400" s="118" t="n">
        <v>8.5</v>
      </c>
      <c r="I1400" s="119" t="n">
        <v>40650</v>
      </c>
    </row>
    <row r="1401">
      <c r="A1401" s="114" t="inlineStr">
        <is>
          <t>550331</t>
        </is>
      </c>
      <c r="B1401" s="114" t="n">
        <v>15555</v>
      </c>
      <c r="C1401" s="114" t="inlineStr">
        <is>
          <t>United Kingdom</t>
        </is>
      </c>
      <c r="D1401" s="114" t="inlineStr">
        <is>
          <t>22294</t>
        </is>
      </c>
      <c r="E1401" s="114" t="inlineStr">
        <is>
          <t>HEART FILIGREE DOVE  SMALL</t>
        </is>
      </c>
      <c r="F1401" s="114" t="n">
        <v>2</v>
      </c>
      <c r="G1401" s="115" t="n">
        <v>1.25</v>
      </c>
      <c r="H1401" s="115" t="n">
        <v>2.5</v>
      </c>
      <c r="I1401" s="116" t="n">
        <v>40650</v>
      </c>
    </row>
    <row r="1402">
      <c r="A1402" s="117" t="inlineStr">
        <is>
          <t>550331</t>
        </is>
      </c>
      <c r="B1402" s="117" t="n">
        <v>15555</v>
      </c>
      <c r="C1402" s="117" t="inlineStr">
        <is>
          <t>United Kingdom</t>
        </is>
      </c>
      <c r="D1402" s="117" t="inlineStr">
        <is>
          <t>22662</t>
        </is>
      </c>
      <c r="E1402" s="117" t="inlineStr">
        <is>
          <t>LUNCH BAG DOLLY GIRL DESIGN</t>
        </is>
      </c>
      <c r="F1402" s="117" t="n">
        <v>2</v>
      </c>
      <c r="G1402" s="118" t="n">
        <v>1.65</v>
      </c>
      <c r="H1402" s="118" t="n">
        <v>3.3</v>
      </c>
      <c r="I1402" s="119" t="n">
        <v>40650</v>
      </c>
    </row>
    <row r="1403">
      <c r="A1403" s="114" t="inlineStr">
        <is>
          <t>550333</t>
        </is>
      </c>
      <c r="B1403" s="114" t="n">
        <v>15410</v>
      </c>
      <c r="C1403" s="114" t="inlineStr">
        <is>
          <t>United Kingdom</t>
        </is>
      </c>
      <c r="D1403" s="114" t="inlineStr">
        <is>
          <t>22917</t>
        </is>
      </c>
      <c r="E1403" s="114" t="inlineStr">
        <is>
          <t>HERB MARKER ROSEMARY</t>
        </is>
      </c>
      <c r="F1403" s="114" t="n">
        <v>12</v>
      </c>
      <c r="G1403" s="115" t="n">
        <v>0.65</v>
      </c>
      <c r="H1403" s="115" t="n">
        <v>7.8</v>
      </c>
      <c r="I1403" s="116" t="n">
        <v>40650</v>
      </c>
    </row>
    <row r="1404">
      <c r="A1404" s="117" t="inlineStr">
        <is>
          <t>550335</t>
        </is>
      </c>
      <c r="B1404" s="117" t="n">
        <v>15535</v>
      </c>
      <c r="C1404" s="117" t="inlineStr">
        <is>
          <t>United Kingdom</t>
        </is>
      </c>
      <c r="D1404" s="117" t="inlineStr">
        <is>
          <t>48116</t>
        </is>
      </c>
      <c r="E1404" s="117" t="inlineStr">
        <is>
          <t>DOORMAT MULTICOLOUR STRIPE</t>
        </is>
      </c>
      <c r="F1404" s="117" t="n">
        <v>1</v>
      </c>
      <c r="G1404" s="118" t="n">
        <v>7.95</v>
      </c>
      <c r="H1404" s="118" t="n">
        <v>7.95</v>
      </c>
      <c r="I1404" s="119" t="n">
        <v>40650</v>
      </c>
    </row>
    <row r="1405">
      <c r="A1405" s="114" t="inlineStr">
        <is>
          <t>550351</t>
        </is>
      </c>
      <c r="B1405" s="114" t="n">
        <v>15491</v>
      </c>
      <c r="C1405" s="114" t="inlineStr">
        <is>
          <t>United Kingdom</t>
        </is>
      </c>
      <c r="D1405" s="114" t="inlineStr">
        <is>
          <t>21080</t>
        </is>
      </c>
      <c r="E1405" s="114" t="inlineStr">
        <is>
          <t xml:space="preserve">SET/20 RED RETROSPOT PAPER NAPKINS </t>
        </is>
      </c>
      <c r="F1405" s="114" t="n">
        <v>12</v>
      </c>
      <c r="G1405" s="115" t="n">
        <v>0.85</v>
      </c>
      <c r="H1405" s="115" t="n">
        <v>10.2</v>
      </c>
      <c r="I1405" s="116" t="n">
        <v>40651</v>
      </c>
    </row>
    <row r="1406">
      <c r="A1406" s="117" t="inlineStr">
        <is>
          <t>550359</t>
        </is>
      </c>
      <c r="B1406" s="117" t="n">
        <v>17841</v>
      </c>
      <c r="C1406" s="117" t="inlineStr">
        <is>
          <t>United Kingdom</t>
        </is>
      </c>
      <c r="D1406" s="117" t="inlineStr">
        <is>
          <t>22602</t>
        </is>
      </c>
      <c r="E1406" s="117" t="inlineStr">
        <is>
          <t>RETROSPOT WOODEN HEART DECORATION</t>
        </is>
      </c>
      <c r="F1406" s="117" t="n">
        <v>1</v>
      </c>
      <c r="G1406" s="118" t="n">
        <v>0.85</v>
      </c>
      <c r="H1406" s="118" t="n">
        <v>0.85</v>
      </c>
      <c r="I1406" s="119" t="n">
        <v>40651</v>
      </c>
    </row>
    <row r="1407">
      <c r="A1407" s="114" t="inlineStr">
        <is>
          <t>550361</t>
        </is>
      </c>
      <c r="B1407" s="114" t="n">
        <v>13082</v>
      </c>
      <c r="C1407" s="114" t="inlineStr">
        <is>
          <t>United Kingdom</t>
        </is>
      </c>
      <c r="D1407" s="114" t="inlineStr">
        <is>
          <t>85174</t>
        </is>
      </c>
      <c r="E1407" s="114" t="inlineStr">
        <is>
          <t>S/4 CACTI CANDLES</t>
        </is>
      </c>
      <c r="F1407" s="114" t="n">
        <v>8</v>
      </c>
      <c r="G1407" s="115" t="n">
        <v>4.95</v>
      </c>
      <c r="H1407" s="115" t="n">
        <v>39.6</v>
      </c>
      <c r="I1407" s="116" t="n">
        <v>40651</v>
      </c>
    </row>
    <row r="1408">
      <c r="A1408" s="117" t="inlineStr">
        <is>
          <t>550438</t>
        </is>
      </c>
      <c r="B1408" s="117" t="n">
        <v>15265</v>
      </c>
      <c r="C1408" s="117" t="inlineStr">
        <is>
          <t>United Kingdom</t>
        </is>
      </c>
      <c r="D1408" s="117" t="inlineStr">
        <is>
          <t>21232</t>
        </is>
      </c>
      <c r="E1408" s="117" t="inlineStr">
        <is>
          <t>STRAWBERRY CERAMIC TRINKET BOX</t>
        </is>
      </c>
      <c r="F1408" s="117" t="n">
        <v>12</v>
      </c>
      <c r="G1408" s="118" t="n">
        <v>1.25</v>
      </c>
      <c r="H1408" s="118" t="n">
        <v>15</v>
      </c>
      <c r="I1408" s="119" t="n">
        <v>40651</v>
      </c>
    </row>
    <row r="1409">
      <c r="A1409" s="114" t="inlineStr">
        <is>
          <t>550438</t>
        </is>
      </c>
      <c r="B1409" s="114" t="n">
        <v>15265</v>
      </c>
      <c r="C1409" s="114" t="inlineStr">
        <is>
          <t>United Kingdom</t>
        </is>
      </c>
      <c r="D1409" s="114" t="inlineStr">
        <is>
          <t>21754</t>
        </is>
      </c>
      <c r="E1409" s="114" t="inlineStr">
        <is>
          <t>HOME BUILDING BLOCK WORD</t>
        </is>
      </c>
      <c r="F1409" s="114" t="n">
        <v>3</v>
      </c>
      <c r="G1409" s="115" t="n">
        <v>5.95</v>
      </c>
      <c r="H1409" s="115" t="n">
        <v>17.85</v>
      </c>
      <c r="I1409" s="116" t="n">
        <v>40651</v>
      </c>
    </row>
    <row r="1410">
      <c r="A1410" s="117" t="inlineStr">
        <is>
          <t>550447</t>
        </is>
      </c>
      <c r="B1410" s="117" t="n">
        <v>16033</v>
      </c>
      <c r="C1410" s="117" t="inlineStr">
        <is>
          <t>United Kingdom</t>
        </is>
      </c>
      <c r="D1410" s="117" t="inlineStr">
        <is>
          <t>22863</t>
        </is>
      </c>
      <c r="E1410" s="117" t="inlineStr">
        <is>
          <t>SOAP DISH BROCANTE</t>
        </is>
      </c>
      <c r="F1410" s="117" t="n">
        <v>1</v>
      </c>
      <c r="G1410" s="118" t="n">
        <v>2.95</v>
      </c>
      <c r="H1410" s="118" t="n">
        <v>2.95</v>
      </c>
      <c r="I1410" s="119" t="n">
        <v>40651</v>
      </c>
    </row>
    <row r="1411">
      <c r="A1411" s="114" t="inlineStr">
        <is>
          <t>550461</t>
        </is>
      </c>
      <c r="B1411" s="114" t="n">
        <v>15749</v>
      </c>
      <c r="C1411" s="114" t="inlineStr">
        <is>
          <t>United Kingdom</t>
        </is>
      </c>
      <c r="D1411" s="114" t="inlineStr">
        <is>
          <t>21175</t>
        </is>
      </c>
      <c r="E1411" s="114" t="inlineStr">
        <is>
          <t>GIN + TONIC DIET METAL SIGN</t>
        </is>
      </c>
      <c r="F1411" s="114" t="n">
        <v>2000</v>
      </c>
      <c r="G1411" s="115" t="n">
        <v>1.69</v>
      </c>
      <c r="H1411" s="115" t="n">
        <v>3380</v>
      </c>
      <c r="I1411" s="116" t="n">
        <v>40651</v>
      </c>
    </row>
    <row r="1412">
      <c r="A1412" s="117" t="inlineStr">
        <is>
          <t>550464</t>
        </is>
      </c>
      <c r="B1412" s="117" t="n">
        <v>16550</v>
      </c>
      <c r="C1412" s="117" t="inlineStr">
        <is>
          <t>United Kingdom</t>
        </is>
      </c>
      <c r="D1412" s="117" t="inlineStr">
        <is>
          <t>22440</t>
        </is>
      </c>
      <c r="E1412" s="117" t="inlineStr">
        <is>
          <t>BALLOON WATER BOMB PACK OF 35</t>
        </is>
      </c>
      <c r="F1412" s="117" t="n">
        <v>6</v>
      </c>
      <c r="G1412" s="118" t="n">
        <v>0.42</v>
      </c>
      <c r="H1412" s="118" t="n">
        <v>2.52</v>
      </c>
      <c r="I1412" s="119" t="n">
        <v>40651</v>
      </c>
    </row>
    <row r="1413">
      <c r="A1413" s="114" t="inlineStr">
        <is>
          <t>550464</t>
        </is>
      </c>
      <c r="B1413" s="114" t="n">
        <v>16550</v>
      </c>
      <c r="C1413" s="114" t="inlineStr">
        <is>
          <t>United Kingdom</t>
        </is>
      </c>
      <c r="D1413" s="114" t="inlineStr">
        <is>
          <t>22367</t>
        </is>
      </c>
      <c r="E1413" s="114" t="inlineStr">
        <is>
          <t>CHILDRENS APRON SPACEBOY DESIGN</t>
        </is>
      </c>
      <c r="F1413" s="114" t="n">
        <v>3</v>
      </c>
      <c r="G1413" s="115" t="n">
        <v>1.95</v>
      </c>
      <c r="H1413" s="115" t="n">
        <v>5.85</v>
      </c>
      <c r="I1413" s="116" t="n">
        <v>40651</v>
      </c>
    </row>
    <row r="1414">
      <c r="A1414" s="117" t="inlineStr">
        <is>
          <t>550469</t>
        </is>
      </c>
      <c r="B1414" s="117" t="n">
        <v>16399</v>
      </c>
      <c r="C1414" s="117" t="inlineStr">
        <is>
          <t>United Kingdom</t>
        </is>
      </c>
      <c r="D1414" s="117" t="inlineStr">
        <is>
          <t>22301</t>
        </is>
      </c>
      <c r="E1414" s="117" t="inlineStr">
        <is>
          <t>COFFEE MUG CAT + BIRD DESIGN</t>
        </is>
      </c>
      <c r="F1414" s="117" t="n">
        <v>6</v>
      </c>
      <c r="G1414" s="118" t="n">
        <v>2.55</v>
      </c>
      <c r="H1414" s="118" t="n">
        <v>15.3</v>
      </c>
      <c r="I1414" s="119" t="n">
        <v>40651</v>
      </c>
    </row>
    <row r="1415">
      <c r="A1415" s="114" t="inlineStr">
        <is>
          <t>550469</t>
        </is>
      </c>
      <c r="B1415" s="114" t="n">
        <v>16399</v>
      </c>
      <c r="C1415" s="114" t="inlineStr">
        <is>
          <t>United Kingdom</t>
        </is>
      </c>
      <c r="D1415" s="114" t="inlineStr">
        <is>
          <t>21870</t>
        </is>
      </c>
      <c r="E1415" s="114" t="inlineStr">
        <is>
          <t>I CAN ONLY PLEASE ONE PERSON MUG</t>
        </is>
      </c>
      <c r="F1415" s="114" t="n">
        <v>6</v>
      </c>
      <c r="G1415" s="115" t="n">
        <v>1.25</v>
      </c>
      <c r="H1415" s="115" t="n">
        <v>7.5</v>
      </c>
      <c r="I1415" s="116" t="n">
        <v>40651</v>
      </c>
    </row>
    <row r="1416">
      <c r="A1416" s="117" t="inlineStr">
        <is>
          <t>550479</t>
        </is>
      </c>
      <c r="B1416" s="117" t="n">
        <v>15625</v>
      </c>
      <c r="C1416" s="117" t="inlineStr">
        <is>
          <t>United Kingdom</t>
        </is>
      </c>
      <c r="D1416" s="117" t="inlineStr">
        <is>
          <t>22549</t>
        </is>
      </c>
      <c r="E1416" s="117" t="inlineStr">
        <is>
          <t>PICTURE DOMINOES</t>
        </is>
      </c>
      <c r="F1416" s="117" t="n">
        <v>24</v>
      </c>
      <c r="G1416" s="118" t="n">
        <v>1.45</v>
      </c>
      <c r="H1416" s="118" t="n">
        <v>34.8</v>
      </c>
      <c r="I1416" s="119" t="n">
        <v>40651</v>
      </c>
    </row>
    <row r="1417">
      <c r="A1417" s="114" t="inlineStr">
        <is>
          <t>550479</t>
        </is>
      </c>
      <c r="B1417" s="114" t="n">
        <v>15625</v>
      </c>
      <c r="C1417" s="114" t="inlineStr">
        <is>
          <t>United Kingdom</t>
        </is>
      </c>
      <c r="D1417" s="114" t="inlineStr">
        <is>
          <t>22138</t>
        </is>
      </c>
      <c r="E1417" s="114" t="inlineStr">
        <is>
          <t xml:space="preserve">BAKING SET 9 PIECE RETROSPOT </t>
        </is>
      </c>
      <c r="F1417" s="114" t="n">
        <v>3</v>
      </c>
      <c r="G1417" s="115" t="n">
        <v>4.95</v>
      </c>
      <c r="H1417" s="115" t="n">
        <v>14.85</v>
      </c>
      <c r="I1417" s="116" t="n">
        <v>40651</v>
      </c>
    </row>
    <row r="1418">
      <c r="A1418" s="117" t="inlineStr">
        <is>
          <t>550488</t>
        </is>
      </c>
      <c r="B1418" s="117" t="n">
        <v>16729</v>
      </c>
      <c r="C1418" s="117" t="inlineStr">
        <is>
          <t>United Kingdom</t>
        </is>
      </c>
      <c r="D1418" s="117" t="inlineStr">
        <is>
          <t>22873</t>
        </is>
      </c>
      <c r="E1418" s="117" t="inlineStr">
        <is>
          <t>NUMBER TILE COTTAGE GARDEN 5</t>
        </is>
      </c>
      <c r="F1418" s="117" t="n">
        <v>1</v>
      </c>
      <c r="G1418" s="118" t="n">
        <v>1.95</v>
      </c>
      <c r="H1418" s="118" t="n">
        <v>1.95</v>
      </c>
      <c r="I1418" s="119" t="n">
        <v>40651</v>
      </c>
    </row>
    <row r="1419">
      <c r="A1419" s="114" t="inlineStr">
        <is>
          <t>550495</t>
        </is>
      </c>
      <c r="B1419" s="114" t="n">
        <v>13769</v>
      </c>
      <c r="C1419" s="114" t="inlineStr">
        <is>
          <t>United Kingdom</t>
        </is>
      </c>
      <c r="D1419" s="114" t="inlineStr">
        <is>
          <t>22457</t>
        </is>
      </c>
      <c r="E1419" s="114" t="inlineStr">
        <is>
          <t xml:space="preserve">NATURAL SLATE HEART CHALKBOARD </t>
        </is>
      </c>
      <c r="F1419" s="114" t="n">
        <v>3</v>
      </c>
      <c r="G1419" s="115" t="n">
        <v>2.95</v>
      </c>
      <c r="H1419" s="115" t="n">
        <v>8.85</v>
      </c>
      <c r="I1419" s="116" t="n">
        <v>40651</v>
      </c>
    </row>
    <row r="1420">
      <c r="A1420" s="117" t="inlineStr">
        <is>
          <t>550495</t>
        </is>
      </c>
      <c r="B1420" s="117" t="n">
        <v>13769</v>
      </c>
      <c r="C1420" s="117" t="inlineStr">
        <is>
          <t>United Kingdom</t>
        </is>
      </c>
      <c r="D1420" s="117" t="inlineStr">
        <is>
          <t>85150</t>
        </is>
      </c>
      <c r="E1420" s="117" t="inlineStr">
        <is>
          <t>LADIES &amp; GENTLEMEN METAL SIGN</t>
        </is>
      </c>
      <c r="F1420" s="117" t="n">
        <v>12</v>
      </c>
      <c r="G1420" s="118" t="n">
        <v>2.55</v>
      </c>
      <c r="H1420" s="118" t="n">
        <v>30.6</v>
      </c>
      <c r="I1420" s="119" t="n">
        <v>40651</v>
      </c>
    </row>
    <row r="1421">
      <c r="A1421" s="114" t="inlineStr">
        <is>
          <t>550504</t>
        </is>
      </c>
      <c r="B1421" s="114" t="n">
        <v>16654</v>
      </c>
      <c r="C1421" s="114" t="inlineStr">
        <is>
          <t>United Kingdom</t>
        </is>
      </c>
      <c r="D1421" s="114" t="inlineStr">
        <is>
          <t>22755</t>
        </is>
      </c>
      <c r="E1421" s="114" t="inlineStr">
        <is>
          <t xml:space="preserve">SMALL PURPLE BABUSHKA NOTEBOOK </t>
        </is>
      </c>
      <c r="F1421" s="114" t="n">
        <v>12</v>
      </c>
      <c r="G1421" s="115" t="n">
        <v>0.85</v>
      </c>
      <c r="H1421" s="115" t="n">
        <v>10.2</v>
      </c>
      <c r="I1421" s="116" t="n">
        <v>40651</v>
      </c>
    </row>
    <row r="1422">
      <c r="A1422" s="117" t="inlineStr">
        <is>
          <t>550514</t>
        </is>
      </c>
      <c r="B1422" s="117" t="n">
        <v>14631</v>
      </c>
      <c r="C1422" s="117" t="inlineStr">
        <is>
          <t>United Kingdom</t>
        </is>
      </c>
      <c r="D1422" s="117" t="inlineStr">
        <is>
          <t>22332</t>
        </is>
      </c>
      <c r="E1422" s="117" t="inlineStr">
        <is>
          <t>SKULLS PARTY BAG + STICKER SET</t>
        </is>
      </c>
      <c r="F1422" s="117" t="n">
        <v>16</v>
      </c>
      <c r="G1422" s="118" t="n">
        <v>1.65</v>
      </c>
      <c r="H1422" s="118" t="n">
        <v>26.4</v>
      </c>
      <c r="I1422" s="119" t="n">
        <v>40651</v>
      </c>
    </row>
    <row r="1423">
      <c r="A1423" s="114" t="inlineStr">
        <is>
          <t>550517</t>
        </is>
      </c>
      <c r="B1423" s="114" t="n">
        <v>14352</v>
      </c>
      <c r="C1423" s="114" t="inlineStr">
        <is>
          <t>United Kingdom</t>
        </is>
      </c>
      <c r="D1423" s="114" t="inlineStr">
        <is>
          <t>22295</t>
        </is>
      </c>
      <c r="E1423" s="114" t="inlineStr">
        <is>
          <t>HEART FILIGREE DOVE LARGE</t>
        </is>
      </c>
      <c r="F1423" s="114" t="n">
        <v>12</v>
      </c>
      <c r="G1423" s="115" t="n">
        <v>1.65</v>
      </c>
      <c r="H1423" s="115" t="n">
        <v>19.8</v>
      </c>
      <c r="I1423" s="116" t="n">
        <v>40652</v>
      </c>
    </row>
    <row r="1424">
      <c r="A1424" s="117" t="inlineStr">
        <is>
          <t>550621</t>
        </is>
      </c>
      <c r="B1424" s="117" t="n">
        <v>13263</v>
      </c>
      <c r="C1424" s="117" t="inlineStr">
        <is>
          <t>United Kingdom</t>
        </is>
      </c>
      <c r="D1424" s="117" t="inlineStr">
        <is>
          <t>22907</t>
        </is>
      </c>
      <c r="E1424" s="117" t="inlineStr">
        <is>
          <t>PACK OF 20 NAPKINS PANTRY DESIGN</t>
        </is>
      </c>
      <c r="F1424" s="117" t="n">
        <v>4</v>
      </c>
      <c r="G1424" s="118" t="n">
        <v>0.85</v>
      </c>
      <c r="H1424" s="118" t="n">
        <v>3.4</v>
      </c>
      <c r="I1424" s="119" t="n">
        <v>40652</v>
      </c>
    </row>
    <row r="1425">
      <c r="A1425" s="114" t="inlineStr">
        <is>
          <t>550622</t>
        </is>
      </c>
      <c r="B1425" s="114" t="n">
        <v>13735</v>
      </c>
      <c r="C1425" s="114" t="inlineStr">
        <is>
          <t>United Kingdom</t>
        </is>
      </c>
      <c r="D1425" s="114" t="inlineStr">
        <is>
          <t>22968</t>
        </is>
      </c>
      <c r="E1425" s="114" t="inlineStr">
        <is>
          <t xml:space="preserve">ROSE COTTAGE KEEPSAKE BOX </t>
        </is>
      </c>
      <c r="F1425" s="114" t="n">
        <v>2</v>
      </c>
      <c r="G1425" s="115" t="n">
        <v>9.949999999999999</v>
      </c>
      <c r="H1425" s="115" t="n">
        <v>19.9</v>
      </c>
      <c r="I1425" s="116" t="n">
        <v>40652</v>
      </c>
    </row>
    <row r="1426">
      <c r="A1426" s="117" t="inlineStr">
        <is>
          <t>550630</t>
        </is>
      </c>
      <c r="B1426" s="117" t="n">
        <v>14298</v>
      </c>
      <c r="C1426" s="117" t="inlineStr">
        <is>
          <t>United Kingdom</t>
        </is>
      </c>
      <c r="D1426" s="117" t="inlineStr">
        <is>
          <t>21088</t>
        </is>
      </c>
      <c r="E1426" s="117" t="inlineStr">
        <is>
          <t>SET/6 FRUIT SALAD PAPER CUPS</t>
        </is>
      </c>
      <c r="F1426" s="117" t="n">
        <v>144</v>
      </c>
      <c r="G1426" s="118" t="n">
        <v>0.19</v>
      </c>
      <c r="H1426" s="118" t="n">
        <v>27.36</v>
      </c>
      <c r="I1426" s="119" t="n">
        <v>40652</v>
      </c>
    </row>
    <row r="1427">
      <c r="A1427" s="114" t="inlineStr">
        <is>
          <t>550637</t>
        </is>
      </c>
      <c r="B1427" s="114" t="n">
        <v>14415</v>
      </c>
      <c r="C1427" s="114" t="inlineStr">
        <is>
          <t>United Kingdom</t>
        </is>
      </c>
      <c r="D1427" s="114" t="inlineStr">
        <is>
          <t>23199</t>
        </is>
      </c>
      <c r="E1427" s="114" t="inlineStr">
        <is>
          <t>JUMBO BAG APPLES</t>
        </is>
      </c>
      <c r="F1427" s="114" t="n">
        <v>2</v>
      </c>
      <c r="G1427" s="115" t="n">
        <v>2.08</v>
      </c>
      <c r="H1427" s="115" t="n">
        <v>4.16</v>
      </c>
      <c r="I1427" s="116" t="n">
        <v>40652</v>
      </c>
    </row>
    <row r="1428">
      <c r="A1428" s="117" t="inlineStr">
        <is>
          <t>550643</t>
        </is>
      </c>
      <c r="B1428" s="117" t="n">
        <v>18116</v>
      </c>
      <c r="C1428" s="117" t="inlineStr">
        <is>
          <t>United Kingdom</t>
        </is>
      </c>
      <c r="D1428" s="117" t="inlineStr">
        <is>
          <t>79164</t>
        </is>
      </c>
      <c r="E1428" s="117" t="inlineStr">
        <is>
          <t>BLACK WINE GLASS</t>
        </is>
      </c>
      <c r="F1428" s="117" t="n">
        <v>6</v>
      </c>
      <c r="G1428" s="118" t="n">
        <v>0.39</v>
      </c>
      <c r="H1428" s="118" t="n">
        <v>2.34</v>
      </c>
      <c r="I1428" s="119" t="n">
        <v>40652</v>
      </c>
    </row>
    <row r="1429">
      <c r="A1429" s="114" t="inlineStr">
        <is>
          <t>550651</t>
        </is>
      </c>
      <c r="B1429" s="114" t="n">
        <v>15436</v>
      </c>
      <c r="C1429" s="114" t="inlineStr">
        <is>
          <t>United Kingdom</t>
        </is>
      </c>
      <c r="D1429" s="114" t="inlineStr">
        <is>
          <t>23179</t>
        </is>
      </c>
      <c r="E1429" s="114" t="inlineStr">
        <is>
          <t>CLOCK MAGNET MUM'S KITCHEN</t>
        </is>
      </c>
      <c r="F1429" s="114" t="n">
        <v>3</v>
      </c>
      <c r="G1429" s="115" t="n">
        <v>2.89</v>
      </c>
      <c r="H1429" s="115" t="n">
        <v>8.67</v>
      </c>
      <c r="I1429" s="116" t="n">
        <v>40652</v>
      </c>
    </row>
    <row r="1430">
      <c r="A1430" s="117" t="inlineStr">
        <is>
          <t>550651</t>
        </is>
      </c>
      <c r="B1430" s="117" t="n">
        <v>15436</v>
      </c>
      <c r="C1430" s="117" t="inlineStr">
        <is>
          <t>United Kingdom</t>
        </is>
      </c>
      <c r="D1430" s="117" t="inlineStr">
        <is>
          <t>22557</t>
        </is>
      </c>
      <c r="E1430" s="117" t="inlineStr">
        <is>
          <t xml:space="preserve">PLASTERS IN TIN VINTAGE PAISLEY </t>
        </is>
      </c>
      <c r="F1430" s="117" t="n">
        <v>1</v>
      </c>
      <c r="G1430" s="118" t="n">
        <v>1.65</v>
      </c>
      <c r="H1430" s="118" t="n">
        <v>1.65</v>
      </c>
      <c r="I1430" s="119" t="n">
        <v>40652</v>
      </c>
    </row>
    <row r="1431">
      <c r="A1431" s="114" t="inlineStr">
        <is>
          <t>550656</t>
        </is>
      </c>
      <c r="B1431" s="114" t="n">
        <v>17652</v>
      </c>
      <c r="C1431" s="114" t="inlineStr">
        <is>
          <t>United Kingdom</t>
        </is>
      </c>
      <c r="D1431" s="114" t="inlineStr">
        <is>
          <t>47590A</t>
        </is>
      </c>
      <c r="E1431" s="114" t="inlineStr">
        <is>
          <t>BLUE HAPPY BIRTHDAY BUNTING</t>
        </is>
      </c>
      <c r="F1431" s="114" t="n">
        <v>3</v>
      </c>
      <c r="G1431" s="115" t="n">
        <v>5.45</v>
      </c>
      <c r="H1431" s="115" t="n">
        <v>16.35</v>
      </c>
      <c r="I1431" s="116" t="n">
        <v>40653</v>
      </c>
    </row>
    <row r="1432">
      <c r="A1432" s="117" t="inlineStr">
        <is>
          <t>550659</t>
        </is>
      </c>
      <c r="B1432" s="117" t="n">
        <v>17730</v>
      </c>
      <c r="C1432" s="117" t="inlineStr">
        <is>
          <t>United Kingdom</t>
        </is>
      </c>
      <c r="D1432" s="117" t="inlineStr">
        <is>
          <t>22050</t>
        </is>
      </c>
      <c r="E1432" s="117" t="inlineStr">
        <is>
          <t>PINK PAISLEY ROSE GIFT WRAP</t>
        </is>
      </c>
      <c r="F1432" s="117" t="n">
        <v>25</v>
      </c>
      <c r="G1432" s="118" t="n">
        <v>0.42</v>
      </c>
      <c r="H1432" s="118" t="n">
        <v>10.5</v>
      </c>
      <c r="I1432" s="119" t="n">
        <v>40653</v>
      </c>
    </row>
    <row r="1433">
      <c r="A1433" s="114" t="inlineStr">
        <is>
          <t>550659</t>
        </is>
      </c>
      <c r="B1433" s="114" t="n">
        <v>17730</v>
      </c>
      <c r="C1433" s="114" t="inlineStr">
        <is>
          <t>United Kingdom</t>
        </is>
      </c>
      <c r="D1433" s="114" t="inlineStr">
        <is>
          <t>22212</t>
        </is>
      </c>
      <c r="E1433" s="114" t="inlineStr">
        <is>
          <t>FOUR HOOK  WHITE LOVEBIRDS</t>
        </is>
      </c>
      <c r="F1433" s="114" t="n">
        <v>6</v>
      </c>
      <c r="G1433" s="115" t="n">
        <v>2.1</v>
      </c>
      <c r="H1433" s="115" t="n">
        <v>12.6</v>
      </c>
      <c r="I1433" s="116" t="n">
        <v>40653</v>
      </c>
    </row>
    <row r="1434">
      <c r="A1434" s="117" t="inlineStr">
        <is>
          <t>550660</t>
        </is>
      </c>
      <c r="B1434" s="117" t="n">
        <v>15179</v>
      </c>
      <c r="C1434" s="117" t="inlineStr">
        <is>
          <t>United Kingdom</t>
        </is>
      </c>
      <c r="D1434" s="117" t="inlineStr">
        <is>
          <t>48138</t>
        </is>
      </c>
      <c r="E1434" s="117" t="inlineStr">
        <is>
          <t>DOORMAT UNION FLAG</t>
        </is>
      </c>
      <c r="F1434" s="117" t="n">
        <v>10</v>
      </c>
      <c r="G1434" s="118" t="n">
        <v>6.75</v>
      </c>
      <c r="H1434" s="118" t="n">
        <v>67.5</v>
      </c>
      <c r="I1434" s="119" t="n">
        <v>40653</v>
      </c>
    </row>
    <row r="1435">
      <c r="A1435" s="114" t="inlineStr">
        <is>
          <t>550714</t>
        </is>
      </c>
      <c r="B1435" s="114" t="n">
        <v>15249</v>
      </c>
      <c r="C1435" s="114" t="inlineStr">
        <is>
          <t>United Kingdom</t>
        </is>
      </c>
      <c r="D1435" s="114" t="inlineStr">
        <is>
          <t>22740</t>
        </is>
      </c>
      <c r="E1435" s="114" t="inlineStr">
        <is>
          <t>POLKADOT PEN</t>
        </is>
      </c>
      <c r="F1435" s="114" t="n">
        <v>48</v>
      </c>
      <c r="G1435" s="115" t="n">
        <v>0.85</v>
      </c>
      <c r="H1435" s="115" t="n">
        <v>40.8</v>
      </c>
      <c r="I1435" s="116" t="n">
        <v>40653</v>
      </c>
    </row>
    <row r="1436">
      <c r="A1436" s="117" t="inlineStr">
        <is>
          <t>550766</t>
        </is>
      </c>
      <c r="B1436" s="117" t="n">
        <v>17463</v>
      </c>
      <c r="C1436" s="117" t="inlineStr">
        <is>
          <t>United Kingdom</t>
        </is>
      </c>
      <c r="D1436" s="117" t="inlineStr">
        <is>
          <t>21754</t>
        </is>
      </c>
      <c r="E1436" s="117" t="inlineStr">
        <is>
          <t>HOME BUILDING BLOCK WORD</t>
        </is>
      </c>
      <c r="F1436" s="117" t="n">
        <v>6</v>
      </c>
      <c r="G1436" s="118" t="n">
        <v>5.95</v>
      </c>
      <c r="H1436" s="118" t="n">
        <v>35.7</v>
      </c>
      <c r="I1436" s="119" t="n">
        <v>40653</v>
      </c>
    </row>
    <row r="1437">
      <c r="A1437" s="114" t="inlineStr">
        <is>
          <t>550801</t>
        </is>
      </c>
      <c r="B1437" s="114" t="n">
        <v>17402</v>
      </c>
      <c r="C1437" s="114" t="inlineStr">
        <is>
          <t>United Kingdom</t>
        </is>
      </c>
      <c r="D1437" s="114" t="inlineStr">
        <is>
          <t>23009</t>
        </is>
      </c>
      <c r="E1437" s="114" t="inlineStr">
        <is>
          <t>I LOVE LONDON BABY GIFT SET</t>
        </is>
      </c>
      <c r="F1437" s="114" t="n">
        <v>6</v>
      </c>
      <c r="G1437" s="115" t="n">
        <v>14.95</v>
      </c>
      <c r="H1437" s="115" t="n">
        <v>89.7</v>
      </c>
      <c r="I1437" s="116" t="n">
        <v>40653</v>
      </c>
    </row>
    <row r="1438">
      <c r="A1438" s="117" t="inlineStr">
        <is>
          <t>550804</t>
        </is>
      </c>
      <c r="B1438" s="117" t="n">
        <v>16676</v>
      </c>
      <c r="C1438" s="117" t="inlineStr">
        <is>
          <t>United Kingdom</t>
        </is>
      </c>
      <c r="D1438" s="117" t="inlineStr">
        <is>
          <t>21080</t>
        </is>
      </c>
      <c r="E1438" s="117" t="inlineStr">
        <is>
          <t xml:space="preserve">SET/20 RED RETROSPOT PAPER NAPKINS </t>
        </is>
      </c>
      <c r="F1438" s="117" t="n">
        <v>12</v>
      </c>
      <c r="G1438" s="118" t="n">
        <v>0.85</v>
      </c>
      <c r="H1438" s="118" t="n">
        <v>10.2</v>
      </c>
      <c r="I1438" s="119" t="n">
        <v>40653</v>
      </c>
    </row>
    <row r="1439">
      <c r="A1439" s="114" t="inlineStr">
        <is>
          <t>550806</t>
        </is>
      </c>
      <c r="B1439" s="114" t="n">
        <v>14334</v>
      </c>
      <c r="C1439" s="114" t="inlineStr">
        <is>
          <t>United Kingdom</t>
        </is>
      </c>
      <c r="D1439" s="114" t="inlineStr">
        <is>
          <t>22077</t>
        </is>
      </c>
      <c r="E1439" s="114" t="inlineStr">
        <is>
          <t>6 RIBBONS RUSTIC CHARM</t>
        </is>
      </c>
      <c r="F1439" s="114" t="n">
        <v>12</v>
      </c>
      <c r="G1439" s="115" t="n">
        <v>1.65</v>
      </c>
      <c r="H1439" s="115" t="n">
        <v>19.8</v>
      </c>
      <c r="I1439" s="116" t="n">
        <v>40653</v>
      </c>
    </row>
    <row r="1440">
      <c r="A1440" s="117" t="inlineStr">
        <is>
          <t>550817</t>
        </is>
      </c>
      <c r="B1440" s="117" t="n">
        <v>17946</v>
      </c>
      <c r="C1440" s="117" t="inlineStr">
        <is>
          <t>United Kingdom</t>
        </is>
      </c>
      <c r="D1440" s="117" t="inlineStr">
        <is>
          <t>22829</t>
        </is>
      </c>
      <c r="E1440" s="117" t="inlineStr">
        <is>
          <t>SWEETHEART WIRE WALL TIDY</t>
        </is>
      </c>
      <c r="F1440" s="117" t="n">
        <v>2</v>
      </c>
      <c r="G1440" s="118" t="n">
        <v>9.949999999999999</v>
      </c>
      <c r="H1440" s="118" t="n">
        <v>19.9</v>
      </c>
      <c r="I1440" s="119" t="n">
        <v>40653</v>
      </c>
    </row>
    <row r="1441">
      <c r="A1441" s="114" t="inlineStr">
        <is>
          <t>550819</t>
        </is>
      </c>
      <c r="B1441" s="114" t="n">
        <v>17530</v>
      </c>
      <c r="C1441" s="114" t="inlineStr">
        <is>
          <t>United Kingdom</t>
        </is>
      </c>
      <c r="D1441" s="114" t="inlineStr">
        <is>
          <t>21679</t>
        </is>
      </c>
      <c r="E1441" s="114" t="inlineStr">
        <is>
          <t>SKULLS  STICKERS</t>
        </is>
      </c>
      <c r="F1441" s="114" t="n">
        <v>12</v>
      </c>
      <c r="G1441" s="115" t="n">
        <v>0.85</v>
      </c>
      <c r="H1441" s="115" t="n">
        <v>10.2</v>
      </c>
      <c r="I1441" s="116" t="n">
        <v>40653</v>
      </c>
    </row>
    <row r="1442">
      <c r="A1442" s="117" t="inlineStr">
        <is>
          <t>550821</t>
        </is>
      </c>
      <c r="B1442" s="117" t="n">
        <v>12506</v>
      </c>
      <c r="C1442" s="117" t="inlineStr">
        <is>
          <t>France</t>
        </is>
      </c>
      <c r="D1442" s="117" t="inlineStr">
        <is>
          <t>22722</t>
        </is>
      </c>
      <c r="E1442" s="117" t="inlineStr">
        <is>
          <t>SET OF 6 SPICE TINS PANTRY DESIGN</t>
        </is>
      </c>
      <c r="F1442" s="117" t="n">
        <v>1</v>
      </c>
      <c r="G1442" s="118" t="n">
        <v>3.95</v>
      </c>
      <c r="H1442" s="118" t="n">
        <v>3.95</v>
      </c>
      <c r="I1442" s="119" t="n">
        <v>40654</v>
      </c>
    </row>
    <row r="1443">
      <c r="A1443" s="114" t="inlineStr">
        <is>
          <t>550823</t>
        </is>
      </c>
      <c r="B1443" s="114" t="n">
        <v>16133</v>
      </c>
      <c r="C1443" s="114" t="inlineStr">
        <is>
          <t>United Kingdom</t>
        </is>
      </c>
      <c r="D1443" s="114" t="inlineStr">
        <is>
          <t>22427</t>
        </is>
      </c>
      <c r="E1443" s="114" t="inlineStr">
        <is>
          <t>ENAMEL FLOWER JUG CREAM</t>
        </is>
      </c>
      <c r="F1443" s="114" t="n">
        <v>24</v>
      </c>
      <c r="G1443" s="115" t="n">
        <v>5.45</v>
      </c>
      <c r="H1443" s="115" t="n">
        <v>130.8</v>
      </c>
      <c r="I1443" s="116" t="n">
        <v>40654</v>
      </c>
    </row>
    <row r="1444">
      <c r="A1444" s="117" t="inlineStr">
        <is>
          <t>550835</t>
        </is>
      </c>
      <c r="B1444" s="117" t="n">
        <v>15034</v>
      </c>
      <c r="C1444" s="117" t="inlineStr">
        <is>
          <t>United Kingdom</t>
        </is>
      </c>
      <c r="D1444" s="117" t="inlineStr">
        <is>
          <t>82551</t>
        </is>
      </c>
      <c r="E1444" s="117" t="inlineStr">
        <is>
          <t>LAUNDRY 15C METAL SIGN</t>
        </is>
      </c>
      <c r="F1444" s="117" t="n">
        <v>2</v>
      </c>
      <c r="G1444" s="118" t="n">
        <v>1.45</v>
      </c>
      <c r="H1444" s="118" t="n">
        <v>2.9</v>
      </c>
      <c r="I1444" s="119" t="n">
        <v>40654</v>
      </c>
    </row>
    <row r="1445">
      <c r="A1445" s="114" t="inlineStr">
        <is>
          <t>550835</t>
        </is>
      </c>
      <c r="B1445" s="114" t="n">
        <v>15034</v>
      </c>
      <c r="C1445" s="114" t="inlineStr">
        <is>
          <t>United Kingdom</t>
        </is>
      </c>
      <c r="D1445" s="114" t="inlineStr">
        <is>
          <t>84077</t>
        </is>
      </c>
      <c r="E1445" s="114" t="inlineStr">
        <is>
          <t>WORLD WAR 2 GLIDERS ASSTD DESIGNS</t>
        </is>
      </c>
      <c r="F1445" s="114" t="n">
        <v>48</v>
      </c>
      <c r="G1445" s="115" t="n">
        <v>0.29</v>
      </c>
      <c r="H1445" s="115" t="n">
        <v>13.92</v>
      </c>
      <c r="I1445" s="116" t="n">
        <v>40654</v>
      </c>
    </row>
    <row r="1446">
      <c r="A1446" s="117" t="inlineStr">
        <is>
          <t>550835</t>
        </is>
      </c>
      <c r="B1446" s="117" t="n">
        <v>15034</v>
      </c>
      <c r="C1446" s="117" t="inlineStr">
        <is>
          <t>United Kingdom</t>
        </is>
      </c>
      <c r="D1446" s="117" t="inlineStr">
        <is>
          <t>82578</t>
        </is>
      </c>
      <c r="E1446" s="117" t="inlineStr">
        <is>
          <t>KITCHEN METAL SIGN</t>
        </is>
      </c>
      <c r="F1446" s="117" t="n">
        <v>2</v>
      </c>
      <c r="G1446" s="118" t="n">
        <v>0.55</v>
      </c>
      <c r="H1446" s="118" t="n">
        <v>1.1</v>
      </c>
      <c r="I1446" s="119" t="n">
        <v>40654</v>
      </c>
    </row>
    <row r="1447">
      <c r="A1447" s="114" t="inlineStr">
        <is>
          <t>550835</t>
        </is>
      </c>
      <c r="B1447" s="114" t="n">
        <v>15034</v>
      </c>
      <c r="C1447" s="114" t="inlineStr">
        <is>
          <t>United Kingdom</t>
        </is>
      </c>
      <c r="D1447" s="114" t="inlineStr">
        <is>
          <t>22728</t>
        </is>
      </c>
      <c r="E1447" s="114" t="inlineStr">
        <is>
          <t>ALARM CLOCK BAKELIKE PINK</t>
        </is>
      </c>
      <c r="F1447" s="114" t="n">
        <v>3</v>
      </c>
      <c r="G1447" s="115" t="n">
        <v>3.75</v>
      </c>
      <c r="H1447" s="115" t="n">
        <v>11.25</v>
      </c>
      <c r="I1447" s="116" t="n">
        <v>40654</v>
      </c>
    </row>
    <row r="1448">
      <c r="A1448" s="117" t="inlineStr">
        <is>
          <t>550835</t>
        </is>
      </c>
      <c r="B1448" s="117" t="n">
        <v>15034</v>
      </c>
      <c r="C1448" s="117" t="inlineStr">
        <is>
          <t>United Kingdom</t>
        </is>
      </c>
      <c r="D1448" s="117" t="inlineStr">
        <is>
          <t>21933</t>
        </is>
      </c>
      <c r="E1448" s="117" t="inlineStr">
        <is>
          <t>PINK VINTAGE PAISLEY PICNIC BAG</t>
        </is>
      </c>
      <c r="F1448" s="117" t="n">
        <v>2</v>
      </c>
      <c r="G1448" s="118" t="n">
        <v>1.65</v>
      </c>
      <c r="H1448" s="118" t="n">
        <v>3.3</v>
      </c>
      <c r="I1448" s="119" t="n">
        <v>40654</v>
      </c>
    </row>
    <row r="1449">
      <c r="A1449" s="114" t="inlineStr">
        <is>
          <t>550890</t>
        </is>
      </c>
      <c r="B1449" s="114" t="n">
        <v>14711</v>
      </c>
      <c r="C1449" s="114" t="inlineStr">
        <is>
          <t>United Kingdom</t>
        </is>
      </c>
      <c r="D1449" s="114" t="inlineStr">
        <is>
          <t>47504K</t>
        </is>
      </c>
      <c r="E1449" s="114" t="inlineStr">
        <is>
          <t>ENGLISH ROSE GARDEN SECATEURS</t>
        </is>
      </c>
      <c r="F1449" s="114" t="n">
        <v>4</v>
      </c>
      <c r="G1449" s="115" t="n">
        <v>1.95</v>
      </c>
      <c r="H1449" s="115" t="n">
        <v>7.8</v>
      </c>
      <c r="I1449" s="116" t="n">
        <v>40654</v>
      </c>
    </row>
    <row r="1450">
      <c r="A1450" s="117" t="inlineStr">
        <is>
          <t>550890</t>
        </is>
      </c>
      <c r="B1450" s="117" t="n">
        <v>14711</v>
      </c>
      <c r="C1450" s="117" t="inlineStr">
        <is>
          <t>United Kingdom</t>
        </is>
      </c>
      <c r="D1450" s="117" t="inlineStr">
        <is>
          <t>82583</t>
        </is>
      </c>
      <c r="E1450" s="117" t="inlineStr">
        <is>
          <t>HOT BATHS METAL SIGN</t>
        </is>
      </c>
      <c r="F1450" s="117" t="n">
        <v>2</v>
      </c>
      <c r="G1450" s="118" t="n">
        <v>2.1</v>
      </c>
      <c r="H1450" s="118" t="n">
        <v>4.2</v>
      </c>
      <c r="I1450" s="119" t="n">
        <v>40654</v>
      </c>
    </row>
    <row r="1451">
      <c r="A1451" s="114" t="inlineStr">
        <is>
          <t>550911</t>
        </is>
      </c>
      <c r="B1451" s="114" t="n">
        <v>12354</v>
      </c>
      <c r="C1451" s="114" t="inlineStr">
        <is>
          <t>Spain</t>
        </is>
      </c>
      <c r="D1451" s="114" t="inlineStr">
        <is>
          <t>23201</t>
        </is>
      </c>
      <c r="E1451" s="114" t="inlineStr">
        <is>
          <t>JUMBO BAG ALPHABET</t>
        </is>
      </c>
      <c r="F1451" s="114" t="n">
        <v>10</v>
      </c>
      <c r="G1451" s="115" t="n">
        <v>2.08</v>
      </c>
      <c r="H1451" s="115" t="n">
        <v>20.8</v>
      </c>
      <c r="I1451" s="116" t="n">
        <v>40654</v>
      </c>
    </row>
    <row r="1452">
      <c r="A1452" s="117" t="inlineStr">
        <is>
          <t>550911</t>
        </is>
      </c>
      <c r="B1452" s="117" t="n">
        <v>12354</v>
      </c>
      <c r="C1452" s="117" t="inlineStr">
        <is>
          <t>Spain</t>
        </is>
      </c>
      <c r="D1452" s="117" t="inlineStr">
        <is>
          <t>20749</t>
        </is>
      </c>
      <c r="E1452" s="117" t="inlineStr">
        <is>
          <t>ASSORTED COLOUR MINI CASES</t>
        </is>
      </c>
      <c r="F1452" s="117" t="n">
        <v>2</v>
      </c>
      <c r="G1452" s="118" t="n">
        <v>7.95</v>
      </c>
      <c r="H1452" s="118" t="n">
        <v>15.9</v>
      </c>
      <c r="I1452" s="119" t="n">
        <v>40654</v>
      </c>
    </row>
    <row r="1453">
      <c r="A1453" s="114" t="inlineStr">
        <is>
          <t>550911</t>
        </is>
      </c>
      <c r="B1453" s="114" t="n">
        <v>12354</v>
      </c>
      <c r="C1453" s="114" t="inlineStr">
        <is>
          <t>Spain</t>
        </is>
      </c>
      <c r="D1453" s="114" t="inlineStr">
        <is>
          <t>21080</t>
        </is>
      </c>
      <c r="E1453" s="114" t="inlineStr">
        <is>
          <t xml:space="preserve">SET/20 RED RETROSPOT PAPER NAPKINS </t>
        </is>
      </c>
      <c r="F1453" s="114" t="n">
        <v>12</v>
      </c>
      <c r="G1453" s="115" t="n">
        <v>0.85</v>
      </c>
      <c r="H1453" s="115" t="n">
        <v>10.2</v>
      </c>
      <c r="I1453" s="116" t="n">
        <v>40654</v>
      </c>
    </row>
    <row r="1454">
      <c r="A1454" s="117" t="inlineStr">
        <is>
          <t>550912</t>
        </is>
      </c>
      <c r="B1454" s="117" t="n">
        <v>13267</v>
      </c>
      <c r="C1454" s="117" t="inlineStr">
        <is>
          <t>United Kingdom</t>
        </is>
      </c>
      <c r="D1454" s="117" t="inlineStr">
        <is>
          <t>82484</t>
        </is>
      </c>
      <c r="E1454" s="117" t="inlineStr">
        <is>
          <t>WOOD BLACK BOARD ANT WHITE FINISH</t>
        </is>
      </c>
      <c r="F1454" s="117" t="n">
        <v>2</v>
      </c>
      <c r="G1454" s="118" t="n">
        <v>7.95</v>
      </c>
      <c r="H1454" s="118" t="n">
        <v>15.9</v>
      </c>
      <c r="I1454" s="119" t="n">
        <v>40654</v>
      </c>
    </row>
    <row r="1455">
      <c r="A1455" s="114" t="inlineStr">
        <is>
          <t>550913</t>
        </is>
      </c>
      <c r="B1455" s="114" t="n">
        <v>17631</v>
      </c>
      <c r="C1455" s="114" t="inlineStr">
        <is>
          <t>United Kingdom</t>
        </is>
      </c>
      <c r="D1455" s="114" t="inlineStr">
        <is>
          <t>20682</t>
        </is>
      </c>
      <c r="E1455" s="114" t="inlineStr">
        <is>
          <t>RED RETROSPOT CHILDRENS UMBRELLA</t>
        </is>
      </c>
      <c r="F1455" s="114" t="n">
        <v>6</v>
      </c>
      <c r="G1455" s="115" t="n">
        <v>3.25</v>
      </c>
      <c r="H1455" s="115" t="n">
        <v>19.5</v>
      </c>
      <c r="I1455" s="116" t="n">
        <v>40654</v>
      </c>
    </row>
    <row r="1456">
      <c r="A1456" s="117" t="inlineStr">
        <is>
          <t>550915</t>
        </is>
      </c>
      <c r="B1456" s="117" t="n">
        <v>13263</v>
      </c>
      <c r="C1456" s="117" t="inlineStr">
        <is>
          <t>United Kingdom</t>
        </is>
      </c>
      <c r="D1456" s="117" t="inlineStr">
        <is>
          <t>22697</t>
        </is>
      </c>
      <c r="E1456" s="117" t="inlineStr">
        <is>
          <t>GREEN REGENCY TEACUP AND SAUCER</t>
        </is>
      </c>
      <c r="F1456" s="117" t="n">
        <v>1</v>
      </c>
      <c r="G1456" s="118" t="n">
        <v>2.95</v>
      </c>
      <c r="H1456" s="118" t="n">
        <v>2.95</v>
      </c>
      <c r="I1456" s="119" t="n">
        <v>40654</v>
      </c>
    </row>
    <row r="1457">
      <c r="A1457" s="114" t="inlineStr">
        <is>
          <t>550916</t>
        </is>
      </c>
      <c r="B1457" s="114" t="n">
        <v>17718</v>
      </c>
      <c r="C1457" s="114" t="inlineStr">
        <is>
          <t>United Kingdom</t>
        </is>
      </c>
      <c r="D1457" s="114" t="inlineStr">
        <is>
          <t>22851</t>
        </is>
      </c>
      <c r="E1457" s="114" t="inlineStr">
        <is>
          <t xml:space="preserve">SET 20 NAPKINS FAIRY CAKES DESIGN </t>
        </is>
      </c>
      <c r="F1457" s="114" t="n">
        <v>24</v>
      </c>
      <c r="G1457" s="115" t="n">
        <v>0.85</v>
      </c>
      <c r="H1457" s="115" t="n">
        <v>20.4</v>
      </c>
      <c r="I1457" s="116" t="n">
        <v>40654</v>
      </c>
    </row>
    <row r="1458">
      <c r="A1458" s="117" t="inlineStr">
        <is>
          <t>550921</t>
        </is>
      </c>
      <c r="B1458" s="117" t="n">
        <v>14770</v>
      </c>
      <c r="C1458" s="117" t="inlineStr">
        <is>
          <t>United Kingdom</t>
        </is>
      </c>
      <c r="D1458" s="117" t="inlineStr">
        <is>
          <t>84988</t>
        </is>
      </c>
      <c r="E1458" s="117" t="inlineStr">
        <is>
          <t>SET OF 72 PINK HEART PAPER DOILIES</t>
        </is>
      </c>
      <c r="F1458" s="117" t="n">
        <v>12</v>
      </c>
      <c r="G1458" s="118" t="n">
        <v>1.45</v>
      </c>
      <c r="H1458" s="118" t="n">
        <v>17.4</v>
      </c>
      <c r="I1458" s="119" t="n">
        <v>40654</v>
      </c>
    </row>
    <row r="1459">
      <c r="A1459" s="114" t="inlineStr">
        <is>
          <t>550941</t>
        </is>
      </c>
      <c r="B1459" s="114" t="n">
        <v>17109</v>
      </c>
      <c r="C1459" s="114" t="inlineStr">
        <is>
          <t>United Kingdom</t>
        </is>
      </c>
      <c r="D1459" s="114" t="inlineStr">
        <is>
          <t>22284</t>
        </is>
      </c>
      <c r="E1459" s="114" t="inlineStr">
        <is>
          <t>HEN HOUSE DECORATION</t>
        </is>
      </c>
      <c r="F1459" s="114" t="n">
        <v>2</v>
      </c>
      <c r="G1459" s="115" t="n">
        <v>1.65</v>
      </c>
      <c r="H1459" s="115" t="n">
        <v>3.3</v>
      </c>
      <c r="I1459" s="116" t="n">
        <v>40654</v>
      </c>
    </row>
    <row r="1460">
      <c r="A1460" s="117" t="inlineStr">
        <is>
          <t>550942</t>
        </is>
      </c>
      <c r="B1460" s="117" t="n">
        <v>16587</v>
      </c>
      <c r="C1460" s="117" t="inlineStr">
        <is>
          <t>United Kingdom</t>
        </is>
      </c>
      <c r="D1460" s="117" t="inlineStr">
        <is>
          <t>22487</t>
        </is>
      </c>
      <c r="E1460" s="117" t="inlineStr">
        <is>
          <t>WHITE WOOD GARDEN PLANT LADDER</t>
        </is>
      </c>
      <c r="F1460" s="117" t="n">
        <v>1</v>
      </c>
      <c r="G1460" s="118" t="n">
        <v>9.949999999999999</v>
      </c>
      <c r="H1460" s="118" t="n">
        <v>9.949999999999999</v>
      </c>
      <c r="I1460" s="119" t="n">
        <v>40654</v>
      </c>
    </row>
    <row r="1461">
      <c r="A1461" s="114" t="inlineStr">
        <is>
          <t>550958</t>
        </is>
      </c>
      <c r="B1461" s="114" t="n">
        <v>15281</v>
      </c>
      <c r="C1461" s="114" t="inlineStr">
        <is>
          <t>United Kingdom</t>
        </is>
      </c>
      <c r="D1461" s="114" t="inlineStr">
        <is>
          <t>85144</t>
        </is>
      </c>
      <c r="E1461" s="114" t="inlineStr">
        <is>
          <t>JARDIN ETCHED GLASS CHEESE DISH</t>
        </is>
      </c>
      <c r="F1461" s="114" t="n">
        <v>12</v>
      </c>
      <c r="G1461" s="115" t="n">
        <v>1.95</v>
      </c>
      <c r="H1461" s="115" t="n">
        <v>23.4</v>
      </c>
      <c r="I1461" s="116" t="n">
        <v>40654</v>
      </c>
    </row>
    <row r="1462">
      <c r="A1462" s="117" t="inlineStr">
        <is>
          <t>550957</t>
        </is>
      </c>
      <c r="B1462" s="117" t="n">
        <v>18283</v>
      </c>
      <c r="C1462" s="117" t="inlineStr">
        <is>
          <t>United Kingdom</t>
        </is>
      </c>
      <c r="D1462" s="117" t="inlineStr">
        <is>
          <t>21929</t>
        </is>
      </c>
      <c r="E1462" s="117" t="inlineStr">
        <is>
          <t>JUMBO BAG PINK VINTAGE PAISLEY</t>
        </is>
      </c>
      <c r="F1462" s="117" t="n">
        <v>1</v>
      </c>
      <c r="G1462" s="118" t="n">
        <v>2.08</v>
      </c>
      <c r="H1462" s="118" t="n">
        <v>2.08</v>
      </c>
      <c r="I1462" s="119" t="n">
        <v>40654</v>
      </c>
    </row>
    <row r="1463">
      <c r="A1463" s="114" t="inlineStr">
        <is>
          <t>550968</t>
        </is>
      </c>
      <c r="B1463" s="114" t="n">
        <v>14961</v>
      </c>
      <c r="C1463" s="114" t="inlineStr">
        <is>
          <t>United Kingdom</t>
        </is>
      </c>
      <c r="D1463" s="114" t="inlineStr">
        <is>
          <t>22855</t>
        </is>
      </c>
      <c r="E1463" s="114" t="inlineStr">
        <is>
          <t xml:space="preserve">FINE WICKER HEART </t>
        </is>
      </c>
      <c r="F1463" s="114" t="n">
        <v>24</v>
      </c>
      <c r="G1463" s="115" t="n">
        <v>1.25</v>
      </c>
      <c r="H1463" s="115" t="n">
        <v>30</v>
      </c>
      <c r="I1463" s="116" t="n">
        <v>40654</v>
      </c>
    </row>
    <row r="1464">
      <c r="A1464" s="117" t="inlineStr">
        <is>
          <t>550994</t>
        </is>
      </c>
      <c r="B1464" s="117" t="n">
        <v>14562</v>
      </c>
      <c r="C1464" s="117" t="inlineStr">
        <is>
          <t>United Kingdom</t>
        </is>
      </c>
      <c r="D1464" s="117" t="inlineStr">
        <is>
          <t>22499</t>
        </is>
      </c>
      <c r="E1464" s="117" t="inlineStr">
        <is>
          <t>WOODEN UNION JACK BUNTING</t>
        </is>
      </c>
      <c r="F1464" s="117" t="n">
        <v>2</v>
      </c>
      <c r="G1464" s="118" t="n">
        <v>5.95</v>
      </c>
      <c r="H1464" s="118" t="n">
        <v>11.9</v>
      </c>
      <c r="I1464" s="119" t="n">
        <v>40654</v>
      </c>
    </row>
    <row r="1465">
      <c r="A1465" s="114" t="inlineStr">
        <is>
          <t>550995</t>
        </is>
      </c>
      <c r="B1465" s="114" t="n">
        <v>16722</v>
      </c>
      <c r="C1465" s="114" t="inlineStr">
        <is>
          <t>United Kingdom</t>
        </is>
      </c>
      <c r="D1465" s="114" t="inlineStr">
        <is>
          <t>22331</t>
        </is>
      </c>
      <c r="E1465" s="114" t="inlineStr">
        <is>
          <t>WOODLAND PARTY BAG + STICKER SET</t>
        </is>
      </c>
      <c r="F1465" s="114" t="n">
        <v>8</v>
      </c>
      <c r="G1465" s="115" t="n">
        <v>1.65</v>
      </c>
      <c r="H1465" s="115" t="n">
        <v>13.2</v>
      </c>
      <c r="I1465" s="116" t="n">
        <v>40659</v>
      </c>
    </row>
    <row r="1466">
      <c r="A1466" s="117" t="inlineStr">
        <is>
          <t>550997</t>
        </is>
      </c>
      <c r="B1466" s="117" t="n">
        <v>17735</v>
      </c>
      <c r="C1466" s="117" t="inlineStr">
        <is>
          <t>United Kingdom</t>
        </is>
      </c>
      <c r="D1466" s="117" t="inlineStr">
        <is>
          <t>22100</t>
        </is>
      </c>
      <c r="E1466" s="117" t="inlineStr">
        <is>
          <t>SKULLS SQUARE TISSUE BOX</t>
        </is>
      </c>
      <c r="F1466" s="117" t="n">
        <v>12</v>
      </c>
      <c r="G1466" s="118" t="n">
        <v>1.25</v>
      </c>
      <c r="H1466" s="118" t="n">
        <v>15</v>
      </c>
      <c r="I1466" s="119" t="n">
        <v>40659</v>
      </c>
    </row>
    <row r="1467">
      <c r="A1467" s="114" t="inlineStr">
        <is>
          <t>551001</t>
        </is>
      </c>
      <c r="B1467" s="114" t="n">
        <v>13408</v>
      </c>
      <c r="C1467" s="114" t="inlineStr">
        <is>
          <t>United Kingdom</t>
        </is>
      </c>
      <c r="D1467" s="114" t="inlineStr">
        <is>
          <t>21922</t>
        </is>
      </c>
      <c r="E1467" s="114" t="inlineStr">
        <is>
          <t>UNION STRIPE WITH FRINGE  HAMMOCK</t>
        </is>
      </c>
      <c r="F1467" s="114" t="n">
        <v>12</v>
      </c>
      <c r="G1467" s="115" t="n">
        <v>6.95</v>
      </c>
      <c r="H1467" s="115" t="n">
        <v>83.40000000000001</v>
      </c>
      <c r="I1467" s="116" t="n">
        <v>40659</v>
      </c>
    </row>
    <row r="1468">
      <c r="A1468" s="117" t="inlineStr">
        <is>
          <t>551014</t>
        </is>
      </c>
      <c r="B1468" s="117" t="n">
        <v>13209</v>
      </c>
      <c r="C1468" s="117" t="inlineStr">
        <is>
          <t>United Kingdom</t>
        </is>
      </c>
      <c r="D1468" s="117" t="inlineStr">
        <is>
          <t>21745</t>
        </is>
      </c>
      <c r="E1468" s="117" t="inlineStr">
        <is>
          <t xml:space="preserve">GAOLERS KEYS DECORATIVE GARDEN </t>
        </is>
      </c>
      <c r="F1468" s="117" t="n">
        <v>4</v>
      </c>
      <c r="G1468" s="118" t="n">
        <v>3.75</v>
      </c>
      <c r="H1468" s="118" t="n">
        <v>15</v>
      </c>
      <c r="I1468" s="119" t="n">
        <v>40659</v>
      </c>
    </row>
    <row r="1469">
      <c r="A1469" s="114" t="inlineStr">
        <is>
          <t>551028</t>
        </is>
      </c>
      <c r="B1469" s="114" t="n">
        <v>13842</v>
      </c>
      <c r="C1469" s="114" t="inlineStr">
        <is>
          <t>United Kingdom</t>
        </is>
      </c>
      <c r="D1469" s="114" t="inlineStr">
        <is>
          <t>84637</t>
        </is>
      </c>
      <c r="E1469" s="114" t="inlineStr">
        <is>
          <t>KITCHEN FLOWER POTS WALL PLAQUE</t>
        </is>
      </c>
      <c r="F1469" s="114" t="n">
        <v>3</v>
      </c>
      <c r="G1469" s="115" t="n">
        <v>5.95</v>
      </c>
      <c r="H1469" s="115" t="n">
        <v>17.85</v>
      </c>
      <c r="I1469" s="116" t="n">
        <v>40659</v>
      </c>
    </row>
    <row r="1470">
      <c r="A1470" s="117" t="inlineStr">
        <is>
          <t>551028</t>
        </is>
      </c>
      <c r="B1470" s="117" t="n">
        <v>13842</v>
      </c>
      <c r="C1470" s="117" t="inlineStr">
        <is>
          <t>United Kingdom</t>
        </is>
      </c>
      <c r="D1470" s="117" t="inlineStr">
        <is>
          <t>82486</t>
        </is>
      </c>
      <c r="E1470" s="117" t="inlineStr">
        <is>
          <t>WOOD S/3 CABINET ANT WHITE FINISH</t>
        </is>
      </c>
      <c r="F1470" s="117" t="n">
        <v>2</v>
      </c>
      <c r="G1470" s="118" t="n">
        <v>8.949999999999999</v>
      </c>
      <c r="H1470" s="118" t="n">
        <v>17.9</v>
      </c>
      <c r="I1470" s="119" t="n">
        <v>40659</v>
      </c>
    </row>
    <row r="1471">
      <c r="A1471" s="114" t="inlineStr">
        <is>
          <t>551035</t>
        </is>
      </c>
      <c r="B1471" s="114" t="n">
        <v>15065</v>
      </c>
      <c r="C1471" s="114" t="inlineStr">
        <is>
          <t>United Kingdom</t>
        </is>
      </c>
      <c r="D1471" s="114" t="inlineStr">
        <is>
          <t>22622</t>
        </is>
      </c>
      <c r="E1471" s="114" t="inlineStr">
        <is>
          <t>BOX OF VINTAGE ALPHABET BLOCKS</t>
        </is>
      </c>
      <c r="F1471" s="114" t="n">
        <v>2</v>
      </c>
      <c r="G1471" s="115" t="n">
        <v>9.949999999999999</v>
      </c>
      <c r="H1471" s="115" t="n">
        <v>19.9</v>
      </c>
      <c r="I1471" s="116" t="n">
        <v>40659</v>
      </c>
    </row>
    <row r="1472">
      <c r="A1472" s="117" t="inlineStr">
        <is>
          <t>551056</t>
        </is>
      </c>
      <c r="B1472" s="117" t="n">
        <v>16442</v>
      </c>
      <c r="C1472" s="117" t="inlineStr">
        <is>
          <t>United Kingdom</t>
        </is>
      </c>
      <c r="D1472" s="117" t="inlineStr">
        <is>
          <t>22841</t>
        </is>
      </c>
      <c r="E1472" s="117" t="inlineStr">
        <is>
          <t>ROUND CAKE TIN VINTAGE GREEN</t>
        </is>
      </c>
      <c r="F1472" s="117" t="n">
        <v>1</v>
      </c>
      <c r="G1472" s="118" t="n">
        <v>7.95</v>
      </c>
      <c r="H1472" s="118" t="n">
        <v>7.95</v>
      </c>
      <c r="I1472" s="119" t="n">
        <v>40659</v>
      </c>
    </row>
    <row r="1473">
      <c r="A1473" s="114" t="inlineStr">
        <is>
          <t>551085</t>
        </is>
      </c>
      <c r="B1473" s="114" t="n">
        <v>14854</v>
      </c>
      <c r="C1473" s="114" t="inlineStr">
        <is>
          <t>United Kingdom</t>
        </is>
      </c>
      <c r="D1473" s="114" t="inlineStr">
        <is>
          <t>21212</t>
        </is>
      </c>
      <c r="E1473" s="114" t="inlineStr">
        <is>
          <t>PACK OF 72 RETROSPOT CAKE CASES</t>
        </is>
      </c>
      <c r="F1473" s="114" t="n">
        <v>24</v>
      </c>
      <c r="G1473" s="115" t="n">
        <v>0.55</v>
      </c>
      <c r="H1473" s="115" t="n">
        <v>13.2</v>
      </c>
      <c r="I1473" s="116" t="n">
        <v>40659</v>
      </c>
    </row>
    <row r="1474">
      <c r="A1474" s="117" t="inlineStr">
        <is>
          <t>551125</t>
        </is>
      </c>
      <c r="B1474" s="117" t="n">
        <v>17277</v>
      </c>
      <c r="C1474" s="117" t="inlineStr">
        <is>
          <t>United Kingdom</t>
        </is>
      </c>
      <c r="D1474" s="117" t="inlineStr">
        <is>
          <t>90164B</t>
        </is>
      </c>
      <c r="E1474" s="117" t="inlineStr">
        <is>
          <t>WHITE  ROSEBUD PEARL BRACELET</t>
        </is>
      </c>
      <c r="F1474" s="117" t="n">
        <v>2</v>
      </c>
      <c r="G1474" s="118" t="n">
        <v>7.5</v>
      </c>
      <c r="H1474" s="118" t="n">
        <v>15</v>
      </c>
      <c r="I1474" s="119" t="n">
        <v>40659</v>
      </c>
    </row>
    <row r="1475">
      <c r="A1475" s="114" t="inlineStr">
        <is>
          <t>551134</t>
        </is>
      </c>
      <c r="B1475" s="114" t="n">
        <v>16729</v>
      </c>
      <c r="C1475" s="114" t="inlineStr">
        <is>
          <t>United Kingdom</t>
        </is>
      </c>
      <c r="D1475" s="114" t="inlineStr">
        <is>
          <t>22227</t>
        </is>
      </c>
      <c r="E1475" s="114" t="inlineStr">
        <is>
          <t xml:space="preserve">HANGING HEART MIRROR DECORATION </t>
        </is>
      </c>
      <c r="F1475" s="114" t="n">
        <v>12</v>
      </c>
      <c r="G1475" s="115" t="n">
        <v>0.65</v>
      </c>
      <c r="H1475" s="115" t="n">
        <v>7.8</v>
      </c>
      <c r="I1475" s="116" t="n">
        <v>40659</v>
      </c>
    </row>
    <row r="1476">
      <c r="A1476" s="117" t="inlineStr">
        <is>
          <t>551137</t>
        </is>
      </c>
      <c r="B1476" s="117" t="n">
        <v>15581</v>
      </c>
      <c r="C1476" s="117" t="inlineStr">
        <is>
          <t>United Kingdom</t>
        </is>
      </c>
      <c r="D1476" s="117" t="inlineStr">
        <is>
          <t>35909A</t>
        </is>
      </c>
      <c r="E1476" s="117" t="inlineStr">
        <is>
          <t>RABBIT EASTER DECORATION</t>
        </is>
      </c>
      <c r="F1476" s="117" t="n">
        <v>1</v>
      </c>
      <c r="G1476" s="118" t="n">
        <v>2.95</v>
      </c>
      <c r="H1476" s="118" t="n">
        <v>2.95</v>
      </c>
      <c r="I1476" s="119" t="n">
        <v>40659</v>
      </c>
    </row>
    <row r="1477">
      <c r="A1477" s="114" t="inlineStr">
        <is>
          <t>551138</t>
        </is>
      </c>
      <c r="B1477" s="114" t="n">
        <v>17061</v>
      </c>
      <c r="C1477" s="114" t="inlineStr">
        <is>
          <t>United Kingdom</t>
        </is>
      </c>
      <c r="D1477" s="114" t="inlineStr">
        <is>
          <t>22719</t>
        </is>
      </c>
      <c r="E1477" s="114" t="inlineStr">
        <is>
          <t>GUMBALL MONOCHROME COAT RACK</t>
        </is>
      </c>
      <c r="F1477" s="114" t="n">
        <v>36</v>
      </c>
      <c r="G1477" s="115" t="n">
        <v>1.06</v>
      </c>
      <c r="H1477" s="115" t="n">
        <v>38.16</v>
      </c>
      <c r="I1477" s="116" t="n">
        <v>40659</v>
      </c>
    </row>
    <row r="1478">
      <c r="A1478" s="117" t="inlineStr">
        <is>
          <t>551142</t>
        </is>
      </c>
      <c r="B1478" s="117" t="n">
        <v>17613</v>
      </c>
      <c r="C1478" s="117" t="inlineStr">
        <is>
          <t>United Kingdom</t>
        </is>
      </c>
      <c r="D1478" s="117" t="inlineStr">
        <is>
          <t>22666</t>
        </is>
      </c>
      <c r="E1478" s="117" t="inlineStr">
        <is>
          <t>RECIPE BOX PANTRY YELLOW DESIGN</t>
        </is>
      </c>
      <c r="F1478" s="117" t="n">
        <v>2</v>
      </c>
      <c r="G1478" s="118" t="n">
        <v>2.95</v>
      </c>
      <c r="H1478" s="118" t="n">
        <v>5.9</v>
      </c>
      <c r="I1478" s="119" t="n">
        <v>40659</v>
      </c>
    </row>
    <row r="1479">
      <c r="A1479" s="114" t="inlineStr">
        <is>
          <t>551142</t>
        </is>
      </c>
      <c r="B1479" s="114" t="n">
        <v>17613</v>
      </c>
      <c r="C1479" s="114" t="inlineStr">
        <is>
          <t>United Kingdom</t>
        </is>
      </c>
      <c r="D1479" s="114" t="inlineStr">
        <is>
          <t>85145</t>
        </is>
      </c>
      <c r="E1479" s="114" t="inlineStr">
        <is>
          <t>JARDIN ETCHED GLASS LARGE BELL JAR</t>
        </is>
      </c>
      <c r="F1479" s="114" t="n">
        <v>1</v>
      </c>
      <c r="G1479" s="115" t="n">
        <v>3.95</v>
      </c>
      <c r="H1479" s="115" t="n">
        <v>3.95</v>
      </c>
      <c r="I1479" s="116" t="n">
        <v>40659</v>
      </c>
    </row>
    <row r="1480">
      <c r="A1480" s="117" t="inlineStr">
        <is>
          <t>551143</t>
        </is>
      </c>
      <c r="B1480" s="117" t="n">
        <v>13092</v>
      </c>
      <c r="C1480" s="117" t="inlineStr">
        <is>
          <t>United Kingdom</t>
        </is>
      </c>
      <c r="D1480" s="117" t="inlineStr">
        <is>
          <t>22320</t>
        </is>
      </c>
      <c r="E1480" s="117" t="inlineStr">
        <is>
          <t>BIRDS MOBILE VINTAGE DESIGN</t>
        </is>
      </c>
      <c r="F1480" s="117" t="n">
        <v>3</v>
      </c>
      <c r="G1480" s="118" t="n">
        <v>5.95</v>
      </c>
      <c r="H1480" s="118" t="n">
        <v>17.85</v>
      </c>
      <c r="I1480" s="119" t="n">
        <v>40659</v>
      </c>
    </row>
    <row r="1481">
      <c r="A1481" s="114" t="inlineStr">
        <is>
          <t>551158</t>
        </is>
      </c>
      <c r="B1481" s="114" t="n">
        <v>16823</v>
      </c>
      <c r="C1481" s="114" t="inlineStr">
        <is>
          <t>United Kingdom</t>
        </is>
      </c>
      <c r="D1481" s="114" t="inlineStr">
        <is>
          <t>22303</t>
        </is>
      </c>
      <c r="E1481" s="114" t="inlineStr">
        <is>
          <t>COFFEE MUG APPLES DESIGN</t>
        </is>
      </c>
      <c r="F1481" s="114" t="n">
        <v>6</v>
      </c>
      <c r="G1481" s="115" t="n">
        <v>2.55</v>
      </c>
      <c r="H1481" s="115" t="n">
        <v>15.3</v>
      </c>
      <c r="I1481" s="116" t="n">
        <v>40659</v>
      </c>
    </row>
    <row r="1482">
      <c r="A1482" s="117" t="inlineStr">
        <is>
          <t>551161</t>
        </is>
      </c>
      <c r="B1482" s="117" t="n">
        <v>18183</v>
      </c>
      <c r="C1482" s="117" t="inlineStr">
        <is>
          <t>United Kingdom</t>
        </is>
      </c>
      <c r="D1482" s="117" t="inlineStr">
        <is>
          <t>21936</t>
        </is>
      </c>
      <c r="E1482" s="117" t="inlineStr">
        <is>
          <t>RED RETROSPOT PICNIC BAG</t>
        </is>
      </c>
      <c r="F1482" s="117" t="n">
        <v>5</v>
      </c>
      <c r="G1482" s="118" t="n">
        <v>2.95</v>
      </c>
      <c r="H1482" s="118" t="n">
        <v>14.75</v>
      </c>
      <c r="I1482" s="119" t="n">
        <v>40659</v>
      </c>
    </row>
    <row r="1483">
      <c r="A1483" s="114" t="inlineStr">
        <is>
          <t>551171</t>
        </is>
      </c>
      <c r="B1483" s="114" t="n">
        <v>13263</v>
      </c>
      <c r="C1483" s="114" t="inlineStr">
        <is>
          <t>United Kingdom</t>
        </is>
      </c>
      <c r="D1483" s="114" t="inlineStr">
        <is>
          <t>82551</t>
        </is>
      </c>
      <c r="E1483" s="114" t="inlineStr">
        <is>
          <t>LAUNDRY 15C METAL SIGN</t>
        </is>
      </c>
      <c r="F1483" s="114" t="n">
        <v>1</v>
      </c>
      <c r="G1483" s="115" t="n">
        <v>1.45</v>
      </c>
      <c r="H1483" s="115" t="n">
        <v>1.45</v>
      </c>
      <c r="I1483" s="116" t="n">
        <v>40659</v>
      </c>
    </row>
    <row r="1484">
      <c r="A1484" s="117" t="inlineStr">
        <is>
          <t>551187</t>
        </is>
      </c>
      <c r="B1484" s="117" t="n">
        <v>14911</v>
      </c>
      <c r="C1484" s="117" t="inlineStr">
        <is>
          <t>EIRE</t>
        </is>
      </c>
      <c r="D1484" s="117" t="inlineStr">
        <is>
          <t>22381</t>
        </is>
      </c>
      <c r="E1484" s="117" t="inlineStr">
        <is>
          <t>TOY TIDY PINK POLKADOT</t>
        </is>
      </c>
      <c r="F1484" s="117" t="n">
        <v>50</v>
      </c>
      <c r="G1484" s="118" t="n">
        <v>1.85</v>
      </c>
      <c r="H1484" s="118" t="n">
        <v>92.5</v>
      </c>
      <c r="I1484" s="119" t="n">
        <v>40660</v>
      </c>
    </row>
    <row r="1485">
      <c r="A1485" s="114" t="inlineStr">
        <is>
          <t>551250</t>
        </is>
      </c>
      <c r="B1485" s="114" t="n">
        <v>17841</v>
      </c>
      <c r="C1485" s="114" t="inlineStr">
        <is>
          <t>United Kingdom</t>
        </is>
      </c>
      <c r="D1485" s="114" t="inlineStr">
        <is>
          <t>22775</t>
        </is>
      </c>
      <c r="E1485" s="114" t="inlineStr">
        <is>
          <t>PURPLE DRAWERKNOB ACRYLIC EDWARDIAN</t>
        </is>
      </c>
      <c r="F1485" s="114" t="n">
        <v>24</v>
      </c>
      <c r="G1485" s="115" t="n">
        <v>1.25</v>
      </c>
      <c r="H1485" s="115" t="n">
        <v>30</v>
      </c>
      <c r="I1485" s="116" t="n">
        <v>40660</v>
      </c>
    </row>
    <row r="1486">
      <c r="A1486" s="117" t="inlineStr">
        <is>
          <t>551250</t>
        </is>
      </c>
      <c r="B1486" s="117" t="n">
        <v>17841</v>
      </c>
      <c r="C1486" s="117" t="inlineStr">
        <is>
          <t>United Kingdom</t>
        </is>
      </c>
      <c r="D1486" s="117" t="inlineStr">
        <is>
          <t>22807</t>
        </is>
      </c>
      <c r="E1486" s="117" t="inlineStr">
        <is>
          <t>SET OF 6 T-LIGHTS TOADSTOOLS</t>
        </is>
      </c>
      <c r="F1486" s="117" t="n">
        <v>1</v>
      </c>
      <c r="G1486" s="118" t="n">
        <v>2.95</v>
      </c>
      <c r="H1486" s="118" t="n">
        <v>2.95</v>
      </c>
      <c r="I1486" s="119" t="n">
        <v>40660</v>
      </c>
    </row>
    <row r="1487">
      <c r="A1487" s="114" t="inlineStr">
        <is>
          <t>551259</t>
        </is>
      </c>
      <c r="B1487" s="114" t="n">
        <v>17949</v>
      </c>
      <c r="C1487" s="114" t="inlineStr">
        <is>
          <t>United Kingdom</t>
        </is>
      </c>
      <c r="D1487" s="114" t="inlineStr">
        <is>
          <t>22423</t>
        </is>
      </c>
      <c r="E1487" s="114" t="inlineStr">
        <is>
          <t>REGENCY CAKESTAND 3 TIER</t>
        </is>
      </c>
      <c r="F1487" s="114" t="n">
        <v>150</v>
      </c>
      <c r="G1487" s="115" t="n">
        <v>10.95</v>
      </c>
      <c r="H1487" s="115" t="n">
        <v>1642.5</v>
      </c>
      <c r="I1487" s="116" t="n">
        <v>40660</v>
      </c>
    </row>
    <row r="1488">
      <c r="A1488" s="117" t="inlineStr">
        <is>
          <t>551268</t>
        </is>
      </c>
      <c r="B1488" s="117" t="n">
        <v>16965</v>
      </c>
      <c r="C1488" s="117" t="inlineStr">
        <is>
          <t>United Kingdom</t>
        </is>
      </c>
      <c r="D1488" s="117" t="inlineStr">
        <is>
          <t>35648</t>
        </is>
      </c>
      <c r="E1488" s="117" t="inlineStr">
        <is>
          <t xml:space="preserve">VINTAGE BEAD PINK PURSE </t>
        </is>
      </c>
      <c r="F1488" s="117" t="n">
        <v>3</v>
      </c>
      <c r="G1488" s="118" t="n">
        <v>0.83</v>
      </c>
      <c r="H1488" s="118" t="n">
        <v>2.49</v>
      </c>
      <c r="I1488" s="119" t="n">
        <v>40660</v>
      </c>
    </row>
    <row r="1489">
      <c r="A1489" s="114" t="inlineStr">
        <is>
          <t>551277</t>
        </is>
      </c>
      <c r="B1489" s="114" t="n">
        <v>13637</v>
      </c>
      <c r="C1489" s="114" t="inlineStr">
        <is>
          <t>United Kingdom</t>
        </is>
      </c>
      <c r="D1489" s="114" t="inlineStr">
        <is>
          <t>21155</t>
        </is>
      </c>
      <c r="E1489" s="114" t="inlineStr">
        <is>
          <t>RED RETROSPOT PEG BAG</t>
        </is>
      </c>
      <c r="F1489" s="114" t="n">
        <v>2</v>
      </c>
      <c r="G1489" s="115" t="n">
        <v>2.55</v>
      </c>
      <c r="H1489" s="115" t="n">
        <v>5.1</v>
      </c>
      <c r="I1489" s="116" t="n">
        <v>40660</v>
      </c>
    </row>
    <row r="1490">
      <c r="A1490" s="117" t="inlineStr">
        <is>
          <t>551284</t>
        </is>
      </c>
      <c r="B1490" s="117" t="n">
        <v>15005</v>
      </c>
      <c r="C1490" s="117" t="inlineStr">
        <is>
          <t>United Kingdom</t>
        </is>
      </c>
      <c r="D1490" s="117" t="inlineStr">
        <is>
          <t>21625</t>
        </is>
      </c>
      <c r="E1490" s="117" t="inlineStr">
        <is>
          <t>VINTAGE UNION JACK APRON</t>
        </is>
      </c>
      <c r="F1490" s="117" t="n">
        <v>1</v>
      </c>
      <c r="G1490" s="118" t="n">
        <v>6.95</v>
      </c>
      <c r="H1490" s="118" t="n">
        <v>6.95</v>
      </c>
      <c r="I1490" s="119" t="n">
        <v>40660</v>
      </c>
    </row>
    <row r="1491">
      <c r="A1491" s="114" t="inlineStr">
        <is>
          <t>551289</t>
        </is>
      </c>
      <c r="B1491" s="114" t="n">
        <v>18226</v>
      </c>
      <c r="C1491" s="114" t="inlineStr">
        <is>
          <t>United Kingdom</t>
        </is>
      </c>
      <c r="D1491" s="114" t="inlineStr">
        <is>
          <t>22411</t>
        </is>
      </c>
      <c r="E1491" s="114" t="inlineStr">
        <is>
          <t>JUMBO SHOPPER VINTAGE RED PAISLEY</t>
        </is>
      </c>
      <c r="F1491" s="114" t="n">
        <v>20</v>
      </c>
      <c r="G1491" s="115" t="n">
        <v>2.08</v>
      </c>
      <c r="H1491" s="115" t="n">
        <v>41.6</v>
      </c>
      <c r="I1491" s="116" t="n">
        <v>40660</v>
      </c>
    </row>
    <row r="1492">
      <c r="A1492" s="117" t="inlineStr">
        <is>
          <t>551289</t>
        </is>
      </c>
      <c r="B1492" s="117" t="n">
        <v>18226</v>
      </c>
      <c r="C1492" s="117" t="inlineStr">
        <is>
          <t>United Kingdom</t>
        </is>
      </c>
      <c r="D1492" s="117" t="inlineStr">
        <is>
          <t>22602</t>
        </is>
      </c>
      <c r="E1492" s="117" t="inlineStr">
        <is>
          <t>RETROSPOT WOODEN HEART DECORATION</t>
        </is>
      </c>
      <c r="F1492" s="117" t="n">
        <v>24</v>
      </c>
      <c r="G1492" s="118" t="n">
        <v>0.85</v>
      </c>
      <c r="H1492" s="118" t="n">
        <v>20.4</v>
      </c>
      <c r="I1492" s="119" t="n">
        <v>40660</v>
      </c>
    </row>
    <row r="1493">
      <c r="A1493" s="114" t="inlineStr">
        <is>
          <t>551291</t>
        </is>
      </c>
      <c r="B1493" s="114" t="n">
        <v>14298</v>
      </c>
      <c r="C1493" s="114" t="inlineStr">
        <is>
          <t>United Kingdom</t>
        </is>
      </c>
      <c r="D1493" s="114" t="inlineStr">
        <is>
          <t>79302M</t>
        </is>
      </c>
      <c r="E1493" s="114" t="inlineStr">
        <is>
          <t>ART LIGHTS,FUNK MONKEY</t>
        </is>
      </c>
      <c r="F1493" s="114" t="n">
        <v>12</v>
      </c>
      <c r="G1493" s="115" t="n">
        <v>2.55</v>
      </c>
      <c r="H1493" s="115" t="n">
        <v>30.6</v>
      </c>
      <c r="I1493" s="116" t="n">
        <v>40660</v>
      </c>
    </row>
    <row r="1494">
      <c r="A1494" s="117" t="inlineStr">
        <is>
          <t>551291</t>
        </is>
      </c>
      <c r="B1494" s="117" t="n">
        <v>14298</v>
      </c>
      <c r="C1494" s="117" t="inlineStr">
        <is>
          <t>United Kingdom</t>
        </is>
      </c>
      <c r="D1494" s="117" t="inlineStr">
        <is>
          <t>21933</t>
        </is>
      </c>
      <c r="E1494" s="117" t="inlineStr">
        <is>
          <t>PINK VINTAGE PAISLEY PICNIC BAG</t>
        </is>
      </c>
      <c r="F1494" s="117" t="n">
        <v>10</v>
      </c>
      <c r="G1494" s="118" t="n">
        <v>1.65</v>
      </c>
      <c r="H1494" s="118" t="n">
        <v>16.5</v>
      </c>
      <c r="I1494" s="119" t="n">
        <v>40660</v>
      </c>
    </row>
    <row r="1495">
      <c r="A1495" s="114" t="inlineStr">
        <is>
          <t>551332</t>
        </is>
      </c>
      <c r="B1495" s="114" t="n">
        <v>13078</v>
      </c>
      <c r="C1495" s="114" t="inlineStr">
        <is>
          <t>United Kingdom</t>
        </is>
      </c>
      <c r="D1495" s="114" t="inlineStr">
        <is>
          <t>85152</t>
        </is>
      </c>
      <c r="E1495" s="114" t="inlineStr">
        <is>
          <t xml:space="preserve">HAND OVER THE CHOCOLATE   SIGN </t>
        </is>
      </c>
      <c r="F1495" s="114" t="n">
        <v>12</v>
      </c>
      <c r="G1495" s="115" t="n">
        <v>2.1</v>
      </c>
      <c r="H1495" s="115" t="n">
        <v>25.2</v>
      </c>
      <c r="I1495" s="116" t="n">
        <v>40660</v>
      </c>
    </row>
    <row r="1496">
      <c r="A1496" s="117" t="inlineStr">
        <is>
          <t>551351</t>
        </is>
      </c>
      <c r="B1496" s="117" t="n">
        <v>14298</v>
      </c>
      <c r="C1496" s="117" t="inlineStr">
        <is>
          <t>United Kingdom</t>
        </is>
      </c>
      <c r="D1496" s="117" t="inlineStr">
        <is>
          <t>84836</t>
        </is>
      </c>
      <c r="E1496" s="117" t="inlineStr">
        <is>
          <t>ZINC METAL HEART DECORATION</t>
        </is>
      </c>
      <c r="F1496" s="117" t="n">
        <v>12</v>
      </c>
      <c r="G1496" s="118" t="n">
        <v>1.06</v>
      </c>
      <c r="H1496" s="118" t="n">
        <v>12.72</v>
      </c>
      <c r="I1496" s="119" t="n">
        <v>40661</v>
      </c>
    </row>
    <row r="1497">
      <c r="A1497" s="114" t="inlineStr">
        <is>
          <t>551385</t>
        </is>
      </c>
      <c r="B1497" s="114" t="n">
        <v>16814</v>
      </c>
      <c r="C1497" s="114" t="inlineStr">
        <is>
          <t>United Kingdom</t>
        </is>
      </c>
      <c r="D1497" s="114" t="inlineStr">
        <is>
          <t>21671</t>
        </is>
      </c>
      <c r="E1497" s="114" t="inlineStr">
        <is>
          <t>RED SPOT CERAMIC DRAWER KNOB</t>
        </is>
      </c>
      <c r="F1497" s="114" t="n">
        <v>6</v>
      </c>
      <c r="G1497" s="115" t="n">
        <v>1.25</v>
      </c>
      <c r="H1497" s="115" t="n">
        <v>7.5</v>
      </c>
      <c r="I1497" s="116" t="n">
        <v>40661</v>
      </c>
    </row>
    <row r="1498">
      <c r="A1498" s="117" t="inlineStr">
        <is>
          <t>551389</t>
        </is>
      </c>
      <c r="B1498" s="117" t="n">
        <v>12437</v>
      </c>
      <c r="C1498" s="117" t="inlineStr">
        <is>
          <t>France</t>
        </is>
      </c>
      <c r="D1498" s="117" t="inlineStr">
        <is>
          <t>POST</t>
        </is>
      </c>
      <c r="E1498" s="117" t="inlineStr">
        <is>
          <t>POSTAGE</t>
        </is>
      </c>
      <c r="F1498" s="117" t="n">
        <v>1</v>
      </c>
      <c r="G1498" s="118" t="n">
        <v>18</v>
      </c>
      <c r="H1498" s="118" t="n">
        <v>18</v>
      </c>
      <c r="I1498" s="119" t="n">
        <v>40661</v>
      </c>
    </row>
    <row r="1499">
      <c r="A1499" s="114" t="inlineStr">
        <is>
          <t>551390</t>
        </is>
      </c>
      <c r="B1499" s="114" t="n">
        <v>15143</v>
      </c>
      <c r="C1499" s="114" t="inlineStr">
        <is>
          <t>United Kingdom</t>
        </is>
      </c>
      <c r="D1499" s="114" t="inlineStr">
        <is>
          <t>22077</t>
        </is>
      </c>
      <c r="E1499" s="114" t="inlineStr">
        <is>
          <t>6 RIBBONS RUSTIC CHARM</t>
        </is>
      </c>
      <c r="F1499" s="114" t="n">
        <v>12</v>
      </c>
      <c r="G1499" s="115" t="n">
        <v>1.65</v>
      </c>
      <c r="H1499" s="115" t="n">
        <v>19.8</v>
      </c>
      <c r="I1499" s="116" t="n">
        <v>40661</v>
      </c>
    </row>
    <row r="1500">
      <c r="A1500" s="117" t="inlineStr">
        <is>
          <t>551391</t>
        </is>
      </c>
      <c r="B1500" s="117" t="n">
        <v>15514</v>
      </c>
      <c r="C1500" s="117" t="inlineStr">
        <is>
          <t>United Kingdom</t>
        </is>
      </c>
      <c r="D1500" s="117" t="inlineStr">
        <is>
          <t>22970</t>
        </is>
      </c>
      <c r="E1500" s="117" t="inlineStr">
        <is>
          <t>LONDON BUS COFFEE MUG</t>
        </is>
      </c>
      <c r="F1500" s="117" t="n">
        <v>6</v>
      </c>
      <c r="G1500" s="118" t="n">
        <v>2.55</v>
      </c>
      <c r="H1500" s="118" t="n">
        <v>15.3</v>
      </c>
      <c r="I1500" s="119" t="n">
        <v>40661</v>
      </c>
    </row>
    <row r="1501">
      <c r="A1501" s="114" t="inlineStr">
        <is>
          <t>551396</t>
        </is>
      </c>
      <c r="B1501" s="114" t="n">
        <v>17720</v>
      </c>
      <c r="C1501" s="114" t="inlineStr">
        <is>
          <t>United Kingdom</t>
        </is>
      </c>
      <c r="D1501" s="114" t="inlineStr">
        <is>
          <t>22087</t>
        </is>
      </c>
      <c r="E1501" s="114" t="inlineStr">
        <is>
          <t>PAPER BUNTING WHITE LACE</t>
        </is>
      </c>
      <c r="F1501" s="114" t="n">
        <v>6</v>
      </c>
      <c r="G1501" s="115" t="n">
        <v>2.95</v>
      </c>
      <c r="H1501" s="115" t="n">
        <v>17.7</v>
      </c>
      <c r="I1501" s="116" t="n">
        <v>40661</v>
      </c>
    </row>
    <row r="1502">
      <c r="A1502" s="117" t="inlineStr">
        <is>
          <t>551396</t>
        </is>
      </c>
      <c r="B1502" s="117" t="n">
        <v>17720</v>
      </c>
      <c r="C1502" s="117" t="inlineStr">
        <is>
          <t>United Kingdom</t>
        </is>
      </c>
      <c r="D1502" s="117" t="inlineStr">
        <is>
          <t>84945</t>
        </is>
      </c>
      <c r="E1502" s="117" t="inlineStr">
        <is>
          <t>MULTI COLOUR SILVER T-LIGHT HOLDER</t>
        </is>
      </c>
      <c r="F1502" s="117" t="n">
        <v>12</v>
      </c>
      <c r="G1502" s="118" t="n">
        <v>0.85</v>
      </c>
      <c r="H1502" s="118" t="n">
        <v>10.2</v>
      </c>
      <c r="I1502" s="119" t="n">
        <v>40661</v>
      </c>
    </row>
    <row r="1503">
      <c r="A1503" s="114" t="inlineStr">
        <is>
          <t>551400</t>
        </is>
      </c>
      <c r="B1503" s="114" t="n">
        <v>17160</v>
      </c>
      <c r="C1503" s="114" t="inlineStr">
        <is>
          <t>United Kingdom</t>
        </is>
      </c>
      <c r="D1503" s="114" t="inlineStr">
        <is>
          <t>21932</t>
        </is>
      </c>
      <c r="E1503" s="114" t="inlineStr">
        <is>
          <t>SCANDINAVIAN PAISLEY PICNIC BAG</t>
        </is>
      </c>
      <c r="F1503" s="114" t="n">
        <v>10</v>
      </c>
      <c r="G1503" s="115" t="n">
        <v>1.65</v>
      </c>
      <c r="H1503" s="115" t="n">
        <v>16.5</v>
      </c>
      <c r="I1503" s="116" t="n">
        <v>40661</v>
      </c>
    </row>
    <row r="1504">
      <c r="A1504" s="117" t="inlineStr">
        <is>
          <t>551417</t>
        </is>
      </c>
      <c r="B1504" s="117" t="n">
        <v>15632</v>
      </c>
      <c r="C1504" s="117" t="inlineStr">
        <is>
          <t>United Kingdom</t>
        </is>
      </c>
      <c r="D1504" s="117" t="inlineStr">
        <is>
          <t>22570</t>
        </is>
      </c>
      <c r="E1504" s="117" t="inlineStr">
        <is>
          <t>FELTCRAFT CUSHION RABBIT</t>
        </is>
      </c>
      <c r="F1504" s="117" t="n">
        <v>4</v>
      </c>
      <c r="G1504" s="118" t="n">
        <v>3.75</v>
      </c>
      <c r="H1504" s="118" t="n">
        <v>15</v>
      </c>
      <c r="I1504" s="119" t="n">
        <v>40661</v>
      </c>
    </row>
    <row r="1505">
      <c r="A1505" s="114" t="inlineStr">
        <is>
          <t>551426</t>
        </is>
      </c>
      <c r="B1505" s="114" t="n">
        <v>14022</v>
      </c>
      <c r="C1505" s="114" t="inlineStr">
        <is>
          <t>United Kingdom</t>
        </is>
      </c>
      <c r="D1505" s="114" t="inlineStr">
        <is>
          <t>21977</t>
        </is>
      </c>
      <c r="E1505" s="114" t="inlineStr">
        <is>
          <t>PACK OF 60 PINK PAISLEY CAKE CASES</t>
        </is>
      </c>
      <c r="F1505" s="114" t="n">
        <v>24</v>
      </c>
      <c r="G1505" s="115" t="n">
        <v>0.55</v>
      </c>
      <c r="H1505" s="115" t="n">
        <v>13.2</v>
      </c>
      <c r="I1505" s="116" t="n">
        <v>40661</v>
      </c>
    </row>
    <row r="1506">
      <c r="A1506" s="117" t="inlineStr">
        <is>
          <t>551428</t>
        </is>
      </c>
      <c r="B1506" s="117" t="n">
        <v>13499</v>
      </c>
      <c r="C1506" s="117" t="inlineStr">
        <is>
          <t>United Kingdom</t>
        </is>
      </c>
      <c r="D1506" s="117" t="inlineStr">
        <is>
          <t>21929</t>
        </is>
      </c>
      <c r="E1506" s="117" t="inlineStr">
        <is>
          <t>JUMBO BAG PINK VINTAGE PAISLEY</t>
        </is>
      </c>
      <c r="F1506" s="117" t="n">
        <v>20</v>
      </c>
      <c r="G1506" s="118" t="n">
        <v>2.08</v>
      </c>
      <c r="H1506" s="118" t="n">
        <v>41.6</v>
      </c>
      <c r="I1506" s="119" t="n">
        <v>40661</v>
      </c>
    </row>
    <row r="1507">
      <c r="A1507" s="114" t="inlineStr">
        <is>
          <t>551516</t>
        </is>
      </c>
      <c r="B1507" s="114" t="n">
        <v>14800</v>
      </c>
      <c r="C1507" s="114" t="inlineStr">
        <is>
          <t>United Kingdom</t>
        </is>
      </c>
      <c r="D1507" s="114" t="inlineStr">
        <is>
          <t>22139</t>
        </is>
      </c>
      <c r="E1507" s="114" t="inlineStr">
        <is>
          <t xml:space="preserve">RETROSPOT TEA SET CERAMIC 11 PC </t>
        </is>
      </c>
      <c r="F1507" s="114" t="n">
        <v>24</v>
      </c>
      <c r="G1507" s="115" t="n">
        <v>4.25</v>
      </c>
      <c r="H1507" s="115" t="n">
        <v>102</v>
      </c>
      <c r="I1507" s="116" t="n">
        <v>40664</v>
      </c>
    </row>
    <row r="1508">
      <c r="A1508" s="117" t="inlineStr">
        <is>
          <t>551516</t>
        </is>
      </c>
      <c r="B1508" s="117" t="n">
        <v>14800</v>
      </c>
      <c r="C1508" s="117" t="inlineStr">
        <is>
          <t>United Kingdom</t>
        </is>
      </c>
      <c r="D1508" s="117" t="inlineStr">
        <is>
          <t>21718</t>
        </is>
      </c>
      <c r="E1508" s="117" t="inlineStr">
        <is>
          <t xml:space="preserve">RED METAL BEACH SPADE </t>
        </is>
      </c>
      <c r="F1508" s="117" t="n">
        <v>10</v>
      </c>
      <c r="G1508" s="118" t="n">
        <v>1.25</v>
      </c>
      <c r="H1508" s="118" t="n">
        <v>12.5</v>
      </c>
      <c r="I1508" s="119" t="n">
        <v>40664</v>
      </c>
    </row>
    <row r="1509">
      <c r="A1509" s="114" t="inlineStr">
        <is>
          <t>551516</t>
        </is>
      </c>
      <c r="B1509" s="114" t="n">
        <v>14800</v>
      </c>
      <c r="C1509" s="114" t="inlineStr">
        <is>
          <t>United Kingdom</t>
        </is>
      </c>
      <c r="D1509" s="114" t="inlineStr">
        <is>
          <t>20970</t>
        </is>
      </c>
      <c r="E1509" s="114" t="inlineStr">
        <is>
          <t>PINK FLORAL FELTCRAFT SHOULDER BAG</t>
        </is>
      </c>
      <c r="F1509" s="114" t="n">
        <v>4</v>
      </c>
      <c r="G1509" s="115" t="n">
        <v>3.75</v>
      </c>
      <c r="H1509" s="115" t="n">
        <v>15</v>
      </c>
      <c r="I1509" s="116" t="n">
        <v>40664</v>
      </c>
    </row>
    <row r="1510">
      <c r="A1510" s="117" t="inlineStr">
        <is>
          <t>551516</t>
        </is>
      </c>
      <c r="B1510" s="117" t="n">
        <v>14800</v>
      </c>
      <c r="C1510" s="117" t="inlineStr">
        <is>
          <t>United Kingdom</t>
        </is>
      </c>
      <c r="D1510" s="117" t="inlineStr">
        <is>
          <t>21912</t>
        </is>
      </c>
      <c r="E1510" s="117" t="inlineStr">
        <is>
          <t>VINTAGE SNAKES &amp; LADDERS</t>
        </is>
      </c>
      <c r="F1510" s="117" t="n">
        <v>1</v>
      </c>
      <c r="G1510" s="118" t="n">
        <v>3.75</v>
      </c>
      <c r="H1510" s="118" t="n">
        <v>3.75</v>
      </c>
      <c r="I1510" s="119" t="n">
        <v>40664</v>
      </c>
    </row>
    <row r="1511">
      <c r="A1511" s="114" t="inlineStr">
        <is>
          <t>551516</t>
        </is>
      </c>
      <c r="B1511" s="114" t="n">
        <v>14800</v>
      </c>
      <c r="C1511" s="114" t="inlineStr">
        <is>
          <t>United Kingdom</t>
        </is>
      </c>
      <c r="D1511" s="114" t="inlineStr">
        <is>
          <t>22560</t>
        </is>
      </c>
      <c r="E1511" s="114" t="inlineStr">
        <is>
          <t>TRADITIONAL MODELLING CLAY</t>
        </is>
      </c>
      <c r="F1511" s="114" t="n">
        <v>24</v>
      </c>
      <c r="G1511" s="115" t="n">
        <v>1.25</v>
      </c>
      <c r="H1511" s="115" t="n">
        <v>30</v>
      </c>
      <c r="I1511" s="116" t="n">
        <v>40664</v>
      </c>
    </row>
    <row r="1512">
      <c r="A1512" s="117" t="inlineStr">
        <is>
          <t>551518</t>
        </is>
      </c>
      <c r="B1512" s="117" t="n">
        <v>15708</v>
      </c>
      <c r="C1512" s="117" t="inlineStr">
        <is>
          <t>United Kingdom</t>
        </is>
      </c>
      <c r="D1512" s="117" t="inlineStr">
        <is>
          <t>22488</t>
        </is>
      </c>
      <c r="E1512" s="117" t="inlineStr">
        <is>
          <t>NATURAL SLATE RECTANGLE CHALKBOARD</t>
        </is>
      </c>
      <c r="F1512" s="117" t="n">
        <v>7</v>
      </c>
      <c r="G1512" s="118" t="n">
        <v>1.65</v>
      </c>
      <c r="H1512" s="118" t="n">
        <v>11.55</v>
      </c>
      <c r="I1512" s="119" t="n">
        <v>40664</v>
      </c>
    </row>
    <row r="1513">
      <c r="A1513" s="114" t="inlineStr">
        <is>
          <t>551524</t>
        </is>
      </c>
      <c r="B1513" s="114" t="n">
        <v>16401</v>
      </c>
      <c r="C1513" s="114" t="inlineStr">
        <is>
          <t>United Kingdom</t>
        </is>
      </c>
      <c r="D1513" s="114" t="inlineStr">
        <is>
          <t>22554</t>
        </is>
      </c>
      <c r="E1513" s="114" t="inlineStr">
        <is>
          <t>PLASTERS IN TIN WOODLAND ANIMALS</t>
        </is>
      </c>
      <c r="F1513" s="114" t="n">
        <v>24</v>
      </c>
      <c r="G1513" s="115" t="n">
        <v>1.65</v>
      </c>
      <c r="H1513" s="115" t="n">
        <v>39.6</v>
      </c>
      <c r="I1513" s="116" t="n">
        <v>40664</v>
      </c>
    </row>
    <row r="1514">
      <c r="A1514" s="117" t="inlineStr">
        <is>
          <t>551529</t>
        </is>
      </c>
      <c r="B1514" s="117" t="n">
        <v>12524</v>
      </c>
      <c r="C1514" s="117" t="inlineStr">
        <is>
          <t>Germany</t>
        </is>
      </c>
      <c r="D1514" s="117" t="inlineStr">
        <is>
          <t>22745</t>
        </is>
      </c>
      <c r="E1514" s="117" t="inlineStr">
        <is>
          <t xml:space="preserve">POPPY'S PLAYHOUSE BEDROOM </t>
        </is>
      </c>
      <c r="F1514" s="117" t="n">
        <v>6</v>
      </c>
      <c r="G1514" s="118" t="n">
        <v>2.1</v>
      </c>
      <c r="H1514" s="118" t="n">
        <v>12.6</v>
      </c>
      <c r="I1514" s="119" t="n">
        <v>40664</v>
      </c>
    </row>
    <row r="1515">
      <c r="A1515" s="114" t="inlineStr">
        <is>
          <t>551533</t>
        </is>
      </c>
      <c r="B1515" s="114" t="n">
        <v>15407</v>
      </c>
      <c r="C1515" s="114" t="inlineStr">
        <is>
          <t>United Kingdom</t>
        </is>
      </c>
      <c r="D1515" s="114" t="inlineStr">
        <is>
          <t>84692</t>
        </is>
      </c>
      <c r="E1515" s="114" t="inlineStr">
        <is>
          <t>BOX OF 24 COCKTAIL PARASOLS</t>
        </is>
      </c>
      <c r="F1515" s="114" t="n">
        <v>1</v>
      </c>
      <c r="G1515" s="115" t="n">
        <v>0.42</v>
      </c>
      <c r="H1515" s="115" t="n">
        <v>0.42</v>
      </c>
      <c r="I1515" s="116" t="n">
        <v>40664</v>
      </c>
    </row>
    <row r="1516">
      <c r="A1516" s="117" t="inlineStr">
        <is>
          <t>551543</t>
        </is>
      </c>
      <c r="B1516" s="117" t="n">
        <v>16055</v>
      </c>
      <c r="C1516" s="117" t="inlineStr">
        <is>
          <t>United Kingdom</t>
        </is>
      </c>
      <c r="D1516" s="117" t="inlineStr">
        <is>
          <t>22457</t>
        </is>
      </c>
      <c r="E1516" s="117" t="inlineStr">
        <is>
          <t xml:space="preserve">NATURAL SLATE HEART CHALKBOARD </t>
        </is>
      </c>
      <c r="F1516" s="117" t="n">
        <v>6</v>
      </c>
      <c r="G1516" s="118" t="n">
        <v>2.95</v>
      </c>
      <c r="H1516" s="118" t="n">
        <v>17.7</v>
      </c>
      <c r="I1516" s="119" t="n">
        <v>40666</v>
      </c>
    </row>
    <row r="1517">
      <c r="A1517" s="114" t="inlineStr">
        <is>
          <t>551548</t>
        </is>
      </c>
      <c r="B1517" s="114" t="n">
        <v>14149</v>
      </c>
      <c r="C1517" s="114" t="inlineStr">
        <is>
          <t>United Kingdom</t>
        </is>
      </c>
      <c r="D1517" s="114" t="inlineStr">
        <is>
          <t>84931A</t>
        </is>
      </c>
      <c r="E1517" s="114" t="inlineStr">
        <is>
          <t>PINK SCOTTIE DOG W FLOWER PATTERN</t>
        </is>
      </c>
      <c r="F1517" s="114" t="n">
        <v>6</v>
      </c>
      <c r="G1517" s="115" t="n">
        <v>2.55</v>
      </c>
      <c r="H1517" s="115" t="n">
        <v>15.3</v>
      </c>
      <c r="I1517" s="116" t="n">
        <v>40666</v>
      </c>
    </row>
    <row r="1518">
      <c r="A1518" s="117" t="inlineStr">
        <is>
          <t>551558</t>
        </is>
      </c>
      <c r="B1518" s="117" t="n">
        <v>17841</v>
      </c>
      <c r="C1518" s="117" t="inlineStr">
        <is>
          <t>United Kingdom</t>
        </is>
      </c>
      <c r="D1518" s="117" t="inlineStr">
        <is>
          <t>23206</t>
        </is>
      </c>
      <c r="E1518" s="117" t="inlineStr">
        <is>
          <t>LUNCH BAG APPLE DESIGN</t>
        </is>
      </c>
      <c r="F1518" s="117" t="n">
        <v>2</v>
      </c>
      <c r="G1518" s="118" t="n">
        <v>1.65</v>
      </c>
      <c r="H1518" s="118" t="n">
        <v>3.3</v>
      </c>
      <c r="I1518" s="119" t="n">
        <v>40666</v>
      </c>
    </row>
    <row r="1519">
      <c r="A1519" s="114" t="inlineStr">
        <is>
          <t>551616</t>
        </is>
      </c>
      <c r="B1519" s="114" t="n">
        <v>15048</v>
      </c>
      <c r="C1519" s="114" t="inlineStr">
        <is>
          <t>United Kingdom</t>
        </is>
      </c>
      <c r="D1519" s="114" t="inlineStr">
        <is>
          <t>47599A</t>
        </is>
      </c>
      <c r="E1519" s="114" t="inlineStr">
        <is>
          <t>PINK PARTY BAGS</t>
        </is>
      </c>
      <c r="F1519" s="114" t="n">
        <v>1</v>
      </c>
      <c r="G1519" s="115" t="n">
        <v>2.1</v>
      </c>
      <c r="H1519" s="115" t="n">
        <v>2.1</v>
      </c>
      <c r="I1519" s="116" t="n">
        <v>40666</v>
      </c>
    </row>
    <row r="1520">
      <c r="A1520" s="117" t="inlineStr">
        <is>
          <t>551650</t>
        </is>
      </c>
      <c r="B1520" s="117" t="n">
        <v>13089</v>
      </c>
      <c r="C1520" s="117" t="inlineStr">
        <is>
          <t>United Kingdom</t>
        </is>
      </c>
      <c r="D1520" s="117" t="inlineStr">
        <is>
          <t>21670</t>
        </is>
      </c>
      <c r="E1520" s="117" t="inlineStr">
        <is>
          <t>BLUE SPOT CERAMIC DRAWER KNOB</t>
        </is>
      </c>
      <c r="F1520" s="117" t="n">
        <v>12</v>
      </c>
      <c r="G1520" s="118" t="n">
        <v>1.25</v>
      </c>
      <c r="H1520" s="118" t="n">
        <v>15</v>
      </c>
      <c r="I1520" s="119" t="n">
        <v>40666</v>
      </c>
    </row>
    <row r="1521">
      <c r="A1521" s="114" t="inlineStr">
        <is>
          <t>551656</t>
        </is>
      </c>
      <c r="B1521" s="114" t="n">
        <v>14911</v>
      </c>
      <c r="C1521" s="114" t="inlineStr">
        <is>
          <t>EIRE</t>
        </is>
      </c>
      <c r="D1521" s="114" t="inlineStr">
        <is>
          <t>22607</t>
        </is>
      </c>
      <c r="E1521" s="114" t="inlineStr">
        <is>
          <t xml:space="preserve">WOODEN ROUNDERS GARDEN SET </t>
        </is>
      </c>
      <c r="F1521" s="114" t="n">
        <v>2</v>
      </c>
      <c r="G1521" s="115" t="n">
        <v>9.949999999999999</v>
      </c>
      <c r="H1521" s="115" t="n">
        <v>19.9</v>
      </c>
      <c r="I1521" s="116" t="n">
        <v>40666</v>
      </c>
    </row>
    <row r="1522">
      <c r="A1522" s="117" t="inlineStr">
        <is>
          <t>551657</t>
        </is>
      </c>
      <c r="B1522" s="117" t="n">
        <v>14911</v>
      </c>
      <c r="C1522" s="117" t="inlineStr">
        <is>
          <t>EIRE</t>
        </is>
      </c>
      <c r="D1522" s="117" t="inlineStr">
        <is>
          <t>22699</t>
        </is>
      </c>
      <c r="E1522" s="117" t="inlineStr">
        <is>
          <t xml:space="preserve">ROSES REGENCY TEACUP AND SAUCER </t>
        </is>
      </c>
      <c r="F1522" s="117" t="n">
        <v>6</v>
      </c>
      <c r="G1522" s="118" t="n">
        <v>2.95</v>
      </c>
      <c r="H1522" s="118" t="n">
        <v>17.7</v>
      </c>
      <c r="I1522" s="119" t="n">
        <v>40666</v>
      </c>
    </row>
    <row r="1523">
      <c r="A1523" s="114" t="inlineStr">
        <is>
          <t>551665</t>
        </is>
      </c>
      <c r="B1523" s="114" t="n">
        <v>17442</v>
      </c>
      <c r="C1523" s="114" t="inlineStr">
        <is>
          <t>United Kingdom</t>
        </is>
      </c>
      <c r="D1523" s="114" t="inlineStr">
        <is>
          <t>23201</t>
        </is>
      </c>
      <c r="E1523" s="114" t="inlineStr">
        <is>
          <t>JUMBO BAG ALPHABET</t>
        </is>
      </c>
      <c r="F1523" s="114" t="n">
        <v>10</v>
      </c>
      <c r="G1523" s="115" t="n">
        <v>2.08</v>
      </c>
      <c r="H1523" s="115" t="n">
        <v>20.8</v>
      </c>
      <c r="I1523" s="116" t="n">
        <v>40666</v>
      </c>
    </row>
    <row r="1524">
      <c r="A1524" s="117" t="inlineStr">
        <is>
          <t>551696</t>
        </is>
      </c>
      <c r="B1524" s="117" t="n">
        <v>14110</v>
      </c>
      <c r="C1524" s="117" t="inlineStr">
        <is>
          <t>United Kingdom</t>
        </is>
      </c>
      <c r="D1524" s="117" t="inlineStr">
        <is>
          <t>21169</t>
        </is>
      </c>
      <c r="E1524" s="117" t="inlineStr">
        <is>
          <t xml:space="preserve">YOU'RE CONFUSING ME METAL SIGN </t>
        </is>
      </c>
      <c r="F1524" s="117" t="n">
        <v>12</v>
      </c>
      <c r="G1524" s="118" t="n">
        <v>1.69</v>
      </c>
      <c r="H1524" s="118" t="n">
        <v>20.28</v>
      </c>
      <c r="I1524" s="119" t="n">
        <v>40666</v>
      </c>
    </row>
    <row r="1525">
      <c r="A1525" s="114" t="inlineStr">
        <is>
          <t>551714</t>
        </is>
      </c>
      <c r="B1525" s="114" t="n">
        <v>16806</v>
      </c>
      <c r="C1525" s="114" t="inlineStr">
        <is>
          <t>United Kingdom</t>
        </is>
      </c>
      <c r="D1525" s="114" t="inlineStr">
        <is>
          <t>22171</t>
        </is>
      </c>
      <c r="E1525" s="114" t="inlineStr">
        <is>
          <t>3 HOOK PHOTO SHELF ANTIQUE WHITE</t>
        </is>
      </c>
      <c r="F1525" s="114" t="n">
        <v>2</v>
      </c>
      <c r="G1525" s="115" t="n">
        <v>8.5</v>
      </c>
      <c r="H1525" s="115" t="n">
        <v>17</v>
      </c>
      <c r="I1525" s="116" t="n">
        <v>40666</v>
      </c>
    </row>
    <row r="1526">
      <c r="A1526" s="117" t="inlineStr">
        <is>
          <t>551717</t>
        </is>
      </c>
      <c r="B1526" s="117" t="n">
        <v>13263</v>
      </c>
      <c r="C1526" s="117" t="inlineStr">
        <is>
          <t>United Kingdom</t>
        </is>
      </c>
      <c r="D1526" s="117" t="inlineStr">
        <is>
          <t>22697</t>
        </is>
      </c>
      <c r="E1526" s="117" t="inlineStr">
        <is>
          <t>GREEN REGENCY TEACUP AND SAUCER</t>
        </is>
      </c>
      <c r="F1526" s="117" t="n">
        <v>1</v>
      </c>
      <c r="G1526" s="118" t="n">
        <v>2.95</v>
      </c>
      <c r="H1526" s="118" t="n">
        <v>2.95</v>
      </c>
      <c r="I1526" s="119" t="n">
        <v>40666</v>
      </c>
    </row>
    <row r="1527">
      <c r="A1527" s="114" t="inlineStr">
        <is>
          <t>551721</t>
        </is>
      </c>
      <c r="B1527" s="114" t="n">
        <v>14711</v>
      </c>
      <c r="C1527" s="114" t="inlineStr">
        <is>
          <t>United Kingdom</t>
        </is>
      </c>
      <c r="D1527" s="114" t="inlineStr">
        <is>
          <t>84406B</t>
        </is>
      </c>
      <c r="E1527" s="114" t="inlineStr">
        <is>
          <t>CREAM CUPID HEARTS COAT HANGER</t>
        </is>
      </c>
      <c r="F1527" s="114" t="n">
        <v>2</v>
      </c>
      <c r="G1527" s="115" t="n">
        <v>4.15</v>
      </c>
      <c r="H1527" s="115" t="n">
        <v>8.300000000000001</v>
      </c>
      <c r="I1527" s="116" t="n">
        <v>40666</v>
      </c>
    </row>
    <row r="1528">
      <c r="A1528" s="117" t="inlineStr">
        <is>
          <t>551724</t>
        </is>
      </c>
      <c r="B1528" s="117" t="n">
        <v>15976</v>
      </c>
      <c r="C1528" s="117" t="inlineStr">
        <is>
          <t>United Kingdom</t>
        </is>
      </c>
      <c r="D1528" s="117" t="inlineStr">
        <is>
          <t>22274</t>
        </is>
      </c>
      <c r="E1528" s="117" t="inlineStr">
        <is>
          <t>FELTCRAFT DOLL EMILY</t>
        </is>
      </c>
      <c r="F1528" s="117" t="n">
        <v>1</v>
      </c>
      <c r="G1528" s="118" t="n">
        <v>2.95</v>
      </c>
      <c r="H1528" s="118" t="n">
        <v>2.95</v>
      </c>
      <c r="I1528" s="119" t="n">
        <v>40666</v>
      </c>
    </row>
    <row r="1529">
      <c r="A1529" s="114" t="inlineStr">
        <is>
          <t>551724</t>
        </is>
      </c>
      <c r="B1529" s="114" t="n">
        <v>15976</v>
      </c>
      <c r="C1529" s="114" t="inlineStr">
        <is>
          <t>United Kingdom</t>
        </is>
      </c>
      <c r="D1529" s="114" t="inlineStr">
        <is>
          <t>21165</t>
        </is>
      </c>
      <c r="E1529" s="114" t="inlineStr">
        <is>
          <t xml:space="preserve">BEWARE OF THE CAT METAL SIGN </t>
        </is>
      </c>
      <c r="F1529" s="114" t="n">
        <v>2</v>
      </c>
      <c r="G1529" s="115" t="n">
        <v>1.69</v>
      </c>
      <c r="H1529" s="115" t="n">
        <v>3.38</v>
      </c>
      <c r="I1529" s="116" t="n">
        <v>40666</v>
      </c>
    </row>
    <row r="1530">
      <c r="A1530" s="117" t="inlineStr">
        <is>
          <t>551727</t>
        </is>
      </c>
      <c r="B1530" s="117" t="n">
        <v>14245</v>
      </c>
      <c r="C1530" s="117" t="inlineStr">
        <is>
          <t>United Kingdom</t>
        </is>
      </c>
      <c r="D1530" s="117" t="inlineStr">
        <is>
          <t>84882</t>
        </is>
      </c>
      <c r="E1530" s="117" t="inlineStr">
        <is>
          <t>GREEN WIRE STANDING CANDLE HOLDER</t>
        </is>
      </c>
      <c r="F1530" s="117" t="n">
        <v>4</v>
      </c>
      <c r="G1530" s="118" t="n">
        <v>3.75</v>
      </c>
      <c r="H1530" s="118" t="n">
        <v>15</v>
      </c>
      <c r="I1530" s="119" t="n">
        <v>40667</v>
      </c>
    </row>
    <row r="1531">
      <c r="A1531" s="114" t="inlineStr">
        <is>
          <t>551731</t>
        </is>
      </c>
      <c r="B1531" s="114" t="n">
        <v>14307</v>
      </c>
      <c r="C1531" s="114" t="inlineStr">
        <is>
          <t>United Kingdom</t>
        </is>
      </c>
      <c r="D1531" s="114" t="inlineStr">
        <is>
          <t>21498</t>
        </is>
      </c>
      <c r="E1531" s="114" t="inlineStr">
        <is>
          <t xml:space="preserve">RED RETROSPOT WRAP </t>
        </is>
      </c>
      <c r="F1531" s="114" t="n">
        <v>25</v>
      </c>
      <c r="G1531" s="115" t="n">
        <v>0.42</v>
      </c>
      <c r="H1531" s="115" t="n">
        <v>10.5</v>
      </c>
      <c r="I1531" s="116" t="n">
        <v>40667</v>
      </c>
    </row>
    <row r="1532">
      <c r="A1532" s="117" t="inlineStr">
        <is>
          <t>551774</t>
        </is>
      </c>
      <c r="B1532" s="117" t="n">
        <v>14606</v>
      </c>
      <c r="C1532" s="117" t="inlineStr">
        <is>
          <t>United Kingdom</t>
        </is>
      </c>
      <c r="D1532" s="117" t="inlineStr">
        <is>
          <t>21161</t>
        </is>
      </c>
      <c r="E1532" s="117" t="inlineStr">
        <is>
          <t xml:space="preserve">KEEP OUT BOYS DOOR HANGER </t>
        </is>
      </c>
      <c r="F1532" s="117" t="n">
        <v>1</v>
      </c>
      <c r="G1532" s="118" t="n">
        <v>1.45</v>
      </c>
      <c r="H1532" s="118" t="n">
        <v>1.45</v>
      </c>
      <c r="I1532" s="119" t="n">
        <v>40667</v>
      </c>
    </row>
    <row r="1533">
      <c r="A1533" s="114" t="inlineStr">
        <is>
          <t>551813</t>
        </is>
      </c>
      <c r="B1533" s="114" t="n">
        <v>18065</v>
      </c>
      <c r="C1533" s="114" t="inlineStr">
        <is>
          <t>United Kingdom</t>
        </is>
      </c>
      <c r="D1533" s="114" t="inlineStr">
        <is>
          <t>85123A</t>
        </is>
      </c>
      <c r="E1533" s="114" t="inlineStr">
        <is>
          <t>WHITE HANGING HEART T-LIGHT HOLDER</t>
        </is>
      </c>
      <c r="F1533" s="114" t="n">
        <v>12</v>
      </c>
      <c r="G1533" s="115" t="n">
        <v>2.95</v>
      </c>
      <c r="H1533" s="115" t="n">
        <v>35.4</v>
      </c>
      <c r="I1533" s="116" t="n">
        <v>40667</v>
      </c>
    </row>
    <row r="1534">
      <c r="A1534" s="117" t="inlineStr">
        <is>
          <t>551816</t>
        </is>
      </c>
      <c r="B1534" s="117" t="n">
        <v>15906</v>
      </c>
      <c r="C1534" s="117" t="inlineStr">
        <is>
          <t>United Kingdom</t>
        </is>
      </c>
      <c r="D1534" s="117" t="inlineStr">
        <is>
          <t>84880</t>
        </is>
      </c>
      <c r="E1534" s="117" t="inlineStr">
        <is>
          <t>WHITE WIRE EGG HOLDER</t>
        </is>
      </c>
      <c r="F1534" s="117" t="n">
        <v>3</v>
      </c>
      <c r="G1534" s="118" t="n">
        <v>7.5</v>
      </c>
      <c r="H1534" s="118" t="n">
        <v>22.5</v>
      </c>
      <c r="I1534" s="119" t="n">
        <v>40667</v>
      </c>
    </row>
    <row r="1535">
      <c r="A1535" s="114" t="inlineStr">
        <is>
          <t>551818</t>
        </is>
      </c>
      <c r="B1535" s="114" t="n">
        <v>12569</v>
      </c>
      <c r="C1535" s="114" t="inlineStr">
        <is>
          <t>Germany</t>
        </is>
      </c>
      <c r="D1535" s="114" t="inlineStr">
        <is>
          <t>22062</t>
        </is>
      </c>
      <c r="E1535" s="114" t="inlineStr">
        <is>
          <t>CERAMIC BOWL WITH LOVE HEART DESIGN</t>
        </is>
      </c>
      <c r="F1535" s="114" t="n">
        <v>18</v>
      </c>
      <c r="G1535" s="115" t="n">
        <v>0.83</v>
      </c>
      <c r="H1535" s="115" t="n">
        <v>14.94</v>
      </c>
      <c r="I1535" s="116" t="n">
        <v>40667</v>
      </c>
    </row>
    <row r="1536">
      <c r="A1536" s="117" t="inlineStr">
        <is>
          <t>551824</t>
        </is>
      </c>
      <c r="B1536" s="117" t="n">
        <v>15128</v>
      </c>
      <c r="C1536" s="117" t="inlineStr">
        <is>
          <t>United Kingdom</t>
        </is>
      </c>
      <c r="D1536" s="117" t="inlineStr">
        <is>
          <t>22236</t>
        </is>
      </c>
      <c r="E1536" s="117" t="inlineStr">
        <is>
          <t>CAKE STAND 3 TIER MAGIC GARDEN</t>
        </is>
      </c>
      <c r="F1536" s="117" t="n">
        <v>1</v>
      </c>
      <c r="G1536" s="118" t="n">
        <v>12.75</v>
      </c>
      <c r="H1536" s="118" t="n">
        <v>12.75</v>
      </c>
      <c r="I1536" s="119" t="n">
        <v>40667</v>
      </c>
    </row>
    <row r="1537">
      <c r="A1537" s="114" t="inlineStr">
        <is>
          <t>551833</t>
        </is>
      </c>
      <c r="B1537" s="114" t="n">
        <v>16779</v>
      </c>
      <c r="C1537" s="114" t="inlineStr">
        <is>
          <t>United Kingdom</t>
        </is>
      </c>
      <c r="D1537" s="114" t="inlineStr">
        <is>
          <t>21215</t>
        </is>
      </c>
      <c r="E1537" s="114" t="inlineStr">
        <is>
          <t xml:space="preserve">IVORY PAPER CUP CAKE CASES </t>
        </is>
      </c>
      <c r="F1537" s="114" t="n">
        <v>24</v>
      </c>
      <c r="G1537" s="115" t="n">
        <v>0.55</v>
      </c>
      <c r="H1537" s="115" t="n">
        <v>13.2</v>
      </c>
      <c r="I1537" s="116" t="n">
        <v>40667</v>
      </c>
    </row>
    <row r="1538">
      <c r="A1538" s="117" t="inlineStr">
        <is>
          <t>551835</t>
        </is>
      </c>
      <c r="B1538" s="117" t="n">
        <v>17646</v>
      </c>
      <c r="C1538" s="117" t="inlineStr">
        <is>
          <t>United Kingdom</t>
        </is>
      </c>
      <c r="D1538" s="117" t="inlineStr">
        <is>
          <t>21217</t>
        </is>
      </c>
      <c r="E1538" s="117" t="inlineStr">
        <is>
          <t>RED RETROSPOT ROUND CAKE TINS</t>
        </is>
      </c>
      <c r="F1538" s="117" t="n">
        <v>1</v>
      </c>
      <c r="G1538" s="118" t="n">
        <v>9.949999999999999</v>
      </c>
      <c r="H1538" s="118" t="n">
        <v>9.949999999999999</v>
      </c>
      <c r="I1538" s="119" t="n">
        <v>40667</v>
      </c>
    </row>
    <row r="1539">
      <c r="A1539" s="114" t="inlineStr">
        <is>
          <t>551839</t>
        </is>
      </c>
      <c r="B1539" s="114" t="n">
        <v>15311</v>
      </c>
      <c r="C1539" s="114" t="inlineStr">
        <is>
          <t>United Kingdom</t>
        </is>
      </c>
      <c r="D1539" s="114" t="inlineStr">
        <is>
          <t>22087</t>
        </is>
      </c>
      <c r="E1539" s="114" t="inlineStr">
        <is>
          <t>PAPER BUNTING WHITE LACE</t>
        </is>
      </c>
      <c r="F1539" s="114" t="n">
        <v>160</v>
      </c>
      <c r="G1539" s="115" t="n">
        <v>2.55</v>
      </c>
      <c r="H1539" s="115" t="n">
        <v>408</v>
      </c>
      <c r="I1539" s="116" t="n">
        <v>40667</v>
      </c>
    </row>
    <row r="1540">
      <c r="A1540" s="117" t="inlineStr">
        <is>
          <t>551840</t>
        </is>
      </c>
      <c r="B1540" s="117" t="n">
        <v>15144</v>
      </c>
      <c r="C1540" s="117" t="inlineStr">
        <is>
          <t>United Kingdom</t>
        </is>
      </c>
      <c r="D1540" s="117" t="inlineStr">
        <is>
          <t>48116</t>
        </is>
      </c>
      <c r="E1540" s="117" t="inlineStr">
        <is>
          <t>DOORMAT MULTICOLOUR STRIPE</t>
        </is>
      </c>
      <c r="F1540" s="117" t="n">
        <v>10</v>
      </c>
      <c r="G1540" s="118" t="n">
        <v>6.75</v>
      </c>
      <c r="H1540" s="118" t="n">
        <v>67.5</v>
      </c>
      <c r="I1540" s="119" t="n">
        <v>40667</v>
      </c>
    </row>
    <row r="1541">
      <c r="A1541" s="114" t="inlineStr">
        <is>
          <t>551840</t>
        </is>
      </c>
      <c r="B1541" s="114" t="n">
        <v>15144</v>
      </c>
      <c r="C1541" s="114" t="inlineStr">
        <is>
          <t>United Kingdom</t>
        </is>
      </c>
      <c r="D1541" s="114" t="inlineStr">
        <is>
          <t>22302</t>
        </is>
      </c>
      <c r="E1541" s="114" t="inlineStr">
        <is>
          <t>COFFEE MUG PEARS  DESIGN</t>
        </is>
      </c>
      <c r="F1541" s="114" t="n">
        <v>36</v>
      </c>
      <c r="G1541" s="115" t="n">
        <v>2.1</v>
      </c>
      <c r="H1541" s="115" t="n">
        <v>75.59999999999999</v>
      </c>
      <c r="I1541" s="116" t="n">
        <v>40667</v>
      </c>
    </row>
    <row r="1542">
      <c r="A1542" s="117" t="inlineStr">
        <is>
          <t>551846</t>
        </is>
      </c>
      <c r="B1542" s="117" t="n">
        <v>13047</v>
      </c>
      <c r="C1542" s="117" t="inlineStr">
        <is>
          <t>United Kingdom</t>
        </is>
      </c>
      <c r="D1542" s="117" t="inlineStr">
        <is>
          <t>23162</t>
        </is>
      </c>
      <c r="E1542" s="117" t="inlineStr">
        <is>
          <t>REGENCY TEA STRAINER</t>
        </is>
      </c>
      <c r="F1542" s="117" t="n">
        <v>4</v>
      </c>
      <c r="G1542" s="118" t="n">
        <v>3.75</v>
      </c>
      <c r="H1542" s="118" t="n">
        <v>15</v>
      </c>
      <c r="I1542" s="119" t="n">
        <v>40667</v>
      </c>
    </row>
    <row r="1543">
      <c r="A1543" s="114" t="inlineStr">
        <is>
          <t>551846</t>
        </is>
      </c>
      <c r="B1543" s="114" t="n">
        <v>13047</v>
      </c>
      <c r="C1543" s="114" t="inlineStr">
        <is>
          <t>United Kingdom</t>
        </is>
      </c>
      <c r="D1543" s="114" t="inlineStr">
        <is>
          <t>23006</t>
        </is>
      </c>
      <c r="E1543" s="114" t="inlineStr">
        <is>
          <t>TRAVEL CARD WALLET FLOWER MEADOW</t>
        </is>
      </c>
      <c r="F1543" s="114" t="n">
        <v>24</v>
      </c>
      <c r="G1543" s="115" t="n">
        <v>0.42</v>
      </c>
      <c r="H1543" s="115" t="n">
        <v>10.08</v>
      </c>
      <c r="I1543" s="116" t="n">
        <v>40667</v>
      </c>
    </row>
    <row r="1544">
      <c r="A1544" s="117" t="inlineStr">
        <is>
          <t>551849</t>
        </is>
      </c>
      <c r="B1544" s="117" t="n">
        <v>16258</v>
      </c>
      <c r="C1544" s="117" t="inlineStr">
        <is>
          <t>United Kingdom</t>
        </is>
      </c>
      <c r="D1544" s="117" t="inlineStr">
        <is>
          <t>47566</t>
        </is>
      </c>
      <c r="E1544" s="117" t="inlineStr">
        <is>
          <t>PARTY BUNTING</t>
        </is>
      </c>
      <c r="F1544" s="117" t="n">
        <v>20</v>
      </c>
      <c r="G1544" s="118" t="n">
        <v>4.95</v>
      </c>
      <c r="H1544" s="118" t="n">
        <v>99</v>
      </c>
      <c r="I1544" s="119" t="n">
        <v>40667</v>
      </c>
    </row>
    <row r="1545">
      <c r="A1545" s="114" t="inlineStr">
        <is>
          <t>551860</t>
        </is>
      </c>
      <c r="B1545" s="114" t="n">
        <v>15508</v>
      </c>
      <c r="C1545" s="114" t="inlineStr">
        <is>
          <t>United Kingdom</t>
        </is>
      </c>
      <c r="D1545" s="114" t="inlineStr">
        <is>
          <t>37342</t>
        </is>
      </c>
      <c r="E1545" s="114" t="inlineStr">
        <is>
          <t>POLKADOT COFFEE CUP &amp; SAUCER PINK</t>
        </is>
      </c>
      <c r="F1545" s="114" t="n">
        <v>4</v>
      </c>
      <c r="G1545" s="115" t="n">
        <v>0.79</v>
      </c>
      <c r="H1545" s="115" t="n">
        <v>3.16</v>
      </c>
      <c r="I1545" s="116" t="n">
        <v>40667</v>
      </c>
    </row>
    <row r="1546">
      <c r="A1546" s="117" t="inlineStr">
        <is>
          <t>551869</t>
        </is>
      </c>
      <c r="B1546" s="117" t="n">
        <v>16767</v>
      </c>
      <c r="C1546" s="117" t="inlineStr">
        <is>
          <t>United Kingdom</t>
        </is>
      </c>
      <c r="D1546" s="117" t="inlineStr">
        <is>
          <t>21721</t>
        </is>
      </c>
      <c r="E1546" s="117" t="inlineStr">
        <is>
          <t>CANDY SHOP  STICKER SHEET</t>
        </is>
      </c>
      <c r="F1546" s="117" t="n">
        <v>10</v>
      </c>
      <c r="G1546" s="118" t="n">
        <v>0.85</v>
      </c>
      <c r="H1546" s="118" t="n">
        <v>8.5</v>
      </c>
      <c r="I1546" s="119" t="n">
        <v>40667</v>
      </c>
    </row>
    <row r="1547">
      <c r="A1547" s="114" t="inlineStr">
        <is>
          <t>551869</t>
        </is>
      </c>
      <c r="B1547" s="114" t="n">
        <v>16767</v>
      </c>
      <c r="C1547" s="114" t="inlineStr">
        <is>
          <t>United Kingdom</t>
        </is>
      </c>
      <c r="D1547" s="114" t="inlineStr">
        <is>
          <t>22713</t>
        </is>
      </c>
      <c r="E1547" s="114" t="inlineStr">
        <is>
          <t xml:space="preserve">CARD I LOVE LONDON </t>
        </is>
      </c>
      <c r="F1547" s="114" t="n">
        <v>12</v>
      </c>
      <c r="G1547" s="115" t="n">
        <v>0.42</v>
      </c>
      <c r="H1547" s="115" t="n">
        <v>5.04</v>
      </c>
      <c r="I1547" s="116" t="n">
        <v>40667</v>
      </c>
    </row>
    <row r="1548">
      <c r="A1548" s="117" t="inlineStr">
        <is>
          <t>551872</t>
        </is>
      </c>
      <c r="B1548" s="117" t="n">
        <v>12955</v>
      </c>
      <c r="C1548" s="117" t="inlineStr">
        <is>
          <t>United Kingdom</t>
        </is>
      </c>
      <c r="D1548" s="117" t="inlineStr">
        <is>
          <t>22607</t>
        </is>
      </c>
      <c r="E1548" s="117" t="inlineStr">
        <is>
          <t xml:space="preserve">WOODEN ROUNDERS GARDEN SET </t>
        </is>
      </c>
      <c r="F1548" s="117" t="n">
        <v>4</v>
      </c>
      <c r="G1548" s="118" t="n">
        <v>9.949999999999999</v>
      </c>
      <c r="H1548" s="118" t="n">
        <v>39.8</v>
      </c>
      <c r="I1548" s="119" t="n">
        <v>40667</v>
      </c>
    </row>
    <row r="1549">
      <c r="A1549" s="114" t="inlineStr">
        <is>
          <t>551897</t>
        </is>
      </c>
      <c r="B1549" s="114" t="n">
        <v>13711</v>
      </c>
      <c r="C1549" s="114" t="inlineStr">
        <is>
          <t>United Kingdom</t>
        </is>
      </c>
      <c r="D1549" s="114" t="inlineStr">
        <is>
          <t>22822</t>
        </is>
      </c>
      <c r="E1549" s="114" t="inlineStr">
        <is>
          <t>CREAM WALL PLANTER HEART SHAPED</t>
        </is>
      </c>
      <c r="F1549" s="114" t="n">
        <v>2</v>
      </c>
      <c r="G1549" s="115" t="n">
        <v>5.95</v>
      </c>
      <c r="H1549" s="115" t="n">
        <v>11.9</v>
      </c>
      <c r="I1549" s="116" t="n">
        <v>40668</v>
      </c>
    </row>
    <row r="1550">
      <c r="A1550" s="117" t="inlineStr">
        <is>
          <t>551944</t>
        </is>
      </c>
      <c r="B1550" s="117" t="n">
        <v>14553</v>
      </c>
      <c r="C1550" s="117" t="inlineStr">
        <is>
          <t>United Kingdom</t>
        </is>
      </c>
      <c r="D1550" s="117" t="inlineStr">
        <is>
          <t>22979</t>
        </is>
      </c>
      <c r="E1550" s="117" t="inlineStr">
        <is>
          <t>PANTRY WASHING UP BRUSH</t>
        </is>
      </c>
      <c r="F1550" s="117" t="n">
        <v>1</v>
      </c>
      <c r="G1550" s="118" t="n">
        <v>1.45</v>
      </c>
      <c r="H1550" s="118" t="n">
        <v>1.45</v>
      </c>
      <c r="I1550" s="119" t="n">
        <v>40668</v>
      </c>
    </row>
    <row r="1551">
      <c r="A1551" s="114" t="inlineStr">
        <is>
          <t>551966</t>
        </is>
      </c>
      <c r="B1551" s="114" t="n">
        <v>15356</v>
      </c>
      <c r="C1551" s="114" t="inlineStr">
        <is>
          <t>United Kingdom</t>
        </is>
      </c>
      <c r="D1551" s="114" t="inlineStr">
        <is>
          <t>23206</t>
        </is>
      </c>
      <c r="E1551" s="114" t="inlineStr">
        <is>
          <t>LUNCH BAG APPLE DESIGN</t>
        </is>
      </c>
      <c r="F1551" s="114" t="n">
        <v>2</v>
      </c>
      <c r="G1551" s="115" t="n">
        <v>1.65</v>
      </c>
      <c r="H1551" s="115" t="n">
        <v>3.3</v>
      </c>
      <c r="I1551" s="116" t="n">
        <v>40668</v>
      </c>
    </row>
    <row r="1552">
      <c r="A1552" s="117" t="inlineStr">
        <is>
          <t>551982</t>
        </is>
      </c>
      <c r="B1552" s="117" t="n">
        <v>15023</v>
      </c>
      <c r="C1552" s="117" t="inlineStr">
        <is>
          <t>United Kingdom</t>
        </is>
      </c>
      <c r="D1552" s="117" t="inlineStr">
        <is>
          <t>22993</t>
        </is>
      </c>
      <c r="E1552" s="117" t="inlineStr">
        <is>
          <t>SET OF 4 PANTRY JELLY MOULDS</t>
        </is>
      </c>
      <c r="F1552" s="117" t="n">
        <v>4</v>
      </c>
      <c r="G1552" s="118" t="n">
        <v>1.25</v>
      </c>
      <c r="H1552" s="118" t="n">
        <v>5</v>
      </c>
      <c r="I1552" s="119" t="n">
        <v>40668</v>
      </c>
    </row>
    <row r="1553">
      <c r="A1553" s="114" t="inlineStr">
        <is>
          <t>551982</t>
        </is>
      </c>
      <c r="B1553" s="114" t="n">
        <v>15023</v>
      </c>
      <c r="C1553" s="114" t="inlineStr">
        <is>
          <t>United Kingdom</t>
        </is>
      </c>
      <c r="D1553" s="114" t="inlineStr">
        <is>
          <t>21988</t>
        </is>
      </c>
      <c r="E1553" s="114" t="inlineStr">
        <is>
          <t>PACK OF 6 SKULL PAPER PLATES</t>
        </is>
      </c>
      <c r="F1553" s="114" t="n">
        <v>13</v>
      </c>
      <c r="G1553" s="115" t="n">
        <v>0.85</v>
      </c>
      <c r="H1553" s="115" t="n">
        <v>11.05</v>
      </c>
      <c r="I1553" s="116" t="n">
        <v>40668</v>
      </c>
    </row>
    <row r="1554">
      <c r="A1554" s="117" t="inlineStr">
        <is>
          <t>551982</t>
        </is>
      </c>
      <c r="B1554" s="117" t="n">
        <v>15023</v>
      </c>
      <c r="C1554" s="117" t="inlineStr">
        <is>
          <t>United Kingdom</t>
        </is>
      </c>
      <c r="D1554" s="117" t="inlineStr">
        <is>
          <t>22721</t>
        </is>
      </c>
      <c r="E1554" s="117" t="inlineStr">
        <is>
          <t>SET OF 3 CAKE TINS SKETCHBOOK</t>
        </is>
      </c>
      <c r="F1554" s="117" t="n">
        <v>3</v>
      </c>
      <c r="G1554" s="118" t="n">
        <v>4.95</v>
      </c>
      <c r="H1554" s="118" t="n">
        <v>14.85</v>
      </c>
      <c r="I1554" s="119" t="n">
        <v>40668</v>
      </c>
    </row>
    <row r="1555">
      <c r="A1555" s="114" t="inlineStr">
        <is>
          <t>551987</t>
        </is>
      </c>
      <c r="B1555" s="114" t="n">
        <v>15005</v>
      </c>
      <c r="C1555" s="114" t="inlineStr">
        <is>
          <t>United Kingdom</t>
        </is>
      </c>
      <c r="D1555" s="114" t="inlineStr">
        <is>
          <t>22630</t>
        </is>
      </c>
      <c r="E1555" s="114" t="inlineStr">
        <is>
          <t>DOLLY GIRL LUNCH BOX</t>
        </is>
      </c>
      <c r="F1555" s="114" t="n">
        <v>3</v>
      </c>
      <c r="G1555" s="115" t="n">
        <v>1.95</v>
      </c>
      <c r="H1555" s="115" t="n">
        <v>5.85</v>
      </c>
      <c r="I1555" s="116" t="n">
        <v>40668</v>
      </c>
    </row>
    <row r="1556">
      <c r="A1556" s="117" t="inlineStr">
        <is>
          <t>552005</t>
        </is>
      </c>
      <c r="B1556" s="117" t="n">
        <v>15491</v>
      </c>
      <c r="C1556" s="117" t="inlineStr">
        <is>
          <t>United Kingdom</t>
        </is>
      </c>
      <c r="D1556" s="117" t="inlineStr">
        <is>
          <t>84970S</t>
        </is>
      </c>
      <c r="E1556" s="117" t="inlineStr">
        <is>
          <t>HANGING HEART ZINC T-LIGHT HOLDER</t>
        </is>
      </c>
      <c r="F1556" s="117" t="n">
        <v>12</v>
      </c>
      <c r="G1556" s="118" t="n">
        <v>0.85</v>
      </c>
      <c r="H1556" s="118" t="n">
        <v>10.2</v>
      </c>
      <c r="I1556" s="119" t="n">
        <v>40668</v>
      </c>
    </row>
    <row r="1557">
      <c r="A1557" s="114" t="inlineStr">
        <is>
          <t>552013</t>
        </is>
      </c>
      <c r="B1557" s="114" t="n">
        <v>12451</v>
      </c>
      <c r="C1557" s="114" t="inlineStr">
        <is>
          <t>Switzerland</t>
        </is>
      </c>
      <c r="D1557" s="114" t="inlineStr">
        <is>
          <t>47590A</t>
        </is>
      </c>
      <c r="E1557" s="114" t="inlineStr">
        <is>
          <t>BLUE HAPPY BIRTHDAY BUNTING</t>
        </is>
      </c>
      <c r="F1557" s="114" t="n">
        <v>12</v>
      </c>
      <c r="G1557" s="115" t="n">
        <v>5.45</v>
      </c>
      <c r="H1557" s="115" t="n">
        <v>65.40000000000001</v>
      </c>
      <c r="I1557" s="116" t="n">
        <v>40668</v>
      </c>
    </row>
    <row r="1558">
      <c r="A1558" s="117" t="inlineStr">
        <is>
          <t>552038</t>
        </is>
      </c>
      <c r="B1558" s="117" t="n">
        <v>14156</v>
      </c>
      <c r="C1558" s="117" t="inlineStr">
        <is>
          <t>EIRE</t>
        </is>
      </c>
      <c r="D1558" s="117" t="inlineStr">
        <is>
          <t>20725</t>
        </is>
      </c>
      <c r="E1558" s="117" t="inlineStr">
        <is>
          <t>LUNCH BAG RED RETROSPOT</t>
        </is>
      </c>
      <c r="F1558" s="117" t="n">
        <v>50</v>
      </c>
      <c r="G1558" s="118" t="n">
        <v>1.65</v>
      </c>
      <c r="H1558" s="118" t="n">
        <v>82.5</v>
      </c>
      <c r="I1558" s="119" t="n">
        <v>40669</v>
      </c>
    </row>
    <row r="1559">
      <c r="A1559" s="114" t="inlineStr">
        <is>
          <t>552038</t>
        </is>
      </c>
      <c r="B1559" s="114" t="n">
        <v>14156</v>
      </c>
      <c r="C1559" s="114" t="inlineStr">
        <is>
          <t>EIRE</t>
        </is>
      </c>
      <c r="D1559" s="114" t="inlineStr">
        <is>
          <t>22842</t>
        </is>
      </c>
      <c r="E1559" s="114" t="inlineStr">
        <is>
          <t>BISCUIT TIN VINTAGE RED</t>
        </is>
      </c>
      <c r="F1559" s="114" t="n">
        <v>24</v>
      </c>
      <c r="G1559" s="115" t="n">
        <v>5.95</v>
      </c>
      <c r="H1559" s="115" t="n">
        <v>142.8</v>
      </c>
      <c r="I1559" s="116" t="n">
        <v>40669</v>
      </c>
    </row>
    <row r="1560">
      <c r="A1560" s="117" t="inlineStr">
        <is>
          <t>552039</t>
        </is>
      </c>
      <c r="B1560" s="117" t="n">
        <v>13081</v>
      </c>
      <c r="C1560" s="117" t="inlineStr">
        <is>
          <t>United Kingdom</t>
        </is>
      </c>
      <c r="D1560" s="117" t="inlineStr">
        <is>
          <t>15044C</t>
        </is>
      </c>
      <c r="E1560" s="117" t="inlineStr">
        <is>
          <t>PURPLE PAPER PARASOL</t>
        </is>
      </c>
      <c r="F1560" s="117" t="n">
        <v>6</v>
      </c>
      <c r="G1560" s="118" t="n">
        <v>2.95</v>
      </c>
      <c r="H1560" s="118" t="n">
        <v>17.7</v>
      </c>
      <c r="I1560" s="119" t="n">
        <v>40669</v>
      </c>
    </row>
    <row r="1561">
      <c r="A1561" s="114" t="inlineStr">
        <is>
          <t>552039</t>
        </is>
      </c>
      <c r="B1561" s="114" t="n">
        <v>13081</v>
      </c>
      <c r="C1561" s="114" t="inlineStr">
        <is>
          <t>United Kingdom</t>
        </is>
      </c>
      <c r="D1561" s="114" t="inlineStr">
        <is>
          <t>16156S</t>
        </is>
      </c>
      <c r="E1561" s="114" t="inlineStr">
        <is>
          <t xml:space="preserve">WRAP PINK FAIRY CAKES </t>
        </is>
      </c>
      <c r="F1561" s="114" t="n">
        <v>25</v>
      </c>
      <c r="G1561" s="115" t="n">
        <v>0.42</v>
      </c>
      <c r="H1561" s="115" t="n">
        <v>10.5</v>
      </c>
      <c r="I1561" s="116" t="n">
        <v>40669</v>
      </c>
    </row>
    <row r="1562">
      <c r="A1562" s="117" t="inlineStr">
        <is>
          <t>552042</t>
        </is>
      </c>
      <c r="B1562" s="117" t="n">
        <v>13952</v>
      </c>
      <c r="C1562" s="117" t="inlineStr">
        <is>
          <t>United Kingdom</t>
        </is>
      </c>
      <c r="D1562" s="117" t="inlineStr">
        <is>
          <t>22321</t>
        </is>
      </c>
      <c r="E1562" s="117" t="inlineStr">
        <is>
          <t>BIRD DECORATION RED RETROSPOT</t>
        </is>
      </c>
      <c r="F1562" s="117" t="n">
        <v>12</v>
      </c>
      <c r="G1562" s="118" t="n">
        <v>0.85</v>
      </c>
      <c r="H1562" s="118" t="n">
        <v>10.2</v>
      </c>
      <c r="I1562" s="119" t="n">
        <v>40669</v>
      </c>
    </row>
    <row r="1563">
      <c r="A1563" s="114" t="inlineStr">
        <is>
          <t>552051</t>
        </is>
      </c>
      <c r="B1563" s="114" t="n">
        <v>14796</v>
      </c>
      <c r="C1563" s="114" t="inlineStr">
        <is>
          <t>United Kingdom</t>
        </is>
      </c>
      <c r="D1563" s="114" t="inlineStr">
        <is>
          <t>22645</t>
        </is>
      </c>
      <c r="E1563" s="114" t="inlineStr">
        <is>
          <t>CERAMIC HEART FAIRY CAKE MONEY BANK</t>
        </is>
      </c>
      <c r="F1563" s="114" t="n">
        <v>4</v>
      </c>
      <c r="G1563" s="115" t="n">
        <v>1.45</v>
      </c>
      <c r="H1563" s="115" t="n">
        <v>5.8</v>
      </c>
      <c r="I1563" s="116" t="n">
        <v>40669</v>
      </c>
    </row>
    <row r="1564">
      <c r="A1564" s="117" t="inlineStr">
        <is>
          <t>552051</t>
        </is>
      </c>
      <c r="B1564" s="117" t="n">
        <v>14796</v>
      </c>
      <c r="C1564" s="117" t="inlineStr">
        <is>
          <t>United Kingdom</t>
        </is>
      </c>
      <c r="D1564" s="117" t="inlineStr">
        <is>
          <t>22710</t>
        </is>
      </c>
      <c r="E1564" s="117" t="inlineStr">
        <is>
          <t xml:space="preserve">WRAP I LOVE LONDON </t>
        </is>
      </c>
      <c r="F1564" s="117" t="n">
        <v>25</v>
      </c>
      <c r="G1564" s="118" t="n">
        <v>0.42</v>
      </c>
      <c r="H1564" s="118" t="n">
        <v>10.5</v>
      </c>
      <c r="I1564" s="119" t="n">
        <v>40669</v>
      </c>
    </row>
    <row r="1565">
      <c r="A1565" s="114" t="inlineStr">
        <is>
          <t>552053</t>
        </is>
      </c>
      <c r="B1565" s="114" t="n">
        <v>16153</v>
      </c>
      <c r="C1565" s="114" t="inlineStr">
        <is>
          <t>United Kingdom</t>
        </is>
      </c>
      <c r="D1565" s="114" t="inlineStr">
        <is>
          <t>22595</t>
        </is>
      </c>
      <c r="E1565" s="114" t="inlineStr">
        <is>
          <t>GINGHAM HEART DECORATION</t>
        </is>
      </c>
      <c r="F1565" s="114" t="n">
        <v>12</v>
      </c>
      <c r="G1565" s="115" t="n">
        <v>0.85</v>
      </c>
      <c r="H1565" s="115" t="n">
        <v>10.2</v>
      </c>
      <c r="I1565" s="116" t="n">
        <v>40669</v>
      </c>
    </row>
    <row r="1566">
      <c r="A1566" s="117" t="inlineStr">
        <is>
          <t>552058</t>
        </is>
      </c>
      <c r="B1566" s="117" t="n">
        <v>15218</v>
      </c>
      <c r="C1566" s="117" t="inlineStr">
        <is>
          <t>United Kingdom</t>
        </is>
      </c>
      <c r="D1566" s="117" t="inlineStr">
        <is>
          <t>22192</t>
        </is>
      </c>
      <c r="E1566" s="117" t="inlineStr">
        <is>
          <t>BLUE DINER WALL CLOCK</t>
        </is>
      </c>
      <c r="F1566" s="117" t="n">
        <v>2</v>
      </c>
      <c r="G1566" s="118" t="n">
        <v>8.5</v>
      </c>
      <c r="H1566" s="118" t="n">
        <v>17</v>
      </c>
      <c r="I1566" s="119" t="n">
        <v>40669</v>
      </c>
    </row>
    <row r="1567">
      <c r="A1567" s="114" t="inlineStr">
        <is>
          <t>552061</t>
        </is>
      </c>
      <c r="B1567" s="114" t="n">
        <v>13001</v>
      </c>
      <c r="C1567" s="114" t="inlineStr">
        <is>
          <t>United Kingdom</t>
        </is>
      </c>
      <c r="D1567" s="114" t="inlineStr">
        <is>
          <t>21558</t>
        </is>
      </c>
      <c r="E1567" s="114" t="inlineStr">
        <is>
          <t xml:space="preserve">SKULL LUNCH BOX WITH CUTLERY </t>
        </is>
      </c>
      <c r="F1567" s="114" t="n">
        <v>6</v>
      </c>
      <c r="G1567" s="115" t="n">
        <v>2.55</v>
      </c>
      <c r="H1567" s="115" t="n">
        <v>15.3</v>
      </c>
      <c r="I1567" s="116" t="n">
        <v>40669</v>
      </c>
    </row>
    <row r="1568">
      <c r="A1568" s="117" t="inlineStr">
        <is>
          <t>552064</t>
        </is>
      </c>
      <c r="B1568" s="117" t="n">
        <v>15874</v>
      </c>
      <c r="C1568" s="117" t="inlineStr">
        <is>
          <t>United Kingdom</t>
        </is>
      </c>
      <c r="D1568" s="117" t="inlineStr">
        <is>
          <t>22773</t>
        </is>
      </c>
      <c r="E1568" s="117" t="inlineStr">
        <is>
          <t>GREEN DRAWER KNOB ACRYLIC EDWARDIAN</t>
        </is>
      </c>
      <c r="F1568" s="117" t="n">
        <v>2</v>
      </c>
      <c r="G1568" s="118" t="n">
        <v>1.25</v>
      </c>
      <c r="H1568" s="118" t="n">
        <v>2.5</v>
      </c>
      <c r="I1568" s="119" t="n">
        <v>40669</v>
      </c>
    </row>
    <row r="1569">
      <c r="A1569" s="114" t="inlineStr">
        <is>
          <t>552080</t>
        </is>
      </c>
      <c r="B1569" s="114" t="n">
        <v>16319</v>
      </c>
      <c r="C1569" s="114" t="inlineStr">
        <is>
          <t>United Kingdom</t>
        </is>
      </c>
      <c r="D1569" s="114" t="inlineStr">
        <is>
          <t>22179</t>
        </is>
      </c>
      <c r="E1569" s="114" t="inlineStr">
        <is>
          <t>SET 10 LIGHTS NIGHT OWL</t>
        </is>
      </c>
      <c r="F1569" s="114" t="n">
        <v>24</v>
      </c>
      <c r="G1569" s="115" t="n">
        <v>5.95</v>
      </c>
      <c r="H1569" s="115" t="n">
        <v>142.8</v>
      </c>
      <c r="I1569" s="116" t="n">
        <v>40669</v>
      </c>
    </row>
    <row r="1570">
      <c r="A1570" s="117" t="inlineStr">
        <is>
          <t>552121</t>
        </is>
      </c>
      <c r="B1570" s="117" t="n">
        <v>15757</v>
      </c>
      <c r="C1570" s="117" t="inlineStr">
        <is>
          <t>United Kingdom</t>
        </is>
      </c>
      <c r="D1570" s="117" t="inlineStr">
        <is>
          <t>21498</t>
        </is>
      </c>
      <c r="E1570" s="117" t="inlineStr">
        <is>
          <t xml:space="preserve">RED RETROSPOT WRAP </t>
        </is>
      </c>
      <c r="F1570" s="117" t="n">
        <v>25</v>
      </c>
      <c r="G1570" s="118" t="n">
        <v>0.42</v>
      </c>
      <c r="H1570" s="118" t="n">
        <v>10.5</v>
      </c>
      <c r="I1570" s="119" t="n">
        <v>40669</v>
      </c>
    </row>
    <row r="1571">
      <c r="A1571" s="114" t="inlineStr">
        <is>
          <t>552139</t>
        </is>
      </c>
      <c r="B1571" s="114" t="n">
        <v>14659</v>
      </c>
      <c r="C1571" s="114" t="inlineStr">
        <is>
          <t>United Kingdom</t>
        </is>
      </c>
      <c r="D1571" s="114" t="inlineStr">
        <is>
          <t>21713</t>
        </is>
      </c>
      <c r="E1571" s="114" t="inlineStr">
        <is>
          <t>CITRONELLA CANDLE FLOWERPOT</t>
        </is>
      </c>
      <c r="F1571" s="114" t="n">
        <v>4</v>
      </c>
      <c r="G1571" s="115" t="n">
        <v>2.1</v>
      </c>
      <c r="H1571" s="115" t="n">
        <v>8.4</v>
      </c>
      <c r="I1571" s="116" t="n">
        <v>40669</v>
      </c>
    </row>
    <row r="1572">
      <c r="A1572" s="117" t="inlineStr">
        <is>
          <t>552149</t>
        </is>
      </c>
      <c r="B1572" s="117" t="n">
        <v>13365</v>
      </c>
      <c r="C1572" s="117" t="inlineStr">
        <is>
          <t>United Kingdom</t>
        </is>
      </c>
      <c r="D1572" s="117" t="inlineStr">
        <is>
          <t>84991</t>
        </is>
      </c>
      <c r="E1572" s="117" t="inlineStr">
        <is>
          <t>60 TEATIME FAIRY CAKE CASES</t>
        </is>
      </c>
      <c r="F1572" s="117" t="n">
        <v>24</v>
      </c>
      <c r="G1572" s="118" t="n">
        <v>0.55</v>
      </c>
      <c r="H1572" s="118" t="n">
        <v>13.2</v>
      </c>
      <c r="I1572" s="119" t="n">
        <v>40669</v>
      </c>
    </row>
    <row r="1573">
      <c r="A1573" s="114" t="inlineStr">
        <is>
          <t>552181</t>
        </is>
      </c>
      <c r="B1573" s="114" t="n">
        <v>17381</v>
      </c>
      <c r="C1573" s="114" t="inlineStr">
        <is>
          <t>United Kingdom</t>
        </is>
      </c>
      <c r="D1573" s="114" t="inlineStr">
        <is>
          <t>22417</t>
        </is>
      </c>
      <c r="E1573" s="114" t="inlineStr">
        <is>
          <t>PACK OF 60 SPACEBOY CAKE CASES</t>
        </is>
      </c>
      <c r="F1573" s="114" t="n">
        <v>120</v>
      </c>
      <c r="G1573" s="115" t="n">
        <v>0.42</v>
      </c>
      <c r="H1573" s="115" t="n">
        <v>50.4</v>
      </c>
      <c r="I1573" s="116" t="n">
        <v>40669</v>
      </c>
    </row>
    <row r="1574">
      <c r="A1574" s="117" t="inlineStr">
        <is>
          <t>552182</t>
        </is>
      </c>
      <c r="B1574" s="117" t="n">
        <v>14180</v>
      </c>
      <c r="C1574" s="117" t="inlineStr">
        <is>
          <t>United Kingdom</t>
        </is>
      </c>
      <c r="D1574" s="117" t="inlineStr">
        <is>
          <t>22487</t>
        </is>
      </c>
      <c r="E1574" s="117" t="inlineStr">
        <is>
          <t>WHITE WOOD GARDEN PLANT LADDER</t>
        </is>
      </c>
      <c r="F1574" s="117" t="n">
        <v>1</v>
      </c>
      <c r="G1574" s="118" t="n">
        <v>9.949999999999999</v>
      </c>
      <c r="H1574" s="118" t="n">
        <v>9.949999999999999</v>
      </c>
      <c r="I1574" s="119" t="n">
        <v>40669</v>
      </c>
    </row>
    <row r="1575">
      <c r="A1575" s="114" t="inlineStr">
        <is>
          <t>552188</t>
        </is>
      </c>
      <c r="B1575" s="114" t="n">
        <v>12394</v>
      </c>
      <c r="C1575" s="114" t="inlineStr">
        <is>
          <t>Belgium</t>
        </is>
      </c>
      <c r="D1575" s="114" t="inlineStr">
        <is>
          <t>23254</t>
        </is>
      </c>
      <c r="E1575" s="114" t="inlineStr">
        <is>
          <t xml:space="preserve">CHILDRENS CUTLERY DOLLY GIRL </t>
        </is>
      </c>
      <c r="F1575" s="114" t="n">
        <v>4</v>
      </c>
      <c r="G1575" s="115" t="n">
        <v>4.15</v>
      </c>
      <c r="H1575" s="115" t="n">
        <v>16.6</v>
      </c>
      <c r="I1575" s="116" t="n">
        <v>40669</v>
      </c>
    </row>
    <row r="1576">
      <c r="A1576" s="117" t="inlineStr">
        <is>
          <t>552198</t>
        </is>
      </c>
      <c r="B1576" s="117" t="n">
        <v>15552</v>
      </c>
      <c r="C1576" s="117" t="inlineStr">
        <is>
          <t>United Kingdom</t>
        </is>
      </c>
      <c r="D1576" s="117" t="inlineStr">
        <is>
          <t>21455</t>
        </is>
      </c>
      <c r="E1576" s="117" t="inlineStr">
        <is>
          <t>PAINTED YELLOW WOODEN DAISY</t>
        </is>
      </c>
      <c r="F1576" s="117" t="n">
        <v>3</v>
      </c>
      <c r="G1576" s="118" t="n">
        <v>0.85</v>
      </c>
      <c r="H1576" s="118" t="n">
        <v>2.55</v>
      </c>
      <c r="I1576" s="119" t="n">
        <v>40669</v>
      </c>
    </row>
    <row r="1577">
      <c r="A1577" s="114" t="inlineStr">
        <is>
          <t>552198</t>
        </is>
      </c>
      <c r="B1577" s="114" t="n">
        <v>15552</v>
      </c>
      <c r="C1577" s="114" t="inlineStr">
        <is>
          <t>United Kingdom</t>
        </is>
      </c>
      <c r="D1577" s="114" t="inlineStr">
        <is>
          <t>21034</t>
        </is>
      </c>
      <c r="E1577" s="114" t="inlineStr">
        <is>
          <t>REX CASH+CARRY JUMBO SHOPPER</t>
        </is>
      </c>
      <c r="F1577" s="114" t="n">
        <v>1</v>
      </c>
      <c r="G1577" s="115" t="n">
        <v>0.95</v>
      </c>
      <c r="H1577" s="115" t="n">
        <v>0.95</v>
      </c>
      <c r="I1577" s="116" t="n">
        <v>40669</v>
      </c>
    </row>
    <row r="1578">
      <c r="A1578" s="117" t="inlineStr">
        <is>
          <t>552245</t>
        </is>
      </c>
      <c r="B1578" s="117" t="n">
        <v>12748</v>
      </c>
      <c r="C1578" s="117" t="inlineStr">
        <is>
          <t>United Kingdom</t>
        </is>
      </c>
      <c r="D1578" s="117" t="inlineStr">
        <is>
          <t>21528</t>
        </is>
      </c>
      <c r="E1578" s="117" t="inlineStr">
        <is>
          <t xml:space="preserve">DAIRY MAID TRADITIONAL TEAPOT </t>
        </is>
      </c>
      <c r="F1578" s="117" t="n">
        <v>1</v>
      </c>
      <c r="G1578" s="118" t="n">
        <v>6.95</v>
      </c>
      <c r="H1578" s="118" t="n">
        <v>6.95</v>
      </c>
      <c r="I1578" s="119" t="n">
        <v>40669</v>
      </c>
    </row>
    <row r="1579">
      <c r="A1579" s="114" t="inlineStr">
        <is>
          <t>552246</t>
        </is>
      </c>
      <c r="B1579" s="114" t="n">
        <v>12748</v>
      </c>
      <c r="C1579" s="114" t="inlineStr">
        <is>
          <t>United Kingdom</t>
        </is>
      </c>
      <c r="D1579" s="114" t="inlineStr">
        <is>
          <t>20840</t>
        </is>
      </c>
      <c r="E1579" s="114" t="inlineStr">
        <is>
          <t xml:space="preserve">FRENCH FLORAL CUSHION COVER </t>
        </is>
      </c>
      <c r="F1579" s="114" t="n">
        <v>2</v>
      </c>
      <c r="G1579" s="115" t="n">
        <v>0.85</v>
      </c>
      <c r="H1579" s="115" t="n">
        <v>1.7</v>
      </c>
      <c r="I1579" s="116" t="n">
        <v>40669</v>
      </c>
    </row>
    <row r="1580">
      <c r="A1580" s="117" t="inlineStr">
        <is>
          <t>552247</t>
        </is>
      </c>
      <c r="B1580" s="117" t="n">
        <v>12748</v>
      </c>
      <c r="C1580" s="117" t="inlineStr">
        <is>
          <t>United Kingdom</t>
        </is>
      </c>
      <c r="D1580" s="117" t="inlineStr">
        <is>
          <t>22996</t>
        </is>
      </c>
      <c r="E1580" s="117" t="inlineStr">
        <is>
          <t>TRAVEL CARD WALLET VINTAGE TICKET</t>
        </is>
      </c>
      <c r="F1580" s="117" t="n">
        <v>1</v>
      </c>
      <c r="G1580" s="118" t="n">
        <v>0.42</v>
      </c>
      <c r="H1580" s="118" t="n">
        <v>0.42</v>
      </c>
      <c r="I1580" s="119" t="n">
        <v>40669</v>
      </c>
    </row>
    <row r="1581">
      <c r="A1581" s="114" t="inlineStr">
        <is>
          <t>552252</t>
        </is>
      </c>
      <c r="B1581" s="114" t="n">
        <v>15227</v>
      </c>
      <c r="C1581" s="114" t="inlineStr">
        <is>
          <t>United Kingdom</t>
        </is>
      </c>
      <c r="D1581" s="114" t="inlineStr">
        <is>
          <t>22847</t>
        </is>
      </c>
      <c r="E1581" s="114" t="inlineStr">
        <is>
          <t>BREAD BIN DINER STYLE IVORY</t>
        </is>
      </c>
      <c r="F1581" s="114" t="n">
        <v>2</v>
      </c>
      <c r="G1581" s="115" t="n">
        <v>16.95</v>
      </c>
      <c r="H1581" s="115" t="n">
        <v>33.9</v>
      </c>
      <c r="I1581" s="116" t="n">
        <v>40671</v>
      </c>
    </row>
    <row r="1582">
      <c r="A1582" s="117" t="inlineStr">
        <is>
          <t>552257</t>
        </is>
      </c>
      <c r="B1582" s="117" t="n">
        <v>16923</v>
      </c>
      <c r="C1582" s="117" t="inlineStr">
        <is>
          <t>United Kingdom</t>
        </is>
      </c>
      <c r="D1582" s="117" t="inlineStr">
        <is>
          <t>22294</t>
        </is>
      </c>
      <c r="E1582" s="117" t="inlineStr">
        <is>
          <t>HEART FILIGREE DOVE  SMALL</t>
        </is>
      </c>
      <c r="F1582" s="117" t="n">
        <v>72</v>
      </c>
      <c r="G1582" s="118" t="n">
        <v>1.25</v>
      </c>
      <c r="H1582" s="118" t="n">
        <v>90</v>
      </c>
      <c r="I1582" s="119" t="n">
        <v>40671</v>
      </c>
    </row>
    <row r="1583">
      <c r="A1583" s="114" t="inlineStr">
        <is>
          <t>552257</t>
        </is>
      </c>
      <c r="B1583" s="114" t="n">
        <v>16923</v>
      </c>
      <c r="C1583" s="114" t="inlineStr">
        <is>
          <t>United Kingdom</t>
        </is>
      </c>
      <c r="D1583" s="114" t="inlineStr">
        <is>
          <t>23156</t>
        </is>
      </c>
      <c r="E1583" s="114" t="inlineStr">
        <is>
          <t>SET OF 5 MINI GROCERY MAGNETS</t>
        </is>
      </c>
      <c r="F1583" s="114" t="n">
        <v>2</v>
      </c>
      <c r="G1583" s="115" t="n">
        <v>2.08</v>
      </c>
      <c r="H1583" s="115" t="n">
        <v>4.16</v>
      </c>
      <c r="I1583" s="116" t="n">
        <v>40671</v>
      </c>
    </row>
    <row r="1584">
      <c r="A1584" s="117" t="inlineStr">
        <is>
          <t>552257</t>
        </is>
      </c>
      <c r="B1584" s="117" t="n">
        <v>16923</v>
      </c>
      <c r="C1584" s="117" t="inlineStr">
        <is>
          <t>United Kingdom</t>
        </is>
      </c>
      <c r="D1584" s="117" t="inlineStr">
        <is>
          <t>84828</t>
        </is>
      </c>
      <c r="E1584" s="117" t="inlineStr">
        <is>
          <t>JUNGLE POPSICLES ICE LOLLY MOULDS</t>
        </is>
      </c>
      <c r="F1584" s="117" t="n">
        <v>2</v>
      </c>
      <c r="G1584" s="118" t="n">
        <v>1.25</v>
      </c>
      <c r="H1584" s="118" t="n">
        <v>2.5</v>
      </c>
      <c r="I1584" s="119" t="n">
        <v>40671</v>
      </c>
    </row>
    <row r="1585">
      <c r="A1585" s="114" t="inlineStr">
        <is>
          <t>552264</t>
        </is>
      </c>
      <c r="B1585" s="114" t="n">
        <v>14959</v>
      </c>
      <c r="C1585" s="114" t="inlineStr">
        <is>
          <t>United Kingdom</t>
        </is>
      </c>
      <c r="D1585" s="114" t="inlineStr">
        <is>
          <t>84755</t>
        </is>
      </c>
      <c r="E1585" s="114" t="inlineStr">
        <is>
          <t>COLOUR GLASS T-LIGHT HOLDER HANGING</t>
        </is>
      </c>
      <c r="F1585" s="114" t="n">
        <v>16</v>
      </c>
      <c r="G1585" s="115" t="n">
        <v>0.65</v>
      </c>
      <c r="H1585" s="115" t="n">
        <v>10.4</v>
      </c>
      <c r="I1585" s="116" t="n">
        <v>40671</v>
      </c>
    </row>
    <row r="1586">
      <c r="A1586" s="117" t="inlineStr">
        <is>
          <t>552264</t>
        </is>
      </c>
      <c r="B1586" s="117" t="n">
        <v>14959</v>
      </c>
      <c r="C1586" s="117" t="inlineStr">
        <is>
          <t>United Kingdom</t>
        </is>
      </c>
      <c r="D1586" s="117" t="inlineStr">
        <is>
          <t>84978</t>
        </is>
      </c>
      <c r="E1586" s="117" t="inlineStr">
        <is>
          <t>HANGING HEART JAR T-LIGHT HOLDER</t>
        </is>
      </c>
      <c r="F1586" s="117" t="n">
        <v>12</v>
      </c>
      <c r="G1586" s="118" t="n">
        <v>1.25</v>
      </c>
      <c r="H1586" s="118" t="n">
        <v>15</v>
      </c>
      <c r="I1586" s="119" t="n">
        <v>40671</v>
      </c>
    </row>
    <row r="1587">
      <c r="A1587" s="114" t="inlineStr">
        <is>
          <t>552265</t>
        </is>
      </c>
      <c r="B1587" s="114" t="n">
        <v>14161</v>
      </c>
      <c r="C1587" s="114" t="inlineStr">
        <is>
          <t>United Kingdom</t>
        </is>
      </c>
      <c r="D1587" s="114" t="inlineStr">
        <is>
          <t>85123A</t>
        </is>
      </c>
      <c r="E1587" s="114" t="inlineStr">
        <is>
          <t>WHITE HANGING HEART T-LIGHT HOLDER</t>
        </is>
      </c>
      <c r="F1587" s="114" t="n">
        <v>6</v>
      </c>
      <c r="G1587" s="115" t="n">
        <v>2.95</v>
      </c>
      <c r="H1587" s="115" t="n">
        <v>17.7</v>
      </c>
      <c r="I1587" s="116" t="n">
        <v>40671</v>
      </c>
    </row>
    <row r="1588">
      <c r="A1588" s="117" t="inlineStr">
        <is>
          <t>552268</t>
        </is>
      </c>
      <c r="B1588" s="117" t="n">
        <v>14709</v>
      </c>
      <c r="C1588" s="117" t="inlineStr">
        <is>
          <t>United Kingdom</t>
        </is>
      </c>
      <c r="D1588" s="117" t="inlineStr">
        <is>
          <t>21983</t>
        </is>
      </c>
      <c r="E1588" s="117" t="inlineStr">
        <is>
          <t xml:space="preserve">PACK OF 12 BLUE PAISLEY TISSUES </t>
        </is>
      </c>
      <c r="F1588" s="117" t="n">
        <v>24</v>
      </c>
      <c r="G1588" s="118" t="n">
        <v>0.29</v>
      </c>
      <c r="H1588" s="118" t="n">
        <v>6.96</v>
      </c>
      <c r="I1588" s="119" t="n">
        <v>40671</v>
      </c>
    </row>
    <row r="1589">
      <c r="A1589" s="114" t="inlineStr">
        <is>
          <t>552268</t>
        </is>
      </c>
      <c r="B1589" s="114" t="n">
        <v>14709</v>
      </c>
      <c r="C1589" s="114" t="inlineStr">
        <is>
          <t>United Kingdom</t>
        </is>
      </c>
      <c r="D1589" s="114" t="inlineStr">
        <is>
          <t>21931</t>
        </is>
      </c>
      <c r="E1589" s="114" t="inlineStr">
        <is>
          <t>JUMBO STORAGE BAG SUKI</t>
        </is>
      </c>
      <c r="F1589" s="114" t="n">
        <v>20</v>
      </c>
      <c r="G1589" s="115" t="n">
        <v>2.08</v>
      </c>
      <c r="H1589" s="115" t="n">
        <v>41.6</v>
      </c>
      <c r="I1589" s="116" t="n">
        <v>40671</v>
      </c>
    </row>
    <row r="1590">
      <c r="A1590" s="117" t="inlineStr">
        <is>
          <t>552269</t>
        </is>
      </c>
      <c r="B1590" s="117" t="n">
        <v>16121</v>
      </c>
      <c r="C1590" s="117" t="inlineStr">
        <is>
          <t>United Kingdom</t>
        </is>
      </c>
      <c r="D1590" s="117" t="inlineStr">
        <is>
          <t>22993</t>
        </is>
      </c>
      <c r="E1590" s="117" t="inlineStr">
        <is>
          <t>SET OF 4 PANTRY JELLY MOULDS</t>
        </is>
      </c>
      <c r="F1590" s="117" t="n">
        <v>4</v>
      </c>
      <c r="G1590" s="118" t="n">
        <v>1.25</v>
      </c>
      <c r="H1590" s="118" t="n">
        <v>5</v>
      </c>
      <c r="I1590" s="119" t="n">
        <v>40671</v>
      </c>
    </row>
    <row r="1591">
      <c r="A1591" s="114" t="inlineStr">
        <is>
          <t>552273</t>
        </is>
      </c>
      <c r="B1591" s="114" t="n">
        <v>13021</v>
      </c>
      <c r="C1591" s="114" t="inlineStr">
        <is>
          <t>United Kingdom</t>
        </is>
      </c>
      <c r="D1591" s="114" t="inlineStr">
        <is>
          <t>22569</t>
        </is>
      </c>
      <c r="E1591" s="114" t="inlineStr">
        <is>
          <t>FELTCRAFT CUSHION BUTTERFLY</t>
        </is>
      </c>
      <c r="F1591" s="114" t="n">
        <v>4</v>
      </c>
      <c r="G1591" s="115" t="n">
        <v>3.75</v>
      </c>
      <c r="H1591" s="115" t="n">
        <v>15</v>
      </c>
      <c r="I1591" s="116" t="n">
        <v>40671</v>
      </c>
    </row>
    <row r="1592">
      <c r="A1592" s="117" t="inlineStr">
        <is>
          <t>552273</t>
        </is>
      </c>
      <c r="B1592" s="117" t="n">
        <v>13021</v>
      </c>
      <c r="C1592" s="117" t="inlineStr">
        <is>
          <t>United Kingdom</t>
        </is>
      </c>
      <c r="D1592" s="117" t="inlineStr">
        <is>
          <t>21749</t>
        </is>
      </c>
      <c r="E1592" s="117" t="inlineStr">
        <is>
          <t>LARGE RED RETROSPOT WINDMILL</t>
        </is>
      </c>
      <c r="F1592" s="117" t="n">
        <v>24</v>
      </c>
      <c r="G1592" s="118" t="n">
        <v>2.1</v>
      </c>
      <c r="H1592" s="118" t="n">
        <v>50.4</v>
      </c>
      <c r="I1592" s="119" t="n">
        <v>40671</v>
      </c>
    </row>
    <row r="1593">
      <c r="A1593" s="114" t="inlineStr">
        <is>
          <t>552276</t>
        </is>
      </c>
      <c r="B1593" s="114" t="n">
        <v>18142</v>
      </c>
      <c r="C1593" s="114" t="inlineStr">
        <is>
          <t>United Kingdom</t>
        </is>
      </c>
      <c r="D1593" s="114" t="inlineStr">
        <is>
          <t>21703</t>
        </is>
      </c>
      <c r="E1593" s="114" t="inlineStr">
        <is>
          <t>BAG 125g SWIRLY MARBLES</t>
        </is>
      </c>
      <c r="F1593" s="114" t="n">
        <v>72</v>
      </c>
      <c r="G1593" s="115" t="n">
        <v>0.42</v>
      </c>
      <c r="H1593" s="115" t="n">
        <v>30.24</v>
      </c>
      <c r="I1593" s="116" t="n">
        <v>40671</v>
      </c>
    </row>
    <row r="1594">
      <c r="A1594" s="117" t="inlineStr">
        <is>
          <t>552278</t>
        </is>
      </c>
      <c r="B1594" s="117" t="n">
        <v>15059</v>
      </c>
      <c r="C1594" s="117" t="inlineStr">
        <is>
          <t>United Kingdom</t>
        </is>
      </c>
      <c r="D1594" s="117" t="inlineStr">
        <is>
          <t>82482</t>
        </is>
      </c>
      <c r="E1594" s="117" t="inlineStr">
        <is>
          <t>WOODEN PICTURE FRAME WHITE FINISH</t>
        </is>
      </c>
      <c r="F1594" s="117" t="n">
        <v>4</v>
      </c>
      <c r="G1594" s="118" t="n">
        <v>2.55</v>
      </c>
      <c r="H1594" s="118" t="n">
        <v>10.2</v>
      </c>
      <c r="I1594" s="119" t="n">
        <v>40671</v>
      </c>
    </row>
    <row r="1595">
      <c r="A1595" s="114" t="inlineStr">
        <is>
          <t>552282</t>
        </is>
      </c>
      <c r="B1595" s="114" t="n">
        <v>14040</v>
      </c>
      <c r="C1595" s="114" t="inlineStr">
        <is>
          <t>United Kingdom</t>
        </is>
      </c>
      <c r="D1595" s="114" t="inlineStr">
        <is>
          <t>23006</t>
        </is>
      </c>
      <c r="E1595" s="114" t="inlineStr">
        <is>
          <t>TRAVEL CARD WALLET FLOWER MEADOW</t>
        </is>
      </c>
      <c r="F1595" s="114" t="n">
        <v>7</v>
      </c>
      <c r="G1595" s="115" t="n">
        <v>0.42</v>
      </c>
      <c r="H1595" s="115" t="n">
        <v>2.94</v>
      </c>
      <c r="I1595" s="116" t="n">
        <v>40671</v>
      </c>
    </row>
    <row r="1596">
      <c r="A1596" s="117" t="inlineStr">
        <is>
          <t>552285</t>
        </is>
      </c>
      <c r="B1596" s="117" t="n">
        <v>14684</v>
      </c>
      <c r="C1596" s="117" t="inlineStr">
        <is>
          <t>United Kingdom</t>
        </is>
      </c>
      <c r="D1596" s="117" t="inlineStr">
        <is>
          <t>21212</t>
        </is>
      </c>
      <c r="E1596" s="117" t="inlineStr">
        <is>
          <t>PACK OF 72 RETROSPOT CAKE CASES</t>
        </is>
      </c>
      <c r="F1596" s="117" t="n">
        <v>1</v>
      </c>
      <c r="G1596" s="118" t="n">
        <v>0.55</v>
      </c>
      <c r="H1596" s="118" t="n">
        <v>0.55</v>
      </c>
      <c r="I1596" s="119" t="n">
        <v>40671</v>
      </c>
    </row>
    <row r="1597">
      <c r="A1597" s="114" t="inlineStr">
        <is>
          <t>552290</t>
        </is>
      </c>
      <c r="B1597" s="114" t="n">
        <v>16007</v>
      </c>
      <c r="C1597" s="114" t="inlineStr">
        <is>
          <t>United Kingdom</t>
        </is>
      </c>
      <c r="D1597" s="114" t="inlineStr">
        <is>
          <t>23148</t>
        </is>
      </c>
      <c r="E1597" s="114" t="inlineStr">
        <is>
          <t>MINIATURE ANTIQUE ROSE HOOK IVORY</t>
        </is>
      </c>
      <c r="F1597" s="114" t="n">
        <v>6</v>
      </c>
      <c r="G1597" s="115" t="n">
        <v>0.83</v>
      </c>
      <c r="H1597" s="115" t="n">
        <v>4.98</v>
      </c>
      <c r="I1597" s="116" t="n">
        <v>40671</v>
      </c>
    </row>
    <row r="1598">
      <c r="A1598" s="117" t="inlineStr">
        <is>
          <t>552302</t>
        </is>
      </c>
      <c r="B1598" s="117" t="n">
        <v>14606</v>
      </c>
      <c r="C1598" s="117" t="inlineStr">
        <is>
          <t>United Kingdom</t>
        </is>
      </c>
      <c r="D1598" s="117" t="inlineStr">
        <is>
          <t>22380</t>
        </is>
      </c>
      <c r="E1598" s="117" t="inlineStr">
        <is>
          <t xml:space="preserve">TOY TIDY SPACEBOY  </t>
        </is>
      </c>
      <c r="F1598" s="117" t="n">
        <v>1</v>
      </c>
      <c r="G1598" s="118" t="n">
        <v>2.1</v>
      </c>
      <c r="H1598" s="118" t="n">
        <v>2.1</v>
      </c>
      <c r="I1598" s="119" t="n">
        <v>40671</v>
      </c>
    </row>
    <row r="1599">
      <c r="A1599" s="114" t="inlineStr">
        <is>
          <t>552302</t>
        </is>
      </c>
      <c r="B1599" s="114" t="n">
        <v>14606</v>
      </c>
      <c r="C1599" s="114" t="inlineStr">
        <is>
          <t>United Kingdom</t>
        </is>
      </c>
      <c r="D1599" s="114" t="inlineStr">
        <is>
          <t>20868</t>
        </is>
      </c>
      <c r="E1599" s="114" t="inlineStr">
        <is>
          <t>SILVER FABRIC MIRROR</t>
        </is>
      </c>
      <c r="F1599" s="114" t="n">
        <v>1</v>
      </c>
      <c r="G1599" s="115" t="n">
        <v>1.25</v>
      </c>
      <c r="H1599" s="115" t="n">
        <v>1.25</v>
      </c>
      <c r="I1599" s="116" t="n">
        <v>40671</v>
      </c>
    </row>
    <row r="1600">
      <c r="A1600" s="117" t="inlineStr">
        <is>
          <t>552304</t>
        </is>
      </c>
      <c r="B1600" s="117" t="n">
        <v>12748</v>
      </c>
      <c r="C1600" s="117" t="inlineStr">
        <is>
          <t>United Kingdom</t>
        </is>
      </c>
      <c r="D1600" s="117" t="inlineStr">
        <is>
          <t>20679</t>
        </is>
      </c>
      <c r="E1600" s="117" t="inlineStr">
        <is>
          <t>EDWARDIAN PARASOL RED</t>
        </is>
      </c>
      <c r="F1600" s="117" t="n">
        <v>1</v>
      </c>
      <c r="G1600" s="118" t="n">
        <v>5.95</v>
      </c>
      <c r="H1600" s="118" t="n">
        <v>5.95</v>
      </c>
      <c r="I1600" s="119" t="n">
        <v>40671</v>
      </c>
    </row>
    <row r="1601">
      <c r="A1601" s="114" t="inlineStr">
        <is>
          <t>552306</t>
        </is>
      </c>
      <c r="B1601" s="114" t="n">
        <v>13911</v>
      </c>
      <c r="C1601" s="114" t="inlineStr">
        <is>
          <t>United Kingdom</t>
        </is>
      </c>
      <c r="D1601" s="114" t="inlineStr">
        <is>
          <t>21922</t>
        </is>
      </c>
      <c r="E1601" s="114" t="inlineStr">
        <is>
          <t>UNION STRIPE WITH FRINGE  HAMMOCK</t>
        </is>
      </c>
      <c r="F1601" s="114" t="n">
        <v>2</v>
      </c>
      <c r="G1601" s="115" t="n">
        <v>7.95</v>
      </c>
      <c r="H1601" s="115" t="n">
        <v>15.9</v>
      </c>
      <c r="I1601" s="116" t="n">
        <v>40671</v>
      </c>
    </row>
    <row r="1602">
      <c r="A1602" s="117" t="inlineStr">
        <is>
          <t>552315</t>
        </is>
      </c>
      <c r="B1602" s="117" t="n">
        <v>12700</v>
      </c>
      <c r="C1602" s="117" t="inlineStr">
        <is>
          <t>France</t>
        </is>
      </c>
      <c r="D1602" s="117" t="inlineStr">
        <is>
          <t>84997D</t>
        </is>
      </c>
      <c r="E1602" s="117" t="inlineStr">
        <is>
          <t>CHILDRENS CUTLERY POLKADOT PINK</t>
        </is>
      </c>
      <c r="F1602" s="117" t="n">
        <v>4</v>
      </c>
      <c r="G1602" s="118" t="n">
        <v>4.15</v>
      </c>
      <c r="H1602" s="118" t="n">
        <v>16.6</v>
      </c>
      <c r="I1602" s="119" t="n">
        <v>40671</v>
      </c>
    </row>
    <row r="1603">
      <c r="A1603" s="114" t="inlineStr">
        <is>
          <t>552315</t>
        </is>
      </c>
      <c r="B1603" s="114" t="n">
        <v>12700</v>
      </c>
      <c r="C1603" s="114" t="inlineStr">
        <is>
          <t>France</t>
        </is>
      </c>
      <c r="D1603" s="114" t="inlineStr">
        <is>
          <t>22417</t>
        </is>
      </c>
      <c r="E1603" s="114" t="inlineStr">
        <is>
          <t>PACK OF 60 SPACEBOY CAKE CASES</t>
        </is>
      </c>
      <c r="F1603" s="114" t="n">
        <v>24</v>
      </c>
      <c r="G1603" s="115" t="n">
        <v>0.55</v>
      </c>
      <c r="H1603" s="115" t="n">
        <v>13.2</v>
      </c>
      <c r="I1603" s="116" t="n">
        <v>40671</v>
      </c>
    </row>
    <row r="1604">
      <c r="A1604" s="117" t="inlineStr">
        <is>
          <t>552316</t>
        </is>
      </c>
      <c r="B1604" s="117" t="n">
        <v>15674</v>
      </c>
      <c r="C1604" s="117" t="inlineStr">
        <is>
          <t>United Kingdom</t>
        </is>
      </c>
      <c r="D1604" s="117" t="inlineStr">
        <is>
          <t>23298</t>
        </is>
      </c>
      <c r="E1604" s="117" t="inlineStr">
        <is>
          <t>SPOTTY BUNTING</t>
        </is>
      </c>
      <c r="F1604" s="117" t="n">
        <v>3</v>
      </c>
      <c r="G1604" s="118" t="n">
        <v>4.95</v>
      </c>
      <c r="H1604" s="118" t="n">
        <v>14.85</v>
      </c>
      <c r="I1604" s="119" t="n">
        <v>40671</v>
      </c>
    </row>
    <row r="1605">
      <c r="A1605" s="114" t="inlineStr">
        <is>
          <t>552320</t>
        </is>
      </c>
      <c r="B1605" s="114" t="n">
        <v>13985</v>
      </c>
      <c r="C1605" s="114" t="inlineStr">
        <is>
          <t>United Kingdom</t>
        </is>
      </c>
      <c r="D1605" s="114" t="inlineStr">
        <is>
          <t>20725</t>
        </is>
      </c>
      <c r="E1605" s="114" t="inlineStr">
        <is>
          <t>LUNCH BAG RED RETROSPOT</t>
        </is>
      </c>
      <c r="F1605" s="114" t="n">
        <v>10</v>
      </c>
      <c r="G1605" s="115" t="n">
        <v>1.65</v>
      </c>
      <c r="H1605" s="115" t="n">
        <v>16.5</v>
      </c>
      <c r="I1605" s="116" t="n">
        <v>40672</v>
      </c>
    </row>
    <row r="1606">
      <c r="A1606" s="117" t="inlineStr">
        <is>
          <t>552321</t>
        </is>
      </c>
      <c r="B1606" s="117" t="n">
        <v>17049</v>
      </c>
      <c r="C1606" s="117" t="inlineStr">
        <is>
          <t>United Kingdom</t>
        </is>
      </c>
      <c r="D1606" s="117" t="inlineStr">
        <is>
          <t>20711</t>
        </is>
      </c>
      <c r="E1606" s="117" t="inlineStr">
        <is>
          <t xml:space="preserve">JUMBO BAG TOYS </t>
        </is>
      </c>
      <c r="F1606" s="117" t="n">
        <v>10</v>
      </c>
      <c r="G1606" s="118" t="n">
        <v>2.08</v>
      </c>
      <c r="H1606" s="118" t="n">
        <v>20.8</v>
      </c>
      <c r="I1606" s="119" t="n">
        <v>40672</v>
      </c>
    </row>
    <row r="1607">
      <c r="A1607" s="114" t="inlineStr">
        <is>
          <t>552323</t>
        </is>
      </c>
      <c r="B1607" s="114" t="n">
        <v>16756</v>
      </c>
      <c r="C1607" s="114" t="inlineStr">
        <is>
          <t>United Kingdom</t>
        </is>
      </c>
      <c r="D1607" s="114" t="inlineStr">
        <is>
          <t>23298</t>
        </is>
      </c>
      <c r="E1607" s="114" t="inlineStr">
        <is>
          <t>SPOTTY BUNTING</t>
        </is>
      </c>
      <c r="F1607" s="114" t="n">
        <v>6</v>
      </c>
      <c r="G1607" s="115" t="n">
        <v>4.95</v>
      </c>
      <c r="H1607" s="115" t="n">
        <v>29.7</v>
      </c>
      <c r="I1607" s="116" t="n">
        <v>40672</v>
      </c>
    </row>
    <row r="1608">
      <c r="A1608" s="117" t="inlineStr">
        <is>
          <t>552328</t>
        </is>
      </c>
      <c r="B1608" s="117" t="n">
        <v>14188</v>
      </c>
      <c r="C1608" s="117" t="inlineStr">
        <is>
          <t>United Kingdom</t>
        </is>
      </c>
      <c r="D1608" s="117" t="inlineStr">
        <is>
          <t>22380</t>
        </is>
      </c>
      <c r="E1608" s="117" t="inlineStr">
        <is>
          <t xml:space="preserve">TOY TIDY SPACEBOY  </t>
        </is>
      </c>
      <c r="F1608" s="117" t="n">
        <v>10</v>
      </c>
      <c r="G1608" s="118" t="n">
        <v>2.1</v>
      </c>
      <c r="H1608" s="118" t="n">
        <v>21</v>
      </c>
      <c r="I1608" s="119" t="n">
        <v>40672</v>
      </c>
    </row>
    <row r="1609">
      <c r="A1609" s="114" t="inlineStr">
        <is>
          <t>552328</t>
        </is>
      </c>
      <c r="B1609" s="114" t="n">
        <v>14188</v>
      </c>
      <c r="C1609" s="114" t="inlineStr">
        <is>
          <t>United Kingdom</t>
        </is>
      </c>
      <c r="D1609" s="114" t="inlineStr">
        <is>
          <t>22664</t>
        </is>
      </c>
      <c r="E1609" s="114" t="inlineStr">
        <is>
          <t>TOY TIDY DOLLY GIRL DESIGN</t>
        </is>
      </c>
      <c r="F1609" s="114" t="n">
        <v>10</v>
      </c>
      <c r="G1609" s="115" t="n">
        <v>2.1</v>
      </c>
      <c r="H1609" s="115" t="n">
        <v>21</v>
      </c>
      <c r="I1609" s="116" t="n">
        <v>40672</v>
      </c>
    </row>
    <row r="1610">
      <c r="A1610" s="117" t="inlineStr">
        <is>
          <t>552332</t>
        </is>
      </c>
      <c r="B1610" s="117" t="n">
        <v>13908</v>
      </c>
      <c r="C1610" s="117" t="inlineStr">
        <is>
          <t>United Kingdom</t>
        </is>
      </c>
      <c r="D1610" s="117" t="inlineStr">
        <is>
          <t>21035</t>
        </is>
      </c>
      <c r="E1610" s="117" t="inlineStr">
        <is>
          <t xml:space="preserve">SET/2 RED RETROSPOT TEA TOWELS </t>
        </is>
      </c>
      <c r="F1610" s="117" t="n">
        <v>6</v>
      </c>
      <c r="G1610" s="118" t="n">
        <v>3.25</v>
      </c>
      <c r="H1610" s="118" t="n">
        <v>19.5</v>
      </c>
      <c r="I1610" s="119" t="n">
        <v>40672</v>
      </c>
    </row>
    <row r="1611">
      <c r="A1611" s="114" t="inlineStr">
        <is>
          <t>552333</t>
        </is>
      </c>
      <c r="B1611" s="114" t="n">
        <v>15039</v>
      </c>
      <c r="C1611" s="114" t="inlineStr">
        <is>
          <t>United Kingdom</t>
        </is>
      </c>
      <c r="D1611" s="114" t="inlineStr">
        <is>
          <t>21043</t>
        </is>
      </c>
      <c r="E1611" s="114" t="inlineStr">
        <is>
          <t>APRON MODERN VINTAGE COTTON</t>
        </is>
      </c>
      <c r="F1611" s="114" t="n">
        <v>2</v>
      </c>
      <c r="G1611" s="115" t="n">
        <v>1.95</v>
      </c>
      <c r="H1611" s="115" t="n">
        <v>3.9</v>
      </c>
      <c r="I1611" s="116" t="n">
        <v>40672</v>
      </c>
    </row>
    <row r="1612">
      <c r="A1612" s="117" t="inlineStr">
        <is>
          <t>552364</t>
        </is>
      </c>
      <c r="B1612" s="117" t="n">
        <v>13004</v>
      </c>
      <c r="C1612" s="117" t="inlineStr">
        <is>
          <t>United Kingdom</t>
        </is>
      </c>
      <c r="D1612" s="117" t="inlineStr">
        <is>
          <t>22355</t>
        </is>
      </c>
      <c r="E1612" s="117" t="inlineStr">
        <is>
          <t>CHARLOTTE BAG SUKI DESIGN</t>
        </is>
      </c>
      <c r="F1612" s="117" t="n">
        <v>10</v>
      </c>
      <c r="G1612" s="118" t="n">
        <v>0.85</v>
      </c>
      <c r="H1612" s="118" t="n">
        <v>8.5</v>
      </c>
      <c r="I1612" s="119" t="n">
        <v>40672</v>
      </c>
    </row>
    <row r="1613">
      <c r="A1613" s="114" t="inlineStr">
        <is>
          <t>552371</t>
        </is>
      </c>
      <c r="B1613" s="114" t="n">
        <v>17629</v>
      </c>
      <c r="C1613" s="114" t="inlineStr">
        <is>
          <t>United Kingdom</t>
        </is>
      </c>
      <c r="D1613" s="114" t="inlineStr">
        <is>
          <t>22197</t>
        </is>
      </c>
      <c r="E1613" s="114" t="inlineStr">
        <is>
          <t>SMALL POPCORN HOLDER</t>
        </is>
      </c>
      <c r="F1613" s="114" t="n">
        <v>6</v>
      </c>
      <c r="G1613" s="115" t="n">
        <v>0.85</v>
      </c>
      <c r="H1613" s="115" t="n">
        <v>5.1</v>
      </c>
      <c r="I1613" s="116" t="n">
        <v>40672</v>
      </c>
    </row>
    <row r="1614">
      <c r="A1614" s="117" t="inlineStr">
        <is>
          <t>552372</t>
        </is>
      </c>
      <c r="B1614" s="117" t="n">
        <v>13394</v>
      </c>
      <c r="C1614" s="117" t="inlineStr">
        <is>
          <t>United Kingdom</t>
        </is>
      </c>
      <c r="D1614" s="117" t="inlineStr">
        <is>
          <t>85016</t>
        </is>
      </c>
      <c r="E1614" s="117" t="inlineStr">
        <is>
          <t>SET OF 6 VINTAGE NOTELETS KIT</t>
        </is>
      </c>
      <c r="F1614" s="117" t="n">
        <v>24</v>
      </c>
      <c r="G1614" s="118" t="n">
        <v>0.65</v>
      </c>
      <c r="H1614" s="118" t="n">
        <v>15.6</v>
      </c>
      <c r="I1614" s="119" t="n">
        <v>40672</v>
      </c>
    </row>
    <row r="1615">
      <c r="A1615" s="114" t="inlineStr">
        <is>
          <t>552410</t>
        </is>
      </c>
      <c r="B1615" s="114" t="n">
        <v>14527</v>
      </c>
      <c r="C1615" s="114" t="inlineStr">
        <is>
          <t>United Kingdom</t>
        </is>
      </c>
      <c r="D1615" s="114" t="inlineStr">
        <is>
          <t>21927</t>
        </is>
      </c>
      <c r="E1615" s="114" t="inlineStr">
        <is>
          <t xml:space="preserve">BLUE/CREAM STRIPE CUSHION COVER </t>
        </is>
      </c>
      <c r="F1615" s="114" t="n">
        <v>3</v>
      </c>
      <c r="G1615" s="115" t="n">
        <v>1.25</v>
      </c>
      <c r="H1615" s="115" t="n">
        <v>3.75</v>
      </c>
      <c r="I1615" s="116" t="n">
        <v>40672</v>
      </c>
    </row>
    <row r="1616">
      <c r="A1616" s="117" t="inlineStr">
        <is>
          <t>552418</t>
        </is>
      </c>
      <c r="B1616" s="117" t="n">
        <v>13971</v>
      </c>
      <c r="C1616" s="117" t="inlineStr">
        <is>
          <t>United Kingdom</t>
        </is>
      </c>
      <c r="D1616" s="117" t="inlineStr">
        <is>
          <t>23203</t>
        </is>
      </c>
      <c r="E1616" s="117" t="inlineStr">
        <is>
          <t>JUMBO BAG DOILEY PATTERNS</t>
        </is>
      </c>
      <c r="F1616" s="117" t="n">
        <v>10</v>
      </c>
      <c r="G1616" s="118" t="n">
        <v>2.08</v>
      </c>
      <c r="H1616" s="118" t="n">
        <v>20.8</v>
      </c>
      <c r="I1616" s="119" t="n">
        <v>40672</v>
      </c>
    </row>
    <row r="1617">
      <c r="A1617" s="114" t="inlineStr">
        <is>
          <t>552453</t>
        </is>
      </c>
      <c r="B1617" s="114" t="n">
        <v>12840</v>
      </c>
      <c r="C1617" s="114" t="inlineStr">
        <is>
          <t>United Kingdom</t>
        </is>
      </c>
      <c r="D1617" s="114" t="inlineStr">
        <is>
          <t>21933</t>
        </is>
      </c>
      <c r="E1617" s="114" t="inlineStr">
        <is>
          <t>PINK VINTAGE PAISLEY PICNIC BAG</t>
        </is>
      </c>
      <c r="F1617" s="114" t="n">
        <v>20</v>
      </c>
      <c r="G1617" s="115" t="n">
        <v>1.65</v>
      </c>
      <c r="H1617" s="115" t="n">
        <v>33</v>
      </c>
      <c r="I1617" s="116" t="n">
        <v>40672</v>
      </c>
    </row>
    <row r="1618">
      <c r="A1618" s="117" t="inlineStr">
        <is>
          <t>552457</t>
        </is>
      </c>
      <c r="B1618" s="117" t="n">
        <v>16477</v>
      </c>
      <c r="C1618" s="117" t="inlineStr">
        <is>
          <t>United Kingdom</t>
        </is>
      </c>
      <c r="D1618" s="117" t="inlineStr">
        <is>
          <t>20725</t>
        </is>
      </c>
      <c r="E1618" s="117" t="inlineStr">
        <is>
          <t>LUNCH BAG RED RETROSPOT</t>
        </is>
      </c>
      <c r="F1618" s="117" t="n">
        <v>10</v>
      </c>
      <c r="G1618" s="118" t="n">
        <v>1.65</v>
      </c>
      <c r="H1618" s="118" t="n">
        <v>16.5</v>
      </c>
      <c r="I1618" s="119" t="n">
        <v>40672</v>
      </c>
    </row>
    <row r="1619">
      <c r="A1619" s="114" t="inlineStr">
        <is>
          <t>552465</t>
        </is>
      </c>
      <c r="B1619" s="114" t="n">
        <v>16242</v>
      </c>
      <c r="C1619" s="114" t="inlineStr">
        <is>
          <t>United Kingdom</t>
        </is>
      </c>
      <c r="D1619" s="114" t="inlineStr">
        <is>
          <t>23203</t>
        </is>
      </c>
      <c r="E1619" s="114" t="inlineStr">
        <is>
          <t>JUMBO BAG DOILEY PATTERNS</t>
        </is>
      </c>
      <c r="F1619" s="114" t="n">
        <v>6</v>
      </c>
      <c r="G1619" s="115" t="n">
        <v>2.08</v>
      </c>
      <c r="H1619" s="115" t="n">
        <v>12.48</v>
      </c>
      <c r="I1619" s="116" t="n">
        <v>40672</v>
      </c>
    </row>
    <row r="1620">
      <c r="A1620" s="117" t="inlineStr">
        <is>
          <t>552469</t>
        </is>
      </c>
      <c r="B1620" s="117" t="n">
        <v>12867</v>
      </c>
      <c r="C1620" s="117" t="inlineStr">
        <is>
          <t>United Kingdom</t>
        </is>
      </c>
      <c r="D1620" s="117" t="inlineStr">
        <is>
          <t>21870</t>
        </is>
      </c>
      <c r="E1620" s="117" t="inlineStr">
        <is>
          <t>I CAN ONLY PLEASE ONE PERSON MUG</t>
        </is>
      </c>
      <c r="F1620" s="117" t="n">
        <v>6</v>
      </c>
      <c r="G1620" s="118" t="n">
        <v>1.25</v>
      </c>
      <c r="H1620" s="118" t="n">
        <v>7.5</v>
      </c>
      <c r="I1620" s="119" t="n">
        <v>40672</v>
      </c>
    </row>
    <row r="1621">
      <c r="A1621" s="114" t="inlineStr">
        <is>
          <t>552530</t>
        </is>
      </c>
      <c r="B1621" s="114" t="n">
        <v>13055</v>
      </c>
      <c r="C1621" s="114" t="inlineStr">
        <is>
          <t>United Kingdom</t>
        </is>
      </c>
      <c r="D1621" s="114" t="inlineStr">
        <is>
          <t>23206</t>
        </is>
      </c>
      <c r="E1621" s="114" t="inlineStr">
        <is>
          <t>LUNCH BAG APPLE DESIGN</t>
        </is>
      </c>
      <c r="F1621" s="114" t="n">
        <v>10</v>
      </c>
      <c r="G1621" s="115" t="n">
        <v>1.65</v>
      </c>
      <c r="H1621" s="115" t="n">
        <v>16.5</v>
      </c>
      <c r="I1621" s="116" t="n">
        <v>40673</v>
      </c>
    </row>
    <row r="1622">
      <c r="A1622" s="117" t="inlineStr">
        <is>
          <t>552550</t>
        </is>
      </c>
      <c r="B1622" s="117" t="n">
        <v>13881</v>
      </c>
      <c r="C1622" s="117" t="inlineStr">
        <is>
          <t>United Kingdom</t>
        </is>
      </c>
      <c r="D1622" s="117" t="inlineStr">
        <is>
          <t>22969</t>
        </is>
      </c>
      <c r="E1622" s="117" t="inlineStr">
        <is>
          <t>HOMEMADE JAM SCENTED CANDLES</t>
        </is>
      </c>
      <c r="F1622" s="117" t="n">
        <v>96</v>
      </c>
      <c r="G1622" s="118" t="n">
        <v>1.25</v>
      </c>
      <c r="H1622" s="118" t="n">
        <v>120</v>
      </c>
      <c r="I1622" s="119" t="n">
        <v>40673</v>
      </c>
    </row>
    <row r="1623">
      <c r="A1623" s="114" t="inlineStr">
        <is>
          <t>552554</t>
        </is>
      </c>
      <c r="B1623" s="114" t="n">
        <v>12843</v>
      </c>
      <c r="C1623" s="114" t="inlineStr">
        <is>
          <t>United Kingdom</t>
        </is>
      </c>
      <c r="D1623" s="114" t="inlineStr">
        <is>
          <t>22851</t>
        </is>
      </c>
      <c r="E1623" s="114" t="inlineStr">
        <is>
          <t xml:space="preserve">SET 20 NAPKINS FAIRY CAKES DESIGN </t>
        </is>
      </c>
      <c r="F1623" s="114" t="n">
        <v>12</v>
      </c>
      <c r="G1623" s="115" t="n">
        <v>0.85</v>
      </c>
      <c r="H1623" s="115" t="n">
        <v>10.2</v>
      </c>
      <c r="I1623" s="116" t="n">
        <v>40673</v>
      </c>
    </row>
    <row r="1624">
      <c r="A1624" s="117" t="inlineStr">
        <is>
          <t>552555</t>
        </is>
      </c>
      <c r="B1624" s="117" t="n">
        <v>18242</v>
      </c>
      <c r="C1624" s="117" t="inlineStr">
        <is>
          <t>United Kingdom</t>
        </is>
      </c>
      <c r="D1624" s="117" t="inlineStr">
        <is>
          <t>84970S</t>
        </is>
      </c>
      <c r="E1624" s="117" t="inlineStr">
        <is>
          <t>HANGING HEART ZINC T-LIGHT HOLDER</t>
        </is>
      </c>
      <c r="F1624" s="117" t="n">
        <v>12</v>
      </c>
      <c r="G1624" s="118" t="n">
        <v>0.85</v>
      </c>
      <c r="H1624" s="118" t="n">
        <v>10.2</v>
      </c>
      <c r="I1624" s="119" t="n">
        <v>40673</v>
      </c>
    </row>
    <row r="1625">
      <c r="A1625" s="114" t="inlineStr">
        <is>
          <t>552574</t>
        </is>
      </c>
      <c r="B1625" s="114" t="n">
        <v>15311</v>
      </c>
      <c r="C1625" s="114" t="inlineStr">
        <is>
          <t>United Kingdom</t>
        </is>
      </c>
      <c r="D1625" s="114" t="inlineStr">
        <is>
          <t>21670</t>
        </is>
      </c>
      <c r="E1625" s="114" t="inlineStr">
        <is>
          <t>BLUE SPOT CERAMIC DRAWER KNOB</t>
        </is>
      </c>
      <c r="F1625" s="114" t="n">
        <v>96</v>
      </c>
      <c r="G1625" s="115" t="n">
        <v>1.06</v>
      </c>
      <c r="H1625" s="115" t="n">
        <v>101.76</v>
      </c>
      <c r="I1625" s="116" t="n">
        <v>40673</v>
      </c>
    </row>
    <row r="1626">
      <c r="A1626" s="117" t="inlineStr">
        <is>
          <t>552624</t>
        </is>
      </c>
      <c r="B1626" s="117" t="n">
        <v>14505</v>
      </c>
      <c r="C1626" s="117" t="inlineStr">
        <is>
          <t>United Kingdom</t>
        </is>
      </c>
      <c r="D1626" s="117" t="inlineStr">
        <is>
          <t>23299</t>
        </is>
      </c>
      <c r="E1626" s="117" t="inlineStr">
        <is>
          <t xml:space="preserve">FOOD COVER WITH BEADS SET 2 </t>
        </is>
      </c>
      <c r="F1626" s="117" t="n">
        <v>2</v>
      </c>
      <c r="G1626" s="118" t="n">
        <v>3.75</v>
      </c>
      <c r="H1626" s="118" t="n">
        <v>7.5</v>
      </c>
      <c r="I1626" s="119" t="n">
        <v>40673</v>
      </c>
    </row>
    <row r="1627">
      <c r="A1627" s="114" t="inlineStr">
        <is>
          <t>552631</t>
        </is>
      </c>
      <c r="B1627" s="114" t="n">
        <v>12684</v>
      </c>
      <c r="C1627" s="114" t="inlineStr">
        <is>
          <t>France</t>
        </is>
      </c>
      <c r="D1627" s="114" t="inlineStr">
        <is>
          <t>22629</t>
        </is>
      </c>
      <c r="E1627" s="114" t="inlineStr">
        <is>
          <t xml:space="preserve">SPACEBOY LUNCH BOX </t>
        </is>
      </c>
      <c r="F1627" s="114" t="n">
        <v>12</v>
      </c>
      <c r="G1627" s="115" t="n">
        <v>1.95</v>
      </c>
      <c r="H1627" s="115" t="n">
        <v>23.4</v>
      </c>
      <c r="I1627" s="116" t="n">
        <v>40673</v>
      </c>
    </row>
    <row r="1628">
      <c r="A1628" s="117" t="inlineStr">
        <is>
          <t>552638</t>
        </is>
      </c>
      <c r="B1628" s="117" t="n">
        <v>17700</v>
      </c>
      <c r="C1628" s="117" t="inlineStr">
        <is>
          <t>United Kingdom</t>
        </is>
      </c>
      <c r="D1628" s="117" t="inlineStr">
        <is>
          <t>84792</t>
        </is>
      </c>
      <c r="E1628" s="117" t="inlineStr">
        <is>
          <t>ENCHANTED BIRD COATHANGER 5 HOOK</t>
        </is>
      </c>
      <c r="F1628" s="117" t="n">
        <v>4</v>
      </c>
      <c r="G1628" s="118" t="n">
        <v>4.65</v>
      </c>
      <c r="H1628" s="118" t="n">
        <v>18.6</v>
      </c>
      <c r="I1628" s="119" t="n">
        <v>40673</v>
      </c>
    </row>
    <row r="1629">
      <c r="A1629" s="114" t="inlineStr">
        <is>
          <t>552643</t>
        </is>
      </c>
      <c r="B1629" s="114" t="n">
        <v>16791</v>
      </c>
      <c r="C1629" s="114" t="inlineStr">
        <is>
          <t>United Kingdom</t>
        </is>
      </c>
      <c r="D1629" s="114" t="inlineStr">
        <is>
          <t>85040A</t>
        </is>
      </c>
      <c r="E1629" s="114" t="inlineStr">
        <is>
          <t>S/4 PINK FLOWER CANDLES IN BOWL</t>
        </is>
      </c>
      <c r="F1629" s="114" t="n">
        <v>1</v>
      </c>
      <c r="G1629" s="115" t="n">
        <v>1.65</v>
      </c>
      <c r="H1629" s="115" t="n">
        <v>1.65</v>
      </c>
      <c r="I1629" s="116" t="n">
        <v>40673</v>
      </c>
    </row>
    <row r="1630">
      <c r="A1630" s="117" t="inlineStr">
        <is>
          <t>552643</t>
        </is>
      </c>
      <c r="B1630" s="117" t="n">
        <v>16791</v>
      </c>
      <c r="C1630" s="117" t="inlineStr">
        <is>
          <t>United Kingdom</t>
        </is>
      </c>
      <c r="D1630" s="117" t="inlineStr">
        <is>
          <t>85039B</t>
        </is>
      </c>
      <c r="E1630" s="117" t="inlineStr">
        <is>
          <t>S/4 IVORY MINI ROSE CANDLE IN BOWL</t>
        </is>
      </c>
      <c r="F1630" s="117" t="n">
        <v>1</v>
      </c>
      <c r="G1630" s="118" t="n">
        <v>1.65</v>
      </c>
      <c r="H1630" s="118" t="n">
        <v>1.65</v>
      </c>
      <c r="I1630" s="119" t="n">
        <v>40673</v>
      </c>
    </row>
    <row r="1631">
      <c r="A1631" s="114" t="inlineStr">
        <is>
          <t>552654</t>
        </is>
      </c>
      <c r="B1631" s="114" t="n">
        <v>15756</v>
      </c>
      <c r="C1631" s="114" t="inlineStr">
        <is>
          <t>United Kingdom</t>
        </is>
      </c>
      <c r="D1631" s="114" t="inlineStr">
        <is>
          <t>22853</t>
        </is>
      </c>
      <c r="E1631" s="114" t="inlineStr">
        <is>
          <t>CAT BOWL VINTAGE CREAM</t>
        </is>
      </c>
      <c r="F1631" s="114" t="n">
        <v>2</v>
      </c>
      <c r="G1631" s="115" t="n">
        <v>3.25</v>
      </c>
      <c r="H1631" s="115" t="n">
        <v>6.5</v>
      </c>
      <c r="I1631" s="116" t="n">
        <v>40673</v>
      </c>
    </row>
    <row r="1632">
      <c r="A1632" s="117" t="inlineStr">
        <is>
          <t>552695</t>
        </is>
      </c>
      <c r="B1632" s="117" t="n">
        <v>16320</v>
      </c>
      <c r="C1632" s="117" t="inlineStr">
        <is>
          <t>Unspecified</t>
        </is>
      </c>
      <c r="D1632" s="117" t="inlineStr">
        <is>
          <t>22924</t>
        </is>
      </c>
      <c r="E1632" s="117" t="inlineStr">
        <is>
          <t>FRIDGE MAGNETS LA VIE EN ROSE</t>
        </is>
      </c>
      <c r="F1632" s="117" t="n">
        <v>12</v>
      </c>
      <c r="G1632" s="118" t="n">
        <v>0.85</v>
      </c>
      <c r="H1632" s="118" t="n">
        <v>10.2</v>
      </c>
      <c r="I1632" s="119" t="n">
        <v>40673</v>
      </c>
    </row>
    <row r="1633">
      <c r="A1633" s="114" t="inlineStr">
        <is>
          <t>552695</t>
        </is>
      </c>
      <c r="B1633" s="114" t="n">
        <v>16320</v>
      </c>
      <c r="C1633" s="114" t="inlineStr">
        <is>
          <t>Unspecified</t>
        </is>
      </c>
      <c r="D1633" s="114" t="inlineStr">
        <is>
          <t>71459</t>
        </is>
      </c>
      <c r="E1633" s="114" t="inlineStr">
        <is>
          <t>HANGING JAM JAR T-LIGHT HOLDER</t>
        </is>
      </c>
      <c r="F1633" s="114" t="n">
        <v>24</v>
      </c>
      <c r="G1633" s="115" t="n">
        <v>0.85</v>
      </c>
      <c r="H1633" s="115" t="n">
        <v>20.4</v>
      </c>
      <c r="I1633" s="116" t="n">
        <v>40673</v>
      </c>
    </row>
    <row r="1634">
      <c r="A1634" s="117" t="inlineStr">
        <is>
          <t>552715</t>
        </is>
      </c>
      <c r="B1634" s="117" t="n">
        <v>12921</v>
      </c>
      <c r="C1634" s="117" t="inlineStr">
        <is>
          <t>United Kingdom</t>
        </is>
      </c>
      <c r="D1634" s="117" t="inlineStr">
        <is>
          <t>23171</t>
        </is>
      </c>
      <c r="E1634" s="117" t="inlineStr">
        <is>
          <t xml:space="preserve">REGENCY TEA PLATE GREEN </t>
        </is>
      </c>
      <c r="F1634" s="117" t="n">
        <v>12</v>
      </c>
      <c r="G1634" s="118" t="n">
        <v>1.65</v>
      </c>
      <c r="H1634" s="118" t="n">
        <v>19.8</v>
      </c>
      <c r="I1634" s="119" t="n">
        <v>40674</v>
      </c>
    </row>
    <row r="1635">
      <c r="A1635" s="114" t="inlineStr">
        <is>
          <t>552715</t>
        </is>
      </c>
      <c r="B1635" s="114" t="n">
        <v>12921</v>
      </c>
      <c r="C1635" s="114" t="inlineStr">
        <is>
          <t>United Kingdom</t>
        </is>
      </c>
      <c r="D1635" s="114" t="inlineStr">
        <is>
          <t>20971</t>
        </is>
      </c>
      <c r="E1635" s="114" t="inlineStr">
        <is>
          <t>PINK BLUE FELT CRAFT TRINKET BOX</t>
        </is>
      </c>
      <c r="F1635" s="114" t="n">
        <v>12</v>
      </c>
      <c r="G1635" s="115" t="n">
        <v>1.25</v>
      </c>
      <c r="H1635" s="115" t="n">
        <v>15</v>
      </c>
      <c r="I1635" s="116" t="n">
        <v>40674</v>
      </c>
    </row>
    <row r="1636">
      <c r="A1636" s="117" t="inlineStr">
        <is>
          <t>552731</t>
        </is>
      </c>
      <c r="B1636" s="117" t="n">
        <v>12372</v>
      </c>
      <c r="C1636" s="117" t="inlineStr">
        <is>
          <t>Denmark</t>
        </is>
      </c>
      <c r="D1636" s="117" t="inlineStr">
        <is>
          <t>22138</t>
        </is>
      </c>
      <c r="E1636" s="117" t="inlineStr">
        <is>
          <t xml:space="preserve">BAKING SET 9 PIECE RETROSPOT </t>
        </is>
      </c>
      <c r="F1636" s="117" t="n">
        <v>6</v>
      </c>
      <c r="G1636" s="118" t="n">
        <v>4.95</v>
      </c>
      <c r="H1636" s="118" t="n">
        <v>29.7</v>
      </c>
      <c r="I1636" s="119" t="n">
        <v>40674</v>
      </c>
    </row>
    <row r="1637">
      <c r="A1637" s="114" t="inlineStr">
        <is>
          <t>552802</t>
        </is>
      </c>
      <c r="B1637" s="114" t="n">
        <v>16115</v>
      </c>
      <c r="C1637" s="114" t="inlineStr">
        <is>
          <t>United Kingdom</t>
        </is>
      </c>
      <c r="D1637" s="114" t="inlineStr">
        <is>
          <t>22768</t>
        </is>
      </c>
      <c r="E1637" s="114" t="inlineStr">
        <is>
          <t>FAMILY PHOTO FRAME CORNICE</t>
        </is>
      </c>
      <c r="F1637" s="114" t="n">
        <v>1</v>
      </c>
      <c r="G1637" s="115" t="n">
        <v>9.949999999999999</v>
      </c>
      <c r="H1637" s="115" t="n">
        <v>9.949999999999999</v>
      </c>
      <c r="I1637" s="116" t="n">
        <v>40674</v>
      </c>
    </row>
    <row r="1638">
      <c r="A1638" s="117" t="inlineStr">
        <is>
          <t>552803</t>
        </is>
      </c>
      <c r="B1638" s="117" t="n">
        <v>14573</v>
      </c>
      <c r="C1638" s="117" t="inlineStr">
        <is>
          <t>United Kingdom</t>
        </is>
      </c>
      <c r="D1638" s="117" t="inlineStr">
        <is>
          <t>22763</t>
        </is>
      </c>
      <c r="E1638" s="117" t="inlineStr">
        <is>
          <t>KEY CABINET MA CAMPAGNE</t>
        </is>
      </c>
      <c r="F1638" s="117" t="n">
        <v>1</v>
      </c>
      <c r="G1638" s="118" t="n">
        <v>9.949999999999999</v>
      </c>
      <c r="H1638" s="118" t="n">
        <v>9.949999999999999</v>
      </c>
      <c r="I1638" s="119" t="n">
        <v>40674</v>
      </c>
    </row>
    <row r="1639">
      <c r="A1639" s="114" t="inlineStr">
        <is>
          <t>552804</t>
        </is>
      </c>
      <c r="B1639" s="114" t="n">
        <v>15615</v>
      </c>
      <c r="C1639" s="114" t="inlineStr">
        <is>
          <t>United Kingdom</t>
        </is>
      </c>
      <c r="D1639" s="114" t="inlineStr">
        <is>
          <t>84879</t>
        </is>
      </c>
      <c r="E1639" s="114" t="inlineStr">
        <is>
          <t>ASSORTED COLOUR BIRD ORNAMENT</t>
        </is>
      </c>
      <c r="F1639" s="114" t="n">
        <v>8</v>
      </c>
      <c r="G1639" s="115" t="n">
        <v>1.69</v>
      </c>
      <c r="H1639" s="115" t="n">
        <v>13.52</v>
      </c>
      <c r="I1639" s="116" t="n">
        <v>40674</v>
      </c>
    </row>
    <row r="1640">
      <c r="A1640" s="117" t="inlineStr">
        <is>
          <t>552804</t>
        </is>
      </c>
      <c r="B1640" s="117" t="n">
        <v>15615</v>
      </c>
      <c r="C1640" s="117" t="inlineStr">
        <is>
          <t>United Kingdom</t>
        </is>
      </c>
      <c r="D1640" s="117" t="inlineStr">
        <is>
          <t>20750</t>
        </is>
      </c>
      <c r="E1640" s="117" t="inlineStr">
        <is>
          <t>RED RETROSPOT MINI CASES</t>
        </is>
      </c>
      <c r="F1640" s="117" t="n">
        <v>2</v>
      </c>
      <c r="G1640" s="118" t="n">
        <v>7.95</v>
      </c>
      <c r="H1640" s="118" t="n">
        <v>15.9</v>
      </c>
      <c r="I1640" s="119" t="n">
        <v>40674</v>
      </c>
    </row>
    <row r="1641">
      <c r="A1641" s="114" t="inlineStr">
        <is>
          <t>552816</t>
        </is>
      </c>
      <c r="B1641" s="114" t="n">
        <v>15521</v>
      </c>
      <c r="C1641" s="114" t="inlineStr">
        <is>
          <t>United Kingdom</t>
        </is>
      </c>
      <c r="D1641" s="114" t="inlineStr">
        <is>
          <t>23084</t>
        </is>
      </c>
      <c r="E1641" s="114" t="inlineStr">
        <is>
          <t>RABBIT NIGHT LIGHT</t>
        </is>
      </c>
      <c r="F1641" s="114" t="n">
        <v>1</v>
      </c>
      <c r="G1641" s="115" t="n">
        <v>2.08</v>
      </c>
      <c r="H1641" s="115" t="n">
        <v>2.08</v>
      </c>
      <c r="I1641" s="116" t="n">
        <v>40674</v>
      </c>
    </row>
    <row r="1642">
      <c r="A1642" s="117" t="inlineStr">
        <is>
          <t>552817</t>
        </is>
      </c>
      <c r="B1642" s="117" t="n">
        <v>13136</v>
      </c>
      <c r="C1642" s="117" t="inlineStr">
        <is>
          <t>United Kingdom</t>
        </is>
      </c>
      <c r="D1642" s="117" t="inlineStr">
        <is>
          <t>22423</t>
        </is>
      </c>
      <c r="E1642" s="117" t="inlineStr">
        <is>
          <t>REGENCY CAKESTAND 3 TIER</t>
        </is>
      </c>
      <c r="F1642" s="117" t="n">
        <v>2</v>
      </c>
      <c r="G1642" s="118" t="n">
        <v>12.75</v>
      </c>
      <c r="H1642" s="118" t="n">
        <v>25.5</v>
      </c>
      <c r="I1642" s="119" t="n">
        <v>40674</v>
      </c>
    </row>
    <row r="1643">
      <c r="A1643" s="114" t="inlineStr">
        <is>
          <t>552816</t>
        </is>
      </c>
      <c r="B1643" s="114" t="n">
        <v>15521</v>
      </c>
      <c r="C1643" s="114" t="inlineStr">
        <is>
          <t>United Kingdom</t>
        </is>
      </c>
      <c r="D1643" s="114" t="inlineStr">
        <is>
          <t>22035</t>
        </is>
      </c>
      <c r="E1643" s="114" t="inlineStr">
        <is>
          <t xml:space="preserve">VINTAGE CARAVAN GREETING CARD </t>
        </is>
      </c>
      <c r="F1643" s="114" t="n">
        <v>12</v>
      </c>
      <c r="G1643" s="115" t="n">
        <v>0.42</v>
      </c>
      <c r="H1643" s="115" t="n">
        <v>5.04</v>
      </c>
      <c r="I1643" s="116" t="n">
        <v>40674</v>
      </c>
    </row>
    <row r="1644">
      <c r="A1644" s="117" t="inlineStr">
        <is>
          <t>552824</t>
        </is>
      </c>
      <c r="B1644" s="117" t="n">
        <v>14056</v>
      </c>
      <c r="C1644" s="117" t="inlineStr">
        <is>
          <t>United Kingdom</t>
        </is>
      </c>
      <c r="D1644" s="117" t="inlineStr">
        <is>
          <t>23199</t>
        </is>
      </c>
      <c r="E1644" s="117" t="inlineStr">
        <is>
          <t>JUMBO BAG APPLES</t>
        </is>
      </c>
      <c r="F1644" s="117" t="n">
        <v>2</v>
      </c>
      <c r="G1644" s="118" t="n">
        <v>2.08</v>
      </c>
      <c r="H1644" s="118" t="n">
        <v>4.16</v>
      </c>
      <c r="I1644" s="119" t="n">
        <v>40674</v>
      </c>
    </row>
    <row r="1645">
      <c r="A1645" s="114" t="inlineStr">
        <is>
          <t>552824</t>
        </is>
      </c>
      <c r="B1645" s="114" t="n">
        <v>14056</v>
      </c>
      <c r="C1645" s="114" t="inlineStr">
        <is>
          <t>United Kingdom</t>
        </is>
      </c>
      <c r="D1645" s="114" t="inlineStr">
        <is>
          <t>23206</t>
        </is>
      </c>
      <c r="E1645" s="114" t="inlineStr">
        <is>
          <t>LUNCH BAG APPLE DESIGN</t>
        </is>
      </c>
      <c r="F1645" s="114" t="n">
        <v>10</v>
      </c>
      <c r="G1645" s="115" t="n">
        <v>1.65</v>
      </c>
      <c r="H1645" s="115" t="n">
        <v>16.5</v>
      </c>
      <c r="I1645" s="116" t="n">
        <v>40674</v>
      </c>
    </row>
    <row r="1646">
      <c r="A1646" s="117" t="inlineStr">
        <is>
          <t>552826</t>
        </is>
      </c>
      <c r="B1646" s="117" t="n">
        <v>14277</v>
      </c>
      <c r="C1646" s="117" t="inlineStr">
        <is>
          <t>France</t>
        </is>
      </c>
      <c r="D1646" s="117" t="inlineStr">
        <is>
          <t>22838</t>
        </is>
      </c>
      <c r="E1646" s="117" t="inlineStr">
        <is>
          <t>3 TIER CAKE TIN RED AND CREAM</t>
        </is>
      </c>
      <c r="F1646" s="117" t="n">
        <v>2</v>
      </c>
      <c r="G1646" s="118" t="n">
        <v>14.95</v>
      </c>
      <c r="H1646" s="118" t="n">
        <v>29.9</v>
      </c>
      <c r="I1646" s="119" t="n">
        <v>40674</v>
      </c>
    </row>
    <row r="1647">
      <c r="A1647" s="114" t="inlineStr">
        <is>
          <t>552826</t>
        </is>
      </c>
      <c r="B1647" s="114" t="n">
        <v>14277</v>
      </c>
      <c r="C1647" s="114" t="inlineStr">
        <is>
          <t>France</t>
        </is>
      </c>
      <c r="D1647" s="114" t="inlineStr">
        <is>
          <t>22805</t>
        </is>
      </c>
      <c r="E1647" s="114" t="inlineStr">
        <is>
          <t>BLUE DRAWER KNOB ACRYLIC EDWARDIAN</t>
        </is>
      </c>
      <c r="F1647" s="114" t="n">
        <v>12</v>
      </c>
      <c r="G1647" s="115" t="n">
        <v>1.25</v>
      </c>
      <c r="H1647" s="115" t="n">
        <v>15</v>
      </c>
      <c r="I1647" s="116" t="n">
        <v>40674</v>
      </c>
    </row>
    <row r="1648">
      <c r="A1648" s="117" t="inlineStr">
        <is>
          <t>552826</t>
        </is>
      </c>
      <c r="B1648" s="117" t="n">
        <v>14277</v>
      </c>
      <c r="C1648" s="117" t="inlineStr">
        <is>
          <t>France</t>
        </is>
      </c>
      <c r="D1648" s="117" t="inlineStr">
        <is>
          <t>23109</t>
        </is>
      </c>
      <c r="E1648" s="117" t="inlineStr">
        <is>
          <t>LED TEA LIGHTS</t>
        </is>
      </c>
      <c r="F1648" s="117" t="n">
        <v>24</v>
      </c>
      <c r="G1648" s="118" t="n">
        <v>2.89</v>
      </c>
      <c r="H1648" s="118" t="n">
        <v>69.36</v>
      </c>
      <c r="I1648" s="119" t="n">
        <v>40674</v>
      </c>
    </row>
    <row r="1649">
      <c r="A1649" s="114" t="inlineStr">
        <is>
          <t>552829</t>
        </is>
      </c>
      <c r="B1649" s="114" t="n">
        <v>12748</v>
      </c>
      <c r="C1649" s="114" t="inlineStr">
        <is>
          <t>United Kingdom</t>
        </is>
      </c>
      <c r="D1649" s="114" t="inlineStr">
        <is>
          <t>85152</t>
        </is>
      </c>
      <c r="E1649" s="114" t="inlineStr">
        <is>
          <t xml:space="preserve">HAND OVER THE CHOCOLATE   SIGN </t>
        </is>
      </c>
      <c r="F1649" s="114" t="n">
        <v>5</v>
      </c>
      <c r="G1649" s="115" t="n">
        <v>2.1</v>
      </c>
      <c r="H1649" s="115" t="n">
        <v>10.5</v>
      </c>
      <c r="I1649" s="116" t="n">
        <v>40674</v>
      </c>
    </row>
    <row r="1650">
      <c r="A1650" s="117" t="inlineStr">
        <is>
          <t>552829</t>
        </is>
      </c>
      <c r="B1650" s="117" t="n">
        <v>12748</v>
      </c>
      <c r="C1650" s="117" t="inlineStr">
        <is>
          <t>United Kingdom</t>
        </is>
      </c>
      <c r="D1650" s="117" t="inlineStr">
        <is>
          <t>82552</t>
        </is>
      </c>
      <c r="E1650" s="117" t="inlineStr">
        <is>
          <t>WASHROOM METAL SIGN</t>
        </is>
      </c>
      <c r="F1650" s="117" t="n">
        <v>5</v>
      </c>
      <c r="G1650" s="118" t="n">
        <v>1.45</v>
      </c>
      <c r="H1650" s="118" t="n">
        <v>7.25</v>
      </c>
      <c r="I1650" s="119" t="n">
        <v>40674</v>
      </c>
    </row>
    <row r="1651">
      <c r="A1651" s="114" t="inlineStr">
        <is>
          <t>552839</t>
        </is>
      </c>
      <c r="B1651" s="114" t="n">
        <v>14367</v>
      </c>
      <c r="C1651" s="114" t="inlineStr">
        <is>
          <t>United Kingdom</t>
        </is>
      </c>
      <c r="D1651" s="114" t="inlineStr">
        <is>
          <t>20685</t>
        </is>
      </c>
      <c r="E1651" s="114" t="inlineStr">
        <is>
          <t>DOORMAT RED RETROSPOT</t>
        </is>
      </c>
      <c r="F1651" s="114" t="n">
        <v>2</v>
      </c>
      <c r="G1651" s="115" t="n">
        <v>7.95</v>
      </c>
      <c r="H1651" s="115" t="n">
        <v>15.9</v>
      </c>
      <c r="I1651" s="116" t="n">
        <v>40674</v>
      </c>
    </row>
    <row r="1652">
      <c r="A1652" s="117" t="inlineStr">
        <is>
          <t>552843</t>
        </is>
      </c>
      <c r="B1652" s="117" t="n">
        <v>14649</v>
      </c>
      <c r="C1652" s="117" t="inlineStr">
        <is>
          <t>United Kingdom</t>
        </is>
      </c>
      <c r="D1652" s="117" t="inlineStr">
        <is>
          <t>22693</t>
        </is>
      </c>
      <c r="E1652" s="117" t="inlineStr">
        <is>
          <t>GROW A FLYTRAP OR SUNFLOWER IN TIN</t>
        </is>
      </c>
      <c r="F1652" s="117" t="n">
        <v>24</v>
      </c>
      <c r="G1652" s="118" t="n">
        <v>1.25</v>
      </c>
      <c r="H1652" s="118" t="n">
        <v>30</v>
      </c>
      <c r="I1652" s="119" t="n">
        <v>40674</v>
      </c>
    </row>
    <row r="1653">
      <c r="A1653" s="114" t="inlineStr">
        <is>
          <t>552852</t>
        </is>
      </c>
      <c r="B1653" s="114" t="n">
        <v>16712</v>
      </c>
      <c r="C1653" s="114" t="inlineStr">
        <is>
          <t>United Kingdom</t>
        </is>
      </c>
      <c r="D1653" s="114" t="inlineStr">
        <is>
          <t>22501</t>
        </is>
      </c>
      <c r="E1653" s="114" t="inlineStr">
        <is>
          <t>PICNIC BASKET WICKER LARGE</t>
        </is>
      </c>
      <c r="F1653" s="114" t="n">
        <v>2</v>
      </c>
      <c r="G1653" s="115" t="n">
        <v>9.949999999999999</v>
      </c>
      <c r="H1653" s="115" t="n">
        <v>19.9</v>
      </c>
      <c r="I1653" s="116" t="n">
        <v>40674</v>
      </c>
    </row>
    <row r="1654">
      <c r="A1654" s="117" t="inlineStr">
        <is>
          <t>552870</t>
        </is>
      </c>
      <c r="B1654" s="117" t="n">
        <v>15513</v>
      </c>
      <c r="C1654" s="117" t="inlineStr">
        <is>
          <t>United Kingdom</t>
        </is>
      </c>
      <c r="D1654" s="117" t="inlineStr">
        <is>
          <t>23209</t>
        </is>
      </c>
      <c r="E1654" s="117" t="inlineStr">
        <is>
          <t xml:space="preserve">LUNCH BAG DOILEY PATTERN </t>
        </is>
      </c>
      <c r="F1654" s="117" t="n">
        <v>10</v>
      </c>
      <c r="G1654" s="118" t="n">
        <v>1.65</v>
      </c>
      <c r="H1654" s="118" t="n">
        <v>16.5</v>
      </c>
      <c r="I1654" s="119" t="n">
        <v>40675</v>
      </c>
    </row>
    <row r="1655">
      <c r="A1655" s="114" t="inlineStr">
        <is>
          <t>552871</t>
        </is>
      </c>
      <c r="B1655" s="114" t="n">
        <v>12693</v>
      </c>
      <c r="C1655" s="114" t="inlineStr">
        <is>
          <t>Germany</t>
        </is>
      </c>
      <c r="D1655" s="114" t="inlineStr">
        <is>
          <t>23206</t>
        </is>
      </c>
      <c r="E1655" s="114" t="inlineStr">
        <is>
          <t>LUNCH BAG APPLE DESIGN</t>
        </is>
      </c>
      <c r="F1655" s="114" t="n">
        <v>10</v>
      </c>
      <c r="G1655" s="115" t="n">
        <v>1.65</v>
      </c>
      <c r="H1655" s="115" t="n">
        <v>16.5</v>
      </c>
      <c r="I1655" s="116" t="n">
        <v>40675</v>
      </c>
    </row>
    <row r="1656">
      <c r="A1656" s="117" t="inlineStr">
        <is>
          <t>552872</t>
        </is>
      </c>
      <c r="B1656" s="117" t="n">
        <v>16985</v>
      </c>
      <c r="C1656" s="117" t="inlineStr">
        <is>
          <t>United Kingdom</t>
        </is>
      </c>
      <c r="D1656" s="117" t="inlineStr">
        <is>
          <t>48187</t>
        </is>
      </c>
      <c r="E1656" s="117" t="inlineStr">
        <is>
          <t>DOORMAT NEW ENGLAND</t>
        </is>
      </c>
      <c r="F1656" s="117" t="n">
        <v>10</v>
      </c>
      <c r="G1656" s="118" t="n">
        <v>6.75</v>
      </c>
      <c r="H1656" s="118" t="n">
        <v>67.5</v>
      </c>
      <c r="I1656" s="119" t="n">
        <v>40675</v>
      </c>
    </row>
    <row r="1657">
      <c r="A1657" s="114" t="inlineStr">
        <is>
          <t>552874</t>
        </is>
      </c>
      <c r="B1657" s="114" t="n">
        <v>12621</v>
      </c>
      <c r="C1657" s="114" t="inlineStr">
        <is>
          <t>Germany</t>
        </is>
      </c>
      <c r="D1657" s="114" t="inlineStr">
        <is>
          <t>15058C</t>
        </is>
      </c>
      <c r="E1657" s="114" t="inlineStr">
        <is>
          <t>ICE CREAM DESIGN GARDEN PARASOL</t>
        </is>
      </c>
      <c r="F1657" s="114" t="n">
        <v>10</v>
      </c>
      <c r="G1657" s="115" t="n">
        <v>3.95</v>
      </c>
      <c r="H1657" s="115" t="n">
        <v>39.5</v>
      </c>
      <c r="I1657" s="116" t="n">
        <v>40675</v>
      </c>
    </row>
    <row r="1658">
      <c r="A1658" s="117" t="inlineStr">
        <is>
          <t>552878</t>
        </is>
      </c>
      <c r="B1658" s="117" t="n">
        <v>12625</v>
      </c>
      <c r="C1658" s="117" t="inlineStr">
        <is>
          <t>Germany</t>
        </is>
      </c>
      <c r="D1658" s="117" t="inlineStr">
        <is>
          <t>22535</t>
        </is>
      </c>
      <c r="E1658" s="117" t="inlineStr">
        <is>
          <t xml:space="preserve">MAGIC DRAWING SLATE BUNNIES </t>
        </is>
      </c>
      <c r="F1658" s="117" t="n">
        <v>24</v>
      </c>
      <c r="G1658" s="118" t="n">
        <v>0.42</v>
      </c>
      <c r="H1658" s="118" t="n">
        <v>10.08</v>
      </c>
      <c r="I1658" s="119" t="n">
        <v>40675</v>
      </c>
    </row>
    <row r="1659">
      <c r="A1659" s="114" t="inlineStr">
        <is>
          <t>552879</t>
        </is>
      </c>
      <c r="B1659" s="114" t="n">
        <v>12976</v>
      </c>
      <c r="C1659" s="114" t="inlineStr">
        <is>
          <t>United Kingdom</t>
        </is>
      </c>
      <c r="D1659" s="114" t="inlineStr">
        <is>
          <t>20727</t>
        </is>
      </c>
      <c r="E1659" s="114" t="inlineStr">
        <is>
          <t>LUNCH BAG  BLACK SKULL.</t>
        </is>
      </c>
      <c r="F1659" s="114" t="n">
        <v>20</v>
      </c>
      <c r="G1659" s="115" t="n">
        <v>1.65</v>
      </c>
      <c r="H1659" s="115" t="n">
        <v>33</v>
      </c>
      <c r="I1659" s="116" t="n">
        <v>40675</v>
      </c>
    </row>
    <row r="1660">
      <c r="A1660" s="117" t="inlineStr">
        <is>
          <t>552888</t>
        </is>
      </c>
      <c r="B1660" s="117" t="n">
        <v>15061</v>
      </c>
      <c r="C1660" s="117" t="inlineStr">
        <is>
          <t>United Kingdom</t>
        </is>
      </c>
      <c r="D1660" s="117" t="inlineStr">
        <is>
          <t>84946</t>
        </is>
      </c>
      <c r="E1660" s="117" t="inlineStr">
        <is>
          <t>ANTIQUE SILVER T-LIGHT GLASS</t>
        </is>
      </c>
      <c r="F1660" s="117" t="n">
        <v>72</v>
      </c>
      <c r="G1660" s="118" t="n">
        <v>1.06</v>
      </c>
      <c r="H1660" s="118" t="n">
        <v>76.31999999999999</v>
      </c>
      <c r="I1660" s="119" t="n">
        <v>40675</v>
      </c>
    </row>
    <row r="1661">
      <c r="A1661" s="114" t="inlineStr">
        <is>
          <t>552894</t>
        </is>
      </c>
      <c r="B1661" s="114" t="n">
        <v>14606</v>
      </c>
      <c r="C1661" s="114" t="inlineStr">
        <is>
          <t>United Kingdom</t>
        </is>
      </c>
      <c r="D1661" s="114" t="inlineStr">
        <is>
          <t>90099</t>
        </is>
      </c>
      <c r="E1661" s="114" t="inlineStr">
        <is>
          <t>NECKLACE+BRACELET SET BLUE HIBISCUS</t>
        </is>
      </c>
      <c r="F1661" s="114" t="n">
        <v>1</v>
      </c>
      <c r="G1661" s="115" t="n">
        <v>2.55</v>
      </c>
      <c r="H1661" s="115" t="n">
        <v>2.55</v>
      </c>
      <c r="I1661" s="116" t="n">
        <v>40675</v>
      </c>
    </row>
    <row r="1662">
      <c r="A1662" s="117" t="inlineStr">
        <is>
          <t>552972</t>
        </is>
      </c>
      <c r="B1662" s="117" t="n">
        <v>16043</v>
      </c>
      <c r="C1662" s="117" t="inlineStr">
        <is>
          <t>United Kingdom</t>
        </is>
      </c>
      <c r="D1662" s="117" t="inlineStr">
        <is>
          <t>85053</t>
        </is>
      </c>
      <c r="E1662" s="117" t="inlineStr">
        <is>
          <t>FRENCH ENAMEL CANDLEHOLDER</t>
        </is>
      </c>
      <c r="F1662" s="117" t="n">
        <v>12</v>
      </c>
      <c r="G1662" s="118" t="n">
        <v>2.1</v>
      </c>
      <c r="H1662" s="118" t="n">
        <v>25.2</v>
      </c>
      <c r="I1662" s="119" t="n">
        <v>40675</v>
      </c>
    </row>
    <row r="1663">
      <c r="A1663" s="114" t="inlineStr">
        <is>
          <t>552977</t>
        </is>
      </c>
      <c r="B1663" s="114" t="n">
        <v>18221</v>
      </c>
      <c r="C1663" s="114" t="inlineStr">
        <is>
          <t>United Kingdom</t>
        </is>
      </c>
      <c r="D1663" s="114" t="inlineStr">
        <is>
          <t>84879</t>
        </is>
      </c>
      <c r="E1663" s="114" t="inlineStr">
        <is>
          <t>ASSORTED COLOUR BIRD ORNAMENT</t>
        </is>
      </c>
      <c r="F1663" s="114" t="n">
        <v>8</v>
      </c>
      <c r="G1663" s="115" t="n">
        <v>1.69</v>
      </c>
      <c r="H1663" s="115" t="n">
        <v>13.52</v>
      </c>
      <c r="I1663" s="116" t="n">
        <v>40675</v>
      </c>
    </row>
    <row r="1664">
      <c r="A1664" s="117" t="inlineStr">
        <is>
          <t>553002</t>
        </is>
      </c>
      <c r="B1664" s="117" t="n">
        <v>13263</v>
      </c>
      <c r="C1664" s="117" t="inlineStr">
        <is>
          <t>United Kingdom</t>
        </is>
      </c>
      <c r="D1664" s="117" t="inlineStr">
        <is>
          <t>21172</t>
        </is>
      </c>
      <c r="E1664" s="117" t="inlineStr">
        <is>
          <t xml:space="preserve">PARTY METAL SIGN </t>
        </is>
      </c>
      <c r="F1664" s="117" t="n">
        <v>1</v>
      </c>
      <c r="G1664" s="118" t="n">
        <v>1.45</v>
      </c>
      <c r="H1664" s="118" t="n">
        <v>1.45</v>
      </c>
      <c r="I1664" s="119" t="n">
        <v>40675</v>
      </c>
    </row>
    <row r="1665">
      <c r="A1665" s="114" t="inlineStr">
        <is>
          <t>553009</t>
        </is>
      </c>
      <c r="B1665" s="114" t="n">
        <v>13601</v>
      </c>
      <c r="C1665" s="114" t="inlineStr">
        <is>
          <t>United Kingdom</t>
        </is>
      </c>
      <c r="D1665" s="114" t="inlineStr">
        <is>
          <t>84686</t>
        </is>
      </c>
      <c r="E1665" s="114" t="inlineStr">
        <is>
          <t>BEACH HUT MIRROR</t>
        </is>
      </c>
      <c r="F1665" s="114" t="n">
        <v>1</v>
      </c>
      <c r="G1665" s="115" t="n">
        <v>4.25</v>
      </c>
      <c r="H1665" s="115" t="n">
        <v>4.25</v>
      </c>
      <c r="I1665" s="116" t="n">
        <v>40675</v>
      </c>
    </row>
    <row r="1666">
      <c r="A1666" s="117" t="inlineStr">
        <is>
          <t>553011</t>
        </is>
      </c>
      <c r="B1666" s="117" t="n">
        <v>14390</v>
      </c>
      <c r="C1666" s="117" t="inlineStr">
        <is>
          <t>United Kingdom</t>
        </is>
      </c>
      <c r="D1666" s="117" t="inlineStr">
        <is>
          <t>23081</t>
        </is>
      </c>
      <c r="E1666" s="117" t="inlineStr">
        <is>
          <t>GREEN METAL BOX ARMY SUPPLIES</t>
        </is>
      </c>
      <c r="F1666" s="117" t="n">
        <v>4</v>
      </c>
      <c r="G1666" s="118" t="n">
        <v>8.25</v>
      </c>
      <c r="H1666" s="118" t="n">
        <v>33</v>
      </c>
      <c r="I1666" s="119" t="n">
        <v>40675</v>
      </c>
    </row>
    <row r="1667">
      <c r="A1667" s="114" t="inlineStr">
        <is>
          <t>553014</t>
        </is>
      </c>
      <c r="B1667" s="114" t="n">
        <v>13451</v>
      </c>
      <c r="C1667" s="114" t="inlineStr">
        <is>
          <t>United Kingdom</t>
        </is>
      </c>
      <c r="D1667" s="114" t="inlineStr">
        <is>
          <t>21172</t>
        </is>
      </c>
      <c r="E1667" s="114" t="inlineStr">
        <is>
          <t xml:space="preserve">PARTY METAL SIGN </t>
        </is>
      </c>
      <c r="F1667" s="114" t="n">
        <v>3</v>
      </c>
      <c r="G1667" s="115" t="n">
        <v>1.45</v>
      </c>
      <c r="H1667" s="115" t="n">
        <v>4.35</v>
      </c>
      <c r="I1667" s="116" t="n">
        <v>40675</v>
      </c>
    </row>
    <row r="1668">
      <c r="A1668" s="117" t="inlineStr">
        <is>
          <t>553014</t>
        </is>
      </c>
      <c r="B1668" s="117" t="n">
        <v>13451</v>
      </c>
      <c r="C1668" s="117" t="inlineStr">
        <is>
          <t>United Kingdom</t>
        </is>
      </c>
      <c r="D1668" s="117" t="inlineStr">
        <is>
          <t>22896</t>
        </is>
      </c>
      <c r="E1668" s="117" t="inlineStr">
        <is>
          <t>PEG BAG APPLES DESIGN</t>
        </is>
      </c>
      <c r="F1668" s="117" t="n">
        <v>4</v>
      </c>
      <c r="G1668" s="118" t="n">
        <v>2.55</v>
      </c>
      <c r="H1668" s="118" t="n">
        <v>10.2</v>
      </c>
      <c r="I1668" s="119" t="n">
        <v>40675</v>
      </c>
    </row>
    <row r="1669">
      <c r="A1669" s="114" t="inlineStr">
        <is>
          <t>553035</t>
        </is>
      </c>
      <c r="B1669" s="114" t="n">
        <v>17337</v>
      </c>
      <c r="C1669" s="114" t="inlineStr">
        <is>
          <t>United Kingdom</t>
        </is>
      </c>
      <c r="D1669" s="114" t="inlineStr">
        <is>
          <t>85184C</t>
        </is>
      </c>
      <c r="E1669" s="114" t="inlineStr">
        <is>
          <t>S/4 VALENTINE DECOUPAGE HEART BOX</t>
        </is>
      </c>
      <c r="F1669" s="114" t="n">
        <v>1</v>
      </c>
      <c r="G1669" s="115" t="n">
        <v>2.95</v>
      </c>
      <c r="H1669" s="115" t="n">
        <v>2.95</v>
      </c>
      <c r="I1669" s="116" t="n">
        <v>40675</v>
      </c>
    </row>
    <row r="1670">
      <c r="A1670" s="117" t="inlineStr">
        <is>
          <t>553035</t>
        </is>
      </c>
      <c r="B1670" s="117" t="n">
        <v>17337</v>
      </c>
      <c r="C1670" s="117" t="inlineStr">
        <is>
          <t>United Kingdom</t>
        </is>
      </c>
      <c r="D1670" s="117" t="inlineStr">
        <is>
          <t>22427</t>
        </is>
      </c>
      <c r="E1670" s="117" t="inlineStr">
        <is>
          <t>ENAMEL FLOWER JUG CREAM</t>
        </is>
      </c>
      <c r="F1670" s="117" t="n">
        <v>2</v>
      </c>
      <c r="G1670" s="118" t="n">
        <v>5.95</v>
      </c>
      <c r="H1670" s="118" t="n">
        <v>11.9</v>
      </c>
      <c r="I1670" s="119" t="n">
        <v>40675</v>
      </c>
    </row>
    <row r="1671">
      <c r="A1671" s="114" t="inlineStr">
        <is>
          <t>553048</t>
        </is>
      </c>
      <c r="B1671" s="114" t="n">
        <v>14291</v>
      </c>
      <c r="C1671" s="114" t="inlineStr">
        <is>
          <t>United Kingdom</t>
        </is>
      </c>
      <c r="D1671" s="114" t="inlineStr">
        <is>
          <t>22139</t>
        </is>
      </c>
      <c r="E1671" s="114" t="inlineStr">
        <is>
          <t xml:space="preserve">RETROSPOT TEA SET CERAMIC 11 PC </t>
        </is>
      </c>
      <c r="F1671" s="114" t="n">
        <v>6</v>
      </c>
      <c r="G1671" s="115" t="n">
        <v>4.95</v>
      </c>
      <c r="H1671" s="115" t="n">
        <v>29.7</v>
      </c>
      <c r="I1671" s="116" t="n">
        <v>40676</v>
      </c>
    </row>
    <row r="1672">
      <c r="A1672" s="117" t="inlineStr">
        <is>
          <t>553074</t>
        </is>
      </c>
      <c r="B1672" s="117" t="n">
        <v>15529</v>
      </c>
      <c r="C1672" s="117" t="inlineStr">
        <is>
          <t>United Kingdom</t>
        </is>
      </c>
      <c r="D1672" s="117" t="inlineStr">
        <is>
          <t>22706</t>
        </is>
      </c>
      <c r="E1672" s="117" t="inlineStr">
        <is>
          <t xml:space="preserve">WRAP COWBOYS  </t>
        </is>
      </c>
      <c r="F1672" s="117" t="n">
        <v>25</v>
      </c>
      <c r="G1672" s="118" t="n">
        <v>0.42</v>
      </c>
      <c r="H1672" s="118" t="n">
        <v>10.5</v>
      </c>
      <c r="I1672" s="119" t="n">
        <v>40676</v>
      </c>
    </row>
    <row r="1673">
      <c r="A1673" s="114" t="inlineStr">
        <is>
          <t>553125</t>
        </is>
      </c>
      <c r="B1673" s="114" t="n">
        <v>17139</v>
      </c>
      <c r="C1673" s="114" t="inlineStr">
        <is>
          <t>United Kingdom</t>
        </is>
      </c>
      <c r="D1673" s="114" t="inlineStr">
        <is>
          <t>23171</t>
        </is>
      </c>
      <c r="E1673" s="114" t="inlineStr">
        <is>
          <t xml:space="preserve">REGENCY TEA PLATE GREEN </t>
        </is>
      </c>
      <c r="F1673" s="114" t="n">
        <v>12</v>
      </c>
      <c r="G1673" s="115" t="n">
        <v>1.65</v>
      </c>
      <c r="H1673" s="115" t="n">
        <v>19.8</v>
      </c>
      <c r="I1673" s="116" t="n">
        <v>40676</v>
      </c>
    </row>
    <row r="1674">
      <c r="A1674" s="117" t="inlineStr">
        <is>
          <t>553142</t>
        </is>
      </c>
      <c r="B1674" s="117" t="n">
        <v>14527</v>
      </c>
      <c r="C1674" s="117" t="inlineStr">
        <is>
          <t>United Kingdom</t>
        </is>
      </c>
      <c r="D1674" s="117" t="inlineStr">
        <is>
          <t>22379</t>
        </is>
      </c>
      <c r="E1674" s="117" t="inlineStr">
        <is>
          <t xml:space="preserve">RECYCLING BAG RETROSPOT </t>
        </is>
      </c>
      <c r="F1674" s="117" t="n">
        <v>2</v>
      </c>
      <c r="G1674" s="118" t="n">
        <v>2.1</v>
      </c>
      <c r="H1674" s="118" t="n">
        <v>4.2</v>
      </c>
      <c r="I1674" s="119" t="n">
        <v>40676</v>
      </c>
    </row>
    <row r="1675">
      <c r="A1675" s="114" t="inlineStr">
        <is>
          <t>553146</t>
        </is>
      </c>
      <c r="B1675" s="114" t="n">
        <v>14873</v>
      </c>
      <c r="C1675" s="114" t="inlineStr">
        <is>
          <t>United Kingdom</t>
        </is>
      </c>
      <c r="D1675" s="114" t="inlineStr">
        <is>
          <t>23168</t>
        </is>
      </c>
      <c r="E1675" s="114" t="inlineStr">
        <is>
          <t>CLASSIC SUGAR DISPENSER</t>
        </is>
      </c>
      <c r="F1675" s="114" t="n">
        <v>12</v>
      </c>
      <c r="G1675" s="115" t="n">
        <v>1.25</v>
      </c>
      <c r="H1675" s="115" t="n">
        <v>15</v>
      </c>
      <c r="I1675" s="116" t="n">
        <v>40676</v>
      </c>
    </row>
    <row r="1676">
      <c r="A1676" s="117" t="inlineStr">
        <is>
          <t>553146</t>
        </is>
      </c>
      <c r="B1676" s="117" t="n">
        <v>14873</v>
      </c>
      <c r="C1676" s="117" t="inlineStr">
        <is>
          <t>United Kingdom</t>
        </is>
      </c>
      <c r="D1676" s="117" t="inlineStr">
        <is>
          <t>22061</t>
        </is>
      </c>
      <c r="E1676" s="117" t="inlineStr">
        <is>
          <t>LARGE CAKE STAND  HANGING STRAWBERY</t>
        </is>
      </c>
      <c r="F1676" s="117" t="n">
        <v>2</v>
      </c>
      <c r="G1676" s="118" t="n">
        <v>9.949999999999999</v>
      </c>
      <c r="H1676" s="118" t="n">
        <v>19.9</v>
      </c>
      <c r="I1676" s="119" t="n">
        <v>40676</v>
      </c>
    </row>
    <row r="1677">
      <c r="A1677" s="114" t="inlineStr">
        <is>
          <t>553159</t>
        </is>
      </c>
      <c r="B1677" s="114" t="n">
        <v>14194</v>
      </c>
      <c r="C1677" s="114" t="inlineStr">
        <is>
          <t>United Kingdom</t>
        </is>
      </c>
      <c r="D1677" s="114" t="inlineStr">
        <is>
          <t>23073</t>
        </is>
      </c>
      <c r="E1677" s="114" t="inlineStr">
        <is>
          <t>GEORGIAN TRINKET BOX</t>
        </is>
      </c>
      <c r="F1677" s="114" t="n">
        <v>1</v>
      </c>
      <c r="G1677" s="115" t="n">
        <v>12.5</v>
      </c>
      <c r="H1677" s="115" t="n">
        <v>12.5</v>
      </c>
      <c r="I1677" s="116" t="n">
        <v>40676</v>
      </c>
    </row>
    <row r="1678">
      <c r="A1678" s="117" t="inlineStr">
        <is>
          <t>553174</t>
        </is>
      </c>
      <c r="B1678" s="117" t="n">
        <v>16206</v>
      </c>
      <c r="C1678" s="117" t="inlineStr">
        <is>
          <t>United Kingdom</t>
        </is>
      </c>
      <c r="D1678" s="117" t="inlineStr">
        <is>
          <t>22316</t>
        </is>
      </c>
      <c r="E1678" s="117" t="inlineStr">
        <is>
          <t>200 BENDY SKULL STRAWS</t>
        </is>
      </c>
      <c r="F1678" s="117" t="n">
        <v>1</v>
      </c>
      <c r="G1678" s="118" t="n">
        <v>1.25</v>
      </c>
      <c r="H1678" s="118" t="n">
        <v>1.25</v>
      </c>
      <c r="I1678" s="119" t="n">
        <v>40678</v>
      </c>
    </row>
    <row r="1679">
      <c r="A1679" s="114" t="inlineStr">
        <is>
          <t>553180</t>
        </is>
      </c>
      <c r="B1679" s="114" t="n">
        <v>16466</v>
      </c>
      <c r="C1679" s="114" t="inlineStr">
        <is>
          <t>United Kingdom</t>
        </is>
      </c>
      <c r="D1679" s="114" t="inlineStr">
        <is>
          <t>84978</t>
        </is>
      </c>
      <c r="E1679" s="114" t="inlineStr">
        <is>
          <t>HANGING HEART JAR T-LIGHT HOLDER</t>
        </is>
      </c>
      <c r="F1679" s="114" t="n">
        <v>6</v>
      </c>
      <c r="G1679" s="115" t="n">
        <v>1.25</v>
      </c>
      <c r="H1679" s="115" t="n">
        <v>7.5</v>
      </c>
      <c r="I1679" s="116" t="n">
        <v>40678</v>
      </c>
    </row>
    <row r="1680">
      <c r="A1680" s="117" t="inlineStr">
        <is>
          <t>553184</t>
        </is>
      </c>
      <c r="B1680" s="117" t="n">
        <v>13232</v>
      </c>
      <c r="C1680" s="117" t="inlineStr">
        <is>
          <t>United Kingdom</t>
        </is>
      </c>
      <c r="D1680" s="117" t="inlineStr">
        <is>
          <t>21868</t>
        </is>
      </c>
      <c r="E1680" s="117" t="inlineStr">
        <is>
          <t>POTTING SHED TEA MUG</t>
        </is>
      </c>
      <c r="F1680" s="117" t="n">
        <v>2</v>
      </c>
      <c r="G1680" s="118" t="n">
        <v>1.25</v>
      </c>
      <c r="H1680" s="118" t="n">
        <v>2.5</v>
      </c>
      <c r="I1680" s="119" t="n">
        <v>40678</v>
      </c>
    </row>
    <row r="1681">
      <c r="A1681" s="114" t="inlineStr">
        <is>
          <t>553191</t>
        </is>
      </c>
      <c r="B1681" s="114" t="n">
        <v>13118</v>
      </c>
      <c r="C1681" s="114" t="inlineStr">
        <is>
          <t>United Kingdom</t>
        </is>
      </c>
      <c r="D1681" s="114" t="inlineStr">
        <is>
          <t>84535B</t>
        </is>
      </c>
      <c r="E1681" s="114" t="inlineStr">
        <is>
          <t>FAIRY CAKES NOTEBOOK A6 SIZE</t>
        </is>
      </c>
      <c r="F1681" s="114" t="n">
        <v>1</v>
      </c>
      <c r="G1681" s="115" t="n">
        <v>0.65</v>
      </c>
      <c r="H1681" s="115" t="n">
        <v>0.65</v>
      </c>
      <c r="I1681" s="116" t="n">
        <v>40678</v>
      </c>
    </row>
    <row r="1682">
      <c r="A1682" s="117" t="inlineStr">
        <is>
          <t>553194</t>
        </is>
      </c>
      <c r="B1682" s="117" t="n">
        <v>16283</v>
      </c>
      <c r="C1682" s="117" t="inlineStr">
        <is>
          <t>United Kingdom</t>
        </is>
      </c>
      <c r="D1682" s="117" t="inlineStr">
        <is>
          <t>22992</t>
        </is>
      </c>
      <c r="E1682" s="117" t="inlineStr">
        <is>
          <t xml:space="preserve">REVOLVER WOODEN RULER </t>
        </is>
      </c>
      <c r="F1682" s="117" t="n">
        <v>3</v>
      </c>
      <c r="G1682" s="118" t="n">
        <v>1.95</v>
      </c>
      <c r="H1682" s="118" t="n">
        <v>5.85</v>
      </c>
      <c r="I1682" s="119" t="n">
        <v>40678</v>
      </c>
    </row>
    <row r="1683">
      <c r="A1683" s="114" t="inlineStr">
        <is>
          <t>553197</t>
        </is>
      </c>
      <c r="B1683" s="114" t="n">
        <v>17263</v>
      </c>
      <c r="C1683" s="114" t="inlineStr">
        <is>
          <t>United Kingdom</t>
        </is>
      </c>
      <c r="D1683" s="114" t="inlineStr">
        <is>
          <t>22729</t>
        </is>
      </c>
      <c r="E1683" s="114" t="inlineStr">
        <is>
          <t>ALARM CLOCK BAKELIKE ORANGE</t>
        </is>
      </c>
      <c r="F1683" s="114" t="n">
        <v>1</v>
      </c>
      <c r="G1683" s="115" t="n">
        <v>3.75</v>
      </c>
      <c r="H1683" s="115" t="n">
        <v>3.75</v>
      </c>
      <c r="I1683" s="116" t="n">
        <v>40678</v>
      </c>
    </row>
    <row r="1684">
      <c r="A1684" s="117" t="inlineStr">
        <is>
          <t>553202</t>
        </is>
      </c>
      <c r="B1684" s="117" t="n">
        <v>15854</v>
      </c>
      <c r="C1684" s="117" t="inlineStr">
        <is>
          <t>United Kingdom</t>
        </is>
      </c>
      <c r="D1684" s="117" t="inlineStr">
        <is>
          <t>21084</t>
        </is>
      </c>
      <c r="E1684" s="117" t="inlineStr">
        <is>
          <t>SET/6 COLLAGE PAPER CUPS</t>
        </is>
      </c>
      <c r="F1684" s="117" t="n">
        <v>8</v>
      </c>
      <c r="G1684" s="118" t="n">
        <v>0.19</v>
      </c>
      <c r="H1684" s="118" t="n">
        <v>1.52</v>
      </c>
      <c r="I1684" s="119" t="n">
        <v>40678</v>
      </c>
    </row>
    <row r="1685">
      <c r="A1685" s="114" t="inlineStr">
        <is>
          <t>553202</t>
        </is>
      </c>
      <c r="B1685" s="114" t="n">
        <v>15854</v>
      </c>
      <c r="C1685" s="114" t="inlineStr">
        <is>
          <t>United Kingdom</t>
        </is>
      </c>
      <c r="D1685" s="114" t="inlineStr">
        <is>
          <t>47574B</t>
        </is>
      </c>
      <c r="E1685" s="114" t="inlineStr">
        <is>
          <t>ENGLISH ROSE SCENTED HANGING HEART</t>
        </is>
      </c>
      <c r="F1685" s="114" t="n">
        <v>1</v>
      </c>
      <c r="G1685" s="115" t="n">
        <v>4.25</v>
      </c>
      <c r="H1685" s="115" t="n">
        <v>4.25</v>
      </c>
      <c r="I1685" s="116" t="n">
        <v>40678</v>
      </c>
    </row>
    <row r="1686">
      <c r="A1686" s="117" t="inlineStr">
        <is>
          <t>553202</t>
        </is>
      </c>
      <c r="B1686" s="117" t="n">
        <v>15854</v>
      </c>
      <c r="C1686" s="117" t="inlineStr">
        <is>
          <t>United Kingdom</t>
        </is>
      </c>
      <c r="D1686" s="117" t="inlineStr">
        <is>
          <t>21394</t>
        </is>
      </c>
      <c r="E1686" s="117" t="inlineStr">
        <is>
          <t xml:space="preserve">RED POLKADOT BEAKER </t>
        </is>
      </c>
      <c r="F1686" s="117" t="n">
        <v>1</v>
      </c>
      <c r="G1686" s="118" t="n">
        <v>0.39</v>
      </c>
      <c r="H1686" s="118" t="n">
        <v>0.39</v>
      </c>
      <c r="I1686" s="119" t="n">
        <v>40678</v>
      </c>
    </row>
    <row r="1687">
      <c r="A1687" s="114" t="inlineStr">
        <is>
          <t>553204</t>
        </is>
      </c>
      <c r="B1687" s="114" t="n">
        <v>16877</v>
      </c>
      <c r="C1687" s="114" t="inlineStr">
        <is>
          <t>United Kingdom</t>
        </is>
      </c>
      <c r="D1687" s="114" t="inlineStr">
        <is>
          <t>22920</t>
        </is>
      </c>
      <c r="E1687" s="114" t="inlineStr">
        <is>
          <t>HERB MARKER BASIL</t>
        </is>
      </c>
      <c r="F1687" s="114" t="n">
        <v>1</v>
      </c>
      <c r="G1687" s="115" t="n">
        <v>0.65</v>
      </c>
      <c r="H1687" s="115" t="n">
        <v>0.65</v>
      </c>
      <c r="I1687" s="116" t="n">
        <v>40678</v>
      </c>
    </row>
    <row r="1688">
      <c r="A1688" s="117" t="inlineStr">
        <is>
          <t>553210</t>
        </is>
      </c>
      <c r="B1688" s="117" t="n">
        <v>14016</v>
      </c>
      <c r="C1688" s="117" t="inlineStr">
        <is>
          <t>EIRE</t>
        </is>
      </c>
      <c r="D1688" s="117" t="inlineStr">
        <is>
          <t>22090</t>
        </is>
      </c>
      <c r="E1688" s="117" t="inlineStr">
        <is>
          <t>PAPER BUNTING RETROSPOT</t>
        </is>
      </c>
      <c r="F1688" s="117" t="n">
        <v>40</v>
      </c>
      <c r="G1688" s="118" t="n">
        <v>2.55</v>
      </c>
      <c r="H1688" s="118" t="n">
        <v>102</v>
      </c>
      <c r="I1688" s="119" t="n">
        <v>40679</v>
      </c>
    </row>
    <row r="1689">
      <c r="A1689" s="114" t="inlineStr">
        <is>
          <t>553220</t>
        </is>
      </c>
      <c r="B1689" s="114" t="n">
        <v>13319</v>
      </c>
      <c r="C1689" s="114" t="inlineStr">
        <is>
          <t>United Kingdom</t>
        </is>
      </c>
      <c r="D1689" s="114" t="inlineStr">
        <is>
          <t>23298</t>
        </is>
      </c>
      <c r="E1689" s="114" t="inlineStr">
        <is>
          <t>SPOTTY BUNTING</t>
        </is>
      </c>
      <c r="F1689" s="114" t="n">
        <v>12</v>
      </c>
      <c r="G1689" s="115" t="n">
        <v>4.95</v>
      </c>
      <c r="H1689" s="115" t="n">
        <v>59.4</v>
      </c>
      <c r="I1689" s="116" t="n">
        <v>40679</v>
      </c>
    </row>
    <row r="1690">
      <c r="A1690" s="117" t="inlineStr">
        <is>
          <t>553224</t>
        </is>
      </c>
      <c r="B1690" s="117" t="n">
        <v>17228</v>
      </c>
      <c r="C1690" s="117" t="inlineStr">
        <is>
          <t>United Kingdom</t>
        </is>
      </c>
      <c r="D1690" s="117" t="inlineStr">
        <is>
          <t>20973</t>
        </is>
      </c>
      <c r="E1690" s="117" t="inlineStr">
        <is>
          <t>12 PENCIL SMALL TUBE WOODLAND</t>
        </is>
      </c>
      <c r="F1690" s="117" t="n">
        <v>18</v>
      </c>
      <c r="G1690" s="118" t="n">
        <v>0.65</v>
      </c>
      <c r="H1690" s="118" t="n">
        <v>11.7</v>
      </c>
      <c r="I1690" s="119" t="n">
        <v>40679</v>
      </c>
    </row>
    <row r="1691">
      <c r="A1691" s="114" t="inlineStr">
        <is>
          <t>553224</t>
        </is>
      </c>
      <c r="B1691" s="114" t="n">
        <v>17228</v>
      </c>
      <c r="C1691" s="114" t="inlineStr">
        <is>
          <t>United Kingdom</t>
        </is>
      </c>
      <c r="D1691" s="114" t="inlineStr">
        <is>
          <t>20974</t>
        </is>
      </c>
      <c r="E1691" s="114" t="inlineStr">
        <is>
          <t>12 PENCILS SMALL TUBE SKULL</t>
        </is>
      </c>
      <c r="F1691" s="114" t="n">
        <v>12</v>
      </c>
      <c r="G1691" s="115" t="n">
        <v>0.65</v>
      </c>
      <c r="H1691" s="115" t="n">
        <v>7.8</v>
      </c>
      <c r="I1691" s="116" t="n">
        <v>40679</v>
      </c>
    </row>
    <row r="1692">
      <c r="A1692" s="117" t="inlineStr">
        <is>
          <t>553340</t>
        </is>
      </c>
      <c r="B1692" s="117" t="n">
        <v>15125</v>
      </c>
      <c r="C1692" s="117" t="inlineStr">
        <is>
          <t>United Kingdom</t>
        </is>
      </c>
      <c r="D1692" s="117" t="inlineStr">
        <is>
          <t>20718</t>
        </is>
      </c>
      <c r="E1692" s="117" t="inlineStr">
        <is>
          <t>RED RETROSPOT SHOPPER BAG</t>
        </is>
      </c>
      <c r="F1692" s="117" t="n">
        <v>20</v>
      </c>
      <c r="G1692" s="118" t="n">
        <v>1.25</v>
      </c>
      <c r="H1692" s="118" t="n">
        <v>25</v>
      </c>
      <c r="I1692" s="119" t="n">
        <v>40679</v>
      </c>
    </row>
    <row r="1693">
      <c r="A1693" s="114" t="inlineStr">
        <is>
          <t>553341</t>
        </is>
      </c>
      <c r="B1693" s="114" t="n">
        <v>16293</v>
      </c>
      <c r="C1693" s="114" t="inlineStr">
        <is>
          <t>United Kingdom</t>
        </is>
      </c>
      <c r="D1693" s="114" t="inlineStr">
        <is>
          <t>23298</t>
        </is>
      </c>
      <c r="E1693" s="114" t="inlineStr">
        <is>
          <t>SPOTTY BUNTING</t>
        </is>
      </c>
      <c r="F1693" s="114" t="n">
        <v>3</v>
      </c>
      <c r="G1693" s="115" t="n">
        <v>4.95</v>
      </c>
      <c r="H1693" s="115" t="n">
        <v>14.85</v>
      </c>
      <c r="I1693" s="116" t="n">
        <v>40679</v>
      </c>
    </row>
    <row r="1694">
      <c r="A1694" s="117" t="inlineStr">
        <is>
          <t>553345</t>
        </is>
      </c>
      <c r="B1694" s="117" t="n">
        <v>16729</v>
      </c>
      <c r="C1694" s="117" t="inlineStr">
        <is>
          <t>United Kingdom</t>
        </is>
      </c>
      <c r="D1694" s="117" t="inlineStr">
        <is>
          <t>23298</t>
        </is>
      </c>
      <c r="E1694" s="117" t="inlineStr">
        <is>
          <t>SPOTTY BUNTING</t>
        </is>
      </c>
      <c r="F1694" s="117" t="n">
        <v>8</v>
      </c>
      <c r="G1694" s="118" t="n">
        <v>4.95</v>
      </c>
      <c r="H1694" s="118" t="n">
        <v>39.6</v>
      </c>
      <c r="I1694" s="119" t="n">
        <v>40679</v>
      </c>
    </row>
    <row r="1695">
      <c r="A1695" s="114" t="inlineStr">
        <is>
          <t>553345</t>
        </is>
      </c>
      <c r="B1695" s="114" t="n">
        <v>16729</v>
      </c>
      <c r="C1695" s="114" t="inlineStr">
        <is>
          <t>United Kingdom</t>
        </is>
      </c>
      <c r="D1695" s="114" t="inlineStr">
        <is>
          <t>22382</t>
        </is>
      </c>
      <c r="E1695" s="114" t="inlineStr">
        <is>
          <t xml:space="preserve">LUNCH BAG SPACEBOY DESIGN </t>
        </is>
      </c>
      <c r="F1695" s="114" t="n">
        <v>2</v>
      </c>
      <c r="G1695" s="115" t="n">
        <v>1.65</v>
      </c>
      <c r="H1695" s="115" t="n">
        <v>3.3</v>
      </c>
      <c r="I1695" s="116" t="n">
        <v>40679</v>
      </c>
    </row>
    <row r="1696">
      <c r="A1696" s="117" t="inlineStr">
        <is>
          <t>553347</t>
        </is>
      </c>
      <c r="B1696" s="117" t="n">
        <v>14755</v>
      </c>
      <c r="C1696" s="117" t="inlineStr">
        <is>
          <t>United Kingdom</t>
        </is>
      </c>
      <c r="D1696" s="117" t="inlineStr">
        <is>
          <t>23135</t>
        </is>
      </c>
      <c r="E1696" s="117" t="inlineStr">
        <is>
          <t>SMALL ZINC HEART WALL ORGANISER</t>
        </is>
      </c>
      <c r="F1696" s="117" t="n">
        <v>8</v>
      </c>
      <c r="G1696" s="118" t="n">
        <v>5.75</v>
      </c>
      <c r="H1696" s="118" t="n">
        <v>46</v>
      </c>
      <c r="I1696" s="119" t="n">
        <v>40679</v>
      </c>
    </row>
    <row r="1697">
      <c r="A1697" s="114" t="inlineStr">
        <is>
          <t>553356</t>
        </is>
      </c>
      <c r="B1697" s="114" t="n">
        <v>14038</v>
      </c>
      <c r="C1697" s="114" t="inlineStr">
        <is>
          <t>United Kingdom</t>
        </is>
      </c>
      <c r="D1697" s="114" t="inlineStr">
        <is>
          <t>21934</t>
        </is>
      </c>
      <c r="E1697" s="114" t="inlineStr">
        <is>
          <t>SKULL SHOULDER BAG</t>
        </is>
      </c>
      <c r="F1697" s="114" t="n">
        <v>10</v>
      </c>
      <c r="G1697" s="115" t="n">
        <v>1.65</v>
      </c>
      <c r="H1697" s="115" t="n">
        <v>16.5</v>
      </c>
      <c r="I1697" s="116" t="n">
        <v>40679</v>
      </c>
    </row>
    <row r="1698">
      <c r="A1698" s="117" t="inlineStr">
        <is>
          <t>553368</t>
        </is>
      </c>
      <c r="B1698" s="117" t="n">
        <v>18102</v>
      </c>
      <c r="C1698" s="117" t="inlineStr">
        <is>
          <t>United Kingdom</t>
        </is>
      </c>
      <c r="D1698" s="117" t="inlineStr">
        <is>
          <t>48188</t>
        </is>
      </c>
      <c r="E1698" s="117" t="inlineStr">
        <is>
          <t>DOORMAT WELCOME PUPPIES</t>
        </is>
      </c>
      <c r="F1698" s="117" t="n">
        <v>100</v>
      </c>
      <c r="G1698" s="118" t="n">
        <v>4.58</v>
      </c>
      <c r="H1698" s="118" t="n">
        <v>458</v>
      </c>
      <c r="I1698" s="119" t="n">
        <v>40679</v>
      </c>
    </row>
    <row r="1699">
      <c r="A1699" s="114" t="inlineStr">
        <is>
          <t>553374</t>
        </is>
      </c>
      <c r="B1699" s="114" t="n">
        <v>14489</v>
      </c>
      <c r="C1699" s="114" t="inlineStr">
        <is>
          <t>United Kingdom</t>
        </is>
      </c>
      <c r="D1699" s="114" t="inlineStr">
        <is>
          <t>23202</t>
        </is>
      </c>
      <c r="E1699" s="114" t="inlineStr">
        <is>
          <t>JUMBO BAG VINTAGE LEAF</t>
        </is>
      </c>
      <c r="F1699" s="114" t="n">
        <v>10</v>
      </c>
      <c r="G1699" s="115" t="n">
        <v>2.08</v>
      </c>
      <c r="H1699" s="115" t="n">
        <v>20.8</v>
      </c>
      <c r="I1699" s="116" t="n">
        <v>40679</v>
      </c>
    </row>
    <row r="1700">
      <c r="A1700" s="117" t="inlineStr">
        <is>
          <t>553375</t>
        </is>
      </c>
      <c r="B1700" s="117" t="n">
        <v>14911</v>
      </c>
      <c r="C1700" s="117" t="inlineStr">
        <is>
          <t>EIRE</t>
        </is>
      </c>
      <c r="D1700" s="117" t="inlineStr">
        <is>
          <t>22423</t>
        </is>
      </c>
      <c r="E1700" s="117" t="inlineStr">
        <is>
          <t>REGENCY CAKESTAND 3 TIER</t>
        </is>
      </c>
      <c r="F1700" s="117" t="n">
        <v>6</v>
      </c>
      <c r="G1700" s="118" t="n">
        <v>12.75</v>
      </c>
      <c r="H1700" s="118" t="n">
        <v>76.5</v>
      </c>
      <c r="I1700" s="119" t="n">
        <v>40679</v>
      </c>
    </row>
    <row r="1701">
      <c r="A1701" s="114" t="inlineStr">
        <is>
          <t>553381</t>
        </is>
      </c>
      <c r="B1701" s="114" t="n">
        <v>13456</v>
      </c>
      <c r="C1701" s="114" t="inlineStr">
        <is>
          <t>United Kingdom</t>
        </is>
      </c>
      <c r="D1701" s="114" t="inlineStr">
        <is>
          <t>21507</t>
        </is>
      </c>
      <c r="E1701" s="114" t="inlineStr">
        <is>
          <t xml:space="preserve">ELEPHANT, BIRTHDAY CARD, </t>
        </is>
      </c>
      <c r="F1701" s="114" t="n">
        <v>12</v>
      </c>
      <c r="G1701" s="115" t="n">
        <v>0.42</v>
      </c>
      <c r="H1701" s="115" t="n">
        <v>5.04</v>
      </c>
      <c r="I1701" s="116" t="n">
        <v>40679</v>
      </c>
    </row>
    <row r="1702">
      <c r="A1702" s="117" t="inlineStr">
        <is>
          <t>553385</t>
        </is>
      </c>
      <c r="B1702" s="117" t="n">
        <v>16710</v>
      </c>
      <c r="C1702" s="117" t="inlineStr">
        <is>
          <t>United Kingdom</t>
        </is>
      </c>
      <c r="D1702" s="117" t="inlineStr">
        <is>
          <t>20725</t>
        </is>
      </c>
      <c r="E1702" s="117" t="inlineStr">
        <is>
          <t>LUNCH BAG RED RETROSPOT</t>
        </is>
      </c>
      <c r="F1702" s="117" t="n">
        <v>1</v>
      </c>
      <c r="G1702" s="118" t="n">
        <v>1.65</v>
      </c>
      <c r="H1702" s="118" t="n">
        <v>1.65</v>
      </c>
      <c r="I1702" s="119" t="n">
        <v>40679</v>
      </c>
    </row>
    <row r="1703">
      <c r="A1703" s="114" t="inlineStr">
        <is>
          <t>553386</t>
        </is>
      </c>
      <c r="B1703" s="114" t="n">
        <v>13381</v>
      </c>
      <c r="C1703" s="114" t="inlineStr">
        <is>
          <t>United Kingdom</t>
        </is>
      </c>
      <c r="D1703" s="114" t="inlineStr">
        <is>
          <t>22138</t>
        </is>
      </c>
      <c r="E1703" s="114" t="inlineStr">
        <is>
          <t xml:space="preserve">BAKING SET 9 PIECE RETROSPOT </t>
        </is>
      </c>
      <c r="F1703" s="114" t="n">
        <v>6</v>
      </c>
      <c r="G1703" s="115" t="n">
        <v>4.95</v>
      </c>
      <c r="H1703" s="115" t="n">
        <v>29.7</v>
      </c>
      <c r="I1703" s="116" t="n">
        <v>40679</v>
      </c>
    </row>
    <row r="1704">
      <c r="A1704" s="117" t="inlineStr">
        <is>
          <t>553410</t>
        </is>
      </c>
      <c r="B1704" s="117" t="n">
        <v>14320</v>
      </c>
      <c r="C1704" s="117" t="inlineStr">
        <is>
          <t>United Kingdom</t>
        </is>
      </c>
      <c r="D1704" s="117" t="inlineStr">
        <is>
          <t>84378</t>
        </is>
      </c>
      <c r="E1704" s="117" t="inlineStr">
        <is>
          <t>SET OF 3 HEART COOKIE CUTTERS</t>
        </is>
      </c>
      <c r="F1704" s="117" t="n">
        <v>12</v>
      </c>
      <c r="G1704" s="118" t="n">
        <v>1.25</v>
      </c>
      <c r="H1704" s="118" t="n">
        <v>15</v>
      </c>
      <c r="I1704" s="119" t="n">
        <v>40680</v>
      </c>
    </row>
    <row r="1705">
      <c r="A1705" s="114" t="inlineStr">
        <is>
          <t>553411</t>
        </is>
      </c>
      <c r="B1705" s="114" t="n">
        <v>12714</v>
      </c>
      <c r="C1705" s="114" t="inlineStr">
        <is>
          <t>France</t>
        </is>
      </c>
      <c r="D1705" s="114" t="inlineStr">
        <is>
          <t>22716</t>
        </is>
      </c>
      <c r="E1705" s="114" t="inlineStr">
        <is>
          <t>CARD CIRCUS PARADE</t>
        </is>
      </c>
      <c r="F1705" s="114" t="n">
        <v>12</v>
      </c>
      <c r="G1705" s="115" t="n">
        <v>0.42</v>
      </c>
      <c r="H1705" s="115" t="n">
        <v>5.04</v>
      </c>
      <c r="I1705" s="116" t="n">
        <v>40680</v>
      </c>
    </row>
    <row r="1706">
      <c r="A1706" s="117" t="inlineStr">
        <is>
          <t>553417</t>
        </is>
      </c>
      <c r="B1706" s="117" t="n">
        <v>13871</v>
      </c>
      <c r="C1706" s="117" t="inlineStr">
        <is>
          <t>United Kingdom</t>
        </is>
      </c>
      <c r="D1706" s="117" t="inlineStr">
        <is>
          <t>23093</t>
        </is>
      </c>
      <c r="E1706" s="117" t="inlineStr">
        <is>
          <t xml:space="preserve">SMALL PARISIENNE HEART PHOTO FRAME </t>
        </is>
      </c>
      <c r="F1706" s="117" t="n">
        <v>6</v>
      </c>
      <c r="G1706" s="118" t="n">
        <v>2.49</v>
      </c>
      <c r="H1706" s="118" t="n">
        <v>14.94</v>
      </c>
      <c r="I1706" s="119" t="n">
        <v>40680</v>
      </c>
    </row>
    <row r="1707">
      <c r="A1707" s="114" t="inlineStr">
        <is>
          <t>553423</t>
        </is>
      </c>
      <c r="B1707" s="114" t="n">
        <v>17811</v>
      </c>
      <c r="C1707" s="114" t="inlineStr">
        <is>
          <t>United Kingdom</t>
        </is>
      </c>
      <c r="D1707" s="114" t="inlineStr">
        <is>
          <t>21786</t>
        </is>
      </c>
      <c r="E1707" s="114" t="inlineStr">
        <is>
          <t xml:space="preserve">POLKADOT RAIN HAT </t>
        </is>
      </c>
      <c r="F1707" s="114" t="n">
        <v>1</v>
      </c>
      <c r="G1707" s="115" t="n">
        <v>0.42</v>
      </c>
      <c r="H1707" s="115" t="n">
        <v>0.42</v>
      </c>
      <c r="I1707" s="116" t="n">
        <v>40680</v>
      </c>
    </row>
    <row r="1708">
      <c r="A1708" s="117" t="inlineStr">
        <is>
          <t>553464</t>
        </is>
      </c>
      <c r="B1708" s="117" t="n">
        <v>16218</v>
      </c>
      <c r="C1708" s="117" t="inlineStr">
        <is>
          <t>United Kingdom</t>
        </is>
      </c>
      <c r="D1708" s="117" t="inlineStr">
        <is>
          <t>22644</t>
        </is>
      </c>
      <c r="E1708" s="117" t="inlineStr">
        <is>
          <t>CERAMIC CHERRY CAKE MONEY BANK</t>
        </is>
      </c>
      <c r="F1708" s="117" t="n">
        <v>12</v>
      </c>
      <c r="G1708" s="118" t="n">
        <v>1.45</v>
      </c>
      <c r="H1708" s="118" t="n">
        <v>17.4</v>
      </c>
      <c r="I1708" s="119" t="n">
        <v>40680</v>
      </c>
    </row>
    <row r="1709">
      <c r="A1709" s="114" t="inlineStr">
        <is>
          <t>553472</t>
        </is>
      </c>
      <c r="B1709" s="114" t="n">
        <v>15093</v>
      </c>
      <c r="C1709" s="114" t="inlineStr">
        <is>
          <t>United Kingdom</t>
        </is>
      </c>
      <c r="D1709" s="114" t="inlineStr">
        <is>
          <t>21519</t>
        </is>
      </c>
      <c r="E1709" s="114" t="inlineStr">
        <is>
          <t xml:space="preserve">GIN &amp; TONIC DIET GREETING CARD </t>
        </is>
      </c>
      <c r="F1709" s="114" t="n">
        <v>24</v>
      </c>
      <c r="G1709" s="115" t="n">
        <v>0.42</v>
      </c>
      <c r="H1709" s="115" t="n">
        <v>10.08</v>
      </c>
      <c r="I1709" s="116" t="n">
        <v>40680</v>
      </c>
    </row>
    <row r="1710">
      <c r="A1710" s="117" t="inlineStr">
        <is>
          <t>553477</t>
        </is>
      </c>
      <c r="B1710" s="117" t="n">
        <v>14239</v>
      </c>
      <c r="C1710" s="117" t="inlineStr">
        <is>
          <t>United Kingdom</t>
        </is>
      </c>
      <c r="D1710" s="117" t="inlineStr">
        <is>
          <t>85123A</t>
        </is>
      </c>
      <c r="E1710" s="117" t="inlineStr">
        <is>
          <t>WHITE HANGING HEART T-LIGHT HOLDER</t>
        </is>
      </c>
      <c r="F1710" s="117" t="n">
        <v>6</v>
      </c>
      <c r="G1710" s="118" t="n">
        <v>2.95</v>
      </c>
      <c r="H1710" s="118" t="n">
        <v>17.7</v>
      </c>
      <c r="I1710" s="119" t="n">
        <v>40680</v>
      </c>
    </row>
    <row r="1711">
      <c r="A1711" s="114" t="inlineStr">
        <is>
          <t>553491</t>
        </is>
      </c>
      <c r="B1711" s="114" t="n">
        <v>15624</v>
      </c>
      <c r="C1711" s="114" t="inlineStr">
        <is>
          <t>United Kingdom</t>
        </is>
      </c>
      <c r="D1711" s="114" t="inlineStr">
        <is>
          <t>82580</t>
        </is>
      </c>
      <c r="E1711" s="114" t="inlineStr">
        <is>
          <t>BATHROOM METAL SIGN</t>
        </is>
      </c>
      <c r="F1711" s="114" t="n">
        <v>12</v>
      </c>
      <c r="G1711" s="115" t="n">
        <v>0.55</v>
      </c>
      <c r="H1711" s="115" t="n">
        <v>6.6</v>
      </c>
      <c r="I1711" s="116" t="n">
        <v>40680</v>
      </c>
    </row>
    <row r="1712">
      <c r="A1712" s="117" t="inlineStr">
        <is>
          <t>553504</t>
        </is>
      </c>
      <c r="B1712" s="117" t="n">
        <v>13310</v>
      </c>
      <c r="C1712" s="117" t="inlineStr">
        <is>
          <t>United Kingdom</t>
        </is>
      </c>
      <c r="D1712" s="117" t="inlineStr">
        <is>
          <t>22089</t>
        </is>
      </c>
      <c r="E1712" s="117" t="inlineStr">
        <is>
          <t>PAPER BUNTING VINTAGE PAISLEY</t>
        </is>
      </c>
      <c r="F1712" s="117" t="n">
        <v>6</v>
      </c>
      <c r="G1712" s="118" t="n">
        <v>2.95</v>
      </c>
      <c r="H1712" s="118" t="n">
        <v>17.7</v>
      </c>
      <c r="I1712" s="119" t="n">
        <v>40680</v>
      </c>
    </row>
    <row r="1713">
      <c r="A1713" s="114" t="inlineStr">
        <is>
          <t>553504</t>
        </is>
      </c>
      <c r="B1713" s="114" t="n">
        <v>13310</v>
      </c>
      <c r="C1713" s="114" t="inlineStr">
        <is>
          <t>United Kingdom</t>
        </is>
      </c>
      <c r="D1713" s="114" t="inlineStr">
        <is>
          <t>22635</t>
        </is>
      </c>
      <c r="E1713" s="114" t="inlineStr">
        <is>
          <t xml:space="preserve">CHILDS BREAKFAST SET DOLLY GIRL </t>
        </is>
      </c>
      <c r="F1713" s="114" t="n">
        <v>2</v>
      </c>
      <c r="G1713" s="115" t="n">
        <v>9.949999999999999</v>
      </c>
      <c r="H1713" s="115" t="n">
        <v>19.9</v>
      </c>
      <c r="I1713" s="116" t="n">
        <v>40680</v>
      </c>
    </row>
    <row r="1714">
      <c r="A1714" s="117" t="inlineStr">
        <is>
          <t>553522</t>
        </is>
      </c>
      <c r="B1714" s="117" t="n">
        <v>15005</v>
      </c>
      <c r="C1714" s="117" t="inlineStr">
        <is>
          <t>United Kingdom</t>
        </is>
      </c>
      <c r="D1714" s="117" t="inlineStr">
        <is>
          <t>22222</t>
        </is>
      </c>
      <c r="E1714" s="117" t="inlineStr">
        <is>
          <t>CAKE PLATE LOVEBIRD WHITE</t>
        </is>
      </c>
      <c r="F1714" s="117" t="n">
        <v>2</v>
      </c>
      <c r="G1714" s="118" t="n">
        <v>4.95</v>
      </c>
      <c r="H1714" s="118" t="n">
        <v>9.9</v>
      </c>
      <c r="I1714" s="119" t="n">
        <v>40680</v>
      </c>
    </row>
    <row r="1715">
      <c r="A1715" s="114" t="inlineStr">
        <is>
          <t>553527</t>
        </is>
      </c>
      <c r="B1715" s="114" t="n">
        <v>15123</v>
      </c>
      <c r="C1715" s="114" t="inlineStr">
        <is>
          <t>United Kingdom</t>
        </is>
      </c>
      <c r="D1715" s="114" t="inlineStr">
        <is>
          <t>22917</t>
        </is>
      </c>
      <c r="E1715" s="114" t="inlineStr">
        <is>
          <t>HERB MARKER ROSEMARY</t>
        </is>
      </c>
      <c r="F1715" s="114" t="n">
        <v>12</v>
      </c>
      <c r="G1715" s="115" t="n">
        <v>0.65</v>
      </c>
      <c r="H1715" s="115" t="n">
        <v>7.8</v>
      </c>
      <c r="I1715" s="116" t="n">
        <v>40680</v>
      </c>
    </row>
    <row r="1716">
      <c r="A1716" s="117" t="inlineStr">
        <is>
          <t>553527</t>
        </is>
      </c>
      <c r="B1716" s="117" t="n">
        <v>15123</v>
      </c>
      <c r="C1716" s="117" t="inlineStr">
        <is>
          <t>United Kingdom</t>
        </is>
      </c>
      <c r="D1716" s="117" t="inlineStr">
        <is>
          <t>22349</t>
        </is>
      </c>
      <c r="E1716" s="117" t="inlineStr">
        <is>
          <t>DOG BOWL CHASING BALL DESIGN</t>
        </is>
      </c>
      <c r="F1716" s="117" t="n">
        <v>6</v>
      </c>
      <c r="G1716" s="118" t="n">
        <v>3.75</v>
      </c>
      <c r="H1716" s="118" t="n">
        <v>22.5</v>
      </c>
      <c r="I1716" s="119" t="n">
        <v>40680</v>
      </c>
    </row>
    <row r="1717">
      <c r="A1717" s="114" t="inlineStr">
        <is>
          <t>553546</t>
        </is>
      </c>
      <c r="B1717" s="114" t="n">
        <v>12415</v>
      </c>
      <c r="C1717" s="114" t="inlineStr">
        <is>
          <t>Australia</t>
        </is>
      </c>
      <c r="D1717" s="114" t="inlineStr">
        <is>
          <t>47590B</t>
        </is>
      </c>
      <c r="E1717" s="114" t="inlineStr">
        <is>
          <t>PINK HAPPY BIRTHDAY BUNTING</t>
        </is>
      </c>
      <c r="F1717" s="114" t="n">
        <v>50</v>
      </c>
      <c r="G1717" s="115" t="n">
        <v>4.65</v>
      </c>
      <c r="H1717" s="115" t="n">
        <v>232.5</v>
      </c>
      <c r="I1717" s="116" t="n">
        <v>40680</v>
      </c>
    </row>
    <row r="1718">
      <c r="A1718" s="117" t="inlineStr">
        <is>
          <t>553552</t>
        </is>
      </c>
      <c r="B1718" s="117" t="n">
        <v>17702</v>
      </c>
      <c r="C1718" s="117" t="inlineStr">
        <is>
          <t>United Kingdom</t>
        </is>
      </c>
      <c r="D1718" s="117" t="inlineStr">
        <is>
          <t>21084</t>
        </is>
      </c>
      <c r="E1718" s="117" t="inlineStr">
        <is>
          <t>SET/6 COLLAGE PAPER CUPS</t>
        </is>
      </c>
      <c r="F1718" s="117" t="n">
        <v>24</v>
      </c>
      <c r="G1718" s="118" t="n">
        <v>0.19</v>
      </c>
      <c r="H1718" s="118" t="n">
        <v>4.56</v>
      </c>
      <c r="I1718" s="119" t="n">
        <v>40680</v>
      </c>
    </row>
    <row r="1719">
      <c r="A1719" s="114" t="inlineStr">
        <is>
          <t>553570</t>
        </is>
      </c>
      <c r="B1719" s="114" t="n">
        <v>13756</v>
      </c>
      <c r="C1719" s="114" t="inlineStr">
        <is>
          <t>United Kingdom</t>
        </is>
      </c>
      <c r="D1719" s="114" t="inlineStr">
        <is>
          <t>23065</t>
        </is>
      </c>
      <c r="E1719" s="114" t="inlineStr">
        <is>
          <t>LARGE DECO JEWELLERY STAND</t>
        </is>
      </c>
      <c r="F1719" s="114" t="n">
        <v>2</v>
      </c>
      <c r="G1719" s="115" t="n">
        <v>12.5</v>
      </c>
      <c r="H1719" s="115" t="n">
        <v>25</v>
      </c>
      <c r="I1719" s="116" t="n">
        <v>40681</v>
      </c>
    </row>
    <row r="1720">
      <c r="A1720" s="117" t="inlineStr">
        <is>
          <t>553577</t>
        </is>
      </c>
      <c r="B1720" s="117" t="n">
        <v>12437</v>
      </c>
      <c r="C1720" s="117" t="inlineStr">
        <is>
          <t>France</t>
        </is>
      </c>
      <c r="D1720" s="117" t="inlineStr">
        <is>
          <t>22584</t>
        </is>
      </c>
      <c r="E1720" s="117" t="inlineStr">
        <is>
          <t>PACK OF 6 PANNETONE GIFT BOXES</t>
        </is>
      </c>
      <c r="F1720" s="117" t="n">
        <v>12</v>
      </c>
      <c r="G1720" s="118" t="n">
        <v>2.55</v>
      </c>
      <c r="H1720" s="118" t="n">
        <v>30.6</v>
      </c>
      <c r="I1720" s="119" t="n">
        <v>40681</v>
      </c>
    </row>
    <row r="1721">
      <c r="A1721" s="114" t="inlineStr">
        <is>
          <t>553585</t>
        </is>
      </c>
      <c r="B1721" s="114" t="n">
        <v>15301</v>
      </c>
      <c r="C1721" s="114" t="inlineStr">
        <is>
          <t>United Kingdom</t>
        </is>
      </c>
      <c r="D1721" s="114" t="inlineStr">
        <is>
          <t>22983</t>
        </is>
      </c>
      <c r="E1721" s="114" t="inlineStr">
        <is>
          <t>CARD BILLBOARD FONT</t>
        </is>
      </c>
      <c r="F1721" s="114" t="n">
        <v>12</v>
      </c>
      <c r="G1721" s="115" t="n">
        <v>0.42</v>
      </c>
      <c r="H1721" s="115" t="n">
        <v>5.04</v>
      </c>
      <c r="I1721" s="116" t="n">
        <v>40681</v>
      </c>
    </row>
    <row r="1722">
      <c r="A1722" s="117" t="inlineStr">
        <is>
          <t>553660</t>
        </is>
      </c>
      <c r="B1722" s="117" t="n">
        <v>14620</v>
      </c>
      <c r="C1722" s="117" t="inlineStr">
        <is>
          <t>United Kingdom</t>
        </is>
      </c>
      <c r="D1722" s="117" t="inlineStr">
        <is>
          <t>84924A</t>
        </is>
      </c>
      <c r="E1722" s="117" t="inlineStr">
        <is>
          <t xml:space="preserve">WAKE UP COCKEREL CALENDAR SIGN </t>
        </is>
      </c>
      <c r="F1722" s="117" t="n">
        <v>4</v>
      </c>
      <c r="G1722" s="118" t="n">
        <v>3.75</v>
      </c>
      <c r="H1722" s="118" t="n">
        <v>15</v>
      </c>
      <c r="I1722" s="119" t="n">
        <v>40681</v>
      </c>
    </row>
    <row r="1723">
      <c r="A1723" s="114" t="inlineStr">
        <is>
          <t>553675</t>
        </is>
      </c>
      <c r="B1723" s="114" t="n">
        <v>13719</v>
      </c>
      <c r="C1723" s="114" t="inlineStr">
        <is>
          <t>United Kingdom</t>
        </is>
      </c>
      <c r="D1723" s="114" t="inlineStr">
        <is>
          <t>20766</t>
        </is>
      </c>
      <c r="E1723" s="114" t="inlineStr">
        <is>
          <t>GARDEN PATH SKETCHBOOK</t>
        </is>
      </c>
      <c r="F1723" s="114" t="n">
        <v>4</v>
      </c>
      <c r="G1723" s="115" t="n">
        <v>3.75</v>
      </c>
      <c r="H1723" s="115" t="n">
        <v>15</v>
      </c>
      <c r="I1723" s="116" t="n">
        <v>40681</v>
      </c>
    </row>
    <row r="1724">
      <c r="A1724" s="117" t="inlineStr">
        <is>
          <t>553685</t>
        </is>
      </c>
      <c r="B1724" s="117" t="n">
        <v>18097</v>
      </c>
      <c r="C1724" s="117" t="inlineStr">
        <is>
          <t>United Kingdom</t>
        </is>
      </c>
      <c r="D1724" s="117" t="inlineStr">
        <is>
          <t>84970L</t>
        </is>
      </c>
      <c r="E1724" s="117" t="inlineStr">
        <is>
          <t>SINGLE HEART ZINC T-LIGHT HOLDER</t>
        </is>
      </c>
      <c r="F1724" s="117" t="n">
        <v>12</v>
      </c>
      <c r="G1724" s="118" t="n">
        <v>0.95</v>
      </c>
      <c r="H1724" s="118" t="n">
        <v>11.4</v>
      </c>
      <c r="I1724" s="119" t="n">
        <v>40681</v>
      </c>
    </row>
    <row r="1725">
      <c r="A1725" s="114" t="inlineStr">
        <is>
          <t>553689</t>
        </is>
      </c>
      <c r="B1725" s="114" t="n">
        <v>17389</v>
      </c>
      <c r="C1725" s="114" t="inlineStr">
        <is>
          <t>United Kingdom</t>
        </is>
      </c>
      <c r="D1725" s="114" t="inlineStr">
        <is>
          <t>84970S</t>
        </is>
      </c>
      <c r="E1725" s="114" t="inlineStr">
        <is>
          <t>HANGING HEART ZINC T-LIGHT HOLDER</t>
        </is>
      </c>
      <c r="F1725" s="114" t="n">
        <v>24</v>
      </c>
      <c r="G1725" s="115" t="n">
        <v>0.64</v>
      </c>
      <c r="H1725" s="115" t="n">
        <v>15.36</v>
      </c>
      <c r="I1725" s="116" t="n">
        <v>40681</v>
      </c>
    </row>
    <row r="1726">
      <c r="A1726" s="117" t="inlineStr">
        <is>
          <t>553707</t>
        </is>
      </c>
      <c r="B1726" s="117" t="n">
        <v>16843</v>
      </c>
      <c r="C1726" s="117" t="inlineStr">
        <is>
          <t>United Kingdom</t>
        </is>
      </c>
      <c r="D1726" s="117" t="inlineStr">
        <is>
          <t>20685</t>
        </is>
      </c>
      <c r="E1726" s="117" t="inlineStr">
        <is>
          <t>DOORMAT RED RETROSPOT</t>
        </is>
      </c>
      <c r="F1726" s="117" t="n">
        <v>10</v>
      </c>
      <c r="G1726" s="118" t="n">
        <v>6.75</v>
      </c>
      <c r="H1726" s="118" t="n">
        <v>67.5</v>
      </c>
      <c r="I1726" s="119" t="n">
        <v>40681</v>
      </c>
    </row>
    <row r="1727">
      <c r="A1727" s="114" t="inlineStr">
        <is>
          <t>553711</t>
        </is>
      </c>
      <c r="B1727" s="114" t="n">
        <v>13552</v>
      </c>
      <c r="C1727" s="114" t="inlineStr">
        <is>
          <t>United Kingdom</t>
        </is>
      </c>
      <c r="D1727" s="114" t="inlineStr">
        <is>
          <t>23129</t>
        </is>
      </c>
      <c r="E1727" s="114" t="inlineStr">
        <is>
          <t>HEART SHAPED HOLLY WREATH</t>
        </is>
      </c>
      <c r="F1727" s="114" t="n">
        <v>12</v>
      </c>
      <c r="G1727" s="115" t="n">
        <v>4.15</v>
      </c>
      <c r="H1727" s="115" t="n">
        <v>49.8</v>
      </c>
      <c r="I1727" s="116" t="n">
        <v>40681</v>
      </c>
    </row>
    <row r="1728">
      <c r="A1728" s="117" t="inlineStr">
        <is>
          <t>553727</t>
        </is>
      </c>
      <c r="B1728" s="117" t="n">
        <v>13531</v>
      </c>
      <c r="C1728" s="117" t="inlineStr">
        <is>
          <t>United Kingdom</t>
        </is>
      </c>
      <c r="D1728" s="117" t="inlineStr">
        <is>
          <t>21843</t>
        </is>
      </c>
      <c r="E1728" s="117" t="inlineStr">
        <is>
          <t>RED RETROSPOT CAKE STAND</t>
        </is>
      </c>
      <c r="F1728" s="117" t="n">
        <v>2</v>
      </c>
      <c r="G1728" s="118" t="n">
        <v>10.95</v>
      </c>
      <c r="H1728" s="118" t="n">
        <v>21.9</v>
      </c>
      <c r="I1728" s="119" t="n">
        <v>40681</v>
      </c>
    </row>
    <row r="1729">
      <c r="A1729" s="114" t="inlineStr">
        <is>
          <t>553731</t>
        </is>
      </c>
      <c r="B1729" s="114" t="n">
        <v>12481</v>
      </c>
      <c r="C1729" s="114" t="inlineStr">
        <is>
          <t>Germany</t>
        </is>
      </c>
      <c r="D1729" s="114" t="inlineStr">
        <is>
          <t>21896</t>
        </is>
      </c>
      <c r="E1729" s="114" t="inlineStr">
        <is>
          <t>POTTING SHED TWINE</t>
        </is>
      </c>
      <c r="F1729" s="114" t="n">
        <v>6</v>
      </c>
      <c r="G1729" s="115" t="n">
        <v>2.1</v>
      </c>
      <c r="H1729" s="115" t="n">
        <v>12.6</v>
      </c>
      <c r="I1729" s="116" t="n">
        <v>40682</v>
      </c>
    </row>
    <row r="1730">
      <c r="A1730" s="117" t="inlineStr">
        <is>
          <t>553737</t>
        </is>
      </c>
      <c r="B1730" s="117" t="n">
        <v>15116</v>
      </c>
      <c r="C1730" s="117" t="inlineStr">
        <is>
          <t>United Kingdom</t>
        </is>
      </c>
      <c r="D1730" s="117" t="inlineStr">
        <is>
          <t>22138</t>
        </is>
      </c>
      <c r="E1730" s="117" t="inlineStr">
        <is>
          <t xml:space="preserve">BAKING SET 9 PIECE RETROSPOT </t>
        </is>
      </c>
      <c r="F1730" s="117" t="n">
        <v>24</v>
      </c>
      <c r="G1730" s="118" t="n">
        <v>4.25</v>
      </c>
      <c r="H1730" s="118" t="n">
        <v>102</v>
      </c>
      <c r="I1730" s="119" t="n">
        <v>40682</v>
      </c>
    </row>
    <row r="1731">
      <c r="A1731" s="114" t="inlineStr">
        <is>
          <t>553739</t>
        </is>
      </c>
      <c r="B1731" s="114" t="n">
        <v>14895</v>
      </c>
      <c r="C1731" s="114" t="inlineStr">
        <is>
          <t>United Kingdom</t>
        </is>
      </c>
      <c r="D1731" s="114" t="inlineStr">
        <is>
          <t>23093</t>
        </is>
      </c>
      <c r="E1731" s="114" t="inlineStr">
        <is>
          <t xml:space="preserve">SMALL PARISIENNE HEART PHOTO FRAME </t>
        </is>
      </c>
      <c r="F1731" s="114" t="n">
        <v>6</v>
      </c>
      <c r="G1731" s="115" t="n">
        <v>2.49</v>
      </c>
      <c r="H1731" s="115" t="n">
        <v>14.94</v>
      </c>
      <c r="I1731" s="116" t="n">
        <v>40682</v>
      </c>
    </row>
    <row r="1732">
      <c r="A1732" s="117" t="inlineStr">
        <is>
          <t>553741</t>
        </is>
      </c>
      <c r="B1732" s="117" t="n">
        <v>12520</v>
      </c>
      <c r="C1732" s="117" t="inlineStr">
        <is>
          <t>Germany</t>
        </is>
      </c>
      <c r="D1732" s="117" t="inlineStr">
        <is>
          <t>23298</t>
        </is>
      </c>
      <c r="E1732" s="117" t="inlineStr">
        <is>
          <t>SPOTTY BUNTING</t>
        </is>
      </c>
      <c r="F1732" s="117" t="n">
        <v>3</v>
      </c>
      <c r="G1732" s="118" t="n">
        <v>4.95</v>
      </c>
      <c r="H1732" s="118" t="n">
        <v>14.85</v>
      </c>
      <c r="I1732" s="119" t="n">
        <v>40682</v>
      </c>
    </row>
    <row r="1733">
      <c r="A1733" s="114" t="inlineStr">
        <is>
          <t>553741</t>
        </is>
      </c>
      <c r="B1733" s="114" t="n">
        <v>12520</v>
      </c>
      <c r="C1733" s="114" t="inlineStr">
        <is>
          <t>Germany</t>
        </is>
      </c>
      <c r="D1733" s="114" t="inlineStr">
        <is>
          <t>21244</t>
        </is>
      </c>
      <c r="E1733" s="114" t="inlineStr">
        <is>
          <t xml:space="preserve">BLUE POLKADOT PLATE </t>
        </is>
      </c>
      <c r="F1733" s="114" t="n">
        <v>8</v>
      </c>
      <c r="G1733" s="115" t="n">
        <v>1.69</v>
      </c>
      <c r="H1733" s="115" t="n">
        <v>13.52</v>
      </c>
      <c r="I1733" s="116" t="n">
        <v>40682</v>
      </c>
    </row>
    <row r="1734">
      <c r="A1734" s="117" t="inlineStr">
        <is>
          <t>553741</t>
        </is>
      </c>
      <c r="B1734" s="117" t="n">
        <v>12520</v>
      </c>
      <c r="C1734" s="117" t="inlineStr">
        <is>
          <t>Germany</t>
        </is>
      </c>
      <c r="D1734" s="117" t="inlineStr">
        <is>
          <t>51014L</t>
        </is>
      </c>
      <c r="E1734" s="117" t="inlineStr">
        <is>
          <t>FEATHER PEN,LIGHT PINK</t>
        </is>
      </c>
      <c r="F1734" s="117" t="n">
        <v>12</v>
      </c>
      <c r="G1734" s="118" t="n">
        <v>0.85</v>
      </c>
      <c r="H1734" s="118" t="n">
        <v>10.2</v>
      </c>
      <c r="I1734" s="119" t="n">
        <v>40682</v>
      </c>
    </row>
    <row r="1735">
      <c r="A1735" s="114" t="inlineStr">
        <is>
          <t>553747</t>
        </is>
      </c>
      <c r="B1735" s="114" t="n">
        <v>13627</v>
      </c>
      <c r="C1735" s="114" t="inlineStr">
        <is>
          <t>United Kingdom</t>
        </is>
      </c>
      <c r="D1735" s="114" t="inlineStr">
        <is>
          <t>23093</t>
        </is>
      </c>
      <c r="E1735" s="114" t="inlineStr">
        <is>
          <t xml:space="preserve">SMALL PARISIENNE HEART PHOTO FRAME </t>
        </is>
      </c>
      <c r="F1735" s="114" t="n">
        <v>8</v>
      </c>
      <c r="G1735" s="115" t="n">
        <v>2.49</v>
      </c>
      <c r="H1735" s="115" t="n">
        <v>19.92</v>
      </c>
      <c r="I1735" s="116" t="n">
        <v>40682</v>
      </c>
    </row>
    <row r="1736">
      <c r="A1736" s="117" t="inlineStr">
        <is>
          <t>553747</t>
        </is>
      </c>
      <c r="B1736" s="117" t="n">
        <v>13627</v>
      </c>
      <c r="C1736" s="117" t="inlineStr">
        <is>
          <t>United Kingdom</t>
        </is>
      </c>
      <c r="D1736" s="117" t="inlineStr">
        <is>
          <t>20836</t>
        </is>
      </c>
      <c r="E1736" s="117" t="inlineStr">
        <is>
          <t>FRENCH PAISLEY CUSHION COVER</t>
        </is>
      </c>
      <c r="F1736" s="117" t="n">
        <v>12</v>
      </c>
      <c r="G1736" s="118" t="n">
        <v>0.83</v>
      </c>
      <c r="H1736" s="118" t="n">
        <v>9.960000000000001</v>
      </c>
      <c r="I1736" s="119" t="n">
        <v>40682</v>
      </c>
    </row>
    <row r="1737">
      <c r="A1737" s="114" t="inlineStr">
        <is>
          <t>553754</t>
        </is>
      </c>
      <c r="B1737" s="114" t="n">
        <v>16175</v>
      </c>
      <c r="C1737" s="114" t="inlineStr">
        <is>
          <t>United Kingdom</t>
        </is>
      </c>
      <c r="D1737" s="114" t="inlineStr">
        <is>
          <t>23145</t>
        </is>
      </c>
      <c r="E1737" s="114" t="inlineStr">
        <is>
          <t>ZINC T-LIGHT HOLDER STAR LARGE</t>
        </is>
      </c>
      <c r="F1737" s="114" t="n">
        <v>12</v>
      </c>
      <c r="G1737" s="115" t="n">
        <v>0.95</v>
      </c>
      <c r="H1737" s="115" t="n">
        <v>11.4</v>
      </c>
      <c r="I1737" s="116" t="n">
        <v>40682</v>
      </c>
    </row>
    <row r="1738">
      <c r="A1738" s="117" t="inlineStr">
        <is>
          <t>553754</t>
        </is>
      </c>
      <c r="B1738" s="117" t="n">
        <v>16175</v>
      </c>
      <c r="C1738" s="117" t="inlineStr">
        <is>
          <t>United Kingdom</t>
        </is>
      </c>
      <c r="D1738" s="117" t="inlineStr">
        <is>
          <t>15036</t>
        </is>
      </c>
      <c r="E1738" s="117" t="inlineStr">
        <is>
          <t>ASSORTED COLOURS SILK FAN</t>
        </is>
      </c>
      <c r="F1738" s="117" t="n">
        <v>12</v>
      </c>
      <c r="G1738" s="118" t="n">
        <v>0.83</v>
      </c>
      <c r="H1738" s="118" t="n">
        <v>9.960000000000001</v>
      </c>
      <c r="I1738" s="119" t="n">
        <v>40682</v>
      </c>
    </row>
    <row r="1739">
      <c r="A1739" s="114" t="inlineStr">
        <is>
          <t>553765</t>
        </is>
      </c>
      <c r="B1739" s="114" t="n">
        <v>17245</v>
      </c>
      <c r="C1739" s="114" t="inlineStr">
        <is>
          <t>United Kingdom</t>
        </is>
      </c>
      <c r="D1739" s="114" t="inlineStr">
        <is>
          <t>22491</t>
        </is>
      </c>
      <c r="E1739" s="114" t="inlineStr">
        <is>
          <t>PACK OF 12 COLOURED PENCILS</t>
        </is>
      </c>
      <c r="F1739" s="114" t="n">
        <v>12</v>
      </c>
      <c r="G1739" s="115" t="n">
        <v>0.85</v>
      </c>
      <c r="H1739" s="115" t="n">
        <v>10.2</v>
      </c>
      <c r="I1739" s="116" t="n">
        <v>40682</v>
      </c>
    </row>
    <row r="1740">
      <c r="A1740" s="117" t="inlineStr">
        <is>
          <t>553828</t>
        </is>
      </c>
      <c r="B1740" s="117" t="n">
        <v>17865</v>
      </c>
      <c r="C1740" s="117" t="inlineStr">
        <is>
          <t>United Kingdom</t>
        </is>
      </c>
      <c r="D1740" s="117" t="inlineStr">
        <is>
          <t>21175</t>
        </is>
      </c>
      <c r="E1740" s="117" t="inlineStr">
        <is>
          <t>GIN + TONIC DIET METAL SIGN</t>
        </is>
      </c>
      <c r="F1740" s="117" t="n">
        <v>24</v>
      </c>
      <c r="G1740" s="118" t="n">
        <v>2.55</v>
      </c>
      <c r="H1740" s="118" t="n">
        <v>61.2</v>
      </c>
      <c r="I1740" s="119" t="n">
        <v>40682</v>
      </c>
    </row>
    <row r="1741">
      <c r="A1741" s="114" t="inlineStr">
        <is>
          <t>553831</t>
        </is>
      </c>
      <c r="B1741" s="114" t="n">
        <v>14442</v>
      </c>
      <c r="C1741" s="114" t="inlineStr">
        <is>
          <t>Channel Islands</t>
        </is>
      </c>
      <c r="D1741" s="114" t="inlineStr">
        <is>
          <t>22968</t>
        </is>
      </c>
      <c r="E1741" s="114" t="inlineStr">
        <is>
          <t xml:space="preserve">ROSE COTTAGE KEEPSAKE BOX </t>
        </is>
      </c>
      <c r="F1741" s="114" t="n">
        <v>6</v>
      </c>
      <c r="G1741" s="115" t="n">
        <v>9.949999999999999</v>
      </c>
      <c r="H1741" s="115" t="n">
        <v>59.7</v>
      </c>
      <c r="I1741" s="116" t="n">
        <v>40682</v>
      </c>
    </row>
    <row r="1742">
      <c r="A1742" s="117" t="inlineStr">
        <is>
          <t>553838</t>
        </is>
      </c>
      <c r="B1742" s="117" t="n">
        <v>12620</v>
      </c>
      <c r="C1742" s="117" t="inlineStr">
        <is>
          <t>France</t>
        </is>
      </c>
      <c r="D1742" s="117" t="inlineStr">
        <is>
          <t>35810A</t>
        </is>
      </c>
      <c r="E1742" s="117" t="inlineStr">
        <is>
          <t>ENAMEL PINK COFFEE CONTAINER</t>
        </is>
      </c>
      <c r="F1742" s="117" t="n">
        <v>12</v>
      </c>
      <c r="G1742" s="118" t="n">
        <v>0.83</v>
      </c>
      <c r="H1742" s="118" t="n">
        <v>9.960000000000001</v>
      </c>
      <c r="I1742" s="119" t="n">
        <v>40682</v>
      </c>
    </row>
    <row r="1743">
      <c r="A1743" s="114" t="inlineStr">
        <is>
          <t>553842</t>
        </is>
      </c>
      <c r="B1743" s="114" t="n">
        <v>12524</v>
      </c>
      <c r="C1743" s="114" t="inlineStr">
        <is>
          <t>Germany</t>
        </is>
      </c>
      <c r="D1743" s="114" t="inlineStr">
        <is>
          <t>20725</t>
        </is>
      </c>
      <c r="E1743" s="114" t="inlineStr">
        <is>
          <t>LUNCH BAG RED RETROSPOT</t>
        </is>
      </c>
      <c r="F1743" s="114" t="n">
        <v>20</v>
      </c>
      <c r="G1743" s="115" t="n">
        <v>1.65</v>
      </c>
      <c r="H1743" s="115" t="n">
        <v>33</v>
      </c>
      <c r="I1743" s="116" t="n">
        <v>40682</v>
      </c>
    </row>
    <row r="1744">
      <c r="A1744" s="117" t="inlineStr">
        <is>
          <t>553844</t>
        </is>
      </c>
      <c r="B1744" s="117" t="n">
        <v>13450</v>
      </c>
      <c r="C1744" s="117" t="inlineStr">
        <is>
          <t>United Kingdom</t>
        </is>
      </c>
      <c r="D1744" s="117" t="inlineStr">
        <is>
          <t>21892</t>
        </is>
      </c>
      <c r="E1744" s="117" t="inlineStr">
        <is>
          <t xml:space="preserve">TRADITIONAL WOODEN CATCH CUP GAME </t>
        </is>
      </c>
      <c r="F1744" s="117" t="n">
        <v>24</v>
      </c>
      <c r="G1744" s="118" t="n">
        <v>1.25</v>
      </c>
      <c r="H1744" s="118" t="n">
        <v>30</v>
      </c>
      <c r="I1744" s="119" t="n">
        <v>40682</v>
      </c>
    </row>
    <row r="1745">
      <c r="A1745" s="114" t="inlineStr">
        <is>
          <t>553856</t>
        </is>
      </c>
      <c r="B1745" s="114" t="n">
        <v>16813</v>
      </c>
      <c r="C1745" s="114" t="inlineStr">
        <is>
          <t>United Kingdom</t>
        </is>
      </c>
      <c r="D1745" s="114" t="inlineStr">
        <is>
          <t>22099</t>
        </is>
      </c>
      <c r="E1745" s="114" t="inlineStr">
        <is>
          <t>CARAVAN SQUARE TISSUE BOX</t>
        </is>
      </c>
      <c r="F1745" s="114" t="n">
        <v>2</v>
      </c>
      <c r="G1745" s="115" t="n">
        <v>1.25</v>
      </c>
      <c r="H1745" s="115" t="n">
        <v>2.5</v>
      </c>
      <c r="I1745" s="116" t="n">
        <v>40682</v>
      </c>
    </row>
    <row r="1746">
      <c r="A1746" s="117" t="inlineStr">
        <is>
          <t>553856</t>
        </is>
      </c>
      <c r="B1746" s="117" t="n">
        <v>16813</v>
      </c>
      <c r="C1746" s="117" t="inlineStr">
        <is>
          <t>United Kingdom</t>
        </is>
      </c>
      <c r="D1746" s="117" t="inlineStr">
        <is>
          <t>21125</t>
        </is>
      </c>
      <c r="E1746" s="117" t="inlineStr">
        <is>
          <t>SET 6 FOOTBALL CELEBRATION CANDLES</t>
        </is>
      </c>
      <c r="F1746" s="117" t="n">
        <v>1</v>
      </c>
      <c r="G1746" s="118" t="n">
        <v>1.25</v>
      </c>
      <c r="H1746" s="118" t="n">
        <v>1.25</v>
      </c>
      <c r="I1746" s="119" t="n">
        <v>40682</v>
      </c>
    </row>
    <row r="1747">
      <c r="A1747" s="114" t="inlineStr">
        <is>
          <t>553879</t>
        </is>
      </c>
      <c r="B1747" s="114" t="n">
        <v>15791</v>
      </c>
      <c r="C1747" s="114" t="inlineStr">
        <is>
          <t>United Kingdom</t>
        </is>
      </c>
      <c r="D1747" s="114" t="inlineStr">
        <is>
          <t>21080</t>
        </is>
      </c>
      <c r="E1747" s="114" t="inlineStr">
        <is>
          <t xml:space="preserve">SET/20 RED RETROSPOT PAPER NAPKINS </t>
        </is>
      </c>
      <c r="F1747" s="114" t="n">
        <v>48</v>
      </c>
      <c r="G1747" s="115" t="n">
        <v>0.85</v>
      </c>
      <c r="H1747" s="115" t="n">
        <v>40.8</v>
      </c>
      <c r="I1747" s="116" t="n">
        <v>40682</v>
      </c>
    </row>
    <row r="1748">
      <c r="A1748" s="117" t="inlineStr">
        <is>
          <t>553879</t>
        </is>
      </c>
      <c r="B1748" s="117" t="n">
        <v>15791</v>
      </c>
      <c r="C1748" s="117" t="inlineStr">
        <is>
          <t>United Kingdom</t>
        </is>
      </c>
      <c r="D1748" s="117" t="inlineStr">
        <is>
          <t>85099C</t>
        </is>
      </c>
      <c r="E1748" s="117" t="inlineStr">
        <is>
          <t>JUMBO  BAG BAROQUE BLACK WHITE</t>
        </is>
      </c>
      <c r="F1748" s="117" t="n">
        <v>10</v>
      </c>
      <c r="G1748" s="118" t="n">
        <v>2.08</v>
      </c>
      <c r="H1748" s="118" t="n">
        <v>20.8</v>
      </c>
      <c r="I1748" s="119" t="n">
        <v>40682</v>
      </c>
    </row>
    <row r="1749">
      <c r="A1749" s="114" t="inlineStr">
        <is>
          <t>553879</t>
        </is>
      </c>
      <c r="B1749" s="114" t="n">
        <v>15791</v>
      </c>
      <c r="C1749" s="114" t="inlineStr">
        <is>
          <t>United Kingdom</t>
        </is>
      </c>
      <c r="D1749" s="114" t="inlineStr">
        <is>
          <t>71477</t>
        </is>
      </c>
      <c r="E1749" s="114" t="inlineStr">
        <is>
          <t>COLOUR GLASS. STAR T-LIGHT HOLDER</t>
        </is>
      </c>
      <c r="F1749" s="114" t="n">
        <v>12</v>
      </c>
      <c r="G1749" s="115" t="n">
        <v>3.25</v>
      </c>
      <c r="H1749" s="115" t="n">
        <v>39</v>
      </c>
      <c r="I1749" s="116" t="n">
        <v>40682</v>
      </c>
    </row>
    <row r="1750">
      <c r="A1750" s="117" t="inlineStr">
        <is>
          <t>553889</t>
        </is>
      </c>
      <c r="B1750" s="117" t="n">
        <v>13405</v>
      </c>
      <c r="C1750" s="117" t="inlineStr">
        <is>
          <t>United Kingdom</t>
        </is>
      </c>
      <c r="D1750" s="117" t="inlineStr">
        <is>
          <t>21922</t>
        </is>
      </c>
      <c r="E1750" s="117" t="inlineStr">
        <is>
          <t>UNION STRIPE WITH FRINGE  HAMMOCK</t>
        </is>
      </c>
      <c r="F1750" s="117" t="n">
        <v>4</v>
      </c>
      <c r="G1750" s="118" t="n">
        <v>7.95</v>
      </c>
      <c r="H1750" s="118" t="n">
        <v>31.8</v>
      </c>
      <c r="I1750" s="119" t="n">
        <v>40682</v>
      </c>
    </row>
    <row r="1751">
      <c r="A1751" s="114" t="inlineStr">
        <is>
          <t>553931</t>
        </is>
      </c>
      <c r="B1751" s="114" t="n">
        <v>14911</v>
      </c>
      <c r="C1751" s="114" t="inlineStr">
        <is>
          <t>EIRE</t>
        </is>
      </c>
      <c r="D1751" s="114" t="inlineStr">
        <is>
          <t>22916</t>
        </is>
      </c>
      <c r="E1751" s="114" t="inlineStr">
        <is>
          <t>HERB MARKER THYME</t>
        </is>
      </c>
      <c r="F1751" s="114" t="n">
        <v>12</v>
      </c>
      <c r="G1751" s="115" t="n">
        <v>0.65</v>
      </c>
      <c r="H1751" s="115" t="n">
        <v>7.8</v>
      </c>
      <c r="I1751" s="116" t="n">
        <v>40683</v>
      </c>
    </row>
    <row r="1752">
      <c r="A1752" s="117" t="inlineStr">
        <is>
          <t>553933</t>
        </is>
      </c>
      <c r="B1752" s="117" t="n">
        <v>15078</v>
      </c>
      <c r="C1752" s="117" t="inlineStr">
        <is>
          <t>United Kingdom</t>
        </is>
      </c>
      <c r="D1752" s="117" t="inlineStr">
        <is>
          <t>23201</t>
        </is>
      </c>
      <c r="E1752" s="117" t="inlineStr">
        <is>
          <t>JUMBO BAG ALPHABET</t>
        </is>
      </c>
      <c r="F1752" s="117" t="n">
        <v>10</v>
      </c>
      <c r="G1752" s="118" t="n">
        <v>2.08</v>
      </c>
      <c r="H1752" s="118" t="n">
        <v>20.8</v>
      </c>
      <c r="I1752" s="119" t="n">
        <v>40683</v>
      </c>
    </row>
    <row r="1753">
      <c r="A1753" s="114" t="inlineStr">
        <is>
          <t>553941</t>
        </is>
      </c>
      <c r="B1753" s="114" t="n">
        <v>14334</v>
      </c>
      <c r="C1753" s="114" t="inlineStr">
        <is>
          <t>United Kingdom</t>
        </is>
      </c>
      <c r="D1753" s="114" t="inlineStr">
        <is>
          <t>21523</t>
        </is>
      </c>
      <c r="E1753" s="114" t="inlineStr">
        <is>
          <t>DOORMAT FANCY FONT HOME SWEET HOME</t>
        </is>
      </c>
      <c r="F1753" s="114" t="n">
        <v>2</v>
      </c>
      <c r="G1753" s="115" t="n">
        <v>7.95</v>
      </c>
      <c r="H1753" s="115" t="n">
        <v>15.9</v>
      </c>
      <c r="I1753" s="116" t="n">
        <v>40683</v>
      </c>
    </row>
    <row r="1754">
      <c r="A1754" s="117" t="inlineStr">
        <is>
          <t>553997</t>
        </is>
      </c>
      <c r="B1754" s="117" t="n">
        <v>12656</v>
      </c>
      <c r="C1754" s="117" t="inlineStr">
        <is>
          <t>France</t>
        </is>
      </c>
      <c r="D1754" s="117" t="inlineStr">
        <is>
          <t>21936</t>
        </is>
      </c>
      <c r="E1754" s="117" t="inlineStr">
        <is>
          <t>RED RETROSPOT PICNIC BAG</t>
        </is>
      </c>
      <c r="F1754" s="117" t="n">
        <v>100</v>
      </c>
      <c r="G1754" s="118" t="n">
        <v>2.55</v>
      </c>
      <c r="H1754" s="118" t="n">
        <v>255</v>
      </c>
      <c r="I1754" s="119" t="n">
        <v>40683</v>
      </c>
    </row>
    <row r="1755">
      <c r="A1755" s="114" t="inlineStr">
        <is>
          <t>554009</t>
        </is>
      </c>
      <c r="B1755" s="114" t="n">
        <v>12935</v>
      </c>
      <c r="C1755" s="114" t="inlineStr">
        <is>
          <t>United Kingdom</t>
        </is>
      </c>
      <c r="D1755" s="114" t="inlineStr">
        <is>
          <t>21217</t>
        </is>
      </c>
      <c r="E1755" s="114" t="inlineStr">
        <is>
          <t>RED RETROSPOT ROUND CAKE TINS</t>
        </is>
      </c>
      <c r="F1755" s="114" t="n">
        <v>2</v>
      </c>
      <c r="G1755" s="115" t="n">
        <v>9.949999999999999</v>
      </c>
      <c r="H1755" s="115" t="n">
        <v>19.9</v>
      </c>
      <c r="I1755" s="116" t="n">
        <v>40683</v>
      </c>
    </row>
    <row r="1756">
      <c r="A1756" s="117" t="inlineStr">
        <is>
          <t>554013</t>
        </is>
      </c>
      <c r="B1756" s="117" t="n">
        <v>13308</v>
      </c>
      <c r="C1756" s="117" t="inlineStr">
        <is>
          <t>United Kingdom</t>
        </is>
      </c>
      <c r="D1756" s="117" t="inlineStr">
        <is>
          <t>22568</t>
        </is>
      </c>
      <c r="E1756" s="117" t="inlineStr">
        <is>
          <t>FELTCRAFT CUSHION OWL</t>
        </is>
      </c>
      <c r="F1756" s="117" t="n">
        <v>4</v>
      </c>
      <c r="G1756" s="118" t="n">
        <v>3.75</v>
      </c>
      <c r="H1756" s="118" t="n">
        <v>15</v>
      </c>
      <c r="I1756" s="119" t="n">
        <v>40683</v>
      </c>
    </row>
    <row r="1757">
      <c r="A1757" s="114" t="inlineStr">
        <is>
          <t>554027</t>
        </is>
      </c>
      <c r="B1757" s="114" t="n">
        <v>15260</v>
      </c>
      <c r="C1757" s="114" t="inlineStr">
        <is>
          <t>United Kingdom</t>
        </is>
      </c>
      <c r="D1757" s="114" t="inlineStr">
        <is>
          <t>84978</t>
        </is>
      </c>
      <c r="E1757" s="114" t="inlineStr">
        <is>
          <t>HANGING HEART JAR T-LIGHT HOLDER</t>
        </is>
      </c>
      <c r="F1757" s="114" t="n">
        <v>24</v>
      </c>
      <c r="G1757" s="115" t="n">
        <v>1.25</v>
      </c>
      <c r="H1757" s="115" t="n">
        <v>30</v>
      </c>
      <c r="I1757" s="116" t="n">
        <v>40683</v>
      </c>
    </row>
    <row r="1758">
      <c r="A1758" s="117" t="inlineStr">
        <is>
          <t>554035</t>
        </is>
      </c>
      <c r="B1758" s="117" t="n">
        <v>16187</v>
      </c>
      <c r="C1758" s="117" t="inlineStr">
        <is>
          <t>United Kingdom</t>
        </is>
      </c>
      <c r="D1758" s="117" t="inlineStr">
        <is>
          <t>22847</t>
        </is>
      </c>
      <c r="E1758" s="117" t="inlineStr">
        <is>
          <t>BREAD BIN DINER STYLE IVORY</t>
        </is>
      </c>
      <c r="F1758" s="117" t="n">
        <v>2</v>
      </c>
      <c r="G1758" s="118" t="n">
        <v>16.95</v>
      </c>
      <c r="H1758" s="118" t="n">
        <v>33.9</v>
      </c>
      <c r="I1758" s="119" t="n">
        <v>40683</v>
      </c>
    </row>
    <row r="1759">
      <c r="A1759" s="114" t="inlineStr">
        <is>
          <t>554039</t>
        </is>
      </c>
      <c r="B1759" s="114" t="n">
        <v>15095</v>
      </c>
      <c r="C1759" s="114" t="inlineStr">
        <is>
          <t>United Kingdom</t>
        </is>
      </c>
      <c r="D1759" s="114" t="inlineStr">
        <is>
          <t>22698</t>
        </is>
      </c>
      <c r="E1759" s="114" t="inlineStr">
        <is>
          <t>PINK REGENCY TEACUP AND SAUCER</t>
        </is>
      </c>
      <c r="F1759" s="114" t="n">
        <v>6</v>
      </c>
      <c r="G1759" s="115" t="n">
        <v>2.95</v>
      </c>
      <c r="H1759" s="115" t="n">
        <v>17.7</v>
      </c>
      <c r="I1759" s="116" t="n">
        <v>40683</v>
      </c>
    </row>
    <row r="1760">
      <c r="A1760" s="117" t="inlineStr">
        <is>
          <t>554058</t>
        </is>
      </c>
      <c r="B1760" s="117" t="n">
        <v>17757</v>
      </c>
      <c r="C1760" s="117" t="inlineStr">
        <is>
          <t>United Kingdom</t>
        </is>
      </c>
      <c r="D1760" s="117" t="inlineStr">
        <is>
          <t>22745</t>
        </is>
      </c>
      <c r="E1760" s="117" t="inlineStr">
        <is>
          <t xml:space="preserve">POPPY'S PLAYHOUSE BEDROOM </t>
        </is>
      </c>
      <c r="F1760" s="117" t="n">
        <v>1</v>
      </c>
      <c r="G1760" s="118" t="n">
        <v>2.1</v>
      </c>
      <c r="H1760" s="118" t="n">
        <v>2.1</v>
      </c>
      <c r="I1760" s="119" t="n">
        <v>40683</v>
      </c>
    </row>
    <row r="1761">
      <c r="A1761" s="114" t="inlineStr">
        <is>
          <t>554058</t>
        </is>
      </c>
      <c r="B1761" s="114" t="n">
        <v>17757</v>
      </c>
      <c r="C1761" s="114" t="inlineStr">
        <is>
          <t>United Kingdom</t>
        </is>
      </c>
      <c r="D1761" s="114" t="inlineStr">
        <is>
          <t>16156S</t>
        </is>
      </c>
      <c r="E1761" s="114" t="inlineStr">
        <is>
          <t xml:space="preserve">WRAP PINK FAIRY CAKES </t>
        </is>
      </c>
      <c r="F1761" s="114" t="n">
        <v>25</v>
      </c>
      <c r="G1761" s="115" t="n">
        <v>0.42</v>
      </c>
      <c r="H1761" s="115" t="n">
        <v>10.5</v>
      </c>
      <c r="I1761" s="116" t="n">
        <v>40683</v>
      </c>
    </row>
    <row r="1762">
      <c r="A1762" s="117" t="inlineStr">
        <is>
          <t>554065</t>
        </is>
      </c>
      <c r="B1762" s="117" t="n">
        <v>18287</v>
      </c>
      <c r="C1762" s="117" t="inlineStr">
        <is>
          <t>United Kingdom</t>
        </is>
      </c>
      <c r="D1762" s="117" t="inlineStr">
        <is>
          <t>22757</t>
        </is>
      </c>
      <c r="E1762" s="117" t="inlineStr">
        <is>
          <t xml:space="preserve">LARGE RED BABUSHKA NOTEBOOK </t>
        </is>
      </c>
      <c r="F1762" s="117" t="n">
        <v>12</v>
      </c>
      <c r="G1762" s="118" t="n">
        <v>1.25</v>
      </c>
      <c r="H1762" s="118" t="n">
        <v>15</v>
      </c>
      <c r="I1762" s="119" t="n">
        <v>40685</v>
      </c>
    </row>
    <row r="1763">
      <c r="A1763" s="114" t="inlineStr">
        <is>
          <t>554066</t>
        </is>
      </c>
      <c r="B1763" s="114" t="n">
        <v>12916</v>
      </c>
      <c r="C1763" s="114" t="inlineStr">
        <is>
          <t>United Kingdom</t>
        </is>
      </c>
      <c r="D1763" s="114" t="inlineStr">
        <is>
          <t>82482</t>
        </is>
      </c>
      <c r="E1763" s="114" t="inlineStr">
        <is>
          <t>WOODEN PICTURE FRAME WHITE FINISH</t>
        </is>
      </c>
      <c r="F1763" s="114" t="n">
        <v>6</v>
      </c>
      <c r="G1763" s="115" t="n">
        <v>2.55</v>
      </c>
      <c r="H1763" s="115" t="n">
        <v>15.3</v>
      </c>
      <c r="I1763" s="116" t="n">
        <v>40685</v>
      </c>
    </row>
    <row r="1764">
      <c r="A1764" s="117" t="inlineStr">
        <is>
          <t>554069</t>
        </is>
      </c>
      <c r="B1764" s="117" t="n">
        <v>15281</v>
      </c>
      <c r="C1764" s="117" t="inlineStr">
        <is>
          <t>United Kingdom</t>
        </is>
      </c>
      <c r="D1764" s="117" t="inlineStr">
        <is>
          <t>22469</t>
        </is>
      </c>
      <c r="E1764" s="117" t="inlineStr">
        <is>
          <t>HEART OF WICKER SMALL</t>
        </is>
      </c>
      <c r="F1764" s="117" t="n">
        <v>12</v>
      </c>
      <c r="G1764" s="118" t="n">
        <v>1.65</v>
      </c>
      <c r="H1764" s="118" t="n">
        <v>19.8</v>
      </c>
      <c r="I1764" s="119" t="n">
        <v>40685</v>
      </c>
    </row>
    <row r="1765">
      <c r="A1765" s="114" t="inlineStr">
        <is>
          <t>554070</t>
        </is>
      </c>
      <c r="B1765" s="114" t="n">
        <v>13555</v>
      </c>
      <c r="C1765" s="114" t="inlineStr">
        <is>
          <t>United Kingdom</t>
        </is>
      </c>
      <c r="D1765" s="114" t="inlineStr">
        <is>
          <t>20751</t>
        </is>
      </c>
      <c r="E1765" s="114" t="inlineStr">
        <is>
          <t>FUNKY WASHING UP GLOVES ASSORTED</t>
        </is>
      </c>
      <c r="F1765" s="114" t="n">
        <v>11</v>
      </c>
      <c r="G1765" s="115" t="n">
        <v>2.1</v>
      </c>
      <c r="H1765" s="115" t="n">
        <v>23.1</v>
      </c>
      <c r="I1765" s="116" t="n">
        <v>40685</v>
      </c>
    </row>
    <row r="1766">
      <c r="A1766" s="117" t="inlineStr">
        <is>
          <t>554076</t>
        </is>
      </c>
      <c r="B1766" s="117" t="n">
        <v>16556</v>
      </c>
      <c r="C1766" s="117" t="inlineStr">
        <is>
          <t>United Kingdom</t>
        </is>
      </c>
      <c r="D1766" s="117" t="inlineStr">
        <is>
          <t>21519</t>
        </is>
      </c>
      <c r="E1766" s="117" t="inlineStr">
        <is>
          <t xml:space="preserve">GIN &amp; TONIC DIET GREETING CARD </t>
        </is>
      </c>
      <c r="F1766" s="117" t="n">
        <v>12</v>
      </c>
      <c r="G1766" s="118" t="n">
        <v>0.42</v>
      </c>
      <c r="H1766" s="118" t="n">
        <v>5.04</v>
      </c>
      <c r="I1766" s="119" t="n">
        <v>40685</v>
      </c>
    </row>
    <row r="1767">
      <c r="A1767" s="114" t="inlineStr">
        <is>
          <t>554090</t>
        </is>
      </c>
      <c r="B1767" s="114" t="n">
        <v>17315</v>
      </c>
      <c r="C1767" s="114" t="inlineStr">
        <is>
          <t>United Kingdom</t>
        </is>
      </c>
      <c r="D1767" s="114" t="inlineStr">
        <is>
          <t>85099C</t>
        </is>
      </c>
      <c r="E1767" s="114" t="inlineStr">
        <is>
          <t>JUMBO  BAG BAROQUE BLACK WHITE</t>
        </is>
      </c>
      <c r="F1767" s="114" t="n">
        <v>2</v>
      </c>
      <c r="G1767" s="115" t="n">
        <v>2.08</v>
      </c>
      <c r="H1767" s="115" t="n">
        <v>4.16</v>
      </c>
      <c r="I1767" s="116" t="n">
        <v>40685</v>
      </c>
    </row>
    <row r="1768">
      <c r="A1768" s="117" t="inlineStr">
        <is>
          <t>554093</t>
        </is>
      </c>
      <c r="B1768" s="117" t="n">
        <v>14837</v>
      </c>
      <c r="C1768" s="117" t="inlineStr">
        <is>
          <t>United Kingdom</t>
        </is>
      </c>
      <c r="D1768" s="117" t="inlineStr">
        <is>
          <t>22759</t>
        </is>
      </c>
      <c r="E1768" s="117" t="inlineStr">
        <is>
          <t>SET OF 3 NOTEBOOKS IN PARCEL</t>
        </is>
      </c>
      <c r="F1768" s="117" t="n">
        <v>12</v>
      </c>
      <c r="G1768" s="118" t="n">
        <v>1.65</v>
      </c>
      <c r="H1768" s="118" t="n">
        <v>19.8</v>
      </c>
      <c r="I1768" s="119" t="n">
        <v>40685</v>
      </c>
    </row>
    <row r="1769">
      <c r="A1769" s="114" t="inlineStr">
        <is>
          <t>554096</t>
        </is>
      </c>
      <c r="B1769" s="114" t="n">
        <v>14921</v>
      </c>
      <c r="C1769" s="114" t="inlineStr">
        <is>
          <t>United Kingdom</t>
        </is>
      </c>
      <c r="D1769" s="114" t="inlineStr">
        <is>
          <t>21634</t>
        </is>
      </c>
      <c r="E1769" s="114" t="inlineStr">
        <is>
          <t>ASSORTED MINI MADRAS NOTEBOOK</t>
        </is>
      </c>
      <c r="F1769" s="114" t="n">
        <v>24</v>
      </c>
      <c r="G1769" s="115" t="n">
        <v>1.25</v>
      </c>
      <c r="H1769" s="115" t="n">
        <v>30</v>
      </c>
      <c r="I1769" s="116" t="n">
        <v>40685</v>
      </c>
    </row>
    <row r="1770">
      <c r="A1770" s="117" t="inlineStr">
        <is>
          <t>554096</t>
        </is>
      </c>
      <c r="B1770" s="117" t="n">
        <v>14921</v>
      </c>
      <c r="C1770" s="117" t="inlineStr">
        <is>
          <t>United Kingdom</t>
        </is>
      </c>
      <c r="D1770" s="117" t="inlineStr">
        <is>
          <t>20762</t>
        </is>
      </c>
      <c r="E1770" s="117" t="inlineStr">
        <is>
          <t xml:space="preserve">GREEN FERN SKETCHBOOK </t>
        </is>
      </c>
      <c r="F1770" s="117" t="n">
        <v>4</v>
      </c>
      <c r="G1770" s="118" t="n">
        <v>3.75</v>
      </c>
      <c r="H1770" s="118" t="n">
        <v>15</v>
      </c>
      <c r="I1770" s="119" t="n">
        <v>40685</v>
      </c>
    </row>
    <row r="1771">
      <c r="A1771" s="114" t="inlineStr">
        <is>
          <t>554096</t>
        </is>
      </c>
      <c r="B1771" s="114" t="n">
        <v>14921</v>
      </c>
      <c r="C1771" s="114" t="inlineStr">
        <is>
          <t>United Kingdom</t>
        </is>
      </c>
      <c r="D1771" s="114" t="inlineStr">
        <is>
          <t>22088</t>
        </is>
      </c>
      <c r="E1771" s="114" t="inlineStr">
        <is>
          <t>PAPER BUNTING COLOURED LACE</t>
        </is>
      </c>
      <c r="F1771" s="114" t="n">
        <v>6</v>
      </c>
      <c r="G1771" s="115" t="n">
        <v>2.95</v>
      </c>
      <c r="H1771" s="115" t="n">
        <v>17.7</v>
      </c>
      <c r="I1771" s="116" t="n">
        <v>40685</v>
      </c>
    </row>
    <row r="1772">
      <c r="A1772" s="117" t="inlineStr">
        <is>
          <t>554098</t>
        </is>
      </c>
      <c r="B1772" s="117" t="n">
        <v>14769</v>
      </c>
      <c r="C1772" s="117" t="inlineStr">
        <is>
          <t>United Kingdom</t>
        </is>
      </c>
      <c r="D1772" s="117" t="inlineStr">
        <is>
          <t>84880</t>
        </is>
      </c>
      <c r="E1772" s="117" t="inlineStr">
        <is>
          <t>WHITE WIRE EGG HOLDER</t>
        </is>
      </c>
      <c r="F1772" s="117" t="n">
        <v>1</v>
      </c>
      <c r="G1772" s="118" t="n">
        <v>7.5</v>
      </c>
      <c r="H1772" s="118" t="n">
        <v>7.5</v>
      </c>
      <c r="I1772" s="119" t="n">
        <v>40685</v>
      </c>
    </row>
    <row r="1773">
      <c r="A1773" s="114" t="inlineStr">
        <is>
          <t>554098</t>
        </is>
      </c>
      <c r="B1773" s="114" t="n">
        <v>14769</v>
      </c>
      <c r="C1773" s="114" t="inlineStr">
        <is>
          <t>United Kingdom</t>
        </is>
      </c>
      <c r="D1773" s="114" t="inlineStr">
        <is>
          <t>84755</t>
        </is>
      </c>
      <c r="E1773" s="114" t="inlineStr">
        <is>
          <t>COLOUR GLASS T-LIGHT HOLDER HANGING</t>
        </is>
      </c>
      <c r="F1773" s="114" t="n">
        <v>6</v>
      </c>
      <c r="G1773" s="115" t="n">
        <v>0.65</v>
      </c>
      <c r="H1773" s="115" t="n">
        <v>3.9</v>
      </c>
      <c r="I1773" s="116" t="n">
        <v>40685</v>
      </c>
    </row>
    <row r="1774">
      <c r="A1774" s="117" t="inlineStr">
        <is>
          <t>554098</t>
        </is>
      </c>
      <c r="B1774" s="117" t="n">
        <v>14769</v>
      </c>
      <c r="C1774" s="117" t="inlineStr">
        <is>
          <t>United Kingdom</t>
        </is>
      </c>
      <c r="D1774" s="117" t="inlineStr">
        <is>
          <t>22026</t>
        </is>
      </c>
      <c r="E1774" s="117" t="inlineStr">
        <is>
          <t xml:space="preserve">BANQUET BIRTHDAY  CARD  </t>
        </is>
      </c>
      <c r="F1774" s="117" t="n">
        <v>12</v>
      </c>
      <c r="G1774" s="118" t="n">
        <v>0.42</v>
      </c>
      <c r="H1774" s="118" t="n">
        <v>5.04</v>
      </c>
      <c r="I1774" s="119" t="n">
        <v>40685</v>
      </c>
    </row>
    <row r="1775">
      <c r="A1775" s="114" t="inlineStr">
        <is>
          <t>554098</t>
        </is>
      </c>
      <c r="B1775" s="114" t="n">
        <v>14769</v>
      </c>
      <c r="C1775" s="114" t="inlineStr">
        <is>
          <t>United Kingdom</t>
        </is>
      </c>
      <c r="D1775" s="114" t="inlineStr">
        <is>
          <t>22890</t>
        </is>
      </c>
      <c r="E1775" s="114" t="inlineStr">
        <is>
          <t>NOVELTY BISCUITS CAKE STAND 3 TIER</t>
        </is>
      </c>
      <c r="F1775" s="114" t="n">
        <v>2</v>
      </c>
      <c r="G1775" s="115" t="n">
        <v>9.949999999999999</v>
      </c>
      <c r="H1775" s="115" t="n">
        <v>19.9</v>
      </c>
      <c r="I1775" s="116" t="n">
        <v>40685</v>
      </c>
    </row>
    <row r="1776">
      <c r="A1776" s="117" t="inlineStr">
        <is>
          <t>554104</t>
        </is>
      </c>
      <c r="B1776" s="117" t="n">
        <v>12705</v>
      </c>
      <c r="C1776" s="117" t="inlineStr">
        <is>
          <t>Germany</t>
        </is>
      </c>
      <c r="D1776" s="117" t="inlineStr">
        <is>
          <t>85049E</t>
        </is>
      </c>
      <c r="E1776" s="117" t="inlineStr">
        <is>
          <t>SCANDINAVIAN REDS RIBBONS</t>
        </is>
      </c>
      <c r="F1776" s="117" t="n">
        <v>12</v>
      </c>
      <c r="G1776" s="118" t="n">
        <v>1.25</v>
      </c>
      <c r="H1776" s="118" t="n">
        <v>15</v>
      </c>
      <c r="I1776" s="119" t="n">
        <v>40685</v>
      </c>
    </row>
    <row r="1777">
      <c r="A1777" s="114" t="inlineStr">
        <is>
          <t>554106</t>
        </is>
      </c>
      <c r="B1777" s="114" t="n">
        <v>12710</v>
      </c>
      <c r="C1777" s="114" t="inlineStr">
        <is>
          <t>Germany</t>
        </is>
      </c>
      <c r="D1777" s="114" t="inlineStr">
        <is>
          <t>23254</t>
        </is>
      </c>
      <c r="E1777" s="114" t="inlineStr">
        <is>
          <t xml:space="preserve">CHILDRENS CUTLERY DOLLY GIRL </t>
        </is>
      </c>
      <c r="F1777" s="114" t="n">
        <v>4</v>
      </c>
      <c r="G1777" s="115" t="n">
        <v>4.15</v>
      </c>
      <c r="H1777" s="115" t="n">
        <v>16.6</v>
      </c>
      <c r="I1777" s="116" t="n">
        <v>40685</v>
      </c>
    </row>
    <row r="1778">
      <c r="A1778" s="117" t="inlineStr">
        <is>
          <t>554112</t>
        </is>
      </c>
      <c r="B1778" s="117" t="n">
        <v>17611</v>
      </c>
      <c r="C1778" s="117" t="inlineStr">
        <is>
          <t>United Kingdom</t>
        </is>
      </c>
      <c r="D1778" s="117" t="inlineStr">
        <is>
          <t>23207</t>
        </is>
      </c>
      <c r="E1778" s="117" t="inlineStr">
        <is>
          <t>LUNCH BAG ALPHABET DESIGN</t>
        </is>
      </c>
      <c r="F1778" s="117" t="n">
        <v>2</v>
      </c>
      <c r="G1778" s="118" t="n">
        <v>1.65</v>
      </c>
      <c r="H1778" s="118" t="n">
        <v>3.3</v>
      </c>
      <c r="I1778" s="119" t="n">
        <v>40685</v>
      </c>
    </row>
    <row r="1779">
      <c r="A1779" s="114" t="inlineStr">
        <is>
          <t>554116</t>
        </is>
      </c>
      <c r="B1779" s="114" t="n">
        <v>14514</v>
      </c>
      <c r="C1779" s="114" t="inlineStr">
        <is>
          <t>United Kingdom</t>
        </is>
      </c>
      <c r="D1779" s="114" t="inlineStr">
        <is>
          <t>21166</t>
        </is>
      </c>
      <c r="E1779" s="114" t="inlineStr">
        <is>
          <t xml:space="preserve">COOK WITH WINE METAL SIGN </t>
        </is>
      </c>
      <c r="F1779" s="114" t="n">
        <v>2</v>
      </c>
      <c r="G1779" s="115" t="n">
        <v>2.08</v>
      </c>
      <c r="H1779" s="115" t="n">
        <v>4.16</v>
      </c>
      <c r="I1779" s="116" t="n">
        <v>40685</v>
      </c>
    </row>
    <row r="1780">
      <c r="A1780" s="117" t="inlineStr">
        <is>
          <t>554117</t>
        </is>
      </c>
      <c r="B1780" s="117" t="n">
        <v>13758</v>
      </c>
      <c r="C1780" s="117" t="inlineStr">
        <is>
          <t>United Kingdom</t>
        </is>
      </c>
      <c r="D1780" s="117" t="inlineStr">
        <is>
          <t>22535</t>
        </is>
      </c>
      <c r="E1780" s="117" t="inlineStr">
        <is>
          <t xml:space="preserve">MAGIC DRAWING SLATE BUNNIES </t>
        </is>
      </c>
      <c r="F1780" s="117" t="n">
        <v>48</v>
      </c>
      <c r="G1780" s="118" t="n">
        <v>0.42</v>
      </c>
      <c r="H1780" s="118" t="n">
        <v>20.16</v>
      </c>
      <c r="I1780" s="119" t="n">
        <v>40685</v>
      </c>
    </row>
    <row r="1781">
      <c r="A1781" s="114" t="inlineStr">
        <is>
          <t>554124</t>
        </is>
      </c>
      <c r="B1781" s="114" t="n">
        <v>13339</v>
      </c>
      <c r="C1781" s="114" t="inlineStr">
        <is>
          <t>United Kingdom</t>
        </is>
      </c>
      <c r="D1781" s="114" t="inlineStr">
        <is>
          <t>21467</t>
        </is>
      </c>
      <c r="E1781" s="114" t="inlineStr">
        <is>
          <t>CHERRY CROCHET FOOD COVER</t>
        </is>
      </c>
      <c r="F1781" s="114" t="n">
        <v>6</v>
      </c>
      <c r="G1781" s="115" t="n">
        <v>3.75</v>
      </c>
      <c r="H1781" s="115" t="n">
        <v>22.5</v>
      </c>
      <c r="I1781" s="116" t="n">
        <v>40686</v>
      </c>
    </row>
    <row r="1782">
      <c r="A1782" s="117" t="inlineStr">
        <is>
          <t>554124</t>
        </is>
      </c>
      <c r="B1782" s="117" t="n">
        <v>13339</v>
      </c>
      <c r="C1782" s="117" t="inlineStr">
        <is>
          <t>United Kingdom</t>
        </is>
      </c>
      <c r="D1782" s="117" t="inlineStr">
        <is>
          <t>90141B</t>
        </is>
      </c>
      <c r="E1782" s="117" t="inlineStr">
        <is>
          <t>IVORY PENDANT TRIPLE SHELL NECKLACE</t>
        </is>
      </c>
      <c r="F1782" s="117" t="n">
        <v>3</v>
      </c>
      <c r="G1782" s="118" t="n">
        <v>4.95</v>
      </c>
      <c r="H1782" s="118" t="n">
        <v>14.85</v>
      </c>
      <c r="I1782" s="119" t="n">
        <v>40686</v>
      </c>
    </row>
    <row r="1783">
      <c r="A1783" s="114" t="inlineStr">
        <is>
          <t>554131</t>
        </is>
      </c>
      <c r="B1783" s="114" t="n">
        <v>13988</v>
      </c>
      <c r="C1783" s="114" t="inlineStr">
        <is>
          <t>United Kingdom</t>
        </is>
      </c>
      <c r="D1783" s="114" t="inlineStr">
        <is>
          <t>23088</t>
        </is>
      </c>
      <c r="E1783" s="114" t="inlineStr">
        <is>
          <t>ZINC HEART FLOWER T-LIGHT HOLDER</t>
        </is>
      </c>
      <c r="F1783" s="114" t="n">
        <v>16</v>
      </c>
      <c r="G1783" s="115" t="n">
        <v>1.25</v>
      </c>
      <c r="H1783" s="115" t="n">
        <v>20</v>
      </c>
      <c r="I1783" s="116" t="n">
        <v>40686</v>
      </c>
    </row>
    <row r="1784">
      <c r="A1784" s="117" t="inlineStr">
        <is>
          <t>554137</t>
        </is>
      </c>
      <c r="B1784" s="117" t="n">
        <v>12708</v>
      </c>
      <c r="C1784" s="117" t="inlineStr">
        <is>
          <t>Germany</t>
        </is>
      </c>
      <c r="D1784" s="117" t="inlineStr">
        <is>
          <t>22326</t>
        </is>
      </c>
      <c r="E1784" s="117" t="inlineStr">
        <is>
          <t xml:space="preserve">ROUND SNACK BOXES SET OF4 WOODLAND </t>
        </is>
      </c>
      <c r="F1784" s="117" t="n">
        <v>18</v>
      </c>
      <c r="G1784" s="118" t="n">
        <v>2.95</v>
      </c>
      <c r="H1784" s="118" t="n">
        <v>53.1</v>
      </c>
      <c r="I1784" s="119" t="n">
        <v>40686</v>
      </c>
    </row>
    <row r="1785">
      <c r="A1785" s="114" t="inlineStr">
        <is>
          <t>554139</t>
        </is>
      </c>
      <c r="B1785" s="114" t="n">
        <v>14911</v>
      </c>
      <c r="C1785" s="114" t="inlineStr">
        <is>
          <t>EIRE</t>
        </is>
      </c>
      <c r="D1785" s="114" t="inlineStr">
        <is>
          <t>47566</t>
        </is>
      </c>
      <c r="E1785" s="114" t="inlineStr">
        <is>
          <t>PARTY BUNTING</t>
        </is>
      </c>
      <c r="F1785" s="114" t="n">
        <v>8</v>
      </c>
      <c r="G1785" s="115" t="n">
        <v>4.95</v>
      </c>
      <c r="H1785" s="115" t="n">
        <v>39.6</v>
      </c>
      <c r="I1785" s="116" t="n">
        <v>40686</v>
      </c>
    </row>
    <row r="1786">
      <c r="A1786" s="117" t="inlineStr">
        <is>
          <t>554139</t>
        </is>
      </c>
      <c r="B1786" s="117" t="n">
        <v>14911</v>
      </c>
      <c r="C1786" s="117" t="inlineStr">
        <is>
          <t>EIRE</t>
        </is>
      </c>
      <c r="D1786" s="117" t="inlineStr">
        <is>
          <t>23061</t>
        </is>
      </c>
      <c r="E1786" s="117" t="inlineStr">
        <is>
          <t>VINTAGE EMBOSSED HEART</t>
        </is>
      </c>
      <c r="F1786" s="117" t="n">
        <v>12</v>
      </c>
      <c r="G1786" s="118" t="n">
        <v>1.25</v>
      </c>
      <c r="H1786" s="118" t="n">
        <v>15</v>
      </c>
      <c r="I1786" s="119" t="n">
        <v>40686</v>
      </c>
    </row>
    <row r="1787">
      <c r="A1787" s="114" t="inlineStr">
        <is>
          <t>554147</t>
        </is>
      </c>
      <c r="B1787" s="114" t="n">
        <v>12423</v>
      </c>
      <c r="C1787" s="114" t="inlineStr">
        <is>
          <t>Belgium</t>
        </is>
      </c>
      <c r="D1787" s="114" t="inlineStr">
        <is>
          <t>22328</t>
        </is>
      </c>
      <c r="E1787" s="114" t="inlineStr">
        <is>
          <t xml:space="preserve">ROUND SNACK BOXES SET OF 4 FRUITS </t>
        </is>
      </c>
      <c r="F1787" s="114" t="n">
        <v>6</v>
      </c>
      <c r="G1787" s="115" t="n">
        <v>2.95</v>
      </c>
      <c r="H1787" s="115" t="n">
        <v>17.7</v>
      </c>
      <c r="I1787" s="116" t="n">
        <v>40686</v>
      </c>
    </row>
    <row r="1788">
      <c r="A1788" s="117" t="inlineStr">
        <is>
          <t>554151</t>
        </is>
      </c>
      <c r="B1788" s="117" t="n">
        <v>14049</v>
      </c>
      <c r="C1788" s="117" t="inlineStr">
        <is>
          <t>United Kingdom</t>
        </is>
      </c>
      <c r="D1788" s="117" t="inlineStr">
        <is>
          <t>22561</t>
        </is>
      </c>
      <c r="E1788" s="117" t="inlineStr">
        <is>
          <t>WOODEN SCHOOL COLOURING SET</t>
        </is>
      </c>
      <c r="F1788" s="117" t="n">
        <v>6</v>
      </c>
      <c r="G1788" s="118" t="n">
        <v>1.65</v>
      </c>
      <c r="H1788" s="118" t="n">
        <v>9.9</v>
      </c>
      <c r="I1788" s="119" t="n">
        <v>40686</v>
      </c>
    </row>
    <row r="1789">
      <c r="A1789" s="114" t="inlineStr">
        <is>
          <t>554151</t>
        </is>
      </c>
      <c r="B1789" s="114" t="n">
        <v>14049</v>
      </c>
      <c r="C1789" s="114" t="inlineStr">
        <is>
          <t>United Kingdom</t>
        </is>
      </c>
      <c r="D1789" s="114" t="inlineStr">
        <is>
          <t>21452</t>
        </is>
      </c>
      <c r="E1789" s="114" t="inlineStr">
        <is>
          <t>TOADSTOOL MONEY BOX</t>
        </is>
      </c>
      <c r="F1789" s="114" t="n">
        <v>4</v>
      </c>
      <c r="G1789" s="115" t="n">
        <v>2.95</v>
      </c>
      <c r="H1789" s="115" t="n">
        <v>11.8</v>
      </c>
      <c r="I1789" s="116" t="n">
        <v>40686</v>
      </c>
    </row>
    <row r="1790">
      <c r="A1790" s="117" t="inlineStr">
        <is>
          <t>554151</t>
        </is>
      </c>
      <c r="B1790" s="117" t="n">
        <v>14049</v>
      </c>
      <c r="C1790" s="117" t="inlineStr">
        <is>
          <t>United Kingdom</t>
        </is>
      </c>
      <c r="D1790" s="117" t="inlineStr">
        <is>
          <t>22557</t>
        </is>
      </c>
      <c r="E1790" s="117" t="inlineStr">
        <is>
          <t xml:space="preserve">PLASTERS IN TIN VINTAGE PAISLEY </t>
        </is>
      </c>
      <c r="F1790" s="117" t="n">
        <v>24</v>
      </c>
      <c r="G1790" s="118" t="n">
        <v>1.65</v>
      </c>
      <c r="H1790" s="118" t="n">
        <v>39.6</v>
      </c>
      <c r="I1790" s="119" t="n">
        <v>40686</v>
      </c>
    </row>
    <row r="1791">
      <c r="A1791" s="114" t="inlineStr">
        <is>
          <t>554261</t>
        </is>
      </c>
      <c r="B1791" s="114" t="n">
        <v>16033</v>
      </c>
      <c r="C1791" s="114" t="inlineStr">
        <is>
          <t>United Kingdom</t>
        </is>
      </c>
      <c r="D1791" s="114" t="inlineStr">
        <is>
          <t>84033</t>
        </is>
      </c>
      <c r="E1791" s="114" t="inlineStr">
        <is>
          <t xml:space="preserve">FLAG OF ST GEORGE </t>
        </is>
      </c>
      <c r="F1791" s="114" t="n">
        <v>1</v>
      </c>
      <c r="G1791" s="115" t="n">
        <v>1.65</v>
      </c>
      <c r="H1791" s="115" t="n">
        <v>1.65</v>
      </c>
      <c r="I1791" s="116" t="n">
        <v>40686</v>
      </c>
    </row>
    <row r="1792">
      <c r="A1792" s="117" t="inlineStr">
        <is>
          <t>554268</t>
        </is>
      </c>
      <c r="B1792" s="117" t="n">
        <v>15311</v>
      </c>
      <c r="C1792" s="117" t="inlineStr">
        <is>
          <t>United Kingdom</t>
        </is>
      </c>
      <c r="D1792" s="117" t="inlineStr">
        <is>
          <t>21931</t>
        </is>
      </c>
      <c r="E1792" s="117" t="inlineStr">
        <is>
          <t>JUMBO STORAGE BAG SUKI</t>
        </is>
      </c>
      <c r="F1792" s="117" t="n">
        <v>3</v>
      </c>
      <c r="G1792" s="118" t="n">
        <v>2.08</v>
      </c>
      <c r="H1792" s="118" t="n">
        <v>6.24</v>
      </c>
      <c r="I1792" s="119" t="n">
        <v>40686</v>
      </c>
    </row>
    <row r="1793">
      <c r="A1793" s="114" t="inlineStr">
        <is>
          <t>554275</t>
        </is>
      </c>
      <c r="B1793" s="114" t="n">
        <v>14903</v>
      </c>
      <c r="C1793" s="114" t="inlineStr">
        <is>
          <t>United Kingdom</t>
        </is>
      </c>
      <c r="D1793" s="114" t="inlineStr">
        <is>
          <t>22908</t>
        </is>
      </c>
      <c r="E1793" s="114" t="inlineStr">
        <is>
          <t>PACK OF 20 NAPKINS RED APPLES</t>
        </is>
      </c>
      <c r="F1793" s="114" t="n">
        <v>5</v>
      </c>
      <c r="G1793" s="115" t="n">
        <v>0.85</v>
      </c>
      <c r="H1793" s="115" t="n">
        <v>4.25</v>
      </c>
      <c r="I1793" s="116" t="n">
        <v>40686</v>
      </c>
    </row>
    <row r="1794">
      <c r="A1794" s="117" t="inlineStr">
        <is>
          <t>554278</t>
        </is>
      </c>
      <c r="B1794" s="117" t="n">
        <v>13831</v>
      </c>
      <c r="C1794" s="117" t="inlineStr">
        <is>
          <t>United Kingdom</t>
        </is>
      </c>
      <c r="D1794" s="117" t="inlineStr">
        <is>
          <t>22405</t>
        </is>
      </c>
      <c r="E1794" s="117" t="inlineStr">
        <is>
          <t>MONEY BOX POCKET MONEY DESIGN</t>
        </is>
      </c>
      <c r="F1794" s="117" t="n">
        <v>1</v>
      </c>
      <c r="G1794" s="118" t="n">
        <v>1.25</v>
      </c>
      <c r="H1794" s="118" t="n">
        <v>1.25</v>
      </c>
      <c r="I1794" s="119" t="n">
        <v>40686</v>
      </c>
    </row>
    <row r="1795">
      <c r="A1795" s="114" t="inlineStr">
        <is>
          <t>554280</t>
        </is>
      </c>
      <c r="B1795" s="114" t="n">
        <v>14817</v>
      </c>
      <c r="C1795" s="114" t="inlineStr">
        <is>
          <t>United Kingdom</t>
        </is>
      </c>
      <c r="D1795" s="114" t="inlineStr">
        <is>
          <t>84755</t>
        </is>
      </c>
      <c r="E1795" s="114" t="inlineStr">
        <is>
          <t>COLOUR GLASS T-LIGHT HOLDER HANGING</t>
        </is>
      </c>
      <c r="F1795" s="114" t="n">
        <v>32</v>
      </c>
      <c r="G1795" s="115" t="n">
        <v>0.65</v>
      </c>
      <c r="H1795" s="115" t="n">
        <v>20.8</v>
      </c>
      <c r="I1795" s="116" t="n">
        <v>40686</v>
      </c>
    </row>
    <row r="1796">
      <c r="A1796" s="117" t="inlineStr">
        <is>
          <t>554289</t>
        </is>
      </c>
      <c r="B1796" s="117" t="n">
        <v>15434</v>
      </c>
      <c r="C1796" s="117" t="inlineStr">
        <is>
          <t>United Kingdom</t>
        </is>
      </c>
      <c r="D1796" s="117" t="inlineStr">
        <is>
          <t>23110</t>
        </is>
      </c>
      <c r="E1796" s="117" t="inlineStr">
        <is>
          <t xml:space="preserve">PARISIENNE KEY CABINET </t>
        </is>
      </c>
      <c r="F1796" s="117" t="n">
        <v>2</v>
      </c>
      <c r="G1796" s="118" t="n">
        <v>5.75</v>
      </c>
      <c r="H1796" s="118" t="n">
        <v>11.5</v>
      </c>
      <c r="I1796" s="119" t="n">
        <v>40686</v>
      </c>
    </row>
    <row r="1797">
      <c r="A1797" s="114" t="inlineStr">
        <is>
          <t>554324</t>
        </is>
      </c>
      <c r="B1797" s="114" t="n">
        <v>12712</v>
      </c>
      <c r="C1797" s="114" t="inlineStr">
        <is>
          <t>Germany</t>
        </is>
      </c>
      <c r="D1797" s="114" t="inlineStr">
        <is>
          <t>23066</t>
        </is>
      </c>
      <c r="E1797" s="114" t="inlineStr">
        <is>
          <t>SMALL DECO JEWELLERY STAND</t>
        </is>
      </c>
      <c r="F1797" s="114" t="n">
        <v>4</v>
      </c>
      <c r="G1797" s="115" t="n">
        <v>8.25</v>
      </c>
      <c r="H1797" s="115" t="n">
        <v>33</v>
      </c>
      <c r="I1797" s="116" t="n">
        <v>40686</v>
      </c>
    </row>
    <row r="1798">
      <c r="A1798" s="117" t="inlineStr">
        <is>
          <t>554326</t>
        </is>
      </c>
      <c r="B1798" s="117" t="n">
        <v>13737</v>
      </c>
      <c r="C1798" s="117" t="inlineStr">
        <is>
          <t>United Kingdom</t>
        </is>
      </c>
      <c r="D1798" s="117" t="inlineStr">
        <is>
          <t>21524</t>
        </is>
      </c>
      <c r="E1798" s="117" t="inlineStr">
        <is>
          <t>DOORMAT SPOTTY HOME SWEET HOME</t>
        </is>
      </c>
      <c r="F1798" s="117" t="n">
        <v>1</v>
      </c>
      <c r="G1798" s="118" t="n">
        <v>7.95</v>
      </c>
      <c r="H1798" s="118" t="n">
        <v>7.95</v>
      </c>
      <c r="I1798" s="119" t="n">
        <v>40686</v>
      </c>
    </row>
    <row r="1799">
      <c r="A1799" s="114" t="inlineStr">
        <is>
          <t>554337</t>
        </is>
      </c>
      <c r="B1799" s="114" t="n">
        <v>17920</v>
      </c>
      <c r="C1799" s="114" t="inlineStr">
        <is>
          <t>United Kingdom</t>
        </is>
      </c>
      <c r="D1799" s="114" t="inlineStr">
        <is>
          <t>23162</t>
        </is>
      </c>
      <c r="E1799" s="114" t="inlineStr">
        <is>
          <t>REGENCY TEA STRAINER</t>
        </is>
      </c>
      <c r="F1799" s="114" t="n">
        <v>8</v>
      </c>
      <c r="G1799" s="115" t="n">
        <v>3.75</v>
      </c>
      <c r="H1799" s="115" t="n">
        <v>30</v>
      </c>
      <c r="I1799" s="116" t="n">
        <v>40686</v>
      </c>
    </row>
    <row r="1800">
      <c r="A1800" s="117" t="inlineStr">
        <is>
          <t>554356</t>
        </is>
      </c>
      <c r="B1800" s="117" t="n">
        <v>12670</v>
      </c>
      <c r="C1800" s="117" t="inlineStr">
        <is>
          <t>France</t>
        </is>
      </c>
      <c r="D1800" s="117" t="inlineStr">
        <is>
          <t>22970</t>
        </is>
      </c>
      <c r="E1800" s="117" t="inlineStr">
        <is>
          <t>LONDON BUS COFFEE MUG</t>
        </is>
      </c>
      <c r="F1800" s="117" t="n">
        <v>6</v>
      </c>
      <c r="G1800" s="118" t="n">
        <v>2.55</v>
      </c>
      <c r="H1800" s="118" t="n">
        <v>15.3</v>
      </c>
      <c r="I1800" s="119" t="n">
        <v>40687</v>
      </c>
    </row>
    <row r="1801">
      <c r="A1801" s="114" t="inlineStr">
        <is>
          <t>554359</t>
        </is>
      </c>
      <c r="B1801" s="114" t="n">
        <v>13590</v>
      </c>
      <c r="C1801" s="114" t="inlineStr">
        <is>
          <t>United Kingdom</t>
        </is>
      </c>
      <c r="D1801" s="114" t="inlineStr">
        <is>
          <t>22385</t>
        </is>
      </c>
      <c r="E1801" s="114" t="inlineStr">
        <is>
          <t>JUMBO BAG SPACEBOY DESIGN</t>
        </is>
      </c>
      <c r="F1801" s="114" t="n">
        <v>10</v>
      </c>
      <c r="G1801" s="115" t="n">
        <v>2.08</v>
      </c>
      <c r="H1801" s="115" t="n">
        <v>20.8</v>
      </c>
      <c r="I1801" s="116" t="n">
        <v>40687</v>
      </c>
    </row>
    <row r="1802">
      <c r="A1802" s="117" t="inlineStr">
        <is>
          <t>554359</t>
        </is>
      </c>
      <c r="B1802" s="117" t="n">
        <v>13590</v>
      </c>
      <c r="C1802" s="117" t="inlineStr">
        <is>
          <t>United Kingdom</t>
        </is>
      </c>
      <c r="D1802" s="117" t="inlineStr">
        <is>
          <t>23301</t>
        </is>
      </c>
      <c r="E1802" s="117" t="inlineStr">
        <is>
          <t xml:space="preserve">GARDENERS KNEELING PAD KEEP CALM </t>
        </is>
      </c>
      <c r="F1802" s="117" t="n">
        <v>12</v>
      </c>
      <c r="G1802" s="118" t="n">
        <v>1.65</v>
      </c>
      <c r="H1802" s="118" t="n">
        <v>19.8</v>
      </c>
      <c r="I1802" s="119" t="n">
        <v>40687</v>
      </c>
    </row>
    <row r="1803">
      <c r="A1803" s="114" t="inlineStr">
        <is>
          <t>554368</t>
        </is>
      </c>
      <c r="B1803" s="114" t="n">
        <v>13267</v>
      </c>
      <c r="C1803" s="114" t="inlineStr">
        <is>
          <t>United Kingdom</t>
        </is>
      </c>
      <c r="D1803" s="114" t="inlineStr">
        <is>
          <t>23109</t>
        </is>
      </c>
      <c r="E1803" s="114" t="inlineStr">
        <is>
          <t>LED TEA LIGHTS</t>
        </is>
      </c>
      <c r="F1803" s="114" t="n">
        <v>6</v>
      </c>
      <c r="G1803" s="115" t="n">
        <v>2.89</v>
      </c>
      <c r="H1803" s="115" t="n">
        <v>17.34</v>
      </c>
      <c r="I1803" s="116" t="n">
        <v>40687</v>
      </c>
    </row>
    <row r="1804">
      <c r="A1804" s="117" t="inlineStr">
        <is>
          <t>554371</t>
        </is>
      </c>
      <c r="B1804" s="117" t="n">
        <v>17659</v>
      </c>
      <c r="C1804" s="117" t="inlineStr">
        <is>
          <t>United Kingdom</t>
        </is>
      </c>
      <c r="D1804" s="117" t="inlineStr">
        <is>
          <t>22650</t>
        </is>
      </c>
      <c r="E1804" s="117" t="inlineStr">
        <is>
          <t>CERAMIC PIRATE CHEST MONEY BANK</t>
        </is>
      </c>
      <c r="F1804" s="117" t="n">
        <v>12</v>
      </c>
      <c r="G1804" s="118" t="n">
        <v>1.45</v>
      </c>
      <c r="H1804" s="118" t="n">
        <v>17.4</v>
      </c>
      <c r="I1804" s="119" t="n">
        <v>40687</v>
      </c>
    </row>
    <row r="1805">
      <c r="A1805" s="114" t="inlineStr">
        <is>
          <t>554376</t>
        </is>
      </c>
      <c r="B1805" s="114" t="n">
        <v>15719</v>
      </c>
      <c r="C1805" s="114" t="inlineStr">
        <is>
          <t>United Kingdom</t>
        </is>
      </c>
      <c r="D1805" s="114" t="inlineStr">
        <is>
          <t>20975</t>
        </is>
      </c>
      <c r="E1805" s="114" t="inlineStr">
        <is>
          <t>12 PENCILS SMALL TUBE RED RETROSPOT</t>
        </is>
      </c>
      <c r="F1805" s="114" t="n">
        <v>3</v>
      </c>
      <c r="G1805" s="115" t="n">
        <v>0.65</v>
      </c>
      <c r="H1805" s="115" t="n">
        <v>1.95</v>
      </c>
      <c r="I1805" s="116" t="n">
        <v>40687</v>
      </c>
    </row>
    <row r="1806">
      <c r="A1806" s="117" t="inlineStr">
        <is>
          <t>554376</t>
        </is>
      </c>
      <c r="B1806" s="117" t="n">
        <v>15719</v>
      </c>
      <c r="C1806" s="117" t="inlineStr">
        <is>
          <t>United Kingdom</t>
        </is>
      </c>
      <c r="D1806" s="117" t="inlineStr">
        <is>
          <t>22381</t>
        </is>
      </c>
      <c r="E1806" s="117" t="inlineStr">
        <is>
          <t>TOY TIDY PINK POLKADOT</t>
        </is>
      </c>
      <c r="F1806" s="117" t="n">
        <v>3</v>
      </c>
      <c r="G1806" s="118" t="n">
        <v>2.1</v>
      </c>
      <c r="H1806" s="118" t="n">
        <v>6.3</v>
      </c>
      <c r="I1806" s="119" t="n">
        <v>40687</v>
      </c>
    </row>
    <row r="1807">
      <c r="A1807" s="114" t="inlineStr">
        <is>
          <t>554376</t>
        </is>
      </c>
      <c r="B1807" s="114" t="n">
        <v>15719</v>
      </c>
      <c r="C1807" s="114" t="inlineStr">
        <is>
          <t>United Kingdom</t>
        </is>
      </c>
      <c r="D1807" s="114" t="inlineStr">
        <is>
          <t>23200</t>
        </is>
      </c>
      <c r="E1807" s="114" t="inlineStr">
        <is>
          <t>JUMBO BAG PEARS</t>
        </is>
      </c>
      <c r="F1807" s="114" t="n">
        <v>2</v>
      </c>
      <c r="G1807" s="115" t="n">
        <v>2.08</v>
      </c>
      <c r="H1807" s="115" t="n">
        <v>4.16</v>
      </c>
      <c r="I1807" s="116" t="n">
        <v>40687</v>
      </c>
    </row>
    <row r="1808">
      <c r="A1808" s="117" t="inlineStr">
        <is>
          <t>554415</t>
        </is>
      </c>
      <c r="B1808" s="117" t="n">
        <v>18202</v>
      </c>
      <c r="C1808" s="117" t="inlineStr">
        <is>
          <t>United Kingdom</t>
        </is>
      </c>
      <c r="D1808" s="117" t="inlineStr">
        <is>
          <t>22625</t>
        </is>
      </c>
      <c r="E1808" s="117" t="inlineStr">
        <is>
          <t>RED KITCHEN SCALES</t>
        </is>
      </c>
      <c r="F1808" s="117" t="n">
        <v>2</v>
      </c>
      <c r="G1808" s="118" t="n">
        <v>8.5</v>
      </c>
      <c r="H1808" s="118" t="n">
        <v>17</v>
      </c>
      <c r="I1808" s="119" t="n">
        <v>40687</v>
      </c>
    </row>
    <row r="1809">
      <c r="A1809" s="114" t="inlineStr">
        <is>
          <t>554421</t>
        </is>
      </c>
      <c r="B1809" s="114" t="n">
        <v>18202</v>
      </c>
      <c r="C1809" s="114" t="inlineStr">
        <is>
          <t>United Kingdom</t>
        </is>
      </c>
      <c r="D1809" s="114" t="inlineStr">
        <is>
          <t>22980</t>
        </is>
      </c>
      <c r="E1809" s="114" t="inlineStr">
        <is>
          <t>PANTRY SCRUBBING BRUSH</t>
        </is>
      </c>
      <c r="F1809" s="114" t="n">
        <v>12</v>
      </c>
      <c r="G1809" s="115" t="n">
        <v>1.65</v>
      </c>
      <c r="H1809" s="115" t="n">
        <v>19.8</v>
      </c>
      <c r="I1809" s="116" t="n">
        <v>40687</v>
      </c>
    </row>
    <row r="1810">
      <c r="A1810" s="117" t="inlineStr">
        <is>
          <t>554441</t>
        </is>
      </c>
      <c r="B1810" s="117" t="n">
        <v>13213</v>
      </c>
      <c r="C1810" s="117" t="inlineStr">
        <is>
          <t>United Kingdom</t>
        </is>
      </c>
      <c r="D1810" s="117" t="inlineStr">
        <is>
          <t>20771</t>
        </is>
      </c>
      <c r="E1810" s="117" t="inlineStr">
        <is>
          <t>CHRYSANTHEMUM  JOURNAL</t>
        </is>
      </c>
      <c r="F1810" s="117" t="n">
        <v>6</v>
      </c>
      <c r="G1810" s="118" t="n">
        <v>2.55</v>
      </c>
      <c r="H1810" s="118" t="n">
        <v>15.3</v>
      </c>
      <c r="I1810" s="119" t="n">
        <v>40687</v>
      </c>
    </row>
    <row r="1811">
      <c r="A1811" s="114" t="inlineStr">
        <is>
          <t>554483</t>
        </is>
      </c>
      <c r="B1811" s="114" t="n">
        <v>13771</v>
      </c>
      <c r="C1811" s="114" t="inlineStr">
        <is>
          <t>United Kingdom</t>
        </is>
      </c>
      <c r="D1811" s="114" t="inlineStr">
        <is>
          <t>85123A</t>
        </is>
      </c>
      <c r="E1811" s="114" t="inlineStr">
        <is>
          <t>WHITE HANGING HEART T-LIGHT HOLDER</t>
        </is>
      </c>
      <c r="F1811" s="114" t="n">
        <v>18</v>
      </c>
      <c r="G1811" s="115" t="n">
        <v>2.95</v>
      </c>
      <c r="H1811" s="115" t="n">
        <v>53.1</v>
      </c>
      <c r="I1811" s="116" t="n">
        <v>40687</v>
      </c>
    </row>
    <row r="1812">
      <c r="A1812" s="117" t="inlineStr">
        <is>
          <t>554502</t>
        </is>
      </c>
      <c r="B1812" s="117" t="n">
        <v>14289</v>
      </c>
      <c r="C1812" s="117" t="inlineStr">
        <is>
          <t>United Kingdom</t>
        </is>
      </c>
      <c r="D1812" s="117" t="inlineStr">
        <is>
          <t>48194</t>
        </is>
      </c>
      <c r="E1812" s="117" t="inlineStr">
        <is>
          <t>DOORMAT HEARTS</t>
        </is>
      </c>
      <c r="F1812" s="117" t="n">
        <v>6</v>
      </c>
      <c r="G1812" s="118" t="n">
        <v>7.95</v>
      </c>
      <c r="H1812" s="118" t="n">
        <v>47.7</v>
      </c>
      <c r="I1812" s="119" t="n">
        <v>40687</v>
      </c>
    </row>
    <row r="1813">
      <c r="A1813" s="114" t="inlineStr">
        <is>
          <t>554509</t>
        </is>
      </c>
      <c r="B1813" s="114" t="n">
        <v>17375</v>
      </c>
      <c r="C1813" s="114" t="inlineStr">
        <is>
          <t>United Kingdom</t>
        </is>
      </c>
      <c r="D1813" s="114" t="inlineStr">
        <is>
          <t>21523</t>
        </is>
      </c>
      <c r="E1813" s="114" t="inlineStr">
        <is>
          <t>DOORMAT FANCY FONT HOME SWEET HOME</t>
        </is>
      </c>
      <c r="F1813" s="114" t="n">
        <v>1</v>
      </c>
      <c r="G1813" s="115" t="n">
        <v>7.95</v>
      </c>
      <c r="H1813" s="115" t="n">
        <v>7.95</v>
      </c>
      <c r="I1813" s="116" t="n">
        <v>40687</v>
      </c>
    </row>
    <row r="1814">
      <c r="A1814" s="117" t="inlineStr">
        <is>
          <t>554545</t>
        </is>
      </c>
      <c r="B1814" s="117" t="n">
        <v>13102</v>
      </c>
      <c r="C1814" s="117" t="inlineStr">
        <is>
          <t>United Kingdom</t>
        </is>
      </c>
      <c r="D1814" s="117" t="inlineStr">
        <is>
          <t>22993</t>
        </is>
      </c>
      <c r="E1814" s="117" t="inlineStr">
        <is>
          <t>SET OF 4 PANTRY JELLY MOULDS</t>
        </is>
      </c>
      <c r="F1814" s="117" t="n">
        <v>12</v>
      </c>
      <c r="G1814" s="118" t="n">
        <v>1.25</v>
      </c>
      <c r="H1814" s="118" t="n">
        <v>15</v>
      </c>
      <c r="I1814" s="119" t="n">
        <v>40688</v>
      </c>
    </row>
    <row r="1815">
      <c r="A1815" s="114" t="inlineStr">
        <is>
          <t>554598</t>
        </is>
      </c>
      <c r="B1815" s="114" t="n">
        <v>13263</v>
      </c>
      <c r="C1815" s="114" t="inlineStr">
        <is>
          <t>United Kingdom</t>
        </is>
      </c>
      <c r="D1815" s="114" t="inlineStr">
        <is>
          <t>22920</t>
        </is>
      </c>
      <c r="E1815" s="114" t="inlineStr">
        <is>
          <t>HERB MARKER BASIL</t>
        </is>
      </c>
      <c r="F1815" s="114" t="n">
        <v>3</v>
      </c>
      <c r="G1815" s="115" t="n">
        <v>0.65</v>
      </c>
      <c r="H1815" s="115" t="n">
        <v>1.95</v>
      </c>
      <c r="I1815" s="116" t="n">
        <v>40688</v>
      </c>
    </row>
    <row r="1816">
      <c r="A1816" s="117" t="inlineStr">
        <is>
          <t>554603</t>
        </is>
      </c>
      <c r="B1816" s="117" t="n">
        <v>14593</v>
      </c>
      <c r="C1816" s="117" t="inlineStr">
        <is>
          <t>United Kingdom</t>
        </is>
      </c>
      <c r="D1816" s="117" t="inlineStr">
        <is>
          <t>21888</t>
        </is>
      </c>
      <c r="E1816" s="117" t="inlineStr">
        <is>
          <t>BINGO SET</t>
        </is>
      </c>
      <c r="F1816" s="117" t="n">
        <v>2</v>
      </c>
      <c r="G1816" s="118" t="n">
        <v>3.75</v>
      </c>
      <c r="H1816" s="118" t="n">
        <v>7.5</v>
      </c>
      <c r="I1816" s="119" t="n">
        <v>40688</v>
      </c>
    </row>
    <row r="1817">
      <c r="A1817" s="114" t="inlineStr">
        <is>
          <t>554617</t>
        </is>
      </c>
      <c r="B1817" s="114" t="n">
        <v>14593</v>
      </c>
      <c r="C1817" s="114" t="inlineStr">
        <is>
          <t>United Kingdom</t>
        </is>
      </c>
      <c r="D1817" s="114" t="inlineStr">
        <is>
          <t>20727</t>
        </is>
      </c>
      <c r="E1817" s="114" t="inlineStr">
        <is>
          <t>LUNCH BAG  BLACK SKULL.</t>
        </is>
      </c>
      <c r="F1817" s="114" t="n">
        <v>1</v>
      </c>
      <c r="G1817" s="115" t="n">
        <v>1.65</v>
      </c>
      <c r="H1817" s="115" t="n">
        <v>1.65</v>
      </c>
      <c r="I1817" s="116" t="n">
        <v>40688</v>
      </c>
    </row>
    <row r="1818">
      <c r="A1818" s="117" t="inlineStr">
        <is>
          <t>554628</t>
        </is>
      </c>
      <c r="B1818" s="117" t="n">
        <v>15039</v>
      </c>
      <c r="C1818" s="117" t="inlineStr">
        <is>
          <t>United Kingdom</t>
        </is>
      </c>
      <c r="D1818" s="117" t="inlineStr">
        <is>
          <t>21933</t>
        </is>
      </c>
      <c r="E1818" s="117" t="inlineStr">
        <is>
          <t>PINK VINTAGE PAISLEY PICNIC BAG</t>
        </is>
      </c>
      <c r="F1818" s="117" t="n">
        <v>4</v>
      </c>
      <c r="G1818" s="118" t="n">
        <v>1.65</v>
      </c>
      <c r="H1818" s="118" t="n">
        <v>6.6</v>
      </c>
      <c r="I1818" s="119" t="n">
        <v>40688</v>
      </c>
    </row>
    <row r="1819">
      <c r="A1819" s="114" t="inlineStr">
        <is>
          <t>554635</t>
        </is>
      </c>
      <c r="B1819" s="114" t="n">
        <v>13069</v>
      </c>
      <c r="C1819" s="114" t="inlineStr">
        <is>
          <t>United Kingdom</t>
        </is>
      </c>
      <c r="D1819" s="114" t="inlineStr">
        <is>
          <t>21673</t>
        </is>
      </c>
      <c r="E1819" s="114" t="inlineStr">
        <is>
          <t>WHITE SPOT BLUE CERAMIC DRAWER KNOB</t>
        </is>
      </c>
      <c r="F1819" s="114" t="n">
        <v>12</v>
      </c>
      <c r="G1819" s="115" t="n">
        <v>1.25</v>
      </c>
      <c r="H1819" s="115" t="n">
        <v>15</v>
      </c>
      <c r="I1819" s="116" t="n">
        <v>40688</v>
      </c>
    </row>
    <row r="1820">
      <c r="A1820" s="117" t="inlineStr">
        <is>
          <t>554639</t>
        </is>
      </c>
      <c r="B1820" s="117" t="n">
        <v>17955</v>
      </c>
      <c r="C1820" s="117" t="inlineStr">
        <is>
          <t>United Kingdom</t>
        </is>
      </c>
      <c r="D1820" s="117" t="inlineStr">
        <is>
          <t>75049L</t>
        </is>
      </c>
      <c r="E1820" s="117" t="inlineStr">
        <is>
          <t>LARGE CIRCULAR MIRROR MOBILE</t>
        </is>
      </c>
      <c r="F1820" s="117" t="n">
        <v>192</v>
      </c>
      <c r="G1820" s="118" t="n">
        <v>0.85</v>
      </c>
      <c r="H1820" s="118" t="n">
        <v>163.2</v>
      </c>
      <c r="I1820" s="119" t="n">
        <v>40688</v>
      </c>
    </row>
    <row r="1821">
      <c r="A1821" s="114" t="inlineStr">
        <is>
          <t>554640</t>
        </is>
      </c>
      <c r="B1821" s="114" t="n">
        <v>14680</v>
      </c>
      <c r="C1821" s="114" t="inlineStr">
        <is>
          <t>United Kingdom</t>
        </is>
      </c>
      <c r="D1821" s="114" t="inlineStr">
        <is>
          <t>22384</t>
        </is>
      </c>
      <c r="E1821" s="114" t="inlineStr">
        <is>
          <t>LUNCH BAG PINK POLKADOT</t>
        </is>
      </c>
      <c r="F1821" s="114" t="n">
        <v>20</v>
      </c>
      <c r="G1821" s="115" t="n">
        <v>1.65</v>
      </c>
      <c r="H1821" s="115" t="n">
        <v>33</v>
      </c>
      <c r="I1821" s="116" t="n">
        <v>40688</v>
      </c>
    </row>
    <row r="1822">
      <c r="A1822" s="117" t="inlineStr">
        <is>
          <t>554644</t>
        </is>
      </c>
      <c r="B1822" s="117" t="n">
        <v>15311</v>
      </c>
      <c r="C1822" s="117" t="inlineStr">
        <is>
          <t>United Kingdom</t>
        </is>
      </c>
      <c r="D1822" s="117" t="inlineStr">
        <is>
          <t>22178</t>
        </is>
      </c>
      <c r="E1822" s="117" t="inlineStr">
        <is>
          <t>VICTORIAN GLASS HANGING T-LIGHT</t>
        </is>
      </c>
      <c r="F1822" s="117" t="n">
        <v>96</v>
      </c>
      <c r="G1822" s="118" t="n">
        <v>1.06</v>
      </c>
      <c r="H1822" s="118" t="n">
        <v>101.76</v>
      </c>
      <c r="I1822" s="119" t="n">
        <v>40688</v>
      </c>
    </row>
    <row r="1823">
      <c r="A1823" s="114" t="inlineStr">
        <is>
          <t>554648</t>
        </is>
      </c>
      <c r="B1823" s="114" t="n">
        <v>12562</v>
      </c>
      <c r="C1823" s="114" t="inlineStr">
        <is>
          <t>France</t>
        </is>
      </c>
      <c r="D1823" s="114" t="inlineStr">
        <is>
          <t>21936</t>
        </is>
      </c>
      <c r="E1823" s="114" t="inlineStr">
        <is>
          <t>RED RETROSPOT PICNIC BAG</t>
        </is>
      </c>
      <c r="F1823" s="114" t="n">
        <v>5</v>
      </c>
      <c r="G1823" s="115" t="n">
        <v>2.95</v>
      </c>
      <c r="H1823" s="115" t="n">
        <v>14.75</v>
      </c>
      <c r="I1823" s="116" t="n">
        <v>40688</v>
      </c>
    </row>
    <row r="1824">
      <c r="A1824" s="117" t="inlineStr">
        <is>
          <t>554651</t>
        </is>
      </c>
      <c r="B1824" s="117" t="n">
        <v>12779</v>
      </c>
      <c r="C1824" s="117" t="inlineStr">
        <is>
          <t>Poland</t>
        </is>
      </c>
      <c r="D1824" s="117" t="inlineStr">
        <is>
          <t>22061</t>
        </is>
      </c>
      <c r="E1824" s="117" t="inlineStr">
        <is>
          <t>LARGE CAKE STAND  HANGING STRAWBERY</t>
        </is>
      </c>
      <c r="F1824" s="117" t="n">
        <v>4</v>
      </c>
      <c r="G1824" s="118" t="n">
        <v>9.949999999999999</v>
      </c>
      <c r="H1824" s="118" t="n">
        <v>39.8</v>
      </c>
      <c r="I1824" s="119" t="n">
        <v>40688</v>
      </c>
    </row>
    <row r="1825">
      <c r="A1825" s="114" t="inlineStr">
        <is>
          <t>554658</t>
        </is>
      </c>
      <c r="B1825" s="114" t="n">
        <v>12839</v>
      </c>
      <c r="C1825" s="114" t="inlineStr">
        <is>
          <t>United Kingdom</t>
        </is>
      </c>
      <c r="D1825" s="114" t="inlineStr">
        <is>
          <t>23155</t>
        </is>
      </c>
      <c r="E1825" s="114" t="inlineStr">
        <is>
          <t xml:space="preserve">KNICKERBOCKERGLORY MAGNET ASSORTED </t>
        </is>
      </c>
      <c r="F1825" s="114" t="n">
        <v>12</v>
      </c>
      <c r="G1825" s="115" t="n">
        <v>0.83</v>
      </c>
      <c r="H1825" s="115" t="n">
        <v>9.960000000000001</v>
      </c>
      <c r="I1825" s="116" t="n">
        <v>40688</v>
      </c>
    </row>
    <row r="1826">
      <c r="A1826" s="117" t="inlineStr">
        <is>
          <t>554666</t>
        </is>
      </c>
      <c r="B1826" s="117" t="n">
        <v>13599</v>
      </c>
      <c r="C1826" s="117" t="inlineStr">
        <is>
          <t>United Kingdom</t>
        </is>
      </c>
      <c r="D1826" s="117" t="inlineStr">
        <is>
          <t>23201</t>
        </is>
      </c>
      <c r="E1826" s="117" t="inlineStr">
        <is>
          <t>JUMBO BAG ALPHABET</t>
        </is>
      </c>
      <c r="F1826" s="117" t="n">
        <v>10</v>
      </c>
      <c r="G1826" s="118" t="n">
        <v>2.08</v>
      </c>
      <c r="H1826" s="118" t="n">
        <v>20.8</v>
      </c>
      <c r="I1826" s="119" t="n">
        <v>40688</v>
      </c>
    </row>
    <row r="1827">
      <c r="A1827" s="114" t="inlineStr">
        <is>
          <t>554674</t>
        </is>
      </c>
      <c r="B1827" s="114" t="n">
        <v>14522</v>
      </c>
      <c r="C1827" s="114" t="inlineStr">
        <is>
          <t>United Kingdom</t>
        </is>
      </c>
      <c r="D1827" s="114" t="inlineStr">
        <is>
          <t>23283</t>
        </is>
      </c>
      <c r="E1827" s="114" t="inlineStr">
        <is>
          <t xml:space="preserve">DOORMAT VINTAGE LEAVES DESIGN </t>
        </is>
      </c>
      <c r="F1827" s="114" t="n">
        <v>10</v>
      </c>
      <c r="G1827" s="115" t="n">
        <v>6.75</v>
      </c>
      <c r="H1827" s="115" t="n">
        <v>67.5</v>
      </c>
      <c r="I1827" s="116" t="n">
        <v>40688</v>
      </c>
    </row>
    <row r="1828">
      <c r="A1828" s="117" t="inlineStr">
        <is>
          <t>554684</t>
        </is>
      </c>
      <c r="B1828" s="117" t="n">
        <v>16448</v>
      </c>
      <c r="C1828" s="117" t="inlineStr">
        <is>
          <t>United Kingdom</t>
        </is>
      </c>
      <c r="D1828" s="117" t="inlineStr">
        <is>
          <t>22798</t>
        </is>
      </c>
      <c r="E1828" s="117" t="inlineStr">
        <is>
          <t>ANTIQUE GLASS DRESSING TABLE POT</t>
        </is>
      </c>
      <c r="F1828" s="117" t="n">
        <v>1</v>
      </c>
      <c r="G1828" s="118" t="n">
        <v>2.95</v>
      </c>
      <c r="H1828" s="118" t="n">
        <v>2.95</v>
      </c>
      <c r="I1828" s="119" t="n">
        <v>40688</v>
      </c>
    </row>
    <row r="1829">
      <c r="A1829" s="114" t="inlineStr">
        <is>
          <t>554695</t>
        </is>
      </c>
      <c r="B1829" s="114" t="n">
        <v>16161</v>
      </c>
      <c r="C1829" s="114" t="inlineStr">
        <is>
          <t>United Kingdom</t>
        </is>
      </c>
      <c r="D1829" s="114" t="inlineStr">
        <is>
          <t>23203</t>
        </is>
      </c>
      <c r="E1829" s="114" t="inlineStr">
        <is>
          <t>JUMBO BAG DOILEY PATTERNS</t>
        </is>
      </c>
      <c r="F1829" s="114" t="n">
        <v>10</v>
      </c>
      <c r="G1829" s="115" t="n">
        <v>2.08</v>
      </c>
      <c r="H1829" s="115" t="n">
        <v>20.8</v>
      </c>
      <c r="I1829" s="116" t="n">
        <v>40688</v>
      </c>
    </row>
    <row r="1830">
      <c r="A1830" s="117" t="inlineStr">
        <is>
          <t>554695</t>
        </is>
      </c>
      <c r="B1830" s="117" t="n">
        <v>16161</v>
      </c>
      <c r="C1830" s="117" t="inlineStr">
        <is>
          <t>United Kingdom</t>
        </is>
      </c>
      <c r="D1830" s="117" t="inlineStr">
        <is>
          <t>22629</t>
        </is>
      </c>
      <c r="E1830" s="117" t="inlineStr">
        <is>
          <t xml:space="preserve">SPACEBOY LUNCH BOX </t>
        </is>
      </c>
      <c r="F1830" s="117" t="n">
        <v>3</v>
      </c>
      <c r="G1830" s="118" t="n">
        <v>1.95</v>
      </c>
      <c r="H1830" s="118" t="n">
        <v>5.85</v>
      </c>
      <c r="I1830" s="119" t="n">
        <v>40688</v>
      </c>
    </row>
    <row r="1831">
      <c r="A1831" s="114" t="inlineStr">
        <is>
          <t>554762</t>
        </is>
      </c>
      <c r="B1831" s="114" t="n">
        <v>16837</v>
      </c>
      <c r="C1831" s="114" t="inlineStr">
        <is>
          <t>United Kingdom</t>
        </is>
      </c>
      <c r="D1831" s="114" t="inlineStr">
        <is>
          <t>22470</t>
        </is>
      </c>
      <c r="E1831" s="114" t="inlineStr">
        <is>
          <t>HEART OF WICKER LARGE</t>
        </is>
      </c>
      <c r="F1831" s="114" t="n">
        <v>6</v>
      </c>
      <c r="G1831" s="115" t="n">
        <v>2.95</v>
      </c>
      <c r="H1831" s="115" t="n">
        <v>17.7</v>
      </c>
      <c r="I1831" s="116" t="n">
        <v>40689</v>
      </c>
    </row>
    <row r="1832">
      <c r="A1832" s="117" t="inlineStr">
        <is>
          <t>554762</t>
        </is>
      </c>
      <c r="B1832" s="117" t="n">
        <v>16837</v>
      </c>
      <c r="C1832" s="117" t="inlineStr">
        <is>
          <t>United Kingdom</t>
        </is>
      </c>
      <c r="D1832" s="117" t="inlineStr">
        <is>
          <t>23173</t>
        </is>
      </c>
      <c r="E1832" s="117" t="inlineStr">
        <is>
          <t xml:space="preserve">REGENCY TEAPOT ROSES </t>
        </is>
      </c>
      <c r="F1832" s="117" t="n">
        <v>2</v>
      </c>
      <c r="G1832" s="118" t="n">
        <v>9.949999999999999</v>
      </c>
      <c r="H1832" s="118" t="n">
        <v>19.9</v>
      </c>
      <c r="I1832" s="119" t="n">
        <v>40689</v>
      </c>
    </row>
    <row r="1833">
      <c r="A1833" s="114" t="inlineStr">
        <is>
          <t>554794</t>
        </is>
      </c>
      <c r="B1833" s="114" t="n">
        <v>12720</v>
      </c>
      <c r="C1833" s="114" t="inlineStr">
        <is>
          <t>Germany</t>
        </is>
      </c>
      <c r="D1833" s="114" t="inlineStr">
        <is>
          <t>21088</t>
        </is>
      </c>
      <c r="E1833" s="114" t="inlineStr">
        <is>
          <t>SET/6 FRUIT SALAD PAPER CUPS</t>
        </is>
      </c>
      <c r="F1833" s="114" t="n">
        <v>24</v>
      </c>
      <c r="G1833" s="115" t="n">
        <v>0.19</v>
      </c>
      <c r="H1833" s="115" t="n">
        <v>4.56</v>
      </c>
      <c r="I1833" s="116" t="n">
        <v>40689</v>
      </c>
    </row>
    <row r="1834">
      <c r="A1834" s="117" t="inlineStr">
        <is>
          <t>554814</t>
        </is>
      </c>
      <c r="B1834" s="117" t="n">
        <v>16609</v>
      </c>
      <c r="C1834" s="117" t="inlineStr">
        <is>
          <t>United Kingdom</t>
        </is>
      </c>
      <c r="D1834" s="117" t="inlineStr">
        <is>
          <t>23082</t>
        </is>
      </c>
      <c r="E1834" s="117" t="inlineStr">
        <is>
          <t xml:space="preserve">SET 6 PAPER TABLE LANTERN HEARTS </t>
        </is>
      </c>
      <c r="F1834" s="117" t="n">
        <v>6</v>
      </c>
      <c r="G1834" s="118" t="n">
        <v>3.75</v>
      </c>
      <c r="H1834" s="118" t="n">
        <v>22.5</v>
      </c>
      <c r="I1834" s="119" t="n">
        <v>40689</v>
      </c>
    </row>
    <row r="1835">
      <c r="A1835" s="114" t="inlineStr">
        <is>
          <t>554814</t>
        </is>
      </c>
      <c r="B1835" s="114" t="n">
        <v>16609</v>
      </c>
      <c r="C1835" s="114" t="inlineStr">
        <is>
          <t>United Kingdom</t>
        </is>
      </c>
      <c r="D1835" s="114" t="inlineStr">
        <is>
          <t>20719</t>
        </is>
      </c>
      <c r="E1835" s="114" t="inlineStr">
        <is>
          <t>WOODLAND CHARLOTTE BAG</t>
        </is>
      </c>
      <c r="F1835" s="114" t="n">
        <v>10</v>
      </c>
      <c r="G1835" s="115" t="n">
        <v>0.85</v>
      </c>
      <c r="H1835" s="115" t="n">
        <v>8.5</v>
      </c>
      <c r="I1835" s="116" t="n">
        <v>40689</v>
      </c>
    </row>
    <row r="1836">
      <c r="A1836" s="117" t="inlineStr">
        <is>
          <t>554827</t>
        </is>
      </c>
      <c r="B1836" s="117" t="n">
        <v>14646</v>
      </c>
      <c r="C1836" s="117" t="inlineStr">
        <is>
          <t>Netherlands</t>
        </is>
      </c>
      <c r="D1836" s="117" t="inlineStr">
        <is>
          <t>23102</t>
        </is>
      </c>
      <c r="E1836" s="117" t="inlineStr">
        <is>
          <t>SILVER HEARTS TABLE DECORATION</t>
        </is>
      </c>
      <c r="F1836" s="117" t="n">
        <v>72</v>
      </c>
      <c r="G1836" s="118" t="n">
        <v>0.72</v>
      </c>
      <c r="H1836" s="118" t="n">
        <v>51.84</v>
      </c>
      <c r="I1836" s="119" t="n">
        <v>40689</v>
      </c>
    </row>
    <row r="1837">
      <c r="A1837" s="114" t="inlineStr">
        <is>
          <t>554832</t>
        </is>
      </c>
      <c r="B1837" s="114" t="n">
        <v>16092</v>
      </c>
      <c r="C1837" s="114" t="inlineStr">
        <is>
          <t>United Kingdom</t>
        </is>
      </c>
      <c r="D1837" s="114" t="inlineStr">
        <is>
          <t>22969</t>
        </is>
      </c>
      <c r="E1837" s="114" t="inlineStr">
        <is>
          <t>HOMEMADE JAM SCENTED CANDLES</t>
        </is>
      </c>
      <c r="F1837" s="114" t="n">
        <v>12</v>
      </c>
      <c r="G1837" s="115" t="n">
        <v>1.45</v>
      </c>
      <c r="H1837" s="115" t="n">
        <v>17.4</v>
      </c>
      <c r="I1837" s="116" t="n">
        <v>40689</v>
      </c>
    </row>
    <row r="1838">
      <c r="A1838" s="117" t="inlineStr">
        <is>
          <t>554836</t>
        </is>
      </c>
      <c r="B1838" s="117" t="n">
        <v>13015</v>
      </c>
      <c r="C1838" s="117" t="inlineStr">
        <is>
          <t>United Kingdom</t>
        </is>
      </c>
      <c r="D1838" s="117" t="inlineStr">
        <is>
          <t>21912</t>
        </is>
      </c>
      <c r="E1838" s="117" t="inlineStr">
        <is>
          <t>VINTAGE SNAKES &amp; LADDERS</t>
        </is>
      </c>
      <c r="F1838" s="117" t="n">
        <v>4</v>
      </c>
      <c r="G1838" s="118" t="n">
        <v>3.75</v>
      </c>
      <c r="H1838" s="118" t="n">
        <v>15</v>
      </c>
      <c r="I1838" s="119" t="n">
        <v>40689</v>
      </c>
    </row>
    <row r="1839">
      <c r="A1839" s="114" t="inlineStr">
        <is>
          <t>554839</t>
        </is>
      </c>
      <c r="B1839" s="114" t="n">
        <v>14056</v>
      </c>
      <c r="C1839" s="114" t="inlineStr">
        <is>
          <t>United Kingdom</t>
        </is>
      </c>
      <c r="D1839" s="114" t="inlineStr">
        <is>
          <t>22558</t>
        </is>
      </c>
      <c r="E1839" s="114" t="inlineStr">
        <is>
          <t xml:space="preserve">CLOTHES PEGS RETROSPOT PACK 24 </t>
        </is>
      </c>
      <c r="F1839" s="114" t="n">
        <v>5</v>
      </c>
      <c r="G1839" s="115" t="n">
        <v>1.65</v>
      </c>
      <c r="H1839" s="115" t="n">
        <v>8.25</v>
      </c>
      <c r="I1839" s="116" t="n">
        <v>40689</v>
      </c>
    </row>
    <row r="1840">
      <c r="A1840" s="117" t="inlineStr">
        <is>
          <t>554860</t>
        </is>
      </c>
      <c r="B1840" s="117" t="n">
        <v>15249</v>
      </c>
      <c r="C1840" s="117" t="inlineStr">
        <is>
          <t>United Kingdom</t>
        </is>
      </c>
      <c r="D1840" s="117" t="inlineStr">
        <is>
          <t>23052</t>
        </is>
      </c>
      <c r="E1840" s="117" t="inlineStr">
        <is>
          <t>RECYCLED ACAPULCO MAT TURQUOISE</t>
        </is>
      </c>
      <c r="F1840" s="117" t="n">
        <v>2</v>
      </c>
      <c r="G1840" s="118" t="n">
        <v>8.25</v>
      </c>
      <c r="H1840" s="118" t="n">
        <v>16.5</v>
      </c>
      <c r="I1840" s="119" t="n">
        <v>40690</v>
      </c>
    </row>
    <row r="1841">
      <c r="A1841" s="114" t="inlineStr">
        <is>
          <t>554861</t>
        </is>
      </c>
      <c r="B1841" s="114" t="n">
        <v>12633</v>
      </c>
      <c r="C1841" s="114" t="inlineStr">
        <is>
          <t>Germany</t>
        </is>
      </c>
      <c r="D1841" s="114" t="inlineStr">
        <is>
          <t>22139</t>
        </is>
      </c>
      <c r="E1841" s="114" t="inlineStr">
        <is>
          <t xml:space="preserve">RETROSPOT TEA SET CERAMIC 11 PC </t>
        </is>
      </c>
      <c r="F1841" s="114" t="n">
        <v>3</v>
      </c>
      <c r="G1841" s="115" t="n">
        <v>4.95</v>
      </c>
      <c r="H1841" s="115" t="n">
        <v>14.85</v>
      </c>
      <c r="I1841" s="116" t="n">
        <v>40690</v>
      </c>
    </row>
    <row r="1842">
      <c r="A1842" s="117" t="inlineStr">
        <is>
          <t>554916</t>
        </is>
      </c>
      <c r="B1842" s="117" t="n">
        <v>17345</v>
      </c>
      <c r="C1842" s="117" t="inlineStr">
        <is>
          <t>United Kingdom</t>
        </is>
      </c>
      <c r="D1842" s="117" t="inlineStr">
        <is>
          <t>21078</t>
        </is>
      </c>
      <c r="E1842" s="117" t="inlineStr">
        <is>
          <t xml:space="preserve">SET/20 STRAWBERRY PAPER NAPKINS </t>
        </is>
      </c>
      <c r="F1842" s="117" t="n">
        <v>4</v>
      </c>
      <c r="G1842" s="118" t="n">
        <v>0.85</v>
      </c>
      <c r="H1842" s="118" t="n">
        <v>3.4</v>
      </c>
      <c r="I1842" s="119" t="n">
        <v>40690</v>
      </c>
    </row>
    <row r="1843">
      <c r="A1843" s="114" t="inlineStr">
        <is>
          <t>554927</t>
        </is>
      </c>
      <c r="B1843" s="114" t="n">
        <v>16726</v>
      </c>
      <c r="C1843" s="114" t="inlineStr">
        <is>
          <t>United Kingdom</t>
        </is>
      </c>
      <c r="D1843" s="114" t="inlineStr">
        <is>
          <t>21914</t>
        </is>
      </c>
      <c r="E1843" s="114" t="inlineStr">
        <is>
          <t xml:space="preserve">BLUE HARMONICA IN BOX </t>
        </is>
      </c>
      <c r="F1843" s="114" t="n">
        <v>12</v>
      </c>
      <c r="G1843" s="115" t="n">
        <v>1.25</v>
      </c>
      <c r="H1843" s="115" t="n">
        <v>15</v>
      </c>
      <c r="I1843" s="116" t="n">
        <v>40690</v>
      </c>
    </row>
    <row r="1844">
      <c r="A1844" s="117" t="inlineStr">
        <is>
          <t>554927</t>
        </is>
      </c>
      <c r="B1844" s="117" t="n">
        <v>16726</v>
      </c>
      <c r="C1844" s="117" t="inlineStr">
        <is>
          <t>United Kingdom</t>
        </is>
      </c>
      <c r="D1844" s="117" t="inlineStr">
        <is>
          <t>84378</t>
        </is>
      </c>
      <c r="E1844" s="117" t="inlineStr">
        <is>
          <t>SET OF 3 HEART COOKIE CUTTERS</t>
        </is>
      </c>
      <c r="F1844" s="117" t="n">
        <v>12</v>
      </c>
      <c r="G1844" s="118" t="n">
        <v>1.25</v>
      </c>
      <c r="H1844" s="118" t="n">
        <v>15</v>
      </c>
      <c r="I1844" s="119" t="n">
        <v>40690</v>
      </c>
    </row>
    <row r="1845">
      <c r="A1845" s="114" t="inlineStr">
        <is>
          <t>554929</t>
        </is>
      </c>
      <c r="B1845" s="114" t="n">
        <v>13018</v>
      </c>
      <c r="C1845" s="114" t="inlineStr">
        <is>
          <t>United Kingdom</t>
        </is>
      </c>
      <c r="D1845" s="114" t="inlineStr">
        <is>
          <t>22029</t>
        </is>
      </c>
      <c r="E1845" s="114" t="inlineStr">
        <is>
          <t>SPACEBOY BIRTHDAY CARD</t>
        </is>
      </c>
      <c r="F1845" s="114" t="n">
        <v>12</v>
      </c>
      <c r="G1845" s="115" t="n">
        <v>0.42</v>
      </c>
      <c r="H1845" s="115" t="n">
        <v>5.04</v>
      </c>
      <c r="I1845" s="116" t="n">
        <v>40690</v>
      </c>
    </row>
    <row r="1846">
      <c r="A1846" s="117" t="inlineStr">
        <is>
          <t>554938</t>
        </is>
      </c>
      <c r="B1846" s="117" t="n">
        <v>12876</v>
      </c>
      <c r="C1846" s="117" t="inlineStr">
        <is>
          <t>Belgium</t>
        </is>
      </c>
      <c r="D1846" s="117" t="inlineStr">
        <is>
          <t>22965</t>
        </is>
      </c>
      <c r="E1846" s="117" t="inlineStr">
        <is>
          <t>3 TRADITIONAl BISCUIT CUTTERS  SET</t>
        </is>
      </c>
      <c r="F1846" s="117" t="n">
        <v>6</v>
      </c>
      <c r="G1846" s="118" t="n">
        <v>2.1</v>
      </c>
      <c r="H1846" s="118" t="n">
        <v>12.6</v>
      </c>
      <c r="I1846" s="119" t="n">
        <v>40690</v>
      </c>
    </row>
    <row r="1847">
      <c r="A1847" s="114" t="inlineStr">
        <is>
          <t>554948</t>
        </is>
      </c>
      <c r="B1847" s="114" t="n">
        <v>14447</v>
      </c>
      <c r="C1847" s="114" t="inlineStr">
        <is>
          <t>United Kingdom</t>
        </is>
      </c>
      <c r="D1847" s="114" t="inlineStr">
        <is>
          <t>22569</t>
        </is>
      </c>
      <c r="E1847" s="114" t="inlineStr">
        <is>
          <t>FELTCRAFT CUSHION BUTTERFLY</t>
        </is>
      </c>
      <c r="F1847" s="114" t="n">
        <v>4</v>
      </c>
      <c r="G1847" s="115" t="n">
        <v>3.75</v>
      </c>
      <c r="H1847" s="115" t="n">
        <v>15</v>
      </c>
      <c r="I1847" s="116" t="n">
        <v>40690</v>
      </c>
    </row>
    <row r="1848">
      <c r="A1848" s="117" t="inlineStr">
        <is>
          <t>554949</t>
        </is>
      </c>
      <c r="B1848" s="117" t="n">
        <v>14092</v>
      </c>
      <c r="C1848" s="117" t="inlineStr">
        <is>
          <t>United Kingdom</t>
        </is>
      </c>
      <c r="D1848" s="117" t="inlineStr">
        <is>
          <t>22629</t>
        </is>
      </c>
      <c r="E1848" s="117" t="inlineStr">
        <is>
          <t xml:space="preserve">SPACEBOY LUNCH BOX </t>
        </is>
      </c>
      <c r="F1848" s="117" t="n">
        <v>12</v>
      </c>
      <c r="G1848" s="118" t="n">
        <v>1.95</v>
      </c>
      <c r="H1848" s="118" t="n">
        <v>23.4</v>
      </c>
      <c r="I1848" s="119" t="n">
        <v>40690</v>
      </c>
    </row>
    <row r="1849">
      <c r="A1849" s="114" t="inlineStr">
        <is>
          <t>554950</t>
        </is>
      </c>
      <c r="B1849" s="114" t="n">
        <v>14227</v>
      </c>
      <c r="C1849" s="114" t="inlineStr">
        <is>
          <t>United Kingdom</t>
        </is>
      </c>
      <c r="D1849" s="114" t="inlineStr">
        <is>
          <t>22674</t>
        </is>
      </c>
      <c r="E1849" s="114" t="inlineStr">
        <is>
          <t>FRENCH TOILET SIGN BLUE METAL</t>
        </is>
      </c>
      <c r="F1849" s="114" t="n">
        <v>12</v>
      </c>
      <c r="G1849" s="115" t="n">
        <v>1.25</v>
      </c>
      <c r="H1849" s="115" t="n">
        <v>15</v>
      </c>
      <c r="I1849" s="116" t="n">
        <v>40690</v>
      </c>
    </row>
    <row r="1850">
      <c r="A1850" s="117" t="inlineStr">
        <is>
          <t>554954</t>
        </is>
      </c>
      <c r="B1850" s="117" t="n">
        <v>14227</v>
      </c>
      <c r="C1850" s="117" t="inlineStr">
        <is>
          <t>United Kingdom</t>
        </is>
      </c>
      <c r="D1850" s="117" t="inlineStr">
        <is>
          <t>23203</t>
        </is>
      </c>
      <c r="E1850" s="117" t="inlineStr">
        <is>
          <t>JUMBO BAG DOILEY PATTERNS</t>
        </is>
      </c>
      <c r="F1850" s="117" t="n">
        <v>10</v>
      </c>
      <c r="G1850" s="118" t="n">
        <v>1.95</v>
      </c>
      <c r="H1850" s="118" t="n">
        <v>19.5</v>
      </c>
      <c r="I1850" s="119" t="n">
        <v>40690</v>
      </c>
    </row>
    <row r="1851">
      <c r="A1851" s="114" t="inlineStr">
        <is>
          <t>554981</t>
        </is>
      </c>
      <c r="B1851" s="114" t="n">
        <v>17613</v>
      </c>
      <c r="C1851" s="114" t="inlineStr">
        <is>
          <t>United Kingdom</t>
        </is>
      </c>
      <c r="D1851" s="114" t="inlineStr">
        <is>
          <t>22411</t>
        </is>
      </c>
      <c r="E1851" s="114" t="inlineStr">
        <is>
          <t>JUMBO SHOPPER VINTAGE RED PAISLEY</t>
        </is>
      </c>
      <c r="F1851" s="114" t="n">
        <v>3</v>
      </c>
      <c r="G1851" s="115" t="n">
        <v>2.08</v>
      </c>
      <c r="H1851" s="115" t="n">
        <v>6.24</v>
      </c>
      <c r="I1851" s="116" t="n">
        <v>40692</v>
      </c>
    </row>
    <row r="1852">
      <c r="A1852" s="117" t="inlineStr">
        <is>
          <t>554981</t>
        </is>
      </c>
      <c r="B1852" s="117" t="n">
        <v>17613</v>
      </c>
      <c r="C1852" s="117" t="inlineStr">
        <is>
          <t>United Kingdom</t>
        </is>
      </c>
      <c r="D1852" s="117" t="inlineStr">
        <is>
          <t>21933</t>
        </is>
      </c>
      <c r="E1852" s="117" t="inlineStr">
        <is>
          <t>PINK VINTAGE PAISLEY PICNIC BAG</t>
        </is>
      </c>
      <c r="F1852" s="117" t="n">
        <v>10</v>
      </c>
      <c r="G1852" s="118" t="n">
        <v>1.65</v>
      </c>
      <c r="H1852" s="118" t="n">
        <v>16.5</v>
      </c>
      <c r="I1852" s="119" t="n">
        <v>40692</v>
      </c>
    </row>
    <row r="1853">
      <c r="A1853" s="114" t="inlineStr">
        <is>
          <t>554986</t>
        </is>
      </c>
      <c r="B1853" s="114" t="n">
        <v>14451</v>
      </c>
      <c r="C1853" s="114" t="inlineStr">
        <is>
          <t>United Kingdom</t>
        </is>
      </c>
      <c r="D1853" s="114" t="inlineStr">
        <is>
          <t>20728</t>
        </is>
      </c>
      <c r="E1853" s="114" t="inlineStr">
        <is>
          <t>LUNCH BAG CARS BLUE</t>
        </is>
      </c>
      <c r="F1853" s="114" t="n">
        <v>4</v>
      </c>
      <c r="G1853" s="115" t="n">
        <v>1.65</v>
      </c>
      <c r="H1853" s="115" t="n">
        <v>6.6</v>
      </c>
      <c r="I1853" s="116" t="n">
        <v>40692</v>
      </c>
    </row>
    <row r="1854">
      <c r="A1854" s="117" t="inlineStr">
        <is>
          <t>554989</t>
        </is>
      </c>
      <c r="B1854" s="117" t="n">
        <v>15897</v>
      </c>
      <c r="C1854" s="117" t="inlineStr">
        <is>
          <t>United Kingdom</t>
        </is>
      </c>
      <c r="D1854" s="117" t="inlineStr">
        <is>
          <t>22429</t>
        </is>
      </c>
      <c r="E1854" s="117" t="inlineStr">
        <is>
          <t>ENAMEL MEASURING JUG CREAM</t>
        </is>
      </c>
      <c r="F1854" s="117" t="n">
        <v>1</v>
      </c>
      <c r="G1854" s="118" t="n">
        <v>4.25</v>
      </c>
      <c r="H1854" s="118" t="n">
        <v>4.25</v>
      </c>
      <c r="I1854" s="119" t="n">
        <v>40692</v>
      </c>
    </row>
    <row r="1855">
      <c r="A1855" s="114" t="inlineStr">
        <is>
          <t>554991</t>
        </is>
      </c>
      <c r="B1855" s="114" t="n">
        <v>14823</v>
      </c>
      <c r="C1855" s="114" t="inlineStr">
        <is>
          <t>United Kingdom</t>
        </is>
      </c>
      <c r="D1855" s="114" t="inlineStr">
        <is>
          <t>22188</t>
        </is>
      </c>
      <c r="E1855" s="114" t="inlineStr">
        <is>
          <t>BLACK HEART CARD HOLDER</t>
        </is>
      </c>
      <c r="F1855" s="114" t="n">
        <v>1</v>
      </c>
      <c r="G1855" s="115" t="n">
        <v>3.95</v>
      </c>
      <c r="H1855" s="115" t="n">
        <v>3.95</v>
      </c>
      <c r="I1855" s="116" t="n">
        <v>40692</v>
      </c>
    </row>
    <row r="1856">
      <c r="A1856" s="117" t="inlineStr">
        <is>
          <t>555009</t>
        </is>
      </c>
      <c r="B1856" s="117" t="n">
        <v>17340</v>
      </c>
      <c r="C1856" s="117" t="inlineStr">
        <is>
          <t>United Kingdom</t>
        </is>
      </c>
      <c r="D1856" s="117" t="inlineStr">
        <is>
          <t>84949</t>
        </is>
      </c>
      <c r="E1856" s="117" t="inlineStr">
        <is>
          <t>SILVER HANGING T-LIGHT HOLDER</t>
        </is>
      </c>
      <c r="F1856" s="117" t="n">
        <v>30</v>
      </c>
      <c r="G1856" s="118" t="n">
        <v>1.65</v>
      </c>
      <c r="H1856" s="118" t="n">
        <v>49.5</v>
      </c>
      <c r="I1856" s="119" t="n">
        <v>40694</v>
      </c>
    </row>
    <row r="1857">
      <c r="A1857" s="114" t="inlineStr">
        <is>
          <t>555012</t>
        </is>
      </c>
      <c r="B1857" s="114" t="n">
        <v>16814</v>
      </c>
      <c r="C1857" s="114" t="inlineStr">
        <is>
          <t>United Kingdom</t>
        </is>
      </c>
      <c r="D1857" s="114" t="inlineStr">
        <is>
          <t>21671</t>
        </is>
      </c>
      <c r="E1857" s="114" t="inlineStr">
        <is>
          <t>RED SPOT CERAMIC DRAWER KNOB</t>
        </is>
      </c>
      <c r="F1857" s="114" t="n">
        <v>12</v>
      </c>
      <c r="G1857" s="115" t="n">
        <v>1.25</v>
      </c>
      <c r="H1857" s="115" t="n">
        <v>15</v>
      </c>
      <c r="I1857" s="116" t="n">
        <v>40694</v>
      </c>
    </row>
    <row r="1858">
      <c r="A1858" s="117" t="inlineStr">
        <is>
          <t>555016</t>
        </is>
      </c>
      <c r="B1858" s="117" t="n">
        <v>13113</v>
      </c>
      <c r="C1858" s="117" t="inlineStr">
        <is>
          <t>United Kingdom</t>
        </is>
      </c>
      <c r="D1858" s="117" t="inlineStr">
        <is>
          <t>23206</t>
        </is>
      </c>
      <c r="E1858" s="117" t="inlineStr">
        <is>
          <t>LUNCH BAG APPLE DESIGN</t>
        </is>
      </c>
      <c r="F1858" s="117" t="n">
        <v>10</v>
      </c>
      <c r="G1858" s="118" t="n">
        <v>1.65</v>
      </c>
      <c r="H1858" s="118" t="n">
        <v>16.5</v>
      </c>
      <c r="I1858" s="119" t="n">
        <v>40694</v>
      </c>
    </row>
    <row r="1859">
      <c r="A1859" s="114" t="inlineStr">
        <is>
          <t>555076</t>
        </is>
      </c>
      <c r="B1859" s="114" t="n">
        <v>13900</v>
      </c>
      <c r="C1859" s="114" t="inlineStr">
        <is>
          <t>United Kingdom</t>
        </is>
      </c>
      <c r="D1859" s="114" t="inlineStr">
        <is>
          <t>23284</t>
        </is>
      </c>
      <c r="E1859" s="114" t="inlineStr">
        <is>
          <t>DOORMAT KEEP CALM AND COME IN</t>
        </is>
      </c>
      <c r="F1859" s="114" t="n">
        <v>2</v>
      </c>
      <c r="G1859" s="115" t="n">
        <v>7.95</v>
      </c>
      <c r="H1859" s="115" t="n">
        <v>15.9</v>
      </c>
      <c r="I1859" s="116" t="n">
        <v>40694</v>
      </c>
    </row>
    <row r="1860">
      <c r="A1860" s="117" t="inlineStr">
        <is>
          <t>555094</t>
        </is>
      </c>
      <c r="B1860" s="117" t="n">
        <v>13398</v>
      </c>
      <c r="C1860" s="117" t="inlineStr">
        <is>
          <t>United Kingdom</t>
        </is>
      </c>
      <c r="D1860" s="117" t="inlineStr">
        <is>
          <t>84077</t>
        </is>
      </c>
      <c r="E1860" s="117" t="inlineStr">
        <is>
          <t>WORLD WAR 2 GLIDERS ASSTD DESIGNS</t>
        </is>
      </c>
      <c r="F1860" s="117" t="n">
        <v>48</v>
      </c>
      <c r="G1860" s="118" t="n">
        <v>0.29</v>
      </c>
      <c r="H1860" s="118" t="n">
        <v>13.92</v>
      </c>
      <c r="I1860" s="119" t="n">
        <v>40694</v>
      </c>
    </row>
    <row r="1861">
      <c r="A1861" s="114" t="inlineStr">
        <is>
          <t>555109</t>
        </is>
      </c>
      <c r="B1861" s="114" t="n">
        <v>16023</v>
      </c>
      <c r="C1861" s="114" t="inlineStr">
        <is>
          <t>United Kingdom</t>
        </is>
      </c>
      <c r="D1861" s="114" t="inlineStr">
        <is>
          <t>22698</t>
        </is>
      </c>
      <c r="E1861" s="114" t="inlineStr">
        <is>
          <t>PINK REGENCY TEACUP AND SAUCER</t>
        </is>
      </c>
      <c r="F1861" s="114" t="n">
        <v>2</v>
      </c>
      <c r="G1861" s="115" t="n">
        <v>2.95</v>
      </c>
      <c r="H1861" s="115" t="n">
        <v>5.9</v>
      </c>
      <c r="I1861" s="116" t="n">
        <v>40694</v>
      </c>
    </row>
    <row r="1862">
      <c r="A1862" s="117" t="inlineStr">
        <is>
          <t>555111</t>
        </is>
      </c>
      <c r="B1862" s="117" t="n">
        <v>16434</v>
      </c>
      <c r="C1862" s="117" t="inlineStr">
        <is>
          <t>United Kingdom</t>
        </is>
      </c>
      <c r="D1862" s="117" t="inlineStr">
        <is>
          <t>22469</t>
        </is>
      </c>
      <c r="E1862" s="117" t="inlineStr">
        <is>
          <t>HEART OF WICKER SMALL</t>
        </is>
      </c>
      <c r="F1862" s="117" t="n">
        <v>6</v>
      </c>
      <c r="G1862" s="118" t="n">
        <v>1.65</v>
      </c>
      <c r="H1862" s="118" t="n">
        <v>9.9</v>
      </c>
      <c r="I1862" s="119" t="n">
        <v>40694</v>
      </c>
    </row>
    <row r="1863">
      <c r="A1863" s="114" t="inlineStr">
        <is>
          <t>555124</t>
        </is>
      </c>
      <c r="B1863" s="114" t="n">
        <v>18204</v>
      </c>
      <c r="C1863" s="114" t="inlineStr">
        <is>
          <t>United Kingdom</t>
        </is>
      </c>
      <c r="D1863" s="114" t="inlineStr">
        <is>
          <t>22892</t>
        </is>
      </c>
      <c r="E1863" s="114" t="inlineStr">
        <is>
          <t>SET OF SALT AND PEPPER TOADSTOOLS</t>
        </is>
      </c>
      <c r="F1863" s="114" t="n">
        <v>6</v>
      </c>
      <c r="G1863" s="115" t="n">
        <v>1.25</v>
      </c>
      <c r="H1863" s="115" t="n">
        <v>7.5</v>
      </c>
      <c r="I1863" s="116" t="n">
        <v>40694</v>
      </c>
    </row>
    <row r="1864">
      <c r="A1864" s="117" t="inlineStr">
        <is>
          <t>555124</t>
        </is>
      </c>
      <c r="B1864" s="117" t="n">
        <v>18204</v>
      </c>
      <c r="C1864" s="117" t="inlineStr">
        <is>
          <t>United Kingdom</t>
        </is>
      </c>
      <c r="D1864" s="117" t="inlineStr">
        <is>
          <t>20972</t>
        </is>
      </c>
      <c r="E1864" s="117" t="inlineStr">
        <is>
          <t xml:space="preserve">PINK CREAM FELT CRAFT TRINKET BOX </t>
        </is>
      </c>
      <c r="F1864" s="117" t="n">
        <v>2</v>
      </c>
      <c r="G1864" s="118" t="n">
        <v>1.25</v>
      </c>
      <c r="H1864" s="118" t="n">
        <v>2.5</v>
      </c>
      <c r="I1864" s="119" t="n">
        <v>40694</v>
      </c>
    </row>
    <row r="1865">
      <c r="A1865" s="114" t="inlineStr">
        <is>
          <t>555124</t>
        </is>
      </c>
      <c r="B1865" s="114" t="n">
        <v>18204</v>
      </c>
      <c r="C1865" s="114" t="inlineStr">
        <is>
          <t>United Kingdom</t>
        </is>
      </c>
      <c r="D1865" s="114" t="inlineStr">
        <is>
          <t>85049E</t>
        </is>
      </c>
      <c r="E1865" s="114" t="inlineStr">
        <is>
          <t>SCANDINAVIAN REDS RIBBONS</t>
        </is>
      </c>
      <c r="F1865" s="114" t="n">
        <v>1</v>
      </c>
      <c r="G1865" s="115" t="n">
        <v>1.25</v>
      </c>
      <c r="H1865" s="115" t="n">
        <v>1.25</v>
      </c>
      <c r="I1865" s="116" t="n">
        <v>40694</v>
      </c>
    </row>
    <row r="1866">
      <c r="A1866" s="117" t="inlineStr">
        <is>
          <t>555124</t>
        </is>
      </c>
      <c r="B1866" s="117" t="n">
        <v>18204</v>
      </c>
      <c r="C1866" s="117" t="inlineStr">
        <is>
          <t>United Kingdom</t>
        </is>
      </c>
      <c r="D1866" s="117" t="inlineStr">
        <is>
          <t>21563</t>
        </is>
      </c>
      <c r="E1866" s="117" t="inlineStr">
        <is>
          <t xml:space="preserve">RED HEART SHAPE LOVE BUCKET </t>
        </is>
      </c>
      <c r="F1866" s="117" t="n">
        <v>1</v>
      </c>
      <c r="G1866" s="118" t="n">
        <v>2.95</v>
      </c>
      <c r="H1866" s="118" t="n">
        <v>2.95</v>
      </c>
      <c r="I1866" s="119" t="n">
        <v>40694</v>
      </c>
    </row>
    <row r="1867">
      <c r="A1867" s="114" t="inlineStr">
        <is>
          <t>555158</t>
        </is>
      </c>
      <c r="B1867" s="114" t="n">
        <v>14842</v>
      </c>
      <c r="C1867" s="114" t="inlineStr">
        <is>
          <t>United Kingdom</t>
        </is>
      </c>
      <c r="D1867" s="114" t="inlineStr">
        <is>
          <t>22179</t>
        </is>
      </c>
      <c r="E1867" s="114" t="inlineStr">
        <is>
          <t>SET 10 NIGHT OWL LIGHTS</t>
        </is>
      </c>
      <c r="F1867" s="114" t="n">
        <v>4</v>
      </c>
      <c r="G1867" s="115" t="n">
        <v>6.75</v>
      </c>
      <c r="H1867" s="115" t="n">
        <v>27</v>
      </c>
      <c r="I1867" s="116" t="n">
        <v>40695</v>
      </c>
    </row>
    <row r="1868">
      <c r="A1868" s="117" t="inlineStr">
        <is>
          <t>555164</t>
        </is>
      </c>
      <c r="B1868" s="117" t="n">
        <v>14646</v>
      </c>
      <c r="C1868" s="117" t="inlineStr">
        <is>
          <t>Netherlands</t>
        </is>
      </c>
      <c r="D1868" s="117" t="inlineStr">
        <is>
          <t>22326</t>
        </is>
      </c>
      <c r="E1868" s="117" t="inlineStr">
        <is>
          <t xml:space="preserve">ROUND SNACK BOXES SET OF4 WOODLAND </t>
        </is>
      </c>
      <c r="F1868" s="117" t="n">
        <v>240</v>
      </c>
      <c r="G1868" s="118" t="n">
        <v>2.55</v>
      </c>
      <c r="H1868" s="118" t="n">
        <v>612</v>
      </c>
      <c r="I1868" s="119" t="n">
        <v>40695</v>
      </c>
    </row>
    <row r="1869">
      <c r="A1869" s="114" t="inlineStr">
        <is>
          <t>555203</t>
        </is>
      </c>
      <c r="B1869" s="114" t="n">
        <v>17191</v>
      </c>
      <c r="C1869" s="114" t="inlineStr">
        <is>
          <t>United Kingdom</t>
        </is>
      </c>
      <c r="D1869" s="114" t="inlineStr">
        <is>
          <t>23107</t>
        </is>
      </c>
      <c r="E1869" s="114" t="inlineStr">
        <is>
          <t>WHITE HEARTS WIRE PLANT POT HOLDER</t>
        </is>
      </c>
      <c r="F1869" s="114" t="n">
        <v>8</v>
      </c>
      <c r="G1869" s="115" t="n">
        <v>2.89</v>
      </c>
      <c r="H1869" s="115" t="n">
        <v>23.12</v>
      </c>
      <c r="I1869" s="116" t="n">
        <v>40695</v>
      </c>
    </row>
    <row r="1870">
      <c r="A1870" s="117" t="inlineStr">
        <is>
          <t>555240</t>
        </is>
      </c>
      <c r="B1870" s="117" t="n">
        <v>15039</v>
      </c>
      <c r="C1870" s="117" t="inlineStr">
        <is>
          <t>United Kingdom</t>
        </is>
      </c>
      <c r="D1870" s="117" t="inlineStr">
        <is>
          <t>22316</t>
        </is>
      </c>
      <c r="E1870" s="117" t="inlineStr">
        <is>
          <t>200 BENDY SKULL STRAWS</t>
        </is>
      </c>
      <c r="F1870" s="117" t="n">
        <v>2</v>
      </c>
      <c r="G1870" s="118" t="n">
        <v>1.25</v>
      </c>
      <c r="H1870" s="118" t="n">
        <v>2.5</v>
      </c>
      <c r="I1870" s="119" t="n">
        <v>40695</v>
      </c>
    </row>
    <row r="1871">
      <c r="A1871" s="114" t="inlineStr">
        <is>
          <t>555240</t>
        </is>
      </c>
      <c r="B1871" s="114" t="n">
        <v>15039</v>
      </c>
      <c r="C1871" s="114" t="inlineStr">
        <is>
          <t>United Kingdom</t>
        </is>
      </c>
      <c r="D1871" s="114" t="inlineStr">
        <is>
          <t>47599B</t>
        </is>
      </c>
      <c r="E1871" s="114" t="inlineStr">
        <is>
          <t xml:space="preserve">BLUE PARTY BAGS </t>
        </is>
      </c>
      <c r="F1871" s="114" t="n">
        <v>3</v>
      </c>
      <c r="G1871" s="115" t="n">
        <v>2.1</v>
      </c>
      <c r="H1871" s="115" t="n">
        <v>6.3</v>
      </c>
      <c r="I1871" s="116" t="n">
        <v>40695</v>
      </c>
    </row>
    <row r="1872">
      <c r="A1872" s="117" t="inlineStr">
        <is>
          <t>555257</t>
        </is>
      </c>
      <c r="B1872" s="117" t="n">
        <v>17596</v>
      </c>
      <c r="C1872" s="117" t="inlineStr">
        <is>
          <t>United Kingdom</t>
        </is>
      </c>
      <c r="D1872" s="117" t="inlineStr">
        <is>
          <t>22085</t>
        </is>
      </c>
      <c r="E1872" s="117" t="inlineStr">
        <is>
          <t xml:space="preserve">PAPER CHAIN KIT SKULLS </t>
        </is>
      </c>
      <c r="F1872" s="117" t="n">
        <v>2</v>
      </c>
      <c r="G1872" s="118" t="n">
        <v>2.95</v>
      </c>
      <c r="H1872" s="118" t="n">
        <v>5.9</v>
      </c>
      <c r="I1872" s="119" t="n">
        <v>40695</v>
      </c>
    </row>
    <row r="1873">
      <c r="A1873" s="114" t="inlineStr">
        <is>
          <t>555260</t>
        </is>
      </c>
      <c r="B1873" s="114" t="n">
        <v>13263</v>
      </c>
      <c r="C1873" s="114" t="inlineStr">
        <is>
          <t>United Kingdom</t>
        </is>
      </c>
      <c r="D1873" s="114" t="inlineStr">
        <is>
          <t>21755</t>
        </is>
      </c>
      <c r="E1873" s="114" t="inlineStr">
        <is>
          <t>LOVE BUILDING BLOCK WORD</t>
        </is>
      </c>
      <c r="F1873" s="114" t="n">
        <v>1</v>
      </c>
      <c r="G1873" s="115" t="n">
        <v>5.95</v>
      </c>
      <c r="H1873" s="115" t="n">
        <v>5.95</v>
      </c>
      <c r="I1873" s="116" t="n">
        <v>40695</v>
      </c>
    </row>
    <row r="1874">
      <c r="A1874" s="117" t="inlineStr">
        <is>
          <t>555282</t>
        </is>
      </c>
      <c r="B1874" s="117" t="n">
        <v>12709</v>
      </c>
      <c r="C1874" s="117" t="inlineStr">
        <is>
          <t>Germany</t>
        </is>
      </c>
      <c r="D1874" s="117" t="inlineStr">
        <is>
          <t>22197</t>
        </is>
      </c>
      <c r="E1874" s="117" t="inlineStr">
        <is>
          <t>SMALL POPCORN HOLDER</t>
        </is>
      </c>
      <c r="F1874" s="117" t="n">
        <v>12</v>
      </c>
      <c r="G1874" s="118" t="n">
        <v>0.85</v>
      </c>
      <c r="H1874" s="118" t="n">
        <v>10.2</v>
      </c>
      <c r="I1874" s="119" t="n">
        <v>40696</v>
      </c>
    </row>
    <row r="1875">
      <c r="A1875" s="114" t="inlineStr">
        <is>
          <t>555289</t>
        </is>
      </c>
      <c r="B1875" s="114" t="n">
        <v>15078</v>
      </c>
      <c r="C1875" s="114" t="inlineStr">
        <is>
          <t>United Kingdom</t>
        </is>
      </c>
      <c r="D1875" s="114" t="inlineStr">
        <is>
          <t>23203</t>
        </is>
      </c>
      <c r="E1875" s="114" t="inlineStr">
        <is>
          <t>JUMBO BAG DOILEY PATTERNS</t>
        </is>
      </c>
      <c r="F1875" s="114" t="n">
        <v>20</v>
      </c>
      <c r="G1875" s="115" t="n">
        <v>2.08</v>
      </c>
      <c r="H1875" s="115" t="n">
        <v>41.6</v>
      </c>
      <c r="I1875" s="116" t="n">
        <v>40696</v>
      </c>
    </row>
    <row r="1876">
      <c r="A1876" s="117" t="inlineStr">
        <is>
          <t>555349</t>
        </is>
      </c>
      <c r="B1876" s="117" t="n">
        <v>16729</v>
      </c>
      <c r="C1876" s="117" t="inlineStr">
        <is>
          <t>United Kingdom</t>
        </is>
      </c>
      <c r="D1876" s="117" t="inlineStr">
        <is>
          <t>21746</t>
        </is>
      </c>
      <c r="E1876" s="117" t="inlineStr">
        <is>
          <t>SMALL RED RETROSPOT WINDMILL</t>
        </is>
      </c>
      <c r="F1876" s="117" t="n">
        <v>2</v>
      </c>
      <c r="G1876" s="118" t="n">
        <v>1.25</v>
      </c>
      <c r="H1876" s="118" t="n">
        <v>2.5</v>
      </c>
      <c r="I1876" s="119" t="n">
        <v>40696</v>
      </c>
    </row>
    <row r="1877">
      <c r="A1877" s="114" t="inlineStr">
        <is>
          <t>555350</t>
        </is>
      </c>
      <c r="B1877" s="114" t="n">
        <v>17652</v>
      </c>
      <c r="C1877" s="114" t="inlineStr">
        <is>
          <t>United Kingdom</t>
        </is>
      </c>
      <c r="D1877" s="114" t="inlineStr">
        <is>
          <t>22427</t>
        </is>
      </c>
      <c r="E1877" s="114" t="inlineStr">
        <is>
          <t>ENAMEL FLOWER JUG CREAM</t>
        </is>
      </c>
      <c r="F1877" s="114" t="n">
        <v>6</v>
      </c>
      <c r="G1877" s="115" t="n">
        <v>5.95</v>
      </c>
      <c r="H1877" s="115" t="n">
        <v>35.7</v>
      </c>
      <c r="I1877" s="116" t="n">
        <v>40696</v>
      </c>
    </row>
    <row r="1878">
      <c r="A1878" s="117" t="inlineStr">
        <is>
          <t>555350</t>
        </is>
      </c>
      <c r="B1878" s="117" t="n">
        <v>17652</v>
      </c>
      <c r="C1878" s="117" t="inlineStr">
        <is>
          <t>United Kingdom</t>
        </is>
      </c>
      <c r="D1878" s="117" t="inlineStr">
        <is>
          <t>21561</t>
        </is>
      </c>
      <c r="E1878" s="117" t="inlineStr">
        <is>
          <t>DINOSAUR LUNCH BOX WITH CUTLERY</t>
        </is>
      </c>
      <c r="F1878" s="117" t="n">
        <v>6</v>
      </c>
      <c r="G1878" s="118" t="n">
        <v>2.55</v>
      </c>
      <c r="H1878" s="118" t="n">
        <v>15.3</v>
      </c>
      <c r="I1878" s="119" t="n">
        <v>40696</v>
      </c>
    </row>
    <row r="1879">
      <c r="A1879" s="114" t="inlineStr">
        <is>
          <t>555350</t>
        </is>
      </c>
      <c r="B1879" s="114" t="n">
        <v>17652</v>
      </c>
      <c r="C1879" s="114" t="inlineStr">
        <is>
          <t>United Kingdom</t>
        </is>
      </c>
      <c r="D1879" s="114" t="inlineStr">
        <is>
          <t>22961</t>
        </is>
      </c>
      <c r="E1879" s="114" t="inlineStr">
        <is>
          <t>JAM MAKING SET PRINTED</t>
        </is>
      </c>
      <c r="F1879" s="114" t="n">
        <v>12</v>
      </c>
      <c r="G1879" s="115" t="n">
        <v>1.45</v>
      </c>
      <c r="H1879" s="115" t="n">
        <v>17.4</v>
      </c>
      <c r="I1879" s="116" t="n">
        <v>40696</v>
      </c>
    </row>
    <row r="1880">
      <c r="A1880" s="117" t="inlineStr">
        <is>
          <t>555350</t>
        </is>
      </c>
      <c r="B1880" s="117" t="n">
        <v>17652</v>
      </c>
      <c r="C1880" s="117" t="inlineStr">
        <is>
          <t>United Kingdom</t>
        </is>
      </c>
      <c r="D1880" s="117" t="inlineStr">
        <is>
          <t>84596B</t>
        </is>
      </c>
      <c r="E1880" s="117" t="inlineStr">
        <is>
          <t>SMALL DOLLY MIX DESIGN ORANGE BOWL</t>
        </is>
      </c>
      <c r="F1880" s="117" t="n">
        <v>16</v>
      </c>
      <c r="G1880" s="118" t="n">
        <v>0.42</v>
      </c>
      <c r="H1880" s="118" t="n">
        <v>6.72</v>
      </c>
      <c r="I1880" s="119" t="n">
        <v>40696</v>
      </c>
    </row>
    <row r="1881">
      <c r="A1881" s="114" t="inlineStr">
        <is>
          <t>555363</t>
        </is>
      </c>
      <c r="B1881" s="114" t="n">
        <v>14453</v>
      </c>
      <c r="C1881" s="114" t="inlineStr">
        <is>
          <t>United Kingdom</t>
        </is>
      </c>
      <c r="D1881" s="114" t="inlineStr">
        <is>
          <t>22483</t>
        </is>
      </c>
      <c r="E1881" s="114" t="inlineStr">
        <is>
          <t xml:space="preserve">RED GINGHAM TEDDY BEAR </t>
        </is>
      </c>
      <c r="F1881" s="114" t="n">
        <v>1</v>
      </c>
      <c r="G1881" s="115" t="n">
        <v>2.95</v>
      </c>
      <c r="H1881" s="115" t="n">
        <v>2.95</v>
      </c>
      <c r="I1881" s="116" t="n">
        <v>40696</v>
      </c>
    </row>
    <row r="1882">
      <c r="A1882" s="117" t="inlineStr">
        <is>
          <t>555383</t>
        </is>
      </c>
      <c r="B1882" s="117" t="n">
        <v>12517</v>
      </c>
      <c r="C1882" s="117" t="inlineStr">
        <is>
          <t>Germany</t>
        </is>
      </c>
      <c r="D1882" s="117" t="inlineStr">
        <is>
          <t>22150</t>
        </is>
      </c>
      <c r="E1882" s="117" t="inlineStr">
        <is>
          <t>3 STRIPEY MICE FELTCRAFT</t>
        </is>
      </c>
      <c r="F1882" s="117" t="n">
        <v>2</v>
      </c>
      <c r="G1882" s="118" t="n">
        <v>1.95</v>
      </c>
      <c r="H1882" s="118" t="n">
        <v>3.9</v>
      </c>
      <c r="I1882" s="119" t="n">
        <v>40696</v>
      </c>
    </row>
    <row r="1883">
      <c r="A1883" s="114" t="inlineStr">
        <is>
          <t>555393</t>
        </is>
      </c>
      <c r="B1883" s="114" t="n">
        <v>14221</v>
      </c>
      <c r="C1883" s="114" t="inlineStr">
        <is>
          <t>United Kingdom</t>
        </is>
      </c>
      <c r="D1883" s="114" t="inlineStr">
        <is>
          <t>22297</t>
        </is>
      </c>
      <c r="E1883" s="114" t="inlineStr">
        <is>
          <t>HEART IVORY TRELLIS SMALL</t>
        </is>
      </c>
      <c r="F1883" s="114" t="n">
        <v>24</v>
      </c>
      <c r="G1883" s="115" t="n">
        <v>1.25</v>
      </c>
      <c r="H1883" s="115" t="n">
        <v>30</v>
      </c>
      <c r="I1883" s="116" t="n">
        <v>40696</v>
      </c>
    </row>
    <row r="1884">
      <c r="A1884" s="117" t="inlineStr">
        <is>
          <t>555401</t>
        </is>
      </c>
      <c r="B1884" s="117" t="n">
        <v>14088</v>
      </c>
      <c r="C1884" s="117" t="inlineStr">
        <is>
          <t>United Kingdom</t>
        </is>
      </c>
      <c r="D1884" s="117" t="inlineStr">
        <is>
          <t>23107</t>
        </is>
      </c>
      <c r="E1884" s="117" t="inlineStr">
        <is>
          <t>WHITE HEARTS WIRE PLANT POT HOLDER</t>
        </is>
      </c>
      <c r="F1884" s="117" t="n">
        <v>2</v>
      </c>
      <c r="G1884" s="118" t="n">
        <v>2.49</v>
      </c>
      <c r="H1884" s="118" t="n">
        <v>4.98</v>
      </c>
      <c r="I1884" s="119" t="n">
        <v>40696</v>
      </c>
    </row>
    <row r="1885">
      <c r="A1885" s="114" t="inlineStr">
        <is>
          <t>555406</t>
        </is>
      </c>
      <c r="B1885" s="114" t="n">
        <v>17231</v>
      </c>
      <c r="C1885" s="114" t="inlineStr">
        <is>
          <t>United Kingdom</t>
        </is>
      </c>
      <c r="D1885" s="114" t="inlineStr">
        <is>
          <t>21403</t>
        </is>
      </c>
      <c r="E1885" s="114" t="inlineStr">
        <is>
          <t>BLUE EGG  SPOON</t>
        </is>
      </c>
      <c r="F1885" s="114" t="n">
        <v>6</v>
      </c>
      <c r="G1885" s="115" t="n">
        <v>0.12</v>
      </c>
      <c r="H1885" s="115" t="n">
        <v>0.72</v>
      </c>
      <c r="I1885" s="116" t="n">
        <v>40696</v>
      </c>
    </row>
    <row r="1886">
      <c r="A1886" s="117" t="inlineStr">
        <is>
          <t>555418</t>
        </is>
      </c>
      <c r="B1886" s="117" t="n">
        <v>15498</v>
      </c>
      <c r="C1886" s="117" t="inlineStr">
        <is>
          <t>United Kingdom</t>
        </is>
      </c>
      <c r="D1886" s="117" t="inlineStr">
        <is>
          <t>22766</t>
        </is>
      </c>
      <c r="E1886" s="117" t="inlineStr">
        <is>
          <t>PHOTO FRAME CORNICE</t>
        </is>
      </c>
      <c r="F1886" s="117" t="n">
        <v>8</v>
      </c>
      <c r="G1886" s="118" t="n">
        <v>2.95</v>
      </c>
      <c r="H1886" s="118" t="n">
        <v>23.6</v>
      </c>
      <c r="I1886" s="119" t="n">
        <v>40697</v>
      </c>
    </row>
    <row r="1887">
      <c r="A1887" s="114" t="inlineStr">
        <is>
          <t>555420</t>
        </is>
      </c>
      <c r="B1887" s="114" t="n">
        <v>13458</v>
      </c>
      <c r="C1887" s="114" t="inlineStr">
        <is>
          <t>United Kingdom</t>
        </is>
      </c>
      <c r="D1887" s="114" t="inlineStr">
        <is>
          <t>22150</t>
        </is>
      </c>
      <c r="E1887" s="114" t="inlineStr">
        <is>
          <t>3 STRIPEY MICE FELTCRAFT</t>
        </is>
      </c>
      <c r="F1887" s="114" t="n">
        <v>6</v>
      </c>
      <c r="G1887" s="115" t="n">
        <v>1.95</v>
      </c>
      <c r="H1887" s="115" t="n">
        <v>11.7</v>
      </c>
      <c r="I1887" s="116" t="n">
        <v>40697</v>
      </c>
    </row>
    <row r="1888">
      <c r="A1888" s="117" t="inlineStr">
        <is>
          <t>555471</t>
        </is>
      </c>
      <c r="B1888" s="117" t="n">
        <v>16117</v>
      </c>
      <c r="C1888" s="117" t="inlineStr">
        <is>
          <t>United Kingdom</t>
        </is>
      </c>
      <c r="D1888" s="117" t="inlineStr">
        <is>
          <t>85123A</t>
        </is>
      </c>
      <c r="E1888" s="117" t="inlineStr">
        <is>
          <t>WHITE HANGING HEART T-LIGHT HOLDER</t>
        </is>
      </c>
      <c r="F1888" s="117" t="n">
        <v>5</v>
      </c>
      <c r="G1888" s="118" t="n">
        <v>2.95</v>
      </c>
      <c r="H1888" s="118" t="n">
        <v>14.75</v>
      </c>
      <c r="I1888" s="119" t="n">
        <v>40697</v>
      </c>
    </row>
    <row r="1889">
      <c r="A1889" s="114" t="inlineStr">
        <is>
          <t>555488</t>
        </is>
      </c>
      <c r="B1889" s="114" t="n">
        <v>16942</v>
      </c>
      <c r="C1889" s="114" t="inlineStr">
        <is>
          <t>United Kingdom</t>
        </is>
      </c>
      <c r="D1889" s="114" t="inlineStr">
        <is>
          <t>23203</t>
        </is>
      </c>
      <c r="E1889" s="114" t="inlineStr">
        <is>
          <t>JUMBO BAG DOILEY PATTERNS</t>
        </is>
      </c>
      <c r="F1889" s="114" t="n">
        <v>2</v>
      </c>
      <c r="G1889" s="115" t="n">
        <v>2.08</v>
      </c>
      <c r="H1889" s="115" t="n">
        <v>4.16</v>
      </c>
      <c r="I1889" s="116" t="n">
        <v>40697</v>
      </c>
    </row>
    <row r="1890">
      <c r="A1890" s="117" t="inlineStr">
        <is>
          <t>555497</t>
        </is>
      </c>
      <c r="B1890" s="117" t="n">
        <v>16659</v>
      </c>
      <c r="C1890" s="117" t="inlineStr">
        <is>
          <t>United Kingdom</t>
        </is>
      </c>
      <c r="D1890" s="117" t="inlineStr">
        <is>
          <t>21090</t>
        </is>
      </c>
      <c r="E1890" s="117" t="inlineStr">
        <is>
          <t>SET/6 COLLAGE PAPER PLATES</t>
        </is>
      </c>
      <c r="F1890" s="117" t="n">
        <v>48</v>
      </c>
      <c r="G1890" s="118" t="n">
        <v>0.39</v>
      </c>
      <c r="H1890" s="118" t="n">
        <v>18.72</v>
      </c>
      <c r="I1890" s="119" t="n">
        <v>40697</v>
      </c>
    </row>
    <row r="1891">
      <c r="A1891" s="114" t="inlineStr">
        <is>
          <t>555501</t>
        </is>
      </c>
      <c r="B1891" s="114" t="n">
        <v>15508</v>
      </c>
      <c r="C1891" s="114" t="inlineStr">
        <is>
          <t>United Kingdom</t>
        </is>
      </c>
      <c r="D1891" s="114" t="inlineStr">
        <is>
          <t>23170</t>
        </is>
      </c>
      <c r="E1891" s="114" t="inlineStr">
        <is>
          <t xml:space="preserve">REGENCY TEA PLATE ROSES </t>
        </is>
      </c>
      <c r="F1891" s="114" t="n">
        <v>3</v>
      </c>
      <c r="G1891" s="115" t="n">
        <v>1.65</v>
      </c>
      <c r="H1891" s="115" t="n">
        <v>4.95</v>
      </c>
      <c r="I1891" s="116" t="n">
        <v>40697</v>
      </c>
    </row>
    <row r="1892">
      <c r="A1892" s="117" t="inlineStr">
        <is>
          <t>555508</t>
        </is>
      </c>
      <c r="B1892" s="117" t="n">
        <v>16880</v>
      </c>
      <c r="C1892" s="117" t="inlineStr">
        <is>
          <t>United Kingdom</t>
        </is>
      </c>
      <c r="D1892" s="117" t="inlineStr">
        <is>
          <t>21172</t>
        </is>
      </c>
      <c r="E1892" s="117" t="inlineStr">
        <is>
          <t xml:space="preserve">PARTY METAL SIGN </t>
        </is>
      </c>
      <c r="F1892" s="117" t="n">
        <v>9</v>
      </c>
      <c r="G1892" s="118" t="n">
        <v>1.45</v>
      </c>
      <c r="H1892" s="118" t="n">
        <v>13.05</v>
      </c>
      <c r="I1892" s="119" t="n">
        <v>40697</v>
      </c>
    </row>
    <row r="1893">
      <c r="A1893" s="114" t="inlineStr">
        <is>
          <t>555515</t>
        </is>
      </c>
      <c r="B1893" s="114" t="n">
        <v>17690</v>
      </c>
      <c r="C1893" s="114" t="inlineStr">
        <is>
          <t>United Kingdom</t>
        </is>
      </c>
      <c r="D1893" s="114" t="inlineStr">
        <is>
          <t>23282</t>
        </is>
      </c>
      <c r="E1893" s="114" t="inlineStr">
        <is>
          <t xml:space="preserve">FOLDING BUTTERFLY MIRROR IVORY </t>
        </is>
      </c>
      <c r="F1893" s="114" t="n">
        <v>12</v>
      </c>
      <c r="G1893" s="115" t="n">
        <v>0.83</v>
      </c>
      <c r="H1893" s="115" t="n">
        <v>9.960000000000001</v>
      </c>
      <c r="I1893" s="116" t="n">
        <v>40699</v>
      </c>
    </row>
    <row r="1894">
      <c r="A1894" s="117" t="inlineStr">
        <is>
          <t>555518</t>
        </is>
      </c>
      <c r="B1894" s="117" t="n">
        <v>14891</v>
      </c>
      <c r="C1894" s="117" t="inlineStr">
        <is>
          <t>United Kingdom</t>
        </is>
      </c>
      <c r="D1894" s="117" t="inlineStr">
        <is>
          <t>21576</t>
        </is>
      </c>
      <c r="E1894" s="117" t="inlineStr">
        <is>
          <t>LETS GO SHOPPING COTTON TOTE BAG</t>
        </is>
      </c>
      <c r="F1894" s="117" t="n">
        <v>6</v>
      </c>
      <c r="G1894" s="118" t="n">
        <v>2.25</v>
      </c>
      <c r="H1894" s="118" t="n">
        <v>13.5</v>
      </c>
      <c r="I1894" s="119" t="n">
        <v>40699</v>
      </c>
    </row>
    <row r="1895">
      <c r="A1895" s="114" t="inlineStr">
        <is>
          <t>555520</t>
        </is>
      </c>
      <c r="B1895" s="114" t="n">
        <v>15038</v>
      </c>
      <c r="C1895" s="114" t="inlineStr">
        <is>
          <t>United Kingdom</t>
        </is>
      </c>
      <c r="D1895" s="114" t="inlineStr">
        <is>
          <t>22487</t>
        </is>
      </c>
      <c r="E1895" s="114" t="inlineStr">
        <is>
          <t>WHITE WOOD GARDEN PLANT LADDER</t>
        </is>
      </c>
      <c r="F1895" s="114" t="n">
        <v>1</v>
      </c>
      <c r="G1895" s="115" t="n">
        <v>9.949999999999999</v>
      </c>
      <c r="H1895" s="115" t="n">
        <v>9.949999999999999</v>
      </c>
      <c r="I1895" s="116" t="n">
        <v>40699</v>
      </c>
    </row>
    <row r="1896">
      <c r="A1896" s="117" t="inlineStr">
        <is>
          <t>555524</t>
        </is>
      </c>
      <c r="B1896" s="117" t="n">
        <v>16923</v>
      </c>
      <c r="C1896" s="117" t="inlineStr">
        <is>
          <t>United Kingdom</t>
        </is>
      </c>
      <c r="D1896" s="117" t="inlineStr">
        <is>
          <t>22776</t>
        </is>
      </c>
      <c r="E1896" s="117" t="inlineStr">
        <is>
          <t>SWEETHEART CAKESTAND 3 TIER</t>
        </is>
      </c>
      <c r="F1896" s="117" t="n">
        <v>1</v>
      </c>
      <c r="G1896" s="118" t="n">
        <v>9.949999999999999</v>
      </c>
      <c r="H1896" s="118" t="n">
        <v>9.949999999999999</v>
      </c>
      <c r="I1896" s="119" t="n">
        <v>40699</v>
      </c>
    </row>
    <row r="1897">
      <c r="A1897" s="114" t="inlineStr">
        <is>
          <t>555524</t>
        </is>
      </c>
      <c r="B1897" s="114" t="n">
        <v>16923</v>
      </c>
      <c r="C1897" s="114" t="inlineStr">
        <is>
          <t>United Kingdom</t>
        </is>
      </c>
      <c r="D1897" s="114" t="inlineStr">
        <is>
          <t>21155</t>
        </is>
      </c>
      <c r="E1897" s="114" t="inlineStr">
        <is>
          <t>RED RETROSPOT PEG BAG</t>
        </is>
      </c>
      <c r="F1897" s="114" t="n">
        <v>1</v>
      </c>
      <c r="G1897" s="115" t="n">
        <v>2.55</v>
      </c>
      <c r="H1897" s="115" t="n">
        <v>2.55</v>
      </c>
      <c r="I1897" s="116" t="n">
        <v>40699</v>
      </c>
    </row>
    <row r="1898">
      <c r="A1898" s="117" t="inlineStr">
        <is>
          <t>555535</t>
        </is>
      </c>
      <c r="B1898" s="117" t="n">
        <v>16458</v>
      </c>
      <c r="C1898" s="117" t="inlineStr">
        <is>
          <t>United Kingdom</t>
        </is>
      </c>
      <c r="D1898" s="117" t="inlineStr">
        <is>
          <t>20724</t>
        </is>
      </c>
      <c r="E1898" s="117" t="inlineStr">
        <is>
          <t>RED RETROSPOT CHARLOTTE BAG</t>
        </is>
      </c>
      <c r="F1898" s="117" t="n">
        <v>10</v>
      </c>
      <c r="G1898" s="118" t="n">
        <v>0.85</v>
      </c>
      <c r="H1898" s="118" t="n">
        <v>8.5</v>
      </c>
      <c r="I1898" s="119" t="n">
        <v>40699</v>
      </c>
    </row>
    <row r="1899">
      <c r="A1899" s="114" t="inlineStr">
        <is>
          <t>555538</t>
        </is>
      </c>
      <c r="B1899" s="114" t="n">
        <v>14512</v>
      </c>
      <c r="C1899" s="114" t="inlineStr">
        <is>
          <t>United Kingdom</t>
        </is>
      </c>
      <c r="D1899" s="114" t="inlineStr">
        <is>
          <t>21135</t>
        </is>
      </c>
      <c r="E1899" s="114" t="inlineStr">
        <is>
          <t>VICTORIAN  METAL POSTCARD SPRING</t>
        </is>
      </c>
      <c r="F1899" s="114" t="n">
        <v>10</v>
      </c>
      <c r="G1899" s="115" t="n">
        <v>1.69</v>
      </c>
      <c r="H1899" s="115" t="n">
        <v>16.9</v>
      </c>
      <c r="I1899" s="116" t="n">
        <v>40699</v>
      </c>
    </row>
    <row r="1900">
      <c r="A1900" s="117" t="inlineStr">
        <is>
          <t>555542</t>
        </is>
      </c>
      <c r="B1900" s="117" t="n">
        <v>15108</v>
      </c>
      <c r="C1900" s="117" t="inlineStr">
        <is>
          <t>European Community</t>
        </is>
      </c>
      <c r="D1900" s="117" t="inlineStr">
        <is>
          <t>22843</t>
        </is>
      </c>
      <c r="E1900" s="117" t="inlineStr">
        <is>
          <t>BISCUIT TIN VINTAGE GREEN</t>
        </is>
      </c>
      <c r="F1900" s="117" t="n">
        <v>6</v>
      </c>
      <c r="G1900" s="118" t="n">
        <v>6.75</v>
      </c>
      <c r="H1900" s="118" t="n">
        <v>40.5</v>
      </c>
      <c r="I1900" s="119" t="n">
        <v>40699</v>
      </c>
    </row>
    <row r="1901">
      <c r="A1901" s="114" t="inlineStr">
        <is>
          <t>555551</t>
        </is>
      </c>
      <c r="B1901" s="114" t="n">
        <v>14696</v>
      </c>
      <c r="C1901" s="114" t="inlineStr">
        <is>
          <t>United Kingdom</t>
        </is>
      </c>
      <c r="D1901" s="114" t="inlineStr">
        <is>
          <t>85132B</t>
        </is>
      </c>
      <c r="E1901" s="114" t="inlineStr">
        <is>
          <t>CHARLIE AND LOLA TABLE TINS</t>
        </is>
      </c>
      <c r="F1901" s="114" t="n">
        <v>12</v>
      </c>
      <c r="G1901" s="115" t="n">
        <v>1.95</v>
      </c>
      <c r="H1901" s="115" t="n">
        <v>23.4</v>
      </c>
      <c r="I1901" s="116" t="n">
        <v>40699</v>
      </c>
    </row>
    <row r="1902">
      <c r="A1902" s="117" t="inlineStr">
        <is>
          <t>555551</t>
        </is>
      </c>
      <c r="B1902" s="117" t="n">
        <v>14696</v>
      </c>
      <c r="C1902" s="117" t="inlineStr">
        <is>
          <t>United Kingdom</t>
        </is>
      </c>
      <c r="D1902" s="117" t="inlineStr">
        <is>
          <t>85159A</t>
        </is>
      </c>
      <c r="E1902" s="117" t="inlineStr">
        <is>
          <t>BLACK TEA,COFFEE,SUGAR JARS</t>
        </is>
      </c>
      <c r="F1902" s="117" t="n">
        <v>12</v>
      </c>
      <c r="G1902" s="118" t="n">
        <v>1.95</v>
      </c>
      <c r="H1902" s="118" t="n">
        <v>23.4</v>
      </c>
      <c r="I1902" s="119" t="n">
        <v>40699</v>
      </c>
    </row>
    <row r="1903">
      <c r="A1903" s="114" t="inlineStr">
        <is>
          <t>555559</t>
        </is>
      </c>
      <c r="B1903" s="114" t="n">
        <v>13862</v>
      </c>
      <c r="C1903" s="114" t="inlineStr">
        <is>
          <t>United Kingdom</t>
        </is>
      </c>
      <c r="D1903" s="114" t="inlineStr">
        <is>
          <t>21936</t>
        </is>
      </c>
      <c r="E1903" s="114" t="inlineStr">
        <is>
          <t>RED RETROSPOT PICNIC BAG</t>
        </is>
      </c>
      <c r="F1903" s="114" t="n">
        <v>5</v>
      </c>
      <c r="G1903" s="115" t="n">
        <v>2.95</v>
      </c>
      <c r="H1903" s="115" t="n">
        <v>14.75</v>
      </c>
      <c r="I1903" s="116" t="n">
        <v>40699</v>
      </c>
    </row>
    <row r="1904">
      <c r="A1904" s="117" t="inlineStr">
        <is>
          <t>555570</t>
        </is>
      </c>
      <c r="B1904" s="117" t="n">
        <v>15152</v>
      </c>
      <c r="C1904" s="117" t="inlineStr">
        <is>
          <t>United Kingdom</t>
        </is>
      </c>
      <c r="D1904" s="117" t="inlineStr">
        <is>
          <t>22467</t>
        </is>
      </c>
      <c r="E1904" s="117" t="inlineStr">
        <is>
          <t>GUMBALL COAT RACK</t>
        </is>
      </c>
      <c r="F1904" s="117" t="n">
        <v>6</v>
      </c>
      <c r="G1904" s="118" t="n">
        <v>2.55</v>
      </c>
      <c r="H1904" s="118" t="n">
        <v>15.3</v>
      </c>
      <c r="I1904" s="119" t="n">
        <v>40699</v>
      </c>
    </row>
    <row r="1905">
      <c r="A1905" s="114" t="inlineStr">
        <is>
          <t>555573</t>
        </is>
      </c>
      <c r="B1905" s="114" t="n">
        <v>15349</v>
      </c>
      <c r="C1905" s="114" t="inlineStr">
        <is>
          <t>United Kingdom</t>
        </is>
      </c>
      <c r="D1905" s="114" t="inlineStr">
        <is>
          <t>22716</t>
        </is>
      </c>
      <c r="E1905" s="114" t="inlineStr">
        <is>
          <t>CARD CIRCUS PARADE</t>
        </is>
      </c>
      <c r="F1905" s="114" t="n">
        <v>12</v>
      </c>
      <c r="G1905" s="115" t="n">
        <v>0.42</v>
      </c>
      <c r="H1905" s="115" t="n">
        <v>5.04</v>
      </c>
      <c r="I1905" s="116" t="n">
        <v>40699</v>
      </c>
    </row>
    <row r="1906">
      <c r="A1906" s="117" t="inlineStr">
        <is>
          <t>555584</t>
        </is>
      </c>
      <c r="B1906" s="117" t="n">
        <v>16906</v>
      </c>
      <c r="C1906" s="117" t="inlineStr">
        <is>
          <t>United Kingdom</t>
        </is>
      </c>
      <c r="D1906" s="117" t="inlineStr">
        <is>
          <t>22915</t>
        </is>
      </c>
      <c r="E1906" s="117" t="inlineStr">
        <is>
          <t xml:space="preserve">ASSORTED BOTTLE TOP  MAGNETS </t>
        </is>
      </c>
      <c r="F1906" s="117" t="n">
        <v>12</v>
      </c>
      <c r="G1906" s="118" t="n">
        <v>0.42</v>
      </c>
      <c r="H1906" s="118" t="n">
        <v>5.04</v>
      </c>
      <c r="I1906" s="119" t="n">
        <v>40700</v>
      </c>
    </row>
    <row r="1907">
      <c r="A1907" s="114" t="inlineStr">
        <is>
          <t>555592</t>
        </is>
      </c>
      <c r="B1907" s="114" t="n">
        <v>14215</v>
      </c>
      <c r="C1907" s="114" t="inlineStr">
        <is>
          <t>United Kingdom</t>
        </is>
      </c>
      <c r="D1907" s="114" t="inlineStr">
        <is>
          <t>22326</t>
        </is>
      </c>
      <c r="E1907" s="114" t="inlineStr">
        <is>
          <t xml:space="preserve">ROUND SNACK BOXES SET OF4 WOODLAND </t>
        </is>
      </c>
      <c r="F1907" s="114" t="n">
        <v>6</v>
      </c>
      <c r="G1907" s="115" t="n">
        <v>2.95</v>
      </c>
      <c r="H1907" s="115" t="n">
        <v>17.7</v>
      </c>
      <c r="I1907" s="116" t="n">
        <v>40700</v>
      </c>
    </row>
    <row r="1908">
      <c r="A1908" s="117" t="inlineStr">
        <is>
          <t>555627</t>
        </is>
      </c>
      <c r="B1908" s="117" t="n">
        <v>15805</v>
      </c>
      <c r="C1908" s="117" t="inlineStr">
        <is>
          <t>United Kingdom</t>
        </is>
      </c>
      <c r="D1908" s="117" t="inlineStr">
        <is>
          <t>22610</t>
        </is>
      </c>
      <c r="E1908" s="117" t="inlineStr">
        <is>
          <t>PENS ASSORTED FUNNY FACE</t>
        </is>
      </c>
      <c r="F1908" s="117" t="n">
        <v>36</v>
      </c>
      <c r="G1908" s="118" t="n">
        <v>0.19</v>
      </c>
      <c r="H1908" s="118" t="n">
        <v>6.84</v>
      </c>
      <c r="I1908" s="119" t="n">
        <v>40700</v>
      </c>
    </row>
    <row r="1909">
      <c r="A1909" s="114" t="inlineStr">
        <is>
          <t>555630</t>
        </is>
      </c>
      <c r="B1909" s="114" t="n">
        <v>14732</v>
      </c>
      <c r="C1909" s="114" t="inlineStr">
        <is>
          <t>United Kingdom</t>
        </is>
      </c>
      <c r="D1909" s="114" t="inlineStr">
        <is>
          <t>21391</t>
        </is>
      </c>
      <c r="E1909" s="114" t="inlineStr">
        <is>
          <t>FRENCH LAVENDER SCENT HEART</t>
        </is>
      </c>
      <c r="F1909" s="114" t="n">
        <v>12</v>
      </c>
      <c r="G1909" s="115" t="n">
        <v>0.75</v>
      </c>
      <c r="H1909" s="115" t="n">
        <v>9</v>
      </c>
      <c r="I1909" s="116" t="n">
        <v>40700</v>
      </c>
    </row>
    <row r="1910">
      <c r="A1910" s="117" t="inlineStr">
        <is>
          <t>555638</t>
        </is>
      </c>
      <c r="B1910" s="117" t="n">
        <v>15150</v>
      </c>
      <c r="C1910" s="117" t="inlineStr">
        <is>
          <t>United Kingdom</t>
        </is>
      </c>
      <c r="D1910" s="117" t="inlineStr">
        <is>
          <t>21497</t>
        </is>
      </c>
      <c r="E1910" s="117" t="inlineStr">
        <is>
          <t>FANCY FONTS BIRTHDAY WRAP</t>
        </is>
      </c>
      <c r="F1910" s="117" t="n">
        <v>25</v>
      </c>
      <c r="G1910" s="118" t="n">
        <v>0.42</v>
      </c>
      <c r="H1910" s="118" t="n">
        <v>10.5</v>
      </c>
      <c r="I1910" s="119" t="n">
        <v>40700</v>
      </c>
    </row>
    <row r="1911">
      <c r="A1911" s="114" t="inlineStr">
        <is>
          <t>555638</t>
        </is>
      </c>
      <c r="B1911" s="114" t="n">
        <v>15150</v>
      </c>
      <c r="C1911" s="114" t="inlineStr">
        <is>
          <t>United Kingdom</t>
        </is>
      </c>
      <c r="D1911" s="114" t="inlineStr">
        <is>
          <t>23175</t>
        </is>
      </c>
      <c r="E1911" s="114" t="inlineStr">
        <is>
          <t xml:space="preserve">REGENCY MILK JUG PINK </t>
        </is>
      </c>
      <c r="F1911" s="114" t="n">
        <v>4</v>
      </c>
      <c r="G1911" s="115" t="n">
        <v>3.25</v>
      </c>
      <c r="H1911" s="115" t="n">
        <v>13</v>
      </c>
      <c r="I1911" s="116" t="n">
        <v>40700</v>
      </c>
    </row>
    <row r="1912">
      <c r="A1912" s="117" t="inlineStr">
        <is>
          <t>555638</t>
        </is>
      </c>
      <c r="B1912" s="117" t="n">
        <v>15150</v>
      </c>
      <c r="C1912" s="117" t="inlineStr">
        <is>
          <t>United Kingdom</t>
        </is>
      </c>
      <c r="D1912" s="117" t="inlineStr">
        <is>
          <t>22597</t>
        </is>
      </c>
      <c r="E1912" s="117" t="inlineStr">
        <is>
          <t xml:space="preserve">MUSICAL ZINC HEART DECORATION </t>
        </is>
      </c>
      <c r="F1912" s="117" t="n">
        <v>12</v>
      </c>
      <c r="G1912" s="118" t="n">
        <v>0.85</v>
      </c>
      <c r="H1912" s="118" t="n">
        <v>10.2</v>
      </c>
      <c r="I1912" s="119" t="n">
        <v>40700</v>
      </c>
    </row>
    <row r="1913">
      <c r="A1913" s="114" t="inlineStr">
        <is>
          <t>555651</t>
        </is>
      </c>
      <c r="B1913" s="114" t="n">
        <v>17361</v>
      </c>
      <c r="C1913" s="114" t="inlineStr">
        <is>
          <t>United Kingdom</t>
        </is>
      </c>
      <c r="D1913" s="114" t="inlineStr">
        <is>
          <t>23298</t>
        </is>
      </c>
      <c r="E1913" s="114" t="inlineStr">
        <is>
          <t>SPOTTY BUNTING</t>
        </is>
      </c>
      <c r="F1913" s="114" t="n">
        <v>6</v>
      </c>
      <c r="G1913" s="115" t="n">
        <v>4.95</v>
      </c>
      <c r="H1913" s="115" t="n">
        <v>29.7</v>
      </c>
      <c r="I1913" s="116" t="n">
        <v>40700</v>
      </c>
    </row>
    <row r="1914">
      <c r="A1914" s="117" t="inlineStr">
        <is>
          <t>555651</t>
        </is>
      </c>
      <c r="B1914" s="117" t="n">
        <v>17361</v>
      </c>
      <c r="C1914" s="117" t="inlineStr">
        <is>
          <t>United Kingdom</t>
        </is>
      </c>
      <c r="D1914" s="117" t="inlineStr">
        <is>
          <t>71053</t>
        </is>
      </c>
      <c r="E1914" s="117" t="inlineStr">
        <is>
          <t>WHITE METAL LANTERN</t>
        </is>
      </c>
      <c r="F1914" s="117" t="n">
        <v>4</v>
      </c>
      <c r="G1914" s="118" t="n">
        <v>3.75</v>
      </c>
      <c r="H1914" s="118" t="n">
        <v>15</v>
      </c>
      <c r="I1914" s="119" t="n">
        <v>40700</v>
      </c>
    </row>
    <row r="1915">
      <c r="A1915" s="114" t="inlineStr">
        <is>
          <t>555654</t>
        </is>
      </c>
      <c r="B1915" s="114" t="n">
        <v>18236</v>
      </c>
      <c r="C1915" s="114" t="inlineStr">
        <is>
          <t>United Kingdom</t>
        </is>
      </c>
      <c r="D1915" s="114" t="inlineStr">
        <is>
          <t>21912</t>
        </is>
      </c>
      <c r="E1915" s="114" t="inlineStr">
        <is>
          <t>VINTAGE SNAKES &amp; LADDERS</t>
        </is>
      </c>
      <c r="F1915" s="114" t="n">
        <v>4</v>
      </c>
      <c r="G1915" s="115" t="n">
        <v>3.75</v>
      </c>
      <c r="H1915" s="115" t="n">
        <v>15</v>
      </c>
      <c r="I1915" s="116" t="n">
        <v>40700</v>
      </c>
    </row>
    <row r="1916">
      <c r="A1916" s="117" t="inlineStr">
        <is>
          <t>555719</t>
        </is>
      </c>
      <c r="B1916" s="117" t="n">
        <v>12609</v>
      </c>
      <c r="C1916" s="117" t="inlineStr">
        <is>
          <t>Germany</t>
        </is>
      </c>
      <c r="D1916" s="117" t="inlineStr">
        <is>
          <t>22113</t>
        </is>
      </c>
      <c r="E1916" s="117" t="inlineStr">
        <is>
          <t>GREY HEART HOT WATER BOTTLE</t>
        </is>
      </c>
      <c r="F1916" s="117" t="n">
        <v>8</v>
      </c>
      <c r="G1916" s="118" t="n">
        <v>3.75</v>
      </c>
      <c r="H1916" s="118" t="n">
        <v>30</v>
      </c>
      <c r="I1916" s="119" t="n">
        <v>40700</v>
      </c>
    </row>
    <row r="1917">
      <c r="A1917" s="114" t="inlineStr">
        <is>
          <t>555728</t>
        </is>
      </c>
      <c r="B1917" s="114" t="n">
        <v>17252</v>
      </c>
      <c r="C1917" s="114" t="inlineStr">
        <is>
          <t>United Kingdom</t>
        </is>
      </c>
      <c r="D1917" s="114" t="inlineStr">
        <is>
          <t>22631</t>
        </is>
      </c>
      <c r="E1917" s="114" t="inlineStr">
        <is>
          <t xml:space="preserve">CIRCUS PARADE LUNCH BOX </t>
        </is>
      </c>
      <c r="F1917" s="114" t="n">
        <v>1</v>
      </c>
      <c r="G1917" s="115" t="n">
        <v>1.95</v>
      </c>
      <c r="H1917" s="115" t="n">
        <v>1.95</v>
      </c>
      <c r="I1917" s="116" t="n">
        <v>40700</v>
      </c>
    </row>
    <row r="1918">
      <c r="A1918" s="117" t="inlineStr">
        <is>
          <t>555728</t>
        </is>
      </c>
      <c r="B1918" s="117" t="n">
        <v>17252</v>
      </c>
      <c r="C1918" s="117" t="inlineStr">
        <is>
          <t>United Kingdom</t>
        </is>
      </c>
      <c r="D1918" s="117" t="inlineStr">
        <is>
          <t>20828</t>
        </is>
      </c>
      <c r="E1918" s="117" t="inlineStr">
        <is>
          <t>GLITTER BUTTERFLY CLIPS</t>
        </is>
      </c>
      <c r="F1918" s="117" t="n">
        <v>1</v>
      </c>
      <c r="G1918" s="118" t="n">
        <v>2.55</v>
      </c>
      <c r="H1918" s="118" t="n">
        <v>2.55</v>
      </c>
      <c r="I1918" s="119" t="n">
        <v>40700</v>
      </c>
    </row>
    <row r="1919">
      <c r="A1919" s="114" t="inlineStr">
        <is>
          <t>555731</t>
        </is>
      </c>
      <c r="B1919" s="114" t="n">
        <v>16655</v>
      </c>
      <c r="C1919" s="114" t="inlineStr">
        <is>
          <t>United Kingdom</t>
        </is>
      </c>
      <c r="D1919" s="114" t="inlineStr">
        <is>
          <t>22325</t>
        </is>
      </c>
      <c r="E1919" s="114" t="inlineStr">
        <is>
          <t xml:space="preserve">MOBILE VINTAGE HEARTS </t>
        </is>
      </c>
      <c r="F1919" s="114" t="n">
        <v>3</v>
      </c>
      <c r="G1919" s="115" t="n">
        <v>4.95</v>
      </c>
      <c r="H1919" s="115" t="n">
        <v>14.85</v>
      </c>
      <c r="I1919" s="116" t="n">
        <v>40701</v>
      </c>
    </row>
    <row r="1920">
      <c r="A1920" s="117" t="inlineStr">
        <is>
          <t>555733</t>
        </is>
      </c>
      <c r="B1920" s="117" t="n">
        <v>16839</v>
      </c>
      <c r="C1920" s="117" t="inlineStr">
        <is>
          <t>United Kingdom</t>
        </is>
      </c>
      <c r="D1920" s="117" t="inlineStr">
        <is>
          <t>23227</t>
        </is>
      </c>
      <c r="E1920" s="117" t="inlineStr">
        <is>
          <t xml:space="preserve">FILIGREE HEART BUTTERFLY WHITE </t>
        </is>
      </c>
      <c r="F1920" s="117" t="n">
        <v>24</v>
      </c>
      <c r="G1920" s="118" t="n">
        <v>1.25</v>
      </c>
      <c r="H1920" s="118" t="n">
        <v>30</v>
      </c>
      <c r="I1920" s="119" t="n">
        <v>40701</v>
      </c>
    </row>
    <row r="1921">
      <c r="A1921" s="114" t="inlineStr">
        <is>
          <t>555740</t>
        </is>
      </c>
      <c r="B1921" s="114" t="n">
        <v>18226</v>
      </c>
      <c r="C1921" s="114" t="inlineStr">
        <is>
          <t>United Kingdom</t>
        </is>
      </c>
      <c r="D1921" s="114" t="inlineStr">
        <is>
          <t>20984</t>
        </is>
      </c>
      <c r="E1921" s="114" t="inlineStr">
        <is>
          <t>12 PENCILS TALL TUBE POSY</t>
        </is>
      </c>
      <c r="F1921" s="114" t="n">
        <v>48</v>
      </c>
      <c r="G1921" s="115" t="n">
        <v>0.29</v>
      </c>
      <c r="H1921" s="115" t="n">
        <v>13.92</v>
      </c>
      <c r="I1921" s="116" t="n">
        <v>40701</v>
      </c>
    </row>
    <row r="1922">
      <c r="A1922" s="117" t="inlineStr">
        <is>
          <t>555743</t>
        </is>
      </c>
      <c r="B1922" s="117" t="n">
        <v>12868</v>
      </c>
      <c r="C1922" s="117" t="inlineStr">
        <is>
          <t>United Kingdom</t>
        </is>
      </c>
      <c r="D1922" s="117" t="inlineStr">
        <is>
          <t>21794</t>
        </is>
      </c>
      <c r="E1922" s="117" t="inlineStr">
        <is>
          <t>CLASSIC FRENCH STYLE BASKET NATURAL</t>
        </is>
      </c>
      <c r="F1922" s="117" t="n">
        <v>8</v>
      </c>
      <c r="G1922" s="118" t="n">
        <v>3.95</v>
      </c>
      <c r="H1922" s="118" t="n">
        <v>31.6</v>
      </c>
      <c r="I1922" s="119" t="n">
        <v>40701</v>
      </c>
    </row>
    <row r="1923">
      <c r="A1923" s="114" t="inlineStr">
        <is>
          <t>555744</t>
        </is>
      </c>
      <c r="B1923" s="114" t="n">
        <v>18072</v>
      </c>
      <c r="C1923" s="114" t="inlineStr">
        <is>
          <t>United Kingdom</t>
        </is>
      </c>
      <c r="D1923" s="114" t="inlineStr">
        <is>
          <t>21670</t>
        </is>
      </c>
      <c r="E1923" s="114" t="inlineStr">
        <is>
          <t>BLUE SPOT CERAMIC DRAWER KNOB</t>
        </is>
      </c>
      <c r="F1923" s="114" t="n">
        <v>12</v>
      </c>
      <c r="G1923" s="115" t="n">
        <v>1.25</v>
      </c>
      <c r="H1923" s="115" t="n">
        <v>15</v>
      </c>
      <c r="I1923" s="116" t="n">
        <v>40701</v>
      </c>
    </row>
    <row r="1924">
      <c r="A1924" s="117" t="inlineStr">
        <is>
          <t>555746</t>
        </is>
      </c>
      <c r="B1924" s="117" t="n">
        <v>14606</v>
      </c>
      <c r="C1924" s="117" t="inlineStr">
        <is>
          <t>United Kingdom</t>
        </is>
      </c>
      <c r="D1924" s="117" t="inlineStr">
        <is>
          <t>22997</t>
        </is>
      </c>
      <c r="E1924" s="117" t="inlineStr">
        <is>
          <t>TRAVEL CARD WALLET UNION JACK</t>
        </is>
      </c>
      <c r="F1924" s="117" t="n">
        <v>3</v>
      </c>
      <c r="G1924" s="118" t="n">
        <v>0.42</v>
      </c>
      <c r="H1924" s="118" t="n">
        <v>1.26</v>
      </c>
      <c r="I1924" s="119" t="n">
        <v>40701</v>
      </c>
    </row>
    <row r="1925">
      <c r="A1925" s="114" t="inlineStr">
        <is>
          <t>555819</t>
        </is>
      </c>
      <c r="B1925" s="114" t="n">
        <v>15073</v>
      </c>
      <c r="C1925" s="114" t="inlineStr">
        <is>
          <t>United Kingdom</t>
        </is>
      </c>
      <c r="D1925" s="114" t="inlineStr">
        <is>
          <t>22681</t>
        </is>
      </c>
      <c r="E1925" s="114" t="inlineStr">
        <is>
          <t>FRENCH BLUE METAL DOOR SIGN 6</t>
        </is>
      </c>
      <c r="F1925" s="114" t="n">
        <v>10</v>
      </c>
      <c r="G1925" s="115" t="n">
        <v>1.25</v>
      </c>
      <c r="H1925" s="115" t="n">
        <v>12.5</v>
      </c>
      <c r="I1925" s="116" t="n">
        <v>40701</v>
      </c>
    </row>
    <row r="1926">
      <c r="A1926" s="117" t="inlineStr">
        <is>
          <t>555843</t>
        </is>
      </c>
      <c r="B1926" s="117" t="n">
        <v>12584</v>
      </c>
      <c r="C1926" s="117" t="inlineStr">
        <is>
          <t>Italy</t>
        </is>
      </c>
      <c r="D1926" s="117" t="inlineStr">
        <is>
          <t>35810A</t>
        </is>
      </c>
      <c r="E1926" s="117" t="inlineStr">
        <is>
          <t>ENAMEL PINK COFFEE CONTAINER</t>
        </is>
      </c>
      <c r="F1926" s="117" t="n">
        <v>12</v>
      </c>
      <c r="G1926" s="118" t="n">
        <v>0.83</v>
      </c>
      <c r="H1926" s="118" t="n">
        <v>9.960000000000001</v>
      </c>
      <c r="I1926" s="119" t="n">
        <v>40701</v>
      </c>
    </row>
    <row r="1927">
      <c r="A1927" s="114" t="inlineStr">
        <is>
          <t>555845</t>
        </is>
      </c>
      <c r="B1927" s="114" t="n">
        <v>17015</v>
      </c>
      <c r="C1927" s="114" t="inlineStr">
        <is>
          <t>United Kingdom</t>
        </is>
      </c>
      <c r="D1927" s="114" t="inlineStr">
        <is>
          <t>84077</t>
        </is>
      </c>
      <c r="E1927" s="114" t="inlineStr">
        <is>
          <t>WORLD WAR 2 GLIDERS ASSTD DESIGNS</t>
        </is>
      </c>
      <c r="F1927" s="114" t="n">
        <v>48</v>
      </c>
      <c r="G1927" s="115" t="n">
        <v>0.29</v>
      </c>
      <c r="H1927" s="115" t="n">
        <v>13.92</v>
      </c>
      <c r="I1927" s="116" t="n">
        <v>40701</v>
      </c>
    </row>
    <row r="1928">
      <c r="A1928" s="117" t="inlineStr">
        <is>
          <t>555845</t>
        </is>
      </c>
      <c r="B1928" s="117" t="n">
        <v>17015</v>
      </c>
      <c r="C1928" s="117" t="inlineStr">
        <is>
          <t>United Kingdom</t>
        </is>
      </c>
      <c r="D1928" s="117" t="inlineStr">
        <is>
          <t>23148</t>
        </is>
      </c>
      <c r="E1928" s="117" t="inlineStr">
        <is>
          <t>MINIATURE ANTIQUE ROSE HOOK IVORY</t>
        </is>
      </c>
      <c r="F1928" s="117" t="n">
        <v>4</v>
      </c>
      <c r="G1928" s="118" t="n">
        <v>0.83</v>
      </c>
      <c r="H1928" s="118" t="n">
        <v>3.32</v>
      </c>
      <c r="I1928" s="119" t="n">
        <v>40701</v>
      </c>
    </row>
    <row r="1929">
      <c r="A1929" s="114" t="inlineStr">
        <is>
          <t>555850</t>
        </is>
      </c>
      <c r="B1929" s="114" t="n">
        <v>16550</v>
      </c>
      <c r="C1929" s="114" t="inlineStr">
        <is>
          <t>United Kingdom</t>
        </is>
      </c>
      <c r="D1929" s="114" t="inlineStr">
        <is>
          <t>20751</t>
        </is>
      </c>
      <c r="E1929" s="114" t="inlineStr">
        <is>
          <t>FUNKY WASHING UP GLOVES ASSORTED</t>
        </is>
      </c>
      <c r="F1929" s="114" t="n">
        <v>3</v>
      </c>
      <c r="G1929" s="115" t="n">
        <v>2.1</v>
      </c>
      <c r="H1929" s="115" t="n">
        <v>6.3</v>
      </c>
      <c r="I1929" s="116" t="n">
        <v>40701</v>
      </c>
    </row>
    <row r="1930">
      <c r="A1930" s="117" t="inlineStr">
        <is>
          <t>555850</t>
        </is>
      </c>
      <c r="B1930" s="117" t="n">
        <v>16550</v>
      </c>
      <c r="C1930" s="117" t="inlineStr">
        <is>
          <t>United Kingdom</t>
        </is>
      </c>
      <c r="D1930" s="117" t="inlineStr">
        <is>
          <t>21564</t>
        </is>
      </c>
      <c r="E1930" s="117" t="inlineStr">
        <is>
          <t xml:space="preserve">PINK  HEART SHAPE LOVE BUCKET </t>
        </is>
      </c>
      <c r="F1930" s="117" t="n">
        <v>2</v>
      </c>
      <c r="G1930" s="118" t="n">
        <v>2.95</v>
      </c>
      <c r="H1930" s="118" t="n">
        <v>5.9</v>
      </c>
      <c r="I1930" s="119" t="n">
        <v>40701</v>
      </c>
    </row>
    <row r="1931">
      <c r="A1931" s="114" t="inlineStr">
        <is>
          <t>555853</t>
        </is>
      </c>
      <c r="B1931" s="114" t="n">
        <v>14375</v>
      </c>
      <c r="C1931" s="114" t="inlineStr">
        <is>
          <t>United Kingdom</t>
        </is>
      </c>
      <c r="D1931" s="114" t="inlineStr">
        <is>
          <t>22789</t>
        </is>
      </c>
      <c r="E1931" s="114" t="inlineStr">
        <is>
          <t>T-LIGHT HOLDER SWEETHEART HANGING</t>
        </is>
      </c>
      <c r="F1931" s="114" t="n">
        <v>4</v>
      </c>
      <c r="G1931" s="115" t="n">
        <v>1.95</v>
      </c>
      <c r="H1931" s="115" t="n">
        <v>7.8</v>
      </c>
      <c r="I1931" s="116" t="n">
        <v>40701</v>
      </c>
    </row>
    <row r="1932">
      <c r="A1932" s="117" t="inlineStr">
        <is>
          <t>555872</t>
        </is>
      </c>
      <c r="B1932" s="117" t="n">
        <v>13395</v>
      </c>
      <c r="C1932" s="117" t="inlineStr">
        <is>
          <t>United Kingdom</t>
        </is>
      </c>
      <c r="D1932" s="117" t="inlineStr">
        <is>
          <t>84946</t>
        </is>
      </c>
      <c r="E1932" s="117" t="inlineStr">
        <is>
          <t>ANTIQUE SILVER T-LIGHT GLASS</t>
        </is>
      </c>
      <c r="F1932" s="117" t="n">
        <v>12</v>
      </c>
      <c r="G1932" s="118" t="n">
        <v>1.25</v>
      </c>
      <c r="H1932" s="118" t="n">
        <v>15</v>
      </c>
      <c r="I1932" s="119" t="n">
        <v>40701</v>
      </c>
    </row>
    <row r="1933">
      <c r="A1933" s="114" t="inlineStr">
        <is>
          <t>555884</t>
        </is>
      </c>
      <c r="B1933" s="114" t="n">
        <v>17389</v>
      </c>
      <c r="C1933" s="114" t="inlineStr">
        <is>
          <t>United Kingdom</t>
        </is>
      </c>
      <c r="D1933" s="114" t="inlineStr">
        <is>
          <t>21658</t>
        </is>
      </c>
      <c r="E1933" s="114" t="inlineStr">
        <is>
          <t>GLASS  BEURRE DISH</t>
        </is>
      </c>
      <c r="F1933" s="114" t="n">
        <v>6</v>
      </c>
      <c r="G1933" s="115" t="n">
        <v>3.75</v>
      </c>
      <c r="H1933" s="115" t="n">
        <v>22.5</v>
      </c>
      <c r="I1933" s="116" t="n">
        <v>40701</v>
      </c>
    </row>
    <row r="1934">
      <c r="A1934" s="117" t="inlineStr">
        <is>
          <t>555896</t>
        </is>
      </c>
      <c r="B1934" s="117" t="n">
        <v>15640</v>
      </c>
      <c r="C1934" s="117" t="inlineStr">
        <is>
          <t>United Kingdom</t>
        </is>
      </c>
      <c r="D1934" s="117" t="inlineStr">
        <is>
          <t>20728</t>
        </is>
      </c>
      <c r="E1934" s="117" t="inlineStr">
        <is>
          <t>LUNCH BAG CARS BLUE</t>
        </is>
      </c>
      <c r="F1934" s="117" t="n">
        <v>10</v>
      </c>
      <c r="G1934" s="118" t="n">
        <v>1.65</v>
      </c>
      <c r="H1934" s="118" t="n">
        <v>16.5</v>
      </c>
      <c r="I1934" s="119" t="n">
        <v>40701</v>
      </c>
    </row>
    <row r="1935">
      <c r="A1935" s="114" t="inlineStr">
        <is>
          <t>555938</t>
        </is>
      </c>
      <c r="B1935" s="114" t="n">
        <v>14257</v>
      </c>
      <c r="C1935" s="114" t="inlineStr">
        <is>
          <t>United Kingdom</t>
        </is>
      </c>
      <c r="D1935" s="114" t="inlineStr">
        <is>
          <t>22776</t>
        </is>
      </c>
      <c r="E1935" s="114" t="inlineStr">
        <is>
          <t>SWEETHEART CAKESTAND 3 TIER</t>
        </is>
      </c>
      <c r="F1935" s="114" t="n">
        <v>3</v>
      </c>
      <c r="G1935" s="115" t="n">
        <v>9.949999999999999</v>
      </c>
      <c r="H1935" s="115" t="n">
        <v>29.85</v>
      </c>
      <c r="I1935" s="116" t="n">
        <v>40702</v>
      </c>
    </row>
    <row r="1936">
      <c r="A1936" s="117" t="inlineStr">
        <is>
          <t>555942</t>
        </is>
      </c>
      <c r="B1936" s="117" t="n">
        <v>15743</v>
      </c>
      <c r="C1936" s="117" t="inlineStr">
        <is>
          <t>United Kingdom</t>
        </is>
      </c>
      <c r="D1936" s="117" t="inlineStr">
        <is>
          <t>22427</t>
        </is>
      </c>
      <c r="E1936" s="117" t="inlineStr">
        <is>
          <t>ENAMEL FLOWER JUG CREAM</t>
        </is>
      </c>
      <c r="F1936" s="117" t="n">
        <v>6</v>
      </c>
      <c r="G1936" s="118" t="n">
        <v>5.95</v>
      </c>
      <c r="H1936" s="118" t="n">
        <v>35.7</v>
      </c>
      <c r="I1936" s="119" t="n">
        <v>40702</v>
      </c>
    </row>
    <row r="1937">
      <c r="A1937" s="114" t="inlineStr">
        <is>
          <t>555946</t>
        </is>
      </c>
      <c r="B1937" s="114" t="n">
        <v>17238</v>
      </c>
      <c r="C1937" s="114" t="inlineStr">
        <is>
          <t>United Kingdom</t>
        </is>
      </c>
      <c r="D1937" s="114" t="inlineStr">
        <is>
          <t>84997B</t>
        </is>
      </c>
      <c r="E1937" s="114" t="inlineStr">
        <is>
          <t xml:space="preserve">CHILDRENS CUTLERY RETROSPOT RED </t>
        </is>
      </c>
      <c r="F1937" s="114" t="n">
        <v>4</v>
      </c>
      <c r="G1937" s="115" t="n">
        <v>4.15</v>
      </c>
      <c r="H1937" s="115" t="n">
        <v>16.6</v>
      </c>
      <c r="I1937" s="116" t="n">
        <v>40702</v>
      </c>
    </row>
    <row r="1938">
      <c r="A1938" s="117" t="inlineStr">
        <is>
          <t>555949</t>
        </is>
      </c>
      <c r="B1938" s="117" t="n">
        <v>16626</v>
      </c>
      <c r="C1938" s="117" t="inlineStr">
        <is>
          <t>United Kingdom</t>
        </is>
      </c>
      <c r="D1938" s="117" t="inlineStr">
        <is>
          <t>85099B</t>
        </is>
      </c>
      <c r="E1938" s="117" t="inlineStr">
        <is>
          <t>JUMBO BAG RED RETROSPOT</t>
        </is>
      </c>
      <c r="F1938" s="117" t="n">
        <v>10</v>
      </c>
      <c r="G1938" s="118" t="n">
        <v>2.08</v>
      </c>
      <c r="H1938" s="118" t="n">
        <v>20.8</v>
      </c>
      <c r="I1938" s="119" t="n">
        <v>40702</v>
      </c>
    </row>
    <row r="1939">
      <c r="A1939" s="114" t="inlineStr">
        <is>
          <t>556024</t>
        </is>
      </c>
      <c r="B1939" s="114" t="n">
        <v>12808</v>
      </c>
      <c r="C1939" s="114" t="inlineStr">
        <is>
          <t>Portugal</t>
        </is>
      </c>
      <c r="D1939" s="114" t="inlineStr">
        <is>
          <t>22280</t>
        </is>
      </c>
      <c r="E1939" s="114" t="inlineStr">
        <is>
          <t>POCKET BAG PINK PAISELY BROWN SPOT</t>
        </is>
      </c>
      <c r="F1939" s="114" t="n">
        <v>12</v>
      </c>
      <c r="G1939" s="115" t="n">
        <v>1.25</v>
      </c>
      <c r="H1939" s="115" t="n">
        <v>15</v>
      </c>
      <c r="I1939" s="116" t="n">
        <v>40702</v>
      </c>
    </row>
    <row r="1940">
      <c r="A1940" s="117" t="inlineStr">
        <is>
          <t>556039</t>
        </is>
      </c>
      <c r="B1940" s="117" t="n">
        <v>13001</v>
      </c>
      <c r="C1940" s="117" t="inlineStr">
        <is>
          <t>United Kingdom</t>
        </is>
      </c>
      <c r="D1940" s="117" t="inlineStr">
        <is>
          <t>82494L</t>
        </is>
      </c>
      <c r="E1940" s="117" t="inlineStr">
        <is>
          <t xml:space="preserve">WOODEN FRAME ANTIQUE WHITE </t>
        </is>
      </c>
      <c r="F1940" s="117" t="n">
        <v>6</v>
      </c>
      <c r="G1940" s="118" t="n">
        <v>2.95</v>
      </c>
      <c r="H1940" s="118" t="n">
        <v>17.7</v>
      </c>
      <c r="I1940" s="119" t="n">
        <v>40702</v>
      </c>
    </row>
    <row r="1941">
      <c r="A1941" s="114" t="inlineStr">
        <is>
          <t>556041</t>
        </is>
      </c>
      <c r="B1941" s="114" t="n">
        <v>17954</v>
      </c>
      <c r="C1941" s="114" t="inlineStr">
        <is>
          <t>United Kingdom</t>
        </is>
      </c>
      <c r="D1941" s="114" t="inlineStr">
        <is>
          <t>20727</t>
        </is>
      </c>
      <c r="E1941" s="114" t="inlineStr">
        <is>
          <t>LUNCH BAG  BLACK SKULL.</t>
        </is>
      </c>
      <c r="F1941" s="114" t="n">
        <v>2</v>
      </c>
      <c r="G1941" s="115" t="n">
        <v>1.65</v>
      </c>
      <c r="H1941" s="115" t="n">
        <v>3.3</v>
      </c>
      <c r="I1941" s="116" t="n">
        <v>40702</v>
      </c>
    </row>
    <row r="1942">
      <c r="A1942" s="117" t="inlineStr">
        <is>
          <t>556045</t>
        </is>
      </c>
      <c r="B1942" s="117" t="n">
        <v>15764</v>
      </c>
      <c r="C1942" s="117" t="inlineStr">
        <is>
          <t>United Kingdom</t>
        </is>
      </c>
      <c r="D1942" s="117" t="inlineStr">
        <is>
          <t>22197</t>
        </is>
      </c>
      <c r="E1942" s="117" t="inlineStr">
        <is>
          <t>SMALL POPCORN HOLDER</t>
        </is>
      </c>
      <c r="F1942" s="117" t="n">
        <v>12</v>
      </c>
      <c r="G1942" s="118" t="n">
        <v>0.85</v>
      </c>
      <c r="H1942" s="118" t="n">
        <v>10.2</v>
      </c>
      <c r="I1942" s="119" t="n">
        <v>40702</v>
      </c>
    </row>
    <row r="1943">
      <c r="A1943" s="114" t="inlineStr">
        <is>
          <t>556048</t>
        </is>
      </c>
      <c r="B1943" s="114" t="n">
        <v>15609</v>
      </c>
      <c r="C1943" s="114" t="inlineStr">
        <is>
          <t>United Kingdom</t>
        </is>
      </c>
      <c r="D1943" s="114" t="inlineStr">
        <is>
          <t>21671</t>
        </is>
      </c>
      <c r="E1943" s="114" t="inlineStr">
        <is>
          <t>RED SPOT CERAMIC DRAWER KNOB</t>
        </is>
      </c>
      <c r="F1943" s="114" t="n">
        <v>12</v>
      </c>
      <c r="G1943" s="115" t="n">
        <v>1.25</v>
      </c>
      <c r="H1943" s="115" t="n">
        <v>15</v>
      </c>
      <c r="I1943" s="116" t="n">
        <v>40702</v>
      </c>
    </row>
    <row r="1944">
      <c r="A1944" s="117" t="inlineStr">
        <is>
          <t>556056</t>
        </is>
      </c>
      <c r="B1944" s="117" t="n">
        <v>17841</v>
      </c>
      <c r="C1944" s="117" t="inlineStr">
        <is>
          <t>United Kingdom</t>
        </is>
      </c>
      <c r="D1944" s="117" t="inlineStr">
        <is>
          <t>84519B</t>
        </is>
      </c>
      <c r="E1944" s="117" t="inlineStr">
        <is>
          <t>CARROT CHARLIE+LOLA COASTER SET</t>
        </is>
      </c>
      <c r="F1944" s="117" t="n">
        <v>2</v>
      </c>
      <c r="G1944" s="118" t="n">
        <v>1.25</v>
      </c>
      <c r="H1944" s="118" t="n">
        <v>2.5</v>
      </c>
      <c r="I1944" s="119" t="n">
        <v>40702</v>
      </c>
    </row>
    <row r="1945">
      <c r="A1945" s="114" t="inlineStr">
        <is>
          <t>556056</t>
        </is>
      </c>
      <c r="B1945" s="114" t="n">
        <v>17841</v>
      </c>
      <c r="C1945" s="114" t="inlineStr">
        <is>
          <t>United Kingdom</t>
        </is>
      </c>
      <c r="D1945" s="114" t="inlineStr">
        <is>
          <t>46000M</t>
        </is>
      </c>
      <c r="E1945" s="114" t="inlineStr">
        <is>
          <t>POLYESTER FILLER PAD 45x45cm</t>
        </is>
      </c>
      <c r="F1945" s="114" t="n">
        <v>1</v>
      </c>
      <c r="G1945" s="115" t="n">
        <v>1.55</v>
      </c>
      <c r="H1945" s="115" t="n">
        <v>1.55</v>
      </c>
      <c r="I1945" s="116" t="n">
        <v>40702</v>
      </c>
    </row>
    <row r="1946">
      <c r="A1946" s="117" t="inlineStr">
        <is>
          <t>556072</t>
        </is>
      </c>
      <c r="B1946" s="117" t="n">
        <v>16126</v>
      </c>
      <c r="C1946" s="117" t="inlineStr">
        <is>
          <t>United Kingdom</t>
        </is>
      </c>
      <c r="D1946" s="117" t="inlineStr">
        <is>
          <t>23127</t>
        </is>
      </c>
      <c r="E1946" s="117" t="inlineStr">
        <is>
          <t>FELTCRAFT GIRL NICOLE KIT</t>
        </is>
      </c>
      <c r="F1946" s="117" t="n">
        <v>12</v>
      </c>
      <c r="G1946" s="118" t="n">
        <v>4.95</v>
      </c>
      <c r="H1946" s="118" t="n">
        <v>59.4</v>
      </c>
      <c r="I1946" s="119" t="n">
        <v>40702</v>
      </c>
    </row>
    <row r="1947">
      <c r="A1947" s="114" t="inlineStr">
        <is>
          <t>556079</t>
        </is>
      </c>
      <c r="B1947" s="114" t="n">
        <v>18229</v>
      </c>
      <c r="C1947" s="114" t="inlineStr">
        <is>
          <t>United Kingdom</t>
        </is>
      </c>
      <c r="D1947" s="114" t="inlineStr">
        <is>
          <t>22384</t>
        </is>
      </c>
      <c r="E1947" s="114" t="inlineStr">
        <is>
          <t>LUNCH BAG PINK POLKADOT</t>
        </is>
      </c>
      <c r="F1947" s="114" t="n">
        <v>10</v>
      </c>
      <c r="G1947" s="115" t="n">
        <v>1.65</v>
      </c>
      <c r="H1947" s="115" t="n">
        <v>16.5</v>
      </c>
      <c r="I1947" s="116" t="n">
        <v>40702</v>
      </c>
    </row>
    <row r="1948">
      <c r="A1948" s="117" t="inlineStr">
        <is>
          <t>556106</t>
        </is>
      </c>
      <c r="B1948" s="117" t="n">
        <v>14056</v>
      </c>
      <c r="C1948" s="117" t="inlineStr">
        <is>
          <t>United Kingdom</t>
        </is>
      </c>
      <c r="D1948" s="117" t="inlineStr">
        <is>
          <t>23281</t>
        </is>
      </c>
      <c r="E1948" s="117" t="inlineStr">
        <is>
          <t xml:space="preserve">FOLDING BUTTERFLY MIRROR RED  </t>
        </is>
      </c>
      <c r="F1948" s="117" t="n">
        <v>4</v>
      </c>
      <c r="G1948" s="118" t="n">
        <v>0.83</v>
      </c>
      <c r="H1948" s="118" t="n">
        <v>3.32</v>
      </c>
      <c r="I1948" s="119" t="n">
        <v>40702</v>
      </c>
    </row>
    <row r="1949">
      <c r="A1949" s="114" t="inlineStr">
        <is>
          <t>556107</t>
        </is>
      </c>
      <c r="B1949" s="114" t="n">
        <v>17360</v>
      </c>
      <c r="C1949" s="114" t="inlineStr">
        <is>
          <t>United Kingdom</t>
        </is>
      </c>
      <c r="D1949" s="114" t="inlineStr">
        <is>
          <t>21707</t>
        </is>
      </c>
      <c r="E1949" s="114" t="inlineStr">
        <is>
          <t>FOLDING UMBRELLA BLACKBLUE POLKADOT</t>
        </is>
      </c>
      <c r="F1949" s="114" t="n">
        <v>1</v>
      </c>
      <c r="G1949" s="115" t="n">
        <v>4.95</v>
      </c>
      <c r="H1949" s="115" t="n">
        <v>4.95</v>
      </c>
      <c r="I1949" s="116" t="n">
        <v>40702</v>
      </c>
    </row>
    <row r="1950">
      <c r="A1950" s="117" t="inlineStr">
        <is>
          <t>556107</t>
        </is>
      </c>
      <c r="B1950" s="117" t="n">
        <v>17360</v>
      </c>
      <c r="C1950" s="117" t="inlineStr">
        <is>
          <t>United Kingdom</t>
        </is>
      </c>
      <c r="D1950" s="117" t="inlineStr">
        <is>
          <t>20773</t>
        </is>
      </c>
      <c r="E1950" s="117" t="inlineStr">
        <is>
          <t>BLUE PAISLEY NOTEBOOK</t>
        </is>
      </c>
      <c r="F1950" s="117" t="n">
        <v>1</v>
      </c>
      <c r="G1950" s="118" t="n">
        <v>1.65</v>
      </c>
      <c r="H1950" s="118" t="n">
        <v>1.65</v>
      </c>
      <c r="I1950" s="119" t="n">
        <v>40702</v>
      </c>
    </row>
    <row r="1951">
      <c r="A1951" s="114" t="inlineStr">
        <is>
          <t>556127</t>
        </is>
      </c>
      <c r="B1951" s="114" t="n">
        <v>12406</v>
      </c>
      <c r="C1951" s="114" t="inlineStr">
        <is>
          <t>Denmark</t>
        </is>
      </c>
      <c r="D1951" s="114" t="inlineStr">
        <is>
          <t>21935</t>
        </is>
      </c>
      <c r="E1951" s="114" t="inlineStr">
        <is>
          <t>SUKI  SHOULDER BAG</t>
        </is>
      </c>
      <c r="F1951" s="114" t="n">
        <v>10</v>
      </c>
      <c r="G1951" s="115" t="n">
        <v>1.65</v>
      </c>
      <c r="H1951" s="115" t="n">
        <v>16.5</v>
      </c>
      <c r="I1951" s="116" t="n">
        <v>40703</v>
      </c>
    </row>
    <row r="1952">
      <c r="A1952" s="117" t="inlineStr">
        <is>
          <t>556126</t>
        </is>
      </c>
      <c r="B1952" s="117" t="n">
        <v>14911</v>
      </c>
      <c r="C1952" s="117" t="inlineStr">
        <is>
          <t>EIRE</t>
        </is>
      </c>
      <c r="D1952" s="117" t="inlineStr">
        <is>
          <t>23202</t>
        </is>
      </c>
      <c r="E1952" s="117" t="inlineStr">
        <is>
          <t>JUMBO BAG VINTAGE LEAF</t>
        </is>
      </c>
      <c r="F1952" s="117" t="n">
        <v>10</v>
      </c>
      <c r="G1952" s="118" t="n">
        <v>2.08</v>
      </c>
      <c r="H1952" s="118" t="n">
        <v>20.8</v>
      </c>
      <c r="I1952" s="119" t="n">
        <v>40703</v>
      </c>
    </row>
    <row r="1953">
      <c r="A1953" s="114" t="inlineStr">
        <is>
          <t>556183</t>
        </is>
      </c>
      <c r="B1953" s="114" t="n">
        <v>13134</v>
      </c>
      <c r="C1953" s="114" t="inlineStr">
        <is>
          <t>United Kingdom</t>
        </is>
      </c>
      <c r="D1953" s="114" t="inlineStr">
        <is>
          <t>22961</t>
        </is>
      </c>
      <c r="E1953" s="114" t="inlineStr">
        <is>
          <t>JAM MAKING SET PRINTED</t>
        </is>
      </c>
      <c r="F1953" s="114" t="n">
        <v>12</v>
      </c>
      <c r="G1953" s="115" t="n">
        <v>1.45</v>
      </c>
      <c r="H1953" s="115" t="n">
        <v>17.4</v>
      </c>
      <c r="I1953" s="116" t="n">
        <v>40703</v>
      </c>
    </row>
    <row r="1954">
      <c r="A1954" s="117" t="inlineStr">
        <is>
          <t>556190</t>
        </is>
      </c>
      <c r="B1954" s="117" t="n">
        <v>15780</v>
      </c>
      <c r="C1954" s="117" t="inlineStr">
        <is>
          <t>United Kingdom</t>
        </is>
      </c>
      <c r="D1954" s="117" t="inlineStr">
        <is>
          <t>23106</t>
        </is>
      </c>
      <c r="E1954" s="117" t="inlineStr">
        <is>
          <t>ZINC HEARTS PLANT POT HOLDER</t>
        </is>
      </c>
      <c r="F1954" s="117" t="n">
        <v>8</v>
      </c>
      <c r="G1954" s="118" t="n">
        <v>2.89</v>
      </c>
      <c r="H1954" s="118" t="n">
        <v>23.12</v>
      </c>
      <c r="I1954" s="119" t="n">
        <v>40703</v>
      </c>
    </row>
    <row r="1955">
      <c r="A1955" s="114" t="inlineStr">
        <is>
          <t>556193</t>
        </is>
      </c>
      <c r="B1955" s="114" t="n">
        <v>14132</v>
      </c>
      <c r="C1955" s="114" t="inlineStr">
        <is>
          <t>United Kingdom</t>
        </is>
      </c>
      <c r="D1955" s="114" t="inlineStr">
        <is>
          <t>21060</t>
        </is>
      </c>
      <c r="E1955" s="114" t="inlineStr">
        <is>
          <t>PARTY INVITES BALLOON GIRL</t>
        </is>
      </c>
      <c r="F1955" s="114" t="n">
        <v>12</v>
      </c>
      <c r="G1955" s="115" t="n">
        <v>0.85</v>
      </c>
      <c r="H1955" s="115" t="n">
        <v>10.2</v>
      </c>
      <c r="I1955" s="116" t="n">
        <v>40703</v>
      </c>
    </row>
    <row r="1956">
      <c r="A1956" s="117" t="inlineStr">
        <is>
          <t>556203</t>
        </is>
      </c>
      <c r="B1956" s="117" t="n">
        <v>12399</v>
      </c>
      <c r="C1956" s="117" t="inlineStr">
        <is>
          <t>Belgium</t>
        </is>
      </c>
      <c r="D1956" s="117" t="inlineStr">
        <is>
          <t>23221</t>
        </is>
      </c>
      <c r="E1956" s="117" t="inlineStr">
        <is>
          <t>REINDEER HEART DECORATION SILVER</t>
        </is>
      </c>
      <c r="F1956" s="117" t="n">
        <v>12</v>
      </c>
      <c r="G1956" s="118" t="n">
        <v>0.83</v>
      </c>
      <c r="H1956" s="118" t="n">
        <v>9.960000000000001</v>
      </c>
      <c r="I1956" s="119" t="n">
        <v>40703</v>
      </c>
    </row>
    <row r="1957">
      <c r="A1957" s="114" t="inlineStr">
        <is>
          <t>556222</t>
        </is>
      </c>
      <c r="B1957" s="114" t="n">
        <v>17522</v>
      </c>
      <c r="C1957" s="114" t="inlineStr">
        <is>
          <t>United Kingdom</t>
        </is>
      </c>
      <c r="D1957" s="114" t="inlineStr">
        <is>
          <t>22371</t>
        </is>
      </c>
      <c r="E1957" s="114" t="inlineStr">
        <is>
          <t>AIRLINE BAG VINTAGE TOKYO 78</t>
        </is>
      </c>
      <c r="F1957" s="114" t="n">
        <v>1</v>
      </c>
      <c r="G1957" s="115" t="n">
        <v>4.25</v>
      </c>
      <c r="H1957" s="115" t="n">
        <v>4.25</v>
      </c>
      <c r="I1957" s="116" t="n">
        <v>40703</v>
      </c>
    </row>
    <row r="1958">
      <c r="A1958" s="117" t="inlineStr">
        <is>
          <t>556229</t>
        </is>
      </c>
      <c r="B1958" s="117" t="n">
        <v>12839</v>
      </c>
      <c r="C1958" s="117" t="inlineStr">
        <is>
          <t>United Kingdom</t>
        </is>
      </c>
      <c r="D1958" s="117" t="inlineStr">
        <is>
          <t>22661</t>
        </is>
      </c>
      <c r="E1958" s="117" t="inlineStr">
        <is>
          <t>CHARLOTTE BAG DOLLY GIRL DESIGN</t>
        </is>
      </c>
      <c r="F1958" s="117" t="n">
        <v>10</v>
      </c>
      <c r="G1958" s="118" t="n">
        <v>0.85</v>
      </c>
      <c r="H1958" s="118" t="n">
        <v>8.5</v>
      </c>
      <c r="I1958" s="119" t="n">
        <v>40703</v>
      </c>
    </row>
    <row r="1959">
      <c r="A1959" s="114" t="inlineStr">
        <is>
          <t>556238</t>
        </is>
      </c>
      <c r="B1959" s="114" t="n">
        <v>13397</v>
      </c>
      <c r="C1959" s="114" t="inlineStr">
        <is>
          <t>United Kingdom</t>
        </is>
      </c>
      <c r="D1959" s="114" t="inlineStr">
        <is>
          <t>22386</t>
        </is>
      </c>
      <c r="E1959" s="114" t="inlineStr">
        <is>
          <t>JUMBO BAG PINK POLKADOT</t>
        </is>
      </c>
      <c r="F1959" s="114" t="n">
        <v>10</v>
      </c>
      <c r="G1959" s="115" t="n">
        <v>2.08</v>
      </c>
      <c r="H1959" s="115" t="n">
        <v>20.8</v>
      </c>
      <c r="I1959" s="116" t="n">
        <v>40703</v>
      </c>
    </row>
    <row r="1960">
      <c r="A1960" s="117" t="inlineStr">
        <is>
          <t>556244</t>
        </is>
      </c>
      <c r="B1960" s="117" t="n">
        <v>15867</v>
      </c>
      <c r="C1960" s="117" t="inlineStr">
        <is>
          <t>United Kingdom</t>
        </is>
      </c>
      <c r="D1960" s="117" t="inlineStr">
        <is>
          <t>47566</t>
        </is>
      </c>
      <c r="E1960" s="117" t="inlineStr">
        <is>
          <t>PARTY BUNTING</t>
        </is>
      </c>
      <c r="F1960" s="117" t="n">
        <v>2</v>
      </c>
      <c r="G1960" s="118" t="n">
        <v>4.95</v>
      </c>
      <c r="H1960" s="118" t="n">
        <v>9.9</v>
      </c>
      <c r="I1960" s="119" t="n">
        <v>40703</v>
      </c>
    </row>
    <row r="1961">
      <c r="A1961" s="114" t="inlineStr">
        <is>
          <t>556245</t>
        </is>
      </c>
      <c r="B1961" s="114" t="n">
        <v>17841</v>
      </c>
      <c r="C1961" s="114" t="inlineStr">
        <is>
          <t>United Kingdom</t>
        </is>
      </c>
      <c r="D1961" s="114" t="inlineStr">
        <is>
          <t>21977</t>
        </is>
      </c>
      <c r="E1961" s="114" t="inlineStr">
        <is>
          <t>PACK OF 60 PINK PAISLEY CAKE CASES</t>
        </is>
      </c>
      <c r="F1961" s="114" t="n">
        <v>1</v>
      </c>
      <c r="G1961" s="115" t="n">
        <v>0.55</v>
      </c>
      <c r="H1961" s="115" t="n">
        <v>0.55</v>
      </c>
      <c r="I1961" s="116" t="n">
        <v>40703</v>
      </c>
    </row>
    <row r="1962">
      <c r="A1962" s="117" t="inlineStr">
        <is>
          <t>556245</t>
        </is>
      </c>
      <c r="B1962" s="117" t="n">
        <v>17841</v>
      </c>
      <c r="C1962" s="117" t="inlineStr">
        <is>
          <t>United Kingdom</t>
        </is>
      </c>
      <c r="D1962" s="117" t="inlineStr">
        <is>
          <t>37450</t>
        </is>
      </c>
      <c r="E1962" s="117" t="inlineStr">
        <is>
          <t>CERAMIC CAKE BOWL + HANGING CAKES</t>
        </is>
      </c>
      <c r="F1962" s="117" t="n">
        <v>1</v>
      </c>
      <c r="G1962" s="118" t="n">
        <v>2.95</v>
      </c>
      <c r="H1962" s="118" t="n">
        <v>2.95</v>
      </c>
      <c r="I1962" s="119" t="n">
        <v>40703</v>
      </c>
    </row>
    <row r="1963">
      <c r="A1963" s="114" t="inlineStr">
        <is>
          <t>556256</t>
        </is>
      </c>
      <c r="B1963" s="114" t="n">
        <v>14309</v>
      </c>
      <c r="C1963" s="114" t="inlineStr">
        <is>
          <t>United Kingdom</t>
        </is>
      </c>
      <c r="D1963" s="114" t="inlineStr">
        <is>
          <t>22698</t>
        </is>
      </c>
      <c r="E1963" s="114" t="inlineStr">
        <is>
          <t>PINK REGENCY TEACUP AND SAUCER</t>
        </is>
      </c>
      <c r="F1963" s="114" t="n">
        <v>6</v>
      </c>
      <c r="G1963" s="115" t="n">
        <v>2.95</v>
      </c>
      <c r="H1963" s="115" t="n">
        <v>17.7</v>
      </c>
      <c r="I1963" s="116" t="n">
        <v>40703</v>
      </c>
    </row>
    <row r="1964">
      <c r="A1964" s="117" t="inlineStr">
        <is>
          <t>556263</t>
        </is>
      </c>
      <c r="B1964" s="117" t="n">
        <v>13969</v>
      </c>
      <c r="C1964" s="117" t="inlineStr">
        <is>
          <t>United Kingdom</t>
        </is>
      </c>
      <c r="D1964" s="117" t="inlineStr">
        <is>
          <t>23176</t>
        </is>
      </c>
      <c r="E1964" s="117" t="inlineStr">
        <is>
          <t xml:space="preserve">ABC TREASURE BOOK BOX </t>
        </is>
      </c>
      <c r="F1964" s="117" t="n">
        <v>2</v>
      </c>
      <c r="G1964" s="118" t="n">
        <v>2.25</v>
      </c>
      <c r="H1964" s="118" t="n">
        <v>4.5</v>
      </c>
      <c r="I1964" s="119" t="n">
        <v>40703</v>
      </c>
    </row>
    <row r="1965">
      <c r="A1965" s="114" t="inlineStr">
        <is>
          <t>556303</t>
        </is>
      </c>
      <c r="B1965" s="114" t="n">
        <v>17064</v>
      </c>
      <c r="C1965" s="114" t="inlineStr">
        <is>
          <t>United Kingdom</t>
        </is>
      </c>
      <c r="D1965" s="114" t="inlineStr">
        <is>
          <t>22595</t>
        </is>
      </c>
      <c r="E1965" s="114" t="inlineStr">
        <is>
          <t>GINGHAM HEART DECORATION</t>
        </is>
      </c>
      <c r="F1965" s="114" t="n">
        <v>12</v>
      </c>
      <c r="G1965" s="115" t="n">
        <v>0.85</v>
      </c>
      <c r="H1965" s="115" t="n">
        <v>10.2</v>
      </c>
      <c r="I1965" s="116" t="n">
        <v>40704</v>
      </c>
    </row>
    <row r="1966">
      <c r="A1966" s="117" t="inlineStr">
        <is>
          <t>556318</t>
        </is>
      </c>
      <c r="B1966" s="117" t="n">
        <v>16767</v>
      </c>
      <c r="C1966" s="117" t="inlineStr">
        <is>
          <t>United Kingdom</t>
        </is>
      </c>
      <c r="D1966" s="117" t="inlineStr">
        <is>
          <t>23281</t>
        </is>
      </c>
      <c r="E1966" s="117" t="inlineStr">
        <is>
          <t xml:space="preserve">FOLDING BUTTERFLY MIRROR RED  </t>
        </is>
      </c>
      <c r="F1966" s="117" t="n">
        <v>24</v>
      </c>
      <c r="G1966" s="118" t="n">
        <v>0.83</v>
      </c>
      <c r="H1966" s="118" t="n">
        <v>19.92</v>
      </c>
      <c r="I1966" s="119" t="n">
        <v>40704</v>
      </c>
    </row>
    <row r="1967">
      <c r="A1967" s="114" t="inlineStr">
        <is>
          <t>556329</t>
        </is>
      </c>
      <c r="B1967" s="114" t="n">
        <v>14573</v>
      </c>
      <c r="C1967" s="114" t="inlineStr">
        <is>
          <t>United Kingdom</t>
        </is>
      </c>
      <c r="D1967" s="114" t="inlineStr">
        <is>
          <t>22794</t>
        </is>
      </c>
      <c r="E1967" s="114" t="inlineStr">
        <is>
          <t>SWEETHEART WIRE MAGAZINE RACK</t>
        </is>
      </c>
      <c r="F1967" s="114" t="n">
        <v>2</v>
      </c>
      <c r="G1967" s="115" t="n">
        <v>7.95</v>
      </c>
      <c r="H1967" s="115" t="n">
        <v>15.9</v>
      </c>
      <c r="I1967" s="116" t="n">
        <v>40704</v>
      </c>
    </row>
    <row r="1968">
      <c r="A1968" s="117" t="inlineStr">
        <is>
          <t>556365</t>
        </is>
      </c>
      <c r="B1968" s="117" t="n">
        <v>16370</v>
      </c>
      <c r="C1968" s="117" t="inlineStr">
        <is>
          <t>United Kingdom</t>
        </is>
      </c>
      <c r="D1968" s="117" t="inlineStr">
        <is>
          <t>84991</t>
        </is>
      </c>
      <c r="E1968" s="117" t="inlineStr">
        <is>
          <t>60 TEATIME FAIRY CAKE CASES</t>
        </is>
      </c>
      <c r="F1968" s="117" t="n">
        <v>4</v>
      </c>
      <c r="G1968" s="118" t="n">
        <v>0.55</v>
      </c>
      <c r="H1968" s="118" t="n">
        <v>2.2</v>
      </c>
      <c r="I1968" s="119" t="n">
        <v>40704</v>
      </c>
    </row>
    <row r="1969">
      <c r="A1969" s="114" t="inlineStr">
        <is>
          <t>556408</t>
        </is>
      </c>
      <c r="B1969" s="114" t="n">
        <v>13533</v>
      </c>
      <c r="C1969" s="114" t="inlineStr">
        <is>
          <t>United Kingdom</t>
        </is>
      </c>
      <c r="D1969" s="114" t="inlineStr">
        <is>
          <t>21901</t>
        </is>
      </c>
      <c r="E1969" s="114" t="inlineStr">
        <is>
          <t xml:space="preserve">KEY FOB , BACK DOOR </t>
        </is>
      </c>
      <c r="F1969" s="114" t="n">
        <v>1</v>
      </c>
      <c r="G1969" s="115" t="n">
        <v>0.65</v>
      </c>
      <c r="H1969" s="115" t="n">
        <v>0.65</v>
      </c>
      <c r="I1969" s="116" t="n">
        <v>40704</v>
      </c>
    </row>
    <row r="1970">
      <c r="A1970" s="117" t="inlineStr">
        <is>
          <t>556432</t>
        </is>
      </c>
      <c r="B1970" s="117" t="n">
        <v>16184</v>
      </c>
      <c r="C1970" s="117" t="inlineStr">
        <is>
          <t>United Kingdom</t>
        </is>
      </c>
      <c r="D1970" s="117" t="inlineStr">
        <is>
          <t>21754</t>
        </is>
      </c>
      <c r="E1970" s="117" t="inlineStr">
        <is>
          <t>HOME BUILDING BLOCK WORD</t>
        </is>
      </c>
      <c r="F1970" s="117" t="n">
        <v>3</v>
      </c>
      <c r="G1970" s="118" t="n">
        <v>5.95</v>
      </c>
      <c r="H1970" s="118" t="n">
        <v>17.85</v>
      </c>
      <c r="I1970" s="119" t="n">
        <v>40704</v>
      </c>
    </row>
    <row r="1971">
      <c r="A1971" s="114" t="inlineStr">
        <is>
          <t>556469</t>
        </is>
      </c>
      <c r="B1971" s="114" t="n">
        <v>12516</v>
      </c>
      <c r="C1971" s="114" t="inlineStr">
        <is>
          <t>Germany</t>
        </is>
      </c>
      <c r="D1971" s="114" t="inlineStr">
        <is>
          <t>21791</t>
        </is>
      </c>
      <c r="E1971" s="114" t="inlineStr">
        <is>
          <t xml:space="preserve">VINTAGE HEADS AND TAILS CARD GAME </t>
        </is>
      </c>
      <c r="F1971" s="114" t="n">
        <v>12</v>
      </c>
      <c r="G1971" s="115" t="n">
        <v>1.25</v>
      </c>
      <c r="H1971" s="115" t="n">
        <v>15</v>
      </c>
      <c r="I1971" s="116" t="n">
        <v>40706</v>
      </c>
    </row>
    <row r="1972">
      <c r="A1972" s="117" t="inlineStr">
        <is>
          <t>556473</t>
        </is>
      </c>
      <c r="B1972" s="117" t="n">
        <v>17265</v>
      </c>
      <c r="C1972" s="117" t="inlineStr">
        <is>
          <t>United Kingdom</t>
        </is>
      </c>
      <c r="D1972" s="117" t="inlineStr">
        <is>
          <t>22842</t>
        </is>
      </c>
      <c r="E1972" s="117" t="inlineStr">
        <is>
          <t>BISCUIT TIN VINTAGE RED</t>
        </is>
      </c>
      <c r="F1972" s="117" t="n">
        <v>1</v>
      </c>
      <c r="G1972" s="118" t="n">
        <v>6.75</v>
      </c>
      <c r="H1972" s="118" t="n">
        <v>6.75</v>
      </c>
      <c r="I1972" s="119" t="n">
        <v>40706</v>
      </c>
    </row>
    <row r="1973">
      <c r="A1973" s="114" t="inlineStr">
        <is>
          <t>556473</t>
        </is>
      </c>
      <c r="B1973" s="114" t="n">
        <v>17265</v>
      </c>
      <c r="C1973" s="114" t="inlineStr">
        <is>
          <t>United Kingdom</t>
        </is>
      </c>
      <c r="D1973" s="114" t="inlineStr">
        <is>
          <t>22178</t>
        </is>
      </c>
      <c r="E1973" s="114" t="inlineStr">
        <is>
          <t>VICTORIAN GLASS HANGING T-LIGHT</t>
        </is>
      </c>
      <c r="F1973" s="114" t="n">
        <v>3</v>
      </c>
      <c r="G1973" s="115" t="n">
        <v>1.25</v>
      </c>
      <c r="H1973" s="115" t="n">
        <v>3.75</v>
      </c>
      <c r="I1973" s="116" t="n">
        <v>40706</v>
      </c>
    </row>
    <row r="1974">
      <c r="A1974" s="117" t="inlineStr">
        <is>
          <t>556476</t>
        </is>
      </c>
      <c r="B1974" s="117" t="n">
        <v>17175</v>
      </c>
      <c r="C1974" s="117" t="inlineStr">
        <is>
          <t>United Kingdom</t>
        </is>
      </c>
      <c r="D1974" s="117" t="inlineStr">
        <is>
          <t>22151</t>
        </is>
      </c>
      <c r="E1974" s="117" t="inlineStr">
        <is>
          <t>PLACE SETTING WHITE HEART</t>
        </is>
      </c>
      <c r="F1974" s="117" t="n">
        <v>24</v>
      </c>
      <c r="G1974" s="118" t="n">
        <v>0.42</v>
      </c>
      <c r="H1974" s="118" t="n">
        <v>10.08</v>
      </c>
      <c r="I1974" s="119" t="n">
        <v>40706</v>
      </c>
    </row>
    <row r="1975">
      <c r="A1975" s="114" t="inlineStr">
        <is>
          <t>556484</t>
        </is>
      </c>
      <c r="B1975" s="114" t="n">
        <v>16938</v>
      </c>
      <c r="C1975" s="114" t="inlineStr">
        <is>
          <t>United Kingdom</t>
        </is>
      </c>
      <c r="D1975" s="114" t="inlineStr">
        <is>
          <t>20726</t>
        </is>
      </c>
      <c r="E1975" s="114" t="inlineStr">
        <is>
          <t>LUNCH BAG WOODLAND</t>
        </is>
      </c>
      <c r="F1975" s="114" t="n">
        <v>2</v>
      </c>
      <c r="G1975" s="115" t="n">
        <v>1.65</v>
      </c>
      <c r="H1975" s="115" t="n">
        <v>3.3</v>
      </c>
      <c r="I1975" s="116" t="n">
        <v>40706</v>
      </c>
    </row>
    <row r="1976">
      <c r="A1976" s="117" t="inlineStr">
        <is>
          <t>556484</t>
        </is>
      </c>
      <c r="B1976" s="117" t="n">
        <v>16938</v>
      </c>
      <c r="C1976" s="117" t="inlineStr">
        <is>
          <t>United Kingdom</t>
        </is>
      </c>
      <c r="D1976" s="117" t="inlineStr">
        <is>
          <t>84997C</t>
        </is>
      </c>
      <c r="E1976" s="117" t="inlineStr">
        <is>
          <t>CHILDRENS CUTLERY POLKADOT BLUE</t>
        </is>
      </c>
      <c r="F1976" s="117" t="n">
        <v>2</v>
      </c>
      <c r="G1976" s="118" t="n">
        <v>4.15</v>
      </c>
      <c r="H1976" s="118" t="n">
        <v>8.300000000000001</v>
      </c>
      <c r="I1976" s="119" t="n">
        <v>40706</v>
      </c>
    </row>
    <row r="1977">
      <c r="A1977" s="114" t="inlineStr">
        <is>
          <t>556484</t>
        </is>
      </c>
      <c r="B1977" s="114" t="n">
        <v>16938</v>
      </c>
      <c r="C1977" s="114" t="inlineStr">
        <is>
          <t>United Kingdom</t>
        </is>
      </c>
      <c r="D1977" s="114" t="inlineStr">
        <is>
          <t>21843</t>
        </is>
      </c>
      <c r="E1977" s="114" t="inlineStr">
        <is>
          <t>RED RETROSPOT CAKE STAND</t>
        </is>
      </c>
      <c r="F1977" s="114" t="n">
        <v>1</v>
      </c>
      <c r="G1977" s="115" t="n">
        <v>10.95</v>
      </c>
      <c r="H1977" s="115" t="n">
        <v>10.95</v>
      </c>
      <c r="I1977" s="116" t="n">
        <v>40706</v>
      </c>
    </row>
    <row r="1978">
      <c r="A1978" s="117" t="inlineStr">
        <is>
          <t>556484</t>
        </is>
      </c>
      <c r="B1978" s="117" t="n">
        <v>16938</v>
      </c>
      <c r="C1978" s="117" t="inlineStr">
        <is>
          <t>United Kingdom</t>
        </is>
      </c>
      <c r="D1978" s="117" t="inlineStr">
        <is>
          <t>85053</t>
        </is>
      </c>
      <c r="E1978" s="117" t="inlineStr">
        <is>
          <t>FRENCH ENAMEL CANDLEHOLDER</t>
        </is>
      </c>
      <c r="F1978" s="117" t="n">
        <v>1</v>
      </c>
      <c r="G1978" s="118" t="n">
        <v>2.1</v>
      </c>
      <c r="H1978" s="118" t="n">
        <v>2.1</v>
      </c>
      <c r="I1978" s="119" t="n">
        <v>40706</v>
      </c>
    </row>
    <row r="1979">
      <c r="A1979" s="114" t="inlineStr">
        <is>
          <t>556486</t>
        </is>
      </c>
      <c r="B1979" s="114" t="n">
        <v>17422</v>
      </c>
      <c r="C1979" s="114" t="inlineStr">
        <is>
          <t>United Kingdom</t>
        </is>
      </c>
      <c r="D1979" s="114" t="inlineStr">
        <is>
          <t>22231</t>
        </is>
      </c>
      <c r="E1979" s="114" t="inlineStr">
        <is>
          <t>JIGSAW TREE WITH BIRDHOUSE</t>
        </is>
      </c>
      <c r="F1979" s="114" t="n">
        <v>12</v>
      </c>
      <c r="G1979" s="115" t="n">
        <v>0.59</v>
      </c>
      <c r="H1979" s="115" t="n">
        <v>7.08</v>
      </c>
      <c r="I1979" s="116" t="n">
        <v>40706</v>
      </c>
    </row>
    <row r="1980">
      <c r="A1980" s="117" t="inlineStr">
        <is>
          <t>556486</t>
        </is>
      </c>
      <c r="B1980" s="117" t="n">
        <v>17422</v>
      </c>
      <c r="C1980" s="117" t="inlineStr">
        <is>
          <t>United Kingdom</t>
        </is>
      </c>
      <c r="D1980" s="117" t="inlineStr">
        <is>
          <t>22269</t>
        </is>
      </c>
      <c r="E1980" s="117" t="inlineStr">
        <is>
          <t>EGG CUP NATURAL CHICKEN</t>
        </is>
      </c>
      <c r="F1980" s="117" t="n">
        <v>16</v>
      </c>
      <c r="G1980" s="118" t="n">
        <v>0.39</v>
      </c>
      <c r="H1980" s="118" t="n">
        <v>6.24</v>
      </c>
      <c r="I1980" s="119" t="n">
        <v>40706</v>
      </c>
    </row>
    <row r="1981">
      <c r="A1981" s="114" t="inlineStr">
        <is>
          <t>556490</t>
        </is>
      </c>
      <c r="B1981" s="114" t="n">
        <v>13078</v>
      </c>
      <c r="C1981" s="114" t="inlineStr">
        <is>
          <t>United Kingdom</t>
        </is>
      </c>
      <c r="D1981" s="114" t="inlineStr">
        <is>
          <t>23049</t>
        </is>
      </c>
      <c r="E1981" s="114" t="inlineStr">
        <is>
          <t>RECYCLED ACAPULCO MAT RED</t>
        </is>
      </c>
      <c r="F1981" s="114" t="n">
        <v>2</v>
      </c>
      <c r="G1981" s="115" t="n">
        <v>8.25</v>
      </c>
      <c r="H1981" s="115" t="n">
        <v>16.5</v>
      </c>
      <c r="I1981" s="116" t="n">
        <v>40706</v>
      </c>
    </row>
    <row r="1982">
      <c r="A1982" s="117" t="inlineStr">
        <is>
          <t>556490</t>
        </is>
      </c>
      <c r="B1982" s="117" t="n">
        <v>13078</v>
      </c>
      <c r="C1982" s="117" t="inlineStr">
        <is>
          <t>United Kingdom</t>
        </is>
      </c>
      <c r="D1982" s="117" t="inlineStr">
        <is>
          <t>23050</t>
        </is>
      </c>
      <c r="E1982" s="117" t="inlineStr">
        <is>
          <t>RECYCLED ACAPULCO MAT GREEN</t>
        </is>
      </c>
      <c r="F1982" s="117" t="n">
        <v>2</v>
      </c>
      <c r="G1982" s="118" t="n">
        <v>8.25</v>
      </c>
      <c r="H1982" s="118" t="n">
        <v>16.5</v>
      </c>
      <c r="I1982" s="119" t="n">
        <v>40706</v>
      </c>
    </row>
    <row r="1983">
      <c r="A1983" s="114" t="inlineStr">
        <is>
          <t>556491</t>
        </is>
      </c>
      <c r="B1983" s="114" t="n">
        <v>16794</v>
      </c>
      <c r="C1983" s="114" t="inlineStr">
        <is>
          <t>United Kingdom</t>
        </is>
      </c>
      <c r="D1983" s="114" t="inlineStr">
        <is>
          <t>23208</t>
        </is>
      </c>
      <c r="E1983" s="114" t="inlineStr">
        <is>
          <t>LUNCH BAG VINTAGE LEAF DESIGN</t>
        </is>
      </c>
      <c r="F1983" s="114" t="n">
        <v>2</v>
      </c>
      <c r="G1983" s="115" t="n">
        <v>1.65</v>
      </c>
      <c r="H1983" s="115" t="n">
        <v>3.3</v>
      </c>
      <c r="I1983" s="116" t="n">
        <v>40706</v>
      </c>
    </row>
    <row r="1984">
      <c r="A1984" s="117" t="inlineStr">
        <is>
          <t>556491</t>
        </is>
      </c>
      <c r="B1984" s="117" t="n">
        <v>16794</v>
      </c>
      <c r="C1984" s="117" t="inlineStr">
        <is>
          <t>United Kingdom</t>
        </is>
      </c>
      <c r="D1984" s="117" t="inlineStr">
        <is>
          <t>22384</t>
        </is>
      </c>
      <c r="E1984" s="117" t="inlineStr">
        <is>
          <t>LUNCH BAG PINK POLKADOT</t>
        </is>
      </c>
      <c r="F1984" s="117" t="n">
        <v>4</v>
      </c>
      <c r="G1984" s="118" t="n">
        <v>1.65</v>
      </c>
      <c r="H1984" s="118" t="n">
        <v>6.6</v>
      </c>
      <c r="I1984" s="119" t="n">
        <v>40706</v>
      </c>
    </row>
    <row r="1985">
      <c r="A1985" s="114" t="inlineStr">
        <is>
          <t>556491</t>
        </is>
      </c>
      <c r="B1985" s="114" t="n">
        <v>16794</v>
      </c>
      <c r="C1985" s="114" t="inlineStr">
        <is>
          <t>United Kingdom</t>
        </is>
      </c>
      <c r="D1985" s="114" t="inlineStr">
        <is>
          <t>23103</t>
        </is>
      </c>
      <c r="E1985" s="114" t="inlineStr">
        <is>
          <t>JINGLE BELL HEART DECORATION</t>
        </is>
      </c>
      <c r="F1985" s="114" t="n">
        <v>6</v>
      </c>
      <c r="G1985" s="115" t="n">
        <v>1.65</v>
      </c>
      <c r="H1985" s="115" t="n">
        <v>9.9</v>
      </c>
      <c r="I1985" s="116" t="n">
        <v>40706</v>
      </c>
    </row>
    <row r="1986">
      <c r="A1986" s="117" t="inlineStr">
        <is>
          <t>556502</t>
        </is>
      </c>
      <c r="B1986" s="117" t="n">
        <v>13761</v>
      </c>
      <c r="C1986" s="117" t="inlineStr">
        <is>
          <t>United Kingdom</t>
        </is>
      </c>
      <c r="D1986" s="117" t="inlineStr">
        <is>
          <t>22147</t>
        </is>
      </c>
      <c r="E1986" s="117" t="inlineStr">
        <is>
          <t>FELTCRAFT BUTTERFLY HEARTS</t>
        </is>
      </c>
      <c r="F1986" s="117" t="n">
        <v>12</v>
      </c>
      <c r="G1986" s="118" t="n">
        <v>1.45</v>
      </c>
      <c r="H1986" s="118" t="n">
        <v>17.4</v>
      </c>
      <c r="I1986" s="119" t="n">
        <v>40707</v>
      </c>
    </row>
    <row r="1987">
      <c r="A1987" s="114" t="inlineStr">
        <is>
          <t>556503</t>
        </is>
      </c>
      <c r="B1987" s="114" t="n">
        <v>13517</v>
      </c>
      <c r="C1987" s="114" t="inlineStr">
        <is>
          <t>United Kingdom</t>
        </is>
      </c>
      <c r="D1987" s="114" t="inlineStr">
        <is>
          <t>23089</t>
        </is>
      </c>
      <c r="E1987" s="114" t="inlineStr">
        <is>
          <t>GLASS BON BON JAR</t>
        </is>
      </c>
      <c r="F1987" s="114" t="n">
        <v>12</v>
      </c>
      <c r="G1987" s="115" t="n">
        <v>1.65</v>
      </c>
      <c r="H1987" s="115" t="n">
        <v>19.8</v>
      </c>
      <c r="I1987" s="116" t="n">
        <v>40707</v>
      </c>
    </row>
    <row r="1988">
      <c r="A1988" s="117" t="inlineStr">
        <is>
          <t>556503</t>
        </is>
      </c>
      <c r="B1988" s="117" t="n">
        <v>13517</v>
      </c>
      <c r="C1988" s="117" t="inlineStr">
        <is>
          <t>United Kingdom</t>
        </is>
      </c>
      <c r="D1988" s="117" t="inlineStr">
        <is>
          <t>22698</t>
        </is>
      </c>
      <c r="E1988" s="117" t="inlineStr">
        <is>
          <t>PINK REGENCY TEACUP AND SAUCER</t>
        </is>
      </c>
      <c r="F1988" s="117" t="n">
        <v>4</v>
      </c>
      <c r="G1988" s="118" t="n">
        <v>2.95</v>
      </c>
      <c r="H1988" s="118" t="n">
        <v>11.8</v>
      </c>
      <c r="I1988" s="119" t="n">
        <v>40707</v>
      </c>
    </row>
    <row r="1989">
      <c r="A1989" s="114" t="inlineStr">
        <is>
          <t>556509</t>
        </is>
      </c>
      <c r="B1989" s="114" t="n">
        <v>12708</v>
      </c>
      <c r="C1989" s="114" t="inlineStr">
        <is>
          <t>Germany</t>
        </is>
      </c>
      <c r="D1989" s="114" t="inlineStr">
        <is>
          <t>23240</t>
        </is>
      </c>
      <c r="E1989" s="114" t="inlineStr">
        <is>
          <t xml:space="preserve">SET OF 4 KNICK KNACK TINS DOILEY </t>
        </is>
      </c>
      <c r="F1989" s="114" t="n">
        <v>6</v>
      </c>
      <c r="G1989" s="115" t="n">
        <v>4.15</v>
      </c>
      <c r="H1989" s="115" t="n">
        <v>24.9</v>
      </c>
      <c r="I1989" s="116" t="n">
        <v>40707</v>
      </c>
    </row>
    <row r="1990">
      <c r="A1990" s="117" t="inlineStr">
        <is>
          <t>556510</t>
        </is>
      </c>
      <c r="B1990" s="117" t="n">
        <v>14911</v>
      </c>
      <c r="C1990" s="117" t="inlineStr">
        <is>
          <t>EIRE</t>
        </is>
      </c>
      <c r="D1990" s="117" t="inlineStr">
        <is>
          <t>22432</t>
        </is>
      </c>
      <c r="E1990" s="117" t="inlineStr">
        <is>
          <t>WATERING CAN PINK BUNNY</t>
        </is>
      </c>
      <c r="F1990" s="117" t="n">
        <v>6</v>
      </c>
      <c r="G1990" s="118" t="n">
        <v>1.95</v>
      </c>
      <c r="H1990" s="118" t="n">
        <v>11.7</v>
      </c>
      <c r="I1990" s="119" t="n">
        <v>40707</v>
      </c>
    </row>
    <row r="1991">
      <c r="A1991" s="114" t="inlineStr">
        <is>
          <t>556520</t>
        </is>
      </c>
      <c r="B1991" s="114" t="n">
        <v>14177</v>
      </c>
      <c r="C1991" s="114" t="inlineStr">
        <is>
          <t>United Kingdom</t>
        </is>
      </c>
      <c r="D1991" s="114" t="inlineStr">
        <is>
          <t>21468</t>
        </is>
      </c>
      <c r="E1991" s="114" t="inlineStr">
        <is>
          <t>BUTTERFLY CROCHET FOOD COVER</t>
        </is>
      </c>
      <c r="F1991" s="114" t="n">
        <v>2</v>
      </c>
      <c r="G1991" s="115" t="n">
        <v>3.75</v>
      </c>
      <c r="H1991" s="115" t="n">
        <v>7.5</v>
      </c>
      <c r="I1991" s="116" t="n">
        <v>40707</v>
      </c>
    </row>
    <row r="1992">
      <c r="A1992" s="117" t="inlineStr">
        <is>
          <t>556527</t>
        </is>
      </c>
      <c r="B1992" s="117" t="n">
        <v>16205</v>
      </c>
      <c r="C1992" s="117" t="inlineStr">
        <is>
          <t>United Kingdom</t>
        </is>
      </c>
      <c r="D1992" s="117" t="inlineStr">
        <is>
          <t>21088</t>
        </is>
      </c>
      <c r="E1992" s="117" t="inlineStr">
        <is>
          <t>SET/6 FRUIT SALAD PAPER CUPS</t>
        </is>
      </c>
      <c r="F1992" s="117" t="n">
        <v>2</v>
      </c>
      <c r="G1992" s="118" t="n">
        <v>0.19</v>
      </c>
      <c r="H1992" s="118" t="n">
        <v>0.38</v>
      </c>
      <c r="I1992" s="119" t="n">
        <v>40707</v>
      </c>
    </row>
    <row r="1993">
      <c r="A1993" s="114" t="inlineStr">
        <is>
          <t>556528</t>
        </is>
      </c>
      <c r="B1993" s="114" t="n">
        <v>13269</v>
      </c>
      <c r="C1993" s="114" t="inlineStr">
        <is>
          <t>United Kingdom</t>
        </is>
      </c>
      <c r="D1993" s="114" t="inlineStr">
        <is>
          <t>22431</t>
        </is>
      </c>
      <c r="E1993" s="114" t="inlineStr">
        <is>
          <t>WATERING CAN BLUE ELEPHANT</t>
        </is>
      </c>
      <c r="F1993" s="114" t="n">
        <v>12</v>
      </c>
      <c r="G1993" s="115" t="n">
        <v>1.95</v>
      </c>
      <c r="H1993" s="115" t="n">
        <v>23.4</v>
      </c>
      <c r="I1993" s="116" t="n">
        <v>40707</v>
      </c>
    </row>
    <row r="1994">
      <c r="A1994" s="117" t="inlineStr">
        <is>
          <t>556536</t>
        </is>
      </c>
      <c r="B1994" s="117" t="n">
        <v>17795</v>
      </c>
      <c r="C1994" s="117" t="inlineStr">
        <is>
          <t>United Kingdom</t>
        </is>
      </c>
      <c r="D1994" s="117" t="inlineStr">
        <is>
          <t>22898</t>
        </is>
      </c>
      <c r="E1994" s="117" t="inlineStr">
        <is>
          <t>CHILDRENS APRON APPLES DESIGN</t>
        </is>
      </c>
      <c r="F1994" s="117" t="n">
        <v>2</v>
      </c>
      <c r="G1994" s="118" t="n">
        <v>1.95</v>
      </c>
      <c r="H1994" s="118" t="n">
        <v>3.9</v>
      </c>
      <c r="I1994" s="119" t="n">
        <v>40707</v>
      </c>
    </row>
    <row r="1995">
      <c r="A1995" s="114" t="inlineStr">
        <is>
          <t>556542</t>
        </is>
      </c>
      <c r="B1995" s="114" t="n">
        <v>14719</v>
      </c>
      <c r="C1995" s="114" t="inlineStr">
        <is>
          <t>United Kingdom</t>
        </is>
      </c>
      <c r="D1995" s="114" t="inlineStr">
        <is>
          <t>23078</t>
        </is>
      </c>
      <c r="E1995" s="114" t="inlineStr">
        <is>
          <t xml:space="preserve">ICE CREAM PEN LIP GLOSS </t>
        </is>
      </c>
      <c r="F1995" s="114" t="n">
        <v>24</v>
      </c>
      <c r="G1995" s="115" t="n">
        <v>1.25</v>
      </c>
      <c r="H1995" s="115" t="n">
        <v>30</v>
      </c>
      <c r="I1995" s="116" t="n">
        <v>40707</v>
      </c>
    </row>
    <row r="1996">
      <c r="A1996" s="117" t="inlineStr">
        <is>
          <t>556579</t>
        </is>
      </c>
      <c r="B1996" s="117" t="n">
        <v>15069</v>
      </c>
      <c r="C1996" s="117" t="inlineStr">
        <is>
          <t>United Kingdom</t>
        </is>
      </c>
      <c r="D1996" s="117" t="inlineStr">
        <is>
          <t>48184</t>
        </is>
      </c>
      <c r="E1996" s="117" t="inlineStr">
        <is>
          <t xml:space="preserve">DOORMAT ENGLISH ROSE </t>
        </is>
      </c>
      <c r="F1996" s="117" t="n">
        <v>2</v>
      </c>
      <c r="G1996" s="118" t="n">
        <v>7.95</v>
      </c>
      <c r="H1996" s="118" t="n">
        <v>15.9</v>
      </c>
      <c r="I1996" s="119" t="n">
        <v>40707</v>
      </c>
    </row>
    <row r="1997">
      <c r="A1997" s="114" t="inlineStr">
        <is>
          <t>556580</t>
        </is>
      </c>
      <c r="B1997" s="114" t="n">
        <v>17719</v>
      </c>
      <c r="C1997" s="114" t="inlineStr">
        <is>
          <t>United Kingdom</t>
        </is>
      </c>
      <c r="D1997" s="114" t="inlineStr">
        <is>
          <t>22761</t>
        </is>
      </c>
      <c r="E1997" s="114" t="inlineStr">
        <is>
          <t>CHEST 7 DRAWER MA CAMPAGNE</t>
        </is>
      </c>
      <c r="F1997" s="114" t="n">
        <v>1</v>
      </c>
      <c r="G1997" s="115" t="n">
        <v>24.95</v>
      </c>
      <c r="H1997" s="115" t="n">
        <v>24.95</v>
      </c>
      <c r="I1997" s="116" t="n">
        <v>40707</v>
      </c>
    </row>
    <row r="1998">
      <c r="A1998" s="117" t="inlineStr">
        <is>
          <t>556728</t>
        </is>
      </c>
      <c r="B1998" s="117" t="n">
        <v>15719</v>
      </c>
      <c r="C1998" s="117" t="inlineStr">
        <is>
          <t>United Kingdom</t>
        </is>
      </c>
      <c r="D1998" s="117" t="inlineStr">
        <is>
          <t>85099B</t>
        </is>
      </c>
      <c r="E1998" s="117" t="inlineStr">
        <is>
          <t>JUMBO BAG RED RETROSPOT</t>
        </is>
      </c>
      <c r="F1998" s="117" t="n">
        <v>10</v>
      </c>
      <c r="G1998" s="118" t="n">
        <v>2.08</v>
      </c>
      <c r="H1998" s="118" t="n">
        <v>20.8</v>
      </c>
      <c r="I1998" s="119" t="n">
        <v>40708</v>
      </c>
    </row>
    <row r="1999">
      <c r="A1999" s="114" t="inlineStr">
        <is>
          <t>556731</t>
        </is>
      </c>
      <c r="B1999" s="114" t="n">
        <v>18283</v>
      </c>
      <c r="C1999" s="114" t="inlineStr">
        <is>
          <t>United Kingdom</t>
        </is>
      </c>
      <c r="D1999" s="114" t="inlineStr">
        <is>
          <t>23236</t>
        </is>
      </c>
      <c r="E1999" s="114" t="inlineStr">
        <is>
          <t>DOILEY STORAGE TIN</t>
        </is>
      </c>
      <c r="F1999" s="114" t="n">
        <v>1</v>
      </c>
      <c r="G1999" s="115" t="n">
        <v>2.89</v>
      </c>
      <c r="H1999" s="115" t="n">
        <v>2.89</v>
      </c>
      <c r="I1999" s="116" t="n">
        <v>40708</v>
      </c>
    </row>
    <row r="2000">
      <c r="A2000" s="117" t="inlineStr">
        <is>
          <t>556731</t>
        </is>
      </c>
      <c r="B2000" s="117" t="n">
        <v>18283</v>
      </c>
      <c r="C2000" s="117" t="inlineStr">
        <is>
          <t>United Kingdom</t>
        </is>
      </c>
      <c r="D2000" s="117" t="inlineStr">
        <is>
          <t>23240</t>
        </is>
      </c>
      <c r="E2000" s="117" t="inlineStr">
        <is>
          <t xml:space="preserve">SET OF 4 KNICK KNACK TINS DOILEY </t>
        </is>
      </c>
      <c r="F2000" s="117" t="n">
        <v>1</v>
      </c>
      <c r="G2000" s="118" t="n">
        <v>4.15</v>
      </c>
      <c r="H2000" s="118" t="n">
        <v>4.15</v>
      </c>
      <c r="I2000" s="119" t="n">
        <v>40708</v>
      </c>
    </row>
    <row r="2001">
      <c r="A2001" s="114" t="inlineStr">
        <is>
          <t>556731</t>
        </is>
      </c>
      <c r="B2001" s="114" t="n">
        <v>18283</v>
      </c>
      <c r="C2001" s="114" t="inlineStr">
        <is>
          <t>United Kingdom</t>
        </is>
      </c>
      <c r="D2001" s="114" t="inlineStr">
        <is>
          <t>85123A</t>
        </is>
      </c>
      <c r="E2001" s="114" t="inlineStr">
        <is>
          <t>WHITE HANGING HEART T-LIGHT HOLDER</t>
        </is>
      </c>
      <c r="F2001" s="114" t="n">
        <v>6</v>
      </c>
      <c r="G2001" s="115" t="n">
        <v>2.95</v>
      </c>
      <c r="H2001" s="115" t="n">
        <v>17.7</v>
      </c>
      <c r="I2001" s="116" t="n">
        <v>40708</v>
      </c>
    </row>
    <row r="2002">
      <c r="A2002" s="117" t="inlineStr">
        <is>
          <t>556732</t>
        </is>
      </c>
      <c r="B2002" s="117" t="n">
        <v>15039</v>
      </c>
      <c r="C2002" s="117" t="inlineStr">
        <is>
          <t>United Kingdom</t>
        </is>
      </c>
      <c r="D2002" s="117" t="inlineStr">
        <is>
          <t>20679</t>
        </is>
      </c>
      <c r="E2002" s="117" t="inlineStr">
        <is>
          <t>EDWARDIAN PARASOL RED</t>
        </is>
      </c>
      <c r="F2002" s="117" t="n">
        <v>2</v>
      </c>
      <c r="G2002" s="118" t="n">
        <v>5.95</v>
      </c>
      <c r="H2002" s="118" t="n">
        <v>11.9</v>
      </c>
      <c r="I2002" s="119" t="n">
        <v>40708</v>
      </c>
    </row>
    <row r="2003">
      <c r="A2003" s="114" t="inlineStr">
        <is>
          <t>556751</t>
        </is>
      </c>
      <c r="B2003" s="114" t="n">
        <v>15251</v>
      </c>
      <c r="C2003" s="114" t="inlineStr">
        <is>
          <t>United Kingdom</t>
        </is>
      </c>
      <c r="D2003" s="114" t="inlineStr">
        <is>
          <t>22625</t>
        </is>
      </c>
      <c r="E2003" s="114" t="inlineStr">
        <is>
          <t>RED KITCHEN SCALES</t>
        </is>
      </c>
      <c r="F2003" s="114" t="n">
        <v>12</v>
      </c>
      <c r="G2003" s="115" t="n">
        <v>7.65</v>
      </c>
      <c r="H2003" s="115" t="n">
        <v>91.8</v>
      </c>
      <c r="I2003" s="116" t="n">
        <v>40708</v>
      </c>
    </row>
    <row r="2004">
      <c r="A2004" s="117" t="inlineStr">
        <is>
          <t>556776</t>
        </is>
      </c>
      <c r="B2004" s="117" t="n">
        <v>14730</v>
      </c>
      <c r="C2004" s="117" t="inlineStr">
        <is>
          <t>United Kingdom</t>
        </is>
      </c>
      <c r="D2004" s="117" t="inlineStr">
        <is>
          <t>21880</t>
        </is>
      </c>
      <c r="E2004" s="117" t="inlineStr">
        <is>
          <t>RED RETROSPOT TAPE</t>
        </is>
      </c>
      <c r="F2004" s="117" t="n">
        <v>1</v>
      </c>
      <c r="G2004" s="118" t="n">
        <v>0.65</v>
      </c>
      <c r="H2004" s="118" t="n">
        <v>0.65</v>
      </c>
      <c r="I2004" s="119" t="n">
        <v>40708</v>
      </c>
    </row>
    <row r="2005">
      <c r="A2005" s="114" t="inlineStr">
        <is>
          <t>556777</t>
        </is>
      </c>
      <c r="B2005" s="114" t="n">
        <v>14426</v>
      </c>
      <c r="C2005" s="114" t="inlineStr">
        <is>
          <t>United Kingdom</t>
        </is>
      </c>
      <c r="D2005" s="114" t="inlineStr">
        <is>
          <t>23309</t>
        </is>
      </c>
      <c r="E2005" s="114" t="inlineStr">
        <is>
          <t xml:space="preserve">SET OF 60 I LOVE LONDON CAKE CASES </t>
        </is>
      </c>
      <c r="F2005" s="114" t="n">
        <v>24</v>
      </c>
      <c r="G2005" s="115" t="n">
        <v>0.55</v>
      </c>
      <c r="H2005" s="115" t="n">
        <v>13.2</v>
      </c>
      <c r="I2005" s="116" t="n">
        <v>40708</v>
      </c>
    </row>
    <row r="2006">
      <c r="A2006" s="117" t="inlineStr">
        <is>
          <t>556781</t>
        </is>
      </c>
      <c r="B2006" s="117" t="n">
        <v>13384</v>
      </c>
      <c r="C2006" s="117" t="inlineStr">
        <is>
          <t>United Kingdom</t>
        </is>
      </c>
      <c r="D2006" s="117" t="inlineStr">
        <is>
          <t>23192</t>
        </is>
      </c>
      <c r="E2006" s="117" t="inlineStr">
        <is>
          <t>BUNDLE OF 3 ALPHABET EXERCISE BOOKS</t>
        </is>
      </c>
      <c r="F2006" s="117" t="n">
        <v>24</v>
      </c>
      <c r="G2006" s="118" t="n">
        <v>1.65</v>
      </c>
      <c r="H2006" s="118" t="n">
        <v>39.6</v>
      </c>
      <c r="I2006" s="119" t="n">
        <v>40708</v>
      </c>
    </row>
    <row r="2007">
      <c r="A2007" s="114" t="inlineStr">
        <is>
          <t>556781</t>
        </is>
      </c>
      <c r="B2007" s="114" t="n">
        <v>13384</v>
      </c>
      <c r="C2007" s="114" t="inlineStr">
        <is>
          <t>United Kingdom</t>
        </is>
      </c>
      <c r="D2007" s="114" t="inlineStr">
        <is>
          <t>23206</t>
        </is>
      </c>
      <c r="E2007" s="114" t="inlineStr">
        <is>
          <t>LUNCH BAG APPLE DESIGN</t>
        </is>
      </c>
      <c r="F2007" s="114" t="n">
        <v>20</v>
      </c>
      <c r="G2007" s="115" t="n">
        <v>1.65</v>
      </c>
      <c r="H2007" s="115" t="n">
        <v>33</v>
      </c>
      <c r="I2007" s="116" t="n">
        <v>40708</v>
      </c>
    </row>
    <row r="2008">
      <c r="A2008" s="117" t="inlineStr">
        <is>
          <t>556784</t>
        </is>
      </c>
      <c r="B2008" s="117" t="n">
        <v>14461</v>
      </c>
      <c r="C2008" s="117" t="inlineStr">
        <is>
          <t>United Kingdom</t>
        </is>
      </c>
      <c r="D2008" s="117" t="inlineStr">
        <is>
          <t>85185B</t>
        </is>
      </c>
      <c r="E2008" s="117" t="inlineStr">
        <is>
          <t>PINK HORSE SOCK PUPPET</t>
        </is>
      </c>
      <c r="F2008" s="117" t="n">
        <v>2</v>
      </c>
      <c r="G2008" s="118" t="n">
        <v>2.95</v>
      </c>
      <c r="H2008" s="118" t="n">
        <v>5.9</v>
      </c>
      <c r="I2008" s="119" t="n">
        <v>40708</v>
      </c>
    </row>
    <row r="2009">
      <c r="A2009" s="114" t="inlineStr">
        <is>
          <t>556795</t>
        </is>
      </c>
      <c r="B2009" s="114" t="n">
        <v>15912</v>
      </c>
      <c r="C2009" s="114" t="inlineStr">
        <is>
          <t>United Kingdom</t>
        </is>
      </c>
      <c r="D2009" s="114" t="inlineStr">
        <is>
          <t>47559B</t>
        </is>
      </c>
      <c r="E2009" s="114" t="inlineStr">
        <is>
          <t>TEA TIME OVEN GLOVE</t>
        </is>
      </c>
      <c r="F2009" s="114" t="n">
        <v>23</v>
      </c>
      <c r="G2009" s="115" t="n">
        <v>1.25</v>
      </c>
      <c r="H2009" s="115" t="n">
        <v>28.75</v>
      </c>
      <c r="I2009" s="116" t="n">
        <v>40708</v>
      </c>
    </row>
    <row r="2010">
      <c r="A2010" s="117" t="inlineStr">
        <is>
          <t>556815</t>
        </is>
      </c>
      <c r="B2010" s="117" t="n">
        <v>14852</v>
      </c>
      <c r="C2010" s="117" t="inlineStr">
        <is>
          <t>United Kingdom</t>
        </is>
      </c>
      <c r="D2010" s="117" t="inlineStr">
        <is>
          <t>22350</t>
        </is>
      </c>
      <c r="E2010" s="117" t="inlineStr">
        <is>
          <t xml:space="preserve">ILLUSTRATED CAT BOWL </t>
        </is>
      </c>
      <c r="F2010" s="117" t="n">
        <v>6</v>
      </c>
      <c r="G2010" s="118" t="n">
        <v>2.55</v>
      </c>
      <c r="H2010" s="118" t="n">
        <v>15.3</v>
      </c>
      <c r="I2010" s="119" t="n">
        <v>40709</v>
      </c>
    </row>
    <row r="2011">
      <c r="A2011" s="114" t="inlineStr">
        <is>
          <t>556829</t>
        </is>
      </c>
      <c r="B2011" s="114" t="n">
        <v>12809</v>
      </c>
      <c r="C2011" s="114" t="inlineStr">
        <is>
          <t>Portugal</t>
        </is>
      </c>
      <c r="D2011" s="114" t="inlineStr">
        <is>
          <t>23308</t>
        </is>
      </c>
      <c r="E2011" s="114" t="inlineStr">
        <is>
          <t xml:space="preserve">SET OF 60 VINTAGE LEAF CAKE CASES </t>
        </is>
      </c>
      <c r="F2011" s="114" t="n">
        <v>24</v>
      </c>
      <c r="G2011" s="115" t="n">
        <v>0.55</v>
      </c>
      <c r="H2011" s="115" t="n">
        <v>13.2</v>
      </c>
      <c r="I2011" s="116" t="n">
        <v>40709</v>
      </c>
    </row>
    <row r="2012">
      <c r="A2012" s="117" t="inlineStr">
        <is>
          <t>556829</t>
        </is>
      </c>
      <c r="B2012" s="117" t="n">
        <v>12809</v>
      </c>
      <c r="C2012" s="117" t="inlineStr">
        <is>
          <t>Portugal</t>
        </is>
      </c>
      <c r="D2012" s="117" t="inlineStr">
        <is>
          <t>22441</t>
        </is>
      </c>
      <c r="E2012" s="117" t="inlineStr">
        <is>
          <t>GROW YOUR OWN BASIL IN ENAMEL MUG</t>
        </is>
      </c>
      <c r="F2012" s="117" t="n">
        <v>8</v>
      </c>
      <c r="G2012" s="118" t="n">
        <v>2.1</v>
      </c>
      <c r="H2012" s="118" t="n">
        <v>16.8</v>
      </c>
      <c r="I2012" s="119" t="n">
        <v>40709</v>
      </c>
    </row>
    <row r="2013">
      <c r="A2013" s="114" t="inlineStr">
        <is>
          <t>556879</t>
        </is>
      </c>
      <c r="B2013" s="114" t="n">
        <v>16461</v>
      </c>
      <c r="C2013" s="114" t="inlineStr">
        <is>
          <t>United Kingdom</t>
        </is>
      </c>
      <c r="D2013" s="114" t="inlineStr">
        <is>
          <t>20781</t>
        </is>
      </c>
      <c r="E2013" s="114" t="inlineStr">
        <is>
          <t>GOLD EAR MUFF HEADPHONES</t>
        </is>
      </c>
      <c r="F2013" s="114" t="n">
        <v>1</v>
      </c>
      <c r="G2013" s="115" t="n">
        <v>5.49</v>
      </c>
      <c r="H2013" s="115" t="n">
        <v>5.49</v>
      </c>
      <c r="I2013" s="116" t="n">
        <v>40709</v>
      </c>
    </row>
    <row r="2014">
      <c r="A2014" s="117" t="inlineStr">
        <is>
          <t>556882</t>
        </is>
      </c>
      <c r="B2014" s="117" t="n">
        <v>14395</v>
      </c>
      <c r="C2014" s="117" t="inlineStr">
        <is>
          <t>United Kingdom</t>
        </is>
      </c>
      <c r="D2014" s="117" t="inlineStr">
        <is>
          <t>22804</t>
        </is>
      </c>
      <c r="E2014" s="117" t="inlineStr">
        <is>
          <t>CANDLEHOLDER PINK HANGING HEART</t>
        </is>
      </c>
      <c r="F2014" s="117" t="n">
        <v>3</v>
      </c>
      <c r="G2014" s="118" t="n">
        <v>2.95</v>
      </c>
      <c r="H2014" s="118" t="n">
        <v>8.85</v>
      </c>
      <c r="I2014" s="119" t="n">
        <v>40709</v>
      </c>
    </row>
    <row r="2015">
      <c r="A2015" s="114" t="inlineStr">
        <is>
          <t>556887</t>
        </is>
      </c>
      <c r="B2015" s="114" t="n">
        <v>14606</v>
      </c>
      <c r="C2015" s="114" t="inlineStr">
        <is>
          <t>United Kingdom</t>
        </is>
      </c>
      <c r="D2015" s="114" t="inlineStr">
        <is>
          <t>22379</t>
        </is>
      </c>
      <c r="E2015" s="114" t="inlineStr">
        <is>
          <t xml:space="preserve">RECYCLING BAG RETROSPOT </t>
        </is>
      </c>
      <c r="F2015" s="114" t="n">
        <v>1</v>
      </c>
      <c r="G2015" s="115" t="n">
        <v>2.1</v>
      </c>
      <c r="H2015" s="115" t="n">
        <v>2.1</v>
      </c>
      <c r="I2015" s="116" t="n">
        <v>40709</v>
      </c>
    </row>
    <row r="2016">
      <c r="A2016" s="117" t="inlineStr">
        <is>
          <t>556905</t>
        </is>
      </c>
      <c r="B2016" s="117" t="n">
        <v>16904</v>
      </c>
      <c r="C2016" s="117" t="inlineStr">
        <is>
          <t>United Kingdom</t>
        </is>
      </c>
      <c r="D2016" s="117" t="inlineStr">
        <is>
          <t>23144</t>
        </is>
      </c>
      <c r="E2016" s="117" t="inlineStr">
        <is>
          <t>ZINC T-LIGHT HOLDER STARS SMALL</t>
        </is>
      </c>
      <c r="F2016" s="117" t="n">
        <v>12</v>
      </c>
      <c r="G2016" s="118" t="n">
        <v>0.83</v>
      </c>
      <c r="H2016" s="118" t="n">
        <v>9.960000000000001</v>
      </c>
      <c r="I2016" s="119" t="n">
        <v>40709</v>
      </c>
    </row>
    <row r="2017">
      <c r="A2017" s="114" t="inlineStr">
        <is>
          <t>556905</t>
        </is>
      </c>
      <c r="B2017" s="114" t="n">
        <v>16904</v>
      </c>
      <c r="C2017" s="114" t="inlineStr">
        <is>
          <t>United Kingdom</t>
        </is>
      </c>
      <c r="D2017" s="114" t="inlineStr">
        <is>
          <t>21166</t>
        </is>
      </c>
      <c r="E2017" s="114" t="inlineStr">
        <is>
          <t xml:space="preserve">COOK WITH WINE METAL SIGN </t>
        </is>
      </c>
      <c r="F2017" s="114" t="n">
        <v>1</v>
      </c>
      <c r="G2017" s="115" t="n">
        <v>2.08</v>
      </c>
      <c r="H2017" s="115" t="n">
        <v>2.08</v>
      </c>
      <c r="I2017" s="116" t="n">
        <v>40709</v>
      </c>
    </row>
    <row r="2018">
      <c r="A2018" s="117" t="inlineStr">
        <is>
          <t>556908</t>
        </is>
      </c>
      <c r="B2018" s="117" t="n">
        <v>18165</v>
      </c>
      <c r="C2018" s="117" t="inlineStr">
        <is>
          <t>United Kingdom</t>
        </is>
      </c>
      <c r="D2018" s="117" t="inlineStr">
        <is>
          <t>22030</t>
        </is>
      </c>
      <c r="E2018" s="117" t="inlineStr">
        <is>
          <t>SWALLOWS GREETING CARD</t>
        </is>
      </c>
      <c r="F2018" s="117" t="n">
        <v>12</v>
      </c>
      <c r="G2018" s="118" t="n">
        <v>0.42</v>
      </c>
      <c r="H2018" s="118" t="n">
        <v>5.04</v>
      </c>
      <c r="I2018" s="119" t="n">
        <v>40709</v>
      </c>
    </row>
    <row r="2019">
      <c r="A2019" s="114" t="inlineStr">
        <is>
          <t>556909</t>
        </is>
      </c>
      <c r="B2019" s="114" t="n">
        <v>17536</v>
      </c>
      <c r="C2019" s="114" t="inlineStr">
        <is>
          <t>United Kingdom</t>
        </is>
      </c>
      <c r="D2019" s="114" t="inlineStr">
        <is>
          <t>84968F</t>
        </is>
      </c>
      <c r="E2019" s="114" t="inlineStr">
        <is>
          <t>SET OF 16 VINTAGE SKY BLUE CUTLERY</t>
        </is>
      </c>
      <c r="F2019" s="114" t="n">
        <v>2</v>
      </c>
      <c r="G2019" s="115" t="n">
        <v>12.75</v>
      </c>
      <c r="H2019" s="115" t="n">
        <v>25.5</v>
      </c>
      <c r="I2019" s="116" t="n">
        <v>40709</v>
      </c>
    </row>
    <row r="2020">
      <c r="A2020" s="117" t="inlineStr">
        <is>
          <t>556912</t>
        </is>
      </c>
      <c r="B2020" s="117" t="n">
        <v>15005</v>
      </c>
      <c r="C2020" s="117" t="inlineStr">
        <is>
          <t>United Kingdom</t>
        </is>
      </c>
      <c r="D2020" s="117" t="inlineStr">
        <is>
          <t>23243</t>
        </is>
      </c>
      <c r="E2020" s="117" t="inlineStr">
        <is>
          <t>SET OF TEA COFFEE SUGAR TINS PANTRY</t>
        </is>
      </c>
      <c r="F2020" s="117" t="n">
        <v>1</v>
      </c>
      <c r="G2020" s="118" t="n">
        <v>4.95</v>
      </c>
      <c r="H2020" s="118" t="n">
        <v>4.95</v>
      </c>
      <c r="I2020" s="119" t="n">
        <v>40709</v>
      </c>
    </row>
    <row r="2021">
      <c r="A2021" s="114" t="inlineStr">
        <is>
          <t>556915</t>
        </is>
      </c>
      <c r="B2021" s="114" t="n">
        <v>15036</v>
      </c>
      <c r="C2021" s="114" t="inlineStr">
        <is>
          <t>United Kingdom</t>
        </is>
      </c>
      <c r="D2021" s="114" t="inlineStr">
        <is>
          <t>23103</t>
        </is>
      </c>
      <c r="E2021" s="114" t="inlineStr">
        <is>
          <t>JINGLE BELL HEART DECORATION</t>
        </is>
      </c>
      <c r="F2021" s="114" t="n">
        <v>4</v>
      </c>
      <c r="G2021" s="115" t="n">
        <v>1.65</v>
      </c>
      <c r="H2021" s="115" t="n">
        <v>6.6</v>
      </c>
      <c r="I2021" s="116" t="n">
        <v>40709</v>
      </c>
    </row>
    <row r="2022">
      <c r="A2022" s="117" t="inlineStr">
        <is>
          <t>556917</t>
        </is>
      </c>
      <c r="B2022" s="117" t="n">
        <v>12415</v>
      </c>
      <c r="C2022" s="117" t="inlineStr">
        <is>
          <t>Australia</t>
        </is>
      </c>
      <c r="D2022" s="117" t="inlineStr">
        <is>
          <t>22273</t>
        </is>
      </c>
      <c r="E2022" s="117" t="inlineStr">
        <is>
          <t>FELTCRAFT DOLL MOLLY</t>
        </is>
      </c>
      <c r="F2022" s="117" t="n">
        <v>48</v>
      </c>
      <c r="G2022" s="118" t="n">
        <v>2.55</v>
      </c>
      <c r="H2022" s="118" t="n">
        <v>122.4</v>
      </c>
      <c r="I2022" s="119" t="n">
        <v>40709</v>
      </c>
    </row>
    <row r="2023">
      <c r="A2023" s="114" t="inlineStr">
        <is>
          <t>556921</t>
        </is>
      </c>
      <c r="B2023" s="114" t="n">
        <v>16038</v>
      </c>
      <c r="C2023" s="114" t="inlineStr">
        <is>
          <t>United Kingdom</t>
        </is>
      </c>
      <c r="D2023" s="114" t="inlineStr">
        <is>
          <t>23109</t>
        </is>
      </c>
      <c r="E2023" s="114" t="inlineStr">
        <is>
          <t>LED TEA LIGHTS</t>
        </is>
      </c>
      <c r="F2023" s="114" t="n">
        <v>12</v>
      </c>
      <c r="G2023" s="115" t="n">
        <v>2.89</v>
      </c>
      <c r="H2023" s="115" t="n">
        <v>34.68</v>
      </c>
      <c r="I2023" s="116" t="n">
        <v>40709</v>
      </c>
    </row>
    <row r="2024">
      <c r="A2024" s="117" t="inlineStr">
        <is>
          <t>556926</t>
        </is>
      </c>
      <c r="B2024" s="117" t="n">
        <v>16324</v>
      </c>
      <c r="C2024" s="117" t="inlineStr">
        <is>
          <t>United Kingdom</t>
        </is>
      </c>
      <c r="D2024" s="117" t="inlineStr">
        <is>
          <t>22164</t>
        </is>
      </c>
      <c r="E2024" s="117" t="inlineStr">
        <is>
          <t>STRING OF STARS CARD HOLDER</t>
        </is>
      </c>
      <c r="F2024" s="117" t="n">
        <v>2</v>
      </c>
      <c r="G2024" s="118" t="n">
        <v>2.95</v>
      </c>
      <c r="H2024" s="118" t="n">
        <v>5.9</v>
      </c>
      <c r="I2024" s="119" t="n">
        <v>40709</v>
      </c>
    </row>
    <row r="2025">
      <c r="A2025" s="114" t="inlineStr">
        <is>
          <t>556942</t>
        </is>
      </c>
      <c r="B2025" s="114" t="n">
        <v>14222</v>
      </c>
      <c r="C2025" s="114" t="inlineStr">
        <is>
          <t>United Kingdom</t>
        </is>
      </c>
      <c r="D2025" s="114" t="inlineStr">
        <is>
          <t>20972</t>
        </is>
      </c>
      <c r="E2025" s="114" t="inlineStr">
        <is>
          <t xml:space="preserve">PINK CREAM FELT CRAFT TRINKET BOX </t>
        </is>
      </c>
      <c r="F2025" s="114" t="n">
        <v>12</v>
      </c>
      <c r="G2025" s="115" t="n">
        <v>1.25</v>
      </c>
      <c r="H2025" s="115" t="n">
        <v>15</v>
      </c>
      <c r="I2025" s="116" t="n">
        <v>40709</v>
      </c>
    </row>
    <row r="2026">
      <c r="A2026" s="117" t="inlineStr">
        <is>
          <t>556942</t>
        </is>
      </c>
      <c r="B2026" s="117" t="n">
        <v>14222</v>
      </c>
      <c r="C2026" s="117" t="inlineStr">
        <is>
          <t>United Kingdom</t>
        </is>
      </c>
      <c r="D2026" s="117" t="inlineStr">
        <is>
          <t>20983</t>
        </is>
      </c>
      <c r="E2026" s="117" t="inlineStr">
        <is>
          <t>12 PENCILS TALL TUBE RED RETROSPOT</t>
        </is>
      </c>
      <c r="F2026" s="117" t="n">
        <v>12</v>
      </c>
      <c r="G2026" s="118" t="n">
        <v>0.85</v>
      </c>
      <c r="H2026" s="118" t="n">
        <v>10.2</v>
      </c>
      <c r="I2026" s="119" t="n">
        <v>40709</v>
      </c>
    </row>
    <row r="2027">
      <c r="A2027" s="114" t="inlineStr">
        <is>
          <t>556960</t>
        </is>
      </c>
      <c r="B2027" s="114" t="n">
        <v>14844</v>
      </c>
      <c r="C2027" s="114" t="inlineStr">
        <is>
          <t>United Kingdom</t>
        </is>
      </c>
      <c r="D2027" s="114" t="inlineStr">
        <is>
          <t>21169</t>
        </is>
      </c>
      <c r="E2027" s="114" t="inlineStr">
        <is>
          <t xml:space="preserve">YOU'RE CONFUSING ME METAL SIGN </t>
        </is>
      </c>
      <c r="F2027" s="114" t="n">
        <v>12</v>
      </c>
      <c r="G2027" s="115" t="n">
        <v>1.69</v>
      </c>
      <c r="H2027" s="115" t="n">
        <v>20.28</v>
      </c>
      <c r="I2027" s="116" t="n">
        <v>40710</v>
      </c>
    </row>
    <row r="2028">
      <c r="A2028" s="117" t="inlineStr">
        <is>
          <t>557002</t>
        </is>
      </c>
      <c r="B2028" s="117" t="n">
        <v>16672</v>
      </c>
      <c r="C2028" s="117" t="inlineStr">
        <is>
          <t>United Kingdom</t>
        </is>
      </c>
      <c r="D2028" s="117" t="inlineStr">
        <is>
          <t>22726</t>
        </is>
      </c>
      <c r="E2028" s="117" t="inlineStr">
        <is>
          <t>ALARM CLOCK BAKELIKE GREEN</t>
        </is>
      </c>
      <c r="F2028" s="117" t="n">
        <v>48</v>
      </c>
      <c r="G2028" s="118" t="n">
        <v>3.75</v>
      </c>
      <c r="H2028" s="118" t="n">
        <v>180</v>
      </c>
      <c r="I2028" s="119" t="n">
        <v>40710</v>
      </c>
    </row>
    <row r="2029">
      <c r="A2029" s="114" t="inlineStr">
        <is>
          <t>557007</t>
        </is>
      </c>
      <c r="B2029" s="114" t="n">
        <v>12484</v>
      </c>
      <c r="C2029" s="114" t="inlineStr">
        <is>
          <t>Spain</t>
        </is>
      </c>
      <c r="D2029" s="114" t="inlineStr">
        <is>
          <t>22197</t>
        </is>
      </c>
      <c r="E2029" s="114" t="inlineStr">
        <is>
          <t>POPCORN HOLDER</t>
        </is>
      </c>
      <c r="F2029" s="114" t="n">
        <v>5</v>
      </c>
      <c r="G2029" s="115" t="n">
        <v>0.85</v>
      </c>
      <c r="H2029" s="115" t="n">
        <v>4.25</v>
      </c>
      <c r="I2029" s="116" t="n">
        <v>40710</v>
      </c>
    </row>
    <row r="2030">
      <c r="A2030" s="117" t="inlineStr">
        <is>
          <t>557013</t>
        </is>
      </c>
      <c r="B2030" s="117" t="n">
        <v>15044</v>
      </c>
      <c r="C2030" s="117" t="inlineStr">
        <is>
          <t>United Kingdom</t>
        </is>
      </c>
      <c r="D2030" s="117" t="inlineStr">
        <is>
          <t>21868</t>
        </is>
      </c>
      <c r="E2030" s="117" t="inlineStr">
        <is>
          <t>POTTING SHED TEA MUG</t>
        </is>
      </c>
      <c r="F2030" s="117" t="n">
        <v>6</v>
      </c>
      <c r="G2030" s="118" t="n">
        <v>1.25</v>
      </c>
      <c r="H2030" s="118" t="n">
        <v>7.5</v>
      </c>
      <c r="I2030" s="119" t="n">
        <v>40710</v>
      </c>
    </row>
    <row r="2031">
      <c r="A2031" s="114" t="inlineStr">
        <is>
          <t>557019</t>
        </is>
      </c>
      <c r="B2031" s="114" t="n">
        <v>15907</v>
      </c>
      <c r="C2031" s="114" t="inlineStr">
        <is>
          <t>United Kingdom</t>
        </is>
      </c>
      <c r="D2031" s="114" t="inlineStr">
        <is>
          <t>85135B</t>
        </is>
      </c>
      <c r="E2031" s="114" t="inlineStr">
        <is>
          <t>BLUE DRAGONFLY HELICOPTER</t>
        </is>
      </c>
      <c r="F2031" s="114" t="n">
        <v>1</v>
      </c>
      <c r="G2031" s="115" t="n">
        <v>7.95</v>
      </c>
      <c r="H2031" s="115" t="n">
        <v>7.95</v>
      </c>
      <c r="I2031" s="116" t="n">
        <v>40710</v>
      </c>
    </row>
    <row r="2032">
      <c r="A2032" s="117" t="inlineStr">
        <is>
          <t>557019</t>
        </is>
      </c>
      <c r="B2032" s="117" t="n">
        <v>15907</v>
      </c>
      <c r="C2032" s="117" t="inlineStr">
        <is>
          <t>United Kingdom</t>
        </is>
      </c>
      <c r="D2032" s="117" t="inlineStr">
        <is>
          <t>84946</t>
        </is>
      </c>
      <c r="E2032" s="117" t="inlineStr">
        <is>
          <t>ANTIQUE SILVER T-LIGHT GLASS</t>
        </is>
      </c>
      <c r="F2032" s="117" t="n">
        <v>6</v>
      </c>
      <c r="G2032" s="118" t="n">
        <v>1.25</v>
      </c>
      <c r="H2032" s="118" t="n">
        <v>7.5</v>
      </c>
      <c r="I2032" s="119" t="n">
        <v>40710</v>
      </c>
    </row>
    <row r="2033">
      <c r="A2033" s="114" t="inlineStr">
        <is>
          <t>557019</t>
        </is>
      </c>
      <c r="B2033" s="114" t="n">
        <v>15907</v>
      </c>
      <c r="C2033" s="114" t="inlineStr">
        <is>
          <t>United Kingdom</t>
        </is>
      </c>
      <c r="D2033" s="114" t="inlineStr">
        <is>
          <t>22778</t>
        </is>
      </c>
      <c r="E2033" s="114" t="inlineStr">
        <is>
          <t>GLASS CLOCHE SMALL</t>
        </is>
      </c>
      <c r="F2033" s="114" t="n">
        <v>1</v>
      </c>
      <c r="G2033" s="115" t="n">
        <v>3.95</v>
      </c>
      <c r="H2033" s="115" t="n">
        <v>3.95</v>
      </c>
      <c r="I2033" s="116" t="n">
        <v>40710</v>
      </c>
    </row>
    <row r="2034">
      <c r="A2034" s="117" t="inlineStr">
        <is>
          <t>557021</t>
        </is>
      </c>
      <c r="B2034" s="117" t="n">
        <v>17642</v>
      </c>
      <c r="C2034" s="117" t="inlineStr">
        <is>
          <t>United Kingdom</t>
        </is>
      </c>
      <c r="D2034" s="117" t="inlineStr">
        <is>
          <t>23249</t>
        </is>
      </c>
      <c r="E2034" s="117" t="inlineStr">
        <is>
          <t>VINTAGE RED ENAMEL TRIM PLATE</t>
        </is>
      </c>
      <c r="F2034" s="117" t="n">
        <v>12</v>
      </c>
      <c r="G2034" s="118" t="n">
        <v>1.65</v>
      </c>
      <c r="H2034" s="118" t="n">
        <v>19.8</v>
      </c>
      <c r="I2034" s="119" t="n">
        <v>40710</v>
      </c>
    </row>
    <row r="2035">
      <c r="A2035" s="114" t="inlineStr">
        <is>
          <t>557023</t>
        </is>
      </c>
      <c r="B2035" s="114" t="n">
        <v>16225</v>
      </c>
      <c r="C2035" s="114" t="inlineStr">
        <is>
          <t>United Kingdom</t>
        </is>
      </c>
      <c r="D2035" s="114" t="inlineStr">
        <is>
          <t>21259</t>
        </is>
      </c>
      <c r="E2035" s="114" t="inlineStr">
        <is>
          <t xml:space="preserve">VICTORIAN SEWING BOX SMALL </t>
        </is>
      </c>
      <c r="F2035" s="114" t="n">
        <v>2</v>
      </c>
      <c r="G2035" s="115" t="n">
        <v>5.95</v>
      </c>
      <c r="H2035" s="115" t="n">
        <v>11.9</v>
      </c>
      <c r="I2035" s="116" t="n">
        <v>40710</v>
      </c>
    </row>
    <row r="2036">
      <c r="A2036" s="117" t="inlineStr">
        <is>
          <t>557027</t>
        </is>
      </c>
      <c r="B2036" s="117" t="n">
        <v>12816</v>
      </c>
      <c r="C2036" s="117" t="inlineStr">
        <is>
          <t>Poland</t>
        </is>
      </c>
      <c r="D2036" s="117" t="inlineStr">
        <is>
          <t>21896</t>
        </is>
      </c>
      <c r="E2036" s="117" t="inlineStr">
        <is>
          <t>POTTING SHED TWINE</t>
        </is>
      </c>
      <c r="F2036" s="117" t="n">
        <v>6</v>
      </c>
      <c r="G2036" s="118" t="n">
        <v>2.1</v>
      </c>
      <c r="H2036" s="118" t="n">
        <v>12.6</v>
      </c>
      <c r="I2036" s="119" t="n">
        <v>40710</v>
      </c>
    </row>
    <row r="2037">
      <c r="A2037" s="114" t="inlineStr">
        <is>
          <t>557034</t>
        </is>
      </c>
      <c r="B2037" s="114" t="n">
        <v>13627</v>
      </c>
      <c r="C2037" s="114" t="inlineStr">
        <is>
          <t>United Kingdom</t>
        </is>
      </c>
      <c r="D2037" s="114" t="inlineStr">
        <is>
          <t>23170</t>
        </is>
      </c>
      <c r="E2037" s="114" t="inlineStr">
        <is>
          <t xml:space="preserve">REGENCY TEA PLATE ROSES </t>
        </is>
      </c>
      <c r="F2037" s="114" t="n">
        <v>12</v>
      </c>
      <c r="G2037" s="115" t="n">
        <v>1.65</v>
      </c>
      <c r="H2037" s="115" t="n">
        <v>19.8</v>
      </c>
      <c r="I2037" s="116" t="n">
        <v>40710</v>
      </c>
    </row>
    <row r="2038">
      <c r="A2038" s="117" t="inlineStr">
        <is>
          <t>557057</t>
        </is>
      </c>
      <c r="B2038" s="117" t="n">
        <v>16843</v>
      </c>
      <c r="C2038" s="117" t="inlineStr">
        <is>
          <t>United Kingdom</t>
        </is>
      </c>
      <c r="D2038" s="117" t="inlineStr">
        <is>
          <t>21394</t>
        </is>
      </c>
      <c r="E2038" s="117" t="inlineStr">
        <is>
          <t xml:space="preserve">RED POLKADOT BEAKER </t>
        </is>
      </c>
      <c r="F2038" s="117" t="n">
        <v>96</v>
      </c>
      <c r="G2038" s="118" t="n">
        <v>0.39</v>
      </c>
      <c r="H2038" s="118" t="n">
        <v>37.44</v>
      </c>
      <c r="I2038" s="119" t="n">
        <v>40710</v>
      </c>
    </row>
    <row r="2039">
      <c r="A2039" s="114" t="inlineStr">
        <is>
          <t>557057</t>
        </is>
      </c>
      <c r="B2039" s="114" t="n">
        <v>16843</v>
      </c>
      <c r="C2039" s="114" t="inlineStr">
        <is>
          <t>United Kingdom</t>
        </is>
      </c>
      <c r="D2039" s="114" t="inlineStr">
        <is>
          <t>22608</t>
        </is>
      </c>
      <c r="E2039" s="114" t="inlineStr">
        <is>
          <t xml:space="preserve">PENS ASSORTED FUNKY JEWELED </t>
        </is>
      </c>
      <c r="F2039" s="114" t="n">
        <v>36</v>
      </c>
      <c r="G2039" s="115" t="n">
        <v>0.19</v>
      </c>
      <c r="H2039" s="115" t="n">
        <v>6.84</v>
      </c>
      <c r="I2039" s="116" t="n">
        <v>40710</v>
      </c>
    </row>
    <row r="2040">
      <c r="A2040" s="117" t="inlineStr">
        <is>
          <t>557064</t>
        </is>
      </c>
      <c r="B2040" s="117" t="n">
        <v>13263</v>
      </c>
      <c r="C2040" s="117" t="inlineStr">
        <is>
          <t>United Kingdom</t>
        </is>
      </c>
      <c r="D2040" s="117" t="inlineStr">
        <is>
          <t>20726</t>
        </is>
      </c>
      <c r="E2040" s="117" t="inlineStr">
        <is>
          <t>LUNCH BAG WOODLAND</t>
        </is>
      </c>
      <c r="F2040" s="117" t="n">
        <v>2</v>
      </c>
      <c r="G2040" s="118" t="n">
        <v>1.65</v>
      </c>
      <c r="H2040" s="118" t="n">
        <v>3.3</v>
      </c>
      <c r="I2040" s="119" t="n">
        <v>40710</v>
      </c>
    </row>
    <row r="2041">
      <c r="A2041" s="114" t="inlineStr">
        <is>
          <t>557069</t>
        </is>
      </c>
      <c r="B2041" s="114" t="n">
        <v>12562</v>
      </c>
      <c r="C2041" s="114" t="inlineStr">
        <is>
          <t>France</t>
        </is>
      </c>
      <c r="D2041" s="114" t="inlineStr">
        <is>
          <t>22027</t>
        </is>
      </c>
      <c r="E2041" s="114" t="inlineStr">
        <is>
          <t>TEA PARTY BIRTHDAY CARD</t>
        </is>
      </c>
      <c r="F2041" s="114" t="n">
        <v>12</v>
      </c>
      <c r="G2041" s="115" t="n">
        <v>0.42</v>
      </c>
      <c r="H2041" s="115" t="n">
        <v>5.04</v>
      </c>
      <c r="I2041" s="116" t="n">
        <v>40710</v>
      </c>
    </row>
    <row r="2042">
      <c r="A2042" s="117" t="inlineStr">
        <is>
          <t>557117</t>
        </is>
      </c>
      <c r="B2042" s="117" t="n">
        <v>14849</v>
      </c>
      <c r="C2042" s="117" t="inlineStr">
        <is>
          <t>United Kingdom</t>
        </is>
      </c>
      <c r="D2042" s="117" t="inlineStr">
        <is>
          <t>21977</t>
        </is>
      </c>
      <c r="E2042" s="117" t="inlineStr">
        <is>
          <t>PACK OF 60 PINK PAISLEY CAKE CASES</t>
        </is>
      </c>
      <c r="F2042" s="117" t="n">
        <v>24</v>
      </c>
      <c r="G2042" s="118" t="n">
        <v>0.55</v>
      </c>
      <c r="H2042" s="118" t="n">
        <v>13.2</v>
      </c>
      <c r="I2042" s="119" t="n">
        <v>40710</v>
      </c>
    </row>
    <row r="2043">
      <c r="A2043" s="114" t="inlineStr">
        <is>
          <t>557117</t>
        </is>
      </c>
      <c r="B2043" s="114" t="n">
        <v>14849</v>
      </c>
      <c r="C2043" s="114" t="inlineStr">
        <is>
          <t>United Kingdom</t>
        </is>
      </c>
      <c r="D2043" s="114" t="inlineStr">
        <is>
          <t>22925</t>
        </is>
      </c>
      <c r="E2043" s="114" t="inlineStr">
        <is>
          <t>BLUE GIANT GARDEN THERMOMETER</t>
        </is>
      </c>
      <c r="F2043" s="114" t="n">
        <v>2</v>
      </c>
      <c r="G2043" s="115" t="n">
        <v>5.95</v>
      </c>
      <c r="H2043" s="115" t="n">
        <v>11.9</v>
      </c>
      <c r="I2043" s="116" t="n">
        <v>40710</v>
      </c>
    </row>
    <row r="2044">
      <c r="A2044" s="117" t="inlineStr">
        <is>
          <t>557119</t>
        </is>
      </c>
      <c r="B2044" s="117" t="n">
        <v>17416</v>
      </c>
      <c r="C2044" s="117" t="inlineStr">
        <is>
          <t>United Kingdom</t>
        </is>
      </c>
      <c r="D2044" s="117" t="inlineStr">
        <is>
          <t>82484</t>
        </is>
      </c>
      <c r="E2044" s="117" t="inlineStr">
        <is>
          <t>WOOD BLACK BOARD ANT WHITE FINISH</t>
        </is>
      </c>
      <c r="F2044" s="117" t="n">
        <v>6</v>
      </c>
      <c r="G2044" s="118" t="n">
        <v>7.95</v>
      </c>
      <c r="H2044" s="118" t="n">
        <v>47.7</v>
      </c>
      <c r="I2044" s="119" t="n">
        <v>40710</v>
      </c>
    </row>
    <row r="2045">
      <c r="A2045" s="114" t="inlineStr">
        <is>
          <t>557129</t>
        </is>
      </c>
      <c r="B2045" s="114" t="n">
        <v>17841</v>
      </c>
      <c r="C2045" s="114" t="inlineStr">
        <is>
          <t>United Kingdom</t>
        </is>
      </c>
      <c r="D2045" s="114" t="inlineStr">
        <is>
          <t>84050</t>
        </is>
      </c>
      <c r="E2045" s="114" t="inlineStr">
        <is>
          <t>PINK HEART SHAPE EGG FRYING PAN</t>
        </is>
      </c>
      <c r="F2045" s="114" t="n">
        <v>1</v>
      </c>
      <c r="G2045" s="115" t="n">
        <v>1.65</v>
      </c>
      <c r="H2045" s="115" t="n">
        <v>1.65</v>
      </c>
      <c r="I2045" s="116" t="n">
        <v>40710</v>
      </c>
    </row>
    <row r="2046">
      <c r="A2046" s="117" t="inlineStr">
        <is>
          <t>557136</t>
        </is>
      </c>
      <c r="B2046" s="117" t="n">
        <v>14911</v>
      </c>
      <c r="C2046" s="117" t="inlineStr">
        <is>
          <t>EIRE</t>
        </is>
      </c>
      <c r="D2046" s="117" t="inlineStr">
        <is>
          <t>21270</t>
        </is>
      </c>
      <c r="E2046" s="117" t="inlineStr">
        <is>
          <t>ANTIQUE CREAM CUTLERY CUPBOARD</t>
        </is>
      </c>
      <c r="F2046" s="117" t="n">
        <v>1</v>
      </c>
      <c r="G2046" s="118" t="n">
        <v>12.75</v>
      </c>
      <c r="H2046" s="118" t="n">
        <v>12.75</v>
      </c>
      <c r="I2046" s="119" t="n">
        <v>40711</v>
      </c>
    </row>
    <row r="2047">
      <c r="A2047" s="114" t="inlineStr">
        <is>
          <t>557150</t>
        </is>
      </c>
      <c r="B2047" s="114" t="n">
        <v>15555</v>
      </c>
      <c r="C2047" s="114" t="inlineStr">
        <is>
          <t>United Kingdom</t>
        </is>
      </c>
      <c r="D2047" s="114" t="inlineStr">
        <is>
          <t>22411</t>
        </is>
      </c>
      <c r="E2047" s="114" t="inlineStr">
        <is>
          <t>JUMBO SHOPPER VINTAGE RED PAISLEY</t>
        </is>
      </c>
      <c r="F2047" s="114" t="n">
        <v>2</v>
      </c>
      <c r="G2047" s="115" t="n">
        <v>2.08</v>
      </c>
      <c r="H2047" s="115" t="n">
        <v>4.16</v>
      </c>
      <c r="I2047" s="116" t="n">
        <v>40711</v>
      </c>
    </row>
    <row r="2048">
      <c r="A2048" s="117" t="inlineStr">
        <is>
          <t>557150</t>
        </is>
      </c>
      <c r="B2048" s="117" t="n">
        <v>15555</v>
      </c>
      <c r="C2048" s="117" t="inlineStr">
        <is>
          <t>United Kingdom</t>
        </is>
      </c>
      <c r="D2048" s="117" t="inlineStr">
        <is>
          <t>22511</t>
        </is>
      </c>
      <c r="E2048" s="117" t="inlineStr">
        <is>
          <t>RETROSPOT BABUSHKA DOORSTOP</t>
        </is>
      </c>
      <c r="F2048" s="117" t="n">
        <v>1</v>
      </c>
      <c r="G2048" s="118" t="n">
        <v>3.75</v>
      </c>
      <c r="H2048" s="118" t="n">
        <v>3.75</v>
      </c>
      <c r="I2048" s="119" t="n">
        <v>40711</v>
      </c>
    </row>
    <row r="2049">
      <c r="A2049" s="114" t="inlineStr">
        <is>
          <t>557210</t>
        </is>
      </c>
      <c r="B2049" s="114" t="n">
        <v>18118</v>
      </c>
      <c r="C2049" s="114" t="inlineStr">
        <is>
          <t>United Kingdom</t>
        </is>
      </c>
      <c r="D2049" s="114" t="inlineStr">
        <is>
          <t>21937</t>
        </is>
      </c>
      <c r="E2049" s="114" t="inlineStr">
        <is>
          <t>STRAWBERRY   PICNIC BAG</t>
        </is>
      </c>
      <c r="F2049" s="114" t="n">
        <v>1</v>
      </c>
      <c r="G2049" s="115" t="n">
        <v>2.95</v>
      </c>
      <c r="H2049" s="115" t="n">
        <v>2.95</v>
      </c>
      <c r="I2049" s="116" t="n">
        <v>40711</v>
      </c>
    </row>
    <row r="2050">
      <c r="A2050" s="117" t="inlineStr">
        <is>
          <t>557211</t>
        </is>
      </c>
      <c r="B2050" s="117" t="n">
        <v>15513</v>
      </c>
      <c r="C2050" s="117" t="inlineStr">
        <is>
          <t>United Kingdom</t>
        </is>
      </c>
      <c r="D2050" s="117" t="inlineStr">
        <is>
          <t>22624</t>
        </is>
      </c>
      <c r="E2050" s="117" t="inlineStr">
        <is>
          <t>IVORY KITCHEN SCALES</t>
        </is>
      </c>
      <c r="F2050" s="117" t="n">
        <v>12</v>
      </c>
      <c r="G2050" s="118" t="n">
        <v>7.65</v>
      </c>
      <c r="H2050" s="118" t="n">
        <v>91.8</v>
      </c>
      <c r="I2050" s="119" t="n">
        <v>40711</v>
      </c>
    </row>
    <row r="2051">
      <c r="A2051" s="114" t="inlineStr">
        <is>
          <t>557213</t>
        </is>
      </c>
      <c r="B2051" s="114" t="n">
        <v>15021</v>
      </c>
      <c r="C2051" s="114" t="inlineStr">
        <is>
          <t>United Kingdom</t>
        </is>
      </c>
      <c r="D2051" s="114" t="inlineStr">
        <is>
          <t>23211</t>
        </is>
      </c>
      <c r="E2051" s="114" t="inlineStr">
        <is>
          <t>RED ROCKING HORSE HAND PAINTED</t>
        </is>
      </c>
      <c r="F2051" s="114" t="n">
        <v>2</v>
      </c>
      <c r="G2051" s="115" t="n">
        <v>1.25</v>
      </c>
      <c r="H2051" s="115" t="n">
        <v>2.5</v>
      </c>
      <c r="I2051" s="116" t="n">
        <v>40711</v>
      </c>
    </row>
    <row r="2052">
      <c r="A2052" s="117" t="inlineStr">
        <is>
          <t>557213</t>
        </is>
      </c>
      <c r="B2052" s="117" t="n">
        <v>15021</v>
      </c>
      <c r="C2052" s="117" t="inlineStr">
        <is>
          <t>United Kingdom</t>
        </is>
      </c>
      <c r="D2052" s="117" t="inlineStr">
        <is>
          <t>23256</t>
        </is>
      </c>
      <c r="E2052" s="117" t="inlineStr">
        <is>
          <t xml:space="preserve">CHILDRENS CUTLERY SPACEBOY </t>
        </is>
      </c>
      <c r="F2052" s="117" t="n">
        <v>1</v>
      </c>
      <c r="G2052" s="118" t="n">
        <v>4.15</v>
      </c>
      <c r="H2052" s="118" t="n">
        <v>4.15</v>
      </c>
      <c r="I2052" s="119" t="n">
        <v>40711</v>
      </c>
    </row>
    <row r="2053">
      <c r="A2053" s="114" t="inlineStr">
        <is>
          <t>557214</t>
        </is>
      </c>
      <c r="B2053" s="114" t="n">
        <v>17677</v>
      </c>
      <c r="C2053" s="114" t="inlineStr">
        <is>
          <t>United Kingdom</t>
        </is>
      </c>
      <c r="D2053" s="114" t="inlineStr">
        <is>
          <t>84997B</t>
        </is>
      </c>
      <c r="E2053" s="114" t="inlineStr">
        <is>
          <t xml:space="preserve">CHILDRENS CUTLERY RETROSPOT RED </t>
        </is>
      </c>
      <c r="F2053" s="114" t="n">
        <v>4</v>
      </c>
      <c r="G2053" s="115" t="n">
        <v>4.15</v>
      </c>
      <c r="H2053" s="115" t="n">
        <v>16.6</v>
      </c>
      <c r="I2053" s="116" t="n">
        <v>40711</v>
      </c>
    </row>
    <row r="2054">
      <c r="A2054" s="117" t="inlineStr">
        <is>
          <t>557217</t>
        </is>
      </c>
      <c r="B2054" s="117" t="n">
        <v>17426</v>
      </c>
      <c r="C2054" s="117" t="inlineStr">
        <is>
          <t>United Kingdom</t>
        </is>
      </c>
      <c r="D2054" s="117" t="inlineStr">
        <is>
          <t>22714</t>
        </is>
      </c>
      <c r="E2054" s="117" t="inlineStr">
        <is>
          <t>CARD BIRTHDAY COWBOY</t>
        </is>
      </c>
      <c r="F2054" s="117" t="n">
        <v>12</v>
      </c>
      <c r="G2054" s="118" t="n">
        <v>0.42</v>
      </c>
      <c r="H2054" s="118" t="n">
        <v>5.04</v>
      </c>
      <c r="I2054" s="119" t="n">
        <v>40711</v>
      </c>
    </row>
    <row r="2055">
      <c r="A2055" s="114" t="inlineStr">
        <is>
          <t>557222</t>
        </is>
      </c>
      <c r="B2055" s="114" t="n">
        <v>14936</v>
      </c>
      <c r="C2055" s="114" t="inlineStr">
        <is>
          <t>Channel Islands</t>
        </is>
      </c>
      <c r="D2055" s="114" t="inlineStr">
        <is>
          <t>21121</t>
        </is>
      </c>
      <c r="E2055" s="114" t="inlineStr">
        <is>
          <t>SET/10 RED POLKADOT PARTY CANDLES</t>
        </is>
      </c>
      <c r="F2055" s="114" t="n">
        <v>24</v>
      </c>
      <c r="G2055" s="115" t="n">
        <v>1.25</v>
      </c>
      <c r="H2055" s="115" t="n">
        <v>30</v>
      </c>
      <c r="I2055" s="116" t="n">
        <v>40711</v>
      </c>
    </row>
    <row r="2056">
      <c r="A2056" s="117" t="inlineStr">
        <is>
          <t>557232</t>
        </is>
      </c>
      <c r="B2056" s="117" t="n">
        <v>12463</v>
      </c>
      <c r="C2056" s="117" t="inlineStr">
        <is>
          <t>Belgium</t>
        </is>
      </c>
      <c r="D2056" s="117" t="inlineStr">
        <is>
          <t>23190</t>
        </is>
      </c>
      <c r="E2056" s="117" t="inlineStr">
        <is>
          <t xml:space="preserve">BUNDLE OF 3 SCHOOL EXERCISE BOOKS  </t>
        </is>
      </c>
      <c r="F2056" s="117" t="n">
        <v>12</v>
      </c>
      <c r="G2056" s="118" t="n">
        <v>1.65</v>
      </c>
      <c r="H2056" s="118" t="n">
        <v>19.8</v>
      </c>
      <c r="I2056" s="119" t="n">
        <v>40711</v>
      </c>
    </row>
    <row r="2057">
      <c r="A2057" s="114" t="inlineStr">
        <is>
          <t>557233</t>
        </is>
      </c>
      <c r="B2057" s="114" t="n">
        <v>15356</v>
      </c>
      <c r="C2057" s="114" t="inlineStr">
        <is>
          <t>United Kingdom</t>
        </is>
      </c>
      <c r="D2057" s="114" t="inlineStr">
        <is>
          <t>22728</t>
        </is>
      </c>
      <c r="E2057" s="114" t="inlineStr">
        <is>
          <t>ALARM CLOCK BAKELIKE PINK</t>
        </is>
      </c>
      <c r="F2057" s="114" t="n">
        <v>1</v>
      </c>
      <c r="G2057" s="115" t="n">
        <v>3.75</v>
      </c>
      <c r="H2057" s="115" t="n">
        <v>3.75</v>
      </c>
      <c r="I2057" s="116" t="n">
        <v>40711</v>
      </c>
    </row>
    <row r="2058">
      <c r="A2058" s="117" t="inlineStr">
        <is>
          <t>557250</t>
        </is>
      </c>
      <c r="B2058" s="117" t="n">
        <v>12748</v>
      </c>
      <c r="C2058" s="117" t="inlineStr">
        <is>
          <t>United Kingdom</t>
        </is>
      </c>
      <c r="D2058" s="117" t="inlineStr">
        <is>
          <t>23031</t>
        </is>
      </c>
      <c r="E2058" s="117" t="inlineStr">
        <is>
          <t>DRAWER KNOB CRACKLE GLAZE PINK</t>
        </is>
      </c>
      <c r="F2058" s="117" t="n">
        <v>2</v>
      </c>
      <c r="G2058" s="118" t="n">
        <v>1.65</v>
      </c>
      <c r="H2058" s="118" t="n">
        <v>3.3</v>
      </c>
      <c r="I2058" s="119" t="n">
        <v>40711</v>
      </c>
    </row>
    <row r="2059">
      <c r="A2059" s="114" t="inlineStr">
        <is>
          <t>557260</t>
        </is>
      </c>
      <c r="B2059" s="114" t="n">
        <v>17932</v>
      </c>
      <c r="C2059" s="114" t="inlineStr">
        <is>
          <t>United Kingdom</t>
        </is>
      </c>
      <c r="D2059" s="114" t="inlineStr">
        <is>
          <t>21260</t>
        </is>
      </c>
      <c r="E2059" s="114" t="inlineStr">
        <is>
          <t>FIRST AID TIN</t>
        </is>
      </c>
      <c r="F2059" s="114" t="n">
        <v>6</v>
      </c>
      <c r="G2059" s="115" t="n">
        <v>3.25</v>
      </c>
      <c r="H2059" s="115" t="n">
        <v>19.5</v>
      </c>
      <c r="I2059" s="116" t="n">
        <v>40713</v>
      </c>
    </row>
    <row r="2060">
      <c r="A2060" s="117" t="inlineStr">
        <is>
          <t>557263</t>
        </is>
      </c>
      <c r="B2060" s="117" t="n">
        <v>14646</v>
      </c>
      <c r="C2060" s="117" t="inlineStr">
        <is>
          <t>Netherlands</t>
        </is>
      </c>
      <c r="D2060" s="117" t="inlineStr">
        <is>
          <t>22326</t>
        </is>
      </c>
      <c r="E2060" s="117" t="inlineStr">
        <is>
          <t xml:space="preserve">ROUND SNACK BOXES SET OF4 WOODLAND </t>
        </is>
      </c>
      <c r="F2060" s="117" t="n">
        <v>192</v>
      </c>
      <c r="G2060" s="118" t="n">
        <v>2.55</v>
      </c>
      <c r="H2060" s="118" t="n">
        <v>489.6</v>
      </c>
      <c r="I2060" s="119" t="n">
        <v>40713</v>
      </c>
    </row>
    <row r="2061">
      <c r="A2061" s="114" t="inlineStr">
        <is>
          <t>557268</t>
        </is>
      </c>
      <c r="B2061" s="114" t="n">
        <v>13097</v>
      </c>
      <c r="C2061" s="114" t="inlineStr">
        <is>
          <t>United Kingdom</t>
        </is>
      </c>
      <c r="D2061" s="114" t="inlineStr">
        <is>
          <t>23169</t>
        </is>
      </c>
      <c r="E2061" s="114" t="inlineStr">
        <is>
          <t>CLASSIC GLASS COOKIE JAR</t>
        </is>
      </c>
      <c r="F2061" s="114" t="n">
        <v>2</v>
      </c>
      <c r="G2061" s="115" t="n">
        <v>4.15</v>
      </c>
      <c r="H2061" s="115" t="n">
        <v>8.300000000000001</v>
      </c>
      <c r="I2061" s="116" t="n">
        <v>40713</v>
      </c>
    </row>
    <row r="2062">
      <c r="A2062" s="117" t="inlineStr">
        <is>
          <t>557271</t>
        </is>
      </c>
      <c r="B2062" s="117" t="n">
        <v>17769</v>
      </c>
      <c r="C2062" s="117" t="inlineStr">
        <is>
          <t>United Kingdom</t>
        </is>
      </c>
      <c r="D2062" s="117" t="inlineStr">
        <is>
          <t>85123A</t>
        </is>
      </c>
      <c r="E2062" s="117" t="inlineStr">
        <is>
          <t>WHITE HANGING HEART T-LIGHT HOLDER</t>
        </is>
      </c>
      <c r="F2062" s="117" t="n">
        <v>6</v>
      </c>
      <c r="G2062" s="118" t="n">
        <v>2.95</v>
      </c>
      <c r="H2062" s="118" t="n">
        <v>17.7</v>
      </c>
      <c r="I2062" s="119" t="n">
        <v>40713</v>
      </c>
    </row>
    <row r="2063">
      <c r="A2063" s="114" t="inlineStr">
        <is>
          <t>557274</t>
        </is>
      </c>
      <c r="B2063" s="114" t="n">
        <v>14004</v>
      </c>
      <c r="C2063" s="114" t="inlineStr">
        <is>
          <t>United Kingdom</t>
        </is>
      </c>
      <c r="D2063" s="114" t="inlineStr">
        <is>
          <t>21669</t>
        </is>
      </c>
      <c r="E2063" s="114" t="inlineStr">
        <is>
          <t>BLUE STRIPE CERAMIC DRAWER KNOB</t>
        </is>
      </c>
      <c r="F2063" s="114" t="n">
        <v>12</v>
      </c>
      <c r="G2063" s="115" t="n">
        <v>1.25</v>
      </c>
      <c r="H2063" s="115" t="n">
        <v>15</v>
      </c>
      <c r="I2063" s="116" t="n">
        <v>40713</v>
      </c>
    </row>
    <row r="2064">
      <c r="A2064" s="117" t="inlineStr">
        <is>
          <t>557274</t>
        </is>
      </c>
      <c r="B2064" s="117" t="n">
        <v>14004</v>
      </c>
      <c r="C2064" s="117" t="inlineStr">
        <is>
          <t>United Kingdom</t>
        </is>
      </c>
      <c r="D2064" s="117" t="inlineStr">
        <is>
          <t>22847</t>
        </is>
      </c>
      <c r="E2064" s="117" t="inlineStr">
        <is>
          <t>BREAD BIN DINER STYLE IVORY</t>
        </is>
      </c>
      <c r="F2064" s="117" t="n">
        <v>4</v>
      </c>
      <c r="G2064" s="118" t="n">
        <v>14.95</v>
      </c>
      <c r="H2064" s="118" t="n">
        <v>59.8</v>
      </c>
      <c r="I2064" s="119" t="n">
        <v>40713</v>
      </c>
    </row>
    <row r="2065">
      <c r="A2065" s="114" t="inlineStr">
        <is>
          <t>557275</t>
        </is>
      </c>
      <c r="B2065" s="114" t="n">
        <v>15544</v>
      </c>
      <c r="C2065" s="114" t="inlineStr">
        <is>
          <t>United Kingdom</t>
        </is>
      </c>
      <c r="D2065" s="114" t="inlineStr">
        <is>
          <t>20674</t>
        </is>
      </c>
      <c r="E2065" s="114" t="inlineStr">
        <is>
          <t>GREEN POLKADOT BOWL</t>
        </is>
      </c>
      <c r="F2065" s="114" t="n">
        <v>8</v>
      </c>
      <c r="G2065" s="115" t="n">
        <v>1.25</v>
      </c>
      <c r="H2065" s="115" t="n">
        <v>10</v>
      </c>
      <c r="I2065" s="116" t="n">
        <v>40713</v>
      </c>
    </row>
    <row r="2066">
      <c r="A2066" s="117" t="inlineStr">
        <is>
          <t>557278</t>
        </is>
      </c>
      <c r="B2066" s="117" t="n">
        <v>13089</v>
      </c>
      <c r="C2066" s="117" t="inlineStr">
        <is>
          <t>United Kingdom</t>
        </is>
      </c>
      <c r="D2066" s="117" t="inlineStr">
        <is>
          <t>47566</t>
        </is>
      </c>
      <c r="E2066" s="117" t="inlineStr">
        <is>
          <t>PARTY BUNTING</t>
        </is>
      </c>
      <c r="F2066" s="117" t="n">
        <v>12</v>
      </c>
      <c r="G2066" s="118" t="n">
        <v>4.95</v>
      </c>
      <c r="H2066" s="118" t="n">
        <v>59.4</v>
      </c>
      <c r="I2066" s="119" t="n">
        <v>40713</v>
      </c>
    </row>
    <row r="2067">
      <c r="A2067" s="114" t="inlineStr">
        <is>
          <t>557278</t>
        </is>
      </c>
      <c r="B2067" s="114" t="n">
        <v>13089</v>
      </c>
      <c r="C2067" s="114" t="inlineStr">
        <is>
          <t>United Kingdom</t>
        </is>
      </c>
      <c r="D2067" s="114" t="inlineStr">
        <is>
          <t>22718</t>
        </is>
      </c>
      <c r="E2067" s="114" t="inlineStr">
        <is>
          <t xml:space="preserve">CARD CAT AND TREE </t>
        </is>
      </c>
      <c r="F2067" s="114" t="n">
        <v>12</v>
      </c>
      <c r="G2067" s="115" t="n">
        <v>0.42</v>
      </c>
      <c r="H2067" s="115" t="n">
        <v>5.04</v>
      </c>
      <c r="I2067" s="116" t="n">
        <v>40713</v>
      </c>
    </row>
    <row r="2068">
      <c r="A2068" s="117" t="inlineStr">
        <is>
          <t>557281</t>
        </is>
      </c>
      <c r="B2068" s="117" t="n">
        <v>13632</v>
      </c>
      <c r="C2068" s="117" t="inlineStr">
        <is>
          <t>United Kingdom</t>
        </is>
      </c>
      <c r="D2068" s="117" t="inlineStr">
        <is>
          <t>48111</t>
        </is>
      </c>
      <c r="E2068" s="117" t="inlineStr">
        <is>
          <t>DOORMAT 3 SMILEY CATS</t>
        </is>
      </c>
      <c r="F2068" s="117" t="n">
        <v>1</v>
      </c>
      <c r="G2068" s="118" t="n">
        <v>7.95</v>
      </c>
      <c r="H2068" s="118" t="n">
        <v>7.95</v>
      </c>
      <c r="I2068" s="119" t="n">
        <v>40713</v>
      </c>
    </row>
    <row r="2069">
      <c r="A2069" s="114" t="inlineStr">
        <is>
          <t>557287</t>
        </is>
      </c>
      <c r="B2069" s="114" t="n">
        <v>18109</v>
      </c>
      <c r="C2069" s="114" t="inlineStr">
        <is>
          <t>United Kingdom</t>
        </is>
      </c>
      <c r="D2069" s="114" t="inlineStr">
        <is>
          <t>21340</t>
        </is>
      </c>
      <c r="E2069" s="114" t="inlineStr">
        <is>
          <t>CLASSIC METAL BIRDCAGE PLANT HOLDER</t>
        </is>
      </c>
      <c r="F2069" s="114" t="n">
        <v>1</v>
      </c>
      <c r="G2069" s="115" t="n">
        <v>12.75</v>
      </c>
      <c r="H2069" s="115" t="n">
        <v>12.75</v>
      </c>
      <c r="I2069" s="116" t="n">
        <v>40713</v>
      </c>
    </row>
    <row r="2070">
      <c r="A2070" s="117" t="inlineStr">
        <is>
          <t>557289</t>
        </is>
      </c>
      <c r="B2070" s="117" t="n">
        <v>16880</v>
      </c>
      <c r="C2070" s="117" t="inlineStr">
        <is>
          <t>United Kingdom</t>
        </is>
      </c>
      <c r="D2070" s="117" t="inlineStr">
        <is>
          <t>10133</t>
        </is>
      </c>
      <c r="E2070" s="117" t="inlineStr">
        <is>
          <t>COLOURING PENCILS BROWN TUBE</t>
        </is>
      </c>
      <c r="F2070" s="117" t="n">
        <v>12</v>
      </c>
      <c r="G2070" s="118" t="n">
        <v>0.42</v>
      </c>
      <c r="H2070" s="118" t="n">
        <v>5.04</v>
      </c>
      <c r="I2070" s="119" t="n">
        <v>40713</v>
      </c>
    </row>
    <row r="2071">
      <c r="A2071" s="114" t="inlineStr">
        <is>
          <t>557293</t>
        </is>
      </c>
      <c r="B2071" s="114" t="n">
        <v>16326</v>
      </c>
      <c r="C2071" s="114" t="inlineStr">
        <is>
          <t>United Kingdom</t>
        </is>
      </c>
      <c r="D2071" s="114" t="inlineStr">
        <is>
          <t>23209</t>
        </is>
      </c>
      <c r="E2071" s="114" t="inlineStr">
        <is>
          <t xml:space="preserve">LUNCH BAG DOILEY PATTERN </t>
        </is>
      </c>
      <c r="F2071" s="114" t="n">
        <v>1</v>
      </c>
      <c r="G2071" s="115" t="n">
        <v>1.65</v>
      </c>
      <c r="H2071" s="115" t="n">
        <v>1.65</v>
      </c>
      <c r="I2071" s="116" t="n">
        <v>40713</v>
      </c>
    </row>
    <row r="2072">
      <c r="A2072" s="117" t="inlineStr">
        <is>
          <t>557294</t>
        </is>
      </c>
      <c r="B2072" s="117" t="n">
        <v>13629</v>
      </c>
      <c r="C2072" s="117" t="inlineStr">
        <is>
          <t>United Kingdom</t>
        </is>
      </c>
      <c r="D2072" s="117" t="inlineStr">
        <is>
          <t>85099F</t>
        </is>
      </c>
      <c r="E2072" s="117" t="inlineStr">
        <is>
          <t>JUMBO BAG STRAWBERRY</t>
        </is>
      </c>
      <c r="F2072" s="117" t="n">
        <v>100</v>
      </c>
      <c r="G2072" s="118" t="n">
        <v>1.79</v>
      </c>
      <c r="H2072" s="118" t="n">
        <v>179</v>
      </c>
      <c r="I2072" s="119" t="n">
        <v>40713</v>
      </c>
    </row>
    <row r="2073">
      <c r="A2073" s="114" t="inlineStr">
        <is>
          <t>557301</t>
        </is>
      </c>
      <c r="B2073" s="114" t="n">
        <v>15373</v>
      </c>
      <c r="C2073" s="114" t="inlineStr">
        <is>
          <t>United Kingdom</t>
        </is>
      </c>
      <c r="D2073" s="114" t="inlineStr">
        <is>
          <t>21625</t>
        </is>
      </c>
      <c r="E2073" s="114" t="inlineStr">
        <is>
          <t>VINTAGE UNION JACK APRON</t>
        </is>
      </c>
      <c r="F2073" s="114" t="n">
        <v>3</v>
      </c>
      <c r="G2073" s="115" t="n">
        <v>6.95</v>
      </c>
      <c r="H2073" s="115" t="n">
        <v>20.85</v>
      </c>
      <c r="I2073" s="116" t="n">
        <v>40713</v>
      </c>
    </row>
    <row r="2074">
      <c r="A2074" s="117" t="inlineStr">
        <is>
          <t>557304</t>
        </is>
      </c>
      <c r="B2074" s="117" t="n">
        <v>16326</v>
      </c>
      <c r="C2074" s="117" t="inlineStr">
        <is>
          <t>United Kingdom</t>
        </is>
      </c>
      <c r="D2074" s="117" t="inlineStr">
        <is>
          <t>23065</t>
        </is>
      </c>
      <c r="E2074" s="117" t="inlineStr">
        <is>
          <t>LARGE DECO JEWELLERY STAND</t>
        </is>
      </c>
      <c r="F2074" s="117" t="n">
        <v>3</v>
      </c>
      <c r="G2074" s="118" t="n">
        <v>12.5</v>
      </c>
      <c r="H2074" s="118" t="n">
        <v>37.5</v>
      </c>
      <c r="I2074" s="119" t="n">
        <v>40713</v>
      </c>
    </row>
    <row r="2075">
      <c r="A2075" s="114" t="inlineStr">
        <is>
          <t>557305</t>
        </is>
      </c>
      <c r="B2075" s="114" t="n">
        <v>13568</v>
      </c>
      <c r="C2075" s="114" t="inlineStr">
        <is>
          <t>United Kingdom</t>
        </is>
      </c>
      <c r="D2075" s="114" t="inlineStr">
        <is>
          <t>17107D</t>
        </is>
      </c>
      <c r="E2075" s="114" t="inlineStr">
        <is>
          <t>FLOWER FAIRY,5 SUMMER B'DRAW LINERS</t>
        </is>
      </c>
      <c r="F2075" s="114" t="n">
        <v>2</v>
      </c>
      <c r="G2075" s="115" t="n">
        <v>2.55</v>
      </c>
      <c r="H2075" s="115" t="n">
        <v>5.1</v>
      </c>
      <c r="I2075" s="116" t="n">
        <v>40713</v>
      </c>
    </row>
    <row r="2076">
      <c r="A2076" s="117" t="inlineStr">
        <is>
          <t>557311</t>
        </is>
      </c>
      <c r="B2076" s="117" t="n">
        <v>15700</v>
      </c>
      <c r="C2076" s="117" t="inlineStr">
        <is>
          <t>United Kingdom</t>
        </is>
      </c>
      <c r="D2076" s="117" t="inlineStr">
        <is>
          <t>21239</t>
        </is>
      </c>
      <c r="E2076" s="117" t="inlineStr">
        <is>
          <t>PINK  POLKADOT CUP</t>
        </is>
      </c>
      <c r="F2076" s="117" t="n">
        <v>8</v>
      </c>
      <c r="G2076" s="118" t="n">
        <v>0.85</v>
      </c>
      <c r="H2076" s="118" t="n">
        <v>6.8</v>
      </c>
      <c r="I2076" s="119" t="n">
        <v>40713</v>
      </c>
    </row>
    <row r="2077">
      <c r="A2077" s="114" t="inlineStr">
        <is>
          <t>557313</t>
        </is>
      </c>
      <c r="B2077" s="114" t="n">
        <v>13524</v>
      </c>
      <c r="C2077" s="114" t="inlineStr">
        <is>
          <t>United Kingdom</t>
        </is>
      </c>
      <c r="D2077" s="114" t="inlineStr">
        <is>
          <t>22804</t>
        </is>
      </c>
      <c r="E2077" s="114" t="inlineStr">
        <is>
          <t>CANDLEHOLDER PINK HANGING HEART</t>
        </is>
      </c>
      <c r="F2077" s="114" t="n">
        <v>6</v>
      </c>
      <c r="G2077" s="115" t="n">
        <v>2.95</v>
      </c>
      <c r="H2077" s="115" t="n">
        <v>17.7</v>
      </c>
      <c r="I2077" s="116" t="n">
        <v>40713</v>
      </c>
    </row>
    <row r="2078">
      <c r="A2078" s="117" t="inlineStr">
        <is>
          <t>557316</t>
        </is>
      </c>
      <c r="B2078" s="117" t="n">
        <v>17299</v>
      </c>
      <c r="C2078" s="117" t="inlineStr">
        <is>
          <t>United Kingdom</t>
        </is>
      </c>
      <c r="D2078" s="117" t="inlineStr">
        <is>
          <t>23203</t>
        </is>
      </c>
      <c r="E2078" s="117" t="inlineStr">
        <is>
          <t>JUMBO BAG DOILEY PATTERNS</t>
        </is>
      </c>
      <c r="F2078" s="117" t="n">
        <v>1</v>
      </c>
      <c r="G2078" s="118" t="n">
        <v>2.08</v>
      </c>
      <c r="H2078" s="118" t="n">
        <v>2.08</v>
      </c>
      <c r="I2078" s="119" t="n">
        <v>40713</v>
      </c>
    </row>
    <row r="2079">
      <c r="A2079" s="114" t="inlineStr">
        <is>
          <t>557322</t>
        </is>
      </c>
      <c r="B2079" s="114" t="n">
        <v>17444</v>
      </c>
      <c r="C2079" s="114" t="inlineStr">
        <is>
          <t>Canada</t>
        </is>
      </c>
      <c r="D2079" s="114" t="inlineStr">
        <is>
          <t>22138</t>
        </is>
      </c>
      <c r="E2079" s="114" t="inlineStr">
        <is>
          <t xml:space="preserve">BAKING SET 9 PIECE RETROSPOT </t>
        </is>
      </c>
      <c r="F2079" s="114" t="n">
        <v>6</v>
      </c>
      <c r="G2079" s="115" t="n">
        <v>4.95</v>
      </c>
      <c r="H2079" s="115" t="n">
        <v>29.7</v>
      </c>
      <c r="I2079" s="116" t="n">
        <v>40714</v>
      </c>
    </row>
    <row r="2080">
      <c r="A2080" s="117" t="inlineStr">
        <is>
          <t>557332</t>
        </is>
      </c>
      <c r="B2080" s="117" t="n">
        <v>14291</v>
      </c>
      <c r="C2080" s="117" t="inlineStr">
        <is>
          <t>United Kingdom</t>
        </is>
      </c>
      <c r="D2080" s="117" t="inlineStr">
        <is>
          <t>23229</t>
        </is>
      </c>
      <c r="E2080" s="117" t="inlineStr">
        <is>
          <t xml:space="preserve">VINTAGE DONKEY TAIL GAME </t>
        </is>
      </c>
      <c r="F2080" s="117" t="n">
        <v>6</v>
      </c>
      <c r="G2080" s="118" t="n">
        <v>3.75</v>
      </c>
      <c r="H2080" s="118" t="n">
        <v>22.5</v>
      </c>
      <c r="I2080" s="119" t="n">
        <v>40714</v>
      </c>
    </row>
    <row r="2081">
      <c r="A2081" s="114" t="inlineStr">
        <is>
          <t>557409</t>
        </is>
      </c>
      <c r="B2081" s="114" t="n">
        <v>15410</v>
      </c>
      <c r="C2081" s="114" t="inlineStr">
        <is>
          <t>United Kingdom</t>
        </is>
      </c>
      <c r="D2081" s="114" t="inlineStr">
        <is>
          <t>23170</t>
        </is>
      </c>
      <c r="E2081" s="114" t="inlineStr">
        <is>
          <t xml:space="preserve">REGENCY TEA PLATE ROSES </t>
        </is>
      </c>
      <c r="F2081" s="114" t="n">
        <v>12</v>
      </c>
      <c r="G2081" s="115" t="n">
        <v>1.65</v>
      </c>
      <c r="H2081" s="115" t="n">
        <v>19.8</v>
      </c>
      <c r="I2081" s="116" t="n">
        <v>40714</v>
      </c>
    </row>
    <row r="2082">
      <c r="A2082" s="117" t="inlineStr">
        <is>
          <t>557414</t>
        </is>
      </c>
      <c r="B2082" s="117" t="n">
        <v>15840</v>
      </c>
      <c r="C2082" s="117" t="inlineStr">
        <is>
          <t>United Kingdom</t>
        </is>
      </c>
      <c r="D2082" s="117" t="inlineStr">
        <is>
          <t>22029</t>
        </is>
      </c>
      <c r="E2082" s="117" t="inlineStr">
        <is>
          <t>SPACEBOY BIRTHDAY CARD</t>
        </is>
      </c>
      <c r="F2082" s="117" t="n">
        <v>12</v>
      </c>
      <c r="G2082" s="118" t="n">
        <v>0.42</v>
      </c>
      <c r="H2082" s="118" t="n">
        <v>5.04</v>
      </c>
      <c r="I2082" s="119" t="n">
        <v>40714</v>
      </c>
    </row>
    <row r="2083">
      <c r="A2083" s="114" t="inlineStr">
        <is>
          <t>557426</t>
        </is>
      </c>
      <c r="B2083" s="114" t="n">
        <v>15016</v>
      </c>
      <c r="C2083" s="114" t="inlineStr">
        <is>
          <t>United Kingdom</t>
        </is>
      </c>
      <c r="D2083" s="114" t="inlineStr">
        <is>
          <t>23284</t>
        </is>
      </c>
      <c r="E2083" s="114" t="inlineStr">
        <is>
          <t>DOORMAT KEEP CALM AND COME IN</t>
        </is>
      </c>
      <c r="F2083" s="114" t="n">
        <v>2</v>
      </c>
      <c r="G2083" s="115" t="n">
        <v>7.95</v>
      </c>
      <c r="H2083" s="115" t="n">
        <v>15.9</v>
      </c>
      <c r="I2083" s="116" t="n">
        <v>40714</v>
      </c>
    </row>
    <row r="2084">
      <c r="A2084" s="117" t="inlineStr">
        <is>
          <t>557431</t>
        </is>
      </c>
      <c r="B2084" s="117" t="n">
        <v>18260</v>
      </c>
      <c r="C2084" s="117" t="inlineStr">
        <is>
          <t>United Kingdom</t>
        </is>
      </c>
      <c r="D2084" s="117" t="inlineStr">
        <is>
          <t>22082</t>
        </is>
      </c>
      <c r="E2084" s="117" t="inlineStr">
        <is>
          <t xml:space="preserve">RIBBON REEL STRIPES DESIGN </t>
        </is>
      </c>
      <c r="F2084" s="117" t="n">
        <v>10</v>
      </c>
      <c r="G2084" s="118" t="n">
        <v>1.65</v>
      </c>
      <c r="H2084" s="118" t="n">
        <v>16.5</v>
      </c>
      <c r="I2084" s="119" t="n">
        <v>40714</v>
      </c>
    </row>
    <row r="2085">
      <c r="A2085" s="114" t="inlineStr">
        <is>
          <t>557442</t>
        </is>
      </c>
      <c r="B2085" s="114" t="n">
        <v>14808</v>
      </c>
      <c r="C2085" s="114" t="inlineStr">
        <is>
          <t>United Kingdom</t>
        </is>
      </c>
      <c r="D2085" s="114" t="inlineStr">
        <is>
          <t>84931B</t>
        </is>
      </c>
      <c r="E2085" s="114" t="inlineStr">
        <is>
          <t>BLUE SCOTTIE DOG W FLOWER PATTERN</t>
        </is>
      </c>
      <c r="F2085" s="114" t="n">
        <v>2</v>
      </c>
      <c r="G2085" s="115" t="n">
        <v>2.55</v>
      </c>
      <c r="H2085" s="115" t="n">
        <v>5.1</v>
      </c>
      <c r="I2085" s="116" t="n">
        <v>40714</v>
      </c>
    </row>
    <row r="2086">
      <c r="A2086" s="117" t="inlineStr">
        <is>
          <t>557466</t>
        </is>
      </c>
      <c r="B2086" s="117" t="n">
        <v>13815</v>
      </c>
      <c r="C2086" s="117" t="inlineStr">
        <is>
          <t>Germany</t>
        </is>
      </c>
      <c r="D2086" s="117" t="inlineStr">
        <is>
          <t>21929</t>
        </is>
      </c>
      <c r="E2086" s="117" t="inlineStr">
        <is>
          <t>JUMBO BAG PINK VINTAGE PAISLEY</t>
        </is>
      </c>
      <c r="F2086" s="117" t="n">
        <v>20</v>
      </c>
      <c r="G2086" s="118" t="n">
        <v>2.08</v>
      </c>
      <c r="H2086" s="118" t="n">
        <v>41.6</v>
      </c>
      <c r="I2086" s="119" t="n">
        <v>40714</v>
      </c>
    </row>
    <row r="2087">
      <c r="A2087" s="114" t="inlineStr">
        <is>
          <t>557468</t>
        </is>
      </c>
      <c r="B2087" s="114" t="n">
        <v>16713</v>
      </c>
      <c r="C2087" s="114" t="inlineStr">
        <is>
          <t>United Kingdom</t>
        </is>
      </c>
      <c r="D2087" s="114" t="inlineStr">
        <is>
          <t>20727</t>
        </is>
      </c>
      <c r="E2087" s="114" t="inlineStr">
        <is>
          <t>LUNCH BAG  BLACK SKULL.</t>
        </is>
      </c>
      <c r="F2087" s="114" t="n">
        <v>3</v>
      </c>
      <c r="G2087" s="115" t="n">
        <v>1.65</v>
      </c>
      <c r="H2087" s="115" t="n">
        <v>4.95</v>
      </c>
      <c r="I2087" s="116" t="n">
        <v>40714</v>
      </c>
    </row>
    <row r="2088">
      <c r="A2088" s="117" t="inlineStr">
        <is>
          <t>557468</t>
        </is>
      </c>
      <c r="B2088" s="117" t="n">
        <v>16713</v>
      </c>
      <c r="C2088" s="117" t="inlineStr">
        <is>
          <t>United Kingdom</t>
        </is>
      </c>
      <c r="D2088" s="117" t="inlineStr">
        <is>
          <t>23253</t>
        </is>
      </c>
      <c r="E2088" s="117" t="inlineStr">
        <is>
          <t>16 PIECE CUTLERY SET PANTRY DESIGN</t>
        </is>
      </c>
      <c r="F2088" s="117" t="n">
        <v>1</v>
      </c>
      <c r="G2088" s="118" t="n">
        <v>15.95</v>
      </c>
      <c r="H2088" s="118" t="n">
        <v>15.95</v>
      </c>
      <c r="I2088" s="119" t="n">
        <v>40714</v>
      </c>
    </row>
    <row r="2089">
      <c r="A2089" s="114" t="inlineStr">
        <is>
          <t>557468</t>
        </is>
      </c>
      <c r="B2089" s="114" t="n">
        <v>16713</v>
      </c>
      <c r="C2089" s="114" t="inlineStr">
        <is>
          <t>United Kingdom</t>
        </is>
      </c>
      <c r="D2089" s="114" t="inlineStr">
        <is>
          <t>82600</t>
        </is>
      </c>
      <c r="E2089" s="114" t="inlineStr">
        <is>
          <t>NO SINGING METAL SIGN</t>
        </is>
      </c>
      <c r="F2089" s="114" t="n">
        <v>1</v>
      </c>
      <c r="G2089" s="115" t="n">
        <v>2.1</v>
      </c>
      <c r="H2089" s="115" t="n">
        <v>2.1</v>
      </c>
      <c r="I2089" s="116" t="n">
        <v>40714</v>
      </c>
    </row>
    <row r="2090">
      <c r="A2090" s="117" t="inlineStr">
        <is>
          <t>557471</t>
        </is>
      </c>
      <c r="B2090" s="117" t="n">
        <v>15825</v>
      </c>
      <c r="C2090" s="117" t="inlineStr">
        <is>
          <t>United Kingdom</t>
        </is>
      </c>
      <c r="D2090" s="117" t="inlineStr">
        <is>
          <t>22178</t>
        </is>
      </c>
      <c r="E2090" s="117" t="inlineStr">
        <is>
          <t>VICTORIAN GLASS HANGING T-LIGHT</t>
        </is>
      </c>
      <c r="F2090" s="117" t="n">
        <v>12</v>
      </c>
      <c r="G2090" s="118" t="n">
        <v>1.25</v>
      </c>
      <c r="H2090" s="118" t="n">
        <v>15</v>
      </c>
      <c r="I2090" s="119" t="n">
        <v>40714</v>
      </c>
    </row>
    <row r="2091">
      <c r="A2091" s="114" t="inlineStr">
        <is>
          <t>557472</t>
        </is>
      </c>
      <c r="B2091" s="114" t="n">
        <v>12432</v>
      </c>
      <c r="C2091" s="114" t="inlineStr">
        <is>
          <t>Norway</t>
        </is>
      </c>
      <c r="D2091" s="114" t="inlineStr">
        <is>
          <t>21194</t>
        </is>
      </c>
      <c r="E2091" s="114" t="inlineStr">
        <is>
          <t>PINK  HONEYCOMB PAPER FAN</t>
        </is>
      </c>
      <c r="F2091" s="114" t="n">
        <v>12</v>
      </c>
      <c r="G2091" s="115" t="n">
        <v>0.65</v>
      </c>
      <c r="H2091" s="115" t="n">
        <v>7.8</v>
      </c>
      <c r="I2091" s="116" t="n">
        <v>40714</v>
      </c>
    </row>
    <row r="2092">
      <c r="A2092" s="117" t="inlineStr">
        <is>
          <t>557492</t>
        </is>
      </c>
      <c r="B2092" s="117" t="n">
        <v>13717</v>
      </c>
      <c r="C2092" s="117" t="inlineStr">
        <is>
          <t>United Kingdom</t>
        </is>
      </c>
      <c r="D2092" s="117" t="inlineStr">
        <is>
          <t>47021G</t>
        </is>
      </c>
      <c r="E2092" s="117" t="inlineStr">
        <is>
          <t>SET/6 BEAD COASTERS GAUZE BAG GOLD</t>
        </is>
      </c>
      <c r="F2092" s="117" t="n">
        <v>48</v>
      </c>
      <c r="G2092" s="118" t="n">
        <v>0.39</v>
      </c>
      <c r="H2092" s="118" t="n">
        <v>18.72</v>
      </c>
      <c r="I2092" s="119" t="n">
        <v>40714</v>
      </c>
    </row>
    <row r="2093">
      <c r="A2093" s="114" t="inlineStr">
        <is>
          <t>557525</t>
        </is>
      </c>
      <c r="B2093" s="114" t="n">
        <v>12759</v>
      </c>
      <c r="C2093" s="114" t="inlineStr">
        <is>
          <t>Netherlands</t>
        </is>
      </c>
      <c r="D2093" s="114" t="inlineStr">
        <is>
          <t>21172</t>
        </is>
      </c>
      <c r="E2093" s="114" t="inlineStr">
        <is>
          <t xml:space="preserve">PARTY METAL SIGN </t>
        </is>
      </c>
      <c r="F2093" s="114" t="n">
        <v>12</v>
      </c>
      <c r="G2093" s="115" t="n">
        <v>1.45</v>
      </c>
      <c r="H2093" s="115" t="n">
        <v>17.4</v>
      </c>
      <c r="I2093" s="116" t="n">
        <v>40715</v>
      </c>
    </row>
    <row r="2094">
      <c r="A2094" s="117" t="inlineStr">
        <is>
          <t>557570</t>
        </is>
      </c>
      <c r="B2094" s="117" t="n">
        <v>15998</v>
      </c>
      <c r="C2094" s="117" t="inlineStr">
        <is>
          <t>United Kingdom</t>
        </is>
      </c>
      <c r="D2094" s="117" t="inlineStr">
        <is>
          <t>85123A</t>
        </is>
      </c>
      <c r="E2094" s="117" t="inlineStr">
        <is>
          <t>WHITE HANGING HEART T-LIGHT HOLDER</t>
        </is>
      </c>
      <c r="F2094" s="117" t="n">
        <v>2</v>
      </c>
      <c r="G2094" s="118" t="n">
        <v>2.95</v>
      </c>
      <c r="H2094" s="118" t="n">
        <v>5.9</v>
      </c>
      <c r="I2094" s="119" t="n">
        <v>40715</v>
      </c>
    </row>
    <row r="2095">
      <c r="A2095" s="114" t="inlineStr">
        <is>
          <t>557570</t>
        </is>
      </c>
      <c r="B2095" s="114" t="n">
        <v>15998</v>
      </c>
      <c r="C2095" s="114" t="inlineStr">
        <is>
          <t>United Kingdom</t>
        </is>
      </c>
      <c r="D2095" s="114" t="inlineStr">
        <is>
          <t>21080</t>
        </is>
      </c>
      <c r="E2095" s="114" t="inlineStr">
        <is>
          <t xml:space="preserve">SET/20 RED RETROSPOT PAPER NAPKINS </t>
        </is>
      </c>
      <c r="F2095" s="114" t="n">
        <v>6</v>
      </c>
      <c r="G2095" s="115" t="n">
        <v>0.85</v>
      </c>
      <c r="H2095" s="115" t="n">
        <v>5.1</v>
      </c>
      <c r="I2095" s="116" t="n">
        <v>40715</v>
      </c>
    </row>
    <row r="2096">
      <c r="A2096" s="117" t="inlineStr">
        <is>
          <t>557570</t>
        </is>
      </c>
      <c r="B2096" s="117" t="n">
        <v>15998</v>
      </c>
      <c r="C2096" s="117" t="inlineStr">
        <is>
          <t>United Kingdom</t>
        </is>
      </c>
      <c r="D2096" s="117" t="inlineStr">
        <is>
          <t>20774</t>
        </is>
      </c>
      <c r="E2096" s="117" t="inlineStr">
        <is>
          <t>GREEN FERN NOTEBOOK</t>
        </is>
      </c>
      <c r="F2096" s="117" t="n">
        <v>2</v>
      </c>
      <c r="G2096" s="118" t="n">
        <v>1.65</v>
      </c>
      <c r="H2096" s="118" t="n">
        <v>3.3</v>
      </c>
      <c r="I2096" s="119" t="n">
        <v>40715</v>
      </c>
    </row>
    <row r="2097">
      <c r="A2097" s="114" t="inlineStr">
        <is>
          <t>557604</t>
        </is>
      </c>
      <c r="B2097" s="114" t="n">
        <v>15039</v>
      </c>
      <c r="C2097" s="114" t="inlineStr">
        <is>
          <t>United Kingdom</t>
        </is>
      </c>
      <c r="D2097" s="114" t="inlineStr">
        <is>
          <t>23322</t>
        </is>
      </c>
      <c r="E2097" s="114" t="inlineStr">
        <is>
          <t>LARGE WHITE HEART OF WICKER</t>
        </is>
      </c>
      <c r="F2097" s="114" t="n">
        <v>6</v>
      </c>
      <c r="G2097" s="115" t="n">
        <v>2.95</v>
      </c>
      <c r="H2097" s="115" t="n">
        <v>17.7</v>
      </c>
      <c r="I2097" s="116" t="n">
        <v>40715</v>
      </c>
    </row>
    <row r="2098">
      <c r="A2098" s="117" t="inlineStr">
        <is>
          <t>557604</t>
        </is>
      </c>
      <c r="B2098" s="117" t="n">
        <v>15039</v>
      </c>
      <c r="C2098" s="117" t="inlineStr">
        <is>
          <t>United Kingdom</t>
        </is>
      </c>
      <c r="D2098" s="117" t="inlineStr">
        <is>
          <t>22411</t>
        </is>
      </c>
      <c r="E2098" s="117" t="inlineStr">
        <is>
          <t>JUMBO SHOPPER VINTAGE RED PAISLEY</t>
        </is>
      </c>
      <c r="F2098" s="117" t="n">
        <v>10</v>
      </c>
      <c r="G2098" s="118" t="n">
        <v>2.08</v>
      </c>
      <c r="H2098" s="118" t="n">
        <v>20.8</v>
      </c>
      <c r="I2098" s="119" t="n">
        <v>40715</v>
      </c>
    </row>
    <row r="2099">
      <c r="A2099" s="114" t="inlineStr">
        <is>
          <t>557621</t>
        </is>
      </c>
      <c r="B2099" s="114" t="n">
        <v>12444</v>
      </c>
      <c r="C2099" s="114" t="inlineStr">
        <is>
          <t>Norway</t>
        </is>
      </c>
      <c r="D2099" s="114" t="inlineStr">
        <is>
          <t>85053</t>
        </is>
      </c>
      <c r="E2099" s="114" t="inlineStr">
        <is>
          <t>FRENCH ENAMEL CANDLEHOLDER</t>
        </is>
      </c>
      <c r="F2099" s="114" t="n">
        <v>6</v>
      </c>
      <c r="G2099" s="115" t="n">
        <v>2.1</v>
      </c>
      <c r="H2099" s="115" t="n">
        <v>12.6</v>
      </c>
      <c r="I2099" s="116" t="n">
        <v>40715</v>
      </c>
    </row>
    <row r="2100">
      <c r="A2100" s="117" t="inlineStr">
        <is>
          <t>557623</t>
        </is>
      </c>
      <c r="B2100" s="117" t="n">
        <v>15498</v>
      </c>
      <c r="C2100" s="117" t="inlineStr">
        <is>
          <t>United Kingdom</t>
        </is>
      </c>
      <c r="D2100" s="117" t="inlineStr">
        <is>
          <t>23287</t>
        </is>
      </c>
      <c r="E2100" s="117" t="inlineStr">
        <is>
          <t>RED VINTAGE SPOT BEAKER</t>
        </is>
      </c>
      <c r="F2100" s="117" t="n">
        <v>8</v>
      </c>
      <c r="G2100" s="118" t="n">
        <v>0.85</v>
      </c>
      <c r="H2100" s="118" t="n">
        <v>6.8</v>
      </c>
      <c r="I2100" s="119" t="n">
        <v>40715</v>
      </c>
    </row>
    <row r="2101">
      <c r="A2101" s="114" t="inlineStr">
        <is>
          <t>557628</t>
        </is>
      </c>
      <c r="B2101" s="114" t="n">
        <v>15311</v>
      </c>
      <c r="C2101" s="114" t="inlineStr">
        <is>
          <t>United Kingdom</t>
        </is>
      </c>
      <c r="D2101" s="114" t="inlineStr">
        <is>
          <t>17129F</t>
        </is>
      </c>
      <c r="E2101" s="114" t="inlineStr">
        <is>
          <t>BLUE GLASS GEMS IN BAG</t>
        </is>
      </c>
      <c r="F2101" s="114" t="n">
        <v>48</v>
      </c>
      <c r="G2101" s="115" t="n">
        <v>0.64</v>
      </c>
      <c r="H2101" s="115" t="n">
        <v>30.72</v>
      </c>
      <c r="I2101" s="116" t="n">
        <v>40715</v>
      </c>
    </row>
    <row r="2102">
      <c r="A2102" s="117" t="inlineStr">
        <is>
          <t>557630</t>
        </is>
      </c>
      <c r="B2102" s="117" t="n">
        <v>13178</v>
      </c>
      <c r="C2102" s="117" t="inlineStr">
        <is>
          <t>United Kingdom</t>
        </is>
      </c>
      <c r="D2102" s="117" t="inlineStr">
        <is>
          <t>20724</t>
        </is>
      </c>
      <c r="E2102" s="117" t="inlineStr">
        <is>
          <t>RED RETROSPOT CHARLOTTE BAG</t>
        </is>
      </c>
      <c r="F2102" s="117" t="n">
        <v>10</v>
      </c>
      <c r="G2102" s="118" t="n">
        <v>0.85</v>
      </c>
      <c r="H2102" s="118" t="n">
        <v>8.5</v>
      </c>
      <c r="I2102" s="119" t="n">
        <v>40715</v>
      </c>
    </row>
    <row r="2103">
      <c r="A2103" s="114" t="inlineStr">
        <is>
          <t>557639</t>
        </is>
      </c>
      <c r="B2103" s="114" t="n">
        <v>12933</v>
      </c>
      <c r="C2103" s="114" t="inlineStr">
        <is>
          <t>United Kingdom</t>
        </is>
      </c>
      <c r="D2103" s="114" t="inlineStr">
        <is>
          <t>22554</t>
        </is>
      </c>
      <c r="E2103" s="114" t="inlineStr">
        <is>
          <t>PLASTERS IN TIN WOODLAND ANIMALS</t>
        </is>
      </c>
      <c r="F2103" s="114" t="n">
        <v>10</v>
      </c>
      <c r="G2103" s="115" t="n">
        <v>1.65</v>
      </c>
      <c r="H2103" s="115" t="n">
        <v>16.5</v>
      </c>
      <c r="I2103" s="116" t="n">
        <v>40715</v>
      </c>
    </row>
    <row r="2104">
      <c r="A2104" s="117" t="inlineStr">
        <is>
          <t>557669</t>
        </is>
      </c>
      <c r="B2104" s="117" t="n">
        <v>12674</v>
      </c>
      <c r="C2104" s="117" t="inlineStr">
        <is>
          <t>France</t>
        </is>
      </c>
      <c r="D2104" s="117" t="inlineStr">
        <is>
          <t>23119</t>
        </is>
      </c>
      <c r="E2104" s="117" t="inlineStr">
        <is>
          <t xml:space="preserve">PACK OF 6 LARGE FRUIT STRAWS </t>
        </is>
      </c>
      <c r="F2104" s="117" t="n">
        <v>12</v>
      </c>
      <c r="G2104" s="118" t="n">
        <v>0.62</v>
      </c>
      <c r="H2104" s="118" t="n">
        <v>7.44</v>
      </c>
      <c r="I2104" s="119" t="n">
        <v>40716</v>
      </c>
    </row>
    <row r="2105">
      <c r="A2105" s="114" t="inlineStr">
        <is>
          <t>557671</t>
        </is>
      </c>
      <c r="B2105" s="114" t="n">
        <v>13849</v>
      </c>
      <c r="C2105" s="114" t="inlineStr">
        <is>
          <t>United Kingdom</t>
        </is>
      </c>
      <c r="D2105" s="114" t="inlineStr">
        <is>
          <t>23190</t>
        </is>
      </c>
      <c r="E2105" s="114" t="inlineStr">
        <is>
          <t xml:space="preserve">BUNDLE OF 3 SCHOOL EXERCISE BOOKS  </t>
        </is>
      </c>
      <c r="F2105" s="114" t="n">
        <v>12</v>
      </c>
      <c r="G2105" s="115" t="n">
        <v>1.65</v>
      </c>
      <c r="H2105" s="115" t="n">
        <v>19.8</v>
      </c>
      <c r="I2105" s="116" t="n">
        <v>40716</v>
      </c>
    </row>
    <row r="2106">
      <c r="A2106" s="117" t="inlineStr">
        <is>
          <t>557743</t>
        </is>
      </c>
      <c r="B2106" s="117" t="n">
        <v>18155</v>
      </c>
      <c r="C2106" s="117" t="inlineStr">
        <is>
          <t>United Kingdom</t>
        </is>
      </c>
      <c r="D2106" s="117" t="inlineStr">
        <is>
          <t>21313</t>
        </is>
      </c>
      <c r="E2106" s="117" t="inlineStr">
        <is>
          <t xml:space="preserve">GLASS HEART T-LIGHT HOLDER </t>
        </is>
      </c>
      <c r="F2106" s="117" t="n">
        <v>12</v>
      </c>
      <c r="G2106" s="118" t="n">
        <v>0.85</v>
      </c>
      <c r="H2106" s="118" t="n">
        <v>10.2</v>
      </c>
      <c r="I2106" s="119" t="n">
        <v>40716</v>
      </c>
    </row>
    <row r="2107">
      <c r="A2107" s="114" t="inlineStr">
        <is>
          <t>557743</t>
        </is>
      </c>
      <c r="B2107" s="114" t="n">
        <v>18155</v>
      </c>
      <c r="C2107" s="114" t="inlineStr">
        <is>
          <t>United Kingdom</t>
        </is>
      </c>
      <c r="D2107" s="114" t="inlineStr">
        <is>
          <t>84978</t>
        </is>
      </c>
      <c r="E2107" s="114" t="inlineStr">
        <is>
          <t>HANGING HEART JAR T-LIGHT HOLDER</t>
        </is>
      </c>
      <c r="F2107" s="114" t="n">
        <v>12</v>
      </c>
      <c r="G2107" s="115" t="n">
        <v>1.25</v>
      </c>
      <c r="H2107" s="115" t="n">
        <v>15</v>
      </c>
      <c r="I2107" s="116" t="n">
        <v>40716</v>
      </c>
    </row>
    <row r="2108">
      <c r="A2108" s="117" t="inlineStr">
        <is>
          <t>557746</t>
        </is>
      </c>
      <c r="B2108" s="117" t="n">
        <v>15059</v>
      </c>
      <c r="C2108" s="117" t="inlineStr">
        <is>
          <t>United Kingdom</t>
        </is>
      </c>
      <c r="D2108" s="117" t="inlineStr">
        <is>
          <t>23300</t>
        </is>
      </c>
      <c r="E2108" s="117" t="inlineStr">
        <is>
          <t xml:space="preserve">GARDENERS KNEELING PAD CUP OF TEA </t>
        </is>
      </c>
      <c r="F2108" s="117" t="n">
        <v>2</v>
      </c>
      <c r="G2108" s="118" t="n">
        <v>1.65</v>
      </c>
      <c r="H2108" s="118" t="n">
        <v>3.3</v>
      </c>
      <c r="I2108" s="119" t="n">
        <v>40716</v>
      </c>
    </row>
    <row r="2109">
      <c r="A2109" s="114" t="inlineStr">
        <is>
          <t>557746</t>
        </is>
      </c>
      <c r="B2109" s="114" t="n">
        <v>15059</v>
      </c>
      <c r="C2109" s="114" t="inlineStr">
        <is>
          <t>United Kingdom</t>
        </is>
      </c>
      <c r="D2109" s="114" t="inlineStr">
        <is>
          <t>22197</t>
        </is>
      </c>
      <c r="E2109" s="114" t="inlineStr">
        <is>
          <t>POPCORN HOLDER</t>
        </is>
      </c>
      <c r="F2109" s="114" t="n">
        <v>1</v>
      </c>
      <c r="G2109" s="115" t="n">
        <v>0.85</v>
      </c>
      <c r="H2109" s="115" t="n">
        <v>0.85</v>
      </c>
      <c r="I2109" s="116" t="n">
        <v>40716</v>
      </c>
    </row>
    <row r="2110">
      <c r="A2110" s="117" t="inlineStr">
        <is>
          <t>557746</t>
        </is>
      </c>
      <c r="B2110" s="117" t="n">
        <v>15059</v>
      </c>
      <c r="C2110" s="117" t="inlineStr">
        <is>
          <t>United Kingdom</t>
        </is>
      </c>
      <c r="D2110" s="117" t="inlineStr">
        <is>
          <t>22193</t>
        </is>
      </c>
      <c r="E2110" s="117" t="inlineStr">
        <is>
          <t>RED DINER WALL CLOCK</t>
        </is>
      </c>
      <c r="F2110" s="117" t="n">
        <v>1</v>
      </c>
      <c r="G2110" s="118" t="n">
        <v>8.5</v>
      </c>
      <c r="H2110" s="118" t="n">
        <v>8.5</v>
      </c>
      <c r="I2110" s="119" t="n">
        <v>40716</v>
      </c>
    </row>
    <row r="2111">
      <c r="A2111" s="114" t="inlineStr">
        <is>
          <t>557759</t>
        </is>
      </c>
      <c r="B2111" s="114" t="n">
        <v>14156</v>
      </c>
      <c r="C2111" s="114" t="inlineStr">
        <is>
          <t>EIRE</t>
        </is>
      </c>
      <c r="D2111" s="114" t="inlineStr">
        <is>
          <t>85032B</t>
        </is>
      </c>
      <c r="E2111" s="114" t="inlineStr">
        <is>
          <t>BLOSSOM IMAGES GIFT WRAP SET</t>
        </is>
      </c>
      <c r="F2111" s="114" t="n">
        <v>12</v>
      </c>
      <c r="G2111" s="115" t="n">
        <v>0.65</v>
      </c>
      <c r="H2111" s="115" t="n">
        <v>7.8</v>
      </c>
      <c r="I2111" s="116" t="n">
        <v>40716</v>
      </c>
    </row>
    <row r="2112">
      <c r="A2112" s="117" t="inlineStr">
        <is>
          <t>557762</t>
        </is>
      </c>
      <c r="B2112" s="117" t="n">
        <v>15810</v>
      </c>
      <c r="C2112" s="117" t="inlineStr">
        <is>
          <t>United Kingdom</t>
        </is>
      </c>
      <c r="D2112" s="117" t="inlineStr">
        <is>
          <t>21930</t>
        </is>
      </c>
      <c r="E2112" s="117" t="inlineStr">
        <is>
          <t>JUMBO STORAGE BAG SKULLS</t>
        </is>
      </c>
      <c r="F2112" s="117" t="n">
        <v>10</v>
      </c>
      <c r="G2112" s="118" t="n">
        <v>2.08</v>
      </c>
      <c r="H2112" s="118" t="n">
        <v>20.8</v>
      </c>
      <c r="I2112" s="119" t="n">
        <v>40716</v>
      </c>
    </row>
    <row r="2113">
      <c r="A2113" s="114" t="inlineStr">
        <is>
          <t>557762</t>
        </is>
      </c>
      <c r="B2113" s="114" t="n">
        <v>15810</v>
      </c>
      <c r="C2113" s="114" t="inlineStr">
        <is>
          <t>United Kingdom</t>
        </is>
      </c>
      <c r="D2113" s="114" t="inlineStr">
        <is>
          <t>20728</t>
        </is>
      </c>
      <c r="E2113" s="114" t="inlineStr">
        <is>
          <t>LUNCH BAG CARS BLUE</t>
        </is>
      </c>
      <c r="F2113" s="114" t="n">
        <v>10</v>
      </c>
      <c r="G2113" s="115" t="n">
        <v>1.65</v>
      </c>
      <c r="H2113" s="115" t="n">
        <v>16.5</v>
      </c>
      <c r="I2113" s="116" t="n">
        <v>40716</v>
      </c>
    </row>
    <row r="2114">
      <c r="A2114" s="117" t="inlineStr">
        <is>
          <t>557771</t>
        </is>
      </c>
      <c r="B2114" s="117" t="n">
        <v>15601</v>
      </c>
      <c r="C2114" s="117" t="inlineStr">
        <is>
          <t>United Kingdom</t>
        </is>
      </c>
      <c r="D2114" s="117" t="inlineStr">
        <is>
          <t>23029</t>
        </is>
      </c>
      <c r="E2114" s="117" t="inlineStr">
        <is>
          <t>DRAWER KNOB CRACKLE GLAZE GREEN</t>
        </is>
      </c>
      <c r="F2114" s="117" t="n">
        <v>6</v>
      </c>
      <c r="G2114" s="118" t="n">
        <v>1.65</v>
      </c>
      <c r="H2114" s="118" t="n">
        <v>9.9</v>
      </c>
      <c r="I2114" s="119" t="n">
        <v>40716</v>
      </c>
    </row>
    <row r="2115">
      <c r="A2115" s="114" t="inlineStr">
        <is>
          <t>557776</t>
        </is>
      </c>
      <c r="B2115" s="114" t="n">
        <v>14422</v>
      </c>
      <c r="C2115" s="114" t="inlineStr">
        <is>
          <t>United Kingdom</t>
        </is>
      </c>
      <c r="D2115" s="114" t="inlineStr">
        <is>
          <t>23032</t>
        </is>
      </c>
      <c r="E2115" s="114" t="inlineStr">
        <is>
          <t>DRAWER KNOB CRACKLE GLAZE IVORY</t>
        </is>
      </c>
      <c r="F2115" s="114" t="n">
        <v>6</v>
      </c>
      <c r="G2115" s="115" t="n">
        <v>1.65</v>
      </c>
      <c r="H2115" s="115" t="n">
        <v>9.9</v>
      </c>
      <c r="I2115" s="116" t="n">
        <v>40716</v>
      </c>
    </row>
    <row r="2116">
      <c r="A2116" s="117" t="inlineStr">
        <is>
          <t>557787</t>
        </is>
      </c>
      <c r="B2116" s="117" t="n">
        <v>15041</v>
      </c>
      <c r="C2116" s="117" t="inlineStr">
        <is>
          <t>United Kingdom</t>
        </is>
      </c>
      <c r="D2116" s="117" t="inlineStr">
        <is>
          <t>22399</t>
        </is>
      </c>
      <c r="E2116" s="117" t="inlineStr">
        <is>
          <t>MAGNETS PACK OF 4 CHILDHOOD MEMORY</t>
        </is>
      </c>
      <c r="F2116" s="117" t="n">
        <v>1</v>
      </c>
      <c r="G2116" s="118" t="n">
        <v>1.25</v>
      </c>
      <c r="H2116" s="118" t="n">
        <v>1.25</v>
      </c>
      <c r="I2116" s="119" t="n">
        <v>40716</v>
      </c>
    </row>
    <row r="2117">
      <c r="A2117" s="114" t="inlineStr">
        <is>
          <t>557787</t>
        </is>
      </c>
      <c r="B2117" s="114" t="n">
        <v>15041</v>
      </c>
      <c r="C2117" s="114" t="inlineStr">
        <is>
          <t>United Kingdom</t>
        </is>
      </c>
      <c r="D2117" s="114" t="inlineStr">
        <is>
          <t>22759</t>
        </is>
      </c>
      <c r="E2117" s="114" t="inlineStr">
        <is>
          <t>SET OF 3 NOTEBOOKS IN PARCEL</t>
        </is>
      </c>
      <c r="F2117" s="114" t="n">
        <v>1</v>
      </c>
      <c r="G2117" s="115" t="n">
        <v>1.65</v>
      </c>
      <c r="H2117" s="115" t="n">
        <v>1.65</v>
      </c>
      <c r="I2117" s="116" t="n">
        <v>40716</v>
      </c>
    </row>
    <row r="2118">
      <c r="A2118" s="117" t="inlineStr">
        <is>
          <t>557789</t>
        </is>
      </c>
      <c r="B2118" s="117" t="n">
        <v>12379</v>
      </c>
      <c r="C2118" s="117" t="inlineStr">
        <is>
          <t>Belgium</t>
        </is>
      </c>
      <c r="D2118" s="117" t="inlineStr">
        <is>
          <t>22301</t>
        </is>
      </c>
      <c r="E2118" s="117" t="inlineStr">
        <is>
          <t>COFFEE MUG CAT + BIRD DESIGN</t>
        </is>
      </c>
      <c r="F2118" s="117" t="n">
        <v>6</v>
      </c>
      <c r="G2118" s="118" t="n">
        <v>2.55</v>
      </c>
      <c r="H2118" s="118" t="n">
        <v>15.3</v>
      </c>
      <c r="I2118" s="119" t="n">
        <v>40716</v>
      </c>
    </row>
    <row r="2119">
      <c r="A2119" s="114" t="inlineStr">
        <is>
          <t>557792</t>
        </is>
      </c>
      <c r="B2119" s="114" t="n">
        <v>16987</v>
      </c>
      <c r="C2119" s="114" t="inlineStr">
        <is>
          <t>United Kingdom</t>
        </is>
      </c>
      <c r="D2119" s="114" t="inlineStr">
        <is>
          <t>22690</t>
        </is>
      </c>
      <c r="E2119" s="114" t="inlineStr">
        <is>
          <t xml:space="preserve">DOORMAT HOME SWEET HOME BLUE </t>
        </is>
      </c>
      <c r="F2119" s="114" t="n">
        <v>2</v>
      </c>
      <c r="G2119" s="115" t="n">
        <v>7.95</v>
      </c>
      <c r="H2119" s="115" t="n">
        <v>15.9</v>
      </c>
      <c r="I2119" s="116" t="n">
        <v>40716</v>
      </c>
    </row>
    <row r="2120">
      <c r="A2120" s="117" t="inlineStr">
        <is>
          <t>557799</t>
        </is>
      </c>
      <c r="B2120" s="117" t="n">
        <v>14854</v>
      </c>
      <c r="C2120" s="117" t="inlineStr">
        <is>
          <t>United Kingdom</t>
        </is>
      </c>
      <c r="D2120" s="117" t="inlineStr">
        <is>
          <t>22855</t>
        </is>
      </c>
      <c r="E2120" s="117" t="inlineStr">
        <is>
          <t xml:space="preserve">FINE WICKER HEART </t>
        </is>
      </c>
      <c r="F2120" s="117" t="n">
        <v>12</v>
      </c>
      <c r="G2120" s="118" t="n">
        <v>1.25</v>
      </c>
      <c r="H2120" s="118" t="n">
        <v>15</v>
      </c>
      <c r="I2120" s="119" t="n">
        <v>40717</v>
      </c>
    </row>
    <row r="2121">
      <c r="A2121" s="114" t="inlineStr">
        <is>
          <t>557799</t>
        </is>
      </c>
      <c r="B2121" s="114" t="n">
        <v>14854</v>
      </c>
      <c r="C2121" s="114" t="inlineStr">
        <is>
          <t>United Kingdom</t>
        </is>
      </c>
      <c r="D2121" s="114" t="inlineStr">
        <is>
          <t>22922</t>
        </is>
      </c>
      <c r="E2121" s="114" t="inlineStr">
        <is>
          <t>FRIDGE MAGNETS US DINER ASSORTED</t>
        </is>
      </c>
      <c r="F2121" s="114" t="n">
        <v>12</v>
      </c>
      <c r="G2121" s="115" t="n">
        <v>0.85</v>
      </c>
      <c r="H2121" s="115" t="n">
        <v>10.2</v>
      </c>
      <c r="I2121" s="116" t="n">
        <v>40717</v>
      </c>
    </row>
    <row r="2122">
      <c r="A2122" s="117" t="inlineStr">
        <is>
          <t>557801</t>
        </is>
      </c>
      <c r="B2122" s="117" t="n">
        <v>13319</v>
      </c>
      <c r="C2122" s="117" t="inlineStr">
        <is>
          <t>United Kingdom</t>
        </is>
      </c>
      <c r="D2122" s="117" t="inlineStr">
        <is>
          <t>23031</t>
        </is>
      </c>
      <c r="E2122" s="117" t="inlineStr">
        <is>
          <t>DRAWER KNOB CRACKLE GLAZE PINK</t>
        </is>
      </c>
      <c r="F2122" s="117" t="n">
        <v>6</v>
      </c>
      <c r="G2122" s="118" t="n">
        <v>1.65</v>
      </c>
      <c r="H2122" s="118" t="n">
        <v>9.9</v>
      </c>
      <c r="I2122" s="119" t="n">
        <v>40717</v>
      </c>
    </row>
    <row r="2123">
      <c r="A2123" s="114" t="inlineStr">
        <is>
          <t>557854</t>
        </is>
      </c>
      <c r="B2123" s="114" t="n">
        <v>13268</v>
      </c>
      <c r="C2123" s="114" t="inlineStr">
        <is>
          <t>United Kingdom</t>
        </is>
      </c>
      <c r="D2123" s="114" t="inlineStr">
        <is>
          <t>20726</t>
        </is>
      </c>
      <c r="E2123" s="114" t="inlineStr">
        <is>
          <t>LUNCH BAG WOODLAND</t>
        </is>
      </c>
      <c r="F2123" s="114" t="n">
        <v>10</v>
      </c>
      <c r="G2123" s="115" t="n">
        <v>1.65</v>
      </c>
      <c r="H2123" s="115" t="n">
        <v>16.5</v>
      </c>
      <c r="I2123" s="116" t="n">
        <v>40717</v>
      </c>
    </row>
    <row r="2124">
      <c r="A2124" s="117" t="inlineStr">
        <is>
          <t>557856</t>
        </is>
      </c>
      <c r="B2124" s="117" t="n">
        <v>16647</v>
      </c>
      <c r="C2124" s="117" t="inlineStr">
        <is>
          <t>United Kingdom</t>
        </is>
      </c>
      <c r="D2124" s="117" t="inlineStr">
        <is>
          <t>22139</t>
        </is>
      </c>
      <c r="E2124" s="117" t="inlineStr">
        <is>
          <t xml:space="preserve">RETROSPOT TEA SET CERAMIC 11 PC </t>
        </is>
      </c>
      <c r="F2124" s="117" t="n">
        <v>3</v>
      </c>
      <c r="G2124" s="118" t="n">
        <v>4.95</v>
      </c>
      <c r="H2124" s="118" t="n">
        <v>14.85</v>
      </c>
      <c r="I2124" s="119" t="n">
        <v>40717</v>
      </c>
    </row>
    <row r="2125">
      <c r="A2125" s="114" t="inlineStr">
        <is>
          <t>557888</t>
        </is>
      </c>
      <c r="B2125" s="114" t="n">
        <v>14656</v>
      </c>
      <c r="C2125" s="114" t="inlineStr">
        <is>
          <t>United Kingdom</t>
        </is>
      </c>
      <c r="D2125" s="114" t="inlineStr">
        <is>
          <t>47574A</t>
        </is>
      </c>
      <c r="E2125" s="114" t="inlineStr">
        <is>
          <t>ENGLISH ROSE SCENTED HANGING FLOWER</t>
        </is>
      </c>
      <c r="F2125" s="114" t="n">
        <v>6</v>
      </c>
      <c r="G2125" s="115" t="n">
        <v>0.75</v>
      </c>
      <c r="H2125" s="115" t="n">
        <v>4.5</v>
      </c>
      <c r="I2125" s="116" t="n">
        <v>40717</v>
      </c>
    </row>
    <row r="2126">
      <c r="A2126" s="117" t="inlineStr">
        <is>
          <t>557892</t>
        </is>
      </c>
      <c r="B2126" s="117" t="n">
        <v>14534</v>
      </c>
      <c r="C2126" s="117" t="inlineStr">
        <is>
          <t>United Kingdom</t>
        </is>
      </c>
      <c r="D2126" s="117" t="inlineStr">
        <is>
          <t>23191</t>
        </is>
      </c>
      <c r="E2126" s="117" t="inlineStr">
        <is>
          <t>BUNDLE OF 3 RETRO NOTE BOOKS</t>
        </is>
      </c>
      <c r="F2126" s="117" t="n">
        <v>1</v>
      </c>
      <c r="G2126" s="118" t="n">
        <v>1.65</v>
      </c>
      <c r="H2126" s="118" t="n">
        <v>1.65</v>
      </c>
      <c r="I2126" s="119" t="n">
        <v>40717</v>
      </c>
    </row>
    <row r="2127">
      <c r="A2127" s="114" t="inlineStr">
        <is>
          <t>557939</t>
        </is>
      </c>
      <c r="B2127" s="114" t="n">
        <v>12697</v>
      </c>
      <c r="C2127" s="114" t="inlineStr">
        <is>
          <t>Sweden</t>
        </is>
      </c>
      <c r="D2127" s="114" t="inlineStr">
        <is>
          <t>23307</t>
        </is>
      </c>
      <c r="E2127" s="114" t="inlineStr">
        <is>
          <t xml:space="preserve">SET OF 60 PANTRY DESIGN CAKE CASES </t>
        </is>
      </c>
      <c r="F2127" s="114" t="n">
        <v>24</v>
      </c>
      <c r="G2127" s="115" t="n">
        <v>0.55</v>
      </c>
      <c r="H2127" s="115" t="n">
        <v>13.2</v>
      </c>
      <c r="I2127" s="116" t="n">
        <v>40717</v>
      </c>
    </row>
    <row r="2128">
      <c r="A2128" s="117" t="inlineStr">
        <is>
          <t>557949</t>
        </is>
      </c>
      <c r="B2128" s="117" t="n">
        <v>15530</v>
      </c>
      <c r="C2128" s="117" t="inlineStr">
        <is>
          <t>United Kingdom</t>
        </is>
      </c>
      <c r="D2128" s="117" t="inlineStr">
        <is>
          <t>22481</t>
        </is>
      </c>
      <c r="E2128" s="117" t="inlineStr">
        <is>
          <t>BLACK TEA TOWEL CLASSIC DESIGN</t>
        </is>
      </c>
      <c r="F2128" s="117" t="n">
        <v>12</v>
      </c>
      <c r="G2128" s="118" t="n">
        <v>1.25</v>
      </c>
      <c r="H2128" s="118" t="n">
        <v>15</v>
      </c>
      <c r="I2128" s="119" t="n">
        <v>40717</v>
      </c>
    </row>
    <row r="2129">
      <c r="A2129" s="114" t="inlineStr">
        <is>
          <t>557954</t>
        </is>
      </c>
      <c r="B2129" s="114" t="n">
        <v>15023</v>
      </c>
      <c r="C2129" s="114" t="inlineStr">
        <is>
          <t>United Kingdom</t>
        </is>
      </c>
      <c r="D2129" s="114" t="inlineStr">
        <is>
          <t>23203</t>
        </is>
      </c>
      <c r="E2129" s="114" t="inlineStr">
        <is>
          <t>JUMBO BAG DOILEY PATTERNS</t>
        </is>
      </c>
      <c r="F2129" s="114" t="n">
        <v>6</v>
      </c>
      <c r="G2129" s="115" t="n">
        <v>2.08</v>
      </c>
      <c r="H2129" s="115" t="n">
        <v>12.48</v>
      </c>
      <c r="I2129" s="116" t="n">
        <v>40717</v>
      </c>
    </row>
    <row r="2130">
      <c r="A2130" s="117" t="inlineStr">
        <is>
          <t>557954</t>
        </is>
      </c>
      <c r="B2130" s="117" t="n">
        <v>15023</v>
      </c>
      <c r="C2130" s="117" t="inlineStr">
        <is>
          <t>United Kingdom</t>
        </is>
      </c>
      <c r="D2130" s="117" t="inlineStr">
        <is>
          <t>22147</t>
        </is>
      </c>
      <c r="E2130" s="117" t="inlineStr">
        <is>
          <t>FELTCRAFT BUTTERFLY HEARTS</t>
        </is>
      </c>
      <c r="F2130" s="117" t="n">
        <v>3</v>
      </c>
      <c r="G2130" s="118" t="n">
        <v>1.45</v>
      </c>
      <c r="H2130" s="118" t="n">
        <v>4.35</v>
      </c>
      <c r="I2130" s="119" t="n">
        <v>40717</v>
      </c>
    </row>
    <row r="2131">
      <c r="A2131" s="114" t="inlineStr">
        <is>
          <t>557956</t>
        </is>
      </c>
      <c r="B2131" s="114" t="n">
        <v>18283</v>
      </c>
      <c r="C2131" s="114" t="inlineStr">
        <is>
          <t>United Kingdom</t>
        </is>
      </c>
      <c r="D2131" s="114" t="inlineStr">
        <is>
          <t>20973</t>
        </is>
      </c>
      <c r="E2131" s="114" t="inlineStr">
        <is>
          <t>12 PENCIL SMALL TUBE WOODLAND</t>
        </is>
      </c>
      <c r="F2131" s="114" t="n">
        <v>1</v>
      </c>
      <c r="G2131" s="115" t="n">
        <v>0.65</v>
      </c>
      <c r="H2131" s="115" t="n">
        <v>0.65</v>
      </c>
      <c r="I2131" s="116" t="n">
        <v>40717</v>
      </c>
    </row>
    <row r="2132">
      <c r="A2132" s="117" t="inlineStr">
        <is>
          <t>557956</t>
        </is>
      </c>
      <c r="B2132" s="117" t="n">
        <v>18283</v>
      </c>
      <c r="C2132" s="117" t="inlineStr">
        <is>
          <t>United Kingdom</t>
        </is>
      </c>
      <c r="D2132" s="117" t="inlineStr">
        <is>
          <t>20719</t>
        </is>
      </c>
      <c r="E2132" s="117" t="inlineStr">
        <is>
          <t>WOODLAND CHARLOTTE BAG</t>
        </is>
      </c>
      <c r="F2132" s="117" t="n">
        <v>1</v>
      </c>
      <c r="G2132" s="118" t="n">
        <v>0.85</v>
      </c>
      <c r="H2132" s="118" t="n">
        <v>0.85</v>
      </c>
      <c r="I2132" s="119" t="n">
        <v>40717</v>
      </c>
    </row>
    <row r="2133">
      <c r="A2133" s="114" t="inlineStr">
        <is>
          <t>557959</t>
        </is>
      </c>
      <c r="B2133" s="114" t="n">
        <v>17351</v>
      </c>
      <c r="C2133" s="114" t="inlineStr">
        <is>
          <t>United Kingdom</t>
        </is>
      </c>
      <c r="D2133" s="114" t="inlineStr">
        <is>
          <t>22748</t>
        </is>
      </c>
      <c r="E2133" s="114" t="inlineStr">
        <is>
          <t>POPPY'S PLAYHOUSE KITCHEN</t>
        </is>
      </c>
      <c r="F2133" s="114" t="n">
        <v>1</v>
      </c>
      <c r="G2133" s="115" t="n">
        <v>2.1</v>
      </c>
      <c r="H2133" s="115" t="n">
        <v>2.1</v>
      </c>
      <c r="I2133" s="116" t="n">
        <v>40717</v>
      </c>
    </row>
    <row r="2134">
      <c r="A2134" s="117" t="inlineStr">
        <is>
          <t>557960</t>
        </is>
      </c>
      <c r="B2134" s="117" t="n">
        <v>15453</v>
      </c>
      <c r="C2134" s="117" t="inlineStr">
        <is>
          <t>United Kingdom</t>
        </is>
      </c>
      <c r="D2134" s="117" t="inlineStr">
        <is>
          <t>22565</t>
        </is>
      </c>
      <c r="E2134" s="117" t="inlineStr">
        <is>
          <t xml:space="preserve">FELTCRAFT HAIRBANDS PINK AND WHITE </t>
        </is>
      </c>
      <c r="F2134" s="117" t="n">
        <v>1</v>
      </c>
      <c r="G2134" s="118" t="n">
        <v>0.85</v>
      </c>
      <c r="H2134" s="118" t="n">
        <v>0.85</v>
      </c>
      <c r="I2134" s="119" t="n">
        <v>40717</v>
      </c>
    </row>
    <row r="2135">
      <c r="A2135" s="114" t="inlineStr">
        <is>
          <t>557962</t>
        </is>
      </c>
      <c r="B2135" s="114" t="n">
        <v>13709</v>
      </c>
      <c r="C2135" s="114" t="inlineStr">
        <is>
          <t>United Kingdom</t>
        </is>
      </c>
      <c r="D2135" s="114" t="inlineStr">
        <is>
          <t>22831</t>
        </is>
      </c>
      <c r="E2135" s="114" t="inlineStr">
        <is>
          <t>WHITE BROCANTE SOAP DISH</t>
        </is>
      </c>
      <c r="F2135" s="114" t="n">
        <v>6</v>
      </c>
      <c r="G2135" s="115" t="n">
        <v>2.95</v>
      </c>
      <c r="H2135" s="115" t="n">
        <v>17.7</v>
      </c>
      <c r="I2135" s="116" t="n">
        <v>40718</v>
      </c>
    </row>
    <row r="2136">
      <c r="A2136" s="117" t="inlineStr">
        <is>
          <t>557972</t>
        </is>
      </c>
      <c r="B2136" s="117" t="n">
        <v>12500</v>
      </c>
      <c r="C2136" s="117" t="inlineStr">
        <is>
          <t>Germany</t>
        </is>
      </c>
      <c r="D2136" s="117" t="inlineStr">
        <is>
          <t>85014A</t>
        </is>
      </c>
      <c r="E2136" s="117" t="inlineStr">
        <is>
          <t>BLACK/BLUE POLKADOT UMBRELLA</t>
        </is>
      </c>
      <c r="F2136" s="117" t="n">
        <v>3</v>
      </c>
      <c r="G2136" s="118" t="n">
        <v>5.95</v>
      </c>
      <c r="H2136" s="118" t="n">
        <v>17.85</v>
      </c>
      <c r="I2136" s="119" t="n">
        <v>40718</v>
      </c>
    </row>
    <row r="2137">
      <c r="A2137" s="114" t="inlineStr">
        <is>
          <t>557976</t>
        </is>
      </c>
      <c r="B2137" s="114" t="n">
        <v>18118</v>
      </c>
      <c r="C2137" s="114" t="inlineStr">
        <is>
          <t>United Kingdom</t>
        </is>
      </c>
      <c r="D2137" s="114" t="inlineStr">
        <is>
          <t>20961</t>
        </is>
      </c>
      <c r="E2137" s="114" t="inlineStr">
        <is>
          <t xml:space="preserve">STRAWBERRY BATH SPONGE </t>
        </is>
      </c>
      <c r="F2137" s="114" t="n">
        <v>1</v>
      </c>
      <c r="G2137" s="115" t="n">
        <v>1.25</v>
      </c>
      <c r="H2137" s="115" t="n">
        <v>1.25</v>
      </c>
      <c r="I2137" s="116" t="n">
        <v>40718</v>
      </c>
    </row>
    <row r="2138">
      <c r="A2138" s="117" t="inlineStr">
        <is>
          <t>557975</t>
        </is>
      </c>
      <c r="B2138" s="117" t="n">
        <v>15981</v>
      </c>
      <c r="C2138" s="117" t="inlineStr">
        <is>
          <t>United Kingdom</t>
        </is>
      </c>
      <c r="D2138" s="117" t="inlineStr">
        <is>
          <t>23209</t>
        </is>
      </c>
      <c r="E2138" s="117" t="inlineStr">
        <is>
          <t xml:space="preserve">LUNCH BAG DOILEY PATTERN </t>
        </is>
      </c>
      <c r="F2138" s="117" t="n">
        <v>20</v>
      </c>
      <c r="G2138" s="118" t="n">
        <v>1.65</v>
      </c>
      <c r="H2138" s="118" t="n">
        <v>33</v>
      </c>
      <c r="I2138" s="119" t="n">
        <v>40718</v>
      </c>
    </row>
    <row r="2139">
      <c r="A2139" s="114" t="inlineStr">
        <is>
          <t>558049</t>
        </is>
      </c>
      <c r="B2139" s="114" t="n">
        <v>15850</v>
      </c>
      <c r="C2139" s="114" t="inlineStr">
        <is>
          <t>United Kingdom</t>
        </is>
      </c>
      <c r="D2139" s="114" t="inlineStr">
        <is>
          <t>22530</t>
        </is>
      </c>
      <c r="E2139" s="114" t="inlineStr">
        <is>
          <t xml:space="preserve">MAGIC DRAWING SLATE DOLLY GIRL </t>
        </is>
      </c>
      <c r="F2139" s="114" t="n">
        <v>1</v>
      </c>
      <c r="G2139" s="115" t="n">
        <v>0.42</v>
      </c>
      <c r="H2139" s="115" t="n">
        <v>0.42</v>
      </c>
      <c r="I2139" s="116" t="n">
        <v>40718</v>
      </c>
    </row>
    <row r="2140">
      <c r="A2140" s="117" t="inlineStr">
        <is>
          <t>558049</t>
        </is>
      </c>
      <c r="B2140" s="117" t="n">
        <v>15850</v>
      </c>
      <c r="C2140" s="117" t="inlineStr">
        <is>
          <t>United Kingdom</t>
        </is>
      </c>
      <c r="D2140" s="117" t="inlineStr">
        <is>
          <t>20755</t>
        </is>
      </c>
      <c r="E2140" s="117" t="inlineStr">
        <is>
          <t>BLUE PAISLEY POCKET BOOK</t>
        </is>
      </c>
      <c r="F2140" s="117" t="n">
        <v>1</v>
      </c>
      <c r="G2140" s="118" t="n">
        <v>0.85</v>
      </c>
      <c r="H2140" s="118" t="n">
        <v>0.85</v>
      </c>
      <c r="I2140" s="119" t="n">
        <v>40718</v>
      </c>
    </row>
    <row r="2141">
      <c r="A2141" s="114" t="inlineStr">
        <is>
          <t>558057</t>
        </is>
      </c>
      <c r="B2141" s="114" t="n">
        <v>15665</v>
      </c>
      <c r="C2141" s="114" t="inlineStr">
        <is>
          <t>United Kingdom</t>
        </is>
      </c>
      <c r="D2141" s="114" t="inlineStr">
        <is>
          <t>21380</t>
        </is>
      </c>
      <c r="E2141" s="114" t="inlineStr">
        <is>
          <t>WOODEN HAPPY BIRTHDAY GARLAND</t>
        </is>
      </c>
      <c r="F2141" s="114" t="n">
        <v>12</v>
      </c>
      <c r="G2141" s="115" t="n">
        <v>2.95</v>
      </c>
      <c r="H2141" s="115" t="n">
        <v>35.4</v>
      </c>
      <c r="I2141" s="116" t="n">
        <v>40718</v>
      </c>
    </row>
    <row r="2142">
      <c r="A2142" s="117" t="inlineStr">
        <is>
          <t>558057</t>
        </is>
      </c>
      <c r="B2142" s="117" t="n">
        <v>15665</v>
      </c>
      <c r="C2142" s="117" t="inlineStr">
        <is>
          <t>United Kingdom</t>
        </is>
      </c>
      <c r="D2142" s="117" t="inlineStr">
        <is>
          <t>21390</t>
        </is>
      </c>
      <c r="E2142" s="117" t="inlineStr">
        <is>
          <t>FILIGRIS HEART WITH BUTTERFLY</t>
        </is>
      </c>
      <c r="F2142" s="117" t="n">
        <v>24</v>
      </c>
      <c r="G2142" s="118" t="n">
        <v>1.25</v>
      </c>
      <c r="H2142" s="118" t="n">
        <v>30</v>
      </c>
      <c r="I2142" s="119" t="n">
        <v>40718</v>
      </c>
    </row>
    <row r="2143">
      <c r="A2143" s="114" t="inlineStr">
        <is>
          <t>558063</t>
        </is>
      </c>
      <c r="B2143" s="114" t="n">
        <v>16395</v>
      </c>
      <c r="C2143" s="114" t="inlineStr">
        <is>
          <t>United Kingdom</t>
        </is>
      </c>
      <c r="D2143" s="114" t="inlineStr">
        <is>
          <t>84997D</t>
        </is>
      </c>
      <c r="E2143" s="114" t="inlineStr">
        <is>
          <t>CHILDRENS CUTLERY POLKADOT PINK</t>
        </is>
      </c>
      <c r="F2143" s="114" t="n">
        <v>3</v>
      </c>
      <c r="G2143" s="115" t="n">
        <v>4.15</v>
      </c>
      <c r="H2143" s="115" t="n">
        <v>12.45</v>
      </c>
      <c r="I2143" s="116" t="n">
        <v>40718</v>
      </c>
    </row>
    <row r="2144">
      <c r="A2144" s="117" t="inlineStr">
        <is>
          <t>558076</t>
        </is>
      </c>
      <c r="B2144" s="117" t="n">
        <v>14031</v>
      </c>
      <c r="C2144" s="117" t="inlineStr">
        <is>
          <t>United Kingdom</t>
        </is>
      </c>
      <c r="D2144" s="117" t="inlineStr">
        <is>
          <t>84828</t>
        </is>
      </c>
      <c r="E2144" s="117" t="inlineStr">
        <is>
          <t>JUNGLE POPSICLES ICE LOLLY MOULDS</t>
        </is>
      </c>
      <c r="F2144" s="117" t="n">
        <v>12</v>
      </c>
      <c r="G2144" s="118" t="n">
        <v>1.25</v>
      </c>
      <c r="H2144" s="118" t="n">
        <v>15</v>
      </c>
      <c r="I2144" s="119" t="n">
        <v>40718</v>
      </c>
    </row>
    <row r="2145">
      <c r="A2145" s="114" t="inlineStr">
        <is>
          <t>558084</t>
        </is>
      </c>
      <c r="B2145" s="114" t="n">
        <v>14837</v>
      </c>
      <c r="C2145" s="114" t="inlineStr">
        <is>
          <t>United Kingdom</t>
        </is>
      </c>
      <c r="D2145" s="114" t="inlineStr">
        <is>
          <t>22792</t>
        </is>
      </c>
      <c r="E2145" s="114" t="inlineStr">
        <is>
          <t>FLUTED ANTIQUE CANDLE HOLDER</t>
        </is>
      </c>
      <c r="F2145" s="114" t="n">
        <v>12</v>
      </c>
      <c r="G2145" s="115" t="n">
        <v>0.85</v>
      </c>
      <c r="H2145" s="115" t="n">
        <v>10.2</v>
      </c>
      <c r="I2145" s="116" t="n">
        <v>40720</v>
      </c>
    </row>
    <row r="2146">
      <c r="A2146" s="117" t="inlineStr">
        <is>
          <t>558085</t>
        </is>
      </c>
      <c r="B2146" s="117" t="n">
        <v>13021</v>
      </c>
      <c r="C2146" s="117" t="inlineStr">
        <is>
          <t>United Kingdom</t>
        </is>
      </c>
      <c r="D2146" s="117" t="inlineStr">
        <is>
          <t>21242</t>
        </is>
      </c>
      <c r="E2146" s="117" t="inlineStr">
        <is>
          <t xml:space="preserve">RED RETROSPOT PLATE </t>
        </is>
      </c>
      <c r="F2146" s="117" t="n">
        <v>8</v>
      </c>
      <c r="G2146" s="118" t="n">
        <v>1.69</v>
      </c>
      <c r="H2146" s="118" t="n">
        <v>13.52</v>
      </c>
      <c r="I2146" s="119" t="n">
        <v>40720</v>
      </c>
    </row>
    <row r="2147">
      <c r="A2147" s="114" t="inlineStr">
        <is>
          <t>558086</t>
        </is>
      </c>
      <c r="B2147" s="114" t="n">
        <v>16728</v>
      </c>
      <c r="C2147" s="114" t="inlineStr">
        <is>
          <t>United Kingdom</t>
        </is>
      </c>
      <c r="D2147" s="114" t="inlineStr">
        <is>
          <t>21745</t>
        </is>
      </c>
      <c r="E2147" s="114" t="inlineStr">
        <is>
          <t xml:space="preserve">GAOLERS KEYS DECORATIVE GARDEN </t>
        </is>
      </c>
      <c r="F2147" s="114" t="n">
        <v>6</v>
      </c>
      <c r="G2147" s="115" t="n">
        <v>3.75</v>
      </c>
      <c r="H2147" s="115" t="n">
        <v>22.5</v>
      </c>
      <c r="I2147" s="116" t="n">
        <v>40720</v>
      </c>
    </row>
    <row r="2148">
      <c r="A2148" s="117" t="inlineStr">
        <is>
          <t>558087</t>
        </is>
      </c>
      <c r="B2148" s="117" t="n">
        <v>17323</v>
      </c>
      <c r="C2148" s="117" t="inlineStr">
        <is>
          <t>United Kingdom</t>
        </is>
      </c>
      <c r="D2148" s="117" t="inlineStr">
        <is>
          <t>22268</t>
        </is>
      </c>
      <c r="E2148" s="117" t="inlineStr">
        <is>
          <t>DECORATION SITTING BUNNY</t>
        </is>
      </c>
      <c r="F2148" s="117" t="n">
        <v>6</v>
      </c>
      <c r="G2148" s="118" t="n">
        <v>0.19</v>
      </c>
      <c r="H2148" s="118" t="n">
        <v>1.14</v>
      </c>
      <c r="I2148" s="119" t="n">
        <v>40720</v>
      </c>
    </row>
    <row r="2149">
      <c r="A2149" s="114" t="inlineStr">
        <is>
          <t>558089</t>
        </is>
      </c>
      <c r="B2149" s="114" t="n">
        <v>13505</v>
      </c>
      <c r="C2149" s="114" t="inlineStr">
        <is>
          <t>Switzerland</t>
        </is>
      </c>
      <c r="D2149" s="114" t="inlineStr">
        <is>
          <t>23028</t>
        </is>
      </c>
      <c r="E2149" s="114" t="inlineStr">
        <is>
          <t>DRAWER KNOB CRACKLE GLAZE BLUE</t>
        </is>
      </c>
      <c r="F2149" s="114" t="n">
        <v>12</v>
      </c>
      <c r="G2149" s="115" t="n">
        <v>1.65</v>
      </c>
      <c r="H2149" s="115" t="n">
        <v>19.8</v>
      </c>
      <c r="I2149" s="116" t="n">
        <v>40720</v>
      </c>
    </row>
    <row r="2150">
      <c r="A2150" s="117" t="inlineStr">
        <is>
          <t>558099</t>
        </is>
      </c>
      <c r="B2150" s="117" t="n">
        <v>17593</v>
      </c>
      <c r="C2150" s="117" t="inlineStr">
        <is>
          <t>United Kingdom</t>
        </is>
      </c>
      <c r="D2150" s="117" t="inlineStr">
        <is>
          <t>21618</t>
        </is>
      </c>
      <c r="E2150" s="117" t="inlineStr">
        <is>
          <t>4 WILDFLOWER BOTANICAL CANDLES</t>
        </is>
      </c>
      <c r="F2150" s="117" t="n">
        <v>4</v>
      </c>
      <c r="G2150" s="118" t="n">
        <v>3.75</v>
      </c>
      <c r="H2150" s="118" t="n">
        <v>15</v>
      </c>
      <c r="I2150" s="119" t="n">
        <v>40720</v>
      </c>
    </row>
    <row r="2151">
      <c r="A2151" s="114" t="inlineStr">
        <is>
          <t>558100</t>
        </is>
      </c>
      <c r="B2151" s="114" t="n">
        <v>17768</v>
      </c>
      <c r="C2151" s="114" t="inlineStr">
        <is>
          <t>United Kingdom</t>
        </is>
      </c>
      <c r="D2151" s="114" t="inlineStr">
        <is>
          <t>85066</t>
        </is>
      </c>
      <c r="E2151" s="114" t="inlineStr">
        <is>
          <t>CREAM SWEETHEART MINI CHEST</t>
        </is>
      </c>
      <c r="F2151" s="114" t="n">
        <v>2</v>
      </c>
      <c r="G2151" s="115" t="n">
        <v>12.75</v>
      </c>
      <c r="H2151" s="115" t="n">
        <v>25.5</v>
      </c>
      <c r="I2151" s="116" t="n">
        <v>40720</v>
      </c>
    </row>
    <row r="2152">
      <c r="A2152" s="117" t="inlineStr">
        <is>
          <t>558105</t>
        </is>
      </c>
      <c r="B2152" s="117" t="n">
        <v>15644</v>
      </c>
      <c r="C2152" s="117" t="inlineStr">
        <is>
          <t>United Kingdom</t>
        </is>
      </c>
      <c r="D2152" s="117" t="inlineStr">
        <is>
          <t>23124</t>
        </is>
      </c>
      <c r="E2152" s="117" t="inlineStr">
        <is>
          <t>18PC WOODEN CUTLERY SET DISPOSABLE</t>
        </is>
      </c>
      <c r="F2152" s="117" t="n">
        <v>2</v>
      </c>
      <c r="G2152" s="118" t="n">
        <v>1.25</v>
      </c>
      <c r="H2152" s="118" t="n">
        <v>2.5</v>
      </c>
      <c r="I2152" s="119" t="n">
        <v>40720</v>
      </c>
    </row>
    <row r="2153">
      <c r="A2153" s="114" t="inlineStr">
        <is>
          <t>558108</t>
        </is>
      </c>
      <c r="B2153" s="114" t="n">
        <v>12548</v>
      </c>
      <c r="C2153" s="114" t="inlineStr">
        <is>
          <t>Spain</t>
        </is>
      </c>
      <c r="D2153" s="114" t="inlineStr">
        <is>
          <t>21211</t>
        </is>
      </c>
      <c r="E2153" s="114" t="inlineStr">
        <is>
          <t>SET OF 72 SKULL PAPER  DOILIES</t>
        </is>
      </c>
      <c r="F2153" s="114" t="n">
        <v>12</v>
      </c>
      <c r="G2153" s="115" t="n">
        <v>1.45</v>
      </c>
      <c r="H2153" s="115" t="n">
        <v>17.4</v>
      </c>
      <c r="I2153" s="116" t="n">
        <v>40720</v>
      </c>
    </row>
    <row r="2154">
      <c r="A2154" s="117" t="inlineStr">
        <is>
          <t>558114</t>
        </is>
      </c>
      <c r="B2154" s="117" t="n">
        <v>14911</v>
      </c>
      <c r="C2154" s="117" t="inlineStr">
        <is>
          <t>EIRE</t>
        </is>
      </c>
      <c r="D2154" s="117" t="inlineStr">
        <is>
          <t>23306</t>
        </is>
      </c>
      <c r="E2154" s="117" t="inlineStr">
        <is>
          <t>SET OF 36 DOILIES PANTRY DESIGN</t>
        </is>
      </c>
      <c r="F2154" s="117" t="n">
        <v>12</v>
      </c>
      <c r="G2154" s="118" t="n">
        <v>1.45</v>
      </c>
      <c r="H2154" s="118" t="n">
        <v>17.4</v>
      </c>
      <c r="I2154" s="119" t="n">
        <v>40721</v>
      </c>
    </row>
    <row r="2155">
      <c r="A2155" s="114" t="inlineStr">
        <is>
          <t>558194</t>
        </is>
      </c>
      <c r="B2155" s="114" t="n">
        <v>14583</v>
      </c>
      <c r="C2155" s="114" t="inlineStr">
        <is>
          <t>United Kingdom</t>
        </is>
      </c>
      <c r="D2155" s="114" t="inlineStr">
        <is>
          <t>47590A</t>
        </is>
      </c>
      <c r="E2155" s="114" t="inlineStr">
        <is>
          <t>BLUE HAPPY BIRTHDAY BUNTING</t>
        </is>
      </c>
      <c r="F2155" s="114" t="n">
        <v>1</v>
      </c>
      <c r="G2155" s="115" t="n">
        <v>5.45</v>
      </c>
      <c r="H2155" s="115" t="n">
        <v>5.45</v>
      </c>
      <c r="I2155" s="116" t="n">
        <v>40721</v>
      </c>
    </row>
    <row r="2156">
      <c r="A2156" s="117" t="inlineStr">
        <is>
          <t>558200</t>
        </is>
      </c>
      <c r="B2156" s="117" t="n">
        <v>15976</v>
      </c>
      <c r="C2156" s="117" t="inlineStr">
        <is>
          <t>United Kingdom</t>
        </is>
      </c>
      <c r="D2156" s="117" t="inlineStr">
        <is>
          <t>22384</t>
        </is>
      </c>
      <c r="E2156" s="117" t="inlineStr">
        <is>
          <t>LUNCH BAG PINK POLKADOT</t>
        </is>
      </c>
      <c r="F2156" s="117" t="n">
        <v>1</v>
      </c>
      <c r="G2156" s="118" t="n">
        <v>1.65</v>
      </c>
      <c r="H2156" s="118" t="n">
        <v>1.65</v>
      </c>
      <c r="I2156" s="119" t="n">
        <v>40721</v>
      </c>
    </row>
    <row r="2157">
      <c r="A2157" s="114" t="inlineStr">
        <is>
          <t>558200</t>
        </is>
      </c>
      <c r="B2157" s="114" t="n">
        <v>15976</v>
      </c>
      <c r="C2157" s="114" t="inlineStr">
        <is>
          <t>United Kingdom</t>
        </is>
      </c>
      <c r="D2157" s="114" t="inlineStr">
        <is>
          <t>20725</t>
        </is>
      </c>
      <c r="E2157" s="114" t="inlineStr">
        <is>
          <t>LUNCH BAG RED RETROSPOT</t>
        </is>
      </c>
      <c r="F2157" s="114" t="n">
        <v>2</v>
      </c>
      <c r="G2157" s="115" t="n">
        <v>1.65</v>
      </c>
      <c r="H2157" s="115" t="n">
        <v>3.3</v>
      </c>
      <c r="I2157" s="116" t="n">
        <v>40721</v>
      </c>
    </row>
    <row r="2158">
      <c r="A2158" s="117" t="inlineStr">
        <is>
          <t>558232</t>
        </is>
      </c>
      <c r="B2158" s="117" t="n">
        <v>17841</v>
      </c>
      <c r="C2158" s="117" t="inlineStr">
        <is>
          <t>United Kingdom</t>
        </is>
      </c>
      <c r="D2158" s="117" t="inlineStr">
        <is>
          <t>21498</t>
        </is>
      </c>
      <c r="E2158" s="117" t="inlineStr">
        <is>
          <t xml:space="preserve">RED RETROSPOT WRAP </t>
        </is>
      </c>
      <c r="F2158" s="117" t="n">
        <v>25</v>
      </c>
      <c r="G2158" s="118" t="n">
        <v>0.42</v>
      </c>
      <c r="H2158" s="118" t="n">
        <v>10.5</v>
      </c>
      <c r="I2158" s="119" t="n">
        <v>40721</v>
      </c>
    </row>
    <row r="2159">
      <c r="A2159" s="114" t="inlineStr">
        <is>
          <t>558235</t>
        </is>
      </c>
      <c r="B2159" s="114" t="n">
        <v>16242</v>
      </c>
      <c r="C2159" s="114" t="inlineStr">
        <is>
          <t>United Kingdom</t>
        </is>
      </c>
      <c r="D2159" s="114" t="inlineStr">
        <is>
          <t>23236</t>
        </is>
      </c>
      <c r="E2159" s="114" t="inlineStr">
        <is>
          <t>DOILEY STORAGE TIN</t>
        </is>
      </c>
      <c r="F2159" s="114" t="n">
        <v>6</v>
      </c>
      <c r="G2159" s="115" t="n">
        <v>2.89</v>
      </c>
      <c r="H2159" s="115" t="n">
        <v>17.34</v>
      </c>
      <c r="I2159" s="116" t="n">
        <v>40721</v>
      </c>
    </row>
    <row r="2160">
      <c r="A2160" s="117" t="inlineStr">
        <is>
          <t>558293</t>
        </is>
      </c>
      <c r="B2160" s="117" t="n">
        <v>13656</v>
      </c>
      <c r="C2160" s="117" t="inlineStr">
        <is>
          <t>United Kingdom</t>
        </is>
      </c>
      <c r="D2160" s="117" t="inlineStr">
        <is>
          <t>20727</t>
        </is>
      </c>
      <c r="E2160" s="117" t="inlineStr">
        <is>
          <t>LUNCH BAG  BLACK SKULL.</t>
        </is>
      </c>
      <c r="F2160" s="117" t="n">
        <v>10</v>
      </c>
      <c r="G2160" s="118" t="n">
        <v>1.65</v>
      </c>
      <c r="H2160" s="118" t="n">
        <v>16.5</v>
      </c>
      <c r="I2160" s="119" t="n">
        <v>40722</v>
      </c>
    </row>
    <row r="2161">
      <c r="A2161" s="114" t="inlineStr">
        <is>
          <t>558315</t>
        </is>
      </c>
      <c r="B2161" s="114" t="n">
        <v>15065</v>
      </c>
      <c r="C2161" s="114" t="inlineStr">
        <is>
          <t>United Kingdom</t>
        </is>
      </c>
      <c r="D2161" s="114" t="inlineStr">
        <is>
          <t>23169</t>
        </is>
      </c>
      <c r="E2161" s="114" t="inlineStr">
        <is>
          <t>CLASSIC GLASS COOKIE JAR</t>
        </is>
      </c>
      <c r="F2161" s="114" t="n">
        <v>6</v>
      </c>
      <c r="G2161" s="115" t="n">
        <v>4.15</v>
      </c>
      <c r="H2161" s="115" t="n">
        <v>24.9</v>
      </c>
      <c r="I2161" s="116" t="n">
        <v>40722</v>
      </c>
    </row>
    <row r="2162">
      <c r="A2162" s="117" t="inlineStr">
        <is>
          <t>558315</t>
        </is>
      </c>
      <c r="B2162" s="117" t="n">
        <v>15065</v>
      </c>
      <c r="C2162" s="117" t="inlineStr">
        <is>
          <t>United Kingdom</t>
        </is>
      </c>
      <c r="D2162" s="117" t="inlineStr">
        <is>
          <t>22697</t>
        </is>
      </c>
      <c r="E2162" s="117" t="inlineStr">
        <is>
          <t>GREEN REGENCY TEACUP AND SAUCER</t>
        </is>
      </c>
      <c r="F2162" s="117" t="n">
        <v>18</v>
      </c>
      <c r="G2162" s="118" t="n">
        <v>2.95</v>
      </c>
      <c r="H2162" s="118" t="n">
        <v>53.1</v>
      </c>
      <c r="I2162" s="119" t="n">
        <v>40722</v>
      </c>
    </row>
    <row r="2163">
      <c r="A2163" s="114" t="inlineStr">
        <is>
          <t>558328</t>
        </is>
      </c>
      <c r="B2163" s="114" t="n">
        <v>15146</v>
      </c>
      <c r="C2163" s="114" t="inlineStr">
        <is>
          <t>United Kingdom</t>
        </is>
      </c>
      <c r="D2163" s="114" t="inlineStr">
        <is>
          <t>22714</t>
        </is>
      </c>
      <c r="E2163" s="114" t="inlineStr">
        <is>
          <t>CARD BIRTHDAY COWBOY</t>
        </is>
      </c>
      <c r="F2163" s="114" t="n">
        <v>12</v>
      </c>
      <c r="G2163" s="115" t="n">
        <v>0.42</v>
      </c>
      <c r="H2163" s="115" t="n">
        <v>5.04</v>
      </c>
      <c r="I2163" s="116" t="n">
        <v>40722</v>
      </c>
    </row>
    <row r="2164">
      <c r="A2164" s="117" t="inlineStr">
        <is>
          <t>558330</t>
        </is>
      </c>
      <c r="B2164" s="117" t="n">
        <v>12748</v>
      </c>
      <c r="C2164" s="117" t="inlineStr">
        <is>
          <t>United Kingdom</t>
        </is>
      </c>
      <c r="D2164" s="117" t="inlineStr">
        <is>
          <t>21061</t>
        </is>
      </c>
      <c r="E2164" s="117" t="inlineStr">
        <is>
          <t>PARTY INVITES FOOTBALL</t>
        </is>
      </c>
      <c r="F2164" s="117" t="n">
        <v>2</v>
      </c>
      <c r="G2164" s="118" t="n">
        <v>0.85</v>
      </c>
      <c r="H2164" s="118" t="n">
        <v>1.7</v>
      </c>
      <c r="I2164" s="119" t="n">
        <v>40722</v>
      </c>
    </row>
    <row r="2165">
      <c r="A2165" s="114" t="inlineStr">
        <is>
          <t>558339</t>
        </is>
      </c>
      <c r="B2165" s="114" t="n">
        <v>16928</v>
      </c>
      <c r="C2165" s="114" t="inlineStr">
        <is>
          <t>United Kingdom</t>
        </is>
      </c>
      <c r="D2165" s="114" t="inlineStr">
        <is>
          <t>23032</t>
        </is>
      </c>
      <c r="E2165" s="114" t="inlineStr">
        <is>
          <t>DRAWER KNOB CRACKLE GLAZE IVORY</t>
        </is>
      </c>
      <c r="F2165" s="114" t="n">
        <v>6</v>
      </c>
      <c r="G2165" s="115" t="n">
        <v>1.65</v>
      </c>
      <c r="H2165" s="115" t="n">
        <v>9.9</v>
      </c>
      <c r="I2165" s="116" t="n">
        <v>40722</v>
      </c>
    </row>
    <row r="2166">
      <c r="A2166" s="117" t="inlineStr">
        <is>
          <t>558355</t>
        </is>
      </c>
      <c r="B2166" s="117" t="n">
        <v>13614</v>
      </c>
      <c r="C2166" s="117" t="inlineStr">
        <is>
          <t>United Kingdom</t>
        </is>
      </c>
      <c r="D2166" s="117" t="inlineStr">
        <is>
          <t>23266</t>
        </is>
      </c>
      <c r="E2166" s="117" t="inlineStr">
        <is>
          <t>SET OF 3 WOODEN STOCKING DECORATION</t>
        </is>
      </c>
      <c r="F2166" s="117" t="n">
        <v>8</v>
      </c>
      <c r="G2166" s="118" t="n">
        <v>1.25</v>
      </c>
      <c r="H2166" s="118" t="n">
        <v>10</v>
      </c>
      <c r="I2166" s="119" t="n">
        <v>40722</v>
      </c>
    </row>
    <row r="2167">
      <c r="A2167" s="114" t="inlineStr">
        <is>
          <t>558355</t>
        </is>
      </c>
      <c r="B2167" s="114" t="n">
        <v>13614</v>
      </c>
      <c r="C2167" s="114" t="inlineStr">
        <is>
          <t>United Kingdom</t>
        </is>
      </c>
      <c r="D2167" s="114" t="inlineStr">
        <is>
          <t>23263</t>
        </is>
      </c>
      <c r="E2167" s="114" t="inlineStr">
        <is>
          <t>SET OF 3 WOODEN HEART DECORATIONS</t>
        </is>
      </c>
      <c r="F2167" s="114" t="n">
        <v>2</v>
      </c>
      <c r="G2167" s="115" t="n">
        <v>1.25</v>
      </c>
      <c r="H2167" s="115" t="n">
        <v>2.5</v>
      </c>
      <c r="I2167" s="116" t="n">
        <v>40722</v>
      </c>
    </row>
    <row r="2168">
      <c r="A2168" s="117" t="inlineStr">
        <is>
          <t>558367</t>
        </is>
      </c>
      <c r="B2168" s="117" t="n">
        <v>16550</v>
      </c>
      <c r="C2168" s="117" t="inlineStr">
        <is>
          <t>United Kingdom</t>
        </is>
      </c>
      <c r="D2168" s="117" t="inlineStr">
        <is>
          <t>23335</t>
        </is>
      </c>
      <c r="E2168" s="117" t="inlineStr">
        <is>
          <t xml:space="preserve">EGG FRYING PAN IVORY </t>
        </is>
      </c>
      <c r="F2168" s="117" t="n">
        <v>3</v>
      </c>
      <c r="G2168" s="118" t="n">
        <v>2.08</v>
      </c>
      <c r="H2168" s="118" t="n">
        <v>6.24</v>
      </c>
      <c r="I2168" s="119" t="n">
        <v>40722</v>
      </c>
    </row>
    <row r="2169">
      <c r="A2169" s="114" t="inlineStr">
        <is>
          <t>558368</t>
        </is>
      </c>
      <c r="B2169" s="114" t="n">
        <v>14329</v>
      </c>
      <c r="C2169" s="114" t="inlineStr">
        <is>
          <t>United Kingdom</t>
        </is>
      </c>
      <c r="D2169" s="114" t="inlineStr">
        <is>
          <t>23201</t>
        </is>
      </c>
      <c r="E2169" s="114" t="inlineStr">
        <is>
          <t>JUMBO BAG ALPHABET</t>
        </is>
      </c>
      <c r="F2169" s="114" t="n">
        <v>10</v>
      </c>
      <c r="G2169" s="115" t="n">
        <v>2.08</v>
      </c>
      <c r="H2169" s="115" t="n">
        <v>20.8</v>
      </c>
      <c r="I2169" s="116" t="n">
        <v>40722</v>
      </c>
    </row>
    <row r="2170">
      <c r="A2170" s="117" t="inlineStr">
        <is>
          <t>558417</t>
        </is>
      </c>
      <c r="B2170" s="117" t="n">
        <v>14156</v>
      </c>
      <c r="C2170" s="117" t="inlineStr">
        <is>
          <t>EIRE</t>
        </is>
      </c>
      <c r="D2170" s="117" t="inlineStr">
        <is>
          <t>48129</t>
        </is>
      </c>
      <c r="E2170" s="117" t="inlineStr">
        <is>
          <t>DOORMAT TOPIARY</t>
        </is>
      </c>
      <c r="F2170" s="117" t="n">
        <v>20</v>
      </c>
      <c r="G2170" s="118" t="n">
        <v>6.75</v>
      </c>
      <c r="H2170" s="118" t="n">
        <v>135</v>
      </c>
      <c r="I2170" s="119" t="n">
        <v>40723</v>
      </c>
    </row>
    <row r="2171">
      <c r="A2171" s="114" t="inlineStr">
        <is>
          <t>558417</t>
        </is>
      </c>
      <c r="B2171" s="114" t="n">
        <v>14156</v>
      </c>
      <c r="C2171" s="114" t="inlineStr">
        <is>
          <t>EIRE</t>
        </is>
      </c>
      <c r="D2171" s="114" t="inlineStr">
        <is>
          <t>21756</t>
        </is>
      </c>
      <c r="E2171" s="114" t="inlineStr">
        <is>
          <t>BATH BUILDING BLOCK WORD</t>
        </is>
      </c>
      <c r="F2171" s="114" t="n">
        <v>18</v>
      </c>
      <c r="G2171" s="115" t="n">
        <v>5.45</v>
      </c>
      <c r="H2171" s="115" t="n">
        <v>98.09999999999999</v>
      </c>
      <c r="I2171" s="116" t="n">
        <v>40723</v>
      </c>
    </row>
    <row r="2172">
      <c r="A2172" s="117" t="inlineStr">
        <is>
          <t>558420</t>
        </is>
      </c>
      <c r="B2172" s="117" t="n">
        <v>14577</v>
      </c>
      <c r="C2172" s="117" t="inlineStr">
        <is>
          <t>United Kingdom</t>
        </is>
      </c>
      <c r="D2172" s="117" t="inlineStr">
        <is>
          <t>22617</t>
        </is>
      </c>
      <c r="E2172" s="117" t="inlineStr">
        <is>
          <t>BAKING SET SPACEBOY DESIGN</t>
        </is>
      </c>
      <c r="F2172" s="117" t="n">
        <v>2</v>
      </c>
      <c r="G2172" s="118" t="n">
        <v>4.95</v>
      </c>
      <c r="H2172" s="118" t="n">
        <v>9.9</v>
      </c>
      <c r="I2172" s="119" t="n">
        <v>40723</v>
      </c>
    </row>
    <row r="2173">
      <c r="A2173" s="114" t="inlineStr">
        <is>
          <t>558459</t>
        </is>
      </c>
      <c r="B2173" s="114" t="n">
        <v>15334</v>
      </c>
      <c r="C2173" s="114" t="inlineStr">
        <is>
          <t>United Kingdom</t>
        </is>
      </c>
      <c r="D2173" s="114" t="inlineStr">
        <is>
          <t>21232</t>
        </is>
      </c>
      <c r="E2173" s="114" t="inlineStr">
        <is>
          <t>STRAWBERRY CERAMIC TRINKET BOX</t>
        </is>
      </c>
      <c r="F2173" s="114" t="n">
        <v>2</v>
      </c>
      <c r="G2173" s="115" t="n">
        <v>1.25</v>
      </c>
      <c r="H2173" s="115" t="n">
        <v>2.5</v>
      </c>
      <c r="I2173" s="116" t="n">
        <v>40723</v>
      </c>
    </row>
    <row r="2174">
      <c r="A2174" s="117" t="inlineStr">
        <is>
          <t>558479</t>
        </is>
      </c>
      <c r="B2174" s="117" t="n">
        <v>17837</v>
      </c>
      <c r="C2174" s="117" t="inlineStr">
        <is>
          <t>United Kingdom</t>
        </is>
      </c>
      <c r="D2174" s="117" t="inlineStr">
        <is>
          <t>21746</t>
        </is>
      </c>
      <c r="E2174" s="117" t="inlineStr">
        <is>
          <t>SMALL RED RETROSPOT WINDMILL</t>
        </is>
      </c>
      <c r="F2174" s="117" t="n">
        <v>3</v>
      </c>
      <c r="G2174" s="118" t="n">
        <v>1.25</v>
      </c>
      <c r="H2174" s="118" t="n">
        <v>3.75</v>
      </c>
      <c r="I2174" s="119" t="n">
        <v>40723</v>
      </c>
    </row>
    <row r="2175">
      <c r="A2175" s="114" t="inlineStr">
        <is>
          <t>558479</t>
        </is>
      </c>
      <c r="B2175" s="114" t="n">
        <v>17837</v>
      </c>
      <c r="C2175" s="114" t="inlineStr">
        <is>
          <t>United Kingdom</t>
        </is>
      </c>
      <c r="D2175" s="114" t="inlineStr">
        <is>
          <t>22606</t>
        </is>
      </c>
      <c r="E2175" s="114" t="inlineStr">
        <is>
          <t>WOODEN SKITTLES GARDEN SET</t>
        </is>
      </c>
      <c r="F2175" s="114" t="n">
        <v>3</v>
      </c>
      <c r="G2175" s="115" t="n">
        <v>15.95</v>
      </c>
      <c r="H2175" s="115" t="n">
        <v>47.85</v>
      </c>
      <c r="I2175" s="116" t="n">
        <v>40723</v>
      </c>
    </row>
    <row r="2176">
      <c r="A2176" s="117" t="inlineStr">
        <is>
          <t>558526</t>
        </is>
      </c>
      <c r="B2176" s="117" t="n">
        <v>17949</v>
      </c>
      <c r="C2176" s="117" t="inlineStr">
        <is>
          <t>United Kingdom</t>
        </is>
      </c>
      <c r="D2176" s="117" t="inlineStr">
        <is>
          <t>22699</t>
        </is>
      </c>
      <c r="E2176" s="117" t="inlineStr">
        <is>
          <t xml:space="preserve">ROSES REGENCY TEACUP AND SAUCER </t>
        </is>
      </c>
      <c r="F2176" s="117" t="n">
        <v>768</v>
      </c>
      <c r="G2176" s="118" t="n">
        <v>2.55</v>
      </c>
      <c r="H2176" s="118" t="n">
        <v>1958.4</v>
      </c>
      <c r="I2176" s="119" t="n">
        <v>40724</v>
      </c>
    </row>
    <row r="2177">
      <c r="A2177" s="114" t="inlineStr">
        <is>
          <t>558538</t>
        </is>
      </c>
      <c r="B2177" s="114" t="n">
        <v>15005</v>
      </c>
      <c r="C2177" s="114" t="inlineStr">
        <is>
          <t>United Kingdom</t>
        </is>
      </c>
      <c r="D2177" s="114" t="inlineStr">
        <is>
          <t>22720</t>
        </is>
      </c>
      <c r="E2177" s="114" t="inlineStr">
        <is>
          <t xml:space="preserve">SET OF 3 CAKE TINS PANTRY DESIGN </t>
        </is>
      </c>
      <c r="F2177" s="114" t="n">
        <v>2</v>
      </c>
      <c r="G2177" s="115" t="n">
        <v>4.95</v>
      </c>
      <c r="H2177" s="115" t="n">
        <v>9.9</v>
      </c>
      <c r="I2177" s="116" t="n">
        <v>40724</v>
      </c>
    </row>
    <row r="2178">
      <c r="A2178" s="117" t="inlineStr">
        <is>
          <t>558538</t>
        </is>
      </c>
      <c r="B2178" s="117" t="n">
        <v>15005</v>
      </c>
      <c r="C2178" s="117" t="inlineStr">
        <is>
          <t>United Kingdom</t>
        </is>
      </c>
      <c r="D2178" s="117" t="inlineStr">
        <is>
          <t>20725</t>
        </is>
      </c>
      <c r="E2178" s="117" t="inlineStr">
        <is>
          <t>LUNCH BAG RED RETROSPOT</t>
        </is>
      </c>
      <c r="F2178" s="117" t="n">
        <v>2</v>
      </c>
      <c r="G2178" s="118" t="n">
        <v>1.65</v>
      </c>
      <c r="H2178" s="118" t="n">
        <v>3.3</v>
      </c>
      <c r="I2178" s="119" t="n">
        <v>40724</v>
      </c>
    </row>
    <row r="2179">
      <c r="A2179" s="114" t="inlineStr">
        <is>
          <t>558558</t>
        </is>
      </c>
      <c r="B2179" s="114" t="n">
        <v>17841</v>
      </c>
      <c r="C2179" s="114" t="inlineStr">
        <is>
          <t>United Kingdom</t>
        </is>
      </c>
      <c r="D2179" s="114" t="inlineStr">
        <is>
          <t>23206</t>
        </is>
      </c>
      <c r="E2179" s="114" t="inlineStr">
        <is>
          <t>LUNCH BAG APPLE DESIGN</t>
        </is>
      </c>
      <c r="F2179" s="114" t="n">
        <v>2</v>
      </c>
      <c r="G2179" s="115" t="n">
        <v>1.65</v>
      </c>
      <c r="H2179" s="115" t="n">
        <v>3.3</v>
      </c>
      <c r="I2179" s="116" t="n">
        <v>40724</v>
      </c>
    </row>
    <row r="2180">
      <c r="A2180" s="117" t="inlineStr">
        <is>
          <t>558564</t>
        </is>
      </c>
      <c r="B2180" s="117" t="n">
        <v>14057</v>
      </c>
      <c r="C2180" s="117" t="inlineStr">
        <is>
          <t>United Kingdom</t>
        </is>
      </c>
      <c r="D2180" s="117" t="inlineStr">
        <is>
          <t>22748</t>
        </is>
      </c>
      <c r="E2180" s="117" t="inlineStr">
        <is>
          <t>POPPY'S PLAYHOUSE KITCHEN</t>
        </is>
      </c>
      <c r="F2180" s="117" t="n">
        <v>4</v>
      </c>
      <c r="G2180" s="118" t="n">
        <v>2.1</v>
      </c>
      <c r="H2180" s="118" t="n">
        <v>8.4</v>
      </c>
      <c r="I2180" s="119" t="n">
        <v>40724</v>
      </c>
    </row>
    <row r="2181">
      <c r="A2181" s="114" t="inlineStr">
        <is>
          <t>558568</t>
        </is>
      </c>
      <c r="B2181" s="114" t="n">
        <v>16316</v>
      </c>
      <c r="C2181" s="114" t="inlineStr">
        <is>
          <t>United Kingdom</t>
        </is>
      </c>
      <c r="D2181" s="114" t="inlineStr">
        <is>
          <t>47566</t>
        </is>
      </c>
      <c r="E2181" s="114" t="inlineStr">
        <is>
          <t>PARTY BUNTING</t>
        </is>
      </c>
      <c r="F2181" s="114" t="n">
        <v>8</v>
      </c>
      <c r="G2181" s="115" t="n">
        <v>4.95</v>
      </c>
      <c r="H2181" s="115" t="n">
        <v>39.6</v>
      </c>
      <c r="I2181" s="116" t="n">
        <v>40724</v>
      </c>
    </row>
    <row r="2182">
      <c r="A2182" s="117" t="inlineStr">
        <is>
          <t>558571</t>
        </is>
      </c>
      <c r="B2182" s="117" t="n">
        <v>17017</v>
      </c>
      <c r="C2182" s="117" t="inlineStr">
        <is>
          <t>United Kingdom</t>
        </is>
      </c>
      <c r="D2182" s="117" t="inlineStr">
        <is>
          <t>21915</t>
        </is>
      </c>
      <c r="E2182" s="117" t="inlineStr">
        <is>
          <t xml:space="preserve">RED  HARMONICA IN BOX </t>
        </is>
      </c>
      <c r="F2182" s="117" t="n">
        <v>12</v>
      </c>
      <c r="G2182" s="118" t="n">
        <v>1.25</v>
      </c>
      <c r="H2182" s="118" t="n">
        <v>15</v>
      </c>
      <c r="I2182" s="119" t="n">
        <v>40724</v>
      </c>
    </row>
    <row r="2183">
      <c r="A2183" s="114" t="inlineStr">
        <is>
          <t>558620</t>
        </is>
      </c>
      <c r="B2183" s="114" t="n">
        <v>15584</v>
      </c>
      <c r="C2183" s="114" t="inlineStr">
        <is>
          <t>United Kingdom</t>
        </is>
      </c>
      <c r="D2183" s="114" t="inlineStr">
        <is>
          <t>22355</t>
        </is>
      </c>
      <c r="E2183" s="114" t="inlineStr">
        <is>
          <t>CHARLOTTE BAG SUKI DESIGN</t>
        </is>
      </c>
      <c r="F2183" s="114" t="n">
        <v>1</v>
      </c>
      <c r="G2183" s="115" t="n">
        <v>0.85</v>
      </c>
      <c r="H2183" s="115" t="n">
        <v>0.85</v>
      </c>
      <c r="I2183" s="116" t="n">
        <v>40724</v>
      </c>
    </row>
    <row r="2184">
      <c r="A2184" s="117" t="inlineStr">
        <is>
          <t>558621</t>
        </is>
      </c>
      <c r="B2184" s="117" t="n">
        <v>13745</v>
      </c>
      <c r="C2184" s="117" t="inlineStr">
        <is>
          <t>United Kingdom</t>
        </is>
      </c>
      <c r="D2184" s="117" t="inlineStr">
        <is>
          <t>21382</t>
        </is>
      </c>
      <c r="E2184" s="117" t="inlineStr">
        <is>
          <t>SET/4 SPRING FLOWER DECORATION</t>
        </is>
      </c>
      <c r="F2184" s="117" t="n">
        <v>12</v>
      </c>
      <c r="G2184" s="118" t="n">
        <v>0.75</v>
      </c>
      <c r="H2184" s="118" t="n">
        <v>9</v>
      </c>
      <c r="I2184" s="119" t="n">
        <v>40724</v>
      </c>
    </row>
    <row r="2185">
      <c r="A2185" s="114" t="inlineStr">
        <is>
          <t>558635</t>
        </is>
      </c>
      <c r="B2185" s="114" t="n">
        <v>16498</v>
      </c>
      <c r="C2185" s="114" t="inlineStr">
        <is>
          <t>United Kingdom</t>
        </is>
      </c>
      <c r="D2185" s="114" t="inlineStr">
        <is>
          <t>22990</t>
        </is>
      </c>
      <c r="E2185" s="114" t="inlineStr">
        <is>
          <t>COTTON APRON PANTRY DESIGN</t>
        </is>
      </c>
      <c r="F2185" s="114" t="n">
        <v>6</v>
      </c>
      <c r="G2185" s="115" t="n">
        <v>4.95</v>
      </c>
      <c r="H2185" s="115" t="n">
        <v>29.7</v>
      </c>
      <c r="I2185" s="116" t="n">
        <v>40724</v>
      </c>
    </row>
    <row r="2186">
      <c r="A2186" s="117" t="inlineStr">
        <is>
          <t>558639</t>
        </is>
      </c>
      <c r="B2186" s="117" t="n">
        <v>13492</v>
      </c>
      <c r="C2186" s="117" t="inlineStr">
        <is>
          <t>Switzerland</t>
        </is>
      </c>
      <c r="D2186" s="117" t="inlineStr">
        <is>
          <t>21936</t>
        </is>
      </c>
      <c r="E2186" s="117" t="inlineStr">
        <is>
          <t>RED RETROSPOT PICNIC BAG</t>
        </is>
      </c>
      <c r="F2186" s="117" t="n">
        <v>10</v>
      </c>
      <c r="G2186" s="118" t="n">
        <v>2.95</v>
      </c>
      <c r="H2186" s="118" t="n">
        <v>29.5</v>
      </c>
      <c r="I2186" s="119" t="n">
        <v>40725</v>
      </c>
    </row>
    <row r="2187">
      <c r="A2187" s="114" t="inlineStr">
        <is>
          <t>558647</t>
        </is>
      </c>
      <c r="B2187" s="114" t="n">
        <v>14868</v>
      </c>
      <c r="C2187" s="114" t="inlineStr">
        <is>
          <t>United Kingdom</t>
        </is>
      </c>
      <c r="D2187" s="114" t="inlineStr">
        <is>
          <t>22570</t>
        </is>
      </c>
      <c r="E2187" s="114" t="inlineStr">
        <is>
          <t>FELTCRAFT CUSHION RABBIT</t>
        </is>
      </c>
      <c r="F2187" s="114" t="n">
        <v>4</v>
      </c>
      <c r="G2187" s="115" t="n">
        <v>3.75</v>
      </c>
      <c r="H2187" s="115" t="n">
        <v>15</v>
      </c>
      <c r="I2187" s="116" t="n">
        <v>40725</v>
      </c>
    </row>
    <row r="2188">
      <c r="A2188" s="117" t="inlineStr">
        <is>
          <t>558684</t>
        </is>
      </c>
      <c r="B2188" s="117" t="n">
        <v>14016</v>
      </c>
      <c r="C2188" s="117" t="inlineStr">
        <is>
          <t>EIRE</t>
        </is>
      </c>
      <c r="D2188" s="117" t="inlineStr">
        <is>
          <t>22147</t>
        </is>
      </c>
      <c r="E2188" s="117" t="inlineStr">
        <is>
          <t>FELTCRAFT BUTTERFLY HEARTS</t>
        </is>
      </c>
      <c r="F2188" s="117" t="n">
        <v>12</v>
      </c>
      <c r="G2188" s="118" t="n">
        <v>1.45</v>
      </c>
      <c r="H2188" s="118" t="n">
        <v>17.4</v>
      </c>
      <c r="I2188" s="119" t="n">
        <v>40725</v>
      </c>
    </row>
    <row r="2189">
      <c r="A2189" s="114" t="inlineStr">
        <is>
          <t>558709</t>
        </is>
      </c>
      <c r="B2189" s="114" t="n">
        <v>17338</v>
      </c>
      <c r="C2189" s="114" t="inlineStr">
        <is>
          <t>United Kingdom</t>
        </is>
      </c>
      <c r="D2189" s="114" t="inlineStr">
        <is>
          <t>22219</t>
        </is>
      </c>
      <c r="E2189" s="114" t="inlineStr">
        <is>
          <t xml:space="preserve">LOVEBIRD HANGING DECORATION WHITE </t>
        </is>
      </c>
      <c r="F2189" s="114" t="n">
        <v>5</v>
      </c>
      <c r="G2189" s="115" t="n">
        <v>0.85</v>
      </c>
      <c r="H2189" s="115" t="n">
        <v>4.25</v>
      </c>
      <c r="I2189" s="116" t="n">
        <v>40725</v>
      </c>
    </row>
    <row r="2190">
      <c r="A2190" s="117" t="inlineStr">
        <is>
          <t>558740</t>
        </is>
      </c>
      <c r="B2190" s="117" t="n">
        <v>16775</v>
      </c>
      <c r="C2190" s="117" t="inlineStr">
        <is>
          <t>United Kingdom</t>
        </is>
      </c>
      <c r="D2190" s="117" t="inlineStr">
        <is>
          <t>23322</t>
        </is>
      </c>
      <c r="E2190" s="117" t="inlineStr">
        <is>
          <t>LARGE WHITE HEART OF WICKER</t>
        </is>
      </c>
      <c r="F2190" s="117" t="n">
        <v>2</v>
      </c>
      <c r="G2190" s="118" t="n">
        <v>2.95</v>
      </c>
      <c r="H2190" s="118" t="n">
        <v>5.9</v>
      </c>
      <c r="I2190" s="119" t="n">
        <v>40725</v>
      </c>
    </row>
    <row r="2191">
      <c r="A2191" s="114" t="inlineStr">
        <is>
          <t>558750</t>
        </is>
      </c>
      <c r="B2191" s="114" t="n">
        <v>18226</v>
      </c>
      <c r="C2191" s="114" t="inlineStr">
        <is>
          <t>United Kingdom</t>
        </is>
      </c>
      <c r="D2191" s="114" t="inlineStr">
        <is>
          <t>20725</t>
        </is>
      </c>
      <c r="E2191" s="114" t="inlineStr">
        <is>
          <t>LUNCH BAG RED RETROSPOT</t>
        </is>
      </c>
      <c r="F2191" s="114" t="n">
        <v>20</v>
      </c>
      <c r="G2191" s="115" t="n">
        <v>1.65</v>
      </c>
      <c r="H2191" s="115" t="n">
        <v>33</v>
      </c>
      <c r="I2191" s="116" t="n">
        <v>40727</v>
      </c>
    </row>
    <row r="2192">
      <c r="A2192" s="117" t="inlineStr">
        <is>
          <t>558761</t>
        </is>
      </c>
      <c r="B2192" s="117" t="n">
        <v>15033</v>
      </c>
      <c r="C2192" s="117" t="inlineStr">
        <is>
          <t>United Kingdom</t>
        </is>
      </c>
      <c r="D2192" s="117" t="inlineStr">
        <is>
          <t>20981</t>
        </is>
      </c>
      <c r="E2192" s="117" t="inlineStr">
        <is>
          <t>12 PENCILS TALL TUBE WOODLAND</t>
        </is>
      </c>
      <c r="F2192" s="117" t="n">
        <v>2</v>
      </c>
      <c r="G2192" s="118" t="n">
        <v>0.85</v>
      </c>
      <c r="H2192" s="118" t="n">
        <v>1.7</v>
      </c>
      <c r="I2192" s="119" t="n">
        <v>40727</v>
      </c>
    </row>
    <row r="2193">
      <c r="A2193" s="114" t="inlineStr">
        <is>
          <t>558762</t>
        </is>
      </c>
      <c r="B2193" s="114" t="n">
        <v>15023</v>
      </c>
      <c r="C2193" s="114" t="inlineStr">
        <is>
          <t>United Kingdom</t>
        </is>
      </c>
      <c r="D2193" s="114" t="inlineStr">
        <is>
          <t>23299</t>
        </is>
      </c>
      <c r="E2193" s="114" t="inlineStr">
        <is>
          <t xml:space="preserve">FOOD COVER WITH BEADS SET 2 </t>
        </is>
      </c>
      <c r="F2193" s="114" t="n">
        <v>1</v>
      </c>
      <c r="G2193" s="115" t="n">
        <v>3.75</v>
      </c>
      <c r="H2193" s="115" t="n">
        <v>3.75</v>
      </c>
      <c r="I2193" s="116" t="n">
        <v>40727</v>
      </c>
    </row>
    <row r="2194">
      <c r="A2194" s="117" t="inlineStr">
        <is>
          <t>558767</t>
        </is>
      </c>
      <c r="B2194" s="117" t="n">
        <v>13833</v>
      </c>
      <c r="C2194" s="117" t="inlineStr">
        <is>
          <t>United Kingdom</t>
        </is>
      </c>
      <c r="D2194" s="117" t="inlineStr">
        <is>
          <t>21877</t>
        </is>
      </c>
      <c r="E2194" s="117" t="inlineStr">
        <is>
          <t>HOME SWEET HOME MUG</t>
        </is>
      </c>
      <c r="F2194" s="117" t="n">
        <v>6</v>
      </c>
      <c r="G2194" s="118" t="n">
        <v>1.25</v>
      </c>
      <c r="H2194" s="118" t="n">
        <v>7.5</v>
      </c>
      <c r="I2194" s="119" t="n">
        <v>40727</v>
      </c>
    </row>
    <row r="2195">
      <c r="A2195" s="114" t="inlineStr">
        <is>
          <t>558770</t>
        </is>
      </c>
      <c r="B2195" s="114" t="n">
        <v>12748</v>
      </c>
      <c r="C2195" s="114" t="inlineStr">
        <is>
          <t>United Kingdom</t>
        </is>
      </c>
      <c r="D2195" s="114" t="inlineStr">
        <is>
          <t>20914</t>
        </is>
      </c>
      <c r="E2195" s="114" t="inlineStr">
        <is>
          <t>SET/5 RED RETROSPOT LID GLASS BOWLS</t>
        </is>
      </c>
      <c r="F2195" s="114" t="n">
        <v>3</v>
      </c>
      <c r="G2195" s="115" t="n">
        <v>2.95</v>
      </c>
      <c r="H2195" s="115" t="n">
        <v>8.85</v>
      </c>
      <c r="I2195" s="116" t="n">
        <v>40727</v>
      </c>
    </row>
    <row r="2196">
      <c r="A2196" s="117" t="inlineStr">
        <is>
          <t>558770</t>
        </is>
      </c>
      <c r="B2196" s="117" t="n">
        <v>12748</v>
      </c>
      <c r="C2196" s="117" t="inlineStr">
        <is>
          <t>United Kingdom</t>
        </is>
      </c>
      <c r="D2196" s="117" t="inlineStr">
        <is>
          <t>23173</t>
        </is>
      </c>
      <c r="E2196" s="117" t="inlineStr">
        <is>
          <t xml:space="preserve">REGENCY TEAPOT ROSES </t>
        </is>
      </c>
      <c r="F2196" s="117" t="n">
        <v>1</v>
      </c>
      <c r="G2196" s="118" t="n">
        <v>9.949999999999999</v>
      </c>
      <c r="H2196" s="118" t="n">
        <v>9.949999999999999</v>
      </c>
      <c r="I2196" s="119" t="n">
        <v>40727</v>
      </c>
    </row>
    <row r="2197">
      <c r="A2197" s="114" t="inlineStr">
        <is>
          <t>558771</t>
        </is>
      </c>
      <c r="B2197" s="114" t="n">
        <v>17105</v>
      </c>
      <c r="C2197" s="114" t="inlineStr">
        <is>
          <t>United Kingdom</t>
        </is>
      </c>
      <c r="D2197" s="114" t="inlineStr">
        <is>
          <t>23140</t>
        </is>
      </c>
      <c r="E2197" s="114" t="inlineStr">
        <is>
          <t>TRIPLE WIRE HOOK IVORY HEART</t>
        </is>
      </c>
      <c r="F2197" s="114" t="n">
        <v>2</v>
      </c>
      <c r="G2197" s="115" t="n">
        <v>4.15</v>
      </c>
      <c r="H2197" s="115" t="n">
        <v>8.300000000000001</v>
      </c>
      <c r="I2197" s="116" t="n">
        <v>40727</v>
      </c>
    </row>
    <row r="2198">
      <c r="A2198" s="117" t="inlineStr">
        <is>
          <t>558773</t>
        </is>
      </c>
      <c r="B2198" s="117" t="n">
        <v>17781</v>
      </c>
      <c r="C2198" s="117" t="inlineStr">
        <is>
          <t>United Kingdom</t>
        </is>
      </c>
      <c r="D2198" s="117" t="inlineStr">
        <is>
          <t>21916</t>
        </is>
      </c>
      <c r="E2198" s="117" t="inlineStr">
        <is>
          <t>SET 12 RETRO WHITE CHALK STICKS</t>
        </is>
      </c>
      <c r="F2198" s="117" t="n">
        <v>2</v>
      </c>
      <c r="G2198" s="118" t="n">
        <v>0.42</v>
      </c>
      <c r="H2198" s="118" t="n">
        <v>0.84</v>
      </c>
      <c r="I2198" s="119" t="n">
        <v>40727</v>
      </c>
    </row>
    <row r="2199">
      <c r="A2199" s="114" t="inlineStr">
        <is>
          <t>558861</t>
        </is>
      </c>
      <c r="B2199" s="114" t="n">
        <v>13373</v>
      </c>
      <c r="C2199" s="114" t="inlineStr">
        <is>
          <t>United Kingdom</t>
        </is>
      </c>
      <c r="D2199" s="114" t="inlineStr">
        <is>
          <t>23285</t>
        </is>
      </c>
      <c r="E2199" s="114" t="inlineStr">
        <is>
          <t>PINK VINTAGE SPOT BEAKER</t>
        </is>
      </c>
      <c r="F2199" s="114" t="n">
        <v>8</v>
      </c>
      <c r="G2199" s="115" t="n">
        <v>0.85</v>
      </c>
      <c r="H2199" s="115" t="n">
        <v>6.8</v>
      </c>
      <c r="I2199" s="116" t="n">
        <v>40728</v>
      </c>
    </row>
    <row r="2200">
      <c r="A2200" s="117" t="inlineStr">
        <is>
          <t>558868</t>
        </is>
      </c>
      <c r="B2200" s="117" t="n">
        <v>13266</v>
      </c>
      <c r="C2200" s="117" t="inlineStr">
        <is>
          <t>United Kingdom</t>
        </is>
      </c>
      <c r="D2200" s="117" t="inlineStr">
        <is>
          <t>22355</t>
        </is>
      </c>
      <c r="E2200" s="117" t="inlineStr">
        <is>
          <t>CHARLOTTE BAG SUKI DESIGN</t>
        </is>
      </c>
      <c r="F2200" s="117" t="n">
        <v>20</v>
      </c>
      <c r="G2200" s="118" t="n">
        <v>0.85</v>
      </c>
      <c r="H2200" s="118" t="n">
        <v>17</v>
      </c>
      <c r="I2200" s="119" t="n">
        <v>40728</v>
      </c>
    </row>
    <row r="2201">
      <c r="A2201" s="114" t="inlineStr">
        <is>
          <t>558871</t>
        </is>
      </c>
      <c r="B2201" s="114" t="n">
        <v>12557</v>
      </c>
      <c r="C2201" s="114" t="inlineStr">
        <is>
          <t>Spain</t>
        </is>
      </c>
      <c r="D2201" s="114" t="inlineStr">
        <is>
          <t>84997A</t>
        </is>
      </c>
      <c r="E2201" s="114" t="inlineStr">
        <is>
          <t xml:space="preserve">CHILDRENS CUTLERY POLKADOT GREEN </t>
        </is>
      </c>
      <c r="F2201" s="114" t="n">
        <v>72</v>
      </c>
      <c r="G2201" s="115" t="n">
        <v>3.75</v>
      </c>
      <c r="H2201" s="115" t="n">
        <v>270</v>
      </c>
      <c r="I2201" s="116" t="n">
        <v>40728</v>
      </c>
    </row>
    <row r="2202">
      <c r="A2202" s="117" t="inlineStr">
        <is>
          <t>558876</t>
        </is>
      </c>
      <c r="B2202" s="117" t="n">
        <v>17841</v>
      </c>
      <c r="C2202" s="117" t="inlineStr">
        <is>
          <t>United Kingdom</t>
        </is>
      </c>
      <c r="D2202" s="117" t="inlineStr">
        <is>
          <t>22327</t>
        </is>
      </c>
      <c r="E2202" s="117" t="inlineStr">
        <is>
          <t>ROUND SNACK BOXES SET OF 4 SKULLS</t>
        </is>
      </c>
      <c r="F2202" s="117" t="n">
        <v>4</v>
      </c>
      <c r="G2202" s="118" t="n">
        <v>2.95</v>
      </c>
      <c r="H2202" s="118" t="n">
        <v>11.8</v>
      </c>
      <c r="I2202" s="119" t="n">
        <v>40728</v>
      </c>
    </row>
    <row r="2203">
      <c r="A2203" s="114" t="inlineStr">
        <is>
          <t>558877</t>
        </is>
      </c>
      <c r="B2203" s="114" t="n">
        <v>17841</v>
      </c>
      <c r="C2203" s="114" t="inlineStr">
        <is>
          <t>United Kingdom</t>
        </is>
      </c>
      <c r="D2203" s="114" t="inlineStr">
        <is>
          <t>22227</t>
        </is>
      </c>
      <c r="E2203" s="114" t="inlineStr">
        <is>
          <t xml:space="preserve">HANGING HEART MIRROR DECORATION </t>
        </is>
      </c>
      <c r="F2203" s="114" t="n">
        <v>4</v>
      </c>
      <c r="G2203" s="115" t="n">
        <v>0.65</v>
      </c>
      <c r="H2203" s="115" t="n">
        <v>2.6</v>
      </c>
      <c r="I2203" s="116" t="n">
        <v>40728</v>
      </c>
    </row>
    <row r="2204">
      <c r="A2204" s="117" t="inlineStr">
        <is>
          <t>558877</t>
        </is>
      </c>
      <c r="B2204" s="117" t="n">
        <v>17841</v>
      </c>
      <c r="C2204" s="117" t="inlineStr">
        <is>
          <t>United Kingdom</t>
        </is>
      </c>
      <c r="D2204" s="117" t="inlineStr">
        <is>
          <t>22676</t>
        </is>
      </c>
      <c r="E2204" s="117" t="inlineStr">
        <is>
          <t>FRENCH BLUE METAL DOOR SIGN 1</t>
        </is>
      </c>
      <c r="F2204" s="117" t="n">
        <v>1</v>
      </c>
      <c r="G2204" s="118" t="n">
        <v>1.25</v>
      </c>
      <c r="H2204" s="118" t="n">
        <v>1.25</v>
      </c>
      <c r="I2204" s="119" t="n">
        <v>40728</v>
      </c>
    </row>
    <row r="2205">
      <c r="A2205" s="114" t="inlineStr">
        <is>
          <t>558879</t>
        </is>
      </c>
      <c r="B2205" s="114" t="n">
        <v>12921</v>
      </c>
      <c r="C2205" s="114" t="inlineStr">
        <is>
          <t>United Kingdom</t>
        </is>
      </c>
      <c r="D2205" s="114" t="inlineStr">
        <is>
          <t>22457</t>
        </is>
      </c>
      <c r="E2205" s="114" t="inlineStr">
        <is>
          <t xml:space="preserve">NATURAL SLATE HEART CHALKBOARD </t>
        </is>
      </c>
      <c r="F2205" s="114" t="n">
        <v>6</v>
      </c>
      <c r="G2205" s="115" t="n">
        <v>2.95</v>
      </c>
      <c r="H2205" s="115" t="n">
        <v>17.7</v>
      </c>
      <c r="I2205" s="116" t="n">
        <v>40728</v>
      </c>
    </row>
    <row r="2206">
      <c r="A2206" s="117" t="inlineStr">
        <is>
          <t>558881</t>
        </is>
      </c>
      <c r="B2206" s="117" t="n">
        <v>12705</v>
      </c>
      <c r="C2206" s="117" t="inlineStr">
        <is>
          <t>Germany</t>
        </is>
      </c>
      <c r="D2206" s="117" t="inlineStr">
        <is>
          <t>21403</t>
        </is>
      </c>
      <c r="E2206" s="117" t="inlineStr">
        <is>
          <t>BLUE EGG  SPOON</t>
        </is>
      </c>
      <c r="F2206" s="117" t="n">
        <v>24</v>
      </c>
      <c r="G2206" s="118" t="n">
        <v>0.12</v>
      </c>
      <c r="H2206" s="118" t="n">
        <v>2.88</v>
      </c>
      <c r="I2206" s="119" t="n">
        <v>40728</v>
      </c>
    </row>
    <row r="2207">
      <c r="A2207" s="114" t="inlineStr">
        <is>
          <t>558888</t>
        </is>
      </c>
      <c r="B2207" s="114" t="n">
        <v>14056</v>
      </c>
      <c r="C2207" s="114" t="inlineStr">
        <is>
          <t>United Kingdom</t>
        </is>
      </c>
      <c r="D2207" s="114" t="inlineStr">
        <is>
          <t>21754</t>
        </is>
      </c>
      <c r="E2207" s="114" t="inlineStr">
        <is>
          <t>HOME BUILDING BLOCK WORD</t>
        </is>
      </c>
      <c r="F2207" s="114" t="n">
        <v>1</v>
      </c>
      <c r="G2207" s="115" t="n">
        <v>5.95</v>
      </c>
      <c r="H2207" s="115" t="n">
        <v>5.95</v>
      </c>
      <c r="I2207" s="116" t="n">
        <v>40728</v>
      </c>
    </row>
    <row r="2208">
      <c r="A2208" s="117" t="inlineStr">
        <is>
          <t>558892</t>
        </is>
      </c>
      <c r="B2208" s="117" t="n">
        <v>17581</v>
      </c>
      <c r="C2208" s="117" t="inlineStr">
        <is>
          <t>United Kingdom</t>
        </is>
      </c>
      <c r="D2208" s="117" t="inlineStr">
        <is>
          <t>37340</t>
        </is>
      </c>
      <c r="E2208" s="117" t="inlineStr">
        <is>
          <t>MULTICOLOUR SPRING FLOWER MUG</t>
        </is>
      </c>
      <c r="F2208" s="117" t="n">
        <v>48</v>
      </c>
      <c r="G2208" s="118" t="n">
        <v>0.39</v>
      </c>
      <c r="H2208" s="118" t="n">
        <v>18.72</v>
      </c>
      <c r="I2208" s="119" t="n">
        <v>40728</v>
      </c>
    </row>
    <row r="2209">
      <c r="A2209" s="114" t="inlineStr">
        <is>
          <t>558906</t>
        </is>
      </c>
      <c r="B2209" s="114" t="n">
        <v>15555</v>
      </c>
      <c r="C2209" s="114" t="inlineStr">
        <is>
          <t>United Kingdom</t>
        </is>
      </c>
      <c r="D2209" s="114" t="inlineStr">
        <is>
          <t>22091</t>
        </is>
      </c>
      <c r="E2209" s="114" t="inlineStr">
        <is>
          <t>EMPIRE TISSUE BOX</t>
        </is>
      </c>
      <c r="F2209" s="114" t="n">
        <v>2</v>
      </c>
      <c r="G2209" s="115" t="n">
        <v>0.39</v>
      </c>
      <c r="H2209" s="115" t="n">
        <v>0.78</v>
      </c>
      <c r="I2209" s="116" t="n">
        <v>40728</v>
      </c>
    </row>
    <row r="2210">
      <c r="A2210" s="117" t="inlineStr">
        <is>
          <t>558927</t>
        </is>
      </c>
      <c r="B2210" s="117" t="n">
        <v>18177</v>
      </c>
      <c r="C2210" s="117" t="inlineStr">
        <is>
          <t>United Kingdom</t>
        </is>
      </c>
      <c r="D2210" s="117" t="inlineStr">
        <is>
          <t>22383</t>
        </is>
      </c>
      <c r="E2210" s="117" t="inlineStr">
        <is>
          <t xml:space="preserve">LUNCH BAG SUKI DESIGN </t>
        </is>
      </c>
      <c r="F2210" s="117" t="n">
        <v>10</v>
      </c>
      <c r="G2210" s="118" t="n">
        <v>1.65</v>
      </c>
      <c r="H2210" s="118" t="n">
        <v>16.5</v>
      </c>
      <c r="I2210" s="119" t="n">
        <v>40729</v>
      </c>
    </row>
    <row r="2211">
      <c r="A2211" s="114" t="inlineStr">
        <is>
          <t>558959</t>
        </is>
      </c>
      <c r="B2211" s="114" t="n">
        <v>16103</v>
      </c>
      <c r="C2211" s="114" t="inlineStr">
        <is>
          <t>United Kingdom</t>
        </is>
      </c>
      <c r="D2211" s="114" t="inlineStr">
        <is>
          <t>84806B</t>
        </is>
      </c>
      <c r="E2211" s="114" t="inlineStr">
        <is>
          <t>WHITE CANDYSTUFT ARTIFICIAL FLOWER</t>
        </is>
      </c>
      <c r="F2211" s="114" t="n">
        <v>24</v>
      </c>
      <c r="G2211" s="115" t="n">
        <v>1.45</v>
      </c>
      <c r="H2211" s="115" t="n">
        <v>34.8</v>
      </c>
      <c r="I2211" s="116" t="n">
        <v>40729</v>
      </c>
    </row>
    <row r="2212">
      <c r="A2212" s="117" t="inlineStr">
        <is>
          <t>558991</t>
        </is>
      </c>
      <c r="B2212" s="117" t="n">
        <v>14606</v>
      </c>
      <c r="C2212" s="117" t="inlineStr">
        <is>
          <t>United Kingdom</t>
        </is>
      </c>
      <c r="D2212" s="117" t="inlineStr">
        <is>
          <t>17090D</t>
        </is>
      </c>
      <c r="E2212" s="117" t="inlineStr">
        <is>
          <t>VANILLA INCENSE 40 CONES IN TIN</t>
        </is>
      </c>
      <c r="F2212" s="117" t="n">
        <v>2</v>
      </c>
      <c r="G2212" s="118" t="n">
        <v>1.25</v>
      </c>
      <c r="H2212" s="118" t="n">
        <v>2.5</v>
      </c>
      <c r="I2212" s="119" t="n">
        <v>40729</v>
      </c>
    </row>
    <row r="2213">
      <c r="A2213" s="114" t="inlineStr">
        <is>
          <t>558993</t>
        </is>
      </c>
      <c r="B2213" s="114" t="n">
        <v>16729</v>
      </c>
      <c r="C2213" s="114" t="inlineStr">
        <is>
          <t>United Kingdom</t>
        </is>
      </c>
      <c r="D2213" s="114" t="inlineStr">
        <is>
          <t>23077</t>
        </is>
      </c>
      <c r="E2213" s="114" t="inlineStr">
        <is>
          <t xml:space="preserve">DOUGHNUT LIP GLOSS </t>
        </is>
      </c>
      <c r="F2213" s="114" t="n">
        <v>20</v>
      </c>
      <c r="G2213" s="115" t="n">
        <v>1.25</v>
      </c>
      <c r="H2213" s="115" t="n">
        <v>25</v>
      </c>
      <c r="I2213" s="116" t="n">
        <v>40729</v>
      </c>
    </row>
    <row r="2214">
      <c r="A2214" s="117" t="inlineStr">
        <is>
          <t>558995</t>
        </is>
      </c>
      <c r="B2214" s="117" t="n">
        <v>17671</v>
      </c>
      <c r="C2214" s="117" t="inlineStr">
        <is>
          <t>United Kingdom</t>
        </is>
      </c>
      <c r="D2214" s="117" t="inlineStr">
        <is>
          <t>21084</t>
        </is>
      </c>
      <c r="E2214" s="117" t="inlineStr">
        <is>
          <t>SET/6 COLLAGE PAPER CUPS</t>
        </is>
      </c>
      <c r="F2214" s="117" t="n">
        <v>24</v>
      </c>
      <c r="G2214" s="118" t="n">
        <v>0.19</v>
      </c>
      <c r="H2214" s="118" t="n">
        <v>4.56</v>
      </c>
      <c r="I2214" s="119" t="n">
        <v>40729</v>
      </c>
    </row>
    <row r="2215">
      <c r="A2215" s="114" t="inlineStr">
        <is>
          <t>559004</t>
        </is>
      </c>
      <c r="B2215" s="114" t="n">
        <v>12428</v>
      </c>
      <c r="C2215" s="114" t="inlineStr">
        <is>
          <t>Finland</t>
        </is>
      </c>
      <c r="D2215" s="114" t="inlineStr">
        <is>
          <t>23343</t>
        </is>
      </c>
      <c r="E2215" s="114" t="inlineStr">
        <is>
          <t xml:space="preserve">JUMBO BAG VINTAGE CHRISTMAS </t>
        </is>
      </c>
      <c r="F2215" s="114" t="n">
        <v>10</v>
      </c>
      <c r="G2215" s="115" t="n">
        <v>2.08</v>
      </c>
      <c r="H2215" s="115" t="n">
        <v>20.8</v>
      </c>
      <c r="I2215" s="116" t="n">
        <v>40729</v>
      </c>
    </row>
    <row r="2216">
      <c r="A2216" s="117" t="inlineStr">
        <is>
          <t>559009</t>
        </is>
      </c>
      <c r="B2216" s="117" t="n">
        <v>15549</v>
      </c>
      <c r="C2216" s="117" t="inlineStr">
        <is>
          <t>United Kingdom</t>
        </is>
      </c>
      <c r="D2216" s="117" t="inlineStr">
        <is>
          <t>22895</t>
        </is>
      </c>
      <c r="E2216" s="117" t="inlineStr">
        <is>
          <t>SET OF 2 TEA TOWELS APPLE AND PEARS</t>
        </is>
      </c>
      <c r="F2216" s="117" t="n">
        <v>1</v>
      </c>
      <c r="G2216" s="118" t="n">
        <v>3.25</v>
      </c>
      <c r="H2216" s="118" t="n">
        <v>3.25</v>
      </c>
      <c r="I2216" s="119" t="n">
        <v>40729</v>
      </c>
    </row>
    <row r="2217">
      <c r="A2217" s="114" t="inlineStr">
        <is>
          <t>559011</t>
        </is>
      </c>
      <c r="B2217" s="114" t="n">
        <v>17049</v>
      </c>
      <c r="C2217" s="114" t="inlineStr">
        <is>
          <t>United Kingdom</t>
        </is>
      </c>
      <c r="D2217" s="114" t="inlineStr">
        <is>
          <t>21932</t>
        </is>
      </c>
      <c r="E2217" s="114" t="inlineStr">
        <is>
          <t>SCANDINAVIAN PAISLEY PICNIC BAG</t>
        </is>
      </c>
      <c r="F2217" s="114" t="n">
        <v>10</v>
      </c>
      <c r="G2217" s="115" t="n">
        <v>1.65</v>
      </c>
      <c r="H2217" s="115" t="n">
        <v>16.5</v>
      </c>
      <c r="I2217" s="116" t="n">
        <v>40729</v>
      </c>
    </row>
    <row r="2218">
      <c r="A2218" s="117" t="inlineStr">
        <is>
          <t>559027</t>
        </is>
      </c>
      <c r="B2218" s="117" t="n">
        <v>17046</v>
      </c>
      <c r="C2218" s="117" t="inlineStr">
        <is>
          <t>United Kingdom</t>
        </is>
      </c>
      <c r="D2218" s="117" t="inlineStr">
        <is>
          <t>23188</t>
        </is>
      </c>
      <c r="E2218" s="117" t="inlineStr">
        <is>
          <t>VINTAGE  2 METER FOLDING RULER</t>
        </is>
      </c>
      <c r="F2218" s="117" t="n">
        <v>12</v>
      </c>
      <c r="G2218" s="118" t="n">
        <v>1.65</v>
      </c>
      <c r="H2218" s="118" t="n">
        <v>19.8</v>
      </c>
      <c r="I2218" s="119" t="n">
        <v>40729</v>
      </c>
    </row>
    <row r="2219">
      <c r="A2219" s="114" t="inlineStr">
        <is>
          <t>559036</t>
        </is>
      </c>
      <c r="B2219" s="114" t="n">
        <v>12637</v>
      </c>
      <c r="C2219" s="114" t="inlineStr">
        <is>
          <t>France</t>
        </is>
      </c>
      <c r="D2219" s="114" t="inlineStr">
        <is>
          <t>22384</t>
        </is>
      </c>
      <c r="E2219" s="114" t="inlineStr">
        <is>
          <t>LUNCH BAG PINK POLKADOT</t>
        </is>
      </c>
      <c r="F2219" s="114" t="n">
        <v>10</v>
      </c>
      <c r="G2219" s="115" t="n">
        <v>1.65</v>
      </c>
      <c r="H2219" s="115" t="n">
        <v>16.5</v>
      </c>
      <c r="I2219" s="116" t="n">
        <v>40729</v>
      </c>
    </row>
    <row r="2220">
      <c r="A2220" s="117" t="inlineStr">
        <is>
          <t>559036</t>
        </is>
      </c>
      <c r="B2220" s="117" t="n">
        <v>12637</v>
      </c>
      <c r="C2220" s="117" t="inlineStr">
        <is>
          <t>France</t>
        </is>
      </c>
      <c r="D2220" s="117" t="inlineStr">
        <is>
          <t>23053</t>
        </is>
      </c>
      <c r="E2220" s="117" t="inlineStr">
        <is>
          <t>RECYCLED ACAPULCO MAT PINK</t>
        </is>
      </c>
      <c r="F2220" s="117" t="n">
        <v>2</v>
      </c>
      <c r="G2220" s="118" t="n">
        <v>8.25</v>
      </c>
      <c r="H2220" s="118" t="n">
        <v>16.5</v>
      </c>
      <c r="I2220" s="119" t="n">
        <v>40729</v>
      </c>
    </row>
    <row r="2221">
      <c r="A2221" s="114" t="inlineStr">
        <is>
          <t>559046</t>
        </is>
      </c>
      <c r="B2221" s="114" t="n">
        <v>14352</v>
      </c>
      <c r="C2221" s="114" t="inlineStr">
        <is>
          <t>United Kingdom</t>
        </is>
      </c>
      <c r="D2221" s="114" t="inlineStr">
        <is>
          <t>71477</t>
        </is>
      </c>
      <c r="E2221" s="114" t="inlineStr">
        <is>
          <t>COLOUR GLASS. STAR T-LIGHT HOLDER</t>
        </is>
      </c>
      <c r="F2221" s="114" t="n">
        <v>12</v>
      </c>
      <c r="G2221" s="115" t="n">
        <v>3.25</v>
      </c>
      <c r="H2221" s="115" t="n">
        <v>39</v>
      </c>
      <c r="I2221" s="116" t="n">
        <v>40729</v>
      </c>
    </row>
    <row r="2222">
      <c r="A2222" s="117" t="inlineStr">
        <is>
          <t>559061</t>
        </is>
      </c>
      <c r="B2222" s="117" t="n">
        <v>17220</v>
      </c>
      <c r="C2222" s="117" t="inlineStr">
        <is>
          <t>United Kingdom</t>
        </is>
      </c>
      <c r="D2222" s="117" t="inlineStr">
        <is>
          <t>20675</t>
        </is>
      </c>
      <c r="E2222" s="117" t="inlineStr">
        <is>
          <t>BLUE POLKADOT BOWL</t>
        </is>
      </c>
      <c r="F2222" s="117" t="n">
        <v>2</v>
      </c>
      <c r="G2222" s="118" t="n">
        <v>1.25</v>
      </c>
      <c r="H2222" s="118" t="n">
        <v>2.5</v>
      </c>
      <c r="I2222" s="119" t="n">
        <v>40730</v>
      </c>
    </row>
    <row r="2223">
      <c r="A2223" s="114" t="inlineStr">
        <is>
          <t>559109</t>
        </is>
      </c>
      <c r="B2223" s="114" t="n">
        <v>15021</v>
      </c>
      <c r="C2223" s="114" t="inlineStr">
        <is>
          <t>United Kingdom</t>
        </is>
      </c>
      <c r="D2223" s="114" t="inlineStr">
        <is>
          <t>82483</t>
        </is>
      </c>
      <c r="E2223" s="114" t="inlineStr">
        <is>
          <t>WOOD 2 DRAWER CABINET WHITE FINISH</t>
        </is>
      </c>
      <c r="F2223" s="114" t="n">
        <v>1</v>
      </c>
      <c r="G2223" s="115" t="n">
        <v>6.95</v>
      </c>
      <c r="H2223" s="115" t="n">
        <v>6.95</v>
      </c>
      <c r="I2223" s="116" t="n">
        <v>40730</v>
      </c>
    </row>
    <row r="2224">
      <c r="A2224" s="117" t="inlineStr">
        <is>
          <t>559128</t>
        </is>
      </c>
      <c r="B2224" s="117" t="n">
        <v>17238</v>
      </c>
      <c r="C2224" s="117" t="inlineStr">
        <is>
          <t>United Kingdom</t>
        </is>
      </c>
      <c r="D2224" s="117" t="inlineStr">
        <is>
          <t>22352</t>
        </is>
      </c>
      <c r="E2224" s="117" t="inlineStr">
        <is>
          <t xml:space="preserve">LUNCH BOX WITH CUTLERY RETROSPOT </t>
        </is>
      </c>
      <c r="F2224" s="117" t="n">
        <v>1</v>
      </c>
      <c r="G2224" s="118" t="n">
        <v>2.55</v>
      </c>
      <c r="H2224" s="118" t="n">
        <v>2.55</v>
      </c>
      <c r="I2224" s="119" t="n">
        <v>40730</v>
      </c>
    </row>
    <row r="2225">
      <c r="A2225" s="114" t="inlineStr">
        <is>
          <t>559128</t>
        </is>
      </c>
      <c r="B2225" s="114" t="n">
        <v>17238</v>
      </c>
      <c r="C2225" s="114" t="inlineStr">
        <is>
          <t>United Kingdom</t>
        </is>
      </c>
      <c r="D2225" s="114" t="inlineStr">
        <is>
          <t>22555</t>
        </is>
      </c>
      <c r="E2225" s="114" t="inlineStr">
        <is>
          <t>PLASTERS IN TIN STRONGMAN</t>
        </is>
      </c>
      <c r="F2225" s="114" t="n">
        <v>3</v>
      </c>
      <c r="G2225" s="115" t="n">
        <v>1.65</v>
      </c>
      <c r="H2225" s="115" t="n">
        <v>4.95</v>
      </c>
      <c r="I2225" s="116" t="n">
        <v>40730</v>
      </c>
    </row>
    <row r="2226">
      <c r="A2226" s="117" t="inlineStr">
        <is>
          <t>559142</t>
        </is>
      </c>
      <c r="B2226" s="117" t="n">
        <v>17719</v>
      </c>
      <c r="C2226" s="117" t="inlineStr">
        <is>
          <t>United Kingdom</t>
        </is>
      </c>
      <c r="D2226" s="117" t="inlineStr">
        <is>
          <t>22726</t>
        </is>
      </c>
      <c r="E2226" s="117" t="inlineStr">
        <is>
          <t>ALARM CLOCK BAKELIKE GREEN</t>
        </is>
      </c>
      <c r="F2226" s="117" t="n">
        <v>20</v>
      </c>
      <c r="G2226" s="118" t="n">
        <v>3.75</v>
      </c>
      <c r="H2226" s="118" t="n">
        <v>75</v>
      </c>
      <c r="I2226" s="119" t="n">
        <v>40730</v>
      </c>
    </row>
    <row r="2227">
      <c r="A2227" s="114" t="inlineStr">
        <is>
          <t>559155</t>
        </is>
      </c>
      <c r="B2227" s="114" t="n">
        <v>13418</v>
      </c>
      <c r="C2227" s="114" t="inlineStr">
        <is>
          <t>United Kingdom</t>
        </is>
      </c>
      <c r="D2227" s="114" t="inlineStr">
        <is>
          <t>22713</t>
        </is>
      </c>
      <c r="E2227" s="114" t="inlineStr">
        <is>
          <t xml:space="preserve">CARD I LOVE LONDON </t>
        </is>
      </c>
      <c r="F2227" s="114" t="n">
        <v>12</v>
      </c>
      <c r="G2227" s="115" t="n">
        <v>0.42</v>
      </c>
      <c r="H2227" s="115" t="n">
        <v>5.04</v>
      </c>
      <c r="I2227" s="116" t="n">
        <v>40730</v>
      </c>
    </row>
    <row r="2228">
      <c r="A2228" s="117" t="inlineStr">
        <is>
          <t>559160</t>
        </is>
      </c>
      <c r="B2228" s="117" t="n">
        <v>17293</v>
      </c>
      <c r="C2228" s="117" t="inlineStr">
        <is>
          <t>United Kingdom</t>
        </is>
      </c>
      <c r="D2228" s="117" t="inlineStr">
        <is>
          <t>21668</t>
        </is>
      </c>
      <c r="E2228" s="117" t="inlineStr">
        <is>
          <t>RED STRIPE CERAMIC DRAWER KNOB</t>
        </is>
      </c>
      <c r="F2228" s="117" t="n">
        <v>6</v>
      </c>
      <c r="G2228" s="118" t="n">
        <v>1.25</v>
      </c>
      <c r="H2228" s="118" t="n">
        <v>7.5</v>
      </c>
      <c r="I2228" s="119" t="n">
        <v>40730</v>
      </c>
    </row>
    <row r="2229">
      <c r="A2229" s="114" t="inlineStr">
        <is>
          <t>559167</t>
        </is>
      </c>
      <c r="B2229" s="114" t="n">
        <v>17997</v>
      </c>
      <c r="C2229" s="114" t="inlineStr">
        <is>
          <t>United Kingdom</t>
        </is>
      </c>
      <c r="D2229" s="114" t="inlineStr">
        <is>
          <t>21929</t>
        </is>
      </c>
      <c r="E2229" s="114" t="inlineStr">
        <is>
          <t>JUMBO BAG PINK VINTAGE PAISLEY</t>
        </is>
      </c>
      <c r="F2229" s="114" t="n">
        <v>2</v>
      </c>
      <c r="G2229" s="115" t="n">
        <v>2.08</v>
      </c>
      <c r="H2229" s="115" t="n">
        <v>4.16</v>
      </c>
      <c r="I2229" s="116" t="n">
        <v>40730</v>
      </c>
    </row>
    <row r="2230">
      <c r="A2230" s="117" t="inlineStr">
        <is>
          <t>559169</t>
        </is>
      </c>
      <c r="B2230" s="117" t="n">
        <v>16722</v>
      </c>
      <c r="C2230" s="117" t="inlineStr">
        <is>
          <t>United Kingdom</t>
        </is>
      </c>
      <c r="D2230" s="117" t="inlineStr">
        <is>
          <t>20996</t>
        </is>
      </c>
      <c r="E2230" s="117" t="inlineStr">
        <is>
          <t>JAZZ HEARTS ADDRESS BOOK</t>
        </is>
      </c>
      <c r="F2230" s="117" t="n">
        <v>24</v>
      </c>
      <c r="G2230" s="118" t="n">
        <v>0.19</v>
      </c>
      <c r="H2230" s="118" t="n">
        <v>4.56</v>
      </c>
      <c r="I2230" s="119" t="n">
        <v>40730</v>
      </c>
    </row>
    <row r="2231">
      <c r="A2231" s="114" t="inlineStr">
        <is>
          <t>559202</t>
        </is>
      </c>
      <c r="B2231" s="114" t="n">
        <v>13583</v>
      </c>
      <c r="C2231" s="114" t="inlineStr">
        <is>
          <t>United Kingdom</t>
        </is>
      </c>
      <c r="D2231" s="114" t="inlineStr">
        <is>
          <t>71053</t>
        </is>
      </c>
      <c r="E2231" s="114" t="inlineStr">
        <is>
          <t>WHITE METAL LANTERN</t>
        </is>
      </c>
      <c r="F2231" s="114" t="n">
        <v>4</v>
      </c>
      <c r="G2231" s="115" t="n">
        <v>3.75</v>
      </c>
      <c r="H2231" s="115" t="n">
        <v>15</v>
      </c>
      <c r="I2231" s="116" t="n">
        <v>40731</v>
      </c>
    </row>
    <row r="2232">
      <c r="A2232" s="117" t="inlineStr">
        <is>
          <t>559202</t>
        </is>
      </c>
      <c r="B2232" s="117" t="n">
        <v>13583</v>
      </c>
      <c r="C2232" s="117" t="inlineStr">
        <is>
          <t>United Kingdom</t>
        </is>
      </c>
      <c r="D2232" s="117" t="inlineStr">
        <is>
          <t>23146</t>
        </is>
      </c>
      <c r="E2232" s="117" t="inlineStr">
        <is>
          <t>TRIPLE HOOK ANTIQUE IVORY ROSE</t>
        </is>
      </c>
      <c r="F2232" s="117" t="n">
        <v>4</v>
      </c>
      <c r="G2232" s="118" t="n">
        <v>3.29</v>
      </c>
      <c r="H2232" s="118" t="n">
        <v>13.16</v>
      </c>
      <c r="I2232" s="119" t="n">
        <v>40731</v>
      </c>
    </row>
    <row r="2233">
      <c r="A2233" s="114" t="inlineStr">
        <is>
          <t>559289</t>
        </is>
      </c>
      <c r="B2233" s="114" t="n">
        <v>15719</v>
      </c>
      <c r="C2233" s="114" t="inlineStr">
        <is>
          <t>United Kingdom</t>
        </is>
      </c>
      <c r="D2233" s="114" t="inlineStr">
        <is>
          <t>20727</t>
        </is>
      </c>
      <c r="E2233" s="114" t="inlineStr">
        <is>
          <t>LUNCH BAG  BLACK SKULL.</t>
        </is>
      </c>
      <c r="F2233" s="114" t="n">
        <v>3</v>
      </c>
      <c r="G2233" s="115" t="n">
        <v>1.65</v>
      </c>
      <c r="H2233" s="115" t="n">
        <v>4.95</v>
      </c>
      <c r="I2233" s="116" t="n">
        <v>40731</v>
      </c>
    </row>
    <row r="2234">
      <c r="A2234" s="117" t="inlineStr">
        <is>
          <t>559293</t>
        </is>
      </c>
      <c r="B2234" s="117" t="n">
        <v>16743</v>
      </c>
      <c r="C2234" s="117" t="inlineStr">
        <is>
          <t>United Kingdom</t>
        </is>
      </c>
      <c r="D2234" s="117" t="inlineStr">
        <is>
          <t>23275</t>
        </is>
      </c>
      <c r="E2234" s="117" t="inlineStr">
        <is>
          <t>SET OF 3 HANGING OWLS OLLIE BEAK</t>
        </is>
      </c>
      <c r="F2234" s="117" t="n">
        <v>2</v>
      </c>
      <c r="G2234" s="118" t="n">
        <v>1.25</v>
      </c>
      <c r="H2234" s="118" t="n">
        <v>2.5</v>
      </c>
      <c r="I2234" s="119" t="n">
        <v>40731</v>
      </c>
    </row>
    <row r="2235">
      <c r="A2235" s="114" t="inlineStr">
        <is>
          <t>559305</t>
        </is>
      </c>
      <c r="B2235" s="114" t="n">
        <v>17892</v>
      </c>
      <c r="C2235" s="114" t="inlineStr">
        <is>
          <t>United Kingdom</t>
        </is>
      </c>
      <c r="D2235" s="114" t="inlineStr">
        <is>
          <t>37475</t>
        </is>
      </c>
      <c r="E2235" s="114" t="inlineStr">
        <is>
          <t>SET/4 COLOURFUL MIXING BOWLS</t>
        </is>
      </c>
      <c r="F2235" s="114" t="n">
        <v>1</v>
      </c>
      <c r="G2235" s="115" t="n">
        <v>9.949999999999999</v>
      </c>
      <c r="H2235" s="115" t="n">
        <v>9.949999999999999</v>
      </c>
      <c r="I2235" s="116" t="n">
        <v>40731</v>
      </c>
    </row>
    <row r="2236">
      <c r="A2236" s="117" t="inlineStr">
        <is>
          <t>559310</t>
        </is>
      </c>
      <c r="B2236" s="117" t="n">
        <v>15505</v>
      </c>
      <c r="C2236" s="117" t="inlineStr">
        <is>
          <t>United Kingdom</t>
        </is>
      </c>
      <c r="D2236" s="117" t="inlineStr">
        <is>
          <t>21933</t>
        </is>
      </c>
      <c r="E2236" s="117" t="inlineStr">
        <is>
          <t>PINK VINTAGE PAISLEY PICNIC BAG</t>
        </is>
      </c>
      <c r="F2236" s="117" t="n">
        <v>10</v>
      </c>
      <c r="G2236" s="118" t="n">
        <v>1.65</v>
      </c>
      <c r="H2236" s="118" t="n">
        <v>16.5</v>
      </c>
      <c r="I2236" s="119" t="n">
        <v>40731</v>
      </c>
    </row>
    <row r="2237">
      <c r="A2237" s="114" t="inlineStr">
        <is>
          <t>559311</t>
        </is>
      </c>
      <c r="B2237" s="114" t="n">
        <v>14459</v>
      </c>
      <c r="C2237" s="114" t="inlineStr">
        <is>
          <t>United Kingdom</t>
        </is>
      </c>
      <c r="D2237" s="114" t="inlineStr">
        <is>
          <t>23013</t>
        </is>
      </c>
      <c r="E2237" s="114" t="inlineStr">
        <is>
          <t>GLASS APOTHECARY BOTTLE TONIC</t>
        </is>
      </c>
      <c r="F2237" s="114" t="n">
        <v>12</v>
      </c>
      <c r="G2237" s="115" t="n">
        <v>3.45</v>
      </c>
      <c r="H2237" s="115" t="n">
        <v>41.4</v>
      </c>
      <c r="I2237" s="116" t="n">
        <v>40731</v>
      </c>
    </row>
    <row r="2238">
      <c r="A2238" s="117" t="inlineStr">
        <is>
          <t>559313</t>
        </is>
      </c>
      <c r="B2238" s="117" t="n">
        <v>16325</v>
      </c>
      <c r="C2238" s="117" t="inlineStr">
        <is>
          <t>United Kingdom</t>
        </is>
      </c>
      <c r="D2238" s="117" t="inlineStr">
        <is>
          <t>21868</t>
        </is>
      </c>
      <c r="E2238" s="117" t="inlineStr">
        <is>
          <t>POTTING SHED TEA MUG</t>
        </is>
      </c>
      <c r="F2238" s="117" t="n">
        <v>12</v>
      </c>
      <c r="G2238" s="118" t="n">
        <v>1.25</v>
      </c>
      <c r="H2238" s="118" t="n">
        <v>15</v>
      </c>
      <c r="I2238" s="119" t="n">
        <v>40731</v>
      </c>
    </row>
    <row r="2239">
      <c r="A2239" s="114" t="inlineStr">
        <is>
          <t>559317</t>
        </is>
      </c>
      <c r="B2239" s="114" t="n">
        <v>17611</v>
      </c>
      <c r="C2239" s="114" t="inlineStr">
        <is>
          <t>United Kingdom</t>
        </is>
      </c>
      <c r="D2239" s="114" t="inlineStr">
        <is>
          <t>23191</t>
        </is>
      </c>
      <c r="E2239" s="114" t="inlineStr">
        <is>
          <t>BUNDLE OF 3 RETRO NOTE BOOKS</t>
        </is>
      </c>
      <c r="F2239" s="114" t="n">
        <v>2</v>
      </c>
      <c r="G2239" s="115" t="n">
        <v>1.65</v>
      </c>
      <c r="H2239" s="115" t="n">
        <v>3.3</v>
      </c>
      <c r="I2239" s="116" t="n">
        <v>40731</v>
      </c>
    </row>
    <row r="2240">
      <c r="A2240" s="117" t="inlineStr">
        <is>
          <t>559323</t>
        </is>
      </c>
      <c r="B2240" s="117" t="n">
        <v>12971</v>
      </c>
      <c r="C2240" s="117" t="inlineStr">
        <is>
          <t>United Kingdom</t>
        </is>
      </c>
      <c r="D2240" s="117" t="inlineStr">
        <is>
          <t>22583</t>
        </is>
      </c>
      <c r="E2240" s="117" t="inlineStr">
        <is>
          <t>PACK OF 6 HANDBAG GIFT BOXES</t>
        </is>
      </c>
      <c r="F2240" s="117" t="n">
        <v>12</v>
      </c>
      <c r="G2240" s="118" t="n">
        <v>2.55</v>
      </c>
      <c r="H2240" s="118" t="n">
        <v>30.6</v>
      </c>
      <c r="I2240" s="119" t="n">
        <v>40731</v>
      </c>
    </row>
    <row r="2241">
      <c r="A2241" s="114" t="inlineStr">
        <is>
          <t>559326</t>
        </is>
      </c>
      <c r="B2241" s="114" t="n">
        <v>13835</v>
      </c>
      <c r="C2241" s="114" t="inlineStr">
        <is>
          <t>United Kingdom</t>
        </is>
      </c>
      <c r="D2241" s="114" t="inlineStr">
        <is>
          <t>51014A</t>
        </is>
      </c>
      <c r="E2241" s="114" t="inlineStr">
        <is>
          <t>FEATHER PEN,HOT PINK</t>
        </is>
      </c>
      <c r="F2241" s="114" t="n">
        <v>24</v>
      </c>
      <c r="G2241" s="115" t="n">
        <v>0.39</v>
      </c>
      <c r="H2241" s="115" t="n">
        <v>9.359999999999999</v>
      </c>
      <c r="I2241" s="116" t="n">
        <v>40731</v>
      </c>
    </row>
    <row r="2242">
      <c r="A2242" s="117" t="inlineStr">
        <is>
          <t>559331</t>
        </is>
      </c>
      <c r="B2242" s="117" t="n">
        <v>16156</v>
      </c>
      <c r="C2242" s="117" t="inlineStr">
        <is>
          <t>United Kingdom</t>
        </is>
      </c>
      <c r="D2242" s="117" t="inlineStr">
        <is>
          <t>23238</t>
        </is>
      </c>
      <c r="E2242" s="117" t="inlineStr">
        <is>
          <t xml:space="preserve">SET OF 4 KNICK KNACK TINS LONDON </t>
        </is>
      </c>
      <c r="F2242" s="117" t="n">
        <v>6</v>
      </c>
      <c r="G2242" s="118" t="n">
        <v>4.15</v>
      </c>
      <c r="H2242" s="118" t="n">
        <v>24.9</v>
      </c>
      <c r="I2242" s="119" t="n">
        <v>40731</v>
      </c>
    </row>
    <row r="2243">
      <c r="A2243" s="114" t="inlineStr">
        <is>
          <t>559349</t>
        </is>
      </c>
      <c r="B2243" s="114" t="n">
        <v>15150</v>
      </c>
      <c r="C2243" s="114" t="inlineStr">
        <is>
          <t>United Kingdom</t>
        </is>
      </c>
      <c r="D2243" s="114" t="inlineStr">
        <is>
          <t>16161P</t>
        </is>
      </c>
      <c r="E2243" s="114" t="inlineStr">
        <is>
          <t xml:space="preserve">WRAP ENGLISH ROSE </t>
        </is>
      </c>
      <c r="F2243" s="114" t="n">
        <v>25</v>
      </c>
      <c r="G2243" s="115" t="n">
        <v>0.42</v>
      </c>
      <c r="H2243" s="115" t="n">
        <v>10.5</v>
      </c>
      <c r="I2243" s="116" t="n">
        <v>40731</v>
      </c>
    </row>
    <row r="2244">
      <c r="A2244" s="117" t="inlineStr">
        <is>
          <t>559356</t>
        </is>
      </c>
      <c r="B2244" s="117" t="n">
        <v>15416</v>
      </c>
      <c r="C2244" s="117" t="inlineStr">
        <is>
          <t>United Kingdom</t>
        </is>
      </c>
      <c r="D2244" s="117" t="inlineStr">
        <is>
          <t>23126</t>
        </is>
      </c>
      <c r="E2244" s="117" t="inlineStr">
        <is>
          <t>FELTCRAFT GIRL AMELIE KIT</t>
        </is>
      </c>
      <c r="F2244" s="117" t="n">
        <v>4</v>
      </c>
      <c r="G2244" s="118" t="n">
        <v>4.95</v>
      </c>
      <c r="H2244" s="118" t="n">
        <v>19.8</v>
      </c>
      <c r="I2244" s="119" t="n">
        <v>40731</v>
      </c>
    </row>
    <row r="2245">
      <c r="A2245" s="114" t="inlineStr">
        <is>
          <t>559357</t>
        </is>
      </c>
      <c r="B2245" s="114" t="n">
        <v>17107</v>
      </c>
      <c r="C2245" s="114" t="inlineStr">
        <is>
          <t>United Kingdom</t>
        </is>
      </c>
      <c r="D2245" s="114" t="inlineStr">
        <is>
          <t>23298</t>
        </is>
      </c>
      <c r="E2245" s="114" t="inlineStr">
        <is>
          <t>SPOTTY BUNTING</t>
        </is>
      </c>
      <c r="F2245" s="114" t="n">
        <v>8</v>
      </c>
      <c r="G2245" s="115" t="n">
        <v>4.95</v>
      </c>
      <c r="H2245" s="115" t="n">
        <v>39.6</v>
      </c>
      <c r="I2245" s="116" t="n">
        <v>40731</v>
      </c>
    </row>
    <row r="2246">
      <c r="A2246" s="117" t="inlineStr">
        <is>
          <t>559358</t>
        </is>
      </c>
      <c r="B2246" s="117" t="n">
        <v>15675</v>
      </c>
      <c r="C2246" s="117" t="inlineStr">
        <is>
          <t>United Kingdom</t>
        </is>
      </c>
      <c r="D2246" s="117" t="inlineStr">
        <is>
          <t>22847</t>
        </is>
      </c>
      <c r="E2246" s="117" t="inlineStr">
        <is>
          <t>BREAD BIN DINER STYLE IVORY</t>
        </is>
      </c>
      <c r="F2246" s="117" t="n">
        <v>1</v>
      </c>
      <c r="G2246" s="118" t="n">
        <v>16.95</v>
      </c>
      <c r="H2246" s="118" t="n">
        <v>16.95</v>
      </c>
      <c r="I2246" s="119" t="n">
        <v>40731</v>
      </c>
    </row>
    <row r="2247">
      <c r="A2247" s="114" t="inlineStr">
        <is>
          <t>559368</t>
        </is>
      </c>
      <c r="B2247" s="114" t="n">
        <v>17031</v>
      </c>
      <c r="C2247" s="114" t="inlineStr">
        <is>
          <t>United Kingdom</t>
        </is>
      </c>
      <c r="D2247" s="114" t="inlineStr">
        <is>
          <t>23199</t>
        </is>
      </c>
      <c r="E2247" s="114" t="inlineStr">
        <is>
          <t>JUMBO BAG APPLES</t>
        </is>
      </c>
      <c r="F2247" s="114" t="n">
        <v>10</v>
      </c>
      <c r="G2247" s="115" t="n">
        <v>2.08</v>
      </c>
      <c r="H2247" s="115" t="n">
        <v>20.8</v>
      </c>
      <c r="I2247" s="116" t="n">
        <v>40732</v>
      </c>
    </row>
    <row r="2248">
      <c r="A2248" s="117" t="inlineStr">
        <is>
          <t>559424</t>
        </is>
      </c>
      <c r="B2248" s="117" t="n">
        <v>18121</v>
      </c>
      <c r="C2248" s="117" t="inlineStr">
        <is>
          <t>United Kingdom</t>
        </is>
      </c>
      <c r="D2248" s="117" t="inlineStr">
        <is>
          <t>84947</t>
        </is>
      </c>
      <c r="E2248" s="117" t="inlineStr">
        <is>
          <t>ANTIQUE SILVER TEA GLASS ENGRAVED</t>
        </is>
      </c>
      <c r="F2248" s="117" t="n">
        <v>24</v>
      </c>
      <c r="G2248" s="118" t="n">
        <v>1.25</v>
      </c>
      <c r="H2248" s="118" t="n">
        <v>30</v>
      </c>
      <c r="I2248" s="119" t="n">
        <v>40732</v>
      </c>
    </row>
    <row r="2249">
      <c r="A2249" s="114" t="inlineStr">
        <is>
          <t>559465</t>
        </is>
      </c>
      <c r="B2249" s="114" t="n">
        <v>14680</v>
      </c>
      <c r="C2249" s="114" t="inlineStr">
        <is>
          <t>United Kingdom</t>
        </is>
      </c>
      <c r="D2249" s="114" t="inlineStr">
        <is>
          <t>21704</t>
        </is>
      </c>
      <c r="E2249" s="114" t="inlineStr">
        <is>
          <t>BAG 250g SWIRLY MARBLES</t>
        </is>
      </c>
      <c r="F2249" s="114" t="n">
        <v>2</v>
      </c>
      <c r="G2249" s="115" t="n">
        <v>0.85</v>
      </c>
      <c r="H2249" s="115" t="n">
        <v>1.7</v>
      </c>
      <c r="I2249" s="116" t="n">
        <v>40732</v>
      </c>
    </row>
    <row r="2250">
      <c r="A2250" s="117" t="inlineStr">
        <is>
          <t>559504</t>
        </is>
      </c>
      <c r="B2250" s="117" t="n">
        <v>15920</v>
      </c>
      <c r="C2250" s="117" t="inlineStr">
        <is>
          <t>United Kingdom</t>
        </is>
      </c>
      <c r="D2250" s="117" t="inlineStr">
        <is>
          <t>22904</t>
        </is>
      </c>
      <c r="E2250" s="117" t="inlineStr">
        <is>
          <t>CALENDAR PAPER CUT DESIGN</t>
        </is>
      </c>
      <c r="F2250" s="117" t="n">
        <v>1</v>
      </c>
      <c r="G2250" s="118" t="n">
        <v>2.95</v>
      </c>
      <c r="H2250" s="118" t="n">
        <v>2.95</v>
      </c>
      <c r="I2250" s="119" t="n">
        <v>40732</v>
      </c>
    </row>
    <row r="2251">
      <c r="A2251" s="114" t="inlineStr">
        <is>
          <t>559505</t>
        </is>
      </c>
      <c r="B2251" s="114" t="n">
        <v>16398</v>
      </c>
      <c r="C2251" s="114" t="inlineStr">
        <is>
          <t>United Kingdom</t>
        </is>
      </c>
      <c r="D2251" s="114" t="inlineStr">
        <is>
          <t>22197</t>
        </is>
      </c>
      <c r="E2251" s="114" t="inlineStr">
        <is>
          <t>POPCORN HOLDER</t>
        </is>
      </c>
      <c r="F2251" s="114" t="n">
        <v>100</v>
      </c>
      <c r="G2251" s="115" t="n">
        <v>0.72</v>
      </c>
      <c r="H2251" s="115" t="n">
        <v>72</v>
      </c>
      <c r="I2251" s="116" t="n">
        <v>40732</v>
      </c>
    </row>
    <row r="2252">
      <c r="A2252" s="117" t="inlineStr">
        <is>
          <t>559525</t>
        </is>
      </c>
      <c r="B2252" s="117" t="n">
        <v>16923</v>
      </c>
      <c r="C2252" s="117" t="inlineStr">
        <is>
          <t>United Kingdom</t>
        </is>
      </c>
      <c r="D2252" s="117" t="inlineStr">
        <is>
          <t>84596F</t>
        </is>
      </c>
      <c r="E2252" s="117" t="inlineStr">
        <is>
          <t>SMALL MARSHMALLOWS PINK BOWL</t>
        </is>
      </c>
      <c r="F2252" s="117" t="n">
        <v>8</v>
      </c>
      <c r="G2252" s="118" t="n">
        <v>0.42</v>
      </c>
      <c r="H2252" s="118" t="n">
        <v>3.36</v>
      </c>
      <c r="I2252" s="119" t="n">
        <v>40734</v>
      </c>
    </row>
    <row r="2253">
      <c r="A2253" s="114" t="inlineStr">
        <is>
          <t>559547</t>
        </is>
      </c>
      <c r="B2253" s="114" t="n">
        <v>17758</v>
      </c>
      <c r="C2253" s="114" t="inlineStr">
        <is>
          <t>United Kingdom</t>
        </is>
      </c>
      <c r="D2253" s="114" t="inlineStr">
        <is>
          <t>23292</t>
        </is>
      </c>
      <c r="E2253" s="114" t="inlineStr">
        <is>
          <t>SPACEBOY CHILDRENS CUP</t>
        </is>
      </c>
      <c r="F2253" s="114" t="n">
        <v>2</v>
      </c>
      <c r="G2253" s="115" t="n">
        <v>1.25</v>
      </c>
      <c r="H2253" s="115" t="n">
        <v>2.5</v>
      </c>
      <c r="I2253" s="116" t="n">
        <v>40734</v>
      </c>
    </row>
    <row r="2254">
      <c r="A2254" s="117" t="inlineStr">
        <is>
          <t>559551</t>
        </is>
      </c>
      <c r="B2254" s="117" t="n">
        <v>16877</v>
      </c>
      <c r="C2254" s="117" t="inlineStr">
        <is>
          <t>United Kingdom</t>
        </is>
      </c>
      <c r="D2254" s="117" t="inlineStr">
        <is>
          <t>22228</t>
        </is>
      </c>
      <c r="E2254" s="117" t="inlineStr">
        <is>
          <t xml:space="preserve">BUNNY WOODEN PAINTED WITH BIRD </t>
        </is>
      </c>
      <c r="F2254" s="117" t="n">
        <v>1</v>
      </c>
      <c r="G2254" s="118" t="n">
        <v>0.39</v>
      </c>
      <c r="H2254" s="118" t="n">
        <v>0.39</v>
      </c>
      <c r="I2254" s="119" t="n">
        <v>40734</v>
      </c>
    </row>
    <row r="2255">
      <c r="A2255" s="114" t="inlineStr">
        <is>
          <t>559552</t>
        </is>
      </c>
      <c r="B2255" s="114" t="n">
        <v>16014</v>
      </c>
      <c r="C2255" s="114" t="inlineStr">
        <is>
          <t>United Kingdom</t>
        </is>
      </c>
      <c r="D2255" s="114" t="inlineStr">
        <is>
          <t>22382</t>
        </is>
      </c>
      <c r="E2255" s="114" t="inlineStr">
        <is>
          <t xml:space="preserve">LUNCH BAG SPACEBOY DESIGN </t>
        </is>
      </c>
      <c r="F2255" s="114" t="n">
        <v>1</v>
      </c>
      <c r="G2255" s="115" t="n">
        <v>1.65</v>
      </c>
      <c r="H2255" s="115" t="n">
        <v>1.65</v>
      </c>
      <c r="I2255" s="116" t="n">
        <v>40734</v>
      </c>
    </row>
    <row r="2256">
      <c r="A2256" s="117" t="inlineStr">
        <is>
          <t>559552</t>
        </is>
      </c>
      <c r="B2256" s="117" t="n">
        <v>16014</v>
      </c>
      <c r="C2256" s="117" t="inlineStr">
        <is>
          <t>United Kingdom</t>
        </is>
      </c>
      <c r="D2256" s="117" t="inlineStr">
        <is>
          <t>21207</t>
        </is>
      </c>
      <c r="E2256" s="117" t="inlineStr">
        <is>
          <t xml:space="preserve">SKULL AND CROSSBONES  GARLAND </t>
        </is>
      </c>
      <c r="F2256" s="117" t="n">
        <v>1</v>
      </c>
      <c r="G2256" s="118" t="n">
        <v>1.65</v>
      </c>
      <c r="H2256" s="118" t="n">
        <v>1.65</v>
      </c>
      <c r="I2256" s="119" t="n">
        <v>40734</v>
      </c>
    </row>
    <row r="2257">
      <c r="A2257" s="114" t="inlineStr">
        <is>
          <t>559552</t>
        </is>
      </c>
      <c r="B2257" s="114" t="n">
        <v>16014</v>
      </c>
      <c r="C2257" s="114" t="inlineStr">
        <is>
          <t>United Kingdom</t>
        </is>
      </c>
      <c r="D2257" s="114" t="inlineStr">
        <is>
          <t>22483</t>
        </is>
      </c>
      <c r="E2257" s="114" t="inlineStr">
        <is>
          <t xml:space="preserve">RED GINGHAM TEDDY BEAR </t>
        </is>
      </c>
      <c r="F2257" s="114" t="n">
        <v>1</v>
      </c>
      <c r="G2257" s="115" t="n">
        <v>2.95</v>
      </c>
      <c r="H2257" s="115" t="n">
        <v>2.95</v>
      </c>
      <c r="I2257" s="116" t="n">
        <v>40734</v>
      </c>
    </row>
    <row r="2258">
      <c r="A2258" s="117" t="inlineStr">
        <is>
          <t>559557</t>
        </is>
      </c>
      <c r="B2258" s="117" t="n">
        <v>17444</v>
      </c>
      <c r="C2258" s="117" t="inlineStr">
        <is>
          <t>Canada</t>
        </is>
      </c>
      <c r="D2258" s="117" t="inlineStr">
        <is>
          <t>22912</t>
        </is>
      </c>
      <c r="E2258" s="117" t="inlineStr">
        <is>
          <t>YELLOW COAT RACK PARIS FASHION</t>
        </is>
      </c>
      <c r="F2258" s="117" t="n">
        <v>3</v>
      </c>
      <c r="G2258" s="118" t="n">
        <v>4.95</v>
      </c>
      <c r="H2258" s="118" t="n">
        <v>14.85</v>
      </c>
      <c r="I2258" s="119" t="n">
        <v>40735</v>
      </c>
    </row>
    <row r="2259">
      <c r="A2259" s="114" t="inlineStr">
        <is>
          <t>559641</t>
        </is>
      </c>
      <c r="B2259" s="114" t="n">
        <v>13184</v>
      </c>
      <c r="C2259" s="114" t="inlineStr">
        <is>
          <t>United Kingdom</t>
        </is>
      </c>
      <c r="D2259" s="114" t="inlineStr">
        <is>
          <t>21714</t>
        </is>
      </c>
      <c r="E2259" s="114" t="inlineStr">
        <is>
          <t>CITRONELLA CANDLE GARDEN POT</t>
        </is>
      </c>
      <c r="F2259" s="114" t="n">
        <v>6</v>
      </c>
      <c r="G2259" s="115" t="n">
        <v>1.25</v>
      </c>
      <c r="H2259" s="115" t="n">
        <v>7.5</v>
      </c>
      <c r="I2259" s="116" t="n">
        <v>40735</v>
      </c>
    </row>
    <row r="2260">
      <c r="A2260" s="117" t="inlineStr">
        <is>
          <t>559653</t>
        </is>
      </c>
      <c r="B2260" s="117" t="n">
        <v>14552</v>
      </c>
      <c r="C2260" s="117" t="inlineStr">
        <is>
          <t>United Kingdom</t>
        </is>
      </c>
      <c r="D2260" s="117" t="inlineStr">
        <is>
          <t>21559</t>
        </is>
      </c>
      <c r="E2260" s="117" t="inlineStr">
        <is>
          <t>STRAWBERRY LUNCH BOX WITH CUTLERY</t>
        </is>
      </c>
      <c r="F2260" s="117" t="n">
        <v>1</v>
      </c>
      <c r="G2260" s="118" t="n">
        <v>2.55</v>
      </c>
      <c r="H2260" s="118" t="n">
        <v>2.55</v>
      </c>
      <c r="I2260" s="119" t="n">
        <v>40735</v>
      </c>
    </row>
    <row r="2261">
      <c r="A2261" s="114" t="inlineStr">
        <is>
          <t>559656</t>
        </is>
      </c>
      <c r="B2261" s="114" t="n">
        <v>13675</v>
      </c>
      <c r="C2261" s="114" t="inlineStr">
        <is>
          <t>United Kingdom</t>
        </is>
      </c>
      <c r="D2261" s="114" t="inlineStr">
        <is>
          <t>82600</t>
        </is>
      </c>
      <c r="E2261" s="114" t="inlineStr">
        <is>
          <t>NO SINGING METAL SIGN</t>
        </is>
      </c>
      <c r="F2261" s="114" t="n">
        <v>12</v>
      </c>
      <c r="G2261" s="115" t="n">
        <v>2.1</v>
      </c>
      <c r="H2261" s="115" t="n">
        <v>25.2</v>
      </c>
      <c r="I2261" s="116" t="n">
        <v>40735</v>
      </c>
    </row>
    <row r="2262">
      <c r="A2262" s="117" t="inlineStr">
        <is>
          <t>559665</t>
        </is>
      </c>
      <c r="B2262" s="117" t="n">
        <v>12556</v>
      </c>
      <c r="C2262" s="117" t="inlineStr">
        <is>
          <t>Spain</t>
        </is>
      </c>
      <c r="D2262" s="117" t="inlineStr">
        <is>
          <t>22667</t>
        </is>
      </c>
      <c r="E2262" s="117" t="inlineStr">
        <is>
          <t xml:space="preserve">RECIPE BOX RETROSPOT </t>
        </is>
      </c>
      <c r="F2262" s="117" t="n">
        <v>1</v>
      </c>
      <c r="G2262" s="118" t="n">
        <v>2.95</v>
      </c>
      <c r="H2262" s="118" t="n">
        <v>2.95</v>
      </c>
      <c r="I2262" s="119" t="n">
        <v>40735</v>
      </c>
    </row>
    <row r="2263">
      <c r="A2263" s="114" t="inlineStr">
        <is>
          <t>559665</t>
        </is>
      </c>
      <c r="B2263" s="114" t="n">
        <v>12556</v>
      </c>
      <c r="C2263" s="114" t="inlineStr">
        <is>
          <t>Spain</t>
        </is>
      </c>
      <c r="D2263" s="114" t="inlineStr">
        <is>
          <t>85061W</t>
        </is>
      </c>
      <c r="E2263" s="114" t="inlineStr">
        <is>
          <t>WHITE JEWELLED HEART DECORATION</t>
        </is>
      </c>
      <c r="F2263" s="114" t="n">
        <v>1</v>
      </c>
      <c r="G2263" s="115" t="n">
        <v>0.85</v>
      </c>
      <c r="H2263" s="115" t="n">
        <v>0.85</v>
      </c>
      <c r="I2263" s="116" t="n">
        <v>40735</v>
      </c>
    </row>
    <row r="2264">
      <c r="A2264" s="117" t="inlineStr">
        <is>
          <t>559673</t>
        </is>
      </c>
      <c r="B2264" s="117" t="n">
        <v>13224</v>
      </c>
      <c r="C2264" s="117" t="inlineStr">
        <is>
          <t>United Kingdom</t>
        </is>
      </c>
      <c r="D2264" s="117" t="inlineStr">
        <is>
          <t>20728</t>
        </is>
      </c>
      <c r="E2264" s="117" t="inlineStr">
        <is>
          <t>LUNCH BAG CARS BLUE</t>
        </is>
      </c>
      <c r="F2264" s="117" t="n">
        <v>10</v>
      </c>
      <c r="G2264" s="118" t="n">
        <v>1.65</v>
      </c>
      <c r="H2264" s="118" t="n">
        <v>16.5</v>
      </c>
      <c r="I2264" s="119" t="n">
        <v>40735</v>
      </c>
    </row>
    <row r="2265">
      <c r="A2265" s="114" t="inlineStr">
        <is>
          <t>559674</t>
        </is>
      </c>
      <c r="B2265" s="114" t="n">
        <v>15856</v>
      </c>
      <c r="C2265" s="114" t="inlineStr">
        <is>
          <t>United Kingdom</t>
        </is>
      </c>
      <c r="D2265" s="114" t="inlineStr">
        <is>
          <t>21789</t>
        </is>
      </c>
      <c r="E2265" s="114" t="inlineStr">
        <is>
          <t>KIDS RAIN MAC PINK</t>
        </is>
      </c>
      <c r="F2265" s="114" t="n">
        <v>1</v>
      </c>
      <c r="G2265" s="115" t="n">
        <v>0.85</v>
      </c>
      <c r="H2265" s="115" t="n">
        <v>0.85</v>
      </c>
      <c r="I2265" s="116" t="n">
        <v>40735</v>
      </c>
    </row>
    <row r="2266">
      <c r="A2266" s="117" t="inlineStr">
        <is>
          <t>559676</t>
        </is>
      </c>
      <c r="B2266" s="117" t="n">
        <v>17340</v>
      </c>
      <c r="C2266" s="117" t="inlineStr">
        <is>
          <t>United Kingdom</t>
        </is>
      </c>
      <c r="D2266" s="117" t="inlineStr">
        <is>
          <t>22090</t>
        </is>
      </c>
      <c r="E2266" s="117" t="inlineStr">
        <is>
          <t>PAPER BUNTING RETROSPOT</t>
        </is>
      </c>
      <c r="F2266" s="117" t="n">
        <v>6</v>
      </c>
      <c r="G2266" s="118" t="n">
        <v>2.95</v>
      </c>
      <c r="H2266" s="118" t="n">
        <v>17.7</v>
      </c>
      <c r="I2266" s="119" t="n">
        <v>40735</v>
      </c>
    </row>
    <row r="2267">
      <c r="A2267" s="114" t="inlineStr">
        <is>
          <t>559678</t>
        </is>
      </c>
      <c r="B2267" s="114" t="n">
        <v>16033</v>
      </c>
      <c r="C2267" s="114" t="inlineStr">
        <is>
          <t>United Kingdom</t>
        </is>
      </c>
      <c r="D2267" s="114" t="inlineStr">
        <is>
          <t>22384</t>
        </is>
      </c>
      <c r="E2267" s="114" t="inlineStr">
        <is>
          <t>LUNCH BAG PINK POLKADOT</t>
        </is>
      </c>
      <c r="F2267" s="114" t="n">
        <v>2</v>
      </c>
      <c r="G2267" s="115" t="n">
        <v>1.65</v>
      </c>
      <c r="H2267" s="115" t="n">
        <v>3.3</v>
      </c>
      <c r="I2267" s="116" t="n">
        <v>40735</v>
      </c>
    </row>
    <row r="2268">
      <c r="A2268" s="117" t="inlineStr">
        <is>
          <t>559680</t>
        </is>
      </c>
      <c r="B2268" s="117" t="n">
        <v>12717</v>
      </c>
      <c r="C2268" s="117" t="inlineStr">
        <is>
          <t>Greece</t>
        </is>
      </c>
      <c r="D2268" s="117" t="inlineStr">
        <is>
          <t>85215</t>
        </is>
      </c>
      <c r="E2268" s="117" t="inlineStr">
        <is>
          <t>ASSORTED CHEESE FRIDGE MAGNETS</t>
        </is>
      </c>
      <c r="F2268" s="117" t="n">
        <v>12</v>
      </c>
      <c r="G2268" s="118" t="n">
        <v>0.65</v>
      </c>
      <c r="H2268" s="118" t="n">
        <v>7.8</v>
      </c>
      <c r="I2268" s="119" t="n">
        <v>40735</v>
      </c>
    </row>
    <row r="2269">
      <c r="A2269" s="114" t="inlineStr">
        <is>
          <t>559685</t>
        </is>
      </c>
      <c r="B2269" s="114" t="n">
        <v>12599</v>
      </c>
      <c r="C2269" s="114" t="inlineStr">
        <is>
          <t>France</t>
        </is>
      </c>
      <c r="D2269" s="114" t="inlineStr">
        <is>
          <t>21080</t>
        </is>
      </c>
      <c r="E2269" s="114" t="inlineStr">
        <is>
          <t xml:space="preserve">SET/20 RED RETROSPOT PAPER NAPKINS </t>
        </is>
      </c>
      <c r="F2269" s="114" t="n">
        <v>12</v>
      </c>
      <c r="G2269" s="115" t="n">
        <v>0.85</v>
      </c>
      <c r="H2269" s="115" t="n">
        <v>10.2</v>
      </c>
      <c r="I2269" s="116" t="n">
        <v>40735</v>
      </c>
    </row>
    <row r="2270">
      <c r="A2270" s="117" t="inlineStr">
        <is>
          <t>559691</t>
        </is>
      </c>
      <c r="B2270" s="117" t="n">
        <v>13089</v>
      </c>
      <c r="C2270" s="117" t="inlineStr">
        <is>
          <t>United Kingdom</t>
        </is>
      </c>
      <c r="D2270" s="117" t="inlineStr">
        <is>
          <t>21188</t>
        </is>
      </c>
      <c r="E2270" s="117" t="inlineStr">
        <is>
          <t>3D HEARTS  HONEYCOMB PAPER GARLAND</t>
        </is>
      </c>
      <c r="F2270" s="117" t="n">
        <v>12</v>
      </c>
      <c r="G2270" s="118" t="n">
        <v>2.95</v>
      </c>
      <c r="H2270" s="118" t="n">
        <v>35.4</v>
      </c>
      <c r="I2270" s="119" t="n">
        <v>40735</v>
      </c>
    </row>
    <row r="2271">
      <c r="A2271" s="114" t="inlineStr">
        <is>
          <t>559697</t>
        </is>
      </c>
      <c r="B2271" s="114" t="n">
        <v>15577</v>
      </c>
      <c r="C2271" s="114" t="inlineStr">
        <is>
          <t>United Kingdom</t>
        </is>
      </c>
      <c r="D2271" s="114" t="inlineStr">
        <is>
          <t>21977</t>
        </is>
      </c>
      <c r="E2271" s="114" t="inlineStr">
        <is>
          <t>PACK OF 60 PINK PAISLEY CAKE CASES</t>
        </is>
      </c>
      <c r="F2271" s="114" t="n">
        <v>1</v>
      </c>
      <c r="G2271" s="115" t="n">
        <v>0.55</v>
      </c>
      <c r="H2271" s="115" t="n">
        <v>0.55</v>
      </c>
      <c r="I2271" s="116" t="n">
        <v>40735</v>
      </c>
    </row>
    <row r="2272">
      <c r="A2272" s="117" t="inlineStr">
        <is>
          <t>559697</t>
        </is>
      </c>
      <c r="B2272" s="117" t="n">
        <v>15577</v>
      </c>
      <c r="C2272" s="117" t="inlineStr">
        <is>
          <t>United Kingdom</t>
        </is>
      </c>
      <c r="D2272" s="117" t="inlineStr">
        <is>
          <t>20828</t>
        </is>
      </c>
      <c r="E2272" s="117" t="inlineStr">
        <is>
          <t>GLITTER BUTTERFLY CLIPS</t>
        </is>
      </c>
      <c r="F2272" s="117" t="n">
        <v>2</v>
      </c>
      <c r="G2272" s="118" t="n">
        <v>2.55</v>
      </c>
      <c r="H2272" s="118" t="n">
        <v>5.1</v>
      </c>
      <c r="I2272" s="119" t="n">
        <v>40735</v>
      </c>
    </row>
    <row r="2273">
      <c r="A2273" s="114" t="inlineStr">
        <is>
          <t>559706</t>
        </is>
      </c>
      <c r="B2273" s="114" t="n">
        <v>16609</v>
      </c>
      <c r="C2273" s="114" t="inlineStr">
        <is>
          <t>United Kingdom</t>
        </is>
      </c>
      <c r="D2273" s="114" t="inlineStr">
        <is>
          <t>23209</t>
        </is>
      </c>
      <c r="E2273" s="114" t="inlineStr">
        <is>
          <t xml:space="preserve">LUNCH BAG DOILEY PATTERN </t>
        </is>
      </c>
      <c r="F2273" s="114" t="n">
        <v>10</v>
      </c>
      <c r="G2273" s="115" t="n">
        <v>1.65</v>
      </c>
      <c r="H2273" s="115" t="n">
        <v>16.5</v>
      </c>
      <c r="I2273" s="116" t="n">
        <v>40736</v>
      </c>
    </row>
    <row r="2274">
      <c r="A2274" s="117" t="inlineStr">
        <is>
          <t>559746</t>
        </is>
      </c>
      <c r="B2274" s="117" t="n">
        <v>16515</v>
      </c>
      <c r="C2274" s="117" t="inlineStr">
        <is>
          <t>United Kingdom</t>
        </is>
      </c>
      <c r="D2274" s="117" t="inlineStr">
        <is>
          <t>21621</t>
        </is>
      </c>
      <c r="E2274" s="117" t="inlineStr">
        <is>
          <t>VINTAGE UNION JACK BUNTING</t>
        </is>
      </c>
      <c r="F2274" s="117" t="n">
        <v>1</v>
      </c>
      <c r="G2274" s="118" t="n">
        <v>8.5</v>
      </c>
      <c r="H2274" s="118" t="n">
        <v>8.5</v>
      </c>
      <c r="I2274" s="119" t="n">
        <v>40736</v>
      </c>
    </row>
    <row r="2275">
      <c r="A2275" s="114" t="inlineStr">
        <is>
          <t>559791</t>
        </is>
      </c>
      <c r="B2275" s="114" t="n">
        <v>17675</v>
      </c>
      <c r="C2275" s="114" t="inlineStr">
        <is>
          <t>United Kingdom</t>
        </is>
      </c>
      <c r="D2275" s="114" t="inlineStr">
        <is>
          <t>23245</t>
        </is>
      </c>
      <c r="E2275" s="114" t="inlineStr">
        <is>
          <t>SET OF 3 REGENCY CAKE TINS</t>
        </is>
      </c>
      <c r="F2275" s="114" t="n">
        <v>4</v>
      </c>
      <c r="G2275" s="115" t="n">
        <v>4.95</v>
      </c>
      <c r="H2275" s="115" t="n">
        <v>19.8</v>
      </c>
      <c r="I2275" s="116" t="n">
        <v>40736</v>
      </c>
    </row>
    <row r="2276">
      <c r="A2276" s="117" t="inlineStr">
        <is>
          <t>559791</t>
        </is>
      </c>
      <c r="B2276" s="117" t="n">
        <v>17675</v>
      </c>
      <c r="C2276" s="117" t="inlineStr">
        <is>
          <t>United Kingdom</t>
        </is>
      </c>
      <c r="D2276" s="117" t="inlineStr">
        <is>
          <t>22727</t>
        </is>
      </c>
      <c r="E2276" s="117" t="inlineStr">
        <is>
          <t xml:space="preserve">ALARM CLOCK BAKELIKE RED </t>
        </is>
      </c>
      <c r="F2276" s="117" t="n">
        <v>4</v>
      </c>
      <c r="G2276" s="118" t="n">
        <v>3.75</v>
      </c>
      <c r="H2276" s="118" t="n">
        <v>15</v>
      </c>
      <c r="I2276" s="119" t="n">
        <v>40736</v>
      </c>
    </row>
    <row r="2277">
      <c r="A2277" s="114" t="inlineStr">
        <is>
          <t>559813</t>
        </is>
      </c>
      <c r="B2277" s="114" t="n">
        <v>18272</v>
      </c>
      <c r="C2277" s="114" t="inlineStr">
        <is>
          <t>United Kingdom</t>
        </is>
      </c>
      <c r="D2277" s="114" t="inlineStr">
        <is>
          <t>23240</t>
        </is>
      </c>
      <c r="E2277" s="114" t="inlineStr">
        <is>
          <t xml:space="preserve">SET OF 4 KNICK KNACK TINS DOILEY </t>
        </is>
      </c>
      <c r="F2277" s="114" t="n">
        <v>6</v>
      </c>
      <c r="G2277" s="115" t="n">
        <v>4.15</v>
      </c>
      <c r="H2277" s="115" t="n">
        <v>24.9</v>
      </c>
      <c r="I2277" s="116" t="n">
        <v>40736</v>
      </c>
    </row>
    <row r="2278">
      <c r="A2278" s="117" t="inlineStr">
        <is>
          <t>559819</t>
        </is>
      </c>
      <c r="B2278" s="117" t="n">
        <v>12682</v>
      </c>
      <c r="C2278" s="117" t="inlineStr">
        <is>
          <t>France</t>
        </is>
      </c>
      <c r="D2278" s="117" t="inlineStr">
        <is>
          <t>23240</t>
        </is>
      </c>
      <c r="E2278" s="117" t="inlineStr">
        <is>
          <t xml:space="preserve">SET OF 4 KNICK KNACK TINS DOILEY </t>
        </is>
      </c>
      <c r="F2278" s="117" t="n">
        <v>6</v>
      </c>
      <c r="G2278" s="118" t="n">
        <v>4.15</v>
      </c>
      <c r="H2278" s="118" t="n">
        <v>24.9</v>
      </c>
      <c r="I2278" s="119" t="n">
        <v>40736</v>
      </c>
    </row>
    <row r="2279">
      <c r="A2279" s="114" t="inlineStr">
        <is>
          <t>559824</t>
        </is>
      </c>
      <c r="B2279" s="114" t="n">
        <v>17576</v>
      </c>
      <c r="C2279" s="114" t="inlineStr">
        <is>
          <t>United Kingdom</t>
        </is>
      </c>
      <c r="D2279" s="114" t="inlineStr">
        <is>
          <t>22666</t>
        </is>
      </c>
      <c r="E2279" s="114" t="inlineStr">
        <is>
          <t>RECIPE BOX PANTRY YELLOW DESIGN</t>
        </is>
      </c>
      <c r="F2279" s="114" t="n">
        <v>1</v>
      </c>
      <c r="G2279" s="115" t="n">
        <v>2.95</v>
      </c>
      <c r="H2279" s="115" t="n">
        <v>2.95</v>
      </c>
      <c r="I2279" s="116" t="n">
        <v>40736</v>
      </c>
    </row>
    <row r="2280">
      <c r="A2280" s="117" t="inlineStr">
        <is>
          <t>559824</t>
        </is>
      </c>
      <c r="B2280" s="117" t="n">
        <v>17576</v>
      </c>
      <c r="C2280" s="117" t="inlineStr">
        <is>
          <t>United Kingdom</t>
        </is>
      </c>
      <c r="D2280" s="117" t="inlineStr">
        <is>
          <t>22625</t>
        </is>
      </c>
      <c r="E2280" s="117" t="inlineStr">
        <is>
          <t>RED KITCHEN SCALES</t>
        </is>
      </c>
      <c r="F2280" s="117" t="n">
        <v>1</v>
      </c>
      <c r="G2280" s="118" t="n">
        <v>8.5</v>
      </c>
      <c r="H2280" s="118" t="n">
        <v>8.5</v>
      </c>
      <c r="I2280" s="119" t="n">
        <v>40736</v>
      </c>
    </row>
    <row r="2281">
      <c r="A2281" s="114" t="inlineStr">
        <is>
          <t>559836</t>
        </is>
      </c>
      <c r="B2281" s="114" t="n">
        <v>13911</v>
      </c>
      <c r="C2281" s="114" t="inlineStr">
        <is>
          <t>United Kingdom</t>
        </is>
      </c>
      <c r="D2281" s="114" t="inlineStr">
        <is>
          <t>22432</t>
        </is>
      </c>
      <c r="E2281" s="114" t="inlineStr">
        <is>
          <t>WATERING CAN PINK BUNNY</t>
        </is>
      </c>
      <c r="F2281" s="114" t="n">
        <v>6</v>
      </c>
      <c r="G2281" s="115" t="n">
        <v>1.95</v>
      </c>
      <c r="H2281" s="115" t="n">
        <v>11.7</v>
      </c>
      <c r="I2281" s="116" t="n">
        <v>40737</v>
      </c>
    </row>
    <row r="2282">
      <c r="A2282" s="117" t="inlineStr">
        <is>
          <t>559876</t>
        </is>
      </c>
      <c r="B2282" s="117" t="n">
        <v>15752</v>
      </c>
      <c r="C2282" s="117" t="inlineStr">
        <is>
          <t>United Kingdom</t>
        </is>
      </c>
      <c r="D2282" s="117" t="inlineStr">
        <is>
          <t>22147</t>
        </is>
      </c>
      <c r="E2282" s="117" t="inlineStr">
        <is>
          <t>FELTCRAFT BUTTERFLY HEARTS</t>
        </is>
      </c>
      <c r="F2282" s="117" t="n">
        <v>2</v>
      </c>
      <c r="G2282" s="118" t="n">
        <v>1.45</v>
      </c>
      <c r="H2282" s="118" t="n">
        <v>2.9</v>
      </c>
      <c r="I2282" s="119" t="n">
        <v>40737</v>
      </c>
    </row>
    <row r="2283">
      <c r="A2283" s="114" t="inlineStr">
        <is>
          <t>559876</t>
        </is>
      </c>
      <c r="B2283" s="114" t="n">
        <v>15752</v>
      </c>
      <c r="C2283" s="114" t="inlineStr">
        <is>
          <t>United Kingdom</t>
        </is>
      </c>
      <c r="D2283" s="114" t="inlineStr">
        <is>
          <t>21985</t>
        </is>
      </c>
      <c r="E2283" s="114" t="inlineStr">
        <is>
          <t xml:space="preserve">PACK OF 12 HEARTS DESIGN TISSUES </t>
        </is>
      </c>
      <c r="F2283" s="114" t="n">
        <v>12</v>
      </c>
      <c r="G2283" s="115" t="n">
        <v>0.29</v>
      </c>
      <c r="H2283" s="115" t="n">
        <v>3.48</v>
      </c>
      <c r="I2283" s="116" t="n">
        <v>40737</v>
      </c>
    </row>
    <row r="2284">
      <c r="A2284" s="117" t="inlineStr">
        <is>
          <t>559876</t>
        </is>
      </c>
      <c r="B2284" s="117" t="n">
        <v>15752</v>
      </c>
      <c r="C2284" s="117" t="inlineStr">
        <is>
          <t>United Kingdom</t>
        </is>
      </c>
      <c r="D2284" s="117" t="inlineStr">
        <is>
          <t>85099C</t>
        </is>
      </c>
      <c r="E2284" s="117" t="inlineStr">
        <is>
          <t>JUMBO  BAG BAROQUE BLACK WHITE</t>
        </is>
      </c>
      <c r="F2284" s="117" t="n">
        <v>2</v>
      </c>
      <c r="G2284" s="118" t="n">
        <v>2.08</v>
      </c>
      <c r="H2284" s="118" t="n">
        <v>4.16</v>
      </c>
      <c r="I2284" s="119" t="n">
        <v>40737</v>
      </c>
    </row>
    <row r="2285">
      <c r="A2285" s="114" t="inlineStr">
        <is>
          <t>559876</t>
        </is>
      </c>
      <c r="B2285" s="114" t="n">
        <v>15752</v>
      </c>
      <c r="C2285" s="114" t="inlineStr">
        <is>
          <t>United Kingdom</t>
        </is>
      </c>
      <c r="D2285" s="114" t="inlineStr">
        <is>
          <t>20996</t>
        </is>
      </c>
      <c r="E2285" s="114" t="inlineStr">
        <is>
          <t>JAZZ HEARTS ADDRESS BOOK</t>
        </is>
      </c>
      <c r="F2285" s="114" t="n">
        <v>2</v>
      </c>
      <c r="G2285" s="115" t="n">
        <v>0.19</v>
      </c>
      <c r="H2285" s="115" t="n">
        <v>0.38</v>
      </c>
      <c r="I2285" s="116" t="n">
        <v>40737</v>
      </c>
    </row>
    <row r="2286">
      <c r="A2286" s="117" t="inlineStr">
        <is>
          <t>559877</t>
        </is>
      </c>
      <c r="B2286" s="117" t="n">
        <v>15561</v>
      </c>
      <c r="C2286" s="117" t="inlineStr">
        <is>
          <t>United Kingdom</t>
        </is>
      </c>
      <c r="D2286" s="117" t="inlineStr">
        <is>
          <t>21912</t>
        </is>
      </c>
      <c r="E2286" s="117" t="inlineStr">
        <is>
          <t>VINTAGE SNAKES &amp; LADDERS</t>
        </is>
      </c>
      <c r="F2286" s="117" t="n">
        <v>6</v>
      </c>
      <c r="G2286" s="118" t="n">
        <v>3.75</v>
      </c>
      <c r="H2286" s="118" t="n">
        <v>22.5</v>
      </c>
      <c r="I2286" s="119" t="n">
        <v>40737</v>
      </c>
    </row>
    <row r="2287">
      <c r="A2287" s="114" t="inlineStr">
        <is>
          <t>559881</t>
        </is>
      </c>
      <c r="B2287" s="114" t="n">
        <v>16899</v>
      </c>
      <c r="C2287" s="114" t="inlineStr">
        <is>
          <t>United Kingdom</t>
        </is>
      </c>
      <c r="D2287" s="114" t="inlineStr">
        <is>
          <t>84051</t>
        </is>
      </c>
      <c r="E2287" s="114" t="inlineStr">
        <is>
          <t>ASS COLOUR GLOWING TIARAS</t>
        </is>
      </c>
      <c r="F2287" s="114" t="n">
        <v>10</v>
      </c>
      <c r="G2287" s="115" t="n">
        <v>0.85</v>
      </c>
      <c r="H2287" s="115" t="n">
        <v>8.5</v>
      </c>
      <c r="I2287" s="116" t="n">
        <v>40737</v>
      </c>
    </row>
    <row r="2288">
      <c r="A2288" s="117" t="inlineStr">
        <is>
          <t>559884</t>
        </is>
      </c>
      <c r="B2288" s="117" t="n">
        <v>16843</v>
      </c>
      <c r="C2288" s="117" t="inlineStr">
        <is>
          <t>United Kingdom</t>
        </is>
      </c>
      <c r="D2288" s="117" t="inlineStr">
        <is>
          <t>85071B</t>
        </is>
      </c>
      <c r="E2288" s="117" t="inlineStr">
        <is>
          <t>RED CHARLIE+LOLA PERSONAL DOORSIGN</t>
        </is>
      </c>
      <c r="F2288" s="117" t="n">
        <v>24</v>
      </c>
      <c r="G2288" s="118" t="n">
        <v>0.39</v>
      </c>
      <c r="H2288" s="118" t="n">
        <v>9.359999999999999</v>
      </c>
      <c r="I2288" s="119" t="n">
        <v>40737</v>
      </c>
    </row>
    <row r="2289">
      <c r="A2289" s="114" t="inlineStr">
        <is>
          <t>559884</t>
        </is>
      </c>
      <c r="B2289" s="114" t="n">
        <v>16843</v>
      </c>
      <c r="C2289" s="114" t="inlineStr">
        <is>
          <t>United Kingdom</t>
        </is>
      </c>
      <c r="D2289" s="114" t="inlineStr">
        <is>
          <t>22551</t>
        </is>
      </c>
      <c r="E2289" s="114" t="inlineStr">
        <is>
          <t>PLASTERS IN TIN SPACEBOY</t>
        </is>
      </c>
      <c r="F2289" s="114" t="n">
        <v>12</v>
      </c>
      <c r="G2289" s="115" t="n">
        <v>1.65</v>
      </c>
      <c r="H2289" s="115" t="n">
        <v>19.8</v>
      </c>
      <c r="I2289" s="116" t="n">
        <v>40737</v>
      </c>
    </row>
    <row r="2290">
      <c r="A2290" s="117" t="inlineStr">
        <is>
          <t>559888</t>
        </is>
      </c>
      <c r="B2290" s="117" t="n">
        <v>16450</v>
      </c>
      <c r="C2290" s="117" t="inlineStr">
        <is>
          <t>United Kingdom</t>
        </is>
      </c>
      <c r="D2290" s="117" t="inlineStr">
        <is>
          <t>20723</t>
        </is>
      </c>
      <c r="E2290" s="117" t="inlineStr">
        <is>
          <t>STRAWBERRY CHARLOTTE BAG</t>
        </is>
      </c>
      <c r="F2290" s="117" t="n">
        <v>20</v>
      </c>
      <c r="G2290" s="118" t="n">
        <v>0.85</v>
      </c>
      <c r="H2290" s="118" t="n">
        <v>17</v>
      </c>
      <c r="I2290" s="119" t="n">
        <v>40737</v>
      </c>
    </row>
    <row r="2291">
      <c r="A2291" s="114" t="inlineStr">
        <is>
          <t>559894</t>
        </is>
      </c>
      <c r="B2291" s="114" t="n">
        <v>14159</v>
      </c>
      <c r="C2291" s="114" t="inlineStr">
        <is>
          <t>United Kingdom</t>
        </is>
      </c>
      <c r="D2291" s="114" t="inlineStr">
        <is>
          <t>84927D</t>
        </is>
      </c>
      <c r="E2291" s="114" t="inlineStr">
        <is>
          <t>LA PALMIERA TILE HOOK</t>
        </is>
      </c>
      <c r="F2291" s="114" t="n">
        <v>2</v>
      </c>
      <c r="G2291" s="115" t="n">
        <v>0.39</v>
      </c>
      <c r="H2291" s="115" t="n">
        <v>0.78</v>
      </c>
      <c r="I2291" s="116" t="n">
        <v>40737</v>
      </c>
    </row>
    <row r="2292">
      <c r="A2292" s="117" t="inlineStr">
        <is>
          <t>559898</t>
        </is>
      </c>
      <c r="B2292" s="117" t="n">
        <v>16225</v>
      </c>
      <c r="C2292" s="117" t="inlineStr">
        <is>
          <t>United Kingdom</t>
        </is>
      </c>
      <c r="D2292" s="117" t="inlineStr">
        <is>
          <t>21932</t>
        </is>
      </c>
      <c r="E2292" s="117" t="inlineStr">
        <is>
          <t>SCANDINAVIAN PAISLEY PICNIC BAG</t>
        </is>
      </c>
      <c r="F2292" s="117" t="n">
        <v>1</v>
      </c>
      <c r="G2292" s="118" t="n">
        <v>1.65</v>
      </c>
      <c r="H2292" s="118" t="n">
        <v>1.65</v>
      </c>
      <c r="I2292" s="119" t="n">
        <v>40737</v>
      </c>
    </row>
    <row r="2293">
      <c r="A2293" s="114" t="inlineStr">
        <is>
          <t>559898</t>
        </is>
      </c>
      <c r="B2293" s="114" t="n">
        <v>16225</v>
      </c>
      <c r="C2293" s="114" t="inlineStr">
        <is>
          <t>United Kingdom</t>
        </is>
      </c>
      <c r="D2293" s="114" t="inlineStr">
        <is>
          <t>22831</t>
        </is>
      </c>
      <c r="E2293" s="114" t="inlineStr">
        <is>
          <t>WHITE BROCANTE SOAP DISH</t>
        </is>
      </c>
      <c r="F2293" s="114" t="n">
        <v>2</v>
      </c>
      <c r="G2293" s="115" t="n">
        <v>2.95</v>
      </c>
      <c r="H2293" s="115" t="n">
        <v>5.9</v>
      </c>
      <c r="I2293" s="116" t="n">
        <v>40737</v>
      </c>
    </row>
    <row r="2294">
      <c r="A2294" s="117" t="inlineStr">
        <is>
          <t>559899</t>
        </is>
      </c>
      <c r="B2294" s="117" t="n">
        <v>12528</v>
      </c>
      <c r="C2294" s="117" t="inlineStr">
        <is>
          <t>Germany</t>
        </is>
      </c>
      <c r="D2294" s="117" t="inlineStr">
        <is>
          <t>37450</t>
        </is>
      </c>
      <c r="E2294" s="117" t="inlineStr">
        <is>
          <t>CERAMIC CAKE BOWL + HANGING CAKES</t>
        </is>
      </c>
      <c r="F2294" s="117" t="n">
        <v>12</v>
      </c>
      <c r="G2294" s="118" t="n">
        <v>2.95</v>
      </c>
      <c r="H2294" s="118" t="n">
        <v>35.4</v>
      </c>
      <c r="I2294" s="119" t="n">
        <v>40737</v>
      </c>
    </row>
    <row r="2295">
      <c r="A2295" s="114" t="inlineStr">
        <is>
          <t>559902</t>
        </is>
      </c>
      <c r="B2295" s="114" t="n">
        <v>14502</v>
      </c>
      <c r="C2295" s="114" t="inlineStr">
        <is>
          <t>United Kingdom</t>
        </is>
      </c>
      <c r="D2295" s="114" t="inlineStr">
        <is>
          <t>35972</t>
        </is>
      </c>
      <c r="E2295" s="114" t="inlineStr">
        <is>
          <t>DAISY FOLKART HEART DECORATION</t>
        </is>
      </c>
      <c r="F2295" s="114" t="n">
        <v>2</v>
      </c>
      <c r="G2295" s="115" t="n">
        <v>1.25</v>
      </c>
      <c r="H2295" s="115" t="n">
        <v>2.5</v>
      </c>
      <c r="I2295" s="116" t="n">
        <v>40737</v>
      </c>
    </row>
    <row r="2296">
      <c r="A2296" s="117" t="inlineStr">
        <is>
          <t>559905</t>
        </is>
      </c>
      <c r="B2296" s="117" t="n">
        <v>15311</v>
      </c>
      <c r="C2296" s="117" t="inlineStr">
        <is>
          <t>United Kingdom</t>
        </is>
      </c>
      <c r="D2296" s="117" t="inlineStr">
        <is>
          <t>20829</t>
        </is>
      </c>
      <c r="E2296" s="117" t="inlineStr">
        <is>
          <t>GLITTER HANGING BUTTERFLY STRING</t>
        </is>
      </c>
      <c r="F2296" s="117" t="n">
        <v>4</v>
      </c>
      <c r="G2296" s="118" t="n">
        <v>2.1</v>
      </c>
      <c r="H2296" s="118" t="n">
        <v>8.4</v>
      </c>
      <c r="I2296" s="119" t="n">
        <v>40737</v>
      </c>
    </row>
    <row r="2297">
      <c r="A2297" s="114" t="inlineStr">
        <is>
          <t>559910</t>
        </is>
      </c>
      <c r="B2297" s="114" t="n">
        <v>18245</v>
      </c>
      <c r="C2297" s="114" t="inlineStr">
        <is>
          <t>United Kingdom</t>
        </is>
      </c>
      <c r="D2297" s="114" t="inlineStr">
        <is>
          <t>23188</t>
        </is>
      </c>
      <c r="E2297" s="114" t="inlineStr">
        <is>
          <t>VINTAGE  2 METER FOLDING RULER</t>
        </is>
      </c>
      <c r="F2297" s="114" t="n">
        <v>12</v>
      </c>
      <c r="G2297" s="115" t="n">
        <v>1.65</v>
      </c>
      <c r="H2297" s="115" t="n">
        <v>19.8</v>
      </c>
      <c r="I2297" s="116" t="n">
        <v>40737</v>
      </c>
    </row>
    <row r="2298">
      <c r="A2298" s="117" t="inlineStr">
        <is>
          <t>559921</t>
        </is>
      </c>
      <c r="B2298" s="117" t="n">
        <v>13667</v>
      </c>
      <c r="C2298" s="117" t="inlineStr">
        <is>
          <t>United Kingdom</t>
        </is>
      </c>
      <c r="D2298" s="117" t="inlineStr">
        <is>
          <t>82578</t>
        </is>
      </c>
      <c r="E2298" s="117" t="inlineStr">
        <is>
          <t>KITCHEN METAL SIGN</t>
        </is>
      </c>
      <c r="F2298" s="117" t="n">
        <v>5</v>
      </c>
      <c r="G2298" s="118" t="n">
        <v>0.55</v>
      </c>
      <c r="H2298" s="118" t="n">
        <v>2.75</v>
      </c>
      <c r="I2298" s="119" t="n">
        <v>40737</v>
      </c>
    </row>
    <row r="2299">
      <c r="A2299" s="114" t="inlineStr">
        <is>
          <t>559933</t>
        </is>
      </c>
      <c r="B2299" s="114" t="n">
        <v>16719</v>
      </c>
      <c r="C2299" s="114" t="inlineStr">
        <is>
          <t>United Kingdom</t>
        </is>
      </c>
      <c r="D2299" s="114" t="inlineStr">
        <is>
          <t>21735</t>
        </is>
      </c>
      <c r="E2299" s="114" t="inlineStr">
        <is>
          <t>TWO DOOR CURIO CABINET</t>
        </is>
      </c>
      <c r="F2299" s="114" t="n">
        <v>1</v>
      </c>
      <c r="G2299" s="115" t="n">
        <v>12.75</v>
      </c>
      <c r="H2299" s="115" t="n">
        <v>12.75</v>
      </c>
      <c r="I2299" s="116" t="n">
        <v>40738</v>
      </c>
    </row>
    <row r="2300">
      <c r="A2300" s="117" t="inlineStr">
        <is>
          <t>559934</t>
        </is>
      </c>
      <c r="B2300" s="117" t="n">
        <v>13012</v>
      </c>
      <c r="C2300" s="117" t="inlineStr">
        <is>
          <t>United Kingdom</t>
        </is>
      </c>
      <c r="D2300" s="117" t="inlineStr">
        <is>
          <t>21169</t>
        </is>
      </c>
      <c r="E2300" s="117" t="inlineStr">
        <is>
          <t xml:space="preserve">YOU'RE CONFUSING ME METAL SIGN </t>
        </is>
      </c>
      <c r="F2300" s="117" t="n">
        <v>12</v>
      </c>
      <c r="G2300" s="118" t="n">
        <v>1.69</v>
      </c>
      <c r="H2300" s="118" t="n">
        <v>20.28</v>
      </c>
      <c r="I2300" s="119" t="n">
        <v>40738</v>
      </c>
    </row>
    <row r="2301">
      <c r="A2301" s="114" t="inlineStr">
        <is>
          <t>559938</t>
        </is>
      </c>
      <c r="B2301" s="114" t="n">
        <v>17315</v>
      </c>
      <c r="C2301" s="114" t="inlineStr">
        <is>
          <t>United Kingdom</t>
        </is>
      </c>
      <c r="D2301" s="114" t="inlineStr">
        <is>
          <t>22698</t>
        </is>
      </c>
      <c r="E2301" s="114" t="inlineStr">
        <is>
          <t>PINK REGENCY TEACUP AND SAUCER</t>
        </is>
      </c>
      <c r="F2301" s="114" t="n">
        <v>3</v>
      </c>
      <c r="G2301" s="115" t="n">
        <v>2.95</v>
      </c>
      <c r="H2301" s="115" t="n">
        <v>8.85</v>
      </c>
      <c r="I2301" s="116" t="n">
        <v>40738</v>
      </c>
    </row>
    <row r="2302">
      <c r="A2302" s="117" t="inlineStr">
        <is>
          <t>559993</t>
        </is>
      </c>
      <c r="B2302" s="117" t="n">
        <v>14716</v>
      </c>
      <c r="C2302" s="117" t="inlineStr">
        <is>
          <t>United Kingdom</t>
        </is>
      </c>
      <c r="D2302" s="117" t="inlineStr">
        <is>
          <t>22620</t>
        </is>
      </c>
      <c r="E2302" s="117" t="inlineStr">
        <is>
          <t>4 TRADITIONAL SPINNING TOPS</t>
        </is>
      </c>
      <c r="F2302" s="117" t="n">
        <v>14</v>
      </c>
      <c r="G2302" s="118" t="n">
        <v>1.45</v>
      </c>
      <c r="H2302" s="118" t="n">
        <v>20.3</v>
      </c>
      <c r="I2302" s="119" t="n">
        <v>40738</v>
      </c>
    </row>
    <row r="2303">
      <c r="A2303" s="114" t="inlineStr">
        <is>
          <t>559993</t>
        </is>
      </c>
      <c r="B2303" s="114" t="n">
        <v>14716</v>
      </c>
      <c r="C2303" s="114" t="inlineStr">
        <is>
          <t>United Kingdom</t>
        </is>
      </c>
      <c r="D2303" s="114" t="inlineStr">
        <is>
          <t>81952V</t>
        </is>
      </c>
      <c r="E2303" s="114" t="inlineStr">
        <is>
          <t>ROUND PURPLE CLOCK WITH SUCKER</t>
        </is>
      </c>
      <c r="F2303" s="114" t="n">
        <v>20</v>
      </c>
      <c r="G2303" s="115" t="n">
        <v>0.19</v>
      </c>
      <c r="H2303" s="115" t="n">
        <v>3.8</v>
      </c>
      <c r="I2303" s="116" t="n">
        <v>40738</v>
      </c>
    </row>
    <row r="2304">
      <c r="A2304" s="117" t="inlineStr">
        <is>
          <t>560018</t>
        </is>
      </c>
      <c r="B2304" s="117" t="n">
        <v>15987</v>
      </c>
      <c r="C2304" s="117" t="inlineStr">
        <is>
          <t>United Kingdom</t>
        </is>
      </c>
      <c r="D2304" s="117" t="inlineStr">
        <is>
          <t>21080</t>
        </is>
      </c>
      <c r="E2304" s="117" t="inlineStr">
        <is>
          <t xml:space="preserve">SET/20 RED RETROSPOT PAPER NAPKINS </t>
        </is>
      </c>
      <c r="F2304" s="117" t="n">
        <v>2</v>
      </c>
      <c r="G2304" s="118" t="n">
        <v>0.85</v>
      </c>
      <c r="H2304" s="118" t="n">
        <v>1.7</v>
      </c>
      <c r="I2304" s="119" t="n">
        <v>40738</v>
      </c>
    </row>
    <row r="2305">
      <c r="A2305" s="114" t="inlineStr">
        <is>
          <t>560024</t>
        </is>
      </c>
      <c r="B2305" s="114" t="n">
        <v>15005</v>
      </c>
      <c r="C2305" s="114" t="inlineStr">
        <is>
          <t>United Kingdom</t>
        </is>
      </c>
      <c r="D2305" s="114" t="inlineStr">
        <is>
          <t>22197</t>
        </is>
      </c>
      <c r="E2305" s="114" t="inlineStr">
        <is>
          <t>POPCORN HOLDER</t>
        </is>
      </c>
      <c r="F2305" s="114" t="n">
        <v>10</v>
      </c>
      <c r="G2305" s="115" t="n">
        <v>0.85</v>
      </c>
      <c r="H2305" s="115" t="n">
        <v>8.5</v>
      </c>
      <c r="I2305" s="116" t="n">
        <v>40738</v>
      </c>
    </row>
    <row r="2306">
      <c r="A2306" s="117" t="inlineStr">
        <is>
          <t>560041</t>
        </is>
      </c>
      <c r="B2306" s="117" t="n">
        <v>14156</v>
      </c>
      <c r="C2306" s="117" t="inlineStr">
        <is>
          <t>EIRE</t>
        </is>
      </c>
      <c r="D2306" s="117" t="inlineStr">
        <is>
          <t>22625</t>
        </is>
      </c>
      <c r="E2306" s="117" t="inlineStr">
        <is>
          <t>RED KITCHEN SCALES</t>
        </is>
      </c>
      <c r="F2306" s="117" t="n">
        <v>2</v>
      </c>
      <c r="G2306" s="118" t="n">
        <v>8.5</v>
      </c>
      <c r="H2306" s="118" t="n">
        <v>17</v>
      </c>
      <c r="I2306" s="119" t="n">
        <v>40738</v>
      </c>
    </row>
    <row r="2307">
      <c r="A2307" s="114" t="inlineStr">
        <is>
          <t>560047</t>
        </is>
      </c>
      <c r="B2307" s="114" t="n">
        <v>17259</v>
      </c>
      <c r="C2307" s="114" t="inlineStr">
        <is>
          <t>United Kingdom</t>
        </is>
      </c>
      <c r="D2307" s="114" t="inlineStr">
        <is>
          <t>84978</t>
        </is>
      </c>
      <c r="E2307" s="114" t="inlineStr">
        <is>
          <t>HANGING HEART JAR T-LIGHT HOLDER</t>
        </is>
      </c>
      <c r="F2307" s="114" t="n">
        <v>6</v>
      </c>
      <c r="G2307" s="115" t="n">
        <v>1.25</v>
      </c>
      <c r="H2307" s="115" t="n">
        <v>7.5</v>
      </c>
      <c r="I2307" s="116" t="n">
        <v>40738</v>
      </c>
    </row>
    <row r="2308">
      <c r="A2308" s="117" t="inlineStr">
        <is>
          <t>560047</t>
        </is>
      </c>
      <c r="B2308" s="117" t="n">
        <v>17259</v>
      </c>
      <c r="C2308" s="117" t="inlineStr">
        <is>
          <t>United Kingdom</t>
        </is>
      </c>
      <c r="D2308" s="117" t="inlineStr">
        <is>
          <t>21609</t>
        </is>
      </c>
      <c r="E2308" s="117" t="inlineStr">
        <is>
          <t>SET 12 LAVENDER  BOTANICAL T-LIGHTS</t>
        </is>
      </c>
      <c r="F2308" s="117" t="n">
        <v>4</v>
      </c>
      <c r="G2308" s="118" t="n">
        <v>2.95</v>
      </c>
      <c r="H2308" s="118" t="n">
        <v>11.8</v>
      </c>
      <c r="I2308" s="119" t="n">
        <v>40738</v>
      </c>
    </row>
    <row r="2309">
      <c r="A2309" s="114" t="inlineStr">
        <is>
          <t>560078</t>
        </is>
      </c>
      <c r="B2309" s="114" t="n">
        <v>16040</v>
      </c>
      <c r="C2309" s="114" t="inlineStr">
        <is>
          <t>United Kingdom</t>
        </is>
      </c>
      <c r="D2309" s="114" t="inlineStr">
        <is>
          <t>22561</t>
        </is>
      </c>
      <c r="E2309" s="114" t="inlineStr">
        <is>
          <t>WOODEN SCHOOL COLOURING SET</t>
        </is>
      </c>
      <c r="F2309" s="114" t="n">
        <v>12</v>
      </c>
      <c r="G2309" s="115" t="n">
        <v>1.65</v>
      </c>
      <c r="H2309" s="115" t="n">
        <v>19.8</v>
      </c>
      <c r="I2309" s="116" t="n">
        <v>40738</v>
      </c>
    </row>
    <row r="2310">
      <c r="A2310" s="117" t="inlineStr">
        <is>
          <t>560079</t>
        </is>
      </c>
      <c r="B2310" s="117" t="n">
        <v>15521</v>
      </c>
      <c r="C2310" s="117" t="inlineStr">
        <is>
          <t>United Kingdom</t>
        </is>
      </c>
      <c r="D2310" s="117" t="inlineStr">
        <is>
          <t>23207</t>
        </is>
      </c>
      <c r="E2310" s="117" t="inlineStr">
        <is>
          <t>LUNCH BAG ALPHABET DESIGN</t>
        </is>
      </c>
      <c r="F2310" s="117" t="n">
        <v>10</v>
      </c>
      <c r="G2310" s="118" t="n">
        <v>1.65</v>
      </c>
      <c r="H2310" s="118" t="n">
        <v>16.5</v>
      </c>
      <c r="I2310" s="119" t="n">
        <v>40738</v>
      </c>
    </row>
    <row r="2311">
      <c r="A2311" s="114" t="inlineStr">
        <is>
          <t>560086</t>
        </is>
      </c>
      <c r="B2311" s="114" t="n">
        <v>15839</v>
      </c>
      <c r="C2311" s="114" t="inlineStr">
        <is>
          <t>United Kingdom</t>
        </is>
      </c>
      <c r="D2311" s="114" t="inlineStr">
        <is>
          <t>22629</t>
        </is>
      </c>
      <c r="E2311" s="114" t="inlineStr">
        <is>
          <t xml:space="preserve">SPACEBOY LUNCH BOX </t>
        </is>
      </c>
      <c r="F2311" s="114" t="n">
        <v>12</v>
      </c>
      <c r="G2311" s="115" t="n">
        <v>1.95</v>
      </c>
      <c r="H2311" s="115" t="n">
        <v>23.4</v>
      </c>
      <c r="I2311" s="116" t="n">
        <v>40738</v>
      </c>
    </row>
    <row r="2312">
      <c r="A2312" s="117" t="inlineStr">
        <is>
          <t>560093</t>
        </is>
      </c>
      <c r="B2312" s="117" t="n">
        <v>14461</v>
      </c>
      <c r="C2312" s="117" t="inlineStr">
        <is>
          <t>United Kingdom</t>
        </is>
      </c>
      <c r="D2312" s="117" t="inlineStr">
        <is>
          <t>23212</t>
        </is>
      </c>
      <c r="E2312" s="117" t="inlineStr">
        <is>
          <t>HEART WREATH DECORATION WITH BELL</t>
        </is>
      </c>
      <c r="F2312" s="117" t="n">
        <v>12</v>
      </c>
      <c r="G2312" s="118" t="n">
        <v>1.25</v>
      </c>
      <c r="H2312" s="118" t="n">
        <v>15</v>
      </c>
      <c r="I2312" s="119" t="n">
        <v>40738</v>
      </c>
    </row>
    <row r="2313">
      <c r="A2313" s="114" t="inlineStr">
        <is>
          <t>560094</t>
        </is>
      </c>
      <c r="B2313" s="114" t="n">
        <v>18109</v>
      </c>
      <c r="C2313" s="114" t="inlineStr">
        <is>
          <t>United Kingdom</t>
        </is>
      </c>
      <c r="D2313" s="114" t="inlineStr">
        <is>
          <t>22197</t>
        </is>
      </c>
      <c r="E2313" s="114" t="inlineStr">
        <is>
          <t>POPCORN HOLDER</t>
        </is>
      </c>
      <c r="F2313" s="114" t="n">
        <v>6</v>
      </c>
      <c r="G2313" s="115" t="n">
        <v>0.85</v>
      </c>
      <c r="H2313" s="115" t="n">
        <v>5.1</v>
      </c>
      <c r="I2313" s="116" t="n">
        <v>40738</v>
      </c>
    </row>
    <row r="2314">
      <c r="A2314" s="117" t="inlineStr">
        <is>
          <t>560098</t>
        </is>
      </c>
      <c r="B2314" s="117" t="n">
        <v>16907</v>
      </c>
      <c r="C2314" s="117" t="inlineStr">
        <is>
          <t>United Kingdom</t>
        </is>
      </c>
      <c r="D2314" s="117" t="inlineStr">
        <is>
          <t>23194</t>
        </is>
      </c>
      <c r="E2314" s="117" t="inlineStr">
        <is>
          <t>GYMKHANA TREASURE BOOK BOX</t>
        </is>
      </c>
      <c r="F2314" s="117" t="n">
        <v>1</v>
      </c>
      <c r="G2314" s="118" t="n">
        <v>2.25</v>
      </c>
      <c r="H2314" s="118" t="n">
        <v>2.25</v>
      </c>
      <c r="I2314" s="119" t="n">
        <v>40738</v>
      </c>
    </row>
    <row r="2315">
      <c r="A2315" s="114" t="inlineStr">
        <is>
          <t>560098</t>
        </is>
      </c>
      <c r="B2315" s="114" t="n">
        <v>16907</v>
      </c>
      <c r="C2315" s="114" t="inlineStr">
        <is>
          <t>United Kingdom</t>
        </is>
      </c>
      <c r="D2315" s="114" t="inlineStr">
        <is>
          <t>21907</t>
        </is>
      </c>
      <c r="E2315" s="114" t="inlineStr">
        <is>
          <t>I'M ON HOLIDAY METAL SIGN</t>
        </is>
      </c>
      <c r="F2315" s="114" t="n">
        <v>1</v>
      </c>
      <c r="G2315" s="115" t="n">
        <v>2.1</v>
      </c>
      <c r="H2315" s="115" t="n">
        <v>2.1</v>
      </c>
      <c r="I2315" s="116" t="n">
        <v>40738</v>
      </c>
    </row>
    <row r="2316">
      <c r="A2316" s="117" t="inlineStr">
        <is>
          <t>560104</t>
        </is>
      </c>
      <c r="B2316" s="117" t="n">
        <v>17921</v>
      </c>
      <c r="C2316" s="117" t="inlineStr">
        <is>
          <t>United Kingdom</t>
        </is>
      </c>
      <c r="D2316" s="117" t="inlineStr">
        <is>
          <t>85123A</t>
        </is>
      </c>
      <c r="E2316" s="117" t="inlineStr">
        <is>
          <t>WHITE HANGING HEART T-LIGHT HOLDER</t>
        </is>
      </c>
      <c r="F2316" s="117" t="n">
        <v>4</v>
      </c>
      <c r="G2316" s="118" t="n">
        <v>2.95</v>
      </c>
      <c r="H2316" s="118" t="n">
        <v>11.8</v>
      </c>
      <c r="I2316" s="119" t="n">
        <v>40738</v>
      </c>
    </row>
    <row r="2317">
      <c r="A2317" s="114" t="inlineStr">
        <is>
          <t>560119</t>
        </is>
      </c>
      <c r="B2317" s="114" t="n">
        <v>12815</v>
      </c>
      <c r="C2317" s="114" t="inlineStr">
        <is>
          <t>Poland</t>
        </is>
      </c>
      <c r="D2317" s="114" t="inlineStr">
        <is>
          <t>23198</t>
        </is>
      </c>
      <c r="E2317" s="114" t="inlineStr">
        <is>
          <t>PANTRY MAGNETIC  SHOPPING LIST</t>
        </is>
      </c>
      <c r="F2317" s="114" t="n">
        <v>12</v>
      </c>
      <c r="G2317" s="115" t="n">
        <v>1.45</v>
      </c>
      <c r="H2317" s="115" t="n">
        <v>17.4</v>
      </c>
      <c r="I2317" s="116" t="n">
        <v>40739</v>
      </c>
    </row>
    <row r="2318">
      <c r="A2318" s="117" t="inlineStr">
        <is>
          <t>560120</t>
        </is>
      </c>
      <c r="B2318" s="117" t="n">
        <v>14907</v>
      </c>
      <c r="C2318" s="117" t="inlineStr">
        <is>
          <t>United Kingdom</t>
        </is>
      </c>
      <c r="D2318" s="117" t="inlineStr">
        <is>
          <t>21123</t>
        </is>
      </c>
      <c r="E2318" s="117" t="inlineStr">
        <is>
          <t>SET/10 IVORY POLKADOT PARTY CANDLES</t>
        </is>
      </c>
      <c r="F2318" s="117" t="n">
        <v>24</v>
      </c>
      <c r="G2318" s="118" t="n">
        <v>1.25</v>
      </c>
      <c r="H2318" s="118" t="n">
        <v>30</v>
      </c>
      <c r="I2318" s="119" t="n">
        <v>40739</v>
      </c>
    </row>
    <row r="2319">
      <c r="A2319" s="114" t="inlineStr">
        <is>
          <t>560125</t>
        </is>
      </c>
      <c r="B2319" s="114" t="n">
        <v>18118</v>
      </c>
      <c r="C2319" s="114" t="inlineStr">
        <is>
          <t>United Kingdom</t>
        </is>
      </c>
      <c r="D2319" s="114" t="inlineStr">
        <is>
          <t>21154</t>
        </is>
      </c>
      <c r="E2319" s="114" t="inlineStr">
        <is>
          <t xml:space="preserve">RED RETROSPOT OVEN GLOVE </t>
        </is>
      </c>
      <c r="F2319" s="114" t="n">
        <v>2</v>
      </c>
      <c r="G2319" s="115" t="n">
        <v>1.25</v>
      </c>
      <c r="H2319" s="115" t="n">
        <v>2.5</v>
      </c>
      <c r="I2319" s="116" t="n">
        <v>40739</v>
      </c>
    </row>
    <row r="2320">
      <c r="A2320" s="117" t="inlineStr">
        <is>
          <t>560207</t>
        </is>
      </c>
      <c r="B2320" s="117" t="n">
        <v>15301</v>
      </c>
      <c r="C2320" s="117" t="inlineStr">
        <is>
          <t>United Kingdom</t>
        </is>
      </c>
      <c r="D2320" s="117" t="inlineStr">
        <is>
          <t>22662</t>
        </is>
      </c>
      <c r="E2320" s="117" t="inlineStr">
        <is>
          <t>LUNCH BAG DOLLY GIRL DESIGN</t>
        </is>
      </c>
      <c r="F2320" s="117" t="n">
        <v>10</v>
      </c>
      <c r="G2320" s="118" t="n">
        <v>1.65</v>
      </c>
      <c r="H2320" s="118" t="n">
        <v>16.5</v>
      </c>
      <c r="I2320" s="119" t="n">
        <v>40739</v>
      </c>
    </row>
    <row r="2321">
      <c r="A2321" s="114" t="inlineStr">
        <is>
          <t>560209</t>
        </is>
      </c>
      <c r="B2321" s="114" t="n">
        <v>15004</v>
      </c>
      <c r="C2321" s="114" t="inlineStr">
        <is>
          <t>United Kingdom</t>
        </is>
      </c>
      <c r="D2321" s="114" t="inlineStr">
        <is>
          <t>21791</t>
        </is>
      </c>
      <c r="E2321" s="114" t="inlineStr">
        <is>
          <t xml:space="preserve">VINTAGE HEADS AND TAILS CARD GAME </t>
        </is>
      </c>
      <c r="F2321" s="114" t="n">
        <v>6</v>
      </c>
      <c r="G2321" s="115" t="n">
        <v>1.25</v>
      </c>
      <c r="H2321" s="115" t="n">
        <v>7.5</v>
      </c>
      <c r="I2321" s="116" t="n">
        <v>40739</v>
      </c>
    </row>
    <row r="2322">
      <c r="A2322" s="117" t="inlineStr">
        <is>
          <t>560209</t>
        </is>
      </c>
      <c r="B2322" s="117" t="n">
        <v>15004</v>
      </c>
      <c r="C2322" s="117" t="inlineStr">
        <is>
          <t>United Kingdom</t>
        </is>
      </c>
      <c r="D2322" s="117" t="inlineStr">
        <is>
          <t>21715</t>
        </is>
      </c>
      <c r="E2322" s="117" t="inlineStr">
        <is>
          <t>GIRLS VINTAGE TIN SEASIDE BUCKET</t>
        </is>
      </c>
      <c r="F2322" s="117" t="n">
        <v>2</v>
      </c>
      <c r="G2322" s="118" t="n">
        <v>2.55</v>
      </c>
      <c r="H2322" s="118" t="n">
        <v>5.1</v>
      </c>
      <c r="I2322" s="119" t="n">
        <v>40739</v>
      </c>
    </row>
    <row r="2323">
      <c r="A2323" s="114" t="inlineStr">
        <is>
          <t>560209</t>
        </is>
      </c>
      <c r="B2323" s="114" t="n">
        <v>15004</v>
      </c>
      <c r="C2323" s="114" t="inlineStr">
        <is>
          <t>United Kingdom</t>
        </is>
      </c>
      <c r="D2323" s="114" t="inlineStr">
        <is>
          <t>22027</t>
        </is>
      </c>
      <c r="E2323" s="114" t="inlineStr">
        <is>
          <t>TEA PARTY BIRTHDAY CARD</t>
        </is>
      </c>
      <c r="F2323" s="114" t="n">
        <v>12</v>
      </c>
      <c r="G2323" s="115" t="n">
        <v>0.42</v>
      </c>
      <c r="H2323" s="115" t="n">
        <v>5.04</v>
      </c>
      <c r="I2323" s="116" t="n">
        <v>40739</v>
      </c>
    </row>
    <row r="2324">
      <c r="A2324" s="117" t="inlineStr">
        <is>
          <t>560211</t>
        </is>
      </c>
      <c r="B2324" s="117" t="n">
        <v>12621</v>
      </c>
      <c r="C2324" s="117" t="inlineStr">
        <is>
          <t>Germany</t>
        </is>
      </c>
      <c r="D2324" s="117" t="inlineStr">
        <is>
          <t>21884</t>
        </is>
      </c>
      <c r="E2324" s="117" t="inlineStr">
        <is>
          <t>CAKES AND BOWS GIFT  TAPE</t>
        </is>
      </c>
      <c r="F2324" s="117" t="n">
        <v>12</v>
      </c>
      <c r="G2324" s="118" t="n">
        <v>0.65</v>
      </c>
      <c r="H2324" s="118" t="n">
        <v>7.8</v>
      </c>
      <c r="I2324" s="119" t="n">
        <v>40739</v>
      </c>
    </row>
    <row r="2325">
      <c r="A2325" s="114" t="inlineStr">
        <is>
          <t>560224</t>
        </is>
      </c>
      <c r="B2325" s="114" t="n">
        <v>14572</v>
      </c>
      <c r="C2325" s="114" t="inlineStr">
        <is>
          <t>United Kingdom</t>
        </is>
      </c>
      <c r="D2325" s="114" t="inlineStr">
        <is>
          <t>22804</t>
        </is>
      </c>
      <c r="E2325" s="114" t="inlineStr">
        <is>
          <t>CANDLEHOLDER PINK HANGING HEART</t>
        </is>
      </c>
      <c r="F2325" s="114" t="n">
        <v>2</v>
      </c>
      <c r="G2325" s="115" t="n">
        <v>2.95</v>
      </c>
      <c r="H2325" s="115" t="n">
        <v>5.9</v>
      </c>
      <c r="I2325" s="116" t="n">
        <v>40739</v>
      </c>
    </row>
    <row r="2326">
      <c r="A2326" s="117" t="inlineStr">
        <is>
          <t>560230</t>
        </is>
      </c>
      <c r="B2326" s="117" t="n">
        <v>12600</v>
      </c>
      <c r="C2326" s="117" t="inlineStr">
        <is>
          <t>Germany</t>
        </is>
      </c>
      <c r="D2326" s="117" t="inlineStr">
        <is>
          <t>47503A</t>
        </is>
      </c>
      <c r="E2326" s="117" t="inlineStr">
        <is>
          <t>ASS FLORAL PRINT MULTI SCREWDRIVER</t>
        </is>
      </c>
      <c r="F2326" s="117" t="n">
        <v>24</v>
      </c>
      <c r="G2326" s="118" t="n">
        <v>0.42</v>
      </c>
      <c r="H2326" s="118" t="n">
        <v>10.08</v>
      </c>
      <c r="I2326" s="119" t="n">
        <v>40741</v>
      </c>
    </row>
    <row r="2327">
      <c r="A2327" s="114" t="inlineStr">
        <is>
          <t>560233</t>
        </is>
      </c>
      <c r="B2327" s="114" t="n">
        <v>16813</v>
      </c>
      <c r="C2327" s="114" t="inlineStr">
        <is>
          <t>United Kingdom</t>
        </is>
      </c>
      <c r="D2327" s="114" t="inlineStr">
        <is>
          <t>22610</t>
        </is>
      </c>
      <c r="E2327" s="114" t="inlineStr">
        <is>
          <t>PENS ASSORTED FUNNY FACE</t>
        </is>
      </c>
      <c r="F2327" s="114" t="n">
        <v>36</v>
      </c>
      <c r="G2327" s="115" t="n">
        <v>0.19</v>
      </c>
      <c r="H2327" s="115" t="n">
        <v>6.84</v>
      </c>
      <c r="I2327" s="116" t="n">
        <v>40741</v>
      </c>
    </row>
    <row r="2328">
      <c r="A2328" s="117" t="inlineStr">
        <is>
          <t>560233</t>
        </is>
      </c>
      <c r="B2328" s="117" t="n">
        <v>16813</v>
      </c>
      <c r="C2328" s="117" t="inlineStr">
        <is>
          <t>United Kingdom</t>
        </is>
      </c>
      <c r="D2328" s="117" t="inlineStr">
        <is>
          <t>22386</t>
        </is>
      </c>
      <c r="E2328" s="117" t="inlineStr">
        <is>
          <t>JUMBO BAG PINK POLKADOT</t>
        </is>
      </c>
      <c r="F2328" s="117" t="n">
        <v>4</v>
      </c>
      <c r="G2328" s="118" t="n">
        <v>2.08</v>
      </c>
      <c r="H2328" s="118" t="n">
        <v>8.32</v>
      </c>
      <c r="I2328" s="119" t="n">
        <v>40741</v>
      </c>
    </row>
    <row r="2329">
      <c r="A2329" s="114" t="inlineStr">
        <is>
          <t>560239</t>
        </is>
      </c>
      <c r="B2329" s="114" t="n">
        <v>13507</v>
      </c>
      <c r="C2329" s="114" t="inlineStr">
        <is>
          <t>United Kingdom</t>
        </is>
      </c>
      <c r="D2329" s="114" t="inlineStr">
        <is>
          <t>22915</t>
        </is>
      </c>
      <c r="E2329" s="114" t="inlineStr">
        <is>
          <t xml:space="preserve">ASSORTED BOTTLE TOP  MAGNETS </t>
        </is>
      </c>
      <c r="F2329" s="114" t="n">
        <v>12</v>
      </c>
      <c r="G2329" s="115" t="n">
        <v>0.42</v>
      </c>
      <c r="H2329" s="115" t="n">
        <v>5.04</v>
      </c>
      <c r="I2329" s="116" t="n">
        <v>40741</v>
      </c>
    </row>
    <row r="2330">
      <c r="A2330" s="117" t="inlineStr">
        <is>
          <t>560240</t>
        </is>
      </c>
      <c r="B2330" s="117" t="n">
        <v>15716</v>
      </c>
      <c r="C2330" s="117" t="inlineStr">
        <is>
          <t>United Kingdom</t>
        </is>
      </c>
      <c r="D2330" s="117" t="inlineStr">
        <is>
          <t>23301</t>
        </is>
      </c>
      <c r="E2330" s="117" t="inlineStr">
        <is>
          <t xml:space="preserve">GARDENERS KNEELING PAD KEEP CALM </t>
        </is>
      </c>
      <c r="F2330" s="117" t="n">
        <v>3</v>
      </c>
      <c r="G2330" s="118" t="n">
        <v>1.65</v>
      </c>
      <c r="H2330" s="118" t="n">
        <v>4.95</v>
      </c>
      <c r="I2330" s="119" t="n">
        <v>40741</v>
      </c>
    </row>
    <row r="2331">
      <c r="A2331" s="114" t="inlineStr">
        <is>
          <t>560244</t>
        </is>
      </c>
      <c r="B2331" s="114" t="n">
        <v>16931</v>
      </c>
      <c r="C2331" s="114" t="inlineStr">
        <is>
          <t>United Kingdom</t>
        </is>
      </c>
      <c r="D2331" s="114" t="inlineStr">
        <is>
          <t>47566</t>
        </is>
      </c>
      <c r="E2331" s="114" t="inlineStr">
        <is>
          <t>PARTY BUNTING</t>
        </is>
      </c>
      <c r="F2331" s="114" t="n">
        <v>3</v>
      </c>
      <c r="G2331" s="115" t="n">
        <v>4.95</v>
      </c>
      <c r="H2331" s="115" t="n">
        <v>14.85</v>
      </c>
      <c r="I2331" s="116" t="n">
        <v>40741</v>
      </c>
    </row>
    <row r="2332">
      <c r="A2332" s="117" t="inlineStr">
        <is>
          <t>560244</t>
        </is>
      </c>
      <c r="B2332" s="117" t="n">
        <v>16931</v>
      </c>
      <c r="C2332" s="117" t="inlineStr">
        <is>
          <t>United Kingdom</t>
        </is>
      </c>
      <c r="D2332" s="117" t="inlineStr">
        <is>
          <t>22584</t>
        </is>
      </c>
      <c r="E2332" s="117" t="inlineStr">
        <is>
          <t>PACK OF 6 PANNETONE GIFT BOXES</t>
        </is>
      </c>
      <c r="F2332" s="117" t="n">
        <v>3</v>
      </c>
      <c r="G2332" s="118" t="n">
        <v>2.55</v>
      </c>
      <c r="H2332" s="118" t="n">
        <v>7.65</v>
      </c>
      <c r="I2332" s="119" t="n">
        <v>40741</v>
      </c>
    </row>
    <row r="2333">
      <c r="A2333" s="114" t="inlineStr">
        <is>
          <t>560250</t>
        </is>
      </c>
      <c r="B2333" s="114" t="n">
        <v>14659</v>
      </c>
      <c r="C2333" s="114" t="inlineStr">
        <is>
          <t>United Kingdom</t>
        </is>
      </c>
      <c r="D2333" s="114" t="inlineStr">
        <is>
          <t>20725</t>
        </is>
      </c>
      <c r="E2333" s="114" t="inlineStr">
        <is>
          <t>LUNCH BAG RED RETROSPOT</t>
        </is>
      </c>
      <c r="F2333" s="114" t="n">
        <v>5</v>
      </c>
      <c r="G2333" s="115" t="n">
        <v>1.65</v>
      </c>
      <c r="H2333" s="115" t="n">
        <v>8.25</v>
      </c>
      <c r="I2333" s="116" t="n">
        <v>40741</v>
      </c>
    </row>
    <row r="2334">
      <c r="A2334" s="117" t="inlineStr">
        <is>
          <t>560251</t>
        </is>
      </c>
      <c r="B2334" s="117" t="n">
        <v>17774</v>
      </c>
      <c r="C2334" s="117" t="inlineStr">
        <is>
          <t>United Kingdom</t>
        </is>
      </c>
      <c r="D2334" s="117" t="inlineStr">
        <is>
          <t>22328</t>
        </is>
      </c>
      <c r="E2334" s="117" t="inlineStr">
        <is>
          <t xml:space="preserve">ROUND SNACK BOXES SET OF 4 FRUITS </t>
        </is>
      </c>
      <c r="F2334" s="117" t="n">
        <v>3</v>
      </c>
      <c r="G2334" s="118" t="n">
        <v>2.95</v>
      </c>
      <c r="H2334" s="118" t="n">
        <v>8.85</v>
      </c>
      <c r="I2334" s="119" t="n">
        <v>40741</v>
      </c>
    </row>
    <row r="2335">
      <c r="A2335" s="114" t="inlineStr">
        <is>
          <t>560255</t>
        </is>
      </c>
      <c r="B2335" s="114" t="n">
        <v>16054</v>
      </c>
      <c r="C2335" s="114" t="inlineStr">
        <is>
          <t>United Kingdom</t>
        </is>
      </c>
      <c r="D2335" s="114" t="inlineStr">
        <is>
          <t>85183A</t>
        </is>
      </c>
      <c r="E2335" s="114" t="inlineStr">
        <is>
          <t>CHARLIE &amp; LOLA WASTEPAPER BIN BLUE</t>
        </is>
      </c>
      <c r="F2335" s="114" t="n">
        <v>12</v>
      </c>
      <c r="G2335" s="115" t="n">
        <v>1.25</v>
      </c>
      <c r="H2335" s="115" t="n">
        <v>15</v>
      </c>
      <c r="I2335" s="116" t="n">
        <v>40741</v>
      </c>
    </row>
    <row r="2336">
      <c r="A2336" s="117" t="inlineStr">
        <is>
          <t>560259</t>
        </is>
      </c>
      <c r="B2336" s="117" t="n">
        <v>13654</v>
      </c>
      <c r="C2336" s="117" t="inlineStr">
        <is>
          <t>United Kingdom</t>
        </is>
      </c>
      <c r="D2336" s="117" t="inlineStr">
        <is>
          <t>23204</t>
        </is>
      </c>
      <c r="E2336" s="117" t="inlineStr">
        <is>
          <t>CHARLOTTE BAG APPLES DESIGN</t>
        </is>
      </c>
      <c r="F2336" s="117" t="n">
        <v>10</v>
      </c>
      <c r="G2336" s="118" t="n">
        <v>0.85</v>
      </c>
      <c r="H2336" s="118" t="n">
        <v>8.5</v>
      </c>
      <c r="I2336" s="119" t="n">
        <v>40741</v>
      </c>
    </row>
    <row r="2337">
      <c r="A2337" s="114" t="inlineStr">
        <is>
          <t>560276</t>
        </is>
      </c>
      <c r="B2337" s="114" t="n">
        <v>14606</v>
      </c>
      <c r="C2337" s="114" t="inlineStr">
        <is>
          <t>United Kingdom</t>
        </is>
      </c>
      <c r="D2337" s="114" t="inlineStr">
        <is>
          <t>21579</t>
        </is>
      </c>
      <c r="E2337" s="114" t="inlineStr">
        <is>
          <t>LOLITA  DESIGN  COTTON TOTE BAG</t>
        </is>
      </c>
      <c r="F2337" s="114" t="n">
        <v>1</v>
      </c>
      <c r="G2337" s="115" t="n">
        <v>2.25</v>
      </c>
      <c r="H2337" s="115" t="n">
        <v>2.25</v>
      </c>
      <c r="I2337" s="116" t="n">
        <v>40741</v>
      </c>
    </row>
    <row r="2338">
      <c r="A2338" s="117" t="inlineStr">
        <is>
          <t>560285</t>
        </is>
      </c>
      <c r="B2338" s="117" t="n">
        <v>14944</v>
      </c>
      <c r="C2338" s="117" t="inlineStr">
        <is>
          <t>United Kingdom</t>
        </is>
      </c>
      <c r="D2338" s="117" t="inlineStr">
        <is>
          <t>21175</t>
        </is>
      </c>
      <c r="E2338" s="117" t="inlineStr">
        <is>
          <t>GIN + TONIC DIET METAL SIGN</t>
        </is>
      </c>
      <c r="F2338" s="117" t="n">
        <v>24</v>
      </c>
      <c r="G2338" s="118" t="n">
        <v>2.55</v>
      </c>
      <c r="H2338" s="118" t="n">
        <v>61.2</v>
      </c>
      <c r="I2338" s="119" t="n">
        <v>40742</v>
      </c>
    </row>
    <row r="2339">
      <c r="A2339" s="114" t="inlineStr">
        <is>
          <t>560299</t>
        </is>
      </c>
      <c r="B2339" s="114" t="n">
        <v>17593</v>
      </c>
      <c r="C2339" s="114" t="inlineStr">
        <is>
          <t>United Kingdom</t>
        </is>
      </c>
      <c r="D2339" s="114" t="inlineStr">
        <is>
          <t>22066</t>
        </is>
      </c>
      <c r="E2339" s="114" t="inlineStr">
        <is>
          <t>LOVE HEART TRINKET POT</t>
        </is>
      </c>
      <c r="F2339" s="114" t="n">
        <v>48</v>
      </c>
      <c r="G2339" s="115" t="n">
        <v>0.39</v>
      </c>
      <c r="H2339" s="115" t="n">
        <v>18.72</v>
      </c>
      <c r="I2339" s="116" t="n">
        <v>40742</v>
      </c>
    </row>
    <row r="2340">
      <c r="A2340" s="117" t="inlineStr">
        <is>
          <t>560305</t>
        </is>
      </c>
      <c r="B2340" s="117" t="n">
        <v>16511</v>
      </c>
      <c r="C2340" s="117" t="inlineStr">
        <is>
          <t>United Kingdom</t>
        </is>
      </c>
      <c r="D2340" s="117" t="inlineStr">
        <is>
          <t>20914</t>
        </is>
      </c>
      <c r="E2340" s="117" t="inlineStr">
        <is>
          <t>SET/5 RED RETROSPOT LID GLASS BOWLS</t>
        </is>
      </c>
      <c r="F2340" s="117" t="n">
        <v>1</v>
      </c>
      <c r="G2340" s="118" t="n">
        <v>2.95</v>
      </c>
      <c r="H2340" s="118" t="n">
        <v>2.95</v>
      </c>
      <c r="I2340" s="119" t="n">
        <v>40742</v>
      </c>
    </row>
    <row r="2341">
      <c r="A2341" s="114" t="inlineStr">
        <is>
          <t>560359</t>
        </is>
      </c>
      <c r="B2341" s="114" t="n">
        <v>14159</v>
      </c>
      <c r="C2341" s="114" t="inlineStr">
        <is>
          <t>United Kingdom</t>
        </is>
      </c>
      <c r="D2341" s="114" t="inlineStr">
        <is>
          <t>23005</t>
        </is>
      </c>
      <c r="E2341" s="114" t="inlineStr">
        <is>
          <t>TRAVEL CARD WALLET I LOVE LONDON</t>
        </is>
      </c>
      <c r="F2341" s="114" t="n">
        <v>4</v>
      </c>
      <c r="G2341" s="115" t="n">
        <v>0.42</v>
      </c>
      <c r="H2341" s="115" t="n">
        <v>1.68</v>
      </c>
      <c r="I2341" s="116" t="n">
        <v>40742</v>
      </c>
    </row>
    <row r="2342">
      <c r="A2342" s="117" t="inlineStr">
        <is>
          <t>560360</t>
        </is>
      </c>
      <c r="B2342" s="117" t="n">
        <v>12744</v>
      </c>
      <c r="C2342" s="117" t="inlineStr">
        <is>
          <t>Singapore</t>
        </is>
      </c>
      <c r="D2342" s="117" t="inlineStr">
        <is>
          <t>22581</t>
        </is>
      </c>
      <c r="E2342" s="117" t="inlineStr">
        <is>
          <t>WOOD STOCKING CHRISTMAS SCANDISPOT</t>
        </is>
      </c>
      <c r="F2342" s="117" t="n">
        <v>48</v>
      </c>
      <c r="G2342" s="118" t="n">
        <v>0.85</v>
      </c>
      <c r="H2342" s="118" t="n">
        <v>40.8</v>
      </c>
      <c r="I2342" s="119" t="n">
        <v>40742</v>
      </c>
    </row>
    <row r="2343">
      <c r="A2343" s="114" t="inlineStr">
        <is>
          <t>560360</t>
        </is>
      </c>
      <c r="B2343" s="114" t="n">
        <v>12744</v>
      </c>
      <c r="C2343" s="114" t="inlineStr">
        <is>
          <t>Singapore</t>
        </is>
      </c>
      <c r="D2343" s="114" t="inlineStr">
        <is>
          <t>23102</t>
        </is>
      </c>
      <c r="E2343" s="114" t="inlineStr">
        <is>
          <t>SILVER HEARTS TABLE DECORATION</t>
        </is>
      </c>
      <c r="F2343" s="114" t="n">
        <v>12</v>
      </c>
      <c r="G2343" s="115" t="n">
        <v>0.83</v>
      </c>
      <c r="H2343" s="115" t="n">
        <v>9.960000000000001</v>
      </c>
      <c r="I2343" s="116" t="n">
        <v>40742</v>
      </c>
    </row>
    <row r="2344">
      <c r="A2344" s="117" t="inlineStr">
        <is>
          <t>560364</t>
        </is>
      </c>
      <c r="B2344" s="117" t="n">
        <v>16705</v>
      </c>
      <c r="C2344" s="117" t="inlineStr">
        <is>
          <t>United Kingdom</t>
        </is>
      </c>
      <c r="D2344" s="117" t="inlineStr">
        <is>
          <t>22892</t>
        </is>
      </c>
      <c r="E2344" s="117" t="inlineStr">
        <is>
          <t>SET OF SALT AND PEPPER TOADSTOOLS</t>
        </is>
      </c>
      <c r="F2344" s="117" t="n">
        <v>24</v>
      </c>
      <c r="G2344" s="118" t="n">
        <v>1.25</v>
      </c>
      <c r="H2344" s="118" t="n">
        <v>30</v>
      </c>
      <c r="I2344" s="119" t="n">
        <v>40742</v>
      </c>
    </row>
    <row r="2345">
      <c r="A2345" s="114" t="inlineStr">
        <is>
          <t>560366</t>
        </is>
      </c>
      <c r="B2345" s="114" t="n">
        <v>16859</v>
      </c>
      <c r="C2345" s="114" t="inlineStr">
        <is>
          <t>United Kingdom</t>
        </is>
      </c>
      <c r="D2345" s="114" t="inlineStr">
        <is>
          <t>84946</t>
        </is>
      </c>
      <c r="E2345" s="114" t="inlineStr">
        <is>
          <t>ANTIQUE SILVER T-LIGHT GLASS</t>
        </is>
      </c>
      <c r="F2345" s="114" t="n">
        <v>12</v>
      </c>
      <c r="G2345" s="115" t="n">
        <v>1.25</v>
      </c>
      <c r="H2345" s="115" t="n">
        <v>15</v>
      </c>
      <c r="I2345" s="116" t="n">
        <v>40742</v>
      </c>
    </row>
    <row r="2346">
      <c r="A2346" s="117" t="inlineStr">
        <is>
          <t>560368</t>
        </is>
      </c>
      <c r="B2346" s="117" t="n">
        <v>17841</v>
      </c>
      <c r="C2346" s="117" t="inlineStr">
        <is>
          <t>United Kingdom</t>
        </is>
      </c>
      <c r="D2346" s="117" t="inlineStr">
        <is>
          <t>23144</t>
        </is>
      </c>
      <c r="E2346" s="117" t="inlineStr">
        <is>
          <t>ZINC T-LIGHT HOLDER STARS SMALL</t>
        </is>
      </c>
      <c r="F2346" s="117" t="n">
        <v>2</v>
      </c>
      <c r="G2346" s="118" t="n">
        <v>0.83</v>
      </c>
      <c r="H2346" s="118" t="n">
        <v>1.66</v>
      </c>
      <c r="I2346" s="119" t="n">
        <v>40742</v>
      </c>
    </row>
    <row r="2347">
      <c r="A2347" s="114" t="inlineStr">
        <is>
          <t>560383</t>
        </is>
      </c>
      <c r="B2347" s="114" t="n">
        <v>16762</v>
      </c>
      <c r="C2347" s="114" t="inlineStr">
        <is>
          <t>United Kingdom</t>
        </is>
      </c>
      <c r="D2347" s="114" t="inlineStr">
        <is>
          <t>22624</t>
        </is>
      </c>
      <c r="E2347" s="114" t="inlineStr">
        <is>
          <t>IVORY KITCHEN SCALES</t>
        </is>
      </c>
      <c r="F2347" s="114" t="n">
        <v>2</v>
      </c>
      <c r="G2347" s="115" t="n">
        <v>8.5</v>
      </c>
      <c r="H2347" s="115" t="n">
        <v>17</v>
      </c>
      <c r="I2347" s="116" t="n">
        <v>40742</v>
      </c>
    </row>
    <row r="2348">
      <c r="A2348" s="117" t="inlineStr">
        <is>
          <t>560393</t>
        </is>
      </c>
      <c r="B2348" s="117" t="n">
        <v>14808</v>
      </c>
      <c r="C2348" s="117" t="inlineStr">
        <is>
          <t>United Kingdom</t>
        </is>
      </c>
      <c r="D2348" s="117" t="inlineStr">
        <is>
          <t>23336</t>
        </is>
      </c>
      <c r="E2348" s="117" t="inlineStr">
        <is>
          <t xml:space="preserve">EGG FRYING PAN PINK </t>
        </is>
      </c>
      <c r="F2348" s="117" t="n">
        <v>1</v>
      </c>
      <c r="G2348" s="118" t="n">
        <v>2.08</v>
      </c>
      <c r="H2348" s="118" t="n">
        <v>2.08</v>
      </c>
      <c r="I2348" s="119" t="n">
        <v>40742</v>
      </c>
    </row>
    <row r="2349">
      <c r="A2349" s="114" t="inlineStr">
        <is>
          <t>560394</t>
        </is>
      </c>
      <c r="B2349" s="114" t="n">
        <v>14390</v>
      </c>
      <c r="C2349" s="114" t="inlineStr">
        <is>
          <t>United Kingdom</t>
        </is>
      </c>
      <c r="D2349" s="114" t="inlineStr">
        <is>
          <t>22556</t>
        </is>
      </c>
      <c r="E2349" s="114" t="inlineStr">
        <is>
          <t xml:space="preserve">PLASTERS IN TIN CIRCUS PARADE </t>
        </is>
      </c>
      <c r="F2349" s="114" t="n">
        <v>4</v>
      </c>
      <c r="G2349" s="115" t="n">
        <v>1.65</v>
      </c>
      <c r="H2349" s="115" t="n">
        <v>6.6</v>
      </c>
      <c r="I2349" s="116" t="n">
        <v>40742</v>
      </c>
    </row>
    <row r="2350">
      <c r="A2350" s="117" t="inlineStr">
        <is>
          <t>560444</t>
        </is>
      </c>
      <c r="B2350" s="117" t="n">
        <v>13764</v>
      </c>
      <c r="C2350" s="117" t="inlineStr">
        <is>
          <t>United Kingdom</t>
        </is>
      </c>
      <c r="D2350" s="117" t="inlineStr">
        <is>
          <t>21216</t>
        </is>
      </c>
      <c r="E2350" s="117" t="inlineStr">
        <is>
          <t>SET 3 RETROSPOT TEA,COFFEE,SUGAR</t>
        </is>
      </c>
      <c r="F2350" s="117" t="n">
        <v>1</v>
      </c>
      <c r="G2350" s="118" t="n">
        <v>4.95</v>
      </c>
      <c r="H2350" s="118" t="n">
        <v>4.95</v>
      </c>
      <c r="I2350" s="119" t="n">
        <v>40742</v>
      </c>
    </row>
    <row r="2351">
      <c r="A2351" s="114" t="inlineStr">
        <is>
          <t>560444</t>
        </is>
      </c>
      <c r="B2351" s="114" t="n">
        <v>13764</v>
      </c>
      <c r="C2351" s="114" t="inlineStr">
        <is>
          <t>United Kingdom</t>
        </is>
      </c>
      <c r="D2351" s="114" t="inlineStr">
        <is>
          <t>22098</t>
        </is>
      </c>
      <c r="E2351" s="114" t="inlineStr">
        <is>
          <t>BOUDOIR SQUARE TISSUE BOX</t>
        </is>
      </c>
      <c r="F2351" s="114" t="n">
        <v>4</v>
      </c>
      <c r="G2351" s="115" t="n">
        <v>0.39</v>
      </c>
      <c r="H2351" s="115" t="n">
        <v>1.56</v>
      </c>
      <c r="I2351" s="116" t="n">
        <v>40742</v>
      </c>
    </row>
    <row r="2352">
      <c r="A2352" s="117" t="inlineStr">
        <is>
          <t>560445</t>
        </is>
      </c>
      <c r="B2352" s="117" t="n">
        <v>14156</v>
      </c>
      <c r="C2352" s="117" t="inlineStr">
        <is>
          <t>EIRE</t>
        </is>
      </c>
      <c r="D2352" s="117" t="inlineStr">
        <is>
          <t>22671</t>
        </is>
      </c>
      <c r="E2352" s="117" t="inlineStr">
        <is>
          <t>FRENCH LAUNDRY SIGN BLUE METAL</t>
        </is>
      </c>
      <c r="F2352" s="117" t="n">
        <v>192</v>
      </c>
      <c r="G2352" s="118" t="n">
        <v>1.45</v>
      </c>
      <c r="H2352" s="118" t="n">
        <v>278.4</v>
      </c>
      <c r="I2352" s="119" t="n">
        <v>40743</v>
      </c>
    </row>
    <row r="2353">
      <c r="A2353" s="114" t="inlineStr">
        <is>
          <t>560445</t>
        </is>
      </c>
      <c r="B2353" s="114" t="n">
        <v>14156</v>
      </c>
      <c r="C2353" s="114" t="inlineStr">
        <is>
          <t>EIRE</t>
        </is>
      </c>
      <c r="D2353" s="114" t="inlineStr">
        <is>
          <t>22839</t>
        </is>
      </c>
      <c r="E2353" s="114" t="inlineStr">
        <is>
          <t>3 TIER CAKE TIN GREEN AND CREAM</t>
        </is>
      </c>
      <c r="F2353" s="114" t="n">
        <v>12</v>
      </c>
      <c r="G2353" s="115" t="n">
        <v>12.75</v>
      </c>
      <c r="H2353" s="115" t="n">
        <v>153</v>
      </c>
      <c r="I2353" s="116" t="n">
        <v>40743</v>
      </c>
    </row>
    <row r="2354">
      <c r="A2354" s="117" t="inlineStr">
        <is>
          <t>560445</t>
        </is>
      </c>
      <c r="B2354" s="117" t="n">
        <v>14156</v>
      </c>
      <c r="C2354" s="117" t="inlineStr">
        <is>
          <t>EIRE</t>
        </is>
      </c>
      <c r="D2354" s="117" t="inlineStr">
        <is>
          <t>21888</t>
        </is>
      </c>
      <c r="E2354" s="117" t="inlineStr">
        <is>
          <t>BINGO SET</t>
        </is>
      </c>
      <c r="F2354" s="117" t="n">
        <v>36</v>
      </c>
      <c r="G2354" s="118" t="n">
        <v>3.39</v>
      </c>
      <c r="H2354" s="118" t="n">
        <v>122.04</v>
      </c>
      <c r="I2354" s="119" t="n">
        <v>40743</v>
      </c>
    </row>
    <row r="2355">
      <c r="A2355" s="114" t="inlineStr">
        <is>
          <t>560448</t>
        </is>
      </c>
      <c r="B2355" s="114" t="n">
        <v>12840</v>
      </c>
      <c r="C2355" s="114" t="inlineStr">
        <is>
          <t>United Kingdom</t>
        </is>
      </c>
      <c r="D2355" s="114" t="inlineStr">
        <is>
          <t>22156</t>
        </is>
      </c>
      <c r="E2355" s="114" t="inlineStr">
        <is>
          <t xml:space="preserve">HEART DECORATION WITH PEARLS </t>
        </is>
      </c>
      <c r="F2355" s="114" t="n">
        <v>12</v>
      </c>
      <c r="G2355" s="115" t="n">
        <v>0.85</v>
      </c>
      <c r="H2355" s="115" t="n">
        <v>10.2</v>
      </c>
      <c r="I2355" s="116" t="n">
        <v>40743</v>
      </c>
    </row>
    <row r="2356">
      <c r="A2356" s="117" t="inlineStr">
        <is>
          <t>560448</t>
        </is>
      </c>
      <c r="B2356" s="117" t="n">
        <v>12840</v>
      </c>
      <c r="C2356" s="117" t="inlineStr">
        <is>
          <t>United Kingdom</t>
        </is>
      </c>
      <c r="D2356" s="117" t="inlineStr">
        <is>
          <t>20726</t>
        </is>
      </c>
      <c r="E2356" s="117" t="inlineStr">
        <is>
          <t>LUNCH BAG WOODLAND</t>
        </is>
      </c>
      <c r="F2356" s="117" t="n">
        <v>20</v>
      </c>
      <c r="G2356" s="118" t="n">
        <v>1.65</v>
      </c>
      <c r="H2356" s="118" t="n">
        <v>33</v>
      </c>
      <c r="I2356" s="119" t="n">
        <v>40743</v>
      </c>
    </row>
    <row r="2357">
      <c r="A2357" s="114" t="inlineStr">
        <is>
          <t>560453</t>
        </is>
      </c>
      <c r="B2357" s="114" t="n">
        <v>13209</v>
      </c>
      <c r="C2357" s="114" t="inlineStr">
        <is>
          <t>United Kingdom</t>
        </is>
      </c>
      <c r="D2357" s="114" t="inlineStr">
        <is>
          <t>62018</t>
        </is>
      </c>
      <c r="E2357" s="114" t="inlineStr">
        <is>
          <t xml:space="preserve">SOMBRERO </t>
        </is>
      </c>
      <c r="F2357" s="114" t="n">
        <v>6</v>
      </c>
      <c r="G2357" s="115" t="n">
        <v>1.95</v>
      </c>
      <c r="H2357" s="115" t="n">
        <v>11.7</v>
      </c>
      <c r="I2357" s="116" t="n">
        <v>40743</v>
      </c>
    </row>
    <row r="2358">
      <c r="A2358" s="117" t="inlineStr">
        <is>
          <t>560453</t>
        </is>
      </c>
      <c r="B2358" s="117" t="n">
        <v>13209</v>
      </c>
      <c r="C2358" s="117" t="inlineStr">
        <is>
          <t>United Kingdom</t>
        </is>
      </c>
      <c r="D2358" s="117" t="inlineStr">
        <is>
          <t>22714</t>
        </is>
      </c>
      <c r="E2358" s="117" t="inlineStr">
        <is>
          <t>CARD BIRTHDAY COWBOY</t>
        </is>
      </c>
      <c r="F2358" s="117" t="n">
        <v>12</v>
      </c>
      <c r="G2358" s="118" t="n">
        <v>0.42</v>
      </c>
      <c r="H2358" s="118" t="n">
        <v>5.04</v>
      </c>
      <c r="I2358" s="119" t="n">
        <v>40743</v>
      </c>
    </row>
    <row r="2359">
      <c r="A2359" s="114" t="inlineStr">
        <is>
          <t>560453</t>
        </is>
      </c>
      <c r="B2359" s="114" t="n">
        <v>13209</v>
      </c>
      <c r="C2359" s="114" t="inlineStr">
        <is>
          <t>United Kingdom</t>
        </is>
      </c>
      <c r="D2359" s="114" t="inlineStr">
        <is>
          <t>21530</t>
        </is>
      </c>
      <c r="E2359" s="114" t="inlineStr">
        <is>
          <t>DAIRY MAID TOASTRACK</t>
        </is>
      </c>
      <c r="F2359" s="114" t="n">
        <v>18</v>
      </c>
      <c r="G2359" s="115" t="n">
        <v>0.79</v>
      </c>
      <c r="H2359" s="115" t="n">
        <v>14.22</v>
      </c>
      <c r="I2359" s="116" t="n">
        <v>40743</v>
      </c>
    </row>
    <row r="2360">
      <c r="A2360" s="117" t="inlineStr">
        <is>
          <t>560454</t>
        </is>
      </c>
      <c r="B2360" s="117" t="n">
        <v>12947</v>
      </c>
      <c r="C2360" s="117" t="inlineStr">
        <is>
          <t>United Kingdom</t>
        </is>
      </c>
      <c r="D2360" s="117" t="inlineStr">
        <is>
          <t>22150</t>
        </is>
      </c>
      <c r="E2360" s="117" t="inlineStr">
        <is>
          <t>3 STRIPEY MICE FELTCRAFT</t>
        </is>
      </c>
      <c r="F2360" s="117" t="n">
        <v>12</v>
      </c>
      <c r="G2360" s="118" t="n">
        <v>1.95</v>
      </c>
      <c r="H2360" s="118" t="n">
        <v>23.4</v>
      </c>
      <c r="I2360" s="119" t="n">
        <v>40743</v>
      </c>
    </row>
    <row r="2361">
      <c r="A2361" s="114" t="inlineStr">
        <is>
          <t>560454</t>
        </is>
      </c>
      <c r="B2361" s="114" t="n">
        <v>12947</v>
      </c>
      <c r="C2361" s="114" t="inlineStr">
        <is>
          <t>United Kingdom</t>
        </is>
      </c>
      <c r="D2361" s="114" t="inlineStr">
        <is>
          <t>23209</t>
        </is>
      </c>
      <c r="E2361" s="114" t="inlineStr">
        <is>
          <t xml:space="preserve">LUNCH BAG DOILEY PATTERN </t>
        </is>
      </c>
      <c r="F2361" s="114" t="n">
        <v>10</v>
      </c>
      <c r="G2361" s="115" t="n">
        <v>1.65</v>
      </c>
      <c r="H2361" s="115" t="n">
        <v>16.5</v>
      </c>
      <c r="I2361" s="116" t="n">
        <v>40743</v>
      </c>
    </row>
    <row r="2362">
      <c r="A2362" s="117" t="inlineStr">
        <is>
          <t>560504</t>
        </is>
      </c>
      <c r="B2362" s="117" t="n">
        <v>13081</v>
      </c>
      <c r="C2362" s="117" t="inlineStr">
        <is>
          <t>United Kingdom</t>
        </is>
      </c>
      <c r="D2362" s="117" t="inlineStr">
        <is>
          <t>84692</t>
        </is>
      </c>
      <c r="E2362" s="117" t="inlineStr">
        <is>
          <t>BOX OF 24 COCKTAIL PARASOLS</t>
        </is>
      </c>
      <c r="F2362" s="117" t="n">
        <v>50</v>
      </c>
      <c r="G2362" s="118" t="n">
        <v>0.42</v>
      </c>
      <c r="H2362" s="118" t="n">
        <v>21</v>
      </c>
      <c r="I2362" s="119" t="n">
        <v>40743</v>
      </c>
    </row>
    <row r="2363">
      <c r="A2363" s="114" t="inlineStr">
        <is>
          <t>560537</t>
        </is>
      </c>
      <c r="B2363" s="114" t="n">
        <v>17779</v>
      </c>
      <c r="C2363" s="114" t="inlineStr">
        <is>
          <t>United Kingdom</t>
        </is>
      </c>
      <c r="D2363" s="114" t="inlineStr">
        <is>
          <t>20992</t>
        </is>
      </c>
      <c r="E2363" s="114" t="inlineStr">
        <is>
          <t>JAZZ HEARTS PURSE NOTEBOOK</t>
        </is>
      </c>
      <c r="F2363" s="114" t="n">
        <v>5</v>
      </c>
      <c r="G2363" s="115" t="n">
        <v>0.39</v>
      </c>
      <c r="H2363" s="115" t="n">
        <v>1.95</v>
      </c>
      <c r="I2363" s="116" t="n">
        <v>40743</v>
      </c>
    </row>
    <row r="2364">
      <c r="A2364" s="117" t="inlineStr">
        <is>
          <t>560555</t>
        </is>
      </c>
      <c r="B2364" s="117" t="n">
        <v>14178</v>
      </c>
      <c r="C2364" s="117" t="inlineStr">
        <is>
          <t>United Kingdom</t>
        </is>
      </c>
      <c r="D2364" s="117" t="inlineStr">
        <is>
          <t>21983</t>
        </is>
      </c>
      <c r="E2364" s="117" t="inlineStr">
        <is>
          <t xml:space="preserve">PACK OF 12 BLUE PAISLEY TISSUES </t>
        </is>
      </c>
      <c r="F2364" s="117" t="n">
        <v>2</v>
      </c>
      <c r="G2364" s="118" t="n">
        <v>0.29</v>
      </c>
      <c r="H2364" s="118" t="n">
        <v>0.58</v>
      </c>
      <c r="I2364" s="119" t="n">
        <v>40743</v>
      </c>
    </row>
    <row r="2365">
      <c r="A2365" s="114" t="inlineStr">
        <is>
          <t>560557</t>
        </is>
      </c>
      <c r="B2365" s="114" t="n">
        <v>18101</v>
      </c>
      <c r="C2365" s="114" t="inlineStr">
        <is>
          <t>United Kingdom</t>
        </is>
      </c>
      <c r="D2365" s="114" t="inlineStr">
        <is>
          <t>22101</t>
        </is>
      </c>
      <c r="E2365" s="114" t="inlineStr">
        <is>
          <t>MIRROR MOSAIC VOTIVE HOLDER</t>
        </is>
      </c>
      <c r="F2365" s="114" t="n">
        <v>6</v>
      </c>
      <c r="G2365" s="115" t="n">
        <v>2.1</v>
      </c>
      <c r="H2365" s="115" t="n">
        <v>12.6</v>
      </c>
      <c r="I2365" s="116" t="n">
        <v>40743</v>
      </c>
    </row>
    <row r="2366">
      <c r="A2366" s="117" t="inlineStr">
        <is>
          <t>560562</t>
        </is>
      </c>
      <c r="B2366" s="117" t="n">
        <v>15713</v>
      </c>
      <c r="C2366" s="117" t="inlineStr">
        <is>
          <t>United Kingdom</t>
        </is>
      </c>
      <c r="D2366" s="117" t="inlineStr">
        <is>
          <t>23118</t>
        </is>
      </c>
      <c r="E2366" s="117" t="inlineStr">
        <is>
          <t xml:space="preserve">PARISIENNE JEWELLERY DRAWER </t>
        </is>
      </c>
      <c r="F2366" s="117" t="n">
        <v>2</v>
      </c>
      <c r="G2366" s="118" t="n">
        <v>7.5</v>
      </c>
      <c r="H2366" s="118" t="n">
        <v>15</v>
      </c>
      <c r="I2366" s="119" t="n">
        <v>40743</v>
      </c>
    </row>
    <row r="2367">
      <c r="A2367" s="114" t="inlineStr">
        <is>
          <t>560566</t>
        </is>
      </c>
      <c r="B2367" s="114" t="n">
        <v>12662</v>
      </c>
      <c r="C2367" s="114" t="inlineStr">
        <is>
          <t>Germany</t>
        </is>
      </c>
      <c r="D2367" s="114" t="inlineStr">
        <is>
          <t>22745</t>
        </is>
      </c>
      <c r="E2367" s="114" t="inlineStr">
        <is>
          <t xml:space="preserve">POPPY'S PLAYHOUSE BEDROOM </t>
        </is>
      </c>
      <c r="F2367" s="114" t="n">
        <v>6</v>
      </c>
      <c r="G2367" s="115" t="n">
        <v>2.1</v>
      </c>
      <c r="H2367" s="115" t="n">
        <v>12.6</v>
      </c>
      <c r="I2367" s="116" t="n">
        <v>40743</v>
      </c>
    </row>
    <row r="2368">
      <c r="A2368" s="117" t="inlineStr">
        <is>
          <t>560568</t>
        </is>
      </c>
      <c r="B2368" s="117" t="n">
        <v>13895</v>
      </c>
      <c r="C2368" s="117" t="inlineStr">
        <is>
          <t>United Kingdom</t>
        </is>
      </c>
      <c r="D2368" s="117" t="inlineStr">
        <is>
          <t>20676</t>
        </is>
      </c>
      <c r="E2368" s="117" t="inlineStr">
        <is>
          <t>RED RETROSPOT BOWL</t>
        </is>
      </c>
      <c r="F2368" s="117" t="n">
        <v>8</v>
      </c>
      <c r="G2368" s="118" t="n">
        <v>1.25</v>
      </c>
      <c r="H2368" s="118" t="n">
        <v>10</v>
      </c>
      <c r="I2368" s="119" t="n">
        <v>40743</v>
      </c>
    </row>
    <row r="2369">
      <c r="A2369" s="114" t="inlineStr">
        <is>
          <t>560571</t>
        </is>
      </c>
      <c r="B2369" s="114" t="n">
        <v>17735</v>
      </c>
      <c r="C2369" s="114" t="inlineStr">
        <is>
          <t>United Kingdom</t>
        </is>
      </c>
      <c r="D2369" s="114" t="inlineStr">
        <is>
          <t>23294</t>
        </is>
      </c>
      <c r="E2369" s="114" t="inlineStr">
        <is>
          <t>SET OF 6 SNACK LOAF BAKING CASES</t>
        </is>
      </c>
      <c r="F2369" s="114" t="n">
        <v>8</v>
      </c>
      <c r="G2369" s="115" t="n">
        <v>0.83</v>
      </c>
      <c r="H2369" s="115" t="n">
        <v>6.64</v>
      </c>
      <c r="I2369" s="116" t="n">
        <v>40743</v>
      </c>
    </row>
    <row r="2370">
      <c r="A2370" s="117" t="inlineStr">
        <is>
          <t>560579</t>
        </is>
      </c>
      <c r="B2370" s="117" t="n">
        <v>15867</v>
      </c>
      <c r="C2370" s="117" t="inlineStr">
        <is>
          <t>United Kingdom</t>
        </is>
      </c>
      <c r="D2370" s="117" t="inlineStr">
        <is>
          <t>48138</t>
        </is>
      </c>
      <c r="E2370" s="117" t="inlineStr">
        <is>
          <t>DOORMAT UNION FLAG</t>
        </is>
      </c>
      <c r="F2370" s="117" t="n">
        <v>3</v>
      </c>
      <c r="G2370" s="118" t="n">
        <v>7.95</v>
      </c>
      <c r="H2370" s="118" t="n">
        <v>23.85</v>
      </c>
      <c r="I2370" s="119" t="n">
        <v>40743</v>
      </c>
    </row>
    <row r="2371">
      <c r="A2371" s="114" t="inlineStr">
        <is>
          <t>560580</t>
        </is>
      </c>
      <c r="B2371" s="114" t="n">
        <v>14088</v>
      </c>
      <c r="C2371" s="114" t="inlineStr">
        <is>
          <t>United Kingdom</t>
        </is>
      </c>
      <c r="D2371" s="114" t="inlineStr">
        <is>
          <t>82482</t>
        </is>
      </c>
      <c r="E2371" s="114" t="inlineStr">
        <is>
          <t>WOODEN PICTURE FRAME WHITE FINISH</t>
        </is>
      </c>
      <c r="F2371" s="114" t="n">
        <v>54</v>
      </c>
      <c r="G2371" s="115" t="n">
        <v>2.1</v>
      </c>
      <c r="H2371" s="115" t="n">
        <v>113.4</v>
      </c>
      <c r="I2371" s="116" t="n">
        <v>40743</v>
      </c>
    </row>
    <row r="2372">
      <c r="A2372" s="117" t="inlineStr">
        <is>
          <t>560584</t>
        </is>
      </c>
      <c r="B2372" s="117" t="n">
        <v>13827</v>
      </c>
      <c r="C2372" s="117" t="inlineStr">
        <is>
          <t>United Kingdom</t>
        </is>
      </c>
      <c r="D2372" s="117" t="inlineStr">
        <is>
          <t>22645</t>
        </is>
      </c>
      <c r="E2372" s="117" t="inlineStr">
        <is>
          <t>CERAMIC HEART FAIRY CAKE MONEY BANK</t>
        </is>
      </c>
      <c r="F2372" s="117" t="n">
        <v>1</v>
      </c>
      <c r="G2372" s="118" t="n">
        <v>1.45</v>
      </c>
      <c r="H2372" s="118" t="n">
        <v>1.45</v>
      </c>
      <c r="I2372" s="119" t="n">
        <v>40743</v>
      </c>
    </row>
    <row r="2373">
      <c r="A2373" s="114" t="inlineStr">
        <is>
          <t>560590</t>
        </is>
      </c>
      <c r="B2373" s="114" t="n">
        <v>12560</v>
      </c>
      <c r="C2373" s="114" t="inlineStr">
        <is>
          <t>Germany</t>
        </is>
      </c>
      <c r="D2373" s="114" t="inlineStr">
        <is>
          <t>22831</t>
        </is>
      </c>
      <c r="E2373" s="114" t="inlineStr">
        <is>
          <t>WHITE BROCANTE SOAP DISH</t>
        </is>
      </c>
      <c r="F2373" s="114" t="n">
        <v>6</v>
      </c>
      <c r="G2373" s="115" t="n">
        <v>2.95</v>
      </c>
      <c r="H2373" s="115" t="n">
        <v>17.7</v>
      </c>
      <c r="I2373" s="116" t="n">
        <v>40743</v>
      </c>
    </row>
    <row r="2374">
      <c r="A2374" s="117" t="inlineStr">
        <is>
          <t>560601</t>
        </is>
      </c>
      <c r="B2374" s="117" t="n">
        <v>16764</v>
      </c>
      <c r="C2374" s="117" t="inlineStr">
        <is>
          <t>United Kingdom</t>
        </is>
      </c>
      <c r="D2374" s="117" t="inlineStr">
        <is>
          <t>21981</t>
        </is>
      </c>
      <c r="E2374" s="117" t="inlineStr">
        <is>
          <t xml:space="preserve">PACK OF 12 WOODLAND TISSUES </t>
        </is>
      </c>
      <c r="F2374" s="117" t="n">
        <v>1</v>
      </c>
      <c r="G2374" s="118" t="n">
        <v>0.29</v>
      </c>
      <c r="H2374" s="118" t="n">
        <v>0.29</v>
      </c>
      <c r="I2374" s="119" t="n">
        <v>40743</v>
      </c>
    </row>
    <row r="2375">
      <c r="A2375" s="114" t="inlineStr">
        <is>
          <t>560605</t>
        </is>
      </c>
      <c r="B2375" s="114" t="n">
        <v>17306</v>
      </c>
      <c r="C2375" s="114" t="inlineStr">
        <is>
          <t>United Kingdom</t>
        </is>
      </c>
      <c r="D2375" s="114" t="inlineStr">
        <is>
          <t>22616</t>
        </is>
      </c>
      <c r="E2375" s="114" t="inlineStr">
        <is>
          <t xml:space="preserve">PACK OF 12 LONDON TISSUES </t>
        </is>
      </c>
      <c r="F2375" s="114" t="n">
        <v>432</v>
      </c>
      <c r="G2375" s="115" t="n">
        <v>0.25</v>
      </c>
      <c r="H2375" s="115" t="n">
        <v>108</v>
      </c>
      <c r="I2375" s="116" t="n">
        <v>40744</v>
      </c>
    </row>
    <row r="2376">
      <c r="A2376" s="117" t="inlineStr">
        <is>
          <t>560644</t>
        </is>
      </c>
      <c r="B2376" s="117" t="n">
        <v>16271</v>
      </c>
      <c r="C2376" s="117" t="inlineStr">
        <is>
          <t>United Kingdom</t>
        </is>
      </c>
      <c r="D2376" s="117" t="inlineStr">
        <is>
          <t>84987</t>
        </is>
      </c>
      <c r="E2376" s="117" t="inlineStr">
        <is>
          <t>SET OF 36 TEATIME PAPER DOILIES</t>
        </is>
      </c>
      <c r="F2376" s="117" t="n">
        <v>6</v>
      </c>
      <c r="G2376" s="118" t="n">
        <v>1.45</v>
      </c>
      <c r="H2376" s="118" t="n">
        <v>8.699999999999999</v>
      </c>
      <c r="I2376" s="119" t="n">
        <v>40744</v>
      </c>
    </row>
    <row r="2377">
      <c r="A2377" s="114" t="inlineStr">
        <is>
          <t>560648</t>
        </is>
      </c>
      <c r="B2377" s="114" t="n">
        <v>18102</v>
      </c>
      <c r="C2377" s="114" t="inlineStr">
        <is>
          <t>United Kingdom</t>
        </is>
      </c>
      <c r="D2377" s="114" t="inlineStr">
        <is>
          <t>22507</t>
        </is>
      </c>
      <c r="E2377" s="114" t="inlineStr">
        <is>
          <t>MEMO BOARD RETROSPOT  DESIGN</t>
        </is>
      </c>
      <c r="F2377" s="114" t="n">
        <v>25</v>
      </c>
      <c r="G2377" s="115" t="n">
        <v>3.91</v>
      </c>
      <c r="H2377" s="115" t="n">
        <v>97.75</v>
      </c>
      <c r="I2377" s="116" t="n">
        <v>40744</v>
      </c>
    </row>
    <row r="2378">
      <c r="A2378" s="117" t="inlineStr">
        <is>
          <t>560650</t>
        </is>
      </c>
      <c r="B2378" s="117" t="n">
        <v>15529</v>
      </c>
      <c r="C2378" s="117" t="inlineStr">
        <is>
          <t>United Kingdom</t>
        </is>
      </c>
      <c r="D2378" s="117" t="inlineStr">
        <is>
          <t>23310</t>
        </is>
      </c>
      <c r="E2378" s="117" t="inlineStr">
        <is>
          <t>BUBBLEGUM RING ASSORTED</t>
        </is>
      </c>
      <c r="F2378" s="117" t="n">
        <v>36</v>
      </c>
      <c r="G2378" s="118" t="n">
        <v>0.42</v>
      </c>
      <c r="H2378" s="118" t="n">
        <v>15.12</v>
      </c>
      <c r="I2378" s="119" t="n">
        <v>40744</v>
      </c>
    </row>
    <row r="2379">
      <c r="A2379" s="114" t="inlineStr">
        <is>
          <t>560650</t>
        </is>
      </c>
      <c r="B2379" s="114" t="n">
        <v>15529</v>
      </c>
      <c r="C2379" s="114" t="inlineStr">
        <is>
          <t>United Kingdom</t>
        </is>
      </c>
      <c r="D2379" s="114" t="inlineStr">
        <is>
          <t>22030</t>
        </is>
      </c>
      <c r="E2379" s="114" t="inlineStr">
        <is>
          <t>SWALLOWS GREETING CARD</t>
        </is>
      </c>
      <c r="F2379" s="114" t="n">
        <v>12</v>
      </c>
      <c r="G2379" s="115" t="n">
        <v>0.42</v>
      </c>
      <c r="H2379" s="115" t="n">
        <v>5.04</v>
      </c>
      <c r="I2379" s="116" t="n">
        <v>40744</v>
      </c>
    </row>
    <row r="2380">
      <c r="A2380" s="117" t="inlineStr">
        <is>
          <t>560686</t>
        </is>
      </c>
      <c r="B2380" s="117" t="n">
        <v>15632</v>
      </c>
      <c r="C2380" s="117" t="inlineStr">
        <is>
          <t>United Kingdom</t>
        </is>
      </c>
      <c r="D2380" s="117" t="inlineStr">
        <is>
          <t>23294</t>
        </is>
      </c>
      <c r="E2380" s="117" t="inlineStr">
        <is>
          <t>SET OF 6 SNACK LOAF BAKING CASES</t>
        </is>
      </c>
      <c r="F2380" s="117" t="n">
        <v>8</v>
      </c>
      <c r="G2380" s="118" t="n">
        <v>0.83</v>
      </c>
      <c r="H2380" s="118" t="n">
        <v>6.64</v>
      </c>
      <c r="I2380" s="119" t="n">
        <v>40744</v>
      </c>
    </row>
    <row r="2381">
      <c r="A2381" s="114" t="inlineStr">
        <is>
          <t>560691</t>
        </is>
      </c>
      <c r="B2381" s="114" t="n">
        <v>13136</v>
      </c>
      <c r="C2381" s="114" t="inlineStr">
        <is>
          <t>United Kingdom</t>
        </is>
      </c>
      <c r="D2381" s="114" t="inlineStr">
        <is>
          <t>23201</t>
        </is>
      </c>
      <c r="E2381" s="114" t="inlineStr">
        <is>
          <t>JUMBO BAG ALPHABET</t>
        </is>
      </c>
      <c r="F2381" s="114" t="n">
        <v>10</v>
      </c>
      <c r="G2381" s="115" t="n">
        <v>2.08</v>
      </c>
      <c r="H2381" s="115" t="n">
        <v>20.8</v>
      </c>
      <c r="I2381" s="116" t="n">
        <v>40744</v>
      </c>
    </row>
    <row r="2382">
      <c r="A2382" s="117" t="inlineStr">
        <is>
          <t>560691</t>
        </is>
      </c>
      <c r="B2382" s="117" t="n">
        <v>13136</v>
      </c>
      <c r="C2382" s="117" t="inlineStr">
        <is>
          <t>United Kingdom</t>
        </is>
      </c>
      <c r="D2382" s="117" t="inlineStr">
        <is>
          <t>85099F</t>
        </is>
      </c>
      <c r="E2382" s="117" t="inlineStr">
        <is>
          <t>JUMBO BAG STRAWBERRY</t>
        </is>
      </c>
      <c r="F2382" s="117" t="n">
        <v>10</v>
      </c>
      <c r="G2382" s="118" t="n">
        <v>2.08</v>
      </c>
      <c r="H2382" s="118" t="n">
        <v>20.8</v>
      </c>
      <c r="I2382" s="119" t="n">
        <v>40744</v>
      </c>
    </row>
    <row r="2383">
      <c r="A2383" s="114" t="inlineStr">
        <is>
          <t>560694</t>
        </is>
      </c>
      <c r="B2383" s="114" t="n">
        <v>12757</v>
      </c>
      <c r="C2383" s="114" t="inlineStr">
        <is>
          <t>Portugal</t>
        </is>
      </c>
      <c r="D2383" s="114" t="inlineStr">
        <is>
          <t>21929</t>
        </is>
      </c>
      <c r="E2383" s="114" t="inlineStr">
        <is>
          <t>JUMBO BAG PINK VINTAGE PAISLEY</t>
        </is>
      </c>
      <c r="F2383" s="114" t="n">
        <v>20</v>
      </c>
      <c r="G2383" s="115" t="n">
        <v>2.08</v>
      </c>
      <c r="H2383" s="115" t="n">
        <v>41.6</v>
      </c>
      <c r="I2383" s="116" t="n">
        <v>40744</v>
      </c>
    </row>
    <row r="2384">
      <c r="A2384" s="117" t="inlineStr">
        <is>
          <t>560697</t>
        </is>
      </c>
      <c r="B2384" s="117" t="n">
        <v>14401</v>
      </c>
      <c r="C2384" s="117" t="inlineStr">
        <is>
          <t>United Kingdom</t>
        </is>
      </c>
      <c r="D2384" s="117" t="inlineStr">
        <is>
          <t>21159</t>
        </is>
      </c>
      <c r="E2384" s="117" t="inlineStr">
        <is>
          <t xml:space="preserve">MOODY BOY  DOOR HANGER </t>
        </is>
      </c>
      <c r="F2384" s="117" t="n">
        <v>24</v>
      </c>
      <c r="G2384" s="118" t="n">
        <v>0.39</v>
      </c>
      <c r="H2384" s="118" t="n">
        <v>9.359999999999999</v>
      </c>
      <c r="I2384" s="119" t="n">
        <v>40744</v>
      </c>
    </row>
    <row r="2385">
      <c r="A2385" s="114" t="inlineStr">
        <is>
          <t>560724</t>
        </is>
      </c>
      <c r="B2385" s="114" t="n">
        <v>16186</v>
      </c>
      <c r="C2385" s="114" t="inlineStr">
        <is>
          <t>United Kingdom</t>
        </is>
      </c>
      <c r="D2385" s="114" t="inlineStr">
        <is>
          <t>22983</t>
        </is>
      </c>
      <c r="E2385" s="114" t="inlineStr">
        <is>
          <t>CARD BILLBOARD FONT</t>
        </is>
      </c>
      <c r="F2385" s="114" t="n">
        <v>12</v>
      </c>
      <c r="G2385" s="115" t="n">
        <v>0.42</v>
      </c>
      <c r="H2385" s="115" t="n">
        <v>5.04</v>
      </c>
      <c r="I2385" s="116" t="n">
        <v>40744</v>
      </c>
    </row>
    <row r="2386">
      <c r="A2386" s="117" t="inlineStr">
        <is>
          <t>560726</t>
        </is>
      </c>
      <c r="B2386" s="117" t="n">
        <v>17962</v>
      </c>
      <c r="C2386" s="117" t="inlineStr">
        <is>
          <t>United Kingdom</t>
        </is>
      </c>
      <c r="D2386" s="117" t="inlineStr">
        <is>
          <t>85032C</t>
        </is>
      </c>
      <c r="E2386" s="117" t="inlineStr">
        <is>
          <t>CURIOUS IMAGES GIFT WRAP SET</t>
        </is>
      </c>
      <c r="F2386" s="117" t="n">
        <v>1</v>
      </c>
      <c r="G2386" s="118" t="n">
        <v>0.65</v>
      </c>
      <c r="H2386" s="118" t="n">
        <v>0.65</v>
      </c>
      <c r="I2386" s="119" t="n">
        <v>40744</v>
      </c>
    </row>
    <row r="2387">
      <c r="A2387" s="114" t="inlineStr">
        <is>
          <t>560732</t>
        </is>
      </c>
      <c r="B2387" s="114" t="n">
        <v>14056</v>
      </c>
      <c r="C2387" s="114" t="inlineStr">
        <is>
          <t>United Kingdom</t>
        </is>
      </c>
      <c r="D2387" s="114" t="inlineStr">
        <is>
          <t>20725</t>
        </is>
      </c>
      <c r="E2387" s="114" t="inlineStr">
        <is>
          <t>LUNCH BAG RED RETROSPOT</t>
        </is>
      </c>
      <c r="F2387" s="114" t="n">
        <v>1</v>
      </c>
      <c r="G2387" s="115" t="n">
        <v>1.65</v>
      </c>
      <c r="H2387" s="115" t="n">
        <v>1.65</v>
      </c>
      <c r="I2387" s="116" t="n">
        <v>40744</v>
      </c>
    </row>
    <row r="2388">
      <c r="A2388" s="117" t="inlineStr">
        <is>
          <t>560732</t>
        </is>
      </c>
      <c r="B2388" s="117" t="n">
        <v>14056</v>
      </c>
      <c r="C2388" s="117" t="inlineStr">
        <is>
          <t>United Kingdom</t>
        </is>
      </c>
      <c r="D2388" s="117" t="inlineStr">
        <is>
          <t>22853</t>
        </is>
      </c>
      <c r="E2388" s="117" t="inlineStr">
        <is>
          <t>CAT BOWL VINTAGE CREAM</t>
        </is>
      </c>
      <c r="F2388" s="117" t="n">
        <v>2</v>
      </c>
      <c r="G2388" s="118" t="n">
        <v>3.25</v>
      </c>
      <c r="H2388" s="118" t="n">
        <v>6.5</v>
      </c>
      <c r="I2388" s="119" t="n">
        <v>40744</v>
      </c>
    </row>
    <row r="2389">
      <c r="A2389" s="114" t="inlineStr">
        <is>
          <t>560742</t>
        </is>
      </c>
      <c r="B2389" s="114" t="n">
        <v>14755</v>
      </c>
      <c r="C2389" s="114" t="inlineStr">
        <is>
          <t>United Kingdom</t>
        </is>
      </c>
      <c r="D2389" s="114" t="inlineStr">
        <is>
          <t>23065</t>
        </is>
      </c>
      <c r="E2389" s="114" t="inlineStr">
        <is>
          <t>LARGE DECO JEWELLERY STAND</t>
        </is>
      </c>
      <c r="F2389" s="114" t="n">
        <v>2</v>
      </c>
      <c r="G2389" s="115" t="n">
        <v>12.5</v>
      </c>
      <c r="H2389" s="115" t="n">
        <v>25</v>
      </c>
      <c r="I2389" s="116" t="n">
        <v>40744</v>
      </c>
    </row>
    <row r="2390">
      <c r="A2390" s="117" t="inlineStr">
        <is>
          <t>560790</t>
        </is>
      </c>
      <c r="B2390" s="117" t="n">
        <v>14051</v>
      </c>
      <c r="C2390" s="117" t="inlineStr">
        <is>
          <t>United Kingdom</t>
        </is>
      </c>
      <c r="D2390" s="117" t="inlineStr">
        <is>
          <t>21523</t>
        </is>
      </c>
      <c r="E2390" s="117" t="inlineStr">
        <is>
          <t>DOORMAT FANCY FONT HOME SWEET HOME</t>
        </is>
      </c>
      <c r="F2390" s="117" t="n">
        <v>20</v>
      </c>
      <c r="G2390" s="118" t="n">
        <v>6.75</v>
      </c>
      <c r="H2390" s="118" t="n">
        <v>135</v>
      </c>
      <c r="I2390" s="119" t="n">
        <v>40745</v>
      </c>
    </row>
    <row r="2391">
      <c r="A2391" s="114" t="inlineStr">
        <is>
          <t>560829</t>
        </is>
      </c>
      <c r="B2391" s="114" t="n">
        <v>17694</v>
      </c>
      <c r="C2391" s="114" t="inlineStr">
        <is>
          <t>United Kingdom</t>
        </is>
      </c>
      <c r="D2391" s="114" t="inlineStr">
        <is>
          <t>21065</t>
        </is>
      </c>
      <c r="E2391" s="114" t="inlineStr">
        <is>
          <t>BOOM BOX SPEAKER GIRLS</t>
        </is>
      </c>
      <c r="F2391" s="114" t="n">
        <v>4</v>
      </c>
      <c r="G2391" s="115" t="n">
        <v>5.95</v>
      </c>
      <c r="H2391" s="115" t="n">
        <v>23.8</v>
      </c>
      <c r="I2391" s="116" t="n">
        <v>40745</v>
      </c>
    </row>
    <row r="2392">
      <c r="A2392" s="117" t="inlineStr">
        <is>
          <t>560833</t>
        </is>
      </c>
      <c r="B2392" s="117" t="n">
        <v>16891</v>
      </c>
      <c r="C2392" s="117" t="inlineStr">
        <is>
          <t>United Kingdom</t>
        </is>
      </c>
      <c r="D2392" s="117" t="inlineStr">
        <is>
          <t>23146</t>
        </is>
      </c>
      <c r="E2392" s="117" t="inlineStr">
        <is>
          <t>TRIPLE HOOK ANTIQUE IVORY ROSE</t>
        </is>
      </c>
      <c r="F2392" s="117" t="n">
        <v>2</v>
      </c>
      <c r="G2392" s="118" t="n">
        <v>3.29</v>
      </c>
      <c r="H2392" s="118" t="n">
        <v>6.58</v>
      </c>
      <c r="I2392" s="119" t="n">
        <v>40745</v>
      </c>
    </row>
    <row r="2393">
      <c r="A2393" s="114" t="inlineStr">
        <is>
          <t>560845</t>
        </is>
      </c>
      <c r="B2393" s="114" t="n">
        <v>15570</v>
      </c>
      <c r="C2393" s="114" t="inlineStr">
        <is>
          <t>United Kingdom</t>
        </is>
      </c>
      <c r="D2393" s="114" t="inlineStr">
        <is>
          <t>84755</t>
        </is>
      </c>
      <c r="E2393" s="114" t="inlineStr">
        <is>
          <t>COLOUR GLASS T-LIGHT HOLDER HANGING</t>
        </is>
      </c>
      <c r="F2393" s="114" t="n">
        <v>16</v>
      </c>
      <c r="G2393" s="115" t="n">
        <v>0.65</v>
      </c>
      <c r="H2393" s="115" t="n">
        <v>10.4</v>
      </c>
      <c r="I2393" s="116" t="n">
        <v>40745</v>
      </c>
    </row>
    <row r="2394">
      <c r="A2394" s="117" t="inlineStr">
        <is>
          <t>560853</t>
        </is>
      </c>
      <c r="B2394" s="117" t="n">
        <v>15311</v>
      </c>
      <c r="C2394" s="117" t="inlineStr">
        <is>
          <t>United Kingdom</t>
        </is>
      </c>
      <c r="D2394" s="117" t="inlineStr">
        <is>
          <t>23182</t>
        </is>
      </c>
      <c r="E2394" s="117" t="inlineStr">
        <is>
          <t>TOILET SIGN OCCUPIED OR VACANT</t>
        </is>
      </c>
      <c r="F2394" s="117" t="n">
        <v>5</v>
      </c>
      <c r="G2394" s="118" t="n">
        <v>0.83</v>
      </c>
      <c r="H2394" s="118" t="n">
        <v>4.15</v>
      </c>
      <c r="I2394" s="119" t="n">
        <v>40745</v>
      </c>
    </row>
    <row r="2395">
      <c r="A2395" s="114" t="inlineStr">
        <is>
          <t>560861</t>
        </is>
      </c>
      <c r="B2395" s="114" t="n">
        <v>17660</v>
      </c>
      <c r="C2395" s="114" t="inlineStr">
        <is>
          <t>United Kingdom</t>
        </is>
      </c>
      <c r="D2395" s="114" t="inlineStr">
        <is>
          <t>21820</t>
        </is>
      </c>
      <c r="E2395" s="114" t="inlineStr">
        <is>
          <t xml:space="preserve">GLITTER HEART GARLAND WITH BELLS </t>
        </is>
      </c>
      <c r="F2395" s="114" t="n">
        <v>1</v>
      </c>
      <c r="G2395" s="115" t="n">
        <v>3.75</v>
      </c>
      <c r="H2395" s="115" t="n">
        <v>3.75</v>
      </c>
      <c r="I2395" s="116" t="n">
        <v>40745</v>
      </c>
    </row>
    <row r="2396">
      <c r="A2396" s="117" t="inlineStr">
        <is>
          <t>560868</t>
        </is>
      </c>
      <c r="B2396" s="117" t="n">
        <v>14866</v>
      </c>
      <c r="C2396" s="117" t="inlineStr">
        <is>
          <t>United Kingdom</t>
        </is>
      </c>
      <c r="D2396" s="117" t="inlineStr">
        <is>
          <t>23081</t>
        </is>
      </c>
      <c r="E2396" s="117" t="inlineStr">
        <is>
          <t>GREEN METAL BOX ARMY SUPPLIES</t>
        </is>
      </c>
      <c r="F2396" s="117" t="n">
        <v>1</v>
      </c>
      <c r="G2396" s="118" t="n">
        <v>8.25</v>
      </c>
      <c r="H2396" s="118" t="n">
        <v>8.25</v>
      </c>
      <c r="I2396" s="119" t="n">
        <v>40745</v>
      </c>
    </row>
    <row r="2397">
      <c r="A2397" s="114" t="inlineStr">
        <is>
          <t>560878</t>
        </is>
      </c>
      <c r="B2397" s="114" t="n">
        <v>14410</v>
      </c>
      <c r="C2397" s="114" t="inlineStr">
        <is>
          <t>United Kingdom</t>
        </is>
      </c>
      <c r="D2397" s="114" t="inlineStr">
        <is>
          <t>22652</t>
        </is>
      </c>
      <c r="E2397" s="114" t="inlineStr">
        <is>
          <t>TRAVEL SEWING KIT</t>
        </is>
      </c>
      <c r="F2397" s="114" t="n">
        <v>2</v>
      </c>
      <c r="G2397" s="115" t="n">
        <v>1.65</v>
      </c>
      <c r="H2397" s="115" t="n">
        <v>3.3</v>
      </c>
      <c r="I2397" s="116" t="n">
        <v>40745</v>
      </c>
    </row>
    <row r="2398">
      <c r="A2398" s="117" t="inlineStr">
        <is>
          <t>560881</t>
        </is>
      </c>
      <c r="B2398" s="117" t="n">
        <v>17965</v>
      </c>
      <c r="C2398" s="117" t="inlineStr">
        <is>
          <t>United Kingdom</t>
        </is>
      </c>
      <c r="D2398" s="117" t="inlineStr">
        <is>
          <t>23052</t>
        </is>
      </c>
      <c r="E2398" s="117" t="inlineStr">
        <is>
          <t>RECYCLED ACAPULCO MAT TURQUOISE</t>
        </is>
      </c>
      <c r="F2398" s="117" t="n">
        <v>1</v>
      </c>
      <c r="G2398" s="118" t="n">
        <v>8.25</v>
      </c>
      <c r="H2398" s="118" t="n">
        <v>8.25</v>
      </c>
      <c r="I2398" s="119" t="n">
        <v>40745</v>
      </c>
    </row>
    <row r="2399">
      <c r="A2399" s="114" t="inlineStr">
        <is>
          <t>560918</t>
        </is>
      </c>
      <c r="B2399" s="114" t="n">
        <v>14849</v>
      </c>
      <c r="C2399" s="114" t="inlineStr">
        <is>
          <t>United Kingdom</t>
        </is>
      </c>
      <c r="D2399" s="114" t="inlineStr">
        <is>
          <t>22665</t>
        </is>
      </c>
      <c r="E2399" s="114" t="inlineStr">
        <is>
          <t>RECIPE BOX BLUE SKETCHBOOK DESIGN</t>
        </is>
      </c>
      <c r="F2399" s="114" t="n">
        <v>6</v>
      </c>
      <c r="G2399" s="115" t="n">
        <v>2.95</v>
      </c>
      <c r="H2399" s="115" t="n">
        <v>17.7</v>
      </c>
      <c r="I2399" s="116" t="n">
        <v>40745</v>
      </c>
    </row>
    <row r="2400">
      <c r="A2400" s="117" t="inlineStr">
        <is>
          <t>560921</t>
        </is>
      </c>
      <c r="B2400" s="117" t="n">
        <v>16224</v>
      </c>
      <c r="C2400" s="117" t="inlineStr">
        <is>
          <t>United Kingdom</t>
        </is>
      </c>
      <c r="D2400" s="117" t="inlineStr">
        <is>
          <t>23275</t>
        </is>
      </c>
      <c r="E2400" s="117" t="inlineStr">
        <is>
          <t>SET OF 3 HANGING OWLS OLLIE BEAK</t>
        </is>
      </c>
      <c r="F2400" s="117" t="n">
        <v>12</v>
      </c>
      <c r="G2400" s="118" t="n">
        <v>1.25</v>
      </c>
      <c r="H2400" s="118" t="n">
        <v>15</v>
      </c>
      <c r="I2400" s="119" t="n">
        <v>40745</v>
      </c>
    </row>
    <row r="2401">
      <c r="A2401" s="114" t="inlineStr">
        <is>
          <t>560928</t>
        </is>
      </c>
      <c r="B2401" s="114" t="n">
        <v>14852</v>
      </c>
      <c r="C2401" s="114" t="inlineStr">
        <is>
          <t>United Kingdom</t>
        </is>
      </c>
      <c r="D2401" s="114" t="inlineStr">
        <is>
          <t>23147</t>
        </is>
      </c>
      <c r="E2401" s="114" t="inlineStr">
        <is>
          <t>SINGLE ANTIQUE ROSE HOOK IVORY</t>
        </is>
      </c>
      <c r="F2401" s="114" t="n">
        <v>12</v>
      </c>
      <c r="G2401" s="115" t="n">
        <v>1.45</v>
      </c>
      <c r="H2401" s="115" t="n">
        <v>17.4</v>
      </c>
      <c r="I2401" s="116" t="n">
        <v>40746</v>
      </c>
    </row>
    <row r="2402">
      <c r="A2402" s="117" t="inlineStr">
        <is>
          <t>560930</t>
        </is>
      </c>
      <c r="B2402" s="117" t="n">
        <v>15829</v>
      </c>
      <c r="C2402" s="117" t="inlineStr">
        <is>
          <t>United Kingdom</t>
        </is>
      </c>
      <c r="D2402" s="117" t="inlineStr">
        <is>
          <t>21703</t>
        </is>
      </c>
      <c r="E2402" s="117" t="inlineStr">
        <is>
          <t>BAG 125g SWIRLY MARBLES</t>
        </is>
      </c>
      <c r="F2402" s="117" t="n">
        <v>12</v>
      </c>
      <c r="G2402" s="118" t="n">
        <v>0.42</v>
      </c>
      <c r="H2402" s="118" t="n">
        <v>5.04</v>
      </c>
      <c r="I2402" s="119" t="n">
        <v>40746</v>
      </c>
    </row>
    <row r="2403">
      <c r="A2403" s="114" t="inlineStr">
        <is>
          <t>560942</t>
        </is>
      </c>
      <c r="B2403" s="114" t="n">
        <v>15005</v>
      </c>
      <c r="C2403" s="114" t="inlineStr">
        <is>
          <t>United Kingdom</t>
        </is>
      </c>
      <c r="D2403" s="114" t="inlineStr">
        <is>
          <t>20725</t>
        </is>
      </c>
      <c r="E2403" s="114" t="inlineStr">
        <is>
          <t>LUNCH BAG RED RETROSPOT</t>
        </is>
      </c>
      <c r="F2403" s="114" t="n">
        <v>2</v>
      </c>
      <c r="G2403" s="115" t="n">
        <v>1.65</v>
      </c>
      <c r="H2403" s="115" t="n">
        <v>3.3</v>
      </c>
      <c r="I2403" s="116" t="n">
        <v>40746</v>
      </c>
    </row>
    <row r="2404">
      <c r="A2404" s="117" t="inlineStr">
        <is>
          <t>560979</t>
        </is>
      </c>
      <c r="B2404" s="117" t="n">
        <v>15232</v>
      </c>
      <c r="C2404" s="117" t="inlineStr">
        <is>
          <t>United Kingdom</t>
        </is>
      </c>
      <c r="D2404" s="117" t="inlineStr">
        <is>
          <t>84876D</t>
        </is>
      </c>
      <c r="E2404" s="117" t="inlineStr">
        <is>
          <t>BLUE HEART COMPACT MIRROR</t>
        </is>
      </c>
      <c r="F2404" s="117" t="n">
        <v>24</v>
      </c>
      <c r="G2404" s="118" t="n">
        <v>1.25</v>
      </c>
      <c r="H2404" s="118" t="n">
        <v>30</v>
      </c>
      <c r="I2404" s="119" t="n">
        <v>40746</v>
      </c>
    </row>
    <row r="2405">
      <c r="A2405" s="114" t="inlineStr">
        <is>
          <t>560989</t>
        </is>
      </c>
      <c r="B2405" s="114" t="n">
        <v>15704</v>
      </c>
      <c r="C2405" s="114" t="inlineStr">
        <is>
          <t>United Kingdom</t>
        </is>
      </c>
      <c r="D2405" s="114" t="inlineStr">
        <is>
          <t>23201</t>
        </is>
      </c>
      <c r="E2405" s="114" t="inlineStr">
        <is>
          <t>JUMBO BAG ALPHABET</t>
        </is>
      </c>
      <c r="F2405" s="114" t="n">
        <v>8</v>
      </c>
      <c r="G2405" s="115" t="n">
        <v>2.08</v>
      </c>
      <c r="H2405" s="115" t="n">
        <v>16.64</v>
      </c>
      <c r="I2405" s="116" t="n">
        <v>40746</v>
      </c>
    </row>
    <row r="2406">
      <c r="A2406" s="117" t="inlineStr">
        <is>
          <t>560991</t>
        </is>
      </c>
      <c r="B2406" s="117" t="n">
        <v>12438</v>
      </c>
      <c r="C2406" s="117" t="inlineStr">
        <is>
          <t>Norway</t>
        </is>
      </c>
      <c r="D2406" s="117" t="inlineStr">
        <is>
          <t>22635</t>
        </is>
      </c>
      <c r="E2406" s="117" t="inlineStr">
        <is>
          <t xml:space="preserve">CHILDS BREAKFAST SET DOLLY GIRL </t>
        </is>
      </c>
      <c r="F2406" s="117" t="n">
        <v>2</v>
      </c>
      <c r="G2406" s="118" t="n">
        <v>9.949999999999999</v>
      </c>
      <c r="H2406" s="118" t="n">
        <v>19.9</v>
      </c>
      <c r="I2406" s="119" t="n">
        <v>40746</v>
      </c>
    </row>
    <row r="2407">
      <c r="A2407" s="114" t="inlineStr">
        <is>
          <t>560996</t>
        </is>
      </c>
      <c r="B2407" s="114" t="n">
        <v>17625</v>
      </c>
      <c r="C2407" s="114" t="inlineStr">
        <is>
          <t>United Kingdom</t>
        </is>
      </c>
      <c r="D2407" s="114" t="inlineStr">
        <is>
          <t>21975</t>
        </is>
      </c>
      <c r="E2407" s="114" t="inlineStr">
        <is>
          <t>PACK OF 60 DINOSAUR CAKE CASES</t>
        </is>
      </c>
      <c r="F2407" s="114" t="n">
        <v>3</v>
      </c>
      <c r="G2407" s="115" t="n">
        <v>0.55</v>
      </c>
      <c r="H2407" s="115" t="n">
        <v>1.65</v>
      </c>
      <c r="I2407" s="116" t="n">
        <v>40746</v>
      </c>
    </row>
    <row r="2408">
      <c r="A2408" s="117" t="inlineStr">
        <is>
          <t>560996</t>
        </is>
      </c>
      <c r="B2408" s="117" t="n">
        <v>17625</v>
      </c>
      <c r="C2408" s="117" t="inlineStr">
        <is>
          <t>United Kingdom</t>
        </is>
      </c>
      <c r="D2408" s="117" t="inlineStr">
        <is>
          <t>21500</t>
        </is>
      </c>
      <c r="E2408" s="117" t="inlineStr">
        <is>
          <t xml:space="preserve">PINK POLKADOT WRAP </t>
        </is>
      </c>
      <c r="F2408" s="117" t="n">
        <v>25</v>
      </c>
      <c r="G2408" s="118" t="n">
        <v>0.42</v>
      </c>
      <c r="H2408" s="118" t="n">
        <v>10.5</v>
      </c>
      <c r="I2408" s="119" t="n">
        <v>40746</v>
      </c>
    </row>
    <row r="2409">
      <c r="A2409" s="114" t="inlineStr">
        <is>
          <t>561007</t>
        </is>
      </c>
      <c r="B2409" s="114" t="n">
        <v>15640</v>
      </c>
      <c r="C2409" s="114" t="inlineStr">
        <is>
          <t>United Kingdom</t>
        </is>
      </c>
      <c r="D2409" s="114" t="inlineStr">
        <is>
          <t>21928</t>
        </is>
      </c>
      <c r="E2409" s="114" t="inlineStr">
        <is>
          <t>JUMBO BAG SCANDINAVIAN BLUE PAISLEY</t>
        </is>
      </c>
      <c r="F2409" s="114" t="n">
        <v>10</v>
      </c>
      <c r="G2409" s="115" t="n">
        <v>2.08</v>
      </c>
      <c r="H2409" s="115" t="n">
        <v>20.8</v>
      </c>
      <c r="I2409" s="116" t="n">
        <v>40746</v>
      </c>
    </row>
    <row r="2410">
      <c r="A2410" s="117" t="inlineStr">
        <is>
          <t>561007</t>
        </is>
      </c>
      <c r="B2410" s="117" t="n">
        <v>15640</v>
      </c>
      <c r="C2410" s="117" t="inlineStr">
        <is>
          <t>United Kingdom</t>
        </is>
      </c>
      <c r="D2410" s="117" t="inlineStr">
        <is>
          <t>23120</t>
        </is>
      </c>
      <c r="E2410" s="117" t="inlineStr">
        <is>
          <t>PACK OF 6 SMALL FRUIT STRAWS</t>
        </is>
      </c>
      <c r="F2410" s="117" t="n">
        <v>24</v>
      </c>
      <c r="G2410" s="118" t="n">
        <v>0.42</v>
      </c>
      <c r="H2410" s="118" t="n">
        <v>10.08</v>
      </c>
      <c r="I2410" s="119" t="n">
        <v>40746</v>
      </c>
    </row>
    <row r="2411">
      <c r="A2411" s="114" t="inlineStr">
        <is>
          <t>561009</t>
        </is>
      </c>
      <c r="B2411" s="114" t="n">
        <v>15856</v>
      </c>
      <c r="C2411" s="114" t="inlineStr">
        <is>
          <t>United Kingdom</t>
        </is>
      </c>
      <c r="D2411" s="114" t="inlineStr">
        <is>
          <t>16161P</t>
        </is>
      </c>
      <c r="E2411" s="114" t="inlineStr">
        <is>
          <t xml:space="preserve">WRAP ENGLISH ROSE </t>
        </is>
      </c>
      <c r="F2411" s="114" t="n">
        <v>25</v>
      </c>
      <c r="G2411" s="115" t="n">
        <v>0.42</v>
      </c>
      <c r="H2411" s="115" t="n">
        <v>10.5</v>
      </c>
      <c r="I2411" s="116" t="n">
        <v>40746</v>
      </c>
    </row>
    <row r="2412">
      <c r="A2412" s="117" t="inlineStr">
        <is>
          <t>561020</t>
        </is>
      </c>
      <c r="B2412" s="117" t="n">
        <v>13563</v>
      </c>
      <c r="C2412" s="117" t="inlineStr">
        <is>
          <t>United Kingdom</t>
        </is>
      </c>
      <c r="D2412" s="117" t="inlineStr">
        <is>
          <t>21361</t>
        </is>
      </c>
      <c r="E2412" s="117" t="inlineStr">
        <is>
          <t xml:space="preserve">LOVE LARGE WOOD LETTERS </t>
        </is>
      </c>
      <c r="F2412" s="117" t="n">
        <v>1</v>
      </c>
      <c r="G2412" s="118" t="n">
        <v>12.75</v>
      </c>
      <c r="H2412" s="118" t="n">
        <v>12.75</v>
      </c>
      <c r="I2412" s="119" t="n">
        <v>40746</v>
      </c>
    </row>
    <row r="2413">
      <c r="A2413" s="114" t="inlineStr">
        <is>
          <t>561020</t>
        </is>
      </c>
      <c r="B2413" s="114" t="n">
        <v>13563</v>
      </c>
      <c r="C2413" s="114" t="inlineStr">
        <is>
          <t>United Kingdom</t>
        </is>
      </c>
      <c r="D2413" s="114" t="inlineStr">
        <is>
          <t>21899</t>
        </is>
      </c>
      <c r="E2413" s="114" t="inlineStr">
        <is>
          <t>GARAGE KEY FOB</t>
        </is>
      </c>
      <c r="F2413" s="114" t="n">
        <v>1</v>
      </c>
      <c r="G2413" s="115" t="n">
        <v>0.65</v>
      </c>
      <c r="H2413" s="115" t="n">
        <v>0.65</v>
      </c>
      <c r="I2413" s="116" t="n">
        <v>40746</v>
      </c>
    </row>
    <row r="2414">
      <c r="A2414" s="117" t="inlineStr">
        <is>
          <t>561027</t>
        </is>
      </c>
      <c r="B2414" s="117" t="n">
        <v>13802</v>
      </c>
      <c r="C2414" s="117" t="inlineStr">
        <is>
          <t>United Kingdom</t>
        </is>
      </c>
      <c r="D2414" s="117" t="inlineStr">
        <is>
          <t>22139</t>
        </is>
      </c>
      <c r="E2414" s="117" t="inlineStr">
        <is>
          <t xml:space="preserve">RETROSPOT TEA SET CERAMIC 11 PC </t>
        </is>
      </c>
      <c r="F2414" s="117" t="n">
        <v>24</v>
      </c>
      <c r="G2414" s="118" t="n">
        <v>4.25</v>
      </c>
      <c r="H2414" s="118" t="n">
        <v>102</v>
      </c>
      <c r="I2414" s="119" t="n">
        <v>40748</v>
      </c>
    </row>
    <row r="2415">
      <c r="A2415" s="114" t="inlineStr">
        <is>
          <t>561036</t>
        </is>
      </c>
      <c r="B2415" s="114" t="n">
        <v>13137</v>
      </c>
      <c r="C2415" s="114" t="inlineStr">
        <is>
          <t>United Kingdom</t>
        </is>
      </c>
      <c r="D2415" s="114" t="inlineStr">
        <is>
          <t>21672</t>
        </is>
      </c>
      <c r="E2415" s="114" t="inlineStr">
        <is>
          <t>WHITE SPOT RED CERAMIC DRAWER KNOB</t>
        </is>
      </c>
      <c r="F2415" s="114" t="n">
        <v>4</v>
      </c>
      <c r="G2415" s="115" t="n">
        <v>1.25</v>
      </c>
      <c r="H2415" s="115" t="n">
        <v>5</v>
      </c>
      <c r="I2415" s="116" t="n">
        <v>40748</v>
      </c>
    </row>
    <row r="2416">
      <c r="A2416" s="117" t="inlineStr">
        <is>
          <t>561037</t>
        </is>
      </c>
      <c r="B2416" s="117" t="n">
        <v>12472</v>
      </c>
      <c r="C2416" s="117" t="inlineStr">
        <is>
          <t>Germany</t>
        </is>
      </c>
      <c r="D2416" s="117" t="inlineStr">
        <is>
          <t>23035</t>
        </is>
      </c>
      <c r="E2416" s="117" t="inlineStr">
        <is>
          <t>DRAWER KNOB CERAMIC IVORY</t>
        </is>
      </c>
      <c r="F2416" s="117" t="n">
        <v>6</v>
      </c>
      <c r="G2416" s="118" t="n">
        <v>1.45</v>
      </c>
      <c r="H2416" s="118" t="n">
        <v>8.699999999999999</v>
      </c>
      <c r="I2416" s="119" t="n">
        <v>40748</v>
      </c>
    </row>
    <row r="2417">
      <c r="A2417" s="114" t="inlineStr">
        <is>
          <t>561039</t>
        </is>
      </c>
      <c r="B2417" s="114" t="n">
        <v>16525</v>
      </c>
      <c r="C2417" s="114" t="inlineStr">
        <is>
          <t>United Kingdom</t>
        </is>
      </c>
      <c r="D2417" s="114" t="inlineStr">
        <is>
          <t>21155</t>
        </is>
      </c>
      <c r="E2417" s="114" t="inlineStr">
        <is>
          <t>RED RETROSPOT PEG BAG</t>
        </is>
      </c>
      <c r="F2417" s="114" t="n">
        <v>6</v>
      </c>
      <c r="G2417" s="115" t="n">
        <v>2.55</v>
      </c>
      <c r="H2417" s="115" t="n">
        <v>15.3</v>
      </c>
      <c r="I2417" s="116" t="n">
        <v>40748</v>
      </c>
    </row>
    <row r="2418">
      <c r="A2418" s="117" t="inlineStr">
        <is>
          <t>561040</t>
        </is>
      </c>
      <c r="B2418" s="117" t="n">
        <v>12431</v>
      </c>
      <c r="C2418" s="117" t="inlineStr">
        <is>
          <t>Australia</t>
        </is>
      </c>
      <c r="D2418" s="117" t="inlineStr">
        <is>
          <t>21731</t>
        </is>
      </c>
      <c r="E2418" s="117" t="inlineStr">
        <is>
          <t>RED TOADSTOOL LED NIGHT LIGHT</t>
        </is>
      </c>
      <c r="F2418" s="117" t="n">
        <v>24</v>
      </c>
      <c r="G2418" s="118" t="n">
        <v>1.65</v>
      </c>
      <c r="H2418" s="118" t="n">
        <v>39.6</v>
      </c>
      <c r="I2418" s="119" t="n">
        <v>40748</v>
      </c>
    </row>
    <row r="2419">
      <c r="A2419" s="114" t="inlineStr">
        <is>
          <t>561043</t>
        </is>
      </c>
      <c r="B2419" s="114" t="n">
        <v>15708</v>
      </c>
      <c r="C2419" s="114" t="inlineStr">
        <is>
          <t>United Kingdom</t>
        </is>
      </c>
      <c r="D2419" s="114" t="inlineStr">
        <is>
          <t>21385</t>
        </is>
      </c>
      <c r="E2419" s="114" t="inlineStr">
        <is>
          <t>IVORY HANGING DECORATION  HEART</t>
        </is>
      </c>
      <c r="F2419" s="114" t="n">
        <v>24</v>
      </c>
      <c r="G2419" s="115" t="n">
        <v>0.85</v>
      </c>
      <c r="H2419" s="115" t="n">
        <v>20.4</v>
      </c>
      <c r="I2419" s="116" t="n">
        <v>40748</v>
      </c>
    </row>
    <row r="2420">
      <c r="A2420" s="117" t="inlineStr">
        <is>
          <t>561047</t>
        </is>
      </c>
      <c r="B2420" s="117" t="n">
        <v>16948</v>
      </c>
      <c r="C2420" s="117" t="inlineStr">
        <is>
          <t>United Kingdom</t>
        </is>
      </c>
      <c r="D2420" s="117" t="inlineStr">
        <is>
          <t>21988</t>
        </is>
      </c>
      <c r="E2420" s="117" t="inlineStr">
        <is>
          <t>PACK OF 6 SKULL PAPER PLATES</t>
        </is>
      </c>
      <c r="F2420" s="117" t="n">
        <v>12</v>
      </c>
      <c r="G2420" s="118" t="n">
        <v>0.85</v>
      </c>
      <c r="H2420" s="118" t="n">
        <v>10.2</v>
      </c>
      <c r="I2420" s="119" t="n">
        <v>40748</v>
      </c>
    </row>
    <row r="2421">
      <c r="A2421" s="114" t="inlineStr">
        <is>
          <t>561054</t>
        </is>
      </c>
      <c r="B2421" s="114" t="n">
        <v>18229</v>
      </c>
      <c r="C2421" s="114" t="inlineStr">
        <is>
          <t>United Kingdom</t>
        </is>
      </c>
      <c r="D2421" s="114" t="inlineStr">
        <is>
          <t>20728</t>
        </is>
      </c>
      <c r="E2421" s="114" t="inlineStr">
        <is>
          <t>LUNCH BAG CARS BLUE</t>
        </is>
      </c>
      <c r="F2421" s="114" t="n">
        <v>20</v>
      </c>
      <c r="G2421" s="115" t="n">
        <v>1.65</v>
      </c>
      <c r="H2421" s="115" t="n">
        <v>33</v>
      </c>
      <c r="I2421" s="116" t="n">
        <v>40748</v>
      </c>
    </row>
    <row r="2422">
      <c r="A2422" s="117" t="inlineStr">
        <is>
          <t>561066</t>
        </is>
      </c>
      <c r="B2422" s="117" t="n">
        <v>16710</v>
      </c>
      <c r="C2422" s="117" t="inlineStr">
        <is>
          <t>United Kingdom</t>
        </is>
      </c>
      <c r="D2422" s="117" t="inlineStr">
        <is>
          <t>23156</t>
        </is>
      </c>
      <c r="E2422" s="117" t="inlineStr">
        <is>
          <t>SET OF 5 MINI GROCERY MAGNETS</t>
        </is>
      </c>
      <c r="F2422" s="117" t="n">
        <v>1</v>
      </c>
      <c r="G2422" s="118" t="n">
        <v>2.08</v>
      </c>
      <c r="H2422" s="118" t="n">
        <v>2.08</v>
      </c>
      <c r="I2422" s="119" t="n">
        <v>40748</v>
      </c>
    </row>
    <row r="2423">
      <c r="A2423" s="114" t="inlineStr">
        <is>
          <t>561066</t>
        </is>
      </c>
      <c r="B2423" s="114" t="n">
        <v>16710</v>
      </c>
      <c r="C2423" s="114" t="inlineStr">
        <is>
          <t>United Kingdom</t>
        </is>
      </c>
      <c r="D2423" s="114" t="inlineStr">
        <is>
          <t>22900</t>
        </is>
      </c>
      <c r="E2423" s="114" t="inlineStr">
        <is>
          <t xml:space="preserve">SET 2 TEA TOWELS I LOVE LONDON </t>
        </is>
      </c>
      <c r="F2423" s="114" t="n">
        <v>2</v>
      </c>
      <c r="G2423" s="115" t="n">
        <v>3.25</v>
      </c>
      <c r="H2423" s="115" t="n">
        <v>6.5</v>
      </c>
      <c r="I2423" s="116" t="n">
        <v>40748</v>
      </c>
    </row>
    <row r="2424">
      <c r="A2424" s="117" t="inlineStr">
        <is>
          <t>561073</t>
        </is>
      </c>
      <c r="B2424" s="117" t="n">
        <v>13408</v>
      </c>
      <c r="C2424" s="117" t="inlineStr">
        <is>
          <t>United Kingdom</t>
        </is>
      </c>
      <c r="D2424" s="117" t="inlineStr">
        <is>
          <t>23245</t>
        </is>
      </c>
      <c r="E2424" s="117" t="inlineStr">
        <is>
          <t>SET OF 3 REGENCY CAKE TINS</t>
        </is>
      </c>
      <c r="F2424" s="117" t="n">
        <v>16</v>
      </c>
      <c r="G2424" s="118" t="n">
        <v>4.15</v>
      </c>
      <c r="H2424" s="118" t="n">
        <v>66.40000000000001</v>
      </c>
      <c r="I2424" s="119" t="n">
        <v>40748</v>
      </c>
    </row>
    <row r="2425">
      <c r="A2425" s="114" t="inlineStr">
        <is>
          <t>561076</t>
        </is>
      </c>
      <c r="B2425" s="114" t="n">
        <v>17696</v>
      </c>
      <c r="C2425" s="114" t="inlineStr">
        <is>
          <t>United Kingdom</t>
        </is>
      </c>
      <c r="D2425" s="114" t="inlineStr">
        <is>
          <t>22924</t>
        </is>
      </c>
      <c r="E2425" s="114" t="inlineStr">
        <is>
          <t>FRIDGE MAGNETS LA VIE EN ROSE</t>
        </is>
      </c>
      <c r="F2425" s="114" t="n">
        <v>24</v>
      </c>
      <c r="G2425" s="115" t="n">
        <v>0.85</v>
      </c>
      <c r="H2425" s="115" t="n">
        <v>20.4</v>
      </c>
      <c r="I2425" s="116" t="n">
        <v>40748</v>
      </c>
    </row>
    <row r="2426">
      <c r="A2426" s="117" t="inlineStr">
        <is>
          <t>561076</t>
        </is>
      </c>
      <c r="B2426" s="117" t="n">
        <v>17696</v>
      </c>
      <c r="C2426" s="117" t="inlineStr">
        <is>
          <t>United Kingdom</t>
        </is>
      </c>
      <c r="D2426" s="117" t="inlineStr">
        <is>
          <t>23173</t>
        </is>
      </c>
      <c r="E2426" s="117" t="inlineStr">
        <is>
          <t xml:space="preserve">REGENCY TEAPOT ROSES </t>
        </is>
      </c>
      <c r="F2426" s="117" t="n">
        <v>6</v>
      </c>
      <c r="G2426" s="118" t="n">
        <v>9.949999999999999</v>
      </c>
      <c r="H2426" s="118" t="n">
        <v>59.7</v>
      </c>
      <c r="I2426" s="119" t="n">
        <v>40748</v>
      </c>
    </row>
    <row r="2427">
      <c r="A2427" s="114" t="inlineStr">
        <is>
          <t>561077</t>
        </is>
      </c>
      <c r="B2427" s="114" t="n">
        <v>17649</v>
      </c>
      <c r="C2427" s="114" t="inlineStr">
        <is>
          <t>United Kingdom</t>
        </is>
      </c>
      <c r="D2427" s="114" t="inlineStr">
        <is>
          <t>23236</t>
        </is>
      </c>
      <c r="E2427" s="114" t="inlineStr">
        <is>
          <t>DOILEY STORAGE TIN</t>
        </is>
      </c>
      <c r="F2427" s="114" t="n">
        <v>6</v>
      </c>
      <c r="G2427" s="115" t="n">
        <v>2.89</v>
      </c>
      <c r="H2427" s="115" t="n">
        <v>17.34</v>
      </c>
      <c r="I2427" s="116" t="n">
        <v>40748</v>
      </c>
    </row>
    <row r="2428">
      <c r="A2428" s="117" t="inlineStr">
        <is>
          <t>561079</t>
        </is>
      </c>
      <c r="B2428" s="117" t="n">
        <v>13956</v>
      </c>
      <c r="C2428" s="117" t="inlineStr">
        <is>
          <t>United Kingdom</t>
        </is>
      </c>
      <c r="D2428" s="117" t="inlineStr">
        <is>
          <t>21819</t>
        </is>
      </c>
      <c r="E2428" s="117" t="inlineStr">
        <is>
          <t xml:space="preserve">GLITTER CHRISTMAS STAR </t>
        </is>
      </c>
      <c r="F2428" s="117" t="n">
        <v>4</v>
      </c>
      <c r="G2428" s="118" t="n">
        <v>0.85</v>
      </c>
      <c r="H2428" s="118" t="n">
        <v>3.4</v>
      </c>
      <c r="I2428" s="119" t="n">
        <v>40748</v>
      </c>
    </row>
    <row r="2429">
      <c r="A2429" s="114" t="inlineStr">
        <is>
          <t>561085</t>
        </is>
      </c>
      <c r="B2429" s="114" t="n">
        <v>14367</v>
      </c>
      <c r="C2429" s="114" t="inlineStr">
        <is>
          <t>United Kingdom</t>
        </is>
      </c>
      <c r="D2429" s="114" t="inlineStr">
        <is>
          <t>21928</t>
        </is>
      </c>
      <c r="E2429" s="114" t="inlineStr">
        <is>
          <t>JUMBO BAG SCANDINAVIAN BLUE PAISLEY</t>
        </is>
      </c>
      <c r="F2429" s="114" t="n">
        <v>10</v>
      </c>
      <c r="G2429" s="115" t="n">
        <v>2.08</v>
      </c>
      <c r="H2429" s="115" t="n">
        <v>20.8</v>
      </c>
      <c r="I2429" s="116" t="n">
        <v>40749</v>
      </c>
    </row>
    <row r="2430">
      <c r="A2430" s="117" t="inlineStr">
        <is>
          <t>561085</t>
        </is>
      </c>
      <c r="B2430" s="117" t="n">
        <v>14367</v>
      </c>
      <c r="C2430" s="117" t="inlineStr">
        <is>
          <t>United Kingdom</t>
        </is>
      </c>
      <c r="D2430" s="117" t="inlineStr">
        <is>
          <t>84978</t>
        </is>
      </c>
      <c r="E2430" s="117" t="inlineStr">
        <is>
          <t>HANGING HEART JAR T-LIGHT HOLDER</t>
        </is>
      </c>
      <c r="F2430" s="117" t="n">
        <v>12</v>
      </c>
      <c r="G2430" s="118" t="n">
        <v>1.25</v>
      </c>
      <c r="H2430" s="118" t="n">
        <v>15</v>
      </c>
      <c r="I2430" s="119" t="n">
        <v>40749</v>
      </c>
    </row>
    <row r="2431">
      <c r="A2431" s="114" t="inlineStr">
        <is>
          <t>561087</t>
        </is>
      </c>
      <c r="B2431" s="114" t="n">
        <v>15144</v>
      </c>
      <c r="C2431" s="114" t="inlineStr">
        <is>
          <t>United Kingdom</t>
        </is>
      </c>
      <c r="D2431" s="114" t="inlineStr">
        <is>
          <t>22961</t>
        </is>
      </c>
      <c r="E2431" s="114" t="inlineStr">
        <is>
          <t>JAM MAKING SET PRINTED</t>
        </is>
      </c>
      <c r="F2431" s="114" t="n">
        <v>12</v>
      </c>
      <c r="G2431" s="115" t="n">
        <v>1.45</v>
      </c>
      <c r="H2431" s="115" t="n">
        <v>17.4</v>
      </c>
      <c r="I2431" s="116" t="n">
        <v>40749</v>
      </c>
    </row>
    <row r="2432">
      <c r="A2432" s="117" t="inlineStr">
        <is>
          <t>561093</t>
        </is>
      </c>
      <c r="B2432" s="117" t="n">
        <v>12540</v>
      </c>
      <c r="C2432" s="117" t="inlineStr">
        <is>
          <t>Spain</t>
        </is>
      </c>
      <c r="D2432" s="117" t="inlineStr">
        <is>
          <t>16236</t>
        </is>
      </c>
      <c r="E2432" s="117" t="inlineStr">
        <is>
          <t>KITTY PENCIL ERASERS</t>
        </is>
      </c>
      <c r="F2432" s="117" t="n">
        <v>28</v>
      </c>
      <c r="G2432" s="118" t="n">
        <v>0.21</v>
      </c>
      <c r="H2432" s="118" t="n">
        <v>5.88</v>
      </c>
      <c r="I2432" s="119" t="n">
        <v>40749</v>
      </c>
    </row>
    <row r="2433">
      <c r="A2433" s="114" t="inlineStr">
        <is>
          <t>561113</t>
        </is>
      </c>
      <c r="B2433" s="114" t="n">
        <v>17841</v>
      </c>
      <c r="C2433" s="114" t="inlineStr">
        <is>
          <t>United Kingdom</t>
        </is>
      </c>
      <c r="D2433" s="114" t="inlineStr">
        <is>
          <t>23207</t>
        </is>
      </c>
      <c r="E2433" s="114" t="inlineStr">
        <is>
          <t>LUNCH BAG ALPHABET DESIGN</t>
        </is>
      </c>
      <c r="F2433" s="114" t="n">
        <v>1</v>
      </c>
      <c r="G2433" s="115" t="n">
        <v>1.65</v>
      </c>
      <c r="H2433" s="115" t="n">
        <v>1.65</v>
      </c>
      <c r="I2433" s="116" t="n">
        <v>40749</v>
      </c>
    </row>
    <row r="2434">
      <c r="A2434" s="117" t="inlineStr">
        <is>
          <t>561113</t>
        </is>
      </c>
      <c r="B2434" s="117" t="n">
        <v>17841</v>
      </c>
      <c r="C2434" s="117" t="inlineStr">
        <is>
          <t>United Kingdom</t>
        </is>
      </c>
      <c r="D2434" s="117" t="inlineStr">
        <is>
          <t>22753</t>
        </is>
      </c>
      <c r="E2434" s="117" t="inlineStr">
        <is>
          <t xml:space="preserve">SMALL YELLOW BABUSHKA NOTEBOOK </t>
        </is>
      </c>
      <c r="F2434" s="117" t="n">
        <v>1</v>
      </c>
      <c r="G2434" s="118" t="n">
        <v>0.85</v>
      </c>
      <c r="H2434" s="118" t="n">
        <v>0.85</v>
      </c>
      <c r="I2434" s="119" t="n">
        <v>40749</v>
      </c>
    </row>
    <row r="2435">
      <c r="A2435" s="114" t="inlineStr">
        <is>
          <t>561189</t>
        </is>
      </c>
      <c r="B2435" s="114" t="n">
        <v>16557</v>
      </c>
      <c r="C2435" s="114" t="inlineStr">
        <is>
          <t>United Kingdom</t>
        </is>
      </c>
      <c r="D2435" s="114" t="inlineStr">
        <is>
          <t>23020</t>
        </is>
      </c>
      <c r="E2435" s="114" t="inlineStr">
        <is>
          <t>GLASS  SONGBIRD STORAGE JAR</t>
        </is>
      </c>
      <c r="F2435" s="114" t="n">
        <v>2</v>
      </c>
      <c r="G2435" s="115" t="n">
        <v>12.5</v>
      </c>
      <c r="H2435" s="115" t="n">
        <v>25</v>
      </c>
      <c r="I2435" s="116" t="n">
        <v>40749</v>
      </c>
    </row>
    <row r="2436">
      <c r="A2436" s="117" t="inlineStr">
        <is>
          <t>561195</t>
        </is>
      </c>
      <c r="B2436" s="117" t="n">
        <v>14796</v>
      </c>
      <c r="C2436" s="117" t="inlineStr">
        <is>
          <t>United Kingdom</t>
        </is>
      </c>
      <c r="D2436" s="117" t="inlineStr">
        <is>
          <t>22417</t>
        </is>
      </c>
      <c r="E2436" s="117" t="inlineStr">
        <is>
          <t>PACK OF 60 SPACEBOY CAKE CASES</t>
        </is>
      </c>
      <c r="F2436" s="117" t="n">
        <v>2</v>
      </c>
      <c r="G2436" s="118" t="n">
        <v>0.55</v>
      </c>
      <c r="H2436" s="118" t="n">
        <v>1.1</v>
      </c>
      <c r="I2436" s="119" t="n">
        <v>40749</v>
      </c>
    </row>
    <row r="2437">
      <c r="A2437" s="114" t="inlineStr">
        <is>
          <t>561197</t>
        </is>
      </c>
      <c r="B2437" s="114" t="n">
        <v>16364</v>
      </c>
      <c r="C2437" s="114" t="inlineStr">
        <is>
          <t>United Kingdom</t>
        </is>
      </c>
      <c r="D2437" s="114" t="inlineStr">
        <is>
          <t>22107</t>
        </is>
      </c>
      <c r="E2437" s="114" t="inlineStr">
        <is>
          <t>PIZZA PLATE IN BOX</t>
        </is>
      </c>
      <c r="F2437" s="114" t="n">
        <v>4</v>
      </c>
      <c r="G2437" s="115" t="n">
        <v>3.75</v>
      </c>
      <c r="H2437" s="115" t="n">
        <v>15</v>
      </c>
      <c r="I2437" s="116" t="n">
        <v>40749</v>
      </c>
    </row>
    <row r="2438">
      <c r="A2438" s="117" t="inlineStr">
        <is>
          <t>561208</t>
        </is>
      </c>
      <c r="B2438" s="117" t="n">
        <v>15372</v>
      </c>
      <c r="C2438" s="117" t="inlineStr">
        <is>
          <t>United Kingdom</t>
        </is>
      </c>
      <c r="D2438" s="117" t="inlineStr">
        <is>
          <t>22356</t>
        </is>
      </c>
      <c r="E2438" s="117" t="inlineStr">
        <is>
          <t>CHARLOTTE BAG PINK POLKADOT</t>
        </is>
      </c>
      <c r="F2438" s="117" t="n">
        <v>100</v>
      </c>
      <c r="G2438" s="118" t="n">
        <v>0.72</v>
      </c>
      <c r="H2438" s="118" t="n">
        <v>72</v>
      </c>
      <c r="I2438" s="119" t="n">
        <v>40749</v>
      </c>
    </row>
    <row r="2439">
      <c r="A2439" s="114" t="inlineStr">
        <is>
          <t>561219</t>
        </is>
      </c>
      <c r="B2439" s="114" t="n">
        <v>18180</v>
      </c>
      <c r="C2439" s="114" t="inlineStr">
        <is>
          <t>United Kingdom</t>
        </is>
      </c>
      <c r="D2439" s="114" t="inlineStr">
        <is>
          <t>22561</t>
        </is>
      </c>
      <c r="E2439" s="114" t="inlineStr">
        <is>
          <t>WOODEN SCHOOL COLOURING SET</t>
        </is>
      </c>
      <c r="F2439" s="114" t="n">
        <v>12</v>
      </c>
      <c r="G2439" s="115" t="n">
        <v>1.65</v>
      </c>
      <c r="H2439" s="115" t="n">
        <v>19.8</v>
      </c>
      <c r="I2439" s="116" t="n">
        <v>40750</v>
      </c>
    </row>
    <row r="2440">
      <c r="A2440" s="117" t="inlineStr">
        <is>
          <t>561219</t>
        </is>
      </c>
      <c r="B2440" s="117" t="n">
        <v>18180</v>
      </c>
      <c r="C2440" s="117" t="inlineStr">
        <is>
          <t>United Kingdom</t>
        </is>
      </c>
      <c r="D2440" s="117" t="inlineStr">
        <is>
          <t>23192</t>
        </is>
      </c>
      <c r="E2440" s="117" t="inlineStr">
        <is>
          <t>BUNDLE OF 3 ALPHABET EXERCISE BOOKS</t>
        </is>
      </c>
      <c r="F2440" s="117" t="n">
        <v>12</v>
      </c>
      <c r="G2440" s="118" t="n">
        <v>1.65</v>
      </c>
      <c r="H2440" s="118" t="n">
        <v>19.8</v>
      </c>
      <c r="I2440" s="119" t="n">
        <v>40750</v>
      </c>
    </row>
    <row r="2441">
      <c r="A2441" s="114" t="inlineStr">
        <is>
          <t>561221</t>
        </is>
      </c>
      <c r="B2441" s="114" t="n">
        <v>15281</v>
      </c>
      <c r="C2441" s="114" t="inlineStr">
        <is>
          <t>United Kingdom</t>
        </is>
      </c>
      <c r="D2441" s="114" t="inlineStr">
        <is>
          <t>23245</t>
        </is>
      </c>
      <c r="E2441" s="114" t="inlineStr">
        <is>
          <t>SET OF 3 REGENCY CAKE TINS</t>
        </is>
      </c>
      <c r="F2441" s="114" t="n">
        <v>4</v>
      </c>
      <c r="G2441" s="115" t="n">
        <v>4.95</v>
      </c>
      <c r="H2441" s="115" t="n">
        <v>19.8</v>
      </c>
      <c r="I2441" s="116" t="n">
        <v>40750</v>
      </c>
    </row>
    <row r="2442">
      <c r="A2442" s="117" t="inlineStr">
        <is>
          <t>561222</t>
        </is>
      </c>
      <c r="B2442" s="117" t="n">
        <v>13588</v>
      </c>
      <c r="C2442" s="117" t="inlineStr">
        <is>
          <t>United Kingdom</t>
        </is>
      </c>
      <c r="D2442" s="117" t="inlineStr">
        <is>
          <t>21497</t>
        </is>
      </c>
      <c r="E2442" s="117" t="inlineStr">
        <is>
          <t>FANCY FONTS BIRTHDAY WRAP</t>
        </is>
      </c>
      <c r="F2442" s="117" t="n">
        <v>25</v>
      </c>
      <c r="G2442" s="118" t="n">
        <v>0.42</v>
      </c>
      <c r="H2442" s="118" t="n">
        <v>10.5</v>
      </c>
      <c r="I2442" s="119" t="n">
        <v>40750</v>
      </c>
    </row>
    <row r="2443">
      <c r="A2443" s="114" t="inlineStr">
        <is>
          <t>561222</t>
        </is>
      </c>
      <c r="B2443" s="114" t="n">
        <v>13588</v>
      </c>
      <c r="C2443" s="114" t="inlineStr">
        <is>
          <t>United Kingdom</t>
        </is>
      </c>
      <c r="D2443" s="114" t="inlineStr">
        <is>
          <t>21428</t>
        </is>
      </c>
      <c r="E2443" s="114" t="inlineStr">
        <is>
          <t xml:space="preserve">SET3 BOOK BOX GREEN GINGHAM FLOWER </t>
        </is>
      </c>
      <c r="F2443" s="114" t="n">
        <v>4</v>
      </c>
      <c r="G2443" s="115" t="n">
        <v>4.25</v>
      </c>
      <c r="H2443" s="115" t="n">
        <v>17</v>
      </c>
      <c r="I2443" s="116" t="n">
        <v>40750</v>
      </c>
    </row>
    <row r="2444">
      <c r="A2444" s="117" t="inlineStr">
        <is>
          <t>561222</t>
        </is>
      </c>
      <c r="B2444" s="117" t="n">
        <v>13588</v>
      </c>
      <c r="C2444" s="117" t="inlineStr">
        <is>
          <t>United Kingdom</t>
        </is>
      </c>
      <c r="D2444" s="117" t="inlineStr">
        <is>
          <t>21787</t>
        </is>
      </c>
      <c r="E2444" s="117" t="inlineStr">
        <is>
          <t>RAIN PONCHO RETROSPOT</t>
        </is>
      </c>
      <c r="F2444" s="117" t="n">
        <v>24</v>
      </c>
      <c r="G2444" s="118" t="n">
        <v>0.85</v>
      </c>
      <c r="H2444" s="118" t="n">
        <v>20.4</v>
      </c>
      <c r="I2444" s="119" t="n">
        <v>40750</v>
      </c>
    </row>
    <row r="2445">
      <c r="A2445" s="114" t="inlineStr">
        <is>
          <t>561325</t>
        </is>
      </c>
      <c r="B2445" s="114" t="n">
        <v>17596</v>
      </c>
      <c r="C2445" s="114" t="inlineStr">
        <is>
          <t>United Kingdom</t>
        </is>
      </c>
      <c r="D2445" s="114" t="inlineStr">
        <is>
          <t>22907</t>
        </is>
      </c>
      <c r="E2445" s="114" t="inlineStr">
        <is>
          <t>PACK OF 20 NAPKINS PANTRY DESIGN</t>
        </is>
      </c>
      <c r="F2445" s="114" t="n">
        <v>1</v>
      </c>
      <c r="G2445" s="115" t="n">
        <v>0.85</v>
      </c>
      <c r="H2445" s="115" t="n">
        <v>0.85</v>
      </c>
      <c r="I2445" s="116" t="n">
        <v>40750</v>
      </c>
    </row>
    <row r="2446">
      <c r="A2446" s="117" t="inlineStr">
        <is>
          <t>561334</t>
        </is>
      </c>
      <c r="B2446" s="117" t="n">
        <v>15440</v>
      </c>
      <c r="C2446" s="117" t="inlineStr">
        <is>
          <t>United Kingdom</t>
        </is>
      </c>
      <c r="D2446" s="117" t="inlineStr">
        <is>
          <t>22548</t>
        </is>
      </c>
      <c r="E2446" s="117" t="inlineStr">
        <is>
          <t>HEADS AND TAILS SPORTING FUN</t>
        </is>
      </c>
      <c r="F2446" s="117" t="n">
        <v>2</v>
      </c>
      <c r="G2446" s="118" t="n">
        <v>1.25</v>
      </c>
      <c r="H2446" s="118" t="n">
        <v>2.5</v>
      </c>
      <c r="I2446" s="119" t="n">
        <v>40750</v>
      </c>
    </row>
    <row r="2447">
      <c r="A2447" s="114" t="inlineStr">
        <is>
          <t>561352</t>
        </is>
      </c>
      <c r="B2447" s="114" t="n">
        <v>18094</v>
      </c>
      <c r="C2447" s="114" t="inlineStr">
        <is>
          <t>United Kingdom</t>
        </is>
      </c>
      <c r="D2447" s="114" t="inlineStr">
        <is>
          <t>82578</t>
        </is>
      </c>
      <c r="E2447" s="114" t="inlineStr">
        <is>
          <t>KITCHEN METAL SIGN</t>
        </is>
      </c>
      <c r="F2447" s="114" t="n">
        <v>12</v>
      </c>
      <c r="G2447" s="115" t="n">
        <v>0.55</v>
      </c>
      <c r="H2447" s="115" t="n">
        <v>6.6</v>
      </c>
      <c r="I2447" s="116" t="n">
        <v>40750</v>
      </c>
    </row>
    <row r="2448">
      <c r="A2448" s="117" t="inlineStr">
        <is>
          <t>561355</t>
        </is>
      </c>
      <c r="B2448" s="117" t="n">
        <v>13090</v>
      </c>
      <c r="C2448" s="117" t="inlineStr">
        <is>
          <t>United Kingdom</t>
        </is>
      </c>
      <c r="D2448" s="117" t="inlineStr">
        <is>
          <t>21326</t>
        </is>
      </c>
      <c r="E2448" s="117" t="inlineStr">
        <is>
          <t>AGED GLASS SILVER T-LIGHT HOLDER</t>
        </is>
      </c>
      <c r="F2448" s="117" t="n">
        <v>12</v>
      </c>
      <c r="G2448" s="118" t="n">
        <v>0.65</v>
      </c>
      <c r="H2448" s="118" t="n">
        <v>7.8</v>
      </c>
      <c r="I2448" s="119" t="n">
        <v>40750</v>
      </c>
    </row>
    <row r="2449">
      <c r="A2449" s="114" t="inlineStr">
        <is>
          <t>561382</t>
        </is>
      </c>
      <c r="B2449" s="114" t="n">
        <v>16750</v>
      </c>
      <c r="C2449" s="114" t="inlineStr">
        <is>
          <t>United Kingdom</t>
        </is>
      </c>
      <c r="D2449" s="114" t="inlineStr">
        <is>
          <t>22377</t>
        </is>
      </c>
      <c r="E2449" s="114" t="inlineStr">
        <is>
          <t xml:space="preserve">BOTTLE BAG RETROSPOT </t>
        </is>
      </c>
      <c r="F2449" s="114" t="n">
        <v>2</v>
      </c>
      <c r="G2449" s="115" t="n">
        <v>2.1</v>
      </c>
      <c r="H2449" s="115" t="n">
        <v>4.2</v>
      </c>
      <c r="I2449" s="116" t="n">
        <v>40750</v>
      </c>
    </row>
    <row r="2450">
      <c r="A2450" s="117" t="inlineStr">
        <is>
          <t>561388</t>
        </is>
      </c>
      <c r="B2450" s="117" t="n">
        <v>12753</v>
      </c>
      <c r="C2450" s="117" t="inlineStr">
        <is>
          <t>Japan</t>
        </is>
      </c>
      <c r="D2450" s="117" t="inlineStr">
        <is>
          <t>23237</t>
        </is>
      </c>
      <c r="E2450" s="117" t="inlineStr">
        <is>
          <t>SET OF 4 KNICK KNACK TINS LEAF</t>
        </is>
      </c>
      <c r="F2450" s="117" t="n">
        <v>48</v>
      </c>
      <c r="G2450" s="118" t="n">
        <v>3.75</v>
      </c>
      <c r="H2450" s="118" t="n">
        <v>180</v>
      </c>
      <c r="I2450" s="119" t="n">
        <v>40751</v>
      </c>
    </row>
    <row r="2451">
      <c r="A2451" s="114" t="inlineStr">
        <is>
          <t>561391</t>
        </is>
      </c>
      <c r="B2451" s="114" t="n">
        <v>16628</v>
      </c>
      <c r="C2451" s="114" t="inlineStr">
        <is>
          <t>United Kingdom</t>
        </is>
      </c>
      <c r="D2451" s="114" t="inlineStr">
        <is>
          <t>22669</t>
        </is>
      </c>
      <c r="E2451" s="114" t="inlineStr">
        <is>
          <t xml:space="preserve">RED BABY BUNTING </t>
        </is>
      </c>
      <c r="F2451" s="114" t="n">
        <v>5</v>
      </c>
      <c r="G2451" s="115" t="n">
        <v>2.95</v>
      </c>
      <c r="H2451" s="115" t="n">
        <v>14.75</v>
      </c>
      <c r="I2451" s="116" t="n">
        <v>40751</v>
      </c>
    </row>
    <row r="2452">
      <c r="A2452" s="117" t="inlineStr">
        <is>
          <t>561395</t>
        </is>
      </c>
      <c r="B2452" s="117" t="n">
        <v>13999</v>
      </c>
      <c r="C2452" s="117" t="inlineStr">
        <is>
          <t>United Kingdom</t>
        </is>
      </c>
      <c r="D2452" s="117" t="inlineStr">
        <is>
          <t>23298</t>
        </is>
      </c>
      <c r="E2452" s="117" t="inlineStr">
        <is>
          <t>SPOTTY BUNTING</t>
        </is>
      </c>
      <c r="F2452" s="117" t="n">
        <v>12</v>
      </c>
      <c r="G2452" s="118" t="n">
        <v>4.95</v>
      </c>
      <c r="H2452" s="118" t="n">
        <v>59.4</v>
      </c>
      <c r="I2452" s="119" t="n">
        <v>40751</v>
      </c>
    </row>
    <row r="2453">
      <c r="A2453" s="114" t="inlineStr">
        <is>
          <t>561430</t>
        </is>
      </c>
      <c r="B2453" s="114" t="n">
        <v>15172</v>
      </c>
      <c r="C2453" s="114" t="inlineStr">
        <is>
          <t>United Kingdom</t>
        </is>
      </c>
      <c r="D2453" s="114" t="inlineStr">
        <is>
          <t>22809</t>
        </is>
      </c>
      <c r="E2453" s="114" t="inlineStr">
        <is>
          <t>SET OF 6 T-LIGHTS SANTA</t>
        </is>
      </c>
      <c r="F2453" s="114" t="n">
        <v>6</v>
      </c>
      <c r="G2453" s="115" t="n">
        <v>2.95</v>
      </c>
      <c r="H2453" s="115" t="n">
        <v>17.7</v>
      </c>
      <c r="I2453" s="116" t="n">
        <v>40751</v>
      </c>
    </row>
    <row r="2454">
      <c r="A2454" s="117" t="inlineStr">
        <is>
          <t>561466</t>
        </is>
      </c>
      <c r="B2454" s="117" t="n">
        <v>17243</v>
      </c>
      <c r="C2454" s="117" t="inlineStr">
        <is>
          <t>United Kingdom</t>
        </is>
      </c>
      <c r="D2454" s="117" t="inlineStr">
        <is>
          <t>84508A</t>
        </is>
      </c>
      <c r="E2454" s="117" t="inlineStr">
        <is>
          <t>CAMOUFLAGE DESIGN TEDDY</t>
        </is>
      </c>
      <c r="F2454" s="117" t="n">
        <v>1</v>
      </c>
      <c r="G2454" s="118" t="n">
        <v>2.55</v>
      </c>
      <c r="H2454" s="118" t="n">
        <v>2.55</v>
      </c>
      <c r="I2454" s="119" t="n">
        <v>40751</v>
      </c>
    </row>
    <row r="2455">
      <c r="A2455" s="114" t="inlineStr">
        <is>
          <t>561467</t>
        </is>
      </c>
      <c r="B2455" s="114" t="n">
        <v>14040</v>
      </c>
      <c r="C2455" s="114" t="inlineStr">
        <is>
          <t>United Kingdom</t>
        </is>
      </c>
      <c r="D2455" s="114" t="inlineStr">
        <is>
          <t>20728</t>
        </is>
      </c>
      <c r="E2455" s="114" t="inlineStr">
        <is>
          <t>LUNCH BAG CARS BLUE</t>
        </is>
      </c>
      <c r="F2455" s="114" t="n">
        <v>20</v>
      </c>
      <c r="G2455" s="115" t="n">
        <v>1.65</v>
      </c>
      <c r="H2455" s="115" t="n">
        <v>33</v>
      </c>
      <c r="I2455" s="116" t="n">
        <v>40751</v>
      </c>
    </row>
    <row r="2456">
      <c r="A2456" s="117" t="inlineStr">
        <is>
          <t>561471</t>
        </is>
      </c>
      <c r="B2456" s="117" t="n">
        <v>14911</v>
      </c>
      <c r="C2456" s="117" t="inlineStr">
        <is>
          <t>EIRE</t>
        </is>
      </c>
      <c r="D2456" s="117" t="inlineStr">
        <is>
          <t>22457</t>
        </is>
      </c>
      <c r="E2456" s="117" t="inlineStr">
        <is>
          <t xml:space="preserve">NATURAL SLATE HEART CHALKBOARD </t>
        </is>
      </c>
      <c r="F2456" s="117" t="n">
        <v>12</v>
      </c>
      <c r="G2456" s="118" t="n">
        <v>2.95</v>
      </c>
      <c r="H2456" s="118" t="n">
        <v>35.4</v>
      </c>
      <c r="I2456" s="119" t="n">
        <v>40751</v>
      </c>
    </row>
    <row r="2457">
      <c r="A2457" s="114" t="inlineStr">
        <is>
          <t>561485</t>
        </is>
      </c>
      <c r="B2457" s="114" t="n">
        <v>17841</v>
      </c>
      <c r="C2457" s="114" t="inlineStr">
        <is>
          <t>United Kingdom</t>
        </is>
      </c>
      <c r="D2457" s="114" t="inlineStr">
        <is>
          <t>23221</t>
        </is>
      </c>
      <c r="E2457" s="114" t="inlineStr">
        <is>
          <t>REINDEER HEART DECORATION SILVER</t>
        </is>
      </c>
      <c r="F2457" s="114" t="n">
        <v>1</v>
      </c>
      <c r="G2457" s="115" t="n">
        <v>0.83</v>
      </c>
      <c r="H2457" s="115" t="n">
        <v>0.83</v>
      </c>
      <c r="I2457" s="116" t="n">
        <v>40751</v>
      </c>
    </row>
    <row r="2458">
      <c r="A2458" s="117" t="inlineStr">
        <is>
          <t>561485</t>
        </is>
      </c>
      <c r="B2458" s="117" t="n">
        <v>17841</v>
      </c>
      <c r="C2458" s="117" t="inlineStr">
        <is>
          <t>United Kingdom</t>
        </is>
      </c>
      <c r="D2458" s="117" t="inlineStr">
        <is>
          <t>22677</t>
        </is>
      </c>
      <c r="E2458" s="117" t="inlineStr">
        <is>
          <t>FRENCH BLUE METAL DOOR SIGN 2</t>
        </is>
      </c>
      <c r="F2458" s="117" t="n">
        <v>1</v>
      </c>
      <c r="G2458" s="118" t="n">
        <v>1.25</v>
      </c>
      <c r="H2458" s="118" t="n">
        <v>1.25</v>
      </c>
      <c r="I2458" s="119" t="n">
        <v>40751</v>
      </c>
    </row>
    <row r="2459">
      <c r="A2459" s="114" t="inlineStr">
        <is>
          <t>561502</t>
        </is>
      </c>
      <c r="B2459" s="114" t="n">
        <v>14305</v>
      </c>
      <c r="C2459" s="114" t="inlineStr">
        <is>
          <t>United Kingdom</t>
        </is>
      </c>
      <c r="D2459" s="114" t="inlineStr">
        <is>
          <t>23034</t>
        </is>
      </c>
      <c r="E2459" s="114" t="inlineStr">
        <is>
          <t>DRAWER KNOB CERAMIC BLACK</t>
        </is>
      </c>
      <c r="F2459" s="114" t="n">
        <v>12</v>
      </c>
      <c r="G2459" s="115" t="n">
        <v>1.45</v>
      </c>
      <c r="H2459" s="115" t="n">
        <v>17.4</v>
      </c>
      <c r="I2459" s="116" t="n">
        <v>40751</v>
      </c>
    </row>
    <row r="2460">
      <c r="A2460" s="117" t="inlineStr">
        <is>
          <t>561512</t>
        </is>
      </c>
      <c r="B2460" s="117" t="n">
        <v>14534</v>
      </c>
      <c r="C2460" s="117" t="inlineStr">
        <is>
          <t>United Kingdom</t>
        </is>
      </c>
      <c r="D2460" s="117" t="inlineStr">
        <is>
          <t>21402</t>
        </is>
      </c>
      <c r="E2460" s="117" t="inlineStr">
        <is>
          <t>RED  EGG  SPOON</t>
        </is>
      </c>
      <c r="F2460" s="117" t="n">
        <v>24</v>
      </c>
      <c r="G2460" s="118" t="n">
        <v>0.12</v>
      </c>
      <c r="H2460" s="118" t="n">
        <v>2.88</v>
      </c>
      <c r="I2460" s="119" t="n">
        <v>40751</v>
      </c>
    </row>
    <row r="2461">
      <c r="A2461" s="114" t="inlineStr">
        <is>
          <t>561512</t>
        </is>
      </c>
      <c r="B2461" s="114" t="n">
        <v>14534</v>
      </c>
      <c r="C2461" s="114" t="inlineStr">
        <is>
          <t>United Kingdom</t>
        </is>
      </c>
      <c r="D2461" s="114" t="inlineStr">
        <is>
          <t>84596F</t>
        </is>
      </c>
      <c r="E2461" s="114" t="inlineStr">
        <is>
          <t>SMALL MARSHMALLOWS PINK BOWL</t>
        </is>
      </c>
      <c r="F2461" s="114" t="n">
        <v>8</v>
      </c>
      <c r="G2461" s="115" t="n">
        <v>0.42</v>
      </c>
      <c r="H2461" s="115" t="n">
        <v>3.36</v>
      </c>
      <c r="I2461" s="116" t="n">
        <v>40751</v>
      </c>
    </row>
    <row r="2462">
      <c r="A2462" s="117" t="inlineStr">
        <is>
          <t>561514</t>
        </is>
      </c>
      <c r="B2462" s="117" t="n">
        <v>14331</v>
      </c>
      <c r="C2462" s="117" t="inlineStr">
        <is>
          <t>United Kingdom</t>
        </is>
      </c>
      <c r="D2462" s="117" t="inlineStr">
        <is>
          <t>22150</t>
        </is>
      </c>
      <c r="E2462" s="117" t="inlineStr">
        <is>
          <t>3 STRIPEY MICE FELTCRAFT</t>
        </is>
      </c>
      <c r="F2462" s="117" t="n">
        <v>6</v>
      </c>
      <c r="G2462" s="118" t="n">
        <v>1.95</v>
      </c>
      <c r="H2462" s="118" t="n">
        <v>11.7</v>
      </c>
      <c r="I2462" s="119" t="n">
        <v>40751</v>
      </c>
    </row>
    <row r="2463">
      <c r="A2463" s="114" t="inlineStr">
        <is>
          <t>561518</t>
        </is>
      </c>
      <c r="B2463" s="114" t="n">
        <v>15261</v>
      </c>
      <c r="C2463" s="114" t="inlineStr">
        <is>
          <t>United Kingdom</t>
        </is>
      </c>
      <c r="D2463" s="114" t="inlineStr">
        <is>
          <t>21210</t>
        </is>
      </c>
      <c r="E2463" s="114" t="inlineStr">
        <is>
          <t>SET OF 72 RETROSPOT PAPER  DOILIES</t>
        </is>
      </c>
      <c r="F2463" s="114" t="n">
        <v>12</v>
      </c>
      <c r="G2463" s="115" t="n">
        <v>1.45</v>
      </c>
      <c r="H2463" s="115" t="n">
        <v>17.4</v>
      </c>
      <c r="I2463" s="116" t="n">
        <v>40751</v>
      </c>
    </row>
    <row r="2464">
      <c r="A2464" s="117" t="inlineStr">
        <is>
          <t>561520</t>
        </is>
      </c>
      <c r="B2464" s="117" t="n">
        <v>17870</v>
      </c>
      <c r="C2464" s="117" t="inlineStr">
        <is>
          <t>United Kingdom</t>
        </is>
      </c>
      <c r="D2464" s="117" t="inlineStr">
        <is>
          <t>23167</t>
        </is>
      </c>
      <c r="E2464" s="117" t="inlineStr">
        <is>
          <t xml:space="preserve">SMALL CERAMIC TOP STORAGE JAR </t>
        </is>
      </c>
      <c r="F2464" s="117" t="n">
        <v>1</v>
      </c>
      <c r="G2464" s="118" t="n">
        <v>0.83</v>
      </c>
      <c r="H2464" s="118" t="n">
        <v>0.83</v>
      </c>
      <c r="I2464" s="119" t="n">
        <v>40751</v>
      </c>
    </row>
    <row r="2465">
      <c r="A2465" s="114" t="inlineStr">
        <is>
          <t>561528</t>
        </is>
      </c>
      <c r="B2465" s="114" t="n">
        <v>13098</v>
      </c>
      <c r="C2465" s="114" t="inlineStr">
        <is>
          <t>United Kingdom</t>
        </is>
      </c>
      <c r="D2465" s="114" t="inlineStr">
        <is>
          <t>23050</t>
        </is>
      </c>
      <c r="E2465" s="114" t="inlineStr">
        <is>
          <t>RECYCLED ACAPULCO MAT GREEN</t>
        </is>
      </c>
      <c r="F2465" s="114" t="n">
        <v>2</v>
      </c>
      <c r="G2465" s="115" t="n">
        <v>8.25</v>
      </c>
      <c r="H2465" s="115" t="n">
        <v>16.5</v>
      </c>
      <c r="I2465" s="116" t="n">
        <v>40752</v>
      </c>
    </row>
    <row r="2466">
      <c r="A2466" s="117" t="inlineStr">
        <is>
          <t>561534</t>
        </is>
      </c>
      <c r="B2466" s="117" t="n">
        <v>14307</v>
      </c>
      <c r="C2466" s="117" t="inlineStr">
        <is>
          <t>United Kingdom</t>
        </is>
      </c>
      <c r="D2466" s="117" t="inlineStr">
        <is>
          <t>82494L</t>
        </is>
      </c>
      <c r="E2466" s="117" t="inlineStr">
        <is>
          <t xml:space="preserve">WOODEN FRAME ANTIQUE WHITE </t>
        </is>
      </c>
      <c r="F2466" s="117" t="n">
        <v>6</v>
      </c>
      <c r="G2466" s="118" t="n">
        <v>2.95</v>
      </c>
      <c r="H2466" s="118" t="n">
        <v>17.7</v>
      </c>
      <c r="I2466" s="119" t="n">
        <v>40752</v>
      </c>
    </row>
    <row r="2467">
      <c r="A2467" s="114" t="inlineStr">
        <is>
          <t>561535</t>
        </is>
      </c>
      <c r="B2467" s="114" t="n">
        <v>15116</v>
      </c>
      <c r="C2467" s="114" t="inlineStr">
        <is>
          <t>United Kingdom</t>
        </is>
      </c>
      <c r="D2467" s="114" t="inlineStr">
        <is>
          <t>23243</t>
        </is>
      </c>
      <c r="E2467" s="114" t="inlineStr">
        <is>
          <t>SET OF TEA COFFEE SUGAR TINS PANTRY</t>
        </is>
      </c>
      <c r="F2467" s="114" t="n">
        <v>4</v>
      </c>
      <c r="G2467" s="115" t="n">
        <v>4.95</v>
      </c>
      <c r="H2467" s="115" t="n">
        <v>19.8</v>
      </c>
      <c r="I2467" s="116" t="n">
        <v>40752</v>
      </c>
    </row>
    <row r="2468">
      <c r="A2468" s="117" t="inlineStr">
        <is>
          <t>561537</t>
        </is>
      </c>
      <c r="B2468" s="117" t="n">
        <v>13870</v>
      </c>
      <c r="C2468" s="117" t="inlineStr">
        <is>
          <t>United Kingdom</t>
        </is>
      </c>
      <c r="D2468" s="117" t="inlineStr">
        <is>
          <t>23342</t>
        </is>
      </c>
      <c r="E2468" s="117" t="inlineStr">
        <is>
          <t>MINT DINER WALL CLOCK</t>
        </is>
      </c>
      <c r="F2468" s="117" t="n">
        <v>2</v>
      </c>
      <c r="G2468" s="118" t="n">
        <v>8.5</v>
      </c>
      <c r="H2468" s="118" t="n">
        <v>17</v>
      </c>
      <c r="I2468" s="119" t="n">
        <v>40752</v>
      </c>
    </row>
    <row r="2469">
      <c r="A2469" s="114" t="inlineStr">
        <is>
          <t>561542</t>
        </is>
      </c>
      <c r="B2469" s="114" t="n">
        <v>15105</v>
      </c>
      <c r="C2469" s="114" t="inlineStr">
        <is>
          <t>United Kingdom</t>
        </is>
      </c>
      <c r="D2469" s="114" t="inlineStr">
        <is>
          <t>22149</t>
        </is>
      </c>
      <c r="E2469" s="114" t="inlineStr">
        <is>
          <t>FELTCRAFT 6 FLOWER FRIENDS</t>
        </is>
      </c>
      <c r="F2469" s="114" t="n">
        <v>6</v>
      </c>
      <c r="G2469" s="115" t="n">
        <v>2.1</v>
      </c>
      <c r="H2469" s="115" t="n">
        <v>12.6</v>
      </c>
      <c r="I2469" s="116" t="n">
        <v>40752</v>
      </c>
    </row>
    <row r="2470">
      <c r="A2470" s="117" t="inlineStr">
        <is>
          <t>561595</t>
        </is>
      </c>
      <c r="B2470" s="117" t="n">
        <v>12853</v>
      </c>
      <c r="C2470" s="117" t="inlineStr">
        <is>
          <t>United Kingdom</t>
        </is>
      </c>
      <c r="D2470" s="117" t="inlineStr">
        <is>
          <t>23206</t>
        </is>
      </c>
      <c r="E2470" s="117" t="inlineStr">
        <is>
          <t>LUNCH BAG APPLE DESIGN</t>
        </is>
      </c>
      <c r="F2470" s="117" t="n">
        <v>10</v>
      </c>
      <c r="G2470" s="118" t="n">
        <v>1.65</v>
      </c>
      <c r="H2470" s="118" t="n">
        <v>16.5</v>
      </c>
      <c r="I2470" s="119" t="n">
        <v>40752</v>
      </c>
    </row>
    <row r="2471">
      <c r="A2471" s="114" t="inlineStr">
        <is>
          <t>561600</t>
        </is>
      </c>
      <c r="B2471" s="114" t="n">
        <v>15861</v>
      </c>
      <c r="C2471" s="114" t="inlineStr">
        <is>
          <t>United Kingdom</t>
        </is>
      </c>
      <c r="D2471" s="114" t="inlineStr">
        <is>
          <t>20676</t>
        </is>
      </c>
      <c r="E2471" s="114" t="inlineStr">
        <is>
          <t>RED RETROSPOT BOWL</t>
        </is>
      </c>
      <c r="F2471" s="114" t="n">
        <v>2</v>
      </c>
      <c r="G2471" s="115" t="n">
        <v>1.25</v>
      </c>
      <c r="H2471" s="115" t="n">
        <v>2.5</v>
      </c>
      <c r="I2471" s="116" t="n">
        <v>40752</v>
      </c>
    </row>
    <row r="2472">
      <c r="A2472" s="117" t="inlineStr">
        <is>
          <t>561600</t>
        </is>
      </c>
      <c r="B2472" s="117" t="n">
        <v>15861</v>
      </c>
      <c r="C2472" s="117" t="inlineStr">
        <is>
          <t>United Kingdom</t>
        </is>
      </c>
      <c r="D2472" s="117" t="inlineStr">
        <is>
          <t>22355</t>
        </is>
      </c>
      <c r="E2472" s="117" t="inlineStr">
        <is>
          <t>CHARLOTTE BAG SUKI DESIGN</t>
        </is>
      </c>
      <c r="F2472" s="117" t="n">
        <v>7</v>
      </c>
      <c r="G2472" s="118" t="n">
        <v>0.85</v>
      </c>
      <c r="H2472" s="118" t="n">
        <v>5.95</v>
      </c>
      <c r="I2472" s="119" t="n">
        <v>40752</v>
      </c>
    </row>
    <row r="2473">
      <c r="A2473" s="114" t="inlineStr">
        <is>
          <t>561607</t>
        </is>
      </c>
      <c r="B2473" s="114" t="n">
        <v>17389</v>
      </c>
      <c r="C2473" s="114" t="inlineStr">
        <is>
          <t>United Kingdom</t>
        </is>
      </c>
      <c r="D2473" s="114" t="inlineStr">
        <is>
          <t>22768</t>
        </is>
      </c>
      <c r="E2473" s="114" t="inlineStr">
        <is>
          <t>FAMILY PHOTO FRAME CORNICE</t>
        </is>
      </c>
      <c r="F2473" s="114" t="n">
        <v>6</v>
      </c>
      <c r="G2473" s="115" t="n">
        <v>9.949999999999999</v>
      </c>
      <c r="H2473" s="115" t="n">
        <v>59.7</v>
      </c>
      <c r="I2473" s="116" t="n">
        <v>40752</v>
      </c>
    </row>
    <row r="2474">
      <c r="A2474" s="117" t="inlineStr">
        <is>
          <t>561625</t>
        </is>
      </c>
      <c r="B2474" s="117" t="n">
        <v>16843</v>
      </c>
      <c r="C2474" s="117" t="inlineStr">
        <is>
          <t>United Kingdom</t>
        </is>
      </c>
      <c r="D2474" s="117" t="inlineStr">
        <is>
          <t>22400</t>
        </is>
      </c>
      <c r="E2474" s="117" t="inlineStr">
        <is>
          <t>MAGNETS PACK OF 4 HOME SWEET HOME</t>
        </is>
      </c>
      <c r="F2474" s="117" t="n">
        <v>48</v>
      </c>
      <c r="G2474" s="118" t="n">
        <v>0.39</v>
      </c>
      <c r="H2474" s="118" t="n">
        <v>18.72</v>
      </c>
      <c r="I2474" s="119" t="n">
        <v>40752</v>
      </c>
    </row>
    <row r="2475">
      <c r="A2475" s="114" t="inlineStr">
        <is>
          <t>561626</t>
        </is>
      </c>
      <c r="B2475" s="114" t="n">
        <v>14898</v>
      </c>
      <c r="C2475" s="114" t="inlineStr">
        <is>
          <t>United Kingdom</t>
        </is>
      </c>
      <c r="D2475" s="114" t="inlineStr">
        <is>
          <t>22961</t>
        </is>
      </c>
      <c r="E2475" s="114" t="inlineStr">
        <is>
          <t>JAM MAKING SET PRINTED</t>
        </is>
      </c>
      <c r="F2475" s="114" t="n">
        <v>4</v>
      </c>
      <c r="G2475" s="115" t="n">
        <v>1.45</v>
      </c>
      <c r="H2475" s="115" t="n">
        <v>5.8</v>
      </c>
      <c r="I2475" s="116" t="n">
        <v>40752</v>
      </c>
    </row>
    <row r="2476">
      <c r="A2476" s="117" t="inlineStr">
        <is>
          <t>561627</t>
        </is>
      </c>
      <c r="B2476" s="117" t="n">
        <v>12453</v>
      </c>
      <c r="C2476" s="117" t="inlineStr">
        <is>
          <t>Austria</t>
        </is>
      </c>
      <c r="D2476" s="117" t="inlineStr">
        <is>
          <t>22630</t>
        </is>
      </c>
      <c r="E2476" s="117" t="inlineStr">
        <is>
          <t>DOLLY GIRL LUNCH BOX</t>
        </is>
      </c>
      <c r="F2476" s="117" t="n">
        <v>12</v>
      </c>
      <c r="G2476" s="118" t="n">
        <v>1.95</v>
      </c>
      <c r="H2476" s="118" t="n">
        <v>23.4</v>
      </c>
      <c r="I2476" s="119" t="n">
        <v>40752</v>
      </c>
    </row>
    <row r="2477">
      <c r="A2477" s="114" t="inlineStr">
        <is>
          <t>561642</t>
        </is>
      </c>
      <c r="B2477" s="114" t="n">
        <v>17965</v>
      </c>
      <c r="C2477" s="114" t="inlineStr">
        <is>
          <t>United Kingdom</t>
        </is>
      </c>
      <c r="D2477" s="114" t="inlineStr">
        <is>
          <t>22903</t>
        </is>
      </c>
      <c r="E2477" s="114" t="inlineStr">
        <is>
          <t>CALENDAR FAMILY FAVOURITES</t>
        </is>
      </c>
      <c r="F2477" s="114" t="n">
        <v>3</v>
      </c>
      <c r="G2477" s="115" t="n">
        <v>2.95</v>
      </c>
      <c r="H2477" s="115" t="n">
        <v>8.85</v>
      </c>
      <c r="I2477" s="116" t="n">
        <v>40752</v>
      </c>
    </row>
    <row r="2478">
      <c r="A2478" s="117" t="inlineStr">
        <is>
          <t>561642</t>
        </is>
      </c>
      <c r="B2478" s="117" t="n">
        <v>17965</v>
      </c>
      <c r="C2478" s="117" t="inlineStr">
        <is>
          <t>United Kingdom</t>
        </is>
      </c>
      <c r="D2478" s="117" t="inlineStr">
        <is>
          <t>23301</t>
        </is>
      </c>
      <c r="E2478" s="117" t="inlineStr">
        <is>
          <t xml:space="preserve">GARDENERS KNEELING PAD KEEP CALM </t>
        </is>
      </c>
      <c r="F2478" s="117" t="n">
        <v>3</v>
      </c>
      <c r="G2478" s="118" t="n">
        <v>1.65</v>
      </c>
      <c r="H2478" s="118" t="n">
        <v>4.95</v>
      </c>
      <c r="I2478" s="119" t="n">
        <v>40752</v>
      </c>
    </row>
    <row r="2479">
      <c r="A2479" s="114" t="inlineStr">
        <is>
          <t>561658</t>
        </is>
      </c>
      <c r="B2479" s="114" t="n">
        <v>12743</v>
      </c>
      <c r="C2479" s="114" t="inlineStr">
        <is>
          <t>Unspecified</t>
        </is>
      </c>
      <c r="D2479" s="114" t="inlineStr">
        <is>
          <t>35968</t>
        </is>
      </c>
      <c r="E2479" s="114" t="inlineStr">
        <is>
          <t>FOLK ART METAL HEART T-LIGHT HOLDER</t>
        </is>
      </c>
      <c r="F2479" s="114" t="n">
        <v>5</v>
      </c>
      <c r="G2479" s="115" t="n">
        <v>0.38</v>
      </c>
      <c r="H2479" s="115" t="n">
        <v>1.9</v>
      </c>
      <c r="I2479" s="116" t="n">
        <v>40752</v>
      </c>
    </row>
    <row r="2480">
      <c r="A2480" s="117" t="inlineStr">
        <is>
          <t>561658</t>
        </is>
      </c>
      <c r="B2480" s="117" t="n">
        <v>12743</v>
      </c>
      <c r="C2480" s="117" t="inlineStr">
        <is>
          <t>Unspecified</t>
        </is>
      </c>
      <c r="D2480" s="117" t="inlineStr">
        <is>
          <t>23546</t>
        </is>
      </c>
      <c r="E2480" s="117" t="inlineStr">
        <is>
          <t xml:space="preserve">WRAP PAISLEY PARK </t>
        </is>
      </c>
      <c r="F2480" s="117" t="n">
        <v>25</v>
      </c>
      <c r="G2480" s="118" t="n">
        <v>0.42</v>
      </c>
      <c r="H2480" s="118" t="n">
        <v>10.5</v>
      </c>
      <c r="I2480" s="119" t="n">
        <v>40752</v>
      </c>
    </row>
    <row r="2481">
      <c r="A2481" s="114" t="inlineStr">
        <is>
          <t>561658</t>
        </is>
      </c>
      <c r="B2481" s="114" t="n">
        <v>12743</v>
      </c>
      <c r="C2481" s="114" t="inlineStr">
        <is>
          <t>Unspecified</t>
        </is>
      </c>
      <c r="D2481" s="114" t="inlineStr">
        <is>
          <t>47563A</t>
        </is>
      </c>
      <c r="E2481" s="114" t="inlineStr">
        <is>
          <t>RETRO LONGBOARD IRONING BOARD COVER</t>
        </is>
      </c>
      <c r="F2481" s="114" t="n">
        <v>1</v>
      </c>
      <c r="G2481" s="115" t="n">
        <v>1.25</v>
      </c>
      <c r="H2481" s="115" t="n">
        <v>1.25</v>
      </c>
      <c r="I2481" s="116" t="n">
        <v>40752</v>
      </c>
    </row>
    <row r="2482">
      <c r="A2482" s="117" t="inlineStr">
        <is>
          <t>561661</t>
        </is>
      </c>
      <c r="B2482" s="117" t="n">
        <v>12743</v>
      </c>
      <c r="C2482" s="117" t="inlineStr">
        <is>
          <t>Unspecified</t>
        </is>
      </c>
      <c r="D2482" s="117" t="inlineStr">
        <is>
          <t>22844</t>
        </is>
      </c>
      <c r="E2482" s="117" t="inlineStr">
        <is>
          <t>VINTAGE CREAM DOG FOOD CONTAINER</t>
        </is>
      </c>
      <c r="F2482" s="117" t="n">
        <v>2</v>
      </c>
      <c r="G2482" s="118" t="n">
        <v>8.5</v>
      </c>
      <c r="H2482" s="118" t="n">
        <v>17</v>
      </c>
      <c r="I2482" s="119" t="n">
        <v>40752</v>
      </c>
    </row>
    <row r="2483">
      <c r="A2483" s="114" t="inlineStr">
        <is>
          <t>561685</t>
        </is>
      </c>
      <c r="B2483" s="114" t="n">
        <v>14315</v>
      </c>
      <c r="C2483" s="114" t="inlineStr">
        <is>
          <t>United Kingdom</t>
        </is>
      </c>
      <c r="D2483" s="114" t="inlineStr">
        <is>
          <t>21292</t>
        </is>
      </c>
      <c r="E2483" s="114" t="inlineStr">
        <is>
          <t xml:space="preserve">SMALL STRIPES CHOCOLATE GIFT BAG </t>
        </is>
      </c>
      <c r="F2483" s="114" t="n">
        <v>16</v>
      </c>
      <c r="G2483" s="115" t="n">
        <v>0.85</v>
      </c>
      <c r="H2483" s="115" t="n">
        <v>13.6</v>
      </c>
      <c r="I2483" s="116" t="n">
        <v>40752</v>
      </c>
    </row>
    <row r="2484">
      <c r="A2484" s="117" t="inlineStr">
        <is>
          <t>561690</t>
        </is>
      </c>
      <c r="B2484" s="117" t="n">
        <v>13875</v>
      </c>
      <c r="C2484" s="117" t="inlineStr">
        <is>
          <t>United Kingdom</t>
        </is>
      </c>
      <c r="D2484" s="117" t="inlineStr">
        <is>
          <t>22383</t>
        </is>
      </c>
      <c r="E2484" s="117" t="inlineStr">
        <is>
          <t xml:space="preserve">LUNCH BAG SUKI DESIGN </t>
        </is>
      </c>
      <c r="F2484" s="117" t="n">
        <v>10</v>
      </c>
      <c r="G2484" s="118" t="n">
        <v>1.65</v>
      </c>
      <c r="H2484" s="118" t="n">
        <v>16.5</v>
      </c>
      <c r="I2484" s="119" t="n">
        <v>40753</v>
      </c>
    </row>
    <row r="2485">
      <c r="A2485" s="114" t="inlineStr">
        <is>
          <t>561694</t>
        </is>
      </c>
      <c r="B2485" s="114" t="n">
        <v>16147</v>
      </c>
      <c r="C2485" s="114" t="inlineStr">
        <is>
          <t>United Kingdom</t>
        </is>
      </c>
      <c r="D2485" s="114" t="inlineStr">
        <is>
          <t>22423</t>
        </is>
      </c>
      <c r="E2485" s="114" t="inlineStr">
        <is>
          <t>REGENCY CAKESTAND 3 TIER</t>
        </is>
      </c>
      <c r="F2485" s="114" t="n">
        <v>2</v>
      </c>
      <c r="G2485" s="115" t="n">
        <v>12.75</v>
      </c>
      <c r="H2485" s="115" t="n">
        <v>25.5</v>
      </c>
      <c r="I2485" s="116" t="n">
        <v>40753</v>
      </c>
    </row>
    <row r="2486">
      <c r="A2486" s="117" t="inlineStr">
        <is>
          <t>561695</t>
        </is>
      </c>
      <c r="B2486" s="117" t="n">
        <v>14005</v>
      </c>
      <c r="C2486" s="117" t="inlineStr">
        <is>
          <t>United Kingdom</t>
        </is>
      </c>
      <c r="D2486" s="117" t="inlineStr">
        <is>
          <t>84987</t>
        </is>
      </c>
      <c r="E2486" s="117" t="inlineStr">
        <is>
          <t>SET OF 36 TEATIME PAPER DOILIES</t>
        </is>
      </c>
      <c r="F2486" s="117" t="n">
        <v>12</v>
      </c>
      <c r="G2486" s="118" t="n">
        <v>1.45</v>
      </c>
      <c r="H2486" s="118" t="n">
        <v>17.4</v>
      </c>
      <c r="I2486" s="119" t="n">
        <v>40753</v>
      </c>
    </row>
    <row r="2487">
      <c r="A2487" s="114" t="inlineStr">
        <is>
          <t>561695</t>
        </is>
      </c>
      <c r="B2487" s="114" t="n">
        <v>14005</v>
      </c>
      <c r="C2487" s="114" t="inlineStr">
        <is>
          <t>United Kingdom</t>
        </is>
      </c>
      <c r="D2487" s="114" t="inlineStr">
        <is>
          <t>22949</t>
        </is>
      </c>
      <c r="E2487" s="114" t="inlineStr">
        <is>
          <t>36 DOILIES DOLLY GIRL</t>
        </is>
      </c>
      <c r="F2487" s="114" t="n">
        <v>12</v>
      </c>
      <c r="G2487" s="115" t="n">
        <v>1.45</v>
      </c>
      <c r="H2487" s="115" t="n">
        <v>17.4</v>
      </c>
      <c r="I2487" s="116" t="n">
        <v>40753</v>
      </c>
    </row>
    <row r="2488">
      <c r="A2488" s="117" t="inlineStr">
        <is>
          <t>561705</t>
        </is>
      </c>
      <c r="B2488" s="117" t="n">
        <v>14735</v>
      </c>
      <c r="C2488" s="117" t="inlineStr">
        <is>
          <t>United Kingdom</t>
        </is>
      </c>
      <c r="D2488" s="117" t="inlineStr">
        <is>
          <t>20914</t>
        </is>
      </c>
      <c r="E2488" s="117" t="inlineStr">
        <is>
          <t>SET/5 RED RETROSPOT LID GLASS BOWLS</t>
        </is>
      </c>
      <c r="F2488" s="117" t="n">
        <v>24</v>
      </c>
      <c r="G2488" s="118" t="n">
        <v>2.95</v>
      </c>
      <c r="H2488" s="118" t="n">
        <v>70.8</v>
      </c>
      <c r="I2488" s="119" t="n">
        <v>40753</v>
      </c>
    </row>
    <row r="2489">
      <c r="A2489" s="114" t="inlineStr">
        <is>
          <t>561712</t>
        </is>
      </c>
      <c r="B2489" s="114" t="n">
        <v>14499</v>
      </c>
      <c r="C2489" s="114" t="inlineStr">
        <is>
          <t>United Kingdom</t>
        </is>
      </c>
      <c r="D2489" s="114" t="inlineStr">
        <is>
          <t>20726</t>
        </is>
      </c>
      <c r="E2489" s="114" t="inlineStr">
        <is>
          <t>LUNCH BAG WOODLAND</t>
        </is>
      </c>
      <c r="F2489" s="114" t="n">
        <v>1</v>
      </c>
      <c r="G2489" s="115" t="n">
        <v>1.65</v>
      </c>
      <c r="H2489" s="115" t="n">
        <v>1.65</v>
      </c>
      <c r="I2489" s="116" t="n">
        <v>40753</v>
      </c>
    </row>
    <row r="2490">
      <c r="A2490" s="117" t="inlineStr">
        <is>
          <t>561712</t>
        </is>
      </c>
      <c r="B2490" s="117" t="n">
        <v>14499</v>
      </c>
      <c r="C2490" s="117" t="inlineStr">
        <is>
          <t>United Kingdom</t>
        </is>
      </c>
      <c r="D2490" s="117" t="inlineStr">
        <is>
          <t>22960</t>
        </is>
      </c>
      <c r="E2490" s="117" t="inlineStr">
        <is>
          <t>JAM MAKING SET WITH JARS</t>
        </is>
      </c>
      <c r="F2490" s="117" t="n">
        <v>2</v>
      </c>
      <c r="G2490" s="118" t="n">
        <v>4.25</v>
      </c>
      <c r="H2490" s="118" t="n">
        <v>8.5</v>
      </c>
      <c r="I2490" s="119" t="n">
        <v>40753</v>
      </c>
    </row>
    <row r="2491">
      <c r="A2491" s="114" t="inlineStr">
        <is>
          <t>561712</t>
        </is>
      </c>
      <c r="B2491" s="114" t="n">
        <v>14499</v>
      </c>
      <c r="C2491" s="114" t="inlineStr">
        <is>
          <t>United Kingdom</t>
        </is>
      </c>
      <c r="D2491" s="114" t="inlineStr">
        <is>
          <t>84970S</t>
        </is>
      </c>
      <c r="E2491" s="114" t="inlineStr">
        <is>
          <t>HANGING HEART ZINC T-LIGHT HOLDER</t>
        </is>
      </c>
      <c r="F2491" s="114" t="n">
        <v>12</v>
      </c>
      <c r="G2491" s="115" t="n">
        <v>0.85</v>
      </c>
      <c r="H2491" s="115" t="n">
        <v>10.2</v>
      </c>
      <c r="I2491" s="116" t="n">
        <v>40753</v>
      </c>
    </row>
    <row r="2492">
      <c r="A2492" s="117" t="inlineStr">
        <is>
          <t>561783</t>
        </is>
      </c>
      <c r="B2492" s="117" t="n">
        <v>16062</v>
      </c>
      <c r="C2492" s="117" t="inlineStr">
        <is>
          <t>United Kingdom</t>
        </is>
      </c>
      <c r="D2492" s="117" t="inlineStr">
        <is>
          <t>22712</t>
        </is>
      </c>
      <c r="E2492" s="117" t="inlineStr">
        <is>
          <t xml:space="preserve">CARD DOLLY GIRL </t>
        </is>
      </c>
      <c r="F2492" s="117" t="n">
        <v>12</v>
      </c>
      <c r="G2492" s="118" t="n">
        <v>0.42</v>
      </c>
      <c r="H2492" s="118" t="n">
        <v>5.04</v>
      </c>
      <c r="I2492" s="119" t="n">
        <v>40753</v>
      </c>
    </row>
    <row r="2493">
      <c r="A2493" s="114" t="inlineStr">
        <is>
          <t>561794</t>
        </is>
      </c>
      <c r="B2493" s="114" t="n">
        <v>12921</v>
      </c>
      <c r="C2493" s="114" t="inlineStr">
        <is>
          <t>United Kingdom</t>
        </is>
      </c>
      <c r="D2493" s="114" t="inlineStr">
        <is>
          <t>22897</t>
        </is>
      </c>
      <c r="E2493" s="114" t="inlineStr">
        <is>
          <t>OVEN MITT APPLES DESIGN</t>
        </is>
      </c>
      <c r="F2493" s="114" t="n">
        <v>10</v>
      </c>
      <c r="G2493" s="115" t="n">
        <v>1.45</v>
      </c>
      <c r="H2493" s="115" t="n">
        <v>14.5</v>
      </c>
      <c r="I2493" s="116" t="n">
        <v>40753</v>
      </c>
    </row>
    <row r="2494">
      <c r="A2494" s="117" t="inlineStr">
        <is>
          <t>561859</t>
        </is>
      </c>
      <c r="B2494" s="117" t="n">
        <v>17750</v>
      </c>
      <c r="C2494" s="117" t="inlineStr">
        <is>
          <t>United Kingdom</t>
        </is>
      </c>
      <c r="D2494" s="117" t="inlineStr">
        <is>
          <t>84925F</t>
        </is>
      </c>
      <c r="E2494" s="117" t="inlineStr">
        <is>
          <t>PSYCHEDELIC WALL THERMOMETER</t>
        </is>
      </c>
      <c r="F2494" s="117" t="n">
        <v>8</v>
      </c>
      <c r="G2494" s="118" t="n">
        <v>0.79</v>
      </c>
      <c r="H2494" s="118" t="n">
        <v>6.32</v>
      </c>
      <c r="I2494" s="119" t="n">
        <v>40753</v>
      </c>
    </row>
    <row r="2495">
      <c r="A2495" s="114" t="inlineStr">
        <is>
          <t>561860</t>
        </is>
      </c>
      <c r="B2495" s="114" t="n">
        <v>17997</v>
      </c>
      <c r="C2495" s="114" t="inlineStr">
        <is>
          <t>United Kingdom</t>
        </is>
      </c>
      <c r="D2495" s="114" t="inlineStr">
        <is>
          <t>85049G</t>
        </is>
      </c>
      <c r="E2495" s="114" t="inlineStr">
        <is>
          <t xml:space="preserve">CHOCOLATE BOX RIBBONS </t>
        </is>
      </c>
      <c r="F2495" s="114" t="n">
        <v>1</v>
      </c>
      <c r="G2495" s="115" t="n">
        <v>1.25</v>
      </c>
      <c r="H2495" s="115" t="n">
        <v>1.25</v>
      </c>
      <c r="I2495" s="116" t="n">
        <v>40753</v>
      </c>
    </row>
    <row r="2496">
      <c r="A2496" s="117" t="inlineStr">
        <is>
          <t>561867</t>
        </is>
      </c>
      <c r="B2496" s="117" t="n">
        <v>16931</v>
      </c>
      <c r="C2496" s="117" t="inlineStr">
        <is>
          <t>United Kingdom</t>
        </is>
      </c>
      <c r="D2496" s="117" t="inlineStr">
        <is>
          <t>21884</t>
        </is>
      </c>
      <c r="E2496" s="117" t="inlineStr">
        <is>
          <t>CAKES AND BOWS GIFT  TAPE</t>
        </is>
      </c>
      <c r="F2496" s="117" t="n">
        <v>1</v>
      </c>
      <c r="G2496" s="118" t="n">
        <v>0.65</v>
      </c>
      <c r="H2496" s="118" t="n">
        <v>0.65</v>
      </c>
      <c r="I2496" s="119" t="n">
        <v>40755</v>
      </c>
    </row>
    <row r="2497">
      <c r="A2497" s="114" t="inlineStr">
        <is>
          <t>561869</t>
        </is>
      </c>
      <c r="B2497" s="114" t="n">
        <v>16764</v>
      </c>
      <c r="C2497" s="114" t="inlineStr">
        <is>
          <t>United Kingdom</t>
        </is>
      </c>
      <c r="D2497" s="114" t="inlineStr">
        <is>
          <t>22624</t>
        </is>
      </c>
      <c r="E2497" s="114" t="inlineStr">
        <is>
          <t>IVORY KITCHEN SCALES</t>
        </is>
      </c>
      <c r="F2497" s="114" t="n">
        <v>1</v>
      </c>
      <c r="G2497" s="115" t="n">
        <v>8.5</v>
      </c>
      <c r="H2497" s="115" t="n">
        <v>8.5</v>
      </c>
      <c r="I2497" s="116" t="n">
        <v>40755</v>
      </c>
    </row>
    <row r="2498">
      <c r="A2498" s="117" t="inlineStr">
        <is>
          <t>561870</t>
        </is>
      </c>
      <c r="B2498" s="117" t="n">
        <v>14911</v>
      </c>
      <c r="C2498" s="117" t="inlineStr">
        <is>
          <t>EIRE</t>
        </is>
      </c>
      <c r="D2498" s="117" t="inlineStr">
        <is>
          <t>22348</t>
        </is>
      </c>
      <c r="E2498" s="117" t="inlineStr">
        <is>
          <t>TEA BAG PLATE RED RETROSPOT</t>
        </is>
      </c>
      <c r="F2498" s="117" t="n">
        <v>12</v>
      </c>
      <c r="G2498" s="118" t="n">
        <v>0.85</v>
      </c>
      <c r="H2498" s="118" t="n">
        <v>10.2</v>
      </c>
      <c r="I2498" s="119" t="n">
        <v>40755</v>
      </c>
    </row>
    <row r="2499">
      <c r="A2499" s="114" t="inlineStr">
        <is>
          <t>561870</t>
        </is>
      </c>
      <c r="B2499" s="114" t="n">
        <v>14911</v>
      </c>
      <c r="C2499" s="114" t="inlineStr">
        <is>
          <t>EIRE</t>
        </is>
      </c>
      <c r="D2499" s="114" t="inlineStr">
        <is>
          <t>21381</t>
        </is>
      </c>
      <c r="E2499" s="114" t="inlineStr">
        <is>
          <t>MINI WOODEN HAPPY BIRTHDAY GARLAND</t>
        </is>
      </c>
      <c r="F2499" s="114" t="n">
        <v>12</v>
      </c>
      <c r="G2499" s="115" t="n">
        <v>1.69</v>
      </c>
      <c r="H2499" s="115" t="n">
        <v>20.28</v>
      </c>
      <c r="I2499" s="116" t="n">
        <v>40755</v>
      </c>
    </row>
    <row r="2500">
      <c r="A2500" s="117" t="inlineStr">
        <is>
          <t>561879</t>
        </is>
      </c>
      <c r="B2500" s="117" t="n">
        <v>13722</v>
      </c>
      <c r="C2500" s="117" t="inlineStr">
        <is>
          <t>United Kingdom</t>
        </is>
      </c>
      <c r="D2500" s="117" t="inlineStr">
        <is>
          <t>23307</t>
        </is>
      </c>
      <c r="E2500" s="117" t="inlineStr">
        <is>
          <t xml:space="preserve">SET OF 60 PANTRY DESIGN CAKE CASES </t>
        </is>
      </c>
      <c r="F2500" s="117" t="n">
        <v>24</v>
      </c>
      <c r="G2500" s="118" t="n">
        <v>0.55</v>
      </c>
      <c r="H2500" s="118" t="n">
        <v>13.2</v>
      </c>
      <c r="I2500" s="119" t="n">
        <v>40755</v>
      </c>
    </row>
    <row r="2501">
      <c r="A2501" s="114" t="inlineStr">
        <is>
          <t>561889</t>
        </is>
      </c>
      <c r="B2501" s="114" t="n">
        <v>15804</v>
      </c>
      <c r="C2501" s="114" t="inlineStr">
        <is>
          <t>United Kingdom</t>
        </is>
      </c>
      <c r="D2501" s="114" t="inlineStr">
        <is>
          <t>22326</t>
        </is>
      </c>
      <c r="E2501" s="114" t="inlineStr">
        <is>
          <t xml:space="preserve">ROUND SNACK BOXES SET OF4 WOODLAND </t>
        </is>
      </c>
      <c r="F2501" s="114" t="n">
        <v>6</v>
      </c>
      <c r="G2501" s="115" t="n">
        <v>2.95</v>
      </c>
      <c r="H2501" s="115" t="n">
        <v>17.7</v>
      </c>
      <c r="I2501" s="116" t="n">
        <v>40755</v>
      </c>
    </row>
    <row r="2502">
      <c r="A2502" s="117" t="inlineStr">
        <is>
          <t>561891</t>
        </is>
      </c>
      <c r="B2502" s="117" t="n">
        <v>15438</v>
      </c>
      <c r="C2502" s="117" t="inlineStr">
        <is>
          <t>United Kingdom</t>
        </is>
      </c>
      <c r="D2502" s="117" t="inlineStr">
        <is>
          <t>84970S</t>
        </is>
      </c>
      <c r="E2502" s="117" t="inlineStr">
        <is>
          <t>HANGING HEART ZINC T-LIGHT HOLDER</t>
        </is>
      </c>
      <c r="F2502" s="117" t="n">
        <v>3</v>
      </c>
      <c r="G2502" s="118" t="n">
        <v>0.85</v>
      </c>
      <c r="H2502" s="118" t="n">
        <v>2.55</v>
      </c>
      <c r="I2502" s="119" t="n">
        <v>40755</v>
      </c>
    </row>
    <row r="2503">
      <c r="A2503" s="114" t="inlineStr">
        <is>
          <t>561894</t>
        </is>
      </c>
      <c r="B2503" s="114" t="n">
        <v>14456</v>
      </c>
      <c r="C2503" s="114" t="inlineStr">
        <is>
          <t>United Kingdom</t>
        </is>
      </c>
      <c r="D2503" s="114" t="inlineStr">
        <is>
          <t>22974</t>
        </is>
      </c>
      <c r="E2503" s="114" t="inlineStr">
        <is>
          <t>CHILDRENS DOLLY GIRL MUG</t>
        </is>
      </c>
      <c r="F2503" s="114" t="n">
        <v>1</v>
      </c>
      <c r="G2503" s="115" t="n">
        <v>1.65</v>
      </c>
      <c r="H2503" s="115" t="n">
        <v>1.65</v>
      </c>
      <c r="I2503" s="116" t="n">
        <v>40755</v>
      </c>
    </row>
    <row r="2504">
      <c r="A2504" s="117" t="inlineStr">
        <is>
          <t>561894</t>
        </is>
      </c>
      <c r="B2504" s="117" t="n">
        <v>14456</v>
      </c>
      <c r="C2504" s="117" t="inlineStr">
        <is>
          <t>United Kingdom</t>
        </is>
      </c>
      <c r="D2504" s="117" t="inlineStr">
        <is>
          <t>22971</t>
        </is>
      </c>
      <c r="E2504" s="117" t="inlineStr">
        <is>
          <t>QUEENS GUARD COFFEE MUG</t>
        </is>
      </c>
      <c r="F2504" s="117" t="n">
        <v>1</v>
      </c>
      <c r="G2504" s="118" t="n">
        <v>2.55</v>
      </c>
      <c r="H2504" s="118" t="n">
        <v>2.55</v>
      </c>
      <c r="I2504" s="119" t="n">
        <v>40755</v>
      </c>
    </row>
    <row r="2505">
      <c r="A2505" s="114" t="inlineStr">
        <is>
          <t>561897</t>
        </is>
      </c>
      <c r="B2505" s="114" t="n">
        <v>17841</v>
      </c>
      <c r="C2505" s="114" t="inlineStr">
        <is>
          <t>United Kingdom</t>
        </is>
      </c>
      <c r="D2505" s="114" t="inlineStr">
        <is>
          <t>22467</t>
        </is>
      </c>
      <c r="E2505" s="114" t="inlineStr">
        <is>
          <t>GUMBALL COAT RACK</t>
        </is>
      </c>
      <c r="F2505" s="114" t="n">
        <v>1</v>
      </c>
      <c r="G2505" s="115" t="n">
        <v>2.55</v>
      </c>
      <c r="H2505" s="115" t="n">
        <v>2.55</v>
      </c>
      <c r="I2505" s="116" t="n">
        <v>40755</v>
      </c>
    </row>
    <row r="2506">
      <c r="A2506" s="117" t="inlineStr">
        <is>
          <t>561899</t>
        </is>
      </c>
      <c r="B2506" s="117" t="n">
        <v>17173</v>
      </c>
      <c r="C2506" s="117" t="inlineStr">
        <is>
          <t>United Kingdom</t>
        </is>
      </c>
      <c r="D2506" s="117" t="inlineStr">
        <is>
          <t>21531</t>
        </is>
      </c>
      <c r="E2506" s="117" t="inlineStr">
        <is>
          <t>RED RETROSPOT SUGAR JAM BOWL</t>
        </is>
      </c>
      <c r="F2506" s="117" t="n">
        <v>6</v>
      </c>
      <c r="G2506" s="118" t="n">
        <v>2.1</v>
      </c>
      <c r="H2506" s="118" t="n">
        <v>12.6</v>
      </c>
      <c r="I2506" s="119" t="n">
        <v>40755</v>
      </c>
    </row>
    <row r="2507">
      <c r="A2507" s="114" t="inlineStr">
        <is>
          <t>561900</t>
        </is>
      </c>
      <c r="B2507" s="114" t="n">
        <v>16655</v>
      </c>
      <c r="C2507" s="114" t="inlineStr">
        <is>
          <t>United Kingdom</t>
        </is>
      </c>
      <c r="D2507" s="114" t="inlineStr">
        <is>
          <t>22602</t>
        </is>
      </c>
      <c r="E2507" s="114" t="inlineStr">
        <is>
          <t>RETROSPOT WOODEN HEART DECORATION</t>
        </is>
      </c>
      <c r="F2507" s="114" t="n">
        <v>8</v>
      </c>
      <c r="G2507" s="115" t="n">
        <v>0.85</v>
      </c>
      <c r="H2507" s="115" t="n">
        <v>6.8</v>
      </c>
      <c r="I2507" s="116" t="n">
        <v>40755</v>
      </c>
    </row>
    <row r="2508">
      <c r="A2508" s="117" t="inlineStr">
        <is>
          <t>561900</t>
        </is>
      </c>
      <c r="B2508" s="117" t="n">
        <v>16655</v>
      </c>
      <c r="C2508" s="117" t="inlineStr">
        <is>
          <t>United Kingdom</t>
        </is>
      </c>
      <c r="D2508" s="117" t="inlineStr">
        <is>
          <t>22572</t>
        </is>
      </c>
      <c r="E2508" s="117" t="inlineStr">
        <is>
          <t xml:space="preserve">ROCKING HORSE GREEN CHRISTMAS </t>
        </is>
      </c>
      <c r="F2508" s="117" t="n">
        <v>1</v>
      </c>
      <c r="G2508" s="118" t="n">
        <v>0.85</v>
      </c>
      <c r="H2508" s="118" t="n">
        <v>0.85</v>
      </c>
      <c r="I2508" s="119" t="n">
        <v>40755</v>
      </c>
    </row>
    <row r="2509">
      <c r="A2509" s="114" t="inlineStr">
        <is>
          <t>561911</t>
        </is>
      </c>
      <c r="B2509" s="114" t="n">
        <v>12534</v>
      </c>
      <c r="C2509" s="114" t="inlineStr">
        <is>
          <t>Germany</t>
        </is>
      </c>
      <c r="D2509" s="114" t="inlineStr">
        <is>
          <t>POST</t>
        </is>
      </c>
      <c r="E2509" s="114" t="inlineStr">
        <is>
          <t>POSTAGE</t>
        </is>
      </c>
      <c r="F2509" s="114" t="n">
        <v>6</v>
      </c>
      <c r="G2509" s="115" t="n">
        <v>18</v>
      </c>
      <c r="H2509" s="115" t="n">
        <v>108</v>
      </c>
      <c r="I2509" s="116" t="n">
        <v>40756</v>
      </c>
    </row>
    <row r="2510">
      <c r="A2510" s="117" t="inlineStr">
        <is>
          <t>561915</t>
        </is>
      </c>
      <c r="B2510" s="117" t="n">
        <v>14408</v>
      </c>
      <c r="C2510" s="117" t="inlineStr">
        <is>
          <t>United Kingdom</t>
        </is>
      </c>
      <c r="D2510" s="117" t="inlineStr">
        <is>
          <t>22030</t>
        </is>
      </c>
      <c r="E2510" s="117" t="inlineStr">
        <is>
          <t>SWALLOWS GREETING CARD</t>
        </is>
      </c>
      <c r="F2510" s="117" t="n">
        <v>12</v>
      </c>
      <c r="G2510" s="118" t="n">
        <v>0.42</v>
      </c>
      <c r="H2510" s="118" t="n">
        <v>5.04</v>
      </c>
      <c r="I2510" s="119" t="n">
        <v>40756</v>
      </c>
    </row>
    <row r="2511">
      <c r="A2511" s="114" t="inlineStr">
        <is>
          <t>561917</t>
        </is>
      </c>
      <c r="B2511" s="114" t="n">
        <v>16904</v>
      </c>
      <c r="C2511" s="114" t="inlineStr">
        <is>
          <t>United Kingdom</t>
        </is>
      </c>
      <c r="D2511" s="114" t="inlineStr">
        <is>
          <t>21172</t>
        </is>
      </c>
      <c r="E2511" s="114" t="inlineStr">
        <is>
          <t xml:space="preserve">PARTY METAL SIGN </t>
        </is>
      </c>
      <c r="F2511" s="114" t="n">
        <v>2</v>
      </c>
      <c r="G2511" s="115" t="n">
        <v>1.45</v>
      </c>
      <c r="H2511" s="115" t="n">
        <v>2.9</v>
      </c>
      <c r="I2511" s="116" t="n">
        <v>40756</v>
      </c>
    </row>
    <row r="2512">
      <c r="A2512" s="117" t="inlineStr">
        <is>
          <t>561917</t>
        </is>
      </c>
      <c r="B2512" s="117" t="n">
        <v>16904</v>
      </c>
      <c r="C2512" s="117" t="inlineStr">
        <is>
          <t>United Kingdom</t>
        </is>
      </c>
      <c r="D2512" s="117" t="inlineStr">
        <is>
          <t>21411</t>
        </is>
      </c>
      <c r="E2512" s="117" t="inlineStr">
        <is>
          <t>GINGHAM HEART  DOORSTOP RED</t>
        </is>
      </c>
      <c r="F2512" s="117" t="n">
        <v>2</v>
      </c>
      <c r="G2512" s="118" t="n">
        <v>4.25</v>
      </c>
      <c r="H2512" s="118" t="n">
        <v>8.5</v>
      </c>
      <c r="I2512" s="119" t="n">
        <v>40756</v>
      </c>
    </row>
    <row r="2513">
      <c r="A2513" s="114" t="inlineStr">
        <is>
          <t>561955</t>
        </is>
      </c>
      <c r="B2513" s="114" t="n">
        <v>12949</v>
      </c>
      <c r="C2513" s="114" t="inlineStr">
        <is>
          <t>United Kingdom</t>
        </is>
      </c>
      <c r="D2513" s="114" t="inlineStr">
        <is>
          <t>82494L</t>
        </is>
      </c>
      <c r="E2513" s="114" t="inlineStr">
        <is>
          <t xml:space="preserve">WOODEN FRAME ANTIQUE WHITE </t>
        </is>
      </c>
      <c r="F2513" s="114" t="n">
        <v>6</v>
      </c>
      <c r="G2513" s="115" t="n">
        <v>2.95</v>
      </c>
      <c r="H2513" s="115" t="n">
        <v>17.7</v>
      </c>
      <c r="I2513" s="116" t="n">
        <v>40756</v>
      </c>
    </row>
    <row r="2514">
      <c r="A2514" s="117" t="inlineStr">
        <is>
          <t>561967</t>
        </is>
      </c>
      <c r="B2514" s="117" t="n">
        <v>12844</v>
      </c>
      <c r="C2514" s="117" t="inlineStr">
        <is>
          <t>United Kingdom</t>
        </is>
      </c>
      <c r="D2514" s="117" t="inlineStr">
        <is>
          <t>22402</t>
        </is>
      </c>
      <c r="E2514" s="117" t="inlineStr">
        <is>
          <t>MAGNETS PACK OF 4 VINTAGE COLLAGE</t>
        </is>
      </c>
      <c r="F2514" s="117" t="n">
        <v>3</v>
      </c>
      <c r="G2514" s="118" t="n">
        <v>0.39</v>
      </c>
      <c r="H2514" s="118" t="n">
        <v>1.17</v>
      </c>
      <c r="I2514" s="119" t="n">
        <v>40756</v>
      </c>
    </row>
    <row r="2515">
      <c r="A2515" s="114" t="inlineStr">
        <is>
          <t>562031</t>
        </is>
      </c>
      <c r="B2515" s="114" t="n">
        <v>16984</v>
      </c>
      <c r="C2515" s="114" t="inlineStr">
        <is>
          <t>United Kingdom</t>
        </is>
      </c>
      <c r="D2515" s="114" t="inlineStr">
        <is>
          <t>90160A</t>
        </is>
      </c>
      <c r="E2515" s="114" t="inlineStr">
        <is>
          <t>PURPLE BOUDICCA LARGE BRACELET</t>
        </is>
      </c>
      <c r="F2515" s="114" t="n">
        <v>2</v>
      </c>
      <c r="G2515" s="115" t="n">
        <v>6.95</v>
      </c>
      <c r="H2515" s="115" t="n">
        <v>13.9</v>
      </c>
      <c r="I2515" s="116" t="n">
        <v>40756</v>
      </c>
    </row>
    <row r="2516">
      <c r="A2516" s="117" t="inlineStr">
        <is>
          <t>562031</t>
        </is>
      </c>
      <c r="B2516" s="117" t="n">
        <v>16984</v>
      </c>
      <c r="C2516" s="117" t="inlineStr">
        <is>
          <t>United Kingdom</t>
        </is>
      </c>
      <c r="D2516" s="117" t="inlineStr">
        <is>
          <t>82551</t>
        </is>
      </c>
      <c r="E2516" s="117" t="inlineStr">
        <is>
          <t>LAUNDRY 15C METAL SIGN</t>
        </is>
      </c>
      <c r="F2516" s="117" t="n">
        <v>4</v>
      </c>
      <c r="G2516" s="118" t="n">
        <v>1.45</v>
      </c>
      <c r="H2516" s="118" t="n">
        <v>5.8</v>
      </c>
      <c r="I2516" s="119" t="n">
        <v>40756</v>
      </c>
    </row>
    <row r="2517">
      <c r="A2517" s="114" t="inlineStr">
        <is>
          <t>562031</t>
        </is>
      </c>
      <c r="B2517" s="114" t="n">
        <v>16984</v>
      </c>
      <c r="C2517" s="114" t="inlineStr">
        <is>
          <t>United Kingdom</t>
        </is>
      </c>
      <c r="D2517" s="114" t="inlineStr">
        <is>
          <t>90123B</t>
        </is>
      </c>
      <c r="E2517" s="114" t="inlineStr">
        <is>
          <t>TURQUOISE HEART OF GLASS BRACELET</t>
        </is>
      </c>
      <c r="F2517" s="114" t="n">
        <v>3</v>
      </c>
      <c r="G2517" s="115" t="n">
        <v>5.95</v>
      </c>
      <c r="H2517" s="115" t="n">
        <v>17.85</v>
      </c>
      <c r="I2517" s="116" t="n">
        <v>40756</v>
      </c>
    </row>
    <row r="2518">
      <c r="A2518" s="117" t="inlineStr">
        <is>
          <t>562033</t>
        </is>
      </c>
      <c r="B2518" s="117" t="n">
        <v>15410</v>
      </c>
      <c r="C2518" s="117" t="inlineStr">
        <is>
          <t>United Kingdom</t>
        </is>
      </c>
      <c r="D2518" s="117" t="inlineStr">
        <is>
          <t>82482</t>
        </is>
      </c>
      <c r="E2518" s="117" t="inlineStr">
        <is>
          <t>WOODEN PICTURE FRAME WHITE FINISH</t>
        </is>
      </c>
      <c r="F2518" s="117" t="n">
        <v>6</v>
      </c>
      <c r="G2518" s="118" t="n">
        <v>2.55</v>
      </c>
      <c r="H2518" s="118" t="n">
        <v>15.3</v>
      </c>
      <c r="I2518" s="119" t="n">
        <v>40757</v>
      </c>
    </row>
    <row r="2519">
      <c r="A2519" s="114" t="inlineStr">
        <is>
          <t>562035</t>
        </is>
      </c>
      <c r="B2519" s="114" t="n">
        <v>12627</v>
      </c>
      <c r="C2519" s="114" t="inlineStr">
        <is>
          <t>Germany</t>
        </is>
      </c>
      <c r="D2519" s="114" t="inlineStr">
        <is>
          <t>22445</t>
        </is>
      </c>
      <c r="E2519" s="114" t="inlineStr">
        <is>
          <t>PENCIL CASE LIFE IS BEAUTIFUL</t>
        </is>
      </c>
      <c r="F2519" s="114" t="n">
        <v>6</v>
      </c>
      <c r="G2519" s="115" t="n">
        <v>2.95</v>
      </c>
      <c r="H2519" s="115" t="n">
        <v>17.7</v>
      </c>
      <c r="I2519" s="116" t="n">
        <v>40757</v>
      </c>
    </row>
    <row r="2520">
      <c r="A2520" s="117" t="inlineStr">
        <is>
          <t>562046</t>
        </is>
      </c>
      <c r="B2520" s="117" t="n">
        <v>12378</v>
      </c>
      <c r="C2520" s="117" t="inlineStr">
        <is>
          <t>Switzerland</t>
        </is>
      </c>
      <c r="D2520" s="117" t="inlineStr">
        <is>
          <t>22431</t>
        </is>
      </c>
      <c r="E2520" s="117" t="inlineStr">
        <is>
          <t>WATERING CAN BLUE ELEPHANT</t>
        </is>
      </c>
      <c r="F2520" s="117" t="n">
        <v>6</v>
      </c>
      <c r="G2520" s="118" t="n">
        <v>1.95</v>
      </c>
      <c r="H2520" s="118" t="n">
        <v>11.7</v>
      </c>
      <c r="I2520" s="119" t="n">
        <v>40757</v>
      </c>
    </row>
    <row r="2521">
      <c r="A2521" s="114" t="inlineStr">
        <is>
          <t>562046</t>
        </is>
      </c>
      <c r="B2521" s="114" t="n">
        <v>12378</v>
      </c>
      <c r="C2521" s="114" t="inlineStr">
        <is>
          <t>Switzerland</t>
        </is>
      </c>
      <c r="D2521" s="114" t="inlineStr">
        <is>
          <t>21039</t>
        </is>
      </c>
      <c r="E2521" s="114" t="inlineStr">
        <is>
          <t>RED RETROSPOT SHOPPING BAG</t>
        </is>
      </c>
      <c r="F2521" s="114" t="n">
        <v>12</v>
      </c>
      <c r="G2521" s="115" t="n">
        <v>2.55</v>
      </c>
      <c r="H2521" s="115" t="n">
        <v>30.6</v>
      </c>
      <c r="I2521" s="116" t="n">
        <v>40757</v>
      </c>
    </row>
    <row r="2522">
      <c r="A2522" s="117" t="inlineStr">
        <is>
          <t>562046</t>
        </is>
      </c>
      <c r="B2522" s="117" t="n">
        <v>12378</v>
      </c>
      <c r="C2522" s="117" t="inlineStr">
        <is>
          <t>Switzerland</t>
        </is>
      </c>
      <c r="D2522" s="117" t="inlineStr">
        <is>
          <t>23223</t>
        </is>
      </c>
      <c r="E2522" s="117" t="inlineStr">
        <is>
          <t xml:space="preserve">CHRISTMAS TREE HANGING SILVER </t>
        </is>
      </c>
      <c r="F2522" s="117" t="n">
        <v>12</v>
      </c>
      <c r="G2522" s="118" t="n">
        <v>0.83</v>
      </c>
      <c r="H2522" s="118" t="n">
        <v>9.960000000000001</v>
      </c>
      <c r="I2522" s="119" t="n">
        <v>40757</v>
      </c>
    </row>
    <row r="2523">
      <c r="A2523" s="114" t="inlineStr">
        <is>
          <t>562085</t>
        </is>
      </c>
      <c r="B2523" s="114" t="n">
        <v>15228</v>
      </c>
      <c r="C2523" s="114" t="inlineStr">
        <is>
          <t>United Kingdom</t>
        </is>
      </c>
      <c r="D2523" s="114" t="inlineStr">
        <is>
          <t>23126</t>
        </is>
      </c>
      <c r="E2523" s="114" t="inlineStr">
        <is>
          <t>FELTCRAFT GIRL AMELIE KIT</t>
        </is>
      </c>
      <c r="F2523" s="114" t="n">
        <v>4</v>
      </c>
      <c r="G2523" s="115" t="n">
        <v>4.95</v>
      </c>
      <c r="H2523" s="115" t="n">
        <v>19.8</v>
      </c>
      <c r="I2523" s="116" t="n">
        <v>40757</v>
      </c>
    </row>
    <row r="2524">
      <c r="A2524" s="117" t="inlineStr">
        <is>
          <t>562087</t>
        </is>
      </c>
      <c r="B2524" s="117" t="n">
        <v>14606</v>
      </c>
      <c r="C2524" s="117" t="inlineStr">
        <is>
          <t>United Kingdom</t>
        </is>
      </c>
      <c r="D2524" s="117" t="inlineStr">
        <is>
          <t>21985</t>
        </is>
      </c>
      <c r="E2524" s="117" t="inlineStr">
        <is>
          <t xml:space="preserve">PACK OF 12 HEARTS DESIGN TISSUES </t>
        </is>
      </c>
      <c r="F2524" s="117" t="n">
        <v>4</v>
      </c>
      <c r="G2524" s="118" t="n">
        <v>0.29</v>
      </c>
      <c r="H2524" s="118" t="n">
        <v>1.16</v>
      </c>
      <c r="I2524" s="119" t="n">
        <v>40757</v>
      </c>
    </row>
    <row r="2525">
      <c r="A2525" s="114" t="inlineStr">
        <is>
          <t>562096</t>
        </is>
      </c>
      <c r="B2525" s="114" t="n">
        <v>15311</v>
      </c>
      <c r="C2525" s="114" t="inlineStr">
        <is>
          <t>United Kingdom</t>
        </is>
      </c>
      <c r="D2525" s="114" t="inlineStr">
        <is>
          <t>21715</t>
        </is>
      </c>
      <c r="E2525" s="114" t="inlineStr">
        <is>
          <t>GIRLS VINTAGE TIN SEASIDE BUCKET</t>
        </is>
      </c>
      <c r="F2525" s="114" t="n">
        <v>1</v>
      </c>
      <c r="G2525" s="115" t="n">
        <v>2.55</v>
      </c>
      <c r="H2525" s="115" t="n">
        <v>2.55</v>
      </c>
      <c r="I2525" s="116" t="n">
        <v>40757</v>
      </c>
    </row>
    <row r="2526">
      <c r="A2526" s="117" t="inlineStr">
        <is>
          <t>562101</t>
        </is>
      </c>
      <c r="B2526" s="117" t="n">
        <v>13850</v>
      </c>
      <c r="C2526" s="117" t="inlineStr">
        <is>
          <t>United Kingdom</t>
        </is>
      </c>
      <c r="D2526" s="117" t="inlineStr">
        <is>
          <t>22731</t>
        </is>
      </c>
      <c r="E2526" s="117" t="inlineStr">
        <is>
          <t xml:space="preserve">3D CHRISTMAS STAMPS STICKERS </t>
        </is>
      </c>
      <c r="F2526" s="117" t="n">
        <v>18</v>
      </c>
      <c r="G2526" s="118" t="n">
        <v>1.25</v>
      </c>
      <c r="H2526" s="118" t="n">
        <v>22.5</v>
      </c>
      <c r="I2526" s="119" t="n">
        <v>40757</v>
      </c>
    </row>
    <row r="2527">
      <c r="A2527" s="114" t="inlineStr">
        <is>
          <t>562125</t>
        </is>
      </c>
      <c r="B2527" s="114" t="n">
        <v>17887</v>
      </c>
      <c r="C2527" s="114" t="inlineStr">
        <is>
          <t>United Kingdom</t>
        </is>
      </c>
      <c r="D2527" s="114" t="inlineStr">
        <is>
          <t>22802</t>
        </is>
      </c>
      <c r="E2527" s="114" t="inlineStr">
        <is>
          <t>FAUX FUR CHOCOLATE THROW</t>
        </is>
      </c>
      <c r="F2527" s="114" t="n">
        <v>2</v>
      </c>
      <c r="G2527" s="115" t="n">
        <v>19.95</v>
      </c>
      <c r="H2527" s="115" t="n">
        <v>39.9</v>
      </c>
      <c r="I2527" s="116" t="n">
        <v>40757</v>
      </c>
    </row>
    <row r="2528">
      <c r="A2528" s="117" t="inlineStr">
        <is>
          <t>562128</t>
        </is>
      </c>
      <c r="B2528" s="117" t="n">
        <v>16150</v>
      </c>
      <c r="C2528" s="117" t="inlineStr">
        <is>
          <t>United Kingdom</t>
        </is>
      </c>
      <c r="D2528" s="117" t="inlineStr">
        <is>
          <t>22173</t>
        </is>
      </c>
      <c r="E2528" s="117" t="inlineStr">
        <is>
          <t>METAL 4 HOOK HANGER FRENCH CHATEAU</t>
        </is>
      </c>
      <c r="F2528" s="117" t="n">
        <v>8</v>
      </c>
      <c r="G2528" s="118" t="n">
        <v>2.95</v>
      </c>
      <c r="H2528" s="118" t="n">
        <v>23.6</v>
      </c>
      <c r="I2528" s="119" t="n">
        <v>40758</v>
      </c>
    </row>
    <row r="2529">
      <c r="A2529" s="114" t="inlineStr">
        <is>
          <t>562128</t>
        </is>
      </c>
      <c r="B2529" s="114" t="n">
        <v>16150</v>
      </c>
      <c r="C2529" s="114" t="inlineStr">
        <is>
          <t>United Kingdom</t>
        </is>
      </c>
      <c r="D2529" s="114" t="inlineStr">
        <is>
          <t>21671</t>
        </is>
      </c>
      <c r="E2529" s="114" t="inlineStr">
        <is>
          <t>RED SPOT CERAMIC DRAWER KNOB</t>
        </is>
      </c>
      <c r="F2529" s="114" t="n">
        <v>12</v>
      </c>
      <c r="G2529" s="115" t="n">
        <v>1.25</v>
      </c>
      <c r="H2529" s="115" t="n">
        <v>15</v>
      </c>
      <c r="I2529" s="116" t="n">
        <v>40758</v>
      </c>
    </row>
    <row r="2530">
      <c r="A2530" s="117" t="inlineStr">
        <is>
          <t>562128</t>
        </is>
      </c>
      <c r="B2530" s="117" t="n">
        <v>16150</v>
      </c>
      <c r="C2530" s="117" t="inlineStr">
        <is>
          <t>United Kingdom</t>
        </is>
      </c>
      <c r="D2530" s="117" t="inlineStr">
        <is>
          <t>22669</t>
        </is>
      </c>
      <c r="E2530" s="117" t="inlineStr">
        <is>
          <t xml:space="preserve">RED BABY BUNTING </t>
        </is>
      </c>
      <c r="F2530" s="117" t="n">
        <v>5</v>
      </c>
      <c r="G2530" s="118" t="n">
        <v>2.95</v>
      </c>
      <c r="H2530" s="118" t="n">
        <v>14.75</v>
      </c>
      <c r="I2530" s="119" t="n">
        <v>40758</v>
      </c>
    </row>
    <row r="2531">
      <c r="A2531" s="114" t="inlineStr">
        <is>
          <t>562129</t>
        </is>
      </c>
      <c r="B2531" s="114" t="n">
        <v>13186</v>
      </c>
      <c r="C2531" s="114" t="inlineStr">
        <is>
          <t>United Kingdom</t>
        </is>
      </c>
      <c r="D2531" s="114" t="inlineStr">
        <is>
          <t>22412</t>
        </is>
      </c>
      <c r="E2531" s="114" t="inlineStr">
        <is>
          <t xml:space="preserve">METAL SIGN NEIGHBOURHOOD WITCH </t>
        </is>
      </c>
      <c r="F2531" s="114" t="n">
        <v>12</v>
      </c>
      <c r="G2531" s="115" t="n">
        <v>2.1</v>
      </c>
      <c r="H2531" s="115" t="n">
        <v>25.2</v>
      </c>
      <c r="I2531" s="116" t="n">
        <v>40758</v>
      </c>
    </row>
    <row r="2532">
      <c r="A2532" s="117" t="inlineStr">
        <is>
          <t>562132</t>
        </is>
      </c>
      <c r="B2532" s="117" t="n">
        <v>13384</v>
      </c>
      <c r="C2532" s="117" t="inlineStr">
        <is>
          <t>United Kingdom</t>
        </is>
      </c>
      <c r="D2532" s="117" t="inlineStr">
        <is>
          <t>21509</t>
        </is>
      </c>
      <c r="E2532" s="117" t="inlineStr">
        <is>
          <t xml:space="preserve">COWBOYS AND INDIANS BIRTHDAY CARD </t>
        </is>
      </c>
      <c r="F2532" s="117" t="n">
        <v>24</v>
      </c>
      <c r="G2532" s="118" t="n">
        <v>0.42</v>
      </c>
      <c r="H2532" s="118" t="n">
        <v>10.08</v>
      </c>
      <c r="I2532" s="119" t="n">
        <v>40758</v>
      </c>
    </row>
    <row r="2533">
      <c r="A2533" s="114" t="inlineStr">
        <is>
          <t>562153</t>
        </is>
      </c>
      <c r="B2533" s="114" t="n">
        <v>14088</v>
      </c>
      <c r="C2533" s="114" t="inlineStr">
        <is>
          <t>United Kingdom</t>
        </is>
      </c>
      <c r="D2533" s="114" t="inlineStr">
        <is>
          <t>22758</t>
        </is>
      </c>
      <c r="E2533" s="114" t="inlineStr">
        <is>
          <t xml:space="preserve">LARGE PURPLE BABUSHKA NOTEBOOK  </t>
        </is>
      </c>
      <c r="F2533" s="114" t="n">
        <v>48</v>
      </c>
      <c r="G2533" s="115" t="n">
        <v>1.06</v>
      </c>
      <c r="H2533" s="115" t="n">
        <v>50.88</v>
      </c>
      <c r="I2533" s="116" t="n">
        <v>40758</v>
      </c>
    </row>
    <row r="2534">
      <c r="A2534" s="117" t="inlineStr">
        <is>
          <t>562204</t>
        </is>
      </c>
      <c r="B2534" s="117" t="n">
        <v>16324</v>
      </c>
      <c r="C2534" s="117" t="inlineStr">
        <is>
          <t>United Kingdom</t>
        </is>
      </c>
      <c r="D2534" s="117" t="inlineStr">
        <is>
          <t>22780</t>
        </is>
      </c>
      <c r="E2534" s="117" t="inlineStr">
        <is>
          <t>LIGHT GARLAND BUTTERFILES PINK</t>
        </is>
      </c>
      <c r="F2534" s="117" t="n">
        <v>1</v>
      </c>
      <c r="G2534" s="118" t="n">
        <v>4.25</v>
      </c>
      <c r="H2534" s="118" t="n">
        <v>4.25</v>
      </c>
      <c r="I2534" s="119" t="n">
        <v>40758</v>
      </c>
    </row>
    <row r="2535">
      <c r="A2535" s="114" t="inlineStr">
        <is>
          <t>562204</t>
        </is>
      </c>
      <c r="B2535" s="114" t="n">
        <v>16324</v>
      </c>
      <c r="C2535" s="114" t="inlineStr">
        <is>
          <t>United Kingdom</t>
        </is>
      </c>
      <c r="D2535" s="114" t="inlineStr">
        <is>
          <t>22563</t>
        </is>
      </c>
      <c r="E2535" s="114" t="inlineStr">
        <is>
          <t>HAPPY STENCIL CRAFT</t>
        </is>
      </c>
      <c r="F2535" s="114" t="n">
        <v>14</v>
      </c>
      <c r="G2535" s="115" t="n">
        <v>1.25</v>
      </c>
      <c r="H2535" s="115" t="n">
        <v>17.5</v>
      </c>
      <c r="I2535" s="116" t="n">
        <v>40758</v>
      </c>
    </row>
    <row r="2536">
      <c r="A2536" s="117" t="inlineStr">
        <is>
          <t>562205</t>
        </is>
      </c>
      <c r="B2536" s="117" t="n">
        <v>18055</v>
      </c>
      <c r="C2536" s="117" t="inlineStr">
        <is>
          <t>United Kingdom</t>
        </is>
      </c>
      <c r="D2536" s="117" t="inlineStr">
        <is>
          <t>72741</t>
        </is>
      </c>
      <c r="E2536" s="117" t="inlineStr">
        <is>
          <t>GRAND CHOCOLATECANDLE</t>
        </is>
      </c>
      <c r="F2536" s="117" t="n">
        <v>9</v>
      </c>
      <c r="G2536" s="118" t="n">
        <v>1.45</v>
      </c>
      <c r="H2536" s="118" t="n">
        <v>13.05</v>
      </c>
      <c r="I2536" s="119" t="n">
        <v>40758</v>
      </c>
    </row>
    <row r="2537">
      <c r="A2537" s="114" t="inlineStr">
        <is>
          <t>562217</t>
        </is>
      </c>
      <c r="B2537" s="114" t="n">
        <v>17659</v>
      </c>
      <c r="C2537" s="114" t="inlineStr">
        <is>
          <t>United Kingdom</t>
        </is>
      </c>
      <c r="D2537" s="114" t="inlineStr">
        <is>
          <t>22448</t>
        </is>
      </c>
      <c r="E2537" s="114" t="inlineStr">
        <is>
          <t>PIN CUSHION BABUSHKA RED</t>
        </is>
      </c>
      <c r="F2537" s="114" t="n">
        <v>6</v>
      </c>
      <c r="G2537" s="115" t="n">
        <v>3.35</v>
      </c>
      <c r="H2537" s="115" t="n">
        <v>20.1</v>
      </c>
      <c r="I2537" s="116" t="n">
        <v>40758</v>
      </c>
    </row>
    <row r="2538">
      <c r="A2538" s="117" t="inlineStr">
        <is>
          <t>562218</t>
        </is>
      </c>
      <c r="B2538" s="117" t="n">
        <v>13851</v>
      </c>
      <c r="C2538" s="117" t="inlineStr">
        <is>
          <t>United Kingdom</t>
        </is>
      </c>
      <c r="D2538" s="117" t="inlineStr">
        <is>
          <t>84077</t>
        </is>
      </c>
      <c r="E2538" s="117" t="inlineStr">
        <is>
          <t>WORLD WAR 2 GLIDERS ASSTD DESIGNS</t>
        </is>
      </c>
      <c r="F2538" s="117" t="n">
        <v>48</v>
      </c>
      <c r="G2538" s="118" t="n">
        <v>0.29</v>
      </c>
      <c r="H2538" s="118" t="n">
        <v>13.92</v>
      </c>
      <c r="I2538" s="119" t="n">
        <v>40758</v>
      </c>
    </row>
    <row r="2539">
      <c r="A2539" s="114" t="inlineStr">
        <is>
          <t>562222</t>
        </is>
      </c>
      <c r="B2539" s="114" t="n">
        <v>18073</v>
      </c>
      <c r="C2539" s="114" t="inlineStr">
        <is>
          <t>United Kingdom</t>
        </is>
      </c>
      <c r="D2539" s="114" t="inlineStr">
        <is>
          <t>22699</t>
        </is>
      </c>
      <c r="E2539" s="114" t="inlineStr">
        <is>
          <t xml:space="preserve">ROSES REGENCY TEACUP AND SAUCER </t>
        </is>
      </c>
      <c r="F2539" s="114" t="n">
        <v>12</v>
      </c>
      <c r="G2539" s="115" t="n">
        <v>2.95</v>
      </c>
      <c r="H2539" s="115" t="n">
        <v>35.4</v>
      </c>
      <c r="I2539" s="116" t="n">
        <v>40758</v>
      </c>
    </row>
    <row r="2540">
      <c r="A2540" s="117" t="inlineStr">
        <is>
          <t>562258</t>
        </is>
      </c>
      <c r="B2540" s="117" t="n">
        <v>16348</v>
      </c>
      <c r="C2540" s="117" t="inlineStr">
        <is>
          <t>United Kingdom</t>
        </is>
      </c>
      <c r="D2540" s="117" t="inlineStr">
        <is>
          <t>20980</t>
        </is>
      </c>
      <c r="E2540" s="117" t="inlineStr">
        <is>
          <t>36 PENCILS TUBE POSY</t>
        </is>
      </c>
      <c r="F2540" s="117" t="n">
        <v>2</v>
      </c>
      <c r="G2540" s="118" t="n">
        <v>1.25</v>
      </c>
      <c r="H2540" s="118" t="n">
        <v>2.5</v>
      </c>
      <c r="I2540" s="119" t="n">
        <v>40758</v>
      </c>
    </row>
    <row r="2541">
      <c r="A2541" s="114" t="inlineStr">
        <is>
          <t>562260</t>
        </is>
      </c>
      <c r="B2541" s="114" t="n">
        <v>13408</v>
      </c>
      <c r="C2541" s="114" t="inlineStr">
        <is>
          <t>United Kingdom</t>
        </is>
      </c>
      <c r="D2541" s="114" t="inlineStr">
        <is>
          <t>21936</t>
        </is>
      </c>
      <c r="E2541" s="114" t="inlineStr">
        <is>
          <t>RED RETROSPOT PICNIC BAG</t>
        </is>
      </c>
      <c r="F2541" s="114" t="n">
        <v>10</v>
      </c>
      <c r="G2541" s="115" t="n">
        <v>2.95</v>
      </c>
      <c r="H2541" s="115" t="n">
        <v>29.5</v>
      </c>
      <c r="I2541" s="116" t="n">
        <v>40758</v>
      </c>
    </row>
    <row r="2542">
      <c r="A2542" s="117" t="inlineStr">
        <is>
          <t>562269</t>
        </is>
      </c>
      <c r="B2542" s="117" t="n">
        <v>14056</v>
      </c>
      <c r="C2542" s="117" t="inlineStr">
        <is>
          <t>United Kingdom</t>
        </is>
      </c>
      <c r="D2542" s="117" t="inlineStr">
        <is>
          <t>23052</t>
        </is>
      </c>
      <c r="E2542" s="117" t="inlineStr">
        <is>
          <t>RECYCLED ACAPULCO MAT TURQUOISE</t>
        </is>
      </c>
      <c r="F2542" s="117" t="n">
        <v>4</v>
      </c>
      <c r="G2542" s="118" t="n">
        <v>8.25</v>
      </c>
      <c r="H2542" s="118" t="n">
        <v>33</v>
      </c>
      <c r="I2542" s="119" t="n">
        <v>40758</v>
      </c>
    </row>
    <row r="2543">
      <c r="A2543" s="114" t="inlineStr">
        <is>
          <t>562271</t>
        </is>
      </c>
      <c r="B2543" s="114" t="n">
        <v>16098</v>
      </c>
      <c r="C2543" s="114" t="inlineStr">
        <is>
          <t>United Kingdom</t>
        </is>
      </c>
      <c r="D2543" s="114" t="inlineStr">
        <is>
          <t>22726</t>
        </is>
      </c>
      <c r="E2543" s="114" t="inlineStr">
        <is>
          <t>ALARM CLOCK BAKELIKE GREEN</t>
        </is>
      </c>
      <c r="F2543" s="114" t="n">
        <v>12</v>
      </c>
      <c r="G2543" s="115" t="n">
        <v>3.75</v>
      </c>
      <c r="H2543" s="115" t="n">
        <v>45</v>
      </c>
      <c r="I2543" s="116" t="n">
        <v>40758</v>
      </c>
    </row>
    <row r="2544">
      <c r="A2544" s="117" t="inlineStr">
        <is>
          <t>562274</t>
        </is>
      </c>
      <c r="B2544" s="117" t="n">
        <v>12704</v>
      </c>
      <c r="C2544" s="117" t="inlineStr">
        <is>
          <t>Finland</t>
        </is>
      </c>
      <c r="D2544" s="117" t="inlineStr">
        <is>
          <t>23206</t>
        </is>
      </c>
      <c r="E2544" s="117" t="inlineStr">
        <is>
          <t>LUNCH BAG APPLE DESIGN</t>
        </is>
      </c>
      <c r="F2544" s="117" t="n">
        <v>10</v>
      </c>
      <c r="G2544" s="118" t="n">
        <v>1.65</v>
      </c>
      <c r="H2544" s="118" t="n">
        <v>16.5</v>
      </c>
      <c r="I2544" s="119" t="n">
        <v>40759</v>
      </c>
    </row>
    <row r="2545">
      <c r="A2545" s="114" t="inlineStr">
        <is>
          <t>562275</t>
        </is>
      </c>
      <c r="B2545" s="114" t="n">
        <v>12689</v>
      </c>
      <c r="C2545" s="114" t="inlineStr">
        <is>
          <t>France</t>
        </is>
      </c>
      <c r="D2545" s="114" t="inlineStr">
        <is>
          <t>21731</t>
        </is>
      </c>
      <c r="E2545" s="114" t="inlineStr">
        <is>
          <t>RED TOADSTOOL LED NIGHT LIGHT</t>
        </is>
      </c>
      <c r="F2545" s="114" t="n">
        <v>12</v>
      </c>
      <c r="G2545" s="115" t="n">
        <v>1.65</v>
      </c>
      <c r="H2545" s="115" t="n">
        <v>19.8</v>
      </c>
      <c r="I2545" s="116" t="n">
        <v>40759</v>
      </c>
    </row>
    <row r="2546">
      <c r="A2546" s="117" t="inlineStr">
        <is>
          <t>562276</t>
        </is>
      </c>
      <c r="B2546" s="117" t="n">
        <v>17735</v>
      </c>
      <c r="C2546" s="117" t="inlineStr">
        <is>
          <t>United Kingdom</t>
        </is>
      </c>
      <c r="D2546" s="117" t="inlineStr">
        <is>
          <t>23204</t>
        </is>
      </c>
      <c r="E2546" s="117" t="inlineStr">
        <is>
          <t>CHARLOTTE BAG APPLES DESIGN</t>
        </is>
      </c>
      <c r="F2546" s="117" t="n">
        <v>20</v>
      </c>
      <c r="G2546" s="118" t="n">
        <v>0.85</v>
      </c>
      <c r="H2546" s="118" t="n">
        <v>17</v>
      </c>
      <c r="I2546" s="119" t="n">
        <v>40759</v>
      </c>
    </row>
    <row r="2547">
      <c r="A2547" s="114" t="inlineStr">
        <is>
          <t>562282</t>
        </is>
      </c>
      <c r="B2547" s="114" t="n">
        <v>13098</v>
      </c>
      <c r="C2547" s="114" t="inlineStr">
        <is>
          <t>United Kingdom</t>
        </is>
      </c>
      <c r="D2547" s="114" t="inlineStr">
        <is>
          <t>20725</t>
        </is>
      </c>
      <c r="E2547" s="114" t="inlineStr">
        <is>
          <t>LUNCH BAG RED RETROSPOT</t>
        </is>
      </c>
      <c r="F2547" s="114" t="n">
        <v>50</v>
      </c>
      <c r="G2547" s="115" t="n">
        <v>1.65</v>
      </c>
      <c r="H2547" s="115" t="n">
        <v>82.5</v>
      </c>
      <c r="I2547" s="116" t="n">
        <v>40759</v>
      </c>
    </row>
    <row r="2548">
      <c r="A2548" s="117" t="inlineStr">
        <is>
          <t>562290</t>
        </is>
      </c>
      <c r="B2548" s="117" t="n">
        <v>14825</v>
      </c>
      <c r="C2548" s="117" t="inlineStr">
        <is>
          <t>United Kingdom</t>
        </is>
      </c>
      <c r="D2548" s="117" t="inlineStr">
        <is>
          <t>23344</t>
        </is>
      </c>
      <c r="E2548" s="117" t="inlineStr">
        <is>
          <t xml:space="preserve">JUMBO BAG 50'S CHRISTMAS </t>
        </is>
      </c>
      <c r="F2548" s="117" t="n">
        <v>10</v>
      </c>
      <c r="G2548" s="118" t="n">
        <v>2.08</v>
      </c>
      <c r="H2548" s="118" t="n">
        <v>20.8</v>
      </c>
      <c r="I2548" s="119" t="n">
        <v>40759</v>
      </c>
    </row>
    <row r="2549">
      <c r="A2549" s="114" t="inlineStr">
        <is>
          <t>562313</t>
        </is>
      </c>
      <c r="B2549" s="114" t="n">
        <v>14640</v>
      </c>
      <c r="C2549" s="114" t="inlineStr">
        <is>
          <t>United Kingdom</t>
        </is>
      </c>
      <c r="D2549" s="114" t="inlineStr">
        <is>
          <t>23108</t>
        </is>
      </c>
      <c r="E2549" s="114" t="inlineStr">
        <is>
          <t>SET OF 10 LED DOLLY LIGHTS</t>
        </is>
      </c>
      <c r="F2549" s="114" t="n">
        <v>4</v>
      </c>
      <c r="G2549" s="115" t="n">
        <v>6.25</v>
      </c>
      <c r="H2549" s="115" t="n">
        <v>25</v>
      </c>
      <c r="I2549" s="116" t="n">
        <v>40759</v>
      </c>
    </row>
    <row r="2550">
      <c r="A2550" s="117" t="inlineStr">
        <is>
          <t>562341</t>
        </is>
      </c>
      <c r="B2550" s="117" t="n">
        <v>15005</v>
      </c>
      <c r="C2550" s="117" t="inlineStr">
        <is>
          <t>United Kingdom</t>
        </is>
      </c>
      <c r="D2550" s="117" t="inlineStr">
        <is>
          <t>20725</t>
        </is>
      </c>
      <c r="E2550" s="117" t="inlineStr">
        <is>
          <t>LUNCH BAG RED RETROSPOT</t>
        </is>
      </c>
      <c r="F2550" s="117" t="n">
        <v>2</v>
      </c>
      <c r="G2550" s="118" t="n">
        <v>1.65</v>
      </c>
      <c r="H2550" s="118" t="n">
        <v>3.3</v>
      </c>
      <c r="I2550" s="119" t="n">
        <v>40759</v>
      </c>
    </row>
    <row r="2551">
      <c r="A2551" s="114" t="inlineStr">
        <is>
          <t>562345</t>
        </is>
      </c>
      <c r="B2551" s="114" t="n">
        <v>13694</v>
      </c>
      <c r="C2551" s="114" t="inlineStr">
        <is>
          <t>United Kingdom</t>
        </is>
      </c>
      <c r="D2551" s="114" t="inlineStr">
        <is>
          <t>84660A</t>
        </is>
      </c>
      <c r="E2551" s="114" t="inlineStr">
        <is>
          <t>WHITE STITCHED WALL CLOCK</t>
        </is>
      </c>
      <c r="F2551" s="114" t="n">
        <v>40</v>
      </c>
      <c r="G2551" s="115" t="n">
        <v>0.79</v>
      </c>
      <c r="H2551" s="115" t="n">
        <v>31.6</v>
      </c>
      <c r="I2551" s="116" t="n">
        <v>40759</v>
      </c>
    </row>
    <row r="2552">
      <c r="A2552" s="117" t="inlineStr">
        <is>
          <t>562347</t>
        </is>
      </c>
      <c r="B2552" s="117" t="n">
        <v>13263</v>
      </c>
      <c r="C2552" s="117" t="inlineStr">
        <is>
          <t>United Kingdom</t>
        </is>
      </c>
      <c r="D2552" s="117" t="inlineStr">
        <is>
          <t>22116</t>
        </is>
      </c>
      <c r="E2552" s="117" t="inlineStr">
        <is>
          <t>METAL SIGN HIS DINNER IS SERVED</t>
        </is>
      </c>
      <c r="F2552" s="117" t="n">
        <v>1</v>
      </c>
      <c r="G2552" s="118" t="n">
        <v>0.79</v>
      </c>
      <c r="H2552" s="118" t="n">
        <v>0.79</v>
      </c>
      <c r="I2552" s="119" t="n">
        <v>40759</v>
      </c>
    </row>
    <row r="2553">
      <c r="A2553" s="114" t="inlineStr">
        <is>
          <t>562348</t>
        </is>
      </c>
      <c r="B2553" s="114" t="n">
        <v>17511</v>
      </c>
      <c r="C2553" s="114" t="inlineStr">
        <is>
          <t>United Kingdom</t>
        </is>
      </c>
      <c r="D2553" s="114" t="inlineStr">
        <is>
          <t>22899</t>
        </is>
      </c>
      <c r="E2553" s="114" t="inlineStr">
        <is>
          <t xml:space="preserve">CHILDREN'S APRON DOLLY GIRL </t>
        </is>
      </c>
      <c r="F2553" s="114" t="n">
        <v>12</v>
      </c>
      <c r="G2553" s="115" t="n">
        <v>2.1</v>
      </c>
      <c r="H2553" s="115" t="n">
        <v>25.2</v>
      </c>
      <c r="I2553" s="116" t="n">
        <v>40759</v>
      </c>
    </row>
    <row r="2554">
      <c r="A2554" s="117" t="inlineStr">
        <is>
          <t>562370</t>
        </is>
      </c>
      <c r="B2554" s="117" t="n">
        <v>12626</v>
      </c>
      <c r="C2554" s="117" t="inlineStr">
        <is>
          <t>Germany</t>
        </is>
      </c>
      <c r="D2554" s="117" t="inlineStr">
        <is>
          <t>23008</t>
        </is>
      </c>
      <c r="E2554" s="117" t="inlineStr">
        <is>
          <t>DOLLY GIRL BABY GIFT SET</t>
        </is>
      </c>
      <c r="F2554" s="117" t="n">
        <v>6</v>
      </c>
      <c r="G2554" s="118" t="n">
        <v>14.95</v>
      </c>
      <c r="H2554" s="118" t="n">
        <v>89.7</v>
      </c>
      <c r="I2554" s="119" t="n">
        <v>40759</v>
      </c>
    </row>
    <row r="2555">
      <c r="A2555" s="114" t="inlineStr">
        <is>
          <t>562370</t>
        </is>
      </c>
      <c r="B2555" s="114" t="n">
        <v>12626</v>
      </c>
      <c r="C2555" s="114" t="inlineStr">
        <is>
          <t>Germany</t>
        </is>
      </c>
      <c r="D2555" s="114" t="inlineStr">
        <is>
          <t>22897</t>
        </is>
      </c>
      <c r="E2555" s="114" t="inlineStr">
        <is>
          <t>OVEN MITT APPLES DESIGN</t>
        </is>
      </c>
      <c r="F2555" s="114" t="n">
        <v>10</v>
      </c>
      <c r="G2555" s="115" t="n">
        <v>1.45</v>
      </c>
      <c r="H2555" s="115" t="n">
        <v>14.5</v>
      </c>
      <c r="I2555" s="116" t="n">
        <v>40759</v>
      </c>
    </row>
    <row r="2556">
      <c r="A2556" s="117" t="inlineStr">
        <is>
          <t>562378</t>
        </is>
      </c>
      <c r="B2556" s="117" t="n">
        <v>15046</v>
      </c>
      <c r="C2556" s="117" t="inlineStr">
        <is>
          <t>United Kingdom</t>
        </is>
      </c>
      <c r="D2556" s="117" t="inlineStr">
        <is>
          <t>35970</t>
        </is>
      </c>
      <c r="E2556" s="117" t="inlineStr">
        <is>
          <t>ZINC FOLKART SLEIGH BELLS</t>
        </is>
      </c>
      <c r="F2556" s="117" t="n">
        <v>6</v>
      </c>
      <c r="G2556" s="118" t="n">
        <v>1.69</v>
      </c>
      <c r="H2556" s="118" t="n">
        <v>10.14</v>
      </c>
      <c r="I2556" s="119" t="n">
        <v>40759</v>
      </c>
    </row>
    <row r="2557">
      <c r="A2557" s="114" t="inlineStr">
        <is>
          <t>562447</t>
        </is>
      </c>
      <c r="B2557" s="114" t="n">
        <v>15251</v>
      </c>
      <c r="C2557" s="114" t="inlineStr">
        <is>
          <t>United Kingdom</t>
        </is>
      </c>
      <c r="D2557" s="114" t="inlineStr">
        <is>
          <t>23191</t>
        </is>
      </c>
      <c r="E2557" s="114" t="inlineStr">
        <is>
          <t>BUNDLE OF 3 RETRO NOTE BOOKS</t>
        </is>
      </c>
      <c r="F2557" s="114" t="n">
        <v>48</v>
      </c>
      <c r="G2557" s="115" t="n">
        <v>1.45</v>
      </c>
      <c r="H2557" s="115" t="n">
        <v>69.59999999999999</v>
      </c>
      <c r="I2557" s="116" t="n">
        <v>40759</v>
      </c>
    </row>
    <row r="2558">
      <c r="A2558" s="117" t="inlineStr">
        <is>
          <t>562450</t>
        </is>
      </c>
      <c r="B2558" s="117" t="n">
        <v>12562</v>
      </c>
      <c r="C2558" s="117" t="inlineStr">
        <is>
          <t>France</t>
        </is>
      </c>
      <c r="D2558" s="117" t="inlineStr">
        <is>
          <t>POST</t>
        </is>
      </c>
      <c r="E2558" s="117" t="inlineStr">
        <is>
          <t>POSTAGE</t>
        </is>
      </c>
      <c r="F2558" s="117" t="n">
        <v>3</v>
      </c>
      <c r="G2558" s="118" t="n">
        <v>18</v>
      </c>
      <c r="H2558" s="118" t="n">
        <v>54</v>
      </c>
      <c r="I2558" s="119" t="n">
        <v>40760</v>
      </c>
    </row>
    <row r="2559">
      <c r="A2559" s="114" t="inlineStr">
        <is>
          <t>562456</t>
        </is>
      </c>
      <c r="B2559" s="114" t="n">
        <v>15194</v>
      </c>
      <c r="C2559" s="114" t="inlineStr">
        <is>
          <t>United Kingdom</t>
        </is>
      </c>
      <c r="D2559" s="114" t="inlineStr">
        <is>
          <t>22273</t>
        </is>
      </c>
      <c r="E2559" s="114" t="inlineStr">
        <is>
          <t>FELTCRAFT DOLL MOLLY</t>
        </is>
      </c>
      <c r="F2559" s="114" t="n">
        <v>6</v>
      </c>
      <c r="G2559" s="115" t="n">
        <v>2.95</v>
      </c>
      <c r="H2559" s="115" t="n">
        <v>17.7</v>
      </c>
      <c r="I2559" s="116" t="n">
        <v>40760</v>
      </c>
    </row>
    <row r="2560">
      <c r="A2560" s="117" t="inlineStr">
        <is>
          <t>562517</t>
        </is>
      </c>
      <c r="B2560" s="117" t="n">
        <v>15719</v>
      </c>
      <c r="C2560" s="117" t="inlineStr">
        <is>
          <t>United Kingdom</t>
        </is>
      </c>
      <c r="D2560" s="117" t="inlineStr">
        <is>
          <t>21930</t>
        </is>
      </c>
      <c r="E2560" s="117" t="inlineStr">
        <is>
          <t>JUMBO STORAGE BAG SKULLS</t>
        </is>
      </c>
      <c r="F2560" s="117" t="n">
        <v>1</v>
      </c>
      <c r="G2560" s="118" t="n">
        <v>2.08</v>
      </c>
      <c r="H2560" s="118" t="n">
        <v>2.08</v>
      </c>
      <c r="I2560" s="119" t="n">
        <v>40760</v>
      </c>
    </row>
    <row r="2561">
      <c r="A2561" s="114" t="inlineStr">
        <is>
          <t>562518</t>
        </is>
      </c>
      <c r="B2561" s="114" t="n">
        <v>16818</v>
      </c>
      <c r="C2561" s="114" t="inlineStr">
        <is>
          <t>United Kingdom</t>
        </is>
      </c>
      <c r="D2561" s="114" t="inlineStr">
        <is>
          <t>23322</t>
        </is>
      </c>
      <c r="E2561" s="114" t="inlineStr">
        <is>
          <t>LARGE WHITE HEART OF WICKER</t>
        </is>
      </c>
      <c r="F2561" s="114" t="n">
        <v>6</v>
      </c>
      <c r="G2561" s="115" t="n">
        <v>2.95</v>
      </c>
      <c r="H2561" s="115" t="n">
        <v>17.7</v>
      </c>
      <c r="I2561" s="116" t="n">
        <v>40760</v>
      </c>
    </row>
    <row r="2562">
      <c r="A2562" s="117" t="inlineStr">
        <is>
          <t>562519</t>
        </is>
      </c>
      <c r="B2562" s="117" t="n">
        <v>16764</v>
      </c>
      <c r="C2562" s="117" t="inlineStr">
        <is>
          <t>United Kingdom</t>
        </is>
      </c>
      <c r="D2562" s="117" t="inlineStr">
        <is>
          <t>23321</t>
        </is>
      </c>
      <c r="E2562" s="117" t="inlineStr">
        <is>
          <t>SMALL WHITE HEART OF WICKER</t>
        </is>
      </c>
      <c r="F2562" s="117" t="n">
        <v>3</v>
      </c>
      <c r="G2562" s="118" t="n">
        <v>1.65</v>
      </c>
      <c r="H2562" s="118" t="n">
        <v>4.95</v>
      </c>
      <c r="I2562" s="119" t="n">
        <v>40760</v>
      </c>
    </row>
    <row r="2563">
      <c r="A2563" s="114" t="inlineStr">
        <is>
          <t>562537</t>
        </is>
      </c>
      <c r="B2563" s="114" t="n">
        <v>12517</v>
      </c>
      <c r="C2563" s="114" t="inlineStr">
        <is>
          <t>Germany</t>
        </is>
      </c>
      <c r="D2563" s="114" t="inlineStr">
        <is>
          <t>20677</t>
        </is>
      </c>
      <c r="E2563" s="114" t="inlineStr">
        <is>
          <t>PINK POLKADOT BOWL</t>
        </is>
      </c>
      <c r="F2563" s="114" t="n">
        <v>8</v>
      </c>
      <c r="G2563" s="115" t="n">
        <v>1.25</v>
      </c>
      <c r="H2563" s="115" t="n">
        <v>10</v>
      </c>
      <c r="I2563" s="116" t="n">
        <v>40760</v>
      </c>
    </row>
    <row r="2564">
      <c r="A2564" s="117" t="inlineStr">
        <is>
          <t>562540</t>
        </is>
      </c>
      <c r="B2564" s="117" t="n">
        <v>17400</v>
      </c>
      <c r="C2564" s="117" t="inlineStr">
        <is>
          <t>United Kingdom</t>
        </is>
      </c>
      <c r="D2564" s="117" t="inlineStr">
        <is>
          <t>21162</t>
        </is>
      </c>
      <c r="E2564" s="117" t="inlineStr">
        <is>
          <t xml:space="preserve">TOXIC AREA  DOOR HANGER </t>
        </is>
      </c>
      <c r="F2564" s="117" t="n">
        <v>3</v>
      </c>
      <c r="G2564" s="118" t="n">
        <v>0.39</v>
      </c>
      <c r="H2564" s="118" t="n">
        <v>1.17</v>
      </c>
      <c r="I2564" s="119" t="n">
        <v>40760</v>
      </c>
    </row>
    <row r="2565">
      <c r="A2565" s="114" t="inlineStr">
        <is>
          <t>562540</t>
        </is>
      </c>
      <c r="B2565" s="114" t="n">
        <v>17400</v>
      </c>
      <c r="C2565" s="114" t="inlineStr">
        <is>
          <t>United Kingdom</t>
        </is>
      </c>
      <c r="D2565" s="114" t="inlineStr">
        <is>
          <t>22491</t>
        </is>
      </c>
      <c r="E2565" s="114" t="inlineStr">
        <is>
          <t>PACK OF 12 COLOURED PENCILS</t>
        </is>
      </c>
      <c r="F2565" s="114" t="n">
        <v>3</v>
      </c>
      <c r="G2565" s="115" t="n">
        <v>0.85</v>
      </c>
      <c r="H2565" s="115" t="n">
        <v>2.55</v>
      </c>
      <c r="I2565" s="116" t="n">
        <v>40760</v>
      </c>
    </row>
    <row r="2566">
      <c r="A2566" s="117" t="inlineStr">
        <is>
          <t>562540</t>
        </is>
      </c>
      <c r="B2566" s="117" t="n">
        <v>17400</v>
      </c>
      <c r="C2566" s="117" t="inlineStr">
        <is>
          <t>United Kingdom</t>
        </is>
      </c>
      <c r="D2566" s="117" t="inlineStr">
        <is>
          <t>22766</t>
        </is>
      </c>
      <c r="E2566" s="117" t="inlineStr">
        <is>
          <t>PHOTO FRAME CORNICE</t>
        </is>
      </c>
      <c r="F2566" s="117" t="n">
        <v>2</v>
      </c>
      <c r="G2566" s="118" t="n">
        <v>2.95</v>
      </c>
      <c r="H2566" s="118" t="n">
        <v>5.9</v>
      </c>
      <c r="I2566" s="119" t="n">
        <v>40760</v>
      </c>
    </row>
    <row r="2567">
      <c r="A2567" s="114" t="inlineStr">
        <is>
          <t>562542</t>
        </is>
      </c>
      <c r="B2567" s="114" t="n">
        <v>17377</v>
      </c>
      <c r="C2567" s="114" t="inlineStr">
        <is>
          <t>United Kingdom</t>
        </is>
      </c>
      <c r="D2567" s="114" t="inlineStr">
        <is>
          <t>22984</t>
        </is>
      </c>
      <c r="E2567" s="114" t="inlineStr">
        <is>
          <t xml:space="preserve">CARD GINGHAM ROSE </t>
        </is>
      </c>
      <c r="F2567" s="114" t="n">
        <v>12</v>
      </c>
      <c r="G2567" s="115" t="n">
        <v>0.42</v>
      </c>
      <c r="H2567" s="115" t="n">
        <v>5.04</v>
      </c>
      <c r="I2567" s="116" t="n">
        <v>40760</v>
      </c>
    </row>
    <row r="2568">
      <c r="A2568" s="117" t="inlineStr">
        <is>
          <t>562549</t>
        </is>
      </c>
      <c r="B2568" s="117" t="n">
        <v>17092</v>
      </c>
      <c r="C2568" s="117" t="inlineStr">
        <is>
          <t>United Kingdom</t>
        </is>
      </c>
      <c r="D2568" s="117" t="inlineStr">
        <is>
          <t>23240</t>
        </is>
      </c>
      <c r="E2568" s="117" t="inlineStr">
        <is>
          <t xml:space="preserve">SET OF 4 KNICK KNACK TINS DOILY </t>
        </is>
      </c>
      <c r="F2568" s="117" t="n">
        <v>4</v>
      </c>
      <c r="G2568" s="118" t="n">
        <v>4.15</v>
      </c>
      <c r="H2568" s="118" t="n">
        <v>16.6</v>
      </c>
      <c r="I2568" s="119" t="n">
        <v>40760</v>
      </c>
    </row>
    <row r="2569">
      <c r="A2569" s="114" t="inlineStr">
        <is>
          <t>562558</t>
        </is>
      </c>
      <c r="B2569" s="114" t="n">
        <v>13451</v>
      </c>
      <c r="C2569" s="114" t="inlineStr">
        <is>
          <t>United Kingdom</t>
        </is>
      </c>
      <c r="D2569" s="114" t="inlineStr">
        <is>
          <t>84991</t>
        </is>
      </c>
      <c r="E2569" s="114" t="inlineStr">
        <is>
          <t>60 TEATIME FAIRY CAKE CASES</t>
        </is>
      </c>
      <c r="F2569" s="114" t="n">
        <v>3</v>
      </c>
      <c r="G2569" s="115" t="n">
        <v>0.55</v>
      </c>
      <c r="H2569" s="115" t="n">
        <v>1.65</v>
      </c>
      <c r="I2569" s="116" t="n">
        <v>40760</v>
      </c>
    </row>
    <row r="2570">
      <c r="A2570" s="117" t="inlineStr">
        <is>
          <t>562560</t>
        </is>
      </c>
      <c r="B2570" s="117" t="n">
        <v>14156</v>
      </c>
      <c r="C2570" s="117" t="inlineStr">
        <is>
          <t>EIRE</t>
        </is>
      </c>
      <c r="D2570" s="117" t="inlineStr">
        <is>
          <t>84991</t>
        </is>
      </c>
      <c r="E2570" s="117" t="inlineStr">
        <is>
          <t>60 TEATIME FAIRY CAKE CASES</t>
        </is>
      </c>
      <c r="F2570" s="117" t="n">
        <v>24</v>
      </c>
      <c r="G2570" s="118" t="n">
        <v>0.55</v>
      </c>
      <c r="H2570" s="118" t="n">
        <v>13.2</v>
      </c>
      <c r="I2570" s="119" t="n">
        <v>40760</v>
      </c>
    </row>
    <row r="2571">
      <c r="A2571" s="114" t="inlineStr">
        <is>
          <t>562560</t>
        </is>
      </c>
      <c r="B2571" s="114" t="n">
        <v>14156</v>
      </c>
      <c r="C2571" s="114" t="inlineStr">
        <is>
          <t>EIRE</t>
        </is>
      </c>
      <c r="D2571" s="114" t="inlineStr">
        <is>
          <t>23241</t>
        </is>
      </c>
      <c r="E2571" s="114" t="inlineStr">
        <is>
          <t>TREASURE TIN GYMKHANA DESIGN</t>
        </is>
      </c>
      <c r="F2571" s="114" t="n">
        <v>6</v>
      </c>
      <c r="G2571" s="115" t="n">
        <v>2.08</v>
      </c>
      <c r="H2571" s="115" t="n">
        <v>12.48</v>
      </c>
      <c r="I2571" s="116" t="n">
        <v>40760</v>
      </c>
    </row>
    <row r="2572">
      <c r="A2572" s="117" t="inlineStr">
        <is>
          <t>562565</t>
        </is>
      </c>
      <c r="B2572" s="117" t="n">
        <v>16206</v>
      </c>
      <c r="C2572" s="117" t="inlineStr">
        <is>
          <t>United Kingdom</t>
        </is>
      </c>
      <c r="D2572" s="117" t="inlineStr">
        <is>
          <t>23322</t>
        </is>
      </c>
      <c r="E2572" s="117" t="inlineStr">
        <is>
          <t>LARGE WHITE HEART OF WICKER</t>
        </is>
      </c>
      <c r="F2572" s="117" t="n">
        <v>10</v>
      </c>
      <c r="G2572" s="118" t="n">
        <v>2.95</v>
      </c>
      <c r="H2572" s="118" t="n">
        <v>29.5</v>
      </c>
      <c r="I2572" s="119" t="n">
        <v>40762</v>
      </c>
    </row>
    <row r="2573">
      <c r="A2573" s="114" t="inlineStr">
        <is>
          <t>562574</t>
        </is>
      </c>
      <c r="B2573" s="114" t="n">
        <v>14903</v>
      </c>
      <c r="C2573" s="114" t="inlineStr">
        <is>
          <t>United Kingdom</t>
        </is>
      </c>
      <c r="D2573" s="114" t="inlineStr">
        <is>
          <t>22147</t>
        </is>
      </c>
      <c r="E2573" s="114" t="inlineStr">
        <is>
          <t>FELTCRAFT BUTTERFLY HEARTS</t>
        </is>
      </c>
      <c r="F2573" s="114" t="n">
        <v>3</v>
      </c>
      <c r="G2573" s="115" t="n">
        <v>1.45</v>
      </c>
      <c r="H2573" s="115" t="n">
        <v>4.35</v>
      </c>
      <c r="I2573" s="116" t="n">
        <v>40762</v>
      </c>
    </row>
    <row r="2574">
      <c r="A2574" s="117" t="inlineStr">
        <is>
          <t>562574</t>
        </is>
      </c>
      <c r="B2574" s="117" t="n">
        <v>14903</v>
      </c>
      <c r="C2574" s="117" t="inlineStr">
        <is>
          <t>United Kingdom</t>
        </is>
      </c>
      <c r="D2574" s="117" t="inlineStr">
        <is>
          <t>22470</t>
        </is>
      </c>
      <c r="E2574" s="117" t="inlineStr">
        <is>
          <t>HEART OF WICKER LARGE</t>
        </is>
      </c>
      <c r="F2574" s="117" t="n">
        <v>4</v>
      </c>
      <c r="G2574" s="118" t="n">
        <v>2.95</v>
      </c>
      <c r="H2574" s="118" t="n">
        <v>11.8</v>
      </c>
      <c r="I2574" s="119" t="n">
        <v>40762</v>
      </c>
    </row>
    <row r="2575">
      <c r="A2575" s="114" t="inlineStr">
        <is>
          <t>562574</t>
        </is>
      </c>
      <c r="B2575" s="114" t="n">
        <v>14903</v>
      </c>
      <c r="C2575" s="114" t="inlineStr">
        <is>
          <t>United Kingdom</t>
        </is>
      </c>
      <c r="D2575" s="114" t="inlineStr">
        <is>
          <t>16225</t>
        </is>
      </c>
      <c r="E2575" s="114" t="inlineStr">
        <is>
          <t>RATTLE SNAKE EGGS</t>
        </is>
      </c>
      <c r="F2575" s="114" t="n">
        <v>1</v>
      </c>
      <c r="G2575" s="115" t="n">
        <v>1.25</v>
      </c>
      <c r="H2575" s="115" t="n">
        <v>1.25</v>
      </c>
      <c r="I2575" s="116" t="n">
        <v>40762</v>
      </c>
    </row>
    <row r="2576">
      <c r="A2576" s="117" t="inlineStr">
        <is>
          <t>562576</t>
        </is>
      </c>
      <c r="B2576" s="117" t="n">
        <v>15518</v>
      </c>
      <c r="C2576" s="117" t="inlineStr">
        <is>
          <t>United Kingdom</t>
        </is>
      </c>
      <c r="D2576" s="117" t="inlineStr">
        <is>
          <t>22627</t>
        </is>
      </c>
      <c r="E2576" s="117" t="inlineStr">
        <is>
          <t>MINT KITCHEN SCALES</t>
        </is>
      </c>
      <c r="F2576" s="117" t="n">
        <v>1</v>
      </c>
      <c r="G2576" s="118" t="n">
        <v>8.5</v>
      </c>
      <c r="H2576" s="118" t="n">
        <v>8.5</v>
      </c>
      <c r="I2576" s="119" t="n">
        <v>40762</v>
      </c>
    </row>
    <row r="2577">
      <c r="A2577" s="114" t="inlineStr">
        <is>
          <t>562587</t>
        </is>
      </c>
      <c r="B2577" s="114" t="n">
        <v>15640</v>
      </c>
      <c r="C2577" s="114" t="inlineStr">
        <is>
          <t>United Kingdom</t>
        </is>
      </c>
      <c r="D2577" s="114" t="inlineStr">
        <is>
          <t>23203</t>
        </is>
      </c>
      <c r="E2577" s="114" t="inlineStr">
        <is>
          <t xml:space="preserve">JUMBO BAG VINTAGE DOILY </t>
        </is>
      </c>
      <c r="F2577" s="114" t="n">
        <v>10</v>
      </c>
      <c r="G2577" s="115" t="n">
        <v>2.08</v>
      </c>
      <c r="H2577" s="115" t="n">
        <v>20.8</v>
      </c>
      <c r="I2577" s="116" t="n">
        <v>40762</v>
      </c>
    </row>
    <row r="2578">
      <c r="A2578" s="117" t="inlineStr">
        <is>
          <t>562587</t>
        </is>
      </c>
      <c r="B2578" s="117" t="n">
        <v>15640</v>
      </c>
      <c r="C2578" s="117" t="inlineStr">
        <is>
          <t>United Kingdom</t>
        </is>
      </c>
      <c r="D2578" s="117" t="inlineStr">
        <is>
          <t>22095</t>
        </is>
      </c>
      <c r="E2578" s="117" t="inlineStr">
        <is>
          <t>LADS ONLY TISSUE BOX</t>
        </is>
      </c>
      <c r="F2578" s="117" t="n">
        <v>10</v>
      </c>
      <c r="G2578" s="118" t="n">
        <v>0.39</v>
      </c>
      <c r="H2578" s="118" t="n">
        <v>3.9</v>
      </c>
      <c r="I2578" s="119" t="n">
        <v>40762</v>
      </c>
    </row>
    <row r="2579">
      <c r="A2579" s="114" t="inlineStr">
        <is>
          <t>562595</t>
        </is>
      </c>
      <c r="B2579" s="114" t="n">
        <v>17602</v>
      </c>
      <c r="C2579" s="114" t="inlineStr">
        <is>
          <t>United Kingdom</t>
        </is>
      </c>
      <c r="D2579" s="114" t="inlineStr">
        <is>
          <t>85123A</t>
        </is>
      </c>
      <c r="E2579" s="114" t="inlineStr">
        <is>
          <t>WHITE HANGING HEART T-LIGHT HOLDER</t>
        </is>
      </c>
      <c r="F2579" s="114" t="n">
        <v>6</v>
      </c>
      <c r="G2579" s="115" t="n">
        <v>2.95</v>
      </c>
      <c r="H2579" s="115" t="n">
        <v>17.7</v>
      </c>
      <c r="I2579" s="116" t="n">
        <v>40762</v>
      </c>
    </row>
    <row r="2580">
      <c r="A2580" s="117" t="inlineStr">
        <is>
          <t>562605</t>
        </is>
      </c>
      <c r="B2580" s="117" t="n">
        <v>12530</v>
      </c>
      <c r="C2580" s="117" t="inlineStr">
        <is>
          <t>Germany</t>
        </is>
      </c>
      <c r="D2580" s="117" t="inlineStr">
        <is>
          <t>20725</t>
        </is>
      </c>
      <c r="E2580" s="117" t="inlineStr">
        <is>
          <t>LUNCH BAG RED RETROSPOT</t>
        </is>
      </c>
      <c r="F2580" s="117" t="n">
        <v>10</v>
      </c>
      <c r="G2580" s="118" t="n">
        <v>1.65</v>
      </c>
      <c r="H2580" s="118" t="n">
        <v>16.5</v>
      </c>
      <c r="I2580" s="119" t="n">
        <v>40763</v>
      </c>
    </row>
    <row r="2581">
      <c r="A2581" s="114" t="inlineStr">
        <is>
          <t>562608</t>
        </is>
      </c>
      <c r="B2581" s="114" t="n">
        <v>15502</v>
      </c>
      <c r="C2581" s="114" t="inlineStr">
        <is>
          <t>United Kingdom</t>
        </is>
      </c>
      <c r="D2581" s="114" t="inlineStr">
        <is>
          <t>23156</t>
        </is>
      </c>
      <c r="E2581" s="114" t="inlineStr">
        <is>
          <t>SET OF 5 MINI GROCERY MAGNETS</t>
        </is>
      </c>
      <c r="F2581" s="114" t="n">
        <v>24</v>
      </c>
      <c r="G2581" s="115" t="n">
        <v>2.08</v>
      </c>
      <c r="H2581" s="115" t="n">
        <v>49.92</v>
      </c>
      <c r="I2581" s="116" t="n">
        <v>40763</v>
      </c>
    </row>
    <row r="2582">
      <c r="A2582" s="117" t="inlineStr">
        <is>
          <t>562608</t>
        </is>
      </c>
      <c r="B2582" s="117" t="n">
        <v>15502</v>
      </c>
      <c r="C2582" s="117" t="inlineStr">
        <is>
          <t>United Kingdom</t>
        </is>
      </c>
      <c r="D2582" s="117" t="inlineStr">
        <is>
          <t>23164</t>
        </is>
      </c>
      <c r="E2582" s="117" t="inlineStr">
        <is>
          <t>REGENCY CAKE SLICE</t>
        </is>
      </c>
      <c r="F2582" s="117" t="n">
        <v>4</v>
      </c>
      <c r="G2582" s="118" t="n">
        <v>4.95</v>
      </c>
      <c r="H2582" s="118" t="n">
        <v>19.8</v>
      </c>
      <c r="I2582" s="119" t="n">
        <v>40763</v>
      </c>
    </row>
    <row r="2583">
      <c r="A2583" s="114" t="inlineStr">
        <is>
          <t>562616</t>
        </is>
      </c>
      <c r="B2583" s="114" t="n">
        <v>14748</v>
      </c>
      <c r="C2583" s="114" t="inlineStr">
        <is>
          <t>United Kingdom</t>
        </is>
      </c>
      <c r="D2583" s="114" t="inlineStr">
        <is>
          <t>21975</t>
        </is>
      </c>
      <c r="E2583" s="114" t="inlineStr">
        <is>
          <t>PACK OF 60 DINOSAUR CAKE CASES</t>
        </is>
      </c>
      <c r="F2583" s="114" t="n">
        <v>24</v>
      </c>
      <c r="G2583" s="115" t="n">
        <v>0.55</v>
      </c>
      <c r="H2583" s="115" t="n">
        <v>13.2</v>
      </c>
      <c r="I2583" s="116" t="n">
        <v>40763</v>
      </c>
    </row>
    <row r="2584">
      <c r="A2584" s="117" t="inlineStr">
        <is>
          <t>562619</t>
        </is>
      </c>
      <c r="B2584" s="117" t="n">
        <v>15311</v>
      </c>
      <c r="C2584" s="117" t="inlineStr">
        <is>
          <t>United Kingdom</t>
        </is>
      </c>
      <c r="D2584" s="117" t="inlineStr">
        <is>
          <t>16008</t>
        </is>
      </c>
      <c r="E2584" s="117" t="inlineStr">
        <is>
          <t>SMALL FOLDING SCISSOR(POINTED EDGE)</t>
        </is>
      </c>
      <c r="F2584" s="117" t="n">
        <v>12</v>
      </c>
      <c r="G2584" s="118" t="n">
        <v>0.12</v>
      </c>
      <c r="H2584" s="118" t="n">
        <v>1.44</v>
      </c>
      <c r="I2584" s="119" t="n">
        <v>40763</v>
      </c>
    </row>
    <row r="2585">
      <c r="A2585" s="114" t="inlineStr">
        <is>
          <t>562649</t>
        </is>
      </c>
      <c r="B2585" s="114" t="n">
        <v>14606</v>
      </c>
      <c r="C2585" s="114" t="inlineStr">
        <is>
          <t>United Kingdom</t>
        </is>
      </c>
      <c r="D2585" s="114" t="inlineStr">
        <is>
          <t>22241</t>
        </is>
      </c>
      <c r="E2585" s="114" t="inlineStr">
        <is>
          <t>GARLAND WOODEN HAPPY EASTER</t>
        </is>
      </c>
      <c r="F2585" s="114" t="n">
        <v>1</v>
      </c>
      <c r="G2585" s="115" t="n">
        <v>1.25</v>
      </c>
      <c r="H2585" s="115" t="n">
        <v>1.25</v>
      </c>
      <c r="I2585" s="116" t="n">
        <v>40763</v>
      </c>
    </row>
    <row r="2586">
      <c r="A2586" s="117" t="inlineStr">
        <is>
          <t>562670</t>
        </is>
      </c>
      <c r="B2586" s="117" t="n">
        <v>14911</v>
      </c>
      <c r="C2586" s="117" t="inlineStr">
        <is>
          <t>EIRE</t>
        </is>
      </c>
      <c r="D2586" s="117" t="inlineStr">
        <is>
          <t>84817</t>
        </is>
      </c>
      <c r="E2586" s="117" t="inlineStr">
        <is>
          <t>DANISH ROSE DECORATIVE PLATE</t>
        </is>
      </c>
      <c r="F2586" s="117" t="n">
        <v>6</v>
      </c>
      <c r="G2586" s="118" t="n">
        <v>2.1</v>
      </c>
      <c r="H2586" s="118" t="n">
        <v>12.6</v>
      </c>
      <c r="I2586" s="119" t="n">
        <v>40763</v>
      </c>
    </row>
    <row r="2587">
      <c r="A2587" s="114" t="inlineStr">
        <is>
          <t>562680</t>
        </is>
      </c>
      <c r="B2587" s="114" t="n">
        <v>17954</v>
      </c>
      <c r="C2587" s="114" t="inlineStr">
        <is>
          <t>United Kingdom</t>
        </is>
      </c>
      <c r="D2587" s="114" t="inlineStr">
        <is>
          <t>21930</t>
        </is>
      </c>
      <c r="E2587" s="114" t="inlineStr">
        <is>
          <t>JUMBO STORAGE BAG SKULLS</t>
        </is>
      </c>
      <c r="F2587" s="114" t="n">
        <v>2</v>
      </c>
      <c r="G2587" s="115" t="n">
        <v>2.08</v>
      </c>
      <c r="H2587" s="115" t="n">
        <v>4.16</v>
      </c>
      <c r="I2587" s="116" t="n">
        <v>40763</v>
      </c>
    </row>
    <row r="2588">
      <c r="A2588" s="117" t="inlineStr">
        <is>
          <t>562680</t>
        </is>
      </c>
      <c r="B2588" s="117" t="n">
        <v>17954</v>
      </c>
      <c r="C2588" s="117" t="inlineStr">
        <is>
          <t>United Kingdom</t>
        </is>
      </c>
      <c r="D2588" s="117" t="inlineStr">
        <is>
          <t>23347</t>
        </is>
      </c>
      <c r="E2588" s="117" t="inlineStr">
        <is>
          <t>I LOVE LONDON BEAKER</t>
        </is>
      </c>
      <c r="F2588" s="117" t="n">
        <v>1</v>
      </c>
      <c r="G2588" s="118" t="n">
        <v>1.25</v>
      </c>
      <c r="H2588" s="118" t="n">
        <v>1.25</v>
      </c>
      <c r="I2588" s="119" t="n">
        <v>40763</v>
      </c>
    </row>
    <row r="2589">
      <c r="A2589" s="114" t="inlineStr">
        <is>
          <t>562688</t>
        </is>
      </c>
      <c r="B2589" s="114" t="n">
        <v>13869</v>
      </c>
      <c r="C2589" s="114" t="inlineStr">
        <is>
          <t>United Kingdom</t>
        </is>
      </c>
      <c r="D2589" s="114" t="inlineStr">
        <is>
          <t>85036A</t>
        </is>
      </c>
      <c r="E2589" s="114" t="inlineStr">
        <is>
          <t>GARDENIA 1 WICK MORRIS BOXED CANDLE</t>
        </is>
      </c>
      <c r="F2589" s="114" t="n">
        <v>4</v>
      </c>
      <c r="G2589" s="115" t="n">
        <v>4.25</v>
      </c>
      <c r="H2589" s="115" t="n">
        <v>17</v>
      </c>
      <c r="I2589" s="116" t="n">
        <v>40763</v>
      </c>
    </row>
    <row r="2590">
      <c r="A2590" s="117" t="inlineStr">
        <is>
          <t>562688</t>
        </is>
      </c>
      <c r="B2590" s="117" t="n">
        <v>13869</v>
      </c>
      <c r="C2590" s="117" t="inlineStr">
        <is>
          <t>United Kingdom</t>
        </is>
      </c>
      <c r="D2590" s="117" t="inlineStr">
        <is>
          <t>23307</t>
        </is>
      </c>
      <c r="E2590" s="117" t="inlineStr">
        <is>
          <t xml:space="preserve">SET OF 60 PANTRY DESIGN CAKE CASES </t>
        </is>
      </c>
      <c r="F2590" s="117" t="n">
        <v>6</v>
      </c>
      <c r="G2590" s="118" t="n">
        <v>0.55</v>
      </c>
      <c r="H2590" s="118" t="n">
        <v>3.3</v>
      </c>
      <c r="I2590" s="119" t="n">
        <v>40763</v>
      </c>
    </row>
    <row r="2591">
      <c r="A2591" s="114" t="inlineStr">
        <is>
          <t>562688</t>
        </is>
      </c>
      <c r="B2591" s="114" t="n">
        <v>13869</v>
      </c>
      <c r="C2591" s="114" t="inlineStr">
        <is>
          <t>United Kingdom</t>
        </is>
      </c>
      <c r="D2591" s="114" t="inlineStr">
        <is>
          <t>22586</t>
        </is>
      </c>
      <c r="E2591" s="114" t="inlineStr">
        <is>
          <t>FELTCRAFT HAIRBAND PINK AND BLUE</t>
        </is>
      </c>
      <c r="F2591" s="114" t="n">
        <v>4</v>
      </c>
      <c r="G2591" s="115" t="n">
        <v>0.85</v>
      </c>
      <c r="H2591" s="115" t="n">
        <v>3.4</v>
      </c>
      <c r="I2591" s="116" t="n">
        <v>40763</v>
      </c>
    </row>
    <row r="2592">
      <c r="A2592" s="117" t="inlineStr">
        <is>
          <t>562688</t>
        </is>
      </c>
      <c r="B2592" s="117" t="n">
        <v>13869</v>
      </c>
      <c r="C2592" s="117" t="inlineStr">
        <is>
          <t>United Kingdom</t>
        </is>
      </c>
      <c r="D2592" s="117" t="inlineStr">
        <is>
          <t>22271</t>
        </is>
      </c>
      <c r="E2592" s="117" t="inlineStr">
        <is>
          <t>FELTCRAFT DOLL ROSIE</t>
        </is>
      </c>
      <c r="F2592" s="117" t="n">
        <v>1</v>
      </c>
      <c r="G2592" s="118" t="n">
        <v>2.95</v>
      </c>
      <c r="H2592" s="118" t="n">
        <v>2.95</v>
      </c>
      <c r="I2592" s="119" t="n">
        <v>40763</v>
      </c>
    </row>
    <row r="2593">
      <c r="A2593" s="114" t="inlineStr">
        <is>
          <t>562711</t>
        </is>
      </c>
      <c r="B2593" s="114" t="n">
        <v>16788</v>
      </c>
      <c r="C2593" s="114" t="inlineStr">
        <is>
          <t>United Kingdom</t>
        </is>
      </c>
      <c r="D2593" s="114" t="inlineStr">
        <is>
          <t>23172</t>
        </is>
      </c>
      <c r="E2593" s="114" t="inlineStr">
        <is>
          <t>REGENCY TEA PLATE PINK</t>
        </is>
      </c>
      <c r="F2593" s="114" t="n">
        <v>2</v>
      </c>
      <c r="G2593" s="115" t="n">
        <v>1.65</v>
      </c>
      <c r="H2593" s="115" t="n">
        <v>3.3</v>
      </c>
      <c r="I2593" s="116" t="n">
        <v>40763</v>
      </c>
    </row>
    <row r="2594">
      <c r="A2594" s="117" t="inlineStr">
        <is>
          <t>562712</t>
        </is>
      </c>
      <c r="B2594" s="117" t="n">
        <v>13016</v>
      </c>
      <c r="C2594" s="117" t="inlineStr">
        <is>
          <t>United Kingdom</t>
        </is>
      </c>
      <c r="D2594" s="117" t="inlineStr">
        <is>
          <t>84380</t>
        </is>
      </c>
      <c r="E2594" s="117" t="inlineStr">
        <is>
          <t>SET OF 3 BUTTERFLY COOKIE CUTTERS</t>
        </is>
      </c>
      <c r="F2594" s="117" t="n">
        <v>12</v>
      </c>
      <c r="G2594" s="118" t="n">
        <v>1.25</v>
      </c>
      <c r="H2594" s="118" t="n">
        <v>15</v>
      </c>
      <c r="I2594" s="119" t="n">
        <v>40763</v>
      </c>
    </row>
    <row r="2595">
      <c r="A2595" s="114" t="inlineStr">
        <is>
          <t>562733</t>
        </is>
      </c>
      <c r="B2595" s="114" t="n">
        <v>14626</v>
      </c>
      <c r="C2595" s="114" t="inlineStr">
        <is>
          <t>United Kingdom</t>
        </is>
      </c>
      <c r="D2595" s="114" t="inlineStr">
        <is>
          <t>48194</t>
        </is>
      </c>
      <c r="E2595" s="114" t="inlineStr">
        <is>
          <t>DOORMAT HEARTS</t>
        </is>
      </c>
      <c r="F2595" s="114" t="n">
        <v>2</v>
      </c>
      <c r="G2595" s="115" t="n">
        <v>7.95</v>
      </c>
      <c r="H2595" s="115" t="n">
        <v>15.9</v>
      </c>
      <c r="I2595" s="116" t="n">
        <v>40764</v>
      </c>
    </row>
    <row r="2596">
      <c r="A2596" s="117" t="inlineStr">
        <is>
          <t>562733</t>
        </is>
      </c>
      <c r="B2596" s="117" t="n">
        <v>14626</v>
      </c>
      <c r="C2596" s="117" t="inlineStr">
        <is>
          <t>United Kingdom</t>
        </is>
      </c>
      <c r="D2596" s="117" t="inlineStr">
        <is>
          <t>20723</t>
        </is>
      </c>
      <c r="E2596" s="117" t="inlineStr">
        <is>
          <t>STRAWBERRY CHARLOTTE BAG</t>
        </is>
      </c>
      <c r="F2596" s="117" t="n">
        <v>10</v>
      </c>
      <c r="G2596" s="118" t="n">
        <v>0.85</v>
      </c>
      <c r="H2596" s="118" t="n">
        <v>8.5</v>
      </c>
      <c r="I2596" s="119" t="n">
        <v>40764</v>
      </c>
    </row>
    <row r="2597">
      <c r="A2597" s="114" t="inlineStr">
        <is>
          <t>562770</t>
        </is>
      </c>
      <c r="B2597" s="114" t="n">
        <v>17139</v>
      </c>
      <c r="C2597" s="114" t="inlineStr">
        <is>
          <t>United Kingdom</t>
        </is>
      </c>
      <c r="D2597" s="114" t="inlineStr">
        <is>
          <t>21907</t>
        </is>
      </c>
      <c r="E2597" s="114" t="inlineStr">
        <is>
          <t>I'M ON HOLIDAY METAL SIGN</t>
        </is>
      </c>
      <c r="F2597" s="114" t="n">
        <v>12</v>
      </c>
      <c r="G2597" s="115" t="n">
        <v>2.1</v>
      </c>
      <c r="H2597" s="115" t="n">
        <v>25.2</v>
      </c>
      <c r="I2597" s="116" t="n">
        <v>40764</v>
      </c>
    </row>
    <row r="2598">
      <c r="A2598" s="117" t="inlineStr">
        <is>
          <t>562772</t>
        </is>
      </c>
      <c r="B2598" s="117" t="n">
        <v>13097</v>
      </c>
      <c r="C2598" s="117" t="inlineStr">
        <is>
          <t>United Kingdom</t>
        </is>
      </c>
      <c r="D2598" s="117" t="inlineStr">
        <is>
          <t>23245</t>
        </is>
      </c>
      <c r="E2598" s="117" t="inlineStr">
        <is>
          <t>SET OF 3 REGENCY CAKE TINS</t>
        </is>
      </c>
      <c r="F2598" s="117" t="n">
        <v>4</v>
      </c>
      <c r="G2598" s="118" t="n">
        <v>4.95</v>
      </c>
      <c r="H2598" s="118" t="n">
        <v>19.8</v>
      </c>
      <c r="I2598" s="119" t="n">
        <v>40764</v>
      </c>
    </row>
    <row r="2599">
      <c r="A2599" s="114" t="inlineStr">
        <is>
          <t>562772</t>
        </is>
      </c>
      <c r="B2599" s="114" t="n">
        <v>13097</v>
      </c>
      <c r="C2599" s="114" t="inlineStr">
        <is>
          <t>United Kingdom</t>
        </is>
      </c>
      <c r="D2599" s="114" t="inlineStr">
        <is>
          <t>21314</t>
        </is>
      </c>
      <c r="E2599" s="114" t="inlineStr">
        <is>
          <t>SMALL GLASS HEART TRINKET POT</t>
        </is>
      </c>
      <c r="F2599" s="114" t="n">
        <v>4</v>
      </c>
      <c r="G2599" s="115" t="n">
        <v>2.1</v>
      </c>
      <c r="H2599" s="115" t="n">
        <v>8.4</v>
      </c>
      <c r="I2599" s="116" t="n">
        <v>40764</v>
      </c>
    </row>
    <row r="2600">
      <c r="A2600" s="117" t="inlineStr">
        <is>
          <t>562776</t>
        </is>
      </c>
      <c r="B2600" s="117" t="n">
        <v>14180</v>
      </c>
      <c r="C2600" s="117" t="inlineStr">
        <is>
          <t>United Kingdom</t>
        </is>
      </c>
      <c r="D2600" s="117" t="inlineStr">
        <is>
          <t>22424</t>
        </is>
      </c>
      <c r="E2600" s="117" t="inlineStr">
        <is>
          <t>ENAMEL BREAD BIN CREAM</t>
        </is>
      </c>
      <c r="F2600" s="117" t="n">
        <v>2</v>
      </c>
      <c r="G2600" s="118" t="n">
        <v>12.75</v>
      </c>
      <c r="H2600" s="118" t="n">
        <v>25.5</v>
      </c>
      <c r="I2600" s="119" t="n">
        <v>40764</v>
      </c>
    </row>
    <row r="2601">
      <c r="A2601" s="114" t="inlineStr">
        <is>
          <t>562789</t>
        </is>
      </c>
      <c r="B2601" s="114" t="n">
        <v>14646</v>
      </c>
      <c r="C2601" s="114" t="inlineStr">
        <is>
          <t>Netherlands</t>
        </is>
      </c>
      <c r="D2601" s="114" t="inlineStr">
        <is>
          <t>22352</t>
        </is>
      </c>
      <c r="E2601" s="114" t="inlineStr">
        <is>
          <t xml:space="preserve">LUNCH BOX WITH CUTLERY RETROSPOT </t>
        </is>
      </c>
      <c r="F2601" s="114" t="n">
        <v>60</v>
      </c>
      <c r="G2601" s="115" t="n">
        <v>2.1</v>
      </c>
      <c r="H2601" s="115" t="n">
        <v>126</v>
      </c>
      <c r="I2601" s="116" t="n">
        <v>40764</v>
      </c>
    </row>
    <row r="2602">
      <c r="A2602" s="117" t="inlineStr">
        <is>
          <t>562789</t>
        </is>
      </c>
      <c r="B2602" s="117" t="n">
        <v>14646</v>
      </c>
      <c r="C2602" s="117" t="inlineStr">
        <is>
          <t>Netherlands</t>
        </is>
      </c>
      <c r="D2602" s="117" t="inlineStr">
        <is>
          <t>23209</t>
        </is>
      </c>
      <c r="E2602" s="117" t="inlineStr">
        <is>
          <t xml:space="preserve">LUNCH BAG DOILEY PATTERN </t>
        </is>
      </c>
      <c r="F2602" s="117" t="n">
        <v>100</v>
      </c>
      <c r="G2602" s="118" t="n">
        <v>1.45</v>
      </c>
      <c r="H2602" s="118" t="n">
        <v>145</v>
      </c>
      <c r="I2602" s="119" t="n">
        <v>40764</v>
      </c>
    </row>
    <row r="2603">
      <c r="A2603" s="114" t="inlineStr">
        <is>
          <t>562807</t>
        </is>
      </c>
      <c r="B2603" s="114" t="n">
        <v>16053</v>
      </c>
      <c r="C2603" s="114" t="inlineStr">
        <is>
          <t>United Kingdom</t>
        </is>
      </c>
      <c r="D2603" s="114" t="inlineStr">
        <is>
          <t>23306</t>
        </is>
      </c>
      <c r="E2603" s="114" t="inlineStr">
        <is>
          <t>SET OF 36 DOILIES PANTRY DESIGN</t>
        </is>
      </c>
      <c r="F2603" s="114" t="n">
        <v>12</v>
      </c>
      <c r="G2603" s="115" t="n">
        <v>1.45</v>
      </c>
      <c r="H2603" s="115" t="n">
        <v>17.4</v>
      </c>
      <c r="I2603" s="116" t="n">
        <v>40764</v>
      </c>
    </row>
    <row r="2604">
      <c r="A2604" s="117" t="inlineStr">
        <is>
          <t>562850</t>
        </is>
      </c>
      <c r="B2604" s="117" t="n">
        <v>14680</v>
      </c>
      <c r="C2604" s="117" t="inlineStr">
        <is>
          <t>United Kingdom</t>
        </is>
      </c>
      <c r="D2604" s="117" t="inlineStr">
        <is>
          <t>20713</t>
        </is>
      </c>
      <c r="E2604" s="117" t="inlineStr">
        <is>
          <t>JUMBO BAG OWLS</t>
        </is>
      </c>
      <c r="F2604" s="117" t="n">
        <v>100</v>
      </c>
      <c r="G2604" s="118" t="n">
        <v>1.79</v>
      </c>
      <c r="H2604" s="118" t="n">
        <v>179</v>
      </c>
      <c r="I2604" s="119" t="n">
        <v>40765</v>
      </c>
    </row>
    <row r="2605">
      <c r="A2605" s="114" t="inlineStr">
        <is>
          <t>562854</t>
        </is>
      </c>
      <c r="B2605" s="114" t="n">
        <v>16133</v>
      </c>
      <c r="C2605" s="114" t="inlineStr">
        <is>
          <t>United Kingdom</t>
        </is>
      </c>
      <c r="D2605" s="114" t="inlineStr">
        <is>
          <t>23271</t>
        </is>
      </c>
      <c r="E2605" s="114" t="inlineStr">
        <is>
          <t>CHRISTMAS TABLE SILVER CANDLE SPIKE</t>
        </is>
      </c>
      <c r="F2605" s="114" t="n">
        <v>16</v>
      </c>
      <c r="G2605" s="115" t="n">
        <v>0.83</v>
      </c>
      <c r="H2605" s="115" t="n">
        <v>13.28</v>
      </c>
      <c r="I2605" s="116" t="n">
        <v>40765</v>
      </c>
    </row>
    <row r="2606">
      <c r="A2606" s="117" t="inlineStr">
        <is>
          <t>562878</t>
        </is>
      </c>
      <c r="B2606" s="117" t="n">
        <v>16241</v>
      </c>
      <c r="C2606" s="117" t="inlineStr">
        <is>
          <t>United Kingdom</t>
        </is>
      </c>
      <c r="D2606" s="117" t="inlineStr">
        <is>
          <t>22720</t>
        </is>
      </c>
      <c r="E2606" s="117" t="inlineStr">
        <is>
          <t xml:space="preserve">SET OF 3 CAKE TINS PANTRY DESIGN </t>
        </is>
      </c>
      <c r="F2606" s="117" t="n">
        <v>1</v>
      </c>
      <c r="G2606" s="118" t="n">
        <v>4.95</v>
      </c>
      <c r="H2606" s="118" t="n">
        <v>4.95</v>
      </c>
      <c r="I2606" s="119" t="n">
        <v>40765</v>
      </c>
    </row>
    <row r="2607">
      <c r="A2607" s="114" t="inlineStr">
        <is>
          <t>562878</t>
        </is>
      </c>
      <c r="B2607" s="114" t="n">
        <v>16241</v>
      </c>
      <c r="C2607" s="114" t="inlineStr">
        <is>
          <t>United Kingdom</t>
        </is>
      </c>
      <c r="D2607" s="114" t="inlineStr">
        <is>
          <t>22219</t>
        </is>
      </c>
      <c r="E2607" s="114" t="inlineStr">
        <is>
          <t xml:space="preserve">LOVEBIRD HANGING DECORATION WHITE </t>
        </is>
      </c>
      <c r="F2607" s="114" t="n">
        <v>1</v>
      </c>
      <c r="G2607" s="115" t="n">
        <v>0.85</v>
      </c>
      <c r="H2607" s="115" t="n">
        <v>0.85</v>
      </c>
      <c r="I2607" s="116" t="n">
        <v>40765</v>
      </c>
    </row>
    <row r="2608">
      <c r="A2608" s="117" t="inlineStr">
        <is>
          <t>562881</t>
        </is>
      </c>
      <c r="B2608" s="117" t="n">
        <v>15632</v>
      </c>
      <c r="C2608" s="117" t="inlineStr">
        <is>
          <t>United Kingdom</t>
        </is>
      </c>
      <c r="D2608" s="117" t="inlineStr">
        <is>
          <t>16161P</t>
        </is>
      </c>
      <c r="E2608" s="117" t="inlineStr">
        <is>
          <t xml:space="preserve">WRAP ENGLISH ROSE </t>
        </is>
      </c>
      <c r="F2608" s="117" t="n">
        <v>25</v>
      </c>
      <c r="G2608" s="118" t="n">
        <v>0.42</v>
      </c>
      <c r="H2608" s="118" t="n">
        <v>10.5</v>
      </c>
      <c r="I2608" s="119" t="n">
        <v>40765</v>
      </c>
    </row>
    <row r="2609">
      <c r="A2609" s="114" t="inlineStr">
        <is>
          <t>562926</t>
        </is>
      </c>
      <c r="B2609" s="114" t="n">
        <v>17512</v>
      </c>
      <c r="C2609" s="114" t="inlineStr">
        <is>
          <t>United Kingdom</t>
        </is>
      </c>
      <c r="D2609" s="114" t="inlineStr">
        <is>
          <t>21758</t>
        </is>
      </c>
      <c r="E2609" s="114" t="inlineStr">
        <is>
          <t>VINTAGE SHELLS PRINT</t>
        </is>
      </c>
      <c r="F2609" s="114" t="n">
        <v>2</v>
      </c>
      <c r="G2609" s="115" t="n">
        <v>6.45</v>
      </c>
      <c r="H2609" s="115" t="n">
        <v>12.9</v>
      </c>
      <c r="I2609" s="116" t="n">
        <v>40765</v>
      </c>
    </row>
    <row r="2610">
      <c r="A2610" s="117" t="inlineStr">
        <is>
          <t>562928</t>
        </is>
      </c>
      <c r="B2610" s="117" t="n">
        <v>15494</v>
      </c>
      <c r="C2610" s="117" t="inlineStr">
        <is>
          <t>United Kingdom</t>
        </is>
      </c>
      <c r="D2610" s="117" t="inlineStr">
        <is>
          <t>22998</t>
        </is>
      </c>
      <c r="E2610" s="117" t="inlineStr">
        <is>
          <t>TRAVEL CARD WALLET KEEP CALM</t>
        </is>
      </c>
      <c r="F2610" s="117" t="n">
        <v>24</v>
      </c>
      <c r="G2610" s="118" t="n">
        <v>0.42</v>
      </c>
      <c r="H2610" s="118" t="n">
        <v>10.08</v>
      </c>
      <c r="I2610" s="119" t="n">
        <v>40765</v>
      </c>
    </row>
    <row r="2611">
      <c r="A2611" s="114" t="inlineStr">
        <is>
          <t>562928</t>
        </is>
      </c>
      <c r="B2611" s="114" t="n">
        <v>15494</v>
      </c>
      <c r="C2611" s="114" t="inlineStr">
        <is>
          <t>United Kingdom</t>
        </is>
      </c>
      <c r="D2611" s="114" t="inlineStr">
        <is>
          <t>22988</t>
        </is>
      </c>
      <c r="E2611" s="114" t="inlineStr">
        <is>
          <t xml:space="preserve">SOLDIERS EGG CUP </t>
        </is>
      </c>
      <c r="F2611" s="114" t="n">
        <v>12</v>
      </c>
      <c r="G2611" s="115" t="n">
        <v>1.25</v>
      </c>
      <c r="H2611" s="115" t="n">
        <v>15</v>
      </c>
      <c r="I2611" s="116" t="n">
        <v>40765</v>
      </c>
    </row>
    <row r="2612">
      <c r="A2612" s="117" t="inlineStr">
        <is>
          <t>562929</t>
        </is>
      </c>
      <c r="B2612" s="117" t="n">
        <v>17562</v>
      </c>
      <c r="C2612" s="117" t="inlineStr">
        <is>
          <t>United Kingdom</t>
        </is>
      </c>
      <c r="D2612" s="117" t="inlineStr">
        <is>
          <t>23196</t>
        </is>
      </c>
      <c r="E2612" s="117" t="inlineStr">
        <is>
          <t>VINTAGE LEAF MAGNETIC NOTEPAD</t>
        </is>
      </c>
      <c r="F2612" s="117" t="n">
        <v>12</v>
      </c>
      <c r="G2612" s="118" t="n">
        <v>1.45</v>
      </c>
      <c r="H2612" s="118" t="n">
        <v>17.4</v>
      </c>
      <c r="I2612" s="119" t="n">
        <v>40765</v>
      </c>
    </row>
    <row r="2613">
      <c r="A2613" s="114" t="inlineStr">
        <is>
          <t>562930</t>
        </is>
      </c>
      <c r="B2613" s="114" t="n">
        <v>14209</v>
      </c>
      <c r="C2613" s="114" t="inlineStr">
        <is>
          <t>United Kingdom</t>
        </is>
      </c>
      <c r="D2613" s="114" t="inlineStr">
        <is>
          <t>82484</t>
        </is>
      </c>
      <c r="E2613" s="114" t="inlineStr">
        <is>
          <t>WOOD BLACK BOARD ANT WHITE FINISH</t>
        </is>
      </c>
      <c r="F2613" s="114" t="n">
        <v>2</v>
      </c>
      <c r="G2613" s="115" t="n">
        <v>7.95</v>
      </c>
      <c r="H2613" s="115" t="n">
        <v>15.9</v>
      </c>
      <c r="I2613" s="116" t="n">
        <v>40765</v>
      </c>
    </row>
    <row r="2614">
      <c r="A2614" s="117" t="inlineStr">
        <is>
          <t>562931</t>
        </is>
      </c>
      <c r="B2614" s="117" t="n">
        <v>14030</v>
      </c>
      <c r="C2614" s="117" t="inlineStr">
        <is>
          <t>United Kingdom</t>
        </is>
      </c>
      <c r="D2614" s="117" t="inlineStr">
        <is>
          <t>21974</t>
        </is>
      </c>
      <c r="E2614" s="117" t="inlineStr">
        <is>
          <t>SET OF 36 PAISLEY FLOWER DOILIES</t>
        </is>
      </c>
      <c r="F2614" s="117" t="n">
        <v>1</v>
      </c>
      <c r="G2614" s="118" t="n">
        <v>1.45</v>
      </c>
      <c r="H2614" s="118" t="n">
        <v>1.45</v>
      </c>
      <c r="I2614" s="119" t="n">
        <v>40765</v>
      </c>
    </row>
    <row r="2615">
      <c r="A2615" s="114" t="inlineStr">
        <is>
          <t>562932</t>
        </is>
      </c>
      <c r="B2615" s="114" t="n">
        <v>16904</v>
      </c>
      <c r="C2615" s="114" t="inlineStr">
        <is>
          <t>United Kingdom</t>
        </is>
      </c>
      <c r="D2615" s="114" t="inlineStr">
        <is>
          <t>20728</t>
        </is>
      </c>
      <c r="E2615" s="114" t="inlineStr">
        <is>
          <t>LUNCH BAG CARS BLUE</t>
        </is>
      </c>
      <c r="F2615" s="114" t="n">
        <v>2</v>
      </c>
      <c r="G2615" s="115" t="n">
        <v>1.65</v>
      </c>
      <c r="H2615" s="115" t="n">
        <v>3.3</v>
      </c>
      <c r="I2615" s="116" t="n">
        <v>40765</v>
      </c>
    </row>
    <row r="2616">
      <c r="A2616" s="117" t="inlineStr">
        <is>
          <t>562935</t>
        </is>
      </c>
      <c r="B2616" s="117" t="n">
        <v>14156</v>
      </c>
      <c r="C2616" s="117" t="inlineStr">
        <is>
          <t>EIRE</t>
        </is>
      </c>
      <c r="D2616" s="117" t="inlineStr">
        <is>
          <t>21931</t>
        </is>
      </c>
      <c r="E2616" s="117" t="inlineStr">
        <is>
          <t>JUMBO STORAGE BAG SUKI</t>
        </is>
      </c>
      <c r="F2616" s="117" t="n">
        <v>10</v>
      </c>
      <c r="G2616" s="118" t="n">
        <v>2.08</v>
      </c>
      <c r="H2616" s="118" t="n">
        <v>20.8</v>
      </c>
      <c r="I2616" s="119" t="n">
        <v>40765</v>
      </c>
    </row>
    <row r="2617">
      <c r="A2617" s="114" t="inlineStr">
        <is>
          <t>562949</t>
        </is>
      </c>
      <c r="B2617" s="114" t="n">
        <v>14346</v>
      </c>
      <c r="C2617" s="114" t="inlineStr">
        <is>
          <t>United Kingdom</t>
        </is>
      </c>
      <c r="D2617" s="114" t="inlineStr">
        <is>
          <t>22469</t>
        </is>
      </c>
      <c r="E2617" s="114" t="inlineStr">
        <is>
          <t>HEART OF WICKER SMALL</t>
        </is>
      </c>
      <c r="F2617" s="114" t="n">
        <v>12</v>
      </c>
      <c r="G2617" s="115" t="n">
        <v>1.65</v>
      </c>
      <c r="H2617" s="115" t="n">
        <v>19.8</v>
      </c>
      <c r="I2617" s="116" t="n">
        <v>40766</v>
      </c>
    </row>
    <row r="2618">
      <c r="A2618" s="117" t="inlineStr">
        <is>
          <t>562980</t>
        </is>
      </c>
      <c r="B2618" s="117" t="n">
        <v>17686</v>
      </c>
      <c r="C2618" s="117" t="inlineStr">
        <is>
          <t>United Kingdom</t>
        </is>
      </c>
      <c r="D2618" s="117" t="inlineStr">
        <is>
          <t>20725</t>
        </is>
      </c>
      <c r="E2618" s="117" t="inlineStr">
        <is>
          <t>LUNCH BAG RED RETROSPOT</t>
        </is>
      </c>
      <c r="F2618" s="117" t="n">
        <v>10</v>
      </c>
      <c r="G2618" s="118" t="n">
        <v>1.65</v>
      </c>
      <c r="H2618" s="118" t="n">
        <v>16.5</v>
      </c>
      <c r="I2618" s="119" t="n">
        <v>40766</v>
      </c>
    </row>
    <row r="2619">
      <c r="A2619" s="114" t="inlineStr">
        <is>
          <t>562980</t>
        </is>
      </c>
      <c r="B2619" s="114" t="n">
        <v>17686</v>
      </c>
      <c r="C2619" s="114" t="inlineStr">
        <is>
          <t>United Kingdom</t>
        </is>
      </c>
      <c r="D2619" s="114" t="inlineStr">
        <is>
          <t>22961</t>
        </is>
      </c>
      <c r="E2619" s="114" t="inlineStr">
        <is>
          <t>JAM MAKING SET PRINTED</t>
        </is>
      </c>
      <c r="F2619" s="114" t="n">
        <v>12</v>
      </c>
      <c r="G2619" s="115" t="n">
        <v>1.45</v>
      </c>
      <c r="H2619" s="115" t="n">
        <v>17.4</v>
      </c>
      <c r="I2619" s="116" t="n">
        <v>40766</v>
      </c>
    </row>
    <row r="2620">
      <c r="A2620" s="117" t="inlineStr">
        <is>
          <t>562984</t>
        </is>
      </c>
      <c r="B2620" s="117" t="n">
        <v>17841</v>
      </c>
      <c r="C2620" s="117" t="inlineStr">
        <is>
          <t>United Kingdom</t>
        </is>
      </c>
      <c r="D2620" s="117" t="inlineStr">
        <is>
          <t>22327</t>
        </is>
      </c>
      <c r="E2620" s="117" t="inlineStr">
        <is>
          <t>ROUND SNACK BOXES SET OF 4 SKULLS</t>
        </is>
      </c>
      <c r="F2620" s="117" t="n">
        <v>2</v>
      </c>
      <c r="G2620" s="118" t="n">
        <v>2.95</v>
      </c>
      <c r="H2620" s="118" t="n">
        <v>5.9</v>
      </c>
      <c r="I2620" s="119" t="n">
        <v>40766</v>
      </c>
    </row>
    <row r="2621">
      <c r="A2621" s="114" t="inlineStr">
        <is>
          <t>562984</t>
        </is>
      </c>
      <c r="B2621" s="114" t="n">
        <v>17841</v>
      </c>
      <c r="C2621" s="114" t="inlineStr">
        <is>
          <t>United Kingdom</t>
        </is>
      </c>
      <c r="D2621" s="114" t="inlineStr">
        <is>
          <t>23182</t>
        </is>
      </c>
      <c r="E2621" s="114" t="inlineStr">
        <is>
          <t>TOILET SIGN OCCUPIED OR VACANT</t>
        </is>
      </c>
      <c r="F2621" s="114" t="n">
        <v>1</v>
      </c>
      <c r="G2621" s="115" t="n">
        <v>0.83</v>
      </c>
      <c r="H2621" s="115" t="n">
        <v>0.83</v>
      </c>
      <c r="I2621" s="116" t="n">
        <v>40766</v>
      </c>
    </row>
    <row r="2622">
      <c r="A2622" s="117" t="inlineStr">
        <is>
          <t>562999</t>
        </is>
      </c>
      <c r="B2622" s="117" t="n">
        <v>15117</v>
      </c>
      <c r="C2622" s="117" t="inlineStr">
        <is>
          <t>United Kingdom</t>
        </is>
      </c>
      <c r="D2622" s="117" t="inlineStr">
        <is>
          <t>22776</t>
        </is>
      </c>
      <c r="E2622" s="117" t="inlineStr">
        <is>
          <t>SWEETHEART CAKESTAND 3 TIER</t>
        </is>
      </c>
      <c r="F2622" s="117" t="n">
        <v>1</v>
      </c>
      <c r="G2622" s="118" t="n">
        <v>9.949999999999999</v>
      </c>
      <c r="H2622" s="118" t="n">
        <v>9.949999999999999</v>
      </c>
      <c r="I2622" s="119" t="n">
        <v>40766</v>
      </c>
    </row>
    <row r="2623">
      <c r="A2623" s="114" t="inlineStr">
        <is>
          <t>563012</t>
        </is>
      </c>
      <c r="B2623" s="114" t="n">
        <v>17284</v>
      </c>
      <c r="C2623" s="114" t="inlineStr">
        <is>
          <t>United Kingdom</t>
        </is>
      </c>
      <c r="D2623" s="114" t="inlineStr">
        <is>
          <t>21212</t>
        </is>
      </c>
      <c r="E2623" s="114" t="inlineStr">
        <is>
          <t>PACK OF 72 RETROSPOT CAKE CASES</t>
        </is>
      </c>
      <c r="F2623" s="114" t="n">
        <v>3</v>
      </c>
      <c r="G2623" s="115" t="n">
        <v>0.55</v>
      </c>
      <c r="H2623" s="115" t="n">
        <v>1.65</v>
      </c>
      <c r="I2623" s="116" t="n">
        <v>40766</v>
      </c>
    </row>
    <row r="2624">
      <c r="A2624" s="117" t="inlineStr">
        <is>
          <t>563019</t>
        </is>
      </c>
      <c r="B2624" s="117" t="n">
        <v>17340</v>
      </c>
      <c r="C2624" s="117" t="inlineStr">
        <is>
          <t>United Kingdom</t>
        </is>
      </c>
      <c r="D2624" s="117" t="inlineStr">
        <is>
          <t>22467</t>
        </is>
      </c>
      <c r="E2624" s="117" t="inlineStr">
        <is>
          <t>GUMBALL COAT RACK</t>
        </is>
      </c>
      <c r="F2624" s="117" t="n">
        <v>36</v>
      </c>
      <c r="G2624" s="118" t="n">
        <v>2.1</v>
      </c>
      <c r="H2624" s="118" t="n">
        <v>75.59999999999999</v>
      </c>
      <c r="I2624" s="119" t="n">
        <v>40766</v>
      </c>
    </row>
    <row r="2625">
      <c r="A2625" s="114" t="inlineStr">
        <is>
          <t>563019</t>
        </is>
      </c>
      <c r="B2625" s="114" t="n">
        <v>17340</v>
      </c>
      <c r="C2625" s="114" t="inlineStr">
        <is>
          <t>United Kingdom</t>
        </is>
      </c>
      <c r="D2625" s="114" t="inlineStr">
        <is>
          <t>22178</t>
        </is>
      </c>
      <c r="E2625" s="114" t="inlineStr">
        <is>
          <t>VICTORIAN GLASS HANGING T-LIGHT</t>
        </is>
      </c>
      <c r="F2625" s="114" t="n">
        <v>24</v>
      </c>
      <c r="G2625" s="115" t="n">
        <v>1.25</v>
      </c>
      <c r="H2625" s="115" t="n">
        <v>30</v>
      </c>
      <c r="I2625" s="116" t="n">
        <v>40766</v>
      </c>
    </row>
    <row r="2626">
      <c r="A2626" s="117" t="inlineStr">
        <is>
          <t>563022</t>
        </is>
      </c>
      <c r="B2626" s="117" t="n">
        <v>17248</v>
      </c>
      <c r="C2626" s="117" t="inlineStr">
        <is>
          <t>United Kingdom</t>
        </is>
      </c>
      <c r="D2626" s="117" t="inlineStr">
        <is>
          <t>22979</t>
        </is>
      </c>
      <c r="E2626" s="117" t="inlineStr">
        <is>
          <t>PANTRY WASHING UP BRUSH</t>
        </is>
      </c>
      <c r="F2626" s="117" t="n">
        <v>1</v>
      </c>
      <c r="G2626" s="118" t="n">
        <v>1.45</v>
      </c>
      <c r="H2626" s="118" t="n">
        <v>1.45</v>
      </c>
      <c r="I2626" s="119" t="n">
        <v>40766</v>
      </c>
    </row>
    <row r="2627">
      <c r="A2627" s="114" t="inlineStr">
        <is>
          <t>563022</t>
        </is>
      </c>
      <c r="B2627" s="114" t="n">
        <v>17248</v>
      </c>
      <c r="C2627" s="114" t="inlineStr">
        <is>
          <t>United Kingdom</t>
        </is>
      </c>
      <c r="D2627" s="114" t="inlineStr">
        <is>
          <t>22502</t>
        </is>
      </c>
      <c r="E2627" s="114" t="inlineStr">
        <is>
          <t>PICNIC BASKET WICKER SMALL</t>
        </is>
      </c>
      <c r="F2627" s="114" t="n">
        <v>1</v>
      </c>
      <c r="G2627" s="115" t="n">
        <v>5.95</v>
      </c>
      <c r="H2627" s="115" t="n">
        <v>5.95</v>
      </c>
      <c r="I2627" s="116" t="n">
        <v>40766</v>
      </c>
    </row>
    <row r="2628">
      <c r="A2628" s="117" t="inlineStr">
        <is>
          <t>563022</t>
        </is>
      </c>
      <c r="B2628" s="117" t="n">
        <v>17248</v>
      </c>
      <c r="C2628" s="117" t="inlineStr">
        <is>
          <t>United Kingdom</t>
        </is>
      </c>
      <c r="D2628" s="117" t="inlineStr">
        <is>
          <t>22277</t>
        </is>
      </c>
      <c r="E2628" s="117" t="inlineStr">
        <is>
          <t>COSMETIC BAG VINTAGE ROSE PAISLEY</t>
        </is>
      </c>
      <c r="F2628" s="117" t="n">
        <v>3</v>
      </c>
      <c r="G2628" s="118" t="n">
        <v>2.1</v>
      </c>
      <c r="H2628" s="118" t="n">
        <v>6.3</v>
      </c>
      <c r="I2628" s="119" t="n">
        <v>40766</v>
      </c>
    </row>
    <row r="2629">
      <c r="A2629" s="114" t="inlineStr">
        <is>
          <t>563026</t>
        </is>
      </c>
      <c r="B2629" s="114" t="n">
        <v>15747</v>
      </c>
      <c r="C2629" s="114" t="inlineStr">
        <is>
          <t>United Kingdom</t>
        </is>
      </c>
      <c r="D2629" s="114" t="inlineStr">
        <is>
          <t>22383</t>
        </is>
      </c>
      <c r="E2629" s="114" t="inlineStr">
        <is>
          <t xml:space="preserve">LUNCH BAG SUKI DESIGN </t>
        </is>
      </c>
      <c r="F2629" s="114" t="n">
        <v>2</v>
      </c>
      <c r="G2629" s="115" t="n">
        <v>1.65</v>
      </c>
      <c r="H2629" s="115" t="n">
        <v>3.3</v>
      </c>
      <c r="I2629" s="116" t="n">
        <v>40766</v>
      </c>
    </row>
    <row r="2630">
      <c r="A2630" s="117" t="inlineStr">
        <is>
          <t>563034</t>
        </is>
      </c>
      <c r="B2630" s="117" t="n">
        <v>17644</v>
      </c>
      <c r="C2630" s="117" t="inlineStr">
        <is>
          <t>United Kingdom</t>
        </is>
      </c>
      <c r="D2630" s="117" t="inlineStr">
        <is>
          <t>10125</t>
        </is>
      </c>
      <c r="E2630" s="117" t="inlineStr">
        <is>
          <t>MINI FUNKY DESIGN TAPES</t>
        </is>
      </c>
      <c r="F2630" s="117" t="n">
        <v>40</v>
      </c>
      <c r="G2630" s="118" t="n">
        <v>0.85</v>
      </c>
      <c r="H2630" s="118" t="n">
        <v>34</v>
      </c>
      <c r="I2630" s="119" t="n">
        <v>40766</v>
      </c>
    </row>
    <row r="2631">
      <c r="A2631" s="114" t="inlineStr">
        <is>
          <t>563035</t>
        </is>
      </c>
      <c r="B2631" s="114" t="n">
        <v>17790</v>
      </c>
      <c r="C2631" s="114" t="inlineStr">
        <is>
          <t>United Kingdom</t>
        </is>
      </c>
      <c r="D2631" s="114" t="inlineStr">
        <is>
          <t>22189</t>
        </is>
      </c>
      <c r="E2631" s="114" t="inlineStr">
        <is>
          <t>CREAM HEART CARD HOLDER</t>
        </is>
      </c>
      <c r="F2631" s="114" t="n">
        <v>2</v>
      </c>
      <c r="G2631" s="115" t="n">
        <v>3.95</v>
      </c>
      <c r="H2631" s="115" t="n">
        <v>7.9</v>
      </c>
      <c r="I2631" s="116" t="n">
        <v>40766</v>
      </c>
    </row>
    <row r="2632">
      <c r="A2632" s="117" t="inlineStr">
        <is>
          <t>563036</t>
        </is>
      </c>
      <c r="B2632" s="117" t="n">
        <v>14868</v>
      </c>
      <c r="C2632" s="117" t="inlineStr">
        <is>
          <t>United Kingdom</t>
        </is>
      </c>
      <c r="D2632" s="117" t="inlineStr">
        <is>
          <t>22570</t>
        </is>
      </c>
      <c r="E2632" s="117" t="inlineStr">
        <is>
          <t>FELTCRAFT CUSHION RABBIT</t>
        </is>
      </c>
      <c r="F2632" s="117" t="n">
        <v>4</v>
      </c>
      <c r="G2632" s="118" t="n">
        <v>3.75</v>
      </c>
      <c r="H2632" s="118" t="n">
        <v>15</v>
      </c>
      <c r="I2632" s="119" t="n">
        <v>40766</v>
      </c>
    </row>
    <row r="2633">
      <c r="A2633" s="114" t="inlineStr">
        <is>
          <t>563090</t>
        </is>
      </c>
      <c r="B2633" s="114" t="n">
        <v>16186</v>
      </c>
      <c r="C2633" s="114" t="inlineStr">
        <is>
          <t>United Kingdom</t>
        </is>
      </c>
      <c r="D2633" s="114" t="inlineStr">
        <is>
          <t>84755</t>
        </is>
      </c>
      <c r="E2633" s="114" t="inlineStr">
        <is>
          <t>COLOUR GLASS T-LIGHT HOLDER HANGING</t>
        </is>
      </c>
      <c r="F2633" s="114" t="n">
        <v>16</v>
      </c>
      <c r="G2633" s="115" t="n">
        <v>0.65</v>
      </c>
      <c r="H2633" s="115" t="n">
        <v>10.4</v>
      </c>
      <c r="I2633" s="116" t="n">
        <v>40766</v>
      </c>
    </row>
    <row r="2634">
      <c r="A2634" s="117" t="inlineStr">
        <is>
          <t>563095</t>
        </is>
      </c>
      <c r="B2634" s="117" t="n">
        <v>13158</v>
      </c>
      <c r="C2634" s="117" t="inlineStr">
        <is>
          <t>United Kingdom</t>
        </is>
      </c>
      <c r="D2634" s="117" t="inlineStr">
        <is>
          <t>22726</t>
        </is>
      </c>
      <c r="E2634" s="117" t="inlineStr">
        <is>
          <t>ALARM CLOCK BAKELIKE GREEN</t>
        </is>
      </c>
      <c r="F2634" s="117" t="n">
        <v>4</v>
      </c>
      <c r="G2634" s="118" t="n">
        <v>3.75</v>
      </c>
      <c r="H2634" s="118" t="n">
        <v>15</v>
      </c>
      <c r="I2634" s="119" t="n">
        <v>40767</v>
      </c>
    </row>
    <row r="2635">
      <c r="A2635" s="114" t="inlineStr">
        <is>
          <t>563100</t>
        </is>
      </c>
      <c r="B2635" s="114" t="n">
        <v>12381</v>
      </c>
      <c r="C2635" s="114" t="inlineStr">
        <is>
          <t>Norway</t>
        </is>
      </c>
      <c r="D2635" s="114" t="inlineStr">
        <is>
          <t>85159B</t>
        </is>
      </c>
      <c r="E2635" s="114" t="inlineStr">
        <is>
          <t>WHITE TEA,COFFEE,SUGAR JARS</t>
        </is>
      </c>
      <c r="F2635" s="114" t="n">
        <v>12</v>
      </c>
      <c r="G2635" s="115" t="n">
        <v>1.95</v>
      </c>
      <c r="H2635" s="115" t="n">
        <v>23.4</v>
      </c>
      <c r="I2635" s="116" t="n">
        <v>40767</v>
      </c>
    </row>
    <row r="2636">
      <c r="A2636" s="117" t="inlineStr">
        <is>
          <t>563104</t>
        </is>
      </c>
      <c r="B2636" s="117" t="n">
        <v>13888</v>
      </c>
      <c r="C2636" s="117" t="inlineStr">
        <is>
          <t>United Kingdom</t>
        </is>
      </c>
      <c r="D2636" s="117" t="inlineStr">
        <is>
          <t>23146</t>
        </is>
      </c>
      <c r="E2636" s="117" t="inlineStr">
        <is>
          <t>TRIPLE HOOK ANTIQUE IVORY ROSE</t>
        </is>
      </c>
      <c r="F2636" s="117" t="n">
        <v>4</v>
      </c>
      <c r="G2636" s="118" t="n">
        <v>3.29</v>
      </c>
      <c r="H2636" s="118" t="n">
        <v>13.16</v>
      </c>
      <c r="I2636" s="119" t="n">
        <v>40767</v>
      </c>
    </row>
    <row r="2637">
      <c r="A2637" s="114" t="inlineStr">
        <is>
          <t>563111</t>
        </is>
      </c>
      <c r="B2637" s="114" t="n">
        <v>15249</v>
      </c>
      <c r="C2637" s="114" t="inlineStr">
        <is>
          <t>United Kingdom</t>
        </is>
      </c>
      <c r="D2637" s="114" t="inlineStr">
        <is>
          <t>21670</t>
        </is>
      </c>
      <c r="E2637" s="114" t="inlineStr">
        <is>
          <t>BLUE SPOT CERAMIC DRAWER KNOB</t>
        </is>
      </c>
      <c r="F2637" s="114" t="n">
        <v>12</v>
      </c>
      <c r="G2637" s="115" t="n">
        <v>1.25</v>
      </c>
      <c r="H2637" s="115" t="n">
        <v>15</v>
      </c>
      <c r="I2637" s="116" t="n">
        <v>40767</v>
      </c>
    </row>
    <row r="2638">
      <c r="A2638" s="117" t="inlineStr">
        <is>
          <t>563174</t>
        </is>
      </c>
      <c r="B2638" s="117" t="n">
        <v>16746</v>
      </c>
      <c r="C2638" s="117" t="inlineStr">
        <is>
          <t>United Kingdom</t>
        </is>
      </c>
      <c r="D2638" s="117" t="inlineStr">
        <is>
          <t>23209</t>
        </is>
      </c>
      <c r="E2638" s="117" t="inlineStr">
        <is>
          <t xml:space="preserve">LUNCH BAG VINTAGE DOILY </t>
        </is>
      </c>
      <c r="F2638" s="117" t="n">
        <v>10</v>
      </c>
      <c r="G2638" s="118" t="n">
        <v>1.65</v>
      </c>
      <c r="H2638" s="118" t="n">
        <v>16.5</v>
      </c>
      <c r="I2638" s="119" t="n">
        <v>40767</v>
      </c>
    </row>
    <row r="2639">
      <c r="A2639" s="114" t="inlineStr">
        <is>
          <t>563180</t>
        </is>
      </c>
      <c r="B2639" s="114" t="n">
        <v>16209</v>
      </c>
      <c r="C2639" s="114" t="inlineStr">
        <is>
          <t>United Kingdom</t>
        </is>
      </c>
      <c r="D2639" s="114" t="inlineStr">
        <is>
          <t>44235</t>
        </is>
      </c>
      <c r="E2639" s="114" t="inlineStr">
        <is>
          <t xml:space="preserve">ASSORTED COLOURED CIRCLE MOBILE </t>
        </is>
      </c>
      <c r="F2639" s="114" t="n">
        <v>24</v>
      </c>
      <c r="G2639" s="115" t="n">
        <v>0.42</v>
      </c>
      <c r="H2639" s="115" t="n">
        <v>10.08</v>
      </c>
      <c r="I2639" s="116" t="n">
        <v>40767</v>
      </c>
    </row>
    <row r="2640">
      <c r="A2640" s="117" t="inlineStr">
        <is>
          <t>563189</t>
        </is>
      </c>
      <c r="B2640" s="117" t="n">
        <v>12682</v>
      </c>
      <c r="C2640" s="117" t="inlineStr">
        <is>
          <t>France</t>
        </is>
      </c>
      <c r="D2640" s="117" t="inlineStr">
        <is>
          <t>23293</t>
        </is>
      </c>
      <c r="E2640" s="117" t="inlineStr">
        <is>
          <t>SET OF 12 FAIRY CAKE BAKING CASES</t>
        </is>
      </c>
      <c r="F2640" s="117" t="n">
        <v>8</v>
      </c>
      <c r="G2640" s="118" t="n">
        <v>0.83</v>
      </c>
      <c r="H2640" s="118" t="n">
        <v>6.64</v>
      </c>
      <c r="I2640" s="119" t="n">
        <v>40767</v>
      </c>
    </row>
    <row r="2641">
      <c r="A2641" s="114" t="inlineStr">
        <is>
          <t>563206</t>
        </is>
      </c>
      <c r="B2641" s="114" t="n">
        <v>17613</v>
      </c>
      <c r="C2641" s="114" t="inlineStr">
        <is>
          <t>United Kingdom</t>
        </is>
      </c>
      <c r="D2641" s="114" t="inlineStr">
        <is>
          <t>23201</t>
        </is>
      </c>
      <c r="E2641" s="114" t="inlineStr">
        <is>
          <t>JUMBO BAG ALPHABET</t>
        </is>
      </c>
      <c r="F2641" s="114" t="n">
        <v>3</v>
      </c>
      <c r="G2641" s="115" t="n">
        <v>2.08</v>
      </c>
      <c r="H2641" s="115" t="n">
        <v>6.24</v>
      </c>
      <c r="I2641" s="116" t="n">
        <v>40769</v>
      </c>
    </row>
    <row r="2642">
      <c r="A2642" s="117" t="inlineStr">
        <is>
          <t>563209</t>
        </is>
      </c>
      <c r="B2642" s="117" t="n">
        <v>13527</v>
      </c>
      <c r="C2642" s="117" t="inlineStr">
        <is>
          <t>United Kingdom</t>
        </is>
      </c>
      <c r="D2642" s="117" t="inlineStr">
        <is>
          <t>23100</t>
        </is>
      </c>
      <c r="E2642" s="117" t="inlineStr">
        <is>
          <t>SILVER BELLS TABLE DECORATION</t>
        </is>
      </c>
      <c r="F2642" s="117" t="n">
        <v>4</v>
      </c>
      <c r="G2642" s="118" t="n">
        <v>1.25</v>
      </c>
      <c r="H2642" s="118" t="n">
        <v>5</v>
      </c>
      <c r="I2642" s="119" t="n">
        <v>40769</v>
      </c>
    </row>
    <row r="2643">
      <c r="A2643" s="114" t="inlineStr">
        <is>
          <t>563230</t>
        </is>
      </c>
      <c r="B2643" s="114" t="n">
        <v>15376</v>
      </c>
      <c r="C2643" s="114" t="inlineStr">
        <is>
          <t>United Kingdom</t>
        </is>
      </c>
      <c r="D2643" s="114" t="inlineStr">
        <is>
          <t>23237</t>
        </is>
      </c>
      <c r="E2643" s="114" t="inlineStr">
        <is>
          <t>SET OF 4 KNICK KNACK TINS LEAF</t>
        </is>
      </c>
      <c r="F2643" s="114" t="n">
        <v>2</v>
      </c>
      <c r="G2643" s="115" t="n">
        <v>4.15</v>
      </c>
      <c r="H2643" s="115" t="n">
        <v>8.300000000000001</v>
      </c>
      <c r="I2643" s="116" t="n">
        <v>40769</v>
      </c>
    </row>
    <row r="2644">
      <c r="A2644" s="117" t="inlineStr">
        <is>
          <t>563234</t>
        </is>
      </c>
      <c r="B2644" s="117" t="n">
        <v>13621</v>
      </c>
      <c r="C2644" s="117" t="inlineStr">
        <is>
          <t>United Kingdom</t>
        </is>
      </c>
      <c r="D2644" s="117" t="inlineStr">
        <is>
          <t>23289</t>
        </is>
      </c>
      <c r="E2644" s="117" t="inlineStr">
        <is>
          <t>DOLLY GIRL CHILDRENS BOWL</t>
        </is>
      </c>
      <c r="F2644" s="117" t="n">
        <v>8</v>
      </c>
      <c r="G2644" s="118" t="n">
        <v>1.25</v>
      </c>
      <c r="H2644" s="118" t="n">
        <v>10</v>
      </c>
      <c r="I2644" s="119" t="n">
        <v>40770</v>
      </c>
    </row>
    <row r="2645">
      <c r="A2645" s="114" t="inlineStr">
        <is>
          <t>563237</t>
        </is>
      </c>
      <c r="B2645" s="114" t="n">
        <v>14321</v>
      </c>
      <c r="C2645" s="114" t="inlineStr">
        <is>
          <t>United Kingdom</t>
        </is>
      </c>
      <c r="D2645" s="114" t="inlineStr">
        <is>
          <t>21391</t>
        </is>
      </c>
      <c r="E2645" s="114" t="inlineStr">
        <is>
          <t>FRENCH LAVENDER SCENT HEART</t>
        </is>
      </c>
      <c r="F2645" s="114" t="n">
        <v>12</v>
      </c>
      <c r="G2645" s="115" t="n">
        <v>0.75</v>
      </c>
      <c r="H2645" s="115" t="n">
        <v>9</v>
      </c>
      <c r="I2645" s="116" t="n">
        <v>40770</v>
      </c>
    </row>
    <row r="2646">
      <c r="A2646" s="117" t="inlineStr">
        <is>
          <t>563239</t>
        </is>
      </c>
      <c r="B2646" s="117" t="n">
        <v>15048</v>
      </c>
      <c r="C2646" s="117" t="inlineStr">
        <is>
          <t>United Kingdom</t>
        </is>
      </c>
      <c r="D2646" s="117" t="inlineStr">
        <is>
          <t>21936</t>
        </is>
      </c>
      <c r="E2646" s="117" t="inlineStr">
        <is>
          <t>RED RETROSPOT PICNIC BAG</t>
        </is>
      </c>
      <c r="F2646" s="117" t="n">
        <v>2</v>
      </c>
      <c r="G2646" s="118" t="n">
        <v>2.95</v>
      </c>
      <c r="H2646" s="118" t="n">
        <v>5.9</v>
      </c>
      <c r="I2646" s="119" t="n">
        <v>40770</v>
      </c>
    </row>
    <row r="2647">
      <c r="A2647" s="114" t="inlineStr">
        <is>
          <t>563241</t>
        </is>
      </c>
      <c r="B2647" s="114" t="n">
        <v>12758</v>
      </c>
      <c r="C2647" s="114" t="inlineStr">
        <is>
          <t>Portugal</t>
        </is>
      </c>
      <c r="D2647" s="114" t="inlineStr">
        <is>
          <t>23201</t>
        </is>
      </c>
      <c r="E2647" s="114" t="inlineStr">
        <is>
          <t>JUMBO BAG ALPHABET</t>
        </is>
      </c>
      <c r="F2647" s="114" t="n">
        <v>30</v>
      </c>
      <c r="G2647" s="115" t="n">
        <v>2.08</v>
      </c>
      <c r="H2647" s="115" t="n">
        <v>62.4</v>
      </c>
      <c r="I2647" s="116" t="n">
        <v>40770</v>
      </c>
    </row>
    <row r="2648">
      <c r="A2648" s="117" t="inlineStr">
        <is>
          <t>563241</t>
        </is>
      </c>
      <c r="B2648" s="117" t="n">
        <v>12758</v>
      </c>
      <c r="C2648" s="117" t="inlineStr">
        <is>
          <t>Portugal</t>
        </is>
      </c>
      <c r="D2648" s="117" t="inlineStr">
        <is>
          <t>23549</t>
        </is>
      </c>
      <c r="E2648" s="117" t="inlineStr">
        <is>
          <t xml:space="preserve">WRAP BIRD GARDEN </t>
        </is>
      </c>
      <c r="F2648" s="117" t="n">
        <v>25</v>
      </c>
      <c r="G2648" s="118" t="n">
        <v>0.42</v>
      </c>
      <c r="H2648" s="118" t="n">
        <v>10.5</v>
      </c>
      <c r="I2648" s="119" t="n">
        <v>40770</v>
      </c>
    </row>
    <row r="2649">
      <c r="A2649" s="114" t="inlineStr">
        <is>
          <t>563241</t>
        </is>
      </c>
      <c r="B2649" s="114" t="n">
        <v>12758</v>
      </c>
      <c r="C2649" s="114" t="inlineStr">
        <is>
          <t>Portugal</t>
        </is>
      </c>
      <c r="D2649" s="114" t="inlineStr">
        <is>
          <t>23202</t>
        </is>
      </c>
      <c r="E2649" s="114" t="inlineStr">
        <is>
          <t>JUMBO BAG VINTAGE LEAF</t>
        </is>
      </c>
      <c r="F2649" s="114" t="n">
        <v>30</v>
      </c>
      <c r="G2649" s="115" t="n">
        <v>2.08</v>
      </c>
      <c r="H2649" s="115" t="n">
        <v>62.4</v>
      </c>
      <c r="I2649" s="116" t="n">
        <v>40770</v>
      </c>
    </row>
    <row r="2650">
      <c r="A2650" s="117" t="inlineStr">
        <is>
          <t>563245</t>
        </is>
      </c>
      <c r="B2650" s="117" t="n">
        <v>16272</v>
      </c>
      <c r="C2650" s="117" t="inlineStr">
        <is>
          <t>United Kingdom</t>
        </is>
      </c>
      <c r="D2650" s="117" t="inlineStr">
        <is>
          <t>20712</t>
        </is>
      </c>
      <c r="E2650" s="117" t="inlineStr">
        <is>
          <t>JUMBO BAG WOODLAND ANIMALS</t>
        </is>
      </c>
      <c r="F2650" s="117" t="n">
        <v>10</v>
      </c>
      <c r="G2650" s="118" t="n">
        <v>2.08</v>
      </c>
      <c r="H2650" s="118" t="n">
        <v>20.8</v>
      </c>
      <c r="I2650" s="119" t="n">
        <v>40770</v>
      </c>
    </row>
    <row r="2651">
      <c r="A2651" s="114" t="inlineStr">
        <is>
          <t>563248</t>
        </is>
      </c>
      <c r="B2651" s="114" t="n">
        <v>14702</v>
      </c>
      <c r="C2651" s="114" t="inlineStr">
        <is>
          <t>United Kingdom</t>
        </is>
      </c>
      <c r="D2651" s="114" t="inlineStr">
        <is>
          <t>22676</t>
        </is>
      </c>
      <c r="E2651" s="114" t="inlineStr">
        <is>
          <t>FRENCH BLUE METAL DOOR SIGN 1</t>
        </is>
      </c>
      <c r="F2651" s="114" t="n">
        <v>3</v>
      </c>
      <c r="G2651" s="115" t="n">
        <v>1.25</v>
      </c>
      <c r="H2651" s="115" t="n">
        <v>3.75</v>
      </c>
      <c r="I2651" s="116" t="n">
        <v>40770</v>
      </c>
    </row>
    <row r="2652">
      <c r="A2652" s="117" t="inlineStr">
        <is>
          <t>563248</t>
        </is>
      </c>
      <c r="B2652" s="117" t="n">
        <v>14702</v>
      </c>
      <c r="C2652" s="117" t="inlineStr">
        <is>
          <t>United Kingdom</t>
        </is>
      </c>
      <c r="D2652" s="117" t="inlineStr">
        <is>
          <t>22907</t>
        </is>
      </c>
      <c r="E2652" s="117" t="inlineStr">
        <is>
          <t>PACK OF 20 NAPKINS PANTRY DESIGN</t>
        </is>
      </c>
      <c r="F2652" s="117" t="n">
        <v>3</v>
      </c>
      <c r="G2652" s="118" t="n">
        <v>0.85</v>
      </c>
      <c r="H2652" s="118" t="n">
        <v>2.55</v>
      </c>
      <c r="I2652" s="119" t="n">
        <v>40770</v>
      </c>
    </row>
    <row r="2653">
      <c r="A2653" s="114" t="inlineStr">
        <is>
          <t>563350</t>
        </is>
      </c>
      <c r="B2653" s="114" t="n">
        <v>14498</v>
      </c>
      <c r="C2653" s="114" t="inlineStr">
        <is>
          <t>United Kingdom</t>
        </is>
      </c>
      <c r="D2653" s="114" t="inlineStr">
        <is>
          <t>85099F</t>
        </is>
      </c>
      <c r="E2653" s="114" t="inlineStr">
        <is>
          <t>JUMBO BAG STRAWBERRY</t>
        </is>
      </c>
      <c r="F2653" s="114" t="n">
        <v>2</v>
      </c>
      <c r="G2653" s="115" t="n">
        <v>2.08</v>
      </c>
      <c r="H2653" s="115" t="n">
        <v>4.16</v>
      </c>
      <c r="I2653" s="116" t="n">
        <v>40770</v>
      </c>
    </row>
    <row r="2654">
      <c r="A2654" s="117" t="inlineStr">
        <is>
          <t>563351</t>
        </is>
      </c>
      <c r="B2654" s="117" t="n">
        <v>16902</v>
      </c>
      <c r="C2654" s="117" t="inlineStr">
        <is>
          <t>United Kingdom</t>
        </is>
      </c>
      <c r="D2654" s="117" t="inlineStr">
        <is>
          <t>23081</t>
        </is>
      </c>
      <c r="E2654" s="117" t="inlineStr">
        <is>
          <t>GREEN METAL BOX ARMY SUPPLIES</t>
        </is>
      </c>
      <c r="F2654" s="117" t="n">
        <v>16</v>
      </c>
      <c r="G2654" s="118" t="n">
        <v>7.5</v>
      </c>
      <c r="H2654" s="118" t="n">
        <v>120</v>
      </c>
      <c r="I2654" s="119" t="n">
        <v>40770</v>
      </c>
    </row>
    <row r="2655">
      <c r="A2655" s="114" t="inlineStr">
        <is>
          <t>563351</t>
        </is>
      </c>
      <c r="B2655" s="114" t="n">
        <v>16902</v>
      </c>
      <c r="C2655" s="114" t="inlineStr">
        <is>
          <t>United Kingdom</t>
        </is>
      </c>
      <c r="D2655" s="114" t="inlineStr">
        <is>
          <t>22082</t>
        </is>
      </c>
      <c r="E2655" s="114" t="inlineStr">
        <is>
          <t xml:space="preserve">RIBBON REEL STRIPES DESIGN </t>
        </is>
      </c>
      <c r="F2655" s="114" t="n">
        <v>15</v>
      </c>
      <c r="G2655" s="115" t="n">
        <v>1.65</v>
      </c>
      <c r="H2655" s="115" t="n">
        <v>24.75</v>
      </c>
      <c r="I2655" s="116" t="n">
        <v>40770</v>
      </c>
    </row>
    <row r="2656">
      <c r="A2656" s="117" t="inlineStr">
        <is>
          <t>563355</t>
        </is>
      </c>
      <c r="B2656" s="117" t="n">
        <v>14156</v>
      </c>
      <c r="C2656" s="117" t="inlineStr">
        <is>
          <t>EIRE</t>
        </is>
      </c>
      <c r="D2656" s="117" t="inlineStr">
        <is>
          <t>23202</t>
        </is>
      </c>
      <c r="E2656" s="117" t="inlineStr">
        <is>
          <t>JUMBO BAG VINTAGE LEAF</t>
        </is>
      </c>
      <c r="F2656" s="117" t="n">
        <v>10</v>
      </c>
      <c r="G2656" s="118" t="n">
        <v>2.08</v>
      </c>
      <c r="H2656" s="118" t="n">
        <v>20.8</v>
      </c>
      <c r="I2656" s="119" t="n">
        <v>40770</v>
      </c>
    </row>
    <row r="2657">
      <c r="A2657" s="114" t="inlineStr">
        <is>
          <t>563360</t>
        </is>
      </c>
      <c r="B2657" s="114" t="n">
        <v>15023</v>
      </c>
      <c r="C2657" s="114" t="inlineStr">
        <is>
          <t>United Kingdom</t>
        </is>
      </c>
      <c r="D2657" s="114" t="inlineStr">
        <is>
          <t>21524</t>
        </is>
      </c>
      <c r="E2657" s="114" t="inlineStr">
        <is>
          <t>DOORMAT SPOTTY HOME SWEET HOME</t>
        </is>
      </c>
      <c r="F2657" s="114" t="n">
        <v>2</v>
      </c>
      <c r="G2657" s="115" t="n">
        <v>7.95</v>
      </c>
      <c r="H2657" s="115" t="n">
        <v>15.9</v>
      </c>
      <c r="I2657" s="116" t="n">
        <v>40770</v>
      </c>
    </row>
    <row r="2658">
      <c r="A2658" s="117" t="inlineStr">
        <is>
          <t>563369</t>
        </is>
      </c>
      <c r="B2658" s="117" t="n">
        <v>13394</v>
      </c>
      <c r="C2658" s="117" t="inlineStr">
        <is>
          <t>United Kingdom</t>
        </is>
      </c>
      <c r="D2658" s="117" t="inlineStr">
        <is>
          <t>72232</t>
        </is>
      </c>
      <c r="E2658" s="117" t="inlineStr">
        <is>
          <t>FENG SHUI PILLAR CANDLE</t>
        </is>
      </c>
      <c r="F2658" s="117" t="n">
        <v>48</v>
      </c>
      <c r="G2658" s="118" t="n">
        <v>0.19</v>
      </c>
      <c r="H2658" s="118" t="n">
        <v>9.119999999999999</v>
      </c>
      <c r="I2658" s="119" t="n">
        <v>40771</v>
      </c>
    </row>
    <row r="2659">
      <c r="A2659" s="114" t="inlineStr">
        <is>
          <t>563372</t>
        </is>
      </c>
      <c r="B2659" s="114" t="n">
        <v>15653</v>
      </c>
      <c r="C2659" s="114" t="inlineStr">
        <is>
          <t>United Kingdom</t>
        </is>
      </c>
      <c r="D2659" s="114" t="inlineStr">
        <is>
          <t>22573</t>
        </is>
      </c>
      <c r="E2659" s="114" t="inlineStr">
        <is>
          <t>STAR WOODEN CHRISTMAS DECORATION</t>
        </is>
      </c>
      <c r="F2659" s="114" t="n">
        <v>12</v>
      </c>
      <c r="G2659" s="115" t="n">
        <v>0.85</v>
      </c>
      <c r="H2659" s="115" t="n">
        <v>10.2</v>
      </c>
      <c r="I2659" s="116" t="n">
        <v>40771</v>
      </c>
    </row>
    <row r="2660">
      <c r="A2660" s="117" t="inlineStr">
        <is>
          <t>563376</t>
        </is>
      </c>
      <c r="B2660" s="117" t="n">
        <v>15752</v>
      </c>
      <c r="C2660" s="117" t="inlineStr">
        <is>
          <t>United Kingdom</t>
        </is>
      </c>
      <c r="D2660" s="117" t="inlineStr">
        <is>
          <t>22384</t>
        </is>
      </c>
      <c r="E2660" s="117" t="inlineStr">
        <is>
          <t>LUNCH BAG PINK POLKADOT</t>
        </is>
      </c>
      <c r="F2660" s="117" t="n">
        <v>2</v>
      </c>
      <c r="G2660" s="118" t="n">
        <v>1.65</v>
      </c>
      <c r="H2660" s="118" t="n">
        <v>3.3</v>
      </c>
      <c r="I2660" s="119" t="n">
        <v>40771</v>
      </c>
    </row>
    <row r="2661">
      <c r="A2661" s="114" t="inlineStr">
        <is>
          <t>563425</t>
        </is>
      </c>
      <c r="B2661" s="114" t="n">
        <v>15140</v>
      </c>
      <c r="C2661" s="114" t="inlineStr">
        <is>
          <t>United Kingdom</t>
        </is>
      </c>
      <c r="D2661" s="114" t="inlineStr">
        <is>
          <t>22733</t>
        </is>
      </c>
      <c r="E2661" s="114" t="inlineStr">
        <is>
          <t>3D TRADITIONAL CHRISTMAS STICKERS</t>
        </is>
      </c>
      <c r="F2661" s="114" t="n">
        <v>18</v>
      </c>
      <c r="G2661" s="115" t="n">
        <v>1.25</v>
      </c>
      <c r="H2661" s="115" t="n">
        <v>22.5</v>
      </c>
      <c r="I2661" s="116" t="n">
        <v>40771</v>
      </c>
    </row>
    <row r="2662">
      <c r="A2662" s="117" t="inlineStr">
        <is>
          <t>563427</t>
        </is>
      </c>
      <c r="B2662" s="117" t="n">
        <v>16470</v>
      </c>
      <c r="C2662" s="117" t="inlineStr">
        <is>
          <t>United Kingdom</t>
        </is>
      </c>
      <c r="D2662" s="117" t="inlineStr">
        <is>
          <t>15058A</t>
        </is>
      </c>
      <c r="E2662" s="117" t="inlineStr">
        <is>
          <t>BLUE POLKADOT GARDEN PARASOL</t>
        </is>
      </c>
      <c r="F2662" s="117" t="n">
        <v>2</v>
      </c>
      <c r="G2662" s="118" t="n">
        <v>7.95</v>
      </c>
      <c r="H2662" s="118" t="n">
        <v>15.9</v>
      </c>
      <c r="I2662" s="119" t="n">
        <v>40771</v>
      </c>
    </row>
    <row r="2663">
      <c r="A2663" s="114" t="inlineStr">
        <is>
          <t>563428</t>
        </is>
      </c>
      <c r="B2663" s="114" t="n">
        <v>13159</v>
      </c>
      <c r="C2663" s="114" t="inlineStr">
        <is>
          <t>United Kingdom</t>
        </is>
      </c>
      <c r="D2663" s="114" t="inlineStr">
        <is>
          <t>21062</t>
        </is>
      </c>
      <c r="E2663" s="114" t="inlineStr">
        <is>
          <t>PARTY INVITES SPACEMAN</t>
        </is>
      </c>
      <c r="F2663" s="114" t="n">
        <v>12</v>
      </c>
      <c r="G2663" s="115" t="n">
        <v>0.85</v>
      </c>
      <c r="H2663" s="115" t="n">
        <v>10.2</v>
      </c>
      <c r="I2663" s="116" t="n">
        <v>40771</v>
      </c>
    </row>
    <row r="2664">
      <c r="A2664" s="117" t="inlineStr">
        <is>
          <t>563442</t>
        </is>
      </c>
      <c r="B2664" s="117" t="n">
        <v>17637</v>
      </c>
      <c r="C2664" s="117" t="inlineStr">
        <is>
          <t>United Kingdom</t>
        </is>
      </c>
      <c r="D2664" s="117" t="inlineStr">
        <is>
          <t>82482</t>
        </is>
      </c>
      <c r="E2664" s="117" t="inlineStr">
        <is>
          <t>WOODEN PICTURE FRAME WHITE FINISH</t>
        </is>
      </c>
      <c r="F2664" s="117" t="n">
        <v>6</v>
      </c>
      <c r="G2664" s="118" t="n">
        <v>2.55</v>
      </c>
      <c r="H2664" s="118" t="n">
        <v>15.3</v>
      </c>
      <c r="I2664" s="119" t="n">
        <v>40771</v>
      </c>
    </row>
    <row r="2665">
      <c r="A2665" s="114" t="inlineStr">
        <is>
          <t>563498</t>
        </is>
      </c>
      <c r="B2665" s="114" t="n">
        <v>17719</v>
      </c>
      <c r="C2665" s="114" t="inlineStr">
        <is>
          <t>United Kingdom</t>
        </is>
      </c>
      <c r="D2665" s="114" t="inlineStr">
        <is>
          <t>23342</t>
        </is>
      </c>
      <c r="E2665" s="114" t="inlineStr">
        <is>
          <t>MINT DINER WALL CLOCK</t>
        </is>
      </c>
      <c r="F2665" s="114" t="n">
        <v>4</v>
      </c>
      <c r="G2665" s="115" t="n">
        <v>8.5</v>
      </c>
      <c r="H2665" s="115" t="n">
        <v>34</v>
      </c>
      <c r="I2665" s="116" t="n">
        <v>40771</v>
      </c>
    </row>
    <row r="2666">
      <c r="A2666" s="117" t="inlineStr">
        <is>
          <t>563502</t>
        </is>
      </c>
      <c r="B2666" s="117" t="n">
        <v>12722</v>
      </c>
      <c r="C2666" s="117" t="inlineStr">
        <is>
          <t>France</t>
        </is>
      </c>
      <c r="D2666" s="117" t="inlineStr">
        <is>
          <t>23213</t>
        </is>
      </c>
      <c r="E2666" s="117" t="inlineStr">
        <is>
          <t>STAR WREATH DECORATION WITH BELL</t>
        </is>
      </c>
      <c r="F2666" s="117" t="n">
        <v>12</v>
      </c>
      <c r="G2666" s="118" t="n">
        <v>1.25</v>
      </c>
      <c r="H2666" s="118" t="n">
        <v>15</v>
      </c>
      <c r="I2666" s="119" t="n">
        <v>40772</v>
      </c>
    </row>
    <row r="2667">
      <c r="A2667" s="114" t="inlineStr">
        <is>
          <t>563502</t>
        </is>
      </c>
      <c r="B2667" s="114" t="n">
        <v>12722</v>
      </c>
      <c r="C2667" s="114" t="inlineStr">
        <is>
          <t>France</t>
        </is>
      </c>
      <c r="D2667" s="114" t="inlineStr">
        <is>
          <t>23035</t>
        </is>
      </c>
      <c r="E2667" s="114" t="inlineStr">
        <is>
          <t>DRAWER KNOB CERAMIC IVORY</t>
        </is>
      </c>
      <c r="F2667" s="114" t="n">
        <v>12</v>
      </c>
      <c r="G2667" s="115" t="n">
        <v>1.45</v>
      </c>
      <c r="H2667" s="115" t="n">
        <v>17.4</v>
      </c>
      <c r="I2667" s="116" t="n">
        <v>40772</v>
      </c>
    </row>
    <row r="2668">
      <c r="A2668" s="117" t="inlineStr">
        <is>
          <t>563510</t>
        </is>
      </c>
      <c r="B2668" s="117" t="n">
        <v>15734</v>
      </c>
      <c r="C2668" s="117" t="inlineStr">
        <is>
          <t>United Kingdom</t>
        </is>
      </c>
      <c r="D2668" s="117" t="inlineStr">
        <is>
          <t>23342</t>
        </is>
      </c>
      <c r="E2668" s="117" t="inlineStr">
        <is>
          <t>MINT DINER WALL CLOCK</t>
        </is>
      </c>
      <c r="F2668" s="117" t="n">
        <v>4</v>
      </c>
      <c r="G2668" s="118" t="n">
        <v>8.5</v>
      </c>
      <c r="H2668" s="118" t="n">
        <v>34</v>
      </c>
      <c r="I2668" s="119" t="n">
        <v>40772</v>
      </c>
    </row>
    <row r="2669">
      <c r="A2669" s="114" t="inlineStr">
        <is>
          <t>563522</t>
        </is>
      </c>
      <c r="B2669" s="114" t="n">
        <v>17975</v>
      </c>
      <c r="C2669" s="114" t="inlineStr">
        <is>
          <t>United Kingdom</t>
        </is>
      </c>
      <c r="D2669" s="114" t="inlineStr">
        <is>
          <t>22557</t>
        </is>
      </c>
      <c r="E2669" s="114" t="inlineStr">
        <is>
          <t xml:space="preserve">PLASTERS IN TIN VINTAGE PAISLEY </t>
        </is>
      </c>
      <c r="F2669" s="114" t="n">
        <v>4</v>
      </c>
      <c r="G2669" s="115" t="n">
        <v>1.65</v>
      </c>
      <c r="H2669" s="115" t="n">
        <v>6.6</v>
      </c>
      <c r="I2669" s="116" t="n">
        <v>40772</v>
      </c>
    </row>
    <row r="2670">
      <c r="A2670" s="117" t="inlineStr">
        <is>
          <t>563532</t>
        </is>
      </c>
      <c r="B2670" s="117" t="n">
        <v>17511</v>
      </c>
      <c r="C2670" s="117" t="inlineStr">
        <is>
          <t>United Kingdom</t>
        </is>
      </c>
      <c r="D2670" s="117" t="inlineStr">
        <is>
          <t>23296</t>
        </is>
      </c>
      <c r="E2670" s="117" t="inlineStr">
        <is>
          <t>SET OF 6 TEA TIME BAKING CASES</t>
        </is>
      </c>
      <c r="F2670" s="117" t="n">
        <v>128</v>
      </c>
      <c r="G2670" s="118" t="n">
        <v>1.04</v>
      </c>
      <c r="H2670" s="118" t="n">
        <v>133.12</v>
      </c>
      <c r="I2670" s="119" t="n">
        <v>40772</v>
      </c>
    </row>
    <row r="2671">
      <c r="A2671" s="114" t="inlineStr">
        <is>
          <t>563540</t>
        </is>
      </c>
      <c r="B2671" s="114" t="n">
        <v>12473</v>
      </c>
      <c r="C2671" s="114" t="inlineStr">
        <is>
          <t>Germany</t>
        </is>
      </c>
      <c r="D2671" s="114" t="inlineStr">
        <is>
          <t>22331</t>
        </is>
      </c>
      <c r="E2671" s="114" t="inlineStr">
        <is>
          <t>WOODLAND PARTY BAG + STICKER SET</t>
        </is>
      </c>
      <c r="F2671" s="114" t="n">
        <v>8</v>
      </c>
      <c r="G2671" s="115" t="n">
        <v>1.65</v>
      </c>
      <c r="H2671" s="115" t="n">
        <v>13.2</v>
      </c>
      <c r="I2671" s="116" t="n">
        <v>40772</v>
      </c>
    </row>
    <row r="2672">
      <c r="A2672" s="117" t="inlineStr">
        <is>
          <t>563540</t>
        </is>
      </c>
      <c r="B2672" s="117" t="n">
        <v>12473</v>
      </c>
      <c r="C2672" s="117" t="inlineStr">
        <is>
          <t>Germany</t>
        </is>
      </c>
      <c r="D2672" s="117" t="inlineStr">
        <is>
          <t>20726</t>
        </is>
      </c>
      <c r="E2672" s="117" t="inlineStr">
        <is>
          <t>LUNCH BAG WOODLAND</t>
        </is>
      </c>
      <c r="F2672" s="117" t="n">
        <v>10</v>
      </c>
      <c r="G2672" s="118" t="n">
        <v>1.65</v>
      </c>
      <c r="H2672" s="118" t="n">
        <v>16.5</v>
      </c>
      <c r="I2672" s="119" t="n">
        <v>40772</v>
      </c>
    </row>
    <row r="2673">
      <c r="A2673" s="114" t="inlineStr">
        <is>
          <t>563543</t>
        </is>
      </c>
      <c r="B2673" s="114" t="n">
        <v>15039</v>
      </c>
      <c r="C2673" s="114" t="inlineStr">
        <is>
          <t>United Kingdom</t>
        </is>
      </c>
      <c r="D2673" s="114" t="inlineStr">
        <is>
          <t>21055</t>
        </is>
      </c>
      <c r="E2673" s="114" t="inlineStr">
        <is>
          <t xml:space="preserve">TOOL BOX SOFT TOY </t>
        </is>
      </c>
      <c r="F2673" s="114" t="n">
        <v>1</v>
      </c>
      <c r="G2673" s="115" t="n">
        <v>8.949999999999999</v>
      </c>
      <c r="H2673" s="115" t="n">
        <v>8.949999999999999</v>
      </c>
      <c r="I2673" s="116" t="n">
        <v>40772</v>
      </c>
    </row>
    <row r="2674">
      <c r="A2674" s="117" t="inlineStr">
        <is>
          <t>563546</t>
        </is>
      </c>
      <c r="B2674" s="117" t="n">
        <v>16729</v>
      </c>
      <c r="C2674" s="117" t="inlineStr">
        <is>
          <t>United Kingdom</t>
        </is>
      </c>
      <c r="D2674" s="117" t="inlineStr">
        <is>
          <t>22728</t>
        </is>
      </c>
      <c r="E2674" s="117" t="inlineStr">
        <is>
          <t>ALARM CLOCK BAKELIKE PINK</t>
        </is>
      </c>
      <c r="F2674" s="117" t="n">
        <v>1</v>
      </c>
      <c r="G2674" s="118" t="n">
        <v>3.75</v>
      </c>
      <c r="H2674" s="118" t="n">
        <v>3.75</v>
      </c>
      <c r="I2674" s="119" t="n">
        <v>40772</v>
      </c>
    </row>
    <row r="2675">
      <c r="A2675" s="114" t="inlineStr">
        <is>
          <t>563551</t>
        </is>
      </c>
      <c r="B2675" s="114" t="n">
        <v>17757</v>
      </c>
      <c r="C2675" s="114" t="inlineStr">
        <is>
          <t>United Kingdom</t>
        </is>
      </c>
      <c r="D2675" s="114" t="inlineStr">
        <is>
          <t>22676</t>
        </is>
      </c>
      <c r="E2675" s="114" t="inlineStr">
        <is>
          <t>FRENCH BLUE METAL DOOR SIGN 1</t>
        </is>
      </c>
      <c r="F2675" s="114" t="n">
        <v>1</v>
      </c>
      <c r="G2675" s="115" t="n">
        <v>1.25</v>
      </c>
      <c r="H2675" s="115" t="n">
        <v>1.25</v>
      </c>
      <c r="I2675" s="116" t="n">
        <v>40772</v>
      </c>
    </row>
    <row r="2676">
      <c r="A2676" s="117" t="inlineStr">
        <is>
          <t>563551</t>
        </is>
      </c>
      <c r="B2676" s="117" t="n">
        <v>17757</v>
      </c>
      <c r="C2676" s="117" t="inlineStr">
        <is>
          <t>United Kingdom</t>
        </is>
      </c>
      <c r="D2676" s="117" t="inlineStr">
        <is>
          <t>21621</t>
        </is>
      </c>
      <c r="E2676" s="117" t="inlineStr">
        <is>
          <t>VINTAGE UNION JACK BUNTING</t>
        </is>
      </c>
      <c r="F2676" s="117" t="n">
        <v>1</v>
      </c>
      <c r="G2676" s="118" t="n">
        <v>8.5</v>
      </c>
      <c r="H2676" s="118" t="n">
        <v>8.5</v>
      </c>
      <c r="I2676" s="119" t="n">
        <v>40772</v>
      </c>
    </row>
    <row r="2677">
      <c r="A2677" s="114" t="inlineStr">
        <is>
          <t>563551</t>
        </is>
      </c>
      <c r="B2677" s="114" t="n">
        <v>17757</v>
      </c>
      <c r="C2677" s="114" t="inlineStr">
        <is>
          <t>United Kingdom</t>
        </is>
      </c>
      <c r="D2677" s="114" t="inlineStr">
        <is>
          <t>21889</t>
        </is>
      </c>
      <c r="E2677" s="114" t="inlineStr">
        <is>
          <t>WOODEN BOX OF DOMINOES</t>
        </is>
      </c>
      <c r="F2677" s="114" t="n">
        <v>1</v>
      </c>
      <c r="G2677" s="115" t="n">
        <v>1.25</v>
      </c>
      <c r="H2677" s="115" t="n">
        <v>1.25</v>
      </c>
      <c r="I2677" s="116" t="n">
        <v>40772</v>
      </c>
    </row>
    <row r="2678">
      <c r="A2678" s="117" t="inlineStr">
        <is>
          <t>563552</t>
        </is>
      </c>
      <c r="B2678" s="117" t="n">
        <v>17656</v>
      </c>
      <c r="C2678" s="117" t="inlineStr">
        <is>
          <t>United Kingdom</t>
        </is>
      </c>
      <c r="D2678" s="117" t="inlineStr">
        <is>
          <t>22171</t>
        </is>
      </c>
      <c r="E2678" s="117" t="inlineStr">
        <is>
          <t>3 HOOK PHOTO SHELF ANTIQUE WHITE</t>
        </is>
      </c>
      <c r="F2678" s="117" t="n">
        <v>4</v>
      </c>
      <c r="G2678" s="118" t="n">
        <v>8.5</v>
      </c>
      <c r="H2678" s="118" t="n">
        <v>34</v>
      </c>
      <c r="I2678" s="119" t="n">
        <v>40772</v>
      </c>
    </row>
    <row r="2679">
      <c r="A2679" s="114" t="inlineStr">
        <is>
          <t>563555</t>
        </is>
      </c>
      <c r="B2679" s="114" t="n">
        <v>16755</v>
      </c>
      <c r="C2679" s="114" t="inlineStr">
        <is>
          <t>United Kingdom</t>
        </is>
      </c>
      <c r="D2679" s="114" t="inlineStr">
        <is>
          <t>22628</t>
        </is>
      </c>
      <c r="E2679" s="114" t="inlineStr">
        <is>
          <t xml:space="preserve">PICNIC BOXES SET OF 3 RETROSPOT </t>
        </is>
      </c>
      <c r="F2679" s="114" t="n">
        <v>2</v>
      </c>
      <c r="G2679" s="115" t="n">
        <v>4.95</v>
      </c>
      <c r="H2679" s="115" t="n">
        <v>9.9</v>
      </c>
      <c r="I2679" s="116" t="n">
        <v>40772</v>
      </c>
    </row>
    <row r="2680">
      <c r="A2680" s="117" t="inlineStr">
        <is>
          <t>563556</t>
        </is>
      </c>
      <c r="B2680" s="117" t="n">
        <v>17706</v>
      </c>
      <c r="C2680" s="117" t="inlineStr">
        <is>
          <t>United Kingdom</t>
        </is>
      </c>
      <c r="D2680" s="117" t="inlineStr">
        <is>
          <t>85099B</t>
        </is>
      </c>
      <c r="E2680" s="117" t="inlineStr">
        <is>
          <t>JUMBO BAG RED RETROSPOT</t>
        </is>
      </c>
      <c r="F2680" s="117" t="n">
        <v>10</v>
      </c>
      <c r="G2680" s="118" t="n">
        <v>2.08</v>
      </c>
      <c r="H2680" s="118" t="n">
        <v>20.8</v>
      </c>
      <c r="I2680" s="119" t="n">
        <v>40772</v>
      </c>
    </row>
    <row r="2681">
      <c r="A2681" s="114" t="inlineStr">
        <is>
          <t>563557</t>
        </is>
      </c>
      <c r="B2681" s="114" t="n">
        <v>15786</v>
      </c>
      <c r="C2681" s="114" t="inlineStr">
        <is>
          <t>United Kingdom</t>
        </is>
      </c>
      <c r="D2681" s="114" t="inlineStr">
        <is>
          <t>23029</t>
        </is>
      </c>
      <c r="E2681" s="114" t="inlineStr">
        <is>
          <t>DRAWER KNOB CRACKLE GLAZE GREEN</t>
        </is>
      </c>
      <c r="F2681" s="114" t="n">
        <v>24</v>
      </c>
      <c r="G2681" s="115" t="n">
        <v>1.65</v>
      </c>
      <c r="H2681" s="115" t="n">
        <v>39.6</v>
      </c>
      <c r="I2681" s="116" t="n">
        <v>40772</v>
      </c>
    </row>
    <row r="2682">
      <c r="A2682" s="117" t="inlineStr">
        <is>
          <t>563557</t>
        </is>
      </c>
      <c r="B2682" s="117" t="n">
        <v>15786</v>
      </c>
      <c r="C2682" s="117" t="inlineStr">
        <is>
          <t>United Kingdom</t>
        </is>
      </c>
      <c r="D2682" s="117" t="inlineStr">
        <is>
          <t>22485</t>
        </is>
      </c>
      <c r="E2682" s="117" t="inlineStr">
        <is>
          <t>SET OF 2 WOODEN MARKET CRATES</t>
        </is>
      </c>
      <c r="F2682" s="117" t="n">
        <v>2</v>
      </c>
      <c r="G2682" s="118" t="n">
        <v>12.75</v>
      </c>
      <c r="H2682" s="118" t="n">
        <v>25.5</v>
      </c>
      <c r="I2682" s="119" t="n">
        <v>40772</v>
      </c>
    </row>
    <row r="2683">
      <c r="A2683" s="114" t="inlineStr">
        <is>
          <t>563558</t>
        </is>
      </c>
      <c r="B2683" s="114" t="n">
        <v>14156</v>
      </c>
      <c r="C2683" s="114" t="inlineStr">
        <is>
          <t>EIRE</t>
        </is>
      </c>
      <c r="D2683" s="114" t="inlineStr">
        <is>
          <t>23298</t>
        </is>
      </c>
      <c r="E2683" s="114" t="inlineStr">
        <is>
          <t>SPOTTY BUNTING</t>
        </is>
      </c>
      <c r="F2683" s="114" t="n">
        <v>9</v>
      </c>
      <c r="G2683" s="115" t="n">
        <v>4.95</v>
      </c>
      <c r="H2683" s="115" t="n">
        <v>44.55</v>
      </c>
      <c r="I2683" s="116" t="n">
        <v>40772</v>
      </c>
    </row>
    <row r="2684">
      <c r="A2684" s="117" t="inlineStr">
        <is>
          <t>563558</t>
        </is>
      </c>
      <c r="B2684" s="117" t="n">
        <v>14156</v>
      </c>
      <c r="C2684" s="117" t="inlineStr">
        <is>
          <t>EIRE</t>
        </is>
      </c>
      <c r="D2684" s="117" t="inlineStr">
        <is>
          <t>22086</t>
        </is>
      </c>
      <c r="E2684" s="117" t="inlineStr">
        <is>
          <t xml:space="preserve">PAPER CHAIN KIT 50'S CHRISTMAS </t>
        </is>
      </c>
      <c r="F2684" s="117" t="n">
        <v>12</v>
      </c>
      <c r="G2684" s="118" t="n">
        <v>2.95</v>
      </c>
      <c r="H2684" s="118" t="n">
        <v>35.4</v>
      </c>
      <c r="I2684" s="119" t="n">
        <v>40772</v>
      </c>
    </row>
    <row r="2685">
      <c r="A2685" s="114" t="inlineStr">
        <is>
          <t>563565</t>
        </is>
      </c>
      <c r="B2685" s="114" t="n">
        <v>17338</v>
      </c>
      <c r="C2685" s="114" t="inlineStr">
        <is>
          <t>United Kingdom</t>
        </is>
      </c>
      <c r="D2685" s="114" t="inlineStr">
        <is>
          <t>20848</t>
        </is>
      </c>
      <c r="E2685" s="114" t="inlineStr">
        <is>
          <t>ZINC HEART LATTICE CHARGER SMALL</t>
        </is>
      </c>
      <c r="F2685" s="114" t="n">
        <v>3</v>
      </c>
      <c r="G2685" s="115" t="n">
        <v>2.95</v>
      </c>
      <c r="H2685" s="115" t="n">
        <v>8.85</v>
      </c>
      <c r="I2685" s="116" t="n">
        <v>40772</v>
      </c>
    </row>
    <row r="2686">
      <c r="A2686" s="117" t="inlineStr">
        <is>
          <t>563566</t>
        </is>
      </c>
      <c r="B2686" s="117" t="n">
        <v>13655</v>
      </c>
      <c r="C2686" s="117" t="inlineStr">
        <is>
          <t>United Kingdom</t>
        </is>
      </c>
      <c r="D2686" s="117" t="inlineStr">
        <is>
          <t>22726</t>
        </is>
      </c>
      <c r="E2686" s="117" t="inlineStr">
        <is>
          <t>ALARM CLOCK BAKELIKE GREEN</t>
        </is>
      </c>
      <c r="F2686" s="117" t="n">
        <v>4</v>
      </c>
      <c r="G2686" s="118" t="n">
        <v>3.75</v>
      </c>
      <c r="H2686" s="118" t="n">
        <v>15</v>
      </c>
      <c r="I2686" s="119" t="n">
        <v>40772</v>
      </c>
    </row>
    <row r="2687">
      <c r="A2687" s="114" t="inlineStr">
        <is>
          <t>563569</t>
        </is>
      </c>
      <c r="B2687" s="114" t="n">
        <v>18257</v>
      </c>
      <c r="C2687" s="114" t="inlineStr">
        <is>
          <t>United Kingdom</t>
        </is>
      </c>
      <c r="D2687" s="114" t="inlineStr">
        <is>
          <t>85066</t>
        </is>
      </c>
      <c r="E2687" s="114" t="inlineStr">
        <is>
          <t>CREAM SWEETHEART MINI CHEST</t>
        </is>
      </c>
      <c r="F2687" s="114" t="n">
        <v>2</v>
      </c>
      <c r="G2687" s="115" t="n">
        <v>12.75</v>
      </c>
      <c r="H2687" s="115" t="n">
        <v>25.5</v>
      </c>
      <c r="I2687" s="116" t="n">
        <v>40772</v>
      </c>
    </row>
    <row r="2688">
      <c r="A2688" s="117" t="inlineStr">
        <is>
          <t>563571</t>
        </is>
      </c>
      <c r="B2688" s="117" t="n">
        <v>15541</v>
      </c>
      <c r="C2688" s="117" t="inlineStr">
        <is>
          <t>United Kingdom</t>
        </is>
      </c>
      <c r="D2688" s="117" t="inlineStr">
        <is>
          <t>23006</t>
        </is>
      </c>
      <c r="E2688" s="117" t="inlineStr">
        <is>
          <t>TRAVEL CARD WALLET FLOWER MEADOW</t>
        </is>
      </c>
      <c r="F2688" s="117" t="n">
        <v>2</v>
      </c>
      <c r="G2688" s="118" t="n">
        <v>0.42</v>
      </c>
      <c r="H2688" s="118" t="n">
        <v>0.84</v>
      </c>
      <c r="I2688" s="119" t="n">
        <v>40772</v>
      </c>
    </row>
    <row r="2689">
      <c r="A2689" s="114" t="inlineStr">
        <is>
          <t>563580</t>
        </is>
      </c>
      <c r="B2689" s="114" t="n">
        <v>16706</v>
      </c>
      <c r="C2689" s="114" t="inlineStr">
        <is>
          <t>United Kingdom</t>
        </is>
      </c>
      <c r="D2689" s="114" t="inlineStr">
        <is>
          <t>20679</t>
        </is>
      </c>
      <c r="E2689" s="114" t="inlineStr">
        <is>
          <t>EDWARDIAN PARASOL RED</t>
        </is>
      </c>
      <c r="F2689" s="114" t="n">
        <v>1</v>
      </c>
      <c r="G2689" s="115" t="n">
        <v>5.95</v>
      </c>
      <c r="H2689" s="115" t="n">
        <v>5.95</v>
      </c>
      <c r="I2689" s="116" t="n">
        <v>40772</v>
      </c>
    </row>
    <row r="2690">
      <c r="A2690" s="117" t="inlineStr">
        <is>
          <t>563585</t>
        </is>
      </c>
      <c r="B2690" s="117" t="n">
        <v>17070</v>
      </c>
      <c r="C2690" s="117" t="inlineStr">
        <is>
          <t>United Kingdom</t>
        </is>
      </c>
      <c r="D2690" s="117" t="inlineStr">
        <is>
          <t>23197</t>
        </is>
      </c>
      <c r="E2690" s="117" t="inlineStr">
        <is>
          <t>SKETCHBOOK MAGNETIC SHOPPING LIST</t>
        </is>
      </c>
      <c r="F2690" s="117" t="n">
        <v>1</v>
      </c>
      <c r="G2690" s="118" t="n">
        <v>1.45</v>
      </c>
      <c r="H2690" s="118" t="n">
        <v>1.45</v>
      </c>
      <c r="I2690" s="119" t="n">
        <v>40772</v>
      </c>
    </row>
    <row r="2691">
      <c r="A2691" s="114" t="inlineStr">
        <is>
          <t>563613</t>
        </is>
      </c>
      <c r="B2691" s="114" t="n">
        <v>12688</v>
      </c>
      <c r="C2691" s="114" t="inlineStr">
        <is>
          <t>Israel</t>
        </is>
      </c>
      <c r="D2691" s="114" t="inlineStr">
        <is>
          <t>23345</t>
        </is>
      </c>
      <c r="E2691" s="114" t="inlineStr">
        <is>
          <t xml:space="preserve"> DOLLY GIRL BEAKER</t>
        </is>
      </c>
      <c r="F2691" s="114" t="n">
        <v>12</v>
      </c>
      <c r="G2691" s="115" t="n">
        <v>1.25</v>
      </c>
      <c r="H2691" s="115" t="n">
        <v>15</v>
      </c>
      <c r="I2691" s="116" t="n">
        <v>40773</v>
      </c>
    </row>
    <row r="2692">
      <c r="A2692" s="117" t="inlineStr">
        <is>
          <t>563613</t>
        </is>
      </c>
      <c r="B2692" s="117" t="n">
        <v>12688</v>
      </c>
      <c r="C2692" s="117" t="inlineStr">
        <is>
          <t>Israel</t>
        </is>
      </c>
      <c r="D2692" s="117" t="inlineStr">
        <is>
          <t>22635</t>
        </is>
      </c>
      <c r="E2692" s="117" t="inlineStr">
        <is>
          <t xml:space="preserve">CHILDS BREAKFAST SET DOLLY GIRL </t>
        </is>
      </c>
      <c r="F2692" s="117" t="n">
        <v>4</v>
      </c>
      <c r="G2692" s="118" t="n">
        <v>9.949999999999999</v>
      </c>
      <c r="H2692" s="118" t="n">
        <v>39.8</v>
      </c>
      <c r="I2692" s="119" t="n">
        <v>40773</v>
      </c>
    </row>
    <row r="2693">
      <c r="A2693" s="114" t="inlineStr">
        <is>
          <t>563615</t>
        </is>
      </c>
      <c r="B2693" s="114" t="n">
        <v>16945</v>
      </c>
      <c r="C2693" s="114" t="inlineStr">
        <is>
          <t>United Kingdom</t>
        </is>
      </c>
      <c r="D2693" s="114" t="inlineStr">
        <is>
          <t>20725</t>
        </is>
      </c>
      <c r="E2693" s="114" t="inlineStr">
        <is>
          <t>LUNCH BAG RED RETROSPOT</t>
        </is>
      </c>
      <c r="F2693" s="114" t="n">
        <v>10</v>
      </c>
      <c r="G2693" s="115" t="n">
        <v>1.65</v>
      </c>
      <c r="H2693" s="115" t="n">
        <v>16.5</v>
      </c>
      <c r="I2693" s="116" t="n">
        <v>40773</v>
      </c>
    </row>
    <row r="2694">
      <c r="A2694" s="117" t="inlineStr">
        <is>
          <t>563619</t>
        </is>
      </c>
      <c r="B2694" s="117" t="n">
        <v>12839</v>
      </c>
      <c r="C2694" s="117" t="inlineStr">
        <is>
          <t>United Kingdom</t>
        </is>
      </c>
      <c r="D2694" s="117" t="inlineStr">
        <is>
          <t>22064</t>
        </is>
      </c>
      <c r="E2694" s="117" t="inlineStr">
        <is>
          <t xml:space="preserve">PINK DOUGHNUT TRINKET POT </t>
        </is>
      </c>
      <c r="F2694" s="117" t="n">
        <v>12</v>
      </c>
      <c r="G2694" s="118" t="n">
        <v>1.65</v>
      </c>
      <c r="H2694" s="118" t="n">
        <v>19.8</v>
      </c>
      <c r="I2694" s="119" t="n">
        <v>40773</v>
      </c>
    </row>
    <row r="2695">
      <c r="A2695" s="114" t="inlineStr">
        <is>
          <t>563620</t>
        </is>
      </c>
      <c r="B2695" s="114" t="n">
        <v>13014</v>
      </c>
      <c r="C2695" s="114" t="inlineStr">
        <is>
          <t>United Kingdom</t>
        </is>
      </c>
      <c r="D2695" s="114" t="inlineStr">
        <is>
          <t>21114</t>
        </is>
      </c>
      <c r="E2695" s="114" t="inlineStr">
        <is>
          <t>LAVENDER SCENTED FABRIC HEART</t>
        </is>
      </c>
      <c r="F2695" s="114" t="n">
        <v>10</v>
      </c>
      <c r="G2695" s="115" t="n">
        <v>1.25</v>
      </c>
      <c r="H2695" s="115" t="n">
        <v>12.5</v>
      </c>
      <c r="I2695" s="116" t="n">
        <v>40773</v>
      </c>
    </row>
    <row r="2696">
      <c r="A2696" s="117" t="inlineStr">
        <is>
          <t>563626</t>
        </is>
      </c>
      <c r="B2696" s="117" t="n">
        <v>16187</v>
      </c>
      <c r="C2696" s="117" t="inlineStr">
        <is>
          <t>United Kingdom</t>
        </is>
      </c>
      <c r="D2696" s="117" t="inlineStr">
        <is>
          <t>21980</t>
        </is>
      </c>
      <c r="E2696" s="117" t="inlineStr">
        <is>
          <t xml:space="preserve">PACK OF 12 RED RETROSPOT TISSUES </t>
        </is>
      </c>
      <c r="F2696" s="117" t="n">
        <v>24</v>
      </c>
      <c r="G2696" s="118" t="n">
        <v>0.29</v>
      </c>
      <c r="H2696" s="118" t="n">
        <v>6.96</v>
      </c>
      <c r="I2696" s="119" t="n">
        <v>40773</v>
      </c>
    </row>
    <row r="2697">
      <c r="A2697" s="114" t="inlineStr">
        <is>
          <t>563638</t>
        </is>
      </c>
      <c r="B2697" s="114" t="n">
        <v>15311</v>
      </c>
      <c r="C2697" s="114" t="inlineStr">
        <is>
          <t>United Kingdom</t>
        </is>
      </c>
      <c r="D2697" s="114" t="inlineStr">
        <is>
          <t>21137</t>
        </is>
      </c>
      <c r="E2697" s="114" t="inlineStr">
        <is>
          <t>BLACK RECORD COVER FRAME</t>
        </is>
      </c>
      <c r="F2697" s="114" t="n">
        <v>48</v>
      </c>
      <c r="G2697" s="115" t="n">
        <v>3.39</v>
      </c>
      <c r="H2697" s="115" t="n">
        <v>162.72</v>
      </c>
      <c r="I2697" s="116" t="n">
        <v>40773</v>
      </c>
    </row>
    <row r="2698">
      <c r="A2698" s="117" t="inlineStr">
        <is>
          <t>563680</t>
        </is>
      </c>
      <c r="B2698" s="117" t="n">
        <v>18272</v>
      </c>
      <c r="C2698" s="117" t="inlineStr">
        <is>
          <t>United Kingdom</t>
        </is>
      </c>
      <c r="D2698" s="117" t="inlineStr">
        <is>
          <t>23359</t>
        </is>
      </c>
      <c r="E2698" s="117" t="inlineStr">
        <is>
          <t>SET OF 12 T-LIGHTS VINTAGE DOILY</t>
        </is>
      </c>
      <c r="F2698" s="117" t="n">
        <v>12</v>
      </c>
      <c r="G2698" s="118" t="n">
        <v>1.95</v>
      </c>
      <c r="H2698" s="118" t="n">
        <v>23.4</v>
      </c>
      <c r="I2698" s="119" t="n">
        <v>40773</v>
      </c>
    </row>
    <row r="2699">
      <c r="A2699" s="114" t="inlineStr">
        <is>
          <t>563680</t>
        </is>
      </c>
      <c r="B2699" s="114" t="n">
        <v>18272</v>
      </c>
      <c r="C2699" s="114" t="inlineStr">
        <is>
          <t>United Kingdom</t>
        </is>
      </c>
      <c r="D2699" s="114" t="inlineStr">
        <is>
          <t>22666</t>
        </is>
      </c>
      <c r="E2699" s="114" t="inlineStr">
        <is>
          <t>RECIPE BOX PANTRY YELLOW DESIGN</t>
        </is>
      </c>
      <c r="F2699" s="114" t="n">
        <v>6</v>
      </c>
      <c r="G2699" s="115" t="n">
        <v>2.95</v>
      </c>
      <c r="H2699" s="115" t="n">
        <v>17.7</v>
      </c>
      <c r="I2699" s="116" t="n">
        <v>40773</v>
      </c>
    </row>
    <row r="2700">
      <c r="A2700" s="117" t="inlineStr">
        <is>
          <t>563695</t>
        </is>
      </c>
      <c r="B2700" s="117" t="n">
        <v>13617</v>
      </c>
      <c r="C2700" s="117" t="inlineStr">
        <is>
          <t>United Kingdom</t>
        </is>
      </c>
      <c r="D2700" s="117" t="inlineStr">
        <is>
          <t>22801</t>
        </is>
      </c>
      <c r="E2700" s="117" t="inlineStr">
        <is>
          <t>ANTIQUE GLASS PEDESTAL BOWL</t>
        </is>
      </c>
      <c r="F2700" s="117" t="n">
        <v>5</v>
      </c>
      <c r="G2700" s="118" t="n">
        <v>3.75</v>
      </c>
      <c r="H2700" s="118" t="n">
        <v>18.75</v>
      </c>
      <c r="I2700" s="119" t="n">
        <v>40773</v>
      </c>
    </row>
    <row r="2701">
      <c r="A2701" s="114" t="inlineStr">
        <is>
          <t>563697</t>
        </is>
      </c>
      <c r="B2701" s="114" t="n">
        <v>16813</v>
      </c>
      <c r="C2701" s="114" t="inlineStr">
        <is>
          <t>United Kingdom</t>
        </is>
      </c>
      <c r="D2701" s="114" t="inlineStr">
        <is>
          <t>23300</t>
        </is>
      </c>
      <c r="E2701" s="114" t="inlineStr">
        <is>
          <t xml:space="preserve">GARDENERS KNEELING PAD CUP OF TEA </t>
        </is>
      </c>
      <c r="F2701" s="114" t="n">
        <v>2</v>
      </c>
      <c r="G2701" s="115" t="n">
        <v>1.65</v>
      </c>
      <c r="H2701" s="115" t="n">
        <v>3.3</v>
      </c>
      <c r="I2701" s="116" t="n">
        <v>40773</v>
      </c>
    </row>
    <row r="2702">
      <c r="A2702" s="117" t="inlineStr">
        <is>
          <t>563698</t>
        </is>
      </c>
      <c r="B2702" s="117" t="n">
        <v>14667</v>
      </c>
      <c r="C2702" s="117" t="inlineStr">
        <is>
          <t>United Kingdom</t>
        </is>
      </c>
      <c r="D2702" s="117" t="inlineStr">
        <is>
          <t>84879</t>
        </is>
      </c>
      <c r="E2702" s="117" t="inlineStr">
        <is>
          <t>ASSORTED COLOUR BIRD ORNAMENT</t>
        </is>
      </c>
      <c r="F2702" s="117" t="n">
        <v>15</v>
      </c>
      <c r="G2702" s="118" t="n">
        <v>1.69</v>
      </c>
      <c r="H2702" s="118" t="n">
        <v>25.35</v>
      </c>
      <c r="I2702" s="119" t="n">
        <v>40773</v>
      </c>
    </row>
    <row r="2703">
      <c r="A2703" s="114" t="inlineStr">
        <is>
          <t>563699</t>
        </is>
      </c>
      <c r="B2703" s="114" t="n">
        <v>13381</v>
      </c>
      <c r="C2703" s="114" t="inlineStr">
        <is>
          <t>United Kingdom</t>
        </is>
      </c>
      <c r="D2703" s="114" t="inlineStr">
        <is>
          <t>23014</t>
        </is>
      </c>
      <c r="E2703" s="114" t="inlineStr">
        <is>
          <t>GLASS APOTHECARY BOTTLE ELIXIR</t>
        </is>
      </c>
      <c r="F2703" s="114" t="n">
        <v>4</v>
      </c>
      <c r="G2703" s="115" t="n">
        <v>3.95</v>
      </c>
      <c r="H2703" s="115" t="n">
        <v>15.8</v>
      </c>
      <c r="I2703" s="116" t="n">
        <v>40773</v>
      </c>
    </row>
    <row r="2704">
      <c r="A2704" s="117" t="inlineStr">
        <is>
          <t>563705</t>
        </is>
      </c>
      <c r="B2704" s="117" t="n">
        <v>17736</v>
      </c>
      <c r="C2704" s="117" t="inlineStr">
        <is>
          <t>United Kingdom</t>
        </is>
      </c>
      <c r="D2704" s="117" t="inlineStr">
        <is>
          <t>82578</t>
        </is>
      </c>
      <c r="E2704" s="117" t="inlineStr">
        <is>
          <t>KITCHEN METAL SIGN</t>
        </is>
      </c>
      <c r="F2704" s="117" t="n">
        <v>12</v>
      </c>
      <c r="G2704" s="118" t="n">
        <v>0.55</v>
      </c>
      <c r="H2704" s="118" t="n">
        <v>6.6</v>
      </c>
      <c r="I2704" s="119" t="n">
        <v>40773</v>
      </c>
    </row>
    <row r="2705">
      <c r="A2705" s="114" t="inlineStr">
        <is>
          <t>563706</t>
        </is>
      </c>
      <c r="B2705" s="114" t="n">
        <v>14189</v>
      </c>
      <c r="C2705" s="114" t="inlineStr">
        <is>
          <t>United Kingdom</t>
        </is>
      </c>
      <c r="D2705" s="114" t="inlineStr">
        <is>
          <t>22924</t>
        </is>
      </c>
      <c r="E2705" s="114" t="inlineStr">
        <is>
          <t>FRIDGE MAGNETS LA VIE EN ROSE</t>
        </is>
      </c>
      <c r="F2705" s="114" t="n">
        <v>12</v>
      </c>
      <c r="G2705" s="115" t="n">
        <v>0.85</v>
      </c>
      <c r="H2705" s="115" t="n">
        <v>10.2</v>
      </c>
      <c r="I2705" s="116" t="n">
        <v>40773</v>
      </c>
    </row>
    <row r="2706">
      <c r="A2706" s="117" t="inlineStr">
        <is>
          <t>563709</t>
        </is>
      </c>
      <c r="B2706" s="117" t="n">
        <v>15472</v>
      </c>
      <c r="C2706" s="117" t="inlineStr">
        <is>
          <t>United Kingdom</t>
        </is>
      </c>
      <c r="D2706" s="117" t="inlineStr">
        <is>
          <t>21385</t>
        </is>
      </c>
      <c r="E2706" s="117" t="inlineStr">
        <is>
          <t>IVORY HANGING DECORATION  HEART</t>
        </is>
      </c>
      <c r="F2706" s="117" t="n">
        <v>6</v>
      </c>
      <c r="G2706" s="118" t="n">
        <v>0.85</v>
      </c>
      <c r="H2706" s="118" t="n">
        <v>5.1</v>
      </c>
      <c r="I2706" s="119" t="n">
        <v>40773</v>
      </c>
    </row>
    <row r="2707">
      <c r="A2707" s="114" t="inlineStr">
        <is>
          <t>563723</t>
        </is>
      </c>
      <c r="B2707" s="114" t="n">
        <v>13319</v>
      </c>
      <c r="C2707" s="114" t="inlineStr">
        <is>
          <t>United Kingdom</t>
        </is>
      </c>
      <c r="D2707" s="114" t="inlineStr">
        <is>
          <t>23326</t>
        </is>
      </c>
      <c r="E2707" s="114" t="inlineStr">
        <is>
          <t>HANGING MINI COLOURED BOTTLES</t>
        </is>
      </c>
      <c r="F2707" s="114" t="n">
        <v>48</v>
      </c>
      <c r="G2707" s="115" t="n">
        <v>0.63</v>
      </c>
      <c r="H2707" s="115" t="n">
        <v>30.24</v>
      </c>
      <c r="I2707" s="116" t="n">
        <v>40773</v>
      </c>
    </row>
    <row r="2708">
      <c r="A2708" s="117" t="inlineStr">
        <is>
          <t>563723</t>
        </is>
      </c>
      <c r="B2708" s="117" t="n">
        <v>13319</v>
      </c>
      <c r="C2708" s="117" t="inlineStr">
        <is>
          <t>United Kingdom</t>
        </is>
      </c>
      <c r="D2708" s="117" t="inlineStr">
        <is>
          <t>22178</t>
        </is>
      </c>
      <c r="E2708" s="117" t="inlineStr">
        <is>
          <t>VICTORIAN GLASS HANGING T-LIGHT</t>
        </is>
      </c>
      <c r="F2708" s="117" t="n">
        <v>12</v>
      </c>
      <c r="G2708" s="118" t="n">
        <v>1.25</v>
      </c>
      <c r="H2708" s="118" t="n">
        <v>15</v>
      </c>
      <c r="I2708" s="119" t="n">
        <v>40773</v>
      </c>
    </row>
    <row r="2709">
      <c r="A2709" s="114" t="inlineStr">
        <is>
          <t>563728</t>
        </is>
      </c>
      <c r="B2709" s="114" t="n">
        <v>17045</v>
      </c>
      <c r="C2709" s="114" t="inlineStr">
        <is>
          <t>United Kingdom</t>
        </is>
      </c>
      <c r="D2709" s="114" t="inlineStr">
        <is>
          <t>21212</t>
        </is>
      </c>
      <c r="E2709" s="114" t="inlineStr">
        <is>
          <t>PACK OF 72 RETROSPOT CAKE CASES</t>
        </is>
      </c>
      <c r="F2709" s="114" t="n">
        <v>1</v>
      </c>
      <c r="G2709" s="115" t="n">
        <v>0.55</v>
      </c>
      <c r="H2709" s="115" t="n">
        <v>0.55</v>
      </c>
      <c r="I2709" s="116" t="n">
        <v>40773</v>
      </c>
    </row>
    <row r="2710">
      <c r="A2710" s="117" t="inlineStr">
        <is>
          <t>563732</t>
        </is>
      </c>
      <c r="B2710" s="117" t="n">
        <v>15125</v>
      </c>
      <c r="C2710" s="117" t="inlineStr">
        <is>
          <t>United Kingdom</t>
        </is>
      </c>
      <c r="D2710" s="117" t="inlineStr">
        <is>
          <t>21212</t>
        </is>
      </c>
      <c r="E2710" s="117" t="inlineStr">
        <is>
          <t>PACK OF 72 RETROSPOT CAKE CASES</t>
        </is>
      </c>
      <c r="F2710" s="117" t="n">
        <v>24</v>
      </c>
      <c r="G2710" s="118" t="n">
        <v>0.55</v>
      </c>
      <c r="H2710" s="118" t="n">
        <v>13.2</v>
      </c>
      <c r="I2710" s="119" t="n">
        <v>40773</v>
      </c>
    </row>
    <row r="2711">
      <c r="A2711" s="114" t="inlineStr">
        <is>
          <t>563734</t>
        </is>
      </c>
      <c r="B2711" s="114" t="n">
        <v>14064</v>
      </c>
      <c r="C2711" s="114" t="inlineStr">
        <is>
          <t>United Kingdom</t>
        </is>
      </c>
      <c r="D2711" s="114" t="inlineStr">
        <is>
          <t>22588</t>
        </is>
      </c>
      <c r="E2711" s="114" t="inlineStr">
        <is>
          <t>CARD HOLDER GINGHAM HEART</t>
        </is>
      </c>
      <c r="F2711" s="114" t="n">
        <v>4</v>
      </c>
      <c r="G2711" s="115" t="n">
        <v>2.89</v>
      </c>
      <c r="H2711" s="115" t="n">
        <v>11.56</v>
      </c>
      <c r="I2711" s="116" t="n">
        <v>40773</v>
      </c>
    </row>
    <row r="2712">
      <c r="A2712" s="117" t="inlineStr">
        <is>
          <t>563736</t>
        </is>
      </c>
      <c r="B2712" s="117" t="n">
        <v>13784</v>
      </c>
      <c r="C2712" s="117" t="inlineStr">
        <is>
          <t>United Kingdom</t>
        </is>
      </c>
      <c r="D2712" s="117" t="inlineStr">
        <is>
          <t>22423</t>
        </is>
      </c>
      <c r="E2712" s="117" t="inlineStr">
        <is>
          <t>REGENCY CAKESTAND 3 TIER</t>
        </is>
      </c>
      <c r="F2712" s="117" t="n">
        <v>16</v>
      </c>
      <c r="G2712" s="118" t="n">
        <v>10.95</v>
      </c>
      <c r="H2712" s="118" t="n">
        <v>175.2</v>
      </c>
      <c r="I2712" s="119" t="n">
        <v>40773</v>
      </c>
    </row>
    <row r="2713">
      <c r="A2713" s="114" t="inlineStr">
        <is>
          <t>563746</t>
        </is>
      </c>
      <c r="B2713" s="114" t="n">
        <v>14745</v>
      </c>
      <c r="C2713" s="114" t="inlineStr">
        <is>
          <t>United Kingdom</t>
        </is>
      </c>
      <c r="D2713" s="114" t="inlineStr">
        <is>
          <t>22356</t>
        </is>
      </c>
      <c r="E2713" s="114" t="inlineStr">
        <is>
          <t>CHARLOTTE BAG PINK POLKADOT</t>
        </is>
      </c>
      <c r="F2713" s="114" t="n">
        <v>10</v>
      </c>
      <c r="G2713" s="115" t="n">
        <v>0.85</v>
      </c>
      <c r="H2713" s="115" t="n">
        <v>8.5</v>
      </c>
      <c r="I2713" s="116" t="n">
        <v>40774</v>
      </c>
    </row>
    <row r="2714">
      <c r="A2714" s="117" t="inlineStr">
        <is>
          <t>563750</t>
        </is>
      </c>
      <c r="B2714" s="117" t="n">
        <v>16122</v>
      </c>
      <c r="C2714" s="117" t="inlineStr">
        <is>
          <t>United Kingdom</t>
        </is>
      </c>
      <c r="D2714" s="117" t="inlineStr">
        <is>
          <t>21829</t>
        </is>
      </c>
      <c r="E2714" s="117" t="inlineStr">
        <is>
          <t>DINOSAUR KEYRINGS ASSORTED</t>
        </is>
      </c>
      <c r="F2714" s="117" t="n">
        <v>72</v>
      </c>
      <c r="G2714" s="118" t="n">
        <v>0.21</v>
      </c>
      <c r="H2714" s="118" t="n">
        <v>15.12</v>
      </c>
      <c r="I2714" s="119" t="n">
        <v>40774</v>
      </c>
    </row>
    <row r="2715">
      <c r="A2715" s="114" t="inlineStr">
        <is>
          <t>563750</t>
        </is>
      </c>
      <c r="B2715" s="114" t="n">
        <v>16122</v>
      </c>
      <c r="C2715" s="114" t="inlineStr">
        <is>
          <t>United Kingdom</t>
        </is>
      </c>
      <c r="D2715" s="114" t="inlineStr">
        <is>
          <t>22750</t>
        </is>
      </c>
      <c r="E2715" s="114" t="inlineStr">
        <is>
          <t>FELTCRAFT PRINCESS LOLA DOLL</t>
        </is>
      </c>
      <c r="F2715" s="114" t="n">
        <v>4</v>
      </c>
      <c r="G2715" s="115" t="n">
        <v>3.75</v>
      </c>
      <c r="H2715" s="115" t="n">
        <v>15</v>
      </c>
      <c r="I2715" s="116" t="n">
        <v>40774</v>
      </c>
    </row>
    <row r="2716">
      <c r="A2716" s="117" t="inlineStr">
        <is>
          <t>563753</t>
        </is>
      </c>
      <c r="B2716" s="117" t="n">
        <v>12513</v>
      </c>
      <c r="C2716" s="117" t="inlineStr">
        <is>
          <t>France</t>
        </is>
      </c>
      <c r="D2716" s="117" t="inlineStr">
        <is>
          <t>21989</t>
        </is>
      </c>
      <c r="E2716" s="117" t="inlineStr">
        <is>
          <t>PACK OF 20 SKULL PAPER NAPKINS</t>
        </is>
      </c>
      <c r="F2716" s="117" t="n">
        <v>12</v>
      </c>
      <c r="G2716" s="118" t="n">
        <v>0.85</v>
      </c>
      <c r="H2716" s="118" t="n">
        <v>10.2</v>
      </c>
      <c r="I2716" s="119" t="n">
        <v>40774</v>
      </c>
    </row>
    <row r="2717">
      <c r="A2717" s="114" t="inlineStr">
        <is>
          <t>563753</t>
        </is>
      </c>
      <c r="B2717" s="114" t="n">
        <v>12513</v>
      </c>
      <c r="C2717" s="114" t="inlineStr">
        <is>
          <t>France</t>
        </is>
      </c>
      <c r="D2717" s="114" t="inlineStr">
        <is>
          <t>21882</t>
        </is>
      </c>
      <c r="E2717" s="114" t="inlineStr">
        <is>
          <t>SKULLS TAPE</t>
        </is>
      </c>
      <c r="F2717" s="114" t="n">
        <v>12</v>
      </c>
      <c r="G2717" s="115" t="n">
        <v>0.65</v>
      </c>
      <c r="H2717" s="115" t="n">
        <v>7.8</v>
      </c>
      <c r="I2717" s="116" t="n">
        <v>40774</v>
      </c>
    </row>
    <row r="2718">
      <c r="A2718" s="117" t="inlineStr">
        <is>
          <t>563754</t>
        </is>
      </c>
      <c r="B2718" s="117" t="n">
        <v>15396</v>
      </c>
      <c r="C2718" s="117" t="inlineStr">
        <is>
          <t>United Kingdom</t>
        </is>
      </c>
      <c r="D2718" s="117" t="inlineStr">
        <is>
          <t>23076</t>
        </is>
      </c>
      <c r="E2718" s="117" t="inlineStr">
        <is>
          <t>ICE CREAM SUNDAE LIP GLOSS</t>
        </is>
      </c>
      <c r="F2718" s="117" t="n">
        <v>24</v>
      </c>
      <c r="G2718" s="118" t="n">
        <v>1.25</v>
      </c>
      <c r="H2718" s="118" t="n">
        <v>30</v>
      </c>
      <c r="I2718" s="119" t="n">
        <v>40774</v>
      </c>
    </row>
    <row r="2719">
      <c r="A2719" s="114" t="inlineStr">
        <is>
          <t>563808</t>
        </is>
      </c>
      <c r="B2719" s="114" t="n">
        <v>12626</v>
      </c>
      <c r="C2719" s="114" t="inlineStr">
        <is>
          <t>Germany</t>
        </is>
      </c>
      <c r="D2719" s="114" t="inlineStr">
        <is>
          <t>21156</t>
        </is>
      </c>
      <c r="E2719" s="114" t="inlineStr">
        <is>
          <t>RETROSPOT CHILDRENS APRON</t>
        </is>
      </c>
      <c r="F2719" s="114" t="n">
        <v>8</v>
      </c>
      <c r="G2719" s="115" t="n">
        <v>1.95</v>
      </c>
      <c r="H2719" s="115" t="n">
        <v>15.6</v>
      </c>
      <c r="I2719" s="116" t="n">
        <v>40774</v>
      </c>
    </row>
    <row r="2720">
      <c r="A2720" s="117" t="inlineStr">
        <is>
          <t>563836</t>
        </is>
      </c>
      <c r="B2720" s="117" t="n">
        <v>15938</v>
      </c>
      <c r="C2720" s="117" t="inlineStr">
        <is>
          <t>United Kingdom</t>
        </is>
      </c>
      <c r="D2720" s="117" t="inlineStr">
        <is>
          <t>21135</t>
        </is>
      </c>
      <c r="E2720" s="117" t="inlineStr">
        <is>
          <t>VICTORIAN  METAL POSTCARD SPRING</t>
        </is>
      </c>
      <c r="F2720" s="117" t="n">
        <v>8</v>
      </c>
      <c r="G2720" s="118" t="n">
        <v>1.69</v>
      </c>
      <c r="H2720" s="118" t="n">
        <v>13.52</v>
      </c>
      <c r="I2720" s="119" t="n">
        <v>40774</v>
      </c>
    </row>
    <row r="2721">
      <c r="A2721" s="114" t="inlineStr">
        <is>
          <t>563848</t>
        </is>
      </c>
      <c r="B2721" s="114" t="n">
        <v>14911</v>
      </c>
      <c r="C2721" s="114" t="inlineStr">
        <is>
          <t>EIRE</t>
        </is>
      </c>
      <c r="D2721" s="114" t="inlineStr">
        <is>
          <t>84969</t>
        </is>
      </c>
      <c r="E2721" s="114" t="inlineStr">
        <is>
          <t>BOX OF 6 ASSORTED COLOUR TEASPOONS</t>
        </is>
      </c>
      <c r="F2721" s="114" t="n">
        <v>6</v>
      </c>
      <c r="G2721" s="115" t="n">
        <v>4.25</v>
      </c>
      <c r="H2721" s="115" t="n">
        <v>25.5</v>
      </c>
      <c r="I2721" s="116" t="n">
        <v>40774</v>
      </c>
    </row>
    <row r="2722">
      <c r="A2722" s="117" t="inlineStr">
        <is>
          <t>563848</t>
        </is>
      </c>
      <c r="B2722" s="117" t="n">
        <v>14911</v>
      </c>
      <c r="C2722" s="117" t="inlineStr">
        <is>
          <t>EIRE</t>
        </is>
      </c>
      <c r="D2722" s="117" t="inlineStr">
        <is>
          <t>23210</t>
        </is>
      </c>
      <c r="E2722" s="117" t="inlineStr">
        <is>
          <t>WHITE ROCKING HORSE HAND PAINTED</t>
        </is>
      </c>
      <c r="F2722" s="117" t="n">
        <v>24</v>
      </c>
      <c r="G2722" s="118" t="n">
        <v>1.25</v>
      </c>
      <c r="H2722" s="118" t="n">
        <v>30</v>
      </c>
      <c r="I2722" s="119" t="n">
        <v>40774</v>
      </c>
    </row>
    <row r="2723">
      <c r="A2723" s="114" t="inlineStr">
        <is>
          <t>563852</t>
        </is>
      </c>
      <c r="B2723" s="114" t="n">
        <v>12395</v>
      </c>
      <c r="C2723" s="114" t="inlineStr">
        <is>
          <t>Belgium</t>
        </is>
      </c>
      <c r="D2723" s="114" t="inlineStr">
        <is>
          <t>22352</t>
        </is>
      </c>
      <c r="E2723" s="114" t="inlineStr">
        <is>
          <t xml:space="preserve">LUNCH BOX WITH CUTLERY RETROSPOT </t>
        </is>
      </c>
      <c r="F2723" s="114" t="n">
        <v>6</v>
      </c>
      <c r="G2723" s="115" t="n">
        <v>2.55</v>
      </c>
      <c r="H2723" s="115" t="n">
        <v>15.3</v>
      </c>
      <c r="I2723" s="116" t="n">
        <v>40774</v>
      </c>
    </row>
    <row r="2724">
      <c r="A2724" s="117" t="inlineStr">
        <is>
          <t>563854</t>
        </is>
      </c>
      <c r="B2724" s="117" t="n">
        <v>12364</v>
      </c>
      <c r="C2724" s="117" t="inlineStr">
        <is>
          <t>Belgium</t>
        </is>
      </c>
      <c r="D2724" s="117" t="inlineStr">
        <is>
          <t>47566</t>
        </is>
      </c>
      <c r="E2724" s="117" t="inlineStr">
        <is>
          <t>PARTY BUNTING</t>
        </is>
      </c>
      <c r="F2724" s="117" t="n">
        <v>4</v>
      </c>
      <c r="G2724" s="118" t="n">
        <v>4.95</v>
      </c>
      <c r="H2724" s="118" t="n">
        <v>19.8</v>
      </c>
      <c r="I2724" s="119" t="n">
        <v>40774</v>
      </c>
    </row>
    <row r="2725">
      <c r="A2725" s="114" t="inlineStr">
        <is>
          <t>563855</t>
        </is>
      </c>
      <c r="B2725" s="114" t="n">
        <v>14709</v>
      </c>
      <c r="C2725" s="114" t="inlineStr">
        <is>
          <t>United Kingdom</t>
        </is>
      </c>
      <c r="D2725" s="114" t="inlineStr">
        <is>
          <t>22813</t>
        </is>
      </c>
      <c r="E2725" s="114" t="inlineStr">
        <is>
          <t xml:space="preserve">PACK 3 BOXES BIRD PANNETONE </t>
        </is>
      </c>
      <c r="F2725" s="114" t="n">
        <v>12</v>
      </c>
      <c r="G2725" s="115" t="n">
        <v>1.95</v>
      </c>
      <c r="H2725" s="115" t="n">
        <v>23.4</v>
      </c>
      <c r="I2725" s="116" t="n">
        <v>40774</v>
      </c>
    </row>
    <row r="2726">
      <c r="A2726" s="117" t="inlineStr">
        <is>
          <t>563890</t>
        </is>
      </c>
      <c r="B2726" s="117" t="n">
        <v>15862</v>
      </c>
      <c r="C2726" s="117" t="inlineStr">
        <is>
          <t>United Kingdom</t>
        </is>
      </c>
      <c r="D2726" s="117" t="inlineStr">
        <is>
          <t>85107</t>
        </is>
      </c>
      <c r="E2726" s="117" t="inlineStr">
        <is>
          <t>CUT GLASS T-LIGHT HOLDER OCTAGON</t>
        </is>
      </c>
      <c r="F2726" s="117" t="n">
        <v>24</v>
      </c>
      <c r="G2726" s="118" t="n">
        <v>1.69</v>
      </c>
      <c r="H2726" s="118" t="n">
        <v>40.56</v>
      </c>
      <c r="I2726" s="119" t="n">
        <v>40774</v>
      </c>
    </row>
    <row r="2727">
      <c r="A2727" s="114" t="inlineStr">
        <is>
          <t>563896</t>
        </is>
      </c>
      <c r="B2727" s="114" t="n">
        <v>17061</v>
      </c>
      <c r="C2727" s="114" t="inlineStr">
        <is>
          <t>United Kingdom</t>
        </is>
      </c>
      <c r="D2727" s="114" t="inlineStr">
        <is>
          <t>22487</t>
        </is>
      </c>
      <c r="E2727" s="114" t="inlineStr">
        <is>
          <t>WHITE WOOD GARDEN PLANT LADDER</t>
        </is>
      </c>
      <c r="F2727" s="114" t="n">
        <v>4</v>
      </c>
      <c r="G2727" s="115" t="n">
        <v>8.5</v>
      </c>
      <c r="H2727" s="115" t="n">
        <v>34</v>
      </c>
      <c r="I2727" s="116" t="n">
        <v>40776</v>
      </c>
    </row>
    <row r="2728">
      <c r="A2728" s="117" t="inlineStr">
        <is>
          <t>563896</t>
        </is>
      </c>
      <c r="B2728" s="117" t="n">
        <v>17061</v>
      </c>
      <c r="C2728" s="117" t="inlineStr">
        <is>
          <t>United Kingdom</t>
        </is>
      </c>
      <c r="D2728" s="117" t="inlineStr">
        <is>
          <t>23342</t>
        </is>
      </c>
      <c r="E2728" s="117" t="inlineStr">
        <is>
          <t>MINT DINER WALL CLOCK</t>
        </is>
      </c>
      <c r="F2728" s="117" t="n">
        <v>2</v>
      </c>
      <c r="G2728" s="118" t="n">
        <v>8.5</v>
      </c>
      <c r="H2728" s="118" t="n">
        <v>17</v>
      </c>
      <c r="I2728" s="119" t="n">
        <v>40776</v>
      </c>
    </row>
    <row r="2729">
      <c r="A2729" s="114" t="inlineStr">
        <is>
          <t>563897</t>
        </is>
      </c>
      <c r="B2729" s="114" t="n">
        <v>12523</v>
      </c>
      <c r="C2729" s="114" t="inlineStr">
        <is>
          <t>France</t>
        </is>
      </c>
      <c r="D2729" s="114" t="inlineStr">
        <is>
          <t>20914</t>
        </is>
      </c>
      <c r="E2729" s="114" t="inlineStr">
        <is>
          <t>SET/5 RED RETROSPOT LID GLASS BOWLS</t>
        </is>
      </c>
      <c r="F2729" s="114" t="n">
        <v>6</v>
      </c>
      <c r="G2729" s="115" t="n">
        <v>2.95</v>
      </c>
      <c r="H2729" s="115" t="n">
        <v>17.7</v>
      </c>
      <c r="I2729" s="116" t="n">
        <v>40776</v>
      </c>
    </row>
    <row r="2730">
      <c r="A2730" s="117" t="inlineStr">
        <is>
          <t>563909</t>
        </is>
      </c>
      <c r="B2730" s="117" t="n">
        <v>15701</v>
      </c>
      <c r="C2730" s="117" t="inlineStr">
        <is>
          <t>United Kingdom</t>
        </is>
      </c>
      <c r="D2730" s="117" t="inlineStr">
        <is>
          <t>22697</t>
        </is>
      </c>
      <c r="E2730" s="117" t="inlineStr">
        <is>
          <t>GREEN REGENCY TEACUP AND SAUCER</t>
        </is>
      </c>
      <c r="F2730" s="117" t="n">
        <v>3</v>
      </c>
      <c r="G2730" s="118" t="n">
        <v>2.95</v>
      </c>
      <c r="H2730" s="118" t="n">
        <v>8.85</v>
      </c>
      <c r="I2730" s="119" t="n">
        <v>40776</v>
      </c>
    </row>
    <row r="2731">
      <c r="A2731" s="114" t="inlineStr">
        <is>
          <t>563909</t>
        </is>
      </c>
      <c r="B2731" s="114" t="n">
        <v>15701</v>
      </c>
      <c r="C2731" s="114" t="inlineStr">
        <is>
          <t>United Kingdom</t>
        </is>
      </c>
      <c r="D2731" s="114" t="inlineStr">
        <is>
          <t>22487</t>
        </is>
      </c>
      <c r="E2731" s="114" t="inlineStr">
        <is>
          <t>WHITE WOOD GARDEN PLANT LADDER</t>
        </is>
      </c>
      <c r="F2731" s="114" t="n">
        <v>1</v>
      </c>
      <c r="G2731" s="115" t="n">
        <v>9.949999999999999</v>
      </c>
      <c r="H2731" s="115" t="n">
        <v>9.949999999999999</v>
      </c>
      <c r="I2731" s="116" t="n">
        <v>40776</v>
      </c>
    </row>
    <row r="2732">
      <c r="A2732" s="117" t="inlineStr">
        <is>
          <t>563909</t>
        </is>
      </c>
      <c r="B2732" s="117" t="n">
        <v>15701</v>
      </c>
      <c r="C2732" s="117" t="inlineStr">
        <is>
          <t>United Kingdom</t>
        </is>
      </c>
      <c r="D2732" s="117" t="inlineStr">
        <is>
          <t>23172</t>
        </is>
      </c>
      <c r="E2732" s="117" t="inlineStr">
        <is>
          <t>REGENCY TEA PLATE PINK</t>
        </is>
      </c>
      <c r="F2732" s="117" t="n">
        <v>3</v>
      </c>
      <c r="G2732" s="118" t="n">
        <v>1.65</v>
      </c>
      <c r="H2732" s="118" t="n">
        <v>4.95</v>
      </c>
      <c r="I2732" s="119" t="n">
        <v>40776</v>
      </c>
    </row>
    <row r="2733">
      <c r="A2733" s="114" t="inlineStr">
        <is>
          <t>563912</t>
        </is>
      </c>
      <c r="B2733" s="114" t="n">
        <v>17675</v>
      </c>
      <c r="C2733" s="114" t="inlineStr">
        <is>
          <t>United Kingdom</t>
        </is>
      </c>
      <c r="D2733" s="114" t="inlineStr">
        <is>
          <t>22558</t>
        </is>
      </c>
      <c r="E2733" s="114" t="inlineStr">
        <is>
          <t xml:space="preserve">CLOTHES PEGS RETROSPOT PACK 24 </t>
        </is>
      </c>
      <c r="F2733" s="114" t="n">
        <v>24</v>
      </c>
      <c r="G2733" s="115" t="n">
        <v>1.65</v>
      </c>
      <c r="H2733" s="115" t="n">
        <v>39.6</v>
      </c>
      <c r="I2733" s="116" t="n">
        <v>40776</v>
      </c>
    </row>
    <row r="2734">
      <c r="A2734" s="117" t="inlineStr">
        <is>
          <t>563915</t>
        </is>
      </c>
      <c r="B2734" s="117" t="n">
        <v>14224</v>
      </c>
      <c r="C2734" s="117" t="inlineStr">
        <is>
          <t>United Kingdom</t>
        </is>
      </c>
      <c r="D2734" s="117" t="inlineStr">
        <is>
          <t>22083</t>
        </is>
      </c>
      <c r="E2734" s="117" t="inlineStr">
        <is>
          <t>PAPER CHAIN KIT RETROSPOT</t>
        </is>
      </c>
      <c r="F2734" s="117" t="n">
        <v>2</v>
      </c>
      <c r="G2734" s="118" t="n">
        <v>2.95</v>
      </c>
      <c r="H2734" s="118" t="n">
        <v>5.9</v>
      </c>
      <c r="I2734" s="119" t="n">
        <v>40776</v>
      </c>
    </row>
    <row r="2735">
      <c r="A2735" s="114" t="inlineStr">
        <is>
          <t>563916</t>
        </is>
      </c>
      <c r="B2735" s="114" t="n">
        <v>13435</v>
      </c>
      <c r="C2735" s="114" t="inlineStr">
        <is>
          <t>United Kingdom</t>
        </is>
      </c>
      <c r="D2735" s="114" t="inlineStr">
        <is>
          <t>21464</t>
        </is>
      </c>
      <c r="E2735" s="114" t="inlineStr">
        <is>
          <t>DISCO BALL ROTATOR BATTERY OPERATED</t>
        </is>
      </c>
      <c r="F2735" s="114" t="n">
        <v>1</v>
      </c>
      <c r="G2735" s="115" t="n">
        <v>4.25</v>
      </c>
      <c r="H2735" s="115" t="n">
        <v>4.25</v>
      </c>
      <c r="I2735" s="116" t="n">
        <v>40776</v>
      </c>
    </row>
    <row r="2736">
      <c r="A2736" s="117" t="inlineStr">
        <is>
          <t>563917</t>
        </is>
      </c>
      <c r="B2736" s="117" t="n">
        <v>14572</v>
      </c>
      <c r="C2736" s="117" t="inlineStr">
        <is>
          <t>United Kingdom</t>
        </is>
      </c>
      <c r="D2736" s="117" t="inlineStr">
        <is>
          <t>22197</t>
        </is>
      </c>
      <c r="E2736" s="117" t="inlineStr">
        <is>
          <t>POPCORN HOLDER</t>
        </is>
      </c>
      <c r="F2736" s="117" t="n">
        <v>11</v>
      </c>
      <c r="G2736" s="118" t="n">
        <v>0.85</v>
      </c>
      <c r="H2736" s="118" t="n">
        <v>9.35</v>
      </c>
      <c r="I2736" s="119" t="n">
        <v>40776</v>
      </c>
    </row>
    <row r="2737">
      <c r="A2737" s="114" t="inlineStr">
        <is>
          <t>563926</t>
        </is>
      </c>
      <c r="B2737" s="114" t="n">
        <v>12553</v>
      </c>
      <c r="C2737" s="114" t="inlineStr">
        <is>
          <t>France</t>
        </is>
      </c>
      <c r="D2737" s="114" t="inlineStr">
        <is>
          <t>22750</t>
        </is>
      </c>
      <c r="E2737" s="114" t="inlineStr">
        <is>
          <t>FELTCRAFT PRINCESS LOLA DOLL</t>
        </is>
      </c>
      <c r="F2737" s="114" t="n">
        <v>4</v>
      </c>
      <c r="G2737" s="115" t="n">
        <v>3.75</v>
      </c>
      <c r="H2737" s="115" t="n">
        <v>15</v>
      </c>
      <c r="I2737" s="116" t="n">
        <v>40776</v>
      </c>
    </row>
    <row r="2738">
      <c r="A2738" s="117" t="inlineStr">
        <is>
          <t>563925</t>
        </is>
      </c>
      <c r="B2738" s="117" t="n">
        <v>13610</v>
      </c>
      <c r="C2738" s="117" t="inlineStr">
        <is>
          <t>United Kingdom</t>
        </is>
      </c>
      <c r="D2738" s="117" t="inlineStr">
        <is>
          <t>23243</t>
        </is>
      </c>
      <c r="E2738" s="117" t="inlineStr">
        <is>
          <t>SET OF TEA COFFEE SUGAR TINS PANTRY</t>
        </is>
      </c>
      <c r="F2738" s="117" t="n">
        <v>1</v>
      </c>
      <c r="G2738" s="118" t="n">
        <v>4.95</v>
      </c>
      <c r="H2738" s="118" t="n">
        <v>4.95</v>
      </c>
      <c r="I2738" s="119" t="n">
        <v>40776</v>
      </c>
    </row>
    <row r="2739">
      <c r="A2739" s="114" t="inlineStr">
        <is>
          <t>563928</t>
        </is>
      </c>
      <c r="B2739" s="114" t="n">
        <v>17059</v>
      </c>
      <c r="C2739" s="114" t="inlineStr">
        <is>
          <t>United Kingdom</t>
        </is>
      </c>
      <c r="D2739" s="114" t="inlineStr">
        <is>
          <t>21929</t>
        </is>
      </c>
      <c r="E2739" s="114" t="inlineStr">
        <is>
          <t>JUMBO BAG PINK VINTAGE PAISLEY</t>
        </is>
      </c>
      <c r="F2739" s="114" t="n">
        <v>2</v>
      </c>
      <c r="G2739" s="115" t="n">
        <v>2.08</v>
      </c>
      <c r="H2739" s="115" t="n">
        <v>4.16</v>
      </c>
      <c r="I2739" s="116" t="n">
        <v>40776</v>
      </c>
    </row>
    <row r="2740">
      <c r="A2740" s="117" t="inlineStr">
        <is>
          <t>563928</t>
        </is>
      </c>
      <c r="B2740" s="117" t="n">
        <v>17059</v>
      </c>
      <c r="C2740" s="117" t="inlineStr">
        <is>
          <t>United Kingdom</t>
        </is>
      </c>
      <c r="D2740" s="117" t="inlineStr">
        <is>
          <t>47591D</t>
        </is>
      </c>
      <c r="E2740" s="117" t="inlineStr">
        <is>
          <t>PINK FAIRY CAKE CHILDRENS APRON</t>
        </is>
      </c>
      <c r="F2740" s="117" t="n">
        <v>3</v>
      </c>
      <c r="G2740" s="118" t="n">
        <v>1.95</v>
      </c>
      <c r="H2740" s="118" t="n">
        <v>5.85</v>
      </c>
      <c r="I2740" s="119" t="n">
        <v>40776</v>
      </c>
    </row>
    <row r="2741">
      <c r="A2741" s="114" t="inlineStr">
        <is>
          <t>563933</t>
        </is>
      </c>
      <c r="B2741" s="114" t="n">
        <v>16536</v>
      </c>
      <c r="C2741" s="114" t="inlineStr">
        <is>
          <t>United Kingdom</t>
        </is>
      </c>
      <c r="D2741" s="114" t="inlineStr">
        <is>
          <t>22571</t>
        </is>
      </c>
      <c r="E2741" s="114" t="inlineStr">
        <is>
          <t xml:space="preserve">ROCKING HORSE RED CHRISTMAS </t>
        </is>
      </c>
      <c r="F2741" s="114" t="n">
        <v>2</v>
      </c>
      <c r="G2741" s="115" t="n">
        <v>0.85</v>
      </c>
      <c r="H2741" s="115" t="n">
        <v>1.7</v>
      </c>
      <c r="I2741" s="116" t="n">
        <v>40776</v>
      </c>
    </row>
    <row r="2742">
      <c r="A2742" s="117" t="inlineStr">
        <is>
          <t>563935</t>
        </is>
      </c>
      <c r="B2742" s="117" t="n">
        <v>15547</v>
      </c>
      <c r="C2742" s="117" t="inlineStr">
        <is>
          <t>United Kingdom</t>
        </is>
      </c>
      <c r="D2742" s="117" t="inlineStr">
        <is>
          <t>23146</t>
        </is>
      </c>
      <c r="E2742" s="117" t="inlineStr">
        <is>
          <t>TRIPLE HOOK ANTIQUE IVORY ROSE</t>
        </is>
      </c>
      <c r="F2742" s="117" t="n">
        <v>2</v>
      </c>
      <c r="G2742" s="118" t="n">
        <v>3.29</v>
      </c>
      <c r="H2742" s="118" t="n">
        <v>6.58</v>
      </c>
      <c r="I2742" s="119" t="n">
        <v>40776</v>
      </c>
    </row>
    <row r="2743">
      <c r="A2743" s="114" t="inlineStr">
        <is>
          <t>563951</t>
        </is>
      </c>
      <c r="B2743" s="114" t="n">
        <v>16839</v>
      </c>
      <c r="C2743" s="114" t="inlineStr">
        <is>
          <t>United Kingdom</t>
        </is>
      </c>
      <c r="D2743" s="114" t="inlineStr">
        <is>
          <t>22697</t>
        </is>
      </c>
      <c r="E2743" s="114" t="inlineStr">
        <is>
          <t>GREEN REGENCY TEACUP AND SAUCER</t>
        </is>
      </c>
      <c r="F2743" s="114" t="n">
        <v>6</v>
      </c>
      <c r="G2743" s="115" t="n">
        <v>2.95</v>
      </c>
      <c r="H2743" s="115" t="n">
        <v>17.7</v>
      </c>
      <c r="I2743" s="116" t="n">
        <v>40777</v>
      </c>
    </row>
    <row r="2744">
      <c r="A2744" s="117" t="inlineStr">
        <is>
          <t>563952</t>
        </is>
      </c>
      <c r="B2744" s="117" t="n">
        <v>15572</v>
      </c>
      <c r="C2744" s="117" t="inlineStr">
        <is>
          <t>United Kingdom</t>
        </is>
      </c>
      <c r="D2744" s="117" t="inlineStr">
        <is>
          <t>23550</t>
        </is>
      </c>
      <c r="E2744" s="117" t="inlineStr">
        <is>
          <t xml:space="preserve">WRAP ALPHABET POSTER  </t>
        </is>
      </c>
      <c r="F2744" s="117" t="n">
        <v>25</v>
      </c>
      <c r="G2744" s="118" t="n">
        <v>0.42</v>
      </c>
      <c r="H2744" s="118" t="n">
        <v>10.5</v>
      </c>
      <c r="I2744" s="119" t="n">
        <v>40777</v>
      </c>
    </row>
    <row r="2745">
      <c r="A2745" s="114" t="inlineStr">
        <is>
          <t>564016</t>
        </is>
      </c>
      <c r="B2745" s="114" t="n">
        <v>15712</v>
      </c>
      <c r="C2745" s="114" t="inlineStr">
        <is>
          <t>United Kingdom</t>
        </is>
      </c>
      <c r="D2745" s="114" t="inlineStr">
        <is>
          <t>22800</t>
        </is>
      </c>
      <c r="E2745" s="114" t="inlineStr">
        <is>
          <t>ANTIQUE TALL SWIRLGLASS TRINKET POT</t>
        </is>
      </c>
      <c r="F2745" s="114" t="n">
        <v>4</v>
      </c>
      <c r="G2745" s="115" t="n">
        <v>3.75</v>
      </c>
      <c r="H2745" s="115" t="n">
        <v>15</v>
      </c>
      <c r="I2745" s="116" t="n">
        <v>40777</v>
      </c>
    </row>
    <row r="2746">
      <c r="A2746" s="117" t="inlineStr">
        <is>
          <t>564037</t>
        </is>
      </c>
      <c r="B2746" s="117" t="n">
        <v>14800</v>
      </c>
      <c r="C2746" s="117" t="inlineStr">
        <is>
          <t>United Kingdom</t>
        </is>
      </c>
      <c r="D2746" s="117" t="inlineStr">
        <is>
          <t>22384</t>
        </is>
      </c>
      <c r="E2746" s="117" t="inlineStr">
        <is>
          <t>LUNCH BAG PINK POLKADOT</t>
        </is>
      </c>
      <c r="F2746" s="117" t="n">
        <v>10</v>
      </c>
      <c r="G2746" s="118" t="n">
        <v>1.65</v>
      </c>
      <c r="H2746" s="118" t="n">
        <v>16.5</v>
      </c>
      <c r="I2746" s="119" t="n">
        <v>40777</v>
      </c>
    </row>
    <row r="2747">
      <c r="A2747" s="114" t="inlineStr">
        <is>
          <t>564042</t>
        </is>
      </c>
      <c r="B2747" s="114" t="n">
        <v>15443</v>
      </c>
      <c r="C2747" s="114" t="inlineStr">
        <is>
          <t>United Kingdom</t>
        </is>
      </c>
      <c r="D2747" s="114" t="inlineStr">
        <is>
          <t>84030E</t>
        </is>
      </c>
      <c r="E2747" s="114" t="inlineStr">
        <is>
          <t>ENGLISH ROSE HOT WATER BOTTLE</t>
        </is>
      </c>
      <c r="F2747" s="114" t="n">
        <v>1</v>
      </c>
      <c r="G2747" s="115" t="n">
        <v>4.25</v>
      </c>
      <c r="H2747" s="115" t="n">
        <v>4.25</v>
      </c>
      <c r="I2747" s="116" t="n">
        <v>40777</v>
      </c>
    </row>
    <row r="2748">
      <c r="A2748" s="117" t="inlineStr">
        <is>
          <t>564049</t>
        </is>
      </c>
      <c r="B2748" s="117" t="n">
        <v>17585</v>
      </c>
      <c r="C2748" s="117" t="inlineStr">
        <is>
          <t>United Kingdom</t>
        </is>
      </c>
      <c r="D2748" s="117" t="inlineStr">
        <is>
          <t>20984</t>
        </is>
      </c>
      <c r="E2748" s="117" t="inlineStr">
        <is>
          <t>12 PENCILS TALL TUBE POSY</t>
        </is>
      </c>
      <c r="F2748" s="117" t="n">
        <v>48</v>
      </c>
      <c r="G2748" s="118" t="n">
        <v>0.29</v>
      </c>
      <c r="H2748" s="118" t="n">
        <v>13.92</v>
      </c>
      <c r="I2748" s="119" t="n">
        <v>40777</v>
      </c>
    </row>
    <row r="2749">
      <c r="A2749" s="114" t="inlineStr">
        <is>
          <t>564060</t>
        </is>
      </c>
      <c r="B2749" s="114" t="n">
        <v>17073</v>
      </c>
      <c r="C2749" s="114" t="inlineStr">
        <is>
          <t>United Kingdom</t>
        </is>
      </c>
      <c r="D2749" s="114" t="inlineStr">
        <is>
          <t>84077</t>
        </is>
      </c>
      <c r="E2749" s="114" t="inlineStr">
        <is>
          <t>WORLD WAR 2 GLIDERS ASSTD DESIGNS</t>
        </is>
      </c>
      <c r="F2749" s="114" t="n">
        <v>48</v>
      </c>
      <c r="G2749" s="115" t="n">
        <v>0.29</v>
      </c>
      <c r="H2749" s="115" t="n">
        <v>13.92</v>
      </c>
      <c r="I2749" s="116" t="n">
        <v>40777</v>
      </c>
    </row>
    <row r="2750">
      <c r="A2750" s="117" t="inlineStr">
        <is>
          <t>564061</t>
        </is>
      </c>
      <c r="B2750" s="117" t="n">
        <v>14505</v>
      </c>
      <c r="C2750" s="117" t="inlineStr">
        <is>
          <t>United Kingdom</t>
        </is>
      </c>
      <c r="D2750" s="117" t="inlineStr">
        <is>
          <t>21929</t>
        </is>
      </c>
      <c r="E2750" s="117" t="inlineStr">
        <is>
          <t>JUMBO BAG PINK VINTAGE PAISLEY</t>
        </is>
      </c>
      <c r="F2750" s="117" t="n">
        <v>2</v>
      </c>
      <c r="G2750" s="118" t="n">
        <v>2.08</v>
      </c>
      <c r="H2750" s="118" t="n">
        <v>4.16</v>
      </c>
      <c r="I2750" s="119" t="n">
        <v>40777</v>
      </c>
    </row>
    <row r="2751">
      <c r="A2751" s="114" t="inlineStr">
        <is>
          <t>564062</t>
        </is>
      </c>
      <c r="B2751" s="114" t="n">
        <v>17706</v>
      </c>
      <c r="C2751" s="114" t="inlineStr">
        <is>
          <t>United Kingdom</t>
        </is>
      </c>
      <c r="D2751" s="114" t="inlineStr">
        <is>
          <t>21035</t>
        </is>
      </c>
      <c r="E2751" s="114" t="inlineStr">
        <is>
          <t xml:space="preserve">SET/2 RED RETROSPOT TEA TOWELS </t>
        </is>
      </c>
      <c r="F2751" s="114" t="n">
        <v>6</v>
      </c>
      <c r="G2751" s="115" t="n">
        <v>3.25</v>
      </c>
      <c r="H2751" s="115" t="n">
        <v>19.5</v>
      </c>
      <c r="I2751" s="116" t="n">
        <v>40777</v>
      </c>
    </row>
    <row r="2752">
      <c r="A2752" s="117" t="inlineStr">
        <is>
          <t>564065</t>
        </is>
      </c>
      <c r="B2752" s="117" t="n">
        <v>15150</v>
      </c>
      <c r="C2752" s="117" t="inlineStr">
        <is>
          <t>United Kingdom</t>
        </is>
      </c>
      <c r="D2752" s="117" t="inlineStr">
        <is>
          <t>23436</t>
        </is>
      </c>
      <c r="E2752" s="117" t="inlineStr">
        <is>
          <t xml:space="preserve">VINTAGE CHRISTMAS GIFT BAG LARGE </t>
        </is>
      </c>
      <c r="F2752" s="117" t="n">
        <v>12</v>
      </c>
      <c r="G2752" s="118" t="n">
        <v>1.25</v>
      </c>
      <c r="H2752" s="118" t="n">
        <v>15</v>
      </c>
      <c r="I2752" s="119" t="n">
        <v>40777</v>
      </c>
    </row>
    <row r="2753">
      <c r="A2753" s="114" t="inlineStr">
        <is>
          <t>564065</t>
        </is>
      </c>
      <c r="B2753" s="114" t="n">
        <v>15150</v>
      </c>
      <c r="C2753" s="114" t="inlineStr">
        <is>
          <t>United Kingdom</t>
        </is>
      </c>
      <c r="D2753" s="114" t="inlineStr">
        <is>
          <t>23154</t>
        </is>
      </c>
      <c r="E2753" s="114" t="inlineStr">
        <is>
          <t>SET OF 4 JAM JAR MAGNETS</t>
        </is>
      </c>
      <c r="F2753" s="114" t="n">
        <v>12</v>
      </c>
      <c r="G2753" s="115" t="n">
        <v>2.08</v>
      </c>
      <c r="H2753" s="115" t="n">
        <v>24.96</v>
      </c>
      <c r="I2753" s="116" t="n">
        <v>40777</v>
      </c>
    </row>
    <row r="2754">
      <c r="A2754" s="117" t="inlineStr">
        <is>
          <t>564091</t>
        </is>
      </c>
      <c r="B2754" s="117" t="n">
        <v>15804</v>
      </c>
      <c r="C2754" s="117" t="inlineStr">
        <is>
          <t>United Kingdom</t>
        </is>
      </c>
      <c r="D2754" s="117" t="inlineStr">
        <is>
          <t>90003E</t>
        </is>
      </c>
      <c r="E2754" s="117" t="inlineStr">
        <is>
          <t>GREEN PAIR HEART HAIR SLIDES</t>
        </is>
      </c>
      <c r="F2754" s="117" t="n">
        <v>4</v>
      </c>
      <c r="G2754" s="118" t="n">
        <v>3.75</v>
      </c>
      <c r="H2754" s="118" t="n">
        <v>15</v>
      </c>
      <c r="I2754" s="119" t="n">
        <v>40778</v>
      </c>
    </row>
    <row r="2755">
      <c r="A2755" s="114" t="inlineStr">
        <is>
          <t>564091</t>
        </is>
      </c>
      <c r="B2755" s="114" t="n">
        <v>15804</v>
      </c>
      <c r="C2755" s="114" t="inlineStr">
        <is>
          <t>United Kingdom</t>
        </is>
      </c>
      <c r="D2755" s="114" t="inlineStr">
        <is>
          <t>22580</t>
        </is>
      </c>
      <c r="E2755" s="114" t="inlineStr">
        <is>
          <t>ADVENT CALENDAR GINGHAM SACK</t>
        </is>
      </c>
      <c r="F2755" s="114" t="n">
        <v>3</v>
      </c>
      <c r="G2755" s="115" t="n">
        <v>5.95</v>
      </c>
      <c r="H2755" s="115" t="n">
        <v>17.85</v>
      </c>
      <c r="I2755" s="116" t="n">
        <v>40778</v>
      </c>
    </row>
    <row r="2756">
      <c r="A2756" s="117" t="inlineStr">
        <is>
          <t>564091</t>
        </is>
      </c>
      <c r="B2756" s="117" t="n">
        <v>15804</v>
      </c>
      <c r="C2756" s="117" t="inlineStr">
        <is>
          <t>United Kingdom</t>
        </is>
      </c>
      <c r="D2756" s="117" t="inlineStr">
        <is>
          <t>23298</t>
        </is>
      </c>
      <c r="E2756" s="117" t="inlineStr">
        <is>
          <t>SPOTTY BUNTING</t>
        </is>
      </c>
      <c r="F2756" s="117" t="n">
        <v>6</v>
      </c>
      <c r="G2756" s="118" t="n">
        <v>4.95</v>
      </c>
      <c r="H2756" s="118" t="n">
        <v>29.7</v>
      </c>
      <c r="I2756" s="119" t="n">
        <v>40778</v>
      </c>
    </row>
    <row r="2757">
      <c r="A2757" s="114" t="inlineStr">
        <is>
          <t>564093</t>
        </is>
      </c>
      <c r="B2757" s="114" t="n">
        <v>14930</v>
      </c>
      <c r="C2757" s="114" t="inlineStr">
        <is>
          <t>Channel Islands</t>
        </is>
      </c>
      <c r="D2757" s="114" t="inlineStr">
        <is>
          <t>23067</t>
        </is>
      </c>
      <c r="E2757" s="114" t="inlineStr">
        <is>
          <t>HANGING ENGRAVED METAL HEART</t>
        </is>
      </c>
      <c r="F2757" s="114" t="n">
        <v>2</v>
      </c>
      <c r="G2757" s="115" t="n">
        <v>4.15</v>
      </c>
      <c r="H2757" s="115" t="n">
        <v>8.300000000000001</v>
      </c>
      <c r="I2757" s="116" t="n">
        <v>40778</v>
      </c>
    </row>
    <row r="2758">
      <c r="A2758" s="117" t="inlineStr">
        <is>
          <t>564139</t>
        </is>
      </c>
      <c r="B2758" s="117" t="n">
        <v>16904</v>
      </c>
      <c r="C2758" s="117" t="inlineStr">
        <is>
          <t>United Kingdom</t>
        </is>
      </c>
      <c r="D2758" s="117" t="inlineStr">
        <is>
          <t>20727</t>
        </is>
      </c>
      <c r="E2758" s="117" t="inlineStr">
        <is>
          <t>LUNCH BAG  BLACK SKULL.</t>
        </is>
      </c>
      <c r="F2758" s="117" t="n">
        <v>2</v>
      </c>
      <c r="G2758" s="118" t="n">
        <v>1.65</v>
      </c>
      <c r="H2758" s="118" t="n">
        <v>3.3</v>
      </c>
      <c r="I2758" s="119" t="n">
        <v>40778</v>
      </c>
    </row>
    <row r="2759">
      <c r="A2759" s="114" t="inlineStr">
        <is>
          <t>564150</t>
        </is>
      </c>
      <c r="B2759" s="114" t="n">
        <v>14936</v>
      </c>
      <c r="C2759" s="114" t="inlineStr">
        <is>
          <t>Channel Islands</t>
        </is>
      </c>
      <c r="D2759" s="114" t="inlineStr">
        <is>
          <t>84970L</t>
        </is>
      </c>
      <c r="E2759" s="114" t="inlineStr">
        <is>
          <t>SINGLE HEART ZINC T-LIGHT HOLDER</t>
        </is>
      </c>
      <c r="F2759" s="114" t="n">
        <v>12</v>
      </c>
      <c r="G2759" s="115" t="n">
        <v>0.95</v>
      </c>
      <c r="H2759" s="115" t="n">
        <v>11.4</v>
      </c>
      <c r="I2759" s="116" t="n">
        <v>40778</v>
      </c>
    </row>
    <row r="2760">
      <c r="A2760" s="117" t="inlineStr">
        <is>
          <t>564150</t>
        </is>
      </c>
      <c r="B2760" s="117" t="n">
        <v>14936</v>
      </c>
      <c r="C2760" s="117" t="inlineStr">
        <is>
          <t>Channel Islands</t>
        </is>
      </c>
      <c r="D2760" s="117" t="inlineStr">
        <is>
          <t>85099F</t>
        </is>
      </c>
      <c r="E2760" s="117" t="inlineStr">
        <is>
          <t>JUMBO BAG STRAWBERRY</t>
        </is>
      </c>
      <c r="F2760" s="117" t="n">
        <v>10</v>
      </c>
      <c r="G2760" s="118" t="n">
        <v>2.08</v>
      </c>
      <c r="H2760" s="118" t="n">
        <v>20.8</v>
      </c>
      <c r="I2760" s="119" t="n">
        <v>40778</v>
      </c>
    </row>
    <row r="2761">
      <c r="A2761" s="114" t="inlineStr">
        <is>
          <t>564161</t>
        </is>
      </c>
      <c r="B2761" s="114" t="n">
        <v>14523</v>
      </c>
      <c r="C2761" s="114" t="inlineStr">
        <is>
          <t>United Kingdom</t>
        </is>
      </c>
      <c r="D2761" s="114" t="inlineStr">
        <is>
          <t>22103</t>
        </is>
      </c>
      <c r="E2761" s="114" t="inlineStr">
        <is>
          <t>MIRROR MOSAIC T-LIGHT HOLDER ROUND</t>
        </is>
      </c>
      <c r="F2761" s="114" t="n">
        <v>15</v>
      </c>
      <c r="G2761" s="115" t="n">
        <v>1.65</v>
      </c>
      <c r="H2761" s="115" t="n">
        <v>24.75</v>
      </c>
      <c r="I2761" s="116" t="n">
        <v>40778</v>
      </c>
    </row>
    <row r="2762">
      <c r="A2762" s="117" t="inlineStr">
        <is>
          <t>564166</t>
        </is>
      </c>
      <c r="B2762" s="117" t="n">
        <v>15089</v>
      </c>
      <c r="C2762" s="117" t="inlineStr">
        <is>
          <t>United Kingdom</t>
        </is>
      </c>
      <c r="D2762" s="117" t="inlineStr">
        <is>
          <t>23314</t>
        </is>
      </c>
      <c r="E2762" s="117" t="inlineStr">
        <is>
          <t>VINTAGE CHRISTMAS TABLECLOTH</t>
        </is>
      </c>
      <c r="F2762" s="117" t="n">
        <v>2</v>
      </c>
      <c r="G2762" s="118" t="n">
        <v>12.5</v>
      </c>
      <c r="H2762" s="118" t="n">
        <v>25</v>
      </c>
      <c r="I2762" s="119" t="n">
        <v>40778</v>
      </c>
    </row>
    <row r="2763">
      <c r="A2763" s="114" t="inlineStr">
        <is>
          <t>564172</t>
        </is>
      </c>
      <c r="B2763" s="114" t="n">
        <v>16033</v>
      </c>
      <c r="C2763" s="114" t="inlineStr">
        <is>
          <t>United Kingdom</t>
        </is>
      </c>
      <c r="D2763" s="114" t="inlineStr">
        <is>
          <t>84991</t>
        </is>
      </c>
      <c r="E2763" s="114" t="inlineStr">
        <is>
          <t>60 TEATIME FAIRY CAKE CASES</t>
        </is>
      </c>
      <c r="F2763" s="114" t="n">
        <v>5</v>
      </c>
      <c r="G2763" s="115" t="n">
        <v>0.55</v>
      </c>
      <c r="H2763" s="115" t="n">
        <v>2.75</v>
      </c>
      <c r="I2763" s="116" t="n">
        <v>40778</v>
      </c>
    </row>
    <row r="2764">
      <c r="A2764" s="117" t="inlineStr">
        <is>
          <t>564172</t>
        </is>
      </c>
      <c r="B2764" s="117" t="n">
        <v>16033</v>
      </c>
      <c r="C2764" s="117" t="inlineStr">
        <is>
          <t>United Kingdom</t>
        </is>
      </c>
      <c r="D2764" s="117" t="inlineStr">
        <is>
          <t>22138</t>
        </is>
      </c>
      <c r="E2764" s="117" t="inlineStr">
        <is>
          <t xml:space="preserve">BAKING SET 9 PIECE RETROSPOT </t>
        </is>
      </c>
      <c r="F2764" s="117" t="n">
        <v>4</v>
      </c>
      <c r="G2764" s="118" t="n">
        <v>4.95</v>
      </c>
      <c r="H2764" s="118" t="n">
        <v>19.8</v>
      </c>
      <c r="I2764" s="119" t="n">
        <v>40778</v>
      </c>
    </row>
    <row r="2765">
      <c r="A2765" s="114" t="inlineStr">
        <is>
          <t>564172</t>
        </is>
      </c>
      <c r="B2765" s="114" t="n">
        <v>16033</v>
      </c>
      <c r="C2765" s="114" t="inlineStr">
        <is>
          <t>United Kingdom</t>
        </is>
      </c>
      <c r="D2765" s="114" t="inlineStr">
        <is>
          <t>22429</t>
        </is>
      </c>
      <c r="E2765" s="114" t="inlineStr">
        <is>
          <t>ENAMEL MEASURING JUG CREAM</t>
        </is>
      </c>
      <c r="F2765" s="114" t="n">
        <v>1</v>
      </c>
      <c r="G2765" s="115" t="n">
        <v>4.25</v>
      </c>
      <c r="H2765" s="115" t="n">
        <v>4.25</v>
      </c>
      <c r="I2765" s="116" t="n">
        <v>40778</v>
      </c>
    </row>
    <row r="2766">
      <c r="A2766" s="117" t="inlineStr">
        <is>
          <t>564173</t>
        </is>
      </c>
      <c r="B2766" s="117" t="n">
        <v>12567</v>
      </c>
      <c r="C2766" s="117" t="inlineStr">
        <is>
          <t>France</t>
        </is>
      </c>
      <c r="D2766" s="117" t="inlineStr">
        <is>
          <t>23235</t>
        </is>
      </c>
      <c r="E2766" s="117" t="inlineStr">
        <is>
          <t>STORAGE TIN VINTAGE LEAF</t>
        </is>
      </c>
      <c r="F2766" s="117" t="n">
        <v>6</v>
      </c>
      <c r="G2766" s="118" t="n">
        <v>2.89</v>
      </c>
      <c r="H2766" s="118" t="n">
        <v>17.34</v>
      </c>
      <c r="I2766" s="119" t="n">
        <v>40778</v>
      </c>
    </row>
    <row r="2767">
      <c r="A2767" s="114" t="inlineStr">
        <is>
          <t>564174</t>
        </is>
      </c>
      <c r="B2767" s="114" t="n">
        <v>14191</v>
      </c>
      <c r="C2767" s="114" t="inlineStr">
        <is>
          <t>United Kingdom</t>
        </is>
      </c>
      <c r="D2767" s="114" t="inlineStr">
        <is>
          <t>20723</t>
        </is>
      </c>
      <c r="E2767" s="114" t="inlineStr">
        <is>
          <t>STRAWBERRY CHARLOTTE BAG</t>
        </is>
      </c>
      <c r="F2767" s="114" t="n">
        <v>10</v>
      </c>
      <c r="G2767" s="115" t="n">
        <v>0.85</v>
      </c>
      <c r="H2767" s="115" t="n">
        <v>8.5</v>
      </c>
      <c r="I2767" s="116" t="n">
        <v>40778</v>
      </c>
    </row>
    <row r="2768">
      <c r="A2768" s="117" t="inlineStr">
        <is>
          <t>564181</t>
        </is>
      </c>
      <c r="B2768" s="117" t="n">
        <v>13862</v>
      </c>
      <c r="C2768" s="117" t="inlineStr">
        <is>
          <t>United Kingdom</t>
        </is>
      </c>
      <c r="D2768" s="117" t="inlineStr">
        <is>
          <t>23209</t>
        </is>
      </c>
      <c r="E2768" s="117" t="inlineStr">
        <is>
          <t xml:space="preserve">LUNCH BAG VINTAGE DOILY </t>
        </is>
      </c>
      <c r="F2768" s="117" t="n">
        <v>20</v>
      </c>
      <c r="G2768" s="118" t="n">
        <v>1.65</v>
      </c>
      <c r="H2768" s="118" t="n">
        <v>33</v>
      </c>
      <c r="I2768" s="119" t="n">
        <v>40778</v>
      </c>
    </row>
    <row r="2769">
      <c r="A2769" s="114" t="inlineStr">
        <is>
          <t>564188</t>
        </is>
      </c>
      <c r="B2769" s="114" t="n">
        <v>13140</v>
      </c>
      <c r="C2769" s="114" t="inlineStr">
        <is>
          <t>United Kingdom</t>
        </is>
      </c>
      <c r="D2769" s="114" t="inlineStr">
        <is>
          <t>84843</t>
        </is>
      </c>
      <c r="E2769" s="114" t="inlineStr">
        <is>
          <t>WHITE SOAP RACK WITH 2 BOTTLES</t>
        </is>
      </c>
      <c r="F2769" s="114" t="n">
        <v>1</v>
      </c>
      <c r="G2769" s="115" t="n">
        <v>5.95</v>
      </c>
      <c r="H2769" s="115" t="n">
        <v>5.95</v>
      </c>
      <c r="I2769" s="116" t="n">
        <v>40778</v>
      </c>
    </row>
    <row r="2770">
      <c r="A2770" s="117" t="inlineStr">
        <is>
          <t>564192</t>
        </is>
      </c>
      <c r="B2770" s="117" t="n">
        <v>17719</v>
      </c>
      <c r="C2770" s="117" t="inlineStr">
        <is>
          <t>United Kingdom</t>
        </is>
      </c>
      <c r="D2770" s="117" t="inlineStr">
        <is>
          <t>23165</t>
        </is>
      </c>
      <c r="E2770" s="117" t="inlineStr">
        <is>
          <t>LARGE CERAMIC TOP STORAGE JAR</t>
        </is>
      </c>
      <c r="F2770" s="117" t="n">
        <v>12</v>
      </c>
      <c r="G2770" s="118" t="n">
        <v>1.65</v>
      </c>
      <c r="H2770" s="118" t="n">
        <v>19.8</v>
      </c>
      <c r="I2770" s="119" t="n">
        <v>40778</v>
      </c>
    </row>
    <row r="2771">
      <c r="A2771" s="114" t="inlineStr">
        <is>
          <t>564197</t>
        </is>
      </c>
      <c r="B2771" s="114" t="n">
        <v>13425</v>
      </c>
      <c r="C2771" s="114" t="inlineStr">
        <is>
          <t>United Kingdom</t>
        </is>
      </c>
      <c r="D2771" s="114" t="inlineStr">
        <is>
          <t>22386</t>
        </is>
      </c>
      <c r="E2771" s="114" t="inlineStr">
        <is>
          <t>JUMBO BAG PINK POLKADOT</t>
        </is>
      </c>
      <c r="F2771" s="114" t="n">
        <v>10</v>
      </c>
      <c r="G2771" s="115" t="n">
        <v>2.08</v>
      </c>
      <c r="H2771" s="115" t="n">
        <v>20.8</v>
      </c>
      <c r="I2771" s="116" t="n">
        <v>40778</v>
      </c>
    </row>
    <row r="2772">
      <c r="A2772" s="117" t="inlineStr">
        <is>
          <t>564198</t>
        </is>
      </c>
      <c r="B2772" s="117" t="n">
        <v>14418</v>
      </c>
      <c r="C2772" s="117" t="inlineStr">
        <is>
          <t>United Kingdom</t>
        </is>
      </c>
      <c r="D2772" s="117" t="inlineStr">
        <is>
          <t>10133</t>
        </is>
      </c>
      <c r="E2772" s="117" t="inlineStr">
        <is>
          <t>COLOURING PENCILS BROWN TUBE</t>
        </is>
      </c>
      <c r="F2772" s="117" t="n">
        <v>5</v>
      </c>
      <c r="G2772" s="118" t="n">
        <v>0.42</v>
      </c>
      <c r="H2772" s="118" t="n">
        <v>2.1</v>
      </c>
      <c r="I2772" s="119" t="n">
        <v>40778</v>
      </c>
    </row>
    <row r="2773">
      <c r="A2773" s="114" t="inlineStr">
        <is>
          <t>564199</t>
        </is>
      </c>
      <c r="B2773" s="114" t="n">
        <v>13263</v>
      </c>
      <c r="C2773" s="114" t="inlineStr">
        <is>
          <t>United Kingdom</t>
        </is>
      </c>
      <c r="D2773" s="114" t="inlineStr">
        <is>
          <t>21770</t>
        </is>
      </c>
      <c r="E2773" s="114" t="inlineStr">
        <is>
          <t>OPEN CLOSED METAL SIGN</t>
        </is>
      </c>
      <c r="F2773" s="114" t="n">
        <v>1</v>
      </c>
      <c r="G2773" s="115" t="n">
        <v>4.95</v>
      </c>
      <c r="H2773" s="115" t="n">
        <v>4.95</v>
      </c>
      <c r="I2773" s="116" t="n">
        <v>40778</v>
      </c>
    </row>
    <row r="2774">
      <c r="A2774" s="117" t="inlineStr">
        <is>
          <t>564216</t>
        </is>
      </c>
      <c r="B2774" s="117" t="n">
        <v>12642</v>
      </c>
      <c r="C2774" s="117" t="inlineStr">
        <is>
          <t>Germany</t>
        </is>
      </c>
      <c r="D2774" s="117" t="inlineStr">
        <is>
          <t>22908</t>
        </is>
      </c>
      <c r="E2774" s="117" t="inlineStr">
        <is>
          <t>PACK OF 20 NAPKINS RED APPLES</t>
        </is>
      </c>
      <c r="F2774" s="117" t="n">
        <v>12</v>
      </c>
      <c r="G2774" s="118" t="n">
        <v>0.85</v>
      </c>
      <c r="H2774" s="118" t="n">
        <v>10.2</v>
      </c>
      <c r="I2774" s="119" t="n">
        <v>40779</v>
      </c>
    </row>
    <row r="2775">
      <c r="A2775" s="114" t="inlineStr">
        <is>
          <t>564223</t>
        </is>
      </c>
      <c r="B2775" s="114" t="n">
        <v>13013</v>
      </c>
      <c r="C2775" s="114" t="inlineStr">
        <is>
          <t>United Kingdom</t>
        </is>
      </c>
      <c r="D2775" s="114" t="inlineStr">
        <is>
          <t>21116</t>
        </is>
      </c>
      <c r="E2775" s="114" t="inlineStr">
        <is>
          <t>OWL DOORSTOP</t>
        </is>
      </c>
      <c r="F2775" s="114" t="n">
        <v>3</v>
      </c>
      <c r="G2775" s="115" t="n">
        <v>4.95</v>
      </c>
      <c r="H2775" s="115" t="n">
        <v>14.85</v>
      </c>
      <c r="I2775" s="116" t="n">
        <v>40779</v>
      </c>
    </row>
    <row r="2776">
      <c r="A2776" s="117" t="inlineStr">
        <is>
          <t>564227</t>
        </is>
      </c>
      <c r="B2776" s="117" t="n">
        <v>15249</v>
      </c>
      <c r="C2776" s="117" t="inlineStr">
        <is>
          <t>United Kingdom</t>
        </is>
      </c>
      <c r="D2776" s="117" t="inlineStr">
        <is>
          <t>23298</t>
        </is>
      </c>
      <c r="E2776" s="117" t="inlineStr">
        <is>
          <t>SPOTTY BUNTING</t>
        </is>
      </c>
      <c r="F2776" s="117" t="n">
        <v>6</v>
      </c>
      <c r="G2776" s="118" t="n">
        <v>4.95</v>
      </c>
      <c r="H2776" s="118" t="n">
        <v>29.7</v>
      </c>
      <c r="I2776" s="119" t="n">
        <v>40779</v>
      </c>
    </row>
    <row r="2777">
      <c r="A2777" s="114" t="inlineStr">
        <is>
          <t>564246</t>
        </is>
      </c>
      <c r="B2777" s="114" t="n">
        <v>13534</v>
      </c>
      <c r="C2777" s="114" t="inlineStr">
        <is>
          <t>United Kingdom</t>
        </is>
      </c>
      <c r="D2777" s="114" t="inlineStr">
        <is>
          <t>23201</t>
        </is>
      </c>
      <c r="E2777" s="114" t="inlineStr">
        <is>
          <t>JUMBO BAG ALPHABET</t>
        </is>
      </c>
      <c r="F2777" s="114" t="n">
        <v>10</v>
      </c>
      <c r="G2777" s="115" t="n">
        <v>2.08</v>
      </c>
      <c r="H2777" s="115" t="n">
        <v>20.8</v>
      </c>
      <c r="I2777" s="116" t="n">
        <v>40779</v>
      </c>
    </row>
    <row r="2778">
      <c r="A2778" s="117" t="inlineStr">
        <is>
          <t>564256</t>
        </is>
      </c>
      <c r="B2778" s="117" t="n">
        <v>14796</v>
      </c>
      <c r="C2778" s="117" t="inlineStr">
        <is>
          <t>United Kingdom</t>
        </is>
      </c>
      <c r="D2778" s="117" t="inlineStr">
        <is>
          <t>22659</t>
        </is>
      </c>
      <c r="E2778" s="117" t="inlineStr">
        <is>
          <t>LUNCH BOX I LOVE LONDON</t>
        </is>
      </c>
      <c r="F2778" s="117" t="n">
        <v>8</v>
      </c>
      <c r="G2778" s="118" t="n">
        <v>1.95</v>
      </c>
      <c r="H2778" s="118" t="n">
        <v>15.6</v>
      </c>
      <c r="I2778" s="119" t="n">
        <v>40779</v>
      </c>
    </row>
    <row r="2779">
      <c r="A2779" s="114" t="inlineStr">
        <is>
          <t>564256</t>
        </is>
      </c>
      <c r="B2779" s="114" t="n">
        <v>14796</v>
      </c>
      <c r="C2779" s="114" t="inlineStr">
        <is>
          <t>United Kingdom</t>
        </is>
      </c>
      <c r="D2779" s="114" t="inlineStr">
        <is>
          <t>23265</t>
        </is>
      </c>
      <c r="E2779" s="114" t="inlineStr">
        <is>
          <t>SET OF 3 WOODEN TREE DECORATIONS</t>
        </is>
      </c>
      <c r="F2779" s="114" t="n">
        <v>4</v>
      </c>
      <c r="G2779" s="115" t="n">
        <v>1.25</v>
      </c>
      <c r="H2779" s="115" t="n">
        <v>5</v>
      </c>
      <c r="I2779" s="116" t="n">
        <v>40779</v>
      </c>
    </row>
    <row r="2780">
      <c r="A2780" s="117" t="inlineStr">
        <is>
          <t>564300</t>
        </is>
      </c>
      <c r="B2780" s="117" t="n">
        <v>16723</v>
      </c>
      <c r="C2780" s="117" t="inlineStr">
        <is>
          <t>United Kingdom</t>
        </is>
      </c>
      <c r="D2780" s="117" t="inlineStr">
        <is>
          <t>22423</t>
        </is>
      </c>
      <c r="E2780" s="117" t="inlineStr">
        <is>
          <t>REGENCY CAKESTAND 3 TIER</t>
        </is>
      </c>
      <c r="F2780" s="117" t="n">
        <v>1</v>
      </c>
      <c r="G2780" s="118" t="n">
        <v>12.75</v>
      </c>
      <c r="H2780" s="118" t="n">
        <v>12.75</v>
      </c>
      <c r="I2780" s="119" t="n">
        <v>40779</v>
      </c>
    </row>
    <row r="2781">
      <c r="A2781" s="114" t="inlineStr">
        <is>
          <t>564300</t>
        </is>
      </c>
      <c r="B2781" s="114" t="n">
        <v>16723</v>
      </c>
      <c r="C2781" s="114" t="inlineStr">
        <is>
          <t>United Kingdom</t>
        </is>
      </c>
      <c r="D2781" s="114" t="inlineStr">
        <is>
          <t>10125</t>
        </is>
      </c>
      <c r="E2781" s="114" t="inlineStr">
        <is>
          <t>MINI FUNKY DESIGN TAPES</t>
        </is>
      </c>
      <c r="F2781" s="114" t="n">
        <v>5</v>
      </c>
      <c r="G2781" s="115" t="n">
        <v>0.85</v>
      </c>
      <c r="H2781" s="115" t="n">
        <v>4.25</v>
      </c>
      <c r="I2781" s="116" t="n">
        <v>40779</v>
      </c>
    </row>
    <row r="2782">
      <c r="A2782" s="117" t="inlineStr">
        <is>
          <t>564301</t>
        </is>
      </c>
      <c r="B2782" s="117" t="n">
        <v>14299</v>
      </c>
      <c r="C2782" s="117" t="inlineStr">
        <is>
          <t>United Kingdom</t>
        </is>
      </c>
      <c r="D2782" s="117" t="inlineStr">
        <is>
          <t>23000</t>
        </is>
      </c>
      <c r="E2782" s="117" t="inlineStr">
        <is>
          <t>TRAVEL CARD WALLET TRANSPORT</t>
        </is>
      </c>
      <c r="F2782" s="117" t="n">
        <v>24</v>
      </c>
      <c r="G2782" s="118" t="n">
        <v>0.42</v>
      </c>
      <c r="H2782" s="118" t="n">
        <v>10.08</v>
      </c>
      <c r="I2782" s="119" t="n">
        <v>40779</v>
      </c>
    </row>
    <row r="2783">
      <c r="A2783" s="114" t="inlineStr">
        <is>
          <t>564301</t>
        </is>
      </c>
      <c r="B2783" s="114" t="n">
        <v>14299</v>
      </c>
      <c r="C2783" s="114" t="inlineStr">
        <is>
          <t>United Kingdom</t>
        </is>
      </c>
      <c r="D2783" s="114" t="inlineStr">
        <is>
          <t>22915</t>
        </is>
      </c>
      <c r="E2783" s="114" t="inlineStr">
        <is>
          <t xml:space="preserve">ASSORTED BOTTLE TOP  MAGNETS </t>
        </is>
      </c>
      <c r="F2783" s="114" t="n">
        <v>12</v>
      </c>
      <c r="G2783" s="115" t="n">
        <v>0.42</v>
      </c>
      <c r="H2783" s="115" t="n">
        <v>5.04</v>
      </c>
      <c r="I2783" s="116" t="n">
        <v>40779</v>
      </c>
    </row>
    <row r="2784">
      <c r="A2784" s="117" t="inlineStr">
        <is>
          <t>564303</t>
        </is>
      </c>
      <c r="B2784" s="117" t="n">
        <v>16042</v>
      </c>
      <c r="C2784" s="117" t="inlineStr">
        <is>
          <t>United Kingdom</t>
        </is>
      </c>
      <c r="D2784" s="117" t="inlineStr">
        <is>
          <t>22617</t>
        </is>
      </c>
      <c r="E2784" s="117" t="inlineStr">
        <is>
          <t>BAKING SET SPACEBOY DESIGN</t>
        </is>
      </c>
      <c r="F2784" s="117" t="n">
        <v>3</v>
      </c>
      <c r="G2784" s="118" t="n">
        <v>4.95</v>
      </c>
      <c r="H2784" s="118" t="n">
        <v>14.85</v>
      </c>
      <c r="I2784" s="119" t="n">
        <v>40779</v>
      </c>
    </row>
    <row r="2785">
      <c r="A2785" s="114" t="inlineStr">
        <is>
          <t>564304</t>
        </is>
      </c>
      <c r="B2785" s="114" t="n">
        <v>14527</v>
      </c>
      <c r="C2785" s="114" t="inlineStr">
        <is>
          <t>United Kingdom</t>
        </is>
      </c>
      <c r="D2785" s="114" t="inlineStr">
        <is>
          <t>21623</t>
        </is>
      </c>
      <c r="E2785" s="114" t="inlineStr">
        <is>
          <t>VINTAGE UNION JACK MEMOBOARD</t>
        </is>
      </c>
      <c r="F2785" s="114" t="n">
        <v>1</v>
      </c>
      <c r="G2785" s="115" t="n">
        <v>9.949999999999999</v>
      </c>
      <c r="H2785" s="115" t="n">
        <v>9.949999999999999</v>
      </c>
      <c r="I2785" s="116" t="n">
        <v>40779</v>
      </c>
    </row>
    <row r="2786">
      <c r="A2786" s="117" t="inlineStr">
        <is>
          <t>564305</t>
        </is>
      </c>
      <c r="B2786" s="117" t="n">
        <v>14875</v>
      </c>
      <c r="C2786" s="117" t="inlineStr">
        <is>
          <t>United Kingdom</t>
        </is>
      </c>
      <c r="D2786" s="117" t="inlineStr">
        <is>
          <t>23243</t>
        </is>
      </c>
      <c r="E2786" s="117" t="inlineStr">
        <is>
          <t>SET OF TEA COFFEE SUGAR TINS PANTRY</t>
        </is>
      </c>
      <c r="F2786" s="117" t="n">
        <v>4</v>
      </c>
      <c r="G2786" s="118" t="n">
        <v>4.95</v>
      </c>
      <c r="H2786" s="118" t="n">
        <v>19.8</v>
      </c>
      <c r="I2786" s="119" t="n">
        <v>40779</v>
      </c>
    </row>
    <row r="2787">
      <c r="A2787" s="114" t="inlineStr">
        <is>
          <t>564308</t>
        </is>
      </c>
      <c r="B2787" s="114" t="n">
        <v>13901</v>
      </c>
      <c r="C2787" s="114" t="inlineStr">
        <is>
          <t>United Kingdom</t>
        </is>
      </c>
      <c r="D2787" s="114" t="inlineStr">
        <is>
          <t>22564</t>
        </is>
      </c>
      <c r="E2787" s="114" t="inlineStr">
        <is>
          <t>ALPHABET STENCIL CRAFT</t>
        </is>
      </c>
      <c r="F2787" s="114" t="n">
        <v>12</v>
      </c>
      <c r="G2787" s="115" t="n">
        <v>1.25</v>
      </c>
      <c r="H2787" s="115" t="n">
        <v>15</v>
      </c>
      <c r="I2787" s="116" t="n">
        <v>40779</v>
      </c>
    </row>
    <row r="2788">
      <c r="A2788" s="117" t="inlineStr">
        <is>
          <t>564308</t>
        </is>
      </c>
      <c r="B2788" s="117" t="n">
        <v>13901</v>
      </c>
      <c r="C2788" s="117" t="inlineStr">
        <is>
          <t>United Kingdom</t>
        </is>
      </c>
      <c r="D2788" s="117" t="inlineStr">
        <is>
          <t>22562</t>
        </is>
      </c>
      <c r="E2788" s="117" t="inlineStr">
        <is>
          <t>MONSTERS STENCIL CRAFT</t>
        </is>
      </c>
      <c r="F2788" s="117" t="n">
        <v>12</v>
      </c>
      <c r="G2788" s="118" t="n">
        <v>1.25</v>
      </c>
      <c r="H2788" s="118" t="n">
        <v>15</v>
      </c>
      <c r="I2788" s="119" t="n">
        <v>40779</v>
      </c>
    </row>
    <row r="2789">
      <c r="A2789" s="114" t="inlineStr">
        <is>
          <t>564327</t>
        </is>
      </c>
      <c r="B2789" s="114" t="n">
        <v>16029</v>
      </c>
      <c r="C2789" s="114" t="inlineStr">
        <is>
          <t>United Kingdom</t>
        </is>
      </c>
      <c r="D2789" s="114" t="inlineStr">
        <is>
          <t>23206</t>
        </is>
      </c>
      <c r="E2789" s="114" t="inlineStr">
        <is>
          <t>LUNCH BAG APPLE DESIGN</t>
        </is>
      </c>
      <c r="F2789" s="114" t="n">
        <v>50</v>
      </c>
      <c r="G2789" s="115" t="n">
        <v>1.45</v>
      </c>
      <c r="H2789" s="115" t="n">
        <v>72.5</v>
      </c>
      <c r="I2789" s="116" t="n">
        <v>40779</v>
      </c>
    </row>
    <row r="2790">
      <c r="A2790" s="117" t="inlineStr">
        <is>
          <t>564328</t>
        </is>
      </c>
      <c r="B2790" s="117" t="n">
        <v>12662</v>
      </c>
      <c r="C2790" s="117" t="inlineStr">
        <is>
          <t>Germany</t>
        </is>
      </c>
      <c r="D2790" s="117" t="inlineStr">
        <is>
          <t>23204</t>
        </is>
      </c>
      <c r="E2790" s="117" t="inlineStr">
        <is>
          <t>CHARLOTTE BAG APPLES DESIGN</t>
        </is>
      </c>
      <c r="F2790" s="117" t="n">
        <v>10</v>
      </c>
      <c r="G2790" s="118" t="n">
        <v>0.85</v>
      </c>
      <c r="H2790" s="118" t="n">
        <v>8.5</v>
      </c>
      <c r="I2790" s="119" t="n">
        <v>40779</v>
      </c>
    </row>
    <row r="2791">
      <c r="A2791" s="114" t="inlineStr">
        <is>
          <t>564337</t>
        </is>
      </c>
      <c r="B2791" s="114" t="n">
        <v>12649</v>
      </c>
      <c r="C2791" s="114" t="inlineStr">
        <is>
          <t>Germany</t>
        </is>
      </c>
      <c r="D2791" s="114" t="inlineStr">
        <is>
          <t>22326</t>
        </is>
      </c>
      <c r="E2791" s="114" t="inlineStr">
        <is>
          <t xml:space="preserve">ROUND SNACK BOXES SET OF4 WOODLAND </t>
        </is>
      </c>
      <c r="F2791" s="114" t="n">
        <v>24</v>
      </c>
      <c r="G2791" s="115" t="n">
        <v>2.95</v>
      </c>
      <c r="H2791" s="115" t="n">
        <v>70.8</v>
      </c>
      <c r="I2791" s="116" t="n">
        <v>40779</v>
      </c>
    </row>
    <row r="2792">
      <c r="A2792" s="117" t="inlineStr">
        <is>
          <t>564342</t>
        </is>
      </c>
      <c r="B2792" s="117" t="n">
        <v>16340</v>
      </c>
      <c r="C2792" s="117" t="inlineStr">
        <is>
          <t>United Kingdom</t>
        </is>
      </c>
      <c r="D2792" s="117" t="inlineStr">
        <is>
          <t>22910</t>
        </is>
      </c>
      <c r="E2792" s="117" t="inlineStr">
        <is>
          <t>PAPER CHAIN KIT VINTAGE CHRISTMAS</t>
        </is>
      </c>
      <c r="F2792" s="117" t="n">
        <v>2</v>
      </c>
      <c r="G2792" s="118" t="n">
        <v>2.95</v>
      </c>
      <c r="H2792" s="118" t="n">
        <v>5.9</v>
      </c>
      <c r="I2792" s="119" t="n">
        <v>40779</v>
      </c>
    </row>
    <row r="2793">
      <c r="A2793" s="114" t="inlineStr">
        <is>
          <t>564346</t>
        </is>
      </c>
      <c r="B2793" s="114" t="n">
        <v>15727</v>
      </c>
      <c r="C2793" s="114" t="inlineStr">
        <is>
          <t>United Kingdom</t>
        </is>
      </c>
      <c r="D2793" s="114" t="inlineStr">
        <is>
          <t>23374</t>
        </is>
      </c>
      <c r="E2793" s="114" t="inlineStr">
        <is>
          <t>RED SPOT PAPER GIFT BAG</t>
        </is>
      </c>
      <c r="F2793" s="114" t="n">
        <v>40</v>
      </c>
      <c r="G2793" s="115" t="n">
        <v>0.82</v>
      </c>
      <c r="H2793" s="115" t="n">
        <v>32.8</v>
      </c>
      <c r="I2793" s="116" t="n">
        <v>40779</v>
      </c>
    </row>
    <row r="2794">
      <c r="A2794" s="117" t="inlineStr">
        <is>
          <t>564346</t>
        </is>
      </c>
      <c r="B2794" s="117" t="n">
        <v>15727</v>
      </c>
      <c r="C2794" s="117" t="inlineStr">
        <is>
          <t>United Kingdom</t>
        </is>
      </c>
      <c r="D2794" s="117" t="inlineStr">
        <is>
          <t>23242</t>
        </is>
      </c>
      <c r="E2794" s="117" t="inlineStr">
        <is>
          <t xml:space="preserve">TREASURE TIN BUFFALO BILL </t>
        </is>
      </c>
      <c r="F2794" s="117" t="n">
        <v>6</v>
      </c>
      <c r="G2794" s="118" t="n">
        <v>2.08</v>
      </c>
      <c r="H2794" s="118" t="n">
        <v>12.48</v>
      </c>
      <c r="I2794" s="119" t="n">
        <v>40779</v>
      </c>
    </row>
    <row r="2795">
      <c r="A2795" s="114" t="inlineStr">
        <is>
          <t>564346</t>
        </is>
      </c>
      <c r="B2795" s="114" t="n">
        <v>15727</v>
      </c>
      <c r="C2795" s="114" t="inlineStr">
        <is>
          <t>United Kingdom</t>
        </is>
      </c>
      <c r="D2795" s="114" t="inlineStr">
        <is>
          <t>22376</t>
        </is>
      </c>
      <c r="E2795" s="114" t="inlineStr">
        <is>
          <t>AIRLINE BAG VINTAGE JET SET WHITE</t>
        </is>
      </c>
      <c r="F2795" s="114" t="n">
        <v>1</v>
      </c>
      <c r="G2795" s="115" t="n">
        <v>4.25</v>
      </c>
      <c r="H2795" s="115" t="n">
        <v>4.25</v>
      </c>
      <c r="I2795" s="116" t="n">
        <v>40779</v>
      </c>
    </row>
    <row r="2796">
      <c r="A2796" s="117" t="inlineStr">
        <is>
          <t>564346</t>
        </is>
      </c>
      <c r="B2796" s="117" t="n">
        <v>15727</v>
      </c>
      <c r="C2796" s="117" t="inlineStr">
        <is>
          <t>United Kingdom</t>
        </is>
      </c>
      <c r="D2796" s="117" t="inlineStr">
        <is>
          <t>22909</t>
        </is>
      </c>
      <c r="E2796" s="117" t="inlineStr">
        <is>
          <t>SET OF 20 VINTAGE CHRISTMAS NAPKINS</t>
        </is>
      </c>
      <c r="F2796" s="117" t="n">
        <v>8</v>
      </c>
      <c r="G2796" s="118" t="n">
        <v>0.85</v>
      </c>
      <c r="H2796" s="118" t="n">
        <v>6.8</v>
      </c>
      <c r="I2796" s="119" t="n">
        <v>40779</v>
      </c>
    </row>
    <row r="2797">
      <c r="A2797" s="114" t="inlineStr">
        <is>
          <t>564352</t>
        </is>
      </c>
      <c r="B2797" s="114" t="n">
        <v>14262</v>
      </c>
      <c r="C2797" s="114" t="inlineStr">
        <is>
          <t>United Kingdom</t>
        </is>
      </c>
      <c r="D2797" s="114" t="inlineStr">
        <is>
          <t>21221</t>
        </is>
      </c>
      <c r="E2797" s="114" t="inlineStr">
        <is>
          <t>SET/4 BADGES CUTE CREATURES</t>
        </is>
      </c>
      <c r="F2797" s="114" t="n">
        <v>10</v>
      </c>
      <c r="G2797" s="115" t="n">
        <v>1.25</v>
      </c>
      <c r="H2797" s="115" t="n">
        <v>12.5</v>
      </c>
      <c r="I2797" s="116" t="n">
        <v>40779</v>
      </c>
    </row>
    <row r="2798">
      <c r="A2798" s="117" t="inlineStr">
        <is>
          <t>564356</t>
        </is>
      </c>
      <c r="B2798" s="117" t="n">
        <v>13969</v>
      </c>
      <c r="C2798" s="117" t="inlineStr">
        <is>
          <t>United Kingdom</t>
        </is>
      </c>
      <c r="D2798" s="117" t="inlineStr">
        <is>
          <t>22371</t>
        </is>
      </c>
      <c r="E2798" s="117" t="inlineStr">
        <is>
          <t>AIRLINE BAG VINTAGE TOKYO 78</t>
        </is>
      </c>
      <c r="F2798" s="117" t="n">
        <v>1</v>
      </c>
      <c r="G2798" s="118" t="n">
        <v>4.25</v>
      </c>
      <c r="H2798" s="118" t="n">
        <v>4.25</v>
      </c>
      <c r="I2798" s="119" t="n">
        <v>40779</v>
      </c>
    </row>
    <row r="2799">
      <c r="A2799" s="114" t="inlineStr">
        <is>
          <t>564356</t>
        </is>
      </c>
      <c r="B2799" s="114" t="n">
        <v>13969</v>
      </c>
      <c r="C2799" s="114" t="inlineStr">
        <is>
          <t>United Kingdom</t>
        </is>
      </c>
      <c r="D2799" s="114" t="inlineStr">
        <is>
          <t>21372</t>
        </is>
      </c>
      <c r="E2799" s="114" t="inlineStr">
        <is>
          <t>MIRRORED WALL ART TABLE LAMP</t>
        </is>
      </c>
      <c r="F2799" s="114" t="n">
        <v>1</v>
      </c>
      <c r="G2799" s="115" t="n">
        <v>0.75</v>
      </c>
      <c r="H2799" s="115" t="n">
        <v>0.75</v>
      </c>
      <c r="I2799" s="116" t="n">
        <v>40779</v>
      </c>
    </row>
    <row r="2800">
      <c r="A2800" s="117" t="inlineStr">
        <is>
          <t>564372</t>
        </is>
      </c>
      <c r="B2800" s="117" t="n">
        <v>12714</v>
      </c>
      <c r="C2800" s="117" t="inlineStr">
        <is>
          <t>France</t>
        </is>
      </c>
      <c r="D2800" s="117" t="inlineStr">
        <is>
          <t>22383</t>
        </is>
      </c>
      <c r="E2800" s="117" t="inlineStr">
        <is>
          <t xml:space="preserve">LUNCH BAG SUKI DESIGN </t>
        </is>
      </c>
      <c r="F2800" s="117" t="n">
        <v>10</v>
      </c>
      <c r="G2800" s="118" t="n">
        <v>1.65</v>
      </c>
      <c r="H2800" s="118" t="n">
        <v>16.5</v>
      </c>
      <c r="I2800" s="119" t="n">
        <v>40780</v>
      </c>
    </row>
    <row r="2801">
      <c r="A2801" s="114" t="inlineStr">
        <is>
          <t>564372</t>
        </is>
      </c>
      <c r="B2801" s="114" t="n">
        <v>12714</v>
      </c>
      <c r="C2801" s="114" t="inlineStr">
        <is>
          <t>France</t>
        </is>
      </c>
      <c r="D2801" s="114" t="inlineStr">
        <is>
          <t>21731</t>
        </is>
      </c>
      <c r="E2801" s="114" t="inlineStr">
        <is>
          <t>RED TOADSTOOL LED NIGHT LIGHT</t>
        </is>
      </c>
      <c r="F2801" s="114" t="n">
        <v>12</v>
      </c>
      <c r="G2801" s="115" t="n">
        <v>1.65</v>
      </c>
      <c r="H2801" s="115" t="n">
        <v>19.8</v>
      </c>
      <c r="I2801" s="116" t="n">
        <v>40780</v>
      </c>
    </row>
    <row r="2802">
      <c r="A2802" s="117" t="inlineStr">
        <is>
          <t>564372</t>
        </is>
      </c>
      <c r="B2802" s="117" t="n">
        <v>12714</v>
      </c>
      <c r="C2802" s="117" t="inlineStr">
        <is>
          <t>France</t>
        </is>
      </c>
      <c r="D2802" s="117" t="inlineStr">
        <is>
          <t>22585</t>
        </is>
      </c>
      <c r="E2802" s="117" t="inlineStr">
        <is>
          <t>PACK OF 6 BIRDY GIFT TAGS</t>
        </is>
      </c>
      <c r="F2802" s="117" t="n">
        <v>12</v>
      </c>
      <c r="G2802" s="118" t="n">
        <v>1.25</v>
      </c>
      <c r="H2802" s="118" t="n">
        <v>15</v>
      </c>
      <c r="I2802" s="119" t="n">
        <v>40780</v>
      </c>
    </row>
    <row r="2803">
      <c r="A2803" s="114" t="inlineStr">
        <is>
          <t>564378</t>
        </is>
      </c>
      <c r="B2803" s="114" t="n">
        <v>12417</v>
      </c>
      <c r="C2803" s="114" t="inlineStr">
        <is>
          <t>Belgium</t>
        </is>
      </c>
      <c r="D2803" s="114" t="inlineStr">
        <is>
          <t>22730</t>
        </is>
      </c>
      <c r="E2803" s="114" t="inlineStr">
        <is>
          <t>ALARM CLOCK BAKELIKE IVORY</t>
        </is>
      </c>
      <c r="F2803" s="114" t="n">
        <v>4</v>
      </c>
      <c r="G2803" s="115" t="n">
        <v>3.75</v>
      </c>
      <c r="H2803" s="115" t="n">
        <v>15</v>
      </c>
      <c r="I2803" s="116" t="n">
        <v>40780</v>
      </c>
    </row>
    <row r="2804">
      <c r="A2804" s="117" t="inlineStr">
        <is>
          <t>564433</t>
        </is>
      </c>
      <c r="B2804" s="117" t="n">
        <v>16503</v>
      </c>
      <c r="C2804" s="117" t="inlineStr">
        <is>
          <t>United Kingdom</t>
        </is>
      </c>
      <c r="D2804" s="117" t="inlineStr">
        <is>
          <t>22946</t>
        </is>
      </c>
      <c r="E2804" s="117" t="inlineStr">
        <is>
          <t>WOODEN ADVENT CALENDAR CREAM</t>
        </is>
      </c>
      <c r="F2804" s="117" t="n">
        <v>2</v>
      </c>
      <c r="G2804" s="118" t="n">
        <v>16.95</v>
      </c>
      <c r="H2804" s="118" t="n">
        <v>33.9</v>
      </c>
      <c r="I2804" s="119" t="n">
        <v>40780</v>
      </c>
    </row>
    <row r="2805">
      <c r="A2805" s="114" t="inlineStr">
        <is>
          <t>564436</t>
        </is>
      </c>
      <c r="B2805" s="114" t="n">
        <v>17841</v>
      </c>
      <c r="C2805" s="114" t="inlineStr">
        <is>
          <t>United Kingdom</t>
        </is>
      </c>
      <c r="D2805" s="114" t="inlineStr">
        <is>
          <t>21172</t>
        </is>
      </c>
      <c r="E2805" s="114" t="inlineStr">
        <is>
          <t xml:space="preserve">PARTY METAL SIGN </t>
        </is>
      </c>
      <c r="F2805" s="114" t="n">
        <v>1</v>
      </c>
      <c r="G2805" s="115" t="n">
        <v>1.45</v>
      </c>
      <c r="H2805" s="115" t="n">
        <v>1.45</v>
      </c>
      <c r="I2805" s="116" t="n">
        <v>40780</v>
      </c>
    </row>
    <row r="2806">
      <c r="A2806" s="117" t="inlineStr">
        <is>
          <t>564437</t>
        </is>
      </c>
      <c r="B2806" s="117" t="n">
        <v>13320</v>
      </c>
      <c r="C2806" s="117" t="inlineStr">
        <is>
          <t>United Kingdom</t>
        </is>
      </c>
      <c r="D2806" s="117" t="inlineStr">
        <is>
          <t>20717</t>
        </is>
      </c>
      <c r="E2806" s="117" t="inlineStr">
        <is>
          <t>STRAWBERRY SHOPPER BAG</t>
        </is>
      </c>
      <c r="F2806" s="117" t="n">
        <v>10</v>
      </c>
      <c r="G2806" s="118" t="n">
        <v>1.25</v>
      </c>
      <c r="H2806" s="118" t="n">
        <v>12.5</v>
      </c>
      <c r="I2806" s="119" t="n">
        <v>40780</v>
      </c>
    </row>
    <row r="2807">
      <c r="A2807" s="114" t="inlineStr">
        <is>
          <t>564437</t>
        </is>
      </c>
      <c r="B2807" s="114" t="n">
        <v>13320</v>
      </c>
      <c r="C2807" s="114" t="inlineStr">
        <is>
          <t>United Kingdom</t>
        </is>
      </c>
      <c r="D2807" s="114" t="inlineStr">
        <is>
          <t>21981</t>
        </is>
      </c>
      <c r="E2807" s="114" t="inlineStr">
        <is>
          <t xml:space="preserve">PACK OF 12 WOODLAND TISSUES </t>
        </is>
      </c>
      <c r="F2807" s="114" t="n">
        <v>24</v>
      </c>
      <c r="G2807" s="115" t="n">
        <v>0.29</v>
      </c>
      <c r="H2807" s="115" t="n">
        <v>6.96</v>
      </c>
      <c r="I2807" s="116" t="n">
        <v>40780</v>
      </c>
    </row>
    <row r="2808">
      <c r="A2808" s="117" t="inlineStr">
        <is>
          <t>564439</t>
        </is>
      </c>
      <c r="B2808" s="117" t="n">
        <v>12841</v>
      </c>
      <c r="C2808" s="117" t="inlineStr">
        <is>
          <t>United Kingdom</t>
        </is>
      </c>
      <c r="D2808" s="117" t="inlineStr">
        <is>
          <t>40016</t>
        </is>
      </c>
      <c r="E2808" s="117" t="inlineStr">
        <is>
          <t>CHINESE DRAGON PAPER LANTERNS</t>
        </is>
      </c>
      <c r="F2808" s="117" t="n">
        <v>36</v>
      </c>
      <c r="G2808" s="118" t="n">
        <v>0.42</v>
      </c>
      <c r="H2808" s="118" t="n">
        <v>15.12</v>
      </c>
      <c r="I2808" s="119" t="n">
        <v>40780</v>
      </c>
    </row>
    <row r="2809">
      <c r="A2809" s="114" t="inlineStr">
        <is>
          <t>564483</t>
        </is>
      </c>
      <c r="B2809" s="114" t="n">
        <v>14050</v>
      </c>
      <c r="C2809" s="114" t="inlineStr">
        <is>
          <t>United Kingdom</t>
        </is>
      </c>
      <c r="D2809" s="114" t="inlineStr">
        <is>
          <t>22990</t>
        </is>
      </c>
      <c r="E2809" s="114" t="inlineStr">
        <is>
          <t>COTTON APRON PANTRY DESIGN</t>
        </is>
      </c>
      <c r="F2809" s="114" t="n">
        <v>2</v>
      </c>
      <c r="G2809" s="115" t="n">
        <v>4.95</v>
      </c>
      <c r="H2809" s="115" t="n">
        <v>9.9</v>
      </c>
      <c r="I2809" s="116" t="n">
        <v>40780</v>
      </c>
    </row>
    <row r="2810">
      <c r="A2810" s="117" t="inlineStr">
        <is>
          <t>564507</t>
        </is>
      </c>
      <c r="B2810" s="117" t="n">
        <v>15513</v>
      </c>
      <c r="C2810" s="117" t="inlineStr">
        <is>
          <t>United Kingdom</t>
        </is>
      </c>
      <c r="D2810" s="117" t="inlineStr">
        <is>
          <t>22083</t>
        </is>
      </c>
      <c r="E2810" s="117" t="inlineStr">
        <is>
          <t>PAPER CHAIN KIT RETROSPOT</t>
        </is>
      </c>
      <c r="F2810" s="117" t="n">
        <v>6</v>
      </c>
      <c r="G2810" s="118" t="n">
        <v>2.95</v>
      </c>
      <c r="H2810" s="118" t="n">
        <v>17.7</v>
      </c>
      <c r="I2810" s="119" t="n">
        <v>40780</v>
      </c>
    </row>
    <row r="2811">
      <c r="A2811" s="114" t="inlineStr">
        <is>
          <t>564532</t>
        </is>
      </c>
      <c r="B2811" s="114" t="n">
        <v>14055</v>
      </c>
      <c r="C2811" s="114" t="inlineStr">
        <is>
          <t>United Kingdom</t>
        </is>
      </c>
      <c r="D2811" s="114" t="inlineStr">
        <is>
          <t>22799</t>
        </is>
      </c>
      <c r="E2811" s="114" t="inlineStr">
        <is>
          <t>SWEETHEART WIRE FRUIT BOWL</t>
        </is>
      </c>
      <c r="F2811" s="114" t="n">
        <v>8</v>
      </c>
      <c r="G2811" s="115" t="n">
        <v>8.5</v>
      </c>
      <c r="H2811" s="115" t="n">
        <v>68</v>
      </c>
      <c r="I2811" s="116" t="n">
        <v>40780</v>
      </c>
    </row>
    <row r="2812">
      <c r="A2812" s="117" t="inlineStr">
        <is>
          <t>564536</t>
        </is>
      </c>
      <c r="B2812" s="117" t="n">
        <v>13159</v>
      </c>
      <c r="C2812" s="117" t="inlineStr">
        <is>
          <t>United Kingdom</t>
        </is>
      </c>
      <c r="D2812" s="117" t="inlineStr">
        <is>
          <t>21481</t>
        </is>
      </c>
      <c r="E2812" s="117" t="inlineStr">
        <is>
          <t>FAWN BLUE HOT WATER BOTTLE</t>
        </is>
      </c>
      <c r="F2812" s="117" t="n">
        <v>2</v>
      </c>
      <c r="G2812" s="118" t="n">
        <v>2.95</v>
      </c>
      <c r="H2812" s="118" t="n">
        <v>5.9</v>
      </c>
      <c r="I2812" s="119" t="n">
        <v>40780</v>
      </c>
    </row>
    <row r="2813">
      <c r="A2813" s="114" t="inlineStr">
        <is>
          <t>564539</t>
        </is>
      </c>
      <c r="B2813" s="114" t="n">
        <v>12715</v>
      </c>
      <c r="C2813" s="114" t="inlineStr">
        <is>
          <t>Sweden</t>
        </is>
      </c>
      <c r="D2813" s="114" t="inlineStr">
        <is>
          <t>21981</t>
        </is>
      </c>
      <c r="E2813" s="114" t="inlineStr">
        <is>
          <t xml:space="preserve">PACK OF 12 WOODLAND TISSUES </t>
        </is>
      </c>
      <c r="F2813" s="114" t="n">
        <v>24</v>
      </c>
      <c r="G2813" s="115" t="n">
        <v>0.29</v>
      </c>
      <c r="H2813" s="115" t="n">
        <v>6.96</v>
      </c>
      <c r="I2813" s="116" t="n">
        <v>40780</v>
      </c>
    </row>
    <row r="2814">
      <c r="A2814" s="117" t="inlineStr">
        <is>
          <t>564553</t>
        </is>
      </c>
      <c r="B2814" s="117" t="n">
        <v>18200</v>
      </c>
      <c r="C2814" s="117" t="inlineStr">
        <is>
          <t>United Kingdom</t>
        </is>
      </c>
      <c r="D2814" s="117" t="inlineStr">
        <is>
          <t>84970L</t>
        </is>
      </c>
      <c r="E2814" s="117" t="inlineStr">
        <is>
          <t>SINGLE HEART ZINC T-LIGHT HOLDER</t>
        </is>
      </c>
      <c r="F2814" s="117" t="n">
        <v>12</v>
      </c>
      <c r="G2814" s="118" t="n">
        <v>0.95</v>
      </c>
      <c r="H2814" s="118" t="n">
        <v>11.4</v>
      </c>
      <c r="I2814" s="119" t="n">
        <v>40780</v>
      </c>
    </row>
    <row r="2815">
      <c r="A2815" s="114" t="inlineStr">
        <is>
          <t>564556</t>
        </is>
      </c>
      <c r="B2815" s="114" t="n">
        <v>12748</v>
      </c>
      <c r="C2815" s="114" t="inlineStr">
        <is>
          <t>United Kingdom</t>
        </is>
      </c>
      <c r="D2815" s="114" t="inlineStr">
        <is>
          <t>20821</t>
        </is>
      </c>
      <c r="E2815" s="114" t="inlineStr">
        <is>
          <t>GOLDIE LOOKING MIRROR</t>
        </is>
      </c>
      <c r="F2815" s="114" t="n">
        <v>1</v>
      </c>
      <c r="G2815" s="115" t="n">
        <v>4.95</v>
      </c>
      <c r="H2815" s="115" t="n">
        <v>4.95</v>
      </c>
      <c r="I2815" s="116" t="n">
        <v>40780</v>
      </c>
    </row>
    <row r="2816">
      <c r="A2816" s="117" t="inlineStr">
        <is>
          <t>564564</t>
        </is>
      </c>
      <c r="B2816" s="117" t="n">
        <v>13003</v>
      </c>
      <c r="C2816" s="117" t="inlineStr">
        <is>
          <t>United Kingdom</t>
        </is>
      </c>
      <c r="D2816" s="117" t="inlineStr">
        <is>
          <t>21232</t>
        </is>
      </c>
      <c r="E2816" s="117" t="inlineStr">
        <is>
          <t>STRAWBERRY CERAMIC TRINKET BOX</t>
        </is>
      </c>
      <c r="F2816" s="117" t="n">
        <v>48</v>
      </c>
      <c r="G2816" s="118" t="n">
        <v>1.25</v>
      </c>
      <c r="H2816" s="118" t="n">
        <v>60</v>
      </c>
      <c r="I2816" s="119" t="n">
        <v>40781</v>
      </c>
    </row>
    <row r="2817">
      <c r="A2817" s="114" t="inlineStr">
        <is>
          <t>564630</t>
        </is>
      </c>
      <c r="B2817" s="114" t="n">
        <v>13644</v>
      </c>
      <c r="C2817" s="114" t="inlineStr">
        <is>
          <t>United Kingdom</t>
        </is>
      </c>
      <c r="D2817" s="114" t="inlineStr">
        <is>
          <t>22595</t>
        </is>
      </c>
      <c r="E2817" s="114" t="inlineStr">
        <is>
          <t>GINGHAM HEART DECORATION</t>
        </is>
      </c>
      <c r="F2817" s="114" t="n">
        <v>12</v>
      </c>
      <c r="G2817" s="115" t="n">
        <v>0.85</v>
      </c>
      <c r="H2817" s="115" t="n">
        <v>10.2</v>
      </c>
      <c r="I2817" s="116" t="n">
        <v>40781</v>
      </c>
    </row>
    <row r="2818">
      <c r="A2818" s="117" t="inlineStr">
        <is>
          <t>564635</t>
        </is>
      </c>
      <c r="B2818" s="117" t="n">
        <v>15615</v>
      </c>
      <c r="C2818" s="117" t="inlineStr">
        <is>
          <t>United Kingdom</t>
        </is>
      </c>
      <c r="D2818" s="117" t="inlineStr">
        <is>
          <t>47566</t>
        </is>
      </c>
      <c r="E2818" s="117" t="inlineStr">
        <is>
          <t>PARTY BUNTING</t>
        </is>
      </c>
      <c r="F2818" s="117" t="n">
        <v>4</v>
      </c>
      <c r="G2818" s="118" t="n">
        <v>4.95</v>
      </c>
      <c r="H2818" s="118" t="n">
        <v>19.8</v>
      </c>
      <c r="I2818" s="119" t="n">
        <v>40781</v>
      </c>
    </row>
    <row r="2819">
      <c r="A2819" s="114" t="inlineStr">
        <is>
          <t>564639</t>
        </is>
      </c>
      <c r="B2819" s="114" t="n">
        <v>18036</v>
      </c>
      <c r="C2819" s="114" t="inlineStr">
        <is>
          <t>United Kingdom</t>
        </is>
      </c>
      <c r="D2819" s="114" t="inlineStr">
        <is>
          <t>22909</t>
        </is>
      </c>
      <c r="E2819" s="114" t="inlineStr">
        <is>
          <t>SET OF 20 VINTAGE CHRISTMAS NAPKINS</t>
        </is>
      </c>
      <c r="F2819" s="114" t="n">
        <v>4</v>
      </c>
      <c r="G2819" s="115" t="n">
        <v>0.85</v>
      </c>
      <c r="H2819" s="115" t="n">
        <v>3.4</v>
      </c>
      <c r="I2819" s="116" t="n">
        <v>40781</v>
      </c>
    </row>
    <row r="2820">
      <c r="A2820" s="117" t="inlineStr">
        <is>
          <t>564648</t>
        </is>
      </c>
      <c r="B2820" s="117" t="n">
        <v>15641</v>
      </c>
      <c r="C2820" s="117" t="inlineStr">
        <is>
          <t>United Kingdom</t>
        </is>
      </c>
      <c r="D2820" s="117" t="inlineStr">
        <is>
          <t>23296</t>
        </is>
      </c>
      <c r="E2820" s="117" t="inlineStr">
        <is>
          <t>SET OF 6 TEA TIME BAKING CASES</t>
        </is>
      </c>
      <c r="F2820" s="117" t="n">
        <v>8</v>
      </c>
      <c r="G2820" s="118" t="n">
        <v>1.25</v>
      </c>
      <c r="H2820" s="118" t="n">
        <v>10</v>
      </c>
      <c r="I2820" s="119" t="n">
        <v>40781</v>
      </c>
    </row>
    <row r="2821">
      <c r="A2821" s="114" t="inlineStr">
        <is>
          <t>564660</t>
        </is>
      </c>
      <c r="B2821" s="114" t="n">
        <v>15074</v>
      </c>
      <c r="C2821" s="114" t="inlineStr">
        <is>
          <t>United Kingdom</t>
        </is>
      </c>
      <c r="D2821" s="114" t="inlineStr">
        <is>
          <t>22965</t>
        </is>
      </c>
      <c r="E2821" s="114" t="inlineStr">
        <is>
          <t>3 TRADITIONAl BISCUIT CUTTERS  SET</t>
        </is>
      </c>
      <c r="F2821" s="114" t="n">
        <v>6</v>
      </c>
      <c r="G2821" s="115" t="n">
        <v>2.1</v>
      </c>
      <c r="H2821" s="115" t="n">
        <v>12.6</v>
      </c>
      <c r="I2821" s="116" t="n">
        <v>40781</v>
      </c>
    </row>
    <row r="2822">
      <c r="A2822" s="117" t="inlineStr">
        <is>
          <t>564660</t>
        </is>
      </c>
      <c r="B2822" s="117" t="n">
        <v>15074</v>
      </c>
      <c r="C2822" s="117" t="inlineStr">
        <is>
          <t>United Kingdom</t>
        </is>
      </c>
      <c r="D2822" s="117" t="inlineStr">
        <is>
          <t>22367</t>
        </is>
      </c>
      <c r="E2822" s="117" t="inlineStr">
        <is>
          <t>CHILDRENS APRON SPACEBOY DESIGN</t>
        </is>
      </c>
      <c r="F2822" s="117" t="n">
        <v>8</v>
      </c>
      <c r="G2822" s="118" t="n">
        <v>1.95</v>
      </c>
      <c r="H2822" s="118" t="n">
        <v>15.6</v>
      </c>
      <c r="I2822" s="119" t="n">
        <v>40781</v>
      </c>
    </row>
    <row r="2823">
      <c r="A2823" s="114" t="inlineStr">
        <is>
          <t>564660</t>
        </is>
      </c>
      <c r="B2823" s="114" t="n">
        <v>15074</v>
      </c>
      <c r="C2823" s="114" t="inlineStr">
        <is>
          <t>United Kingdom</t>
        </is>
      </c>
      <c r="D2823" s="114" t="inlineStr">
        <is>
          <t>22940</t>
        </is>
      </c>
      <c r="E2823" s="114" t="inlineStr">
        <is>
          <t>FELTCRAFT CHRISTMAS FAIRY</t>
        </is>
      </c>
      <c r="F2823" s="114" t="n">
        <v>4</v>
      </c>
      <c r="G2823" s="115" t="n">
        <v>4.25</v>
      </c>
      <c r="H2823" s="115" t="n">
        <v>17</v>
      </c>
      <c r="I2823" s="116" t="n">
        <v>40781</v>
      </c>
    </row>
    <row r="2824">
      <c r="A2824" s="117" t="inlineStr">
        <is>
          <t>564668</t>
        </is>
      </c>
      <c r="B2824" s="117" t="n">
        <v>17183</v>
      </c>
      <c r="C2824" s="117" t="inlineStr">
        <is>
          <t>United Kingdom</t>
        </is>
      </c>
      <c r="D2824" s="117" t="inlineStr">
        <is>
          <t>47504K</t>
        </is>
      </c>
      <c r="E2824" s="117" t="inlineStr">
        <is>
          <t>ENGLISH ROSE GARDEN SECATEURS</t>
        </is>
      </c>
      <c r="F2824" s="117" t="n">
        <v>12</v>
      </c>
      <c r="G2824" s="118" t="n">
        <v>0.79</v>
      </c>
      <c r="H2824" s="118" t="n">
        <v>9.48</v>
      </c>
      <c r="I2824" s="119" t="n">
        <v>40781</v>
      </c>
    </row>
    <row r="2825">
      <c r="A2825" s="114" t="inlineStr">
        <is>
          <t>564713</t>
        </is>
      </c>
      <c r="B2825" s="114" t="n">
        <v>16768</v>
      </c>
      <c r="C2825" s="114" t="inlineStr">
        <is>
          <t>United Kingdom</t>
        </is>
      </c>
      <c r="D2825" s="114" t="inlineStr">
        <is>
          <t>85123A</t>
        </is>
      </c>
      <c r="E2825" s="114" t="inlineStr">
        <is>
          <t>WHITE HANGING HEART T-LIGHT HOLDER</t>
        </is>
      </c>
      <c r="F2825" s="114" t="n">
        <v>3</v>
      </c>
      <c r="G2825" s="115" t="n">
        <v>2.95</v>
      </c>
      <c r="H2825" s="115" t="n">
        <v>8.85</v>
      </c>
      <c r="I2825" s="116" t="n">
        <v>40783</v>
      </c>
    </row>
    <row r="2826">
      <c r="A2826" s="117" t="inlineStr">
        <is>
          <t>564719</t>
        </is>
      </c>
      <c r="B2826" s="117" t="n">
        <v>15325</v>
      </c>
      <c r="C2826" s="117" t="inlineStr">
        <is>
          <t>United Kingdom</t>
        </is>
      </c>
      <c r="D2826" s="117" t="inlineStr">
        <is>
          <t>82600</t>
        </is>
      </c>
      <c r="E2826" s="117" t="inlineStr">
        <is>
          <t>NO SINGING METAL SIGN</t>
        </is>
      </c>
      <c r="F2826" s="117" t="n">
        <v>1</v>
      </c>
      <c r="G2826" s="118" t="n">
        <v>2.1</v>
      </c>
      <c r="H2826" s="118" t="n">
        <v>2.1</v>
      </c>
      <c r="I2826" s="119" t="n">
        <v>40783</v>
      </c>
    </row>
    <row r="2827">
      <c r="A2827" s="114" t="inlineStr">
        <is>
          <t>564719</t>
        </is>
      </c>
      <c r="B2827" s="114" t="n">
        <v>15325</v>
      </c>
      <c r="C2827" s="114" t="inlineStr">
        <is>
          <t>United Kingdom</t>
        </is>
      </c>
      <c r="D2827" s="114" t="inlineStr">
        <is>
          <t>20765</t>
        </is>
      </c>
      <c r="E2827" s="114" t="inlineStr">
        <is>
          <t xml:space="preserve">CHRYSANTHEMUM SKETCHBOOK </t>
        </is>
      </c>
      <c r="F2827" s="114" t="n">
        <v>1</v>
      </c>
      <c r="G2827" s="115" t="n">
        <v>3.75</v>
      </c>
      <c r="H2827" s="115" t="n">
        <v>3.75</v>
      </c>
      <c r="I2827" s="116" t="n">
        <v>40783</v>
      </c>
    </row>
    <row r="2828">
      <c r="A2828" s="117" t="inlineStr">
        <is>
          <t>564726</t>
        </is>
      </c>
      <c r="B2828" s="117" t="n">
        <v>18077</v>
      </c>
      <c r="C2828" s="117" t="inlineStr">
        <is>
          <t>United Kingdom</t>
        </is>
      </c>
      <c r="D2828" s="117" t="inlineStr">
        <is>
          <t>22718</t>
        </is>
      </c>
      <c r="E2828" s="117" t="inlineStr">
        <is>
          <t xml:space="preserve">CARD CAT AND TREE </t>
        </is>
      </c>
      <c r="F2828" s="117" t="n">
        <v>12</v>
      </c>
      <c r="G2828" s="118" t="n">
        <v>0.42</v>
      </c>
      <c r="H2828" s="118" t="n">
        <v>5.04</v>
      </c>
      <c r="I2828" s="119" t="n">
        <v>40783</v>
      </c>
    </row>
    <row r="2829">
      <c r="A2829" s="114" t="inlineStr">
        <is>
          <t>564726</t>
        </is>
      </c>
      <c r="B2829" s="114" t="n">
        <v>18077</v>
      </c>
      <c r="C2829" s="114" t="inlineStr">
        <is>
          <t>United Kingdom</t>
        </is>
      </c>
      <c r="D2829" s="114" t="inlineStr">
        <is>
          <t>22717</t>
        </is>
      </c>
      <c r="E2829" s="114" t="inlineStr">
        <is>
          <t xml:space="preserve">CARD DOG AND BALL </t>
        </is>
      </c>
      <c r="F2829" s="114" t="n">
        <v>12</v>
      </c>
      <c r="G2829" s="115" t="n">
        <v>0.42</v>
      </c>
      <c r="H2829" s="115" t="n">
        <v>5.04</v>
      </c>
      <c r="I2829" s="116" t="n">
        <v>40783</v>
      </c>
    </row>
    <row r="2830">
      <c r="A2830" s="117" t="inlineStr">
        <is>
          <t>564727</t>
        </is>
      </c>
      <c r="B2830" s="117" t="n">
        <v>16686</v>
      </c>
      <c r="C2830" s="117" t="inlineStr">
        <is>
          <t>United Kingdom</t>
        </is>
      </c>
      <c r="D2830" s="117" t="inlineStr">
        <is>
          <t>22047</t>
        </is>
      </c>
      <c r="E2830" s="117" t="inlineStr">
        <is>
          <t>EMPIRE GIFT WRAP</t>
        </is>
      </c>
      <c r="F2830" s="117" t="n">
        <v>25</v>
      </c>
      <c r="G2830" s="118" t="n">
        <v>0.42</v>
      </c>
      <c r="H2830" s="118" t="n">
        <v>10.5</v>
      </c>
      <c r="I2830" s="119" t="n">
        <v>40783</v>
      </c>
    </row>
    <row r="2831">
      <c r="A2831" s="114" t="inlineStr">
        <is>
          <t>564727</t>
        </is>
      </c>
      <c r="B2831" s="114" t="n">
        <v>16686</v>
      </c>
      <c r="C2831" s="114" t="inlineStr">
        <is>
          <t>United Kingdom</t>
        </is>
      </c>
      <c r="D2831" s="114" t="inlineStr">
        <is>
          <t>22486</t>
        </is>
      </c>
      <c r="E2831" s="114" t="inlineStr">
        <is>
          <t>PLASMATRONIC LAMP</t>
        </is>
      </c>
      <c r="F2831" s="114" t="n">
        <v>2</v>
      </c>
      <c r="G2831" s="115" t="n">
        <v>12.75</v>
      </c>
      <c r="H2831" s="115" t="n">
        <v>25.5</v>
      </c>
      <c r="I2831" s="116" t="n">
        <v>40783</v>
      </c>
    </row>
    <row r="2832">
      <c r="A2832" s="117" t="inlineStr">
        <is>
          <t>564733</t>
        </is>
      </c>
      <c r="B2832" s="117" t="n">
        <v>17841</v>
      </c>
      <c r="C2832" s="117" t="inlineStr">
        <is>
          <t>United Kingdom</t>
        </is>
      </c>
      <c r="D2832" s="117" t="inlineStr">
        <is>
          <t>84509A</t>
        </is>
      </c>
      <c r="E2832" s="117" t="inlineStr">
        <is>
          <t>SET OF 4 ENGLISH ROSE PLACEMATS</t>
        </is>
      </c>
      <c r="F2832" s="117" t="n">
        <v>5</v>
      </c>
      <c r="G2832" s="118" t="n">
        <v>3.75</v>
      </c>
      <c r="H2832" s="118" t="n">
        <v>18.75</v>
      </c>
      <c r="I2832" s="119" t="n">
        <v>40783</v>
      </c>
    </row>
    <row r="2833">
      <c r="A2833" s="114" t="inlineStr">
        <is>
          <t>564734</t>
        </is>
      </c>
      <c r="B2833" s="114" t="n">
        <v>12484</v>
      </c>
      <c r="C2833" s="114" t="inlineStr">
        <is>
          <t>Spain</t>
        </is>
      </c>
      <c r="D2833" s="114" t="inlineStr">
        <is>
          <t>22276</t>
        </is>
      </c>
      <c r="E2833" s="114" t="inlineStr">
        <is>
          <t>WASH BAG VINTAGE ROSE PAISLEY</t>
        </is>
      </c>
      <c r="F2833" s="114" t="n">
        <v>2</v>
      </c>
      <c r="G2833" s="115" t="n">
        <v>2.55</v>
      </c>
      <c r="H2833" s="115" t="n">
        <v>5.1</v>
      </c>
      <c r="I2833" s="116" t="n">
        <v>40783</v>
      </c>
    </row>
    <row r="2834">
      <c r="A2834" s="117" t="inlineStr">
        <is>
          <t>564734</t>
        </is>
      </c>
      <c r="B2834" s="117" t="n">
        <v>12484</v>
      </c>
      <c r="C2834" s="117" t="inlineStr">
        <is>
          <t>Spain</t>
        </is>
      </c>
      <c r="D2834" s="117" t="inlineStr">
        <is>
          <t>47567B</t>
        </is>
      </c>
      <c r="E2834" s="117" t="inlineStr">
        <is>
          <t>TEA TIME KITCHEN APRON</t>
        </is>
      </c>
      <c r="F2834" s="117" t="n">
        <v>5</v>
      </c>
      <c r="G2834" s="118" t="n">
        <v>5.95</v>
      </c>
      <c r="H2834" s="118" t="n">
        <v>29.75</v>
      </c>
      <c r="I2834" s="119" t="n">
        <v>40783</v>
      </c>
    </row>
    <row r="2835">
      <c r="A2835" s="114" t="inlineStr">
        <is>
          <t>564734</t>
        </is>
      </c>
      <c r="B2835" s="114" t="n">
        <v>12484</v>
      </c>
      <c r="C2835" s="114" t="inlineStr">
        <is>
          <t>Spain</t>
        </is>
      </c>
      <c r="D2835" s="114" t="inlineStr">
        <is>
          <t>21251</t>
        </is>
      </c>
      <c r="E2835" s="114" t="inlineStr">
        <is>
          <t>DINOSAUR HEIGHT CHART STICKER SET</t>
        </is>
      </c>
      <c r="F2835" s="114" t="n">
        <v>6</v>
      </c>
      <c r="G2835" s="115" t="n">
        <v>2.95</v>
      </c>
      <c r="H2835" s="115" t="n">
        <v>17.7</v>
      </c>
      <c r="I2835" s="116" t="n">
        <v>40783</v>
      </c>
    </row>
    <row r="2836">
      <c r="A2836" s="117" t="inlineStr">
        <is>
          <t>564740</t>
        </is>
      </c>
      <c r="B2836" s="117" t="n">
        <v>14044</v>
      </c>
      <c r="C2836" s="117" t="inlineStr">
        <is>
          <t>United Kingdom</t>
        </is>
      </c>
      <c r="D2836" s="117" t="inlineStr">
        <is>
          <t>22999</t>
        </is>
      </c>
      <c r="E2836" s="117" t="inlineStr">
        <is>
          <t>TRAVEL CARD WALLET VINTAGE LEAF</t>
        </is>
      </c>
      <c r="F2836" s="117" t="n">
        <v>3</v>
      </c>
      <c r="G2836" s="118" t="n">
        <v>0.42</v>
      </c>
      <c r="H2836" s="118" t="n">
        <v>1.26</v>
      </c>
      <c r="I2836" s="119" t="n">
        <v>40783</v>
      </c>
    </row>
    <row r="2837">
      <c r="A2837" s="114" t="inlineStr">
        <is>
          <t>564746</t>
        </is>
      </c>
      <c r="B2837" s="114" t="n">
        <v>17633</v>
      </c>
      <c r="C2837" s="114" t="inlineStr">
        <is>
          <t>United Kingdom</t>
        </is>
      </c>
      <c r="D2837" s="114" t="inlineStr">
        <is>
          <t>48187</t>
        </is>
      </c>
      <c r="E2837" s="114" t="inlineStr">
        <is>
          <t>DOORMAT NEW ENGLAND</t>
        </is>
      </c>
      <c r="F2837" s="114" t="n">
        <v>10</v>
      </c>
      <c r="G2837" s="115" t="n">
        <v>6.75</v>
      </c>
      <c r="H2837" s="115" t="n">
        <v>67.5</v>
      </c>
      <c r="I2837" s="116" t="n">
        <v>40783</v>
      </c>
    </row>
    <row r="2838">
      <c r="A2838" s="117" t="inlineStr">
        <is>
          <t>564747</t>
        </is>
      </c>
      <c r="B2838" s="117" t="n">
        <v>14869</v>
      </c>
      <c r="C2838" s="117" t="inlineStr">
        <is>
          <t>United Kingdom</t>
        </is>
      </c>
      <c r="D2838" s="117" t="inlineStr">
        <is>
          <t>84946</t>
        </is>
      </c>
      <c r="E2838" s="117" t="inlineStr">
        <is>
          <t>ANTIQUE SILVER T-LIGHT GLASS</t>
        </is>
      </c>
      <c r="F2838" s="117" t="n">
        <v>6</v>
      </c>
      <c r="G2838" s="118" t="n">
        <v>1.25</v>
      </c>
      <c r="H2838" s="118" t="n">
        <v>7.5</v>
      </c>
      <c r="I2838" s="119" t="n">
        <v>40783</v>
      </c>
    </row>
    <row r="2839">
      <c r="A2839" s="114" t="inlineStr">
        <is>
          <t>564749</t>
        </is>
      </c>
      <c r="B2839" s="114" t="n">
        <v>12708</v>
      </c>
      <c r="C2839" s="114" t="inlineStr">
        <is>
          <t>Germany</t>
        </is>
      </c>
      <c r="D2839" s="114" t="inlineStr">
        <is>
          <t>23242</t>
        </is>
      </c>
      <c r="E2839" s="114" t="inlineStr">
        <is>
          <t xml:space="preserve">TREASURE TIN BUFFALO BILL </t>
        </is>
      </c>
      <c r="F2839" s="114" t="n">
        <v>6</v>
      </c>
      <c r="G2839" s="115" t="n">
        <v>2.08</v>
      </c>
      <c r="H2839" s="115" t="n">
        <v>12.48</v>
      </c>
      <c r="I2839" s="116" t="n">
        <v>40785</v>
      </c>
    </row>
    <row r="2840">
      <c r="A2840" s="117" t="inlineStr">
        <is>
          <t>564821</t>
        </is>
      </c>
      <c r="B2840" s="117" t="n">
        <v>14078</v>
      </c>
      <c r="C2840" s="117" t="inlineStr">
        <is>
          <t>United Kingdom</t>
        </is>
      </c>
      <c r="D2840" s="117" t="inlineStr">
        <is>
          <t>35265</t>
        </is>
      </c>
      <c r="E2840" s="117" t="inlineStr">
        <is>
          <t>COLOURFUL FLOWER FRUIT BOWL</t>
        </is>
      </c>
      <c r="F2840" s="117" t="n">
        <v>1</v>
      </c>
      <c r="G2840" s="118" t="n">
        <v>1.95</v>
      </c>
      <c r="H2840" s="118" t="n">
        <v>1.95</v>
      </c>
      <c r="I2840" s="119" t="n">
        <v>40785</v>
      </c>
    </row>
    <row r="2841">
      <c r="A2841" s="114" t="inlineStr">
        <is>
          <t>564821</t>
        </is>
      </c>
      <c r="B2841" s="114" t="n">
        <v>14078</v>
      </c>
      <c r="C2841" s="114" t="inlineStr">
        <is>
          <t>United Kingdom</t>
        </is>
      </c>
      <c r="D2841" s="114" t="inlineStr">
        <is>
          <t>23293</t>
        </is>
      </c>
      <c r="E2841" s="114" t="inlineStr">
        <is>
          <t>SET OF 12 FAIRY CAKE BAKING CASES</t>
        </is>
      </c>
      <c r="F2841" s="114" t="n">
        <v>1</v>
      </c>
      <c r="G2841" s="115" t="n">
        <v>0.83</v>
      </c>
      <c r="H2841" s="115" t="n">
        <v>0.83</v>
      </c>
      <c r="I2841" s="116" t="n">
        <v>40785</v>
      </c>
    </row>
    <row r="2842">
      <c r="A2842" s="117" t="inlineStr">
        <is>
          <t>564846</t>
        </is>
      </c>
      <c r="B2842" s="117" t="n">
        <v>14507</v>
      </c>
      <c r="C2842" s="117" t="inlineStr">
        <is>
          <t>United Kingdom</t>
        </is>
      </c>
      <c r="D2842" s="117" t="inlineStr">
        <is>
          <t>22653</t>
        </is>
      </c>
      <c r="E2842" s="117" t="inlineStr">
        <is>
          <t xml:space="preserve">BUTTON BOX </t>
        </is>
      </c>
      <c r="F2842" s="117" t="n">
        <v>4</v>
      </c>
      <c r="G2842" s="118" t="n">
        <v>1.95</v>
      </c>
      <c r="H2842" s="118" t="n">
        <v>7.8</v>
      </c>
      <c r="I2842" s="119" t="n">
        <v>40785</v>
      </c>
    </row>
    <row r="2843">
      <c r="A2843" s="114" t="inlineStr">
        <is>
          <t>564846</t>
        </is>
      </c>
      <c r="B2843" s="114" t="n">
        <v>14507</v>
      </c>
      <c r="C2843" s="114" t="inlineStr">
        <is>
          <t>United Kingdom</t>
        </is>
      </c>
      <c r="D2843" s="114" t="inlineStr">
        <is>
          <t>22386</t>
        </is>
      </c>
      <c r="E2843" s="114" t="inlineStr">
        <is>
          <t>JUMBO BAG PINK POLKADOT</t>
        </is>
      </c>
      <c r="F2843" s="114" t="n">
        <v>1</v>
      </c>
      <c r="G2843" s="115" t="n">
        <v>2.08</v>
      </c>
      <c r="H2843" s="115" t="n">
        <v>2.08</v>
      </c>
      <c r="I2843" s="116" t="n">
        <v>40785</v>
      </c>
    </row>
    <row r="2844">
      <c r="A2844" s="117" t="inlineStr">
        <is>
          <t>564850</t>
        </is>
      </c>
      <c r="B2844" s="117" t="n">
        <v>17298</v>
      </c>
      <c r="C2844" s="117" t="inlineStr">
        <is>
          <t>United Kingdom</t>
        </is>
      </c>
      <c r="D2844" s="117" t="inlineStr">
        <is>
          <t>35819B</t>
        </is>
      </c>
      <c r="E2844" s="117" t="inlineStr">
        <is>
          <t>ACRYLIC HANGING JEWEL,BLUE</t>
        </is>
      </c>
      <c r="F2844" s="117" t="n">
        <v>10</v>
      </c>
      <c r="G2844" s="118" t="n">
        <v>0.38</v>
      </c>
      <c r="H2844" s="118" t="n">
        <v>3.8</v>
      </c>
      <c r="I2844" s="119" t="n">
        <v>40785</v>
      </c>
    </row>
    <row r="2845">
      <c r="A2845" s="114" t="inlineStr">
        <is>
          <t>564856</t>
        </is>
      </c>
      <c r="B2845" s="114" t="n">
        <v>12477</v>
      </c>
      <c r="C2845" s="114" t="inlineStr">
        <is>
          <t>Germany</t>
        </is>
      </c>
      <c r="D2845" s="114" t="inlineStr">
        <is>
          <t>85054</t>
        </is>
      </c>
      <c r="E2845" s="114" t="inlineStr">
        <is>
          <t>FRENCH ENAMEL POT W LID</t>
        </is>
      </c>
      <c r="F2845" s="114" t="n">
        <v>6</v>
      </c>
      <c r="G2845" s="115" t="n">
        <v>2.95</v>
      </c>
      <c r="H2845" s="115" t="n">
        <v>17.7</v>
      </c>
      <c r="I2845" s="116" t="n">
        <v>40786</v>
      </c>
    </row>
    <row r="2846">
      <c r="A2846" s="117" t="inlineStr">
        <is>
          <t>564863</t>
        </is>
      </c>
      <c r="B2846" s="117" t="n">
        <v>15491</v>
      </c>
      <c r="C2846" s="117" t="inlineStr">
        <is>
          <t>United Kingdom</t>
        </is>
      </c>
      <c r="D2846" s="117" t="inlineStr">
        <is>
          <t>21165</t>
        </is>
      </c>
      <c r="E2846" s="117" t="inlineStr">
        <is>
          <t xml:space="preserve">BEWARE OF THE CAT METAL SIGN </t>
        </is>
      </c>
      <c r="F2846" s="117" t="n">
        <v>2</v>
      </c>
      <c r="G2846" s="118" t="n">
        <v>1.69</v>
      </c>
      <c r="H2846" s="118" t="n">
        <v>3.38</v>
      </c>
      <c r="I2846" s="119" t="n">
        <v>40786</v>
      </c>
    </row>
    <row r="2847">
      <c r="A2847" s="114" t="inlineStr">
        <is>
          <t>564943</t>
        </is>
      </c>
      <c r="B2847" s="114" t="n">
        <v>17706</v>
      </c>
      <c r="C2847" s="114" t="inlineStr">
        <is>
          <t>United Kingdom</t>
        </is>
      </c>
      <c r="D2847" s="114" t="inlineStr">
        <is>
          <t>22652</t>
        </is>
      </c>
      <c r="E2847" s="114" t="inlineStr">
        <is>
          <t>TRAVEL SEWING KIT</t>
        </is>
      </c>
      <c r="F2847" s="114" t="n">
        <v>10</v>
      </c>
      <c r="G2847" s="115" t="n">
        <v>1.65</v>
      </c>
      <c r="H2847" s="115" t="n">
        <v>16.5</v>
      </c>
      <c r="I2847" s="116" t="n">
        <v>40786</v>
      </c>
    </row>
    <row r="2848">
      <c r="A2848" s="117" t="inlineStr">
        <is>
          <t>564950</t>
        </is>
      </c>
      <c r="B2848" s="117" t="n">
        <v>17320</v>
      </c>
      <c r="C2848" s="117" t="inlineStr">
        <is>
          <t>United Kingdom</t>
        </is>
      </c>
      <c r="D2848" s="117" t="inlineStr">
        <is>
          <t>22665</t>
        </is>
      </c>
      <c r="E2848" s="117" t="inlineStr">
        <is>
          <t>RECIPE BOX BLUE SKETCHBOOK DESIGN</t>
        </is>
      </c>
      <c r="F2848" s="117" t="n">
        <v>3</v>
      </c>
      <c r="G2848" s="118" t="n">
        <v>2.95</v>
      </c>
      <c r="H2848" s="118" t="n">
        <v>8.85</v>
      </c>
      <c r="I2848" s="119" t="n">
        <v>40786</v>
      </c>
    </row>
    <row r="2849">
      <c r="A2849" s="114" t="inlineStr">
        <is>
          <t>564961</t>
        </is>
      </c>
      <c r="B2849" s="114" t="n">
        <v>14525</v>
      </c>
      <c r="C2849" s="114" t="inlineStr">
        <is>
          <t>United Kingdom</t>
        </is>
      </c>
      <c r="D2849" s="114" t="inlineStr">
        <is>
          <t>22767</t>
        </is>
      </c>
      <c r="E2849" s="114" t="inlineStr">
        <is>
          <t xml:space="preserve">TRIPLE PHOTO FRAME CORNICE </t>
        </is>
      </c>
      <c r="F2849" s="114" t="n">
        <v>2</v>
      </c>
      <c r="G2849" s="115" t="n">
        <v>9.949999999999999</v>
      </c>
      <c r="H2849" s="115" t="n">
        <v>19.9</v>
      </c>
      <c r="I2849" s="116" t="n">
        <v>40786</v>
      </c>
    </row>
    <row r="2850">
      <c r="A2850" s="117" t="inlineStr">
        <is>
          <t>564962</t>
        </is>
      </c>
      <c r="B2850" s="117" t="n">
        <v>17777</v>
      </c>
      <c r="C2850" s="117" t="inlineStr">
        <is>
          <t>United Kingdom</t>
        </is>
      </c>
      <c r="D2850" s="117" t="inlineStr">
        <is>
          <t>22267</t>
        </is>
      </c>
      <c r="E2850" s="117" t="inlineStr">
        <is>
          <t xml:space="preserve">EASTER DECORATION EGG BUNNY </t>
        </is>
      </c>
      <c r="F2850" s="117" t="n">
        <v>1</v>
      </c>
      <c r="G2850" s="118" t="n">
        <v>0.39</v>
      </c>
      <c r="H2850" s="118" t="n">
        <v>0.39</v>
      </c>
      <c r="I2850" s="119" t="n">
        <v>40786</v>
      </c>
    </row>
    <row r="2851">
      <c r="A2851" s="114" t="inlineStr">
        <is>
          <t>564972</t>
        </is>
      </c>
      <c r="B2851" s="114" t="n">
        <v>12621</v>
      </c>
      <c r="C2851" s="114" t="inlineStr">
        <is>
          <t>Germany</t>
        </is>
      </c>
      <c r="D2851" s="114" t="inlineStr">
        <is>
          <t>85049G</t>
        </is>
      </c>
      <c r="E2851" s="114" t="inlineStr">
        <is>
          <t xml:space="preserve">CHOCOLATE BOX RIBBONS </t>
        </is>
      </c>
      <c r="F2851" s="114" t="n">
        <v>12</v>
      </c>
      <c r="G2851" s="115" t="n">
        <v>1.25</v>
      </c>
      <c r="H2851" s="115" t="n">
        <v>15</v>
      </c>
      <c r="I2851" s="116" t="n">
        <v>40786</v>
      </c>
    </row>
    <row r="2852">
      <c r="A2852" s="117" t="inlineStr">
        <is>
          <t>565067</t>
        </is>
      </c>
      <c r="B2852" s="117" t="n">
        <v>15856</v>
      </c>
      <c r="C2852" s="117" t="inlineStr">
        <is>
          <t>United Kingdom</t>
        </is>
      </c>
      <c r="D2852" s="117" t="inlineStr">
        <is>
          <t>23240</t>
        </is>
      </c>
      <c r="E2852" s="117" t="inlineStr">
        <is>
          <t xml:space="preserve">SET OF 4 KNICK KNACK TINS DOILY </t>
        </is>
      </c>
      <c r="F2852" s="117" t="n">
        <v>1</v>
      </c>
      <c r="G2852" s="118" t="n">
        <v>4.15</v>
      </c>
      <c r="H2852" s="118" t="n">
        <v>4.15</v>
      </c>
      <c r="I2852" s="119" t="n">
        <v>40786</v>
      </c>
    </row>
    <row r="2853">
      <c r="A2853" s="114" t="inlineStr">
        <is>
          <t>565087</t>
        </is>
      </c>
      <c r="B2853" s="114" t="n">
        <v>13276</v>
      </c>
      <c r="C2853" s="114" t="inlineStr">
        <is>
          <t>United Kingdom</t>
        </is>
      </c>
      <c r="D2853" s="114" t="inlineStr">
        <is>
          <t>22943</t>
        </is>
      </c>
      <c r="E2853" s="114" t="inlineStr">
        <is>
          <t>CHRISTMAS LIGHTS 10 VINTAGE BAUBLES</t>
        </is>
      </c>
      <c r="F2853" s="114" t="n">
        <v>3</v>
      </c>
      <c r="G2853" s="115" t="n">
        <v>4.95</v>
      </c>
      <c r="H2853" s="115" t="n">
        <v>14.85</v>
      </c>
      <c r="I2853" s="116" t="n">
        <v>40787</v>
      </c>
    </row>
    <row r="2854">
      <c r="A2854" s="117" t="inlineStr">
        <is>
          <t>565129</t>
        </is>
      </c>
      <c r="B2854" s="117" t="n">
        <v>15719</v>
      </c>
      <c r="C2854" s="117" t="inlineStr">
        <is>
          <t>United Kingdom</t>
        </is>
      </c>
      <c r="D2854" s="117" t="inlineStr">
        <is>
          <t>22613</t>
        </is>
      </c>
      <c r="E2854" s="117" t="inlineStr">
        <is>
          <t>PACK OF 20 SPACEBOY NAPKINS</t>
        </is>
      </c>
      <c r="F2854" s="117" t="n">
        <v>2</v>
      </c>
      <c r="G2854" s="118" t="n">
        <v>0.85</v>
      </c>
      <c r="H2854" s="118" t="n">
        <v>1.7</v>
      </c>
      <c r="I2854" s="119" t="n">
        <v>40787</v>
      </c>
    </row>
    <row r="2855">
      <c r="A2855" s="114" t="inlineStr">
        <is>
          <t>565141</t>
        </is>
      </c>
      <c r="B2855" s="114" t="n">
        <v>17841</v>
      </c>
      <c r="C2855" s="114" t="inlineStr">
        <is>
          <t>United Kingdom</t>
        </is>
      </c>
      <c r="D2855" s="114" t="inlineStr">
        <is>
          <t>21439</t>
        </is>
      </c>
      <c r="E2855" s="114" t="inlineStr">
        <is>
          <t>BASKET OF TOADSTOOLS</t>
        </is>
      </c>
      <c r="F2855" s="114" t="n">
        <v>1</v>
      </c>
      <c r="G2855" s="115" t="n">
        <v>1.25</v>
      </c>
      <c r="H2855" s="115" t="n">
        <v>1.25</v>
      </c>
      <c r="I2855" s="116" t="n">
        <v>40787</v>
      </c>
    </row>
    <row r="2856">
      <c r="A2856" s="117" t="inlineStr">
        <is>
          <t>565144</t>
        </is>
      </c>
      <c r="B2856" s="117" t="n">
        <v>16456</v>
      </c>
      <c r="C2856" s="117" t="inlineStr">
        <is>
          <t>United Kingdom</t>
        </is>
      </c>
      <c r="D2856" s="117" t="inlineStr">
        <is>
          <t>22411</t>
        </is>
      </c>
      <c r="E2856" s="117" t="inlineStr">
        <is>
          <t>JUMBO SHOPPER VINTAGE RED PAISLEY</t>
        </is>
      </c>
      <c r="F2856" s="117" t="n">
        <v>20</v>
      </c>
      <c r="G2856" s="118" t="n">
        <v>2.08</v>
      </c>
      <c r="H2856" s="118" t="n">
        <v>41.6</v>
      </c>
      <c r="I2856" s="119" t="n">
        <v>40787</v>
      </c>
    </row>
    <row r="2857">
      <c r="A2857" s="114" t="inlineStr">
        <is>
          <t>565151</t>
        </is>
      </c>
      <c r="B2857" s="114" t="n">
        <v>16923</v>
      </c>
      <c r="C2857" s="114" t="inlineStr">
        <is>
          <t>United Kingdom</t>
        </is>
      </c>
      <c r="D2857" s="114" t="inlineStr">
        <is>
          <t>22383</t>
        </is>
      </c>
      <c r="E2857" s="114" t="inlineStr">
        <is>
          <t xml:space="preserve">LUNCH BAG SUKI DESIGN </t>
        </is>
      </c>
      <c r="F2857" s="114" t="n">
        <v>10</v>
      </c>
      <c r="G2857" s="115" t="n">
        <v>1.65</v>
      </c>
      <c r="H2857" s="115" t="n">
        <v>16.5</v>
      </c>
      <c r="I2857" s="116" t="n">
        <v>40787</v>
      </c>
    </row>
    <row r="2858">
      <c r="A2858" s="117" t="inlineStr">
        <is>
          <t>565156</t>
        </is>
      </c>
      <c r="B2858" s="117" t="n">
        <v>13045</v>
      </c>
      <c r="C2858" s="117" t="inlineStr">
        <is>
          <t>United Kingdom</t>
        </is>
      </c>
      <c r="D2858" s="117" t="inlineStr">
        <is>
          <t>22993</t>
        </is>
      </c>
      <c r="E2858" s="117" t="inlineStr">
        <is>
          <t>SET OF 4 PANTRY JELLY MOULDS</t>
        </is>
      </c>
      <c r="F2858" s="117" t="n">
        <v>12</v>
      </c>
      <c r="G2858" s="118" t="n">
        <v>1.25</v>
      </c>
      <c r="H2858" s="118" t="n">
        <v>15</v>
      </c>
      <c r="I2858" s="119" t="n">
        <v>40787</v>
      </c>
    </row>
    <row r="2859">
      <c r="A2859" s="114" t="inlineStr">
        <is>
          <t>565181</t>
        </is>
      </c>
      <c r="B2859" s="114" t="n">
        <v>17381</v>
      </c>
      <c r="C2859" s="114" t="inlineStr">
        <is>
          <t>United Kingdom</t>
        </is>
      </c>
      <c r="D2859" s="114" t="inlineStr">
        <is>
          <t>21790</t>
        </is>
      </c>
      <c r="E2859" s="114" t="inlineStr">
        <is>
          <t>VINTAGE SNAP CARDS</t>
        </is>
      </c>
      <c r="F2859" s="114" t="n">
        <v>72</v>
      </c>
      <c r="G2859" s="115" t="n">
        <v>0.72</v>
      </c>
      <c r="H2859" s="115" t="n">
        <v>51.84</v>
      </c>
      <c r="I2859" s="116" t="n">
        <v>40787</v>
      </c>
    </row>
    <row r="2860">
      <c r="A2860" s="117" t="inlineStr">
        <is>
          <t>565198</t>
        </is>
      </c>
      <c r="B2860" s="117" t="n">
        <v>16729</v>
      </c>
      <c r="C2860" s="117" t="inlineStr">
        <is>
          <t>United Kingdom</t>
        </is>
      </c>
      <c r="D2860" s="117" t="inlineStr">
        <is>
          <t>22728</t>
        </is>
      </c>
      <c r="E2860" s="117" t="inlineStr">
        <is>
          <t>ALARM CLOCK BAKELIKE PINK</t>
        </is>
      </c>
      <c r="F2860" s="117" t="n">
        <v>4</v>
      </c>
      <c r="G2860" s="118" t="n">
        <v>3.75</v>
      </c>
      <c r="H2860" s="118" t="n">
        <v>15</v>
      </c>
      <c r="I2860" s="119" t="n">
        <v>40787</v>
      </c>
    </row>
    <row r="2861">
      <c r="A2861" s="114" t="inlineStr">
        <is>
          <t>565201</t>
        </is>
      </c>
      <c r="B2861" s="114" t="n">
        <v>14907</v>
      </c>
      <c r="C2861" s="114" t="inlineStr">
        <is>
          <t>United Kingdom</t>
        </is>
      </c>
      <c r="D2861" s="114" t="inlineStr">
        <is>
          <t>22956</t>
        </is>
      </c>
      <c r="E2861" s="114" t="inlineStr">
        <is>
          <t>36 FOIL HEART CAKE CASES</t>
        </is>
      </c>
      <c r="F2861" s="114" t="n">
        <v>12</v>
      </c>
      <c r="G2861" s="115" t="n">
        <v>2.1</v>
      </c>
      <c r="H2861" s="115" t="n">
        <v>25.2</v>
      </c>
      <c r="I2861" s="116" t="n">
        <v>40787</v>
      </c>
    </row>
    <row r="2862">
      <c r="A2862" s="117" t="inlineStr">
        <is>
          <t>565209</t>
        </is>
      </c>
      <c r="B2862" s="117" t="n">
        <v>15910</v>
      </c>
      <c r="C2862" s="117" t="inlineStr">
        <is>
          <t>United Kingdom</t>
        </is>
      </c>
      <c r="D2862" s="117" t="inlineStr">
        <is>
          <t>23168</t>
        </is>
      </c>
      <c r="E2862" s="117" t="inlineStr">
        <is>
          <t>CLASSIC CAFE SUGAR DISPENSER</t>
        </is>
      </c>
      <c r="F2862" s="117" t="n">
        <v>4</v>
      </c>
      <c r="G2862" s="118" t="n">
        <v>1.25</v>
      </c>
      <c r="H2862" s="118" t="n">
        <v>5</v>
      </c>
      <c r="I2862" s="119" t="n">
        <v>40787</v>
      </c>
    </row>
    <row r="2863">
      <c r="A2863" s="114" t="inlineStr">
        <is>
          <t>565218</t>
        </is>
      </c>
      <c r="B2863" s="114" t="n">
        <v>12739</v>
      </c>
      <c r="C2863" s="114" t="inlineStr">
        <is>
          <t>United Arab Emirates</t>
        </is>
      </c>
      <c r="D2863" s="114" t="inlineStr">
        <is>
          <t>22423</t>
        </is>
      </c>
      <c r="E2863" s="114" t="inlineStr">
        <is>
          <t>REGENCY CAKESTAND 3 TIER</t>
        </is>
      </c>
      <c r="F2863" s="114" t="n">
        <v>12</v>
      </c>
      <c r="G2863" s="115" t="n">
        <v>12.75</v>
      </c>
      <c r="H2863" s="115" t="n">
        <v>153</v>
      </c>
      <c r="I2863" s="116" t="n">
        <v>40787</v>
      </c>
    </row>
    <row r="2864">
      <c r="A2864" s="117" t="inlineStr">
        <is>
          <t>565218</t>
        </is>
      </c>
      <c r="B2864" s="117" t="n">
        <v>12739</v>
      </c>
      <c r="C2864" s="117" t="inlineStr">
        <is>
          <t>United Arab Emirates</t>
        </is>
      </c>
      <c r="D2864" s="117" t="inlineStr">
        <is>
          <t>23007</t>
        </is>
      </c>
      <c r="E2864" s="117" t="inlineStr">
        <is>
          <t xml:space="preserve"> SPACEBOY BABY GIFT SET</t>
        </is>
      </c>
      <c r="F2864" s="117" t="n">
        <v>6</v>
      </c>
      <c r="G2864" s="118" t="n">
        <v>14.95</v>
      </c>
      <c r="H2864" s="118" t="n">
        <v>89.7</v>
      </c>
      <c r="I2864" s="119" t="n">
        <v>40787</v>
      </c>
    </row>
    <row r="2865">
      <c r="A2865" s="114" t="inlineStr">
        <is>
          <t>565219</t>
        </is>
      </c>
      <c r="B2865" s="114" t="n">
        <v>14420</v>
      </c>
      <c r="C2865" s="114" t="inlineStr">
        <is>
          <t>United Kingdom</t>
        </is>
      </c>
      <c r="D2865" s="114" t="inlineStr">
        <is>
          <t>22543</t>
        </is>
      </c>
      <c r="E2865" s="114" t="inlineStr">
        <is>
          <t xml:space="preserve">MINI JIGSAW BAKE A CAKE </t>
        </is>
      </c>
      <c r="F2865" s="114" t="n">
        <v>24</v>
      </c>
      <c r="G2865" s="115" t="n">
        <v>0.42</v>
      </c>
      <c r="H2865" s="115" t="n">
        <v>10.08</v>
      </c>
      <c r="I2865" s="116" t="n">
        <v>40787</v>
      </c>
    </row>
    <row r="2866">
      <c r="A2866" s="117" t="inlineStr">
        <is>
          <t>565223</t>
        </is>
      </c>
      <c r="B2866" s="117" t="n">
        <v>15410</v>
      </c>
      <c r="C2866" s="117" t="inlineStr">
        <is>
          <t>United Kingdom</t>
        </is>
      </c>
      <c r="D2866" s="117" t="inlineStr">
        <is>
          <t>23091</t>
        </is>
      </c>
      <c r="E2866" s="117" t="inlineStr">
        <is>
          <t>ZINC HERB GARDEN CONTAINER</t>
        </is>
      </c>
      <c r="F2866" s="117" t="n">
        <v>3</v>
      </c>
      <c r="G2866" s="118" t="n">
        <v>6.25</v>
      </c>
      <c r="H2866" s="118" t="n">
        <v>18.75</v>
      </c>
      <c r="I2866" s="119" t="n">
        <v>40787</v>
      </c>
    </row>
    <row r="2867">
      <c r="A2867" s="114" t="inlineStr">
        <is>
          <t>565230</t>
        </is>
      </c>
      <c r="B2867" s="114" t="n">
        <v>16705</v>
      </c>
      <c r="C2867" s="114" t="inlineStr">
        <is>
          <t>United Kingdom</t>
        </is>
      </c>
      <c r="D2867" s="114" t="inlineStr">
        <is>
          <t>23054</t>
        </is>
      </c>
      <c r="E2867" s="114" t="inlineStr">
        <is>
          <t>RECYCLED ACAPULCO MAT LAVENDER</t>
        </is>
      </c>
      <c r="F2867" s="114" t="n">
        <v>4</v>
      </c>
      <c r="G2867" s="115" t="n">
        <v>8.25</v>
      </c>
      <c r="H2867" s="115" t="n">
        <v>33</v>
      </c>
      <c r="I2867" s="116" t="n">
        <v>40788</v>
      </c>
    </row>
    <row r="2868">
      <c r="A2868" s="117" t="inlineStr">
        <is>
          <t>565292</t>
        </is>
      </c>
      <c r="B2868" s="117" t="n">
        <v>16102</v>
      </c>
      <c r="C2868" s="117" t="inlineStr">
        <is>
          <t>United Kingdom</t>
        </is>
      </c>
      <c r="D2868" s="117" t="inlineStr">
        <is>
          <t>21974</t>
        </is>
      </c>
      <c r="E2868" s="117" t="inlineStr">
        <is>
          <t>SET OF 36 PAISLEY FLOWER DOILIES</t>
        </is>
      </c>
      <c r="F2868" s="117" t="n">
        <v>24</v>
      </c>
      <c r="G2868" s="118" t="n">
        <v>1.45</v>
      </c>
      <c r="H2868" s="118" t="n">
        <v>34.8</v>
      </c>
      <c r="I2868" s="119" t="n">
        <v>40788</v>
      </c>
    </row>
    <row r="2869">
      <c r="A2869" s="114" t="inlineStr">
        <is>
          <t>565315</t>
        </is>
      </c>
      <c r="B2869" s="114" t="n">
        <v>14019</v>
      </c>
      <c r="C2869" s="114" t="inlineStr">
        <is>
          <t>United Kingdom</t>
        </is>
      </c>
      <c r="D2869" s="114" t="inlineStr">
        <is>
          <t>22178</t>
        </is>
      </c>
      <c r="E2869" s="114" t="inlineStr">
        <is>
          <t>VICTORIAN GLASS HANGING T-LIGHT</t>
        </is>
      </c>
      <c r="F2869" s="114" t="n">
        <v>24</v>
      </c>
      <c r="G2869" s="115" t="n">
        <v>1.25</v>
      </c>
      <c r="H2869" s="115" t="n">
        <v>30</v>
      </c>
      <c r="I2869" s="116" t="n">
        <v>40788</v>
      </c>
    </row>
    <row r="2870">
      <c r="A2870" s="117" t="inlineStr">
        <is>
          <t>565318</t>
        </is>
      </c>
      <c r="B2870" s="117" t="n">
        <v>12921</v>
      </c>
      <c r="C2870" s="117" t="inlineStr">
        <is>
          <t>United Kingdom</t>
        </is>
      </c>
      <c r="D2870" s="117" t="inlineStr">
        <is>
          <t>21080</t>
        </is>
      </c>
      <c r="E2870" s="117" t="inlineStr">
        <is>
          <t xml:space="preserve">SET/20 RED RETROSPOT PAPER NAPKINS </t>
        </is>
      </c>
      <c r="F2870" s="117" t="n">
        <v>12</v>
      </c>
      <c r="G2870" s="118" t="n">
        <v>0.85</v>
      </c>
      <c r="H2870" s="118" t="n">
        <v>10.2</v>
      </c>
      <c r="I2870" s="119" t="n">
        <v>40788</v>
      </c>
    </row>
    <row r="2871">
      <c r="A2871" s="114" t="inlineStr">
        <is>
          <t>565318</t>
        </is>
      </c>
      <c r="B2871" s="114" t="n">
        <v>12921</v>
      </c>
      <c r="C2871" s="114" t="inlineStr">
        <is>
          <t>United Kingdom</t>
        </is>
      </c>
      <c r="D2871" s="114" t="inlineStr">
        <is>
          <t>47590A</t>
        </is>
      </c>
      <c r="E2871" s="114" t="inlineStr">
        <is>
          <t>BLUE HAPPY BIRTHDAY BUNTING</t>
        </is>
      </c>
      <c r="F2871" s="114" t="n">
        <v>6</v>
      </c>
      <c r="G2871" s="115" t="n">
        <v>5.45</v>
      </c>
      <c r="H2871" s="115" t="n">
        <v>32.7</v>
      </c>
      <c r="I2871" s="116" t="n">
        <v>40788</v>
      </c>
    </row>
    <row r="2872">
      <c r="A2872" s="117" t="inlineStr">
        <is>
          <t>565320</t>
        </is>
      </c>
      <c r="B2872" s="117" t="n">
        <v>16745</v>
      </c>
      <c r="C2872" s="117" t="inlineStr">
        <is>
          <t>United Kingdom</t>
        </is>
      </c>
      <c r="D2872" s="117" t="inlineStr">
        <is>
          <t>20727</t>
        </is>
      </c>
      <c r="E2872" s="117" t="inlineStr">
        <is>
          <t>LUNCH BAG  BLACK SKULL.</t>
        </is>
      </c>
      <c r="F2872" s="117" t="n">
        <v>10</v>
      </c>
      <c r="G2872" s="118" t="n">
        <v>1.65</v>
      </c>
      <c r="H2872" s="118" t="n">
        <v>16.5</v>
      </c>
      <c r="I2872" s="119" t="n">
        <v>40788</v>
      </c>
    </row>
    <row r="2873">
      <c r="A2873" s="114" t="inlineStr">
        <is>
          <t>565320</t>
        </is>
      </c>
      <c r="B2873" s="114" t="n">
        <v>16745</v>
      </c>
      <c r="C2873" s="114" t="inlineStr">
        <is>
          <t>United Kingdom</t>
        </is>
      </c>
      <c r="D2873" s="114" t="inlineStr">
        <is>
          <t>22908</t>
        </is>
      </c>
      <c r="E2873" s="114" t="inlineStr">
        <is>
          <t>PACK OF 20 NAPKINS RED APPLES</t>
        </is>
      </c>
      <c r="F2873" s="114" t="n">
        <v>1</v>
      </c>
      <c r="G2873" s="115" t="n">
        <v>0.85</v>
      </c>
      <c r="H2873" s="115" t="n">
        <v>0.85</v>
      </c>
      <c r="I2873" s="116" t="n">
        <v>40788</v>
      </c>
    </row>
    <row r="2874">
      <c r="A2874" s="117" t="inlineStr">
        <is>
          <t>565327</t>
        </is>
      </c>
      <c r="B2874" s="117" t="n">
        <v>12832</v>
      </c>
      <c r="C2874" s="117" t="inlineStr">
        <is>
          <t>United Kingdom</t>
        </is>
      </c>
      <c r="D2874" s="117" t="inlineStr">
        <is>
          <t>22508</t>
        </is>
      </c>
      <c r="E2874" s="117" t="inlineStr">
        <is>
          <t>DOORSTOP RETROSPOT HEART</t>
        </is>
      </c>
      <c r="F2874" s="117" t="n">
        <v>4</v>
      </c>
      <c r="G2874" s="118" t="n">
        <v>3.75</v>
      </c>
      <c r="H2874" s="118" t="n">
        <v>15</v>
      </c>
      <c r="I2874" s="119" t="n">
        <v>40788</v>
      </c>
    </row>
    <row r="2875">
      <c r="A2875" s="114" t="inlineStr">
        <is>
          <t>565333</t>
        </is>
      </c>
      <c r="B2875" s="114" t="n">
        <v>12375</v>
      </c>
      <c r="C2875" s="114" t="inlineStr">
        <is>
          <t>Finland</t>
        </is>
      </c>
      <c r="D2875" s="114" t="inlineStr">
        <is>
          <t>84997C</t>
        </is>
      </c>
      <c r="E2875" s="114" t="inlineStr">
        <is>
          <t>CHILDRENS CUTLERY POLKADOT BLUE</t>
        </is>
      </c>
      <c r="F2875" s="114" t="n">
        <v>4</v>
      </c>
      <c r="G2875" s="115" t="n">
        <v>4.15</v>
      </c>
      <c r="H2875" s="115" t="n">
        <v>16.6</v>
      </c>
      <c r="I2875" s="116" t="n">
        <v>40788</v>
      </c>
    </row>
    <row r="2876">
      <c r="A2876" s="117" t="inlineStr">
        <is>
          <t>565381</t>
        </is>
      </c>
      <c r="B2876" s="117" t="n">
        <v>16173</v>
      </c>
      <c r="C2876" s="117" t="inlineStr">
        <is>
          <t>United Kingdom</t>
        </is>
      </c>
      <c r="D2876" s="117" t="inlineStr">
        <is>
          <t>85053</t>
        </is>
      </c>
      <c r="E2876" s="117" t="inlineStr">
        <is>
          <t>FRENCH ENAMEL CANDLEHOLDER</t>
        </is>
      </c>
      <c r="F2876" s="117" t="n">
        <v>6</v>
      </c>
      <c r="G2876" s="118" t="n">
        <v>2.1</v>
      </c>
      <c r="H2876" s="118" t="n">
        <v>12.6</v>
      </c>
      <c r="I2876" s="119" t="n">
        <v>40788</v>
      </c>
    </row>
    <row r="2877">
      <c r="A2877" s="114" t="inlineStr">
        <is>
          <t>565381</t>
        </is>
      </c>
      <c r="B2877" s="114" t="n">
        <v>16173</v>
      </c>
      <c r="C2877" s="114" t="inlineStr">
        <is>
          <t>United Kingdom</t>
        </is>
      </c>
      <c r="D2877" s="114" t="inlineStr">
        <is>
          <t>82482</t>
        </is>
      </c>
      <c r="E2877" s="114" t="inlineStr">
        <is>
          <t>WOODEN PICTURE FRAME WHITE FINISH</t>
        </is>
      </c>
      <c r="F2877" s="114" t="n">
        <v>6</v>
      </c>
      <c r="G2877" s="115" t="n">
        <v>2.55</v>
      </c>
      <c r="H2877" s="115" t="n">
        <v>15.3</v>
      </c>
      <c r="I2877" s="116" t="n">
        <v>40788</v>
      </c>
    </row>
    <row r="2878">
      <c r="A2878" s="117" t="inlineStr">
        <is>
          <t>565398</t>
        </is>
      </c>
      <c r="B2878" s="117" t="n">
        <v>15856</v>
      </c>
      <c r="C2878" s="117" t="inlineStr">
        <is>
          <t>United Kingdom</t>
        </is>
      </c>
      <c r="D2878" s="117" t="inlineStr">
        <is>
          <t>23154</t>
        </is>
      </c>
      <c r="E2878" s="117" t="inlineStr">
        <is>
          <t>SET OF 4 JAM JAR MAGNETS</t>
        </is>
      </c>
      <c r="F2878" s="117" t="n">
        <v>12</v>
      </c>
      <c r="G2878" s="118" t="n">
        <v>2.08</v>
      </c>
      <c r="H2878" s="118" t="n">
        <v>24.96</v>
      </c>
      <c r="I2878" s="119" t="n">
        <v>40788</v>
      </c>
    </row>
    <row r="2879">
      <c r="A2879" s="114" t="inlineStr">
        <is>
          <t>565405</t>
        </is>
      </c>
      <c r="B2879" s="114" t="n">
        <v>14211</v>
      </c>
      <c r="C2879" s="114" t="inlineStr">
        <is>
          <t>United Kingdom</t>
        </is>
      </c>
      <c r="D2879" s="114" t="inlineStr">
        <is>
          <t>22627</t>
        </is>
      </c>
      <c r="E2879" s="114" t="inlineStr">
        <is>
          <t>MINT KITCHEN SCALES</t>
        </is>
      </c>
      <c r="F2879" s="114" t="n">
        <v>2</v>
      </c>
      <c r="G2879" s="115" t="n">
        <v>8.5</v>
      </c>
      <c r="H2879" s="115" t="n">
        <v>17</v>
      </c>
      <c r="I2879" s="116" t="n">
        <v>40790</v>
      </c>
    </row>
    <row r="2880">
      <c r="A2880" s="117" t="inlineStr">
        <is>
          <t>565407</t>
        </is>
      </c>
      <c r="B2880" s="117" t="n">
        <v>16983</v>
      </c>
      <c r="C2880" s="117" t="inlineStr">
        <is>
          <t>United Kingdom</t>
        </is>
      </c>
      <c r="D2880" s="117" t="inlineStr">
        <is>
          <t>20974</t>
        </is>
      </c>
      <c r="E2880" s="117" t="inlineStr">
        <is>
          <t>12 PENCILS SMALL TUBE SKULL</t>
        </is>
      </c>
      <c r="F2880" s="117" t="n">
        <v>6</v>
      </c>
      <c r="G2880" s="118" t="n">
        <v>0.65</v>
      </c>
      <c r="H2880" s="118" t="n">
        <v>3.9</v>
      </c>
      <c r="I2880" s="119" t="n">
        <v>40790</v>
      </c>
    </row>
    <row r="2881">
      <c r="A2881" s="114" t="inlineStr">
        <is>
          <t>565413</t>
        </is>
      </c>
      <c r="B2881" s="114" t="n">
        <v>18223</v>
      </c>
      <c r="C2881" s="114" t="inlineStr">
        <is>
          <t>United Kingdom</t>
        </is>
      </c>
      <c r="D2881" s="114" t="inlineStr">
        <is>
          <t>22892</t>
        </is>
      </c>
      <c r="E2881" s="114" t="inlineStr">
        <is>
          <t>SET OF SALT AND PEPPER TOADSTOOLS</t>
        </is>
      </c>
      <c r="F2881" s="114" t="n">
        <v>12</v>
      </c>
      <c r="G2881" s="115" t="n">
        <v>1.25</v>
      </c>
      <c r="H2881" s="115" t="n">
        <v>15</v>
      </c>
      <c r="I2881" s="116" t="n">
        <v>40790</v>
      </c>
    </row>
    <row r="2882">
      <c r="A2882" s="117" t="inlineStr">
        <is>
          <t>565416</t>
        </is>
      </c>
      <c r="B2882" s="117" t="n">
        <v>12710</v>
      </c>
      <c r="C2882" s="117" t="inlineStr">
        <is>
          <t>Germany</t>
        </is>
      </c>
      <c r="D2882" s="117" t="inlineStr">
        <is>
          <t>22029</t>
        </is>
      </c>
      <c r="E2882" s="117" t="inlineStr">
        <is>
          <t>SPACEBOY BIRTHDAY CARD</t>
        </is>
      </c>
      <c r="F2882" s="117" t="n">
        <v>12</v>
      </c>
      <c r="G2882" s="118" t="n">
        <v>0.42</v>
      </c>
      <c r="H2882" s="118" t="n">
        <v>5.04</v>
      </c>
      <c r="I2882" s="119" t="n">
        <v>40790</v>
      </c>
    </row>
    <row r="2883">
      <c r="A2883" s="114" t="inlineStr">
        <is>
          <t>565420</t>
        </is>
      </c>
      <c r="B2883" s="114" t="n">
        <v>16326</v>
      </c>
      <c r="C2883" s="114" t="inlineStr">
        <is>
          <t>United Kingdom</t>
        </is>
      </c>
      <c r="D2883" s="114" t="inlineStr">
        <is>
          <t>22111</t>
        </is>
      </c>
      <c r="E2883" s="114" t="inlineStr">
        <is>
          <t>SCOTTIE DOG HOT WATER BOTTLE</t>
        </is>
      </c>
      <c r="F2883" s="114" t="n">
        <v>2</v>
      </c>
      <c r="G2883" s="115" t="n">
        <v>4.95</v>
      </c>
      <c r="H2883" s="115" t="n">
        <v>9.9</v>
      </c>
      <c r="I2883" s="116" t="n">
        <v>40790</v>
      </c>
    </row>
    <row r="2884">
      <c r="A2884" s="117" t="inlineStr">
        <is>
          <t>565430</t>
        </is>
      </c>
      <c r="B2884" s="117" t="n">
        <v>14335</v>
      </c>
      <c r="C2884" s="117" t="inlineStr">
        <is>
          <t>Germany</t>
        </is>
      </c>
      <c r="D2884" s="117" t="inlineStr">
        <is>
          <t>22187</t>
        </is>
      </c>
      <c r="E2884" s="117" t="inlineStr">
        <is>
          <t>GREEN CHRISTMAS TREE CARD HOLDER</t>
        </is>
      </c>
      <c r="F2884" s="117" t="n">
        <v>2</v>
      </c>
      <c r="G2884" s="118" t="n">
        <v>4.25</v>
      </c>
      <c r="H2884" s="118" t="n">
        <v>8.5</v>
      </c>
      <c r="I2884" s="119" t="n">
        <v>40790</v>
      </c>
    </row>
    <row r="2885">
      <c r="A2885" s="114" t="inlineStr">
        <is>
          <t>565430</t>
        </is>
      </c>
      <c r="B2885" s="114" t="n">
        <v>14335</v>
      </c>
      <c r="C2885" s="114" t="inlineStr">
        <is>
          <t>Germany</t>
        </is>
      </c>
      <c r="D2885" s="114" t="inlineStr">
        <is>
          <t>22908</t>
        </is>
      </c>
      <c r="E2885" s="114" t="inlineStr">
        <is>
          <t>PACK OF 20 NAPKINS RED APPLES</t>
        </is>
      </c>
      <c r="F2885" s="114" t="n">
        <v>10</v>
      </c>
      <c r="G2885" s="115" t="n">
        <v>0.85</v>
      </c>
      <c r="H2885" s="115" t="n">
        <v>8.5</v>
      </c>
      <c r="I2885" s="116" t="n">
        <v>40790</v>
      </c>
    </row>
    <row r="2886">
      <c r="A2886" s="117" t="inlineStr">
        <is>
          <t>565431</t>
        </is>
      </c>
      <c r="B2886" s="117" t="n">
        <v>14965</v>
      </c>
      <c r="C2886" s="117" t="inlineStr">
        <is>
          <t>United Kingdom</t>
        </is>
      </c>
      <c r="D2886" s="117" t="inlineStr">
        <is>
          <t>20763</t>
        </is>
      </c>
      <c r="E2886" s="117" t="inlineStr">
        <is>
          <t xml:space="preserve">DAISY SKETCHBOOK </t>
        </is>
      </c>
      <c r="F2886" s="117" t="n">
        <v>1</v>
      </c>
      <c r="G2886" s="118" t="n">
        <v>3.75</v>
      </c>
      <c r="H2886" s="118" t="n">
        <v>3.75</v>
      </c>
      <c r="I2886" s="119" t="n">
        <v>40790</v>
      </c>
    </row>
    <row r="2887">
      <c r="A2887" s="114" t="inlineStr">
        <is>
          <t>565431</t>
        </is>
      </c>
      <c r="B2887" s="114" t="n">
        <v>14965</v>
      </c>
      <c r="C2887" s="114" t="inlineStr">
        <is>
          <t>United Kingdom</t>
        </is>
      </c>
      <c r="D2887" s="114" t="inlineStr">
        <is>
          <t>21248</t>
        </is>
      </c>
      <c r="E2887" s="114" t="inlineStr">
        <is>
          <t>DOOR HANGER  MUM + DADS ROOM</t>
        </is>
      </c>
      <c r="F2887" s="114" t="n">
        <v>2</v>
      </c>
      <c r="G2887" s="115" t="n">
        <v>1.45</v>
      </c>
      <c r="H2887" s="115" t="n">
        <v>2.9</v>
      </c>
      <c r="I2887" s="116" t="n">
        <v>40790</v>
      </c>
    </row>
    <row r="2888">
      <c r="A2888" s="117" t="inlineStr">
        <is>
          <t>565432</t>
        </is>
      </c>
      <c r="B2888" s="117" t="n">
        <v>16241</v>
      </c>
      <c r="C2888" s="117" t="inlineStr">
        <is>
          <t>United Kingdom</t>
        </is>
      </c>
      <c r="D2888" s="117" t="inlineStr">
        <is>
          <t>21042</t>
        </is>
      </c>
      <c r="E2888" s="117" t="inlineStr">
        <is>
          <t xml:space="preserve">RED RETROSPOT APRON </t>
        </is>
      </c>
      <c r="F2888" s="117" t="n">
        <v>1</v>
      </c>
      <c r="G2888" s="118" t="n">
        <v>5.95</v>
      </c>
      <c r="H2888" s="118" t="n">
        <v>5.95</v>
      </c>
      <c r="I2888" s="119" t="n">
        <v>40790</v>
      </c>
    </row>
    <row r="2889">
      <c r="A2889" s="114" t="inlineStr">
        <is>
          <t>565434</t>
        </is>
      </c>
      <c r="B2889" s="114" t="n">
        <v>12867</v>
      </c>
      <c r="C2889" s="114" t="inlineStr">
        <is>
          <t>United Kingdom</t>
        </is>
      </c>
      <c r="D2889" s="114" t="inlineStr">
        <is>
          <t>23280</t>
        </is>
      </c>
      <c r="E2889" s="114" t="inlineStr">
        <is>
          <t xml:space="preserve">FOLDING BUTTERFLY MIRROR HOT PINK </t>
        </is>
      </c>
      <c r="F2889" s="114" t="n">
        <v>5</v>
      </c>
      <c r="G2889" s="115" t="n">
        <v>0.83</v>
      </c>
      <c r="H2889" s="115" t="n">
        <v>4.15</v>
      </c>
      <c r="I2889" s="116" t="n">
        <v>40790</v>
      </c>
    </row>
    <row r="2890">
      <c r="A2890" s="117" t="inlineStr">
        <is>
          <t>565434</t>
        </is>
      </c>
      <c r="B2890" s="117" t="n">
        <v>12867</v>
      </c>
      <c r="C2890" s="117" t="inlineStr">
        <is>
          <t>United Kingdom</t>
        </is>
      </c>
      <c r="D2890" s="117" t="inlineStr">
        <is>
          <t>20724</t>
        </is>
      </c>
      <c r="E2890" s="117" t="inlineStr">
        <is>
          <t>RED RETROSPOT CHARLOTTE BAG</t>
        </is>
      </c>
      <c r="F2890" s="117" t="n">
        <v>5</v>
      </c>
      <c r="G2890" s="118" t="n">
        <v>0.85</v>
      </c>
      <c r="H2890" s="118" t="n">
        <v>4.25</v>
      </c>
      <c r="I2890" s="119" t="n">
        <v>40790</v>
      </c>
    </row>
    <row r="2891">
      <c r="A2891" s="114" t="inlineStr">
        <is>
          <t>565439</t>
        </is>
      </c>
      <c r="B2891" s="114" t="n">
        <v>14852</v>
      </c>
      <c r="C2891" s="114" t="inlineStr">
        <is>
          <t>United Kingdom</t>
        </is>
      </c>
      <c r="D2891" s="114" t="inlineStr">
        <is>
          <t>21756</t>
        </is>
      </c>
      <c r="E2891" s="114" t="inlineStr">
        <is>
          <t>BATH BUILDING BLOCK WORD</t>
        </is>
      </c>
      <c r="F2891" s="114" t="n">
        <v>3</v>
      </c>
      <c r="G2891" s="115" t="n">
        <v>6.25</v>
      </c>
      <c r="H2891" s="115" t="n">
        <v>18.75</v>
      </c>
      <c r="I2891" s="116" t="n">
        <v>40790</v>
      </c>
    </row>
    <row r="2892">
      <c r="A2892" s="117" t="inlineStr">
        <is>
          <t>565439</t>
        </is>
      </c>
      <c r="B2892" s="117" t="n">
        <v>14852</v>
      </c>
      <c r="C2892" s="117" t="inlineStr">
        <is>
          <t>United Kingdom</t>
        </is>
      </c>
      <c r="D2892" s="117" t="inlineStr">
        <is>
          <t>21390</t>
        </is>
      </c>
      <c r="E2892" s="117" t="inlineStr">
        <is>
          <t>FILIGRIS HEART WITH BUTTERFLY</t>
        </is>
      </c>
      <c r="F2892" s="117" t="n">
        <v>24</v>
      </c>
      <c r="G2892" s="118" t="n">
        <v>1.25</v>
      </c>
      <c r="H2892" s="118" t="n">
        <v>30</v>
      </c>
      <c r="I2892" s="119" t="n">
        <v>40790</v>
      </c>
    </row>
    <row r="2893">
      <c r="A2893" s="114" t="inlineStr">
        <is>
          <t>565442</t>
        </is>
      </c>
      <c r="B2893" s="114" t="n">
        <v>12627</v>
      </c>
      <c r="C2893" s="114" t="inlineStr">
        <is>
          <t>Germany</t>
        </is>
      </c>
      <c r="D2893" s="114" t="inlineStr">
        <is>
          <t>21579</t>
        </is>
      </c>
      <c r="E2893" s="114" t="inlineStr">
        <is>
          <t>LOLITA  DESIGN  COTTON TOTE BAG</t>
        </is>
      </c>
      <c r="F2893" s="114" t="n">
        <v>6</v>
      </c>
      <c r="G2893" s="115" t="n">
        <v>2.25</v>
      </c>
      <c r="H2893" s="115" t="n">
        <v>13.5</v>
      </c>
      <c r="I2893" s="116" t="n">
        <v>40790</v>
      </c>
    </row>
    <row r="2894">
      <c r="A2894" s="117" t="inlineStr">
        <is>
          <t>565442</t>
        </is>
      </c>
      <c r="B2894" s="117" t="n">
        <v>12627</v>
      </c>
      <c r="C2894" s="117" t="inlineStr">
        <is>
          <t>Germany</t>
        </is>
      </c>
      <c r="D2894" s="117" t="inlineStr">
        <is>
          <t>22452</t>
        </is>
      </c>
      <c r="E2894" s="117" t="inlineStr">
        <is>
          <t>MEASURING TAPE BABUSHKA PINK</t>
        </is>
      </c>
      <c r="F2894" s="117" t="n">
        <v>6</v>
      </c>
      <c r="G2894" s="118" t="n">
        <v>2.95</v>
      </c>
      <c r="H2894" s="118" t="n">
        <v>17.7</v>
      </c>
      <c r="I2894" s="119" t="n">
        <v>40790</v>
      </c>
    </row>
    <row r="2895">
      <c r="A2895" s="114" t="inlineStr">
        <is>
          <t>565442</t>
        </is>
      </c>
      <c r="B2895" s="114" t="n">
        <v>12627</v>
      </c>
      <c r="C2895" s="114" t="inlineStr">
        <is>
          <t>Germany</t>
        </is>
      </c>
      <c r="D2895" s="114" t="inlineStr">
        <is>
          <t>20726</t>
        </is>
      </c>
      <c r="E2895" s="114" t="inlineStr">
        <is>
          <t>LUNCH BAG WOODLAND</t>
        </is>
      </c>
      <c r="F2895" s="114" t="n">
        <v>30</v>
      </c>
      <c r="G2895" s="115" t="n">
        <v>1.65</v>
      </c>
      <c r="H2895" s="115" t="n">
        <v>49.5</v>
      </c>
      <c r="I2895" s="116" t="n">
        <v>40790</v>
      </c>
    </row>
    <row r="2896">
      <c r="A2896" s="117" t="inlineStr">
        <is>
          <t>565444</t>
        </is>
      </c>
      <c r="B2896" s="117" t="n">
        <v>17894</v>
      </c>
      <c r="C2896" s="117" t="inlineStr">
        <is>
          <t>United Kingdom</t>
        </is>
      </c>
      <c r="D2896" s="117" t="inlineStr">
        <is>
          <t>22606</t>
        </is>
      </c>
      <c r="E2896" s="117" t="inlineStr">
        <is>
          <t>WOODEN SKITTLES GARDEN SET</t>
        </is>
      </c>
      <c r="F2896" s="117" t="n">
        <v>1</v>
      </c>
      <c r="G2896" s="118" t="n">
        <v>15.95</v>
      </c>
      <c r="H2896" s="118" t="n">
        <v>15.95</v>
      </c>
      <c r="I2896" s="119" t="n">
        <v>40790</v>
      </c>
    </row>
    <row r="2897">
      <c r="A2897" s="114" t="inlineStr">
        <is>
          <t>565445</t>
        </is>
      </c>
      <c r="B2897" s="114" t="n">
        <v>13548</v>
      </c>
      <c r="C2897" s="114" t="inlineStr">
        <is>
          <t>United Kingdom</t>
        </is>
      </c>
      <c r="D2897" s="114" t="inlineStr">
        <is>
          <t>90010A</t>
        </is>
      </c>
      <c r="E2897" s="114" t="inlineStr">
        <is>
          <t>MIDNIGHT BLUE GLASS/SILVER BRACELET</t>
        </is>
      </c>
      <c r="F2897" s="114" t="n">
        <v>1</v>
      </c>
      <c r="G2897" s="115" t="n">
        <v>8.949999999999999</v>
      </c>
      <c r="H2897" s="115" t="n">
        <v>8.949999999999999</v>
      </c>
      <c r="I2897" s="116" t="n">
        <v>40790</v>
      </c>
    </row>
    <row r="2898">
      <c r="A2898" s="117" t="inlineStr">
        <is>
          <t>565446</t>
        </is>
      </c>
      <c r="B2898" s="117" t="n">
        <v>16057</v>
      </c>
      <c r="C2898" s="117" t="inlineStr">
        <is>
          <t>United Kingdom</t>
        </is>
      </c>
      <c r="D2898" s="117" t="inlineStr">
        <is>
          <t>22950</t>
        </is>
      </c>
      <c r="E2898" s="117" t="inlineStr">
        <is>
          <t>36 DOILIES VINTAGE CHRISTMAS</t>
        </is>
      </c>
      <c r="F2898" s="117" t="n">
        <v>12</v>
      </c>
      <c r="G2898" s="118" t="n">
        <v>1.45</v>
      </c>
      <c r="H2898" s="118" t="n">
        <v>17.4</v>
      </c>
      <c r="I2898" s="119" t="n">
        <v>40790</v>
      </c>
    </row>
    <row r="2899">
      <c r="A2899" s="114" t="inlineStr">
        <is>
          <t>565450</t>
        </is>
      </c>
      <c r="B2899" s="114" t="n">
        <v>17722</v>
      </c>
      <c r="C2899" s="114" t="inlineStr">
        <is>
          <t>United Kingdom</t>
        </is>
      </c>
      <c r="D2899" s="114" t="inlineStr">
        <is>
          <t>23254</t>
        </is>
      </c>
      <c r="E2899" s="114" t="inlineStr">
        <is>
          <t xml:space="preserve">CHILDRENS CUTLERY DOLLY GIRL </t>
        </is>
      </c>
      <c r="F2899" s="114" t="n">
        <v>4</v>
      </c>
      <c r="G2899" s="115" t="n">
        <v>4.15</v>
      </c>
      <c r="H2899" s="115" t="n">
        <v>16.6</v>
      </c>
      <c r="I2899" s="116" t="n">
        <v>40790</v>
      </c>
    </row>
    <row r="2900">
      <c r="A2900" s="117" t="inlineStr">
        <is>
          <t>565451</t>
        </is>
      </c>
      <c r="B2900" s="117" t="n">
        <v>15365</v>
      </c>
      <c r="C2900" s="117" t="inlineStr">
        <is>
          <t>United Kingdom</t>
        </is>
      </c>
      <c r="D2900" s="117" t="inlineStr">
        <is>
          <t>84879</t>
        </is>
      </c>
      <c r="E2900" s="117" t="inlineStr">
        <is>
          <t>ASSORTED COLOUR BIRD ORNAMENT</t>
        </is>
      </c>
      <c r="F2900" s="117" t="n">
        <v>16</v>
      </c>
      <c r="G2900" s="118" t="n">
        <v>1.69</v>
      </c>
      <c r="H2900" s="118" t="n">
        <v>27.04</v>
      </c>
      <c r="I2900" s="119" t="n">
        <v>40790</v>
      </c>
    </row>
    <row r="2901">
      <c r="A2901" s="114" t="inlineStr">
        <is>
          <t>565453</t>
        </is>
      </c>
      <c r="B2901" s="114" t="n">
        <v>15136</v>
      </c>
      <c r="C2901" s="114" t="inlineStr">
        <is>
          <t>United Kingdom</t>
        </is>
      </c>
      <c r="D2901" s="114" t="inlineStr">
        <is>
          <t>23344</t>
        </is>
      </c>
      <c r="E2901" s="114" t="inlineStr">
        <is>
          <t xml:space="preserve">JUMBO BAG 50'S CHRISTMAS </t>
        </is>
      </c>
      <c r="F2901" s="114" t="n">
        <v>10</v>
      </c>
      <c r="G2901" s="115" t="n">
        <v>2.08</v>
      </c>
      <c r="H2901" s="115" t="n">
        <v>20.8</v>
      </c>
      <c r="I2901" s="116" t="n">
        <v>40790</v>
      </c>
    </row>
    <row r="2902">
      <c r="A2902" s="117" t="inlineStr">
        <is>
          <t>565453</t>
        </is>
      </c>
      <c r="B2902" s="117" t="n">
        <v>15136</v>
      </c>
      <c r="C2902" s="117" t="inlineStr">
        <is>
          <t>United Kingdom</t>
        </is>
      </c>
      <c r="D2902" s="117" t="inlineStr">
        <is>
          <t>23300</t>
        </is>
      </c>
      <c r="E2902" s="117" t="inlineStr">
        <is>
          <t xml:space="preserve">GARDENERS KNEELING PAD CUP OF TEA </t>
        </is>
      </c>
      <c r="F2902" s="117" t="n">
        <v>12</v>
      </c>
      <c r="G2902" s="118" t="n">
        <v>1.65</v>
      </c>
      <c r="H2902" s="118" t="n">
        <v>19.8</v>
      </c>
      <c r="I2902" s="119" t="n">
        <v>40790</v>
      </c>
    </row>
    <row r="2903">
      <c r="A2903" s="114" t="inlineStr">
        <is>
          <t>565454</t>
        </is>
      </c>
      <c r="B2903" s="114" t="n">
        <v>17410</v>
      </c>
      <c r="C2903" s="114" t="inlineStr">
        <is>
          <t>United Kingdom</t>
        </is>
      </c>
      <c r="D2903" s="114" t="inlineStr">
        <is>
          <t>21889</t>
        </is>
      </c>
      <c r="E2903" s="114" t="inlineStr">
        <is>
          <t>WOODEN BOX OF DOMINOES</t>
        </is>
      </c>
      <c r="F2903" s="114" t="n">
        <v>12</v>
      </c>
      <c r="G2903" s="115" t="n">
        <v>1.25</v>
      </c>
      <c r="H2903" s="115" t="n">
        <v>15</v>
      </c>
      <c r="I2903" s="116" t="n">
        <v>40790</v>
      </c>
    </row>
    <row r="2904">
      <c r="A2904" s="117" t="inlineStr">
        <is>
          <t>565460</t>
        </is>
      </c>
      <c r="B2904" s="117" t="n">
        <v>16843</v>
      </c>
      <c r="C2904" s="117" t="inlineStr">
        <is>
          <t>United Kingdom</t>
        </is>
      </c>
      <c r="D2904" s="117" t="inlineStr">
        <is>
          <t>21982</t>
        </is>
      </c>
      <c r="E2904" s="117" t="inlineStr">
        <is>
          <t xml:space="preserve">PACK OF 12 SUKI TISSUES </t>
        </is>
      </c>
      <c r="F2904" s="117" t="n">
        <v>48</v>
      </c>
      <c r="G2904" s="118" t="n">
        <v>0.29</v>
      </c>
      <c r="H2904" s="118" t="n">
        <v>13.92</v>
      </c>
      <c r="I2904" s="119" t="n">
        <v>40791</v>
      </c>
    </row>
    <row r="2905">
      <c r="A2905" s="114" t="inlineStr">
        <is>
          <t>565461</t>
        </is>
      </c>
      <c r="B2905" s="114" t="n">
        <v>18261</v>
      </c>
      <c r="C2905" s="114" t="inlineStr">
        <is>
          <t>United Kingdom</t>
        </is>
      </c>
      <c r="D2905" s="114" t="inlineStr">
        <is>
          <t>22488</t>
        </is>
      </c>
      <c r="E2905" s="114" t="inlineStr">
        <is>
          <t>NATURAL SLATE RECTANGLE CHALKBOARD</t>
        </is>
      </c>
      <c r="F2905" s="114" t="n">
        <v>12</v>
      </c>
      <c r="G2905" s="115" t="n">
        <v>1.65</v>
      </c>
      <c r="H2905" s="115" t="n">
        <v>19.8</v>
      </c>
      <c r="I2905" s="116" t="n">
        <v>40791</v>
      </c>
    </row>
    <row r="2906">
      <c r="A2906" s="117" t="inlineStr">
        <is>
          <t>565465</t>
        </is>
      </c>
      <c r="B2906" s="117" t="n">
        <v>15364</v>
      </c>
      <c r="C2906" s="117" t="inlineStr">
        <is>
          <t>United Kingdom</t>
        </is>
      </c>
      <c r="D2906" s="117" t="inlineStr">
        <is>
          <t>22950</t>
        </is>
      </c>
      <c r="E2906" s="117" t="inlineStr">
        <is>
          <t>36 DOILIES VINTAGE CHRISTMAS</t>
        </is>
      </c>
      <c r="F2906" s="117" t="n">
        <v>12</v>
      </c>
      <c r="G2906" s="118" t="n">
        <v>1.45</v>
      </c>
      <c r="H2906" s="118" t="n">
        <v>17.4</v>
      </c>
      <c r="I2906" s="119" t="n">
        <v>40791</v>
      </c>
    </row>
    <row r="2907">
      <c r="A2907" s="114" t="inlineStr">
        <is>
          <t>565472</t>
        </is>
      </c>
      <c r="B2907" s="114" t="n">
        <v>16255</v>
      </c>
      <c r="C2907" s="114" t="inlineStr">
        <is>
          <t>United Kingdom</t>
        </is>
      </c>
      <c r="D2907" s="114" t="inlineStr">
        <is>
          <t>23404</t>
        </is>
      </c>
      <c r="E2907" s="114" t="inlineStr">
        <is>
          <t>HOME SWEET HOME BLACKBOARD</t>
        </is>
      </c>
      <c r="F2907" s="114" t="n">
        <v>2</v>
      </c>
      <c r="G2907" s="115" t="n">
        <v>4.95</v>
      </c>
      <c r="H2907" s="115" t="n">
        <v>9.9</v>
      </c>
      <c r="I2907" s="116" t="n">
        <v>40791</v>
      </c>
    </row>
    <row r="2908">
      <c r="A2908" s="117" t="inlineStr">
        <is>
          <t>565472</t>
        </is>
      </c>
      <c r="B2908" s="117" t="n">
        <v>16255</v>
      </c>
      <c r="C2908" s="117" t="inlineStr">
        <is>
          <t>United Kingdom</t>
        </is>
      </c>
      <c r="D2908" s="117" t="inlineStr">
        <is>
          <t>23307</t>
        </is>
      </c>
      <c r="E2908" s="117" t="inlineStr">
        <is>
          <t xml:space="preserve">SET OF 60 PANTRY DESIGN CAKE CASES </t>
        </is>
      </c>
      <c r="F2908" s="117" t="n">
        <v>12</v>
      </c>
      <c r="G2908" s="118" t="n">
        <v>0.55</v>
      </c>
      <c r="H2908" s="118" t="n">
        <v>6.6</v>
      </c>
      <c r="I2908" s="119" t="n">
        <v>40791</v>
      </c>
    </row>
    <row r="2909">
      <c r="A2909" s="114" t="inlineStr">
        <is>
          <t>565519</t>
        </is>
      </c>
      <c r="B2909" s="114" t="n">
        <v>12502</v>
      </c>
      <c r="C2909" s="114" t="inlineStr">
        <is>
          <t>Spain</t>
        </is>
      </c>
      <c r="D2909" s="114" t="inlineStr">
        <is>
          <t>48188</t>
        </is>
      </c>
      <c r="E2909" s="114" t="inlineStr">
        <is>
          <t>DOORMAT WELCOME PUPPIES</t>
        </is>
      </c>
      <c r="F2909" s="114" t="n">
        <v>2</v>
      </c>
      <c r="G2909" s="115" t="n">
        <v>8.25</v>
      </c>
      <c r="H2909" s="115" t="n">
        <v>16.5</v>
      </c>
      <c r="I2909" s="116" t="n">
        <v>40791</v>
      </c>
    </row>
    <row r="2910">
      <c r="A2910" s="117" t="inlineStr">
        <is>
          <t>565541</t>
        </is>
      </c>
      <c r="B2910" s="117" t="n">
        <v>14159</v>
      </c>
      <c r="C2910" s="117" t="inlineStr">
        <is>
          <t>United Kingdom</t>
        </is>
      </c>
      <c r="D2910" s="117" t="inlineStr">
        <is>
          <t>21212</t>
        </is>
      </c>
      <c r="E2910" s="117" t="inlineStr">
        <is>
          <t>PACK OF 72 RETROSPOT CAKE CASES</t>
        </is>
      </c>
      <c r="F2910" s="117" t="n">
        <v>2</v>
      </c>
      <c r="G2910" s="118" t="n">
        <v>0.55</v>
      </c>
      <c r="H2910" s="118" t="n">
        <v>1.1</v>
      </c>
      <c r="I2910" s="119" t="n">
        <v>40791</v>
      </c>
    </row>
    <row r="2911">
      <c r="A2911" s="114" t="inlineStr">
        <is>
          <t>565542</t>
        </is>
      </c>
      <c r="B2911" s="114" t="n">
        <v>16820</v>
      </c>
      <c r="C2911" s="114" t="inlineStr">
        <is>
          <t>United Kingdom</t>
        </is>
      </c>
      <c r="D2911" s="114" t="inlineStr">
        <is>
          <t>22847</t>
        </is>
      </c>
      <c r="E2911" s="114" t="inlineStr">
        <is>
          <t>BREAD BIN DINER STYLE IVORY</t>
        </is>
      </c>
      <c r="F2911" s="114" t="n">
        <v>1</v>
      </c>
      <c r="G2911" s="115" t="n">
        <v>16.95</v>
      </c>
      <c r="H2911" s="115" t="n">
        <v>16.95</v>
      </c>
      <c r="I2911" s="116" t="n">
        <v>40791</v>
      </c>
    </row>
    <row r="2912">
      <c r="A2912" s="117" t="inlineStr">
        <is>
          <t>565595</t>
        </is>
      </c>
      <c r="B2912" s="117" t="n">
        <v>13192</v>
      </c>
      <c r="C2912" s="117" t="inlineStr">
        <is>
          <t>United Kingdom</t>
        </is>
      </c>
      <c r="D2912" s="117" t="inlineStr">
        <is>
          <t>22582</t>
        </is>
      </c>
      <c r="E2912" s="117" t="inlineStr">
        <is>
          <t>PACK OF 6 SWEETIE GIFT BOXES</t>
        </is>
      </c>
      <c r="F2912" s="117" t="n">
        <v>6</v>
      </c>
      <c r="G2912" s="118" t="n">
        <v>2.55</v>
      </c>
      <c r="H2912" s="118" t="n">
        <v>15.3</v>
      </c>
      <c r="I2912" s="119" t="n">
        <v>40791</v>
      </c>
    </row>
    <row r="2913">
      <c r="A2913" s="114" t="inlineStr">
        <is>
          <t>565595</t>
        </is>
      </c>
      <c r="B2913" s="114" t="n">
        <v>13192</v>
      </c>
      <c r="C2913" s="114" t="inlineStr">
        <is>
          <t>United Kingdom</t>
        </is>
      </c>
      <c r="D2913" s="114" t="inlineStr">
        <is>
          <t>47590A</t>
        </is>
      </c>
      <c r="E2913" s="114" t="inlineStr">
        <is>
          <t>BLUE HAPPY BIRTHDAY BUNTING</t>
        </is>
      </c>
      <c r="F2913" s="114" t="n">
        <v>3</v>
      </c>
      <c r="G2913" s="115" t="n">
        <v>5.45</v>
      </c>
      <c r="H2913" s="115" t="n">
        <v>16.35</v>
      </c>
      <c r="I2913" s="116" t="n">
        <v>40791</v>
      </c>
    </row>
    <row r="2914">
      <c r="A2914" s="117" t="inlineStr">
        <is>
          <t>565618</t>
        </is>
      </c>
      <c r="B2914" s="117" t="n">
        <v>15974</v>
      </c>
      <c r="C2914" s="117" t="inlineStr">
        <is>
          <t>United Kingdom</t>
        </is>
      </c>
      <c r="D2914" s="117" t="inlineStr">
        <is>
          <t>22412</t>
        </is>
      </c>
      <c r="E2914" s="117" t="inlineStr">
        <is>
          <t xml:space="preserve">METAL SIGN NEIGHBOURHOOD WITCH </t>
        </is>
      </c>
      <c r="F2914" s="117" t="n">
        <v>12</v>
      </c>
      <c r="G2914" s="118" t="n">
        <v>2.1</v>
      </c>
      <c r="H2914" s="118" t="n">
        <v>25.2</v>
      </c>
      <c r="I2914" s="119" t="n">
        <v>40791</v>
      </c>
    </row>
    <row r="2915">
      <c r="A2915" s="114" t="inlineStr">
        <is>
          <t>565631</t>
        </is>
      </c>
      <c r="B2915" s="114" t="n">
        <v>14680</v>
      </c>
      <c r="C2915" s="114" t="inlineStr">
        <is>
          <t>United Kingdom</t>
        </is>
      </c>
      <c r="D2915" s="114" t="inlineStr">
        <is>
          <t>20727</t>
        </is>
      </c>
      <c r="E2915" s="114" t="inlineStr">
        <is>
          <t>LUNCH BAG  BLACK SKULL.</t>
        </is>
      </c>
      <c r="F2915" s="114" t="n">
        <v>30</v>
      </c>
      <c r="G2915" s="115" t="n">
        <v>1.65</v>
      </c>
      <c r="H2915" s="115" t="n">
        <v>49.5</v>
      </c>
      <c r="I2915" s="116" t="n">
        <v>40791</v>
      </c>
    </row>
    <row r="2916">
      <c r="A2916" s="117" t="inlineStr">
        <is>
          <t>565648</t>
        </is>
      </c>
      <c r="B2916" s="117" t="n">
        <v>18196</v>
      </c>
      <c r="C2916" s="117" t="inlineStr">
        <is>
          <t>United Kingdom</t>
        </is>
      </c>
      <c r="D2916" s="117" t="inlineStr">
        <is>
          <t>21172</t>
        </is>
      </c>
      <c r="E2916" s="117" t="inlineStr">
        <is>
          <t xml:space="preserve">PARTY METAL SIGN </t>
        </is>
      </c>
      <c r="F2916" s="117" t="n">
        <v>1</v>
      </c>
      <c r="G2916" s="118" t="n">
        <v>1.45</v>
      </c>
      <c r="H2916" s="118" t="n">
        <v>1.45</v>
      </c>
      <c r="I2916" s="119" t="n">
        <v>40791</v>
      </c>
    </row>
    <row r="2917">
      <c r="A2917" s="114" t="inlineStr">
        <is>
          <t>565665</t>
        </is>
      </c>
      <c r="B2917" s="114" t="n">
        <v>15856</v>
      </c>
      <c r="C2917" s="114" t="inlineStr">
        <is>
          <t>United Kingdom</t>
        </is>
      </c>
      <c r="D2917" s="114" t="inlineStr">
        <is>
          <t>22647</t>
        </is>
      </c>
      <c r="E2917" s="114" t="inlineStr">
        <is>
          <t>CERAMIC LOVE HEART MONEY BANK</t>
        </is>
      </c>
      <c r="F2917" s="114" t="n">
        <v>6</v>
      </c>
      <c r="G2917" s="115" t="n">
        <v>1.45</v>
      </c>
      <c r="H2917" s="115" t="n">
        <v>8.699999999999999</v>
      </c>
      <c r="I2917" s="116" t="n">
        <v>40791</v>
      </c>
    </row>
    <row r="2918">
      <c r="A2918" s="117" t="inlineStr">
        <is>
          <t>565675</t>
        </is>
      </c>
      <c r="B2918" s="117" t="n">
        <v>15513</v>
      </c>
      <c r="C2918" s="117" t="inlineStr">
        <is>
          <t>United Kingdom</t>
        </is>
      </c>
      <c r="D2918" s="117" t="inlineStr">
        <is>
          <t>22665</t>
        </is>
      </c>
      <c r="E2918" s="117" t="inlineStr">
        <is>
          <t>RECIPE BOX BLUE SKETCHBOOK DESIGN</t>
        </is>
      </c>
      <c r="F2918" s="117" t="n">
        <v>6</v>
      </c>
      <c r="G2918" s="118" t="n">
        <v>2.95</v>
      </c>
      <c r="H2918" s="118" t="n">
        <v>17.7</v>
      </c>
      <c r="I2918" s="119" t="n">
        <v>40792</v>
      </c>
    </row>
    <row r="2919">
      <c r="A2919" s="114" t="inlineStr">
        <is>
          <t>565682</t>
        </is>
      </c>
      <c r="B2919" s="114" t="n">
        <v>14796</v>
      </c>
      <c r="C2919" s="114" t="inlineStr">
        <is>
          <t>United Kingdom</t>
        </is>
      </c>
      <c r="D2919" s="114" t="inlineStr">
        <is>
          <t>23240</t>
        </is>
      </c>
      <c r="E2919" s="114" t="inlineStr">
        <is>
          <t xml:space="preserve">SET OF 4 KNICK KNACK TINS DOILY </t>
        </is>
      </c>
      <c r="F2919" s="114" t="n">
        <v>1</v>
      </c>
      <c r="G2919" s="115" t="n">
        <v>4.15</v>
      </c>
      <c r="H2919" s="115" t="n">
        <v>4.15</v>
      </c>
      <c r="I2919" s="116" t="n">
        <v>40792</v>
      </c>
    </row>
    <row r="2920">
      <c r="A2920" s="117" t="inlineStr">
        <is>
          <t>565684</t>
        </is>
      </c>
      <c r="B2920" s="117" t="n">
        <v>16455</v>
      </c>
      <c r="C2920" s="117" t="inlineStr">
        <is>
          <t>United Kingdom</t>
        </is>
      </c>
      <c r="D2920" s="117" t="inlineStr">
        <is>
          <t>22773</t>
        </is>
      </c>
      <c r="E2920" s="117" t="inlineStr">
        <is>
          <t>GREEN DRAWER KNOB ACRYLIC EDWARDIAN</t>
        </is>
      </c>
      <c r="F2920" s="117" t="n">
        <v>12</v>
      </c>
      <c r="G2920" s="118" t="n">
        <v>1.25</v>
      </c>
      <c r="H2920" s="118" t="n">
        <v>15</v>
      </c>
      <c r="I2920" s="119" t="n">
        <v>40792</v>
      </c>
    </row>
    <row r="2921">
      <c r="A2921" s="114" t="inlineStr">
        <is>
          <t>565723</t>
        </is>
      </c>
      <c r="B2921" s="114" t="n">
        <v>14408</v>
      </c>
      <c r="C2921" s="114" t="inlineStr">
        <is>
          <t>United Kingdom</t>
        </is>
      </c>
      <c r="D2921" s="114" t="inlineStr">
        <is>
          <t>82582</t>
        </is>
      </c>
      <c r="E2921" s="114" t="inlineStr">
        <is>
          <t>AREA PATROLLED METAL SIGN</t>
        </is>
      </c>
      <c r="F2921" s="114" t="n">
        <v>24</v>
      </c>
      <c r="G2921" s="115" t="n">
        <v>2.1</v>
      </c>
      <c r="H2921" s="115" t="n">
        <v>50.4</v>
      </c>
      <c r="I2921" s="116" t="n">
        <v>40792</v>
      </c>
    </row>
    <row r="2922">
      <c r="A2922" s="117" t="inlineStr">
        <is>
          <t>565725</t>
        </is>
      </c>
      <c r="B2922" s="117" t="n">
        <v>13949</v>
      </c>
      <c r="C2922" s="117" t="inlineStr">
        <is>
          <t>United Kingdom</t>
        </is>
      </c>
      <c r="D2922" s="117" t="inlineStr">
        <is>
          <t>22593</t>
        </is>
      </c>
      <c r="E2922" s="117" t="inlineStr">
        <is>
          <t>CHRISTMAS GINGHAM STAR</t>
        </is>
      </c>
      <c r="F2922" s="117" t="n">
        <v>12</v>
      </c>
      <c r="G2922" s="118" t="n">
        <v>0.85</v>
      </c>
      <c r="H2922" s="118" t="n">
        <v>10.2</v>
      </c>
      <c r="I2922" s="119" t="n">
        <v>40792</v>
      </c>
    </row>
    <row r="2923">
      <c r="A2923" s="114" t="inlineStr">
        <is>
          <t>565725</t>
        </is>
      </c>
      <c r="B2923" s="114" t="n">
        <v>13949</v>
      </c>
      <c r="C2923" s="114" t="inlineStr">
        <is>
          <t>United Kingdom</t>
        </is>
      </c>
      <c r="D2923" s="114" t="inlineStr">
        <is>
          <t>21136</t>
        </is>
      </c>
      <c r="E2923" s="114" t="inlineStr">
        <is>
          <t>PAINTED METAL PEARS ASSORTED</t>
        </is>
      </c>
      <c r="F2923" s="114" t="n">
        <v>8</v>
      </c>
      <c r="G2923" s="115" t="n">
        <v>1.69</v>
      </c>
      <c r="H2923" s="115" t="n">
        <v>13.52</v>
      </c>
      <c r="I2923" s="116" t="n">
        <v>40792</v>
      </c>
    </row>
    <row r="2924">
      <c r="A2924" s="117" t="inlineStr">
        <is>
          <t>565730</t>
        </is>
      </c>
      <c r="B2924" s="117" t="n">
        <v>14715</v>
      </c>
      <c r="C2924" s="117" t="inlineStr">
        <is>
          <t>United Kingdom</t>
        </is>
      </c>
      <c r="D2924" s="117" t="inlineStr">
        <is>
          <t>71053</t>
        </is>
      </c>
      <c r="E2924" s="117" t="inlineStr">
        <is>
          <t>WHITE METAL LANTERN</t>
        </is>
      </c>
      <c r="F2924" s="117" t="n">
        <v>6</v>
      </c>
      <c r="G2924" s="118" t="n">
        <v>3.75</v>
      </c>
      <c r="H2924" s="118" t="n">
        <v>22.5</v>
      </c>
      <c r="I2924" s="119" t="n">
        <v>40792</v>
      </c>
    </row>
    <row r="2925">
      <c r="A2925" s="114" t="inlineStr">
        <is>
          <t>565734</t>
        </is>
      </c>
      <c r="B2925" s="114" t="n">
        <v>17191</v>
      </c>
      <c r="C2925" s="114" t="inlineStr">
        <is>
          <t>United Kingdom</t>
        </is>
      </c>
      <c r="D2925" s="114" t="inlineStr">
        <is>
          <t>23394</t>
        </is>
      </c>
      <c r="E2925" s="114" t="inlineStr">
        <is>
          <t>POSTE FRANCE CUSHION COVER</t>
        </is>
      </c>
      <c r="F2925" s="114" t="n">
        <v>3</v>
      </c>
      <c r="G2925" s="115" t="n">
        <v>3.75</v>
      </c>
      <c r="H2925" s="115" t="n">
        <v>11.25</v>
      </c>
      <c r="I2925" s="116" t="n">
        <v>40792</v>
      </c>
    </row>
    <row r="2926">
      <c r="A2926" s="117" t="inlineStr">
        <is>
          <t>565737</t>
        </is>
      </c>
      <c r="B2926" s="117" t="n">
        <v>16400</v>
      </c>
      <c r="C2926" s="117" t="inlineStr">
        <is>
          <t>United Kingdom</t>
        </is>
      </c>
      <c r="D2926" s="117" t="inlineStr">
        <is>
          <t>22632</t>
        </is>
      </c>
      <c r="E2926" s="117" t="inlineStr">
        <is>
          <t>HAND WARMER RED RETROSPOT</t>
        </is>
      </c>
      <c r="F2926" s="117" t="n">
        <v>2</v>
      </c>
      <c r="G2926" s="118" t="n">
        <v>2.1</v>
      </c>
      <c r="H2926" s="118" t="n">
        <v>4.2</v>
      </c>
      <c r="I2926" s="119" t="n">
        <v>40792</v>
      </c>
    </row>
    <row r="2927">
      <c r="A2927" s="114" t="inlineStr">
        <is>
          <t>565766</t>
        </is>
      </c>
      <c r="B2927" s="114" t="n">
        <v>17841</v>
      </c>
      <c r="C2927" s="114" t="inlineStr">
        <is>
          <t>United Kingdom</t>
        </is>
      </c>
      <c r="D2927" s="114" t="inlineStr">
        <is>
          <t>23243</t>
        </is>
      </c>
      <c r="E2927" s="114" t="inlineStr">
        <is>
          <t>SET OF TEA COFFEE SUGAR TINS PANTRY</t>
        </is>
      </c>
      <c r="F2927" s="114" t="n">
        <v>1</v>
      </c>
      <c r="G2927" s="115" t="n">
        <v>4.95</v>
      </c>
      <c r="H2927" s="115" t="n">
        <v>4.95</v>
      </c>
      <c r="I2927" s="116" t="n">
        <v>40792</v>
      </c>
    </row>
    <row r="2928">
      <c r="A2928" s="117" t="inlineStr">
        <is>
          <t>565800</t>
        </is>
      </c>
      <c r="B2928" s="117" t="n">
        <v>14911</v>
      </c>
      <c r="C2928" s="117" t="inlineStr">
        <is>
          <t>EIRE</t>
        </is>
      </c>
      <c r="D2928" s="117" t="inlineStr">
        <is>
          <t>22554</t>
        </is>
      </c>
      <c r="E2928" s="117" t="inlineStr">
        <is>
          <t>PLASTERS IN TIN WOODLAND ANIMALS</t>
        </is>
      </c>
      <c r="F2928" s="117" t="n">
        <v>24</v>
      </c>
      <c r="G2928" s="118" t="n">
        <v>1.65</v>
      </c>
      <c r="H2928" s="118" t="n">
        <v>39.6</v>
      </c>
      <c r="I2928" s="119" t="n">
        <v>40793</v>
      </c>
    </row>
    <row r="2929">
      <c r="A2929" s="114" t="inlineStr">
        <is>
          <t>565807</t>
        </is>
      </c>
      <c r="B2929" s="114" t="n">
        <v>14334</v>
      </c>
      <c r="C2929" s="114" t="inlineStr">
        <is>
          <t>United Kingdom</t>
        </is>
      </c>
      <c r="D2929" s="114" t="inlineStr">
        <is>
          <t>22896</t>
        </is>
      </c>
      <c r="E2929" s="114" t="inlineStr">
        <is>
          <t>PEG BAG APPLES DESIGN</t>
        </is>
      </c>
      <c r="F2929" s="114" t="n">
        <v>6</v>
      </c>
      <c r="G2929" s="115" t="n">
        <v>2.55</v>
      </c>
      <c r="H2929" s="115" t="n">
        <v>15.3</v>
      </c>
      <c r="I2929" s="116" t="n">
        <v>40793</v>
      </c>
    </row>
    <row r="2930">
      <c r="A2930" s="117" t="inlineStr">
        <is>
          <t>565836</t>
        </is>
      </c>
      <c r="B2930" s="117" t="n">
        <v>17511</v>
      </c>
      <c r="C2930" s="117" t="inlineStr">
        <is>
          <t>United Kingdom</t>
        </is>
      </c>
      <c r="D2930" s="117" t="inlineStr">
        <is>
          <t>22759</t>
        </is>
      </c>
      <c r="E2930" s="117" t="inlineStr">
        <is>
          <t>SET OF 3 NOTEBOOKS IN PARCEL</t>
        </is>
      </c>
      <c r="F2930" s="117" t="n">
        <v>96</v>
      </c>
      <c r="G2930" s="118" t="n">
        <v>1.45</v>
      </c>
      <c r="H2930" s="118" t="n">
        <v>139.2</v>
      </c>
      <c r="I2930" s="119" t="n">
        <v>40793</v>
      </c>
    </row>
    <row r="2931">
      <c r="A2931" s="114" t="inlineStr">
        <is>
          <t>565845</t>
        </is>
      </c>
      <c r="B2931" s="114" t="n">
        <v>14709</v>
      </c>
      <c r="C2931" s="114" t="inlineStr">
        <is>
          <t>United Kingdom</t>
        </is>
      </c>
      <c r="D2931" s="114" t="inlineStr">
        <is>
          <t>22386</t>
        </is>
      </c>
      <c r="E2931" s="114" t="inlineStr">
        <is>
          <t>JUMBO BAG PINK POLKADOT</t>
        </is>
      </c>
      <c r="F2931" s="114" t="n">
        <v>20</v>
      </c>
      <c r="G2931" s="115" t="n">
        <v>2.08</v>
      </c>
      <c r="H2931" s="115" t="n">
        <v>41.6</v>
      </c>
      <c r="I2931" s="116" t="n">
        <v>40793</v>
      </c>
    </row>
    <row r="2932">
      <c r="A2932" s="117" t="inlineStr">
        <is>
          <t>565850</t>
        </is>
      </c>
      <c r="B2932" s="117" t="n">
        <v>14530</v>
      </c>
      <c r="C2932" s="117" t="inlineStr">
        <is>
          <t>United Kingdom</t>
        </is>
      </c>
      <c r="D2932" s="117" t="inlineStr">
        <is>
          <t>23133</t>
        </is>
      </c>
      <c r="E2932" s="117" t="inlineStr">
        <is>
          <t>LARGE IVORY HEART WALL ORGANISER</t>
        </is>
      </c>
      <c r="F2932" s="117" t="n">
        <v>1</v>
      </c>
      <c r="G2932" s="118" t="n">
        <v>8.25</v>
      </c>
      <c r="H2932" s="118" t="n">
        <v>8.25</v>
      </c>
      <c r="I2932" s="119" t="n">
        <v>40793</v>
      </c>
    </row>
    <row r="2933">
      <c r="A2933" s="114" t="inlineStr">
        <is>
          <t>565850</t>
        </is>
      </c>
      <c r="B2933" s="114" t="n">
        <v>14530</v>
      </c>
      <c r="C2933" s="114" t="inlineStr">
        <is>
          <t>United Kingdom</t>
        </is>
      </c>
      <c r="D2933" s="114" t="inlineStr">
        <is>
          <t>23400</t>
        </is>
      </c>
      <c r="E2933" s="114" t="inlineStr">
        <is>
          <t>SHELF WITH 4 HOOKS HOME SWEET HOME</t>
        </is>
      </c>
      <c r="F2933" s="114" t="n">
        <v>2</v>
      </c>
      <c r="G2933" s="115" t="n">
        <v>6.25</v>
      </c>
      <c r="H2933" s="115" t="n">
        <v>12.5</v>
      </c>
      <c r="I2933" s="116" t="n">
        <v>40793</v>
      </c>
    </row>
    <row r="2934">
      <c r="A2934" s="117" t="inlineStr">
        <is>
          <t>565851</t>
        </is>
      </c>
      <c r="B2934" s="117" t="n">
        <v>14911</v>
      </c>
      <c r="C2934" s="117" t="inlineStr">
        <is>
          <t>EIRE</t>
        </is>
      </c>
      <c r="D2934" s="117" t="inlineStr">
        <is>
          <t>23374</t>
        </is>
      </c>
      <c r="E2934" s="117" t="inlineStr">
        <is>
          <t>RED SPOT PAPER GIFT BAG</t>
        </is>
      </c>
      <c r="F2934" s="117" t="n">
        <v>10</v>
      </c>
      <c r="G2934" s="118" t="n">
        <v>0.82</v>
      </c>
      <c r="H2934" s="118" t="n">
        <v>8.199999999999999</v>
      </c>
      <c r="I2934" s="119" t="n">
        <v>40793</v>
      </c>
    </row>
    <row r="2935">
      <c r="A2935" s="114" t="inlineStr">
        <is>
          <t>565915</t>
        </is>
      </c>
      <c r="B2935" s="114" t="n">
        <v>15752</v>
      </c>
      <c r="C2935" s="114" t="inlineStr">
        <is>
          <t>United Kingdom</t>
        </is>
      </c>
      <c r="D2935" s="114" t="inlineStr">
        <is>
          <t>84792</t>
        </is>
      </c>
      <c r="E2935" s="114" t="inlineStr">
        <is>
          <t>ENCHANTED BIRD COATHANGER 5 HOOK</t>
        </is>
      </c>
      <c r="F2935" s="114" t="n">
        <v>2</v>
      </c>
      <c r="G2935" s="115" t="n">
        <v>4.65</v>
      </c>
      <c r="H2935" s="115" t="n">
        <v>9.300000000000001</v>
      </c>
      <c r="I2935" s="116" t="n">
        <v>40793</v>
      </c>
    </row>
    <row r="2936">
      <c r="A2936" s="117" t="inlineStr">
        <is>
          <t>565926</t>
        </is>
      </c>
      <c r="B2936" s="117" t="n">
        <v>13305</v>
      </c>
      <c r="C2936" s="117" t="inlineStr">
        <is>
          <t>United Kingdom</t>
        </is>
      </c>
      <c r="D2936" s="117" t="inlineStr">
        <is>
          <t>22689</t>
        </is>
      </c>
      <c r="E2936" s="117" t="inlineStr">
        <is>
          <t xml:space="preserve">DOORMAT MERRY CHRISTMAS RED </t>
        </is>
      </c>
      <c r="F2936" s="117" t="n">
        <v>2</v>
      </c>
      <c r="G2936" s="118" t="n">
        <v>7.95</v>
      </c>
      <c r="H2936" s="118" t="n">
        <v>15.9</v>
      </c>
      <c r="I2936" s="119" t="n">
        <v>40794</v>
      </c>
    </row>
    <row r="2937">
      <c r="A2937" s="114" t="inlineStr">
        <is>
          <t>565930</t>
        </is>
      </c>
      <c r="B2937" s="114" t="n">
        <v>12685</v>
      </c>
      <c r="C2937" s="114" t="inlineStr">
        <is>
          <t>France</t>
        </is>
      </c>
      <c r="D2937" s="114" t="inlineStr">
        <is>
          <t>22434</t>
        </is>
      </c>
      <c r="E2937" s="114" t="inlineStr">
        <is>
          <t>BALLOON PUMP WITH 10 BALLOONS</t>
        </is>
      </c>
      <c r="F2937" s="114" t="n">
        <v>8</v>
      </c>
      <c r="G2937" s="115" t="n">
        <v>1.95</v>
      </c>
      <c r="H2937" s="115" t="n">
        <v>15.6</v>
      </c>
      <c r="I2937" s="116" t="n">
        <v>40794</v>
      </c>
    </row>
    <row r="2938">
      <c r="A2938" s="117" t="inlineStr">
        <is>
          <t>565930</t>
        </is>
      </c>
      <c r="B2938" s="117" t="n">
        <v>12685</v>
      </c>
      <c r="C2938" s="117" t="inlineStr">
        <is>
          <t>France</t>
        </is>
      </c>
      <c r="D2938" s="117" t="inlineStr">
        <is>
          <t>40001</t>
        </is>
      </c>
      <c r="E2938" s="117" t="inlineStr">
        <is>
          <t>WHITE BAMBOO RIBS LAMPSHADE</t>
        </is>
      </c>
      <c r="F2938" s="117" t="n">
        <v>12</v>
      </c>
      <c r="G2938" s="118" t="n">
        <v>0.85</v>
      </c>
      <c r="H2938" s="118" t="n">
        <v>10.2</v>
      </c>
      <c r="I2938" s="119" t="n">
        <v>40794</v>
      </c>
    </row>
    <row r="2939">
      <c r="A2939" s="114" t="inlineStr">
        <is>
          <t>565931</t>
        </is>
      </c>
      <c r="B2939" s="114" t="n">
        <v>12683</v>
      </c>
      <c r="C2939" s="114" t="inlineStr">
        <is>
          <t>France</t>
        </is>
      </c>
      <c r="D2939" s="114" t="inlineStr">
        <is>
          <t>21407</t>
        </is>
      </c>
      <c r="E2939" s="114" t="inlineStr">
        <is>
          <t xml:space="preserve">BROWN CHECK CAT DOORSTOP </t>
        </is>
      </c>
      <c r="F2939" s="114" t="n">
        <v>3</v>
      </c>
      <c r="G2939" s="115" t="n">
        <v>4.25</v>
      </c>
      <c r="H2939" s="115" t="n">
        <v>12.75</v>
      </c>
      <c r="I2939" s="116" t="n">
        <v>40794</v>
      </c>
    </row>
    <row r="2940">
      <c r="A2940" s="117" t="inlineStr">
        <is>
          <t>565937</t>
        </is>
      </c>
      <c r="B2940" s="117" t="n">
        <v>13468</v>
      </c>
      <c r="C2940" s="117" t="inlineStr">
        <is>
          <t>United Kingdom</t>
        </is>
      </c>
      <c r="D2940" s="117" t="inlineStr">
        <is>
          <t>20829</t>
        </is>
      </c>
      <c r="E2940" s="117" t="inlineStr">
        <is>
          <t>GLITTER HANGING BUTTERFLY STRING</t>
        </is>
      </c>
      <c r="F2940" s="117" t="n">
        <v>8</v>
      </c>
      <c r="G2940" s="118" t="n">
        <v>2.1</v>
      </c>
      <c r="H2940" s="118" t="n">
        <v>16.8</v>
      </c>
      <c r="I2940" s="119" t="n">
        <v>40794</v>
      </c>
    </row>
    <row r="2941">
      <c r="A2941" s="114" t="inlineStr">
        <is>
          <t>565967</t>
        </is>
      </c>
      <c r="B2941" s="114" t="n">
        <v>14646</v>
      </c>
      <c r="C2941" s="114" t="inlineStr">
        <is>
          <t>Netherlands</t>
        </is>
      </c>
      <c r="D2941" s="114" t="inlineStr">
        <is>
          <t>23344</t>
        </is>
      </c>
      <c r="E2941" s="114" t="inlineStr">
        <is>
          <t xml:space="preserve">JUMBO BAG 50'S CHRISTMAS </t>
        </is>
      </c>
      <c r="F2941" s="114" t="n">
        <v>20</v>
      </c>
      <c r="G2941" s="115" t="n">
        <v>2.08</v>
      </c>
      <c r="H2941" s="115" t="n">
        <v>41.6</v>
      </c>
      <c r="I2941" s="116" t="n">
        <v>40794</v>
      </c>
    </row>
    <row r="2942">
      <c r="A2942" s="117" t="inlineStr">
        <is>
          <t>565971</t>
        </is>
      </c>
      <c r="B2942" s="117" t="n">
        <v>13571</v>
      </c>
      <c r="C2942" s="117" t="inlineStr">
        <is>
          <t>United Kingdom</t>
        </is>
      </c>
      <c r="D2942" s="117" t="inlineStr">
        <is>
          <t>22910</t>
        </is>
      </c>
      <c r="E2942" s="117" t="inlineStr">
        <is>
          <t>PAPER CHAIN KIT VINTAGE CHRISTMAS</t>
        </is>
      </c>
      <c r="F2942" s="117" t="n">
        <v>3</v>
      </c>
      <c r="G2942" s="118" t="n">
        <v>2.95</v>
      </c>
      <c r="H2942" s="118" t="n">
        <v>8.85</v>
      </c>
      <c r="I2942" s="119" t="n">
        <v>40794</v>
      </c>
    </row>
    <row r="2943">
      <c r="A2943" s="114" t="inlineStr">
        <is>
          <t>566008</t>
        </is>
      </c>
      <c r="B2943" s="114" t="n">
        <v>16426</v>
      </c>
      <c r="C2943" s="114" t="inlineStr">
        <is>
          <t>United Kingdom</t>
        </is>
      </c>
      <c r="D2943" s="114" t="inlineStr">
        <is>
          <t>21158</t>
        </is>
      </c>
      <c r="E2943" s="114" t="inlineStr">
        <is>
          <t xml:space="preserve">MOODY GIRL DOOR HANGER </t>
        </is>
      </c>
      <c r="F2943" s="114" t="n">
        <v>4</v>
      </c>
      <c r="G2943" s="115" t="n">
        <v>0.39</v>
      </c>
      <c r="H2943" s="115" t="n">
        <v>1.56</v>
      </c>
      <c r="I2943" s="116" t="n">
        <v>40794</v>
      </c>
    </row>
    <row r="2944">
      <c r="A2944" s="117" t="inlineStr">
        <is>
          <t>566010</t>
        </is>
      </c>
      <c r="B2944" s="117" t="n">
        <v>13700</v>
      </c>
      <c r="C2944" s="117" t="inlineStr">
        <is>
          <t>United Kingdom</t>
        </is>
      </c>
      <c r="D2944" s="117" t="inlineStr">
        <is>
          <t>22111</t>
        </is>
      </c>
      <c r="E2944" s="117" t="inlineStr">
        <is>
          <t>SCOTTIE DOG HOT WATER BOTTLE</t>
        </is>
      </c>
      <c r="F2944" s="117" t="n">
        <v>2</v>
      </c>
      <c r="G2944" s="118" t="n">
        <v>4.95</v>
      </c>
      <c r="H2944" s="118" t="n">
        <v>9.9</v>
      </c>
      <c r="I2944" s="119" t="n">
        <v>40794</v>
      </c>
    </row>
    <row r="2945">
      <c r="A2945" s="114" t="inlineStr">
        <is>
          <t>566010</t>
        </is>
      </c>
      <c r="B2945" s="114" t="n">
        <v>13700</v>
      </c>
      <c r="C2945" s="114" t="inlineStr">
        <is>
          <t>United Kingdom</t>
        </is>
      </c>
      <c r="D2945" s="114" t="inlineStr">
        <is>
          <t>22940</t>
        </is>
      </c>
      <c r="E2945" s="114" t="inlineStr">
        <is>
          <t>FELTCRAFT CHRISTMAS FAIRY</t>
        </is>
      </c>
      <c r="F2945" s="114" t="n">
        <v>4</v>
      </c>
      <c r="G2945" s="115" t="n">
        <v>4.25</v>
      </c>
      <c r="H2945" s="115" t="n">
        <v>17</v>
      </c>
      <c r="I2945" s="116" t="n">
        <v>40794</v>
      </c>
    </row>
    <row r="2946">
      <c r="A2946" s="117" t="inlineStr">
        <is>
          <t>566018</t>
        </is>
      </c>
      <c r="B2946" s="117" t="n">
        <v>13137</v>
      </c>
      <c r="C2946" s="117" t="inlineStr">
        <is>
          <t>United Kingdom</t>
        </is>
      </c>
      <c r="D2946" s="117" t="inlineStr">
        <is>
          <t>22727</t>
        </is>
      </c>
      <c r="E2946" s="117" t="inlineStr">
        <is>
          <t xml:space="preserve">ALARM CLOCK BAKELIKE RED </t>
        </is>
      </c>
      <c r="F2946" s="117" t="n">
        <v>4</v>
      </c>
      <c r="G2946" s="118" t="n">
        <v>3.75</v>
      </c>
      <c r="H2946" s="118" t="n">
        <v>15</v>
      </c>
      <c r="I2946" s="119" t="n">
        <v>40794</v>
      </c>
    </row>
    <row r="2947">
      <c r="A2947" s="114" t="inlineStr">
        <is>
          <t>566028</t>
        </is>
      </c>
      <c r="B2947" s="114" t="n">
        <v>13848</v>
      </c>
      <c r="C2947" s="114" t="inlineStr">
        <is>
          <t>United Kingdom</t>
        </is>
      </c>
      <c r="D2947" s="114" t="inlineStr">
        <is>
          <t>16014</t>
        </is>
      </c>
      <c r="E2947" s="114" t="inlineStr">
        <is>
          <t>SMALL CHINESE STYLE SCISSOR</t>
        </is>
      </c>
      <c r="F2947" s="114" t="n">
        <v>1000</v>
      </c>
      <c r="G2947" s="115" t="n">
        <v>0.32</v>
      </c>
      <c r="H2947" s="115" t="n">
        <v>320</v>
      </c>
      <c r="I2947" s="116" t="n">
        <v>40794</v>
      </c>
    </row>
    <row r="2948">
      <c r="A2948" s="117" t="inlineStr">
        <is>
          <t>566033</t>
        </is>
      </c>
      <c r="B2948" s="117" t="n">
        <v>16031</v>
      </c>
      <c r="C2948" s="117" t="inlineStr">
        <is>
          <t>United Kingdom</t>
        </is>
      </c>
      <c r="D2948" s="117" t="inlineStr">
        <is>
          <t>47594B</t>
        </is>
      </c>
      <c r="E2948" s="117" t="inlineStr">
        <is>
          <t>SCOTTIES DESIGN WASHBAG</t>
        </is>
      </c>
      <c r="F2948" s="117" t="n">
        <v>1</v>
      </c>
      <c r="G2948" s="118" t="n">
        <v>1.95</v>
      </c>
      <c r="H2948" s="118" t="n">
        <v>1.95</v>
      </c>
      <c r="I2948" s="119" t="n">
        <v>40794</v>
      </c>
    </row>
    <row r="2949">
      <c r="A2949" s="114" t="inlineStr">
        <is>
          <t>566035</t>
        </is>
      </c>
      <c r="B2949" s="114" t="n">
        <v>12839</v>
      </c>
      <c r="C2949" s="114" t="inlineStr">
        <is>
          <t>United Kingdom</t>
        </is>
      </c>
      <c r="D2949" s="114" t="inlineStr">
        <is>
          <t>20724</t>
        </is>
      </c>
      <c r="E2949" s="114" t="inlineStr">
        <is>
          <t>RED RETROSPOT CHARLOTTE BAG</t>
        </is>
      </c>
      <c r="F2949" s="114" t="n">
        <v>10</v>
      </c>
      <c r="G2949" s="115" t="n">
        <v>0.85</v>
      </c>
      <c r="H2949" s="115" t="n">
        <v>8.5</v>
      </c>
      <c r="I2949" s="116" t="n">
        <v>40794</v>
      </c>
    </row>
    <row r="2950">
      <c r="A2950" s="117" t="inlineStr">
        <is>
          <t>566035</t>
        </is>
      </c>
      <c r="B2950" s="117" t="n">
        <v>12839</v>
      </c>
      <c r="C2950" s="117" t="inlineStr">
        <is>
          <t>United Kingdom</t>
        </is>
      </c>
      <c r="D2950" s="117" t="inlineStr">
        <is>
          <t>20723</t>
        </is>
      </c>
      <c r="E2950" s="117" t="inlineStr">
        <is>
          <t>STRAWBERRY CHARLOTTE BAG</t>
        </is>
      </c>
      <c r="F2950" s="117" t="n">
        <v>10</v>
      </c>
      <c r="G2950" s="118" t="n">
        <v>0.85</v>
      </c>
      <c r="H2950" s="118" t="n">
        <v>8.5</v>
      </c>
      <c r="I2950" s="119" t="n">
        <v>40794</v>
      </c>
    </row>
    <row r="2951">
      <c r="A2951" s="114" t="inlineStr">
        <is>
          <t>566050</t>
        </is>
      </c>
      <c r="B2951" s="114" t="n">
        <v>13854</v>
      </c>
      <c r="C2951" s="114" t="inlineStr">
        <is>
          <t>United Kingdom</t>
        </is>
      </c>
      <c r="D2951" s="114" t="inlineStr">
        <is>
          <t>22423</t>
        </is>
      </c>
      <c r="E2951" s="114" t="inlineStr">
        <is>
          <t>REGENCY CAKESTAND 3 TIER</t>
        </is>
      </c>
      <c r="F2951" s="114" t="n">
        <v>16</v>
      </c>
      <c r="G2951" s="115" t="n">
        <v>10.95</v>
      </c>
      <c r="H2951" s="115" t="n">
        <v>175.2</v>
      </c>
      <c r="I2951" s="116" t="n">
        <v>40794</v>
      </c>
    </row>
    <row r="2952">
      <c r="A2952" s="117" t="inlineStr">
        <is>
          <t>566053</t>
        </is>
      </c>
      <c r="B2952" s="117" t="n">
        <v>14410</v>
      </c>
      <c r="C2952" s="117" t="inlineStr">
        <is>
          <t>United Kingdom</t>
        </is>
      </c>
      <c r="D2952" s="117" t="inlineStr">
        <is>
          <t>21175</t>
        </is>
      </c>
      <c r="E2952" s="117" t="inlineStr">
        <is>
          <t>GIN + TONIC DIET METAL SIGN</t>
        </is>
      </c>
      <c r="F2952" s="117" t="n">
        <v>1</v>
      </c>
      <c r="G2952" s="118" t="n">
        <v>2.55</v>
      </c>
      <c r="H2952" s="118" t="n">
        <v>2.55</v>
      </c>
      <c r="I2952" s="119" t="n">
        <v>40794</v>
      </c>
    </row>
    <row r="2953">
      <c r="A2953" s="114" t="inlineStr">
        <is>
          <t>566062</t>
        </is>
      </c>
      <c r="B2953" s="114" t="n">
        <v>14522</v>
      </c>
      <c r="C2953" s="114" t="inlineStr">
        <is>
          <t>United Kingdom</t>
        </is>
      </c>
      <c r="D2953" s="114" t="inlineStr">
        <is>
          <t>35970</t>
        </is>
      </c>
      <c r="E2953" s="114" t="inlineStr">
        <is>
          <t>ZINC FOLKART SLEIGH BELLS</t>
        </is>
      </c>
      <c r="F2953" s="114" t="n">
        <v>48</v>
      </c>
      <c r="G2953" s="115" t="n">
        <v>1.69</v>
      </c>
      <c r="H2953" s="115" t="n">
        <v>81.12</v>
      </c>
      <c r="I2953" s="116" t="n">
        <v>40794</v>
      </c>
    </row>
    <row r="2954">
      <c r="A2954" s="117" t="inlineStr">
        <is>
          <t>566073</t>
        </is>
      </c>
      <c r="B2954" s="117" t="n">
        <v>14562</v>
      </c>
      <c r="C2954" s="117" t="inlineStr">
        <is>
          <t>United Kingdom</t>
        </is>
      </c>
      <c r="D2954" s="117" t="inlineStr">
        <is>
          <t>84030E</t>
        </is>
      </c>
      <c r="E2954" s="117" t="inlineStr">
        <is>
          <t>ENGLISH ROSE HOT WATER BOTTLE</t>
        </is>
      </c>
      <c r="F2954" s="117" t="n">
        <v>2</v>
      </c>
      <c r="G2954" s="118" t="n">
        <v>4.25</v>
      </c>
      <c r="H2954" s="118" t="n">
        <v>8.5</v>
      </c>
      <c r="I2954" s="119" t="n">
        <v>40794</v>
      </c>
    </row>
    <row r="2955">
      <c r="A2955" s="114" t="inlineStr">
        <is>
          <t>566073</t>
        </is>
      </c>
      <c r="B2955" s="114" t="n">
        <v>14562</v>
      </c>
      <c r="C2955" s="114" t="inlineStr">
        <is>
          <t>United Kingdom</t>
        </is>
      </c>
      <c r="D2955" s="114" t="inlineStr">
        <is>
          <t>21916</t>
        </is>
      </c>
      <c r="E2955" s="114" t="inlineStr">
        <is>
          <t>SET 12 RETRO WHITE CHALK STICKS</t>
        </is>
      </c>
      <c r="F2955" s="114" t="n">
        <v>6</v>
      </c>
      <c r="G2955" s="115" t="n">
        <v>0.42</v>
      </c>
      <c r="H2955" s="115" t="n">
        <v>2.52</v>
      </c>
      <c r="I2955" s="116" t="n">
        <v>40794</v>
      </c>
    </row>
    <row r="2956">
      <c r="A2956" s="117" t="inlineStr">
        <is>
          <t>566115</t>
        </is>
      </c>
      <c r="B2956" s="117" t="n">
        <v>12674</v>
      </c>
      <c r="C2956" s="117" t="inlineStr">
        <is>
          <t>France</t>
        </is>
      </c>
      <c r="D2956" s="117" t="inlineStr">
        <is>
          <t>22753</t>
        </is>
      </c>
      <c r="E2956" s="117" t="inlineStr">
        <is>
          <t xml:space="preserve">SMALL YELLOW BABUSHKA NOTEBOOK </t>
        </is>
      </c>
      <c r="F2956" s="117" t="n">
        <v>12</v>
      </c>
      <c r="G2956" s="118" t="n">
        <v>0.85</v>
      </c>
      <c r="H2956" s="118" t="n">
        <v>10.2</v>
      </c>
      <c r="I2956" s="119" t="n">
        <v>40795</v>
      </c>
    </row>
    <row r="2957">
      <c r="A2957" s="114" t="inlineStr">
        <is>
          <t>566124</t>
        </is>
      </c>
      <c r="B2957" s="114" t="n">
        <v>16515</v>
      </c>
      <c r="C2957" s="114" t="inlineStr">
        <is>
          <t>United Kingdom</t>
        </is>
      </c>
      <c r="D2957" s="114" t="inlineStr">
        <is>
          <t>22961</t>
        </is>
      </c>
      <c r="E2957" s="114" t="inlineStr">
        <is>
          <t>JAM MAKING SET PRINTED</t>
        </is>
      </c>
      <c r="F2957" s="114" t="n">
        <v>6</v>
      </c>
      <c r="G2957" s="115" t="n">
        <v>1.45</v>
      </c>
      <c r="H2957" s="115" t="n">
        <v>8.699999999999999</v>
      </c>
      <c r="I2957" s="116" t="n">
        <v>40795</v>
      </c>
    </row>
    <row r="2958">
      <c r="A2958" s="117" t="inlineStr">
        <is>
          <t>566162</t>
        </is>
      </c>
      <c r="B2958" s="117" t="n">
        <v>15249</v>
      </c>
      <c r="C2958" s="117" t="inlineStr">
        <is>
          <t>United Kingdom</t>
        </is>
      </c>
      <c r="D2958" s="117" t="inlineStr">
        <is>
          <t>21877</t>
        </is>
      </c>
      <c r="E2958" s="117" t="inlineStr">
        <is>
          <t>HOME SWEET HOME MUG</t>
        </is>
      </c>
      <c r="F2958" s="117" t="n">
        <v>12</v>
      </c>
      <c r="G2958" s="118" t="n">
        <v>1.65</v>
      </c>
      <c r="H2958" s="118" t="n">
        <v>19.8</v>
      </c>
      <c r="I2958" s="119" t="n">
        <v>40795</v>
      </c>
    </row>
    <row r="2959">
      <c r="A2959" s="114" t="inlineStr">
        <is>
          <t>566162</t>
        </is>
      </c>
      <c r="B2959" s="114" t="n">
        <v>15249</v>
      </c>
      <c r="C2959" s="114" t="inlineStr">
        <is>
          <t>United Kingdom</t>
        </is>
      </c>
      <c r="D2959" s="114" t="inlineStr">
        <is>
          <t>23432</t>
        </is>
      </c>
      <c r="E2959" s="114" t="inlineStr">
        <is>
          <t>PRETTY HANGING QUILTED HEARTS</t>
        </is>
      </c>
      <c r="F2959" s="114" t="n">
        <v>12</v>
      </c>
      <c r="G2959" s="115" t="n">
        <v>0.83</v>
      </c>
      <c r="H2959" s="115" t="n">
        <v>9.960000000000001</v>
      </c>
      <c r="I2959" s="116" t="n">
        <v>40795</v>
      </c>
    </row>
    <row r="2960">
      <c r="A2960" s="117" t="inlineStr">
        <is>
          <t>566188</t>
        </is>
      </c>
      <c r="B2960" s="117" t="n">
        <v>14312</v>
      </c>
      <c r="C2960" s="117" t="inlineStr">
        <is>
          <t>United Kingdom</t>
        </is>
      </c>
      <c r="D2960" s="117" t="inlineStr">
        <is>
          <t>23427</t>
        </is>
      </c>
      <c r="E2960" s="117" t="inlineStr">
        <is>
          <t xml:space="preserve">STOOL HOME SWEET HOME </t>
        </is>
      </c>
      <c r="F2960" s="117" t="n">
        <v>1</v>
      </c>
      <c r="G2960" s="118" t="n">
        <v>12.5</v>
      </c>
      <c r="H2960" s="118" t="n">
        <v>12.5</v>
      </c>
      <c r="I2960" s="119" t="n">
        <v>40795</v>
      </c>
    </row>
    <row r="2961">
      <c r="A2961" s="114" t="inlineStr">
        <is>
          <t>566200</t>
        </is>
      </c>
      <c r="B2961" s="114" t="n">
        <v>16910</v>
      </c>
      <c r="C2961" s="114" t="inlineStr">
        <is>
          <t>United Kingdom</t>
        </is>
      </c>
      <c r="D2961" s="114" t="inlineStr">
        <is>
          <t>22602</t>
        </is>
      </c>
      <c r="E2961" s="114" t="inlineStr">
        <is>
          <t>RETROSPOT WOODEN HEART DECORATION</t>
        </is>
      </c>
      <c r="F2961" s="114" t="n">
        <v>3</v>
      </c>
      <c r="G2961" s="115" t="n">
        <v>0.85</v>
      </c>
      <c r="H2961" s="115" t="n">
        <v>2.55</v>
      </c>
      <c r="I2961" s="116" t="n">
        <v>40795</v>
      </c>
    </row>
    <row r="2962">
      <c r="A2962" s="117" t="inlineStr">
        <is>
          <t>566213</t>
        </is>
      </c>
      <c r="B2962" s="117" t="n">
        <v>14895</v>
      </c>
      <c r="C2962" s="117" t="inlineStr">
        <is>
          <t>United Kingdom</t>
        </is>
      </c>
      <c r="D2962" s="117" t="inlineStr">
        <is>
          <t>22961</t>
        </is>
      </c>
      <c r="E2962" s="117" t="inlineStr">
        <is>
          <t>JAM MAKING SET PRINTED</t>
        </is>
      </c>
      <c r="F2962" s="117" t="n">
        <v>12</v>
      </c>
      <c r="G2962" s="118" t="n">
        <v>1.45</v>
      </c>
      <c r="H2962" s="118" t="n">
        <v>17.4</v>
      </c>
      <c r="I2962" s="119" t="n">
        <v>40795</v>
      </c>
    </row>
    <row r="2963">
      <c r="A2963" s="114" t="inlineStr">
        <is>
          <t>566219</t>
        </is>
      </c>
      <c r="B2963" s="114" t="n">
        <v>17426</v>
      </c>
      <c r="C2963" s="114" t="inlineStr">
        <is>
          <t>United Kingdom</t>
        </is>
      </c>
      <c r="D2963" s="114" t="inlineStr">
        <is>
          <t>22086</t>
        </is>
      </c>
      <c r="E2963" s="114" t="inlineStr">
        <is>
          <t xml:space="preserve">PAPER CHAIN KIT 50'S CHRISTMAS </t>
        </is>
      </c>
      <c r="F2963" s="114" t="n">
        <v>6</v>
      </c>
      <c r="G2963" s="115" t="n">
        <v>2.95</v>
      </c>
      <c r="H2963" s="115" t="n">
        <v>17.7</v>
      </c>
      <c r="I2963" s="116" t="n">
        <v>40795</v>
      </c>
    </row>
    <row r="2964">
      <c r="A2964" s="117" t="inlineStr">
        <is>
          <t>566219</t>
        </is>
      </c>
      <c r="B2964" s="117" t="n">
        <v>17426</v>
      </c>
      <c r="C2964" s="117" t="inlineStr">
        <is>
          <t>United Kingdom</t>
        </is>
      </c>
      <c r="D2964" s="117" t="inlineStr">
        <is>
          <t>21519</t>
        </is>
      </c>
      <c r="E2964" s="117" t="inlineStr">
        <is>
          <t xml:space="preserve">GIN &amp; TONIC DIET GREETING CARD </t>
        </is>
      </c>
      <c r="F2964" s="117" t="n">
        <v>12</v>
      </c>
      <c r="G2964" s="118" t="n">
        <v>0.42</v>
      </c>
      <c r="H2964" s="118" t="n">
        <v>5.04</v>
      </c>
      <c r="I2964" s="119" t="n">
        <v>40795</v>
      </c>
    </row>
    <row r="2965">
      <c r="A2965" s="114" t="inlineStr">
        <is>
          <t>566229</t>
        </is>
      </c>
      <c r="B2965" s="114" t="n">
        <v>13408</v>
      </c>
      <c r="C2965" s="114" t="inlineStr">
        <is>
          <t>United Kingdom</t>
        </is>
      </c>
      <c r="D2965" s="114" t="inlineStr">
        <is>
          <t>23412</t>
        </is>
      </c>
      <c r="E2965" s="114" t="inlineStr">
        <is>
          <t>HEART MIRROR ANTIQUE WHITE</t>
        </is>
      </c>
      <c r="F2965" s="114" t="n">
        <v>6</v>
      </c>
      <c r="G2965" s="115" t="n">
        <v>7.5</v>
      </c>
      <c r="H2965" s="115" t="n">
        <v>45</v>
      </c>
      <c r="I2965" s="116" t="n">
        <v>40797</v>
      </c>
    </row>
    <row r="2966">
      <c r="A2966" s="117" t="inlineStr">
        <is>
          <t>566234</t>
        </is>
      </c>
      <c r="B2966" s="117" t="n">
        <v>15035</v>
      </c>
      <c r="C2966" s="117" t="inlineStr">
        <is>
          <t>United Kingdom</t>
        </is>
      </c>
      <c r="D2966" s="117" t="inlineStr">
        <is>
          <t>23349</t>
        </is>
      </c>
      <c r="E2966" s="117" t="inlineStr">
        <is>
          <t>ROLL WRAP VINTAGE CHRISTMAS</t>
        </is>
      </c>
      <c r="F2966" s="117" t="n">
        <v>1</v>
      </c>
      <c r="G2966" s="118" t="n">
        <v>1.25</v>
      </c>
      <c r="H2966" s="118" t="n">
        <v>1.25</v>
      </c>
      <c r="I2966" s="119" t="n">
        <v>40797</v>
      </c>
    </row>
    <row r="2967">
      <c r="A2967" s="114" t="inlineStr">
        <is>
          <t>566234</t>
        </is>
      </c>
      <c r="B2967" s="114" t="n">
        <v>15035</v>
      </c>
      <c r="C2967" s="114" t="inlineStr">
        <is>
          <t>United Kingdom</t>
        </is>
      </c>
      <c r="D2967" s="114" t="inlineStr">
        <is>
          <t>22738</t>
        </is>
      </c>
      <c r="E2967" s="114" t="inlineStr">
        <is>
          <t>RIBBON REEL SNOWY VILLAGE</t>
        </is>
      </c>
      <c r="F2967" s="114" t="n">
        <v>1</v>
      </c>
      <c r="G2967" s="115" t="n">
        <v>1.65</v>
      </c>
      <c r="H2967" s="115" t="n">
        <v>1.65</v>
      </c>
      <c r="I2967" s="116" t="n">
        <v>40797</v>
      </c>
    </row>
    <row r="2968">
      <c r="A2968" s="117" t="inlineStr">
        <is>
          <t>566255</t>
        </is>
      </c>
      <c r="B2968" s="117" t="n">
        <v>13324</v>
      </c>
      <c r="C2968" s="117" t="inlineStr">
        <is>
          <t>United Kingdom</t>
        </is>
      </c>
      <c r="D2968" s="117" t="inlineStr">
        <is>
          <t>21975</t>
        </is>
      </c>
      <c r="E2968" s="117" t="inlineStr">
        <is>
          <t>PACK OF 60 DINOSAUR CAKE CASES</t>
        </is>
      </c>
      <c r="F2968" s="117" t="n">
        <v>120</v>
      </c>
      <c r="G2968" s="118" t="n">
        <v>0.42</v>
      </c>
      <c r="H2968" s="118" t="n">
        <v>50.4</v>
      </c>
      <c r="I2968" s="119" t="n">
        <v>40797</v>
      </c>
    </row>
    <row r="2969">
      <c r="A2969" s="114" t="inlineStr">
        <is>
          <t>566258</t>
        </is>
      </c>
      <c r="B2969" s="114" t="n">
        <v>13124</v>
      </c>
      <c r="C2969" s="114" t="inlineStr">
        <is>
          <t>United Kingdom</t>
        </is>
      </c>
      <c r="D2969" s="114" t="inlineStr">
        <is>
          <t>22113</t>
        </is>
      </c>
      <c r="E2969" s="114" t="inlineStr">
        <is>
          <t>GREY HEART HOT WATER BOTTLE</t>
        </is>
      </c>
      <c r="F2969" s="114" t="n">
        <v>1</v>
      </c>
      <c r="G2969" s="115" t="n">
        <v>4.25</v>
      </c>
      <c r="H2969" s="115" t="n">
        <v>4.25</v>
      </c>
      <c r="I2969" s="116" t="n">
        <v>40797</v>
      </c>
    </row>
    <row r="2970">
      <c r="A2970" s="117" t="inlineStr">
        <is>
          <t>566266</t>
        </is>
      </c>
      <c r="B2970" s="117" t="n">
        <v>17299</v>
      </c>
      <c r="C2970" s="117" t="inlineStr">
        <is>
          <t>United Kingdom</t>
        </is>
      </c>
      <c r="D2970" s="117" t="inlineStr">
        <is>
          <t>22488</t>
        </is>
      </c>
      <c r="E2970" s="117" t="inlineStr">
        <is>
          <t>NATURAL SLATE RECTANGLE CHALKBOARD</t>
        </is>
      </c>
      <c r="F2970" s="117" t="n">
        <v>3</v>
      </c>
      <c r="G2970" s="118" t="n">
        <v>1.65</v>
      </c>
      <c r="H2970" s="118" t="n">
        <v>4.95</v>
      </c>
      <c r="I2970" s="119" t="n">
        <v>40797</v>
      </c>
    </row>
    <row r="2971">
      <c r="A2971" s="114" t="inlineStr">
        <is>
          <t>566269</t>
        </is>
      </c>
      <c r="B2971" s="114" t="n">
        <v>17864</v>
      </c>
      <c r="C2971" s="114" t="inlineStr">
        <is>
          <t>United Kingdom</t>
        </is>
      </c>
      <c r="D2971" s="114" t="inlineStr">
        <is>
          <t>84378</t>
        </is>
      </c>
      <c r="E2971" s="114" t="inlineStr">
        <is>
          <t>SET OF 3 HEART COOKIE CUTTERS</t>
        </is>
      </c>
      <c r="F2971" s="114" t="n">
        <v>1</v>
      </c>
      <c r="G2971" s="115" t="n">
        <v>1.45</v>
      </c>
      <c r="H2971" s="115" t="n">
        <v>1.45</v>
      </c>
      <c r="I2971" s="116" t="n">
        <v>40797</v>
      </c>
    </row>
    <row r="2972">
      <c r="A2972" s="117" t="inlineStr">
        <is>
          <t>566271</t>
        </is>
      </c>
      <c r="B2972" s="117" t="n">
        <v>14250</v>
      </c>
      <c r="C2972" s="117" t="inlineStr">
        <is>
          <t>United Kingdom</t>
        </is>
      </c>
      <c r="D2972" s="117" t="inlineStr">
        <is>
          <t>22624</t>
        </is>
      </c>
      <c r="E2972" s="117" t="inlineStr">
        <is>
          <t>IVORY KITCHEN SCALES</t>
        </is>
      </c>
      <c r="F2972" s="117" t="n">
        <v>2</v>
      </c>
      <c r="G2972" s="118" t="n">
        <v>8.5</v>
      </c>
      <c r="H2972" s="118" t="n">
        <v>17</v>
      </c>
      <c r="I2972" s="119" t="n">
        <v>40797</v>
      </c>
    </row>
    <row r="2973">
      <c r="A2973" s="114" t="inlineStr">
        <is>
          <t>566272</t>
        </is>
      </c>
      <c r="B2973" s="114" t="n">
        <v>14487</v>
      </c>
      <c r="C2973" s="114" t="inlineStr">
        <is>
          <t>United Kingdom</t>
        </is>
      </c>
      <c r="D2973" s="114" t="inlineStr">
        <is>
          <t>23245</t>
        </is>
      </c>
      <c r="E2973" s="114" t="inlineStr">
        <is>
          <t>SET OF 3 REGENCY CAKE TINS</t>
        </is>
      </c>
      <c r="F2973" s="114" t="n">
        <v>4</v>
      </c>
      <c r="G2973" s="115" t="n">
        <v>4.95</v>
      </c>
      <c r="H2973" s="115" t="n">
        <v>19.8</v>
      </c>
      <c r="I2973" s="116" t="n">
        <v>40797</v>
      </c>
    </row>
    <row r="2974">
      <c r="A2974" s="117" t="inlineStr">
        <is>
          <t>566275</t>
        </is>
      </c>
      <c r="B2974" s="117" t="n">
        <v>16549</v>
      </c>
      <c r="C2974" s="117" t="inlineStr">
        <is>
          <t>United Kingdom</t>
        </is>
      </c>
      <c r="D2974" s="117" t="inlineStr">
        <is>
          <t>23247</t>
        </is>
      </c>
      <c r="E2974" s="117" t="inlineStr">
        <is>
          <t>BISCUIT TIN 50'S CHRISTMAS</t>
        </is>
      </c>
      <c r="F2974" s="117" t="n">
        <v>1</v>
      </c>
      <c r="G2974" s="118" t="n">
        <v>2.89</v>
      </c>
      <c r="H2974" s="118" t="n">
        <v>2.89</v>
      </c>
      <c r="I2974" s="119" t="n">
        <v>40797</v>
      </c>
    </row>
    <row r="2975">
      <c r="A2975" s="114" t="inlineStr">
        <is>
          <t>566277</t>
        </is>
      </c>
      <c r="B2975" s="114" t="n">
        <v>16796</v>
      </c>
      <c r="C2975" s="114" t="inlineStr">
        <is>
          <t>United Kingdom</t>
        </is>
      </c>
      <c r="D2975" s="114" t="inlineStr">
        <is>
          <t>22465</t>
        </is>
      </c>
      <c r="E2975" s="114" t="inlineStr">
        <is>
          <t>HANGING METAL STAR LANTERN</t>
        </is>
      </c>
      <c r="F2975" s="114" t="n">
        <v>12</v>
      </c>
      <c r="G2975" s="115" t="n">
        <v>1.65</v>
      </c>
      <c r="H2975" s="115" t="n">
        <v>19.8</v>
      </c>
      <c r="I2975" s="116" t="n">
        <v>40797</v>
      </c>
    </row>
    <row r="2976">
      <c r="A2976" s="117" t="inlineStr">
        <is>
          <t>566278</t>
        </is>
      </c>
      <c r="B2976" s="117" t="n">
        <v>13614</v>
      </c>
      <c r="C2976" s="117" t="inlineStr">
        <is>
          <t>United Kingdom</t>
        </is>
      </c>
      <c r="D2976" s="117" t="inlineStr">
        <is>
          <t>22191</t>
        </is>
      </c>
      <c r="E2976" s="117" t="inlineStr">
        <is>
          <t>IVORY DINER WALL CLOCK</t>
        </is>
      </c>
      <c r="F2976" s="117" t="n">
        <v>2</v>
      </c>
      <c r="G2976" s="118" t="n">
        <v>8.5</v>
      </c>
      <c r="H2976" s="118" t="n">
        <v>17</v>
      </c>
      <c r="I2976" s="119" t="n">
        <v>40797</v>
      </c>
    </row>
    <row r="2977">
      <c r="A2977" s="114" t="inlineStr">
        <is>
          <t>566279</t>
        </is>
      </c>
      <c r="B2977" s="114" t="n">
        <v>14432</v>
      </c>
      <c r="C2977" s="114" t="inlineStr">
        <is>
          <t>United Kingdom</t>
        </is>
      </c>
      <c r="D2977" s="114" t="inlineStr">
        <is>
          <t>17091J</t>
        </is>
      </c>
      <c r="E2977" s="114" t="inlineStr">
        <is>
          <t>VANILLA INCENSE IN TIN</t>
        </is>
      </c>
      <c r="F2977" s="114" t="n">
        <v>29</v>
      </c>
      <c r="G2977" s="115" t="n">
        <v>0.38</v>
      </c>
      <c r="H2977" s="115" t="n">
        <v>11.02</v>
      </c>
      <c r="I2977" s="116" t="n">
        <v>40797</v>
      </c>
    </row>
    <row r="2978">
      <c r="A2978" s="117" t="inlineStr">
        <is>
          <t>566281</t>
        </is>
      </c>
      <c r="B2978" s="117" t="n">
        <v>12748</v>
      </c>
      <c r="C2978" s="117" t="inlineStr">
        <is>
          <t>United Kingdom</t>
        </is>
      </c>
      <c r="D2978" s="117" t="inlineStr">
        <is>
          <t>22637</t>
        </is>
      </c>
      <c r="E2978" s="117" t="inlineStr">
        <is>
          <t xml:space="preserve">PIGGY BANK RETROSPOT </t>
        </is>
      </c>
      <c r="F2978" s="117" t="n">
        <v>8</v>
      </c>
      <c r="G2978" s="118" t="n">
        <v>2.55</v>
      </c>
      <c r="H2978" s="118" t="n">
        <v>20.4</v>
      </c>
      <c r="I2978" s="119" t="n">
        <v>40797</v>
      </c>
    </row>
    <row r="2979">
      <c r="A2979" s="114" t="inlineStr">
        <is>
          <t>566281</t>
        </is>
      </c>
      <c r="B2979" s="114" t="n">
        <v>12748</v>
      </c>
      <c r="C2979" s="114" t="inlineStr">
        <is>
          <t>United Kingdom</t>
        </is>
      </c>
      <c r="D2979" s="114" t="inlineStr">
        <is>
          <t>23265</t>
        </is>
      </c>
      <c r="E2979" s="114" t="inlineStr">
        <is>
          <t>SET OF 3 WOODEN TREE DECORATIONS</t>
        </is>
      </c>
      <c r="F2979" s="114" t="n">
        <v>6</v>
      </c>
      <c r="G2979" s="115" t="n">
        <v>1.25</v>
      </c>
      <c r="H2979" s="115" t="n">
        <v>7.5</v>
      </c>
      <c r="I2979" s="116" t="n">
        <v>40797</v>
      </c>
    </row>
    <row r="2980">
      <c r="A2980" s="117" t="inlineStr">
        <is>
          <t>566281</t>
        </is>
      </c>
      <c r="B2980" s="117" t="n">
        <v>12748</v>
      </c>
      <c r="C2980" s="117" t="inlineStr">
        <is>
          <t>United Kingdom</t>
        </is>
      </c>
      <c r="D2980" s="117" t="inlineStr">
        <is>
          <t>22112</t>
        </is>
      </c>
      <c r="E2980" s="117" t="inlineStr">
        <is>
          <t>CHOCOLATE HOT WATER BOTTLE</t>
        </is>
      </c>
      <c r="F2980" s="117" t="n">
        <v>6</v>
      </c>
      <c r="G2980" s="118" t="n">
        <v>4.95</v>
      </c>
      <c r="H2980" s="118" t="n">
        <v>29.7</v>
      </c>
      <c r="I2980" s="119" t="n">
        <v>40797</v>
      </c>
    </row>
    <row r="2981">
      <c r="A2981" s="114" t="inlineStr">
        <is>
          <t>566281</t>
        </is>
      </c>
      <c r="B2981" s="114" t="n">
        <v>12748</v>
      </c>
      <c r="C2981" s="114" t="inlineStr">
        <is>
          <t>United Kingdom</t>
        </is>
      </c>
      <c r="D2981" s="114" t="inlineStr">
        <is>
          <t>84406B</t>
        </is>
      </c>
      <c r="E2981" s="114" t="inlineStr">
        <is>
          <t>CREAM CUPID HEARTS COAT HANGER</t>
        </is>
      </c>
      <c r="F2981" s="114" t="n">
        <v>2</v>
      </c>
      <c r="G2981" s="115" t="n">
        <v>4.15</v>
      </c>
      <c r="H2981" s="115" t="n">
        <v>8.300000000000001</v>
      </c>
      <c r="I2981" s="116" t="n">
        <v>40797</v>
      </c>
    </row>
    <row r="2982">
      <c r="A2982" s="117" t="inlineStr">
        <is>
          <t>566286</t>
        </is>
      </c>
      <c r="B2982" s="117" t="n">
        <v>14057</v>
      </c>
      <c r="C2982" s="117" t="inlineStr">
        <is>
          <t>United Kingdom</t>
        </is>
      </c>
      <c r="D2982" s="117" t="inlineStr">
        <is>
          <t>23309</t>
        </is>
      </c>
      <c r="E2982" s="117" t="inlineStr">
        <is>
          <t xml:space="preserve">SET OF 60 I LOVE LONDON CAKE CASES </t>
        </is>
      </c>
      <c r="F2982" s="117" t="n">
        <v>24</v>
      </c>
      <c r="G2982" s="118" t="n">
        <v>0.55</v>
      </c>
      <c r="H2982" s="118" t="n">
        <v>13.2</v>
      </c>
      <c r="I2982" s="119" t="n">
        <v>40797</v>
      </c>
    </row>
    <row r="2983">
      <c r="A2983" s="114" t="inlineStr">
        <is>
          <t>566290</t>
        </is>
      </c>
      <c r="B2983" s="114" t="n">
        <v>14456</v>
      </c>
      <c r="C2983" s="114" t="inlineStr">
        <is>
          <t>United Kingdom</t>
        </is>
      </c>
      <c r="D2983" s="114" t="inlineStr">
        <is>
          <t>47503A</t>
        </is>
      </c>
      <c r="E2983" s="114" t="inlineStr">
        <is>
          <t>ASS FLORAL PRINT MULTI SCREWDRIVER</t>
        </is>
      </c>
      <c r="F2983" s="114" t="n">
        <v>12</v>
      </c>
      <c r="G2983" s="115" t="n">
        <v>0.42</v>
      </c>
      <c r="H2983" s="115" t="n">
        <v>5.04</v>
      </c>
      <c r="I2983" s="116" t="n">
        <v>40797</v>
      </c>
    </row>
    <row r="2984">
      <c r="A2984" s="117" t="inlineStr">
        <is>
          <t>566290</t>
        </is>
      </c>
      <c r="B2984" s="117" t="n">
        <v>14456</v>
      </c>
      <c r="C2984" s="117" t="inlineStr">
        <is>
          <t>United Kingdom</t>
        </is>
      </c>
      <c r="D2984" s="117" t="inlineStr">
        <is>
          <t>21108</t>
        </is>
      </c>
      <c r="E2984" s="117" t="inlineStr">
        <is>
          <t>FAIRY CAKE FLANNEL ASSORTED COLOUR</t>
        </is>
      </c>
      <c r="F2984" s="117" t="n">
        <v>9</v>
      </c>
      <c r="G2984" s="118" t="n">
        <v>2.55</v>
      </c>
      <c r="H2984" s="118" t="n">
        <v>22.95</v>
      </c>
      <c r="I2984" s="119" t="n">
        <v>40797</v>
      </c>
    </row>
    <row r="2985">
      <c r="A2985" s="114" t="inlineStr">
        <is>
          <t>566292</t>
        </is>
      </c>
      <c r="B2985" s="114" t="n">
        <v>13381</v>
      </c>
      <c r="C2985" s="114" t="inlineStr">
        <is>
          <t>United Kingdom</t>
        </is>
      </c>
      <c r="D2985" s="114" t="inlineStr">
        <is>
          <t>22734</t>
        </is>
      </c>
      <c r="E2985" s="114" t="inlineStr">
        <is>
          <t>SET OF 6 RIBBONS VINTAGE CHRISTMAS</t>
        </is>
      </c>
      <c r="F2985" s="114" t="n">
        <v>12</v>
      </c>
      <c r="G2985" s="115" t="n">
        <v>2.89</v>
      </c>
      <c r="H2985" s="115" t="n">
        <v>34.68</v>
      </c>
      <c r="I2985" s="116" t="n">
        <v>40797</v>
      </c>
    </row>
    <row r="2986">
      <c r="A2986" s="117" t="inlineStr">
        <is>
          <t>566295</t>
        </is>
      </c>
      <c r="B2986" s="117" t="n">
        <v>15547</v>
      </c>
      <c r="C2986" s="117" t="inlineStr">
        <is>
          <t>United Kingdom</t>
        </is>
      </c>
      <c r="D2986" s="117" t="inlineStr">
        <is>
          <t>21770</t>
        </is>
      </c>
      <c r="E2986" s="117" t="inlineStr">
        <is>
          <t>OPEN CLOSED METAL SIGN</t>
        </is>
      </c>
      <c r="F2986" s="117" t="n">
        <v>1</v>
      </c>
      <c r="G2986" s="118" t="n">
        <v>4.95</v>
      </c>
      <c r="H2986" s="118" t="n">
        <v>4.95</v>
      </c>
      <c r="I2986" s="119" t="n">
        <v>40797</v>
      </c>
    </row>
    <row r="2987">
      <c r="A2987" s="114" t="inlineStr">
        <is>
          <t>566305</t>
        </is>
      </c>
      <c r="B2987" s="114" t="n">
        <v>14110</v>
      </c>
      <c r="C2987" s="114" t="inlineStr">
        <is>
          <t>United Kingdom</t>
        </is>
      </c>
      <c r="D2987" s="114" t="inlineStr">
        <is>
          <t>22687</t>
        </is>
      </c>
      <c r="E2987" s="114" t="inlineStr">
        <is>
          <t>DOORMAT CHRISTMAS VILLAGE</t>
        </is>
      </c>
      <c r="F2987" s="114" t="n">
        <v>2</v>
      </c>
      <c r="G2987" s="115" t="n">
        <v>8.25</v>
      </c>
      <c r="H2987" s="115" t="n">
        <v>16.5</v>
      </c>
      <c r="I2987" s="116" t="n">
        <v>40798</v>
      </c>
    </row>
    <row r="2988">
      <c r="A2988" s="117" t="inlineStr">
        <is>
          <t>566306</t>
        </is>
      </c>
      <c r="B2988" s="117" t="n">
        <v>13265</v>
      </c>
      <c r="C2988" s="117" t="inlineStr">
        <is>
          <t>United Kingdom</t>
        </is>
      </c>
      <c r="D2988" s="117" t="inlineStr">
        <is>
          <t>23046</t>
        </is>
      </c>
      <c r="E2988" s="117" t="inlineStr">
        <is>
          <t>PAPER LANTERN 9 POINT DELUXE STAR</t>
        </is>
      </c>
      <c r="F2988" s="117" t="n">
        <v>4</v>
      </c>
      <c r="G2988" s="118" t="n">
        <v>6.65</v>
      </c>
      <c r="H2988" s="118" t="n">
        <v>26.6</v>
      </c>
      <c r="I2988" s="119" t="n">
        <v>40798</v>
      </c>
    </row>
    <row r="2989">
      <c r="A2989" s="114" t="inlineStr">
        <is>
          <t>566307</t>
        </is>
      </c>
      <c r="B2989" s="114" t="n">
        <v>14307</v>
      </c>
      <c r="C2989" s="114" t="inlineStr">
        <is>
          <t>United Kingdom</t>
        </is>
      </c>
      <c r="D2989" s="114" t="inlineStr">
        <is>
          <t>21479</t>
        </is>
      </c>
      <c r="E2989" s="114" t="inlineStr">
        <is>
          <t xml:space="preserve">WHITE SKULL HOT WATER BOTTLE </t>
        </is>
      </c>
      <c r="F2989" s="114" t="n">
        <v>8</v>
      </c>
      <c r="G2989" s="115" t="n">
        <v>3.75</v>
      </c>
      <c r="H2989" s="115" t="n">
        <v>30</v>
      </c>
      <c r="I2989" s="116" t="n">
        <v>40798</v>
      </c>
    </row>
    <row r="2990">
      <c r="A2990" s="117" t="inlineStr">
        <is>
          <t>566317</t>
        </is>
      </c>
      <c r="B2990" s="117" t="n">
        <v>13375</v>
      </c>
      <c r="C2990" s="117" t="inlineStr">
        <is>
          <t>United Kingdom</t>
        </is>
      </c>
      <c r="D2990" s="117" t="inlineStr">
        <is>
          <t>84987</t>
        </is>
      </c>
      <c r="E2990" s="117" t="inlineStr">
        <is>
          <t>SET OF 36 TEATIME PAPER DOILIES</t>
        </is>
      </c>
      <c r="F2990" s="117" t="n">
        <v>12</v>
      </c>
      <c r="G2990" s="118" t="n">
        <v>1.45</v>
      </c>
      <c r="H2990" s="118" t="n">
        <v>17.4</v>
      </c>
      <c r="I2990" s="119" t="n">
        <v>40798</v>
      </c>
    </row>
    <row r="2991">
      <c r="A2991" s="114" t="inlineStr">
        <is>
          <t>566328</t>
        </is>
      </c>
      <c r="B2991" s="114" t="n">
        <v>13743</v>
      </c>
      <c r="C2991" s="114" t="inlineStr">
        <is>
          <t>United Kingdom</t>
        </is>
      </c>
      <c r="D2991" s="114" t="inlineStr">
        <is>
          <t>22492</t>
        </is>
      </c>
      <c r="E2991" s="114" t="inlineStr">
        <is>
          <t xml:space="preserve">MINI PAINT SET VINTAGE </t>
        </is>
      </c>
      <c r="F2991" s="114" t="n">
        <v>108</v>
      </c>
      <c r="G2991" s="115" t="n">
        <v>0.65</v>
      </c>
      <c r="H2991" s="115" t="n">
        <v>70.2</v>
      </c>
      <c r="I2991" s="116" t="n">
        <v>40798</v>
      </c>
    </row>
    <row r="2992">
      <c r="A2992" s="117" t="inlineStr">
        <is>
          <t>566345</t>
        </is>
      </c>
      <c r="B2992" s="117" t="n">
        <v>17685</v>
      </c>
      <c r="C2992" s="117" t="inlineStr">
        <is>
          <t>United Kingdom</t>
        </is>
      </c>
      <c r="D2992" s="117" t="inlineStr">
        <is>
          <t>22613</t>
        </is>
      </c>
      <c r="E2992" s="117" t="inlineStr">
        <is>
          <t>PACK OF 20 SPACEBOY NAPKINS</t>
        </is>
      </c>
      <c r="F2992" s="117" t="n">
        <v>6</v>
      </c>
      <c r="G2992" s="118" t="n">
        <v>0.85</v>
      </c>
      <c r="H2992" s="118" t="n">
        <v>5.1</v>
      </c>
      <c r="I2992" s="119" t="n">
        <v>40798</v>
      </c>
    </row>
    <row r="2993">
      <c r="A2993" s="114" t="inlineStr">
        <is>
          <t>566345</t>
        </is>
      </c>
      <c r="B2993" s="114" t="n">
        <v>17685</v>
      </c>
      <c r="C2993" s="114" t="inlineStr">
        <is>
          <t>United Kingdom</t>
        </is>
      </c>
      <c r="D2993" s="114" t="inlineStr">
        <is>
          <t>21326</t>
        </is>
      </c>
      <c r="E2993" s="114" t="inlineStr">
        <is>
          <t>AGED GLASS SILVER T-LIGHT HOLDER</t>
        </is>
      </c>
      <c r="F2993" s="114" t="n">
        <v>24</v>
      </c>
      <c r="G2993" s="115" t="n">
        <v>0.65</v>
      </c>
      <c r="H2993" s="115" t="n">
        <v>15.6</v>
      </c>
      <c r="I2993" s="116" t="n">
        <v>40798</v>
      </c>
    </row>
    <row r="2994">
      <c r="A2994" s="117" t="inlineStr">
        <is>
          <t>566395</t>
        </is>
      </c>
      <c r="B2994" s="117" t="n">
        <v>14952</v>
      </c>
      <c r="C2994" s="117" t="inlineStr">
        <is>
          <t>United Kingdom</t>
        </is>
      </c>
      <c r="D2994" s="117" t="inlineStr">
        <is>
          <t>23245</t>
        </is>
      </c>
      <c r="E2994" s="117" t="inlineStr">
        <is>
          <t>SET OF 3 REGENCY CAKE TINS</t>
        </is>
      </c>
      <c r="F2994" s="117" t="n">
        <v>16</v>
      </c>
      <c r="G2994" s="118" t="n">
        <v>4.15</v>
      </c>
      <c r="H2994" s="118" t="n">
        <v>66.40000000000001</v>
      </c>
      <c r="I2994" s="119" t="n">
        <v>40798</v>
      </c>
    </row>
    <row r="2995">
      <c r="A2995" s="114" t="inlineStr">
        <is>
          <t>566408</t>
        </is>
      </c>
      <c r="B2995" s="114" t="n">
        <v>16984</v>
      </c>
      <c r="C2995" s="114" t="inlineStr">
        <is>
          <t>United Kingdom</t>
        </is>
      </c>
      <c r="D2995" s="114" t="inlineStr">
        <is>
          <t>23169</t>
        </is>
      </c>
      <c r="E2995" s="114" t="inlineStr">
        <is>
          <t>CLASSIC GLASS COOKIE JAR</t>
        </is>
      </c>
      <c r="F2995" s="114" t="n">
        <v>3</v>
      </c>
      <c r="G2995" s="115" t="n">
        <v>4.15</v>
      </c>
      <c r="H2995" s="115" t="n">
        <v>12.45</v>
      </c>
      <c r="I2995" s="116" t="n">
        <v>40798</v>
      </c>
    </row>
    <row r="2996">
      <c r="A2996" s="117" t="inlineStr">
        <is>
          <t>566408</t>
        </is>
      </c>
      <c r="B2996" s="117" t="n">
        <v>16984</v>
      </c>
      <c r="C2996" s="117" t="inlineStr">
        <is>
          <t>United Kingdom</t>
        </is>
      </c>
      <c r="D2996" s="117" t="inlineStr">
        <is>
          <t>22363</t>
        </is>
      </c>
      <c r="E2996" s="117" t="inlineStr">
        <is>
          <t xml:space="preserve">GLASS JAR MARMALADE </t>
        </is>
      </c>
      <c r="F2996" s="117" t="n">
        <v>1</v>
      </c>
      <c r="G2996" s="118" t="n">
        <v>2.95</v>
      </c>
      <c r="H2996" s="118" t="n">
        <v>2.95</v>
      </c>
      <c r="I2996" s="119" t="n">
        <v>40798</v>
      </c>
    </row>
    <row r="2997">
      <c r="A2997" s="114" t="inlineStr">
        <is>
          <t>566408</t>
        </is>
      </c>
      <c r="B2997" s="114" t="n">
        <v>16984</v>
      </c>
      <c r="C2997" s="114" t="inlineStr">
        <is>
          <t>United Kingdom</t>
        </is>
      </c>
      <c r="D2997" s="114" t="inlineStr">
        <is>
          <t>22364</t>
        </is>
      </c>
      <c r="E2997" s="114" t="inlineStr">
        <is>
          <t>GLASS JAR DIGESTIVE BISCUITS</t>
        </is>
      </c>
      <c r="F2997" s="114" t="n">
        <v>2</v>
      </c>
      <c r="G2997" s="115" t="n">
        <v>2.95</v>
      </c>
      <c r="H2997" s="115" t="n">
        <v>5.9</v>
      </c>
      <c r="I2997" s="116" t="n">
        <v>40798</v>
      </c>
    </row>
    <row r="2998">
      <c r="A2998" s="117" t="inlineStr">
        <is>
          <t>566424</t>
        </is>
      </c>
      <c r="B2998" s="117" t="n">
        <v>13309</v>
      </c>
      <c r="C2998" s="117" t="inlineStr">
        <is>
          <t>United Kingdom</t>
        </is>
      </c>
      <c r="D2998" s="117" t="inlineStr">
        <is>
          <t>23207</t>
        </is>
      </c>
      <c r="E2998" s="117" t="inlineStr">
        <is>
          <t>LUNCH BAG ALPHABET DESIGN</t>
        </is>
      </c>
      <c r="F2998" s="117" t="n">
        <v>10</v>
      </c>
      <c r="G2998" s="118" t="n">
        <v>1.65</v>
      </c>
      <c r="H2998" s="118" t="n">
        <v>16.5</v>
      </c>
      <c r="I2998" s="119" t="n">
        <v>40798</v>
      </c>
    </row>
    <row r="2999">
      <c r="A2999" s="114" t="inlineStr">
        <is>
          <t>566424</t>
        </is>
      </c>
      <c r="B2999" s="114" t="n">
        <v>13309</v>
      </c>
      <c r="C2999" s="114" t="inlineStr">
        <is>
          <t>United Kingdom</t>
        </is>
      </c>
      <c r="D2999" s="114" t="inlineStr">
        <is>
          <t>22037</t>
        </is>
      </c>
      <c r="E2999" s="114" t="inlineStr">
        <is>
          <t>ROBOT BIRTHDAY CARD</t>
        </is>
      </c>
      <c r="F2999" s="114" t="n">
        <v>12</v>
      </c>
      <c r="G2999" s="115" t="n">
        <v>0.42</v>
      </c>
      <c r="H2999" s="115" t="n">
        <v>5.04</v>
      </c>
      <c r="I2999" s="116" t="n">
        <v>40798</v>
      </c>
    </row>
    <row r="3000">
      <c r="A3000" s="117" t="inlineStr">
        <is>
          <t>566438</t>
        </is>
      </c>
      <c r="B3000" s="117" t="n">
        <v>15996</v>
      </c>
      <c r="C3000" s="117" t="inlineStr">
        <is>
          <t>United Kingdom</t>
        </is>
      </c>
      <c r="D3000" s="117" t="inlineStr">
        <is>
          <t>21617</t>
        </is>
      </c>
      <c r="E3000" s="117" t="inlineStr">
        <is>
          <t>4 LILY  BOTANICAL DINNER CANDLES</t>
        </is>
      </c>
      <c r="F3000" s="117" t="n">
        <v>4</v>
      </c>
      <c r="G3000" s="118" t="n">
        <v>3.75</v>
      </c>
      <c r="H3000" s="118" t="n">
        <v>15</v>
      </c>
      <c r="I3000" s="119" t="n">
        <v>40798</v>
      </c>
    </row>
    <row r="3001">
      <c r="A3001" s="114" t="inlineStr">
        <is>
          <t>566451</t>
        </is>
      </c>
      <c r="B3001" s="114" t="n">
        <v>18069</v>
      </c>
      <c r="C3001" s="114" t="inlineStr">
        <is>
          <t>United Kingdom</t>
        </is>
      </c>
      <c r="D3001" s="114" t="inlineStr">
        <is>
          <t>22153</t>
        </is>
      </c>
      <c r="E3001" s="114" t="inlineStr">
        <is>
          <t>ANGEL DECORATION STARS ON DRESS</t>
        </is>
      </c>
      <c r="F3001" s="114" t="n">
        <v>4</v>
      </c>
      <c r="G3001" s="115" t="n">
        <v>0.42</v>
      </c>
      <c r="H3001" s="115" t="n">
        <v>1.68</v>
      </c>
      <c r="I3001" s="116" t="n">
        <v>40798</v>
      </c>
    </row>
    <row r="3002">
      <c r="A3002" s="117" t="inlineStr">
        <is>
          <t>566480</t>
        </is>
      </c>
      <c r="B3002" s="117" t="n">
        <v>16451</v>
      </c>
      <c r="C3002" s="117" t="inlineStr">
        <is>
          <t>United Kingdom</t>
        </is>
      </c>
      <c r="D3002" s="117" t="inlineStr">
        <is>
          <t>23240</t>
        </is>
      </c>
      <c r="E3002" s="117" t="inlineStr">
        <is>
          <t xml:space="preserve">SET OF 4 KNICK KNACK TINS DOILY </t>
        </is>
      </c>
      <c r="F3002" s="117" t="n">
        <v>12</v>
      </c>
      <c r="G3002" s="118" t="n">
        <v>4.15</v>
      </c>
      <c r="H3002" s="118" t="n">
        <v>49.8</v>
      </c>
      <c r="I3002" s="119" t="n">
        <v>40799</v>
      </c>
    </row>
    <row r="3003">
      <c r="A3003" s="114" t="inlineStr">
        <is>
          <t>566495</t>
        </is>
      </c>
      <c r="B3003" s="114" t="n">
        <v>15529</v>
      </c>
      <c r="C3003" s="114" t="inlineStr">
        <is>
          <t>United Kingdom</t>
        </is>
      </c>
      <c r="D3003" s="114" t="inlineStr">
        <is>
          <t>21563</t>
        </is>
      </c>
      <c r="E3003" s="114" t="inlineStr">
        <is>
          <t xml:space="preserve">RED HEART SHAPE LOVE BUCKET </t>
        </is>
      </c>
      <c r="F3003" s="114" t="n">
        <v>1</v>
      </c>
      <c r="G3003" s="115" t="n">
        <v>2.95</v>
      </c>
      <c r="H3003" s="115" t="n">
        <v>2.95</v>
      </c>
      <c r="I3003" s="116" t="n">
        <v>40799</v>
      </c>
    </row>
    <row r="3004">
      <c r="A3004" s="117" t="inlineStr">
        <is>
          <t>566495</t>
        </is>
      </c>
      <c r="B3004" s="117" t="n">
        <v>15529</v>
      </c>
      <c r="C3004" s="117" t="inlineStr">
        <is>
          <t>United Kingdom</t>
        </is>
      </c>
      <c r="D3004" s="117" t="inlineStr">
        <is>
          <t>22715</t>
        </is>
      </c>
      <c r="E3004" s="117" t="inlineStr">
        <is>
          <t>CARD WEDDING DAY</t>
        </is>
      </c>
      <c r="F3004" s="117" t="n">
        <v>12</v>
      </c>
      <c r="G3004" s="118" t="n">
        <v>0.42</v>
      </c>
      <c r="H3004" s="118" t="n">
        <v>5.04</v>
      </c>
      <c r="I3004" s="119" t="n">
        <v>40799</v>
      </c>
    </row>
    <row r="3005">
      <c r="A3005" s="114" t="inlineStr">
        <is>
          <t>566539</t>
        </is>
      </c>
      <c r="B3005" s="114" t="n">
        <v>17228</v>
      </c>
      <c r="C3005" s="114" t="inlineStr">
        <is>
          <t>United Kingdom</t>
        </is>
      </c>
      <c r="D3005" s="114" t="inlineStr">
        <is>
          <t>84987</t>
        </is>
      </c>
      <c r="E3005" s="114" t="inlineStr">
        <is>
          <t>SET OF 36 TEATIME PAPER DOILIES</t>
        </is>
      </c>
      <c r="F3005" s="114" t="n">
        <v>2</v>
      </c>
      <c r="G3005" s="115" t="n">
        <v>1.45</v>
      </c>
      <c r="H3005" s="115" t="n">
        <v>2.9</v>
      </c>
      <c r="I3005" s="116" t="n">
        <v>40799</v>
      </c>
    </row>
    <row r="3006">
      <c r="A3006" s="117" t="inlineStr">
        <is>
          <t>566539</t>
        </is>
      </c>
      <c r="B3006" s="117" t="n">
        <v>17228</v>
      </c>
      <c r="C3006" s="117" t="inlineStr">
        <is>
          <t>United Kingdom</t>
        </is>
      </c>
      <c r="D3006" s="117" t="inlineStr">
        <is>
          <t>22966</t>
        </is>
      </c>
      <c r="E3006" s="117" t="inlineStr">
        <is>
          <t>GINGERBREAD MAN COOKIE CUTTER</t>
        </is>
      </c>
      <c r="F3006" s="117" t="n">
        <v>3</v>
      </c>
      <c r="G3006" s="118" t="n">
        <v>1.25</v>
      </c>
      <c r="H3006" s="118" t="n">
        <v>3.75</v>
      </c>
      <c r="I3006" s="119" t="n">
        <v>40799</v>
      </c>
    </row>
    <row r="3007">
      <c r="A3007" s="114" t="inlineStr">
        <is>
          <t>566539</t>
        </is>
      </c>
      <c r="B3007" s="114" t="n">
        <v>17228</v>
      </c>
      <c r="C3007" s="114" t="inlineStr">
        <is>
          <t>United Kingdom</t>
        </is>
      </c>
      <c r="D3007" s="114" t="inlineStr">
        <is>
          <t>20726</t>
        </is>
      </c>
      <c r="E3007" s="114" t="inlineStr">
        <is>
          <t>LUNCH BAG WOODLAND</t>
        </is>
      </c>
      <c r="F3007" s="114" t="n">
        <v>3</v>
      </c>
      <c r="G3007" s="115" t="n">
        <v>1.65</v>
      </c>
      <c r="H3007" s="115" t="n">
        <v>4.95</v>
      </c>
      <c r="I3007" s="116" t="n">
        <v>40799</v>
      </c>
    </row>
    <row r="3008">
      <c r="A3008" s="117" t="inlineStr">
        <is>
          <t>566559</t>
        </is>
      </c>
      <c r="B3008" s="117" t="n">
        <v>18044</v>
      </c>
      <c r="C3008" s="117" t="inlineStr">
        <is>
          <t>United Kingdom</t>
        </is>
      </c>
      <c r="D3008" s="117" t="inlineStr">
        <is>
          <t>21232</t>
        </is>
      </c>
      <c r="E3008" s="117" t="inlineStr">
        <is>
          <t>STRAWBERRY CERAMIC TRINKET BOX</t>
        </is>
      </c>
      <c r="F3008" s="117" t="n">
        <v>12</v>
      </c>
      <c r="G3008" s="118" t="n">
        <v>1.25</v>
      </c>
      <c r="H3008" s="118" t="n">
        <v>15</v>
      </c>
      <c r="I3008" s="119" t="n">
        <v>40799</v>
      </c>
    </row>
    <row r="3009">
      <c r="A3009" s="114" t="inlineStr">
        <is>
          <t>566561</t>
        </is>
      </c>
      <c r="B3009" s="114" t="n">
        <v>18145</v>
      </c>
      <c r="C3009" s="114" t="inlineStr">
        <is>
          <t>United Kingdom</t>
        </is>
      </c>
      <c r="D3009" s="114" t="inlineStr">
        <is>
          <t>22026</t>
        </is>
      </c>
      <c r="E3009" s="114" t="inlineStr">
        <is>
          <t xml:space="preserve">BANQUET BIRTHDAY  CARD  </t>
        </is>
      </c>
      <c r="F3009" s="114" t="n">
        <v>12</v>
      </c>
      <c r="G3009" s="115" t="n">
        <v>0.42</v>
      </c>
      <c r="H3009" s="115" t="n">
        <v>5.04</v>
      </c>
      <c r="I3009" s="116" t="n">
        <v>40799</v>
      </c>
    </row>
    <row r="3010">
      <c r="A3010" s="117" t="inlineStr">
        <is>
          <t>566562</t>
        </is>
      </c>
      <c r="B3010" s="117" t="n">
        <v>17365</v>
      </c>
      <c r="C3010" s="117" t="inlineStr">
        <is>
          <t>United Kingdom</t>
        </is>
      </c>
      <c r="D3010" s="117" t="inlineStr">
        <is>
          <t>22532</t>
        </is>
      </c>
      <c r="E3010" s="117" t="inlineStr">
        <is>
          <t xml:space="preserve">MAGIC DRAWING SLATE LEAP FROG </t>
        </is>
      </c>
      <c r="F3010" s="117" t="n">
        <v>8</v>
      </c>
      <c r="G3010" s="118" t="n">
        <v>0.42</v>
      </c>
      <c r="H3010" s="118" t="n">
        <v>3.36</v>
      </c>
      <c r="I3010" s="119" t="n">
        <v>40799</v>
      </c>
    </row>
    <row r="3011">
      <c r="A3011" s="114" t="inlineStr">
        <is>
          <t>566564</t>
        </is>
      </c>
      <c r="B3011" s="114" t="n">
        <v>15522</v>
      </c>
      <c r="C3011" s="114" t="inlineStr">
        <is>
          <t>United Kingdom</t>
        </is>
      </c>
      <c r="D3011" s="114" t="inlineStr">
        <is>
          <t>22382</t>
        </is>
      </c>
      <c r="E3011" s="114" t="inlineStr">
        <is>
          <t xml:space="preserve">LUNCH BAG SPACEBOY DESIGN </t>
        </is>
      </c>
      <c r="F3011" s="114" t="n">
        <v>2</v>
      </c>
      <c r="G3011" s="115" t="n">
        <v>1.65</v>
      </c>
      <c r="H3011" s="115" t="n">
        <v>3.3</v>
      </c>
      <c r="I3011" s="116" t="n">
        <v>40799</v>
      </c>
    </row>
    <row r="3012">
      <c r="A3012" s="117" t="inlineStr">
        <is>
          <t>566564</t>
        </is>
      </c>
      <c r="B3012" s="117" t="n">
        <v>15522</v>
      </c>
      <c r="C3012" s="117" t="inlineStr">
        <is>
          <t>United Kingdom</t>
        </is>
      </c>
      <c r="D3012" s="117" t="inlineStr">
        <is>
          <t>22970</t>
        </is>
      </c>
      <c r="E3012" s="117" t="inlineStr">
        <is>
          <t>LONDON BUS COFFEE MUG</t>
        </is>
      </c>
      <c r="F3012" s="117" t="n">
        <v>6</v>
      </c>
      <c r="G3012" s="118" t="n">
        <v>2.55</v>
      </c>
      <c r="H3012" s="118" t="n">
        <v>15.3</v>
      </c>
      <c r="I3012" s="119" t="n">
        <v>40799</v>
      </c>
    </row>
    <row r="3013">
      <c r="A3013" s="114" t="inlineStr">
        <is>
          <t>566580</t>
        </is>
      </c>
      <c r="B3013" s="114" t="n">
        <v>12822</v>
      </c>
      <c r="C3013" s="114" t="inlineStr">
        <is>
          <t>United Kingdom</t>
        </is>
      </c>
      <c r="D3013" s="114" t="inlineStr">
        <is>
          <t>23183</t>
        </is>
      </c>
      <c r="E3013" s="114" t="inlineStr">
        <is>
          <t xml:space="preserve">MOTHER'S KITCHEN SPOON REST </t>
        </is>
      </c>
      <c r="F3013" s="114" t="n">
        <v>6</v>
      </c>
      <c r="G3013" s="115" t="n">
        <v>3.75</v>
      </c>
      <c r="H3013" s="115" t="n">
        <v>22.5</v>
      </c>
      <c r="I3013" s="116" t="n">
        <v>40799</v>
      </c>
    </row>
    <row r="3014">
      <c r="A3014" s="117" t="inlineStr">
        <is>
          <t>566582</t>
        </is>
      </c>
      <c r="B3014" s="117" t="n">
        <v>13384</v>
      </c>
      <c r="C3014" s="117" t="inlineStr">
        <is>
          <t>United Kingdom</t>
        </is>
      </c>
      <c r="D3014" s="117" t="inlineStr">
        <is>
          <t>23275</t>
        </is>
      </c>
      <c r="E3014" s="117" t="inlineStr">
        <is>
          <t>SET OF 3 HANGING OWLS OLLIE BEAK</t>
        </is>
      </c>
      <c r="F3014" s="117" t="n">
        <v>48</v>
      </c>
      <c r="G3014" s="118" t="n">
        <v>1.25</v>
      </c>
      <c r="H3014" s="118" t="n">
        <v>60</v>
      </c>
      <c r="I3014" s="119" t="n">
        <v>40799</v>
      </c>
    </row>
    <row r="3015">
      <c r="A3015" s="114" t="inlineStr">
        <is>
          <t>566583</t>
        </is>
      </c>
      <c r="B3015" s="114" t="n">
        <v>15343</v>
      </c>
      <c r="C3015" s="114" t="inlineStr">
        <is>
          <t>United Kingdom</t>
        </is>
      </c>
      <c r="D3015" s="114" t="inlineStr">
        <is>
          <t>22692</t>
        </is>
      </c>
      <c r="E3015" s="114" t="inlineStr">
        <is>
          <t>DOORMAT WELCOME TO OUR HOME</t>
        </is>
      </c>
      <c r="F3015" s="114" t="n">
        <v>2</v>
      </c>
      <c r="G3015" s="115" t="n">
        <v>8.25</v>
      </c>
      <c r="H3015" s="115" t="n">
        <v>16.5</v>
      </c>
      <c r="I3015" s="116" t="n">
        <v>40799</v>
      </c>
    </row>
    <row r="3016">
      <c r="A3016" s="117" t="inlineStr">
        <is>
          <t>566585</t>
        </is>
      </c>
      <c r="B3016" s="117" t="n">
        <v>16409</v>
      </c>
      <c r="C3016" s="117" t="inlineStr">
        <is>
          <t>United Kingdom</t>
        </is>
      </c>
      <c r="D3016" s="117" t="inlineStr">
        <is>
          <t>22485</t>
        </is>
      </c>
      <c r="E3016" s="117" t="inlineStr">
        <is>
          <t>SET OF 2 WOODEN MARKET CRATES</t>
        </is>
      </c>
      <c r="F3016" s="117" t="n">
        <v>2</v>
      </c>
      <c r="G3016" s="118" t="n">
        <v>12.75</v>
      </c>
      <c r="H3016" s="118" t="n">
        <v>25.5</v>
      </c>
      <c r="I3016" s="119" t="n">
        <v>40799</v>
      </c>
    </row>
    <row r="3017">
      <c r="A3017" s="114" t="inlineStr">
        <is>
          <t>566587</t>
        </is>
      </c>
      <c r="B3017" s="114" t="n">
        <v>14132</v>
      </c>
      <c r="C3017" s="114" t="inlineStr">
        <is>
          <t>United Kingdom</t>
        </is>
      </c>
      <c r="D3017" s="114" t="inlineStr">
        <is>
          <t>22274</t>
        </is>
      </c>
      <c r="E3017" s="114" t="inlineStr">
        <is>
          <t>FELTCRAFT DOLL EMILY</t>
        </is>
      </c>
      <c r="F3017" s="114" t="n">
        <v>6</v>
      </c>
      <c r="G3017" s="115" t="n">
        <v>2.95</v>
      </c>
      <c r="H3017" s="115" t="n">
        <v>17.7</v>
      </c>
      <c r="I3017" s="116" t="n">
        <v>40799</v>
      </c>
    </row>
    <row r="3018">
      <c r="A3018" s="117" t="inlineStr">
        <is>
          <t>566589</t>
        </is>
      </c>
      <c r="B3018" s="117" t="n">
        <v>14753</v>
      </c>
      <c r="C3018" s="117" t="inlineStr">
        <is>
          <t>United Kingdom</t>
        </is>
      </c>
      <c r="D3018" s="117" t="inlineStr">
        <is>
          <t>22940</t>
        </is>
      </c>
      <c r="E3018" s="117" t="inlineStr">
        <is>
          <t>FELTCRAFT CHRISTMAS FAIRY</t>
        </is>
      </c>
      <c r="F3018" s="117" t="n">
        <v>4</v>
      </c>
      <c r="G3018" s="118" t="n">
        <v>4.25</v>
      </c>
      <c r="H3018" s="118" t="n">
        <v>17</v>
      </c>
      <c r="I3018" s="119" t="n">
        <v>40799</v>
      </c>
    </row>
    <row r="3019">
      <c r="A3019" s="114" t="inlineStr">
        <is>
          <t>566592</t>
        </is>
      </c>
      <c r="B3019" s="114" t="n">
        <v>15201</v>
      </c>
      <c r="C3019" s="114" t="inlineStr">
        <is>
          <t>United Kingdom</t>
        </is>
      </c>
      <c r="D3019" s="114" t="inlineStr">
        <is>
          <t>23266</t>
        </is>
      </c>
      <c r="E3019" s="114" t="inlineStr">
        <is>
          <t>SET OF 3 WOODEN STOCKING DECORATION</t>
        </is>
      </c>
      <c r="F3019" s="114" t="n">
        <v>12</v>
      </c>
      <c r="G3019" s="115" t="n">
        <v>1.25</v>
      </c>
      <c r="H3019" s="115" t="n">
        <v>15</v>
      </c>
      <c r="I3019" s="116" t="n">
        <v>40799</v>
      </c>
    </row>
    <row r="3020">
      <c r="A3020" s="117" t="inlineStr">
        <is>
          <t>566591</t>
        </is>
      </c>
      <c r="B3020" s="117" t="n">
        <v>16036</v>
      </c>
      <c r="C3020" s="117" t="inlineStr">
        <is>
          <t>United Kingdom</t>
        </is>
      </c>
      <c r="D3020" s="117" t="inlineStr">
        <is>
          <t>21929</t>
        </is>
      </c>
      <c r="E3020" s="117" t="inlineStr">
        <is>
          <t>JUMBO BAG PINK VINTAGE PAISLEY</t>
        </is>
      </c>
      <c r="F3020" s="117" t="n">
        <v>10</v>
      </c>
      <c r="G3020" s="118" t="n">
        <v>2.08</v>
      </c>
      <c r="H3020" s="118" t="n">
        <v>20.8</v>
      </c>
      <c r="I3020" s="119" t="n">
        <v>40799</v>
      </c>
    </row>
    <row r="3021">
      <c r="A3021" s="114" t="inlineStr">
        <is>
          <t>566594</t>
        </is>
      </c>
      <c r="B3021" s="114" t="n">
        <v>16959</v>
      </c>
      <c r="C3021" s="114" t="inlineStr">
        <is>
          <t>United Kingdom</t>
        </is>
      </c>
      <c r="D3021" s="114" t="inlineStr">
        <is>
          <t>22355</t>
        </is>
      </c>
      <c r="E3021" s="114" t="inlineStr">
        <is>
          <t>CHARLOTTE BAG SUKI DESIGN</t>
        </is>
      </c>
      <c r="F3021" s="114" t="n">
        <v>10</v>
      </c>
      <c r="G3021" s="115" t="n">
        <v>0.85</v>
      </c>
      <c r="H3021" s="115" t="n">
        <v>8.5</v>
      </c>
      <c r="I3021" s="116" t="n">
        <v>40799</v>
      </c>
    </row>
    <row r="3022">
      <c r="A3022" s="117" t="inlineStr">
        <is>
          <t>566601</t>
        </is>
      </c>
      <c r="B3022" s="117" t="n">
        <v>16469</v>
      </c>
      <c r="C3022" s="117" t="inlineStr">
        <is>
          <t>United Kingdom</t>
        </is>
      </c>
      <c r="D3022" s="117" t="inlineStr">
        <is>
          <t>22349</t>
        </is>
      </c>
      <c r="E3022" s="117" t="inlineStr">
        <is>
          <t>DOG BOWL CHASING BALL DESIGN</t>
        </is>
      </c>
      <c r="F3022" s="117" t="n">
        <v>1</v>
      </c>
      <c r="G3022" s="118" t="n">
        <v>3.75</v>
      </c>
      <c r="H3022" s="118" t="n">
        <v>3.75</v>
      </c>
      <c r="I3022" s="119" t="n">
        <v>40799</v>
      </c>
    </row>
    <row r="3023">
      <c r="A3023" s="114" t="inlineStr">
        <is>
          <t>566604</t>
        </is>
      </c>
      <c r="B3023" s="114" t="n">
        <v>16279</v>
      </c>
      <c r="C3023" s="114" t="inlineStr">
        <is>
          <t>United Kingdom</t>
        </is>
      </c>
      <c r="D3023" s="114" t="inlineStr">
        <is>
          <t>22456</t>
        </is>
      </c>
      <c r="E3023" s="114" t="inlineStr">
        <is>
          <t xml:space="preserve">NATURAL SLATE CHALKBOARD LARGE </t>
        </is>
      </c>
      <c r="F3023" s="114" t="n">
        <v>1</v>
      </c>
      <c r="G3023" s="115" t="n">
        <v>4.95</v>
      </c>
      <c r="H3023" s="115" t="n">
        <v>4.95</v>
      </c>
      <c r="I3023" s="116" t="n">
        <v>40799</v>
      </c>
    </row>
    <row r="3024">
      <c r="A3024" s="117" t="inlineStr">
        <is>
          <t>566607</t>
        </is>
      </c>
      <c r="B3024" s="117" t="n">
        <v>13032</v>
      </c>
      <c r="C3024" s="117" t="inlineStr">
        <is>
          <t>United Kingdom</t>
        </is>
      </c>
      <c r="D3024" s="117" t="inlineStr">
        <is>
          <t>23424</t>
        </is>
      </c>
      <c r="E3024" s="117" t="inlineStr">
        <is>
          <t>GINGHAM RECIPE BOOK BOX</t>
        </is>
      </c>
      <c r="F3024" s="117" t="n">
        <v>2</v>
      </c>
      <c r="G3024" s="118" t="n">
        <v>4.95</v>
      </c>
      <c r="H3024" s="118" t="n">
        <v>9.9</v>
      </c>
      <c r="I3024" s="119" t="n">
        <v>40799</v>
      </c>
    </row>
    <row r="3025">
      <c r="A3025" s="114" t="inlineStr">
        <is>
          <t>566612</t>
        </is>
      </c>
      <c r="B3025" s="114" t="n">
        <v>16229</v>
      </c>
      <c r="C3025" s="114" t="inlineStr">
        <is>
          <t>United Kingdom</t>
        </is>
      </c>
      <c r="D3025" s="114" t="inlineStr">
        <is>
          <t>23352</t>
        </is>
      </c>
      <c r="E3025" s="114" t="inlineStr">
        <is>
          <t xml:space="preserve">ROLL WRAP 50'S RED CHRISTMAS </t>
        </is>
      </c>
      <c r="F3025" s="114" t="n">
        <v>6</v>
      </c>
      <c r="G3025" s="115" t="n">
        <v>1.25</v>
      </c>
      <c r="H3025" s="115" t="n">
        <v>7.5</v>
      </c>
      <c r="I3025" s="116" t="n">
        <v>40799</v>
      </c>
    </row>
    <row r="3026">
      <c r="A3026" s="117" t="inlineStr">
        <is>
          <t>566612</t>
        </is>
      </c>
      <c r="B3026" s="117" t="n">
        <v>16229</v>
      </c>
      <c r="C3026" s="117" t="inlineStr">
        <is>
          <t>United Kingdom</t>
        </is>
      </c>
      <c r="D3026" s="117" t="inlineStr">
        <is>
          <t>21930</t>
        </is>
      </c>
      <c r="E3026" s="117" t="inlineStr">
        <is>
          <t>JUMBO STORAGE BAG SKULLS</t>
        </is>
      </c>
      <c r="F3026" s="117" t="n">
        <v>10</v>
      </c>
      <c r="G3026" s="118" t="n">
        <v>2.08</v>
      </c>
      <c r="H3026" s="118" t="n">
        <v>20.8</v>
      </c>
      <c r="I3026" s="119" t="n">
        <v>40799</v>
      </c>
    </row>
    <row r="3027">
      <c r="A3027" s="114" t="inlineStr">
        <is>
          <t>566629</t>
        </is>
      </c>
      <c r="B3027" s="114" t="n">
        <v>15622</v>
      </c>
      <c r="C3027" s="114" t="inlineStr">
        <is>
          <t>United Kingdom</t>
        </is>
      </c>
      <c r="D3027" s="114" t="inlineStr">
        <is>
          <t>23343</t>
        </is>
      </c>
      <c r="E3027" s="114" t="inlineStr">
        <is>
          <t xml:space="preserve">JUMBO BAG VINTAGE CHRISTMAS </t>
        </is>
      </c>
      <c r="F3027" s="114" t="n">
        <v>20</v>
      </c>
      <c r="G3027" s="115" t="n">
        <v>2.08</v>
      </c>
      <c r="H3027" s="115" t="n">
        <v>41.6</v>
      </c>
      <c r="I3027" s="116" t="n">
        <v>40800</v>
      </c>
    </row>
    <row r="3028">
      <c r="A3028" s="117" t="inlineStr">
        <is>
          <t>566630</t>
        </is>
      </c>
      <c r="B3028" s="117" t="n">
        <v>12971</v>
      </c>
      <c r="C3028" s="117" t="inlineStr">
        <is>
          <t>United Kingdom</t>
        </is>
      </c>
      <c r="D3028" s="117" t="inlineStr">
        <is>
          <t>15044A</t>
        </is>
      </c>
      <c r="E3028" s="117" t="inlineStr">
        <is>
          <t xml:space="preserve">PINK PAPER PARASOL </t>
        </is>
      </c>
      <c r="F3028" s="117" t="n">
        <v>12</v>
      </c>
      <c r="G3028" s="118" t="n">
        <v>2.95</v>
      </c>
      <c r="H3028" s="118" t="n">
        <v>35.4</v>
      </c>
      <c r="I3028" s="119" t="n">
        <v>40800</v>
      </c>
    </row>
    <row r="3029">
      <c r="A3029" s="114" t="inlineStr">
        <is>
          <t>566631</t>
        </is>
      </c>
      <c r="B3029" s="114" t="n">
        <v>15622</v>
      </c>
      <c r="C3029" s="114" t="inlineStr">
        <is>
          <t>United Kingdom</t>
        </is>
      </c>
      <c r="D3029" s="114" t="inlineStr">
        <is>
          <t>23240</t>
        </is>
      </c>
      <c r="E3029" s="114" t="inlineStr">
        <is>
          <t xml:space="preserve">SET OF 4 KNICK KNACK TINS DOILEY </t>
        </is>
      </c>
      <c r="F3029" s="114" t="n">
        <v>6</v>
      </c>
      <c r="G3029" s="115" t="n">
        <v>4.15</v>
      </c>
      <c r="H3029" s="115" t="n">
        <v>24.9</v>
      </c>
      <c r="I3029" s="116" t="n">
        <v>40800</v>
      </c>
    </row>
    <row r="3030">
      <c r="A3030" s="117" t="inlineStr">
        <is>
          <t>566633</t>
        </is>
      </c>
      <c r="B3030" s="117" t="n">
        <v>17193</v>
      </c>
      <c r="C3030" s="117" t="inlineStr">
        <is>
          <t>United Kingdom</t>
        </is>
      </c>
      <c r="D3030" s="117" t="inlineStr">
        <is>
          <t>23238</t>
        </is>
      </c>
      <c r="E3030" s="117" t="inlineStr">
        <is>
          <t xml:space="preserve">SET OF 4 KNICK KNACK TINS LONDON </t>
        </is>
      </c>
      <c r="F3030" s="117" t="n">
        <v>24</v>
      </c>
      <c r="G3030" s="118" t="n">
        <v>4.15</v>
      </c>
      <c r="H3030" s="118" t="n">
        <v>99.59999999999999</v>
      </c>
      <c r="I3030" s="119" t="n">
        <v>40800</v>
      </c>
    </row>
    <row r="3031">
      <c r="A3031" s="114" t="inlineStr">
        <is>
          <t>566649</t>
        </is>
      </c>
      <c r="B3031" s="114" t="n">
        <v>18173</v>
      </c>
      <c r="C3031" s="114" t="inlineStr">
        <is>
          <t>United Kingdom</t>
        </is>
      </c>
      <c r="D3031" s="114" t="inlineStr">
        <is>
          <t>22086</t>
        </is>
      </c>
      <c r="E3031" s="114" t="inlineStr">
        <is>
          <t xml:space="preserve">PAPER CHAIN KIT 50'S CHRISTMAS </t>
        </is>
      </c>
      <c r="F3031" s="114" t="n">
        <v>12</v>
      </c>
      <c r="G3031" s="115" t="n">
        <v>2.95</v>
      </c>
      <c r="H3031" s="115" t="n">
        <v>35.4</v>
      </c>
      <c r="I3031" s="116" t="n">
        <v>40800</v>
      </c>
    </row>
    <row r="3032">
      <c r="A3032" s="117" t="inlineStr">
        <is>
          <t>566713</t>
        </is>
      </c>
      <c r="B3032" s="117" t="n">
        <v>15933</v>
      </c>
      <c r="C3032" s="117" t="inlineStr">
        <is>
          <t>United Kingdom</t>
        </is>
      </c>
      <c r="D3032" s="117" t="inlineStr">
        <is>
          <t>21533</t>
        </is>
      </c>
      <c r="E3032" s="117" t="inlineStr">
        <is>
          <t>RETROSPOT LARGE MILK JUG</t>
        </is>
      </c>
      <c r="F3032" s="117" t="n">
        <v>3</v>
      </c>
      <c r="G3032" s="118" t="n">
        <v>4.95</v>
      </c>
      <c r="H3032" s="118" t="n">
        <v>14.85</v>
      </c>
      <c r="I3032" s="119" t="n">
        <v>40800</v>
      </c>
    </row>
    <row r="3033">
      <c r="A3033" s="114" t="inlineStr">
        <is>
          <t>566717</t>
        </is>
      </c>
      <c r="B3033" s="114" t="n">
        <v>17841</v>
      </c>
      <c r="C3033" s="114" t="inlineStr">
        <is>
          <t>United Kingdom</t>
        </is>
      </c>
      <c r="D3033" s="114" t="inlineStr">
        <is>
          <t>22252</t>
        </is>
      </c>
      <c r="E3033" s="114" t="inlineStr">
        <is>
          <t>BIRDCAGE DECORATION TEALIGHT HOLDER</t>
        </is>
      </c>
      <c r="F3033" s="114" t="n">
        <v>1</v>
      </c>
      <c r="G3033" s="115" t="n">
        <v>1.25</v>
      </c>
      <c r="H3033" s="115" t="n">
        <v>1.25</v>
      </c>
      <c r="I3033" s="116" t="n">
        <v>40800</v>
      </c>
    </row>
    <row r="3034">
      <c r="A3034" s="117" t="inlineStr">
        <is>
          <t>566726</t>
        </is>
      </c>
      <c r="B3034" s="117" t="n">
        <v>15021</v>
      </c>
      <c r="C3034" s="117" t="inlineStr">
        <is>
          <t>United Kingdom</t>
        </is>
      </c>
      <c r="D3034" s="117" t="inlineStr">
        <is>
          <t>23212</t>
        </is>
      </c>
      <c r="E3034" s="117" t="inlineStr">
        <is>
          <t>HEART WREATH DECORATION WITH BELL</t>
        </is>
      </c>
      <c r="F3034" s="117" t="n">
        <v>4</v>
      </c>
      <c r="G3034" s="118" t="n">
        <v>1.25</v>
      </c>
      <c r="H3034" s="118" t="n">
        <v>5</v>
      </c>
      <c r="I3034" s="119" t="n">
        <v>40800</v>
      </c>
    </row>
    <row r="3035">
      <c r="A3035" s="114" t="inlineStr">
        <is>
          <t>566729</t>
        </is>
      </c>
      <c r="B3035" s="114" t="n">
        <v>14562</v>
      </c>
      <c r="C3035" s="114" t="inlineStr">
        <is>
          <t>United Kingdom</t>
        </is>
      </c>
      <c r="D3035" s="114" t="inlineStr">
        <is>
          <t>20725</t>
        </is>
      </c>
      <c r="E3035" s="114" t="inlineStr">
        <is>
          <t>LUNCH BAG RED RETROSPOT</t>
        </is>
      </c>
      <c r="F3035" s="114" t="n">
        <v>2</v>
      </c>
      <c r="G3035" s="115" t="n">
        <v>1.65</v>
      </c>
      <c r="H3035" s="115" t="n">
        <v>3.3</v>
      </c>
      <c r="I3035" s="116" t="n">
        <v>40800</v>
      </c>
    </row>
    <row r="3036">
      <c r="A3036" s="117" t="inlineStr">
        <is>
          <t>566730</t>
        </is>
      </c>
      <c r="B3036" s="117" t="n">
        <v>14606</v>
      </c>
      <c r="C3036" s="117" t="inlineStr">
        <is>
          <t>United Kingdom</t>
        </is>
      </c>
      <c r="D3036" s="117" t="inlineStr">
        <is>
          <t>47590A</t>
        </is>
      </c>
      <c r="E3036" s="117" t="inlineStr">
        <is>
          <t>BLUE HAPPY BIRTHDAY BUNTING</t>
        </is>
      </c>
      <c r="F3036" s="117" t="n">
        <v>1</v>
      </c>
      <c r="G3036" s="118" t="n">
        <v>5.45</v>
      </c>
      <c r="H3036" s="118" t="n">
        <v>5.45</v>
      </c>
      <c r="I3036" s="119" t="n">
        <v>40800</v>
      </c>
    </row>
    <row r="3037">
      <c r="A3037" s="114" t="inlineStr">
        <is>
          <t>566731</t>
        </is>
      </c>
      <c r="B3037" s="114" t="n">
        <v>17883</v>
      </c>
      <c r="C3037" s="114" t="inlineStr">
        <is>
          <t>United Kingdom</t>
        </is>
      </c>
      <c r="D3037" s="114" t="inlineStr">
        <is>
          <t>22831</t>
        </is>
      </c>
      <c r="E3037" s="114" t="inlineStr">
        <is>
          <t>WHITE BROCANTE SOAP DISH</t>
        </is>
      </c>
      <c r="F3037" s="114" t="n">
        <v>1</v>
      </c>
      <c r="G3037" s="115" t="n">
        <v>2.95</v>
      </c>
      <c r="H3037" s="115" t="n">
        <v>2.95</v>
      </c>
      <c r="I3037" s="116" t="n">
        <v>40800</v>
      </c>
    </row>
    <row r="3038">
      <c r="A3038" s="117" t="inlineStr">
        <is>
          <t>566739</t>
        </is>
      </c>
      <c r="B3038" s="117" t="n">
        <v>12566</v>
      </c>
      <c r="C3038" s="117" t="inlineStr">
        <is>
          <t>Germany</t>
        </is>
      </c>
      <c r="D3038" s="117" t="inlineStr">
        <is>
          <t>22624</t>
        </is>
      </c>
      <c r="E3038" s="117" t="inlineStr">
        <is>
          <t>IVORY KITCHEN SCALES</t>
        </is>
      </c>
      <c r="F3038" s="117" t="n">
        <v>2</v>
      </c>
      <c r="G3038" s="118" t="n">
        <v>8.5</v>
      </c>
      <c r="H3038" s="118" t="n">
        <v>17</v>
      </c>
      <c r="I3038" s="119" t="n">
        <v>40800</v>
      </c>
    </row>
    <row r="3039">
      <c r="A3039" s="114" t="inlineStr">
        <is>
          <t>566771</t>
        </is>
      </c>
      <c r="B3039" s="114" t="n">
        <v>15322</v>
      </c>
      <c r="C3039" s="114" t="inlineStr">
        <is>
          <t>United Kingdom</t>
        </is>
      </c>
      <c r="D3039" s="114" t="inlineStr">
        <is>
          <t>23083</t>
        </is>
      </c>
      <c r="E3039" s="114" t="inlineStr">
        <is>
          <t xml:space="preserve">SET 6 PAPER TABLE LANTERN STARS </t>
        </is>
      </c>
      <c r="F3039" s="114" t="n">
        <v>6</v>
      </c>
      <c r="G3039" s="115" t="n">
        <v>3.75</v>
      </c>
      <c r="H3039" s="115" t="n">
        <v>22.5</v>
      </c>
      <c r="I3039" s="116" t="n">
        <v>40801</v>
      </c>
    </row>
    <row r="3040">
      <c r="A3040" s="117" t="inlineStr">
        <is>
          <t>566772</t>
        </is>
      </c>
      <c r="B3040" s="117" t="n">
        <v>13107</v>
      </c>
      <c r="C3040" s="117" t="inlineStr">
        <is>
          <t>United Kingdom</t>
        </is>
      </c>
      <c r="D3040" s="117" t="inlineStr">
        <is>
          <t>21479</t>
        </is>
      </c>
      <c r="E3040" s="117" t="inlineStr">
        <is>
          <t xml:space="preserve">WHITE SKULL HOT WATER BOTTLE </t>
        </is>
      </c>
      <c r="F3040" s="117" t="n">
        <v>12</v>
      </c>
      <c r="G3040" s="118" t="n">
        <v>4.25</v>
      </c>
      <c r="H3040" s="118" t="n">
        <v>51</v>
      </c>
      <c r="I3040" s="119" t="n">
        <v>40801</v>
      </c>
    </row>
    <row r="3041">
      <c r="A3041" s="114" t="inlineStr">
        <is>
          <t>566773</t>
        </is>
      </c>
      <c r="B3041" s="114" t="n">
        <v>12444</v>
      </c>
      <c r="C3041" s="114" t="inlineStr">
        <is>
          <t>Norway</t>
        </is>
      </c>
      <c r="D3041" s="114" t="inlineStr">
        <is>
          <t>23032</t>
        </is>
      </c>
      <c r="E3041" s="114" t="inlineStr">
        <is>
          <t>DRAWER KNOB CRACKLE GLAZE IVORY</t>
        </is>
      </c>
      <c r="F3041" s="114" t="n">
        <v>12</v>
      </c>
      <c r="G3041" s="115" t="n">
        <v>1.65</v>
      </c>
      <c r="H3041" s="115" t="n">
        <v>19.8</v>
      </c>
      <c r="I3041" s="116" t="n">
        <v>40801</v>
      </c>
    </row>
    <row r="3042">
      <c r="A3042" s="117" t="inlineStr">
        <is>
          <t>566821</t>
        </is>
      </c>
      <c r="B3042" s="117" t="n">
        <v>14227</v>
      </c>
      <c r="C3042" s="117" t="inlineStr">
        <is>
          <t>United Kingdom</t>
        </is>
      </c>
      <c r="D3042" s="117" t="inlineStr">
        <is>
          <t>22142</t>
        </is>
      </c>
      <c r="E3042" s="117" t="inlineStr">
        <is>
          <t xml:space="preserve">CHRISTMAS CRAFT WHITE FAIRY </t>
        </is>
      </c>
      <c r="F3042" s="117" t="n">
        <v>12</v>
      </c>
      <c r="G3042" s="118" t="n">
        <v>1.45</v>
      </c>
      <c r="H3042" s="118" t="n">
        <v>17.4</v>
      </c>
      <c r="I3042" s="119" t="n">
        <v>40801</v>
      </c>
    </row>
    <row r="3043">
      <c r="A3043" s="114" t="inlineStr">
        <is>
          <t>566851</t>
        </is>
      </c>
      <c r="B3043" s="114" t="n">
        <v>15573</v>
      </c>
      <c r="C3043" s="114" t="inlineStr">
        <is>
          <t>United Kingdom</t>
        </is>
      </c>
      <c r="D3043" s="114" t="inlineStr">
        <is>
          <t>22071</t>
        </is>
      </c>
      <c r="E3043" s="114" t="inlineStr">
        <is>
          <t xml:space="preserve">SMALL WHITE RETROSPOT MUG IN BOX </t>
        </is>
      </c>
      <c r="F3043" s="114" t="n">
        <v>3</v>
      </c>
      <c r="G3043" s="115" t="n">
        <v>3.75</v>
      </c>
      <c r="H3043" s="115" t="n">
        <v>11.25</v>
      </c>
      <c r="I3043" s="116" t="n">
        <v>40801</v>
      </c>
    </row>
    <row r="3044">
      <c r="A3044" s="117" t="inlineStr">
        <is>
          <t>566864</t>
        </is>
      </c>
      <c r="B3044" s="117" t="n">
        <v>17786</v>
      </c>
      <c r="C3044" s="117" t="inlineStr">
        <is>
          <t>United Kingdom</t>
        </is>
      </c>
      <c r="D3044" s="117" t="inlineStr">
        <is>
          <t>22662</t>
        </is>
      </c>
      <c r="E3044" s="117" t="inlineStr">
        <is>
          <t>LUNCH BAG DOLLY GIRL DESIGN</t>
        </is>
      </c>
      <c r="F3044" s="117" t="n">
        <v>3</v>
      </c>
      <c r="G3044" s="118" t="n">
        <v>1.65</v>
      </c>
      <c r="H3044" s="118" t="n">
        <v>4.95</v>
      </c>
      <c r="I3044" s="119" t="n">
        <v>40801</v>
      </c>
    </row>
    <row r="3045">
      <c r="A3045" s="114" t="inlineStr">
        <is>
          <t>566868</t>
        </is>
      </c>
      <c r="B3045" s="114" t="n">
        <v>14595</v>
      </c>
      <c r="C3045" s="114" t="inlineStr">
        <is>
          <t>United Kingdom</t>
        </is>
      </c>
      <c r="D3045" s="114" t="inlineStr">
        <is>
          <t>23337</t>
        </is>
      </c>
      <c r="E3045" s="114" t="inlineStr">
        <is>
          <t xml:space="preserve">EGG FRYING PAN MINT </t>
        </is>
      </c>
      <c r="F3045" s="114" t="n">
        <v>4</v>
      </c>
      <c r="G3045" s="115" t="n">
        <v>2.08</v>
      </c>
      <c r="H3045" s="115" t="n">
        <v>8.32</v>
      </c>
      <c r="I3045" s="116" t="n">
        <v>40801</v>
      </c>
    </row>
    <row r="3046">
      <c r="A3046" s="117" t="inlineStr">
        <is>
          <t>566873</t>
        </is>
      </c>
      <c r="B3046" s="117" t="n">
        <v>12682</v>
      </c>
      <c r="C3046" s="117" t="inlineStr">
        <is>
          <t>France</t>
        </is>
      </c>
      <c r="D3046" s="117" t="inlineStr">
        <is>
          <t>22027</t>
        </is>
      </c>
      <c r="E3046" s="117" t="inlineStr">
        <is>
          <t>TEA PARTY BIRTHDAY CARD</t>
        </is>
      </c>
      <c r="F3046" s="117" t="n">
        <v>12</v>
      </c>
      <c r="G3046" s="118" t="n">
        <v>0.42</v>
      </c>
      <c r="H3046" s="118" t="n">
        <v>5.04</v>
      </c>
      <c r="I3046" s="119" t="n">
        <v>40801</v>
      </c>
    </row>
    <row r="3047">
      <c r="A3047" s="114" t="inlineStr">
        <is>
          <t>566875</t>
        </is>
      </c>
      <c r="B3047" s="114" t="n">
        <v>17669</v>
      </c>
      <c r="C3047" s="114" t="inlineStr">
        <is>
          <t>United Kingdom</t>
        </is>
      </c>
      <c r="D3047" s="114" t="inlineStr">
        <is>
          <t>20727</t>
        </is>
      </c>
      <c r="E3047" s="114" t="inlineStr">
        <is>
          <t>LUNCH BAG  BLACK SKULL.</t>
        </is>
      </c>
      <c r="F3047" s="114" t="n">
        <v>10</v>
      </c>
      <c r="G3047" s="115" t="n">
        <v>1.65</v>
      </c>
      <c r="H3047" s="115" t="n">
        <v>16.5</v>
      </c>
      <c r="I3047" s="116" t="n">
        <v>40801</v>
      </c>
    </row>
    <row r="3048">
      <c r="A3048" s="117" t="inlineStr">
        <is>
          <t>566912</t>
        </is>
      </c>
      <c r="B3048" s="117" t="n">
        <v>14367</v>
      </c>
      <c r="C3048" s="117" t="inlineStr">
        <is>
          <t>United Kingdom</t>
        </is>
      </c>
      <c r="D3048" s="117" t="inlineStr">
        <is>
          <t>22624</t>
        </is>
      </c>
      <c r="E3048" s="117" t="inlineStr">
        <is>
          <t>IVORY KITCHEN SCALES</t>
        </is>
      </c>
      <c r="F3048" s="117" t="n">
        <v>2</v>
      </c>
      <c r="G3048" s="118" t="n">
        <v>8.5</v>
      </c>
      <c r="H3048" s="118" t="n">
        <v>17</v>
      </c>
      <c r="I3048" s="119" t="n">
        <v>40801</v>
      </c>
    </row>
    <row r="3049">
      <c r="A3049" s="114" t="inlineStr">
        <is>
          <t>566912</t>
        </is>
      </c>
      <c r="B3049" s="114" t="n">
        <v>14367</v>
      </c>
      <c r="C3049" s="114" t="inlineStr">
        <is>
          <t>United Kingdom</t>
        </is>
      </c>
      <c r="D3049" s="114" t="inlineStr">
        <is>
          <t>23209</t>
        </is>
      </c>
      <c r="E3049" s="114" t="inlineStr">
        <is>
          <t xml:space="preserve">LUNCH BAG VINTAGE DOILY </t>
        </is>
      </c>
      <c r="F3049" s="114" t="n">
        <v>10</v>
      </c>
      <c r="G3049" s="115" t="n">
        <v>1.65</v>
      </c>
      <c r="H3049" s="115" t="n">
        <v>16.5</v>
      </c>
      <c r="I3049" s="116" t="n">
        <v>40801</v>
      </c>
    </row>
    <row r="3050">
      <c r="A3050" s="117" t="inlineStr">
        <is>
          <t>566913</t>
        </is>
      </c>
      <c r="B3050" s="117" t="n">
        <v>17602</v>
      </c>
      <c r="C3050" s="117" t="inlineStr">
        <is>
          <t>United Kingdom</t>
        </is>
      </c>
      <c r="D3050" s="117" t="inlineStr">
        <is>
          <t>22068</t>
        </is>
      </c>
      <c r="E3050" s="117" t="inlineStr">
        <is>
          <t>BLACK PIRATE TREASURE CHEST</t>
        </is>
      </c>
      <c r="F3050" s="117" t="n">
        <v>2</v>
      </c>
      <c r="G3050" s="118" t="n">
        <v>1.65</v>
      </c>
      <c r="H3050" s="118" t="n">
        <v>3.3</v>
      </c>
      <c r="I3050" s="119" t="n">
        <v>40801</v>
      </c>
    </row>
    <row r="3051">
      <c r="A3051" s="114" t="inlineStr">
        <is>
          <t>566913</t>
        </is>
      </c>
      <c r="B3051" s="114" t="n">
        <v>17602</v>
      </c>
      <c r="C3051" s="114" t="inlineStr">
        <is>
          <t>United Kingdom</t>
        </is>
      </c>
      <c r="D3051" s="114" t="inlineStr">
        <is>
          <t>22646</t>
        </is>
      </c>
      <c r="E3051" s="114" t="inlineStr">
        <is>
          <t>CERAMIC STRAWBERRY CAKE MONEY BANK</t>
        </is>
      </c>
      <c r="F3051" s="114" t="n">
        <v>8</v>
      </c>
      <c r="G3051" s="115" t="n">
        <v>1.45</v>
      </c>
      <c r="H3051" s="115" t="n">
        <v>11.6</v>
      </c>
      <c r="I3051" s="116" t="n">
        <v>40801</v>
      </c>
    </row>
    <row r="3052">
      <c r="A3052" s="117" t="inlineStr">
        <is>
          <t>566922</t>
        </is>
      </c>
      <c r="B3052" s="117" t="n">
        <v>16156</v>
      </c>
      <c r="C3052" s="117" t="inlineStr">
        <is>
          <t>United Kingdom</t>
        </is>
      </c>
      <c r="D3052" s="117" t="inlineStr">
        <is>
          <t>22630</t>
        </is>
      </c>
      <c r="E3052" s="117" t="inlineStr">
        <is>
          <t>DOLLY GIRL LUNCH BOX</t>
        </is>
      </c>
      <c r="F3052" s="117" t="n">
        <v>12</v>
      </c>
      <c r="G3052" s="118" t="n">
        <v>1.95</v>
      </c>
      <c r="H3052" s="118" t="n">
        <v>23.4</v>
      </c>
      <c r="I3052" s="119" t="n">
        <v>40801</v>
      </c>
    </row>
    <row r="3053">
      <c r="A3053" s="114" t="inlineStr">
        <is>
          <t>566932</t>
        </is>
      </c>
      <c r="B3053" s="114" t="n">
        <v>17576</v>
      </c>
      <c r="C3053" s="114" t="inlineStr">
        <is>
          <t>United Kingdom</t>
        </is>
      </c>
      <c r="D3053" s="114" t="inlineStr">
        <is>
          <t>84378</t>
        </is>
      </c>
      <c r="E3053" s="114" t="inlineStr">
        <is>
          <t>SET OF 3 HEART COOKIE CUTTERS</t>
        </is>
      </c>
      <c r="F3053" s="114" t="n">
        <v>1</v>
      </c>
      <c r="G3053" s="115" t="n">
        <v>1.45</v>
      </c>
      <c r="H3053" s="115" t="n">
        <v>1.45</v>
      </c>
      <c r="I3053" s="116" t="n">
        <v>40801</v>
      </c>
    </row>
    <row r="3054">
      <c r="A3054" s="117" t="inlineStr">
        <is>
          <t>566933</t>
        </is>
      </c>
      <c r="B3054" s="117" t="n">
        <v>18102</v>
      </c>
      <c r="C3054" s="117" t="inlineStr">
        <is>
          <t>United Kingdom</t>
        </is>
      </c>
      <c r="D3054" s="117" t="inlineStr">
        <is>
          <t>48185</t>
        </is>
      </c>
      <c r="E3054" s="117" t="inlineStr">
        <is>
          <t>DOORMAT FAIRY CAKE</t>
        </is>
      </c>
      <c r="F3054" s="117" t="n">
        <v>20</v>
      </c>
      <c r="G3054" s="118" t="n">
        <v>4.58</v>
      </c>
      <c r="H3054" s="118" t="n">
        <v>91.59999999999999</v>
      </c>
      <c r="I3054" s="119" t="n">
        <v>40801</v>
      </c>
    </row>
    <row r="3055">
      <c r="A3055" s="114" t="inlineStr">
        <is>
          <t>566933</t>
        </is>
      </c>
      <c r="B3055" s="114" t="n">
        <v>18102</v>
      </c>
      <c r="C3055" s="114" t="inlineStr">
        <is>
          <t>United Kingdom</t>
        </is>
      </c>
      <c r="D3055" s="114" t="inlineStr">
        <is>
          <t>48188</t>
        </is>
      </c>
      <c r="E3055" s="114" t="inlineStr">
        <is>
          <t>DOORMAT WELCOME PUPPIES</t>
        </is>
      </c>
      <c r="F3055" s="114" t="n">
        <v>20</v>
      </c>
      <c r="G3055" s="115" t="n">
        <v>4.58</v>
      </c>
      <c r="H3055" s="115" t="n">
        <v>91.59999999999999</v>
      </c>
      <c r="I3055" s="116" t="n">
        <v>40801</v>
      </c>
    </row>
    <row r="3056">
      <c r="A3056" s="117" t="inlineStr">
        <is>
          <t>566938</t>
        </is>
      </c>
      <c r="B3056" s="117" t="n">
        <v>14557</v>
      </c>
      <c r="C3056" s="117" t="inlineStr">
        <is>
          <t>United Kingdom</t>
        </is>
      </c>
      <c r="D3056" s="117" t="inlineStr">
        <is>
          <t>22086</t>
        </is>
      </c>
      <c r="E3056" s="117" t="inlineStr">
        <is>
          <t xml:space="preserve">PAPER CHAIN KIT 50'S CHRISTMAS </t>
        </is>
      </c>
      <c r="F3056" s="117" t="n">
        <v>40</v>
      </c>
      <c r="G3056" s="118" t="n">
        <v>2.55</v>
      </c>
      <c r="H3056" s="118" t="n">
        <v>102</v>
      </c>
      <c r="I3056" s="119" t="n">
        <v>40801</v>
      </c>
    </row>
    <row r="3057">
      <c r="A3057" s="114" t="inlineStr">
        <is>
          <t>566959</t>
        </is>
      </c>
      <c r="B3057" s="114" t="n">
        <v>17530</v>
      </c>
      <c r="C3057" s="114" t="inlineStr">
        <is>
          <t>United Kingdom</t>
        </is>
      </c>
      <c r="D3057" s="114" t="inlineStr">
        <is>
          <t>23390</t>
        </is>
      </c>
      <c r="E3057" s="114" t="inlineStr">
        <is>
          <t>DOLLY GIRL MINI BACKPACK</t>
        </is>
      </c>
      <c r="F3057" s="114" t="n">
        <v>2</v>
      </c>
      <c r="G3057" s="115" t="n">
        <v>4.15</v>
      </c>
      <c r="H3057" s="115" t="n">
        <v>8.300000000000001</v>
      </c>
      <c r="I3057" s="116" t="n">
        <v>40801</v>
      </c>
    </row>
    <row r="3058">
      <c r="A3058" s="117" t="inlineStr">
        <is>
          <t>566968</t>
        </is>
      </c>
      <c r="B3058" s="117" t="n">
        <v>16350</v>
      </c>
      <c r="C3058" s="117" t="inlineStr">
        <is>
          <t>United Kingdom</t>
        </is>
      </c>
      <c r="D3058" s="117" t="inlineStr">
        <is>
          <t>82486</t>
        </is>
      </c>
      <c r="E3058" s="117" t="inlineStr">
        <is>
          <t>3 DRAWER ANTIQUE WHITE WOOD CABINET</t>
        </is>
      </c>
      <c r="F3058" s="117" t="n">
        <v>2</v>
      </c>
      <c r="G3058" s="118" t="n">
        <v>8.949999999999999</v>
      </c>
      <c r="H3058" s="118" t="n">
        <v>17.9</v>
      </c>
      <c r="I3058" s="119" t="n">
        <v>40801</v>
      </c>
    </row>
    <row r="3059">
      <c r="A3059" s="114" t="inlineStr">
        <is>
          <t>566976</t>
        </is>
      </c>
      <c r="B3059" s="114" t="n">
        <v>15382</v>
      </c>
      <c r="C3059" s="114" t="inlineStr">
        <is>
          <t>United Kingdom</t>
        </is>
      </c>
      <c r="D3059" s="114" t="inlineStr">
        <is>
          <t>21912</t>
        </is>
      </c>
      <c r="E3059" s="114" t="inlineStr">
        <is>
          <t>VINTAGE SNAKES &amp; LADDERS</t>
        </is>
      </c>
      <c r="F3059" s="114" t="n">
        <v>4</v>
      </c>
      <c r="G3059" s="115" t="n">
        <v>3.75</v>
      </c>
      <c r="H3059" s="115" t="n">
        <v>15</v>
      </c>
      <c r="I3059" s="116" t="n">
        <v>40802</v>
      </c>
    </row>
    <row r="3060">
      <c r="A3060" s="117" t="inlineStr">
        <is>
          <t>566981</t>
        </is>
      </c>
      <c r="B3060" s="117" t="n">
        <v>15498</v>
      </c>
      <c r="C3060" s="117" t="inlineStr">
        <is>
          <t>United Kingdom</t>
        </is>
      </c>
      <c r="D3060" s="117" t="inlineStr">
        <is>
          <t>22993</t>
        </is>
      </c>
      <c r="E3060" s="117" t="inlineStr">
        <is>
          <t>SET OF 4 PANTRY JELLY MOULDS</t>
        </is>
      </c>
      <c r="F3060" s="117" t="n">
        <v>12</v>
      </c>
      <c r="G3060" s="118" t="n">
        <v>1.25</v>
      </c>
      <c r="H3060" s="118" t="n">
        <v>15</v>
      </c>
      <c r="I3060" s="119" t="n">
        <v>40802</v>
      </c>
    </row>
    <row r="3061">
      <c r="A3061" s="114" t="inlineStr">
        <is>
          <t>566988</t>
        </is>
      </c>
      <c r="B3061" s="114" t="n">
        <v>16709</v>
      </c>
      <c r="C3061" s="114" t="inlineStr">
        <is>
          <t>United Kingdom</t>
        </is>
      </c>
      <c r="D3061" s="114" t="inlineStr">
        <is>
          <t>22697</t>
        </is>
      </c>
      <c r="E3061" s="114" t="inlineStr">
        <is>
          <t>GREEN REGENCY TEACUP AND SAUCER</t>
        </is>
      </c>
      <c r="F3061" s="114" t="n">
        <v>12</v>
      </c>
      <c r="G3061" s="115" t="n">
        <v>2.95</v>
      </c>
      <c r="H3061" s="115" t="n">
        <v>35.4</v>
      </c>
      <c r="I3061" s="116" t="n">
        <v>40802</v>
      </c>
    </row>
    <row r="3062">
      <c r="A3062" s="117" t="inlineStr">
        <is>
          <t>567043</t>
        </is>
      </c>
      <c r="B3062" s="117" t="n">
        <v>13268</v>
      </c>
      <c r="C3062" s="117" t="inlineStr">
        <is>
          <t>United Kingdom</t>
        </is>
      </c>
      <c r="D3062" s="117" t="inlineStr">
        <is>
          <t>23390</t>
        </is>
      </c>
      <c r="E3062" s="117" t="inlineStr">
        <is>
          <t>DOLLY GIRL MINI BACKPACK</t>
        </is>
      </c>
      <c r="F3062" s="117" t="n">
        <v>2</v>
      </c>
      <c r="G3062" s="118" t="n">
        <v>4.15</v>
      </c>
      <c r="H3062" s="118" t="n">
        <v>8.300000000000001</v>
      </c>
      <c r="I3062" s="119" t="n">
        <v>40802</v>
      </c>
    </row>
    <row r="3063">
      <c r="A3063" s="114" t="inlineStr">
        <is>
          <t>567062</t>
        </is>
      </c>
      <c r="B3063" s="114" t="n">
        <v>16108</v>
      </c>
      <c r="C3063" s="114" t="inlineStr">
        <is>
          <t>United Kingdom</t>
        </is>
      </c>
      <c r="D3063" s="114" t="inlineStr">
        <is>
          <t>23426</t>
        </is>
      </c>
      <c r="E3063" s="114" t="inlineStr">
        <is>
          <t>METAL SIGN DROP YOUR PANTS</t>
        </is>
      </c>
      <c r="F3063" s="114" t="n">
        <v>6</v>
      </c>
      <c r="G3063" s="115" t="n">
        <v>2.89</v>
      </c>
      <c r="H3063" s="115" t="n">
        <v>17.34</v>
      </c>
      <c r="I3063" s="116" t="n">
        <v>40802</v>
      </c>
    </row>
    <row r="3064">
      <c r="A3064" s="117" t="inlineStr">
        <is>
          <t>567074</t>
        </is>
      </c>
      <c r="B3064" s="117" t="n">
        <v>17068</v>
      </c>
      <c r="C3064" s="117" t="inlineStr">
        <is>
          <t>United Kingdom</t>
        </is>
      </c>
      <c r="D3064" s="117" t="inlineStr">
        <is>
          <t>20713</t>
        </is>
      </c>
      <c r="E3064" s="117" t="inlineStr">
        <is>
          <t>JUMBO BAG OWLS</t>
        </is>
      </c>
      <c r="F3064" s="117" t="n">
        <v>10</v>
      </c>
      <c r="G3064" s="118" t="n">
        <v>2.08</v>
      </c>
      <c r="H3064" s="118" t="n">
        <v>20.8</v>
      </c>
      <c r="I3064" s="119" t="n">
        <v>40802</v>
      </c>
    </row>
    <row r="3065">
      <c r="A3065" s="114" t="inlineStr">
        <is>
          <t>567077</t>
        </is>
      </c>
      <c r="B3065" s="114" t="n">
        <v>18122</v>
      </c>
      <c r="C3065" s="114" t="inlineStr">
        <is>
          <t>United Kingdom</t>
        </is>
      </c>
      <c r="D3065" s="114" t="inlineStr">
        <is>
          <t>84997D</t>
        </is>
      </c>
      <c r="E3065" s="114" t="inlineStr">
        <is>
          <t>CHILDRENS CUTLERY POLKADOT PINK</t>
        </is>
      </c>
      <c r="F3065" s="114" t="n">
        <v>1</v>
      </c>
      <c r="G3065" s="115" t="n">
        <v>4.15</v>
      </c>
      <c r="H3065" s="115" t="n">
        <v>4.15</v>
      </c>
      <c r="I3065" s="116" t="n">
        <v>40802</v>
      </c>
    </row>
    <row r="3066">
      <c r="A3066" s="117" t="inlineStr">
        <is>
          <t>567077</t>
        </is>
      </c>
      <c r="B3066" s="117" t="n">
        <v>18122</v>
      </c>
      <c r="C3066" s="117" t="inlineStr">
        <is>
          <t>United Kingdom</t>
        </is>
      </c>
      <c r="D3066" s="117" t="inlineStr">
        <is>
          <t>22110</t>
        </is>
      </c>
      <c r="E3066" s="117" t="inlineStr">
        <is>
          <t>BIRD HOUSE HOT WATER BOTTLE</t>
        </is>
      </c>
      <c r="F3066" s="117" t="n">
        <v>2</v>
      </c>
      <c r="G3066" s="118" t="n">
        <v>2.55</v>
      </c>
      <c r="H3066" s="118" t="n">
        <v>5.1</v>
      </c>
      <c r="I3066" s="119" t="n">
        <v>40802</v>
      </c>
    </row>
    <row r="3067">
      <c r="A3067" s="114" t="inlineStr">
        <is>
          <t>567092</t>
        </is>
      </c>
      <c r="B3067" s="114" t="n">
        <v>13196</v>
      </c>
      <c r="C3067" s="114" t="inlineStr">
        <is>
          <t>United Kingdom</t>
        </is>
      </c>
      <c r="D3067" s="114" t="inlineStr">
        <is>
          <t>23353</t>
        </is>
      </c>
      <c r="E3067" s="114" t="inlineStr">
        <is>
          <t xml:space="preserve">6 GIFT TAGS VINTAGE CHRISTMAS </t>
        </is>
      </c>
      <c r="F3067" s="114" t="n">
        <v>24</v>
      </c>
      <c r="G3067" s="115" t="n">
        <v>0.83</v>
      </c>
      <c r="H3067" s="115" t="n">
        <v>19.92</v>
      </c>
      <c r="I3067" s="116" t="n">
        <v>40802</v>
      </c>
    </row>
    <row r="3068">
      <c r="A3068" s="117" t="inlineStr">
        <is>
          <t>567095</t>
        </is>
      </c>
      <c r="B3068" s="117" t="n">
        <v>17049</v>
      </c>
      <c r="C3068" s="117" t="inlineStr">
        <is>
          <t>United Kingdom</t>
        </is>
      </c>
      <c r="D3068" s="117" t="inlineStr">
        <is>
          <t>22469</t>
        </is>
      </c>
      <c r="E3068" s="117" t="inlineStr">
        <is>
          <t>HEART OF WICKER SMALL</t>
        </is>
      </c>
      <c r="F3068" s="117" t="n">
        <v>12</v>
      </c>
      <c r="G3068" s="118" t="n">
        <v>1.65</v>
      </c>
      <c r="H3068" s="118" t="n">
        <v>19.8</v>
      </c>
      <c r="I3068" s="119" t="n">
        <v>40802</v>
      </c>
    </row>
    <row r="3069">
      <c r="A3069" s="114" t="inlineStr">
        <is>
          <t>567096</t>
        </is>
      </c>
      <c r="B3069" s="114" t="n">
        <v>15099</v>
      </c>
      <c r="C3069" s="114" t="inlineStr">
        <is>
          <t>United Kingdom</t>
        </is>
      </c>
      <c r="D3069" s="114" t="inlineStr">
        <is>
          <t>85123A</t>
        </is>
      </c>
      <c r="E3069" s="114" t="inlineStr">
        <is>
          <t>WHITE HANGING HEART T-LIGHT HOLDER</t>
        </is>
      </c>
      <c r="F3069" s="114" t="n">
        <v>6</v>
      </c>
      <c r="G3069" s="115" t="n">
        <v>2.95</v>
      </c>
      <c r="H3069" s="115" t="n">
        <v>17.7</v>
      </c>
      <c r="I3069" s="116" t="n">
        <v>40802</v>
      </c>
    </row>
    <row r="3070">
      <c r="A3070" s="117" t="inlineStr">
        <is>
          <t>567104</t>
        </is>
      </c>
      <c r="B3070" s="117" t="n">
        <v>15975</v>
      </c>
      <c r="C3070" s="117" t="inlineStr">
        <is>
          <t>United Kingdom</t>
        </is>
      </c>
      <c r="D3070" s="117" t="inlineStr">
        <is>
          <t>22812</t>
        </is>
      </c>
      <c r="E3070" s="117" t="inlineStr">
        <is>
          <t>PACK 3 BOXES CHRISTMAS PANNETONE</t>
        </is>
      </c>
      <c r="F3070" s="117" t="n">
        <v>12</v>
      </c>
      <c r="G3070" s="118" t="n">
        <v>1.95</v>
      </c>
      <c r="H3070" s="118" t="n">
        <v>23.4</v>
      </c>
      <c r="I3070" s="119" t="n">
        <v>40802</v>
      </c>
    </row>
    <row r="3071">
      <c r="A3071" s="114" t="inlineStr">
        <is>
          <t>567104</t>
        </is>
      </c>
      <c r="B3071" s="114" t="n">
        <v>15975</v>
      </c>
      <c r="C3071" s="114" t="inlineStr">
        <is>
          <t>United Kingdom</t>
        </is>
      </c>
      <c r="D3071" s="114" t="inlineStr">
        <is>
          <t>22077</t>
        </is>
      </c>
      <c r="E3071" s="114" t="inlineStr">
        <is>
          <t>6 RIBBONS RUSTIC CHARM</t>
        </is>
      </c>
      <c r="F3071" s="114" t="n">
        <v>12</v>
      </c>
      <c r="G3071" s="115" t="n">
        <v>1.95</v>
      </c>
      <c r="H3071" s="115" t="n">
        <v>23.4</v>
      </c>
      <c r="I3071" s="116" t="n">
        <v>40802</v>
      </c>
    </row>
    <row r="3072">
      <c r="A3072" s="117" t="inlineStr">
        <is>
          <t>567128</t>
        </is>
      </c>
      <c r="B3072" s="117" t="n">
        <v>18055</v>
      </c>
      <c r="C3072" s="117" t="inlineStr">
        <is>
          <t>United Kingdom</t>
        </is>
      </c>
      <c r="D3072" s="117" t="inlineStr">
        <is>
          <t>84879</t>
        </is>
      </c>
      <c r="E3072" s="117" t="inlineStr">
        <is>
          <t>ASSORTED COLOUR BIRD ORNAMENT</t>
        </is>
      </c>
      <c r="F3072" s="117" t="n">
        <v>24</v>
      </c>
      <c r="G3072" s="118" t="n">
        <v>1.69</v>
      </c>
      <c r="H3072" s="118" t="n">
        <v>40.56</v>
      </c>
      <c r="I3072" s="119" t="n">
        <v>40802</v>
      </c>
    </row>
    <row r="3073">
      <c r="A3073" s="114" t="inlineStr">
        <is>
          <t>567134</t>
        </is>
      </c>
      <c r="B3073" s="114" t="n">
        <v>12600</v>
      </c>
      <c r="C3073" s="114" t="inlineStr">
        <is>
          <t>Germany</t>
        </is>
      </c>
      <c r="D3073" s="114" t="inlineStr">
        <is>
          <t>20712</t>
        </is>
      </c>
      <c r="E3073" s="114" t="inlineStr">
        <is>
          <t>JUMBO BAG WOODLAND ANIMALS</t>
        </is>
      </c>
      <c r="F3073" s="114" t="n">
        <v>10</v>
      </c>
      <c r="G3073" s="115" t="n">
        <v>2.08</v>
      </c>
      <c r="H3073" s="115" t="n">
        <v>20.8</v>
      </c>
      <c r="I3073" s="116" t="n">
        <v>40802</v>
      </c>
    </row>
    <row r="3074">
      <c r="A3074" s="117" t="inlineStr">
        <is>
          <t>567140</t>
        </is>
      </c>
      <c r="B3074" s="117" t="n">
        <v>15410</v>
      </c>
      <c r="C3074" s="117" t="inlineStr">
        <is>
          <t>United Kingdom</t>
        </is>
      </c>
      <c r="D3074" s="117" t="inlineStr">
        <is>
          <t>23355</t>
        </is>
      </c>
      <c r="E3074" s="117" t="inlineStr">
        <is>
          <t>HOT WATER BOTTLE KEEP CALM</t>
        </is>
      </c>
      <c r="F3074" s="117" t="n">
        <v>8</v>
      </c>
      <c r="G3074" s="118" t="n">
        <v>4.95</v>
      </c>
      <c r="H3074" s="118" t="n">
        <v>39.6</v>
      </c>
      <c r="I3074" s="119" t="n">
        <v>40802</v>
      </c>
    </row>
    <row r="3075">
      <c r="A3075" s="114" t="inlineStr">
        <is>
          <t>567142</t>
        </is>
      </c>
      <c r="B3075" s="114" t="n">
        <v>14262</v>
      </c>
      <c r="C3075" s="114" t="inlineStr">
        <is>
          <t>United Kingdom</t>
        </is>
      </c>
      <c r="D3075" s="114" t="inlineStr">
        <is>
          <t>22147</t>
        </is>
      </c>
      <c r="E3075" s="114" t="inlineStr">
        <is>
          <t>FELTCRAFT BUTTERFLY HEARTS</t>
        </is>
      </c>
      <c r="F3075" s="114" t="n">
        <v>12</v>
      </c>
      <c r="G3075" s="115" t="n">
        <v>1.45</v>
      </c>
      <c r="H3075" s="115" t="n">
        <v>17.4</v>
      </c>
      <c r="I3075" s="116" t="n">
        <v>40802</v>
      </c>
    </row>
    <row r="3076">
      <c r="A3076" s="117" t="inlineStr">
        <is>
          <t>567142</t>
        </is>
      </c>
      <c r="B3076" s="117" t="n">
        <v>14262</v>
      </c>
      <c r="C3076" s="117" t="inlineStr">
        <is>
          <t>United Kingdom</t>
        </is>
      </c>
      <c r="D3076" s="117" t="inlineStr">
        <is>
          <t>23292</t>
        </is>
      </c>
      <c r="E3076" s="117" t="inlineStr">
        <is>
          <t>SPACEBOY CHILDRENS CUP</t>
        </is>
      </c>
      <c r="F3076" s="117" t="n">
        <v>8</v>
      </c>
      <c r="G3076" s="118" t="n">
        <v>1.25</v>
      </c>
      <c r="H3076" s="118" t="n">
        <v>10</v>
      </c>
      <c r="I3076" s="119" t="n">
        <v>40802</v>
      </c>
    </row>
    <row r="3077">
      <c r="A3077" s="114" t="inlineStr">
        <is>
          <t>567153</t>
        </is>
      </c>
      <c r="B3077" s="114" t="n">
        <v>14056</v>
      </c>
      <c r="C3077" s="114" t="inlineStr">
        <is>
          <t>United Kingdom</t>
        </is>
      </c>
      <c r="D3077" s="114" t="inlineStr">
        <is>
          <t>22723</t>
        </is>
      </c>
      <c r="E3077" s="114" t="inlineStr">
        <is>
          <t>SET OF 6 HERB TINS SKETCHBOOK</t>
        </is>
      </c>
      <c r="F3077" s="114" t="n">
        <v>2</v>
      </c>
      <c r="G3077" s="115" t="n">
        <v>3.95</v>
      </c>
      <c r="H3077" s="115" t="n">
        <v>7.9</v>
      </c>
      <c r="I3077" s="116" t="n">
        <v>40802</v>
      </c>
    </row>
    <row r="3078">
      <c r="A3078" s="117" t="inlineStr">
        <is>
          <t>567153</t>
        </is>
      </c>
      <c r="B3078" s="117" t="n">
        <v>14056</v>
      </c>
      <c r="C3078" s="117" t="inlineStr">
        <is>
          <t>United Kingdom</t>
        </is>
      </c>
      <c r="D3078" s="117" t="inlineStr">
        <is>
          <t>22977</t>
        </is>
      </c>
      <c r="E3078" s="117" t="inlineStr">
        <is>
          <t>DOLLY GIRL CHILDRENS EGG CUP</t>
        </is>
      </c>
      <c r="F3078" s="117" t="n">
        <v>2</v>
      </c>
      <c r="G3078" s="118" t="n">
        <v>1.25</v>
      </c>
      <c r="H3078" s="118" t="n">
        <v>2.5</v>
      </c>
      <c r="I3078" s="119" t="n">
        <v>40802</v>
      </c>
    </row>
    <row r="3079">
      <c r="A3079" s="114" t="inlineStr">
        <is>
          <t>567153</t>
        </is>
      </c>
      <c r="B3079" s="114" t="n">
        <v>14056</v>
      </c>
      <c r="C3079" s="114" t="inlineStr">
        <is>
          <t>United Kingdom</t>
        </is>
      </c>
      <c r="D3079" s="114" t="inlineStr">
        <is>
          <t>22899</t>
        </is>
      </c>
      <c r="E3079" s="114" t="inlineStr">
        <is>
          <t xml:space="preserve">CHILDREN'S APRON DOLLY GIRL </t>
        </is>
      </c>
      <c r="F3079" s="114" t="n">
        <v>2</v>
      </c>
      <c r="G3079" s="115" t="n">
        <v>2.1</v>
      </c>
      <c r="H3079" s="115" t="n">
        <v>4.2</v>
      </c>
      <c r="I3079" s="116" t="n">
        <v>40802</v>
      </c>
    </row>
    <row r="3080">
      <c r="A3080" s="117" t="inlineStr">
        <is>
          <t>567164</t>
        </is>
      </c>
      <c r="B3080" s="117" t="n">
        <v>14487</v>
      </c>
      <c r="C3080" s="117" t="inlineStr">
        <is>
          <t>United Kingdom</t>
        </is>
      </c>
      <c r="D3080" s="117" t="inlineStr">
        <is>
          <t>22789</t>
        </is>
      </c>
      <c r="E3080" s="117" t="inlineStr">
        <is>
          <t>T-LIGHT HOLDER SWEETHEART HANGING</t>
        </is>
      </c>
      <c r="F3080" s="117" t="n">
        <v>8</v>
      </c>
      <c r="G3080" s="118" t="n">
        <v>1.95</v>
      </c>
      <c r="H3080" s="118" t="n">
        <v>15.6</v>
      </c>
      <c r="I3080" s="119" t="n">
        <v>40804</v>
      </c>
    </row>
    <row r="3081">
      <c r="A3081" s="114" t="inlineStr">
        <is>
          <t>567164</t>
        </is>
      </c>
      <c r="B3081" s="114" t="n">
        <v>14487</v>
      </c>
      <c r="C3081" s="114" t="inlineStr">
        <is>
          <t>United Kingdom</t>
        </is>
      </c>
      <c r="D3081" s="114" t="inlineStr">
        <is>
          <t>84949</t>
        </is>
      </c>
      <c r="E3081" s="114" t="inlineStr">
        <is>
          <t>SILVER HANGING T-LIGHT HOLDER</t>
        </is>
      </c>
      <c r="F3081" s="114" t="n">
        <v>12</v>
      </c>
      <c r="G3081" s="115" t="n">
        <v>1.65</v>
      </c>
      <c r="H3081" s="115" t="n">
        <v>19.8</v>
      </c>
      <c r="I3081" s="116" t="n">
        <v>40804</v>
      </c>
    </row>
    <row r="3082">
      <c r="A3082" s="117" t="inlineStr">
        <is>
          <t>567164</t>
        </is>
      </c>
      <c r="B3082" s="117" t="n">
        <v>14487</v>
      </c>
      <c r="C3082" s="117" t="inlineStr">
        <is>
          <t>United Kingdom</t>
        </is>
      </c>
      <c r="D3082" s="117" t="inlineStr">
        <is>
          <t>23186</t>
        </is>
      </c>
      <c r="E3082" s="117" t="inlineStr">
        <is>
          <t xml:space="preserve">FRENCH STYLE STORAGE JAR CAFE </t>
        </is>
      </c>
      <c r="F3082" s="117" t="n">
        <v>6</v>
      </c>
      <c r="G3082" s="118" t="n">
        <v>0.29</v>
      </c>
      <c r="H3082" s="118" t="n">
        <v>1.74</v>
      </c>
      <c r="I3082" s="119" t="n">
        <v>40804</v>
      </c>
    </row>
    <row r="3083">
      <c r="A3083" s="114" t="inlineStr">
        <is>
          <t>567164</t>
        </is>
      </c>
      <c r="B3083" s="114" t="n">
        <v>14487</v>
      </c>
      <c r="C3083" s="114" t="inlineStr">
        <is>
          <t>United Kingdom</t>
        </is>
      </c>
      <c r="D3083" s="114" t="inlineStr">
        <is>
          <t>21591</t>
        </is>
      </c>
      <c r="E3083" s="114" t="inlineStr">
        <is>
          <t xml:space="preserve">COSY HOUR CIGAR BOX MATCHES </t>
        </is>
      </c>
      <c r="F3083" s="114" t="n">
        <v>6</v>
      </c>
      <c r="G3083" s="115" t="n">
        <v>1.25</v>
      </c>
      <c r="H3083" s="115" t="n">
        <v>7.5</v>
      </c>
      <c r="I3083" s="116" t="n">
        <v>40804</v>
      </c>
    </row>
    <row r="3084">
      <c r="A3084" s="117" t="inlineStr">
        <is>
          <t>567165</t>
        </is>
      </c>
      <c r="B3084" s="117" t="n">
        <v>17841</v>
      </c>
      <c r="C3084" s="117" t="inlineStr">
        <is>
          <t>United Kingdom</t>
        </is>
      </c>
      <c r="D3084" s="117" t="inlineStr">
        <is>
          <t>22467</t>
        </is>
      </c>
      <c r="E3084" s="117" t="inlineStr">
        <is>
          <t>GUMBALL COAT RACK</t>
        </is>
      </c>
      <c r="F3084" s="117" t="n">
        <v>3</v>
      </c>
      <c r="G3084" s="118" t="n">
        <v>2.55</v>
      </c>
      <c r="H3084" s="118" t="n">
        <v>7.65</v>
      </c>
      <c r="I3084" s="119" t="n">
        <v>40804</v>
      </c>
    </row>
    <row r="3085">
      <c r="A3085" s="114" t="inlineStr">
        <is>
          <t>567165</t>
        </is>
      </c>
      <c r="B3085" s="114" t="n">
        <v>17841</v>
      </c>
      <c r="C3085" s="114" t="inlineStr">
        <is>
          <t>United Kingdom</t>
        </is>
      </c>
      <c r="D3085" s="114" t="inlineStr">
        <is>
          <t>22173</t>
        </is>
      </c>
      <c r="E3085" s="114" t="inlineStr">
        <is>
          <t>METAL 4 HOOK HANGER FRENCH CHATEAU</t>
        </is>
      </c>
      <c r="F3085" s="114" t="n">
        <v>1</v>
      </c>
      <c r="G3085" s="115" t="n">
        <v>3.29</v>
      </c>
      <c r="H3085" s="115" t="n">
        <v>3.29</v>
      </c>
      <c r="I3085" s="116" t="n">
        <v>40804</v>
      </c>
    </row>
    <row r="3086">
      <c r="A3086" s="117" t="inlineStr">
        <is>
          <t>567168</t>
        </is>
      </c>
      <c r="B3086" s="117" t="n">
        <v>14878</v>
      </c>
      <c r="C3086" s="117" t="inlineStr">
        <is>
          <t>United Kingdom</t>
        </is>
      </c>
      <c r="D3086" s="117" t="inlineStr">
        <is>
          <t>22891</t>
        </is>
      </c>
      <c r="E3086" s="117" t="inlineStr">
        <is>
          <t>TEA FOR ONE POLKADOT</t>
        </is>
      </c>
      <c r="F3086" s="117" t="n">
        <v>2</v>
      </c>
      <c r="G3086" s="118" t="n">
        <v>4.25</v>
      </c>
      <c r="H3086" s="118" t="n">
        <v>8.5</v>
      </c>
      <c r="I3086" s="119" t="n">
        <v>40804</v>
      </c>
    </row>
    <row r="3087">
      <c r="A3087" s="114" t="inlineStr">
        <is>
          <t>567170</t>
        </is>
      </c>
      <c r="B3087" s="114" t="n">
        <v>13566</v>
      </c>
      <c r="C3087" s="114" t="inlineStr">
        <is>
          <t>United Kingdom</t>
        </is>
      </c>
      <c r="D3087" s="114" t="inlineStr">
        <is>
          <t>35968</t>
        </is>
      </c>
      <c r="E3087" s="114" t="inlineStr">
        <is>
          <t>FOLK ART METAL HEART T-LIGHT HOLDER</t>
        </is>
      </c>
      <c r="F3087" s="114" t="n">
        <v>2</v>
      </c>
      <c r="G3087" s="115" t="n">
        <v>0.38</v>
      </c>
      <c r="H3087" s="115" t="n">
        <v>0.76</v>
      </c>
      <c r="I3087" s="116" t="n">
        <v>40804</v>
      </c>
    </row>
    <row r="3088">
      <c r="A3088" s="117" t="inlineStr">
        <is>
          <t>567170</t>
        </is>
      </c>
      <c r="B3088" s="117" t="n">
        <v>13566</v>
      </c>
      <c r="C3088" s="117" t="inlineStr">
        <is>
          <t>United Kingdom</t>
        </is>
      </c>
      <c r="D3088" s="117" t="inlineStr">
        <is>
          <t>20974</t>
        </is>
      </c>
      <c r="E3088" s="117" t="inlineStr">
        <is>
          <t>12 PENCILS SMALL TUBE SKULL</t>
        </is>
      </c>
      <c r="F3088" s="117" t="n">
        <v>10</v>
      </c>
      <c r="G3088" s="118" t="n">
        <v>0.65</v>
      </c>
      <c r="H3088" s="118" t="n">
        <v>6.5</v>
      </c>
      <c r="I3088" s="119" t="n">
        <v>40804</v>
      </c>
    </row>
    <row r="3089">
      <c r="A3089" s="114" t="inlineStr">
        <is>
          <t>567170</t>
        </is>
      </c>
      <c r="B3089" s="114" t="n">
        <v>13566</v>
      </c>
      <c r="C3089" s="114" t="inlineStr">
        <is>
          <t>United Kingdom</t>
        </is>
      </c>
      <c r="D3089" s="114" t="inlineStr">
        <is>
          <t>21175</t>
        </is>
      </c>
      <c r="E3089" s="114" t="inlineStr">
        <is>
          <t>GIN + TONIC DIET METAL SIGN</t>
        </is>
      </c>
      <c r="F3089" s="114" t="n">
        <v>1</v>
      </c>
      <c r="G3089" s="115" t="n">
        <v>2.55</v>
      </c>
      <c r="H3089" s="115" t="n">
        <v>2.55</v>
      </c>
      <c r="I3089" s="116" t="n">
        <v>40804</v>
      </c>
    </row>
    <row r="3090">
      <c r="A3090" s="117" t="inlineStr">
        <is>
          <t>567170</t>
        </is>
      </c>
      <c r="B3090" s="117" t="n">
        <v>13566</v>
      </c>
      <c r="C3090" s="117" t="inlineStr">
        <is>
          <t>United Kingdom</t>
        </is>
      </c>
      <c r="D3090" s="117" t="inlineStr">
        <is>
          <t>23293</t>
        </is>
      </c>
      <c r="E3090" s="117" t="inlineStr">
        <is>
          <t>SET OF 12 FAIRY CAKE BAKING CASES</t>
        </is>
      </c>
      <c r="F3090" s="117" t="n">
        <v>1</v>
      </c>
      <c r="G3090" s="118" t="n">
        <v>0.83</v>
      </c>
      <c r="H3090" s="118" t="n">
        <v>0.83</v>
      </c>
      <c r="I3090" s="119" t="n">
        <v>40804</v>
      </c>
    </row>
    <row r="3091">
      <c r="A3091" s="114" t="inlineStr">
        <is>
          <t>567179</t>
        </is>
      </c>
      <c r="B3091" s="114" t="n">
        <v>15547</v>
      </c>
      <c r="C3091" s="114" t="inlineStr">
        <is>
          <t>United Kingdom</t>
        </is>
      </c>
      <c r="D3091" s="114" t="inlineStr">
        <is>
          <t>22650</t>
        </is>
      </c>
      <c r="E3091" s="114" t="inlineStr">
        <is>
          <t>CERAMIC PIRATE CHEST MONEY BANK</t>
        </is>
      </c>
      <c r="F3091" s="114" t="n">
        <v>2</v>
      </c>
      <c r="G3091" s="115" t="n">
        <v>1.45</v>
      </c>
      <c r="H3091" s="115" t="n">
        <v>2.9</v>
      </c>
      <c r="I3091" s="116" t="n">
        <v>40804</v>
      </c>
    </row>
    <row r="3092">
      <c r="A3092" s="117" t="inlineStr">
        <is>
          <t>567180</t>
        </is>
      </c>
      <c r="B3092" s="117" t="n">
        <v>17802</v>
      </c>
      <c r="C3092" s="117" t="inlineStr">
        <is>
          <t>United Kingdom</t>
        </is>
      </c>
      <c r="D3092" s="117" t="inlineStr">
        <is>
          <t>22966</t>
        </is>
      </c>
      <c r="E3092" s="117" t="inlineStr">
        <is>
          <t>GINGERBREAD MAN COOKIE CUTTER</t>
        </is>
      </c>
      <c r="F3092" s="117" t="n">
        <v>5</v>
      </c>
      <c r="G3092" s="118" t="n">
        <v>1.25</v>
      </c>
      <c r="H3092" s="118" t="n">
        <v>6.25</v>
      </c>
      <c r="I3092" s="119" t="n">
        <v>40804</v>
      </c>
    </row>
    <row r="3093">
      <c r="A3093" s="114" t="inlineStr">
        <is>
          <t>567181</t>
        </is>
      </c>
      <c r="B3093" s="114" t="n">
        <v>17750</v>
      </c>
      <c r="C3093" s="114" t="inlineStr">
        <is>
          <t>United Kingdom</t>
        </is>
      </c>
      <c r="D3093" s="114" t="inlineStr">
        <is>
          <t>23005</t>
        </is>
      </c>
      <c r="E3093" s="114" t="inlineStr">
        <is>
          <t>TRAVEL CARD WALLET I LOVE LONDON</t>
        </is>
      </c>
      <c r="F3093" s="114" t="n">
        <v>24</v>
      </c>
      <c r="G3093" s="115" t="n">
        <v>0.42</v>
      </c>
      <c r="H3093" s="115" t="n">
        <v>10.08</v>
      </c>
      <c r="I3093" s="116" t="n">
        <v>40804</v>
      </c>
    </row>
    <row r="3094">
      <c r="A3094" s="117" t="inlineStr">
        <is>
          <t>567181</t>
        </is>
      </c>
      <c r="B3094" s="117" t="n">
        <v>17750</v>
      </c>
      <c r="C3094" s="117" t="inlineStr">
        <is>
          <t>United Kingdom</t>
        </is>
      </c>
      <c r="D3094" s="117" t="inlineStr">
        <is>
          <t>82578</t>
        </is>
      </c>
      <c r="E3094" s="117" t="inlineStr">
        <is>
          <t>KITCHEN METAL SIGN</t>
        </is>
      </c>
      <c r="F3094" s="117" t="n">
        <v>25</v>
      </c>
      <c r="G3094" s="118" t="n">
        <v>0.55</v>
      </c>
      <c r="H3094" s="118" t="n">
        <v>13.75</v>
      </c>
      <c r="I3094" s="119" t="n">
        <v>40804</v>
      </c>
    </row>
    <row r="3095">
      <c r="A3095" s="114" t="inlineStr">
        <is>
          <t>567182</t>
        </is>
      </c>
      <c r="B3095" s="114" t="n">
        <v>13334</v>
      </c>
      <c r="C3095" s="114" t="inlineStr">
        <is>
          <t>United Kingdom</t>
        </is>
      </c>
      <c r="D3095" s="114" t="inlineStr">
        <is>
          <t>85099B</t>
        </is>
      </c>
      <c r="E3095" s="114" t="inlineStr">
        <is>
          <t>JUMBO BAG RED RETROSPOT</t>
        </is>
      </c>
      <c r="F3095" s="114" t="n">
        <v>10</v>
      </c>
      <c r="G3095" s="115" t="n">
        <v>2.08</v>
      </c>
      <c r="H3095" s="115" t="n">
        <v>20.8</v>
      </c>
      <c r="I3095" s="116" t="n">
        <v>40804</v>
      </c>
    </row>
    <row r="3096">
      <c r="A3096" s="117" t="inlineStr">
        <is>
          <t>567183</t>
        </is>
      </c>
      <c r="B3096" s="117" t="n">
        <v>14769</v>
      </c>
      <c r="C3096" s="117" t="inlineStr">
        <is>
          <t>United Kingdom</t>
        </is>
      </c>
      <c r="D3096" s="117" t="inlineStr">
        <is>
          <t>23546</t>
        </is>
      </c>
      <c r="E3096" s="117" t="inlineStr">
        <is>
          <t xml:space="preserve">WRAP PAISLEY PARK </t>
        </is>
      </c>
      <c r="F3096" s="117" t="n">
        <v>25</v>
      </c>
      <c r="G3096" s="118" t="n">
        <v>0.42</v>
      </c>
      <c r="H3096" s="118" t="n">
        <v>10.5</v>
      </c>
      <c r="I3096" s="119" t="n">
        <v>40804</v>
      </c>
    </row>
    <row r="3097">
      <c r="A3097" s="114" t="inlineStr">
        <is>
          <t>567183</t>
        </is>
      </c>
      <c r="B3097" s="114" t="n">
        <v>14769</v>
      </c>
      <c r="C3097" s="114" t="inlineStr">
        <is>
          <t>United Kingdom</t>
        </is>
      </c>
      <c r="D3097" s="114" t="inlineStr">
        <is>
          <t>22200</t>
        </is>
      </c>
      <c r="E3097" s="114" t="inlineStr">
        <is>
          <t>FRYING PAN PINK POLKADOT</t>
        </is>
      </c>
      <c r="F3097" s="114" t="n">
        <v>2</v>
      </c>
      <c r="G3097" s="115" t="n">
        <v>4.25</v>
      </c>
      <c r="H3097" s="115" t="n">
        <v>8.5</v>
      </c>
      <c r="I3097" s="116" t="n">
        <v>40804</v>
      </c>
    </row>
    <row r="3098">
      <c r="A3098" s="117" t="inlineStr">
        <is>
          <t>567183</t>
        </is>
      </c>
      <c r="B3098" s="117" t="n">
        <v>14769</v>
      </c>
      <c r="C3098" s="117" t="inlineStr">
        <is>
          <t>United Kingdom</t>
        </is>
      </c>
      <c r="D3098" s="117" t="inlineStr">
        <is>
          <t>22406</t>
        </is>
      </c>
      <c r="E3098" s="117" t="inlineStr">
        <is>
          <t>MONEY BOX KINGS CHOICE DESIGN</t>
        </is>
      </c>
      <c r="F3098" s="117" t="n">
        <v>2</v>
      </c>
      <c r="G3098" s="118" t="n">
        <v>1.25</v>
      </c>
      <c r="H3098" s="118" t="n">
        <v>2.5</v>
      </c>
      <c r="I3098" s="119" t="n">
        <v>40804</v>
      </c>
    </row>
    <row r="3099">
      <c r="A3099" s="114" t="inlineStr">
        <is>
          <t>567183</t>
        </is>
      </c>
      <c r="B3099" s="114" t="n">
        <v>14769</v>
      </c>
      <c r="C3099" s="114" t="inlineStr">
        <is>
          <t>United Kingdom</t>
        </is>
      </c>
      <c r="D3099" s="114" t="inlineStr">
        <is>
          <t>23243</t>
        </is>
      </c>
      <c r="E3099" s="114" t="inlineStr">
        <is>
          <t>SET OF TEA COFFEE SUGAR TINS PANTRY</t>
        </is>
      </c>
      <c r="F3099" s="114" t="n">
        <v>2</v>
      </c>
      <c r="G3099" s="115" t="n">
        <v>4.95</v>
      </c>
      <c r="H3099" s="115" t="n">
        <v>9.9</v>
      </c>
      <c r="I3099" s="116" t="n">
        <v>40804</v>
      </c>
    </row>
    <row r="3100">
      <c r="A3100" s="117" t="inlineStr">
        <is>
          <t>567186</t>
        </is>
      </c>
      <c r="B3100" s="117" t="n">
        <v>17073</v>
      </c>
      <c r="C3100" s="117" t="inlineStr">
        <is>
          <t>United Kingdom</t>
        </is>
      </c>
      <c r="D3100" s="117" t="inlineStr">
        <is>
          <t>22091</t>
        </is>
      </c>
      <c r="E3100" s="117" t="inlineStr">
        <is>
          <t>EMPIRE TISSUE BOX</t>
        </is>
      </c>
      <c r="F3100" s="117" t="n">
        <v>4</v>
      </c>
      <c r="G3100" s="118" t="n">
        <v>0.39</v>
      </c>
      <c r="H3100" s="118" t="n">
        <v>1.56</v>
      </c>
      <c r="I3100" s="119" t="n">
        <v>40804</v>
      </c>
    </row>
    <row r="3101">
      <c r="A3101" s="114" t="inlineStr">
        <is>
          <t>567191</t>
        </is>
      </c>
      <c r="B3101" s="114" t="n">
        <v>12562</v>
      </c>
      <c r="C3101" s="114" t="inlineStr">
        <is>
          <t>France</t>
        </is>
      </c>
      <c r="D3101" s="114" t="inlineStr">
        <is>
          <t>21394</t>
        </is>
      </c>
      <c r="E3101" s="114" t="inlineStr">
        <is>
          <t xml:space="preserve">RED POLKADOT BEAKER </t>
        </is>
      </c>
      <c r="F3101" s="114" t="n">
        <v>36</v>
      </c>
      <c r="G3101" s="115" t="n">
        <v>0.39</v>
      </c>
      <c r="H3101" s="115" t="n">
        <v>14.04</v>
      </c>
      <c r="I3101" s="116" t="n">
        <v>40805</v>
      </c>
    </row>
    <row r="3102">
      <c r="A3102" s="117" t="inlineStr">
        <is>
          <t>567195</t>
        </is>
      </c>
      <c r="B3102" s="117" t="n">
        <v>17451</v>
      </c>
      <c r="C3102" s="117" t="inlineStr">
        <is>
          <t>United Kingdom</t>
        </is>
      </c>
      <c r="D3102" s="117" t="inlineStr">
        <is>
          <t>23191</t>
        </is>
      </c>
      <c r="E3102" s="117" t="inlineStr">
        <is>
          <t>BUNDLE OF 3 RETRO NOTE BOOKS</t>
        </is>
      </c>
      <c r="F3102" s="117" t="n">
        <v>12</v>
      </c>
      <c r="G3102" s="118" t="n">
        <v>1.65</v>
      </c>
      <c r="H3102" s="118" t="n">
        <v>19.8</v>
      </c>
      <c r="I3102" s="119" t="n">
        <v>40805</v>
      </c>
    </row>
    <row r="3103">
      <c r="A3103" s="114" t="inlineStr">
        <is>
          <t>567196</t>
        </is>
      </c>
      <c r="B3103" s="114" t="n">
        <v>12379</v>
      </c>
      <c r="C3103" s="114" t="inlineStr">
        <is>
          <t>Belgium</t>
        </is>
      </c>
      <c r="D3103" s="114" t="inlineStr">
        <is>
          <t>21424</t>
        </is>
      </c>
      <c r="E3103" s="114" t="inlineStr">
        <is>
          <t xml:space="preserve">WOODLAND STORAGE BOX LARGE </t>
        </is>
      </c>
      <c r="F3103" s="114" t="n">
        <v>6</v>
      </c>
      <c r="G3103" s="115" t="n">
        <v>2.95</v>
      </c>
      <c r="H3103" s="115" t="n">
        <v>17.7</v>
      </c>
      <c r="I3103" s="116" t="n">
        <v>40805</v>
      </c>
    </row>
    <row r="3104">
      <c r="A3104" s="117" t="inlineStr">
        <is>
          <t>567197</t>
        </is>
      </c>
      <c r="B3104" s="117" t="n">
        <v>14934</v>
      </c>
      <c r="C3104" s="117" t="inlineStr">
        <is>
          <t>Channel Islands</t>
        </is>
      </c>
      <c r="D3104" s="117" t="inlineStr">
        <is>
          <t>22485</t>
        </is>
      </c>
      <c r="E3104" s="117" t="inlineStr">
        <is>
          <t>SET OF 2 WOODEN MARKET CRATES</t>
        </is>
      </c>
      <c r="F3104" s="117" t="n">
        <v>4</v>
      </c>
      <c r="G3104" s="118" t="n">
        <v>12.75</v>
      </c>
      <c r="H3104" s="118" t="n">
        <v>51</v>
      </c>
      <c r="I3104" s="119" t="n">
        <v>40805</v>
      </c>
    </row>
    <row r="3105">
      <c r="A3105" s="114" t="inlineStr">
        <is>
          <t>567202</t>
        </is>
      </c>
      <c r="B3105" s="114" t="n">
        <v>13325</v>
      </c>
      <c r="C3105" s="114" t="inlineStr">
        <is>
          <t>United Kingdom</t>
        </is>
      </c>
      <c r="D3105" s="114" t="inlineStr">
        <is>
          <t>22751</t>
        </is>
      </c>
      <c r="E3105" s="114" t="inlineStr">
        <is>
          <t>FELTCRAFT PRINCESS OLIVIA DOLL</t>
        </is>
      </c>
      <c r="F3105" s="114" t="n">
        <v>4</v>
      </c>
      <c r="G3105" s="115" t="n">
        <v>3.75</v>
      </c>
      <c r="H3105" s="115" t="n">
        <v>15</v>
      </c>
      <c r="I3105" s="116" t="n">
        <v>40805</v>
      </c>
    </row>
    <row r="3106">
      <c r="A3106" s="117" t="inlineStr">
        <is>
          <t>567206</t>
        </is>
      </c>
      <c r="B3106" s="117" t="n">
        <v>13562</v>
      </c>
      <c r="C3106" s="117" t="inlineStr">
        <is>
          <t>United Kingdom</t>
        </is>
      </c>
      <c r="D3106" s="117" t="inlineStr">
        <is>
          <t>85099F</t>
        </is>
      </c>
      <c r="E3106" s="117" t="inlineStr">
        <is>
          <t>JUMBO BAG STRAWBERRY</t>
        </is>
      </c>
      <c r="F3106" s="117" t="n">
        <v>10</v>
      </c>
      <c r="G3106" s="118" t="n">
        <v>2.08</v>
      </c>
      <c r="H3106" s="118" t="n">
        <v>20.8</v>
      </c>
      <c r="I3106" s="119" t="n">
        <v>40805</v>
      </c>
    </row>
    <row r="3107">
      <c r="A3107" s="114" t="inlineStr">
        <is>
          <t>567211</t>
        </is>
      </c>
      <c r="B3107" s="114" t="n">
        <v>14159</v>
      </c>
      <c r="C3107" s="114" t="inlineStr">
        <is>
          <t>United Kingdom</t>
        </is>
      </c>
      <c r="D3107" s="114" t="inlineStr">
        <is>
          <t>23412</t>
        </is>
      </c>
      <c r="E3107" s="114" t="inlineStr">
        <is>
          <t>HEART MIRROR ANTIQUE WHITE</t>
        </is>
      </c>
      <c r="F3107" s="114" t="n">
        <v>1</v>
      </c>
      <c r="G3107" s="115" t="n">
        <v>7.5</v>
      </c>
      <c r="H3107" s="115" t="n">
        <v>7.5</v>
      </c>
      <c r="I3107" s="116" t="n">
        <v>40805</v>
      </c>
    </row>
    <row r="3108">
      <c r="A3108" s="117" t="inlineStr">
        <is>
          <t>567211</t>
        </is>
      </c>
      <c r="B3108" s="117" t="n">
        <v>14159</v>
      </c>
      <c r="C3108" s="117" t="inlineStr">
        <is>
          <t>United Kingdom</t>
        </is>
      </c>
      <c r="D3108" s="117" t="inlineStr">
        <is>
          <t>22666</t>
        </is>
      </c>
      <c r="E3108" s="117" t="inlineStr">
        <is>
          <t>RECIPE BOX PANTRY YELLOW DESIGN</t>
        </is>
      </c>
      <c r="F3108" s="117" t="n">
        <v>1</v>
      </c>
      <c r="G3108" s="118" t="n">
        <v>2.95</v>
      </c>
      <c r="H3108" s="118" t="n">
        <v>2.95</v>
      </c>
      <c r="I3108" s="119" t="n">
        <v>40805</v>
      </c>
    </row>
    <row r="3109">
      <c r="A3109" s="114" t="inlineStr">
        <is>
          <t>567236</t>
        </is>
      </c>
      <c r="B3109" s="114" t="n">
        <v>14735</v>
      </c>
      <c r="C3109" s="114" t="inlineStr">
        <is>
          <t>United Kingdom</t>
        </is>
      </c>
      <c r="D3109" s="114" t="inlineStr">
        <is>
          <t>22191</t>
        </is>
      </c>
      <c r="E3109" s="114" t="inlineStr">
        <is>
          <t>IVORY DINER WALL CLOCK</t>
        </is>
      </c>
      <c r="F3109" s="114" t="n">
        <v>2</v>
      </c>
      <c r="G3109" s="115" t="n">
        <v>8.5</v>
      </c>
      <c r="H3109" s="115" t="n">
        <v>17</v>
      </c>
      <c r="I3109" s="116" t="n">
        <v>40805</v>
      </c>
    </row>
    <row r="3110">
      <c r="A3110" s="117" t="inlineStr">
        <is>
          <t>567280</t>
        </is>
      </c>
      <c r="B3110" s="117" t="n">
        <v>14646</v>
      </c>
      <c r="C3110" s="117" t="inlineStr">
        <is>
          <t>Netherlands</t>
        </is>
      </c>
      <c r="D3110" s="117" t="inlineStr">
        <is>
          <t>23289</t>
        </is>
      </c>
      <c r="E3110" s="117" t="inlineStr">
        <is>
          <t>DOLLY GIRL CHILDRENS BOWL</t>
        </is>
      </c>
      <c r="F3110" s="117" t="n">
        <v>144</v>
      </c>
      <c r="G3110" s="118" t="n">
        <v>1.05</v>
      </c>
      <c r="H3110" s="118" t="n">
        <v>151.2</v>
      </c>
      <c r="I3110" s="119" t="n">
        <v>40805</v>
      </c>
    </row>
    <row r="3111">
      <c r="A3111" s="114" t="inlineStr">
        <is>
          <t>567280</t>
        </is>
      </c>
      <c r="B3111" s="114" t="n">
        <v>14646</v>
      </c>
      <c r="C3111" s="114" t="inlineStr">
        <is>
          <t>Netherlands</t>
        </is>
      </c>
      <c r="D3111" s="114" t="inlineStr">
        <is>
          <t>22294</t>
        </is>
      </c>
      <c r="E3111" s="114" t="inlineStr">
        <is>
          <t>HEART FILIGREE DOVE  SMALL</t>
        </is>
      </c>
      <c r="F3111" s="114" t="n">
        <v>288</v>
      </c>
      <c r="G3111" s="115" t="n">
        <v>1.06</v>
      </c>
      <c r="H3111" s="115" t="n">
        <v>305.28</v>
      </c>
      <c r="I3111" s="116" t="n">
        <v>40805</v>
      </c>
    </row>
    <row r="3112">
      <c r="A3112" s="117" t="inlineStr">
        <is>
          <t>567292</t>
        </is>
      </c>
      <c r="B3112" s="117" t="n">
        <v>14606</v>
      </c>
      <c r="C3112" s="117" t="inlineStr">
        <is>
          <t>United Kingdom</t>
        </is>
      </c>
      <c r="D3112" s="117" t="inlineStr">
        <is>
          <t>22563</t>
        </is>
      </c>
      <c r="E3112" s="117" t="inlineStr">
        <is>
          <t>HAPPY STENCIL CRAFT</t>
        </is>
      </c>
      <c r="F3112" s="117" t="n">
        <v>1</v>
      </c>
      <c r="G3112" s="118" t="n">
        <v>1.25</v>
      </c>
      <c r="H3112" s="118" t="n">
        <v>1.25</v>
      </c>
      <c r="I3112" s="119" t="n">
        <v>40805</v>
      </c>
    </row>
    <row r="3113">
      <c r="A3113" s="114" t="inlineStr">
        <is>
          <t>567293</t>
        </is>
      </c>
      <c r="B3113" s="114" t="n">
        <v>12640</v>
      </c>
      <c r="C3113" s="114" t="inlineStr">
        <is>
          <t>France</t>
        </is>
      </c>
      <c r="D3113" s="114" t="inlineStr">
        <is>
          <t>22699</t>
        </is>
      </c>
      <c r="E3113" s="114" t="inlineStr">
        <is>
          <t xml:space="preserve">ROSES REGENCY TEACUP AND SAUCER </t>
        </is>
      </c>
      <c r="F3113" s="114" t="n">
        <v>6</v>
      </c>
      <c r="G3113" s="115" t="n">
        <v>2.95</v>
      </c>
      <c r="H3113" s="115" t="n">
        <v>17.7</v>
      </c>
      <c r="I3113" s="116" t="n">
        <v>40805</v>
      </c>
    </row>
    <row r="3114">
      <c r="A3114" s="117" t="inlineStr">
        <is>
          <t>567294</t>
        </is>
      </c>
      <c r="B3114" s="117" t="n">
        <v>13774</v>
      </c>
      <c r="C3114" s="117" t="inlineStr">
        <is>
          <t>United Kingdom</t>
        </is>
      </c>
      <c r="D3114" s="117" t="inlineStr">
        <is>
          <t>22720</t>
        </is>
      </c>
      <c r="E3114" s="117" t="inlineStr">
        <is>
          <t xml:space="preserve">SET OF 3 CAKE TINS PANTRY DESIGN </t>
        </is>
      </c>
      <c r="F3114" s="117" t="n">
        <v>3</v>
      </c>
      <c r="G3114" s="118" t="n">
        <v>4.95</v>
      </c>
      <c r="H3114" s="118" t="n">
        <v>14.85</v>
      </c>
      <c r="I3114" s="119" t="n">
        <v>40805</v>
      </c>
    </row>
    <row r="3115">
      <c r="A3115" s="114" t="inlineStr">
        <is>
          <t>567294</t>
        </is>
      </c>
      <c r="B3115" s="114" t="n">
        <v>13774</v>
      </c>
      <c r="C3115" s="114" t="inlineStr">
        <is>
          <t>United Kingdom</t>
        </is>
      </c>
      <c r="D3115" s="114" t="inlineStr">
        <is>
          <t>21977</t>
        </is>
      </c>
      <c r="E3115" s="114" t="inlineStr">
        <is>
          <t>PACK OF 60 PINK PAISLEY CAKE CASES</t>
        </is>
      </c>
      <c r="F3115" s="114" t="n">
        <v>24</v>
      </c>
      <c r="G3115" s="115" t="n">
        <v>0.55</v>
      </c>
      <c r="H3115" s="115" t="n">
        <v>13.2</v>
      </c>
      <c r="I3115" s="116" t="n">
        <v>40805</v>
      </c>
    </row>
    <row r="3116">
      <c r="A3116" s="117" t="inlineStr">
        <is>
          <t>567297</t>
        </is>
      </c>
      <c r="B3116" s="117" t="n">
        <v>15594</v>
      </c>
      <c r="C3116" s="117" t="inlineStr">
        <is>
          <t>United Kingdom</t>
        </is>
      </c>
      <c r="D3116" s="117" t="inlineStr">
        <is>
          <t>22844</t>
        </is>
      </c>
      <c r="E3116" s="117" t="inlineStr">
        <is>
          <t>VINTAGE CREAM DOG FOOD CONTAINER</t>
        </is>
      </c>
      <c r="F3116" s="117" t="n">
        <v>2</v>
      </c>
      <c r="G3116" s="118" t="n">
        <v>8.5</v>
      </c>
      <c r="H3116" s="118" t="n">
        <v>17</v>
      </c>
      <c r="I3116" s="119" t="n">
        <v>40805</v>
      </c>
    </row>
    <row r="3117">
      <c r="A3117" s="114" t="inlineStr">
        <is>
          <t>567310</t>
        </is>
      </c>
      <c r="B3117" s="114" t="n">
        <v>15504</v>
      </c>
      <c r="C3117" s="114" t="inlineStr">
        <is>
          <t>United Kingdom</t>
        </is>
      </c>
      <c r="D3117" s="114" t="inlineStr">
        <is>
          <t>21465</t>
        </is>
      </c>
      <c r="E3117" s="114" t="inlineStr">
        <is>
          <t>PINK FLOWER CROCHET FOOD COVER</t>
        </is>
      </c>
      <c r="F3117" s="114" t="n">
        <v>2</v>
      </c>
      <c r="G3117" s="115" t="n">
        <v>3.75</v>
      </c>
      <c r="H3117" s="115" t="n">
        <v>7.5</v>
      </c>
      <c r="I3117" s="116" t="n">
        <v>40805</v>
      </c>
    </row>
    <row r="3118">
      <c r="A3118" s="117" t="inlineStr">
        <is>
          <t>567312</t>
        </is>
      </c>
      <c r="B3118" s="117" t="n">
        <v>15500</v>
      </c>
      <c r="C3118" s="117" t="inlineStr">
        <is>
          <t>United Kingdom</t>
        </is>
      </c>
      <c r="D3118" s="117" t="inlineStr">
        <is>
          <t>84997B</t>
        </is>
      </c>
      <c r="E3118" s="117" t="inlineStr">
        <is>
          <t xml:space="preserve">CHILDRENS CUTLERY RETROSPOT RED </t>
        </is>
      </c>
      <c r="F3118" s="117" t="n">
        <v>4</v>
      </c>
      <c r="G3118" s="118" t="n">
        <v>4.15</v>
      </c>
      <c r="H3118" s="118" t="n">
        <v>16.6</v>
      </c>
      <c r="I3118" s="119" t="n">
        <v>40805</v>
      </c>
    </row>
    <row r="3119">
      <c r="A3119" s="114" t="inlineStr">
        <is>
          <t>567328</t>
        </is>
      </c>
      <c r="B3119" s="114" t="n">
        <v>14356</v>
      </c>
      <c r="C3119" s="114" t="inlineStr">
        <is>
          <t>United Kingdom</t>
        </is>
      </c>
      <c r="D3119" s="114" t="inlineStr">
        <is>
          <t>22734</t>
        </is>
      </c>
      <c r="E3119" s="114" t="inlineStr">
        <is>
          <t>SET OF 6 RIBBONS VINTAGE CHRISTMAS</t>
        </is>
      </c>
      <c r="F3119" s="114" t="n">
        <v>6</v>
      </c>
      <c r="G3119" s="115" t="n">
        <v>2.89</v>
      </c>
      <c r="H3119" s="115" t="n">
        <v>17.34</v>
      </c>
      <c r="I3119" s="116" t="n">
        <v>40805</v>
      </c>
    </row>
    <row r="3120">
      <c r="A3120" s="117" t="inlineStr">
        <is>
          <t>567333</t>
        </is>
      </c>
      <c r="B3120" s="117" t="n">
        <v>14282</v>
      </c>
      <c r="C3120" s="117" t="inlineStr">
        <is>
          <t>United Kingdom</t>
        </is>
      </c>
      <c r="D3120" s="117" t="inlineStr">
        <is>
          <t>22356</t>
        </is>
      </c>
      <c r="E3120" s="117" t="inlineStr">
        <is>
          <t>CHARLOTTE BAG PINK POLKADOT</t>
        </is>
      </c>
      <c r="F3120" s="117" t="n">
        <v>10</v>
      </c>
      <c r="G3120" s="118" t="n">
        <v>0.85</v>
      </c>
      <c r="H3120" s="118" t="n">
        <v>8.5</v>
      </c>
      <c r="I3120" s="119" t="n">
        <v>40805</v>
      </c>
    </row>
    <row r="3121">
      <c r="A3121" s="114" t="inlineStr">
        <is>
          <t>567333</t>
        </is>
      </c>
      <c r="B3121" s="114" t="n">
        <v>14282</v>
      </c>
      <c r="C3121" s="114" t="inlineStr">
        <is>
          <t>United Kingdom</t>
        </is>
      </c>
      <c r="D3121" s="114" t="inlineStr">
        <is>
          <t>23209</t>
        </is>
      </c>
      <c r="E3121" s="114" t="inlineStr">
        <is>
          <t xml:space="preserve">LUNCH BAG VINTAGE DOILY </t>
        </is>
      </c>
      <c r="F3121" s="114" t="n">
        <v>10</v>
      </c>
      <c r="G3121" s="115" t="n">
        <v>1.65</v>
      </c>
      <c r="H3121" s="115" t="n">
        <v>16.5</v>
      </c>
      <c r="I3121" s="116" t="n">
        <v>40805</v>
      </c>
    </row>
    <row r="3122">
      <c r="A3122" s="117" t="inlineStr">
        <is>
          <t>567339</t>
        </is>
      </c>
      <c r="B3122" s="117" t="n">
        <v>14146</v>
      </c>
      <c r="C3122" s="117" t="inlineStr">
        <is>
          <t>United Kingdom</t>
        </is>
      </c>
      <c r="D3122" s="117" t="inlineStr">
        <is>
          <t>23188</t>
        </is>
      </c>
      <c r="E3122" s="117" t="inlineStr">
        <is>
          <t>VINTAGE  2 METER FOLDING RULER</t>
        </is>
      </c>
      <c r="F3122" s="117" t="n">
        <v>12</v>
      </c>
      <c r="G3122" s="118" t="n">
        <v>1.65</v>
      </c>
      <c r="H3122" s="118" t="n">
        <v>19.8</v>
      </c>
      <c r="I3122" s="119" t="n">
        <v>40805</v>
      </c>
    </row>
    <row r="3123">
      <c r="A3123" s="114" t="inlineStr">
        <is>
          <t>567343</t>
        </is>
      </c>
      <c r="B3123" s="114" t="n">
        <v>17628</v>
      </c>
      <c r="C3123" s="114" t="inlineStr">
        <is>
          <t>United Kingdom</t>
        </is>
      </c>
      <c r="D3123" s="114" t="inlineStr">
        <is>
          <t>21213</t>
        </is>
      </c>
      <c r="E3123" s="114" t="inlineStr">
        <is>
          <t>PACK OF 72 SKULL CAKE CASES</t>
        </is>
      </c>
      <c r="F3123" s="114" t="n">
        <v>24</v>
      </c>
      <c r="G3123" s="115" t="n">
        <v>0.55</v>
      </c>
      <c r="H3123" s="115" t="n">
        <v>13.2</v>
      </c>
      <c r="I3123" s="116" t="n">
        <v>40805</v>
      </c>
    </row>
    <row r="3124">
      <c r="A3124" s="117" t="inlineStr">
        <is>
          <t>567372</t>
        </is>
      </c>
      <c r="B3124" s="117" t="n">
        <v>14191</v>
      </c>
      <c r="C3124" s="117" t="inlineStr">
        <is>
          <t>United Kingdom</t>
        </is>
      </c>
      <c r="D3124" s="117" t="inlineStr">
        <is>
          <t>23433</t>
        </is>
      </c>
      <c r="E3124" s="117" t="inlineStr">
        <is>
          <t>HANGING QUILTED PATCHWORK APPLES</t>
        </is>
      </c>
      <c r="F3124" s="117" t="n">
        <v>12</v>
      </c>
      <c r="G3124" s="118" t="n">
        <v>0.83</v>
      </c>
      <c r="H3124" s="118" t="n">
        <v>9.960000000000001</v>
      </c>
      <c r="I3124" s="119" t="n">
        <v>40806</v>
      </c>
    </row>
    <row r="3125">
      <c r="A3125" s="114" t="inlineStr">
        <is>
          <t>567379</t>
        </is>
      </c>
      <c r="B3125" s="114" t="n">
        <v>13089</v>
      </c>
      <c r="C3125" s="114" t="inlineStr">
        <is>
          <t>United Kingdom</t>
        </is>
      </c>
      <c r="D3125" s="114" t="inlineStr">
        <is>
          <t>23330</t>
        </is>
      </c>
      <c r="E3125" s="114" t="inlineStr">
        <is>
          <t>DECORATIVE WICKER HEART MEDIUM</t>
        </is>
      </c>
      <c r="F3125" s="114" t="n">
        <v>48</v>
      </c>
      <c r="G3125" s="115" t="n">
        <v>1.25</v>
      </c>
      <c r="H3125" s="115" t="n">
        <v>60</v>
      </c>
      <c r="I3125" s="116" t="n">
        <v>40806</v>
      </c>
    </row>
    <row r="3126">
      <c r="A3126" s="117" t="inlineStr">
        <is>
          <t>567386</t>
        </is>
      </c>
      <c r="B3126" s="117" t="n">
        <v>17863</v>
      </c>
      <c r="C3126" s="117" t="inlineStr">
        <is>
          <t>United Kingdom</t>
        </is>
      </c>
      <c r="D3126" s="117" t="inlineStr">
        <is>
          <t>23388</t>
        </is>
      </c>
      <c r="E3126" s="117" t="inlineStr">
        <is>
          <t>WOODLAND MINI BACKPACK</t>
        </is>
      </c>
      <c r="F3126" s="117" t="n">
        <v>4</v>
      </c>
      <c r="G3126" s="118" t="n">
        <v>4.15</v>
      </c>
      <c r="H3126" s="118" t="n">
        <v>16.6</v>
      </c>
      <c r="I3126" s="119" t="n">
        <v>40806</v>
      </c>
    </row>
    <row r="3127">
      <c r="A3127" s="114" t="inlineStr">
        <is>
          <t>567386</t>
        </is>
      </c>
      <c r="B3127" s="114" t="n">
        <v>17863</v>
      </c>
      <c r="C3127" s="114" t="inlineStr">
        <is>
          <t>United Kingdom</t>
        </is>
      </c>
      <c r="D3127" s="114" t="inlineStr">
        <is>
          <t>23292</t>
        </is>
      </c>
      <c r="E3127" s="114" t="inlineStr">
        <is>
          <t>SPACEBOY CHILDRENS CUP</t>
        </is>
      </c>
      <c r="F3127" s="114" t="n">
        <v>16</v>
      </c>
      <c r="G3127" s="115" t="n">
        <v>1.25</v>
      </c>
      <c r="H3127" s="115" t="n">
        <v>20</v>
      </c>
      <c r="I3127" s="116" t="n">
        <v>40806</v>
      </c>
    </row>
    <row r="3128">
      <c r="A3128" s="117" t="inlineStr">
        <is>
          <t>567429</t>
        </is>
      </c>
      <c r="B3128" s="117" t="n">
        <v>17686</v>
      </c>
      <c r="C3128" s="117" t="inlineStr">
        <is>
          <t>United Kingdom</t>
        </is>
      </c>
      <c r="D3128" s="117" t="inlineStr">
        <is>
          <t>21479</t>
        </is>
      </c>
      <c r="E3128" s="117" t="inlineStr">
        <is>
          <t xml:space="preserve">WHITE SKULL HOT WATER BOTTLE </t>
        </is>
      </c>
      <c r="F3128" s="117" t="n">
        <v>4</v>
      </c>
      <c r="G3128" s="118" t="n">
        <v>4.25</v>
      </c>
      <c r="H3128" s="118" t="n">
        <v>17</v>
      </c>
      <c r="I3128" s="119" t="n">
        <v>40806</v>
      </c>
    </row>
    <row r="3129">
      <c r="A3129" s="114" t="inlineStr">
        <is>
          <t>567457</t>
        </is>
      </c>
      <c r="B3129" s="114" t="n">
        <v>14164</v>
      </c>
      <c r="C3129" s="114" t="inlineStr">
        <is>
          <t>United Kingdom</t>
        </is>
      </c>
      <c r="D3129" s="114" t="inlineStr">
        <is>
          <t>23333</t>
        </is>
      </c>
      <c r="E3129" s="114" t="inlineStr">
        <is>
          <t>IVORY WICKER HEART MEDIUM</t>
        </is>
      </c>
      <c r="F3129" s="114" t="n">
        <v>48</v>
      </c>
      <c r="G3129" s="115" t="n">
        <v>1.25</v>
      </c>
      <c r="H3129" s="115" t="n">
        <v>60</v>
      </c>
      <c r="I3129" s="116" t="n">
        <v>40806</v>
      </c>
    </row>
    <row r="3130">
      <c r="A3130" s="117" t="inlineStr">
        <is>
          <t>567462</t>
        </is>
      </c>
      <c r="B3130" s="117" t="n">
        <v>14446</v>
      </c>
      <c r="C3130" s="117" t="inlineStr">
        <is>
          <t>United Kingdom</t>
        </is>
      </c>
      <c r="D3130" s="117" t="inlineStr">
        <is>
          <t>23208</t>
        </is>
      </c>
      <c r="E3130" s="117" t="inlineStr">
        <is>
          <t>LUNCH BAG VINTAGE LEAF DESIGN</t>
        </is>
      </c>
      <c r="F3130" s="117" t="n">
        <v>2</v>
      </c>
      <c r="G3130" s="118" t="n">
        <v>1.65</v>
      </c>
      <c r="H3130" s="118" t="n">
        <v>3.3</v>
      </c>
      <c r="I3130" s="119" t="n">
        <v>40806</v>
      </c>
    </row>
    <row r="3131">
      <c r="A3131" s="114" t="inlineStr">
        <is>
          <t>567462</t>
        </is>
      </c>
      <c r="B3131" s="114" t="n">
        <v>14446</v>
      </c>
      <c r="C3131" s="114" t="inlineStr">
        <is>
          <t>United Kingdom</t>
        </is>
      </c>
      <c r="D3131" s="114" t="inlineStr">
        <is>
          <t>22610</t>
        </is>
      </c>
      <c r="E3131" s="114" t="inlineStr">
        <is>
          <t>PENS ASSORTED FUNNY FACE</t>
        </is>
      </c>
      <c r="F3131" s="114" t="n">
        <v>36</v>
      </c>
      <c r="G3131" s="115" t="n">
        <v>0.19</v>
      </c>
      <c r="H3131" s="115" t="n">
        <v>6.84</v>
      </c>
      <c r="I3131" s="116" t="n">
        <v>40806</v>
      </c>
    </row>
    <row r="3132">
      <c r="A3132" s="117" t="inlineStr">
        <is>
          <t>567462</t>
        </is>
      </c>
      <c r="B3132" s="117" t="n">
        <v>14446</v>
      </c>
      <c r="C3132" s="117" t="inlineStr">
        <is>
          <t>United Kingdom</t>
        </is>
      </c>
      <c r="D3132" s="117" t="inlineStr">
        <is>
          <t>21977</t>
        </is>
      </c>
      <c r="E3132" s="117" t="inlineStr">
        <is>
          <t>PACK OF 60 PINK PAISLEY CAKE CASES</t>
        </is>
      </c>
      <c r="F3132" s="117" t="n">
        <v>2</v>
      </c>
      <c r="G3132" s="118" t="n">
        <v>0.55</v>
      </c>
      <c r="H3132" s="118" t="n">
        <v>1.1</v>
      </c>
      <c r="I3132" s="119" t="n">
        <v>40806</v>
      </c>
    </row>
    <row r="3133">
      <c r="A3133" s="114" t="inlineStr">
        <is>
          <t>567472</t>
        </is>
      </c>
      <c r="B3133" s="114" t="n">
        <v>15039</v>
      </c>
      <c r="C3133" s="114" t="inlineStr">
        <is>
          <t>United Kingdom</t>
        </is>
      </c>
      <c r="D3133" s="114" t="inlineStr">
        <is>
          <t>22435</t>
        </is>
      </c>
      <c r="E3133" s="114" t="inlineStr">
        <is>
          <t>SET OF 9 HEART SHAPED BALLOONS</t>
        </is>
      </c>
      <c r="F3133" s="114" t="n">
        <v>1</v>
      </c>
      <c r="G3133" s="115" t="n">
        <v>1.25</v>
      </c>
      <c r="H3133" s="115" t="n">
        <v>1.25</v>
      </c>
      <c r="I3133" s="116" t="n">
        <v>40806</v>
      </c>
    </row>
    <row r="3134">
      <c r="A3134" s="117" t="inlineStr">
        <is>
          <t>567472</t>
        </is>
      </c>
      <c r="B3134" s="117" t="n">
        <v>15039</v>
      </c>
      <c r="C3134" s="117" t="inlineStr">
        <is>
          <t>United Kingdom</t>
        </is>
      </c>
      <c r="D3134" s="117" t="inlineStr">
        <is>
          <t>21355</t>
        </is>
      </c>
      <c r="E3134" s="117" t="inlineStr">
        <is>
          <t xml:space="preserve">TOAST ITS - I LOVE YOU </t>
        </is>
      </c>
      <c r="F3134" s="117" t="n">
        <v>1</v>
      </c>
      <c r="G3134" s="118" t="n">
        <v>1.25</v>
      </c>
      <c r="H3134" s="118" t="n">
        <v>1.25</v>
      </c>
      <c r="I3134" s="119" t="n">
        <v>40806</v>
      </c>
    </row>
    <row r="3135">
      <c r="A3135" s="114" t="inlineStr">
        <is>
          <t>567474</t>
        </is>
      </c>
      <c r="B3135" s="114" t="n">
        <v>13448</v>
      </c>
      <c r="C3135" s="114" t="inlineStr">
        <is>
          <t>United Kingdom</t>
        </is>
      </c>
      <c r="D3135" s="114" t="inlineStr">
        <is>
          <t>22365</t>
        </is>
      </c>
      <c r="E3135" s="114" t="inlineStr">
        <is>
          <t>DOORMAT RESPECTABLE HOUSE</t>
        </is>
      </c>
      <c r="F3135" s="114" t="n">
        <v>3</v>
      </c>
      <c r="G3135" s="115" t="n">
        <v>8.25</v>
      </c>
      <c r="H3135" s="115" t="n">
        <v>24.75</v>
      </c>
      <c r="I3135" s="116" t="n">
        <v>40806</v>
      </c>
    </row>
    <row r="3136">
      <c r="A3136" s="117" t="inlineStr">
        <is>
          <t>567474</t>
        </is>
      </c>
      <c r="B3136" s="117" t="n">
        <v>13448</v>
      </c>
      <c r="C3136" s="117" t="inlineStr">
        <is>
          <t>United Kingdom</t>
        </is>
      </c>
      <c r="D3136" s="117" t="inlineStr">
        <is>
          <t>21980</t>
        </is>
      </c>
      <c r="E3136" s="117" t="inlineStr">
        <is>
          <t xml:space="preserve">PACK OF 12 RED RETROSPOT TISSUES </t>
        </is>
      </c>
      <c r="F3136" s="117" t="n">
        <v>24</v>
      </c>
      <c r="G3136" s="118" t="n">
        <v>0.39</v>
      </c>
      <c r="H3136" s="118" t="n">
        <v>9.359999999999999</v>
      </c>
      <c r="I3136" s="119" t="n">
        <v>40806</v>
      </c>
    </row>
    <row r="3137">
      <c r="A3137" s="114" t="inlineStr">
        <is>
          <t>567477</t>
        </is>
      </c>
      <c r="B3137" s="114" t="n">
        <v>16327</v>
      </c>
      <c r="C3137" s="114" t="inlineStr">
        <is>
          <t>United Kingdom</t>
        </is>
      </c>
      <c r="D3137" s="114" t="inlineStr">
        <is>
          <t>21558</t>
        </is>
      </c>
      <c r="E3137" s="114" t="inlineStr">
        <is>
          <t xml:space="preserve">SKULL LUNCH BOX WITH CUTLERY </t>
        </is>
      </c>
      <c r="F3137" s="114" t="n">
        <v>3</v>
      </c>
      <c r="G3137" s="115" t="n">
        <v>2.55</v>
      </c>
      <c r="H3137" s="115" t="n">
        <v>7.65</v>
      </c>
      <c r="I3137" s="116" t="n">
        <v>40806</v>
      </c>
    </row>
    <row r="3138">
      <c r="A3138" s="117" t="inlineStr">
        <is>
          <t>567482</t>
        </is>
      </c>
      <c r="B3138" s="117" t="n">
        <v>16464</v>
      </c>
      <c r="C3138" s="117" t="inlineStr">
        <is>
          <t>United Kingdom</t>
        </is>
      </c>
      <c r="D3138" s="117" t="inlineStr">
        <is>
          <t>20735</t>
        </is>
      </c>
      <c r="E3138" s="117" t="inlineStr">
        <is>
          <t xml:space="preserve">BLACK MINI TAPE MEASURE </t>
        </is>
      </c>
      <c r="F3138" s="117" t="n">
        <v>2</v>
      </c>
      <c r="G3138" s="118" t="n">
        <v>0.85</v>
      </c>
      <c r="H3138" s="118" t="n">
        <v>1.7</v>
      </c>
      <c r="I3138" s="119" t="n">
        <v>40806</v>
      </c>
    </row>
    <row r="3139">
      <c r="A3139" s="114" t="inlineStr">
        <is>
          <t>567485</t>
        </is>
      </c>
      <c r="B3139" s="114" t="n">
        <v>15026</v>
      </c>
      <c r="C3139" s="114" t="inlineStr">
        <is>
          <t>United Kingdom</t>
        </is>
      </c>
      <c r="D3139" s="114" t="inlineStr">
        <is>
          <t>84558A</t>
        </is>
      </c>
      <c r="E3139" s="114" t="inlineStr">
        <is>
          <t>3D DOG PICTURE PLAYING CARDS</t>
        </is>
      </c>
      <c r="F3139" s="114" t="n">
        <v>2</v>
      </c>
      <c r="G3139" s="115" t="n">
        <v>2.95</v>
      </c>
      <c r="H3139" s="115" t="n">
        <v>5.9</v>
      </c>
      <c r="I3139" s="116" t="n">
        <v>40806</v>
      </c>
    </row>
    <row r="3140">
      <c r="A3140" s="117" t="inlineStr">
        <is>
          <t>567488</t>
        </is>
      </c>
      <c r="B3140" s="117" t="n">
        <v>17564</v>
      </c>
      <c r="C3140" s="117" t="inlineStr">
        <is>
          <t>United Kingdom</t>
        </is>
      </c>
      <c r="D3140" s="117" t="inlineStr">
        <is>
          <t>21689</t>
        </is>
      </c>
      <c r="E3140" s="117" t="inlineStr">
        <is>
          <t>SILVER VANILLA  FLOWER CANDLE POT</t>
        </is>
      </c>
      <c r="F3140" s="117" t="n">
        <v>3</v>
      </c>
      <c r="G3140" s="118" t="n">
        <v>3.75</v>
      </c>
      <c r="H3140" s="118" t="n">
        <v>11.25</v>
      </c>
      <c r="I3140" s="119" t="n">
        <v>40806</v>
      </c>
    </row>
    <row r="3141">
      <c r="A3141" s="114" t="inlineStr">
        <is>
          <t>567505</t>
        </is>
      </c>
      <c r="B3141" s="114" t="n">
        <v>12352</v>
      </c>
      <c r="C3141" s="114" t="inlineStr">
        <is>
          <t>Norway</t>
        </is>
      </c>
      <c r="D3141" s="114" t="inlineStr">
        <is>
          <t>23298</t>
        </is>
      </c>
      <c r="E3141" s="114" t="inlineStr">
        <is>
          <t>SPOTTY BUNTING</t>
        </is>
      </c>
      <c r="F3141" s="114" t="n">
        <v>3</v>
      </c>
      <c r="G3141" s="115" t="n">
        <v>4.95</v>
      </c>
      <c r="H3141" s="115" t="n">
        <v>14.85</v>
      </c>
      <c r="I3141" s="116" t="n">
        <v>40806</v>
      </c>
    </row>
    <row r="3142">
      <c r="A3142" s="117" t="inlineStr">
        <is>
          <t>567517</t>
        </is>
      </c>
      <c r="B3142" s="117" t="n">
        <v>14211</v>
      </c>
      <c r="C3142" s="117" t="inlineStr">
        <is>
          <t>United Kingdom</t>
        </is>
      </c>
      <c r="D3142" s="117" t="inlineStr">
        <is>
          <t>23329</t>
        </is>
      </c>
      <c r="E3142" s="117" t="inlineStr">
        <is>
          <t>DECORATIVE WICKER HEART LARGE</t>
        </is>
      </c>
      <c r="F3142" s="117" t="n">
        <v>12</v>
      </c>
      <c r="G3142" s="118" t="n">
        <v>1.65</v>
      </c>
      <c r="H3142" s="118" t="n">
        <v>19.8</v>
      </c>
      <c r="I3142" s="119" t="n">
        <v>40806</v>
      </c>
    </row>
    <row r="3143">
      <c r="A3143" s="114" t="inlineStr">
        <is>
          <t>567524</t>
        </is>
      </c>
      <c r="B3143" s="114" t="n">
        <v>15696</v>
      </c>
      <c r="C3143" s="114" t="inlineStr">
        <is>
          <t>United Kingdom</t>
        </is>
      </c>
      <c r="D3143" s="114" t="inlineStr">
        <is>
          <t>23402</t>
        </is>
      </c>
      <c r="E3143" s="114" t="inlineStr">
        <is>
          <t xml:space="preserve">HOME SWEET HOME 3 PEG HANGER </t>
        </is>
      </c>
      <c r="F3143" s="114" t="n">
        <v>8</v>
      </c>
      <c r="G3143" s="115" t="n">
        <v>3.75</v>
      </c>
      <c r="H3143" s="115" t="n">
        <v>30</v>
      </c>
      <c r="I3143" s="116" t="n">
        <v>40807</v>
      </c>
    </row>
    <row r="3144">
      <c r="A3144" s="117" t="inlineStr">
        <is>
          <t>567525</t>
        </is>
      </c>
      <c r="B3144" s="117" t="n">
        <v>18241</v>
      </c>
      <c r="C3144" s="117" t="inlineStr">
        <is>
          <t>United Kingdom</t>
        </is>
      </c>
      <c r="D3144" s="117" t="inlineStr">
        <is>
          <t>21181</t>
        </is>
      </c>
      <c r="E3144" s="117" t="inlineStr">
        <is>
          <t>PLEASE ONE PERSON METAL SIGN</t>
        </is>
      </c>
      <c r="F3144" s="117" t="n">
        <v>12</v>
      </c>
      <c r="G3144" s="118" t="n">
        <v>2.1</v>
      </c>
      <c r="H3144" s="118" t="n">
        <v>25.2</v>
      </c>
      <c r="I3144" s="119" t="n">
        <v>40807</v>
      </c>
    </row>
    <row r="3145">
      <c r="A3145" s="114" t="inlineStr">
        <is>
          <t>567533</t>
        </is>
      </c>
      <c r="B3145" s="114" t="n">
        <v>17651</v>
      </c>
      <c r="C3145" s="114" t="inlineStr">
        <is>
          <t>United Kingdom</t>
        </is>
      </c>
      <c r="D3145" s="114" t="inlineStr">
        <is>
          <t>23348</t>
        </is>
      </c>
      <c r="E3145" s="114" t="inlineStr">
        <is>
          <t>CHILDRENS TOY COOKING UTENSIL SET</t>
        </is>
      </c>
      <c r="F3145" s="114" t="n">
        <v>6</v>
      </c>
      <c r="G3145" s="115" t="n">
        <v>2.08</v>
      </c>
      <c r="H3145" s="115" t="n">
        <v>12.48</v>
      </c>
      <c r="I3145" s="116" t="n">
        <v>40807</v>
      </c>
    </row>
    <row r="3146">
      <c r="A3146" s="117" t="inlineStr">
        <is>
          <t>567552</t>
        </is>
      </c>
      <c r="B3146" s="117" t="n">
        <v>12583</v>
      </c>
      <c r="C3146" s="117" t="inlineStr">
        <is>
          <t>France</t>
        </is>
      </c>
      <c r="D3146" s="117" t="inlineStr">
        <is>
          <t>23374</t>
        </is>
      </c>
      <c r="E3146" s="117" t="inlineStr">
        <is>
          <t>RED SPOT PAPER GIFT BAG</t>
        </is>
      </c>
      <c r="F3146" s="117" t="n">
        <v>20</v>
      </c>
      <c r="G3146" s="118" t="n">
        <v>0.82</v>
      </c>
      <c r="H3146" s="118" t="n">
        <v>16.4</v>
      </c>
      <c r="I3146" s="119" t="n">
        <v>40807</v>
      </c>
    </row>
    <row r="3147">
      <c r="A3147" s="114" t="inlineStr">
        <is>
          <t>567578</t>
        </is>
      </c>
      <c r="B3147" s="114" t="n">
        <v>12701</v>
      </c>
      <c r="C3147" s="114" t="inlineStr">
        <is>
          <t>Germany</t>
        </is>
      </c>
      <c r="D3147" s="114" t="inlineStr">
        <is>
          <t>22278</t>
        </is>
      </c>
      <c r="E3147" s="114" t="inlineStr">
        <is>
          <t>OVERNIGHT BAG VINTAGE ROSE PAISLEY</t>
        </is>
      </c>
      <c r="F3147" s="114" t="n">
        <v>3</v>
      </c>
      <c r="G3147" s="115" t="n">
        <v>4.95</v>
      </c>
      <c r="H3147" s="115" t="n">
        <v>14.85</v>
      </c>
      <c r="I3147" s="116" t="n">
        <v>40807</v>
      </c>
    </row>
    <row r="3148">
      <c r="A3148" s="117" t="inlineStr">
        <is>
          <t>567579</t>
        </is>
      </c>
      <c r="B3148" s="117" t="n">
        <v>18228</v>
      </c>
      <c r="C3148" s="117" t="inlineStr">
        <is>
          <t>United Kingdom</t>
        </is>
      </c>
      <c r="D3148" s="117" t="inlineStr">
        <is>
          <t>23402</t>
        </is>
      </c>
      <c r="E3148" s="117" t="inlineStr">
        <is>
          <t xml:space="preserve">HOME SWEEET HOME 3 PEG HANGER </t>
        </is>
      </c>
      <c r="F3148" s="117" t="n">
        <v>8</v>
      </c>
      <c r="G3148" s="118" t="n">
        <v>3.75</v>
      </c>
      <c r="H3148" s="118" t="n">
        <v>30</v>
      </c>
      <c r="I3148" s="119" t="n">
        <v>40807</v>
      </c>
    </row>
    <row r="3149">
      <c r="A3149" s="114" t="inlineStr">
        <is>
          <t>567579</t>
        </is>
      </c>
      <c r="B3149" s="114" t="n">
        <v>18228</v>
      </c>
      <c r="C3149" s="114" t="inlineStr">
        <is>
          <t>United Kingdom</t>
        </is>
      </c>
      <c r="D3149" s="114" t="inlineStr">
        <is>
          <t>21175</t>
        </is>
      </c>
      <c r="E3149" s="114" t="inlineStr">
        <is>
          <t>GIN + TONIC DIET METAL SIGN</t>
        </is>
      </c>
      <c r="F3149" s="114" t="n">
        <v>12</v>
      </c>
      <c r="G3149" s="115" t="n">
        <v>2.55</v>
      </c>
      <c r="H3149" s="115" t="n">
        <v>30.6</v>
      </c>
      <c r="I3149" s="116" t="n">
        <v>40807</v>
      </c>
    </row>
    <row r="3150">
      <c r="A3150" s="117" t="inlineStr">
        <is>
          <t>567579</t>
        </is>
      </c>
      <c r="B3150" s="117" t="n">
        <v>18228</v>
      </c>
      <c r="C3150" s="117" t="inlineStr">
        <is>
          <t>United Kingdom</t>
        </is>
      </c>
      <c r="D3150" s="117" t="inlineStr">
        <is>
          <t>21169</t>
        </is>
      </c>
      <c r="E3150" s="117" t="inlineStr">
        <is>
          <t xml:space="preserve">YOU'RE CONFUSING ME METAL SIGN </t>
        </is>
      </c>
      <c r="F3150" s="117" t="n">
        <v>12</v>
      </c>
      <c r="G3150" s="118" t="n">
        <v>1.69</v>
      </c>
      <c r="H3150" s="118" t="n">
        <v>20.28</v>
      </c>
      <c r="I3150" s="119" t="n">
        <v>40807</v>
      </c>
    </row>
    <row r="3151">
      <c r="A3151" s="114" t="inlineStr">
        <is>
          <t>567612</t>
        </is>
      </c>
      <c r="B3151" s="114" t="n">
        <v>17164</v>
      </c>
      <c r="C3151" s="114" t="inlineStr">
        <is>
          <t>United Kingdom</t>
        </is>
      </c>
      <c r="D3151" s="114" t="inlineStr">
        <is>
          <t>22574</t>
        </is>
      </c>
      <c r="E3151" s="114" t="inlineStr">
        <is>
          <t>HEART WOODEN CHRISTMAS DECORATION</t>
        </is>
      </c>
      <c r="F3151" s="114" t="n">
        <v>12</v>
      </c>
      <c r="G3151" s="115" t="n">
        <v>0.85</v>
      </c>
      <c r="H3151" s="115" t="n">
        <v>10.2</v>
      </c>
      <c r="I3151" s="116" t="n">
        <v>40807</v>
      </c>
    </row>
    <row r="3152">
      <c r="A3152" s="117" t="inlineStr">
        <is>
          <t>567622</t>
        </is>
      </c>
      <c r="B3152" s="117" t="n">
        <v>14527</v>
      </c>
      <c r="C3152" s="117" t="inlineStr">
        <is>
          <t>United Kingdom</t>
        </is>
      </c>
      <c r="D3152" s="117" t="inlineStr">
        <is>
          <t>22898</t>
        </is>
      </c>
      <c r="E3152" s="117" t="inlineStr">
        <is>
          <t>CHILDRENS APRON APPLES DESIGN</t>
        </is>
      </c>
      <c r="F3152" s="117" t="n">
        <v>1</v>
      </c>
      <c r="G3152" s="118" t="n">
        <v>1.95</v>
      </c>
      <c r="H3152" s="118" t="n">
        <v>1.95</v>
      </c>
      <c r="I3152" s="119" t="n">
        <v>40807</v>
      </c>
    </row>
    <row r="3153">
      <c r="A3153" s="114" t="inlineStr">
        <is>
          <t>567623</t>
        </is>
      </c>
      <c r="B3153" s="114" t="n">
        <v>17415</v>
      </c>
      <c r="C3153" s="114" t="inlineStr">
        <is>
          <t>United Kingdom</t>
        </is>
      </c>
      <c r="D3153" s="114" t="inlineStr">
        <is>
          <t>23407</t>
        </is>
      </c>
      <c r="E3153" s="114" t="inlineStr">
        <is>
          <t>SET OF 2 TRAYS HOME SWEET HOME</t>
        </is>
      </c>
      <c r="F3153" s="114" t="n">
        <v>2</v>
      </c>
      <c r="G3153" s="115" t="n">
        <v>9.949999999999999</v>
      </c>
      <c r="H3153" s="115" t="n">
        <v>19.9</v>
      </c>
      <c r="I3153" s="116" t="n">
        <v>40807</v>
      </c>
    </row>
    <row r="3154">
      <c r="A3154" s="117" t="inlineStr">
        <is>
          <t>567625</t>
        </is>
      </c>
      <c r="B3154" s="117" t="n">
        <v>13627</v>
      </c>
      <c r="C3154" s="117" t="inlineStr">
        <is>
          <t>United Kingdom</t>
        </is>
      </c>
      <c r="D3154" s="117" t="inlineStr">
        <is>
          <t>20839</t>
        </is>
      </c>
      <c r="E3154" s="117" t="inlineStr">
        <is>
          <t xml:space="preserve">FRENCH PAISLEY CUSHION COVER </t>
        </is>
      </c>
      <c r="F3154" s="117" t="n">
        <v>12</v>
      </c>
      <c r="G3154" s="118" t="n">
        <v>0.85</v>
      </c>
      <c r="H3154" s="118" t="n">
        <v>10.2</v>
      </c>
      <c r="I3154" s="119" t="n">
        <v>40807</v>
      </c>
    </row>
    <row r="3155">
      <c r="A3155" s="114" t="inlineStr">
        <is>
          <t>567628</t>
        </is>
      </c>
      <c r="B3155" s="114" t="n">
        <v>14060</v>
      </c>
      <c r="C3155" s="114" t="inlineStr">
        <is>
          <t>United Kingdom</t>
        </is>
      </c>
      <c r="D3155" s="114" t="inlineStr">
        <is>
          <t>22593</t>
        </is>
      </c>
      <c r="E3155" s="114" t="inlineStr">
        <is>
          <t>CHRISTMAS GINGHAM STAR</t>
        </is>
      </c>
      <c r="F3155" s="114" t="n">
        <v>36</v>
      </c>
      <c r="G3155" s="115" t="n">
        <v>0.85</v>
      </c>
      <c r="H3155" s="115" t="n">
        <v>30.6</v>
      </c>
      <c r="I3155" s="116" t="n">
        <v>40807</v>
      </c>
    </row>
    <row r="3156">
      <c r="A3156" s="117" t="inlineStr">
        <is>
          <t>567632</t>
        </is>
      </c>
      <c r="B3156" s="117" t="n">
        <v>13946</v>
      </c>
      <c r="C3156" s="117" t="inlineStr">
        <is>
          <t>United Kingdom</t>
        </is>
      </c>
      <c r="D3156" s="117" t="inlineStr">
        <is>
          <t>40016</t>
        </is>
      </c>
      <c r="E3156" s="117" t="inlineStr">
        <is>
          <t>CHINESE DRAGON PAPER LANTERNS</t>
        </is>
      </c>
      <c r="F3156" s="117" t="n">
        <v>156</v>
      </c>
      <c r="G3156" s="118" t="n">
        <v>0.42</v>
      </c>
      <c r="H3156" s="118" t="n">
        <v>65.52</v>
      </c>
      <c r="I3156" s="119" t="n">
        <v>40807</v>
      </c>
    </row>
    <row r="3157">
      <c r="A3157" s="114" t="inlineStr">
        <is>
          <t>567656</t>
        </is>
      </c>
      <c r="B3157" s="114" t="n">
        <v>14096</v>
      </c>
      <c r="C3157" s="114" t="inlineStr">
        <is>
          <t>United Kingdom</t>
        </is>
      </c>
      <c r="D3157" s="114" t="inlineStr">
        <is>
          <t>22748</t>
        </is>
      </c>
      <c r="E3157" s="114" t="inlineStr">
        <is>
          <t>POPPY'S PLAYHOUSE KITCHEN</t>
        </is>
      </c>
      <c r="F3157" s="114" t="n">
        <v>1</v>
      </c>
      <c r="G3157" s="115" t="n">
        <v>4.13</v>
      </c>
      <c r="H3157" s="115" t="n">
        <v>4.13</v>
      </c>
      <c r="I3157" s="116" t="n">
        <v>40807</v>
      </c>
    </row>
    <row r="3158">
      <c r="A3158" s="117" t="inlineStr">
        <is>
          <t>567656</t>
        </is>
      </c>
      <c r="B3158" s="117" t="n">
        <v>14096</v>
      </c>
      <c r="C3158" s="117" t="inlineStr">
        <is>
          <t>United Kingdom</t>
        </is>
      </c>
      <c r="D3158" s="117" t="inlineStr">
        <is>
          <t>21871</t>
        </is>
      </c>
      <c r="E3158" s="117" t="inlineStr">
        <is>
          <t>SAVE THE PLANET MUG</t>
        </is>
      </c>
      <c r="F3158" s="117" t="n">
        <v>1</v>
      </c>
      <c r="G3158" s="118" t="n">
        <v>3.29</v>
      </c>
      <c r="H3158" s="118" t="n">
        <v>3.29</v>
      </c>
      <c r="I3158" s="119" t="n">
        <v>40807</v>
      </c>
    </row>
    <row r="3159">
      <c r="A3159" s="114" t="inlineStr">
        <is>
          <t>567656</t>
        </is>
      </c>
      <c r="B3159" s="114" t="n">
        <v>14096</v>
      </c>
      <c r="C3159" s="114" t="inlineStr">
        <is>
          <t>United Kingdom</t>
        </is>
      </c>
      <c r="D3159" s="114" t="inlineStr">
        <is>
          <t>22156</t>
        </is>
      </c>
      <c r="E3159" s="114" t="inlineStr">
        <is>
          <t xml:space="preserve">HEART DECORATION WITH PEARLS </t>
        </is>
      </c>
      <c r="F3159" s="114" t="n">
        <v>1</v>
      </c>
      <c r="G3159" s="115" t="n">
        <v>1.63</v>
      </c>
      <c r="H3159" s="115" t="n">
        <v>1.63</v>
      </c>
      <c r="I3159" s="116" t="n">
        <v>40807</v>
      </c>
    </row>
    <row r="3160">
      <c r="A3160" s="117" t="inlineStr">
        <is>
          <t>567656</t>
        </is>
      </c>
      <c r="B3160" s="117" t="n">
        <v>14096</v>
      </c>
      <c r="C3160" s="117" t="inlineStr">
        <is>
          <t>United Kingdom</t>
        </is>
      </c>
      <c r="D3160" s="117" t="inlineStr">
        <is>
          <t>20969</t>
        </is>
      </c>
      <c r="E3160" s="117" t="inlineStr">
        <is>
          <t>RED FLORAL FELTCRAFT SHOULDER BAG</t>
        </is>
      </c>
      <c r="F3160" s="117" t="n">
        <v>1</v>
      </c>
      <c r="G3160" s="118" t="n">
        <v>7.46</v>
      </c>
      <c r="H3160" s="118" t="n">
        <v>7.46</v>
      </c>
      <c r="I3160" s="119" t="n">
        <v>40807</v>
      </c>
    </row>
    <row r="3161">
      <c r="A3161" s="114" t="inlineStr">
        <is>
          <t>567656</t>
        </is>
      </c>
      <c r="B3161" s="114" t="n">
        <v>14096</v>
      </c>
      <c r="C3161" s="114" t="inlineStr">
        <is>
          <t>United Kingdom</t>
        </is>
      </c>
      <c r="D3161" s="114" t="inlineStr">
        <is>
          <t>84031B</t>
        </is>
      </c>
      <c r="E3161" s="114" t="inlineStr">
        <is>
          <t xml:space="preserve">CHARLIE LOLA BLUE HOT WATER BOTTLE </t>
        </is>
      </c>
      <c r="F3161" s="114" t="n">
        <v>1</v>
      </c>
      <c r="G3161" s="115" t="n">
        <v>4.13</v>
      </c>
      <c r="H3161" s="115" t="n">
        <v>4.13</v>
      </c>
      <c r="I3161" s="116" t="n">
        <v>40807</v>
      </c>
    </row>
    <row r="3162">
      <c r="A3162" s="117" t="inlineStr">
        <is>
          <t>567657</t>
        </is>
      </c>
      <c r="B3162" s="117" t="n">
        <v>12523</v>
      </c>
      <c r="C3162" s="117" t="inlineStr">
        <is>
          <t>France</t>
        </is>
      </c>
      <c r="D3162" s="117" t="inlineStr">
        <is>
          <t>22625</t>
        </is>
      </c>
      <c r="E3162" s="117" t="inlineStr">
        <is>
          <t>RED KITCHEN SCALES</t>
        </is>
      </c>
      <c r="F3162" s="117" t="n">
        <v>2</v>
      </c>
      <c r="G3162" s="118" t="n">
        <v>8.5</v>
      </c>
      <c r="H3162" s="118" t="n">
        <v>17</v>
      </c>
      <c r="I3162" s="119" t="n">
        <v>40807</v>
      </c>
    </row>
    <row r="3163">
      <c r="A3163" s="114" t="inlineStr">
        <is>
          <t>567661</t>
        </is>
      </c>
      <c r="B3163" s="114" t="n">
        <v>13959</v>
      </c>
      <c r="C3163" s="114" t="inlineStr">
        <is>
          <t>United Kingdom</t>
        </is>
      </c>
      <c r="D3163" s="114" t="inlineStr">
        <is>
          <t>22376</t>
        </is>
      </c>
      <c r="E3163" s="114" t="inlineStr">
        <is>
          <t>AIRLINE BAG VINTAGE JET SET WHITE</t>
        </is>
      </c>
      <c r="F3163" s="114" t="n">
        <v>2</v>
      </c>
      <c r="G3163" s="115" t="n">
        <v>4.25</v>
      </c>
      <c r="H3163" s="115" t="n">
        <v>8.5</v>
      </c>
      <c r="I3163" s="116" t="n">
        <v>40807</v>
      </c>
    </row>
    <row r="3164">
      <c r="A3164" s="117" t="inlineStr">
        <is>
          <t>567661</t>
        </is>
      </c>
      <c r="B3164" s="117" t="n">
        <v>13959</v>
      </c>
      <c r="C3164" s="117" t="inlineStr">
        <is>
          <t>United Kingdom</t>
        </is>
      </c>
      <c r="D3164" s="117" t="inlineStr">
        <is>
          <t>21832</t>
        </is>
      </c>
      <c r="E3164" s="117" t="inlineStr">
        <is>
          <t>CHOCOLATE CALCULATOR</t>
        </is>
      </c>
      <c r="F3164" s="117" t="n">
        <v>1</v>
      </c>
      <c r="G3164" s="118" t="n">
        <v>1.65</v>
      </c>
      <c r="H3164" s="118" t="n">
        <v>1.65</v>
      </c>
      <c r="I3164" s="119" t="n">
        <v>40807</v>
      </c>
    </row>
    <row r="3165">
      <c r="A3165" s="114" t="inlineStr">
        <is>
          <t>567662</t>
        </is>
      </c>
      <c r="B3165" s="114" t="n">
        <v>17758</v>
      </c>
      <c r="C3165" s="114" t="inlineStr">
        <is>
          <t>United Kingdom</t>
        </is>
      </c>
      <c r="D3165" s="114" t="inlineStr">
        <is>
          <t>22737</t>
        </is>
      </c>
      <c r="E3165" s="114" t="inlineStr">
        <is>
          <t xml:space="preserve">RIBBON REEL CHRISTMAS PRESENT </t>
        </is>
      </c>
      <c r="F3165" s="114" t="n">
        <v>5</v>
      </c>
      <c r="G3165" s="115" t="n">
        <v>1.65</v>
      </c>
      <c r="H3165" s="115" t="n">
        <v>8.25</v>
      </c>
      <c r="I3165" s="116" t="n">
        <v>40807</v>
      </c>
    </row>
    <row r="3166">
      <c r="A3166" s="117" t="inlineStr">
        <is>
          <t>567662</t>
        </is>
      </c>
      <c r="B3166" s="117" t="n">
        <v>17758</v>
      </c>
      <c r="C3166" s="117" t="inlineStr">
        <is>
          <t>United Kingdom</t>
        </is>
      </c>
      <c r="D3166" s="117" t="inlineStr">
        <is>
          <t>22748</t>
        </is>
      </c>
      <c r="E3166" s="117" t="inlineStr">
        <is>
          <t>POPPY'S PLAYHOUSE KITCHEN</t>
        </is>
      </c>
      <c r="F3166" s="117" t="n">
        <v>6</v>
      </c>
      <c r="G3166" s="118" t="n">
        <v>2.1</v>
      </c>
      <c r="H3166" s="118" t="n">
        <v>12.6</v>
      </c>
      <c r="I3166" s="119" t="n">
        <v>40807</v>
      </c>
    </row>
    <row r="3167">
      <c r="A3167" s="114" t="inlineStr">
        <is>
          <t>567662</t>
        </is>
      </c>
      <c r="B3167" s="114" t="n">
        <v>17758</v>
      </c>
      <c r="C3167" s="114" t="inlineStr">
        <is>
          <t>United Kingdom</t>
        </is>
      </c>
      <c r="D3167" s="114" t="inlineStr">
        <is>
          <t>23201</t>
        </is>
      </c>
      <c r="E3167" s="114" t="inlineStr">
        <is>
          <t>JUMBO BAG ALPHABET</t>
        </is>
      </c>
      <c r="F3167" s="114" t="n">
        <v>2</v>
      </c>
      <c r="G3167" s="115" t="n">
        <v>2.08</v>
      </c>
      <c r="H3167" s="115" t="n">
        <v>4.16</v>
      </c>
      <c r="I3167" s="116" t="n">
        <v>40807</v>
      </c>
    </row>
    <row r="3168">
      <c r="A3168" s="117" t="inlineStr">
        <is>
          <t>567662</t>
        </is>
      </c>
      <c r="B3168" s="117" t="n">
        <v>17758</v>
      </c>
      <c r="C3168" s="117" t="inlineStr">
        <is>
          <t>United Kingdom</t>
        </is>
      </c>
      <c r="D3168" s="117" t="inlineStr">
        <is>
          <t>22662</t>
        </is>
      </c>
      <c r="E3168" s="117" t="inlineStr">
        <is>
          <t>LUNCH BAG DOLLY GIRL DESIGN</t>
        </is>
      </c>
      <c r="F3168" s="117" t="n">
        <v>4</v>
      </c>
      <c r="G3168" s="118" t="n">
        <v>1.65</v>
      </c>
      <c r="H3168" s="118" t="n">
        <v>6.6</v>
      </c>
      <c r="I3168" s="119" t="n">
        <v>40807</v>
      </c>
    </row>
    <row r="3169">
      <c r="A3169" s="114" t="inlineStr">
        <is>
          <t>567718</t>
        </is>
      </c>
      <c r="B3169" s="114" t="n">
        <v>17730</v>
      </c>
      <c r="C3169" s="114" t="inlineStr">
        <is>
          <t>United Kingdom</t>
        </is>
      </c>
      <c r="D3169" s="114" t="inlineStr">
        <is>
          <t>22578</t>
        </is>
      </c>
      <c r="E3169" s="114" t="inlineStr">
        <is>
          <t>WOODEN STAR CHRISTMAS SCANDINAVIAN</t>
        </is>
      </c>
      <c r="F3169" s="114" t="n">
        <v>24</v>
      </c>
      <c r="G3169" s="115" t="n">
        <v>0.85</v>
      </c>
      <c r="H3169" s="115" t="n">
        <v>20.4</v>
      </c>
      <c r="I3169" s="116" t="n">
        <v>40808</v>
      </c>
    </row>
    <row r="3170">
      <c r="A3170" s="117" t="inlineStr">
        <is>
          <t>567742</t>
        </is>
      </c>
      <c r="B3170" s="117" t="n">
        <v>14261</v>
      </c>
      <c r="C3170" s="117" t="inlineStr">
        <is>
          <t>United Kingdom</t>
        </is>
      </c>
      <c r="D3170" s="117" t="inlineStr">
        <is>
          <t>21668</t>
        </is>
      </c>
      <c r="E3170" s="117" t="inlineStr">
        <is>
          <t>RED STRIPE CERAMIC DRAWER KNOB</t>
        </is>
      </c>
      <c r="F3170" s="117" t="n">
        <v>12</v>
      </c>
      <c r="G3170" s="118" t="n">
        <v>1.45</v>
      </c>
      <c r="H3170" s="118" t="n">
        <v>17.4</v>
      </c>
      <c r="I3170" s="119" t="n">
        <v>40808</v>
      </c>
    </row>
    <row r="3171">
      <c r="A3171" s="114" t="inlineStr">
        <is>
          <t>567768</t>
        </is>
      </c>
      <c r="B3171" s="114" t="n">
        <v>15950</v>
      </c>
      <c r="C3171" s="114" t="inlineStr">
        <is>
          <t>United Kingdom</t>
        </is>
      </c>
      <c r="D3171" s="114" t="inlineStr">
        <is>
          <t>85099C</t>
        </is>
      </c>
      <c r="E3171" s="114" t="inlineStr">
        <is>
          <t>JUMBO  BAG BAROQUE BLACK WHITE</t>
        </is>
      </c>
      <c r="F3171" s="114" t="n">
        <v>10</v>
      </c>
      <c r="G3171" s="115" t="n">
        <v>2.08</v>
      </c>
      <c r="H3171" s="115" t="n">
        <v>20.8</v>
      </c>
      <c r="I3171" s="116" t="n">
        <v>40808</v>
      </c>
    </row>
    <row r="3172">
      <c r="A3172" s="117" t="inlineStr">
        <is>
          <t>567794</t>
        </is>
      </c>
      <c r="B3172" s="117" t="n">
        <v>17581</v>
      </c>
      <c r="C3172" s="117" t="inlineStr">
        <is>
          <t>United Kingdom</t>
        </is>
      </c>
      <c r="D3172" s="117" t="inlineStr">
        <is>
          <t>20711</t>
        </is>
      </c>
      <c r="E3172" s="117" t="inlineStr">
        <is>
          <t xml:space="preserve">JUMBO BAG TOYS </t>
        </is>
      </c>
      <c r="F3172" s="117" t="n">
        <v>20</v>
      </c>
      <c r="G3172" s="118" t="n">
        <v>1.79</v>
      </c>
      <c r="H3172" s="118" t="n">
        <v>35.8</v>
      </c>
      <c r="I3172" s="119" t="n">
        <v>40808</v>
      </c>
    </row>
    <row r="3173">
      <c r="A3173" s="114" t="inlineStr">
        <is>
          <t>567795</t>
        </is>
      </c>
      <c r="B3173" s="114" t="n">
        <v>14646</v>
      </c>
      <c r="C3173" s="114" t="inlineStr">
        <is>
          <t>Netherlands</t>
        </is>
      </c>
      <c r="D3173" s="114" t="inlineStr">
        <is>
          <t>20677</t>
        </is>
      </c>
      <c r="E3173" s="114" t="inlineStr">
        <is>
          <t>PINK POLKADOT BOWL</t>
        </is>
      </c>
      <c r="F3173" s="114" t="n">
        <v>24</v>
      </c>
      <c r="G3173" s="115" t="n">
        <v>1.25</v>
      </c>
      <c r="H3173" s="115" t="n">
        <v>30</v>
      </c>
      <c r="I3173" s="116" t="n">
        <v>40808</v>
      </c>
    </row>
    <row r="3174">
      <c r="A3174" s="117" t="inlineStr">
        <is>
          <t>567797</t>
        </is>
      </c>
      <c r="B3174" s="117" t="n">
        <v>16735</v>
      </c>
      <c r="C3174" s="117" t="inlineStr">
        <is>
          <t>United Kingdom</t>
        </is>
      </c>
      <c r="D3174" s="117" t="inlineStr">
        <is>
          <t>22551</t>
        </is>
      </c>
      <c r="E3174" s="117" t="inlineStr">
        <is>
          <t>PLASTERS IN TIN SPACEBOY</t>
        </is>
      </c>
      <c r="F3174" s="117" t="n">
        <v>12</v>
      </c>
      <c r="G3174" s="118" t="n">
        <v>1.65</v>
      </c>
      <c r="H3174" s="118" t="n">
        <v>19.8</v>
      </c>
      <c r="I3174" s="119" t="n">
        <v>40808</v>
      </c>
    </row>
    <row r="3175">
      <c r="A3175" s="114" t="inlineStr">
        <is>
          <t>567797</t>
        </is>
      </c>
      <c r="B3175" s="114" t="n">
        <v>16735</v>
      </c>
      <c r="C3175" s="114" t="inlineStr">
        <is>
          <t>United Kingdom</t>
        </is>
      </c>
      <c r="D3175" s="114" t="inlineStr">
        <is>
          <t>23254</t>
        </is>
      </c>
      <c r="E3175" s="114" t="inlineStr">
        <is>
          <t xml:space="preserve">CHILDRENS CUTLERY DOLLY GIRL </t>
        </is>
      </c>
      <c r="F3175" s="114" t="n">
        <v>4</v>
      </c>
      <c r="G3175" s="115" t="n">
        <v>4.15</v>
      </c>
      <c r="H3175" s="115" t="n">
        <v>16.6</v>
      </c>
      <c r="I3175" s="116" t="n">
        <v>40808</v>
      </c>
    </row>
    <row r="3176">
      <c r="A3176" s="117" t="inlineStr">
        <is>
          <t>567798</t>
        </is>
      </c>
      <c r="B3176" s="117" t="n">
        <v>13089</v>
      </c>
      <c r="C3176" s="117" t="inlineStr">
        <is>
          <t>United Kingdom</t>
        </is>
      </c>
      <c r="D3176" s="117" t="inlineStr">
        <is>
          <t>15056N</t>
        </is>
      </c>
      <c r="E3176" s="117" t="inlineStr">
        <is>
          <t>EDWARDIAN PARASOL NATURAL</t>
        </is>
      </c>
      <c r="F3176" s="117" t="n">
        <v>6</v>
      </c>
      <c r="G3176" s="118" t="n">
        <v>5.95</v>
      </c>
      <c r="H3176" s="118" t="n">
        <v>35.7</v>
      </c>
      <c r="I3176" s="119" t="n">
        <v>40808</v>
      </c>
    </row>
    <row r="3177">
      <c r="A3177" s="114" t="inlineStr">
        <is>
          <t>567801</t>
        </is>
      </c>
      <c r="B3177" s="114" t="n">
        <v>13089</v>
      </c>
      <c r="C3177" s="114" t="inlineStr">
        <is>
          <t>United Kingdom</t>
        </is>
      </c>
      <c r="D3177" s="114" t="inlineStr">
        <is>
          <t>23506</t>
        </is>
      </c>
      <c r="E3177" s="114" t="inlineStr">
        <is>
          <t xml:space="preserve">MINI PLAYING CARDS SPACEBOY </t>
        </is>
      </c>
      <c r="F3177" s="114" t="n">
        <v>40</v>
      </c>
      <c r="G3177" s="115" t="n">
        <v>0.42</v>
      </c>
      <c r="H3177" s="115" t="n">
        <v>16.8</v>
      </c>
      <c r="I3177" s="116" t="n">
        <v>40808</v>
      </c>
    </row>
    <row r="3178">
      <c r="A3178" s="117" t="inlineStr">
        <is>
          <t>567807</t>
        </is>
      </c>
      <c r="B3178" s="117" t="n">
        <v>17027</v>
      </c>
      <c r="C3178" s="117" t="inlineStr">
        <is>
          <t>United Kingdom</t>
        </is>
      </c>
      <c r="D3178" s="117" t="inlineStr">
        <is>
          <t>23511</t>
        </is>
      </c>
      <c r="E3178" s="117" t="inlineStr">
        <is>
          <t xml:space="preserve">EMBROIDERED RIBBON REEL EMILY </t>
        </is>
      </c>
      <c r="F3178" s="117" t="n">
        <v>1</v>
      </c>
      <c r="G3178" s="118" t="n">
        <v>2.08</v>
      </c>
      <c r="H3178" s="118" t="n">
        <v>2.08</v>
      </c>
      <c r="I3178" s="119" t="n">
        <v>40808</v>
      </c>
    </row>
    <row r="3179">
      <c r="A3179" s="114" t="inlineStr">
        <is>
          <t>567816</t>
        </is>
      </c>
      <c r="B3179" s="114" t="n">
        <v>17243</v>
      </c>
      <c r="C3179" s="114" t="inlineStr">
        <is>
          <t>United Kingdom</t>
        </is>
      </c>
      <c r="D3179" s="114" t="inlineStr">
        <is>
          <t>48187</t>
        </is>
      </c>
      <c r="E3179" s="114" t="inlineStr">
        <is>
          <t>DOORMAT NEW ENGLAND</t>
        </is>
      </c>
      <c r="F3179" s="114" t="n">
        <v>1</v>
      </c>
      <c r="G3179" s="115" t="n">
        <v>8.25</v>
      </c>
      <c r="H3179" s="115" t="n">
        <v>8.25</v>
      </c>
      <c r="I3179" s="116" t="n">
        <v>40808</v>
      </c>
    </row>
    <row r="3180">
      <c r="A3180" s="117" t="inlineStr">
        <is>
          <t>567818</t>
        </is>
      </c>
      <c r="B3180" s="117" t="n">
        <v>14395</v>
      </c>
      <c r="C3180" s="117" t="inlineStr">
        <is>
          <t>United Kingdom</t>
        </is>
      </c>
      <c r="D3180" s="117" t="inlineStr">
        <is>
          <t>47566</t>
        </is>
      </c>
      <c r="E3180" s="117" t="inlineStr">
        <is>
          <t>PARTY BUNTING</t>
        </is>
      </c>
      <c r="F3180" s="117" t="n">
        <v>4</v>
      </c>
      <c r="G3180" s="118" t="n">
        <v>4.95</v>
      </c>
      <c r="H3180" s="118" t="n">
        <v>19.8</v>
      </c>
      <c r="I3180" s="119" t="n">
        <v>40808</v>
      </c>
    </row>
    <row r="3181">
      <c r="A3181" s="114" t="inlineStr">
        <is>
          <t>567821</t>
        </is>
      </c>
      <c r="B3181" s="114" t="n">
        <v>14659</v>
      </c>
      <c r="C3181" s="114" t="inlineStr">
        <is>
          <t>United Kingdom</t>
        </is>
      </c>
      <c r="D3181" s="114" t="inlineStr">
        <is>
          <t>22384</t>
        </is>
      </c>
      <c r="E3181" s="114" t="inlineStr">
        <is>
          <t>LUNCH BAG PINK POLKADOT</t>
        </is>
      </c>
      <c r="F3181" s="114" t="n">
        <v>5</v>
      </c>
      <c r="G3181" s="115" t="n">
        <v>1.65</v>
      </c>
      <c r="H3181" s="115" t="n">
        <v>8.25</v>
      </c>
      <c r="I3181" s="116" t="n">
        <v>40808</v>
      </c>
    </row>
    <row r="3182">
      <c r="A3182" s="117" t="inlineStr">
        <is>
          <t>567822</t>
        </is>
      </c>
      <c r="B3182" s="117" t="n">
        <v>17644</v>
      </c>
      <c r="C3182" s="117" t="inlineStr">
        <is>
          <t>United Kingdom</t>
        </is>
      </c>
      <c r="D3182" s="117" t="inlineStr">
        <is>
          <t>22818</t>
        </is>
      </c>
      <c r="E3182" s="117" t="inlineStr">
        <is>
          <t>CARD CHRISTMAS VILLAGE</t>
        </is>
      </c>
      <c r="F3182" s="117" t="n">
        <v>24</v>
      </c>
      <c r="G3182" s="118" t="n">
        <v>0.42</v>
      </c>
      <c r="H3182" s="118" t="n">
        <v>10.08</v>
      </c>
      <c r="I3182" s="119" t="n">
        <v>40808</v>
      </c>
    </row>
    <row r="3183">
      <c r="A3183" s="114" t="inlineStr">
        <is>
          <t>567823</t>
        </is>
      </c>
      <c r="B3183" s="114" t="n">
        <v>12910</v>
      </c>
      <c r="C3183" s="114" t="inlineStr">
        <is>
          <t>United Kingdom</t>
        </is>
      </c>
      <c r="D3183" s="114" t="inlineStr">
        <is>
          <t>23158</t>
        </is>
      </c>
      <c r="E3183" s="114" t="inlineStr">
        <is>
          <t xml:space="preserve">SET OF 5 LUCKY CAT MAGNETS </t>
        </is>
      </c>
      <c r="F3183" s="114" t="n">
        <v>12</v>
      </c>
      <c r="G3183" s="115" t="n">
        <v>2.08</v>
      </c>
      <c r="H3183" s="115" t="n">
        <v>24.96</v>
      </c>
      <c r="I3183" s="116" t="n">
        <v>40808</v>
      </c>
    </row>
    <row r="3184">
      <c r="A3184" s="117" t="inlineStr">
        <is>
          <t>567852</t>
        </is>
      </c>
      <c r="B3184" s="117" t="n">
        <v>18102</v>
      </c>
      <c r="C3184" s="117" t="inlineStr">
        <is>
          <t>United Kingdom</t>
        </is>
      </c>
      <c r="D3184" s="117" t="inlineStr">
        <is>
          <t>22424</t>
        </is>
      </c>
      <c r="E3184" s="117" t="inlineStr">
        <is>
          <t>ENAMEL BREAD BIN CREAM</t>
        </is>
      </c>
      <c r="F3184" s="117" t="n">
        <v>40</v>
      </c>
      <c r="G3184" s="118" t="n">
        <v>8.15</v>
      </c>
      <c r="H3184" s="118" t="n">
        <v>326</v>
      </c>
      <c r="I3184" s="119" t="n">
        <v>40808</v>
      </c>
    </row>
    <row r="3185">
      <c r="A3185" s="114" t="inlineStr">
        <is>
          <t>567855</t>
        </is>
      </c>
      <c r="B3185" s="114" t="n">
        <v>13220</v>
      </c>
      <c r="C3185" s="114" t="inlineStr">
        <is>
          <t>United Kingdom</t>
        </is>
      </c>
      <c r="D3185" s="114" t="inlineStr">
        <is>
          <t>21497</t>
        </is>
      </c>
      <c r="E3185" s="114" t="inlineStr">
        <is>
          <t>FANCY FONTS BIRTHDAY WRAP</t>
        </is>
      </c>
      <c r="F3185" s="114" t="n">
        <v>25</v>
      </c>
      <c r="G3185" s="115" t="n">
        <v>0.42</v>
      </c>
      <c r="H3185" s="115" t="n">
        <v>10.5</v>
      </c>
      <c r="I3185" s="116" t="n">
        <v>40808</v>
      </c>
    </row>
    <row r="3186">
      <c r="A3186" s="117" t="inlineStr">
        <is>
          <t>567859</t>
        </is>
      </c>
      <c r="B3186" s="117" t="n">
        <v>12936</v>
      </c>
      <c r="C3186" s="117" t="inlineStr">
        <is>
          <t>United Kingdom</t>
        </is>
      </c>
      <c r="D3186" s="117" t="inlineStr">
        <is>
          <t>23242</t>
        </is>
      </c>
      <c r="E3186" s="117" t="inlineStr">
        <is>
          <t xml:space="preserve">TREASURE TIN BUFFALO BILL </t>
        </is>
      </c>
      <c r="F3186" s="117" t="n">
        <v>6</v>
      </c>
      <c r="G3186" s="118" t="n">
        <v>2.08</v>
      </c>
      <c r="H3186" s="118" t="n">
        <v>12.48</v>
      </c>
      <c r="I3186" s="119" t="n">
        <v>40808</v>
      </c>
    </row>
    <row r="3187">
      <c r="A3187" s="114" t="inlineStr">
        <is>
          <t>567873</t>
        </is>
      </c>
      <c r="B3187" s="114" t="n">
        <v>13055</v>
      </c>
      <c r="C3187" s="114" t="inlineStr">
        <is>
          <t>United Kingdom</t>
        </is>
      </c>
      <c r="D3187" s="114" t="inlineStr">
        <is>
          <t>23101</t>
        </is>
      </c>
      <c r="E3187" s="114" t="inlineStr">
        <is>
          <t>SILVER STARS TABLE DECORATION</t>
        </is>
      </c>
      <c r="F3187" s="114" t="n">
        <v>12</v>
      </c>
      <c r="G3187" s="115" t="n">
        <v>0.83</v>
      </c>
      <c r="H3187" s="115" t="n">
        <v>9.960000000000001</v>
      </c>
      <c r="I3187" s="116" t="n">
        <v>40808</v>
      </c>
    </row>
    <row r="3188">
      <c r="A3188" s="117" t="inlineStr">
        <is>
          <t>567875</t>
        </is>
      </c>
      <c r="B3188" s="117" t="n">
        <v>16348</v>
      </c>
      <c r="C3188" s="117" t="inlineStr">
        <is>
          <t>United Kingdom</t>
        </is>
      </c>
      <c r="D3188" s="117" t="inlineStr">
        <is>
          <t>21080</t>
        </is>
      </c>
      <c r="E3188" s="117" t="inlineStr">
        <is>
          <t xml:space="preserve">SET/20 RED RETROSPOT PAPER NAPKINS </t>
        </is>
      </c>
      <c r="F3188" s="117" t="n">
        <v>3</v>
      </c>
      <c r="G3188" s="118" t="n">
        <v>0.85</v>
      </c>
      <c r="H3188" s="118" t="n">
        <v>2.55</v>
      </c>
      <c r="I3188" s="119" t="n">
        <v>40808</v>
      </c>
    </row>
    <row r="3189">
      <c r="A3189" s="114" t="inlineStr">
        <is>
          <t>567879</t>
        </is>
      </c>
      <c r="B3189" s="114" t="n">
        <v>16161</v>
      </c>
      <c r="C3189" s="114" t="inlineStr">
        <is>
          <t>United Kingdom</t>
        </is>
      </c>
      <c r="D3189" s="114" t="inlineStr">
        <is>
          <t>22596</t>
        </is>
      </c>
      <c r="E3189" s="114" t="inlineStr">
        <is>
          <t>CHRISTMAS STAR WISH LIST CHALKBOARD</t>
        </is>
      </c>
      <c r="F3189" s="114" t="n">
        <v>12</v>
      </c>
      <c r="G3189" s="115" t="n">
        <v>1.25</v>
      </c>
      <c r="H3189" s="115" t="n">
        <v>15</v>
      </c>
      <c r="I3189" s="116" t="n">
        <v>40808</v>
      </c>
    </row>
    <row r="3190">
      <c r="A3190" s="117" t="inlineStr">
        <is>
          <t>567880</t>
        </is>
      </c>
      <c r="B3190" s="117" t="n">
        <v>15398</v>
      </c>
      <c r="C3190" s="117" t="inlineStr">
        <is>
          <t>United Kingdom</t>
        </is>
      </c>
      <c r="D3190" s="117" t="inlineStr">
        <is>
          <t>23202</t>
        </is>
      </c>
      <c r="E3190" s="117" t="inlineStr">
        <is>
          <t>JUMBO BAG VINTAGE LEAF</t>
        </is>
      </c>
      <c r="F3190" s="117" t="n">
        <v>10</v>
      </c>
      <c r="G3190" s="118" t="n">
        <v>2.08</v>
      </c>
      <c r="H3190" s="118" t="n">
        <v>20.8</v>
      </c>
      <c r="I3190" s="119" t="n">
        <v>40808</v>
      </c>
    </row>
    <row r="3191">
      <c r="A3191" s="114" t="inlineStr">
        <is>
          <t>567881</t>
        </is>
      </c>
      <c r="B3191" s="114" t="n">
        <v>15640</v>
      </c>
      <c r="C3191" s="114" t="inlineStr">
        <is>
          <t>United Kingdom</t>
        </is>
      </c>
      <c r="D3191" s="114" t="inlineStr">
        <is>
          <t>21931</t>
        </is>
      </c>
      <c r="E3191" s="114" t="inlineStr">
        <is>
          <t>JUMBO STORAGE BAG SUKI</t>
        </is>
      </c>
      <c r="F3191" s="114" t="n">
        <v>10</v>
      </c>
      <c r="G3191" s="115" t="n">
        <v>2.08</v>
      </c>
      <c r="H3191" s="115" t="n">
        <v>20.8</v>
      </c>
      <c r="I3191" s="116" t="n">
        <v>40808</v>
      </c>
    </row>
    <row r="3192">
      <c r="A3192" s="117" t="inlineStr">
        <is>
          <t>567887</t>
        </is>
      </c>
      <c r="B3192" s="117" t="n">
        <v>15237</v>
      </c>
      <c r="C3192" s="117" t="inlineStr">
        <is>
          <t>United Kingdom</t>
        </is>
      </c>
      <c r="D3192" s="117" t="inlineStr">
        <is>
          <t>16169E</t>
        </is>
      </c>
      <c r="E3192" s="117" t="inlineStr">
        <is>
          <t>WRAP 50'S  CHRISTMAS</t>
        </is>
      </c>
      <c r="F3192" s="117" t="n">
        <v>25</v>
      </c>
      <c r="G3192" s="118" t="n">
        <v>0.42</v>
      </c>
      <c r="H3192" s="118" t="n">
        <v>10.5</v>
      </c>
      <c r="I3192" s="119" t="n">
        <v>40808</v>
      </c>
    </row>
    <row r="3193">
      <c r="A3193" s="114" t="inlineStr">
        <is>
          <t>567890</t>
        </is>
      </c>
      <c r="B3193" s="114" t="n">
        <v>14125</v>
      </c>
      <c r="C3193" s="114" t="inlineStr">
        <is>
          <t>United Kingdom</t>
        </is>
      </c>
      <c r="D3193" s="114" t="inlineStr">
        <is>
          <t>23241</t>
        </is>
      </c>
      <c r="E3193" s="114" t="inlineStr">
        <is>
          <t>TREASURE TIN GYMKHANA DESIGN</t>
        </is>
      </c>
      <c r="F3193" s="114" t="n">
        <v>6</v>
      </c>
      <c r="G3193" s="115" t="n">
        <v>2.08</v>
      </c>
      <c r="H3193" s="115" t="n">
        <v>12.48</v>
      </c>
      <c r="I3193" s="116" t="n">
        <v>40808</v>
      </c>
    </row>
    <row r="3194">
      <c r="A3194" s="117" t="inlineStr">
        <is>
          <t>567890</t>
        </is>
      </c>
      <c r="B3194" s="117" t="n">
        <v>14125</v>
      </c>
      <c r="C3194" s="117" t="inlineStr">
        <is>
          <t>United Kingdom</t>
        </is>
      </c>
      <c r="D3194" s="117" t="inlineStr">
        <is>
          <t>22653</t>
        </is>
      </c>
      <c r="E3194" s="117" t="inlineStr">
        <is>
          <t xml:space="preserve">BUTTON BOX </t>
        </is>
      </c>
      <c r="F3194" s="117" t="n">
        <v>10</v>
      </c>
      <c r="G3194" s="118" t="n">
        <v>1.95</v>
      </c>
      <c r="H3194" s="118" t="n">
        <v>19.5</v>
      </c>
      <c r="I3194" s="119" t="n">
        <v>40808</v>
      </c>
    </row>
    <row r="3195">
      <c r="A3195" s="114" t="inlineStr">
        <is>
          <t>567899</t>
        </is>
      </c>
      <c r="B3195" s="114" t="n">
        <v>14911</v>
      </c>
      <c r="C3195" s="114" t="inlineStr">
        <is>
          <t>EIRE</t>
        </is>
      </c>
      <c r="D3195" s="114" t="inlineStr">
        <is>
          <t>72780</t>
        </is>
      </c>
      <c r="E3195" s="114" t="inlineStr">
        <is>
          <t>BLACK SILOUETTE CANDLE PLATE</t>
        </is>
      </c>
      <c r="F3195" s="114" t="n">
        <v>24</v>
      </c>
      <c r="G3195" s="115" t="n">
        <v>0.85</v>
      </c>
      <c r="H3195" s="115" t="n">
        <v>20.4</v>
      </c>
      <c r="I3195" s="116" t="n">
        <v>40808</v>
      </c>
    </row>
    <row r="3196">
      <c r="A3196" s="117" t="inlineStr">
        <is>
          <t>567905</t>
        </is>
      </c>
      <c r="B3196" s="117" t="n">
        <v>12952</v>
      </c>
      <c r="C3196" s="117" t="inlineStr">
        <is>
          <t>United Kingdom</t>
        </is>
      </c>
      <c r="D3196" s="117" t="inlineStr">
        <is>
          <t>22624</t>
        </is>
      </c>
      <c r="E3196" s="117" t="inlineStr">
        <is>
          <t>IVORY KITCHEN SCALES</t>
        </is>
      </c>
      <c r="F3196" s="117" t="n">
        <v>2</v>
      </c>
      <c r="G3196" s="118" t="n">
        <v>8.5</v>
      </c>
      <c r="H3196" s="118" t="n">
        <v>17</v>
      </c>
      <c r="I3196" s="119" t="n">
        <v>40808</v>
      </c>
    </row>
    <row r="3197">
      <c r="A3197" s="114" t="inlineStr">
        <is>
          <t>567910</t>
        </is>
      </c>
      <c r="B3197" s="114" t="n">
        <v>12437</v>
      </c>
      <c r="C3197" s="114" t="inlineStr">
        <is>
          <t>France</t>
        </is>
      </c>
      <c r="D3197" s="114" t="inlineStr">
        <is>
          <t>POST</t>
        </is>
      </c>
      <c r="E3197" s="114" t="inlineStr">
        <is>
          <t>POSTAGE</t>
        </is>
      </c>
      <c r="F3197" s="114" t="n">
        <v>1</v>
      </c>
      <c r="G3197" s="115" t="n">
        <v>18</v>
      </c>
      <c r="H3197" s="115" t="n">
        <v>18</v>
      </c>
      <c r="I3197" s="116" t="n">
        <v>40808</v>
      </c>
    </row>
    <row r="3198">
      <c r="A3198" s="117" t="inlineStr">
        <is>
          <t>567912</t>
        </is>
      </c>
      <c r="B3198" s="117" t="n">
        <v>15555</v>
      </c>
      <c r="C3198" s="117" t="inlineStr">
        <is>
          <t>United Kingdom</t>
        </is>
      </c>
      <c r="D3198" s="117" t="inlineStr">
        <is>
          <t>23389</t>
        </is>
      </c>
      <c r="E3198" s="117" t="inlineStr">
        <is>
          <t>SPACEBOY MINI BACKPACK</t>
        </is>
      </c>
      <c r="F3198" s="117" t="n">
        <v>2</v>
      </c>
      <c r="G3198" s="118" t="n">
        <v>4.15</v>
      </c>
      <c r="H3198" s="118" t="n">
        <v>8.300000000000001</v>
      </c>
      <c r="I3198" s="119" t="n">
        <v>40808</v>
      </c>
    </row>
    <row r="3199">
      <c r="A3199" s="114" t="inlineStr">
        <is>
          <t>567929</t>
        </is>
      </c>
      <c r="B3199" s="114" t="n">
        <v>12425</v>
      </c>
      <c r="C3199" s="114" t="inlineStr">
        <is>
          <t>Portugal</t>
        </is>
      </c>
      <c r="D3199" s="114" t="inlineStr">
        <is>
          <t>23077</t>
        </is>
      </c>
      <c r="E3199" s="114" t="inlineStr">
        <is>
          <t xml:space="preserve">DOUGHNUT LIP GLOSS </t>
        </is>
      </c>
      <c r="F3199" s="114" t="n">
        <v>40</v>
      </c>
      <c r="G3199" s="115" t="n">
        <v>1.25</v>
      </c>
      <c r="H3199" s="115" t="n">
        <v>50</v>
      </c>
      <c r="I3199" s="116" t="n">
        <v>40808</v>
      </c>
    </row>
    <row r="3200">
      <c r="A3200" s="117" t="inlineStr">
        <is>
          <t>567944</t>
        </is>
      </c>
      <c r="B3200" s="117" t="n">
        <v>14562</v>
      </c>
      <c r="C3200" s="117" t="inlineStr">
        <is>
          <t>United Kingdom</t>
        </is>
      </c>
      <c r="D3200" s="117" t="inlineStr">
        <is>
          <t>21428</t>
        </is>
      </c>
      <c r="E3200" s="117" t="inlineStr">
        <is>
          <t xml:space="preserve">SET3 BOOK BOX GREEN GINGHAM FLOWER </t>
        </is>
      </c>
      <c r="F3200" s="117" t="n">
        <v>3</v>
      </c>
      <c r="G3200" s="118" t="n">
        <v>4.25</v>
      </c>
      <c r="H3200" s="118" t="n">
        <v>12.75</v>
      </c>
      <c r="I3200" s="119" t="n">
        <v>40808</v>
      </c>
    </row>
    <row r="3201">
      <c r="A3201" s="114" t="inlineStr">
        <is>
          <t>567958</t>
        </is>
      </c>
      <c r="B3201" s="114" t="n">
        <v>12619</v>
      </c>
      <c r="C3201" s="114" t="inlineStr">
        <is>
          <t>Germany</t>
        </is>
      </c>
      <c r="D3201" s="114" t="inlineStr">
        <is>
          <t>23308</t>
        </is>
      </c>
      <c r="E3201" s="114" t="inlineStr">
        <is>
          <t xml:space="preserve">SET OF 60 VINTAGE LEAF CAKE CASES </t>
        </is>
      </c>
      <c r="F3201" s="114" t="n">
        <v>24</v>
      </c>
      <c r="G3201" s="115" t="n">
        <v>0.55</v>
      </c>
      <c r="H3201" s="115" t="n">
        <v>13.2</v>
      </c>
      <c r="I3201" s="116" t="n">
        <v>40809</v>
      </c>
    </row>
    <row r="3202">
      <c r="A3202" s="117" t="inlineStr">
        <is>
          <t>567959</t>
        </is>
      </c>
      <c r="B3202" s="117" t="n">
        <v>12516</v>
      </c>
      <c r="C3202" s="117" t="inlineStr">
        <is>
          <t>Germany</t>
        </is>
      </c>
      <c r="D3202" s="117" t="inlineStr">
        <is>
          <t>22411</t>
        </is>
      </c>
      <c r="E3202" s="117" t="inlineStr">
        <is>
          <t>JUMBO SHOPPER VINTAGE RED PAISLEY</t>
        </is>
      </c>
      <c r="F3202" s="117" t="n">
        <v>20</v>
      </c>
      <c r="G3202" s="118" t="n">
        <v>2.08</v>
      </c>
      <c r="H3202" s="118" t="n">
        <v>41.6</v>
      </c>
      <c r="I3202" s="119" t="n">
        <v>40809</v>
      </c>
    </row>
    <row r="3203">
      <c r="A3203" s="114" t="inlineStr">
        <is>
          <t>567966</t>
        </is>
      </c>
      <c r="B3203" s="114" t="n">
        <v>16782</v>
      </c>
      <c r="C3203" s="114" t="inlineStr">
        <is>
          <t>United Kingdom</t>
        </is>
      </c>
      <c r="D3203" s="114" t="inlineStr">
        <is>
          <t>22776</t>
        </is>
      </c>
      <c r="E3203" s="114" t="inlineStr">
        <is>
          <t xml:space="preserve">SWEETHEART 3 TIER CAKE STAND </t>
        </is>
      </c>
      <c r="F3203" s="114" t="n">
        <v>2</v>
      </c>
      <c r="G3203" s="115" t="n">
        <v>9.949999999999999</v>
      </c>
      <c r="H3203" s="115" t="n">
        <v>19.9</v>
      </c>
      <c r="I3203" s="116" t="n">
        <v>40809</v>
      </c>
    </row>
    <row r="3204">
      <c r="A3204" s="117" t="inlineStr">
        <is>
          <t>567972</t>
        </is>
      </c>
      <c r="B3204" s="117" t="n">
        <v>13949</v>
      </c>
      <c r="C3204" s="117" t="inlineStr">
        <is>
          <t>United Kingdom</t>
        </is>
      </c>
      <c r="D3204" s="117" t="inlineStr">
        <is>
          <t>22651</t>
        </is>
      </c>
      <c r="E3204" s="117" t="inlineStr">
        <is>
          <t xml:space="preserve">GENTLEMAN SHIRT REPAIR KIT </t>
        </is>
      </c>
      <c r="F3204" s="117" t="n">
        <v>12</v>
      </c>
      <c r="G3204" s="118" t="n">
        <v>0.85</v>
      </c>
      <c r="H3204" s="118" t="n">
        <v>10.2</v>
      </c>
      <c r="I3204" s="119" t="n">
        <v>40809</v>
      </c>
    </row>
    <row r="3205">
      <c r="A3205" s="114" t="inlineStr">
        <is>
          <t>567972</t>
        </is>
      </c>
      <c r="B3205" s="114" t="n">
        <v>13949</v>
      </c>
      <c r="C3205" s="114" t="inlineStr">
        <is>
          <t>United Kingdom</t>
        </is>
      </c>
      <c r="D3205" s="114" t="inlineStr">
        <is>
          <t>20725</t>
        </is>
      </c>
      <c r="E3205" s="114" t="inlineStr">
        <is>
          <t>LUNCH BAG RED RETROSPOT</t>
        </is>
      </c>
      <c r="F3205" s="114" t="n">
        <v>10</v>
      </c>
      <c r="G3205" s="115" t="n">
        <v>1.65</v>
      </c>
      <c r="H3205" s="115" t="n">
        <v>16.5</v>
      </c>
      <c r="I3205" s="116" t="n">
        <v>40809</v>
      </c>
    </row>
    <row r="3206">
      <c r="A3206" s="117" t="inlineStr">
        <is>
          <t>567980</t>
        </is>
      </c>
      <c r="B3206" s="117" t="n">
        <v>15311</v>
      </c>
      <c r="C3206" s="117" t="inlineStr">
        <is>
          <t>United Kingdom</t>
        </is>
      </c>
      <c r="D3206" s="117" t="inlineStr">
        <is>
          <t>22754</t>
        </is>
      </c>
      <c r="E3206" s="117" t="inlineStr">
        <is>
          <t xml:space="preserve">SMALL RED BABUSHKA NOTEBOOK </t>
        </is>
      </c>
      <c r="F3206" s="117" t="n">
        <v>2</v>
      </c>
      <c r="G3206" s="118" t="n">
        <v>0.85</v>
      </c>
      <c r="H3206" s="118" t="n">
        <v>1.7</v>
      </c>
      <c r="I3206" s="119" t="n">
        <v>40809</v>
      </c>
    </row>
    <row r="3207">
      <c r="A3207" s="114" t="inlineStr">
        <is>
          <t>567983</t>
        </is>
      </c>
      <c r="B3207" s="114" t="n">
        <v>15714</v>
      </c>
      <c r="C3207" s="114" t="inlineStr">
        <is>
          <t>United Kingdom</t>
        </is>
      </c>
      <c r="D3207" s="114" t="inlineStr">
        <is>
          <t>72800E</t>
        </is>
      </c>
      <c r="E3207" s="114" t="inlineStr">
        <is>
          <t>4 IVORY DINNER CANDLES SILVER FLOCK</t>
        </is>
      </c>
      <c r="F3207" s="114" t="n">
        <v>12</v>
      </c>
      <c r="G3207" s="115" t="n">
        <v>2.1</v>
      </c>
      <c r="H3207" s="115" t="n">
        <v>25.2</v>
      </c>
      <c r="I3207" s="116" t="n">
        <v>40809</v>
      </c>
    </row>
    <row r="3208">
      <c r="A3208" s="117" t="inlineStr">
        <is>
          <t>568013</t>
        </is>
      </c>
      <c r="B3208" s="117" t="n">
        <v>17480</v>
      </c>
      <c r="C3208" s="117" t="inlineStr">
        <is>
          <t>United Kingdom</t>
        </is>
      </c>
      <c r="D3208" s="117" t="inlineStr">
        <is>
          <t>23319</t>
        </is>
      </c>
      <c r="E3208" s="117" t="inlineStr">
        <is>
          <t>BOX OF 6 MINI 50'S CRACKERS</t>
        </is>
      </c>
      <c r="F3208" s="117" t="n">
        <v>6</v>
      </c>
      <c r="G3208" s="118" t="n">
        <v>2.49</v>
      </c>
      <c r="H3208" s="118" t="n">
        <v>14.94</v>
      </c>
      <c r="I3208" s="119" t="n">
        <v>40809</v>
      </c>
    </row>
    <row r="3209">
      <c r="A3209" s="114" t="inlineStr">
        <is>
          <t>568058</t>
        </is>
      </c>
      <c r="B3209" s="114" t="n">
        <v>18188</v>
      </c>
      <c r="C3209" s="114" t="inlineStr">
        <is>
          <t>United Kingdom</t>
        </is>
      </c>
      <c r="D3209" s="114" t="inlineStr">
        <is>
          <t>22809</t>
        </is>
      </c>
      <c r="E3209" s="114" t="inlineStr">
        <is>
          <t>SET OF 6 T-LIGHTS SANTA</t>
        </is>
      </c>
      <c r="F3209" s="114" t="n">
        <v>12</v>
      </c>
      <c r="G3209" s="115" t="n">
        <v>2.95</v>
      </c>
      <c r="H3209" s="115" t="n">
        <v>35.4</v>
      </c>
      <c r="I3209" s="116" t="n">
        <v>40809</v>
      </c>
    </row>
    <row r="3210">
      <c r="A3210" s="117" t="inlineStr">
        <is>
          <t>568059</t>
        </is>
      </c>
      <c r="B3210" s="117" t="n">
        <v>13097</v>
      </c>
      <c r="C3210" s="117" t="inlineStr">
        <is>
          <t>United Kingdom</t>
        </is>
      </c>
      <c r="D3210" s="117" t="inlineStr">
        <is>
          <t>23165</t>
        </is>
      </c>
      <c r="E3210" s="117" t="inlineStr">
        <is>
          <t>LARGE CERAMIC TOP STORAGE JAR</t>
        </is>
      </c>
      <c r="F3210" s="117" t="n">
        <v>3</v>
      </c>
      <c r="G3210" s="118" t="n">
        <v>1.65</v>
      </c>
      <c r="H3210" s="118" t="n">
        <v>4.95</v>
      </c>
      <c r="I3210" s="119" t="n">
        <v>40809</v>
      </c>
    </row>
    <row r="3211">
      <c r="A3211" s="114" t="inlineStr">
        <is>
          <t>568058</t>
        </is>
      </c>
      <c r="B3211" s="114" t="n">
        <v>18188</v>
      </c>
      <c r="C3211" s="114" t="inlineStr">
        <is>
          <t>United Kingdom</t>
        </is>
      </c>
      <c r="D3211" s="114" t="inlineStr">
        <is>
          <t>21704</t>
        </is>
      </c>
      <c r="E3211" s="114" t="inlineStr">
        <is>
          <t>BAG 250g SWIRLY MARBLES</t>
        </is>
      </c>
      <c r="F3211" s="114" t="n">
        <v>12</v>
      </c>
      <c r="G3211" s="115" t="n">
        <v>0.85</v>
      </c>
      <c r="H3211" s="115" t="n">
        <v>10.2</v>
      </c>
      <c r="I3211" s="116" t="n">
        <v>40809</v>
      </c>
    </row>
    <row r="3212">
      <c r="A3212" s="117" t="inlineStr">
        <is>
          <t>568060</t>
        </is>
      </c>
      <c r="B3212" s="117" t="n">
        <v>14546</v>
      </c>
      <c r="C3212" s="117" t="inlineStr">
        <is>
          <t>United Kingdom</t>
        </is>
      </c>
      <c r="D3212" s="117" t="inlineStr">
        <is>
          <t>22766</t>
        </is>
      </c>
      <c r="E3212" s="117" t="inlineStr">
        <is>
          <t>PHOTO FRAME CORNICE</t>
        </is>
      </c>
      <c r="F3212" s="117" t="n">
        <v>2</v>
      </c>
      <c r="G3212" s="118" t="n">
        <v>2.95</v>
      </c>
      <c r="H3212" s="118" t="n">
        <v>5.9</v>
      </c>
      <c r="I3212" s="119" t="n">
        <v>40809</v>
      </c>
    </row>
    <row r="3213">
      <c r="A3213" s="114" t="inlineStr">
        <is>
          <t>568060</t>
        </is>
      </c>
      <c r="B3213" s="114" t="n">
        <v>14546</v>
      </c>
      <c r="C3213" s="114" t="inlineStr">
        <is>
          <t>United Kingdom</t>
        </is>
      </c>
      <c r="D3213" s="114" t="inlineStr">
        <is>
          <t>23012</t>
        </is>
      </c>
      <c r="E3213" s="114" t="inlineStr">
        <is>
          <t>GLASS APOTHECARY BOTTLE PERFUME</t>
        </is>
      </c>
      <c r="F3213" s="114" t="n">
        <v>3</v>
      </c>
      <c r="G3213" s="115" t="n">
        <v>3.95</v>
      </c>
      <c r="H3213" s="115" t="n">
        <v>11.85</v>
      </c>
      <c r="I3213" s="116" t="n">
        <v>40809</v>
      </c>
    </row>
    <row r="3214">
      <c r="A3214" s="117" t="inlineStr">
        <is>
          <t>568062</t>
        </is>
      </c>
      <c r="B3214" s="117" t="n">
        <v>14014</v>
      </c>
      <c r="C3214" s="117" t="inlineStr">
        <is>
          <t>United Kingdom</t>
        </is>
      </c>
      <c r="D3214" s="117" t="inlineStr">
        <is>
          <t>84926A</t>
        </is>
      </c>
      <c r="E3214" s="117" t="inlineStr">
        <is>
          <t>WAKE UP COCKEREL TILE COASTER</t>
        </is>
      </c>
      <c r="F3214" s="117" t="n">
        <v>24</v>
      </c>
      <c r="G3214" s="118" t="n">
        <v>0.29</v>
      </c>
      <c r="H3214" s="118" t="n">
        <v>6.96</v>
      </c>
      <c r="I3214" s="119" t="n">
        <v>40809</v>
      </c>
    </row>
    <row r="3215">
      <c r="A3215" s="114" t="inlineStr">
        <is>
          <t>568065</t>
        </is>
      </c>
      <c r="B3215" s="114" t="n">
        <v>16240</v>
      </c>
      <c r="C3215" s="114" t="inlineStr">
        <is>
          <t>United Kingdom</t>
        </is>
      </c>
      <c r="D3215" s="114" t="inlineStr">
        <is>
          <t>22699</t>
        </is>
      </c>
      <c r="E3215" s="114" t="inlineStr">
        <is>
          <t xml:space="preserve">ROSES REGENCY TEACUP AND SAUCER </t>
        </is>
      </c>
      <c r="F3215" s="114" t="n">
        <v>6</v>
      </c>
      <c r="G3215" s="115" t="n">
        <v>2.95</v>
      </c>
      <c r="H3215" s="115" t="n">
        <v>17.7</v>
      </c>
      <c r="I3215" s="116" t="n">
        <v>40809</v>
      </c>
    </row>
    <row r="3216">
      <c r="A3216" s="117" t="inlineStr">
        <is>
          <t>568066</t>
        </is>
      </c>
      <c r="B3216" s="117" t="n">
        <v>14529</v>
      </c>
      <c r="C3216" s="117" t="inlineStr">
        <is>
          <t>United Kingdom</t>
        </is>
      </c>
      <c r="D3216" s="117" t="inlineStr">
        <is>
          <t>85173</t>
        </is>
      </c>
      <c r="E3216" s="117" t="inlineStr">
        <is>
          <t>SET/6 FROG PRINCE T-LIGHT CANDLES</t>
        </is>
      </c>
      <c r="F3216" s="117" t="n">
        <v>1</v>
      </c>
      <c r="G3216" s="118" t="n">
        <v>2.55</v>
      </c>
      <c r="H3216" s="118" t="n">
        <v>2.55</v>
      </c>
      <c r="I3216" s="119" t="n">
        <v>40809</v>
      </c>
    </row>
    <row r="3217">
      <c r="A3217" s="114" t="inlineStr">
        <is>
          <t>568069</t>
        </is>
      </c>
      <c r="B3217" s="114" t="n">
        <v>13336</v>
      </c>
      <c r="C3217" s="114" t="inlineStr">
        <is>
          <t>United Kingdom</t>
        </is>
      </c>
      <c r="D3217" s="114" t="inlineStr">
        <is>
          <t>22382</t>
        </is>
      </c>
      <c r="E3217" s="114" t="inlineStr">
        <is>
          <t xml:space="preserve">LUNCH BAG SPACEBOY DESIGN </t>
        </is>
      </c>
      <c r="F3217" s="114" t="n">
        <v>10</v>
      </c>
      <c r="G3217" s="115" t="n">
        <v>1.65</v>
      </c>
      <c r="H3217" s="115" t="n">
        <v>16.5</v>
      </c>
      <c r="I3217" s="116" t="n">
        <v>40809</v>
      </c>
    </row>
    <row r="3218">
      <c r="A3218" s="117" t="inlineStr">
        <is>
          <t>568069</t>
        </is>
      </c>
      <c r="B3218" s="117" t="n">
        <v>13336</v>
      </c>
      <c r="C3218" s="117" t="inlineStr">
        <is>
          <t>United Kingdom</t>
        </is>
      </c>
      <c r="D3218" s="117" t="inlineStr">
        <is>
          <t>23513</t>
        </is>
      </c>
      <c r="E3218" s="117" t="inlineStr">
        <is>
          <t xml:space="preserve">EMBROIDERED RIBBON REEL SUSIE </t>
        </is>
      </c>
      <c r="F3218" s="117" t="n">
        <v>6</v>
      </c>
      <c r="G3218" s="118" t="n">
        <v>2.08</v>
      </c>
      <c r="H3218" s="118" t="n">
        <v>12.48</v>
      </c>
      <c r="I3218" s="119" t="n">
        <v>40809</v>
      </c>
    </row>
    <row r="3219">
      <c r="A3219" s="114" t="inlineStr">
        <is>
          <t>568101</t>
        </is>
      </c>
      <c r="B3219" s="114" t="n">
        <v>15978</v>
      </c>
      <c r="C3219" s="114" t="inlineStr">
        <is>
          <t>United Kingdom</t>
        </is>
      </c>
      <c r="D3219" s="114" t="inlineStr">
        <is>
          <t>23344</t>
        </is>
      </c>
      <c r="E3219" s="114" t="inlineStr">
        <is>
          <t xml:space="preserve">JUMBO BAG 50'S CHRISTMAS </t>
        </is>
      </c>
      <c r="F3219" s="114" t="n">
        <v>10</v>
      </c>
      <c r="G3219" s="115" t="n">
        <v>2.08</v>
      </c>
      <c r="H3219" s="115" t="n">
        <v>20.8</v>
      </c>
      <c r="I3219" s="116" t="n">
        <v>40809</v>
      </c>
    </row>
    <row r="3220">
      <c r="A3220" s="117" t="inlineStr">
        <is>
          <t>568101</t>
        </is>
      </c>
      <c r="B3220" s="117" t="n">
        <v>15978</v>
      </c>
      <c r="C3220" s="117" t="inlineStr">
        <is>
          <t>United Kingdom</t>
        </is>
      </c>
      <c r="D3220" s="117" t="inlineStr">
        <is>
          <t>84992</t>
        </is>
      </c>
      <c r="E3220" s="117" t="inlineStr">
        <is>
          <t>72 SWEETHEART FAIRY CAKE CASES</t>
        </is>
      </c>
      <c r="F3220" s="117" t="n">
        <v>24</v>
      </c>
      <c r="G3220" s="118" t="n">
        <v>0.55</v>
      </c>
      <c r="H3220" s="118" t="n">
        <v>13.2</v>
      </c>
      <c r="I3220" s="119" t="n">
        <v>40809</v>
      </c>
    </row>
    <row r="3221">
      <c r="A3221" s="114" t="inlineStr">
        <is>
          <t>568132</t>
        </is>
      </c>
      <c r="B3221" s="114" t="n">
        <v>15549</v>
      </c>
      <c r="C3221" s="114" t="inlineStr">
        <is>
          <t>United Kingdom</t>
        </is>
      </c>
      <c r="D3221" s="114" t="inlineStr">
        <is>
          <t>22252</t>
        </is>
      </c>
      <c r="E3221" s="114" t="inlineStr">
        <is>
          <t>BIRDCAGE DECORATION TEALIGHT HOLDER</t>
        </is>
      </c>
      <c r="F3221" s="114" t="n">
        <v>5</v>
      </c>
      <c r="G3221" s="115" t="n">
        <v>1.25</v>
      </c>
      <c r="H3221" s="115" t="n">
        <v>6.25</v>
      </c>
      <c r="I3221" s="116" t="n">
        <v>40809</v>
      </c>
    </row>
    <row r="3222">
      <c r="A3222" s="117" t="inlineStr">
        <is>
          <t>568137</t>
        </is>
      </c>
      <c r="B3222" s="117" t="n">
        <v>12488</v>
      </c>
      <c r="C3222" s="117" t="inlineStr">
        <is>
          <t>France</t>
        </is>
      </c>
      <c r="D3222" s="117" t="inlineStr">
        <is>
          <t>21249</t>
        </is>
      </c>
      <c r="E3222" s="117" t="inlineStr">
        <is>
          <t xml:space="preserve">WOODLAND  HEIGHT CHART STICKERS </t>
        </is>
      </c>
      <c r="F3222" s="117" t="n">
        <v>6</v>
      </c>
      <c r="G3222" s="118" t="n">
        <v>2.95</v>
      </c>
      <c r="H3222" s="118" t="n">
        <v>17.7</v>
      </c>
      <c r="I3222" s="119" t="n">
        <v>40811</v>
      </c>
    </row>
    <row r="3223">
      <c r="A3223" s="114" t="inlineStr">
        <is>
          <t>568139</t>
        </is>
      </c>
      <c r="B3223" s="114" t="n">
        <v>13083</v>
      </c>
      <c r="C3223" s="114" t="inlineStr">
        <is>
          <t>United Kingdom</t>
        </is>
      </c>
      <c r="D3223" s="114" t="inlineStr">
        <is>
          <t>22752</t>
        </is>
      </c>
      <c r="E3223" s="114" t="inlineStr">
        <is>
          <t>SET 7 BABUSHKA NESTING BOXES</t>
        </is>
      </c>
      <c r="F3223" s="114" t="n">
        <v>2</v>
      </c>
      <c r="G3223" s="115" t="n">
        <v>8.5</v>
      </c>
      <c r="H3223" s="115" t="n">
        <v>17</v>
      </c>
      <c r="I3223" s="116" t="n">
        <v>40811</v>
      </c>
    </row>
    <row r="3224">
      <c r="A3224" s="117" t="inlineStr">
        <is>
          <t>568141</t>
        </is>
      </c>
      <c r="B3224" s="117" t="n">
        <v>16326</v>
      </c>
      <c r="C3224" s="117" t="inlineStr">
        <is>
          <t>United Kingdom</t>
        </is>
      </c>
      <c r="D3224" s="117" t="inlineStr">
        <is>
          <t>22690</t>
        </is>
      </c>
      <c r="E3224" s="117" t="inlineStr">
        <is>
          <t xml:space="preserve">DOORMAT HOME SWEET HOME BLUE </t>
        </is>
      </c>
      <c r="F3224" s="117" t="n">
        <v>1</v>
      </c>
      <c r="G3224" s="118" t="n">
        <v>8.25</v>
      </c>
      <c r="H3224" s="118" t="n">
        <v>8.25</v>
      </c>
      <c r="I3224" s="119" t="n">
        <v>40811</v>
      </c>
    </row>
    <row r="3225">
      <c r="A3225" s="114" t="inlineStr">
        <is>
          <t>568141</t>
        </is>
      </c>
      <c r="B3225" s="114" t="n">
        <v>16326</v>
      </c>
      <c r="C3225" s="114" t="inlineStr">
        <is>
          <t>United Kingdom</t>
        </is>
      </c>
      <c r="D3225" s="114" t="inlineStr">
        <is>
          <t>22669</t>
        </is>
      </c>
      <c r="E3225" s="114" t="inlineStr">
        <is>
          <t xml:space="preserve">RED BABY BUNTING </t>
        </is>
      </c>
      <c r="F3225" s="114" t="n">
        <v>4</v>
      </c>
      <c r="G3225" s="115" t="n">
        <v>2.95</v>
      </c>
      <c r="H3225" s="115" t="n">
        <v>11.8</v>
      </c>
      <c r="I3225" s="116" t="n">
        <v>40811</v>
      </c>
    </row>
    <row r="3226">
      <c r="A3226" s="117" t="inlineStr">
        <is>
          <t>568143</t>
        </is>
      </c>
      <c r="B3226" s="117" t="n">
        <v>13266</v>
      </c>
      <c r="C3226" s="117" t="inlineStr">
        <is>
          <t>United Kingdom</t>
        </is>
      </c>
      <c r="D3226" s="117" t="inlineStr">
        <is>
          <t>23286</t>
        </is>
      </c>
      <c r="E3226" s="117" t="inlineStr">
        <is>
          <t>BLUE VINTAGE SPOT BEAKER</t>
        </is>
      </c>
      <c r="F3226" s="117" t="n">
        <v>8</v>
      </c>
      <c r="G3226" s="118" t="n">
        <v>0.85</v>
      </c>
      <c r="H3226" s="118" t="n">
        <v>6.8</v>
      </c>
      <c r="I3226" s="119" t="n">
        <v>40811</v>
      </c>
    </row>
    <row r="3227">
      <c r="A3227" s="114" t="inlineStr">
        <is>
          <t>568145</t>
        </is>
      </c>
      <c r="B3227" s="114" t="n">
        <v>12388</v>
      </c>
      <c r="C3227" s="114" t="inlineStr">
        <is>
          <t>Australia</t>
        </is>
      </c>
      <c r="D3227" s="114" t="inlineStr">
        <is>
          <t>23328</t>
        </is>
      </c>
      <c r="E3227" s="114" t="inlineStr">
        <is>
          <t>SET 6 SCHOOL MILK BOTTLES IN CRATE</t>
        </is>
      </c>
      <c r="F3227" s="114" t="n">
        <v>24</v>
      </c>
      <c r="G3227" s="115" t="n">
        <v>3.39</v>
      </c>
      <c r="H3227" s="115" t="n">
        <v>81.36</v>
      </c>
      <c r="I3227" s="116" t="n">
        <v>40811</v>
      </c>
    </row>
    <row r="3228">
      <c r="A3228" s="117" t="inlineStr">
        <is>
          <t>568151</t>
        </is>
      </c>
      <c r="B3228" s="117" t="n">
        <v>17506</v>
      </c>
      <c r="C3228" s="117" t="inlineStr">
        <is>
          <t>United Kingdom</t>
        </is>
      </c>
      <c r="D3228" s="117" t="inlineStr">
        <is>
          <t>23401</t>
        </is>
      </c>
      <c r="E3228" s="117" t="inlineStr">
        <is>
          <t>RUSTIC MIRROR WITH LACE HEART</t>
        </is>
      </c>
      <c r="F3228" s="117" t="n">
        <v>4</v>
      </c>
      <c r="G3228" s="118" t="n">
        <v>6.25</v>
      </c>
      <c r="H3228" s="118" t="n">
        <v>25</v>
      </c>
      <c r="I3228" s="119" t="n">
        <v>40811</v>
      </c>
    </row>
    <row r="3229">
      <c r="A3229" s="114" t="inlineStr">
        <is>
          <t>568164</t>
        </is>
      </c>
      <c r="B3229" s="114" t="n">
        <v>14561</v>
      </c>
      <c r="C3229" s="114" t="inlineStr">
        <is>
          <t>United Kingdom</t>
        </is>
      </c>
      <c r="D3229" s="114" t="inlineStr">
        <is>
          <t>85199L</t>
        </is>
      </c>
      <c r="E3229" s="114" t="inlineStr">
        <is>
          <t>LARGE HANGING IVORY &amp; RED WOOD BIRD</t>
        </is>
      </c>
      <c r="F3229" s="114" t="n">
        <v>12</v>
      </c>
      <c r="G3229" s="115" t="n">
        <v>0.65</v>
      </c>
      <c r="H3229" s="115" t="n">
        <v>7.8</v>
      </c>
      <c r="I3229" s="116" t="n">
        <v>40811</v>
      </c>
    </row>
    <row r="3230">
      <c r="A3230" s="117" t="inlineStr">
        <is>
          <t>568165</t>
        </is>
      </c>
      <c r="B3230" s="117" t="n">
        <v>17131</v>
      </c>
      <c r="C3230" s="117" t="inlineStr">
        <is>
          <t>United Kingdom</t>
        </is>
      </c>
      <c r="D3230" s="117" t="inlineStr">
        <is>
          <t>84832</t>
        </is>
      </c>
      <c r="E3230" s="117" t="inlineStr">
        <is>
          <t>ZINC WILLIE WINKIE  CANDLE STICK</t>
        </is>
      </c>
      <c r="F3230" s="117" t="n">
        <v>6</v>
      </c>
      <c r="G3230" s="118" t="n">
        <v>0.85</v>
      </c>
      <c r="H3230" s="118" t="n">
        <v>5.1</v>
      </c>
      <c r="I3230" s="119" t="n">
        <v>40811</v>
      </c>
    </row>
    <row r="3231">
      <c r="A3231" s="114" t="inlineStr">
        <is>
          <t>568166</t>
        </is>
      </c>
      <c r="B3231" s="114" t="n">
        <v>14800</v>
      </c>
      <c r="C3231" s="114" t="inlineStr">
        <is>
          <t>United Kingdom</t>
        </is>
      </c>
      <c r="D3231" s="114" t="inlineStr">
        <is>
          <t>22144</t>
        </is>
      </c>
      <c r="E3231" s="114" t="inlineStr">
        <is>
          <t>CHRISTMAS CRAFT LITTLE FRIENDS</t>
        </is>
      </c>
      <c r="F3231" s="114" t="n">
        <v>2</v>
      </c>
      <c r="G3231" s="115" t="n">
        <v>2.1</v>
      </c>
      <c r="H3231" s="115" t="n">
        <v>4.2</v>
      </c>
      <c r="I3231" s="116" t="n">
        <v>40811</v>
      </c>
    </row>
    <row r="3232">
      <c r="A3232" s="117" t="inlineStr">
        <is>
          <t>568170</t>
        </is>
      </c>
      <c r="B3232" s="117" t="n">
        <v>16931</v>
      </c>
      <c r="C3232" s="117" t="inlineStr">
        <is>
          <t>United Kingdom</t>
        </is>
      </c>
      <c r="D3232" s="117" t="inlineStr">
        <is>
          <t>22311</t>
        </is>
      </c>
      <c r="E3232" s="117" t="inlineStr">
        <is>
          <t xml:space="preserve">OFFICE MUG WARMER BLACK+SILVER </t>
        </is>
      </c>
      <c r="F3232" s="117" t="n">
        <v>1</v>
      </c>
      <c r="G3232" s="118" t="n">
        <v>2.95</v>
      </c>
      <c r="H3232" s="118" t="n">
        <v>2.95</v>
      </c>
      <c r="I3232" s="119" t="n">
        <v>40811</v>
      </c>
    </row>
    <row r="3233">
      <c r="A3233" s="114" t="inlineStr">
        <is>
          <t>568173</t>
        </is>
      </c>
      <c r="B3233" s="114" t="n">
        <v>16187</v>
      </c>
      <c r="C3233" s="114" t="inlineStr">
        <is>
          <t>United Kingdom</t>
        </is>
      </c>
      <c r="D3233" s="114" t="inlineStr">
        <is>
          <t>23355</t>
        </is>
      </c>
      <c r="E3233" s="114" t="inlineStr">
        <is>
          <t>HOT WATER BOTTLE KEEP CALM</t>
        </is>
      </c>
      <c r="F3233" s="114" t="n">
        <v>12</v>
      </c>
      <c r="G3233" s="115" t="n">
        <v>4.95</v>
      </c>
      <c r="H3233" s="115" t="n">
        <v>59.4</v>
      </c>
      <c r="I3233" s="116" t="n">
        <v>40811</v>
      </c>
    </row>
    <row r="3234">
      <c r="A3234" s="117" t="inlineStr">
        <is>
          <t>568180</t>
        </is>
      </c>
      <c r="B3234" s="117" t="n">
        <v>15429</v>
      </c>
      <c r="C3234" s="117" t="inlineStr">
        <is>
          <t>United Kingdom</t>
        </is>
      </c>
      <c r="D3234" s="117" t="inlineStr">
        <is>
          <t>23126</t>
        </is>
      </c>
      <c r="E3234" s="117" t="inlineStr">
        <is>
          <t>FELTCRAFT GIRL AMELIE KIT</t>
        </is>
      </c>
      <c r="F3234" s="117" t="n">
        <v>1</v>
      </c>
      <c r="G3234" s="118" t="n">
        <v>4.95</v>
      </c>
      <c r="H3234" s="118" t="n">
        <v>4.95</v>
      </c>
      <c r="I3234" s="119" t="n">
        <v>40811</v>
      </c>
    </row>
    <row r="3235">
      <c r="A3235" s="114" t="inlineStr">
        <is>
          <t>568183</t>
        </is>
      </c>
      <c r="B3235" s="114" t="n">
        <v>13991</v>
      </c>
      <c r="C3235" s="114" t="inlineStr">
        <is>
          <t>United Kingdom</t>
        </is>
      </c>
      <c r="D3235" s="114" t="inlineStr">
        <is>
          <t>81952V</t>
        </is>
      </c>
      <c r="E3235" s="114" t="inlineStr">
        <is>
          <t>ROUND PURPLE CLOCK WITH SUCKER</t>
        </is>
      </c>
      <c r="F3235" s="114" t="n">
        <v>1</v>
      </c>
      <c r="G3235" s="115" t="n">
        <v>0.19</v>
      </c>
      <c r="H3235" s="115" t="n">
        <v>0.19</v>
      </c>
      <c r="I3235" s="116" t="n">
        <v>40811</v>
      </c>
    </row>
    <row r="3236">
      <c r="A3236" s="117" t="inlineStr">
        <is>
          <t>568189</t>
        </is>
      </c>
      <c r="B3236" s="117" t="n">
        <v>14757</v>
      </c>
      <c r="C3236" s="117" t="inlineStr">
        <is>
          <t>United Kingdom</t>
        </is>
      </c>
      <c r="D3236" s="117" t="inlineStr">
        <is>
          <t>23409</t>
        </is>
      </c>
      <c r="E3236" s="117" t="inlineStr">
        <is>
          <t>PHOTO FRAME LINEN AND LACE LARGE</t>
        </is>
      </c>
      <c r="F3236" s="117" t="n">
        <v>6</v>
      </c>
      <c r="G3236" s="118" t="n">
        <v>3.75</v>
      </c>
      <c r="H3236" s="118" t="n">
        <v>22.5</v>
      </c>
      <c r="I3236" s="119" t="n">
        <v>40811</v>
      </c>
    </row>
    <row r="3237">
      <c r="A3237" s="114" t="inlineStr">
        <is>
          <t>568193</t>
        </is>
      </c>
      <c r="B3237" s="114" t="n">
        <v>17107</v>
      </c>
      <c r="C3237" s="114" t="inlineStr">
        <is>
          <t>United Kingdom</t>
        </is>
      </c>
      <c r="D3237" s="114" t="inlineStr">
        <is>
          <t>22691</t>
        </is>
      </c>
      <c r="E3237" s="114" t="inlineStr">
        <is>
          <t>DOORMAT WELCOME SUNRISE</t>
        </is>
      </c>
      <c r="F3237" s="114" t="n">
        <v>10</v>
      </c>
      <c r="G3237" s="115" t="n">
        <v>7.08</v>
      </c>
      <c r="H3237" s="115" t="n">
        <v>70.8</v>
      </c>
      <c r="I3237" s="116" t="n">
        <v>40811</v>
      </c>
    </row>
    <row r="3238">
      <c r="A3238" s="117" t="inlineStr">
        <is>
          <t>568193</t>
        </is>
      </c>
      <c r="B3238" s="117" t="n">
        <v>17107</v>
      </c>
      <c r="C3238" s="117" t="inlineStr">
        <is>
          <t>United Kingdom</t>
        </is>
      </c>
      <c r="D3238" s="117" t="inlineStr">
        <is>
          <t>21164</t>
        </is>
      </c>
      <c r="E3238" s="117" t="inlineStr">
        <is>
          <t xml:space="preserve">HOME SWEET HOME METAL SIGN </t>
        </is>
      </c>
      <c r="F3238" s="117" t="n">
        <v>2</v>
      </c>
      <c r="G3238" s="118" t="n">
        <v>2.95</v>
      </c>
      <c r="H3238" s="118" t="n">
        <v>5.9</v>
      </c>
      <c r="I3238" s="119" t="n">
        <v>40811</v>
      </c>
    </row>
    <row r="3239">
      <c r="A3239" s="114" t="inlineStr">
        <is>
          <t>568191</t>
        </is>
      </c>
      <c r="B3239" s="114" t="n">
        <v>16655</v>
      </c>
      <c r="C3239" s="114" t="inlineStr">
        <is>
          <t>United Kingdom</t>
        </is>
      </c>
      <c r="D3239" s="114" t="inlineStr">
        <is>
          <t>22738</t>
        </is>
      </c>
      <c r="E3239" s="114" t="inlineStr">
        <is>
          <t>RIBBON REEL SNOWY VILLAGE</t>
        </is>
      </c>
      <c r="F3239" s="114" t="n">
        <v>5</v>
      </c>
      <c r="G3239" s="115" t="n">
        <v>1.65</v>
      </c>
      <c r="H3239" s="115" t="n">
        <v>8.25</v>
      </c>
      <c r="I3239" s="116" t="n">
        <v>40811</v>
      </c>
    </row>
    <row r="3240">
      <c r="A3240" s="117" t="inlineStr">
        <is>
          <t>568193</t>
        </is>
      </c>
      <c r="B3240" s="117" t="n">
        <v>17107</v>
      </c>
      <c r="C3240" s="117" t="inlineStr">
        <is>
          <t>United Kingdom</t>
        </is>
      </c>
      <c r="D3240" s="117" t="inlineStr">
        <is>
          <t>82580</t>
        </is>
      </c>
      <c r="E3240" s="117" t="inlineStr">
        <is>
          <t>BATHROOM METAL SIGN</t>
        </is>
      </c>
      <c r="F3240" s="117" t="n">
        <v>2</v>
      </c>
      <c r="G3240" s="118" t="n">
        <v>0.55</v>
      </c>
      <c r="H3240" s="118" t="n">
        <v>1.1</v>
      </c>
      <c r="I3240" s="119" t="n">
        <v>40811</v>
      </c>
    </row>
    <row r="3241">
      <c r="A3241" s="114" t="inlineStr">
        <is>
          <t>568198</t>
        </is>
      </c>
      <c r="B3241" s="114" t="n">
        <v>16771</v>
      </c>
      <c r="C3241" s="114" t="inlineStr">
        <is>
          <t>United Kingdom</t>
        </is>
      </c>
      <c r="D3241" s="114" t="inlineStr">
        <is>
          <t>21080</t>
        </is>
      </c>
      <c r="E3241" s="114" t="inlineStr">
        <is>
          <t xml:space="preserve">SET/20 RED RETROSPOT PAPER NAPKINS </t>
        </is>
      </c>
      <c r="F3241" s="114" t="n">
        <v>3</v>
      </c>
      <c r="G3241" s="115" t="n">
        <v>0.85</v>
      </c>
      <c r="H3241" s="115" t="n">
        <v>2.55</v>
      </c>
      <c r="I3241" s="116" t="n">
        <v>40811</v>
      </c>
    </row>
    <row r="3242">
      <c r="A3242" s="117" t="inlineStr">
        <is>
          <t>568198</t>
        </is>
      </c>
      <c r="B3242" s="117" t="n">
        <v>16771</v>
      </c>
      <c r="C3242" s="117" t="inlineStr">
        <is>
          <t>United Kingdom</t>
        </is>
      </c>
      <c r="D3242" s="117" t="inlineStr">
        <is>
          <t>84077</t>
        </is>
      </c>
      <c r="E3242" s="117" t="inlineStr">
        <is>
          <t>WORLD WAR 2 GLIDERS ASSTD DESIGNS</t>
        </is>
      </c>
      <c r="F3242" s="117" t="n">
        <v>48</v>
      </c>
      <c r="G3242" s="118" t="n">
        <v>0.29</v>
      </c>
      <c r="H3242" s="118" t="n">
        <v>13.92</v>
      </c>
      <c r="I3242" s="119" t="n">
        <v>40811</v>
      </c>
    </row>
    <row r="3243">
      <c r="A3243" s="114" t="inlineStr">
        <is>
          <t>568200</t>
        </is>
      </c>
      <c r="B3243" s="114" t="n">
        <v>16198</v>
      </c>
      <c r="C3243" s="114" t="inlineStr">
        <is>
          <t>United Kingdom</t>
        </is>
      </c>
      <c r="D3243" s="114" t="inlineStr">
        <is>
          <t>22085</t>
        </is>
      </c>
      <c r="E3243" s="114" t="inlineStr">
        <is>
          <t xml:space="preserve">PAPER CHAIN KIT SKULLS </t>
        </is>
      </c>
      <c r="F3243" s="114" t="n">
        <v>12</v>
      </c>
      <c r="G3243" s="115" t="n">
        <v>2.95</v>
      </c>
      <c r="H3243" s="115" t="n">
        <v>35.4</v>
      </c>
      <c r="I3243" s="116" t="n">
        <v>40811</v>
      </c>
    </row>
    <row r="3244">
      <c r="A3244" s="117" t="inlineStr">
        <is>
          <t>568212</t>
        </is>
      </c>
      <c r="B3244" s="117" t="n">
        <v>15154</v>
      </c>
      <c r="C3244" s="117" t="inlineStr">
        <is>
          <t>United Kingdom</t>
        </is>
      </c>
      <c r="D3244" s="117" t="inlineStr">
        <is>
          <t>22398</t>
        </is>
      </c>
      <c r="E3244" s="117" t="inlineStr">
        <is>
          <t>MAGNETS PACK OF 4 SWALLOWS</t>
        </is>
      </c>
      <c r="F3244" s="117" t="n">
        <v>1</v>
      </c>
      <c r="G3244" s="118" t="n">
        <v>0.39</v>
      </c>
      <c r="H3244" s="118" t="n">
        <v>0.39</v>
      </c>
      <c r="I3244" s="119" t="n">
        <v>40811</v>
      </c>
    </row>
    <row r="3245">
      <c r="A3245" s="114" t="inlineStr">
        <is>
          <t>568222</t>
        </is>
      </c>
      <c r="B3245" s="114" t="n">
        <v>16603</v>
      </c>
      <c r="C3245" s="114" t="inlineStr">
        <is>
          <t>United Kingdom</t>
        </is>
      </c>
      <c r="D3245" s="114" t="inlineStr">
        <is>
          <t>22563</t>
        </is>
      </c>
      <c r="E3245" s="114" t="inlineStr">
        <is>
          <t>HAPPY STENCIL CRAFT</t>
        </is>
      </c>
      <c r="F3245" s="114" t="n">
        <v>12</v>
      </c>
      <c r="G3245" s="115" t="n">
        <v>1.25</v>
      </c>
      <c r="H3245" s="115" t="n">
        <v>15</v>
      </c>
      <c r="I3245" s="116" t="n">
        <v>40812</v>
      </c>
    </row>
    <row r="3246">
      <c r="A3246" s="117" t="inlineStr">
        <is>
          <t>568224</t>
        </is>
      </c>
      <c r="B3246" s="117" t="n">
        <v>17377</v>
      </c>
      <c r="C3246" s="117" t="inlineStr">
        <is>
          <t>United Kingdom</t>
        </is>
      </c>
      <c r="D3246" s="117" t="inlineStr">
        <is>
          <t>21034</t>
        </is>
      </c>
      <c r="E3246" s="117" t="inlineStr">
        <is>
          <t>REX CASH+CARRY JUMBO SHOPPER</t>
        </is>
      </c>
      <c r="F3246" s="117" t="n">
        <v>1</v>
      </c>
      <c r="G3246" s="118" t="n">
        <v>0.95</v>
      </c>
      <c r="H3246" s="118" t="n">
        <v>0.95</v>
      </c>
      <c r="I3246" s="119" t="n">
        <v>40812</v>
      </c>
    </row>
    <row r="3247">
      <c r="A3247" s="114" t="inlineStr">
        <is>
          <t>568236</t>
        </is>
      </c>
      <c r="B3247" s="114" t="n">
        <v>12820</v>
      </c>
      <c r="C3247" s="114" t="inlineStr">
        <is>
          <t>United Kingdom</t>
        </is>
      </c>
      <c r="D3247" s="114" t="inlineStr">
        <is>
          <t>21791</t>
        </is>
      </c>
      <c r="E3247" s="114" t="inlineStr">
        <is>
          <t xml:space="preserve">VINTAGE HEADS AND TAILS CARD GAME </t>
        </is>
      </c>
      <c r="F3247" s="114" t="n">
        <v>12</v>
      </c>
      <c r="G3247" s="115" t="n">
        <v>1.25</v>
      </c>
      <c r="H3247" s="115" t="n">
        <v>15</v>
      </c>
      <c r="I3247" s="116" t="n">
        <v>40812</v>
      </c>
    </row>
    <row r="3248">
      <c r="A3248" s="117" t="inlineStr">
        <is>
          <t>568245</t>
        </is>
      </c>
      <c r="B3248" s="117" t="n">
        <v>13867</v>
      </c>
      <c r="C3248" s="117" t="inlineStr">
        <is>
          <t>United Kingdom</t>
        </is>
      </c>
      <c r="D3248" s="117" t="inlineStr">
        <is>
          <t>23438</t>
        </is>
      </c>
      <c r="E3248" s="117" t="inlineStr">
        <is>
          <t xml:space="preserve"> RED SPOT GIFT BAG LARGE</t>
        </is>
      </c>
      <c r="F3248" s="117" t="n">
        <v>24</v>
      </c>
      <c r="G3248" s="118" t="n">
        <v>1.25</v>
      </c>
      <c r="H3248" s="118" t="n">
        <v>30</v>
      </c>
      <c r="I3248" s="119" t="n">
        <v>40812</v>
      </c>
    </row>
    <row r="3249">
      <c r="A3249" s="114" t="inlineStr">
        <is>
          <t>568319</t>
        </is>
      </c>
      <c r="B3249" s="114" t="n">
        <v>17389</v>
      </c>
      <c r="C3249" s="114" t="inlineStr">
        <is>
          <t>United Kingdom</t>
        </is>
      </c>
      <c r="D3249" s="114" t="inlineStr">
        <is>
          <t>22768</t>
        </is>
      </c>
      <c r="E3249" s="114" t="inlineStr">
        <is>
          <t>FAMILY PHOTO FRAME CORNICE</t>
        </is>
      </c>
      <c r="F3249" s="114" t="n">
        <v>6</v>
      </c>
      <c r="G3249" s="115" t="n">
        <v>9.949999999999999</v>
      </c>
      <c r="H3249" s="115" t="n">
        <v>59.7</v>
      </c>
      <c r="I3249" s="116" t="n">
        <v>40812</v>
      </c>
    </row>
    <row r="3250">
      <c r="A3250" s="117" t="inlineStr">
        <is>
          <t>568321</t>
        </is>
      </c>
      <c r="B3250" s="117" t="n">
        <v>13639</v>
      </c>
      <c r="C3250" s="117" t="inlineStr">
        <is>
          <t>United Kingdom</t>
        </is>
      </c>
      <c r="D3250" s="117" t="inlineStr">
        <is>
          <t>22082</t>
        </is>
      </c>
      <c r="E3250" s="117" t="inlineStr">
        <is>
          <t xml:space="preserve">RIBBON REEL STRIPES DESIGN </t>
        </is>
      </c>
      <c r="F3250" s="117" t="n">
        <v>10</v>
      </c>
      <c r="G3250" s="118" t="n">
        <v>1.65</v>
      </c>
      <c r="H3250" s="118" t="n">
        <v>16.5</v>
      </c>
      <c r="I3250" s="119" t="n">
        <v>40812</v>
      </c>
    </row>
    <row r="3251">
      <c r="A3251" s="114" t="inlineStr">
        <is>
          <t>568328</t>
        </is>
      </c>
      <c r="B3251" s="114" t="n">
        <v>18016</v>
      </c>
      <c r="C3251" s="114" t="inlineStr">
        <is>
          <t>United Kingdom</t>
        </is>
      </c>
      <c r="D3251" s="114" t="inlineStr">
        <is>
          <t>82494L</t>
        </is>
      </c>
      <c r="E3251" s="114" t="inlineStr">
        <is>
          <t xml:space="preserve">WOODEN FRAME ANTIQUE WHITE </t>
        </is>
      </c>
      <c r="F3251" s="114" t="n">
        <v>6</v>
      </c>
      <c r="G3251" s="115" t="n">
        <v>2.95</v>
      </c>
      <c r="H3251" s="115" t="n">
        <v>17.7</v>
      </c>
      <c r="I3251" s="116" t="n">
        <v>40812</v>
      </c>
    </row>
    <row r="3252">
      <c r="A3252" s="117" t="inlineStr">
        <is>
          <t>568333</t>
        </is>
      </c>
      <c r="B3252" s="117" t="n">
        <v>15344</v>
      </c>
      <c r="C3252" s="117" t="inlineStr">
        <is>
          <t>United Kingdom</t>
        </is>
      </c>
      <c r="D3252" s="117" t="inlineStr">
        <is>
          <t>22698</t>
        </is>
      </c>
      <c r="E3252" s="117" t="inlineStr">
        <is>
          <t>PINK REGENCY TEACUP AND SAUCER</t>
        </is>
      </c>
      <c r="F3252" s="117" t="n">
        <v>6</v>
      </c>
      <c r="G3252" s="118" t="n">
        <v>2.95</v>
      </c>
      <c r="H3252" s="118" t="n">
        <v>17.7</v>
      </c>
      <c r="I3252" s="119" t="n">
        <v>40812</v>
      </c>
    </row>
    <row r="3253">
      <c r="A3253" s="114" t="inlineStr">
        <is>
          <t>568346</t>
        </is>
      </c>
      <c r="B3253" s="114" t="n">
        <v>14096</v>
      </c>
      <c r="C3253" s="114" t="inlineStr">
        <is>
          <t>United Kingdom</t>
        </is>
      </c>
      <c r="D3253" s="114" t="inlineStr">
        <is>
          <t>23292</t>
        </is>
      </c>
      <c r="E3253" s="114" t="inlineStr">
        <is>
          <t>SPACEBOY CHILDRENS CUP</t>
        </is>
      </c>
      <c r="F3253" s="114" t="n">
        <v>30</v>
      </c>
      <c r="G3253" s="115" t="n">
        <v>2.46</v>
      </c>
      <c r="H3253" s="115" t="n">
        <v>73.8</v>
      </c>
      <c r="I3253" s="116" t="n">
        <v>40812</v>
      </c>
    </row>
    <row r="3254">
      <c r="A3254" s="117" t="inlineStr">
        <is>
          <t>568346</t>
        </is>
      </c>
      <c r="B3254" s="117" t="n">
        <v>14096</v>
      </c>
      <c r="C3254" s="117" t="inlineStr">
        <is>
          <t>United Kingdom</t>
        </is>
      </c>
      <c r="D3254" s="117" t="inlineStr">
        <is>
          <t>21070</t>
        </is>
      </c>
      <c r="E3254" s="117" t="inlineStr">
        <is>
          <t xml:space="preserve">VINTAGE BILLBOARD MUG </t>
        </is>
      </c>
      <c r="F3254" s="117" t="n">
        <v>1</v>
      </c>
      <c r="G3254" s="118" t="n">
        <v>2.46</v>
      </c>
      <c r="H3254" s="118" t="n">
        <v>2.46</v>
      </c>
      <c r="I3254" s="119" t="n">
        <v>40812</v>
      </c>
    </row>
    <row r="3255">
      <c r="A3255" s="114" t="inlineStr">
        <is>
          <t>568346</t>
        </is>
      </c>
      <c r="B3255" s="114" t="n">
        <v>14096</v>
      </c>
      <c r="C3255" s="114" t="inlineStr">
        <is>
          <t>United Kingdom</t>
        </is>
      </c>
      <c r="D3255" s="114" t="inlineStr">
        <is>
          <t>85039C</t>
        </is>
      </c>
      <c r="E3255" s="114" t="inlineStr">
        <is>
          <t>S/4 BLACK MINI ROSE CANDLE IN BOWL</t>
        </is>
      </c>
      <c r="F3255" s="114" t="n">
        <v>2</v>
      </c>
      <c r="G3255" s="115" t="n">
        <v>1.63</v>
      </c>
      <c r="H3255" s="115" t="n">
        <v>3.26</v>
      </c>
      <c r="I3255" s="116" t="n">
        <v>40812</v>
      </c>
    </row>
    <row r="3256">
      <c r="A3256" s="117" t="inlineStr">
        <is>
          <t>568346</t>
        </is>
      </c>
      <c r="B3256" s="117" t="n">
        <v>14096</v>
      </c>
      <c r="C3256" s="117" t="inlineStr">
        <is>
          <t>United Kingdom</t>
        </is>
      </c>
      <c r="D3256" s="117" t="inlineStr">
        <is>
          <t>22414</t>
        </is>
      </c>
      <c r="E3256" s="117" t="inlineStr">
        <is>
          <t xml:space="preserve">DOORMAT NEIGHBOURHOOD WITCH </t>
        </is>
      </c>
      <c r="F3256" s="117" t="n">
        <v>1</v>
      </c>
      <c r="G3256" s="118" t="n">
        <v>15.79</v>
      </c>
      <c r="H3256" s="118" t="n">
        <v>15.79</v>
      </c>
      <c r="I3256" s="119" t="n">
        <v>40812</v>
      </c>
    </row>
    <row r="3257">
      <c r="A3257" s="114" t="inlineStr">
        <is>
          <t>568346</t>
        </is>
      </c>
      <c r="B3257" s="114" t="n">
        <v>14096</v>
      </c>
      <c r="C3257" s="114" t="inlineStr">
        <is>
          <t>United Kingdom</t>
        </is>
      </c>
      <c r="D3257" s="114" t="inlineStr">
        <is>
          <t>21892</t>
        </is>
      </c>
      <c r="E3257" s="114" t="inlineStr">
        <is>
          <t xml:space="preserve">TRADITIONAL WOODEN CATCH CUP GAME </t>
        </is>
      </c>
      <c r="F3257" s="114" t="n">
        <v>2</v>
      </c>
      <c r="G3257" s="115" t="n">
        <v>2.46</v>
      </c>
      <c r="H3257" s="115" t="n">
        <v>4.92</v>
      </c>
      <c r="I3257" s="116" t="n">
        <v>40812</v>
      </c>
    </row>
    <row r="3258">
      <c r="A3258" s="117" t="inlineStr">
        <is>
          <t>568346</t>
        </is>
      </c>
      <c r="B3258" s="117" t="n">
        <v>14096</v>
      </c>
      <c r="C3258" s="117" t="inlineStr">
        <is>
          <t>United Kingdom</t>
        </is>
      </c>
      <c r="D3258" s="117" t="inlineStr">
        <is>
          <t>22601</t>
        </is>
      </c>
      <c r="E3258" s="117" t="inlineStr">
        <is>
          <t>CHRISTMAS RETROSPOT ANGEL WOOD</t>
        </is>
      </c>
      <c r="F3258" s="117" t="n">
        <v>1</v>
      </c>
      <c r="G3258" s="118" t="n">
        <v>1.63</v>
      </c>
      <c r="H3258" s="118" t="n">
        <v>1.63</v>
      </c>
      <c r="I3258" s="119" t="n">
        <v>40812</v>
      </c>
    </row>
    <row r="3259">
      <c r="A3259" s="114" t="inlineStr">
        <is>
          <t>568346</t>
        </is>
      </c>
      <c r="B3259" s="114" t="n">
        <v>14096</v>
      </c>
      <c r="C3259" s="114" t="inlineStr">
        <is>
          <t>United Kingdom</t>
        </is>
      </c>
      <c r="D3259" s="114" t="inlineStr">
        <is>
          <t>22433</t>
        </is>
      </c>
      <c r="E3259" s="114" t="inlineStr">
        <is>
          <t>WATERING CAN GREEN DINOSAUR</t>
        </is>
      </c>
      <c r="F3259" s="114" t="n">
        <v>1</v>
      </c>
      <c r="G3259" s="115" t="n">
        <v>4.13</v>
      </c>
      <c r="H3259" s="115" t="n">
        <v>4.13</v>
      </c>
      <c r="I3259" s="116" t="n">
        <v>40812</v>
      </c>
    </row>
    <row r="3260">
      <c r="A3260" s="117" t="inlineStr">
        <is>
          <t>568350</t>
        </is>
      </c>
      <c r="B3260" s="117" t="n">
        <v>12612</v>
      </c>
      <c r="C3260" s="117" t="inlineStr">
        <is>
          <t>Germany</t>
        </is>
      </c>
      <c r="D3260" s="117" t="inlineStr">
        <is>
          <t>90160A</t>
        </is>
      </c>
      <c r="E3260" s="117" t="inlineStr">
        <is>
          <t>PURPLE BOUDICCA LARGE BRACELET</t>
        </is>
      </c>
      <c r="F3260" s="117" t="n">
        <v>9</v>
      </c>
      <c r="G3260" s="118" t="n">
        <v>6.95</v>
      </c>
      <c r="H3260" s="118" t="n">
        <v>62.55</v>
      </c>
      <c r="I3260" s="119" t="n">
        <v>40812</v>
      </c>
    </row>
    <row r="3261">
      <c r="A3261" s="114" t="inlineStr">
        <is>
          <t>568367</t>
        </is>
      </c>
      <c r="B3261" s="114" t="n">
        <v>15755</v>
      </c>
      <c r="C3261" s="114" t="inlineStr">
        <is>
          <t>United Kingdom</t>
        </is>
      </c>
      <c r="D3261" s="114" t="inlineStr">
        <is>
          <t>22421</t>
        </is>
      </c>
      <c r="E3261" s="114" t="inlineStr">
        <is>
          <t>LIPSTICK PEN FUSCHIA</t>
        </is>
      </c>
      <c r="F3261" s="114" t="n">
        <v>12</v>
      </c>
      <c r="G3261" s="115" t="n">
        <v>0.42</v>
      </c>
      <c r="H3261" s="115" t="n">
        <v>5.04</v>
      </c>
      <c r="I3261" s="116" t="n">
        <v>40812</v>
      </c>
    </row>
    <row r="3262">
      <c r="A3262" s="117" t="inlineStr">
        <is>
          <t>568369</t>
        </is>
      </c>
      <c r="B3262" s="117" t="n">
        <v>16710</v>
      </c>
      <c r="C3262" s="117" t="inlineStr">
        <is>
          <t>United Kingdom</t>
        </is>
      </c>
      <c r="D3262" s="117" t="inlineStr">
        <is>
          <t>21987</t>
        </is>
      </c>
      <c r="E3262" s="117" t="inlineStr">
        <is>
          <t>PACK OF 6 SKULL PAPER CUPS</t>
        </is>
      </c>
      <c r="F3262" s="117" t="n">
        <v>6</v>
      </c>
      <c r="G3262" s="118" t="n">
        <v>0.65</v>
      </c>
      <c r="H3262" s="118" t="n">
        <v>3.9</v>
      </c>
      <c r="I3262" s="119" t="n">
        <v>40812</v>
      </c>
    </row>
    <row r="3263">
      <c r="A3263" s="114" t="inlineStr">
        <is>
          <t>568381</t>
        </is>
      </c>
      <c r="B3263" s="114" t="n">
        <v>14321</v>
      </c>
      <c r="C3263" s="114" t="inlineStr">
        <is>
          <t>United Kingdom</t>
        </is>
      </c>
      <c r="D3263" s="114" t="inlineStr">
        <is>
          <t>22340</t>
        </is>
      </c>
      <c r="E3263" s="114" t="inlineStr">
        <is>
          <t xml:space="preserve">NOEL GARLAND PAINTED ZINC </t>
        </is>
      </c>
      <c r="F3263" s="114" t="n">
        <v>24</v>
      </c>
      <c r="G3263" s="115" t="n">
        <v>0.39</v>
      </c>
      <c r="H3263" s="115" t="n">
        <v>9.359999999999999</v>
      </c>
      <c r="I3263" s="116" t="n">
        <v>40813</v>
      </c>
    </row>
    <row r="3264">
      <c r="A3264" s="117" t="inlineStr">
        <is>
          <t>568387</t>
        </is>
      </c>
      <c r="B3264" s="117" t="n">
        <v>13704</v>
      </c>
      <c r="C3264" s="117" t="inlineStr">
        <is>
          <t>United Kingdom</t>
        </is>
      </c>
      <c r="D3264" s="117" t="inlineStr">
        <is>
          <t>22469</t>
        </is>
      </c>
      <c r="E3264" s="117" t="inlineStr">
        <is>
          <t>HEART OF WICKER SMALL</t>
        </is>
      </c>
      <c r="F3264" s="117" t="n">
        <v>12</v>
      </c>
      <c r="G3264" s="118" t="n">
        <v>1.65</v>
      </c>
      <c r="H3264" s="118" t="n">
        <v>19.8</v>
      </c>
      <c r="I3264" s="119" t="n">
        <v>40813</v>
      </c>
    </row>
    <row r="3265">
      <c r="A3265" s="114" t="inlineStr">
        <is>
          <t>568387</t>
        </is>
      </c>
      <c r="B3265" s="114" t="n">
        <v>13704</v>
      </c>
      <c r="C3265" s="114" t="inlineStr">
        <is>
          <t>United Kingdom</t>
        </is>
      </c>
      <c r="D3265" s="114" t="inlineStr">
        <is>
          <t>23029</t>
        </is>
      </c>
      <c r="E3265" s="114" t="inlineStr">
        <is>
          <t>DRAWER KNOB CRACKLE GLAZE GREEN</t>
        </is>
      </c>
      <c r="F3265" s="114" t="n">
        <v>12</v>
      </c>
      <c r="G3265" s="115" t="n">
        <v>1.65</v>
      </c>
      <c r="H3265" s="115" t="n">
        <v>19.8</v>
      </c>
      <c r="I3265" s="116" t="n">
        <v>40813</v>
      </c>
    </row>
    <row r="3266">
      <c r="A3266" s="117" t="inlineStr">
        <is>
          <t>568393</t>
        </is>
      </c>
      <c r="B3266" s="117" t="n">
        <v>15754</v>
      </c>
      <c r="C3266" s="117" t="inlineStr">
        <is>
          <t>United Kingdom</t>
        </is>
      </c>
      <c r="D3266" s="117" t="inlineStr">
        <is>
          <t>22080</t>
        </is>
      </c>
      <c r="E3266" s="117" t="inlineStr">
        <is>
          <t xml:space="preserve">RIBBON REEL POLKADOTS </t>
        </is>
      </c>
      <c r="F3266" s="117" t="n">
        <v>10</v>
      </c>
      <c r="G3266" s="118" t="n">
        <v>1.65</v>
      </c>
      <c r="H3266" s="118" t="n">
        <v>16.5</v>
      </c>
      <c r="I3266" s="119" t="n">
        <v>40813</v>
      </c>
    </row>
    <row r="3267">
      <c r="A3267" s="114" t="inlineStr">
        <is>
          <t>568394</t>
        </is>
      </c>
      <c r="B3267" s="114" t="n">
        <v>13314</v>
      </c>
      <c r="C3267" s="114" t="inlineStr">
        <is>
          <t>United Kingdom</t>
        </is>
      </c>
      <c r="D3267" s="114" t="inlineStr">
        <is>
          <t>21429</t>
        </is>
      </c>
      <c r="E3267" s="114" t="inlineStr">
        <is>
          <t>RED GINGHAM ROSE JEWELLERY BOX</t>
        </is>
      </c>
      <c r="F3267" s="114" t="n">
        <v>8</v>
      </c>
      <c r="G3267" s="115" t="n">
        <v>1.95</v>
      </c>
      <c r="H3267" s="115" t="n">
        <v>15.6</v>
      </c>
      <c r="I3267" s="116" t="n">
        <v>40813</v>
      </c>
    </row>
    <row r="3268">
      <c r="A3268" s="117" t="inlineStr">
        <is>
          <t>568428</t>
        </is>
      </c>
      <c r="B3268" s="117" t="n">
        <v>14419</v>
      </c>
      <c r="C3268" s="117" t="inlineStr">
        <is>
          <t>United Kingdom</t>
        </is>
      </c>
      <c r="D3268" s="117" t="inlineStr">
        <is>
          <t>23264</t>
        </is>
      </c>
      <c r="E3268" s="117" t="inlineStr">
        <is>
          <t>SET OF 3 WOODEN SLEIGH DECORATIONS</t>
        </is>
      </c>
      <c r="F3268" s="117" t="n">
        <v>2</v>
      </c>
      <c r="G3268" s="118" t="n">
        <v>1.25</v>
      </c>
      <c r="H3268" s="118" t="n">
        <v>2.5</v>
      </c>
      <c r="I3268" s="119" t="n">
        <v>40813</v>
      </c>
    </row>
    <row r="3269">
      <c r="A3269" s="114" t="inlineStr">
        <is>
          <t>568480</t>
        </is>
      </c>
      <c r="B3269" s="114" t="n">
        <v>17490</v>
      </c>
      <c r="C3269" s="114" t="inlineStr">
        <is>
          <t>United Kingdom</t>
        </is>
      </c>
      <c r="D3269" s="114" t="inlineStr">
        <is>
          <t>23267</t>
        </is>
      </c>
      <c r="E3269" s="114" t="inlineStr">
        <is>
          <t>SET OF 4 SANTA PLACE SETTINGS</t>
        </is>
      </c>
      <c r="F3269" s="114" t="n">
        <v>12</v>
      </c>
      <c r="G3269" s="115" t="n">
        <v>1.25</v>
      </c>
      <c r="H3269" s="115" t="n">
        <v>15</v>
      </c>
      <c r="I3269" s="116" t="n">
        <v>40813</v>
      </c>
    </row>
    <row r="3270">
      <c r="A3270" s="117" t="inlineStr">
        <is>
          <t>568510</t>
        </is>
      </c>
      <c r="B3270" s="117" t="n">
        <v>13555</v>
      </c>
      <c r="C3270" s="117" t="inlineStr">
        <is>
          <t>United Kingdom</t>
        </is>
      </c>
      <c r="D3270" s="117" t="inlineStr">
        <is>
          <t>23089</t>
        </is>
      </c>
      <c r="E3270" s="117" t="inlineStr">
        <is>
          <t>GLASS BON BON JAR</t>
        </is>
      </c>
      <c r="F3270" s="117" t="n">
        <v>18</v>
      </c>
      <c r="G3270" s="118" t="n">
        <v>1.95</v>
      </c>
      <c r="H3270" s="118" t="n">
        <v>35.1</v>
      </c>
      <c r="I3270" s="119" t="n">
        <v>40813</v>
      </c>
    </row>
    <row r="3271">
      <c r="A3271" s="114" t="inlineStr">
        <is>
          <t>568512</t>
        </is>
      </c>
      <c r="B3271" s="114" t="n">
        <v>14101</v>
      </c>
      <c r="C3271" s="114" t="inlineStr">
        <is>
          <t>United Kingdom</t>
        </is>
      </c>
      <c r="D3271" s="114" t="inlineStr">
        <is>
          <t>22190</t>
        </is>
      </c>
      <c r="E3271" s="114" t="inlineStr">
        <is>
          <t>LOCAL CAFE MUG</t>
        </is>
      </c>
      <c r="F3271" s="114" t="n">
        <v>48</v>
      </c>
      <c r="G3271" s="115" t="n">
        <v>1.85</v>
      </c>
      <c r="H3271" s="115" t="n">
        <v>88.8</v>
      </c>
      <c r="I3271" s="116" t="n">
        <v>40813</v>
      </c>
    </row>
    <row r="3272">
      <c r="A3272" s="117" t="inlineStr">
        <is>
          <t>568517</t>
        </is>
      </c>
      <c r="B3272" s="117" t="n">
        <v>14456</v>
      </c>
      <c r="C3272" s="117" t="inlineStr">
        <is>
          <t>United Kingdom</t>
        </is>
      </c>
      <c r="D3272" s="117" t="inlineStr">
        <is>
          <t>22139</t>
        </is>
      </c>
      <c r="E3272" s="117" t="inlineStr">
        <is>
          <t xml:space="preserve">RETROSPOT TEA SET CERAMIC 11 PC </t>
        </is>
      </c>
      <c r="F3272" s="117" t="n">
        <v>1</v>
      </c>
      <c r="G3272" s="118" t="n">
        <v>4.95</v>
      </c>
      <c r="H3272" s="118" t="n">
        <v>4.95</v>
      </c>
      <c r="I3272" s="119" t="n">
        <v>40813</v>
      </c>
    </row>
    <row r="3273">
      <c r="A3273" s="114" t="inlineStr">
        <is>
          <t>568517</t>
        </is>
      </c>
      <c r="B3273" s="114" t="n">
        <v>14456</v>
      </c>
      <c r="C3273" s="114" t="inlineStr">
        <is>
          <t>United Kingdom</t>
        </is>
      </c>
      <c r="D3273" s="114" t="inlineStr">
        <is>
          <t>23347</t>
        </is>
      </c>
      <c r="E3273" s="114" t="inlineStr">
        <is>
          <t>I LOVE LONDON BEAKER</t>
        </is>
      </c>
      <c r="F3273" s="114" t="n">
        <v>2</v>
      </c>
      <c r="G3273" s="115" t="n">
        <v>1.25</v>
      </c>
      <c r="H3273" s="115" t="n">
        <v>2.5</v>
      </c>
      <c r="I3273" s="116" t="n">
        <v>40813</v>
      </c>
    </row>
    <row r="3274">
      <c r="A3274" s="117" t="inlineStr">
        <is>
          <t>568528</t>
        </is>
      </c>
      <c r="B3274" s="117" t="n">
        <v>13979</v>
      </c>
      <c r="C3274" s="117" t="inlineStr">
        <is>
          <t>United Kingdom</t>
        </is>
      </c>
      <c r="D3274" s="117" t="inlineStr">
        <is>
          <t>23271</t>
        </is>
      </c>
      <c r="E3274" s="117" t="inlineStr">
        <is>
          <t>CHRISTMAS TABLE SILVER CANDLE SPIKE</t>
        </is>
      </c>
      <c r="F3274" s="117" t="n">
        <v>16</v>
      </c>
      <c r="G3274" s="118" t="n">
        <v>0.83</v>
      </c>
      <c r="H3274" s="118" t="n">
        <v>13.28</v>
      </c>
      <c r="I3274" s="119" t="n">
        <v>40813</v>
      </c>
    </row>
    <row r="3275">
      <c r="A3275" s="114" t="inlineStr">
        <is>
          <t>568528</t>
        </is>
      </c>
      <c r="B3275" s="114" t="n">
        <v>13979</v>
      </c>
      <c r="C3275" s="114" t="inlineStr">
        <is>
          <t>United Kingdom</t>
        </is>
      </c>
      <c r="D3275" s="114" t="inlineStr">
        <is>
          <t>22632</t>
        </is>
      </c>
      <c r="E3275" s="114" t="inlineStr">
        <is>
          <t>HAND WARMER RED RETROSPOT</t>
        </is>
      </c>
      <c r="F3275" s="114" t="n">
        <v>12</v>
      </c>
      <c r="G3275" s="115" t="n">
        <v>2.1</v>
      </c>
      <c r="H3275" s="115" t="n">
        <v>25.2</v>
      </c>
      <c r="I3275" s="116" t="n">
        <v>40813</v>
      </c>
    </row>
    <row r="3276">
      <c r="A3276" s="117" t="inlineStr">
        <is>
          <t>568551</t>
        </is>
      </c>
      <c r="B3276" s="117" t="n">
        <v>14883</v>
      </c>
      <c r="C3276" s="117" t="inlineStr">
        <is>
          <t>United Kingdom</t>
        </is>
      </c>
      <c r="D3276" s="117" t="inlineStr">
        <is>
          <t>35471D</t>
        </is>
      </c>
      <c r="E3276" s="117" t="inlineStr">
        <is>
          <t xml:space="preserve">SET OF 3 BIRD LIGHT PINK FEATHER </t>
        </is>
      </c>
      <c r="F3276" s="117" t="n">
        <v>24</v>
      </c>
      <c r="G3276" s="118" t="n">
        <v>0.39</v>
      </c>
      <c r="H3276" s="118" t="n">
        <v>9.359999999999999</v>
      </c>
      <c r="I3276" s="119" t="n">
        <v>40813</v>
      </c>
    </row>
    <row r="3277">
      <c r="A3277" s="114" t="inlineStr">
        <is>
          <t>568568</t>
        </is>
      </c>
      <c r="B3277" s="114" t="n">
        <v>14412</v>
      </c>
      <c r="C3277" s="114" t="inlineStr">
        <is>
          <t>United Kingdom</t>
        </is>
      </c>
      <c r="D3277" s="114" t="inlineStr">
        <is>
          <t>22422</t>
        </is>
      </c>
      <c r="E3277" s="114" t="inlineStr">
        <is>
          <t>TOOTHPASTE TUBE PEN</t>
        </is>
      </c>
      <c r="F3277" s="114" t="n">
        <v>12</v>
      </c>
      <c r="G3277" s="115" t="n">
        <v>0.65</v>
      </c>
      <c r="H3277" s="115" t="n">
        <v>7.8</v>
      </c>
      <c r="I3277" s="116" t="n">
        <v>40814</v>
      </c>
    </row>
    <row r="3278">
      <c r="A3278" s="117" t="inlineStr">
        <is>
          <t>568590</t>
        </is>
      </c>
      <c r="B3278" s="117" t="n">
        <v>13126</v>
      </c>
      <c r="C3278" s="117" t="inlineStr">
        <is>
          <t>United Kingdom</t>
        </is>
      </c>
      <c r="D3278" s="117" t="inlineStr">
        <is>
          <t>22469</t>
        </is>
      </c>
      <c r="E3278" s="117" t="inlineStr">
        <is>
          <t>HEART OF WICKER SMALL</t>
        </is>
      </c>
      <c r="F3278" s="117" t="n">
        <v>12</v>
      </c>
      <c r="G3278" s="118" t="n">
        <v>1.65</v>
      </c>
      <c r="H3278" s="118" t="n">
        <v>19.8</v>
      </c>
      <c r="I3278" s="119" t="n">
        <v>40814</v>
      </c>
    </row>
    <row r="3279">
      <c r="A3279" s="114" t="inlineStr">
        <is>
          <t>568590</t>
        </is>
      </c>
      <c r="B3279" s="114" t="n">
        <v>13126</v>
      </c>
      <c r="C3279" s="114" t="inlineStr">
        <is>
          <t>United Kingdom</t>
        </is>
      </c>
      <c r="D3279" s="114" t="inlineStr">
        <is>
          <t>23399</t>
        </is>
      </c>
      <c r="E3279" s="114" t="inlineStr">
        <is>
          <t>HOME SWEET HOME HANGING HEART</t>
        </is>
      </c>
      <c r="F3279" s="114" t="n">
        <v>12</v>
      </c>
      <c r="G3279" s="115" t="n">
        <v>0.85</v>
      </c>
      <c r="H3279" s="115" t="n">
        <v>10.2</v>
      </c>
      <c r="I3279" s="116" t="n">
        <v>40814</v>
      </c>
    </row>
    <row r="3280">
      <c r="A3280" s="117" t="inlineStr">
        <is>
          <t>568593</t>
        </is>
      </c>
      <c r="B3280" s="117" t="n">
        <v>13988</v>
      </c>
      <c r="C3280" s="117" t="inlineStr">
        <is>
          <t>United Kingdom</t>
        </is>
      </c>
      <c r="D3280" s="117" t="inlineStr">
        <is>
          <t>22300</t>
        </is>
      </c>
      <c r="E3280" s="117" t="inlineStr">
        <is>
          <t>COFFEE MUG DOG + BALL DESIGN</t>
        </is>
      </c>
      <c r="F3280" s="117" t="n">
        <v>6</v>
      </c>
      <c r="G3280" s="118" t="n">
        <v>2.55</v>
      </c>
      <c r="H3280" s="118" t="n">
        <v>15.3</v>
      </c>
      <c r="I3280" s="119" t="n">
        <v>40814</v>
      </c>
    </row>
    <row r="3281">
      <c r="A3281" s="114" t="inlineStr">
        <is>
          <t>568650</t>
        </is>
      </c>
      <c r="B3281" s="114" t="n">
        <v>13505</v>
      </c>
      <c r="C3281" s="114" t="inlineStr">
        <is>
          <t>Switzerland</t>
        </is>
      </c>
      <c r="D3281" s="114" t="inlineStr">
        <is>
          <t>85017B</t>
        </is>
      </c>
      <c r="E3281" s="114" t="inlineStr">
        <is>
          <t>ENVELOPE 50 BLOSSOM IMAGES</t>
        </is>
      </c>
      <c r="F3281" s="114" t="n">
        <v>12</v>
      </c>
      <c r="G3281" s="115" t="n">
        <v>0.42</v>
      </c>
      <c r="H3281" s="115" t="n">
        <v>5.04</v>
      </c>
      <c r="I3281" s="116" t="n">
        <v>40814</v>
      </c>
    </row>
    <row r="3282">
      <c r="A3282" s="117" t="inlineStr">
        <is>
          <t>568650</t>
        </is>
      </c>
      <c r="B3282" s="117" t="n">
        <v>13505</v>
      </c>
      <c r="C3282" s="117" t="inlineStr">
        <is>
          <t>Switzerland</t>
        </is>
      </c>
      <c r="D3282" s="117" t="inlineStr">
        <is>
          <t>20750</t>
        </is>
      </c>
      <c r="E3282" s="117" t="inlineStr">
        <is>
          <t>RED RETROSPOT MINI CASES</t>
        </is>
      </c>
      <c r="F3282" s="117" t="n">
        <v>2</v>
      </c>
      <c r="G3282" s="118" t="n">
        <v>7.95</v>
      </c>
      <c r="H3282" s="118" t="n">
        <v>15.9</v>
      </c>
      <c r="I3282" s="119" t="n">
        <v>40814</v>
      </c>
    </row>
    <row r="3283">
      <c r="A3283" s="114" t="inlineStr">
        <is>
          <t>568650</t>
        </is>
      </c>
      <c r="B3283" s="114" t="n">
        <v>13505</v>
      </c>
      <c r="C3283" s="114" t="inlineStr">
        <is>
          <t>Switzerland</t>
        </is>
      </c>
      <c r="D3283" s="114" t="inlineStr">
        <is>
          <t>79190D</t>
        </is>
      </c>
      <c r="E3283" s="114" t="inlineStr">
        <is>
          <t>RETRO PLASTIC DAISY TRAY</t>
        </is>
      </c>
      <c r="F3283" s="114" t="n">
        <v>15</v>
      </c>
      <c r="G3283" s="115" t="n">
        <v>0.42</v>
      </c>
      <c r="H3283" s="115" t="n">
        <v>6.3</v>
      </c>
      <c r="I3283" s="116" t="n">
        <v>40814</v>
      </c>
    </row>
    <row r="3284">
      <c r="A3284" s="117" t="inlineStr">
        <is>
          <t>568651</t>
        </is>
      </c>
      <c r="B3284" s="117" t="n">
        <v>12362</v>
      </c>
      <c r="C3284" s="117" t="inlineStr">
        <is>
          <t>Belgium</t>
        </is>
      </c>
      <c r="D3284" s="117" t="inlineStr">
        <is>
          <t>23170</t>
        </is>
      </c>
      <c r="E3284" s="117" t="inlineStr">
        <is>
          <t xml:space="preserve">REGENCY TEA PLATE ROSES </t>
        </is>
      </c>
      <c r="F3284" s="117" t="n">
        <v>12</v>
      </c>
      <c r="G3284" s="118" t="n">
        <v>1.65</v>
      </c>
      <c r="H3284" s="118" t="n">
        <v>19.8</v>
      </c>
      <c r="I3284" s="119" t="n">
        <v>40814</v>
      </c>
    </row>
    <row r="3285">
      <c r="A3285" s="114" t="inlineStr">
        <is>
          <t>568657</t>
        </is>
      </c>
      <c r="B3285" s="114" t="n">
        <v>16460</v>
      </c>
      <c r="C3285" s="114" t="inlineStr">
        <is>
          <t>United Kingdom</t>
        </is>
      </c>
      <c r="D3285" s="114" t="inlineStr">
        <is>
          <t>22899</t>
        </is>
      </c>
      <c r="E3285" s="114" t="inlineStr">
        <is>
          <t xml:space="preserve">CHILDREN'S APRON DOLLY GIRL </t>
        </is>
      </c>
      <c r="F3285" s="114" t="n">
        <v>2</v>
      </c>
      <c r="G3285" s="115" t="n">
        <v>2.1</v>
      </c>
      <c r="H3285" s="115" t="n">
        <v>4.2</v>
      </c>
      <c r="I3285" s="116" t="n">
        <v>40814</v>
      </c>
    </row>
    <row r="3286">
      <c r="A3286" s="117" t="inlineStr">
        <is>
          <t>568657</t>
        </is>
      </c>
      <c r="B3286" s="117" t="n">
        <v>16460</v>
      </c>
      <c r="C3286" s="117" t="inlineStr">
        <is>
          <t>United Kingdom</t>
        </is>
      </c>
      <c r="D3286" s="117" t="inlineStr">
        <is>
          <t>21358</t>
        </is>
      </c>
      <c r="E3286" s="117" t="inlineStr">
        <is>
          <t>TOAST ITS - HAPPY BIRTHDAY</t>
        </is>
      </c>
      <c r="F3286" s="117" t="n">
        <v>2</v>
      </c>
      <c r="G3286" s="118" t="n">
        <v>1.25</v>
      </c>
      <c r="H3286" s="118" t="n">
        <v>2.5</v>
      </c>
      <c r="I3286" s="119" t="n">
        <v>40814</v>
      </c>
    </row>
    <row r="3287">
      <c r="A3287" s="114" t="inlineStr">
        <is>
          <t>568657</t>
        </is>
      </c>
      <c r="B3287" s="114" t="n">
        <v>16460</v>
      </c>
      <c r="C3287" s="114" t="inlineStr">
        <is>
          <t>United Kingdom</t>
        </is>
      </c>
      <c r="D3287" s="114" t="inlineStr">
        <is>
          <t>22372</t>
        </is>
      </c>
      <c r="E3287" s="114" t="inlineStr">
        <is>
          <t xml:space="preserve">AIRLINE BAG VINTAGE WORLD CHAMPION </t>
        </is>
      </c>
      <c r="F3287" s="114" t="n">
        <v>1</v>
      </c>
      <c r="G3287" s="115" t="n">
        <v>4.25</v>
      </c>
      <c r="H3287" s="115" t="n">
        <v>4.25</v>
      </c>
      <c r="I3287" s="116" t="n">
        <v>40814</v>
      </c>
    </row>
    <row r="3288">
      <c r="A3288" s="117" t="inlineStr">
        <is>
          <t>568667</t>
        </is>
      </c>
      <c r="B3288" s="117" t="n">
        <v>14606</v>
      </c>
      <c r="C3288" s="117" t="inlineStr">
        <is>
          <t>United Kingdom</t>
        </is>
      </c>
      <c r="D3288" s="117" t="inlineStr">
        <is>
          <t>21746</t>
        </is>
      </c>
      <c r="E3288" s="117" t="inlineStr">
        <is>
          <t>SMALL RED RETROSPOT WINDMILL</t>
        </is>
      </c>
      <c r="F3288" s="117" t="n">
        <v>2</v>
      </c>
      <c r="G3288" s="118" t="n">
        <v>1.25</v>
      </c>
      <c r="H3288" s="118" t="n">
        <v>2.5</v>
      </c>
      <c r="I3288" s="119" t="n">
        <v>40814</v>
      </c>
    </row>
    <row r="3289">
      <c r="A3289" s="114" t="inlineStr">
        <is>
          <t>568668</t>
        </is>
      </c>
      <c r="B3289" s="114" t="n">
        <v>15750</v>
      </c>
      <c r="C3289" s="114" t="inlineStr">
        <is>
          <t>United Kingdom</t>
        </is>
      </c>
      <c r="D3289" s="114" t="inlineStr">
        <is>
          <t>23199</t>
        </is>
      </c>
      <c r="E3289" s="114" t="inlineStr">
        <is>
          <t>JUMBO BAG APPLES</t>
        </is>
      </c>
      <c r="F3289" s="114" t="n">
        <v>4</v>
      </c>
      <c r="G3289" s="115" t="n">
        <v>2.08</v>
      </c>
      <c r="H3289" s="115" t="n">
        <v>8.32</v>
      </c>
      <c r="I3289" s="116" t="n">
        <v>40814</v>
      </c>
    </row>
    <row r="3290">
      <c r="A3290" s="117" t="inlineStr">
        <is>
          <t>568669</t>
        </is>
      </c>
      <c r="B3290" s="117" t="n">
        <v>13488</v>
      </c>
      <c r="C3290" s="117" t="inlineStr">
        <is>
          <t>United Kingdom</t>
        </is>
      </c>
      <c r="D3290" s="117" t="inlineStr">
        <is>
          <t>23348</t>
        </is>
      </c>
      <c r="E3290" s="117" t="inlineStr">
        <is>
          <t>CHILDRENS TOY COOKING UTENSIL SET</t>
        </is>
      </c>
      <c r="F3290" s="117" t="n">
        <v>6</v>
      </c>
      <c r="G3290" s="118" t="n">
        <v>2.08</v>
      </c>
      <c r="H3290" s="118" t="n">
        <v>12.48</v>
      </c>
      <c r="I3290" s="119" t="n">
        <v>40814</v>
      </c>
    </row>
    <row r="3291">
      <c r="A3291" s="114" t="inlineStr">
        <is>
          <t>568670</t>
        </is>
      </c>
      <c r="B3291" s="114" t="n">
        <v>14978</v>
      </c>
      <c r="C3291" s="114" t="inlineStr">
        <is>
          <t>United Kingdom</t>
        </is>
      </c>
      <c r="D3291" s="114" t="inlineStr">
        <is>
          <t>22139</t>
        </is>
      </c>
      <c r="E3291" s="114" t="inlineStr">
        <is>
          <t xml:space="preserve">RETROSPOT TEA SET CERAMIC 11 PC </t>
        </is>
      </c>
      <c r="F3291" s="114" t="n">
        <v>4</v>
      </c>
      <c r="G3291" s="115" t="n">
        <v>4.95</v>
      </c>
      <c r="H3291" s="115" t="n">
        <v>19.8</v>
      </c>
      <c r="I3291" s="116" t="n">
        <v>40814</v>
      </c>
    </row>
    <row r="3292">
      <c r="A3292" s="117" t="inlineStr">
        <is>
          <t>568671</t>
        </is>
      </c>
      <c r="B3292" s="117" t="n">
        <v>13139</v>
      </c>
      <c r="C3292" s="117" t="inlineStr">
        <is>
          <t>United Kingdom</t>
        </is>
      </c>
      <c r="D3292" s="117" t="inlineStr">
        <is>
          <t>23256</t>
        </is>
      </c>
      <c r="E3292" s="117" t="inlineStr">
        <is>
          <t xml:space="preserve">CHILDRENS CUTLERY SPACEBOY </t>
        </is>
      </c>
      <c r="F3292" s="117" t="n">
        <v>8</v>
      </c>
      <c r="G3292" s="118" t="n">
        <v>4.15</v>
      </c>
      <c r="H3292" s="118" t="n">
        <v>33.2</v>
      </c>
      <c r="I3292" s="119" t="n">
        <v>40814</v>
      </c>
    </row>
    <row r="3293">
      <c r="A3293" s="114" t="inlineStr">
        <is>
          <t>568674</t>
        </is>
      </c>
      <c r="B3293" s="114" t="n">
        <v>12708</v>
      </c>
      <c r="C3293" s="114" t="inlineStr">
        <is>
          <t>Germany</t>
        </is>
      </c>
      <c r="D3293" s="114" t="inlineStr">
        <is>
          <t>22423</t>
        </is>
      </c>
      <c r="E3293" s="114" t="inlineStr">
        <is>
          <t>REGENCY CAKESTAND 3 TIER</t>
        </is>
      </c>
      <c r="F3293" s="114" t="n">
        <v>1</v>
      </c>
      <c r="G3293" s="115" t="n">
        <v>12.75</v>
      </c>
      <c r="H3293" s="115" t="n">
        <v>12.75</v>
      </c>
      <c r="I3293" s="116" t="n">
        <v>40814</v>
      </c>
    </row>
    <row r="3294">
      <c r="A3294" s="117" t="inlineStr">
        <is>
          <t>568690</t>
        </is>
      </c>
      <c r="B3294" s="117" t="n">
        <v>16332</v>
      </c>
      <c r="C3294" s="117" t="inlineStr">
        <is>
          <t>United Kingdom</t>
        </is>
      </c>
      <c r="D3294" s="117" t="inlineStr">
        <is>
          <t>23100</t>
        </is>
      </c>
      <c r="E3294" s="117" t="inlineStr">
        <is>
          <t>SILVER BELLS TABLE DECORATION</t>
        </is>
      </c>
      <c r="F3294" s="117" t="n">
        <v>6</v>
      </c>
      <c r="G3294" s="118" t="n">
        <v>1.25</v>
      </c>
      <c r="H3294" s="118" t="n">
        <v>7.5</v>
      </c>
      <c r="I3294" s="119" t="n">
        <v>40814</v>
      </c>
    </row>
    <row r="3295">
      <c r="A3295" s="114" t="inlineStr">
        <is>
          <t>568699</t>
        </is>
      </c>
      <c r="B3295" s="114" t="n">
        <v>12352</v>
      </c>
      <c r="C3295" s="114" t="inlineStr">
        <is>
          <t>Norway</t>
        </is>
      </c>
      <c r="D3295" s="114" t="inlineStr">
        <is>
          <t>22635</t>
        </is>
      </c>
      <c r="E3295" s="114" t="inlineStr">
        <is>
          <t xml:space="preserve">CHILDS BREAKFAST SET DOLLY GIRL </t>
        </is>
      </c>
      <c r="F3295" s="114" t="n">
        <v>2</v>
      </c>
      <c r="G3295" s="115" t="n">
        <v>9.949999999999999</v>
      </c>
      <c r="H3295" s="115" t="n">
        <v>19.9</v>
      </c>
      <c r="I3295" s="116" t="n">
        <v>40814</v>
      </c>
    </row>
    <row r="3296">
      <c r="A3296" s="117" t="inlineStr">
        <is>
          <t>568703</t>
        </is>
      </c>
      <c r="B3296" s="117" t="n">
        <v>12748</v>
      </c>
      <c r="C3296" s="117" t="inlineStr">
        <is>
          <t>United Kingdom</t>
        </is>
      </c>
      <c r="D3296" s="117" t="inlineStr">
        <is>
          <t>22417</t>
        </is>
      </c>
      <c r="E3296" s="117" t="inlineStr">
        <is>
          <t>PACK OF 60 SPACEBOY CAKE CASES</t>
        </is>
      </c>
      <c r="F3296" s="117" t="n">
        <v>3</v>
      </c>
      <c r="G3296" s="118" t="n">
        <v>0.55</v>
      </c>
      <c r="H3296" s="118" t="n">
        <v>1.65</v>
      </c>
      <c r="I3296" s="119" t="n">
        <v>40814</v>
      </c>
    </row>
    <row r="3297">
      <c r="A3297" s="114" t="inlineStr">
        <is>
          <t>568703</t>
        </is>
      </c>
      <c r="B3297" s="114" t="n">
        <v>12748</v>
      </c>
      <c r="C3297" s="114" t="inlineStr">
        <is>
          <t>United Kingdom</t>
        </is>
      </c>
      <c r="D3297" s="114" t="inlineStr">
        <is>
          <t>21899</t>
        </is>
      </c>
      <c r="E3297" s="114" t="inlineStr">
        <is>
          <t>GARAGE KEY FOB</t>
        </is>
      </c>
      <c r="F3297" s="114" t="n">
        <v>20</v>
      </c>
      <c r="G3297" s="115" t="n">
        <v>0.65</v>
      </c>
      <c r="H3297" s="115" t="n">
        <v>13</v>
      </c>
      <c r="I3297" s="116" t="n">
        <v>40814</v>
      </c>
    </row>
    <row r="3298">
      <c r="A3298" s="117" t="inlineStr">
        <is>
          <t>568703</t>
        </is>
      </c>
      <c r="B3298" s="117" t="n">
        <v>12748</v>
      </c>
      <c r="C3298" s="117" t="inlineStr">
        <is>
          <t>United Kingdom</t>
        </is>
      </c>
      <c r="D3298" s="117" t="inlineStr">
        <is>
          <t>21990</t>
        </is>
      </c>
      <c r="E3298" s="117" t="inlineStr">
        <is>
          <t>MODERN FLORAL STATIONERY SET</t>
        </is>
      </c>
      <c r="F3298" s="117" t="n">
        <v>2</v>
      </c>
      <c r="G3298" s="118" t="n">
        <v>1.25</v>
      </c>
      <c r="H3298" s="118" t="n">
        <v>2.5</v>
      </c>
      <c r="I3298" s="119" t="n">
        <v>40814</v>
      </c>
    </row>
    <row r="3299">
      <c r="A3299" s="114" t="inlineStr">
        <is>
          <t>568709</t>
        </is>
      </c>
      <c r="B3299" s="114" t="n">
        <v>15036</v>
      </c>
      <c r="C3299" s="114" t="inlineStr">
        <is>
          <t>United Kingdom</t>
        </is>
      </c>
      <c r="D3299" s="114" t="inlineStr">
        <is>
          <t>22303</t>
        </is>
      </c>
      <c r="E3299" s="114" t="inlineStr">
        <is>
          <t>COFFEE MUG APPLES DESIGN</t>
        </is>
      </c>
      <c r="F3299" s="114" t="n">
        <v>2</v>
      </c>
      <c r="G3299" s="115" t="n">
        <v>2.55</v>
      </c>
      <c r="H3299" s="115" t="n">
        <v>5.1</v>
      </c>
      <c r="I3299" s="116" t="n">
        <v>40814</v>
      </c>
    </row>
    <row r="3300">
      <c r="A3300" s="117" t="inlineStr">
        <is>
          <t>568710</t>
        </is>
      </c>
      <c r="B3300" s="117" t="n">
        <v>14649</v>
      </c>
      <c r="C3300" s="117" t="inlineStr">
        <is>
          <t>United Kingdom</t>
        </is>
      </c>
      <c r="D3300" s="117" t="inlineStr">
        <is>
          <t>20685</t>
        </is>
      </c>
      <c r="E3300" s="117" t="inlineStr">
        <is>
          <t>DOORMAT RED RETROSPOT</t>
        </is>
      </c>
      <c r="F3300" s="117" t="n">
        <v>1</v>
      </c>
      <c r="G3300" s="118" t="n">
        <v>8.25</v>
      </c>
      <c r="H3300" s="118" t="n">
        <v>8.25</v>
      </c>
      <c r="I3300" s="119" t="n">
        <v>40814</v>
      </c>
    </row>
    <row r="3301">
      <c r="A3301" s="114" t="inlineStr">
        <is>
          <t>568727</t>
        </is>
      </c>
      <c r="B3301" s="114" t="n">
        <v>15796</v>
      </c>
      <c r="C3301" s="114" t="inlineStr">
        <is>
          <t>United Kingdom</t>
        </is>
      </c>
      <c r="D3301" s="114" t="inlineStr">
        <is>
          <t>21166</t>
        </is>
      </c>
      <c r="E3301" s="114" t="inlineStr">
        <is>
          <t xml:space="preserve">COOK WITH WINE METAL SIGN </t>
        </is>
      </c>
      <c r="F3301" s="114" t="n">
        <v>12</v>
      </c>
      <c r="G3301" s="115" t="n">
        <v>2.08</v>
      </c>
      <c r="H3301" s="115" t="n">
        <v>24.96</v>
      </c>
      <c r="I3301" s="116" t="n">
        <v>40814</v>
      </c>
    </row>
    <row r="3302">
      <c r="A3302" s="117" t="inlineStr">
        <is>
          <t>568727</t>
        </is>
      </c>
      <c r="B3302" s="117" t="n">
        <v>15796</v>
      </c>
      <c r="C3302" s="117" t="inlineStr">
        <is>
          <t>United Kingdom</t>
        </is>
      </c>
      <c r="D3302" s="117" t="inlineStr">
        <is>
          <t>21169</t>
        </is>
      </c>
      <c r="E3302" s="117" t="inlineStr">
        <is>
          <t xml:space="preserve">YOU'RE CONFUSING ME METAL SIGN </t>
        </is>
      </c>
      <c r="F3302" s="117" t="n">
        <v>12</v>
      </c>
      <c r="G3302" s="118" t="n">
        <v>1.69</v>
      </c>
      <c r="H3302" s="118" t="n">
        <v>20.28</v>
      </c>
      <c r="I3302" s="119" t="n">
        <v>40814</v>
      </c>
    </row>
    <row r="3303">
      <c r="A3303" s="114" t="inlineStr">
        <is>
          <t>568729</t>
        </is>
      </c>
      <c r="B3303" s="114" t="n">
        <v>16909</v>
      </c>
      <c r="C3303" s="114" t="inlineStr">
        <is>
          <t>United Kingdom</t>
        </is>
      </c>
      <c r="D3303" s="114" t="inlineStr">
        <is>
          <t>22569</t>
        </is>
      </c>
      <c r="E3303" s="114" t="inlineStr">
        <is>
          <t>FELTCRAFT CUSHION BUTTERFLY</t>
        </is>
      </c>
      <c r="F3303" s="114" t="n">
        <v>4</v>
      </c>
      <c r="G3303" s="115" t="n">
        <v>3.75</v>
      </c>
      <c r="H3303" s="115" t="n">
        <v>15</v>
      </c>
      <c r="I3303" s="116" t="n">
        <v>40814</v>
      </c>
    </row>
    <row r="3304">
      <c r="A3304" s="117" t="inlineStr">
        <is>
          <t>568780</t>
        </is>
      </c>
      <c r="B3304" s="117" t="n">
        <v>18235</v>
      </c>
      <c r="C3304" s="117" t="inlineStr">
        <is>
          <t>United Kingdom</t>
        </is>
      </c>
      <c r="D3304" s="117" t="inlineStr">
        <is>
          <t>21172</t>
        </is>
      </c>
      <c r="E3304" s="117" t="inlineStr">
        <is>
          <t xml:space="preserve">PARTY METAL SIGN </t>
        </is>
      </c>
      <c r="F3304" s="117" t="n">
        <v>12</v>
      </c>
      <c r="G3304" s="118" t="n">
        <v>1.45</v>
      </c>
      <c r="H3304" s="118" t="n">
        <v>17.4</v>
      </c>
      <c r="I3304" s="119" t="n">
        <v>40815</v>
      </c>
    </row>
    <row r="3305">
      <c r="A3305" s="114" t="inlineStr">
        <is>
          <t>568785</t>
        </is>
      </c>
      <c r="B3305" s="114" t="n">
        <v>16929</v>
      </c>
      <c r="C3305" s="114" t="inlineStr">
        <is>
          <t>United Kingdom</t>
        </is>
      </c>
      <c r="D3305" s="114" t="inlineStr">
        <is>
          <t>22114</t>
        </is>
      </c>
      <c r="E3305" s="114" t="inlineStr">
        <is>
          <t>HOT WATER BOTTLE TEA AND SYMPATHY</t>
        </is>
      </c>
      <c r="F3305" s="114" t="n">
        <v>4</v>
      </c>
      <c r="G3305" s="115" t="n">
        <v>4.25</v>
      </c>
      <c r="H3305" s="115" t="n">
        <v>17</v>
      </c>
      <c r="I3305" s="116" t="n">
        <v>40815</v>
      </c>
    </row>
    <row r="3306">
      <c r="A3306" s="117" t="inlineStr">
        <is>
          <t>568795</t>
        </is>
      </c>
      <c r="B3306" s="117" t="n">
        <v>17870</v>
      </c>
      <c r="C3306" s="117" t="inlineStr">
        <is>
          <t>United Kingdom</t>
        </is>
      </c>
      <c r="D3306" s="117" t="inlineStr">
        <is>
          <t>23086</t>
        </is>
      </c>
      <c r="E3306" s="117" t="inlineStr">
        <is>
          <t xml:space="preserve">ZINC  STAR T-LIGHT HOLDER </t>
        </is>
      </c>
      <c r="F3306" s="117" t="n">
        <v>10</v>
      </c>
      <c r="G3306" s="118" t="n">
        <v>1.25</v>
      </c>
      <c r="H3306" s="118" t="n">
        <v>12.5</v>
      </c>
      <c r="I3306" s="119" t="n">
        <v>40815</v>
      </c>
    </row>
    <row r="3307">
      <c r="A3307" s="114" t="inlineStr">
        <is>
          <t>568797</t>
        </is>
      </c>
      <c r="B3307" s="114" t="n">
        <v>13694</v>
      </c>
      <c r="C3307" s="114" t="inlineStr">
        <is>
          <t>United Kingdom</t>
        </is>
      </c>
      <c r="D3307" s="114" t="inlineStr">
        <is>
          <t>23343</t>
        </is>
      </c>
      <c r="E3307" s="114" t="inlineStr">
        <is>
          <t xml:space="preserve">JUMBO BAG VINTAGE CHRISTMAS </t>
        </is>
      </c>
      <c r="F3307" s="114" t="n">
        <v>100</v>
      </c>
      <c r="G3307" s="115" t="n">
        <v>1.75</v>
      </c>
      <c r="H3307" s="115" t="n">
        <v>175</v>
      </c>
      <c r="I3307" s="116" t="n">
        <v>40815</v>
      </c>
    </row>
    <row r="3308">
      <c r="A3308" s="117" t="inlineStr">
        <is>
          <t>568801</t>
        </is>
      </c>
      <c r="B3308" s="117" t="n">
        <v>14475</v>
      </c>
      <c r="C3308" s="117" t="inlineStr">
        <is>
          <t>United Kingdom</t>
        </is>
      </c>
      <c r="D3308" s="117" t="inlineStr">
        <is>
          <t>23201</t>
        </is>
      </c>
      <c r="E3308" s="117" t="inlineStr">
        <is>
          <t>JUMBO BAG ALPHABET</t>
        </is>
      </c>
      <c r="F3308" s="117" t="n">
        <v>10</v>
      </c>
      <c r="G3308" s="118" t="n">
        <v>2.08</v>
      </c>
      <c r="H3308" s="118" t="n">
        <v>20.8</v>
      </c>
      <c r="I3308" s="119" t="n">
        <v>40815</v>
      </c>
    </row>
    <row r="3309">
      <c r="A3309" s="114" t="inlineStr">
        <is>
          <t>568819</t>
        </is>
      </c>
      <c r="B3309" s="114" t="n">
        <v>17427</v>
      </c>
      <c r="C3309" s="114" t="inlineStr">
        <is>
          <t>United Kingdom</t>
        </is>
      </c>
      <c r="D3309" s="114" t="inlineStr">
        <is>
          <t>23503</t>
        </is>
      </c>
      <c r="E3309" s="114" t="inlineStr">
        <is>
          <t>PLAYING CARDS KEEP CALM &amp; CARRY ON</t>
        </is>
      </c>
      <c r="F3309" s="114" t="n">
        <v>24</v>
      </c>
      <c r="G3309" s="115" t="n">
        <v>1.25</v>
      </c>
      <c r="H3309" s="115" t="n">
        <v>30</v>
      </c>
      <c r="I3309" s="116" t="n">
        <v>40815</v>
      </c>
    </row>
    <row r="3310">
      <c r="A3310" s="117" t="inlineStr">
        <is>
          <t>568828</t>
        </is>
      </c>
      <c r="B3310" s="117" t="n">
        <v>15175</v>
      </c>
      <c r="C3310" s="117" t="inlineStr">
        <is>
          <t>United Kingdom</t>
        </is>
      </c>
      <c r="D3310" s="117" t="inlineStr">
        <is>
          <t>21704</t>
        </is>
      </c>
      <c r="E3310" s="117" t="inlineStr">
        <is>
          <t>BAG 250g SWIRLY MARBLES</t>
        </is>
      </c>
      <c r="F3310" s="117" t="n">
        <v>12</v>
      </c>
      <c r="G3310" s="118" t="n">
        <v>0.85</v>
      </c>
      <c r="H3310" s="118" t="n">
        <v>10.2</v>
      </c>
      <c r="I3310" s="119" t="n">
        <v>40815</v>
      </c>
    </row>
    <row r="3311">
      <c r="A3311" s="114" t="inlineStr">
        <is>
          <t>568868</t>
        </is>
      </c>
      <c r="B3311" s="114" t="n">
        <v>12957</v>
      </c>
      <c r="C3311" s="114" t="inlineStr">
        <is>
          <t>United Kingdom</t>
        </is>
      </c>
      <c r="D3311" s="114" t="inlineStr">
        <is>
          <t>85066</t>
        </is>
      </c>
      <c r="E3311" s="114" t="inlineStr">
        <is>
          <t>CREAM SWEETHEART MINI CHEST</t>
        </is>
      </c>
      <c r="F3311" s="114" t="n">
        <v>2</v>
      </c>
      <c r="G3311" s="115" t="n">
        <v>12.75</v>
      </c>
      <c r="H3311" s="115" t="n">
        <v>25.5</v>
      </c>
      <c r="I3311" s="116" t="n">
        <v>40815</v>
      </c>
    </row>
    <row r="3312">
      <c r="A3312" s="117" t="inlineStr">
        <is>
          <t>568874</t>
        </is>
      </c>
      <c r="B3312" s="117" t="n">
        <v>14524</v>
      </c>
      <c r="C3312" s="117" t="inlineStr">
        <is>
          <t>United Kingdom</t>
        </is>
      </c>
      <c r="D3312" s="117" t="inlineStr">
        <is>
          <t>23014</t>
        </is>
      </c>
      <c r="E3312" s="117" t="inlineStr">
        <is>
          <t>GLASS APOTHECARY BOTTLE ELIXIR</t>
        </is>
      </c>
      <c r="F3312" s="117" t="n">
        <v>4</v>
      </c>
      <c r="G3312" s="118" t="n">
        <v>3.95</v>
      </c>
      <c r="H3312" s="118" t="n">
        <v>15.8</v>
      </c>
      <c r="I3312" s="119" t="n">
        <v>40815</v>
      </c>
    </row>
    <row r="3313">
      <c r="A3313" s="114" t="inlineStr">
        <is>
          <t>568894</t>
        </is>
      </c>
      <c r="B3313" s="114" t="n">
        <v>17528</v>
      </c>
      <c r="C3313" s="114" t="inlineStr">
        <is>
          <t>United Kingdom</t>
        </is>
      </c>
      <c r="D3313" s="114" t="inlineStr">
        <is>
          <t>21929</t>
        </is>
      </c>
      <c r="E3313" s="114" t="inlineStr">
        <is>
          <t>JUMBO BAG PINK VINTAGE PAISLEY</t>
        </is>
      </c>
      <c r="F3313" s="114" t="n">
        <v>1</v>
      </c>
      <c r="G3313" s="115" t="n">
        <v>2.08</v>
      </c>
      <c r="H3313" s="115" t="n">
        <v>2.08</v>
      </c>
      <c r="I3313" s="116" t="n">
        <v>40815</v>
      </c>
    </row>
    <row r="3314">
      <c r="A3314" s="117" t="inlineStr">
        <is>
          <t>568894</t>
        </is>
      </c>
      <c r="B3314" s="117" t="n">
        <v>17528</v>
      </c>
      <c r="C3314" s="117" t="inlineStr">
        <is>
          <t>United Kingdom</t>
        </is>
      </c>
      <c r="D3314" s="117" t="inlineStr">
        <is>
          <t>22029</t>
        </is>
      </c>
      <c r="E3314" s="117" t="inlineStr">
        <is>
          <t>SPACEBOY BIRTHDAY CARD</t>
        </is>
      </c>
      <c r="F3314" s="117" t="n">
        <v>12</v>
      </c>
      <c r="G3314" s="118" t="n">
        <v>0.42</v>
      </c>
      <c r="H3314" s="118" t="n">
        <v>5.04</v>
      </c>
      <c r="I3314" s="119" t="n">
        <v>40815</v>
      </c>
    </row>
    <row r="3315">
      <c r="A3315" s="114" t="inlineStr">
        <is>
          <t>568895</t>
        </is>
      </c>
      <c r="B3315" s="114" t="n">
        <v>15356</v>
      </c>
      <c r="C3315" s="114" t="inlineStr">
        <is>
          <t>United Kingdom</t>
        </is>
      </c>
      <c r="D3315" s="114" t="inlineStr">
        <is>
          <t>82580</t>
        </is>
      </c>
      <c r="E3315" s="114" t="inlineStr">
        <is>
          <t>BATHROOM METAL SIGN</t>
        </is>
      </c>
      <c r="F3315" s="114" t="n">
        <v>12</v>
      </c>
      <c r="G3315" s="115" t="n">
        <v>0.55</v>
      </c>
      <c r="H3315" s="115" t="n">
        <v>6.6</v>
      </c>
      <c r="I3315" s="116" t="n">
        <v>40815</v>
      </c>
    </row>
    <row r="3316">
      <c r="A3316" s="117" t="inlineStr">
        <is>
          <t>568896</t>
        </is>
      </c>
      <c r="B3316" s="117" t="n">
        <v>16361</v>
      </c>
      <c r="C3316" s="117" t="inlineStr">
        <is>
          <t>United Kingdom</t>
        </is>
      </c>
      <c r="D3316" s="117" t="inlineStr">
        <is>
          <t>22726</t>
        </is>
      </c>
      <c r="E3316" s="117" t="inlineStr">
        <is>
          <t>ALARM CLOCK BAKELIKE GREEN</t>
        </is>
      </c>
      <c r="F3316" s="117" t="n">
        <v>1</v>
      </c>
      <c r="G3316" s="118" t="n">
        <v>3.75</v>
      </c>
      <c r="H3316" s="118" t="n">
        <v>3.75</v>
      </c>
      <c r="I3316" s="119" t="n">
        <v>40815</v>
      </c>
    </row>
    <row r="3317">
      <c r="A3317" s="114" t="inlineStr">
        <is>
          <t>568898</t>
        </is>
      </c>
      <c r="B3317" s="114" t="n">
        <v>13354</v>
      </c>
      <c r="C3317" s="114" t="inlineStr">
        <is>
          <t>United Kingdom</t>
        </is>
      </c>
      <c r="D3317" s="114" t="inlineStr">
        <is>
          <t>22114</t>
        </is>
      </c>
      <c r="E3317" s="114" t="inlineStr">
        <is>
          <t>HOT WATER BOTTLE TEA AND SYMPATHY</t>
        </is>
      </c>
      <c r="F3317" s="114" t="n">
        <v>4</v>
      </c>
      <c r="G3317" s="115" t="n">
        <v>4.25</v>
      </c>
      <c r="H3317" s="115" t="n">
        <v>17</v>
      </c>
      <c r="I3317" s="116" t="n">
        <v>40815</v>
      </c>
    </row>
    <row r="3318">
      <c r="A3318" s="117" t="inlineStr">
        <is>
          <t>568900</t>
        </is>
      </c>
      <c r="B3318" s="117" t="n">
        <v>13647</v>
      </c>
      <c r="C3318" s="117" t="inlineStr">
        <is>
          <t>United Kingdom</t>
        </is>
      </c>
      <c r="D3318" s="117" t="inlineStr">
        <is>
          <t>48188</t>
        </is>
      </c>
      <c r="E3318" s="117" t="inlineStr">
        <is>
          <t>DOORMAT WELCOME PUPPIES</t>
        </is>
      </c>
      <c r="F3318" s="117" t="n">
        <v>2</v>
      </c>
      <c r="G3318" s="118" t="n">
        <v>8.25</v>
      </c>
      <c r="H3318" s="118" t="n">
        <v>16.5</v>
      </c>
      <c r="I3318" s="119" t="n">
        <v>40815</v>
      </c>
    </row>
    <row r="3319">
      <c r="A3319" s="114" t="inlineStr">
        <is>
          <t>568907</t>
        </is>
      </c>
      <c r="B3319" s="114" t="n">
        <v>15370</v>
      </c>
      <c r="C3319" s="114" t="inlineStr">
        <is>
          <t>United Kingdom</t>
        </is>
      </c>
      <c r="D3319" s="114" t="inlineStr">
        <is>
          <t>23285</t>
        </is>
      </c>
      <c r="E3319" s="114" t="inlineStr">
        <is>
          <t>PINK VINTAGE SPOT BEAKER</t>
        </is>
      </c>
      <c r="F3319" s="114" t="n">
        <v>8</v>
      </c>
      <c r="G3319" s="115" t="n">
        <v>0.85</v>
      </c>
      <c r="H3319" s="115" t="n">
        <v>6.8</v>
      </c>
      <c r="I3319" s="116" t="n">
        <v>40815</v>
      </c>
    </row>
    <row r="3320">
      <c r="A3320" s="117" t="inlineStr">
        <is>
          <t>568908</t>
        </is>
      </c>
      <c r="B3320" s="117" t="n">
        <v>16653</v>
      </c>
      <c r="C3320" s="117" t="inlineStr">
        <is>
          <t>United Kingdom</t>
        </is>
      </c>
      <c r="D3320" s="117" t="inlineStr">
        <is>
          <t>22720</t>
        </is>
      </c>
      <c r="E3320" s="117" t="inlineStr">
        <is>
          <t xml:space="preserve">SET OF 3 CAKE TINS PANTRY DESIGN </t>
        </is>
      </c>
      <c r="F3320" s="117" t="n">
        <v>3</v>
      </c>
      <c r="G3320" s="118" t="n">
        <v>4.95</v>
      </c>
      <c r="H3320" s="118" t="n">
        <v>14.85</v>
      </c>
      <c r="I3320" s="119" t="n">
        <v>40815</v>
      </c>
    </row>
    <row r="3321">
      <c r="A3321" s="114" t="inlineStr">
        <is>
          <t>568910</t>
        </is>
      </c>
      <c r="B3321" s="114" t="n">
        <v>16574</v>
      </c>
      <c r="C3321" s="114" t="inlineStr">
        <is>
          <t>United Kingdom</t>
        </is>
      </c>
      <c r="D3321" s="114" t="inlineStr">
        <is>
          <t>22578</t>
        </is>
      </c>
      <c r="E3321" s="114" t="inlineStr">
        <is>
          <t>WOODEN STAR CHRISTMAS SCANDINAVIAN</t>
        </is>
      </c>
      <c r="F3321" s="114" t="n">
        <v>12</v>
      </c>
      <c r="G3321" s="115" t="n">
        <v>0.85</v>
      </c>
      <c r="H3321" s="115" t="n">
        <v>10.2</v>
      </c>
      <c r="I3321" s="116" t="n">
        <v>40815</v>
      </c>
    </row>
    <row r="3322">
      <c r="A3322" s="117" t="inlineStr">
        <is>
          <t>568915</t>
        </is>
      </c>
      <c r="B3322" s="117" t="n">
        <v>14948</v>
      </c>
      <c r="C3322" s="117" t="inlineStr">
        <is>
          <t>United Kingdom</t>
        </is>
      </c>
      <c r="D3322" s="117" t="inlineStr">
        <is>
          <t>22900</t>
        </is>
      </c>
      <c r="E3322" s="117" t="inlineStr">
        <is>
          <t xml:space="preserve">SET 2 TEA TOWELS I LOVE LONDON </t>
        </is>
      </c>
      <c r="F3322" s="117" t="n">
        <v>6</v>
      </c>
      <c r="G3322" s="118" t="n">
        <v>3.25</v>
      </c>
      <c r="H3322" s="118" t="n">
        <v>19.5</v>
      </c>
      <c r="I3322" s="119" t="n">
        <v>40815</v>
      </c>
    </row>
    <row r="3323">
      <c r="A3323" s="114" t="inlineStr">
        <is>
          <t>568919</t>
        </is>
      </c>
      <c r="B3323" s="114" t="n">
        <v>12937</v>
      </c>
      <c r="C3323" s="114" t="inlineStr">
        <is>
          <t>United Kingdom</t>
        </is>
      </c>
      <c r="D3323" s="114" t="inlineStr">
        <is>
          <t>22554</t>
        </is>
      </c>
      <c r="E3323" s="114" t="inlineStr">
        <is>
          <t>PLASTERS IN TIN WOODLAND ANIMALS</t>
        </is>
      </c>
      <c r="F3323" s="114" t="n">
        <v>2</v>
      </c>
      <c r="G3323" s="115" t="n">
        <v>1.65</v>
      </c>
      <c r="H3323" s="115" t="n">
        <v>3.3</v>
      </c>
      <c r="I3323" s="116" t="n">
        <v>40815</v>
      </c>
    </row>
    <row r="3324">
      <c r="A3324" s="117" t="inlineStr">
        <is>
          <t>568919</t>
        </is>
      </c>
      <c r="B3324" s="117" t="n">
        <v>12937</v>
      </c>
      <c r="C3324" s="117" t="inlineStr">
        <is>
          <t>United Kingdom</t>
        </is>
      </c>
      <c r="D3324" s="117" t="inlineStr">
        <is>
          <t>21985</t>
        </is>
      </c>
      <c r="E3324" s="117" t="inlineStr">
        <is>
          <t xml:space="preserve">PACK OF 12 HEARTS DESIGN TISSUES </t>
        </is>
      </c>
      <c r="F3324" s="117" t="n">
        <v>12</v>
      </c>
      <c r="G3324" s="118" t="n">
        <v>0.39</v>
      </c>
      <c r="H3324" s="118" t="n">
        <v>4.68</v>
      </c>
      <c r="I3324" s="119" t="n">
        <v>40815</v>
      </c>
    </row>
    <row r="3325">
      <c r="A3325" s="114" t="inlineStr">
        <is>
          <t>568921</t>
        </is>
      </c>
      <c r="B3325" s="114" t="n">
        <v>17373</v>
      </c>
      <c r="C3325" s="114" t="inlineStr">
        <is>
          <t>United Kingdom</t>
        </is>
      </c>
      <c r="D3325" s="114" t="inlineStr">
        <is>
          <t>23295</t>
        </is>
      </c>
      <c r="E3325" s="114" t="inlineStr">
        <is>
          <t>SET OF 12 MINI LOAF BAKING CASES</t>
        </is>
      </c>
      <c r="F3325" s="114" t="n">
        <v>8</v>
      </c>
      <c r="G3325" s="115" t="n">
        <v>0.83</v>
      </c>
      <c r="H3325" s="115" t="n">
        <v>6.64</v>
      </c>
      <c r="I3325" s="116" t="n">
        <v>40815</v>
      </c>
    </row>
    <row r="3326">
      <c r="A3326" s="117" t="inlineStr">
        <is>
          <t>568938</t>
        </is>
      </c>
      <c r="B3326" s="117" t="n">
        <v>17220</v>
      </c>
      <c r="C3326" s="117" t="inlineStr">
        <is>
          <t>United Kingdom</t>
        </is>
      </c>
      <c r="D3326" s="117" t="inlineStr">
        <is>
          <t>22570</t>
        </is>
      </c>
      <c r="E3326" s="117" t="inlineStr">
        <is>
          <t>FELTCRAFT CUSHION RABBIT</t>
        </is>
      </c>
      <c r="F3326" s="117" t="n">
        <v>1</v>
      </c>
      <c r="G3326" s="118" t="n">
        <v>3.75</v>
      </c>
      <c r="H3326" s="118" t="n">
        <v>3.75</v>
      </c>
      <c r="I3326" s="119" t="n">
        <v>40815</v>
      </c>
    </row>
    <row r="3327">
      <c r="A3327" s="114" t="inlineStr">
        <is>
          <t>568950</t>
        </is>
      </c>
      <c r="B3327" s="114" t="n">
        <v>12458</v>
      </c>
      <c r="C3327" s="114" t="inlineStr">
        <is>
          <t>Switzerland</t>
        </is>
      </c>
      <c r="D3327" s="114" t="inlineStr">
        <is>
          <t>22138</t>
        </is>
      </c>
      <c r="E3327" s="114" t="inlineStr">
        <is>
          <t xml:space="preserve">BAKING SET 9 PIECE RETROSPOT </t>
        </is>
      </c>
      <c r="F3327" s="114" t="n">
        <v>3</v>
      </c>
      <c r="G3327" s="115" t="n">
        <v>4.95</v>
      </c>
      <c r="H3327" s="115" t="n">
        <v>14.85</v>
      </c>
      <c r="I3327" s="116" t="n">
        <v>40815</v>
      </c>
    </row>
    <row r="3328">
      <c r="A3328" s="117" t="inlineStr">
        <is>
          <t>568997</t>
        </is>
      </c>
      <c r="B3328" s="117" t="n">
        <v>16233</v>
      </c>
      <c r="C3328" s="117" t="inlineStr">
        <is>
          <t>United Kingdom</t>
        </is>
      </c>
      <c r="D3328" s="117" t="inlineStr">
        <is>
          <t>23517</t>
        </is>
      </c>
      <c r="E3328" s="117" t="inlineStr">
        <is>
          <t xml:space="preserve">EMBROIDERED RIBBON REEL REBECCA </t>
        </is>
      </c>
      <c r="F3328" s="117" t="n">
        <v>6</v>
      </c>
      <c r="G3328" s="118" t="n">
        <v>2.89</v>
      </c>
      <c r="H3328" s="118" t="n">
        <v>17.34</v>
      </c>
      <c r="I3328" s="119" t="n">
        <v>40815</v>
      </c>
    </row>
    <row r="3329">
      <c r="A3329" s="114" t="inlineStr">
        <is>
          <t>569001</t>
        </is>
      </c>
      <c r="B3329" s="114" t="n">
        <v>12703</v>
      </c>
      <c r="C3329" s="114" t="inlineStr">
        <is>
          <t>Germany</t>
        </is>
      </c>
      <c r="D3329" s="114" t="inlineStr">
        <is>
          <t>22302</t>
        </is>
      </c>
      <c r="E3329" s="114" t="inlineStr">
        <is>
          <t>COFFEE MUG PEARS  DESIGN</t>
        </is>
      </c>
      <c r="F3329" s="114" t="n">
        <v>6</v>
      </c>
      <c r="G3329" s="115" t="n">
        <v>2.55</v>
      </c>
      <c r="H3329" s="115" t="n">
        <v>15.3</v>
      </c>
      <c r="I3329" s="116" t="n">
        <v>40815</v>
      </c>
    </row>
    <row r="3330">
      <c r="A3330" s="117" t="inlineStr">
        <is>
          <t>569001</t>
        </is>
      </c>
      <c r="B3330" s="117" t="n">
        <v>12703</v>
      </c>
      <c r="C3330" s="117" t="inlineStr">
        <is>
          <t>Germany</t>
        </is>
      </c>
      <c r="D3330" s="117" t="inlineStr">
        <is>
          <t>22328</t>
        </is>
      </c>
      <c r="E3330" s="117" t="inlineStr">
        <is>
          <t xml:space="preserve">ROUND SNACK BOXES SET OF 4 FRUITS </t>
        </is>
      </c>
      <c r="F3330" s="117" t="n">
        <v>6</v>
      </c>
      <c r="G3330" s="118" t="n">
        <v>2.95</v>
      </c>
      <c r="H3330" s="118" t="n">
        <v>17.7</v>
      </c>
      <c r="I3330" s="119" t="n">
        <v>40815</v>
      </c>
    </row>
    <row r="3331">
      <c r="A3331" s="114" t="inlineStr">
        <is>
          <t>569005</t>
        </is>
      </c>
      <c r="B3331" s="114" t="n">
        <v>16268</v>
      </c>
      <c r="C3331" s="114" t="inlineStr">
        <is>
          <t>United Kingdom</t>
        </is>
      </c>
      <c r="D3331" s="114" t="inlineStr">
        <is>
          <t>16156S</t>
        </is>
      </c>
      <c r="E3331" s="114" t="inlineStr">
        <is>
          <t xml:space="preserve">WRAP PINK FAIRY CAKES </t>
        </is>
      </c>
      <c r="F3331" s="114" t="n">
        <v>25</v>
      </c>
      <c r="G3331" s="115" t="n">
        <v>0.42</v>
      </c>
      <c r="H3331" s="115" t="n">
        <v>10.5</v>
      </c>
      <c r="I3331" s="116" t="n">
        <v>40815</v>
      </c>
    </row>
    <row r="3332">
      <c r="A3332" s="117" t="inlineStr">
        <is>
          <t>569007</t>
        </is>
      </c>
      <c r="B3332" s="117" t="n">
        <v>17552</v>
      </c>
      <c r="C3332" s="117" t="inlineStr">
        <is>
          <t>United Kingdom</t>
        </is>
      </c>
      <c r="D3332" s="117" t="inlineStr">
        <is>
          <t>47566</t>
        </is>
      </c>
      <c r="E3332" s="117" t="inlineStr">
        <is>
          <t>PARTY BUNTING</t>
        </is>
      </c>
      <c r="F3332" s="117" t="n">
        <v>4</v>
      </c>
      <c r="G3332" s="118" t="n">
        <v>4.95</v>
      </c>
      <c r="H3332" s="118" t="n">
        <v>19.8</v>
      </c>
      <c r="I3332" s="119" t="n">
        <v>40815</v>
      </c>
    </row>
    <row r="3333">
      <c r="A3333" s="114" t="inlineStr">
        <is>
          <t>569007</t>
        </is>
      </c>
      <c r="B3333" s="114" t="n">
        <v>17552</v>
      </c>
      <c r="C3333" s="114" t="inlineStr">
        <is>
          <t>United Kingdom</t>
        </is>
      </c>
      <c r="D3333" s="114" t="inlineStr">
        <is>
          <t>22749</t>
        </is>
      </c>
      <c r="E3333" s="114" t="inlineStr">
        <is>
          <t>FELTCRAFT PRINCESS CHARLOTTE DOLL</t>
        </is>
      </c>
      <c r="F3333" s="114" t="n">
        <v>8</v>
      </c>
      <c r="G3333" s="115" t="n">
        <v>3.75</v>
      </c>
      <c r="H3333" s="115" t="n">
        <v>30</v>
      </c>
      <c r="I3333" s="116" t="n">
        <v>40815</v>
      </c>
    </row>
    <row r="3334">
      <c r="A3334" s="117" t="inlineStr">
        <is>
          <t>569008</t>
        </is>
      </c>
      <c r="B3334" s="117" t="n">
        <v>15114</v>
      </c>
      <c r="C3334" s="117" t="inlineStr">
        <is>
          <t>United Kingdom</t>
        </is>
      </c>
      <c r="D3334" s="117" t="inlineStr">
        <is>
          <t>21830</t>
        </is>
      </c>
      <c r="E3334" s="117" t="inlineStr">
        <is>
          <t>ASSORTED CREEPY CRAWLIES</t>
        </is>
      </c>
      <c r="F3334" s="117" t="n">
        <v>24</v>
      </c>
      <c r="G3334" s="118" t="n">
        <v>0.42</v>
      </c>
      <c r="H3334" s="118" t="n">
        <v>10.08</v>
      </c>
      <c r="I3334" s="119" t="n">
        <v>40815</v>
      </c>
    </row>
    <row r="3335">
      <c r="A3335" s="114" t="inlineStr">
        <is>
          <t>569015</t>
        </is>
      </c>
      <c r="B3335" s="114" t="n">
        <v>13575</v>
      </c>
      <c r="C3335" s="114" t="inlineStr">
        <is>
          <t>United Kingdom</t>
        </is>
      </c>
      <c r="D3335" s="114" t="inlineStr">
        <is>
          <t>82494L</t>
        </is>
      </c>
      <c r="E3335" s="114" t="inlineStr">
        <is>
          <t xml:space="preserve">WOODEN FRAME ANTIQUE WHITE </t>
        </is>
      </c>
      <c r="F3335" s="114" t="n">
        <v>6</v>
      </c>
      <c r="G3335" s="115" t="n">
        <v>2.95</v>
      </c>
      <c r="H3335" s="115" t="n">
        <v>17.7</v>
      </c>
      <c r="I3335" s="116" t="n">
        <v>40816</v>
      </c>
    </row>
    <row r="3336">
      <c r="A3336" s="117" t="inlineStr">
        <is>
          <t>569017</t>
        </is>
      </c>
      <c r="B3336" s="117" t="n">
        <v>13813</v>
      </c>
      <c r="C3336" s="117" t="inlineStr">
        <is>
          <t>Germany</t>
        </is>
      </c>
      <c r="D3336" s="117" t="inlineStr">
        <is>
          <t>23518</t>
        </is>
      </c>
      <c r="E3336" s="117" t="inlineStr">
        <is>
          <t xml:space="preserve">EMBROIDERED RIBBON REEL RACHEL </t>
        </is>
      </c>
      <c r="F3336" s="117" t="n">
        <v>6</v>
      </c>
      <c r="G3336" s="118" t="n">
        <v>2.89</v>
      </c>
      <c r="H3336" s="118" t="n">
        <v>17.34</v>
      </c>
      <c r="I3336" s="119" t="n">
        <v>40816</v>
      </c>
    </row>
    <row r="3337">
      <c r="A3337" s="114" t="inlineStr">
        <is>
          <t>569037</t>
        </is>
      </c>
      <c r="B3337" s="114" t="n">
        <v>13263</v>
      </c>
      <c r="C3337" s="114" t="inlineStr">
        <is>
          <t>United Kingdom</t>
        </is>
      </c>
      <c r="D3337" s="114" t="inlineStr">
        <is>
          <t>21175</t>
        </is>
      </c>
      <c r="E3337" s="114" t="inlineStr">
        <is>
          <t>GIN + TONIC DIET METAL SIGN</t>
        </is>
      </c>
      <c r="F3337" s="114" t="n">
        <v>2</v>
      </c>
      <c r="G3337" s="115" t="n">
        <v>2.55</v>
      </c>
      <c r="H3337" s="115" t="n">
        <v>5.1</v>
      </c>
      <c r="I3337" s="116" t="n">
        <v>40816</v>
      </c>
    </row>
    <row r="3338">
      <c r="A3338" s="117" t="inlineStr">
        <is>
          <t>569089</t>
        </is>
      </c>
      <c r="B3338" s="117" t="n">
        <v>13764</v>
      </c>
      <c r="C3338" s="117" t="inlineStr">
        <is>
          <t>United Kingdom</t>
        </is>
      </c>
      <c r="D3338" s="117" t="inlineStr">
        <is>
          <t>85049E</t>
        </is>
      </c>
      <c r="E3338" s="117" t="inlineStr">
        <is>
          <t>SCANDINAVIAN REDS RIBBONS</t>
        </is>
      </c>
      <c r="F3338" s="117" t="n">
        <v>6</v>
      </c>
      <c r="G3338" s="118" t="n">
        <v>1.25</v>
      </c>
      <c r="H3338" s="118" t="n">
        <v>7.5</v>
      </c>
      <c r="I3338" s="119" t="n">
        <v>40816</v>
      </c>
    </row>
    <row r="3339">
      <c r="A3339" s="114" t="inlineStr">
        <is>
          <t>569089</t>
        </is>
      </c>
      <c r="B3339" s="114" t="n">
        <v>13764</v>
      </c>
      <c r="C3339" s="114" t="inlineStr">
        <is>
          <t>United Kingdom</t>
        </is>
      </c>
      <c r="D3339" s="114" t="inlineStr">
        <is>
          <t>23264</t>
        </is>
      </c>
      <c r="E3339" s="114" t="inlineStr">
        <is>
          <t>SET OF 3 WOODEN SLEIGH DECORATIONS</t>
        </is>
      </c>
      <c r="F3339" s="114" t="n">
        <v>5</v>
      </c>
      <c r="G3339" s="115" t="n">
        <v>1.25</v>
      </c>
      <c r="H3339" s="115" t="n">
        <v>6.25</v>
      </c>
      <c r="I3339" s="116" t="n">
        <v>40816</v>
      </c>
    </row>
    <row r="3340">
      <c r="A3340" s="117" t="inlineStr">
        <is>
          <t>569110</t>
        </is>
      </c>
      <c r="B3340" s="117" t="n">
        <v>17675</v>
      </c>
      <c r="C3340" s="117" t="inlineStr">
        <is>
          <t>United Kingdom</t>
        </is>
      </c>
      <c r="D3340" s="117" t="inlineStr">
        <is>
          <t>22149</t>
        </is>
      </c>
      <c r="E3340" s="117" t="inlineStr">
        <is>
          <t>FELTCRAFT 6 FLOWER FRIENDS</t>
        </is>
      </c>
      <c r="F3340" s="117" t="n">
        <v>6</v>
      </c>
      <c r="G3340" s="118" t="n">
        <v>2.1</v>
      </c>
      <c r="H3340" s="118" t="n">
        <v>12.6</v>
      </c>
      <c r="I3340" s="119" t="n">
        <v>40816</v>
      </c>
    </row>
    <row r="3341">
      <c r="A3341" s="114" t="inlineStr">
        <is>
          <t>569110</t>
        </is>
      </c>
      <c r="B3341" s="114" t="n">
        <v>17675</v>
      </c>
      <c r="C3341" s="114" t="inlineStr">
        <is>
          <t>United Kingdom</t>
        </is>
      </c>
      <c r="D3341" s="114" t="inlineStr">
        <is>
          <t>23206</t>
        </is>
      </c>
      <c r="E3341" s="114" t="inlineStr">
        <is>
          <t>LUNCH BAG APPLE DESIGN</t>
        </is>
      </c>
      <c r="F3341" s="114" t="n">
        <v>10</v>
      </c>
      <c r="G3341" s="115" t="n">
        <v>1.65</v>
      </c>
      <c r="H3341" s="115" t="n">
        <v>16.5</v>
      </c>
      <c r="I3341" s="116" t="n">
        <v>40816</v>
      </c>
    </row>
    <row r="3342">
      <c r="A3342" s="117" t="inlineStr">
        <is>
          <t>569122</t>
        </is>
      </c>
      <c r="B3342" s="117" t="n">
        <v>12694</v>
      </c>
      <c r="C3342" s="117" t="inlineStr">
        <is>
          <t>France</t>
        </is>
      </c>
      <c r="D3342" s="117" t="inlineStr">
        <is>
          <t>21200</t>
        </is>
      </c>
      <c r="E3342" s="117" t="inlineStr">
        <is>
          <t>MULTICOLOUR HONEYCOMB PAPER GARLAND</t>
        </is>
      </c>
      <c r="F3342" s="117" t="n">
        <v>12</v>
      </c>
      <c r="G3342" s="118" t="n">
        <v>1.65</v>
      </c>
      <c r="H3342" s="118" t="n">
        <v>19.8</v>
      </c>
      <c r="I3342" s="119" t="n">
        <v>40816</v>
      </c>
    </row>
    <row r="3343">
      <c r="A3343" s="114" t="inlineStr">
        <is>
          <t>569123</t>
        </is>
      </c>
      <c r="B3343" s="114" t="n">
        <v>12748</v>
      </c>
      <c r="C3343" s="114" t="inlineStr">
        <is>
          <t>United Kingdom</t>
        </is>
      </c>
      <c r="D3343" s="114" t="inlineStr">
        <is>
          <t>23301</t>
        </is>
      </c>
      <c r="E3343" s="114" t="inlineStr">
        <is>
          <t xml:space="preserve">GARDENERS KNEELING PAD KEEP CALM </t>
        </is>
      </c>
      <c r="F3343" s="114" t="n">
        <v>2</v>
      </c>
      <c r="G3343" s="115" t="n">
        <v>1.65</v>
      </c>
      <c r="H3343" s="115" t="n">
        <v>3.3</v>
      </c>
      <c r="I3343" s="116" t="n">
        <v>40816</v>
      </c>
    </row>
    <row r="3344">
      <c r="A3344" s="117" t="inlineStr">
        <is>
          <t>569134</t>
        </is>
      </c>
      <c r="B3344" s="117" t="n">
        <v>15411</v>
      </c>
      <c r="C3344" s="117" t="inlineStr">
        <is>
          <t>United Kingdom</t>
        </is>
      </c>
      <c r="D3344" s="117" t="inlineStr">
        <is>
          <t>22910</t>
        </is>
      </c>
      <c r="E3344" s="117" t="inlineStr">
        <is>
          <t>PAPER CHAIN KIT VINTAGE CHRISTMAS</t>
        </is>
      </c>
      <c r="F3344" s="117" t="n">
        <v>6</v>
      </c>
      <c r="G3344" s="118" t="n">
        <v>2.95</v>
      </c>
      <c r="H3344" s="118" t="n">
        <v>17.7</v>
      </c>
      <c r="I3344" s="119" t="n">
        <v>40816</v>
      </c>
    </row>
    <row r="3345">
      <c r="A3345" s="114" t="inlineStr">
        <is>
          <t>569136</t>
        </is>
      </c>
      <c r="B3345" s="114" t="n">
        <v>15834</v>
      </c>
      <c r="C3345" s="114" t="inlineStr">
        <is>
          <t>United Kingdom</t>
        </is>
      </c>
      <c r="D3345" s="114" t="inlineStr">
        <is>
          <t>22564</t>
        </is>
      </c>
      <c r="E3345" s="114" t="inlineStr">
        <is>
          <t>ALPHABET STENCIL CRAFT</t>
        </is>
      </c>
      <c r="F3345" s="114" t="n">
        <v>2</v>
      </c>
      <c r="G3345" s="115" t="n">
        <v>1.25</v>
      </c>
      <c r="H3345" s="115" t="n">
        <v>2.5</v>
      </c>
      <c r="I3345" s="116" t="n">
        <v>40816</v>
      </c>
    </row>
    <row r="3346">
      <c r="A3346" s="117" t="inlineStr">
        <is>
          <t>569148</t>
        </is>
      </c>
      <c r="B3346" s="117" t="n">
        <v>16613</v>
      </c>
      <c r="C3346" s="117" t="inlineStr">
        <is>
          <t>United Kingdom</t>
        </is>
      </c>
      <c r="D3346" s="117" t="inlineStr">
        <is>
          <t>23439</t>
        </is>
      </c>
      <c r="E3346" s="117" t="inlineStr">
        <is>
          <t>HAND WARMER RED LOVE HEART</t>
        </is>
      </c>
      <c r="F3346" s="117" t="n">
        <v>12</v>
      </c>
      <c r="G3346" s="118" t="n">
        <v>2.1</v>
      </c>
      <c r="H3346" s="118" t="n">
        <v>25.2</v>
      </c>
      <c r="I3346" s="119" t="n">
        <v>40816</v>
      </c>
    </row>
    <row r="3347">
      <c r="A3347" s="114" t="inlineStr">
        <is>
          <t>569148</t>
        </is>
      </c>
      <c r="B3347" s="114" t="n">
        <v>16613</v>
      </c>
      <c r="C3347" s="114" t="inlineStr">
        <is>
          <t>United Kingdom</t>
        </is>
      </c>
      <c r="D3347" s="114" t="inlineStr">
        <is>
          <t>22113</t>
        </is>
      </c>
      <c r="E3347" s="114" t="inlineStr">
        <is>
          <t>GREY HEART HOT WATER BOTTLE</t>
        </is>
      </c>
      <c r="F3347" s="114" t="n">
        <v>4</v>
      </c>
      <c r="G3347" s="115" t="n">
        <v>4.25</v>
      </c>
      <c r="H3347" s="115" t="n">
        <v>17</v>
      </c>
      <c r="I3347" s="116" t="n">
        <v>40816</v>
      </c>
    </row>
    <row r="3348">
      <c r="A3348" s="117" t="inlineStr">
        <is>
          <t>569205</t>
        </is>
      </c>
      <c r="B3348" s="117" t="n">
        <v>16923</v>
      </c>
      <c r="C3348" s="117" t="inlineStr">
        <is>
          <t>United Kingdom</t>
        </is>
      </c>
      <c r="D3348" s="117" t="inlineStr">
        <is>
          <t>23396</t>
        </is>
      </c>
      <c r="E3348" s="117" t="inlineStr">
        <is>
          <t>LE JARDIN BOTANIQUE CUSHION COVER</t>
        </is>
      </c>
      <c r="F3348" s="117" t="n">
        <v>5</v>
      </c>
      <c r="G3348" s="118" t="n">
        <v>3.75</v>
      </c>
      <c r="H3348" s="118" t="n">
        <v>18.75</v>
      </c>
      <c r="I3348" s="119" t="n">
        <v>40818</v>
      </c>
    </row>
    <row r="3349">
      <c r="A3349" s="114" t="inlineStr">
        <is>
          <t>569207</t>
        </is>
      </c>
      <c r="B3349" s="114" t="n">
        <v>17811</v>
      </c>
      <c r="C3349" s="114" t="inlineStr">
        <is>
          <t>United Kingdom</t>
        </is>
      </c>
      <c r="D3349" s="114" t="inlineStr">
        <is>
          <t>22381</t>
        </is>
      </c>
      <c r="E3349" s="114" t="inlineStr">
        <is>
          <t>TOY TIDY PINK POLKADOT</t>
        </is>
      </c>
      <c r="F3349" s="114" t="n">
        <v>3</v>
      </c>
      <c r="G3349" s="115" t="n">
        <v>2.1</v>
      </c>
      <c r="H3349" s="115" t="n">
        <v>6.3</v>
      </c>
      <c r="I3349" s="116" t="n">
        <v>40818</v>
      </c>
    </row>
    <row r="3350">
      <c r="A3350" s="117" t="inlineStr">
        <is>
          <t>569211</t>
        </is>
      </c>
      <c r="B3350" s="117" t="n">
        <v>15774</v>
      </c>
      <c r="C3350" s="117" t="inlineStr">
        <is>
          <t>United Kingdom</t>
        </is>
      </c>
      <c r="D3350" s="117" t="inlineStr">
        <is>
          <t>23330</t>
        </is>
      </c>
      <c r="E3350" s="117" t="inlineStr">
        <is>
          <t>DECORATIVE WICKER HEART MEDIUM</t>
        </is>
      </c>
      <c r="F3350" s="117" t="n">
        <v>6</v>
      </c>
      <c r="G3350" s="118" t="n">
        <v>1.25</v>
      </c>
      <c r="H3350" s="118" t="n">
        <v>7.5</v>
      </c>
      <c r="I3350" s="119" t="n">
        <v>40818</v>
      </c>
    </row>
    <row r="3351">
      <c r="A3351" s="114" t="inlineStr">
        <is>
          <t>569218</t>
        </is>
      </c>
      <c r="B3351" s="114" t="n">
        <v>15952</v>
      </c>
      <c r="C3351" s="114" t="inlineStr">
        <is>
          <t>United Kingdom</t>
        </is>
      </c>
      <c r="D3351" s="114" t="inlineStr">
        <is>
          <t>22865</t>
        </is>
      </c>
      <c r="E3351" s="114" t="inlineStr">
        <is>
          <t>HAND WARMER OWL DESIGN</t>
        </is>
      </c>
      <c r="F3351" s="114" t="n">
        <v>4</v>
      </c>
      <c r="G3351" s="115" t="n">
        <v>2.1</v>
      </c>
      <c r="H3351" s="115" t="n">
        <v>8.4</v>
      </c>
      <c r="I3351" s="116" t="n">
        <v>40818</v>
      </c>
    </row>
    <row r="3352">
      <c r="A3352" s="117" t="inlineStr">
        <is>
          <t>569219</t>
        </is>
      </c>
      <c r="B3352" s="117" t="n">
        <v>13558</v>
      </c>
      <c r="C3352" s="117" t="inlineStr">
        <is>
          <t>United Kingdom</t>
        </is>
      </c>
      <c r="D3352" s="117" t="inlineStr">
        <is>
          <t>23350</t>
        </is>
      </c>
      <c r="E3352" s="117" t="inlineStr">
        <is>
          <t xml:space="preserve">ROLL WRAP VINTAGE SPOT </t>
        </is>
      </c>
      <c r="F3352" s="117" t="n">
        <v>12</v>
      </c>
      <c r="G3352" s="118" t="n">
        <v>1.25</v>
      </c>
      <c r="H3352" s="118" t="n">
        <v>15</v>
      </c>
      <c r="I3352" s="119" t="n">
        <v>40818</v>
      </c>
    </row>
    <row r="3353">
      <c r="A3353" s="114" t="inlineStr">
        <is>
          <t>569219</t>
        </is>
      </c>
      <c r="B3353" s="114" t="n">
        <v>13558</v>
      </c>
      <c r="C3353" s="114" t="inlineStr">
        <is>
          <t>United Kingdom</t>
        </is>
      </c>
      <c r="D3353" s="114" t="inlineStr">
        <is>
          <t>21689</t>
        </is>
      </c>
      <c r="E3353" s="114" t="inlineStr">
        <is>
          <t>SILVER VANILLA  FLOWER CANDLE POT</t>
        </is>
      </c>
      <c r="F3353" s="114" t="n">
        <v>1</v>
      </c>
      <c r="G3353" s="115" t="n">
        <v>3.75</v>
      </c>
      <c r="H3353" s="115" t="n">
        <v>3.75</v>
      </c>
      <c r="I3353" s="116" t="n">
        <v>40818</v>
      </c>
    </row>
    <row r="3354">
      <c r="A3354" s="117" t="inlineStr">
        <is>
          <t>569219</t>
        </is>
      </c>
      <c r="B3354" s="117" t="n">
        <v>13558</v>
      </c>
      <c r="C3354" s="117" t="inlineStr">
        <is>
          <t>United Kingdom</t>
        </is>
      </c>
      <c r="D3354" s="117" t="inlineStr">
        <is>
          <t>22600</t>
        </is>
      </c>
      <c r="E3354" s="117" t="inlineStr">
        <is>
          <t>CHRISTMAS RETROSPOT STAR WOOD</t>
        </is>
      </c>
      <c r="F3354" s="117" t="n">
        <v>3</v>
      </c>
      <c r="G3354" s="118" t="n">
        <v>0.85</v>
      </c>
      <c r="H3354" s="118" t="n">
        <v>2.55</v>
      </c>
      <c r="I3354" s="119" t="n">
        <v>40818</v>
      </c>
    </row>
    <row r="3355">
      <c r="A3355" s="114" t="inlineStr">
        <is>
          <t>569219</t>
        </is>
      </c>
      <c r="B3355" s="114" t="n">
        <v>13558</v>
      </c>
      <c r="C3355" s="114" t="inlineStr">
        <is>
          <t>United Kingdom</t>
        </is>
      </c>
      <c r="D3355" s="114" t="inlineStr">
        <is>
          <t>22110</t>
        </is>
      </c>
      <c r="E3355" s="114" t="inlineStr">
        <is>
          <t>BIRD HOUSE HOT WATER BOTTLE</t>
        </is>
      </c>
      <c r="F3355" s="114" t="n">
        <v>1</v>
      </c>
      <c r="G3355" s="115" t="n">
        <v>2.55</v>
      </c>
      <c r="H3355" s="115" t="n">
        <v>2.55</v>
      </c>
      <c r="I3355" s="116" t="n">
        <v>40818</v>
      </c>
    </row>
    <row r="3356">
      <c r="A3356" s="117" t="inlineStr">
        <is>
          <t>569219</t>
        </is>
      </c>
      <c r="B3356" s="117" t="n">
        <v>13558</v>
      </c>
      <c r="C3356" s="117" t="inlineStr">
        <is>
          <t>United Kingdom</t>
        </is>
      </c>
      <c r="D3356" s="117" t="inlineStr">
        <is>
          <t>21485</t>
        </is>
      </c>
      <c r="E3356" s="117" t="inlineStr">
        <is>
          <t>RETROSPOT HEART HOT WATER BOTTLE</t>
        </is>
      </c>
      <c r="F3356" s="117" t="n">
        <v>1</v>
      </c>
      <c r="G3356" s="118" t="n">
        <v>4.95</v>
      </c>
      <c r="H3356" s="118" t="n">
        <v>4.95</v>
      </c>
      <c r="I3356" s="119" t="n">
        <v>40818</v>
      </c>
    </row>
    <row r="3357">
      <c r="A3357" s="114" t="inlineStr">
        <is>
          <t>569220</t>
        </is>
      </c>
      <c r="B3357" s="114" t="n">
        <v>16007</v>
      </c>
      <c r="C3357" s="114" t="inlineStr">
        <is>
          <t>United Kingdom</t>
        </is>
      </c>
      <c r="D3357" s="114" t="inlineStr">
        <is>
          <t>23313</t>
        </is>
      </c>
      <c r="E3357" s="114" t="inlineStr">
        <is>
          <t>VINTAGE CHRISTMAS BUNTING</t>
        </is>
      </c>
      <c r="F3357" s="114" t="n">
        <v>4</v>
      </c>
      <c r="G3357" s="115" t="n">
        <v>4.95</v>
      </c>
      <c r="H3357" s="115" t="n">
        <v>19.8</v>
      </c>
      <c r="I3357" s="116" t="n">
        <v>40818</v>
      </c>
    </row>
    <row r="3358">
      <c r="A3358" s="117" t="inlineStr">
        <is>
          <t>569220</t>
        </is>
      </c>
      <c r="B3358" s="117" t="n">
        <v>16007</v>
      </c>
      <c r="C3358" s="117" t="inlineStr">
        <is>
          <t>United Kingdom</t>
        </is>
      </c>
      <c r="D3358" s="117" t="inlineStr">
        <is>
          <t>85032D</t>
        </is>
      </c>
      <c r="E3358" s="117" t="inlineStr">
        <is>
          <t>YULETIDE IMAGES GIFT WRAP SET</t>
        </is>
      </c>
      <c r="F3358" s="117" t="n">
        <v>4</v>
      </c>
      <c r="G3358" s="118" t="n">
        <v>0.65</v>
      </c>
      <c r="H3358" s="118" t="n">
        <v>2.6</v>
      </c>
      <c r="I3358" s="119" t="n">
        <v>40818</v>
      </c>
    </row>
    <row r="3359">
      <c r="A3359" s="114" t="inlineStr">
        <is>
          <t>569220</t>
        </is>
      </c>
      <c r="B3359" s="114" t="n">
        <v>16007</v>
      </c>
      <c r="C3359" s="114" t="inlineStr">
        <is>
          <t>United Kingdom</t>
        </is>
      </c>
      <c r="D3359" s="114" t="inlineStr">
        <is>
          <t>16161P</t>
        </is>
      </c>
      <c r="E3359" s="114" t="inlineStr">
        <is>
          <t xml:space="preserve">WRAP ENGLISH ROSE </t>
        </is>
      </c>
      <c r="F3359" s="114" t="n">
        <v>25</v>
      </c>
      <c r="G3359" s="115" t="n">
        <v>0.42</v>
      </c>
      <c r="H3359" s="115" t="n">
        <v>10.5</v>
      </c>
      <c r="I3359" s="116" t="n">
        <v>40818</v>
      </c>
    </row>
    <row r="3360">
      <c r="A3360" s="117" t="inlineStr">
        <is>
          <t>569223</t>
        </is>
      </c>
      <c r="B3360" s="117" t="n">
        <v>16283</v>
      </c>
      <c r="C3360" s="117" t="inlineStr">
        <is>
          <t>United Kingdom</t>
        </is>
      </c>
      <c r="D3360" s="117" t="inlineStr">
        <is>
          <t>22817</t>
        </is>
      </c>
      <c r="E3360" s="117" t="inlineStr">
        <is>
          <t>CARD SUKI BIRTHDAY</t>
        </is>
      </c>
      <c r="F3360" s="117" t="n">
        <v>12</v>
      </c>
      <c r="G3360" s="118" t="n">
        <v>0.42</v>
      </c>
      <c r="H3360" s="118" t="n">
        <v>5.04</v>
      </c>
      <c r="I3360" s="119" t="n">
        <v>40818</v>
      </c>
    </row>
    <row r="3361">
      <c r="A3361" s="114" t="inlineStr">
        <is>
          <t>569224</t>
        </is>
      </c>
      <c r="B3361" s="114" t="n">
        <v>15701</v>
      </c>
      <c r="C3361" s="114" t="inlineStr">
        <is>
          <t>United Kingdom</t>
        </is>
      </c>
      <c r="D3361" s="114" t="inlineStr">
        <is>
          <t>23263</t>
        </is>
      </c>
      <c r="E3361" s="114" t="inlineStr">
        <is>
          <t>SET OF 3 WOODEN HEART DECORATIONS</t>
        </is>
      </c>
      <c r="F3361" s="114" t="n">
        <v>2</v>
      </c>
      <c r="G3361" s="115" t="n">
        <v>1.25</v>
      </c>
      <c r="H3361" s="115" t="n">
        <v>2.5</v>
      </c>
      <c r="I3361" s="116" t="n">
        <v>40818</v>
      </c>
    </row>
    <row r="3362">
      <c r="A3362" s="117" t="inlineStr">
        <is>
          <t>569224</t>
        </is>
      </c>
      <c r="B3362" s="117" t="n">
        <v>15701</v>
      </c>
      <c r="C3362" s="117" t="inlineStr">
        <is>
          <t>United Kingdom</t>
        </is>
      </c>
      <c r="D3362" s="117" t="inlineStr">
        <is>
          <t>22614</t>
        </is>
      </c>
      <c r="E3362" s="117" t="inlineStr">
        <is>
          <t>PACK OF 12 SPACEBOY TISSUES</t>
        </is>
      </c>
      <c r="F3362" s="117" t="n">
        <v>1</v>
      </c>
      <c r="G3362" s="118" t="n">
        <v>0.39</v>
      </c>
      <c r="H3362" s="118" t="n">
        <v>0.39</v>
      </c>
      <c r="I3362" s="119" t="n">
        <v>40818</v>
      </c>
    </row>
    <row r="3363">
      <c r="A3363" s="114" t="inlineStr">
        <is>
          <t>569228</t>
        </is>
      </c>
      <c r="B3363" s="114" t="n">
        <v>15547</v>
      </c>
      <c r="C3363" s="114" t="inlineStr">
        <is>
          <t>United Kingdom</t>
        </is>
      </c>
      <c r="D3363" s="114" t="inlineStr">
        <is>
          <t>84581</t>
        </is>
      </c>
      <c r="E3363" s="114" t="inlineStr">
        <is>
          <t>DOG TOY WITH PINK CROCHET SKIRT</t>
        </is>
      </c>
      <c r="F3363" s="114" t="n">
        <v>1</v>
      </c>
      <c r="G3363" s="115" t="n">
        <v>3.75</v>
      </c>
      <c r="H3363" s="115" t="n">
        <v>3.75</v>
      </c>
      <c r="I3363" s="116" t="n">
        <v>40818</v>
      </c>
    </row>
    <row r="3364">
      <c r="A3364" s="117" t="inlineStr">
        <is>
          <t>569229</t>
        </is>
      </c>
      <c r="B3364" s="117" t="n">
        <v>14502</v>
      </c>
      <c r="C3364" s="117" t="inlineStr">
        <is>
          <t>United Kingdom</t>
        </is>
      </c>
      <c r="D3364" s="117" t="inlineStr">
        <is>
          <t>23329</t>
        </is>
      </c>
      <c r="E3364" s="117" t="inlineStr">
        <is>
          <t>DECORATIVE WICKER HEART LARGE</t>
        </is>
      </c>
      <c r="F3364" s="117" t="n">
        <v>2</v>
      </c>
      <c r="G3364" s="118" t="n">
        <v>1.65</v>
      </c>
      <c r="H3364" s="118" t="n">
        <v>3.3</v>
      </c>
      <c r="I3364" s="119" t="n">
        <v>40818</v>
      </c>
    </row>
    <row r="3365">
      <c r="A3365" s="114" t="inlineStr">
        <is>
          <t>569229</t>
        </is>
      </c>
      <c r="B3365" s="114" t="n">
        <v>14502</v>
      </c>
      <c r="C3365" s="114" t="inlineStr">
        <is>
          <t>United Kingdom</t>
        </is>
      </c>
      <c r="D3365" s="114" t="inlineStr">
        <is>
          <t>22294</t>
        </is>
      </c>
      <c r="E3365" s="114" t="inlineStr">
        <is>
          <t>HEART FILIGREE DOVE  SMALL</t>
        </is>
      </c>
      <c r="F3365" s="114" t="n">
        <v>3</v>
      </c>
      <c r="G3365" s="115" t="n">
        <v>1.25</v>
      </c>
      <c r="H3365" s="115" t="n">
        <v>3.75</v>
      </c>
      <c r="I3365" s="116" t="n">
        <v>40818</v>
      </c>
    </row>
    <row r="3366">
      <c r="A3366" s="117" t="inlineStr">
        <is>
          <t>569231</t>
        </is>
      </c>
      <c r="B3366" s="117" t="n">
        <v>13379</v>
      </c>
      <c r="C3366" s="117" t="inlineStr">
        <is>
          <t>United Kingdom</t>
        </is>
      </c>
      <c r="D3366" s="117" t="inlineStr">
        <is>
          <t>20956</t>
        </is>
      </c>
      <c r="E3366" s="117" t="inlineStr">
        <is>
          <t>PORCELAIN T-LIGHT HOLDERS ASSORTED</t>
        </is>
      </c>
      <c r="F3366" s="117" t="n">
        <v>5</v>
      </c>
      <c r="G3366" s="118" t="n">
        <v>1.25</v>
      </c>
      <c r="H3366" s="118" t="n">
        <v>6.25</v>
      </c>
      <c r="I3366" s="119" t="n">
        <v>40818</v>
      </c>
    </row>
    <row r="3367">
      <c r="A3367" s="114" t="inlineStr">
        <is>
          <t>569232</t>
        </is>
      </c>
      <c r="B3367" s="114" t="n">
        <v>16667</v>
      </c>
      <c r="C3367" s="114" t="inlineStr">
        <is>
          <t>United Kingdom</t>
        </is>
      </c>
      <c r="D3367" s="114" t="inlineStr">
        <is>
          <t>22165</t>
        </is>
      </c>
      <c r="E3367" s="114" t="inlineStr">
        <is>
          <t xml:space="preserve">DIAMANTE HEART SHAPED WALL MIRROR, </t>
        </is>
      </c>
      <c r="F3367" s="114" t="n">
        <v>2</v>
      </c>
      <c r="G3367" s="115" t="n">
        <v>12.75</v>
      </c>
      <c r="H3367" s="115" t="n">
        <v>25.5</v>
      </c>
      <c r="I3367" s="116" t="n">
        <v>40818</v>
      </c>
    </row>
    <row r="3368">
      <c r="A3368" s="117" t="inlineStr">
        <is>
          <t>569234</t>
        </is>
      </c>
      <c r="B3368" s="117" t="n">
        <v>17841</v>
      </c>
      <c r="C3368" s="117" t="inlineStr">
        <is>
          <t>United Kingdom</t>
        </is>
      </c>
      <c r="D3368" s="117" t="inlineStr">
        <is>
          <t>22063</t>
        </is>
      </c>
      <c r="E3368" s="117" t="inlineStr">
        <is>
          <t>CERAMIC BOWL WITH STRAWBERRY DESIGN</t>
        </is>
      </c>
      <c r="F3368" s="117" t="n">
        <v>1</v>
      </c>
      <c r="G3368" s="118" t="n">
        <v>2.95</v>
      </c>
      <c r="H3368" s="118" t="n">
        <v>2.95</v>
      </c>
      <c r="I3368" s="119" t="n">
        <v>40818</v>
      </c>
    </row>
    <row r="3369">
      <c r="A3369" s="114" t="inlineStr">
        <is>
          <t>569234</t>
        </is>
      </c>
      <c r="B3369" s="114" t="n">
        <v>17841</v>
      </c>
      <c r="C3369" s="114" t="inlineStr">
        <is>
          <t>United Kingdom</t>
        </is>
      </c>
      <c r="D3369" s="114" t="inlineStr">
        <is>
          <t>21955</t>
        </is>
      </c>
      <c r="E3369" s="114" t="inlineStr">
        <is>
          <t>DOORMAT UNION JACK GUNS AND ROSES</t>
        </is>
      </c>
      <c r="F3369" s="114" t="n">
        <v>1</v>
      </c>
      <c r="G3369" s="115" t="n">
        <v>8.25</v>
      </c>
      <c r="H3369" s="115" t="n">
        <v>8.25</v>
      </c>
      <c r="I3369" s="116" t="n">
        <v>40818</v>
      </c>
    </row>
    <row r="3370">
      <c r="A3370" s="117" t="inlineStr">
        <is>
          <t>569234</t>
        </is>
      </c>
      <c r="B3370" s="117" t="n">
        <v>17841</v>
      </c>
      <c r="C3370" s="117" t="inlineStr">
        <is>
          <t>United Kingdom</t>
        </is>
      </c>
      <c r="D3370" s="117" t="inlineStr">
        <is>
          <t>21756</t>
        </is>
      </c>
      <c r="E3370" s="117" t="inlineStr">
        <is>
          <t>BATH BUILDING BLOCK WORD</t>
        </is>
      </c>
      <c r="F3370" s="117" t="n">
        <v>1</v>
      </c>
      <c r="G3370" s="118" t="n">
        <v>6.25</v>
      </c>
      <c r="H3370" s="118" t="n">
        <v>6.25</v>
      </c>
      <c r="I3370" s="119" t="n">
        <v>40818</v>
      </c>
    </row>
    <row r="3371">
      <c r="A3371" s="114" t="inlineStr">
        <is>
          <t>569241</t>
        </is>
      </c>
      <c r="B3371" s="114" t="n">
        <v>14488</v>
      </c>
      <c r="C3371" s="114" t="inlineStr">
        <is>
          <t>United Kingdom</t>
        </is>
      </c>
      <c r="D3371" s="114" t="inlineStr">
        <is>
          <t>23439</t>
        </is>
      </c>
      <c r="E3371" s="114" t="inlineStr">
        <is>
          <t>HAND WARMER RED LOVE HEART</t>
        </is>
      </c>
      <c r="F3371" s="114" t="n">
        <v>12</v>
      </c>
      <c r="G3371" s="115" t="n">
        <v>2.1</v>
      </c>
      <c r="H3371" s="115" t="n">
        <v>25.2</v>
      </c>
      <c r="I3371" s="116" t="n">
        <v>40819</v>
      </c>
    </row>
    <row r="3372">
      <c r="A3372" s="117" t="inlineStr">
        <is>
          <t>569246</t>
        </is>
      </c>
      <c r="B3372" s="117" t="n">
        <v>14096</v>
      </c>
      <c r="C3372" s="117" t="inlineStr">
        <is>
          <t>United Kingdom</t>
        </is>
      </c>
      <c r="D3372" s="117" t="inlineStr">
        <is>
          <t>21892</t>
        </is>
      </c>
      <c r="E3372" s="117" t="inlineStr">
        <is>
          <t xml:space="preserve">TRADITIONAL WOODEN CATCH CUP GAME </t>
        </is>
      </c>
      <c r="F3372" s="117" t="n">
        <v>4</v>
      </c>
      <c r="G3372" s="118" t="n">
        <v>2.46</v>
      </c>
      <c r="H3372" s="118" t="n">
        <v>9.84</v>
      </c>
      <c r="I3372" s="119" t="n">
        <v>40819</v>
      </c>
    </row>
    <row r="3373">
      <c r="A3373" s="114" t="inlineStr">
        <is>
          <t>569246</t>
        </is>
      </c>
      <c r="B3373" s="114" t="n">
        <v>14096</v>
      </c>
      <c r="C3373" s="114" t="inlineStr">
        <is>
          <t>United Kingdom</t>
        </is>
      </c>
      <c r="D3373" s="114" t="inlineStr">
        <is>
          <t>21035</t>
        </is>
      </c>
      <c r="E3373" s="114" t="inlineStr">
        <is>
          <t xml:space="preserve">SET/2 RED RETROSPOT TEA TOWELS </t>
        </is>
      </c>
      <c r="F3373" s="114" t="n">
        <v>2</v>
      </c>
      <c r="G3373" s="115" t="n">
        <v>6.63</v>
      </c>
      <c r="H3373" s="115" t="n">
        <v>13.26</v>
      </c>
      <c r="I3373" s="116" t="n">
        <v>40819</v>
      </c>
    </row>
    <row r="3374">
      <c r="A3374" s="117" t="inlineStr">
        <is>
          <t>569248</t>
        </is>
      </c>
      <c r="B3374" s="117" t="n">
        <v>12886</v>
      </c>
      <c r="C3374" s="117" t="inlineStr">
        <is>
          <t>United Kingdom</t>
        </is>
      </c>
      <c r="D3374" s="117" t="inlineStr">
        <is>
          <t>22952</t>
        </is>
      </c>
      <c r="E3374" s="117" t="inlineStr">
        <is>
          <t>60 CAKE CASES VINTAGE CHRISTMAS</t>
        </is>
      </c>
      <c r="F3374" s="117" t="n">
        <v>24</v>
      </c>
      <c r="G3374" s="118" t="n">
        <v>0.55</v>
      </c>
      <c r="H3374" s="118" t="n">
        <v>13.2</v>
      </c>
      <c r="I3374" s="119" t="n">
        <v>40819</v>
      </c>
    </row>
    <row r="3375">
      <c r="A3375" s="114" t="inlineStr">
        <is>
          <t>569254</t>
        </is>
      </c>
      <c r="B3375" s="114" t="n">
        <v>18116</v>
      </c>
      <c r="C3375" s="114" t="inlineStr">
        <is>
          <t>United Kingdom</t>
        </is>
      </c>
      <c r="D3375" s="114" t="inlineStr">
        <is>
          <t>85123A</t>
        </is>
      </c>
      <c r="E3375" s="114" t="inlineStr">
        <is>
          <t>WHITE HANGING HEART T-LIGHT HOLDER</t>
        </is>
      </c>
      <c r="F3375" s="114" t="n">
        <v>3</v>
      </c>
      <c r="G3375" s="115" t="n">
        <v>2.95</v>
      </c>
      <c r="H3375" s="115" t="n">
        <v>8.85</v>
      </c>
      <c r="I3375" s="116" t="n">
        <v>40819</v>
      </c>
    </row>
    <row r="3376">
      <c r="A3376" s="117" t="inlineStr">
        <is>
          <t>569261</t>
        </is>
      </c>
      <c r="B3376" s="117" t="n">
        <v>17321</v>
      </c>
      <c r="C3376" s="117" t="inlineStr">
        <is>
          <t>United Kingdom</t>
        </is>
      </c>
      <c r="D3376" s="117" t="inlineStr">
        <is>
          <t>22564</t>
        </is>
      </c>
      <c r="E3376" s="117" t="inlineStr">
        <is>
          <t>ALPHABET STENCIL CRAFT</t>
        </is>
      </c>
      <c r="F3376" s="117" t="n">
        <v>1</v>
      </c>
      <c r="G3376" s="118" t="n">
        <v>1.25</v>
      </c>
      <c r="H3376" s="118" t="n">
        <v>1.25</v>
      </c>
      <c r="I3376" s="119" t="n">
        <v>40819</v>
      </c>
    </row>
    <row r="3377">
      <c r="A3377" s="114" t="inlineStr">
        <is>
          <t>569261</t>
        </is>
      </c>
      <c r="B3377" s="114" t="n">
        <v>17321</v>
      </c>
      <c r="C3377" s="114" t="inlineStr">
        <is>
          <t>United Kingdom</t>
        </is>
      </c>
      <c r="D3377" s="114" t="inlineStr">
        <is>
          <t>23372</t>
        </is>
      </c>
      <c r="E3377" s="114" t="inlineStr">
        <is>
          <t>SET 36 COLOUR PENCILS DOLLY GIRL</t>
        </is>
      </c>
      <c r="F3377" s="114" t="n">
        <v>1</v>
      </c>
      <c r="G3377" s="115" t="n">
        <v>1.25</v>
      </c>
      <c r="H3377" s="115" t="n">
        <v>1.25</v>
      </c>
      <c r="I3377" s="116" t="n">
        <v>40819</v>
      </c>
    </row>
    <row r="3378">
      <c r="A3378" s="117" t="inlineStr">
        <is>
          <t>569302</t>
        </is>
      </c>
      <c r="B3378" s="117" t="n">
        <v>16205</v>
      </c>
      <c r="C3378" s="117" t="inlineStr">
        <is>
          <t>United Kingdom</t>
        </is>
      </c>
      <c r="D3378" s="117" t="inlineStr">
        <is>
          <t>84945</t>
        </is>
      </c>
      <c r="E3378" s="117" t="inlineStr">
        <is>
          <t>MULTI COLOUR SILVER T-LIGHT HOLDER</t>
        </is>
      </c>
      <c r="F3378" s="117" t="n">
        <v>12</v>
      </c>
      <c r="G3378" s="118" t="n">
        <v>0.85</v>
      </c>
      <c r="H3378" s="118" t="n">
        <v>10.2</v>
      </c>
      <c r="I3378" s="119" t="n">
        <v>40819</v>
      </c>
    </row>
    <row r="3379">
      <c r="A3379" s="114" t="inlineStr">
        <is>
          <t>569326</t>
        </is>
      </c>
      <c r="B3379" s="114" t="n">
        <v>14360</v>
      </c>
      <c r="C3379" s="114" t="inlineStr">
        <is>
          <t>United Kingdom</t>
        </is>
      </c>
      <c r="D3379" s="114" t="inlineStr">
        <is>
          <t>23356</t>
        </is>
      </c>
      <c r="E3379" s="114" t="inlineStr">
        <is>
          <t>LOVE HOT WATER BOTTLE</t>
        </is>
      </c>
      <c r="F3379" s="114" t="n">
        <v>3</v>
      </c>
      <c r="G3379" s="115" t="n">
        <v>5.95</v>
      </c>
      <c r="H3379" s="115" t="n">
        <v>17.85</v>
      </c>
      <c r="I3379" s="116" t="n">
        <v>40819</v>
      </c>
    </row>
    <row r="3380">
      <c r="A3380" s="117" t="inlineStr">
        <is>
          <t>569329</t>
        </is>
      </c>
      <c r="B3380" s="117" t="n">
        <v>17652</v>
      </c>
      <c r="C3380" s="117" t="inlineStr">
        <is>
          <t>United Kingdom</t>
        </is>
      </c>
      <c r="D3380" s="117" t="inlineStr">
        <is>
          <t>84596B</t>
        </is>
      </c>
      <c r="E3380" s="117" t="inlineStr">
        <is>
          <t>SMALL DOLLY MIX DESIGN ORANGE BOWL</t>
        </is>
      </c>
      <c r="F3380" s="117" t="n">
        <v>16</v>
      </c>
      <c r="G3380" s="118" t="n">
        <v>0.42</v>
      </c>
      <c r="H3380" s="118" t="n">
        <v>6.72</v>
      </c>
      <c r="I3380" s="119" t="n">
        <v>40819</v>
      </c>
    </row>
    <row r="3381">
      <c r="A3381" s="114" t="inlineStr">
        <is>
          <t>569331</t>
        </is>
      </c>
      <c r="B3381" s="114" t="n">
        <v>16875</v>
      </c>
      <c r="C3381" s="114" t="inlineStr">
        <is>
          <t>United Kingdom</t>
        </is>
      </c>
      <c r="D3381" s="114" t="inlineStr">
        <is>
          <t>23367</t>
        </is>
      </c>
      <c r="E3381" s="114" t="inlineStr">
        <is>
          <t xml:space="preserve">SET 12 COLOUR PENCILS SPACEBOY </t>
        </is>
      </c>
      <c r="F3381" s="114" t="n">
        <v>16</v>
      </c>
      <c r="G3381" s="115" t="n">
        <v>0.65</v>
      </c>
      <c r="H3381" s="115" t="n">
        <v>10.4</v>
      </c>
      <c r="I3381" s="116" t="n">
        <v>40819</v>
      </c>
    </row>
    <row r="3382">
      <c r="A3382" s="117" t="inlineStr">
        <is>
          <t>569331</t>
        </is>
      </c>
      <c r="B3382" s="117" t="n">
        <v>16875</v>
      </c>
      <c r="C3382" s="117" t="inlineStr">
        <is>
          <t>United Kingdom</t>
        </is>
      </c>
      <c r="D3382" s="117" t="inlineStr">
        <is>
          <t>22690</t>
        </is>
      </c>
      <c r="E3382" s="117" t="inlineStr">
        <is>
          <t xml:space="preserve">DOORMAT HOME SWEET HOME BLUE </t>
        </is>
      </c>
      <c r="F3382" s="117" t="n">
        <v>2</v>
      </c>
      <c r="G3382" s="118" t="n">
        <v>7.95</v>
      </c>
      <c r="H3382" s="118" t="n">
        <v>15.9</v>
      </c>
      <c r="I3382" s="119" t="n">
        <v>40819</v>
      </c>
    </row>
    <row r="3383">
      <c r="A3383" s="114" t="inlineStr">
        <is>
          <t>569331</t>
        </is>
      </c>
      <c r="B3383" s="114" t="n">
        <v>16875</v>
      </c>
      <c r="C3383" s="114" t="inlineStr">
        <is>
          <t>United Kingdom</t>
        </is>
      </c>
      <c r="D3383" s="114" t="inlineStr">
        <is>
          <t>84347</t>
        </is>
      </c>
      <c r="E3383" s="114" t="inlineStr">
        <is>
          <t>ROTATING SILVER ANGELS T-LIGHT HLDR</t>
        </is>
      </c>
      <c r="F3383" s="114" t="n">
        <v>6</v>
      </c>
      <c r="G3383" s="115" t="n">
        <v>2.55</v>
      </c>
      <c r="H3383" s="115" t="n">
        <v>15.3</v>
      </c>
      <c r="I3383" s="116" t="n">
        <v>40819</v>
      </c>
    </row>
    <row r="3384">
      <c r="A3384" s="117" t="inlineStr">
        <is>
          <t>569333</t>
        </is>
      </c>
      <c r="B3384" s="117" t="n">
        <v>13431</v>
      </c>
      <c r="C3384" s="117" t="inlineStr">
        <is>
          <t>United Kingdom</t>
        </is>
      </c>
      <c r="D3384" s="117" t="inlineStr">
        <is>
          <t>23203</t>
        </is>
      </c>
      <c r="E3384" s="117" t="inlineStr">
        <is>
          <t xml:space="preserve">JUMBO BAG VINTAGE DOILY </t>
        </is>
      </c>
      <c r="F3384" s="117" t="n">
        <v>10</v>
      </c>
      <c r="G3384" s="118" t="n">
        <v>2.08</v>
      </c>
      <c r="H3384" s="118" t="n">
        <v>20.8</v>
      </c>
      <c r="I3384" s="119" t="n">
        <v>40819</v>
      </c>
    </row>
    <row r="3385">
      <c r="A3385" s="114" t="inlineStr">
        <is>
          <t>569333</t>
        </is>
      </c>
      <c r="B3385" s="114" t="n">
        <v>13431</v>
      </c>
      <c r="C3385" s="114" t="inlineStr">
        <is>
          <t>United Kingdom</t>
        </is>
      </c>
      <c r="D3385" s="114" t="inlineStr">
        <is>
          <t>22768</t>
        </is>
      </c>
      <c r="E3385" s="114" t="inlineStr">
        <is>
          <t>FAMILY PHOTO FRAME CORNICE</t>
        </is>
      </c>
      <c r="F3385" s="114" t="n">
        <v>6</v>
      </c>
      <c r="G3385" s="115" t="n">
        <v>9.949999999999999</v>
      </c>
      <c r="H3385" s="115" t="n">
        <v>59.7</v>
      </c>
      <c r="I3385" s="116" t="n">
        <v>40819</v>
      </c>
    </row>
    <row r="3386">
      <c r="A3386" s="117" t="inlineStr">
        <is>
          <t>569360</t>
        </is>
      </c>
      <c r="B3386" s="117" t="n">
        <v>14653</v>
      </c>
      <c r="C3386" s="117" t="inlineStr">
        <is>
          <t>United Kingdom</t>
        </is>
      </c>
      <c r="D3386" s="117" t="inlineStr">
        <is>
          <t>22722</t>
        </is>
      </c>
      <c r="E3386" s="117" t="inlineStr">
        <is>
          <t>SET OF 6 SPICE TINS PANTRY DESIGN</t>
        </is>
      </c>
      <c r="F3386" s="117" t="n">
        <v>1</v>
      </c>
      <c r="G3386" s="118" t="n">
        <v>3.95</v>
      </c>
      <c r="H3386" s="118" t="n">
        <v>3.95</v>
      </c>
      <c r="I3386" s="119" t="n">
        <v>40819</v>
      </c>
    </row>
    <row r="3387">
      <c r="A3387" s="114" t="inlineStr">
        <is>
          <t>569361</t>
        </is>
      </c>
      <c r="B3387" s="114" t="n">
        <v>16183</v>
      </c>
      <c r="C3387" s="114" t="inlineStr">
        <is>
          <t>United Kingdom</t>
        </is>
      </c>
      <c r="D3387" s="114" t="inlineStr">
        <is>
          <t>23344</t>
        </is>
      </c>
      <c r="E3387" s="114" t="inlineStr">
        <is>
          <t xml:space="preserve">JUMBO BAG 50'S CHRISTMAS </t>
        </is>
      </c>
      <c r="F3387" s="114" t="n">
        <v>10</v>
      </c>
      <c r="G3387" s="115" t="n">
        <v>2.08</v>
      </c>
      <c r="H3387" s="115" t="n">
        <v>20.8</v>
      </c>
      <c r="I3387" s="116" t="n">
        <v>40819</v>
      </c>
    </row>
    <row r="3388">
      <c r="A3388" s="117" t="inlineStr">
        <is>
          <t>569367</t>
        </is>
      </c>
      <c r="B3388" s="117" t="n">
        <v>13994</v>
      </c>
      <c r="C3388" s="117" t="inlineStr">
        <is>
          <t>United Kingdom</t>
        </is>
      </c>
      <c r="D3388" s="117" t="inlineStr">
        <is>
          <t>22026</t>
        </is>
      </c>
      <c r="E3388" s="117" t="inlineStr">
        <is>
          <t xml:space="preserve">BANQUET BIRTHDAY  CARD  </t>
        </is>
      </c>
      <c r="F3388" s="117" t="n">
        <v>12</v>
      </c>
      <c r="G3388" s="118" t="n">
        <v>0.42</v>
      </c>
      <c r="H3388" s="118" t="n">
        <v>5.04</v>
      </c>
      <c r="I3388" s="119" t="n">
        <v>40819</v>
      </c>
    </row>
    <row r="3389">
      <c r="A3389" s="114" t="inlineStr">
        <is>
          <t>569371</t>
        </is>
      </c>
      <c r="B3389" s="114" t="n">
        <v>14651</v>
      </c>
      <c r="C3389" s="114" t="inlineStr">
        <is>
          <t>United Kingdom</t>
        </is>
      </c>
      <c r="D3389" s="114" t="inlineStr">
        <is>
          <t>72122</t>
        </is>
      </c>
      <c r="E3389" s="114" t="inlineStr">
        <is>
          <t>COFFEE SCENT PILLAR CANDLE</t>
        </is>
      </c>
      <c r="F3389" s="114" t="n">
        <v>3</v>
      </c>
      <c r="G3389" s="115" t="n">
        <v>0.95</v>
      </c>
      <c r="H3389" s="115" t="n">
        <v>2.85</v>
      </c>
      <c r="I3389" s="116" t="n">
        <v>40819</v>
      </c>
    </row>
    <row r="3390">
      <c r="A3390" s="117" t="inlineStr">
        <is>
          <t>569397</t>
        </is>
      </c>
      <c r="B3390" s="117" t="n">
        <v>12747</v>
      </c>
      <c r="C3390" s="117" t="inlineStr">
        <is>
          <t>United Kingdom</t>
        </is>
      </c>
      <c r="D3390" s="117" t="inlineStr">
        <is>
          <t>85123A</t>
        </is>
      </c>
      <c r="E3390" s="117" t="inlineStr">
        <is>
          <t>WHITE HANGING HEART T-LIGHT HOLDER</t>
        </is>
      </c>
      <c r="F3390" s="117" t="n">
        <v>12</v>
      </c>
      <c r="G3390" s="118" t="n">
        <v>2.95</v>
      </c>
      <c r="H3390" s="118" t="n">
        <v>35.4</v>
      </c>
      <c r="I3390" s="119" t="n">
        <v>40820</v>
      </c>
    </row>
    <row r="3391">
      <c r="A3391" s="114" t="inlineStr">
        <is>
          <t>569401</t>
        </is>
      </c>
      <c r="B3391" s="114" t="n">
        <v>15111</v>
      </c>
      <c r="C3391" s="114" t="inlineStr">
        <is>
          <t>United Kingdom</t>
        </is>
      </c>
      <c r="D3391" s="114" t="inlineStr">
        <is>
          <t>21479</t>
        </is>
      </c>
      <c r="E3391" s="114" t="inlineStr">
        <is>
          <t xml:space="preserve">WHITE SKULL HOT WATER BOTTLE </t>
        </is>
      </c>
      <c r="F3391" s="114" t="n">
        <v>4</v>
      </c>
      <c r="G3391" s="115" t="n">
        <v>4.25</v>
      </c>
      <c r="H3391" s="115" t="n">
        <v>17</v>
      </c>
      <c r="I3391" s="116" t="n">
        <v>40820</v>
      </c>
    </row>
    <row r="3392">
      <c r="A3392" s="117" t="inlineStr">
        <is>
          <t>569401</t>
        </is>
      </c>
      <c r="B3392" s="117" t="n">
        <v>15111</v>
      </c>
      <c r="C3392" s="117" t="inlineStr">
        <is>
          <t>United Kingdom</t>
        </is>
      </c>
      <c r="D3392" s="117" t="inlineStr">
        <is>
          <t>23271</t>
        </is>
      </c>
      <c r="E3392" s="117" t="inlineStr">
        <is>
          <t>CHRISTMAS TABLE SILVER CANDLE SPIKE</t>
        </is>
      </c>
      <c r="F3392" s="117" t="n">
        <v>16</v>
      </c>
      <c r="G3392" s="118" t="n">
        <v>0.83</v>
      </c>
      <c r="H3392" s="118" t="n">
        <v>13.28</v>
      </c>
      <c r="I3392" s="119" t="n">
        <v>40820</v>
      </c>
    </row>
    <row r="3393">
      <c r="A3393" s="114" t="inlineStr">
        <is>
          <t>569401</t>
        </is>
      </c>
      <c r="B3393" s="114" t="n">
        <v>15111</v>
      </c>
      <c r="C3393" s="114" t="inlineStr">
        <is>
          <t>United Kingdom</t>
        </is>
      </c>
      <c r="D3393" s="114" t="inlineStr">
        <is>
          <t>22594</t>
        </is>
      </c>
      <c r="E3393" s="114" t="inlineStr">
        <is>
          <t>CHRISTMAS GINGHAM TREE</t>
        </is>
      </c>
      <c r="F3393" s="114" t="n">
        <v>12</v>
      </c>
      <c r="G3393" s="115" t="n">
        <v>0.85</v>
      </c>
      <c r="H3393" s="115" t="n">
        <v>10.2</v>
      </c>
      <c r="I3393" s="116" t="n">
        <v>40820</v>
      </c>
    </row>
    <row r="3394">
      <c r="A3394" s="117" t="inlineStr">
        <is>
          <t>569406</t>
        </is>
      </c>
      <c r="B3394" s="117" t="n">
        <v>16253</v>
      </c>
      <c r="C3394" s="117" t="inlineStr">
        <is>
          <t>United Kingdom</t>
        </is>
      </c>
      <c r="D3394" s="117" t="inlineStr">
        <is>
          <t>22422</t>
        </is>
      </c>
      <c r="E3394" s="117" t="inlineStr">
        <is>
          <t>TOOTHPASTE TUBE PEN</t>
        </is>
      </c>
      <c r="F3394" s="117" t="n">
        <v>24</v>
      </c>
      <c r="G3394" s="118" t="n">
        <v>0.65</v>
      </c>
      <c r="H3394" s="118" t="n">
        <v>15.6</v>
      </c>
      <c r="I3394" s="119" t="n">
        <v>40820</v>
      </c>
    </row>
    <row r="3395">
      <c r="A3395" s="114" t="inlineStr">
        <is>
          <t>569416</t>
        </is>
      </c>
      <c r="B3395" s="114" t="n">
        <v>13801</v>
      </c>
      <c r="C3395" s="114" t="inlineStr">
        <is>
          <t>United Kingdom</t>
        </is>
      </c>
      <c r="D3395" s="114" t="inlineStr">
        <is>
          <t>22283</t>
        </is>
      </c>
      <c r="E3395" s="114" t="inlineStr">
        <is>
          <t>6 EGG HOUSE PAINTED WOOD</t>
        </is>
      </c>
      <c r="F3395" s="114" t="n">
        <v>2</v>
      </c>
      <c r="G3395" s="115" t="n">
        <v>7.95</v>
      </c>
      <c r="H3395" s="115" t="n">
        <v>15.9</v>
      </c>
      <c r="I3395" s="116" t="n">
        <v>40820</v>
      </c>
    </row>
    <row r="3396">
      <c r="A3396" s="117" t="inlineStr">
        <is>
          <t>569416</t>
        </is>
      </c>
      <c r="B3396" s="117" t="n">
        <v>13801</v>
      </c>
      <c r="C3396" s="117" t="inlineStr">
        <is>
          <t>United Kingdom</t>
        </is>
      </c>
      <c r="D3396" s="117" t="inlineStr">
        <is>
          <t>22284</t>
        </is>
      </c>
      <c r="E3396" s="117" t="inlineStr">
        <is>
          <t>HEN HOUSE DECORATION</t>
        </is>
      </c>
      <c r="F3396" s="117" t="n">
        <v>12</v>
      </c>
      <c r="G3396" s="118" t="n">
        <v>1.65</v>
      </c>
      <c r="H3396" s="118" t="n">
        <v>19.8</v>
      </c>
      <c r="I3396" s="119" t="n">
        <v>40820</v>
      </c>
    </row>
    <row r="3397">
      <c r="A3397" s="114" t="inlineStr">
        <is>
          <t>569424</t>
        </is>
      </c>
      <c r="B3397" s="114" t="n">
        <v>15529</v>
      </c>
      <c r="C3397" s="114" t="inlineStr">
        <is>
          <t>United Kingdom</t>
        </is>
      </c>
      <c r="D3397" s="114" t="inlineStr">
        <is>
          <t>22436</t>
        </is>
      </c>
      <c r="E3397" s="114" t="inlineStr">
        <is>
          <t>12 COLOURED PARTY BALLOONS</t>
        </is>
      </c>
      <c r="F3397" s="114" t="n">
        <v>10</v>
      </c>
      <c r="G3397" s="115" t="n">
        <v>0.65</v>
      </c>
      <c r="H3397" s="115" t="n">
        <v>6.5</v>
      </c>
      <c r="I3397" s="116" t="n">
        <v>40820</v>
      </c>
    </row>
    <row r="3398">
      <c r="A3398" s="117" t="inlineStr">
        <is>
          <t>569424</t>
        </is>
      </c>
      <c r="B3398" s="117" t="n">
        <v>15529</v>
      </c>
      <c r="C3398" s="117" t="inlineStr">
        <is>
          <t>United Kingdom</t>
        </is>
      </c>
      <c r="D3398" s="117" t="inlineStr">
        <is>
          <t>23504</t>
        </is>
      </c>
      <c r="E3398" s="117" t="inlineStr">
        <is>
          <t>PLAYING CARDS JUBILEE UNION JACK</t>
        </is>
      </c>
      <c r="F3398" s="117" t="n">
        <v>6</v>
      </c>
      <c r="G3398" s="118" t="n">
        <v>1.25</v>
      </c>
      <c r="H3398" s="118" t="n">
        <v>7.5</v>
      </c>
      <c r="I3398" s="119" t="n">
        <v>40820</v>
      </c>
    </row>
    <row r="3399">
      <c r="A3399" s="114" t="inlineStr">
        <is>
          <t>569467</t>
        </is>
      </c>
      <c r="B3399" s="114" t="n">
        <v>14291</v>
      </c>
      <c r="C3399" s="114" t="inlineStr">
        <is>
          <t>United Kingdom</t>
        </is>
      </c>
      <c r="D3399" s="114" t="inlineStr">
        <is>
          <t>22629</t>
        </is>
      </c>
      <c r="E3399" s="114" t="inlineStr">
        <is>
          <t xml:space="preserve">SPACEBOY LUNCH BOX </t>
        </is>
      </c>
      <c r="F3399" s="114" t="n">
        <v>12</v>
      </c>
      <c r="G3399" s="115" t="n">
        <v>1.95</v>
      </c>
      <c r="H3399" s="115" t="n">
        <v>23.4</v>
      </c>
      <c r="I3399" s="116" t="n">
        <v>40820</v>
      </c>
    </row>
    <row r="3400">
      <c r="A3400" s="117" t="inlineStr">
        <is>
          <t>569479</t>
        </is>
      </c>
      <c r="B3400" s="117" t="n">
        <v>13408</v>
      </c>
      <c r="C3400" s="117" t="inlineStr">
        <is>
          <t>United Kingdom</t>
        </is>
      </c>
      <c r="D3400" s="117" t="inlineStr">
        <is>
          <t>23353</t>
        </is>
      </c>
      <c r="E3400" s="117" t="inlineStr">
        <is>
          <t xml:space="preserve">6 GIFT TAGS VINTAGE CHRISTMAS </t>
        </is>
      </c>
      <c r="F3400" s="117" t="n">
        <v>36</v>
      </c>
      <c r="G3400" s="118" t="n">
        <v>0.83</v>
      </c>
      <c r="H3400" s="118" t="n">
        <v>29.88</v>
      </c>
      <c r="I3400" s="119" t="n">
        <v>40820</v>
      </c>
    </row>
    <row r="3401">
      <c r="A3401" s="114" t="inlineStr">
        <is>
          <t>569488</t>
        </is>
      </c>
      <c r="B3401" s="114" t="n">
        <v>16440</v>
      </c>
      <c r="C3401" s="114" t="inlineStr">
        <is>
          <t>United Kingdom</t>
        </is>
      </c>
      <c r="D3401" s="114" t="inlineStr">
        <is>
          <t>22738</t>
        </is>
      </c>
      <c r="E3401" s="114" t="inlineStr">
        <is>
          <t>RIBBON REEL SNOWY VILLAGE</t>
        </is>
      </c>
      <c r="F3401" s="114" t="n">
        <v>5</v>
      </c>
      <c r="G3401" s="115" t="n">
        <v>1.65</v>
      </c>
      <c r="H3401" s="115" t="n">
        <v>8.25</v>
      </c>
      <c r="I3401" s="116" t="n">
        <v>40820</v>
      </c>
    </row>
    <row r="3402">
      <c r="A3402" s="117" t="inlineStr">
        <is>
          <t>569488</t>
        </is>
      </c>
      <c r="B3402" s="117" t="n">
        <v>16440</v>
      </c>
      <c r="C3402" s="117" t="inlineStr">
        <is>
          <t>United Kingdom</t>
        </is>
      </c>
      <c r="D3402" s="117" t="inlineStr">
        <is>
          <t>23330</t>
        </is>
      </c>
      <c r="E3402" s="117" t="inlineStr">
        <is>
          <t>DECORATIVE WICKER HEART MEDIUM</t>
        </is>
      </c>
      <c r="F3402" s="117" t="n">
        <v>7</v>
      </c>
      <c r="G3402" s="118" t="n">
        <v>1.25</v>
      </c>
      <c r="H3402" s="118" t="n">
        <v>8.75</v>
      </c>
      <c r="I3402" s="119" t="n">
        <v>40820</v>
      </c>
    </row>
    <row r="3403">
      <c r="A3403" s="114" t="inlineStr">
        <is>
          <t>569493</t>
        </is>
      </c>
      <c r="B3403" s="114" t="n">
        <v>13317</v>
      </c>
      <c r="C3403" s="114" t="inlineStr">
        <is>
          <t>United Kingdom</t>
        </is>
      </c>
      <c r="D3403" s="114" t="inlineStr">
        <is>
          <t>22690</t>
        </is>
      </c>
      <c r="E3403" s="114" t="inlineStr">
        <is>
          <t xml:space="preserve">DOORMAT HOME SWEET HOME BLUE </t>
        </is>
      </c>
      <c r="F3403" s="114" t="n">
        <v>2</v>
      </c>
      <c r="G3403" s="115" t="n">
        <v>8.25</v>
      </c>
      <c r="H3403" s="115" t="n">
        <v>16.5</v>
      </c>
      <c r="I3403" s="116" t="n">
        <v>40820</v>
      </c>
    </row>
    <row r="3404">
      <c r="A3404" s="117" t="inlineStr">
        <is>
          <t>569519</t>
        </is>
      </c>
      <c r="B3404" s="117" t="n">
        <v>13792</v>
      </c>
      <c r="C3404" s="117" t="inlineStr">
        <is>
          <t>United Kingdom</t>
        </is>
      </c>
      <c r="D3404" s="117" t="inlineStr">
        <is>
          <t>23393</t>
        </is>
      </c>
      <c r="E3404" s="117" t="inlineStr">
        <is>
          <t xml:space="preserve">HOME SWEET HOME CUSHION COVER </t>
        </is>
      </c>
      <c r="F3404" s="117" t="n">
        <v>4</v>
      </c>
      <c r="G3404" s="118" t="n">
        <v>3.75</v>
      </c>
      <c r="H3404" s="118" t="n">
        <v>15</v>
      </c>
      <c r="I3404" s="119" t="n">
        <v>40820</v>
      </c>
    </row>
    <row r="3405">
      <c r="A3405" s="114" t="inlineStr">
        <is>
          <t>569521</t>
        </is>
      </c>
      <c r="B3405" s="114" t="n">
        <v>16474</v>
      </c>
      <c r="C3405" s="114" t="inlineStr">
        <is>
          <t>United Kingdom</t>
        </is>
      </c>
      <c r="D3405" s="114" t="inlineStr">
        <is>
          <t>21028</t>
        </is>
      </c>
      <c r="E3405" s="114" t="inlineStr">
        <is>
          <t>NINJA RABBIT BLACK</t>
        </is>
      </c>
      <c r="F3405" s="114" t="n">
        <v>1</v>
      </c>
      <c r="G3405" s="115" t="n">
        <v>1.25</v>
      </c>
      <c r="H3405" s="115" t="n">
        <v>1.25</v>
      </c>
      <c r="I3405" s="116" t="n">
        <v>40820</v>
      </c>
    </row>
    <row r="3406">
      <c r="A3406" s="117" t="inlineStr">
        <is>
          <t>569523</t>
        </is>
      </c>
      <c r="B3406" s="117" t="n">
        <v>16033</v>
      </c>
      <c r="C3406" s="117" t="inlineStr">
        <is>
          <t>United Kingdom</t>
        </is>
      </c>
      <c r="D3406" s="117" t="inlineStr">
        <is>
          <t>22361</t>
        </is>
      </c>
      <c r="E3406" s="117" t="inlineStr">
        <is>
          <t>GLASS JAR DAISY FRESH COTTON WOOL</t>
        </is>
      </c>
      <c r="F3406" s="117" t="n">
        <v>2</v>
      </c>
      <c r="G3406" s="118" t="n">
        <v>2.95</v>
      </c>
      <c r="H3406" s="118" t="n">
        <v>5.9</v>
      </c>
      <c r="I3406" s="119" t="n">
        <v>40820</v>
      </c>
    </row>
    <row r="3407">
      <c r="A3407" s="114" t="inlineStr">
        <is>
          <t>569523</t>
        </is>
      </c>
      <c r="B3407" s="114" t="n">
        <v>16033</v>
      </c>
      <c r="C3407" s="114" t="inlineStr">
        <is>
          <t>United Kingdom</t>
        </is>
      </c>
      <c r="D3407" s="114" t="inlineStr">
        <is>
          <t>22646</t>
        </is>
      </c>
      <c r="E3407" s="114" t="inlineStr">
        <is>
          <t>CERAMIC STRAWBERRY CAKE MONEY BANK</t>
        </is>
      </c>
      <c r="F3407" s="114" t="n">
        <v>4</v>
      </c>
      <c r="G3407" s="115" t="n">
        <v>1.45</v>
      </c>
      <c r="H3407" s="115" t="n">
        <v>5.8</v>
      </c>
      <c r="I3407" s="116" t="n">
        <v>40820</v>
      </c>
    </row>
    <row r="3408">
      <c r="A3408" s="117" t="inlineStr">
        <is>
          <t>569524</t>
        </is>
      </c>
      <c r="B3408" s="117" t="n">
        <v>14506</v>
      </c>
      <c r="C3408" s="117" t="inlineStr">
        <is>
          <t>United Kingdom</t>
        </is>
      </c>
      <c r="D3408" s="117" t="inlineStr">
        <is>
          <t>23511</t>
        </is>
      </c>
      <c r="E3408" s="117" t="inlineStr">
        <is>
          <t xml:space="preserve">EMBROIDERED RIBBON REEL EMILY </t>
        </is>
      </c>
      <c r="F3408" s="117" t="n">
        <v>2</v>
      </c>
      <c r="G3408" s="118" t="n">
        <v>2.08</v>
      </c>
      <c r="H3408" s="118" t="n">
        <v>4.16</v>
      </c>
      <c r="I3408" s="119" t="n">
        <v>40820</v>
      </c>
    </row>
    <row r="3409">
      <c r="A3409" s="114" t="inlineStr">
        <is>
          <t>569527</t>
        </is>
      </c>
      <c r="B3409" s="114" t="n">
        <v>12512</v>
      </c>
      <c r="C3409" s="114" t="inlineStr">
        <is>
          <t>Israel</t>
        </is>
      </c>
      <c r="D3409" s="114" t="inlineStr">
        <is>
          <t>15058A</t>
        </is>
      </c>
      <c r="E3409" s="114" t="inlineStr">
        <is>
          <t>BLUE POLKADOT GARDEN PARASOL</t>
        </is>
      </c>
      <c r="F3409" s="114" t="n">
        <v>1</v>
      </c>
      <c r="G3409" s="115" t="n">
        <v>7.95</v>
      </c>
      <c r="H3409" s="115" t="n">
        <v>7.95</v>
      </c>
      <c r="I3409" s="116" t="n">
        <v>40820</v>
      </c>
    </row>
    <row r="3410">
      <c r="A3410" s="117" t="inlineStr">
        <is>
          <t>569528</t>
        </is>
      </c>
      <c r="B3410" s="117" t="n">
        <v>16242</v>
      </c>
      <c r="C3410" s="117" t="inlineStr">
        <is>
          <t>United Kingdom</t>
        </is>
      </c>
      <c r="D3410" s="117" t="inlineStr">
        <is>
          <t>23298</t>
        </is>
      </c>
      <c r="E3410" s="117" t="inlineStr">
        <is>
          <t>SPOTTY BUNTING</t>
        </is>
      </c>
      <c r="F3410" s="117" t="n">
        <v>2</v>
      </c>
      <c r="G3410" s="118" t="n">
        <v>4.95</v>
      </c>
      <c r="H3410" s="118" t="n">
        <v>9.9</v>
      </c>
      <c r="I3410" s="119" t="n">
        <v>40820</v>
      </c>
    </row>
    <row r="3411">
      <c r="A3411" s="114" t="inlineStr">
        <is>
          <t>569528</t>
        </is>
      </c>
      <c r="B3411" s="114" t="n">
        <v>16242</v>
      </c>
      <c r="C3411" s="114" t="inlineStr">
        <is>
          <t>United Kingdom</t>
        </is>
      </c>
      <c r="D3411" s="114" t="inlineStr">
        <is>
          <t>85099B</t>
        </is>
      </c>
      <c r="E3411" s="114" t="inlineStr">
        <is>
          <t>JUMBO BAG RED RETROSPOT</t>
        </is>
      </c>
      <c r="F3411" s="114" t="n">
        <v>10</v>
      </c>
      <c r="G3411" s="115" t="n">
        <v>2.08</v>
      </c>
      <c r="H3411" s="115" t="n">
        <v>20.8</v>
      </c>
      <c r="I3411" s="116" t="n">
        <v>40820</v>
      </c>
    </row>
    <row r="3412">
      <c r="A3412" s="117" t="inlineStr">
        <is>
          <t>569536</t>
        </is>
      </c>
      <c r="B3412" s="117" t="n">
        <v>13269</v>
      </c>
      <c r="C3412" s="117" t="inlineStr">
        <is>
          <t>United Kingdom</t>
        </is>
      </c>
      <c r="D3412" s="117" t="inlineStr">
        <is>
          <t>23202</t>
        </is>
      </c>
      <c r="E3412" s="117" t="inlineStr">
        <is>
          <t>JUMBO BAG VINTAGE LEAF</t>
        </is>
      </c>
      <c r="F3412" s="117" t="n">
        <v>10</v>
      </c>
      <c r="G3412" s="118" t="n">
        <v>2.08</v>
      </c>
      <c r="H3412" s="118" t="n">
        <v>20.8</v>
      </c>
      <c r="I3412" s="119" t="n">
        <v>40820</v>
      </c>
    </row>
    <row r="3413">
      <c r="A3413" s="114" t="inlineStr">
        <is>
          <t>569555</t>
        </is>
      </c>
      <c r="B3413" s="114" t="n">
        <v>17728</v>
      </c>
      <c r="C3413" s="114" t="inlineStr">
        <is>
          <t>United Kingdom</t>
        </is>
      </c>
      <c r="D3413" s="114" t="inlineStr">
        <is>
          <t>23032</t>
        </is>
      </c>
      <c r="E3413" s="114" t="inlineStr">
        <is>
          <t>DRAWER KNOB CRACKLE GLAZE IVORY</t>
        </is>
      </c>
      <c r="F3413" s="114" t="n">
        <v>6</v>
      </c>
      <c r="G3413" s="115" t="n">
        <v>1.65</v>
      </c>
      <c r="H3413" s="115" t="n">
        <v>9.9</v>
      </c>
      <c r="I3413" s="116" t="n">
        <v>40821</v>
      </c>
    </row>
    <row r="3414">
      <c r="A3414" s="117" t="inlineStr">
        <is>
          <t>569561</t>
        </is>
      </c>
      <c r="B3414" s="117" t="n">
        <v>13468</v>
      </c>
      <c r="C3414" s="117" t="inlineStr">
        <is>
          <t>United Kingdom</t>
        </is>
      </c>
      <c r="D3414" s="117" t="inlineStr">
        <is>
          <t>37449</t>
        </is>
      </c>
      <c r="E3414" s="117" t="inlineStr">
        <is>
          <t>CERAMIC CAKE STAND + HANGING CAKES</t>
        </is>
      </c>
      <c r="F3414" s="117" t="n">
        <v>4</v>
      </c>
      <c r="G3414" s="118" t="n">
        <v>9.949999999999999</v>
      </c>
      <c r="H3414" s="118" t="n">
        <v>39.8</v>
      </c>
      <c r="I3414" s="119" t="n">
        <v>40821</v>
      </c>
    </row>
    <row r="3415">
      <c r="A3415" s="114" t="inlineStr">
        <is>
          <t>569573</t>
        </is>
      </c>
      <c r="B3415" s="114" t="n">
        <v>17511</v>
      </c>
      <c r="C3415" s="114" t="inlineStr">
        <is>
          <t>United Kingdom</t>
        </is>
      </c>
      <c r="D3415" s="114" t="inlineStr">
        <is>
          <t>23202</t>
        </is>
      </c>
      <c r="E3415" s="114" t="inlineStr">
        <is>
          <t>JUMBO BAG VINTAGE LEAF</t>
        </is>
      </c>
      <c r="F3415" s="114" t="n">
        <v>100</v>
      </c>
      <c r="G3415" s="115" t="n">
        <v>1.79</v>
      </c>
      <c r="H3415" s="115" t="n">
        <v>179</v>
      </c>
      <c r="I3415" s="116" t="n">
        <v>40821</v>
      </c>
    </row>
    <row r="3416">
      <c r="A3416" s="117" t="inlineStr">
        <is>
          <t>569573</t>
        </is>
      </c>
      <c r="B3416" s="117" t="n">
        <v>17511</v>
      </c>
      <c r="C3416" s="117" t="inlineStr">
        <is>
          <t>United Kingdom</t>
        </is>
      </c>
      <c r="D3416" s="117" t="inlineStr">
        <is>
          <t>21888</t>
        </is>
      </c>
      <c r="E3416" s="117" t="inlineStr">
        <is>
          <t>BINGO SET</t>
        </is>
      </c>
      <c r="F3416" s="117" t="n">
        <v>4</v>
      </c>
      <c r="G3416" s="118" t="n">
        <v>3.75</v>
      </c>
      <c r="H3416" s="118" t="n">
        <v>15</v>
      </c>
      <c r="I3416" s="119" t="n">
        <v>40821</v>
      </c>
    </row>
    <row r="3417">
      <c r="A3417" s="114" t="inlineStr">
        <is>
          <t>569652</t>
        </is>
      </c>
      <c r="B3417" s="114" t="n">
        <v>15628</v>
      </c>
      <c r="C3417" s="114" t="inlineStr">
        <is>
          <t>United Kingdom</t>
        </is>
      </c>
      <c r="D3417" s="114" t="inlineStr">
        <is>
          <t>23100</t>
        </is>
      </c>
      <c r="E3417" s="114" t="inlineStr">
        <is>
          <t>SILVER BELLS TABLE DECORATION</t>
        </is>
      </c>
      <c r="F3417" s="114" t="n">
        <v>12</v>
      </c>
      <c r="G3417" s="115" t="n">
        <v>1.25</v>
      </c>
      <c r="H3417" s="115" t="n">
        <v>15</v>
      </c>
      <c r="I3417" s="116" t="n">
        <v>40821</v>
      </c>
    </row>
    <row r="3418">
      <c r="A3418" s="117" t="inlineStr">
        <is>
          <t>569653</t>
        </is>
      </c>
      <c r="B3418" s="117" t="n">
        <v>12451</v>
      </c>
      <c r="C3418" s="117" t="inlineStr">
        <is>
          <t>Switzerland</t>
        </is>
      </c>
      <c r="D3418" s="117" t="inlineStr">
        <is>
          <t>21039</t>
        </is>
      </c>
      <c r="E3418" s="117" t="inlineStr">
        <is>
          <t>RED RETROSPOT SHOPPING BAG</t>
        </is>
      </c>
      <c r="F3418" s="117" t="n">
        <v>12</v>
      </c>
      <c r="G3418" s="118" t="n">
        <v>2.55</v>
      </c>
      <c r="H3418" s="118" t="n">
        <v>30.6</v>
      </c>
      <c r="I3418" s="119" t="n">
        <v>40821</v>
      </c>
    </row>
    <row r="3419">
      <c r="A3419" s="114" t="inlineStr">
        <is>
          <t>569665</t>
        </is>
      </c>
      <c r="B3419" s="114" t="n">
        <v>12789</v>
      </c>
      <c r="C3419" s="114" t="inlineStr">
        <is>
          <t>Netherlands</t>
        </is>
      </c>
      <c r="D3419" s="114" t="inlineStr">
        <is>
          <t>POST</t>
        </is>
      </c>
      <c r="E3419" s="114" t="inlineStr">
        <is>
          <t>POSTAGE</t>
        </is>
      </c>
      <c r="F3419" s="114" t="n">
        <v>1</v>
      </c>
      <c r="G3419" s="115" t="n">
        <v>15</v>
      </c>
      <c r="H3419" s="115" t="n">
        <v>15</v>
      </c>
      <c r="I3419" s="116" t="n">
        <v>40821</v>
      </c>
    </row>
    <row r="3420">
      <c r="A3420" s="117" t="inlineStr">
        <is>
          <t>569669</t>
        </is>
      </c>
      <c r="B3420" s="117" t="n">
        <v>14730</v>
      </c>
      <c r="C3420" s="117" t="inlineStr">
        <is>
          <t>United Kingdom</t>
        </is>
      </c>
      <c r="D3420" s="117" t="inlineStr">
        <is>
          <t>20866</t>
        </is>
      </c>
      <c r="E3420" s="117" t="inlineStr">
        <is>
          <t>BLUE ROSE FABRIC MIRROR</t>
        </is>
      </c>
      <c r="F3420" s="117" t="n">
        <v>1</v>
      </c>
      <c r="G3420" s="118" t="n">
        <v>1.25</v>
      </c>
      <c r="H3420" s="118" t="n">
        <v>1.25</v>
      </c>
      <c r="I3420" s="119" t="n">
        <v>40821</v>
      </c>
    </row>
    <row r="3421">
      <c r="A3421" s="114" t="inlineStr">
        <is>
          <t>569672</t>
        </is>
      </c>
      <c r="B3421" s="114" t="n">
        <v>17841</v>
      </c>
      <c r="C3421" s="114" t="inlineStr">
        <is>
          <t>United Kingdom</t>
        </is>
      </c>
      <c r="D3421" s="114" t="inlineStr">
        <is>
          <t>22411</t>
        </is>
      </c>
      <c r="E3421" s="114" t="inlineStr">
        <is>
          <t>JUMBO SHOPPER VINTAGE RED PAISLEY</t>
        </is>
      </c>
      <c r="F3421" s="114" t="n">
        <v>3</v>
      </c>
      <c r="G3421" s="115" t="n">
        <v>2.08</v>
      </c>
      <c r="H3421" s="115" t="n">
        <v>6.24</v>
      </c>
      <c r="I3421" s="116" t="n">
        <v>40821</v>
      </c>
    </row>
    <row r="3422">
      <c r="A3422" s="117" t="inlineStr">
        <is>
          <t>569672</t>
        </is>
      </c>
      <c r="B3422" s="117" t="n">
        <v>17841</v>
      </c>
      <c r="C3422" s="117" t="inlineStr">
        <is>
          <t>United Kingdom</t>
        </is>
      </c>
      <c r="D3422" s="117" t="inlineStr">
        <is>
          <t>22357</t>
        </is>
      </c>
      <c r="E3422" s="117" t="inlineStr">
        <is>
          <t>KINGS CHOICE BISCUIT TIN</t>
        </is>
      </c>
      <c r="F3422" s="117" t="n">
        <v>1</v>
      </c>
      <c r="G3422" s="118" t="n">
        <v>4.25</v>
      </c>
      <c r="H3422" s="118" t="n">
        <v>4.25</v>
      </c>
      <c r="I3422" s="119" t="n">
        <v>40821</v>
      </c>
    </row>
    <row r="3423">
      <c r="A3423" s="114" t="inlineStr">
        <is>
          <t>569690</t>
        </is>
      </c>
      <c r="B3423" s="114" t="n">
        <v>15351</v>
      </c>
      <c r="C3423" s="114" t="inlineStr">
        <is>
          <t>United Kingdom</t>
        </is>
      </c>
      <c r="D3423" s="114" t="inlineStr">
        <is>
          <t>22776</t>
        </is>
      </c>
      <c r="E3423" s="114" t="inlineStr">
        <is>
          <t xml:space="preserve">SWEETHEART 3 TIER CAKE STAND </t>
        </is>
      </c>
      <c r="F3423" s="114" t="n">
        <v>1</v>
      </c>
      <c r="G3423" s="115" t="n">
        <v>9.949999999999999</v>
      </c>
      <c r="H3423" s="115" t="n">
        <v>9.949999999999999</v>
      </c>
      <c r="I3423" s="116" t="n">
        <v>40821</v>
      </c>
    </row>
    <row r="3424">
      <c r="A3424" s="117" t="inlineStr">
        <is>
          <t>569693</t>
        </is>
      </c>
      <c r="B3424" s="117" t="n">
        <v>17837</v>
      </c>
      <c r="C3424" s="117" t="inlineStr">
        <is>
          <t>United Kingdom</t>
        </is>
      </c>
      <c r="D3424" s="117" t="inlineStr">
        <is>
          <t>85152</t>
        </is>
      </c>
      <c r="E3424" s="117" t="inlineStr">
        <is>
          <t xml:space="preserve">HAND OVER THE CHOCOLATE   SIGN </t>
        </is>
      </c>
      <c r="F3424" s="117" t="n">
        <v>4</v>
      </c>
      <c r="G3424" s="118" t="n">
        <v>2.1</v>
      </c>
      <c r="H3424" s="118" t="n">
        <v>8.4</v>
      </c>
      <c r="I3424" s="119" t="n">
        <v>40821</v>
      </c>
    </row>
    <row r="3425">
      <c r="A3425" s="114" t="inlineStr">
        <is>
          <t>569698</t>
        </is>
      </c>
      <c r="B3425" s="114" t="n">
        <v>14054</v>
      </c>
      <c r="C3425" s="114" t="inlineStr">
        <is>
          <t>United Kingdom</t>
        </is>
      </c>
      <c r="D3425" s="114" t="inlineStr">
        <is>
          <t>20726</t>
        </is>
      </c>
      <c r="E3425" s="114" t="inlineStr">
        <is>
          <t>LUNCH BAG WOODLAND</t>
        </is>
      </c>
      <c r="F3425" s="114" t="n">
        <v>10</v>
      </c>
      <c r="G3425" s="115" t="n">
        <v>1.65</v>
      </c>
      <c r="H3425" s="115" t="n">
        <v>16.5</v>
      </c>
      <c r="I3425" s="116" t="n">
        <v>40821</v>
      </c>
    </row>
    <row r="3426">
      <c r="A3426" s="117" t="inlineStr">
        <is>
          <t>569699</t>
        </is>
      </c>
      <c r="B3426" s="117" t="n">
        <v>12723</v>
      </c>
      <c r="C3426" s="117" t="inlineStr">
        <is>
          <t>France</t>
        </is>
      </c>
      <c r="D3426" s="117" t="inlineStr">
        <is>
          <t>22027</t>
        </is>
      </c>
      <c r="E3426" s="117" t="inlineStr">
        <is>
          <t>TEA PARTY BIRTHDAY CARD</t>
        </is>
      </c>
      <c r="F3426" s="117" t="n">
        <v>12</v>
      </c>
      <c r="G3426" s="118" t="n">
        <v>0.42</v>
      </c>
      <c r="H3426" s="118" t="n">
        <v>5.04</v>
      </c>
      <c r="I3426" s="119" t="n">
        <v>40821</v>
      </c>
    </row>
    <row r="3427">
      <c r="A3427" s="114" t="inlineStr">
        <is>
          <t>569714</t>
        </is>
      </c>
      <c r="B3427" s="114" t="n">
        <v>18033</v>
      </c>
      <c r="C3427" s="114" t="inlineStr">
        <is>
          <t>United Kingdom</t>
        </is>
      </c>
      <c r="D3427" s="114" t="inlineStr">
        <is>
          <t>16054</t>
        </is>
      </c>
      <c r="E3427" s="114" t="inlineStr">
        <is>
          <t>POPART RECT PENCIL SHARPENER ASST</t>
        </is>
      </c>
      <c r="F3427" s="114" t="n">
        <v>36</v>
      </c>
      <c r="G3427" s="115" t="n">
        <v>0.12</v>
      </c>
      <c r="H3427" s="115" t="n">
        <v>4.32</v>
      </c>
      <c r="I3427" s="116" t="n">
        <v>40821</v>
      </c>
    </row>
    <row r="3428">
      <c r="A3428" s="117" t="inlineStr">
        <is>
          <t>569714</t>
        </is>
      </c>
      <c r="B3428" s="117" t="n">
        <v>18033</v>
      </c>
      <c r="C3428" s="117" t="inlineStr">
        <is>
          <t>United Kingdom</t>
        </is>
      </c>
      <c r="D3428" s="117" t="inlineStr">
        <is>
          <t>23388</t>
        </is>
      </c>
      <c r="E3428" s="117" t="inlineStr">
        <is>
          <t>WOODLAND MINI BACKPACK</t>
        </is>
      </c>
      <c r="F3428" s="117" t="n">
        <v>1</v>
      </c>
      <c r="G3428" s="118" t="n">
        <v>4.15</v>
      </c>
      <c r="H3428" s="118" t="n">
        <v>4.15</v>
      </c>
      <c r="I3428" s="119" t="n">
        <v>40821</v>
      </c>
    </row>
    <row r="3429">
      <c r="A3429" s="114" t="inlineStr">
        <is>
          <t>569718</t>
        </is>
      </c>
      <c r="B3429" s="114" t="n">
        <v>15837</v>
      </c>
      <c r="C3429" s="114" t="inlineStr">
        <is>
          <t>United Kingdom</t>
        </is>
      </c>
      <c r="D3429" s="114" t="inlineStr">
        <is>
          <t>23389</t>
        </is>
      </c>
      <c r="E3429" s="114" t="inlineStr">
        <is>
          <t>SPACEBOY MINI BACKPACK</t>
        </is>
      </c>
      <c r="F3429" s="114" t="n">
        <v>4</v>
      </c>
      <c r="G3429" s="115" t="n">
        <v>4.15</v>
      </c>
      <c r="H3429" s="115" t="n">
        <v>16.6</v>
      </c>
      <c r="I3429" s="116" t="n">
        <v>40822</v>
      </c>
    </row>
    <row r="3430">
      <c r="A3430" s="117" t="inlineStr">
        <is>
          <t>569726</t>
        </is>
      </c>
      <c r="B3430" s="117" t="n">
        <v>17419</v>
      </c>
      <c r="C3430" s="117" t="inlineStr">
        <is>
          <t>United Kingdom</t>
        </is>
      </c>
      <c r="D3430" s="117" t="inlineStr">
        <is>
          <t>22189</t>
        </is>
      </c>
      <c r="E3430" s="117" t="inlineStr">
        <is>
          <t>CREAM HEART CARD HOLDER</t>
        </is>
      </c>
      <c r="F3430" s="117" t="n">
        <v>8</v>
      </c>
      <c r="G3430" s="118" t="n">
        <v>3.95</v>
      </c>
      <c r="H3430" s="118" t="n">
        <v>31.6</v>
      </c>
      <c r="I3430" s="119" t="n">
        <v>40822</v>
      </c>
    </row>
    <row r="3431">
      <c r="A3431" s="114" t="inlineStr">
        <is>
          <t>569731</t>
        </is>
      </c>
      <c r="B3431" s="114" t="n">
        <v>13999</v>
      </c>
      <c r="C3431" s="114" t="inlineStr">
        <is>
          <t>United Kingdom</t>
        </is>
      </c>
      <c r="D3431" s="114" t="inlineStr">
        <is>
          <t>23328</t>
        </is>
      </c>
      <c r="E3431" s="114" t="inlineStr">
        <is>
          <t>SET 6 SCHOOL MILK BOTTLES IN CRATE</t>
        </is>
      </c>
      <c r="F3431" s="114" t="n">
        <v>24</v>
      </c>
      <c r="G3431" s="115" t="n">
        <v>3.39</v>
      </c>
      <c r="H3431" s="115" t="n">
        <v>81.36</v>
      </c>
      <c r="I3431" s="116" t="n">
        <v>40822</v>
      </c>
    </row>
    <row r="3432">
      <c r="A3432" s="117" t="inlineStr">
        <is>
          <t>569732</t>
        </is>
      </c>
      <c r="B3432" s="117" t="n">
        <v>13177</v>
      </c>
      <c r="C3432" s="117" t="inlineStr">
        <is>
          <t>United Kingdom</t>
        </is>
      </c>
      <c r="D3432" s="117" t="inlineStr">
        <is>
          <t>22751</t>
        </is>
      </c>
      <c r="E3432" s="117" t="inlineStr">
        <is>
          <t>FELTCRAFT PRINCESS OLIVIA DOLL</t>
        </is>
      </c>
      <c r="F3432" s="117" t="n">
        <v>4</v>
      </c>
      <c r="G3432" s="118" t="n">
        <v>3.75</v>
      </c>
      <c r="H3432" s="118" t="n">
        <v>15</v>
      </c>
      <c r="I3432" s="119" t="n">
        <v>40822</v>
      </c>
    </row>
    <row r="3433">
      <c r="A3433" s="114" t="inlineStr">
        <is>
          <t>569739</t>
        </is>
      </c>
      <c r="B3433" s="114" t="n">
        <v>14911</v>
      </c>
      <c r="C3433" s="114" t="inlineStr">
        <is>
          <t>EIRE</t>
        </is>
      </c>
      <c r="D3433" s="114" t="inlineStr">
        <is>
          <t>22766</t>
        </is>
      </c>
      <c r="E3433" s="114" t="inlineStr">
        <is>
          <t>PHOTO FRAME CORNICE</t>
        </is>
      </c>
      <c r="F3433" s="114" t="n">
        <v>8</v>
      </c>
      <c r="G3433" s="115" t="n">
        <v>2.95</v>
      </c>
      <c r="H3433" s="115" t="n">
        <v>23.6</v>
      </c>
      <c r="I3433" s="116" t="n">
        <v>40822</v>
      </c>
    </row>
    <row r="3434">
      <c r="A3434" s="117" t="inlineStr">
        <is>
          <t>569766</t>
        </is>
      </c>
      <c r="B3434" s="117" t="n">
        <v>14849</v>
      </c>
      <c r="C3434" s="117" t="inlineStr">
        <is>
          <t>United Kingdom</t>
        </is>
      </c>
      <c r="D3434" s="117" t="inlineStr">
        <is>
          <t>23203</t>
        </is>
      </c>
      <c r="E3434" s="117" t="inlineStr">
        <is>
          <t xml:space="preserve">JUMBO BAG VINTAGE DOILY </t>
        </is>
      </c>
      <c r="F3434" s="117" t="n">
        <v>10</v>
      </c>
      <c r="G3434" s="118" t="n">
        <v>2.08</v>
      </c>
      <c r="H3434" s="118" t="n">
        <v>20.8</v>
      </c>
      <c r="I3434" s="119" t="n">
        <v>40822</v>
      </c>
    </row>
    <row r="3435">
      <c r="A3435" s="114" t="inlineStr">
        <is>
          <t>569767</t>
        </is>
      </c>
      <c r="B3435" s="114" t="n">
        <v>14849</v>
      </c>
      <c r="C3435" s="114" t="inlineStr">
        <is>
          <t>United Kingdom</t>
        </is>
      </c>
      <c r="D3435" s="114" t="inlineStr">
        <is>
          <t>22149</t>
        </is>
      </c>
      <c r="E3435" s="114" t="inlineStr">
        <is>
          <t>FELTCRAFT 6 FLOWER FRIENDS</t>
        </is>
      </c>
      <c r="F3435" s="114" t="n">
        <v>6</v>
      </c>
      <c r="G3435" s="115" t="n">
        <v>2.1</v>
      </c>
      <c r="H3435" s="115" t="n">
        <v>12.6</v>
      </c>
      <c r="I3435" s="116" t="n">
        <v>40822</v>
      </c>
    </row>
    <row r="3436">
      <c r="A3436" s="117" t="inlineStr">
        <is>
          <t>569766</t>
        </is>
      </c>
      <c r="B3436" s="117" t="n">
        <v>14849</v>
      </c>
      <c r="C3436" s="117" t="inlineStr">
        <is>
          <t>United Kingdom</t>
        </is>
      </c>
      <c r="D3436" s="117" t="inlineStr">
        <is>
          <t>23236</t>
        </is>
      </c>
      <c r="E3436" s="117" t="inlineStr">
        <is>
          <t xml:space="preserve">STORAGE TIN VINTAGE DOILY </t>
        </is>
      </c>
      <c r="F3436" s="117" t="n">
        <v>6</v>
      </c>
      <c r="G3436" s="118" t="n">
        <v>2.89</v>
      </c>
      <c r="H3436" s="118" t="n">
        <v>17.34</v>
      </c>
      <c r="I3436" s="119" t="n">
        <v>40822</v>
      </c>
    </row>
    <row r="3437">
      <c r="A3437" s="114" t="inlineStr">
        <is>
          <t>569766</t>
        </is>
      </c>
      <c r="B3437" s="114" t="n">
        <v>14849</v>
      </c>
      <c r="C3437" s="114" t="inlineStr">
        <is>
          <t>United Kingdom</t>
        </is>
      </c>
      <c r="D3437" s="114" t="inlineStr">
        <is>
          <t>22961</t>
        </is>
      </c>
      <c r="E3437" s="114" t="inlineStr">
        <is>
          <t>JAM MAKING SET PRINTED</t>
        </is>
      </c>
      <c r="F3437" s="114" t="n">
        <v>12</v>
      </c>
      <c r="G3437" s="115" t="n">
        <v>1.45</v>
      </c>
      <c r="H3437" s="115" t="n">
        <v>17.4</v>
      </c>
      <c r="I3437" s="116" t="n">
        <v>40822</v>
      </c>
    </row>
    <row r="3438">
      <c r="A3438" s="117" t="inlineStr">
        <is>
          <t>569766</t>
        </is>
      </c>
      <c r="B3438" s="117" t="n">
        <v>14849</v>
      </c>
      <c r="C3438" s="117" t="inlineStr">
        <is>
          <t>United Kingdom</t>
        </is>
      </c>
      <c r="D3438" s="117" t="inlineStr">
        <is>
          <t>22721</t>
        </is>
      </c>
      <c r="E3438" s="117" t="inlineStr">
        <is>
          <t>SET OF 3 CAKE TINS SKETCHBOOK</t>
        </is>
      </c>
      <c r="F3438" s="117" t="n">
        <v>3</v>
      </c>
      <c r="G3438" s="118" t="n">
        <v>4.95</v>
      </c>
      <c r="H3438" s="118" t="n">
        <v>14.85</v>
      </c>
      <c r="I3438" s="119" t="n">
        <v>40822</v>
      </c>
    </row>
    <row r="3439">
      <c r="A3439" s="114" t="inlineStr">
        <is>
          <t>569824</t>
        </is>
      </c>
      <c r="B3439" s="114" t="n">
        <v>17295</v>
      </c>
      <c r="C3439" s="114" t="inlineStr">
        <is>
          <t>United Kingdom</t>
        </is>
      </c>
      <c r="D3439" s="114" t="inlineStr">
        <is>
          <t>23247</t>
        </is>
      </c>
      <c r="E3439" s="114" t="inlineStr">
        <is>
          <t>BISCUIT TIN 50'S CHRISTMAS</t>
        </is>
      </c>
      <c r="F3439" s="114" t="n">
        <v>6</v>
      </c>
      <c r="G3439" s="115" t="n">
        <v>2.89</v>
      </c>
      <c r="H3439" s="115" t="n">
        <v>17.34</v>
      </c>
      <c r="I3439" s="116" t="n">
        <v>40822</v>
      </c>
    </row>
    <row r="3440">
      <c r="A3440" s="117" t="inlineStr">
        <is>
          <t>569824</t>
        </is>
      </c>
      <c r="B3440" s="117" t="n">
        <v>17295</v>
      </c>
      <c r="C3440" s="117" t="inlineStr">
        <is>
          <t>United Kingdom</t>
        </is>
      </c>
      <c r="D3440" s="117" t="inlineStr">
        <is>
          <t>22959</t>
        </is>
      </c>
      <c r="E3440" s="117" t="inlineStr">
        <is>
          <t>WRAP CHRISTMAS VILLAGE</t>
        </is>
      </c>
      <c r="F3440" s="117" t="n">
        <v>25</v>
      </c>
      <c r="G3440" s="118" t="n">
        <v>0.42</v>
      </c>
      <c r="H3440" s="118" t="n">
        <v>10.5</v>
      </c>
      <c r="I3440" s="119" t="n">
        <v>40822</v>
      </c>
    </row>
    <row r="3441">
      <c r="A3441" s="114" t="inlineStr">
        <is>
          <t>569825</t>
        </is>
      </c>
      <c r="B3441" s="114" t="n">
        <v>15805</v>
      </c>
      <c r="C3441" s="114" t="inlineStr">
        <is>
          <t>United Kingdom</t>
        </is>
      </c>
      <c r="D3441" s="114" t="inlineStr">
        <is>
          <t>22730</t>
        </is>
      </c>
      <c r="E3441" s="114" t="inlineStr">
        <is>
          <t>ALARM CLOCK BAKELIKE IVORY</t>
        </is>
      </c>
      <c r="F3441" s="114" t="n">
        <v>4</v>
      </c>
      <c r="G3441" s="115" t="n">
        <v>3.75</v>
      </c>
      <c r="H3441" s="115" t="n">
        <v>15</v>
      </c>
      <c r="I3441" s="116" t="n">
        <v>40822</v>
      </c>
    </row>
    <row r="3442">
      <c r="A3442" s="117" t="inlineStr">
        <is>
          <t>569825</t>
        </is>
      </c>
      <c r="B3442" s="117" t="n">
        <v>15805</v>
      </c>
      <c r="C3442" s="117" t="inlineStr">
        <is>
          <t>United Kingdom</t>
        </is>
      </c>
      <c r="D3442" s="117" t="inlineStr">
        <is>
          <t>22624</t>
        </is>
      </c>
      <c r="E3442" s="117" t="inlineStr">
        <is>
          <t>IVORY KITCHEN SCALES</t>
        </is>
      </c>
      <c r="F3442" s="117" t="n">
        <v>2</v>
      </c>
      <c r="G3442" s="118" t="n">
        <v>8.5</v>
      </c>
      <c r="H3442" s="118" t="n">
        <v>17</v>
      </c>
      <c r="I3442" s="119" t="n">
        <v>40822</v>
      </c>
    </row>
    <row r="3443">
      <c r="A3443" s="114" t="inlineStr">
        <is>
          <t>569825</t>
        </is>
      </c>
      <c r="B3443" s="114" t="n">
        <v>15805</v>
      </c>
      <c r="C3443" s="114" t="inlineStr">
        <is>
          <t>United Kingdom</t>
        </is>
      </c>
      <c r="D3443" s="114" t="inlineStr">
        <is>
          <t>23203</t>
        </is>
      </c>
      <c r="E3443" s="114" t="inlineStr">
        <is>
          <t xml:space="preserve">JUMBO BAG VINTAGE DOILY </t>
        </is>
      </c>
      <c r="F3443" s="114" t="n">
        <v>10</v>
      </c>
      <c r="G3443" s="115" t="n">
        <v>2.08</v>
      </c>
      <c r="H3443" s="115" t="n">
        <v>20.8</v>
      </c>
      <c r="I3443" s="116" t="n">
        <v>40822</v>
      </c>
    </row>
    <row r="3444">
      <c r="A3444" s="117" t="inlineStr">
        <is>
          <t>569832</t>
        </is>
      </c>
      <c r="B3444" s="117" t="n">
        <v>15315</v>
      </c>
      <c r="C3444" s="117" t="inlineStr">
        <is>
          <t>United Kingdom</t>
        </is>
      </c>
      <c r="D3444" s="117" t="inlineStr">
        <is>
          <t>21802</t>
        </is>
      </c>
      <c r="E3444" s="117" t="inlineStr">
        <is>
          <t>CHRISTMAS TREE HEART DECORATION</t>
        </is>
      </c>
      <c r="F3444" s="117" t="n">
        <v>36</v>
      </c>
      <c r="G3444" s="118" t="n">
        <v>0.42</v>
      </c>
      <c r="H3444" s="118" t="n">
        <v>15.12</v>
      </c>
      <c r="I3444" s="119" t="n">
        <v>40822</v>
      </c>
    </row>
    <row r="3445">
      <c r="A3445" s="114" t="inlineStr">
        <is>
          <t>569833</t>
        </is>
      </c>
      <c r="B3445" s="114" t="n">
        <v>15306</v>
      </c>
      <c r="C3445" s="114" t="inlineStr">
        <is>
          <t>United Kingdom</t>
        </is>
      </c>
      <c r="D3445" s="114" t="inlineStr">
        <is>
          <t>84380</t>
        </is>
      </c>
      <c r="E3445" s="114" t="inlineStr">
        <is>
          <t>SET OF 3 BUTTERFLY COOKIE CUTTERS</t>
        </is>
      </c>
      <c r="F3445" s="114" t="n">
        <v>12</v>
      </c>
      <c r="G3445" s="115" t="n">
        <v>1.45</v>
      </c>
      <c r="H3445" s="115" t="n">
        <v>17.4</v>
      </c>
      <c r="I3445" s="116" t="n">
        <v>40822</v>
      </c>
    </row>
    <row r="3446">
      <c r="A3446" s="117" t="inlineStr">
        <is>
          <t>569838</t>
        </is>
      </c>
      <c r="B3446" s="117" t="n">
        <v>13504</v>
      </c>
      <c r="C3446" s="117" t="inlineStr">
        <is>
          <t>United Kingdom</t>
        </is>
      </c>
      <c r="D3446" s="117" t="inlineStr">
        <is>
          <t>21484</t>
        </is>
      </c>
      <c r="E3446" s="117" t="inlineStr">
        <is>
          <t>CHICK GREY HOT WATER BOTTLE</t>
        </is>
      </c>
      <c r="F3446" s="117" t="n">
        <v>4</v>
      </c>
      <c r="G3446" s="118" t="n">
        <v>4.25</v>
      </c>
      <c r="H3446" s="118" t="n">
        <v>17</v>
      </c>
      <c r="I3446" s="119" t="n">
        <v>40822</v>
      </c>
    </row>
    <row r="3447">
      <c r="A3447" s="114" t="inlineStr">
        <is>
          <t>569838</t>
        </is>
      </c>
      <c r="B3447" s="114" t="n">
        <v>13504</v>
      </c>
      <c r="C3447" s="114" t="inlineStr">
        <is>
          <t>United Kingdom</t>
        </is>
      </c>
      <c r="D3447" s="114" t="inlineStr">
        <is>
          <t>22027</t>
        </is>
      </c>
      <c r="E3447" s="114" t="inlineStr">
        <is>
          <t>TEA PARTY BIRTHDAY CARD</t>
        </is>
      </c>
      <c r="F3447" s="114" t="n">
        <v>12</v>
      </c>
      <c r="G3447" s="115" t="n">
        <v>0.42</v>
      </c>
      <c r="H3447" s="115" t="n">
        <v>5.04</v>
      </c>
      <c r="I3447" s="116" t="n">
        <v>40822</v>
      </c>
    </row>
    <row r="3448">
      <c r="A3448" s="117" t="inlineStr">
        <is>
          <t>569843</t>
        </is>
      </c>
      <c r="B3448" s="117" t="n">
        <v>14449</v>
      </c>
      <c r="C3448" s="117" t="inlineStr">
        <is>
          <t>United Kingdom</t>
        </is>
      </c>
      <c r="D3448" s="117" t="inlineStr">
        <is>
          <t>20982</t>
        </is>
      </c>
      <c r="E3448" s="117" t="inlineStr">
        <is>
          <t>12 PENCILS TALL TUBE SKULLS</t>
        </is>
      </c>
      <c r="F3448" s="117" t="n">
        <v>3</v>
      </c>
      <c r="G3448" s="118" t="n">
        <v>0.85</v>
      </c>
      <c r="H3448" s="118" t="n">
        <v>2.55</v>
      </c>
      <c r="I3448" s="119" t="n">
        <v>40822</v>
      </c>
    </row>
    <row r="3449">
      <c r="A3449" s="114" t="inlineStr">
        <is>
          <t>569846</t>
        </is>
      </c>
      <c r="B3449" s="114" t="n">
        <v>13422</v>
      </c>
      <c r="C3449" s="114" t="inlineStr">
        <is>
          <t>United Kingdom</t>
        </is>
      </c>
      <c r="D3449" s="114" t="inlineStr">
        <is>
          <t>21915</t>
        </is>
      </c>
      <c r="E3449" s="114" t="inlineStr">
        <is>
          <t xml:space="preserve">RED  HARMONICA IN BOX </t>
        </is>
      </c>
      <c r="F3449" s="114" t="n">
        <v>12</v>
      </c>
      <c r="G3449" s="115" t="n">
        <v>1.25</v>
      </c>
      <c r="H3449" s="115" t="n">
        <v>15</v>
      </c>
      <c r="I3449" s="116" t="n">
        <v>40822</v>
      </c>
    </row>
    <row r="3450">
      <c r="A3450" s="117" t="inlineStr">
        <is>
          <t>569846</t>
        </is>
      </c>
      <c r="B3450" s="117" t="n">
        <v>13422</v>
      </c>
      <c r="C3450" s="117" t="inlineStr">
        <is>
          <t>United Kingdom</t>
        </is>
      </c>
      <c r="D3450" s="117" t="inlineStr">
        <is>
          <t>23115</t>
        </is>
      </c>
      <c r="E3450" s="117" t="inlineStr">
        <is>
          <t xml:space="preserve">RED APPLES CHOPPING BOARD   </t>
        </is>
      </c>
      <c r="F3450" s="117" t="n">
        <v>3</v>
      </c>
      <c r="G3450" s="118" t="n">
        <v>4.95</v>
      </c>
      <c r="H3450" s="118" t="n">
        <v>14.85</v>
      </c>
      <c r="I3450" s="119" t="n">
        <v>40822</v>
      </c>
    </row>
    <row r="3451">
      <c r="A3451" s="114" t="inlineStr">
        <is>
          <t>569846</t>
        </is>
      </c>
      <c r="B3451" s="114" t="n">
        <v>13422</v>
      </c>
      <c r="C3451" s="114" t="inlineStr">
        <is>
          <t>United Kingdom</t>
        </is>
      </c>
      <c r="D3451" s="114" t="inlineStr">
        <is>
          <t>22866</t>
        </is>
      </c>
      <c r="E3451" s="114" t="inlineStr">
        <is>
          <t>HAND WARMER SCOTTY DOG DESIGN</t>
        </is>
      </c>
      <c r="F3451" s="114" t="n">
        <v>12</v>
      </c>
      <c r="G3451" s="115" t="n">
        <v>2.1</v>
      </c>
      <c r="H3451" s="115" t="n">
        <v>25.2</v>
      </c>
      <c r="I3451" s="116" t="n">
        <v>40822</v>
      </c>
    </row>
    <row r="3452">
      <c r="A3452" s="117" t="inlineStr">
        <is>
          <t>569850</t>
        </is>
      </c>
      <c r="B3452" s="117" t="n">
        <v>16432</v>
      </c>
      <c r="C3452" s="117" t="inlineStr">
        <is>
          <t>United Kingdom</t>
        </is>
      </c>
      <c r="D3452" s="117" t="inlineStr">
        <is>
          <t>23182</t>
        </is>
      </c>
      <c r="E3452" s="117" t="inlineStr">
        <is>
          <t>TOILET SIGN OCCUPIED OR VACANT</t>
        </is>
      </c>
      <c r="F3452" s="117" t="n">
        <v>24</v>
      </c>
      <c r="G3452" s="118" t="n">
        <v>0.83</v>
      </c>
      <c r="H3452" s="118" t="n">
        <v>19.92</v>
      </c>
      <c r="I3452" s="119" t="n">
        <v>40822</v>
      </c>
    </row>
    <row r="3453">
      <c r="A3453" s="114" t="inlineStr">
        <is>
          <t>569852</t>
        </is>
      </c>
      <c r="B3453" s="114" t="n">
        <v>13771</v>
      </c>
      <c r="C3453" s="114" t="inlineStr">
        <is>
          <t>United Kingdom</t>
        </is>
      </c>
      <c r="D3453" s="114" t="inlineStr">
        <is>
          <t>23234</t>
        </is>
      </c>
      <c r="E3453" s="114" t="inlineStr">
        <is>
          <t>BISCUIT TIN VINTAGE CHRISTMAS</t>
        </is>
      </c>
      <c r="F3453" s="114" t="n">
        <v>6</v>
      </c>
      <c r="G3453" s="115" t="n">
        <v>2.89</v>
      </c>
      <c r="H3453" s="115" t="n">
        <v>17.34</v>
      </c>
      <c r="I3453" s="116" t="n">
        <v>40822</v>
      </c>
    </row>
    <row r="3454">
      <c r="A3454" s="117" t="inlineStr">
        <is>
          <t>569853</t>
        </is>
      </c>
      <c r="B3454" s="117" t="n">
        <v>13771</v>
      </c>
      <c r="C3454" s="117" t="inlineStr">
        <is>
          <t>United Kingdom</t>
        </is>
      </c>
      <c r="D3454" s="117" t="inlineStr">
        <is>
          <t>23293</t>
        </is>
      </c>
      <c r="E3454" s="117" t="inlineStr">
        <is>
          <t>SET OF 12 FAIRY CAKE BAKING CASES</t>
        </is>
      </c>
      <c r="F3454" s="117" t="n">
        <v>8</v>
      </c>
      <c r="G3454" s="118" t="n">
        <v>0.83</v>
      </c>
      <c r="H3454" s="118" t="n">
        <v>6.64</v>
      </c>
      <c r="I3454" s="119" t="n">
        <v>40822</v>
      </c>
    </row>
    <row r="3455">
      <c r="A3455" s="114" t="inlineStr">
        <is>
          <t>569866</t>
        </is>
      </c>
      <c r="B3455" s="114" t="n">
        <v>12757</v>
      </c>
      <c r="C3455" s="114" t="inlineStr">
        <is>
          <t>Portugal</t>
        </is>
      </c>
      <c r="D3455" s="114" t="inlineStr">
        <is>
          <t>22337</t>
        </is>
      </c>
      <c r="E3455" s="114" t="inlineStr">
        <is>
          <t xml:space="preserve">ANGEL DECORATION PAINTED ZINC </t>
        </is>
      </c>
      <c r="F3455" s="114" t="n">
        <v>4</v>
      </c>
      <c r="G3455" s="115" t="n">
        <v>0.65</v>
      </c>
      <c r="H3455" s="115" t="n">
        <v>2.6</v>
      </c>
      <c r="I3455" s="116" t="n">
        <v>40822</v>
      </c>
    </row>
    <row r="3456">
      <c r="A3456" s="117" t="inlineStr">
        <is>
          <t>569866</t>
        </is>
      </c>
      <c r="B3456" s="117" t="n">
        <v>12757</v>
      </c>
      <c r="C3456" s="117" t="inlineStr">
        <is>
          <t>Portugal</t>
        </is>
      </c>
      <c r="D3456" s="117" t="inlineStr">
        <is>
          <t>22737</t>
        </is>
      </c>
      <c r="E3456" s="117" t="inlineStr">
        <is>
          <t xml:space="preserve">RIBBON REEL CHRISTMAS PRESENT </t>
        </is>
      </c>
      <c r="F3456" s="117" t="n">
        <v>5</v>
      </c>
      <c r="G3456" s="118" t="n">
        <v>1.65</v>
      </c>
      <c r="H3456" s="118" t="n">
        <v>8.25</v>
      </c>
      <c r="I3456" s="119" t="n">
        <v>40822</v>
      </c>
    </row>
    <row r="3457">
      <c r="A3457" s="114" t="inlineStr">
        <is>
          <t>569866</t>
        </is>
      </c>
      <c r="B3457" s="114" t="n">
        <v>12757</v>
      </c>
      <c r="C3457" s="114" t="inlineStr">
        <is>
          <t>Portugal</t>
        </is>
      </c>
      <c r="D3457" s="114" t="inlineStr">
        <is>
          <t>22557</t>
        </is>
      </c>
      <c r="E3457" s="114" t="inlineStr">
        <is>
          <t xml:space="preserve">PLASTERS IN TIN VINTAGE PAISLEY </t>
        </is>
      </c>
      <c r="F3457" s="114" t="n">
        <v>8</v>
      </c>
      <c r="G3457" s="115" t="n">
        <v>1.65</v>
      </c>
      <c r="H3457" s="115" t="n">
        <v>13.2</v>
      </c>
      <c r="I3457" s="116" t="n">
        <v>40822</v>
      </c>
    </row>
    <row r="3458">
      <c r="A3458" s="117" t="inlineStr">
        <is>
          <t>569866</t>
        </is>
      </c>
      <c r="B3458" s="117" t="n">
        <v>12757</v>
      </c>
      <c r="C3458" s="117" t="inlineStr">
        <is>
          <t>Portugal</t>
        </is>
      </c>
      <c r="D3458" s="117" t="inlineStr">
        <is>
          <t>21928</t>
        </is>
      </c>
      <c r="E3458" s="117" t="inlineStr">
        <is>
          <t>JUMBO BAG SCANDINAVIAN BLUE PAISLEY</t>
        </is>
      </c>
      <c r="F3458" s="117" t="n">
        <v>10</v>
      </c>
      <c r="G3458" s="118" t="n">
        <v>2.08</v>
      </c>
      <c r="H3458" s="118" t="n">
        <v>20.8</v>
      </c>
      <c r="I3458" s="119" t="n">
        <v>40822</v>
      </c>
    </row>
    <row r="3459">
      <c r="A3459" s="114" t="inlineStr">
        <is>
          <t>569866</t>
        </is>
      </c>
      <c r="B3459" s="114" t="n">
        <v>12757</v>
      </c>
      <c r="C3459" s="114" t="inlineStr">
        <is>
          <t>Portugal</t>
        </is>
      </c>
      <c r="D3459" s="114" t="inlineStr">
        <is>
          <t>20983</t>
        </is>
      </c>
      <c r="E3459" s="114" t="inlineStr">
        <is>
          <t>12 PENCILS TALL TUBE RED RETROSPOT</t>
        </is>
      </c>
      <c r="F3459" s="114" t="n">
        <v>2</v>
      </c>
      <c r="G3459" s="115" t="n">
        <v>0.85</v>
      </c>
      <c r="H3459" s="115" t="n">
        <v>1.7</v>
      </c>
      <c r="I3459" s="116" t="n">
        <v>40822</v>
      </c>
    </row>
    <row r="3460">
      <c r="A3460" s="117" t="inlineStr">
        <is>
          <t>569866</t>
        </is>
      </c>
      <c r="B3460" s="117" t="n">
        <v>12757</v>
      </c>
      <c r="C3460" s="117" t="inlineStr">
        <is>
          <t>Portugal</t>
        </is>
      </c>
      <c r="D3460" s="117" t="inlineStr">
        <is>
          <t>20702</t>
        </is>
      </c>
      <c r="E3460" s="117" t="inlineStr">
        <is>
          <t>PINK PADDED MOBILE</t>
        </is>
      </c>
      <c r="F3460" s="117" t="n">
        <v>1</v>
      </c>
      <c r="G3460" s="118" t="n">
        <v>4.25</v>
      </c>
      <c r="H3460" s="118" t="n">
        <v>4.25</v>
      </c>
      <c r="I3460" s="119" t="n">
        <v>40822</v>
      </c>
    </row>
    <row r="3461">
      <c r="A3461" s="114" t="inlineStr">
        <is>
          <t>569868</t>
        </is>
      </c>
      <c r="B3461" s="114" t="n">
        <v>13018</v>
      </c>
      <c r="C3461" s="114" t="inlineStr">
        <is>
          <t>United Kingdom</t>
        </is>
      </c>
      <c r="D3461" s="114" t="inlineStr">
        <is>
          <t>21818</t>
        </is>
      </c>
      <c r="E3461" s="114" t="inlineStr">
        <is>
          <t>GLITTER HEART DECORATION</t>
        </is>
      </c>
      <c r="F3461" s="114" t="n">
        <v>36</v>
      </c>
      <c r="G3461" s="115" t="n">
        <v>0.39</v>
      </c>
      <c r="H3461" s="115" t="n">
        <v>14.04</v>
      </c>
      <c r="I3461" s="116" t="n">
        <v>40822</v>
      </c>
    </row>
    <row r="3462">
      <c r="A3462" s="117" t="inlineStr">
        <is>
          <t>569893</t>
        </is>
      </c>
      <c r="B3462" s="117" t="n">
        <v>12627</v>
      </c>
      <c r="C3462" s="117" t="inlineStr">
        <is>
          <t>Germany</t>
        </is>
      </c>
      <c r="D3462" s="117" t="inlineStr">
        <is>
          <t>22551</t>
        </is>
      </c>
      <c r="E3462" s="117" t="inlineStr">
        <is>
          <t>PLASTERS IN TIN SPACEBOY</t>
        </is>
      </c>
      <c r="F3462" s="117" t="n">
        <v>12</v>
      </c>
      <c r="G3462" s="118" t="n">
        <v>1.65</v>
      </c>
      <c r="H3462" s="118" t="n">
        <v>19.8</v>
      </c>
      <c r="I3462" s="119" t="n">
        <v>40822</v>
      </c>
    </row>
    <row r="3463">
      <c r="A3463" s="114" t="inlineStr">
        <is>
          <t>569894</t>
        </is>
      </c>
      <c r="B3463" s="114" t="n">
        <v>15707</v>
      </c>
      <c r="C3463" s="114" t="inlineStr">
        <is>
          <t>United Kingdom</t>
        </is>
      </c>
      <c r="D3463" s="114" t="inlineStr">
        <is>
          <t>84988</t>
        </is>
      </c>
      <c r="E3463" s="114" t="inlineStr">
        <is>
          <t>SET OF 72 PINK HEART PAPER DOILIES</t>
        </is>
      </c>
      <c r="F3463" s="114" t="n">
        <v>2</v>
      </c>
      <c r="G3463" s="115" t="n">
        <v>1.45</v>
      </c>
      <c r="H3463" s="115" t="n">
        <v>2.9</v>
      </c>
      <c r="I3463" s="116" t="n">
        <v>40822</v>
      </c>
    </row>
    <row r="3464">
      <c r="A3464" s="117" t="inlineStr">
        <is>
          <t>569897</t>
        </is>
      </c>
      <c r="B3464" s="117" t="n">
        <v>17813</v>
      </c>
      <c r="C3464" s="117" t="inlineStr">
        <is>
          <t>United Kingdom</t>
        </is>
      </c>
      <c r="D3464" s="117" t="inlineStr">
        <is>
          <t>82483</t>
        </is>
      </c>
      <c r="E3464" s="117" t="inlineStr">
        <is>
          <t>WOOD 2 DRAWER CABINET WHITE FINISH</t>
        </is>
      </c>
      <c r="F3464" s="117" t="n">
        <v>1</v>
      </c>
      <c r="G3464" s="118" t="n">
        <v>6.95</v>
      </c>
      <c r="H3464" s="118" t="n">
        <v>6.95</v>
      </c>
      <c r="I3464" s="119" t="n">
        <v>40822</v>
      </c>
    </row>
    <row r="3465">
      <c r="A3465" s="114" t="inlineStr">
        <is>
          <t>569897</t>
        </is>
      </c>
      <c r="B3465" s="114" t="n">
        <v>17813</v>
      </c>
      <c r="C3465" s="114" t="inlineStr">
        <is>
          <t>United Kingdom</t>
        </is>
      </c>
      <c r="D3465" s="114" t="inlineStr">
        <is>
          <t>22532</t>
        </is>
      </c>
      <c r="E3465" s="114" t="inlineStr">
        <is>
          <t xml:space="preserve">MAGIC DRAWING SLATE LEAP FROG </t>
        </is>
      </c>
      <c r="F3465" s="114" t="n">
        <v>3</v>
      </c>
      <c r="G3465" s="115" t="n">
        <v>0.42</v>
      </c>
      <c r="H3465" s="115" t="n">
        <v>1.26</v>
      </c>
      <c r="I3465" s="116" t="n">
        <v>40822</v>
      </c>
    </row>
    <row r="3466">
      <c r="A3466" s="117" t="inlineStr">
        <is>
          <t>569903</t>
        </is>
      </c>
      <c r="B3466" s="117" t="n">
        <v>13892</v>
      </c>
      <c r="C3466" s="117" t="inlineStr">
        <is>
          <t>United Kingdom</t>
        </is>
      </c>
      <c r="D3466" s="117" t="inlineStr">
        <is>
          <t>22161</t>
        </is>
      </c>
      <c r="E3466" s="117" t="inlineStr">
        <is>
          <t xml:space="preserve">HEART DECORATION RUSTIC HANGING </t>
        </is>
      </c>
      <c r="F3466" s="117" t="n">
        <v>24</v>
      </c>
      <c r="G3466" s="118" t="n">
        <v>0.19</v>
      </c>
      <c r="H3466" s="118" t="n">
        <v>4.56</v>
      </c>
      <c r="I3466" s="119" t="n">
        <v>40822</v>
      </c>
    </row>
    <row r="3467">
      <c r="A3467" s="114" t="inlineStr">
        <is>
          <t>569904</t>
        </is>
      </c>
      <c r="B3467" s="114" t="n">
        <v>13023</v>
      </c>
      <c r="C3467" s="114" t="inlineStr">
        <is>
          <t>United Kingdom</t>
        </is>
      </c>
      <c r="D3467" s="114" t="inlineStr">
        <is>
          <t>21181</t>
        </is>
      </c>
      <c r="E3467" s="114" t="inlineStr">
        <is>
          <t>PLEASE ONE PERSON METAL SIGN</t>
        </is>
      </c>
      <c r="F3467" s="114" t="n">
        <v>12</v>
      </c>
      <c r="G3467" s="115" t="n">
        <v>2.1</v>
      </c>
      <c r="H3467" s="115" t="n">
        <v>25.2</v>
      </c>
      <c r="I3467" s="116" t="n">
        <v>40822</v>
      </c>
    </row>
    <row r="3468">
      <c r="A3468" s="117" t="inlineStr">
        <is>
          <t>570000</t>
        </is>
      </c>
      <c r="B3468" s="117" t="n">
        <v>12420</v>
      </c>
      <c r="C3468" s="117" t="inlineStr">
        <is>
          <t>Cyprus</t>
        </is>
      </c>
      <c r="D3468" s="117" t="inlineStr">
        <is>
          <t>85232D</t>
        </is>
      </c>
      <c r="E3468" s="117" t="inlineStr">
        <is>
          <t>SET/3 DECOUPAGE STACKING TINS</t>
        </is>
      </c>
      <c r="F3468" s="117" t="n">
        <v>3</v>
      </c>
      <c r="G3468" s="118" t="n">
        <v>4.95</v>
      </c>
      <c r="H3468" s="118" t="n">
        <v>14.85</v>
      </c>
      <c r="I3468" s="119" t="n">
        <v>40823</v>
      </c>
    </row>
    <row r="3469">
      <c r="A3469" s="114" t="inlineStr">
        <is>
          <t>570002</t>
        </is>
      </c>
      <c r="B3469" s="114" t="n">
        <v>12477</v>
      </c>
      <c r="C3469" s="114" t="inlineStr">
        <is>
          <t>Germany</t>
        </is>
      </c>
      <c r="D3469" s="114" t="inlineStr">
        <is>
          <t>22175</t>
        </is>
      </c>
      <c r="E3469" s="114" t="inlineStr">
        <is>
          <t>PINK OWL SOFT TOY</t>
        </is>
      </c>
      <c r="F3469" s="114" t="n">
        <v>12</v>
      </c>
      <c r="G3469" s="115" t="n">
        <v>2.95</v>
      </c>
      <c r="H3469" s="115" t="n">
        <v>35.4</v>
      </c>
      <c r="I3469" s="116" t="n">
        <v>40823</v>
      </c>
    </row>
    <row r="3470">
      <c r="A3470" s="117" t="inlineStr">
        <is>
          <t>570009</t>
        </is>
      </c>
      <c r="B3470" s="117" t="n">
        <v>14138</v>
      </c>
      <c r="C3470" s="117" t="inlineStr">
        <is>
          <t>United Kingdom</t>
        </is>
      </c>
      <c r="D3470" s="117" t="inlineStr">
        <is>
          <t>22568</t>
        </is>
      </c>
      <c r="E3470" s="117" t="inlineStr">
        <is>
          <t>FELTCRAFT CUSHION OWL</t>
        </is>
      </c>
      <c r="F3470" s="117" t="n">
        <v>4</v>
      </c>
      <c r="G3470" s="118" t="n">
        <v>3.75</v>
      </c>
      <c r="H3470" s="118" t="n">
        <v>15</v>
      </c>
      <c r="I3470" s="119" t="n">
        <v>40823</v>
      </c>
    </row>
    <row r="3471">
      <c r="A3471" s="114" t="inlineStr">
        <is>
          <t>570011</t>
        </is>
      </c>
      <c r="B3471" s="114" t="n">
        <v>16477</v>
      </c>
      <c r="C3471" s="114" t="inlineStr">
        <is>
          <t>United Kingdom</t>
        </is>
      </c>
      <c r="D3471" s="114" t="inlineStr">
        <is>
          <t>22142</t>
        </is>
      </c>
      <c r="E3471" s="114" t="inlineStr">
        <is>
          <t xml:space="preserve">CHRISTMAS CRAFT WHITE FAIRY </t>
        </is>
      </c>
      <c r="F3471" s="114" t="n">
        <v>12</v>
      </c>
      <c r="G3471" s="115" t="n">
        <v>1.45</v>
      </c>
      <c r="H3471" s="115" t="n">
        <v>17.4</v>
      </c>
      <c r="I3471" s="116" t="n">
        <v>40823</v>
      </c>
    </row>
    <row r="3472">
      <c r="A3472" s="117" t="inlineStr">
        <is>
          <t>570027</t>
        </is>
      </c>
      <c r="B3472" s="117" t="n">
        <v>14844</v>
      </c>
      <c r="C3472" s="117" t="inlineStr">
        <is>
          <t>United Kingdom</t>
        </is>
      </c>
      <c r="D3472" s="117" t="inlineStr">
        <is>
          <t>22086</t>
        </is>
      </c>
      <c r="E3472" s="117" t="inlineStr">
        <is>
          <t xml:space="preserve">PAPER CHAIN KIT 50'S CHRISTMAS </t>
        </is>
      </c>
      <c r="F3472" s="117" t="n">
        <v>6</v>
      </c>
      <c r="G3472" s="118" t="n">
        <v>2.95</v>
      </c>
      <c r="H3472" s="118" t="n">
        <v>17.7</v>
      </c>
      <c r="I3472" s="119" t="n">
        <v>40823</v>
      </c>
    </row>
    <row r="3473">
      <c r="A3473" s="114" t="inlineStr">
        <is>
          <t>570027</t>
        </is>
      </c>
      <c r="B3473" s="114" t="n">
        <v>14844</v>
      </c>
      <c r="C3473" s="114" t="inlineStr">
        <is>
          <t>United Kingdom</t>
        </is>
      </c>
      <c r="D3473" s="114" t="inlineStr">
        <is>
          <t>22727</t>
        </is>
      </c>
      <c r="E3473" s="114" t="inlineStr">
        <is>
          <t xml:space="preserve">ALARM CLOCK BAKELIKE RED </t>
        </is>
      </c>
      <c r="F3473" s="114" t="n">
        <v>4</v>
      </c>
      <c r="G3473" s="115" t="n">
        <v>3.75</v>
      </c>
      <c r="H3473" s="115" t="n">
        <v>15</v>
      </c>
      <c r="I3473" s="116" t="n">
        <v>40823</v>
      </c>
    </row>
    <row r="3474">
      <c r="A3474" s="117" t="inlineStr">
        <is>
          <t>570036</t>
        </is>
      </c>
      <c r="B3474" s="117" t="n">
        <v>16358</v>
      </c>
      <c r="C3474" s="117" t="inlineStr">
        <is>
          <t>United Kingdom</t>
        </is>
      </c>
      <c r="D3474" s="117" t="inlineStr">
        <is>
          <t>21791</t>
        </is>
      </c>
      <c r="E3474" s="117" t="inlineStr">
        <is>
          <t xml:space="preserve">VINTAGE HEADS AND TAILS CARD GAME </t>
        </is>
      </c>
      <c r="F3474" s="117" t="n">
        <v>12</v>
      </c>
      <c r="G3474" s="118" t="n">
        <v>1.25</v>
      </c>
      <c r="H3474" s="118" t="n">
        <v>15</v>
      </c>
      <c r="I3474" s="119" t="n">
        <v>40823</v>
      </c>
    </row>
    <row r="3475">
      <c r="A3475" s="114" t="inlineStr">
        <is>
          <t>570082</t>
        </is>
      </c>
      <c r="B3475" s="114" t="n">
        <v>12524</v>
      </c>
      <c r="C3475" s="114" t="inlineStr">
        <is>
          <t>Germany</t>
        </is>
      </c>
      <c r="D3475" s="114" t="inlineStr">
        <is>
          <t>23542</t>
        </is>
      </c>
      <c r="E3475" s="114" t="inlineStr">
        <is>
          <t xml:space="preserve">WALL ART 70'S ALPHABET </t>
        </is>
      </c>
      <c r="F3475" s="114" t="n">
        <v>2</v>
      </c>
      <c r="G3475" s="115" t="n">
        <v>8.25</v>
      </c>
      <c r="H3475" s="115" t="n">
        <v>16.5</v>
      </c>
      <c r="I3475" s="116" t="n">
        <v>40823</v>
      </c>
    </row>
    <row r="3476">
      <c r="A3476" s="117" t="inlineStr">
        <is>
          <t>570092</t>
        </is>
      </c>
      <c r="B3476" s="117" t="n">
        <v>16029</v>
      </c>
      <c r="C3476" s="117" t="inlineStr">
        <is>
          <t>United Kingdom</t>
        </is>
      </c>
      <c r="D3476" s="117" t="inlineStr">
        <is>
          <t>22386</t>
        </is>
      </c>
      <c r="E3476" s="117" t="inlineStr">
        <is>
          <t>JUMBO BAG PINK POLKADOT</t>
        </is>
      </c>
      <c r="F3476" s="117" t="n">
        <v>200</v>
      </c>
      <c r="G3476" s="118" t="n">
        <v>1.74</v>
      </c>
      <c r="H3476" s="118" t="n">
        <v>348</v>
      </c>
      <c r="I3476" s="119" t="n">
        <v>40823</v>
      </c>
    </row>
    <row r="3477">
      <c r="A3477" s="114" t="inlineStr">
        <is>
          <t>570095</t>
        </is>
      </c>
      <c r="B3477" s="114" t="n">
        <v>12528</v>
      </c>
      <c r="C3477" s="114" t="inlineStr">
        <is>
          <t>Germany</t>
        </is>
      </c>
      <c r="D3477" s="114" t="inlineStr">
        <is>
          <t>22423</t>
        </is>
      </c>
      <c r="E3477" s="114" t="inlineStr">
        <is>
          <t>REGENCY CAKESTAND 3 TIER</t>
        </is>
      </c>
      <c r="F3477" s="114" t="n">
        <v>1</v>
      </c>
      <c r="G3477" s="115" t="n">
        <v>12.75</v>
      </c>
      <c r="H3477" s="115" t="n">
        <v>12.75</v>
      </c>
      <c r="I3477" s="116" t="n">
        <v>40823</v>
      </c>
    </row>
    <row r="3478">
      <c r="A3478" s="117" t="inlineStr">
        <is>
          <t>570103</t>
        </is>
      </c>
      <c r="B3478" s="117" t="n">
        <v>15719</v>
      </c>
      <c r="C3478" s="117" t="inlineStr">
        <is>
          <t>United Kingdom</t>
        </is>
      </c>
      <c r="D3478" s="117" t="inlineStr">
        <is>
          <t>47591D</t>
        </is>
      </c>
      <c r="E3478" s="117" t="inlineStr">
        <is>
          <t>PINK FAIRY CAKE CHILDRENS APRON</t>
        </is>
      </c>
      <c r="F3478" s="117" t="n">
        <v>1</v>
      </c>
      <c r="G3478" s="118" t="n">
        <v>1.95</v>
      </c>
      <c r="H3478" s="118" t="n">
        <v>1.95</v>
      </c>
      <c r="I3478" s="119" t="n">
        <v>40823</v>
      </c>
    </row>
    <row r="3479">
      <c r="A3479" s="114" t="inlineStr">
        <is>
          <t>570115</t>
        </is>
      </c>
      <c r="B3479" s="114" t="n">
        <v>13798</v>
      </c>
      <c r="C3479" s="114" t="inlineStr">
        <is>
          <t>United Kingdom</t>
        </is>
      </c>
      <c r="D3479" s="114" t="inlineStr">
        <is>
          <t>21166</t>
        </is>
      </c>
      <c r="E3479" s="114" t="inlineStr">
        <is>
          <t xml:space="preserve">COOK WITH WINE METAL SIGN </t>
        </is>
      </c>
      <c r="F3479" s="114" t="n">
        <v>48</v>
      </c>
      <c r="G3479" s="115" t="n">
        <v>1.85</v>
      </c>
      <c r="H3479" s="115" t="n">
        <v>88.8</v>
      </c>
      <c r="I3479" s="116" t="n">
        <v>40823</v>
      </c>
    </row>
    <row r="3480">
      <c r="A3480" s="117" t="inlineStr">
        <is>
          <t>570115</t>
        </is>
      </c>
      <c r="B3480" s="117" t="n">
        <v>13798</v>
      </c>
      <c r="C3480" s="117" t="inlineStr">
        <is>
          <t>United Kingdom</t>
        </is>
      </c>
      <c r="D3480" s="117" t="inlineStr">
        <is>
          <t>21154</t>
        </is>
      </c>
      <c r="E3480" s="117" t="inlineStr">
        <is>
          <t xml:space="preserve">RED RETROSPOT OVEN GLOVE </t>
        </is>
      </c>
      <c r="F3480" s="117" t="n">
        <v>200</v>
      </c>
      <c r="G3480" s="118" t="n">
        <v>1.06</v>
      </c>
      <c r="H3480" s="118" t="n">
        <v>212</v>
      </c>
      <c r="I3480" s="119" t="n">
        <v>40823</v>
      </c>
    </row>
    <row r="3481">
      <c r="A3481" s="114" t="inlineStr">
        <is>
          <t>570116</t>
        </is>
      </c>
      <c r="B3481" s="114" t="n">
        <v>12856</v>
      </c>
      <c r="C3481" s="114" t="inlineStr">
        <is>
          <t>United Kingdom</t>
        </is>
      </c>
      <c r="D3481" s="114" t="inlineStr">
        <is>
          <t>22086</t>
        </is>
      </c>
      <c r="E3481" s="114" t="inlineStr">
        <is>
          <t xml:space="preserve">PAPER CHAIN KIT 50'S CHRISTMAS </t>
        </is>
      </c>
      <c r="F3481" s="114" t="n">
        <v>2</v>
      </c>
      <c r="G3481" s="115" t="n">
        <v>2.95</v>
      </c>
      <c r="H3481" s="115" t="n">
        <v>5.9</v>
      </c>
      <c r="I3481" s="116" t="n">
        <v>40823</v>
      </c>
    </row>
    <row r="3482">
      <c r="A3482" s="117" t="inlineStr">
        <is>
          <t>570117</t>
        </is>
      </c>
      <c r="B3482" s="117" t="n">
        <v>15815</v>
      </c>
      <c r="C3482" s="117" t="inlineStr">
        <is>
          <t>United Kingdom</t>
        </is>
      </c>
      <c r="D3482" s="117" t="inlineStr">
        <is>
          <t>23310</t>
        </is>
      </c>
      <c r="E3482" s="117" t="inlineStr">
        <is>
          <t>BUBBLEGUM RING ASSORTED</t>
        </is>
      </c>
      <c r="F3482" s="117" t="n">
        <v>72</v>
      </c>
      <c r="G3482" s="118" t="n">
        <v>0.42</v>
      </c>
      <c r="H3482" s="118" t="n">
        <v>30.24</v>
      </c>
      <c r="I3482" s="119" t="n">
        <v>40823</v>
      </c>
    </row>
    <row r="3483">
      <c r="A3483" s="114" t="inlineStr">
        <is>
          <t>570127</t>
        </is>
      </c>
      <c r="B3483" s="114" t="n">
        <v>16900</v>
      </c>
      <c r="C3483" s="114" t="inlineStr">
        <is>
          <t>United Kingdom</t>
        </is>
      </c>
      <c r="D3483" s="114" t="inlineStr">
        <is>
          <t>85150</t>
        </is>
      </c>
      <c r="E3483" s="114" t="inlineStr">
        <is>
          <t>LADIES &amp; GENTLEMEN METAL SIGN</t>
        </is>
      </c>
      <c r="F3483" s="114" t="n">
        <v>3</v>
      </c>
      <c r="G3483" s="115" t="n">
        <v>2.55</v>
      </c>
      <c r="H3483" s="115" t="n">
        <v>7.65</v>
      </c>
      <c r="I3483" s="116" t="n">
        <v>40823</v>
      </c>
    </row>
    <row r="3484">
      <c r="A3484" s="117" t="inlineStr">
        <is>
          <t>570186</t>
        </is>
      </c>
      <c r="B3484" s="117" t="n">
        <v>17509</v>
      </c>
      <c r="C3484" s="117" t="inlineStr">
        <is>
          <t>United Kingdom</t>
        </is>
      </c>
      <c r="D3484" s="117" t="inlineStr">
        <is>
          <t>22654</t>
        </is>
      </c>
      <c r="E3484" s="117" t="inlineStr">
        <is>
          <t xml:space="preserve">DELUXE SEWING KIT </t>
        </is>
      </c>
      <c r="F3484" s="117" t="n">
        <v>3</v>
      </c>
      <c r="G3484" s="118" t="n">
        <v>5.95</v>
      </c>
      <c r="H3484" s="118" t="n">
        <v>17.85</v>
      </c>
      <c r="I3484" s="119" t="n">
        <v>40823</v>
      </c>
    </row>
    <row r="3485">
      <c r="A3485" s="114" t="inlineStr">
        <is>
          <t>570186</t>
        </is>
      </c>
      <c r="B3485" s="114" t="n">
        <v>17509</v>
      </c>
      <c r="C3485" s="114" t="inlineStr">
        <is>
          <t>United Kingdom</t>
        </is>
      </c>
      <c r="D3485" s="114" t="inlineStr">
        <is>
          <t>22734</t>
        </is>
      </c>
      <c r="E3485" s="114" t="inlineStr">
        <is>
          <t>SET OF 6 RIBBONS VINTAGE CHRISTMAS</t>
        </is>
      </c>
      <c r="F3485" s="114" t="n">
        <v>6</v>
      </c>
      <c r="G3485" s="115" t="n">
        <v>2.89</v>
      </c>
      <c r="H3485" s="115" t="n">
        <v>17.34</v>
      </c>
      <c r="I3485" s="116" t="n">
        <v>40823</v>
      </c>
    </row>
    <row r="3486">
      <c r="A3486" s="117" t="inlineStr">
        <is>
          <t>570190</t>
        </is>
      </c>
      <c r="B3486" s="117" t="n">
        <v>13456</v>
      </c>
      <c r="C3486" s="117" t="inlineStr">
        <is>
          <t>United Kingdom</t>
        </is>
      </c>
      <c r="D3486" s="117" t="inlineStr">
        <is>
          <t>22910</t>
        </is>
      </c>
      <c r="E3486" s="117" t="inlineStr">
        <is>
          <t>PAPER CHAIN KIT VINTAGE CHRISTMAS</t>
        </is>
      </c>
      <c r="F3486" s="117" t="n">
        <v>6</v>
      </c>
      <c r="G3486" s="118" t="n">
        <v>2.95</v>
      </c>
      <c r="H3486" s="118" t="n">
        <v>17.7</v>
      </c>
      <c r="I3486" s="119" t="n">
        <v>40823</v>
      </c>
    </row>
    <row r="3487">
      <c r="A3487" s="114" t="inlineStr">
        <is>
          <t>570197</t>
        </is>
      </c>
      <c r="B3487" s="114" t="n">
        <v>13755</v>
      </c>
      <c r="C3487" s="114" t="inlineStr">
        <is>
          <t>United Kingdom</t>
        </is>
      </c>
      <c r="D3487" s="114" t="inlineStr">
        <is>
          <t>84580</t>
        </is>
      </c>
      <c r="E3487" s="114" t="inlineStr">
        <is>
          <t>MOUSE TOY WITH PINK T-SHIRT</t>
        </is>
      </c>
      <c r="F3487" s="114" t="n">
        <v>1</v>
      </c>
      <c r="G3487" s="115" t="n">
        <v>3.75</v>
      </c>
      <c r="H3487" s="115" t="n">
        <v>3.75</v>
      </c>
      <c r="I3487" s="116" t="n">
        <v>40823</v>
      </c>
    </row>
    <row r="3488">
      <c r="A3488" s="117" t="inlineStr">
        <is>
          <t>570197</t>
        </is>
      </c>
      <c r="B3488" s="117" t="n">
        <v>13755</v>
      </c>
      <c r="C3488" s="117" t="inlineStr">
        <is>
          <t>United Kingdom</t>
        </is>
      </c>
      <c r="D3488" s="117" t="inlineStr">
        <is>
          <t>23029</t>
        </is>
      </c>
      <c r="E3488" s="117" t="inlineStr">
        <is>
          <t>DRAWER KNOB CRACKLE GLAZE GREEN</t>
        </is>
      </c>
      <c r="F3488" s="117" t="n">
        <v>2</v>
      </c>
      <c r="G3488" s="118" t="n">
        <v>1.65</v>
      </c>
      <c r="H3488" s="118" t="n">
        <v>3.3</v>
      </c>
      <c r="I3488" s="119" t="n">
        <v>40823</v>
      </c>
    </row>
    <row r="3489">
      <c r="A3489" s="114" t="inlineStr">
        <is>
          <t>570208</t>
        </is>
      </c>
      <c r="B3489" s="114" t="n">
        <v>16104</v>
      </c>
      <c r="C3489" s="114" t="inlineStr">
        <is>
          <t>United Kingdom</t>
        </is>
      </c>
      <c r="D3489" s="114" t="inlineStr">
        <is>
          <t>21034</t>
        </is>
      </c>
      <c r="E3489" s="114" t="inlineStr">
        <is>
          <t>REX CASH+CARRY JUMBO SHOPPER</t>
        </is>
      </c>
      <c r="F3489" s="114" t="n">
        <v>2</v>
      </c>
      <c r="G3489" s="115" t="n">
        <v>0.95</v>
      </c>
      <c r="H3489" s="115" t="n">
        <v>1.9</v>
      </c>
      <c r="I3489" s="116" t="n">
        <v>40825</v>
      </c>
    </row>
    <row r="3490">
      <c r="A3490" s="117" t="inlineStr">
        <is>
          <t>570210</t>
        </is>
      </c>
      <c r="B3490" s="117" t="n">
        <v>13259</v>
      </c>
      <c r="C3490" s="117" t="inlineStr">
        <is>
          <t>United Kingdom</t>
        </is>
      </c>
      <c r="D3490" s="117" t="inlineStr">
        <is>
          <t>22980</t>
        </is>
      </c>
      <c r="E3490" s="117" t="inlineStr">
        <is>
          <t>PANTRY SCRUBBING BRUSH</t>
        </is>
      </c>
      <c r="F3490" s="117" t="n">
        <v>2</v>
      </c>
      <c r="G3490" s="118" t="n">
        <v>1.65</v>
      </c>
      <c r="H3490" s="118" t="n">
        <v>3.3</v>
      </c>
      <c r="I3490" s="119" t="n">
        <v>40825</v>
      </c>
    </row>
    <row r="3491">
      <c r="A3491" s="114" t="inlineStr">
        <is>
          <t>570210</t>
        </is>
      </c>
      <c r="B3491" s="114" t="n">
        <v>13259</v>
      </c>
      <c r="C3491" s="114" t="inlineStr">
        <is>
          <t>United Kingdom</t>
        </is>
      </c>
      <c r="D3491" s="114" t="inlineStr">
        <is>
          <t>84580</t>
        </is>
      </c>
      <c r="E3491" s="114" t="inlineStr">
        <is>
          <t>MOUSE TOY WITH PINK T-SHIRT</t>
        </is>
      </c>
      <c r="F3491" s="114" t="n">
        <v>3</v>
      </c>
      <c r="G3491" s="115" t="n">
        <v>3.75</v>
      </c>
      <c r="H3491" s="115" t="n">
        <v>11.25</v>
      </c>
      <c r="I3491" s="116" t="n">
        <v>40825</v>
      </c>
    </row>
    <row r="3492">
      <c r="A3492" s="117" t="inlineStr">
        <is>
          <t>570210</t>
        </is>
      </c>
      <c r="B3492" s="117" t="n">
        <v>13259</v>
      </c>
      <c r="C3492" s="117" t="inlineStr">
        <is>
          <t>United Kingdom</t>
        </is>
      </c>
      <c r="D3492" s="117" t="inlineStr">
        <is>
          <t>23159</t>
        </is>
      </c>
      <c r="E3492" s="117" t="inlineStr">
        <is>
          <t>SET OF 5 PANCAKE DAY MAGNETS</t>
        </is>
      </c>
      <c r="F3492" s="117" t="n">
        <v>2</v>
      </c>
      <c r="G3492" s="118" t="n">
        <v>2.08</v>
      </c>
      <c r="H3492" s="118" t="n">
        <v>4.16</v>
      </c>
      <c r="I3492" s="119" t="n">
        <v>40825</v>
      </c>
    </row>
    <row r="3493">
      <c r="A3493" s="114" t="inlineStr">
        <is>
          <t>570212</t>
        </is>
      </c>
      <c r="B3493" s="114" t="n">
        <v>17811</v>
      </c>
      <c r="C3493" s="114" t="inlineStr">
        <is>
          <t>United Kingdom</t>
        </is>
      </c>
      <c r="D3493" s="114" t="inlineStr">
        <is>
          <t>23222</t>
        </is>
      </c>
      <c r="E3493" s="114" t="inlineStr">
        <is>
          <t>CHRISTMAS TREE HANGING GOLD</t>
        </is>
      </c>
      <c r="F3493" s="114" t="n">
        <v>2</v>
      </c>
      <c r="G3493" s="115" t="n">
        <v>0.83</v>
      </c>
      <c r="H3493" s="115" t="n">
        <v>1.66</v>
      </c>
      <c r="I3493" s="116" t="n">
        <v>40825</v>
      </c>
    </row>
    <row r="3494">
      <c r="A3494" s="117" t="inlineStr">
        <is>
          <t>570215</t>
        </is>
      </c>
      <c r="B3494" s="117" t="n">
        <v>16066</v>
      </c>
      <c r="C3494" s="117" t="inlineStr">
        <is>
          <t>United Kingdom</t>
        </is>
      </c>
      <c r="D3494" s="117" t="inlineStr">
        <is>
          <t>23340</t>
        </is>
      </c>
      <c r="E3494" s="117" t="inlineStr">
        <is>
          <t>VINTAGE CHRISTMAS CAKE FRILL</t>
        </is>
      </c>
      <c r="F3494" s="117" t="n">
        <v>2</v>
      </c>
      <c r="G3494" s="118" t="n">
        <v>1.65</v>
      </c>
      <c r="H3494" s="118" t="n">
        <v>3.3</v>
      </c>
      <c r="I3494" s="119" t="n">
        <v>40825</v>
      </c>
    </row>
    <row r="3495">
      <c r="A3495" s="114" t="inlineStr">
        <is>
          <t>570215</t>
        </is>
      </c>
      <c r="B3495" s="114" t="n">
        <v>16066</v>
      </c>
      <c r="C3495" s="114" t="inlineStr">
        <is>
          <t>United Kingdom</t>
        </is>
      </c>
      <c r="D3495" s="114" t="inlineStr">
        <is>
          <t>23284</t>
        </is>
      </c>
      <c r="E3495" s="114" t="inlineStr">
        <is>
          <t>DOORMAT KEEP CALM AND COME IN</t>
        </is>
      </c>
      <c r="F3495" s="114" t="n">
        <v>1</v>
      </c>
      <c r="G3495" s="115" t="n">
        <v>8.25</v>
      </c>
      <c r="H3495" s="115" t="n">
        <v>8.25</v>
      </c>
      <c r="I3495" s="116" t="n">
        <v>40825</v>
      </c>
    </row>
    <row r="3496">
      <c r="A3496" s="117" t="inlineStr">
        <is>
          <t>570217</t>
        </is>
      </c>
      <c r="B3496" s="117" t="n">
        <v>17323</v>
      </c>
      <c r="C3496" s="117" t="inlineStr">
        <is>
          <t>United Kingdom</t>
        </is>
      </c>
      <c r="D3496" s="117" t="inlineStr">
        <is>
          <t>22381</t>
        </is>
      </c>
      <c r="E3496" s="117" t="inlineStr">
        <is>
          <t>TOY TIDY PINK POLKADOT</t>
        </is>
      </c>
      <c r="F3496" s="117" t="n">
        <v>2</v>
      </c>
      <c r="G3496" s="118" t="n">
        <v>2.1</v>
      </c>
      <c r="H3496" s="118" t="n">
        <v>4.2</v>
      </c>
      <c r="I3496" s="119" t="n">
        <v>40825</v>
      </c>
    </row>
    <row r="3497">
      <c r="A3497" s="114" t="inlineStr">
        <is>
          <t>570223</t>
        </is>
      </c>
      <c r="B3497" s="114" t="n">
        <v>15787</v>
      </c>
      <c r="C3497" s="114" t="inlineStr">
        <is>
          <t>United Kingdom</t>
        </is>
      </c>
      <c r="D3497" s="114" t="inlineStr">
        <is>
          <t>21587</t>
        </is>
      </c>
      <c r="E3497" s="114" t="inlineStr">
        <is>
          <t>COSY HOUR GIANT TUBE MATCHES</t>
        </is>
      </c>
      <c r="F3497" s="114" t="n">
        <v>3</v>
      </c>
      <c r="G3497" s="115" t="n">
        <v>2.55</v>
      </c>
      <c r="H3497" s="115" t="n">
        <v>7.65</v>
      </c>
      <c r="I3497" s="116" t="n">
        <v>40825</v>
      </c>
    </row>
    <row r="3498">
      <c r="A3498" s="117" t="inlineStr">
        <is>
          <t>570223</t>
        </is>
      </c>
      <c r="B3498" s="117" t="n">
        <v>15787</v>
      </c>
      <c r="C3498" s="117" t="inlineStr">
        <is>
          <t>United Kingdom</t>
        </is>
      </c>
      <c r="D3498" s="117" t="inlineStr">
        <is>
          <t>22603</t>
        </is>
      </c>
      <c r="E3498" s="117" t="inlineStr">
        <is>
          <t>CHRISTMAS RETROSPOT TREE WOOD</t>
        </is>
      </c>
      <c r="F3498" s="117" t="n">
        <v>4</v>
      </c>
      <c r="G3498" s="118" t="n">
        <v>0.85</v>
      </c>
      <c r="H3498" s="118" t="n">
        <v>3.4</v>
      </c>
      <c r="I3498" s="119" t="n">
        <v>40825</v>
      </c>
    </row>
    <row r="3499">
      <c r="A3499" s="114" t="inlineStr">
        <is>
          <t>570223</t>
        </is>
      </c>
      <c r="B3499" s="114" t="n">
        <v>15787</v>
      </c>
      <c r="C3499" s="114" t="inlineStr">
        <is>
          <t>United Kingdom</t>
        </is>
      </c>
      <c r="D3499" s="114" t="inlineStr">
        <is>
          <t>22495</t>
        </is>
      </c>
      <c r="E3499" s="114" t="inlineStr">
        <is>
          <t xml:space="preserve">SET OF 2 ROUND TINS CAMEMBERT </t>
        </is>
      </c>
      <c r="F3499" s="114" t="n">
        <v>1</v>
      </c>
      <c r="G3499" s="115" t="n">
        <v>2.95</v>
      </c>
      <c r="H3499" s="115" t="n">
        <v>2.95</v>
      </c>
      <c r="I3499" s="116" t="n">
        <v>40825</v>
      </c>
    </row>
    <row r="3500">
      <c r="A3500" s="117" t="inlineStr">
        <is>
          <t>570232</t>
        </is>
      </c>
      <c r="B3500" s="117" t="n">
        <v>14040</v>
      </c>
      <c r="C3500" s="117" t="inlineStr">
        <is>
          <t>United Kingdom</t>
        </is>
      </c>
      <c r="D3500" s="117" t="inlineStr">
        <is>
          <t>20685</t>
        </is>
      </c>
      <c r="E3500" s="117" t="inlineStr">
        <is>
          <t>DOORMAT RED RETROSPOT</t>
        </is>
      </c>
      <c r="F3500" s="117" t="n">
        <v>3</v>
      </c>
      <c r="G3500" s="118" t="n">
        <v>8.25</v>
      </c>
      <c r="H3500" s="118" t="n">
        <v>24.75</v>
      </c>
      <c r="I3500" s="119" t="n">
        <v>40825</v>
      </c>
    </row>
    <row r="3501">
      <c r="A3501" s="114" t="inlineStr">
        <is>
          <t>570238</t>
        </is>
      </c>
      <c r="B3501" s="114" t="n">
        <v>16332</v>
      </c>
      <c r="C3501" s="114" t="inlineStr">
        <is>
          <t>United Kingdom</t>
        </is>
      </c>
      <c r="D3501" s="114" t="inlineStr">
        <is>
          <t>22906</t>
        </is>
      </c>
      <c r="E3501" s="114" t="inlineStr">
        <is>
          <t>12 MESSAGE CARDS WITH ENVELOPES</t>
        </is>
      </c>
      <c r="F3501" s="114" t="n">
        <v>1</v>
      </c>
      <c r="G3501" s="115" t="n">
        <v>1.65</v>
      </c>
      <c r="H3501" s="115" t="n">
        <v>1.65</v>
      </c>
      <c r="I3501" s="116" t="n">
        <v>40825</v>
      </c>
    </row>
    <row r="3502">
      <c r="A3502" s="117" t="inlineStr">
        <is>
          <t>570239</t>
        </is>
      </c>
      <c r="B3502" s="117" t="n">
        <v>16518</v>
      </c>
      <c r="C3502" s="117" t="inlineStr">
        <is>
          <t>United Kingdom</t>
        </is>
      </c>
      <c r="D3502" s="117" t="inlineStr">
        <is>
          <t>84030E</t>
        </is>
      </c>
      <c r="E3502" s="117" t="inlineStr">
        <is>
          <t>ENGLISH ROSE HOT WATER BOTTLE</t>
        </is>
      </c>
      <c r="F3502" s="117" t="n">
        <v>4</v>
      </c>
      <c r="G3502" s="118" t="n">
        <v>4.25</v>
      </c>
      <c r="H3502" s="118" t="n">
        <v>17</v>
      </c>
      <c r="I3502" s="119" t="n">
        <v>40825</v>
      </c>
    </row>
    <row r="3503">
      <c r="A3503" s="114" t="inlineStr">
        <is>
          <t>570240</t>
        </is>
      </c>
      <c r="B3503" s="114" t="n">
        <v>13212</v>
      </c>
      <c r="C3503" s="114" t="inlineStr">
        <is>
          <t>United Kingdom</t>
        </is>
      </c>
      <c r="D3503" s="114" t="inlineStr">
        <is>
          <t>22768</t>
        </is>
      </c>
      <c r="E3503" s="114" t="inlineStr">
        <is>
          <t>FAMILY PHOTO FRAME CORNICE</t>
        </is>
      </c>
      <c r="F3503" s="114" t="n">
        <v>1</v>
      </c>
      <c r="G3503" s="115" t="n">
        <v>9.949999999999999</v>
      </c>
      <c r="H3503" s="115" t="n">
        <v>9.949999999999999</v>
      </c>
      <c r="I3503" s="116" t="n">
        <v>40825</v>
      </c>
    </row>
    <row r="3504">
      <c r="A3504" s="117" t="inlineStr">
        <is>
          <t>570246</t>
        </is>
      </c>
      <c r="B3504" s="117" t="n">
        <v>16921</v>
      </c>
      <c r="C3504" s="117" t="inlineStr">
        <is>
          <t>United Kingdom</t>
        </is>
      </c>
      <c r="D3504" s="117" t="inlineStr">
        <is>
          <t>20986</t>
        </is>
      </c>
      <c r="E3504" s="117" t="inlineStr">
        <is>
          <t>BLUE CALCULATOR RULER</t>
        </is>
      </c>
      <c r="F3504" s="117" t="n">
        <v>1</v>
      </c>
      <c r="G3504" s="118" t="n">
        <v>1.25</v>
      </c>
      <c r="H3504" s="118" t="n">
        <v>1.25</v>
      </c>
      <c r="I3504" s="119" t="n">
        <v>40825</v>
      </c>
    </row>
    <row r="3505">
      <c r="A3505" s="114" t="inlineStr">
        <is>
          <t>570249</t>
        </is>
      </c>
      <c r="B3505" s="114" t="n">
        <v>17509</v>
      </c>
      <c r="C3505" s="114" t="inlineStr">
        <is>
          <t>United Kingdom</t>
        </is>
      </c>
      <c r="D3505" s="114" t="inlineStr">
        <is>
          <t>85049E</t>
        </is>
      </c>
      <c r="E3505" s="114" t="inlineStr">
        <is>
          <t>SCANDINAVIAN REDS RIBBONS</t>
        </is>
      </c>
      <c r="F3505" s="114" t="n">
        <v>12</v>
      </c>
      <c r="G3505" s="115" t="n">
        <v>1.25</v>
      </c>
      <c r="H3505" s="115" t="n">
        <v>15</v>
      </c>
      <c r="I3505" s="116" t="n">
        <v>40826</v>
      </c>
    </row>
    <row r="3506">
      <c r="A3506" s="117" t="inlineStr">
        <is>
          <t>570249</t>
        </is>
      </c>
      <c r="B3506" s="117" t="n">
        <v>17509</v>
      </c>
      <c r="C3506" s="117" t="inlineStr">
        <is>
          <t>United Kingdom</t>
        </is>
      </c>
      <c r="D3506" s="117" t="inlineStr">
        <is>
          <t>23502</t>
        </is>
      </c>
      <c r="E3506" s="117" t="inlineStr">
        <is>
          <t xml:space="preserve">PLAYING CARDS VINTAGE DOILY </t>
        </is>
      </c>
      <c r="F3506" s="117" t="n">
        <v>12</v>
      </c>
      <c r="G3506" s="118" t="n">
        <v>1.25</v>
      </c>
      <c r="H3506" s="118" t="n">
        <v>15</v>
      </c>
      <c r="I3506" s="119" t="n">
        <v>40826</v>
      </c>
    </row>
    <row r="3507">
      <c r="A3507" s="114" t="inlineStr">
        <is>
          <t>570252</t>
        </is>
      </c>
      <c r="B3507" s="114" t="n">
        <v>14665</v>
      </c>
      <c r="C3507" s="114" t="inlineStr">
        <is>
          <t>United Kingdom</t>
        </is>
      </c>
      <c r="D3507" s="114" t="inlineStr">
        <is>
          <t>21481</t>
        </is>
      </c>
      <c r="E3507" s="114" t="inlineStr">
        <is>
          <t>FAWN BLUE HOT WATER BOTTLE</t>
        </is>
      </c>
      <c r="F3507" s="114" t="n">
        <v>4</v>
      </c>
      <c r="G3507" s="115" t="n">
        <v>3.75</v>
      </c>
      <c r="H3507" s="115" t="n">
        <v>15</v>
      </c>
      <c r="I3507" s="116" t="n">
        <v>40826</v>
      </c>
    </row>
    <row r="3508">
      <c r="A3508" s="117" t="inlineStr">
        <is>
          <t>570256</t>
        </is>
      </c>
      <c r="B3508" s="117" t="n">
        <v>15152</v>
      </c>
      <c r="C3508" s="117" t="inlineStr">
        <is>
          <t>United Kingdom</t>
        </is>
      </c>
      <c r="D3508" s="117" t="inlineStr">
        <is>
          <t>22950</t>
        </is>
      </c>
      <c r="E3508" s="117" t="inlineStr">
        <is>
          <t>36 DOILIES VINTAGE CHRISTMAS</t>
        </is>
      </c>
      <c r="F3508" s="117" t="n">
        <v>12</v>
      </c>
      <c r="G3508" s="118" t="n">
        <v>1.45</v>
      </c>
      <c r="H3508" s="118" t="n">
        <v>17.4</v>
      </c>
      <c r="I3508" s="119" t="n">
        <v>40826</v>
      </c>
    </row>
    <row r="3509">
      <c r="A3509" s="114" t="inlineStr">
        <is>
          <t>570268</t>
        </is>
      </c>
      <c r="B3509" s="114" t="n">
        <v>13098</v>
      </c>
      <c r="C3509" s="114" t="inlineStr">
        <is>
          <t>United Kingdom</t>
        </is>
      </c>
      <c r="D3509" s="114" t="inlineStr">
        <is>
          <t>23319</t>
        </is>
      </c>
      <c r="E3509" s="114" t="inlineStr">
        <is>
          <t>BOX OF 6 MINI 50'S CRACKERS</t>
        </is>
      </c>
      <c r="F3509" s="114" t="n">
        <v>48</v>
      </c>
      <c r="G3509" s="115" t="n">
        <v>2.08</v>
      </c>
      <c r="H3509" s="115" t="n">
        <v>99.84</v>
      </c>
      <c r="I3509" s="116" t="n">
        <v>40826</v>
      </c>
    </row>
    <row r="3510">
      <c r="A3510" s="117" t="inlineStr">
        <is>
          <t>570271</t>
        </is>
      </c>
      <c r="B3510" s="117" t="n">
        <v>13756</v>
      </c>
      <c r="C3510" s="117" t="inlineStr">
        <is>
          <t>United Kingdom</t>
        </is>
      </c>
      <c r="D3510" s="117" t="inlineStr">
        <is>
          <t>23535</t>
        </is>
      </c>
      <c r="E3510" s="117" t="inlineStr">
        <is>
          <t>WALL ART BICYCLE SAFETY</t>
        </is>
      </c>
      <c r="F3510" s="117" t="n">
        <v>5</v>
      </c>
      <c r="G3510" s="118" t="n">
        <v>5.95</v>
      </c>
      <c r="H3510" s="118" t="n">
        <v>29.75</v>
      </c>
      <c r="I3510" s="119" t="n">
        <v>40826</v>
      </c>
    </row>
    <row r="3511">
      <c r="A3511" s="114" t="inlineStr">
        <is>
          <t>570285</t>
        </is>
      </c>
      <c r="B3511" s="114" t="n">
        <v>16637</v>
      </c>
      <c r="C3511" s="114" t="inlineStr">
        <is>
          <t>United Kingdom</t>
        </is>
      </c>
      <c r="D3511" s="114" t="inlineStr">
        <is>
          <t>23225</t>
        </is>
      </c>
      <c r="E3511" s="114" t="inlineStr">
        <is>
          <t xml:space="preserve">CHERUB HEART DECORATION SILVER </t>
        </is>
      </c>
      <c r="F3511" s="114" t="n">
        <v>12</v>
      </c>
      <c r="G3511" s="115" t="n">
        <v>0.83</v>
      </c>
      <c r="H3511" s="115" t="n">
        <v>9.960000000000001</v>
      </c>
      <c r="I3511" s="116" t="n">
        <v>40826</v>
      </c>
    </row>
    <row r="3512">
      <c r="A3512" s="117" t="inlineStr">
        <is>
          <t>570342</t>
        </is>
      </c>
      <c r="B3512" s="117" t="n">
        <v>17706</v>
      </c>
      <c r="C3512" s="117" t="inlineStr">
        <is>
          <t>United Kingdom</t>
        </is>
      </c>
      <c r="D3512" s="117" t="inlineStr">
        <is>
          <t>21080</t>
        </is>
      </c>
      <c r="E3512" s="117" t="inlineStr">
        <is>
          <t xml:space="preserve">SET/20 RED RETROSPOT PAPER NAPKINS </t>
        </is>
      </c>
      <c r="F3512" s="117" t="n">
        <v>12</v>
      </c>
      <c r="G3512" s="118" t="n">
        <v>0.85</v>
      </c>
      <c r="H3512" s="118" t="n">
        <v>10.2</v>
      </c>
      <c r="I3512" s="119" t="n">
        <v>40826</v>
      </c>
    </row>
    <row r="3513">
      <c r="A3513" s="114" t="inlineStr">
        <is>
          <t>570348</t>
        </is>
      </c>
      <c r="B3513" s="114" t="n">
        <v>16982</v>
      </c>
      <c r="C3513" s="114" t="inlineStr">
        <is>
          <t>United Kingdom</t>
        </is>
      </c>
      <c r="D3513" s="114" t="inlineStr">
        <is>
          <t>23236</t>
        </is>
      </c>
      <c r="E3513" s="114" t="inlineStr">
        <is>
          <t xml:space="preserve">STORAGE TIN VINTAGE DOILY </t>
        </is>
      </c>
      <c r="F3513" s="114" t="n">
        <v>6</v>
      </c>
      <c r="G3513" s="115" t="n">
        <v>2.89</v>
      </c>
      <c r="H3513" s="115" t="n">
        <v>17.34</v>
      </c>
      <c r="I3513" s="116" t="n">
        <v>40826</v>
      </c>
    </row>
    <row r="3514">
      <c r="A3514" s="117" t="inlineStr">
        <is>
          <t>570348</t>
        </is>
      </c>
      <c r="B3514" s="117" t="n">
        <v>16982</v>
      </c>
      <c r="C3514" s="117" t="inlineStr">
        <is>
          <t>United Kingdom</t>
        </is>
      </c>
      <c r="D3514" s="117" t="inlineStr">
        <is>
          <t>22113</t>
        </is>
      </c>
      <c r="E3514" s="117" t="inlineStr">
        <is>
          <t>GREY HEART HOT WATER BOTTLE</t>
        </is>
      </c>
      <c r="F3514" s="117" t="n">
        <v>4</v>
      </c>
      <c r="G3514" s="118" t="n">
        <v>4.25</v>
      </c>
      <c r="H3514" s="118" t="n">
        <v>17</v>
      </c>
      <c r="I3514" s="119" t="n">
        <v>40826</v>
      </c>
    </row>
    <row r="3515">
      <c r="A3515" s="114" t="inlineStr">
        <is>
          <t>570380</t>
        </is>
      </c>
      <c r="B3515" s="114" t="n">
        <v>14606</v>
      </c>
      <c r="C3515" s="114" t="inlineStr">
        <is>
          <t>United Kingdom</t>
        </is>
      </c>
      <c r="D3515" s="114" t="inlineStr">
        <is>
          <t>22489</t>
        </is>
      </c>
      <c r="E3515" s="114" t="inlineStr">
        <is>
          <t>PACK OF 12 TRADITIONAL CRAYONS</t>
        </is>
      </c>
      <c r="F3515" s="114" t="n">
        <v>1</v>
      </c>
      <c r="G3515" s="115" t="n">
        <v>0.42</v>
      </c>
      <c r="H3515" s="115" t="n">
        <v>0.42</v>
      </c>
      <c r="I3515" s="116" t="n">
        <v>40826</v>
      </c>
    </row>
    <row r="3516">
      <c r="A3516" s="117" t="inlineStr">
        <is>
          <t>570410</t>
        </is>
      </c>
      <c r="B3516" s="117" t="n">
        <v>16776</v>
      </c>
      <c r="C3516" s="117" t="inlineStr">
        <is>
          <t>United Kingdom</t>
        </is>
      </c>
      <c r="D3516" s="117" t="inlineStr">
        <is>
          <t>22555</t>
        </is>
      </c>
      <c r="E3516" s="117" t="inlineStr">
        <is>
          <t>PLASTERS IN TIN STRONGMAN</t>
        </is>
      </c>
      <c r="F3516" s="117" t="n">
        <v>2</v>
      </c>
      <c r="G3516" s="118" t="n">
        <v>1.65</v>
      </c>
      <c r="H3516" s="118" t="n">
        <v>3.3</v>
      </c>
      <c r="I3516" s="119" t="n">
        <v>40826</v>
      </c>
    </row>
    <row r="3517">
      <c r="A3517" s="114" t="inlineStr">
        <is>
          <t>570414</t>
        </is>
      </c>
      <c r="B3517" s="114" t="n">
        <v>17214</v>
      </c>
      <c r="C3517" s="114" t="inlineStr">
        <is>
          <t>United Kingdom</t>
        </is>
      </c>
      <c r="D3517" s="114" t="inlineStr">
        <is>
          <t>23356</t>
        </is>
      </c>
      <c r="E3517" s="114" t="inlineStr">
        <is>
          <t>LOVE HOT WATER BOTTLE</t>
        </is>
      </c>
      <c r="F3517" s="114" t="n">
        <v>4</v>
      </c>
      <c r="G3517" s="115" t="n">
        <v>5.95</v>
      </c>
      <c r="H3517" s="115" t="n">
        <v>23.8</v>
      </c>
      <c r="I3517" s="116" t="n">
        <v>40826</v>
      </c>
    </row>
    <row r="3518">
      <c r="A3518" s="117" t="inlineStr">
        <is>
          <t>570420</t>
        </is>
      </c>
      <c r="B3518" s="117" t="n">
        <v>17841</v>
      </c>
      <c r="C3518" s="117" t="inlineStr">
        <is>
          <t>United Kingdom</t>
        </is>
      </c>
      <c r="D3518" s="117" t="inlineStr">
        <is>
          <t>23395</t>
        </is>
      </c>
      <c r="E3518" s="117" t="inlineStr">
        <is>
          <t>BELLE JARDINIERE CUSHION COVER</t>
        </is>
      </c>
      <c r="F3518" s="117" t="n">
        <v>2</v>
      </c>
      <c r="G3518" s="118" t="n">
        <v>3.75</v>
      </c>
      <c r="H3518" s="118" t="n">
        <v>7.5</v>
      </c>
      <c r="I3518" s="119" t="n">
        <v>40826</v>
      </c>
    </row>
    <row r="3519">
      <c r="A3519" s="114" t="inlineStr">
        <is>
          <t>570420</t>
        </is>
      </c>
      <c r="B3519" s="114" t="n">
        <v>17841</v>
      </c>
      <c r="C3519" s="114" t="inlineStr">
        <is>
          <t>United Kingdom</t>
        </is>
      </c>
      <c r="D3519" s="114" t="inlineStr">
        <is>
          <t>22512</t>
        </is>
      </c>
      <c r="E3519" s="114" t="inlineStr">
        <is>
          <t>DOORSTOP RACING CAR DESIGN</t>
        </is>
      </c>
      <c r="F3519" s="114" t="n">
        <v>1</v>
      </c>
      <c r="G3519" s="115" t="n">
        <v>3.75</v>
      </c>
      <c r="H3519" s="115" t="n">
        <v>3.75</v>
      </c>
      <c r="I3519" s="116" t="n">
        <v>40826</v>
      </c>
    </row>
    <row r="3520">
      <c r="A3520" s="117" t="inlineStr">
        <is>
          <t>570420</t>
        </is>
      </c>
      <c r="B3520" s="117" t="n">
        <v>17841</v>
      </c>
      <c r="C3520" s="117" t="inlineStr">
        <is>
          <t>United Kingdom</t>
        </is>
      </c>
      <c r="D3520" s="117" t="inlineStr">
        <is>
          <t>82583</t>
        </is>
      </c>
      <c r="E3520" s="117" t="inlineStr">
        <is>
          <t>HOT BATHS METAL SIGN</t>
        </is>
      </c>
      <c r="F3520" s="117" t="n">
        <v>1</v>
      </c>
      <c r="G3520" s="118" t="n">
        <v>2.1</v>
      </c>
      <c r="H3520" s="118" t="n">
        <v>2.1</v>
      </c>
      <c r="I3520" s="119" t="n">
        <v>40826</v>
      </c>
    </row>
    <row r="3521">
      <c r="A3521" s="114" t="inlineStr">
        <is>
          <t>570422</t>
        </is>
      </c>
      <c r="B3521" s="114" t="n">
        <v>14132</v>
      </c>
      <c r="C3521" s="114" t="inlineStr">
        <is>
          <t>United Kingdom</t>
        </is>
      </c>
      <c r="D3521" s="114" t="inlineStr">
        <is>
          <t>22144</t>
        </is>
      </c>
      <c r="E3521" s="114" t="inlineStr">
        <is>
          <t>CHRISTMAS CRAFT LITTLE FRIENDS</t>
        </is>
      </c>
      <c r="F3521" s="114" t="n">
        <v>40</v>
      </c>
      <c r="G3521" s="115" t="n">
        <v>1.85</v>
      </c>
      <c r="H3521" s="115" t="n">
        <v>74</v>
      </c>
      <c r="I3521" s="116" t="n">
        <v>40826</v>
      </c>
    </row>
    <row r="3522">
      <c r="A3522" s="117" t="inlineStr">
        <is>
          <t>570422</t>
        </is>
      </c>
      <c r="B3522" s="117" t="n">
        <v>14132</v>
      </c>
      <c r="C3522" s="117" t="inlineStr">
        <is>
          <t>United Kingdom</t>
        </is>
      </c>
      <c r="D3522" s="117" t="inlineStr">
        <is>
          <t>22141</t>
        </is>
      </c>
      <c r="E3522" s="117" t="inlineStr">
        <is>
          <t>CHRISTMAS CRAFT TREE TOP ANGEL</t>
        </is>
      </c>
      <c r="F3522" s="117" t="n">
        <v>6</v>
      </c>
      <c r="G3522" s="118" t="n">
        <v>2.1</v>
      </c>
      <c r="H3522" s="118" t="n">
        <v>12.6</v>
      </c>
      <c r="I3522" s="119" t="n">
        <v>40826</v>
      </c>
    </row>
    <row r="3523">
      <c r="A3523" s="114" t="inlineStr">
        <is>
          <t>570423</t>
        </is>
      </c>
      <c r="B3523" s="114" t="n">
        <v>14451</v>
      </c>
      <c r="C3523" s="114" t="inlineStr">
        <is>
          <t>United Kingdom</t>
        </is>
      </c>
      <c r="D3523" s="114" t="inlineStr">
        <is>
          <t>23275</t>
        </is>
      </c>
      <c r="E3523" s="114" t="inlineStr">
        <is>
          <t>SET OF 3 HANGING OWLS OLLIE BEAK</t>
        </is>
      </c>
      <c r="F3523" s="114" t="n">
        <v>4</v>
      </c>
      <c r="G3523" s="115" t="n">
        <v>1.25</v>
      </c>
      <c r="H3523" s="115" t="n">
        <v>5</v>
      </c>
      <c r="I3523" s="116" t="n">
        <v>40826</v>
      </c>
    </row>
    <row r="3524">
      <c r="A3524" s="117" t="inlineStr">
        <is>
          <t>570423</t>
        </is>
      </c>
      <c r="B3524" s="117" t="n">
        <v>14451</v>
      </c>
      <c r="C3524" s="117" t="inlineStr">
        <is>
          <t>United Kingdom</t>
        </is>
      </c>
      <c r="D3524" s="117" t="inlineStr">
        <is>
          <t>23390</t>
        </is>
      </c>
      <c r="E3524" s="117" t="inlineStr">
        <is>
          <t>DOLLY GIRL MINI BACKPACK</t>
        </is>
      </c>
      <c r="F3524" s="117" t="n">
        <v>1</v>
      </c>
      <c r="G3524" s="118" t="n">
        <v>4.15</v>
      </c>
      <c r="H3524" s="118" t="n">
        <v>4.15</v>
      </c>
      <c r="I3524" s="119" t="n">
        <v>40826</v>
      </c>
    </row>
    <row r="3525">
      <c r="A3525" s="114" t="inlineStr">
        <is>
          <t>570423</t>
        </is>
      </c>
      <c r="B3525" s="114" t="n">
        <v>14451</v>
      </c>
      <c r="C3525" s="114" t="inlineStr">
        <is>
          <t>United Kingdom</t>
        </is>
      </c>
      <c r="D3525" s="114" t="inlineStr">
        <is>
          <t>20727</t>
        </is>
      </c>
      <c r="E3525" s="114" t="inlineStr">
        <is>
          <t>LUNCH BAG  BLACK SKULL.</t>
        </is>
      </c>
      <c r="F3525" s="114" t="n">
        <v>5</v>
      </c>
      <c r="G3525" s="115" t="n">
        <v>1.65</v>
      </c>
      <c r="H3525" s="115" t="n">
        <v>8.25</v>
      </c>
      <c r="I3525" s="116" t="n">
        <v>40826</v>
      </c>
    </row>
    <row r="3526">
      <c r="A3526" s="117" t="inlineStr">
        <is>
          <t>570427</t>
        </is>
      </c>
      <c r="B3526" s="117" t="n">
        <v>17462</v>
      </c>
      <c r="C3526" s="117" t="inlineStr">
        <is>
          <t>United Kingdom</t>
        </is>
      </c>
      <c r="D3526" s="117" t="inlineStr">
        <is>
          <t>22627</t>
        </is>
      </c>
      <c r="E3526" s="117" t="inlineStr">
        <is>
          <t>MINT KITCHEN SCALES</t>
        </is>
      </c>
      <c r="F3526" s="117" t="n">
        <v>2</v>
      </c>
      <c r="G3526" s="118" t="n">
        <v>8.5</v>
      </c>
      <c r="H3526" s="118" t="n">
        <v>17</v>
      </c>
      <c r="I3526" s="119" t="n">
        <v>40826</v>
      </c>
    </row>
    <row r="3527">
      <c r="A3527" s="114" t="inlineStr">
        <is>
          <t>570428</t>
        </is>
      </c>
      <c r="B3527" s="114" t="n">
        <v>15553</v>
      </c>
      <c r="C3527" s="114" t="inlineStr">
        <is>
          <t>United Kingdom</t>
        </is>
      </c>
      <c r="D3527" s="114" t="inlineStr">
        <is>
          <t>22417</t>
        </is>
      </c>
      <c r="E3527" s="114" t="inlineStr">
        <is>
          <t>PACK OF 60 SPACEBOY CAKE CASES</t>
        </is>
      </c>
      <c r="F3527" s="114" t="n">
        <v>2</v>
      </c>
      <c r="G3527" s="115" t="n">
        <v>0.55</v>
      </c>
      <c r="H3527" s="115" t="n">
        <v>1.1</v>
      </c>
      <c r="I3527" s="116" t="n">
        <v>40826</v>
      </c>
    </row>
    <row r="3528">
      <c r="A3528" s="117" t="inlineStr">
        <is>
          <t>570428</t>
        </is>
      </c>
      <c r="B3528" s="117" t="n">
        <v>15553</v>
      </c>
      <c r="C3528" s="117" t="inlineStr">
        <is>
          <t>United Kingdom</t>
        </is>
      </c>
      <c r="D3528" s="117" t="inlineStr">
        <is>
          <t>22816</t>
        </is>
      </c>
      <c r="E3528" s="117" t="inlineStr">
        <is>
          <t>CARD MOTORBIKE SANTA</t>
        </is>
      </c>
      <c r="F3528" s="117" t="n">
        <v>24</v>
      </c>
      <c r="G3528" s="118" t="n">
        <v>0.42</v>
      </c>
      <c r="H3528" s="118" t="n">
        <v>10.08</v>
      </c>
      <c r="I3528" s="119" t="n">
        <v>40826</v>
      </c>
    </row>
    <row r="3529">
      <c r="A3529" s="114" t="inlineStr">
        <is>
          <t>570444</t>
        </is>
      </c>
      <c r="B3529" s="114" t="n">
        <v>17284</v>
      </c>
      <c r="C3529" s="114" t="inlineStr">
        <is>
          <t>United Kingdom</t>
        </is>
      </c>
      <c r="D3529" s="114" t="inlineStr">
        <is>
          <t>23504</t>
        </is>
      </c>
      <c r="E3529" s="114" t="inlineStr">
        <is>
          <t>PLAYING CARDS JUBILEE UNION JACK</t>
        </is>
      </c>
      <c r="F3529" s="114" t="n">
        <v>3</v>
      </c>
      <c r="G3529" s="115" t="n">
        <v>1.25</v>
      </c>
      <c r="H3529" s="115" t="n">
        <v>3.75</v>
      </c>
      <c r="I3529" s="116" t="n">
        <v>40826</v>
      </c>
    </row>
    <row r="3530">
      <c r="A3530" s="117" t="inlineStr">
        <is>
          <t>570446</t>
        </is>
      </c>
      <c r="B3530" s="117" t="n">
        <v>12431</v>
      </c>
      <c r="C3530" s="117" t="inlineStr">
        <is>
          <t>Belgium</t>
        </is>
      </c>
      <c r="D3530" s="117" t="inlineStr">
        <is>
          <t>22326</t>
        </is>
      </c>
      <c r="E3530" s="117" t="inlineStr">
        <is>
          <t xml:space="preserve">ROUND SNACK BOXES SET OF4 WOODLAND </t>
        </is>
      </c>
      <c r="F3530" s="117" t="n">
        <v>12</v>
      </c>
      <c r="G3530" s="118" t="n">
        <v>2.95</v>
      </c>
      <c r="H3530" s="118" t="n">
        <v>35.4</v>
      </c>
      <c r="I3530" s="119" t="n">
        <v>40826</v>
      </c>
    </row>
    <row r="3531">
      <c r="A3531" s="114" t="inlineStr">
        <is>
          <t>570446</t>
        </is>
      </c>
      <c r="B3531" s="114" t="n">
        <v>12431</v>
      </c>
      <c r="C3531" s="114" t="inlineStr">
        <is>
          <t>Belgium</t>
        </is>
      </c>
      <c r="D3531" s="114" t="inlineStr">
        <is>
          <t>84380</t>
        </is>
      </c>
      <c r="E3531" s="114" t="inlineStr">
        <is>
          <t>SET OF 3 BUTTERFLY COOKIE CUTTERS</t>
        </is>
      </c>
      <c r="F3531" s="114" t="n">
        <v>12</v>
      </c>
      <c r="G3531" s="115" t="n">
        <v>1.45</v>
      </c>
      <c r="H3531" s="115" t="n">
        <v>17.4</v>
      </c>
      <c r="I3531" s="116" t="n">
        <v>40826</v>
      </c>
    </row>
    <row r="3532">
      <c r="A3532" s="117" t="inlineStr">
        <is>
          <t>570448</t>
        </is>
      </c>
      <c r="B3532" s="117" t="n">
        <v>13224</v>
      </c>
      <c r="C3532" s="117" t="inlineStr">
        <is>
          <t>United Kingdom</t>
        </is>
      </c>
      <c r="D3532" s="117" t="inlineStr">
        <is>
          <t>23342</t>
        </is>
      </c>
      <c r="E3532" s="117" t="inlineStr">
        <is>
          <t>MINT DINER WALL CLOCK</t>
        </is>
      </c>
      <c r="F3532" s="117" t="n">
        <v>2</v>
      </c>
      <c r="G3532" s="118" t="n">
        <v>8.5</v>
      </c>
      <c r="H3532" s="118" t="n">
        <v>17</v>
      </c>
      <c r="I3532" s="119" t="n">
        <v>40826</v>
      </c>
    </row>
    <row r="3533">
      <c r="A3533" s="114" t="inlineStr">
        <is>
          <t>570455</t>
        </is>
      </c>
      <c r="B3533" s="114" t="n">
        <v>14529</v>
      </c>
      <c r="C3533" s="114" t="inlineStr">
        <is>
          <t>United Kingdom</t>
        </is>
      </c>
      <c r="D3533" s="114" t="inlineStr">
        <is>
          <t>22337</t>
        </is>
      </c>
      <c r="E3533" s="114" t="inlineStr">
        <is>
          <t xml:space="preserve">ANGEL DECORATION PAINTED ZINC </t>
        </is>
      </c>
      <c r="F3533" s="114" t="n">
        <v>4</v>
      </c>
      <c r="G3533" s="115" t="n">
        <v>0.65</v>
      </c>
      <c r="H3533" s="115" t="n">
        <v>2.6</v>
      </c>
      <c r="I3533" s="116" t="n">
        <v>40826</v>
      </c>
    </row>
    <row r="3534">
      <c r="A3534" s="117" t="inlineStr">
        <is>
          <t>570455</t>
        </is>
      </c>
      <c r="B3534" s="117" t="n">
        <v>14529</v>
      </c>
      <c r="C3534" s="117" t="inlineStr">
        <is>
          <t>United Kingdom</t>
        </is>
      </c>
      <c r="D3534" s="117" t="inlineStr">
        <is>
          <t>21931</t>
        </is>
      </c>
      <c r="E3534" s="117" t="inlineStr">
        <is>
          <t>JUMBO STORAGE BAG SUKI</t>
        </is>
      </c>
      <c r="F3534" s="117" t="n">
        <v>1</v>
      </c>
      <c r="G3534" s="118" t="n">
        <v>2.08</v>
      </c>
      <c r="H3534" s="118" t="n">
        <v>2.08</v>
      </c>
      <c r="I3534" s="119" t="n">
        <v>40826</v>
      </c>
    </row>
    <row r="3535">
      <c r="A3535" s="114" t="inlineStr">
        <is>
          <t>570455</t>
        </is>
      </c>
      <c r="B3535" s="114" t="n">
        <v>14529</v>
      </c>
      <c r="C3535" s="114" t="inlineStr">
        <is>
          <t>United Kingdom</t>
        </is>
      </c>
      <c r="D3535" s="114" t="inlineStr">
        <is>
          <t>82583</t>
        </is>
      </c>
      <c r="E3535" s="114" t="inlineStr">
        <is>
          <t>HOT BATHS METAL SIGN</t>
        </is>
      </c>
      <c r="F3535" s="114" t="n">
        <v>1</v>
      </c>
      <c r="G3535" s="115" t="n">
        <v>2.1</v>
      </c>
      <c r="H3535" s="115" t="n">
        <v>2.1</v>
      </c>
      <c r="I3535" s="116" t="n">
        <v>40826</v>
      </c>
    </row>
    <row r="3536">
      <c r="A3536" s="117" t="inlineStr">
        <is>
          <t>570455</t>
        </is>
      </c>
      <c r="B3536" s="117" t="n">
        <v>14529</v>
      </c>
      <c r="C3536" s="117" t="inlineStr">
        <is>
          <t>United Kingdom</t>
        </is>
      </c>
      <c r="D3536" s="117" t="inlineStr">
        <is>
          <t>22666</t>
        </is>
      </c>
      <c r="E3536" s="117" t="inlineStr">
        <is>
          <t>RECIPE BOX PANTRY YELLOW DESIGN</t>
        </is>
      </c>
      <c r="F3536" s="117" t="n">
        <v>1</v>
      </c>
      <c r="G3536" s="118" t="n">
        <v>2.95</v>
      </c>
      <c r="H3536" s="118" t="n">
        <v>2.95</v>
      </c>
      <c r="I3536" s="119" t="n">
        <v>40826</v>
      </c>
    </row>
    <row r="3537">
      <c r="A3537" s="114" t="inlineStr">
        <is>
          <t>570458</t>
        </is>
      </c>
      <c r="B3537" s="114" t="n">
        <v>14535</v>
      </c>
      <c r="C3537" s="114" t="inlineStr">
        <is>
          <t>United Kingdom</t>
        </is>
      </c>
      <c r="D3537" s="114" t="inlineStr">
        <is>
          <t>23035</t>
        </is>
      </c>
      <c r="E3537" s="114" t="inlineStr">
        <is>
          <t>DRAWER KNOB CERAMIC IVORY</t>
        </is>
      </c>
      <c r="F3537" s="114" t="n">
        <v>6</v>
      </c>
      <c r="G3537" s="115" t="n">
        <v>1.45</v>
      </c>
      <c r="H3537" s="115" t="n">
        <v>8.699999999999999</v>
      </c>
      <c r="I3537" s="116" t="n">
        <v>40826</v>
      </c>
    </row>
    <row r="3538">
      <c r="A3538" s="117" t="inlineStr">
        <is>
          <t>570458</t>
        </is>
      </c>
      <c r="B3538" s="117" t="n">
        <v>14535</v>
      </c>
      <c r="C3538" s="117" t="inlineStr">
        <is>
          <t>United Kingdom</t>
        </is>
      </c>
      <c r="D3538" s="117" t="inlineStr">
        <is>
          <t>20754</t>
        </is>
      </c>
      <c r="E3538" s="117" t="inlineStr">
        <is>
          <t>RETROSPOT RED WASHING UP GLOVES</t>
        </is>
      </c>
      <c r="F3538" s="117" t="n">
        <v>4</v>
      </c>
      <c r="G3538" s="118" t="n">
        <v>2.1</v>
      </c>
      <c r="H3538" s="118" t="n">
        <v>8.4</v>
      </c>
      <c r="I3538" s="119" t="n">
        <v>40826</v>
      </c>
    </row>
    <row r="3539">
      <c r="A3539" s="114" t="inlineStr">
        <is>
          <t>570459</t>
        </is>
      </c>
      <c r="B3539" s="114" t="n">
        <v>15801</v>
      </c>
      <c r="C3539" s="114" t="inlineStr">
        <is>
          <t>United Kingdom</t>
        </is>
      </c>
      <c r="D3539" s="114" t="inlineStr">
        <is>
          <t>23405</t>
        </is>
      </c>
      <c r="E3539" s="114" t="inlineStr">
        <is>
          <t>HOME SWEET HOME 2 DRAWER CABINET</t>
        </is>
      </c>
      <c r="F3539" s="114" t="n">
        <v>4</v>
      </c>
      <c r="G3539" s="115" t="n">
        <v>4.95</v>
      </c>
      <c r="H3539" s="115" t="n">
        <v>19.8</v>
      </c>
      <c r="I3539" s="116" t="n">
        <v>40826</v>
      </c>
    </row>
    <row r="3540">
      <c r="A3540" s="117" t="inlineStr">
        <is>
          <t>570466</t>
        </is>
      </c>
      <c r="B3540" s="117" t="n">
        <v>16791</v>
      </c>
      <c r="C3540" s="117" t="inlineStr">
        <is>
          <t>United Kingdom</t>
        </is>
      </c>
      <c r="D3540" s="117" t="inlineStr">
        <is>
          <t>20726</t>
        </is>
      </c>
      <c r="E3540" s="117" t="inlineStr">
        <is>
          <t>LUNCH BAG WOODLAND</t>
        </is>
      </c>
      <c r="F3540" s="117" t="n">
        <v>1</v>
      </c>
      <c r="G3540" s="118" t="n">
        <v>1.65</v>
      </c>
      <c r="H3540" s="118" t="n">
        <v>1.65</v>
      </c>
      <c r="I3540" s="119" t="n">
        <v>40826</v>
      </c>
    </row>
    <row r="3541">
      <c r="A3541" s="114" t="inlineStr">
        <is>
          <t>570467</t>
        </is>
      </c>
      <c r="B3541" s="114" t="n">
        <v>12607</v>
      </c>
      <c r="C3541" s="114" t="inlineStr">
        <is>
          <t>USA</t>
        </is>
      </c>
      <c r="D3541" s="114" t="inlineStr">
        <is>
          <t>23290</t>
        </is>
      </c>
      <c r="E3541" s="114" t="inlineStr">
        <is>
          <t>SPACEBOY CHILDRENS BOWL</t>
        </is>
      </c>
      <c r="F3541" s="114" t="n">
        <v>8</v>
      </c>
      <c r="G3541" s="115" t="n">
        <v>1.25</v>
      </c>
      <c r="H3541" s="115" t="n">
        <v>10</v>
      </c>
      <c r="I3541" s="116" t="n">
        <v>40826</v>
      </c>
    </row>
    <row r="3542">
      <c r="A3542" s="117" t="inlineStr">
        <is>
          <t>570479</t>
        </is>
      </c>
      <c r="B3542" s="117" t="n">
        <v>17589</v>
      </c>
      <c r="C3542" s="117" t="inlineStr">
        <is>
          <t>United Kingdom</t>
        </is>
      </c>
      <c r="D3542" s="117" t="inlineStr">
        <is>
          <t>23285</t>
        </is>
      </c>
      <c r="E3542" s="117" t="inlineStr">
        <is>
          <t>PINK VINTAGE SPOT BEAKER</t>
        </is>
      </c>
      <c r="F3542" s="117" t="n">
        <v>5</v>
      </c>
      <c r="G3542" s="118" t="n">
        <v>0.85</v>
      </c>
      <c r="H3542" s="118" t="n">
        <v>4.25</v>
      </c>
      <c r="I3542" s="119" t="n">
        <v>40826</v>
      </c>
    </row>
    <row r="3543">
      <c r="A3543" s="114" t="inlineStr">
        <is>
          <t>570479</t>
        </is>
      </c>
      <c r="B3543" s="114" t="n">
        <v>17589</v>
      </c>
      <c r="C3543" s="114" t="inlineStr">
        <is>
          <t>United Kingdom</t>
        </is>
      </c>
      <c r="D3543" s="114" t="inlineStr">
        <is>
          <t>23290</t>
        </is>
      </c>
      <c r="E3543" s="114" t="inlineStr">
        <is>
          <t>SPACEBOY CHILDRENS BOWL</t>
        </is>
      </c>
      <c r="F3543" s="114" t="n">
        <v>5</v>
      </c>
      <c r="G3543" s="115" t="n">
        <v>1.25</v>
      </c>
      <c r="H3543" s="115" t="n">
        <v>6.25</v>
      </c>
      <c r="I3543" s="116" t="n">
        <v>40826</v>
      </c>
    </row>
    <row r="3544">
      <c r="A3544" s="117" t="inlineStr">
        <is>
          <t>570479</t>
        </is>
      </c>
      <c r="B3544" s="117" t="n">
        <v>17589</v>
      </c>
      <c r="C3544" s="117" t="inlineStr">
        <is>
          <t>United Kingdom</t>
        </is>
      </c>
      <c r="D3544" s="117" t="inlineStr">
        <is>
          <t>22111</t>
        </is>
      </c>
      <c r="E3544" s="117" t="inlineStr">
        <is>
          <t>SCOTTIE DOG HOT WATER BOTTLE</t>
        </is>
      </c>
      <c r="F3544" s="117" t="n">
        <v>2</v>
      </c>
      <c r="G3544" s="118" t="n">
        <v>4.95</v>
      </c>
      <c r="H3544" s="118" t="n">
        <v>9.9</v>
      </c>
      <c r="I3544" s="119" t="n">
        <v>40826</v>
      </c>
    </row>
    <row r="3545">
      <c r="A3545" s="114" t="inlineStr">
        <is>
          <t>570488</t>
        </is>
      </c>
      <c r="B3545" s="114" t="n">
        <v>14096</v>
      </c>
      <c r="C3545" s="114" t="inlineStr">
        <is>
          <t>United Kingdom</t>
        </is>
      </c>
      <c r="D3545" s="114" t="inlineStr">
        <is>
          <t>22982</t>
        </is>
      </c>
      <c r="E3545" s="114" t="inlineStr">
        <is>
          <t>PANTRY PASTRY BRUSH</t>
        </is>
      </c>
      <c r="F3545" s="114" t="n">
        <v>3</v>
      </c>
      <c r="G3545" s="115" t="n">
        <v>2.46</v>
      </c>
      <c r="H3545" s="115" t="n">
        <v>7.38</v>
      </c>
      <c r="I3545" s="116" t="n">
        <v>40826</v>
      </c>
    </row>
    <row r="3546">
      <c r="A3546" s="117" t="inlineStr">
        <is>
          <t>570488</t>
        </is>
      </c>
      <c r="B3546" s="117" t="n">
        <v>14096</v>
      </c>
      <c r="C3546" s="117" t="inlineStr">
        <is>
          <t>United Kingdom</t>
        </is>
      </c>
      <c r="D3546" s="117" t="inlineStr">
        <is>
          <t>22819</t>
        </is>
      </c>
      <c r="E3546" s="117" t="inlineStr">
        <is>
          <t>BIRTHDAY CARD, RETRO SPOT</t>
        </is>
      </c>
      <c r="F3546" s="117" t="n">
        <v>1</v>
      </c>
      <c r="G3546" s="118" t="n">
        <v>0.42</v>
      </c>
      <c r="H3546" s="118" t="n">
        <v>0.42</v>
      </c>
      <c r="I3546" s="119" t="n">
        <v>40826</v>
      </c>
    </row>
    <row r="3547">
      <c r="A3547" s="114" t="inlineStr">
        <is>
          <t>570488</t>
        </is>
      </c>
      <c r="B3547" s="114" t="n">
        <v>14096</v>
      </c>
      <c r="C3547" s="114" t="inlineStr">
        <is>
          <t>United Kingdom</t>
        </is>
      </c>
      <c r="D3547" s="114" t="inlineStr">
        <is>
          <t>21025</t>
        </is>
      </c>
      <c r="E3547" s="114" t="inlineStr">
        <is>
          <t>SPACE FROG</t>
        </is>
      </c>
      <c r="F3547" s="114" t="n">
        <v>1</v>
      </c>
      <c r="G3547" s="115" t="n">
        <v>2.46</v>
      </c>
      <c r="H3547" s="115" t="n">
        <v>2.46</v>
      </c>
      <c r="I3547" s="116" t="n">
        <v>40826</v>
      </c>
    </row>
    <row r="3548">
      <c r="A3548" s="117" t="inlineStr">
        <is>
          <t>570488</t>
        </is>
      </c>
      <c r="B3548" s="117" t="n">
        <v>14096</v>
      </c>
      <c r="C3548" s="117" t="inlineStr">
        <is>
          <t>United Kingdom</t>
        </is>
      </c>
      <c r="D3548" s="117" t="inlineStr">
        <is>
          <t>22074</t>
        </is>
      </c>
      <c r="E3548" s="117" t="inlineStr">
        <is>
          <t xml:space="preserve">6 RIBBONS SHIMMERING PINKS </t>
        </is>
      </c>
      <c r="F3548" s="117" t="n">
        <v>1</v>
      </c>
      <c r="G3548" s="118" t="n">
        <v>3.29</v>
      </c>
      <c r="H3548" s="118" t="n">
        <v>3.29</v>
      </c>
      <c r="I3548" s="119" t="n">
        <v>40826</v>
      </c>
    </row>
    <row r="3549">
      <c r="A3549" s="114" t="inlineStr">
        <is>
          <t>570488</t>
        </is>
      </c>
      <c r="B3549" s="114" t="n">
        <v>14096</v>
      </c>
      <c r="C3549" s="114" t="inlineStr">
        <is>
          <t>United Kingdom</t>
        </is>
      </c>
      <c r="D3549" s="114" t="inlineStr">
        <is>
          <t>22494</t>
        </is>
      </c>
      <c r="E3549" s="114" t="inlineStr">
        <is>
          <t xml:space="preserve">EMERGENCY FIRST AID TIN </t>
        </is>
      </c>
      <c r="F3549" s="114" t="n">
        <v>2</v>
      </c>
      <c r="G3549" s="115" t="n">
        <v>2.46</v>
      </c>
      <c r="H3549" s="115" t="n">
        <v>4.92</v>
      </c>
      <c r="I3549" s="116" t="n">
        <v>40826</v>
      </c>
    </row>
    <row r="3550">
      <c r="A3550" s="117" t="inlineStr">
        <is>
          <t>570491</t>
        </is>
      </c>
      <c r="B3550" s="117" t="n">
        <v>14395</v>
      </c>
      <c r="C3550" s="117" t="inlineStr">
        <is>
          <t>United Kingdom</t>
        </is>
      </c>
      <c r="D3550" s="117" t="inlineStr">
        <is>
          <t>21174</t>
        </is>
      </c>
      <c r="E3550" s="117" t="inlineStr">
        <is>
          <t>POTTERING IN THE SHED METAL SIGN</t>
        </is>
      </c>
      <c r="F3550" s="117" t="n">
        <v>4</v>
      </c>
      <c r="G3550" s="118" t="n">
        <v>2.08</v>
      </c>
      <c r="H3550" s="118" t="n">
        <v>8.32</v>
      </c>
      <c r="I3550" s="119" t="n">
        <v>40826</v>
      </c>
    </row>
    <row r="3551">
      <c r="A3551" s="114" t="inlineStr">
        <is>
          <t>570492</t>
        </is>
      </c>
      <c r="B3551" s="114" t="n">
        <v>14194</v>
      </c>
      <c r="C3551" s="114" t="inlineStr">
        <is>
          <t>United Kingdom</t>
        </is>
      </c>
      <c r="D3551" s="114" t="inlineStr">
        <is>
          <t>85099B</t>
        </is>
      </c>
      <c r="E3551" s="114" t="inlineStr">
        <is>
          <t>JUMBO BAG RED RETROSPOT</t>
        </is>
      </c>
      <c r="F3551" s="114" t="n">
        <v>10</v>
      </c>
      <c r="G3551" s="115" t="n">
        <v>2.08</v>
      </c>
      <c r="H3551" s="115" t="n">
        <v>20.8</v>
      </c>
      <c r="I3551" s="116" t="n">
        <v>40827</v>
      </c>
    </row>
    <row r="3552">
      <c r="A3552" s="117" t="inlineStr">
        <is>
          <t>570500</t>
        </is>
      </c>
      <c r="B3552" s="117" t="n">
        <v>15858</v>
      </c>
      <c r="C3552" s="117" t="inlineStr">
        <is>
          <t>United Kingdom</t>
        </is>
      </c>
      <c r="D3552" s="117" t="inlineStr">
        <is>
          <t>22851</t>
        </is>
      </c>
      <c r="E3552" s="117" t="inlineStr">
        <is>
          <t xml:space="preserve">SET 20 NAPKINS FAIRY CAKES DESIGN </t>
        </is>
      </c>
      <c r="F3552" s="117" t="n">
        <v>1</v>
      </c>
      <c r="G3552" s="118" t="n">
        <v>0.85</v>
      </c>
      <c r="H3552" s="118" t="n">
        <v>0.85</v>
      </c>
      <c r="I3552" s="119" t="n">
        <v>40827</v>
      </c>
    </row>
    <row r="3553">
      <c r="A3553" s="114" t="inlineStr">
        <is>
          <t>570503</t>
        </is>
      </c>
      <c r="B3553" s="114" t="n">
        <v>17965</v>
      </c>
      <c r="C3553" s="114" t="inlineStr">
        <is>
          <t>United Kingdom</t>
        </is>
      </c>
      <c r="D3553" s="114" t="inlineStr">
        <is>
          <t>23520</t>
        </is>
      </c>
      <c r="E3553" s="114" t="inlineStr">
        <is>
          <t xml:space="preserve">EMBROIDERED RIBBON REEL RUBY </t>
        </is>
      </c>
      <c r="F3553" s="114" t="n">
        <v>1</v>
      </c>
      <c r="G3553" s="115" t="n">
        <v>3.75</v>
      </c>
      <c r="H3553" s="115" t="n">
        <v>3.75</v>
      </c>
      <c r="I3553" s="116" t="n">
        <v>40827</v>
      </c>
    </row>
    <row r="3554">
      <c r="A3554" s="117" t="inlineStr">
        <is>
          <t>570507</t>
        </is>
      </c>
      <c r="B3554" s="117" t="n">
        <v>16561</v>
      </c>
      <c r="C3554" s="117" t="inlineStr">
        <is>
          <t>United Kingdom</t>
        </is>
      </c>
      <c r="D3554" s="117" t="inlineStr">
        <is>
          <t>23265</t>
        </is>
      </c>
      <c r="E3554" s="117" t="inlineStr">
        <is>
          <t>SET OF 3 WOODEN TREE DECORATIONS</t>
        </is>
      </c>
      <c r="F3554" s="117" t="n">
        <v>12</v>
      </c>
      <c r="G3554" s="118" t="n">
        <v>1.25</v>
      </c>
      <c r="H3554" s="118" t="n">
        <v>15</v>
      </c>
      <c r="I3554" s="119" t="n">
        <v>40827</v>
      </c>
    </row>
    <row r="3555">
      <c r="A3555" s="114" t="inlineStr">
        <is>
          <t>570507</t>
        </is>
      </c>
      <c r="B3555" s="114" t="n">
        <v>16561</v>
      </c>
      <c r="C3555" s="114" t="inlineStr">
        <is>
          <t>United Kingdom</t>
        </is>
      </c>
      <c r="D3555" s="114" t="inlineStr">
        <is>
          <t>23263</t>
        </is>
      </c>
      <c r="E3555" s="114" t="inlineStr">
        <is>
          <t>SET OF 3 WOODEN HEART DECORATIONS</t>
        </is>
      </c>
      <c r="F3555" s="114" t="n">
        <v>12</v>
      </c>
      <c r="G3555" s="115" t="n">
        <v>1.25</v>
      </c>
      <c r="H3555" s="115" t="n">
        <v>15</v>
      </c>
      <c r="I3555" s="116" t="n">
        <v>40827</v>
      </c>
    </row>
    <row r="3556">
      <c r="A3556" s="117" t="inlineStr">
        <is>
          <t>570517</t>
        </is>
      </c>
      <c r="B3556" s="117" t="n">
        <v>13971</v>
      </c>
      <c r="C3556" s="117" t="inlineStr">
        <is>
          <t>United Kingdom</t>
        </is>
      </c>
      <c r="D3556" s="117" t="inlineStr">
        <is>
          <t>82582</t>
        </is>
      </c>
      <c r="E3556" s="117" t="inlineStr">
        <is>
          <t>AREA PATROLLED METAL SIGN</t>
        </is>
      </c>
      <c r="F3556" s="117" t="n">
        <v>12</v>
      </c>
      <c r="G3556" s="118" t="n">
        <v>2.1</v>
      </c>
      <c r="H3556" s="118" t="n">
        <v>25.2</v>
      </c>
      <c r="I3556" s="119" t="n">
        <v>40827</v>
      </c>
    </row>
    <row r="3557">
      <c r="A3557" s="114" t="inlineStr">
        <is>
          <t>570555</t>
        </is>
      </c>
      <c r="B3557" s="114" t="n">
        <v>17119</v>
      </c>
      <c r="C3557" s="114" t="inlineStr">
        <is>
          <t>United Kingdom</t>
        </is>
      </c>
      <c r="D3557" s="114" t="inlineStr">
        <is>
          <t>22215</t>
        </is>
      </c>
      <c r="E3557" s="114" t="inlineStr">
        <is>
          <t>CAKE STAND WHITE TWO TIER LACE</t>
        </is>
      </c>
      <c r="F3557" s="114" t="n">
        <v>2</v>
      </c>
      <c r="G3557" s="115" t="n">
        <v>8.5</v>
      </c>
      <c r="H3557" s="115" t="n">
        <v>17</v>
      </c>
      <c r="I3557" s="116" t="n">
        <v>40827</v>
      </c>
    </row>
    <row r="3558">
      <c r="A3558" s="117" t="inlineStr">
        <is>
          <t>570590</t>
        </is>
      </c>
      <c r="B3558" s="117" t="n">
        <v>18075</v>
      </c>
      <c r="C3558" s="117" t="inlineStr">
        <is>
          <t>United Kingdom</t>
        </is>
      </c>
      <c r="D3558" s="117" t="inlineStr">
        <is>
          <t>22771</t>
        </is>
      </c>
      <c r="E3558" s="117" t="inlineStr">
        <is>
          <t>CLEAR DRAWER KNOB ACRYLIC EDWARDIAN</t>
        </is>
      </c>
      <c r="F3558" s="117" t="n">
        <v>12</v>
      </c>
      <c r="G3558" s="118" t="n">
        <v>1.25</v>
      </c>
      <c r="H3558" s="118" t="n">
        <v>15</v>
      </c>
      <c r="I3558" s="119" t="n">
        <v>40827</v>
      </c>
    </row>
    <row r="3559">
      <c r="A3559" s="114" t="inlineStr">
        <is>
          <t>570594</t>
        </is>
      </c>
      <c r="B3559" s="114" t="n">
        <v>13517</v>
      </c>
      <c r="C3559" s="114" t="inlineStr">
        <is>
          <t>United Kingdom</t>
        </is>
      </c>
      <c r="D3559" s="114" t="inlineStr">
        <is>
          <t>23300</t>
        </is>
      </c>
      <c r="E3559" s="114" t="inlineStr">
        <is>
          <t xml:space="preserve">GARDENERS KNEELING PAD CUP OF TEA </t>
        </is>
      </c>
      <c r="F3559" s="114" t="n">
        <v>12</v>
      </c>
      <c r="G3559" s="115" t="n">
        <v>1.65</v>
      </c>
      <c r="H3559" s="115" t="n">
        <v>19.8</v>
      </c>
      <c r="I3559" s="116" t="n">
        <v>40827</v>
      </c>
    </row>
    <row r="3560">
      <c r="A3560" s="117" t="inlineStr">
        <is>
          <t>570597</t>
        </is>
      </c>
      <c r="B3560" s="117" t="n">
        <v>16837</v>
      </c>
      <c r="C3560" s="117" t="inlineStr">
        <is>
          <t>United Kingdom</t>
        </is>
      </c>
      <c r="D3560" s="117" t="inlineStr">
        <is>
          <t>22986</t>
        </is>
      </c>
      <c r="E3560" s="117" t="inlineStr">
        <is>
          <t xml:space="preserve">WRAP GINGHAM ROSE </t>
        </is>
      </c>
      <c r="F3560" s="117" t="n">
        <v>25</v>
      </c>
      <c r="G3560" s="118" t="n">
        <v>0.42</v>
      </c>
      <c r="H3560" s="118" t="n">
        <v>10.5</v>
      </c>
      <c r="I3560" s="119" t="n">
        <v>40827</v>
      </c>
    </row>
    <row r="3561">
      <c r="A3561" s="114" t="inlineStr">
        <is>
          <t>570640</t>
        </is>
      </c>
      <c r="B3561" s="114" t="n">
        <v>12474</v>
      </c>
      <c r="C3561" s="114" t="inlineStr">
        <is>
          <t>Germany</t>
        </is>
      </c>
      <c r="D3561" s="114" t="inlineStr">
        <is>
          <t>23291</t>
        </is>
      </c>
      <c r="E3561" s="114" t="inlineStr">
        <is>
          <t>DOLLY GIRL CHILDRENS CUP</t>
        </is>
      </c>
      <c r="F3561" s="114" t="n">
        <v>8</v>
      </c>
      <c r="G3561" s="115" t="n">
        <v>1.25</v>
      </c>
      <c r="H3561" s="115" t="n">
        <v>10</v>
      </c>
      <c r="I3561" s="116" t="n">
        <v>40827</v>
      </c>
    </row>
    <row r="3562">
      <c r="A3562" s="117" t="inlineStr">
        <is>
          <t>570652</t>
        </is>
      </c>
      <c r="B3562" s="117" t="n">
        <v>17863</v>
      </c>
      <c r="C3562" s="117" t="inlineStr">
        <is>
          <t>United Kingdom</t>
        </is>
      </c>
      <c r="D3562" s="117" t="inlineStr">
        <is>
          <t>22733</t>
        </is>
      </c>
      <c r="E3562" s="117" t="inlineStr">
        <is>
          <t>3D TRADITIONAL CHRISTMAS STICKERS</t>
        </is>
      </c>
      <c r="F3562" s="117" t="n">
        <v>36</v>
      </c>
      <c r="G3562" s="118" t="n">
        <v>1.25</v>
      </c>
      <c r="H3562" s="118" t="n">
        <v>45</v>
      </c>
      <c r="I3562" s="119" t="n">
        <v>40827</v>
      </c>
    </row>
    <row r="3563">
      <c r="A3563" s="114" t="inlineStr">
        <is>
          <t>570657</t>
        </is>
      </c>
      <c r="B3563" s="114" t="n">
        <v>14911</v>
      </c>
      <c r="C3563" s="114" t="inlineStr">
        <is>
          <t>EIRE</t>
        </is>
      </c>
      <c r="D3563" s="114" t="inlineStr">
        <is>
          <t>22637</t>
        </is>
      </c>
      <c r="E3563" s="114" t="inlineStr">
        <is>
          <t xml:space="preserve">PIGGY BANK RETROSPOT </t>
        </is>
      </c>
      <c r="F3563" s="114" t="n">
        <v>6</v>
      </c>
      <c r="G3563" s="115" t="n">
        <v>2.55</v>
      </c>
      <c r="H3563" s="115" t="n">
        <v>15.3</v>
      </c>
      <c r="I3563" s="116" t="n">
        <v>40827</v>
      </c>
    </row>
    <row r="3564">
      <c r="A3564" s="117" t="inlineStr">
        <is>
          <t>570666</t>
        </is>
      </c>
      <c r="B3564" s="117" t="n">
        <v>13919</v>
      </c>
      <c r="C3564" s="117" t="inlineStr">
        <is>
          <t>Denmark</t>
        </is>
      </c>
      <c r="D3564" s="117" t="inlineStr">
        <is>
          <t>22961</t>
        </is>
      </c>
      <c r="E3564" s="117" t="inlineStr">
        <is>
          <t>JAM MAKING SET PRINTED</t>
        </is>
      </c>
      <c r="F3564" s="117" t="n">
        <v>12</v>
      </c>
      <c r="G3564" s="118" t="n">
        <v>1.45</v>
      </c>
      <c r="H3564" s="118" t="n">
        <v>17.4</v>
      </c>
      <c r="I3564" s="119" t="n">
        <v>40827</v>
      </c>
    </row>
    <row r="3565">
      <c r="A3565" s="114" t="inlineStr">
        <is>
          <t>570672</t>
        </is>
      </c>
      <c r="B3565" s="114" t="n">
        <v>12536</v>
      </c>
      <c r="C3565" s="114" t="inlineStr">
        <is>
          <t>France</t>
        </is>
      </c>
      <c r="D3565" s="114" t="inlineStr">
        <is>
          <t>21136</t>
        </is>
      </c>
      <c r="E3565" s="114" t="inlineStr">
        <is>
          <t>PAINTED METAL PEARS ASSORTED</t>
        </is>
      </c>
      <c r="F3565" s="114" t="n">
        <v>8</v>
      </c>
      <c r="G3565" s="115" t="n">
        <v>1.69</v>
      </c>
      <c r="H3565" s="115" t="n">
        <v>13.52</v>
      </c>
      <c r="I3565" s="116" t="n">
        <v>40827</v>
      </c>
    </row>
    <row r="3566">
      <c r="A3566" s="117" t="inlineStr">
        <is>
          <t>570672</t>
        </is>
      </c>
      <c r="B3566" s="117" t="n">
        <v>12536</v>
      </c>
      <c r="C3566" s="117" t="inlineStr">
        <is>
          <t>France</t>
        </is>
      </c>
      <c r="D3566" s="117" t="inlineStr">
        <is>
          <t>21531</t>
        </is>
      </c>
      <c r="E3566" s="117" t="inlineStr">
        <is>
          <t>RED RETROSPOT SUGAR JAM BOWL</t>
        </is>
      </c>
      <c r="F3566" s="117" t="n">
        <v>6</v>
      </c>
      <c r="G3566" s="118" t="n">
        <v>2.55</v>
      </c>
      <c r="H3566" s="118" t="n">
        <v>15.3</v>
      </c>
      <c r="I3566" s="119" t="n">
        <v>40827</v>
      </c>
    </row>
    <row r="3567">
      <c r="A3567" s="114" t="inlineStr">
        <is>
          <t>570672</t>
        </is>
      </c>
      <c r="B3567" s="114" t="n">
        <v>12536</v>
      </c>
      <c r="C3567" s="114" t="inlineStr">
        <is>
          <t>France</t>
        </is>
      </c>
      <c r="D3567" s="114" t="inlineStr">
        <is>
          <t>21125</t>
        </is>
      </c>
      <c r="E3567" s="114" t="inlineStr">
        <is>
          <t>SET 6 FOOTBALL CELEBRATION CANDLES</t>
        </is>
      </c>
      <c r="F3567" s="114" t="n">
        <v>12</v>
      </c>
      <c r="G3567" s="115" t="n">
        <v>1.25</v>
      </c>
      <c r="H3567" s="115" t="n">
        <v>15</v>
      </c>
      <c r="I3567" s="116" t="n">
        <v>40827</v>
      </c>
    </row>
    <row r="3568">
      <c r="A3568" s="117" t="inlineStr">
        <is>
          <t>570672</t>
        </is>
      </c>
      <c r="B3568" s="117" t="n">
        <v>12536</v>
      </c>
      <c r="C3568" s="117" t="inlineStr">
        <is>
          <t>France</t>
        </is>
      </c>
      <c r="D3568" s="117" t="inlineStr">
        <is>
          <t>23108</t>
        </is>
      </c>
      <c r="E3568" s="117" t="inlineStr">
        <is>
          <t>SET OF 10 LED DOLLY LIGHTS</t>
        </is>
      </c>
      <c r="F3568" s="117" t="n">
        <v>2</v>
      </c>
      <c r="G3568" s="118" t="n">
        <v>6.25</v>
      </c>
      <c r="H3568" s="118" t="n">
        <v>12.5</v>
      </c>
      <c r="I3568" s="119" t="n">
        <v>40827</v>
      </c>
    </row>
    <row r="3569">
      <c r="A3569" s="114" t="inlineStr">
        <is>
          <t>570672</t>
        </is>
      </c>
      <c r="B3569" s="114" t="n">
        <v>12536</v>
      </c>
      <c r="C3569" s="114" t="inlineStr">
        <is>
          <t>France</t>
        </is>
      </c>
      <c r="D3569" s="114" t="inlineStr">
        <is>
          <t>22133</t>
        </is>
      </c>
      <c r="E3569" s="114" t="inlineStr">
        <is>
          <t>PINK LOVE HEART SHAPE CUP</t>
        </is>
      </c>
      <c r="F3569" s="114" t="n">
        <v>12</v>
      </c>
      <c r="G3569" s="115" t="n">
        <v>0.85</v>
      </c>
      <c r="H3569" s="115" t="n">
        <v>10.2</v>
      </c>
      <c r="I3569" s="116" t="n">
        <v>40827</v>
      </c>
    </row>
    <row r="3570">
      <c r="A3570" s="117" t="inlineStr">
        <is>
          <t>570680</t>
        </is>
      </c>
      <c r="B3570" s="117" t="n">
        <v>13969</v>
      </c>
      <c r="C3570" s="117" t="inlineStr">
        <is>
          <t>United Kingdom</t>
        </is>
      </c>
      <c r="D3570" s="117" t="inlineStr">
        <is>
          <t>21155</t>
        </is>
      </c>
      <c r="E3570" s="117" t="inlineStr">
        <is>
          <t>RED RETROSPOT PEG BAG</t>
        </is>
      </c>
      <c r="F3570" s="117" t="n">
        <v>8</v>
      </c>
      <c r="G3570" s="118" t="n">
        <v>2.55</v>
      </c>
      <c r="H3570" s="118" t="n">
        <v>20.4</v>
      </c>
      <c r="I3570" s="119" t="n">
        <v>40827</v>
      </c>
    </row>
    <row r="3571">
      <c r="A3571" s="114" t="inlineStr">
        <is>
          <t>570693</t>
        </is>
      </c>
      <c r="B3571" s="114" t="n">
        <v>16161</v>
      </c>
      <c r="C3571" s="114" t="inlineStr">
        <is>
          <t>United Kingdom</t>
        </is>
      </c>
      <c r="D3571" s="114" t="inlineStr">
        <is>
          <t>23265</t>
        </is>
      </c>
      <c r="E3571" s="114" t="inlineStr">
        <is>
          <t>SET OF 3 WOODEN TREE DECORATIONS</t>
        </is>
      </c>
      <c r="F3571" s="114" t="n">
        <v>2</v>
      </c>
      <c r="G3571" s="115" t="n">
        <v>1.25</v>
      </c>
      <c r="H3571" s="115" t="n">
        <v>2.5</v>
      </c>
      <c r="I3571" s="116" t="n">
        <v>40827</v>
      </c>
    </row>
    <row r="3572">
      <c r="A3572" s="117" t="inlineStr">
        <is>
          <t>570703</t>
        </is>
      </c>
      <c r="B3572" s="117" t="n">
        <v>14911</v>
      </c>
      <c r="C3572" s="117" t="inlineStr">
        <is>
          <t>EIRE</t>
        </is>
      </c>
      <c r="D3572" s="117" t="inlineStr">
        <is>
          <t>21175</t>
        </is>
      </c>
      <c r="E3572" s="117" t="inlineStr">
        <is>
          <t>GIN + TONIC DIET METAL SIGN</t>
        </is>
      </c>
      <c r="F3572" s="117" t="n">
        <v>12</v>
      </c>
      <c r="G3572" s="118" t="n">
        <v>2.55</v>
      </c>
      <c r="H3572" s="118" t="n">
        <v>30.6</v>
      </c>
      <c r="I3572" s="119" t="n">
        <v>40828</v>
      </c>
    </row>
    <row r="3573">
      <c r="A3573" s="114" t="inlineStr">
        <is>
          <t>570713</t>
        </is>
      </c>
      <c r="B3573" s="114" t="n">
        <v>17064</v>
      </c>
      <c r="C3573" s="114" t="inlineStr">
        <is>
          <t>United Kingdom</t>
        </is>
      </c>
      <c r="D3573" s="114" t="inlineStr">
        <is>
          <t>22720</t>
        </is>
      </c>
      <c r="E3573" s="114" t="inlineStr">
        <is>
          <t xml:space="preserve">SET OF 3 CAKE TINS PANTRY DESIGN </t>
        </is>
      </c>
      <c r="F3573" s="114" t="n">
        <v>3</v>
      </c>
      <c r="G3573" s="115" t="n">
        <v>4.95</v>
      </c>
      <c r="H3573" s="115" t="n">
        <v>14.85</v>
      </c>
      <c r="I3573" s="116" t="n">
        <v>40828</v>
      </c>
    </row>
    <row r="3574">
      <c r="A3574" s="117" t="inlineStr">
        <is>
          <t>570715</t>
        </is>
      </c>
      <c r="B3574" s="117" t="n">
        <v>18287</v>
      </c>
      <c r="C3574" s="117" t="inlineStr">
        <is>
          <t>United Kingdom</t>
        </is>
      </c>
      <c r="D3574" s="117" t="inlineStr">
        <is>
          <t>47421</t>
        </is>
      </c>
      <c r="E3574" s="117" t="inlineStr">
        <is>
          <t>ASSORTED COLOUR LIZARD SUCTION HOOK</t>
        </is>
      </c>
      <c r="F3574" s="117" t="n">
        <v>24</v>
      </c>
      <c r="G3574" s="118" t="n">
        <v>0.42</v>
      </c>
      <c r="H3574" s="118" t="n">
        <v>10.08</v>
      </c>
      <c r="I3574" s="119" t="n">
        <v>40828</v>
      </c>
    </row>
    <row r="3575">
      <c r="A3575" s="114" t="inlineStr">
        <is>
          <t>570715</t>
        </is>
      </c>
      <c r="B3575" s="114" t="n">
        <v>18287</v>
      </c>
      <c r="C3575" s="114" t="inlineStr">
        <is>
          <t>United Kingdom</t>
        </is>
      </c>
      <c r="D3575" s="114" t="inlineStr">
        <is>
          <t>23076</t>
        </is>
      </c>
      <c r="E3575" s="114" t="inlineStr">
        <is>
          <t>ICE CREAM SUNDAE LIP GLOSS</t>
        </is>
      </c>
      <c r="F3575" s="114" t="n">
        <v>24</v>
      </c>
      <c r="G3575" s="115" t="n">
        <v>1.25</v>
      </c>
      <c r="H3575" s="115" t="n">
        <v>30</v>
      </c>
      <c r="I3575" s="116" t="n">
        <v>40828</v>
      </c>
    </row>
    <row r="3576">
      <c r="A3576" s="117" t="inlineStr">
        <is>
          <t>570718</t>
        </is>
      </c>
      <c r="B3576" s="117" t="n">
        <v>12518</v>
      </c>
      <c r="C3576" s="117" t="inlineStr">
        <is>
          <t>Germany</t>
        </is>
      </c>
      <c r="D3576" s="117" t="inlineStr">
        <is>
          <t>22728</t>
        </is>
      </c>
      <c r="E3576" s="117" t="inlineStr">
        <is>
          <t>ALARM CLOCK BAKELIKE PINK</t>
        </is>
      </c>
      <c r="F3576" s="117" t="n">
        <v>4</v>
      </c>
      <c r="G3576" s="118" t="n">
        <v>3.75</v>
      </c>
      <c r="H3576" s="118" t="n">
        <v>15</v>
      </c>
      <c r="I3576" s="119" t="n">
        <v>40828</v>
      </c>
    </row>
    <row r="3577">
      <c r="A3577" s="114" t="inlineStr">
        <is>
          <t>570754</t>
        </is>
      </c>
      <c r="B3577" s="114" t="n">
        <v>12633</v>
      </c>
      <c r="C3577" s="114" t="inlineStr">
        <is>
          <t>Germany</t>
        </is>
      </c>
      <c r="D3577" s="114" t="inlineStr">
        <is>
          <t>21558</t>
        </is>
      </c>
      <c r="E3577" s="114" t="inlineStr">
        <is>
          <t xml:space="preserve">SKULL LUNCH BOX WITH CUTLERY </t>
        </is>
      </c>
      <c r="F3577" s="114" t="n">
        <v>6</v>
      </c>
      <c r="G3577" s="115" t="n">
        <v>2.55</v>
      </c>
      <c r="H3577" s="115" t="n">
        <v>15.3</v>
      </c>
      <c r="I3577" s="116" t="n">
        <v>40828</v>
      </c>
    </row>
    <row r="3578">
      <c r="A3578" s="117" t="inlineStr">
        <is>
          <t>570791</t>
        </is>
      </c>
      <c r="B3578" s="117" t="n">
        <v>17346</v>
      </c>
      <c r="C3578" s="117" t="inlineStr">
        <is>
          <t>United Kingdom</t>
        </is>
      </c>
      <c r="D3578" s="117" t="inlineStr">
        <is>
          <t>23333</t>
        </is>
      </c>
      <c r="E3578" s="117" t="inlineStr">
        <is>
          <t>IVORY WICKER HEART MEDIUM</t>
        </is>
      </c>
      <c r="F3578" s="117" t="n">
        <v>3</v>
      </c>
      <c r="G3578" s="118" t="n">
        <v>1.25</v>
      </c>
      <c r="H3578" s="118" t="n">
        <v>3.75</v>
      </c>
      <c r="I3578" s="119" t="n">
        <v>40828</v>
      </c>
    </row>
    <row r="3579">
      <c r="A3579" s="114" t="inlineStr">
        <is>
          <t>570793</t>
        </is>
      </c>
      <c r="B3579" s="114" t="n">
        <v>12444</v>
      </c>
      <c r="C3579" s="114" t="inlineStr">
        <is>
          <t>Norway</t>
        </is>
      </c>
      <c r="D3579" s="114" t="inlineStr">
        <is>
          <t>23404</t>
        </is>
      </c>
      <c r="E3579" s="114" t="inlineStr">
        <is>
          <t>HOME SWEET HOME BLACKBOARD</t>
        </is>
      </c>
      <c r="F3579" s="114" t="n">
        <v>6</v>
      </c>
      <c r="G3579" s="115" t="n">
        <v>4.95</v>
      </c>
      <c r="H3579" s="115" t="n">
        <v>29.7</v>
      </c>
      <c r="I3579" s="116" t="n">
        <v>40828</v>
      </c>
    </row>
    <row r="3580">
      <c r="A3580" s="117" t="inlineStr">
        <is>
          <t>570806</t>
        </is>
      </c>
      <c r="B3580" s="117" t="n">
        <v>13115</v>
      </c>
      <c r="C3580" s="117" t="inlineStr">
        <is>
          <t>United Kingdom</t>
        </is>
      </c>
      <c r="D3580" s="117" t="inlineStr">
        <is>
          <t>22758</t>
        </is>
      </c>
      <c r="E3580" s="117" t="inlineStr">
        <is>
          <t xml:space="preserve">LARGE PURPLE BABUSHKA NOTEBOOK  </t>
        </is>
      </c>
      <c r="F3580" s="117" t="n">
        <v>12</v>
      </c>
      <c r="G3580" s="118" t="n">
        <v>1.25</v>
      </c>
      <c r="H3580" s="118" t="n">
        <v>15</v>
      </c>
      <c r="I3580" s="119" t="n">
        <v>40828</v>
      </c>
    </row>
    <row r="3581">
      <c r="A3581" s="114" t="inlineStr">
        <is>
          <t>570818</t>
        </is>
      </c>
      <c r="B3581" s="114" t="n">
        <v>17841</v>
      </c>
      <c r="C3581" s="114" t="inlineStr">
        <is>
          <t>United Kingdom</t>
        </is>
      </c>
      <c r="D3581" s="114" t="inlineStr">
        <is>
          <t>21523</t>
        </is>
      </c>
      <c r="E3581" s="114" t="inlineStr">
        <is>
          <t>DOORMAT FANCY FONT HOME SWEET HOME</t>
        </is>
      </c>
      <c r="F3581" s="114" t="n">
        <v>3</v>
      </c>
      <c r="G3581" s="115" t="n">
        <v>8.25</v>
      </c>
      <c r="H3581" s="115" t="n">
        <v>24.75</v>
      </c>
      <c r="I3581" s="116" t="n">
        <v>40828</v>
      </c>
    </row>
    <row r="3582">
      <c r="A3582" s="117" t="inlineStr">
        <is>
          <t>570818</t>
        </is>
      </c>
      <c r="B3582" s="117" t="n">
        <v>17841</v>
      </c>
      <c r="C3582" s="117" t="inlineStr">
        <is>
          <t>United Kingdom</t>
        </is>
      </c>
      <c r="D3582" s="117" t="inlineStr">
        <is>
          <t>22597</t>
        </is>
      </c>
      <c r="E3582" s="117" t="inlineStr">
        <is>
          <t xml:space="preserve">MUSICAL ZINC HEART DECORATION </t>
        </is>
      </c>
      <c r="F3582" s="117" t="n">
        <v>1</v>
      </c>
      <c r="G3582" s="118" t="n">
        <v>0.29</v>
      </c>
      <c r="H3582" s="118" t="n">
        <v>0.29</v>
      </c>
      <c r="I3582" s="119" t="n">
        <v>40828</v>
      </c>
    </row>
    <row r="3583">
      <c r="A3583" s="114" t="inlineStr">
        <is>
          <t>570821</t>
        </is>
      </c>
      <c r="B3583" s="114" t="n">
        <v>17173</v>
      </c>
      <c r="C3583" s="114" t="inlineStr">
        <is>
          <t>United Kingdom</t>
        </is>
      </c>
      <c r="D3583" s="114" t="inlineStr">
        <is>
          <t>22940</t>
        </is>
      </c>
      <c r="E3583" s="114" t="inlineStr">
        <is>
          <t>FELTCRAFT CHRISTMAS FAIRY</t>
        </is>
      </c>
      <c r="F3583" s="114" t="n">
        <v>12</v>
      </c>
      <c r="G3583" s="115" t="n">
        <v>3.75</v>
      </c>
      <c r="H3583" s="115" t="n">
        <v>45</v>
      </c>
      <c r="I3583" s="116" t="n">
        <v>40828</v>
      </c>
    </row>
    <row r="3584">
      <c r="A3584" s="117" t="inlineStr">
        <is>
          <t>570827</t>
        </is>
      </c>
      <c r="B3584" s="117" t="n">
        <v>15831</v>
      </c>
      <c r="C3584" s="117" t="inlineStr">
        <is>
          <t>United Kingdom</t>
        </is>
      </c>
      <c r="D3584" s="117" t="inlineStr">
        <is>
          <t>23241</t>
        </is>
      </c>
      <c r="E3584" s="117" t="inlineStr">
        <is>
          <t>TREASURE TIN GYMKHANA DESIGN</t>
        </is>
      </c>
      <c r="F3584" s="117" t="n">
        <v>1</v>
      </c>
      <c r="G3584" s="118" t="n">
        <v>2.08</v>
      </c>
      <c r="H3584" s="118" t="n">
        <v>2.08</v>
      </c>
      <c r="I3584" s="119" t="n">
        <v>40828</v>
      </c>
    </row>
    <row r="3585">
      <c r="A3585" s="114" t="inlineStr">
        <is>
          <t>570833</t>
        </is>
      </c>
      <c r="B3585" s="114" t="n">
        <v>14834</v>
      </c>
      <c r="C3585" s="114" t="inlineStr">
        <is>
          <t>United Kingdom</t>
        </is>
      </c>
      <c r="D3585" s="114" t="inlineStr">
        <is>
          <t>20750</t>
        </is>
      </c>
      <c r="E3585" s="114" t="inlineStr">
        <is>
          <t>RED RETROSPOT MINI CASES</t>
        </is>
      </c>
      <c r="F3585" s="114" t="n">
        <v>2</v>
      </c>
      <c r="G3585" s="115" t="n">
        <v>7.95</v>
      </c>
      <c r="H3585" s="115" t="n">
        <v>15.9</v>
      </c>
      <c r="I3585" s="116" t="n">
        <v>40828</v>
      </c>
    </row>
    <row r="3586">
      <c r="A3586" s="117" t="inlineStr">
        <is>
          <t>570833</t>
        </is>
      </c>
      <c r="B3586" s="117" t="n">
        <v>14834</v>
      </c>
      <c r="C3586" s="117" t="inlineStr">
        <is>
          <t>United Kingdom</t>
        </is>
      </c>
      <c r="D3586" s="117" t="inlineStr">
        <is>
          <t>46000M</t>
        </is>
      </c>
      <c r="E3586" s="117" t="inlineStr">
        <is>
          <t>POLYESTER FILLER PAD 45x45cm</t>
        </is>
      </c>
      <c r="F3586" s="117" t="n">
        <v>8</v>
      </c>
      <c r="G3586" s="118" t="n">
        <v>1.55</v>
      </c>
      <c r="H3586" s="118" t="n">
        <v>12.4</v>
      </c>
      <c r="I3586" s="119" t="n">
        <v>40828</v>
      </c>
    </row>
    <row r="3587">
      <c r="A3587" s="114" t="inlineStr">
        <is>
          <t>570841</t>
        </is>
      </c>
      <c r="B3587" s="114" t="n">
        <v>12553</v>
      </c>
      <c r="C3587" s="114" t="inlineStr">
        <is>
          <t>France</t>
        </is>
      </c>
      <c r="D3587" s="114" t="inlineStr">
        <is>
          <t>20712</t>
        </is>
      </c>
      <c r="E3587" s="114" t="inlineStr">
        <is>
          <t>JUMBO BAG WOODLAND ANIMALS</t>
        </is>
      </c>
      <c r="F3587" s="114" t="n">
        <v>10</v>
      </c>
      <c r="G3587" s="115" t="n">
        <v>2.08</v>
      </c>
      <c r="H3587" s="115" t="n">
        <v>20.8</v>
      </c>
      <c r="I3587" s="116" t="n">
        <v>40828</v>
      </c>
    </row>
    <row r="3588">
      <c r="A3588" s="117" t="inlineStr">
        <is>
          <t>570843</t>
        </is>
      </c>
      <c r="B3588" s="117" t="n">
        <v>17293</v>
      </c>
      <c r="C3588" s="117" t="inlineStr">
        <is>
          <t>United Kingdom</t>
        </is>
      </c>
      <c r="D3588" s="117" t="inlineStr">
        <is>
          <t>23333</t>
        </is>
      </c>
      <c r="E3588" s="117" t="inlineStr">
        <is>
          <t>IVORY WICKER HEART MEDIUM</t>
        </is>
      </c>
      <c r="F3588" s="117" t="n">
        <v>32</v>
      </c>
      <c r="G3588" s="118" t="n">
        <v>1.25</v>
      </c>
      <c r="H3588" s="118" t="n">
        <v>40</v>
      </c>
      <c r="I3588" s="119" t="n">
        <v>40828</v>
      </c>
    </row>
    <row r="3589">
      <c r="A3589" s="114" t="inlineStr">
        <is>
          <t>570856</t>
        </is>
      </c>
      <c r="B3589" s="114" t="n">
        <v>13464</v>
      </c>
      <c r="C3589" s="114" t="inlineStr">
        <is>
          <t>United Kingdom</t>
        </is>
      </c>
      <c r="D3589" s="114" t="inlineStr">
        <is>
          <t>23403</t>
        </is>
      </c>
      <c r="E3589" s="114" t="inlineStr">
        <is>
          <t>LETTER HOLDER HOME SWEET HOME</t>
        </is>
      </c>
      <c r="F3589" s="114" t="n">
        <v>4</v>
      </c>
      <c r="G3589" s="115" t="n">
        <v>3.75</v>
      </c>
      <c r="H3589" s="115" t="n">
        <v>15</v>
      </c>
      <c r="I3589" s="116" t="n">
        <v>40828</v>
      </c>
    </row>
    <row r="3590">
      <c r="A3590" s="117" t="inlineStr">
        <is>
          <t>570862</t>
        </is>
      </c>
      <c r="B3590" s="117" t="n">
        <v>17528</v>
      </c>
      <c r="C3590" s="117" t="inlineStr">
        <is>
          <t>United Kingdom</t>
        </is>
      </c>
      <c r="D3590" s="117" t="inlineStr">
        <is>
          <t>23507</t>
        </is>
      </c>
      <c r="E3590" s="117" t="inlineStr">
        <is>
          <t xml:space="preserve">MINI PLAYING CARDS BUFFALO BILL </t>
        </is>
      </c>
      <c r="F3590" s="117" t="n">
        <v>20</v>
      </c>
      <c r="G3590" s="118" t="n">
        <v>0.42</v>
      </c>
      <c r="H3590" s="118" t="n">
        <v>8.4</v>
      </c>
      <c r="I3590" s="119" t="n">
        <v>40828</v>
      </c>
    </row>
    <row r="3591">
      <c r="A3591" s="114" t="inlineStr">
        <is>
          <t>570863</t>
        </is>
      </c>
      <c r="B3591" s="114" t="n">
        <v>15144</v>
      </c>
      <c r="C3591" s="114" t="inlineStr">
        <is>
          <t>United Kingdom</t>
        </is>
      </c>
      <c r="D3591" s="114" t="inlineStr">
        <is>
          <t>22730</t>
        </is>
      </c>
      <c r="E3591" s="114" t="inlineStr">
        <is>
          <t>ALARM CLOCK BAKELIKE IVORY</t>
        </is>
      </c>
      <c r="F3591" s="114" t="n">
        <v>8</v>
      </c>
      <c r="G3591" s="115" t="n">
        <v>3.75</v>
      </c>
      <c r="H3591" s="115" t="n">
        <v>30</v>
      </c>
      <c r="I3591" s="116" t="n">
        <v>40828</v>
      </c>
    </row>
    <row r="3592">
      <c r="A3592" s="117" t="inlineStr">
        <is>
          <t>570876</t>
        </is>
      </c>
      <c r="B3592" s="117" t="n">
        <v>16085</v>
      </c>
      <c r="C3592" s="117" t="inlineStr">
        <is>
          <t>United Kingdom</t>
        </is>
      </c>
      <c r="D3592" s="117" t="inlineStr">
        <is>
          <t>23322</t>
        </is>
      </c>
      <c r="E3592" s="117" t="inlineStr">
        <is>
          <t>LARGE WHITE HEART OF WICKER</t>
        </is>
      </c>
      <c r="F3592" s="117" t="n">
        <v>3</v>
      </c>
      <c r="G3592" s="118" t="n">
        <v>2.95</v>
      </c>
      <c r="H3592" s="118" t="n">
        <v>8.85</v>
      </c>
      <c r="I3592" s="119" t="n">
        <v>40828</v>
      </c>
    </row>
    <row r="3593">
      <c r="A3593" s="114" t="inlineStr">
        <is>
          <t>570886</t>
        </is>
      </c>
      <c r="B3593" s="114" t="n">
        <v>13777</v>
      </c>
      <c r="C3593" s="114" t="inlineStr">
        <is>
          <t>United Kingdom</t>
        </is>
      </c>
      <c r="D3593" s="114" t="inlineStr">
        <is>
          <t>20679</t>
        </is>
      </c>
      <c r="E3593" s="114" t="inlineStr">
        <is>
          <t>EDWARDIAN PARASOL RED</t>
        </is>
      </c>
      <c r="F3593" s="114" t="n">
        <v>27</v>
      </c>
      <c r="G3593" s="115" t="n">
        <v>4.95</v>
      </c>
      <c r="H3593" s="115" t="n">
        <v>133.65</v>
      </c>
      <c r="I3593" s="116" t="n">
        <v>40829</v>
      </c>
    </row>
    <row r="3594">
      <c r="A3594" s="117" t="inlineStr">
        <is>
          <t>570964</t>
        </is>
      </c>
      <c r="B3594" s="117" t="n">
        <v>12766</v>
      </c>
      <c r="C3594" s="117" t="inlineStr">
        <is>
          <t>Portugal</t>
        </is>
      </c>
      <c r="D3594" s="117" t="inlineStr">
        <is>
          <t>22557</t>
        </is>
      </c>
      <c r="E3594" s="117" t="inlineStr">
        <is>
          <t xml:space="preserve">PLASTERS IN TIN VINTAGE PAISLEY </t>
        </is>
      </c>
      <c r="F3594" s="117" t="n">
        <v>12</v>
      </c>
      <c r="G3594" s="118" t="n">
        <v>1.65</v>
      </c>
      <c r="H3594" s="118" t="n">
        <v>19.8</v>
      </c>
      <c r="I3594" s="119" t="n">
        <v>40829</v>
      </c>
    </row>
    <row r="3595">
      <c r="A3595" s="114" t="inlineStr">
        <is>
          <t>570983</t>
        </is>
      </c>
      <c r="B3595" s="114" t="n">
        <v>14963</v>
      </c>
      <c r="C3595" s="114" t="inlineStr">
        <is>
          <t>United Kingdom</t>
        </is>
      </c>
      <c r="D3595" s="114" t="inlineStr">
        <is>
          <t>51014A</t>
        </is>
      </c>
      <c r="E3595" s="114" t="inlineStr">
        <is>
          <t>FEATHER PEN,HOT PINK</t>
        </is>
      </c>
      <c r="F3595" s="114" t="n">
        <v>12</v>
      </c>
      <c r="G3595" s="115" t="n">
        <v>0.39</v>
      </c>
      <c r="H3595" s="115" t="n">
        <v>4.68</v>
      </c>
      <c r="I3595" s="116" t="n">
        <v>40829</v>
      </c>
    </row>
    <row r="3596">
      <c r="A3596" s="117" t="inlineStr">
        <is>
          <t>571006</t>
        </is>
      </c>
      <c r="B3596" s="117" t="n">
        <v>17063</v>
      </c>
      <c r="C3596" s="117" t="inlineStr">
        <is>
          <t>United Kingdom</t>
        </is>
      </c>
      <c r="D3596" s="117" t="inlineStr">
        <is>
          <t>84946</t>
        </is>
      </c>
      <c r="E3596" s="117" t="inlineStr">
        <is>
          <t>ANTIQUE SILVER T-LIGHT GLASS</t>
        </is>
      </c>
      <c r="F3596" s="117" t="n">
        <v>12</v>
      </c>
      <c r="G3596" s="118" t="n">
        <v>1.25</v>
      </c>
      <c r="H3596" s="118" t="n">
        <v>15</v>
      </c>
      <c r="I3596" s="119" t="n">
        <v>40829</v>
      </c>
    </row>
    <row r="3597">
      <c r="A3597" s="114" t="inlineStr">
        <is>
          <t>571028</t>
        </is>
      </c>
      <c r="B3597" s="114" t="n">
        <v>16770</v>
      </c>
      <c r="C3597" s="114" t="inlineStr">
        <is>
          <t>United Kingdom</t>
        </is>
      </c>
      <c r="D3597" s="114" t="inlineStr">
        <is>
          <t>22694</t>
        </is>
      </c>
      <c r="E3597" s="114" t="inlineStr">
        <is>
          <t xml:space="preserve">WICKER STAR </t>
        </is>
      </c>
      <c r="F3597" s="114" t="n">
        <v>2</v>
      </c>
      <c r="G3597" s="115" t="n">
        <v>2.1</v>
      </c>
      <c r="H3597" s="115" t="n">
        <v>4.2</v>
      </c>
      <c r="I3597" s="116" t="n">
        <v>40829</v>
      </c>
    </row>
    <row r="3598">
      <c r="A3598" s="117" t="inlineStr">
        <is>
          <t>571039</t>
        </is>
      </c>
      <c r="B3598" s="117" t="n">
        <v>16121</v>
      </c>
      <c r="C3598" s="117" t="inlineStr">
        <is>
          <t>United Kingdom</t>
        </is>
      </c>
      <c r="D3598" s="117" t="inlineStr">
        <is>
          <t>22380</t>
        </is>
      </c>
      <c r="E3598" s="117" t="inlineStr">
        <is>
          <t xml:space="preserve">TOY TIDY SPACEBOY  </t>
        </is>
      </c>
      <c r="F3598" s="117" t="n">
        <v>2</v>
      </c>
      <c r="G3598" s="118" t="n">
        <v>2.1</v>
      </c>
      <c r="H3598" s="118" t="n">
        <v>4.2</v>
      </c>
      <c r="I3598" s="119" t="n">
        <v>40829</v>
      </c>
    </row>
    <row r="3599">
      <c r="A3599" s="114" t="inlineStr">
        <is>
          <t>571040</t>
        </is>
      </c>
      <c r="B3599" s="114" t="n">
        <v>15272</v>
      </c>
      <c r="C3599" s="114" t="inlineStr">
        <is>
          <t>United Kingdom</t>
        </is>
      </c>
      <c r="D3599" s="114" t="inlineStr">
        <is>
          <t>22739</t>
        </is>
      </c>
      <c r="E3599" s="114" t="inlineStr">
        <is>
          <t>RIBBON REEL CHRISTMAS SOCK BAUBLE</t>
        </is>
      </c>
      <c r="F3599" s="114" t="n">
        <v>5</v>
      </c>
      <c r="G3599" s="115" t="n">
        <v>1.65</v>
      </c>
      <c r="H3599" s="115" t="n">
        <v>8.25</v>
      </c>
      <c r="I3599" s="116" t="n">
        <v>40829</v>
      </c>
    </row>
    <row r="3600">
      <c r="A3600" s="117" t="inlineStr">
        <is>
          <t>571039</t>
        </is>
      </c>
      <c r="B3600" s="117" t="n">
        <v>16121</v>
      </c>
      <c r="C3600" s="117" t="inlineStr">
        <is>
          <t>United Kingdom</t>
        </is>
      </c>
      <c r="D3600" s="117" t="inlineStr">
        <is>
          <t>23502</t>
        </is>
      </c>
      <c r="E3600" s="117" t="inlineStr">
        <is>
          <t xml:space="preserve">PLAYING CARDS VINTAGE DOILY </t>
        </is>
      </c>
      <c r="F3600" s="117" t="n">
        <v>1</v>
      </c>
      <c r="G3600" s="118" t="n">
        <v>1.25</v>
      </c>
      <c r="H3600" s="118" t="n">
        <v>1.25</v>
      </c>
      <c r="I3600" s="119" t="n">
        <v>40829</v>
      </c>
    </row>
    <row r="3601">
      <c r="A3601" s="114" t="inlineStr">
        <is>
          <t>571044</t>
        </is>
      </c>
      <c r="B3601" s="114" t="n">
        <v>14421</v>
      </c>
      <c r="C3601" s="114" t="inlineStr">
        <is>
          <t>United Kingdom</t>
        </is>
      </c>
      <c r="D3601" s="114" t="inlineStr">
        <is>
          <t>23122</t>
        </is>
      </c>
      <c r="E3601" s="114" t="inlineStr">
        <is>
          <t>PARTY CHARMS 50 PIECES</t>
        </is>
      </c>
      <c r="F3601" s="114" t="n">
        <v>12</v>
      </c>
      <c r="G3601" s="115" t="n">
        <v>0.83</v>
      </c>
      <c r="H3601" s="115" t="n">
        <v>9.960000000000001</v>
      </c>
      <c r="I3601" s="116" t="n">
        <v>40829</v>
      </c>
    </row>
    <row r="3602">
      <c r="A3602" s="117" t="inlineStr">
        <is>
          <t>571047</t>
        </is>
      </c>
      <c r="B3602" s="117" t="n">
        <v>16042</v>
      </c>
      <c r="C3602" s="117" t="inlineStr">
        <is>
          <t>United Kingdom</t>
        </is>
      </c>
      <c r="D3602" s="117" t="inlineStr">
        <is>
          <t>22950</t>
        </is>
      </c>
      <c r="E3602" s="117" t="inlineStr">
        <is>
          <t>36 DOILIES VINTAGE CHRISTMAS</t>
        </is>
      </c>
      <c r="F3602" s="117" t="n">
        <v>12</v>
      </c>
      <c r="G3602" s="118" t="n">
        <v>1.45</v>
      </c>
      <c r="H3602" s="118" t="n">
        <v>17.4</v>
      </c>
      <c r="I3602" s="119" t="n">
        <v>40829</v>
      </c>
    </row>
    <row r="3603">
      <c r="A3603" s="114" t="inlineStr">
        <is>
          <t>571047</t>
        </is>
      </c>
      <c r="B3603" s="114" t="n">
        <v>16042</v>
      </c>
      <c r="C3603" s="114" t="inlineStr">
        <is>
          <t>United Kingdom</t>
        </is>
      </c>
      <c r="D3603" s="114" t="inlineStr">
        <is>
          <t>22910</t>
        </is>
      </c>
      <c r="E3603" s="114" t="inlineStr">
        <is>
          <t>PAPER CHAIN KIT VINTAGE CHRISTMAS</t>
        </is>
      </c>
      <c r="F3603" s="114" t="n">
        <v>6</v>
      </c>
      <c r="G3603" s="115" t="n">
        <v>2.95</v>
      </c>
      <c r="H3603" s="115" t="n">
        <v>17.7</v>
      </c>
      <c r="I3603" s="116" t="n">
        <v>40829</v>
      </c>
    </row>
    <row r="3604">
      <c r="A3604" s="117" t="inlineStr">
        <is>
          <t>571053</t>
        </is>
      </c>
      <c r="B3604" s="117" t="n">
        <v>12631</v>
      </c>
      <c r="C3604" s="117" t="inlineStr">
        <is>
          <t>Finland</t>
        </is>
      </c>
      <c r="D3604" s="117" t="inlineStr">
        <is>
          <t>23342</t>
        </is>
      </c>
      <c r="E3604" s="117" t="inlineStr">
        <is>
          <t>MINT DINER WALL CLOCK</t>
        </is>
      </c>
      <c r="F3604" s="117" t="n">
        <v>2</v>
      </c>
      <c r="G3604" s="118" t="n">
        <v>8.5</v>
      </c>
      <c r="H3604" s="118" t="n">
        <v>17</v>
      </c>
      <c r="I3604" s="119" t="n">
        <v>40829</v>
      </c>
    </row>
    <row r="3605">
      <c r="A3605" s="114" t="inlineStr">
        <is>
          <t>571054</t>
        </is>
      </c>
      <c r="B3605" s="114" t="n">
        <v>14234</v>
      </c>
      <c r="C3605" s="114" t="inlineStr">
        <is>
          <t>United Kingdom</t>
        </is>
      </c>
      <c r="D3605" s="114" t="inlineStr">
        <is>
          <t>23511</t>
        </is>
      </c>
      <c r="E3605" s="114" t="inlineStr">
        <is>
          <t xml:space="preserve">EMBROIDERED RIBBON REEL EMILY </t>
        </is>
      </c>
      <c r="F3605" s="114" t="n">
        <v>1</v>
      </c>
      <c r="G3605" s="115" t="n">
        <v>2.08</v>
      </c>
      <c r="H3605" s="115" t="n">
        <v>2.08</v>
      </c>
      <c r="I3605" s="116" t="n">
        <v>40829</v>
      </c>
    </row>
    <row r="3606">
      <c r="A3606" s="117" t="inlineStr">
        <is>
          <t>571054</t>
        </is>
      </c>
      <c r="B3606" s="117" t="n">
        <v>14234</v>
      </c>
      <c r="C3606" s="117" t="inlineStr">
        <is>
          <t>United Kingdom</t>
        </is>
      </c>
      <c r="D3606" s="117" t="inlineStr">
        <is>
          <t>84879</t>
        </is>
      </c>
      <c r="E3606" s="117" t="inlineStr">
        <is>
          <t>ASSORTED COLOUR BIRD ORNAMENT</t>
        </is>
      </c>
      <c r="F3606" s="117" t="n">
        <v>1</v>
      </c>
      <c r="G3606" s="118" t="n">
        <v>1.69</v>
      </c>
      <c r="H3606" s="118" t="n">
        <v>1.69</v>
      </c>
      <c r="I3606" s="119" t="n">
        <v>40829</v>
      </c>
    </row>
    <row r="3607">
      <c r="A3607" s="114" t="inlineStr">
        <is>
          <t>571098</t>
        </is>
      </c>
      <c r="B3607" s="114" t="n">
        <v>17841</v>
      </c>
      <c r="C3607" s="114" t="inlineStr">
        <is>
          <t>United Kingdom</t>
        </is>
      </c>
      <c r="D3607" s="114" t="inlineStr">
        <is>
          <t>22413</t>
        </is>
      </c>
      <c r="E3607" s="114" t="inlineStr">
        <is>
          <t xml:space="preserve">METAL SIGN TAKE IT OR LEAVE IT </t>
        </is>
      </c>
      <c r="F3607" s="114" t="n">
        <v>3</v>
      </c>
      <c r="G3607" s="115" t="n">
        <v>2.95</v>
      </c>
      <c r="H3607" s="115" t="n">
        <v>8.85</v>
      </c>
      <c r="I3607" s="116" t="n">
        <v>40829</v>
      </c>
    </row>
    <row r="3608">
      <c r="A3608" s="117" t="inlineStr">
        <is>
          <t>571098</t>
        </is>
      </c>
      <c r="B3608" s="117" t="n">
        <v>17841</v>
      </c>
      <c r="C3608" s="117" t="inlineStr">
        <is>
          <t>United Kingdom</t>
        </is>
      </c>
      <c r="D3608" s="117" t="inlineStr">
        <is>
          <t>22807</t>
        </is>
      </c>
      <c r="E3608" s="117" t="inlineStr">
        <is>
          <t>SET OF 6 T-LIGHTS TOADSTOOLS</t>
        </is>
      </c>
      <c r="F3608" s="117" t="n">
        <v>6</v>
      </c>
      <c r="G3608" s="118" t="n">
        <v>2.95</v>
      </c>
      <c r="H3608" s="118" t="n">
        <v>17.7</v>
      </c>
      <c r="I3608" s="119" t="n">
        <v>40829</v>
      </c>
    </row>
    <row r="3609">
      <c r="A3609" s="114" t="inlineStr">
        <is>
          <t>571106</t>
        </is>
      </c>
      <c r="B3609" s="114" t="n">
        <v>14976</v>
      </c>
      <c r="C3609" s="114" t="inlineStr">
        <is>
          <t>United Kingdom</t>
        </is>
      </c>
      <c r="D3609" s="114" t="inlineStr">
        <is>
          <t>21166</t>
        </is>
      </c>
      <c r="E3609" s="114" t="inlineStr">
        <is>
          <t xml:space="preserve">COOK WITH WINE METAL SIGN </t>
        </is>
      </c>
      <c r="F3609" s="114" t="n">
        <v>12</v>
      </c>
      <c r="G3609" s="115" t="n">
        <v>2.08</v>
      </c>
      <c r="H3609" s="115" t="n">
        <v>24.96</v>
      </c>
      <c r="I3609" s="116" t="n">
        <v>40829</v>
      </c>
    </row>
    <row r="3610">
      <c r="A3610" s="117" t="inlineStr">
        <is>
          <t>571178</t>
        </is>
      </c>
      <c r="B3610" s="117" t="n">
        <v>14089</v>
      </c>
      <c r="C3610" s="117" t="inlineStr">
        <is>
          <t>United Kingdom</t>
        </is>
      </c>
      <c r="D3610" s="117" t="inlineStr">
        <is>
          <t>22332</t>
        </is>
      </c>
      <c r="E3610" s="117" t="inlineStr">
        <is>
          <t>SKULLS PARTY BAG + STICKER SET</t>
        </is>
      </c>
      <c r="F3610" s="117" t="n">
        <v>2</v>
      </c>
      <c r="G3610" s="118" t="n">
        <v>1.65</v>
      </c>
      <c r="H3610" s="118" t="n">
        <v>3.3</v>
      </c>
      <c r="I3610" s="119" t="n">
        <v>40830</v>
      </c>
    </row>
    <row r="3611">
      <c r="A3611" s="114" t="inlineStr">
        <is>
          <t>571178</t>
        </is>
      </c>
      <c r="B3611" s="114" t="n">
        <v>14089</v>
      </c>
      <c r="C3611" s="114" t="inlineStr">
        <is>
          <t>United Kingdom</t>
        </is>
      </c>
      <c r="D3611" s="114" t="inlineStr">
        <is>
          <t>23283</t>
        </is>
      </c>
      <c r="E3611" s="114" t="inlineStr">
        <is>
          <t>DOORMAT VINTAGE LEAF</t>
        </is>
      </c>
      <c r="F3611" s="114" t="n">
        <v>2</v>
      </c>
      <c r="G3611" s="115" t="n">
        <v>8.25</v>
      </c>
      <c r="H3611" s="115" t="n">
        <v>16.5</v>
      </c>
      <c r="I3611" s="116" t="n">
        <v>40830</v>
      </c>
    </row>
    <row r="3612">
      <c r="A3612" s="117" t="inlineStr">
        <is>
          <t>571180</t>
        </is>
      </c>
      <c r="B3612" s="117" t="n">
        <v>15498</v>
      </c>
      <c r="C3612" s="117" t="inlineStr">
        <is>
          <t>United Kingdom</t>
        </is>
      </c>
      <c r="D3612" s="117" t="inlineStr">
        <is>
          <t>21380</t>
        </is>
      </c>
      <c r="E3612" s="117" t="inlineStr">
        <is>
          <t>WOODEN HAPPY BIRTHDAY GARLAND</t>
        </is>
      </c>
      <c r="F3612" s="117" t="n">
        <v>6</v>
      </c>
      <c r="G3612" s="118" t="n">
        <v>2.95</v>
      </c>
      <c r="H3612" s="118" t="n">
        <v>17.7</v>
      </c>
      <c r="I3612" s="119" t="n">
        <v>40830</v>
      </c>
    </row>
    <row r="3613">
      <c r="A3613" s="114" t="inlineStr">
        <is>
          <t>571180</t>
        </is>
      </c>
      <c r="B3613" s="114" t="n">
        <v>15498</v>
      </c>
      <c r="C3613" s="114" t="inlineStr">
        <is>
          <t>United Kingdom</t>
        </is>
      </c>
      <c r="D3613" s="114" t="inlineStr">
        <is>
          <t>23280</t>
        </is>
      </c>
      <c r="E3613" s="114" t="inlineStr">
        <is>
          <t xml:space="preserve">FOLDING BUTTERFLY MIRROR HOT PINK </t>
        </is>
      </c>
      <c r="F3613" s="114" t="n">
        <v>24</v>
      </c>
      <c r="G3613" s="115" t="n">
        <v>0.83</v>
      </c>
      <c r="H3613" s="115" t="n">
        <v>19.92</v>
      </c>
      <c r="I3613" s="116" t="n">
        <v>40830</v>
      </c>
    </row>
    <row r="3614">
      <c r="A3614" s="117" t="inlineStr">
        <is>
          <t>571189</t>
        </is>
      </c>
      <c r="B3614" s="117" t="n">
        <v>13213</v>
      </c>
      <c r="C3614" s="117" t="inlineStr">
        <is>
          <t>United Kingdom</t>
        </is>
      </c>
      <c r="D3614" s="117" t="inlineStr">
        <is>
          <t>23263</t>
        </is>
      </c>
      <c r="E3614" s="117" t="inlineStr">
        <is>
          <t>SET OF 3 WOODEN HEART DECORATIONS</t>
        </is>
      </c>
      <c r="F3614" s="117" t="n">
        <v>12</v>
      </c>
      <c r="G3614" s="118" t="n">
        <v>1.25</v>
      </c>
      <c r="H3614" s="118" t="n">
        <v>15</v>
      </c>
      <c r="I3614" s="119" t="n">
        <v>40830</v>
      </c>
    </row>
    <row r="3615">
      <c r="A3615" s="114" t="inlineStr">
        <is>
          <t>571188</t>
        </is>
      </c>
      <c r="B3615" s="114" t="n">
        <v>12783</v>
      </c>
      <c r="C3615" s="114" t="inlineStr">
        <is>
          <t>Portugal</t>
        </is>
      </c>
      <c r="D3615" s="114" t="inlineStr">
        <is>
          <t>21181</t>
        </is>
      </c>
      <c r="E3615" s="114" t="inlineStr">
        <is>
          <t>PLEASE ONE PERSON METAL SIGN</t>
        </is>
      </c>
      <c r="F3615" s="114" t="n">
        <v>12</v>
      </c>
      <c r="G3615" s="115" t="n">
        <v>2.1</v>
      </c>
      <c r="H3615" s="115" t="n">
        <v>25.2</v>
      </c>
      <c r="I3615" s="116" t="n">
        <v>40830</v>
      </c>
    </row>
    <row r="3616">
      <c r="A3616" s="117" t="inlineStr">
        <is>
          <t>571212</t>
        </is>
      </c>
      <c r="B3616" s="117" t="n">
        <v>12856</v>
      </c>
      <c r="C3616" s="117" t="inlineStr">
        <is>
          <t>United Kingdom</t>
        </is>
      </c>
      <c r="D3616" s="117" t="inlineStr">
        <is>
          <t>23203</t>
        </is>
      </c>
      <c r="E3616" s="117" t="inlineStr">
        <is>
          <t xml:space="preserve">JUMBO BAG VINTAGE DOILY </t>
        </is>
      </c>
      <c r="F3616" s="117" t="n">
        <v>3</v>
      </c>
      <c r="G3616" s="118" t="n">
        <v>2.08</v>
      </c>
      <c r="H3616" s="118" t="n">
        <v>6.24</v>
      </c>
      <c r="I3616" s="119" t="n">
        <v>40830</v>
      </c>
    </row>
    <row r="3617">
      <c r="A3617" s="114" t="inlineStr">
        <is>
          <t>571212</t>
        </is>
      </c>
      <c r="B3617" s="114" t="n">
        <v>12856</v>
      </c>
      <c r="C3617" s="114" t="inlineStr">
        <is>
          <t>United Kingdom</t>
        </is>
      </c>
      <c r="D3617" s="114" t="inlineStr">
        <is>
          <t>84792</t>
        </is>
      </c>
      <c r="E3617" s="114" t="inlineStr">
        <is>
          <t>ENCHANTED BIRD COATHANGER 5 HOOK</t>
        </is>
      </c>
      <c r="F3617" s="114" t="n">
        <v>1</v>
      </c>
      <c r="G3617" s="115" t="n">
        <v>4.65</v>
      </c>
      <c r="H3617" s="115" t="n">
        <v>4.65</v>
      </c>
      <c r="I3617" s="116" t="n">
        <v>40830</v>
      </c>
    </row>
    <row r="3618">
      <c r="A3618" s="117" t="inlineStr">
        <is>
          <t>571219</t>
        </is>
      </c>
      <c r="B3618" s="117" t="n">
        <v>15601</v>
      </c>
      <c r="C3618" s="117" t="inlineStr">
        <is>
          <t>United Kingdom</t>
        </is>
      </c>
      <c r="D3618" s="117" t="inlineStr">
        <is>
          <t>22865</t>
        </is>
      </c>
      <c r="E3618" s="117" t="inlineStr">
        <is>
          <t>HAND WARMER OWL DESIGN</t>
        </is>
      </c>
      <c r="F3618" s="117" t="n">
        <v>12</v>
      </c>
      <c r="G3618" s="118" t="n">
        <v>2.1</v>
      </c>
      <c r="H3618" s="118" t="n">
        <v>25.2</v>
      </c>
      <c r="I3618" s="119" t="n">
        <v>40830</v>
      </c>
    </row>
    <row r="3619">
      <c r="A3619" s="114" t="inlineStr">
        <is>
          <t>571219</t>
        </is>
      </c>
      <c r="B3619" s="114" t="n">
        <v>15601</v>
      </c>
      <c r="C3619" s="114" t="inlineStr">
        <is>
          <t>United Kingdom</t>
        </is>
      </c>
      <c r="D3619" s="114" t="inlineStr">
        <is>
          <t>22423</t>
        </is>
      </c>
      <c r="E3619" s="114" t="inlineStr">
        <is>
          <t>REGENCY CAKESTAND 3 TIER</t>
        </is>
      </c>
      <c r="F3619" s="114" t="n">
        <v>2</v>
      </c>
      <c r="G3619" s="115" t="n">
        <v>12.75</v>
      </c>
      <c r="H3619" s="115" t="n">
        <v>25.5</v>
      </c>
      <c r="I3619" s="116" t="n">
        <v>40830</v>
      </c>
    </row>
    <row r="3620">
      <c r="A3620" s="117" t="inlineStr">
        <is>
          <t>571227</t>
        </is>
      </c>
      <c r="B3620" s="117" t="n">
        <v>12477</v>
      </c>
      <c r="C3620" s="117" t="inlineStr">
        <is>
          <t>Germany</t>
        </is>
      </c>
      <c r="D3620" s="117" t="inlineStr">
        <is>
          <t>21284</t>
        </is>
      </c>
      <c r="E3620" s="117" t="inlineStr">
        <is>
          <t>RETROSPOT CANDLE  SMALL</t>
        </is>
      </c>
      <c r="F3620" s="117" t="n">
        <v>12</v>
      </c>
      <c r="G3620" s="118" t="n">
        <v>1.69</v>
      </c>
      <c r="H3620" s="118" t="n">
        <v>20.28</v>
      </c>
      <c r="I3620" s="119" t="n">
        <v>40830</v>
      </c>
    </row>
    <row r="3621">
      <c r="A3621" s="114" t="inlineStr">
        <is>
          <t>571229</t>
        </is>
      </c>
      <c r="B3621" s="114" t="n">
        <v>15453</v>
      </c>
      <c r="C3621" s="114" t="inlineStr">
        <is>
          <t>United Kingdom</t>
        </is>
      </c>
      <c r="D3621" s="114" t="inlineStr">
        <is>
          <t>23453</t>
        </is>
      </c>
      <c r="E3621" s="114" t="inlineStr">
        <is>
          <t>OVAL  MINI PORTRAIT FRAME</t>
        </is>
      </c>
      <c r="F3621" s="114" t="n">
        <v>4</v>
      </c>
      <c r="G3621" s="115" t="n">
        <v>1.95</v>
      </c>
      <c r="H3621" s="115" t="n">
        <v>7.8</v>
      </c>
      <c r="I3621" s="116" t="n">
        <v>40830</v>
      </c>
    </row>
    <row r="3622">
      <c r="A3622" s="117" t="inlineStr">
        <is>
          <t>571229</t>
        </is>
      </c>
      <c r="B3622" s="117" t="n">
        <v>15453</v>
      </c>
      <c r="C3622" s="117" t="inlineStr">
        <is>
          <t>United Kingdom</t>
        </is>
      </c>
      <c r="D3622" s="117" t="inlineStr">
        <is>
          <t>22574</t>
        </is>
      </c>
      <c r="E3622" s="117" t="inlineStr">
        <is>
          <t>HEART WOODEN CHRISTMAS DECORATION</t>
        </is>
      </c>
      <c r="F3622" s="117" t="n">
        <v>6</v>
      </c>
      <c r="G3622" s="118" t="n">
        <v>0.85</v>
      </c>
      <c r="H3622" s="118" t="n">
        <v>5.1</v>
      </c>
      <c r="I3622" s="119" t="n">
        <v>40830</v>
      </c>
    </row>
    <row r="3623">
      <c r="A3623" s="114" t="inlineStr">
        <is>
          <t>571230</t>
        </is>
      </c>
      <c r="B3623" s="114" t="n">
        <v>13717</v>
      </c>
      <c r="C3623" s="114" t="inlineStr">
        <is>
          <t>United Kingdom</t>
        </is>
      </c>
      <c r="D3623" s="114" t="inlineStr">
        <is>
          <t>23320</t>
        </is>
      </c>
      <c r="E3623" s="114" t="inlineStr">
        <is>
          <t>GIANT 50'S CHRISTMAS CRACKER</t>
        </is>
      </c>
      <c r="F3623" s="114" t="n">
        <v>12</v>
      </c>
      <c r="G3623" s="115" t="n">
        <v>2.89</v>
      </c>
      <c r="H3623" s="115" t="n">
        <v>34.68</v>
      </c>
      <c r="I3623" s="116" t="n">
        <v>40830</v>
      </c>
    </row>
    <row r="3624">
      <c r="A3624" s="117" t="inlineStr">
        <is>
          <t>571240</t>
        </is>
      </c>
      <c r="B3624" s="117" t="n">
        <v>12562</v>
      </c>
      <c r="C3624" s="117" t="inlineStr">
        <is>
          <t>France</t>
        </is>
      </c>
      <c r="D3624" s="117" t="inlineStr">
        <is>
          <t>20726</t>
        </is>
      </c>
      <c r="E3624" s="117" t="inlineStr">
        <is>
          <t>LUNCH BAG WOODLAND</t>
        </is>
      </c>
      <c r="F3624" s="117" t="n">
        <v>10</v>
      </c>
      <c r="G3624" s="118" t="n">
        <v>1.65</v>
      </c>
      <c r="H3624" s="118" t="n">
        <v>16.5</v>
      </c>
      <c r="I3624" s="119" t="n">
        <v>40830</v>
      </c>
    </row>
    <row r="3625">
      <c r="A3625" s="114" t="inlineStr">
        <is>
          <t>571258</t>
        </is>
      </c>
      <c r="B3625" s="114" t="n">
        <v>17837</v>
      </c>
      <c r="C3625" s="114" t="inlineStr">
        <is>
          <t>United Kingdom</t>
        </is>
      </c>
      <c r="D3625" s="114" t="inlineStr">
        <is>
          <t>22646</t>
        </is>
      </c>
      <c r="E3625" s="114" t="inlineStr">
        <is>
          <t>CERAMIC STRAWBERRY CAKE MONEY BANK</t>
        </is>
      </c>
      <c r="F3625" s="114" t="n">
        <v>4</v>
      </c>
      <c r="G3625" s="115" t="n">
        <v>1.45</v>
      </c>
      <c r="H3625" s="115" t="n">
        <v>5.8</v>
      </c>
      <c r="I3625" s="116" t="n">
        <v>40830</v>
      </c>
    </row>
    <row r="3626">
      <c r="A3626" s="117" t="inlineStr">
        <is>
          <t>571266</t>
        </is>
      </c>
      <c r="B3626" s="117" t="n">
        <v>17769</v>
      </c>
      <c r="C3626" s="117" t="inlineStr">
        <is>
          <t>United Kingdom</t>
        </is>
      </c>
      <c r="D3626" s="117" t="inlineStr">
        <is>
          <t>22966</t>
        </is>
      </c>
      <c r="E3626" s="117" t="inlineStr">
        <is>
          <t>GINGERBREAD MAN COOKIE CUTTER</t>
        </is>
      </c>
      <c r="F3626" s="117" t="n">
        <v>6</v>
      </c>
      <c r="G3626" s="118" t="n">
        <v>1.25</v>
      </c>
      <c r="H3626" s="118" t="n">
        <v>7.5</v>
      </c>
      <c r="I3626" s="119" t="n">
        <v>40832</v>
      </c>
    </row>
    <row r="3627">
      <c r="A3627" s="114" t="inlineStr">
        <is>
          <t>571274</t>
        </is>
      </c>
      <c r="B3627" s="114" t="n">
        <v>16934</v>
      </c>
      <c r="C3627" s="114" t="inlineStr">
        <is>
          <t>United Kingdom</t>
        </is>
      </c>
      <c r="D3627" s="114" t="inlineStr">
        <is>
          <t>22113</t>
        </is>
      </c>
      <c r="E3627" s="114" t="inlineStr">
        <is>
          <t>GREY HEART HOT WATER BOTTLE</t>
        </is>
      </c>
      <c r="F3627" s="114" t="n">
        <v>1</v>
      </c>
      <c r="G3627" s="115" t="n">
        <v>4.25</v>
      </c>
      <c r="H3627" s="115" t="n">
        <v>4.25</v>
      </c>
      <c r="I3627" s="116" t="n">
        <v>40832</v>
      </c>
    </row>
    <row r="3628">
      <c r="A3628" s="117" t="inlineStr">
        <is>
          <t>571279</t>
        </is>
      </c>
      <c r="B3628" s="117" t="n">
        <v>16466</v>
      </c>
      <c r="C3628" s="117" t="inlineStr">
        <is>
          <t>United Kingdom</t>
        </is>
      </c>
      <c r="D3628" s="117" t="inlineStr">
        <is>
          <t>23126</t>
        </is>
      </c>
      <c r="E3628" s="117" t="inlineStr">
        <is>
          <t>FELTCRAFT GIRL AMELIE KIT</t>
        </is>
      </c>
      <c r="F3628" s="117" t="n">
        <v>1</v>
      </c>
      <c r="G3628" s="118" t="n">
        <v>4.95</v>
      </c>
      <c r="H3628" s="118" t="n">
        <v>4.95</v>
      </c>
      <c r="I3628" s="119" t="n">
        <v>40832</v>
      </c>
    </row>
    <row r="3629">
      <c r="A3629" s="114" t="inlineStr">
        <is>
          <t>571281</t>
        </is>
      </c>
      <c r="B3629" s="114" t="n">
        <v>14088</v>
      </c>
      <c r="C3629" s="114" t="inlineStr">
        <is>
          <t>United Kingdom</t>
        </is>
      </c>
      <c r="D3629" s="114" t="inlineStr">
        <is>
          <t>21709</t>
        </is>
      </c>
      <c r="E3629" s="114" t="inlineStr">
        <is>
          <t>FOLDING UMBRELLA CHOCOLATE POLKADOT</t>
        </is>
      </c>
      <c r="F3629" s="114" t="n">
        <v>8</v>
      </c>
      <c r="G3629" s="115" t="n">
        <v>4.25</v>
      </c>
      <c r="H3629" s="115" t="n">
        <v>34</v>
      </c>
      <c r="I3629" s="116" t="n">
        <v>40832</v>
      </c>
    </row>
    <row r="3630">
      <c r="A3630" s="117" t="inlineStr">
        <is>
          <t>571281</t>
        </is>
      </c>
      <c r="B3630" s="117" t="n">
        <v>14088</v>
      </c>
      <c r="C3630" s="117" t="inlineStr">
        <is>
          <t>United Kingdom</t>
        </is>
      </c>
      <c r="D3630" s="117" t="inlineStr">
        <is>
          <t>22169</t>
        </is>
      </c>
      <c r="E3630" s="117" t="inlineStr">
        <is>
          <t>FAMILY ALBUM WHITE PICTURE FRAME</t>
        </is>
      </c>
      <c r="F3630" s="117" t="n">
        <v>14</v>
      </c>
      <c r="G3630" s="118" t="n">
        <v>7.65</v>
      </c>
      <c r="H3630" s="118" t="n">
        <v>107.1</v>
      </c>
      <c r="I3630" s="119" t="n">
        <v>40832</v>
      </c>
    </row>
    <row r="3631">
      <c r="A3631" s="114" t="inlineStr">
        <is>
          <t>571283</t>
        </is>
      </c>
      <c r="B3631" s="114" t="n">
        <v>16533</v>
      </c>
      <c r="C3631" s="114" t="inlineStr">
        <is>
          <t>United Kingdom</t>
        </is>
      </c>
      <c r="D3631" s="114" t="inlineStr">
        <is>
          <t>23171</t>
        </is>
      </c>
      <c r="E3631" s="114" t="inlineStr">
        <is>
          <t xml:space="preserve">REGENCY TEA PLATE GREEN </t>
        </is>
      </c>
      <c r="F3631" s="114" t="n">
        <v>6</v>
      </c>
      <c r="G3631" s="115" t="n">
        <v>1.65</v>
      </c>
      <c r="H3631" s="115" t="n">
        <v>9.9</v>
      </c>
      <c r="I3631" s="116" t="n">
        <v>40832</v>
      </c>
    </row>
    <row r="3632">
      <c r="A3632" s="117" t="inlineStr">
        <is>
          <t>571284</t>
        </is>
      </c>
      <c r="B3632" s="117" t="n">
        <v>14562</v>
      </c>
      <c r="C3632" s="117" t="inlineStr">
        <is>
          <t>United Kingdom</t>
        </is>
      </c>
      <c r="D3632" s="117" t="inlineStr">
        <is>
          <t>20725</t>
        </is>
      </c>
      <c r="E3632" s="117" t="inlineStr">
        <is>
          <t>LUNCH BAG RED RETROSPOT</t>
        </is>
      </c>
      <c r="F3632" s="117" t="n">
        <v>3</v>
      </c>
      <c r="G3632" s="118" t="n">
        <v>1.65</v>
      </c>
      <c r="H3632" s="118" t="n">
        <v>4.95</v>
      </c>
      <c r="I3632" s="119" t="n">
        <v>40832</v>
      </c>
    </row>
    <row r="3633">
      <c r="A3633" s="114" t="inlineStr">
        <is>
          <t>571292</t>
        </is>
      </c>
      <c r="B3633" s="114" t="n">
        <v>15311</v>
      </c>
      <c r="C3633" s="114" t="inlineStr">
        <is>
          <t>United Kingdom</t>
        </is>
      </c>
      <c r="D3633" s="114" t="inlineStr">
        <is>
          <t>21121</t>
        </is>
      </c>
      <c r="E3633" s="114" t="inlineStr">
        <is>
          <t>SET/10 RED POLKADOT PARTY CANDLES</t>
        </is>
      </c>
      <c r="F3633" s="114" t="n">
        <v>5</v>
      </c>
      <c r="G3633" s="115" t="n">
        <v>1.25</v>
      </c>
      <c r="H3633" s="115" t="n">
        <v>6.25</v>
      </c>
      <c r="I3633" s="116" t="n">
        <v>40832</v>
      </c>
    </row>
    <row r="3634">
      <c r="A3634" s="117" t="inlineStr">
        <is>
          <t>571294</t>
        </is>
      </c>
      <c r="B3634" s="117" t="n">
        <v>16987</v>
      </c>
      <c r="C3634" s="117" t="inlineStr">
        <is>
          <t>United Kingdom</t>
        </is>
      </c>
      <c r="D3634" s="117" t="inlineStr">
        <is>
          <t>22572</t>
        </is>
      </c>
      <c r="E3634" s="117" t="inlineStr">
        <is>
          <t xml:space="preserve">ROCKING HORSE GREEN CHRISTMAS </t>
        </is>
      </c>
      <c r="F3634" s="117" t="n">
        <v>2</v>
      </c>
      <c r="G3634" s="118" t="n">
        <v>0.85</v>
      </c>
      <c r="H3634" s="118" t="n">
        <v>1.7</v>
      </c>
      <c r="I3634" s="119" t="n">
        <v>40832</v>
      </c>
    </row>
    <row r="3635">
      <c r="A3635" s="114" t="inlineStr">
        <is>
          <t>571296</t>
        </is>
      </c>
      <c r="B3635" s="114" t="n">
        <v>13760</v>
      </c>
      <c r="C3635" s="114" t="inlineStr">
        <is>
          <t>United Kingdom</t>
        </is>
      </c>
      <c r="D3635" s="114" t="inlineStr">
        <is>
          <t>22973</t>
        </is>
      </c>
      <c r="E3635" s="114" t="inlineStr">
        <is>
          <t>CHILDREN'S CIRCUS PARADE MUG</t>
        </is>
      </c>
      <c r="F3635" s="114" t="n">
        <v>2</v>
      </c>
      <c r="G3635" s="115" t="n">
        <v>1.65</v>
      </c>
      <c r="H3635" s="115" t="n">
        <v>3.3</v>
      </c>
      <c r="I3635" s="116" t="n">
        <v>40832</v>
      </c>
    </row>
    <row r="3636">
      <c r="A3636" s="117" t="inlineStr">
        <is>
          <t>571303</t>
        </is>
      </c>
      <c r="B3636" s="117" t="n">
        <v>13875</v>
      </c>
      <c r="C3636" s="117" t="inlineStr">
        <is>
          <t>United Kingdom</t>
        </is>
      </c>
      <c r="D3636" s="117" t="inlineStr">
        <is>
          <t>20723</t>
        </is>
      </c>
      <c r="E3636" s="117" t="inlineStr">
        <is>
          <t>STRAWBERRY CHARLOTTE BAG</t>
        </is>
      </c>
      <c r="F3636" s="117" t="n">
        <v>10</v>
      </c>
      <c r="G3636" s="118" t="n">
        <v>0.85</v>
      </c>
      <c r="H3636" s="118" t="n">
        <v>8.5</v>
      </c>
      <c r="I3636" s="119" t="n">
        <v>40833</v>
      </c>
    </row>
    <row r="3637">
      <c r="A3637" s="114" t="inlineStr">
        <is>
          <t>571304</t>
        </is>
      </c>
      <c r="B3637" s="114" t="n">
        <v>12526</v>
      </c>
      <c r="C3637" s="114" t="inlineStr">
        <is>
          <t>Germany</t>
        </is>
      </c>
      <c r="D3637" s="114" t="inlineStr">
        <is>
          <t>23354</t>
        </is>
      </c>
      <c r="E3637" s="114" t="inlineStr">
        <is>
          <t xml:space="preserve">6 GIFT TAGS 50'S CHRISTMAS </t>
        </is>
      </c>
      <c r="F3637" s="114" t="n">
        <v>12</v>
      </c>
      <c r="G3637" s="115" t="n">
        <v>0.83</v>
      </c>
      <c r="H3637" s="115" t="n">
        <v>9.960000000000001</v>
      </c>
      <c r="I3637" s="116" t="n">
        <v>40833</v>
      </c>
    </row>
    <row r="3638">
      <c r="A3638" s="117" t="inlineStr">
        <is>
          <t>571306</t>
        </is>
      </c>
      <c r="B3638" s="117" t="n">
        <v>16701</v>
      </c>
      <c r="C3638" s="117" t="inlineStr">
        <is>
          <t>United Kingdom</t>
        </is>
      </c>
      <c r="D3638" s="117" t="inlineStr">
        <is>
          <t>23353</t>
        </is>
      </c>
      <c r="E3638" s="117" t="inlineStr">
        <is>
          <t xml:space="preserve">6 GIFT TAGS VINTAGE CHRISTMAS </t>
        </is>
      </c>
      <c r="F3638" s="117" t="n">
        <v>36</v>
      </c>
      <c r="G3638" s="118" t="n">
        <v>0.83</v>
      </c>
      <c r="H3638" s="118" t="n">
        <v>29.88</v>
      </c>
      <c r="I3638" s="119" t="n">
        <v>40833</v>
      </c>
    </row>
    <row r="3639">
      <c r="A3639" s="114" t="inlineStr">
        <is>
          <t>571307</t>
        </is>
      </c>
      <c r="B3639" s="114" t="n">
        <v>14443</v>
      </c>
      <c r="C3639" s="114" t="inlineStr">
        <is>
          <t>United Kingdom</t>
        </is>
      </c>
      <c r="D3639" s="114" t="inlineStr">
        <is>
          <t>23395</t>
        </is>
      </c>
      <c r="E3639" s="114" t="inlineStr">
        <is>
          <t>BELLE JARDINIERE CUSHION COVER</t>
        </is>
      </c>
      <c r="F3639" s="114" t="n">
        <v>4</v>
      </c>
      <c r="G3639" s="115" t="n">
        <v>3.75</v>
      </c>
      <c r="H3639" s="115" t="n">
        <v>15</v>
      </c>
      <c r="I3639" s="116" t="n">
        <v>40833</v>
      </c>
    </row>
    <row r="3640">
      <c r="A3640" s="117" t="inlineStr">
        <is>
          <t>571312</t>
        </is>
      </c>
      <c r="B3640" s="117" t="n">
        <v>12474</v>
      </c>
      <c r="C3640" s="117" t="inlineStr">
        <is>
          <t>Germany</t>
        </is>
      </c>
      <c r="D3640" s="117" t="inlineStr">
        <is>
          <t>22992</t>
        </is>
      </c>
      <c r="E3640" s="117" t="inlineStr">
        <is>
          <t xml:space="preserve">REVOLVER WOODEN RULER </t>
        </is>
      </c>
      <c r="F3640" s="117" t="n">
        <v>12</v>
      </c>
      <c r="G3640" s="118" t="n">
        <v>1.95</v>
      </c>
      <c r="H3640" s="118" t="n">
        <v>23.4</v>
      </c>
      <c r="I3640" s="119" t="n">
        <v>40833</v>
      </c>
    </row>
    <row r="3641">
      <c r="A3641" s="114" t="inlineStr">
        <is>
          <t>571312</t>
        </is>
      </c>
      <c r="B3641" s="114" t="n">
        <v>12474</v>
      </c>
      <c r="C3641" s="114" t="inlineStr">
        <is>
          <t>Germany</t>
        </is>
      </c>
      <c r="D3641" s="114" t="inlineStr">
        <is>
          <t>21991</t>
        </is>
      </c>
      <c r="E3641" s="114" t="inlineStr">
        <is>
          <t>BOHEMIAN COLLAGE STATIONERY SET</t>
        </is>
      </c>
      <c r="F3641" s="114" t="n">
        <v>12</v>
      </c>
      <c r="G3641" s="115" t="n">
        <v>1.25</v>
      </c>
      <c r="H3641" s="115" t="n">
        <v>15</v>
      </c>
      <c r="I3641" s="116" t="n">
        <v>40833</v>
      </c>
    </row>
    <row r="3642">
      <c r="A3642" s="117" t="inlineStr">
        <is>
          <t>571312</t>
        </is>
      </c>
      <c r="B3642" s="117" t="n">
        <v>12474</v>
      </c>
      <c r="C3642" s="117" t="inlineStr">
        <is>
          <t>Germany</t>
        </is>
      </c>
      <c r="D3642" s="117" t="inlineStr">
        <is>
          <t>22984</t>
        </is>
      </c>
      <c r="E3642" s="117" t="inlineStr">
        <is>
          <t xml:space="preserve">CARD GINGHAM ROSE </t>
        </is>
      </c>
      <c r="F3642" s="117" t="n">
        <v>12</v>
      </c>
      <c r="G3642" s="118" t="n">
        <v>0.42</v>
      </c>
      <c r="H3642" s="118" t="n">
        <v>5.04</v>
      </c>
      <c r="I3642" s="119" t="n">
        <v>40833</v>
      </c>
    </row>
    <row r="3643">
      <c r="A3643" s="114" t="inlineStr">
        <is>
          <t>571323</t>
        </is>
      </c>
      <c r="B3643" s="114" t="n">
        <v>13534</v>
      </c>
      <c r="C3643" s="114" t="inlineStr">
        <is>
          <t>United Kingdom</t>
        </is>
      </c>
      <c r="D3643" s="114" t="inlineStr">
        <is>
          <t>23344</t>
        </is>
      </c>
      <c r="E3643" s="114" t="inlineStr">
        <is>
          <t xml:space="preserve">JUMBO BAG 50'S CHRISTMAS </t>
        </is>
      </c>
      <c r="F3643" s="114" t="n">
        <v>10</v>
      </c>
      <c r="G3643" s="115" t="n">
        <v>2.08</v>
      </c>
      <c r="H3643" s="115" t="n">
        <v>20.8</v>
      </c>
      <c r="I3643" s="116" t="n">
        <v>40833</v>
      </c>
    </row>
    <row r="3644">
      <c r="A3644" s="117" t="inlineStr">
        <is>
          <t>571372</t>
        </is>
      </c>
      <c r="B3644" s="117" t="n">
        <v>17201</v>
      </c>
      <c r="C3644" s="117" t="inlineStr">
        <is>
          <t>United Kingdom</t>
        </is>
      </c>
      <c r="D3644" s="117" t="inlineStr">
        <is>
          <t>23101</t>
        </is>
      </c>
      <c r="E3644" s="117" t="inlineStr">
        <is>
          <t>SILVER STARS TABLE DECORATION</t>
        </is>
      </c>
      <c r="F3644" s="117" t="n">
        <v>1</v>
      </c>
      <c r="G3644" s="118" t="n">
        <v>0.83</v>
      </c>
      <c r="H3644" s="118" t="n">
        <v>0.83</v>
      </c>
      <c r="I3644" s="119" t="n">
        <v>40833</v>
      </c>
    </row>
    <row r="3645">
      <c r="A3645" s="114" t="inlineStr">
        <is>
          <t>571404</t>
        </is>
      </c>
      <c r="B3645" s="114" t="n">
        <v>17520</v>
      </c>
      <c r="C3645" s="114" t="inlineStr">
        <is>
          <t>United Kingdom</t>
        </is>
      </c>
      <c r="D3645" s="114" t="inlineStr">
        <is>
          <t>22161</t>
        </is>
      </c>
      <c r="E3645" s="114" t="inlineStr">
        <is>
          <t xml:space="preserve">HEART DECORATION RUSTIC HANGING </t>
        </is>
      </c>
      <c r="F3645" s="114" t="n">
        <v>24</v>
      </c>
      <c r="G3645" s="115" t="n">
        <v>0.19</v>
      </c>
      <c r="H3645" s="115" t="n">
        <v>4.56</v>
      </c>
      <c r="I3645" s="116" t="n">
        <v>40833</v>
      </c>
    </row>
    <row r="3646">
      <c r="A3646" s="117" t="inlineStr">
        <is>
          <t>571406</t>
        </is>
      </c>
      <c r="B3646" s="117" t="n">
        <v>13871</v>
      </c>
      <c r="C3646" s="117" t="inlineStr">
        <is>
          <t>United Kingdom</t>
        </is>
      </c>
      <c r="D3646" s="117" t="inlineStr">
        <is>
          <t>23352</t>
        </is>
      </c>
      <c r="E3646" s="117" t="inlineStr">
        <is>
          <t xml:space="preserve">ROLL WRAP 50'S RED CHRISTMAS </t>
        </is>
      </c>
      <c r="F3646" s="117" t="n">
        <v>12</v>
      </c>
      <c r="G3646" s="118" t="n">
        <v>1.25</v>
      </c>
      <c r="H3646" s="118" t="n">
        <v>15</v>
      </c>
      <c r="I3646" s="119" t="n">
        <v>40833</v>
      </c>
    </row>
    <row r="3647">
      <c r="A3647" s="114" t="inlineStr">
        <is>
          <t>571408</t>
        </is>
      </c>
      <c r="B3647" s="114" t="n">
        <v>15012</v>
      </c>
      <c r="C3647" s="114" t="inlineStr">
        <is>
          <t>United Kingdom</t>
        </is>
      </c>
      <c r="D3647" s="114" t="inlineStr">
        <is>
          <t>84968C</t>
        </is>
      </c>
      <c r="E3647" s="114" t="inlineStr">
        <is>
          <t>SET OF 16 VINTAGE PISTACHIO CUTLERY</t>
        </is>
      </c>
      <c r="F3647" s="114" t="n">
        <v>1</v>
      </c>
      <c r="G3647" s="115" t="n">
        <v>12.75</v>
      </c>
      <c r="H3647" s="115" t="n">
        <v>12.75</v>
      </c>
      <c r="I3647" s="116" t="n">
        <v>40833</v>
      </c>
    </row>
    <row r="3648">
      <c r="A3648" s="117" t="inlineStr">
        <is>
          <t>571408</t>
        </is>
      </c>
      <c r="B3648" s="117" t="n">
        <v>15012</v>
      </c>
      <c r="C3648" s="117" t="inlineStr">
        <is>
          <t>United Kingdom</t>
        </is>
      </c>
      <c r="D3648" s="117" t="inlineStr">
        <is>
          <t>23339</t>
        </is>
      </c>
      <c r="E3648" s="117" t="inlineStr">
        <is>
          <t xml:space="preserve">EGG FRYING PAN BLUE </t>
        </is>
      </c>
      <c r="F3648" s="117" t="n">
        <v>1</v>
      </c>
      <c r="G3648" s="118" t="n">
        <v>2.08</v>
      </c>
      <c r="H3648" s="118" t="n">
        <v>2.08</v>
      </c>
      <c r="I3648" s="119" t="n">
        <v>40833</v>
      </c>
    </row>
    <row r="3649">
      <c r="A3649" s="114" t="inlineStr">
        <is>
          <t>571409</t>
        </is>
      </c>
      <c r="B3649" s="114" t="n">
        <v>14911</v>
      </c>
      <c r="C3649" s="114" t="inlineStr">
        <is>
          <t>EIRE</t>
        </is>
      </c>
      <c r="D3649" s="114" t="inlineStr">
        <is>
          <t>82494L</t>
        </is>
      </c>
      <c r="E3649" s="114" t="inlineStr">
        <is>
          <t xml:space="preserve">WOODEN FRAME ANTIQUE WHITE </t>
        </is>
      </c>
      <c r="F3649" s="114" t="n">
        <v>6</v>
      </c>
      <c r="G3649" s="115" t="n">
        <v>2.95</v>
      </c>
      <c r="H3649" s="115" t="n">
        <v>17.7</v>
      </c>
      <c r="I3649" s="116" t="n">
        <v>40833</v>
      </c>
    </row>
    <row r="3650">
      <c r="A3650" s="117" t="inlineStr">
        <is>
          <t>571413</t>
        </is>
      </c>
      <c r="B3650" s="117" t="n">
        <v>13923</v>
      </c>
      <c r="C3650" s="117" t="inlineStr">
        <is>
          <t>United Kingdom</t>
        </is>
      </c>
      <c r="D3650" s="117" t="inlineStr">
        <is>
          <t>21175</t>
        </is>
      </c>
      <c r="E3650" s="117" t="inlineStr">
        <is>
          <t>GIN + TONIC DIET METAL SIGN</t>
        </is>
      </c>
      <c r="F3650" s="117" t="n">
        <v>12</v>
      </c>
      <c r="G3650" s="118" t="n">
        <v>2.55</v>
      </c>
      <c r="H3650" s="118" t="n">
        <v>30.6</v>
      </c>
      <c r="I3650" s="119" t="n">
        <v>40833</v>
      </c>
    </row>
    <row r="3651">
      <c r="A3651" s="114" t="inlineStr">
        <is>
          <t>571425</t>
        </is>
      </c>
      <c r="B3651" s="114" t="n">
        <v>14911</v>
      </c>
      <c r="C3651" s="114" t="inlineStr">
        <is>
          <t>EIRE</t>
        </is>
      </c>
      <c r="D3651" s="114" t="inlineStr">
        <is>
          <t>22624</t>
        </is>
      </c>
      <c r="E3651" s="114" t="inlineStr">
        <is>
          <t>IVORY KITCHEN SCALES</t>
        </is>
      </c>
      <c r="F3651" s="114" t="n">
        <v>2</v>
      </c>
      <c r="G3651" s="115" t="n">
        <v>8.5</v>
      </c>
      <c r="H3651" s="115" t="n">
        <v>17</v>
      </c>
      <c r="I3651" s="116" t="n">
        <v>40833</v>
      </c>
    </row>
    <row r="3652">
      <c r="A3652" s="117" t="inlineStr">
        <is>
          <t>571433</t>
        </is>
      </c>
      <c r="B3652" s="117" t="n">
        <v>13015</v>
      </c>
      <c r="C3652" s="117" t="inlineStr">
        <is>
          <t>United Kingdom</t>
        </is>
      </c>
      <c r="D3652" s="117" t="inlineStr">
        <is>
          <t>23307</t>
        </is>
      </c>
      <c r="E3652" s="117" t="inlineStr">
        <is>
          <t xml:space="preserve">SET OF 60 PANTRY DESIGN CAKE CASES </t>
        </is>
      </c>
      <c r="F3652" s="117" t="n">
        <v>24</v>
      </c>
      <c r="G3652" s="118" t="n">
        <v>0.55</v>
      </c>
      <c r="H3652" s="118" t="n">
        <v>13.2</v>
      </c>
      <c r="I3652" s="119" t="n">
        <v>40833</v>
      </c>
    </row>
    <row r="3653">
      <c r="A3653" s="114" t="inlineStr">
        <is>
          <t>571433</t>
        </is>
      </c>
      <c r="B3653" s="114" t="n">
        <v>13015</v>
      </c>
      <c r="C3653" s="114" t="inlineStr">
        <is>
          <t>United Kingdom</t>
        </is>
      </c>
      <c r="D3653" s="114" t="inlineStr">
        <is>
          <t>22027</t>
        </is>
      </c>
      <c r="E3653" s="114" t="inlineStr">
        <is>
          <t>TEA PARTY BIRTHDAY CARD</t>
        </is>
      </c>
      <c r="F3653" s="114" t="n">
        <v>12</v>
      </c>
      <c r="G3653" s="115" t="n">
        <v>0.42</v>
      </c>
      <c r="H3653" s="115" t="n">
        <v>5.04</v>
      </c>
      <c r="I3653" s="116" t="n">
        <v>40833</v>
      </c>
    </row>
    <row r="3654">
      <c r="A3654" s="117" t="inlineStr">
        <is>
          <t>571433</t>
        </is>
      </c>
      <c r="B3654" s="117" t="n">
        <v>13015</v>
      </c>
      <c r="C3654" s="117" t="inlineStr">
        <is>
          <t>United Kingdom</t>
        </is>
      </c>
      <c r="D3654" s="117" t="inlineStr">
        <is>
          <t>22191</t>
        </is>
      </c>
      <c r="E3654" s="117" t="inlineStr">
        <is>
          <t>IVORY DINER WALL CLOCK</t>
        </is>
      </c>
      <c r="F3654" s="117" t="n">
        <v>2</v>
      </c>
      <c r="G3654" s="118" t="n">
        <v>8.5</v>
      </c>
      <c r="H3654" s="118" t="n">
        <v>17</v>
      </c>
      <c r="I3654" s="119" t="n">
        <v>40833</v>
      </c>
    </row>
    <row r="3655">
      <c r="A3655" s="114" t="inlineStr">
        <is>
          <t>571433</t>
        </is>
      </c>
      <c r="B3655" s="114" t="n">
        <v>13015</v>
      </c>
      <c r="C3655" s="114" t="inlineStr">
        <is>
          <t>United Kingdom</t>
        </is>
      </c>
      <c r="D3655" s="114" t="inlineStr">
        <is>
          <t>22024</t>
        </is>
      </c>
      <c r="E3655" s="114" t="inlineStr">
        <is>
          <t>RAINY LADIES BIRTHDAY CARD</t>
        </is>
      </c>
      <c r="F3655" s="114" t="n">
        <v>12</v>
      </c>
      <c r="G3655" s="115" t="n">
        <v>0.42</v>
      </c>
      <c r="H3655" s="115" t="n">
        <v>5.04</v>
      </c>
      <c r="I3655" s="116" t="n">
        <v>40833</v>
      </c>
    </row>
    <row r="3656">
      <c r="A3656" s="117" t="inlineStr">
        <is>
          <t>571438</t>
        </is>
      </c>
      <c r="B3656" s="117" t="n">
        <v>15066</v>
      </c>
      <c r="C3656" s="117" t="inlineStr">
        <is>
          <t>United Kingdom</t>
        </is>
      </c>
      <c r="D3656" s="117" t="inlineStr">
        <is>
          <t>21175</t>
        </is>
      </c>
      <c r="E3656" s="117" t="inlineStr">
        <is>
          <t>GIN + TONIC DIET METAL SIGN</t>
        </is>
      </c>
      <c r="F3656" s="117" t="n">
        <v>12</v>
      </c>
      <c r="G3656" s="118" t="n">
        <v>2.55</v>
      </c>
      <c r="H3656" s="118" t="n">
        <v>30.6</v>
      </c>
      <c r="I3656" s="119" t="n">
        <v>40833</v>
      </c>
    </row>
    <row r="3657">
      <c r="A3657" s="114" t="inlineStr">
        <is>
          <t>571438</t>
        </is>
      </c>
      <c r="B3657" s="114" t="n">
        <v>15066</v>
      </c>
      <c r="C3657" s="114" t="inlineStr">
        <is>
          <t>United Kingdom</t>
        </is>
      </c>
      <c r="D3657" s="114" t="inlineStr">
        <is>
          <t>22897</t>
        </is>
      </c>
      <c r="E3657" s="114" t="inlineStr">
        <is>
          <t>OVEN MITT APPLES DESIGN</t>
        </is>
      </c>
      <c r="F3657" s="114" t="n">
        <v>10</v>
      </c>
      <c r="G3657" s="115" t="n">
        <v>1.45</v>
      </c>
      <c r="H3657" s="115" t="n">
        <v>14.5</v>
      </c>
      <c r="I3657" s="116" t="n">
        <v>40833</v>
      </c>
    </row>
    <row r="3658">
      <c r="A3658" s="117" t="inlineStr">
        <is>
          <t>571441</t>
        </is>
      </c>
      <c r="B3658" s="117" t="n">
        <v>14096</v>
      </c>
      <c r="C3658" s="117" t="inlineStr">
        <is>
          <t>United Kingdom</t>
        </is>
      </c>
      <c r="D3658" s="117" t="inlineStr">
        <is>
          <t>84032A</t>
        </is>
      </c>
      <c r="E3658" s="117" t="inlineStr">
        <is>
          <t>CHARLIE+LOLA PINK HOT WATER BOTTLE</t>
        </is>
      </c>
      <c r="F3658" s="117" t="n">
        <v>3</v>
      </c>
      <c r="G3658" s="118" t="n">
        <v>3.29</v>
      </c>
      <c r="H3658" s="118" t="n">
        <v>9.869999999999999</v>
      </c>
      <c r="I3658" s="119" t="n">
        <v>40833</v>
      </c>
    </row>
    <row r="3659">
      <c r="A3659" s="114" t="inlineStr">
        <is>
          <t>571441</t>
        </is>
      </c>
      <c r="B3659" s="114" t="n">
        <v>14096</v>
      </c>
      <c r="C3659" s="114" t="inlineStr">
        <is>
          <t>United Kingdom</t>
        </is>
      </c>
      <c r="D3659" s="114" t="inlineStr">
        <is>
          <t>22947</t>
        </is>
      </c>
      <c r="E3659" s="114" t="inlineStr">
        <is>
          <t>WOODEN ADVENT CALENDAR RED</t>
        </is>
      </c>
      <c r="F3659" s="114" t="n">
        <v>2</v>
      </c>
      <c r="G3659" s="115" t="n">
        <v>16.63</v>
      </c>
      <c r="H3659" s="115" t="n">
        <v>33.26</v>
      </c>
      <c r="I3659" s="116" t="n">
        <v>40833</v>
      </c>
    </row>
    <row r="3660">
      <c r="A3660" s="117" t="inlineStr">
        <is>
          <t>571444</t>
        </is>
      </c>
      <c r="B3660" s="117" t="n">
        <v>18179</v>
      </c>
      <c r="C3660" s="117" t="inlineStr">
        <is>
          <t>United Kingdom</t>
        </is>
      </c>
      <c r="D3660" s="117" t="inlineStr">
        <is>
          <t>22910</t>
        </is>
      </c>
      <c r="E3660" s="117" t="inlineStr">
        <is>
          <t>PAPER CHAIN KIT VINTAGE CHRISTMAS</t>
        </is>
      </c>
      <c r="F3660" s="117" t="n">
        <v>12</v>
      </c>
      <c r="G3660" s="118" t="n">
        <v>2.95</v>
      </c>
      <c r="H3660" s="118" t="n">
        <v>35.4</v>
      </c>
      <c r="I3660" s="119" t="n">
        <v>40833</v>
      </c>
    </row>
    <row r="3661">
      <c r="A3661" s="114" t="inlineStr">
        <is>
          <t>571456</t>
        </is>
      </c>
      <c r="B3661" s="114" t="n">
        <v>16729</v>
      </c>
      <c r="C3661" s="114" t="inlineStr">
        <is>
          <t>United Kingdom</t>
        </is>
      </c>
      <c r="D3661" s="114" t="inlineStr">
        <is>
          <t>82578</t>
        </is>
      </c>
      <c r="E3661" s="114" t="inlineStr">
        <is>
          <t>KITCHEN METAL SIGN</t>
        </is>
      </c>
      <c r="F3661" s="114" t="n">
        <v>1</v>
      </c>
      <c r="G3661" s="115" t="n">
        <v>0.55</v>
      </c>
      <c r="H3661" s="115" t="n">
        <v>0.55</v>
      </c>
      <c r="I3661" s="116" t="n">
        <v>40833</v>
      </c>
    </row>
    <row r="3662">
      <c r="A3662" s="117" t="inlineStr">
        <is>
          <t>571456</t>
        </is>
      </c>
      <c r="B3662" s="117" t="n">
        <v>16729</v>
      </c>
      <c r="C3662" s="117" t="inlineStr">
        <is>
          <t>United Kingdom</t>
        </is>
      </c>
      <c r="D3662" s="117" t="inlineStr">
        <is>
          <t>23199</t>
        </is>
      </c>
      <c r="E3662" s="117" t="inlineStr">
        <is>
          <t>JUMBO BAG APPLES</t>
        </is>
      </c>
      <c r="F3662" s="117" t="n">
        <v>3</v>
      </c>
      <c r="G3662" s="118" t="n">
        <v>2.08</v>
      </c>
      <c r="H3662" s="118" t="n">
        <v>6.24</v>
      </c>
      <c r="I3662" s="119" t="n">
        <v>40833</v>
      </c>
    </row>
    <row r="3663">
      <c r="A3663" s="114" t="inlineStr">
        <is>
          <t>571461</t>
        </is>
      </c>
      <c r="B3663" s="114" t="n">
        <v>16932</v>
      </c>
      <c r="C3663" s="114" t="inlineStr">
        <is>
          <t>United Kingdom</t>
        </is>
      </c>
      <c r="D3663" s="114" t="inlineStr">
        <is>
          <t>85123A</t>
        </is>
      </c>
      <c r="E3663" s="114" t="inlineStr">
        <is>
          <t>WHITE HANGING HEART T-LIGHT HOLDER</t>
        </is>
      </c>
      <c r="F3663" s="114" t="n">
        <v>1</v>
      </c>
      <c r="G3663" s="115" t="n">
        <v>2.95</v>
      </c>
      <c r="H3663" s="115" t="n">
        <v>2.95</v>
      </c>
      <c r="I3663" s="116" t="n">
        <v>40833</v>
      </c>
    </row>
    <row r="3664">
      <c r="A3664" s="117" t="inlineStr">
        <is>
          <t>571463</t>
        </is>
      </c>
      <c r="B3664" s="117" t="n">
        <v>16463</v>
      </c>
      <c r="C3664" s="117" t="inlineStr">
        <is>
          <t>United Kingdom</t>
        </is>
      </c>
      <c r="D3664" s="117" t="inlineStr">
        <is>
          <t>20977</t>
        </is>
      </c>
      <c r="E3664" s="117" t="inlineStr">
        <is>
          <t>36 PENCILS TUBE WOODLAND</t>
        </is>
      </c>
      <c r="F3664" s="117" t="n">
        <v>16</v>
      </c>
      <c r="G3664" s="118" t="n">
        <v>1.25</v>
      </c>
      <c r="H3664" s="118" t="n">
        <v>20</v>
      </c>
      <c r="I3664" s="119" t="n">
        <v>40833</v>
      </c>
    </row>
    <row r="3665">
      <c r="A3665" s="114" t="inlineStr">
        <is>
          <t>571464</t>
        </is>
      </c>
      <c r="B3665" s="114" t="n">
        <v>14805</v>
      </c>
      <c r="C3665" s="114" t="inlineStr">
        <is>
          <t>United Kingdom</t>
        </is>
      </c>
      <c r="D3665" s="114" t="inlineStr">
        <is>
          <t>48187</t>
        </is>
      </c>
      <c r="E3665" s="114" t="inlineStr">
        <is>
          <t>DOORMAT NEW ENGLAND</t>
        </is>
      </c>
      <c r="F3665" s="114" t="n">
        <v>1</v>
      </c>
      <c r="G3665" s="115" t="n">
        <v>8.25</v>
      </c>
      <c r="H3665" s="115" t="n">
        <v>8.25</v>
      </c>
      <c r="I3665" s="116" t="n">
        <v>40833</v>
      </c>
    </row>
    <row r="3666">
      <c r="A3666" s="117" t="inlineStr">
        <is>
          <t>571475</t>
        </is>
      </c>
      <c r="B3666" s="117" t="n">
        <v>15033</v>
      </c>
      <c r="C3666" s="117" t="inlineStr">
        <is>
          <t>United Kingdom</t>
        </is>
      </c>
      <c r="D3666" s="117" t="inlineStr">
        <is>
          <t>22121</t>
        </is>
      </c>
      <c r="E3666" s="117" t="inlineStr">
        <is>
          <t xml:space="preserve">NOEL WOODEN BLOCK LETTERS </t>
        </is>
      </c>
      <c r="F3666" s="117" t="n">
        <v>2</v>
      </c>
      <c r="G3666" s="118" t="n">
        <v>5.95</v>
      </c>
      <c r="H3666" s="118" t="n">
        <v>11.9</v>
      </c>
      <c r="I3666" s="119" t="n">
        <v>40833</v>
      </c>
    </row>
    <row r="3667">
      <c r="A3667" s="114" t="inlineStr">
        <is>
          <t>571498</t>
        </is>
      </c>
      <c r="B3667" s="114" t="n">
        <v>17841</v>
      </c>
      <c r="C3667" s="114" t="inlineStr">
        <is>
          <t>United Kingdom</t>
        </is>
      </c>
      <c r="D3667" s="114" t="inlineStr">
        <is>
          <t>22227</t>
        </is>
      </c>
      <c r="E3667" s="114" t="inlineStr">
        <is>
          <t xml:space="preserve">HANGING HEART MIRROR DECORATION </t>
        </is>
      </c>
      <c r="F3667" s="114" t="n">
        <v>1</v>
      </c>
      <c r="G3667" s="115" t="n">
        <v>0.65</v>
      </c>
      <c r="H3667" s="115" t="n">
        <v>0.65</v>
      </c>
      <c r="I3667" s="116" t="n">
        <v>40833</v>
      </c>
    </row>
    <row r="3668">
      <c r="A3668" s="117" t="inlineStr">
        <is>
          <t>571506</t>
        </is>
      </c>
      <c r="B3668" s="117" t="n">
        <v>15355</v>
      </c>
      <c r="C3668" s="117" t="inlineStr">
        <is>
          <t>United Kingdom</t>
        </is>
      </c>
      <c r="D3668" s="117" t="inlineStr">
        <is>
          <t>23355</t>
        </is>
      </c>
      <c r="E3668" s="117" t="inlineStr">
        <is>
          <t>HOT WATER BOTTLE KEEP CALM</t>
        </is>
      </c>
      <c r="F3668" s="117" t="n">
        <v>1</v>
      </c>
      <c r="G3668" s="118" t="n">
        <v>4.95</v>
      </c>
      <c r="H3668" s="118" t="n">
        <v>4.95</v>
      </c>
      <c r="I3668" s="119" t="n">
        <v>40833</v>
      </c>
    </row>
    <row r="3669">
      <c r="A3669" s="114" t="inlineStr">
        <is>
          <t>571510</t>
        </is>
      </c>
      <c r="B3669" s="114" t="n">
        <v>18241</v>
      </c>
      <c r="C3669" s="114" t="inlineStr">
        <is>
          <t>United Kingdom</t>
        </is>
      </c>
      <c r="D3669" s="114" t="inlineStr">
        <is>
          <t>22180</t>
        </is>
      </c>
      <c r="E3669" s="114" t="inlineStr">
        <is>
          <t>RETROSPOT LAMP</t>
        </is>
      </c>
      <c r="F3669" s="114" t="n">
        <v>4</v>
      </c>
      <c r="G3669" s="115" t="n">
        <v>9.949999999999999</v>
      </c>
      <c r="H3669" s="115" t="n">
        <v>39.8</v>
      </c>
      <c r="I3669" s="116" t="n">
        <v>40833</v>
      </c>
    </row>
    <row r="3670">
      <c r="A3670" s="117" t="inlineStr">
        <is>
          <t>571544</t>
        </is>
      </c>
      <c r="B3670" s="117" t="n">
        <v>17757</v>
      </c>
      <c r="C3670" s="117" t="inlineStr">
        <is>
          <t>United Kingdom</t>
        </is>
      </c>
      <c r="D3670" s="117" t="inlineStr">
        <is>
          <t>22994</t>
        </is>
      </c>
      <c r="E3670" s="117" t="inlineStr">
        <is>
          <t>TRAVEL CARD WALLET RETROSPOT</t>
        </is>
      </c>
      <c r="F3670" s="117" t="n">
        <v>5</v>
      </c>
      <c r="G3670" s="118" t="n">
        <v>0.42</v>
      </c>
      <c r="H3670" s="118" t="n">
        <v>2.1</v>
      </c>
      <c r="I3670" s="119" t="n">
        <v>40833</v>
      </c>
    </row>
    <row r="3671">
      <c r="A3671" s="114" t="inlineStr">
        <is>
          <t>571550</t>
        </is>
      </c>
      <c r="B3671" s="114" t="n">
        <v>13892</v>
      </c>
      <c r="C3671" s="114" t="inlineStr">
        <is>
          <t>United Kingdom</t>
        </is>
      </c>
      <c r="D3671" s="114" t="inlineStr">
        <is>
          <t>22699</t>
        </is>
      </c>
      <c r="E3671" s="114" t="inlineStr">
        <is>
          <t xml:space="preserve">ROSES REGENCY TEACUP AND SAUCER </t>
        </is>
      </c>
      <c r="F3671" s="114" t="n">
        <v>24</v>
      </c>
      <c r="G3671" s="115" t="n">
        <v>2.55</v>
      </c>
      <c r="H3671" s="115" t="n">
        <v>61.2</v>
      </c>
      <c r="I3671" s="116" t="n">
        <v>40834</v>
      </c>
    </row>
    <row r="3672">
      <c r="A3672" s="117" t="inlineStr">
        <is>
          <t>571552</t>
        </is>
      </c>
      <c r="B3672" s="117" t="n">
        <v>16848</v>
      </c>
      <c r="C3672" s="117" t="inlineStr">
        <is>
          <t>United Kingdom</t>
        </is>
      </c>
      <c r="D3672" s="117" t="inlineStr">
        <is>
          <t>23201</t>
        </is>
      </c>
      <c r="E3672" s="117" t="inlineStr">
        <is>
          <t>JUMBO BAG ALPHABET</t>
        </is>
      </c>
      <c r="F3672" s="117" t="n">
        <v>10</v>
      </c>
      <c r="G3672" s="118" t="n">
        <v>2.08</v>
      </c>
      <c r="H3672" s="118" t="n">
        <v>20.8</v>
      </c>
      <c r="I3672" s="119" t="n">
        <v>40834</v>
      </c>
    </row>
    <row r="3673">
      <c r="A3673" s="114" t="inlineStr">
        <is>
          <t>571562</t>
        </is>
      </c>
      <c r="B3673" s="114" t="n">
        <v>14156</v>
      </c>
      <c r="C3673" s="114" t="inlineStr">
        <is>
          <t>EIRE</t>
        </is>
      </c>
      <c r="D3673" s="114" t="inlineStr">
        <is>
          <t>23207</t>
        </is>
      </c>
      <c r="E3673" s="114" t="inlineStr">
        <is>
          <t>LUNCH BAG ALPHABET DESIGN</t>
        </is>
      </c>
      <c r="F3673" s="114" t="n">
        <v>20</v>
      </c>
      <c r="G3673" s="115" t="n">
        <v>1.65</v>
      </c>
      <c r="H3673" s="115" t="n">
        <v>33</v>
      </c>
      <c r="I3673" s="116" t="n">
        <v>40834</v>
      </c>
    </row>
    <row r="3674">
      <c r="A3674" s="117" t="inlineStr">
        <is>
          <t>571563</t>
        </is>
      </c>
      <c r="B3674" s="117" t="n">
        <v>16249</v>
      </c>
      <c r="C3674" s="117" t="inlineStr">
        <is>
          <t>United Kingdom</t>
        </is>
      </c>
      <c r="D3674" s="117" t="inlineStr">
        <is>
          <t>23323</t>
        </is>
      </c>
      <c r="E3674" s="117" t="inlineStr">
        <is>
          <t xml:space="preserve">WHITE WICKER STAR </t>
        </is>
      </c>
      <c r="F3674" s="117" t="n">
        <v>12</v>
      </c>
      <c r="G3674" s="118" t="n">
        <v>2.1</v>
      </c>
      <c r="H3674" s="118" t="n">
        <v>25.2</v>
      </c>
      <c r="I3674" s="119" t="n">
        <v>40834</v>
      </c>
    </row>
    <row r="3675">
      <c r="A3675" s="114" t="inlineStr">
        <is>
          <t>571566</t>
        </is>
      </c>
      <c r="B3675" s="114" t="n">
        <v>13594</v>
      </c>
      <c r="C3675" s="114" t="inlineStr">
        <is>
          <t>United Kingdom</t>
        </is>
      </c>
      <c r="D3675" s="114" t="inlineStr">
        <is>
          <t>21080</t>
        </is>
      </c>
      <c r="E3675" s="114" t="inlineStr">
        <is>
          <t xml:space="preserve">SET/20 RED RETROSPOT PAPER NAPKINS </t>
        </is>
      </c>
      <c r="F3675" s="114" t="n">
        <v>24</v>
      </c>
      <c r="G3675" s="115" t="n">
        <v>0.85</v>
      </c>
      <c r="H3675" s="115" t="n">
        <v>20.4</v>
      </c>
      <c r="I3675" s="116" t="n">
        <v>40834</v>
      </c>
    </row>
    <row r="3676">
      <c r="A3676" s="117" t="inlineStr">
        <is>
          <t>571653</t>
        </is>
      </c>
      <c r="B3676" s="117" t="n">
        <v>14298</v>
      </c>
      <c r="C3676" s="117" t="inlineStr">
        <is>
          <t>United Kingdom</t>
        </is>
      </c>
      <c r="D3676" s="117" t="inlineStr">
        <is>
          <t>21818</t>
        </is>
      </c>
      <c r="E3676" s="117" t="inlineStr">
        <is>
          <t>GLITTER HEART DECORATION</t>
        </is>
      </c>
      <c r="F3676" s="117" t="n">
        <v>36</v>
      </c>
      <c r="G3676" s="118" t="n">
        <v>0.39</v>
      </c>
      <c r="H3676" s="118" t="n">
        <v>14.04</v>
      </c>
      <c r="I3676" s="119" t="n">
        <v>40834</v>
      </c>
    </row>
    <row r="3677">
      <c r="A3677" s="114" t="inlineStr">
        <is>
          <t>571653</t>
        </is>
      </c>
      <c r="B3677" s="114" t="n">
        <v>14298</v>
      </c>
      <c r="C3677" s="114" t="inlineStr">
        <is>
          <t>United Kingdom</t>
        </is>
      </c>
      <c r="D3677" s="114" t="inlineStr">
        <is>
          <t>23534</t>
        </is>
      </c>
      <c r="E3677" s="114" t="inlineStr">
        <is>
          <t xml:space="preserve">WALL ART STOP FOR TEA </t>
        </is>
      </c>
      <c r="F3677" s="114" t="n">
        <v>6</v>
      </c>
      <c r="G3677" s="115" t="n">
        <v>5.35</v>
      </c>
      <c r="H3677" s="115" t="n">
        <v>32.1</v>
      </c>
      <c r="I3677" s="116" t="n">
        <v>40834</v>
      </c>
    </row>
    <row r="3678">
      <c r="A3678" s="117" t="inlineStr">
        <is>
          <t>571653</t>
        </is>
      </c>
      <c r="B3678" s="117" t="n">
        <v>14298</v>
      </c>
      <c r="C3678" s="117" t="inlineStr">
        <is>
          <t>United Kingdom</t>
        </is>
      </c>
      <c r="D3678" s="117" t="inlineStr">
        <is>
          <t>23484</t>
        </is>
      </c>
      <c r="E3678" s="117" t="inlineStr">
        <is>
          <t>HEART TRELLIS TRIPLE T-LIGHT HOLDER</t>
        </is>
      </c>
      <c r="F3678" s="117" t="n">
        <v>24</v>
      </c>
      <c r="G3678" s="118" t="n">
        <v>2.49</v>
      </c>
      <c r="H3678" s="118" t="n">
        <v>59.76</v>
      </c>
      <c r="I3678" s="119" t="n">
        <v>40834</v>
      </c>
    </row>
    <row r="3679">
      <c r="A3679" s="114" t="inlineStr">
        <is>
          <t>571655</t>
        </is>
      </c>
      <c r="B3679" s="114" t="n">
        <v>14688</v>
      </c>
      <c r="C3679" s="114" t="inlineStr">
        <is>
          <t>United Kingdom</t>
        </is>
      </c>
      <c r="D3679" s="114" t="inlineStr">
        <is>
          <t>22138</t>
        </is>
      </c>
      <c r="E3679" s="114" t="inlineStr">
        <is>
          <t xml:space="preserve">BAKING SET 9 PIECE RETROSPOT </t>
        </is>
      </c>
      <c r="F3679" s="114" t="n">
        <v>12</v>
      </c>
      <c r="G3679" s="115" t="n">
        <v>4.95</v>
      </c>
      <c r="H3679" s="115" t="n">
        <v>59.4</v>
      </c>
      <c r="I3679" s="116" t="n">
        <v>40834</v>
      </c>
    </row>
    <row r="3680">
      <c r="A3680" s="117" t="inlineStr">
        <is>
          <t>571656</t>
        </is>
      </c>
      <c r="B3680" s="117" t="n">
        <v>16393</v>
      </c>
      <c r="C3680" s="117" t="inlineStr">
        <is>
          <t>United Kingdom</t>
        </is>
      </c>
      <c r="D3680" s="117" t="inlineStr">
        <is>
          <t>21034</t>
        </is>
      </c>
      <c r="E3680" s="117" t="inlineStr">
        <is>
          <t>REX CASH+CARRY JUMBO SHOPPER</t>
        </is>
      </c>
      <c r="F3680" s="117" t="n">
        <v>2</v>
      </c>
      <c r="G3680" s="118" t="n">
        <v>0.95</v>
      </c>
      <c r="H3680" s="118" t="n">
        <v>1.9</v>
      </c>
      <c r="I3680" s="119" t="n">
        <v>40834</v>
      </c>
    </row>
    <row r="3681">
      <c r="A3681" s="114" t="inlineStr">
        <is>
          <t>571656</t>
        </is>
      </c>
      <c r="B3681" s="114" t="n">
        <v>16393</v>
      </c>
      <c r="C3681" s="114" t="inlineStr">
        <is>
          <t>United Kingdom</t>
        </is>
      </c>
      <c r="D3681" s="114" t="inlineStr">
        <is>
          <t>22659</t>
        </is>
      </c>
      <c r="E3681" s="114" t="inlineStr">
        <is>
          <t>LUNCH BOX I LOVE LONDON</t>
        </is>
      </c>
      <c r="F3681" s="114" t="n">
        <v>2</v>
      </c>
      <c r="G3681" s="115" t="n">
        <v>1.95</v>
      </c>
      <c r="H3681" s="115" t="n">
        <v>3.9</v>
      </c>
      <c r="I3681" s="116" t="n">
        <v>40834</v>
      </c>
    </row>
    <row r="3682">
      <c r="A3682" s="117" t="inlineStr">
        <is>
          <t>571665</t>
        </is>
      </c>
      <c r="B3682" s="117" t="n">
        <v>12540</v>
      </c>
      <c r="C3682" s="117" t="inlineStr">
        <is>
          <t>Spain</t>
        </is>
      </c>
      <c r="D3682" s="117" t="inlineStr">
        <is>
          <t>22952</t>
        </is>
      </c>
      <c r="E3682" s="117" t="inlineStr">
        <is>
          <t>60 CAKE CASES VINTAGE CHRISTMAS</t>
        </is>
      </c>
      <c r="F3682" s="117" t="n">
        <v>24</v>
      </c>
      <c r="G3682" s="118" t="n">
        <v>0.55</v>
      </c>
      <c r="H3682" s="118" t="n">
        <v>13.2</v>
      </c>
      <c r="I3682" s="119" t="n">
        <v>40834</v>
      </c>
    </row>
    <row r="3683">
      <c r="A3683" s="114" t="inlineStr">
        <is>
          <t>571667</t>
        </is>
      </c>
      <c r="B3683" s="114" t="n">
        <v>14554</v>
      </c>
      <c r="C3683" s="114" t="inlineStr">
        <is>
          <t>United Kingdom</t>
        </is>
      </c>
      <c r="D3683" s="114" t="inlineStr">
        <is>
          <t>23390</t>
        </is>
      </c>
      <c r="E3683" s="114" t="inlineStr">
        <is>
          <t>DOLLY GIRL MINI BACKPACK</t>
        </is>
      </c>
      <c r="F3683" s="114" t="n">
        <v>1</v>
      </c>
      <c r="G3683" s="115" t="n">
        <v>4.15</v>
      </c>
      <c r="H3683" s="115" t="n">
        <v>4.15</v>
      </c>
      <c r="I3683" s="116" t="n">
        <v>40834</v>
      </c>
    </row>
    <row r="3684">
      <c r="A3684" s="117" t="inlineStr">
        <is>
          <t>571667</t>
        </is>
      </c>
      <c r="B3684" s="117" t="n">
        <v>14554</v>
      </c>
      <c r="C3684" s="117" t="inlineStr">
        <is>
          <t>United Kingdom</t>
        </is>
      </c>
      <c r="D3684" s="117" t="inlineStr">
        <is>
          <t>22197</t>
        </is>
      </c>
      <c r="E3684" s="117" t="inlineStr">
        <is>
          <t>POPCORN HOLDER</t>
        </is>
      </c>
      <c r="F3684" s="117" t="n">
        <v>20</v>
      </c>
      <c r="G3684" s="118" t="n">
        <v>0.85</v>
      </c>
      <c r="H3684" s="118" t="n">
        <v>17</v>
      </c>
      <c r="I3684" s="119" t="n">
        <v>40834</v>
      </c>
    </row>
    <row r="3685">
      <c r="A3685" s="114" t="inlineStr">
        <is>
          <t>571670</t>
        </is>
      </c>
      <c r="B3685" s="114" t="n">
        <v>12611</v>
      </c>
      <c r="C3685" s="114" t="inlineStr">
        <is>
          <t>Italy</t>
        </is>
      </c>
      <c r="D3685" s="114" t="inlineStr">
        <is>
          <t>22142</t>
        </is>
      </c>
      <c r="E3685" s="114" t="inlineStr">
        <is>
          <t xml:space="preserve">CHRISTMAS CRAFT WHITE FAIRY </t>
        </is>
      </c>
      <c r="F3685" s="114" t="n">
        <v>12</v>
      </c>
      <c r="G3685" s="115" t="n">
        <v>1.45</v>
      </c>
      <c r="H3685" s="115" t="n">
        <v>17.4</v>
      </c>
      <c r="I3685" s="116" t="n">
        <v>40834</v>
      </c>
    </row>
    <row r="3686">
      <c r="A3686" s="117" t="inlineStr">
        <is>
          <t>571670</t>
        </is>
      </c>
      <c r="B3686" s="117" t="n">
        <v>12611</v>
      </c>
      <c r="C3686" s="117" t="inlineStr">
        <is>
          <t>Italy</t>
        </is>
      </c>
      <c r="D3686" s="117" t="inlineStr">
        <is>
          <t>84987</t>
        </is>
      </c>
      <c r="E3686" s="117" t="inlineStr">
        <is>
          <t>SET OF 36 TEATIME PAPER DOILIES</t>
        </is>
      </c>
      <c r="F3686" s="117" t="n">
        <v>12</v>
      </c>
      <c r="G3686" s="118" t="n">
        <v>1.45</v>
      </c>
      <c r="H3686" s="118" t="n">
        <v>17.4</v>
      </c>
      <c r="I3686" s="119" t="n">
        <v>40834</v>
      </c>
    </row>
    <row r="3687">
      <c r="A3687" s="114" t="inlineStr">
        <is>
          <t>571671</t>
        </is>
      </c>
      <c r="B3687" s="114" t="n">
        <v>16940</v>
      </c>
      <c r="C3687" s="114" t="inlineStr">
        <is>
          <t>United Kingdom</t>
        </is>
      </c>
      <c r="D3687" s="114" t="inlineStr">
        <is>
          <t>22155</t>
        </is>
      </c>
      <c r="E3687" s="114" t="inlineStr">
        <is>
          <t>STAR DECORATION RUSTIC</t>
        </is>
      </c>
      <c r="F3687" s="114" t="n">
        <v>24</v>
      </c>
      <c r="G3687" s="115" t="n">
        <v>0.42</v>
      </c>
      <c r="H3687" s="115" t="n">
        <v>10.08</v>
      </c>
      <c r="I3687" s="116" t="n">
        <v>40834</v>
      </c>
    </row>
    <row r="3688">
      <c r="A3688" s="117" t="inlineStr">
        <is>
          <t>571671</t>
        </is>
      </c>
      <c r="B3688" s="117" t="n">
        <v>16940</v>
      </c>
      <c r="C3688" s="117" t="inlineStr">
        <is>
          <t>United Kingdom</t>
        </is>
      </c>
      <c r="D3688" s="117" t="inlineStr">
        <is>
          <t>84596F</t>
        </is>
      </c>
      <c r="E3688" s="117" t="inlineStr">
        <is>
          <t>SMALL MARSHMALLOWS PINK BOWL</t>
        </is>
      </c>
      <c r="F3688" s="117" t="n">
        <v>8</v>
      </c>
      <c r="G3688" s="118" t="n">
        <v>0.42</v>
      </c>
      <c r="H3688" s="118" t="n">
        <v>3.36</v>
      </c>
      <c r="I3688" s="119" t="n">
        <v>40834</v>
      </c>
    </row>
    <row r="3689">
      <c r="A3689" s="114" t="inlineStr">
        <is>
          <t>571671</t>
        </is>
      </c>
      <c r="B3689" s="114" t="n">
        <v>16940</v>
      </c>
      <c r="C3689" s="114" t="inlineStr">
        <is>
          <t>United Kingdom</t>
        </is>
      </c>
      <c r="D3689" s="114" t="inlineStr">
        <is>
          <t>85049G</t>
        </is>
      </c>
      <c r="E3689" s="114" t="inlineStr">
        <is>
          <t xml:space="preserve">CHOCOLATE BOX RIBBONS </t>
        </is>
      </c>
      <c r="F3689" s="114" t="n">
        <v>6</v>
      </c>
      <c r="G3689" s="115" t="n">
        <v>1.25</v>
      </c>
      <c r="H3689" s="115" t="n">
        <v>7.5</v>
      </c>
      <c r="I3689" s="116" t="n">
        <v>40834</v>
      </c>
    </row>
    <row r="3690">
      <c r="A3690" s="117" t="inlineStr">
        <is>
          <t>571676</t>
        </is>
      </c>
      <c r="B3690" s="117" t="n">
        <v>16910</v>
      </c>
      <c r="C3690" s="117" t="inlineStr">
        <is>
          <t>United Kingdom</t>
        </is>
      </c>
      <c r="D3690" s="117" t="inlineStr">
        <is>
          <t>21479</t>
        </is>
      </c>
      <c r="E3690" s="117" t="inlineStr">
        <is>
          <t xml:space="preserve">WHITE SKULL HOT WATER BOTTLE </t>
        </is>
      </c>
      <c r="F3690" s="117" t="n">
        <v>1</v>
      </c>
      <c r="G3690" s="118" t="n">
        <v>4.25</v>
      </c>
      <c r="H3690" s="118" t="n">
        <v>4.25</v>
      </c>
      <c r="I3690" s="119" t="n">
        <v>40834</v>
      </c>
    </row>
    <row r="3691">
      <c r="A3691" s="114" t="inlineStr">
        <is>
          <t>571682</t>
        </is>
      </c>
      <c r="B3691" s="114" t="n">
        <v>14179</v>
      </c>
      <c r="C3691" s="114" t="inlineStr">
        <is>
          <t>United Kingdom</t>
        </is>
      </c>
      <c r="D3691" s="114" t="inlineStr">
        <is>
          <t>21070</t>
        </is>
      </c>
      <c r="E3691" s="114" t="inlineStr">
        <is>
          <t xml:space="preserve">VINTAGE BILLBOARD MUG </t>
        </is>
      </c>
      <c r="F3691" s="114" t="n">
        <v>1</v>
      </c>
      <c r="G3691" s="115" t="n">
        <v>1.25</v>
      </c>
      <c r="H3691" s="115" t="n">
        <v>1.25</v>
      </c>
      <c r="I3691" s="116" t="n">
        <v>40834</v>
      </c>
    </row>
    <row r="3692">
      <c r="A3692" s="117" t="inlineStr">
        <is>
          <t>571682</t>
        </is>
      </c>
      <c r="B3692" s="117" t="n">
        <v>14179</v>
      </c>
      <c r="C3692" s="117" t="inlineStr">
        <is>
          <t>United Kingdom</t>
        </is>
      </c>
      <c r="D3692" s="117" t="inlineStr">
        <is>
          <t>15056N</t>
        </is>
      </c>
      <c r="E3692" s="117" t="inlineStr">
        <is>
          <t>EDWARDIAN PARASOL NATURAL</t>
        </is>
      </c>
      <c r="F3692" s="117" t="n">
        <v>1</v>
      </c>
      <c r="G3692" s="118" t="n">
        <v>5.95</v>
      </c>
      <c r="H3692" s="118" t="n">
        <v>5.95</v>
      </c>
      <c r="I3692" s="119" t="n">
        <v>40834</v>
      </c>
    </row>
    <row r="3693">
      <c r="A3693" s="114" t="inlineStr">
        <is>
          <t>571684</t>
        </is>
      </c>
      <c r="B3693" s="114" t="n">
        <v>16730</v>
      </c>
      <c r="C3693" s="114" t="inlineStr">
        <is>
          <t>United Kingdom</t>
        </is>
      </c>
      <c r="D3693" s="114" t="inlineStr">
        <is>
          <t>21823</t>
        </is>
      </c>
      <c r="E3693" s="114" t="inlineStr">
        <is>
          <t>PAINTED METAL HEART WITH HOLLY BELL</t>
        </is>
      </c>
      <c r="F3693" s="114" t="n">
        <v>4</v>
      </c>
      <c r="G3693" s="115" t="n">
        <v>0.39</v>
      </c>
      <c r="H3693" s="115" t="n">
        <v>1.56</v>
      </c>
      <c r="I3693" s="116" t="n">
        <v>40834</v>
      </c>
    </row>
    <row r="3694">
      <c r="A3694" s="117" t="inlineStr">
        <is>
          <t>571684</t>
        </is>
      </c>
      <c r="B3694" s="117" t="n">
        <v>16730</v>
      </c>
      <c r="C3694" s="117" t="inlineStr">
        <is>
          <t>United Kingdom</t>
        </is>
      </c>
      <c r="D3694" s="117" t="inlineStr">
        <is>
          <t>22111</t>
        </is>
      </c>
      <c r="E3694" s="117" t="inlineStr">
        <is>
          <t>SCOTTIE DOG HOT WATER BOTTLE</t>
        </is>
      </c>
      <c r="F3694" s="117" t="n">
        <v>1</v>
      </c>
      <c r="G3694" s="118" t="n">
        <v>4.95</v>
      </c>
      <c r="H3694" s="118" t="n">
        <v>4.95</v>
      </c>
      <c r="I3694" s="119" t="n">
        <v>40834</v>
      </c>
    </row>
    <row r="3695">
      <c r="A3695" s="114" t="inlineStr">
        <is>
          <t>571684</t>
        </is>
      </c>
      <c r="B3695" s="114" t="n">
        <v>16730</v>
      </c>
      <c r="C3695" s="114" t="inlineStr">
        <is>
          <t>United Kingdom</t>
        </is>
      </c>
      <c r="D3695" s="114" t="inlineStr">
        <is>
          <t>22809</t>
        </is>
      </c>
      <c r="E3695" s="114" t="inlineStr">
        <is>
          <t>SET OF 6 T-LIGHTS SANTA</t>
        </is>
      </c>
      <c r="F3695" s="114" t="n">
        <v>2</v>
      </c>
      <c r="G3695" s="115" t="n">
        <v>2.95</v>
      </c>
      <c r="H3695" s="115" t="n">
        <v>5.9</v>
      </c>
      <c r="I3695" s="116" t="n">
        <v>40834</v>
      </c>
    </row>
    <row r="3696">
      <c r="A3696" s="117" t="inlineStr">
        <is>
          <t>571693</t>
        </is>
      </c>
      <c r="B3696" s="117" t="n">
        <v>14776</v>
      </c>
      <c r="C3696" s="117" t="inlineStr">
        <is>
          <t>United Kingdom</t>
        </is>
      </c>
      <c r="D3696" s="117" t="inlineStr">
        <is>
          <t>22522</t>
        </is>
      </c>
      <c r="E3696" s="117" t="inlineStr">
        <is>
          <t xml:space="preserve">CHILDS GARDEN FORK BLUE </t>
        </is>
      </c>
      <c r="F3696" s="117" t="n">
        <v>12</v>
      </c>
      <c r="G3696" s="118" t="n">
        <v>0.85</v>
      </c>
      <c r="H3696" s="118" t="n">
        <v>10.2</v>
      </c>
      <c r="I3696" s="119" t="n">
        <v>40834</v>
      </c>
    </row>
    <row r="3697">
      <c r="A3697" s="114" t="inlineStr">
        <is>
          <t>571693</t>
        </is>
      </c>
      <c r="B3697" s="114" t="n">
        <v>14776</v>
      </c>
      <c r="C3697" s="114" t="inlineStr">
        <is>
          <t>United Kingdom</t>
        </is>
      </c>
      <c r="D3697" s="114" t="inlineStr">
        <is>
          <t>22951</t>
        </is>
      </c>
      <c r="E3697" s="114" t="inlineStr">
        <is>
          <t>60 CAKE CASES DOLLY GIRL DESIGN</t>
        </is>
      </c>
      <c r="F3697" s="114" t="n">
        <v>24</v>
      </c>
      <c r="G3697" s="115" t="n">
        <v>0.55</v>
      </c>
      <c r="H3697" s="115" t="n">
        <v>13.2</v>
      </c>
      <c r="I3697" s="116" t="n">
        <v>40834</v>
      </c>
    </row>
    <row r="3698">
      <c r="A3698" s="117" t="inlineStr">
        <is>
          <t>571705</t>
        </is>
      </c>
      <c r="B3698" s="117" t="n">
        <v>12360</v>
      </c>
      <c r="C3698" s="117" t="inlineStr">
        <is>
          <t>Austria</t>
        </is>
      </c>
      <c r="D3698" s="117" t="inlineStr">
        <is>
          <t>21240</t>
        </is>
      </c>
      <c r="E3698" s="117" t="inlineStr">
        <is>
          <t>BLUE POLKADOT CUP</t>
        </is>
      </c>
      <c r="F3698" s="117" t="n">
        <v>8</v>
      </c>
      <c r="G3698" s="118" t="n">
        <v>0.85</v>
      </c>
      <c r="H3698" s="118" t="n">
        <v>6.8</v>
      </c>
      <c r="I3698" s="119" t="n">
        <v>40834</v>
      </c>
    </row>
    <row r="3699">
      <c r="A3699" s="114" t="inlineStr">
        <is>
          <t>571712</t>
        </is>
      </c>
      <c r="B3699" s="114" t="n">
        <v>14056</v>
      </c>
      <c r="C3699" s="114" t="inlineStr">
        <is>
          <t>United Kingdom</t>
        </is>
      </c>
      <c r="D3699" s="114" t="inlineStr">
        <is>
          <t>23356</t>
        </is>
      </c>
      <c r="E3699" s="114" t="inlineStr">
        <is>
          <t>LOVE HOT WATER BOTTLE</t>
        </is>
      </c>
      <c r="F3699" s="114" t="n">
        <v>6</v>
      </c>
      <c r="G3699" s="115" t="n">
        <v>5.95</v>
      </c>
      <c r="H3699" s="115" t="n">
        <v>35.7</v>
      </c>
      <c r="I3699" s="116" t="n">
        <v>40834</v>
      </c>
    </row>
    <row r="3700">
      <c r="A3700" s="117" t="inlineStr">
        <is>
          <t>571733</t>
        </is>
      </c>
      <c r="B3700" s="117" t="n">
        <v>16187</v>
      </c>
      <c r="C3700" s="117" t="inlineStr">
        <is>
          <t>United Kingdom</t>
        </is>
      </c>
      <c r="D3700" s="117" t="inlineStr">
        <is>
          <t>84510A</t>
        </is>
      </c>
      <c r="E3700" s="117" t="inlineStr">
        <is>
          <t>SET OF 4 ENGLISH ROSE COASTERS</t>
        </is>
      </c>
      <c r="F3700" s="117" t="n">
        <v>10</v>
      </c>
      <c r="G3700" s="118" t="n">
        <v>1.25</v>
      </c>
      <c r="H3700" s="118" t="n">
        <v>12.5</v>
      </c>
      <c r="I3700" s="119" t="n">
        <v>40835</v>
      </c>
    </row>
    <row r="3701">
      <c r="A3701" s="114" t="inlineStr">
        <is>
          <t>571734</t>
        </is>
      </c>
      <c r="B3701" s="114" t="n">
        <v>17148</v>
      </c>
      <c r="C3701" s="114" t="inlineStr">
        <is>
          <t>United Kingdom</t>
        </is>
      </c>
      <c r="D3701" s="114" t="inlineStr">
        <is>
          <t>22355</t>
        </is>
      </c>
      <c r="E3701" s="114" t="inlineStr">
        <is>
          <t>CHARLOTTE BAG SUKI DESIGN</t>
        </is>
      </c>
      <c r="F3701" s="114" t="n">
        <v>10</v>
      </c>
      <c r="G3701" s="115" t="n">
        <v>0.85</v>
      </c>
      <c r="H3701" s="115" t="n">
        <v>8.5</v>
      </c>
      <c r="I3701" s="116" t="n">
        <v>40835</v>
      </c>
    </row>
    <row r="3702">
      <c r="A3702" s="117" t="inlineStr">
        <is>
          <t>571737</t>
        </is>
      </c>
      <c r="B3702" s="117" t="n">
        <v>14367</v>
      </c>
      <c r="C3702" s="117" t="inlineStr">
        <is>
          <t>United Kingdom</t>
        </is>
      </c>
      <c r="D3702" s="117" t="inlineStr">
        <is>
          <t>20725</t>
        </is>
      </c>
      <c r="E3702" s="117" t="inlineStr">
        <is>
          <t>LUNCH BAG RED RETROSPOT</t>
        </is>
      </c>
      <c r="F3702" s="117" t="n">
        <v>10</v>
      </c>
      <c r="G3702" s="118" t="n">
        <v>1.65</v>
      </c>
      <c r="H3702" s="118" t="n">
        <v>16.5</v>
      </c>
      <c r="I3702" s="119" t="n">
        <v>40835</v>
      </c>
    </row>
    <row r="3703">
      <c r="A3703" s="114" t="inlineStr">
        <is>
          <t>571745</t>
        </is>
      </c>
      <c r="B3703" s="114" t="n">
        <v>14911</v>
      </c>
      <c r="C3703" s="114" t="inlineStr">
        <is>
          <t>EIRE</t>
        </is>
      </c>
      <c r="D3703" s="114" t="inlineStr">
        <is>
          <t>85177</t>
        </is>
      </c>
      <c r="E3703" s="114" t="inlineStr">
        <is>
          <t>BASKET OF FLOWERS SEWING KIT</t>
        </is>
      </c>
      <c r="F3703" s="114" t="n">
        <v>24</v>
      </c>
      <c r="G3703" s="115" t="n">
        <v>0.85</v>
      </c>
      <c r="H3703" s="115" t="n">
        <v>20.4</v>
      </c>
      <c r="I3703" s="116" t="n">
        <v>40835</v>
      </c>
    </row>
    <row r="3704">
      <c r="A3704" s="117" t="inlineStr">
        <is>
          <t>571793</t>
        </is>
      </c>
      <c r="B3704" s="117" t="n">
        <v>16621</v>
      </c>
      <c r="C3704" s="117" t="inlineStr">
        <is>
          <t>United Kingdom</t>
        </is>
      </c>
      <c r="D3704" s="117" t="inlineStr">
        <is>
          <t>84946</t>
        </is>
      </c>
      <c r="E3704" s="117" t="inlineStr">
        <is>
          <t>ANTIQUE SILVER T-LIGHT GLASS</t>
        </is>
      </c>
      <c r="F3704" s="117" t="n">
        <v>72</v>
      </c>
      <c r="G3704" s="118" t="n">
        <v>1.06</v>
      </c>
      <c r="H3704" s="118" t="n">
        <v>76.31999999999999</v>
      </c>
      <c r="I3704" s="119" t="n">
        <v>40835</v>
      </c>
    </row>
    <row r="3705">
      <c r="A3705" s="114" t="inlineStr">
        <is>
          <t>571828</t>
        </is>
      </c>
      <c r="B3705" s="114" t="n">
        <v>16440</v>
      </c>
      <c r="C3705" s="114" t="inlineStr">
        <is>
          <t>United Kingdom</t>
        </is>
      </c>
      <c r="D3705" s="114" t="inlineStr">
        <is>
          <t>23199</t>
        </is>
      </c>
      <c r="E3705" s="114" t="inlineStr">
        <is>
          <t>JUMBO BAG APPLES</t>
        </is>
      </c>
      <c r="F3705" s="114" t="n">
        <v>3</v>
      </c>
      <c r="G3705" s="115" t="n">
        <v>2.08</v>
      </c>
      <c r="H3705" s="115" t="n">
        <v>6.24</v>
      </c>
      <c r="I3705" s="116" t="n">
        <v>40835</v>
      </c>
    </row>
    <row r="3706">
      <c r="A3706" s="117" t="inlineStr">
        <is>
          <t>571829</t>
        </is>
      </c>
      <c r="B3706" s="117" t="n">
        <v>16131</v>
      </c>
      <c r="C3706" s="117" t="inlineStr">
        <is>
          <t>United Kingdom</t>
        </is>
      </c>
      <c r="D3706" s="117" t="inlineStr">
        <is>
          <t>22111</t>
        </is>
      </c>
      <c r="E3706" s="117" t="inlineStr">
        <is>
          <t>SCOTTIE DOG HOT WATER BOTTLE</t>
        </is>
      </c>
      <c r="F3706" s="117" t="n">
        <v>24</v>
      </c>
      <c r="G3706" s="118" t="n">
        <v>4.25</v>
      </c>
      <c r="H3706" s="118" t="n">
        <v>102</v>
      </c>
      <c r="I3706" s="119" t="n">
        <v>40835</v>
      </c>
    </row>
    <row r="3707">
      <c r="A3707" s="114" t="inlineStr">
        <is>
          <t>571837</t>
        </is>
      </c>
      <c r="B3707" s="114" t="n">
        <v>16470</v>
      </c>
      <c r="C3707" s="114" t="inlineStr">
        <is>
          <t>United Kingdom</t>
        </is>
      </c>
      <c r="D3707" s="114" t="inlineStr">
        <is>
          <t>22530</t>
        </is>
      </c>
      <c r="E3707" s="114" t="inlineStr">
        <is>
          <t xml:space="preserve">MAGIC DRAWING SLATE DOLLY GIRL </t>
        </is>
      </c>
      <c r="F3707" s="114" t="n">
        <v>3</v>
      </c>
      <c r="G3707" s="115" t="n">
        <v>0.42</v>
      </c>
      <c r="H3707" s="115" t="n">
        <v>1.26</v>
      </c>
      <c r="I3707" s="116" t="n">
        <v>40835</v>
      </c>
    </row>
    <row r="3708">
      <c r="A3708" s="117" t="inlineStr">
        <is>
          <t>571837</t>
        </is>
      </c>
      <c r="B3708" s="117" t="n">
        <v>16470</v>
      </c>
      <c r="C3708" s="117" t="inlineStr">
        <is>
          <t>United Kingdom</t>
        </is>
      </c>
      <c r="D3708" s="117" t="inlineStr">
        <is>
          <t>23368</t>
        </is>
      </c>
      <c r="E3708" s="117" t="inlineStr">
        <is>
          <t xml:space="preserve">SET 12 COLOUR PENCILS DOLLY GIRL </t>
        </is>
      </c>
      <c r="F3708" s="117" t="n">
        <v>3</v>
      </c>
      <c r="G3708" s="118" t="n">
        <v>0.65</v>
      </c>
      <c r="H3708" s="118" t="n">
        <v>1.95</v>
      </c>
      <c r="I3708" s="119" t="n">
        <v>40835</v>
      </c>
    </row>
    <row r="3709">
      <c r="A3709" s="114" t="inlineStr">
        <is>
          <t>571909</t>
        </is>
      </c>
      <c r="B3709" s="114" t="n">
        <v>15006</v>
      </c>
      <c r="C3709" s="114" t="inlineStr">
        <is>
          <t>United Kingdom</t>
        </is>
      </c>
      <c r="D3709" s="114" t="inlineStr">
        <is>
          <t>21169</t>
        </is>
      </c>
      <c r="E3709" s="114" t="inlineStr">
        <is>
          <t xml:space="preserve">YOU'RE CONFUSING ME METAL SIGN </t>
        </is>
      </c>
      <c r="F3709" s="114" t="n">
        <v>1</v>
      </c>
      <c r="G3709" s="115" t="n">
        <v>1.69</v>
      </c>
      <c r="H3709" s="115" t="n">
        <v>1.69</v>
      </c>
      <c r="I3709" s="116" t="n">
        <v>40835</v>
      </c>
    </row>
    <row r="3710">
      <c r="A3710" s="117" t="inlineStr">
        <is>
          <t>571909</t>
        </is>
      </c>
      <c r="B3710" s="117" t="n">
        <v>15006</v>
      </c>
      <c r="C3710" s="117" t="inlineStr">
        <is>
          <t>United Kingdom</t>
        </is>
      </c>
      <c r="D3710" s="117" t="inlineStr">
        <is>
          <t>23396</t>
        </is>
      </c>
      <c r="E3710" s="117" t="inlineStr">
        <is>
          <t>LE JARDIN BOTANIQUE CUSHION COVER</t>
        </is>
      </c>
      <c r="F3710" s="117" t="n">
        <v>1</v>
      </c>
      <c r="G3710" s="118" t="n">
        <v>3.75</v>
      </c>
      <c r="H3710" s="118" t="n">
        <v>3.75</v>
      </c>
      <c r="I3710" s="119" t="n">
        <v>40835</v>
      </c>
    </row>
    <row r="3711">
      <c r="A3711" s="114" t="inlineStr">
        <is>
          <t>571909</t>
        </is>
      </c>
      <c r="B3711" s="114" t="n">
        <v>15006</v>
      </c>
      <c r="C3711" s="114" t="inlineStr">
        <is>
          <t>United Kingdom</t>
        </is>
      </c>
      <c r="D3711" s="114" t="inlineStr">
        <is>
          <t>21452</t>
        </is>
      </c>
      <c r="E3711" s="114" t="inlineStr">
        <is>
          <t>TOADSTOOL MONEY BOX</t>
        </is>
      </c>
      <c r="F3711" s="114" t="n">
        <v>1</v>
      </c>
      <c r="G3711" s="115" t="n">
        <v>2.95</v>
      </c>
      <c r="H3711" s="115" t="n">
        <v>2.95</v>
      </c>
      <c r="I3711" s="116" t="n">
        <v>40835</v>
      </c>
    </row>
    <row r="3712">
      <c r="A3712" s="117" t="inlineStr">
        <is>
          <t>571911</t>
        </is>
      </c>
      <c r="B3712" s="117" t="n">
        <v>17562</v>
      </c>
      <c r="C3712" s="117" t="inlineStr">
        <is>
          <t>United Kingdom</t>
        </is>
      </c>
      <c r="D3712" s="117" t="inlineStr">
        <is>
          <t>23201</t>
        </is>
      </c>
      <c r="E3712" s="117" t="inlineStr">
        <is>
          <t>JUMBO BAG ALPHABET</t>
        </is>
      </c>
      <c r="F3712" s="117" t="n">
        <v>10</v>
      </c>
      <c r="G3712" s="118" t="n">
        <v>2.08</v>
      </c>
      <c r="H3712" s="118" t="n">
        <v>20.8</v>
      </c>
      <c r="I3712" s="119" t="n">
        <v>40835</v>
      </c>
    </row>
    <row r="3713">
      <c r="A3713" s="114" t="inlineStr">
        <is>
          <t>571912</t>
        </is>
      </c>
      <c r="B3713" s="114" t="n">
        <v>17512</v>
      </c>
      <c r="C3713" s="114" t="inlineStr">
        <is>
          <t>United Kingdom</t>
        </is>
      </c>
      <c r="D3713" s="114" t="inlineStr">
        <is>
          <t>84755</t>
        </is>
      </c>
      <c r="E3713" s="114" t="inlineStr">
        <is>
          <t>COLOUR GLASS T-LIGHT HOLDER HANGING</t>
        </is>
      </c>
      <c r="F3713" s="114" t="n">
        <v>144</v>
      </c>
      <c r="G3713" s="115" t="n">
        <v>0.55</v>
      </c>
      <c r="H3713" s="115" t="n">
        <v>79.2</v>
      </c>
      <c r="I3713" s="116" t="n">
        <v>40835</v>
      </c>
    </row>
    <row r="3714">
      <c r="A3714" s="117" t="inlineStr">
        <is>
          <t>571913</t>
        </is>
      </c>
      <c r="B3714" s="117" t="n">
        <v>18210</v>
      </c>
      <c r="C3714" s="117" t="inlineStr">
        <is>
          <t>United Kingdom</t>
        </is>
      </c>
      <c r="D3714" s="117" t="inlineStr">
        <is>
          <t>23507</t>
        </is>
      </c>
      <c r="E3714" s="117" t="inlineStr">
        <is>
          <t xml:space="preserve">MINI PLAYING CARDS BUFFALO BILL </t>
        </is>
      </c>
      <c r="F3714" s="117" t="n">
        <v>20</v>
      </c>
      <c r="G3714" s="118" t="n">
        <v>0.42</v>
      </c>
      <c r="H3714" s="118" t="n">
        <v>8.4</v>
      </c>
      <c r="I3714" s="119" t="n">
        <v>40835</v>
      </c>
    </row>
    <row r="3715">
      <c r="A3715" s="114" t="inlineStr">
        <is>
          <t>571934</t>
        </is>
      </c>
      <c r="B3715" s="114" t="n">
        <v>16170</v>
      </c>
      <c r="C3715" s="114" t="inlineStr">
        <is>
          <t>United Kingdom</t>
        </is>
      </c>
      <c r="D3715" s="114" t="inlineStr">
        <is>
          <t>22306</t>
        </is>
      </c>
      <c r="E3715" s="114" t="inlineStr">
        <is>
          <t>SILVER MUG BONE CHINA TREE OF LIFE</t>
        </is>
      </c>
      <c r="F3715" s="114" t="n">
        <v>12</v>
      </c>
      <c r="G3715" s="115" t="n">
        <v>1.06</v>
      </c>
      <c r="H3715" s="115" t="n">
        <v>12.72</v>
      </c>
      <c r="I3715" s="116" t="n">
        <v>40836</v>
      </c>
    </row>
    <row r="3716">
      <c r="A3716" s="117" t="inlineStr">
        <is>
          <t>571942</t>
        </is>
      </c>
      <c r="B3716" s="117" t="n">
        <v>17434</v>
      </c>
      <c r="C3716" s="117" t="inlineStr">
        <is>
          <t>United Kingdom</t>
        </is>
      </c>
      <c r="D3716" s="117" t="inlineStr">
        <is>
          <t>21485</t>
        </is>
      </c>
      <c r="E3716" s="117" t="inlineStr">
        <is>
          <t>RETROSPOT HEART HOT WATER BOTTLE</t>
        </is>
      </c>
      <c r="F3716" s="117" t="n">
        <v>3</v>
      </c>
      <c r="G3716" s="118" t="n">
        <v>4.95</v>
      </c>
      <c r="H3716" s="118" t="n">
        <v>14.85</v>
      </c>
      <c r="I3716" s="119" t="n">
        <v>40836</v>
      </c>
    </row>
    <row r="3717">
      <c r="A3717" s="114" t="inlineStr">
        <is>
          <t>571965</t>
        </is>
      </c>
      <c r="B3717" s="114" t="n">
        <v>17238</v>
      </c>
      <c r="C3717" s="114" t="inlineStr">
        <is>
          <t>United Kingdom</t>
        </is>
      </c>
      <c r="D3717" s="114" t="inlineStr">
        <is>
          <t>21245</t>
        </is>
      </c>
      <c r="E3717" s="114" t="inlineStr">
        <is>
          <t xml:space="preserve">GREEN POLKADOT PLATE </t>
        </is>
      </c>
      <c r="F3717" s="114" t="n">
        <v>2</v>
      </c>
      <c r="G3717" s="115" t="n">
        <v>1.69</v>
      </c>
      <c r="H3717" s="115" t="n">
        <v>3.38</v>
      </c>
      <c r="I3717" s="116" t="n">
        <v>40836</v>
      </c>
    </row>
    <row r="3718">
      <c r="A3718" s="117" t="inlineStr">
        <is>
          <t>571965</t>
        </is>
      </c>
      <c r="B3718" s="117" t="n">
        <v>17238</v>
      </c>
      <c r="C3718" s="117" t="inlineStr">
        <is>
          <t>United Kingdom</t>
        </is>
      </c>
      <c r="D3718" s="117" t="inlineStr">
        <is>
          <t>84997B</t>
        </is>
      </c>
      <c r="E3718" s="117" t="inlineStr">
        <is>
          <t xml:space="preserve">CHILDRENS CUTLERY RETROSPOT RED </t>
        </is>
      </c>
      <c r="F3718" s="117" t="n">
        <v>3</v>
      </c>
      <c r="G3718" s="118" t="n">
        <v>4.15</v>
      </c>
      <c r="H3718" s="118" t="n">
        <v>12.45</v>
      </c>
      <c r="I3718" s="119" t="n">
        <v>40836</v>
      </c>
    </row>
    <row r="3719">
      <c r="A3719" s="114" t="inlineStr">
        <is>
          <t>572021</t>
        </is>
      </c>
      <c r="B3719" s="114" t="n">
        <v>15664</v>
      </c>
      <c r="C3719" s="114" t="inlineStr">
        <is>
          <t>United Kingdom</t>
        </is>
      </c>
      <c r="D3719" s="114" t="inlineStr">
        <is>
          <t>23144</t>
        </is>
      </c>
      <c r="E3719" s="114" t="inlineStr">
        <is>
          <t>ZINC T-LIGHT HOLDER STARS SMALL</t>
        </is>
      </c>
      <c r="F3719" s="114" t="n">
        <v>12</v>
      </c>
      <c r="G3719" s="115" t="n">
        <v>0.83</v>
      </c>
      <c r="H3719" s="115" t="n">
        <v>9.960000000000001</v>
      </c>
      <c r="I3719" s="116" t="n">
        <v>40836</v>
      </c>
    </row>
    <row r="3720">
      <c r="A3720" s="117" t="inlineStr">
        <is>
          <t>572025</t>
        </is>
      </c>
      <c r="B3720" s="117" t="n">
        <v>17651</v>
      </c>
      <c r="C3720" s="117" t="inlineStr">
        <is>
          <t>United Kingdom</t>
        </is>
      </c>
      <c r="D3720" s="117" t="inlineStr">
        <is>
          <t>22381</t>
        </is>
      </c>
      <c r="E3720" s="117" t="inlineStr">
        <is>
          <t>TOY TIDY PINK POLKADOT</t>
        </is>
      </c>
      <c r="F3720" s="117" t="n">
        <v>5</v>
      </c>
      <c r="G3720" s="118" t="n">
        <v>2.1</v>
      </c>
      <c r="H3720" s="118" t="n">
        <v>10.5</v>
      </c>
      <c r="I3720" s="119" t="n">
        <v>40836</v>
      </c>
    </row>
    <row r="3721">
      <c r="A3721" s="114" t="inlineStr">
        <is>
          <t>572028</t>
        </is>
      </c>
      <c r="B3721" s="114" t="n">
        <v>15296</v>
      </c>
      <c r="C3721" s="114" t="inlineStr">
        <is>
          <t>United Kingdom</t>
        </is>
      </c>
      <c r="D3721" s="114" t="inlineStr">
        <is>
          <t>22355</t>
        </is>
      </c>
      <c r="E3721" s="114" t="inlineStr">
        <is>
          <t>CHARLOTTE BAG SUKI DESIGN</t>
        </is>
      </c>
      <c r="F3721" s="114" t="n">
        <v>10</v>
      </c>
      <c r="G3721" s="115" t="n">
        <v>0.85</v>
      </c>
      <c r="H3721" s="115" t="n">
        <v>8.5</v>
      </c>
      <c r="I3721" s="116" t="n">
        <v>40836</v>
      </c>
    </row>
    <row r="3722">
      <c r="A3722" s="117" t="inlineStr">
        <is>
          <t>572028</t>
        </is>
      </c>
      <c r="B3722" s="117" t="n">
        <v>15296</v>
      </c>
      <c r="C3722" s="117" t="inlineStr">
        <is>
          <t>United Kingdom</t>
        </is>
      </c>
      <c r="D3722" s="117" t="inlineStr">
        <is>
          <t>22693</t>
        </is>
      </c>
      <c r="E3722" s="117" t="inlineStr">
        <is>
          <t>GROW A FLYTRAP OR SUNFLOWER IN TIN</t>
        </is>
      </c>
      <c r="F3722" s="117" t="n">
        <v>24</v>
      </c>
      <c r="G3722" s="118" t="n">
        <v>1.25</v>
      </c>
      <c r="H3722" s="118" t="n">
        <v>30</v>
      </c>
      <c r="I3722" s="119" t="n">
        <v>40836</v>
      </c>
    </row>
    <row r="3723">
      <c r="A3723" s="114" t="inlineStr">
        <is>
          <t>572035</t>
        </is>
      </c>
      <c r="B3723" s="114" t="n">
        <v>14646</v>
      </c>
      <c r="C3723" s="114" t="inlineStr">
        <is>
          <t>Netherlands</t>
        </is>
      </c>
      <c r="D3723" s="114" t="inlineStr">
        <is>
          <t>23345</t>
        </is>
      </c>
      <c r="E3723" s="114" t="inlineStr">
        <is>
          <t xml:space="preserve"> DOLLY GIRL BEAKER</t>
        </is>
      </c>
      <c r="F3723" s="114" t="n">
        <v>400</v>
      </c>
      <c r="G3723" s="115" t="n">
        <v>1.08</v>
      </c>
      <c r="H3723" s="115" t="n">
        <v>432</v>
      </c>
      <c r="I3723" s="116" t="n">
        <v>40836</v>
      </c>
    </row>
    <row r="3724">
      <c r="A3724" s="117" t="inlineStr">
        <is>
          <t>572035</t>
        </is>
      </c>
      <c r="B3724" s="117" t="n">
        <v>14646</v>
      </c>
      <c r="C3724" s="117" t="inlineStr">
        <is>
          <t>Netherlands</t>
        </is>
      </c>
      <c r="D3724" s="117" t="inlineStr">
        <is>
          <t>23326</t>
        </is>
      </c>
      <c r="E3724" s="117" t="inlineStr">
        <is>
          <t>HANGING MINI COLOURED BOTTLES</t>
        </is>
      </c>
      <c r="F3724" s="117" t="n">
        <v>192</v>
      </c>
      <c r="G3724" s="118" t="n">
        <v>0.55</v>
      </c>
      <c r="H3724" s="118" t="n">
        <v>105.6</v>
      </c>
      <c r="I3724" s="119" t="n">
        <v>40836</v>
      </c>
    </row>
    <row r="3725">
      <c r="A3725" s="114" t="inlineStr">
        <is>
          <t>572035</t>
        </is>
      </c>
      <c r="B3725" s="114" t="n">
        <v>14646</v>
      </c>
      <c r="C3725" s="114" t="inlineStr">
        <is>
          <t>Netherlands</t>
        </is>
      </c>
      <c r="D3725" s="114" t="inlineStr">
        <is>
          <t>22568</t>
        </is>
      </c>
      <c r="E3725" s="114" t="inlineStr">
        <is>
          <t>FELTCRAFT CUSHION OWL</t>
        </is>
      </c>
      <c r="F3725" s="114" t="n">
        <v>24</v>
      </c>
      <c r="G3725" s="115" t="n">
        <v>3.39</v>
      </c>
      <c r="H3725" s="115" t="n">
        <v>81.36</v>
      </c>
      <c r="I3725" s="116" t="n">
        <v>40836</v>
      </c>
    </row>
    <row r="3726">
      <c r="A3726" s="117" t="inlineStr">
        <is>
          <t>572037</t>
        </is>
      </c>
      <c r="B3726" s="117" t="n">
        <v>17365</v>
      </c>
      <c r="C3726" s="117" t="inlineStr">
        <is>
          <t>United Kingdom</t>
        </is>
      </c>
      <c r="D3726" s="117" t="inlineStr">
        <is>
          <t>23350</t>
        </is>
      </c>
      <c r="E3726" s="117" t="inlineStr">
        <is>
          <t xml:space="preserve">ROLL WRAP VINTAGE SPOT </t>
        </is>
      </c>
      <c r="F3726" s="117" t="n">
        <v>36</v>
      </c>
      <c r="G3726" s="118" t="n">
        <v>1.25</v>
      </c>
      <c r="H3726" s="118" t="n">
        <v>45</v>
      </c>
      <c r="I3726" s="119" t="n">
        <v>40836</v>
      </c>
    </row>
    <row r="3727">
      <c r="A3727" s="114" t="inlineStr">
        <is>
          <t>572037</t>
        </is>
      </c>
      <c r="B3727" s="114" t="n">
        <v>17365</v>
      </c>
      <c r="C3727" s="114" t="inlineStr">
        <is>
          <t>United Kingdom</t>
        </is>
      </c>
      <c r="D3727" s="114" t="inlineStr">
        <is>
          <t>23126</t>
        </is>
      </c>
      <c r="E3727" s="114" t="inlineStr">
        <is>
          <t>FELTCRAFT GIRL AMELIE KIT</t>
        </is>
      </c>
      <c r="F3727" s="114" t="n">
        <v>4</v>
      </c>
      <c r="G3727" s="115" t="n">
        <v>4.95</v>
      </c>
      <c r="H3727" s="115" t="n">
        <v>19.8</v>
      </c>
      <c r="I3727" s="116" t="n">
        <v>40836</v>
      </c>
    </row>
    <row r="3728">
      <c r="A3728" s="117" t="inlineStr">
        <is>
          <t>572051</t>
        </is>
      </c>
      <c r="B3728" s="117" t="n">
        <v>14646</v>
      </c>
      <c r="C3728" s="117" t="inlineStr">
        <is>
          <t>Netherlands</t>
        </is>
      </c>
      <c r="D3728" s="117" t="inlineStr">
        <is>
          <t>23519</t>
        </is>
      </c>
      <c r="E3728" s="117" t="inlineStr">
        <is>
          <t>EMBROIDERED RIBBON REEL CLAIRE</t>
        </is>
      </c>
      <c r="F3728" s="117" t="n">
        <v>72</v>
      </c>
      <c r="G3728" s="118" t="n">
        <v>3.29</v>
      </c>
      <c r="H3728" s="118" t="n">
        <v>236.88</v>
      </c>
      <c r="I3728" s="119" t="n">
        <v>40836</v>
      </c>
    </row>
    <row r="3729">
      <c r="A3729" s="114" t="inlineStr">
        <is>
          <t>572055</t>
        </is>
      </c>
      <c r="B3729" s="114" t="n">
        <v>17346</v>
      </c>
      <c r="C3729" s="114" t="inlineStr">
        <is>
          <t>United Kingdom</t>
        </is>
      </c>
      <c r="D3729" s="114" t="inlineStr">
        <is>
          <t>79190A</t>
        </is>
      </c>
      <c r="E3729" s="114" t="inlineStr">
        <is>
          <t>RETRO PLASTIC 70'S TRAY</t>
        </is>
      </c>
      <c r="F3729" s="114" t="n">
        <v>4</v>
      </c>
      <c r="G3729" s="115" t="n">
        <v>0.42</v>
      </c>
      <c r="H3729" s="115" t="n">
        <v>1.68</v>
      </c>
      <c r="I3729" s="116" t="n">
        <v>40836</v>
      </c>
    </row>
    <row r="3730">
      <c r="A3730" s="117" t="inlineStr">
        <is>
          <t>572055</t>
        </is>
      </c>
      <c r="B3730" s="117" t="n">
        <v>17346</v>
      </c>
      <c r="C3730" s="117" t="inlineStr">
        <is>
          <t>United Kingdom</t>
        </is>
      </c>
      <c r="D3730" s="117" t="inlineStr">
        <is>
          <t>23012</t>
        </is>
      </c>
      <c r="E3730" s="117" t="inlineStr">
        <is>
          <t>GLASS APOTHECARY BOTTLE PERFUME</t>
        </is>
      </c>
      <c r="F3730" s="117" t="n">
        <v>1</v>
      </c>
      <c r="G3730" s="118" t="n">
        <v>3.95</v>
      </c>
      <c r="H3730" s="118" t="n">
        <v>3.95</v>
      </c>
      <c r="I3730" s="119" t="n">
        <v>40836</v>
      </c>
    </row>
    <row r="3731">
      <c r="A3731" s="114" t="inlineStr">
        <is>
          <t>572058</t>
        </is>
      </c>
      <c r="B3731" s="114" t="n">
        <v>18252</v>
      </c>
      <c r="C3731" s="114" t="inlineStr">
        <is>
          <t>United Kingdom</t>
        </is>
      </c>
      <c r="D3731" s="114" t="inlineStr">
        <is>
          <t>22865</t>
        </is>
      </c>
      <c r="E3731" s="114" t="inlineStr">
        <is>
          <t>HAND WARMER OWL DESIGN</t>
        </is>
      </c>
      <c r="F3731" s="114" t="n">
        <v>5</v>
      </c>
      <c r="G3731" s="115" t="n">
        <v>2.1</v>
      </c>
      <c r="H3731" s="115" t="n">
        <v>10.5</v>
      </c>
      <c r="I3731" s="116" t="n">
        <v>40836</v>
      </c>
    </row>
    <row r="3732">
      <c r="A3732" s="117" t="inlineStr">
        <is>
          <t>572058</t>
        </is>
      </c>
      <c r="B3732" s="117" t="n">
        <v>18252</v>
      </c>
      <c r="C3732" s="117" t="inlineStr">
        <is>
          <t>United Kingdom</t>
        </is>
      </c>
      <c r="D3732" s="117" t="inlineStr">
        <is>
          <t>21114</t>
        </is>
      </c>
      <c r="E3732" s="117" t="inlineStr">
        <is>
          <t>LAVENDER SCENTED FABRIC HEART</t>
        </is>
      </c>
      <c r="F3732" s="117" t="n">
        <v>10</v>
      </c>
      <c r="G3732" s="118" t="n">
        <v>1.25</v>
      </c>
      <c r="H3732" s="118" t="n">
        <v>12.5</v>
      </c>
      <c r="I3732" s="119" t="n">
        <v>40836</v>
      </c>
    </row>
    <row r="3733">
      <c r="A3733" s="114" t="inlineStr">
        <is>
          <t>572058</t>
        </is>
      </c>
      <c r="B3733" s="114" t="n">
        <v>18252</v>
      </c>
      <c r="C3733" s="114" t="inlineStr">
        <is>
          <t>United Kingdom</t>
        </is>
      </c>
      <c r="D3733" s="114" t="inlineStr">
        <is>
          <t>23053</t>
        </is>
      </c>
      <c r="E3733" s="114" t="inlineStr">
        <is>
          <t>RECYCLED ACAPULCO MAT PINK</t>
        </is>
      </c>
      <c r="F3733" s="114" t="n">
        <v>1</v>
      </c>
      <c r="G3733" s="115" t="n">
        <v>8.25</v>
      </c>
      <c r="H3733" s="115" t="n">
        <v>8.25</v>
      </c>
      <c r="I3733" s="116" t="n">
        <v>40836</v>
      </c>
    </row>
    <row r="3734">
      <c r="A3734" s="117" t="inlineStr">
        <is>
          <t>572060</t>
        </is>
      </c>
      <c r="B3734" s="117" t="n">
        <v>12569</v>
      </c>
      <c r="C3734" s="117" t="inlineStr">
        <is>
          <t>Germany</t>
        </is>
      </c>
      <c r="D3734" s="117" t="inlineStr">
        <is>
          <t>37447</t>
        </is>
      </c>
      <c r="E3734" s="117" t="inlineStr">
        <is>
          <t>CERAMIC CAKE DESIGN SPOTTED PLATE</t>
        </is>
      </c>
      <c r="F3734" s="117" t="n">
        <v>12</v>
      </c>
      <c r="G3734" s="118" t="n">
        <v>1.49</v>
      </c>
      <c r="H3734" s="118" t="n">
        <v>17.88</v>
      </c>
      <c r="I3734" s="119" t="n">
        <v>40836</v>
      </c>
    </row>
    <row r="3735">
      <c r="A3735" s="114" t="inlineStr">
        <is>
          <t>572061</t>
        </is>
      </c>
      <c r="B3735" s="114" t="n">
        <v>12474</v>
      </c>
      <c r="C3735" s="114" t="inlineStr">
        <is>
          <t>Germany</t>
        </is>
      </c>
      <c r="D3735" s="114" t="inlineStr">
        <is>
          <t>21883</t>
        </is>
      </c>
      <c r="E3735" s="114" t="inlineStr">
        <is>
          <t xml:space="preserve">STARS GIFT TAPE </t>
        </is>
      </c>
      <c r="F3735" s="114" t="n">
        <v>12</v>
      </c>
      <c r="G3735" s="115" t="n">
        <v>0.65</v>
      </c>
      <c r="H3735" s="115" t="n">
        <v>7.8</v>
      </c>
      <c r="I3735" s="116" t="n">
        <v>40836</v>
      </c>
    </row>
    <row r="3736">
      <c r="A3736" s="117" t="inlineStr">
        <is>
          <t>572061</t>
        </is>
      </c>
      <c r="B3736" s="117" t="n">
        <v>12474</v>
      </c>
      <c r="C3736" s="117" t="inlineStr">
        <is>
          <t>Germany</t>
        </is>
      </c>
      <c r="D3736" s="117" t="inlineStr">
        <is>
          <t>22332</t>
        </is>
      </c>
      <c r="E3736" s="117" t="inlineStr">
        <is>
          <t>SKULLS PARTY BAG + STICKER SET</t>
        </is>
      </c>
      <c r="F3736" s="117" t="n">
        <v>8</v>
      </c>
      <c r="G3736" s="118" t="n">
        <v>1.65</v>
      </c>
      <c r="H3736" s="118" t="n">
        <v>13.2</v>
      </c>
      <c r="I3736" s="119" t="n">
        <v>40836</v>
      </c>
    </row>
    <row r="3737">
      <c r="A3737" s="114" t="inlineStr">
        <is>
          <t>572066</t>
        </is>
      </c>
      <c r="B3737" s="114" t="n">
        <v>15159</v>
      </c>
      <c r="C3737" s="114" t="inlineStr">
        <is>
          <t>United Kingdom</t>
        </is>
      </c>
      <c r="D3737" s="114" t="inlineStr">
        <is>
          <t>21484</t>
        </is>
      </c>
      <c r="E3737" s="114" t="inlineStr">
        <is>
          <t>CHICK GREY HOT WATER BOTTLE</t>
        </is>
      </c>
      <c r="F3737" s="114" t="n">
        <v>8</v>
      </c>
      <c r="G3737" s="115" t="n">
        <v>4.25</v>
      </c>
      <c r="H3737" s="115" t="n">
        <v>34</v>
      </c>
      <c r="I3737" s="116" t="n">
        <v>40836</v>
      </c>
    </row>
    <row r="3738">
      <c r="A3738" s="117" t="inlineStr">
        <is>
          <t>572066</t>
        </is>
      </c>
      <c r="B3738" s="117" t="n">
        <v>15159</v>
      </c>
      <c r="C3738" s="117" t="inlineStr">
        <is>
          <t>United Kingdom</t>
        </is>
      </c>
      <c r="D3738" s="117" t="inlineStr">
        <is>
          <t>23319</t>
        </is>
      </c>
      <c r="E3738" s="117" t="inlineStr">
        <is>
          <t>BOX OF 6 MINI 50'S CRACKERS</t>
        </is>
      </c>
      <c r="F3738" s="117" t="n">
        <v>12</v>
      </c>
      <c r="G3738" s="118" t="n">
        <v>2.49</v>
      </c>
      <c r="H3738" s="118" t="n">
        <v>29.88</v>
      </c>
      <c r="I3738" s="119" t="n">
        <v>40836</v>
      </c>
    </row>
    <row r="3739">
      <c r="A3739" s="114" t="inlineStr">
        <is>
          <t>572066</t>
        </is>
      </c>
      <c r="B3739" s="114" t="n">
        <v>15159</v>
      </c>
      <c r="C3739" s="114" t="inlineStr">
        <is>
          <t>United Kingdom</t>
        </is>
      </c>
      <c r="D3739" s="114" t="inlineStr">
        <is>
          <t>23170</t>
        </is>
      </c>
      <c r="E3739" s="114" t="inlineStr">
        <is>
          <t xml:space="preserve">REGENCY TEA PLATE ROSES </t>
        </is>
      </c>
      <c r="F3739" s="114" t="n">
        <v>12</v>
      </c>
      <c r="G3739" s="115" t="n">
        <v>1.65</v>
      </c>
      <c r="H3739" s="115" t="n">
        <v>19.8</v>
      </c>
      <c r="I3739" s="116" t="n">
        <v>40836</v>
      </c>
    </row>
    <row r="3740">
      <c r="A3740" s="117" t="inlineStr">
        <is>
          <t>572068</t>
        </is>
      </c>
      <c r="B3740" s="117" t="n">
        <v>13159</v>
      </c>
      <c r="C3740" s="117" t="inlineStr">
        <is>
          <t>United Kingdom</t>
        </is>
      </c>
      <c r="D3740" s="117" t="inlineStr">
        <is>
          <t>21790</t>
        </is>
      </c>
      <c r="E3740" s="117" t="inlineStr">
        <is>
          <t>VINTAGE SNAP CARDS</t>
        </is>
      </c>
      <c r="F3740" s="117" t="n">
        <v>12</v>
      </c>
      <c r="G3740" s="118" t="n">
        <v>0.85</v>
      </c>
      <c r="H3740" s="118" t="n">
        <v>10.2</v>
      </c>
      <c r="I3740" s="119" t="n">
        <v>40836</v>
      </c>
    </row>
    <row r="3741">
      <c r="A3741" s="114" t="inlineStr">
        <is>
          <t>572069</t>
        </is>
      </c>
      <c r="B3741" s="114" t="n">
        <v>14911</v>
      </c>
      <c r="C3741" s="114" t="inlineStr">
        <is>
          <t>EIRE</t>
        </is>
      </c>
      <c r="D3741" s="114" t="inlineStr">
        <is>
          <t>22945</t>
        </is>
      </c>
      <c r="E3741" s="114" t="inlineStr">
        <is>
          <t xml:space="preserve">CHRISTMAS METAL TAGS ASSORTED </t>
        </is>
      </c>
      <c r="F3741" s="114" t="n">
        <v>12</v>
      </c>
      <c r="G3741" s="115" t="n">
        <v>0.85</v>
      </c>
      <c r="H3741" s="115" t="n">
        <v>10.2</v>
      </c>
      <c r="I3741" s="116" t="n">
        <v>40836</v>
      </c>
    </row>
    <row r="3742">
      <c r="A3742" s="117" t="inlineStr">
        <is>
          <t>572069</t>
        </is>
      </c>
      <c r="B3742" s="117" t="n">
        <v>14911</v>
      </c>
      <c r="C3742" s="117" t="inlineStr">
        <is>
          <t>EIRE</t>
        </is>
      </c>
      <c r="D3742" s="117" t="inlineStr">
        <is>
          <t>82486</t>
        </is>
      </c>
      <c r="E3742" s="117" t="inlineStr">
        <is>
          <t>3 DRAWER ANTIQUE WHITE WOOD CABINET</t>
        </is>
      </c>
      <c r="F3742" s="117" t="n">
        <v>2</v>
      </c>
      <c r="G3742" s="118" t="n">
        <v>8.949999999999999</v>
      </c>
      <c r="H3742" s="118" t="n">
        <v>17.9</v>
      </c>
      <c r="I3742" s="119" t="n">
        <v>40836</v>
      </c>
    </row>
    <row r="3743">
      <c r="A3743" s="114" t="inlineStr">
        <is>
          <t>572073</t>
        </is>
      </c>
      <c r="B3743" s="114" t="n">
        <v>13263</v>
      </c>
      <c r="C3743" s="114" t="inlineStr">
        <is>
          <t>United Kingdom</t>
        </is>
      </c>
      <c r="D3743" s="114" t="inlineStr">
        <is>
          <t>82482</t>
        </is>
      </c>
      <c r="E3743" s="114" t="inlineStr">
        <is>
          <t>WOODEN PICTURE FRAME WHITE FINISH</t>
        </is>
      </c>
      <c r="F3743" s="114" t="n">
        <v>3</v>
      </c>
      <c r="G3743" s="115" t="n">
        <v>2.95</v>
      </c>
      <c r="H3743" s="115" t="n">
        <v>8.85</v>
      </c>
      <c r="I3743" s="116" t="n">
        <v>40836</v>
      </c>
    </row>
    <row r="3744">
      <c r="A3744" s="117" t="inlineStr">
        <is>
          <t>572074</t>
        </is>
      </c>
      <c r="B3744" s="117" t="n">
        <v>16284</v>
      </c>
      <c r="C3744" s="117" t="inlineStr">
        <is>
          <t>United Kingdom</t>
        </is>
      </c>
      <c r="D3744" s="117" t="inlineStr">
        <is>
          <t>23252</t>
        </is>
      </c>
      <c r="E3744" s="117" t="inlineStr">
        <is>
          <t xml:space="preserve">VINTAGE RED ENAMEL TRIM JUG </t>
        </is>
      </c>
      <c r="F3744" s="117" t="n">
        <v>2</v>
      </c>
      <c r="G3744" s="118" t="n">
        <v>3.75</v>
      </c>
      <c r="H3744" s="118" t="n">
        <v>7.5</v>
      </c>
      <c r="I3744" s="119" t="n">
        <v>40836</v>
      </c>
    </row>
    <row r="3745">
      <c r="A3745" s="114" t="inlineStr">
        <is>
          <t>572076</t>
        </is>
      </c>
      <c r="B3745" s="114" t="n">
        <v>13761</v>
      </c>
      <c r="C3745" s="114" t="inlineStr">
        <is>
          <t>United Kingdom</t>
        </is>
      </c>
      <c r="D3745" s="114" t="inlineStr">
        <is>
          <t>22996</t>
        </is>
      </c>
      <c r="E3745" s="114" t="inlineStr">
        <is>
          <t>TRAVEL CARD WALLET VINTAGE TICKET</t>
        </is>
      </c>
      <c r="F3745" s="114" t="n">
        <v>24</v>
      </c>
      <c r="G3745" s="115" t="n">
        <v>0.42</v>
      </c>
      <c r="H3745" s="115" t="n">
        <v>10.08</v>
      </c>
      <c r="I3745" s="116" t="n">
        <v>40836</v>
      </c>
    </row>
    <row r="3746">
      <c r="A3746" s="117" t="inlineStr">
        <is>
          <t>572076</t>
        </is>
      </c>
      <c r="B3746" s="117" t="n">
        <v>13761</v>
      </c>
      <c r="C3746" s="117" t="inlineStr">
        <is>
          <t>United Kingdom</t>
        </is>
      </c>
      <c r="D3746" s="117" t="inlineStr">
        <is>
          <t>22909</t>
        </is>
      </c>
      <c r="E3746" s="117" t="inlineStr">
        <is>
          <t>SET OF 20 VINTAGE CHRISTMAS NAPKINS</t>
        </is>
      </c>
      <c r="F3746" s="117" t="n">
        <v>12</v>
      </c>
      <c r="G3746" s="118" t="n">
        <v>0.85</v>
      </c>
      <c r="H3746" s="118" t="n">
        <v>10.2</v>
      </c>
      <c r="I3746" s="119" t="n">
        <v>40836</v>
      </c>
    </row>
    <row r="3747">
      <c r="A3747" s="114" t="inlineStr">
        <is>
          <t>572082</t>
        </is>
      </c>
      <c r="B3747" s="114" t="n">
        <v>17672</v>
      </c>
      <c r="C3747" s="114" t="inlineStr">
        <is>
          <t>United Kingdom</t>
        </is>
      </c>
      <c r="D3747" s="114" t="inlineStr">
        <is>
          <t>23342</t>
        </is>
      </c>
      <c r="E3747" s="114" t="inlineStr">
        <is>
          <t>MINT DINER WALL CLOCK</t>
        </is>
      </c>
      <c r="F3747" s="114" t="n">
        <v>2</v>
      </c>
      <c r="G3747" s="115" t="n">
        <v>8.5</v>
      </c>
      <c r="H3747" s="115" t="n">
        <v>17</v>
      </c>
      <c r="I3747" s="116" t="n">
        <v>40836</v>
      </c>
    </row>
    <row r="3748">
      <c r="A3748" s="117" t="inlineStr">
        <is>
          <t>572087</t>
        </is>
      </c>
      <c r="B3748" s="117" t="n">
        <v>12683</v>
      </c>
      <c r="C3748" s="117" t="inlineStr">
        <is>
          <t>France</t>
        </is>
      </c>
      <c r="D3748" s="117" t="inlineStr">
        <is>
          <t>21208</t>
        </is>
      </c>
      <c r="E3748" s="117" t="inlineStr">
        <is>
          <t>PASTEL COLOUR HONEYCOMB FAN</t>
        </is>
      </c>
      <c r="F3748" s="117" t="n">
        <v>12</v>
      </c>
      <c r="G3748" s="118" t="n">
        <v>0.39</v>
      </c>
      <c r="H3748" s="118" t="n">
        <v>4.68</v>
      </c>
      <c r="I3748" s="119" t="n">
        <v>40836</v>
      </c>
    </row>
    <row r="3749">
      <c r="A3749" s="114" t="inlineStr">
        <is>
          <t>572092</t>
        </is>
      </c>
      <c r="B3749" s="114" t="n">
        <v>17125</v>
      </c>
      <c r="C3749" s="114" t="inlineStr">
        <is>
          <t>United Kingdom</t>
        </is>
      </c>
      <c r="D3749" s="114" t="inlineStr">
        <is>
          <t>21617</t>
        </is>
      </c>
      <c r="E3749" s="114" t="inlineStr">
        <is>
          <t>4 LILY  BOTANICAL DINNER CANDLES</t>
        </is>
      </c>
      <c r="F3749" s="114" t="n">
        <v>12</v>
      </c>
      <c r="G3749" s="115" t="n">
        <v>1.25</v>
      </c>
      <c r="H3749" s="115" t="n">
        <v>15</v>
      </c>
      <c r="I3749" s="116" t="n">
        <v>40836</v>
      </c>
    </row>
    <row r="3750">
      <c r="A3750" s="117" t="inlineStr">
        <is>
          <t>572103</t>
        </is>
      </c>
      <c r="B3750" s="117" t="n">
        <v>17571</v>
      </c>
      <c r="C3750" s="117" t="inlineStr">
        <is>
          <t>United Kingdom</t>
        </is>
      </c>
      <c r="D3750" s="117" t="inlineStr">
        <is>
          <t>85183B</t>
        </is>
      </c>
      <c r="E3750" s="117" t="inlineStr">
        <is>
          <t>CHARLIE &amp; LOLA WASTEPAPER BIN FLORA</t>
        </is>
      </c>
      <c r="F3750" s="117" t="n">
        <v>1</v>
      </c>
      <c r="G3750" s="118" t="n">
        <v>1.25</v>
      </c>
      <c r="H3750" s="118" t="n">
        <v>1.25</v>
      </c>
      <c r="I3750" s="119" t="n">
        <v>40836</v>
      </c>
    </row>
    <row r="3751">
      <c r="A3751" s="114" t="inlineStr">
        <is>
          <t>572103</t>
        </is>
      </c>
      <c r="B3751" s="114" t="n">
        <v>17571</v>
      </c>
      <c r="C3751" s="114" t="inlineStr">
        <is>
          <t>United Kingdom</t>
        </is>
      </c>
      <c r="D3751" s="114" t="inlineStr">
        <is>
          <t>21226</t>
        </is>
      </c>
      <c r="E3751" s="114" t="inlineStr">
        <is>
          <t>POCKET MIRROR WOODLAND</t>
        </is>
      </c>
      <c r="F3751" s="114" t="n">
        <v>1</v>
      </c>
      <c r="G3751" s="115" t="n">
        <v>1.25</v>
      </c>
      <c r="H3751" s="115" t="n">
        <v>1.25</v>
      </c>
      <c r="I3751" s="116" t="n">
        <v>40836</v>
      </c>
    </row>
    <row r="3752">
      <c r="A3752" s="117" t="inlineStr">
        <is>
          <t>572107</t>
        </is>
      </c>
      <c r="B3752" s="117" t="n">
        <v>15836</v>
      </c>
      <c r="C3752" s="117" t="inlineStr">
        <is>
          <t>United Kingdom</t>
        </is>
      </c>
      <c r="D3752" s="117" t="inlineStr">
        <is>
          <t>22178</t>
        </is>
      </c>
      <c r="E3752" s="117" t="inlineStr">
        <is>
          <t>VICTORIAN GLASS HANGING T-LIGHT</t>
        </is>
      </c>
      <c r="F3752" s="117" t="n">
        <v>6</v>
      </c>
      <c r="G3752" s="118" t="n">
        <v>1.95</v>
      </c>
      <c r="H3752" s="118" t="n">
        <v>11.7</v>
      </c>
      <c r="I3752" s="119" t="n">
        <v>40836</v>
      </c>
    </row>
    <row r="3753">
      <c r="A3753" s="114" t="inlineStr">
        <is>
          <t>572108</t>
        </is>
      </c>
      <c r="B3753" s="114" t="n">
        <v>15814</v>
      </c>
      <c r="C3753" s="114" t="inlineStr">
        <is>
          <t>United Kingdom</t>
        </is>
      </c>
      <c r="D3753" s="114" t="inlineStr">
        <is>
          <t>22488</t>
        </is>
      </c>
      <c r="E3753" s="114" t="inlineStr">
        <is>
          <t>NATURAL SLATE RECTANGLE CHALKBOARD</t>
        </is>
      </c>
      <c r="F3753" s="114" t="n">
        <v>12</v>
      </c>
      <c r="G3753" s="115" t="n">
        <v>1.65</v>
      </c>
      <c r="H3753" s="115" t="n">
        <v>19.8</v>
      </c>
      <c r="I3753" s="116" t="n">
        <v>40836</v>
      </c>
    </row>
    <row r="3754">
      <c r="A3754" s="117" t="inlineStr">
        <is>
          <t>572122</t>
        </is>
      </c>
      <c r="B3754" s="117" t="n">
        <v>15969</v>
      </c>
      <c r="C3754" s="117" t="inlineStr">
        <is>
          <t>United Kingdom</t>
        </is>
      </c>
      <c r="D3754" s="117" t="inlineStr">
        <is>
          <t>23485</t>
        </is>
      </c>
      <c r="E3754" s="117" t="inlineStr">
        <is>
          <t xml:space="preserve">BOTANICAL GARDENS WALL CLOCK </t>
        </is>
      </c>
      <c r="F3754" s="117" t="n">
        <v>4</v>
      </c>
      <c r="G3754" s="118" t="n">
        <v>20.8</v>
      </c>
      <c r="H3754" s="118" t="n">
        <v>83.2</v>
      </c>
      <c r="I3754" s="119" t="n">
        <v>40837</v>
      </c>
    </row>
    <row r="3755">
      <c r="A3755" s="114" t="inlineStr">
        <is>
          <t>572124</t>
        </is>
      </c>
      <c r="B3755" s="114" t="n">
        <v>14156</v>
      </c>
      <c r="C3755" s="114" t="inlineStr">
        <is>
          <t>EIRE</t>
        </is>
      </c>
      <c r="D3755" s="114" t="inlineStr">
        <is>
          <t>22601</t>
        </is>
      </c>
      <c r="E3755" s="114" t="inlineStr">
        <is>
          <t>CHRISTMAS RETROSPOT ANGEL WOOD</t>
        </is>
      </c>
      <c r="F3755" s="114" t="n">
        <v>60</v>
      </c>
      <c r="G3755" s="115" t="n">
        <v>0.85</v>
      </c>
      <c r="H3755" s="115" t="n">
        <v>51</v>
      </c>
      <c r="I3755" s="116" t="n">
        <v>40837</v>
      </c>
    </row>
    <row r="3756">
      <c r="A3756" s="117" t="inlineStr">
        <is>
          <t>572183</t>
        </is>
      </c>
      <c r="B3756" s="117" t="n">
        <v>16153</v>
      </c>
      <c r="C3756" s="117" t="inlineStr">
        <is>
          <t>United Kingdom</t>
        </is>
      </c>
      <c r="D3756" s="117" t="inlineStr">
        <is>
          <t>22993</t>
        </is>
      </c>
      <c r="E3756" s="117" t="inlineStr">
        <is>
          <t>SET OF 4 PANTRY JELLY MOULDS</t>
        </is>
      </c>
      <c r="F3756" s="117" t="n">
        <v>24</v>
      </c>
      <c r="G3756" s="118" t="n">
        <v>1.25</v>
      </c>
      <c r="H3756" s="118" t="n">
        <v>30</v>
      </c>
      <c r="I3756" s="119" t="n">
        <v>40837</v>
      </c>
    </row>
    <row r="3757">
      <c r="A3757" s="114" t="inlineStr">
        <is>
          <t>572193</t>
        </is>
      </c>
      <c r="B3757" s="114" t="n">
        <v>15061</v>
      </c>
      <c r="C3757" s="114" t="inlineStr">
        <is>
          <t>United Kingdom</t>
        </is>
      </c>
      <c r="D3757" s="114" t="inlineStr">
        <is>
          <t>22942</t>
        </is>
      </c>
      <c r="E3757" s="114" t="inlineStr">
        <is>
          <t xml:space="preserve">CHRISTMAS LIGHTS 10 SANTAS </t>
        </is>
      </c>
      <c r="F3757" s="114" t="n">
        <v>30</v>
      </c>
      <c r="G3757" s="115" t="n">
        <v>8.5</v>
      </c>
      <c r="H3757" s="115" t="n">
        <v>255</v>
      </c>
      <c r="I3757" s="116" t="n">
        <v>40837</v>
      </c>
    </row>
    <row r="3758">
      <c r="A3758" s="117" t="inlineStr">
        <is>
          <t>572196</t>
        </is>
      </c>
      <c r="B3758" s="117" t="n">
        <v>18102</v>
      </c>
      <c r="C3758" s="117" t="inlineStr">
        <is>
          <t>United Kingdom</t>
        </is>
      </c>
      <c r="D3758" s="117" t="inlineStr">
        <is>
          <t>23400</t>
        </is>
      </c>
      <c r="E3758" s="117" t="inlineStr">
        <is>
          <t>SHELF WITH 4 HOOKS HOME SWEET HOME</t>
        </is>
      </c>
      <c r="F3758" s="117" t="n">
        <v>112</v>
      </c>
      <c r="G3758" s="118" t="n">
        <v>4.14</v>
      </c>
      <c r="H3758" s="118" t="n">
        <v>463.68</v>
      </c>
      <c r="I3758" s="119" t="n">
        <v>40837</v>
      </c>
    </row>
    <row r="3759">
      <c r="A3759" s="114" t="inlineStr">
        <is>
          <t>572203</t>
        </is>
      </c>
      <c r="B3759" s="114" t="n">
        <v>17068</v>
      </c>
      <c r="C3759" s="114" t="inlineStr">
        <is>
          <t>United Kingdom</t>
        </is>
      </c>
      <c r="D3759" s="114" t="inlineStr">
        <is>
          <t>23002</t>
        </is>
      </c>
      <c r="E3759" s="114" t="inlineStr">
        <is>
          <t>TRAVEL CARD WALLET SKULLS</t>
        </is>
      </c>
      <c r="F3759" s="114" t="n">
        <v>24</v>
      </c>
      <c r="G3759" s="115" t="n">
        <v>0.42</v>
      </c>
      <c r="H3759" s="115" t="n">
        <v>10.08</v>
      </c>
      <c r="I3759" s="116" t="n">
        <v>40837</v>
      </c>
    </row>
    <row r="3760">
      <c r="A3760" s="117" t="inlineStr">
        <is>
          <t>572215</t>
        </is>
      </c>
      <c r="B3760" s="117" t="n">
        <v>12646</v>
      </c>
      <c r="C3760" s="117" t="inlineStr">
        <is>
          <t>USA</t>
        </is>
      </c>
      <c r="D3760" s="117" t="inlineStr">
        <is>
          <t>23513</t>
        </is>
      </c>
      <c r="E3760" s="117" t="inlineStr">
        <is>
          <t xml:space="preserve">EMBROIDERED RIBBON REEL SUSIE </t>
        </is>
      </c>
      <c r="F3760" s="117" t="n">
        <v>6</v>
      </c>
      <c r="G3760" s="118" t="n">
        <v>2.08</v>
      </c>
      <c r="H3760" s="118" t="n">
        <v>12.48</v>
      </c>
      <c r="I3760" s="119" t="n">
        <v>40837</v>
      </c>
    </row>
    <row r="3761">
      <c r="A3761" s="114" t="inlineStr">
        <is>
          <t>572216</t>
        </is>
      </c>
      <c r="B3761" s="114" t="n">
        <v>16015</v>
      </c>
      <c r="C3761" s="114" t="inlineStr">
        <is>
          <t>United Kingdom</t>
        </is>
      </c>
      <c r="D3761" s="114" t="inlineStr">
        <is>
          <t>85071B</t>
        </is>
      </c>
      <c r="E3761" s="114" t="inlineStr">
        <is>
          <t>RED CHARLIE+LOLA PERSONAL DOORSIGN</t>
        </is>
      </c>
      <c r="F3761" s="114" t="n">
        <v>2</v>
      </c>
      <c r="G3761" s="115" t="n">
        <v>0.39</v>
      </c>
      <c r="H3761" s="115" t="n">
        <v>0.78</v>
      </c>
      <c r="I3761" s="116" t="n">
        <v>40837</v>
      </c>
    </row>
    <row r="3762">
      <c r="A3762" s="117" t="inlineStr">
        <is>
          <t>572219</t>
        </is>
      </c>
      <c r="B3762" s="117" t="n">
        <v>17463</v>
      </c>
      <c r="C3762" s="117" t="inlineStr">
        <is>
          <t>United Kingdom</t>
        </is>
      </c>
      <c r="D3762" s="117" t="inlineStr">
        <is>
          <t>85099B</t>
        </is>
      </c>
      <c r="E3762" s="117" t="inlineStr">
        <is>
          <t>JUMBO BAG RED RETROSPOT</t>
        </is>
      </c>
      <c r="F3762" s="117" t="n">
        <v>2</v>
      </c>
      <c r="G3762" s="118" t="n">
        <v>2.08</v>
      </c>
      <c r="H3762" s="118" t="n">
        <v>4.16</v>
      </c>
      <c r="I3762" s="119" t="n">
        <v>40837</v>
      </c>
    </row>
    <row r="3763">
      <c r="A3763" s="114" t="inlineStr">
        <is>
          <t>572219</t>
        </is>
      </c>
      <c r="B3763" s="114" t="n">
        <v>17463</v>
      </c>
      <c r="C3763" s="114" t="inlineStr">
        <is>
          <t>United Kingdom</t>
        </is>
      </c>
      <c r="D3763" s="114" t="inlineStr">
        <is>
          <t>23250</t>
        </is>
      </c>
      <c r="E3763" s="114" t="inlineStr">
        <is>
          <t xml:space="preserve">VINTAGE RED TRIM ENAMEL BOWL </t>
        </is>
      </c>
      <c r="F3763" s="114" t="n">
        <v>2</v>
      </c>
      <c r="G3763" s="115" t="n">
        <v>1.25</v>
      </c>
      <c r="H3763" s="115" t="n">
        <v>2.5</v>
      </c>
      <c r="I3763" s="116" t="n">
        <v>40837</v>
      </c>
    </row>
    <row r="3764">
      <c r="A3764" s="117" t="inlineStr">
        <is>
          <t>572219</t>
        </is>
      </c>
      <c r="B3764" s="117" t="n">
        <v>17463</v>
      </c>
      <c r="C3764" s="117" t="inlineStr">
        <is>
          <t>United Kingdom</t>
        </is>
      </c>
      <c r="D3764" s="117" t="inlineStr">
        <is>
          <t>23322</t>
        </is>
      </c>
      <c r="E3764" s="117" t="inlineStr">
        <is>
          <t>LARGE WHITE HEART OF WICKER</t>
        </is>
      </c>
      <c r="F3764" s="117" t="n">
        <v>2</v>
      </c>
      <c r="G3764" s="118" t="n">
        <v>2.95</v>
      </c>
      <c r="H3764" s="118" t="n">
        <v>5.9</v>
      </c>
      <c r="I3764" s="119" t="n">
        <v>40837</v>
      </c>
    </row>
    <row r="3765">
      <c r="A3765" s="114" t="inlineStr">
        <is>
          <t>572219</t>
        </is>
      </c>
      <c r="B3765" s="114" t="n">
        <v>17463</v>
      </c>
      <c r="C3765" s="114" t="inlineStr">
        <is>
          <t>United Kingdom</t>
        </is>
      </c>
      <c r="D3765" s="114" t="inlineStr">
        <is>
          <t>22379</t>
        </is>
      </c>
      <c r="E3765" s="114" t="inlineStr">
        <is>
          <t xml:space="preserve">RECYCLING BAG RETROSPOT </t>
        </is>
      </c>
      <c r="F3765" s="114" t="n">
        <v>1</v>
      </c>
      <c r="G3765" s="115" t="n">
        <v>2.1</v>
      </c>
      <c r="H3765" s="115" t="n">
        <v>2.1</v>
      </c>
      <c r="I3765" s="116" t="n">
        <v>40837</v>
      </c>
    </row>
    <row r="3766">
      <c r="A3766" s="117" t="inlineStr">
        <is>
          <t>572224</t>
        </is>
      </c>
      <c r="B3766" s="117" t="n">
        <v>16558</v>
      </c>
      <c r="C3766" s="117" t="inlineStr">
        <is>
          <t>United Kingdom</t>
        </is>
      </c>
      <c r="D3766" s="117" t="inlineStr">
        <is>
          <t>23319</t>
        </is>
      </c>
      <c r="E3766" s="117" t="inlineStr">
        <is>
          <t>BOX OF 6 MINI 50'S CRACKERS</t>
        </is>
      </c>
      <c r="F3766" s="117" t="n">
        <v>6</v>
      </c>
      <c r="G3766" s="118" t="n">
        <v>2.49</v>
      </c>
      <c r="H3766" s="118" t="n">
        <v>14.94</v>
      </c>
      <c r="I3766" s="119" t="n">
        <v>40837</v>
      </c>
    </row>
    <row r="3767">
      <c r="A3767" s="114" t="inlineStr">
        <is>
          <t>572225</t>
        </is>
      </c>
      <c r="B3767" s="114" t="n">
        <v>13157</v>
      </c>
      <c r="C3767" s="114" t="inlineStr">
        <is>
          <t>United Kingdom</t>
        </is>
      </c>
      <c r="D3767" s="114" t="inlineStr">
        <is>
          <t>23549</t>
        </is>
      </c>
      <c r="E3767" s="114" t="inlineStr">
        <is>
          <t xml:space="preserve">WRAP BIRD GARDEN </t>
        </is>
      </c>
      <c r="F3767" s="114" t="n">
        <v>25</v>
      </c>
      <c r="G3767" s="115" t="n">
        <v>0.42</v>
      </c>
      <c r="H3767" s="115" t="n">
        <v>10.5</v>
      </c>
      <c r="I3767" s="116" t="n">
        <v>40837</v>
      </c>
    </row>
    <row r="3768">
      <c r="A3768" s="117" t="inlineStr">
        <is>
          <t>572229</t>
        </is>
      </c>
      <c r="B3768" s="117" t="n">
        <v>14329</v>
      </c>
      <c r="C3768" s="117" t="inlineStr">
        <is>
          <t>United Kingdom</t>
        </is>
      </c>
      <c r="D3768" s="117" t="inlineStr">
        <is>
          <t>23042</t>
        </is>
      </c>
      <c r="E3768" s="117" t="inlineStr">
        <is>
          <t>PAPER LANTERN 7 POINT SNOW STAR</t>
        </is>
      </c>
      <c r="F3768" s="117" t="n">
        <v>6</v>
      </c>
      <c r="G3768" s="118" t="n">
        <v>6.65</v>
      </c>
      <c r="H3768" s="118" t="n">
        <v>39.9</v>
      </c>
      <c r="I3768" s="119" t="n">
        <v>40837</v>
      </c>
    </row>
    <row r="3769">
      <c r="A3769" s="114" t="inlineStr">
        <is>
          <t>572231</t>
        </is>
      </c>
      <c r="B3769" s="114" t="n">
        <v>13974</v>
      </c>
      <c r="C3769" s="114" t="inlineStr">
        <is>
          <t>United Kingdom</t>
        </is>
      </c>
      <c r="D3769" s="114" t="inlineStr">
        <is>
          <t>23354</t>
        </is>
      </c>
      <c r="E3769" s="114" t="inlineStr">
        <is>
          <t xml:space="preserve">6 GIFT TAGS 50'S CHRISTMAS </t>
        </is>
      </c>
      <c r="F3769" s="114" t="n">
        <v>12</v>
      </c>
      <c r="G3769" s="115" t="n">
        <v>0.83</v>
      </c>
      <c r="H3769" s="115" t="n">
        <v>9.960000000000001</v>
      </c>
      <c r="I3769" s="116" t="n">
        <v>40837</v>
      </c>
    </row>
    <row r="3770">
      <c r="A3770" s="117" t="inlineStr">
        <is>
          <t>572232</t>
        </is>
      </c>
      <c r="B3770" s="117" t="n">
        <v>16293</v>
      </c>
      <c r="C3770" s="117" t="inlineStr">
        <is>
          <t>United Kingdom</t>
        </is>
      </c>
      <c r="D3770" s="117" t="inlineStr">
        <is>
          <t>23083</t>
        </is>
      </c>
      <c r="E3770" s="117" t="inlineStr">
        <is>
          <t xml:space="preserve">SET 6 PAPER TABLE LANTERN STARS </t>
        </is>
      </c>
      <c r="F3770" s="117" t="n">
        <v>6</v>
      </c>
      <c r="G3770" s="118" t="n">
        <v>3.75</v>
      </c>
      <c r="H3770" s="118" t="n">
        <v>22.5</v>
      </c>
      <c r="I3770" s="119" t="n">
        <v>40837</v>
      </c>
    </row>
    <row r="3771">
      <c r="A3771" s="114" t="inlineStr">
        <is>
          <t>572240</t>
        </is>
      </c>
      <c r="B3771" s="114" t="n">
        <v>13709</v>
      </c>
      <c r="C3771" s="114" t="inlineStr">
        <is>
          <t>United Kingdom</t>
        </is>
      </c>
      <c r="D3771" s="114" t="inlineStr">
        <is>
          <t>23103</t>
        </is>
      </c>
      <c r="E3771" s="114" t="inlineStr">
        <is>
          <t>JINGLE BELL HEART DECORATION</t>
        </is>
      </c>
      <c r="F3771" s="114" t="n">
        <v>24</v>
      </c>
      <c r="G3771" s="115" t="n">
        <v>1.65</v>
      </c>
      <c r="H3771" s="115" t="n">
        <v>39.6</v>
      </c>
      <c r="I3771" s="116" t="n">
        <v>40837</v>
      </c>
    </row>
    <row r="3772">
      <c r="A3772" s="117" t="inlineStr">
        <is>
          <t>572274</t>
        </is>
      </c>
      <c r="B3772" s="117" t="n">
        <v>14031</v>
      </c>
      <c r="C3772" s="117" t="inlineStr">
        <is>
          <t>United Kingdom</t>
        </is>
      </c>
      <c r="D3772" s="117" t="inlineStr">
        <is>
          <t>23029</t>
        </is>
      </c>
      <c r="E3772" s="117" t="inlineStr">
        <is>
          <t>DRAWER KNOB CRACKLE GLAZE GREEN</t>
        </is>
      </c>
      <c r="F3772" s="117" t="n">
        <v>6</v>
      </c>
      <c r="G3772" s="118" t="n">
        <v>1.65</v>
      </c>
      <c r="H3772" s="118" t="n">
        <v>9.9</v>
      </c>
      <c r="I3772" s="119" t="n">
        <v>40837</v>
      </c>
    </row>
    <row r="3773">
      <c r="A3773" s="114" t="inlineStr">
        <is>
          <t>572280</t>
        </is>
      </c>
      <c r="B3773" s="114" t="n">
        <v>16007</v>
      </c>
      <c r="C3773" s="114" t="inlineStr">
        <is>
          <t>United Kingdom</t>
        </is>
      </c>
      <c r="D3773" s="114" t="inlineStr">
        <is>
          <t>21262</t>
        </is>
      </c>
      <c r="E3773" s="114" t="inlineStr">
        <is>
          <t xml:space="preserve">WHITE GOOSE FEATHER CHRISTMAS TREE </t>
        </is>
      </c>
      <c r="F3773" s="114" t="n">
        <v>2</v>
      </c>
      <c r="G3773" s="115" t="n">
        <v>2.95</v>
      </c>
      <c r="H3773" s="115" t="n">
        <v>5.9</v>
      </c>
      <c r="I3773" s="116" t="n">
        <v>40839</v>
      </c>
    </row>
    <row r="3774">
      <c r="A3774" s="117" t="inlineStr">
        <is>
          <t>572283</t>
        </is>
      </c>
      <c r="B3774" s="117" t="n">
        <v>15000</v>
      </c>
      <c r="C3774" s="117" t="inlineStr">
        <is>
          <t>United Kingdom</t>
        </is>
      </c>
      <c r="D3774" s="117" t="inlineStr">
        <is>
          <t>23418</t>
        </is>
      </c>
      <c r="E3774" s="117" t="inlineStr">
        <is>
          <t>LAVENDER TOILETTE BOTTLE</t>
        </is>
      </c>
      <c r="F3774" s="117" t="n">
        <v>2</v>
      </c>
      <c r="G3774" s="118" t="n">
        <v>2.08</v>
      </c>
      <c r="H3774" s="118" t="n">
        <v>4.16</v>
      </c>
      <c r="I3774" s="119" t="n">
        <v>40839</v>
      </c>
    </row>
    <row r="3775">
      <c r="A3775" s="114" t="inlineStr">
        <is>
          <t>572284</t>
        </is>
      </c>
      <c r="B3775" s="114" t="n">
        <v>16744</v>
      </c>
      <c r="C3775" s="114" t="inlineStr">
        <is>
          <t>United Kingdom</t>
        </is>
      </c>
      <c r="D3775" s="114" t="inlineStr">
        <is>
          <t>23290</t>
        </is>
      </c>
      <c r="E3775" s="114" t="inlineStr">
        <is>
          <t>SPACEBOY CHILDRENS BOWL</t>
        </is>
      </c>
      <c r="F3775" s="114" t="n">
        <v>4</v>
      </c>
      <c r="G3775" s="115" t="n">
        <v>1.25</v>
      </c>
      <c r="H3775" s="115" t="n">
        <v>5</v>
      </c>
      <c r="I3775" s="116" t="n">
        <v>40839</v>
      </c>
    </row>
    <row r="3776">
      <c r="A3776" s="117" t="inlineStr">
        <is>
          <t>572294</t>
        </is>
      </c>
      <c r="B3776" s="117" t="n">
        <v>13471</v>
      </c>
      <c r="C3776" s="117" t="inlineStr">
        <is>
          <t>United Kingdom</t>
        </is>
      </c>
      <c r="D3776" s="117" t="inlineStr">
        <is>
          <t>22523</t>
        </is>
      </c>
      <c r="E3776" s="117" t="inlineStr">
        <is>
          <t>CHILDS GARDEN FORK PINK</t>
        </is>
      </c>
      <c r="F3776" s="117" t="n">
        <v>5</v>
      </c>
      <c r="G3776" s="118" t="n">
        <v>0.85</v>
      </c>
      <c r="H3776" s="118" t="n">
        <v>4.25</v>
      </c>
      <c r="I3776" s="119" t="n">
        <v>40839</v>
      </c>
    </row>
    <row r="3777">
      <c r="A3777" s="114" t="inlineStr">
        <is>
          <t>572302</t>
        </is>
      </c>
      <c r="B3777" s="114" t="n">
        <v>15427</v>
      </c>
      <c r="C3777" s="114" t="inlineStr">
        <is>
          <t>United Kingdom</t>
        </is>
      </c>
      <c r="D3777" s="114" t="inlineStr">
        <is>
          <t>23350</t>
        </is>
      </c>
      <c r="E3777" s="114" t="inlineStr">
        <is>
          <t xml:space="preserve">ROLL WRAP VINTAGE SPOT </t>
        </is>
      </c>
      <c r="F3777" s="114" t="n">
        <v>1</v>
      </c>
      <c r="G3777" s="115" t="n">
        <v>1.25</v>
      </c>
      <c r="H3777" s="115" t="n">
        <v>1.25</v>
      </c>
      <c r="I3777" s="116" t="n">
        <v>40839</v>
      </c>
    </row>
    <row r="3778">
      <c r="A3778" s="117" t="inlineStr">
        <is>
          <t>572302</t>
        </is>
      </c>
      <c r="B3778" s="117" t="n">
        <v>15427</v>
      </c>
      <c r="C3778" s="117" t="inlineStr">
        <is>
          <t>United Kingdom</t>
        </is>
      </c>
      <c r="D3778" s="117" t="inlineStr">
        <is>
          <t>84077</t>
        </is>
      </c>
      <c r="E3778" s="117" t="inlineStr">
        <is>
          <t>WORLD WAR 2 GLIDERS ASSTD DESIGNS</t>
        </is>
      </c>
      <c r="F3778" s="117" t="n">
        <v>48</v>
      </c>
      <c r="G3778" s="118" t="n">
        <v>0.29</v>
      </c>
      <c r="H3778" s="118" t="n">
        <v>13.92</v>
      </c>
      <c r="I3778" s="119" t="n">
        <v>40839</v>
      </c>
    </row>
    <row r="3779">
      <c r="A3779" s="114" t="inlineStr">
        <is>
          <t>572314</t>
        </is>
      </c>
      <c r="B3779" s="114" t="n">
        <v>17111</v>
      </c>
      <c r="C3779" s="114" t="inlineStr">
        <is>
          <t>United Kingdom</t>
        </is>
      </c>
      <c r="D3779" s="114" t="inlineStr">
        <is>
          <t>22355</t>
        </is>
      </c>
      <c r="E3779" s="114" t="inlineStr">
        <is>
          <t>CHARLOTTE BAG SUKI DESIGN</t>
        </is>
      </c>
      <c r="F3779" s="114" t="n">
        <v>20</v>
      </c>
      <c r="G3779" s="115" t="n">
        <v>0.85</v>
      </c>
      <c r="H3779" s="115" t="n">
        <v>17</v>
      </c>
      <c r="I3779" s="116" t="n">
        <v>40839</v>
      </c>
    </row>
    <row r="3780">
      <c r="A3780" s="117" t="inlineStr">
        <is>
          <t>572317</t>
        </is>
      </c>
      <c r="B3780" s="117" t="n">
        <v>14629</v>
      </c>
      <c r="C3780" s="117" t="inlineStr">
        <is>
          <t>United Kingdom</t>
        </is>
      </c>
      <c r="D3780" s="117" t="inlineStr">
        <is>
          <t>22625</t>
        </is>
      </c>
      <c r="E3780" s="117" t="inlineStr">
        <is>
          <t>RED KITCHEN SCALES</t>
        </is>
      </c>
      <c r="F3780" s="117" t="n">
        <v>1</v>
      </c>
      <c r="G3780" s="118" t="n">
        <v>8.5</v>
      </c>
      <c r="H3780" s="118" t="n">
        <v>8.5</v>
      </c>
      <c r="I3780" s="119" t="n">
        <v>40839</v>
      </c>
    </row>
    <row r="3781">
      <c r="A3781" s="114" t="inlineStr">
        <is>
          <t>572318</t>
        </is>
      </c>
      <c r="B3781" s="114" t="n">
        <v>15436</v>
      </c>
      <c r="C3781" s="114" t="inlineStr">
        <is>
          <t>United Kingdom</t>
        </is>
      </c>
      <c r="D3781" s="114" t="inlineStr">
        <is>
          <t>23214</t>
        </is>
      </c>
      <c r="E3781" s="114" t="inlineStr">
        <is>
          <t>JINGLE BELL HEART ANTIQUE GOLD</t>
        </is>
      </c>
      <c r="F3781" s="114" t="n">
        <v>1</v>
      </c>
      <c r="G3781" s="115" t="n">
        <v>2.08</v>
      </c>
      <c r="H3781" s="115" t="n">
        <v>2.08</v>
      </c>
      <c r="I3781" s="116" t="n">
        <v>40839</v>
      </c>
    </row>
    <row r="3782">
      <c r="A3782" s="117" t="inlineStr">
        <is>
          <t>572318</t>
        </is>
      </c>
      <c r="B3782" s="117" t="n">
        <v>15436</v>
      </c>
      <c r="C3782" s="117" t="inlineStr">
        <is>
          <t>United Kingdom</t>
        </is>
      </c>
      <c r="D3782" s="117" t="inlineStr">
        <is>
          <t>23570</t>
        </is>
      </c>
      <c r="E3782" s="117" t="inlineStr">
        <is>
          <t xml:space="preserve">TRADITIONAL PICK UP STICKS GAME </t>
        </is>
      </c>
      <c r="F3782" s="117" t="n">
        <v>1</v>
      </c>
      <c r="G3782" s="118" t="n">
        <v>1.25</v>
      </c>
      <c r="H3782" s="118" t="n">
        <v>1.25</v>
      </c>
      <c r="I3782" s="119" t="n">
        <v>40839</v>
      </c>
    </row>
    <row r="3783">
      <c r="A3783" s="114" t="inlineStr">
        <is>
          <t>572318</t>
        </is>
      </c>
      <c r="B3783" s="114" t="n">
        <v>15436</v>
      </c>
      <c r="C3783" s="114" t="inlineStr">
        <is>
          <t>United Kingdom</t>
        </is>
      </c>
      <c r="D3783" s="114" t="inlineStr">
        <is>
          <t>21034</t>
        </is>
      </c>
      <c r="E3783" s="114" t="inlineStr">
        <is>
          <t>REX CASH+CARRY JUMBO SHOPPER</t>
        </is>
      </c>
      <c r="F3783" s="114" t="n">
        <v>2</v>
      </c>
      <c r="G3783" s="115" t="n">
        <v>0.95</v>
      </c>
      <c r="H3783" s="115" t="n">
        <v>1.9</v>
      </c>
      <c r="I3783" s="116" t="n">
        <v>40839</v>
      </c>
    </row>
    <row r="3784">
      <c r="A3784" s="117" t="inlineStr">
        <is>
          <t>572319</t>
        </is>
      </c>
      <c r="B3784" s="117" t="n">
        <v>14704</v>
      </c>
      <c r="C3784" s="117" t="inlineStr">
        <is>
          <t>United Kingdom</t>
        </is>
      </c>
      <c r="D3784" s="117" t="inlineStr">
        <is>
          <t>23083</t>
        </is>
      </c>
      <c r="E3784" s="117" t="inlineStr">
        <is>
          <t xml:space="preserve">SET 6 PAPER TABLE LANTERN STARS </t>
        </is>
      </c>
      <c r="F3784" s="117" t="n">
        <v>2</v>
      </c>
      <c r="G3784" s="118" t="n">
        <v>3.75</v>
      </c>
      <c r="H3784" s="118" t="n">
        <v>7.5</v>
      </c>
      <c r="I3784" s="119" t="n">
        <v>40839</v>
      </c>
    </row>
    <row r="3785">
      <c r="A3785" s="114" t="inlineStr">
        <is>
          <t>572335</t>
        </is>
      </c>
      <c r="B3785" s="114" t="n">
        <v>14493</v>
      </c>
      <c r="C3785" s="114" t="inlineStr">
        <is>
          <t>United Kingdom</t>
        </is>
      </c>
      <c r="D3785" s="114" t="inlineStr">
        <is>
          <t>23569</t>
        </is>
      </c>
      <c r="E3785" s="114" t="inlineStr">
        <is>
          <t>TRADTIONAL ALPHABET STAMP SET</t>
        </is>
      </c>
      <c r="F3785" s="114" t="n">
        <v>4</v>
      </c>
      <c r="G3785" s="115" t="n">
        <v>4.95</v>
      </c>
      <c r="H3785" s="115" t="n">
        <v>19.8</v>
      </c>
      <c r="I3785" s="116" t="n">
        <v>40840</v>
      </c>
    </row>
    <row r="3786">
      <c r="A3786" s="117" t="inlineStr">
        <is>
          <t>572335</t>
        </is>
      </c>
      <c r="B3786" s="117" t="n">
        <v>14493</v>
      </c>
      <c r="C3786" s="117" t="inlineStr">
        <is>
          <t>United Kingdom</t>
        </is>
      </c>
      <c r="D3786" s="117" t="inlineStr">
        <is>
          <t>23535</t>
        </is>
      </c>
      <c r="E3786" s="117" t="inlineStr">
        <is>
          <t>WALL ART BICYCLE SAFETY</t>
        </is>
      </c>
      <c r="F3786" s="117" t="n">
        <v>4</v>
      </c>
      <c r="G3786" s="118" t="n">
        <v>5.95</v>
      </c>
      <c r="H3786" s="118" t="n">
        <v>23.8</v>
      </c>
      <c r="I3786" s="119" t="n">
        <v>40840</v>
      </c>
    </row>
    <row r="3787">
      <c r="A3787" s="114" t="inlineStr">
        <is>
          <t>572336</t>
        </is>
      </c>
      <c r="B3787" s="114" t="n">
        <v>13523</v>
      </c>
      <c r="C3787" s="114" t="inlineStr">
        <is>
          <t>United Kingdom</t>
        </is>
      </c>
      <c r="D3787" s="114" t="inlineStr">
        <is>
          <t>23266</t>
        </is>
      </c>
      <c r="E3787" s="114" t="inlineStr">
        <is>
          <t>SET OF 3 WOODEN STOCKING DECORATION</t>
        </is>
      </c>
      <c r="F3787" s="114" t="n">
        <v>12</v>
      </c>
      <c r="G3787" s="115" t="n">
        <v>1.25</v>
      </c>
      <c r="H3787" s="115" t="n">
        <v>15</v>
      </c>
      <c r="I3787" s="116" t="n">
        <v>40840</v>
      </c>
    </row>
    <row r="3788">
      <c r="A3788" s="117" t="inlineStr">
        <is>
          <t>572344</t>
        </is>
      </c>
      <c r="B3788" s="117" t="n">
        <v>14607</v>
      </c>
      <c r="C3788" s="117" t="inlineStr">
        <is>
          <t>United Kingdom</t>
        </is>
      </c>
      <c r="D3788" s="117" t="inlineStr">
        <is>
          <t>M</t>
        </is>
      </c>
      <c r="E3788" s="117" t="inlineStr">
        <is>
          <t>Manual</t>
        </is>
      </c>
      <c r="F3788" s="117" t="n">
        <v>48</v>
      </c>
      <c r="G3788" s="118" t="n">
        <v>1.5</v>
      </c>
      <c r="H3788" s="118" t="n">
        <v>72</v>
      </c>
      <c r="I3788" s="119" t="n">
        <v>40840</v>
      </c>
    </row>
    <row r="3789">
      <c r="A3789" s="114" t="inlineStr">
        <is>
          <t>572353</t>
        </is>
      </c>
      <c r="B3789" s="114" t="n">
        <v>15215</v>
      </c>
      <c r="C3789" s="114" t="inlineStr">
        <is>
          <t>United Kingdom</t>
        </is>
      </c>
      <c r="D3789" s="114" t="inlineStr">
        <is>
          <t>23570</t>
        </is>
      </c>
      <c r="E3789" s="114" t="inlineStr">
        <is>
          <t xml:space="preserve">TRADITIONAL PICK UP STICKS GAME </t>
        </is>
      </c>
      <c r="F3789" s="114" t="n">
        <v>12</v>
      </c>
      <c r="G3789" s="115" t="n">
        <v>1.25</v>
      </c>
      <c r="H3789" s="115" t="n">
        <v>15</v>
      </c>
      <c r="I3789" s="116" t="n">
        <v>40840</v>
      </c>
    </row>
    <row r="3790">
      <c r="A3790" s="117" t="inlineStr">
        <is>
          <t>572442</t>
        </is>
      </c>
      <c r="B3790" s="117" t="n">
        <v>12546</v>
      </c>
      <c r="C3790" s="117" t="inlineStr">
        <is>
          <t>Spain</t>
        </is>
      </c>
      <c r="D3790" s="117" t="inlineStr">
        <is>
          <t>22445</t>
        </is>
      </c>
      <c r="E3790" s="117" t="inlineStr">
        <is>
          <t>PENCIL CASE LIFE IS BEAUTIFUL</t>
        </is>
      </c>
      <c r="F3790" s="117" t="n">
        <v>6</v>
      </c>
      <c r="G3790" s="118" t="n">
        <v>2.95</v>
      </c>
      <c r="H3790" s="118" t="n">
        <v>17.7</v>
      </c>
      <c r="I3790" s="119" t="n">
        <v>40840</v>
      </c>
    </row>
    <row r="3791">
      <c r="A3791" s="114" t="inlineStr">
        <is>
          <t>572442</t>
        </is>
      </c>
      <c r="B3791" s="114" t="n">
        <v>12546</v>
      </c>
      <c r="C3791" s="114" t="inlineStr">
        <is>
          <t>Spain</t>
        </is>
      </c>
      <c r="D3791" s="114" t="inlineStr">
        <is>
          <t>22750</t>
        </is>
      </c>
      <c r="E3791" s="114" t="inlineStr">
        <is>
          <t>FELTCRAFT PRINCESS LOLA DOLL</t>
        </is>
      </c>
      <c r="F3791" s="114" t="n">
        <v>4</v>
      </c>
      <c r="G3791" s="115" t="n">
        <v>3.75</v>
      </c>
      <c r="H3791" s="115" t="n">
        <v>15</v>
      </c>
      <c r="I3791" s="116" t="n">
        <v>40840</v>
      </c>
    </row>
    <row r="3792">
      <c r="A3792" s="117" t="inlineStr">
        <is>
          <t>572457</t>
        </is>
      </c>
      <c r="B3792" s="117" t="n">
        <v>12594</v>
      </c>
      <c r="C3792" s="117" t="inlineStr">
        <is>
          <t>Italy</t>
        </is>
      </c>
      <c r="D3792" s="117" t="inlineStr">
        <is>
          <t>22898</t>
        </is>
      </c>
      <c r="E3792" s="117" t="inlineStr">
        <is>
          <t>CHILDRENS APRON APPLES DESIGN</t>
        </is>
      </c>
      <c r="F3792" s="117" t="n">
        <v>8</v>
      </c>
      <c r="G3792" s="118" t="n">
        <v>1.95</v>
      </c>
      <c r="H3792" s="118" t="n">
        <v>15.6</v>
      </c>
      <c r="I3792" s="119" t="n">
        <v>40840</v>
      </c>
    </row>
    <row r="3793">
      <c r="A3793" s="114" t="inlineStr">
        <is>
          <t>572461</t>
        </is>
      </c>
      <c r="B3793" s="114" t="n">
        <v>17344</v>
      </c>
      <c r="C3793" s="114" t="inlineStr">
        <is>
          <t>United Kingdom</t>
        </is>
      </c>
      <c r="D3793" s="114" t="inlineStr">
        <is>
          <t>23198</t>
        </is>
      </c>
      <c r="E3793" s="114" t="inlineStr">
        <is>
          <t>PANTRY MAGNETIC  SHOPPING LIST</t>
        </is>
      </c>
      <c r="F3793" s="114" t="n">
        <v>1</v>
      </c>
      <c r="G3793" s="115" t="n">
        <v>1.45</v>
      </c>
      <c r="H3793" s="115" t="n">
        <v>1.45</v>
      </c>
      <c r="I3793" s="116" t="n">
        <v>40840</v>
      </c>
    </row>
    <row r="3794">
      <c r="A3794" s="117" t="inlineStr">
        <is>
          <t>572465</t>
        </is>
      </c>
      <c r="B3794" s="117" t="n">
        <v>14474</v>
      </c>
      <c r="C3794" s="117" t="inlineStr">
        <is>
          <t>United Kingdom</t>
        </is>
      </c>
      <c r="D3794" s="117" t="inlineStr">
        <is>
          <t>23087</t>
        </is>
      </c>
      <c r="E3794" s="117" t="inlineStr">
        <is>
          <t>ZINC  HEART T-LIGHT HOLDER</t>
        </is>
      </c>
      <c r="F3794" s="117" t="n">
        <v>16</v>
      </c>
      <c r="G3794" s="118" t="n">
        <v>1.25</v>
      </c>
      <c r="H3794" s="118" t="n">
        <v>20</v>
      </c>
      <c r="I3794" s="119" t="n">
        <v>40840</v>
      </c>
    </row>
    <row r="3795">
      <c r="A3795" s="114" t="inlineStr">
        <is>
          <t>572475</t>
        </is>
      </c>
      <c r="B3795" s="114" t="n">
        <v>15271</v>
      </c>
      <c r="C3795" s="114" t="inlineStr">
        <is>
          <t>United Kingdom</t>
        </is>
      </c>
      <c r="D3795" s="114" t="inlineStr">
        <is>
          <t>21239</t>
        </is>
      </c>
      <c r="E3795" s="114" t="inlineStr">
        <is>
          <t>PINK  POLKADOT CUP</t>
        </is>
      </c>
      <c r="F3795" s="114" t="n">
        <v>1</v>
      </c>
      <c r="G3795" s="115" t="n">
        <v>0.85</v>
      </c>
      <c r="H3795" s="115" t="n">
        <v>0.85</v>
      </c>
      <c r="I3795" s="116" t="n">
        <v>40840</v>
      </c>
    </row>
    <row r="3796">
      <c r="A3796" s="117" t="inlineStr">
        <is>
          <t>572484</t>
        </is>
      </c>
      <c r="B3796" s="117" t="n">
        <v>17220</v>
      </c>
      <c r="C3796" s="117" t="inlineStr">
        <is>
          <t>United Kingdom</t>
        </is>
      </c>
      <c r="D3796" s="117" t="inlineStr">
        <is>
          <t>23189</t>
        </is>
      </c>
      <c r="E3796" s="117" t="inlineStr">
        <is>
          <t>SET OF 12 FORK CANDLES</t>
        </is>
      </c>
      <c r="F3796" s="117" t="n">
        <v>1</v>
      </c>
      <c r="G3796" s="118" t="n">
        <v>2.89</v>
      </c>
      <c r="H3796" s="118" t="n">
        <v>2.89</v>
      </c>
      <c r="I3796" s="119" t="n">
        <v>40840</v>
      </c>
    </row>
    <row r="3797">
      <c r="A3797" s="114" t="inlineStr">
        <is>
          <t>572490</t>
        </is>
      </c>
      <c r="B3797" s="114" t="n">
        <v>14467</v>
      </c>
      <c r="C3797" s="114" t="inlineStr">
        <is>
          <t>United Kingdom</t>
        </is>
      </c>
      <c r="D3797" s="114" t="inlineStr">
        <is>
          <t>21429</t>
        </is>
      </c>
      <c r="E3797" s="114" t="inlineStr">
        <is>
          <t>RED GINGHAM ROSE JEWELLERY BOX</t>
        </is>
      </c>
      <c r="F3797" s="114" t="n">
        <v>2</v>
      </c>
      <c r="G3797" s="115" t="n">
        <v>1.95</v>
      </c>
      <c r="H3797" s="115" t="n">
        <v>3.9</v>
      </c>
      <c r="I3797" s="116" t="n">
        <v>40840</v>
      </c>
    </row>
    <row r="3798">
      <c r="A3798" s="117" t="inlineStr">
        <is>
          <t>572499</t>
        </is>
      </c>
      <c r="B3798" s="117" t="n">
        <v>15786</v>
      </c>
      <c r="C3798" s="117" t="inlineStr">
        <is>
          <t>United Kingdom</t>
        </is>
      </c>
      <c r="D3798" s="117" t="inlineStr">
        <is>
          <t>23263</t>
        </is>
      </c>
      <c r="E3798" s="117" t="inlineStr">
        <is>
          <t>SET OF 3 WOODEN HEART DECORATIONS</t>
        </is>
      </c>
      <c r="F3798" s="117" t="n">
        <v>12</v>
      </c>
      <c r="G3798" s="118" t="n">
        <v>1.25</v>
      </c>
      <c r="H3798" s="118" t="n">
        <v>15</v>
      </c>
      <c r="I3798" s="119" t="n">
        <v>40840</v>
      </c>
    </row>
    <row r="3799">
      <c r="A3799" s="114" t="inlineStr">
        <is>
          <t>572499</t>
        </is>
      </c>
      <c r="B3799" s="114" t="n">
        <v>15786</v>
      </c>
      <c r="C3799" s="114" t="inlineStr">
        <is>
          <t>United Kingdom</t>
        </is>
      </c>
      <c r="D3799" s="114" t="inlineStr">
        <is>
          <t>22197</t>
        </is>
      </c>
      <c r="E3799" s="114" t="inlineStr">
        <is>
          <t>POPCORN HOLDER</t>
        </is>
      </c>
      <c r="F3799" s="114" t="n">
        <v>12</v>
      </c>
      <c r="G3799" s="115" t="n">
        <v>0.85</v>
      </c>
      <c r="H3799" s="115" t="n">
        <v>10.2</v>
      </c>
      <c r="I3799" s="116" t="n">
        <v>40840</v>
      </c>
    </row>
    <row r="3800">
      <c r="A3800" s="117" t="inlineStr">
        <is>
          <t>572513</t>
        </is>
      </c>
      <c r="B3800" s="117" t="n">
        <v>16728</v>
      </c>
      <c r="C3800" s="117" t="inlineStr">
        <is>
          <t>United Kingdom</t>
        </is>
      </c>
      <c r="D3800" s="117" t="inlineStr">
        <is>
          <t>23117</t>
        </is>
      </c>
      <c r="E3800" s="117" t="inlineStr">
        <is>
          <t>POPPY FIELDS CHOPPING BOARD</t>
        </is>
      </c>
      <c r="F3800" s="117" t="n">
        <v>1</v>
      </c>
      <c r="G3800" s="118" t="n">
        <v>4.95</v>
      </c>
      <c r="H3800" s="118" t="n">
        <v>4.95</v>
      </c>
      <c r="I3800" s="119" t="n">
        <v>40840</v>
      </c>
    </row>
    <row r="3801">
      <c r="A3801" s="114" t="inlineStr">
        <is>
          <t>572517</t>
        </is>
      </c>
      <c r="B3801" s="114" t="n">
        <v>15068</v>
      </c>
      <c r="C3801" s="114" t="inlineStr">
        <is>
          <t>United Kingdom</t>
        </is>
      </c>
      <c r="D3801" s="114" t="inlineStr">
        <is>
          <t>22667</t>
        </is>
      </c>
      <c r="E3801" s="114" t="inlineStr">
        <is>
          <t xml:space="preserve">RECIPE BOX RETROSPOT </t>
        </is>
      </c>
      <c r="F3801" s="114" t="n">
        <v>1</v>
      </c>
      <c r="G3801" s="115" t="n">
        <v>2.95</v>
      </c>
      <c r="H3801" s="115" t="n">
        <v>2.95</v>
      </c>
      <c r="I3801" s="116" t="n">
        <v>40840</v>
      </c>
    </row>
    <row r="3802">
      <c r="A3802" s="117" t="inlineStr">
        <is>
          <t>572519</t>
        </is>
      </c>
      <c r="B3802" s="117" t="n">
        <v>15046</v>
      </c>
      <c r="C3802" s="117" t="inlineStr">
        <is>
          <t>United Kingdom</t>
        </is>
      </c>
      <c r="D3802" s="117" t="inlineStr">
        <is>
          <t>23453</t>
        </is>
      </c>
      <c r="E3802" s="117" t="inlineStr">
        <is>
          <t>OVAL  MINI PORTRAIT FRAME</t>
        </is>
      </c>
      <c r="F3802" s="117" t="n">
        <v>12</v>
      </c>
      <c r="G3802" s="118" t="n">
        <v>1.95</v>
      </c>
      <c r="H3802" s="118" t="n">
        <v>23.4</v>
      </c>
      <c r="I3802" s="119" t="n">
        <v>40840</v>
      </c>
    </row>
    <row r="3803">
      <c r="A3803" s="114" t="inlineStr">
        <is>
          <t>572520</t>
        </is>
      </c>
      <c r="B3803" s="114" t="n">
        <v>13165</v>
      </c>
      <c r="C3803" s="114" t="inlineStr">
        <is>
          <t>United Kingdom</t>
        </is>
      </c>
      <c r="D3803" s="114" t="inlineStr">
        <is>
          <t>21619</t>
        </is>
      </c>
      <c r="E3803" s="114" t="inlineStr">
        <is>
          <t>4 VANILLA BOTANICAL CANDLES</t>
        </is>
      </c>
      <c r="F3803" s="114" t="n">
        <v>12</v>
      </c>
      <c r="G3803" s="115" t="n">
        <v>1.25</v>
      </c>
      <c r="H3803" s="115" t="n">
        <v>15</v>
      </c>
      <c r="I3803" s="116" t="n">
        <v>40840</v>
      </c>
    </row>
    <row r="3804">
      <c r="A3804" s="117" t="inlineStr">
        <is>
          <t>572541</t>
        </is>
      </c>
      <c r="B3804" s="117" t="n">
        <v>17315</v>
      </c>
      <c r="C3804" s="117" t="inlineStr">
        <is>
          <t>United Kingdom</t>
        </is>
      </c>
      <c r="D3804" s="117" t="inlineStr">
        <is>
          <t>22386</t>
        </is>
      </c>
      <c r="E3804" s="117" t="inlineStr">
        <is>
          <t>JUMBO BAG PINK POLKADOT</t>
        </is>
      </c>
      <c r="F3804" s="117" t="n">
        <v>3</v>
      </c>
      <c r="G3804" s="118" t="n">
        <v>2.08</v>
      </c>
      <c r="H3804" s="118" t="n">
        <v>6.24</v>
      </c>
      <c r="I3804" s="119" t="n">
        <v>40840</v>
      </c>
    </row>
    <row r="3805">
      <c r="A3805" s="114" t="inlineStr">
        <is>
          <t>572544</t>
        </is>
      </c>
      <c r="B3805" s="114" t="n">
        <v>16023</v>
      </c>
      <c r="C3805" s="114" t="inlineStr">
        <is>
          <t>United Kingdom</t>
        </is>
      </c>
      <c r="D3805" s="114" t="inlineStr">
        <is>
          <t>22694</t>
        </is>
      </c>
      <c r="E3805" s="114" t="inlineStr">
        <is>
          <t xml:space="preserve">WICKER STAR </t>
        </is>
      </c>
      <c r="F3805" s="114" t="n">
        <v>4</v>
      </c>
      <c r="G3805" s="115" t="n">
        <v>2.1</v>
      </c>
      <c r="H3805" s="115" t="n">
        <v>8.4</v>
      </c>
      <c r="I3805" s="116" t="n">
        <v>40840</v>
      </c>
    </row>
    <row r="3806">
      <c r="A3806" s="117" t="inlineStr">
        <is>
          <t>572552</t>
        </is>
      </c>
      <c r="B3806" s="117" t="n">
        <v>14096</v>
      </c>
      <c r="C3806" s="117" t="inlineStr">
        <is>
          <t>United Kingdom</t>
        </is>
      </c>
      <c r="D3806" s="117" t="inlineStr">
        <is>
          <t>23275</t>
        </is>
      </c>
      <c r="E3806" s="117" t="inlineStr">
        <is>
          <t>SET OF 3 HANGING OWLS OLLIE BEAK</t>
        </is>
      </c>
      <c r="F3806" s="117" t="n">
        <v>1</v>
      </c>
      <c r="G3806" s="118" t="n">
        <v>2.46</v>
      </c>
      <c r="H3806" s="118" t="n">
        <v>2.46</v>
      </c>
      <c r="I3806" s="119" t="n">
        <v>40840</v>
      </c>
    </row>
    <row r="3807">
      <c r="A3807" s="114" t="inlineStr">
        <is>
          <t>572552</t>
        </is>
      </c>
      <c r="B3807" s="114" t="n">
        <v>14096</v>
      </c>
      <c r="C3807" s="114" t="inlineStr">
        <is>
          <t>United Kingdom</t>
        </is>
      </c>
      <c r="D3807" s="114" t="inlineStr">
        <is>
          <t>22116</t>
        </is>
      </c>
      <c r="E3807" s="114" t="inlineStr">
        <is>
          <t>METAL SIGN HIS DINNER IS SERVED</t>
        </is>
      </c>
      <c r="F3807" s="114" t="n">
        <v>1</v>
      </c>
      <c r="G3807" s="115" t="n">
        <v>1.63</v>
      </c>
      <c r="H3807" s="115" t="n">
        <v>1.63</v>
      </c>
      <c r="I3807" s="116" t="n">
        <v>40840</v>
      </c>
    </row>
    <row r="3808">
      <c r="A3808" s="117" t="inlineStr">
        <is>
          <t>572552</t>
        </is>
      </c>
      <c r="B3808" s="117" t="n">
        <v>14096</v>
      </c>
      <c r="C3808" s="117" t="inlineStr">
        <is>
          <t>United Kingdom</t>
        </is>
      </c>
      <c r="D3808" s="117" t="inlineStr">
        <is>
          <t>21770</t>
        </is>
      </c>
      <c r="E3808" s="117" t="inlineStr">
        <is>
          <t>OPEN CLOSED METAL SIGN</t>
        </is>
      </c>
      <c r="F3808" s="117" t="n">
        <v>1</v>
      </c>
      <c r="G3808" s="118" t="n">
        <v>9.960000000000001</v>
      </c>
      <c r="H3808" s="118" t="n">
        <v>9.960000000000001</v>
      </c>
      <c r="I3808" s="119" t="n">
        <v>40840</v>
      </c>
    </row>
    <row r="3809">
      <c r="A3809" s="114" t="inlineStr">
        <is>
          <t>572552</t>
        </is>
      </c>
      <c r="B3809" s="114" t="n">
        <v>14096</v>
      </c>
      <c r="C3809" s="114" t="inlineStr">
        <is>
          <t>United Kingdom</t>
        </is>
      </c>
      <c r="D3809" s="114" t="inlineStr">
        <is>
          <t>23183</t>
        </is>
      </c>
      <c r="E3809" s="114" t="inlineStr">
        <is>
          <t xml:space="preserve">MOTHER'S KITCHEN SPOON REST </t>
        </is>
      </c>
      <c r="F3809" s="114" t="n">
        <v>1</v>
      </c>
      <c r="G3809" s="115" t="n">
        <v>7.46</v>
      </c>
      <c r="H3809" s="115" t="n">
        <v>7.46</v>
      </c>
      <c r="I3809" s="116" t="n">
        <v>40840</v>
      </c>
    </row>
    <row r="3810">
      <c r="A3810" s="117" t="inlineStr">
        <is>
          <t>572566</t>
        </is>
      </c>
      <c r="B3810" s="117" t="n">
        <v>13050</v>
      </c>
      <c r="C3810" s="117" t="inlineStr">
        <is>
          <t>United Kingdom</t>
        </is>
      </c>
      <c r="D3810" s="117" t="inlineStr">
        <is>
          <t>22161</t>
        </is>
      </c>
      <c r="E3810" s="117" t="inlineStr">
        <is>
          <t xml:space="preserve">HEART DECORATION RUSTIC HANGING </t>
        </is>
      </c>
      <c r="F3810" s="117" t="n">
        <v>24</v>
      </c>
      <c r="G3810" s="118" t="n">
        <v>0.19</v>
      </c>
      <c r="H3810" s="118" t="n">
        <v>4.56</v>
      </c>
      <c r="I3810" s="119" t="n">
        <v>40841</v>
      </c>
    </row>
    <row r="3811">
      <c r="A3811" s="114" t="inlineStr">
        <is>
          <t>572569</t>
        </is>
      </c>
      <c r="B3811" s="114" t="n">
        <v>17870</v>
      </c>
      <c r="C3811" s="114" t="inlineStr">
        <is>
          <t>United Kingdom</t>
        </is>
      </c>
      <c r="D3811" s="114" t="inlineStr">
        <is>
          <t>79157B</t>
        </is>
      </c>
      <c r="E3811" s="114" t="inlineStr">
        <is>
          <t>UBO-LIGHT TRIOBASE BLUE</t>
        </is>
      </c>
      <c r="F3811" s="114" t="n">
        <v>3</v>
      </c>
      <c r="G3811" s="115" t="n">
        <v>0.85</v>
      </c>
      <c r="H3811" s="115" t="n">
        <v>2.55</v>
      </c>
      <c r="I3811" s="116" t="n">
        <v>40841</v>
      </c>
    </row>
    <row r="3812">
      <c r="A3812" s="117" t="inlineStr">
        <is>
          <t>572612</t>
        </is>
      </c>
      <c r="B3812" s="117" t="n">
        <v>16186</v>
      </c>
      <c r="C3812" s="117" t="inlineStr">
        <is>
          <t>United Kingdom</t>
        </is>
      </c>
      <c r="D3812" s="117" t="inlineStr">
        <is>
          <t>23196</t>
        </is>
      </c>
      <c r="E3812" s="117" t="inlineStr">
        <is>
          <t>VINTAGE LEAF MAGNETIC NOTEPAD</t>
        </is>
      </c>
      <c r="F3812" s="117" t="n">
        <v>12</v>
      </c>
      <c r="G3812" s="118" t="n">
        <v>1.45</v>
      </c>
      <c r="H3812" s="118" t="n">
        <v>17.4</v>
      </c>
      <c r="I3812" s="119" t="n">
        <v>40841</v>
      </c>
    </row>
    <row r="3813">
      <c r="A3813" s="114" t="inlineStr">
        <is>
          <t>572617</t>
        </is>
      </c>
      <c r="B3813" s="114" t="n">
        <v>18272</v>
      </c>
      <c r="C3813" s="114" t="inlineStr">
        <is>
          <t>United Kingdom</t>
        </is>
      </c>
      <c r="D3813" s="114" t="inlineStr">
        <is>
          <t>22666</t>
        </is>
      </c>
      <c r="E3813" s="114" t="inlineStr">
        <is>
          <t>RECIPE BOX PANTRY YELLOW DESIGN</t>
        </is>
      </c>
      <c r="F3813" s="114" t="n">
        <v>6</v>
      </c>
      <c r="G3813" s="115" t="n">
        <v>2.95</v>
      </c>
      <c r="H3813" s="115" t="n">
        <v>17.7</v>
      </c>
      <c r="I3813" s="116" t="n">
        <v>40841</v>
      </c>
    </row>
    <row r="3814">
      <c r="A3814" s="117" t="inlineStr">
        <is>
          <t>572650</t>
        </is>
      </c>
      <c r="B3814" s="117" t="n">
        <v>15506</v>
      </c>
      <c r="C3814" s="117" t="inlineStr">
        <is>
          <t>United Kingdom</t>
        </is>
      </c>
      <c r="D3814" s="117" t="inlineStr">
        <is>
          <t>22384</t>
        </is>
      </c>
      <c r="E3814" s="117" t="inlineStr">
        <is>
          <t>LUNCH BAG PINK POLKADOT</t>
        </is>
      </c>
      <c r="F3814" s="117" t="n">
        <v>2</v>
      </c>
      <c r="G3814" s="118" t="n">
        <v>1.65</v>
      </c>
      <c r="H3814" s="118" t="n">
        <v>3.3</v>
      </c>
      <c r="I3814" s="119" t="n">
        <v>40841</v>
      </c>
    </row>
    <row r="3815">
      <c r="A3815" s="114" t="inlineStr">
        <is>
          <t>572652</t>
        </is>
      </c>
      <c r="B3815" s="114" t="n">
        <v>15805</v>
      </c>
      <c r="C3815" s="114" t="inlineStr">
        <is>
          <t>United Kingdom</t>
        </is>
      </c>
      <c r="D3815" s="114" t="inlineStr">
        <is>
          <t>23356</t>
        </is>
      </c>
      <c r="E3815" s="114" t="inlineStr">
        <is>
          <t>LOVE HOT WATER BOTTLE</t>
        </is>
      </c>
      <c r="F3815" s="114" t="n">
        <v>3</v>
      </c>
      <c r="G3815" s="115" t="n">
        <v>5.95</v>
      </c>
      <c r="H3815" s="115" t="n">
        <v>17.85</v>
      </c>
      <c r="I3815" s="116" t="n">
        <v>40841</v>
      </c>
    </row>
    <row r="3816">
      <c r="A3816" s="117" t="inlineStr">
        <is>
          <t>572658</t>
        </is>
      </c>
      <c r="B3816" s="117" t="n">
        <v>17690</v>
      </c>
      <c r="C3816" s="117" t="inlineStr">
        <is>
          <t>United Kingdom</t>
        </is>
      </c>
      <c r="D3816" s="117" t="inlineStr">
        <is>
          <t>23245</t>
        </is>
      </c>
      <c r="E3816" s="117" t="inlineStr">
        <is>
          <t>SET OF 3 REGENCY CAKE TINS</t>
        </is>
      </c>
      <c r="F3816" s="117" t="n">
        <v>4</v>
      </c>
      <c r="G3816" s="118" t="n">
        <v>4.95</v>
      </c>
      <c r="H3816" s="118" t="n">
        <v>19.8</v>
      </c>
      <c r="I3816" s="119" t="n">
        <v>40841</v>
      </c>
    </row>
    <row r="3817">
      <c r="A3817" s="114" t="inlineStr">
        <is>
          <t>572667</t>
        </is>
      </c>
      <c r="B3817" s="114" t="n">
        <v>15963</v>
      </c>
      <c r="C3817" s="114" t="inlineStr">
        <is>
          <t>United Kingdom</t>
        </is>
      </c>
      <c r="D3817" s="114" t="inlineStr">
        <is>
          <t>21108</t>
        </is>
      </c>
      <c r="E3817" s="114" t="inlineStr">
        <is>
          <t>FAIRY CAKE FLANNEL ASSORTED COLOUR</t>
        </is>
      </c>
      <c r="F3817" s="114" t="n">
        <v>18</v>
      </c>
      <c r="G3817" s="115" t="n">
        <v>0.79</v>
      </c>
      <c r="H3817" s="115" t="n">
        <v>14.22</v>
      </c>
      <c r="I3817" s="116" t="n">
        <v>40841</v>
      </c>
    </row>
    <row r="3818">
      <c r="A3818" s="117" t="inlineStr">
        <is>
          <t>572667</t>
        </is>
      </c>
      <c r="B3818" s="117" t="n">
        <v>15963</v>
      </c>
      <c r="C3818" s="117" t="inlineStr">
        <is>
          <t>United Kingdom</t>
        </is>
      </c>
      <c r="D3818" s="117" t="inlineStr">
        <is>
          <t>22595</t>
        </is>
      </c>
      <c r="E3818" s="117" t="inlineStr">
        <is>
          <t>GINGHAM HEART DECORATION</t>
        </is>
      </c>
      <c r="F3818" s="117" t="n">
        <v>12</v>
      </c>
      <c r="G3818" s="118" t="n">
        <v>0.85</v>
      </c>
      <c r="H3818" s="118" t="n">
        <v>10.2</v>
      </c>
      <c r="I3818" s="119" t="n">
        <v>40841</v>
      </c>
    </row>
    <row r="3819">
      <c r="A3819" s="114" t="inlineStr">
        <is>
          <t>572668</t>
        </is>
      </c>
      <c r="B3819" s="114" t="n">
        <v>18045</v>
      </c>
      <c r="C3819" s="114" t="inlineStr">
        <is>
          <t>United Kingdom</t>
        </is>
      </c>
      <c r="D3819" s="114" t="inlineStr">
        <is>
          <t>22114</t>
        </is>
      </c>
      <c r="E3819" s="114" t="inlineStr">
        <is>
          <t>HOT WATER BOTTLE TEA AND SYMPATHY</t>
        </is>
      </c>
      <c r="F3819" s="114" t="n">
        <v>1</v>
      </c>
      <c r="G3819" s="115" t="n">
        <v>4.25</v>
      </c>
      <c r="H3819" s="115" t="n">
        <v>4.25</v>
      </c>
      <c r="I3819" s="116" t="n">
        <v>40841</v>
      </c>
    </row>
    <row r="3820">
      <c r="A3820" s="117" t="inlineStr">
        <is>
          <t>572668</t>
        </is>
      </c>
      <c r="B3820" s="117" t="n">
        <v>18045</v>
      </c>
      <c r="C3820" s="117" t="inlineStr">
        <is>
          <t>United Kingdom</t>
        </is>
      </c>
      <c r="D3820" s="117" t="inlineStr">
        <is>
          <t>23128</t>
        </is>
      </c>
      <c r="E3820" s="117" t="inlineStr">
        <is>
          <t>FELTCRAFT BOY JEAN-PAUL KIT</t>
        </is>
      </c>
      <c r="F3820" s="117" t="n">
        <v>1</v>
      </c>
      <c r="G3820" s="118" t="n">
        <v>4.95</v>
      </c>
      <c r="H3820" s="118" t="n">
        <v>4.95</v>
      </c>
      <c r="I3820" s="119" t="n">
        <v>40841</v>
      </c>
    </row>
    <row r="3821">
      <c r="A3821" s="114" t="inlineStr">
        <is>
          <t>572669</t>
        </is>
      </c>
      <c r="B3821" s="114" t="n">
        <v>16549</v>
      </c>
      <c r="C3821" s="114" t="inlineStr">
        <is>
          <t>United Kingdom</t>
        </is>
      </c>
      <c r="D3821" s="114" t="inlineStr">
        <is>
          <t>21163</t>
        </is>
      </c>
      <c r="E3821" s="114" t="inlineStr">
        <is>
          <t xml:space="preserve">DO NOT TOUCH MY STUFF DOOR HANGER </t>
        </is>
      </c>
      <c r="F3821" s="114" t="n">
        <v>1</v>
      </c>
      <c r="G3821" s="115" t="n">
        <v>0.39</v>
      </c>
      <c r="H3821" s="115" t="n">
        <v>0.39</v>
      </c>
      <c r="I3821" s="116" t="n">
        <v>40841</v>
      </c>
    </row>
    <row r="3822">
      <c r="A3822" s="117" t="inlineStr">
        <is>
          <t>572669</t>
        </is>
      </c>
      <c r="B3822" s="117" t="n">
        <v>16549</v>
      </c>
      <c r="C3822" s="117" t="inlineStr">
        <is>
          <t>United Kingdom</t>
        </is>
      </c>
      <c r="D3822" s="117" t="inlineStr">
        <is>
          <t>23212</t>
        </is>
      </c>
      <c r="E3822" s="117" t="inlineStr">
        <is>
          <t>HEART WREATH DECORATION WITH BELL</t>
        </is>
      </c>
      <c r="F3822" s="117" t="n">
        <v>1</v>
      </c>
      <c r="G3822" s="118" t="n">
        <v>1.25</v>
      </c>
      <c r="H3822" s="118" t="n">
        <v>1.25</v>
      </c>
      <c r="I3822" s="119" t="n">
        <v>40841</v>
      </c>
    </row>
    <row r="3823">
      <c r="A3823" s="114" t="inlineStr">
        <is>
          <t>572675</t>
        </is>
      </c>
      <c r="B3823" s="114" t="n">
        <v>17917</v>
      </c>
      <c r="C3823" s="114" t="inlineStr">
        <is>
          <t>United Kingdom</t>
        </is>
      </c>
      <c r="D3823" s="114" t="inlineStr">
        <is>
          <t>22491</t>
        </is>
      </c>
      <c r="E3823" s="114" t="inlineStr">
        <is>
          <t>PACK OF 12 COLOURED PENCILS</t>
        </is>
      </c>
      <c r="F3823" s="114" t="n">
        <v>2</v>
      </c>
      <c r="G3823" s="115" t="n">
        <v>0.85</v>
      </c>
      <c r="H3823" s="115" t="n">
        <v>1.7</v>
      </c>
      <c r="I3823" s="116" t="n">
        <v>40841</v>
      </c>
    </row>
    <row r="3824">
      <c r="A3824" s="117" t="inlineStr">
        <is>
          <t>572676</t>
        </is>
      </c>
      <c r="B3824" s="117" t="n">
        <v>16258</v>
      </c>
      <c r="C3824" s="117" t="inlineStr">
        <is>
          <t>United Kingdom</t>
        </is>
      </c>
      <c r="D3824" s="117" t="inlineStr">
        <is>
          <t>22730</t>
        </is>
      </c>
      <c r="E3824" s="117" t="inlineStr">
        <is>
          <t>ALARM CLOCK BAKELIKE IVORY</t>
        </is>
      </c>
      <c r="F3824" s="117" t="n">
        <v>8</v>
      </c>
      <c r="G3824" s="118" t="n">
        <v>3.75</v>
      </c>
      <c r="H3824" s="118" t="n">
        <v>30</v>
      </c>
      <c r="I3824" s="119" t="n">
        <v>40841</v>
      </c>
    </row>
    <row r="3825">
      <c r="A3825" s="114" t="inlineStr">
        <is>
          <t>572681</t>
        </is>
      </c>
      <c r="B3825" s="114" t="n">
        <v>13510</v>
      </c>
      <c r="C3825" s="114" t="inlineStr">
        <is>
          <t>United Kingdom</t>
        </is>
      </c>
      <c r="D3825" s="114" t="inlineStr">
        <is>
          <t>22554</t>
        </is>
      </c>
      <c r="E3825" s="114" t="inlineStr">
        <is>
          <t>PLASTERS IN TIN WOODLAND ANIMALS</t>
        </is>
      </c>
      <c r="F3825" s="114" t="n">
        <v>12</v>
      </c>
      <c r="G3825" s="115" t="n">
        <v>1.65</v>
      </c>
      <c r="H3825" s="115" t="n">
        <v>19.8</v>
      </c>
      <c r="I3825" s="116" t="n">
        <v>40841</v>
      </c>
    </row>
    <row r="3826">
      <c r="A3826" s="117" t="inlineStr">
        <is>
          <t>572703</t>
        </is>
      </c>
      <c r="B3826" s="117" t="n">
        <v>16110</v>
      </c>
      <c r="C3826" s="117" t="inlineStr">
        <is>
          <t>United Kingdom</t>
        </is>
      </c>
      <c r="D3826" s="117" t="inlineStr">
        <is>
          <t>23129</t>
        </is>
      </c>
      <c r="E3826" s="117" t="inlineStr">
        <is>
          <t>HEART SHAPED HOLLY WREATH</t>
        </is>
      </c>
      <c r="F3826" s="117" t="n">
        <v>1</v>
      </c>
      <c r="G3826" s="118" t="n">
        <v>4.15</v>
      </c>
      <c r="H3826" s="118" t="n">
        <v>4.15</v>
      </c>
      <c r="I3826" s="119" t="n">
        <v>40841</v>
      </c>
    </row>
    <row r="3827">
      <c r="A3827" s="114" t="inlineStr">
        <is>
          <t>572719</t>
        </is>
      </c>
      <c r="B3827" s="114" t="n">
        <v>13871</v>
      </c>
      <c r="C3827" s="114" t="inlineStr">
        <is>
          <t>United Kingdom</t>
        </is>
      </c>
      <c r="D3827" s="114" t="inlineStr">
        <is>
          <t>22077</t>
        </is>
      </c>
      <c r="E3827" s="114" t="inlineStr">
        <is>
          <t>6 RIBBONS RUSTIC CHARM</t>
        </is>
      </c>
      <c r="F3827" s="114" t="n">
        <v>12</v>
      </c>
      <c r="G3827" s="115" t="n">
        <v>1.95</v>
      </c>
      <c r="H3827" s="115" t="n">
        <v>23.4</v>
      </c>
      <c r="I3827" s="116" t="n">
        <v>40841</v>
      </c>
    </row>
    <row r="3828">
      <c r="A3828" s="117" t="inlineStr">
        <is>
          <t>572721</t>
        </is>
      </c>
      <c r="B3828" s="117" t="n">
        <v>16201</v>
      </c>
      <c r="C3828" s="117" t="inlineStr">
        <is>
          <t>United Kingdom</t>
        </is>
      </c>
      <c r="D3828" s="117" t="inlineStr">
        <is>
          <t>35953</t>
        </is>
      </c>
      <c r="E3828" s="117" t="inlineStr">
        <is>
          <t>FOLKART STAR CHRISTMAS DECORATIONS</t>
        </is>
      </c>
      <c r="F3828" s="117" t="n">
        <v>48</v>
      </c>
      <c r="G3828" s="118" t="n">
        <v>0.39</v>
      </c>
      <c r="H3828" s="118" t="n">
        <v>18.72</v>
      </c>
      <c r="I3828" s="119" t="n">
        <v>40841</v>
      </c>
    </row>
    <row r="3829">
      <c r="A3829" s="114" t="inlineStr">
        <is>
          <t>572721</t>
        </is>
      </c>
      <c r="B3829" s="114" t="n">
        <v>16201</v>
      </c>
      <c r="C3829" s="114" t="inlineStr">
        <is>
          <t>United Kingdom</t>
        </is>
      </c>
      <c r="D3829" s="114" t="inlineStr">
        <is>
          <t>23432</t>
        </is>
      </c>
      <c r="E3829" s="114" t="inlineStr">
        <is>
          <t>PRETTY HANGING QUILTED HEARTS</t>
        </is>
      </c>
      <c r="F3829" s="114" t="n">
        <v>12</v>
      </c>
      <c r="G3829" s="115" t="n">
        <v>0.83</v>
      </c>
      <c r="H3829" s="115" t="n">
        <v>9.960000000000001</v>
      </c>
      <c r="I3829" s="116" t="n">
        <v>40841</v>
      </c>
    </row>
    <row r="3830">
      <c r="A3830" s="117" t="inlineStr">
        <is>
          <t>572741</t>
        </is>
      </c>
      <c r="B3830" s="117" t="n">
        <v>14341</v>
      </c>
      <c r="C3830" s="117" t="inlineStr">
        <is>
          <t>United Kingdom</t>
        </is>
      </c>
      <c r="D3830" s="117" t="inlineStr">
        <is>
          <t>21790</t>
        </is>
      </c>
      <c r="E3830" s="117" t="inlineStr">
        <is>
          <t>VINTAGE SNAP CARDS</t>
        </is>
      </c>
      <c r="F3830" s="117" t="n">
        <v>12</v>
      </c>
      <c r="G3830" s="118" t="n">
        <v>0.85</v>
      </c>
      <c r="H3830" s="118" t="n">
        <v>10.2</v>
      </c>
      <c r="I3830" s="119" t="n">
        <v>40841</v>
      </c>
    </row>
    <row r="3831">
      <c r="A3831" s="114" t="inlineStr">
        <is>
          <t>572743</t>
        </is>
      </c>
      <c r="B3831" s="114" t="n">
        <v>14482</v>
      </c>
      <c r="C3831" s="114" t="inlineStr">
        <is>
          <t>United Kingdom</t>
        </is>
      </c>
      <c r="D3831" s="114" t="inlineStr">
        <is>
          <t>84536A</t>
        </is>
      </c>
      <c r="E3831" s="114" t="inlineStr">
        <is>
          <t>ENGLISH ROSE NOTEBOOK A7 SIZE</t>
        </is>
      </c>
      <c r="F3831" s="114" t="n">
        <v>1</v>
      </c>
      <c r="G3831" s="115" t="n">
        <v>0.42</v>
      </c>
      <c r="H3831" s="115" t="n">
        <v>0.42</v>
      </c>
      <c r="I3831" s="116" t="n">
        <v>40841</v>
      </c>
    </row>
    <row r="3832">
      <c r="A3832" s="117" t="inlineStr">
        <is>
          <t>572744</t>
        </is>
      </c>
      <c r="B3832" s="117" t="n">
        <v>14085</v>
      </c>
      <c r="C3832" s="117" t="inlineStr">
        <is>
          <t>United Kingdom</t>
        </is>
      </c>
      <c r="D3832" s="117" t="inlineStr">
        <is>
          <t>21034</t>
        </is>
      </c>
      <c r="E3832" s="117" t="inlineStr">
        <is>
          <t>REX CASH+CARRY JUMBO SHOPPER</t>
        </is>
      </c>
      <c r="F3832" s="117" t="n">
        <v>2</v>
      </c>
      <c r="G3832" s="118" t="n">
        <v>0.95</v>
      </c>
      <c r="H3832" s="118" t="n">
        <v>1.9</v>
      </c>
      <c r="I3832" s="119" t="n">
        <v>40841</v>
      </c>
    </row>
    <row r="3833">
      <c r="A3833" s="114" t="inlineStr">
        <is>
          <t>572755</t>
        </is>
      </c>
      <c r="B3833" s="114" t="n">
        <v>13601</v>
      </c>
      <c r="C3833" s="114" t="inlineStr">
        <is>
          <t>United Kingdom</t>
        </is>
      </c>
      <c r="D3833" s="114" t="inlineStr">
        <is>
          <t>23198</t>
        </is>
      </c>
      <c r="E3833" s="114" t="inlineStr">
        <is>
          <t>PANTRY MAGNETIC  SHOPPING LIST</t>
        </is>
      </c>
      <c r="F3833" s="114" t="n">
        <v>3</v>
      </c>
      <c r="G3833" s="115" t="n">
        <v>1.45</v>
      </c>
      <c r="H3833" s="115" t="n">
        <v>4.35</v>
      </c>
      <c r="I3833" s="116" t="n">
        <v>40841</v>
      </c>
    </row>
    <row r="3834">
      <c r="A3834" s="117" t="inlineStr">
        <is>
          <t>572763</t>
        </is>
      </c>
      <c r="B3834" s="117" t="n">
        <v>12812</v>
      </c>
      <c r="C3834" s="117" t="inlineStr">
        <is>
          <t>Japan</t>
        </is>
      </c>
      <c r="D3834" s="117" t="inlineStr">
        <is>
          <t>22895</t>
        </is>
      </c>
      <c r="E3834" s="117" t="inlineStr">
        <is>
          <t>SET OF 2 TEA TOWELS APPLE AND PEARS</t>
        </is>
      </c>
      <c r="F3834" s="117" t="n">
        <v>6</v>
      </c>
      <c r="G3834" s="118" t="n">
        <v>3.25</v>
      </c>
      <c r="H3834" s="118" t="n">
        <v>19.5</v>
      </c>
      <c r="I3834" s="119" t="n">
        <v>40842</v>
      </c>
    </row>
    <row r="3835">
      <c r="A3835" s="114" t="inlineStr">
        <is>
          <t>572775</t>
        </is>
      </c>
      <c r="B3835" s="114" t="n">
        <v>13126</v>
      </c>
      <c r="C3835" s="114" t="inlineStr">
        <is>
          <t>United Kingdom</t>
        </is>
      </c>
      <c r="D3835" s="114" t="inlineStr">
        <is>
          <t>46000S</t>
        </is>
      </c>
      <c r="E3835" s="114" t="inlineStr">
        <is>
          <t>POLYESTER FILLER PAD 40x40cm</t>
        </is>
      </c>
      <c r="F3835" s="114" t="n">
        <v>16</v>
      </c>
      <c r="G3835" s="115" t="n">
        <v>1.45</v>
      </c>
      <c r="H3835" s="115" t="n">
        <v>23.2</v>
      </c>
      <c r="I3835" s="116" t="n">
        <v>40842</v>
      </c>
    </row>
    <row r="3836">
      <c r="A3836" s="117" t="inlineStr">
        <is>
          <t>572836</t>
        </is>
      </c>
      <c r="B3836" s="117" t="n">
        <v>15568</v>
      </c>
      <c r="C3836" s="117" t="inlineStr">
        <is>
          <t>United Kingdom</t>
        </is>
      </c>
      <c r="D3836" s="117" t="inlineStr">
        <is>
          <t>22659</t>
        </is>
      </c>
      <c r="E3836" s="117" t="inlineStr">
        <is>
          <t>LUNCH BOX I LOVE LONDON</t>
        </is>
      </c>
      <c r="F3836" s="117" t="n">
        <v>1</v>
      </c>
      <c r="G3836" s="118" t="n">
        <v>1.95</v>
      </c>
      <c r="H3836" s="118" t="n">
        <v>1.95</v>
      </c>
      <c r="I3836" s="119" t="n">
        <v>40842</v>
      </c>
    </row>
    <row r="3837">
      <c r="A3837" s="114" t="inlineStr">
        <is>
          <t>572848</t>
        </is>
      </c>
      <c r="B3837" s="114" t="n">
        <v>16188</v>
      </c>
      <c r="C3837" s="114" t="inlineStr">
        <is>
          <t>United Kingdom</t>
        </is>
      </c>
      <c r="D3837" s="114" t="inlineStr">
        <is>
          <t>22596</t>
        </is>
      </c>
      <c r="E3837" s="114" t="inlineStr">
        <is>
          <t>CHRISTMAS STAR WISH LIST CHALKBOARD</t>
        </is>
      </c>
      <c r="F3837" s="114" t="n">
        <v>12</v>
      </c>
      <c r="G3837" s="115" t="n">
        <v>1.25</v>
      </c>
      <c r="H3837" s="115" t="n">
        <v>15</v>
      </c>
      <c r="I3837" s="116" t="n">
        <v>40842</v>
      </c>
    </row>
    <row r="3838">
      <c r="A3838" s="117" t="inlineStr">
        <is>
          <t>572853</t>
        </is>
      </c>
      <c r="B3838" s="117" t="n">
        <v>17712</v>
      </c>
      <c r="C3838" s="117" t="inlineStr">
        <is>
          <t>United Kingdom</t>
        </is>
      </c>
      <c r="D3838" s="117" t="inlineStr">
        <is>
          <t>22173</t>
        </is>
      </c>
      <c r="E3838" s="117" t="inlineStr">
        <is>
          <t>METAL 4 HOOK HANGER FRENCH CHATEAU</t>
        </is>
      </c>
      <c r="F3838" s="117" t="n">
        <v>8</v>
      </c>
      <c r="G3838" s="118" t="n">
        <v>3.29</v>
      </c>
      <c r="H3838" s="118" t="n">
        <v>26.32</v>
      </c>
      <c r="I3838" s="119" t="n">
        <v>40842</v>
      </c>
    </row>
    <row r="3839">
      <c r="A3839" s="114" t="inlineStr">
        <is>
          <t>572858</t>
        </is>
      </c>
      <c r="B3839" s="114" t="n">
        <v>13571</v>
      </c>
      <c r="C3839" s="114" t="inlineStr">
        <is>
          <t>United Kingdom</t>
        </is>
      </c>
      <c r="D3839" s="114" t="inlineStr">
        <is>
          <t>21175</t>
        </is>
      </c>
      <c r="E3839" s="114" t="inlineStr">
        <is>
          <t>GIN + TONIC DIET METAL SIGN</t>
        </is>
      </c>
      <c r="F3839" s="114" t="n">
        <v>2</v>
      </c>
      <c r="G3839" s="115" t="n">
        <v>2.55</v>
      </c>
      <c r="H3839" s="115" t="n">
        <v>5.1</v>
      </c>
      <c r="I3839" s="116" t="n">
        <v>40842</v>
      </c>
    </row>
    <row r="3840">
      <c r="A3840" s="117" t="inlineStr">
        <is>
          <t>572859</t>
        </is>
      </c>
      <c r="B3840" s="117" t="n">
        <v>16418</v>
      </c>
      <c r="C3840" s="117" t="inlineStr">
        <is>
          <t>United Kingdom</t>
        </is>
      </c>
      <c r="D3840" s="117" t="inlineStr">
        <is>
          <t>84946</t>
        </is>
      </c>
      <c r="E3840" s="117" t="inlineStr">
        <is>
          <t>ANTIQUE SILVER T-LIGHT GLASS</t>
        </is>
      </c>
      <c r="F3840" s="117" t="n">
        <v>6</v>
      </c>
      <c r="G3840" s="118" t="n">
        <v>1.25</v>
      </c>
      <c r="H3840" s="118" t="n">
        <v>7.5</v>
      </c>
      <c r="I3840" s="119" t="n">
        <v>40842</v>
      </c>
    </row>
    <row r="3841">
      <c r="A3841" s="114" t="inlineStr">
        <is>
          <t>572861</t>
        </is>
      </c>
      <c r="B3841" s="114" t="n">
        <v>14102</v>
      </c>
      <c r="C3841" s="114" t="inlineStr">
        <is>
          <t>United Kingdom</t>
        </is>
      </c>
      <c r="D3841" s="114" t="inlineStr">
        <is>
          <t>21670</t>
        </is>
      </c>
      <c r="E3841" s="114" t="inlineStr">
        <is>
          <t>BLUE SPOT CERAMIC DRAWER KNOB</t>
        </is>
      </c>
      <c r="F3841" s="114" t="n">
        <v>6</v>
      </c>
      <c r="G3841" s="115" t="n">
        <v>1.45</v>
      </c>
      <c r="H3841" s="115" t="n">
        <v>8.699999999999999</v>
      </c>
      <c r="I3841" s="116" t="n">
        <v>40842</v>
      </c>
    </row>
    <row r="3842">
      <c r="A3842" s="117" t="inlineStr">
        <is>
          <t>572865</t>
        </is>
      </c>
      <c r="B3842" s="117" t="n">
        <v>17841</v>
      </c>
      <c r="C3842" s="117" t="inlineStr">
        <is>
          <t>United Kingdom</t>
        </is>
      </c>
      <c r="D3842" s="117" t="inlineStr">
        <is>
          <t>23196</t>
        </is>
      </c>
      <c r="E3842" s="117" t="inlineStr">
        <is>
          <t>VINTAGE LEAF MAGNETIC NOTEPAD</t>
        </is>
      </c>
      <c r="F3842" s="117" t="n">
        <v>1</v>
      </c>
      <c r="G3842" s="118" t="n">
        <v>1.45</v>
      </c>
      <c r="H3842" s="118" t="n">
        <v>1.45</v>
      </c>
      <c r="I3842" s="119" t="n">
        <v>40842</v>
      </c>
    </row>
    <row r="3843">
      <c r="A3843" s="114" t="inlineStr">
        <is>
          <t>572867</t>
        </is>
      </c>
      <c r="B3843" s="114" t="n">
        <v>14598</v>
      </c>
      <c r="C3843" s="114" t="inlineStr">
        <is>
          <t>United Kingdom</t>
        </is>
      </c>
      <c r="D3843" s="114" t="inlineStr">
        <is>
          <t>21990</t>
        </is>
      </c>
      <c r="E3843" s="114" t="inlineStr">
        <is>
          <t>MODERN FLORAL STATIONERY SET</t>
        </is>
      </c>
      <c r="F3843" s="114" t="n">
        <v>3</v>
      </c>
      <c r="G3843" s="115" t="n">
        <v>1.25</v>
      </c>
      <c r="H3843" s="115" t="n">
        <v>3.75</v>
      </c>
      <c r="I3843" s="116" t="n">
        <v>40842</v>
      </c>
    </row>
    <row r="3844">
      <c r="A3844" s="117" t="inlineStr">
        <is>
          <t>572871</t>
        </is>
      </c>
      <c r="B3844" s="117" t="n">
        <v>13408</v>
      </c>
      <c r="C3844" s="117" t="inlineStr">
        <is>
          <t>United Kingdom</t>
        </is>
      </c>
      <c r="D3844" s="117" t="inlineStr">
        <is>
          <t>20982</t>
        </is>
      </c>
      <c r="E3844" s="117" t="inlineStr">
        <is>
          <t>12 PENCILS TALL TUBE SKULLS</t>
        </is>
      </c>
      <c r="F3844" s="117" t="n">
        <v>24</v>
      </c>
      <c r="G3844" s="118" t="n">
        <v>0.85</v>
      </c>
      <c r="H3844" s="118" t="n">
        <v>20.4</v>
      </c>
      <c r="I3844" s="119" t="n">
        <v>40842</v>
      </c>
    </row>
    <row r="3845">
      <c r="A3845" s="114" t="inlineStr">
        <is>
          <t>572874</t>
        </is>
      </c>
      <c r="B3845" s="114" t="n">
        <v>13408</v>
      </c>
      <c r="C3845" s="114" t="inlineStr">
        <is>
          <t>United Kingdom</t>
        </is>
      </c>
      <c r="D3845" s="114" t="inlineStr">
        <is>
          <t>22727</t>
        </is>
      </c>
      <c r="E3845" s="114" t="inlineStr">
        <is>
          <t xml:space="preserve">ALARM CLOCK BAKELIKE RED </t>
        </is>
      </c>
      <c r="F3845" s="114" t="n">
        <v>12</v>
      </c>
      <c r="G3845" s="115" t="n">
        <v>3.75</v>
      </c>
      <c r="H3845" s="115" t="n">
        <v>45</v>
      </c>
      <c r="I3845" s="116" t="n">
        <v>40842</v>
      </c>
    </row>
    <row r="3846">
      <c r="A3846" s="117" t="inlineStr">
        <is>
          <t>572880</t>
        </is>
      </c>
      <c r="B3846" s="117" t="n">
        <v>16415</v>
      </c>
      <c r="C3846" s="117" t="inlineStr">
        <is>
          <t>United Kingdom</t>
        </is>
      </c>
      <c r="D3846" s="117" t="inlineStr">
        <is>
          <t>22098</t>
        </is>
      </c>
      <c r="E3846" s="117" t="inlineStr">
        <is>
          <t>BOUDOIR SQUARE TISSUE BOX</t>
        </is>
      </c>
      <c r="F3846" s="117" t="n">
        <v>1</v>
      </c>
      <c r="G3846" s="118" t="n">
        <v>0.39</v>
      </c>
      <c r="H3846" s="118" t="n">
        <v>0.39</v>
      </c>
      <c r="I3846" s="119" t="n">
        <v>40842</v>
      </c>
    </row>
    <row r="3847">
      <c r="A3847" s="114" t="inlineStr">
        <is>
          <t>572885</t>
        </is>
      </c>
      <c r="B3847" s="114" t="n">
        <v>15311</v>
      </c>
      <c r="C3847" s="114" t="inlineStr">
        <is>
          <t>United Kingdom</t>
        </is>
      </c>
      <c r="D3847" s="114" t="inlineStr">
        <is>
          <t>84947</t>
        </is>
      </c>
      <c r="E3847" s="114" t="inlineStr">
        <is>
          <t>ANTIQUE SILVER TEA GLASS ENGRAVED</t>
        </is>
      </c>
      <c r="F3847" s="114" t="n">
        <v>2</v>
      </c>
      <c r="G3847" s="115" t="n">
        <v>1.25</v>
      </c>
      <c r="H3847" s="115" t="n">
        <v>2.5</v>
      </c>
      <c r="I3847" s="116" t="n">
        <v>40842</v>
      </c>
    </row>
    <row r="3848">
      <c r="A3848" s="117" t="inlineStr">
        <is>
          <t>572886</t>
        </is>
      </c>
      <c r="B3848" s="117" t="n">
        <v>12448</v>
      </c>
      <c r="C3848" s="117" t="inlineStr">
        <is>
          <t>Spain</t>
        </is>
      </c>
      <c r="D3848" s="117" t="inlineStr">
        <is>
          <t>22630</t>
        </is>
      </c>
      <c r="E3848" s="117" t="inlineStr">
        <is>
          <t>DOLLY GIRL LUNCH BOX</t>
        </is>
      </c>
      <c r="F3848" s="117" t="n">
        <v>12</v>
      </c>
      <c r="G3848" s="118" t="n">
        <v>1.95</v>
      </c>
      <c r="H3848" s="118" t="n">
        <v>23.4</v>
      </c>
      <c r="I3848" s="119" t="n">
        <v>40842</v>
      </c>
    </row>
    <row r="3849">
      <c r="A3849" s="114" t="inlineStr">
        <is>
          <t>572887</t>
        </is>
      </c>
      <c r="B3849" s="114" t="n">
        <v>12362</v>
      </c>
      <c r="C3849" s="114" t="inlineStr">
        <is>
          <t>Belgium</t>
        </is>
      </c>
      <c r="D3849" s="114" t="inlineStr">
        <is>
          <t>23382</t>
        </is>
      </c>
      <c r="E3849" s="114" t="inlineStr">
        <is>
          <t>BOX OF 6 CHRISTMAS CAKE DECORATIONS</t>
        </is>
      </c>
      <c r="F3849" s="114" t="n">
        <v>8</v>
      </c>
      <c r="G3849" s="115" t="n">
        <v>3.75</v>
      </c>
      <c r="H3849" s="115" t="n">
        <v>30</v>
      </c>
      <c r="I3849" s="116" t="n">
        <v>40842</v>
      </c>
    </row>
    <row r="3850">
      <c r="A3850" s="117" t="inlineStr">
        <is>
          <t>572889</t>
        </is>
      </c>
      <c r="B3850" s="117" t="n">
        <v>12748</v>
      </c>
      <c r="C3850" s="117" t="inlineStr">
        <is>
          <t>United Kingdom</t>
        </is>
      </c>
      <c r="D3850" s="117" t="inlineStr">
        <is>
          <t>23511</t>
        </is>
      </c>
      <c r="E3850" s="117" t="inlineStr">
        <is>
          <t xml:space="preserve">EMBROIDERED RIBBON REEL EMILY </t>
        </is>
      </c>
      <c r="F3850" s="117" t="n">
        <v>1</v>
      </c>
      <c r="G3850" s="118" t="n">
        <v>2.08</v>
      </c>
      <c r="H3850" s="118" t="n">
        <v>2.08</v>
      </c>
      <c r="I3850" s="119" t="n">
        <v>40842</v>
      </c>
    </row>
    <row r="3851">
      <c r="A3851" s="114" t="inlineStr">
        <is>
          <t>572895</t>
        </is>
      </c>
      <c r="B3851" s="114" t="n">
        <v>12569</v>
      </c>
      <c r="C3851" s="114" t="inlineStr">
        <is>
          <t>Germany</t>
        </is>
      </c>
      <c r="D3851" s="114" t="inlineStr">
        <is>
          <t>22223</t>
        </is>
      </c>
      <c r="E3851" s="114" t="inlineStr">
        <is>
          <t>CAKE PLATE LOVEBIRD PINK</t>
        </is>
      </c>
      <c r="F3851" s="114" t="n">
        <v>3</v>
      </c>
      <c r="G3851" s="115" t="n">
        <v>4.95</v>
      </c>
      <c r="H3851" s="115" t="n">
        <v>14.85</v>
      </c>
      <c r="I3851" s="116" t="n">
        <v>40842</v>
      </c>
    </row>
    <row r="3852">
      <c r="A3852" s="117" t="inlineStr">
        <is>
          <t>572903</t>
        </is>
      </c>
      <c r="B3852" s="117" t="n">
        <v>17974</v>
      </c>
      <c r="C3852" s="117" t="inlineStr">
        <is>
          <t>United Kingdom</t>
        </is>
      </c>
      <c r="D3852" s="117" t="inlineStr">
        <is>
          <t>84378</t>
        </is>
      </c>
      <c r="E3852" s="117" t="inlineStr">
        <is>
          <t>SET OF 3 HEART COOKIE CUTTERS</t>
        </is>
      </c>
      <c r="F3852" s="117" t="n">
        <v>1</v>
      </c>
      <c r="G3852" s="118" t="n">
        <v>1.45</v>
      </c>
      <c r="H3852" s="118" t="n">
        <v>1.45</v>
      </c>
      <c r="I3852" s="119" t="n">
        <v>40842</v>
      </c>
    </row>
    <row r="3853">
      <c r="A3853" s="114" t="inlineStr">
        <is>
          <t>572909</t>
        </is>
      </c>
      <c r="B3853" s="114" t="n">
        <v>15821</v>
      </c>
      <c r="C3853" s="114" t="inlineStr">
        <is>
          <t>United Kingdom</t>
        </is>
      </c>
      <c r="D3853" s="114" t="inlineStr">
        <is>
          <t>46000M</t>
        </is>
      </c>
      <c r="E3853" s="114" t="inlineStr">
        <is>
          <t>POLYESTER FILLER PAD 45x45cm</t>
        </is>
      </c>
      <c r="F3853" s="114" t="n">
        <v>2</v>
      </c>
      <c r="G3853" s="115" t="n">
        <v>1.55</v>
      </c>
      <c r="H3853" s="115" t="n">
        <v>3.1</v>
      </c>
      <c r="I3853" s="116" t="n">
        <v>40842</v>
      </c>
    </row>
    <row r="3854">
      <c r="A3854" s="117" t="inlineStr">
        <is>
          <t>572913</t>
        </is>
      </c>
      <c r="B3854" s="117" t="n">
        <v>15993</v>
      </c>
      <c r="C3854" s="117" t="inlineStr">
        <is>
          <t>United Kingdom</t>
        </is>
      </c>
      <c r="D3854" s="117" t="inlineStr">
        <is>
          <t>22371</t>
        </is>
      </c>
      <c r="E3854" s="117" t="inlineStr">
        <is>
          <t>AIRLINE BAG VINTAGE TOKYO 78</t>
        </is>
      </c>
      <c r="F3854" s="117" t="n">
        <v>4</v>
      </c>
      <c r="G3854" s="118" t="n">
        <v>4.25</v>
      </c>
      <c r="H3854" s="118" t="n">
        <v>17</v>
      </c>
      <c r="I3854" s="119" t="n">
        <v>40842</v>
      </c>
    </row>
    <row r="3855">
      <c r="A3855" s="114" t="inlineStr">
        <is>
          <t>572913</t>
        </is>
      </c>
      <c r="B3855" s="114" t="n">
        <v>15993</v>
      </c>
      <c r="C3855" s="114" t="inlineStr">
        <is>
          <t>United Kingdom</t>
        </is>
      </c>
      <c r="D3855" s="114" t="inlineStr">
        <is>
          <t>23122</t>
        </is>
      </c>
      <c r="E3855" s="114" t="inlineStr">
        <is>
          <t>PARTY CHARMS 50 PIECES</t>
        </is>
      </c>
      <c r="F3855" s="114" t="n">
        <v>4</v>
      </c>
      <c r="G3855" s="115" t="n">
        <v>0.83</v>
      </c>
      <c r="H3855" s="115" t="n">
        <v>3.32</v>
      </c>
      <c r="I3855" s="116" t="n">
        <v>40842</v>
      </c>
    </row>
    <row r="3856">
      <c r="A3856" s="117" t="inlineStr">
        <is>
          <t>572913</t>
        </is>
      </c>
      <c r="B3856" s="117" t="n">
        <v>15993</v>
      </c>
      <c r="C3856" s="117" t="inlineStr">
        <is>
          <t>United Kingdom</t>
        </is>
      </c>
      <c r="D3856" s="117" t="inlineStr">
        <is>
          <t>22733</t>
        </is>
      </c>
      <c r="E3856" s="117" t="inlineStr">
        <is>
          <t>3D TRADITIONAL CHRISTMAS STICKERS</t>
        </is>
      </c>
      <c r="F3856" s="117" t="n">
        <v>4</v>
      </c>
      <c r="G3856" s="118" t="n">
        <v>1.25</v>
      </c>
      <c r="H3856" s="118" t="n">
        <v>5</v>
      </c>
      <c r="I3856" s="119" t="n">
        <v>40842</v>
      </c>
    </row>
    <row r="3857">
      <c r="A3857" s="114" t="inlineStr">
        <is>
          <t>572913</t>
        </is>
      </c>
      <c r="B3857" s="114" t="n">
        <v>15993</v>
      </c>
      <c r="C3857" s="114" t="inlineStr">
        <is>
          <t>United Kingdom</t>
        </is>
      </c>
      <c r="D3857" s="114" t="inlineStr">
        <is>
          <t>84030E</t>
        </is>
      </c>
      <c r="E3857" s="114" t="inlineStr">
        <is>
          <t>ENGLISH ROSE HOT WATER BOTTLE</t>
        </is>
      </c>
      <c r="F3857" s="114" t="n">
        <v>2</v>
      </c>
      <c r="G3857" s="115" t="n">
        <v>4.25</v>
      </c>
      <c r="H3857" s="115" t="n">
        <v>8.5</v>
      </c>
      <c r="I3857" s="116" t="n">
        <v>40842</v>
      </c>
    </row>
    <row r="3858">
      <c r="A3858" s="117" t="inlineStr">
        <is>
          <t>572921</t>
        </is>
      </c>
      <c r="B3858" s="117" t="n">
        <v>15993</v>
      </c>
      <c r="C3858" s="117" t="inlineStr">
        <is>
          <t>United Kingdom</t>
        </is>
      </c>
      <c r="D3858" s="117" t="inlineStr">
        <is>
          <t>84946</t>
        </is>
      </c>
      <c r="E3858" s="117" t="inlineStr">
        <is>
          <t>ANTIQUE SILVER T-LIGHT GLASS</t>
        </is>
      </c>
      <c r="F3858" s="117" t="n">
        <v>6</v>
      </c>
      <c r="G3858" s="118" t="n">
        <v>1.25</v>
      </c>
      <c r="H3858" s="118" t="n">
        <v>7.5</v>
      </c>
      <c r="I3858" s="119" t="n">
        <v>40842</v>
      </c>
    </row>
    <row r="3859">
      <c r="A3859" s="114" t="inlineStr">
        <is>
          <t>572923</t>
        </is>
      </c>
      <c r="B3859" s="114" t="n">
        <v>15948</v>
      </c>
      <c r="C3859" s="114" t="inlineStr">
        <is>
          <t>United Kingdom</t>
        </is>
      </c>
      <c r="D3859" s="114" t="inlineStr">
        <is>
          <t>22652</t>
        </is>
      </c>
      <c r="E3859" s="114" t="inlineStr">
        <is>
          <t>TRAVEL SEWING KIT</t>
        </is>
      </c>
      <c r="F3859" s="114" t="n">
        <v>10</v>
      </c>
      <c r="G3859" s="115" t="n">
        <v>1.65</v>
      </c>
      <c r="H3859" s="115" t="n">
        <v>16.5</v>
      </c>
      <c r="I3859" s="116" t="n">
        <v>40843</v>
      </c>
    </row>
    <row r="3860">
      <c r="A3860" s="117" t="inlineStr">
        <is>
          <t>572960</t>
        </is>
      </c>
      <c r="B3860" s="117" t="n">
        <v>18154</v>
      </c>
      <c r="C3860" s="117" t="inlineStr">
        <is>
          <t>United Kingdom</t>
        </is>
      </c>
      <c r="D3860" s="117" t="inlineStr">
        <is>
          <t>22424</t>
        </is>
      </c>
      <c r="E3860" s="117" t="inlineStr">
        <is>
          <t>ENAMEL BREAD BIN CREAM</t>
        </is>
      </c>
      <c r="F3860" s="117" t="n">
        <v>1</v>
      </c>
      <c r="G3860" s="118" t="n">
        <v>12.75</v>
      </c>
      <c r="H3860" s="118" t="n">
        <v>12.75</v>
      </c>
      <c r="I3860" s="119" t="n">
        <v>40843</v>
      </c>
    </row>
    <row r="3861">
      <c r="A3861" s="114" t="inlineStr">
        <is>
          <t>572964</t>
        </is>
      </c>
      <c r="B3861" s="114" t="n">
        <v>12630</v>
      </c>
      <c r="C3861" s="114" t="inlineStr">
        <is>
          <t>Finland</t>
        </is>
      </c>
      <c r="D3861" s="114" t="inlineStr">
        <is>
          <t>72760B</t>
        </is>
      </c>
      <c r="E3861" s="114" t="inlineStr">
        <is>
          <t>VINTAGE CREAM 3 BASKET CAKE STAND</t>
        </is>
      </c>
      <c r="F3861" s="114" t="n">
        <v>2</v>
      </c>
      <c r="G3861" s="115" t="n">
        <v>9.949999999999999</v>
      </c>
      <c r="H3861" s="115" t="n">
        <v>19.9</v>
      </c>
      <c r="I3861" s="116" t="n">
        <v>40843</v>
      </c>
    </row>
    <row r="3862">
      <c r="A3862" s="117" t="inlineStr">
        <is>
          <t>572994</t>
        </is>
      </c>
      <c r="B3862" s="117" t="n">
        <v>17684</v>
      </c>
      <c r="C3862" s="117" t="inlineStr">
        <is>
          <t>United Kingdom</t>
        </is>
      </c>
      <c r="D3862" s="117" t="inlineStr">
        <is>
          <t>23321</t>
        </is>
      </c>
      <c r="E3862" s="117" t="inlineStr">
        <is>
          <t>SMALL WHITE HEART OF WICKER</t>
        </is>
      </c>
      <c r="F3862" s="117" t="n">
        <v>12</v>
      </c>
      <c r="G3862" s="118" t="n">
        <v>1.65</v>
      </c>
      <c r="H3862" s="118" t="n">
        <v>19.8</v>
      </c>
      <c r="I3862" s="119" t="n">
        <v>40843</v>
      </c>
    </row>
    <row r="3863">
      <c r="A3863" s="114" t="inlineStr">
        <is>
          <t>573007</t>
        </is>
      </c>
      <c r="B3863" s="114" t="n">
        <v>16009</v>
      </c>
      <c r="C3863" s="114" t="inlineStr">
        <is>
          <t>United Kingdom</t>
        </is>
      </c>
      <c r="D3863" s="114" t="inlineStr">
        <is>
          <t>23323</t>
        </is>
      </c>
      <c r="E3863" s="114" t="inlineStr">
        <is>
          <t xml:space="preserve">WHITE WICKER STAR </t>
        </is>
      </c>
      <c r="F3863" s="114" t="n">
        <v>12</v>
      </c>
      <c r="G3863" s="115" t="n">
        <v>2.1</v>
      </c>
      <c r="H3863" s="115" t="n">
        <v>25.2</v>
      </c>
      <c r="I3863" s="116" t="n">
        <v>40843</v>
      </c>
    </row>
    <row r="3864">
      <c r="A3864" s="117" t="inlineStr">
        <is>
          <t>573023</t>
        </is>
      </c>
      <c r="B3864" s="117" t="n">
        <v>13882</v>
      </c>
      <c r="C3864" s="117" t="inlineStr">
        <is>
          <t>United Kingdom</t>
        </is>
      </c>
      <c r="D3864" s="117" t="inlineStr">
        <is>
          <t>21810</t>
        </is>
      </c>
      <c r="E3864" s="117" t="inlineStr">
        <is>
          <t>CHRISTMAS HANGING STAR WITH BELL</t>
        </is>
      </c>
      <c r="F3864" s="117" t="n">
        <v>48</v>
      </c>
      <c r="G3864" s="118" t="n">
        <v>0.39</v>
      </c>
      <c r="H3864" s="118" t="n">
        <v>18.72</v>
      </c>
      <c r="I3864" s="119" t="n">
        <v>40843</v>
      </c>
    </row>
    <row r="3865">
      <c r="A3865" s="114" t="inlineStr">
        <is>
          <t>573026</t>
        </is>
      </c>
      <c r="B3865" s="114" t="n">
        <v>17459</v>
      </c>
      <c r="C3865" s="114" t="inlineStr">
        <is>
          <t>United Kingdom</t>
        </is>
      </c>
      <c r="D3865" s="114" t="inlineStr">
        <is>
          <t>23266</t>
        </is>
      </c>
      <c r="E3865" s="114" t="inlineStr">
        <is>
          <t>SET OF 3 WOODEN STOCKING DECORATION</t>
        </is>
      </c>
      <c r="F3865" s="114" t="n">
        <v>12</v>
      </c>
      <c r="G3865" s="115" t="n">
        <v>1.25</v>
      </c>
      <c r="H3865" s="115" t="n">
        <v>15</v>
      </c>
      <c r="I3865" s="116" t="n">
        <v>40843</v>
      </c>
    </row>
    <row r="3866">
      <c r="A3866" s="117" t="inlineStr">
        <is>
          <t>573026</t>
        </is>
      </c>
      <c r="B3866" s="117" t="n">
        <v>17459</v>
      </c>
      <c r="C3866" s="117" t="inlineStr">
        <is>
          <t>United Kingdom</t>
        </is>
      </c>
      <c r="D3866" s="117" t="inlineStr">
        <is>
          <t>22563</t>
        </is>
      </c>
      <c r="E3866" s="117" t="inlineStr">
        <is>
          <t>HAPPY STENCIL CRAFT</t>
        </is>
      </c>
      <c r="F3866" s="117" t="n">
        <v>2</v>
      </c>
      <c r="G3866" s="118" t="n">
        <v>1.25</v>
      </c>
      <c r="H3866" s="118" t="n">
        <v>2.5</v>
      </c>
      <c r="I3866" s="119" t="n">
        <v>40843</v>
      </c>
    </row>
    <row r="3867">
      <c r="A3867" s="114" t="inlineStr">
        <is>
          <t>573029</t>
        </is>
      </c>
      <c r="B3867" s="114" t="n">
        <v>14971</v>
      </c>
      <c r="C3867" s="114" t="inlineStr">
        <is>
          <t>United Kingdom</t>
        </is>
      </c>
      <c r="D3867" s="114" t="inlineStr">
        <is>
          <t>47590B</t>
        </is>
      </c>
      <c r="E3867" s="114" t="inlineStr">
        <is>
          <t>PINK HAPPY BIRTHDAY BUNTING</t>
        </is>
      </c>
      <c r="F3867" s="114" t="n">
        <v>1</v>
      </c>
      <c r="G3867" s="115" t="n">
        <v>5.45</v>
      </c>
      <c r="H3867" s="115" t="n">
        <v>5.45</v>
      </c>
      <c r="I3867" s="116" t="n">
        <v>40843</v>
      </c>
    </row>
    <row r="3868">
      <c r="A3868" s="117" t="inlineStr">
        <is>
          <t>573075</t>
        </is>
      </c>
      <c r="B3868" s="117" t="n">
        <v>17545</v>
      </c>
      <c r="C3868" s="117" t="inlineStr">
        <is>
          <t>United Kingdom</t>
        </is>
      </c>
      <c r="D3868" s="117" t="inlineStr">
        <is>
          <t>23120</t>
        </is>
      </c>
      <c r="E3868" s="117" t="inlineStr">
        <is>
          <t>PACK OF 6 SMALL FRUIT STRAWS</t>
        </is>
      </c>
      <c r="F3868" s="117" t="n">
        <v>1</v>
      </c>
      <c r="G3868" s="118" t="n">
        <v>0.42</v>
      </c>
      <c r="H3868" s="118" t="n">
        <v>0.42</v>
      </c>
      <c r="I3868" s="119" t="n">
        <v>40843</v>
      </c>
    </row>
    <row r="3869">
      <c r="A3869" s="114" t="inlineStr">
        <is>
          <t>573082</t>
        </is>
      </c>
      <c r="B3869" s="114" t="n">
        <v>17173</v>
      </c>
      <c r="C3869" s="114" t="inlineStr">
        <is>
          <t>United Kingdom</t>
        </is>
      </c>
      <c r="D3869" s="114" t="inlineStr">
        <is>
          <t>21218</t>
        </is>
      </c>
      <c r="E3869" s="114" t="inlineStr">
        <is>
          <t>RED SPOTTY BISCUIT TIN</t>
        </is>
      </c>
      <c r="F3869" s="114" t="n">
        <v>12</v>
      </c>
      <c r="G3869" s="115" t="n">
        <v>3.25</v>
      </c>
      <c r="H3869" s="115" t="n">
        <v>39</v>
      </c>
      <c r="I3869" s="116" t="n">
        <v>40843</v>
      </c>
    </row>
    <row r="3870">
      <c r="A3870" s="117" t="inlineStr">
        <is>
          <t>573096</t>
        </is>
      </c>
      <c r="B3870" s="117" t="n">
        <v>14004</v>
      </c>
      <c r="C3870" s="117" t="inlineStr">
        <is>
          <t>United Kingdom</t>
        </is>
      </c>
      <c r="D3870" s="117" t="inlineStr">
        <is>
          <t>21670</t>
        </is>
      </c>
      <c r="E3870" s="117" t="inlineStr">
        <is>
          <t>BLUE SPOT CERAMIC DRAWER KNOB</t>
        </is>
      </c>
      <c r="F3870" s="117" t="n">
        <v>12</v>
      </c>
      <c r="G3870" s="118" t="n">
        <v>1.45</v>
      </c>
      <c r="H3870" s="118" t="n">
        <v>17.4</v>
      </c>
      <c r="I3870" s="119" t="n">
        <v>40843</v>
      </c>
    </row>
    <row r="3871">
      <c r="A3871" s="114" t="inlineStr">
        <is>
          <t>573096</t>
        </is>
      </c>
      <c r="B3871" s="114" t="n">
        <v>14004</v>
      </c>
      <c r="C3871" s="114" t="inlineStr">
        <is>
          <t>United Kingdom</t>
        </is>
      </c>
      <c r="D3871" s="114" t="inlineStr">
        <is>
          <t>23328</t>
        </is>
      </c>
      <c r="E3871" s="114" t="inlineStr">
        <is>
          <t>SET 6 SCHOOL MILK BOTTLES IN CRATE</t>
        </is>
      </c>
      <c r="F3871" s="114" t="n">
        <v>12</v>
      </c>
      <c r="G3871" s="115" t="n">
        <v>3.75</v>
      </c>
      <c r="H3871" s="115" t="n">
        <v>45</v>
      </c>
      <c r="I3871" s="116" t="n">
        <v>40843</v>
      </c>
    </row>
    <row r="3872">
      <c r="A3872" s="117" t="inlineStr">
        <is>
          <t>573102</t>
        </is>
      </c>
      <c r="B3872" s="117" t="n">
        <v>13266</v>
      </c>
      <c r="C3872" s="117" t="inlineStr">
        <is>
          <t>United Kingdom</t>
        </is>
      </c>
      <c r="D3872" s="117" t="inlineStr">
        <is>
          <t>90019A</t>
        </is>
      </c>
      <c r="E3872" s="117" t="inlineStr">
        <is>
          <t>SILVER M.O.P ORBIT BRACELET</t>
        </is>
      </c>
      <c r="F3872" s="117" t="n">
        <v>4</v>
      </c>
      <c r="G3872" s="118" t="n">
        <v>4.95</v>
      </c>
      <c r="H3872" s="118" t="n">
        <v>19.8</v>
      </c>
      <c r="I3872" s="119" t="n">
        <v>40843</v>
      </c>
    </row>
    <row r="3873">
      <c r="A3873" s="114" t="inlineStr">
        <is>
          <t>573110</t>
        </is>
      </c>
      <c r="B3873" s="114" t="n">
        <v>17677</v>
      </c>
      <c r="C3873" s="114" t="inlineStr">
        <is>
          <t>United Kingdom</t>
        </is>
      </c>
      <c r="D3873" s="114" t="inlineStr">
        <is>
          <t>23583</t>
        </is>
      </c>
      <c r="E3873" s="114" t="inlineStr">
        <is>
          <t xml:space="preserve">LUNCH BAG PAISLEY PARK  </t>
        </is>
      </c>
      <c r="F3873" s="114" t="n">
        <v>10</v>
      </c>
      <c r="G3873" s="115" t="n">
        <v>1.65</v>
      </c>
      <c r="H3873" s="115" t="n">
        <v>16.5</v>
      </c>
      <c r="I3873" s="116" t="n">
        <v>40843</v>
      </c>
    </row>
    <row r="3874">
      <c r="A3874" s="117" t="inlineStr">
        <is>
          <t>573123</t>
        </is>
      </c>
      <c r="B3874" s="117" t="n">
        <v>13654</v>
      </c>
      <c r="C3874" s="117" t="inlineStr">
        <is>
          <t>United Kingdom</t>
        </is>
      </c>
      <c r="D3874" s="117" t="inlineStr">
        <is>
          <t>21055</t>
        </is>
      </c>
      <c r="E3874" s="117" t="inlineStr">
        <is>
          <t xml:space="preserve">TOOL BOX SOFT TOY </t>
        </is>
      </c>
      <c r="F3874" s="117" t="n">
        <v>1</v>
      </c>
      <c r="G3874" s="118" t="n">
        <v>8.949999999999999</v>
      </c>
      <c r="H3874" s="118" t="n">
        <v>8.949999999999999</v>
      </c>
      <c r="I3874" s="119" t="n">
        <v>40843</v>
      </c>
    </row>
    <row r="3875">
      <c r="A3875" s="114" t="inlineStr">
        <is>
          <t>573139</t>
        </is>
      </c>
      <c r="B3875" s="114" t="n">
        <v>14716</v>
      </c>
      <c r="C3875" s="114" t="inlineStr">
        <is>
          <t>United Kingdom</t>
        </is>
      </c>
      <c r="D3875" s="114" t="inlineStr">
        <is>
          <t>21926</t>
        </is>
      </c>
      <c r="E3875" s="114" t="inlineStr">
        <is>
          <t xml:space="preserve">RED/CREAM STRIPE CUSHION COVER </t>
        </is>
      </c>
      <c r="F3875" s="114" t="n">
        <v>4</v>
      </c>
      <c r="G3875" s="115" t="n">
        <v>1.25</v>
      </c>
      <c r="H3875" s="115" t="n">
        <v>5</v>
      </c>
      <c r="I3875" s="116" t="n">
        <v>40843</v>
      </c>
    </row>
    <row r="3876">
      <c r="A3876" s="117" t="inlineStr">
        <is>
          <t>573142</t>
        </is>
      </c>
      <c r="B3876" s="117" t="n">
        <v>18035</v>
      </c>
      <c r="C3876" s="117" t="inlineStr">
        <is>
          <t>United Kingdom</t>
        </is>
      </c>
      <c r="D3876" s="117" t="inlineStr">
        <is>
          <t>47504K</t>
        </is>
      </c>
      <c r="E3876" s="117" t="inlineStr">
        <is>
          <t>ENGLISH ROSE GARDEN SECATEURS</t>
        </is>
      </c>
      <c r="F3876" s="117" t="n">
        <v>12</v>
      </c>
      <c r="G3876" s="118" t="n">
        <v>0.79</v>
      </c>
      <c r="H3876" s="118" t="n">
        <v>9.48</v>
      </c>
      <c r="I3876" s="119" t="n">
        <v>40843</v>
      </c>
    </row>
    <row r="3877">
      <c r="A3877" s="114" t="inlineStr">
        <is>
          <t>573149</t>
        </is>
      </c>
      <c r="B3877" s="114" t="n">
        <v>16438</v>
      </c>
      <c r="C3877" s="114" t="inlineStr">
        <is>
          <t>United Kingdom</t>
        </is>
      </c>
      <c r="D3877" s="114" t="inlineStr">
        <is>
          <t>85034A</t>
        </is>
      </c>
      <c r="E3877" s="114" t="inlineStr">
        <is>
          <t>3 GARDENIA MORRIS BOXED CANDLES</t>
        </is>
      </c>
      <c r="F3877" s="114" t="n">
        <v>1</v>
      </c>
      <c r="G3877" s="115" t="n">
        <v>1.25</v>
      </c>
      <c r="H3877" s="115" t="n">
        <v>1.25</v>
      </c>
      <c r="I3877" s="116" t="n">
        <v>40843</v>
      </c>
    </row>
    <row r="3878">
      <c r="A3878" s="117" t="inlineStr">
        <is>
          <t>573151</t>
        </is>
      </c>
      <c r="B3878" s="117" t="n">
        <v>17602</v>
      </c>
      <c r="C3878" s="117" t="inlineStr">
        <is>
          <t>United Kingdom</t>
        </is>
      </c>
      <c r="D3878" s="117" t="inlineStr">
        <is>
          <t>85175</t>
        </is>
      </c>
      <c r="E3878" s="117" t="inlineStr">
        <is>
          <t>CACTI T-LIGHT CANDLES</t>
        </is>
      </c>
      <c r="F3878" s="117" t="n">
        <v>16</v>
      </c>
      <c r="G3878" s="118" t="n">
        <v>0.42</v>
      </c>
      <c r="H3878" s="118" t="n">
        <v>6.72</v>
      </c>
      <c r="I3878" s="119" t="n">
        <v>40843</v>
      </c>
    </row>
    <row r="3879">
      <c r="A3879" s="114" t="inlineStr">
        <is>
          <t>573151</t>
        </is>
      </c>
      <c r="B3879" s="114" t="n">
        <v>17602</v>
      </c>
      <c r="C3879" s="114" t="inlineStr">
        <is>
          <t>United Kingdom</t>
        </is>
      </c>
      <c r="D3879" s="114" t="inlineStr">
        <is>
          <t>22843</t>
        </is>
      </c>
      <c r="E3879" s="114" t="inlineStr">
        <is>
          <t>BISCUIT TIN VINTAGE GREEN</t>
        </is>
      </c>
      <c r="F3879" s="114" t="n">
        <v>1</v>
      </c>
      <c r="G3879" s="115" t="n">
        <v>6.75</v>
      </c>
      <c r="H3879" s="115" t="n">
        <v>6.75</v>
      </c>
      <c r="I3879" s="116" t="n">
        <v>40843</v>
      </c>
    </row>
    <row r="3880">
      <c r="A3880" s="117" t="inlineStr">
        <is>
          <t>573151</t>
        </is>
      </c>
      <c r="B3880" s="117" t="n">
        <v>17602</v>
      </c>
      <c r="C3880" s="117" t="inlineStr">
        <is>
          <t>United Kingdom</t>
        </is>
      </c>
      <c r="D3880" s="117" t="inlineStr">
        <is>
          <t>23226</t>
        </is>
      </c>
      <c r="E3880" s="117" t="inlineStr">
        <is>
          <t>FILIGREE HEART DAISY WHITE</t>
        </is>
      </c>
      <c r="F3880" s="117" t="n">
        <v>24</v>
      </c>
      <c r="G3880" s="118" t="n">
        <v>1.25</v>
      </c>
      <c r="H3880" s="118" t="n">
        <v>30</v>
      </c>
      <c r="I3880" s="119" t="n">
        <v>40843</v>
      </c>
    </row>
    <row r="3881">
      <c r="A3881" s="114" t="inlineStr">
        <is>
          <t>573153</t>
        </is>
      </c>
      <c r="B3881" s="114" t="n">
        <v>12678</v>
      </c>
      <c r="C3881" s="114" t="inlineStr">
        <is>
          <t>France</t>
        </is>
      </c>
      <c r="D3881" s="114" t="inlineStr">
        <is>
          <t>22555</t>
        </is>
      </c>
      <c r="E3881" s="114" t="inlineStr">
        <is>
          <t>PLASTERS IN TIN STRONGMAN</t>
        </is>
      </c>
      <c r="F3881" s="114" t="n">
        <v>48</v>
      </c>
      <c r="G3881" s="115" t="n">
        <v>1.65</v>
      </c>
      <c r="H3881" s="115" t="n">
        <v>79.2</v>
      </c>
      <c r="I3881" s="116" t="n">
        <v>40844</v>
      </c>
    </row>
    <row r="3882">
      <c r="A3882" s="117" t="inlineStr">
        <is>
          <t>573155</t>
        </is>
      </c>
      <c r="B3882" s="117" t="n">
        <v>13632</v>
      </c>
      <c r="C3882" s="117" t="inlineStr">
        <is>
          <t>United Kingdom</t>
        </is>
      </c>
      <c r="D3882" s="117" t="inlineStr">
        <is>
          <t>20978</t>
        </is>
      </c>
      <c r="E3882" s="117" t="inlineStr">
        <is>
          <t>36 PENCILS TUBE SKULLS</t>
        </is>
      </c>
      <c r="F3882" s="117" t="n">
        <v>16</v>
      </c>
      <c r="G3882" s="118" t="n">
        <v>1.25</v>
      </c>
      <c r="H3882" s="118" t="n">
        <v>20</v>
      </c>
      <c r="I3882" s="119" t="n">
        <v>40844</v>
      </c>
    </row>
    <row r="3883">
      <c r="A3883" s="114" t="inlineStr">
        <is>
          <t>573159</t>
        </is>
      </c>
      <c r="B3883" s="114" t="n">
        <v>16648</v>
      </c>
      <c r="C3883" s="114" t="inlineStr">
        <is>
          <t>United Kingdom</t>
        </is>
      </c>
      <c r="D3883" s="114" t="inlineStr">
        <is>
          <t>22556</t>
        </is>
      </c>
      <c r="E3883" s="114" t="inlineStr">
        <is>
          <t xml:space="preserve">PLASTERS IN TIN CIRCUS PARADE </t>
        </is>
      </c>
      <c r="F3883" s="114" t="n">
        <v>12</v>
      </c>
      <c r="G3883" s="115" t="n">
        <v>1.65</v>
      </c>
      <c r="H3883" s="115" t="n">
        <v>19.8</v>
      </c>
      <c r="I3883" s="116" t="n">
        <v>40844</v>
      </c>
    </row>
    <row r="3884">
      <c r="A3884" s="117" t="inlineStr">
        <is>
          <t>573195</t>
        </is>
      </c>
      <c r="B3884" s="117" t="n">
        <v>12432</v>
      </c>
      <c r="C3884" s="117" t="inlineStr">
        <is>
          <t>Norway</t>
        </is>
      </c>
      <c r="D3884" s="117" t="inlineStr">
        <is>
          <t>22745</t>
        </is>
      </c>
      <c r="E3884" s="117" t="inlineStr">
        <is>
          <t xml:space="preserve">POPPY'S PLAYHOUSE BEDROOM </t>
        </is>
      </c>
      <c r="F3884" s="117" t="n">
        <v>6</v>
      </c>
      <c r="G3884" s="118" t="n">
        <v>2.1</v>
      </c>
      <c r="H3884" s="118" t="n">
        <v>12.6</v>
      </c>
      <c r="I3884" s="119" t="n">
        <v>40844</v>
      </c>
    </row>
    <row r="3885">
      <c r="A3885" s="114" t="inlineStr">
        <is>
          <t>573200</t>
        </is>
      </c>
      <c r="B3885" s="114" t="n">
        <v>12432</v>
      </c>
      <c r="C3885" s="114" t="inlineStr">
        <is>
          <t>Norway</t>
        </is>
      </c>
      <c r="D3885" s="114" t="inlineStr">
        <is>
          <t>22167</t>
        </is>
      </c>
      <c r="E3885" s="114" t="inlineStr">
        <is>
          <t xml:space="preserve"> OVAL WALL MIRROR DIAMANTE </t>
        </is>
      </c>
      <c r="F3885" s="114" t="n">
        <v>2</v>
      </c>
      <c r="G3885" s="115" t="n">
        <v>9.949999999999999</v>
      </c>
      <c r="H3885" s="115" t="n">
        <v>19.9</v>
      </c>
      <c r="I3885" s="116" t="n">
        <v>40844</v>
      </c>
    </row>
    <row r="3886">
      <c r="A3886" s="117" t="inlineStr">
        <is>
          <t>573245</t>
        </is>
      </c>
      <c r="B3886" s="117" t="n">
        <v>17841</v>
      </c>
      <c r="C3886" s="117" t="inlineStr">
        <is>
          <t>United Kingdom</t>
        </is>
      </c>
      <c r="D3886" s="117" t="inlineStr">
        <is>
          <t>21381</t>
        </is>
      </c>
      <c r="E3886" s="117" t="inlineStr">
        <is>
          <t>MINI WOODEN HAPPY BIRTHDAY GARLAND</t>
        </is>
      </c>
      <c r="F3886" s="117" t="n">
        <v>1</v>
      </c>
      <c r="G3886" s="118" t="n">
        <v>1.69</v>
      </c>
      <c r="H3886" s="118" t="n">
        <v>1.69</v>
      </c>
      <c r="I3886" s="119" t="n">
        <v>40844</v>
      </c>
    </row>
    <row r="3887">
      <c r="A3887" s="114" t="inlineStr">
        <is>
          <t>573248</t>
        </is>
      </c>
      <c r="B3887" s="114" t="n">
        <v>14498</v>
      </c>
      <c r="C3887" s="114" t="inlineStr">
        <is>
          <t>United Kingdom</t>
        </is>
      </c>
      <c r="D3887" s="114" t="inlineStr">
        <is>
          <t>23301</t>
        </is>
      </c>
      <c r="E3887" s="114" t="inlineStr">
        <is>
          <t xml:space="preserve">GARDENERS KNEELING PAD KEEP CALM </t>
        </is>
      </c>
      <c r="F3887" s="114" t="n">
        <v>4</v>
      </c>
      <c r="G3887" s="115" t="n">
        <v>1.65</v>
      </c>
      <c r="H3887" s="115" t="n">
        <v>6.6</v>
      </c>
      <c r="I3887" s="116" t="n">
        <v>40844</v>
      </c>
    </row>
    <row r="3888">
      <c r="A3888" s="117" t="inlineStr">
        <is>
          <t>573264</t>
        </is>
      </c>
      <c r="B3888" s="117" t="n">
        <v>14415</v>
      </c>
      <c r="C3888" s="117" t="inlineStr">
        <is>
          <t>United Kingdom</t>
        </is>
      </c>
      <c r="D3888" s="117" t="inlineStr">
        <is>
          <t>23300</t>
        </is>
      </c>
      <c r="E3888" s="117" t="inlineStr">
        <is>
          <t xml:space="preserve">GARDENERS KNEELING PAD CUP OF TEA </t>
        </is>
      </c>
      <c r="F3888" s="117" t="n">
        <v>2</v>
      </c>
      <c r="G3888" s="118" t="n">
        <v>1.65</v>
      </c>
      <c r="H3888" s="118" t="n">
        <v>3.3</v>
      </c>
      <c r="I3888" s="119" t="n">
        <v>40844</v>
      </c>
    </row>
    <row r="3889">
      <c r="A3889" s="114" t="inlineStr">
        <is>
          <t>573265</t>
        </is>
      </c>
      <c r="B3889" s="114" t="n">
        <v>16150</v>
      </c>
      <c r="C3889" s="114" t="inlineStr">
        <is>
          <t>United Kingdom</t>
        </is>
      </c>
      <c r="D3889" s="114" t="inlineStr">
        <is>
          <t>22470</t>
        </is>
      </c>
      <c r="E3889" s="114" t="inlineStr">
        <is>
          <t>HEART OF WICKER LARGE</t>
        </is>
      </c>
      <c r="F3889" s="114" t="n">
        <v>6</v>
      </c>
      <c r="G3889" s="115" t="n">
        <v>2.95</v>
      </c>
      <c r="H3889" s="115" t="n">
        <v>17.7</v>
      </c>
      <c r="I3889" s="116" t="n">
        <v>40844</v>
      </c>
    </row>
    <row r="3890">
      <c r="A3890" s="117" t="inlineStr">
        <is>
          <t>573269</t>
        </is>
      </c>
      <c r="B3890" s="117" t="n">
        <v>16764</v>
      </c>
      <c r="C3890" s="117" t="inlineStr">
        <is>
          <t>United Kingdom</t>
        </is>
      </c>
      <c r="D3890" s="117" t="inlineStr">
        <is>
          <t>23212</t>
        </is>
      </c>
      <c r="E3890" s="117" t="inlineStr">
        <is>
          <t>HEART WREATH DECORATION WITH BELL</t>
        </is>
      </c>
      <c r="F3890" s="117" t="n">
        <v>1</v>
      </c>
      <c r="G3890" s="118" t="n">
        <v>1.25</v>
      </c>
      <c r="H3890" s="118" t="n">
        <v>1.25</v>
      </c>
      <c r="I3890" s="119" t="n">
        <v>40844</v>
      </c>
    </row>
    <row r="3891">
      <c r="A3891" s="114" t="inlineStr">
        <is>
          <t>573287</t>
        </is>
      </c>
      <c r="B3891" s="114" t="n">
        <v>14194</v>
      </c>
      <c r="C3891" s="114" t="inlineStr">
        <is>
          <t>United Kingdom</t>
        </is>
      </c>
      <c r="D3891" s="114" t="inlineStr">
        <is>
          <t>84946</t>
        </is>
      </c>
      <c r="E3891" s="114" t="inlineStr">
        <is>
          <t>ANTIQUE SILVER T-LIGHT GLASS</t>
        </is>
      </c>
      <c r="F3891" s="114" t="n">
        <v>12</v>
      </c>
      <c r="G3891" s="115" t="n">
        <v>1.25</v>
      </c>
      <c r="H3891" s="115" t="n">
        <v>15</v>
      </c>
      <c r="I3891" s="116" t="n">
        <v>40844</v>
      </c>
    </row>
    <row r="3892">
      <c r="A3892" s="117" t="inlineStr">
        <is>
          <t>573300</t>
        </is>
      </c>
      <c r="B3892" s="117" t="n">
        <v>16049</v>
      </c>
      <c r="C3892" s="117" t="inlineStr">
        <is>
          <t>United Kingdom</t>
        </is>
      </c>
      <c r="D3892" s="117" t="inlineStr">
        <is>
          <t>20914</t>
        </is>
      </c>
      <c r="E3892" s="117" t="inlineStr">
        <is>
          <t>SET/5 RED RETROSPOT LID GLASS BOWLS</t>
        </is>
      </c>
      <c r="F3892" s="117" t="n">
        <v>2</v>
      </c>
      <c r="G3892" s="118" t="n">
        <v>2.95</v>
      </c>
      <c r="H3892" s="118" t="n">
        <v>5.9</v>
      </c>
      <c r="I3892" s="119" t="n">
        <v>40844</v>
      </c>
    </row>
    <row r="3893">
      <c r="A3893" s="114" t="inlineStr">
        <is>
          <t>573300</t>
        </is>
      </c>
      <c r="B3893" s="114" t="n">
        <v>16049</v>
      </c>
      <c r="C3893" s="114" t="inlineStr">
        <is>
          <t>United Kingdom</t>
        </is>
      </c>
      <c r="D3893" s="114" t="inlineStr">
        <is>
          <t>23570</t>
        </is>
      </c>
      <c r="E3893" s="114" t="inlineStr">
        <is>
          <t xml:space="preserve">TRADITIONAL PICK UP STICKS GAME </t>
        </is>
      </c>
      <c r="F3893" s="114" t="n">
        <v>1</v>
      </c>
      <c r="G3893" s="115" t="n">
        <v>1.25</v>
      </c>
      <c r="H3893" s="115" t="n">
        <v>1.25</v>
      </c>
      <c r="I3893" s="116" t="n">
        <v>40844</v>
      </c>
    </row>
    <row r="3894">
      <c r="A3894" s="117" t="inlineStr">
        <is>
          <t>573305</t>
        </is>
      </c>
      <c r="B3894" s="117" t="n">
        <v>17837</v>
      </c>
      <c r="C3894" s="117" t="inlineStr">
        <is>
          <t>United Kingdom</t>
        </is>
      </c>
      <c r="D3894" s="117" t="inlineStr">
        <is>
          <t>21175</t>
        </is>
      </c>
      <c r="E3894" s="117" t="inlineStr">
        <is>
          <t>GIN + TONIC DIET METAL SIGN</t>
        </is>
      </c>
      <c r="F3894" s="117" t="n">
        <v>12</v>
      </c>
      <c r="G3894" s="118" t="n">
        <v>2.55</v>
      </c>
      <c r="H3894" s="118" t="n">
        <v>30.6</v>
      </c>
      <c r="I3894" s="119" t="n">
        <v>40844</v>
      </c>
    </row>
    <row r="3895">
      <c r="A3895" s="114" t="inlineStr">
        <is>
          <t>573315</t>
        </is>
      </c>
      <c r="B3895" s="114" t="n">
        <v>17839</v>
      </c>
      <c r="C3895" s="114" t="inlineStr">
        <is>
          <t>United Kingdom</t>
        </is>
      </c>
      <c r="D3895" s="114" t="inlineStr">
        <is>
          <t>23207</t>
        </is>
      </c>
      <c r="E3895" s="114" t="inlineStr">
        <is>
          <t>LUNCH BAG ALPHABET DESIGN</t>
        </is>
      </c>
      <c r="F3895" s="114" t="n">
        <v>1</v>
      </c>
      <c r="G3895" s="115" t="n">
        <v>1.65</v>
      </c>
      <c r="H3895" s="115" t="n">
        <v>1.65</v>
      </c>
      <c r="I3895" s="116" t="n">
        <v>40844</v>
      </c>
    </row>
    <row r="3896">
      <c r="A3896" s="117" t="inlineStr">
        <is>
          <t>573320</t>
        </is>
      </c>
      <c r="B3896" s="117" t="n">
        <v>15513</v>
      </c>
      <c r="C3896" s="117" t="inlineStr">
        <is>
          <t>United Kingdom</t>
        </is>
      </c>
      <c r="D3896" s="117" t="inlineStr">
        <is>
          <t>23109</t>
        </is>
      </c>
      <c r="E3896" s="117" t="inlineStr">
        <is>
          <t>PACK OF SIX LED TEA LIGHTS</t>
        </is>
      </c>
      <c r="F3896" s="117" t="n">
        <v>12</v>
      </c>
      <c r="G3896" s="118" t="n">
        <v>2.89</v>
      </c>
      <c r="H3896" s="118" t="n">
        <v>34.68</v>
      </c>
      <c r="I3896" s="119" t="n">
        <v>40846</v>
      </c>
    </row>
    <row r="3897">
      <c r="A3897" s="114" t="inlineStr">
        <is>
          <t>573323</t>
        </is>
      </c>
      <c r="B3897" s="114" t="n">
        <v>15708</v>
      </c>
      <c r="C3897" s="114" t="inlineStr">
        <is>
          <t>United Kingdom</t>
        </is>
      </c>
      <c r="D3897" s="114" t="inlineStr">
        <is>
          <t>21756</t>
        </is>
      </c>
      <c r="E3897" s="114" t="inlineStr">
        <is>
          <t>BATH BUILDING BLOCK WORD</t>
        </is>
      </c>
      <c r="F3897" s="114" t="n">
        <v>2</v>
      </c>
      <c r="G3897" s="115" t="n">
        <v>6.25</v>
      </c>
      <c r="H3897" s="115" t="n">
        <v>12.5</v>
      </c>
      <c r="I3897" s="116" t="n">
        <v>40846</v>
      </c>
    </row>
    <row r="3898">
      <c r="A3898" s="117" t="inlineStr">
        <is>
          <t>573328</t>
        </is>
      </c>
      <c r="B3898" s="117" t="n">
        <v>16601</v>
      </c>
      <c r="C3898" s="117" t="inlineStr">
        <is>
          <t>United Kingdom</t>
        </is>
      </c>
      <c r="D3898" s="117" t="inlineStr">
        <is>
          <t>37500</t>
        </is>
      </c>
      <c r="E3898" s="117" t="inlineStr">
        <is>
          <t>TEA TIME TEAPOT IN GIFT BOX</t>
        </is>
      </c>
      <c r="F3898" s="117" t="n">
        <v>1</v>
      </c>
      <c r="G3898" s="118" t="n">
        <v>4.95</v>
      </c>
      <c r="H3898" s="118" t="n">
        <v>4.95</v>
      </c>
      <c r="I3898" s="119" t="n">
        <v>40846</v>
      </c>
    </row>
    <row r="3899">
      <c r="A3899" s="114" t="inlineStr">
        <is>
          <t>573335</t>
        </is>
      </c>
      <c r="B3899" s="114" t="n">
        <v>15059</v>
      </c>
      <c r="C3899" s="114" t="inlineStr">
        <is>
          <t>United Kingdom</t>
        </is>
      </c>
      <c r="D3899" s="114" t="inlineStr">
        <is>
          <t>22988</t>
        </is>
      </c>
      <c r="E3899" s="114" t="inlineStr">
        <is>
          <t xml:space="preserve">SOLDIERS EGG CUP </t>
        </is>
      </c>
      <c r="F3899" s="114" t="n">
        <v>2</v>
      </c>
      <c r="G3899" s="115" t="n">
        <v>1.25</v>
      </c>
      <c r="H3899" s="115" t="n">
        <v>2.5</v>
      </c>
      <c r="I3899" s="116" t="n">
        <v>40846</v>
      </c>
    </row>
    <row r="3900">
      <c r="A3900" s="117" t="inlineStr">
        <is>
          <t>573336</t>
        </is>
      </c>
      <c r="B3900" s="117" t="n">
        <v>17372</v>
      </c>
      <c r="C3900" s="117" t="inlineStr">
        <is>
          <t>United Kingdom</t>
        </is>
      </c>
      <c r="D3900" s="117" t="inlineStr">
        <is>
          <t>23117</t>
        </is>
      </c>
      <c r="E3900" s="117" t="inlineStr">
        <is>
          <t>POPPY FIELDS CHOPPING BOARD</t>
        </is>
      </c>
      <c r="F3900" s="117" t="n">
        <v>2</v>
      </c>
      <c r="G3900" s="118" t="n">
        <v>4.95</v>
      </c>
      <c r="H3900" s="118" t="n">
        <v>9.9</v>
      </c>
      <c r="I3900" s="119" t="n">
        <v>40846</v>
      </c>
    </row>
    <row r="3901">
      <c r="A3901" s="114" t="inlineStr">
        <is>
          <t>573338</t>
        </is>
      </c>
      <c r="B3901" s="114" t="n">
        <v>14546</v>
      </c>
      <c r="C3901" s="114" t="inlineStr">
        <is>
          <t>United Kingdom</t>
        </is>
      </c>
      <c r="D3901" s="114" t="inlineStr">
        <is>
          <t>84997D</t>
        </is>
      </c>
      <c r="E3901" s="114" t="inlineStr">
        <is>
          <t>CHILDRENS CUTLERY POLKADOT PINK</t>
        </is>
      </c>
      <c r="F3901" s="114" t="n">
        <v>3</v>
      </c>
      <c r="G3901" s="115" t="n">
        <v>4.15</v>
      </c>
      <c r="H3901" s="115" t="n">
        <v>12.45</v>
      </c>
      <c r="I3901" s="116" t="n">
        <v>40846</v>
      </c>
    </row>
    <row r="3902">
      <c r="A3902" s="117" t="inlineStr">
        <is>
          <t>573339</t>
        </is>
      </c>
      <c r="B3902" s="117" t="n">
        <v>13278</v>
      </c>
      <c r="C3902" s="117" t="inlineStr">
        <is>
          <t>United Kingdom</t>
        </is>
      </c>
      <c r="D3902" s="117" t="inlineStr">
        <is>
          <t>23232</t>
        </is>
      </c>
      <c r="E3902" s="117" t="inlineStr">
        <is>
          <t>WRAP VINTAGE LEAF DESIGN</t>
        </is>
      </c>
      <c r="F3902" s="117" t="n">
        <v>25</v>
      </c>
      <c r="G3902" s="118" t="n">
        <v>0.42</v>
      </c>
      <c r="H3902" s="118" t="n">
        <v>10.5</v>
      </c>
      <c r="I3902" s="119" t="n">
        <v>40846</v>
      </c>
    </row>
    <row r="3903">
      <c r="A3903" s="114" t="inlineStr">
        <is>
          <t>573340</t>
        </is>
      </c>
      <c r="B3903" s="114" t="n">
        <v>14159</v>
      </c>
      <c r="C3903" s="114" t="inlineStr">
        <is>
          <t>United Kingdom</t>
        </is>
      </c>
      <c r="D3903" s="114" t="inlineStr">
        <is>
          <t>23400</t>
        </is>
      </c>
      <c r="E3903" s="114" t="inlineStr">
        <is>
          <t>SHELF WITH 4 HOOKS HOME SWEET HOME</t>
        </is>
      </c>
      <c r="F3903" s="114" t="n">
        <v>1</v>
      </c>
      <c r="G3903" s="115" t="n">
        <v>6.25</v>
      </c>
      <c r="H3903" s="115" t="n">
        <v>6.25</v>
      </c>
      <c r="I3903" s="116" t="n">
        <v>40846</v>
      </c>
    </row>
    <row r="3904">
      <c r="A3904" s="117" t="inlineStr">
        <is>
          <t>573340</t>
        </is>
      </c>
      <c r="B3904" s="117" t="n">
        <v>14159</v>
      </c>
      <c r="C3904" s="117" t="inlineStr">
        <is>
          <t>United Kingdom</t>
        </is>
      </c>
      <c r="D3904" s="117" t="inlineStr">
        <is>
          <t>35954</t>
        </is>
      </c>
      <c r="E3904" s="117" t="inlineStr">
        <is>
          <t>SMALL FOLKART STAR CHRISTMAS DEC</t>
        </is>
      </c>
      <c r="F3904" s="117" t="n">
        <v>48</v>
      </c>
      <c r="G3904" s="118" t="n">
        <v>0.19</v>
      </c>
      <c r="H3904" s="118" t="n">
        <v>9.119999999999999</v>
      </c>
      <c r="I3904" s="119" t="n">
        <v>40846</v>
      </c>
    </row>
    <row r="3905">
      <c r="A3905" s="114" t="inlineStr">
        <is>
          <t>573343</t>
        </is>
      </c>
      <c r="B3905" s="114" t="n">
        <v>13566</v>
      </c>
      <c r="C3905" s="114" t="inlineStr">
        <is>
          <t>United Kingdom</t>
        </is>
      </c>
      <c r="D3905" s="114" t="inlineStr">
        <is>
          <t>20713</t>
        </is>
      </c>
      <c r="E3905" s="114" t="inlineStr">
        <is>
          <t>JUMBO BAG OWLS</t>
        </is>
      </c>
      <c r="F3905" s="114" t="n">
        <v>2</v>
      </c>
      <c r="G3905" s="115" t="n">
        <v>2.08</v>
      </c>
      <c r="H3905" s="115" t="n">
        <v>4.16</v>
      </c>
      <c r="I3905" s="116" t="n">
        <v>40846</v>
      </c>
    </row>
    <row r="3906">
      <c r="A3906" s="117" t="inlineStr">
        <is>
          <t>573347</t>
        </is>
      </c>
      <c r="B3906" s="117" t="n">
        <v>13137</v>
      </c>
      <c r="C3906" s="117" t="inlineStr">
        <is>
          <t>United Kingdom</t>
        </is>
      </c>
      <c r="D3906" s="117" t="inlineStr">
        <is>
          <t>21122</t>
        </is>
      </c>
      <c r="E3906" s="117" t="inlineStr">
        <is>
          <t>SET/10 PINK POLKADOT PARTY CANDLES</t>
        </is>
      </c>
      <c r="F3906" s="117" t="n">
        <v>2</v>
      </c>
      <c r="G3906" s="118" t="n">
        <v>1.25</v>
      </c>
      <c r="H3906" s="118" t="n">
        <v>2.5</v>
      </c>
      <c r="I3906" s="119" t="n">
        <v>40846</v>
      </c>
    </row>
    <row r="3907">
      <c r="A3907" s="114" t="inlineStr">
        <is>
          <t>573347</t>
        </is>
      </c>
      <c r="B3907" s="114" t="n">
        <v>13137</v>
      </c>
      <c r="C3907" s="114" t="inlineStr">
        <is>
          <t>United Kingdom</t>
        </is>
      </c>
      <c r="D3907" s="114" t="inlineStr">
        <is>
          <t>21915</t>
        </is>
      </c>
      <c r="E3907" s="114" t="inlineStr">
        <is>
          <t xml:space="preserve">RED  HARMONICA IN BOX </t>
        </is>
      </c>
      <c r="F3907" s="114" t="n">
        <v>3</v>
      </c>
      <c r="G3907" s="115" t="n">
        <v>1.25</v>
      </c>
      <c r="H3907" s="115" t="n">
        <v>3.75</v>
      </c>
      <c r="I3907" s="116" t="n">
        <v>40846</v>
      </c>
    </row>
    <row r="3908">
      <c r="A3908" s="117" t="inlineStr">
        <is>
          <t>573347</t>
        </is>
      </c>
      <c r="B3908" s="117" t="n">
        <v>13137</v>
      </c>
      <c r="C3908" s="117" t="inlineStr">
        <is>
          <t>United Kingdom</t>
        </is>
      </c>
      <c r="D3908" s="117" t="inlineStr">
        <is>
          <t>21479</t>
        </is>
      </c>
      <c r="E3908" s="117" t="inlineStr">
        <is>
          <t xml:space="preserve">WHITE SKULL HOT WATER BOTTLE </t>
        </is>
      </c>
      <c r="F3908" s="117" t="n">
        <v>2</v>
      </c>
      <c r="G3908" s="118" t="n">
        <v>4.25</v>
      </c>
      <c r="H3908" s="118" t="n">
        <v>8.5</v>
      </c>
      <c r="I3908" s="119" t="n">
        <v>40846</v>
      </c>
    </row>
    <row r="3909">
      <c r="A3909" s="114" t="inlineStr">
        <is>
          <t>573358</t>
        </is>
      </c>
      <c r="B3909" s="114" t="n">
        <v>17213</v>
      </c>
      <c r="C3909" s="114" t="inlineStr">
        <is>
          <t>United Kingdom</t>
        </is>
      </c>
      <c r="D3909" s="114" t="inlineStr">
        <is>
          <t>23320</t>
        </is>
      </c>
      <c r="E3909" s="114" t="inlineStr">
        <is>
          <t>GIANT 50'S CHRISTMAS CRACKER</t>
        </is>
      </c>
      <c r="F3909" s="114" t="n">
        <v>12</v>
      </c>
      <c r="G3909" s="115" t="n">
        <v>2.89</v>
      </c>
      <c r="H3909" s="115" t="n">
        <v>34.68</v>
      </c>
      <c r="I3909" s="116" t="n">
        <v>40846</v>
      </c>
    </row>
    <row r="3910">
      <c r="A3910" s="117" t="inlineStr">
        <is>
          <t>573360</t>
        </is>
      </c>
      <c r="B3910" s="117" t="n">
        <v>15748</v>
      </c>
      <c r="C3910" s="117" t="inlineStr">
        <is>
          <t>United Kingdom</t>
        </is>
      </c>
      <c r="D3910" s="117" t="inlineStr">
        <is>
          <t>23503</t>
        </is>
      </c>
      <c r="E3910" s="117" t="inlineStr">
        <is>
          <t>PLAYING CARDS KEEP CALM &amp; CARRY ON</t>
        </is>
      </c>
      <c r="F3910" s="117" t="n">
        <v>1</v>
      </c>
      <c r="G3910" s="118" t="n">
        <v>1.25</v>
      </c>
      <c r="H3910" s="118" t="n">
        <v>1.25</v>
      </c>
      <c r="I3910" s="119" t="n">
        <v>40846</v>
      </c>
    </row>
    <row r="3911">
      <c r="A3911" s="114" t="inlineStr">
        <is>
          <t>573360</t>
        </is>
      </c>
      <c r="B3911" s="114" t="n">
        <v>15748</v>
      </c>
      <c r="C3911" s="114" t="inlineStr">
        <is>
          <t>United Kingdom</t>
        </is>
      </c>
      <c r="D3911" s="114" t="inlineStr">
        <is>
          <t>21891</t>
        </is>
      </c>
      <c r="E3911" s="114" t="inlineStr">
        <is>
          <t>TRADITIONAL WOODEN SKIPPING ROPE</t>
        </is>
      </c>
      <c r="F3911" s="114" t="n">
        <v>4</v>
      </c>
      <c r="G3911" s="115" t="n">
        <v>1.45</v>
      </c>
      <c r="H3911" s="115" t="n">
        <v>5.8</v>
      </c>
      <c r="I3911" s="116" t="n">
        <v>40846</v>
      </c>
    </row>
    <row r="3912">
      <c r="A3912" s="117" t="inlineStr">
        <is>
          <t>573361</t>
        </is>
      </c>
      <c r="B3912" s="117" t="n">
        <v>14456</v>
      </c>
      <c r="C3912" s="117" t="inlineStr">
        <is>
          <t>United Kingdom</t>
        </is>
      </c>
      <c r="D3912" s="117" t="inlineStr">
        <is>
          <t>20961</t>
        </is>
      </c>
      <c r="E3912" s="117" t="inlineStr">
        <is>
          <t xml:space="preserve">STRAWBERRY BATH SPONGE </t>
        </is>
      </c>
      <c r="F3912" s="117" t="n">
        <v>2</v>
      </c>
      <c r="G3912" s="118" t="n">
        <v>1.25</v>
      </c>
      <c r="H3912" s="118" t="n">
        <v>2.5</v>
      </c>
      <c r="I3912" s="119" t="n">
        <v>40846</v>
      </c>
    </row>
    <row r="3913">
      <c r="A3913" s="114" t="inlineStr">
        <is>
          <t>573361</t>
        </is>
      </c>
      <c r="B3913" s="114" t="n">
        <v>14456</v>
      </c>
      <c r="C3913" s="114" t="inlineStr">
        <is>
          <t>United Kingdom</t>
        </is>
      </c>
      <c r="D3913" s="114" t="inlineStr">
        <is>
          <t>23173</t>
        </is>
      </c>
      <c r="E3913" s="114" t="inlineStr">
        <is>
          <t xml:space="preserve">REGENCY TEAPOT ROSES </t>
        </is>
      </c>
      <c r="F3913" s="114" t="n">
        <v>1</v>
      </c>
      <c r="G3913" s="115" t="n">
        <v>9.949999999999999</v>
      </c>
      <c r="H3913" s="115" t="n">
        <v>9.949999999999999</v>
      </c>
      <c r="I3913" s="116" t="n">
        <v>40846</v>
      </c>
    </row>
    <row r="3914">
      <c r="A3914" s="117" t="inlineStr">
        <is>
          <t>573362</t>
        </is>
      </c>
      <c r="B3914" s="117" t="n">
        <v>12597</v>
      </c>
      <c r="C3914" s="117" t="inlineStr">
        <is>
          <t>Spain</t>
        </is>
      </c>
      <c r="D3914" s="117" t="inlineStr">
        <is>
          <t>23486</t>
        </is>
      </c>
      <c r="E3914" s="117" t="inlineStr">
        <is>
          <t>ANTIQUE HEART SHELF UNIT</t>
        </is>
      </c>
      <c r="F3914" s="117" t="n">
        <v>1</v>
      </c>
      <c r="G3914" s="118" t="n">
        <v>16.65</v>
      </c>
      <c r="H3914" s="118" t="n">
        <v>16.65</v>
      </c>
      <c r="I3914" s="119" t="n">
        <v>40846</v>
      </c>
    </row>
    <row r="3915">
      <c r="A3915" s="114" t="inlineStr">
        <is>
          <t>573364</t>
        </is>
      </c>
      <c r="B3915" s="114" t="n">
        <v>14710</v>
      </c>
      <c r="C3915" s="114" t="inlineStr">
        <is>
          <t>United Kingdom</t>
        </is>
      </c>
      <c r="D3915" s="114" t="inlineStr">
        <is>
          <t>22728</t>
        </is>
      </c>
      <c r="E3915" s="114" t="inlineStr">
        <is>
          <t>ALARM CLOCK BAKELIKE PINK</t>
        </is>
      </c>
      <c r="F3915" s="114" t="n">
        <v>1</v>
      </c>
      <c r="G3915" s="115" t="n">
        <v>3.75</v>
      </c>
      <c r="H3915" s="115" t="n">
        <v>3.75</v>
      </c>
      <c r="I3915" s="116" t="n">
        <v>40846</v>
      </c>
    </row>
    <row r="3916">
      <c r="A3916" s="117" t="inlineStr">
        <is>
          <t>573365</t>
        </is>
      </c>
      <c r="B3916" s="117" t="n">
        <v>12584</v>
      </c>
      <c r="C3916" s="117" t="inlineStr">
        <is>
          <t>Italy</t>
        </is>
      </c>
      <c r="D3916" s="117" t="inlineStr">
        <is>
          <t>21843</t>
        </is>
      </c>
      <c r="E3916" s="117" t="inlineStr">
        <is>
          <t>RED RETROSPOT CAKE STAND</t>
        </is>
      </c>
      <c r="F3916" s="117" t="n">
        <v>1</v>
      </c>
      <c r="G3916" s="118" t="n">
        <v>10.95</v>
      </c>
      <c r="H3916" s="118" t="n">
        <v>10.95</v>
      </c>
      <c r="I3916" s="119" t="n">
        <v>40846</v>
      </c>
    </row>
    <row r="3917">
      <c r="A3917" s="114" t="inlineStr">
        <is>
          <t>573370</t>
        </is>
      </c>
      <c r="B3917" s="114" t="n">
        <v>16626</v>
      </c>
      <c r="C3917" s="114" t="inlineStr">
        <is>
          <t>United Kingdom</t>
        </is>
      </c>
      <c r="D3917" s="114" t="inlineStr">
        <is>
          <t>23103</t>
        </is>
      </c>
      <c r="E3917" s="114" t="inlineStr">
        <is>
          <t>JINGLE BELL HEART DECORATION</t>
        </is>
      </c>
      <c r="F3917" s="114" t="n">
        <v>24</v>
      </c>
      <c r="G3917" s="115" t="n">
        <v>1.65</v>
      </c>
      <c r="H3917" s="115" t="n">
        <v>39.6</v>
      </c>
      <c r="I3917" s="116" t="n">
        <v>40846</v>
      </c>
    </row>
    <row r="3918">
      <c r="A3918" s="117" t="inlineStr">
        <is>
          <t>573380</t>
        </is>
      </c>
      <c r="B3918" s="117" t="n">
        <v>14572</v>
      </c>
      <c r="C3918" s="117" t="inlineStr">
        <is>
          <t>United Kingdom</t>
        </is>
      </c>
      <c r="D3918" s="117" t="inlineStr">
        <is>
          <t>23084</t>
        </is>
      </c>
      <c r="E3918" s="117" t="inlineStr">
        <is>
          <t>RABBIT NIGHT LIGHT</t>
        </is>
      </c>
      <c r="F3918" s="117" t="n">
        <v>4</v>
      </c>
      <c r="G3918" s="118" t="n">
        <v>2.08</v>
      </c>
      <c r="H3918" s="118" t="n">
        <v>8.32</v>
      </c>
      <c r="I3918" s="119" t="n">
        <v>40846</v>
      </c>
    </row>
    <row r="3919">
      <c r="A3919" s="114" t="inlineStr">
        <is>
          <t>573380</t>
        </is>
      </c>
      <c r="B3919" s="114" t="n">
        <v>14572</v>
      </c>
      <c r="C3919" s="114" t="inlineStr">
        <is>
          <t>United Kingdom</t>
        </is>
      </c>
      <c r="D3919" s="114" t="inlineStr">
        <is>
          <t>84347</t>
        </is>
      </c>
      <c r="E3919" s="114" t="inlineStr">
        <is>
          <t>ROTATING SILVER ANGELS T-LIGHT HLDR</t>
        </is>
      </c>
      <c r="F3919" s="114" t="n">
        <v>3</v>
      </c>
      <c r="G3919" s="115" t="n">
        <v>2.55</v>
      </c>
      <c r="H3919" s="115" t="n">
        <v>7.65</v>
      </c>
      <c r="I3919" s="116" t="n">
        <v>40846</v>
      </c>
    </row>
    <row r="3920">
      <c r="A3920" s="117" t="inlineStr">
        <is>
          <t>573381</t>
        </is>
      </c>
      <c r="B3920" s="117" t="n">
        <v>17590</v>
      </c>
      <c r="C3920" s="117" t="inlineStr">
        <is>
          <t>United Kingdom</t>
        </is>
      </c>
      <c r="D3920" s="117" t="inlineStr">
        <is>
          <t>84659A</t>
        </is>
      </c>
      <c r="E3920" s="117" t="inlineStr">
        <is>
          <t>WHITE TRAVEL ALARM CLOCK</t>
        </is>
      </c>
      <c r="F3920" s="117" t="n">
        <v>1</v>
      </c>
      <c r="G3920" s="118" t="n">
        <v>2.55</v>
      </c>
      <c r="H3920" s="118" t="n">
        <v>2.55</v>
      </c>
      <c r="I3920" s="119" t="n">
        <v>40846</v>
      </c>
    </row>
    <row r="3921">
      <c r="A3921" s="114" t="inlineStr">
        <is>
          <t>573382</t>
        </is>
      </c>
      <c r="B3921" s="114" t="n">
        <v>17655</v>
      </c>
      <c r="C3921" s="114" t="inlineStr">
        <is>
          <t>United Kingdom</t>
        </is>
      </c>
      <c r="D3921" s="114" t="inlineStr">
        <is>
          <t>23329</t>
        </is>
      </c>
      <c r="E3921" s="114" t="inlineStr">
        <is>
          <t>DECORATIVE WICKER HEART LARGE</t>
        </is>
      </c>
      <c r="F3921" s="114" t="n">
        <v>12</v>
      </c>
      <c r="G3921" s="115" t="n">
        <v>1.65</v>
      </c>
      <c r="H3921" s="115" t="n">
        <v>19.8</v>
      </c>
      <c r="I3921" s="116" t="n">
        <v>40846</v>
      </c>
    </row>
    <row r="3922">
      <c r="A3922" s="117" t="inlineStr">
        <is>
          <t>573382</t>
        </is>
      </c>
      <c r="B3922" s="117" t="n">
        <v>17655</v>
      </c>
      <c r="C3922" s="117" t="inlineStr">
        <is>
          <t>United Kingdom</t>
        </is>
      </c>
      <c r="D3922" s="117" t="inlineStr">
        <is>
          <t>21166</t>
        </is>
      </c>
      <c r="E3922" s="117" t="inlineStr">
        <is>
          <t xml:space="preserve">COOK WITH WINE METAL SIGN </t>
        </is>
      </c>
      <c r="F3922" s="117" t="n">
        <v>12</v>
      </c>
      <c r="G3922" s="118" t="n">
        <v>2.08</v>
      </c>
      <c r="H3922" s="118" t="n">
        <v>24.96</v>
      </c>
      <c r="I3922" s="119" t="n">
        <v>40846</v>
      </c>
    </row>
    <row r="3923">
      <c r="A3923" s="114" t="inlineStr">
        <is>
          <t>573387</t>
        </is>
      </c>
      <c r="B3923" s="114" t="n">
        <v>15054</v>
      </c>
      <c r="C3923" s="114" t="inlineStr">
        <is>
          <t>United Kingdom</t>
        </is>
      </c>
      <c r="D3923" s="114" t="inlineStr">
        <is>
          <t>23354</t>
        </is>
      </c>
      <c r="E3923" s="114" t="inlineStr">
        <is>
          <t xml:space="preserve">6 GIFT TAGS 50'S CHRISTMAS </t>
        </is>
      </c>
      <c r="F3923" s="114" t="n">
        <v>2</v>
      </c>
      <c r="G3923" s="115" t="n">
        <v>0.83</v>
      </c>
      <c r="H3923" s="115" t="n">
        <v>1.66</v>
      </c>
      <c r="I3923" s="116" t="n">
        <v>40846</v>
      </c>
    </row>
    <row r="3924">
      <c r="A3924" s="117" t="inlineStr">
        <is>
          <t>573392</t>
        </is>
      </c>
      <c r="B3924" s="117" t="n">
        <v>15376</v>
      </c>
      <c r="C3924" s="117" t="inlineStr">
        <is>
          <t>United Kingdom</t>
        </is>
      </c>
      <c r="D3924" s="117" t="inlineStr">
        <is>
          <t>22367</t>
        </is>
      </c>
      <c r="E3924" s="117" t="inlineStr">
        <is>
          <t>CHILDRENS APRON SPACEBOY DESIGN</t>
        </is>
      </c>
      <c r="F3924" s="117" t="n">
        <v>8</v>
      </c>
      <c r="G3924" s="118" t="n">
        <v>1.95</v>
      </c>
      <c r="H3924" s="118" t="n">
        <v>15.6</v>
      </c>
      <c r="I3924" s="119" t="n">
        <v>40846</v>
      </c>
    </row>
    <row r="3925">
      <c r="A3925" s="114" t="inlineStr">
        <is>
          <t>573393</t>
        </is>
      </c>
      <c r="B3925" s="114" t="n">
        <v>14158</v>
      </c>
      <c r="C3925" s="114" t="inlineStr">
        <is>
          <t>United Kingdom</t>
        </is>
      </c>
      <c r="D3925" s="114" t="inlineStr">
        <is>
          <t>22705</t>
        </is>
      </c>
      <c r="E3925" s="114" t="inlineStr">
        <is>
          <t xml:space="preserve">WRAP GREEN PEARS </t>
        </is>
      </c>
      <c r="F3925" s="114" t="n">
        <v>25</v>
      </c>
      <c r="G3925" s="115" t="n">
        <v>0.42</v>
      </c>
      <c r="H3925" s="115" t="n">
        <v>10.5</v>
      </c>
      <c r="I3925" s="116" t="n">
        <v>40846</v>
      </c>
    </row>
    <row r="3926">
      <c r="A3926" s="117" t="inlineStr">
        <is>
          <t>573393</t>
        </is>
      </c>
      <c r="B3926" s="117" t="n">
        <v>14158</v>
      </c>
      <c r="C3926" s="117" t="inlineStr">
        <is>
          <t>United Kingdom</t>
        </is>
      </c>
      <c r="D3926" s="117" t="inlineStr">
        <is>
          <t>22711</t>
        </is>
      </c>
      <c r="E3926" s="117" t="inlineStr">
        <is>
          <t>WRAP CIRCUS PARADE</t>
        </is>
      </c>
      <c r="F3926" s="117" t="n">
        <v>25</v>
      </c>
      <c r="G3926" s="118" t="n">
        <v>0.42</v>
      </c>
      <c r="H3926" s="118" t="n">
        <v>10.5</v>
      </c>
      <c r="I3926" s="119" t="n">
        <v>40846</v>
      </c>
    </row>
    <row r="3927">
      <c r="A3927" s="114" t="inlineStr">
        <is>
          <t>573396</t>
        </is>
      </c>
      <c r="B3927" s="114" t="n">
        <v>14723</v>
      </c>
      <c r="C3927" s="114" t="inlineStr">
        <is>
          <t>United Kingdom</t>
        </is>
      </c>
      <c r="D3927" s="114" t="inlineStr">
        <is>
          <t>23284</t>
        </is>
      </c>
      <c r="E3927" s="114" t="inlineStr">
        <is>
          <t>DOORMAT KEEP CALM AND COME IN</t>
        </is>
      </c>
      <c r="F3927" s="114" t="n">
        <v>1</v>
      </c>
      <c r="G3927" s="115" t="n">
        <v>8.25</v>
      </c>
      <c r="H3927" s="115" t="n">
        <v>8.25</v>
      </c>
      <c r="I3927" s="116" t="n">
        <v>40846</v>
      </c>
    </row>
    <row r="3928">
      <c r="A3928" s="117" t="inlineStr">
        <is>
          <t>573397</t>
        </is>
      </c>
      <c r="B3928" s="117" t="n">
        <v>15547</v>
      </c>
      <c r="C3928" s="117" t="inlineStr">
        <is>
          <t>United Kingdom</t>
        </is>
      </c>
      <c r="D3928" s="117" t="inlineStr">
        <is>
          <t>21890</t>
        </is>
      </c>
      <c r="E3928" s="117" t="inlineStr">
        <is>
          <t>S/6 WOODEN SKITTLES IN COTTON BAG</t>
        </is>
      </c>
      <c r="F3928" s="117" t="n">
        <v>3</v>
      </c>
      <c r="G3928" s="118" t="n">
        <v>3.25</v>
      </c>
      <c r="H3928" s="118" t="n">
        <v>9.75</v>
      </c>
      <c r="I3928" s="119" t="n">
        <v>40846</v>
      </c>
    </row>
    <row r="3929">
      <c r="A3929" s="114" t="inlineStr">
        <is>
          <t>573405</t>
        </is>
      </c>
      <c r="B3929" s="114" t="n">
        <v>13822</v>
      </c>
      <c r="C3929" s="114" t="inlineStr">
        <is>
          <t>United Kingdom</t>
        </is>
      </c>
      <c r="D3929" s="114" t="inlineStr">
        <is>
          <t>22561</t>
        </is>
      </c>
      <c r="E3929" s="114" t="inlineStr">
        <is>
          <t>WOODEN SCHOOL COLOURING SET</t>
        </is>
      </c>
      <c r="F3929" s="114" t="n">
        <v>2</v>
      </c>
      <c r="G3929" s="115" t="n">
        <v>1.65</v>
      </c>
      <c r="H3929" s="115" t="n">
        <v>3.3</v>
      </c>
      <c r="I3929" s="116" t="n">
        <v>40846</v>
      </c>
    </row>
    <row r="3930">
      <c r="A3930" s="117" t="inlineStr">
        <is>
          <t>573407</t>
        </is>
      </c>
      <c r="B3930" s="117" t="n">
        <v>18067</v>
      </c>
      <c r="C3930" s="117" t="inlineStr">
        <is>
          <t>United Kingdom</t>
        </is>
      </c>
      <c r="D3930" s="117" t="inlineStr">
        <is>
          <t>22077</t>
        </is>
      </c>
      <c r="E3930" s="117" t="inlineStr">
        <is>
          <t>6 RIBBONS RUSTIC CHARM</t>
        </is>
      </c>
      <c r="F3930" s="117" t="n">
        <v>1</v>
      </c>
      <c r="G3930" s="118" t="n">
        <v>1.95</v>
      </c>
      <c r="H3930" s="118" t="n">
        <v>1.95</v>
      </c>
      <c r="I3930" s="119" t="n">
        <v>40846</v>
      </c>
    </row>
    <row r="3931">
      <c r="A3931" s="114" t="inlineStr">
        <is>
          <t>573411</t>
        </is>
      </c>
      <c r="B3931" s="114" t="n">
        <v>13870</v>
      </c>
      <c r="C3931" s="114" t="inlineStr">
        <is>
          <t>United Kingdom</t>
        </is>
      </c>
      <c r="D3931" s="114" t="inlineStr">
        <is>
          <t>22326</t>
        </is>
      </c>
      <c r="E3931" s="114" t="inlineStr">
        <is>
          <t xml:space="preserve">ROUND SNACK BOXES SET OF4 WOODLAND </t>
        </is>
      </c>
      <c r="F3931" s="114" t="n">
        <v>12</v>
      </c>
      <c r="G3931" s="115" t="n">
        <v>2.95</v>
      </c>
      <c r="H3931" s="115" t="n">
        <v>35.4</v>
      </c>
      <c r="I3931" s="116" t="n">
        <v>40846</v>
      </c>
    </row>
    <row r="3932">
      <c r="A3932" s="117" t="inlineStr">
        <is>
          <t>573413</t>
        </is>
      </c>
      <c r="B3932" s="117" t="n">
        <v>15444</v>
      </c>
      <c r="C3932" s="117" t="inlineStr">
        <is>
          <t>United Kingdom</t>
        </is>
      </c>
      <c r="D3932" s="117" t="inlineStr">
        <is>
          <t>23517</t>
        </is>
      </c>
      <c r="E3932" s="117" t="inlineStr">
        <is>
          <t xml:space="preserve">EMBROIDERED RIBBON REEL REBECCA </t>
        </is>
      </c>
      <c r="F3932" s="117" t="n">
        <v>2</v>
      </c>
      <c r="G3932" s="118" t="n">
        <v>2.89</v>
      </c>
      <c r="H3932" s="118" t="n">
        <v>5.78</v>
      </c>
      <c r="I3932" s="119" t="n">
        <v>40846</v>
      </c>
    </row>
    <row r="3933">
      <c r="A3933" s="114" t="inlineStr">
        <is>
          <t>573413</t>
        </is>
      </c>
      <c r="B3933" s="114" t="n">
        <v>15444</v>
      </c>
      <c r="C3933" s="114" t="inlineStr">
        <is>
          <t>United Kingdom</t>
        </is>
      </c>
      <c r="D3933" s="114" t="inlineStr">
        <is>
          <t>23191</t>
        </is>
      </c>
      <c r="E3933" s="114" t="inlineStr">
        <is>
          <t>BUNDLE OF 3 RETRO NOTE BOOKS</t>
        </is>
      </c>
      <c r="F3933" s="114" t="n">
        <v>1</v>
      </c>
      <c r="G3933" s="115" t="n">
        <v>1.65</v>
      </c>
      <c r="H3933" s="115" t="n">
        <v>1.65</v>
      </c>
      <c r="I3933" s="116" t="n">
        <v>40846</v>
      </c>
    </row>
    <row r="3934">
      <c r="A3934" s="117" t="inlineStr">
        <is>
          <t>573414</t>
        </is>
      </c>
      <c r="B3934" s="117" t="n">
        <v>16877</v>
      </c>
      <c r="C3934" s="117" t="inlineStr">
        <is>
          <t>United Kingdom</t>
        </is>
      </c>
      <c r="D3934" s="117" t="inlineStr">
        <is>
          <t>23400</t>
        </is>
      </c>
      <c r="E3934" s="117" t="inlineStr">
        <is>
          <t>SHELF WITH 4 HOOKS HOME SWEET HOME</t>
        </is>
      </c>
      <c r="F3934" s="117" t="n">
        <v>1</v>
      </c>
      <c r="G3934" s="118" t="n">
        <v>6.25</v>
      </c>
      <c r="H3934" s="118" t="n">
        <v>6.25</v>
      </c>
      <c r="I3934" s="119" t="n">
        <v>40846</v>
      </c>
    </row>
    <row r="3935">
      <c r="A3935" s="114" t="inlineStr">
        <is>
          <t>573415</t>
        </is>
      </c>
      <c r="B3935" s="114" t="n">
        <v>13607</v>
      </c>
      <c r="C3935" s="114" t="inlineStr">
        <is>
          <t>United Kingdom</t>
        </is>
      </c>
      <c r="D3935" s="114" t="inlineStr">
        <is>
          <t>90162B</t>
        </is>
      </c>
      <c r="E3935" s="114" t="inlineStr">
        <is>
          <t>ANT SILVER LIME GREEN BOUDICCA RING</t>
        </is>
      </c>
      <c r="F3935" s="114" t="n">
        <v>1</v>
      </c>
      <c r="G3935" s="115" t="n">
        <v>2.95</v>
      </c>
      <c r="H3935" s="115" t="n">
        <v>2.95</v>
      </c>
      <c r="I3935" s="116" t="n">
        <v>40846</v>
      </c>
    </row>
    <row r="3936">
      <c r="A3936" s="117" t="inlineStr">
        <is>
          <t>573415</t>
        </is>
      </c>
      <c r="B3936" s="117" t="n">
        <v>13607</v>
      </c>
      <c r="C3936" s="117" t="inlineStr">
        <is>
          <t>United Kingdom</t>
        </is>
      </c>
      <c r="D3936" s="117" t="inlineStr">
        <is>
          <t>23402</t>
        </is>
      </c>
      <c r="E3936" s="117" t="inlineStr">
        <is>
          <t xml:space="preserve">HOME SWEET HOME 3 PEG HANGER </t>
        </is>
      </c>
      <c r="F3936" s="117" t="n">
        <v>1</v>
      </c>
      <c r="G3936" s="118" t="n">
        <v>3.75</v>
      </c>
      <c r="H3936" s="118" t="n">
        <v>3.75</v>
      </c>
      <c r="I3936" s="119" t="n">
        <v>40846</v>
      </c>
    </row>
    <row r="3937">
      <c r="A3937" s="114" t="inlineStr">
        <is>
          <t>573481</t>
        </is>
      </c>
      <c r="B3937" s="114" t="n">
        <v>13994</v>
      </c>
      <c r="C3937" s="114" t="inlineStr">
        <is>
          <t>United Kingdom</t>
        </is>
      </c>
      <c r="D3937" s="114" t="inlineStr">
        <is>
          <t>23212</t>
        </is>
      </c>
      <c r="E3937" s="114" t="inlineStr">
        <is>
          <t>HEART WREATH DECORATION WITH BELL</t>
        </is>
      </c>
      <c r="F3937" s="114" t="n">
        <v>12</v>
      </c>
      <c r="G3937" s="115" t="n">
        <v>1.25</v>
      </c>
      <c r="H3937" s="115" t="n">
        <v>15</v>
      </c>
      <c r="I3937" s="116" t="n">
        <v>40847</v>
      </c>
    </row>
    <row r="3938">
      <c r="A3938" s="117" t="inlineStr">
        <is>
          <t>573485</t>
        </is>
      </c>
      <c r="B3938" s="117" t="n">
        <v>15752</v>
      </c>
      <c r="C3938" s="117" t="inlineStr">
        <is>
          <t>United Kingdom</t>
        </is>
      </c>
      <c r="D3938" s="117" t="inlineStr">
        <is>
          <t>23117</t>
        </is>
      </c>
      <c r="E3938" s="117" t="inlineStr">
        <is>
          <t>POPPY FIELDS CHOPPING BOARD</t>
        </is>
      </c>
      <c r="F3938" s="117" t="n">
        <v>2</v>
      </c>
      <c r="G3938" s="118" t="n">
        <v>4.95</v>
      </c>
      <c r="H3938" s="118" t="n">
        <v>9.9</v>
      </c>
      <c r="I3938" s="119" t="n">
        <v>40847</v>
      </c>
    </row>
    <row r="3939">
      <c r="A3939" s="114" t="inlineStr">
        <is>
          <t>573492</t>
        </is>
      </c>
      <c r="B3939" s="114" t="n">
        <v>13544</v>
      </c>
      <c r="C3939" s="114" t="inlineStr">
        <is>
          <t>United Kingdom</t>
        </is>
      </c>
      <c r="D3939" s="114" t="inlineStr">
        <is>
          <t>21992</t>
        </is>
      </c>
      <c r="E3939" s="114" t="inlineStr">
        <is>
          <t>VINTAGE PAISLEY STATIONERY SET</t>
        </is>
      </c>
      <c r="F3939" s="114" t="n">
        <v>1</v>
      </c>
      <c r="G3939" s="115" t="n">
        <v>1.25</v>
      </c>
      <c r="H3939" s="115" t="n">
        <v>1.25</v>
      </c>
      <c r="I3939" s="116" t="n">
        <v>40847</v>
      </c>
    </row>
    <row r="3940">
      <c r="A3940" s="117" t="inlineStr">
        <is>
          <t>573500</t>
        </is>
      </c>
      <c r="B3940" s="117" t="n">
        <v>16931</v>
      </c>
      <c r="C3940" s="117" t="inlineStr">
        <is>
          <t>United Kingdom</t>
        </is>
      </c>
      <c r="D3940" s="117" t="inlineStr">
        <is>
          <t>22551</t>
        </is>
      </c>
      <c r="E3940" s="117" t="inlineStr">
        <is>
          <t>PLASTERS IN TIN SPACEBOY</t>
        </is>
      </c>
      <c r="F3940" s="117" t="n">
        <v>3</v>
      </c>
      <c r="G3940" s="118" t="n">
        <v>1.65</v>
      </c>
      <c r="H3940" s="118" t="n">
        <v>4.95</v>
      </c>
      <c r="I3940" s="119" t="n">
        <v>40847</v>
      </c>
    </row>
    <row r="3941">
      <c r="A3941" s="114" t="inlineStr">
        <is>
          <t>573510</t>
        </is>
      </c>
      <c r="B3941" s="114" t="n">
        <v>14808</v>
      </c>
      <c r="C3941" s="114" t="inlineStr">
        <is>
          <t>United Kingdom</t>
        </is>
      </c>
      <c r="D3941" s="114" t="inlineStr">
        <is>
          <t>23527</t>
        </is>
      </c>
      <c r="E3941" s="114" t="inlineStr">
        <is>
          <t xml:space="preserve">WALL ART ANIMALS AND NATURE </t>
        </is>
      </c>
      <c r="F3941" s="114" t="n">
        <v>1</v>
      </c>
      <c r="G3941" s="115" t="n">
        <v>3.75</v>
      </c>
      <c r="H3941" s="115" t="n">
        <v>3.75</v>
      </c>
      <c r="I3941" s="116" t="n">
        <v>40847</v>
      </c>
    </row>
    <row r="3942">
      <c r="A3942" s="117" t="inlineStr">
        <is>
          <t>573511</t>
        </is>
      </c>
      <c r="B3942" s="117" t="n">
        <v>12347</v>
      </c>
      <c r="C3942" s="117" t="inlineStr">
        <is>
          <t>Iceland</t>
        </is>
      </c>
      <c r="D3942" s="117" t="inlineStr">
        <is>
          <t>20719</t>
        </is>
      </c>
      <c r="E3942" s="117" t="inlineStr">
        <is>
          <t>WOODLAND CHARLOTTE BAG</t>
        </is>
      </c>
      <c r="F3942" s="117" t="n">
        <v>10</v>
      </c>
      <c r="G3942" s="118" t="n">
        <v>0.85</v>
      </c>
      <c r="H3942" s="118" t="n">
        <v>8.5</v>
      </c>
      <c r="I3942" s="119" t="n">
        <v>40847</v>
      </c>
    </row>
    <row r="3943">
      <c r="A3943" s="114" t="inlineStr">
        <is>
          <t>573511</t>
        </is>
      </c>
      <c r="B3943" s="114" t="n">
        <v>12347</v>
      </c>
      <c r="C3943" s="114" t="inlineStr">
        <is>
          <t>Iceland</t>
        </is>
      </c>
      <c r="D3943" s="114" t="inlineStr">
        <is>
          <t>22727</t>
        </is>
      </c>
      <c r="E3943" s="114" t="inlineStr">
        <is>
          <t xml:space="preserve">ALARM CLOCK BAKELIKE RED </t>
        </is>
      </c>
      <c r="F3943" s="114" t="n">
        <v>12</v>
      </c>
      <c r="G3943" s="115" t="n">
        <v>3.75</v>
      </c>
      <c r="H3943" s="115" t="n">
        <v>45</v>
      </c>
      <c r="I3943" s="116" t="n">
        <v>40847</v>
      </c>
    </row>
    <row r="3944">
      <c r="A3944" s="117" t="inlineStr">
        <is>
          <t>573511</t>
        </is>
      </c>
      <c r="B3944" s="117" t="n">
        <v>12347</v>
      </c>
      <c r="C3944" s="117" t="inlineStr">
        <is>
          <t>Iceland</t>
        </is>
      </c>
      <c r="D3944" s="117" t="inlineStr">
        <is>
          <t>23508</t>
        </is>
      </c>
      <c r="E3944" s="117" t="inlineStr">
        <is>
          <t xml:space="preserve">MINI PLAYING CARDS DOLLY GIRL </t>
        </is>
      </c>
      <c r="F3944" s="117" t="n">
        <v>20</v>
      </c>
      <c r="G3944" s="118" t="n">
        <v>0.42</v>
      </c>
      <c r="H3944" s="118" t="n">
        <v>8.4</v>
      </c>
      <c r="I3944" s="119" t="n">
        <v>40847</v>
      </c>
    </row>
    <row r="3945">
      <c r="A3945" s="114" t="inlineStr">
        <is>
          <t>573543</t>
        </is>
      </c>
      <c r="B3945" s="114" t="n">
        <v>17777</v>
      </c>
      <c r="C3945" s="114" t="inlineStr">
        <is>
          <t>United Kingdom</t>
        </is>
      </c>
      <c r="D3945" s="114" t="inlineStr">
        <is>
          <t>23103</t>
        </is>
      </c>
      <c r="E3945" s="114" t="inlineStr">
        <is>
          <t>JINGLE BELL HEART DECORATION</t>
        </is>
      </c>
      <c r="F3945" s="114" t="n">
        <v>2</v>
      </c>
      <c r="G3945" s="115" t="n">
        <v>1.65</v>
      </c>
      <c r="H3945" s="115" t="n">
        <v>3.3</v>
      </c>
      <c r="I3945" s="116" t="n">
        <v>40847</v>
      </c>
    </row>
    <row r="3946">
      <c r="A3946" s="117" t="inlineStr">
        <is>
          <t>573546</t>
        </is>
      </c>
      <c r="B3946" s="117" t="n">
        <v>15974</v>
      </c>
      <c r="C3946" s="117" t="inlineStr">
        <is>
          <t>United Kingdom</t>
        </is>
      </c>
      <c r="D3946" s="117" t="inlineStr">
        <is>
          <t>23539</t>
        </is>
      </c>
      <c r="E3946" s="117" t="inlineStr">
        <is>
          <t xml:space="preserve">WALL ART LOVES' SECRET </t>
        </is>
      </c>
      <c r="F3946" s="117" t="n">
        <v>4</v>
      </c>
      <c r="G3946" s="118" t="n">
        <v>5.95</v>
      </c>
      <c r="H3946" s="118" t="n">
        <v>23.8</v>
      </c>
      <c r="I3946" s="119" t="n">
        <v>40847</v>
      </c>
    </row>
    <row r="3947">
      <c r="A3947" s="114" t="inlineStr">
        <is>
          <t>573546</t>
        </is>
      </c>
      <c r="B3947" s="114" t="n">
        <v>15974</v>
      </c>
      <c r="C3947" s="114" t="inlineStr">
        <is>
          <t>United Kingdom</t>
        </is>
      </c>
      <c r="D3947" s="114" t="inlineStr">
        <is>
          <t>21463</t>
        </is>
      </c>
      <c r="E3947" s="114" t="inlineStr">
        <is>
          <t xml:space="preserve">MIRRORED DISCO BALL </t>
        </is>
      </c>
      <c r="F3947" s="114" t="n">
        <v>4</v>
      </c>
      <c r="G3947" s="115" t="n">
        <v>5.95</v>
      </c>
      <c r="H3947" s="115" t="n">
        <v>23.8</v>
      </c>
      <c r="I3947" s="116" t="n">
        <v>40847</v>
      </c>
    </row>
    <row r="3948">
      <c r="A3948" s="117" t="inlineStr">
        <is>
          <t>573548</t>
        </is>
      </c>
      <c r="B3948" s="117" t="n">
        <v>13680</v>
      </c>
      <c r="C3948" s="117" t="inlineStr">
        <is>
          <t>United Kingdom</t>
        </is>
      </c>
      <c r="D3948" s="117" t="inlineStr">
        <is>
          <t>84836</t>
        </is>
      </c>
      <c r="E3948" s="117" t="inlineStr">
        <is>
          <t>ZINC METAL HEART DECORATION</t>
        </is>
      </c>
      <c r="F3948" s="117" t="n">
        <v>12</v>
      </c>
      <c r="G3948" s="118" t="n">
        <v>1.25</v>
      </c>
      <c r="H3948" s="118" t="n">
        <v>15</v>
      </c>
      <c r="I3948" s="119" t="n">
        <v>40847</v>
      </c>
    </row>
    <row r="3949">
      <c r="A3949" s="114" t="inlineStr">
        <is>
          <t>573556</t>
        </is>
      </c>
      <c r="B3949" s="114" t="n">
        <v>17675</v>
      </c>
      <c r="C3949" s="114" t="inlineStr">
        <is>
          <t>United Kingdom</t>
        </is>
      </c>
      <c r="D3949" s="114" t="inlineStr">
        <is>
          <t>22726</t>
        </is>
      </c>
      <c r="E3949" s="114" t="inlineStr">
        <is>
          <t>ALARM CLOCK BAKELIKE GREEN</t>
        </is>
      </c>
      <c r="F3949" s="114" t="n">
        <v>8</v>
      </c>
      <c r="G3949" s="115" t="n">
        <v>3.75</v>
      </c>
      <c r="H3949" s="115" t="n">
        <v>30</v>
      </c>
      <c r="I3949" s="116" t="n">
        <v>40847</v>
      </c>
    </row>
    <row r="3950">
      <c r="A3950" s="117" t="inlineStr">
        <is>
          <t>573564</t>
        </is>
      </c>
      <c r="B3950" s="117" t="n">
        <v>16127</v>
      </c>
      <c r="C3950" s="117" t="inlineStr">
        <is>
          <t>United Kingdom</t>
        </is>
      </c>
      <c r="D3950" s="117" t="inlineStr">
        <is>
          <t>21115</t>
        </is>
      </c>
      <c r="E3950" s="117" t="inlineStr">
        <is>
          <t>ROSE CARAVAN DOORSTOP</t>
        </is>
      </c>
      <c r="F3950" s="117" t="n">
        <v>2</v>
      </c>
      <c r="G3950" s="118" t="n">
        <v>6.75</v>
      </c>
      <c r="H3950" s="118" t="n">
        <v>13.5</v>
      </c>
      <c r="I3950" s="119" t="n">
        <v>40847</v>
      </c>
    </row>
    <row r="3951">
      <c r="A3951" s="114" t="inlineStr">
        <is>
          <t>573576</t>
        </is>
      </c>
      <c r="B3951" s="114" t="n">
        <v>14096</v>
      </c>
      <c r="C3951" s="114" t="inlineStr">
        <is>
          <t>United Kingdom</t>
        </is>
      </c>
      <c r="D3951" s="114" t="inlineStr">
        <is>
          <t>22937</t>
        </is>
      </c>
      <c r="E3951" s="114" t="inlineStr">
        <is>
          <t>BAKING MOULD CHOCOLATE CUPCAKES</t>
        </is>
      </c>
      <c r="F3951" s="114" t="n">
        <v>2</v>
      </c>
      <c r="G3951" s="115" t="n">
        <v>4.96</v>
      </c>
      <c r="H3951" s="115" t="n">
        <v>9.92</v>
      </c>
      <c r="I3951" s="116" t="n">
        <v>40847</v>
      </c>
    </row>
    <row r="3952">
      <c r="A3952" s="117" t="inlineStr">
        <is>
          <t>573576</t>
        </is>
      </c>
      <c r="B3952" s="117" t="n">
        <v>14096</v>
      </c>
      <c r="C3952" s="117" t="inlineStr">
        <is>
          <t>United Kingdom</t>
        </is>
      </c>
      <c r="D3952" s="117" t="inlineStr">
        <is>
          <t>82551</t>
        </is>
      </c>
      <c r="E3952" s="117" t="inlineStr">
        <is>
          <t>LAUNDRY 15C METAL SIGN</t>
        </is>
      </c>
      <c r="F3952" s="117" t="n">
        <v>1</v>
      </c>
      <c r="G3952" s="118" t="n">
        <v>2.46</v>
      </c>
      <c r="H3952" s="118" t="n">
        <v>2.46</v>
      </c>
      <c r="I3952" s="119" t="n">
        <v>40847</v>
      </c>
    </row>
    <row r="3953">
      <c r="A3953" s="114" t="inlineStr">
        <is>
          <t>573576</t>
        </is>
      </c>
      <c r="B3953" s="114" t="n">
        <v>14096</v>
      </c>
      <c r="C3953" s="114" t="inlineStr">
        <is>
          <t>United Kingdom</t>
        </is>
      </c>
      <c r="D3953" s="114" t="inlineStr">
        <is>
          <t>20973</t>
        </is>
      </c>
      <c r="E3953" s="114" t="inlineStr">
        <is>
          <t>12 PENCIL SMALL TUBE WOODLAND</t>
        </is>
      </c>
      <c r="F3953" s="114" t="n">
        <v>3</v>
      </c>
      <c r="G3953" s="115" t="n">
        <v>1.25</v>
      </c>
      <c r="H3953" s="115" t="n">
        <v>3.75</v>
      </c>
      <c r="I3953" s="116" t="n">
        <v>40847</v>
      </c>
    </row>
    <row r="3954">
      <c r="A3954" s="117" t="inlineStr">
        <is>
          <t>573581</t>
        </is>
      </c>
      <c r="B3954" s="117" t="n">
        <v>14911</v>
      </c>
      <c r="C3954" s="117" t="inlineStr">
        <is>
          <t>EIRE</t>
        </is>
      </c>
      <c r="D3954" s="117" t="inlineStr">
        <is>
          <t>22738</t>
        </is>
      </c>
      <c r="E3954" s="117" t="inlineStr">
        <is>
          <t>RIBBON REEL SNOWY VILLAGE</t>
        </is>
      </c>
      <c r="F3954" s="117" t="n">
        <v>10</v>
      </c>
      <c r="G3954" s="118" t="n">
        <v>1.65</v>
      </c>
      <c r="H3954" s="118" t="n">
        <v>16.5</v>
      </c>
      <c r="I3954" s="119" t="n">
        <v>40847</v>
      </c>
    </row>
    <row r="3955">
      <c r="A3955" s="114" t="inlineStr">
        <is>
          <t>573584</t>
        </is>
      </c>
      <c r="B3955" s="114" t="n">
        <v>16705</v>
      </c>
      <c r="C3955" s="114" t="inlineStr">
        <is>
          <t>United Kingdom</t>
        </is>
      </c>
      <c r="D3955" s="114" t="inlineStr">
        <is>
          <t>23582</t>
        </is>
      </c>
      <c r="E3955" s="114" t="inlineStr">
        <is>
          <t xml:space="preserve">VINTAGE DOILY JUMBO BAG RED </t>
        </is>
      </c>
      <c r="F3955" s="114" t="n">
        <v>10</v>
      </c>
      <c r="G3955" s="115" t="n">
        <v>2.08</v>
      </c>
      <c r="H3955" s="115" t="n">
        <v>20.8</v>
      </c>
      <c r="I3955" s="116" t="n">
        <v>40847</v>
      </c>
    </row>
    <row r="3956">
      <c r="A3956" s="117" t="inlineStr">
        <is>
          <t>573584</t>
        </is>
      </c>
      <c r="B3956" s="117" t="n">
        <v>16705</v>
      </c>
      <c r="C3956" s="117" t="inlineStr">
        <is>
          <t>United Kingdom</t>
        </is>
      </c>
      <c r="D3956" s="117" t="inlineStr">
        <is>
          <t>20685</t>
        </is>
      </c>
      <c r="E3956" s="117" t="inlineStr">
        <is>
          <t>DOORMAT RED RETROSPOT</t>
        </is>
      </c>
      <c r="F3956" s="117" t="n">
        <v>10</v>
      </c>
      <c r="G3956" s="118" t="n">
        <v>7.08</v>
      </c>
      <c r="H3956" s="118" t="n">
        <v>70.8</v>
      </c>
      <c r="I3956" s="119" t="n">
        <v>40847</v>
      </c>
    </row>
    <row r="3957">
      <c r="A3957" s="114" t="inlineStr">
        <is>
          <t>573695</t>
        </is>
      </c>
      <c r="B3957" s="114" t="n">
        <v>15023</v>
      </c>
      <c r="C3957" s="114" t="inlineStr">
        <is>
          <t>United Kingdom</t>
        </is>
      </c>
      <c r="D3957" s="114" t="inlineStr">
        <is>
          <t>23556</t>
        </is>
      </c>
      <c r="E3957" s="114" t="inlineStr">
        <is>
          <t xml:space="preserve">LANDMARK FRAME COVENT GARDEN </t>
        </is>
      </c>
      <c r="F3957" s="114" t="n">
        <v>2</v>
      </c>
      <c r="G3957" s="115" t="n">
        <v>12.5</v>
      </c>
      <c r="H3957" s="115" t="n">
        <v>25</v>
      </c>
      <c r="I3957" s="116" t="n">
        <v>40847</v>
      </c>
    </row>
    <row r="3958">
      <c r="A3958" s="117" t="inlineStr">
        <is>
          <t>573769</t>
        </is>
      </c>
      <c r="B3958" s="117" t="n">
        <v>13292</v>
      </c>
      <c r="C3958" s="117" t="inlineStr">
        <is>
          <t>United Kingdom</t>
        </is>
      </c>
      <c r="D3958" s="117" t="inlineStr">
        <is>
          <t>23404</t>
        </is>
      </c>
      <c r="E3958" s="117" t="inlineStr">
        <is>
          <t>HOME SWEET HOME BLACKBOARD</t>
        </is>
      </c>
      <c r="F3958" s="117" t="n">
        <v>6</v>
      </c>
      <c r="G3958" s="118" t="n">
        <v>4.95</v>
      </c>
      <c r="H3958" s="118" t="n">
        <v>29.7</v>
      </c>
      <c r="I3958" s="119" t="n">
        <v>40848</v>
      </c>
    </row>
    <row r="3959">
      <c r="A3959" s="114" t="inlineStr">
        <is>
          <t>573770</t>
        </is>
      </c>
      <c r="B3959" s="114" t="n">
        <v>15214</v>
      </c>
      <c r="C3959" s="114" t="inlineStr">
        <is>
          <t>United Kingdom</t>
        </is>
      </c>
      <c r="D3959" s="114" t="inlineStr">
        <is>
          <t>84931A</t>
        </is>
      </c>
      <c r="E3959" s="114" t="inlineStr">
        <is>
          <t>PINK SCOTTIE DOG W FLOWER PATTERN</t>
        </is>
      </c>
      <c r="F3959" s="114" t="n">
        <v>6</v>
      </c>
      <c r="G3959" s="115" t="n">
        <v>2.55</v>
      </c>
      <c r="H3959" s="115" t="n">
        <v>15.3</v>
      </c>
      <c r="I3959" s="116" t="n">
        <v>40848</v>
      </c>
    </row>
    <row r="3960">
      <c r="A3960" s="117" t="inlineStr">
        <is>
          <t>573808</t>
        </is>
      </c>
      <c r="B3960" s="117" t="n">
        <v>14419</v>
      </c>
      <c r="C3960" s="117" t="inlineStr">
        <is>
          <t>United Kingdom</t>
        </is>
      </c>
      <c r="D3960" s="117" t="inlineStr">
        <is>
          <t>23564</t>
        </is>
      </c>
      <c r="E3960" s="117" t="inlineStr">
        <is>
          <t>EGG CUP MILKMAID INGRID</t>
        </is>
      </c>
      <c r="F3960" s="117" t="n">
        <v>3</v>
      </c>
      <c r="G3960" s="118" t="n">
        <v>1.25</v>
      </c>
      <c r="H3960" s="118" t="n">
        <v>3.75</v>
      </c>
      <c r="I3960" s="119" t="n">
        <v>40848</v>
      </c>
    </row>
    <row r="3961">
      <c r="A3961" s="114" t="inlineStr">
        <is>
          <t>573814</t>
        </is>
      </c>
      <c r="B3961" s="114" t="n">
        <v>13268</v>
      </c>
      <c r="C3961" s="114" t="inlineStr">
        <is>
          <t>United Kingdom</t>
        </is>
      </c>
      <c r="D3961" s="114" t="inlineStr">
        <is>
          <t>21175</t>
        </is>
      </c>
      <c r="E3961" s="114" t="inlineStr">
        <is>
          <t>GIN + TONIC DIET METAL SIGN</t>
        </is>
      </c>
      <c r="F3961" s="114" t="n">
        <v>2</v>
      </c>
      <c r="G3961" s="115" t="n">
        <v>2.55</v>
      </c>
      <c r="H3961" s="115" t="n">
        <v>5.1</v>
      </c>
      <c r="I3961" s="116" t="n">
        <v>40848</v>
      </c>
    </row>
    <row r="3962">
      <c r="A3962" s="117" t="inlineStr">
        <is>
          <t>573830</t>
        </is>
      </c>
      <c r="B3962" s="117" t="n">
        <v>16960</v>
      </c>
      <c r="C3962" s="117" t="inlineStr">
        <is>
          <t>United Kingdom</t>
        </is>
      </c>
      <c r="D3962" s="117" t="inlineStr">
        <is>
          <t>23241</t>
        </is>
      </c>
      <c r="E3962" s="117" t="inlineStr">
        <is>
          <t>TREASURE TIN GYMKHANA DESIGN</t>
        </is>
      </c>
      <c r="F3962" s="117" t="n">
        <v>4</v>
      </c>
      <c r="G3962" s="118" t="n">
        <v>2.08</v>
      </c>
      <c r="H3962" s="118" t="n">
        <v>8.32</v>
      </c>
      <c r="I3962" s="119" t="n">
        <v>40848</v>
      </c>
    </row>
    <row r="3963">
      <c r="A3963" s="114" t="inlineStr">
        <is>
          <t>573873</t>
        </is>
      </c>
      <c r="B3963" s="114" t="n">
        <v>17346</v>
      </c>
      <c r="C3963" s="114" t="inlineStr">
        <is>
          <t>United Kingdom</t>
        </is>
      </c>
      <c r="D3963" s="114" t="inlineStr">
        <is>
          <t>23581</t>
        </is>
      </c>
      <c r="E3963" s="114" t="inlineStr">
        <is>
          <t>JUMBO BAG PAISLEY PARK</t>
        </is>
      </c>
      <c r="F3963" s="114" t="n">
        <v>2</v>
      </c>
      <c r="G3963" s="115" t="n">
        <v>2.08</v>
      </c>
      <c r="H3963" s="115" t="n">
        <v>4.16</v>
      </c>
      <c r="I3963" s="116" t="n">
        <v>40848</v>
      </c>
    </row>
    <row r="3964">
      <c r="A3964" s="117" t="inlineStr">
        <is>
          <t>573875</t>
        </is>
      </c>
      <c r="B3964" s="117" t="n">
        <v>15018</v>
      </c>
      <c r="C3964" s="117" t="inlineStr">
        <is>
          <t>United Kingdom</t>
        </is>
      </c>
      <c r="D3964" s="117" t="inlineStr">
        <is>
          <t>84945</t>
        </is>
      </c>
      <c r="E3964" s="117" t="inlineStr">
        <is>
          <t>MULTI COLOUR SILVER T-LIGHT HOLDER</t>
        </is>
      </c>
      <c r="F3964" s="117" t="n">
        <v>12</v>
      </c>
      <c r="G3964" s="118" t="n">
        <v>0.85</v>
      </c>
      <c r="H3964" s="118" t="n">
        <v>10.2</v>
      </c>
      <c r="I3964" s="119" t="n">
        <v>40848</v>
      </c>
    </row>
    <row r="3965">
      <c r="A3965" s="114" t="inlineStr">
        <is>
          <t>573876</t>
        </is>
      </c>
      <c r="B3965" s="114" t="n">
        <v>16360</v>
      </c>
      <c r="C3965" s="114" t="inlineStr">
        <is>
          <t>United Kingdom</t>
        </is>
      </c>
      <c r="D3965" s="114" t="inlineStr">
        <is>
          <t>84947</t>
        </is>
      </c>
      <c r="E3965" s="114" t="inlineStr">
        <is>
          <t>ANTIQUE SILVER TEA GLASS ENGRAVED</t>
        </is>
      </c>
      <c r="F3965" s="114" t="n">
        <v>2</v>
      </c>
      <c r="G3965" s="115" t="n">
        <v>1.25</v>
      </c>
      <c r="H3965" s="115" t="n">
        <v>2.5</v>
      </c>
      <c r="I3965" s="116" t="n">
        <v>40848</v>
      </c>
    </row>
    <row r="3966">
      <c r="A3966" s="117" t="inlineStr">
        <is>
          <t>573876</t>
        </is>
      </c>
      <c r="B3966" s="117" t="n">
        <v>16360</v>
      </c>
      <c r="C3966" s="117" t="inlineStr">
        <is>
          <t>United Kingdom</t>
        </is>
      </c>
      <c r="D3966" s="117" t="inlineStr">
        <is>
          <t>22230</t>
        </is>
      </c>
      <c r="E3966" s="117" t="inlineStr">
        <is>
          <t>JIGSAW TREE WITH WATERING CAN</t>
        </is>
      </c>
      <c r="F3966" s="117" t="n">
        <v>4</v>
      </c>
      <c r="G3966" s="118" t="n">
        <v>0.29</v>
      </c>
      <c r="H3966" s="118" t="n">
        <v>1.16</v>
      </c>
      <c r="I3966" s="119" t="n">
        <v>40848</v>
      </c>
    </row>
    <row r="3967">
      <c r="A3967" s="114" t="inlineStr">
        <is>
          <t>573889</t>
        </is>
      </c>
      <c r="B3967" s="114" t="n">
        <v>13571</v>
      </c>
      <c r="C3967" s="114" t="inlineStr">
        <is>
          <t>United Kingdom</t>
        </is>
      </c>
      <c r="D3967" s="114" t="inlineStr">
        <is>
          <t>23582</t>
        </is>
      </c>
      <c r="E3967" s="114" t="inlineStr">
        <is>
          <t xml:space="preserve">VINTAGE DOILY JUMBO BAG RED </t>
        </is>
      </c>
      <c r="F3967" s="114" t="n">
        <v>4</v>
      </c>
      <c r="G3967" s="115" t="n">
        <v>2.08</v>
      </c>
      <c r="H3967" s="115" t="n">
        <v>8.32</v>
      </c>
      <c r="I3967" s="116" t="n">
        <v>40848</v>
      </c>
    </row>
    <row r="3968">
      <c r="A3968" s="117" t="inlineStr">
        <is>
          <t>573889</t>
        </is>
      </c>
      <c r="B3968" s="117" t="n">
        <v>13571</v>
      </c>
      <c r="C3968" s="117" t="inlineStr">
        <is>
          <t>United Kingdom</t>
        </is>
      </c>
      <c r="D3968" s="117" t="inlineStr">
        <is>
          <t>22666</t>
        </is>
      </c>
      <c r="E3968" s="117" t="inlineStr">
        <is>
          <t>RECIPE BOX PANTRY YELLOW DESIGN</t>
        </is>
      </c>
      <c r="F3968" s="117" t="n">
        <v>2</v>
      </c>
      <c r="G3968" s="118" t="n">
        <v>2.95</v>
      </c>
      <c r="H3968" s="118" t="n">
        <v>5.9</v>
      </c>
      <c r="I3968" s="119" t="n">
        <v>40848</v>
      </c>
    </row>
    <row r="3969">
      <c r="A3969" s="114" t="inlineStr">
        <is>
          <t>573892</t>
        </is>
      </c>
      <c r="B3969" s="114" t="n">
        <v>14911</v>
      </c>
      <c r="C3969" s="114" t="inlineStr">
        <is>
          <t>EIRE</t>
        </is>
      </c>
      <c r="D3969" s="114" t="inlineStr">
        <is>
          <t>22161</t>
        </is>
      </c>
      <c r="E3969" s="114" t="inlineStr">
        <is>
          <t xml:space="preserve">HEART DECORATION RUSTIC HANGING </t>
        </is>
      </c>
      <c r="F3969" s="114" t="n">
        <v>24</v>
      </c>
      <c r="G3969" s="115" t="n">
        <v>0.19</v>
      </c>
      <c r="H3969" s="115" t="n">
        <v>4.56</v>
      </c>
      <c r="I3969" s="116" t="n">
        <v>40848</v>
      </c>
    </row>
    <row r="3970">
      <c r="A3970" s="117" t="inlineStr">
        <is>
          <t>573896</t>
        </is>
      </c>
      <c r="B3970" s="117" t="n">
        <v>13755</v>
      </c>
      <c r="C3970" s="117" t="inlineStr">
        <is>
          <t>United Kingdom</t>
        </is>
      </c>
      <c r="D3970" s="117" t="inlineStr">
        <is>
          <t>23127</t>
        </is>
      </c>
      <c r="E3970" s="117" t="inlineStr">
        <is>
          <t>FELTCRAFT GIRL NICOLE KIT</t>
        </is>
      </c>
      <c r="F3970" s="117" t="n">
        <v>12</v>
      </c>
      <c r="G3970" s="118" t="n">
        <v>4.95</v>
      </c>
      <c r="H3970" s="118" t="n">
        <v>59.4</v>
      </c>
      <c r="I3970" s="119" t="n">
        <v>40848</v>
      </c>
    </row>
    <row r="3971">
      <c r="A3971" s="114" t="inlineStr">
        <is>
          <t>573897</t>
        </is>
      </c>
      <c r="B3971" s="114" t="n">
        <v>16729</v>
      </c>
      <c r="C3971" s="114" t="inlineStr">
        <is>
          <t>United Kingdom</t>
        </is>
      </c>
      <c r="D3971" s="114" t="inlineStr">
        <is>
          <t>21822</t>
        </is>
      </c>
      <c r="E3971" s="114" t="inlineStr">
        <is>
          <t>GLITTER CHRISTMAS TREE WITH BELLS</t>
        </is>
      </c>
      <c r="F3971" s="114" t="n">
        <v>12</v>
      </c>
      <c r="G3971" s="115" t="n">
        <v>0.79</v>
      </c>
      <c r="H3971" s="115" t="n">
        <v>9.48</v>
      </c>
      <c r="I3971" s="116" t="n">
        <v>40848</v>
      </c>
    </row>
    <row r="3972">
      <c r="A3972" s="117" t="inlineStr">
        <is>
          <t>573897</t>
        </is>
      </c>
      <c r="B3972" s="117" t="n">
        <v>16729</v>
      </c>
      <c r="C3972" s="117" t="inlineStr">
        <is>
          <t>United Kingdom</t>
        </is>
      </c>
      <c r="D3972" s="117" t="inlineStr">
        <is>
          <t>21262</t>
        </is>
      </c>
      <c r="E3972" s="117" t="inlineStr">
        <is>
          <t xml:space="preserve">WHITE GOOSE FEATHER CHRISTMAS TREE </t>
        </is>
      </c>
      <c r="F3972" s="117" t="n">
        <v>4</v>
      </c>
      <c r="G3972" s="118" t="n">
        <v>2.95</v>
      </c>
      <c r="H3972" s="118" t="n">
        <v>11.8</v>
      </c>
      <c r="I3972" s="119" t="n">
        <v>40848</v>
      </c>
    </row>
    <row r="3973">
      <c r="A3973" s="114" t="inlineStr">
        <is>
          <t>573903</t>
        </is>
      </c>
      <c r="B3973" s="114" t="n">
        <v>14667</v>
      </c>
      <c r="C3973" s="114" t="inlineStr">
        <is>
          <t>United Kingdom</t>
        </is>
      </c>
      <c r="D3973" s="114" t="inlineStr">
        <is>
          <t>22465</t>
        </is>
      </c>
      <c r="E3973" s="114" t="inlineStr">
        <is>
          <t>HANGING METAL STAR LANTERN</t>
        </is>
      </c>
      <c r="F3973" s="114" t="n">
        <v>6</v>
      </c>
      <c r="G3973" s="115" t="n">
        <v>1.65</v>
      </c>
      <c r="H3973" s="115" t="n">
        <v>9.9</v>
      </c>
      <c r="I3973" s="116" t="n">
        <v>40848</v>
      </c>
    </row>
    <row r="3974">
      <c r="A3974" s="117" t="inlineStr">
        <is>
          <t>573904</t>
        </is>
      </c>
      <c r="B3974" s="117" t="n">
        <v>14505</v>
      </c>
      <c r="C3974" s="117" t="inlineStr">
        <is>
          <t>United Kingdom</t>
        </is>
      </c>
      <c r="D3974" s="117" t="inlineStr">
        <is>
          <t>23321</t>
        </is>
      </c>
      <c r="E3974" s="117" t="inlineStr">
        <is>
          <t>SMALL WHITE HEART OF WICKER</t>
        </is>
      </c>
      <c r="F3974" s="117" t="n">
        <v>4</v>
      </c>
      <c r="G3974" s="118" t="n">
        <v>1.65</v>
      </c>
      <c r="H3974" s="118" t="n">
        <v>6.6</v>
      </c>
      <c r="I3974" s="119" t="n">
        <v>40848</v>
      </c>
    </row>
    <row r="3975">
      <c r="A3975" s="114" t="inlineStr">
        <is>
          <t>573906</t>
        </is>
      </c>
      <c r="B3975" s="114" t="n">
        <v>16458</v>
      </c>
      <c r="C3975" s="114" t="inlineStr">
        <is>
          <t>United Kingdom</t>
        </is>
      </c>
      <c r="D3975" s="114" t="inlineStr">
        <is>
          <t>84596B</t>
        </is>
      </c>
      <c r="E3975" s="114" t="inlineStr">
        <is>
          <t>SMALL DOLLY MIX DESIGN ORANGE BOWL</t>
        </is>
      </c>
      <c r="F3975" s="114" t="n">
        <v>16</v>
      </c>
      <c r="G3975" s="115" t="n">
        <v>0.42</v>
      </c>
      <c r="H3975" s="115" t="n">
        <v>6.72</v>
      </c>
      <c r="I3975" s="116" t="n">
        <v>40848</v>
      </c>
    </row>
    <row r="3976">
      <c r="A3976" s="117" t="inlineStr">
        <is>
          <t>573915</t>
        </is>
      </c>
      <c r="B3976" s="117" t="n">
        <v>15511</v>
      </c>
      <c r="C3976" s="117" t="inlineStr">
        <is>
          <t>United Kingdom</t>
        </is>
      </c>
      <c r="D3976" s="117" t="inlineStr">
        <is>
          <t>23581</t>
        </is>
      </c>
      <c r="E3976" s="117" t="inlineStr">
        <is>
          <t>JUMBO BAG PAISLEY PARK</t>
        </is>
      </c>
      <c r="F3976" s="117" t="n">
        <v>3</v>
      </c>
      <c r="G3976" s="118" t="n">
        <v>2.08</v>
      </c>
      <c r="H3976" s="118" t="n">
        <v>6.24</v>
      </c>
      <c r="I3976" s="119" t="n">
        <v>40848</v>
      </c>
    </row>
    <row r="3977">
      <c r="A3977" s="114" t="inlineStr">
        <is>
          <t>573915</t>
        </is>
      </c>
      <c r="B3977" s="114" t="n">
        <v>15511</v>
      </c>
      <c r="C3977" s="114" t="inlineStr">
        <is>
          <t>United Kingdom</t>
        </is>
      </c>
      <c r="D3977" s="114" t="inlineStr">
        <is>
          <t>21411</t>
        </is>
      </c>
      <c r="E3977" s="114" t="inlineStr">
        <is>
          <t>GINGHAM HEART  DOORSTOP RED</t>
        </is>
      </c>
      <c r="F3977" s="114" t="n">
        <v>1</v>
      </c>
      <c r="G3977" s="115" t="n">
        <v>4.25</v>
      </c>
      <c r="H3977" s="115" t="n">
        <v>4.25</v>
      </c>
      <c r="I3977" s="116" t="n">
        <v>40848</v>
      </c>
    </row>
    <row r="3978">
      <c r="A3978" s="117" t="inlineStr">
        <is>
          <t>573918</t>
        </is>
      </c>
      <c r="B3978" s="117" t="n">
        <v>17576</v>
      </c>
      <c r="C3978" s="117" t="inlineStr">
        <is>
          <t>United Kingdom</t>
        </is>
      </c>
      <c r="D3978" s="117" t="inlineStr">
        <is>
          <t>21733</t>
        </is>
      </c>
      <c r="E3978" s="117" t="inlineStr">
        <is>
          <t>RED HANGING HEART T-LIGHT HOLDER</t>
        </is>
      </c>
      <c r="F3978" s="117" t="n">
        <v>2</v>
      </c>
      <c r="G3978" s="118" t="n">
        <v>2.95</v>
      </c>
      <c r="H3978" s="118" t="n">
        <v>5.9</v>
      </c>
      <c r="I3978" s="119" t="n">
        <v>40848</v>
      </c>
    </row>
    <row r="3979">
      <c r="A3979" s="114" t="inlineStr">
        <is>
          <t>573923</t>
        </is>
      </c>
      <c r="B3979" s="114" t="n">
        <v>17965</v>
      </c>
      <c r="C3979" s="114" t="inlineStr">
        <is>
          <t>United Kingdom</t>
        </is>
      </c>
      <c r="D3979" s="114" t="inlineStr">
        <is>
          <t>23075</t>
        </is>
      </c>
      <c r="E3979" s="114" t="inlineStr">
        <is>
          <t>PARLOUR CERAMIC WALL HOOK</t>
        </is>
      </c>
      <c r="F3979" s="114" t="n">
        <v>2</v>
      </c>
      <c r="G3979" s="115" t="n">
        <v>4.15</v>
      </c>
      <c r="H3979" s="115" t="n">
        <v>8.300000000000001</v>
      </c>
      <c r="I3979" s="116" t="n">
        <v>40849</v>
      </c>
    </row>
    <row r="3980">
      <c r="A3980" s="117" t="inlineStr">
        <is>
          <t>573923</t>
        </is>
      </c>
      <c r="B3980" s="117" t="n">
        <v>17965</v>
      </c>
      <c r="C3980" s="117" t="inlineStr">
        <is>
          <t>United Kingdom</t>
        </is>
      </c>
      <c r="D3980" s="117" t="inlineStr">
        <is>
          <t>23157</t>
        </is>
      </c>
      <c r="E3980" s="117" t="inlineStr">
        <is>
          <t xml:space="preserve">SET OF 6 NATIVITY MAGNETS </t>
        </is>
      </c>
      <c r="F3980" s="117" t="n">
        <v>12</v>
      </c>
      <c r="G3980" s="118" t="n">
        <v>2.08</v>
      </c>
      <c r="H3980" s="118" t="n">
        <v>24.96</v>
      </c>
      <c r="I3980" s="119" t="n">
        <v>40849</v>
      </c>
    </row>
    <row r="3981">
      <c r="A3981" s="114" t="inlineStr">
        <is>
          <t>573999</t>
        </is>
      </c>
      <c r="B3981" s="114" t="n">
        <v>12779</v>
      </c>
      <c r="C3981" s="114" t="inlineStr">
        <is>
          <t>Poland</t>
        </is>
      </c>
      <c r="D3981" s="114" t="inlineStr">
        <is>
          <t>22625</t>
        </is>
      </c>
      <c r="E3981" s="114" t="inlineStr">
        <is>
          <t>RED KITCHEN SCALES</t>
        </is>
      </c>
      <c r="F3981" s="114" t="n">
        <v>2</v>
      </c>
      <c r="G3981" s="115" t="n">
        <v>8.5</v>
      </c>
      <c r="H3981" s="115" t="n">
        <v>17</v>
      </c>
      <c r="I3981" s="116" t="n">
        <v>40849</v>
      </c>
    </row>
    <row r="3982">
      <c r="A3982" s="117" t="inlineStr">
        <is>
          <t>574015</t>
        </is>
      </c>
      <c r="B3982" s="117" t="n">
        <v>15576</v>
      </c>
      <c r="C3982" s="117" t="inlineStr">
        <is>
          <t>United Kingdom</t>
        </is>
      </c>
      <c r="D3982" s="117" t="inlineStr">
        <is>
          <t>23194</t>
        </is>
      </c>
      <c r="E3982" s="117" t="inlineStr">
        <is>
          <t>GYMKHANA TREASURE BOOK BOX</t>
        </is>
      </c>
      <c r="F3982" s="117" t="n">
        <v>3</v>
      </c>
      <c r="G3982" s="118" t="n">
        <v>2.25</v>
      </c>
      <c r="H3982" s="118" t="n">
        <v>6.75</v>
      </c>
      <c r="I3982" s="119" t="n">
        <v>40849</v>
      </c>
    </row>
    <row r="3983">
      <c r="A3983" s="114" t="inlineStr">
        <is>
          <t>574018</t>
        </is>
      </c>
      <c r="B3983" s="114" t="n">
        <v>13477</v>
      </c>
      <c r="C3983" s="114" t="inlineStr">
        <is>
          <t>United Kingdom</t>
        </is>
      </c>
      <c r="D3983" s="114" t="inlineStr">
        <is>
          <t>21429</t>
        </is>
      </c>
      <c r="E3983" s="114" t="inlineStr">
        <is>
          <t>RED GINGHAM ROSE JEWELLERY BOX</t>
        </is>
      </c>
      <c r="F3983" s="114" t="n">
        <v>8</v>
      </c>
      <c r="G3983" s="115" t="n">
        <v>1.95</v>
      </c>
      <c r="H3983" s="115" t="n">
        <v>15.6</v>
      </c>
      <c r="I3983" s="116" t="n">
        <v>40849</v>
      </c>
    </row>
    <row r="3984">
      <c r="A3984" s="117" t="inlineStr">
        <is>
          <t>574029</t>
        </is>
      </c>
      <c r="B3984" s="117" t="n">
        <v>12955</v>
      </c>
      <c r="C3984" s="117" t="inlineStr">
        <is>
          <t>United Kingdom</t>
        </is>
      </c>
      <c r="D3984" s="117" t="inlineStr">
        <is>
          <t>23352</t>
        </is>
      </c>
      <c r="E3984" s="117" t="inlineStr">
        <is>
          <t xml:space="preserve">ROLL WRAP 50'S RED CHRISTMAS </t>
        </is>
      </c>
      <c r="F3984" s="117" t="n">
        <v>24</v>
      </c>
      <c r="G3984" s="118" t="n">
        <v>1.25</v>
      </c>
      <c r="H3984" s="118" t="n">
        <v>30</v>
      </c>
      <c r="I3984" s="119" t="n">
        <v>40849</v>
      </c>
    </row>
    <row r="3985">
      <c r="A3985" s="114" t="inlineStr">
        <is>
          <t>574029</t>
        </is>
      </c>
      <c r="B3985" s="114" t="n">
        <v>12955</v>
      </c>
      <c r="C3985" s="114" t="inlineStr">
        <is>
          <t>United Kingdom</t>
        </is>
      </c>
      <c r="D3985" s="114" t="inlineStr">
        <is>
          <t>84949</t>
        </is>
      </c>
      <c r="E3985" s="114" t="inlineStr">
        <is>
          <t>SILVER HANGING T-LIGHT HOLDER</t>
        </is>
      </c>
      <c r="F3985" s="114" t="n">
        <v>12</v>
      </c>
      <c r="G3985" s="115" t="n">
        <v>1.65</v>
      </c>
      <c r="H3985" s="115" t="n">
        <v>19.8</v>
      </c>
      <c r="I3985" s="116" t="n">
        <v>40849</v>
      </c>
    </row>
    <row r="3986">
      <c r="A3986" s="117" t="inlineStr">
        <is>
          <t>574043</t>
        </is>
      </c>
      <c r="B3986" s="117" t="n">
        <v>16367</v>
      </c>
      <c r="C3986" s="117" t="inlineStr">
        <is>
          <t>United Kingdom</t>
        </is>
      </c>
      <c r="D3986" s="117" t="inlineStr">
        <is>
          <t>23535</t>
        </is>
      </c>
      <c r="E3986" s="117" t="inlineStr">
        <is>
          <t>WALL ART BICYCLE SAFETY</t>
        </is>
      </c>
      <c r="F3986" s="117" t="n">
        <v>2</v>
      </c>
      <c r="G3986" s="118" t="n">
        <v>5.95</v>
      </c>
      <c r="H3986" s="118" t="n">
        <v>11.9</v>
      </c>
      <c r="I3986" s="119" t="n">
        <v>40849</v>
      </c>
    </row>
    <row r="3987">
      <c r="A3987" s="114" t="inlineStr">
        <is>
          <t>574049</t>
        </is>
      </c>
      <c r="B3987" s="114" t="n">
        <v>13316</v>
      </c>
      <c r="C3987" s="114" t="inlineStr">
        <is>
          <t>United Kingdom</t>
        </is>
      </c>
      <c r="D3987" s="114" t="inlineStr">
        <is>
          <t>23032</t>
        </is>
      </c>
      <c r="E3987" s="114" t="inlineStr">
        <is>
          <t>DRAWER KNOB CRACKLE GLAZE IVORY</t>
        </is>
      </c>
      <c r="F3987" s="114" t="n">
        <v>6</v>
      </c>
      <c r="G3987" s="115" t="n">
        <v>1.65</v>
      </c>
      <c r="H3987" s="115" t="n">
        <v>9.9</v>
      </c>
      <c r="I3987" s="116" t="n">
        <v>40849</v>
      </c>
    </row>
    <row r="3988">
      <c r="A3988" s="117" t="inlineStr">
        <is>
          <t>574049</t>
        </is>
      </c>
      <c r="B3988" s="117" t="n">
        <v>13316</v>
      </c>
      <c r="C3988" s="117" t="inlineStr">
        <is>
          <t>United Kingdom</t>
        </is>
      </c>
      <c r="D3988" s="117" t="inlineStr">
        <is>
          <t>22144</t>
        </is>
      </c>
      <c r="E3988" s="117" t="inlineStr">
        <is>
          <t>CHRISTMAS CRAFT LITTLE FRIENDS</t>
        </is>
      </c>
      <c r="F3988" s="117" t="n">
        <v>80</v>
      </c>
      <c r="G3988" s="118" t="n">
        <v>1.85</v>
      </c>
      <c r="H3988" s="118" t="n">
        <v>148</v>
      </c>
      <c r="I3988" s="119" t="n">
        <v>40849</v>
      </c>
    </row>
    <row r="3989">
      <c r="A3989" s="114" t="inlineStr">
        <is>
          <t>574051</t>
        </is>
      </c>
      <c r="B3989" s="114" t="n">
        <v>14102</v>
      </c>
      <c r="C3989" s="114" t="inlineStr">
        <is>
          <t>United Kingdom</t>
        </is>
      </c>
      <c r="D3989" s="114" t="inlineStr">
        <is>
          <t>84991</t>
        </is>
      </c>
      <c r="E3989" s="114" t="inlineStr">
        <is>
          <t>60 TEATIME FAIRY CAKE CASES</t>
        </is>
      </c>
      <c r="F3989" s="114" t="n">
        <v>1</v>
      </c>
      <c r="G3989" s="115" t="n">
        <v>0.55</v>
      </c>
      <c r="H3989" s="115" t="n">
        <v>0.55</v>
      </c>
      <c r="I3989" s="116" t="n">
        <v>40849</v>
      </c>
    </row>
    <row r="3990">
      <c r="A3990" s="117" t="inlineStr">
        <is>
          <t>574056</t>
        </is>
      </c>
      <c r="B3990" s="117" t="n">
        <v>14646</v>
      </c>
      <c r="C3990" s="117" t="inlineStr">
        <is>
          <t>Netherlands</t>
        </is>
      </c>
      <c r="D3990" s="117" t="inlineStr">
        <is>
          <t>22667</t>
        </is>
      </c>
      <c r="E3990" s="117" t="inlineStr">
        <is>
          <t xml:space="preserve">RECIPE BOX RETROSPOT </t>
        </is>
      </c>
      <c r="F3990" s="117" t="n">
        <v>24</v>
      </c>
      <c r="G3990" s="118" t="n">
        <v>2.55</v>
      </c>
      <c r="H3990" s="118" t="n">
        <v>61.2</v>
      </c>
      <c r="I3990" s="119" t="n">
        <v>40849</v>
      </c>
    </row>
    <row r="3991">
      <c r="A3991" s="114" t="inlineStr">
        <is>
          <t>574059</t>
        </is>
      </c>
      <c r="B3991" s="114" t="n">
        <v>14646</v>
      </c>
      <c r="C3991" s="114" t="inlineStr">
        <is>
          <t>Netherlands</t>
        </is>
      </c>
      <c r="D3991" s="114" t="inlineStr">
        <is>
          <t>23582</t>
        </is>
      </c>
      <c r="E3991" s="114" t="inlineStr">
        <is>
          <t xml:space="preserve">VINTAGE DOILY JUMBO BAG RED </t>
        </is>
      </c>
      <c r="F3991" s="114" t="n">
        <v>1</v>
      </c>
      <c r="G3991" s="115" t="n">
        <v>2.08</v>
      </c>
      <c r="H3991" s="115" t="n">
        <v>2.08</v>
      </c>
      <c r="I3991" s="116" t="n">
        <v>40849</v>
      </c>
    </row>
    <row r="3992">
      <c r="A3992" s="117" t="inlineStr">
        <is>
          <t>574059</t>
        </is>
      </c>
      <c r="B3992" s="117" t="n">
        <v>14646</v>
      </c>
      <c r="C3992" s="117" t="inlineStr">
        <is>
          <t>Netherlands</t>
        </is>
      </c>
      <c r="D3992" s="117" t="inlineStr">
        <is>
          <t>23475</t>
        </is>
      </c>
      <c r="E3992" s="117" t="inlineStr">
        <is>
          <t>WOODLAND SMALL PINK FELT HEART</t>
        </is>
      </c>
      <c r="F3992" s="117" t="n">
        <v>1</v>
      </c>
      <c r="G3992" s="118" t="n">
        <v>0.83</v>
      </c>
      <c r="H3992" s="118" t="n">
        <v>0.83</v>
      </c>
      <c r="I3992" s="119" t="n">
        <v>40849</v>
      </c>
    </row>
    <row r="3993">
      <c r="A3993" s="114" t="inlineStr">
        <is>
          <t>574062</t>
        </is>
      </c>
      <c r="B3993" s="114" t="n">
        <v>17675</v>
      </c>
      <c r="C3993" s="114" t="inlineStr">
        <is>
          <t>United Kingdom</t>
        </is>
      </c>
      <c r="D3993" s="114" t="inlineStr">
        <is>
          <t>23307</t>
        </is>
      </c>
      <c r="E3993" s="114" t="inlineStr">
        <is>
          <t xml:space="preserve">SET OF 60 PANTRY DESIGN CAKE CASES </t>
        </is>
      </c>
      <c r="F3993" s="114" t="n">
        <v>24</v>
      </c>
      <c r="G3993" s="115" t="n">
        <v>0.55</v>
      </c>
      <c r="H3993" s="115" t="n">
        <v>13.2</v>
      </c>
      <c r="I3993" s="116" t="n">
        <v>40849</v>
      </c>
    </row>
    <row r="3994">
      <c r="A3994" s="117" t="inlineStr">
        <is>
          <t>574067</t>
        </is>
      </c>
      <c r="B3994" s="117" t="n">
        <v>14088</v>
      </c>
      <c r="C3994" s="117" t="inlineStr">
        <is>
          <t>United Kingdom</t>
        </is>
      </c>
      <c r="D3994" s="117" t="inlineStr">
        <is>
          <t>22942</t>
        </is>
      </c>
      <c r="E3994" s="117" t="inlineStr">
        <is>
          <t xml:space="preserve">CHRISTMAS LIGHTS 10 SANTAS </t>
        </is>
      </c>
      <c r="F3994" s="117" t="n">
        <v>12</v>
      </c>
      <c r="G3994" s="118" t="n">
        <v>7.65</v>
      </c>
      <c r="H3994" s="118" t="n">
        <v>91.8</v>
      </c>
      <c r="I3994" s="119" t="n">
        <v>40849</v>
      </c>
    </row>
    <row r="3995">
      <c r="A3995" s="114" t="inlineStr">
        <is>
          <t>574069</t>
        </is>
      </c>
      <c r="B3995" s="114" t="n">
        <v>17735</v>
      </c>
      <c r="C3995" s="114" t="inlineStr">
        <is>
          <t>United Kingdom</t>
        </is>
      </c>
      <c r="D3995" s="114" t="inlineStr">
        <is>
          <t>23564</t>
        </is>
      </c>
      <c r="E3995" s="114" t="inlineStr">
        <is>
          <t>EGG CUP MILKMAID INGRID</t>
        </is>
      </c>
      <c r="F3995" s="114" t="n">
        <v>12</v>
      </c>
      <c r="G3995" s="115" t="n">
        <v>1.25</v>
      </c>
      <c r="H3995" s="115" t="n">
        <v>15</v>
      </c>
      <c r="I3995" s="116" t="n">
        <v>40849</v>
      </c>
    </row>
    <row r="3996">
      <c r="A3996" s="117" t="inlineStr">
        <is>
          <t>574084</t>
        </is>
      </c>
      <c r="B3996" s="117" t="n">
        <v>14528</v>
      </c>
      <c r="C3996" s="117" t="inlineStr">
        <is>
          <t>United Kingdom</t>
        </is>
      </c>
      <c r="D3996" s="117" t="inlineStr">
        <is>
          <t>22577</t>
        </is>
      </c>
      <c r="E3996" s="117" t="inlineStr">
        <is>
          <t>WOODEN HEART CHRISTMAS SCANDINAVIAN</t>
        </is>
      </c>
      <c r="F3996" s="117" t="n">
        <v>15</v>
      </c>
      <c r="G3996" s="118" t="n">
        <v>0.29</v>
      </c>
      <c r="H3996" s="118" t="n">
        <v>4.35</v>
      </c>
      <c r="I3996" s="119" t="n">
        <v>40849</v>
      </c>
    </row>
    <row r="3997">
      <c r="A3997" s="114" t="inlineStr">
        <is>
          <t>574089</t>
        </is>
      </c>
      <c r="B3997" s="114" t="n">
        <v>17611</v>
      </c>
      <c r="C3997" s="114" t="inlineStr">
        <is>
          <t>United Kingdom</t>
        </is>
      </c>
      <c r="D3997" s="114" t="inlineStr">
        <is>
          <t>22193</t>
        </is>
      </c>
      <c r="E3997" s="114" t="inlineStr">
        <is>
          <t>RED DINER WALL CLOCK</t>
        </is>
      </c>
      <c r="F3997" s="114" t="n">
        <v>2</v>
      </c>
      <c r="G3997" s="115" t="n">
        <v>8.5</v>
      </c>
      <c r="H3997" s="115" t="n">
        <v>17</v>
      </c>
      <c r="I3997" s="116" t="n">
        <v>40850</v>
      </c>
    </row>
    <row r="3998">
      <c r="A3998" s="117" t="inlineStr">
        <is>
          <t>574091</t>
        </is>
      </c>
      <c r="B3998" s="117" t="n">
        <v>17086</v>
      </c>
      <c r="C3998" s="117" t="inlineStr">
        <is>
          <t>United Kingdom</t>
        </is>
      </c>
      <c r="D3998" s="117" t="inlineStr">
        <is>
          <t>22211</t>
        </is>
      </c>
      <c r="E3998" s="117" t="inlineStr">
        <is>
          <t>WOOD STAMP SET FLOWERS</t>
        </is>
      </c>
      <c r="F3998" s="117" t="n">
        <v>12</v>
      </c>
      <c r="G3998" s="118" t="n">
        <v>0.83</v>
      </c>
      <c r="H3998" s="118" t="n">
        <v>9.960000000000001</v>
      </c>
      <c r="I3998" s="119" t="n">
        <v>40850</v>
      </c>
    </row>
    <row r="3999">
      <c r="A3999" s="114" t="inlineStr">
        <is>
          <t>574093</t>
        </is>
      </c>
      <c r="B3999" s="114" t="n">
        <v>12437</v>
      </c>
      <c r="C3999" s="114" t="inlineStr">
        <is>
          <t>France</t>
        </is>
      </c>
      <c r="D3999" s="114" t="inlineStr">
        <is>
          <t>23076</t>
        </is>
      </c>
      <c r="E3999" s="114" t="inlineStr">
        <is>
          <t>ICE CREAM SUNDAE LIP GLOSS</t>
        </is>
      </c>
      <c r="F3999" s="114" t="n">
        <v>24</v>
      </c>
      <c r="G3999" s="115" t="n">
        <v>1.25</v>
      </c>
      <c r="H3999" s="115" t="n">
        <v>30</v>
      </c>
      <c r="I3999" s="116" t="n">
        <v>40850</v>
      </c>
    </row>
    <row r="4000">
      <c r="A4000" s="117" t="inlineStr">
        <is>
          <t>574149</t>
        </is>
      </c>
      <c r="B4000" s="117" t="n">
        <v>13709</v>
      </c>
      <c r="C4000" s="117" t="inlineStr">
        <is>
          <t>United Kingdom</t>
        </is>
      </c>
      <c r="D4000" s="117" t="inlineStr">
        <is>
          <t>23092</t>
        </is>
      </c>
      <c r="E4000" s="117" t="inlineStr">
        <is>
          <t>LARGE ANTIQUE WHITE PHOTO FRAME</t>
        </is>
      </c>
      <c r="F4000" s="117" t="n">
        <v>12</v>
      </c>
      <c r="G4000" s="118" t="n">
        <v>6.65</v>
      </c>
      <c r="H4000" s="118" t="n">
        <v>79.8</v>
      </c>
      <c r="I4000" s="119" t="n">
        <v>40850</v>
      </c>
    </row>
    <row r="4001">
      <c r="A4001" s="114" t="inlineStr">
        <is>
          <t>574170</t>
        </is>
      </c>
      <c r="B4001" s="114" t="n">
        <v>16221</v>
      </c>
      <c r="C4001" s="114" t="inlineStr">
        <is>
          <t>United Kingdom</t>
        </is>
      </c>
      <c r="D4001" s="114" t="inlineStr">
        <is>
          <t>23493</t>
        </is>
      </c>
      <c r="E4001" s="114" t="inlineStr">
        <is>
          <t>VINTAGE DOILY TRAVEL SEWING KIT</t>
        </is>
      </c>
      <c r="F4001" s="114" t="n">
        <v>6</v>
      </c>
      <c r="G4001" s="115" t="n">
        <v>1.95</v>
      </c>
      <c r="H4001" s="115" t="n">
        <v>11.7</v>
      </c>
      <c r="I4001" s="116" t="n">
        <v>40850</v>
      </c>
    </row>
    <row r="4002">
      <c r="A4002" s="117" t="inlineStr">
        <is>
          <t>574228</t>
        </is>
      </c>
      <c r="B4002" s="117" t="n">
        <v>16678</v>
      </c>
      <c r="C4002" s="117" t="inlineStr">
        <is>
          <t>United Kingdom</t>
        </is>
      </c>
      <c r="D4002" s="117" t="inlineStr">
        <is>
          <t>22900</t>
        </is>
      </c>
      <c r="E4002" s="117" t="inlineStr">
        <is>
          <t xml:space="preserve">SET 2 TEA TOWELS I LOVE LONDON </t>
        </is>
      </c>
      <c r="F4002" s="117" t="n">
        <v>12</v>
      </c>
      <c r="G4002" s="118" t="n">
        <v>3.25</v>
      </c>
      <c r="H4002" s="118" t="n">
        <v>39</v>
      </c>
      <c r="I4002" s="119" t="n">
        <v>40850</v>
      </c>
    </row>
    <row r="4003">
      <c r="A4003" s="114" t="inlineStr">
        <is>
          <t>574227</t>
        </is>
      </c>
      <c r="B4003" s="114" t="n">
        <v>16992</v>
      </c>
      <c r="C4003" s="114" t="inlineStr">
        <is>
          <t>United Kingdom</t>
        </is>
      </c>
      <c r="D4003" s="114" t="inlineStr">
        <is>
          <t>23094</t>
        </is>
      </c>
      <c r="E4003" s="114" t="inlineStr">
        <is>
          <t>LE GRAND TRAY CHIC SET</t>
        </is>
      </c>
      <c r="F4003" s="114" t="n">
        <v>1</v>
      </c>
      <c r="G4003" s="115" t="n">
        <v>12.5</v>
      </c>
      <c r="H4003" s="115" t="n">
        <v>12.5</v>
      </c>
      <c r="I4003" s="116" t="n">
        <v>40850</v>
      </c>
    </row>
    <row r="4004">
      <c r="A4004" s="117" t="inlineStr">
        <is>
          <t>574239</t>
        </is>
      </c>
      <c r="B4004" s="117" t="n">
        <v>14849</v>
      </c>
      <c r="C4004" s="117" t="inlineStr">
        <is>
          <t>United Kingdom</t>
        </is>
      </c>
      <c r="D4004" s="117" t="inlineStr">
        <is>
          <t>22909</t>
        </is>
      </c>
      <c r="E4004" s="117" t="inlineStr">
        <is>
          <t>SET OF 20 VINTAGE CHRISTMAS NAPKINS</t>
        </is>
      </c>
      <c r="F4004" s="117" t="n">
        <v>24</v>
      </c>
      <c r="G4004" s="118" t="n">
        <v>0.85</v>
      </c>
      <c r="H4004" s="118" t="n">
        <v>20.4</v>
      </c>
      <c r="I4004" s="119" t="n">
        <v>40850</v>
      </c>
    </row>
    <row r="4005">
      <c r="A4005" s="114" t="inlineStr">
        <is>
          <t>574240</t>
        </is>
      </c>
      <c r="B4005" s="114" t="n">
        <v>15998</v>
      </c>
      <c r="C4005" s="114" t="inlineStr">
        <is>
          <t>United Kingdom</t>
        </is>
      </c>
      <c r="D4005" s="114" t="inlineStr">
        <is>
          <t>23232</t>
        </is>
      </c>
      <c r="E4005" s="114" t="inlineStr">
        <is>
          <t>WRAP VINTAGE LEAF DESIGN</t>
        </is>
      </c>
      <c r="F4005" s="114" t="n">
        <v>25</v>
      </c>
      <c r="G4005" s="115" t="n">
        <v>0.42</v>
      </c>
      <c r="H4005" s="115" t="n">
        <v>10.5</v>
      </c>
      <c r="I4005" s="116" t="n">
        <v>40850</v>
      </c>
    </row>
    <row r="4006">
      <c r="A4006" s="117" t="inlineStr">
        <is>
          <t>574249</t>
        </is>
      </c>
      <c r="B4006" s="117" t="n">
        <v>16347</v>
      </c>
      <c r="C4006" s="117" t="inlineStr">
        <is>
          <t>United Kingdom</t>
        </is>
      </c>
      <c r="D4006" s="117" t="inlineStr">
        <is>
          <t>23203</t>
        </is>
      </c>
      <c r="E4006" s="117" t="inlineStr">
        <is>
          <t xml:space="preserve">JUMBO BAG VINTAGE DOILY </t>
        </is>
      </c>
      <c r="F4006" s="117" t="n">
        <v>10</v>
      </c>
      <c r="G4006" s="118" t="n">
        <v>2.08</v>
      </c>
      <c r="H4006" s="118" t="n">
        <v>20.8</v>
      </c>
      <c r="I4006" s="119" t="n">
        <v>40850</v>
      </c>
    </row>
    <row r="4007">
      <c r="A4007" s="114" t="inlineStr">
        <is>
          <t>574250</t>
        </is>
      </c>
      <c r="B4007" s="114" t="n">
        <v>17634</v>
      </c>
      <c r="C4007" s="114" t="inlineStr">
        <is>
          <t>United Kingdom</t>
        </is>
      </c>
      <c r="D4007" s="114" t="inlineStr">
        <is>
          <t>84596B</t>
        </is>
      </c>
      <c r="E4007" s="114" t="inlineStr">
        <is>
          <t>SMALL DOLLY MIX DESIGN ORANGE BOWL</t>
        </is>
      </c>
      <c r="F4007" s="114" t="n">
        <v>2</v>
      </c>
      <c r="G4007" s="115" t="n">
        <v>0.42</v>
      </c>
      <c r="H4007" s="115" t="n">
        <v>0.84</v>
      </c>
      <c r="I4007" s="116" t="n">
        <v>40850</v>
      </c>
    </row>
    <row r="4008">
      <c r="A4008" s="117" t="inlineStr">
        <is>
          <t>574258</t>
        </is>
      </c>
      <c r="B4008" s="117" t="n">
        <v>16891</v>
      </c>
      <c r="C4008" s="117" t="inlineStr">
        <is>
          <t>United Kingdom</t>
        </is>
      </c>
      <c r="D4008" s="117" t="inlineStr">
        <is>
          <t>21642</t>
        </is>
      </c>
      <c r="E4008" s="117" t="inlineStr">
        <is>
          <t>ASSORTED TUTTI FRUTTI PEN</t>
        </is>
      </c>
      <c r="F4008" s="117" t="n">
        <v>1</v>
      </c>
      <c r="G4008" s="118" t="n">
        <v>0.29</v>
      </c>
      <c r="H4008" s="118" t="n">
        <v>0.29</v>
      </c>
      <c r="I4008" s="119" t="n">
        <v>40850</v>
      </c>
    </row>
    <row r="4009">
      <c r="A4009" s="114" t="inlineStr">
        <is>
          <t>574258</t>
        </is>
      </c>
      <c r="B4009" s="114" t="n">
        <v>16891</v>
      </c>
      <c r="C4009" s="114" t="inlineStr">
        <is>
          <t>United Kingdom</t>
        </is>
      </c>
      <c r="D4009" s="114" t="inlineStr">
        <is>
          <t>22746</t>
        </is>
      </c>
      <c r="E4009" s="114" t="inlineStr">
        <is>
          <t xml:space="preserve">POPPY'S PLAYHOUSE LIVINGROOM </t>
        </is>
      </c>
      <c r="F4009" s="114" t="n">
        <v>1</v>
      </c>
      <c r="G4009" s="115" t="n">
        <v>2.1</v>
      </c>
      <c r="H4009" s="115" t="n">
        <v>2.1</v>
      </c>
      <c r="I4009" s="116" t="n">
        <v>40850</v>
      </c>
    </row>
    <row r="4010">
      <c r="A4010" s="117" t="inlineStr">
        <is>
          <t>574275</t>
        </is>
      </c>
      <c r="B4010" s="117" t="n">
        <v>12352</v>
      </c>
      <c r="C4010" s="117" t="inlineStr">
        <is>
          <t>Norway</t>
        </is>
      </c>
      <c r="D4010" s="117" t="inlineStr">
        <is>
          <t>23367</t>
        </is>
      </c>
      <c r="E4010" s="117" t="inlineStr">
        <is>
          <t xml:space="preserve">SET 12 COLOUR PENCILS SPACEBOY </t>
        </is>
      </c>
      <c r="F4010" s="117" t="n">
        <v>16</v>
      </c>
      <c r="G4010" s="118" t="n">
        <v>0.65</v>
      </c>
      <c r="H4010" s="118" t="n">
        <v>10.4</v>
      </c>
      <c r="I4010" s="119" t="n">
        <v>40850</v>
      </c>
    </row>
    <row r="4011">
      <c r="A4011" s="114" t="inlineStr">
        <is>
          <t>574301</t>
        </is>
      </c>
      <c r="B4011" s="114" t="n">
        <v>12544</v>
      </c>
      <c r="C4011" s="114" t="inlineStr">
        <is>
          <t>Spain</t>
        </is>
      </c>
      <c r="D4011" s="114" t="inlineStr">
        <is>
          <t>20971</t>
        </is>
      </c>
      <c r="E4011" s="114" t="inlineStr">
        <is>
          <t>PINK BLUE FELT CRAFT TRINKET BOX</t>
        </is>
      </c>
      <c r="F4011" s="114" t="n">
        <v>12</v>
      </c>
      <c r="G4011" s="115" t="n">
        <v>1.25</v>
      </c>
      <c r="H4011" s="115" t="n">
        <v>15</v>
      </c>
      <c r="I4011" s="116" t="n">
        <v>40850</v>
      </c>
    </row>
    <row r="4012">
      <c r="A4012" s="117" t="inlineStr">
        <is>
          <t>574303</t>
        </is>
      </c>
      <c r="B4012" s="117" t="n">
        <v>13324</v>
      </c>
      <c r="C4012" s="117" t="inlineStr">
        <is>
          <t>United Kingdom</t>
        </is>
      </c>
      <c r="D4012" s="117" t="inlineStr">
        <is>
          <t>23296</t>
        </is>
      </c>
      <c r="E4012" s="117" t="inlineStr">
        <is>
          <t>SET OF 6 TEA TIME BAKING CASES</t>
        </is>
      </c>
      <c r="F4012" s="117" t="n">
        <v>48</v>
      </c>
      <c r="G4012" s="118" t="n">
        <v>1.25</v>
      </c>
      <c r="H4012" s="118" t="n">
        <v>60</v>
      </c>
      <c r="I4012" s="119" t="n">
        <v>40850</v>
      </c>
    </row>
    <row r="4013">
      <c r="A4013" s="114" t="inlineStr">
        <is>
          <t>574304</t>
        </is>
      </c>
      <c r="B4013" s="114" t="n">
        <v>14428</v>
      </c>
      <c r="C4013" s="114" t="inlineStr">
        <is>
          <t>United Kingdom</t>
        </is>
      </c>
      <c r="D4013" s="114" t="inlineStr">
        <is>
          <t>22667</t>
        </is>
      </c>
      <c r="E4013" s="114" t="inlineStr">
        <is>
          <t xml:space="preserve">RECIPE BOX RETROSPOT </t>
        </is>
      </c>
      <c r="F4013" s="114" t="n">
        <v>1</v>
      </c>
      <c r="G4013" s="115" t="n">
        <v>2.95</v>
      </c>
      <c r="H4013" s="115" t="n">
        <v>2.95</v>
      </c>
      <c r="I4013" s="116" t="n">
        <v>40850</v>
      </c>
    </row>
    <row r="4014">
      <c r="A4014" s="117" t="inlineStr">
        <is>
          <t>574308</t>
        </is>
      </c>
      <c r="B4014" s="117" t="n">
        <v>16409</v>
      </c>
      <c r="C4014" s="117" t="inlineStr">
        <is>
          <t>United Kingdom</t>
        </is>
      </c>
      <c r="D4014" s="117" t="inlineStr">
        <is>
          <t>20674</t>
        </is>
      </c>
      <c r="E4014" s="117" t="inlineStr">
        <is>
          <t>GREEN POLKADOT BOWL</t>
        </is>
      </c>
      <c r="F4014" s="117" t="n">
        <v>12</v>
      </c>
      <c r="G4014" s="118" t="n">
        <v>1.25</v>
      </c>
      <c r="H4014" s="118" t="n">
        <v>15</v>
      </c>
      <c r="I4014" s="119" t="n">
        <v>40850</v>
      </c>
    </row>
    <row r="4015">
      <c r="A4015" s="114" t="inlineStr">
        <is>
          <t>574308</t>
        </is>
      </c>
      <c r="B4015" s="114" t="n">
        <v>16409</v>
      </c>
      <c r="C4015" s="114" t="inlineStr">
        <is>
          <t>United Kingdom</t>
        </is>
      </c>
      <c r="D4015" s="114" t="inlineStr">
        <is>
          <t>23333</t>
        </is>
      </c>
      <c r="E4015" s="114" t="inlineStr">
        <is>
          <t>IVORY WICKER HEART MEDIUM</t>
        </is>
      </c>
      <c r="F4015" s="114" t="n">
        <v>6</v>
      </c>
      <c r="G4015" s="115" t="n">
        <v>1.25</v>
      </c>
      <c r="H4015" s="115" t="n">
        <v>7.5</v>
      </c>
      <c r="I4015" s="116" t="n">
        <v>40850</v>
      </c>
    </row>
    <row r="4016">
      <c r="A4016" s="117" t="inlineStr">
        <is>
          <t>574311</t>
        </is>
      </c>
      <c r="B4016" s="117" t="n">
        <v>15640</v>
      </c>
      <c r="C4016" s="117" t="inlineStr">
        <is>
          <t>United Kingdom</t>
        </is>
      </c>
      <c r="D4016" s="117" t="inlineStr">
        <is>
          <t>22186</t>
        </is>
      </c>
      <c r="E4016" s="117" t="inlineStr">
        <is>
          <t>RED STAR CARD HOLDER</t>
        </is>
      </c>
      <c r="F4016" s="117" t="n">
        <v>6</v>
      </c>
      <c r="G4016" s="118" t="n">
        <v>1.95</v>
      </c>
      <c r="H4016" s="118" t="n">
        <v>11.7</v>
      </c>
      <c r="I4016" s="119" t="n">
        <v>40850</v>
      </c>
    </row>
    <row r="4017">
      <c r="A4017" s="114" t="inlineStr">
        <is>
          <t>574311</t>
        </is>
      </c>
      <c r="B4017" s="114" t="n">
        <v>15640</v>
      </c>
      <c r="C4017" s="114" t="inlineStr">
        <is>
          <t>United Kingdom</t>
        </is>
      </c>
      <c r="D4017" s="114" t="inlineStr">
        <is>
          <t>22075</t>
        </is>
      </c>
      <c r="E4017" s="114" t="inlineStr">
        <is>
          <t xml:space="preserve">6 RIBBONS ELEGANT CHRISTMAS </t>
        </is>
      </c>
      <c r="F4017" s="114" t="n">
        <v>24</v>
      </c>
      <c r="G4017" s="115" t="n">
        <v>1.65</v>
      </c>
      <c r="H4017" s="115" t="n">
        <v>39.6</v>
      </c>
      <c r="I4017" s="116" t="n">
        <v>40850</v>
      </c>
    </row>
    <row r="4018">
      <c r="A4018" s="117" t="inlineStr">
        <is>
          <t>574310</t>
        </is>
      </c>
      <c r="B4018" s="117" t="n">
        <v>13467</v>
      </c>
      <c r="C4018" s="117" t="inlineStr">
        <is>
          <t>United Kingdom</t>
        </is>
      </c>
      <c r="D4018" s="117" t="inlineStr">
        <is>
          <t>85032B</t>
        </is>
      </c>
      <c r="E4018" s="117" t="inlineStr">
        <is>
          <t>BLOSSOM IMAGES GIFT WRAP SET</t>
        </is>
      </c>
      <c r="F4018" s="117" t="n">
        <v>2</v>
      </c>
      <c r="G4018" s="118" t="n">
        <v>0.65</v>
      </c>
      <c r="H4018" s="118" t="n">
        <v>1.3</v>
      </c>
      <c r="I4018" s="119" t="n">
        <v>40850</v>
      </c>
    </row>
    <row r="4019">
      <c r="A4019" s="114" t="inlineStr">
        <is>
          <t>574317</t>
        </is>
      </c>
      <c r="B4019" s="114" t="n">
        <v>17078</v>
      </c>
      <c r="C4019" s="114" t="inlineStr">
        <is>
          <t>United Kingdom</t>
        </is>
      </c>
      <c r="D4019" s="114" t="inlineStr">
        <is>
          <t>85094</t>
        </is>
      </c>
      <c r="E4019" s="114" t="inlineStr">
        <is>
          <t>CANDY SPOT EGG WARMER RABBIT</t>
        </is>
      </c>
      <c r="F4019" s="114" t="n">
        <v>12</v>
      </c>
      <c r="G4019" s="115" t="n">
        <v>0.19</v>
      </c>
      <c r="H4019" s="115" t="n">
        <v>2.28</v>
      </c>
      <c r="I4019" s="116" t="n">
        <v>40850</v>
      </c>
    </row>
    <row r="4020">
      <c r="A4020" s="117" t="inlineStr">
        <is>
          <t>574317</t>
        </is>
      </c>
      <c r="B4020" s="117" t="n">
        <v>17078</v>
      </c>
      <c r="C4020" s="117" t="inlineStr">
        <is>
          <t>United Kingdom</t>
        </is>
      </c>
      <c r="D4020" s="117" t="inlineStr">
        <is>
          <t>21108</t>
        </is>
      </c>
      <c r="E4020" s="117" t="inlineStr">
        <is>
          <t>FAIRY CAKE FLANNEL ASSORTED COLOUR</t>
        </is>
      </c>
      <c r="F4020" s="117" t="n">
        <v>36</v>
      </c>
      <c r="G4020" s="118" t="n">
        <v>0.79</v>
      </c>
      <c r="H4020" s="118" t="n">
        <v>28.44</v>
      </c>
      <c r="I4020" s="119" t="n">
        <v>40850</v>
      </c>
    </row>
    <row r="4021">
      <c r="A4021" s="114" t="inlineStr">
        <is>
          <t>574319</t>
        </is>
      </c>
      <c r="B4021" s="114" t="n">
        <v>15482</v>
      </c>
      <c r="C4021" s="114" t="inlineStr">
        <is>
          <t>United Kingdom</t>
        </is>
      </c>
      <c r="D4021" s="114" t="inlineStr">
        <is>
          <t>82494L</t>
        </is>
      </c>
      <c r="E4021" s="114" t="inlineStr">
        <is>
          <t xml:space="preserve">WOODEN FRAME ANTIQUE WHITE </t>
        </is>
      </c>
      <c r="F4021" s="114" t="n">
        <v>48</v>
      </c>
      <c r="G4021" s="115" t="n">
        <v>2.55</v>
      </c>
      <c r="H4021" s="115" t="n">
        <v>122.4</v>
      </c>
      <c r="I4021" s="116" t="n">
        <v>40850</v>
      </c>
    </row>
    <row r="4022">
      <c r="A4022" s="117" t="inlineStr">
        <is>
          <t>574321</t>
        </is>
      </c>
      <c r="B4022" s="117" t="n">
        <v>16016</v>
      </c>
      <c r="C4022" s="117" t="inlineStr">
        <is>
          <t>United Kingdom</t>
        </is>
      </c>
      <c r="D4022" s="117" t="inlineStr">
        <is>
          <t>22423</t>
        </is>
      </c>
      <c r="E4022" s="117" t="inlineStr">
        <is>
          <t>REGENCY CAKESTAND 3 TIER</t>
        </is>
      </c>
      <c r="F4022" s="117" t="n">
        <v>1</v>
      </c>
      <c r="G4022" s="118" t="n">
        <v>12.75</v>
      </c>
      <c r="H4022" s="118" t="n">
        <v>12.75</v>
      </c>
      <c r="I4022" s="119" t="n">
        <v>40850</v>
      </c>
    </row>
    <row r="4023">
      <c r="A4023" s="114" t="inlineStr">
        <is>
          <t>574321</t>
        </is>
      </c>
      <c r="B4023" s="114" t="n">
        <v>16016</v>
      </c>
      <c r="C4023" s="114" t="inlineStr">
        <is>
          <t>United Kingdom</t>
        </is>
      </c>
      <c r="D4023" s="114" t="inlineStr">
        <is>
          <t>20766</t>
        </is>
      </c>
      <c r="E4023" s="114" t="inlineStr">
        <is>
          <t>GARDEN PATH SKETCHBOOK</t>
        </is>
      </c>
      <c r="F4023" s="114" t="n">
        <v>1</v>
      </c>
      <c r="G4023" s="115" t="n">
        <v>3.75</v>
      </c>
      <c r="H4023" s="115" t="n">
        <v>3.75</v>
      </c>
      <c r="I4023" s="116" t="n">
        <v>40850</v>
      </c>
    </row>
    <row r="4024">
      <c r="A4024" s="117" t="inlineStr">
        <is>
          <t>574328</t>
        </is>
      </c>
      <c r="B4024" s="117" t="n">
        <v>13081</v>
      </c>
      <c r="C4024" s="117" t="inlineStr">
        <is>
          <t>United Kingdom</t>
        </is>
      </c>
      <c r="D4024" s="117" t="inlineStr">
        <is>
          <t>22090</t>
        </is>
      </c>
      <c r="E4024" s="117" t="inlineStr">
        <is>
          <t>PAPER BUNTING RETROSPOT</t>
        </is>
      </c>
      <c r="F4024" s="117" t="n">
        <v>40</v>
      </c>
      <c r="G4024" s="118" t="n">
        <v>2.55</v>
      </c>
      <c r="H4024" s="118" t="n">
        <v>102</v>
      </c>
      <c r="I4024" s="119" t="n">
        <v>40851</v>
      </c>
    </row>
    <row r="4025">
      <c r="A4025" s="114" t="inlineStr">
        <is>
          <t>574328</t>
        </is>
      </c>
      <c r="B4025" s="114" t="n">
        <v>13081</v>
      </c>
      <c r="C4025" s="114" t="inlineStr">
        <is>
          <t>United Kingdom</t>
        </is>
      </c>
      <c r="D4025" s="114" t="inlineStr">
        <is>
          <t>21988</t>
        </is>
      </c>
      <c r="E4025" s="114" t="inlineStr">
        <is>
          <t>PACK OF 6 SKULL PAPER PLATES</t>
        </is>
      </c>
      <c r="F4025" s="114" t="n">
        <v>24</v>
      </c>
      <c r="G4025" s="115" t="n">
        <v>0.85</v>
      </c>
      <c r="H4025" s="115" t="n">
        <v>20.4</v>
      </c>
      <c r="I4025" s="116" t="n">
        <v>40851</v>
      </c>
    </row>
    <row r="4026">
      <c r="A4026" s="117" t="inlineStr">
        <is>
          <t>574328</t>
        </is>
      </c>
      <c r="B4026" s="117" t="n">
        <v>13081</v>
      </c>
      <c r="C4026" s="117" t="inlineStr">
        <is>
          <t>United Kingdom</t>
        </is>
      </c>
      <c r="D4026" s="117" t="inlineStr">
        <is>
          <t>22944</t>
        </is>
      </c>
      <c r="E4026" s="117" t="inlineStr">
        <is>
          <t>CHRISTMAS METAL POSTCARD WITH BELLS</t>
        </is>
      </c>
      <c r="F4026" s="117" t="n">
        <v>72</v>
      </c>
      <c r="G4026" s="118" t="n">
        <v>0.39</v>
      </c>
      <c r="H4026" s="118" t="n">
        <v>28.08</v>
      </c>
      <c r="I4026" s="119" t="n">
        <v>40851</v>
      </c>
    </row>
    <row r="4027">
      <c r="A4027" s="114" t="inlineStr">
        <is>
          <t>574328</t>
        </is>
      </c>
      <c r="B4027" s="114" t="n">
        <v>13081</v>
      </c>
      <c r="C4027" s="114" t="inlineStr">
        <is>
          <t>United Kingdom</t>
        </is>
      </c>
      <c r="D4027" s="114" t="inlineStr">
        <is>
          <t>23237</t>
        </is>
      </c>
      <c r="E4027" s="114" t="inlineStr">
        <is>
          <t>SET OF 4 KNICK KNACK TINS LEAF</t>
        </is>
      </c>
      <c r="F4027" s="114" t="n">
        <v>12</v>
      </c>
      <c r="G4027" s="115" t="n">
        <v>4.15</v>
      </c>
      <c r="H4027" s="115" t="n">
        <v>49.8</v>
      </c>
      <c r="I4027" s="116" t="n">
        <v>40851</v>
      </c>
    </row>
    <row r="4028">
      <c r="A4028" s="117" t="inlineStr">
        <is>
          <t>574343</t>
        </is>
      </c>
      <c r="B4028" s="117" t="n">
        <v>12576</v>
      </c>
      <c r="C4028" s="117" t="inlineStr">
        <is>
          <t>Poland</t>
        </is>
      </c>
      <c r="D4028" s="117" t="inlineStr">
        <is>
          <t>22481</t>
        </is>
      </c>
      <c r="E4028" s="117" t="inlineStr">
        <is>
          <t>BLACK TEA TOWEL CLASSIC DESIGN</t>
        </is>
      </c>
      <c r="F4028" s="117" t="n">
        <v>12</v>
      </c>
      <c r="G4028" s="118" t="n">
        <v>1.25</v>
      </c>
      <c r="H4028" s="118" t="n">
        <v>15</v>
      </c>
      <c r="I4028" s="119" t="n">
        <v>40851</v>
      </c>
    </row>
    <row r="4029">
      <c r="A4029" s="114" t="inlineStr">
        <is>
          <t>574346</t>
        </is>
      </c>
      <c r="B4029" s="114" t="n">
        <v>17930</v>
      </c>
      <c r="C4029" s="114" t="inlineStr">
        <is>
          <t>United Kingdom</t>
        </is>
      </c>
      <c r="D4029" s="114" t="inlineStr">
        <is>
          <t>22041</t>
        </is>
      </c>
      <c r="E4029" s="114" t="inlineStr">
        <is>
          <t xml:space="preserve">RECORD FRAME 7" SINGLE SIZE </t>
        </is>
      </c>
      <c r="F4029" s="114" t="n">
        <v>48</v>
      </c>
      <c r="G4029" s="115" t="n">
        <v>2.1</v>
      </c>
      <c r="H4029" s="115" t="n">
        <v>100.8</v>
      </c>
      <c r="I4029" s="116" t="n">
        <v>40851</v>
      </c>
    </row>
    <row r="4030">
      <c r="A4030" s="117" t="inlineStr">
        <is>
          <t>574471</t>
        </is>
      </c>
      <c r="B4030" s="117" t="n">
        <v>17677</v>
      </c>
      <c r="C4030" s="117" t="inlineStr">
        <is>
          <t>United Kingdom</t>
        </is>
      </c>
      <c r="D4030" s="117" t="inlineStr">
        <is>
          <t>22952</t>
        </is>
      </c>
      <c r="E4030" s="117" t="inlineStr">
        <is>
          <t>60 CAKE CASES VINTAGE CHRISTMAS</t>
        </is>
      </c>
      <c r="F4030" s="117" t="n">
        <v>24</v>
      </c>
      <c r="G4030" s="118" t="n">
        <v>0.55</v>
      </c>
      <c r="H4030" s="118" t="n">
        <v>13.2</v>
      </c>
      <c r="I4030" s="119" t="n">
        <v>40851</v>
      </c>
    </row>
    <row r="4031">
      <c r="A4031" s="114" t="inlineStr">
        <is>
          <t>574474</t>
        </is>
      </c>
      <c r="B4031" s="114" t="n">
        <v>17979</v>
      </c>
      <c r="C4031" s="114" t="inlineStr">
        <is>
          <t>United Kingdom</t>
        </is>
      </c>
      <c r="D4031" s="114" t="inlineStr">
        <is>
          <t>37475</t>
        </is>
      </c>
      <c r="E4031" s="114" t="inlineStr">
        <is>
          <t>SET/4 COLOURFUL MIXING BOWLS</t>
        </is>
      </c>
      <c r="F4031" s="114" t="n">
        <v>1</v>
      </c>
      <c r="G4031" s="115" t="n">
        <v>9.949999999999999</v>
      </c>
      <c r="H4031" s="115" t="n">
        <v>9.949999999999999</v>
      </c>
      <c r="I4031" s="116" t="n">
        <v>40851</v>
      </c>
    </row>
    <row r="4032">
      <c r="A4032" s="117" t="inlineStr">
        <is>
          <t>574475</t>
        </is>
      </c>
      <c r="B4032" s="117" t="n">
        <v>14132</v>
      </c>
      <c r="C4032" s="117" t="inlineStr">
        <is>
          <t>United Kingdom</t>
        </is>
      </c>
      <c r="D4032" s="117" t="inlineStr">
        <is>
          <t>22749</t>
        </is>
      </c>
      <c r="E4032" s="117" t="inlineStr">
        <is>
          <t>FELTCRAFT PRINCESS CHARLOTTE DOLL</t>
        </is>
      </c>
      <c r="F4032" s="117" t="n">
        <v>4</v>
      </c>
      <c r="G4032" s="118" t="n">
        <v>3.75</v>
      </c>
      <c r="H4032" s="118" t="n">
        <v>15</v>
      </c>
      <c r="I4032" s="119" t="n">
        <v>40851</v>
      </c>
    </row>
    <row r="4033">
      <c r="A4033" s="114" t="inlineStr">
        <is>
          <t>574476</t>
        </is>
      </c>
      <c r="B4033" s="114" t="n">
        <v>17203</v>
      </c>
      <c r="C4033" s="114" t="inlineStr">
        <is>
          <t>United Kingdom</t>
        </is>
      </c>
      <c r="D4033" s="114" t="inlineStr">
        <is>
          <t>22150</t>
        </is>
      </c>
      <c r="E4033" s="114" t="inlineStr">
        <is>
          <t>3 STRIPEY MICE FELTCRAFT</t>
        </is>
      </c>
      <c r="F4033" s="114" t="n">
        <v>2</v>
      </c>
      <c r="G4033" s="115" t="n">
        <v>1.95</v>
      </c>
      <c r="H4033" s="115" t="n">
        <v>3.9</v>
      </c>
      <c r="I4033" s="116" t="n">
        <v>40851</v>
      </c>
    </row>
    <row r="4034">
      <c r="A4034" s="117" t="inlineStr">
        <is>
          <t>574476</t>
        </is>
      </c>
      <c r="B4034" s="117" t="n">
        <v>17203</v>
      </c>
      <c r="C4034" s="117" t="inlineStr">
        <is>
          <t>United Kingdom</t>
        </is>
      </c>
      <c r="D4034" s="117" t="inlineStr">
        <is>
          <t>16237</t>
        </is>
      </c>
      <c r="E4034" s="117" t="inlineStr">
        <is>
          <t>SLEEPING CAT ERASERS</t>
        </is>
      </c>
      <c r="F4034" s="117" t="n">
        <v>2</v>
      </c>
      <c r="G4034" s="118" t="n">
        <v>0.21</v>
      </c>
      <c r="H4034" s="118" t="n">
        <v>0.42</v>
      </c>
      <c r="I4034" s="119" t="n">
        <v>40851</v>
      </c>
    </row>
    <row r="4035">
      <c r="A4035" s="114" t="inlineStr">
        <is>
          <t>574477</t>
        </is>
      </c>
      <c r="B4035" s="114" t="n">
        <v>15453</v>
      </c>
      <c r="C4035" s="114" t="inlineStr">
        <is>
          <t>United Kingdom</t>
        </is>
      </c>
      <c r="D4035" s="114" t="inlineStr">
        <is>
          <t>22591</t>
        </is>
      </c>
      <c r="E4035" s="114" t="inlineStr">
        <is>
          <t>CARDHOLDER GINGHAM CHRISTMAS TREE</t>
        </is>
      </c>
      <c r="F4035" s="114" t="n">
        <v>1</v>
      </c>
      <c r="G4035" s="115" t="n">
        <v>3.25</v>
      </c>
      <c r="H4035" s="115" t="n">
        <v>3.25</v>
      </c>
      <c r="I4035" s="116" t="n">
        <v>40851</v>
      </c>
    </row>
    <row r="4036">
      <c r="A4036" s="117" t="inlineStr">
        <is>
          <t>574479</t>
        </is>
      </c>
      <c r="B4036" s="117" t="n">
        <v>18035</v>
      </c>
      <c r="C4036" s="117" t="inlineStr">
        <is>
          <t>United Kingdom</t>
        </is>
      </c>
      <c r="D4036" s="117" t="inlineStr">
        <is>
          <t>22993</t>
        </is>
      </c>
      <c r="E4036" s="117" t="inlineStr">
        <is>
          <t>SET OF 4 PANTRY JELLY MOULDS</t>
        </is>
      </c>
      <c r="F4036" s="117" t="n">
        <v>1</v>
      </c>
      <c r="G4036" s="118" t="n">
        <v>1.25</v>
      </c>
      <c r="H4036" s="118" t="n">
        <v>1.25</v>
      </c>
      <c r="I4036" s="119" t="n">
        <v>40851</v>
      </c>
    </row>
    <row r="4037">
      <c r="A4037" s="114" t="inlineStr">
        <is>
          <t>574481</t>
        </is>
      </c>
      <c r="B4037" s="114" t="n">
        <v>18022</v>
      </c>
      <c r="C4037" s="114" t="inlineStr">
        <is>
          <t>United Kingdom</t>
        </is>
      </c>
      <c r="D4037" s="114" t="inlineStr">
        <is>
          <t>84596B</t>
        </is>
      </c>
      <c r="E4037" s="114" t="inlineStr">
        <is>
          <t>SMALL DOLLY MIX DESIGN ORANGE BOWL</t>
        </is>
      </c>
      <c r="F4037" s="114" t="n">
        <v>1</v>
      </c>
      <c r="G4037" s="115" t="n">
        <v>0.42</v>
      </c>
      <c r="H4037" s="115" t="n">
        <v>0.42</v>
      </c>
      <c r="I4037" s="116" t="n">
        <v>40851</v>
      </c>
    </row>
    <row r="4038">
      <c r="A4038" s="117" t="inlineStr">
        <is>
          <t>574502</t>
        </is>
      </c>
      <c r="B4038" s="117" t="n">
        <v>17274</v>
      </c>
      <c r="C4038" s="117" t="inlineStr">
        <is>
          <t>United Kingdom</t>
        </is>
      </c>
      <c r="D4038" s="117" t="inlineStr">
        <is>
          <t>23294</t>
        </is>
      </c>
      <c r="E4038" s="117" t="inlineStr">
        <is>
          <t>SET OF 6 SNACK LOAF BAKING CASES</t>
        </is>
      </c>
      <c r="F4038" s="117" t="n">
        <v>1</v>
      </c>
      <c r="G4038" s="118" t="n">
        <v>0.83</v>
      </c>
      <c r="H4038" s="118" t="n">
        <v>0.83</v>
      </c>
      <c r="I4038" s="119" t="n">
        <v>40851</v>
      </c>
    </row>
    <row r="4039">
      <c r="A4039" s="114" t="inlineStr">
        <is>
          <t>574506</t>
        </is>
      </c>
      <c r="B4039" s="114" t="n">
        <v>12577</v>
      </c>
      <c r="C4039" s="114" t="inlineStr">
        <is>
          <t>France</t>
        </is>
      </c>
      <c r="D4039" s="114" t="inlineStr">
        <is>
          <t>23356</t>
        </is>
      </c>
      <c r="E4039" s="114" t="inlineStr">
        <is>
          <t>LOVE HOT WATER BOTTLE</t>
        </is>
      </c>
      <c r="F4039" s="114" t="n">
        <v>1</v>
      </c>
      <c r="G4039" s="115" t="n">
        <v>5.95</v>
      </c>
      <c r="H4039" s="115" t="n">
        <v>5.95</v>
      </c>
      <c r="I4039" s="116" t="n">
        <v>40851</v>
      </c>
    </row>
    <row r="4040">
      <c r="A4040" s="117" t="inlineStr">
        <is>
          <t>574509</t>
        </is>
      </c>
      <c r="B4040" s="117" t="n">
        <v>16012</v>
      </c>
      <c r="C4040" s="117" t="inlineStr">
        <is>
          <t>United Kingdom</t>
        </is>
      </c>
      <c r="D4040" s="117" t="inlineStr">
        <is>
          <t>23013</t>
        </is>
      </c>
      <c r="E4040" s="117" t="inlineStr">
        <is>
          <t>GLASS APOTHECARY BOTTLE TONIC</t>
        </is>
      </c>
      <c r="F4040" s="117" t="n">
        <v>3</v>
      </c>
      <c r="G4040" s="118" t="n">
        <v>3.95</v>
      </c>
      <c r="H4040" s="118" t="n">
        <v>11.85</v>
      </c>
      <c r="I4040" s="119" t="n">
        <v>40851</v>
      </c>
    </row>
    <row r="4041">
      <c r="A4041" s="114" t="inlineStr">
        <is>
          <t>574514</t>
        </is>
      </c>
      <c r="B4041" s="114" t="n">
        <v>15311</v>
      </c>
      <c r="C4041" s="114" t="inlineStr">
        <is>
          <t>United Kingdom</t>
        </is>
      </c>
      <c r="D4041" s="114" t="inlineStr">
        <is>
          <t>21883</t>
        </is>
      </c>
      <c r="E4041" s="114" t="inlineStr">
        <is>
          <t xml:space="preserve">STARS GIFT TAPE </t>
        </is>
      </c>
      <c r="F4041" s="114" t="n">
        <v>3</v>
      </c>
      <c r="G4041" s="115" t="n">
        <v>0.65</v>
      </c>
      <c r="H4041" s="115" t="n">
        <v>1.95</v>
      </c>
      <c r="I4041" s="116" t="n">
        <v>40851</v>
      </c>
    </row>
    <row r="4042">
      <c r="A4042" s="117" t="inlineStr">
        <is>
          <t>574514</t>
        </is>
      </c>
      <c r="B4042" s="117" t="n">
        <v>15311</v>
      </c>
      <c r="C4042" s="117" t="inlineStr">
        <is>
          <t>United Kingdom</t>
        </is>
      </c>
      <c r="D4042" s="117" t="inlineStr">
        <is>
          <t>21137</t>
        </is>
      </c>
      <c r="E4042" s="117" t="inlineStr">
        <is>
          <t>BLACK RECORD COVER FRAME</t>
        </is>
      </c>
      <c r="F4042" s="117" t="n">
        <v>24</v>
      </c>
      <c r="G4042" s="118" t="n">
        <v>3.39</v>
      </c>
      <c r="H4042" s="118" t="n">
        <v>81.36</v>
      </c>
      <c r="I4042" s="119" t="n">
        <v>40851</v>
      </c>
    </row>
    <row r="4043">
      <c r="A4043" s="114" t="inlineStr">
        <is>
          <t>574521</t>
        </is>
      </c>
      <c r="B4043" s="114" t="n">
        <v>15358</v>
      </c>
      <c r="C4043" s="114" t="inlineStr">
        <is>
          <t>United Kingdom</t>
        </is>
      </c>
      <c r="D4043" s="114" t="inlineStr">
        <is>
          <t>22083</t>
        </is>
      </c>
      <c r="E4043" s="114" t="inlineStr">
        <is>
          <t>PAPER CHAIN KIT RETROSPOT</t>
        </is>
      </c>
      <c r="F4043" s="114" t="n">
        <v>6</v>
      </c>
      <c r="G4043" s="115" t="n">
        <v>2.95</v>
      </c>
      <c r="H4043" s="115" t="n">
        <v>17.7</v>
      </c>
      <c r="I4043" s="116" t="n">
        <v>40851</v>
      </c>
    </row>
    <row r="4044">
      <c r="A4044" s="117" t="inlineStr">
        <is>
          <t>574530</t>
        </is>
      </c>
      <c r="B4044" s="117" t="n">
        <v>16887</v>
      </c>
      <c r="C4044" s="117" t="inlineStr">
        <is>
          <t>United Kingdom</t>
        </is>
      </c>
      <c r="D4044" s="117" t="inlineStr">
        <is>
          <t>22161</t>
        </is>
      </c>
      <c r="E4044" s="117" t="inlineStr">
        <is>
          <t xml:space="preserve">HEART DECORATION RUSTIC HANGING </t>
        </is>
      </c>
      <c r="F4044" s="117" t="n">
        <v>12</v>
      </c>
      <c r="G4044" s="118" t="n">
        <v>0.19</v>
      </c>
      <c r="H4044" s="118" t="n">
        <v>2.28</v>
      </c>
      <c r="I4044" s="119" t="n">
        <v>40851</v>
      </c>
    </row>
    <row r="4045">
      <c r="A4045" s="114" t="inlineStr">
        <is>
          <t>574532</t>
        </is>
      </c>
      <c r="B4045" s="114" t="n">
        <v>15676</v>
      </c>
      <c r="C4045" s="114" t="inlineStr">
        <is>
          <t>United Kingdom</t>
        </is>
      </c>
      <c r="D4045" s="114" t="inlineStr">
        <is>
          <t>23375</t>
        </is>
      </c>
      <c r="E4045" s="114" t="inlineStr">
        <is>
          <t>50'S CHRISTMAS PAPER GIFT BAG</t>
        </is>
      </c>
      <c r="F4045" s="114" t="n">
        <v>10</v>
      </c>
      <c r="G4045" s="115" t="n">
        <v>0.82</v>
      </c>
      <c r="H4045" s="115" t="n">
        <v>8.199999999999999</v>
      </c>
      <c r="I4045" s="116" t="n">
        <v>40851</v>
      </c>
    </row>
    <row r="4046">
      <c r="A4046" s="117" t="inlineStr">
        <is>
          <t>574544</t>
        </is>
      </c>
      <c r="B4046" s="117" t="n">
        <v>17084</v>
      </c>
      <c r="C4046" s="117" t="inlineStr">
        <is>
          <t>United Kingdom</t>
        </is>
      </c>
      <c r="D4046" s="117" t="inlineStr">
        <is>
          <t>22558</t>
        </is>
      </c>
      <c r="E4046" s="117" t="inlineStr">
        <is>
          <t xml:space="preserve">CLOTHES PEGS RETROSPOT PACK 24 </t>
        </is>
      </c>
      <c r="F4046" s="117" t="n">
        <v>10</v>
      </c>
      <c r="G4046" s="118" t="n">
        <v>1.65</v>
      </c>
      <c r="H4046" s="118" t="n">
        <v>16.5</v>
      </c>
      <c r="I4046" s="119" t="n">
        <v>40851</v>
      </c>
    </row>
    <row r="4047">
      <c r="A4047" s="114" t="inlineStr">
        <is>
          <t>574547</t>
        </is>
      </c>
      <c r="B4047" s="114" t="n">
        <v>17841</v>
      </c>
      <c r="C4047" s="114" t="inlineStr">
        <is>
          <t>United Kingdom</t>
        </is>
      </c>
      <c r="D4047" s="114" t="inlineStr">
        <is>
          <t>84920</t>
        </is>
      </c>
      <c r="E4047" s="114" t="inlineStr">
        <is>
          <t>PINK FLOWER FABRIC PONY</t>
        </is>
      </c>
      <c r="F4047" s="114" t="n">
        <v>1</v>
      </c>
      <c r="G4047" s="115" t="n">
        <v>3.75</v>
      </c>
      <c r="H4047" s="115" t="n">
        <v>3.75</v>
      </c>
      <c r="I4047" s="116" t="n">
        <v>40851</v>
      </c>
    </row>
    <row r="4048">
      <c r="A4048" s="117" t="inlineStr">
        <is>
          <t>574555</t>
        </is>
      </c>
      <c r="B4048" s="117" t="n">
        <v>16426</v>
      </c>
      <c r="C4048" s="117" t="inlineStr">
        <is>
          <t>United Kingdom</t>
        </is>
      </c>
      <c r="D4048" s="117" t="inlineStr">
        <is>
          <t>23301</t>
        </is>
      </c>
      <c r="E4048" s="117" t="inlineStr">
        <is>
          <t xml:space="preserve">GARDENERS KNEELING PAD KEEP CALM </t>
        </is>
      </c>
      <c r="F4048" s="117" t="n">
        <v>5</v>
      </c>
      <c r="G4048" s="118" t="n">
        <v>1.65</v>
      </c>
      <c r="H4048" s="118" t="n">
        <v>8.25</v>
      </c>
      <c r="I4048" s="119" t="n">
        <v>40851</v>
      </c>
    </row>
    <row r="4049">
      <c r="A4049" s="114" t="inlineStr">
        <is>
          <t>574555</t>
        </is>
      </c>
      <c r="B4049" s="114" t="n">
        <v>16426</v>
      </c>
      <c r="C4049" s="114" t="inlineStr">
        <is>
          <t>United Kingdom</t>
        </is>
      </c>
      <c r="D4049" s="114" t="inlineStr">
        <is>
          <t>51014L</t>
        </is>
      </c>
      <c r="E4049" s="114" t="inlineStr">
        <is>
          <t>FEATHER PEN,LIGHT PINK</t>
        </is>
      </c>
      <c r="F4049" s="114" t="n">
        <v>12</v>
      </c>
      <c r="G4049" s="115" t="n">
        <v>0.39</v>
      </c>
      <c r="H4049" s="115" t="n">
        <v>4.68</v>
      </c>
      <c r="I4049" s="116" t="n">
        <v>40851</v>
      </c>
    </row>
    <row r="4050">
      <c r="A4050" s="117" t="inlineStr">
        <is>
          <t>574555</t>
        </is>
      </c>
      <c r="B4050" s="117" t="n">
        <v>16426</v>
      </c>
      <c r="C4050" s="117" t="inlineStr">
        <is>
          <t>United Kingdom</t>
        </is>
      </c>
      <c r="D4050" s="117" t="inlineStr">
        <is>
          <t>22086</t>
        </is>
      </c>
      <c r="E4050" s="117" t="inlineStr">
        <is>
          <t xml:space="preserve">PAPER CHAIN KIT 50'S CHRISTMAS </t>
        </is>
      </c>
      <c r="F4050" s="117" t="n">
        <v>2</v>
      </c>
      <c r="G4050" s="118" t="n">
        <v>2.95</v>
      </c>
      <c r="H4050" s="118" t="n">
        <v>5.9</v>
      </c>
      <c r="I4050" s="119" t="n">
        <v>40851</v>
      </c>
    </row>
    <row r="4051">
      <c r="A4051" s="114" t="inlineStr">
        <is>
          <t>574559</t>
        </is>
      </c>
      <c r="B4051" s="114" t="n">
        <v>14056</v>
      </c>
      <c r="C4051" s="114" t="inlineStr">
        <is>
          <t>United Kingdom</t>
        </is>
      </c>
      <c r="D4051" s="114" t="inlineStr">
        <is>
          <t>23000</t>
        </is>
      </c>
      <c r="E4051" s="114" t="inlineStr">
        <is>
          <t>TRAVEL CARD WALLET TRANSPORT</t>
        </is>
      </c>
      <c r="F4051" s="114" t="n">
        <v>24</v>
      </c>
      <c r="G4051" s="115" t="n">
        <v>0.42</v>
      </c>
      <c r="H4051" s="115" t="n">
        <v>10.08</v>
      </c>
      <c r="I4051" s="116" t="n">
        <v>40851</v>
      </c>
    </row>
    <row r="4052">
      <c r="A4052" s="117" t="inlineStr">
        <is>
          <t>574573</t>
        </is>
      </c>
      <c r="B4052" s="117" t="n">
        <v>14592</v>
      </c>
      <c r="C4052" s="117" t="inlineStr">
        <is>
          <t>United Kingdom</t>
        </is>
      </c>
      <c r="D4052" s="117" t="inlineStr">
        <is>
          <t>23162</t>
        </is>
      </c>
      <c r="E4052" s="117" t="inlineStr">
        <is>
          <t>REGENCY TEA STRAINER</t>
        </is>
      </c>
      <c r="F4052" s="117" t="n">
        <v>1</v>
      </c>
      <c r="G4052" s="118" t="n">
        <v>3.75</v>
      </c>
      <c r="H4052" s="118" t="n">
        <v>3.75</v>
      </c>
      <c r="I4052" s="119" t="n">
        <v>40851</v>
      </c>
    </row>
    <row r="4053">
      <c r="A4053" s="114" t="inlineStr">
        <is>
          <t>574587</t>
        </is>
      </c>
      <c r="B4053" s="114" t="n">
        <v>14936</v>
      </c>
      <c r="C4053" s="114" t="inlineStr">
        <is>
          <t>Channel Islands</t>
        </is>
      </c>
      <c r="D4053" s="114" t="inlineStr">
        <is>
          <t>22624</t>
        </is>
      </c>
      <c r="E4053" s="114" t="inlineStr">
        <is>
          <t>IVORY KITCHEN SCALES</t>
        </is>
      </c>
      <c r="F4053" s="114" t="n">
        <v>2</v>
      </c>
      <c r="G4053" s="115" t="n">
        <v>8.5</v>
      </c>
      <c r="H4053" s="115" t="n">
        <v>17</v>
      </c>
      <c r="I4053" s="116" t="n">
        <v>40853</v>
      </c>
    </row>
    <row r="4054">
      <c r="A4054" s="117" t="inlineStr">
        <is>
          <t>574624</t>
        </is>
      </c>
      <c r="B4054" s="117" t="n">
        <v>17769</v>
      </c>
      <c r="C4054" s="117" t="inlineStr">
        <is>
          <t>United Kingdom</t>
        </is>
      </c>
      <c r="D4054" s="117" t="inlineStr">
        <is>
          <t>23543</t>
        </is>
      </c>
      <c r="E4054" s="117" t="inlineStr">
        <is>
          <t xml:space="preserve">WALL ART KEEP CALM </t>
        </is>
      </c>
      <c r="F4054" s="117" t="n">
        <v>2</v>
      </c>
      <c r="G4054" s="118" t="n">
        <v>8.25</v>
      </c>
      <c r="H4054" s="118" t="n">
        <v>16.5</v>
      </c>
      <c r="I4054" s="119" t="n">
        <v>40853</v>
      </c>
    </row>
    <row r="4055">
      <c r="A4055" s="114" t="inlineStr">
        <is>
          <t>574624</t>
        </is>
      </c>
      <c r="B4055" s="114" t="n">
        <v>17769</v>
      </c>
      <c r="C4055" s="114" t="inlineStr">
        <is>
          <t>United Kingdom</t>
        </is>
      </c>
      <c r="D4055" s="114" t="inlineStr">
        <is>
          <t>84991</t>
        </is>
      </c>
      <c r="E4055" s="114" t="inlineStr">
        <is>
          <t>60 TEATIME FAIRY CAKE CASES</t>
        </is>
      </c>
      <c r="F4055" s="114" t="n">
        <v>5</v>
      </c>
      <c r="G4055" s="115" t="n">
        <v>0.55</v>
      </c>
      <c r="H4055" s="115" t="n">
        <v>2.75</v>
      </c>
      <c r="I4055" s="116" t="n">
        <v>40853</v>
      </c>
    </row>
    <row r="4056">
      <c r="A4056" s="117" t="inlineStr">
        <is>
          <t>574624</t>
        </is>
      </c>
      <c r="B4056" s="117" t="n">
        <v>17769</v>
      </c>
      <c r="C4056" s="117" t="inlineStr">
        <is>
          <t>United Kingdom</t>
        </is>
      </c>
      <c r="D4056" s="117" t="inlineStr">
        <is>
          <t>23358</t>
        </is>
      </c>
      <c r="E4056" s="117" t="inlineStr">
        <is>
          <t>HOT STUFF HOT WATER BOTTLE</t>
        </is>
      </c>
      <c r="F4056" s="117" t="n">
        <v>3</v>
      </c>
      <c r="G4056" s="118" t="n">
        <v>3.75</v>
      </c>
      <c r="H4056" s="118" t="n">
        <v>11.25</v>
      </c>
      <c r="I4056" s="119" t="n">
        <v>40853</v>
      </c>
    </row>
    <row r="4057">
      <c r="A4057" s="114" t="inlineStr">
        <is>
          <t>574643</t>
        </is>
      </c>
      <c r="B4057" s="114" t="n">
        <v>17387</v>
      </c>
      <c r="C4057" s="114" t="inlineStr">
        <is>
          <t>United Kingdom</t>
        </is>
      </c>
      <c r="D4057" s="114" t="inlineStr">
        <is>
          <t>84596B</t>
        </is>
      </c>
      <c r="E4057" s="114" t="inlineStr">
        <is>
          <t>SMALL DOLLY MIX DESIGN ORANGE BOWL</t>
        </is>
      </c>
      <c r="F4057" s="114" t="n">
        <v>8</v>
      </c>
      <c r="G4057" s="115" t="n">
        <v>0.42</v>
      </c>
      <c r="H4057" s="115" t="n">
        <v>3.36</v>
      </c>
      <c r="I4057" s="116" t="n">
        <v>40853</v>
      </c>
    </row>
    <row r="4058">
      <c r="A4058" s="117" t="inlineStr">
        <is>
          <t>574653</t>
        </is>
      </c>
      <c r="B4058" s="117" t="n">
        <v>12619</v>
      </c>
      <c r="C4058" s="117" t="inlineStr">
        <is>
          <t>Germany</t>
        </is>
      </c>
      <c r="D4058" s="117" t="inlineStr">
        <is>
          <t>23308</t>
        </is>
      </c>
      <c r="E4058" s="117" t="inlineStr">
        <is>
          <t xml:space="preserve">SET OF 60 VINTAGE LEAF CAKE CASES </t>
        </is>
      </c>
      <c r="F4058" s="117" t="n">
        <v>48</v>
      </c>
      <c r="G4058" s="118" t="n">
        <v>0.55</v>
      </c>
      <c r="H4058" s="118" t="n">
        <v>26.4</v>
      </c>
      <c r="I4058" s="119" t="n">
        <v>40853</v>
      </c>
    </row>
    <row r="4059">
      <c r="A4059" s="114" t="inlineStr">
        <is>
          <t>574657</t>
        </is>
      </c>
      <c r="B4059" s="114" t="n">
        <v>13772</v>
      </c>
      <c r="C4059" s="114" t="inlineStr">
        <is>
          <t>United Kingdom</t>
        </is>
      </c>
      <c r="D4059" s="114" t="inlineStr">
        <is>
          <t>23344</t>
        </is>
      </c>
      <c r="E4059" s="114" t="inlineStr">
        <is>
          <t xml:space="preserve">JUMBO BAG 50'S CHRISTMAS </t>
        </is>
      </c>
      <c r="F4059" s="114" t="n">
        <v>7</v>
      </c>
      <c r="G4059" s="115" t="n">
        <v>2.08</v>
      </c>
      <c r="H4059" s="115" t="n">
        <v>14.56</v>
      </c>
      <c r="I4059" s="116" t="n">
        <v>40853</v>
      </c>
    </row>
    <row r="4060">
      <c r="A4060" s="117" t="inlineStr">
        <is>
          <t>574659</t>
        </is>
      </c>
      <c r="B4060" s="117" t="n">
        <v>16942</v>
      </c>
      <c r="C4060" s="117" t="inlineStr">
        <is>
          <t>United Kingdom</t>
        </is>
      </c>
      <c r="D4060" s="117" t="inlineStr">
        <is>
          <t>22383</t>
        </is>
      </c>
      <c r="E4060" s="117" t="inlineStr">
        <is>
          <t xml:space="preserve">LUNCH BAG SUKI DESIGN </t>
        </is>
      </c>
      <c r="F4060" s="117" t="n">
        <v>4</v>
      </c>
      <c r="G4060" s="118" t="n">
        <v>1.65</v>
      </c>
      <c r="H4060" s="118" t="n">
        <v>6.6</v>
      </c>
      <c r="I4060" s="119" t="n">
        <v>40853</v>
      </c>
    </row>
    <row r="4061">
      <c r="A4061" s="114" t="inlineStr">
        <is>
          <t>574663</t>
        </is>
      </c>
      <c r="B4061" s="114" t="n">
        <v>13527</v>
      </c>
      <c r="C4061" s="114" t="inlineStr">
        <is>
          <t>United Kingdom</t>
        </is>
      </c>
      <c r="D4061" s="114" t="inlineStr">
        <is>
          <t>23265</t>
        </is>
      </c>
      <c r="E4061" s="114" t="inlineStr">
        <is>
          <t>SET OF 3 WOODEN TREE DECORATIONS</t>
        </is>
      </c>
      <c r="F4061" s="114" t="n">
        <v>6</v>
      </c>
      <c r="G4061" s="115" t="n">
        <v>1.25</v>
      </c>
      <c r="H4061" s="115" t="n">
        <v>7.5</v>
      </c>
      <c r="I4061" s="116" t="n">
        <v>40853</v>
      </c>
    </row>
    <row r="4062">
      <c r="A4062" s="117" t="inlineStr">
        <is>
          <t>574663</t>
        </is>
      </c>
      <c r="B4062" s="117" t="n">
        <v>13527</v>
      </c>
      <c r="C4062" s="117" t="inlineStr">
        <is>
          <t>United Kingdom</t>
        </is>
      </c>
      <c r="D4062" s="117" t="inlineStr">
        <is>
          <t>23558</t>
        </is>
      </c>
      <c r="E4062" s="117" t="inlineStr">
        <is>
          <t xml:space="preserve">LANDMARK FRAME LONDON BRIDGE </t>
        </is>
      </c>
      <c r="F4062" s="117" t="n">
        <v>1</v>
      </c>
      <c r="G4062" s="118" t="n">
        <v>12.5</v>
      </c>
      <c r="H4062" s="118" t="n">
        <v>12.5</v>
      </c>
      <c r="I4062" s="119" t="n">
        <v>40853</v>
      </c>
    </row>
    <row r="4063">
      <c r="A4063" s="114" t="inlineStr">
        <is>
          <t>574663</t>
        </is>
      </c>
      <c r="B4063" s="114" t="n">
        <v>13527</v>
      </c>
      <c r="C4063" s="114" t="inlineStr">
        <is>
          <t>United Kingdom</t>
        </is>
      </c>
      <c r="D4063" s="114" t="inlineStr">
        <is>
          <t>82486</t>
        </is>
      </c>
      <c r="E4063" s="114" t="inlineStr">
        <is>
          <t>3 DRAWER ANTIQUE WHITE WOOD CABINET</t>
        </is>
      </c>
      <c r="F4063" s="114" t="n">
        <v>2</v>
      </c>
      <c r="G4063" s="115" t="n">
        <v>8.949999999999999</v>
      </c>
      <c r="H4063" s="115" t="n">
        <v>17.9</v>
      </c>
      <c r="I4063" s="116" t="n">
        <v>40853</v>
      </c>
    </row>
    <row r="4064">
      <c r="A4064" s="117" t="inlineStr">
        <is>
          <t>574670</t>
        </is>
      </c>
      <c r="B4064" s="117" t="n">
        <v>12838</v>
      </c>
      <c r="C4064" s="117" t="inlineStr">
        <is>
          <t>United Kingdom</t>
        </is>
      </c>
      <c r="D4064" s="117" t="inlineStr">
        <is>
          <t>82482</t>
        </is>
      </c>
      <c r="E4064" s="117" t="inlineStr">
        <is>
          <t>WOODEN PICTURE FRAME WHITE FINISH</t>
        </is>
      </c>
      <c r="F4064" s="117" t="n">
        <v>1</v>
      </c>
      <c r="G4064" s="118" t="n">
        <v>2.95</v>
      </c>
      <c r="H4064" s="118" t="n">
        <v>2.95</v>
      </c>
      <c r="I4064" s="119" t="n">
        <v>40853</v>
      </c>
    </row>
    <row r="4065">
      <c r="A4065" s="114" t="inlineStr">
        <is>
          <t>574670</t>
        </is>
      </c>
      <c r="B4065" s="114" t="n">
        <v>12838</v>
      </c>
      <c r="C4065" s="114" t="inlineStr">
        <is>
          <t>United Kingdom</t>
        </is>
      </c>
      <c r="D4065" s="114" t="inlineStr">
        <is>
          <t>84997D</t>
        </is>
      </c>
      <c r="E4065" s="114" t="inlineStr">
        <is>
          <t>CHILDRENS CUTLERY POLKADOT PINK</t>
        </is>
      </c>
      <c r="F4065" s="114" t="n">
        <v>1</v>
      </c>
      <c r="G4065" s="115" t="n">
        <v>4.15</v>
      </c>
      <c r="H4065" s="115" t="n">
        <v>4.15</v>
      </c>
      <c r="I4065" s="116" t="n">
        <v>40853</v>
      </c>
    </row>
    <row r="4066">
      <c r="A4066" s="117" t="inlineStr">
        <is>
          <t>574672</t>
        </is>
      </c>
      <c r="B4066" s="117" t="n">
        <v>13532</v>
      </c>
      <c r="C4066" s="117" t="inlineStr">
        <is>
          <t>United Kingdom</t>
        </is>
      </c>
      <c r="D4066" s="117" t="inlineStr">
        <is>
          <t>22585</t>
        </is>
      </c>
      <c r="E4066" s="117" t="inlineStr">
        <is>
          <t>PACK OF 6 BIRDY GIFT TAGS</t>
        </is>
      </c>
      <c r="F4066" s="117" t="n">
        <v>3</v>
      </c>
      <c r="G4066" s="118" t="n">
        <v>1.25</v>
      </c>
      <c r="H4066" s="118" t="n">
        <v>3.75</v>
      </c>
      <c r="I4066" s="119" t="n">
        <v>40853</v>
      </c>
    </row>
    <row r="4067">
      <c r="A4067" s="114" t="inlineStr">
        <is>
          <t>574672</t>
        </is>
      </c>
      <c r="B4067" s="114" t="n">
        <v>13532</v>
      </c>
      <c r="C4067" s="114" t="inlineStr">
        <is>
          <t>United Kingdom</t>
        </is>
      </c>
      <c r="D4067" s="114" t="inlineStr">
        <is>
          <t>23356</t>
        </is>
      </c>
      <c r="E4067" s="114" t="inlineStr">
        <is>
          <t>LOVE HOT WATER BOTTLE</t>
        </is>
      </c>
      <c r="F4067" s="114" t="n">
        <v>1</v>
      </c>
      <c r="G4067" s="115" t="n">
        <v>5.95</v>
      </c>
      <c r="H4067" s="115" t="n">
        <v>5.95</v>
      </c>
      <c r="I4067" s="116" t="n">
        <v>40853</v>
      </c>
    </row>
    <row r="4068">
      <c r="A4068" s="117" t="inlineStr">
        <is>
          <t>574672</t>
        </is>
      </c>
      <c r="B4068" s="117" t="n">
        <v>13532</v>
      </c>
      <c r="C4068" s="117" t="inlineStr">
        <is>
          <t>United Kingdom</t>
        </is>
      </c>
      <c r="D4068" s="117" t="inlineStr">
        <is>
          <t>84380</t>
        </is>
      </c>
      <c r="E4068" s="117" t="inlineStr">
        <is>
          <t>SET OF 3 BUTTERFLY COOKIE CUTTERS</t>
        </is>
      </c>
      <c r="F4068" s="117" t="n">
        <v>1</v>
      </c>
      <c r="G4068" s="118" t="n">
        <v>1.45</v>
      </c>
      <c r="H4068" s="118" t="n">
        <v>1.45</v>
      </c>
      <c r="I4068" s="119" t="n">
        <v>40853</v>
      </c>
    </row>
    <row r="4069">
      <c r="A4069" s="114" t="inlineStr">
        <is>
          <t>574673</t>
        </is>
      </c>
      <c r="B4069" s="114" t="n">
        <v>15555</v>
      </c>
      <c r="C4069" s="114" t="inlineStr">
        <is>
          <t>United Kingdom</t>
        </is>
      </c>
      <c r="D4069" s="114" t="inlineStr">
        <is>
          <t>22996</t>
        </is>
      </c>
      <c r="E4069" s="114" t="inlineStr">
        <is>
          <t>TRAVEL CARD WALLET VINTAGE TICKET</t>
        </is>
      </c>
      <c r="F4069" s="114" t="n">
        <v>10</v>
      </c>
      <c r="G4069" s="115" t="n">
        <v>0.42</v>
      </c>
      <c r="H4069" s="115" t="n">
        <v>4.2</v>
      </c>
      <c r="I4069" s="116" t="n">
        <v>40853</v>
      </c>
    </row>
    <row r="4070">
      <c r="A4070" s="117" t="inlineStr">
        <is>
          <t>574673</t>
        </is>
      </c>
      <c r="B4070" s="117" t="n">
        <v>15555</v>
      </c>
      <c r="C4070" s="117" t="inlineStr">
        <is>
          <t>United Kingdom</t>
        </is>
      </c>
      <c r="D4070" s="117" t="inlineStr">
        <is>
          <t>22530</t>
        </is>
      </c>
      <c r="E4070" s="117" t="inlineStr">
        <is>
          <t xml:space="preserve">MAGIC DRAWING SLATE DOLLY GIRL </t>
        </is>
      </c>
      <c r="F4070" s="117" t="n">
        <v>1</v>
      </c>
      <c r="G4070" s="118" t="n">
        <v>0.42</v>
      </c>
      <c r="H4070" s="118" t="n">
        <v>0.42</v>
      </c>
      <c r="I4070" s="119" t="n">
        <v>40853</v>
      </c>
    </row>
    <row r="4071">
      <c r="A4071" s="114" t="inlineStr">
        <is>
          <t>574675</t>
        </is>
      </c>
      <c r="B4071" s="114" t="n">
        <v>17289</v>
      </c>
      <c r="C4071" s="114" t="inlineStr">
        <is>
          <t>United Kingdom</t>
        </is>
      </c>
      <c r="D4071" s="114" t="inlineStr">
        <is>
          <t>84836</t>
        </is>
      </c>
      <c r="E4071" s="114" t="inlineStr">
        <is>
          <t>ZINC METAL HEART DECORATION</t>
        </is>
      </c>
      <c r="F4071" s="114" t="n">
        <v>12</v>
      </c>
      <c r="G4071" s="115" t="n">
        <v>1.25</v>
      </c>
      <c r="H4071" s="115" t="n">
        <v>15</v>
      </c>
      <c r="I4071" s="116" t="n">
        <v>40853</v>
      </c>
    </row>
    <row r="4072">
      <c r="A4072" s="117" t="inlineStr">
        <is>
          <t>574678</t>
        </is>
      </c>
      <c r="B4072" s="117" t="n">
        <v>13365</v>
      </c>
      <c r="C4072" s="117" t="inlineStr">
        <is>
          <t>United Kingdom</t>
        </is>
      </c>
      <c r="D4072" s="117" t="inlineStr">
        <is>
          <t>22907</t>
        </is>
      </c>
      <c r="E4072" s="117" t="inlineStr">
        <is>
          <t>PACK OF 20 NAPKINS PANTRY DESIGN</t>
        </is>
      </c>
      <c r="F4072" s="117" t="n">
        <v>12</v>
      </c>
      <c r="G4072" s="118" t="n">
        <v>0.85</v>
      </c>
      <c r="H4072" s="118" t="n">
        <v>10.2</v>
      </c>
      <c r="I4072" s="119" t="n">
        <v>40853</v>
      </c>
    </row>
    <row r="4073">
      <c r="A4073" s="114" t="inlineStr">
        <is>
          <t>574682</t>
        </is>
      </c>
      <c r="B4073" s="114" t="n">
        <v>14963</v>
      </c>
      <c r="C4073" s="114" t="inlineStr">
        <is>
          <t>United Kingdom</t>
        </is>
      </c>
      <c r="D4073" s="114" t="inlineStr">
        <is>
          <t>23080</t>
        </is>
      </c>
      <c r="E4073" s="114" t="inlineStr">
        <is>
          <t>RED METAL BOX TOP SECRET</t>
        </is>
      </c>
      <c r="F4073" s="114" t="n">
        <v>2</v>
      </c>
      <c r="G4073" s="115" t="n">
        <v>8.25</v>
      </c>
      <c r="H4073" s="115" t="n">
        <v>16.5</v>
      </c>
      <c r="I4073" s="116" t="n">
        <v>40853</v>
      </c>
    </row>
    <row r="4074">
      <c r="A4074" s="117" t="inlineStr">
        <is>
          <t>574682</t>
        </is>
      </c>
      <c r="B4074" s="117" t="n">
        <v>14963</v>
      </c>
      <c r="C4074" s="117" t="inlineStr">
        <is>
          <t>United Kingdom</t>
        </is>
      </c>
      <c r="D4074" s="117" t="inlineStr">
        <is>
          <t>23270</t>
        </is>
      </c>
      <c r="E4074" s="117" t="inlineStr">
        <is>
          <t xml:space="preserve">SET OF 2 CERAMIC PAINTED HEARTS </t>
        </is>
      </c>
      <c r="F4074" s="117" t="n">
        <v>3</v>
      </c>
      <c r="G4074" s="118" t="n">
        <v>1.45</v>
      </c>
      <c r="H4074" s="118" t="n">
        <v>4.35</v>
      </c>
      <c r="I4074" s="119" t="n">
        <v>40853</v>
      </c>
    </row>
    <row r="4075">
      <c r="A4075" s="114" t="inlineStr">
        <is>
          <t>574683</t>
        </is>
      </c>
      <c r="B4075" s="114" t="n">
        <v>16372</v>
      </c>
      <c r="C4075" s="114" t="inlineStr">
        <is>
          <t>United Kingdom</t>
        </is>
      </c>
      <c r="D4075" s="114" t="inlineStr">
        <is>
          <t>22690</t>
        </is>
      </c>
      <c r="E4075" s="114" t="inlineStr">
        <is>
          <t xml:space="preserve">DOORMAT HOME SWEET HOME BLUE </t>
        </is>
      </c>
      <c r="F4075" s="114" t="n">
        <v>1</v>
      </c>
      <c r="G4075" s="115" t="n">
        <v>8.25</v>
      </c>
      <c r="H4075" s="115" t="n">
        <v>8.25</v>
      </c>
      <c r="I4075" s="116" t="n">
        <v>40853</v>
      </c>
    </row>
    <row r="4076">
      <c r="A4076" s="117" t="inlineStr">
        <is>
          <t>574683</t>
        </is>
      </c>
      <c r="B4076" s="117" t="n">
        <v>16372</v>
      </c>
      <c r="C4076" s="117" t="inlineStr">
        <is>
          <t>United Kingdom</t>
        </is>
      </c>
      <c r="D4076" s="117" t="inlineStr">
        <is>
          <t>21327</t>
        </is>
      </c>
      <c r="E4076" s="117" t="inlineStr">
        <is>
          <t xml:space="preserve">SKULLS WRITING SET </t>
        </is>
      </c>
      <c r="F4076" s="117" t="n">
        <v>1</v>
      </c>
      <c r="G4076" s="118" t="n">
        <v>1.65</v>
      </c>
      <c r="H4076" s="118" t="n">
        <v>1.65</v>
      </c>
      <c r="I4076" s="119" t="n">
        <v>40853</v>
      </c>
    </row>
    <row r="4077">
      <c r="A4077" s="114" t="inlineStr">
        <is>
          <t>574683</t>
        </is>
      </c>
      <c r="B4077" s="114" t="n">
        <v>16372</v>
      </c>
      <c r="C4077" s="114" t="inlineStr">
        <is>
          <t>United Kingdom</t>
        </is>
      </c>
      <c r="D4077" s="114" t="inlineStr">
        <is>
          <t>22211</t>
        </is>
      </c>
      <c r="E4077" s="114" t="inlineStr">
        <is>
          <t>WOOD STAMP SET FLOWERS</t>
        </is>
      </c>
      <c r="F4077" s="114" t="n">
        <v>2</v>
      </c>
      <c r="G4077" s="115" t="n">
        <v>0.83</v>
      </c>
      <c r="H4077" s="115" t="n">
        <v>1.66</v>
      </c>
      <c r="I4077" s="116" t="n">
        <v>40853</v>
      </c>
    </row>
    <row r="4078">
      <c r="A4078" s="117" t="inlineStr">
        <is>
          <t>574683</t>
        </is>
      </c>
      <c r="B4078" s="117" t="n">
        <v>16372</v>
      </c>
      <c r="C4078" s="117" t="inlineStr">
        <is>
          <t>United Kingdom</t>
        </is>
      </c>
      <c r="D4078" s="117" t="inlineStr">
        <is>
          <t>22529</t>
        </is>
      </c>
      <c r="E4078" s="117" t="inlineStr">
        <is>
          <t xml:space="preserve">MAGIC DRAWING SLATE GO TO THE FAIR </t>
        </is>
      </c>
      <c r="F4078" s="117" t="n">
        <v>1</v>
      </c>
      <c r="G4078" s="118" t="n">
        <v>0.42</v>
      </c>
      <c r="H4078" s="118" t="n">
        <v>0.42</v>
      </c>
      <c r="I4078" s="119" t="n">
        <v>40853</v>
      </c>
    </row>
    <row r="4079">
      <c r="A4079" s="114" t="inlineStr">
        <is>
          <t>574683</t>
        </is>
      </c>
      <c r="B4079" s="114" t="n">
        <v>16372</v>
      </c>
      <c r="C4079" s="114" t="inlineStr">
        <is>
          <t>United Kingdom</t>
        </is>
      </c>
      <c r="D4079" s="114" t="inlineStr">
        <is>
          <t>20974</t>
        </is>
      </c>
      <c r="E4079" s="114" t="inlineStr">
        <is>
          <t>12 PENCILS SMALL TUBE SKULL</t>
        </is>
      </c>
      <c r="F4079" s="114" t="n">
        <v>1</v>
      </c>
      <c r="G4079" s="115" t="n">
        <v>0.65</v>
      </c>
      <c r="H4079" s="115" t="n">
        <v>0.65</v>
      </c>
      <c r="I4079" s="116" t="n">
        <v>40853</v>
      </c>
    </row>
    <row r="4080">
      <c r="A4080" s="117" t="inlineStr">
        <is>
          <t>574686</t>
        </is>
      </c>
      <c r="B4080" s="117" t="n">
        <v>17608</v>
      </c>
      <c r="C4080" s="117" t="inlineStr">
        <is>
          <t>United Kingdom</t>
        </is>
      </c>
      <c r="D4080" s="117" t="inlineStr">
        <is>
          <t>21442</t>
        </is>
      </c>
      <c r="E4080" s="117" t="inlineStr">
        <is>
          <t>GREEN BIRDHOUSE DECORATION</t>
        </is>
      </c>
      <c r="F4080" s="117" t="n">
        <v>3</v>
      </c>
      <c r="G4080" s="118" t="n">
        <v>0.85</v>
      </c>
      <c r="H4080" s="118" t="n">
        <v>2.55</v>
      </c>
      <c r="I4080" s="119" t="n">
        <v>40853</v>
      </c>
    </row>
    <row r="4081">
      <c r="A4081" s="114" t="inlineStr">
        <is>
          <t>574686</t>
        </is>
      </c>
      <c r="B4081" s="114" t="n">
        <v>17608</v>
      </c>
      <c r="C4081" s="114" t="inlineStr">
        <is>
          <t>United Kingdom</t>
        </is>
      </c>
      <c r="D4081" s="114" t="inlineStr">
        <is>
          <t>85015</t>
        </is>
      </c>
      <c r="E4081" s="114" t="inlineStr">
        <is>
          <t>SET OF 12  VINTAGE POSTCARD SET</t>
        </is>
      </c>
      <c r="F4081" s="114" t="n">
        <v>1</v>
      </c>
      <c r="G4081" s="115" t="n">
        <v>0.65</v>
      </c>
      <c r="H4081" s="115" t="n">
        <v>0.65</v>
      </c>
      <c r="I4081" s="116" t="n">
        <v>40853</v>
      </c>
    </row>
    <row r="4082">
      <c r="A4082" s="117" t="inlineStr">
        <is>
          <t>574686</t>
        </is>
      </c>
      <c r="B4082" s="117" t="n">
        <v>17608</v>
      </c>
      <c r="C4082" s="117" t="inlineStr">
        <is>
          <t>United Kingdom</t>
        </is>
      </c>
      <c r="D4082" s="117" t="inlineStr">
        <is>
          <t>10124G</t>
        </is>
      </c>
      <c r="E4082" s="117" t="inlineStr">
        <is>
          <t>ARMY CAMO BOOKCOVER TAPE</t>
        </is>
      </c>
      <c r="F4082" s="117" t="n">
        <v>4</v>
      </c>
      <c r="G4082" s="118" t="n">
        <v>0.42</v>
      </c>
      <c r="H4082" s="118" t="n">
        <v>1.68</v>
      </c>
      <c r="I4082" s="119" t="n">
        <v>40853</v>
      </c>
    </row>
    <row r="4083">
      <c r="A4083" s="114" t="inlineStr">
        <is>
          <t>574691</t>
        </is>
      </c>
      <c r="B4083" s="114" t="n">
        <v>14174</v>
      </c>
      <c r="C4083" s="114" t="inlineStr">
        <is>
          <t>United Kingdom</t>
        </is>
      </c>
      <c r="D4083" s="114" t="inlineStr">
        <is>
          <t>23434</t>
        </is>
      </c>
      <c r="E4083" s="114" t="inlineStr">
        <is>
          <t xml:space="preserve">3 RAFFIA RIBBONS 50'S CHRISTMAS </t>
        </is>
      </c>
      <c r="F4083" s="114" t="n">
        <v>2</v>
      </c>
      <c r="G4083" s="115" t="n">
        <v>0.79</v>
      </c>
      <c r="H4083" s="115" t="n">
        <v>1.58</v>
      </c>
      <c r="I4083" s="116" t="n">
        <v>40853</v>
      </c>
    </row>
    <row r="4084">
      <c r="A4084" s="117" t="inlineStr">
        <is>
          <t>574697</t>
        </is>
      </c>
      <c r="B4084" s="117" t="n">
        <v>16488</v>
      </c>
      <c r="C4084" s="117" t="inlineStr">
        <is>
          <t>United Kingdom</t>
        </is>
      </c>
      <c r="D4084" s="117" t="inlineStr">
        <is>
          <t>22585</t>
        </is>
      </c>
      <c r="E4084" s="117" t="inlineStr">
        <is>
          <t>PACK OF 6 BIRDY GIFT TAGS</t>
        </is>
      </c>
      <c r="F4084" s="117" t="n">
        <v>12</v>
      </c>
      <c r="G4084" s="118" t="n">
        <v>1.25</v>
      </c>
      <c r="H4084" s="118" t="n">
        <v>15</v>
      </c>
      <c r="I4084" s="119" t="n">
        <v>40853</v>
      </c>
    </row>
    <row r="4085">
      <c r="A4085" s="114" t="inlineStr">
        <is>
          <t>574701</t>
        </is>
      </c>
      <c r="B4085" s="114" t="n">
        <v>15426</v>
      </c>
      <c r="C4085" s="114" t="inlineStr">
        <is>
          <t>United Kingdom</t>
        </is>
      </c>
      <c r="D4085" s="114" t="inlineStr">
        <is>
          <t>23419</t>
        </is>
      </c>
      <c r="E4085" s="114" t="inlineStr">
        <is>
          <t xml:space="preserve">HOME SWEET HOME BOTTLE </t>
        </is>
      </c>
      <c r="F4085" s="114" t="n">
        <v>1</v>
      </c>
      <c r="G4085" s="115" t="n">
        <v>2.08</v>
      </c>
      <c r="H4085" s="115" t="n">
        <v>2.08</v>
      </c>
      <c r="I4085" s="116" t="n">
        <v>40853</v>
      </c>
    </row>
    <row r="4086">
      <c r="A4086" s="117" t="inlineStr">
        <is>
          <t>574701</t>
        </is>
      </c>
      <c r="B4086" s="117" t="n">
        <v>15426</v>
      </c>
      <c r="C4086" s="117" t="inlineStr">
        <is>
          <t>United Kingdom</t>
        </is>
      </c>
      <c r="D4086" s="117" t="inlineStr">
        <is>
          <t>47566B</t>
        </is>
      </c>
      <c r="E4086" s="117" t="inlineStr">
        <is>
          <t>TEA TIME PARTY BUNTING</t>
        </is>
      </c>
      <c r="F4086" s="117" t="n">
        <v>2</v>
      </c>
      <c r="G4086" s="118" t="n">
        <v>4.95</v>
      </c>
      <c r="H4086" s="118" t="n">
        <v>9.9</v>
      </c>
      <c r="I4086" s="119" t="n">
        <v>40853</v>
      </c>
    </row>
    <row r="4087">
      <c r="A4087" s="114" t="inlineStr">
        <is>
          <t>574707</t>
        </is>
      </c>
      <c r="B4087" s="114" t="n">
        <v>17107</v>
      </c>
      <c r="C4087" s="114" t="inlineStr">
        <is>
          <t>United Kingdom</t>
        </is>
      </c>
      <c r="D4087" s="114" t="inlineStr">
        <is>
          <t>23319</t>
        </is>
      </c>
      <c r="E4087" s="114" t="inlineStr">
        <is>
          <t>BOX OF 6 MINI 50'S CRACKERS</t>
        </is>
      </c>
      <c r="F4087" s="114" t="n">
        <v>3</v>
      </c>
      <c r="G4087" s="115" t="n">
        <v>2.49</v>
      </c>
      <c r="H4087" s="115" t="n">
        <v>7.47</v>
      </c>
      <c r="I4087" s="116" t="n">
        <v>40853</v>
      </c>
    </row>
    <row r="4088">
      <c r="A4088" s="117" t="inlineStr">
        <is>
          <t>574714</t>
        </is>
      </c>
      <c r="B4088" s="117" t="n">
        <v>15427</v>
      </c>
      <c r="C4088" s="117" t="inlineStr">
        <is>
          <t>United Kingdom</t>
        </is>
      </c>
      <c r="D4088" s="117" t="inlineStr">
        <is>
          <t>21793</t>
        </is>
      </c>
      <c r="E4088" s="117" t="inlineStr">
        <is>
          <t>CLASSIC FRENCH STYLE BASKET BROWN</t>
        </is>
      </c>
      <c r="F4088" s="117" t="n">
        <v>4</v>
      </c>
      <c r="G4088" s="118" t="n">
        <v>3.95</v>
      </c>
      <c r="H4088" s="118" t="n">
        <v>15.8</v>
      </c>
      <c r="I4088" s="119" t="n">
        <v>40853</v>
      </c>
    </row>
    <row r="4089">
      <c r="A4089" s="114" t="inlineStr">
        <is>
          <t>574714</t>
        </is>
      </c>
      <c r="B4089" s="114" t="n">
        <v>15427</v>
      </c>
      <c r="C4089" s="114" t="inlineStr">
        <is>
          <t>United Kingdom</t>
        </is>
      </c>
      <c r="D4089" s="114" t="inlineStr">
        <is>
          <t>22099</t>
        </is>
      </c>
      <c r="E4089" s="114" t="inlineStr">
        <is>
          <t>CARAVAN SQUARE TISSUE BOX</t>
        </is>
      </c>
      <c r="F4089" s="114" t="n">
        <v>2</v>
      </c>
      <c r="G4089" s="115" t="n">
        <v>0.39</v>
      </c>
      <c r="H4089" s="115" t="n">
        <v>0.78</v>
      </c>
      <c r="I4089" s="116" t="n">
        <v>40853</v>
      </c>
    </row>
    <row r="4090">
      <c r="A4090" s="117" t="inlineStr">
        <is>
          <t>574720</t>
        </is>
      </c>
      <c r="B4090" s="117" t="n">
        <v>14547</v>
      </c>
      <c r="C4090" s="117" t="inlineStr">
        <is>
          <t>United Kingdom</t>
        </is>
      </c>
      <c r="D4090" s="117" t="inlineStr">
        <is>
          <t>21381</t>
        </is>
      </c>
      <c r="E4090" s="117" t="inlineStr">
        <is>
          <t>MINI WOODEN HAPPY BIRTHDAY GARLAND</t>
        </is>
      </c>
      <c r="F4090" s="117" t="n">
        <v>1</v>
      </c>
      <c r="G4090" s="118" t="n">
        <v>1.69</v>
      </c>
      <c r="H4090" s="118" t="n">
        <v>1.69</v>
      </c>
      <c r="I4090" s="119" t="n">
        <v>40853</v>
      </c>
    </row>
    <row r="4091">
      <c r="A4091" s="114" t="inlineStr">
        <is>
          <t>574720</t>
        </is>
      </c>
      <c r="B4091" s="114" t="n">
        <v>14547</v>
      </c>
      <c r="C4091" s="114" t="inlineStr">
        <is>
          <t>United Kingdom</t>
        </is>
      </c>
      <c r="D4091" s="114" t="inlineStr">
        <is>
          <t>21908</t>
        </is>
      </c>
      <c r="E4091" s="114" t="inlineStr">
        <is>
          <t>CHOCOLATE THIS WAY METAL SIGN</t>
        </is>
      </c>
      <c r="F4091" s="114" t="n">
        <v>2</v>
      </c>
      <c r="G4091" s="115" t="n">
        <v>2.1</v>
      </c>
      <c r="H4091" s="115" t="n">
        <v>4.2</v>
      </c>
      <c r="I4091" s="116" t="n">
        <v>40853</v>
      </c>
    </row>
    <row r="4092">
      <c r="A4092" s="117" t="inlineStr">
        <is>
          <t>574720</t>
        </is>
      </c>
      <c r="B4092" s="117" t="n">
        <v>14547</v>
      </c>
      <c r="C4092" s="117" t="inlineStr">
        <is>
          <t>United Kingdom</t>
        </is>
      </c>
      <c r="D4092" s="117" t="inlineStr">
        <is>
          <t>22632</t>
        </is>
      </c>
      <c r="E4092" s="117" t="inlineStr">
        <is>
          <t>HAND WARMER RED RETROSPOT</t>
        </is>
      </c>
      <c r="F4092" s="117" t="n">
        <v>1</v>
      </c>
      <c r="G4092" s="118" t="n">
        <v>2.1</v>
      </c>
      <c r="H4092" s="118" t="n">
        <v>2.1</v>
      </c>
      <c r="I4092" s="119" t="n">
        <v>40853</v>
      </c>
    </row>
    <row r="4093">
      <c r="A4093" s="114" t="inlineStr">
        <is>
          <t>574725</t>
        </is>
      </c>
      <c r="B4093" s="114" t="n">
        <v>15883</v>
      </c>
      <c r="C4093" s="114" t="inlineStr">
        <is>
          <t>United Kingdom</t>
        </is>
      </c>
      <c r="D4093" s="114" t="inlineStr">
        <is>
          <t>20676</t>
        </is>
      </c>
      <c r="E4093" s="114" t="inlineStr">
        <is>
          <t>RED RETROSPOT BOWL</t>
        </is>
      </c>
      <c r="F4093" s="114" t="n">
        <v>9</v>
      </c>
      <c r="G4093" s="115" t="n">
        <v>1.25</v>
      </c>
      <c r="H4093" s="115" t="n">
        <v>11.25</v>
      </c>
      <c r="I4093" s="116" t="n">
        <v>40853</v>
      </c>
    </row>
    <row r="4094">
      <c r="A4094" s="117" t="inlineStr">
        <is>
          <t>574726</t>
        </is>
      </c>
      <c r="B4094" s="117" t="n">
        <v>14664</v>
      </c>
      <c r="C4094" s="117" t="inlineStr">
        <is>
          <t>United Kingdom</t>
        </is>
      </c>
      <c r="D4094" s="117" t="inlineStr">
        <is>
          <t>23330</t>
        </is>
      </c>
      <c r="E4094" s="117" t="inlineStr">
        <is>
          <t>DECORATIVE WICKER HEART MEDIUM</t>
        </is>
      </c>
      <c r="F4094" s="117" t="n">
        <v>3</v>
      </c>
      <c r="G4094" s="118" t="n">
        <v>1.25</v>
      </c>
      <c r="H4094" s="118" t="n">
        <v>3.75</v>
      </c>
      <c r="I4094" s="119" t="n">
        <v>40853</v>
      </c>
    </row>
    <row r="4095">
      <c r="A4095" s="114" t="inlineStr">
        <is>
          <t>574726</t>
        </is>
      </c>
      <c r="B4095" s="114" t="n">
        <v>14664</v>
      </c>
      <c r="C4095" s="114" t="inlineStr">
        <is>
          <t>United Kingdom</t>
        </is>
      </c>
      <c r="D4095" s="114" t="inlineStr">
        <is>
          <t>21986</t>
        </is>
      </c>
      <c r="E4095" s="114" t="inlineStr">
        <is>
          <t>PACK OF 12 PINK POLKADOT TISSUES</t>
        </is>
      </c>
      <c r="F4095" s="114" t="n">
        <v>6</v>
      </c>
      <c r="G4095" s="115" t="n">
        <v>0.39</v>
      </c>
      <c r="H4095" s="115" t="n">
        <v>2.34</v>
      </c>
      <c r="I4095" s="116" t="n">
        <v>40853</v>
      </c>
    </row>
    <row r="4096">
      <c r="A4096" s="117" t="inlineStr">
        <is>
          <t>574732</t>
        </is>
      </c>
      <c r="B4096" s="117" t="n">
        <v>13523</v>
      </c>
      <c r="C4096" s="117" t="inlineStr">
        <is>
          <t>United Kingdom</t>
        </is>
      </c>
      <c r="D4096" s="117" t="inlineStr">
        <is>
          <t>23293</t>
        </is>
      </c>
      <c r="E4096" s="117" t="inlineStr">
        <is>
          <t>SET OF 12 FAIRY CAKE BAKING CASES</t>
        </is>
      </c>
      <c r="F4096" s="117" t="n">
        <v>8</v>
      </c>
      <c r="G4096" s="118" t="n">
        <v>0.83</v>
      </c>
      <c r="H4096" s="118" t="n">
        <v>6.64</v>
      </c>
      <c r="I4096" s="119" t="n">
        <v>40853</v>
      </c>
    </row>
    <row r="4097">
      <c r="A4097" s="114" t="inlineStr">
        <is>
          <t>574734</t>
        </is>
      </c>
      <c r="B4097" s="114" t="n">
        <v>15025</v>
      </c>
      <c r="C4097" s="114" t="inlineStr">
        <is>
          <t>United Kingdom</t>
        </is>
      </c>
      <c r="D4097" s="114" t="inlineStr">
        <is>
          <t>22701</t>
        </is>
      </c>
      <c r="E4097" s="114" t="inlineStr">
        <is>
          <t>PINK DOG BOWL</t>
        </is>
      </c>
      <c r="F4097" s="114" t="n">
        <v>1</v>
      </c>
      <c r="G4097" s="115" t="n">
        <v>2.95</v>
      </c>
      <c r="H4097" s="115" t="n">
        <v>2.95</v>
      </c>
      <c r="I4097" s="116" t="n">
        <v>40853</v>
      </c>
    </row>
    <row r="4098">
      <c r="A4098" s="117" t="inlineStr">
        <is>
          <t>574734</t>
        </is>
      </c>
      <c r="B4098" s="117" t="n">
        <v>15025</v>
      </c>
      <c r="C4098" s="117" t="inlineStr">
        <is>
          <t>United Kingdom</t>
        </is>
      </c>
      <c r="D4098" s="117" t="inlineStr">
        <is>
          <t>23217</t>
        </is>
      </c>
      <c r="E4098" s="117" t="inlineStr">
        <is>
          <t>LAUREL HEART ANTIQUE SILVER</t>
        </is>
      </c>
      <c r="F4098" s="117" t="n">
        <v>4</v>
      </c>
      <c r="G4098" s="118" t="n">
        <v>1.25</v>
      </c>
      <c r="H4098" s="118" t="n">
        <v>5</v>
      </c>
      <c r="I4098" s="119" t="n">
        <v>40853</v>
      </c>
    </row>
    <row r="4099">
      <c r="A4099" s="114" t="inlineStr">
        <is>
          <t>574734</t>
        </is>
      </c>
      <c r="B4099" s="114" t="n">
        <v>15025</v>
      </c>
      <c r="C4099" s="114" t="inlineStr">
        <is>
          <t>United Kingdom</t>
        </is>
      </c>
      <c r="D4099" s="114" t="inlineStr">
        <is>
          <t>21154</t>
        </is>
      </c>
      <c r="E4099" s="114" t="inlineStr">
        <is>
          <t xml:space="preserve">RED RETROSPOT OVEN GLOVE </t>
        </is>
      </c>
      <c r="F4099" s="114" t="n">
        <v>1</v>
      </c>
      <c r="G4099" s="115" t="n">
        <v>1.25</v>
      </c>
      <c r="H4099" s="115" t="n">
        <v>1.25</v>
      </c>
      <c r="I4099" s="116" t="n">
        <v>40853</v>
      </c>
    </row>
    <row r="4100">
      <c r="A4100" s="117" t="inlineStr">
        <is>
          <t>574738</t>
        </is>
      </c>
      <c r="B4100" s="117" t="n">
        <v>12748</v>
      </c>
      <c r="C4100" s="117" t="inlineStr">
        <is>
          <t>United Kingdom</t>
        </is>
      </c>
      <c r="D4100" s="117" t="inlineStr">
        <is>
          <t>21485</t>
        </is>
      </c>
      <c r="E4100" s="117" t="inlineStr">
        <is>
          <t>RETROSPOT HEART HOT WATER BOTTLE</t>
        </is>
      </c>
      <c r="F4100" s="117" t="n">
        <v>3</v>
      </c>
      <c r="G4100" s="118" t="n">
        <v>4.95</v>
      </c>
      <c r="H4100" s="118" t="n">
        <v>14.85</v>
      </c>
      <c r="I4100" s="119" t="n">
        <v>40853</v>
      </c>
    </row>
    <row r="4101">
      <c r="A4101" s="114" t="inlineStr">
        <is>
          <t>574740</t>
        </is>
      </c>
      <c r="B4101" s="114" t="n">
        <v>12357</v>
      </c>
      <c r="C4101" s="114" t="inlineStr">
        <is>
          <t>Switzerland</t>
        </is>
      </c>
      <c r="D4101" s="114" t="inlineStr">
        <is>
          <t>21039</t>
        </is>
      </c>
      <c r="E4101" s="114" t="inlineStr">
        <is>
          <t>RED RETROSPOT SHOPPING BAG</t>
        </is>
      </c>
      <c r="F4101" s="114" t="n">
        <v>12</v>
      </c>
      <c r="G4101" s="115" t="n">
        <v>2.55</v>
      </c>
      <c r="H4101" s="115" t="n">
        <v>30.6</v>
      </c>
      <c r="I4101" s="116" t="n">
        <v>40853</v>
      </c>
    </row>
    <row r="4102">
      <c r="A4102" s="117" t="inlineStr">
        <is>
          <t>574741</t>
        </is>
      </c>
      <c r="B4102" s="117" t="n">
        <v>15993</v>
      </c>
      <c r="C4102" s="117" t="inlineStr">
        <is>
          <t>United Kingdom</t>
        </is>
      </c>
      <c r="D4102" s="117" t="inlineStr">
        <is>
          <t>23196</t>
        </is>
      </c>
      <c r="E4102" s="117" t="inlineStr">
        <is>
          <t>VINTAGE LEAF MAGNETIC NOTEPAD</t>
        </is>
      </c>
      <c r="F4102" s="117" t="n">
        <v>1</v>
      </c>
      <c r="G4102" s="118" t="n">
        <v>1.45</v>
      </c>
      <c r="H4102" s="118" t="n">
        <v>1.45</v>
      </c>
      <c r="I4102" s="119" t="n">
        <v>40853</v>
      </c>
    </row>
    <row r="4103">
      <c r="A4103" s="114" t="inlineStr">
        <is>
          <t>574741</t>
        </is>
      </c>
      <c r="B4103" s="114" t="n">
        <v>15993</v>
      </c>
      <c r="C4103" s="114" t="inlineStr">
        <is>
          <t>United Kingdom</t>
        </is>
      </c>
      <c r="D4103" s="114" t="inlineStr">
        <is>
          <t>23507</t>
        </is>
      </c>
      <c r="E4103" s="114" t="inlineStr">
        <is>
          <t xml:space="preserve">MINI PLAYING CARDS BUFFALO BILL </t>
        </is>
      </c>
      <c r="F4103" s="114" t="n">
        <v>1</v>
      </c>
      <c r="G4103" s="115" t="n">
        <v>0.42</v>
      </c>
      <c r="H4103" s="115" t="n">
        <v>0.42</v>
      </c>
      <c r="I4103" s="116" t="n">
        <v>40853</v>
      </c>
    </row>
    <row r="4104">
      <c r="A4104" s="117" t="inlineStr">
        <is>
          <t>574749</t>
        </is>
      </c>
      <c r="B4104" s="117" t="n">
        <v>15150</v>
      </c>
      <c r="C4104" s="117" t="inlineStr">
        <is>
          <t>United Kingdom</t>
        </is>
      </c>
      <c r="D4104" s="117" t="inlineStr">
        <is>
          <t>22045</t>
        </is>
      </c>
      <c r="E4104" s="117" t="inlineStr">
        <is>
          <t>SPACEBOY GIFT WRAP</t>
        </is>
      </c>
      <c r="F4104" s="117" t="n">
        <v>25</v>
      </c>
      <c r="G4104" s="118" t="n">
        <v>0.42</v>
      </c>
      <c r="H4104" s="118" t="n">
        <v>10.5</v>
      </c>
      <c r="I4104" s="119" t="n">
        <v>40854</v>
      </c>
    </row>
    <row r="4105">
      <c r="A4105" s="114" t="inlineStr">
        <is>
          <t>574777</t>
        </is>
      </c>
      <c r="B4105" s="114" t="n">
        <v>17761</v>
      </c>
      <c r="C4105" s="114" t="inlineStr">
        <is>
          <t>United Kingdom</t>
        </is>
      </c>
      <c r="D4105" s="114" t="inlineStr">
        <is>
          <t>22890</t>
        </is>
      </c>
      <c r="E4105" s="114" t="inlineStr">
        <is>
          <t>NOVELTY BISCUITS CAKE STAND 3 TIER</t>
        </is>
      </c>
      <c r="F4105" s="114" t="n">
        <v>3</v>
      </c>
      <c r="G4105" s="115" t="n">
        <v>9.949999999999999</v>
      </c>
      <c r="H4105" s="115" t="n">
        <v>29.85</v>
      </c>
      <c r="I4105" s="116" t="n">
        <v>40854</v>
      </c>
    </row>
    <row r="4106">
      <c r="A4106" s="117" t="inlineStr">
        <is>
          <t>574824</t>
        </is>
      </c>
      <c r="B4106" s="117" t="n">
        <v>13097</v>
      </c>
      <c r="C4106" s="117" t="inlineStr">
        <is>
          <t>United Kingdom</t>
        </is>
      </c>
      <c r="D4106" s="117" t="inlineStr">
        <is>
          <t>21875</t>
        </is>
      </c>
      <c r="E4106" s="117" t="inlineStr">
        <is>
          <t>KINGS CHOICE MUG</t>
        </is>
      </c>
      <c r="F4106" s="117" t="n">
        <v>12</v>
      </c>
      <c r="G4106" s="118" t="n">
        <v>1.25</v>
      </c>
      <c r="H4106" s="118" t="n">
        <v>15</v>
      </c>
      <c r="I4106" s="119" t="n">
        <v>40854</v>
      </c>
    </row>
    <row r="4107">
      <c r="A4107" s="114" t="inlineStr">
        <is>
          <t>574826</t>
        </is>
      </c>
      <c r="B4107" s="114" t="n">
        <v>15870</v>
      </c>
      <c r="C4107" s="114" t="inlineStr">
        <is>
          <t>United Kingdom</t>
        </is>
      </c>
      <c r="D4107" s="114" t="inlineStr">
        <is>
          <t>22029</t>
        </is>
      </c>
      <c r="E4107" s="114" t="inlineStr">
        <is>
          <t>SPACEBOY BIRTHDAY CARD</t>
        </is>
      </c>
      <c r="F4107" s="114" t="n">
        <v>12</v>
      </c>
      <c r="G4107" s="115" t="n">
        <v>0.42</v>
      </c>
      <c r="H4107" s="115" t="n">
        <v>5.04</v>
      </c>
      <c r="I4107" s="116" t="n">
        <v>40854</v>
      </c>
    </row>
    <row r="4108">
      <c r="A4108" s="117" t="inlineStr">
        <is>
          <t>574827</t>
        </is>
      </c>
      <c r="B4108" s="117" t="n">
        <v>14080</v>
      </c>
      <c r="C4108" s="117" t="inlineStr">
        <is>
          <t>United Kingdom</t>
        </is>
      </c>
      <c r="D4108" s="117" t="inlineStr">
        <is>
          <t>22651</t>
        </is>
      </c>
      <c r="E4108" s="117" t="inlineStr">
        <is>
          <t xml:space="preserve">GENTLEMAN SHIRT REPAIR KIT </t>
        </is>
      </c>
      <c r="F4108" s="117" t="n">
        <v>12</v>
      </c>
      <c r="G4108" s="118" t="n">
        <v>0.85</v>
      </c>
      <c r="H4108" s="118" t="n">
        <v>10.2</v>
      </c>
      <c r="I4108" s="119" t="n">
        <v>40854</v>
      </c>
    </row>
    <row r="4109">
      <c r="A4109" s="114" t="inlineStr">
        <is>
          <t>574834</t>
        </is>
      </c>
      <c r="B4109" s="114" t="n">
        <v>13139</v>
      </c>
      <c r="C4109" s="114" t="inlineStr">
        <is>
          <t>United Kingdom</t>
        </is>
      </c>
      <c r="D4109" s="114" t="inlineStr">
        <is>
          <t>22690</t>
        </is>
      </c>
      <c r="E4109" s="114" t="inlineStr">
        <is>
          <t xml:space="preserve">DOORMAT HOME SWEET HOME BLUE </t>
        </is>
      </c>
      <c r="F4109" s="114" t="n">
        <v>4</v>
      </c>
      <c r="G4109" s="115" t="n">
        <v>8.25</v>
      </c>
      <c r="H4109" s="115" t="n">
        <v>33</v>
      </c>
      <c r="I4109" s="116" t="n">
        <v>40854</v>
      </c>
    </row>
    <row r="4110">
      <c r="A4110" s="117" t="inlineStr">
        <is>
          <t>574835</t>
        </is>
      </c>
      <c r="B4110" s="117" t="n">
        <v>13139</v>
      </c>
      <c r="C4110" s="117" t="inlineStr">
        <is>
          <t>United Kingdom</t>
        </is>
      </c>
      <c r="D4110" s="117" t="inlineStr">
        <is>
          <t>23541</t>
        </is>
      </c>
      <c r="E4110" s="117" t="inlineStr">
        <is>
          <t xml:space="preserve">WALL ART CLASSIC PUDDINGS </t>
        </is>
      </c>
      <c r="F4110" s="117" t="n">
        <v>2</v>
      </c>
      <c r="G4110" s="118" t="n">
        <v>8.25</v>
      </c>
      <c r="H4110" s="118" t="n">
        <v>16.5</v>
      </c>
      <c r="I4110" s="119" t="n">
        <v>40854</v>
      </c>
    </row>
    <row r="4111">
      <c r="A4111" s="114" t="inlineStr">
        <is>
          <t>574836</t>
        </is>
      </c>
      <c r="B4111" s="114" t="n">
        <v>17623</v>
      </c>
      <c r="C4111" s="114" t="inlineStr">
        <is>
          <t>United Kingdom</t>
        </is>
      </c>
      <c r="D4111" s="114" t="inlineStr">
        <is>
          <t>22622</t>
        </is>
      </c>
      <c r="E4111" s="114" t="inlineStr">
        <is>
          <t>BOX OF VINTAGE ALPHABET BLOCKS</t>
        </is>
      </c>
      <c r="F4111" s="114" t="n">
        <v>2</v>
      </c>
      <c r="G4111" s="115" t="n">
        <v>11.95</v>
      </c>
      <c r="H4111" s="115" t="n">
        <v>23.9</v>
      </c>
      <c r="I4111" s="116" t="n">
        <v>40854</v>
      </c>
    </row>
    <row r="4112">
      <c r="A4112" s="117" t="inlineStr">
        <is>
          <t>574836</t>
        </is>
      </c>
      <c r="B4112" s="117" t="n">
        <v>17623</v>
      </c>
      <c r="C4112" s="117" t="inlineStr">
        <is>
          <t>United Kingdom</t>
        </is>
      </c>
      <c r="D4112" s="117" t="inlineStr">
        <is>
          <t>23311</t>
        </is>
      </c>
      <c r="E4112" s="117" t="inlineStr">
        <is>
          <t xml:space="preserve">VINTAGE CHRISTMAS STOCKING </t>
        </is>
      </c>
      <c r="F4112" s="117" t="n">
        <v>6</v>
      </c>
      <c r="G4112" s="118" t="n">
        <v>2.55</v>
      </c>
      <c r="H4112" s="118" t="n">
        <v>15.3</v>
      </c>
      <c r="I4112" s="119" t="n">
        <v>40854</v>
      </c>
    </row>
    <row r="4113">
      <c r="A4113" s="114" t="inlineStr">
        <is>
          <t>574844</t>
        </is>
      </c>
      <c r="B4113" s="114" t="n">
        <v>12783</v>
      </c>
      <c r="C4113" s="114" t="inlineStr">
        <is>
          <t>Portugal</t>
        </is>
      </c>
      <c r="D4113" s="114" t="inlineStr">
        <is>
          <t>47518F</t>
        </is>
      </c>
      <c r="E4113" s="114" t="inlineStr">
        <is>
          <t>ICON PLACEMAT POP ART ELVIS</t>
        </is>
      </c>
      <c r="F4113" s="114" t="n">
        <v>24</v>
      </c>
      <c r="G4113" s="115" t="n">
        <v>0.12</v>
      </c>
      <c r="H4113" s="115" t="n">
        <v>2.88</v>
      </c>
      <c r="I4113" s="116" t="n">
        <v>40854</v>
      </c>
    </row>
    <row r="4114">
      <c r="A4114" s="117" t="inlineStr">
        <is>
          <t>574846</t>
        </is>
      </c>
      <c r="B4114" s="117" t="n">
        <v>14702</v>
      </c>
      <c r="C4114" s="117" t="inlineStr">
        <is>
          <t>United Kingdom</t>
        </is>
      </c>
      <c r="D4114" s="117" t="inlineStr">
        <is>
          <t>22121</t>
        </is>
      </c>
      <c r="E4114" s="117" t="inlineStr">
        <is>
          <t xml:space="preserve">NOEL WOODEN BLOCK LETTERS </t>
        </is>
      </c>
      <c r="F4114" s="117" t="n">
        <v>2</v>
      </c>
      <c r="G4114" s="118" t="n">
        <v>5.95</v>
      </c>
      <c r="H4114" s="118" t="n">
        <v>11.9</v>
      </c>
      <c r="I4114" s="119" t="n">
        <v>40854</v>
      </c>
    </row>
    <row r="4115">
      <c r="A4115" s="114" t="inlineStr">
        <is>
          <t>574864</t>
        </is>
      </c>
      <c r="B4115" s="114" t="n">
        <v>14387</v>
      </c>
      <c r="C4115" s="114" t="inlineStr">
        <is>
          <t>United Kingdom</t>
        </is>
      </c>
      <c r="D4115" s="114" t="inlineStr">
        <is>
          <t>21175</t>
        </is>
      </c>
      <c r="E4115" s="114" t="inlineStr">
        <is>
          <t>GIN + TONIC DIET METAL SIGN</t>
        </is>
      </c>
      <c r="F4115" s="114" t="n">
        <v>4</v>
      </c>
      <c r="G4115" s="115" t="n">
        <v>2.55</v>
      </c>
      <c r="H4115" s="115" t="n">
        <v>10.2</v>
      </c>
      <c r="I4115" s="116" t="n">
        <v>40854</v>
      </c>
    </row>
    <row r="4116">
      <c r="A4116" s="117" t="inlineStr">
        <is>
          <t>574866</t>
        </is>
      </c>
      <c r="B4116" s="117" t="n">
        <v>12748</v>
      </c>
      <c r="C4116" s="117" t="inlineStr">
        <is>
          <t>United Kingdom</t>
        </is>
      </c>
      <c r="D4116" s="117" t="inlineStr">
        <is>
          <t>23263</t>
        </is>
      </c>
      <c r="E4116" s="117" t="inlineStr">
        <is>
          <t>SET OF 3 WOODEN HEART DECORATIONS</t>
        </is>
      </c>
      <c r="F4116" s="117" t="n">
        <v>2</v>
      </c>
      <c r="G4116" s="118" t="n">
        <v>1.25</v>
      </c>
      <c r="H4116" s="118" t="n">
        <v>2.5</v>
      </c>
      <c r="I4116" s="119" t="n">
        <v>40854</v>
      </c>
    </row>
    <row r="4117">
      <c r="A4117" s="114" t="inlineStr">
        <is>
          <t>574867</t>
        </is>
      </c>
      <c r="B4117" s="114" t="n">
        <v>16817</v>
      </c>
      <c r="C4117" s="114" t="inlineStr">
        <is>
          <t>United Kingdom</t>
        </is>
      </c>
      <c r="D4117" s="114" t="inlineStr">
        <is>
          <t>22114</t>
        </is>
      </c>
      <c r="E4117" s="114" t="inlineStr">
        <is>
          <t>HOT WATER BOTTLE TEA AND SYMPATHY</t>
        </is>
      </c>
      <c r="F4117" s="114" t="n">
        <v>8</v>
      </c>
      <c r="G4117" s="115" t="n">
        <v>4.25</v>
      </c>
      <c r="H4117" s="115" t="n">
        <v>34</v>
      </c>
      <c r="I4117" s="116" t="n">
        <v>40854</v>
      </c>
    </row>
    <row r="4118">
      <c r="A4118" s="117" t="inlineStr">
        <is>
          <t>574867</t>
        </is>
      </c>
      <c r="B4118" s="117" t="n">
        <v>16817</v>
      </c>
      <c r="C4118" s="117" t="inlineStr">
        <is>
          <t>United Kingdom</t>
        </is>
      </c>
      <c r="D4118" s="117" t="inlineStr">
        <is>
          <t>22130</t>
        </is>
      </c>
      <c r="E4118" s="117" t="inlineStr">
        <is>
          <t xml:space="preserve">PARTY CONE CHRISTMAS DECORATION </t>
        </is>
      </c>
      <c r="F4118" s="117" t="n">
        <v>12</v>
      </c>
      <c r="G4118" s="118" t="n">
        <v>0.85</v>
      </c>
      <c r="H4118" s="118" t="n">
        <v>10.2</v>
      </c>
      <c r="I4118" s="119" t="n">
        <v>40854</v>
      </c>
    </row>
    <row r="4119">
      <c r="A4119" s="114" t="inlineStr">
        <is>
          <t>574880</t>
        </is>
      </c>
      <c r="B4119" s="114" t="n">
        <v>18016</v>
      </c>
      <c r="C4119" s="114" t="inlineStr">
        <is>
          <t>United Kingdom</t>
        </is>
      </c>
      <c r="D4119" s="114" t="inlineStr">
        <is>
          <t>22659</t>
        </is>
      </c>
      <c r="E4119" s="114" t="inlineStr">
        <is>
          <t>LUNCH BOX I LOVE LONDON</t>
        </is>
      </c>
      <c r="F4119" s="114" t="n">
        <v>5</v>
      </c>
      <c r="G4119" s="115" t="n">
        <v>1.95</v>
      </c>
      <c r="H4119" s="115" t="n">
        <v>9.75</v>
      </c>
      <c r="I4119" s="116" t="n">
        <v>40854</v>
      </c>
    </row>
    <row r="4120">
      <c r="A4120" s="117" t="inlineStr">
        <is>
          <t>574883</t>
        </is>
      </c>
      <c r="B4120" s="117" t="n">
        <v>14623</v>
      </c>
      <c r="C4120" s="117" t="inlineStr">
        <is>
          <t>United Kingdom</t>
        </is>
      </c>
      <c r="D4120" s="117" t="inlineStr">
        <is>
          <t>84519B</t>
        </is>
      </c>
      <c r="E4120" s="117" t="inlineStr">
        <is>
          <t>CARROT CHARLIE+LOLA COASTER SET</t>
        </is>
      </c>
      <c r="F4120" s="117" t="n">
        <v>5</v>
      </c>
      <c r="G4120" s="118" t="n">
        <v>1.25</v>
      </c>
      <c r="H4120" s="118" t="n">
        <v>6.25</v>
      </c>
      <c r="I4120" s="119" t="n">
        <v>40854</v>
      </c>
    </row>
    <row r="4121">
      <c r="A4121" s="114" t="inlineStr">
        <is>
          <t>574903</t>
        </is>
      </c>
      <c r="B4121" s="114" t="n">
        <v>17302</v>
      </c>
      <c r="C4121" s="114" t="inlineStr">
        <is>
          <t>United Kingdom</t>
        </is>
      </c>
      <c r="D4121" s="114" t="inlineStr">
        <is>
          <t>22113</t>
        </is>
      </c>
      <c r="E4121" s="114" t="inlineStr">
        <is>
          <t>GREY HEART HOT WATER BOTTLE</t>
        </is>
      </c>
      <c r="F4121" s="114" t="n">
        <v>16</v>
      </c>
      <c r="G4121" s="115" t="n">
        <v>4.25</v>
      </c>
      <c r="H4121" s="115" t="n">
        <v>68</v>
      </c>
      <c r="I4121" s="116" t="n">
        <v>40854</v>
      </c>
    </row>
    <row r="4122">
      <c r="A4122" s="117" t="inlineStr">
        <is>
          <t>574907</t>
        </is>
      </c>
      <c r="B4122" s="117" t="n">
        <v>17043</v>
      </c>
      <c r="C4122" s="117" t="inlineStr">
        <is>
          <t>United Kingdom</t>
        </is>
      </c>
      <c r="D4122" s="117" t="inlineStr">
        <is>
          <t>22796</t>
        </is>
      </c>
      <c r="E4122" s="117" t="inlineStr">
        <is>
          <t>PHOTO FRAME 3 CLASSIC HANGING</t>
        </is>
      </c>
      <c r="F4122" s="117" t="n">
        <v>2</v>
      </c>
      <c r="G4122" s="118" t="n">
        <v>9.949999999999999</v>
      </c>
      <c r="H4122" s="118" t="n">
        <v>19.9</v>
      </c>
      <c r="I4122" s="119" t="n">
        <v>40854</v>
      </c>
    </row>
    <row r="4123">
      <c r="A4123" s="114" t="inlineStr">
        <is>
          <t>574913</t>
        </is>
      </c>
      <c r="B4123" s="114" t="n">
        <v>13323</v>
      </c>
      <c r="C4123" s="114" t="inlineStr">
        <is>
          <t>United Kingdom</t>
        </is>
      </c>
      <c r="D4123" s="114" t="inlineStr">
        <is>
          <t>21485</t>
        </is>
      </c>
      <c r="E4123" s="114" t="inlineStr">
        <is>
          <t>RETROSPOT HEART HOT WATER BOTTLE</t>
        </is>
      </c>
      <c r="F4123" s="114" t="n">
        <v>6</v>
      </c>
      <c r="G4123" s="115" t="n">
        <v>4.95</v>
      </c>
      <c r="H4123" s="115" t="n">
        <v>29.7</v>
      </c>
      <c r="I4123" s="116" t="n">
        <v>40854</v>
      </c>
    </row>
    <row r="4124">
      <c r="A4124" s="117" t="inlineStr">
        <is>
          <t>574915</t>
        </is>
      </c>
      <c r="B4124" s="117" t="n">
        <v>16779</v>
      </c>
      <c r="C4124" s="117" t="inlineStr">
        <is>
          <t>United Kingdom</t>
        </is>
      </c>
      <c r="D4124" s="117" t="inlineStr">
        <is>
          <t>22197</t>
        </is>
      </c>
      <c r="E4124" s="117" t="inlineStr">
        <is>
          <t>POPCORN HOLDER</t>
        </is>
      </c>
      <c r="F4124" s="117" t="n">
        <v>24</v>
      </c>
      <c r="G4124" s="118" t="n">
        <v>0.85</v>
      </c>
      <c r="H4124" s="118" t="n">
        <v>20.4</v>
      </c>
      <c r="I4124" s="119" t="n">
        <v>40854</v>
      </c>
    </row>
    <row r="4125">
      <c r="A4125" s="114" t="inlineStr">
        <is>
          <t>574915</t>
        </is>
      </c>
      <c r="B4125" s="114" t="n">
        <v>16779</v>
      </c>
      <c r="C4125" s="114" t="inlineStr">
        <is>
          <t>United Kingdom</t>
        </is>
      </c>
      <c r="D4125" s="114" t="inlineStr">
        <is>
          <t>22333</t>
        </is>
      </c>
      <c r="E4125" s="114" t="inlineStr">
        <is>
          <t>RETROSPOT PARTY BAG + STICKER SET</t>
        </is>
      </c>
      <c r="F4125" s="114" t="n">
        <v>8</v>
      </c>
      <c r="G4125" s="115" t="n">
        <v>1.65</v>
      </c>
      <c r="H4125" s="115" t="n">
        <v>13.2</v>
      </c>
      <c r="I4125" s="116" t="n">
        <v>40854</v>
      </c>
    </row>
    <row r="4126">
      <c r="A4126" s="117" t="inlineStr">
        <is>
          <t>574949</t>
        </is>
      </c>
      <c r="B4126" s="117" t="n">
        <v>14360</v>
      </c>
      <c r="C4126" s="117" t="inlineStr">
        <is>
          <t>United Kingdom</t>
        </is>
      </c>
      <c r="D4126" s="117" t="inlineStr">
        <is>
          <t>22026</t>
        </is>
      </c>
      <c r="E4126" s="117" t="inlineStr">
        <is>
          <t xml:space="preserve">BANQUET BIRTHDAY  CARD  </t>
        </is>
      </c>
      <c r="F4126" s="117" t="n">
        <v>12</v>
      </c>
      <c r="G4126" s="118" t="n">
        <v>0.42</v>
      </c>
      <c r="H4126" s="118" t="n">
        <v>5.04</v>
      </c>
      <c r="I4126" s="119" t="n">
        <v>40855</v>
      </c>
    </row>
    <row r="4127">
      <c r="A4127" s="114" t="inlineStr">
        <is>
          <t>574959</t>
        </is>
      </c>
      <c r="B4127" s="114" t="n">
        <v>17886</v>
      </c>
      <c r="C4127" s="114" t="inlineStr">
        <is>
          <t>United Kingdom</t>
        </is>
      </c>
      <c r="D4127" s="114" t="inlineStr">
        <is>
          <t>85176</t>
        </is>
      </c>
      <c r="E4127" s="114" t="inlineStr">
        <is>
          <t>SEWING SUSAN 21 NEEDLE SET</t>
        </is>
      </c>
      <c r="F4127" s="114" t="n">
        <v>1</v>
      </c>
      <c r="G4127" s="115" t="n">
        <v>0.85</v>
      </c>
      <c r="H4127" s="115" t="n">
        <v>0.85</v>
      </c>
      <c r="I4127" s="116" t="n">
        <v>40855</v>
      </c>
    </row>
    <row r="4128">
      <c r="A4128" s="117" t="inlineStr">
        <is>
          <t>574963</t>
        </is>
      </c>
      <c r="B4128" s="117" t="n">
        <v>12919</v>
      </c>
      <c r="C4128" s="117" t="inlineStr">
        <is>
          <t>United Kingdom</t>
        </is>
      </c>
      <c r="D4128" s="117" t="inlineStr">
        <is>
          <t>35970</t>
        </is>
      </c>
      <c r="E4128" s="117" t="inlineStr">
        <is>
          <t>ZINC FOLKART SLEIGH BELLS</t>
        </is>
      </c>
      <c r="F4128" s="117" t="n">
        <v>12</v>
      </c>
      <c r="G4128" s="118" t="n">
        <v>1.69</v>
      </c>
      <c r="H4128" s="118" t="n">
        <v>20.28</v>
      </c>
      <c r="I4128" s="119" t="n">
        <v>40855</v>
      </c>
    </row>
    <row r="4129">
      <c r="A4129" s="114" t="inlineStr">
        <is>
          <t>574964</t>
        </is>
      </c>
      <c r="B4129" s="114" t="n">
        <v>13329</v>
      </c>
      <c r="C4129" s="114" t="inlineStr">
        <is>
          <t>United Kingdom</t>
        </is>
      </c>
      <c r="D4129" s="114" t="inlineStr">
        <is>
          <t>22952</t>
        </is>
      </c>
      <c r="E4129" s="114" t="inlineStr">
        <is>
          <t>60 CAKE CASES VINTAGE CHRISTMAS</t>
        </is>
      </c>
      <c r="F4129" s="114" t="n">
        <v>24</v>
      </c>
      <c r="G4129" s="115" t="n">
        <v>0.55</v>
      </c>
      <c r="H4129" s="115" t="n">
        <v>13.2</v>
      </c>
      <c r="I4129" s="116" t="n">
        <v>40855</v>
      </c>
    </row>
    <row r="4130">
      <c r="A4130" s="117" t="inlineStr">
        <is>
          <t>574965</t>
        </is>
      </c>
      <c r="B4130" s="117" t="n">
        <v>17964</v>
      </c>
      <c r="C4130" s="117" t="inlineStr">
        <is>
          <t>United Kingdom</t>
        </is>
      </c>
      <c r="D4130" s="117" t="inlineStr">
        <is>
          <t>23352</t>
        </is>
      </c>
      <c r="E4130" s="117" t="inlineStr">
        <is>
          <t xml:space="preserve">ROLL WRAP 50'S RED CHRISTMAS </t>
        </is>
      </c>
      <c r="F4130" s="117" t="n">
        <v>1</v>
      </c>
      <c r="G4130" s="118" t="n">
        <v>1.25</v>
      </c>
      <c r="H4130" s="118" t="n">
        <v>1.25</v>
      </c>
      <c r="I4130" s="119" t="n">
        <v>40855</v>
      </c>
    </row>
    <row r="4131">
      <c r="A4131" s="114" t="inlineStr">
        <is>
          <t>574965</t>
        </is>
      </c>
      <c r="B4131" s="114" t="n">
        <v>17964</v>
      </c>
      <c r="C4131" s="114" t="inlineStr">
        <is>
          <t>United Kingdom</t>
        </is>
      </c>
      <c r="D4131" s="114" t="inlineStr">
        <is>
          <t>22834</t>
        </is>
      </c>
      <c r="E4131" s="114" t="inlineStr">
        <is>
          <t>HAND WARMER BABUSHKA DESIGN</t>
        </is>
      </c>
      <c r="F4131" s="114" t="n">
        <v>1</v>
      </c>
      <c r="G4131" s="115" t="n">
        <v>2.1</v>
      </c>
      <c r="H4131" s="115" t="n">
        <v>2.1</v>
      </c>
      <c r="I4131" s="116" t="n">
        <v>40855</v>
      </c>
    </row>
    <row r="4132">
      <c r="A4132" s="117" t="inlineStr">
        <is>
          <t>574965</t>
        </is>
      </c>
      <c r="B4132" s="117" t="n">
        <v>17964</v>
      </c>
      <c r="C4132" s="117" t="inlineStr">
        <is>
          <t>United Kingdom</t>
        </is>
      </c>
      <c r="D4132" s="117" t="inlineStr">
        <is>
          <t>21912</t>
        </is>
      </c>
      <c r="E4132" s="117" t="inlineStr">
        <is>
          <t>VINTAGE SNAKES &amp; LADDERS</t>
        </is>
      </c>
      <c r="F4132" s="117" t="n">
        <v>1</v>
      </c>
      <c r="G4132" s="118" t="n">
        <v>3.75</v>
      </c>
      <c r="H4132" s="118" t="n">
        <v>3.75</v>
      </c>
      <c r="I4132" s="119" t="n">
        <v>40855</v>
      </c>
    </row>
    <row r="4133">
      <c r="A4133" s="114" t="inlineStr">
        <is>
          <t>574965</t>
        </is>
      </c>
      <c r="B4133" s="114" t="n">
        <v>17964</v>
      </c>
      <c r="C4133" s="114" t="inlineStr">
        <is>
          <t>United Kingdom</t>
        </is>
      </c>
      <c r="D4133" s="114" t="inlineStr">
        <is>
          <t>23177</t>
        </is>
      </c>
      <c r="E4133" s="114" t="inlineStr">
        <is>
          <t>TREASURE ISLAND BOOK BOX</t>
        </is>
      </c>
      <c r="F4133" s="114" t="n">
        <v>1</v>
      </c>
      <c r="G4133" s="115" t="n">
        <v>2.25</v>
      </c>
      <c r="H4133" s="115" t="n">
        <v>2.25</v>
      </c>
      <c r="I4133" s="116" t="n">
        <v>40855</v>
      </c>
    </row>
    <row r="4134">
      <c r="A4134" s="117" t="inlineStr">
        <is>
          <t>575037</t>
        </is>
      </c>
      <c r="B4134" s="117" t="n">
        <v>16066</v>
      </c>
      <c r="C4134" s="117" t="inlineStr">
        <is>
          <t>United Kingdom</t>
        </is>
      </c>
      <c r="D4134" s="117" t="inlineStr">
        <is>
          <t>22209</t>
        </is>
      </c>
      <c r="E4134" s="117" t="inlineStr">
        <is>
          <t>WOOD STAMP SET HAPPY BIRTHDAY</t>
        </is>
      </c>
      <c r="F4134" s="117" t="n">
        <v>10</v>
      </c>
      <c r="G4134" s="118" t="n">
        <v>0.83</v>
      </c>
      <c r="H4134" s="118" t="n">
        <v>8.300000000000001</v>
      </c>
      <c r="I4134" s="119" t="n">
        <v>40855</v>
      </c>
    </row>
    <row r="4135">
      <c r="A4135" s="114" t="inlineStr">
        <is>
          <t>575037</t>
        </is>
      </c>
      <c r="B4135" s="114" t="n">
        <v>16066</v>
      </c>
      <c r="C4135" s="114" t="inlineStr">
        <is>
          <t>United Kingdom</t>
        </is>
      </c>
      <c r="D4135" s="114" t="inlineStr">
        <is>
          <t>22144</t>
        </is>
      </c>
      <c r="E4135" s="114" t="inlineStr">
        <is>
          <t>CHRISTMAS CRAFT LITTLE FRIENDS</t>
        </is>
      </c>
      <c r="F4135" s="114" t="n">
        <v>10</v>
      </c>
      <c r="G4135" s="115" t="n">
        <v>2.1</v>
      </c>
      <c r="H4135" s="115" t="n">
        <v>21</v>
      </c>
      <c r="I4135" s="116" t="n">
        <v>40855</v>
      </c>
    </row>
    <row r="4136">
      <c r="A4136" s="117" t="inlineStr">
        <is>
          <t>575039</t>
        </is>
      </c>
      <c r="B4136" s="117" t="n">
        <v>15005</v>
      </c>
      <c r="C4136" s="117" t="inlineStr">
        <is>
          <t>United Kingdom</t>
        </is>
      </c>
      <c r="D4136" s="117" t="inlineStr">
        <is>
          <t>35961</t>
        </is>
      </c>
      <c r="E4136" s="117" t="inlineStr">
        <is>
          <t>FOLKART ZINC HEART CHRISTMAS DEC</t>
        </is>
      </c>
      <c r="F4136" s="117" t="n">
        <v>11</v>
      </c>
      <c r="G4136" s="118" t="n">
        <v>0.85</v>
      </c>
      <c r="H4136" s="118" t="n">
        <v>9.35</v>
      </c>
      <c r="I4136" s="119" t="n">
        <v>40855</v>
      </c>
    </row>
    <row r="4137">
      <c r="A4137" s="114" t="inlineStr">
        <is>
          <t>575040</t>
        </is>
      </c>
      <c r="B4137" s="114" t="n">
        <v>13381</v>
      </c>
      <c r="C4137" s="114" t="inlineStr">
        <is>
          <t>United Kingdom</t>
        </is>
      </c>
      <c r="D4137" s="114" t="inlineStr">
        <is>
          <t>22727</t>
        </is>
      </c>
      <c r="E4137" s="114" t="inlineStr">
        <is>
          <t xml:space="preserve">ALARM CLOCK BAKELIKE RED </t>
        </is>
      </c>
      <c r="F4137" s="114" t="n">
        <v>4</v>
      </c>
      <c r="G4137" s="115" t="n">
        <v>3.75</v>
      </c>
      <c r="H4137" s="115" t="n">
        <v>15</v>
      </c>
      <c r="I4137" s="116" t="n">
        <v>40855</v>
      </c>
    </row>
    <row r="4138">
      <c r="A4138" s="117" t="inlineStr">
        <is>
          <t>575049</t>
        </is>
      </c>
      <c r="B4138" s="117" t="n">
        <v>12721</v>
      </c>
      <c r="C4138" s="117" t="inlineStr">
        <is>
          <t>France</t>
        </is>
      </c>
      <c r="D4138" s="117" t="inlineStr">
        <is>
          <t>23569</t>
        </is>
      </c>
      <c r="E4138" s="117" t="inlineStr">
        <is>
          <t>TRADTIONAL ALPHABET STAMP SET</t>
        </is>
      </c>
      <c r="F4138" s="117" t="n">
        <v>4</v>
      </c>
      <c r="G4138" s="118" t="n">
        <v>4.95</v>
      </c>
      <c r="H4138" s="118" t="n">
        <v>19.8</v>
      </c>
      <c r="I4138" s="119" t="n">
        <v>40855</v>
      </c>
    </row>
    <row r="4139">
      <c r="A4139" s="114" t="inlineStr">
        <is>
          <t>575060</t>
        </is>
      </c>
      <c r="B4139" s="114" t="n">
        <v>13089</v>
      </c>
      <c r="C4139" s="114" t="inlineStr">
        <is>
          <t>United Kingdom</t>
        </is>
      </c>
      <c r="D4139" s="114" t="inlineStr">
        <is>
          <t>23489</t>
        </is>
      </c>
      <c r="E4139" s="114" t="inlineStr">
        <is>
          <t>VINTAGE BELLS GARLAND</t>
        </is>
      </c>
      <c r="F4139" s="114" t="n">
        <v>6</v>
      </c>
      <c r="G4139" s="115" t="n">
        <v>2.89</v>
      </c>
      <c r="H4139" s="115" t="n">
        <v>17.34</v>
      </c>
      <c r="I4139" s="116" t="n">
        <v>40855</v>
      </c>
    </row>
    <row r="4140">
      <c r="A4140" s="117" t="inlineStr">
        <is>
          <t>575063</t>
        </is>
      </c>
      <c r="B4140" s="117" t="n">
        <v>16764</v>
      </c>
      <c r="C4140" s="117" t="inlineStr">
        <is>
          <t>United Kingdom</t>
        </is>
      </c>
      <c r="D4140" s="117" t="inlineStr">
        <is>
          <t>21930</t>
        </is>
      </c>
      <c r="E4140" s="117" t="inlineStr">
        <is>
          <t>JUMBO STORAGE BAG SKULLS</t>
        </is>
      </c>
      <c r="F4140" s="117" t="n">
        <v>1</v>
      </c>
      <c r="G4140" s="118" t="n">
        <v>2.08</v>
      </c>
      <c r="H4140" s="118" t="n">
        <v>2.08</v>
      </c>
      <c r="I4140" s="119" t="n">
        <v>40855</v>
      </c>
    </row>
    <row r="4141">
      <c r="A4141" s="114" t="inlineStr">
        <is>
          <t>575067</t>
        </is>
      </c>
      <c r="B4141" s="114" t="n">
        <v>12583</v>
      </c>
      <c r="C4141" s="114" t="inlineStr">
        <is>
          <t>France</t>
        </is>
      </c>
      <c r="D4141" s="114" t="inlineStr">
        <is>
          <t>22492</t>
        </is>
      </c>
      <c r="E4141" s="114" t="inlineStr">
        <is>
          <t xml:space="preserve">MINI PAINT SET VINTAGE </t>
        </is>
      </c>
      <c r="F4141" s="114" t="n">
        <v>108</v>
      </c>
      <c r="G4141" s="115" t="n">
        <v>0.65</v>
      </c>
      <c r="H4141" s="115" t="n">
        <v>70.2</v>
      </c>
      <c r="I4141" s="116" t="n">
        <v>40855</v>
      </c>
    </row>
    <row r="4142">
      <c r="A4142" s="117" t="inlineStr">
        <is>
          <t>575073</t>
        </is>
      </c>
      <c r="B4142" s="117" t="n">
        <v>13975</v>
      </c>
      <c r="C4142" s="117" t="inlineStr">
        <is>
          <t>United Kingdom</t>
        </is>
      </c>
      <c r="D4142" s="117" t="inlineStr">
        <is>
          <t>21231</t>
        </is>
      </c>
      <c r="E4142" s="117" t="inlineStr">
        <is>
          <t>SWEETHEART CERAMIC TRINKET BOX</t>
        </is>
      </c>
      <c r="F4142" s="117" t="n">
        <v>1</v>
      </c>
      <c r="G4142" s="118" t="n">
        <v>1.25</v>
      </c>
      <c r="H4142" s="118" t="n">
        <v>1.25</v>
      </c>
      <c r="I4142" s="119" t="n">
        <v>40855</v>
      </c>
    </row>
    <row r="4143">
      <c r="A4143" s="114" t="inlineStr">
        <is>
          <t>575075</t>
        </is>
      </c>
      <c r="B4143" s="114" t="n">
        <v>13975</v>
      </c>
      <c r="C4143" s="114" t="inlineStr">
        <is>
          <t>United Kingdom</t>
        </is>
      </c>
      <c r="D4143" s="114" t="inlineStr">
        <is>
          <t>22959</t>
        </is>
      </c>
      <c r="E4143" s="114" t="inlineStr">
        <is>
          <t>WRAP CHRISTMAS VILLAGE</t>
        </is>
      </c>
      <c r="F4143" s="114" t="n">
        <v>75</v>
      </c>
      <c r="G4143" s="115" t="n">
        <v>0.42</v>
      </c>
      <c r="H4143" s="115" t="n">
        <v>31.5</v>
      </c>
      <c r="I4143" s="116" t="n">
        <v>40855</v>
      </c>
    </row>
    <row r="4144">
      <c r="A4144" s="117" t="inlineStr">
        <is>
          <t>575086</t>
        </is>
      </c>
      <c r="B4144" s="117" t="n">
        <v>16618</v>
      </c>
      <c r="C4144" s="117" t="inlineStr">
        <is>
          <t>United Kingdom</t>
        </is>
      </c>
      <c r="D4144" s="117" t="inlineStr">
        <is>
          <t>23516</t>
        </is>
      </c>
      <c r="E4144" s="117" t="inlineStr">
        <is>
          <t xml:space="preserve">EMBROIDERED RIBBON REEL SOPHIE  </t>
        </is>
      </c>
      <c r="F4144" s="117" t="n">
        <v>6</v>
      </c>
      <c r="G4144" s="118" t="n">
        <v>3.75</v>
      </c>
      <c r="H4144" s="118" t="n">
        <v>22.5</v>
      </c>
      <c r="I4144" s="119" t="n">
        <v>40855</v>
      </c>
    </row>
    <row r="4145">
      <c r="A4145" s="114" t="inlineStr">
        <is>
          <t>575086</t>
        </is>
      </c>
      <c r="B4145" s="114" t="n">
        <v>16618</v>
      </c>
      <c r="C4145" s="114" t="inlineStr">
        <is>
          <t>United Kingdom</t>
        </is>
      </c>
      <c r="D4145" s="114" t="inlineStr">
        <is>
          <t>21669</t>
        </is>
      </c>
      <c r="E4145" s="114" t="inlineStr">
        <is>
          <t>BLUE STRIPE CERAMIC DRAWER KNOB</t>
        </is>
      </c>
      <c r="F4145" s="114" t="n">
        <v>24</v>
      </c>
      <c r="G4145" s="115" t="n">
        <v>1.45</v>
      </c>
      <c r="H4145" s="115" t="n">
        <v>34.8</v>
      </c>
      <c r="I4145" s="116" t="n">
        <v>40855</v>
      </c>
    </row>
    <row r="4146">
      <c r="A4146" s="117" t="inlineStr">
        <is>
          <t>575087</t>
        </is>
      </c>
      <c r="B4146" s="117" t="n">
        <v>16549</v>
      </c>
      <c r="C4146" s="117" t="inlineStr">
        <is>
          <t>United Kingdom</t>
        </is>
      </c>
      <c r="D4146" s="117" t="inlineStr">
        <is>
          <t>22629</t>
        </is>
      </c>
      <c r="E4146" s="117" t="inlineStr">
        <is>
          <t xml:space="preserve">SPACEBOY LUNCH BOX </t>
        </is>
      </c>
      <c r="F4146" s="117" t="n">
        <v>1</v>
      </c>
      <c r="G4146" s="118" t="n">
        <v>1.95</v>
      </c>
      <c r="H4146" s="118" t="n">
        <v>1.95</v>
      </c>
      <c r="I4146" s="119" t="n">
        <v>40855</v>
      </c>
    </row>
    <row r="4147">
      <c r="A4147" s="114" t="inlineStr">
        <is>
          <t>575091</t>
        </is>
      </c>
      <c r="B4147" s="114" t="n">
        <v>17160</v>
      </c>
      <c r="C4147" s="114" t="inlineStr">
        <is>
          <t>United Kingdom</t>
        </is>
      </c>
      <c r="D4147" s="114" t="inlineStr">
        <is>
          <t>22738</t>
        </is>
      </c>
      <c r="E4147" s="114" t="inlineStr">
        <is>
          <t>RIBBON REEL SNOWY VILLAGE</t>
        </is>
      </c>
      <c r="F4147" s="114" t="n">
        <v>10</v>
      </c>
      <c r="G4147" s="115" t="n">
        <v>1.65</v>
      </c>
      <c r="H4147" s="115" t="n">
        <v>16.5</v>
      </c>
      <c r="I4147" s="116" t="n">
        <v>40855</v>
      </c>
    </row>
    <row r="4148">
      <c r="A4148" s="117" t="inlineStr">
        <is>
          <t>575117</t>
        </is>
      </c>
      <c r="B4148" s="117" t="n">
        <v>12748</v>
      </c>
      <c r="C4148" s="117" t="inlineStr">
        <is>
          <t>United Kingdom</t>
        </is>
      </c>
      <c r="D4148" s="117" t="inlineStr">
        <is>
          <t>85032B</t>
        </is>
      </c>
      <c r="E4148" s="117" t="inlineStr">
        <is>
          <t>BLOSSOM IMAGES GIFT WRAP SET</t>
        </is>
      </c>
      <c r="F4148" s="117" t="n">
        <v>1</v>
      </c>
      <c r="G4148" s="118" t="n">
        <v>0.65</v>
      </c>
      <c r="H4148" s="118" t="n">
        <v>0.65</v>
      </c>
      <c r="I4148" s="119" t="n">
        <v>40855</v>
      </c>
    </row>
    <row r="4149">
      <c r="A4149" s="114" t="inlineStr">
        <is>
          <t>575128</t>
        </is>
      </c>
      <c r="B4149" s="114" t="n">
        <v>16837</v>
      </c>
      <c r="C4149" s="114" t="inlineStr">
        <is>
          <t>United Kingdom</t>
        </is>
      </c>
      <c r="D4149" s="114" t="inlineStr">
        <is>
          <t>72817</t>
        </is>
      </c>
      <c r="E4149" s="114" t="inlineStr">
        <is>
          <t>SET OF 2 CHRISTMAS DECOUPAGE CANDLE</t>
        </is>
      </c>
      <c r="F4149" s="114" t="n">
        <v>24</v>
      </c>
      <c r="G4149" s="115" t="n">
        <v>0.79</v>
      </c>
      <c r="H4149" s="115" t="n">
        <v>18.96</v>
      </c>
      <c r="I4149" s="116" t="n">
        <v>40855</v>
      </c>
    </row>
    <row r="4150">
      <c r="A4150" s="117" t="inlineStr">
        <is>
          <t>575129</t>
        </is>
      </c>
      <c r="B4150" s="117" t="n">
        <v>13110</v>
      </c>
      <c r="C4150" s="117" t="inlineStr">
        <is>
          <t>United Kingdom</t>
        </is>
      </c>
      <c r="D4150" s="117" t="inlineStr">
        <is>
          <t>23131</t>
        </is>
      </c>
      <c r="E4150" s="117" t="inlineStr">
        <is>
          <t>MISTLETOE HEART WREATH CREAM</t>
        </is>
      </c>
      <c r="F4150" s="117" t="n">
        <v>6</v>
      </c>
      <c r="G4150" s="118" t="n">
        <v>4.15</v>
      </c>
      <c r="H4150" s="118" t="n">
        <v>24.9</v>
      </c>
      <c r="I4150" s="119" t="n">
        <v>40855</v>
      </c>
    </row>
    <row r="4151">
      <c r="A4151" s="114" t="inlineStr">
        <is>
          <t>575136</t>
        </is>
      </c>
      <c r="B4151" s="114" t="n">
        <v>15103</v>
      </c>
      <c r="C4151" s="114" t="inlineStr">
        <is>
          <t>United Kingdom</t>
        </is>
      </c>
      <c r="D4151" s="114" t="inlineStr">
        <is>
          <t>23319</t>
        </is>
      </c>
      <c r="E4151" s="114" t="inlineStr">
        <is>
          <t>BOX OF 6 MINI 50'S CRACKERS</t>
        </is>
      </c>
      <c r="F4151" s="114" t="n">
        <v>6</v>
      </c>
      <c r="G4151" s="115" t="n">
        <v>2.49</v>
      </c>
      <c r="H4151" s="115" t="n">
        <v>14.94</v>
      </c>
      <c r="I4151" s="116" t="n">
        <v>40855</v>
      </c>
    </row>
    <row r="4152">
      <c r="A4152" s="117" t="inlineStr">
        <is>
          <t>575141</t>
        </is>
      </c>
      <c r="B4152" s="117" t="n">
        <v>15615</v>
      </c>
      <c r="C4152" s="117" t="inlineStr">
        <is>
          <t>United Kingdom</t>
        </is>
      </c>
      <c r="D4152" s="117" t="inlineStr">
        <is>
          <t>21479</t>
        </is>
      </c>
      <c r="E4152" s="117" t="inlineStr">
        <is>
          <t xml:space="preserve">WHITE SKULL HOT WATER BOTTLE </t>
        </is>
      </c>
      <c r="F4152" s="117" t="n">
        <v>8</v>
      </c>
      <c r="G4152" s="118" t="n">
        <v>4.25</v>
      </c>
      <c r="H4152" s="118" t="n">
        <v>34</v>
      </c>
      <c r="I4152" s="119" t="n">
        <v>40855</v>
      </c>
    </row>
    <row r="4153">
      <c r="A4153" s="114" t="inlineStr">
        <is>
          <t>575144</t>
        </is>
      </c>
      <c r="B4153" s="114" t="n">
        <v>12540</v>
      </c>
      <c r="C4153" s="114" t="inlineStr">
        <is>
          <t>Spain</t>
        </is>
      </c>
      <c r="D4153" s="114" t="inlineStr">
        <is>
          <t>22211</t>
        </is>
      </c>
      <c r="E4153" s="114" t="inlineStr">
        <is>
          <t>WOOD STAMP SET FLOWERS</t>
        </is>
      </c>
      <c r="F4153" s="114" t="n">
        <v>12</v>
      </c>
      <c r="G4153" s="115" t="n">
        <v>0.83</v>
      </c>
      <c r="H4153" s="115" t="n">
        <v>9.960000000000001</v>
      </c>
      <c r="I4153" s="116" t="n">
        <v>40855</v>
      </c>
    </row>
    <row r="4154">
      <c r="A4154" s="117" t="inlineStr">
        <is>
          <t>575145</t>
        </is>
      </c>
      <c r="B4154" s="117" t="n">
        <v>14116</v>
      </c>
      <c r="C4154" s="117" t="inlineStr">
        <is>
          <t>United Kingdom</t>
        </is>
      </c>
      <c r="D4154" s="117" t="inlineStr">
        <is>
          <t>23035</t>
        </is>
      </c>
      <c r="E4154" s="117" t="inlineStr">
        <is>
          <t>DRAWER KNOB CERAMIC IVORY</t>
        </is>
      </c>
      <c r="F4154" s="117" t="n">
        <v>6</v>
      </c>
      <c r="G4154" s="118" t="n">
        <v>1.45</v>
      </c>
      <c r="H4154" s="118" t="n">
        <v>8.699999999999999</v>
      </c>
      <c r="I4154" s="119" t="n">
        <v>40855</v>
      </c>
    </row>
    <row r="4155">
      <c r="A4155" s="114" t="inlineStr">
        <is>
          <t>575164</t>
        </is>
      </c>
      <c r="B4155" s="114" t="n">
        <v>18216</v>
      </c>
      <c r="C4155" s="114" t="inlineStr">
        <is>
          <t>United Kingdom</t>
        </is>
      </c>
      <c r="D4155" s="114" t="inlineStr">
        <is>
          <t>23077</t>
        </is>
      </c>
      <c r="E4155" s="114" t="inlineStr">
        <is>
          <t xml:space="preserve">DOUGHNUT LIP GLOSS </t>
        </is>
      </c>
      <c r="F4155" s="114" t="n">
        <v>20</v>
      </c>
      <c r="G4155" s="115" t="n">
        <v>1.25</v>
      </c>
      <c r="H4155" s="115" t="n">
        <v>25</v>
      </c>
      <c r="I4155" s="116" t="n">
        <v>40855</v>
      </c>
    </row>
    <row r="4156">
      <c r="A4156" s="117" t="inlineStr">
        <is>
          <t>575169</t>
        </is>
      </c>
      <c r="B4156" s="117" t="n">
        <v>14367</v>
      </c>
      <c r="C4156" s="117" t="inlineStr">
        <is>
          <t>United Kingdom</t>
        </is>
      </c>
      <c r="D4156" s="117" t="inlineStr">
        <is>
          <t>21770</t>
        </is>
      </c>
      <c r="E4156" s="117" t="inlineStr">
        <is>
          <t>OPEN CLOSED METAL SIGN</t>
        </is>
      </c>
      <c r="F4156" s="117" t="n">
        <v>2</v>
      </c>
      <c r="G4156" s="118" t="n">
        <v>4.95</v>
      </c>
      <c r="H4156" s="118" t="n">
        <v>9.9</v>
      </c>
      <c r="I4156" s="119" t="n">
        <v>40855</v>
      </c>
    </row>
    <row r="4157">
      <c r="A4157" s="114" t="inlineStr">
        <is>
          <t>575181</t>
        </is>
      </c>
      <c r="B4157" s="114" t="n">
        <v>14709</v>
      </c>
      <c r="C4157" s="114" t="inlineStr">
        <is>
          <t>United Kingdom</t>
        </is>
      </c>
      <c r="D4157" s="114" t="inlineStr">
        <is>
          <t>23202</t>
        </is>
      </c>
      <c r="E4157" s="114" t="inlineStr">
        <is>
          <t>JUMBO BAG VINTAGE LEAF</t>
        </is>
      </c>
      <c r="F4157" s="114" t="n">
        <v>10</v>
      </c>
      <c r="G4157" s="115" t="n">
        <v>2.08</v>
      </c>
      <c r="H4157" s="115" t="n">
        <v>20.8</v>
      </c>
      <c r="I4157" s="116" t="n">
        <v>40856</v>
      </c>
    </row>
    <row r="4158">
      <c r="A4158" s="117" t="inlineStr">
        <is>
          <t>575183</t>
        </is>
      </c>
      <c r="B4158" s="117" t="n">
        <v>13046</v>
      </c>
      <c r="C4158" s="117" t="inlineStr">
        <is>
          <t>United Kingdom</t>
        </is>
      </c>
      <c r="D4158" s="117" t="inlineStr">
        <is>
          <t>22791</t>
        </is>
      </c>
      <c r="E4158" s="117" t="inlineStr">
        <is>
          <t>T-LIGHT GLASS FLUTED ANTIQUE</t>
        </is>
      </c>
      <c r="F4158" s="117" t="n">
        <v>12</v>
      </c>
      <c r="G4158" s="118" t="n">
        <v>1.25</v>
      </c>
      <c r="H4158" s="118" t="n">
        <v>15</v>
      </c>
      <c r="I4158" s="119" t="n">
        <v>40856</v>
      </c>
    </row>
    <row r="4159">
      <c r="A4159" s="114" t="inlineStr">
        <is>
          <t>575193</t>
        </is>
      </c>
      <c r="B4159" s="114" t="n">
        <v>12681</v>
      </c>
      <c r="C4159" s="114" t="inlineStr">
        <is>
          <t>France</t>
        </is>
      </c>
      <c r="D4159" s="114" t="inlineStr">
        <is>
          <t>23245</t>
        </is>
      </c>
      <c r="E4159" s="114" t="inlineStr">
        <is>
          <t>SET OF 3 REGENCY CAKE TINS</t>
        </is>
      </c>
      <c r="F4159" s="114" t="n">
        <v>4</v>
      </c>
      <c r="G4159" s="115" t="n">
        <v>4.95</v>
      </c>
      <c r="H4159" s="115" t="n">
        <v>19.8</v>
      </c>
      <c r="I4159" s="116" t="n">
        <v>40856</v>
      </c>
    </row>
    <row r="4160">
      <c r="A4160" s="117" t="inlineStr">
        <is>
          <t>575196</t>
        </is>
      </c>
      <c r="B4160" s="117" t="n">
        <v>16767</v>
      </c>
      <c r="C4160" s="117" t="inlineStr">
        <is>
          <t>United Kingdom</t>
        </is>
      </c>
      <c r="D4160" s="117" t="inlineStr">
        <is>
          <t>23344</t>
        </is>
      </c>
      <c r="E4160" s="117" t="inlineStr">
        <is>
          <t xml:space="preserve">JUMBO BAG 50'S CHRISTMAS </t>
        </is>
      </c>
      <c r="F4160" s="117" t="n">
        <v>40</v>
      </c>
      <c r="G4160" s="118" t="n">
        <v>2.08</v>
      </c>
      <c r="H4160" s="118" t="n">
        <v>83.2</v>
      </c>
      <c r="I4160" s="119" t="n">
        <v>40856</v>
      </c>
    </row>
    <row r="4161">
      <c r="A4161" s="114" t="inlineStr">
        <is>
          <t>575199</t>
        </is>
      </c>
      <c r="B4161" s="114" t="n">
        <v>12921</v>
      </c>
      <c r="C4161" s="114" t="inlineStr">
        <is>
          <t>United Kingdom</t>
        </is>
      </c>
      <c r="D4161" s="114" t="inlineStr">
        <is>
          <t>85099B</t>
        </is>
      </c>
      <c r="E4161" s="114" t="inlineStr">
        <is>
          <t>JUMBO BAG RED RETROSPOT</t>
        </is>
      </c>
      <c r="F4161" s="114" t="n">
        <v>20</v>
      </c>
      <c r="G4161" s="115" t="n">
        <v>2.08</v>
      </c>
      <c r="H4161" s="115" t="n">
        <v>41.6</v>
      </c>
      <c r="I4161" s="116" t="n">
        <v>40856</v>
      </c>
    </row>
    <row r="4162">
      <c r="A4162" s="117" t="inlineStr">
        <is>
          <t>575211</t>
        </is>
      </c>
      <c r="B4162" s="117" t="n">
        <v>17377</v>
      </c>
      <c r="C4162" s="117" t="inlineStr">
        <is>
          <t>United Kingdom</t>
        </is>
      </c>
      <c r="D4162" s="117" t="inlineStr">
        <is>
          <t>21874</t>
        </is>
      </c>
      <c r="E4162" s="117" t="inlineStr">
        <is>
          <t>GIN AND TONIC MUG</t>
        </is>
      </c>
      <c r="F4162" s="117" t="n">
        <v>6</v>
      </c>
      <c r="G4162" s="118" t="n">
        <v>1.65</v>
      </c>
      <c r="H4162" s="118" t="n">
        <v>9.9</v>
      </c>
      <c r="I4162" s="119" t="n">
        <v>40856</v>
      </c>
    </row>
    <row r="4163">
      <c r="A4163" s="114" t="inlineStr">
        <is>
          <t>575211</t>
        </is>
      </c>
      <c r="B4163" s="114" t="n">
        <v>17377</v>
      </c>
      <c r="C4163" s="114" t="inlineStr">
        <is>
          <t>United Kingdom</t>
        </is>
      </c>
      <c r="D4163" s="114" t="inlineStr">
        <is>
          <t>21914</t>
        </is>
      </c>
      <c r="E4163" s="114" t="inlineStr">
        <is>
          <t xml:space="preserve">BLUE HARMONICA IN BOX </t>
        </is>
      </c>
      <c r="F4163" s="114" t="n">
        <v>5</v>
      </c>
      <c r="G4163" s="115" t="n">
        <v>1.25</v>
      </c>
      <c r="H4163" s="115" t="n">
        <v>6.25</v>
      </c>
      <c r="I4163" s="116" t="n">
        <v>40856</v>
      </c>
    </row>
    <row r="4164">
      <c r="A4164" s="117" t="inlineStr">
        <is>
          <t>575212</t>
        </is>
      </c>
      <c r="B4164" s="117" t="n">
        <v>14108</v>
      </c>
      <c r="C4164" s="117" t="inlineStr">
        <is>
          <t>United Kingdom</t>
        </is>
      </c>
      <c r="D4164" s="117" t="inlineStr">
        <is>
          <t>22943</t>
        </is>
      </c>
      <c r="E4164" s="117" t="inlineStr">
        <is>
          <t>CHRISTMAS LIGHTS 10 VINTAGE BAUBLES</t>
        </is>
      </c>
      <c r="F4164" s="117" t="n">
        <v>3</v>
      </c>
      <c r="G4164" s="118" t="n">
        <v>4.95</v>
      </c>
      <c r="H4164" s="118" t="n">
        <v>14.85</v>
      </c>
      <c r="I4164" s="119" t="n">
        <v>40856</v>
      </c>
    </row>
    <row r="4165">
      <c r="A4165" s="114" t="inlineStr">
        <is>
          <t>575216</t>
        </is>
      </c>
      <c r="B4165" s="114" t="n">
        <v>13384</v>
      </c>
      <c r="C4165" s="114" t="inlineStr">
        <is>
          <t>United Kingdom</t>
        </is>
      </c>
      <c r="D4165" s="114" t="inlineStr">
        <is>
          <t>22564</t>
        </is>
      </c>
      <c r="E4165" s="114" t="inlineStr">
        <is>
          <t>ALPHABET STENCIL CRAFT</t>
        </is>
      </c>
      <c r="F4165" s="114" t="n">
        <v>24</v>
      </c>
      <c r="G4165" s="115" t="n">
        <v>1.25</v>
      </c>
      <c r="H4165" s="115" t="n">
        <v>30</v>
      </c>
      <c r="I4165" s="116" t="n">
        <v>40856</v>
      </c>
    </row>
    <row r="4166">
      <c r="A4166" s="117" t="inlineStr">
        <is>
          <t>575216</t>
        </is>
      </c>
      <c r="B4166" s="117" t="n">
        <v>13384</v>
      </c>
      <c r="C4166" s="117" t="inlineStr">
        <is>
          <t>United Kingdom</t>
        </is>
      </c>
      <c r="D4166" s="117" t="inlineStr">
        <is>
          <t>22904</t>
        </is>
      </c>
      <c r="E4166" s="117" t="inlineStr">
        <is>
          <t>CALENDAR PAPER CUT DESIGN</t>
        </is>
      </c>
      <c r="F4166" s="117" t="n">
        <v>24</v>
      </c>
      <c r="G4166" s="118" t="n">
        <v>2.95</v>
      </c>
      <c r="H4166" s="118" t="n">
        <v>70.8</v>
      </c>
      <c r="I4166" s="119" t="n">
        <v>40856</v>
      </c>
    </row>
    <row r="4167">
      <c r="A4167" s="114" t="inlineStr">
        <is>
          <t>575219</t>
        </is>
      </c>
      <c r="B4167" s="114" t="n">
        <v>17511</v>
      </c>
      <c r="C4167" s="114" t="inlineStr">
        <is>
          <t>United Kingdom</t>
        </is>
      </c>
      <c r="D4167" s="114" t="inlineStr">
        <is>
          <t>23312</t>
        </is>
      </c>
      <c r="E4167" s="114" t="inlineStr">
        <is>
          <t>VINTAGE CHRISTMAS GIFT SACK</t>
        </is>
      </c>
      <c r="F4167" s="114" t="n">
        <v>20</v>
      </c>
      <c r="G4167" s="115" t="n">
        <v>4.15</v>
      </c>
      <c r="H4167" s="115" t="n">
        <v>83</v>
      </c>
      <c r="I4167" s="116" t="n">
        <v>40856</v>
      </c>
    </row>
    <row r="4168">
      <c r="A4168" s="117" t="inlineStr">
        <is>
          <t>575222</t>
        </is>
      </c>
      <c r="B4168" s="117" t="n">
        <v>16880</v>
      </c>
      <c r="C4168" s="117" t="inlineStr">
        <is>
          <t>United Kingdom</t>
        </is>
      </c>
      <c r="D4168" s="117" t="inlineStr">
        <is>
          <t>16016</t>
        </is>
      </c>
      <c r="E4168" s="117" t="inlineStr">
        <is>
          <t>LARGE CHINESE STYLE SCISSOR</t>
        </is>
      </c>
      <c r="F4168" s="117" t="n">
        <v>10</v>
      </c>
      <c r="G4168" s="118" t="n">
        <v>0.85</v>
      </c>
      <c r="H4168" s="118" t="n">
        <v>8.5</v>
      </c>
      <c r="I4168" s="119" t="n">
        <v>40856</v>
      </c>
    </row>
    <row r="4169">
      <c r="A4169" s="114" t="inlineStr">
        <is>
          <t>575269</t>
        </is>
      </c>
      <c r="B4169" s="114" t="n">
        <v>17865</v>
      </c>
      <c r="C4169" s="114" t="inlineStr">
        <is>
          <t>United Kingdom</t>
        </is>
      </c>
      <c r="D4169" s="114" t="inlineStr">
        <is>
          <t>22948</t>
        </is>
      </c>
      <c r="E4169" s="114" t="inlineStr">
        <is>
          <t xml:space="preserve">METAL DECORATION NAUGHTY CHILDREN </t>
        </is>
      </c>
      <c r="F4169" s="114" t="n">
        <v>24</v>
      </c>
      <c r="G4169" s="115" t="n">
        <v>0.85</v>
      </c>
      <c r="H4169" s="115" t="n">
        <v>20.4</v>
      </c>
      <c r="I4169" s="116" t="n">
        <v>40856</v>
      </c>
    </row>
    <row r="4170">
      <c r="A4170" s="117" t="inlineStr">
        <is>
          <t>575298</t>
        </is>
      </c>
      <c r="B4170" s="117" t="n">
        <v>17841</v>
      </c>
      <c r="C4170" s="117" t="inlineStr">
        <is>
          <t>United Kingdom</t>
        </is>
      </c>
      <c r="D4170" s="117" t="inlineStr">
        <is>
          <t>23402</t>
        </is>
      </c>
      <c r="E4170" s="117" t="inlineStr">
        <is>
          <t xml:space="preserve">HOME SWEET HOME 3 PEG HANGER </t>
        </is>
      </c>
      <c r="F4170" s="117" t="n">
        <v>1</v>
      </c>
      <c r="G4170" s="118" t="n">
        <v>3.75</v>
      </c>
      <c r="H4170" s="118" t="n">
        <v>3.75</v>
      </c>
      <c r="I4170" s="119" t="n">
        <v>40856</v>
      </c>
    </row>
    <row r="4171">
      <c r="A4171" s="114" t="inlineStr">
        <is>
          <t>575298</t>
        </is>
      </c>
      <c r="B4171" s="114" t="n">
        <v>17841</v>
      </c>
      <c r="C4171" s="114" t="inlineStr">
        <is>
          <t>United Kingdom</t>
        </is>
      </c>
      <c r="D4171" s="114" t="inlineStr">
        <is>
          <t>22222</t>
        </is>
      </c>
      <c r="E4171" s="114" t="inlineStr">
        <is>
          <t>CAKE PLATE LOVEBIRD WHITE</t>
        </is>
      </c>
      <c r="F4171" s="114" t="n">
        <v>2</v>
      </c>
      <c r="G4171" s="115" t="n">
        <v>4.95</v>
      </c>
      <c r="H4171" s="115" t="n">
        <v>9.9</v>
      </c>
      <c r="I4171" s="116" t="n">
        <v>40856</v>
      </c>
    </row>
    <row r="4172">
      <c r="A4172" s="117" t="inlineStr">
        <is>
          <t>575298</t>
        </is>
      </c>
      <c r="B4172" s="117" t="n">
        <v>17841</v>
      </c>
      <c r="C4172" s="117" t="inlineStr">
        <is>
          <t>United Kingdom</t>
        </is>
      </c>
      <c r="D4172" s="117" t="inlineStr">
        <is>
          <t>85053</t>
        </is>
      </c>
      <c r="E4172" s="117" t="inlineStr">
        <is>
          <t>FRENCH ENAMEL CANDLEHOLDER</t>
        </is>
      </c>
      <c r="F4172" s="117" t="n">
        <v>4</v>
      </c>
      <c r="G4172" s="118" t="n">
        <v>2.1</v>
      </c>
      <c r="H4172" s="118" t="n">
        <v>8.4</v>
      </c>
      <c r="I4172" s="119" t="n">
        <v>40856</v>
      </c>
    </row>
    <row r="4173">
      <c r="A4173" s="114" t="inlineStr">
        <is>
          <t>575318</t>
        </is>
      </c>
      <c r="B4173" s="114" t="n">
        <v>14921</v>
      </c>
      <c r="C4173" s="114" t="inlineStr">
        <is>
          <t>United Kingdom</t>
        </is>
      </c>
      <c r="D4173" s="114" t="inlineStr">
        <is>
          <t>23319</t>
        </is>
      </c>
      <c r="E4173" s="114" t="inlineStr">
        <is>
          <t>BOX OF 6 MINI 50'S CRACKERS</t>
        </is>
      </c>
      <c r="F4173" s="114" t="n">
        <v>6</v>
      </c>
      <c r="G4173" s="115" t="n">
        <v>2.49</v>
      </c>
      <c r="H4173" s="115" t="n">
        <v>14.94</v>
      </c>
      <c r="I4173" s="116" t="n">
        <v>40856</v>
      </c>
    </row>
    <row r="4174">
      <c r="A4174" s="117" t="inlineStr">
        <is>
          <t>575331</t>
        </is>
      </c>
      <c r="B4174" s="117" t="n">
        <v>13209</v>
      </c>
      <c r="C4174" s="117" t="inlineStr">
        <is>
          <t>United Kingdom</t>
        </is>
      </c>
      <c r="D4174" s="117" t="inlineStr">
        <is>
          <t>21929</t>
        </is>
      </c>
      <c r="E4174" s="117" t="inlineStr">
        <is>
          <t>JUMBO BAG PINK VINTAGE PAISLEY</t>
        </is>
      </c>
      <c r="F4174" s="117" t="n">
        <v>10</v>
      </c>
      <c r="G4174" s="118" t="n">
        <v>2.08</v>
      </c>
      <c r="H4174" s="118" t="n">
        <v>20.8</v>
      </c>
      <c r="I4174" s="119" t="n">
        <v>40856</v>
      </c>
    </row>
    <row r="4175">
      <c r="A4175" s="114" t="inlineStr">
        <is>
          <t>575331</t>
        </is>
      </c>
      <c r="B4175" s="114" t="n">
        <v>13209</v>
      </c>
      <c r="C4175" s="114" t="inlineStr">
        <is>
          <t>United Kingdom</t>
        </is>
      </c>
      <c r="D4175" s="114" t="inlineStr">
        <is>
          <t>23201</t>
        </is>
      </c>
      <c r="E4175" s="114" t="inlineStr">
        <is>
          <t>JUMBO BAG ALPHABET</t>
        </is>
      </c>
      <c r="F4175" s="114" t="n">
        <v>10</v>
      </c>
      <c r="G4175" s="115" t="n">
        <v>2.08</v>
      </c>
      <c r="H4175" s="115" t="n">
        <v>20.8</v>
      </c>
      <c r="I4175" s="116" t="n">
        <v>40856</v>
      </c>
    </row>
    <row r="4176">
      <c r="A4176" s="117" t="inlineStr">
        <is>
          <t>575331</t>
        </is>
      </c>
      <c r="B4176" s="117" t="n">
        <v>13209</v>
      </c>
      <c r="C4176" s="117" t="inlineStr">
        <is>
          <t>United Kingdom</t>
        </is>
      </c>
      <c r="D4176" s="117" t="inlineStr">
        <is>
          <t>22631</t>
        </is>
      </c>
      <c r="E4176" s="117" t="inlineStr">
        <is>
          <t xml:space="preserve">CIRCUS PARADE LUNCH BOX </t>
        </is>
      </c>
      <c r="F4176" s="117" t="n">
        <v>12</v>
      </c>
      <c r="G4176" s="118" t="n">
        <v>1.95</v>
      </c>
      <c r="H4176" s="118" t="n">
        <v>23.4</v>
      </c>
      <c r="I4176" s="119" t="n">
        <v>40856</v>
      </c>
    </row>
    <row r="4177">
      <c r="A4177" s="114" t="inlineStr">
        <is>
          <t>575339</t>
        </is>
      </c>
      <c r="B4177" s="114" t="n">
        <v>15555</v>
      </c>
      <c r="C4177" s="114" t="inlineStr">
        <is>
          <t>United Kingdom</t>
        </is>
      </c>
      <c r="D4177" s="114" t="inlineStr">
        <is>
          <t>23146</t>
        </is>
      </c>
      <c r="E4177" s="114" t="inlineStr">
        <is>
          <t>TRIPLE HOOK ANTIQUE IVORY ROSE</t>
        </is>
      </c>
      <c r="F4177" s="114" t="n">
        <v>6</v>
      </c>
      <c r="G4177" s="115" t="n">
        <v>3.29</v>
      </c>
      <c r="H4177" s="115" t="n">
        <v>19.74</v>
      </c>
      <c r="I4177" s="116" t="n">
        <v>40856</v>
      </c>
    </row>
    <row r="4178">
      <c r="A4178" s="117" t="inlineStr">
        <is>
          <t>575340</t>
        </is>
      </c>
      <c r="B4178" s="117" t="n">
        <v>15485</v>
      </c>
      <c r="C4178" s="117" t="inlineStr">
        <is>
          <t>United Kingdom</t>
        </is>
      </c>
      <c r="D4178" s="117" t="inlineStr">
        <is>
          <t>22192</t>
        </is>
      </c>
      <c r="E4178" s="117" t="inlineStr">
        <is>
          <t>BLUE DINER WALL CLOCK</t>
        </is>
      </c>
      <c r="F4178" s="117" t="n">
        <v>6</v>
      </c>
      <c r="G4178" s="118" t="n">
        <v>8.5</v>
      </c>
      <c r="H4178" s="118" t="n">
        <v>51</v>
      </c>
      <c r="I4178" s="119" t="n">
        <v>40856</v>
      </c>
    </row>
    <row r="4179">
      <c r="A4179" s="114" t="inlineStr">
        <is>
          <t>575340</t>
        </is>
      </c>
      <c r="B4179" s="114" t="n">
        <v>15485</v>
      </c>
      <c r="C4179" s="114" t="inlineStr">
        <is>
          <t>United Kingdom</t>
        </is>
      </c>
      <c r="D4179" s="114" t="inlineStr">
        <is>
          <t>22716</t>
        </is>
      </c>
      <c r="E4179" s="114" t="inlineStr">
        <is>
          <t>CARD CIRCUS PARADE</t>
        </is>
      </c>
      <c r="F4179" s="114" t="n">
        <v>12</v>
      </c>
      <c r="G4179" s="115" t="n">
        <v>0.42</v>
      </c>
      <c r="H4179" s="115" t="n">
        <v>5.04</v>
      </c>
      <c r="I4179" s="116" t="n">
        <v>40856</v>
      </c>
    </row>
    <row r="4180">
      <c r="A4180" s="117" t="inlineStr">
        <is>
          <t>575367</t>
        </is>
      </c>
      <c r="B4180" s="117" t="n">
        <v>15114</v>
      </c>
      <c r="C4180" s="117" t="inlineStr">
        <is>
          <t>United Kingdom</t>
        </is>
      </c>
      <c r="D4180" s="117" t="inlineStr">
        <is>
          <t>22577</t>
        </is>
      </c>
      <c r="E4180" s="117" t="inlineStr">
        <is>
          <t>WOODEN HEART CHRISTMAS SCANDINAVIAN</t>
        </is>
      </c>
      <c r="F4180" s="117" t="n">
        <v>48</v>
      </c>
      <c r="G4180" s="118" t="n">
        <v>0.29</v>
      </c>
      <c r="H4180" s="118" t="n">
        <v>13.92</v>
      </c>
      <c r="I4180" s="119" t="n">
        <v>40856</v>
      </c>
    </row>
    <row r="4181">
      <c r="A4181" s="114" t="inlineStr">
        <is>
          <t>575384</t>
        </is>
      </c>
      <c r="B4181" s="114" t="n">
        <v>17690</v>
      </c>
      <c r="C4181" s="114" t="inlineStr">
        <is>
          <t>United Kingdom</t>
        </is>
      </c>
      <c r="D4181" s="114" t="inlineStr">
        <is>
          <t>22738</t>
        </is>
      </c>
      <c r="E4181" s="114" t="inlineStr">
        <is>
          <t>RIBBON REEL SNOWY VILLAGE</t>
        </is>
      </c>
      <c r="F4181" s="114" t="n">
        <v>10</v>
      </c>
      <c r="G4181" s="115" t="n">
        <v>1.65</v>
      </c>
      <c r="H4181" s="115" t="n">
        <v>16.5</v>
      </c>
      <c r="I4181" s="116" t="n">
        <v>40856</v>
      </c>
    </row>
    <row r="4182">
      <c r="A4182" s="117" t="inlineStr">
        <is>
          <t>575481</t>
        </is>
      </c>
      <c r="B4182" s="117" t="n">
        <v>15679</v>
      </c>
      <c r="C4182" s="117" t="inlineStr">
        <is>
          <t>United Kingdom</t>
        </is>
      </c>
      <c r="D4182" s="117" t="inlineStr">
        <is>
          <t>20974</t>
        </is>
      </c>
      <c r="E4182" s="117" t="inlineStr">
        <is>
          <t>12 PENCILS SMALL TUBE SKULL</t>
        </is>
      </c>
      <c r="F4182" s="117" t="n">
        <v>4</v>
      </c>
      <c r="G4182" s="118" t="n">
        <v>0.65</v>
      </c>
      <c r="H4182" s="118" t="n">
        <v>2.6</v>
      </c>
      <c r="I4182" s="119" t="n">
        <v>40856</v>
      </c>
    </row>
    <row r="4183">
      <c r="A4183" s="114" t="inlineStr">
        <is>
          <t>575482</t>
        </is>
      </c>
      <c r="B4183" s="114" t="n">
        <v>15916</v>
      </c>
      <c r="C4183" s="114" t="inlineStr">
        <is>
          <t>United Kingdom</t>
        </is>
      </c>
      <c r="D4183" s="114" t="inlineStr">
        <is>
          <t>22696</t>
        </is>
      </c>
      <c r="E4183" s="114" t="inlineStr">
        <is>
          <t>WICKER WREATH LARGE</t>
        </is>
      </c>
      <c r="F4183" s="114" t="n">
        <v>4</v>
      </c>
      <c r="G4183" s="115" t="n">
        <v>1.95</v>
      </c>
      <c r="H4183" s="115" t="n">
        <v>7.8</v>
      </c>
      <c r="I4183" s="116" t="n">
        <v>40856</v>
      </c>
    </row>
    <row r="4184">
      <c r="A4184" s="117" t="inlineStr">
        <is>
          <t>575482</t>
        </is>
      </c>
      <c r="B4184" s="117" t="n">
        <v>15916</v>
      </c>
      <c r="C4184" s="117" t="inlineStr">
        <is>
          <t>United Kingdom</t>
        </is>
      </c>
      <c r="D4184" s="117" t="inlineStr">
        <is>
          <t>23090</t>
        </is>
      </c>
      <c r="E4184" s="117" t="inlineStr">
        <is>
          <t>VINTAGE GLASS T-LIGHT HOLDER</t>
        </is>
      </c>
      <c r="F4184" s="117" t="n">
        <v>12</v>
      </c>
      <c r="G4184" s="118" t="n">
        <v>0.83</v>
      </c>
      <c r="H4184" s="118" t="n">
        <v>9.960000000000001</v>
      </c>
      <c r="I4184" s="119" t="n">
        <v>40856</v>
      </c>
    </row>
    <row r="4185">
      <c r="A4185" s="114" t="inlineStr">
        <is>
          <t>575484</t>
        </is>
      </c>
      <c r="B4185" s="114" t="n">
        <v>16670</v>
      </c>
      <c r="C4185" s="114" t="inlineStr">
        <is>
          <t>United Kingdom</t>
        </is>
      </c>
      <c r="D4185" s="114" t="inlineStr">
        <is>
          <t>82483</t>
        </is>
      </c>
      <c r="E4185" s="114" t="inlineStr">
        <is>
          <t>WOOD 2 DRAWER CABINET WHITE FINISH</t>
        </is>
      </c>
      <c r="F4185" s="114" t="n">
        <v>2</v>
      </c>
      <c r="G4185" s="115" t="n">
        <v>6.95</v>
      </c>
      <c r="H4185" s="115" t="n">
        <v>13.9</v>
      </c>
      <c r="I4185" s="116" t="n">
        <v>40856</v>
      </c>
    </row>
    <row r="4186">
      <c r="A4186" s="117" t="inlineStr">
        <is>
          <t>575486</t>
        </is>
      </c>
      <c r="B4186" s="117" t="n">
        <v>14911</v>
      </c>
      <c r="C4186" s="117" t="inlineStr">
        <is>
          <t>EIRE</t>
        </is>
      </c>
      <c r="D4186" s="117" t="inlineStr">
        <is>
          <t>84978</t>
        </is>
      </c>
      <c r="E4186" s="117" t="inlineStr">
        <is>
          <t>HANGING HEART JAR T-LIGHT HOLDER</t>
        </is>
      </c>
      <c r="F4186" s="117" t="n">
        <v>36</v>
      </c>
      <c r="G4186" s="118" t="n">
        <v>1.06</v>
      </c>
      <c r="H4186" s="118" t="n">
        <v>38.16</v>
      </c>
      <c r="I4186" s="119" t="n">
        <v>40856</v>
      </c>
    </row>
    <row r="4187">
      <c r="A4187" s="114" t="inlineStr">
        <is>
          <t>575487</t>
        </is>
      </c>
      <c r="B4187" s="114" t="n">
        <v>15450</v>
      </c>
      <c r="C4187" s="114" t="inlineStr">
        <is>
          <t>United Kingdom</t>
        </is>
      </c>
      <c r="D4187" s="114" t="inlineStr">
        <is>
          <t>46000S</t>
        </is>
      </c>
      <c r="E4187" s="114" t="inlineStr">
        <is>
          <t>POLYESTER FILLER PAD 40x40cm</t>
        </is>
      </c>
      <c r="F4187" s="114" t="n">
        <v>4</v>
      </c>
      <c r="G4187" s="115" t="n">
        <v>1.45</v>
      </c>
      <c r="H4187" s="115" t="n">
        <v>5.8</v>
      </c>
      <c r="I4187" s="116" t="n">
        <v>40856</v>
      </c>
    </row>
    <row r="4188">
      <c r="A4188" s="117" t="inlineStr">
        <is>
          <t>575491</t>
        </is>
      </c>
      <c r="B4188" s="117" t="n">
        <v>15531</v>
      </c>
      <c r="C4188" s="117" t="inlineStr">
        <is>
          <t>United Kingdom</t>
        </is>
      </c>
      <c r="D4188" s="117" t="inlineStr">
        <is>
          <t>22728</t>
        </is>
      </c>
      <c r="E4188" s="117" t="inlineStr">
        <is>
          <t>ALARM CLOCK BAKELIKE PINK</t>
        </is>
      </c>
      <c r="F4188" s="117" t="n">
        <v>2</v>
      </c>
      <c r="G4188" s="118" t="n">
        <v>3.75</v>
      </c>
      <c r="H4188" s="118" t="n">
        <v>7.5</v>
      </c>
      <c r="I4188" s="119" t="n">
        <v>40856</v>
      </c>
    </row>
    <row r="4189">
      <c r="A4189" s="114" t="inlineStr">
        <is>
          <t>575491</t>
        </is>
      </c>
      <c r="B4189" s="114" t="n">
        <v>15531</v>
      </c>
      <c r="C4189" s="114" t="inlineStr">
        <is>
          <t>United Kingdom</t>
        </is>
      </c>
      <c r="D4189" s="114" t="inlineStr">
        <is>
          <t>22423</t>
        </is>
      </c>
      <c r="E4189" s="114" t="inlineStr">
        <is>
          <t>REGENCY CAKESTAND 3 TIER</t>
        </is>
      </c>
      <c r="F4189" s="114" t="n">
        <v>1</v>
      </c>
      <c r="G4189" s="115" t="n">
        <v>12.75</v>
      </c>
      <c r="H4189" s="115" t="n">
        <v>12.75</v>
      </c>
      <c r="I4189" s="116" t="n">
        <v>40856</v>
      </c>
    </row>
    <row r="4190">
      <c r="A4190" s="117" t="inlineStr">
        <is>
          <t>575491</t>
        </is>
      </c>
      <c r="B4190" s="117" t="n">
        <v>15531</v>
      </c>
      <c r="C4190" s="117" t="inlineStr">
        <is>
          <t>United Kingdom</t>
        </is>
      </c>
      <c r="D4190" s="117" t="inlineStr">
        <is>
          <t>21497</t>
        </is>
      </c>
      <c r="E4190" s="117" t="inlineStr">
        <is>
          <t>FANCY FONTS BIRTHDAY WRAP</t>
        </is>
      </c>
      <c r="F4190" s="117" t="n">
        <v>25</v>
      </c>
      <c r="G4190" s="118" t="n">
        <v>0.42</v>
      </c>
      <c r="H4190" s="118" t="n">
        <v>10.5</v>
      </c>
      <c r="I4190" s="119" t="n">
        <v>40856</v>
      </c>
    </row>
    <row r="4191">
      <c r="A4191" s="114" t="inlineStr">
        <is>
          <t>575491</t>
        </is>
      </c>
      <c r="B4191" s="114" t="n">
        <v>15531</v>
      </c>
      <c r="C4191" s="114" t="inlineStr">
        <is>
          <t>United Kingdom</t>
        </is>
      </c>
      <c r="D4191" s="114" t="inlineStr">
        <is>
          <t>23300</t>
        </is>
      </c>
      <c r="E4191" s="114" t="inlineStr">
        <is>
          <t xml:space="preserve">GARDENERS KNEELING PAD CUP OF TEA </t>
        </is>
      </c>
      <c r="F4191" s="114" t="n">
        <v>3</v>
      </c>
      <c r="G4191" s="115" t="n">
        <v>1.65</v>
      </c>
      <c r="H4191" s="115" t="n">
        <v>4.95</v>
      </c>
      <c r="I4191" s="116" t="n">
        <v>40856</v>
      </c>
    </row>
    <row r="4192">
      <c r="A4192" s="117" t="inlineStr">
        <is>
          <t>575504</t>
        </is>
      </c>
      <c r="B4192" s="117" t="n">
        <v>14895</v>
      </c>
      <c r="C4192" s="117" t="inlineStr">
        <is>
          <t>United Kingdom</t>
        </is>
      </c>
      <c r="D4192" s="117" t="inlineStr">
        <is>
          <t>22960</t>
        </is>
      </c>
      <c r="E4192" s="117" t="inlineStr">
        <is>
          <t>JAM MAKING SET WITH JARS</t>
        </is>
      </c>
      <c r="F4192" s="117" t="n">
        <v>6</v>
      </c>
      <c r="G4192" s="118" t="n">
        <v>4.25</v>
      </c>
      <c r="H4192" s="118" t="n">
        <v>25.5</v>
      </c>
      <c r="I4192" s="119" t="n">
        <v>40857</v>
      </c>
    </row>
    <row r="4193">
      <c r="A4193" s="114" t="inlineStr">
        <is>
          <t>575516</t>
        </is>
      </c>
      <c r="B4193" s="114" t="n">
        <v>17340</v>
      </c>
      <c r="C4193" s="114" t="inlineStr">
        <is>
          <t>United Kingdom</t>
        </is>
      </c>
      <c r="D4193" s="114" t="inlineStr">
        <is>
          <t>84029G</t>
        </is>
      </c>
      <c r="E4193" s="114" t="inlineStr">
        <is>
          <t>KNITTED UNION FLAG HOT WATER BOTTLE</t>
        </is>
      </c>
      <c r="F4193" s="114" t="n">
        <v>8</v>
      </c>
      <c r="G4193" s="115" t="n">
        <v>4.25</v>
      </c>
      <c r="H4193" s="115" t="n">
        <v>34</v>
      </c>
      <c r="I4193" s="116" t="n">
        <v>40857</v>
      </c>
    </row>
    <row r="4194">
      <c r="A4194" s="117" t="inlineStr">
        <is>
          <t>575516</t>
        </is>
      </c>
      <c r="B4194" s="117" t="n">
        <v>17340</v>
      </c>
      <c r="C4194" s="117" t="inlineStr">
        <is>
          <t>United Kingdom</t>
        </is>
      </c>
      <c r="D4194" s="117" t="inlineStr">
        <is>
          <t>23284</t>
        </is>
      </c>
      <c r="E4194" s="117" t="inlineStr">
        <is>
          <t>DOORMAT KEEP CALM AND COME IN</t>
        </is>
      </c>
      <c r="F4194" s="117" t="n">
        <v>10</v>
      </c>
      <c r="G4194" s="118" t="n">
        <v>7.08</v>
      </c>
      <c r="H4194" s="118" t="n">
        <v>70.8</v>
      </c>
      <c r="I4194" s="119" t="n">
        <v>40857</v>
      </c>
    </row>
    <row r="4195">
      <c r="A4195" s="114" t="inlineStr">
        <is>
          <t>575583</t>
        </is>
      </c>
      <c r="B4195" s="114" t="n">
        <v>14456</v>
      </c>
      <c r="C4195" s="114" t="inlineStr">
        <is>
          <t>United Kingdom</t>
        </is>
      </c>
      <c r="D4195" s="114" t="inlineStr">
        <is>
          <t>22553</t>
        </is>
      </c>
      <c r="E4195" s="114" t="inlineStr">
        <is>
          <t>PLASTERS IN TIN SKULLS</t>
        </is>
      </c>
      <c r="F4195" s="114" t="n">
        <v>2</v>
      </c>
      <c r="G4195" s="115" t="n">
        <v>1.65</v>
      </c>
      <c r="H4195" s="115" t="n">
        <v>3.3</v>
      </c>
      <c r="I4195" s="116" t="n">
        <v>40857</v>
      </c>
    </row>
    <row r="4196">
      <c r="A4196" s="117" t="inlineStr">
        <is>
          <t>575591</t>
        </is>
      </c>
      <c r="B4196" s="117" t="n">
        <v>17791</v>
      </c>
      <c r="C4196" s="117" t="inlineStr">
        <is>
          <t>United Kingdom</t>
        </is>
      </c>
      <c r="D4196" s="117" t="inlineStr">
        <is>
          <t>22629</t>
        </is>
      </c>
      <c r="E4196" s="117" t="inlineStr">
        <is>
          <t xml:space="preserve">SPACEBOY LUNCH BOX </t>
        </is>
      </c>
      <c r="F4196" s="117" t="n">
        <v>5</v>
      </c>
      <c r="G4196" s="118" t="n">
        <v>1.95</v>
      </c>
      <c r="H4196" s="118" t="n">
        <v>9.75</v>
      </c>
      <c r="I4196" s="119" t="n">
        <v>40857</v>
      </c>
    </row>
    <row r="4197">
      <c r="A4197" s="114" t="inlineStr">
        <is>
          <t>575602</t>
        </is>
      </c>
      <c r="B4197" s="114" t="n">
        <v>17059</v>
      </c>
      <c r="C4197" s="114" t="inlineStr">
        <is>
          <t>United Kingdom</t>
        </is>
      </c>
      <c r="D4197" s="114" t="inlineStr">
        <is>
          <t>21930</t>
        </is>
      </c>
      <c r="E4197" s="114" t="inlineStr">
        <is>
          <t>JUMBO STORAGE BAG SKULLS</t>
        </is>
      </c>
      <c r="F4197" s="114" t="n">
        <v>2</v>
      </c>
      <c r="G4197" s="115" t="n">
        <v>2.08</v>
      </c>
      <c r="H4197" s="115" t="n">
        <v>4.16</v>
      </c>
      <c r="I4197" s="116" t="n">
        <v>40857</v>
      </c>
    </row>
    <row r="4198">
      <c r="A4198" s="117" t="inlineStr">
        <is>
          <t>575602</t>
        </is>
      </c>
      <c r="B4198" s="117" t="n">
        <v>17059</v>
      </c>
      <c r="C4198" s="117" t="inlineStr">
        <is>
          <t>United Kingdom</t>
        </is>
      </c>
      <c r="D4198" s="117" t="inlineStr">
        <is>
          <t>23582</t>
        </is>
      </c>
      <c r="E4198" s="117" t="inlineStr">
        <is>
          <t xml:space="preserve">VINTAGE DOILY JUMBO BAG RED </t>
        </is>
      </c>
      <c r="F4198" s="117" t="n">
        <v>2</v>
      </c>
      <c r="G4198" s="118" t="n">
        <v>2.08</v>
      </c>
      <c r="H4198" s="118" t="n">
        <v>4.16</v>
      </c>
      <c r="I4198" s="119" t="n">
        <v>40857</v>
      </c>
    </row>
    <row r="4199">
      <c r="A4199" s="114" t="inlineStr">
        <is>
          <t>575607</t>
        </is>
      </c>
      <c r="B4199" s="114" t="n">
        <v>14096</v>
      </c>
      <c r="C4199" s="114" t="inlineStr">
        <is>
          <t>United Kingdom</t>
        </is>
      </c>
      <c r="D4199" s="114" t="inlineStr">
        <is>
          <t>21422</t>
        </is>
      </c>
      <c r="E4199" s="114" t="inlineStr">
        <is>
          <t>PORCELAIN ROSE SMALL</t>
        </is>
      </c>
      <c r="F4199" s="114" t="n">
        <v>1</v>
      </c>
      <c r="G4199" s="115" t="n">
        <v>1.63</v>
      </c>
      <c r="H4199" s="115" t="n">
        <v>1.63</v>
      </c>
      <c r="I4199" s="116" t="n">
        <v>40857</v>
      </c>
    </row>
    <row r="4200">
      <c r="A4200" s="117" t="inlineStr">
        <is>
          <t>575607</t>
        </is>
      </c>
      <c r="B4200" s="117" t="n">
        <v>14096</v>
      </c>
      <c r="C4200" s="117" t="inlineStr">
        <is>
          <t>United Kingdom</t>
        </is>
      </c>
      <c r="D4200" s="117" t="inlineStr">
        <is>
          <t>22309</t>
        </is>
      </c>
      <c r="E4200" s="117" t="inlineStr">
        <is>
          <t>TEA COSY RED  STRIPE</t>
        </is>
      </c>
      <c r="F4200" s="117" t="n">
        <v>1</v>
      </c>
      <c r="G4200" s="118" t="n">
        <v>4.96</v>
      </c>
      <c r="H4200" s="118" t="n">
        <v>4.96</v>
      </c>
      <c r="I4200" s="119" t="n">
        <v>40857</v>
      </c>
    </row>
    <row r="4201">
      <c r="A4201" s="114" t="inlineStr">
        <is>
          <t>575607</t>
        </is>
      </c>
      <c r="B4201" s="114" t="n">
        <v>14096</v>
      </c>
      <c r="C4201" s="114" t="inlineStr">
        <is>
          <t>United Kingdom</t>
        </is>
      </c>
      <c r="D4201" s="114" t="inlineStr">
        <is>
          <t>71477</t>
        </is>
      </c>
      <c r="E4201" s="114" t="inlineStr">
        <is>
          <t>COLOUR GLASS. STAR T-LIGHT HOLDER</t>
        </is>
      </c>
      <c r="F4201" s="114" t="n">
        <v>2</v>
      </c>
      <c r="G4201" s="115" t="n">
        <v>6.63</v>
      </c>
      <c r="H4201" s="115" t="n">
        <v>13.26</v>
      </c>
      <c r="I4201" s="116" t="n">
        <v>40857</v>
      </c>
    </row>
    <row r="4202">
      <c r="A4202" s="117" t="inlineStr">
        <is>
          <t>575607</t>
        </is>
      </c>
      <c r="B4202" s="117" t="n">
        <v>14096</v>
      </c>
      <c r="C4202" s="117" t="inlineStr">
        <is>
          <t>United Kingdom</t>
        </is>
      </c>
      <c r="D4202" s="117" t="inlineStr">
        <is>
          <t>22414</t>
        </is>
      </c>
      <c r="E4202" s="117" t="inlineStr">
        <is>
          <t xml:space="preserve">DOORMAT NEIGHBOURHOOD WITCH </t>
        </is>
      </c>
      <c r="F4202" s="117" t="n">
        <v>1</v>
      </c>
      <c r="G4202" s="118" t="n">
        <v>15.79</v>
      </c>
      <c r="H4202" s="118" t="n">
        <v>15.79</v>
      </c>
      <c r="I4202" s="119" t="n">
        <v>40857</v>
      </c>
    </row>
    <row r="4203">
      <c r="A4203" s="114" t="inlineStr">
        <is>
          <t>575607</t>
        </is>
      </c>
      <c r="B4203" s="114" t="n">
        <v>14096</v>
      </c>
      <c r="C4203" s="114" t="inlineStr">
        <is>
          <t>United Kingdom</t>
        </is>
      </c>
      <c r="D4203" s="114" t="inlineStr">
        <is>
          <t>51014L</t>
        </is>
      </c>
      <c r="E4203" s="114" t="inlineStr">
        <is>
          <t>FEATHER PEN,LIGHT PINK</t>
        </is>
      </c>
      <c r="F4203" s="114" t="n">
        <v>3</v>
      </c>
      <c r="G4203" s="115" t="n">
        <v>0.83</v>
      </c>
      <c r="H4203" s="115" t="n">
        <v>2.49</v>
      </c>
      <c r="I4203" s="116" t="n">
        <v>40857</v>
      </c>
    </row>
    <row r="4204">
      <c r="A4204" s="117" t="inlineStr">
        <is>
          <t>575607</t>
        </is>
      </c>
      <c r="B4204" s="117" t="n">
        <v>14096</v>
      </c>
      <c r="C4204" s="117" t="inlineStr">
        <is>
          <t>United Kingdom</t>
        </is>
      </c>
      <c r="D4204" s="117" t="inlineStr">
        <is>
          <t>23199</t>
        </is>
      </c>
      <c r="E4204" s="117" t="inlineStr">
        <is>
          <t>JUMBO BAG APPLES</t>
        </is>
      </c>
      <c r="F4204" s="117" t="n">
        <v>2</v>
      </c>
      <c r="G4204" s="118" t="n">
        <v>4.13</v>
      </c>
      <c r="H4204" s="118" t="n">
        <v>8.26</v>
      </c>
      <c r="I4204" s="119" t="n">
        <v>40857</v>
      </c>
    </row>
    <row r="4205">
      <c r="A4205" s="114" t="inlineStr">
        <is>
          <t>575620</t>
        </is>
      </c>
      <c r="B4205" s="114" t="n">
        <v>17573</v>
      </c>
      <c r="C4205" s="114" t="inlineStr">
        <is>
          <t>United Kingdom</t>
        </is>
      </c>
      <c r="D4205" s="114" t="inlineStr">
        <is>
          <t>23494</t>
        </is>
      </c>
      <c r="E4205" s="114" t="inlineStr">
        <is>
          <t xml:space="preserve">VINTAGE DOILY DELUXE SEWING KIT </t>
        </is>
      </c>
      <c r="F4205" s="114" t="n">
        <v>3</v>
      </c>
      <c r="G4205" s="115" t="n">
        <v>5.95</v>
      </c>
      <c r="H4205" s="115" t="n">
        <v>17.85</v>
      </c>
      <c r="I4205" s="116" t="n">
        <v>40857</v>
      </c>
    </row>
    <row r="4206">
      <c r="A4206" s="117" t="inlineStr">
        <is>
          <t>575628</t>
        </is>
      </c>
      <c r="B4206" s="117" t="n">
        <v>12844</v>
      </c>
      <c r="C4206" s="117" t="inlineStr">
        <is>
          <t>United Kingdom</t>
        </is>
      </c>
      <c r="D4206" s="117" t="inlineStr">
        <is>
          <t>22208</t>
        </is>
      </c>
      <c r="E4206" s="117" t="inlineStr">
        <is>
          <t>WOOD STAMP SET THANK YOU</t>
        </is>
      </c>
      <c r="F4206" s="117" t="n">
        <v>1</v>
      </c>
      <c r="G4206" s="118" t="n">
        <v>0.83</v>
      </c>
      <c r="H4206" s="118" t="n">
        <v>0.83</v>
      </c>
      <c r="I4206" s="119" t="n">
        <v>40857</v>
      </c>
    </row>
    <row r="4207">
      <c r="A4207" s="114" t="inlineStr">
        <is>
          <t>575628</t>
        </is>
      </c>
      <c r="B4207" s="114" t="n">
        <v>12844</v>
      </c>
      <c r="C4207" s="114" t="inlineStr">
        <is>
          <t>United Kingdom</t>
        </is>
      </c>
      <c r="D4207" s="114" t="inlineStr">
        <is>
          <t>22115</t>
        </is>
      </c>
      <c r="E4207" s="114" t="inlineStr">
        <is>
          <t>METAL SIGN EMPIRE TEA</t>
        </is>
      </c>
      <c r="F4207" s="114" t="n">
        <v>1</v>
      </c>
      <c r="G4207" s="115" t="n">
        <v>0.79</v>
      </c>
      <c r="H4207" s="115" t="n">
        <v>0.79</v>
      </c>
      <c r="I4207" s="116" t="n">
        <v>40857</v>
      </c>
    </row>
    <row r="4208">
      <c r="A4208" s="117" t="inlineStr">
        <is>
          <t>575629</t>
        </is>
      </c>
      <c r="B4208" s="117" t="n">
        <v>12599</v>
      </c>
      <c r="C4208" s="117" t="inlineStr">
        <is>
          <t>France</t>
        </is>
      </c>
      <c r="D4208" s="117" t="inlineStr">
        <is>
          <t>POST</t>
        </is>
      </c>
      <c r="E4208" s="117" t="inlineStr">
        <is>
          <t>POSTAGE</t>
        </is>
      </c>
      <c r="F4208" s="117" t="n">
        <v>1</v>
      </c>
      <c r="G4208" s="118" t="n">
        <v>18</v>
      </c>
      <c r="H4208" s="118" t="n">
        <v>18</v>
      </c>
      <c r="I4208" s="119" t="n">
        <v>40857</v>
      </c>
    </row>
    <row r="4209">
      <c r="A4209" s="114" t="inlineStr">
        <is>
          <t>575634</t>
        </is>
      </c>
      <c r="B4209" s="114" t="n">
        <v>13266</v>
      </c>
      <c r="C4209" s="114" t="inlineStr">
        <is>
          <t>United Kingdom</t>
        </is>
      </c>
      <c r="D4209" s="114" t="inlineStr">
        <is>
          <t>23209</t>
        </is>
      </c>
      <c r="E4209" s="114" t="inlineStr">
        <is>
          <t xml:space="preserve">LUNCH BAG VINTAGE DOILY </t>
        </is>
      </c>
      <c r="F4209" s="114" t="n">
        <v>10</v>
      </c>
      <c r="G4209" s="115" t="n">
        <v>1.65</v>
      </c>
      <c r="H4209" s="115" t="n">
        <v>16.5</v>
      </c>
      <c r="I4209" s="116" t="n">
        <v>40857</v>
      </c>
    </row>
    <row r="4210">
      <c r="A4210" s="117" t="inlineStr">
        <is>
          <t>575647</t>
        </is>
      </c>
      <c r="B4210" s="117" t="n">
        <v>16440</v>
      </c>
      <c r="C4210" s="117" t="inlineStr">
        <is>
          <t>United Kingdom</t>
        </is>
      </c>
      <c r="D4210" s="117" t="inlineStr">
        <is>
          <t>22734</t>
        </is>
      </c>
      <c r="E4210" s="117" t="inlineStr">
        <is>
          <t>SET OF 6 RIBBONS VINTAGE CHRISTMAS</t>
        </is>
      </c>
      <c r="F4210" s="117" t="n">
        <v>10</v>
      </c>
      <c r="G4210" s="118" t="n">
        <v>2.89</v>
      </c>
      <c r="H4210" s="118" t="n">
        <v>28.9</v>
      </c>
      <c r="I4210" s="119" t="n">
        <v>40857</v>
      </c>
    </row>
    <row r="4211">
      <c r="A4211" s="114" t="inlineStr">
        <is>
          <t>575668</t>
        </is>
      </c>
      <c r="B4211" s="114" t="n">
        <v>18283</v>
      </c>
      <c r="C4211" s="114" t="inlineStr">
        <is>
          <t>United Kingdom</t>
        </is>
      </c>
      <c r="D4211" s="114" t="inlineStr">
        <is>
          <t>22733</t>
        </is>
      </c>
      <c r="E4211" s="114" t="inlineStr">
        <is>
          <t>3D TRADITIONAL CHRISTMAS STICKERS</t>
        </is>
      </c>
      <c r="F4211" s="114" t="n">
        <v>1</v>
      </c>
      <c r="G4211" s="115" t="n">
        <v>1.25</v>
      </c>
      <c r="H4211" s="115" t="n">
        <v>1.25</v>
      </c>
      <c r="I4211" s="116" t="n">
        <v>40857</v>
      </c>
    </row>
    <row r="4212">
      <c r="A4212" s="117" t="inlineStr">
        <is>
          <t>575671</t>
        </is>
      </c>
      <c r="B4212" s="117" t="n">
        <v>12670</v>
      </c>
      <c r="C4212" s="117" t="inlineStr">
        <is>
          <t>France</t>
        </is>
      </c>
      <c r="D4212" s="117" t="inlineStr">
        <is>
          <t>22976</t>
        </is>
      </c>
      <c r="E4212" s="117" t="inlineStr">
        <is>
          <t xml:space="preserve">CIRCUS PARADE CHILDRENS EGG CUP </t>
        </is>
      </c>
      <c r="F4212" s="117" t="n">
        <v>12</v>
      </c>
      <c r="G4212" s="118" t="n">
        <v>1.25</v>
      </c>
      <c r="H4212" s="118" t="n">
        <v>15</v>
      </c>
      <c r="I4212" s="119" t="n">
        <v>40857</v>
      </c>
    </row>
    <row r="4213">
      <c r="A4213" s="114" t="inlineStr">
        <is>
          <t>575671</t>
        </is>
      </c>
      <c r="B4213" s="114" t="n">
        <v>12670</v>
      </c>
      <c r="C4213" s="114" t="inlineStr">
        <is>
          <t>France</t>
        </is>
      </c>
      <c r="D4213" s="114" t="inlineStr">
        <is>
          <t>22964</t>
        </is>
      </c>
      <c r="E4213" s="114" t="inlineStr">
        <is>
          <t>3 PIECE SPACEBOY COOKIE CUTTER SET</t>
        </is>
      </c>
      <c r="F4213" s="114" t="n">
        <v>12</v>
      </c>
      <c r="G4213" s="115" t="n">
        <v>2.1</v>
      </c>
      <c r="H4213" s="115" t="n">
        <v>25.2</v>
      </c>
      <c r="I4213" s="116" t="n">
        <v>40857</v>
      </c>
    </row>
    <row r="4214">
      <c r="A4214" s="117" t="inlineStr">
        <is>
          <t>575673</t>
        </is>
      </c>
      <c r="B4214" s="117" t="n">
        <v>14863</v>
      </c>
      <c r="C4214" s="117" t="inlineStr">
        <is>
          <t>United Kingdom</t>
        </is>
      </c>
      <c r="D4214" s="117" t="inlineStr">
        <is>
          <t>21670</t>
        </is>
      </c>
      <c r="E4214" s="117" t="inlineStr">
        <is>
          <t>BLUE SPOT CERAMIC DRAWER KNOB</t>
        </is>
      </c>
      <c r="F4214" s="117" t="n">
        <v>12</v>
      </c>
      <c r="G4214" s="118" t="n">
        <v>1.45</v>
      </c>
      <c r="H4214" s="118" t="n">
        <v>17.4</v>
      </c>
      <c r="I4214" s="119" t="n">
        <v>40857</v>
      </c>
    </row>
    <row r="4215">
      <c r="A4215" s="114" t="inlineStr">
        <is>
          <t>575683</t>
        </is>
      </c>
      <c r="B4215" s="114" t="n">
        <v>17389</v>
      </c>
      <c r="C4215" s="114" t="inlineStr">
        <is>
          <t>United Kingdom</t>
        </is>
      </c>
      <c r="D4215" s="114" t="inlineStr">
        <is>
          <t>20749</t>
        </is>
      </c>
      <c r="E4215" s="114" t="inlineStr">
        <is>
          <t>ASSORTED COLOUR MINI CASES</t>
        </is>
      </c>
      <c r="F4215" s="114" t="n">
        <v>24</v>
      </c>
      <c r="G4215" s="115" t="n">
        <v>6.35</v>
      </c>
      <c r="H4215" s="115" t="n">
        <v>152.4</v>
      </c>
      <c r="I4215" s="116" t="n">
        <v>40857</v>
      </c>
    </row>
    <row r="4216">
      <c r="A4216" s="117" t="inlineStr">
        <is>
          <t>575687</t>
        </is>
      </c>
      <c r="B4216" s="117" t="n">
        <v>16126</v>
      </c>
      <c r="C4216" s="117" t="inlineStr">
        <is>
          <t>United Kingdom</t>
        </is>
      </c>
      <c r="D4216" s="117" t="inlineStr">
        <is>
          <t>22749</t>
        </is>
      </c>
      <c r="E4216" s="117" t="inlineStr">
        <is>
          <t>FELTCRAFT PRINCESS CHARLOTTE DOLL</t>
        </is>
      </c>
      <c r="F4216" s="117" t="n">
        <v>16</v>
      </c>
      <c r="G4216" s="118" t="n">
        <v>3.75</v>
      </c>
      <c r="H4216" s="118" t="n">
        <v>60</v>
      </c>
      <c r="I4216" s="119" t="n">
        <v>40857</v>
      </c>
    </row>
    <row r="4217">
      <c r="A4217" s="114" t="inlineStr">
        <is>
          <t>575694</t>
        </is>
      </c>
      <c r="B4217" s="114" t="n">
        <v>12748</v>
      </c>
      <c r="C4217" s="114" t="inlineStr">
        <is>
          <t>United Kingdom</t>
        </is>
      </c>
      <c r="D4217" s="114" t="inlineStr">
        <is>
          <t>20781</t>
        </is>
      </c>
      <c r="E4217" s="114" t="inlineStr">
        <is>
          <t>GOLD EAR MUFF HEADPHONES</t>
        </is>
      </c>
      <c r="F4217" s="114" t="n">
        <v>1</v>
      </c>
      <c r="G4217" s="115" t="n">
        <v>5.49</v>
      </c>
      <c r="H4217" s="115" t="n">
        <v>5.49</v>
      </c>
      <c r="I4217" s="116" t="n">
        <v>40857</v>
      </c>
    </row>
    <row r="4218">
      <c r="A4218" s="117" t="inlineStr">
        <is>
          <t>575713</t>
        </is>
      </c>
      <c r="B4218" s="117" t="n">
        <v>13817</v>
      </c>
      <c r="C4218" s="117" t="inlineStr">
        <is>
          <t>Germany</t>
        </is>
      </c>
      <c r="D4218" s="117" t="inlineStr">
        <is>
          <t>22555</t>
        </is>
      </c>
      <c r="E4218" s="117" t="inlineStr">
        <is>
          <t>PLASTERS IN TIN STRONGMAN</t>
        </is>
      </c>
      <c r="F4218" s="117" t="n">
        <v>12</v>
      </c>
      <c r="G4218" s="118" t="n">
        <v>1.65</v>
      </c>
      <c r="H4218" s="118" t="n">
        <v>19.8</v>
      </c>
      <c r="I4218" s="119" t="n">
        <v>40857</v>
      </c>
    </row>
    <row r="4219">
      <c r="A4219" s="114" t="inlineStr">
        <is>
          <t>575725</t>
        </is>
      </c>
      <c r="B4219" s="114" t="n">
        <v>13098</v>
      </c>
      <c r="C4219" s="114" t="inlineStr">
        <is>
          <t>United Kingdom</t>
        </is>
      </c>
      <c r="D4219" s="114" t="inlineStr">
        <is>
          <t>23583</t>
        </is>
      </c>
      <c r="E4219" s="114" t="inlineStr">
        <is>
          <t xml:space="preserve">LUNCH BAG PAISLEY PARK  </t>
        </is>
      </c>
      <c r="F4219" s="114" t="n">
        <v>10</v>
      </c>
      <c r="G4219" s="115" t="n">
        <v>1.65</v>
      </c>
      <c r="H4219" s="115" t="n">
        <v>16.5</v>
      </c>
      <c r="I4219" s="116" t="n">
        <v>40857</v>
      </c>
    </row>
    <row r="4220">
      <c r="A4220" s="117" t="inlineStr">
        <is>
          <t>575726</t>
        </is>
      </c>
      <c r="B4220" s="117" t="n">
        <v>16791</v>
      </c>
      <c r="C4220" s="117" t="inlineStr">
        <is>
          <t>United Kingdom</t>
        </is>
      </c>
      <c r="D4220" s="117" t="inlineStr">
        <is>
          <t>20727</t>
        </is>
      </c>
      <c r="E4220" s="117" t="inlineStr">
        <is>
          <t>LUNCH BAG  BLACK SKULL.</t>
        </is>
      </c>
      <c r="F4220" s="117" t="n">
        <v>1</v>
      </c>
      <c r="G4220" s="118" t="n">
        <v>1.65</v>
      </c>
      <c r="H4220" s="118" t="n">
        <v>1.65</v>
      </c>
      <c r="I4220" s="119" t="n">
        <v>40857</v>
      </c>
    </row>
    <row r="4221">
      <c r="A4221" s="114" t="inlineStr">
        <is>
          <t>575747</t>
        </is>
      </c>
      <c r="B4221" s="114" t="n">
        <v>12589</v>
      </c>
      <c r="C4221" s="114" t="inlineStr">
        <is>
          <t>France</t>
        </is>
      </c>
      <c r="D4221" s="114" t="inlineStr">
        <is>
          <t>23295</t>
        </is>
      </c>
      <c r="E4221" s="114" t="inlineStr">
        <is>
          <t>SET OF 12 MINI LOAF BAKING CASES</t>
        </is>
      </c>
      <c r="F4221" s="114" t="n">
        <v>8</v>
      </c>
      <c r="G4221" s="115" t="n">
        <v>0.83</v>
      </c>
      <c r="H4221" s="115" t="n">
        <v>6.64</v>
      </c>
      <c r="I4221" s="116" t="n">
        <v>40858</v>
      </c>
    </row>
    <row r="4222">
      <c r="A4222" s="117" t="inlineStr">
        <is>
          <t>575750</t>
        </is>
      </c>
      <c r="B4222" s="117" t="n">
        <v>12600</v>
      </c>
      <c r="C4222" s="117" t="inlineStr">
        <is>
          <t>Germany</t>
        </is>
      </c>
      <c r="D4222" s="117" t="inlineStr">
        <is>
          <t>85014B</t>
        </is>
      </c>
      <c r="E4222" s="117" t="inlineStr">
        <is>
          <t>RED RETROSPOT UMBRELLA</t>
        </is>
      </c>
      <c r="F4222" s="117" t="n">
        <v>18</v>
      </c>
      <c r="G4222" s="118" t="n">
        <v>5.95</v>
      </c>
      <c r="H4222" s="118" t="n">
        <v>107.1</v>
      </c>
      <c r="I4222" s="119" t="n">
        <v>40858</v>
      </c>
    </row>
    <row r="4223">
      <c r="A4223" s="114" t="inlineStr">
        <is>
          <t>575756</t>
        </is>
      </c>
      <c r="B4223" s="114" t="n">
        <v>18118</v>
      </c>
      <c r="C4223" s="114" t="inlineStr">
        <is>
          <t>United Kingdom</t>
        </is>
      </c>
      <c r="D4223" s="114" t="inlineStr">
        <is>
          <t>22112</t>
        </is>
      </c>
      <c r="E4223" s="114" t="inlineStr">
        <is>
          <t>CHOCOLATE HOT WATER BOTTLE</t>
        </is>
      </c>
      <c r="F4223" s="114" t="n">
        <v>1</v>
      </c>
      <c r="G4223" s="115" t="n">
        <v>4.95</v>
      </c>
      <c r="H4223" s="115" t="n">
        <v>4.95</v>
      </c>
      <c r="I4223" s="116" t="n">
        <v>40858</v>
      </c>
    </row>
    <row r="4224">
      <c r="A4224" s="117" t="inlineStr">
        <is>
          <t>575760</t>
        </is>
      </c>
      <c r="B4224" s="117" t="n">
        <v>15965</v>
      </c>
      <c r="C4224" s="117" t="inlineStr">
        <is>
          <t>United Kingdom</t>
        </is>
      </c>
      <c r="D4224" s="117" t="inlineStr">
        <is>
          <t>22688</t>
        </is>
      </c>
      <c r="E4224" s="117" t="inlineStr">
        <is>
          <t>DOORMAT PEACE ON EARTH BLUE</t>
        </is>
      </c>
      <c r="F4224" s="117" t="n">
        <v>1</v>
      </c>
      <c r="G4224" s="118" t="n">
        <v>8.25</v>
      </c>
      <c r="H4224" s="118" t="n">
        <v>8.25</v>
      </c>
      <c r="I4224" s="119" t="n">
        <v>40858</v>
      </c>
    </row>
    <row r="4225">
      <c r="A4225" s="114" t="inlineStr">
        <is>
          <t>575760</t>
        </is>
      </c>
      <c r="B4225" s="114" t="n">
        <v>15965</v>
      </c>
      <c r="C4225" s="114" t="inlineStr">
        <is>
          <t>United Kingdom</t>
        </is>
      </c>
      <c r="D4225" s="114" t="inlineStr">
        <is>
          <t>23320</t>
        </is>
      </c>
      <c r="E4225" s="114" t="inlineStr">
        <is>
          <t>GIANT 50'S CHRISTMAS CRACKER</t>
        </is>
      </c>
      <c r="F4225" s="114" t="n">
        <v>1</v>
      </c>
      <c r="G4225" s="115" t="n">
        <v>2.89</v>
      </c>
      <c r="H4225" s="115" t="n">
        <v>2.89</v>
      </c>
      <c r="I4225" s="116" t="n">
        <v>40858</v>
      </c>
    </row>
    <row r="4226">
      <c r="A4226" s="117" t="inlineStr">
        <is>
          <t>575760</t>
        </is>
      </c>
      <c r="B4226" s="117" t="n">
        <v>15965</v>
      </c>
      <c r="C4226" s="117" t="inlineStr">
        <is>
          <t>United Kingdom</t>
        </is>
      </c>
      <c r="D4226" s="117" t="inlineStr">
        <is>
          <t>22096</t>
        </is>
      </c>
      <c r="E4226" s="117" t="inlineStr">
        <is>
          <t xml:space="preserve">PINK PAISLEY SQUARE TISSUE BOX </t>
        </is>
      </c>
      <c r="F4226" s="117" t="n">
        <v>2</v>
      </c>
      <c r="G4226" s="118" t="n">
        <v>0.39</v>
      </c>
      <c r="H4226" s="118" t="n">
        <v>0.78</v>
      </c>
      <c r="I4226" s="119" t="n">
        <v>40858</v>
      </c>
    </row>
    <row r="4227">
      <c r="A4227" s="114" t="inlineStr">
        <is>
          <t>575828</t>
        </is>
      </c>
      <c r="B4227" s="114" t="n">
        <v>17162</v>
      </c>
      <c r="C4227" s="114" t="inlineStr">
        <is>
          <t>United Kingdom</t>
        </is>
      </c>
      <c r="D4227" s="114" t="inlineStr">
        <is>
          <t>21169</t>
        </is>
      </c>
      <c r="E4227" s="114" t="inlineStr">
        <is>
          <t xml:space="preserve">YOU'RE CONFUSING ME METAL SIGN </t>
        </is>
      </c>
      <c r="F4227" s="114" t="n">
        <v>12</v>
      </c>
      <c r="G4227" s="115" t="n">
        <v>1.69</v>
      </c>
      <c r="H4227" s="115" t="n">
        <v>20.28</v>
      </c>
      <c r="I4227" s="116" t="n">
        <v>40858</v>
      </c>
    </row>
    <row r="4228">
      <c r="A4228" s="117" t="inlineStr">
        <is>
          <t>575837</t>
        </is>
      </c>
      <c r="B4228" s="117" t="n">
        <v>12748</v>
      </c>
      <c r="C4228" s="117" t="inlineStr">
        <is>
          <t>United Kingdom</t>
        </is>
      </c>
      <c r="D4228" s="117" t="inlineStr">
        <is>
          <t>22114</t>
        </is>
      </c>
      <c r="E4228" s="117" t="inlineStr">
        <is>
          <t>HOT WATER BOTTLE TEA AND SYMPATHY</t>
        </is>
      </c>
      <c r="F4228" s="117" t="n">
        <v>1</v>
      </c>
      <c r="G4228" s="118" t="n">
        <v>4.25</v>
      </c>
      <c r="H4228" s="118" t="n">
        <v>4.25</v>
      </c>
      <c r="I4228" s="119" t="n">
        <v>40858</v>
      </c>
    </row>
    <row r="4229">
      <c r="A4229" s="114" t="inlineStr">
        <is>
          <t>575840</t>
        </is>
      </c>
      <c r="B4229" s="114" t="n">
        <v>13137</v>
      </c>
      <c r="C4229" s="114" t="inlineStr">
        <is>
          <t>United Kingdom</t>
        </is>
      </c>
      <c r="D4229" s="114" t="inlineStr">
        <is>
          <t>22379</t>
        </is>
      </c>
      <c r="E4229" s="114" t="inlineStr">
        <is>
          <t xml:space="preserve">RECYCLING BAG RETROSPOT </t>
        </is>
      </c>
      <c r="F4229" s="114" t="n">
        <v>5</v>
      </c>
      <c r="G4229" s="115" t="n">
        <v>2.1</v>
      </c>
      <c r="H4229" s="115" t="n">
        <v>10.5</v>
      </c>
      <c r="I4229" s="116" t="n">
        <v>40858</v>
      </c>
    </row>
    <row r="4230">
      <c r="A4230" s="117" t="inlineStr">
        <is>
          <t>575842</t>
        </is>
      </c>
      <c r="B4230" s="117" t="n">
        <v>15024</v>
      </c>
      <c r="C4230" s="117" t="inlineStr">
        <is>
          <t>United Kingdom</t>
        </is>
      </c>
      <c r="D4230" s="117" t="inlineStr">
        <is>
          <t>22578</t>
        </is>
      </c>
      <c r="E4230" s="117" t="inlineStr">
        <is>
          <t>WOODEN STAR CHRISTMAS SCANDINAVIAN</t>
        </is>
      </c>
      <c r="F4230" s="117" t="n">
        <v>10</v>
      </c>
      <c r="G4230" s="118" t="n">
        <v>0.29</v>
      </c>
      <c r="H4230" s="118" t="n">
        <v>2.9</v>
      </c>
      <c r="I4230" s="119" t="n">
        <v>40858</v>
      </c>
    </row>
    <row r="4231">
      <c r="A4231" s="114" t="inlineStr">
        <is>
          <t>575843</t>
        </is>
      </c>
      <c r="B4231" s="114" t="n">
        <v>14446</v>
      </c>
      <c r="C4231" s="114" t="inlineStr">
        <is>
          <t>United Kingdom</t>
        </is>
      </c>
      <c r="D4231" s="114" t="inlineStr">
        <is>
          <t>23229</t>
        </is>
      </c>
      <c r="E4231" s="114" t="inlineStr">
        <is>
          <t xml:space="preserve">VINTAGE DONKEY TAIL GAME </t>
        </is>
      </c>
      <c r="F4231" s="114" t="n">
        <v>1</v>
      </c>
      <c r="G4231" s="115" t="n">
        <v>3.75</v>
      </c>
      <c r="H4231" s="115" t="n">
        <v>3.75</v>
      </c>
      <c r="I4231" s="116" t="n">
        <v>40858</v>
      </c>
    </row>
    <row r="4232">
      <c r="A4232" s="117" t="inlineStr">
        <is>
          <t>575851</t>
        </is>
      </c>
      <c r="B4232" s="117" t="n">
        <v>14662</v>
      </c>
      <c r="C4232" s="117" t="inlineStr">
        <is>
          <t>United Kingdom</t>
        </is>
      </c>
      <c r="D4232" s="117" t="inlineStr">
        <is>
          <t>23378</t>
        </is>
      </c>
      <c r="E4232" s="117" t="inlineStr">
        <is>
          <t>PACK OF 12 50'S CHRISTMAS TISSUES</t>
        </is>
      </c>
      <c r="F4232" s="117" t="n">
        <v>3</v>
      </c>
      <c r="G4232" s="118" t="n">
        <v>0.39</v>
      </c>
      <c r="H4232" s="118" t="n">
        <v>1.17</v>
      </c>
      <c r="I4232" s="119" t="n">
        <v>40858</v>
      </c>
    </row>
    <row r="4233">
      <c r="A4233" s="114" t="inlineStr">
        <is>
          <t>575856</t>
        </is>
      </c>
      <c r="B4233" s="114" t="n">
        <v>16386</v>
      </c>
      <c r="C4233" s="114" t="inlineStr">
        <is>
          <t>United Kingdom</t>
        </is>
      </c>
      <c r="D4233" s="114" t="inlineStr">
        <is>
          <t>47578A</t>
        </is>
      </c>
      <c r="E4233" s="114" t="inlineStr">
        <is>
          <t>ENGLISH ROSE SMALL SCENTED FLOWER</t>
        </is>
      </c>
      <c r="F4233" s="114" t="n">
        <v>2</v>
      </c>
      <c r="G4233" s="115" t="n">
        <v>0.85</v>
      </c>
      <c r="H4233" s="115" t="n">
        <v>1.7</v>
      </c>
      <c r="I4233" s="116" t="n">
        <v>40858</v>
      </c>
    </row>
    <row r="4234">
      <c r="A4234" s="117" t="inlineStr">
        <is>
          <t>575856</t>
        </is>
      </c>
      <c r="B4234" s="117" t="n">
        <v>16386</v>
      </c>
      <c r="C4234" s="117" t="inlineStr">
        <is>
          <t>United Kingdom</t>
        </is>
      </c>
      <c r="D4234" s="117" t="inlineStr">
        <is>
          <t>23379</t>
        </is>
      </c>
      <c r="E4234" s="117" t="inlineStr">
        <is>
          <t>PACK OF 12 RED APPLE TISSUES</t>
        </is>
      </c>
      <c r="F4234" s="117" t="n">
        <v>1</v>
      </c>
      <c r="G4234" s="118" t="n">
        <v>0.39</v>
      </c>
      <c r="H4234" s="118" t="n">
        <v>0.39</v>
      </c>
      <c r="I4234" s="119" t="n">
        <v>40858</v>
      </c>
    </row>
    <row r="4235">
      <c r="A4235" s="114" t="inlineStr">
        <is>
          <t>575867</t>
        </is>
      </c>
      <c r="B4235" s="114" t="n">
        <v>15034</v>
      </c>
      <c r="C4235" s="114" t="inlineStr">
        <is>
          <t>United Kingdom</t>
        </is>
      </c>
      <c r="D4235" s="114" t="inlineStr">
        <is>
          <t>23242</t>
        </is>
      </c>
      <c r="E4235" s="114" t="inlineStr">
        <is>
          <t xml:space="preserve">TREASURE TIN BUFFALO BILL </t>
        </is>
      </c>
      <c r="F4235" s="114" t="n">
        <v>6</v>
      </c>
      <c r="G4235" s="115" t="n">
        <v>2.08</v>
      </c>
      <c r="H4235" s="115" t="n">
        <v>12.48</v>
      </c>
      <c r="I4235" s="116" t="n">
        <v>40858</v>
      </c>
    </row>
    <row r="4236">
      <c r="A4236" s="117" t="inlineStr">
        <is>
          <t>575891</t>
        </is>
      </c>
      <c r="B4236" s="117" t="n">
        <v>15692</v>
      </c>
      <c r="C4236" s="117" t="inlineStr">
        <is>
          <t>United Kingdom</t>
        </is>
      </c>
      <c r="D4236" s="117" t="inlineStr">
        <is>
          <t>22695</t>
        </is>
      </c>
      <c r="E4236" s="117" t="inlineStr">
        <is>
          <t>WICKER WREATH SMALL</t>
        </is>
      </c>
      <c r="F4236" s="117" t="n">
        <v>12</v>
      </c>
      <c r="G4236" s="118" t="n">
        <v>1.45</v>
      </c>
      <c r="H4236" s="118" t="n">
        <v>17.4</v>
      </c>
      <c r="I4236" s="119" t="n">
        <v>40858</v>
      </c>
    </row>
    <row r="4237">
      <c r="A4237" s="114" t="inlineStr">
        <is>
          <t>575893</t>
        </is>
      </c>
      <c r="B4237" s="114" t="n">
        <v>17088</v>
      </c>
      <c r="C4237" s="114" t="inlineStr">
        <is>
          <t>United Kingdom</t>
        </is>
      </c>
      <c r="D4237" s="114" t="inlineStr">
        <is>
          <t>20982</t>
        </is>
      </c>
      <c r="E4237" s="114" t="inlineStr">
        <is>
          <t>12 PENCILS TALL TUBE SKULLS</t>
        </is>
      </c>
      <c r="F4237" s="114" t="n">
        <v>12</v>
      </c>
      <c r="G4237" s="115" t="n">
        <v>0.85</v>
      </c>
      <c r="H4237" s="115" t="n">
        <v>10.2</v>
      </c>
      <c r="I4237" s="116" t="n">
        <v>40858</v>
      </c>
    </row>
    <row r="4238">
      <c r="A4238" s="117" t="inlineStr">
        <is>
          <t>575895</t>
        </is>
      </c>
      <c r="B4238" s="117" t="n">
        <v>17052</v>
      </c>
      <c r="C4238" s="117" t="inlineStr">
        <is>
          <t>United Kingdom</t>
        </is>
      </c>
      <c r="D4238" s="117" t="inlineStr">
        <is>
          <t>22592</t>
        </is>
      </c>
      <c r="E4238" s="117" t="inlineStr">
        <is>
          <t>CARDHOLDER HOLLY WREATH METAL</t>
        </is>
      </c>
      <c r="F4238" s="117" t="n">
        <v>3</v>
      </c>
      <c r="G4238" s="118" t="n">
        <v>3.75</v>
      </c>
      <c r="H4238" s="118" t="n">
        <v>11.25</v>
      </c>
      <c r="I4238" s="119" t="n">
        <v>40858</v>
      </c>
    </row>
    <row r="4239">
      <c r="A4239" s="114" t="inlineStr">
        <is>
          <t>575895</t>
        </is>
      </c>
      <c r="B4239" s="114" t="n">
        <v>17052</v>
      </c>
      <c r="C4239" s="114" t="inlineStr">
        <is>
          <t>United Kingdom</t>
        </is>
      </c>
      <c r="D4239" s="114" t="inlineStr">
        <is>
          <t>21154</t>
        </is>
      </c>
      <c r="E4239" s="114" t="inlineStr">
        <is>
          <t xml:space="preserve">RED RETROSPOT OVEN GLOVE </t>
        </is>
      </c>
      <c r="F4239" s="114" t="n">
        <v>2</v>
      </c>
      <c r="G4239" s="115" t="n">
        <v>1.25</v>
      </c>
      <c r="H4239" s="115" t="n">
        <v>2.5</v>
      </c>
      <c r="I4239" s="116" t="n">
        <v>40858</v>
      </c>
    </row>
    <row r="4240">
      <c r="A4240" s="117" t="inlineStr">
        <is>
          <t>575902</t>
        </is>
      </c>
      <c r="B4240" s="117" t="n">
        <v>15544</v>
      </c>
      <c r="C4240" s="117" t="inlineStr">
        <is>
          <t>United Kingdom</t>
        </is>
      </c>
      <c r="D4240" s="117" t="inlineStr">
        <is>
          <t>21679</t>
        </is>
      </c>
      <c r="E4240" s="117" t="inlineStr">
        <is>
          <t>SKULLS  STICKERS</t>
        </is>
      </c>
      <c r="F4240" s="117" t="n">
        <v>12</v>
      </c>
      <c r="G4240" s="118" t="n">
        <v>0.85</v>
      </c>
      <c r="H4240" s="118" t="n">
        <v>10.2</v>
      </c>
      <c r="I4240" s="119" t="n">
        <v>40858</v>
      </c>
    </row>
    <row r="4241">
      <c r="A4241" s="114" t="inlineStr">
        <is>
          <t>575904</t>
        </is>
      </c>
      <c r="B4241" s="114" t="n">
        <v>18014</v>
      </c>
      <c r="C4241" s="114" t="inlineStr">
        <is>
          <t>United Kingdom</t>
        </is>
      </c>
      <c r="D4241" s="114" t="inlineStr">
        <is>
          <t>22662</t>
        </is>
      </c>
      <c r="E4241" s="114" t="inlineStr">
        <is>
          <t>LUNCH BAG DOLLY GIRL DESIGN</t>
        </is>
      </c>
      <c r="F4241" s="114" t="n">
        <v>1</v>
      </c>
      <c r="G4241" s="115" t="n">
        <v>1.65</v>
      </c>
      <c r="H4241" s="115" t="n">
        <v>1.65</v>
      </c>
      <c r="I4241" s="116" t="n">
        <v>40858</v>
      </c>
    </row>
    <row r="4242">
      <c r="A4242" s="117" t="inlineStr">
        <is>
          <t>575908</t>
        </is>
      </c>
      <c r="B4242" s="117" t="n">
        <v>13091</v>
      </c>
      <c r="C4242" s="117" t="inlineStr">
        <is>
          <t>United Kingdom</t>
        </is>
      </c>
      <c r="D4242" s="117" t="inlineStr">
        <is>
          <t>84077</t>
        </is>
      </c>
      <c r="E4242" s="117" t="inlineStr">
        <is>
          <t>WORLD WAR 2 GLIDERS ASSTD DESIGNS</t>
        </is>
      </c>
      <c r="F4242" s="117" t="n">
        <v>48</v>
      </c>
      <c r="G4242" s="118" t="n">
        <v>0.29</v>
      </c>
      <c r="H4242" s="118" t="n">
        <v>13.92</v>
      </c>
      <c r="I4242" s="119" t="n">
        <v>40858</v>
      </c>
    </row>
    <row r="4243">
      <c r="A4243" s="114" t="inlineStr">
        <is>
          <t>575915</t>
        </is>
      </c>
      <c r="B4243" s="114" t="n">
        <v>15903</v>
      </c>
      <c r="C4243" s="114" t="inlineStr">
        <is>
          <t>United Kingdom</t>
        </is>
      </c>
      <c r="D4243" s="114" t="inlineStr">
        <is>
          <t>22866</t>
        </is>
      </c>
      <c r="E4243" s="114" t="inlineStr">
        <is>
          <t>HAND WARMER SCOTTY DOG DESIGN</t>
        </is>
      </c>
      <c r="F4243" s="114" t="n">
        <v>96</v>
      </c>
      <c r="G4243" s="115" t="n">
        <v>1.85</v>
      </c>
      <c r="H4243" s="115" t="n">
        <v>177.6</v>
      </c>
      <c r="I4243" s="116" t="n">
        <v>40858</v>
      </c>
    </row>
    <row r="4244">
      <c r="A4244" s="117" t="inlineStr">
        <is>
          <t>575917</t>
        </is>
      </c>
      <c r="B4244" s="117" t="n">
        <v>13895</v>
      </c>
      <c r="C4244" s="117" t="inlineStr">
        <is>
          <t>United Kingdom</t>
        </is>
      </c>
      <c r="D4244" s="117" t="inlineStr">
        <is>
          <t>22534</t>
        </is>
      </c>
      <c r="E4244" s="117" t="inlineStr">
        <is>
          <t xml:space="preserve">MAGIC DRAWING SLATE SPACEBOY </t>
        </is>
      </c>
      <c r="F4244" s="117" t="n">
        <v>24</v>
      </c>
      <c r="G4244" s="118" t="n">
        <v>0.42</v>
      </c>
      <c r="H4244" s="118" t="n">
        <v>10.08</v>
      </c>
      <c r="I4244" s="119" t="n">
        <v>40858</v>
      </c>
    </row>
    <row r="4245">
      <c r="A4245" s="114" t="inlineStr">
        <is>
          <t>575918</t>
        </is>
      </c>
      <c r="B4245" s="114" t="n">
        <v>17191</v>
      </c>
      <c r="C4245" s="114" t="inlineStr">
        <is>
          <t>United Kingdom</t>
        </is>
      </c>
      <c r="D4245" s="114" t="inlineStr">
        <is>
          <t>23419</t>
        </is>
      </c>
      <c r="E4245" s="114" t="inlineStr">
        <is>
          <t xml:space="preserve">HOME SWEET HOME BOTTLE </t>
        </is>
      </c>
      <c r="F4245" s="114" t="n">
        <v>2</v>
      </c>
      <c r="G4245" s="115" t="n">
        <v>2.08</v>
      </c>
      <c r="H4245" s="115" t="n">
        <v>4.16</v>
      </c>
      <c r="I4245" s="116" t="n">
        <v>40858</v>
      </c>
    </row>
    <row r="4246">
      <c r="A4246" s="117" t="inlineStr">
        <is>
          <t>575919</t>
        </is>
      </c>
      <c r="B4246" s="117" t="n">
        <v>15311</v>
      </c>
      <c r="C4246" s="117" t="inlineStr">
        <is>
          <t>United Kingdom</t>
        </is>
      </c>
      <c r="D4246" s="117" t="inlineStr">
        <is>
          <t>48111</t>
        </is>
      </c>
      <c r="E4246" s="117" t="inlineStr">
        <is>
          <t>DOORMAT 3 SMILEY CATS</t>
        </is>
      </c>
      <c r="F4246" s="117" t="n">
        <v>10</v>
      </c>
      <c r="G4246" s="118" t="n">
        <v>7.08</v>
      </c>
      <c r="H4246" s="118" t="n">
        <v>70.8</v>
      </c>
      <c r="I4246" s="119" t="n">
        <v>40858</v>
      </c>
    </row>
    <row r="4247">
      <c r="A4247" s="114" t="inlineStr">
        <is>
          <t>575923</t>
        </is>
      </c>
      <c r="B4247" s="114" t="n">
        <v>17069</v>
      </c>
      <c r="C4247" s="114" t="inlineStr">
        <is>
          <t>United Kingdom</t>
        </is>
      </c>
      <c r="D4247" s="114" t="inlineStr">
        <is>
          <t>23344</t>
        </is>
      </c>
      <c r="E4247" s="114" t="inlineStr">
        <is>
          <t xml:space="preserve">JUMBO BAG 50'S CHRISTMAS </t>
        </is>
      </c>
      <c r="F4247" s="114" t="n">
        <v>10</v>
      </c>
      <c r="G4247" s="115" t="n">
        <v>2.08</v>
      </c>
      <c r="H4247" s="115" t="n">
        <v>20.8</v>
      </c>
      <c r="I4247" s="116" t="n">
        <v>40858</v>
      </c>
    </row>
    <row r="4248">
      <c r="A4248" s="117" t="inlineStr">
        <is>
          <t>575931</t>
        </is>
      </c>
      <c r="B4248" s="117" t="n">
        <v>16560</v>
      </c>
      <c r="C4248" s="117" t="inlineStr">
        <is>
          <t>United Kingdom</t>
        </is>
      </c>
      <c r="D4248" s="117" t="inlineStr">
        <is>
          <t>22029</t>
        </is>
      </c>
      <c r="E4248" s="117" t="inlineStr">
        <is>
          <t>SPACEBOY BIRTHDAY CARD</t>
        </is>
      </c>
      <c r="F4248" s="117" t="n">
        <v>12</v>
      </c>
      <c r="G4248" s="118" t="n">
        <v>0.42</v>
      </c>
      <c r="H4248" s="118" t="n">
        <v>5.04</v>
      </c>
      <c r="I4248" s="119" t="n">
        <v>40860</v>
      </c>
    </row>
    <row r="4249">
      <c r="A4249" s="114" t="inlineStr">
        <is>
          <t>575936</t>
        </is>
      </c>
      <c r="B4249" s="114" t="n">
        <v>17041</v>
      </c>
      <c r="C4249" s="114" t="inlineStr">
        <is>
          <t>United Kingdom</t>
        </is>
      </c>
      <c r="D4249" s="114" t="inlineStr">
        <is>
          <t>23295</t>
        </is>
      </c>
      <c r="E4249" s="114" t="inlineStr">
        <is>
          <t>SET OF 12 MINI LOAF BAKING CASES</t>
        </is>
      </c>
      <c r="F4249" s="114" t="n">
        <v>16</v>
      </c>
      <c r="G4249" s="115" t="n">
        <v>0.83</v>
      </c>
      <c r="H4249" s="115" t="n">
        <v>13.28</v>
      </c>
      <c r="I4249" s="116" t="n">
        <v>40860</v>
      </c>
    </row>
    <row r="4250">
      <c r="A4250" s="117" t="inlineStr">
        <is>
          <t>575943</t>
        </is>
      </c>
      <c r="B4250" s="117" t="n">
        <v>17920</v>
      </c>
      <c r="C4250" s="117" t="inlineStr">
        <is>
          <t>United Kingdom</t>
        </is>
      </c>
      <c r="D4250" s="117" t="inlineStr">
        <is>
          <t>85178</t>
        </is>
      </c>
      <c r="E4250" s="117" t="inlineStr">
        <is>
          <t>VICTORIAN SEWING KIT</t>
        </is>
      </c>
      <c r="F4250" s="117" t="n">
        <v>4</v>
      </c>
      <c r="G4250" s="118" t="n">
        <v>1.25</v>
      </c>
      <c r="H4250" s="118" t="n">
        <v>5</v>
      </c>
      <c r="I4250" s="119" t="n">
        <v>40860</v>
      </c>
    </row>
    <row r="4251">
      <c r="A4251" s="114" t="inlineStr">
        <is>
          <t>575943</t>
        </is>
      </c>
      <c r="B4251" s="114" t="n">
        <v>17920</v>
      </c>
      <c r="C4251" s="114" t="inlineStr">
        <is>
          <t>United Kingdom</t>
        </is>
      </c>
      <c r="D4251" s="114" t="inlineStr">
        <is>
          <t>22617</t>
        </is>
      </c>
      <c r="E4251" s="114" t="inlineStr">
        <is>
          <t>BAKING SET SPACEBOY DESIGN</t>
        </is>
      </c>
      <c r="F4251" s="114" t="n">
        <v>3</v>
      </c>
      <c r="G4251" s="115" t="n">
        <v>4.95</v>
      </c>
      <c r="H4251" s="115" t="n">
        <v>14.85</v>
      </c>
      <c r="I4251" s="116" t="n">
        <v>40860</v>
      </c>
    </row>
    <row r="4252">
      <c r="A4252" s="117" t="inlineStr">
        <is>
          <t>575952</t>
        </is>
      </c>
      <c r="B4252" s="117" t="n">
        <v>16015</v>
      </c>
      <c r="C4252" s="117" t="inlineStr">
        <is>
          <t>United Kingdom</t>
        </is>
      </c>
      <c r="D4252" s="117" t="inlineStr">
        <is>
          <t>48187</t>
        </is>
      </c>
      <c r="E4252" s="117" t="inlineStr">
        <is>
          <t>DOORMAT NEW ENGLAND</t>
        </is>
      </c>
      <c r="F4252" s="117" t="n">
        <v>1</v>
      </c>
      <c r="G4252" s="118" t="n">
        <v>8.25</v>
      </c>
      <c r="H4252" s="118" t="n">
        <v>8.25</v>
      </c>
      <c r="I4252" s="119" t="n">
        <v>40860</v>
      </c>
    </row>
    <row r="4253">
      <c r="A4253" s="114" t="inlineStr">
        <is>
          <t>575954</t>
        </is>
      </c>
      <c r="B4253" s="114" t="n">
        <v>17211</v>
      </c>
      <c r="C4253" s="114" t="inlineStr">
        <is>
          <t>United Kingdom</t>
        </is>
      </c>
      <c r="D4253" s="114" t="inlineStr">
        <is>
          <t>22578</t>
        </is>
      </c>
      <c r="E4253" s="114" t="inlineStr">
        <is>
          <t>WOODEN STAR CHRISTMAS SCANDINAVIAN</t>
        </is>
      </c>
      <c r="F4253" s="114" t="n">
        <v>12</v>
      </c>
      <c r="G4253" s="115" t="n">
        <v>0.29</v>
      </c>
      <c r="H4253" s="115" t="n">
        <v>3.48</v>
      </c>
      <c r="I4253" s="116" t="n">
        <v>40860</v>
      </c>
    </row>
    <row r="4254">
      <c r="A4254" s="117" t="inlineStr">
        <is>
          <t>575960</t>
        </is>
      </c>
      <c r="B4254" s="117" t="n">
        <v>15429</v>
      </c>
      <c r="C4254" s="117" t="inlineStr">
        <is>
          <t>United Kingdom</t>
        </is>
      </c>
      <c r="D4254" s="117" t="inlineStr">
        <is>
          <t>22621</t>
        </is>
      </c>
      <c r="E4254" s="117" t="inlineStr">
        <is>
          <t>TRADITIONAL KNITTING NANCY</t>
        </is>
      </c>
      <c r="F4254" s="117" t="n">
        <v>1</v>
      </c>
      <c r="G4254" s="118" t="n">
        <v>1.65</v>
      </c>
      <c r="H4254" s="118" t="n">
        <v>1.65</v>
      </c>
      <c r="I4254" s="119" t="n">
        <v>40860</v>
      </c>
    </row>
    <row r="4255">
      <c r="A4255" s="114" t="inlineStr">
        <is>
          <t>575975</t>
        </is>
      </c>
      <c r="B4255" s="114" t="n">
        <v>13536</v>
      </c>
      <c r="C4255" s="114" t="inlineStr">
        <is>
          <t>United Kingdom</t>
        </is>
      </c>
      <c r="D4255" s="114" t="inlineStr">
        <is>
          <t>22728</t>
        </is>
      </c>
      <c r="E4255" s="114" t="inlineStr">
        <is>
          <t>ALARM CLOCK BAKELIKE PINK</t>
        </is>
      </c>
      <c r="F4255" s="114" t="n">
        <v>2</v>
      </c>
      <c r="G4255" s="115" t="n">
        <v>3.75</v>
      </c>
      <c r="H4255" s="115" t="n">
        <v>7.5</v>
      </c>
      <c r="I4255" s="116" t="n">
        <v>40860</v>
      </c>
    </row>
    <row r="4256">
      <c r="A4256" s="117" t="inlineStr">
        <is>
          <t>575982</t>
        </is>
      </c>
      <c r="B4256" s="117" t="n">
        <v>13798</v>
      </c>
      <c r="C4256" s="117" t="inlineStr">
        <is>
          <t>United Kingdom</t>
        </is>
      </c>
      <c r="D4256" s="117" t="inlineStr">
        <is>
          <t>21733</t>
        </is>
      </c>
      <c r="E4256" s="117" t="inlineStr">
        <is>
          <t>RED HANGING HEART T-LIGHT HOLDER</t>
        </is>
      </c>
      <c r="F4256" s="117" t="n">
        <v>32</v>
      </c>
      <c r="G4256" s="118" t="n">
        <v>2.55</v>
      </c>
      <c r="H4256" s="118" t="n">
        <v>81.59999999999999</v>
      </c>
      <c r="I4256" s="119" t="n">
        <v>40860</v>
      </c>
    </row>
    <row r="4257">
      <c r="A4257" s="114" t="inlineStr">
        <is>
          <t>575985</t>
        </is>
      </c>
      <c r="B4257" s="114" t="n">
        <v>17841</v>
      </c>
      <c r="C4257" s="114" t="inlineStr">
        <is>
          <t>United Kingdom</t>
        </is>
      </c>
      <c r="D4257" s="114" t="inlineStr">
        <is>
          <t>23355</t>
        </is>
      </c>
      <c r="E4257" s="114" t="inlineStr">
        <is>
          <t>HOT WATER BOTTLE KEEP CALM</t>
        </is>
      </c>
      <c r="F4257" s="114" t="n">
        <v>2</v>
      </c>
      <c r="G4257" s="115" t="n">
        <v>4.95</v>
      </c>
      <c r="H4257" s="115" t="n">
        <v>9.9</v>
      </c>
      <c r="I4257" s="116" t="n">
        <v>40860</v>
      </c>
    </row>
    <row r="4258">
      <c r="A4258" s="117" t="inlineStr">
        <is>
          <t>575988</t>
        </is>
      </c>
      <c r="B4258" s="117" t="n">
        <v>13018</v>
      </c>
      <c r="C4258" s="117" t="inlineStr">
        <is>
          <t>United Kingdom</t>
        </is>
      </c>
      <c r="D4258" s="117" t="inlineStr">
        <is>
          <t>23570</t>
        </is>
      </c>
      <c r="E4258" s="117" t="inlineStr">
        <is>
          <t xml:space="preserve">TRADITIONAL PICK UP STICKS GAME </t>
        </is>
      </c>
      <c r="F4258" s="117" t="n">
        <v>12</v>
      </c>
      <c r="G4258" s="118" t="n">
        <v>1.25</v>
      </c>
      <c r="H4258" s="118" t="n">
        <v>15</v>
      </c>
      <c r="I4258" s="119" t="n">
        <v>40860</v>
      </c>
    </row>
    <row r="4259">
      <c r="A4259" s="114" t="inlineStr">
        <is>
          <t>575989</t>
        </is>
      </c>
      <c r="B4259" s="114" t="n">
        <v>14698</v>
      </c>
      <c r="C4259" s="114" t="inlineStr">
        <is>
          <t>United Kingdom</t>
        </is>
      </c>
      <c r="D4259" s="114" t="inlineStr">
        <is>
          <t>84978</t>
        </is>
      </c>
      <c r="E4259" s="114" t="inlineStr">
        <is>
          <t>HANGING HEART JAR T-LIGHT HOLDER</t>
        </is>
      </c>
      <c r="F4259" s="114" t="n">
        <v>6</v>
      </c>
      <c r="G4259" s="115" t="n">
        <v>1.25</v>
      </c>
      <c r="H4259" s="115" t="n">
        <v>7.5</v>
      </c>
      <c r="I4259" s="116" t="n">
        <v>40860</v>
      </c>
    </row>
    <row r="4260">
      <c r="A4260" s="117" t="inlineStr">
        <is>
          <t>576025</t>
        </is>
      </c>
      <c r="B4260" s="117" t="n">
        <v>13232</v>
      </c>
      <c r="C4260" s="117" t="inlineStr">
        <is>
          <t>United Kingdom</t>
        </is>
      </c>
      <c r="D4260" s="117" t="inlineStr">
        <is>
          <t>23169</t>
        </is>
      </c>
      <c r="E4260" s="117" t="inlineStr">
        <is>
          <t>CLASSIC GLASS COOKIE JAR</t>
        </is>
      </c>
      <c r="F4260" s="117" t="n">
        <v>4</v>
      </c>
      <c r="G4260" s="118" t="n">
        <v>4.15</v>
      </c>
      <c r="H4260" s="118" t="n">
        <v>16.6</v>
      </c>
      <c r="I4260" s="119" t="n">
        <v>40860</v>
      </c>
    </row>
    <row r="4261">
      <c r="A4261" s="114" t="inlineStr">
        <is>
          <t>576045</t>
        </is>
      </c>
      <c r="B4261" s="114" t="n">
        <v>15022</v>
      </c>
      <c r="C4261" s="114" t="inlineStr">
        <is>
          <t>United Kingdom</t>
        </is>
      </c>
      <c r="D4261" s="114" t="inlineStr">
        <is>
          <t>22114</t>
        </is>
      </c>
      <c r="E4261" s="114" t="inlineStr">
        <is>
          <t>HOT WATER BOTTLE TEA AND SYMPATHY</t>
        </is>
      </c>
      <c r="F4261" s="114" t="n">
        <v>2</v>
      </c>
      <c r="G4261" s="115" t="n">
        <v>4.25</v>
      </c>
      <c r="H4261" s="115" t="n">
        <v>8.5</v>
      </c>
      <c r="I4261" s="116" t="n">
        <v>40860</v>
      </c>
    </row>
    <row r="4262">
      <c r="A4262" s="117" t="inlineStr">
        <is>
          <t>576051</t>
        </is>
      </c>
      <c r="B4262" s="117" t="n">
        <v>14911</v>
      </c>
      <c r="C4262" s="117" t="inlineStr">
        <is>
          <t>EIRE</t>
        </is>
      </c>
      <c r="D4262" s="117" t="inlineStr">
        <is>
          <t>22963</t>
        </is>
      </c>
      <c r="E4262" s="117" t="inlineStr">
        <is>
          <t>JAM JAR WITH GREEN LID</t>
        </is>
      </c>
      <c r="F4262" s="117" t="n">
        <v>12</v>
      </c>
      <c r="G4262" s="118" t="n">
        <v>0.85</v>
      </c>
      <c r="H4262" s="118" t="n">
        <v>10.2</v>
      </c>
      <c r="I4262" s="119" t="n">
        <v>40860</v>
      </c>
    </row>
    <row r="4263">
      <c r="A4263" s="114" t="inlineStr">
        <is>
          <t>576051</t>
        </is>
      </c>
      <c r="B4263" s="114" t="n">
        <v>14911</v>
      </c>
      <c r="C4263" s="114" t="inlineStr">
        <is>
          <t>EIRE</t>
        </is>
      </c>
      <c r="D4263" s="114" t="inlineStr">
        <is>
          <t>22423</t>
        </is>
      </c>
      <c r="E4263" s="114" t="inlineStr">
        <is>
          <t>REGENCY CAKESTAND 3 TIER</t>
        </is>
      </c>
      <c r="F4263" s="114" t="n">
        <v>6</v>
      </c>
      <c r="G4263" s="115" t="n">
        <v>12.75</v>
      </c>
      <c r="H4263" s="115" t="n">
        <v>76.5</v>
      </c>
      <c r="I4263" s="116" t="n">
        <v>40860</v>
      </c>
    </row>
    <row r="4264">
      <c r="A4264" s="117" t="inlineStr">
        <is>
          <t>576052</t>
        </is>
      </c>
      <c r="B4264" s="117" t="n">
        <v>15787</v>
      </c>
      <c r="C4264" s="117" t="inlineStr">
        <is>
          <t>United Kingdom</t>
        </is>
      </c>
      <c r="D4264" s="117" t="inlineStr">
        <is>
          <t>22910</t>
        </is>
      </c>
      <c r="E4264" s="117" t="inlineStr">
        <is>
          <t>PAPER CHAIN KIT VINTAGE CHRISTMAS</t>
        </is>
      </c>
      <c r="F4264" s="117" t="n">
        <v>3</v>
      </c>
      <c r="G4264" s="118" t="n">
        <v>2.95</v>
      </c>
      <c r="H4264" s="118" t="n">
        <v>8.85</v>
      </c>
      <c r="I4264" s="119" t="n">
        <v>40860</v>
      </c>
    </row>
    <row r="4265">
      <c r="A4265" s="114" t="inlineStr">
        <is>
          <t>576052</t>
        </is>
      </c>
      <c r="B4265" s="114" t="n">
        <v>15787</v>
      </c>
      <c r="C4265" s="114" t="inlineStr">
        <is>
          <t>United Kingdom</t>
        </is>
      </c>
      <c r="D4265" s="114" t="inlineStr">
        <is>
          <t>22557</t>
        </is>
      </c>
      <c r="E4265" s="114" t="inlineStr">
        <is>
          <t xml:space="preserve">PLASTERS IN TIN VINTAGE PAISLEY </t>
        </is>
      </c>
      <c r="F4265" s="114" t="n">
        <v>2</v>
      </c>
      <c r="G4265" s="115" t="n">
        <v>1.65</v>
      </c>
      <c r="H4265" s="115" t="n">
        <v>3.3</v>
      </c>
      <c r="I4265" s="116" t="n">
        <v>40860</v>
      </c>
    </row>
    <row r="4266">
      <c r="A4266" s="117" t="inlineStr">
        <is>
          <t>576053</t>
        </is>
      </c>
      <c r="B4266" s="117" t="n">
        <v>16726</v>
      </c>
      <c r="C4266" s="117" t="inlineStr">
        <is>
          <t>United Kingdom</t>
        </is>
      </c>
      <c r="D4266" s="117" t="inlineStr">
        <is>
          <t>22951</t>
        </is>
      </c>
      <c r="E4266" s="117" t="inlineStr">
        <is>
          <t>60 CAKE CASES DOLLY GIRL DESIGN</t>
        </is>
      </c>
      <c r="F4266" s="117" t="n">
        <v>2</v>
      </c>
      <c r="G4266" s="118" t="n">
        <v>0.55</v>
      </c>
      <c r="H4266" s="118" t="n">
        <v>1.1</v>
      </c>
      <c r="I4266" s="119" t="n">
        <v>40860</v>
      </c>
    </row>
    <row r="4267">
      <c r="A4267" s="114" t="inlineStr">
        <is>
          <t>576054</t>
        </is>
      </c>
      <c r="B4267" s="114" t="n">
        <v>15787</v>
      </c>
      <c r="C4267" s="114" t="inlineStr">
        <is>
          <t>United Kingdom</t>
        </is>
      </c>
      <c r="D4267" s="114" t="inlineStr">
        <is>
          <t>23120</t>
        </is>
      </c>
      <c r="E4267" s="114" t="inlineStr">
        <is>
          <t>PACK OF 6 SMALL FRUIT STRAWS</t>
        </is>
      </c>
      <c r="F4267" s="114" t="n">
        <v>1</v>
      </c>
      <c r="G4267" s="115" t="n">
        <v>0.42</v>
      </c>
      <c r="H4267" s="115" t="n">
        <v>0.42</v>
      </c>
      <c r="I4267" s="116" t="n">
        <v>40860</v>
      </c>
    </row>
    <row r="4268">
      <c r="A4268" s="117" t="inlineStr">
        <is>
          <t>576054</t>
        </is>
      </c>
      <c r="B4268" s="117" t="n">
        <v>15787</v>
      </c>
      <c r="C4268" s="117" t="inlineStr">
        <is>
          <t>United Kingdom</t>
        </is>
      </c>
      <c r="D4268" s="117" t="inlineStr">
        <is>
          <t>22615</t>
        </is>
      </c>
      <c r="E4268" s="117" t="inlineStr">
        <is>
          <t xml:space="preserve">PACK OF 12 CIRCUS PARADE TISSUES </t>
        </is>
      </c>
      <c r="F4268" s="117" t="n">
        <v>1</v>
      </c>
      <c r="G4268" s="118" t="n">
        <v>0.39</v>
      </c>
      <c r="H4268" s="118" t="n">
        <v>0.39</v>
      </c>
      <c r="I4268" s="119" t="n">
        <v>40860</v>
      </c>
    </row>
    <row r="4269">
      <c r="A4269" s="114" t="inlineStr">
        <is>
          <t>576057</t>
        </is>
      </c>
      <c r="B4269" s="114" t="n">
        <v>15861</v>
      </c>
      <c r="C4269" s="114" t="inlineStr">
        <is>
          <t>United Kingdom</t>
        </is>
      </c>
      <c r="D4269" s="114" t="inlineStr">
        <is>
          <t>84992</t>
        </is>
      </c>
      <c r="E4269" s="114" t="inlineStr">
        <is>
          <t>72 SWEETHEART FAIRY CAKE CASES</t>
        </is>
      </c>
      <c r="F4269" s="114" t="n">
        <v>6</v>
      </c>
      <c r="G4269" s="115" t="n">
        <v>0.55</v>
      </c>
      <c r="H4269" s="115" t="n">
        <v>3.3</v>
      </c>
      <c r="I4269" s="116" t="n">
        <v>40860</v>
      </c>
    </row>
    <row r="4270">
      <c r="A4270" s="117" t="inlineStr">
        <is>
          <t>576069</t>
        </is>
      </c>
      <c r="B4270" s="117" t="n">
        <v>13603</v>
      </c>
      <c r="C4270" s="117" t="inlineStr">
        <is>
          <t>United Kingdom</t>
        </is>
      </c>
      <c r="D4270" s="117" t="inlineStr">
        <is>
          <t>84536A</t>
        </is>
      </c>
      <c r="E4270" s="117" t="inlineStr">
        <is>
          <t>ENGLISH ROSE NOTEBOOK A7 SIZE</t>
        </is>
      </c>
      <c r="F4270" s="117" t="n">
        <v>6</v>
      </c>
      <c r="G4270" s="118" t="n">
        <v>0.42</v>
      </c>
      <c r="H4270" s="118" t="n">
        <v>2.52</v>
      </c>
      <c r="I4270" s="119" t="n">
        <v>40860</v>
      </c>
    </row>
    <row r="4271">
      <c r="A4271" s="114" t="inlineStr">
        <is>
          <t>576070</t>
        </is>
      </c>
      <c r="B4271" s="114" t="n">
        <v>13451</v>
      </c>
      <c r="C4271" s="114" t="inlineStr">
        <is>
          <t>United Kingdom</t>
        </is>
      </c>
      <c r="D4271" s="114" t="inlineStr">
        <is>
          <t>21902</t>
        </is>
      </c>
      <c r="E4271" s="114" t="inlineStr">
        <is>
          <t xml:space="preserve">KEY FOB , FRONT  DOOR </t>
        </is>
      </c>
      <c r="F4271" s="114" t="n">
        <v>7</v>
      </c>
      <c r="G4271" s="115" t="n">
        <v>0.65</v>
      </c>
      <c r="H4271" s="115" t="n">
        <v>4.55</v>
      </c>
      <c r="I4271" s="116" t="n">
        <v>40860</v>
      </c>
    </row>
    <row r="4272">
      <c r="A4272" s="117" t="inlineStr">
        <is>
          <t>576071</t>
        </is>
      </c>
      <c r="B4272" s="117" t="n">
        <v>18069</v>
      </c>
      <c r="C4272" s="117" t="inlineStr">
        <is>
          <t>United Kingdom</t>
        </is>
      </c>
      <c r="D4272" s="117" t="inlineStr">
        <is>
          <t>23496</t>
        </is>
      </c>
      <c r="E4272" s="117" t="inlineStr">
        <is>
          <t xml:space="preserve">PANTRY KITCHEN THERMOMETER </t>
        </is>
      </c>
      <c r="F4272" s="117" t="n">
        <v>1</v>
      </c>
      <c r="G4272" s="118" t="n">
        <v>1.25</v>
      </c>
      <c r="H4272" s="118" t="n">
        <v>1.25</v>
      </c>
      <c r="I4272" s="119" t="n">
        <v>40860</v>
      </c>
    </row>
    <row r="4273">
      <c r="A4273" s="114" t="inlineStr">
        <is>
          <t>576071</t>
        </is>
      </c>
      <c r="B4273" s="114" t="n">
        <v>18069</v>
      </c>
      <c r="C4273" s="114" t="inlineStr">
        <is>
          <t>United Kingdom</t>
        </is>
      </c>
      <c r="D4273" s="114" t="inlineStr">
        <is>
          <t>23241</t>
        </is>
      </c>
      <c r="E4273" s="114" t="inlineStr">
        <is>
          <t>TREASURE TIN GYMKHANA DESIGN</t>
        </is>
      </c>
      <c r="F4273" s="114" t="n">
        <v>1</v>
      </c>
      <c r="G4273" s="115" t="n">
        <v>2.08</v>
      </c>
      <c r="H4273" s="115" t="n">
        <v>2.08</v>
      </c>
      <c r="I4273" s="116" t="n">
        <v>40860</v>
      </c>
    </row>
    <row r="4274">
      <c r="A4274" s="117" t="inlineStr">
        <is>
          <t>576071</t>
        </is>
      </c>
      <c r="B4274" s="117" t="n">
        <v>18069</v>
      </c>
      <c r="C4274" s="117" t="inlineStr">
        <is>
          <t>United Kingdom</t>
        </is>
      </c>
      <c r="D4274" s="117" t="inlineStr">
        <is>
          <t>85099B</t>
        </is>
      </c>
      <c r="E4274" s="117" t="inlineStr">
        <is>
          <t>JUMBO BAG RED RETROSPOT</t>
        </is>
      </c>
      <c r="F4274" s="117" t="n">
        <v>1</v>
      </c>
      <c r="G4274" s="118" t="n">
        <v>2.08</v>
      </c>
      <c r="H4274" s="118" t="n">
        <v>2.08</v>
      </c>
      <c r="I4274" s="119" t="n">
        <v>40860</v>
      </c>
    </row>
    <row r="4275">
      <c r="A4275" s="114" t="inlineStr">
        <is>
          <t>576075</t>
        </is>
      </c>
      <c r="B4275" s="114" t="n">
        <v>15861</v>
      </c>
      <c r="C4275" s="114" t="inlineStr">
        <is>
          <t>United Kingdom</t>
        </is>
      </c>
      <c r="D4275" s="114" t="inlineStr">
        <is>
          <t>22661</t>
        </is>
      </c>
      <c r="E4275" s="114" t="inlineStr">
        <is>
          <t>CHARLOTTE BAG DOLLY GIRL DESIGN</t>
        </is>
      </c>
      <c r="F4275" s="114" t="n">
        <v>6</v>
      </c>
      <c r="G4275" s="115" t="n">
        <v>0.85</v>
      </c>
      <c r="H4275" s="115" t="n">
        <v>5.1</v>
      </c>
      <c r="I4275" s="116" t="n">
        <v>40860</v>
      </c>
    </row>
    <row r="4276">
      <c r="A4276" s="117" t="inlineStr">
        <is>
          <t>576076</t>
        </is>
      </c>
      <c r="B4276" s="117" t="n">
        <v>14382</v>
      </c>
      <c r="C4276" s="117" t="inlineStr">
        <is>
          <t>United Kingdom</t>
        </is>
      </c>
      <c r="D4276" s="117" t="inlineStr">
        <is>
          <t>22097</t>
        </is>
      </c>
      <c r="E4276" s="117" t="inlineStr">
        <is>
          <t>SWALLOW SQUARE TISSUE BOX</t>
        </is>
      </c>
      <c r="F4276" s="117" t="n">
        <v>1</v>
      </c>
      <c r="G4276" s="118" t="n">
        <v>0.39</v>
      </c>
      <c r="H4276" s="118" t="n">
        <v>0.39</v>
      </c>
      <c r="I4276" s="119" t="n">
        <v>40860</v>
      </c>
    </row>
    <row r="4277">
      <c r="A4277" s="114" t="inlineStr">
        <is>
          <t>576076</t>
        </is>
      </c>
      <c r="B4277" s="114" t="n">
        <v>14382</v>
      </c>
      <c r="C4277" s="114" t="inlineStr">
        <is>
          <t>United Kingdom</t>
        </is>
      </c>
      <c r="D4277" s="114" t="inlineStr">
        <is>
          <t>20992</t>
        </is>
      </c>
      <c r="E4277" s="114" t="inlineStr">
        <is>
          <t>JAZZ HEARTS PURSE NOTEBOOK</t>
        </is>
      </c>
      <c r="F4277" s="114" t="n">
        <v>6</v>
      </c>
      <c r="G4277" s="115" t="n">
        <v>0.39</v>
      </c>
      <c r="H4277" s="115" t="n">
        <v>2.34</v>
      </c>
      <c r="I4277" s="116" t="n">
        <v>40860</v>
      </c>
    </row>
    <row r="4278">
      <c r="A4278" s="117" t="inlineStr">
        <is>
          <t>576076</t>
        </is>
      </c>
      <c r="B4278" s="117" t="n">
        <v>14382</v>
      </c>
      <c r="C4278" s="117" t="inlineStr">
        <is>
          <t>United Kingdom</t>
        </is>
      </c>
      <c r="D4278" s="117" t="inlineStr">
        <is>
          <t>22561</t>
        </is>
      </c>
      <c r="E4278" s="117" t="inlineStr">
        <is>
          <t>WOODEN SCHOOL COLOURING SET</t>
        </is>
      </c>
      <c r="F4278" s="117" t="n">
        <v>3</v>
      </c>
      <c r="G4278" s="118" t="n">
        <v>1.65</v>
      </c>
      <c r="H4278" s="118" t="n">
        <v>4.95</v>
      </c>
      <c r="I4278" s="119" t="n">
        <v>40860</v>
      </c>
    </row>
    <row r="4279">
      <c r="A4279" s="114" t="inlineStr">
        <is>
          <t>576079</t>
        </is>
      </c>
      <c r="B4279" s="114" t="n">
        <v>16877</v>
      </c>
      <c r="C4279" s="114" t="inlineStr">
        <is>
          <t>United Kingdom</t>
        </is>
      </c>
      <c r="D4279" s="114" t="inlineStr">
        <is>
          <t>22694</t>
        </is>
      </c>
      <c r="E4279" s="114" t="inlineStr">
        <is>
          <t xml:space="preserve">WICKER STAR </t>
        </is>
      </c>
      <c r="F4279" s="114" t="n">
        <v>2</v>
      </c>
      <c r="G4279" s="115" t="n">
        <v>2.1</v>
      </c>
      <c r="H4279" s="115" t="n">
        <v>4.2</v>
      </c>
      <c r="I4279" s="116" t="n">
        <v>40860</v>
      </c>
    </row>
    <row r="4280">
      <c r="A4280" s="117" t="inlineStr">
        <is>
          <t>576082</t>
        </is>
      </c>
      <c r="B4280" s="117" t="n">
        <v>12428</v>
      </c>
      <c r="C4280" s="117" t="inlineStr">
        <is>
          <t>Finland</t>
        </is>
      </c>
      <c r="D4280" s="117" t="inlineStr">
        <is>
          <t>POST</t>
        </is>
      </c>
      <c r="E4280" s="117" t="inlineStr">
        <is>
          <t>POSTAGE</t>
        </is>
      </c>
      <c r="F4280" s="117" t="n">
        <v>2</v>
      </c>
      <c r="G4280" s="118" t="n">
        <v>40</v>
      </c>
      <c r="H4280" s="118" t="n">
        <v>80</v>
      </c>
      <c r="I4280" s="119" t="n">
        <v>40861</v>
      </c>
    </row>
    <row r="4281">
      <c r="A4281" s="114" t="inlineStr">
        <is>
          <t>576082</t>
        </is>
      </c>
      <c r="B4281" s="114" t="n">
        <v>12428</v>
      </c>
      <c r="C4281" s="114" t="inlineStr">
        <is>
          <t>Finland</t>
        </is>
      </c>
      <c r="D4281" s="114" t="inlineStr">
        <is>
          <t>23515</t>
        </is>
      </c>
      <c r="E4281" s="114" t="inlineStr">
        <is>
          <t xml:space="preserve">EMBROIDERED RIBBON REEL DAISY </t>
        </is>
      </c>
      <c r="F4281" s="114" t="n">
        <v>6</v>
      </c>
      <c r="G4281" s="115" t="n">
        <v>2.08</v>
      </c>
      <c r="H4281" s="115" t="n">
        <v>12.48</v>
      </c>
      <c r="I4281" s="116" t="n">
        <v>40861</v>
      </c>
    </row>
    <row r="4282">
      <c r="A4282" s="117" t="inlineStr">
        <is>
          <t>576089</t>
        </is>
      </c>
      <c r="B4282" s="117" t="n">
        <v>17663</v>
      </c>
      <c r="C4282" s="117" t="inlineStr">
        <is>
          <t>United Kingdom</t>
        </is>
      </c>
      <c r="D4282" s="117" t="inlineStr">
        <is>
          <t>21791</t>
        </is>
      </c>
      <c r="E4282" s="117" t="inlineStr">
        <is>
          <t xml:space="preserve">VINTAGE HEADS AND TAILS CARD GAME </t>
        </is>
      </c>
      <c r="F4282" s="117" t="n">
        <v>12</v>
      </c>
      <c r="G4282" s="118" t="n">
        <v>1.25</v>
      </c>
      <c r="H4282" s="118" t="n">
        <v>15</v>
      </c>
      <c r="I4282" s="119" t="n">
        <v>40861</v>
      </c>
    </row>
    <row r="4283">
      <c r="A4283" s="114" t="inlineStr">
        <is>
          <t>576092</t>
        </is>
      </c>
      <c r="B4283" s="114" t="n">
        <v>18263</v>
      </c>
      <c r="C4283" s="114" t="inlineStr">
        <is>
          <t>United Kingdom</t>
        </is>
      </c>
      <c r="D4283" s="114" t="inlineStr">
        <is>
          <t>22549</t>
        </is>
      </c>
      <c r="E4283" s="114" t="inlineStr">
        <is>
          <t>PICTURE DOMINOES</t>
        </is>
      </c>
      <c r="F4283" s="114" t="n">
        <v>24</v>
      </c>
      <c r="G4283" s="115" t="n">
        <v>1.45</v>
      </c>
      <c r="H4283" s="115" t="n">
        <v>34.8</v>
      </c>
      <c r="I4283" s="116" t="n">
        <v>40861</v>
      </c>
    </row>
    <row r="4284">
      <c r="A4284" s="117" t="inlineStr">
        <is>
          <t>576092</t>
        </is>
      </c>
      <c r="B4284" s="117" t="n">
        <v>18263</v>
      </c>
      <c r="C4284" s="117" t="inlineStr">
        <is>
          <t>United Kingdom</t>
        </is>
      </c>
      <c r="D4284" s="117" t="inlineStr">
        <is>
          <t>23370</t>
        </is>
      </c>
      <c r="E4284" s="117" t="inlineStr">
        <is>
          <t>SET 36 COLOURING PENCILS DOILY</t>
        </is>
      </c>
      <c r="F4284" s="117" t="n">
        <v>16</v>
      </c>
      <c r="G4284" s="118" t="n">
        <v>1.25</v>
      </c>
      <c r="H4284" s="118" t="n">
        <v>20</v>
      </c>
      <c r="I4284" s="119" t="n">
        <v>40861</v>
      </c>
    </row>
    <row r="4285">
      <c r="A4285" s="114" t="inlineStr">
        <is>
          <t>576093</t>
        </is>
      </c>
      <c r="B4285" s="114" t="n">
        <v>17744</v>
      </c>
      <c r="C4285" s="114" t="inlineStr">
        <is>
          <t>United Kingdom</t>
        </is>
      </c>
      <c r="D4285" s="114" t="inlineStr">
        <is>
          <t>22396</t>
        </is>
      </c>
      <c r="E4285" s="114" t="inlineStr">
        <is>
          <t>MAGNETS PACK OF 4 RETRO PHOTO</t>
        </is>
      </c>
      <c r="F4285" s="114" t="n">
        <v>12</v>
      </c>
      <c r="G4285" s="115" t="n">
        <v>0.39</v>
      </c>
      <c r="H4285" s="115" t="n">
        <v>4.68</v>
      </c>
      <c r="I4285" s="116" t="n">
        <v>40861</v>
      </c>
    </row>
    <row r="4286">
      <c r="A4286" s="117" t="inlineStr">
        <is>
          <t>576093</t>
        </is>
      </c>
      <c r="B4286" s="117" t="n">
        <v>17744</v>
      </c>
      <c r="C4286" s="117" t="inlineStr">
        <is>
          <t>United Kingdom</t>
        </is>
      </c>
      <c r="D4286" s="117" t="inlineStr">
        <is>
          <t>84596F</t>
        </is>
      </c>
      <c r="E4286" s="117" t="inlineStr">
        <is>
          <t>SMALL MARSHMALLOWS PINK BOWL</t>
        </is>
      </c>
      <c r="F4286" s="117" t="n">
        <v>16</v>
      </c>
      <c r="G4286" s="118" t="n">
        <v>0.42</v>
      </c>
      <c r="H4286" s="118" t="n">
        <v>6.72</v>
      </c>
      <c r="I4286" s="119" t="n">
        <v>40861</v>
      </c>
    </row>
    <row r="4287">
      <c r="A4287" s="114" t="inlineStr">
        <is>
          <t>576121</t>
        </is>
      </c>
      <c r="B4287" s="114" t="n">
        <v>14530</v>
      </c>
      <c r="C4287" s="114" t="inlineStr">
        <is>
          <t>United Kingdom</t>
        </is>
      </c>
      <c r="D4287" s="114" t="inlineStr">
        <is>
          <t>23489</t>
        </is>
      </c>
      <c r="E4287" s="114" t="inlineStr">
        <is>
          <t>VINTAGE BELLS GARLAND</t>
        </is>
      </c>
      <c r="F4287" s="114" t="n">
        <v>6</v>
      </c>
      <c r="G4287" s="115" t="n">
        <v>2.89</v>
      </c>
      <c r="H4287" s="115" t="n">
        <v>17.34</v>
      </c>
      <c r="I4287" s="116" t="n">
        <v>40861</v>
      </c>
    </row>
    <row r="4288">
      <c r="A4288" s="117" t="inlineStr">
        <is>
          <t>576147</t>
        </is>
      </c>
      <c r="B4288" s="117" t="n">
        <v>16303</v>
      </c>
      <c r="C4288" s="117" t="inlineStr">
        <is>
          <t>United Kingdom</t>
        </is>
      </c>
      <c r="D4288" s="117" t="inlineStr">
        <is>
          <t>21876</t>
        </is>
      </c>
      <c r="E4288" s="117" t="inlineStr">
        <is>
          <t>POTTERING MUG</t>
        </is>
      </c>
      <c r="F4288" s="117" t="n">
        <v>12</v>
      </c>
      <c r="G4288" s="118" t="n">
        <v>1.65</v>
      </c>
      <c r="H4288" s="118" t="n">
        <v>19.8</v>
      </c>
      <c r="I4288" s="119" t="n">
        <v>40861</v>
      </c>
    </row>
    <row r="4289">
      <c r="A4289" s="114" t="inlineStr">
        <is>
          <t>576147</t>
        </is>
      </c>
      <c r="B4289" s="114" t="n">
        <v>16303</v>
      </c>
      <c r="C4289" s="114" t="inlineStr">
        <is>
          <t>United Kingdom</t>
        </is>
      </c>
      <c r="D4289" s="114" t="inlineStr">
        <is>
          <t>22750</t>
        </is>
      </c>
      <c r="E4289" s="114" t="inlineStr">
        <is>
          <t>FELTCRAFT PRINCESS LOLA DOLL</t>
        </is>
      </c>
      <c r="F4289" s="114" t="n">
        <v>12</v>
      </c>
      <c r="G4289" s="115" t="n">
        <v>3.75</v>
      </c>
      <c r="H4289" s="115" t="n">
        <v>45</v>
      </c>
      <c r="I4289" s="116" t="n">
        <v>40861</v>
      </c>
    </row>
    <row r="4290">
      <c r="A4290" s="117" t="inlineStr">
        <is>
          <t>576172</t>
        </is>
      </c>
      <c r="B4290" s="117" t="n">
        <v>15482</v>
      </c>
      <c r="C4290" s="117" t="inlineStr">
        <is>
          <t>United Kingdom</t>
        </is>
      </c>
      <c r="D4290" s="117" t="inlineStr">
        <is>
          <t>23395</t>
        </is>
      </c>
      <c r="E4290" s="117" t="inlineStr">
        <is>
          <t>BELLE JARDINIERE CUSHION COVER</t>
        </is>
      </c>
      <c r="F4290" s="117" t="n">
        <v>12</v>
      </c>
      <c r="G4290" s="118" t="n">
        <v>3.29</v>
      </c>
      <c r="H4290" s="118" t="n">
        <v>39.48</v>
      </c>
      <c r="I4290" s="119" t="n">
        <v>40861</v>
      </c>
    </row>
    <row r="4291">
      <c r="A4291" s="114" t="inlineStr">
        <is>
          <t>576176</t>
        </is>
      </c>
      <c r="B4291" s="114" t="n">
        <v>16936</v>
      </c>
      <c r="C4291" s="114" t="inlineStr">
        <is>
          <t>United Kingdom</t>
        </is>
      </c>
      <c r="D4291" s="114" t="inlineStr">
        <is>
          <t>21559</t>
        </is>
      </c>
      <c r="E4291" s="114" t="inlineStr">
        <is>
          <t>STRAWBERRY LUNCH BOX WITH CUTLERY</t>
        </is>
      </c>
      <c r="F4291" s="114" t="n">
        <v>5</v>
      </c>
      <c r="G4291" s="115" t="n">
        <v>2.55</v>
      </c>
      <c r="H4291" s="115" t="n">
        <v>12.75</v>
      </c>
      <c r="I4291" s="116" t="n">
        <v>40861</v>
      </c>
    </row>
    <row r="4292">
      <c r="A4292" s="117" t="inlineStr">
        <is>
          <t>576179</t>
        </is>
      </c>
      <c r="B4292" s="117" t="n">
        <v>13694</v>
      </c>
      <c r="C4292" s="117" t="inlineStr">
        <is>
          <t>United Kingdom</t>
        </is>
      </c>
      <c r="D4292" s="117" t="inlineStr">
        <is>
          <t>23208</t>
        </is>
      </c>
      <c r="E4292" s="117" t="inlineStr">
        <is>
          <t>LUNCH BAG VINTAGE LEAF DESIGN</t>
        </is>
      </c>
      <c r="F4292" s="117" t="n">
        <v>100</v>
      </c>
      <c r="G4292" s="118" t="n">
        <v>1.45</v>
      </c>
      <c r="H4292" s="118" t="n">
        <v>145</v>
      </c>
      <c r="I4292" s="119" t="n">
        <v>40861</v>
      </c>
    </row>
    <row r="4293">
      <c r="A4293" s="114" t="inlineStr">
        <is>
          <t>576182</t>
        </is>
      </c>
      <c r="B4293" s="114" t="n">
        <v>12938</v>
      </c>
      <c r="C4293" s="114" t="inlineStr">
        <is>
          <t>United Kingdom</t>
        </is>
      </c>
      <c r="D4293" s="114" t="inlineStr">
        <is>
          <t>84879</t>
        </is>
      </c>
      <c r="E4293" s="114" t="inlineStr">
        <is>
          <t>ASSORTED COLOUR BIRD ORNAMENT</t>
        </is>
      </c>
      <c r="F4293" s="114" t="n">
        <v>8</v>
      </c>
      <c r="G4293" s="115" t="n">
        <v>1.69</v>
      </c>
      <c r="H4293" s="115" t="n">
        <v>13.52</v>
      </c>
      <c r="I4293" s="116" t="n">
        <v>40861</v>
      </c>
    </row>
    <row r="4294">
      <c r="A4294" s="117" t="inlineStr">
        <is>
          <t>576212</t>
        </is>
      </c>
      <c r="B4294" s="117" t="n">
        <v>18082</v>
      </c>
      <c r="C4294" s="117" t="inlineStr">
        <is>
          <t>United Kingdom</t>
        </is>
      </c>
      <c r="D4294" s="117" t="inlineStr">
        <is>
          <t>23193</t>
        </is>
      </c>
      <c r="E4294" s="117" t="inlineStr">
        <is>
          <t>BUFFALO BILL TREASURE BOOK BOX</t>
        </is>
      </c>
      <c r="F4294" s="117" t="n">
        <v>1</v>
      </c>
      <c r="G4294" s="118" t="n">
        <v>2.25</v>
      </c>
      <c r="H4294" s="118" t="n">
        <v>2.25</v>
      </c>
      <c r="I4294" s="119" t="n">
        <v>40861</v>
      </c>
    </row>
    <row r="4295">
      <c r="A4295" s="114" t="inlineStr">
        <is>
          <t>576215</t>
        </is>
      </c>
      <c r="B4295" s="114" t="n">
        <v>17652</v>
      </c>
      <c r="C4295" s="114" t="inlineStr">
        <is>
          <t>United Kingdom</t>
        </is>
      </c>
      <c r="D4295" s="114" t="inlineStr">
        <is>
          <t>21429</t>
        </is>
      </c>
      <c r="E4295" s="114" t="inlineStr">
        <is>
          <t>RED GINGHAM ROSE JEWELLERY BOX</t>
        </is>
      </c>
      <c r="F4295" s="114" t="n">
        <v>8</v>
      </c>
      <c r="G4295" s="115" t="n">
        <v>1.95</v>
      </c>
      <c r="H4295" s="115" t="n">
        <v>15.6</v>
      </c>
      <c r="I4295" s="116" t="n">
        <v>40861</v>
      </c>
    </row>
    <row r="4296">
      <c r="A4296" s="117" t="inlineStr">
        <is>
          <t>576222</t>
        </is>
      </c>
      <c r="B4296" s="117" t="n">
        <v>12490</v>
      </c>
      <c r="C4296" s="117" t="inlineStr">
        <is>
          <t>France</t>
        </is>
      </c>
      <c r="D4296" s="117" t="inlineStr">
        <is>
          <t>22437</t>
        </is>
      </c>
      <c r="E4296" s="117" t="inlineStr">
        <is>
          <t>SET OF 9 BLACK SKULL BALLOONS</t>
        </is>
      </c>
      <c r="F4296" s="117" t="n">
        <v>20</v>
      </c>
      <c r="G4296" s="118" t="n">
        <v>0.85</v>
      </c>
      <c r="H4296" s="118" t="n">
        <v>17</v>
      </c>
      <c r="I4296" s="119" t="n">
        <v>40861</v>
      </c>
    </row>
    <row r="4297">
      <c r="A4297" s="114" t="inlineStr">
        <is>
          <t>576228</t>
        </is>
      </c>
      <c r="B4297" s="114" t="n">
        <v>15033</v>
      </c>
      <c r="C4297" s="114" t="inlineStr">
        <is>
          <t>United Kingdom</t>
        </is>
      </c>
      <c r="D4297" s="114" t="inlineStr">
        <is>
          <t>21891</t>
        </is>
      </c>
      <c r="E4297" s="114" t="inlineStr">
        <is>
          <t>TRADITIONAL WOODEN SKIPPING ROPE</t>
        </is>
      </c>
      <c r="F4297" s="114" t="n">
        <v>3</v>
      </c>
      <c r="G4297" s="115" t="n">
        <v>1.45</v>
      </c>
      <c r="H4297" s="115" t="n">
        <v>4.35</v>
      </c>
      <c r="I4297" s="116" t="n">
        <v>40861</v>
      </c>
    </row>
    <row r="4298">
      <c r="A4298" s="117" t="inlineStr">
        <is>
          <t>576245</t>
        </is>
      </c>
      <c r="B4298" s="117" t="n">
        <v>12553</v>
      </c>
      <c r="C4298" s="117" t="inlineStr">
        <is>
          <t>France</t>
        </is>
      </c>
      <c r="D4298" s="117" t="inlineStr">
        <is>
          <t>85014B</t>
        </is>
      </c>
      <c r="E4298" s="117" t="inlineStr">
        <is>
          <t>RED RETROSPOT UMBRELLA</t>
        </is>
      </c>
      <c r="F4298" s="117" t="n">
        <v>3</v>
      </c>
      <c r="G4298" s="118" t="n">
        <v>5.95</v>
      </c>
      <c r="H4298" s="118" t="n">
        <v>17.85</v>
      </c>
      <c r="I4298" s="119" t="n">
        <v>40861</v>
      </c>
    </row>
    <row r="4299">
      <c r="A4299" s="114" t="inlineStr">
        <is>
          <t>576246</t>
        </is>
      </c>
      <c r="B4299" s="114" t="n">
        <v>17566</v>
      </c>
      <c r="C4299" s="114" t="inlineStr">
        <is>
          <t>United Kingdom</t>
        </is>
      </c>
      <c r="D4299" s="114" t="inlineStr">
        <is>
          <t>23553</t>
        </is>
      </c>
      <c r="E4299" s="114" t="inlineStr">
        <is>
          <t xml:space="preserve">LANDMARK FRAME CAMDEN TOWN </t>
        </is>
      </c>
      <c r="F4299" s="114" t="n">
        <v>1</v>
      </c>
      <c r="G4299" s="115" t="n">
        <v>12.5</v>
      </c>
      <c r="H4299" s="115" t="n">
        <v>12.5</v>
      </c>
      <c r="I4299" s="116" t="n">
        <v>40861</v>
      </c>
    </row>
    <row r="4300">
      <c r="A4300" s="117" t="inlineStr">
        <is>
          <t>576249</t>
        </is>
      </c>
      <c r="B4300" s="117" t="n">
        <v>17811</v>
      </c>
      <c r="C4300" s="117" t="inlineStr">
        <is>
          <t>United Kingdom</t>
        </is>
      </c>
      <c r="D4300" s="117" t="inlineStr">
        <is>
          <t>23330</t>
        </is>
      </c>
      <c r="E4300" s="117" t="inlineStr">
        <is>
          <t>DECORATIVE WICKER HEART MEDIUM</t>
        </is>
      </c>
      <c r="F4300" s="117" t="n">
        <v>3</v>
      </c>
      <c r="G4300" s="118" t="n">
        <v>1.25</v>
      </c>
      <c r="H4300" s="118" t="n">
        <v>3.75</v>
      </c>
      <c r="I4300" s="119" t="n">
        <v>40861</v>
      </c>
    </row>
    <row r="4301">
      <c r="A4301" s="114" t="inlineStr">
        <is>
          <t>576249</t>
        </is>
      </c>
      <c r="B4301" s="114" t="n">
        <v>17811</v>
      </c>
      <c r="C4301" s="114" t="inlineStr">
        <is>
          <t>United Kingdom</t>
        </is>
      </c>
      <c r="D4301" s="114" t="inlineStr">
        <is>
          <t>21098</t>
        </is>
      </c>
      <c r="E4301" s="114" t="inlineStr">
        <is>
          <t>CHRISTMAS TOILET ROLL</t>
        </is>
      </c>
      <c r="F4301" s="114" t="n">
        <v>1</v>
      </c>
      <c r="G4301" s="115" t="n">
        <v>1.25</v>
      </c>
      <c r="H4301" s="115" t="n">
        <v>1.25</v>
      </c>
      <c r="I4301" s="116" t="n">
        <v>40861</v>
      </c>
    </row>
    <row r="4302">
      <c r="A4302" s="117" t="inlineStr">
        <is>
          <t>576252</t>
        </is>
      </c>
      <c r="B4302" s="117" t="n">
        <v>14418</v>
      </c>
      <c r="C4302" s="117" t="inlineStr">
        <is>
          <t>United Kingdom</t>
        </is>
      </c>
      <c r="D4302" s="117" t="inlineStr">
        <is>
          <t>22197</t>
        </is>
      </c>
      <c r="E4302" s="117" t="inlineStr">
        <is>
          <t>POPCORN HOLDER</t>
        </is>
      </c>
      <c r="F4302" s="117" t="n">
        <v>12</v>
      </c>
      <c r="G4302" s="118" t="n">
        <v>0.85</v>
      </c>
      <c r="H4302" s="118" t="n">
        <v>10.2</v>
      </c>
      <c r="I4302" s="119" t="n">
        <v>40861</v>
      </c>
    </row>
    <row r="4303">
      <c r="A4303" s="114" t="inlineStr">
        <is>
          <t>576254</t>
        </is>
      </c>
      <c r="B4303" s="114" t="n">
        <v>16422</v>
      </c>
      <c r="C4303" s="114" t="inlineStr">
        <is>
          <t>United Kingdom</t>
        </is>
      </c>
      <c r="D4303" s="114" t="inlineStr">
        <is>
          <t>22630</t>
        </is>
      </c>
      <c r="E4303" s="114" t="inlineStr">
        <is>
          <t>DOLLY GIRL LUNCH BOX</t>
        </is>
      </c>
      <c r="F4303" s="114" t="n">
        <v>24</v>
      </c>
      <c r="G4303" s="115" t="n">
        <v>1.95</v>
      </c>
      <c r="H4303" s="115" t="n">
        <v>46.8</v>
      </c>
      <c r="I4303" s="116" t="n">
        <v>40861</v>
      </c>
    </row>
    <row r="4304">
      <c r="A4304" s="117" t="inlineStr">
        <is>
          <t>576269</t>
        </is>
      </c>
      <c r="B4304" s="117" t="n">
        <v>12762</v>
      </c>
      <c r="C4304" s="117" t="inlineStr">
        <is>
          <t>Portugal</t>
        </is>
      </c>
      <c r="D4304" s="117" t="inlineStr">
        <is>
          <t>22949</t>
        </is>
      </c>
      <c r="E4304" s="117" t="inlineStr">
        <is>
          <t>SET OF 36 DOLLY GIRL PAPER DOILIES</t>
        </is>
      </c>
      <c r="F4304" s="117" t="n">
        <v>12</v>
      </c>
      <c r="G4304" s="118" t="n">
        <v>1.45</v>
      </c>
      <c r="H4304" s="118" t="n">
        <v>17.4</v>
      </c>
      <c r="I4304" s="119" t="n">
        <v>40861</v>
      </c>
    </row>
    <row r="4305">
      <c r="A4305" s="114" t="inlineStr">
        <is>
          <t>576274</t>
        </is>
      </c>
      <c r="B4305" s="114" t="n">
        <v>17793</v>
      </c>
      <c r="C4305" s="114" t="inlineStr">
        <is>
          <t>United Kingdom</t>
        </is>
      </c>
      <c r="D4305" s="114" t="inlineStr">
        <is>
          <t>21710</t>
        </is>
      </c>
      <c r="E4305" s="114" t="inlineStr">
        <is>
          <t>FOLDING UMBRELLA PINKWHITE POLKADOT</t>
        </is>
      </c>
      <c r="F4305" s="114" t="n">
        <v>1</v>
      </c>
      <c r="G4305" s="115" t="n">
        <v>4.95</v>
      </c>
      <c r="H4305" s="115" t="n">
        <v>4.95</v>
      </c>
      <c r="I4305" s="116" t="n">
        <v>40861</v>
      </c>
    </row>
    <row r="4306">
      <c r="A4306" s="117" t="inlineStr">
        <is>
          <t>576300</t>
        </is>
      </c>
      <c r="B4306" s="117" t="n">
        <v>15058</v>
      </c>
      <c r="C4306" s="117" t="inlineStr">
        <is>
          <t>United Kingdom</t>
        </is>
      </c>
      <c r="D4306" s="117" t="inlineStr">
        <is>
          <t>23192</t>
        </is>
      </c>
      <c r="E4306" s="117" t="inlineStr">
        <is>
          <t>BUNDLE OF 3 ALPHABET EXERCISE BOOKS</t>
        </is>
      </c>
      <c r="F4306" s="117" t="n">
        <v>1</v>
      </c>
      <c r="G4306" s="118" t="n">
        <v>1.65</v>
      </c>
      <c r="H4306" s="118" t="n">
        <v>1.65</v>
      </c>
      <c r="I4306" s="119" t="n">
        <v>40861</v>
      </c>
    </row>
    <row r="4307">
      <c r="A4307" s="114" t="inlineStr">
        <is>
          <t>576303</t>
        </is>
      </c>
      <c r="B4307" s="114" t="n">
        <v>15532</v>
      </c>
      <c r="C4307" s="114" t="inlineStr">
        <is>
          <t>United Kingdom</t>
        </is>
      </c>
      <c r="D4307" s="114" t="inlineStr">
        <is>
          <t>23356</t>
        </is>
      </c>
      <c r="E4307" s="114" t="inlineStr">
        <is>
          <t>LOVE HOT WATER BOTTLE</t>
        </is>
      </c>
      <c r="F4307" s="114" t="n">
        <v>1</v>
      </c>
      <c r="G4307" s="115" t="n">
        <v>5.95</v>
      </c>
      <c r="H4307" s="115" t="n">
        <v>5.95</v>
      </c>
      <c r="I4307" s="116" t="n">
        <v>40861</v>
      </c>
    </row>
    <row r="4308">
      <c r="A4308" s="117" t="inlineStr">
        <is>
          <t>576323</t>
        </is>
      </c>
      <c r="B4308" s="117" t="n">
        <v>16161</v>
      </c>
      <c r="C4308" s="117" t="inlineStr">
        <is>
          <t>United Kingdom</t>
        </is>
      </c>
      <c r="D4308" s="117" t="inlineStr">
        <is>
          <t>23340</t>
        </is>
      </c>
      <c r="E4308" s="117" t="inlineStr">
        <is>
          <t>VINTAGE CHRISTMAS CAKE FRILL</t>
        </is>
      </c>
      <c r="F4308" s="117" t="n">
        <v>1</v>
      </c>
      <c r="G4308" s="118" t="n">
        <v>1.65</v>
      </c>
      <c r="H4308" s="118" t="n">
        <v>1.65</v>
      </c>
      <c r="I4308" s="119" t="n">
        <v>40861</v>
      </c>
    </row>
    <row r="4309">
      <c r="A4309" s="114" t="inlineStr">
        <is>
          <t>576326</t>
        </is>
      </c>
      <c r="B4309" s="114" t="n">
        <v>16504</v>
      </c>
      <c r="C4309" s="114" t="inlineStr">
        <is>
          <t>United Kingdom</t>
        </is>
      </c>
      <c r="D4309" s="114" t="inlineStr">
        <is>
          <t>21365</t>
        </is>
      </c>
      <c r="E4309" s="114" t="inlineStr">
        <is>
          <t>MIRRORED WALL ART STARS</t>
        </is>
      </c>
      <c r="F4309" s="114" t="n">
        <v>1</v>
      </c>
      <c r="G4309" s="115" t="n">
        <v>0.75</v>
      </c>
      <c r="H4309" s="115" t="n">
        <v>0.75</v>
      </c>
      <c r="I4309" s="116" t="n">
        <v>40861</v>
      </c>
    </row>
    <row r="4310">
      <c r="A4310" s="117" t="inlineStr">
        <is>
          <t>576326</t>
        </is>
      </c>
      <c r="B4310" s="117" t="n">
        <v>16504</v>
      </c>
      <c r="C4310" s="117" t="inlineStr">
        <is>
          <t>United Kingdom</t>
        </is>
      </c>
      <c r="D4310" s="117" t="inlineStr">
        <is>
          <t>23296</t>
        </is>
      </c>
      <c r="E4310" s="117" t="inlineStr">
        <is>
          <t>SET OF 6 TEA TIME BAKING CASES</t>
        </is>
      </c>
      <c r="F4310" s="117" t="n">
        <v>2</v>
      </c>
      <c r="G4310" s="118" t="n">
        <v>1.25</v>
      </c>
      <c r="H4310" s="118" t="n">
        <v>2.5</v>
      </c>
      <c r="I4310" s="119" t="n">
        <v>40861</v>
      </c>
    </row>
    <row r="4311">
      <c r="A4311" s="114" t="inlineStr">
        <is>
          <t>576326</t>
        </is>
      </c>
      <c r="B4311" s="114" t="n">
        <v>16504</v>
      </c>
      <c r="C4311" s="114" t="inlineStr">
        <is>
          <t>United Kingdom</t>
        </is>
      </c>
      <c r="D4311" s="114" t="inlineStr">
        <is>
          <t>22340</t>
        </is>
      </c>
      <c r="E4311" s="114" t="inlineStr">
        <is>
          <t xml:space="preserve">NOEL GARLAND PAINTED ZINC </t>
        </is>
      </c>
      <c r="F4311" s="114" t="n">
        <v>36</v>
      </c>
      <c r="G4311" s="115" t="n">
        <v>0.39</v>
      </c>
      <c r="H4311" s="115" t="n">
        <v>14.04</v>
      </c>
      <c r="I4311" s="116" t="n">
        <v>40861</v>
      </c>
    </row>
    <row r="4312">
      <c r="A4312" s="117" t="inlineStr">
        <is>
          <t>576339</t>
        </is>
      </c>
      <c r="B4312" s="117" t="n">
        <v>14096</v>
      </c>
      <c r="C4312" s="117" t="inlineStr">
        <is>
          <t>United Kingdom</t>
        </is>
      </c>
      <c r="D4312" s="117" t="inlineStr">
        <is>
          <t>22486</t>
        </is>
      </c>
      <c r="E4312" s="117" t="inlineStr">
        <is>
          <t>PLASMATRONIC LAMP</t>
        </is>
      </c>
      <c r="F4312" s="117" t="n">
        <v>1</v>
      </c>
      <c r="G4312" s="118" t="n">
        <v>8.289999999999999</v>
      </c>
      <c r="H4312" s="118" t="n">
        <v>8.289999999999999</v>
      </c>
      <c r="I4312" s="119" t="n">
        <v>40861</v>
      </c>
    </row>
    <row r="4313">
      <c r="A4313" s="114" t="inlineStr">
        <is>
          <t>576339</t>
        </is>
      </c>
      <c r="B4313" s="114" t="n">
        <v>14096</v>
      </c>
      <c r="C4313" s="114" t="inlineStr">
        <is>
          <t>United Kingdom</t>
        </is>
      </c>
      <c r="D4313" s="114" t="inlineStr">
        <is>
          <t>22696</t>
        </is>
      </c>
      <c r="E4313" s="114" t="inlineStr">
        <is>
          <t>WICKER WREATH LARGE</t>
        </is>
      </c>
      <c r="F4313" s="114" t="n">
        <v>2</v>
      </c>
      <c r="G4313" s="115" t="n">
        <v>4.13</v>
      </c>
      <c r="H4313" s="115" t="n">
        <v>8.26</v>
      </c>
      <c r="I4313" s="116" t="n">
        <v>40861</v>
      </c>
    </row>
    <row r="4314">
      <c r="A4314" s="117" t="inlineStr">
        <is>
          <t>576339</t>
        </is>
      </c>
      <c r="B4314" s="117" t="n">
        <v>14096</v>
      </c>
      <c r="C4314" s="117" t="inlineStr">
        <is>
          <t>United Kingdom</t>
        </is>
      </c>
      <c r="D4314" s="117" t="inlineStr">
        <is>
          <t>85034B</t>
        </is>
      </c>
      <c r="E4314" s="117" t="inlineStr">
        <is>
          <t>3 WHITE CHOC MORRIS BOXED CANDLES</t>
        </is>
      </c>
      <c r="F4314" s="117" t="n">
        <v>5</v>
      </c>
      <c r="G4314" s="118" t="n">
        <v>8.289999999999999</v>
      </c>
      <c r="H4314" s="118" t="n">
        <v>41.45</v>
      </c>
      <c r="I4314" s="119" t="n">
        <v>40861</v>
      </c>
    </row>
    <row r="4315">
      <c r="A4315" s="114" t="inlineStr">
        <is>
          <t>576339</t>
        </is>
      </c>
      <c r="B4315" s="114" t="n">
        <v>14096</v>
      </c>
      <c r="C4315" s="114" t="inlineStr">
        <is>
          <t>United Kingdom</t>
        </is>
      </c>
      <c r="D4315" s="114" t="inlineStr">
        <is>
          <t>21990</t>
        </is>
      </c>
      <c r="E4315" s="114" t="inlineStr">
        <is>
          <t>MODERN FLORAL STATIONERY SET</t>
        </is>
      </c>
      <c r="F4315" s="114" t="n">
        <v>18</v>
      </c>
      <c r="G4315" s="115" t="n">
        <v>2.46</v>
      </c>
      <c r="H4315" s="115" t="n">
        <v>44.28</v>
      </c>
      <c r="I4315" s="116" t="n">
        <v>40861</v>
      </c>
    </row>
    <row r="4316">
      <c r="A4316" s="117" t="inlineStr">
        <is>
          <t>576339</t>
        </is>
      </c>
      <c r="B4316" s="117" t="n">
        <v>14096</v>
      </c>
      <c r="C4316" s="117" t="inlineStr">
        <is>
          <t>United Kingdom</t>
        </is>
      </c>
      <c r="D4316" s="117" t="inlineStr">
        <is>
          <t>22559</t>
        </is>
      </c>
      <c r="E4316" s="117" t="inlineStr">
        <is>
          <t>SEASIDE FLYING DISC</t>
        </is>
      </c>
      <c r="F4316" s="117" t="n">
        <v>1</v>
      </c>
      <c r="G4316" s="118" t="n">
        <v>2.46</v>
      </c>
      <c r="H4316" s="118" t="n">
        <v>2.46</v>
      </c>
      <c r="I4316" s="119" t="n">
        <v>40861</v>
      </c>
    </row>
    <row r="4317">
      <c r="A4317" s="114" t="inlineStr">
        <is>
          <t>576339</t>
        </is>
      </c>
      <c r="B4317" s="114" t="n">
        <v>14096</v>
      </c>
      <c r="C4317" s="114" t="inlineStr">
        <is>
          <t>United Kingdom</t>
        </is>
      </c>
      <c r="D4317" s="114" t="inlineStr">
        <is>
          <t>21935</t>
        </is>
      </c>
      <c r="E4317" s="114" t="inlineStr">
        <is>
          <t>SUKI  SHOULDER BAG</t>
        </is>
      </c>
      <c r="F4317" s="114" t="n">
        <v>1</v>
      </c>
      <c r="G4317" s="115" t="n">
        <v>1.63</v>
      </c>
      <c r="H4317" s="115" t="n">
        <v>1.63</v>
      </c>
      <c r="I4317" s="116" t="n">
        <v>40861</v>
      </c>
    </row>
    <row r="4318">
      <c r="A4318" s="117" t="inlineStr">
        <is>
          <t>576355</t>
        </is>
      </c>
      <c r="B4318" s="117" t="n">
        <v>13089</v>
      </c>
      <c r="C4318" s="117" t="inlineStr">
        <is>
          <t>United Kingdom</t>
        </is>
      </c>
      <c r="D4318" s="117" t="inlineStr">
        <is>
          <t>21485</t>
        </is>
      </c>
      <c r="E4318" s="117" t="inlineStr">
        <is>
          <t>RETROSPOT HEART HOT WATER BOTTLE</t>
        </is>
      </c>
      <c r="F4318" s="117" t="n">
        <v>24</v>
      </c>
      <c r="G4318" s="118" t="n">
        <v>4.25</v>
      </c>
      <c r="H4318" s="118" t="n">
        <v>102</v>
      </c>
      <c r="I4318" s="119" t="n">
        <v>40861</v>
      </c>
    </row>
    <row r="4319">
      <c r="A4319" s="114" t="inlineStr">
        <is>
          <t>576357</t>
        </is>
      </c>
      <c r="B4319" s="114" t="n">
        <v>15660</v>
      </c>
      <c r="C4319" s="114" t="inlineStr">
        <is>
          <t>United Kingdom</t>
        </is>
      </c>
      <c r="D4319" s="114" t="inlineStr">
        <is>
          <t>23200</t>
        </is>
      </c>
      <c r="E4319" s="114" t="inlineStr">
        <is>
          <t>JUMBO BAG PEARS</t>
        </is>
      </c>
      <c r="F4319" s="114" t="n">
        <v>10</v>
      </c>
      <c r="G4319" s="115" t="n">
        <v>2.08</v>
      </c>
      <c r="H4319" s="115" t="n">
        <v>20.8</v>
      </c>
      <c r="I4319" s="116" t="n">
        <v>40861</v>
      </c>
    </row>
    <row r="4320">
      <c r="A4320" s="117" t="inlineStr">
        <is>
          <t>576362</t>
        </is>
      </c>
      <c r="B4320" s="117" t="n">
        <v>14755</v>
      </c>
      <c r="C4320" s="117" t="inlineStr">
        <is>
          <t>United Kingdom</t>
        </is>
      </c>
      <c r="D4320" s="117" t="inlineStr">
        <is>
          <t>22154</t>
        </is>
      </c>
      <c r="E4320" s="117" t="inlineStr">
        <is>
          <t xml:space="preserve">ANGEL DECORATION 3 BUTTONS </t>
        </is>
      </c>
      <c r="F4320" s="117" t="n">
        <v>48</v>
      </c>
      <c r="G4320" s="118" t="n">
        <v>0.42</v>
      </c>
      <c r="H4320" s="118" t="n">
        <v>20.16</v>
      </c>
      <c r="I4320" s="119" t="n">
        <v>40861</v>
      </c>
    </row>
    <row r="4321">
      <c r="A4321" s="114" t="inlineStr">
        <is>
          <t>576383</t>
        </is>
      </c>
      <c r="B4321" s="114" t="n">
        <v>12883</v>
      </c>
      <c r="C4321" s="114" t="inlineStr">
        <is>
          <t>United Kingdom</t>
        </is>
      </c>
      <c r="D4321" s="114" t="inlineStr">
        <is>
          <t>21523</t>
        </is>
      </c>
      <c r="E4321" s="114" t="inlineStr">
        <is>
          <t>DOORMAT FANCY FONT HOME SWEET HOME</t>
        </is>
      </c>
      <c r="F4321" s="114" t="n">
        <v>2</v>
      </c>
      <c r="G4321" s="115" t="n">
        <v>8.25</v>
      </c>
      <c r="H4321" s="115" t="n">
        <v>16.5</v>
      </c>
      <c r="I4321" s="116" t="n">
        <v>40862</v>
      </c>
    </row>
    <row r="4322">
      <c r="A4322" s="117" t="inlineStr">
        <is>
          <t>576398</t>
        </is>
      </c>
      <c r="B4322" s="117" t="n">
        <v>15758</v>
      </c>
      <c r="C4322" s="117" t="inlineStr">
        <is>
          <t>United Kingdom</t>
        </is>
      </c>
      <c r="D4322" s="117" t="inlineStr">
        <is>
          <t>22112</t>
        </is>
      </c>
      <c r="E4322" s="117" t="inlineStr">
        <is>
          <t>CHOCOLATE HOT WATER BOTTLE</t>
        </is>
      </c>
      <c r="F4322" s="117" t="n">
        <v>6</v>
      </c>
      <c r="G4322" s="118" t="n">
        <v>4.95</v>
      </c>
      <c r="H4322" s="118" t="n">
        <v>29.7</v>
      </c>
      <c r="I4322" s="119" t="n">
        <v>40862</v>
      </c>
    </row>
    <row r="4323">
      <c r="A4323" s="114" t="inlineStr">
        <is>
          <t>576399</t>
        </is>
      </c>
      <c r="B4323" s="114" t="n">
        <v>12684</v>
      </c>
      <c r="C4323" s="114" t="inlineStr">
        <is>
          <t>France</t>
        </is>
      </c>
      <c r="D4323" s="114" t="inlineStr">
        <is>
          <t>22534</t>
        </is>
      </c>
      <c r="E4323" s="114" t="inlineStr">
        <is>
          <t xml:space="preserve">MAGIC DRAWING SLATE SPACEBOY </t>
        </is>
      </c>
      <c r="F4323" s="114" t="n">
        <v>24</v>
      </c>
      <c r="G4323" s="115" t="n">
        <v>0.42</v>
      </c>
      <c r="H4323" s="115" t="n">
        <v>10.08</v>
      </c>
      <c r="I4323" s="116" t="n">
        <v>40862</v>
      </c>
    </row>
    <row r="4324">
      <c r="A4324" s="117" t="inlineStr">
        <is>
          <t>576508</t>
        </is>
      </c>
      <c r="B4324" s="117" t="n">
        <v>17777</v>
      </c>
      <c r="C4324" s="117" t="inlineStr">
        <is>
          <t>United Kingdom</t>
        </is>
      </c>
      <c r="D4324" s="117" t="inlineStr">
        <is>
          <t>47503A</t>
        </is>
      </c>
      <c r="E4324" s="117" t="inlineStr">
        <is>
          <t>ASS FLORAL PRINT MULTI SCREWDRIVER</t>
        </is>
      </c>
      <c r="F4324" s="117" t="n">
        <v>2</v>
      </c>
      <c r="G4324" s="118" t="n">
        <v>0.42</v>
      </c>
      <c r="H4324" s="118" t="n">
        <v>0.84</v>
      </c>
      <c r="I4324" s="119" t="n">
        <v>40862</v>
      </c>
    </row>
    <row r="4325">
      <c r="A4325" s="114" t="inlineStr">
        <is>
          <t>576514</t>
        </is>
      </c>
      <c r="B4325" s="114" t="n">
        <v>13950</v>
      </c>
      <c r="C4325" s="114" t="inlineStr">
        <is>
          <t>United Kingdom</t>
        </is>
      </c>
      <c r="D4325" s="114" t="inlineStr">
        <is>
          <t>85123A</t>
        </is>
      </c>
      <c r="E4325" s="114" t="inlineStr">
        <is>
          <t>WHITE HANGING HEART T-LIGHT HOLDER</t>
        </is>
      </c>
      <c r="F4325" s="114" t="n">
        <v>6</v>
      </c>
      <c r="G4325" s="115" t="n">
        <v>2.95</v>
      </c>
      <c r="H4325" s="115" t="n">
        <v>17.7</v>
      </c>
      <c r="I4325" s="116" t="n">
        <v>40862</v>
      </c>
    </row>
    <row r="4326">
      <c r="A4326" s="117" t="inlineStr">
        <is>
          <t>576519</t>
        </is>
      </c>
      <c r="B4326" s="117" t="n">
        <v>12676</v>
      </c>
      <c r="C4326" s="117" t="inlineStr">
        <is>
          <t>Sweden</t>
        </is>
      </c>
      <c r="D4326" s="117" t="inlineStr">
        <is>
          <t>23597</t>
        </is>
      </c>
      <c r="E4326" s="117" t="inlineStr">
        <is>
          <t>PAPER BUNTING PAISLEY PARK</t>
        </is>
      </c>
      <c r="F4326" s="117" t="n">
        <v>6</v>
      </c>
      <c r="G4326" s="118" t="n">
        <v>2.95</v>
      </c>
      <c r="H4326" s="118" t="n">
        <v>17.7</v>
      </c>
      <c r="I4326" s="119" t="n">
        <v>40862</v>
      </c>
    </row>
    <row r="4327">
      <c r="A4327" s="114" t="inlineStr">
        <is>
          <t>576538</t>
        </is>
      </c>
      <c r="B4327" s="114" t="n">
        <v>14725</v>
      </c>
      <c r="C4327" s="114" t="inlineStr">
        <is>
          <t>United Kingdom</t>
        </is>
      </c>
      <c r="D4327" s="114" t="inlineStr">
        <is>
          <t>23557</t>
        </is>
      </c>
      <c r="E4327" s="114" t="inlineStr">
        <is>
          <t xml:space="preserve">LANDMARK FRAME BAKER STREET </t>
        </is>
      </c>
      <c r="F4327" s="114" t="n">
        <v>1</v>
      </c>
      <c r="G4327" s="115" t="n">
        <v>12.5</v>
      </c>
      <c r="H4327" s="115" t="n">
        <v>12.5</v>
      </c>
      <c r="I4327" s="116" t="n">
        <v>40862</v>
      </c>
    </row>
    <row r="4328">
      <c r="A4328" s="117" t="inlineStr">
        <is>
          <t>576587</t>
        </is>
      </c>
      <c r="B4328" s="117" t="n">
        <v>18123</v>
      </c>
      <c r="C4328" s="117" t="inlineStr">
        <is>
          <t>United Kingdom</t>
        </is>
      </c>
      <c r="D4328" s="117" t="inlineStr">
        <is>
          <t>21731</t>
        </is>
      </c>
      <c r="E4328" s="117" t="inlineStr">
        <is>
          <t>RED TOADSTOOL LED NIGHT LIGHT</t>
        </is>
      </c>
      <c r="F4328" s="117" t="n">
        <v>6</v>
      </c>
      <c r="G4328" s="118" t="n">
        <v>1.65</v>
      </c>
      <c r="H4328" s="118" t="n">
        <v>9.9</v>
      </c>
      <c r="I4328" s="119" t="n">
        <v>40862</v>
      </c>
    </row>
    <row r="4329">
      <c r="A4329" s="114" t="inlineStr">
        <is>
          <t>576592</t>
        </is>
      </c>
      <c r="B4329" s="114" t="n">
        <v>13614</v>
      </c>
      <c r="C4329" s="114" t="inlineStr">
        <is>
          <t>United Kingdom</t>
        </is>
      </c>
      <c r="D4329" s="114" t="inlineStr">
        <is>
          <t>22421</t>
        </is>
      </c>
      <c r="E4329" s="114" t="inlineStr">
        <is>
          <t>LIPSTICK PEN FUSCHIA</t>
        </is>
      </c>
      <c r="F4329" s="114" t="n">
        <v>5</v>
      </c>
      <c r="G4329" s="115" t="n">
        <v>0.42</v>
      </c>
      <c r="H4329" s="115" t="n">
        <v>2.1</v>
      </c>
      <c r="I4329" s="116" t="n">
        <v>40862</v>
      </c>
    </row>
    <row r="4330">
      <c r="A4330" s="117" t="inlineStr">
        <is>
          <t>576592</t>
        </is>
      </c>
      <c r="B4330" s="117" t="n">
        <v>13614</v>
      </c>
      <c r="C4330" s="117" t="inlineStr">
        <is>
          <t>United Kingdom</t>
        </is>
      </c>
      <c r="D4330" s="117" t="inlineStr">
        <is>
          <t>22795</t>
        </is>
      </c>
      <c r="E4330" s="117" t="inlineStr">
        <is>
          <t>SWEETHEART RECIPE BOOK STAND</t>
        </is>
      </c>
      <c r="F4330" s="117" t="n">
        <v>2</v>
      </c>
      <c r="G4330" s="118" t="n">
        <v>6.75</v>
      </c>
      <c r="H4330" s="118" t="n">
        <v>13.5</v>
      </c>
      <c r="I4330" s="119" t="n">
        <v>40862</v>
      </c>
    </row>
    <row r="4331">
      <c r="A4331" s="114" t="inlineStr">
        <is>
          <t>576592</t>
        </is>
      </c>
      <c r="B4331" s="114" t="n">
        <v>13614</v>
      </c>
      <c r="C4331" s="114" t="inlineStr">
        <is>
          <t>United Kingdom</t>
        </is>
      </c>
      <c r="D4331" s="114" t="inlineStr">
        <is>
          <t>22723</t>
        </is>
      </c>
      <c r="E4331" s="114" t="inlineStr">
        <is>
          <t>SET OF 6 HERB TINS SKETCHBOOK</t>
        </is>
      </c>
      <c r="F4331" s="114" t="n">
        <v>1</v>
      </c>
      <c r="G4331" s="115" t="n">
        <v>3.95</v>
      </c>
      <c r="H4331" s="115" t="n">
        <v>3.95</v>
      </c>
      <c r="I4331" s="116" t="n">
        <v>40862</v>
      </c>
    </row>
    <row r="4332">
      <c r="A4332" s="117" t="inlineStr">
        <is>
          <t>576593</t>
        </is>
      </c>
      <c r="B4332" s="117" t="n">
        <v>15720</v>
      </c>
      <c r="C4332" s="117" t="inlineStr">
        <is>
          <t>United Kingdom</t>
        </is>
      </c>
      <c r="D4332" s="117" t="inlineStr">
        <is>
          <t>22739</t>
        </is>
      </c>
      <c r="E4332" s="117" t="inlineStr">
        <is>
          <t>RIBBON REEL CHRISTMAS SOCK BAUBLE</t>
        </is>
      </c>
      <c r="F4332" s="117" t="n">
        <v>3</v>
      </c>
      <c r="G4332" s="118" t="n">
        <v>1.65</v>
      </c>
      <c r="H4332" s="118" t="n">
        <v>4.95</v>
      </c>
      <c r="I4332" s="119" t="n">
        <v>40862</v>
      </c>
    </row>
    <row r="4333">
      <c r="A4333" s="114" t="inlineStr">
        <is>
          <t>576593</t>
        </is>
      </c>
      <c r="B4333" s="114" t="n">
        <v>15720</v>
      </c>
      <c r="C4333" s="114" t="inlineStr">
        <is>
          <t>United Kingdom</t>
        </is>
      </c>
      <c r="D4333" s="114" t="inlineStr">
        <is>
          <t>23583</t>
        </is>
      </c>
      <c r="E4333" s="114" t="inlineStr">
        <is>
          <t xml:space="preserve">LUNCH BAG PAISLEY PARK  </t>
        </is>
      </c>
      <c r="F4333" s="114" t="n">
        <v>1</v>
      </c>
      <c r="G4333" s="115" t="n">
        <v>1.65</v>
      </c>
      <c r="H4333" s="115" t="n">
        <v>1.65</v>
      </c>
      <c r="I4333" s="116" t="n">
        <v>40862</v>
      </c>
    </row>
    <row r="4334">
      <c r="A4334" s="117" t="inlineStr">
        <is>
          <t>576597</t>
        </is>
      </c>
      <c r="B4334" s="117" t="n">
        <v>14194</v>
      </c>
      <c r="C4334" s="117" t="inlineStr">
        <is>
          <t>United Kingdom</t>
        </is>
      </c>
      <c r="D4334" s="117" t="inlineStr">
        <is>
          <t>23355</t>
        </is>
      </c>
      <c r="E4334" s="117" t="inlineStr">
        <is>
          <t>HOT WATER BOTTLE KEEP CALM</t>
        </is>
      </c>
      <c r="F4334" s="117" t="n">
        <v>4</v>
      </c>
      <c r="G4334" s="118" t="n">
        <v>4.95</v>
      </c>
      <c r="H4334" s="118" t="n">
        <v>19.8</v>
      </c>
      <c r="I4334" s="119" t="n">
        <v>40862</v>
      </c>
    </row>
    <row r="4335">
      <c r="A4335" s="114" t="inlineStr">
        <is>
          <t>576597</t>
        </is>
      </c>
      <c r="B4335" s="114" t="n">
        <v>14194</v>
      </c>
      <c r="C4335" s="114" t="inlineStr">
        <is>
          <t>United Kingdom</t>
        </is>
      </c>
      <c r="D4335" s="114" t="inlineStr">
        <is>
          <t>22580</t>
        </is>
      </c>
      <c r="E4335" s="114" t="inlineStr">
        <is>
          <t>ADVENT CALENDAR GINGHAM SACK</t>
        </is>
      </c>
      <c r="F4335" s="114" t="n">
        <v>3</v>
      </c>
      <c r="G4335" s="115" t="n">
        <v>5.95</v>
      </c>
      <c r="H4335" s="115" t="n">
        <v>17.85</v>
      </c>
      <c r="I4335" s="116" t="n">
        <v>40862</v>
      </c>
    </row>
    <row r="4336">
      <c r="A4336" s="117" t="inlineStr">
        <is>
          <t>576600</t>
        </is>
      </c>
      <c r="B4336" s="117" t="n">
        <v>18181</v>
      </c>
      <c r="C4336" s="117" t="inlineStr">
        <is>
          <t>United Kingdom</t>
        </is>
      </c>
      <c r="D4336" s="117" t="inlineStr">
        <is>
          <t>23355</t>
        </is>
      </c>
      <c r="E4336" s="117" t="inlineStr">
        <is>
          <t>HOT WATER BOTTLE KEEP CALM</t>
        </is>
      </c>
      <c r="F4336" s="117" t="n">
        <v>1</v>
      </c>
      <c r="G4336" s="118" t="n">
        <v>4.95</v>
      </c>
      <c r="H4336" s="118" t="n">
        <v>4.95</v>
      </c>
      <c r="I4336" s="119" t="n">
        <v>40862</v>
      </c>
    </row>
    <row r="4337">
      <c r="A4337" s="114" t="inlineStr">
        <is>
          <t>576604</t>
        </is>
      </c>
      <c r="B4337" s="114" t="n">
        <v>13435</v>
      </c>
      <c r="C4337" s="114" t="inlineStr">
        <is>
          <t>United Kingdom</t>
        </is>
      </c>
      <c r="D4337" s="114" t="inlineStr">
        <is>
          <t>46000S</t>
        </is>
      </c>
      <c r="E4337" s="114" t="inlineStr">
        <is>
          <t>POLYESTER FILLER PAD 40x40cm</t>
        </is>
      </c>
      <c r="F4337" s="114" t="n">
        <v>6</v>
      </c>
      <c r="G4337" s="115" t="n">
        <v>1.45</v>
      </c>
      <c r="H4337" s="115" t="n">
        <v>8.699999999999999</v>
      </c>
      <c r="I4337" s="116" t="n">
        <v>40862</v>
      </c>
    </row>
    <row r="4338">
      <c r="A4338" s="117" t="inlineStr">
        <is>
          <t>576611</t>
        </is>
      </c>
      <c r="B4338" s="117" t="n">
        <v>17357</v>
      </c>
      <c r="C4338" s="117" t="inlineStr">
        <is>
          <t>United Kingdom</t>
        </is>
      </c>
      <c r="D4338" s="117" t="inlineStr">
        <is>
          <t>22579</t>
        </is>
      </c>
      <c r="E4338" s="117" t="inlineStr">
        <is>
          <t>WOODEN TREE CHRISTMAS SCANDINAVIAN</t>
        </is>
      </c>
      <c r="F4338" s="117" t="n">
        <v>6</v>
      </c>
      <c r="G4338" s="118" t="n">
        <v>0.29</v>
      </c>
      <c r="H4338" s="118" t="n">
        <v>1.74</v>
      </c>
      <c r="I4338" s="119" t="n">
        <v>40862</v>
      </c>
    </row>
    <row r="4339">
      <c r="A4339" s="114" t="inlineStr">
        <is>
          <t>576611</t>
        </is>
      </c>
      <c r="B4339" s="114" t="n">
        <v>17357</v>
      </c>
      <c r="C4339" s="114" t="inlineStr">
        <is>
          <t>United Kingdom</t>
        </is>
      </c>
      <c r="D4339" s="114" t="inlineStr">
        <is>
          <t>21811</t>
        </is>
      </c>
      <c r="E4339" s="114" t="inlineStr">
        <is>
          <t>HANGING HEART WITH BELL</t>
        </is>
      </c>
      <c r="F4339" s="114" t="n">
        <v>6</v>
      </c>
      <c r="G4339" s="115" t="n">
        <v>0.39</v>
      </c>
      <c r="H4339" s="115" t="n">
        <v>2.34</v>
      </c>
      <c r="I4339" s="116" t="n">
        <v>40862</v>
      </c>
    </row>
    <row r="4340">
      <c r="A4340" s="117" t="inlineStr">
        <is>
          <t>576614</t>
        </is>
      </c>
      <c r="B4340" s="117" t="n">
        <v>12933</v>
      </c>
      <c r="C4340" s="117" t="inlineStr">
        <is>
          <t>United Kingdom</t>
        </is>
      </c>
      <c r="D4340" s="117" t="inlineStr">
        <is>
          <t>22144</t>
        </is>
      </c>
      <c r="E4340" s="117" t="inlineStr">
        <is>
          <t>CHRISTMAS CRAFT LITTLE FRIENDS</t>
        </is>
      </c>
      <c r="F4340" s="117" t="n">
        <v>2</v>
      </c>
      <c r="G4340" s="118" t="n">
        <v>2.1</v>
      </c>
      <c r="H4340" s="118" t="n">
        <v>4.2</v>
      </c>
      <c r="I4340" s="119" t="n">
        <v>40862</v>
      </c>
    </row>
    <row r="4341">
      <c r="A4341" s="114" t="inlineStr">
        <is>
          <t>576614</t>
        </is>
      </c>
      <c r="B4341" s="114" t="n">
        <v>12933</v>
      </c>
      <c r="C4341" s="114" t="inlineStr">
        <is>
          <t>United Kingdom</t>
        </is>
      </c>
      <c r="D4341" s="114" t="inlineStr">
        <is>
          <t>22111</t>
        </is>
      </c>
      <c r="E4341" s="114" t="inlineStr">
        <is>
          <t>SCOTTIE DOG HOT WATER BOTTLE</t>
        </is>
      </c>
      <c r="F4341" s="114" t="n">
        <v>1</v>
      </c>
      <c r="G4341" s="115" t="n">
        <v>4.95</v>
      </c>
      <c r="H4341" s="115" t="n">
        <v>4.95</v>
      </c>
      <c r="I4341" s="116" t="n">
        <v>40862</v>
      </c>
    </row>
    <row r="4342">
      <c r="A4342" s="117" t="inlineStr">
        <is>
          <t>576615</t>
        </is>
      </c>
      <c r="B4342" s="117" t="n">
        <v>17231</v>
      </c>
      <c r="C4342" s="117" t="inlineStr">
        <is>
          <t>United Kingdom</t>
        </is>
      </c>
      <c r="D4342" s="117" t="inlineStr">
        <is>
          <t>23349</t>
        </is>
      </c>
      <c r="E4342" s="117" t="inlineStr">
        <is>
          <t>ROLL WRAP VINTAGE CHRISTMAS</t>
        </is>
      </c>
      <c r="F4342" s="117" t="n">
        <v>5</v>
      </c>
      <c r="G4342" s="118" t="n">
        <v>1.25</v>
      </c>
      <c r="H4342" s="118" t="n">
        <v>6.25</v>
      </c>
      <c r="I4342" s="119" t="n">
        <v>40862</v>
      </c>
    </row>
    <row r="4343">
      <c r="A4343" s="114" t="inlineStr">
        <is>
          <t>576629</t>
        </is>
      </c>
      <c r="B4343" s="114" t="n">
        <v>12621</v>
      </c>
      <c r="C4343" s="114" t="inlineStr">
        <is>
          <t>Germany</t>
        </is>
      </c>
      <c r="D4343" s="114" t="inlineStr">
        <is>
          <t>22752</t>
        </is>
      </c>
      <c r="E4343" s="114" t="inlineStr">
        <is>
          <t>SET 7 BABUSHKA NESTING BOXES</t>
        </is>
      </c>
      <c r="F4343" s="114" t="n">
        <v>6</v>
      </c>
      <c r="G4343" s="115" t="n">
        <v>8.5</v>
      </c>
      <c r="H4343" s="115" t="n">
        <v>51</v>
      </c>
      <c r="I4343" s="116" t="n">
        <v>40863</v>
      </c>
    </row>
    <row r="4344">
      <c r="A4344" s="117" t="inlineStr">
        <is>
          <t>576645</t>
        </is>
      </c>
      <c r="B4344" s="117" t="n">
        <v>16245</v>
      </c>
      <c r="C4344" s="117" t="inlineStr">
        <is>
          <t>United Kingdom</t>
        </is>
      </c>
      <c r="D4344" s="117" t="inlineStr">
        <is>
          <t>23266</t>
        </is>
      </c>
      <c r="E4344" s="117" t="inlineStr">
        <is>
          <t>SET OF 3 WOODEN STOCKING DECORATION</t>
        </is>
      </c>
      <c r="F4344" s="117" t="n">
        <v>12</v>
      </c>
      <c r="G4344" s="118" t="n">
        <v>1.25</v>
      </c>
      <c r="H4344" s="118" t="n">
        <v>15</v>
      </c>
      <c r="I4344" s="119" t="n">
        <v>40863</v>
      </c>
    </row>
    <row r="4345">
      <c r="A4345" s="114" t="inlineStr">
        <is>
          <t>576645</t>
        </is>
      </c>
      <c r="B4345" s="114" t="n">
        <v>16245</v>
      </c>
      <c r="C4345" s="114" t="inlineStr">
        <is>
          <t>United Kingdom</t>
        </is>
      </c>
      <c r="D4345" s="114" t="inlineStr">
        <is>
          <t>22228</t>
        </is>
      </c>
      <c r="E4345" s="114" t="inlineStr">
        <is>
          <t xml:space="preserve">BUNNY WOODEN PAINTED WITH BIRD </t>
        </is>
      </c>
      <c r="F4345" s="114" t="n">
        <v>12</v>
      </c>
      <c r="G4345" s="115" t="n">
        <v>0.39</v>
      </c>
      <c r="H4345" s="115" t="n">
        <v>4.68</v>
      </c>
      <c r="I4345" s="116" t="n">
        <v>40863</v>
      </c>
    </row>
    <row r="4346">
      <c r="A4346" s="117" t="inlineStr">
        <is>
          <t>576650</t>
        </is>
      </c>
      <c r="B4346" s="117" t="n">
        <v>14286</v>
      </c>
      <c r="C4346" s="117" t="inlineStr">
        <is>
          <t>United Kingdom</t>
        </is>
      </c>
      <c r="D4346" s="117" t="inlineStr">
        <is>
          <t>22274</t>
        </is>
      </c>
      <c r="E4346" s="117" t="inlineStr">
        <is>
          <t>FELTCRAFT DOLL EMILY</t>
        </is>
      </c>
      <c r="F4346" s="117" t="n">
        <v>6</v>
      </c>
      <c r="G4346" s="118" t="n">
        <v>2.95</v>
      </c>
      <c r="H4346" s="118" t="n">
        <v>17.7</v>
      </c>
      <c r="I4346" s="119" t="n">
        <v>40863</v>
      </c>
    </row>
    <row r="4347">
      <c r="A4347" s="114" t="inlineStr">
        <is>
          <t>576653</t>
        </is>
      </c>
      <c r="B4347" s="114" t="n">
        <v>14156</v>
      </c>
      <c r="C4347" s="114" t="inlineStr">
        <is>
          <t>EIRE</t>
        </is>
      </c>
      <c r="D4347" s="114" t="inlineStr">
        <is>
          <t>23192</t>
        </is>
      </c>
      <c r="E4347" s="114" t="inlineStr">
        <is>
          <t>BUNDLE OF 3 ALPHABET EXERCISE BOOKS</t>
        </is>
      </c>
      <c r="F4347" s="114" t="n">
        <v>48</v>
      </c>
      <c r="G4347" s="115" t="n">
        <v>1.45</v>
      </c>
      <c r="H4347" s="115" t="n">
        <v>69.59999999999999</v>
      </c>
      <c r="I4347" s="116" t="n">
        <v>40863</v>
      </c>
    </row>
    <row r="4348">
      <c r="A4348" s="117" t="inlineStr">
        <is>
          <t>576653</t>
        </is>
      </c>
      <c r="B4348" s="117" t="n">
        <v>14156</v>
      </c>
      <c r="C4348" s="117" t="inlineStr">
        <is>
          <t>EIRE</t>
        </is>
      </c>
      <c r="D4348" s="117" t="inlineStr">
        <is>
          <t>20914</t>
        </is>
      </c>
      <c r="E4348" s="117" t="inlineStr">
        <is>
          <t>SET/5 RED RETROSPOT LID GLASS BOWLS</t>
        </is>
      </c>
      <c r="F4348" s="117" t="n">
        <v>48</v>
      </c>
      <c r="G4348" s="118" t="n">
        <v>2.55</v>
      </c>
      <c r="H4348" s="118" t="n">
        <v>122.4</v>
      </c>
      <c r="I4348" s="119" t="n">
        <v>40863</v>
      </c>
    </row>
    <row r="4349">
      <c r="A4349" s="114" t="inlineStr">
        <is>
          <t>576665</t>
        </is>
      </c>
      <c r="B4349" s="114" t="n">
        <v>17841</v>
      </c>
      <c r="C4349" s="114" t="inlineStr">
        <is>
          <t>United Kingdom</t>
        </is>
      </c>
      <c r="D4349" s="114" t="inlineStr">
        <is>
          <t>84032B</t>
        </is>
      </c>
      <c r="E4349" s="114" t="inlineStr">
        <is>
          <t>CHARLIE + LOLA RED HOT WATER BOTTLE</t>
        </is>
      </c>
      <c r="F4349" s="114" t="n">
        <v>3</v>
      </c>
      <c r="G4349" s="115" t="n">
        <v>2.95</v>
      </c>
      <c r="H4349" s="115" t="n">
        <v>8.85</v>
      </c>
      <c r="I4349" s="116" t="n">
        <v>40863</v>
      </c>
    </row>
    <row r="4350">
      <c r="A4350" s="117" t="inlineStr">
        <is>
          <t>576665</t>
        </is>
      </c>
      <c r="B4350" s="117" t="n">
        <v>17841</v>
      </c>
      <c r="C4350" s="117" t="inlineStr">
        <is>
          <t>United Kingdom</t>
        </is>
      </c>
      <c r="D4350" s="117" t="inlineStr">
        <is>
          <t>22478</t>
        </is>
      </c>
      <c r="E4350" s="117" t="inlineStr">
        <is>
          <t xml:space="preserve">BIRDHOUSE GARDEN MARKER </t>
        </is>
      </c>
      <c r="F4350" s="117" t="n">
        <v>2</v>
      </c>
      <c r="G4350" s="118" t="n">
        <v>1.25</v>
      </c>
      <c r="H4350" s="118" t="n">
        <v>2.5</v>
      </c>
      <c r="I4350" s="119" t="n">
        <v>40863</v>
      </c>
    </row>
    <row r="4351">
      <c r="A4351" s="114" t="inlineStr">
        <is>
          <t>576688</t>
        </is>
      </c>
      <c r="B4351" s="114" t="n">
        <v>16717</v>
      </c>
      <c r="C4351" s="114" t="inlineStr">
        <is>
          <t>United Kingdom</t>
        </is>
      </c>
      <c r="D4351" s="114" t="inlineStr">
        <is>
          <t>23318</t>
        </is>
      </c>
      <c r="E4351" s="114" t="inlineStr">
        <is>
          <t>BOX OF 6 MINI VINTAGE CRACKERS</t>
        </is>
      </c>
      <c r="F4351" s="114" t="n">
        <v>6</v>
      </c>
      <c r="G4351" s="115" t="n">
        <v>2.49</v>
      </c>
      <c r="H4351" s="115" t="n">
        <v>14.94</v>
      </c>
      <c r="I4351" s="116" t="n">
        <v>40863</v>
      </c>
    </row>
    <row r="4352">
      <c r="A4352" s="117" t="inlineStr">
        <is>
          <t>576689</t>
        </is>
      </c>
      <c r="B4352" s="117" t="n">
        <v>16657</v>
      </c>
      <c r="C4352" s="117" t="inlineStr">
        <is>
          <t>United Kingdom</t>
        </is>
      </c>
      <c r="D4352" s="117" t="inlineStr">
        <is>
          <t>22718</t>
        </is>
      </c>
      <c r="E4352" s="117" t="inlineStr">
        <is>
          <t xml:space="preserve">CARD CAT AND TREE </t>
        </is>
      </c>
      <c r="F4352" s="117" t="n">
        <v>12</v>
      </c>
      <c r="G4352" s="118" t="n">
        <v>0.42</v>
      </c>
      <c r="H4352" s="118" t="n">
        <v>5.04</v>
      </c>
      <c r="I4352" s="119" t="n">
        <v>40863</v>
      </c>
    </row>
    <row r="4353">
      <c r="A4353" s="114" t="inlineStr">
        <is>
          <t>576690</t>
        </is>
      </c>
      <c r="B4353" s="114" t="n">
        <v>15900</v>
      </c>
      <c r="C4353" s="114" t="inlineStr">
        <is>
          <t>United Kingdom</t>
        </is>
      </c>
      <c r="D4353" s="114" t="inlineStr">
        <is>
          <t>21156</t>
        </is>
      </c>
      <c r="E4353" s="114" t="inlineStr">
        <is>
          <t>RETROSPOT CHILDRENS APRON</t>
        </is>
      </c>
      <c r="F4353" s="114" t="n">
        <v>2</v>
      </c>
      <c r="G4353" s="115" t="n">
        <v>1.95</v>
      </c>
      <c r="H4353" s="115" t="n">
        <v>3.9</v>
      </c>
      <c r="I4353" s="116" t="n">
        <v>40863</v>
      </c>
    </row>
    <row r="4354">
      <c r="A4354" s="117" t="inlineStr">
        <is>
          <t>576690</t>
        </is>
      </c>
      <c r="B4354" s="117" t="n">
        <v>15900</v>
      </c>
      <c r="C4354" s="117" t="inlineStr">
        <is>
          <t>United Kingdom</t>
        </is>
      </c>
      <c r="D4354" s="117" t="inlineStr">
        <is>
          <t>21990</t>
        </is>
      </c>
      <c r="E4354" s="117" t="inlineStr">
        <is>
          <t>MODERN FLORAL STATIONERY SET</t>
        </is>
      </c>
      <c r="F4354" s="117" t="n">
        <v>1</v>
      </c>
      <c r="G4354" s="118" t="n">
        <v>1.25</v>
      </c>
      <c r="H4354" s="118" t="n">
        <v>1.25</v>
      </c>
      <c r="I4354" s="119" t="n">
        <v>40863</v>
      </c>
    </row>
    <row r="4355">
      <c r="A4355" s="114" t="inlineStr">
        <is>
          <t>576695</t>
        </is>
      </c>
      <c r="B4355" s="114" t="n">
        <v>16469</v>
      </c>
      <c r="C4355" s="114" t="inlineStr">
        <is>
          <t>United Kingdom</t>
        </is>
      </c>
      <c r="D4355" s="114" t="inlineStr">
        <is>
          <t>21584</t>
        </is>
      </c>
      <c r="E4355" s="114" t="inlineStr">
        <is>
          <t>RETROSPOT SMALL TUBE MATCHES</t>
        </is>
      </c>
      <c r="F4355" s="114" t="n">
        <v>2</v>
      </c>
      <c r="G4355" s="115" t="n">
        <v>1.65</v>
      </c>
      <c r="H4355" s="115" t="n">
        <v>3.3</v>
      </c>
      <c r="I4355" s="116" t="n">
        <v>40863</v>
      </c>
    </row>
    <row r="4356">
      <c r="A4356" s="117" t="inlineStr">
        <is>
          <t>576704</t>
        </is>
      </c>
      <c r="B4356" s="117" t="n">
        <v>14527</v>
      </c>
      <c r="C4356" s="117" t="inlineStr">
        <is>
          <t>United Kingdom</t>
        </is>
      </c>
      <c r="D4356" s="117" t="inlineStr">
        <is>
          <t>21245</t>
        </is>
      </c>
      <c r="E4356" s="117" t="inlineStr">
        <is>
          <t xml:space="preserve">GREEN POLKADOT PLATE </t>
        </is>
      </c>
      <c r="F4356" s="117" t="n">
        <v>1</v>
      </c>
      <c r="G4356" s="118" t="n">
        <v>1.69</v>
      </c>
      <c r="H4356" s="118" t="n">
        <v>1.69</v>
      </c>
      <c r="I4356" s="119" t="n">
        <v>40863</v>
      </c>
    </row>
    <row r="4357">
      <c r="A4357" s="114" t="inlineStr">
        <is>
          <t>576774</t>
        </is>
      </c>
      <c r="B4357" s="114" t="n">
        <v>13131</v>
      </c>
      <c r="C4357" s="114" t="inlineStr">
        <is>
          <t>United Kingdom</t>
        </is>
      </c>
      <c r="D4357" s="114" t="inlineStr">
        <is>
          <t>22382</t>
        </is>
      </c>
      <c r="E4357" s="114" t="inlineStr">
        <is>
          <t xml:space="preserve">LUNCH BAG SPACEBOY DESIGN </t>
        </is>
      </c>
      <c r="F4357" s="114" t="n">
        <v>10</v>
      </c>
      <c r="G4357" s="115" t="n">
        <v>1.65</v>
      </c>
      <c r="H4357" s="115" t="n">
        <v>16.5</v>
      </c>
      <c r="I4357" s="116" t="n">
        <v>40863</v>
      </c>
    </row>
    <row r="4358">
      <c r="A4358" s="117" t="inlineStr">
        <is>
          <t>576778</t>
        </is>
      </c>
      <c r="B4358" s="117" t="n">
        <v>16085</v>
      </c>
      <c r="C4358" s="117" t="inlineStr">
        <is>
          <t>United Kingdom</t>
        </is>
      </c>
      <c r="D4358" s="117" t="inlineStr">
        <is>
          <t>85123A</t>
        </is>
      </c>
      <c r="E4358" s="117" t="inlineStr">
        <is>
          <t>WHITE HANGING HEART T-LIGHT HOLDER</t>
        </is>
      </c>
      <c r="F4358" s="117" t="n">
        <v>5</v>
      </c>
      <c r="G4358" s="118" t="n">
        <v>2.95</v>
      </c>
      <c r="H4358" s="118" t="n">
        <v>14.75</v>
      </c>
      <c r="I4358" s="119" t="n">
        <v>40863</v>
      </c>
    </row>
    <row r="4359">
      <c r="A4359" s="114" t="inlineStr">
        <is>
          <t>576779</t>
        </is>
      </c>
      <c r="B4359" s="114" t="n">
        <v>14554</v>
      </c>
      <c r="C4359" s="114" t="inlineStr">
        <is>
          <t>United Kingdom</t>
        </is>
      </c>
      <c r="D4359" s="114" t="inlineStr">
        <is>
          <t>21914</t>
        </is>
      </c>
      <c r="E4359" s="114" t="inlineStr">
        <is>
          <t xml:space="preserve">BLUE HARMONICA IN BOX </t>
        </is>
      </c>
      <c r="F4359" s="114" t="n">
        <v>1</v>
      </c>
      <c r="G4359" s="115" t="n">
        <v>1.25</v>
      </c>
      <c r="H4359" s="115" t="n">
        <v>1.25</v>
      </c>
      <c r="I4359" s="116" t="n">
        <v>40863</v>
      </c>
    </row>
    <row r="4360">
      <c r="A4360" s="117" t="inlineStr">
        <is>
          <t>576783</t>
        </is>
      </c>
      <c r="B4360" s="117" t="n">
        <v>13447</v>
      </c>
      <c r="C4360" s="117" t="inlineStr">
        <is>
          <t>United Kingdom</t>
        </is>
      </c>
      <c r="D4360" s="117" t="inlineStr">
        <is>
          <t>23534</t>
        </is>
      </c>
      <c r="E4360" s="117" t="inlineStr">
        <is>
          <t xml:space="preserve">WALL ART STOP FOR TEA </t>
        </is>
      </c>
      <c r="F4360" s="117" t="n">
        <v>9</v>
      </c>
      <c r="G4360" s="118" t="n">
        <v>5.95</v>
      </c>
      <c r="H4360" s="118" t="n">
        <v>53.55</v>
      </c>
      <c r="I4360" s="119" t="n">
        <v>40863</v>
      </c>
    </row>
    <row r="4361">
      <c r="A4361" s="114" t="inlineStr">
        <is>
          <t>576787</t>
        </is>
      </c>
      <c r="B4361" s="114" t="n">
        <v>13815</v>
      </c>
      <c r="C4361" s="114" t="inlineStr">
        <is>
          <t>Germany</t>
        </is>
      </c>
      <c r="D4361" s="114" t="inlineStr">
        <is>
          <t>22505</t>
        </is>
      </c>
      <c r="E4361" s="114" t="inlineStr">
        <is>
          <t>MEMO BOARD COTTAGE DESIGN</t>
        </is>
      </c>
      <c r="F4361" s="114" t="n">
        <v>4</v>
      </c>
      <c r="G4361" s="115" t="n">
        <v>4.95</v>
      </c>
      <c r="H4361" s="115" t="n">
        <v>19.8</v>
      </c>
      <c r="I4361" s="116" t="n">
        <v>40863</v>
      </c>
    </row>
    <row r="4362">
      <c r="A4362" s="117" t="inlineStr">
        <is>
          <t>576792</t>
        </is>
      </c>
      <c r="B4362" s="117" t="n">
        <v>17596</v>
      </c>
      <c r="C4362" s="117" t="inlineStr">
        <is>
          <t>United Kingdom</t>
        </is>
      </c>
      <c r="D4362" s="117" t="inlineStr">
        <is>
          <t>17003</t>
        </is>
      </c>
      <c r="E4362" s="117" t="inlineStr">
        <is>
          <t xml:space="preserve">BROCADE RING PURSE </t>
        </is>
      </c>
      <c r="F4362" s="117" t="n">
        <v>72</v>
      </c>
      <c r="G4362" s="118" t="n">
        <v>0.39</v>
      </c>
      <c r="H4362" s="118" t="n">
        <v>28.08</v>
      </c>
      <c r="I4362" s="119" t="n">
        <v>40863</v>
      </c>
    </row>
    <row r="4363">
      <c r="A4363" s="114" t="inlineStr">
        <is>
          <t>576830</t>
        </is>
      </c>
      <c r="B4363" s="114" t="n">
        <v>14898</v>
      </c>
      <c r="C4363" s="114" t="inlineStr">
        <is>
          <t>United Kingdom</t>
        </is>
      </c>
      <c r="D4363" s="114" t="inlineStr">
        <is>
          <t>85170D</t>
        </is>
      </c>
      <c r="E4363" s="114" t="inlineStr">
        <is>
          <t>SET/6 PINK BIRD T-LIGHT CANDLES</t>
        </is>
      </c>
      <c r="F4363" s="114" t="n">
        <v>1</v>
      </c>
      <c r="G4363" s="115" t="n">
        <v>2.1</v>
      </c>
      <c r="H4363" s="115" t="n">
        <v>2.1</v>
      </c>
      <c r="I4363" s="116" t="n">
        <v>40863</v>
      </c>
    </row>
    <row r="4364">
      <c r="A4364" s="117" t="inlineStr">
        <is>
          <t>576834</t>
        </is>
      </c>
      <c r="B4364" s="117" t="n">
        <v>13458</v>
      </c>
      <c r="C4364" s="117" t="inlineStr">
        <is>
          <t>United Kingdom</t>
        </is>
      </c>
      <c r="D4364" s="117" t="inlineStr">
        <is>
          <t>23354</t>
        </is>
      </c>
      <c r="E4364" s="117" t="inlineStr">
        <is>
          <t xml:space="preserve">6 GIFT TAGS 50'S CHRISTMAS </t>
        </is>
      </c>
      <c r="F4364" s="117" t="n">
        <v>12</v>
      </c>
      <c r="G4364" s="118" t="n">
        <v>0.83</v>
      </c>
      <c r="H4364" s="118" t="n">
        <v>9.960000000000001</v>
      </c>
      <c r="I4364" s="119" t="n">
        <v>40863</v>
      </c>
    </row>
    <row r="4365">
      <c r="A4365" s="114" t="inlineStr">
        <is>
          <t>576841</t>
        </is>
      </c>
      <c r="B4365" s="114" t="n">
        <v>17368</v>
      </c>
      <c r="C4365" s="114" t="inlineStr">
        <is>
          <t>United Kingdom</t>
        </is>
      </c>
      <c r="D4365" s="114" t="inlineStr">
        <is>
          <t>23581</t>
        </is>
      </c>
      <c r="E4365" s="114" t="inlineStr">
        <is>
          <t>JUMBO BAG PAISLEY PARK</t>
        </is>
      </c>
      <c r="F4365" s="114" t="n">
        <v>1</v>
      </c>
      <c r="G4365" s="115" t="n">
        <v>2.08</v>
      </c>
      <c r="H4365" s="115" t="n">
        <v>2.08</v>
      </c>
      <c r="I4365" s="116" t="n">
        <v>40863</v>
      </c>
    </row>
    <row r="4366">
      <c r="A4366" s="117" t="inlineStr">
        <is>
          <t>576841</t>
        </is>
      </c>
      <c r="B4366" s="117" t="n">
        <v>17368</v>
      </c>
      <c r="C4366" s="117" t="inlineStr">
        <is>
          <t>United Kingdom</t>
        </is>
      </c>
      <c r="D4366" s="117" t="inlineStr">
        <is>
          <t>23454</t>
        </is>
      </c>
      <c r="E4366" s="117" t="inlineStr">
        <is>
          <t>THREE MINI HANGING FRAMES</t>
        </is>
      </c>
      <c r="F4366" s="117" t="n">
        <v>1</v>
      </c>
      <c r="G4366" s="118" t="n">
        <v>4.15</v>
      </c>
      <c r="H4366" s="118" t="n">
        <v>4.15</v>
      </c>
      <c r="I4366" s="119" t="n">
        <v>40863</v>
      </c>
    </row>
    <row r="4367">
      <c r="A4367" s="114" t="inlineStr">
        <is>
          <t>576846</t>
        </is>
      </c>
      <c r="B4367" s="114" t="n">
        <v>13500</v>
      </c>
      <c r="C4367" s="114" t="inlineStr">
        <is>
          <t>United Kingdom</t>
        </is>
      </c>
      <c r="D4367" s="114" t="inlineStr">
        <is>
          <t>22114</t>
        </is>
      </c>
      <c r="E4367" s="114" t="inlineStr">
        <is>
          <t>HOT WATER BOTTLE TEA AND SYMPATHY</t>
        </is>
      </c>
      <c r="F4367" s="114" t="n">
        <v>4</v>
      </c>
      <c r="G4367" s="115" t="n">
        <v>4.25</v>
      </c>
      <c r="H4367" s="115" t="n">
        <v>17</v>
      </c>
      <c r="I4367" s="116" t="n">
        <v>40863</v>
      </c>
    </row>
    <row r="4368">
      <c r="A4368" s="117" t="inlineStr">
        <is>
          <t>576846</t>
        </is>
      </c>
      <c r="B4368" s="117" t="n">
        <v>13500</v>
      </c>
      <c r="C4368" s="117" t="inlineStr">
        <is>
          <t>United Kingdom</t>
        </is>
      </c>
      <c r="D4368" s="117" t="inlineStr">
        <is>
          <t>21485</t>
        </is>
      </c>
      <c r="E4368" s="117" t="inlineStr">
        <is>
          <t>RETROSPOT HEART HOT WATER BOTTLE</t>
        </is>
      </c>
      <c r="F4368" s="117" t="n">
        <v>3</v>
      </c>
      <c r="G4368" s="118" t="n">
        <v>4.95</v>
      </c>
      <c r="H4368" s="118" t="n">
        <v>14.85</v>
      </c>
      <c r="I4368" s="119" t="n">
        <v>40863</v>
      </c>
    </row>
    <row r="4369">
      <c r="A4369" s="114" t="inlineStr">
        <is>
          <t>576851</t>
        </is>
      </c>
      <c r="B4369" s="114" t="n">
        <v>15967</v>
      </c>
      <c r="C4369" s="114" t="inlineStr">
        <is>
          <t>United Kingdom</t>
        </is>
      </c>
      <c r="D4369" s="114" t="inlineStr">
        <is>
          <t>22340</t>
        </is>
      </c>
      <c r="E4369" s="114" t="inlineStr">
        <is>
          <t xml:space="preserve">NOEL GARLAND PAINTED ZINC </t>
        </is>
      </c>
      <c r="F4369" s="114" t="n">
        <v>2</v>
      </c>
      <c r="G4369" s="115" t="n">
        <v>0.39</v>
      </c>
      <c r="H4369" s="115" t="n">
        <v>0.78</v>
      </c>
      <c r="I4369" s="116" t="n">
        <v>40863</v>
      </c>
    </row>
    <row r="4370">
      <c r="A4370" s="117" t="inlineStr">
        <is>
          <t>576867</t>
        </is>
      </c>
      <c r="B4370" s="117" t="n">
        <v>13012</v>
      </c>
      <c r="C4370" s="117" t="inlineStr">
        <is>
          <t>United Kingdom</t>
        </is>
      </c>
      <c r="D4370" s="117" t="inlineStr">
        <is>
          <t>47566</t>
        </is>
      </c>
      <c r="E4370" s="117" t="inlineStr">
        <is>
          <t>PARTY BUNTING</t>
        </is>
      </c>
      <c r="F4370" s="117" t="n">
        <v>4</v>
      </c>
      <c r="G4370" s="118" t="n">
        <v>4.95</v>
      </c>
      <c r="H4370" s="118" t="n">
        <v>19.8</v>
      </c>
      <c r="I4370" s="119" t="n">
        <v>40863</v>
      </c>
    </row>
    <row r="4371">
      <c r="A4371" s="114" t="inlineStr">
        <is>
          <t>576876</t>
        </is>
      </c>
      <c r="B4371" s="114" t="n">
        <v>16804</v>
      </c>
      <c r="C4371" s="114" t="inlineStr">
        <is>
          <t>United Kingdom</t>
        </is>
      </c>
      <c r="D4371" s="114" t="inlineStr">
        <is>
          <t>23321</t>
        </is>
      </c>
      <c r="E4371" s="114" t="inlineStr">
        <is>
          <t>SMALL WHITE HEART OF WICKER</t>
        </is>
      </c>
      <c r="F4371" s="114" t="n">
        <v>2</v>
      </c>
      <c r="G4371" s="115" t="n">
        <v>1.65</v>
      </c>
      <c r="H4371" s="115" t="n">
        <v>3.3</v>
      </c>
      <c r="I4371" s="116" t="n">
        <v>40863</v>
      </c>
    </row>
    <row r="4372">
      <c r="A4372" s="117" t="inlineStr">
        <is>
          <t>576879</t>
        </is>
      </c>
      <c r="B4372" s="117" t="n">
        <v>18006</v>
      </c>
      <c r="C4372" s="117" t="inlineStr">
        <is>
          <t>United Kingdom</t>
        </is>
      </c>
      <c r="D4372" s="117" t="inlineStr">
        <is>
          <t>23016</t>
        </is>
      </c>
      <c r="E4372" s="117" t="inlineStr">
        <is>
          <t>GLASS TWIST BON BON JAR</t>
        </is>
      </c>
      <c r="F4372" s="117" t="n">
        <v>3</v>
      </c>
      <c r="G4372" s="118" t="n">
        <v>7.85</v>
      </c>
      <c r="H4372" s="118" t="n">
        <v>23.55</v>
      </c>
      <c r="I4372" s="119" t="n">
        <v>40863</v>
      </c>
    </row>
    <row r="4373">
      <c r="A4373" s="114" t="inlineStr">
        <is>
          <t>576880</t>
        </is>
      </c>
      <c r="B4373" s="114" t="n">
        <v>14911</v>
      </c>
      <c r="C4373" s="114" t="inlineStr">
        <is>
          <t>EIRE</t>
        </is>
      </c>
      <c r="D4373" s="114" t="inlineStr">
        <is>
          <t>22551</t>
        </is>
      </c>
      <c r="E4373" s="114" t="inlineStr">
        <is>
          <t>PLASTERS IN TIN SPACEBOY</t>
        </is>
      </c>
      <c r="F4373" s="114" t="n">
        <v>12</v>
      </c>
      <c r="G4373" s="115" t="n">
        <v>1.65</v>
      </c>
      <c r="H4373" s="115" t="n">
        <v>19.8</v>
      </c>
      <c r="I4373" s="116" t="n">
        <v>40863</v>
      </c>
    </row>
    <row r="4374">
      <c r="A4374" s="117" t="inlineStr">
        <is>
          <t>576880</t>
        </is>
      </c>
      <c r="B4374" s="117" t="n">
        <v>14911</v>
      </c>
      <c r="C4374" s="117" t="inlineStr">
        <is>
          <t>EIRE</t>
        </is>
      </c>
      <c r="D4374" s="117" t="inlineStr">
        <is>
          <t>22553</t>
        </is>
      </c>
      <c r="E4374" s="117" t="inlineStr">
        <is>
          <t>PLASTERS IN TIN SKULLS</t>
        </is>
      </c>
      <c r="F4374" s="117" t="n">
        <v>12</v>
      </c>
      <c r="G4374" s="118" t="n">
        <v>1.65</v>
      </c>
      <c r="H4374" s="118" t="n">
        <v>19.8</v>
      </c>
      <c r="I4374" s="119" t="n">
        <v>40863</v>
      </c>
    </row>
    <row r="4375">
      <c r="A4375" s="114" t="inlineStr">
        <is>
          <t>576894</t>
        </is>
      </c>
      <c r="B4375" s="114" t="n">
        <v>12681</v>
      </c>
      <c r="C4375" s="114" t="inlineStr">
        <is>
          <t>France</t>
        </is>
      </c>
      <c r="D4375" s="114" t="inlineStr">
        <is>
          <t>22752</t>
        </is>
      </c>
      <c r="E4375" s="114" t="inlineStr">
        <is>
          <t>SET 7 BABUSHKA NESTING BOXES</t>
        </is>
      </c>
      <c r="F4375" s="114" t="n">
        <v>6</v>
      </c>
      <c r="G4375" s="115" t="n">
        <v>8.5</v>
      </c>
      <c r="H4375" s="115" t="n">
        <v>51</v>
      </c>
      <c r="I4375" s="116" t="n">
        <v>40864</v>
      </c>
    </row>
    <row r="4376">
      <c r="A4376" s="117" t="inlineStr">
        <is>
          <t>576897</t>
        </is>
      </c>
      <c r="B4376" s="117" t="n">
        <v>17828</v>
      </c>
      <c r="C4376" s="117" t="inlineStr">
        <is>
          <t>Malta</t>
        </is>
      </c>
      <c r="D4376" s="117" t="inlineStr">
        <is>
          <t>22307</t>
        </is>
      </c>
      <c r="E4376" s="117" t="inlineStr">
        <is>
          <t>GOLD MUG BONE CHINA TREE OF LIFE</t>
        </is>
      </c>
      <c r="F4376" s="117" t="n">
        <v>24</v>
      </c>
      <c r="G4376" s="118" t="n">
        <v>1.06</v>
      </c>
      <c r="H4376" s="118" t="n">
        <v>25.44</v>
      </c>
      <c r="I4376" s="119" t="n">
        <v>40864</v>
      </c>
    </row>
    <row r="4377">
      <c r="A4377" s="114" t="inlineStr">
        <is>
          <t>576905</t>
        </is>
      </c>
      <c r="B4377" s="114" t="n">
        <v>13308</v>
      </c>
      <c r="C4377" s="114" t="inlineStr">
        <is>
          <t>United Kingdom</t>
        </is>
      </c>
      <c r="D4377" s="114" t="inlineStr">
        <is>
          <t>21889</t>
        </is>
      </c>
      <c r="E4377" s="114" t="inlineStr">
        <is>
          <t>WOODEN BOX OF DOMINOES</t>
        </is>
      </c>
      <c r="F4377" s="114" t="n">
        <v>12</v>
      </c>
      <c r="G4377" s="115" t="n">
        <v>1.25</v>
      </c>
      <c r="H4377" s="115" t="n">
        <v>15</v>
      </c>
      <c r="I4377" s="116" t="n">
        <v>40864</v>
      </c>
    </row>
    <row r="4378">
      <c r="A4378" s="117" t="inlineStr">
        <is>
          <t>576906</t>
        </is>
      </c>
      <c r="B4378" s="117" t="n">
        <v>18225</v>
      </c>
      <c r="C4378" s="117" t="inlineStr">
        <is>
          <t>United Kingdom</t>
        </is>
      </c>
      <c r="D4378" s="117" t="inlineStr">
        <is>
          <t>22043</t>
        </is>
      </c>
      <c r="E4378" s="117" t="inlineStr">
        <is>
          <t xml:space="preserve">CHRISTMAS CARD SCREEN PRINT </t>
        </is>
      </c>
      <c r="F4378" s="117" t="n">
        <v>24</v>
      </c>
      <c r="G4378" s="118" t="n">
        <v>0.19</v>
      </c>
      <c r="H4378" s="118" t="n">
        <v>4.56</v>
      </c>
      <c r="I4378" s="119" t="n">
        <v>40864</v>
      </c>
    </row>
    <row r="4379">
      <c r="A4379" s="114" t="inlineStr">
        <is>
          <t>576909</t>
        </is>
      </c>
      <c r="B4379" s="114" t="n">
        <v>12471</v>
      </c>
      <c r="C4379" s="114" t="inlineStr">
        <is>
          <t>Germany</t>
        </is>
      </c>
      <c r="D4379" s="114" t="inlineStr">
        <is>
          <t>23101</t>
        </is>
      </c>
      <c r="E4379" s="114" t="inlineStr">
        <is>
          <t>SILVER STARS TABLE DECORATION</t>
        </is>
      </c>
      <c r="F4379" s="114" t="n">
        <v>12</v>
      </c>
      <c r="G4379" s="115" t="n">
        <v>0.83</v>
      </c>
      <c r="H4379" s="115" t="n">
        <v>9.960000000000001</v>
      </c>
      <c r="I4379" s="116" t="n">
        <v>40864</v>
      </c>
    </row>
    <row r="4380">
      <c r="A4380" s="117" t="inlineStr">
        <is>
          <t>576912</t>
        </is>
      </c>
      <c r="B4380" s="117" t="n">
        <v>13756</v>
      </c>
      <c r="C4380" s="117" t="inlineStr">
        <is>
          <t>United Kingdom</t>
        </is>
      </c>
      <c r="D4380" s="117" t="inlineStr">
        <is>
          <t>21314</t>
        </is>
      </c>
      <c r="E4380" s="117" t="inlineStr">
        <is>
          <t>SMALL GLASS HEART TRINKET POT</t>
        </is>
      </c>
      <c r="F4380" s="117" t="n">
        <v>48</v>
      </c>
      <c r="G4380" s="118" t="n">
        <v>1.85</v>
      </c>
      <c r="H4380" s="118" t="n">
        <v>88.8</v>
      </c>
      <c r="I4380" s="119" t="n">
        <v>40864</v>
      </c>
    </row>
    <row r="4381">
      <c r="A4381" s="114" t="inlineStr">
        <is>
          <t>576927</t>
        </is>
      </c>
      <c r="B4381" s="114" t="n">
        <v>12567</v>
      </c>
      <c r="C4381" s="114" t="inlineStr">
        <is>
          <t>France</t>
        </is>
      </c>
      <c r="D4381" s="114" t="inlineStr">
        <is>
          <t>21558</t>
        </is>
      </c>
      <c r="E4381" s="114" t="inlineStr">
        <is>
          <t xml:space="preserve">SKULL LUNCH BOX WITH CUTLERY </t>
        </is>
      </c>
      <c r="F4381" s="114" t="n">
        <v>6</v>
      </c>
      <c r="G4381" s="115" t="n">
        <v>2.55</v>
      </c>
      <c r="H4381" s="115" t="n">
        <v>15.3</v>
      </c>
      <c r="I4381" s="116" t="n">
        <v>40864</v>
      </c>
    </row>
    <row r="4382">
      <c r="A4382" s="117" t="inlineStr">
        <is>
          <t>576932</t>
        </is>
      </c>
      <c r="B4382" s="117" t="n">
        <v>15443</v>
      </c>
      <c r="C4382" s="117" t="inlineStr">
        <is>
          <t>United Kingdom</t>
        </is>
      </c>
      <c r="D4382" s="117" t="inlineStr">
        <is>
          <t>23351</t>
        </is>
      </c>
      <c r="E4382" s="117" t="inlineStr">
        <is>
          <t>ROLL WRAP 50'S CHRISTMAS</t>
        </is>
      </c>
      <c r="F4382" s="117" t="n">
        <v>4</v>
      </c>
      <c r="G4382" s="118" t="n">
        <v>1.25</v>
      </c>
      <c r="H4382" s="118" t="n">
        <v>5</v>
      </c>
      <c r="I4382" s="119" t="n">
        <v>40864</v>
      </c>
    </row>
    <row r="4383">
      <c r="A4383" s="114" t="inlineStr">
        <is>
          <t>576932</t>
        </is>
      </c>
      <c r="B4383" s="114" t="n">
        <v>15443</v>
      </c>
      <c r="C4383" s="114" t="inlineStr">
        <is>
          <t>United Kingdom</t>
        </is>
      </c>
      <c r="D4383" s="114" t="inlineStr">
        <is>
          <t>84375</t>
        </is>
      </c>
      <c r="E4383" s="114" t="inlineStr">
        <is>
          <t>SET OF 20 KIDS COOKIE CUTTERS</t>
        </is>
      </c>
      <c r="F4383" s="114" t="n">
        <v>2</v>
      </c>
      <c r="G4383" s="115" t="n">
        <v>2.1</v>
      </c>
      <c r="H4383" s="115" t="n">
        <v>4.2</v>
      </c>
      <c r="I4383" s="116" t="n">
        <v>40864</v>
      </c>
    </row>
    <row r="4384">
      <c r="A4384" s="117" t="inlineStr">
        <is>
          <t>577009</t>
        </is>
      </c>
      <c r="B4384" s="117" t="n">
        <v>12749</v>
      </c>
      <c r="C4384" s="117" t="inlineStr">
        <is>
          <t>United Kingdom</t>
        </is>
      </c>
      <c r="D4384" s="117" t="inlineStr">
        <is>
          <t>23460</t>
        </is>
      </c>
      <c r="E4384" s="117" t="inlineStr">
        <is>
          <t xml:space="preserve">SWEETHEART WALL TIDY </t>
        </is>
      </c>
      <c r="F4384" s="117" t="n">
        <v>2</v>
      </c>
      <c r="G4384" s="118" t="n">
        <v>9.949999999999999</v>
      </c>
      <c r="H4384" s="118" t="n">
        <v>19.9</v>
      </c>
      <c r="I4384" s="119" t="n">
        <v>40864</v>
      </c>
    </row>
    <row r="4385">
      <c r="A4385" s="114" t="inlineStr">
        <is>
          <t>577010</t>
        </is>
      </c>
      <c r="B4385" s="114" t="n">
        <v>15506</v>
      </c>
      <c r="C4385" s="114" t="inlineStr">
        <is>
          <t>United Kingdom</t>
        </is>
      </c>
      <c r="D4385" s="114" t="inlineStr">
        <is>
          <t>22983</t>
        </is>
      </c>
      <c r="E4385" s="114" t="inlineStr">
        <is>
          <t>CARD BILLBOARD FONT</t>
        </is>
      </c>
      <c r="F4385" s="114" t="n">
        <v>12</v>
      </c>
      <c r="G4385" s="115" t="n">
        <v>0.42</v>
      </c>
      <c r="H4385" s="115" t="n">
        <v>5.04</v>
      </c>
      <c r="I4385" s="116" t="n">
        <v>40864</v>
      </c>
    </row>
    <row r="4386">
      <c r="A4386" s="117" t="inlineStr">
        <is>
          <t>577027</t>
        </is>
      </c>
      <c r="B4386" s="117" t="n">
        <v>12647</v>
      </c>
      <c r="C4386" s="117" t="inlineStr">
        <is>
          <t>Germany</t>
        </is>
      </c>
      <c r="D4386" s="117" t="inlineStr">
        <is>
          <t>POST</t>
        </is>
      </c>
      <c r="E4386" s="117" t="inlineStr">
        <is>
          <t>POSTAGE</t>
        </is>
      </c>
      <c r="F4386" s="117" t="n">
        <v>5</v>
      </c>
      <c r="G4386" s="118" t="n">
        <v>18</v>
      </c>
      <c r="H4386" s="118" t="n">
        <v>90</v>
      </c>
      <c r="I4386" s="119" t="n">
        <v>40864</v>
      </c>
    </row>
    <row r="4387">
      <c r="A4387" s="114" t="inlineStr">
        <is>
          <t>577030</t>
        </is>
      </c>
      <c r="B4387" s="114" t="n">
        <v>14060</v>
      </c>
      <c r="C4387" s="114" t="inlineStr">
        <is>
          <t>United Kingdom</t>
        </is>
      </c>
      <c r="D4387" s="114" t="inlineStr">
        <is>
          <t>21506</t>
        </is>
      </c>
      <c r="E4387" s="114" t="inlineStr">
        <is>
          <t xml:space="preserve">FANCY FONT BIRTHDAY CARD, </t>
        </is>
      </c>
      <c r="F4387" s="114" t="n">
        <v>12</v>
      </c>
      <c r="G4387" s="115" t="n">
        <v>0.42</v>
      </c>
      <c r="H4387" s="115" t="n">
        <v>5.04</v>
      </c>
      <c r="I4387" s="116" t="n">
        <v>40864</v>
      </c>
    </row>
    <row r="4388">
      <c r="A4388" s="117" t="inlineStr">
        <is>
          <t>577029</t>
        </is>
      </c>
      <c r="B4388" s="117" t="n">
        <v>15563</v>
      </c>
      <c r="C4388" s="117" t="inlineStr">
        <is>
          <t>United Kingdom</t>
        </is>
      </c>
      <c r="D4388" s="117" t="inlineStr">
        <is>
          <t>47591D</t>
        </is>
      </c>
      <c r="E4388" s="117" t="inlineStr">
        <is>
          <t>PINK FAIRY CAKE CHILDRENS APRON</t>
        </is>
      </c>
      <c r="F4388" s="117" t="n">
        <v>2</v>
      </c>
      <c r="G4388" s="118" t="n">
        <v>1.95</v>
      </c>
      <c r="H4388" s="118" t="n">
        <v>3.9</v>
      </c>
      <c r="I4388" s="119" t="n">
        <v>40864</v>
      </c>
    </row>
    <row r="4389">
      <c r="A4389" s="114" t="inlineStr">
        <is>
          <t>577034</t>
        </is>
      </c>
      <c r="B4389" s="114" t="n">
        <v>12847</v>
      </c>
      <c r="C4389" s="114" t="inlineStr">
        <is>
          <t>United Kingdom</t>
        </is>
      </c>
      <c r="D4389" s="114" t="inlineStr">
        <is>
          <t>23275</t>
        </is>
      </c>
      <c r="E4389" s="114" t="inlineStr">
        <is>
          <t>SET OF 3 HANGING OWLS OLLIE BEAK</t>
        </is>
      </c>
      <c r="F4389" s="114" t="n">
        <v>1</v>
      </c>
      <c r="G4389" s="115" t="n">
        <v>1.25</v>
      </c>
      <c r="H4389" s="115" t="n">
        <v>1.25</v>
      </c>
      <c r="I4389" s="116" t="n">
        <v>40864</v>
      </c>
    </row>
    <row r="4390">
      <c r="A4390" s="117" t="inlineStr">
        <is>
          <t>577034</t>
        </is>
      </c>
      <c r="B4390" s="117" t="n">
        <v>12847</v>
      </c>
      <c r="C4390" s="117" t="inlineStr">
        <is>
          <t>United Kingdom</t>
        </is>
      </c>
      <c r="D4390" s="117" t="inlineStr">
        <is>
          <t>20963</t>
        </is>
      </c>
      <c r="E4390" s="117" t="inlineStr">
        <is>
          <t>APPLE BATH SPONGE</t>
        </is>
      </c>
      <c r="F4390" s="117" t="n">
        <v>20</v>
      </c>
      <c r="G4390" s="118" t="n">
        <v>1.25</v>
      </c>
      <c r="H4390" s="118" t="n">
        <v>25</v>
      </c>
      <c r="I4390" s="119" t="n">
        <v>40864</v>
      </c>
    </row>
    <row r="4391">
      <c r="A4391" s="114" t="inlineStr">
        <is>
          <t>577052</t>
        </is>
      </c>
      <c r="B4391" s="114" t="n">
        <v>17397</v>
      </c>
      <c r="C4391" s="114" t="inlineStr">
        <is>
          <t>United Kingdom</t>
        </is>
      </c>
      <c r="D4391" s="114" t="inlineStr">
        <is>
          <t>22536</t>
        </is>
      </c>
      <c r="E4391" s="114" t="inlineStr">
        <is>
          <t>MAGIC DRAWING SLATE PURDEY</t>
        </is>
      </c>
      <c r="F4391" s="114" t="n">
        <v>1</v>
      </c>
      <c r="G4391" s="115" t="n">
        <v>0.42</v>
      </c>
      <c r="H4391" s="115" t="n">
        <v>0.42</v>
      </c>
      <c r="I4391" s="116" t="n">
        <v>40864</v>
      </c>
    </row>
    <row r="4392">
      <c r="A4392" s="117" t="inlineStr">
        <is>
          <t>577054</t>
        </is>
      </c>
      <c r="B4392" s="117" t="n">
        <v>13815</v>
      </c>
      <c r="C4392" s="117" t="inlineStr">
        <is>
          <t>Germany</t>
        </is>
      </c>
      <c r="D4392" s="117" t="inlineStr">
        <is>
          <t>21212</t>
        </is>
      </c>
      <c r="E4392" s="117" t="inlineStr">
        <is>
          <t>PACK OF 72 RETROSPOT CAKE CASES</t>
        </is>
      </c>
      <c r="F4392" s="117" t="n">
        <v>24</v>
      </c>
      <c r="G4392" s="118" t="n">
        <v>0.55</v>
      </c>
      <c r="H4392" s="118" t="n">
        <v>13.2</v>
      </c>
      <c r="I4392" s="119" t="n">
        <v>40864</v>
      </c>
    </row>
    <row r="4393">
      <c r="A4393" s="114" t="inlineStr">
        <is>
          <t>577056</t>
        </is>
      </c>
      <c r="B4393" s="114" t="n">
        <v>17985</v>
      </c>
      <c r="C4393" s="114" t="inlineStr">
        <is>
          <t>United Kingdom</t>
        </is>
      </c>
      <c r="D4393" s="114" t="inlineStr">
        <is>
          <t>90160D</t>
        </is>
      </c>
      <c r="E4393" s="114" t="inlineStr">
        <is>
          <t>PINK BOUDICCA LARGE BRACELET</t>
        </is>
      </c>
      <c r="F4393" s="114" t="n">
        <v>10</v>
      </c>
      <c r="G4393" s="115" t="n">
        <v>6.95</v>
      </c>
      <c r="H4393" s="115" t="n">
        <v>69.5</v>
      </c>
      <c r="I4393" s="116" t="n">
        <v>40864</v>
      </c>
    </row>
    <row r="4394">
      <c r="A4394" s="117" t="inlineStr">
        <is>
          <t>577057</t>
        </is>
      </c>
      <c r="B4394" s="117" t="n">
        <v>12748</v>
      </c>
      <c r="C4394" s="117" t="inlineStr">
        <is>
          <t>United Kingdom</t>
        </is>
      </c>
      <c r="D4394" s="117" t="inlineStr">
        <is>
          <t>23344</t>
        </is>
      </c>
      <c r="E4394" s="117" t="inlineStr">
        <is>
          <t xml:space="preserve">JUMBO BAG 50'S CHRISTMAS </t>
        </is>
      </c>
      <c r="F4394" s="117" t="n">
        <v>3</v>
      </c>
      <c r="G4394" s="118" t="n">
        <v>2.08</v>
      </c>
      <c r="H4394" s="118" t="n">
        <v>6.24</v>
      </c>
      <c r="I4394" s="119" t="n">
        <v>40864</v>
      </c>
    </row>
    <row r="4395">
      <c r="A4395" s="114" t="inlineStr">
        <is>
          <t>577058</t>
        </is>
      </c>
      <c r="B4395" s="114" t="n">
        <v>18122</v>
      </c>
      <c r="C4395" s="114" t="inlineStr">
        <is>
          <t>United Kingdom</t>
        </is>
      </c>
      <c r="D4395" s="114" t="inlineStr">
        <is>
          <t>21851</t>
        </is>
      </c>
      <c r="E4395" s="114" t="inlineStr">
        <is>
          <t>LILAC DIAMANTE PEN IN GIFT BOX</t>
        </is>
      </c>
      <c r="F4395" s="114" t="n">
        <v>1</v>
      </c>
      <c r="G4395" s="115" t="n">
        <v>4.95</v>
      </c>
      <c r="H4395" s="115" t="n">
        <v>4.95</v>
      </c>
      <c r="I4395" s="116" t="n">
        <v>40864</v>
      </c>
    </row>
    <row r="4396">
      <c r="A4396" s="117" t="inlineStr">
        <is>
          <t>577077</t>
        </is>
      </c>
      <c r="B4396" s="117" t="n">
        <v>17799</v>
      </c>
      <c r="C4396" s="117" t="inlineStr">
        <is>
          <t>United Kingdom</t>
        </is>
      </c>
      <c r="D4396" s="117" t="inlineStr">
        <is>
          <t>82616B</t>
        </is>
      </c>
      <c r="E4396" s="117" t="inlineStr">
        <is>
          <t>FRAPPUCINO SCARF KNITTING KIT</t>
        </is>
      </c>
      <c r="F4396" s="117" t="n">
        <v>2</v>
      </c>
      <c r="G4396" s="118" t="n">
        <v>1.25</v>
      </c>
      <c r="H4396" s="118" t="n">
        <v>2.5</v>
      </c>
      <c r="I4396" s="119" t="n">
        <v>40864</v>
      </c>
    </row>
    <row r="4397">
      <c r="A4397" s="114" t="inlineStr">
        <is>
          <t>577077</t>
        </is>
      </c>
      <c r="B4397" s="114" t="n">
        <v>17799</v>
      </c>
      <c r="C4397" s="114" t="inlineStr">
        <is>
          <t>United Kingdom</t>
        </is>
      </c>
      <c r="D4397" s="114" t="inlineStr">
        <is>
          <t>21828</t>
        </is>
      </c>
      <c r="E4397" s="114" t="inlineStr">
        <is>
          <t>EIGHT PIECE SNAKE  SET</t>
        </is>
      </c>
      <c r="F4397" s="114" t="n">
        <v>5</v>
      </c>
      <c r="G4397" s="115" t="n">
        <v>1.25</v>
      </c>
      <c r="H4397" s="115" t="n">
        <v>6.25</v>
      </c>
      <c r="I4397" s="116" t="n">
        <v>40864</v>
      </c>
    </row>
    <row r="4398">
      <c r="A4398" s="117" t="inlineStr">
        <is>
          <t>577077</t>
        </is>
      </c>
      <c r="B4398" s="117" t="n">
        <v>17799</v>
      </c>
      <c r="C4398" s="117" t="inlineStr">
        <is>
          <t>United Kingdom</t>
        </is>
      </c>
      <c r="D4398" s="117" t="inlineStr">
        <is>
          <t>82616C</t>
        </is>
      </c>
      <c r="E4398" s="117" t="inlineStr">
        <is>
          <t>MIDNIGHT GLAMOUR SCARF KNITTING KIT</t>
        </is>
      </c>
      <c r="F4398" s="117" t="n">
        <v>1</v>
      </c>
      <c r="G4398" s="118" t="n">
        <v>1.25</v>
      </c>
      <c r="H4398" s="118" t="n">
        <v>1.25</v>
      </c>
      <c r="I4398" s="119" t="n">
        <v>40864</v>
      </c>
    </row>
    <row r="4399">
      <c r="A4399" s="114" t="inlineStr">
        <is>
          <t>577077</t>
        </is>
      </c>
      <c r="B4399" s="114" t="n">
        <v>17799</v>
      </c>
      <c r="C4399" s="114" t="inlineStr">
        <is>
          <t>United Kingdom</t>
        </is>
      </c>
      <c r="D4399" s="114" t="inlineStr">
        <is>
          <t>22144</t>
        </is>
      </c>
      <c r="E4399" s="114" t="inlineStr">
        <is>
          <t>CHRISTMAS CRAFT LITTLE FRIENDS</t>
        </is>
      </c>
      <c r="F4399" s="114" t="n">
        <v>4</v>
      </c>
      <c r="G4399" s="115" t="n">
        <v>2.1</v>
      </c>
      <c r="H4399" s="115" t="n">
        <v>8.4</v>
      </c>
      <c r="I4399" s="116" t="n">
        <v>40864</v>
      </c>
    </row>
    <row r="4400">
      <c r="A4400" s="117" t="inlineStr">
        <is>
          <t>577089</t>
        </is>
      </c>
      <c r="B4400" s="117" t="n">
        <v>12841</v>
      </c>
      <c r="C4400" s="117" t="inlineStr">
        <is>
          <t>United Kingdom</t>
        </is>
      </c>
      <c r="D4400" s="117" t="inlineStr">
        <is>
          <t>22087</t>
        </is>
      </c>
      <c r="E4400" s="117" t="inlineStr">
        <is>
          <t>PAPER BUNTING WHITE LACE</t>
        </is>
      </c>
      <c r="F4400" s="117" t="n">
        <v>12</v>
      </c>
      <c r="G4400" s="118" t="n">
        <v>2.95</v>
      </c>
      <c r="H4400" s="118" t="n">
        <v>35.4</v>
      </c>
      <c r="I4400" s="119" t="n">
        <v>40864</v>
      </c>
    </row>
    <row r="4401">
      <c r="A4401" s="114" t="inlineStr">
        <is>
          <t>577095</t>
        </is>
      </c>
      <c r="B4401" s="114" t="n">
        <v>15867</v>
      </c>
      <c r="C4401" s="114" t="inlineStr">
        <is>
          <t>United Kingdom</t>
        </is>
      </c>
      <c r="D4401" s="114" t="inlineStr">
        <is>
          <t>22973</t>
        </is>
      </c>
      <c r="E4401" s="114" t="inlineStr">
        <is>
          <t>CHILDREN'S CIRCUS PARADE MUG</t>
        </is>
      </c>
      <c r="F4401" s="114" t="n">
        <v>6</v>
      </c>
      <c r="G4401" s="115" t="n">
        <v>1.65</v>
      </c>
      <c r="H4401" s="115" t="n">
        <v>9.9</v>
      </c>
      <c r="I4401" s="116" t="n">
        <v>40864</v>
      </c>
    </row>
    <row r="4402">
      <c r="A4402" s="117" t="inlineStr">
        <is>
          <t>577094</t>
        </is>
      </c>
      <c r="B4402" s="117" t="n">
        <v>15435</v>
      </c>
      <c r="C4402" s="117" t="inlineStr">
        <is>
          <t>United Kingdom</t>
        </is>
      </c>
      <c r="D4402" s="117" t="inlineStr">
        <is>
          <t>23392</t>
        </is>
      </c>
      <c r="E4402" s="117" t="inlineStr">
        <is>
          <t>SPACEBOY ROCKET LOLLY MAKERS</t>
        </is>
      </c>
      <c r="F4402" s="117" t="n">
        <v>2</v>
      </c>
      <c r="G4402" s="118" t="n">
        <v>2.08</v>
      </c>
      <c r="H4402" s="118" t="n">
        <v>4.16</v>
      </c>
      <c r="I4402" s="119" t="n">
        <v>40864</v>
      </c>
    </row>
    <row r="4403">
      <c r="A4403" s="114" t="inlineStr">
        <is>
          <t>577106</t>
        </is>
      </c>
      <c r="B4403" s="114" t="n">
        <v>14456</v>
      </c>
      <c r="C4403" s="114" t="inlineStr">
        <is>
          <t>United Kingdom</t>
        </is>
      </c>
      <c r="D4403" s="114" t="inlineStr">
        <is>
          <t>22338</t>
        </is>
      </c>
      <c r="E4403" s="114" t="inlineStr">
        <is>
          <t xml:space="preserve">STAR DECORATION PAINTED ZINC </t>
        </is>
      </c>
      <c r="F4403" s="114" t="n">
        <v>4</v>
      </c>
      <c r="G4403" s="115" t="n">
        <v>0.19</v>
      </c>
      <c r="H4403" s="115" t="n">
        <v>0.76</v>
      </c>
      <c r="I4403" s="116" t="n">
        <v>40864</v>
      </c>
    </row>
    <row r="4404">
      <c r="A4404" s="117" t="inlineStr">
        <is>
          <t>577106</t>
        </is>
      </c>
      <c r="B4404" s="117" t="n">
        <v>14456</v>
      </c>
      <c r="C4404" s="117" t="inlineStr">
        <is>
          <t>United Kingdom</t>
        </is>
      </c>
      <c r="D4404" s="117" t="inlineStr">
        <is>
          <t>22539</t>
        </is>
      </c>
      <c r="E4404" s="117" t="inlineStr">
        <is>
          <t>MINI JIGSAW DOLLY GIRL</t>
        </is>
      </c>
      <c r="F4404" s="117" t="n">
        <v>1</v>
      </c>
      <c r="G4404" s="118" t="n">
        <v>0.42</v>
      </c>
      <c r="H4404" s="118" t="n">
        <v>0.42</v>
      </c>
      <c r="I4404" s="119" t="n">
        <v>40864</v>
      </c>
    </row>
    <row r="4405">
      <c r="A4405" s="114" t="inlineStr">
        <is>
          <t>577106</t>
        </is>
      </c>
      <c r="B4405" s="114" t="n">
        <v>14456</v>
      </c>
      <c r="C4405" s="114" t="inlineStr">
        <is>
          <t>United Kingdom</t>
        </is>
      </c>
      <c r="D4405" s="114" t="inlineStr">
        <is>
          <t>22755</t>
        </is>
      </c>
      <c r="E4405" s="114" t="inlineStr">
        <is>
          <t xml:space="preserve">SMALL PURPLE BABUSHKA NOTEBOOK </t>
        </is>
      </c>
      <c r="F4405" s="114" t="n">
        <v>1</v>
      </c>
      <c r="G4405" s="115" t="n">
        <v>0.85</v>
      </c>
      <c r="H4405" s="115" t="n">
        <v>0.85</v>
      </c>
      <c r="I4405" s="116" t="n">
        <v>40864</v>
      </c>
    </row>
    <row r="4406">
      <c r="A4406" s="117" t="inlineStr">
        <is>
          <t>577109</t>
        </is>
      </c>
      <c r="B4406" s="117" t="n">
        <v>16042</v>
      </c>
      <c r="C4406" s="117" t="inlineStr">
        <is>
          <t>United Kingdom</t>
        </is>
      </c>
      <c r="D4406" s="117" t="inlineStr">
        <is>
          <t>22727</t>
        </is>
      </c>
      <c r="E4406" s="117" t="inlineStr">
        <is>
          <t xml:space="preserve">ALARM CLOCK BAKELIKE RED </t>
        </is>
      </c>
      <c r="F4406" s="117" t="n">
        <v>4</v>
      </c>
      <c r="G4406" s="118" t="n">
        <v>3.75</v>
      </c>
      <c r="H4406" s="118" t="n">
        <v>15</v>
      </c>
      <c r="I4406" s="119" t="n">
        <v>40864</v>
      </c>
    </row>
    <row r="4407">
      <c r="A4407" s="114" t="inlineStr">
        <is>
          <t>577127</t>
        </is>
      </c>
      <c r="B4407" s="114" t="n">
        <v>16871</v>
      </c>
      <c r="C4407" s="114" t="inlineStr">
        <is>
          <t>United Kingdom</t>
        </is>
      </c>
      <c r="D4407" s="114" t="inlineStr">
        <is>
          <t>22591</t>
        </is>
      </c>
      <c r="E4407" s="114" t="inlineStr">
        <is>
          <t>CARDHOLDER GINGHAM CHRISTMAS TREE</t>
        </is>
      </c>
      <c r="F4407" s="114" t="n">
        <v>6</v>
      </c>
      <c r="G4407" s="115" t="n">
        <v>3.25</v>
      </c>
      <c r="H4407" s="115" t="n">
        <v>19.5</v>
      </c>
      <c r="I4407" s="116" t="n">
        <v>40864</v>
      </c>
    </row>
    <row r="4408">
      <c r="A4408" s="117" t="inlineStr">
        <is>
          <t>577158</t>
        </is>
      </c>
      <c r="B4408" s="117" t="n">
        <v>16293</v>
      </c>
      <c r="C4408" s="117" t="inlineStr">
        <is>
          <t>United Kingdom</t>
        </is>
      </c>
      <c r="D4408" s="117" t="inlineStr">
        <is>
          <t>23298</t>
        </is>
      </c>
      <c r="E4408" s="117" t="inlineStr">
        <is>
          <t>SPOTTY BUNTING</t>
        </is>
      </c>
      <c r="F4408" s="117" t="n">
        <v>3</v>
      </c>
      <c r="G4408" s="118" t="n">
        <v>4.95</v>
      </c>
      <c r="H4408" s="118" t="n">
        <v>14.85</v>
      </c>
      <c r="I4408" s="119" t="n">
        <v>40865</v>
      </c>
    </row>
    <row r="4409">
      <c r="A4409" s="114" t="inlineStr">
        <is>
          <t>577160</t>
        </is>
      </c>
      <c r="B4409" s="114" t="n">
        <v>16134</v>
      </c>
      <c r="C4409" s="114" t="inlineStr">
        <is>
          <t>United Kingdom</t>
        </is>
      </c>
      <c r="D4409" s="114" t="inlineStr">
        <is>
          <t>82583</t>
        </is>
      </c>
      <c r="E4409" s="114" t="inlineStr">
        <is>
          <t>HOT BATHS METAL SIGN</t>
        </is>
      </c>
      <c r="F4409" s="114" t="n">
        <v>12</v>
      </c>
      <c r="G4409" s="115" t="n">
        <v>2.1</v>
      </c>
      <c r="H4409" s="115" t="n">
        <v>25.2</v>
      </c>
      <c r="I4409" s="116" t="n">
        <v>40865</v>
      </c>
    </row>
    <row r="4410">
      <c r="A4410" s="117" t="inlineStr">
        <is>
          <t>577171</t>
        </is>
      </c>
      <c r="B4410" s="117" t="n">
        <v>17159</v>
      </c>
      <c r="C4410" s="117" t="inlineStr">
        <is>
          <t>United Kingdom</t>
        </is>
      </c>
      <c r="D4410" s="117" t="inlineStr">
        <is>
          <t>84912B</t>
        </is>
      </c>
      <c r="E4410" s="117" t="inlineStr">
        <is>
          <t>GREEN ROSE WASHBAG</t>
        </is>
      </c>
      <c r="F4410" s="117" t="n">
        <v>4</v>
      </c>
      <c r="G4410" s="118" t="n">
        <v>3.75</v>
      </c>
      <c r="H4410" s="118" t="n">
        <v>15</v>
      </c>
      <c r="I4410" s="119" t="n">
        <v>40865</v>
      </c>
    </row>
    <row r="4411">
      <c r="A4411" s="114" t="inlineStr">
        <is>
          <t>577217</t>
        </is>
      </c>
      <c r="B4411" s="114" t="n">
        <v>17324</v>
      </c>
      <c r="C4411" s="114" t="inlineStr">
        <is>
          <t>United Kingdom</t>
        </is>
      </c>
      <c r="D4411" s="114" t="inlineStr">
        <is>
          <t>35970</t>
        </is>
      </c>
      <c r="E4411" s="114" t="inlineStr">
        <is>
          <t>ZINC FOLKART SLEIGH BELLS</t>
        </is>
      </c>
      <c r="F4411" s="114" t="n">
        <v>1</v>
      </c>
      <c r="G4411" s="115" t="n">
        <v>1.69</v>
      </c>
      <c r="H4411" s="115" t="n">
        <v>1.69</v>
      </c>
      <c r="I4411" s="116" t="n">
        <v>40865</v>
      </c>
    </row>
    <row r="4412">
      <c r="A4412" s="117" t="inlineStr">
        <is>
          <t>577218</t>
        </is>
      </c>
      <c r="B4412" s="117" t="n">
        <v>13117</v>
      </c>
      <c r="C4412" s="117" t="inlineStr">
        <is>
          <t>United Kingdom</t>
        </is>
      </c>
      <c r="D4412" s="117" t="inlineStr">
        <is>
          <t>23058</t>
        </is>
      </c>
      <c r="E4412" s="117" t="inlineStr">
        <is>
          <t>CHRISTMAS HANGING SNOWFLAKE</t>
        </is>
      </c>
      <c r="F4412" s="117" t="n">
        <v>12</v>
      </c>
      <c r="G4412" s="118" t="n">
        <v>0.79</v>
      </c>
      <c r="H4412" s="118" t="n">
        <v>9.48</v>
      </c>
      <c r="I4412" s="119" t="n">
        <v>40865</v>
      </c>
    </row>
    <row r="4413">
      <c r="A4413" s="114" t="inlineStr">
        <is>
          <t>577218</t>
        </is>
      </c>
      <c r="B4413" s="114" t="n">
        <v>13117</v>
      </c>
      <c r="C4413" s="114" t="inlineStr">
        <is>
          <t>United Kingdom</t>
        </is>
      </c>
      <c r="D4413" s="114" t="inlineStr">
        <is>
          <t>22578</t>
        </is>
      </c>
      <c r="E4413" s="114" t="inlineStr">
        <is>
          <t>WOODEN STAR CHRISTMAS SCANDINAVIAN</t>
        </is>
      </c>
      <c r="F4413" s="114" t="n">
        <v>24</v>
      </c>
      <c r="G4413" s="115" t="n">
        <v>0.29</v>
      </c>
      <c r="H4413" s="115" t="n">
        <v>6.96</v>
      </c>
      <c r="I4413" s="116" t="n">
        <v>40865</v>
      </c>
    </row>
    <row r="4414">
      <c r="A4414" s="117" t="inlineStr">
        <is>
          <t>577218</t>
        </is>
      </c>
      <c r="B4414" s="117" t="n">
        <v>13117</v>
      </c>
      <c r="C4414" s="117" t="inlineStr">
        <is>
          <t>United Kingdom</t>
        </is>
      </c>
      <c r="D4414" s="117" t="inlineStr">
        <is>
          <t>20668</t>
        </is>
      </c>
      <c r="E4414" s="117" t="inlineStr">
        <is>
          <t>DISCO BALL CHRISTMAS DECORATION</t>
        </is>
      </c>
      <c r="F4414" s="117" t="n">
        <v>24</v>
      </c>
      <c r="G4414" s="118" t="n">
        <v>0.12</v>
      </c>
      <c r="H4414" s="118" t="n">
        <v>2.88</v>
      </c>
      <c r="I4414" s="119" t="n">
        <v>40865</v>
      </c>
    </row>
    <row r="4415">
      <c r="A4415" s="114" t="inlineStr">
        <is>
          <t>577258</t>
        </is>
      </c>
      <c r="B4415" s="114" t="n">
        <v>16764</v>
      </c>
      <c r="C4415" s="114" t="inlineStr">
        <is>
          <t>United Kingdom</t>
        </is>
      </c>
      <c r="D4415" s="114" t="inlineStr">
        <is>
          <t>22619</t>
        </is>
      </c>
      <c r="E4415" s="114" t="inlineStr">
        <is>
          <t>SET OF 6 SOLDIER SKITTLES</t>
        </is>
      </c>
      <c r="F4415" s="114" t="n">
        <v>1</v>
      </c>
      <c r="G4415" s="115" t="n">
        <v>3.75</v>
      </c>
      <c r="H4415" s="115" t="n">
        <v>3.75</v>
      </c>
      <c r="I4415" s="116" t="n">
        <v>40865</v>
      </c>
    </row>
    <row r="4416">
      <c r="A4416" s="117" t="inlineStr">
        <is>
          <t>577296</t>
        </is>
      </c>
      <c r="B4416" s="117" t="n">
        <v>17286</v>
      </c>
      <c r="C4416" s="117" t="inlineStr">
        <is>
          <t>United Kingdom</t>
        </is>
      </c>
      <c r="D4416" s="117" t="inlineStr">
        <is>
          <t>21993</t>
        </is>
      </c>
      <c r="E4416" s="117" t="inlineStr">
        <is>
          <t>FLORAL FOLK STATIONERY SET</t>
        </is>
      </c>
      <c r="F4416" s="117" t="n">
        <v>1</v>
      </c>
      <c r="G4416" s="118" t="n">
        <v>1.25</v>
      </c>
      <c r="H4416" s="118" t="n">
        <v>1.25</v>
      </c>
      <c r="I4416" s="119" t="n">
        <v>40865</v>
      </c>
    </row>
    <row r="4417">
      <c r="A4417" s="114" t="inlineStr">
        <is>
          <t>577302</t>
        </is>
      </c>
      <c r="B4417" s="114" t="n">
        <v>17904</v>
      </c>
      <c r="C4417" s="114" t="inlineStr">
        <is>
          <t>United Kingdom</t>
        </is>
      </c>
      <c r="D4417" s="114" t="inlineStr">
        <is>
          <t>23126</t>
        </is>
      </c>
      <c r="E4417" s="114" t="inlineStr">
        <is>
          <t>FELTCRAFT GIRL AMELIE KIT</t>
        </is>
      </c>
      <c r="F4417" s="114" t="n">
        <v>1</v>
      </c>
      <c r="G4417" s="115" t="n">
        <v>4.95</v>
      </c>
      <c r="H4417" s="115" t="n">
        <v>4.95</v>
      </c>
      <c r="I4417" s="116" t="n">
        <v>40865</v>
      </c>
    </row>
    <row r="4418">
      <c r="A4418" s="117" t="inlineStr">
        <is>
          <t>577309</t>
        </is>
      </c>
      <c r="B4418" s="117" t="n">
        <v>15933</v>
      </c>
      <c r="C4418" s="117" t="inlineStr">
        <is>
          <t>United Kingdom</t>
        </is>
      </c>
      <c r="D4418" s="117" t="inlineStr">
        <is>
          <t>22814</t>
        </is>
      </c>
      <c r="E4418" s="117" t="inlineStr">
        <is>
          <t xml:space="preserve">CARD PARTY GAMES </t>
        </is>
      </c>
      <c r="F4418" s="117" t="n">
        <v>12</v>
      </c>
      <c r="G4418" s="118" t="n">
        <v>0.42</v>
      </c>
      <c r="H4418" s="118" t="n">
        <v>5.04</v>
      </c>
      <c r="I4418" s="119" t="n">
        <v>40865</v>
      </c>
    </row>
    <row r="4419">
      <c r="A4419" s="114" t="inlineStr">
        <is>
          <t>577312</t>
        </is>
      </c>
      <c r="B4419" s="114" t="n">
        <v>17049</v>
      </c>
      <c r="C4419" s="114" t="inlineStr">
        <is>
          <t>United Kingdom</t>
        </is>
      </c>
      <c r="D4419" s="114" t="inlineStr">
        <is>
          <t>22662</t>
        </is>
      </c>
      <c r="E4419" s="114" t="inlineStr">
        <is>
          <t>LUNCH BAG DOLLY GIRL DESIGN</t>
        </is>
      </c>
      <c r="F4419" s="114" t="n">
        <v>10</v>
      </c>
      <c r="G4419" s="115" t="n">
        <v>1.65</v>
      </c>
      <c r="H4419" s="115" t="n">
        <v>16.5</v>
      </c>
      <c r="I4419" s="116" t="n">
        <v>40865</v>
      </c>
    </row>
    <row r="4420">
      <c r="A4420" s="117" t="inlineStr">
        <is>
          <t>577314</t>
        </is>
      </c>
      <c r="B4420" s="117" t="n">
        <v>12444</v>
      </c>
      <c r="C4420" s="117" t="inlineStr">
        <is>
          <t>Norway</t>
        </is>
      </c>
      <c r="D4420" s="117" t="inlineStr">
        <is>
          <t>82482</t>
        </is>
      </c>
      <c r="E4420" s="117" t="inlineStr">
        <is>
          <t>WOODEN PICTURE FRAME WHITE FINISH</t>
        </is>
      </c>
      <c r="F4420" s="117" t="n">
        <v>6</v>
      </c>
      <c r="G4420" s="118" t="n">
        <v>2.95</v>
      </c>
      <c r="H4420" s="118" t="n">
        <v>17.7</v>
      </c>
      <c r="I4420" s="119" t="n">
        <v>40865</v>
      </c>
    </row>
    <row r="4421">
      <c r="A4421" s="114" t="inlineStr">
        <is>
          <t>577317</t>
        </is>
      </c>
      <c r="B4421" s="114" t="n">
        <v>16426</v>
      </c>
      <c r="C4421" s="114" t="inlineStr">
        <is>
          <t>United Kingdom</t>
        </is>
      </c>
      <c r="D4421" s="114" t="inlineStr">
        <is>
          <t>23300</t>
        </is>
      </c>
      <c r="E4421" s="114" t="inlineStr">
        <is>
          <t xml:space="preserve">GARDENERS KNEELING PAD CUP OF TEA </t>
        </is>
      </c>
      <c r="F4421" s="114" t="n">
        <v>5</v>
      </c>
      <c r="G4421" s="115" t="n">
        <v>1.65</v>
      </c>
      <c r="H4421" s="115" t="n">
        <v>8.25</v>
      </c>
      <c r="I4421" s="116" t="n">
        <v>40865</v>
      </c>
    </row>
    <row r="4422">
      <c r="A4422" s="117" t="inlineStr">
        <is>
          <t>577319</t>
        </is>
      </c>
      <c r="B4422" s="117" t="n">
        <v>17301</v>
      </c>
      <c r="C4422" s="117" t="inlineStr">
        <is>
          <t>United Kingdom</t>
        </is>
      </c>
      <c r="D4422" s="117" t="inlineStr">
        <is>
          <t>22578</t>
        </is>
      </c>
      <c r="E4422" s="117" t="inlineStr">
        <is>
          <t>WOODEN STAR CHRISTMAS SCANDINAVIAN</t>
        </is>
      </c>
      <c r="F4422" s="117" t="n">
        <v>1</v>
      </c>
      <c r="G4422" s="118" t="n">
        <v>0.29</v>
      </c>
      <c r="H4422" s="118" t="n">
        <v>0.29</v>
      </c>
      <c r="I4422" s="119" t="n">
        <v>40865</v>
      </c>
    </row>
    <row r="4423">
      <c r="A4423" s="114" t="inlineStr">
        <is>
          <t>577331</t>
        </is>
      </c>
      <c r="B4423" s="114" t="n">
        <v>14667</v>
      </c>
      <c r="C4423" s="114" t="inlineStr">
        <is>
          <t>United Kingdom</t>
        </is>
      </c>
      <c r="D4423" s="114" t="inlineStr">
        <is>
          <t>21034</t>
        </is>
      </c>
      <c r="E4423" s="114" t="inlineStr">
        <is>
          <t>REX CASH+CARRY JUMBO SHOPPER</t>
        </is>
      </c>
      <c r="F4423" s="114" t="n">
        <v>2</v>
      </c>
      <c r="G4423" s="115" t="n">
        <v>0.95</v>
      </c>
      <c r="H4423" s="115" t="n">
        <v>1.9</v>
      </c>
      <c r="I4423" s="116" t="n">
        <v>40865</v>
      </c>
    </row>
    <row r="4424">
      <c r="A4424" s="117" t="inlineStr">
        <is>
          <t>577333</t>
        </is>
      </c>
      <c r="B4424" s="117" t="n">
        <v>14868</v>
      </c>
      <c r="C4424" s="117" t="inlineStr">
        <is>
          <t>United Kingdom</t>
        </is>
      </c>
      <c r="D4424" s="117" t="inlineStr">
        <is>
          <t>23389</t>
        </is>
      </c>
      <c r="E4424" s="117" t="inlineStr">
        <is>
          <t>SPACEBOY MINI BACKPACK</t>
        </is>
      </c>
      <c r="F4424" s="117" t="n">
        <v>4</v>
      </c>
      <c r="G4424" s="118" t="n">
        <v>4.15</v>
      </c>
      <c r="H4424" s="118" t="n">
        <v>16.6</v>
      </c>
      <c r="I4424" s="119" t="n">
        <v>40865</v>
      </c>
    </row>
    <row r="4425">
      <c r="A4425" s="114" t="inlineStr">
        <is>
          <t>577333</t>
        </is>
      </c>
      <c r="B4425" s="114" t="n">
        <v>14868</v>
      </c>
      <c r="C4425" s="114" t="inlineStr">
        <is>
          <t>United Kingdom</t>
        </is>
      </c>
      <c r="D4425" s="114" t="inlineStr">
        <is>
          <t>23083</t>
        </is>
      </c>
      <c r="E4425" s="114" t="inlineStr">
        <is>
          <t xml:space="preserve">SET 6 PAPER TABLE LANTERN STARS </t>
        </is>
      </c>
      <c r="F4425" s="114" t="n">
        <v>12</v>
      </c>
      <c r="G4425" s="115" t="n">
        <v>3.75</v>
      </c>
      <c r="H4425" s="115" t="n">
        <v>45</v>
      </c>
      <c r="I4425" s="116" t="n">
        <v>40865</v>
      </c>
    </row>
    <row r="4426">
      <c r="A4426" s="117" t="inlineStr">
        <is>
          <t>577336</t>
        </is>
      </c>
      <c r="B4426" s="117" t="n">
        <v>14793</v>
      </c>
      <c r="C4426" s="117" t="inlineStr">
        <is>
          <t>United Kingdom</t>
        </is>
      </c>
      <c r="D4426" s="117" t="inlineStr">
        <is>
          <t>23351</t>
        </is>
      </c>
      <c r="E4426" s="117" t="inlineStr">
        <is>
          <t>ROLL WRAP 50'S CHRISTMAS</t>
        </is>
      </c>
      <c r="F4426" s="117" t="n">
        <v>12</v>
      </c>
      <c r="G4426" s="118" t="n">
        <v>1.25</v>
      </c>
      <c r="H4426" s="118" t="n">
        <v>15</v>
      </c>
      <c r="I4426" s="119" t="n">
        <v>40865</v>
      </c>
    </row>
    <row r="4427">
      <c r="A4427" s="114" t="inlineStr">
        <is>
          <t>577341</t>
        </is>
      </c>
      <c r="B4427" s="114" t="n">
        <v>16279</v>
      </c>
      <c r="C4427" s="114" t="inlineStr">
        <is>
          <t>United Kingdom</t>
        </is>
      </c>
      <c r="D4427" s="114" t="inlineStr">
        <is>
          <t>22593</t>
        </is>
      </c>
      <c r="E4427" s="114" t="inlineStr">
        <is>
          <t>CHRISTMAS GINGHAM STAR</t>
        </is>
      </c>
      <c r="F4427" s="114" t="n">
        <v>12</v>
      </c>
      <c r="G4427" s="115" t="n">
        <v>0.85</v>
      </c>
      <c r="H4427" s="115" t="n">
        <v>10.2</v>
      </c>
      <c r="I4427" s="116" t="n">
        <v>40865</v>
      </c>
    </row>
    <row r="4428">
      <c r="A4428" s="117" t="inlineStr">
        <is>
          <t>577357</t>
        </is>
      </c>
      <c r="B4428" s="117" t="n">
        <v>13098</v>
      </c>
      <c r="C4428" s="117" t="inlineStr">
        <is>
          <t>United Kingdom</t>
        </is>
      </c>
      <c r="D4428" s="117" t="inlineStr">
        <is>
          <t>22423</t>
        </is>
      </c>
      <c r="E4428" s="117" t="inlineStr">
        <is>
          <t>REGENCY CAKESTAND 3 TIER</t>
        </is>
      </c>
      <c r="F4428" s="117" t="n">
        <v>16</v>
      </c>
      <c r="G4428" s="118" t="n">
        <v>10.95</v>
      </c>
      <c r="H4428" s="118" t="n">
        <v>175.2</v>
      </c>
      <c r="I4428" s="119" t="n">
        <v>40865</v>
      </c>
    </row>
    <row r="4429">
      <c r="A4429" s="114" t="inlineStr">
        <is>
          <t>577361</t>
        </is>
      </c>
      <c r="B4429" s="114" t="n">
        <v>13012</v>
      </c>
      <c r="C4429" s="114" t="inlineStr">
        <is>
          <t>United Kingdom</t>
        </is>
      </c>
      <c r="D4429" s="114" t="inlineStr">
        <is>
          <t>23137</t>
        </is>
      </c>
      <c r="E4429" s="114" t="inlineStr">
        <is>
          <t>ZINC WIRE SWEETHEART LETTER TRAY</t>
        </is>
      </c>
      <c r="F4429" s="114" t="n">
        <v>4</v>
      </c>
      <c r="G4429" s="115" t="n">
        <v>3.75</v>
      </c>
      <c r="H4429" s="115" t="n">
        <v>15</v>
      </c>
      <c r="I4429" s="116" t="n">
        <v>40865</v>
      </c>
    </row>
    <row r="4430">
      <c r="A4430" s="117" t="inlineStr">
        <is>
          <t>577365</t>
        </is>
      </c>
      <c r="B4430" s="117" t="n">
        <v>17063</v>
      </c>
      <c r="C4430" s="117" t="inlineStr">
        <is>
          <t>United Kingdom</t>
        </is>
      </c>
      <c r="D4430" s="117" t="inlineStr">
        <is>
          <t>23330</t>
        </is>
      </c>
      <c r="E4430" s="117" t="inlineStr">
        <is>
          <t>DECORATIVE WICKER HEART MEDIUM</t>
        </is>
      </c>
      <c r="F4430" s="117" t="n">
        <v>36</v>
      </c>
      <c r="G4430" s="118" t="n">
        <v>1.25</v>
      </c>
      <c r="H4430" s="118" t="n">
        <v>45</v>
      </c>
      <c r="I4430" s="119" t="n">
        <v>40865</v>
      </c>
    </row>
    <row r="4431">
      <c r="A4431" s="114" t="inlineStr">
        <is>
          <t>577393</t>
        </is>
      </c>
      <c r="B4431" s="114" t="n">
        <v>14031</v>
      </c>
      <c r="C4431" s="114" t="inlineStr">
        <is>
          <t>United Kingdom</t>
        </is>
      </c>
      <c r="D4431" s="114" t="inlineStr">
        <is>
          <t>48138</t>
        </is>
      </c>
      <c r="E4431" s="114" t="inlineStr">
        <is>
          <t>DOORMAT UNION FLAG</t>
        </is>
      </c>
      <c r="F4431" s="114" t="n">
        <v>30</v>
      </c>
      <c r="G4431" s="115" t="n">
        <v>7.08</v>
      </c>
      <c r="H4431" s="115" t="n">
        <v>212.4</v>
      </c>
      <c r="I4431" s="116" t="n">
        <v>40865</v>
      </c>
    </row>
    <row r="4432">
      <c r="A4432" s="117" t="inlineStr">
        <is>
          <t>577400</t>
        </is>
      </c>
      <c r="B4432" s="117" t="n">
        <v>16201</v>
      </c>
      <c r="C4432" s="117" t="inlineStr">
        <is>
          <t>United Kingdom</t>
        </is>
      </c>
      <c r="D4432" s="117" t="inlineStr">
        <is>
          <t>23581</t>
        </is>
      </c>
      <c r="E4432" s="117" t="inlineStr">
        <is>
          <t>JUMBO BAG PAISLEY PARK</t>
        </is>
      </c>
      <c r="F4432" s="117" t="n">
        <v>10</v>
      </c>
      <c r="G4432" s="118" t="n">
        <v>2.08</v>
      </c>
      <c r="H4432" s="118" t="n">
        <v>20.8</v>
      </c>
      <c r="I4432" s="119" t="n">
        <v>40865</v>
      </c>
    </row>
    <row r="4433">
      <c r="A4433" s="114" t="inlineStr">
        <is>
          <t>577403</t>
        </is>
      </c>
      <c r="B4433" s="114" t="n">
        <v>13988</v>
      </c>
      <c r="C4433" s="114" t="inlineStr">
        <is>
          <t>United Kingdom</t>
        </is>
      </c>
      <c r="D4433" s="114" t="inlineStr">
        <is>
          <t>22624</t>
        </is>
      </c>
      <c r="E4433" s="114" t="inlineStr">
        <is>
          <t>IVORY KITCHEN SCALES</t>
        </is>
      </c>
      <c r="F4433" s="114" t="n">
        <v>2</v>
      </c>
      <c r="G4433" s="115" t="n">
        <v>8.5</v>
      </c>
      <c r="H4433" s="115" t="n">
        <v>17</v>
      </c>
      <c r="I4433" s="116" t="n">
        <v>40867</v>
      </c>
    </row>
    <row r="4434">
      <c r="A4434" s="117" t="inlineStr">
        <is>
          <t>577403</t>
        </is>
      </c>
      <c r="B4434" s="117" t="n">
        <v>13988</v>
      </c>
      <c r="C4434" s="117" t="inlineStr">
        <is>
          <t>United Kingdom</t>
        </is>
      </c>
      <c r="D4434" s="117" t="inlineStr">
        <is>
          <t>23301</t>
        </is>
      </c>
      <c r="E4434" s="117" t="inlineStr">
        <is>
          <t xml:space="preserve">GARDENERS KNEELING PAD KEEP CALM </t>
        </is>
      </c>
      <c r="F4434" s="117" t="n">
        <v>12</v>
      </c>
      <c r="G4434" s="118" t="n">
        <v>1.65</v>
      </c>
      <c r="H4434" s="118" t="n">
        <v>19.8</v>
      </c>
      <c r="I4434" s="119" t="n">
        <v>40867</v>
      </c>
    </row>
    <row r="4435">
      <c r="A4435" s="114" t="inlineStr">
        <is>
          <t>577411</t>
        </is>
      </c>
      <c r="B4435" s="114" t="n">
        <v>17387</v>
      </c>
      <c r="C4435" s="114" t="inlineStr">
        <is>
          <t>United Kingdom</t>
        </is>
      </c>
      <c r="D4435" s="114" t="inlineStr">
        <is>
          <t>23367</t>
        </is>
      </c>
      <c r="E4435" s="114" t="inlineStr">
        <is>
          <t xml:space="preserve">SET 12 COLOUR PENCILS SPACEBOY </t>
        </is>
      </c>
      <c r="F4435" s="114" t="n">
        <v>2</v>
      </c>
      <c r="G4435" s="115" t="n">
        <v>0.65</v>
      </c>
      <c r="H4435" s="115" t="n">
        <v>1.3</v>
      </c>
      <c r="I4435" s="116" t="n">
        <v>40867</v>
      </c>
    </row>
    <row r="4436">
      <c r="A4436" s="117" t="inlineStr">
        <is>
          <t>577429</t>
        </is>
      </c>
      <c r="B4436" s="117" t="n">
        <v>14881</v>
      </c>
      <c r="C4436" s="117" t="inlineStr">
        <is>
          <t>United Kingdom</t>
        </is>
      </c>
      <c r="D4436" s="117" t="inlineStr">
        <is>
          <t>21287</t>
        </is>
      </c>
      <c r="E4436" s="117" t="inlineStr">
        <is>
          <t xml:space="preserve">SCENTED VELVET LOUNGE CANDLE </t>
        </is>
      </c>
      <c r="F4436" s="117" t="n">
        <v>72</v>
      </c>
      <c r="G4436" s="118" t="n">
        <v>0.38</v>
      </c>
      <c r="H4436" s="118" t="n">
        <v>27.36</v>
      </c>
      <c r="I4436" s="119" t="n">
        <v>40867</v>
      </c>
    </row>
    <row r="4437">
      <c r="A4437" s="114" t="inlineStr">
        <is>
          <t>577473</t>
        </is>
      </c>
      <c r="B4437" s="114" t="n">
        <v>15919</v>
      </c>
      <c r="C4437" s="114" t="inlineStr">
        <is>
          <t>United Kingdom</t>
        </is>
      </c>
      <c r="D4437" s="114" t="inlineStr">
        <is>
          <t>20763</t>
        </is>
      </c>
      <c r="E4437" s="114" t="inlineStr">
        <is>
          <t xml:space="preserve">DAISY SKETCHBOOK </t>
        </is>
      </c>
      <c r="F4437" s="114" t="n">
        <v>1</v>
      </c>
      <c r="G4437" s="115" t="n">
        <v>3.75</v>
      </c>
      <c r="H4437" s="115" t="n">
        <v>3.75</v>
      </c>
      <c r="I4437" s="116" t="n">
        <v>40867</v>
      </c>
    </row>
    <row r="4438">
      <c r="A4438" s="117" t="inlineStr">
        <is>
          <t>577472</t>
        </is>
      </c>
      <c r="B4438" s="117" t="n">
        <v>14503</v>
      </c>
      <c r="C4438" s="117" t="inlineStr">
        <is>
          <t>United Kingdom</t>
        </is>
      </c>
      <c r="D4438" s="117" t="inlineStr">
        <is>
          <t>23581</t>
        </is>
      </c>
      <c r="E4438" s="117" t="inlineStr">
        <is>
          <t>JUMBO BAG PAISLEY PARK</t>
        </is>
      </c>
      <c r="F4438" s="117" t="n">
        <v>10</v>
      </c>
      <c r="G4438" s="118" t="n">
        <v>2.08</v>
      </c>
      <c r="H4438" s="118" t="n">
        <v>20.8</v>
      </c>
      <c r="I4438" s="119" t="n">
        <v>40867</v>
      </c>
    </row>
    <row r="4439">
      <c r="A4439" s="114" t="inlineStr">
        <is>
          <t>577473</t>
        </is>
      </c>
      <c r="B4439" s="114" t="n">
        <v>15919</v>
      </c>
      <c r="C4439" s="114" t="inlineStr">
        <is>
          <t>United Kingdom</t>
        </is>
      </c>
      <c r="D4439" s="114" t="inlineStr">
        <is>
          <t>21169</t>
        </is>
      </c>
      <c r="E4439" s="114" t="inlineStr">
        <is>
          <t xml:space="preserve">YOU'RE CONFUSING ME METAL SIGN </t>
        </is>
      </c>
      <c r="F4439" s="114" t="n">
        <v>1</v>
      </c>
      <c r="G4439" s="115" t="n">
        <v>1.69</v>
      </c>
      <c r="H4439" s="115" t="n">
        <v>1.69</v>
      </c>
      <c r="I4439" s="116" t="n">
        <v>40867</v>
      </c>
    </row>
    <row r="4440">
      <c r="A4440" s="117" t="inlineStr">
        <is>
          <t>577473</t>
        </is>
      </c>
      <c r="B4440" s="117" t="n">
        <v>15919</v>
      </c>
      <c r="C4440" s="117" t="inlineStr">
        <is>
          <t>United Kingdom</t>
        </is>
      </c>
      <c r="D4440" s="117" t="inlineStr">
        <is>
          <t>23346</t>
        </is>
      </c>
      <c r="E4440" s="117" t="inlineStr">
        <is>
          <t>SPACEBOY BEAKER</t>
        </is>
      </c>
      <c r="F4440" s="117" t="n">
        <v>1</v>
      </c>
      <c r="G4440" s="118" t="n">
        <v>1.25</v>
      </c>
      <c r="H4440" s="118" t="n">
        <v>1.25</v>
      </c>
      <c r="I4440" s="119" t="n">
        <v>40867</v>
      </c>
    </row>
    <row r="4441">
      <c r="A4441" s="114" t="inlineStr">
        <is>
          <t>577473</t>
        </is>
      </c>
      <c r="B4441" s="114" t="n">
        <v>15919</v>
      </c>
      <c r="C4441" s="114" t="inlineStr">
        <is>
          <t>United Kingdom</t>
        </is>
      </c>
      <c r="D4441" s="114" t="inlineStr">
        <is>
          <t>22948</t>
        </is>
      </c>
      <c r="E4441" s="114" t="inlineStr">
        <is>
          <t xml:space="preserve">METAL DECORATION NAUGHTY CHILDREN </t>
        </is>
      </c>
      <c r="F4441" s="114" t="n">
        <v>3</v>
      </c>
      <c r="G4441" s="115" t="n">
        <v>0.85</v>
      </c>
      <c r="H4441" s="115" t="n">
        <v>2.55</v>
      </c>
      <c r="I4441" s="116" t="n">
        <v>40867</v>
      </c>
    </row>
    <row r="4442">
      <c r="A4442" s="117" t="inlineStr">
        <is>
          <t>577477</t>
        </is>
      </c>
      <c r="B4442" s="117" t="n">
        <v>14157</v>
      </c>
      <c r="C4442" s="117" t="inlineStr">
        <is>
          <t>United Kingdom</t>
        </is>
      </c>
      <c r="D4442" s="117" t="inlineStr">
        <is>
          <t>22112</t>
        </is>
      </c>
      <c r="E4442" s="117" t="inlineStr">
        <is>
          <t>CHOCOLATE HOT WATER BOTTLE</t>
        </is>
      </c>
      <c r="F4442" s="117" t="n">
        <v>3</v>
      </c>
      <c r="G4442" s="118" t="n">
        <v>4.95</v>
      </c>
      <c r="H4442" s="118" t="n">
        <v>14.85</v>
      </c>
      <c r="I4442" s="119" t="n">
        <v>40867</v>
      </c>
    </row>
    <row r="4443">
      <c r="A4443" s="114" t="inlineStr">
        <is>
          <t>577483</t>
        </is>
      </c>
      <c r="B4443" s="114" t="n">
        <v>14502</v>
      </c>
      <c r="C4443" s="114" t="inlineStr">
        <is>
          <t>United Kingdom</t>
        </is>
      </c>
      <c r="D4443" s="114" t="inlineStr">
        <is>
          <t>23275</t>
        </is>
      </c>
      <c r="E4443" s="114" t="inlineStr">
        <is>
          <t>SET OF 3 HANGING OWLS OLLIE BEAK</t>
        </is>
      </c>
      <c r="F4443" s="114" t="n">
        <v>3</v>
      </c>
      <c r="G4443" s="115" t="n">
        <v>1.25</v>
      </c>
      <c r="H4443" s="115" t="n">
        <v>3.75</v>
      </c>
      <c r="I4443" s="116" t="n">
        <v>40867</v>
      </c>
    </row>
    <row r="4444">
      <c r="A4444" s="117" t="inlineStr">
        <is>
          <t>577485</t>
        </is>
      </c>
      <c r="B4444" s="117" t="n">
        <v>16360</v>
      </c>
      <c r="C4444" s="117" t="inlineStr">
        <is>
          <t>United Kingdom</t>
        </is>
      </c>
      <c r="D4444" s="117" t="inlineStr">
        <is>
          <t>22550</t>
        </is>
      </c>
      <c r="E4444" s="117" t="inlineStr">
        <is>
          <t>HOLIDAY FUN LUDO</t>
        </is>
      </c>
      <c r="F4444" s="117" t="n">
        <v>2</v>
      </c>
      <c r="G4444" s="118" t="n">
        <v>3.75</v>
      </c>
      <c r="H4444" s="118" t="n">
        <v>7.5</v>
      </c>
      <c r="I4444" s="119" t="n">
        <v>40867</v>
      </c>
    </row>
    <row r="4445">
      <c r="A4445" s="114" t="inlineStr">
        <is>
          <t>577485</t>
        </is>
      </c>
      <c r="B4445" s="114" t="n">
        <v>16360</v>
      </c>
      <c r="C4445" s="114" t="inlineStr">
        <is>
          <t>United Kingdom</t>
        </is>
      </c>
      <c r="D4445" s="114" t="inlineStr">
        <is>
          <t>23583</t>
        </is>
      </c>
      <c r="E4445" s="114" t="inlineStr">
        <is>
          <t xml:space="preserve">LUNCH BAG PAISLEY PARK  </t>
        </is>
      </c>
      <c r="F4445" s="114" t="n">
        <v>2</v>
      </c>
      <c r="G4445" s="115" t="n">
        <v>1.65</v>
      </c>
      <c r="H4445" s="115" t="n">
        <v>3.3</v>
      </c>
      <c r="I4445" s="116" t="n">
        <v>40867</v>
      </c>
    </row>
    <row r="4446">
      <c r="A4446" s="117" t="inlineStr">
        <is>
          <t>577485</t>
        </is>
      </c>
      <c r="B4446" s="117" t="n">
        <v>16360</v>
      </c>
      <c r="C4446" s="117" t="inlineStr">
        <is>
          <t>United Kingdom</t>
        </is>
      </c>
      <c r="D4446" s="117" t="inlineStr">
        <is>
          <t>21428</t>
        </is>
      </c>
      <c r="E4446" s="117" t="inlineStr">
        <is>
          <t xml:space="preserve">SET3 BOOK BOX GREEN GINGHAM FLOWER </t>
        </is>
      </c>
      <c r="F4446" s="117" t="n">
        <v>1</v>
      </c>
      <c r="G4446" s="118" t="n">
        <v>4.25</v>
      </c>
      <c r="H4446" s="118" t="n">
        <v>4.25</v>
      </c>
      <c r="I4446" s="119" t="n">
        <v>40867</v>
      </c>
    </row>
    <row r="4447">
      <c r="A4447" s="114" t="inlineStr">
        <is>
          <t>577485</t>
        </is>
      </c>
      <c r="B4447" s="114" t="n">
        <v>16360</v>
      </c>
      <c r="C4447" s="114" t="inlineStr">
        <is>
          <t>United Kingdom</t>
        </is>
      </c>
      <c r="D4447" s="114" t="inlineStr">
        <is>
          <t>23371</t>
        </is>
      </c>
      <c r="E4447" s="114" t="inlineStr">
        <is>
          <t xml:space="preserve">SET 36 COLOUR PENCILS SPACEBOY </t>
        </is>
      </c>
      <c r="F4447" s="114" t="n">
        <v>1</v>
      </c>
      <c r="G4447" s="115" t="n">
        <v>1.25</v>
      </c>
      <c r="H4447" s="115" t="n">
        <v>1.25</v>
      </c>
      <c r="I4447" s="116" t="n">
        <v>40867</v>
      </c>
    </row>
    <row r="4448">
      <c r="A4448" s="117" t="inlineStr">
        <is>
          <t>577493</t>
        </is>
      </c>
      <c r="B4448" s="117" t="n">
        <v>17323</v>
      </c>
      <c r="C4448" s="117" t="inlineStr">
        <is>
          <t>United Kingdom</t>
        </is>
      </c>
      <c r="D4448" s="117" t="inlineStr">
        <is>
          <t>23206</t>
        </is>
      </c>
      <c r="E4448" s="117" t="inlineStr">
        <is>
          <t>LUNCH BAG APPLE DESIGN</t>
        </is>
      </c>
      <c r="F4448" s="117" t="n">
        <v>1</v>
      </c>
      <c r="G4448" s="118" t="n">
        <v>1.65</v>
      </c>
      <c r="H4448" s="118" t="n">
        <v>1.65</v>
      </c>
      <c r="I4448" s="119" t="n">
        <v>40867</v>
      </c>
    </row>
    <row r="4449">
      <c r="A4449" s="114" t="inlineStr">
        <is>
          <t>577493</t>
        </is>
      </c>
      <c r="B4449" s="114" t="n">
        <v>17323</v>
      </c>
      <c r="C4449" s="114" t="inlineStr">
        <is>
          <t>United Kingdom</t>
        </is>
      </c>
      <c r="D4449" s="114" t="inlineStr">
        <is>
          <t>20725</t>
        </is>
      </c>
      <c r="E4449" s="114" t="inlineStr">
        <is>
          <t>LUNCH BAG RED RETROSPOT</t>
        </is>
      </c>
      <c r="F4449" s="114" t="n">
        <v>3</v>
      </c>
      <c r="G4449" s="115" t="n">
        <v>1.65</v>
      </c>
      <c r="H4449" s="115" t="n">
        <v>4.95</v>
      </c>
      <c r="I4449" s="116" t="n">
        <v>40867</v>
      </c>
    </row>
    <row r="4450">
      <c r="A4450" s="117" t="inlineStr">
        <is>
          <t>577495</t>
        </is>
      </c>
      <c r="B4450" s="117" t="n">
        <v>14704</v>
      </c>
      <c r="C4450" s="117" t="inlineStr">
        <is>
          <t>United Kingdom</t>
        </is>
      </c>
      <c r="D4450" s="117" t="inlineStr">
        <is>
          <t>22513</t>
        </is>
      </c>
      <c r="E4450" s="117" t="inlineStr">
        <is>
          <t>DOORSTOP FOOTBALL DESIGN</t>
        </is>
      </c>
      <c r="F4450" s="117" t="n">
        <v>1</v>
      </c>
      <c r="G4450" s="118" t="n">
        <v>3.75</v>
      </c>
      <c r="H4450" s="118" t="n">
        <v>3.75</v>
      </c>
      <c r="I4450" s="119" t="n">
        <v>40867</v>
      </c>
    </row>
    <row r="4451">
      <c r="A4451" s="114" t="inlineStr">
        <is>
          <t>577495</t>
        </is>
      </c>
      <c r="B4451" s="114" t="n">
        <v>14704</v>
      </c>
      <c r="C4451" s="114" t="inlineStr">
        <is>
          <t>United Kingdom</t>
        </is>
      </c>
      <c r="D4451" s="114" t="inlineStr">
        <is>
          <t>21012</t>
        </is>
      </c>
      <c r="E4451" s="114" t="inlineStr">
        <is>
          <t>ANTIQUE ALL GLASS CANDLESTICK</t>
        </is>
      </c>
      <c r="F4451" s="114" t="n">
        <v>2</v>
      </c>
      <c r="G4451" s="115" t="n">
        <v>2.1</v>
      </c>
      <c r="H4451" s="115" t="n">
        <v>4.2</v>
      </c>
      <c r="I4451" s="116" t="n">
        <v>40867</v>
      </c>
    </row>
    <row r="4452">
      <c r="A4452" s="117" t="inlineStr">
        <is>
          <t>577503</t>
        </is>
      </c>
      <c r="B4452" s="117" t="n">
        <v>18110</v>
      </c>
      <c r="C4452" s="117" t="inlineStr">
        <is>
          <t>United Kingdom</t>
        </is>
      </c>
      <c r="D4452" s="117" t="inlineStr">
        <is>
          <t>22114</t>
        </is>
      </c>
      <c r="E4452" s="117" t="inlineStr">
        <is>
          <t>HOT WATER BOTTLE TEA AND SYMPATHY</t>
        </is>
      </c>
      <c r="F4452" s="117" t="n">
        <v>2</v>
      </c>
      <c r="G4452" s="118" t="n">
        <v>4.25</v>
      </c>
      <c r="H4452" s="118" t="n">
        <v>8.5</v>
      </c>
      <c r="I4452" s="119" t="n">
        <v>40867</v>
      </c>
    </row>
    <row r="4453">
      <c r="A4453" s="114" t="inlineStr">
        <is>
          <t>577504</t>
        </is>
      </c>
      <c r="B4453" s="114" t="n">
        <v>14159</v>
      </c>
      <c r="C4453" s="114" t="inlineStr">
        <is>
          <t>United Kingdom</t>
        </is>
      </c>
      <c r="D4453" s="114" t="inlineStr">
        <is>
          <t>22720</t>
        </is>
      </c>
      <c r="E4453" s="114" t="inlineStr">
        <is>
          <t xml:space="preserve">SET OF 3 CAKE TINS PANTRY DESIGN </t>
        </is>
      </c>
      <c r="F4453" s="114" t="n">
        <v>2</v>
      </c>
      <c r="G4453" s="115" t="n">
        <v>4.95</v>
      </c>
      <c r="H4453" s="115" t="n">
        <v>9.9</v>
      </c>
      <c r="I4453" s="116" t="n">
        <v>40867</v>
      </c>
    </row>
    <row r="4454">
      <c r="A4454" s="117" t="inlineStr">
        <is>
          <t>577504</t>
        </is>
      </c>
      <c r="B4454" s="117" t="n">
        <v>14159</v>
      </c>
      <c r="C4454" s="117" t="inlineStr">
        <is>
          <t>United Kingdom</t>
        </is>
      </c>
      <c r="D4454" s="117" t="inlineStr">
        <is>
          <t>22417</t>
        </is>
      </c>
      <c r="E4454" s="117" t="inlineStr">
        <is>
          <t>PACK OF 60 SPACEBOY CAKE CASES</t>
        </is>
      </c>
      <c r="F4454" s="117" t="n">
        <v>2</v>
      </c>
      <c r="G4454" s="118" t="n">
        <v>0.55</v>
      </c>
      <c r="H4454" s="118" t="n">
        <v>1.1</v>
      </c>
      <c r="I4454" s="119" t="n">
        <v>40867</v>
      </c>
    </row>
    <row r="4455">
      <c r="A4455" s="114" t="inlineStr">
        <is>
          <t>577505</t>
        </is>
      </c>
      <c r="B4455" s="114" t="n">
        <v>13118</v>
      </c>
      <c r="C4455" s="114" t="inlineStr">
        <is>
          <t>United Kingdom</t>
        </is>
      </c>
      <c r="D4455" s="114" t="inlineStr">
        <is>
          <t>22371</t>
        </is>
      </c>
      <c r="E4455" s="114" t="inlineStr">
        <is>
          <t>AIRLINE BAG VINTAGE TOKYO 78</t>
        </is>
      </c>
      <c r="F4455" s="114" t="n">
        <v>12</v>
      </c>
      <c r="G4455" s="115" t="n">
        <v>3.95</v>
      </c>
      <c r="H4455" s="115" t="n">
        <v>47.4</v>
      </c>
      <c r="I4455" s="116" t="n">
        <v>40867</v>
      </c>
    </row>
    <row r="4456">
      <c r="A4456" s="117" t="inlineStr">
        <is>
          <t>577506</t>
        </is>
      </c>
      <c r="B4456" s="117" t="n">
        <v>13212</v>
      </c>
      <c r="C4456" s="117" t="inlineStr">
        <is>
          <t>United Kingdom</t>
        </is>
      </c>
      <c r="D4456" s="117" t="inlineStr">
        <is>
          <t>84519B</t>
        </is>
      </c>
      <c r="E4456" s="117" t="inlineStr">
        <is>
          <t>CARROT CHARLIE+LOLA COASTER SET</t>
        </is>
      </c>
      <c r="F4456" s="117" t="n">
        <v>2</v>
      </c>
      <c r="G4456" s="118" t="n">
        <v>1.25</v>
      </c>
      <c r="H4456" s="118" t="n">
        <v>2.5</v>
      </c>
      <c r="I4456" s="119" t="n">
        <v>40867</v>
      </c>
    </row>
    <row r="4457">
      <c r="A4457" s="114" t="inlineStr">
        <is>
          <t>577517</t>
        </is>
      </c>
      <c r="B4457" s="114" t="n">
        <v>16710</v>
      </c>
      <c r="C4457" s="114" t="inlineStr">
        <is>
          <t>United Kingdom</t>
        </is>
      </c>
      <c r="D4457" s="114" t="inlineStr">
        <is>
          <t>23218</t>
        </is>
      </c>
      <c r="E4457" s="114" t="inlineStr">
        <is>
          <t>LAUREL STAR ANTIQUE GOLD</t>
        </is>
      </c>
      <c r="F4457" s="114" t="n">
        <v>3</v>
      </c>
      <c r="G4457" s="115" t="n">
        <v>1.25</v>
      </c>
      <c r="H4457" s="115" t="n">
        <v>3.75</v>
      </c>
      <c r="I4457" s="116" t="n">
        <v>40867</v>
      </c>
    </row>
    <row r="4458">
      <c r="A4458" s="117" t="inlineStr">
        <is>
          <t>577522</t>
        </is>
      </c>
      <c r="B4458" s="117" t="n">
        <v>15988</v>
      </c>
      <c r="C4458" s="117" t="inlineStr">
        <is>
          <t>United Kingdom</t>
        </is>
      </c>
      <c r="D4458" s="117" t="inlineStr">
        <is>
          <t>85059</t>
        </is>
      </c>
      <c r="E4458" s="117" t="inlineStr">
        <is>
          <t>FRENCH ENAMEL WATER BASIN</t>
        </is>
      </c>
      <c r="F4458" s="117" t="n">
        <v>1</v>
      </c>
      <c r="G4458" s="118" t="n">
        <v>3.75</v>
      </c>
      <c r="H4458" s="118" t="n">
        <v>3.75</v>
      </c>
      <c r="I4458" s="119" t="n">
        <v>40867</v>
      </c>
    </row>
    <row r="4459">
      <c r="A4459" s="114" t="inlineStr">
        <is>
          <t>577544</t>
        </is>
      </c>
      <c r="B4459" s="114" t="n">
        <v>17758</v>
      </c>
      <c r="C4459" s="114" t="inlineStr">
        <is>
          <t>United Kingdom</t>
        </is>
      </c>
      <c r="D4459" s="114" t="inlineStr">
        <is>
          <t>22835</t>
        </is>
      </c>
      <c r="E4459" s="114" t="inlineStr">
        <is>
          <t>HOT WATER BOTTLE I AM SO POORLY</t>
        </is>
      </c>
      <c r="F4459" s="114" t="n">
        <v>4</v>
      </c>
      <c r="G4459" s="115" t="n">
        <v>4.95</v>
      </c>
      <c r="H4459" s="115" t="n">
        <v>19.8</v>
      </c>
      <c r="I4459" s="116" t="n">
        <v>40867</v>
      </c>
    </row>
    <row r="4460">
      <c r="A4460" s="117" t="inlineStr">
        <is>
          <t>577550</t>
        </is>
      </c>
      <c r="B4460" s="117" t="n">
        <v>17738</v>
      </c>
      <c r="C4460" s="117" t="inlineStr">
        <is>
          <t>United Kingdom</t>
        </is>
      </c>
      <c r="D4460" s="117" t="inlineStr">
        <is>
          <t>23010</t>
        </is>
      </c>
      <c r="E4460" s="117" t="inlineStr">
        <is>
          <t>CIRCUS PARADE BABY GIFT SET</t>
        </is>
      </c>
      <c r="F4460" s="117" t="n">
        <v>1</v>
      </c>
      <c r="G4460" s="118" t="n">
        <v>16.95</v>
      </c>
      <c r="H4460" s="118" t="n">
        <v>16.95</v>
      </c>
      <c r="I4460" s="119" t="n">
        <v>40867</v>
      </c>
    </row>
    <row r="4461">
      <c r="A4461" s="114" t="inlineStr">
        <is>
          <t>577554</t>
        </is>
      </c>
      <c r="B4461" s="114" t="n">
        <v>15533</v>
      </c>
      <c r="C4461" s="114" t="inlineStr">
        <is>
          <t>United Kingdom</t>
        </is>
      </c>
      <c r="D4461" s="114" t="inlineStr">
        <is>
          <t>84378</t>
        </is>
      </c>
      <c r="E4461" s="114" t="inlineStr">
        <is>
          <t>SET OF 3 HEART COOKIE CUTTERS</t>
        </is>
      </c>
      <c r="F4461" s="114" t="n">
        <v>1</v>
      </c>
      <c r="G4461" s="115" t="n">
        <v>1.45</v>
      </c>
      <c r="H4461" s="115" t="n">
        <v>1.45</v>
      </c>
      <c r="I4461" s="116" t="n">
        <v>40867</v>
      </c>
    </row>
    <row r="4462">
      <c r="A4462" s="117" t="inlineStr">
        <is>
          <t>577602</t>
        </is>
      </c>
      <c r="B4462" s="117" t="n">
        <v>16139</v>
      </c>
      <c r="C4462" s="117" t="inlineStr">
        <is>
          <t>United Kingdom</t>
        </is>
      </c>
      <c r="D4462" s="117" t="inlineStr">
        <is>
          <t>22866</t>
        </is>
      </c>
      <c r="E4462" s="117" t="inlineStr">
        <is>
          <t>HAND WARMER SCOTTY DOG DESIGN</t>
        </is>
      </c>
      <c r="F4462" s="117" t="n">
        <v>12</v>
      </c>
      <c r="G4462" s="118" t="n">
        <v>2.1</v>
      </c>
      <c r="H4462" s="118" t="n">
        <v>25.2</v>
      </c>
      <c r="I4462" s="119" t="n">
        <v>40868</v>
      </c>
    </row>
    <row r="4463">
      <c r="A4463" s="114" t="inlineStr">
        <is>
          <t>577609</t>
        </is>
      </c>
      <c r="B4463" s="114" t="n">
        <v>12349</v>
      </c>
      <c r="C4463" s="114" t="inlineStr">
        <is>
          <t>Italy</t>
        </is>
      </c>
      <c r="D4463" s="114" t="inlineStr">
        <is>
          <t>23020</t>
        </is>
      </c>
      <c r="E4463" s="114" t="inlineStr">
        <is>
          <t>GLASS  SONGBIRD STORAGE JAR</t>
        </is>
      </c>
      <c r="F4463" s="114" t="n">
        <v>1</v>
      </c>
      <c r="G4463" s="115" t="n">
        <v>12.5</v>
      </c>
      <c r="H4463" s="115" t="n">
        <v>12.5</v>
      </c>
      <c r="I4463" s="116" t="n">
        <v>40868</v>
      </c>
    </row>
    <row r="4464">
      <c r="A4464" s="117" t="inlineStr">
        <is>
          <t>577613</t>
        </is>
      </c>
      <c r="B4464" s="117" t="n">
        <v>14911</v>
      </c>
      <c r="C4464" s="117" t="inlineStr">
        <is>
          <t>EIRE</t>
        </is>
      </c>
      <c r="D4464" s="117" t="inlineStr">
        <is>
          <t>22489</t>
        </is>
      </c>
      <c r="E4464" s="117" t="inlineStr">
        <is>
          <t>PACK OF 12 TRADITIONAL CRAYONS</t>
        </is>
      </c>
      <c r="F4464" s="117" t="n">
        <v>24</v>
      </c>
      <c r="G4464" s="118" t="n">
        <v>0.42</v>
      </c>
      <c r="H4464" s="118" t="n">
        <v>10.08</v>
      </c>
      <c r="I4464" s="119" t="n">
        <v>40868</v>
      </c>
    </row>
    <row r="4465">
      <c r="A4465" s="114" t="inlineStr">
        <is>
          <t>577669</t>
        </is>
      </c>
      <c r="B4465" s="114" t="n">
        <v>15567</v>
      </c>
      <c r="C4465" s="114" t="inlineStr">
        <is>
          <t>United Kingdom</t>
        </is>
      </c>
      <c r="D4465" s="114" t="inlineStr">
        <is>
          <t>23178</t>
        </is>
      </c>
      <c r="E4465" s="114" t="inlineStr">
        <is>
          <t>JAM CLOCK MAGNET</t>
        </is>
      </c>
      <c r="F4465" s="114" t="n">
        <v>6</v>
      </c>
      <c r="G4465" s="115" t="n">
        <v>2.89</v>
      </c>
      <c r="H4465" s="115" t="n">
        <v>17.34</v>
      </c>
      <c r="I4465" s="116" t="n">
        <v>40868</v>
      </c>
    </row>
    <row r="4466">
      <c r="A4466" s="117" t="inlineStr">
        <is>
          <t>577690</t>
        </is>
      </c>
      <c r="B4466" s="117" t="n">
        <v>12856</v>
      </c>
      <c r="C4466" s="117" t="inlineStr">
        <is>
          <t>United Kingdom</t>
        </is>
      </c>
      <c r="D4466" s="117" t="inlineStr">
        <is>
          <t>84991</t>
        </is>
      </c>
      <c r="E4466" s="117" t="inlineStr">
        <is>
          <t>60 TEATIME FAIRY CAKE CASES</t>
        </is>
      </c>
      <c r="F4466" s="117" t="n">
        <v>1</v>
      </c>
      <c r="G4466" s="118" t="n">
        <v>0.55</v>
      </c>
      <c r="H4466" s="118" t="n">
        <v>0.55</v>
      </c>
      <c r="I4466" s="119" t="n">
        <v>40868</v>
      </c>
    </row>
    <row r="4467">
      <c r="A4467" s="114" t="inlineStr">
        <is>
          <t>577696</t>
        </is>
      </c>
      <c r="B4467" s="114" t="n">
        <v>16406</v>
      </c>
      <c r="C4467" s="114" t="inlineStr">
        <is>
          <t>United Kingdom</t>
        </is>
      </c>
      <c r="D4467" s="114" t="inlineStr">
        <is>
          <t>22333</t>
        </is>
      </c>
      <c r="E4467" s="114" t="inlineStr">
        <is>
          <t>RETROSPOT PARTY BAG + STICKER SET</t>
        </is>
      </c>
      <c r="F4467" s="114" t="n">
        <v>1</v>
      </c>
      <c r="G4467" s="115" t="n">
        <v>1.65</v>
      </c>
      <c r="H4467" s="115" t="n">
        <v>1.65</v>
      </c>
      <c r="I4467" s="116" t="n">
        <v>40868</v>
      </c>
    </row>
    <row r="4468">
      <c r="A4468" s="117" t="inlineStr">
        <is>
          <t>577711</t>
        </is>
      </c>
      <c r="B4468" s="117" t="n">
        <v>15527</v>
      </c>
      <c r="C4468" s="117" t="inlineStr">
        <is>
          <t>United Kingdom</t>
        </is>
      </c>
      <c r="D4468" s="117" t="inlineStr">
        <is>
          <t>22560</t>
        </is>
      </c>
      <c r="E4468" s="117" t="inlineStr">
        <is>
          <t>TRADITIONAL MODELLING CLAY</t>
        </is>
      </c>
      <c r="F4468" s="117" t="n">
        <v>3</v>
      </c>
      <c r="G4468" s="118" t="n">
        <v>1.25</v>
      </c>
      <c r="H4468" s="118" t="n">
        <v>3.75</v>
      </c>
      <c r="I4468" s="119" t="n">
        <v>40868</v>
      </c>
    </row>
    <row r="4469">
      <c r="A4469" s="114" t="inlineStr">
        <is>
          <t>577721</t>
        </is>
      </c>
      <c r="B4469" s="114" t="n">
        <v>13167</v>
      </c>
      <c r="C4469" s="114" t="inlineStr">
        <is>
          <t>United Kingdom</t>
        </is>
      </c>
      <c r="D4469" s="114" t="inlineStr">
        <is>
          <t>22784</t>
        </is>
      </c>
      <c r="E4469" s="114" t="inlineStr">
        <is>
          <t xml:space="preserve">LANTERN CREAM GAZEBO </t>
        </is>
      </c>
      <c r="F4469" s="114" t="n">
        <v>3</v>
      </c>
      <c r="G4469" s="115" t="n">
        <v>4.95</v>
      </c>
      <c r="H4469" s="115" t="n">
        <v>14.85</v>
      </c>
      <c r="I4469" s="116" t="n">
        <v>40868</v>
      </c>
    </row>
    <row r="4470">
      <c r="A4470" s="117" t="inlineStr">
        <is>
          <t>577723</t>
        </is>
      </c>
      <c r="B4470" s="117" t="n">
        <v>16713</v>
      </c>
      <c r="C4470" s="117" t="inlineStr">
        <is>
          <t>United Kingdom</t>
        </is>
      </c>
      <c r="D4470" s="117" t="inlineStr">
        <is>
          <t>22469</t>
        </is>
      </c>
      <c r="E4470" s="117" t="inlineStr">
        <is>
          <t>HEART OF WICKER SMALL</t>
        </is>
      </c>
      <c r="F4470" s="117" t="n">
        <v>3</v>
      </c>
      <c r="G4470" s="118" t="n">
        <v>1.65</v>
      </c>
      <c r="H4470" s="118" t="n">
        <v>4.95</v>
      </c>
      <c r="I4470" s="119" t="n">
        <v>40868</v>
      </c>
    </row>
    <row r="4471">
      <c r="A4471" s="114" t="inlineStr">
        <is>
          <t>577730</t>
        </is>
      </c>
      <c r="B4471" s="114" t="n">
        <v>17253</v>
      </c>
      <c r="C4471" s="114" t="inlineStr">
        <is>
          <t>United Kingdom</t>
        </is>
      </c>
      <c r="D4471" s="114" t="inlineStr">
        <is>
          <t>23214</t>
        </is>
      </c>
      <c r="E4471" s="114" t="inlineStr">
        <is>
          <t>JINGLE BELL HEART ANTIQUE GOLD</t>
        </is>
      </c>
      <c r="F4471" s="114" t="n">
        <v>7</v>
      </c>
      <c r="G4471" s="115" t="n">
        <v>2.08</v>
      </c>
      <c r="H4471" s="115" t="n">
        <v>14.56</v>
      </c>
      <c r="I4471" s="116" t="n">
        <v>40868</v>
      </c>
    </row>
    <row r="4472">
      <c r="A4472" s="117" t="inlineStr">
        <is>
          <t>577733</t>
        </is>
      </c>
      <c r="B4472" s="117" t="n">
        <v>15163</v>
      </c>
      <c r="C4472" s="117" t="inlineStr">
        <is>
          <t>United Kingdom</t>
        </is>
      </c>
      <c r="D4472" s="117" t="inlineStr">
        <is>
          <t>22489</t>
        </is>
      </c>
      <c r="E4472" s="117" t="inlineStr">
        <is>
          <t>PACK OF 12 TRADITIONAL CRAYONS</t>
        </is>
      </c>
      <c r="F4472" s="117" t="n">
        <v>10</v>
      </c>
      <c r="G4472" s="118" t="n">
        <v>0.42</v>
      </c>
      <c r="H4472" s="118" t="n">
        <v>4.2</v>
      </c>
      <c r="I4472" s="119" t="n">
        <v>40868</v>
      </c>
    </row>
    <row r="4473">
      <c r="A4473" s="114" t="inlineStr">
        <is>
          <t>577735</t>
        </is>
      </c>
      <c r="B4473" s="114" t="n">
        <v>14482</v>
      </c>
      <c r="C4473" s="114" t="inlineStr">
        <is>
          <t>United Kingdom</t>
        </is>
      </c>
      <c r="D4473" s="114" t="inlineStr">
        <is>
          <t>23188</t>
        </is>
      </c>
      <c r="E4473" s="114" t="inlineStr">
        <is>
          <t>VINTAGE  2 METRE FOLDING RULER</t>
        </is>
      </c>
      <c r="F4473" s="114" t="n">
        <v>12</v>
      </c>
      <c r="G4473" s="115" t="n">
        <v>1.65</v>
      </c>
      <c r="H4473" s="115" t="n">
        <v>19.8</v>
      </c>
      <c r="I4473" s="116" t="n">
        <v>40868</v>
      </c>
    </row>
    <row r="4474">
      <c r="A4474" s="117" t="inlineStr">
        <is>
          <t>577736</t>
        </is>
      </c>
      <c r="B4474" s="117" t="n">
        <v>14606</v>
      </c>
      <c r="C4474" s="117" t="inlineStr">
        <is>
          <t>United Kingdom</t>
        </is>
      </c>
      <c r="D4474" s="117" t="inlineStr">
        <is>
          <t>16235</t>
        </is>
      </c>
      <c r="E4474" s="117" t="inlineStr">
        <is>
          <t>RECYCLED PENCIL WITH RABBIT ERASER</t>
        </is>
      </c>
      <c r="F4474" s="117" t="n">
        <v>20</v>
      </c>
      <c r="G4474" s="118" t="n">
        <v>0.21</v>
      </c>
      <c r="H4474" s="118" t="n">
        <v>4.2</v>
      </c>
      <c r="I4474" s="119" t="n">
        <v>40868</v>
      </c>
    </row>
    <row r="4475">
      <c r="A4475" s="114" t="inlineStr">
        <is>
          <t>577743</t>
        </is>
      </c>
      <c r="B4475" s="114" t="n">
        <v>17006</v>
      </c>
      <c r="C4475" s="114" t="inlineStr">
        <is>
          <t>United Kingdom</t>
        </is>
      </c>
      <c r="D4475" s="114" t="inlineStr">
        <is>
          <t>23101</t>
        </is>
      </c>
      <c r="E4475" s="114" t="inlineStr">
        <is>
          <t>SILVER STARS TABLE DECORATION</t>
        </is>
      </c>
      <c r="F4475" s="114" t="n">
        <v>12</v>
      </c>
      <c r="G4475" s="115" t="n">
        <v>0.83</v>
      </c>
      <c r="H4475" s="115" t="n">
        <v>9.960000000000001</v>
      </c>
      <c r="I4475" s="116" t="n">
        <v>40868</v>
      </c>
    </row>
    <row r="4476">
      <c r="A4476" s="117" t="inlineStr">
        <is>
          <t>577743</t>
        </is>
      </c>
      <c r="B4476" s="117" t="n">
        <v>17006</v>
      </c>
      <c r="C4476" s="117" t="inlineStr">
        <is>
          <t>United Kingdom</t>
        </is>
      </c>
      <c r="D4476" s="117" t="inlineStr">
        <is>
          <t>23388</t>
        </is>
      </c>
      <c r="E4476" s="117" t="inlineStr">
        <is>
          <t>WOODLAND MINI BACKPACK</t>
        </is>
      </c>
      <c r="F4476" s="117" t="n">
        <v>2</v>
      </c>
      <c r="G4476" s="118" t="n">
        <v>4.15</v>
      </c>
      <c r="H4476" s="118" t="n">
        <v>8.300000000000001</v>
      </c>
      <c r="I4476" s="119" t="n">
        <v>40868</v>
      </c>
    </row>
    <row r="4477">
      <c r="A4477" s="114" t="inlineStr">
        <is>
          <t>577751</t>
        </is>
      </c>
      <c r="B4477" s="114" t="n">
        <v>12904</v>
      </c>
      <c r="C4477" s="114" t="inlineStr">
        <is>
          <t>United Kingdom</t>
        </is>
      </c>
      <c r="D4477" s="114" t="inlineStr">
        <is>
          <t>23318</t>
        </is>
      </c>
      <c r="E4477" s="114" t="inlineStr">
        <is>
          <t>BOX OF 6 MINI VINTAGE CRACKERS</t>
        </is>
      </c>
      <c r="F4477" s="114" t="n">
        <v>1</v>
      </c>
      <c r="G4477" s="115" t="n">
        <v>2.49</v>
      </c>
      <c r="H4477" s="115" t="n">
        <v>2.49</v>
      </c>
      <c r="I4477" s="116" t="n">
        <v>40868</v>
      </c>
    </row>
    <row r="4478">
      <c r="A4478" s="117" t="inlineStr">
        <is>
          <t>577755</t>
        </is>
      </c>
      <c r="B4478" s="117" t="n">
        <v>17010</v>
      </c>
      <c r="C4478" s="117" t="inlineStr">
        <is>
          <t>United Kingdom</t>
        </is>
      </c>
      <c r="D4478" s="117" t="inlineStr">
        <is>
          <t>22492</t>
        </is>
      </c>
      <c r="E4478" s="117" t="inlineStr">
        <is>
          <t xml:space="preserve">MINI PAINT SET VINTAGE </t>
        </is>
      </c>
      <c r="F4478" s="117" t="n">
        <v>36</v>
      </c>
      <c r="G4478" s="118" t="n">
        <v>0.65</v>
      </c>
      <c r="H4478" s="118" t="n">
        <v>23.4</v>
      </c>
      <c r="I4478" s="119" t="n">
        <v>40868</v>
      </c>
    </row>
    <row r="4479">
      <c r="A4479" s="114" t="inlineStr">
        <is>
          <t>577769</t>
        </is>
      </c>
      <c r="B4479" s="114" t="n">
        <v>16379</v>
      </c>
      <c r="C4479" s="114" t="inlineStr">
        <is>
          <t>United Kingdom</t>
        </is>
      </c>
      <c r="D4479" s="114" t="inlineStr">
        <is>
          <t>23583</t>
        </is>
      </c>
      <c r="E4479" s="114" t="inlineStr">
        <is>
          <t xml:space="preserve">LUNCH BAG PAISLEY PARK  </t>
        </is>
      </c>
      <c r="F4479" s="114" t="n">
        <v>10</v>
      </c>
      <c r="G4479" s="115" t="n">
        <v>1.65</v>
      </c>
      <c r="H4479" s="115" t="n">
        <v>16.5</v>
      </c>
      <c r="I4479" s="116" t="n">
        <v>40868</v>
      </c>
    </row>
    <row r="4480">
      <c r="A4480" s="117" t="inlineStr">
        <is>
          <t>577772</t>
        </is>
      </c>
      <c r="B4480" s="117" t="n">
        <v>18139</v>
      </c>
      <c r="C4480" s="117" t="inlineStr">
        <is>
          <t>United Kingdom</t>
        </is>
      </c>
      <c r="D4480" s="117" t="inlineStr">
        <is>
          <t>22708</t>
        </is>
      </c>
      <c r="E4480" s="117" t="inlineStr">
        <is>
          <t>WRAP DOLLY GIRL</t>
        </is>
      </c>
      <c r="F4480" s="117" t="n">
        <v>25</v>
      </c>
      <c r="G4480" s="118" t="n">
        <v>0.42</v>
      </c>
      <c r="H4480" s="118" t="n">
        <v>10.5</v>
      </c>
      <c r="I4480" s="119" t="n">
        <v>40868</v>
      </c>
    </row>
    <row r="4481">
      <c r="A4481" s="114" t="inlineStr">
        <is>
          <t>577773</t>
        </is>
      </c>
      <c r="B4481" s="114" t="n">
        <v>16712</v>
      </c>
      <c r="C4481" s="114" t="inlineStr">
        <is>
          <t>United Kingdom</t>
        </is>
      </c>
      <c r="D4481" s="114" t="inlineStr">
        <is>
          <t>23293</t>
        </is>
      </c>
      <c r="E4481" s="114" t="inlineStr">
        <is>
          <t>SET OF 12 FAIRY CAKE BAKING CASES</t>
        </is>
      </c>
      <c r="F4481" s="114" t="n">
        <v>3</v>
      </c>
      <c r="G4481" s="115" t="n">
        <v>0.83</v>
      </c>
      <c r="H4481" s="115" t="n">
        <v>2.49</v>
      </c>
      <c r="I4481" s="116" t="n">
        <v>40868</v>
      </c>
    </row>
    <row r="4482">
      <c r="A4482" s="117" t="inlineStr">
        <is>
          <t>577773</t>
        </is>
      </c>
      <c r="B4482" s="117" t="n">
        <v>16712</v>
      </c>
      <c r="C4482" s="117" t="inlineStr">
        <is>
          <t>United Kingdom</t>
        </is>
      </c>
      <c r="D4482" s="117" t="inlineStr">
        <is>
          <t>21098</t>
        </is>
      </c>
      <c r="E4482" s="117" t="inlineStr">
        <is>
          <t>CHRISTMAS TOILET ROLL</t>
        </is>
      </c>
      <c r="F4482" s="117" t="n">
        <v>2</v>
      </c>
      <c r="G4482" s="118" t="n">
        <v>1.25</v>
      </c>
      <c r="H4482" s="118" t="n">
        <v>2.5</v>
      </c>
      <c r="I4482" s="119" t="n">
        <v>40868</v>
      </c>
    </row>
    <row r="4483">
      <c r="A4483" s="114" t="inlineStr">
        <is>
          <t>577782</t>
        </is>
      </c>
      <c r="B4483" s="114" t="n">
        <v>16549</v>
      </c>
      <c r="C4483" s="114" t="inlineStr">
        <is>
          <t>United Kingdom</t>
        </is>
      </c>
      <c r="D4483" s="114" t="inlineStr">
        <is>
          <t>20712</t>
        </is>
      </c>
      <c r="E4483" s="114" t="inlineStr">
        <is>
          <t>JUMBO BAG WOODLAND ANIMALS</t>
        </is>
      </c>
      <c r="F4483" s="114" t="n">
        <v>1</v>
      </c>
      <c r="G4483" s="115" t="n">
        <v>2.08</v>
      </c>
      <c r="H4483" s="115" t="n">
        <v>2.08</v>
      </c>
      <c r="I4483" s="116" t="n">
        <v>40868</v>
      </c>
    </row>
    <row r="4484">
      <c r="A4484" s="117" t="inlineStr">
        <is>
          <t>577782</t>
        </is>
      </c>
      <c r="B4484" s="117" t="n">
        <v>16549</v>
      </c>
      <c r="C4484" s="117" t="inlineStr">
        <is>
          <t>United Kingdom</t>
        </is>
      </c>
      <c r="D4484" s="117" t="inlineStr">
        <is>
          <t>22219</t>
        </is>
      </c>
      <c r="E4484" s="117" t="inlineStr">
        <is>
          <t xml:space="preserve">LOVEBIRD HANGING DECORATION WHITE </t>
        </is>
      </c>
      <c r="F4484" s="117" t="n">
        <v>1</v>
      </c>
      <c r="G4484" s="118" t="n">
        <v>0.85</v>
      </c>
      <c r="H4484" s="118" t="n">
        <v>0.85</v>
      </c>
      <c r="I4484" s="119" t="n">
        <v>40868</v>
      </c>
    </row>
    <row r="4485">
      <c r="A4485" s="114" t="inlineStr">
        <is>
          <t>577783</t>
        </is>
      </c>
      <c r="B4485" s="114" t="n">
        <v>18139</v>
      </c>
      <c r="C4485" s="114" t="inlineStr">
        <is>
          <t>United Kingdom</t>
        </is>
      </c>
      <c r="D4485" s="114" t="inlineStr">
        <is>
          <t>22938</t>
        </is>
      </c>
      <c r="E4485" s="114" t="inlineStr">
        <is>
          <t>CUPCAKE LACE PAPER SET 6</t>
        </is>
      </c>
      <c r="F4485" s="114" t="n">
        <v>48</v>
      </c>
      <c r="G4485" s="115" t="n">
        <v>1.65</v>
      </c>
      <c r="H4485" s="115" t="n">
        <v>79.2</v>
      </c>
      <c r="I4485" s="116" t="n">
        <v>40868</v>
      </c>
    </row>
    <row r="4486">
      <c r="A4486" s="117" t="inlineStr">
        <is>
          <t>577791</t>
        </is>
      </c>
      <c r="B4486" s="117" t="n">
        <v>17100</v>
      </c>
      <c r="C4486" s="117" t="inlineStr">
        <is>
          <t>United Kingdom</t>
        </is>
      </c>
      <c r="D4486" s="117" t="inlineStr">
        <is>
          <t>23113</t>
        </is>
      </c>
      <c r="E4486" s="117" t="inlineStr">
        <is>
          <t>PANTRY CHOPPING BOARD</t>
        </is>
      </c>
      <c r="F4486" s="117" t="n">
        <v>3</v>
      </c>
      <c r="G4486" s="118" t="n">
        <v>4.95</v>
      </c>
      <c r="H4486" s="118" t="n">
        <v>14.85</v>
      </c>
      <c r="I4486" s="119" t="n">
        <v>40868</v>
      </c>
    </row>
    <row r="4487">
      <c r="A4487" s="114" t="inlineStr">
        <is>
          <t>577791</t>
        </is>
      </c>
      <c r="B4487" s="114" t="n">
        <v>17100</v>
      </c>
      <c r="C4487" s="114" t="inlineStr">
        <is>
          <t>United Kingdom</t>
        </is>
      </c>
      <c r="D4487" s="114" t="inlineStr">
        <is>
          <t>22556</t>
        </is>
      </c>
      <c r="E4487" s="114" t="inlineStr">
        <is>
          <t xml:space="preserve">PLASTERS IN TIN CIRCUS PARADE </t>
        </is>
      </c>
      <c r="F4487" s="114" t="n">
        <v>12</v>
      </c>
      <c r="G4487" s="115" t="n">
        <v>1.65</v>
      </c>
      <c r="H4487" s="115" t="n">
        <v>19.8</v>
      </c>
      <c r="I4487" s="116" t="n">
        <v>40868</v>
      </c>
    </row>
    <row r="4488">
      <c r="A4488" s="117" t="inlineStr">
        <is>
          <t>577793</t>
        </is>
      </c>
      <c r="B4488" s="117" t="n">
        <v>13468</v>
      </c>
      <c r="C4488" s="117" t="inlineStr">
        <is>
          <t>United Kingdom</t>
        </is>
      </c>
      <c r="D4488" s="117" t="inlineStr">
        <is>
          <t>21642</t>
        </is>
      </c>
      <c r="E4488" s="117" t="inlineStr">
        <is>
          <t>ASSORTED TUTTI FRUTTI PEN</t>
        </is>
      </c>
      <c r="F4488" s="117" t="n">
        <v>24</v>
      </c>
      <c r="G4488" s="118" t="n">
        <v>0.29</v>
      </c>
      <c r="H4488" s="118" t="n">
        <v>6.96</v>
      </c>
      <c r="I4488" s="119" t="n">
        <v>40868</v>
      </c>
    </row>
    <row r="4489">
      <c r="A4489" s="114" t="inlineStr">
        <is>
          <t>577804</t>
        </is>
      </c>
      <c r="B4489" s="114" t="n">
        <v>17432</v>
      </c>
      <c r="C4489" s="114" t="inlineStr">
        <is>
          <t>United Kingdom</t>
        </is>
      </c>
      <c r="D4489" s="114" t="inlineStr">
        <is>
          <t>71477</t>
        </is>
      </c>
      <c r="E4489" s="114" t="inlineStr">
        <is>
          <t>COLOURED GLASS STAR T-LIGHT HOLDER</t>
        </is>
      </c>
      <c r="F4489" s="114" t="n">
        <v>8</v>
      </c>
      <c r="G4489" s="115" t="n">
        <v>3.95</v>
      </c>
      <c r="H4489" s="115" t="n">
        <v>31.6</v>
      </c>
      <c r="I4489" s="116" t="n">
        <v>40868</v>
      </c>
    </row>
    <row r="4490">
      <c r="A4490" s="117" t="inlineStr">
        <is>
          <t>577820</t>
        </is>
      </c>
      <c r="B4490" s="117" t="n">
        <v>13408</v>
      </c>
      <c r="C4490" s="117" t="inlineStr">
        <is>
          <t>United Kingdom</t>
        </is>
      </c>
      <c r="D4490" s="117" t="inlineStr">
        <is>
          <t>23199</t>
        </is>
      </c>
      <c r="E4490" s="117" t="inlineStr">
        <is>
          <t>JUMBO BAG APPLES</t>
        </is>
      </c>
      <c r="F4490" s="117" t="n">
        <v>100</v>
      </c>
      <c r="G4490" s="118" t="n">
        <v>1.79</v>
      </c>
      <c r="H4490" s="118" t="n">
        <v>179</v>
      </c>
      <c r="I4490" s="119" t="n">
        <v>40869</v>
      </c>
    </row>
    <row r="4491">
      <c r="A4491" s="114" t="inlineStr">
        <is>
          <t>577823</t>
        </is>
      </c>
      <c r="B4491" s="114" t="n">
        <v>16107</v>
      </c>
      <c r="C4491" s="114" t="inlineStr">
        <is>
          <t>United Kingdom</t>
        </is>
      </c>
      <c r="D4491" s="114" t="inlineStr">
        <is>
          <t>23084</t>
        </is>
      </c>
      <c r="E4491" s="114" t="inlineStr">
        <is>
          <t>RABBIT NIGHT LIGHT</t>
        </is>
      </c>
      <c r="F4491" s="114" t="n">
        <v>120</v>
      </c>
      <c r="G4491" s="115" t="n">
        <v>1.79</v>
      </c>
      <c r="H4491" s="115" t="n">
        <v>214.8</v>
      </c>
      <c r="I4491" s="116" t="n">
        <v>40869</v>
      </c>
    </row>
    <row r="4492">
      <c r="A4492" s="117" t="inlineStr">
        <is>
          <t>577826</t>
        </is>
      </c>
      <c r="B4492" s="117" t="n">
        <v>17600</v>
      </c>
      <c r="C4492" s="117" t="inlineStr">
        <is>
          <t>United Kingdom</t>
        </is>
      </c>
      <c r="D4492" s="117" t="inlineStr">
        <is>
          <t>22835</t>
        </is>
      </c>
      <c r="E4492" s="117" t="inlineStr">
        <is>
          <t>HOT WATER BOTTLE I AM SO POORLY</t>
        </is>
      </c>
      <c r="F4492" s="117" t="n">
        <v>4</v>
      </c>
      <c r="G4492" s="118" t="n">
        <v>4.95</v>
      </c>
      <c r="H4492" s="118" t="n">
        <v>19.8</v>
      </c>
      <c r="I4492" s="119" t="n">
        <v>40869</v>
      </c>
    </row>
    <row r="4493">
      <c r="A4493" s="114" t="inlineStr">
        <is>
          <t>577835</t>
        </is>
      </c>
      <c r="B4493" s="114" t="n">
        <v>16607</v>
      </c>
      <c r="C4493" s="114" t="inlineStr">
        <is>
          <t>United Kingdom</t>
        </is>
      </c>
      <c r="D4493" s="114" t="inlineStr">
        <is>
          <t>21327</t>
        </is>
      </c>
      <c r="E4493" s="114" t="inlineStr">
        <is>
          <t xml:space="preserve">SKULLS WRITING SET </t>
        </is>
      </c>
      <c r="F4493" s="114" t="n">
        <v>12</v>
      </c>
      <c r="G4493" s="115" t="n">
        <v>1.65</v>
      </c>
      <c r="H4493" s="115" t="n">
        <v>19.8</v>
      </c>
      <c r="I4493" s="116" t="n">
        <v>40869</v>
      </c>
    </row>
    <row r="4494">
      <c r="A4494" s="117" t="inlineStr">
        <is>
          <t>577835</t>
        </is>
      </c>
      <c r="B4494" s="117" t="n">
        <v>16607</v>
      </c>
      <c r="C4494" s="117" t="inlineStr">
        <is>
          <t>United Kingdom</t>
        </is>
      </c>
      <c r="D4494" s="117" t="inlineStr">
        <is>
          <t>22752</t>
        </is>
      </c>
      <c r="E4494" s="117" t="inlineStr">
        <is>
          <t>SET 7 BABUSHKA NESTING BOXES</t>
        </is>
      </c>
      <c r="F4494" s="117" t="n">
        <v>8</v>
      </c>
      <c r="G4494" s="118" t="n">
        <v>8.5</v>
      </c>
      <c r="H4494" s="118" t="n">
        <v>68</v>
      </c>
      <c r="I4494" s="119" t="n">
        <v>40869</v>
      </c>
    </row>
    <row r="4495">
      <c r="A4495" s="114" t="inlineStr">
        <is>
          <t>577841</t>
        </is>
      </c>
      <c r="B4495" s="114" t="n">
        <v>14262</v>
      </c>
      <c r="C4495" s="114" t="inlineStr">
        <is>
          <t>United Kingdom</t>
        </is>
      </c>
      <c r="D4495" s="114" t="inlineStr">
        <is>
          <t>23126</t>
        </is>
      </c>
      <c r="E4495" s="114" t="inlineStr">
        <is>
          <t>FELTCRAFT GIRL AMELIE KIT</t>
        </is>
      </c>
      <c r="F4495" s="114" t="n">
        <v>4</v>
      </c>
      <c r="G4495" s="115" t="n">
        <v>4.95</v>
      </c>
      <c r="H4495" s="115" t="n">
        <v>19.8</v>
      </c>
      <c r="I4495" s="116" t="n">
        <v>40869</v>
      </c>
    </row>
    <row r="4496">
      <c r="A4496" s="117" t="inlineStr">
        <is>
          <t>577842</t>
        </is>
      </c>
      <c r="B4496" s="117" t="n">
        <v>16353</v>
      </c>
      <c r="C4496" s="117" t="inlineStr">
        <is>
          <t>United Kingdom</t>
        </is>
      </c>
      <c r="D4496" s="117" t="inlineStr">
        <is>
          <t>82551</t>
        </is>
      </c>
      <c r="E4496" s="117" t="inlineStr">
        <is>
          <t>LAUNDRY 15C METAL SIGN</t>
        </is>
      </c>
      <c r="F4496" s="117" t="n">
        <v>12</v>
      </c>
      <c r="G4496" s="118" t="n">
        <v>1.45</v>
      </c>
      <c r="H4496" s="118" t="n">
        <v>17.4</v>
      </c>
      <c r="I4496" s="119" t="n">
        <v>40869</v>
      </c>
    </row>
    <row r="4497">
      <c r="A4497" s="114" t="inlineStr">
        <is>
          <t>577850</t>
        </is>
      </c>
      <c r="B4497" s="114" t="n">
        <v>14911</v>
      </c>
      <c r="C4497" s="114" t="inlineStr">
        <is>
          <t>EIRE</t>
        </is>
      </c>
      <c r="D4497" s="114" t="inlineStr">
        <is>
          <t>23146</t>
        </is>
      </c>
      <c r="E4497" s="114" t="inlineStr">
        <is>
          <t>TRIPLE HOOK ANTIQUE IVORY ROSE</t>
        </is>
      </c>
      <c r="F4497" s="114" t="n">
        <v>4</v>
      </c>
      <c r="G4497" s="115" t="n">
        <v>3.29</v>
      </c>
      <c r="H4497" s="115" t="n">
        <v>13.16</v>
      </c>
      <c r="I4497" s="116" t="n">
        <v>40869</v>
      </c>
    </row>
    <row r="4498">
      <c r="A4498" s="117" t="inlineStr">
        <is>
          <t>577851</t>
        </is>
      </c>
      <c r="B4498" s="117" t="n">
        <v>13267</v>
      </c>
      <c r="C4498" s="117" t="inlineStr">
        <is>
          <t>United Kingdom</t>
        </is>
      </c>
      <c r="D4498" s="117" t="inlineStr">
        <is>
          <t>84755</t>
        </is>
      </c>
      <c r="E4498" s="117" t="inlineStr">
        <is>
          <t>COLOUR GLASS T-LIGHT HOLDER HANGING</t>
        </is>
      </c>
      <c r="F4498" s="117" t="n">
        <v>32</v>
      </c>
      <c r="G4498" s="118" t="n">
        <v>0.65</v>
      </c>
      <c r="H4498" s="118" t="n">
        <v>20.8</v>
      </c>
      <c r="I4498" s="119" t="n">
        <v>40869</v>
      </c>
    </row>
    <row r="4499">
      <c r="A4499" s="114" t="inlineStr">
        <is>
          <t>577855</t>
        </is>
      </c>
      <c r="B4499" s="114" t="n">
        <v>15877</v>
      </c>
      <c r="C4499" s="114" t="inlineStr">
        <is>
          <t>United Kingdom</t>
        </is>
      </c>
      <c r="D4499" s="114" t="inlineStr">
        <is>
          <t>22291</t>
        </is>
      </c>
      <c r="E4499" s="114" t="inlineStr">
        <is>
          <t>HANGING CHICK CREAM DECORATION</t>
        </is>
      </c>
      <c r="F4499" s="114" t="n">
        <v>1</v>
      </c>
      <c r="G4499" s="115" t="n">
        <v>1.45</v>
      </c>
      <c r="H4499" s="115" t="n">
        <v>1.45</v>
      </c>
      <c r="I4499" s="116" t="n">
        <v>40869</v>
      </c>
    </row>
    <row r="4500">
      <c r="A4500" s="117" t="inlineStr">
        <is>
          <t>577855</t>
        </is>
      </c>
      <c r="B4500" s="117" t="n">
        <v>15877</v>
      </c>
      <c r="C4500" s="117" t="inlineStr">
        <is>
          <t>United Kingdom</t>
        </is>
      </c>
      <c r="D4500" s="117" t="inlineStr">
        <is>
          <t>22262</t>
        </is>
      </c>
      <c r="E4500" s="117" t="inlineStr">
        <is>
          <t>FELT EGG COSY CHICKEN</t>
        </is>
      </c>
      <c r="F4500" s="117" t="n">
        <v>1</v>
      </c>
      <c r="G4500" s="118" t="n">
        <v>0.85</v>
      </c>
      <c r="H4500" s="118" t="n">
        <v>0.85</v>
      </c>
      <c r="I4500" s="119" t="n">
        <v>40869</v>
      </c>
    </row>
    <row r="4501">
      <c r="A4501" s="114" t="inlineStr">
        <is>
          <t>577856</t>
        </is>
      </c>
      <c r="B4501" s="114" t="n">
        <v>12490</v>
      </c>
      <c r="C4501" s="114" t="inlineStr">
        <is>
          <t>France</t>
        </is>
      </c>
      <c r="D4501" s="114" t="inlineStr">
        <is>
          <t>21086</t>
        </is>
      </c>
      <c r="E4501" s="114" t="inlineStr">
        <is>
          <t>SET/6 RED SPOTTY PAPER CUPS</t>
        </is>
      </c>
      <c r="F4501" s="114" t="n">
        <v>12</v>
      </c>
      <c r="G4501" s="115" t="n">
        <v>0.65</v>
      </c>
      <c r="H4501" s="115" t="n">
        <v>7.8</v>
      </c>
      <c r="I4501" s="116" t="n">
        <v>40869</v>
      </c>
    </row>
    <row r="4502">
      <c r="A4502" s="117" t="inlineStr">
        <is>
          <t>577893</t>
        </is>
      </c>
      <c r="B4502" s="117" t="n">
        <v>17073</v>
      </c>
      <c r="C4502" s="117" t="inlineStr">
        <is>
          <t>United Kingdom</t>
        </is>
      </c>
      <c r="D4502" s="117" t="inlineStr">
        <is>
          <t>M</t>
        </is>
      </c>
      <c r="E4502" s="117" t="inlineStr">
        <is>
          <t>Manual</t>
        </is>
      </c>
      <c r="F4502" s="117" t="n">
        <v>1</v>
      </c>
      <c r="G4502" s="118" t="n">
        <v>1.25</v>
      </c>
      <c r="H4502" s="118" t="n">
        <v>1.25</v>
      </c>
      <c r="I4502" s="119" t="n">
        <v>40869</v>
      </c>
    </row>
    <row r="4503">
      <c r="A4503" s="114" t="inlineStr">
        <is>
          <t>577938</t>
        </is>
      </c>
      <c r="B4503" s="114" t="n">
        <v>15525</v>
      </c>
      <c r="C4503" s="114" t="inlineStr">
        <is>
          <t>United Kingdom</t>
        </is>
      </c>
      <c r="D4503" s="114" t="inlineStr">
        <is>
          <t>22975</t>
        </is>
      </c>
      <c r="E4503" s="114" t="inlineStr">
        <is>
          <t>SPACEBOY CHILDRENS EGG CUP</t>
        </is>
      </c>
      <c r="F4503" s="114" t="n">
        <v>12</v>
      </c>
      <c r="G4503" s="115" t="n">
        <v>1.25</v>
      </c>
      <c r="H4503" s="115" t="n">
        <v>15</v>
      </c>
      <c r="I4503" s="116" t="n">
        <v>40869</v>
      </c>
    </row>
    <row r="4504">
      <c r="A4504" s="117" t="inlineStr">
        <is>
          <t>578008</t>
        </is>
      </c>
      <c r="B4504" s="117" t="n">
        <v>14657</v>
      </c>
      <c r="C4504" s="117" t="inlineStr">
        <is>
          <t>United Kingdom</t>
        </is>
      </c>
      <c r="D4504" s="117" t="inlineStr">
        <is>
          <t>20677</t>
        </is>
      </c>
      <c r="E4504" s="117" t="inlineStr">
        <is>
          <t>PINK POLKADOT BOWL</t>
        </is>
      </c>
      <c r="F4504" s="117" t="n">
        <v>2</v>
      </c>
      <c r="G4504" s="118" t="n">
        <v>1.25</v>
      </c>
      <c r="H4504" s="118" t="n">
        <v>2.5</v>
      </c>
      <c r="I4504" s="119" t="n">
        <v>40869</v>
      </c>
    </row>
    <row r="4505">
      <c r="A4505" s="114" t="inlineStr">
        <is>
          <t>578008</t>
        </is>
      </c>
      <c r="B4505" s="114" t="n">
        <v>14657</v>
      </c>
      <c r="C4505" s="114" t="inlineStr">
        <is>
          <t>United Kingdom</t>
        </is>
      </c>
      <c r="D4505" s="114" t="inlineStr">
        <is>
          <t>84378</t>
        </is>
      </c>
      <c r="E4505" s="114" t="inlineStr">
        <is>
          <t>SET OF 3 HEART COOKIE CUTTERS</t>
        </is>
      </c>
      <c r="F4505" s="114" t="n">
        <v>1</v>
      </c>
      <c r="G4505" s="115" t="n">
        <v>1.45</v>
      </c>
      <c r="H4505" s="115" t="n">
        <v>1.45</v>
      </c>
      <c r="I4505" s="116" t="n">
        <v>40869</v>
      </c>
    </row>
    <row r="4506">
      <c r="A4506" s="117" t="inlineStr">
        <is>
          <t>578011</t>
        </is>
      </c>
      <c r="B4506" s="117" t="n">
        <v>15150</v>
      </c>
      <c r="C4506" s="117" t="inlineStr">
        <is>
          <t>United Kingdom</t>
        </is>
      </c>
      <c r="D4506" s="117" t="inlineStr">
        <is>
          <t>16169E</t>
        </is>
      </c>
      <c r="E4506" s="117" t="inlineStr">
        <is>
          <t>WRAP 50'S  CHRISTMAS</t>
        </is>
      </c>
      <c r="F4506" s="117" t="n">
        <v>25</v>
      </c>
      <c r="G4506" s="118" t="n">
        <v>0.42</v>
      </c>
      <c r="H4506" s="118" t="n">
        <v>10.5</v>
      </c>
      <c r="I4506" s="119" t="n">
        <v>40869</v>
      </c>
    </row>
    <row r="4507">
      <c r="A4507" s="114" t="inlineStr">
        <is>
          <t>578011</t>
        </is>
      </c>
      <c r="B4507" s="114" t="n">
        <v>15150</v>
      </c>
      <c r="C4507" s="114" t="inlineStr">
        <is>
          <t>United Kingdom</t>
        </is>
      </c>
      <c r="D4507" s="114" t="inlineStr">
        <is>
          <t>22910</t>
        </is>
      </c>
      <c r="E4507" s="114" t="inlineStr">
        <is>
          <t>PAPER CHAIN KIT VINTAGE CHRISTMAS</t>
        </is>
      </c>
      <c r="F4507" s="114" t="n">
        <v>6</v>
      </c>
      <c r="G4507" s="115" t="n">
        <v>2.95</v>
      </c>
      <c r="H4507" s="115" t="n">
        <v>17.7</v>
      </c>
      <c r="I4507" s="116" t="n">
        <v>40869</v>
      </c>
    </row>
    <row r="4508">
      <c r="A4508" s="117" t="inlineStr">
        <is>
          <t>578013</t>
        </is>
      </c>
      <c r="B4508" s="117" t="n">
        <v>17360</v>
      </c>
      <c r="C4508" s="117" t="inlineStr">
        <is>
          <t>United Kingdom</t>
        </is>
      </c>
      <c r="D4508" s="117" t="inlineStr">
        <is>
          <t>84030E</t>
        </is>
      </c>
      <c r="E4508" s="117" t="inlineStr">
        <is>
          <t>ENGLISH ROSE HOT WATER BOTTLE</t>
        </is>
      </c>
      <c r="F4508" s="117" t="n">
        <v>1</v>
      </c>
      <c r="G4508" s="118" t="n">
        <v>4.25</v>
      </c>
      <c r="H4508" s="118" t="n">
        <v>4.25</v>
      </c>
      <c r="I4508" s="119" t="n">
        <v>40869</v>
      </c>
    </row>
    <row r="4509">
      <c r="A4509" s="114" t="inlineStr">
        <is>
          <t>578017</t>
        </is>
      </c>
      <c r="B4509" s="114" t="n">
        <v>13569</v>
      </c>
      <c r="C4509" s="114" t="inlineStr">
        <is>
          <t>United Kingdom</t>
        </is>
      </c>
      <c r="D4509" s="114" t="inlineStr">
        <is>
          <t>21506</t>
        </is>
      </c>
      <c r="E4509" s="114" t="inlineStr">
        <is>
          <t xml:space="preserve">FANCY FONT BIRTHDAY CARD, </t>
        </is>
      </c>
      <c r="F4509" s="114" t="n">
        <v>12</v>
      </c>
      <c r="G4509" s="115" t="n">
        <v>0.42</v>
      </c>
      <c r="H4509" s="115" t="n">
        <v>5.04</v>
      </c>
      <c r="I4509" s="116" t="n">
        <v>40869</v>
      </c>
    </row>
    <row r="4510">
      <c r="A4510" s="117" t="inlineStr">
        <is>
          <t>578017</t>
        </is>
      </c>
      <c r="B4510" s="117" t="n">
        <v>13569</v>
      </c>
      <c r="C4510" s="117" t="inlineStr">
        <is>
          <t>United Kingdom</t>
        </is>
      </c>
      <c r="D4510" s="117" t="inlineStr">
        <is>
          <t>21240</t>
        </is>
      </c>
      <c r="E4510" s="117" t="inlineStr">
        <is>
          <t>BLUE POLKADOT CUP</t>
        </is>
      </c>
      <c r="F4510" s="117" t="n">
        <v>1</v>
      </c>
      <c r="G4510" s="118" t="n">
        <v>0.85</v>
      </c>
      <c r="H4510" s="118" t="n">
        <v>0.85</v>
      </c>
      <c r="I4510" s="119" t="n">
        <v>40869</v>
      </c>
    </row>
    <row r="4511">
      <c r="A4511" s="114" t="inlineStr">
        <is>
          <t>578018</t>
        </is>
      </c>
      <c r="B4511" s="114" t="n">
        <v>15311</v>
      </c>
      <c r="C4511" s="114" t="inlineStr">
        <is>
          <t>United Kingdom</t>
        </is>
      </c>
      <c r="D4511" s="114" t="inlineStr">
        <is>
          <t>20711</t>
        </is>
      </c>
      <c r="E4511" s="114" t="inlineStr">
        <is>
          <t xml:space="preserve">JUMBO BAG TOYS </t>
        </is>
      </c>
      <c r="F4511" s="114" t="n">
        <v>10</v>
      </c>
      <c r="G4511" s="115" t="n">
        <v>2.08</v>
      </c>
      <c r="H4511" s="115" t="n">
        <v>20.8</v>
      </c>
      <c r="I4511" s="116" t="n">
        <v>40869</v>
      </c>
    </row>
    <row r="4512">
      <c r="A4512" s="117" t="inlineStr">
        <is>
          <t>578019</t>
        </is>
      </c>
      <c r="B4512" s="117" t="n">
        <v>17360</v>
      </c>
      <c r="C4512" s="117" t="inlineStr">
        <is>
          <t>United Kingdom</t>
        </is>
      </c>
      <c r="D4512" s="117" t="inlineStr">
        <is>
          <t>84012</t>
        </is>
      </c>
      <c r="E4512" s="117" t="inlineStr">
        <is>
          <t>MAGIC SHEEP WOOL GROWING FROM PAPER</t>
        </is>
      </c>
      <c r="F4512" s="117" t="n">
        <v>1</v>
      </c>
      <c r="G4512" s="118" t="n">
        <v>0.85</v>
      </c>
      <c r="H4512" s="118" t="n">
        <v>0.85</v>
      </c>
      <c r="I4512" s="119" t="n">
        <v>40869</v>
      </c>
    </row>
    <row r="4513">
      <c r="A4513" s="114" t="inlineStr">
        <is>
          <t>578022</t>
        </is>
      </c>
      <c r="B4513" s="114" t="n">
        <v>17371</v>
      </c>
      <c r="C4513" s="114" t="inlineStr">
        <is>
          <t>United Kingdom</t>
        </is>
      </c>
      <c r="D4513" s="114" t="inlineStr">
        <is>
          <t>79160</t>
        </is>
      </c>
      <c r="E4513" s="114" t="inlineStr">
        <is>
          <t>HEART SHAPE WIRELESS DOORBELL</t>
        </is>
      </c>
      <c r="F4513" s="114" t="n">
        <v>1</v>
      </c>
      <c r="G4513" s="115" t="n">
        <v>2.1</v>
      </c>
      <c r="H4513" s="115" t="n">
        <v>2.1</v>
      </c>
      <c r="I4513" s="116" t="n">
        <v>40869</v>
      </c>
    </row>
    <row r="4514">
      <c r="A4514" s="117" t="inlineStr">
        <is>
          <t>578041</t>
        </is>
      </c>
      <c r="B4514" s="117" t="n">
        <v>17338</v>
      </c>
      <c r="C4514" s="117" t="inlineStr">
        <is>
          <t>United Kingdom</t>
        </is>
      </c>
      <c r="D4514" s="117" t="inlineStr">
        <is>
          <t>22726</t>
        </is>
      </c>
      <c r="E4514" s="117" t="inlineStr">
        <is>
          <t>ALARM CLOCK BAKELIKE GREEN</t>
        </is>
      </c>
      <c r="F4514" s="117" t="n">
        <v>1</v>
      </c>
      <c r="G4514" s="118" t="n">
        <v>3.75</v>
      </c>
      <c r="H4514" s="118" t="n">
        <v>3.75</v>
      </c>
      <c r="I4514" s="119" t="n">
        <v>40869</v>
      </c>
    </row>
    <row r="4515">
      <c r="A4515" s="114" t="inlineStr">
        <is>
          <t>578068</t>
        </is>
      </c>
      <c r="B4515" s="114" t="n">
        <v>14505</v>
      </c>
      <c r="C4515" s="114" t="inlineStr">
        <is>
          <t>United Kingdom</t>
        </is>
      </c>
      <c r="D4515" s="114" t="inlineStr">
        <is>
          <t>23247</t>
        </is>
      </c>
      <c r="E4515" s="114" t="inlineStr">
        <is>
          <t>BISCUIT TIN 50'S CHRISTMAS</t>
        </is>
      </c>
      <c r="F4515" s="114" t="n">
        <v>1</v>
      </c>
      <c r="G4515" s="115" t="n">
        <v>2.89</v>
      </c>
      <c r="H4515" s="115" t="n">
        <v>2.89</v>
      </c>
      <c r="I4515" s="116" t="n">
        <v>40869</v>
      </c>
    </row>
    <row r="4516">
      <c r="A4516" s="117" t="inlineStr">
        <is>
          <t>578068</t>
        </is>
      </c>
      <c r="B4516" s="117" t="n">
        <v>14505</v>
      </c>
      <c r="C4516" s="117" t="inlineStr">
        <is>
          <t>United Kingdom</t>
        </is>
      </c>
      <c r="D4516" s="117" t="inlineStr">
        <is>
          <t>23138</t>
        </is>
      </c>
      <c r="E4516" s="117" t="inlineStr">
        <is>
          <t>SINGLE WIRE HOOK IVORY HEART</t>
        </is>
      </c>
      <c r="F4516" s="117" t="n">
        <v>2</v>
      </c>
      <c r="G4516" s="118" t="n">
        <v>1.45</v>
      </c>
      <c r="H4516" s="118" t="n">
        <v>2.9</v>
      </c>
      <c r="I4516" s="119" t="n">
        <v>40869</v>
      </c>
    </row>
    <row r="4517">
      <c r="A4517" s="114" t="inlineStr">
        <is>
          <t>578068</t>
        </is>
      </c>
      <c r="B4517" s="114" t="n">
        <v>14505</v>
      </c>
      <c r="C4517" s="114" t="inlineStr">
        <is>
          <t>United Kingdom</t>
        </is>
      </c>
      <c r="D4517" s="114" t="inlineStr">
        <is>
          <t>70006</t>
        </is>
      </c>
      <c r="E4517" s="114" t="inlineStr">
        <is>
          <t>LOVE HEART POCKET WARMER</t>
        </is>
      </c>
      <c r="F4517" s="114" t="n">
        <v>8</v>
      </c>
      <c r="G4517" s="115" t="n">
        <v>1.65</v>
      </c>
      <c r="H4517" s="115" t="n">
        <v>13.2</v>
      </c>
      <c r="I4517" s="116" t="n">
        <v>40869</v>
      </c>
    </row>
    <row r="4518">
      <c r="A4518" s="117" t="inlineStr">
        <is>
          <t>578068</t>
        </is>
      </c>
      <c r="B4518" s="117" t="n">
        <v>14505</v>
      </c>
      <c r="C4518" s="117" t="inlineStr">
        <is>
          <t>United Kingdom</t>
        </is>
      </c>
      <c r="D4518" s="117" t="inlineStr">
        <is>
          <t>22722</t>
        </is>
      </c>
      <c r="E4518" s="117" t="inlineStr">
        <is>
          <t>SET OF 6 SPICE TINS PANTRY DESIGN</t>
        </is>
      </c>
      <c r="F4518" s="117" t="n">
        <v>2</v>
      </c>
      <c r="G4518" s="118" t="n">
        <v>3.95</v>
      </c>
      <c r="H4518" s="118" t="n">
        <v>7.9</v>
      </c>
      <c r="I4518" s="119" t="n">
        <v>40869</v>
      </c>
    </row>
    <row r="4519">
      <c r="A4519" s="114" t="inlineStr">
        <is>
          <t>578072</t>
        </is>
      </c>
      <c r="B4519" s="114" t="n">
        <v>17759</v>
      </c>
      <c r="C4519" s="114" t="inlineStr">
        <is>
          <t>United Kingdom</t>
        </is>
      </c>
      <c r="D4519" s="114" t="inlineStr">
        <is>
          <t>23319</t>
        </is>
      </c>
      <c r="E4519" s="114" t="inlineStr">
        <is>
          <t>BOX OF 6 MINI 50'S CRACKERS</t>
        </is>
      </c>
      <c r="F4519" s="114" t="n">
        <v>2</v>
      </c>
      <c r="G4519" s="115" t="n">
        <v>2.49</v>
      </c>
      <c r="H4519" s="115" t="n">
        <v>4.98</v>
      </c>
      <c r="I4519" s="116" t="n">
        <v>40869</v>
      </c>
    </row>
    <row r="4520">
      <c r="A4520" s="117" t="inlineStr">
        <is>
          <t>578072</t>
        </is>
      </c>
      <c r="B4520" s="117" t="n">
        <v>17759</v>
      </c>
      <c r="C4520" s="117" t="inlineStr">
        <is>
          <t>United Kingdom</t>
        </is>
      </c>
      <c r="D4520" s="117" t="inlineStr">
        <is>
          <t>22580</t>
        </is>
      </c>
      <c r="E4520" s="117" t="inlineStr">
        <is>
          <t>ADVENT CALENDAR GINGHAM SACK</t>
        </is>
      </c>
      <c r="F4520" s="117" t="n">
        <v>2</v>
      </c>
      <c r="G4520" s="118" t="n">
        <v>5.95</v>
      </c>
      <c r="H4520" s="118" t="n">
        <v>11.9</v>
      </c>
      <c r="I4520" s="119" t="n">
        <v>40869</v>
      </c>
    </row>
    <row r="4521">
      <c r="A4521" s="114" t="inlineStr">
        <is>
          <t>578072</t>
        </is>
      </c>
      <c r="B4521" s="114" t="n">
        <v>17759</v>
      </c>
      <c r="C4521" s="114" t="inlineStr">
        <is>
          <t>United Kingdom</t>
        </is>
      </c>
      <c r="D4521" s="114" t="inlineStr">
        <is>
          <t>22801</t>
        </is>
      </c>
      <c r="E4521" s="114" t="inlineStr">
        <is>
          <t>ANTIQUE GLASS PEDESTAL BOWL</t>
        </is>
      </c>
      <c r="F4521" s="114" t="n">
        <v>5</v>
      </c>
      <c r="G4521" s="115" t="n">
        <v>3.75</v>
      </c>
      <c r="H4521" s="115" t="n">
        <v>18.75</v>
      </c>
      <c r="I4521" s="116" t="n">
        <v>40869</v>
      </c>
    </row>
    <row r="4522">
      <c r="A4522" s="117" t="inlineStr">
        <is>
          <t>578074</t>
        </is>
      </c>
      <c r="B4522" s="117" t="n">
        <v>17590</v>
      </c>
      <c r="C4522" s="117" t="inlineStr">
        <is>
          <t>United Kingdom</t>
        </is>
      </c>
      <c r="D4522" s="117" t="inlineStr">
        <is>
          <t>21558</t>
        </is>
      </c>
      <c r="E4522" s="117" t="inlineStr">
        <is>
          <t xml:space="preserve">SKULL LUNCH BOX WITH CUTLERY </t>
        </is>
      </c>
      <c r="F4522" s="117" t="n">
        <v>2</v>
      </c>
      <c r="G4522" s="118" t="n">
        <v>2.55</v>
      </c>
      <c r="H4522" s="118" t="n">
        <v>5.1</v>
      </c>
      <c r="I4522" s="119" t="n">
        <v>40869</v>
      </c>
    </row>
    <row r="4523">
      <c r="A4523" s="114" t="inlineStr">
        <is>
          <t>578079</t>
        </is>
      </c>
      <c r="B4523" s="114" t="n">
        <v>13985</v>
      </c>
      <c r="C4523" s="114" t="inlineStr">
        <is>
          <t>United Kingdom</t>
        </is>
      </c>
      <c r="D4523" s="114" t="inlineStr">
        <is>
          <t>22630</t>
        </is>
      </c>
      <c r="E4523" s="114" t="inlineStr">
        <is>
          <t>DOLLY GIRL LUNCH BOX</t>
        </is>
      </c>
      <c r="F4523" s="114" t="n">
        <v>12</v>
      </c>
      <c r="G4523" s="115" t="n">
        <v>1.95</v>
      </c>
      <c r="H4523" s="115" t="n">
        <v>23.4</v>
      </c>
      <c r="I4523" s="116" t="n">
        <v>40869</v>
      </c>
    </row>
    <row r="4524">
      <c r="A4524" s="117" t="inlineStr">
        <is>
          <t>578080</t>
        </is>
      </c>
      <c r="B4524" s="117" t="n">
        <v>15634</v>
      </c>
      <c r="C4524" s="117" t="inlineStr">
        <is>
          <t>United Kingdom</t>
        </is>
      </c>
      <c r="D4524" s="117" t="inlineStr">
        <is>
          <t>23403</t>
        </is>
      </c>
      <c r="E4524" s="117" t="inlineStr">
        <is>
          <t>LETTER HOLDER HOME SWEET HOME</t>
        </is>
      </c>
      <c r="F4524" s="117" t="n">
        <v>4</v>
      </c>
      <c r="G4524" s="118" t="n">
        <v>3.75</v>
      </c>
      <c r="H4524" s="118" t="n">
        <v>15</v>
      </c>
      <c r="I4524" s="119" t="n">
        <v>40869</v>
      </c>
    </row>
    <row r="4525">
      <c r="A4525" s="114" t="inlineStr">
        <is>
          <t>578085</t>
        </is>
      </c>
      <c r="B4525" s="114" t="n">
        <v>13319</v>
      </c>
      <c r="C4525" s="114" t="inlineStr">
        <is>
          <t>United Kingdom</t>
        </is>
      </c>
      <c r="D4525" s="114" t="inlineStr">
        <is>
          <t>84879</t>
        </is>
      </c>
      <c r="E4525" s="114" t="inlineStr">
        <is>
          <t>ASSORTED COLOUR BIRD ORNAMENT</t>
        </is>
      </c>
      <c r="F4525" s="114" t="n">
        <v>16</v>
      </c>
      <c r="G4525" s="115" t="n">
        <v>1.69</v>
      </c>
      <c r="H4525" s="115" t="n">
        <v>27.04</v>
      </c>
      <c r="I4525" s="116" t="n">
        <v>40869</v>
      </c>
    </row>
    <row r="4526">
      <c r="A4526" s="117" t="inlineStr">
        <is>
          <t>578088</t>
        </is>
      </c>
      <c r="B4526" s="117" t="n">
        <v>16376</v>
      </c>
      <c r="C4526" s="117" t="inlineStr">
        <is>
          <t>United Kingdom</t>
        </is>
      </c>
      <c r="D4526" s="117" t="inlineStr">
        <is>
          <t>21212</t>
        </is>
      </c>
      <c r="E4526" s="117" t="inlineStr">
        <is>
          <t>PACK OF 72 RETROSPOT CAKE CASES</t>
        </is>
      </c>
      <c r="F4526" s="117" t="n">
        <v>1</v>
      </c>
      <c r="G4526" s="118" t="n">
        <v>0.55</v>
      </c>
      <c r="H4526" s="118" t="n">
        <v>0.55</v>
      </c>
      <c r="I4526" s="119" t="n">
        <v>40869</v>
      </c>
    </row>
    <row r="4527">
      <c r="A4527" s="114" t="inlineStr">
        <is>
          <t>578099</t>
        </is>
      </c>
      <c r="B4527" s="114" t="n">
        <v>12452</v>
      </c>
      <c r="C4527" s="114" t="inlineStr">
        <is>
          <t>Switzerland</t>
        </is>
      </c>
      <c r="D4527" s="114" t="inlineStr">
        <is>
          <t>22551</t>
        </is>
      </c>
      <c r="E4527" s="114" t="inlineStr">
        <is>
          <t>PLASTERS IN TIN SPACEBOY</t>
        </is>
      </c>
      <c r="F4527" s="114" t="n">
        <v>12</v>
      </c>
      <c r="G4527" s="115" t="n">
        <v>1.65</v>
      </c>
      <c r="H4527" s="115" t="n">
        <v>19.8</v>
      </c>
      <c r="I4527" s="116" t="n">
        <v>40870</v>
      </c>
    </row>
    <row r="4528">
      <c r="A4528" s="117" t="inlineStr">
        <is>
          <t>578109</t>
        </is>
      </c>
      <c r="B4528" s="117" t="n">
        <v>14020</v>
      </c>
      <c r="C4528" s="117" t="inlineStr">
        <is>
          <t>United Kingdom</t>
        </is>
      </c>
      <c r="D4528" s="117" t="inlineStr">
        <is>
          <t>22321</t>
        </is>
      </c>
      <c r="E4528" s="117" t="inlineStr">
        <is>
          <t>BIRD DECORATION RED RETROSPOT</t>
        </is>
      </c>
      <c r="F4528" s="117" t="n">
        <v>12</v>
      </c>
      <c r="G4528" s="118" t="n">
        <v>0.85</v>
      </c>
      <c r="H4528" s="118" t="n">
        <v>10.2</v>
      </c>
      <c r="I4528" s="119" t="n">
        <v>40870</v>
      </c>
    </row>
    <row r="4529">
      <c r="A4529" s="114" t="inlineStr">
        <is>
          <t>578118</t>
        </is>
      </c>
      <c r="B4529" s="114" t="n">
        <v>12955</v>
      </c>
      <c r="C4529" s="114" t="inlineStr">
        <is>
          <t>United Kingdom</t>
        </is>
      </c>
      <c r="D4529" s="114" t="inlineStr">
        <is>
          <t>84347</t>
        </is>
      </c>
      <c r="E4529" s="114" t="inlineStr">
        <is>
          <t>ROTATING SILVER ANGELS T-LIGHT HLDR</t>
        </is>
      </c>
      <c r="F4529" s="114" t="n">
        <v>48</v>
      </c>
      <c r="G4529" s="115" t="n">
        <v>2.55</v>
      </c>
      <c r="H4529" s="115" t="n">
        <v>122.4</v>
      </c>
      <c r="I4529" s="116" t="n">
        <v>40870</v>
      </c>
    </row>
    <row r="4530">
      <c r="A4530" s="117" t="inlineStr">
        <is>
          <t>578125</t>
        </is>
      </c>
      <c r="B4530" s="117" t="n">
        <v>17511</v>
      </c>
      <c r="C4530" s="117" t="inlineStr">
        <is>
          <t>United Kingdom</t>
        </is>
      </c>
      <c r="D4530" s="117" t="inlineStr">
        <is>
          <t>21080</t>
        </is>
      </c>
      <c r="E4530" s="117" t="inlineStr">
        <is>
          <t xml:space="preserve">SET/20 RED RETROSPOT PAPER NAPKINS </t>
        </is>
      </c>
      <c r="F4530" s="117" t="n">
        <v>192</v>
      </c>
      <c r="G4530" s="118" t="n">
        <v>0.72</v>
      </c>
      <c r="H4530" s="118" t="n">
        <v>138.24</v>
      </c>
      <c r="I4530" s="119" t="n">
        <v>40870</v>
      </c>
    </row>
    <row r="4531">
      <c r="A4531" s="114" t="inlineStr">
        <is>
          <t>578146</t>
        </is>
      </c>
      <c r="B4531" s="114" t="n">
        <v>13742</v>
      </c>
      <c r="C4531" s="114" t="inlineStr">
        <is>
          <t>United Kingdom</t>
        </is>
      </c>
      <c r="D4531" s="114" t="inlineStr">
        <is>
          <t>23397</t>
        </is>
      </c>
      <c r="E4531" s="114" t="inlineStr">
        <is>
          <t xml:space="preserve">FOOT STOOL HOME SWEET HOME </t>
        </is>
      </c>
      <c r="F4531" s="114" t="n">
        <v>1</v>
      </c>
      <c r="G4531" s="115" t="n">
        <v>9.949999999999999</v>
      </c>
      <c r="H4531" s="115" t="n">
        <v>9.949999999999999</v>
      </c>
      <c r="I4531" s="116" t="n">
        <v>40870</v>
      </c>
    </row>
    <row r="4532">
      <c r="A4532" s="117" t="inlineStr">
        <is>
          <t>578147</t>
        </is>
      </c>
      <c r="B4532" s="117" t="n">
        <v>12748</v>
      </c>
      <c r="C4532" s="117" t="inlineStr">
        <is>
          <t>United Kingdom</t>
        </is>
      </c>
      <c r="D4532" s="117" t="inlineStr">
        <is>
          <t>47471</t>
        </is>
      </c>
      <c r="E4532" s="117" t="inlineStr">
        <is>
          <t>RAINBOW PEGS PHOTO CLIP STRING</t>
        </is>
      </c>
      <c r="F4532" s="117" t="n">
        <v>1</v>
      </c>
      <c r="G4532" s="118" t="n">
        <v>0.65</v>
      </c>
      <c r="H4532" s="118" t="n">
        <v>0.65</v>
      </c>
      <c r="I4532" s="119" t="n">
        <v>40870</v>
      </c>
    </row>
    <row r="4533">
      <c r="A4533" s="114" t="inlineStr">
        <is>
          <t>578155</t>
        </is>
      </c>
      <c r="B4533" s="114" t="n">
        <v>12748</v>
      </c>
      <c r="C4533" s="114" t="inlineStr">
        <is>
          <t>United Kingdom</t>
        </is>
      </c>
      <c r="D4533" s="114" t="inlineStr">
        <is>
          <t>21065</t>
        </is>
      </c>
      <c r="E4533" s="114" t="inlineStr">
        <is>
          <t>BOOM BOX SPEAKER GIRLS</t>
        </is>
      </c>
      <c r="F4533" s="114" t="n">
        <v>1</v>
      </c>
      <c r="G4533" s="115" t="n">
        <v>5.95</v>
      </c>
      <c r="H4533" s="115" t="n">
        <v>5.95</v>
      </c>
      <c r="I4533" s="116" t="n">
        <v>40870</v>
      </c>
    </row>
    <row r="4534">
      <c r="A4534" s="117" t="inlineStr">
        <is>
          <t>578155</t>
        </is>
      </c>
      <c r="B4534" s="117" t="n">
        <v>12748</v>
      </c>
      <c r="C4534" s="117" t="inlineStr">
        <is>
          <t>United Kingdom</t>
        </is>
      </c>
      <c r="D4534" s="117" t="inlineStr">
        <is>
          <t>23109</t>
        </is>
      </c>
      <c r="E4534" s="117" t="inlineStr">
        <is>
          <t>PACK OF SIX LED TEA LIGHTS</t>
        </is>
      </c>
      <c r="F4534" s="117" t="n">
        <v>1</v>
      </c>
      <c r="G4534" s="118" t="n">
        <v>2.89</v>
      </c>
      <c r="H4534" s="118" t="n">
        <v>2.89</v>
      </c>
      <c r="I4534" s="119" t="n">
        <v>40870</v>
      </c>
    </row>
    <row r="4535">
      <c r="A4535" s="114" t="inlineStr">
        <is>
          <t>578155</t>
        </is>
      </c>
      <c r="B4535" s="114" t="n">
        <v>12748</v>
      </c>
      <c r="C4535" s="114" t="inlineStr">
        <is>
          <t>United Kingdom</t>
        </is>
      </c>
      <c r="D4535" s="114" t="inlineStr">
        <is>
          <t>85136A</t>
        </is>
      </c>
      <c r="E4535" s="114" t="inlineStr">
        <is>
          <t>YELLOW SHARK HELICOPTER</t>
        </is>
      </c>
      <c r="F4535" s="114" t="n">
        <v>1</v>
      </c>
      <c r="G4535" s="115" t="n">
        <v>7.95</v>
      </c>
      <c r="H4535" s="115" t="n">
        <v>7.95</v>
      </c>
      <c r="I4535" s="116" t="n">
        <v>40870</v>
      </c>
    </row>
    <row r="4536">
      <c r="A4536" s="117" t="inlineStr">
        <is>
          <t>578155</t>
        </is>
      </c>
      <c r="B4536" s="117" t="n">
        <v>12748</v>
      </c>
      <c r="C4536" s="117" t="inlineStr">
        <is>
          <t>United Kingdom</t>
        </is>
      </c>
      <c r="D4536" s="117" t="inlineStr">
        <is>
          <t>22865</t>
        </is>
      </c>
      <c r="E4536" s="117" t="inlineStr">
        <is>
          <t>HAND WARMER OWL DESIGN</t>
        </is>
      </c>
      <c r="F4536" s="117" t="n">
        <v>2</v>
      </c>
      <c r="G4536" s="118" t="n">
        <v>2.1</v>
      </c>
      <c r="H4536" s="118" t="n">
        <v>4.2</v>
      </c>
      <c r="I4536" s="119" t="n">
        <v>40870</v>
      </c>
    </row>
    <row r="4537">
      <c r="A4537" s="114" t="inlineStr">
        <is>
          <t>578211</t>
        </is>
      </c>
      <c r="B4537" s="114" t="n">
        <v>12748</v>
      </c>
      <c r="C4537" s="114" t="inlineStr">
        <is>
          <t>United Kingdom</t>
        </is>
      </c>
      <c r="D4537" s="114" t="inlineStr">
        <is>
          <t>22201</t>
        </is>
      </c>
      <c r="E4537" s="114" t="inlineStr">
        <is>
          <t>FRYING PAN BLUE POLKADOT</t>
        </is>
      </c>
      <c r="F4537" s="114" t="n">
        <v>1</v>
      </c>
      <c r="G4537" s="115" t="n">
        <v>4.25</v>
      </c>
      <c r="H4537" s="115" t="n">
        <v>4.25</v>
      </c>
      <c r="I4537" s="116" t="n">
        <v>40870</v>
      </c>
    </row>
    <row r="4538">
      <c r="A4538" s="117" t="inlineStr">
        <is>
          <t>578233</t>
        </is>
      </c>
      <c r="B4538" s="117" t="n">
        <v>14049</v>
      </c>
      <c r="C4538" s="117" t="inlineStr">
        <is>
          <t>United Kingdom</t>
        </is>
      </c>
      <c r="D4538" s="117" t="inlineStr">
        <is>
          <t>20727</t>
        </is>
      </c>
      <c r="E4538" s="117" t="inlineStr">
        <is>
          <t>LUNCH BAG  BLACK SKULL.</t>
        </is>
      </c>
      <c r="F4538" s="117" t="n">
        <v>10</v>
      </c>
      <c r="G4538" s="118" t="n">
        <v>1.65</v>
      </c>
      <c r="H4538" s="118" t="n">
        <v>16.5</v>
      </c>
      <c r="I4538" s="119" t="n">
        <v>40870</v>
      </c>
    </row>
    <row r="4539">
      <c r="A4539" s="114" t="inlineStr">
        <is>
          <t>578233</t>
        </is>
      </c>
      <c r="B4539" s="114" t="n">
        <v>14049</v>
      </c>
      <c r="C4539" s="114" t="inlineStr">
        <is>
          <t>United Kingdom</t>
        </is>
      </c>
      <c r="D4539" s="114" t="inlineStr">
        <is>
          <t>21918</t>
        </is>
      </c>
      <c r="E4539" s="114" t="inlineStr">
        <is>
          <t>SET 12 KIDS COLOUR  CHALK STICKS</t>
        </is>
      </c>
      <c r="F4539" s="114" t="n">
        <v>24</v>
      </c>
      <c r="G4539" s="115" t="n">
        <v>0.42</v>
      </c>
      <c r="H4539" s="115" t="n">
        <v>10.08</v>
      </c>
      <c r="I4539" s="116" t="n">
        <v>40870</v>
      </c>
    </row>
    <row r="4540">
      <c r="A4540" s="117" t="inlineStr">
        <is>
          <t>578243</t>
        </is>
      </c>
      <c r="B4540" s="117" t="n">
        <v>13448</v>
      </c>
      <c r="C4540" s="117" t="inlineStr">
        <is>
          <t>United Kingdom</t>
        </is>
      </c>
      <c r="D4540" s="117" t="inlineStr">
        <is>
          <t>22112</t>
        </is>
      </c>
      <c r="E4540" s="117" t="inlineStr">
        <is>
          <t>CHOCOLATE HOT WATER BOTTLE</t>
        </is>
      </c>
      <c r="F4540" s="117" t="n">
        <v>12</v>
      </c>
      <c r="G4540" s="118" t="n">
        <v>4.95</v>
      </c>
      <c r="H4540" s="118" t="n">
        <v>59.4</v>
      </c>
      <c r="I4540" s="119" t="n">
        <v>40870</v>
      </c>
    </row>
    <row r="4541">
      <c r="A4541" s="114" t="inlineStr">
        <is>
          <t>578247</t>
        </is>
      </c>
      <c r="B4541" s="114" t="n">
        <v>14581</v>
      </c>
      <c r="C4541" s="114" t="inlineStr">
        <is>
          <t>United Kingdom</t>
        </is>
      </c>
      <c r="D4541" s="114" t="inlineStr">
        <is>
          <t>23507</t>
        </is>
      </c>
      <c r="E4541" s="114" t="inlineStr">
        <is>
          <t xml:space="preserve">MINI PLAYING CARDS BUFFALO BILL </t>
        </is>
      </c>
      <c r="F4541" s="114" t="n">
        <v>5</v>
      </c>
      <c r="G4541" s="115" t="n">
        <v>0.42</v>
      </c>
      <c r="H4541" s="115" t="n">
        <v>2.1</v>
      </c>
      <c r="I4541" s="116" t="n">
        <v>40870</v>
      </c>
    </row>
    <row r="4542">
      <c r="A4542" s="117" t="inlineStr">
        <is>
          <t>578248</t>
        </is>
      </c>
      <c r="B4542" s="117" t="n">
        <v>16255</v>
      </c>
      <c r="C4542" s="117" t="inlineStr">
        <is>
          <t>United Kingdom</t>
        </is>
      </c>
      <c r="D4542" s="117" t="inlineStr">
        <is>
          <t>84991</t>
        </is>
      </c>
      <c r="E4542" s="117" t="inlineStr">
        <is>
          <t>60 TEATIME FAIRY CAKE CASES</t>
        </is>
      </c>
      <c r="F4542" s="117" t="n">
        <v>24</v>
      </c>
      <c r="G4542" s="118" t="n">
        <v>0.55</v>
      </c>
      <c r="H4542" s="118" t="n">
        <v>13.2</v>
      </c>
      <c r="I4542" s="119" t="n">
        <v>40870</v>
      </c>
    </row>
    <row r="4543">
      <c r="A4543" s="114" t="inlineStr">
        <is>
          <t>578250</t>
        </is>
      </c>
      <c r="B4543" s="114" t="n">
        <v>15901</v>
      </c>
      <c r="C4543" s="114" t="inlineStr">
        <is>
          <t>United Kingdom</t>
        </is>
      </c>
      <c r="D4543" s="114" t="inlineStr">
        <is>
          <t>23264</t>
        </is>
      </c>
      <c r="E4543" s="114" t="inlineStr">
        <is>
          <t>SET OF 3 WOODEN SLEIGH DECORATIONS</t>
        </is>
      </c>
      <c r="F4543" s="114" t="n">
        <v>1</v>
      </c>
      <c r="G4543" s="115" t="n">
        <v>1.25</v>
      </c>
      <c r="H4543" s="115" t="n">
        <v>1.25</v>
      </c>
      <c r="I4543" s="116" t="n">
        <v>40870</v>
      </c>
    </row>
    <row r="4544">
      <c r="A4544" s="117" t="inlineStr">
        <is>
          <t>578251</t>
        </is>
      </c>
      <c r="B4544" s="117" t="n">
        <v>15993</v>
      </c>
      <c r="C4544" s="117" t="inlineStr">
        <is>
          <t>United Kingdom</t>
        </is>
      </c>
      <c r="D4544" s="117" t="inlineStr">
        <is>
          <t>21015</t>
        </is>
      </c>
      <c r="E4544" s="117" t="inlineStr">
        <is>
          <t>DARK BIRD HOUSE TREE DECORATION</t>
        </is>
      </c>
      <c r="F4544" s="117" t="n">
        <v>4</v>
      </c>
      <c r="G4544" s="118" t="n">
        <v>0.29</v>
      </c>
      <c r="H4544" s="118" t="n">
        <v>1.16</v>
      </c>
      <c r="I4544" s="119" t="n">
        <v>40870</v>
      </c>
    </row>
    <row r="4545">
      <c r="A4545" s="114" t="inlineStr">
        <is>
          <t>578255</t>
        </is>
      </c>
      <c r="B4545" s="114" t="n">
        <v>14675</v>
      </c>
      <c r="C4545" s="114" t="inlineStr">
        <is>
          <t>United Kingdom</t>
        </is>
      </c>
      <c r="D4545" s="114" t="inlineStr">
        <is>
          <t>23188</t>
        </is>
      </c>
      <c r="E4545" s="114" t="inlineStr">
        <is>
          <t>VINTAGE  2 METRE FOLDING RULER</t>
        </is>
      </c>
      <c r="F4545" s="114" t="n">
        <v>1</v>
      </c>
      <c r="G4545" s="115" t="n">
        <v>1.65</v>
      </c>
      <c r="H4545" s="115" t="n">
        <v>1.65</v>
      </c>
      <c r="I4545" s="116" t="n">
        <v>40870</v>
      </c>
    </row>
    <row r="4546">
      <c r="A4546" s="117" t="inlineStr">
        <is>
          <t>578255</t>
        </is>
      </c>
      <c r="B4546" s="117" t="n">
        <v>14675</v>
      </c>
      <c r="C4546" s="117" t="inlineStr">
        <is>
          <t>United Kingdom</t>
        </is>
      </c>
      <c r="D4546" s="117" t="inlineStr">
        <is>
          <t>23120</t>
        </is>
      </c>
      <c r="E4546" s="117" t="inlineStr">
        <is>
          <t>PACK OF 6 SMALL FRUIT STRAWS</t>
        </is>
      </c>
      <c r="F4546" s="117" t="n">
        <v>1</v>
      </c>
      <c r="G4546" s="118" t="n">
        <v>0.42</v>
      </c>
      <c r="H4546" s="118" t="n">
        <v>0.42</v>
      </c>
      <c r="I4546" s="119" t="n">
        <v>40870</v>
      </c>
    </row>
    <row r="4547">
      <c r="A4547" s="114" t="inlineStr">
        <is>
          <t>578258</t>
        </is>
      </c>
      <c r="B4547" s="114" t="n">
        <v>13263</v>
      </c>
      <c r="C4547" s="114" t="inlineStr">
        <is>
          <t>United Kingdom</t>
        </is>
      </c>
      <c r="D4547" s="114" t="inlineStr">
        <is>
          <t>23213</t>
        </is>
      </c>
      <c r="E4547" s="114" t="inlineStr">
        <is>
          <t>STAR WREATH DECORATION WITH BELL</t>
        </is>
      </c>
      <c r="F4547" s="114" t="n">
        <v>5</v>
      </c>
      <c r="G4547" s="115" t="n">
        <v>1.25</v>
      </c>
      <c r="H4547" s="115" t="n">
        <v>6.25</v>
      </c>
      <c r="I4547" s="116" t="n">
        <v>40870</v>
      </c>
    </row>
    <row r="4548">
      <c r="A4548" s="117" t="inlineStr">
        <is>
          <t>578258</t>
        </is>
      </c>
      <c r="B4548" s="117" t="n">
        <v>13263</v>
      </c>
      <c r="C4548" s="117" t="inlineStr">
        <is>
          <t>United Kingdom</t>
        </is>
      </c>
      <c r="D4548" s="117" t="inlineStr">
        <is>
          <t>22576</t>
        </is>
      </c>
      <c r="E4548" s="117" t="inlineStr">
        <is>
          <t>SWALLOW WOODEN CHRISTMAS DECORATION</t>
        </is>
      </c>
      <c r="F4548" s="117" t="n">
        <v>5</v>
      </c>
      <c r="G4548" s="118" t="n">
        <v>0.85</v>
      </c>
      <c r="H4548" s="118" t="n">
        <v>4.25</v>
      </c>
      <c r="I4548" s="119" t="n">
        <v>40870</v>
      </c>
    </row>
    <row r="4549">
      <c r="A4549" s="114" t="inlineStr">
        <is>
          <t>578264</t>
        </is>
      </c>
      <c r="B4549" s="114" t="n">
        <v>12748</v>
      </c>
      <c r="C4549" s="114" t="inlineStr">
        <is>
          <t>United Kingdom</t>
        </is>
      </c>
      <c r="D4549" s="114" t="inlineStr">
        <is>
          <t>23285</t>
        </is>
      </c>
      <c r="E4549" s="114" t="inlineStr">
        <is>
          <t>PINK VINTAGE SPOT BEAKER</t>
        </is>
      </c>
      <c r="F4549" s="114" t="n">
        <v>1</v>
      </c>
      <c r="G4549" s="115" t="n">
        <v>0.85</v>
      </c>
      <c r="H4549" s="115" t="n">
        <v>0.85</v>
      </c>
      <c r="I4549" s="116" t="n">
        <v>40870</v>
      </c>
    </row>
    <row r="4550">
      <c r="A4550" s="117" t="inlineStr">
        <is>
          <t>578266</t>
        </is>
      </c>
      <c r="B4550" s="117" t="n">
        <v>12748</v>
      </c>
      <c r="C4550" s="117" t="inlineStr">
        <is>
          <t>United Kingdom</t>
        </is>
      </c>
      <c r="D4550" s="117" t="inlineStr">
        <is>
          <t>22600</t>
        </is>
      </c>
      <c r="E4550" s="117" t="inlineStr">
        <is>
          <t>CHRISTMAS RETROSPOT STAR WOOD</t>
        </is>
      </c>
      <c r="F4550" s="117" t="n">
        <v>2</v>
      </c>
      <c r="G4550" s="118" t="n">
        <v>0.85</v>
      </c>
      <c r="H4550" s="118" t="n">
        <v>1.7</v>
      </c>
      <c r="I4550" s="119" t="n">
        <v>40870</v>
      </c>
    </row>
    <row r="4551">
      <c r="A4551" s="114" t="inlineStr">
        <is>
          <t>578270</t>
        </is>
      </c>
      <c r="B4551" s="114" t="n">
        <v>14096</v>
      </c>
      <c r="C4551" s="114" t="inlineStr">
        <is>
          <t>United Kingdom</t>
        </is>
      </c>
      <c r="D4551" s="114" t="inlineStr">
        <is>
          <t>22190</t>
        </is>
      </c>
      <c r="E4551" s="114" t="inlineStr">
        <is>
          <t>LOCAL CAFE MUG</t>
        </is>
      </c>
      <c r="F4551" s="114" t="n">
        <v>1</v>
      </c>
      <c r="G4551" s="115" t="n">
        <v>2.46</v>
      </c>
      <c r="H4551" s="115" t="n">
        <v>2.46</v>
      </c>
      <c r="I4551" s="116" t="n">
        <v>40870</v>
      </c>
    </row>
    <row r="4552">
      <c r="A4552" s="117" t="inlineStr">
        <is>
          <t>578270</t>
        </is>
      </c>
      <c r="B4552" s="117" t="n">
        <v>14096</v>
      </c>
      <c r="C4552" s="117" t="inlineStr">
        <is>
          <t>United Kingdom</t>
        </is>
      </c>
      <c r="D4552" s="117" t="inlineStr">
        <is>
          <t>22445</t>
        </is>
      </c>
      <c r="E4552" s="117" t="inlineStr">
        <is>
          <t>PENCIL CASE LIFE IS BEAUTIFUL</t>
        </is>
      </c>
      <c r="F4552" s="117" t="n">
        <v>1</v>
      </c>
      <c r="G4552" s="118" t="n">
        <v>5.79</v>
      </c>
      <c r="H4552" s="118" t="n">
        <v>5.79</v>
      </c>
      <c r="I4552" s="119" t="n">
        <v>40870</v>
      </c>
    </row>
    <row r="4553">
      <c r="A4553" s="114" t="inlineStr">
        <is>
          <t>578270</t>
        </is>
      </c>
      <c r="B4553" s="114" t="n">
        <v>14096</v>
      </c>
      <c r="C4553" s="114" t="inlineStr">
        <is>
          <t>United Kingdom</t>
        </is>
      </c>
      <c r="D4553" s="114" t="inlineStr">
        <is>
          <t>23274</t>
        </is>
      </c>
      <c r="E4553" s="114" t="inlineStr">
        <is>
          <t>STAR T-LIGHT HOLDER WILLIE WINKIE</t>
        </is>
      </c>
      <c r="F4553" s="114" t="n">
        <v>2</v>
      </c>
      <c r="G4553" s="115" t="n">
        <v>3.29</v>
      </c>
      <c r="H4553" s="115" t="n">
        <v>6.58</v>
      </c>
      <c r="I4553" s="116" t="n">
        <v>40870</v>
      </c>
    </row>
    <row r="4554">
      <c r="A4554" s="117" t="inlineStr">
        <is>
          <t>578270</t>
        </is>
      </c>
      <c r="B4554" s="117" t="n">
        <v>14096</v>
      </c>
      <c r="C4554" s="117" t="inlineStr">
        <is>
          <t>United Kingdom</t>
        </is>
      </c>
      <c r="D4554" s="117" t="inlineStr">
        <is>
          <t>23275</t>
        </is>
      </c>
      <c r="E4554" s="117" t="inlineStr">
        <is>
          <t>SET OF 3 HANGING OWLS OLLIE BEAK</t>
        </is>
      </c>
      <c r="F4554" s="117" t="n">
        <v>1</v>
      </c>
      <c r="G4554" s="118" t="n">
        <v>2.46</v>
      </c>
      <c r="H4554" s="118" t="n">
        <v>2.46</v>
      </c>
      <c r="I4554" s="119" t="n">
        <v>40870</v>
      </c>
    </row>
    <row r="4555">
      <c r="A4555" s="114" t="inlineStr">
        <is>
          <t>578270</t>
        </is>
      </c>
      <c r="B4555" s="114" t="n">
        <v>14096</v>
      </c>
      <c r="C4555" s="114" t="inlineStr">
        <is>
          <t>United Kingdom</t>
        </is>
      </c>
      <c r="D4555" s="114" t="inlineStr">
        <is>
          <t>22755</t>
        </is>
      </c>
      <c r="E4555" s="114" t="inlineStr">
        <is>
          <t xml:space="preserve">SMALL PURPLE BABUSHKA NOTEBOOK </t>
        </is>
      </c>
      <c r="F4555" s="114" t="n">
        <v>2</v>
      </c>
      <c r="G4555" s="115" t="n">
        <v>1.63</v>
      </c>
      <c r="H4555" s="115" t="n">
        <v>3.26</v>
      </c>
      <c r="I4555" s="116" t="n">
        <v>40870</v>
      </c>
    </row>
    <row r="4556">
      <c r="A4556" s="117" t="inlineStr">
        <is>
          <t>578285</t>
        </is>
      </c>
      <c r="B4556" s="117" t="n">
        <v>12748</v>
      </c>
      <c r="C4556" s="117" t="inlineStr">
        <is>
          <t>United Kingdom</t>
        </is>
      </c>
      <c r="D4556" s="117" t="inlineStr">
        <is>
          <t>23583</t>
        </is>
      </c>
      <c r="E4556" s="117" t="inlineStr">
        <is>
          <t xml:space="preserve">LUNCH BAG PAISLEY PARK  </t>
        </is>
      </c>
      <c r="F4556" s="117" t="n">
        <v>1</v>
      </c>
      <c r="G4556" s="118" t="n">
        <v>1.65</v>
      </c>
      <c r="H4556" s="118" t="n">
        <v>1.65</v>
      </c>
      <c r="I4556" s="119" t="n">
        <v>40870</v>
      </c>
    </row>
    <row r="4557">
      <c r="A4557" s="114" t="inlineStr">
        <is>
          <t>578285</t>
        </is>
      </c>
      <c r="B4557" s="114" t="n">
        <v>12748</v>
      </c>
      <c r="C4557" s="114" t="inlineStr">
        <is>
          <t>United Kingdom</t>
        </is>
      </c>
      <c r="D4557" s="114" t="inlineStr">
        <is>
          <t>22952</t>
        </is>
      </c>
      <c r="E4557" s="114" t="inlineStr">
        <is>
          <t>60 CAKE CASES VINTAGE CHRISTMAS</t>
        </is>
      </c>
      <c r="F4557" s="114" t="n">
        <v>1</v>
      </c>
      <c r="G4557" s="115" t="n">
        <v>0.55</v>
      </c>
      <c r="H4557" s="115" t="n">
        <v>0.55</v>
      </c>
      <c r="I4557" s="116" t="n">
        <v>40870</v>
      </c>
    </row>
    <row r="4558">
      <c r="A4558" s="117" t="inlineStr">
        <is>
          <t>578289</t>
        </is>
      </c>
      <c r="B4558" s="117" t="n">
        <v>17841</v>
      </c>
      <c r="C4558" s="117" t="inlineStr">
        <is>
          <t>United Kingdom</t>
        </is>
      </c>
      <c r="D4558" s="117" t="inlineStr">
        <is>
          <t>21042</t>
        </is>
      </c>
      <c r="E4558" s="117" t="inlineStr">
        <is>
          <t xml:space="preserve">RED RETROSPOT APRON </t>
        </is>
      </c>
      <c r="F4558" s="117" t="n">
        <v>3</v>
      </c>
      <c r="G4558" s="118" t="n">
        <v>5.95</v>
      </c>
      <c r="H4558" s="118" t="n">
        <v>17.85</v>
      </c>
      <c r="I4558" s="119" t="n">
        <v>40870</v>
      </c>
    </row>
    <row r="4559">
      <c r="A4559" s="114" t="inlineStr">
        <is>
          <t>578289</t>
        </is>
      </c>
      <c r="B4559" s="114" t="n">
        <v>17841</v>
      </c>
      <c r="C4559" s="114" t="inlineStr">
        <is>
          <t>United Kingdom</t>
        </is>
      </c>
      <c r="D4559" s="114" t="inlineStr">
        <is>
          <t>22104</t>
        </is>
      </c>
      <c r="E4559" s="114" t="inlineStr">
        <is>
          <t>MIRROR MOSAIC CANDLE PLATE</t>
        </is>
      </c>
      <c r="F4559" s="114" t="n">
        <v>1</v>
      </c>
      <c r="G4559" s="115" t="n">
        <v>1.45</v>
      </c>
      <c r="H4559" s="115" t="n">
        <v>1.45</v>
      </c>
      <c r="I4559" s="116" t="n">
        <v>40870</v>
      </c>
    </row>
    <row r="4560">
      <c r="A4560" s="117" t="inlineStr">
        <is>
          <t>578292</t>
        </is>
      </c>
      <c r="B4560" s="117" t="n">
        <v>13174</v>
      </c>
      <c r="C4560" s="117" t="inlineStr">
        <is>
          <t>United Kingdom</t>
        </is>
      </c>
      <c r="D4560" s="117" t="inlineStr">
        <is>
          <t>21191</t>
        </is>
      </c>
      <c r="E4560" s="117" t="inlineStr">
        <is>
          <t xml:space="preserve">LARGE WHITE HONEYCOMB PAPER BELL  </t>
        </is>
      </c>
      <c r="F4560" s="117" t="n">
        <v>12</v>
      </c>
      <c r="G4560" s="118" t="n">
        <v>2.1</v>
      </c>
      <c r="H4560" s="118" t="n">
        <v>25.2</v>
      </c>
      <c r="I4560" s="119" t="n">
        <v>40870</v>
      </c>
    </row>
    <row r="4561">
      <c r="A4561" s="114" t="inlineStr">
        <is>
          <t>578299</t>
        </is>
      </c>
      <c r="B4561" s="114" t="n">
        <v>16660</v>
      </c>
      <c r="C4561" s="114" t="inlineStr">
        <is>
          <t>United Kingdom</t>
        </is>
      </c>
      <c r="D4561" s="114" t="inlineStr">
        <is>
          <t>21731</t>
        </is>
      </c>
      <c r="E4561" s="114" t="inlineStr">
        <is>
          <t>RED TOADSTOOL LED NIGHT LIGHT</t>
        </is>
      </c>
      <c r="F4561" s="114" t="n">
        <v>12</v>
      </c>
      <c r="G4561" s="115" t="n">
        <v>1.65</v>
      </c>
      <c r="H4561" s="115" t="n">
        <v>19.8</v>
      </c>
      <c r="I4561" s="116" t="n">
        <v>40870</v>
      </c>
    </row>
    <row r="4562">
      <c r="A4562" s="117" t="inlineStr">
        <is>
          <t>578305</t>
        </is>
      </c>
      <c r="B4562" s="117" t="n">
        <v>14088</v>
      </c>
      <c r="C4562" s="117" t="inlineStr">
        <is>
          <t>United Kingdom</t>
        </is>
      </c>
      <c r="D4562" s="117" t="inlineStr">
        <is>
          <t>23532</t>
        </is>
      </c>
      <c r="E4562" s="117" t="inlineStr">
        <is>
          <t xml:space="preserve">WALL ART WORK REST AND PLAY  </t>
        </is>
      </c>
      <c r="F4562" s="117" t="n">
        <v>6</v>
      </c>
      <c r="G4562" s="118" t="n">
        <v>4.15</v>
      </c>
      <c r="H4562" s="118" t="n">
        <v>24.9</v>
      </c>
      <c r="I4562" s="119" t="n">
        <v>40870</v>
      </c>
    </row>
    <row r="4563">
      <c r="A4563" s="114" t="inlineStr">
        <is>
          <t>578307</t>
        </is>
      </c>
      <c r="B4563" s="114" t="n">
        <v>17290</v>
      </c>
      <c r="C4563" s="114" t="inlineStr">
        <is>
          <t>United Kingdom</t>
        </is>
      </c>
      <c r="D4563" s="114" t="inlineStr">
        <is>
          <t>23468</t>
        </is>
      </c>
      <c r="E4563" s="114" t="inlineStr">
        <is>
          <t xml:space="preserve">TUSCAN VILLA BIRD TABLE </t>
        </is>
      </c>
      <c r="F4563" s="114" t="n">
        <v>2</v>
      </c>
      <c r="G4563" s="115" t="n">
        <v>8.25</v>
      </c>
      <c r="H4563" s="115" t="n">
        <v>16.5</v>
      </c>
      <c r="I4563" s="116" t="n">
        <v>40870</v>
      </c>
    </row>
    <row r="4564">
      <c r="A4564" s="117" t="inlineStr">
        <is>
          <t>578307</t>
        </is>
      </c>
      <c r="B4564" s="117" t="n">
        <v>17290</v>
      </c>
      <c r="C4564" s="117" t="inlineStr">
        <is>
          <t>United Kingdom</t>
        </is>
      </c>
      <c r="D4564" s="117" t="inlineStr">
        <is>
          <t>22952</t>
        </is>
      </c>
      <c r="E4564" s="117" t="inlineStr">
        <is>
          <t>60 CAKE CASES VINTAGE CHRISTMAS</t>
        </is>
      </c>
      <c r="F4564" s="117" t="n">
        <v>1</v>
      </c>
      <c r="G4564" s="118" t="n">
        <v>0.55</v>
      </c>
      <c r="H4564" s="118" t="n">
        <v>0.55</v>
      </c>
      <c r="I4564" s="119" t="n">
        <v>40870</v>
      </c>
    </row>
    <row r="4565">
      <c r="A4565" s="114" t="inlineStr">
        <is>
          <t>578350</t>
        </is>
      </c>
      <c r="B4565" s="114" t="n">
        <v>15632</v>
      </c>
      <c r="C4565" s="114" t="inlineStr">
        <is>
          <t>United Kingdom</t>
        </is>
      </c>
      <c r="D4565" s="114" t="inlineStr">
        <is>
          <t>22553</t>
        </is>
      </c>
      <c r="E4565" s="114" t="inlineStr">
        <is>
          <t>PLASTERS IN TIN SKULLS</t>
        </is>
      </c>
      <c r="F4565" s="114" t="n">
        <v>12</v>
      </c>
      <c r="G4565" s="115" t="n">
        <v>1.65</v>
      </c>
      <c r="H4565" s="115" t="n">
        <v>19.8</v>
      </c>
      <c r="I4565" s="116" t="n">
        <v>40871</v>
      </c>
    </row>
    <row r="4566">
      <c r="A4566" s="117" t="inlineStr">
        <is>
          <t>578354</t>
        </is>
      </c>
      <c r="B4566" s="117" t="n">
        <v>17139</v>
      </c>
      <c r="C4566" s="117" t="inlineStr">
        <is>
          <t>United Kingdom</t>
        </is>
      </c>
      <c r="D4566" s="117" t="inlineStr">
        <is>
          <t>23175</t>
        </is>
      </c>
      <c r="E4566" s="117" t="inlineStr">
        <is>
          <t xml:space="preserve">REGENCY MILK JUG PINK </t>
        </is>
      </c>
      <c r="F4566" s="117" t="n">
        <v>4</v>
      </c>
      <c r="G4566" s="118" t="n">
        <v>3.25</v>
      </c>
      <c r="H4566" s="118" t="n">
        <v>13</v>
      </c>
      <c r="I4566" s="119" t="n">
        <v>40871</v>
      </c>
    </row>
    <row r="4567">
      <c r="A4567" s="114" t="inlineStr">
        <is>
          <t>578359</t>
        </is>
      </c>
      <c r="B4567" s="114" t="n">
        <v>14607</v>
      </c>
      <c r="C4567" s="114" t="inlineStr">
        <is>
          <t>United Kingdom</t>
        </is>
      </c>
      <c r="D4567" s="114" t="inlineStr">
        <is>
          <t>22411</t>
        </is>
      </c>
      <c r="E4567" s="114" t="inlineStr">
        <is>
          <t>JUMBO SHOPPER VINTAGE RED PAISLEY</t>
        </is>
      </c>
      <c r="F4567" s="114" t="n">
        <v>100</v>
      </c>
      <c r="G4567" s="115" t="n">
        <v>1.79</v>
      </c>
      <c r="H4567" s="115" t="n">
        <v>179</v>
      </c>
      <c r="I4567" s="116" t="n">
        <v>40871</v>
      </c>
    </row>
    <row r="4568">
      <c r="A4568" s="117" t="inlineStr">
        <is>
          <t>578420</t>
        </is>
      </c>
      <c r="B4568" s="117" t="n">
        <v>16326</v>
      </c>
      <c r="C4568" s="117" t="inlineStr">
        <is>
          <t>United Kingdom</t>
        </is>
      </c>
      <c r="D4568" s="117" t="inlineStr">
        <is>
          <t>23284</t>
        </is>
      </c>
      <c r="E4568" s="117" t="inlineStr">
        <is>
          <t>DOORMAT KEEP CALM AND COME IN</t>
        </is>
      </c>
      <c r="F4568" s="117" t="n">
        <v>4</v>
      </c>
      <c r="G4568" s="118" t="n">
        <v>8.25</v>
      </c>
      <c r="H4568" s="118" t="n">
        <v>33</v>
      </c>
      <c r="I4568" s="119" t="n">
        <v>40871</v>
      </c>
    </row>
    <row r="4569">
      <c r="A4569" s="114" t="inlineStr">
        <is>
          <t>578429</t>
        </is>
      </c>
      <c r="B4569" s="114" t="n">
        <v>16271</v>
      </c>
      <c r="C4569" s="114" t="inlineStr">
        <is>
          <t>United Kingdom</t>
        </is>
      </c>
      <c r="D4569" s="114" t="inlineStr">
        <is>
          <t>23581</t>
        </is>
      </c>
      <c r="E4569" s="114" t="inlineStr">
        <is>
          <t>JUMBO BAG PAISLEY PARK</t>
        </is>
      </c>
      <c r="F4569" s="114" t="n">
        <v>10</v>
      </c>
      <c r="G4569" s="115" t="n">
        <v>2.08</v>
      </c>
      <c r="H4569" s="115" t="n">
        <v>20.8</v>
      </c>
      <c r="I4569" s="116" t="n">
        <v>40871</v>
      </c>
    </row>
    <row r="4570">
      <c r="A4570" s="117" t="inlineStr">
        <is>
          <t>578468</t>
        </is>
      </c>
      <c r="B4570" s="117" t="n">
        <v>16482</v>
      </c>
      <c r="C4570" s="117" t="inlineStr">
        <is>
          <t>United Kingdom</t>
        </is>
      </c>
      <c r="D4570" s="117" t="inlineStr">
        <is>
          <t>21733</t>
        </is>
      </c>
      <c r="E4570" s="117" t="inlineStr">
        <is>
          <t>RED HANGING HEART T-LIGHT HOLDER</t>
        </is>
      </c>
      <c r="F4570" s="117" t="n">
        <v>6</v>
      </c>
      <c r="G4570" s="118" t="n">
        <v>2.95</v>
      </c>
      <c r="H4570" s="118" t="n">
        <v>17.7</v>
      </c>
      <c r="I4570" s="119" t="n">
        <v>40871</v>
      </c>
    </row>
    <row r="4571">
      <c r="A4571" s="114" t="inlineStr">
        <is>
          <t>578472</t>
        </is>
      </c>
      <c r="B4571" s="114" t="n">
        <v>12476</v>
      </c>
      <c r="C4571" s="114" t="inlineStr">
        <is>
          <t>Germany</t>
        </is>
      </c>
      <c r="D4571" s="114" t="inlineStr">
        <is>
          <t>23253</t>
        </is>
      </c>
      <c r="E4571" s="114" t="inlineStr">
        <is>
          <t>16 PIECE CUTLERY SET PANTRY DESIGN</t>
        </is>
      </c>
      <c r="F4571" s="114" t="n">
        <v>4</v>
      </c>
      <c r="G4571" s="115" t="n">
        <v>15.95</v>
      </c>
      <c r="H4571" s="115" t="n">
        <v>63.8</v>
      </c>
      <c r="I4571" s="116" t="n">
        <v>40871</v>
      </c>
    </row>
    <row r="4572">
      <c r="A4572" s="117" t="inlineStr">
        <is>
          <t>578480</t>
        </is>
      </c>
      <c r="B4572" s="117" t="n">
        <v>15502</v>
      </c>
      <c r="C4572" s="117" t="inlineStr">
        <is>
          <t>United Kingdom</t>
        </is>
      </c>
      <c r="D4572" s="117" t="inlineStr">
        <is>
          <t>22922</t>
        </is>
      </c>
      <c r="E4572" s="117" t="inlineStr">
        <is>
          <t>FRIDGE MAGNETS US DINER ASSORTED</t>
        </is>
      </c>
      <c r="F4572" s="117" t="n">
        <v>12</v>
      </c>
      <c r="G4572" s="118" t="n">
        <v>0.85</v>
      </c>
      <c r="H4572" s="118" t="n">
        <v>10.2</v>
      </c>
      <c r="I4572" s="119" t="n">
        <v>40871</v>
      </c>
    </row>
    <row r="4573">
      <c r="A4573" s="114" t="inlineStr">
        <is>
          <t>578488</t>
        </is>
      </c>
      <c r="B4573" s="114" t="n">
        <v>12784</v>
      </c>
      <c r="C4573" s="114" t="inlineStr">
        <is>
          <t>Portugal</t>
        </is>
      </c>
      <c r="D4573" s="114" t="inlineStr">
        <is>
          <t>23197</t>
        </is>
      </c>
      <c r="E4573" s="114" t="inlineStr">
        <is>
          <t>SKETCHBOOK MAGNETIC SHOPPING LIST</t>
        </is>
      </c>
      <c r="F4573" s="114" t="n">
        <v>2</v>
      </c>
      <c r="G4573" s="115" t="n">
        <v>1.45</v>
      </c>
      <c r="H4573" s="115" t="n">
        <v>2.9</v>
      </c>
      <c r="I4573" s="116" t="n">
        <v>40871</v>
      </c>
    </row>
    <row r="4574">
      <c r="A4574" s="117" t="inlineStr">
        <is>
          <t>578488</t>
        </is>
      </c>
      <c r="B4574" s="117" t="n">
        <v>12784</v>
      </c>
      <c r="C4574" s="117" t="inlineStr">
        <is>
          <t>Portugal</t>
        </is>
      </c>
      <c r="D4574" s="117" t="inlineStr">
        <is>
          <t>22905</t>
        </is>
      </c>
      <c r="E4574" s="117" t="inlineStr">
        <is>
          <t>CALENDAR IN SEASON DESIGN</t>
        </is>
      </c>
      <c r="F4574" s="117" t="n">
        <v>1</v>
      </c>
      <c r="G4574" s="118" t="n">
        <v>2.95</v>
      </c>
      <c r="H4574" s="118" t="n">
        <v>2.95</v>
      </c>
      <c r="I4574" s="119" t="n">
        <v>40871</v>
      </c>
    </row>
    <row r="4575">
      <c r="A4575" s="114" t="inlineStr">
        <is>
          <t>578506</t>
        </is>
      </c>
      <c r="B4575" s="114" t="n">
        <v>17458</v>
      </c>
      <c r="C4575" s="114" t="inlineStr">
        <is>
          <t>United Kingdom</t>
        </is>
      </c>
      <c r="D4575" s="114" t="inlineStr">
        <is>
          <t>20982</t>
        </is>
      </c>
      <c r="E4575" s="114" t="inlineStr">
        <is>
          <t>12 PENCILS TALL TUBE SKULLS</t>
        </is>
      </c>
      <c r="F4575" s="114" t="n">
        <v>2</v>
      </c>
      <c r="G4575" s="115" t="n">
        <v>0.85</v>
      </c>
      <c r="H4575" s="115" t="n">
        <v>1.7</v>
      </c>
      <c r="I4575" s="116" t="n">
        <v>40871</v>
      </c>
    </row>
    <row r="4576">
      <c r="A4576" s="117" t="inlineStr">
        <is>
          <t>578510</t>
        </is>
      </c>
      <c r="B4576" s="117" t="n">
        <v>14056</v>
      </c>
      <c r="C4576" s="117" t="inlineStr">
        <is>
          <t>United Kingdom</t>
        </is>
      </c>
      <c r="D4576" s="117" t="inlineStr">
        <is>
          <t>22840</t>
        </is>
      </c>
      <c r="E4576" s="117" t="inlineStr">
        <is>
          <t>ROUND CAKE TIN VINTAGE RED</t>
        </is>
      </c>
      <c r="F4576" s="117" t="n">
        <v>1</v>
      </c>
      <c r="G4576" s="118" t="n">
        <v>7.95</v>
      </c>
      <c r="H4576" s="118" t="n">
        <v>7.95</v>
      </c>
      <c r="I4576" s="119" t="n">
        <v>40871</v>
      </c>
    </row>
    <row r="4577">
      <c r="A4577" s="114" t="inlineStr">
        <is>
          <t>578510</t>
        </is>
      </c>
      <c r="B4577" s="114" t="n">
        <v>14056</v>
      </c>
      <c r="C4577" s="114" t="inlineStr">
        <is>
          <t>United Kingdom</t>
        </is>
      </c>
      <c r="D4577" s="114" t="inlineStr">
        <is>
          <t>22734</t>
        </is>
      </c>
      <c r="E4577" s="114" t="inlineStr">
        <is>
          <t>SET OF 6 RIBBONS VINTAGE CHRISTMAS</t>
        </is>
      </c>
      <c r="F4577" s="114" t="n">
        <v>2</v>
      </c>
      <c r="G4577" s="115" t="n">
        <v>2.89</v>
      </c>
      <c r="H4577" s="115" t="n">
        <v>5.78</v>
      </c>
      <c r="I4577" s="116" t="n">
        <v>40871</v>
      </c>
    </row>
    <row r="4578">
      <c r="A4578" s="117" t="inlineStr">
        <is>
          <t>578513</t>
        </is>
      </c>
      <c r="B4578" s="117" t="n">
        <v>16609</v>
      </c>
      <c r="C4578" s="117" t="inlineStr">
        <is>
          <t>United Kingdom</t>
        </is>
      </c>
      <c r="D4578" s="117" t="inlineStr">
        <is>
          <t>23199</t>
        </is>
      </c>
      <c r="E4578" s="117" t="inlineStr">
        <is>
          <t>JUMBO BAG APPLES</t>
        </is>
      </c>
      <c r="F4578" s="117" t="n">
        <v>20</v>
      </c>
      <c r="G4578" s="118" t="n">
        <v>2.08</v>
      </c>
      <c r="H4578" s="118" t="n">
        <v>41.6</v>
      </c>
      <c r="I4578" s="119" t="n">
        <v>40871</v>
      </c>
    </row>
    <row r="4579">
      <c r="A4579" s="114" t="inlineStr">
        <is>
          <t>578513</t>
        </is>
      </c>
      <c r="B4579" s="114" t="n">
        <v>16609</v>
      </c>
      <c r="C4579" s="114" t="inlineStr">
        <is>
          <t>United Kingdom</t>
        </is>
      </c>
      <c r="D4579" s="114" t="inlineStr">
        <is>
          <t>22111</t>
        </is>
      </c>
      <c r="E4579" s="114" t="inlineStr">
        <is>
          <t>SCOTTIE DOG HOT WATER BOTTLE</t>
        </is>
      </c>
      <c r="F4579" s="114" t="n">
        <v>3</v>
      </c>
      <c r="G4579" s="115" t="n">
        <v>4.95</v>
      </c>
      <c r="H4579" s="115" t="n">
        <v>14.85</v>
      </c>
      <c r="I4579" s="116" t="n">
        <v>40871</v>
      </c>
    </row>
    <row r="4580">
      <c r="A4580" s="117" t="inlineStr">
        <is>
          <t>578516</t>
        </is>
      </c>
      <c r="B4580" s="117" t="n">
        <v>14591</v>
      </c>
      <c r="C4580" s="117" t="inlineStr">
        <is>
          <t>United Kingdom</t>
        </is>
      </c>
      <c r="D4580" s="117" t="inlineStr">
        <is>
          <t>21819</t>
        </is>
      </c>
      <c r="E4580" s="117" t="inlineStr">
        <is>
          <t xml:space="preserve">GLITTER CHRISTMAS STAR </t>
        </is>
      </c>
      <c r="F4580" s="117" t="n">
        <v>36</v>
      </c>
      <c r="G4580" s="118" t="n">
        <v>0.39</v>
      </c>
      <c r="H4580" s="118" t="n">
        <v>14.04</v>
      </c>
      <c r="I4580" s="119" t="n">
        <v>40871</v>
      </c>
    </row>
    <row r="4581">
      <c r="A4581" s="114" t="inlineStr">
        <is>
          <t>578519</t>
        </is>
      </c>
      <c r="B4581" s="114" t="n">
        <v>14591</v>
      </c>
      <c r="C4581" s="114" t="inlineStr">
        <is>
          <t>United Kingdom</t>
        </is>
      </c>
      <c r="D4581" s="114" t="inlineStr">
        <is>
          <t>22553</t>
        </is>
      </c>
      <c r="E4581" s="114" t="inlineStr">
        <is>
          <t>PLASTERS IN TIN SKULLS</t>
        </is>
      </c>
      <c r="F4581" s="114" t="n">
        <v>3</v>
      </c>
      <c r="G4581" s="115" t="n">
        <v>1.65</v>
      </c>
      <c r="H4581" s="115" t="n">
        <v>4.95</v>
      </c>
      <c r="I4581" s="116" t="n">
        <v>40871</v>
      </c>
    </row>
    <row r="4582">
      <c r="A4582" s="117" t="inlineStr">
        <is>
          <t>578519</t>
        </is>
      </c>
      <c r="B4582" s="117" t="n">
        <v>14591</v>
      </c>
      <c r="C4582" s="117" t="inlineStr">
        <is>
          <t>United Kingdom</t>
        </is>
      </c>
      <c r="D4582" s="117" t="inlineStr">
        <is>
          <t>21558</t>
        </is>
      </c>
      <c r="E4582" s="117" t="inlineStr">
        <is>
          <t xml:space="preserve">SKULL LUNCH BOX WITH CUTLERY </t>
        </is>
      </c>
      <c r="F4582" s="117" t="n">
        <v>2</v>
      </c>
      <c r="G4582" s="118" t="n">
        <v>2.55</v>
      </c>
      <c r="H4582" s="118" t="n">
        <v>5.1</v>
      </c>
      <c r="I4582" s="119" t="n">
        <v>40871</v>
      </c>
    </row>
    <row r="4583">
      <c r="A4583" s="114" t="inlineStr">
        <is>
          <t>578519</t>
        </is>
      </c>
      <c r="B4583" s="114" t="n">
        <v>14591</v>
      </c>
      <c r="C4583" s="114" t="inlineStr">
        <is>
          <t>United Kingdom</t>
        </is>
      </c>
      <c r="D4583" s="114" t="inlineStr">
        <is>
          <t>21559</t>
        </is>
      </c>
      <c r="E4583" s="114" t="inlineStr">
        <is>
          <t>STRAWBERRY LUNCH BOX WITH CUTLERY</t>
        </is>
      </c>
      <c r="F4583" s="114" t="n">
        <v>1</v>
      </c>
      <c r="G4583" s="115" t="n">
        <v>2.55</v>
      </c>
      <c r="H4583" s="115" t="n">
        <v>2.55</v>
      </c>
      <c r="I4583" s="116" t="n">
        <v>40871</v>
      </c>
    </row>
    <row r="4584">
      <c r="A4584" s="117" t="inlineStr">
        <is>
          <t>578519</t>
        </is>
      </c>
      <c r="B4584" s="117" t="n">
        <v>14591</v>
      </c>
      <c r="C4584" s="117" t="inlineStr">
        <is>
          <t>United Kingdom</t>
        </is>
      </c>
      <c r="D4584" s="117" t="inlineStr">
        <is>
          <t>85184C</t>
        </is>
      </c>
      <c r="E4584" s="117" t="inlineStr">
        <is>
          <t>SET 4 VALENTINE DECOUPAGE HEART BOX</t>
        </is>
      </c>
      <c r="F4584" s="117" t="n">
        <v>1</v>
      </c>
      <c r="G4584" s="118" t="n">
        <v>2.95</v>
      </c>
      <c r="H4584" s="118" t="n">
        <v>2.95</v>
      </c>
      <c r="I4584" s="119" t="n">
        <v>40871</v>
      </c>
    </row>
    <row r="4585">
      <c r="A4585" s="114" t="inlineStr">
        <is>
          <t>578521</t>
        </is>
      </c>
      <c r="B4585" s="114" t="n">
        <v>17812</v>
      </c>
      <c r="C4585" s="114" t="inlineStr">
        <is>
          <t>United Kingdom</t>
        </is>
      </c>
      <c r="D4585" s="114" t="inlineStr">
        <is>
          <t>22910</t>
        </is>
      </c>
      <c r="E4585" s="114" t="inlineStr">
        <is>
          <t>PAPER CHAIN KIT VINTAGE CHRISTMAS</t>
        </is>
      </c>
      <c r="F4585" s="114" t="n">
        <v>1</v>
      </c>
      <c r="G4585" s="115" t="n">
        <v>2.95</v>
      </c>
      <c r="H4585" s="115" t="n">
        <v>2.95</v>
      </c>
      <c r="I4585" s="116" t="n">
        <v>40871</v>
      </c>
    </row>
    <row r="4586">
      <c r="A4586" s="117" t="inlineStr">
        <is>
          <t>578521</t>
        </is>
      </c>
      <c r="B4586" s="117" t="n">
        <v>17812</v>
      </c>
      <c r="C4586" s="117" t="inlineStr">
        <is>
          <t>United Kingdom</t>
        </is>
      </c>
      <c r="D4586" s="117" t="inlineStr">
        <is>
          <t>22910</t>
        </is>
      </c>
      <c r="E4586" s="117" t="inlineStr">
        <is>
          <t>PAPER CHAIN KIT VINTAGE CHRISTMAS</t>
        </is>
      </c>
      <c r="F4586" s="117" t="n">
        <v>1</v>
      </c>
      <c r="G4586" s="118" t="n">
        <v>2.95</v>
      </c>
      <c r="H4586" s="118" t="n">
        <v>2.95</v>
      </c>
      <c r="I4586" s="119" t="n">
        <v>40871</v>
      </c>
    </row>
    <row r="4587">
      <c r="A4587" s="114" t="inlineStr">
        <is>
          <t>578522</t>
        </is>
      </c>
      <c r="B4587" s="114" t="n">
        <v>17254</v>
      </c>
      <c r="C4587" s="114" t="inlineStr">
        <is>
          <t>United Kingdom</t>
        </is>
      </c>
      <c r="D4587" s="114" t="inlineStr">
        <is>
          <t>22974</t>
        </is>
      </c>
      <c r="E4587" s="114" t="inlineStr">
        <is>
          <t>CHILDRENS DOLLY GIRL MUG</t>
        </is>
      </c>
      <c r="F4587" s="114" t="n">
        <v>2</v>
      </c>
      <c r="G4587" s="115" t="n">
        <v>1.65</v>
      </c>
      <c r="H4587" s="115" t="n">
        <v>3.3</v>
      </c>
      <c r="I4587" s="116" t="n">
        <v>40871</v>
      </c>
    </row>
    <row r="4588">
      <c r="A4588" s="117" t="inlineStr">
        <is>
          <t>578531</t>
        </is>
      </c>
      <c r="B4588" s="117" t="n">
        <v>17364</v>
      </c>
      <c r="C4588" s="117" t="inlineStr">
        <is>
          <t>United Kingdom</t>
        </is>
      </c>
      <c r="D4588" s="117" t="inlineStr">
        <is>
          <t>22802</t>
        </is>
      </c>
      <c r="E4588" s="117" t="inlineStr">
        <is>
          <t>FAUX FUR CHOCOLATE THROW</t>
        </is>
      </c>
      <c r="F4588" s="117" t="n">
        <v>1</v>
      </c>
      <c r="G4588" s="118" t="n">
        <v>19.95</v>
      </c>
      <c r="H4588" s="118" t="n">
        <v>19.95</v>
      </c>
      <c r="I4588" s="119" t="n">
        <v>40871</v>
      </c>
    </row>
    <row r="4589">
      <c r="A4589" s="114" t="inlineStr">
        <is>
          <t>578531</t>
        </is>
      </c>
      <c r="B4589" s="114" t="n">
        <v>17364</v>
      </c>
      <c r="C4589" s="114" t="inlineStr">
        <is>
          <t>United Kingdom</t>
        </is>
      </c>
      <c r="D4589" s="114" t="inlineStr">
        <is>
          <t>23350</t>
        </is>
      </c>
      <c r="E4589" s="114" t="inlineStr">
        <is>
          <t xml:space="preserve">ROLL WRAP VINTAGE SPOT </t>
        </is>
      </c>
      <c r="F4589" s="114" t="n">
        <v>1</v>
      </c>
      <c r="G4589" s="115" t="n">
        <v>1.25</v>
      </c>
      <c r="H4589" s="115" t="n">
        <v>1.25</v>
      </c>
      <c r="I4589" s="116" t="n">
        <v>40871</v>
      </c>
    </row>
    <row r="4590">
      <c r="A4590" s="117" t="inlineStr">
        <is>
          <t>578541</t>
        </is>
      </c>
      <c r="B4590" s="117" t="n">
        <v>14277</v>
      </c>
      <c r="C4590" s="117" t="inlineStr">
        <is>
          <t>France</t>
        </is>
      </c>
      <c r="D4590" s="117" t="inlineStr">
        <is>
          <t>21165</t>
        </is>
      </c>
      <c r="E4590" s="117" t="inlineStr">
        <is>
          <t xml:space="preserve">BEWARE OF THE CAT METAL SIGN </t>
        </is>
      </c>
      <c r="F4590" s="117" t="n">
        <v>9</v>
      </c>
      <c r="G4590" s="118" t="n">
        <v>1.69</v>
      </c>
      <c r="H4590" s="118" t="n">
        <v>15.21</v>
      </c>
      <c r="I4590" s="119" t="n">
        <v>40871</v>
      </c>
    </row>
    <row r="4591">
      <c r="A4591" s="114" t="inlineStr">
        <is>
          <t>578541</t>
        </is>
      </c>
      <c r="B4591" s="114" t="n">
        <v>14277</v>
      </c>
      <c r="C4591" s="114" t="inlineStr">
        <is>
          <t>France</t>
        </is>
      </c>
      <c r="D4591" s="114" t="inlineStr">
        <is>
          <t>21485</t>
        </is>
      </c>
      <c r="E4591" s="114" t="inlineStr">
        <is>
          <t>RETROSPOT HEART HOT WATER BOTTLE</t>
        </is>
      </c>
      <c r="F4591" s="114" t="n">
        <v>3</v>
      </c>
      <c r="G4591" s="115" t="n">
        <v>4.95</v>
      </c>
      <c r="H4591" s="115" t="n">
        <v>14.85</v>
      </c>
      <c r="I4591" s="116" t="n">
        <v>40871</v>
      </c>
    </row>
    <row r="4592">
      <c r="A4592" s="117" t="inlineStr">
        <is>
          <t>578548</t>
        </is>
      </c>
      <c r="B4592" s="117" t="n">
        <v>17345</v>
      </c>
      <c r="C4592" s="117" t="inlineStr">
        <is>
          <t>United Kingdom</t>
        </is>
      </c>
      <c r="D4592" s="117" t="inlineStr">
        <is>
          <t>22593</t>
        </is>
      </c>
      <c r="E4592" s="117" t="inlineStr">
        <is>
          <t>CHRISTMAS GINGHAM STAR</t>
        </is>
      </c>
      <c r="F4592" s="117" t="n">
        <v>2</v>
      </c>
      <c r="G4592" s="118" t="n">
        <v>0.85</v>
      </c>
      <c r="H4592" s="118" t="n">
        <v>1.7</v>
      </c>
      <c r="I4592" s="119" t="n">
        <v>40871</v>
      </c>
    </row>
    <row r="4593">
      <c r="A4593" s="114" t="inlineStr">
        <is>
          <t>578551</t>
        </is>
      </c>
      <c r="B4593" s="114" t="n">
        <v>12937</v>
      </c>
      <c r="C4593" s="114" t="inlineStr">
        <is>
          <t>United Kingdom</t>
        </is>
      </c>
      <c r="D4593" s="114" t="inlineStr">
        <is>
          <t>21621</t>
        </is>
      </c>
      <c r="E4593" s="114" t="inlineStr">
        <is>
          <t>VINTAGE UNION JACK BUNTING</t>
        </is>
      </c>
      <c r="F4593" s="114" t="n">
        <v>2</v>
      </c>
      <c r="G4593" s="115" t="n">
        <v>8.5</v>
      </c>
      <c r="H4593" s="115" t="n">
        <v>17</v>
      </c>
      <c r="I4593" s="116" t="n">
        <v>40871</v>
      </c>
    </row>
    <row r="4594">
      <c r="A4594" s="117" t="inlineStr">
        <is>
          <t>578620</t>
        </is>
      </c>
      <c r="B4594" s="117" t="n">
        <v>17247</v>
      </c>
      <c r="C4594" s="117" t="inlineStr">
        <is>
          <t>United Kingdom</t>
        </is>
      </c>
      <c r="D4594" s="117" t="inlineStr">
        <is>
          <t>22956</t>
        </is>
      </c>
      <c r="E4594" s="117" t="inlineStr">
        <is>
          <t>36 FOIL HEART CAKE CASES</t>
        </is>
      </c>
      <c r="F4594" s="117" t="n">
        <v>1</v>
      </c>
      <c r="G4594" s="118" t="n">
        <v>2.1</v>
      </c>
      <c r="H4594" s="118" t="n">
        <v>2.1</v>
      </c>
      <c r="I4594" s="119" t="n">
        <v>40871</v>
      </c>
    </row>
    <row r="4595">
      <c r="A4595" s="114" t="inlineStr">
        <is>
          <t>578631</t>
        </is>
      </c>
      <c r="B4595" s="114" t="n">
        <v>14805</v>
      </c>
      <c r="C4595" s="114" t="inlineStr">
        <is>
          <t>United Kingdom</t>
        </is>
      </c>
      <c r="D4595" s="114" t="inlineStr">
        <is>
          <t>23284</t>
        </is>
      </c>
      <c r="E4595" s="114" t="inlineStr">
        <is>
          <t>DOORMAT KEEP CALM AND COME IN</t>
        </is>
      </c>
      <c r="F4595" s="114" t="n">
        <v>10</v>
      </c>
      <c r="G4595" s="115" t="n">
        <v>7.08</v>
      </c>
      <c r="H4595" s="115" t="n">
        <v>70.8</v>
      </c>
      <c r="I4595" s="116" t="n">
        <v>40871</v>
      </c>
    </row>
    <row r="4596">
      <c r="A4596" s="117" t="inlineStr">
        <is>
          <t>578664</t>
        </is>
      </c>
      <c r="B4596" s="117" t="n">
        <v>15910</v>
      </c>
      <c r="C4596" s="117" t="inlineStr">
        <is>
          <t>United Kingdom</t>
        </is>
      </c>
      <c r="D4596" s="117" t="inlineStr">
        <is>
          <t>23571</t>
        </is>
      </c>
      <c r="E4596" s="117" t="inlineStr">
        <is>
          <t>TRADITIONAL NAUGHTS &amp; CROSSES</t>
        </is>
      </c>
      <c r="F4596" s="117" t="n">
        <v>2</v>
      </c>
      <c r="G4596" s="118" t="n">
        <v>1.65</v>
      </c>
      <c r="H4596" s="118" t="n">
        <v>3.3</v>
      </c>
      <c r="I4596" s="119" t="n">
        <v>40871</v>
      </c>
    </row>
    <row r="4597">
      <c r="A4597" s="114" t="inlineStr">
        <is>
          <t>578675</t>
        </is>
      </c>
      <c r="B4597" s="114" t="n">
        <v>14756</v>
      </c>
      <c r="C4597" s="114" t="inlineStr">
        <is>
          <t>United Kingdom</t>
        </is>
      </c>
      <c r="D4597" s="114" t="inlineStr">
        <is>
          <t>23233</t>
        </is>
      </c>
      <c r="E4597" s="114" t="inlineStr">
        <is>
          <t>WRAP POPPIES  DESIGN</t>
        </is>
      </c>
      <c r="F4597" s="114" t="n">
        <v>25</v>
      </c>
      <c r="G4597" s="115" t="n">
        <v>0.42</v>
      </c>
      <c r="H4597" s="115" t="n">
        <v>10.5</v>
      </c>
      <c r="I4597" s="116" t="n">
        <v>40871</v>
      </c>
    </row>
    <row r="4598">
      <c r="A4598" s="117" t="inlineStr">
        <is>
          <t>578678</t>
        </is>
      </c>
      <c r="B4598" s="117" t="n">
        <v>17841</v>
      </c>
      <c r="C4598" s="117" t="inlineStr">
        <is>
          <t>United Kingdom</t>
        </is>
      </c>
      <c r="D4598" s="117" t="inlineStr">
        <is>
          <t>21034</t>
        </is>
      </c>
      <c r="E4598" s="117" t="inlineStr">
        <is>
          <t>REX CASH+CARRY JUMBO SHOPPER</t>
        </is>
      </c>
      <c r="F4598" s="117" t="n">
        <v>1</v>
      </c>
      <c r="G4598" s="118" t="n">
        <v>0.95</v>
      </c>
      <c r="H4598" s="118" t="n">
        <v>0.95</v>
      </c>
      <c r="I4598" s="119" t="n">
        <v>40871</v>
      </c>
    </row>
    <row r="4599">
      <c r="A4599" s="114" t="inlineStr">
        <is>
          <t>578678</t>
        </is>
      </c>
      <c r="B4599" s="114" t="n">
        <v>17841</v>
      </c>
      <c r="C4599" s="114" t="inlineStr">
        <is>
          <t>United Kingdom</t>
        </is>
      </c>
      <c r="D4599" s="114" t="inlineStr">
        <is>
          <t>20961</t>
        </is>
      </c>
      <c r="E4599" s="114" t="inlineStr">
        <is>
          <t xml:space="preserve">STRAWBERRY BATH SPONGE </t>
        </is>
      </c>
      <c r="F4599" s="114" t="n">
        <v>1</v>
      </c>
      <c r="G4599" s="115" t="n">
        <v>1.25</v>
      </c>
      <c r="H4599" s="115" t="n">
        <v>1.25</v>
      </c>
      <c r="I4599" s="116" t="n">
        <v>40871</v>
      </c>
    </row>
    <row r="4600">
      <c r="A4600" s="117" t="inlineStr">
        <is>
          <t>578686</t>
        </is>
      </c>
      <c r="B4600" s="117" t="n">
        <v>13050</v>
      </c>
      <c r="C4600" s="117" t="inlineStr">
        <is>
          <t>United Kingdom</t>
        </is>
      </c>
      <c r="D4600" s="117" t="inlineStr">
        <is>
          <t>23092</t>
        </is>
      </c>
      <c r="E4600" s="117" t="inlineStr">
        <is>
          <t>LARGE ANTIQUE WHITE PHOTO FRAME</t>
        </is>
      </c>
      <c r="F4600" s="117" t="n">
        <v>2</v>
      </c>
      <c r="G4600" s="118" t="n">
        <v>7.9</v>
      </c>
      <c r="H4600" s="118" t="n">
        <v>15.8</v>
      </c>
      <c r="I4600" s="119" t="n">
        <v>40872</v>
      </c>
    </row>
    <row r="4601">
      <c r="A4601" s="114" t="inlineStr">
        <is>
          <t>578688</t>
        </is>
      </c>
      <c r="B4601" s="114" t="n">
        <v>16719</v>
      </c>
      <c r="C4601" s="114" t="inlineStr">
        <is>
          <t>United Kingdom</t>
        </is>
      </c>
      <c r="D4601" s="114" t="inlineStr">
        <is>
          <t>23333</t>
        </is>
      </c>
      <c r="E4601" s="114" t="inlineStr">
        <is>
          <t>IVORY WICKER HEART MEDIUM</t>
        </is>
      </c>
      <c r="F4601" s="114" t="n">
        <v>4</v>
      </c>
      <c r="G4601" s="115" t="n">
        <v>1.25</v>
      </c>
      <c r="H4601" s="115" t="n">
        <v>5</v>
      </c>
      <c r="I4601" s="116" t="n">
        <v>40872</v>
      </c>
    </row>
    <row r="4602">
      <c r="A4602" s="117" t="inlineStr">
        <is>
          <t>578689</t>
        </is>
      </c>
      <c r="B4602" s="117" t="n">
        <v>15793</v>
      </c>
      <c r="C4602" s="117" t="inlineStr">
        <is>
          <t>United Kingdom</t>
        </is>
      </c>
      <c r="D4602" s="117" t="inlineStr">
        <is>
          <t>85123A</t>
        </is>
      </c>
      <c r="E4602" s="117" t="inlineStr">
        <is>
          <t>WHITE HANGING HEART T-LIGHT HOLDER</t>
        </is>
      </c>
      <c r="F4602" s="117" t="n">
        <v>32</v>
      </c>
      <c r="G4602" s="118" t="n">
        <v>2.55</v>
      </c>
      <c r="H4602" s="118" t="n">
        <v>81.59999999999999</v>
      </c>
      <c r="I4602" s="119" t="n">
        <v>40872</v>
      </c>
    </row>
    <row r="4603">
      <c r="A4603" s="114" t="inlineStr">
        <is>
          <t>578696</t>
        </is>
      </c>
      <c r="B4603" s="114" t="n">
        <v>13985</v>
      </c>
      <c r="C4603" s="114" t="inlineStr">
        <is>
          <t>United Kingdom</t>
        </is>
      </c>
      <c r="D4603" s="114" t="inlineStr">
        <is>
          <t>20979</t>
        </is>
      </c>
      <c r="E4603" s="114" t="inlineStr">
        <is>
          <t>36 PENCILS TUBE RED RETROSPOT</t>
        </is>
      </c>
      <c r="F4603" s="114" t="n">
        <v>16</v>
      </c>
      <c r="G4603" s="115" t="n">
        <v>1.25</v>
      </c>
      <c r="H4603" s="115" t="n">
        <v>20</v>
      </c>
      <c r="I4603" s="116" t="n">
        <v>40872</v>
      </c>
    </row>
    <row r="4604">
      <c r="A4604" s="117" t="inlineStr">
        <is>
          <t>578702</t>
        </is>
      </c>
      <c r="B4604" s="117" t="n">
        <v>15382</v>
      </c>
      <c r="C4604" s="117" t="inlineStr">
        <is>
          <t>United Kingdom</t>
        </is>
      </c>
      <c r="D4604" s="117" t="inlineStr">
        <is>
          <t>23205</t>
        </is>
      </c>
      <c r="E4604" s="117" t="inlineStr">
        <is>
          <t xml:space="preserve">CHARLOTTE BAG VINTAGE ALPHABET </t>
        </is>
      </c>
      <c r="F4604" s="117" t="n">
        <v>10</v>
      </c>
      <c r="G4604" s="118" t="n">
        <v>0.85</v>
      </c>
      <c r="H4604" s="118" t="n">
        <v>8.5</v>
      </c>
      <c r="I4604" s="119" t="n">
        <v>40872</v>
      </c>
    </row>
    <row r="4605">
      <c r="A4605" s="114" t="inlineStr">
        <is>
          <t>578702</t>
        </is>
      </c>
      <c r="B4605" s="114" t="n">
        <v>15382</v>
      </c>
      <c r="C4605" s="114" t="inlineStr">
        <is>
          <t>United Kingdom</t>
        </is>
      </c>
      <c r="D4605" s="114" t="inlineStr">
        <is>
          <t>22966</t>
        </is>
      </c>
      <c r="E4605" s="114" t="inlineStr">
        <is>
          <t>GINGERBREAD MAN COOKIE CUTTER</t>
        </is>
      </c>
      <c r="F4605" s="114" t="n">
        <v>24</v>
      </c>
      <c r="G4605" s="115" t="n">
        <v>1.25</v>
      </c>
      <c r="H4605" s="115" t="n">
        <v>30</v>
      </c>
      <c r="I4605" s="116" t="n">
        <v>40872</v>
      </c>
    </row>
    <row r="4606">
      <c r="A4606" s="117" t="inlineStr">
        <is>
          <t>578702</t>
        </is>
      </c>
      <c r="B4606" s="117" t="n">
        <v>15382</v>
      </c>
      <c r="C4606" s="117" t="inlineStr">
        <is>
          <t>United Kingdom</t>
        </is>
      </c>
      <c r="D4606" s="117" t="inlineStr">
        <is>
          <t>23571</t>
        </is>
      </c>
      <c r="E4606" s="117" t="inlineStr">
        <is>
          <t>TRADITIONAL NAUGHTS &amp; CROSSES</t>
        </is>
      </c>
      <c r="F4606" s="117" t="n">
        <v>12</v>
      </c>
      <c r="G4606" s="118" t="n">
        <v>1.65</v>
      </c>
      <c r="H4606" s="118" t="n">
        <v>19.8</v>
      </c>
      <c r="I4606" s="119" t="n">
        <v>40872</v>
      </c>
    </row>
    <row r="4607">
      <c r="A4607" s="114" t="inlineStr">
        <is>
          <t>578707</t>
        </is>
      </c>
      <c r="B4607" s="114" t="n">
        <v>17870</v>
      </c>
      <c r="C4607" s="114" t="inlineStr">
        <is>
          <t>United Kingdom</t>
        </is>
      </c>
      <c r="D4607" s="114" t="inlineStr">
        <is>
          <t>20975</t>
        </is>
      </c>
      <c r="E4607" s="114" t="inlineStr">
        <is>
          <t>12 PENCILS SMALL TUBE RED RETROSPOT</t>
        </is>
      </c>
      <c r="F4607" s="114" t="n">
        <v>2</v>
      </c>
      <c r="G4607" s="115" t="n">
        <v>0.65</v>
      </c>
      <c r="H4607" s="115" t="n">
        <v>1.3</v>
      </c>
      <c r="I4607" s="116" t="n">
        <v>40872</v>
      </c>
    </row>
    <row r="4608">
      <c r="A4608" s="117" t="inlineStr">
        <is>
          <t>578707</t>
        </is>
      </c>
      <c r="B4608" s="117" t="n">
        <v>17870</v>
      </c>
      <c r="C4608" s="117" t="inlineStr">
        <is>
          <t>United Kingdom</t>
        </is>
      </c>
      <c r="D4608" s="117" t="inlineStr">
        <is>
          <t>23501</t>
        </is>
      </c>
      <c r="E4608" s="117" t="inlineStr">
        <is>
          <t>KEY RING BASEBALL BOOT UNION JACK</t>
        </is>
      </c>
      <c r="F4608" s="117" t="n">
        <v>2</v>
      </c>
      <c r="G4608" s="118" t="n">
        <v>1.25</v>
      </c>
      <c r="H4608" s="118" t="n">
        <v>2.5</v>
      </c>
      <c r="I4608" s="119" t="n">
        <v>40872</v>
      </c>
    </row>
    <row r="4609">
      <c r="A4609" s="114" t="inlineStr">
        <is>
          <t>578719</t>
        </is>
      </c>
      <c r="B4609" s="114" t="n">
        <v>17348</v>
      </c>
      <c r="C4609" s="114" t="inlineStr">
        <is>
          <t>United Kingdom</t>
        </is>
      </c>
      <c r="D4609" s="114" t="inlineStr">
        <is>
          <t>21981</t>
        </is>
      </c>
      <c r="E4609" s="114" t="inlineStr">
        <is>
          <t xml:space="preserve">PACK OF 12 WOODLAND TISSUES </t>
        </is>
      </c>
      <c r="F4609" s="114" t="n">
        <v>12</v>
      </c>
      <c r="G4609" s="115" t="n">
        <v>0.39</v>
      </c>
      <c r="H4609" s="115" t="n">
        <v>4.68</v>
      </c>
      <c r="I4609" s="116" t="n">
        <v>40872</v>
      </c>
    </row>
    <row r="4610">
      <c r="A4610" s="117" t="inlineStr">
        <is>
          <t>578757</t>
        </is>
      </c>
      <c r="B4610" s="117" t="n">
        <v>12748</v>
      </c>
      <c r="C4610" s="117" t="inlineStr">
        <is>
          <t>United Kingdom</t>
        </is>
      </c>
      <c r="D4610" s="117" t="inlineStr">
        <is>
          <t>23126</t>
        </is>
      </c>
      <c r="E4610" s="117" t="inlineStr">
        <is>
          <t>FELTCRAFT GIRL AMELIE KIT</t>
        </is>
      </c>
      <c r="F4610" s="117" t="n">
        <v>1</v>
      </c>
      <c r="G4610" s="118" t="n">
        <v>4.95</v>
      </c>
      <c r="H4610" s="118" t="n">
        <v>4.95</v>
      </c>
      <c r="I4610" s="119" t="n">
        <v>40872</v>
      </c>
    </row>
    <row r="4611">
      <c r="A4611" s="114" t="inlineStr">
        <is>
          <t>578757</t>
        </is>
      </c>
      <c r="B4611" s="114" t="n">
        <v>12748</v>
      </c>
      <c r="C4611" s="114" t="inlineStr">
        <is>
          <t>United Kingdom</t>
        </is>
      </c>
      <c r="D4611" s="114" t="inlineStr">
        <is>
          <t>21428</t>
        </is>
      </c>
      <c r="E4611" s="114" t="inlineStr">
        <is>
          <t xml:space="preserve">SET3 BOOK BOX GREEN GINGHAM FLOWER </t>
        </is>
      </c>
      <c r="F4611" s="114" t="n">
        <v>1</v>
      </c>
      <c r="G4611" s="115" t="n">
        <v>4.25</v>
      </c>
      <c r="H4611" s="115" t="n">
        <v>4.25</v>
      </c>
      <c r="I4611" s="116" t="n">
        <v>40872</v>
      </c>
    </row>
    <row r="4612">
      <c r="A4612" s="117" t="inlineStr">
        <is>
          <t>578781</t>
        </is>
      </c>
      <c r="B4612" s="117" t="n">
        <v>15872</v>
      </c>
      <c r="C4612" s="117" t="inlineStr">
        <is>
          <t>United Kingdom</t>
        </is>
      </c>
      <c r="D4612" s="117" t="inlineStr">
        <is>
          <t>22562</t>
        </is>
      </c>
      <c r="E4612" s="117" t="inlineStr">
        <is>
          <t>MONSTERS STENCIL CRAFT</t>
        </is>
      </c>
      <c r="F4612" s="117" t="n">
        <v>1</v>
      </c>
      <c r="G4612" s="118" t="n">
        <v>1.25</v>
      </c>
      <c r="H4612" s="118" t="n">
        <v>1.25</v>
      </c>
      <c r="I4612" s="119" t="n">
        <v>40872</v>
      </c>
    </row>
    <row r="4613">
      <c r="A4613" s="114" t="inlineStr">
        <is>
          <t>578781</t>
        </is>
      </c>
      <c r="B4613" s="114" t="n">
        <v>15872</v>
      </c>
      <c r="C4613" s="114" t="inlineStr">
        <is>
          <t>United Kingdom</t>
        </is>
      </c>
      <c r="D4613" s="114" t="inlineStr">
        <is>
          <t>22148</t>
        </is>
      </c>
      <c r="E4613" s="114" t="inlineStr">
        <is>
          <t xml:space="preserve">EASTER CRAFT 4 CHICKS </t>
        </is>
      </c>
      <c r="F4613" s="114" t="n">
        <v>2</v>
      </c>
      <c r="G4613" s="115" t="n">
        <v>1.95</v>
      </c>
      <c r="H4613" s="115" t="n">
        <v>3.9</v>
      </c>
      <c r="I4613" s="116" t="n">
        <v>40872</v>
      </c>
    </row>
    <row r="4614">
      <c r="A4614" s="117" t="inlineStr">
        <is>
          <t>578781</t>
        </is>
      </c>
      <c r="B4614" s="117" t="n">
        <v>15872</v>
      </c>
      <c r="C4614" s="117" t="inlineStr">
        <is>
          <t>United Kingdom</t>
        </is>
      </c>
      <c r="D4614" s="117" t="inlineStr">
        <is>
          <t>23569</t>
        </is>
      </c>
      <c r="E4614" s="117" t="inlineStr">
        <is>
          <t>TRADTIONAL ALPHABET STAMP SET</t>
        </is>
      </c>
      <c r="F4614" s="117" t="n">
        <v>1</v>
      </c>
      <c r="G4614" s="118" t="n">
        <v>4.95</v>
      </c>
      <c r="H4614" s="118" t="n">
        <v>4.95</v>
      </c>
      <c r="I4614" s="119" t="n">
        <v>40872</v>
      </c>
    </row>
    <row r="4615">
      <c r="A4615" s="114" t="inlineStr">
        <is>
          <t>578781</t>
        </is>
      </c>
      <c r="B4615" s="114" t="n">
        <v>15872</v>
      </c>
      <c r="C4615" s="114" t="inlineStr">
        <is>
          <t>United Kingdom</t>
        </is>
      </c>
      <c r="D4615" s="114" t="inlineStr">
        <is>
          <t>22376</t>
        </is>
      </c>
      <c r="E4615" s="114" t="inlineStr">
        <is>
          <t>AIRLINE BAG VINTAGE JET SET WHITE</t>
        </is>
      </c>
      <c r="F4615" s="114" t="n">
        <v>1</v>
      </c>
      <c r="G4615" s="115" t="n">
        <v>4.25</v>
      </c>
      <c r="H4615" s="115" t="n">
        <v>4.25</v>
      </c>
      <c r="I4615" s="116" t="n">
        <v>40872</v>
      </c>
    </row>
    <row r="4616">
      <c r="A4616" s="117" t="inlineStr">
        <is>
          <t>578783</t>
        </is>
      </c>
      <c r="B4616" s="117" t="n">
        <v>12748</v>
      </c>
      <c r="C4616" s="117" t="inlineStr">
        <is>
          <t>United Kingdom</t>
        </is>
      </c>
      <c r="D4616" s="117" t="inlineStr">
        <is>
          <t>20972</t>
        </is>
      </c>
      <c r="E4616" s="117" t="inlineStr">
        <is>
          <t xml:space="preserve">PINK CREAM FELT CRAFT TRINKET BOX </t>
        </is>
      </c>
      <c r="F4616" s="117" t="n">
        <v>12</v>
      </c>
      <c r="G4616" s="118" t="n">
        <v>1.25</v>
      </c>
      <c r="H4616" s="118" t="n">
        <v>15</v>
      </c>
      <c r="I4616" s="119" t="n">
        <v>40872</v>
      </c>
    </row>
    <row r="4617">
      <c r="A4617" s="114" t="inlineStr">
        <is>
          <t>578786</t>
        </is>
      </c>
      <c r="B4617" s="114" t="n">
        <v>13184</v>
      </c>
      <c r="C4617" s="114" t="inlineStr">
        <is>
          <t>United Kingdom</t>
        </is>
      </c>
      <c r="D4617" s="114" t="inlineStr">
        <is>
          <t>85071B</t>
        </is>
      </c>
      <c r="E4617" s="114" t="inlineStr">
        <is>
          <t>RED CHARLIE+LOLA PERSONAL DOORSIGN</t>
        </is>
      </c>
      <c r="F4617" s="114" t="n">
        <v>4</v>
      </c>
      <c r="G4617" s="115" t="n">
        <v>0.39</v>
      </c>
      <c r="H4617" s="115" t="n">
        <v>1.56</v>
      </c>
      <c r="I4617" s="116" t="n">
        <v>40872</v>
      </c>
    </row>
    <row r="4618">
      <c r="A4618" s="117" t="inlineStr">
        <is>
          <t>578790</t>
        </is>
      </c>
      <c r="B4618" s="117" t="n">
        <v>14966</v>
      </c>
      <c r="C4618" s="117" t="inlineStr">
        <is>
          <t>United Kingdom</t>
        </is>
      </c>
      <c r="D4618" s="117" t="inlineStr">
        <is>
          <t>23419</t>
        </is>
      </c>
      <c r="E4618" s="117" t="inlineStr">
        <is>
          <t xml:space="preserve">HOME SWEET HOME BOTTLE </t>
        </is>
      </c>
      <c r="F4618" s="117" t="n">
        <v>1</v>
      </c>
      <c r="G4618" s="118" t="n">
        <v>2.08</v>
      </c>
      <c r="H4618" s="118" t="n">
        <v>2.08</v>
      </c>
      <c r="I4618" s="119" t="n">
        <v>40872</v>
      </c>
    </row>
    <row r="4619">
      <c r="A4619" s="114" t="inlineStr">
        <is>
          <t>578806</t>
        </is>
      </c>
      <c r="B4619" s="114" t="n">
        <v>13149</v>
      </c>
      <c r="C4619" s="114" t="inlineStr">
        <is>
          <t>United Kingdom</t>
        </is>
      </c>
      <c r="D4619" s="114" t="inlineStr">
        <is>
          <t>22186</t>
        </is>
      </c>
      <c r="E4619" s="114" t="inlineStr">
        <is>
          <t>RED STAR CARD HOLDER</t>
        </is>
      </c>
      <c r="F4619" s="114" t="n">
        <v>12</v>
      </c>
      <c r="G4619" s="115" t="n">
        <v>1.95</v>
      </c>
      <c r="H4619" s="115" t="n">
        <v>23.4</v>
      </c>
      <c r="I4619" s="116" t="n">
        <v>40872</v>
      </c>
    </row>
    <row r="4620">
      <c r="A4620" s="117" t="inlineStr">
        <is>
          <t>578814</t>
        </is>
      </c>
      <c r="B4620" s="117" t="n">
        <v>12748</v>
      </c>
      <c r="C4620" s="117" t="inlineStr">
        <is>
          <t>United Kingdom</t>
        </is>
      </c>
      <c r="D4620" s="117" t="inlineStr">
        <is>
          <t>23378</t>
        </is>
      </c>
      <c r="E4620" s="117" t="inlineStr">
        <is>
          <t>PACK OF 12 50'S CHRISTMAS TISSUES</t>
        </is>
      </c>
      <c r="F4620" s="117" t="n">
        <v>2</v>
      </c>
      <c r="G4620" s="118" t="n">
        <v>0.39</v>
      </c>
      <c r="H4620" s="118" t="n">
        <v>0.78</v>
      </c>
      <c r="I4620" s="119" t="n">
        <v>40872</v>
      </c>
    </row>
    <row r="4621">
      <c r="A4621" s="114" t="inlineStr">
        <is>
          <t>578817</t>
        </is>
      </c>
      <c r="B4621" s="114" t="n">
        <v>16764</v>
      </c>
      <c r="C4621" s="114" t="inlineStr">
        <is>
          <t>United Kingdom</t>
        </is>
      </c>
      <c r="D4621" s="114" t="inlineStr">
        <is>
          <t>20727</t>
        </is>
      </c>
      <c r="E4621" s="114" t="inlineStr">
        <is>
          <t>LUNCH BAG  BLACK SKULL.</t>
        </is>
      </c>
      <c r="F4621" s="114" t="n">
        <v>1</v>
      </c>
      <c r="G4621" s="115" t="n">
        <v>1.65</v>
      </c>
      <c r="H4621" s="115" t="n">
        <v>1.65</v>
      </c>
      <c r="I4621" s="116" t="n">
        <v>40872</v>
      </c>
    </row>
    <row r="4622">
      <c r="A4622" s="117" t="inlineStr">
        <is>
          <t>578817</t>
        </is>
      </c>
      <c r="B4622" s="117" t="n">
        <v>16764</v>
      </c>
      <c r="C4622" s="117" t="inlineStr">
        <is>
          <t>United Kingdom</t>
        </is>
      </c>
      <c r="D4622" s="117" t="inlineStr">
        <is>
          <t>23145</t>
        </is>
      </c>
      <c r="E4622" s="117" t="inlineStr">
        <is>
          <t>ZINC T-LIGHT HOLDER STAR LARGE</t>
        </is>
      </c>
      <c r="F4622" s="117" t="n">
        <v>2</v>
      </c>
      <c r="G4622" s="118" t="n">
        <v>0.95</v>
      </c>
      <c r="H4622" s="118" t="n">
        <v>1.9</v>
      </c>
      <c r="I4622" s="119" t="n">
        <v>40872</v>
      </c>
    </row>
    <row r="4623">
      <c r="A4623" s="114" t="inlineStr">
        <is>
          <t>578817</t>
        </is>
      </c>
      <c r="B4623" s="114" t="n">
        <v>16764</v>
      </c>
      <c r="C4623" s="114" t="inlineStr">
        <is>
          <t>United Kingdom</t>
        </is>
      </c>
      <c r="D4623" s="114" t="inlineStr">
        <is>
          <t>22470</t>
        </is>
      </c>
      <c r="E4623" s="114" t="inlineStr">
        <is>
          <t>HEART OF WICKER LARGE</t>
        </is>
      </c>
      <c r="F4623" s="114" t="n">
        <v>1</v>
      </c>
      <c r="G4623" s="115" t="n">
        <v>2.95</v>
      </c>
      <c r="H4623" s="115" t="n">
        <v>2.95</v>
      </c>
      <c r="I4623" s="116" t="n">
        <v>40872</v>
      </c>
    </row>
    <row r="4624">
      <c r="A4624" s="117" t="inlineStr">
        <is>
          <t>578817</t>
        </is>
      </c>
      <c r="B4624" s="117" t="n">
        <v>16764</v>
      </c>
      <c r="C4624" s="117" t="inlineStr">
        <is>
          <t>United Kingdom</t>
        </is>
      </c>
      <c r="D4624" s="117" t="inlineStr">
        <is>
          <t>23583</t>
        </is>
      </c>
      <c r="E4624" s="117" t="inlineStr">
        <is>
          <t xml:space="preserve">LUNCH BAG PAISLEY PARK  </t>
        </is>
      </c>
      <c r="F4624" s="117" t="n">
        <v>1</v>
      </c>
      <c r="G4624" s="118" t="n">
        <v>1.65</v>
      </c>
      <c r="H4624" s="118" t="n">
        <v>1.65</v>
      </c>
      <c r="I4624" s="119" t="n">
        <v>40872</v>
      </c>
    </row>
    <row r="4625">
      <c r="A4625" s="114" t="inlineStr">
        <is>
          <t>578843</t>
        </is>
      </c>
      <c r="B4625" s="114" t="n">
        <v>17813</v>
      </c>
      <c r="C4625" s="114" t="inlineStr">
        <is>
          <t>United Kingdom</t>
        </is>
      </c>
      <c r="D4625" s="114" t="inlineStr">
        <is>
          <t>23360</t>
        </is>
      </c>
      <c r="E4625" s="114" t="inlineStr">
        <is>
          <t>SET 8 CANDLES VINTAGE DOILY</t>
        </is>
      </c>
      <c r="F4625" s="114" t="n">
        <v>2</v>
      </c>
      <c r="G4625" s="115" t="n">
        <v>1.95</v>
      </c>
      <c r="H4625" s="115" t="n">
        <v>3.9</v>
      </c>
      <c r="I4625" s="116" t="n">
        <v>40872</v>
      </c>
    </row>
    <row r="4626">
      <c r="A4626" s="117" t="inlineStr">
        <is>
          <t>578851</t>
        </is>
      </c>
      <c r="B4626" s="117" t="n">
        <v>16407</v>
      </c>
      <c r="C4626" s="117" t="inlineStr">
        <is>
          <t>United Kingdom</t>
        </is>
      </c>
      <c r="D4626" s="117" t="inlineStr">
        <is>
          <t>21669</t>
        </is>
      </c>
      <c r="E4626" s="117" t="inlineStr">
        <is>
          <t>BLUE STRIPE CERAMIC DRAWER KNOB</t>
        </is>
      </c>
      <c r="F4626" s="117" t="n">
        <v>6</v>
      </c>
      <c r="G4626" s="118" t="n">
        <v>1.45</v>
      </c>
      <c r="H4626" s="118" t="n">
        <v>8.699999999999999</v>
      </c>
      <c r="I4626" s="119" t="n">
        <v>40874</v>
      </c>
    </row>
    <row r="4627">
      <c r="A4627" s="114" t="inlineStr">
        <is>
          <t>578852</t>
        </is>
      </c>
      <c r="B4627" s="114" t="n">
        <v>17841</v>
      </c>
      <c r="C4627" s="114" t="inlineStr">
        <is>
          <t>United Kingdom</t>
        </is>
      </c>
      <c r="D4627" s="114" t="inlineStr">
        <is>
          <t>23265</t>
        </is>
      </c>
      <c r="E4627" s="114" t="inlineStr">
        <is>
          <t>SET OF 3 WOODEN TREE DECORATIONS</t>
        </is>
      </c>
      <c r="F4627" s="114" t="n">
        <v>4</v>
      </c>
      <c r="G4627" s="115" t="n">
        <v>1.25</v>
      </c>
      <c r="H4627" s="115" t="n">
        <v>5</v>
      </c>
      <c r="I4627" s="116" t="n">
        <v>40874</v>
      </c>
    </row>
    <row r="4628">
      <c r="A4628" s="117" t="inlineStr">
        <is>
          <t>578856</t>
        </is>
      </c>
      <c r="B4628" s="117" t="n">
        <v>17769</v>
      </c>
      <c r="C4628" s="117" t="inlineStr">
        <is>
          <t>United Kingdom</t>
        </is>
      </c>
      <c r="D4628" s="117" t="inlineStr">
        <is>
          <t>23535</t>
        </is>
      </c>
      <c r="E4628" s="117" t="inlineStr">
        <is>
          <t>WALL ART BICYCLE SAFETY</t>
        </is>
      </c>
      <c r="F4628" s="117" t="n">
        <v>4</v>
      </c>
      <c r="G4628" s="118" t="n">
        <v>5.95</v>
      </c>
      <c r="H4628" s="118" t="n">
        <v>23.8</v>
      </c>
      <c r="I4628" s="119" t="n">
        <v>40874</v>
      </c>
    </row>
    <row r="4629">
      <c r="A4629" s="114" t="inlineStr">
        <is>
          <t>578858</t>
        </is>
      </c>
      <c r="B4629" s="114" t="n">
        <v>18145</v>
      </c>
      <c r="C4629" s="114" t="inlineStr">
        <is>
          <t>United Kingdom</t>
        </is>
      </c>
      <c r="D4629" s="114" t="inlineStr">
        <is>
          <t>23493</t>
        </is>
      </c>
      <c r="E4629" s="114" t="inlineStr">
        <is>
          <t>VINTAGE DOILY TRAVEL SEWING KIT</t>
        </is>
      </c>
      <c r="F4629" s="114" t="n">
        <v>4</v>
      </c>
      <c r="G4629" s="115" t="n">
        <v>1.95</v>
      </c>
      <c r="H4629" s="115" t="n">
        <v>7.8</v>
      </c>
      <c r="I4629" s="116" t="n">
        <v>40874</v>
      </c>
    </row>
    <row r="4630">
      <c r="A4630" s="117" t="inlineStr">
        <is>
          <t>578858</t>
        </is>
      </c>
      <c r="B4630" s="117" t="n">
        <v>18145</v>
      </c>
      <c r="C4630" s="117" t="inlineStr">
        <is>
          <t>United Kingdom</t>
        </is>
      </c>
      <c r="D4630" s="117" t="inlineStr">
        <is>
          <t>22023</t>
        </is>
      </c>
      <c r="E4630" s="117" t="inlineStr">
        <is>
          <t>EMPIRE BIRTHDAY CARD</t>
        </is>
      </c>
      <c r="F4630" s="117" t="n">
        <v>12</v>
      </c>
      <c r="G4630" s="118" t="n">
        <v>0.42</v>
      </c>
      <c r="H4630" s="118" t="n">
        <v>5.04</v>
      </c>
      <c r="I4630" s="119" t="n">
        <v>40874</v>
      </c>
    </row>
    <row r="4631">
      <c r="A4631" s="114" t="inlineStr">
        <is>
          <t>578858</t>
        </is>
      </c>
      <c r="B4631" s="114" t="n">
        <v>18145</v>
      </c>
      <c r="C4631" s="114" t="inlineStr">
        <is>
          <t>United Kingdom</t>
        </is>
      </c>
      <c r="D4631" s="114" t="inlineStr">
        <is>
          <t>22646</t>
        </is>
      </c>
      <c r="E4631" s="114" t="inlineStr">
        <is>
          <t>CERAMIC STRAWBERRY CAKE MONEY BANK</t>
        </is>
      </c>
      <c r="F4631" s="114" t="n">
        <v>12</v>
      </c>
      <c r="G4631" s="115" t="n">
        <v>1.45</v>
      </c>
      <c r="H4631" s="115" t="n">
        <v>17.4</v>
      </c>
      <c r="I4631" s="116" t="n">
        <v>40874</v>
      </c>
    </row>
    <row r="4632">
      <c r="A4632" s="117" t="inlineStr">
        <is>
          <t>578901</t>
        </is>
      </c>
      <c r="B4632" s="117" t="n">
        <v>17812</v>
      </c>
      <c r="C4632" s="117" t="inlineStr">
        <is>
          <t>United Kingdom</t>
        </is>
      </c>
      <c r="D4632" s="117" t="inlineStr">
        <is>
          <t>23354</t>
        </is>
      </c>
      <c r="E4632" s="117" t="inlineStr">
        <is>
          <t xml:space="preserve">6 GIFT TAGS 50'S CHRISTMAS </t>
        </is>
      </c>
      <c r="F4632" s="117" t="n">
        <v>1</v>
      </c>
      <c r="G4632" s="118" t="n">
        <v>0.83</v>
      </c>
      <c r="H4632" s="118" t="n">
        <v>0.83</v>
      </c>
      <c r="I4632" s="119" t="n">
        <v>40874</v>
      </c>
    </row>
    <row r="4633">
      <c r="A4633" s="114" t="inlineStr">
        <is>
          <t>578901</t>
        </is>
      </c>
      <c r="B4633" s="114" t="n">
        <v>17812</v>
      </c>
      <c r="C4633" s="114" t="inlineStr">
        <is>
          <t>United Kingdom</t>
        </is>
      </c>
      <c r="D4633" s="114" t="inlineStr">
        <is>
          <t>21620</t>
        </is>
      </c>
      <c r="E4633" s="114" t="inlineStr">
        <is>
          <t>SET OF 4 ROSE BOTANICAL CANDLES</t>
        </is>
      </c>
      <c r="F4633" s="114" t="n">
        <v>2</v>
      </c>
      <c r="G4633" s="115" t="n">
        <v>1.25</v>
      </c>
      <c r="H4633" s="115" t="n">
        <v>2.5</v>
      </c>
      <c r="I4633" s="116" t="n">
        <v>40874</v>
      </c>
    </row>
    <row r="4634">
      <c r="A4634" s="117" t="inlineStr">
        <is>
          <t>578921</t>
        </is>
      </c>
      <c r="B4634" s="117" t="n">
        <v>13596</v>
      </c>
      <c r="C4634" s="117" t="inlineStr">
        <is>
          <t>United Kingdom</t>
        </is>
      </c>
      <c r="D4634" s="117" t="inlineStr">
        <is>
          <t>21718</t>
        </is>
      </c>
      <c r="E4634" s="117" t="inlineStr">
        <is>
          <t xml:space="preserve">RED METAL BEACH SPADE </t>
        </is>
      </c>
      <c r="F4634" s="117" t="n">
        <v>1</v>
      </c>
      <c r="G4634" s="118" t="n">
        <v>1.25</v>
      </c>
      <c r="H4634" s="118" t="n">
        <v>1.25</v>
      </c>
      <c r="I4634" s="119" t="n">
        <v>40874</v>
      </c>
    </row>
    <row r="4635">
      <c r="A4635" s="114" t="inlineStr">
        <is>
          <t>578923</t>
        </is>
      </c>
      <c r="B4635" s="114" t="n">
        <v>14527</v>
      </c>
      <c r="C4635" s="114" t="inlineStr">
        <is>
          <t>United Kingdom</t>
        </is>
      </c>
      <c r="D4635" s="114" t="inlineStr">
        <is>
          <t>22111</t>
        </is>
      </c>
      <c r="E4635" s="114" t="inlineStr">
        <is>
          <t>SCOTTIE DOG HOT WATER BOTTLE</t>
        </is>
      </c>
      <c r="F4635" s="114" t="n">
        <v>1</v>
      </c>
      <c r="G4635" s="115" t="n">
        <v>4.95</v>
      </c>
      <c r="H4635" s="115" t="n">
        <v>4.95</v>
      </c>
      <c r="I4635" s="116" t="n">
        <v>40874</v>
      </c>
    </row>
    <row r="4636">
      <c r="A4636" s="117" t="inlineStr">
        <is>
          <t>578925</t>
        </is>
      </c>
      <c r="B4636" s="117" t="n">
        <v>17365</v>
      </c>
      <c r="C4636" s="117" t="inlineStr">
        <is>
          <t>United Kingdom</t>
        </is>
      </c>
      <c r="D4636" s="117" t="inlineStr">
        <is>
          <t>22086</t>
        </is>
      </c>
      <c r="E4636" s="117" t="inlineStr">
        <is>
          <t xml:space="preserve">PAPER CHAIN KIT 50'S CHRISTMAS </t>
        </is>
      </c>
      <c r="F4636" s="117" t="n">
        <v>1</v>
      </c>
      <c r="G4636" s="118" t="n">
        <v>2.95</v>
      </c>
      <c r="H4636" s="118" t="n">
        <v>2.95</v>
      </c>
      <c r="I4636" s="119" t="n">
        <v>40874</v>
      </c>
    </row>
    <row r="4637">
      <c r="A4637" s="114" t="inlineStr">
        <is>
          <t>578925</t>
        </is>
      </c>
      <c r="B4637" s="114" t="n">
        <v>17365</v>
      </c>
      <c r="C4637" s="114" t="inlineStr">
        <is>
          <t>United Kingdom</t>
        </is>
      </c>
      <c r="D4637" s="114" t="inlineStr">
        <is>
          <t>22576</t>
        </is>
      </c>
      <c r="E4637" s="114" t="inlineStr">
        <is>
          <t>SWALLOW WOODEN CHRISTMAS DECORATION</t>
        </is>
      </c>
      <c r="F4637" s="114" t="n">
        <v>2</v>
      </c>
      <c r="G4637" s="115" t="n">
        <v>0.85</v>
      </c>
      <c r="H4637" s="115" t="n">
        <v>1.7</v>
      </c>
      <c r="I4637" s="116" t="n">
        <v>40874</v>
      </c>
    </row>
    <row r="4638">
      <c r="A4638" s="117" t="inlineStr">
        <is>
          <t>578925</t>
        </is>
      </c>
      <c r="B4638" s="117" t="n">
        <v>17365</v>
      </c>
      <c r="C4638" s="117" t="inlineStr">
        <is>
          <t>United Kingdom</t>
        </is>
      </c>
      <c r="D4638" s="117" t="inlineStr">
        <is>
          <t>22754</t>
        </is>
      </c>
      <c r="E4638" s="117" t="inlineStr">
        <is>
          <t xml:space="preserve">SMALL RED BABUSHKA NOTEBOOK </t>
        </is>
      </c>
      <c r="F4638" s="117" t="n">
        <v>3</v>
      </c>
      <c r="G4638" s="118" t="n">
        <v>0.85</v>
      </c>
      <c r="H4638" s="118" t="n">
        <v>2.55</v>
      </c>
      <c r="I4638" s="119" t="n">
        <v>40874</v>
      </c>
    </row>
    <row r="4639">
      <c r="A4639" s="114" t="inlineStr">
        <is>
          <t>578927</t>
        </is>
      </c>
      <c r="B4639" s="114" t="n">
        <v>15747</v>
      </c>
      <c r="C4639" s="114" t="inlineStr">
        <is>
          <t>United Kingdom</t>
        </is>
      </c>
      <c r="D4639" s="114" t="inlineStr">
        <is>
          <t>23199</t>
        </is>
      </c>
      <c r="E4639" s="114" t="inlineStr">
        <is>
          <t>JUMBO BAG APPLES</t>
        </is>
      </c>
      <c r="F4639" s="114" t="n">
        <v>2</v>
      </c>
      <c r="G4639" s="115" t="n">
        <v>2.08</v>
      </c>
      <c r="H4639" s="115" t="n">
        <v>4.16</v>
      </c>
      <c r="I4639" s="116" t="n">
        <v>40874</v>
      </c>
    </row>
    <row r="4640">
      <c r="A4640" s="117" t="inlineStr">
        <is>
          <t>578928</t>
        </is>
      </c>
      <c r="B4640" s="117" t="n">
        <v>15443</v>
      </c>
      <c r="C4640" s="117" t="inlineStr">
        <is>
          <t>United Kingdom</t>
        </is>
      </c>
      <c r="D4640" s="117" t="inlineStr">
        <is>
          <t>21917</t>
        </is>
      </c>
      <c r="E4640" s="117" t="inlineStr">
        <is>
          <t>SET 12 KIDS  WHITE CHALK STICKS</t>
        </is>
      </c>
      <c r="F4640" s="117" t="n">
        <v>7</v>
      </c>
      <c r="G4640" s="118" t="n">
        <v>0.42</v>
      </c>
      <c r="H4640" s="118" t="n">
        <v>2.94</v>
      </c>
      <c r="I4640" s="119" t="n">
        <v>40874</v>
      </c>
    </row>
    <row r="4641">
      <c r="A4641" s="114" t="inlineStr">
        <is>
          <t>578928</t>
        </is>
      </c>
      <c r="B4641" s="114" t="n">
        <v>15443</v>
      </c>
      <c r="C4641" s="114" t="inlineStr">
        <is>
          <t>United Kingdom</t>
        </is>
      </c>
      <c r="D4641" s="114" t="inlineStr">
        <is>
          <t>22086</t>
        </is>
      </c>
      <c r="E4641" s="114" t="inlineStr">
        <is>
          <t xml:space="preserve">PAPER CHAIN KIT 50'S CHRISTMAS </t>
        </is>
      </c>
      <c r="F4641" s="114" t="n">
        <v>11</v>
      </c>
      <c r="G4641" s="115" t="n">
        <v>2.95</v>
      </c>
      <c r="H4641" s="115" t="n">
        <v>32.45</v>
      </c>
      <c r="I4641" s="116" t="n">
        <v>40874</v>
      </c>
    </row>
    <row r="4642">
      <c r="A4642" s="117" t="inlineStr">
        <is>
          <t>578928</t>
        </is>
      </c>
      <c r="B4642" s="117" t="n">
        <v>15443</v>
      </c>
      <c r="C4642" s="117" t="inlineStr">
        <is>
          <t>United Kingdom</t>
        </is>
      </c>
      <c r="D4642" s="117" t="inlineStr">
        <is>
          <t>21452</t>
        </is>
      </c>
      <c r="E4642" s="117" t="inlineStr">
        <is>
          <t>TOADSTOOL MONEY BOX</t>
        </is>
      </c>
      <c r="F4642" s="117" t="n">
        <v>2</v>
      </c>
      <c r="G4642" s="118" t="n">
        <v>2.95</v>
      </c>
      <c r="H4642" s="118" t="n">
        <v>5.9</v>
      </c>
      <c r="I4642" s="119" t="n">
        <v>40874</v>
      </c>
    </row>
    <row r="4643">
      <c r="A4643" s="114" t="inlineStr">
        <is>
          <t>578929</t>
        </is>
      </c>
      <c r="B4643" s="114" t="n">
        <v>13064</v>
      </c>
      <c r="C4643" s="114" t="inlineStr">
        <is>
          <t>United Kingdom</t>
        </is>
      </c>
      <c r="D4643" s="114" t="inlineStr">
        <is>
          <t>22768</t>
        </is>
      </c>
      <c r="E4643" s="114" t="inlineStr">
        <is>
          <t>FAMILY PHOTO FRAME CORNICE</t>
        </is>
      </c>
      <c r="F4643" s="114" t="n">
        <v>2</v>
      </c>
      <c r="G4643" s="115" t="n">
        <v>9.949999999999999</v>
      </c>
      <c r="H4643" s="115" t="n">
        <v>19.9</v>
      </c>
      <c r="I4643" s="116" t="n">
        <v>40874</v>
      </c>
    </row>
    <row r="4644">
      <c r="A4644" s="117" t="inlineStr">
        <is>
          <t>578929</t>
        </is>
      </c>
      <c r="B4644" s="117" t="n">
        <v>13064</v>
      </c>
      <c r="C4644" s="117" t="inlineStr">
        <is>
          <t>United Kingdom</t>
        </is>
      </c>
      <c r="D4644" s="117" t="inlineStr">
        <is>
          <t>22560</t>
        </is>
      </c>
      <c r="E4644" s="117" t="inlineStr">
        <is>
          <t>TRADITIONAL MODELLING CLAY</t>
        </is>
      </c>
      <c r="F4644" s="117" t="n">
        <v>7</v>
      </c>
      <c r="G4644" s="118" t="n">
        <v>1.25</v>
      </c>
      <c r="H4644" s="118" t="n">
        <v>8.75</v>
      </c>
      <c r="I4644" s="119" t="n">
        <v>40874</v>
      </c>
    </row>
    <row r="4645">
      <c r="A4645" s="114" t="inlineStr">
        <is>
          <t>578941</t>
        </is>
      </c>
      <c r="B4645" s="114" t="n">
        <v>16024</v>
      </c>
      <c r="C4645" s="114" t="inlineStr">
        <is>
          <t>United Kingdom</t>
        </is>
      </c>
      <c r="D4645" s="114" t="inlineStr">
        <is>
          <t>21977</t>
        </is>
      </c>
      <c r="E4645" s="114" t="inlineStr">
        <is>
          <t>PACK OF 60 PINK PAISLEY CAKE CASES</t>
        </is>
      </c>
      <c r="F4645" s="114" t="n">
        <v>2</v>
      </c>
      <c r="G4645" s="115" t="n">
        <v>0.55</v>
      </c>
      <c r="H4645" s="115" t="n">
        <v>1.1</v>
      </c>
      <c r="I4645" s="116" t="n">
        <v>40874</v>
      </c>
    </row>
    <row r="4646">
      <c r="A4646" s="117" t="inlineStr">
        <is>
          <t>578941</t>
        </is>
      </c>
      <c r="B4646" s="117" t="n">
        <v>16024</v>
      </c>
      <c r="C4646" s="117" t="inlineStr">
        <is>
          <t>United Kingdom</t>
        </is>
      </c>
      <c r="D4646" s="117" t="inlineStr">
        <is>
          <t>85187</t>
        </is>
      </c>
      <c r="E4646" s="117" t="inlineStr">
        <is>
          <t>S/12 MINI RABBIT EASTER</t>
        </is>
      </c>
      <c r="F4646" s="117" t="n">
        <v>4</v>
      </c>
      <c r="G4646" s="118" t="n">
        <v>1.65</v>
      </c>
      <c r="H4646" s="118" t="n">
        <v>6.6</v>
      </c>
      <c r="I4646" s="119" t="n">
        <v>40874</v>
      </c>
    </row>
    <row r="4647">
      <c r="A4647" s="114" t="inlineStr">
        <is>
          <t>578942</t>
        </is>
      </c>
      <c r="B4647" s="114" t="n">
        <v>17288</v>
      </c>
      <c r="C4647" s="114" t="inlineStr">
        <is>
          <t>United Kingdom</t>
        </is>
      </c>
      <c r="D4647" s="114" t="inlineStr">
        <is>
          <t>23561</t>
        </is>
      </c>
      <c r="E4647" s="114" t="inlineStr">
        <is>
          <t>SET OF 6 RIBBONS PARTY</t>
        </is>
      </c>
      <c r="F4647" s="114" t="n">
        <v>1</v>
      </c>
      <c r="G4647" s="115" t="n">
        <v>2.89</v>
      </c>
      <c r="H4647" s="115" t="n">
        <v>2.89</v>
      </c>
      <c r="I4647" s="116" t="n">
        <v>40874</v>
      </c>
    </row>
    <row r="4648">
      <c r="A4648" s="117" t="inlineStr">
        <is>
          <t>578942</t>
        </is>
      </c>
      <c r="B4648" s="117" t="n">
        <v>17288</v>
      </c>
      <c r="C4648" s="117" t="inlineStr">
        <is>
          <t>United Kingdom</t>
        </is>
      </c>
      <c r="D4648" s="117" t="inlineStr">
        <is>
          <t>22473</t>
        </is>
      </c>
      <c r="E4648" s="117" t="inlineStr">
        <is>
          <t>TV DINNER TRAY VINTAGE PAISLEY</t>
        </is>
      </c>
      <c r="F4648" s="117" t="n">
        <v>1</v>
      </c>
      <c r="G4648" s="118" t="n">
        <v>4.95</v>
      </c>
      <c r="H4648" s="118" t="n">
        <v>4.95</v>
      </c>
      <c r="I4648" s="119" t="n">
        <v>40874</v>
      </c>
    </row>
    <row r="4649">
      <c r="A4649" s="114" t="inlineStr">
        <is>
          <t>578944</t>
        </is>
      </c>
      <c r="B4649" s="114" t="n">
        <v>16005</v>
      </c>
      <c r="C4649" s="114" t="inlineStr">
        <is>
          <t>United Kingdom</t>
        </is>
      </c>
      <c r="D4649" s="114" t="inlineStr">
        <is>
          <t>23493</t>
        </is>
      </c>
      <c r="E4649" s="114" t="inlineStr">
        <is>
          <t>VINTAGE DOILY TRAVEL SEWING KIT</t>
        </is>
      </c>
      <c r="F4649" s="114" t="n">
        <v>1</v>
      </c>
      <c r="G4649" s="115" t="n">
        <v>1.95</v>
      </c>
      <c r="H4649" s="115" t="n">
        <v>1.95</v>
      </c>
      <c r="I4649" s="116" t="n">
        <v>40874</v>
      </c>
    </row>
    <row r="4650">
      <c r="A4650" s="117" t="inlineStr">
        <is>
          <t>578944</t>
        </is>
      </c>
      <c r="B4650" s="117" t="n">
        <v>16005</v>
      </c>
      <c r="C4650" s="117" t="inlineStr">
        <is>
          <t>United Kingdom</t>
        </is>
      </c>
      <c r="D4650" s="117" t="inlineStr">
        <is>
          <t>85123A</t>
        </is>
      </c>
      <c r="E4650" s="117" t="inlineStr">
        <is>
          <t>WHITE HANGING HEART T-LIGHT HOLDER</t>
        </is>
      </c>
      <c r="F4650" s="117" t="n">
        <v>1</v>
      </c>
      <c r="G4650" s="118" t="n">
        <v>2.95</v>
      </c>
      <c r="H4650" s="118" t="n">
        <v>2.95</v>
      </c>
      <c r="I4650" s="119" t="n">
        <v>40874</v>
      </c>
    </row>
    <row r="4651">
      <c r="A4651" s="114" t="inlineStr">
        <is>
          <t>578944</t>
        </is>
      </c>
      <c r="B4651" s="114" t="n">
        <v>16005</v>
      </c>
      <c r="C4651" s="114" t="inlineStr">
        <is>
          <t>United Kingdom</t>
        </is>
      </c>
      <c r="D4651" s="114" t="inlineStr">
        <is>
          <t>23335</t>
        </is>
      </c>
      <c r="E4651" s="114" t="inlineStr">
        <is>
          <t xml:space="preserve">EGG FRYING PAN IVORY </t>
        </is>
      </c>
      <c r="F4651" s="114" t="n">
        <v>1</v>
      </c>
      <c r="G4651" s="115" t="n">
        <v>2.08</v>
      </c>
      <c r="H4651" s="115" t="n">
        <v>2.08</v>
      </c>
      <c r="I4651" s="116" t="n">
        <v>40874</v>
      </c>
    </row>
    <row r="4652">
      <c r="A4652" s="117" t="inlineStr">
        <is>
          <t>578952</t>
        </is>
      </c>
      <c r="B4652" s="117" t="n">
        <v>18112</v>
      </c>
      <c r="C4652" s="117" t="inlineStr">
        <is>
          <t>United Kingdom</t>
        </is>
      </c>
      <c r="D4652" s="117" t="inlineStr">
        <is>
          <t>21238</t>
        </is>
      </c>
      <c r="E4652" s="117" t="inlineStr">
        <is>
          <t>RED RETROSPOT CUP</t>
        </is>
      </c>
      <c r="F4652" s="117" t="n">
        <v>8</v>
      </c>
      <c r="G4652" s="118" t="n">
        <v>0.85</v>
      </c>
      <c r="H4652" s="118" t="n">
        <v>6.8</v>
      </c>
      <c r="I4652" s="119" t="n">
        <v>40874</v>
      </c>
    </row>
    <row r="4653">
      <c r="A4653" s="114" t="inlineStr">
        <is>
          <t>578993</t>
        </is>
      </c>
      <c r="B4653" s="114" t="n">
        <v>15987</v>
      </c>
      <c r="C4653" s="114" t="inlineStr">
        <is>
          <t>United Kingdom</t>
        </is>
      </c>
      <c r="D4653" s="114" t="inlineStr">
        <is>
          <t>23498</t>
        </is>
      </c>
      <c r="E4653" s="114" t="inlineStr">
        <is>
          <t xml:space="preserve">CLASSIC BICYCLE CLIPS </t>
        </is>
      </c>
      <c r="F4653" s="114" t="n">
        <v>1</v>
      </c>
      <c r="G4653" s="115" t="n">
        <v>1.45</v>
      </c>
      <c r="H4653" s="115" t="n">
        <v>1.45</v>
      </c>
      <c r="I4653" s="116" t="n">
        <v>40874</v>
      </c>
    </row>
    <row r="4654">
      <c r="A4654" s="117" t="inlineStr">
        <is>
          <t>578995</t>
        </is>
      </c>
      <c r="B4654" s="117" t="n">
        <v>15861</v>
      </c>
      <c r="C4654" s="117" t="inlineStr">
        <is>
          <t>United Kingdom</t>
        </is>
      </c>
      <c r="D4654" s="117" t="inlineStr">
        <is>
          <t>20971</t>
        </is>
      </c>
      <c r="E4654" s="117" t="inlineStr">
        <is>
          <t>PINK BLUE FELT CRAFT TRINKET BOX</t>
        </is>
      </c>
      <c r="F4654" s="117" t="n">
        <v>6</v>
      </c>
      <c r="G4654" s="118" t="n">
        <v>1.25</v>
      </c>
      <c r="H4654" s="118" t="n">
        <v>7.5</v>
      </c>
      <c r="I4654" s="119" t="n">
        <v>40874</v>
      </c>
    </row>
    <row r="4655">
      <c r="A4655" s="114" t="inlineStr">
        <is>
          <t>578995</t>
        </is>
      </c>
      <c r="B4655" s="114" t="n">
        <v>15861</v>
      </c>
      <c r="C4655" s="114" t="inlineStr">
        <is>
          <t>United Kingdom</t>
        </is>
      </c>
      <c r="D4655" s="114" t="inlineStr">
        <is>
          <t>23434</t>
        </is>
      </c>
      <c r="E4655" s="114" t="inlineStr">
        <is>
          <t xml:space="preserve">3 RAFFIA RIBBONS 50'S CHRISTMAS </t>
        </is>
      </c>
      <c r="F4655" s="114" t="n">
        <v>6</v>
      </c>
      <c r="G4655" s="115" t="n">
        <v>0.79</v>
      </c>
      <c r="H4655" s="115" t="n">
        <v>4.74</v>
      </c>
      <c r="I4655" s="116" t="n">
        <v>40874</v>
      </c>
    </row>
    <row r="4656">
      <c r="A4656" s="117" t="inlineStr">
        <is>
          <t>578996</t>
        </is>
      </c>
      <c r="B4656" s="117" t="n">
        <v>13991</v>
      </c>
      <c r="C4656" s="117" t="inlineStr">
        <is>
          <t>United Kingdom</t>
        </is>
      </c>
      <c r="D4656" s="117" t="inlineStr">
        <is>
          <t>47591D</t>
        </is>
      </c>
      <c r="E4656" s="117" t="inlineStr">
        <is>
          <t>PINK FAIRY CAKE CHILDRENS APRON</t>
        </is>
      </c>
      <c r="F4656" s="117" t="n">
        <v>3</v>
      </c>
      <c r="G4656" s="118" t="n">
        <v>1.95</v>
      </c>
      <c r="H4656" s="118" t="n">
        <v>5.85</v>
      </c>
      <c r="I4656" s="119" t="n">
        <v>40874</v>
      </c>
    </row>
    <row r="4657">
      <c r="A4657" s="114" t="inlineStr">
        <is>
          <t>578997</t>
        </is>
      </c>
      <c r="B4657" s="114" t="n">
        <v>18001</v>
      </c>
      <c r="C4657" s="114" t="inlineStr">
        <is>
          <t>United Kingdom</t>
        </is>
      </c>
      <c r="D4657" s="114" t="inlineStr">
        <is>
          <t>22467</t>
        </is>
      </c>
      <c r="E4657" s="114" t="inlineStr">
        <is>
          <t>GUMBALL COAT RACK</t>
        </is>
      </c>
      <c r="F4657" s="114" t="n">
        <v>1</v>
      </c>
      <c r="G4657" s="115" t="n">
        <v>2.55</v>
      </c>
      <c r="H4657" s="115" t="n">
        <v>2.55</v>
      </c>
      <c r="I4657" s="116" t="n">
        <v>40874</v>
      </c>
    </row>
    <row r="4658">
      <c r="A4658" s="117" t="inlineStr">
        <is>
          <t>578998</t>
        </is>
      </c>
      <c r="B4658" s="117" t="n">
        <v>15436</v>
      </c>
      <c r="C4658" s="117" t="inlineStr">
        <is>
          <t>United Kingdom</t>
        </is>
      </c>
      <c r="D4658" s="117" t="inlineStr">
        <is>
          <t>23365</t>
        </is>
      </c>
      <c r="E4658" s="117" t="inlineStr">
        <is>
          <t>SET 12 COLOUR PENCILS LOVE LONDON</t>
        </is>
      </c>
      <c r="F4658" s="117" t="n">
        <v>1</v>
      </c>
      <c r="G4658" s="118" t="n">
        <v>0.65</v>
      </c>
      <c r="H4658" s="118" t="n">
        <v>0.65</v>
      </c>
      <c r="I4658" s="119" t="n">
        <v>40874</v>
      </c>
    </row>
    <row r="4659">
      <c r="A4659" s="114" t="inlineStr">
        <is>
          <t>579001</t>
        </is>
      </c>
      <c r="B4659" s="114" t="n">
        <v>15555</v>
      </c>
      <c r="C4659" s="114" t="inlineStr">
        <is>
          <t>United Kingdom</t>
        </is>
      </c>
      <c r="D4659" s="114" t="inlineStr">
        <is>
          <t>22997</t>
        </is>
      </c>
      <c r="E4659" s="114" t="inlineStr">
        <is>
          <t>TRAVEL CARD WALLET UNION JACK</t>
        </is>
      </c>
      <c r="F4659" s="114" t="n">
        <v>5</v>
      </c>
      <c r="G4659" s="115" t="n">
        <v>0.42</v>
      </c>
      <c r="H4659" s="115" t="n">
        <v>2.1</v>
      </c>
      <c r="I4659" s="116" t="n">
        <v>40874</v>
      </c>
    </row>
    <row r="4660">
      <c r="A4660" s="117" t="inlineStr">
        <is>
          <t>579001</t>
        </is>
      </c>
      <c r="B4660" s="117" t="n">
        <v>15555</v>
      </c>
      <c r="C4660" s="117" t="inlineStr">
        <is>
          <t>United Kingdom</t>
        </is>
      </c>
      <c r="D4660" s="117" t="inlineStr">
        <is>
          <t>23681</t>
        </is>
      </c>
      <c r="E4660" s="117" t="inlineStr">
        <is>
          <t>LUNCH BAG RED VINTAGE DOILY</t>
        </is>
      </c>
      <c r="F4660" s="117" t="n">
        <v>3</v>
      </c>
      <c r="G4660" s="118" t="n">
        <v>1.65</v>
      </c>
      <c r="H4660" s="118" t="n">
        <v>4.95</v>
      </c>
      <c r="I4660" s="119" t="n">
        <v>40874</v>
      </c>
    </row>
    <row r="4661">
      <c r="A4661" s="114" t="inlineStr">
        <is>
          <t>579062</t>
        </is>
      </c>
      <c r="B4661" s="114" t="n">
        <v>17651</v>
      </c>
      <c r="C4661" s="114" t="inlineStr">
        <is>
          <t>United Kingdom</t>
        </is>
      </c>
      <c r="D4661" s="114" t="inlineStr">
        <is>
          <t>20728</t>
        </is>
      </c>
      <c r="E4661" s="114" t="inlineStr">
        <is>
          <t>LUNCH BAG CARS BLUE</t>
        </is>
      </c>
      <c r="F4661" s="114" t="n">
        <v>10</v>
      </c>
      <c r="G4661" s="115" t="n">
        <v>1.65</v>
      </c>
      <c r="H4661" s="115" t="n">
        <v>16.5</v>
      </c>
      <c r="I4661" s="116" t="n">
        <v>40875</v>
      </c>
    </row>
    <row r="4662">
      <c r="A4662" s="117" t="inlineStr">
        <is>
          <t>579087</t>
        </is>
      </c>
      <c r="B4662" s="117" t="n">
        <v>13914</v>
      </c>
      <c r="C4662" s="117" t="inlineStr">
        <is>
          <t>United Kingdom</t>
        </is>
      </c>
      <c r="D4662" s="117" t="inlineStr">
        <is>
          <t>22577</t>
        </is>
      </c>
      <c r="E4662" s="117" t="inlineStr">
        <is>
          <t>WOODEN HEART CHRISTMAS SCANDINAVIAN</t>
        </is>
      </c>
      <c r="F4662" s="117" t="n">
        <v>24</v>
      </c>
      <c r="G4662" s="118" t="n">
        <v>0.29</v>
      </c>
      <c r="H4662" s="118" t="n">
        <v>6.96</v>
      </c>
      <c r="I4662" s="119" t="n">
        <v>40875</v>
      </c>
    </row>
    <row r="4663">
      <c r="A4663" s="114" t="inlineStr">
        <is>
          <t>579091</t>
        </is>
      </c>
      <c r="B4663" s="114" t="n">
        <v>14893</v>
      </c>
      <c r="C4663" s="114" t="inlineStr">
        <is>
          <t>United Kingdom</t>
        </is>
      </c>
      <c r="D4663" s="114" t="inlineStr">
        <is>
          <t>21167</t>
        </is>
      </c>
      <c r="E4663" s="114" t="inlineStr">
        <is>
          <t>WHITE SAGE INCENSE</t>
        </is>
      </c>
      <c r="F4663" s="114" t="n">
        <v>72</v>
      </c>
      <c r="G4663" s="115" t="n">
        <v>0.21</v>
      </c>
      <c r="H4663" s="115" t="n">
        <v>15.12</v>
      </c>
      <c r="I4663" s="116" t="n">
        <v>40875</v>
      </c>
    </row>
    <row r="4664">
      <c r="A4664" s="117" t="inlineStr">
        <is>
          <t>579091</t>
        </is>
      </c>
      <c r="B4664" s="117" t="n">
        <v>14893</v>
      </c>
      <c r="C4664" s="117" t="inlineStr">
        <is>
          <t>United Kingdom</t>
        </is>
      </c>
      <c r="D4664" s="117" t="inlineStr">
        <is>
          <t>22969</t>
        </is>
      </c>
      <c r="E4664" s="117" t="inlineStr">
        <is>
          <t>HOMEMADE JAM SCENTED CANDLES</t>
        </is>
      </c>
      <c r="F4664" s="117" t="n">
        <v>12</v>
      </c>
      <c r="G4664" s="118" t="n">
        <v>1.45</v>
      </c>
      <c r="H4664" s="118" t="n">
        <v>17.4</v>
      </c>
      <c r="I4664" s="119" t="n">
        <v>40875</v>
      </c>
    </row>
    <row r="4665">
      <c r="A4665" s="114" t="inlineStr">
        <is>
          <t>579093</t>
        </is>
      </c>
      <c r="B4665" s="114" t="n">
        <v>13081</v>
      </c>
      <c r="C4665" s="114" t="inlineStr">
        <is>
          <t>United Kingdom</t>
        </is>
      </c>
      <c r="D4665" s="114" t="inlineStr">
        <is>
          <t>21240</t>
        </is>
      </c>
      <c r="E4665" s="114" t="inlineStr">
        <is>
          <t>BLUE POLKADOT CUP</t>
        </is>
      </c>
      <c r="F4665" s="114" t="n">
        <v>8</v>
      </c>
      <c r="G4665" s="115" t="n">
        <v>0.85</v>
      </c>
      <c r="H4665" s="115" t="n">
        <v>6.8</v>
      </c>
      <c r="I4665" s="116" t="n">
        <v>40875</v>
      </c>
    </row>
    <row r="4666">
      <c r="A4666" s="117" t="inlineStr">
        <is>
          <t>579093</t>
        </is>
      </c>
      <c r="B4666" s="117" t="n">
        <v>13081</v>
      </c>
      <c r="C4666" s="117" t="inlineStr">
        <is>
          <t>United Kingdom</t>
        </is>
      </c>
      <c r="D4666" s="117" t="inlineStr">
        <is>
          <t>22382</t>
        </is>
      </c>
      <c r="E4666" s="117" t="inlineStr">
        <is>
          <t xml:space="preserve">LUNCH BAG SPACEBOY DESIGN </t>
        </is>
      </c>
      <c r="F4666" s="117" t="n">
        <v>20</v>
      </c>
      <c r="G4666" s="118" t="n">
        <v>1.65</v>
      </c>
      <c r="H4666" s="118" t="n">
        <v>33</v>
      </c>
      <c r="I4666" s="119" t="n">
        <v>40875</v>
      </c>
    </row>
    <row r="4667">
      <c r="A4667" s="114" t="inlineStr">
        <is>
          <t>579098</t>
        </is>
      </c>
      <c r="B4667" s="114" t="n">
        <v>14606</v>
      </c>
      <c r="C4667" s="114" t="inlineStr">
        <is>
          <t>United Kingdom</t>
        </is>
      </c>
      <c r="D4667" s="114" t="inlineStr">
        <is>
          <t>23301</t>
        </is>
      </c>
      <c r="E4667" s="114" t="inlineStr">
        <is>
          <t xml:space="preserve">GARDENERS KNEELING PAD KEEP CALM </t>
        </is>
      </c>
      <c r="F4667" s="114" t="n">
        <v>1</v>
      </c>
      <c r="G4667" s="115" t="n">
        <v>1.65</v>
      </c>
      <c r="H4667" s="115" t="n">
        <v>1.65</v>
      </c>
      <c r="I4667" s="116" t="n">
        <v>40875</v>
      </c>
    </row>
    <row r="4668">
      <c r="A4668" s="117" t="inlineStr">
        <is>
          <t>579098</t>
        </is>
      </c>
      <c r="B4668" s="117" t="n">
        <v>14606</v>
      </c>
      <c r="C4668" s="117" t="inlineStr">
        <is>
          <t>United Kingdom</t>
        </is>
      </c>
      <c r="D4668" s="117" t="inlineStr">
        <is>
          <t>23300</t>
        </is>
      </c>
      <c r="E4668" s="117" t="inlineStr">
        <is>
          <t xml:space="preserve">GARDENERS KNEELING PAD CUP OF TEA </t>
        </is>
      </c>
      <c r="F4668" s="117" t="n">
        <v>2</v>
      </c>
      <c r="G4668" s="118" t="n">
        <v>1.65</v>
      </c>
      <c r="H4668" s="118" t="n">
        <v>3.3</v>
      </c>
      <c r="I4668" s="119" t="n">
        <v>40875</v>
      </c>
    </row>
    <row r="4669">
      <c r="A4669" s="114" t="inlineStr">
        <is>
          <t>579099</t>
        </is>
      </c>
      <c r="B4669" s="114" t="n">
        <v>15714</v>
      </c>
      <c r="C4669" s="114" t="inlineStr">
        <is>
          <t>United Kingdom</t>
        </is>
      </c>
      <c r="D4669" s="114" t="inlineStr">
        <is>
          <t>23350</t>
        </is>
      </c>
      <c r="E4669" s="114" t="inlineStr">
        <is>
          <t xml:space="preserve">ROLL WRAP VINTAGE SPOT </t>
        </is>
      </c>
      <c r="F4669" s="114" t="n">
        <v>5</v>
      </c>
      <c r="G4669" s="115" t="n">
        <v>1.25</v>
      </c>
      <c r="H4669" s="115" t="n">
        <v>6.25</v>
      </c>
      <c r="I4669" s="116" t="n">
        <v>40875</v>
      </c>
    </row>
    <row r="4670">
      <c r="A4670" s="117" t="inlineStr">
        <is>
          <t>579102</t>
        </is>
      </c>
      <c r="B4670" s="117" t="n">
        <v>14911</v>
      </c>
      <c r="C4670" s="117" t="inlineStr">
        <is>
          <t>EIRE</t>
        </is>
      </c>
      <c r="D4670" s="117" t="inlineStr">
        <is>
          <t>22550</t>
        </is>
      </c>
      <c r="E4670" s="117" t="inlineStr">
        <is>
          <t>HOLIDAY FUN LUDO</t>
        </is>
      </c>
      <c r="F4670" s="117" t="n">
        <v>4</v>
      </c>
      <c r="G4670" s="118" t="n">
        <v>3.75</v>
      </c>
      <c r="H4670" s="118" t="n">
        <v>15</v>
      </c>
      <c r="I4670" s="119" t="n">
        <v>40875</v>
      </c>
    </row>
    <row r="4671">
      <c r="A4671" s="114" t="inlineStr">
        <is>
          <t>579103</t>
        </is>
      </c>
      <c r="B4671" s="114" t="n">
        <v>18041</v>
      </c>
      <c r="C4671" s="114" t="inlineStr">
        <is>
          <t>United Kingdom</t>
        </is>
      </c>
      <c r="D4671" s="114" t="inlineStr">
        <is>
          <t>23101</t>
        </is>
      </c>
      <c r="E4671" s="114" t="inlineStr">
        <is>
          <t>SILVER STARS TABLE DECORATION</t>
        </is>
      </c>
      <c r="F4671" s="114" t="n">
        <v>2</v>
      </c>
      <c r="G4671" s="115" t="n">
        <v>0.83</v>
      </c>
      <c r="H4671" s="115" t="n">
        <v>1.66</v>
      </c>
      <c r="I4671" s="116" t="n">
        <v>40875</v>
      </c>
    </row>
    <row r="4672">
      <c r="A4672" s="117" t="inlineStr">
        <is>
          <t>579124</t>
        </is>
      </c>
      <c r="B4672" s="117" t="n">
        <v>15721</v>
      </c>
      <c r="C4672" s="117" t="inlineStr">
        <is>
          <t>United Kingdom</t>
        </is>
      </c>
      <c r="D4672" s="117" t="inlineStr">
        <is>
          <t>21114</t>
        </is>
      </c>
      <c r="E4672" s="117" t="inlineStr">
        <is>
          <t>LAVENDER SCENTED FABRIC HEART</t>
        </is>
      </c>
      <c r="F4672" s="117" t="n">
        <v>5</v>
      </c>
      <c r="G4672" s="118" t="n">
        <v>1.25</v>
      </c>
      <c r="H4672" s="118" t="n">
        <v>6.25</v>
      </c>
      <c r="I4672" s="119" t="n">
        <v>40875</v>
      </c>
    </row>
    <row r="4673">
      <c r="A4673" s="114" t="inlineStr">
        <is>
          <t>579124</t>
        </is>
      </c>
      <c r="B4673" s="114" t="n">
        <v>15721</v>
      </c>
      <c r="C4673" s="114" t="inlineStr">
        <is>
          <t>United Kingdom</t>
        </is>
      </c>
      <c r="D4673" s="114" t="inlineStr">
        <is>
          <t>22151</t>
        </is>
      </c>
      <c r="E4673" s="114" t="inlineStr">
        <is>
          <t>PLACE SETTING WHITE HEART</t>
        </is>
      </c>
      <c r="F4673" s="114" t="n">
        <v>2</v>
      </c>
      <c r="G4673" s="115" t="n">
        <v>0.42</v>
      </c>
      <c r="H4673" s="115" t="n">
        <v>0.84</v>
      </c>
      <c r="I4673" s="116" t="n">
        <v>40875</v>
      </c>
    </row>
    <row r="4674">
      <c r="A4674" s="117" t="inlineStr">
        <is>
          <t>579134</t>
        </is>
      </c>
      <c r="B4674" s="117" t="n">
        <v>13115</v>
      </c>
      <c r="C4674" s="117" t="inlineStr">
        <is>
          <t>United Kingdom</t>
        </is>
      </c>
      <c r="D4674" s="117" t="inlineStr">
        <is>
          <t>23583</t>
        </is>
      </c>
      <c r="E4674" s="117" t="inlineStr">
        <is>
          <t xml:space="preserve">LUNCH BAG PAISLEY PARK  </t>
        </is>
      </c>
      <c r="F4674" s="117" t="n">
        <v>10</v>
      </c>
      <c r="G4674" s="118" t="n">
        <v>1.65</v>
      </c>
      <c r="H4674" s="118" t="n">
        <v>16.5</v>
      </c>
      <c r="I4674" s="119" t="n">
        <v>40875</v>
      </c>
    </row>
    <row r="4675">
      <c r="A4675" s="114" t="inlineStr">
        <is>
          <t>579135</t>
        </is>
      </c>
      <c r="B4675" s="114" t="n">
        <v>18096</v>
      </c>
      <c r="C4675" s="114" t="inlineStr">
        <is>
          <t>United Kingdom</t>
        </is>
      </c>
      <c r="D4675" s="114" t="inlineStr">
        <is>
          <t>46776E</t>
        </is>
      </c>
      <c r="E4675" s="114" t="inlineStr">
        <is>
          <t xml:space="preserve">WOVEN CANDY CUSHION COVER </t>
        </is>
      </c>
      <c r="F4675" s="114" t="n">
        <v>2</v>
      </c>
      <c r="G4675" s="115" t="n">
        <v>4.95</v>
      </c>
      <c r="H4675" s="115" t="n">
        <v>9.9</v>
      </c>
      <c r="I4675" s="116" t="n">
        <v>40875</v>
      </c>
    </row>
    <row r="4676">
      <c r="A4676" s="117" t="inlineStr">
        <is>
          <t>579138</t>
        </is>
      </c>
      <c r="B4676" s="117" t="n">
        <v>13590</v>
      </c>
      <c r="C4676" s="117" t="inlineStr">
        <is>
          <t>United Kingdom</t>
        </is>
      </c>
      <c r="D4676" s="117" t="inlineStr">
        <is>
          <t>23227</t>
        </is>
      </c>
      <c r="E4676" s="117" t="inlineStr">
        <is>
          <t xml:space="preserve">FILIGREE HEART BUTTERFLY WHITE </t>
        </is>
      </c>
      <c r="F4676" s="117" t="n">
        <v>24</v>
      </c>
      <c r="G4676" s="118" t="n">
        <v>1.25</v>
      </c>
      <c r="H4676" s="118" t="n">
        <v>30</v>
      </c>
      <c r="I4676" s="119" t="n">
        <v>40875</v>
      </c>
    </row>
    <row r="4677">
      <c r="A4677" s="114" t="inlineStr">
        <is>
          <t>579139</t>
        </is>
      </c>
      <c r="B4677" s="114" t="n">
        <v>18102</v>
      </c>
      <c r="C4677" s="114" t="inlineStr">
        <is>
          <t>United Kingdom</t>
        </is>
      </c>
      <c r="D4677" s="114" t="inlineStr">
        <is>
          <t>85152</t>
        </is>
      </c>
      <c r="E4677" s="114" t="inlineStr">
        <is>
          <t xml:space="preserve">HAND OVER THE CHOCOLATE   SIGN </t>
        </is>
      </c>
      <c r="F4677" s="114" t="n">
        <v>192</v>
      </c>
      <c r="G4677" s="115" t="n">
        <v>1.49</v>
      </c>
      <c r="H4677" s="115" t="n">
        <v>286.08</v>
      </c>
      <c r="I4677" s="116" t="n">
        <v>40875</v>
      </c>
    </row>
    <row r="4678">
      <c r="A4678" s="117" t="inlineStr">
        <is>
          <t>579142</t>
        </is>
      </c>
      <c r="B4678" s="117" t="n">
        <v>16744</v>
      </c>
      <c r="C4678" s="117" t="inlineStr">
        <is>
          <t>United Kingdom</t>
        </is>
      </c>
      <c r="D4678" s="117" t="inlineStr">
        <is>
          <t>22560</t>
        </is>
      </c>
      <c r="E4678" s="117" t="inlineStr">
        <is>
          <t>TRADITIONAL MODELLING CLAY</t>
        </is>
      </c>
      <c r="F4678" s="117" t="n">
        <v>6</v>
      </c>
      <c r="G4678" s="118" t="n">
        <v>1.25</v>
      </c>
      <c r="H4678" s="118" t="n">
        <v>7.5</v>
      </c>
      <c r="I4678" s="119" t="n">
        <v>40875</v>
      </c>
    </row>
    <row r="4679">
      <c r="A4679" s="114" t="inlineStr">
        <is>
          <t>579141</t>
        </is>
      </c>
      <c r="B4679" s="114" t="n">
        <v>17019</v>
      </c>
      <c r="C4679" s="114" t="inlineStr">
        <is>
          <t>United Kingdom</t>
        </is>
      </c>
      <c r="D4679" s="114" t="inlineStr">
        <is>
          <t>21791</t>
        </is>
      </c>
      <c r="E4679" s="114" t="inlineStr">
        <is>
          <t xml:space="preserve">VINTAGE HEADS AND TAILS CARD GAME </t>
        </is>
      </c>
      <c r="F4679" s="114" t="n">
        <v>1</v>
      </c>
      <c r="G4679" s="115" t="n">
        <v>1.25</v>
      </c>
      <c r="H4679" s="115" t="n">
        <v>1.25</v>
      </c>
      <c r="I4679" s="116" t="n">
        <v>40875</v>
      </c>
    </row>
    <row r="4680">
      <c r="A4680" s="117" t="inlineStr">
        <is>
          <t>579141</t>
        </is>
      </c>
      <c r="B4680" s="117" t="n">
        <v>17019</v>
      </c>
      <c r="C4680" s="117" t="inlineStr">
        <is>
          <t>United Kingdom</t>
        </is>
      </c>
      <c r="D4680" s="117" t="inlineStr">
        <is>
          <t>21990</t>
        </is>
      </c>
      <c r="E4680" s="117" t="inlineStr">
        <is>
          <t>MODERN FLORAL STATIONERY SET</t>
        </is>
      </c>
      <c r="F4680" s="117" t="n">
        <v>2</v>
      </c>
      <c r="G4680" s="118" t="n">
        <v>1.25</v>
      </c>
      <c r="H4680" s="118" t="n">
        <v>2.5</v>
      </c>
      <c r="I4680" s="119" t="n">
        <v>40875</v>
      </c>
    </row>
    <row r="4681">
      <c r="A4681" s="114" t="inlineStr">
        <is>
          <t>579145</t>
        </is>
      </c>
      <c r="B4681" s="114" t="n">
        <v>14597</v>
      </c>
      <c r="C4681" s="114" t="inlineStr">
        <is>
          <t>United Kingdom</t>
        </is>
      </c>
      <c r="D4681" s="114" t="inlineStr">
        <is>
          <t>21108</t>
        </is>
      </c>
      <c r="E4681" s="114" t="inlineStr">
        <is>
          <t>FAIRY CAKE FLANNEL ASSORTED COLOUR</t>
        </is>
      </c>
      <c r="F4681" s="114" t="n">
        <v>18</v>
      </c>
      <c r="G4681" s="115" t="n">
        <v>0.79</v>
      </c>
      <c r="H4681" s="115" t="n">
        <v>14.22</v>
      </c>
      <c r="I4681" s="116" t="n">
        <v>40875</v>
      </c>
    </row>
    <row r="4682">
      <c r="A4682" s="117" t="inlineStr">
        <is>
          <t>579145</t>
        </is>
      </c>
      <c r="B4682" s="117" t="n">
        <v>14597</v>
      </c>
      <c r="C4682" s="117" t="inlineStr">
        <is>
          <t>United Kingdom</t>
        </is>
      </c>
      <c r="D4682" s="117" t="inlineStr">
        <is>
          <t>21932</t>
        </is>
      </c>
      <c r="E4682" s="117" t="inlineStr">
        <is>
          <t>SCANDINAVIAN PAISLEY PICNIC BAG</t>
        </is>
      </c>
      <c r="F4682" s="117" t="n">
        <v>10</v>
      </c>
      <c r="G4682" s="118" t="n">
        <v>1.65</v>
      </c>
      <c r="H4682" s="118" t="n">
        <v>16.5</v>
      </c>
      <c r="I4682" s="119" t="n">
        <v>40875</v>
      </c>
    </row>
    <row r="4683">
      <c r="A4683" s="114" t="inlineStr">
        <is>
          <t>579146</t>
        </is>
      </c>
      <c r="B4683" s="114" t="n">
        <v>16347</v>
      </c>
      <c r="C4683" s="114" t="inlineStr">
        <is>
          <t>United Kingdom</t>
        </is>
      </c>
      <c r="D4683" s="114" t="inlineStr">
        <is>
          <t>23489</t>
        </is>
      </c>
      <c r="E4683" s="114" t="inlineStr">
        <is>
          <t>VINTAGE BELLS GARLAND</t>
        </is>
      </c>
      <c r="F4683" s="114" t="n">
        <v>1</v>
      </c>
      <c r="G4683" s="115" t="n">
        <v>2.89</v>
      </c>
      <c r="H4683" s="115" t="n">
        <v>2.89</v>
      </c>
      <c r="I4683" s="116" t="n">
        <v>40875</v>
      </c>
    </row>
    <row r="4684">
      <c r="A4684" s="117" t="inlineStr">
        <is>
          <t>579152</t>
        </is>
      </c>
      <c r="B4684" s="117" t="n">
        <v>12479</v>
      </c>
      <c r="C4684" s="117" t="inlineStr">
        <is>
          <t>Germany</t>
        </is>
      </c>
      <c r="D4684" s="117" t="inlineStr">
        <is>
          <t>22734</t>
        </is>
      </c>
      <c r="E4684" s="117" t="inlineStr">
        <is>
          <t>SET OF 6 RIBBONS VINTAGE CHRISTMAS</t>
        </is>
      </c>
      <c r="F4684" s="117" t="n">
        <v>6</v>
      </c>
      <c r="G4684" s="118" t="n">
        <v>2.89</v>
      </c>
      <c r="H4684" s="118" t="n">
        <v>17.34</v>
      </c>
      <c r="I4684" s="119" t="n">
        <v>40875</v>
      </c>
    </row>
    <row r="4685">
      <c r="A4685" s="114" t="inlineStr">
        <is>
          <t>579161</t>
        </is>
      </c>
      <c r="B4685" s="114" t="n">
        <v>17379</v>
      </c>
      <c r="C4685" s="114" t="inlineStr">
        <is>
          <t>United Kingdom</t>
        </is>
      </c>
      <c r="D4685" s="114" t="inlineStr">
        <is>
          <t>35967</t>
        </is>
      </c>
      <c r="E4685" s="114" t="inlineStr">
        <is>
          <t>FOLK ART METAL STAR T-LIGHT HOLDER</t>
        </is>
      </c>
      <c r="F4685" s="114" t="n">
        <v>12</v>
      </c>
      <c r="G4685" s="115" t="n">
        <v>0.38</v>
      </c>
      <c r="H4685" s="115" t="n">
        <v>4.56</v>
      </c>
      <c r="I4685" s="116" t="n">
        <v>40875</v>
      </c>
    </row>
    <row r="4686">
      <c r="A4686" s="117" t="inlineStr">
        <is>
          <t>579161</t>
        </is>
      </c>
      <c r="B4686" s="117" t="n">
        <v>17379</v>
      </c>
      <c r="C4686" s="117" t="inlineStr">
        <is>
          <t>United Kingdom</t>
        </is>
      </c>
      <c r="D4686" s="117" t="inlineStr">
        <is>
          <t>21034</t>
        </is>
      </c>
      <c r="E4686" s="117" t="inlineStr">
        <is>
          <t>REX CASH+CARRY JUMBO SHOPPER</t>
        </is>
      </c>
      <c r="F4686" s="117" t="n">
        <v>5</v>
      </c>
      <c r="G4686" s="118" t="n">
        <v>0.95</v>
      </c>
      <c r="H4686" s="118" t="n">
        <v>4.75</v>
      </c>
      <c r="I4686" s="119" t="n">
        <v>40875</v>
      </c>
    </row>
    <row r="4687">
      <c r="A4687" s="114" t="inlineStr">
        <is>
          <t>579161</t>
        </is>
      </c>
      <c r="B4687" s="114" t="n">
        <v>17379</v>
      </c>
      <c r="C4687" s="114" t="inlineStr">
        <is>
          <t>United Kingdom</t>
        </is>
      </c>
      <c r="D4687" s="114" t="inlineStr">
        <is>
          <t>22187</t>
        </is>
      </c>
      <c r="E4687" s="114" t="inlineStr">
        <is>
          <t>GREEN CHRISTMAS TREE CARD HOLDER</t>
        </is>
      </c>
      <c r="F4687" s="114" t="n">
        <v>3</v>
      </c>
      <c r="G4687" s="115" t="n">
        <v>1.95</v>
      </c>
      <c r="H4687" s="115" t="n">
        <v>5.85</v>
      </c>
      <c r="I4687" s="116" t="n">
        <v>40875</v>
      </c>
    </row>
    <row r="4688">
      <c r="A4688" s="117" t="inlineStr">
        <is>
          <t>579161</t>
        </is>
      </c>
      <c r="B4688" s="117" t="n">
        <v>17379</v>
      </c>
      <c r="C4688" s="117" t="inlineStr">
        <is>
          <t>United Kingdom</t>
        </is>
      </c>
      <c r="D4688" s="117" t="inlineStr">
        <is>
          <t>22577</t>
        </is>
      </c>
      <c r="E4688" s="117" t="inlineStr">
        <is>
          <t>WOODEN HEART CHRISTMAS SCANDINAVIAN</t>
        </is>
      </c>
      <c r="F4688" s="117" t="n">
        <v>5</v>
      </c>
      <c r="G4688" s="118" t="n">
        <v>0.29</v>
      </c>
      <c r="H4688" s="118" t="n">
        <v>1.45</v>
      </c>
      <c r="I4688" s="119" t="n">
        <v>40875</v>
      </c>
    </row>
    <row r="4689">
      <c r="A4689" s="114" t="inlineStr">
        <is>
          <t>579170</t>
        </is>
      </c>
      <c r="B4689" s="114" t="n">
        <v>17811</v>
      </c>
      <c r="C4689" s="114" t="inlineStr">
        <is>
          <t>United Kingdom</t>
        </is>
      </c>
      <c r="D4689" s="114" t="inlineStr">
        <is>
          <t>84991</t>
        </is>
      </c>
      <c r="E4689" s="114" t="inlineStr">
        <is>
          <t>60 TEATIME FAIRY CAKE CASES</t>
        </is>
      </c>
      <c r="F4689" s="114" t="n">
        <v>1</v>
      </c>
      <c r="G4689" s="115" t="n">
        <v>0.55</v>
      </c>
      <c r="H4689" s="115" t="n">
        <v>0.55</v>
      </c>
      <c r="I4689" s="116" t="n">
        <v>40875</v>
      </c>
    </row>
    <row r="4690">
      <c r="A4690" s="117" t="inlineStr">
        <is>
          <t>579175</t>
        </is>
      </c>
      <c r="B4690" s="117" t="n">
        <v>14562</v>
      </c>
      <c r="C4690" s="117" t="inlineStr">
        <is>
          <t>United Kingdom</t>
        </is>
      </c>
      <c r="D4690" s="117" t="inlineStr">
        <is>
          <t>22114</t>
        </is>
      </c>
      <c r="E4690" s="117" t="inlineStr">
        <is>
          <t>HOT WATER BOTTLE TEA AND SYMPATHY</t>
        </is>
      </c>
      <c r="F4690" s="117" t="n">
        <v>6</v>
      </c>
      <c r="G4690" s="118" t="n">
        <v>4.25</v>
      </c>
      <c r="H4690" s="118" t="n">
        <v>25.5</v>
      </c>
      <c r="I4690" s="119" t="n">
        <v>40875</v>
      </c>
    </row>
    <row r="4691">
      <c r="A4691" s="114" t="inlineStr">
        <is>
          <t>579188</t>
        </is>
      </c>
      <c r="B4691" s="114" t="n">
        <v>12748</v>
      </c>
      <c r="C4691" s="114" t="inlineStr">
        <is>
          <t>United Kingdom</t>
        </is>
      </c>
      <c r="D4691" s="114" t="inlineStr">
        <is>
          <t>22453</t>
        </is>
      </c>
      <c r="E4691" s="114" t="inlineStr">
        <is>
          <t>MEASURING TAPE BABUSHKA BLUE</t>
        </is>
      </c>
      <c r="F4691" s="114" t="n">
        <v>4</v>
      </c>
      <c r="G4691" s="115" t="n">
        <v>2.95</v>
      </c>
      <c r="H4691" s="115" t="n">
        <v>11.8</v>
      </c>
      <c r="I4691" s="116" t="n">
        <v>40875</v>
      </c>
    </row>
    <row r="4692">
      <c r="A4692" s="117" t="inlineStr">
        <is>
          <t>579196</t>
        </is>
      </c>
      <c r="B4692" s="117" t="n">
        <v>14096</v>
      </c>
      <c r="C4692" s="117" t="inlineStr">
        <is>
          <t>United Kingdom</t>
        </is>
      </c>
      <c r="D4692" s="117" t="inlineStr">
        <is>
          <t>22279</t>
        </is>
      </c>
      <c r="E4692" s="117" t="inlineStr">
        <is>
          <t>POCKET BAG BLUE PAISLEY RED SPOT</t>
        </is>
      </c>
      <c r="F4692" s="117" t="n">
        <v>1</v>
      </c>
      <c r="G4692" s="118" t="n">
        <v>2.46</v>
      </c>
      <c r="H4692" s="118" t="n">
        <v>2.46</v>
      </c>
      <c r="I4692" s="119" t="n">
        <v>40875</v>
      </c>
    </row>
    <row r="4693">
      <c r="A4693" s="114" t="inlineStr">
        <is>
          <t>579196</t>
        </is>
      </c>
      <c r="B4693" s="114" t="n">
        <v>14096</v>
      </c>
      <c r="C4693" s="114" t="inlineStr">
        <is>
          <t>United Kingdom</t>
        </is>
      </c>
      <c r="D4693" s="114" t="inlineStr">
        <is>
          <t>20766</t>
        </is>
      </c>
      <c r="E4693" s="114" t="inlineStr">
        <is>
          <t>GARDEN PATH SKETCHBOOK</t>
        </is>
      </c>
      <c r="F4693" s="114" t="n">
        <v>2</v>
      </c>
      <c r="G4693" s="115" t="n">
        <v>7.46</v>
      </c>
      <c r="H4693" s="115" t="n">
        <v>14.92</v>
      </c>
      <c r="I4693" s="116" t="n">
        <v>40875</v>
      </c>
    </row>
    <row r="4694">
      <c r="A4694" s="117" t="inlineStr">
        <is>
          <t>579196</t>
        </is>
      </c>
      <c r="B4694" s="117" t="n">
        <v>14096</v>
      </c>
      <c r="C4694" s="117" t="inlineStr">
        <is>
          <t>United Kingdom</t>
        </is>
      </c>
      <c r="D4694" s="117" t="inlineStr">
        <is>
          <t>20961</t>
        </is>
      </c>
      <c r="E4694" s="117" t="inlineStr">
        <is>
          <t xml:space="preserve">STRAWBERRY BATH SPONGE </t>
        </is>
      </c>
      <c r="F4694" s="117" t="n">
        <v>1</v>
      </c>
      <c r="G4694" s="118" t="n">
        <v>2.46</v>
      </c>
      <c r="H4694" s="118" t="n">
        <v>2.46</v>
      </c>
      <c r="I4694" s="119" t="n">
        <v>40875</v>
      </c>
    </row>
    <row r="4695">
      <c r="A4695" s="114" t="inlineStr">
        <is>
          <t>579196</t>
        </is>
      </c>
      <c r="B4695" s="114" t="n">
        <v>14096</v>
      </c>
      <c r="C4695" s="114" t="inlineStr">
        <is>
          <t>United Kingdom</t>
        </is>
      </c>
      <c r="D4695" s="114" t="inlineStr">
        <is>
          <t>22965</t>
        </is>
      </c>
      <c r="E4695" s="114" t="inlineStr">
        <is>
          <t>3 TRADITIONAl BISCUIT CUTTERS  SET</t>
        </is>
      </c>
      <c r="F4695" s="114" t="n">
        <v>1</v>
      </c>
      <c r="G4695" s="115" t="n">
        <v>4.13</v>
      </c>
      <c r="H4695" s="115" t="n">
        <v>4.13</v>
      </c>
      <c r="I4695" s="116" t="n">
        <v>40875</v>
      </c>
    </row>
    <row r="4696">
      <c r="A4696" s="117" t="inlineStr">
        <is>
          <t>579196</t>
        </is>
      </c>
      <c r="B4696" s="117" t="n">
        <v>14096</v>
      </c>
      <c r="C4696" s="117" t="inlineStr">
        <is>
          <t>United Kingdom</t>
        </is>
      </c>
      <c r="D4696" s="117" t="inlineStr">
        <is>
          <t>21990</t>
        </is>
      </c>
      <c r="E4696" s="117" t="inlineStr">
        <is>
          <t>MODERN FLORAL STATIONERY SET</t>
        </is>
      </c>
      <c r="F4696" s="117" t="n">
        <v>14</v>
      </c>
      <c r="G4696" s="118" t="n">
        <v>2.46</v>
      </c>
      <c r="H4696" s="118" t="n">
        <v>34.44</v>
      </c>
      <c r="I4696" s="119" t="n">
        <v>40875</v>
      </c>
    </row>
    <row r="4697">
      <c r="A4697" s="114" t="inlineStr">
        <is>
          <t>579196</t>
        </is>
      </c>
      <c r="B4697" s="114" t="n">
        <v>14096</v>
      </c>
      <c r="C4697" s="114" t="inlineStr">
        <is>
          <t>United Kingdom</t>
        </is>
      </c>
      <c r="D4697" s="114" t="inlineStr">
        <is>
          <t>22107</t>
        </is>
      </c>
      <c r="E4697" s="114" t="inlineStr">
        <is>
          <t>PIZZA PLATE IN BOX</t>
        </is>
      </c>
      <c r="F4697" s="114" t="n">
        <v>8</v>
      </c>
      <c r="G4697" s="115" t="n">
        <v>3.29</v>
      </c>
      <c r="H4697" s="115" t="n">
        <v>26.32</v>
      </c>
      <c r="I4697" s="116" t="n">
        <v>40875</v>
      </c>
    </row>
    <row r="4698">
      <c r="A4698" s="117" t="inlineStr">
        <is>
          <t>579258</t>
        </is>
      </c>
      <c r="B4698" s="117" t="n">
        <v>15148</v>
      </c>
      <c r="C4698" s="117" t="inlineStr">
        <is>
          <t>United Kingdom</t>
        </is>
      </c>
      <c r="D4698" s="117" t="inlineStr">
        <is>
          <t>22566</t>
        </is>
      </c>
      <c r="E4698" s="117" t="inlineStr">
        <is>
          <t>FELTCRAFT HAIRBAND PINK AND PURPLE</t>
        </is>
      </c>
      <c r="F4698" s="117" t="n">
        <v>12</v>
      </c>
      <c r="G4698" s="118" t="n">
        <v>0.85</v>
      </c>
      <c r="H4698" s="118" t="n">
        <v>10.2</v>
      </c>
      <c r="I4698" s="119" t="n">
        <v>40876</v>
      </c>
    </row>
    <row r="4699">
      <c r="A4699" s="114" t="inlineStr">
        <is>
          <t>579259</t>
        </is>
      </c>
      <c r="B4699" s="114" t="n">
        <v>12451</v>
      </c>
      <c r="C4699" s="114" t="inlineStr">
        <is>
          <t>Switzerland</t>
        </is>
      </c>
      <c r="D4699" s="114" t="inlineStr">
        <is>
          <t>47559B</t>
        </is>
      </c>
      <c r="E4699" s="114" t="inlineStr">
        <is>
          <t>TEA TIME OVEN GLOVE</t>
        </is>
      </c>
      <c r="F4699" s="114" t="n">
        <v>10</v>
      </c>
      <c r="G4699" s="115" t="n">
        <v>1.25</v>
      </c>
      <c r="H4699" s="115" t="n">
        <v>12.5</v>
      </c>
      <c r="I4699" s="116" t="n">
        <v>40876</v>
      </c>
    </row>
    <row r="4700">
      <c r="A4700" s="117" t="inlineStr">
        <is>
          <t>579267</t>
        </is>
      </c>
      <c r="B4700" s="117" t="n">
        <v>14961</v>
      </c>
      <c r="C4700" s="117" t="inlineStr">
        <is>
          <t>United Kingdom</t>
        </is>
      </c>
      <c r="D4700" s="117" t="inlineStr">
        <is>
          <t>23343</t>
        </is>
      </c>
      <c r="E4700" s="117" t="inlineStr">
        <is>
          <t xml:space="preserve">JUMBO BAG VINTAGE CHRISTMAS </t>
        </is>
      </c>
      <c r="F4700" s="117" t="n">
        <v>20</v>
      </c>
      <c r="G4700" s="118" t="n">
        <v>2.08</v>
      </c>
      <c r="H4700" s="118" t="n">
        <v>41.6</v>
      </c>
      <c r="I4700" s="119" t="n">
        <v>40876</v>
      </c>
    </row>
    <row r="4701">
      <c r="A4701" s="114" t="inlineStr">
        <is>
          <t>579268</t>
        </is>
      </c>
      <c r="B4701" s="114" t="n">
        <v>14321</v>
      </c>
      <c r="C4701" s="114" t="inlineStr">
        <is>
          <t>United Kingdom</t>
        </is>
      </c>
      <c r="D4701" s="114" t="inlineStr">
        <is>
          <t>23321</t>
        </is>
      </c>
      <c r="E4701" s="114" t="inlineStr">
        <is>
          <t>SMALL WHITE HEART OF WICKER</t>
        </is>
      </c>
      <c r="F4701" s="114" t="n">
        <v>12</v>
      </c>
      <c r="G4701" s="115" t="n">
        <v>1.65</v>
      </c>
      <c r="H4701" s="115" t="n">
        <v>19.8</v>
      </c>
      <c r="I4701" s="116" t="n">
        <v>40876</v>
      </c>
    </row>
    <row r="4702">
      <c r="A4702" s="117" t="inlineStr">
        <is>
          <t>579276</t>
        </is>
      </c>
      <c r="B4702" s="117" t="n">
        <v>12654</v>
      </c>
      <c r="C4702" s="117" t="inlineStr">
        <is>
          <t>Germany</t>
        </is>
      </c>
      <c r="D4702" s="117" t="inlineStr">
        <is>
          <t>22556</t>
        </is>
      </c>
      <c r="E4702" s="117" t="inlineStr">
        <is>
          <t xml:space="preserve">PLASTERS IN TIN CIRCUS PARADE </t>
        </is>
      </c>
      <c r="F4702" s="117" t="n">
        <v>12</v>
      </c>
      <c r="G4702" s="118" t="n">
        <v>1.65</v>
      </c>
      <c r="H4702" s="118" t="n">
        <v>19.8</v>
      </c>
      <c r="I4702" s="119" t="n">
        <v>40876</v>
      </c>
    </row>
    <row r="4703">
      <c r="A4703" s="114" t="inlineStr">
        <is>
          <t>579283</t>
        </is>
      </c>
      <c r="B4703" s="114" t="n">
        <v>13883</v>
      </c>
      <c r="C4703" s="114" t="inlineStr">
        <is>
          <t>United Kingdom</t>
        </is>
      </c>
      <c r="D4703" s="114" t="inlineStr">
        <is>
          <t>22423</t>
        </is>
      </c>
      <c r="E4703" s="114" t="inlineStr">
        <is>
          <t>REGENCY CAKESTAND 3 TIER</t>
        </is>
      </c>
      <c r="F4703" s="114" t="n">
        <v>2</v>
      </c>
      <c r="G4703" s="115" t="n">
        <v>12.75</v>
      </c>
      <c r="H4703" s="115" t="n">
        <v>25.5</v>
      </c>
      <c r="I4703" s="116" t="n">
        <v>40876</v>
      </c>
    </row>
    <row r="4704">
      <c r="A4704" s="117" t="inlineStr">
        <is>
          <t>579285</t>
        </is>
      </c>
      <c r="B4704" s="117" t="n">
        <v>14180</v>
      </c>
      <c r="C4704" s="117" t="inlineStr">
        <is>
          <t>United Kingdom</t>
        </is>
      </c>
      <c r="D4704" s="117" t="inlineStr">
        <is>
          <t>22763</t>
        </is>
      </c>
      <c r="E4704" s="117" t="inlineStr">
        <is>
          <t>KEY CABINET MA CAMPAGNE</t>
        </is>
      </c>
      <c r="F4704" s="117" t="n">
        <v>2</v>
      </c>
      <c r="G4704" s="118" t="n">
        <v>9.949999999999999</v>
      </c>
      <c r="H4704" s="118" t="n">
        <v>19.9</v>
      </c>
      <c r="I4704" s="119" t="n">
        <v>40876</v>
      </c>
    </row>
    <row r="4705">
      <c r="A4705" s="114" t="inlineStr">
        <is>
          <t>579286</t>
        </is>
      </c>
      <c r="B4705" s="114" t="n">
        <v>17772</v>
      </c>
      <c r="C4705" s="114" t="inlineStr">
        <is>
          <t>United Kingdom</t>
        </is>
      </c>
      <c r="D4705" s="114" t="inlineStr">
        <is>
          <t>23570</t>
        </is>
      </c>
      <c r="E4705" s="114" t="inlineStr">
        <is>
          <t xml:space="preserve">TRADITIONAL PICK UP STICKS GAME </t>
        </is>
      </c>
      <c r="F4705" s="114" t="n">
        <v>1</v>
      </c>
      <c r="G4705" s="115" t="n">
        <v>1.25</v>
      </c>
      <c r="H4705" s="115" t="n">
        <v>1.25</v>
      </c>
      <c r="I4705" s="116" t="n">
        <v>40876</v>
      </c>
    </row>
    <row r="4706">
      <c r="A4706" s="117" t="inlineStr">
        <is>
          <t>579286</t>
        </is>
      </c>
      <c r="B4706" s="117" t="n">
        <v>17772</v>
      </c>
      <c r="C4706" s="117" t="inlineStr">
        <is>
          <t>United Kingdom</t>
        </is>
      </c>
      <c r="D4706" s="117" t="inlineStr">
        <is>
          <t>23494</t>
        </is>
      </c>
      <c r="E4706" s="117" t="inlineStr">
        <is>
          <t xml:space="preserve">VINTAGE DOILY DELUXE SEWING KIT </t>
        </is>
      </c>
      <c r="F4706" s="117" t="n">
        <v>1</v>
      </c>
      <c r="G4706" s="118" t="n">
        <v>5.95</v>
      </c>
      <c r="H4706" s="118" t="n">
        <v>5.95</v>
      </c>
      <c r="I4706" s="119" t="n">
        <v>40876</v>
      </c>
    </row>
    <row r="4707">
      <c r="A4707" s="114" t="inlineStr">
        <is>
          <t>579301</t>
        </is>
      </c>
      <c r="B4707" s="114" t="n">
        <v>18118</v>
      </c>
      <c r="C4707" s="114" t="inlineStr">
        <is>
          <t>United Kingdom</t>
        </is>
      </c>
      <c r="D4707" s="114" t="inlineStr">
        <is>
          <t>23322</t>
        </is>
      </c>
      <c r="E4707" s="114" t="inlineStr">
        <is>
          <t>LARGE WHITE HEART OF WICKER</t>
        </is>
      </c>
      <c r="F4707" s="114" t="n">
        <v>2</v>
      </c>
      <c r="G4707" s="115" t="n">
        <v>2.95</v>
      </c>
      <c r="H4707" s="115" t="n">
        <v>5.9</v>
      </c>
      <c r="I4707" s="116" t="n">
        <v>40876</v>
      </c>
    </row>
    <row r="4708">
      <c r="A4708" s="117" t="inlineStr">
        <is>
          <t>579301</t>
        </is>
      </c>
      <c r="B4708" s="117" t="n">
        <v>18118</v>
      </c>
      <c r="C4708" s="117" t="inlineStr">
        <is>
          <t>United Kingdom</t>
        </is>
      </c>
      <c r="D4708" s="117" t="inlineStr">
        <is>
          <t>20978</t>
        </is>
      </c>
      <c r="E4708" s="117" t="inlineStr">
        <is>
          <t>36 PENCILS TUBE SKULLS</t>
        </is>
      </c>
      <c r="F4708" s="117" t="n">
        <v>2</v>
      </c>
      <c r="G4708" s="118" t="n">
        <v>1.25</v>
      </c>
      <c r="H4708" s="118" t="n">
        <v>2.5</v>
      </c>
      <c r="I4708" s="119" t="n">
        <v>40876</v>
      </c>
    </row>
    <row r="4709">
      <c r="A4709" s="114" t="inlineStr">
        <is>
          <t>579307</t>
        </is>
      </c>
      <c r="B4709" s="114" t="n">
        <v>17655</v>
      </c>
      <c r="C4709" s="114" t="inlineStr">
        <is>
          <t>United Kingdom</t>
        </is>
      </c>
      <c r="D4709" s="114" t="inlineStr">
        <is>
          <t>22733</t>
        </is>
      </c>
      <c r="E4709" s="114" t="inlineStr">
        <is>
          <t>3D TRADITIONAL CHRISTMAS STICKERS</t>
        </is>
      </c>
      <c r="F4709" s="114" t="n">
        <v>18</v>
      </c>
      <c r="G4709" s="115" t="n">
        <v>1.25</v>
      </c>
      <c r="H4709" s="115" t="n">
        <v>22.5</v>
      </c>
      <c r="I4709" s="116" t="n">
        <v>40876</v>
      </c>
    </row>
    <row r="4710">
      <c r="A4710" s="117" t="inlineStr">
        <is>
          <t>579350</t>
        </is>
      </c>
      <c r="B4710" s="117" t="n">
        <v>15218</v>
      </c>
      <c r="C4710" s="117" t="inlineStr">
        <is>
          <t>United Kingdom</t>
        </is>
      </c>
      <c r="D4710" s="117" t="inlineStr">
        <is>
          <t>85123A</t>
        </is>
      </c>
      <c r="E4710" s="117" t="inlineStr">
        <is>
          <t>WHITE HANGING HEART T-LIGHT HOLDER</t>
        </is>
      </c>
      <c r="F4710" s="117" t="n">
        <v>32</v>
      </c>
      <c r="G4710" s="118" t="n">
        <v>2.55</v>
      </c>
      <c r="H4710" s="118" t="n">
        <v>81.59999999999999</v>
      </c>
      <c r="I4710" s="119" t="n">
        <v>40876</v>
      </c>
    </row>
    <row r="4711">
      <c r="A4711" s="114" t="inlineStr">
        <is>
          <t>579350</t>
        </is>
      </c>
      <c r="B4711" s="114" t="n">
        <v>15218</v>
      </c>
      <c r="C4711" s="114" t="inlineStr">
        <is>
          <t>United Kingdom</t>
        </is>
      </c>
      <c r="D4711" s="114" t="inlineStr">
        <is>
          <t>75049L</t>
        </is>
      </c>
      <c r="E4711" s="114" t="inlineStr">
        <is>
          <t>LARGE CIRCULAR MIRROR MOBILE</t>
        </is>
      </c>
      <c r="F4711" s="114" t="n">
        <v>192</v>
      </c>
      <c r="G4711" s="115" t="n">
        <v>0.85</v>
      </c>
      <c r="H4711" s="115" t="n">
        <v>163.2</v>
      </c>
      <c r="I4711" s="116" t="n">
        <v>40876</v>
      </c>
    </row>
    <row r="4712">
      <c r="A4712" s="117" t="inlineStr">
        <is>
          <t>579387</t>
        </is>
      </c>
      <c r="B4712" s="117" t="n">
        <v>14452</v>
      </c>
      <c r="C4712" s="117" t="inlineStr">
        <is>
          <t>United Kingdom</t>
        </is>
      </c>
      <c r="D4712" s="117" t="inlineStr">
        <is>
          <t>22361</t>
        </is>
      </c>
      <c r="E4712" s="117" t="inlineStr">
        <is>
          <t>GLASS JAR DAISY FRESH COTTON WOOL</t>
        </is>
      </c>
      <c r="F4712" s="117" t="n">
        <v>1</v>
      </c>
      <c r="G4712" s="118" t="n">
        <v>2.95</v>
      </c>
      <c r="H4712" s="118" t="n">
        <v>2.95</v>
      </c>
      <c r="I4712" s="119" t="n">
        <v>40876</v>
      </c>
    </row>
    <row r="4713">
      <c r="A4713" s="114" t="inlineStr">
        <is>
          <t>579399</t>
        </is>
      </c>
      <c r="B4713" s="114" t="n">
        <v>13137</v>
      </c>
      <c r="C4713" s="114" t="inlineStr">
        <is>
          <t>United Kingdom</t>
        </is>
      </c>
      <c r="D4713" s="114" t="inlineStr">
        <is>
          <t>23365</t>
        </is>
      </c>
      <c r="E4713" s="114" t="inlineStr">
        <is>
          <t>SET 12 COLOUR PENCILS LOVE LONDON</t>
        </is>
      </c>
      <c r="F4713" s="114" t="n">
        <v>3</v>
      </c>
      <c r="G4713" s="115" t="n">
        <v>0.65</v>
      </c>
      <c r="H4713" s="115" t="n">
        <v>1.95</v>
      </c>
      <c r="I4713" s="116" t="n">
        <v>40876</v>
      </c>
    </row>
    <row r="4714">
      <c r="A4714" s="117" t="inlineStr">
        <is>
          <t>579399</t>
        </is>
      </c>
      <c r="B4714" s="117" t="n">
        <v>13137</v>
      </c>
      <c r="C4714" s="117" t="inlineStr">
        <is>
          <t>United Kingdom</t>
        </is>
      </c>
      <c r="D4714" s="117" t="inlineStr">
        <is>
          <t>22079</t>
        </is>
      </c>
      <c r="E4714" s="117" t="inlineStr">
        <is>
          <t xml:space="preserve">RIBBON REEL HEARTS DESIGN </t>
        </is>
      </c>
      <c r="F4714" s="117" t="n">
        <v>2</v>
      </c>
      <c r="G4714" s="118" t="n">
        <v>1.65</v>
      </c>
      <c r="H4714" s="118" t="n">
        <v>3.3</v>
      </c>
      <c r="I4714" s="119" t="n">
        <v>40876</v>
      </c>
    </row>
    <row r="4715">
      <c r="A4715" s="114" t="inlineStr">
        <is>
          <t>579403</t>
        </is>
      </c>
      <c r="B4715" s="114" t="n">
        <v>14503</v>
      </c>
      <c r="C4715" s="114" t="inlineStr">
        <is>
          <t>United Kingdom</t>
        </is>
      </c>
      <c r="D4715" s="114" t="inlineStr">
        <is>
          <t>85099C</t>
        </is>
      </c>
      <c r="E4715" s="114" t="inlineStr">
        <is>
          <t>JUMBO  BAG BAROQUE BLACK WHITE</t>
        </is>
      </c>
      <c r="F4715" s="114" t="n">
        <v>10</v>
      </c>
      <c r="G4715" s="115" t="n">
        <v>2.08</v>
      </c>
      <c r="H4715" s="115" t="n">
        <v>20.8</v>
      </c>
      <c r="I4715" s="116" t="n">
        <v>40876</v>
      </c>
    </row>
    <row r="4716">
      <c r="A4716" s="117" t="inlineStr">
        <is>
          <t>579414</t>
        </is>
      </c>
      <c r="B4716" s="117" t="n">
        <v>14719</v>
      </c>
      <c r="C4716" s="117" t="inlineStr">
        <is>
          <t>United Kingdom</t>
        </is>
      </c>
      <c r="D4716" s="117" t="inlineStr">
        <is>
          <t>23320</t>
        </is>
      </c>
      <c r="E4716" s="117" t="inlineStr">
        <is>
          <t>GIANT 50'S CHRISTMAS CRACKER</t>
        </is>
      </c>
      <c r="F4716" s="117" t="n">
        <v>4</v>
      </c>
      <c r="G4716" s="118" t="n">
        <v>2.89</v>
      </c>
      <c r="H4716" s="118" t="n">
        <v>11.56</v>
      </c>
      <c r="I4716" s="119" t="n">
        <v>40876</v>
      </c>
    </row>
    <row r="4717">
      <c r="A4717" s="114" t="inlineStr">
        <is>
          <t>579427</t>
        </is>
      </c>
      <c r="B4717" s="114" t="n">
        <v>16479</v>
      </c>
      <c r="C4717" s="114" t="inlineStr">
        <is>
          <t>United Kingdom</t>
        </is>
      </c>
      <c r="D4717" s="114" t="inlineStr">
        <is>
          <t>20914</t>
        </is>
      </c>
      <c r="E4717" s="114" t="inlineStr">
        <is>
          <t>SET/5 RED RETROSPOT LID GLASS BOWLS</t>
        </is>
      </c>
      <c r="F4717" s="114" t="n">
        <v>3</v>
      </c>
      <c r="G4717" s="115" t="n">
        <v>2.95</v>
      </c>
      <c r="H4717" s="115" t="n">
        <v>8.85</v>
      </c>
      <c r="I4717" s="116" t="n">
        <v>40876</v>
      </c>
    </row>
    <row r="4718">
      <c r="A4718" s="117" t="inlineStr">
        <is>
          <t>579430</t>
        </is>
      </c>
      <c r="B4718" s="117" t="n">
        <v>12748</v>
      </c>
      <c r="C4718" s="117" t="inlineStr">
        <is>
          <t>United Kingdom</t>
        </is>
      </c>
      <c r="D4718" s="117" t="inlineStr">
        <is>
          <t>22834</t>
        </is>
      </c>
      <c r="E4718" s="117" t="inlineStr">
        <is>
          <t>HAND WARMER BABUSHKA DESIGN</t>
        </is>
      </c>
      <c r="F4718" s="117" t="n">
        <v>1</v>
      </c>
      <c r="G4718" s="118" t="n">
        <v>2.1</v>
      </c>
      <c r="H4718" s="118" t="n">
        <v>2.1</v>
      </c>
      <c r="I4718" s="119" t="n">
        <v>40876</v>
      </c>
    </row>
    <row r="4719">
      <c r="A4719" s="114" t="inlineStr">
        <is>
          <t>579444</t>
        </is>
      </c>
      <c r="B4719" s="114" t="n">
        <v>13999</v>
      </c>
      <c r="C4719" s="114" t="inlineStr">
        <is>
          <t>United Kingdom</t>
        </is>
      </c>
      <c r="D4719" s="114" t="inlineStr">
        <is>
          <t>23250</t>
        </is>
      </c>
      <c r="E4719" s="114" t="inlineStr">
        <is>
          <t xml:space="preserve">VINTAGE RED TRIM ENAMEL BOWL </t>
        </is>
      </c>
      <c r="F4719" s="114" t="n">
        <v>12</v>
      </c>
      <c r="G4719" s="115" t="n">
        <v>1.25</v>
      </c>
      <c r="H4719" s="115" t="n">
        <v>15</v>
      </c>
      <c r="I4719" s="116" t="n">
        <v>40876</v>
      </c>
    </row>
    <row r="4720">
      <c r="A4720" s="117" t="inlineStr">
        <is>
          <t>579443</t>
        </is>
      </c>
      <c r="B4720" s="117" t="n">
        <v>16479</v>
      </c>
      <c r="C4720" s="117" t="inlineStr">
        <is>
          <t>United Kingdom</t>
        </is>
      </c>
      <c r="D4720" s="117" t="inlineStr">
        <is>
          <t>22748</t>
        </is>
      </c>
      <c r="E4720" s="117" t="inlineStr">
        <is>
          <t>POPPY'S PLAYHOUSE KITCHEN</t>
        </is>
      </c>
      <c r="F4720" s="117" t="n">
        <v>2</v>
      </c>
      <c r="G4720" s="118" t="n">
        <v>2.1</v>
      </c>
      <c r="H4720" s="118" t="n">
        <v>4.2</v>
      </c>
      <c r="I4720" s="119" t="n">
        <v>40876</v>
      </c>
    </row>
    <row r="4721">
      <c r="A4721" s="114" t="inlineStr">
        <is>
          <t>579447</t>
        </is>
      </c>
      <c r="B4721" s="114" t="n">
        <v>14390</v>
      </c>
      <c r="C4721" s="114" t="inlineStr">
        <is>
          <t>United Kingdom</t>
        </is>
      </c>
      <c r="D4721" s="114" t="inlineStr">
        <is>
          <t>23214</t>
        </is>
      </c>
      <c r="E4721" s="114" t="inlineStr">
        <is>
          <t>JINGLE BELL HEART ANTIQUE GOLD</t>
        </is>
      </c>
      <c r="F4721" s="114" t="n">
        <v>6</v>
      </c>
      <c r="G4721" s="115" t="n">
        <v>2.08</v>
      </c>
      <c r="H4721" s="115" t="n">
        <v>12.48</v>
      </c>
      <c r="I4721" s="116" t="n">
        <v>40876</v>
      </c>
    </row>
    <row r="4722">
      <c r="A4722" s="117" t="inlineStr">
        <is>
          <t>579454</t>
        </is>
      </c>
      <c r="B4722" s="117" t="n">
        <v>12901</v>
      </c>
      <c r="C4722" s="117" t="inlineStr">
        <is>
          <t>United Kingdom</t>
        </is>
      </c>
      <c r="D4722" s="117" t="inlineStr">
        <is>
          <t>22935</t>
        </is>
      </c>
      <c r="E4722" s="117" t="inlineStr">
        <is>
          <t>BAKING MOULD ROSE MILK CHOCOLATE</t>
        </is>
      </c>
      <c r="F4722" s="117" t="n">
        <v>2</v>
      </c>
      <c r="G4722" s="118" t="n">
        <v>3.25</v>
      </c>
      <c r="H4722" s="118" t="n">
        <v>6.5</v>
      </c>
      <c r="I4722" s="119" t="n">
        <v>40876</v>
      </c>
    </row>
    <row r="4723">
      <c r="A4723" s="114" t="inlineStr">
        <is>
          <t>579455</t>
        </is>
      </c>
      <c r="B4723" s="114" t="n">
        <v>15239</v>
      </c>
      <c r="C4723" s="114" t="inlineStr">
        <is>
          <t>United Kingdom</t>
        </is>
      </c>
      <c r="D4723" s="114" t="inlineStr">
        <is>
          <t>22966</t>
        </is>
      </c>
      <c r="E4723" s="114" t="inlineStr">
        <is>
          <t>GINGERBREAD MAN COOKIE CUTTER</t>
        </is>
      </c>
      <c r="F4723" s="114" t="n">
        <v>12</v>
      </c>
      <c r="G4723" s="115" t="n">
        <v>1.25</v>
      </c>
      <c r="H4723" s="115" t="n">
        <v>15</v>
      </c>
      <c r="I4723" s="116" t="n">
        <v>40876</v>
      </c>
    </row>
    <row r="4724">
      <c r="A4724" s="117" t="inlineStr">
        <is>
          <t>579456</t>
        </is>
      </c>
      <c r="B4724" s="117" t="n">
        <v>13428</v>
      </c>
      <c r="C4724" s="117" t="inlineStr">
        <is>
          <t>United Kingdom</t>
        </is>
      </c>
      <c r="D4724" s="117" t="inlineStr">
        <is>
          <t>23416</t>
        </is>
      </c>
      <c r="E4724" s="117" t="inlineStr">
        <is>
          <t>CHAMBRE HOOK</t>
        </is>
      </c>
      <c r="F4724" s="117" t="n">
        <v>2</v>
      </c>
      <c r="G4724" s="118" t="n">
        <v>1.65</v>
      </c>
      <c r="H4724" s="118" t="n">
        <v>3.3</v>
      </c>
      <c r="I4724" s="119" t="n">
        <v>40876</v>
      </c>
    </row>
    <row r="4725">
      <c r="A4725" s="114" t="inlineStr">
        <is>
          <t>579458</t>
        </is>
      </c>
      <c r="B4725" s="114" t="n">
        <v>16549</v>
      </c>
      <c r="C4725" s="114" t="inlineStr">
        <is>
          <t>United Kingdom</t>
        </is>
      </c>
      <c r="D4725" s="114" t="inlineStr">
        <is>
          <t>23209</t>
        </is>
      </c>
      <c r="E4725" s="114" t="inlineStr">
        <is>
          <t xml:space="preserve">LUNCH BAG VINTAGE DOILY </t>
        </is>
      </c>
      <c r="F4725" s="114" t="n">
        <v>2</v>
      </c>
      <c r="G4725" s="115" t="n">
        <v>1.65</v>
      </c>
      <c r="H4725" s="115" t="n">
        <v>3.3</v>
      </c>
      <c r="I4725" s="116" t="n">
        <v>40876</v>
      </c>
    </row>
    <row r="4726">
      <c r="A4726" s="117" t="inlineStr">
        <is>
          <t>579458</t>
        </is>
      </c>
      <c r="B4726" s="117" t="n">
        <v>16549</v>
      </c>
      <c r="C4726" s="117" t="inlineStr">
        <is>
          <t>United Kingdom</t>
        </is>
      </c>
      <c r="D4726" s="117" t="inlineStr">
        <is>
          <t>21231</t>
        </is>
      </c>
      <c r="E4726" s="117" t="inlineStr">
        <is>
          <t>SWEETHEART CERAMIC TRINKET BOX</t>
        </is>
      </c>
      <c r="F4726" s="117" t="n">
        <v>1</v>
      </c>
      <c r="G4726" s="118" t="n">
        <v>1.25</v>
      </c>
      <c r="H4726" s="118" t="n">
        <v>1.25</v>
      </c>
      <c r="I4726" s="119" t="n">
        <v>40876</v>
      </c>
    </row>
    <row r="4727">
      <c r="A4727" s="114" t="inlineStr">
        <is>
          <t>579458</t>
        </is>
      </c>
      <c r="B4727" s="114" t="n">
        <v>16549</v>
      </c>
      <c r="C4727" s="114" t="inlineStr">
        <is>
          <t>United Kingdom</t>
        </is>
      </c>
      <c r="D4727" s="114" t="inlineStr">
        <is>
          <t>22633</t>
        </is>
      </c>
      <c r="E4727" s="114" t="inlineStr">
        <is>
          <t>HAND WARMER UNION JACK</t>
        </is>
      </c>
      <c r="F4727" s="114" t="n">
        <v>1</v>
      </c>
      <c r="G4727" s="115" t="n">
        <v>2.1</v>
      </c>
      <c r="H4727" s="115" t="n">
        <v>2.1</v>
      </c>
      <c r="I4727" s="116" t="n">
        <v>40876</v>
      </c>
    </row>
    <row r="4728">
      <c r="A4728" s="117" t="inlineStr">
        <is>
          <t>579458</t>
        </is>
      </c>
      <c r="B4728" s="117" t="n">
        <v>16549</v>
      </c>
      <c r="C4728" s="117" t="inlineStr">
        <is>
          <t>United Kingdom</t>
        </is>
      </c>
      <c r="D4728" s="117" t="inlineStr">
        <is>
          <t>23206</t>
        </is>
      </c>
      <c r="E4728" s="117" t="inlineStr">
        <is>
          <t>LUNCH BAG APPLE DESIGN</t>
        </is>
      </c>
      <c r="F4728" s="117" t="n">
        <v>2</v>
      </c>
      <c r="G4728" s="118" t="n">
        <v>1.65</v>
      </c>
      <c r="H4728" s="118" t="n">
        <v>3.3</v>
      </c>
      <c r="I4728" s="119" t="n">
        <v>40876</v>
      </c>
    </row>
    <row r="4729">
      <c r="A4729" s="114" t="inlineStr">
        <is>
          <t>579470</t>
        </is>
      </c>
      <c r="B4729" s="114" t="n">
        <v>16549</v>
      </c>
      <c r="C4729" s="114" t="inlineStr">
        <is>
          <t>United Kingdom</t>
        </is>
      </c>
      <c r="D4729" s="114" t="inlineStr">
        <is>
          <t>21790</t>
        </is>
      </c>
      <c r="E4729" s="114" t="inlineStr">
        <is>
          <t>VINTAGE SNAP CARDS</t>
        </is>
      </c>
      <c r="F4729" s="114" t="n">
        <v>3</v>
      </c>
      <c r="G4729" s="115" t="n">
        <v>0.85</v>
      </c>
      <c r="H4729" s="115" t="n">
        <v>2.55</v>
      </c>
      <c r="I4729" s="116" t="n">
        <v>40876</v>
      </c>
    </row>
    <row r="4730">
      <c r="A4730" s="117" t="inlineStr">
        <is>
          <t>579470</t>
        </is>
      </c>
      <c r="B4730" s="117" t="n">
        <v>16549</v>
      </c>
      <c r="C4730" s="117" t="inlineStr">
        <is>
          <t>United Kingdom</t>
        </is>
      </c>
      <c r="D4730" s="117" t="inlineStr">
        <is>
          <t>23322</t>
        </is>
      </c>
      <c r="E4730" s="117" t="inlineStr">
        <is>
          <t>LARGE WHITE HEART OF WICKER</t>
        </is>
      </c>
      <c r="F4730" s="117" t="n">
        <v>2</v>
      </c>
      <c r="G4730" s="118" t="n">
        <v>2.95</v>
      </c>
      <c r="H4730" s="118" t="n">
        <v>5.9</v>
      </c>
      <c r="I4730" s="119" t="n">
        <v>40876</v>
      </c>
    </row>
    <row r="4731">
      <c r="A4731" s="114" t="inlineStr">
        <is>
          <t>579470</t>
        </is>
      </c>
      <c r="B4731" s="114" t="n">
        <v>16549</v>
      </c>
      <c r="C4731" s="114" t="inlineStr">
        <is>
          <t>United Kingdom</t>
        </is>
      </c>
      <c r="D4731" s="114" t="inlineStr">
        <is>
          <t>20975</t>
        </is>
      </c>
      <c r="E4731" s="114" t="inlineStr">
        <is>
          <t>12 PENCILS SMALL TUBE RED RETROSPOT</t>
        </is>
      </c>
      <c r="F4731" s="114" t="n">
        <v>1</v>
      </c>
      <c r="G4731" s="115" t="n">
        <v>0.65</v>
      </c>
      <c r="H4731" s="115" t="n">
        <v>0.65</v>
      </c>
      <c r="I4731" s="116" t="n">
        <v>40876</v>
      </c>
    </row>
    <row r="4732">
      <c r="A4732" s="117" t="inlineStr">
        <is>
          <t>579472</t>
        </is>
      </c>
      <c r="B4732" s="117" t="n">
        <v>13521</v>
      </c>
      <c r="C4732" s="117" t="inlineStr">
        <is>
          <t>United Kingdom</t>
        </is>
      </c>
      <c r="D4732" s="117" t="inlineStr">
        <is>
          <t>21135</t>
        </is>
      </c>
      <c r="E4732" s="117" t="inlineStr">
        <is>
          <t>VICTORIAN  METAL POSTCARD SPRING</t>
        </is>
      </c>
      <c r="F4732" s="117" t="n">
        <v>1</v>
      </c>
      <c r="G4732" s="118" t="n">
        <v>1.69</v>
      </c>
      <c r="H4732" s="118" t="n">
        <v>1.69</v>
      </c>
      <c r="I4732" s="119" t="n">
        <v>40876</v>
      </c>
    </row>
    <row r="4733">
      <c r="A4733" s="114" t="inlineStr">
        <is>
          <t>579489</t>
        </is>
      </c>
      <c r="B4733" s="114" t="n">
        <v>16775</v>
      </c>
      <c r="C4733" s="114" t="inlineStr">
        <is>
          <t>United Kingdom</t>
        </is>
      </c>
      <c r="D4733" s="114" t="inlineStr">
        <is>
          <t>21485</t>
        </is>
      </c>
      <c r="E4733" s="114" t="inlineStr">
        <is>
          <t>RETROSPOT HEART HOT WATER BOTTLE</t>
        </is>
      </c>
      <c r="F4733" s="114" t="n">
        <v>2</v>
      </c>
      <c r="G4733" s="115" t="n">
        <v>4.95</v>
      </c>
      <c r="H4733" s="115" t="n">
        <v>9.9</v>
      </c>
      <c r="I4733" s="116" t="n">
        <v>40876</v>
      </c>
    </row>
    <row r="4734">
      <c r="A4734" s="117" t="inlineStr">
        <is>
          <t>579491</t>
        </is>
      </c>
      <c r="B4734" s="117" t="n">
        <v>14723</v>
      </c>
      <c r="C4734" s="117" t="inlineStr">
        <is>
          <t>United Kingdom</t>
        </is>
      </c>
      <c r="D4734" s="117" t="inlineStr">
        <is>
          <t>85099F</t>
        </is>
      </c>
      <c r="E4734" s="117" t="inlineStr">
        <is>
          <t>JUMBO BAG STRAWBERRY</t>
        </is>
      </c>
      <c r="F4734" s="117" t="n">
        <v>1</v>
      </c>
      <c r="G4734" s="118" t="n">
        <v>2.08</v>
      </c>
      <c r="H4734" s="118" t="n">
        <v>2.08</v>
      </c>
      <c r="I4734" s="119" t="n">
        <v>40876</v>
      </c>
    </row>
    <row r="4735">
      <c r="A4735" s="114" t="inlineStr">
        <is>
          <t>579497</t>
        </is>
      </c>
      <c r="B4735" s="114" t="n">
        <v>14349</v>
      </c>
      <c r="C4735" s="114" t="inlineStr">
        <is>
          <t>United Kingdom</t>
        </is>
      </c>
      <c r="D4735" s="114" t="inlineStr">
        <is>
          <t>21158</t>
        </is>
      </c>
      <c r="E4735" s="114" t="inlineStr">
        <is>
          <t xml:space="preserve">MOODY GIRL DOOR HANGER </t>
        </is>
      </c>
      <c r="F4735" s="114" t="n">
        <v>4</v>
      </c>
      <c r="G4735" s="115" t="n">
        <v>0.39</v>
      </c>
      <c r="H4735" s="115" t="n">
        <v>1.56</v>
      </c>
      <c r="I4735" s="116" t="n">
        <v>40876</v>
      </c>
    </row>
    <row r="4736">
      <c r="A4736" s="117" t="inlineStr">
        <is>
          <t>579499</t>
        </is>
      </c>
      <c r="B4736" s="117" t="n">
        <v>17682</v>
      </c>
      <c r="C4736" s="117" t="inlineStr">
        <is>
          <t>United Kingdom</t>
        </is>
      </c>
      <c r="D4736" s="117" t="inlineStr">
        <is>
          <t>22382</t>
        </is>
      </c>
      <c r="E4736" s="117" t="inlineStr">
        <is>
          <t xml:space="preserve">LUNCH BAG SPACEBOY DESIGN </t>
        </is>
      </c>
      <c r="F4736" s="117" t="n">
        <v>10</v>
      </c>
      <c r="G4736" s="118" t="n">
        <v>1.65</v>
      </c>
      <c r="H4736" s="118" t="n">
        <v>16.5</v>
      </c>
      <c r="I4736" s="119" t="n">
        <v>40876</v>
      </c>
    </row>
    <row r="4737">
      <c r="A4737" s="114" t="inlineStr">
        <is>
          <t>579503</t>
        </is>
      </c>
      <c r="B4737" s="114" t="n">
        <v>17097</v>
      </c>
      <c r="C4737" s="114" t="inlineStr">
        <is>
          <t>Spain</t>
        </is>
      </c>
      <c r="D4737" s="114" t="inlineStr">
        <is>
          <t>23211</t>
        </is>
      </c>
      <c r="E4737" s="114" t="inlineStr">
        <is>
          <t>RED ROCKING HORSE HAND PAINTED</t>
        </is>
      </c>
      <c r="F4737" s="114" t="n">
        <v>10</v>
      </c>
      <c r="G4737" s="115" t="n">
        <v>1.25</v>
      </c>
      <c r="H4737" s="115" t="n">
        <v>12.5</v>
      </c>
      <c r="I4737" s="116" t="n">
        <v>40876</v>
      </c>
    </row>
    <row r="4738">
      <c r="A4738" s="117" t="inlineStr">
        <is>
          <t>579514</t>
        </is>
      </c>
      <c r="B4738" s="117" t="n">
        <v>16688</v>
      </c>
      <c r="C4738" s="117" t="inlineStr">
        <is>
          <t>United Kingdom</t>
        </is>
      </c>
      <c r="D4738" s="117" t="inlineStr">
        <is>
          <t>22852</t>
        </is>
      </c>
      <c r="E4738" s="117" t="inlineStr">
        <is>
          <t>DOG BOWL VINTAGE CREAM</t>
        </is>
      </c>
      <c r="F4738" s="117" t="n">
        <v>4</v>
      </c>
      <c r="G4738" s="118" t="n">
        <v>4.25</v>
      </c>
      <c r="H4738" s="118" t="n">
        <v>17</v>
      </c>
      <c r="I4738" s="119" t="n">
        <v>40876</v>
      </c>
    </row>
    <row r="4739">
      <c r="A4739" s="114" t="inlineStr">
        <is>
          <t>579523</t>
        </is>
      </c>
      <c r="B4739" s="114" t="n">
        <v>15903</v>
      </c>
      <c r="C4739" s="114" t="inlineStr">
        <is>
          <t>United Kingdom</t>
        </is>
      </c>
      <c r="D4739" s="114" t="inlineStr">
        <is>
          <t>84029G</t>
        </is>
      </c>
      <c r="E4739" s="114" t="inlineStr">
        <is>
          <t>KNITTED UNION FLAG HOT WATER BOTTLE</t>
        </is>
      </c>
      <c r="F4739" s="114" t="n">
        <v>24</v>
      </c>
      <c r="G4739" s="115" t="n">
        <v>3.75</v>
      </c>
      <c r="H4739" s="115" t="n">
        <v>90</v>
      </c>
      <c r="I4739" s="116" t="n">
        <v>40877</v>
      </c>
    </row>
    <row r="4740">
      <c r="A4740" s="117" t="inlineStr">
        <is>
          <t>579527</t>
        </is>
      </c>
      <c r="B4740" s="117" t="n">
        <v>18210</v>
      </c>
      <c r="C4740" s="117" t="inlineStr">
        <is>
          <t>United Kingdom</t>
        </is>
      </c>
      <c r="D4740" s="117" t="inlineStr">
        <is>
          <t>23079</t>
        </is>
      </c>
      <c r="E4740" s="117" t="inlineStr">
        <is>
          <t xml:space="preserve">TOADSTOOL BEDSIDE LIGHT </t>
        </is>
      </c>
      <c r="F4740" s="117" t="n">
        <v>2</v>
      </c>
      <c r="G4740" s="118" t="n">
        <v>8.949999999999999</v>
      </c>
      <c r="H4740" s="118" t="n">
        <v>17.9</v>
      </c>
      <c r="I4740" s="119" t="n">
        <v>40877</v>
      </c>
    </row>
    <row r="4741">
      <c r="A4741" s="114" t="inlineStr">
        <is>
          <t>579533</t>
        </is>
      </c>
      <c r="B4741" s="114" t="n">
        <v>12953</v>
      </c>
      <c r="C4741" s="114" t="inlineStr">
        <is>
          <t>United Kingdom</t>
        </is>
      </c>
      <c r="D4741" s="114" t="inlineStr">
        <is>
          <t>23458</t>
        </is>
      </c>
      <c r="E4741" s="114" t="inlineStr">
        <is>
          <t xml:space="preserve">DOLLY CABINET 3 DRAWERS </t>
        </is>
      </c>
      <c r="F4741" s="114" t="n">
        <v>2</v>
      </c>
      <c r="G4741" s="115" t="n">
        <v>14.95</v>
      </c>
      <c r="H4741" s="115" t="n">
        <v>29.9</v>
      </c>
      <c r="I4741" s="116" t="n">
        <v>40877</v>
      </c>
    </row>
    <row r="4742">
      <c r="A4742" s="117" t="inlineStr">
        <is>
          <t>579535</t>
        </is>
      </c>
      <c r="B4742" s="117" t="n">
        <v>15414</v>
      </c>
      <c r="C4742" s="117" t="inlineStr">
        <is>
          <t>United Kingdom</t>
        </is>
      </c>
      <c r="D4742" s="117" t="inlineStr">
        <is>
          <t>21703</t>
        </is>
      </c>
      <c r="E4742" s="117" t="inlineStr">
        <is>
          <t>BAG 125g SWIRLY MARBLES</t>
        </is>
      </c>
      <c r="F4742" s="117" t="n">
        <v>12</v>
      </c>
      <c r="G4742" s="118" t="n">
        <v>0.42</v>
      </c>
      <c r="H4742" s="118" t="n">
        <v>5.04</v>
      </c>
      <c r="I4742" s="119" t="n">
        <v>40877</v>
      </c>
    </row>
    <row r="4743">
      <c r="A4743" s="114" t="inlineStr">
        <is>
          <t>579543</t>
        </is>
      </c>
      <c r="B4743" s="114" t="n">
        <v>14653</v>
      </c>
      <c r="C4743" s="114" t="inlineStr">
        <is>
          <t>United Kingdom</t>
        </is>
      </c>
      <c r="D4743" s="114" t="inlineStr">
        <is>
          <t>23553</t>
        </is>
      </c>
      <c r="E4743" s="114" t="inlineStr">
        <is>
          <t xml:space="preserve">LANDMARK FRAME CAMDEN TOWN </t>
        </is>
      </c>
      <c r="F4743" s="114" t="n">
        <v>1</v>
      </c>
      <c r="G4743" s="115" t="n">
        <v>12.5</v>
      </c>
      <c r="H4743" s="115" t="n">
        <v>12.5</v>
      </c>
      <c r="I4743" s="116" t="n">
        <v>40877</v>
      </c>
    </row>
    <row r="4744">
      <c r="A4744" s="117" t="inlineStr">
        <is>
          <t>579553</t>
        </is>
      </c>
      <c r="B4744" s="117" t="n">
        <v>14156</v>
      </c>
      <c r="C4744" s="117" t="inlineStr">
        <is>
          <t>EIRE</t>
        </is>
      </c>
      <c r="D4744" s="117" t="inlineStr">
        <is>
          <t>23512</t>
        </is>
      </c>
      <c r="E4744" s="117" t="inlineStr">
        <is>
          <t>EMBROIDERED RIBBON REEL ROSIE</t>
        </is>
      </c>
      <c r="F4744" s="117" t="n">
        <v>6</v>
      </c>
      <c r="G4744" s="118" t="n">
        <v>2.08</v>
      </c>
      <c r="H4744" s="118" t="n">
        <v>12.48</v>
      </c>
      <c r="I4744" s="119" t="n">
        <v>40877</v>
      </c>
    </row>
    <row r="4745">
      <c r="A4745" s="114" t="inlineStr">
        <is>
          <t>579555</t>
        </is>
      </c>
      <c r="B4745" s="114" t="n">
        <v>16241</v>
      </c>
      <c r="C4745" s="114" t="inlineStr">
        <is>
          <t>United Kingdom</t>
        </is>
      </c>
      <c r="D4745" s="114" t="inlineStr">
        <is>
          <t>22602</t>
        </is>
      </c>
      <c r="E4745" s="114" t="inlineStr">
        <is>
          <t>RETROSPOT WOODEN HEART DECORATION</t>
        </is>
      </c>
      <c r="F4745" s="114" t="n">
        <v>11</v>
      </c>
      <c r="G4745" s="115" t="n">
        <v>0.85</v>
      </c>
      <c r="H4745" s="115" t="n">
        <v>9.35</v>
      </c>
      <c r="I4745" s="116" t="n">
        <v>40877</v>
      </c>
    </row>
    <row r="4746">
      <c r="A4746" s="117" t="inlineStr">
        <is>
          <t>579555</t>
        </is>
      </c>
      <c r="B4746" s="117" t="n">
        <v>16241</v>
      </c>
      <c r="C4746" s="117" t="inlineStr">
        <is>
          <t>United Kingdom</t>
        </is>
      </c>
      <c r="D4746" s="117" t="inlineStr">
        <is>
          <t>21755</t>
        </is>
      </c>
      <c r="E4746" s="117" t="inlineStr">
        <is>
          <t>LOVE BUILDING BLOCK WORD</t>
        </is>
      </c>
      <c r="F4746" s="117" t="n">
        <v>1</v>
      </c>
      <c r="G4746" s="118" t="n">
        <v>6.25</v>
      </c>
      <c r="H4746" s="118" t="n">
        <v>6.25</v>
      </c>
      <c r="I4746" s="119" t="n">
        <v>40877</v>
      </c>
    </row>
    <row r="4747">
      <c r="A4747" s="114" t="inlineStr">
        <is>
          <t>579555</t>
        </is>
      </c>
      <c r="B4747" s="114" t="n">
        <v>16241</v>
      </c>
      <c r="C4747" s="114" t="inlineStr">
        <is>
          <t>United Kingdom</t>
        </is>
      </c>
      <c r="D4747" s="114" t="inlineStr">
        <is>
          <t>22086</t>
        </is>
      </c>
      <c r="E4747" s="114" t="inlineStr">
        <is>
          <t xml:space="preserve">PAPER CHAIN KIT 50'S CHRISTMAS </t>
        </is>
      </c>
      <c r="F4747" s="114" t="n">
        <v>6</v>
      </c>
      <c r="G4747" s="115" t="n">
        <v>2.95</v>
      </c>
      <c r="H4747" s="115" t="n">
        <v>17.7</v>
      </c>
      <c r="I4747" s="116" t="n">
        <v>40877</v>
      </c>
    </row>
    <row r="4748">
      <c r="A4748" s="117" t="inlineStr">
        <is>
          <t>579556</t>
        </is>
      </c>
      <c r="B4748" s="117" t="n">
        <v>17835</v>
      </c>
      <c r="C4748" s="117" t="inlineStr">
        <is>
          <t>United Kingdom</t>
        </is>
      </c>
      <c r="D4748" s="117" t="inlineStr">
        <is>
          <t>23300</t>
        </is>
      </c>
      <c r="E4748" s="117" t="inlineStr">
        <is>
          <t xml:space="preserve">GARDENERS KNEELING PAD CUP OF TEA </t>
        </is>
      </c>
      <c r="F4748" s="117" t="n">
        <v>3</v>
      </c>
      <c r="G4748" s="118" t="n">
        <v>1.65</v>
      </c>
      <c r="H4748" s="118" t="n">
        <v>4.95</v>
      </c>
      <c r="I4748" s="119" t="n">
        <v>40877</v>
      </c>
    </row>
    <row r="4749">
      <c r="A4749" s="114" t="inlineStr">
        <is>
          <t>579560</t>
        </is>
      </c>
      <c r="B4749" s="114" t="n">
        <v>15039</v>
      </c>
      <c r="C4749" s="114" t="inlineStr">
        <is>
          <t>United Kingdom</t>
        </is>
      </c>
      <c r="D4749" s="114" t="inlineStr">
        <is>
          <t>22946</t>
        </is>
      </c>
      <c r="E4749" s="114" t="inlineStr">
        <is>
          <t>WOODEN ADVENT CALENDAR CREAM</t>
        </is>
      </c>
      <c r="F4749" s="114" t="n">
        <v>1</v>
      </c>
      <c r="G4749" s="115" t="n">
        <v>16.95</v>
      </c>
      <c r="H4749" s="115" t="n">
        <v>16.95</v>
      </c>
      <c r="I4749" s="116" t="n">
        <v>40877</v>
      </c>
    </row>
    <row r="4750">
      <c r="A4750" s="117" t="inlineStr">
        <is>
          <t>579605</t>
        </is>
      </c>
      <c r="B4750" s="117" t="n">
        <v>15024</v>
      </c>
      <c r="C4750" s="117" t="inlineStr">
        <is>
          <t>United Kingdom</t>
        </is>
      </c>
      <c r="D4750" s="117" t="inlineStr">
        <is>
          <t>22910</t>
        </is>
      </c>
      <c r="E4750" s="117" t="inlineStr">
        <is>
          <t>PAPER CHAIN KIT VINTAGE CHRISTMAS</t>
        </is>
      </c>
      <c r="F4750" s="117" t="n">
        <v>8</v>
      </c>
      <c r="G4750" s="118" t="n">
        <v>2.95</v>
      </c>
      <c r="H4750" s="118" t="n">
        <v>23.6</v>
      </c>
      <c r="I4750" s="119" t="n">
        <v>40877</v>
      </c>
    </row>
    <row r="4751">
      <c r="A4751" s="114" t="inlineStr">
        <is>
          <t>579605</t>
        </is>
      </c>
      <c r="B4751" s="114" t="n">
        <v>15024</v>
      </c>
      <c r="C4751" s="114" t="inlineStr">
        <is>
          <t>United Kingdom</t>
        </is>
      </c>
      <c r="D4751" s="114" t="inlineStr">
        <is>
          <t>22083</t>
        </is>
      </c>
      <c r="E4751" s="114" t="inlineStr">
        <is>
          <t>PAPER CHAIN KIT RETROSPOT</t>
        </is>
      </c>
      <c r="F4751" s="114" t="n">
        <v>8</v>
      </c>
      <c r="G4751" s="115" t="n">
        <v>2.95</v>
      </c>
      <c r="H4751" s="115" t="n">
        <v>23.6</v>
      </c>
      <c r="I4751" s="116" t="n">
        <v>40877</v>
      </c>
    </row>
    <row r="4752">
      <c r="A4752" s="117" t="inlineStr">
        <is>
          <t>579668</t>
        </is>
      </c>
      <c r="B4752" s="117" t="n">
        <v>15152</v>
      </c>
      <c r="C4752" s="117" t="inlineStr">
        <is>
          <t>United Kingdom</t>
        </is>
      </c>
      <c r="D4752" s="117" t="inlineStr">
        <is>
          <t>23344</t>
        </is>
      </c>
      <c r="E4752" s="117" t="inlineStr">
        <is>
          <t xml:space="preserve">JUMBO BAG 50'S CHRISTMAS </t>
        </is>
      </c>
      <c r="F4752" s="117" t="n">
        <v>10</v>
      </c>
      <c r="G4752" s="118" t="n">
        <v>2.08</v>
      </c>
      <c r="H4752" s="118" t="n">
        <v>20.8</v>
      </c>
      <c r="I4752" s="119" t="n">
        <v>40877</v>
      </c>
    </row>
    <row r="4753">
      <c r="A4753" s="114" t="inlineStr">
        <is>
          <t>579670</t>
        </is>
      </c>
      <c r="B4753" s="114" t="n">
        <v>15611</v>
      </c>
      <c r="C4753" s="114" t="inlineStr">
        <is>
          <t>United Kingdom</t>
        </is>
      </c>
      <c r="D4753" s="114" t="inlineStr">
        <is>
          <t>23082</t>
        </is>
      </c>
      <c r="E4753" s="114" t="inlineStr">
        <is>
          <t xml:space="preserve">SET 6 PAPER TABLE LANTERN HEARTS </t>
        </is>
      </c>
      <c r="F4753" s="114" t="n">
        <v>6</v>
      </c>
      <c r="G4753" s="115" t="n">
        <v>3.75</v>
      </c>
      <c r="H4753" s="115" t="n">
        <v>22.5</v>
      </c>
      <c r="I4753" s="116" t="n">
        <v>40877</v>
      </c>
    </row>
    <row r="4754">
      <c r="A4754" s="117" t="inlineStr">
        <is>
          <t>579672</t>
        </is>
      </c>
      <c r="B4754" s="117" t="n">
        <v>14005</v>
      </c>
      <c r="C4754" s="117" t="inlineStr">
        <is>
          <t>United Kingdom</t>
        </is>
      </c>
      <c r="D4754" s="117" t="inlineStr">
        <is>
          <t>84988</t>
        </is>
      </c>
      <c r="E4754" s="117" t="inlineStr">
        <is>
          <t>SET OF 72 PINK HEART PAPER DOILIES</t>
        </is>
      </c>
      <c r="F4754" s="117" t="n">
        <v>24</v>
      </c>
      <c r="G4754" s="118" t="n">
        <v>1.45</v>
      </c>
      <c r="H4754" s="118" t="n">
        <v>34.8</v>
      </c>
      <c r="I4754" s="119" t="n">
        <v>40877</v>
      </c>
    </row>
    <row r="4755">
      <c r="A4755" s="114" t="inlineStr">
        <is>
          <t>579711</t>
        </is>
      </c>
      <c r="B4755" s="114" t="n">
        <v>15060</v>
      </c>
      <c r="C4755" s="114" t="inlineStr">
        <is>
          <t>United Kingdom</t>
        </is>
      </c>
      <c r="D4755" s="114" t="inlineStr">
        <is>
          <t>85177</t>
        </is>
      </c>
      <c r="E4755" s="114" t="inlineStr">
        <is>
          <t>BASKET OF FLOWERS SEWING KIT</t>
        </is>
      </c>
      <c r="F4755" s="114" t="n">
        <v>2</v>
      </c>
      <c r="G4755" s="115" t="n">
        <v>0.85</v>
      </c>
      <c r="H4755" s="115" t="n">
        <v>1.7</v>
      </c>
      <c r="I4755" s="116" t="n">
        <v>40877</v>
      </c>
    </row>
    <row r="4756">
      <c r="A4756" s="117" t="inlineStr">
        <is>
          <t>579712</t>
        </is>
      </c>
      <c r="B4756" s="117" t="n">
        <v>15467</v>
      </c>
      <c r="C4756" s="117" t="inlineStr">
        <is>
          <t>United Kingdom</t>
        </is>
      </c>
      <c r="D4756" s="117" t="inlineStr">
        <is>
          <t>84347</t>
        </is>
      </c>
      <c r="E4756" s="117" t="inlineStr">
        <is>
          <t>ROTATING SILVER ANGELS T-LIGHT HLDR</t>
        </is>
      </c>
      <c r="F4756" s="117" t="n">
        <v>1</v>
      </c>
      <c r="G4756" s="118" t="n">
        <v>2.55</v>
      </c>
      <c r="H4756" s="118" t="n">
        <v>2.55</v>
      </c>
      <c r="I4756" s="119" t="n">
        <v>40877</v>
      </c>
    </row>
    <row r="4757">
      <c r="A4757" s="114" t="inlineStr">
        <is>
          <t>579711</t>
        </is>
      </c>
      <c r="B4757" s="114" t="n">
        <v>15060</v>
      </c>
      <c r="C4757" s="114" t="inlineStr">
        <is>
          <t>United Kingdom</t>
        </is>
      </c>
      <c r="D4757" s="114" t="inlineStr">
        <is>
          <t>22755</t>
        </is>
      </c>
      <c r="E4757" s="114" t="inlineStr">
        <is>
          <t xml:space="preserve">SMALL PURPLE BABUSHKA NOTEBOOK </t>
        </is>
      </c>
      <c r="F4757" s="114" t="n">
        <v>1</v>
      </c>
      <c r="G4757" s="115" t="n">
        <v>0.85</v>
      </c>
      <c r="H4757" s="115" t="n">
        <v>0.85</v>
      </c>
      <c r="I4757" s="116" t="n">
        <v>40877</v>
      </c>
    </row>
    <row r="4758">
      <c r="A4758" s="117" t="inlineStr">
        <is>
          <t>579741</t>
        </is>
      </c>
      <c r="B4758" s="117" t="n">
        <v>16910</v>
      </c>
      <c r="C4758" s="117" t="inlineStr">
        <is>
          <t>United Kingdom</t>
        </is>
      </c>
      <c r="D4758" s="117" t="inlineStr">
        <is>
          <t>22695</t>
        </is>
      </c>
      <c r="E4758" s="117" t="inlineStr">
        <is>
          <t>WICKER WREATH SMALL</t>
        </is>
      </c>
      <c r="F4758" s="117" t="n">
        <v>3</v>
      </c>
      <c r="G4758" s="118" t="n">
        <v>1.45</v>
      </c>
      <c r="H4758" s="118" t="n">
        <v>4.35</v>
      </c>
      <c r="I4758" s="119" t="n">
        <v>40877</v>
      </c>
    </row>
    <row r="4759">
      <c r="A4759" s="114" t="inlineStr">
        <is>
          <t>579741</t>
        </is>
      </c>
      <c r="B4759" s="114" t="n">
        <v>16910</v>
      </c>
      <c r="C4759" s="114" t="inlineStr">
        <is>
          <t>United Kingdom</t>
        </is>
      </c>
      <c r="D4759" s="114" t="inlineStr">
        <is>
          <t>84596B</t>
        </is>
      </c>
      <c r="E4759" s="114" t="inlineStr">
        <is>
          <t>SMALL DOLLY MIX DESIGN ORANGE BOWL</t>
        </is>
      </c>
      <c r="F4759" s="114" t="n">
        <v>1</v>
      </c>
      <c r="G4759" s="115" t="n">
        <v>0.42</v>
      </c>
      <c r="H4759" s="115" t="n">
        <v>0.42</v>
      </c>
      <c r="I4759" s="116" t="n">
        <v>40877</v>
      </c>
    </row>
    <row r="4760">
      <c r="A4760" s="117" t="inlineStr">
        <is>
          <t>579754</t>
        </is>
      </c>
      <c r="B4760" s="117" t="n">
        <v>17911</v>
      </c>
      <c r="C4760" s="117" t="inlineStr">
        <is>
          <t>United Kingdom</t>
        </is>
      </c>
      <c r="D4760" s="117" t="inlineStr">
        <is>
          <t>84997C</t>
        </is>
      </c>
      <c r="E4760" s="117" t="inlineStr">
        <is>
          <t>CHILDRENS CUTLERY POLKADOT BLUE</t>
        </is>
      </c>
      <c r="F4760" s="117" t="n">
        <v>1</v>
      </c>
      <c r="G4760" s="118" t="n">
        <v>4.15</v>
      </c>
      <c r="H4760" s="118" t="n">
        <v>4.15</v>
      </c>
      <c r="I4760" s="119" t="n">
        <v>40877</v>
      </c>
    </row>
    <row r="4761">
      <c r="A4761" s="114" t="inlineStr">
        <is>
          <t>579784</t>
        </is>
      </c>
      <c r="B4761" s="114" t="n">
        <v>14258</v>
      </c>
      <c r="C4761" s="114" t="inlineStr">
        <is>
          <t>United Kingdom</t>
        </is>
      </c>
      <c r="D4761" s="114" t="inlineStr">
        <is>
          <t>82484</t>
        </is>
      </c>
      <c r="E4761" s="114" t="inlineStr">
        <is>
          <t>WOOD BLACK BOARD ANT WHITE FINISH</t>
        </is>
      </c>
      <c r="F4761" s="114" t="n">
        <v>24</v>
      </c>
      <c r="G4761" s="115" t="n">
        <v>6.75</v>
      </c>
      <c r="H4761" s="115" t="n">
        <v>162</v>
      </c>
      <c r="I4761" s="116" t="n">
        <v>40877</v>
      </c>
    </row>
    <row r="4762">
      <c r="A4762" s="117" t="inlineStr">
        <is>
          <t>579784</t>
        </is>
      </c>
      <c r="B4762" s="117" t="n">
        <v>14258</v>
      </c>
      <c r="C4762" s="117" t="inlineStr">
        <is>
          <t>United Kingdom</t>
        </is>
      </c>
      <c r="D4762" s="117" t="inlineStr">
        <is>
          <t>85099F</t>
        </is>
      </c>
      <c r="E4762" s="117" t="inlineStr">
        <is>
          <t>JUMBO BAG STRAWBERRY</t>
        </is>
      </c>
      <c r="F4762" s="117" t="n">
        <v>100</v>
      </c>
      <c r="G4762" s="118" t="n">
        <v>1.79</v>
      </c>
      <c r="H4762" s="118" t="n">
        <v>179</v>
      </c>
      <c r="I4762" s="119" t="n">
        <v>40877</v>
      </c>
    </row>
    <row r="4763">
      <c r="A4763" s="114" t="inlineStr">
        <is>
          <t>579792</t>
        </is>
      </c>
      <c r="B4763" s="114" t="n">
        <v>12714</v>
      </c>
      <c r="C4763" s="114" t="inlineStr">
        <is>
          <t>France</t>
        </is>
      </c>
      <c r="D4763" s="114" t="inlineStr">
        <is>
          <t>22752</t>
        </is>
      </c>
      <c r="E4763" s="114" t="inlineStr">
        <is>
          <t>SET 7 BABUSHKA NESTING BOXES</t>
        </is>
      </c>
      <c r="F4763" s="114" t="n">
        <v>8</v>
      </c>
      <c r="G4763" s="115" t="n">
        <v>8.5</v>
      </c>
      <c r="H4763" s="115" t="n">
        <v>68</v>
      </c>
      <c r="I4763" s="116" t="n">
        <v>40877</v>
      </c>
    </row>
    <row r="4764">
      <c r="A4764" s="117" t="inlineStr">
        <is>
          <t>579792</t>
        </is>
      </c>
      <c r="B4764" s="117" t="n">
        <v>12714</v>
      </c>
      <c r="C4764" s="117" t="inlineStr">
        <is>
          <t>France</t>
        </is>
      </c>
      <c r="D4764" s="117" t="inlineStr">
        <is>
          <t>POST</t>
        </is>
      </c>
      <c r="E4764" s="117" t="inlineStr">
        <is>
          <t>POSTAGE</t>
        </is>
      </c>
      <c r="F4764" s="117" t="n">
        <v>5</v>
      </c>
      <c r="G4764" s="118" t="n">
        <v>18</v>
      </c>
      <c r="H4764" s="118" t="n">
        <v>90</v>
      </c>
      <c r="I4764" s="119" t="n">
        <v>40877</v>
      </c>
    </row>
    <row r="4765">
      <c r="A4765" s="114" t="inlineStr">
        <is>
          <t>579846</t>
        </is>
      </c>
      <c r="B4765" s="114" t="n">
        <v>12921</v>
      </c>
      <c r="C4765" s="114" t="inlineStr">
        <is>
          <t>United Kingdom</t>
        </is>
      </c>
      <c r="D4765" s="114" t="inlineStr">
        <is>
          <t>23480</t>
        </is>
      </c>
      <c r="E4765" s="114" t="inlineStr">
        <is>
          <t>MINI LIGHTS WOODLAND MUSHROOMS</t>
        </is>
      </c>
      <c r="F4765" s="114" t="n">
        <v>4</v>
      </c>
      <c r="G4765" s="115" t="n">
        <v>3.75</v>
      </c>
      <c r="H4765" s="115" t="n">
        <v>15</v>
      </c>
      <c r="I4765" s="116" t="n">
        <v>40877</v>
      </c>
    </row>
    <row r="4766">
      <c r="A4766" s="117" t="inlineStr">
        <is>
          <t>579848</t>
        </is>
      </c>
      <c r="B4766" s="117" t="n">
        <v>18179</v>
      </c>
      <c r="C4766" s="117" t="inlineStr">
        <is>
          <t>United Kingdom</t>
        </is>
      </c>
      <c r="D4766" s="117" t="inlineStr">
        <is>
          <t>22910</t>
        </is>
      </c>
      <c r="E4766" s="117" t="inlineStr">
        <is>
          <t>PAPER CHAIN KIT VINTAGE CHRISTMAS</t>
        </is>
      </c>
      <c r="F4766" s="117" t="n">
        <v>6</v>
      </c>
      <c r="G4766" s="118" t="n">
        <v>2.95</v>
      </c>
      <c r="H4766" s="118" t="n">
        <v>17.7</v>
      </c>
      <c r="I4766" s="119" t="n">
        <v>40877</v>
      </c>
    </row>
    <row r="4767">
      <c r="A4767" s="114" t="inlineStr">
        <is>
          <t>579868</t>
        </is>
      </c>
      <c r="B4767" s="114" t="n">
        <v>15544</v>
      </c>
      <c r="C4767" s="114" t="inlineStr">
        <is>
          <t>United Kingdom</t>
        </is>
      </c>
      <c r="D4767" s="114" t="inlineStr">
        <is>
          <t>23351</t>
        </is>
      </c>
      <c r="E4767" s="114" t="inlineStr">
        <is>
          <t>ROLL WRAP 50'S CHRISTMAS</t>
        </is>
      </c>
      <c r="F4767" s="114" t="n">
        <v>12</v>
      </c>
      <c r="G4767" s="115" t="n">
        <v>1.25</v>
      </c>
      <c r="H4767" s="115" t="n">
        <v>15</v>
      </c>
      <c r="I4767" s="116" t="n">
        <v>40877</v>
      </c>
    </row>
    <row r="4768">
      <c r="A4768" s="117" t="inlineStr">
        <is>
          <t>579885</t>
        </is>
      </c>
      <c r="B4768" s="117" t="n">
        <v>15444</v>
      </c>
      <c r="C4768" s="117" t="inlineStr">
        <is>
          <t>United Kingdom</t>
        </is>
      </c>
      <c r="D4768" s="117" t="inlineStr">
        <is>
          <t>23401</t>
        </is>
      </c>
      <c r="E4768" s="117" t="inlineStr">
        <is>
          <t>RUSTIC MIRROR WITH LACE HEART</t>
        </is>
      </c>
      <c r="F4768" s="117" t="n">
        <v>1</v>
      </c>
      <c r="G4768" s="118" t="n">
        <v>6.25</v>
      </c>
      <c r="H4768" s="118" t="n">
        <v>6.25</v>
      </c>
      <c r="I4768" s="119" t="n">
        <v>40877</v>
      </c>
    </row>
    <row r="4769">
      <c r="A4769" s="114" t="inlineStr">
        <is>
          <t>579885</t>
        </is>
      </c>
      <c r="B4769" s="114" t="n">
        <v>15444</v>
      </c>
      <c r="C4769" s="114" t="inlineStr">
        <is>
          <t>United Kingdom</t>
        </is>
      </c>
      <c r="D4769" s="114" t="inlineStr">
        <is>
          <t>21912</t>
        </is>
      </c>
      <c r="E4769" s="114" t="inlineStr">
        <is>
          <t>VINTAGE SNAKES &amp; LADDERS</t>
        </is>
      </c>
      <c r="F4769" s="114" t="n">
        <v>1</v>
      </c>
      <c r="G4769" s="115" t="n">
        <v>3.75</v>
      </c>
      <c r="H4769" s="115" t="n">
        <v>3.75</v>
      </c>
      <c r="I4769" s="116" t="n">
        <v>40877</v>
      </c>
    </row>
    <row r="4770">
      <c r="A4770" s="117" t="inlineStr">
        <is>
          <t>579885</t>
        </is>
      </c>
      <c r="B4770" s="117" t="n">
        <v>15444</v>
      </c>
      <c r="C4770" s="117" t="inlineStr">
        <is>
          <t>United Kingdom</t>
        </is>
      </c>
      <c r="D4770" s="117" t="inlineStr">
        <is>
          <t>21993</t>
        </is>
      </c>
      <c r="E4770" s="117" t="inlineStr">
        <is>
          <t>FLORAL FOLK STATIONERY SET</t>
        </is>
      </c>
      <c r="F4770" s="117" t="n">
        <v>3</v>
      </c>
      <c r="G4770" s="118" t="n">
        <v>1.25</v>
      </c>
      <c r="H4770" s="118" t="n">
        <v>3.75</v>
      </c>
      <c r="I4770" s="119" t="n">
        <v>40877</v>
      </c>
    </row>
    <row r="4771">
      <c r="A4771" s="114" t="inlineStr">
        <is>
          <t>579901</t>
        </is>
      </c>
      <c r="B4771" s="114" t="n">
        <v>12569</v>
      </c>
      <c r="C4771" s="114" t="inlineStr">
        <is>
          <t>Germany</t>
        </is>
      </c>
      <c r="D4771" s="114" t="inlineStr">
        <is>
          <t>22055</t>
        </is>
      </c>
      <c r="E4771" s="114" t="inlineStr">
        <is>
          <t>MINI CAKE STAND  HANGING STRAWBERY</t>
        </is>
      </c>
      <c r="F4771" s="114" t="n">
        <v>8</v>
      </c>
      <c r="G4771" s="115" t="n">
        <v>1.65</v>
      </c>
      <c r="H4771" s="115" t="n">
        <v>13.2</v>
      </c>
      <c r="I4771" s="116" t="n">
        <v>40878</v>
      </c>
    </row>
    <row r="4772">
      <c r="A4772" s="117" t="inlineStr">
        <is>
          <t>579938</t>
        </is>
      </c>
      <c r="B4772" s="117" t="n">
        <v>14146</v>
      </c>
      <c r="C4772" s="117" t="inlineStr">
        <is>
          <t>United Kingdom</t>
        </is>
      </c>
      <c r="D4772" s="117" t="inlineStr">
        <is>
          <t>84380</t>
        </is>
      </c>
      <c r="E4772" s="117" t="inlineStr">
        <is>
          <t>SET OF 3 BUTTERFLY COOKIE CUTTERS</t>
        </is>
      </c>
      <c r="F4772" s="117" t="n">
        <v>12</v>
      </c>
      <c r="G4772" s="118" t="n">
        <v>1.45</v>
      </c>
      <c r="H4772" s="118" t="n">
        <v>17.4</v>
      </c>
      <c r="I4772" s="119" t="n">
        <v>40878</v>
      </c>
    </row>
    <row r="4773">
      <c r="A4773" s="114" t="inlineStr">
        <is>
          <t>579940</t>
        </is>
      </c>
      <c r="B4773" s="114" t="n">
        <v>16938</v>
      </c>
      <c r="C4773" s="114" t="inlineStr">
        <is>
          <t>United Kingdom</t>
        </is>
      </c>
      <c r="D4773" s="114" t="inlineStr">
        <is>
          <t>23571</t>
        </is>
      </c>
      <c r="E4773" s="114" t="inlineStr">
        <is>
          <t>TRADITIONAL NAUGHTS &amp; CROSSES</t>
        </is>
      </c>
      <c r="F4773" s="114" t="n">
        <v>12</v>
      </c>
      <c r="G4773" s="115" t="n">
        <v>1.65</v>
      </c>
      <c r="H4773" s="115" t="n">
        <v>19.8</v>
      </c>
      <c r="I4773" s="116" t="n">
        <v>40878</v>
      </c>
    </row>
    <row r="4774">
      <c r="A4774" s="117" t="inlineStr">
        <is>
          <t>579980</t>
        </is>
      </c>
      <c r="B4774" s="117" t="n">
        <v>13263</v>
      </c>
      <c r="C4774" s="117" t="inlineStr">
        <is>
          <t>United Kingdom</t>
        </is>
      </c>
      <c r="D4774" s="117" t="inlineStr">
        <is>
          <t>22578</t>
        </is>
      </c>
      <c r="E4774" s="117" t="inlineStr">
        <is>
          <t>WOODEN STAR CHRISTMAS SCANDINAVIAN</t>
        </is>
      </c>
      <c r="F4774" s="117" t="n">
        <v>10</v>
      </c>
      <c r="G4774" s="118" t="n">
        <v>0.29</v>
      </c>
      <c r="H4774" s="118" t="n">
        <v>2.9</v>
      </c>
      <c r="I4774" s="119" t="n">
        <v>40878</v>
      </c>
    </row>
    <row r="4775">
      <c r="A4775" s="114" t="inlineStr">
        <is>
          <t>580024</t>
        </is>
      </c>
      <c r="B4775" s="114" t="n">
        <v>15172</v>
      </c>
      <c r="C4775" s="114" t="inlineStr">
        <is>
          <t>United Kingdom</t>
        </is>
      </c>
      <c r="D4775" s="114" t="inlineStr">
        <is>
          <t>21464</t>
        </is>
      </c>
      <c r="E4775" s="114" t="inlineStr">
        <is>
          <t>DISCO BALL ROTATOR BATTERY OPERATED</t>
        </is>
      </c>
      <c r="F4775" s="114" t="n">
        <v>2</v>
      </c>
      <c r="G4775" s="115" t="n">
        <v>4.25</v>
      </c>
      <c r="H4775" s="115" t="n">
        <v>8.5</v>
      </c>
      <c r="I4775" s="116" t="n">
        <v>40878</v>
      </c>
    </row>
    <row r="4776">
      <c r="A4776" s="117" t="inlineStr">
        <is>
          <t>580024</t>
        </is>
      </c>
      <c r="B4776" s="117" t="n">
        <v>15172</v>
      </c>
      <c r="C4776" s="117" t="inlineStr">
        <is>
          <t>United Kingdom</t>
        </is>
      </c>
      <c r="D4776" s="117" t="inlineStr">
        <is>
          <t>22730</t>
        </is>
      </c>
      <c r="E4776" s="117" t="inlineStr">
        <is>
          <t>ALARM CLOCK BAKELIKE IVORY</t>
        </is>
      </c>
      <c r="F4776" s="117" t="n">
        <v>4</v>
      </c>
      <c r="G4776" s="118" t="n">
        <v>3.75</v>
      </c>
      <c r="H4776" s="118" t="n">
        <v>15</v>
      </c>
      <c r="I4776" s="119" t="n">
        <v>40878</v>
      </c>
    </row>
    <row r="4777">
      <c r="A4777" s="114" t="inlineStr">
        <is>
          <t>580025</t>
        </is>
      </c>
      <c r="B4777" s="114" t="n">
        <v>15021</v>
      </c>
      <c r="C4777" s="114" t="inlineStr">
        <is>
          <t>United Kingdom</t>
        </is>
      </c>
      <c r="D4777" s="114" t="inlineStr">
        <is>
          <t>23481</t>
        </is>
      </c>
      <c r="E4777" s="114" t="inlineStr">
        <is>
          <t xml:space="preserve">PEARLISED IVORY HEART SMALL </t>
        </is>
      </c>
      <c r="F4777" s="114" t="n">
        <v>3</v>
      </c>
      <c r="G4777" s="115" t="n">
        <v>1.25</v>
      </c>
      <c r="H4777" s="115" t="n">
        <v>3.75</v>
      </c>
      <c r="I4777" s="116" t="n">
        <v>40878</v>
      </c>
    </row>
    <row r="4778">
      <c r="A4778" s="117" t="inlineStr">
        <is>
          <t>580027</t>
        </is>
      </c>
      <c r="B4778" s="117" t="n">
        <v>14178</v>
      </c>
      <c r="C4778" s="117" t="inlineStr">
        <is>
          <t>United Kingdom</t>
        </is>
      </c>
      <c r="D4778" s="117" t="inlineStr">
        <is>
          <t>22866</t>
        </is>
      </c>
      <c r="E4778" s="117" t="inlineStr">
        <is>
          <t>HAND WARMER SCOTTY DOG DESIGN</t>
        </is>
      </c>
      <c r="F4778" s="117" t="n">
        <v>6</v>
      </c>
      <c r="G4778" s="118" t="n">
        <v>2.1</v>
      </c>
      <c r="H4778" s="118" t="n">
        <v>12.6</v>
      </c>
      <c r="I4778" s="119" t="n">
        <v>40878</v>
      </c>
    </row>
    <row r="4779">
      <c r="A4779" s="114" t="inlineStr">
        <is>
          <t>580043</t>
        </is>
      </c>
      <c r="B4779" s="114" t="n">
        <v>14527</v>
      </c>
      <c r="C4779" s="114" t="inlineStr">
        <is>
          <t>United Kingdom</t>
        </is>
      </c>
      <c r="D4779" s="114" t="inlineStr">
        <is>
          <t>22846</t>
        </is>
      </c>
      <c r="E4779" s="114" t="inlineStr">
        <is>
          <t xml:space="preserve">BREAD BIN DINER STYLE RED </t>
        </is>
      </c>
      <c r="F4779" s="114" t="n">
        <v>1</v>
      </c>
      <c r="G4779" s="115" t="n">
        <v>16.95</v>
      </c>
      <c r="H4779" s="115" t="n">
        <v>16.95</v>
      </c>
      <c r="I4779" s="116" t="n">
        <v>40878</v>
      </c>
    </row>
    <row r="4780">
      <c r="A4780" s="117" t="inlineStr">
        <is>
          <t>580043</t>
        </is>
      </c>
      <c r="B4780" s="117" t="n">
        <v>14527</v>
      </c>
      <c r="C4780" s="117" t="inlineStr">
        <is>
          <t>United Kingdom</t>
        </is>
      </c>
      <c r="D4780" s="117" t="inlineStr">
        <is>
          <t>84997D</t>
        </is>
      </c>
      <c r="E4780" s="117" t="inlineStr">
        <is>
          <t>CHILDRENS CUTLERY POLKADOT PINK</t>
        </is>
      </c>
      <c r="F4780" s="117" t="n">
        <v>2</v>
      </c>
      <c r="G4780" s="118" t="n">
        <v>4.15</v>
      </c>
      <c r="H4780" s="118" t="n">
        <v>8.300000000000001</v>
      </c>
      <c r="I4780" s="119" t="n">
        <v>40878</v>
      </c>
    </row>
    <row r="4781">
      <c r="A4781" s="114" t="inlineStr">
        <is>
          <t>580054</t>
        </is>
      </c>
      <c r="B4781" s="114" t="n">
        <v>18122</v>
      </c>
      <c r="C4781" s="114" t="inlineStr">
        <is>
          <t>United Kingdom</t>
        </is>
      </c>
      <c r="D4781" s="114" t="inlineStr">
        <is>
          <t>23350</t>
        </is>
      </c>
      <c r="E4781" s="114" t="inlineStr">
        <is>
          <t xml:space="preserve">ROLL WRAP VINTAGE SPOT </t>
        </is>
      </c>
      <c r="F4781" s="114" t="n">
        <v>3</v>
      </c>
      <c r="G4781" s="115" t="n">
        <v>1.25</v>
      </c>
      <c r="H4781" s="115" t="n">
        <v>3.75</v>
      </c>
      <c r="I4781" s="116" t="n">
        <v>40878</v>
      </c>
    </row>
    <row r="4782">
      <c r="A4782" s="117" t="inlineStr">
        <is>
          <t>580054</t>
        </is>
      </c>
      <c r="B4782" s="117" t="n">
        <v>18122</v>
      </c>
      <c r="C4782" s="117" t="inlineStr">
        <is>
          <t>United Kingdom</t>
        </is>
      </c>
      <c r="D4782" s="117" t="inlineStr">
        <is>
          <t>85184C</t>
        </is>
      </c>
      <c r="E4782" s="117" t="inlineStr">
        <is>
          <t>SET 4 VALENTINE DECOUPAGE HEART BOX</t>
        </is>
      </c>
      <c r="F4782" s="117" t="n">
        <v>2</v>
      </c>
      <c r="G4782" s="118" t="n">
        <v>2.95</v>
      </c>
      <c r="H4782" s="118" t="n">
        <v>5.9</v>
      </c>
      <c r="I4782" s="119" t="n">
        <v>40878</v>
      </c>
    </row>
    <row r="4783">
      <c r="A4783" s="114" t="inlineStr">
        <is>
          <t>580054</t>
        </is>
      </c>
      <c r="B4783" s="114" t="n">
        <v>18122</v>
      </c>
      <c r="C4783" s="114" t="inlineStr">
        <is>
          <t>United Kingdom</t>
        </is>
      </c>
      <c r="D4783" s="114" t="inlineStr">
        <is>
          <t>82616C</t>
        </is>
      </c>
      <c r="E4783" s="114" t="inlineStr">
        <is>
          <t>MIDNIGHT GLAMOUR SCARF KNITTING KIT</t>
        </is>
      </c>
      <c r="F4783" s="114" t="n">
        <v>2</v>
      </c>
      <c r="G4783" s="115" t="n">
        <v>1.25</v>
      </c>
      <c r="H4783" s="115" t="n">
        <v>2.5</v>
      </c>
      <c r="I4783" s="116" t="n">
        <v>40878</v>
      </c>
    </row>
    <row r="4784">
      <c r="A4784" s="117" t="inlineStr">
        <is>
          <t>580054</t>
        </is>
      </c>
      <c r="B4784" s="117" t="n">
        <v>18122</v>
      </c>
      <c r="C4784" s="117" t="inlineStr">
        <is>
          <t>United Kingdom</t>
        </is>
      </c>
      <c r="D4784" s="117" t="inlineStr">
        <is>
          <t>22620</t>
        </is>
      </c>
      <c r="E4784" s="117" t="inlineStr">
        <is>
          <t>4 TRADITIONAL SPINNING TOPS</t>
        </is>
      </c>
      <c r="F4784" s="117" t="n">
        <v>8</v>
      </c>
      <c r="G4784" s="118" t="n">
        <v>1.45</v>
      </c>
      <c r="H4784" s="118" t="n">
        <v>11.6</v>
      </c>
      <c r="I4784" s="119" t="n">
        <v>40878</v>
      </c>
    </row>
    <row r="4785">
      <c r="A4785" s="114" t="inlineStr">
        <is>
          <t>580054</t>
        </is>
      </c>
      <c r="B4785" s="114" t="n">
        <v>18122</v>
      </c>
      <c r="C4785" s="114" t="inlineStr">
        <is>
          <t>United Kingdom</t>
        </is>
      </c>
      <c r="D4785" s="114" t="inlineStr">
        <is>
          <t>85135C</t>
        </is>
      </c>
      <c r="E4785" s="114" t="inlineStr">
        <is>
          <t>RED DRAGONFLY HELICOPTER</t>
        </is>
      </c>
      <c r="F4785" s="114" t="n">
        <v>1</v>
      </c>
      <c r="G4785" s="115" t="n">
        <v>7.95</v>
      </c>
      <c r="H4785" s="115" t="n">
        <v>7.95</v>
      </c>
      <c r="I4785" s="116" t="n">
        <v>40878</v>
      </c>
    </row>
    <row r="4786">
      <c r="A4786" s="117" t="inlineStr">
        <is>
          <t>580058</t>
        </is>
      </c>
      <c r="B4786" s="117" t="n">
        <v>14367</v>
      </c>
      <c r="C4786" s="117" t="inlineStr">
        <is>
          <t>United Kingdom</t>
        </is>
      </c>
      <c r="D4786" s="117" t="inlineStr">
        <is>
          <t>23200</t>
        </is>
      </c>
      <c r="E4786" s="117" t="inlineStr">
        <is>
          <t>JUMBO BAG PEARS</t>
        </is>
      </c>
      <c r="F4786" s="117" t="n">
        <v>10</v>
      </c>
      <c r="G4786" s="118" t="n">
        <v>2.08</v>
      </c>
      <c r="H4786" s="118" t="n">
        <v>20.8</v>
      </c>
      <c r="I4786" s="119" t="n">
        <v>40878</v>
      </c>
    </row>
    <row r="4787">
      <c r="A4787" s="114" t="inlineStr">
        <is>
          <t>580062</t>
        </is>
      </c>
      <c r="B4787" s="114" t="n">
        <v>15862</v>
      </c>
      <c r="C4787" s="114" t="inlineStr">
        <is>
          <t>United Kingdom</t>
        </is>
      </c>
      <c r="D4787" s="114" t="inlineStr">
        <is>
          <t>84012</t>
        </is>
      </c>
      <c r="E4787" s="114" t="inlineStr">
        <is>
          <t>MAGIC SHEEP WOOL GROWING FROM PAPER</t>
        </is>
      </c>
      <c r="F4787" s="114" t="n">
        <v>2</v>
      </c>
      <c r="G4787" s="115" t="n">
        <v>0.85</v>
      </c>
      <c r="H4787" s="115" t="n">
        <v>1.7</v>
      </c>
      <c r="I4787" s="116" t="n">
        <v>40878</v>
      </c>
    </row>
    <row r="4788">
      <c r="A4788" s="117" t="inlineStr">
        <is>
          <t>580073</t>
        </is>
      </c>
      <c r="B4788" s="117" t="n">
        <v>16813</v>
      </c>
      <c r="C4788" s="117" t="inlineStr">
        <is>
          <t>United Kingdom</t>
        </is>
      </c>
      <c r="D4788" s="117" t="inlineStr">
        <is>
          <t>85136A</t>
        </is>
      </c>
      <c r="E4788" s="117" t="inlineStr">
        <is>
          <t>YELLOW SHARK HELICOPTER</t>
        </is>
      </c>
      <c r="F4788" s="117" t="n">
        <v>2</v>
      </c>
      <c r="G4788" s="118" t="n">
        <v>7.95</v>
      </c>
      <c r="H4788" s="118" t="n">
        <v>15.9</v>
      </c>
      <c r="I4788" s="119" t="n">
        <v>40878</v>
      </c>
    </row>
    <row r="4789">
      <c r="A4789" s="114" t="inlineStr">
        <is>
          <t>580095</t>
        </is>
      </c>
      <c r="B4789" s="114" t="n">
        <v>14135</v>
      </c>
      <c r="C4789" s="114" t="inlineStr">
        <is>
          <t>United Kingdom</t>
        </is>
      </c>
      <c r="D4789" s="114" t="inlineStr">
        <is>
          <t>23355</t>
        </is>
      </c>
      <c r="E4789" s="114" t="inlineStr">
        <is>
          <t>HOT WATER BOTTLE KEEP CALM</t>
        </is>
      </c>
      <c r="F4789" s="114" t="n">
        <v>8</v>
      </c>
      <c r="G4789" s="115" t="n">
        <v>4.95</v>
      </c>
      <c r="H4789" s="115" t="n">
        <v>39.6</v>
      </c>
      <c r="I4789" s="116" t="n">
        <v>40878</v>
      </c>
    </row>
    <row r="4790">
      <c r="A4790" s="117" t="inlineStr">
        <is>
          <t>580097</t>
        </is>
      </c>
      <c r="B4790" s="117" t="n">
        <v>14216</v>
      </c>
      <c r="C4790" s="117" t="inlineStr">
        <is>
          <t>United Kingdom</t>
        </is>
      </c>
      <c r="D4790" s="117" t="inlineStr">
        <is>
          <t>85066</t>
        </is>
      </c>
      <c r="E4790" s="117" t="inlineStr">
        <is>
          <t>CREAM SWEETHEART MINI CHEST</t>
        </is>
      </c>
      <c r="F4790" s="117" t="n">
        <v>5</v>
      </c>
      <c r="G4790" s="118" t="n">
        <v>12.75</v>
      </c>
      <c r="H4790" s="118" t="n">
        <v>63.75</v>
      </c>
      <c r="I4790" s="119" t="n">
        <v>40878</v>
      </c>
    </row>
    <row r="4791">
      <c r="A4791" s="114" t="inlineStr">
        <is>
          <t>580103</t>
        </is>
      </c>
      <c r="B4791" s="114" t="n">
        <v>16242</v>
      </c>
      <c r="C4791" s="114" t="inlineStr">
        <is>
          <t>United Kingdom</t>
        </is>
      </c>
      <c r="D4791" s="114" t="inlineStr">
        <is>
          <t>47504H</t>
        </is>
      </c>
      <c r="E4791" s="114" t="inlineStr">
        <is>
          <t xml:space="preserve">ENGLISH ROSE SPIRIT LEVEL </t>
        </is>
      </c>
      <c r="F4791" s="114" t="n">
        <v>6</v>
      </c>
      <c r="G4791" s="115" t="n">
        <v>0.79</v>
      </c>
      <c r="H4791" s="115" t="n">
        <v>4.74</v>
      </c>
      <c r="I4791" s="116" t="n">
        <v>40878</v>
      </c>
    </row>
    <row r="4792">
      <c r="A4792" s="117" t="inlineStr">
        <is>
          <t>580109</t>
        </is>
      </c>
      <c r="B4792" s="117" t="n">
        <v>17350</v>
      </c>
      <c r="C4792" s="117" t="inlineStr">
        <is>
          <t>United Kingdom</t>
        </is>
      </c>
      <c r="D4792" s="117" t="inlineStr">
        <is>
          <t>22835</t>
        </is>
      </c>
      <c r="E4792" s="117" t="inlineStr">
        <is>
          <t>HOT WATER BOTTLE I AM SO POORLY</t>
        </is>
      </c>
      <c r="F4792" s="117" t="n">
        <v>8</v>
      </c>
      <c r="G4792" s="118" t="n">
        <v>4.95</v>
      </c>
      <c r="H4792" s="118" t="n">
        <v>39.6</v>
      </c>
      <c r="I4792" s="119" t="n">
        <v>40878</v>
      </c>
    </row>
    <row r="4793">
      <c r="A4793" s="114" t="inlineStr">
        <is>
          <t>580119</t>
        </is>
      </c>
      <c r="B4793" s="114" t="n">
        <v>17920</v>
      </c>
      <c r="C4793" s="114" t="inlineStr">
        <is>
          <t>United Kingdom</t>
        </is>
      </c>
      <c r="D4793" s="114" t="inlineStr">
        <is>
          <t>22077</t>
        </is>
      </c>
      <c r="E4793" s="114" t="inlineStr">
        <is>
          <t>6 RIBBONS RUSTIC CHARM</t>
        </is>
      </c>
      <c r="F4793" s="114" t="n">
        <v>1</v>
      </c>
      <c r="G4793" s="115" t="n">
        <v>1.95</v>
      </c>
      <c r="H4793" s="115" t="n">
        <v>1.95</v>
      </c>
      <c r="I4793" s="116" t="n">
        <v>40878</v>
      </c>
    </row>
    <row r="4794">
      <c r="A4794" s="117" t="inlineStr">
        <is>
          <t>580127</t>
        </is>
      </c>
      <c r="B4794" s="117" t="n">
        <v>14911</v>
      </c>
      <c r="C4794" s="117" t="inlineStr">
        <is>
          <t>EIRE</t>
        </is>
      </c>
      <c r="D4794" s="117" t="inlineStr">
        <is>
          <t>23224</t>
        </is>
      </c>
      <c r="E4794" s="117" t="inlineStr">
        <is>
          <t>CHERUB HEART DECORATION GOLD</t>
        </is>
      </c>
      <c r="F4794" s="117" t="n">
        <v>12</v>
      </c>
      <c r="G4794" s="118" t="n">
        <v>0.83</v>
      </c>
      <c r="H4794" s="118" t="n">
        <v>9.960000000000001</v>
      </c>
      <c r="I4794" s="119" t="n">
        <v>40878</v>
      </c>
    </row>
    <row r="4795">
      <c r="A4795" s="114" t="inlineStr">
        <is>
          <t>580129</t>
        </is>
      </c>
      <c r="B4795" s="114" t="n">
        <v>17426</v>
      </c>
      <c r="C4795" s="114" t="inlineStr">
        <is>
          <t>United Kingdom</t>
        </is>
      </c>
      <c r="D4795" s="114" t="inlineStr">
        <is>
          <t>23367</t>
        </is>
      </c>
      <c r="E4795" s="114" t="inlineStr">
        <is>
          <t xml:space="preserve">SET 12 COLOUR PENCILS SPACEBOY </t>
        </is>
      </c>
      <c r="F4795" s="114" t="n">
        <v>24</v>
      </c>
      <c r="G4795" s="115" t="n">
        <v>0.65</v>
      </c>
      <c r="H4795" s="115" t="n">
        <v>15.6</v>
      </c>
      <c r="I4795" s="116" t="n">
        <v>40878</v>
      </c>
    </row>
    <row r="4796">
      <c r="A4796" s="117" t="inlineStr">
        <is>
          <t>580136</t>
        </is>
      </c>
      <c r="B4796" s="117" t="n">
        <v>17841</v>
      </c>
      <c r="C4796" s="117" t="inlineStr">
        <is>
          <t>United Kingdom</t>
        </is>
      </c>
      <c r="D4796" s="117" t="inlineStr">
        <is>
          <t>23264</t>
        </is>
      </c>
      <c r="E4796" s="117" t="inlineStr">
        <is>
          <t>SET OF 3 WOODEN SLEIGH DECORATIONS</t>
        </is>
      </c>
      <c r="F4796" s="117" t="n">
        <v>12</v>
      </c>
      <c r="G4796" s="118" t="n">
        <v>1.25</v>
      </c>
      <c r="H4796" s="118" t="n">
        <v>15</v>
      </c>
      <c r="I4796" s="119" t="n">
        <v>40878</v>
      </c>
    </row>
    <row r="4797">
      <c r="A4797" s="114" t="inlineStr">
        <is>
          <t>580137</t>
        </is>
      </c>
      <c r="B4797" s="114" t="n">
        <v>17566</v>
      </c>
      <c r="C4797" s="114" t="inlineStr">
        <is>
          <t>United Kingdom</t>
        </is>
      </c>
      <c r="D4797" s="114" t="inlineStr">
        <is>
          <t>23333</t>
        </is>
      </c>
      <c r="E4797" s="114" t="inlineStr">
        <is>
          <t>IVORY WICKER HEART MEDIUM</t>
        </is>
      </c>
      <c r="F4797" s="114" t="n">
        <v>2</v>
      </c>
      <c r="G4797" s="115" t="n">
        <v>1.25</v>
      </c>
      <c r="H4797" s="115" t="n">
        <v>2.5</v>
      </c>
      <c r="I4797" s="116" t="n">
        <v>40878</v>
      </c>
    </row>
    <row r="4798">
      <c r="A4798" s="117" t="inlineStr">
        <is>
          <t>580137</t>
        </is>
      </c>
      <c r="B4798" s="117" t="n">
        <v>17566</v>
      </c>
      <c r="C4798" s="117" t="inlineStr">
        <is>
          <t>United Kingdom</t>
        </is>
      </c>
      <c r="D4798" s="117" t="inlineStr">
        <is>
          <t>21034</t>
        </is>
      </c>
      <c r="E4798" s="117" t="inlineStr">
        <is>
          <t>REX CASH+CARRY JUMBO SHOPPER</t>
        </is>
      </c>
      <c r="F4798" s="117" t="n">
        <v>1</v>
      </c>
      <c r="G4798" s="118" t="n">
        <v>0.95</v>
      </c>
      <c r="H4798" s="118" t="n">
        <v>0.95</v>
      </c>
      <c r="I4798" s="119" t="n">
        <v>40878</v>
      </c>
    </row>
    <row r="4799">
      <c r="A4799" s="114" t="inlineStr">
        <is>
          <t>580140</t>
        </is>
      </c>
      <c r="B4799" s="114" t="n">
        <v>14895</v>
      </c>
      <c r="C4799" s="114" t="inlineStr">
        <is>
          <t>United Kingdom</t>
        </is>
      </c>
      <c r="D4799" s="114" t="inlineStr">
        <is>
          <t>23293</t>
        </is>
      </c>
      <c r="E4799" s="114" t="inlineStr">
        <is>
          <t>SET OF 12 FAIRY CAKE BAKING CASES</t>
        </is>
      </c>
      <c r="F4799" s="114" t="n">
        <v>24</v>
      </c>
      <c r="G4799" s="115" t="n">
        <v>0.83</v>
      </c>
      <c r="H4799" s="115" t="n">
        <v>19.92</v>
      </c>
      <c r="I4799" s="116" t="n">
        <v>40879</v>
      </c>
    </row>
    <row r="4800">
      <c r="A4800" s="117" t="inlineStr">
        <is>
          <t>580152</t>
        </is>
      </c>
      <c r="B4800" s="117" t="n">
        <v>12364</v>
      </c>
      <c r="C4800" s="117" t="inlineStr">
        <is>
          <t>Belgium</t>
        </is>
      </c>
      <c r="D4800" s="117" t="inlineStr">
        <is>
          <t>16156S</t>
        </is>
      </c>
      <c r="E4800" s="117" t="inlineStr">
        <is>
          <t xml:space="preserve">WRAP PINK FAIRY CAKES </t>
        </is>
      </c>
      <c r="F4800" s="117" t="n">
        <v>25</v>
      </c>
      <c r="G4800" s="118" t="n">
        <v>0.42</v>
      </c>
      <c r="H4800" s="118" t="n">
        <v>10.5</v>
      </c>
      <c r="I4800" s="119" t="n">
        <v>40879</v>
      </c>
    </row>
    <row r="4801">
      <c r="A4801" s="114" t="inlineStr">
        <is>
          <t>580156</t>
        </is>
      </c>
      <c r="B4801" s="114" t="n">
        <v>14897</v>
      </c>
      <c r="C4801" s="114" t="inlineStr">
        <is>
          <t>United Kingdom</t>
        </is>
      </c>
      <c r="D4801" s="114" t="inlineStr">
        <is>
          <t>22772</t>
        </is>
      </c>
      <c r="E4801" s="114" t="inlineStr">
        <is>
          <t>PINK DRAWER KNOB ACRYLIC EDWARDIAN</t>
        </is>
      </c>
      <c r="F4801" s="114" t="n">
        <v>12</v>
      </c>
      <c r="G4801" s="115" t="n">
        <v>1.25</v>
      </c>
      <c r="H4801" s="115" t="n">
        <v>15</v>
      </c>
      <c r="I4801" s="116" t="n">
        <v>40879</v>
      </c>
    </row>
    <row r="4802">
      <c r="A4802" s="117" t="inlineStr">
        <is>
          <t>580160</t>
        </is>
      </c>
      <c r="B4802" s="117" t="n">
        <v>12700</v>
      </c>
      <c r="C4802" s="117" t="inlineStr">
        <is>
          <t>France</t>
        </is>
      </c>
      <c r="D4802" s="117" t="inlineStr">
        <is>
          <t>21544</t>
        </is>
      </c>
      <c r="E4802" s="117" t="inlineStr">
        <is>
          <t xml:space="preserve">SKULLS  WATER TRANSFER TATTOOS </t>
        </is>
      </c>
      <c r="F4802" s="117" t="n">
        <v>12</v>
      </c>
      <c r="G4802" s="118" t="n">
        <v>0.85</v>
      </c>
      <c r="H4802" s="118" t="n">
        <v>10.2</v>
      </c>
      <c r="I4802" s="119" t="n">
        <v>40879</v>
      </c>
    </row>
    <row r="4803">
      <c r="A4803" s="114" t="inlineStr">
        <is>
          <t>580162</t>
        </is>
      </c>
      <c r="B4803" s="114" t="n">
        <v>12856</v>
      </c>
      <c r="C4803" s="114" t="inlineStr">
        <is>
          <t>United Kingdom</t>
        </is>
      </c>
      <c r="D4803" s="114" t="inlineStr">
        <is>
          <t>23393</t>
        </is>
      </c>
      <c r="E4803" s="114" t="inlineStr">
        <is>
          <t xml:space="preserve">HOME SWEET HOME CUSHION COVER </t>
        </is>
      </c>
      <c r="F4803" s="114" t="n">
        <v>1</v>
      </c>
      <c r="G4803" s="115" t="n">
        <v>3.75</v>
      </c>
      <c r="H4803" s="115" t="n">
        <v>3.75</v>
      </c>
      <c r="I4803" s="116" t="n">
        <v>40879</v>
      </c>
    </row>
    <row r="4804">
      <c r="A4804" s="117" t="inlineStr">
        <is>
          <t>580167</t>
        </is>
      </c>
      <c r="B4804" s="117" t="n">
        <v>17386</v>
      </c>
      <c r="C4804" s="117" t="inlineStr">
        <is>
          <t>United Kingdom</t>
        </is>
      </c>
      <c r="D4804" s="117" t="inlineStr">
        <is>
          <t>22734</t>
        </is>
      </c>
      <c r="E4804" s="117" t="inlineStr">
        <is>
          <t>SET OF 6 RIBBONS VINTAGE CHRISTMAS</t>
        </is>
      </c>
      <c r="F4804" s="117" t="n">
        <v>10</v>
      </c>
      <c r="G4804" s="118" t="n">
        <v>2.89</v>
      </c>
      <c r="H4804" s="118" t="n">
        <v>28.9</v>
      </c>
      <c r="I4804" s="119" t="n">
        <v>40879</v>
      </c>
    </row>
    <row r="4805">
      <c r="A4805" s="114" t="inlineStr">
        <is>
          <t>580170</t>
        </is>
      </c>
      <c r="B4805" s="114" t="n">
        <v>17949</v>
      </c>
      <c r="C4805" s="114" t="inlineStr">
        <is>
          <t>United Kingdom</t>
        </is>
      </c>
      <c r="D4805" s="114" t="inlineStr">
        <is>
          <t>22197</t>
        </is>
      </c>
      <c r="E4805" s="114" t="inlineStr">
        <is>
          <t>POPCORN HOLDER</t>
        </is>
      </c>
      <c r="F4805" s="114" t="n">
        <v>1000</v>
      </c>
      <c r="G4805" s="115" t="n">
        <v>0.72</v>
      </c>
      <c r="H4805" s="115" t="n">
        <v>720</v>
      </c>
      <c r="I4805" s="116" t="n">
        <v>40879</v>
      </c>
    </row>
    <row r="4806">
      <c r="A4806" s="117" t="inlineStr">
        <is>
          <t>580188</t>
        </is>
      </c>
      <c r="B4806" s="117" t="n">
        <v>16440</v>
      </c>
      <c r="C4806" s="117" t="inlineStr">
        <is>
          <t>United Kingdom</t>
        </is>
      </c>
      <c r="D4806" s="117" t="inlineStr">
        <is>
          <t>22112</t>
        </is>
      </c>
      <c r="E4806" s="117" t="inlineStr">
        <is>
          <t>CHOCOLATE HOT WATER BOTTLE</t>
        </is>
      </c>
      <c r="F4806" s="117" t="n">
        <v>24</v>
      </c>
      <c r="G4806" s="118" t="n">
        <v>4.25</v>
      </c>
      <c r="H4806" s="118" t="n">
        <v>102</v>
      </c>
      <c r="I4806" s="119" t="n">
        <v>40879</v>
      </c>
    </row>
    <row r="4807">
      <c r="A4807" s="114" t="inlineStr">
        <is>
          <t>580193</t>
        </is>
      </c>
      <c r="B4807" s="114" t="n">
        <v>16899</v>
      </c>
      <c r="C4807" s="114" t="inlineStr">
        <is>
          <t>United Kingdom</t>
        </is>
      </c>
      <c r="D4807" s="114" t="inlineStr">
        <is>
          <t>21523</t>
        </is>
      </c>
      <c r="E4807" s="114" t="inlineStr">
        <is>
          <t>DOORMAT FANCY FONT HOME SWEET HOME</t>
        </is>
      </c>
      <c r="F4807" s="114" t="n">
        <v>5</v>
      </c>
      <c r="G4807" s="115" t="n">
        <v>8.25</v>
      </c>
      <c r="H4807" s="115" t="n">
        <v>41.25</v>
      </c>
      <c r="I4807" s="116" t="n">
        <v>40879</v>
      </c>
    </row>
    <row r="4808">
      <c r="A4808" s="117" t="inlineStr">
        <is>
          <t>580208</t>
        </is>
      </c>
      <c r="B4808" s="117" t="n">
        <v>13468</v>
      </c>
      <c r="C4808" s="117" t="inlineStr">
        <is>
          <t>United Kingdom</t>
        </is>
      </c>
      <c r="D4808" s="117" t="inlineStr">
        <is>
          <t>22179</t>
        </is>
      </c>
      <c r="E4808" s="117" t="inlineStr">
        <is>
          <t>SET 10 NIGHT OWL LIGHTS</t>
        </is>
      </c>
      <c r="F4808" s="117" t="n">
        <v>2</v>
      </c>
      <c r="G4808" s="118" t="n">
        <v>6.75</v>
      </c>
      <c r="H4808" s="118" t="n">
        <v>13.5</v>
      </c>
      <c r="I4808" s="119" t="n">
        <v>40879</v>
      </c>
    </row>
    <row r="4809">
      <c r="A4809" s="114" t="inlineStr">
        <is>
          <t>580260</t>
        </is>
      </c>
      <c r="B4809" s="114" t="n">
        <v>14085</v>
      </c>
      <c r="C4809" s="114" t="inlineStr">
        <is>
          <t>United Kingdom</t>
        </is>
      </c>
      <c r="D4809" s="114" t="inlineStr">
        <is>
          <t>23321</t>
        </is>
      </c>
      <c r="E4809" s="114" t="inlineStr">
        <is>
          <t>SMALL WHITE HEART OF WICKER</t>
        </is>
      </c>
      <c r="F4809" s="114" t="n">
        <v>2</v>
      </c>
      <c r="G4809" s="115" t="n">
        <v>1.65</v>
      </c>
      <c r="H4809" s="115" t="n">
        <v>3.3</v>
      </c>
      <c r="I4809" s="116" t="n">
        <v>40879</v>
      </c>
    </row>
    <row r="4810">
      <c r="A4810" s="117" t="inlineStr">
        <is>
          <t>580272</t>
        </is>
      </c>
      <c r="B4810" s="117" t="n">
        <v>15547</v>
      </c>
      <c r="C4810" s="117" t="inlineStr">
        <is>
          <t>United Kingdom</t>
        </is>
      </c>
      <c r="D4810" s="117" t="inlineStr">
        <is>
          <t>82580</t>
        </is>
      </c>
      <c r="E4810" s="117" t="inlineStr">
        <is>
          <t>BATHROOM METAL SIGN</t>
        </is>
      </c>
      <c r="F4810" s="117" t="n">
        <v>3</v>
      </c>
      <c r="G4810" s="118" t="n">
        <v>0.55</v>
      </c>
      <c r="H4810" s="118" t="n">
        <v>1.65</v>
      </c>
      <c r="I4810" s="119" t="n">
        <v>40879</v>
      </c>
    </row>
    <row r="4811">
      <c r="A4811" s="114" t="inlineStr">
        <is>
          <t>580279</t>
        </is>
      </c>
      <c r="B4811" s="114" t="n">
        <v>15123</v>
      </c>
      <c r="C4811" s="114" t="inlineStr">
        <is>
          <t>United Kingdom</t>
        </is>
      </c>
      <c r="D4811" s="114" t="inlineStr">
        <is>
          <t>21789</t>
        </is>
      </c>
      <c r="E4811" s="114" t="inlineStr">
        <is>
          <t>KIDS RAIN MAC PINK</t>
        </is>
      </c>
      <c r="F4811" s="114" t="n">
        <v>24</v>
      </c>
      <c r="G4811" s="115" t="n">
        <v>0.85</v>
      </c>
      <c r="H4811" s="115" t="n">
        <v>20.4</v>
      </c>
      <c r="I4811" s="116" t="n">
        <v>40879</v>
      </c>
    </row>
    <row r="4812">
      <c r="A4812" s="117" t="inlineStr">
        <is>
          <t>580284</t>
        </is>
      </c>
      <c r="B4812" s="117" t="n">
        <v>15311</v>
      </c>
      <c r="C4812" s="117" t="inlineStr">
        <is>
          <t>United Kingdom</t>
        </is>
      </c>
      <c r="D4812" s="117" t="inlineStr">
        <is>
          <t>15056BL</t>
        </is>
      </c>
      <c r="E4812" s="117" t="inlineStr">
        <is>
          <t>EDWARDIAN PARASOL BLACK</t>
        </is>
      </c>
      <c r="F4812" s="117" t="n">
        <v>2</v>
      </c>
      <c r="G4812" s="118" t="n">
        <v>5.95</v>
      </c>
      <c r="H4812" s="118" t="n">
        <v>11.9</v>
      </c>
      <c r="I4812" s="119" t="n">
        <v>40879</v>
      </c>
    </row>
    <row r="4813">
      <c r="A4813" s="114" t="inlineStr">
        <is>
          <t>580290</t>
        </is>
      </c>
      <c r="B4813" s="114" t="n">
        <v>17221</v>
      </c>
      <c r="C4813" s="114" t="inlineStr">
        <is>
          <t>United Kingdom</t>
        </is>
      </c>
      <c r="D4813" s="114" t="inlineStr">
        <is>
          <t>21820</t>
        </is>
      </c>
      <c r="E4813" s="114" t="inlineStr">
        <is>
          <t xml:space="preserve">GLITTER HEART GARLAND WITH BELLS </t>
        </is>
      </c>
      <c r="F4813" s="114" t="n">
        <v>1</v>
      </c>
      <c r="G4813" s="115" t="n">
        <v>3.75</v>
      </c>
      <c r="H4813" s="115" t="n">
        <v>3.75</v>
      </c>
      <c r="I4813" s="116" t="n">
        <v>40879</v>
      </c>
    </row>
    <row r="4814">
      <c r="A4814" s="117" t="inlineStr">
        <is>
          <t>580296</t>
        </is>
      </c>
      <c r="B4814" s="117" t="n">
        <v>13780</v>
      </c>
      <c r="C4814" s="117" t="inlineStr">
        <is>
          <t>United Kingdom</t>
        </is>
      </c>
      <c r="D4814" s="117" t="inlineStr">
        <is>
          <t>37475</t>
        </is>
      </c>
      <c r="E4814" s="117" t="inlineStr">
        <is>
          <t>SET/4 COLOURFUL MIXING BOWLS</t>
        </is>
      </c>
      <c r="F4814" s="117" t="n">
        <v>1</v>
      </c>
      <c r="G4814" s="118" t="n">
        <v>9.949999999999999</v>
      </c>
      <c r="H4814" s="118" t="n">
        <v>9.949999999999999</v>
      </c>
      <c r="I4814" s="119" t="n">
        <v>40879</v>
      </c>
    </row>
    <row r="4815">
      <c r="A4815" s="114" t="inlineStr">
        <is>
          <t>580296</t>
        </is>
      </c>
      <c r="B4815" s="114" t="n">
        <v>13780</v>
      </c>
      <c r="C4815" s="114" t="inlineStr">
        <is>
          <t>United Kingdom</t>
        </is>
      </c>
      <c r="D4815" s="114" t="inlineStr">
        <is>
          <t>85227</t>
        </is>
      </c>
      <c r="E4815" s="114" t="inlineStr">
        <is>
          <t>SET OF 6 3D KIT CARDS FOR KIDS</t>
        </is>
      </c>
      <c r="F4815" s="114" t="n">
        <v>2</v>
      </c>
      <c r="G4815" s="115" t="n">
        <v>0.85</v>
      </c>
      <c r="H4815" s="115" t="n">
        <v>1.7</v>
      </c>
      <c r="I4815" s="116" t="n">
        <v>40879</v>
      </c>
    </row>
    <row r="4816">
      <c r="A4816" s="117" t="inlineStr">
        <is>
          <t>580296</t>
        </is>
      </c>
      <c r="B4816" s="117" t="n">
        <v>13780</v>
      </c>
      <c r="C4816" s="117" t="inlineStr">
        <is>
          <t>United Kingdom</t>
        </is>
      </c>
      <c r="D4816" s="117" t="inlineStr">
        <is>
          <t>23388</t>
        </is>
      </c>
      <c r="E4816" s="117" t="inlineStr">
        <is>
          <t>WOODLAND MINI BACKPACK</t>
        </is>
      </c>
      <c r="F4816" s="117" t="n">
        <v>2</v>
      </c>
      <c r="G4816" s="118" t="n">
        <v>4.15</v>
      </c>
      <c r="H4816" s="118" t="n">
        <v>8.300000000000001</v>
      </c>
      <c r="I4816" s="119" t="n">
        <v>40879</v>
      </c>
    </row>
    <row r="4817">
      <c r="A4817" s="114" t="inlineStr">
        <is>
          <t>580295</t>
        </is>
      </c>
      <c r="B4817" s="114" t="n">
        <v>17841</v>
      </c>
      <c r="C4817" s="114" t="inlineStr">
        <is>
          <t>United Kingdom</t>
        </is>
      </c>
      <c r="D4817" s="114" t="inlineStr">
        <is>
          <t>23222</t>
        </is>
      </c>
      <c r="E4817" s="114" t="inlineStr">
        <is>
          <t>CHRISTMAS TREE HANGING GOLD</t>
        </is>
      </c>
      <c r="F4817" s="114" t="n">
        <v>2</v>
      </c>
      <c r="G4817" s="115" t="n">
        <v>0.83</v>
      </c>
      <c r="H4817" s="115" t="n">
        <v>1.66</v>
      </c>
      <c r="I4817" s="116" t="n">
        <v>40879</v>
      </c>
    </row>
    <row r="4818">
      <c r="A4818" s="117" t="inlineStr">
        <is>
          <t>580304</t>
        </is>
      </c>
      <c r="B4818" s="117" t="n">
        <v>18055</v>
      </c>
      <c r="C4818" s="117" t="inlineStr">
        <is>
          <t>United Kingdom</t>
        </is>
      </c>
      <c r="D4818" s="117" t="inlineStr">
        <is>
          <t>23227</t>
        </is>
      </c>
      <c r="E4818" s="117" t="inlineStr">
        <is>
          <t xml:space="preserve">FILIGREE HEART BUTTERFLY WHITE </t>
        </is>
      </c>
      <c r="F4818" s="117" t="n">
        <v>24</v>
      </c>
      <c r="G4818" s="118" t="n">
        <v>1.25</v>
      </c>
      <c r="H4818" s="118" t="n">
        <v>30</v>
      </c>
      <c r="I4818" s="119" t="n">
        <v>40879</v>
      </c>
    </row>
    <row r="4819">
      <c r="A4819" s="114" t="inlineStr">
        <is>
          <t>580304</t>
        </is>
      </c>
      <c r="B4819" s="114" t="n">
        <v>18055</v>
      </c>
      <c r="C4819" s="114" t="inlineStr">
        <is>
          <t>United Kingdom</t>
        </is>
      </c>
      <c r="D4819" s="114" t="inlineStr">
        <is>
          <t>21908</t>
        </is>
      </c>
      <c r="E4819" s="114" t="inlineStr">
        <is>
          <t>CHOCOLATE THIS WAY METAL SIGN</t>
        </is>
      </c>
      <c r="F4819" s="114" t="n">
        <v>12</v>
      </c>
      <c r="G4819" s="115" t="n">
        <v>2.1</v>
      </c>
      <c r="H4819" s="115" t="n">
        <v>25.2</v>
      </c>
      <c r="I4819" s="116" t="n">
        <v>40879</v>
      </c>
    </row>
    <row r="4820">
      <c r="A4820" s="117" t="inlineStr">
        <is>
          <t>580305</t>
        </is>
      </c>
      <c r="B4820" s="117" t="n">
        <v>12970</v>
      </c>
      <c r="C4820" s="117" t="inlineStr">
        <is>
          <t>United Kingdom</t>
        </is>
      </c>
      <c r="D4820" s="117" t="inlineStr">
        <is>
          <t>84692</t>
        </is>
      </c>
      <c r="E4820" s="117" t="inlineStr">
        <is>
          <t>BOX OF 24 COCKTAIL PARASOLS</t>
        </is>
      </c>
      <c r="F4820" s="117" t="n">
        <v>1</v>
      </c>
      <c r="G4820" s="118" t="n">
        <v>0.42</v>
      </c>
      <c r="H4820" s="118" t="n">
        <v>0.42</v>
      </c>
      <c r="I4820" s="119" t="n">
        <v>40879</v>
      </c>
    </row>
    <row r="4821">
      <c r="A4821" s="114" t="inlineStr">
        <is>
          <t>580308</t>
        </is>
      </c>
      <c r="B4821" s="114" t="n">
        <v>14250</v>
      </c>
      <c r="C4821" s="114" t="inlineStr">
        <is>
          <t>United Kingdom</t>
        </is>
      </c>
      <c r="D4821" s="114" t="inlineStr">
        <is>
          <t>23503</t>
        </is>
      </c>
      <c r="E4821" s="114" t="inlineStr">
        <is>
          <t>PLAYING CARDS KEEP CALM &amp; CARRY ON</t>
        </is>
      </c>
      <c r="F4821" s="114" t="n">
        <v>12</v>
      </c>
      <c r="G4821" s="115" t="n">
        <v>1.25</v>
      </c>
      <c r="H4821" s="115" t="n">
        <v>15</v>
      </c>
      <c r="I4821" s="116" t="n">
        <v>40879</v>
      </c>
    </row>
    <row r="4822">
      <c r="A4822" s="117" t="inlineStr">
        <is>
          <t>580310</t>
        </is>
      </c>
      <c r="B4822" s="117" t="n">
        <v>15570</v>
      </c>
      <c r="C4822" s="117" t="inlineStr">
        <is>
          <t>United Kingdom</t>
        </is>
      </c>
      <c r="D4822" s="117" t="inlineStr">
        <is>
          <t>22086</t>
        </is>
      </c>
      <c r="E4822" s="117" t="inlineStr">
        <is>
          <t xml:space="preserve">PAPER CHAIN KIT 50'S CHRISTMAS </t>
        </is>
      </c>
      <c r="F4822" s="117" t="n">
        <v>6</v>
      </c>
      <c r="G4822" s="118" t="n">
        <v>2.95</v>
      </c>
      <c r="H4822" s="118" t="n">
        <v>17.7</v>
      </c>
      <c r="I4822" s="119" t="n">
        <v>40879</v>
      </c>
    </row>
    <row r="4823">
      <c r="A4823" s="114" t="inlineStr">
        <is>
          <t>580311</t>
        </is>
      </c>
      <c r="B4823" s="114" t="n">
        <v>18245</v>
      </c>
      <c r="C4823" s="114" t="inlineStr">
        <is>
          <t>United Kingdom</t>
        </is>
      </c>
      <c r="D4823" s="114" t="inlineStr">
        <is>
          <t>23234</t>
        </is>
      </c>
      <c r="E4823" s="114" t="inlineStr">
        <is>
          <t>BISCUIT TIN VINTAGE CHRISTMAS</t>
        </is>
      </c>
      <c r="F4823" s="114" t="n">
        <v>6</v>
      </c>
      <c r="G4823" s="115" t="n">
        <v>2.89</v>
      </c>
      <c r="H4823" s="115" t="n">
        <v>17.34</v>
      </c>
      <c r="I4823" s="116" t="n">
        <v>40879</v>
      </c>
    </row>
    <row r="4824">
      <c r="A4824" s="117" t="inlineStr">
        <is>
          <t>580351</t>
        </is>
      </c>
      <c r="B4824" s="117" t="n">
        <v>12962</v>
      </c>
      <c r="C4824" s="117" t="inlineStr">
        <is>
          <t>United Kingdom</t>
        </is>
      </c>
      <c r="D4824" s="117" t="inlineStr">
        <is>
          <t>23494</t>
        </is>
      </c>
      <c r="E4824" s="117" t="inlineStr">
        <is>
          <t xml:space="preserve">VINTAGE DOILY DELUXE SEWING KIT </t>
        </is>
      </c>
      <c r="F4824" s="117" t="n">
        <v>3</v>
      </c>
      <c r="G4824" s="118" t="n">
        <v>5.95</v>
      </c>
      <c r="H4824" s="118" t="n">
        <v>17.85</v>
      </c>
      <c r="I4824" s="119" t="n">
        <v>40879</v>
      </c>
    </row>
    <row r="4825">
      <c r="A4825" s="114" t="inlineStr">
        <is>
          <t>580360</t>
        </is>
      </c>
      <c r="B4825" s="114" t="n">
        <v>14493</v>
      </c>
      <c r="C4825" s="114" t="inlineStr">
        <is>
          <t>United Kingdom</t>
        </is>
      </c>
      <c r="D4825" s="114" t="inlineStr">
        <is>
          <t>22727</t>
        </is>
      </c>
      <c r="E4825" s="114" t="inlineStr">
        <is>
          <t xml:space="preserve">ALARM CLOCK BAKELIKE RED </t>
        </is>
      </c>
      <c r="F4825" s="114" t="n">
        <v>4</v>
      </c>
      <c r="G4825" s="115" t="n">
        <v>3.75</v>
      </c>
      <c r="H4825" s="115" t="n">
        <v>15</v>
      </c>
      <c r="I4825" s="116" t="n">
        <v>40879</v>
      </c>
    </row>
    <row r="4826">
      <c r="A4826" s="117" t="inlineStr">
        <is>
          <t>580360</t>
        </is>
      </c>
      <c r="B4826" s="117" t="n">
        <v>14493</v>
      </c>
      <c r="C4826" s="117" t="inlineStr">
        <is>
          <t>United Kingdom</t>
        </is>
      </c>
      <c r="D4826" s="117" t="inlineStr">
        <is>
          <t>23552</t>
        </is>
      </c>
      <c r="E4826" s="117" t="inlineStr">
        <is>
          <t xml:space="preserve">BICYCLE PUNCTURE REPAIR KIT </t>
        </is>
      </c>
      <c r="F4826" s="117" t="n">
        <v>6</v>
      </c>
      <c r="G4826" s="118" t="n">
        <v>2.08</v>
      </c>
      <c r="H4826" s="118" t="n">
        <v>12.48</v>
      </c>
      <c r="I4826" s="119" t="n">
        <v>40879</v>
      </c>
    </row>
    <row r="4827">
      <c r="A4827" s="114" t="inlineStr">
        <is>
          <t>580389</t>
        </is>
      </c>
      <c r="B4827" s="114" t="n">
        <v>12952</v>
      </c>
      <c r="C4827" s="114" t="inlineStr">
        <is>
          <t>United Kingdom</t>
        </is>
      </c>
      <c r="D4827" s="114" t="inlineStr">
        <is>
          <t>23293</t>
        </is>
      </c>
      <c r="E4827" s="114" t="inlineStr">
        <is>
          <t>SET OF 12 FAIRY CAKE BAKING CASES</t>
        </is>
      </c>
      <c r="F4827" s="114" t="n">
        <v>8</v>
      </c>
      <c r="G4827" s="115" t="n">
        <v>0.83</v>
      </c>
      <c r="H4827" s="115" t="n">
        <v>6.64</v>
      </c>
      <c r="I4827" s="116" t="n">
        <v>40881</v>
      </c>
    </row>
    <row r="4828">
      <c r="A4828" s="117" t="inlineStr">
        <is>
          <t>580396</t>
        </is>
      </c>
      <c r="B4828" s="117" t="n">
        <v>13838</v>
      </c>
      <c r="C4828" s="117" t="inlineStr">
        <is>
          <t>United Kingdom</t>
        </is>
      </c>
      <c r="D4828" s="117" t="inlineStr">
        <is>
          <t>20986</t>
        </is>
      </c>
      <c r="E4828" s="117" t="inlineStr">
        <is>
          <t>BLUE CALCULATOR RULER</t>
        </is>
      </c>
      <c r="F4828" s="117" t="n">
        <v>3</v>
      </c>
      <c r="G4828" s="118" t="n">
        <v>1.25</v>
      </c>
      <c r="H4828" s="118" t="n">
        <v>3.75</v>
      </c>
      <c r="I4828" s="119" t="n">
        <v>40881</v>
      </c>
    </row>
    <row r="4829">
      <c r="A4829" s="114" t="inlineStr">
        <is>
          <t>580400</t>
        </is>
      </c>
      <c r="B4829" s="114" t="n">
        <v>16561</v>
      </c>
      <c r="C4829" s="114" t="inlineStr">
        <is>
          <t>United Kingdom</t>
        </is>
      </c>
      <c r="D4829" s="114" t="inlineStr">
        <is>
          <t>23313</t>
        </is>
      </c>
      <c r="E4829" s="114" t="inlineStr">
        <is>
          <t>VINTAGE CHRISTMAS BUNTING</t>
        </is>
      </c>
      <c r="F4829" s="114" t="n">
        <v>5</v>
      </c>
      <c r="G4829" s="115" t="n">
        <v>4.95</v>
      </c>
      <c r="H4829" s="115" t="n">
        <v>24.75</v>
      </c>
      <c r="I4829" s="116" t="n">
        <v>40881</v>
      </c>
    </row>
    <row r="4830">
      <c r="A4830" s="117" t="inlineStr">
        <is>
          <t>580402</t>
        </is>
      </c>
      <c r="B4830" s="117" t="n">
        <v>13536</v>
      </c>
      <c r="C4830" s="117" t="inlineStr">
        <is>
          <t>United Kingdom</t>
        </is>
      </c>
      <c r="D4830" s="117" t="inlineStr">
        <is>
          <t>22607</t>
        </is>
      </c>
      <c r="E4830" s="117" t="inlineStr">
        <is>
          <t xml:space="preserve">WOODEN ROUNDERS GARDEN SET </t>
        </is>
      </c>
      <c r="F4830" s="117" t="n">
        <v>2</v>
      </c>
      <c r="G4830" s="118" t="n">
        <v>9.949999999999999</v>
      </c>
      <c r="H4830" s="118" t="n">
        <v>19.9</v>
      </c>
      <c r="I4830" s="119" t="n">
        <v>40881</v>
      </c>
    </row>
    <row r="4831">
      <c r="A4831" s="114" t="inlineStr">
        <is>
          <t>580402</t>
        </is>
      </c>
      <c r="B4831" s="114" t="n">
        <v>13536</v>
      </c>
      <c r="C4831" s="114" t="inlineStr">
        <is>
          <t>United Kingdom</t>
        </is>
      </c>
      <c r="D4831" s="114" t="inlineStr">
        <is>
          <t>23543</t>
        </is>
      </c>
      <c r="E4831" s="114" t="inlineStr">
        <is>
          <t xml:space="preserve">WALL ART KEEP CALM </t>
        </is>
      </c>
      <c r="F4831" s="114" t="n">
        <v>6</v>
      </c>
      <c r="G4831" s="115" t="n">
        <v>4.15</v>
      </c>
      <c r="H4831" s="115" t="n">
        <v>24.9</v>
      </c>
      <c r="I4831" s="116" t="n">
        <v>40881</v>
      </c>
    </row>
    <row r="4832">
      <c r="A4832" s="117" t="inlineStr">
        <is>
          <t>580434</t>
        </is>
      </c>
      <c r="B4832" s="117" t="n">
        <v>17114</v>
      </c>
      <c r="C4832" s="117" t="inlineStr">
        <is>
          <t>United Kingdom</t>
        </is>
      </c>
      <c r="D4832" s="117" t="inlineStr">
        <is>
          <t>22646</t>
        </is>
      </c>
      <c r="E4832" s="117" t="inlineStr">
        <is>
          <t>CERAMIC STRAWBERRY CAKE MONEY BANK</t>
        </is>
      </c>
      <c r="F4832" s="117" t="n">
        <v>1</v>
      </c>
      <c r="G4832" s="118" t="n">
        <v>0.39</v>
      </c>
      <c r="H4832" s="118" t="n">
        <v>0.39</v>
      </c>
      <c r="I4832" s="119" t="n">
        <v>40881</v>
      </c>
    </row>
    <row r="4833">
      <c r="A4833" s="114" t="inlineStr">
        <is>
          <t>580468</t>
        </is>
      </c>
      <c r="B4833" s="114" t="n">
        <v>12748</v>
      </c>
      <c r="C4833" s="114" t="inlineStr">
        <is>
          <t>United Kingdom</t>
        </is>
      </c>
      <c r="D4833" s="114" t="inlineStr">
        <is>
          <t>23151</t>
        </is>
      </c>
      <c r="E4833" s="114" t="inlineStr">
        <is>
          <t>ZINC SWEETHEART SOAP DISH</t>
        </is>
      </c>
      <c r="F4833" s="114" t="n">
        <v>1</v>
      </c>
      <c r="G4833" s="115" t="n">
        <v>0.79</v>
      </c>
      <c r="H4833" s="115" t="n">
        <v>0.79</v>
      </c>
      <c r="I4833" s="116" t="n">
        <v>40881</v>
      </c>
    </row>
    <row r="4834">
      <c r="A4834" s="117" t="inlineStr">
        <is>
          <t>580469</t>
        </is>
      </c>
      <c r="B4834" s="117" t="n">
        <v>14583</v>
      </c>
      <c r="C4834" s="117" t="inlineStr">
        <is>
          <t>United Kingdom</t>
        </is>
      </c>
      <c r="D4834" s="117" t="inlineStr">
        <is>
          <t>85194S</t>
        </is>
      </c>
      <c r="E4834" s="117" t="inlineStr">
        <is>
          <t>HANGING SPRING FLOWER EGG SMALL</t>
        </is>
      </c>
      <c r="F4834" s="117" t="n">
        <v>5</v>
      </c>
      <c r="G4834" s="118" t="n">
        <v>0.19</v>
      </c>
      <c r="H4834" s="118" t="n">
        <v>0.95</v>
      </c>
      <c r="I4834" s="119" t="n">
        <v>40881</v>
      </c>
    </row>
    <row r="4835">
      <c r="A4835" s="114" t="inlineStr">
        <is>
          <t>580469</t>
        </is>
      </c>
      <c r="B4835" s="114" t="n">
        <v>14583</v>
      </c>
      <c r="C4835" s="114" t="inlineStr">
        <is>
          <t>United Kingdom</t>
        </is>
      </c>
      <c r="D4835" s="114" t="inlineStr">
        <is>
          <t>23004</t>
        </is>
      </c>
      <c r="E4835" s="114" t="inlineStr">
        <is>
          <t>TRAVEL CARD WALLET PANTRY</t>
        </is>
      </c>
      <c r="F4835" s="114" t="n">
        <v>1</v>
      </c>
      <c r="G4835" s="115" t="n">
        <v>0.42</v>
      </c>
      <c r="H4835" s="115" t="n">
        <v>0.42</v>
      </c>
      <c r="I4835" s="116" t="n">
        <v>40881</v>
      </c>
    </row>
    <row r="4836">
      <c r="A4836" s="117" t="inlineStr">
        <is>
          <t>580482</t>
        </is>
      </c>
      <c r="B4836" s="117" t="n">
        <v>16033</v>
      </c>
      <c r="C4836" s="117" t="inlineStr">
        <is>
          <t>United Kingdom</t>
        </is>
      </c>
      <c r="D4836" s="117" t="inlineStr">
        <is>
          <t>23323</t>
        </is>
      </c>
      <c r="E4836" s="117" t="inlineStr">
        <is>
          <t xml:space="preserve">WHITE WICKER STAR </t>
        </is>
      </c>
      <c r="F4836" s="117" t="n">
        <v>2</v>
      </c>
      <c r="G4836" s="118" t="n">
        <v>2.1</v>
      </c>
      <c r="H4836" s="118" t="n">
        <v>4.2</v>
      </c>
      <c r="I4836" s="119" t="n">
        <v>40881</v>
      </c>
    </row>
    <row r="4837">
      <c r="A4837" s="114" t="inlineStr">
        <is>
          <t>580482</t>
        </is>
      </c>
      <c r="B4837" s="114" t="n">
        <v>16033</v>
      </c>
      <c r="C4837" s="114" t="inlineStr">
        <is>
          <t>United Kingdom</t>
        </is>
      </c>
      <c r="D4837" s="114" t="inlineStr">
        <is>
          <t>23512</t>
        </is>
      </c>
      <c r="E4837" s="114" t="inlineStr">
        <is>
          <t>EMBROIDERED RIBBON REEL ROSIE</t>
        </is>
      </c>
      <c r="F4837" s="114" t="n">
        <v>1</v>
      </c>
      <c r="G4837" s="115" t="n">
        <v>2.08</v>
      </c>
      <c r="H4837" s="115" t="n">
        <v>2.08</v>
      </c>
      <c r="I4837" s="116" t="n">
        <v>40881</v>
      </c>
    </row>
    <row r="4838">
      <c r="A4838" s="117" t="inlineStr">
        <is>
          <t>580501</t>
        </is>
      </c>
      <c r="B4838" s="117" t="n">
        <v>14546</v>
      </c>
      <c r="C4838" s="117" t="inlineStr">
        <is>
          <t>United Kingdom</t>
        </is>
      </c>
      <c r="D4838" s="117" t="inlineStr">
        <is>
          <t>22699</t>
        </is>
      </c>
      <c r="E4838" s="117" t="inlineStr">
        <is>
          <t xml:space="preserve">ROSES REGENCY TEACUP AND SAUCER </t>
        </is>
      </c>
      <c r="F4838" s="117" t="n">
        <v>2</v>
      </c>
      <c r="G4838" s="118" t="n">
        <v>2.95</v>
      </c>
      <c r="H4838" s="118" t="n">
        <v>5.9</v>
      </c>
      <c r="I4838" s="119" t="n">
        <v>40881</v>
      </c>
    </row>
    <row r="4839">
      <c r="A4839" s="114" t="inlineStr">
        <is>
          <t>580502</t>
        </is>
      </c>
      <c r="B4839" s="114" t="n">
        <v>16931</v>
      </c>
      <c r="C4839" s="114" t="inlineStr">
        <is>
          <t>United Kingdom</t>
        </is>
      </c>
      <c r="D4839" s="114" t="inlineStr">
        <is>
          <t>22311</t>
        </is>
      </c>
      <c r="E4839" s="114" t="inlineStr">
        <is>
          <t xml:space="preserve">OFFICE MUG WARMER BLACK+SILVER </t>
        </is>
      </c>
      <c r="F4839" s="114" t="n">
        <v>3</v>
      </c>
      <c r="G4839" s="115" t="n">
        <v>2.95</v>
      </c>
      <c r="H4839" s="115" t="n">
        <v>8.85</v>
      </c>
      <c r="I4839" s="116" t="n">
        <v>40881</v>
      </c>
    </row>
    <row r="4840">
      <c r="A4840" s="117" t="inlineStr">
        <is>
          <t>580502</t>
        </is>
      </c>
      <c r="B4840" s="117" t="n">
        <v>16931</v>
      </c>
      <c r="C4840" s="117" t="inlineStr">
        <is>
          <t>United Kingdom</t>
        </is>
      </c>
      <c r="D4840" s="117" t="inlineStr">
        <is>
          <t>22113</t>
        </is>
      </c>
      <c r="E4840" s="117" t="inlineStr">
        <is>
          <t>GREY HEART HOT WATER BOTTLE</t>
        </is>
      </c>
      <c r="F4840" s="117" t="n">
        <v>4</v>
      </c>
      <c r="G4840" s="118" t="n">
        <v>4.25</v>
      </c>
      <c r="H4840" s="118" t="n">
        <v>17</v>
      </c>
      <c r="I4840" s="119" t="n">
        <v>40881</v>
      </c>
    </row>
    <row r="4841">
      <c r="A4841" s="114" t="inlineStr">
        <is>
          <t>580502</t>
        </is>
      </c>
      <c r="B4841" s="114" t="n">
        <v>16931</v>
      </c>
      <c r="C4841" s="114" t="inlineStr">
        <is>
          <t>United Kingdom</t>
        </is>
      </c>
      <c r="D4841" s="114" t="inlineStr">
        <is>
          <t>22335</t>
        </is>
      </c>
      <c r="E4841" s="114" t="inlineStr">
        <is>
          <t xml:space="preserve">HEART DECORATION PAINTED ZINC </t>
        </is>
      </c>
      <c r="F4841" s="114" t="n">
        <v>3</v>
      </c>
      <c r="G4841" s="115" t="n">
        <v>0.65</v>
      </c>
      <c r="H4841" s="115" t="n">
        <v>1.95</v>
      </c>
      <c r="I4841" s="116" t="n">
        <v>40881</v>
      </c>
    </row>
    <row r="4842">
      <c r="A4842" s="117" t="inlineStr">
        <is>
          <t>580504</t>
        </is>
      </c>
      <c r="B4842" s="117" t="n">
        <v>17936</v>
      </c>
      <c r="C4842" s="117" t="inlineStr">
        <is>
          <t>United Kingdom</t>
        </is>
      </c>
      <c r="D4842" s="117" t="inlineStr">
        <is>
          <t>23013</t>
        </is>
      </c>
      <c r="E4842" s="117" t="inlineStr">
        <is>
          <t>GLASS APOTHECARY BOTTLE TONIC</t>
        </is>
      </c>
      <c r="F4842" s="117" t="n">
        <v>1</v>
      </c>
      <c r="G4842" s="118" t="n">
        <v>3.95</v>
      </c>
      <c r="H4842" s="118" t="n">
        <v>3.95</v>
      </c>
      <c r="I4842" s="119" t="n">
        <v>40881</v>
      </c>
    </row>
    <row r="4843">
      <c r="A4843" s="114" t="inlineStr">
        <is>
          <t>580509</t>
        </is>
      </c>
      <c r="B4843" s="114" t="n">
        <v>12719</v>
      </c>
      <c r="C4843" s="114" t="inlineStr">
        <is>
          <t>France</t>
        </is>
      </c>
      <c r="D4843" s="114" t="inlineStr">
        <is>
          <t>22111</t>
        </is>
      </c>
      <c r="E4843" s="114" t="inlineStr">
        <is>
          <t>SCOTTIE DOG HOT WATER BOTTLE</t>
        </is>
      </c>
      <c r="F4843" s="114" t="n">
        <v>3</v>
      </c>
      <c r="G4843" s="115" t="n">
        <v>4.95</v>
      </c>
      <c r="H4843" s="115" t="n">
        <v>14.85</v>
      </c>
      <c r="I4843" s="116" t="n">
        <v>40881</v>
      </c>
    </row>
    <row r="4844">
      <c r="A4844" s="117" t="inlineStr">
        <is>
          <t>580509</t>
        </is>
      </c>
      <c r="B4844" s="117" t="n">
        <v>12719</v>
      </c>
      <c r="C4844" s="117" t="inlineStr">
        <is>
          <t>France</t>
        </is>
      </c>
      <c r="D4844" s="117" t="inlineStr">
        <is>
          <t>22138</t>
        </is>
      </c>
      <c r="E4844" s="117" t="inlineStr">
        <is>
          <t xml:space="preserve">BAKING SET 9 PIECE RETROSPOT </t>
        </is>
      </c>
      <c r="F4844" s="117" t="n">
        <v>3</v>
      </c>
      <c r="G4844" s="118" t="n">
        <v>4.95</v>
      </c>
      <c r="H4844" s="118" t="n">
        <v>14.85</v>
      </c>
      <c r="I4844" s="119" t="n">
        <v>40881</v>
      </c>
    </row>
    <row r="4845">
      <c r="A4845" s="114" t="inlineStr">
        <is>
          <t>580513</t>
        </is>
      </c>
      <c r="B4845" s="114" t="n">
        <v>14456</v>
      </c>
      <c r="C4845" s="114" t="inlineStr">
        <is>
          <t>United Kingdom</t>
        </is>
      </c>
      <c r="D4845" s="114" t="inlineStr">
        <is>
          <t>23209</t>
        </is>
      </c>
      <c r="E4845" s="114" t="inlineStr">
        <is>
          <t xml:space="preserve">LUNCH BAG VINTAGE DOILY </t>
        </is>
      </c>
      <c r="F4845" s="114" t="n">
        <v>1</v>
      </c>
      <c r="G4845" s="115" t="n">
        <v>1.65</v>
      </c>
      <c r="H4845" s="115" t="n">
        <v>1.65</v>
      </c>
      <c r="I4845" s="116" t="n">
        <v>40881</v>
      </c>
    </row>
    <row r="4846">
      <c r="A4846" s="117" t="inlineStr">
        <is>
          <t>580514</t>
        </is>
      </c>
      <c r="B4846" s="117" t="n">
        <v>16905</v>
      </c>
      <c r="C4846" s="117" t="inlineStr">
        <is>
          <t>United Kingdom</t>
        </is>
      </c>
      <c r="D4846" s="117" t="inlineStr">
        <is>
          <t>20828</t>
        </is>
      </c>
      <c r="E4846" s="117" t="inlineStr">
        <is>
          <t>GLITTER BUTTERFLY CLIPS</t>
        </is>
      </c>
      <c r="F4846" s="117" t="n">
        <v>3</v>
      </c>
      <c r="G4846" s="118" t="n">
        <v>2.55</v>
      </c>
      <c r="H4846" s="118" t="n">
        <v>7.65</v>
      </c>
      <c r="I4846" s="119" t="n">
        <v>40881</v>
      </c>
    </row>
    <row r="4847">
      <c r="A4847" s="114" t="inlineStr">
        <is>
          <t>580516</t>
        </is>
      </c>
      <c r="B4847" s="114" t="n">
        <v>17954</v>
      </c>
      <c r="C4847" s="114" t="inlineStr">
        <is>
          <t>United Kingdom</t>
        </is>
      </c>
      <c r="D4847" s="114" t="inlineStr">
        <is>
          <t>23263</t>
        </is>
      </c>
      <c r="E4847" s="114" t="inlineStr">
        <is>
          <t>SET OF 3 WOODEN HEART DECORATIONS</t>
        </is>
      </c>
      <c r="F4847" s="114" t="n">
        <v>3</v>
      </c>
      <c r="G4847" s="115" t="n">
        <v>1.25</v>
      </c>
      <c r="H4847" s="115" t="n">
        <v>3.75</v>
      </c>
      <c r="I4847" s="116" t="n">
        <v>40881</v>
      </c>
    </row>
    <row r="4848">
      <c r="A4848" s="117" t="inlineStr">
        <is>
          <t>580516</t>
        </is>
      </c>
      <c r="B4848" s="117" t="n">
        <v>17954</v>
      </c>
      <c r="C4848" s="117" t="inlineStr">
        <is>
          <t>United Kingdom</t>
        </is>
      </c>
      <c r="D4848" s="117" t="inlineStr">
        <is>
          <t>22940</t>
        </is>
      </c>
      <c r="E4848" s="117" t="inlineStr">
        <is>
          <t>FELTCRAFT CHRISTMAS FAIRY</t>
        </is>
      </c>
      <c r="F4848" s="117" t="n">
        <v>3</v>
      </c>
      <c r="G4848" s="118" t="n">
        <v>4.25</v>
      </c>
      <c r="H4848" s="118" t="n">
        <v>12.75</v>
      </c>
      <c r="I4848" s="119" t="n">
        <v>40881</v>
      </c>
    </row>
    <row r="4849">
      <c r="A4849" s="114" t="inlineStr">
        <is>
          <t>580520</t>
        </is>
      </c>
      <c r="B4849" s="114" t="n">
        <v>13521</v>
      </c>
      <c r="C4849" s="114" t="inlineStr">
        <is>
          <t>United Kingdom</t>
        </is>
      </c>
      <c r="D4849" s="114" t="inlineStr">
        <is>
          <t>23425</t>
        </is>
      </c>
      <c r="E4849" s="114" t="inlineStr">
        <is>
          <t>STORAGE TIN HOME SWEET HOME</t>
        </is>
      </c>
      <c r="F4849" s="114" t="n">
        <v>3</v>
      </c>
      <c r="G4849" s="115" t="n">
        <v>0.79</v>
      </c>
      <c r="H4849" s="115" t="n">
        <v>2.37</v>
      </c>
      <c r="I4849" s="116" t="n">
        <v>40881</v>
      </c>
    </row>
    <row r="4850">
      <c r="A4850" s="117" t="inlineStr">
        <is>
          <t>580520</t>
        </is>
      </c>
      <c r="B4850" s="117" t="n">
        <v>13521</v>
      </c>
      <c r="C4850" s="117" t="inlineStr">
        <is>
          <t>United Kingdom</t>
        </is>
      </c>
      <c r="D4850" s="117" t="inlineStr">
        <is>
          <t>22424</t>
        </is>
      </c>
      <c r="E4850" s="117" t="inlineStr">
        <is>
          <t>ENAMEL BREAD BIN CREAM</t>
        </is>
      </c>
      <c r="F4850" s="117" t="n">
        <v>1</v>
      </c>
      <c r="G4850" s="118" t="n">
        <v>12.75</v>
      </c>
      <c r="H4850" s="118" t="n">
        <v>12.75</v>
      </c>
      <c r="I4850" s="119" t="n">
        <v>40881</v>
      </c>
    </row>
    <row r="4851">
      <c r="A4851" s="114" t="inlineStr">
        <is>
          <t>580520</t>
        </is>
      </c>
      <c r="B4851" s="114" t="n">
        <v>13521</v>
      </c>
      <c r="C4851" s="114" t="inlineStr">
        <is>
          <t>United Kingdom</t>
        </is>
      </c>
      <c r="D4851" s="114" t="inlineStr">
        <is>
          <t>23281</t>
        </is>
      </c>
      <c r="E4851" s="114" t="inlineStr">
        <is>
          <t xml:space="preserve">FOLDING BUTTERFLY MIRROR RED  </t>
        </is>
      </c>
      <c r="F4851" s="114" t="n">
        <v>2</v>
      </c>
      <c r="G4851" s="115" t="n">
        <v>0.83</v>
      </c>
      <c r="H4851" s="115" t="n">
        <v>1.66</v>
      </c>
      <c r="I4851" s="116" t="n">
        <v>40881</v>
      </c>
    </row>
    <row r="4852">
      <c r="A4852" s="117" t="inlineStr">
        <is>
          <t>580523</t>
        </is>
      </c>
      <c r="B4852" s="117" t="n">
        <v>17827</v>
      </c>
      <c r="C4852" s="117" t="inlineStr">
        <is>
          <t>United Kingdom</t>
        </is>
      </c>
      <c r="D4852" s="117" t="inlineStr">
        <is>
          <t>23210</t>
        </is>
      </c>
      <c r="E4852" s="117" t="inlineStr">
        <is>
          <t>WHITE ROCKING HORSE HAND PAINTED</t>
        </is>
      </c>
      <c r="F4852" s="117" t="n">
        <v>6</v>
      </c>
      <c r="G4852" s="118" t="n">
        <v>1.25</v>
      </c>
      <c r="H4852" s="118" t="n">
        <v>7.5</v>
      </c>
      <c r="I4852" s="119" t="n">
        <v>40881</v>
      </c>
    </row>
    <row r="4853">
      <c r="A4853" s="114" t="inlineStr">
        <is>
          <t>580526</t>
        </is>
      </c>
      <c r="B4853" s="114" t="n">
        <v>16535</v>
      </c>
      <c r="C4853" s="114" t="inlineStr">
        <is>
          <t>United Kingdom</t>
        </is>
      </c>
      <c r="D4853" s="114" t="inlineStr">
        <is>
          <t>22577</t>
        </is>
      </c>
      <c r="E4853" s="114" t="inlineStr">
        <is>
          <t>WOODEN HEART CHRISTMAS SCANDINAVIAN</t>
        </is>
      </c>
      <c r="F4853" s="114" t="n">
        <v>24</v>
      </c>
      <c r="G4853" s="115" t="n">
        <v>0.29</v>
      </c>
      <c r="H4853" s="115" t="n">
        <v>6.96</v>
      </c>
      <c r="I4853" s="116" t="n">
        <v>40881</v>
      </c>
    </row>
    <row r="4854">
      <c r="A4854" s="117" t="inlineStr">
        <is>
          <t>580527</t>
        </is>
      </c>
      <c r="B4854" s="117" t="n">
        <v>13736</v>
      </c>
      <c r="C4854" s="117" t="inlineStr">
        <is>
          <t>United Kingdom</t>
        </is>
      </c>
      <c r="D4854" s="117" t="inlineStr">
        <is>
          <t>23302</t>
        </is>
      </c>
      <c r="E4854" s="117" t="inlineStr">
        <is>
          <t>KNEELING MAT HOUSEWORK  DESIGN</t>
        </is>
      </c>
      <c r="F4854" s="117" t="n">
        <v>1</v>
      </c>
      <c r="G4854" s="118" t="n">
        <v>0.79</v>
      </c>
      <c r="H4854" s="118" t="n">
        <v>0.79</v>
      </c>
      <c r="I4854" s="119" t="n">
        <v>40881</v>
      </c>
    </row>
    <row r="4855">
      <c r="A4855" s="114" t="inlineStr">
        <is>
          <t>580527</t>
        </is>
      </c>
      <c r="B4855" s="114" t="n">
        <v>13736</v>
      </c>
      <c r="C4855" s="114" t="inlineStr">
        <is>
          <t>United Kingdom</t>
        </is>
      </c>
      <c r="D4855" s="114" t="inlineStr">
        <is>
          <t>22055</t>
        </is>
      </c>
      <c r="E4855" s="114" t="inlineStr">
        <is>
          <t>MINI CAKE STAND  HANGING STRAWBERY</t>
        </is>
      </c>
      <c r="F4855" s="114" t="n">
        <v>1</v>
      </c>
      <c r="G4855" s="115" t="n">
        <v>0.39</v>
      </c>
      <c r="H4855" s="115" t="n">
        <v>0.39</v>
      </c>
      <c r="I4855" s="116" t="n">
        <v>40881</v>
      </c>
    </row>
    <row r="4856">
      <c r="A4856" s="117" t="inlineStr">
        <is>
          <t>580528</t>
        </is>
      </c>
      <c r="B4856" s="117" t="n">
        <v>14911</v>
      </c>
      <c r="C4856" s="117" t="inlineStr">
        <is>
          <t>EIRE</t>
        </is>
      </c>
      <c r="D4856" s="117" t="inlineStr">
        <is>
          <t>22110</t>
        </is>
      </c>
      <c r="E4856" s="117" t="inlineStr">
        <is>
          <t>BIRD HOUSE HOT WATER BOTTLE</t>
        </is>
      </c>
      <c r="F4856" s="117" t="n">
        <v>24</v>
      </c>
      <c r="G4856" s="118" t="n">
        <v>2.55</v>
      </c>
      <c r="H4856" s="118" t="n">
        <v>61.2</v>
      </c>
      <c r="I4856" s="119" t="n">
        <v>40881</v>
      </c>
    </row>
    <row r="4857">
      <c r="A4857" s="114" t="inlineStr">
        <is>
          <t>580540</t>
        </is>
      </c>
      <c r="B4857" s="114" t="n">
        <v>13417</v>
      </c>
      <c r="C4857" s="114" t="inlineStr">
        <is>
          <t>United Kingdom</t>
        </is>
      </c>
      <c r="D4857" s="114" t="inlineStr">
        <is>
          <t>23283</t>
        </is>
      </c>
      <c r="E4857" s="114" t="inlineStr">
        <is>
          <t>DOORMAT VINTAGE LEAF</t>
        </is>
      </c>
      <c r="F4857" s="114" t="n">
        <v>2</v>
      </c>
      <c r="G4857" s="115" t="n">
        <v>8.25</v>
      </c>
      <c r="H4857" s="115" t="n">
        <v>16.5</v>
      </c>
      <c r="I4857" s="116" t="n">
        <v>40882</v>
      </c>
    </row>
    <row r="4858">
      <c r="A4858" s="117" t="inlineStr">
        <is>
          <t>580541</t>
        </is>
      </c>
      <c r="B4858" s="117" t="n">
        <v>15358</v>
      </c>
      <c r="C4858" s="117" t="inlineStr">
        <is>
          <t>United Kingdom</t>
        </is>
      </c>
      <c r="D4858" s="117" t="inlineStr">
        <is>
          <t>20972</t>
        </is>
      </c>
      <c r="E4858" s="117" t="inlineStr">
        <is>
          <t xml:space="preserve">PINK CREAM FELT CRAFT TRINKET BOX </t>
        </is>
      </c>
      <c r="F4858" s="117" t="n">
        <v>12</v>
      </c>
      <c r="G4858" s="118" t="n">
        <v>1.25</v>
      </c>
      <c r="H4858" s="118" t="n">
        <v>15</v>
      </c>
      <c r="I4858" s="119" t="n">
        <v>40882</v>
      </c>
    </row>
    <row r="4859">
      <c r="A4859" s="114" t="inlineStr">
        <is>
          <t>580550</t>
        </is>
      </c>
      <c r="B4859" s="114" t="n">
        <v>13126</v>
      </c>
      <c r="C4859" s="114" t="inlineStr">
        <is>
          <t>United Kingdom</t>
        </is>
      </c>
      <c r="D4859" s="114" t="inlineStr">
        <is>
          <t>22057</t>
        </is>
      </c>
      <c r="E4859" s="114" t="inlineStr">
        <is>
          <t>CERAMIC PLATE STRAWBERRY DESIGN</t>
        </is>
      </c>
      <c r="F4859" s="114" t="n">
        <v>16</v>
      </c>
      <c r="G4859" s="115" t="n">
        <v>0.39</v>
      </c>
      <c r="H4859" s="115" t="n">
        <v>6.24</v>
      </c>
      <c r="I4859" s="116" t="n">
        <v>40882</v>
      </c>
    </row>
    <row r="4860">
      <c r="A4860" s="117" t="inlineStr">
        <is>
          <t>580595</t>
        </is>
      </c>
      <c r="B4860" s="117" t="n">
        <v>14194</v>
      </c>
      <c r="C4860" s="117" t="inlineStr">
        <is>
          <t>United Kingdom</t>
        </is>
      </c>
      <c r="D4860" s="117" t="inlineStr">
        <is>
          <t>21259</t>
        </is>
      </c>
      <c r="E4860" s="117" t="inlineStr">
        <is>
          <t xml:space="preserve">VICTORIAN SEWING BOX SMALL </t>
        </is>
      </c>
      <c r="F4860" s="117" t="n">
        <v>4</v>
      </c>
      <c r="G4860" s="118" t="n">
        <v>5.95</v>
      </c>
      <c r="H4860" s="118" t="n">
        <v>23.8</v>
      </c>
      <c r="I4860" s="119" t="n">
        <v>40882</v>
      </c>
    </row>
    <row r="4861">
      <c r="A4861" s="114" t="inlineStr">
        <is>
          <t>580599</t>
        </is>
      </c>
      <c r="B4861" s="114" t="n">
        <v>12925</v>
      </c>
      <c r="C4861" s="114" t="inlineStr">
        <is>
          <t>United Kingdom</t>
        </is>
      </c>
      <c r="D4861" s="114" t="inlineStr">
        <is>
          <t>23311</t>
        </is>
      </c>
      <c r="E4861" s="114" t="inlineStr">
        <is>
          <t xml:space="preserve">VINTAGE CHRISTMAS STOCKING </t>
        </is>
      </c>
      <c r="F4861" s="114" t="n">
        <v>6</v>
      </c>
      <c r="G4861" s="115" t="n">
        <v>2.55</v>
      </c>
      <c r="H4861" s="115" t="n">
        <v>15.3</v>
      </c>
      <c r="I4861" s="116" t="n">
        <v>40882</v>
      </c>
    </row>
    <row r="4862">
      <c r="A4862" s="117" t="inlineStr">
        <is>
          <t>580600</t>
        </is>
      </c>
      <c r="B4862" s="117" t="n">
        <v>12841</v>
      </c>
      <c r="C4862" s="117" t="inlineStr">
        <is>
          <t>United Kingdom</t>
        </is>
      </c>
      <c r="D4862" s="117" t="inlineStr">
        <is>
          <t>23265</t>
        </is>
      </c>
      <c r="E4862" s="117" t="inlineStr">
        <is>
          <t>SET OF 3 WOODEN TREE DECORATIONS</t>
        </is>
      </c>
      <c r="F4862" s="117" t="n">
        <v>3</v>
      </c>
      <c r="G4862" s="118" t="n">
        <v>1.25</v>
      </c>
      <c r="H4862" s="118" t="n">
        <v>3.75</v>
      </c>
      <c r="I4862" s="119" t="n">
        <v>40882</v>
      </c>
    </row>
    <row r="4863">
      <c r="A4863" s="114" t="inlineStr">
        <is>
          <t>580600</t>
        </is>
      </c>
      <c r="B4863" s="114" t="n">
        <v>12841</v>
      </c>
      <c r="C4863" s="114" t="inlineStr">
        <is>
          <t>United Kingdom</t>
        </is>
      </c>
      <c r="D4863" s="114" t="inlineStr">
        <is>
          <t>22593</t>
        </is>
      </c>
      <c r="E4863" s="114" t="inlineStr">
        <is>
          <t>CHRISTMAS GINGHAM STAR</t>
        </is>
      </c>
      <c r="F4863" s="114" t="n">
        <v>36</v>
      </c>
      <c r="G4863" s="115" t="n">
        <v>0.85</v>
      </c>
      <c r="H4863" s="115" t="n">
        <v>30.6</v>
      </c>
      <c r="I4863" s="116" t="n">
        <v>40882</v>
      </c>
    </row>
    <row r="4864">
      <c r="A4864" s="117" t="inlineStr">
        <is>
          <t>580615</t>
        </is>
      </c>
      <c r="B4864" s="117" t="n">
        <v>16873</v>
      </c>
      <c r="C4864" s="117" t="inlineStr">
        <is>
          <t>United Kingdom</t>
        </is>
      </c>
      <c r="D4864" s="117" t="inlineStr">
        <is>
          <t>23497</t>
        </is>
      </c>
      <c r="E4864" s="117" t="inlineStr">
        <is>
          <t xml:space="preserve">CLASSIC CHROME BICYCLE BELL </t>
        </is>
      </c>
      <c r="F4864" s="117" t="n">
        <v>12</v>
      </c>
      <c r="G4864" s="118" t="n">
        <v>1.45</v>
      </c>
      <c r="H4864" s="118" t="n">
        <v>17.4</v>
      </c>
      <c r="I4864" s="119" t="n">
        <v>40882</v>
      </c>
    </row>
    <row r="4865">
      <c r="A4865" s="114" t="inlineStr">
        <is>
          <t>580615</t>
        </is>
      </c>
      <c r="B4865" s="114" t="n">
        <v>16873</v>
      </c>
      <c r="C4865" s="114" t="inlineStr">
        <is>
          <t>United Kingdom</t>
        </is>
      </c>
      <c r="D4865" s="114" t="inlineStr">
        <is>
          <t>23480</t>
        </is>
      </c>
      <c r="E4865" s="114" t="inlineStr">
        <is>
          <t>MINI LIGHTS WOODLAND MUSHROOMS</t>
        </is>
      </c>
      <c r="F4865" s="114" t="n">
        <v>4</v>
      </c>
      <c r="G4865" s="115" t="n">
        <v>3.75</v>
      </c>
      <c r="H4865" s="115" t="n">
        <v>15</v>
      </c>
      <c r="I4865" s="116" t="n">
        <v>40882</v>
      </c>
    </row>
    <row r="4866">
      <c r="A4866" s="117" t="inlineStr">
        <is>
          <t>580615</t>
        </is>
      </c>
      <c r="B4866" s="117" t="n">
        <v>16873</v>
      </c>
      <c r="C4866" s="117" t="inlineStr">
        <is>
          <t>United Kingdom</t>
        </is>
      </c>
      <c r="D4866" s="117" t="inlineStr">
        <is>
          <t>21917</t>
        </is>
      </c>
      <c r="E4866" s="117" t="inlineStr">
        <is>
          <t>SET 12 KIDS  WHITE CHALK STICKS</t>
        </is>
      </c>
      <c r="F4866" s="117" t="n">
        <v>24</v>
      </c>
      <c r="G4866" s="118" t="n">
        <v>0.42</v>
      </c>
      <c r="H4866" s="118" t="n">
        <v>10.08</v>
      </c>
      <c r="I4866" s="119" t="n">
        <v>40882</v>
      </c>
    </row>
    <row r="4867">
      <c r="A4867" s="114" t="inlineStr">
        <is>
          <t>580615</t>
        </is>
      </c>
      <c r="B4867" s="114" t="n">
        <v>16873</v>
      </c>
      <c r="C4867" s="114" t="inlineStr">
        <is>
          <t>United Kingdom</t>
        </is>
      </c>
      <c r="D4867" s="114" t="inlineStr">
        <is>
          <t>21523</t>
        </is>
      </c>
      <c r="E4867" s="114" t="inlineStr">
        <is>
          <t>DOORMAT FANCY FONT HOME SWEET HOME</t>
        </is>
      </c>
      <c r="F4867" s="114" t="n">
        <v>4</v>
      </c>
      <c r="G4867" s="115" t="n">
        <v>8.25</v>
      </c>
      <c r="H4867" s="115" t="n">
        <v>33</v>
      </c>
      <c r="I4867" s="116" t="n">
        <v>40882</v>
      </c>
    </row>
    <row r="4868">
      <c r="A4868" s="117" t="inlineStr">
        <is>
          <t>580632</t>
        </is>
      </c>
      <c r="B4868" s="117" t="n">
        <v>16360</v>
      </c>
      <c r="C4868" s="117" t="inlineStr">
        <is>
          <t>United Kingdom</t>
        </is>
      </c>
      <c r="D4868" s="117" t="inlineStr">
        <is>
          <t>23197</t>
        </is>
      </c>
      <c r="E4868" s="117" t="inlineStr">
        <is>
          <t>SKETCHBOOK MAGNETIC SHOPPING LIST</t>
        </is>
      </c>
      <c r="F4868" s="117" t="n">
        <v>2</v>
      </c>
      <c r="G4868" s="118" t="n">
        <v>1.45</v>
      </c>
      <c r="H4868" s="118" t="n">
        <v>2.9</v>
      </c>
      <c r="I4868" s="119" t="n">
        <v>40882</v>
      </c>
    </row>
    <row r="4869">
      <c r="A4869" s="114" t="inlineStr">
        <is>
          <t>580633</t>
        </is>
      </c>
      <c r="B4869" s="114" t="n">
        <v>17579</v>
      </c>
      <c r="C4869" s="114" t="inlineStr">
        <is>
          <t>United Kingdom</t>
        </is>
      </c>
      <c r="D4869" s="114" t="inlineStr">
        <is>
          <t>22749</t>
        </is>
      </c>
      <c r="E4869" s="114" t="inlineStr">
        <is>
          <t>FELTCRAFT PRINCESS CHARLOTTE DOLL</t>
        </is>
      </c>
      <c r="F4869" s="114" t="n">
        <v>1</v>
      </c>
      <c r="G4869" s="115" t="n">
        <v>3.75</v>
      </c>
      <c r="H4869" s="115" t="n">
        <v>3.75</v>
      </c>
      <c r="I4869" s="116" t="n">
        <v>40882</v>
      </c>
    </row>
    <row r="4870">
      <c r="A4870" s="117" t="inlineStr">
        <is>
          <t>580635</t>
        </is>
      </c>
      <c r="B4870" s="117" t="n">
        <v>14649</v>
      </c>
      <c r="C4870" s="117" t="inlineStr">
        <is>
          <t>United Kingdom</t>
        </is>
      </c>
      <c r="D4870" s="117" t="inlineStr">
        <is>
          <t>23517</t>
        </is>
      </c>
      <c r="E4870" s="117" t="inlineStr">
        <is>
          <t xml:space="preserve">EMBROIDERED RIBBON REEL REBECCA </t>
        </is>
      </c>
      <c r="F4870" s="117" t="n">
        <v>1</v>
      </c>
      <c r="G4870" s="118" t="n">
        <v>2.89</v>
      </c>
      <c r="H4870" s="118" t="n">
        <v>2.89</v>
      </c>
      <c r="I4870" s="119" t="n">
        <v>40882</v>
      </c>
    </row>
    <row r="4871">
      <c r="A4871" s="114" t="inlineStr">
        <is>
          <t>580635</t>
        </is>
      </c>
      <c r="B4871" s="114" t="n">
        <v>14649</v>
      </c>
      <c r="C4871" s="114" t="inlineStr">
        <is>
          <t>United Kingdom</t>
        </is>
      </c>
      <c r="D4871" s="114" t="inlineStr">
        <is>
          <t>22822</t>
        </is>
      </c>
      <c r="E4871" s="114" t="inlineStr">
        <is>
          <t>CREAM WALL PLANTER HEART SHAPED</t>
        </is>
      </c>
      <c r="F4871" s="114" t="n">
        <v>1</v>
      </c>
      <c r="G4871" s="115" t="n">
        <v>5.95</v>
      </c>
      <c r="H4871" s="115" t="n">
        <v>5.95</v>
      </c>
      <c r="I4871" s="116" t="n">
        <v>40882</v>
      </c>
    </row>
    <row r="4872">
      <c r="A4872" s="117" t="inlineStr">
        <is>
          <t>580636</t>
        </is>
      </c>
      <c r="B4872" s="117" t="n">
        <v>16746</v>
      </c>
      <c r="C4872" s="117" t="inlineStr">
        <is>
          <t>United Kingdom</t>
        </is>
      </c>
      <c r="D4872" s="117" t="inlineStr">
        <is>
          <t>22220</t>
        </is>
      </c>
      <c r="E4872" s="117" t="inlineStr">
        <is>
          <t>CAKE STAND LOVEBIRD 2 TIER WHITE</t>
        </is>
      </c>
      <c r="F4872" s="117" t="n">
        <v>6</v>
      </c>
      <c r="G4872" s="118" t="n">
        <v>2.95</v>
      </c>
      <c r="H4872" s="118" t="n">
        <v>17.7</v>
      </c>
      <c r="I4872" s="119" t="n">
        <v>40882</v>
      </c>
    </row>
    <row r="4873">
      <c r="A4873" s="114" t="inlineStr">
        <is>
          <t>580640</t>
        </is>
      </c>
      <c r="B4873" s="114" t="n">
        <v>16910</v>
      </c>
      <c r="C4873" s="114" t="inlineStr">
        <is>
          <t>United Kingdom</t>
        </is>
      </c>
      <c r="D4873" s="114" t="inlineStr">
        <is>
          <t>23294</t>
        </is>
      </c>
      <c r="E4873" s="114" t="inlineStr">
        <is>
          <t>SET OF 6 SNACK LOAF BAKING CASES</t>
        </is>
      </c>
      <c r="F4873" s="114" t="n">
        <v>1</v>
      </c>
      <c r="G4873" s="115" t="n">
        <v>0.83</v>
      </c>
      <c r="H4873" s="115" t="n">
        <v>0.83</v>
      </c>
      <c r="I4873" s="116" t="n">
        <v>40882</v>
      </c>
    </row>
    <row r="4874">
      <c r="A4874" s="117" t="inlineStr">
        <is>
          <t>580640</t>
        </is>
      </c>
      <c r="B4874" s="117" t="n">
        <v>16910</v>
      </c>
      <c r="C4874" s="117" t="inlineStr">
        <is>
          <t>United Kingdom</t>
        </is>
      </c>
      <c r="D4874" s="117" t="inlineStr">
        <is>
          <t>23498</t>
        </is>
      </c>
      <c r="E4874" s="117" t="inlineStr">
        <is>
          <t xml:space="preserve">CLASSIC BICYCLE CLIPS </t>
        </is>
      </c>
      <c r="F4874" s="117" t="n">
        <v>2</v>
      </c>
      <c r="G4874" s="118" t="n">
        <v>1.45</v>
      </c>
      <c r="H4874" s="118" t="n">
        <v>2.9</v>
      </c>
      <c r="I4874" s="119" t="n">
        <v>40882</v>
      </c>
    </row>
    <row r="4875">
      <c r="A4875" s="114" t="inlineStr">
        <is>
          <t>580643</t>
        </is>
      </c>
      <c r="B4875" s="114" t="n">
        <v>14547</v>
      </c>
      <c r="C4875" s="114" t="inlineStr">
        <is>
          <t>United Kingdom</t>
        </is>
      </c>
      <c r="D4875" s="114" t="inlineStr">
        <is>
          <t>21733</t>
        </is>
      </c>
      <c r="E4875" s="114" t="inlineStr">
        <is>
          <t>RED HANGING HEART T-LIGHT HOLDER</t>
        </is>
      </c>
      <c r="F4875" s="114" t="n">
        <v>6</v>
      </c>
      <c r="G4875" s="115" t="n">
        <v>2.95</v>
      </c>
      <c r="H4875" s="115" t="n">
        <v>17.7</v>
      </c>
      <c r="I4875" s="116" t="n">
        <v>40882</v>
      </c>
    </row>
    <row r="4876">
      <c r="A4876" s="117" t="inlineStr">
        <is>
          <t>580644</t>
        </is>
      </c>
      <c r="B4876" s="117" t="n">
        <v>16904</v>
      </c>
      <c r="C4876" s="117" t="inlineStr">
        <is>
          <t>United Kingdom</t>
        </is>
      </c>
      <c r="D4876" s="117" t="inlineStr">
        <is>
          <t>84077</t>
        </is>
      </c>
      <c r="E4876" s="117" t="inlineStr">
        <is>
          <t>WORLD WAR 2 GLIDERS ASSTD DESIGNS</t>
        </is>
      </c>
      <c r="F4876" s="117" t="n">
        <v>48</v>
      </c>
      <c r="G4876" s="118" t="n">
        <v>0.29</v>
      </c>
      <c r="H4876" s="118" t="n">
        <v>13.92</v>
      </c>
      <c r="I4876" s="119" t="n">
        <v>40882</v>
      </c>
    </row>
    <row r="4877">
      <c r="A4877" s="114" t="inlineStr">
        <is>
          <t>580650</t>
        </is>
      </c>
      <c r="B4877" s="114" t="n">
        <v>14401</v>
      </c>
      <c r="C4877" s="114" t="inlineStr">
        <is>
          <t>United Kingdom</t>
        </is>
      </c>
      <c r="D4877" s="114" t="inlineStr">
        <is>
          <t>22500</t>
        </is>
      </c>
      <c r="E4877" s="114" t="inlineStr">
        <is>
          <t>SET OF 2 TINS JARDIN DE PROVENCE</t>
        </is>
      </c>
      <c r="F4877" s="114" t="n">
        <v>6</v>
      </c>
      <c r="G4877" s="115" t="n">
        <v>1.25</v>
      </c>
      <c r="H4877" s="115" t="n">
        <v>7.5</v>
      </c>
      <c r="I4877" s="116" t="n">
        <v>40882</v>
      </c>
    </row>
    <row r="4878">
      <c r="A4878" s="117" t="inlineStr">
        <is>
          <t>580651</t>
        </is>
      </c>
      <c r="B4878" s="117" t="n">
        <v>16851</v>
      </c>
      <c r="C4878" s="117" t="inlineStr">
        <is>
          <t>United Kingdom</t>
        </is>
      </c>
      <c r="D4878" s="117" t="inlineStr">
        <is>
          <t>23298</t>
        </is>
      </c>
      <c r="E4878" s="117" t="inlineStr">
        <is>
          <t>SPOTTY BUNTING</t>
        </is>
      </c>
      <c r="F4878" s="117" t="n">
        <v>3</v>
      </c>
      <c r="G4878" s="118" t="n">
        <v>4.95</v>
      </c>
      <c r="H4878" s="118" t="n">
        <v>14.85</v>
      </c>
      <c r="I4878" s="119" t="n">
        <v>40882</v>
      </c>
    </row>
    <row r="4879">
      <c r="A4879" s="114" t="inlineStr">
        <is>
          <t>580654</t>
        </is>
      </c>
      <c r="B4879" s="114" t="n">
        <v>15854</v>
      </c>
      <c r="C4879" s="114" t="inlineStr">
        <is>
          <t>United Kingdom</t>
        </is>
      </c>
      <c r="D4879" s="114" t="inlineStr">
        <is>
          <t>23220</t>
        </is>
      </c>
      <c r="E4879" s="114" t="inlineStr">
        <is>
          <t>REINDEER HEART DECORATION GOLD</t>
        </is>
      </c>
      <c r="F4879" s="114" t="n">
        <v>2</v>
      </c>
      <c r="G4879" s="115" t="n">
        <v>0.83</v>
      </c>
      <c r="H4879" s="115" t="n">
        <v>1.66</v>
      </c>
      <c r="I4879" s="116" t="n">
        <v>40882</v>
      </c>
    </row>
    <row r="4880">
      <c r="A4880" s="117" t="inlineStr">
        <is>
          <t>580660</t>
        </is>
      </c>
      <c r="B4880" s="117" t="n">
        <v>16592</v>
      </c>
      <c r="C4880" s="117" t="inlineStr">
        <is>
          <t>United Kingdom</t>
        </is>
      </c>
      <c r="D4880" s="117" t="inlineStr">
        <is>
          <t>22577</t>
        </is>
      </c>
      <c r="E4880" s="117" t="inlineStr">
        <is>
          <t>WOODEN HEART CHRISTMAS SCANDINAVIAN</t>
        </is>
      </c>
      <c r="F4880" s="117" t="n">
        <v>12</v>
      </c>
      <c r="G4880" s="118" t="n">
        <v>0.85</v>
      </c>
      <c r="H4880" s="118" t="n">
        <v>10.2</v>
      </c>
      <c r="I4880" s="119" t="n">
        <v>40882</v>
      </c>
    </row>
    <row r="4881">
      <c r="A4881" s="114" t="inlineStr">
        <is>
          <t>580664</t>
        </is>
      </c>
      <c r="B4881" s="114" t="n">
        <v>15097</v>
      </c>
      <c r="C4881" s="114" t="inlineStr">
        <is>
          <t>United Kingdom</t>
        </is>
      </c>
      <c r="D4881" s="114" t="inlineStr">
        <is>
          <t>22791</t>
        </is>
      </c>
      <c r="E4881" s="114" t="inlineStr">
        <is>
          <t>T-LIGHT GLASS FLUTED ANTIQUE</t>
        </is>
      </c>
      <c r="F4881" s="114" t="n">
        <v>12</v>
      </c>
      <c r="G4881" s="115" t="n">
        <v>1.25</v>
      </c>
      <c r="H4881" s="115" t="n">
        <v>15</v>
      </c>
      <c r="I4881" s="116" t="n">
        <v>40882</v>
      </c>
    </row>
    <row r="4882">
      <c r="A4882" s="117" t="inlineStr">
        <is>
          <t>580671</t>
        </is>
      </c>
      <c r="B4882" s="117" t="n">
        <v>15159</v>
      </c>
      <c r="C4882" s="117" t="inlineStr">
        <is>
          <t>United Kingdom</t>
        </is>
      </c>
      <c r="D4882" s="117" t="inlineStr">
        <is>
          <t>22343</t>
        </is>
      </c>
      <c r="E4882" s="117" t="inlineStr">
        <is>
          <t>PARTY PIZZA DISH RED RETROSPOT</t>
        </is>
      </c>
      <c r="F4882" s="117" t="n">
        <v>24</v>
      </c>
      <c r="G4882" s="118" t="n">
        <v>0.19</v>
      </c>
      <c r="H4882" s="118" t="n">
        <v>4.56</v>
      </c>
      <c r="I4882" s="119" t="n">
        <v>40882</v>
      </c>
    </row>
    <row r="4883">
      <c r="A4883" s="114" t="inlineStr">
        <is>
          <t>580672</t>
        </is>
      </c>
      <c r="B4883" s="114" t="n">
        <v>17920</v>
      </c>
      <c r="C4883" s="114" t="inlineStr">
        <is>
          <t>United Kingdom</t>
        </is>
      </c>
      <c r="D4883" s="114" t="inlineStr">
        <is>
          <t>22544</t>
        </is>
      </c>
      <c r="E4883" s="114" t="inlineStr">
        <is>
          <t>MINI JIGSAW SPACEBOY</t>
        </is>
      </c>
      <c r="F4883" s="114" t="n">
        <v>3</v>
      </c>
      <c r="G4883" s="115" t="n">
        <v>0.19</v>
      </c>
      <c r="H4883" s="115" t="n">
        <v>0.57</v>
      </c>
      <c r="I4883" s="116" t="n">
        <v>40882</v>
      </c>
    </row>
    <row r="4884">
      <c r="A4884" s="117" t="inlineStr">
        <is>
          <t>580672</t>
        </is>
      </c>
      <c r="B4884" s="117" t="n">
        <v>17920</v>
      </c>
      <c r="C4884" s="117" t="inlineStr">
        <is>
          <t>United Kingdom</t>
        </is>
      </c>
      <c r="D4884" s="117" t="inlineStr">
        <is>
          <t>22721</t>
        </is>
      </c>
      <c r="E4884" s="117" t="inlineStr">
        <is>
          <t>SET OF 3 CAKE TINS SKETCHBOOK</t>
        </is>
      </c>
      <c r="F4884" s="117" t="n">
        <v>3</v>
      </c>
      <c r="G4884" s="118" t="n">
        <v>1.95</v>
      </c>
      <c r="H4884" s="118" t="n">
        <v>5.85</v>
      </c>
      <c r="I4884" s="119" t="n">
        <v>40882</v>
      </c>
    </row>
    <row r="4885">
      <c r="A4885" s="114" t="inlineStr">
        <is>
          <t>580672</t>
        </is>
      </c>
      <c r="B4885" s="114" t="n">
        <v>17920</v>
      </c>
      <c r="C4885" s="114" t="inlineStr">
        <is>
          <t>United Kingdom</t>
        </is>
      </c>
      <c r="D4885" s="114" t="inlineStr">
        <is>
          <t>22472</t>
        </is>
      </c>
      <c r="E4885" s="114" t="inlineStr">
        <is>
          <t>TV DINNER TRAY DOLLY GIRL</t>
        </is>
      </c>
      <c r="F4885" s="114" t="n">
        <v>1</v>
      </c>
      <c r="G4885" s="115" t="n">
        <v>1.95</v>
      </c>
      <c r="H4885" s="115" t="n">
        <v>1.95</v>
      </c>
      <c r="I4885" s="116" t="n">
        <v>40882</v>
      </c>
    </row>
    <row r="4886">
      <c r="A4886" s="117" t="inlineStr">
        <is>
          <t>580672</t>
        </is>
      </c>
      <c r="B4886" s="117" t="n">
        <v>17920</v>
      </c>
      <c r="C4886" s="117" t="inlineStr">
        <is>
          <t>United Kingdom</t>
        </is>
      </c>
      <c r="D4886" s="117" t="inlineStr">
        <is>
          <t>23077</t>
        </is>
      </c>
      <c r="E4886" s="117" t="inlineStr">
        <is>
          <t xml:space="preserve">DOUGHNUT LIP GLOSS </t>
        </is>
      </c>
      <c r="F4886" s="117" t="n">
        <v>20</v>
      </c>
      <c r="G4886" s="118" t="n">
        <v>1.25</v>
      </c>
      <c r="H4886" s="118" t="n">
        <v>25</v>
      </c>
      <c r="I4886" s="119" t="n">
        <v>40882</v>
      </c>
    </row>
    <row r="4887">
      <c r="A4887" s="114" t="inlineStr">
        <is>
          <t>580673</t>
        </is>
      </c>
      <c r="B4887" s="114" t="n">
        <v>13089</v>
      </c>
      <c r="C4887" s="114" t="inlineStr">
        <is>
          <t>United Kingdom</t>
        </is>
      </c>
      <c r="D4887" s="114" t="inlineStr">
        <is>
          <t>23370</t>
        </is>
      </c>
      <c r="E4887" s="114" t="inlineStr">
        <is>
          <t>SET 36 COLOURING PENCILS DOILY</t>
        </is>
      </c>
      <c r="F4887" s="114" t="n">
        <v>16</v>
      </c>
      <c r="G4887" s="115" t="n">
        <v>1.25</v>
      </c>
      <c r="H4887" s="115" t="n">
        <v>20</v>
      </c>
      <c r="I4887" s="116" t="n">
        <v>40882</v>
      </c>
    </row>
    <row r="4888">
      <c r="A4888" s="117" t="inlineStr">
        <is>
          <t>580673</t>
        </is>
      </c>
      <c r="B4888" s="117" t="n">
        <v>13089</v>
      </c>
      <c r="C4888" s="117" t="inlineStr">
        <is>
          <t>United Kingdom</t>
        </is>
      </c>
      <c r="D4888" s="117" t="inlineStr">
        <is>
          <t>20726</t>
        </is>
      </c>
      <c r="E4888" s="117" t="inlineStr">
        <is>
          <t>LUNCH BAG WOODLAND</t>
        </is>
      </c>
      <c r="F4888" s="117" t="n">
        <v>20</v>
      </c>
      <c r="G4888" s="118" t="n">
        <v>1.65</v>
      </c>
      <c r="H4888" s="118" t="n">
        <v>33</v>
      </c>
      <c r="I4888" s="119" t="n">
        <v>40882</v>
      </c>
    </row>
    <row r="4889">
      <c r="A4889" s="114" t="inlineStr">
        <is>
          <t>580673</t>
        </is>
      </c>
      <c r="B4889" s="114" t="n">
        <v>13089</v>
      </c>
      <c r="C4889" s="114" t="inlineStr">
        <is>
          <t>United Kingdom</t>
        </is>
      </c>
      <c r="D4889" s="114" t="inlineStr">
        <is>
          <t>21166</t>
        </is>
      </c>
      <c r="E4889" s="114" t="inlineStr">
        <is>
          <t xml:space="preserve">COOK WITH WINE METAL SIGN </t>
        </is>
      </c>
      <c r="F4889" s="114" t="n">
        <v>12</v>
      </c>
      <c r="G4889" s="115" t="n">
        <v>2.08</v>
      </c>
      <c r="H4889" s="115" t="n">
        <v>24.96</v>
      </c>
      <c r="I4889" s="116" t="n">
        <v>40882</v>
      </c>
    </row>
    <row r="4890">
      <c r="A4890" s="117" t="inlineStr">
        <is>
          <t>580675</t>
        </is>
      </c>
      <c r="B4890" s="117" t="n">
        <v>15640</v>
      </c>
      <c r="C4890" s="117" t="inlineStr">
        <is>
          <t>United Kingdom</t>
        </is>
      </c>
      <c r="D4890" s="117" t="inlineStr">
        <is>
          <t>21210</t>
        </is>
      </c>
      <c r="E4890" s="117" t="inlineStr">
        <is>
          <t>SET OF 72 RETROSPOT PAPER  DOILIES</t>
        </is>
      </c>
      <c r="F4890" s="117" t="n">
        <v>12</v>
      </c>
      <c r="G4890" s="118" t="n">
        <v>1.45</v>
      </c>
      <c r="H4890" s="118" t="n">
        <v>17.4</v>
      </c>
      <c r="I4890" s="119" t="n">
        <v>40882</v>
      </c>
    </row>
    <row r="4891">
      <c r="A4891" s="114" t="inlineStr">
        <is>
          <t>580675</t>
        </is>
      </c>
      <c r="B4891" s="114" t="n">
        <v>15640</v>
      </c>
      <c r="C4891" s="114" t="inlineStr">
        <is>
          <t>United Kingdom</t>
        </is>
      </c>
      <c r="D4891" s="114" t="inlineStr">
        <is>
          <t>23552</t>
        </is>
      </c>
      <c r="E4891" s="114" t="inlineStr">
        <is>
          <t xml:space="preserve">BICYCLE PUNCTURE REPAIR KIT </t>
        </is>
      </c>
      <c r="F4891" s="114" t="n">
        <v>12</v>
      </c>
      <c r="G4891" s="115" t="n">
        <v>2.08</v>
      </c>
      <c r="H4891" s="115" t="n">
        <v>24.96</v>
      </c>
      <c r="I4891" s="116" t="n">
        <v>40882</v>
      </c>
    </row>
    <row r="4892">
      <c r="A4892" s="117" t="inlineStr">
        <is>
          <t>580680</t>
        </is>
      </c>
      <c r="B4892" s="117" t="n">
        <v>13001</v>
      </c>
      <c r="C4892" s="117" t="inlineStr">
        <is>
          <t>United Kingdom</t>
        </is>
      </c>
      <c r="D4892" s="117" t="inlineStr">
        <is>
          <t>21164</t>
        </is>
      </c>
      <c r="E4892" s="117" t="inlineStr">
        <is>
          <t xml:space="preserve">HOME SWEET HOME METAL SIGN </t>
        </is>
      </c>
      <c r="F4892" s="117" t="n">
        <v>6</v>
      </c>
      <c r="G4892" s="118" t="n">
        <v>2.95</v>
      </c>
      <c r="H4892" s="118" t="n">
        <v>17.7</v>
      </c>
      <c r="I4892" s="119" t="n">
        <v>40882</v>
      </c>
    </row>
    <row r="4893">
      <c r="A4893" s="114" t="inlineStr">
        <is>
          <t>580691</t>
        </is>
      </c>
      <c r="B4893" s="114" t="n">
        <v>13790</v>
      </c>
      <c r="C4893" s="114" t="inlineStr">
        <is>
          <t>United Kingdom</t>
        </is>
      </c>
      <c r="D4893" s="114" t="inlineStr">
        <is>
          <t>22609</t>
        </is>
      </c>
      <c r="E4893" s="114" t="inlineStr">
        <is>
          <t>PENS ASSORTED SPACEBALL</t>
        </is>
      </c>
      <c r="F4893" s="114" t="n">
        <v>36</v>
      </c>
      <c r="G4893" s="115" t="n">
        <v>0.19</v>
      </c>
      <c r="H4893" s="115" t="n">
        <v>6.84</v>
      </c>
      <c r="I4893" s="116" t="n">
        <v>40882</v>
      </c>
    </row>
    <row r="4894">
      <c r="A4894" s="117" t="inlineStr">
        <is>
          <t>580695</t>
        </is>
      </c>
      <c r="B4894" s="117" t="n">
        <v>13230</v>
      </c>
      <c r="C4894" s="117" t="inlineStr">
        <is>
          <t>United Kingdom</t>
        </is>
      </c>
      <c r="D4894" s="117" t="inlineStr">
        <is>
          <t>22196</t>
        </is>
      </c>
      <c r="E4894" s="117" t="inlineStr">
        <is>
          <t>SMALL HEART MEASURING SPOONS</t>
        </is>
      </c>
      <c r="F4894" s="117" t="n">
        <v>3</v>
      </c>
      <c r="G4894" s="118" t="n">
        <v>0.85</v>
      </c>
      <c r="H4894" s="118" t="n">
        <v>2.55</v>
      </c>
      <c r="I4894" s="119" t="n">
        <v>40882</v>
      </c>
    </row>
    <row r="4895">
      <c r="A4895" s="114" t="inlineStr">
        <is>
          <t>580695</t>
        </is>
      </c>
      <c r="B4895" s="114" t="n">
        <v>13230</v>
      </c>
      <c r="C4895" s="114" t="inlineStr">
        <is>
          <t>United Kingdom</t>
        </is>
      </c>
      <c r="D4895" s="114" t="inlineStr">
        <is>
          <t>23265</t>
        </is>
      </c>
      <c r="E4895" s="114" t="inlineStr">
        <is>
          <t>SET OF 3 WOODEN TREE DECORATIONS</t>
        </is>
      </c>
      <c r="F4895" s="114" t="n">
        <v>1</v>
      </c>
      <c r="G4895" s="115" t="n">
        <v>1.25</v>
      </c>
      <c r="H4895" s="115" t="n">
        <v>1.25</v>
      </c>
      <c r="I4895" s="116" t="n">
        <v>40882</v>
      </c>
    </row>
    <row r="4896">
      <c r="A4896" s="117" t="inlineStr">
        <is>
          <t>580696</t>
        </is>
      </c>
      <c r="B4896" s="117" t="n">
        <v>17757</v>
      </c>
      <c r="C4896" s="117" t="inlineStr">
        <is>
          <t>United Kingdom</t>
        </is>
      </c>
      <c r="D4896" s="117" t="inlineStr">
        <is>
          <t>47566</t>
        </is>
      </c>
      <c r="E4896" s="117" t="inlineStr">
        <is>
          <t>PARTY BUNTING</t>
        </is>
      </c>
      <c r="F4896" s="117" t="n">
        <v>2</v>
      </c>
      <c r="G4896" s="118" t="n">
        <v>4.95</v>
      </c>
      <c r="H4896" s="118" t="n">
        <v>9.9</v>
      </c>
      <c r="I4896" s="119" t="n">
        <v>40882</v>
      </c>
    </row>
    <row r="4897">
      <c r="A4897" s="114" t="inlineStr">
        <is>
          <t>580697</t>
        </is>
      </c>
      <c r="B4897" s="114" t="n">
        <v>15984</v>
      </c>
      <c r="C4897" s="114" t="inlineStr">
        <is>
          <t>United Kingdom</t>
        </is>
      </c>
      <c r="D4897" s="114" t="inlineStr">
        <is>
          <t>22642</t>
        </is>
      </c>
      <c r="E4897" s="114" t="inlineStr">
        <is>
          <t xml:space="preserve">SET OF 4 NAPKIN CHARMS STARS   </t>
        </is>
      </c>
      <c r="F4897" s="114" t="n">
        <v>3</v>
      </c>
      <c r="G4897" s="115" t="n">
        <v>0.79</v>
      </c>
      <c r="H4897" s="115" t="n">
        <v>2.37</v>
      </c>
      <c r="I4897" s="116" t="n">
        <v>40882</v>
      </c>
    </row>
    <row r="4898">
      <c r="A4898" s="117" t="inlineStr">
        <is>
          <t>580697</t>
        </is>
      </c>
      <c r="B4898" s="117" t="n">
        <v>15984</v>
      </c>
      <c r="C4898" s="117" t="inlineStr">
        <is>
          <t>United Kingdom</t>
        </is>
      </c>
      <c r="D4898" s="117" t="inlineStr">
        <is>
          <t>22642</t>
        </is>
      </c>
      <c r="E4898" s="117" t="inlineStr">
        <is>
          <t xml:space="preserve">SET OF 4 NAPKIN CHARMS STARS   </t>
        </is>
      </c>
      <c r="F4898" s="117" t="n">
        <v>1</v>
      </c>
      <c r="G4898" s="118" t="n">
        <v>0.79</v>
      </c>
      <c r="H4898" s="118" t="n">
        <v>0.79</v>
      </c>
      <c r="I4898" s="119" t="n">
        <v>40882</v>
      </c>
    </row>
    <row r="4899">
      <c r="A4899" s="114" t="inlineStr">
        <is>
          <t>580720</t>
        </is>
      </c>
      <c r="B4899" s="114" t="n">
        <v>14629</v>
      </c>
      <c r="C4899" s="114" t="inlineStr">
        <is>
          <t>United Kingdom</t>
        </is>
      </c>
      <c r="D4899" s="114" t="inlineStr">
        <is>
          <t>23503</t>
        </is>
      </c>
      <c r="E4899" s="114" t="inlineStr">
        <is>
          <t>PLAYING CARDS KEEP CALM &amp; CARRY ON</t>
        </is>
      </c>
      <c r="F4899" s="114" t="n">
        <v>6</v>
      </c>
      <c r="G4899" s="115" t="n">
        <v>1.25</v>
      </c>
      <c r="H4899" s="115" t="n">
        <v>7.5</v>
      </c>
      <c r="I4899" s="116" t="n">
        <v>40882</v>
      </c>
    </row>
    <row r="4900">
      <c r="A4900" s="117" t="inlineStr">
        <is>
          <t>580723</t>
        </is>
      </c>
      <c r="B4900" s="117" t="n">
        <v>15856</v>
      </c>
      <c r="C4900" s="117" t="inlineStr">
        <is>
          <t>United Kingdom</t>
        </is>
      </c>
      <c r="D4900" s="117" t="inlineStr">
        <is>
          <t>23350</t>
        </is>
      </c>
      <c r="E4900" s="117" t="inlineStr">
        <is>
          <t xml:space="preserve">ROLL WRAP VINTAGE SPOT </t>
        </is>
      </c>
      <c r="F4900" s="117" t="n">
        <v>1</v>
      </c>
      <c r="G4900" s="118" t="n">
        <v>1.25</v>
      </c>
      <c r="H4900" s="118" t="n">
        <v>1.25</v>
      </c>
      <c r="I4900" s="119" t="n">
        <v>40882</v>
      </c>
    </row>
    <row r="4901">
      <c r="A4901" s="114" t="inlineStr">
        <is>
          <t>580727</t>
        </is>
      </c>
      <c r="B4901" s="114" t="n">
        <v>14096</v>
      </c>
      <c r="C4901" s="114" t="inlineStr">
        <is>
          <t>United Kingdom</t>
        </is>
      </c>
      <c r="D4901" s="114" t="inlineStr">
        <is>
          <t>23129</t>
        </is>
      </c>
      <c r="E4901" s="114" t="inlineStr">
        <is>
          <t>HEART SHAPED HOLLY WREATH</t>
        </is>
      </c>
      <c r="F4901" s="114" t="n">
        <v>2</v>
      </c>
      <c r="G4901" s="115" t="n">
        <v>8.289999999999999</v>
      </c>
      <c r="H4901" s="115" t="n">
        <v>16.58</v>
      </c>
      <c r="I4901" s="116" t="n">
        <v>40882</v>
      </c>
    </row>
    <row r="4902">
      <c r="A4902" s="117" t="inlineStr">
        <is>
          <t>580727</t>
        </is>
      </c>
      <c r="B4902" s="117" t="n">
        <v>14096</v>
      </c>
      <c r="C4902" s="117" t="inlineStr">
        <is>
          <t>United Kingdom</t>
        </is>
      </c>
      <c r="D4902" s="117" t="inlineStr">
        <is>
          <t>22075</t>
        </is>
      </c>
      <c r="E4902" s="117" t="inlineStr">
        <is>
          <t xml:space="preserve">6 RIBBONS ELEGANT CHRISTMAS </t>
        </is>
      </c>
      <c r="F4902" s="117" t="n">
        <v>5</v>
      </c>
      <c r="G4902" s="118" t="n">
        <v>3.29</v>
      </c>
      <c r="H4902" s="118" t="n">
        <v>16.45</v>
      </c>
      <c r="I4902" s="119" t="n">
        <v>40882</v>
      </c>
    </row>
    <row r="4903">
      <c r="A4903" s="114" t="inlineStr">
        <is>
          <t>580728</t>
        </is>
      </c>
      <c r="B4903" s="114" t="n">
        <v>15145</v>
      </c>
      <c r="C4903" s="114" t="inlineStr">
        <is>
          <t>United Kingdom</t>
        </is>
      </c>
      <c r="D4903" s="114" t="inlineStr">
        <is>
          <t>22633</t>
        </is>
      </c>
      <c r="E4903" s="114" t="inlineStr">
        <is>
          <t>HAND WARMER UNION JACK</t>
        </is>
      </c>
      <c r="F4903" s="114" t="n">
        <v>12</v>
      </c>
      <c r="G4903" s="115" t="n">
        <v>2.1</v>
      </c>
      <c r="H4903" s="115" t="n">
        <v>25.2</v>
      </c>
      <c r="I4903" s="116" t="n">
        <v>40882</v>
      </c>
    </row>
    <row r="4904">
      <c r="A4904" s="117" t="inlineStr">
        <is>
          <t>580728</t>
        </is>
      </c>
      <c r="B4904" s="117" t="n">
        <v>15145</v>
      </c>
      <c r="C4904" s="117" t="inlineStr">
        <is>
          <t>United Kingdom</t>
        </is>
      </c>
      <c r="D4904" s="117" t="inlineStr">
        <is>
          <t>21889</t>
        </is>
      </c>
      <c r="E4904" s="117" t="inlineStr">
        <is>
          <t>WOODEN BOX OF DOMINOES</t>
        </is>
      </c>
      <c r="F4904" s="117" t="n">
        <v>12</v>
      </c>
      <c r="G4904" s="118" t="n">
        <v>1.25</v>
      </c>
      <c r="H4904" s="118" t="n">
        <v>15</v>
      </c>
      <c r="I4904" s="119" t="n">
        <v>40882</v>
      </c>
    </row>
    <row r="4905">
      <c r="A4905" s="114" t="inlineStr">
        <is>
          <t>580731</t>
        </is>
      </c>
      <c r="B4905" s="114" t="n">
        <v>17383</v>
      </c>
      <c r="C4905" s="114" t="inlineStr">
        <is>
          <t>United Kingdom</t>
        </is>
      </c>
      <c r="D4905" s="114" t="inlineStr">
        <is>
          <t>85096</t>
        </is>
      </c>
      <c r="E4905" s="114" t="inlineStr">
        <is>
          <t>HILDA CANDY SPOT RABBIT</t>
        </is>
      </c>
      <c r="F4905" s="114" t="n">
        <v>1</v>
      </c>
      <c r="G4905" s="115" t="n">
        <v>3.75</v>
      </c>
      <c r="H4905" s="115" t="n">
        <v>3.75</v>
      </c>
      <c r="I4905" s="116" t="n">
        <v>40882</v>
      </c>
    </row>
    <row r="4906">
      <c r="A4906" s="117" t="inlineStr">
        <is>
          <t>580735</t>
        </is>
      </c>
      <c r="B4906" s="117" t="n">
        <v>17728</v>
      </c>
      <c r="C4906" s="117" t="inlineStr">
        <is>
          <t>United Kingdom</t>
        </is>
      </c>
      <c r="D4906" s="117" t="inlineStr">
        <is>
          <t>22273</t>
        </is>
      </c>
      <c r="E4906" s="117" t="inlineStr">
        <is>
          <t>FELTCRAFT DOLL MOLLY</t>
        </is>
      </c>
      <c r="F4906" s="117" t="n">
        <v>6</v>
      </c>
      <c r="G4906" s="118" t="n">
        <v>2.95</v>
      </c>
      <c r="H4906" s="118" t="n">
        <v>17.7</v>
      </c>
      <c r="I4906" s="119" t="n">
        <v>40883</v>
      </c>
    </row>
    <row r="4907">
      <c r="A4907" s="114" t="inlineStr">
        <is>
          <t>580736</t>
        </is>
      </c>
      <c r="B4907" s="114" t="n">
        <v>12716</v>
      </c>
      <c r="C4907" s="114" t="inlineStr">
        <is>
          <t>France</t>
        </is>
      </c>
      <c r="D4907" s="114" t="inlineStr">
        <is>
          <t>21707</t>
        </is>
      </c>
      <c r="E4907" s="114" t="inlineStr">
        <is>
          <t>FOLDING UMBRELLA BLACKBLUE POLKADOT</t>
        </is>
      </c>
      <c r="F4907" s="114" t="n">
        <v>4</v>
      </c>
      <c r="G4907" s="115" t="n">
        <v>4.95</v>
      </c>
      <c r="H4907" s="115" t="n">
        <v>19.8</v>
      </c>
      <c r="I4907" s="116" t="n">
        <v>40883</v>
      </c>
    </row>
    <row r="4908">
      <c r="A4908" s="117" t="inlineStr">
        <is>
          <t>580744</t>
        </is>
      </c>
      <c r="B4908" s="117" t="n">
        <v>13694</v>
      </c>
      <c r="C4908" s="117" t="inlineStr">
        <is>
          <t>United Kingdom</t>
        </is>
      </c>
      <c r="D4908" s="117" t="inlineStr">
        <is>
          <t>22210</t>
        </is>
      </c>
      <c r="E4908" s="117" t="inlineStr">
        <is>
          <t>WOOD STAMP SET BEST WISHES</t>
        </is>
      </c>
      <c r="F4908" s="117" t="n">
        <v>60</v>
      </c>
      <c r="G4908" s="118" t="n">
        <v>0.83</v>
      </c>
      <c r="H4908" s="118" t="n">
        <v>49.8</v>
      </c>
      <c r="I4908" s="119" t="n">
        <v>40883</v>
      </c>
    </row>
    <row r="4909">
      <c r="A4909" s="114" t="inlineStr">
        <is>
          <t>580745</t>
        </is>
      </c>
      <c r="B4909" s="114" t="n">
        <v>13694</v>
      </c>
      <c r="C4909" s="114" t="inlineStr">
        <is>
          <t>United Kingdom</t>
        </is>
      </c>
      <c r="D4909" s="114" t="inlineStr">
        <is>
          <t>23681</t>
        </is>
      </c>
      <c r="E4909" s="114" t="inlineStr">
        <is>
          <t>LUNCH BAG RED VINTAGE DOILY</t>
        </is>
      </c>
      <c r="F4909" s="114" t="n">
        <v>100</v>
      </c>
      <c r="G4909" s="115" t="n">
        <v>1.45</v>
      </c>
      <c r="H4909" s="115" t="n">
        <v>145</v>
      </c>
      <c r="I4909" s="116" t="n">
        <v>40883</v>
      </c>
    </row>
    <row r="4910">
      <c r="A4910" s="117" t="inlineStr">
        <is>
          <t>580753</t>
        </is>
      </c>
      <c r="B4910" s="117" t="n">
        <v>12682</v>
      </c>
      <c r="C4910" s="117" t="inlineStr">
        <is>
          <t>France</t>
        </is>
      </c>
      <c r="D4910" s="117" t="inlineStr">
        <is>
          <t>21212</t>
        </is>
      </c>
      <c r="E4910" s="117" t="inlineStr">
        <is>
          <t>PACK OF 72 RETROSPOT CAKE CASES</t>
        </is>
      </c>
      <c r="F4910" s="117" t="n">
        <v>24</v>
      </c>
      <c r="G4910" s="118" t="n">
        <v>0.55</v>
      </c>
      <c r="H4910" s="118" t="n">
        <v>13.2</v>
      </c>
      <c r="I4910" s="119" t="n">
        <v>40883</v>
      </c>
    </row>
    <row r="4911">
      <c r="A4911" s="114" t="inlineStr">
        <is>
          <t>580757</t>
        </is>
      </c>
      <c r="B4911" s="114" t="n">
        <v>13709</v>
      </c>
      <c r="C4911" s="114" t="inlineStr">
        <is>
          <t>United Kingdom</t>
        </is>
      </c>
      <c r="D4911" s="114" t="inlineStr">
        <is>
          <t>22083</t>
        </is>
      </c>
      <c r="E4911" s="114" t="inlineStr">
        <is>
          <t>PAPER CHAIN KIT RETROSPOT</t>
        </is>
      </c>
      <c r="F4911" s="114" t="n">
        <v>6</v>
      </c>
      <c r="G4911" s="115" t="n">
        <v>2.95</v>
      </c>
      <c r="H4911" s="115" t="n">
        <v>17.7</v>
      </c>
      <c r="I4911" s="116" t="n">
        <v>40883</v>
      </c>
    </row>
    <row r="4912">
      <c r="A4912" s="117" t="inlineStr">
        <is>
          <t>580759</t>
        </is>
      </c>
      <c r="B4912" s="117" t="n">
        <v>17593</v>
      </c>
      <c r="C4912" s="117" t="inlineStr">
        <is>
          <t>United Kingdom</t>
        </is>
      </c>
      <c r="D4912" s="117" t="inlineStr">
        <is>
          <t>84817</t>
        </is>
      </c>
      <c r="E4912" s="117" t="inlineStr">
        <is>
          <t>DANISH ROSE DECORATIVE PLATE</t>
        </is>
      </c>
      <c r="F4912" s="117" t="n">
        <v>24</v>
      </c>
      <c r="G4912" s="118" t="n">
        <v>0.39</v>
      </c>
      <c r="H4912" s="118" t="n">
        <v>9.359999999999999</v>
      </c>
      <c r="I4912" s="119" t="n">
        <v>40883</v>
      </c>
    </row>
    <row r="4913">
      <c r="A4913" s="114" t="inlineStr">
        <is>
          <t>580776</t>
        </is>
      </c>
      <c r="B4913" s="114" t="n">
        <v>14562</v>
      </c>
      <c r="C4913" s="114" t="inlineStr">
        <is>
          <t>United Kingdom</t>
        </is>
      </c>
      <c r="D4913" s="114" t="inlineStr">
        <is>
          <t>22434</t>
        </is>
      </c>
      <c r="E4913" s="114" t="inlineStr">
        <is>
          <t>BALLOON PUMP WITH 10 BALLOONS</t>
        </is>
      </c>
      <c r="F4913" s="114" t="n">
        <v>1</v>
      </c>
      <c r="G4913" s="115" t="n">
        <v>1.95</v>
      </c>
      <c r="H4913" s="115" t="n">
        <v>1.95</v>
      </c>
      <c r="I4913" s="116" t="n">
        <v>40883</v>
      </c>
    </row>
    <row r="4914">
      <c r="A4914" s="117" t="inlineStr">
        <is>
          <t>580831</t>
        </is>
      </c>
      <c r="B4914" s="117" t="n">
        <v>14418</v>
      </c>
      <c r="C4914" s="117" t="inlineStr">
        <is>
          <t>United Kingdom</t>
        </is>
      </c>
      <c r="D4914" s="117" t="inlineStr">
        <is>
          <t>23309</t>
        </is>
      </c>
      <c r="E4914" s="117" t="inlineStr">
        <is>
          <t xml:space="preserve">SET OF 60 I LOVE LONDON CAKE CASES </t>
        </is>
      </c>
      <c r="F4914" s="117" t="n">
        <v>24</v>
      </c>
      <c r="G4914" s="118" t="n">
        <v>0.55</v>
      </c>
      <c r="H4914" s="118" t="n">
        <v>13.2</v>
      </c>
      <c r="I4914" s="119" t="n">
        <v>40883</v>
      </c>
    </row>
    <row r="4915">
      <c r="A4915" s="114" t="inlineStr">
        <is>
          <t>580831</t>
        </is>
      </c>
      <c r="B4915" s="114" t="n">
        <v>14418</v>
      </c>
      <c r="C4915" s="114" t="inlineStr">
        <is>
          <t>United Kingdom</t>
        </is>
      </c>
      <c r="D4915" s="114" t="inlineStr">
        <is>
          <t>22199</t>
        </is>
      </c>
      <c r="E4915" s="114" t="inlineStr">
        <is>
          <t>FRYING PAN RED RETROSPOT</t>
        </is>
      </c>
      <c r="F4915" s="114" t="n">
        <v>6</v>
      </c>
      <c r="G4915" s="115" t="n">
        <v>1.25</v>
      </c>
      <c r="H4915" s="115" t="n">
        <v>7.5</v>
      </c>
      <c r="I4915" s="116" t="n">
        <v>40883</v>
      </c>
    </row>
    <row r="4916">
      <c r="A4916" s="117" t="inlineStr">
        <is>
          <t>580833</t>
        </is>
      </c>
      <c r="B4916" s="117" t="n">
        <v>16764</v>
      </c>
      <c r="C4916" s="117" t="inlineStr">
        <is>
          <t>United Kingdom</t>
        </is>
      </c>
      <c r="D4916" s="117" t="inlineStr">
        <is>
          <t>23210</t>
        </is>
      </c>
      <c r="E4916" s="117" t="inlineStr">
        <is>
          <t>WHITE ROCKING HORSE HAND PAINTED</t>
        </is>
      </c>
      <c r="F4916" s="117" t="n">
        <v>2</v>
      </c>
      <c r="G4916" s="118" t="n">
        <v>1.25</v>
      </c>
      <c r="H4916" s="118" t="n">
        <v>2.5</v>
      </c>
      <c r="I4916" s="119" t="n">
        <v>40883</v>
      </c>
    </row>
    <row r="4917">
      <c r="A4917" s="114" t="inlineStr">
        <is>
          <t>580833</t>
        </is>
      </c>
      <c r="B4917" s="114" t="n">
        <v>16764</v>
      </c>
      <c r="C4917" s="114" t="inlineStr">
        <is>
          <t>United Kingdom</t>
        </is>
      </c>
      <c r="D4917" s="114" t="inlineStr">
        <is>
          <t>23148</t>
        </is>
      </c>
      <c r="E4917" s="114" t="inlineStr">
        <is>
          <t>MINIATURE ANTIQUE ROSE HOOK IVORY</t>
        </is>
      </c>
      <c r="F4917" s="114" t="n">
        <v>3</v>
      </c>
      <c r="G4917" s="115" t="n">
        <v>0.83</v>
      </c>
      <c r="H4917" s="115" t="n">
        <v>2.49</v>
      </c>
      <c r="I4917" s="116" t="n">
        <v>40883</v>
      </c>
    </row>
    <row r="4918">
      <c r="A4918" s="117" t="inlineStr">
        <is>
          <t>580852</t>
        </is>
      </c>
      <c r="B4918" s="117" t="n">
        <v>16790</v>
      </c>
      <c r="C4918" s="117" t="inlineStr">
        <is>
          <t>United Kingdom</t>
        </is>
      </c>
      <c r="D4918" s="117" t="inlineStr">
        <is>
          <t>21933</t>
        </is>
      </c>
      <c r="E4918" s="117" t="inlineStr">
        <is>
          <t>PINK VINTAGE PAISLEY PICNIC BAG</t>
        </is>
      </c>
      <c r="F4918" s="117" t="n">
        <v>10</v>
      </c>
      <c r="G4918" s="118" t="n">
        <v>1.65</v>
      </c>
      <c r="H4918" s="118" t="n">
        <v>16.5</v>
      </c>
      <c r="I4918" s="119" t="n">
        <v>40883</v>
      </c>
    </row>
    <row r="4919">
      <c r="A4919" s="114" t="inlineStr">
        <is>
          <t>580874</t>
        </is>
      </c>
      <c r="B4919" s="114" t="n">
        <v>14735</v>
      </c>
      <c r="C4919" s="114" t="inlineStr">
        <is>
          <t>United Kingdom</t>
        </is>
      </c>
      <c r="D4919" s="114" t="inlineStr">
        <is>
          <t>23209</t>
        </is>
      </c>
      <c r="E4919" s="114" t="inlineStr">
        <is>
          <t xml:space="preserve">LUNCH BAG VINTAGE DOILY </t>
        </is>
      </c>
      <c r="F4919" s="114" t="n">
        <v>30</v>
      </c>
      <c r="G4919" s="115" t="n">
        <v>1.65</v>
      </c>
      <c r="H4919" s="115" t="n">
        <v>49.5</v>
      </c>
      <c r="I4919" s="116" t="n">
        <v>40883</v>
      </c>
    </row>
    <row r="4920">
      <c r="A4920" s="117" t="inlineStr">
        <is>
          <t>580875</t>
        </is>
      </c>
      <c r="B4920" s="117" t="n">
        <v>17744</v>
      </c>
      <c r="C4920" s="117" t="inlineStr">
        <is>
          <t>United Kingdom</t>
        </is>
      </c>
      <c r="D4920" s="117" t="inlineStr">
        <is>
          <t>22811</t>
        </is>
      </c>
      <c r="E4920" s="117" t="inlineStr">
        <is>
          <t xml:space="preserve">SET OF 6 T-LIGHTS CACTI </t>
        </is>
      </c>
      <c r="F4920" s="117" t="n">
        <v>12</v>
      </c>
      <c r="G4920" s="118" t="n">
        <v>1.25</v>
      </c>
      <c r="H4920" s="118" t="n">
        <v>15</v>
      </c>
      <c r="I4920" s="119" t="n">
        <v>40883</v>
      </c>
    </row>
    <row r="4921">
      <c r="A4921" s="114" t="inlineStr">
        <is>
          <t>580880</t>
        </is>
      </c>
      <c r="B4921" s="114" t="n">
        <v>14121</v>
      </c>
      <c r="C4921" s="114" t="inlineStr">
        <is>
          <t>United Kingdom</t>
        </is>
      </c>
      <c r="D4921" s="114" t="inlineStr">
        <is>
          <t>22752</t>
        </is>
      </c>
      <c r="E4921" s="114" t="inlineStr">
        <is>
          <t>SET 7 BABUSHKA NESTING BOXES</t>
        </is>
      </c>
      <c r="F4921" s="114" t="n">
        <v>24</v>
      </c>
      <c r="G4921" s="115" t="n">
        <v>3.95</v>
      </c>
      <c r="H4921" s="115" t="n">
        <v>94.8</v>
      </c>
      <c r="I4921" s="116" t="n">
        <v>40883</v>
      </c>
    </row>
    <row r="4922">
      <c r="A4922" s="117" t="inlineStr">
        <is>
          <t>580884</t>
        </is>
      </c>
      <c r="B4922" s="117" t="n">
        <v>15907</v>
      </c>
      <c r="C4922" s="117" t="inlineStr">
        <is>
          <t>United Kingdom</t>
        </is>
      </c>
      <c r="D4922" s="117" t="inlineStr">
        <is>
          <t>22509</t>
        </is>
      </c>
      <c r="E4922" s="117" t="inlineStr">
        <is>
          <t xml:space="preserve">SEWING BOX RETROSPOT DESIGN </t>
        </is>
      </c>
      <c r="F4922" s="117" t="n">
        <v>1</v>
      </c>
      <c r="G4922" s="118" t="n">
        <v>3.95</v>
      </c>
      <c r="H4922" s="118" t="n">
        <v>3.95</v>
      </c>
      <c r="I4922" s="119" t="n">
        <v>40883</v>
      </c>
    </row>
    <row r="4923">
      <c r="A4923" s="114" t="inlineStr">
        <is>
          <t>580884</t>
        </is>
      </c>
      <c r="B4923" s="114" t="n">
        <v>15907</v>
      </c>
      <c r="C4923" s="114" t="inlineStr">
        <is>
          <t>United Kingdom</t>
        </is>
      </c>
      <c r="D4923" s="114" t="inlineStr">
        <is>
          <t>21931</t>
        </is>
      </c>
      <c r="E4923" s="114" t="inlineStr">
        <is>
          <t>JUMBO STORAGE BAG SUKI</t>
        </is>
      </c>
      <c r="F4923" s="114" t="n">
        <v>1</v>
      </c>
      <c r="G4923" s="115" t="n">
        <v>2.08</v>
      </c>
      <c r="H4923" s="115" t="n">
        <v>2.08</v>
      </c>
      <c r="I4923" s="116" t="n">
        <v>40883</v>
      </c>
    </row>
    <row r="4924">
      <c r="A4924" s="117" t="inlineStr">
        <is>
          <t>580884</t>
        </is>
      </c>
      <c r="B4924" s="117" t="n">
        <v>15907</v>
      </c>
      <c r="C4924" s="117" t="inlineStr">
        <is>
          <t>United Kingdom</t>
        </is>
      </c>
      <c r="D4924" s="117" t="inlineStr">
        <is>
          <t>22110</t>
        </is>
      </c>
      <c r="E4924" s="117" t="inlineStr">
        <is>
          <t>BIRD HOUSE HOT WATER BOTTLE</t>
        </is>
      </c>
      <c r="F4924" s="117" t="n">
        <v>1</v>
      </c>
      <c r="G4924" s="118" t="n">
        <v>2.55</v>
      </c>
      <c r="H4924" s="118" t="n">
        <v>2.55</v>
      </c>
      <c r="I4924" s="119" t="n">
        <v>40883</v>
      </c>
    </row>
    <row r="4925">
      <c r="A4925" s="114" t="inlineStr">
        <is>
          <t>580893</t>
        </is>
      </c>
      <c r="B4925" s="114" t="n">
        <v>17290</v>
      </c>
      <c r="C4925" s="114" t="inlineStr">
        <is>
          <t>United Kingdom</t>
        </is>
      </c>
      <c r="D4925" s="114" t="inlineStr">
        <is>
          <t>22481</t>
        </is>
      </c>
      <c r="E4925" s="114" t="inlineStr">
        <is>
          <t>BLACK TEA TOWEL CLASSIC DESIGN</t>
        </is>
      </c>
      <c r="F4925" s="114" t="n">
        <v>2</v>
      </c>
      <c r="G4925" s="115" t="n">
        <v>0.39</v>
      </c>
      <c r="H4925" s="115" t="n">
        <v>0.78</v>
      </c>
      <c r="I4925" s="116" t="n">
        <v>40883</v>
      </c>
    </row>
    <row r="4926">
      <c r="A4926" s="117" t="inlineStr">
        <is>
          <t>580903</t>
        </is>
      </c>
      <c r="B4926" s="117" t="n">
        <v>14606</v>
      </c>
      <c r="C4926" s="117" t="inlineStr">
        <is>
          <t>United Kingdom</t>
        </is>
      </c>
      <c r="D4926" s="117" t="inlineStr">
        <is>
          <t>21918</t>
        </is>
      </c>
      <c r="E4926" s="117" t="inlineStr">
        <is>
          <t>SET 12 KIDS COLOUR  CHALK STICKS</t>
        </is>
      </c>
      <c r="F4926" s="117" t="n">
        <v>1</v>
      </c>
      <c r="G4926" s="118" t="n">
        <v>0.42</v>
      </c>
      <c r="H4926" s="118" t="n">
        <v>0.42</v>
      </c>
      <c r="I4926" s="119" t="n">
        <v>40883</v>
      </c>
    </row>
    <row r="4927">
      <c r="A4927" s="114" t="inlineStr">
        <is>
          <t>580907</t>
        </is>
      </c>
      <c r="B4927" s="114" t="n">
        <v>13507</v>
      </c>
      <c r="C4927" s="114" t="inlineStr">
        <is>
          <t>United Kingdom</t>
        </is>
      </c>
      <c r="D4927" s="114" t="inlineStr">
        <is>
          <t>23148</t>
        </is>
      </c>
      <c r="E4927" s="114" t="inlineStr">
        <is>
          <t>MINIATURE ANTIQUE ROSE HOOK IVORY</t>
        </is>
      </c>
      <c r="F4927" s="114" t="n">
        <v>12</v>
      </c>
      <c r="G4927" s="115" t="n">
        <v>0.83</v>
      </c>
      <c r="H4927" s="115" t="n">
        <v>9.960000000000001</v>
      </c>
      <c r="I4927" s="116" t="n">
        <v>40883</v>
      </c>
    </row>
    <row r="4928">
      <c r="A4928" s="117" t="inlineStr">
        <is>
          <t>580908</t>
        </is>
      </c>
      <c r="B4928" s="117" t="n">
        <v>16495</v>
      </c>
      <c r="C4928" s="117" t="inlineStr">
        <is>
          <t>United Kingdom</t>
        </is>
      </c>
      <c r="D4928" s="117" t="inlineStr">
        <is>
          <t>23103</t>
        </is>
      </c>
      <c r="E4928" s="117" t="inlineStr">
        <is>
          <t>JINGLE BELL HEART DECORATION</t>
        </is>
      </c>
      <c r="F4928" s="117" t="n">
        <v>1</v>
      </c>
      <c r="G4928" s="118" t="n">
        <v>1.65</v>
      </c>
      <c r="H4928" s="118" t="n">
        <v>1.65</v>
      </c>
      <c r="I4928" s="119" t="n">
        <v>40883</v>
      </c>
    </row>
    <row r="4929">
      <c r="A4929" s="114" t="inlineStr">
        <is>
          <t>580916</t>
        </is>
      </c>
      <c r="B4929" s="114" t="n">
        <v>13685</v>
      </c>
      <c r="C4929" s="114" t="inlineStr">
        <is>
          <t>United Kingdom</t>
        </is>
      </c>
      <c r="D4929" s="114" t="inlineStr">
        <is>
          <t>22513</t>
        </is>
      </c>
      <c r="E4929" s="114" t="inlineStr">
        <is>
          <t>DOORSTOP FOOTBALL DESIGN</t>
        </is>
      </c>
      <c r="F4929" s="114" t="n">
        <v>1</v>
      </c>
      <c r="G4929" s="115" t="n">
        <v>0.79</v>
      </c>
      <c r="H4929" s="115" t="n">
        <v>0.79</v>
      </c>
      <c r="I4929" s="116" t="n">
        <v>40883</v>
      </c>
    </row>
    <row r="4930">
      <c r="A4930" s="117" t="inlineStr">
        <is>
          <t>580955</t>
        </is>
      </c>
      <c r="B4930" s="117" t="n">
        <v>12442</v>
      </c>
      <c r="C4930" s="117" t="inlineStr">
        <is>
          <t>Spain</t>
        </is>
      </c>
      <c r="D4930" s="117" t="inlineStr">
        <is>
          <t>21982</t>
        </is>
      </c>
      <c r="E4930" s="117" t="inlineStr">
        <is>
          <t xml:space="preserve">PACK OF 12 SUKI TISSUES </t>
        </is>
      </c>
      <c r="F4930" s="117" t="n">
        <v>24</v>
      </c>
      <c r="G4930" s="118" t="n">
        <v>0.39</v>
      </c>
      <c r="H4930" s="118" t="n">
        <v>9.359999999999999</v>
      </c>
      <c r="I4930" s="119" t="n">
        <v>40883</v>
      </c>
    </row>
    <row r="4931">
      <c r="A4931" s="114" t="inlineStr">
        <is>
          <t>580956</t>
        </is>
      </c>
      <c r="B4931" s="114" t="n">
        <v>17841</v>
      </c>
      <c r="C4931" s="114" t="inlineStr">
        <is>
          <t>United Kingdom</t>
        </is>
      </c>
      <c r="D4931" s="114" t="inlineStr">
        <is>
          <t>22499</t>
        </is>
      </c>
      <c r="E4931" s="114" t="inlineStr">
        <is>
          <t>WOODEN UNION JACK BUNTING</t>
        </is>
      </c>
      <c r="F4931" s="114" t="n">
        <v>3</v>
      </c>
      <c r="G4931" s="115" t="n">
        <v>5.95</v>
      </c>
      <c r="H4931" s="115" t="n">
        <v>17.85</v>
      </c>
      <c r="I4931" s="116" t="n">
        <v>40883</v>
      </c>
    </row>
    <row r="4932">
      <c r="A4932" s="117" t="inlineStr">
        <is>
          <t>580956</t>
        </is>
      </c>
      <c r="B4932" s="117" t="n">
        <v>17841</v>
      </c>
      <c r="C4932" s="117" t="inlineStr">
        <is>
          <t>United Kingdom</t>
        </is>
      </c>
      <c r="D4932" s="117" t="inlineStr">
        <is>
          <t>22744</t>
        </is>
      </c>
      <c r="E4932" s="117" t="inlineStr">
        <is>
          <t>MAKE YOUR OWN MONSOON CARD KIT</t>
        </is>
      </c>
      <c r="F4932" s="117" t="n">
        <v>1</v>
      </c>
      <c r="G4932" s="118" t="n">
        <v>0.79</v>
      </c>
      <c r="H4932" s="118" t="n">
        <v>0.79</v>
      </c>
      <c r="I4932" s="119" t="n">
        <v>40883</v>
      </c>
    </row>
    <row r="4933">
      <c r="A4933" s="114" t="inlineStr">
        <is>
          <t>580958</t>
        </is>
      </c>
      <c r="B4933" s="114" t="n">
        <v>17266</v>
      </c>
      <c r="C4933" s="114" t="inlineStr">
        <is>
          <t>United Kingdom</t>
        </is>
      </c>
      <c r="D4933" s="114" t="inlineStr">
        <is>
          <t>23084</t>
        </is>
      </c>
      <c r="E4933" s="114" t="inlineStr">
        <is>
          <t>RABBIT NIGHT LIGHT</t>
        </is>
      </c>
      <c r="F4933" s="114" t="n">
        <v>1</v>
      </c>
      <c r="G4933" s="115" t="n">
        <v>2.08</v>
      </c>
      <c r="H4933" s="115" t="n">
        <v>2.08</v>
      </c>
      <c r="I4933" s="116" t="n">
        <v>40883</v>
      </c>
    </row>
    <row r="4934">
      <c r="A4934" s="117" t="inlineStr">
        <is>
          <t>580958</t>
        </is>
      </c>
      <c r="B4934" s="117" t="n">
        <v>17266</v>
      </c>
      <c r="C4934" s="117" t="inlineStr">
        <is>
          <t>United Kingdom</t>
        </is>
      </c>
      <c r="D4934" s="117" t="inlineStr">
        <is>
          <t>23570</t>
        </is>
      </c>
      <c r="E4934" s="117" t="inlineStr">
        <is>
          <t xml:space="preserve">TRADITIONAL PICK UP STICKS GAME </t>
        </is>
      </c>
      <c r="F4934" s="117" t="n">
        <v>1</v>
      </c>
      <c r="G4934" s="118" t="n">
        <v>1.25</v>
      </c>
      <c r="H4934" s="118" t="n">
        <v>1.25</v>
      </c>
      <c r="I4934" s="119" t="n">
        <v>40883</v>
      </c>
    </row>
    <row r="4935">
      <c r="A4935" s="114" t="inlineStr">
        <is>
          <t>580964</t>
        </is>
      </c>
      <c r="B4935" s="114" t="n">
        <v>15822</v>
      </c>
      <c r="C4935" s="114" t="inlineStr">
        <is>
          <t>United Kingdom</t>
        </is>
      </c>
      <c r="D4935" s="114" t="inlineStr">
        <is>
          <t>23090</t>
        </is>
      </c>
      <c r="E4935" s="114" t="inlineStr">
        <is>
          <t>VINTAGE GLASS T-LIGHT HOLDER</t>
        </is>
      </c>
      <c r="F4935" s="114" t="n">
        <v>24</v>
      </c>
      <c r="G4935" s="115" t="n">
        <v>0.83</v>
      </c>
      <c r="H4935" s="115" t="n">
        <v>19.92</v>
      </c>
      <c r="I4935" s="116" t="n">
        <v>40883</v>
      </c>
    </row>
    <row r="4936">
      <c r="A4936" s="117" t="inlineStr">
        <is>
          <t>580979</t>
        </is>
      </c>
      <c r="B4936" s="117" t="n">
        <v>12362</v>
      </c>
      <c r="C4936" s="117" t="inlineStr">
        <is>
          <t>Belgium</t>
        </is>
      </c>
      <c r="D4936" s="117" t="inlineStr">
        <is>
          <t>23238</t>
        </is>
      </c>
      <c r="E4936" s="117" t="inlineStr">
        <is>
          <t xml:space="preserve">SET OF 4 KNICK KNACK TINS LONDON </t>
        </is>
      </c>
      <c r="F4936" s="117" t="n">
        <v>6</v>
      </c>
      <c r="G4936" s="118" t="n">
        <v>4.15</v>
      </c>
      <c r="H4936" s="118" t="n">
        <v>24.9</v>
      </c>
      <c r="I4936" s="119" t="n">
        <v>40883</v>
      </c>
    </row>
    <row r="4937">
      <c r="A4937" s="114" t="inlineStr">
        <is>
          <t>580999</t>
        </is>
      </c>
      <c r="B4937" s="114" t="n">
        <v>17883</v>
      </c>
      <c r="C4937" s="114" t="inlineStr">
        <is>
          <t>United Kingdom</t>
        </is>
      </c>
      <c r="D4937" s="114" t="inlineStr">
        <is>
          <t>22755</t>
        </is>
      </c>
      <c r="E4937" s="114" t="inlineStr">
        <is>
          <t xml:space="preserve">SMALL PURPLE BABUSHKA NOTEBOOK </t>
        </is>
      </c>
      <c r="F4937" s="114" t="n">
        <v>1</v>
      </c>
      <c r="G4937" s="115" t="n">
        <v>0.21</v>
      </c>
      <c r="H4937" s="115" t="n">
        <v>0.21</v>
      </c>
      <c r="I4937" s="116" t="n">
        <v>40883</v>
      </c>
    </row>
    <row r="4938">
      <c r="A4938" s="117" t="inlineStr">
        <is>
          <t>581000</t>
        </is>
      </c>
      <c r="B4938" s="117" t="n">
        <v>12720</v>
      </c>
      <c r="C4938" s="117" t="inlineStr">
        <is>
          <t>Germany</t>
        </is>
      </c>
      <c r="D4938" s="117" t="inlineStr">
        <is>
          <t>22960</t>
        </is>
      </c>
      <c r="E4938" s="117" t="inlineStr">
        <is>
          <t>JAM MAKING SET WITH JARS</t>
        </is>
      </c>
      <c r="F4938" s="117" t="n">
        <v>12</v>
      </c>
      <c r="G4938" s="118" t="n">
        <v>3.75</v>
      </c>
      <c r="H4938" s="118" t="n">
        <v>45</v>
      </c>
      <c r="I4938" s="119" t="n">
        <v>40884</v>
      </c>
    </row>
    <row r="4939">
      <c r="A4939" s="114" t="inlineStr">
        <is>
          <t>581001</t>
        </is>
      </c>
      <c r="B4939" s="114" t="n">
        <v>12583</v>
      </c>
      <c r="C4939" s="114" t="inlineStr">
        <is>
          <t>France</t>
        </is>
      </c>
      <c r="D4939" s="114" t="inlineStr">
        <is>
          <t>22728</t>
        </is>
      </c>
      <c r="E4939" s="114" t="inlineStr">
        <is>
          <t>ALARM CLOCK BAKELIKE PINK</t>
        </is>
      </c>
      <c r="F4939" s="114" t="n">
        <v>18</v>
      </c>
      <c r="G4939" s="115" t="n">
        <v>3.75</v>
      </c>
      <c r="H4939" s="115" t="n">
        <v>67.5</v>
      </c>
      <c r="I4939" s="116" t="n">
        <v>40884</v>
      </c>
    </row>
    <row r="4940">
      <c r="A4940" s="117" t="inlineStr">
        <is>
          <t>581003</t>
        </is>
      </c>
      <c r="B4940" s="117" t="n">
        <v>14911</v>
      </c>
      <c r="C4940" s="117" t="inlineStr">
        <is>
          <t>EIRE</t>
        </is>
      </c>
      <c r="D4940" s="117" t="inlineStr">
        <is>
          <t>22139</t>
        </is>
      </c>
      <c r="E4940" s="117" t="inlineStr">
        <is>
          <t xml:space="preserve">RETROSPOT TEA SET CERAMIC 11 PC </t>
        </is>
      </c>
      <c r="F4940" s="117" t="n">
        <v>9</v>
      </c>
      <c r="G4940" s="118" t="n">
        <v>4.95</v>
      </c>
      <c r="H4940" s="118" t="n">
        <v>44.55</v>
      </c>
      <c r="I4940" s="119" t="n">
        <v>40884</v>
      </c>
    </row>
    <row r="4941">
      <c r="A4941" s="114" t="inlineStr">
        <is>
          <t>581013</t>
        </is>
      </c>
      <c r="B4941" s="114" t="n">
        <v>17017</v>
      </c>
      <c r="C4941" s="114" t="inlineStr">
        <is>
          <t>United Kingdom</t>
        </is>
      </c>
      <c r="D4941" s="114" t="inlineStr">
        <is>
          <t>23084</t>
        </is>
      </c>
      <c r="E4941" s="114" t="inlineStr">
        <is>
          <t>RABBIT NIGHT LIGHT</t>
        </is>
      </c>
      <c r="F4941" s="114" t="n">
        <v>48</v>
      </c>
      <c r="G4941" s="115" t="n">
        <v>1.79</v>
      </c>
      <c r="H4941" s="115" t="n">
        <v>85.92</v>
      </c>
      <c r="I4941" s="116" t="n">
        <v>40884</v>
      </c>
    </row>
    <row r="4942">
      <c r="A4942" s="117" t="inlineStr">
        <is>
          <t>581016</t>
        </is>
      </c>
      <c r="B4942" s="117" t="n">
        <v>14141</v>
      </c>
      <c r="C4942" s="117" t="inlineStr">
        <is>
          <t>United Kingdom</t>
        </is>
      </c>
      <c r="D4942" s="117" t="inlineStr">
        <is>
          <t>21485</t>
        </is>
      </c>
      <c r="E4942" s="117" t="inlineStr">
        <is>
          <t>RETROSPOT HEART HOT WATER BOTTLE</t>
        </is>
      </c>
      <c r="F4942" s="117" t="n">
        <v>3</v>
      </c>
      <c r="G4942" s="118" t="n">
        <v>4.95</v>
      </c>
      <c r="H4942" s="118" t="n">
        <v>14.85</v>
      </c>
      <c r="I4942" s="119" t="n">
        <v>40884</v>
      </c>
    </row>
    <row r="4943">
      <c r="A4943" s="114" t="inlineStr">
        <is>
          <t>581020</t>
        </is>
      </c>
      <c r="B4943" s="114" t="n">
        <v>17511</v>
      </c>
      <c r="C4943" s="114" t="inlineStr">
        <is>
          <t>United Kingdom</t>
        </is>
      </c>
      <c r="D4943" s="114" t="inlineStr">
        <is>
          <t>23238</t>
        </is>
      </c>
      <c r="E4943" s="114" t="inlineStr">
        <is>
          <t xml:space="preserve">SET OF 4 KNICK KNACK TINS LONDON </t>
        </is>
      </c>
      <c r="F4943" s="114" t="n">
        <v>48</v>
      </c>
      <c r="G4943" s="115" t="n">
        <v>3.75</v>
      </c>
      <c r="H4943" s="115" t="n">
        <v>180</v>
      </c>
      <c r="I4943" s="116" t="n">
        <v>40884</v>
      </c>
    </row>
    <row r="4944">
      <c r="A4944" s="117" t="inlineStr">
        <is>
          <t>581064</t>
        </is>
      </c>
      <c r="B4944" s="117" t="n">
        <v>13882</v>
      </c>
      <c r="C4944" s="117" t="inlineStr">
        <is>
          <t>United Kingdom</t>
        </is>
      </c>
      <c r="D4944" s="117" t="inlineStr">
        <is>
          <t>84946</t>
        </is>
      </c>
      <c r="E4944" s="117" t="inlineStr">
        <is>
          <t>ANTIQUE SILVER T-LIGHT GLASS</t>
        </is>
      </c>
      <c r="F4944" s="117" t="n">
        <v>12</v>
      </c>
      <c r="G4944" s="118" t="n">
        <v>1.25</v>
      </c>
      <c r="H4944" s="118" t="n">
        <v>15</v>
      </c>
      <c r="I4944" s="119" t="n">
        <v>40884</v>
      </c>
    </row>
    <row r="4945">
      <c r="A4945" s="114" t="inlineStr">
        <is>
          <t>581114</t>
        </is>
      </c>
      <c r="B4945" s="114" t="n">
        <v>14527</v>
      </c>
      <c r="C4945" s="114" t="inlineStr">
        <is>
          <t>United Kingdom</t>
        </is>
      </c>
      <c r="D4945" s="114" t="inlineStr">
        <is>
          <t>22605</t>
        </is>
      </c>
      <c r="E4945" s="114" t="inlineStr">
        <is>
          <t>WOODEN CROQUET GARDEN SET</t>
        </is>
      </c>
      <c r="F4945" s="114" t="n">
        <v>2</v>
      </c>
      <c r="G4945" s="115" t="n">
        <v>14.95</v>
      </c>
      <c r="H4945" s="115" t="n">
        <v>29.9</v>
      </c>
      <c r="I4945" s="116" t="n">
        <v>40884</v>
      </c>
    </row>
    <row r="4946">
      <c r="A4946" s="117" t="inlineStr">
        <is>
          <t>581118</t>
        </is>
      </c>
      <c r="B4946" s="117" t="n">
        <v>15136</v>
      </c>
      <c r="C4946" s="117" t="inlineStr">
        <is>
          <t>United Kingdom</t>
        </is>
      </c>
      <c r="D4946" s="117" t="inlineStr">
        <is>
          <t>21466</t>
        </is>
      </c>
      <c r="E4946" s="117" t="inlineStr">
        <is>
          <t>RED FLOWER CROCHET FOOD COVER</t>
        </is>
      </c>
      <c r="F4946" s="117" t="n">
        <v>6</v>
      </c>
      <c r="G4946" s="118" t="n">
        <v>3.75</v>
      </c>
      <c r="H4946" s="118" t="n">
        <v>22.5</v>
      </c>
      <c r="I4946" s="119" t="n">
        <v>40884</v>
      </c>
    </row>
    <row r="4947">
      <c r="A4947" s="114" t="inlineStr">
        <is>
          <t>581123</t>
        </is>
      </c>
      <c r="B4947" s="114" t="n">
        <v>15750</v>
      </c>
      <c r="C4947" s="114" t="inlineStr">
        <is>
          <t>United Kingdom</t>
        </is>
      </c>
      <c r="D4947" s="114" t="inlineStr">
        <is>
          <t>23203</t>
        </is>
      </c>
      <c r="E4947" s="114" t="inlineStr">
        <is>
          <t xml:space="preserve">JUMBO BAG VINTAGE DOILY </t>
        </is>
      </c>
      <c r="F4947" s="114" t="n">
        <v>10</v>
      </c>
      <c r="G4947" s="115" t="n">
        <v>2.08</v>
      </c>
      <c r="H4947" s="115" t="n">
        <v>20.8</v>
      </c>
      <c r="I4947" s="116" t="n">
        <v>40884</v>
      </c>
    </row>
    <row r="4948">
      <c r="A4948" s="117" t="inlineStr">
        <is>
          <t>581123</t>
        </is>
      </c>
      <c r="B4948" s="117" t="n">
        <v>15750</v>
      </c>
      <c r="C4948" s="117" t="inlineStr">
        <is>
          <t>United Kingdom</t>
        </is>
      </c>
      <c r="D4948" s="117" t="inlineStr">
        <is>
          <t>23284</t>
        </is>
      </c>
      <c r="E4948" s="117" t="inlineStr">
        <is>
          <t>DOORMAT KEEP CALM AND COME IN</t>
        </is>
      </c>
      <c r="F4948" s="117" t="n">
        <v>2</v>
      </c>
      <c r="G4948" s="118" t="n">
        <v>8.25</v>
      </c>
      <c r="H4948" s="118" t="n">
        <v>16.5</v>
      </c>
      <c r="I4948" s="119" t="n">
        <v>40884</v>
      </c>
    </row>
    <row r="4949">
      <c r="A4949" s="114" t="inlineStr">
        <is>
          <t>581125</t>
        </is>
      </c>
      <c r="B4949" s="114" t="n">
        <v>14087</v>
      </c>
      <c r="C4949" s="114" t="inlineStr">
        <is>
          <t>United Kingdom</t>
        </is>
      </c>
      <c r="D4949" s="114" t="inlineStr">
        <is>
          <t>84032A</t>
        </is>
      </c>
      <c r="E4949" s="114" t="inlineStr">
        <is>
          <t>CHARLIE+LOLA PINK HOT WATER BOTTLE</t>
        </is>
      </c>
      <c r="F4949" s="114" t="n">
        <v>1</v>
      </c>
      <c r="G4949" s="115" t="n">
        <v>0.79</v>
      </c>
      <c r="H4949" s="115" t="n">
        <v>0.79</v>
      </c>
      <c r="I4949" s="116" t="n">
        <v>40884</v>
      </c>
    </row>
    <row r="4950">
      <c r="A4950" s="117" t="inlineStr">
        <is>
          <t>581126</t>
        </is>
      </c>
      <c r="B4950" s="117" t="n">
        <v>18272</v>
      </c>
      <c r="C4950" s="117" t="inlineStr">
        <is>
          <t>United Kingdom</t>
        </is>
      </c>
      <c r="D4950" s="117" t="inlineStr">
        <is>
          <t>22993</t>
        </is>
      </c>
      <c r="E4950" s="117" t="inlineStr">
        <is>
          <t>SET OF 4 PANTRY JELLY MOULDS</t>
        </is>
      </c>
      <c r="F4950" s="117" t="n">
        <v>12</v>
      </c>
      <c r="G4950" s="118" t="n">
        <v>1.25</v>
      </c>
      <c r="H4950" s="118" t="n">
        <v>15</v>
      </c>
      <c r="I4950" s="119" t="n">
        <v>40884</v>
      </c>
    </row>
    <row r="4951">
      <c r="A4951" s="114" t="inlineStr">
        <is>
          <t>581129</t>
        </is>
      </c>
      <c r="B4951" s="114" t="n">
        <v>15498</v>
      </c>
      <c r="C4951" s="114" t="inlineStr">
        <is>
          <t>United Kingdom</t>
        </is>
      </c>
      <c r="D4951" s="114" t="inlineStr">
        <is>
          <t>23319</t>
        </is>
      </c>
      <c r="E4951" s="114" t="inlineStr">
        <is>
          <t>BOX OF 6 MINI 50'S CRACKERS</t>
        </is>
      </c>
      <c r="F4951" s="114" t="n">
        <v>6</v>
      </c>
      <c r="G4951" s="115" t="n">
        <v>2.49</v>
      </c>
      <c r="H4951" s="115" t="n">
        <v>14.94</v>
      </c>
      <c r="I4951" s="116" t="n">
        <v>40884</v>
      </c>
    </row>
    <row r="4952">
      <c r="A4952" s="117" t="inlineStr">
        <is>
          <t>581146</t>
        </is>
      </c>
      <c r="B4952" s="117" t="n">
        <v>17602</v>
      </c>
      <c r="C4952" s="117" t="inlineStr">
        <is>
          <t>United Kingdom</t>
        </is>
      </c>
      <c r="D4952" s="117" t="inlineStr">
        <is>
          <t>72351A</t>
        </is>
      </c>
      <c r="E4952" s="117" t="inlineStr">
        <is>
          <t>SET/6 TURQUOISE BUTTERFLY T-LIGHTS</t>
        </is>
      </c>
      <c r="F4952" s="117" t="n">
        <v>1</v>
      </c>
      <c r="G4952" s="118" t="n">
        <v>2.1</v>
      </c>
      <c r="H4952" s="118" t="n">
        <v>2.1</v>
      </c>
      <c r="I4952" s="119" t="n">
        <v>40884</v>
      </c>
    </row>
    <row r="4953">
      <c r="A4953" s="114" t="inlineStr">
        <is>
          <t>581146</t>
        </is>
      </c>
      <c r="B4953" s="114" t="n">
        <v>17602</v>
      </c>
      <c r="C4953" s="114" t="inlineStr">
        <is>
          <t>United Kingdom</t>
        </is>
      </c>
      <c r="D4953" s="114" t="inlineStr">
        <is>
          <t>22094</t>
        </is>
      </c>
      <c r="E4953" s="114" t="inlineStr">
        <is>
          <t>RED RETROSPOT TISSUE BOX</t>
        </is>
      </c>
      <c r="F4953" s="114" t="n">
        <v>3</v>
      </c>
      <c r="G4953" s="115" t="n">
        <v>0.39</v>
      </c>
      <c r="H4953" s="115" t="n">
        <v>1.17</v>
      </c>
      <c r="I4953" s="116" t="n">
        <v>40884</v>
      </c>
    </row>
    <row r="4954">
      <c r="A4954" s="117" t="inlineStr">
        <is>
          <t>581147</t>
        </is>
      </c>
      <c r="B4954" s="117" t="n">
        <v>16426</v>
      </c>
      <c r="C4954" s="117" t="inlineStr">
        <is>
          <t>United Kingdom</t>
        </is>
      </c>
      <c r="D4954" s="117" t="inlineStr">
        <is>
          <t>23264</t>
        </is>
      </c>
      <c r="E4954" s="117" t="inlineStr">
        <is>
          <t>SET OF 3 WOODEN SLEIGH DECORATIONS</t>
        </is>
      </c>
      <c r="F4954" s="117" t="n">
        <v>1</v>
      </c>
      <c r="G4954" s="118" t="n">
        <v>1.25</v>
      </c>
      <c r="H4954" s="118" t="n">
        <v>1.25</v>
      </c>
      <c r="I4954" s="119" t="n">
        <v>40884</v>
      </c>
    </row>
    <row r="4955">
      <c r="A4955" s="114" t="inlineStr">
        <is>
          <t>581149</t>
        </is>
      </c>
      <c r="B4955" s="114" t="n">
        <v>15471</v>
      </c>
      <c r="C4955" s="114" t="inlineStr">
        <is>
          <t>United Kingdom</t>
        </is>
      </c>
      <c r="D4955" s="114" t="inlineStr">
        <is>
          <t>22233</t>
        </is>
      </c>
      <c r="E4955" s="114" t="inlineStr">
        <is>
          <t>JIGSAW RABBIT AND BIRDHOUSE</t>
        </is>
      </c>
      <c r="F4955" s="114" t="n">
        <v>1</v>
      </c>
      <c r="G4955" s="115" t="n">
        <v>0.59</v>
      </c>
      <c r="H4955" s="115" t="n">
        <v>0.59</v>
      </c>
      <c r="I4955" s="116" t="n">
        <v>40884</v>
      </c>
    </row>
    <row r="4956">
      <c r="A4956" s="117" t="inlineStr">
        <is>
          <t>581163</t>
        </is>
      </c>
      <c r="B4956" s="117" t="n">
        <v>12747</v>
      </c>
      <c r="C4956" s="117" t="inlineStr">
        <is>
          <t>United Kingdom</t>
        </is>
      </c>
      <c r="D4956" s="117" t="inlineStr">
        <is>
          <t>82484</t>
        </is>
      </c>
      <c r="E4956" s="117" t="inlineStr">
        <is>
          <t>WOOD BLACK BOARD ANT WHITE FINISH</t>
        </is>
      </c>
      <c r="F4956" s="117" t="n">
        <v>36</v>
      </c>
      <c r="G4956" s="118" t="n">
        <v>6.75</v>
      </c>
      <c r="H4956" s="118" t="n">
        <v>243</v>
      </c>
      <c r="I4956" s="119" t="n">
        <v>40884</v>
      </c>
    </row>
    <row r="4957">
      <c r="A4957" s="114" t="inlineStr">
        <is>
          <t>581164</t>
        </is>
      </c>
      <c r="B4957" s="114" t="n">
        <v>14395</v>
      </c>
      <c r="C4957" s="114" t="inlineStr">
        <is>
          <t>United Kingdom</t>
        </is>
      </c>
      <c r="D4957" s="114" t="inlineStr">
        <is>
          <t>23356</t>
        </is>
      </c>
      <c r="E4957" s="114" t="inlineStr">
        <is>
          <t>LOVE HOT WATER BOTTLE</t>
        </is>
      </c>
      <c r="F4957" s="114" t="n">
        <v>2</v>
      </c>
      <c r="G4957" s="115" t="n">
        <v>5.95</v>
      </c>
      <c r="H4957" s="115" t="n">
        <v>11.9</v>
      </c>
      <c r="I4957" s="116" t="n">
        <v>40884</v>
      </c>
    </row>
    <row r="4958">
      <c r="A4958" s="117" t="inlineStr">
        <is>
          <t>581168</t>
        </is>
      </c>
      <c r="B4958" s="117" t="n">
        <v>16779</v>
      </c>
      <c r="C4958" s="117" t="inlineStr">
        <is>
          <t>United Kingdom</t>
        </is>
      </c>
      <c r="D4958" s="117" t="inlineStr">
        <is>
          <t>72800B</t>
        </is>
      </c>
      <c r="E4958" s="117" t="inlineStr">
        <is>
          <t xml:space="preserve"> 4 PURPLE FLOCK DINNER CANDLES</t>
        </is>
      </c>
      <c r="F4958" s="117" t="n">
        <v>12</v>
      </c>
      <c r="G4958" s="118" t="n">
        <v>0.79</v>
      </c>
      <c r="H4958" s="118" t="n">
        <v>9.48</v>
      </c>
      <c r="I4958" s="119" t="n">
        <v>40884</v>
      </c>
    </row>
    <row r="4959">
      <c r="A4959" s="114" t="inlineStr">
        <is>
          <t>581168</t>
        </is>
      </c>
      <c r="B4959" s="114" t="n">
        <v>16779</v>
      </c>
      <c r="C4959" s="114" t="inlineStr">
        <is>
          <t>United Kingdom</t>
        </is>
      </c>
      <c r="D4959" s="114" t="inlineStr">
        <is>
          <t>22165</t>
        </is>
      </c>
      <c r="E4959" s="114" t="inlineStr">
        <is>
          <t xml:space="preserve">DIAMANTE HEART SHAPED WALL MIRROR, </t>
        </is>
      </c>
      <c r="F4959" s="114" t="n">
        <v>6</v>
      </c>
      <c r="G4959" s="115" t="n">
        <v>3.95</v>
      </c>
      <c r="H4959" s="115" t="n">
        <v>23.7</v>
      </c>
      <c r="I4959" s="116" t="n">
        <v>40884</v>
      </c>
    </row>
    <row r="4960">
      <c r="A4960" s="117" t="inlineStr">
        <is>
          <t>581175</t>
        </is>
      </c>
      <c r="B4960" s="117" t="n">
        <v>14646</v>
      </c>
      <c r="C4960" s="117" t="inlineStr">
        <is>
          <t>Netherlands</t>
        </is>
      </c>
      <c r="D4960" s="117" t="inlineStr">
        <is>
          <t>22549</t>
        </is>
      </c>
      <c r="E4960" s="117" t="inlineStr">
        <is>
          <t>PICTURE DOMINOES</t>
        </is>
      </c>
      <c r="F4960" s="117" t="n">
        <v>72</v>
      </c>
      <c r="G4960" s="118" t="n">
        <v>1.25</v>
      </c>
      <c r="H4960" s="118" t="n">
        <v>90</v>
      </c>
      <c r="I4960" s="119" t="n">
        <v>40884</v>
      </c>
    </row>
    <row r="4961">
      <c r="A4961" s="114" t="inlineStr">
        <is>
          <t>581175</t>
        </is>
      </c>
      <c r="B4961" s="114" t="n">
        <v>14646</v>
      </c>
      <c r="C4961" s="114" t="inlineStr">
        <is>
          <t>Netherlands</t>
        </is>
      </c>
      <c r="D4961" s="114" t="inlineStr">
        <is>
          <t>22343</t>
        </is>
      </c>
      <c r="E4961" s="114" t="inlineStr">
        <is>
          <t>PARTY PIZZA DISH RED RETROSPOT</t>
        </is>
      </c>
      <c r="F4961" s="114" t="n">
        <v>96</v>
      </c>
      <c r="G4961" s="115" t="n">
        <v>0.19</v>
      </c>
      <c r="H4961" s="115" t="n">
        <v>18.24</v>
      </c>
      <c r="I4961" s="116" t="n">
        <v>40884</v>
      </c>
    </row>
    <row r="4962">
      <c r="A4962" s="117" t="inlineStr">
        <is>
          <t>581182</t>
        </is>
      </c>
      <c r="B4962" s="117" t="n">
        <v>12783</v>
      </c>
      <c r="C4962" s="117" t="inlineStr">
        <is>
          <t>Portugal</t>
        </is>
      </c>
      <c r="D4962" s="117" t="inlineStr">
        <is>
          <t>20831</t>
        </is>
      </c>
      <c r="E4962" s="117" t="inlineStr">
        <is>
          <t>GOLD PHOTO FRAME</t>
        </is>
      </c>
      <c r="F4962" s="117" t="n">
        <v>12</v>
      </c>
      <c r="G4962" s="118" t="n">
        <v>0.79</v>
      </c>
      <c r="H4962" s="118" t="n">
        <v>9.48</v>
      </c>
      <c r="I4962" s="119" t="n">
        <v>40884</v>
      </c>
    </row>
    <row r="4963">
      <c r="A4963" s="114" t="inlineStr">
        <is>
          <t>581186</t>
        </is>
      </c>
      <c r="B4963" s="114" t="n">
        <v>13756</v>
      </c>
      <c r="C4963" s="114" t="inlineStr">
        <is>
          <t>United Kingdom</t>
        </is>
      </c>
      <c r="D4963" s="114" t="inlineStr">
        <is>
          <t>22726</t>
        </is>
      </c>
      <c r="E4963" s="114" t="inlineStr">
        <is>
          <t>ALARM CLOCK BAKELIKE GREEN</t>
        </is>
      </c>
      <c r="F4963" s="114" t="n">
        <v>8</v>
      </c>
      <c r="G4963" s="115" t="n">
        <v>3.75</v>
      </c>
      <c r="H4963" s="115" t="n">
        <v>30</v>
      </c>
      <c r="I4963" s="116" t="n">
        <v>40884</v>
      </c>
    </row>
    <row r="4964">
      <c r="A4964" s="117" t="inlineStr">
        <is>
          <t>581188</t>
        </is>
      </c>
      <c r="B4964" s="117" t="n">
        <v>17735</v>
      </c>
      <c r="C4964" s="117" t="inlineStr">
        <is>
          <t>United Kingdom</t>
        </is>
      </c>
      <c r="D4964" s="117" t="inlineStr">
        <is>
          <t>22845</t>
        </is>
      </c>
      <c r="E4964" s="117" t="inlineStr">
        <is>
          <t>VINTAGE CREAM CAT FOOD CONTAINER</t>
        </is>
      </c>
      <c r="F4964" s="117" t="n">
        <v>2</v>
      </c>
      <c r="G4964" s="118" t="n">
        <v>6.35</v>
      </c>
      <c r="H4964" s="118" t="n">
        <v>12.7</v>
      </c>
      <c r="I4964" s="119" t="n">
        <v>40884</v>
      </c>
    </row>
    <row r="4965">
      <c r="A4965" s="114" t="inlineStr">
        <is>
          <t>581193</t>
        </is>
      </c>
      <c r="B4965" s="114" t="n">
        <v>17097</v>
      </c>
      <c r="C4965" s="114" t="inlineStr">
        <is>
          <t>Spain</t>
        </is>
      </c>
      <c r="D4965" s="114" t="inlineStr">
        <is>
          <t>22754</t>
        </is>
      </c>
      <c r="E4965" s="114" t="inlineStr">
        <is>
          <t xml:space="preserve">SMALL RED BABUSHKA NOTEBOOK </t>
        </is>
      </c>
      <c r="F4965" s="114" t="n">
        <v>1</v>
      </c>
      <c r="G4965" s="115" t="n">
        <v>0.21</v>
      </c>
      <c r="H4965" s="115" t="n">
        <v>0.21</v>
      </c>
      <c r="I4965" s="116" t="n">
        <v>40884</v>
      </c>
    </row>
    <row r="4966">
      <c r="A4966" s="117" t="inlineStr">
        <is>
          <t>581192</t>
        </is>
      </c>
      <c r="B4966" s="117" t="n">
        <v>15883</v>
      </c>
      <c r="C4966" s="117" t="inlineStr">
        <is>
          <t>United Kingdom</t>
        </is>
      </c>
      <c r="D4966" s="117" t="inlineStr">
        <is>
          <t>72349B</t>
        </is>
      </c>
      <c r="E4966" s="117" t="inlineStr">
        <is>
          <t>SET/6 PURPLE BUTTERFLY T-LIGHTS</t>
        </is>
      </c>
      <c r="F4966" s="117" t="n">
        <v>3</v>
      </c>
      <c r="G4966" s="118" t="n">
        <v>2.1</v>
      </c>
      <c r="H4966" s="118" t="n">
        <v>6.3</v>
      </c>
      <c r="I4966" s="119" t="n">
        <v>40884</v>
      </c>
    </row>
    <row r="4967">
      <c r="A4967" s="114" t="inlineStr">
        <is>
          <t>581193</t>
        </is>
      </c>
      <c r="B4967" s="114" t="n">
        <v>17097</v>
      </c>
      <c r="C4967" s="114" t="inlineStr">
        <is>
          <t>Spain</t>
        </is>
      </c>
      <c r="D4967" s="114" t="inlineStr">
        <is>
          <t>22464</t>
        </is>
      </c>
      <c r="E4967" s="114" t="inlineStr">
        <is>
          <t>HANGING METAL HEART LANTERN</t>
        </is>
      </c>
      <c r="F4967" s="114" t="n">
        <v>1</v>
      </c>
      <c r="G4967" s="115" t="n">
        <v>0.79</v>
      </c>
      <c r="H4967" s="115" t="n">
        <v>0.79</v>
      </c>
      <c r="I4967" s="116" t="n">
        <v>40884</v>
      </c>
    </row>
    <row r="4968">
      <c r="A4968" s="117" t="inlineStr">
        <is>
          <t>581194</t>
        </is>
      </c>
      <c r="B4968" s="117" t="n">
        <v>15298</v>
      </c>
      <c r="C4968" s="117" t="inlineStr">
        <is>
          <t>United Kingdom</t>
        </is>
      </c>
      <c r="D4968" s="117" t="inlineStr">
        <is>
          <t>21098</t>
        </is>
      </c>
      <c r="E4968" s="117" t="inlineStr">
        <is>
          <t>CHRISTMAS TOILET ROLL</t>
        </is>
      </c>
      <c r="F4968" s="117" t="n">
        <v>24</v>
      </c>
      <c r="G4968" s="118" t="n">
        <v>1.25</v>
      </c>
      <c r="H4968" s="118" t="n">
        <v>30</v>
      </c>
      <c r="I4968" s="119" t="n">
        <v>40884</v>
      </c>
    </row>
    <row r="4969">
      <c r="A4969" s="114" t="inlineStr">
        <is>
          <t>581216</t>
        </is>
      </c>
      <c r="B4969" s="114" t="n">
        <v>16523</v>
      </c>
      <c r="C4969" s="114" t="inlineStr">
        <is>
          <t>United Kingdom</t>
        </is>
      </c>
      <c r="D4969" s="114" t="inlineStr">
        <is>
          <t>22690</t>
        </is>
      </c>
      <c r="E4969" s="114" t="inlineStr">
        <is>
          <t xml:space="preserve">DOORMAT HOME SWEET HOME BLUE </t>
        </is>
      </c>
      <c r="F4969" s="114" t="n">
        <v>2</v>
      </c>
      <c r="G4969" s="115" t="n">
        <v>8.25</v>
      </c>
      <c r="H4969" s="115" t="n">
        <v>16.5</v>
      </c>
      <c r="I4969" s="116" t="n">
        <v>40885</v>
      </c>
    </row>
    <row r="4970">
      <c r="A4970" s="117" t="inlineStr">
        <is>
          <t>581227</t>
        </is>
      </c>
      <c r="B4970" s="117" t="n">
        <v>17677</v>
      </c>
      <c r="C4970" s="117" t="inlineStr">
        <is>
          <t>United Kingdom</t>
        </is>
      </c>
      <c r="D4970" s="117" t="inlineStr">
        <is>
          <t>22139</t>
        </is>
      </c>
      <c r="E4970" s="117" t="inlineStr">
        <is>
          <t xml:space="preserve">RETROSPOT TEA SET CERAMIC 11 PC </t>
        </is>
      </c>
      <c r="F4970" s="117" t="n">
        <v>6</v>
      </c>
      <c r="G4970" s="118" t="n">
        <v>4.95</v>
      </c>
      <c r="H4970" s="118" t="n">
        <v>29.7</v>
      </c>
      <c r="I4970" s="119" t="n">
        <v>40885</v>
      </c>
    </row>
    <row r="4971">
      <c r="A4971" s="114" t="inlineStr">
        <is>
          <t>581236</t>
        </is>
      </c>
      <c r="B4971" s="114" t="n">
        <v>13468</v>
      </c>
      <c r="C4971" s="114" t="inlineStr">
        <is>
          <t>United Kingdom</t>
        </is>
      </c>
      <c r="D4971" s="114" t="inlineStr">
        <is>
          <t>22059</t>
        </is>
      </c>
      <c r="E4971" s="114" t="inlineStr">
        <is>
          <t>CERAMIC STRAWBERRY DESIGN MUG</t>
        </is>
      </c>
      <c r="F4971" s="114" t="n">
        <v>24</v>
      </c>
      <c r="G4971" s="115" t="n">
        <v>0.39</v>
      </c>
      <c r="H4971" s="115" t="n">
        <v>9.359999999999999</v>
      </c>
      <c r="I4971" s="116" t="n">
        <v>40885</v>
      </c>
    </row>
    <row r="4972">
      <c r="A4972" s="117" t="inlineStr">
        <is>
          <t>581252</t>
        </is>
      </c>
      <c r="B4972" s="117" t="n">
        <v>14129</v>
      </c>
      <c r="C4972" s="117" t="inlineStr">
        <is>
          <t>United Kingdom</t>
        </is>
      </c>
      <c r="D4972" s="117" t="inlineStr">
        <is>
          <t>22562</t>
        </is>
      </c>
      <c r="E4972" s="117" t="inlineStr">
        <is>
          <t>MONSTERS STENCIL CRAFT</t>
        </is>
      </c>
      <c r="F4972" s="117" t="n">
        <v>12</v>
      </c>
      <c r="G4972" s="118" t="n">
        <v>1.25</v>
      </c>
      <c r="H4972" s="118" t="n">
        <v>15</v>
      </c>
      <c r="I4972" s="119" t="n">
        <v>40885</v>
      </c>
    </row>
    <row r="4973">
      <c r="A4973" s="114" t="inlineStr">
        <is>
          <t>581253</t>
        </is>
      </c>
      <c r="B4973" s="114" t="n">
        <v>16891</v>
      </c>
      <c r="C4973" s="114" t="inlineStr">
        <is>
          <t>United Kingdom</t>
        </is>
      </c>
      <c r="D4973" s="114" t="inlineStr">
        <is>
          <t>22142</t>
        </is>
      </c>
      <c r="E4973" s="114" t="inlineStr">
        <is>
          <t xml:space="preserve">CHRISTMAS CRAFT WHITE FAIRY </t>
        </is>
      </c>
      <c r="F4973" s="114" t="n">
        <v>1</v>
      </c>
      <c r="G4973" s="115" t="n">
        <v>1.45</v>
      </c>
      <c r="H4973" s="115" t="n">
        <v>1.45</v>
      </c>
      <c r="I4973" s="116" t="n">
        <v>40885</v>
      </c>
    </row>
    <row r="4974">
      <c r="A4974" s="117" t="inlineStr">
        <is>
          <t>581266</t>
        </is>
      </c>
      <c r="B4974" s="117" t="n">
        <v>12621</v>
      </c>
      <c r="C4974" s="117" t="inlineStr">
        <is>
          <t>Germany</t>
        </is>
      </c>
      <c r="D4974" s="117" t="inlineStr">
        <is>
          <t>22972</t>
        </is>
      </c>
      <c r="E4974" s="117" t="inlineStr">
        <is>
          <t>CHILDREN'S SPACEBOY MUG</t>
        </is>
      </c>
      <c r="F4974" s="117" t="n">
        <v>12</v>
      </c>
      <c r="G4974" s="118" t="n">
        <v>1.65</v>
      </c>
      <c r="H4974" s="118" t="n">
        <v>19.8</v>
      </c>
      <c r="I4974" s="119" t="n">
        <v>40885</v>
      </c>
    </row>
    <row r="4975">
      <c r="A4975" s="114" t="inlineStr">
        <is>
          <t>581335</t>
        </is>
      </c>
      <c r="B4975" s="114" t="n">
        <v>15214</v>
      </c>
      <c r="C4975" s="114" t="inlineStr">
        <is>
          <t>United Kingdom</t>
        </is>
      </c>
      <c r="D4975" s="114" t="inlineStr">
        <is>
          <t>22446</t>
        </is>
      </c>
      <c r="E4975" s="114" t="inlineStr">
        <is>
          <t>PIN CUSHION BABUSHKA PINK</t>
        </is>
      </c>
      <c r="F4975" s="114" t="n">
        <v>12</v>
      </c>
      <c r="G4975" s="115" t="n">
        <v>1.25</v>
      </c>
      <c r="H4975" s="115" t="n">
        <v>15</v>
      </c>
      <c r="I4975" s="116" t="n">
        <v>40885</v>
      </c>
    </row>
    <row r="4976">
      <c r="A4976" s="117" t="inlineStr">
        <is>
          <t>581383</t>
        </is>
      </c>
      <c r="B4976" s="117" t="n">
        <v>15399</v>
      </c>
      <c r="C4976" s="117" t="inlineStr">
        <is>
          <t>United Kingdom</t>
        </is>
      </c>
      <c r="D4976" s="117" t="inlineStr">
        <is>
          <t>21616</t>
        </is>
      </c>
      <c r="E4976" s="117" t="inlineStr">
        <is>
          <t>4 PEAR BOTANICAL DINNER CANDLES</t>
        </is>
      </c>
      <c r="F4976" s="117" t="n">
        <v>6</v>
      </c>
      <c r="G4976" s="118" t="n">
        <v>3.75</v>
      </c>
      <c r="H4976" s="118" t="n">
        <v>22.5</v>
      </c>
      <c r="I4976" s="119" t="n">
        <v>40885</v>
      </c>
    </row>
    <row r="4977">
      <c r="A4977" s="114" t="inlineStr">
        <is>
          <t>581395</t>
        </is>
      </c>
      <c r="B4977" s="114" t="n">
        <v>16892</v>
      </c>
      <c r="C4977" s="114" t="inlineStr">
        <is>
          <t>United Kingdom</t>
        </is>
      </c>
      <c r="D4977" s="114" t="inlineStr">
        <is>
          <t>22208</t>
        </is>
      </c>
      <c r="E4977" s="114" t="inlineStr">
        <is>
          <t>WOOD STAMP SET THANK YOU</t>
        </is>
      </c>
      <c r="F4977" s="114" t="n">
        <v>1</v>
      </c>
      <c r="G4977" s="115" t="n">
        <v>0.83</v>
      </c>
      <c r="H4977" s="115" t="n">
        <v>0.83</v>
      </c>
      <c r="I4977" s="116" t="n">
        <v>40885</v>
      </c>
    </row>
    <row r="4978">
      <c r="A4978" s="117" t="inlineStr">
        <is>
          <t>581405</t>
        </is>
      </c>
      <c r="B4978" s="117" t="n">
        <v>13521</v>
      </c>
      <c r="C4978" s="117" t="inlineStr">
        <is>
          <t>United Kingdom</t>
        </is>
      </c>
      <c r="D4978" s="117" t="inlineStr">
        <is>
          <t>22475</t>
        </is>
      </c>
      <c r="E4978" s="117" t="inlineStr">
        <is>
          <t>SKULL DESIGN TV DINNER TRAY</t>
        </is>
      </c>
      <c r="F4978" s="117" t="n">
        <v>1</v>
      </c>
      <c r="G4978" s="118" t="n">
        <v>1.95</v>
      </c>
      <c r="H4978" s="118" t="n">
        <v>1.95</v>
      </c>
      <c r="I4978" s="119" t="n">
        <v>40885</v>
      </c>
    </row>
    <row r="4979">
      <c r="A4979" s="114" t="inlineStr">
        <is>
          <t>581405</t>
        </is>
      </c>
      <c r="B4979" s="114" t="n">
        <v>13521</v>
      </c>
      <c r="C4979" s="114" t="inlineStr">
        <is>
          <t>United Kingdom</t>
        </is>
      </c>
      <c r="D4979" s="114" t="inlineStr">
        <is>
          <t>23215</t>
        </is>
      </c>
      <c r="E4979" s="114" t="inlineStr">
        <is>
          <t>JINGLE BELL HEART ANTIQUE SILVER</t>
        </is>
      </c>
      <c r="F4979" s="114" t="n">
        <v>2</v>
      </c>
      <c r="G4979" s="115" t="n">
        <v>2.08</v>
      </c>
      <c r="H4979" s="115" t="n">
        <v>4.16</v>
      </c>
      <c r="I4979" s="116" t="n">
        <v>40885</v>
      </c>
    </row>
    <row r="4980">
      <c r="A4980" s="117" t="inlineStr">
        <is>
          <t>581405</t>
        </is>
      </c>
      <c r="B4980" s="117" t="n">
        <v>13521</v>
      </c>
      <c r="C4980" s="117" t="inlineStr">
        <is>
          <t>United Kingdom</t>
        </is>
      </c>
      <c r="D4980" s="117" t="inlineStr">
        <is>
          <t>22279</t>
        </is>
      </c>
      <c r="E4980" s="117" t="inlineStr">
        <is>
          <t>POCKET BAG BLUE PAISLEY RED SPOT</t>
        </is>
      </c>
      <c r="F4980" s="117" t="n">
        <v>1</v>
      </c>
      <c r="G4980" s="118" t="n">
        <v>1.25</v>
      </c>
      <c r="H4980" s="118" t="n">
        <v>1.25</v>
      </c>
      <c r="I4980" s="119" t="n">
        <v>40885</v>
      </c>
    </row>
    <row r="4981">
      <c r="A4981" s="114" t="inlineStr">
        <is>
          <t>581412</t>
        </is>
      </c>
      <c r="B4981" s="114" t="n">
        <v>14415</v>
      </c>
      <c r="C4981" s="114" t="inlineStr">
        <is>
          <t>United Kingdom</t>
        </is>
      </c>
      <c r="D4981" s="114" t="inlineStr">
        <is>
          <t>23380</t>
        </is>
      </c>
      <c r="E4981" s="114" t="inlineStr">
        <is>
          <t>PACK OF 12 VINTAGE DOILY TISSUES</t>
        </is>
      </c>
      <c r="F4981" s="114" t="n">
        <v>12</v>
      </c>
      <c r="G4981" s="115" t="n">
        <v>0.39</v>
      </c>
      <c r="H4981" s="115" t="n">
        <v>4.68</v>
      </c>
      <c r="I4981" s="116" t="n">
        <v>40885</v>
      </c>
    </row>
    <row r="4982">
      <c r="A4982" s="117" t="inlineStr">
        <is>
          <t>581420</t>
        </is>
      </c>
      <c r="B4982" s="117" t="n">
        <v>16358</v>
      </c>
      <c r="C4982" s="117" t="inlineStr">
        <is>
          <t>United Kingdom</t>
        </is>
      </c>
      <c r="D4982" s="117" t="inlineStr">
        <is>
          <t>22999</t>
        </is>
      </c>
      <c r="E4982" s="117" t="inlineStr">
        <is>
          <t>TRAVEL CARD WALLET VINTAGE LEAF</t>
        </is>
      </c>
      <c r="F4982" s="117" t="n">
        <v>24</v>
      </c>
      <c r="G4982" s="118" t="n">
        <v>0.42</v>
      </c>
      <c r="H4982" s="118" t="n">
        <v>10.08</v>
      </c>
      <c r="I4982" s="119" t="n">
        <v>40885</v>
      </c>
    </row>
    <row r="4983">
      <c r="A4983" s="114" t="inlineStr">
        <is>
          <t>581420</t>
        </is>
      </c>
      <c r="B4983" s="114" t="n">
        <v>16358</v>
      </c>
      <c r="C4983" s="114" t="inlineStr">
        <is>
          <t>United Kingdom</t>
        </is>
      </c>
      <c r="D4983" s="114" t="inlineStr">
        <is>
          <t>23367</t>
        </is>
      </c>
      <c r="E4983" s="114" t="inlineStr">
        <is>
          <t xml:space="preserve">SET 12 COLOUR PENCILS SPACEBOY </t>
        </is>
      </c>
      <c r="F4983" s="114" t="n">
        <v>24</v>
      </c>
      <c r="G4983" s="115" t="n">
        <v>0.65</v>
      </c>
      <c r="H4983" s="115" t="n">
        <v>15.6</v>
      </c>
      <c r="I4983" s="116" t="n">
        <v>40885</v>
      </c>
    </row>
    <row r="4984">
      <c r="A4984" s="117" t="inlineStr">
        <is>
          <t>581425</t>
        </is>
      </c>
      <c r="B4984" s="117" t="n">
        <v>14796</v>
      </c>
      <c r="C4984" s="117" t="inlineStr">
        <is>
          <t>United Kingdom</t>
        </is>
      </c>
      <c r="D4984" s="117" t="inlineStr">
        <is>
          <t>20868</t>
        </is>
      </c>
      <c r="E4984" s="117" t="inlineStr">
        <is>
          <t>SILVER FABRIC MIRROR</t>
        </is>
      </c>
      <c r="F4984" s="117" t="n">
        <v>1</v>
      </c>
      <c r="G4984" s="118" t="n">
        <v>0.39</v>
      </c>
      <c r="H4984" s="118" t="n">
        <v>0.39</v>
      </c>
      <c r="I4984" s="119" t="n">
        <v>40885</v>
      </c>
    </row>
    <row r="4985">
      <c r="A4985" s="114" t="inlineStr">
        <is>
          <t>581425</t>
        </is>
      </c>
      <c r="B4985" s="114" t="n">
        <v>14796</v>
      </c>
      <c r="C4985" s="114" t="inlineStr">
        <is>
          <t>United Kingdom</t>
        </is>
      </c>
      <c r="D4985" s="114" t="inlineStr">
        <is>
          <t>85152</t>
        </is>
      </c>
      <c r="E4985" s="114" t="inlineStr">
        <is>
          <t xml:space="preserve">HAND OVER THE CHOCOLATE   SIGN </t>
        </is>
      </c>
      <c r="F4985" s="114" t="n">
        <v>12</v>
      </c>
      <c r="G4985" s="115" t="n">
        <v>2.1</v>
      </c>
      <c r="H4985" s="115" t="n">
        <v>25.2</v>
      </c>
      <c r="I4985" s="116" t="n">
        <v>40885</v>
      </c>
    </row>
    <row r="4986">
      <c r="A4986" s="117" t="inlineStr">
        <is>
          <t>581426</t>
        </is>
      </c>
      <c r="B4986" s="117" t="n">
        <v>17757</v>
      </c>
      <c r="C4986" s="117" t="inlineStr">
        <is>
          <t>United Kingdom</t>
        </is>
      </c>
      <c r="D4986" s="117" t="inlineStr">
        <is>
          <t>84006</t>
        </is>
      </c>
      <c r="E4986" s="117" t="inlineStr">
        <is>
          <t>MAGIC TREE -PAPER FLOWERS</t>
        </is>
      </c>
      <c r="F4986" s="117" t="n">
        <v>12</v>
      </c>
      <c r="G4986" s="118" t="n">
        <v>0.85</v>
      </c>
      <c r="H4986" s="118" t="n">
        <v>10.2</v>
      </c>
      <c r="I4986" s="119" t="n">
        <v>40885</v>
      </c>
    </row>
    <row r="4987">
      <c r="A4987" s="114" t="inlineStr">
        <is>
          <t>581433</t>
        </is>
      </c>
      <c r="B4987" s="114" t="n">
        <v>14911</v>
      </c>
      <c r="C4987" s="114" t="inlineStr">
        <is>
          <t>EIRE</t>
        </is>
      </c>
      <c r="D4987" s="114" t="inlineStr">
        <is>
          <t>85014B</t>
        </is>
      </c>
      <c r="E4987" s="114" t="inlineStr">
        <is>
          <t>RED RETROSPOT UMBRELLA</t>
        </is>
      </c>
      <c r="F4987" s="114" t="n">
        <v>3</v>
      </c>
      <c r="G4987" s="115" t="n">
        <v>5.95</v>
      </c>
      <c r="H4987" s="115" t="n">
        <v>17.85</v>
      </c>
      <c r="I4987" s="116" t="n">
        <v>40885</v>
      </c>
    </row>
    <row r="4988">
      <c r="A4988" s="117" t="inlineStr">
        <is>
          <t>581433</t>
        </is>
      </c>
      <c r="B4988" s="117" t="n">
        <v>14911</v>
      </c>
      <c r="C4988" s="117" t="inlineStr">
        <is>
          <t>EIRE</t>
        </is>
      </c>
      <c r="D4988" s="117" t="inlineStr">
        <is>
          <t>84509G</t>
        </is>
      </c>
      <c r="E4988" s="117" t="inlineStr">
        <is>
          <t xml:space="preserve">SET OF 4 FAIRY CAKE PLACEMATS </t>
        </is>
      </c>
      <c r="F4988" s="117" t="n">
        <v>12</v>
      </c>
      <c r="G4988" s="118" t="n">
        <v>1.25</v>
      </c>
      <c r="H4988" s="118" t="n">
        <v>15</v>
      </c>
      <c r="I4988" s="119" t="n">
        <v>40885</v>
      </c>
    </row>
    <row r="4989">
      <c r="A4989" s="114" t="inlineStr">
        <is>
          <t>581437</t>
        </is>
      </c>
      <c r="B4989" s="114" t="n">
        <v>14621</v>
      </c>
      <c r="C4989" s="114" t="inlineStr">
        <is>
          <t>United Kingdom</t>
        </is>
      </c>
      <c r="D4989" s="114" t="inlineStr">
        <is>
          <t>23375</t>
        </is>
      </c>
      <c r="E4989" s="114" t="inlineStr">
        <is>
          <t>50'S CHRISTMAS PAPER GIFT BAG</t>
        </is>
      </c>
      <c r="F4989" s="114" t="n">
        <v>10</v>
      </c>
      <c r="G4989" s="115" t="n">
        <v>0.82</v>
      </c>
      <c r="H4989" s="115" t="n">
        <v>8.199999999999999</v>
      </c>
      <c r="I4989" s="116" t="n">
        <v>40885</v>
      </c>
    </row>
    <row r="4990">
      <c r="A4990" s="117" t="inlineStr">
        <is>
          <t>581445</t>
        </is>
      </c>
      <c r="B4990" s="117" t="n">
        <v>17405</v>
      </c>
      <c r="C4990" s="117" t="inlineStr">
        <is>
          <t>United Kingdom</t>
        </is>
      </c>
      <c r="D4990" s="117" t="inlineStr">
        <is>
          <t>22398</t>
        </is>
      </c>
      <c r="E4990" s="117" t="inlineStr">
        <is>
          <t>MAGNETS PACK OF 4 SWALLOWS</t>
        </is>
      </c>
      <c r="F4990" s="117" t="n">
        <v>12</v>
      </c>
      <c r="G4990" s="118" t="n">
        <v>0.39</v>
      </c>
      <c r="H4990" s="118" t="n">
        <v>4.68</v>
      </c>
      <c r="I4990" s="119" t="n">
        <v>40885</v>
      </c>
    </row>
    <row r="4991">
      <c r="A4991" s="114" t="inlineStr">
        <is>
          <t>581449</t>
        </is>
      </c>
      <c r="B4991" s="114" t="n">
        <v>12748</v>
      </c>
      <c r="C4991" s="114" t="inlineStr">
        <is>
          <t>United Kingdom</t>
        </is>
      </c>
      <c r="D4991" s="114" t="inlineStr">
        <is>
          <t>22423</t>
        </is>
      </c>
      <c r="E4991" s="114" t="inlineStr">
        <is>
          <t>REGENCY CAKESTAND 3 TIER</t>
        </is>
      </c>
      <c r="F4991" s="114" t="n">
        <v>1</v>
      </c>
      <c r="G4991" s="115" t="n">
        <v>12.75</v>
      </c>
      <c r="H4991" s="115" t="n">
        <v>12.75</v>
      </c>
      <c r="I4991" s="116" t="n">
        <v>40885</v>
      </c>
    </row>
    <row r="4992">
      <c r="A4992" s="117" t="inlineStr">
        <is>
          <t>581452</t>
        </is>
      </c>
      <c r="B4992" s="117" t="n">
        <v>17675</v>
      </c>
      <c r="C4992" s="117" t="inlineStr">
        <is>
          <t>United Kingdom</t>
        </is>
      </c>
      <c r="D4992" s="117" t="inlineStr">
        <is>
          <t>23356</t>
        </is>
      </c>
      <c r="E4992" s="117" t="inlineStr">
        <is>
          <t>LOVE HOT WATER BOTTLE</t>
        </is>
      </c>
      <c r="F4992" s="117" t="n">
        <v>12</v>
      </c>
      <c r="G4992" s="118" t="n">
        <v>5.95</v>
      </c>
      <c r="H4992" s="118" t="n">
        <v>71.40000000000001</v>
      </c>
      <c r="I4992" s="119" t="n">
        <v>40885</v>
      </c>
    </row>
    <row r="4993">
      <c r="A4993" s="114" t="inlineStr">
        <is>
          <t>581456</t>
        </is>
      </c>
      <c r="B4993" s="114" t="n">
        <v>17530</v>
      </c>
      <c r="C4993" s="114" t="inlineStr">
        <is>
          <t>United Kingdom</t>
        </is>
      </c>
      <c r="D4993" s="114" t="inlineStr">
        <is>
          <t>22964</t>
        </is>
      </c>
      <c r="E4993" s="114" t="inlineStr">
        <is>
          <t>3 PIECE SPACEBOY COOKIE CUTTER SET</t>
        </is>
      </c>
      <c r="F4993" s="114" t="n">
        <v>2</v>
      </c>
      <c r="G4993" s="115" t="n">
        <v>2.1</v>
      </c>
      <c r="H4993" s="115" t="n">
        <v>4.2</v>
      </c>
      <c r="I4993" s="116" t="n">
        <v>40885</v>
      </c>
    </row>
    <row r="4994">
      <c r="A4994" s="117" t="inlineStr">
        <is>
          <t>581467</t>
        </is>
      </c>
      <c r="B4994" s="117" t="n">
        <v>13077</v>
      </c>
      <c r="C4994" s="117" t="inlineStr">
        <is>
          <t>United Kingdom</t>
        </is>
      </c>
      <c r="D4994" s="117" t="inlineStr">
        <is>
          <t>22754</t>
        </is>
      </c>
      <c r="E4994" s="117" t="inlineStr">
        <is>
          <t xml:space="preserve">SMALL RED BABUSHKA NOTEBOOK </t>
        </is>
      </c>
      <c r="F4994" s="117" t="n">
        <v>1</v>
      </c>
      <c r="G4994" s="118" t="n">
        <v>0.21</v>
      </c>
      <c r="H4994" s="118" t="n">
        <v>0.21</v>
      </c>
      <c r="I4994" s="119" t="n">
        <v>40885</v>
      </c>
    </row>
    <row r="4995">
      <c r="A4995" s="114" t="inlineStr">
        <is>
          <t>581472</t>
        </is>
      </c>
      <c r="B4995" s="114" t="n">
        <v>15796</v>
      </c>
      <c r="C4995" s="114" t="inlineStr">
        <is>
          <t>United Kingdom</t>
        </is>
      </c>
      <c r="D4995" s="114" t="inlineStr">
        <is>
          <t>22698</t>
        </is>
      </c>
      <c r="E4995" s="114" t="inlineStr">
        <is>
          <t>PINK REGENCY TEACUP AND SAUCER</t>
        </is>
      </c>
      <c r="F4995" s="114" t="n">
        <v>12</v>
      </c>
      <c r="G4995" s="115" t="n">
        <v>2.95</v>
      </c>
      <c r="H4995" s="115" t="n">
        <v>35.4</v>
      </c>
      <c r="I4995" s="116" t="n">
        <v>40885</v>
      </c>
    </row>
    <row r="4996">
      <c r="A4996" s="117" t="inlineStr">
        <is>
          <t>581473</t>
        </is>
      </c>
      <c r="B4996" s="117" t="n">
        <v>12748</v>
      </c>
      <c r="C4996" s="117" t="inlineStr">
        <is>
          <t>United Kingdom</t>
        </is>
      </c>
      <c r="D4996" s="117" t="inlineStr">
        <is>
          <t>22130</t>
        </is>
      </c>
      <c r="E4996" s="117" t="inlineStr">
        <is>
          <t xml:space="preserve">PARTY CONE CHRISTMAS DECORATION </t>
        </is>
      </c>
      <c r="F4996" s="117" t="n">
        <v>6</v>
      </c>
      <c r="G4996" s="118" t="n">
        <v>0.85</v>
      </c>
      <c r="H4996" s="118" t="n">
        <v>5.1</v>
      </c>
      <c r="I4996" s="119" t="n">
        <v>40885</v>
      </c>
    </row>
    <row r="4997">
      <c r="A4997" s="114" t="inlineStr">
        <is>
          <t>581475</t>
        </is>
      </c>
      <c r="B4997" s="114" t="n">
        <v>13069</v>
      </c>
      <c r="C4997" s="114" t="inlineStr">
        <is>
          <t>United Kingdom</t>
        </is>
      </c>
      <c r="D4997" s="114" t="inlineStr">
        <is>
          <t>22380</t>
        </is>
      </c>
      <c r="E4997" s="114" t="inlineStr">
        <is>
          <t xml:space="preserve">TOY TIDY SPACEBOY  </t>
        </is>
      </c>
      <c r="F4997" s="114" t="n">
        <v>20</v>
      </c>
      <c r="G4997" s="115" t="n">
        <v>0.79</v>
      </c>
      <c r="H4997" s="115" t="n">
        <v>15.8</v>
      </c>
      <c r="I4997" s="116" t="n">
        <v>40886</v>
      </c>
    </row>
    <row r="4998">
      <c r="A4998" s="117" t="inlineStr">
        <is>
          <t>581496</t>
        </is>
      </c>
      <c r="B4998" s="117" t="n">
        <v>16558</v>
      </c>
      <c r="C4998" s="117" t="inlineStr">
        <is>
          <t>United Kingdom</t>
        </is>
      </c>
      <c r="D4998" s="117" t="inlineStr">
        <is>
          <t>20831</t>
        </is>
      </c>
      <c r="E4998" s="117" t="inlineStr">
        <is>
          <t>GOLD PHOTO FRAME</t>
        </is>
      </c>
      <c r="F4998" s="117" t="n">
        <v>12</v>
      </c>
      <c r="G4998" s="118" t="n">
        <v>0.79</v>
      </c>
      <c r="H4998" s="118" t="n">
        <v>9.48</v>
      </c>
      <c r="I4998" s="119" t="n">
        <v>40886</v>
      </c>
    </row>
    <row r="4999">
      <c r="A4999" s="114" t="inlineStr">
        <is>
          <t>581501</t>
        </is>
      </c>
      <c r="B4999" s="114" t="n">
        <v>12985</v>
      </c>
      <c r="C4999" s="114" t="inlineStr">
        <is>
          <t>United Kingdom</t>
        </is>
      </c>
      <c r="D4999" s="114" t="inlineStr">
        <is>
          <t>21563</t>
        </is>
      </c>
      <c r="E4999" s="114" t="inlineStr">
        <is>
          <t xml:space="preserve">RED HEART SHAPE LOVE BUCKET </t>
        </is>
      </c>
      <c r="F4999" s="114" t="n">
        <v>24</v>
      </c>
      <c r="G4999" s="115" t="n">
        <v>0.79</v>
      </c>
      <c r="H4999" s="115" t="n">
        <v>18.96</v>
      </c>
      <c r="I4999" s="116" t="n">
        <v>40886</v>
      </c>
    </row>
    <row r="5000">
      <c r="A5000" s="117" t="inlineStr">
        <is>
          <t>581583</t>
        </is>
      </c>
      <c r="B5000" s="117" t="n">
        <v>13777</v>
      </c>
      <c r="C5000" s="117" t="inlineStr">
        <is>
          <t>United Kingdom</t>
        </is>
      </c>
      <c r="D5000" s="117" t="inlineStr">
        <is>
          <t>20725</t>
        </is>
      </c>
      <c r="E5000" s="117" t="inlineStr">
        <is>
          <t>LUNCH BAG RED RETROSPOT</t>
        </is>
      </c>
      <c r="F5000" s="117" t="n">
        <v>40</v>
      </c>
      <c r="G5000" s="118" t="n">
        <v>1.45</v>
      </c>
      <c r="H5000" s="118" t="n">
        <v>58</v>
      </c>
      <c r="I5000" s="119" t="n">
        <v>40886</v>
      </c>
    </row>
    <row r="5001">
      <c r="A5001" s="114" t="inlineStr">
        <is>
          <t>581585</t>
        </is>
      </c>
      <c r="B5001" s="114" t="n">
        <v>15804</v>
      </c>
      <c r="C5001" s="114" t="inlineStr">
        <is>
          <t>United Kingdom</t>
        </is>
      </c>
      <c r="D5001" s="114" t="inlineStr">
        <is>
          <t>22726</t>
        </is>
      </c>
      <c r="E5001" s="114" t="inlineStr">
        <is>
          <t>ALARM CLOCK BAKELIKE GREEN</t>
        </is>
      </c>
      <c r="F5001" s="114" t="n">
        <v>8</v>
      </c>
      <c r="G5001" s="115" t="n">
        <v>3.75</v>
      </c>
      <c r="H5001" s="115" t="n">
        <v>30</v>
      </c>
      <c r="I5001" s="116" t="n">
        <v>40886</v>
      </c>
    </row>
    <row r="5002">
      <c r="A5002" s="117" t="inlineStr">
        <is>
          <t>581587</t>
        </is>
      </c>
      <c r="B5002" s="117" t="n">
        <v>12680</v>
      </c>
      <c r="C5002" s="117" t="inlineStr">
        <is>
          <t>France</t>
        </is>
      </c>
      <c r="D5002" s="117" t="inlineStr">
        <is>
          <t>22555</t>
        </is>
      </c>
      <c r="E5002" s="117" t="inlineStr">
        <is>
          <t>PLASTERS IN TIN STRONGMAN</t>
        </is>
      </c>
      <c r="F5002" s="117" t="n">
        <v>12</v>
      </c>
      <c r="G5002" s="118" t="n">
        <v>1.65</v>
      </c>
      <c r="H5002" s="118" t="n">
        <v>19.8</v>
      </c>
      <c r="I5002" s="119" t="n">
        <v>40886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L43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4" customWidth="1" min="11" max="11"/>
    <col width="14" customWidth="1" min="12" max="12"/>
  </cols>
  <sheetData>
    <row r="1" ht="30" customHeight="1">
      <c r="A1" s="120" t="inlineStr">
        <is>
          <t>📊  RFM Metrics &amp; Scoring  |  4,338 Customers  |  Reference Date: 10-Dec-2011</t>
        </is>
      </c>
    </row>
    <row r="2" ht="30" customHeight="1">
      <c r="A2" s="121" t="inlineStr">
        <is>
          <t>CustomerID</t>
        </is>
      </c>
      <c r="B2" s="121" t="inlineStr">
        <is>
          <t>Country</t>
        </is>
      </c>
      <c r="C2" s="121" t="inlineStr">
        <is>
          <t>Recency
(Days)</t>
        </is>
      </c>
      <c r="D2" s="121" t="inlineStr">
        <is>
          <t>Frequency
(Orders)</t>
        </is>
      </c>
      <c r="E2" s="121" t="inlineStr">
        <is>
          <t>Monetary
(£)</t>
        </is>
      </c>
      <c r="F2" s="121" t="inlineStr">
        <is>
          <t>R Score</t>
        </is>
      </c>
      <c r="G2" s="121" t="inlineStr">
        <is>
          <t>F Score</t>
        </is>
      </c>
      <c r="H2" s="121" t="inlineStr">
        <is>
          <t>M Score</t>
        </is>
      </c>
      <c r="I2" s="121" t="inlineStr">
        <is>
          <t>RFM
Combo</t>
        </is>
      </c>
      <c r="J2" s="121" t="inlineStr">
        <is>
          <t>Segment</t>
        </is>
      </c>
      <c r="K2" s="121" t="inlineStr">
        <is>
          <t>Revenue Band</t>
        </is>
      </c>
      <c r="L2" s="121" t="inlineStr">
        <is>
          <t>Last Purchase</t>
        </is>
      </c>
    </row>
    <row r="3">
      <c r="A3" s="122" t="n">
        <v>12346</v>
      </c>
      <c r="B3" s="122" t="inlineStr">
        <is>
          <t>United Kingdom</t>
        </is>
      </c>
      <c r="C3" s="122" t="n">
        <v>326</v>
      </c>
      <c r="D3" s="122" t="n">
        <v>1</v>
      </c>
      <c r="E3" s="123" t="n">
        <v>77183.60000000001</v>
      </c>
      <c r="F3" s="124">
        <f>IF(C3&lt;=30,5,IF(C3&lt;=60,4,IF(C3&lt;=120,3,IF(C3&lt;=200,2,1))))</f>
        <v/>
      </c>
      <c r="G3" s="124">
        <f>IF(D3&gt;=20,5,IF(D3&gt;=10,4,IF(D3&gt;=5,3,IF(D3&gt;=2,2,1))))</f>
        <v/>
      </c>
      <c r="H3" s="124">
        <f>IF(E3&gt;=5000,5,IF(E3&gt;=2000,4,IF(E3&gt;=800,3,IF(E3&gt;=300,2,1))))</f>
        <v/>
      </c>
      <c r="I3" s="122">
        <f>TEXT(F3,"0")&amp;TEXT(G3,"0")&amp;TEXT(H3,"0")</f>
        <v/>
      </c>
      <c r="J3" s="122">
        <f>IFERROR(XLOOKUP(I3,'Segment Map'!A:A,'Segment Map'!B:B,"Need Attention"),"Need Attention")</f>
        <v/>
      </c>
      <c r="K3" s="122">
        <f>IF(E3&gt;=5000,"🏆 Platinum",IF(E3&gt;=2000,"🥇 Gold",IF(E3&gt;=800,"🥈 Silver","🥉 Bronze")))</f>
        <v/>
      </c>
      <c r="L3" s="125" t="n">
        <v>40561</v>
      </c>
    </row>
    <row r="4">
      <c r="A4" s="126" t="n">
        <v>12347</v>
      </c>
      <c r="B4" s="126" t="inlineStr">
        <is>
          <t>Iceland</t>
        </is>
      </c>
      <c r="C4" s="126" t="n">
        <v>3</v>
      </c>
      <c r="D4" s="126" t="n">
        <v>7</v>
      </c>
      <c r="E4" s="127" t="n">
        <v>4310</v>
      </c>
      <c r="F4" s="128">
        <f>IF(C4&lt;=30,5,IF(C4&lt;=60,4,IF(C4&lt;=120,3,IF(C4&lt;=200,2,1))))</f>
        <v/>
      </c>
      <c r="G4" s="128">
        <f>IF(D4&gt;=20,5,IF(D4&gt;=10,4,IF(D4&gt;=5,3,IF(D4&gt;=2,2,1))))</f>
        <v/>
      </c>
      <c r="H4" s="128">
        <f>IF(E4&gt;=5000,5,IF(E4&gt;=2000,4,IF(E4&gt;=800,3,IF(E4&gt;=300,2,1))))</f>
        <v/>
      </c>
      <c r="I4" s="126">
        <f>TEXT(F4,"0")&amp;TEXT(G4,"0")&amp;TEXT(H4,"0")</f>
        <v/>
      </c>
      <c r="J4" s="126">
        <f>IFERROR(XLOOKUP(I4,'Segment Map'!A:A,'Segment Map'!B:B,"Need Attention"),"Need Attention")</f>
        <v/>
      </c>
      <c r="K4" s="126">
        <f>IF(E4&gt;=5000,"🏆 Platinum",IF(E4&gt;=2000,"🥇 Gold",IF(E4&gt;=800,"🥈 Silver","🥉 Bronze")))</f>
        <v/>
      </c>
      <c r="L4" s="129" t="n">
        <v>40884</v>
      </c>
    </row>
    <row r="5">
      <c r="A5" s="122" t="n">
        <v>12348</v>
      </c>
      <c r="B5" s="122" t="inlineStr">
        <is>
          <t>Finland</t>
        </is>
      </c>
      <c r="C5" s="122" t="n">
        <v>76</v>
      </c>
      <c r="D5" s="122" t="n">
        <v>4</v>
      </c>
      <c r="E5" s="123" t="n">
        <v>1797.24</v>
      </c>
      <c r="F5" s="124">
        <f>IF(C5&lt;=30,5,IF(C5&lt;=60,4,IF(C5&lt;=120,3,IF(C5&lt;=200,2,1))))</f>
        <v/>
      </c>
      <c r="G5" s="124">
        <f>IF(D5&gt;=20,5,IF(D5&gt;=10,4,IF(D5&gt;=5,3,IF(D5&gt;=2,2,1))))</f>
        <v/>
      </c>
      <c r="H5" s="124">
        <f>IF(E5&gt;=5000,5,IF(E5&gt;=2000,4,IF(E5&gt;=800,3,IF(E5&gt;=300,2,1))))</f>
        <v/>
      </c>
      <c r="I5" s="122">
        <f>TEXT(F5,"0")&amp;TEXT(G5,"0")&amp;TEXT(H5,"0")</f>
        <v/>
      </c>
      <c r="J5" s="122">
        <f>IFERROR(XLOOKUP(I5,'Segment Map'!A:A,'Segment Map'!B:B,"Need Attention"),"Need Attention")</f>
        <v/>
      </c>
      <c r="K5" s="122">
        <f>IF(E5&gt;=5000,"🏆 Platinum",IF(E5&gt;=2000,"🥇 Gold",IF(E5&gt;=800,"🥈 Silver","🥉 Bronze")))</f>
        <v/>
      </c>
      <c r="L5" s="125" t="n">
        <v>40811</v>
      </c>
    </row>
    <row r="6">
      <c r="A6" s="126" t="n">
        <v>12349</v>
      </c>
      <c r="B6" s="126" t="inlineStr">
        <is>
          <t>Italy</t>
        </is>
      </c>
      <c r="C6" s="126" t="n">
        <v>19</v>
      </c>
      <c r="D6" s="126" t="n">
        <v>1</v>
      </c>
      <c r="E6" s="127" t="n">
        <v>1757.55</v>
      </c>
      <c r="F6" s="128">
        <f>IF(C6&lt;=30,5,IF(C6&lt;=60,4,IF(C6&lt;=120,3,IF(C6&lt;=200,2,1))))</f>
        <v/>
      </c>
      <c r="G6" s="128">
        <f>IF(D6&gt;=20,5,IF(D6&gt;=10,4,IF(D6&gt;=5,3,IF(D6&gt;=2,2,1))))</f>
        <v/>
      </c>
      <c r="H6" s="128">
        <f>IF(E6&gt;=5000,5,IF(E6&gt;=2000,4,IF(E6&gt;=800,3,IF(E6&gt;=300,2,1))))</f>
        <v/>
      </c>
      <c r="I6" s="126">
        <f>TEXT(F6,"0")&amp;TEXT(G6,"0")&amp;TEXT(H6,"0")</f>
        <v/>
      </c>
      <c r="J6" s="126">
        <f>IFERROR(XLOOKUP(I6,'Segment Map'!A:A,'Segment Map'!B:B,"Need Attention"),"Need Attention")</f>
        <v/>
      </c>
      <c r="K6" s="126">
        <f>IF(E6&gt;=5000,"🏆 Platinum",IF(E6&gt;=2000,"🥇 Gold",IF(E6&gt;=800,"🥈 Silver","🥉 Bronze")))</f>
        <v/>
      </c>
      <c r="L6" s="129" t="n">
        <v>40868</v>
      </c>
    </row>
    <row r="7">
      <c r="A7" s="122" t="n">
        <v>12350</v>
      </c>
      <c r="B7" s="122" t="inlineStr">
        <is>
          <t>Norway</t>
        </is>
      </c>
      <c r="C7" s="122" t="n">
        <v>311</v>
      </c>
      <c r="D7" s="122" t="n">
        <v>1</v>
      </c>
      <c r="E7" s="123" t="n">
        <v>334.4</v>
      </c>
      <c r="F7" s="124">
        <f>IF(C7&lt;=30,5,IF(C7&lt;=60,4,IF(C7&lt;=120,3,IF(C7&lt;=200,2,1))))</f>
        <v/>
      </c>
      <c r="G7" s="124">
        <f>IF(D7&gt;=20,5,IF(D7&gt;=10,4,IF(D7&gt;=5,3,IF(D7&gt;=2,2,1))))</f>
        <v/>
      </c>
      <c r="H7" s="124">
        <f>IF(E7&gt;=5000,5,IF(E7&gt;=2000,4,IF(E7&gt;=800,3,IF(E7&gt;=300,2,1))))</f>
        <v/>
      </c>
      <c r="I7" s="122">
        <f>TEXT(F7,"0")&amp;TEXT(G7,"0")&amp;TEXT(H7,"0")</f>
        <v/>
      </c>
      <c r="J7" s="122">
        <f>IFERROR(XLOOKUP(I7,'Segment Map'!A:A,'Segment Map'!B:B,"Need Attention"),"Need Attention")</f>
        <v/>
      </c>
      <c r="K7" s="122">
        <f>IF(E7&gt;=5000,"🏆 Platinum",IF(E7&gt;=2000,"🥇 Gold",IF(E7&gt;=800,"🥈 Silver","🥉 Bronze")))</f>
        <v/>
      </c>
      <c r="L7" s="125" t="n">
        <v>40576</v>
      </c>
    </row>
    <row r="8">
      <c r="A8" s="126" t="n">
        <v>12352</v>
      </c>
      <c r="B8" s="126" t="inlineStr">
        <is>
          <t>Norway</t>
        </is>
      </c>
      <c r="C8" s="126" t="n">
        <v>37</v>
      </c>
      <c r="D8" s="126" t="n">
        <v>8</v>
      </c>
      <c r="E8" s="127" t="n">
        <v>2506.04</v>
      </c>
      <c r="F8" s="128">
        <f>IF(C8&lt;=30,5,IF(C8&lt;=60,4,IF(C8&lt;=120,3,IF(C8&lt;=200,2,1))))</f>
        <v/>
      </c>
      <c r="G8" s="128">
        <f>IF(D8&gt;=20,5,IF(D8&gt;=10,4,IF(D8&gt;=5,3,IF(D8&gt;=2,2,1))))</f>
        <v/>
      </c>
      <c r="H8" s="128">
        <f>IF(E8&gt;=5000,5,IF(E8&gt;=2000,4,IF(E8&gt;=800,3,IF(E8&gt;=300,2,1))))</f>
        <v/>
      </c>
      <c r="I8" s="126">
        <f>TEXT(F8,"0")&amp;TEXT(G8,"0")&amp;TEXT(H8,"0")</f>
        <v/>
      </c>
      <c r="J8" s="126">
        <f>IFERROR(XLOOKUP(I8,'Segment Map'!A:A,'Segment Map'!B:B,"Need Attention"),"Need Attention")</f>
        <v/>
      </c>
      <c r="K8" s="126">
        <f>IF(E8&gt;=5000,"🏆 Platinum",IF(E8&gt;=2000,"🥇 Gold",IF(E8&gt;=800,"🥈 Silver","🥉 Bronze")))</f>
        <v/>
      </c>
      <c r="L8" s="129" t="n">
        <v>40850</v>
      </c>
    </row>
    <row r="9">
      <c r="A9" s="122" t="n">
        <v>12353</v>
      </c>
      <c r="B9" s="122" t="inlineStr">
        <is>
          <t>Bahrain</t>
        </is>
      </c>
      <c r="C9" s="122" t="n">
        <v>205</v>
      </c>
      <c r="D9" s="122" t="n">
        <v>1</v>
      </c>
      <c r="E9" s="123" t="n">
        <v>89</v>
      </c>
      <c r="F9" s="124">
        <f>IF(C9&lt;=30,5,IF(C9&lt;=60,4,IF(C9&lt;=120,3,IF(C9&lt;=200,2,1))))</f>
        <v/>
      </c>
      <c r="G9" s="124">
        <f>IF(D9&gt;=20,5,IF(D9&gt;=10,4,IF(D9&gt;=5,3,IF(D9&gt;=2,2,1))))</f>
        <v/>
      </c>
      <c r="H9" s="124">
        <f>IF(E9&gt;=5000,5,IF(E9&gt;=2000,4,IF(E9&gt;=800,3,IF(E9&gt;=300,2,1))))</f>
        <v/>
      </c>
      <c r="I9" s="122">
        <f>TEXT(F9,"0")&amp;TEXT(G9,"0")&amp;TEXT(H9,"0")</f>
        <v/>
      </c>
      <c r="J9" s="122">
        <f>IFERROR(XLOOKUP(I9,'Segment Map'!A:A,'Segment Map'!B:B,"Need Attention"),"Need Attention")</f>
        <v/>
      </c>
      <c r="K9" s="122">
        <f>IF(E9&gt;=5000,"🏆 Platinum",IF(E9&gt;=2000,"🥇 Gold",IF(E9&gt;=800,"🥈 Silver","🥉 Bronze")))</f>
        <v/>
      </c>
      <c r="L9" s="125" t="n">
        <v>40682</v>
      </c>
    </row>
    <row r="10">
      <c r="A10" s="126" t="n">
        <v>12354</v>
      </c>
      <c r="B10" s="126" t="inlineStr">
        <is>
          <t>Spain</t>
        </is>
      </c>
      <c r="C10" s="126" t="n">
        <v>233</v>
      </c>
      <c r="D10" s="126" t="n">
        <v>1</v>
      </c>
      <c r="E10" s="127" t="n">
        <v>1079.4</v>
      </c>
      <c r="F10" s="128">
        <f>IF(C10&lt;=30,5,IF(C10&lt;=60,4,IF(C10&lt;=120,3,IF(C10&lt;=200,2,1))))</f>
        <v/>
      </c>
      <c r="G10" s="128">
        <f>IF(D10&gt;=20,5,IF(D10&gt;=10,4,IF(D10&gt;=5,3,IF(D10&gt;=2,2,1))))</f>
        <v/>
      </c>
      <c r="H10" s="128">
        <f>IF(E10&gt;=5000,5,IF(E10&gt;=2000,4,IF(E10&gt;=800,3,IF(E10&gt;=300,2,1))))</f>
        <v/>
      </c>
      <c r="I10" s="126">
        <f>TEXT(F10,"0")&amp;TEXT(G10,"0")&amp;TEXT(H10,"0")</f>
        <v/>
      </c>
      <c r="J10" s="126">
        <f>IFERROR(XLOOKUP(I10,'Segment Map'!A:A,'Segment Map'!B:B,"Need Attention"),"Need Attention")</f>
        <v/>
      </c>
      <c r="K10" s="126">
        <f>IF(E10&gt;=5000,"🏆 Platinum",IF(E10&gt;=2000,"🥇 Gold",IF(E10&gt;=800,"🥈 Silver","🥉 Bronze")))</f>
        <v/>
      </c>
      <c r="L10" s="129" t="n">
        <v>40654</v>
      </c>
    </row>
    <row r="11">
      <c r="A11" s="122" t="n">
        <v>12355</v>
      </c>
      <c r="B11" s="122" t="inlineStr">
        <is>
          <t>Bahrain</t>
        </is>
      </c>
      <c r="C11" s="122" t="n">
        <v>215</v>
      </c>
      <c r="D11" s="122" t="n">
        <v>1</v>
      </c>
      <c r="E11" s="123" t="n">
        <v>459.4</v>
      </c>
      <c r="F11" s="124">
        <f>IF(C11&lt;=30,5,IF(C11&lt;=60,4,IF(C11&lt;=120,3,IF(C11&lt;=200,2,1))))</f>
        <v/>
      </c>
      <c r="G11" s="124">
        <f>IF(D11&gt;=20,5,IF(D11&gt;=10,4,IF(D11&gt;=5,3,IF(D11&gt;=2,2,1))))</f>
        <v/>
      </c>
      <c r="H11" s="124">
        <f>IF(E11&gt;=5000,5,IF(E11&gt;=2000,4,IF(E11&gt;=800,3,IF(E11&gt;=300,2,1))))</f>
        <v/>
      </c>
      <c r="I11" s="122">
        <f>TEXT(F11,"0")&amp;TEXT(G11,"0")&amp;TEXT(H11,"0")</f>
        <v/>
      </c>
      <c r="J11" s="122">
        <f>IFERROR(XLOOKUP(I11,'Segment Map'!A:A,'Segment Map'!B:B,"Need Attention"),"Need Attention")</f>
        <v/>
      </c>
      <c r="K11" s="122">
        <f>IF(E11&gt;=5000,"🏆 Platinum",IF(E11&gt;=2000,"🥇 Gold",IF(E11&gt;=800,"🥈 Silver","🥉 Bronze")))</f>
        <v/>
      </c>
      <c r="L11" s="125" t="n">
        <v>40672</v>
      </c>
    </row>
    <row r="12">
      <c r="A12" s="126" t="n">
        <v>12356</v>
      </c>
      <c r="B12" s="126" t="inlineStr">
        <is>
          <t>Portugal</t>
        </is>
      </c>
      <c r="C12" s="126" t="n">
        <v>23</v>
      </c>
      <c r="D12" s="126" t="n">
        <v>3</v>
      </c>
      <c r="E12" s="127" t="n">
        <v>2811.43</v>
      </c>
      <c r="F12" s="128">
        <f>IF(C12&lt;=30,5,IF(C12&lt;=60,4,IF(C12&lt;=120,3,IF(C12&lt;=200,2,1))))</f>
        <v/>
      </c>
      <c r="G12" s="128">
        <f>IF(D12&gt;=20,5,IF(D12&gt;=10,4,IF(D12&gt;=5,3,IF(D12&gt;=2,2,1))))</f>
        <v/>
      </c>
      <c r="H12" s="128">
        <f>IF(E12&gt;=5000,5,IF(E12&gt;=2000,4,IF(E12&gt;=800,3,IF(E12&gt;=300,2,1))))</f>
        <v/>
      </c>
      <c r="I12" s="126">
        <f>TEXT(F12,"0")&amp;TEXT(G12,"0")&amp;TEXT(H12,"0")</f>
        <v/>
      </c>
      <c r="J12" s="126">
        <f>IFERROR(XLOOKUP(I12,'Segment Map'!A:A,'Segment Map'!B:B,"Need Attention"),"Need Attention")</f>
        <v/>
      </c>
      <c r="K12" s="126">
        <f>IF(E12&gt;=5000,"🏆 Platinum",IF(E12&gt;=2000,"🥇 Gold",IF(E12&gt;=800,"🥈 Silver","🥉 Bronze")))</f>
        <v/>
      </c>
      <c r="L12" s="129" t="n">
        <v>40864</v>
      </c>
    </row>
    <row r="13">
      <c r="A13" s="122" t="n">
        <v>12357</v>
      </c>
      <c r="B13" s="122" t="inlineStr">
        <is>
          <t>Switzerland</t>
        </is>
      </c>
      <c r="C13" s="122" t="n">
        <v>34</v>
      </c>
      <c r="D13" s="122" t="n">
        <v>1</v>
      </c>
      <c r="E13" s="123" t="n">
        <v>6207.67</v>
      </c>
      <c r="F13" s="124">
        <f>IF(C13&lt;=30,5,IF(C13&lt;=60,4,IF(C13&lt;=120,3,IF(C13&lt;=200,2,1))))</f>
        <v/>
      </c>
      <c r="G13" s="124">
        <f>IF(D13&gt;=20,5,IF(D13&gt;=10,4,IF(D13&gt;=5,3,IF(D13&gt;=2,2,1))))</f>
        <v/>
      </c>
      <c r="H13" s="124">
        <f>IF(E13&gt;=5000,5,IF(E13&gt;=2000,4,IF(E13&gt;=800,3,IF(E13&gt;=300,2,1))))</f>
        <v/>
      </c>
      <c r="I13" s="122">
        <f>TEXT(F13,"0")&amp;TEXT(G13,"0")&amp;TEXT(H13,"0")</f>
        <v/>
      </c>
      <c r="J13" s="122">
        <f>IFERROR(XLOOKUP(I13,'Segment Map'!A:A,'Segment Map'!B:B,"Need Attention"),"Need Attention")</f>
        <v/>
      </c>
      <c r="K13" s="122">
        <f>IF(E13&gt;=5000,"🏆 Platinum",IF(E13&gt;=2000,"🥇 Gold",IF(E13&gt;=800,"🥈 Silver","🥉 Bronze")))</f>
        <v/>
      </c>
      <c r="L13" s="125" t="n">
        <v>40853</v>
      </c>
    </row>
    <row r="14">
      <c r="A14" s="126" t="n">
        <v>12358</v>
      </c>
      <c r="B14" s="126" t="inlineStr">
        <is>
          <t>Austria</t>
        </is>
      </c>
      <c r="C14" s="126" t="n">
        <v>2</v>
      </c>
      <c r="D14" s="126" t="n">
        <v>2</v>
      </c>
      <c r="E14" s="127" t="n">
        <v>1168.06</v>
      </c>
      <c r="F14" s="128">
        <f>IF(C14&lt;=30,5,IF(C14&lt;=60,4,IF(C14&lt;=120,3,IF(C14&lt;=200,2,1))))</f>
        <v/>
      </c>
      <c r="G14" s="128">
        <f>IF(D14&gt;=20,5,IF(D14&gt;=10,4,IF(D14&gt;=5,3,IF(D14&gt;=2,2,1))))</f>
        <v/>
      </c>
      <c r="H14" s="128">
        <f>IF(E14&gt;=5000,5,IF(E14&gt;=2000,4,IF(E14&gt;=800,3,IF(E14&gt;=300,2,1))))</f>
        <v/>
      </c>
      <c r="I14" s="126">
        <f>TEXT(F14,"0")&amp;TEXT(G14,"0")&amp;TEXT(H14,"0")</f>
        <v/>
      </c>
      <c r="J14" s="126">
        <f>IFERROR(XLOOKUP(I14,'Segment Map'!A:A,'Segment Map'!B:B,"Need Attention"),"Need Attention")</f>
        <v/>
      </c>
      <c r="K14" s="126">
        <f>IF(E14&gt;=5000,"🏆 Platinum",IF(E14&gt;=2000,"🥇 Gold",IF(E14&gt;=800,"🥈 Silver","🥉 Bronze")))</f>
        <v/>
      </c>
      <c r="L14" s="129" t="n">
        <v>40885</v>
      </c>
    </row>
    <row r="15">
      <c r="A15" s="122" t="n">
        <v>12359</v>
      </c>
      <c r="B15" s="122" t="inlineStr">
        <is>
          <t>Cyprus</t>
        </is>
      </c>
      <c r="C15" s="122" t="n">
        <v>58</v>
      </c>
      <c r="D15" s="122" t="n">
        <v>4</v>
      </c>
      <c r="E15" s="123" t="n">
        <v>6372.58</v>
      </c>
      <c r="F15" s="124">
        <f>IF(C15&lt;=30,5,IF(C15&lt;=60,4,IF(C15&lt;=120,3,IF(C15&lt;=200,2,1))))</f>
        <v/>
      </c>
      <c r="G15" s="124">
        <f>IF(D15&gt;=20,5,IF(D15&gt;=10,4,IF(D15&gt;=5,3,IF(D15&gt;=2,2,1))))</f>
        <v/>
      </c>
      <c r="H15" s="124">
        <f>IF(E15&gt;=5000,5,IF(E15&gt;=2000,4,IF(E15&gt;=800,3,IF(E15&gt;=300,2,1))))</f>
        <v/>
      </c>
      <c r="I15" s="122">
        <f>TEXT(F15,"0")&amp;TEXT(G15,"0")&amp;TEXT(H15,"0")</f>
        <v/>
      </c>
      <c r="J15" s="122">
        <f>IFERROR(XLOOKUP(I15,'Segment Map'!A:A,'Segment Map'!B:B,"Need Attention"),"Need Attention")</f>
        <v/>
      </c>
      <c r="K15" s="122">
        <f>IF(E15&gt;=5000,"🏆 Platinum",IF(E15&gt;=2000,"🥇 Gold",IF(E15&gt;=800,"🥈 Silver","🥉 Bronze")))</f>
        <v/>
      </c>
      <c r="L15" s="125" t="n">
        <v>40829</v>
      </c>
    </row>
    <row r="16">
      <c r="A16" s="126" t="n">
        <v>12360</v>
      </c>
      <c r="B16" s="126" t="inlineStr">
        <is>
          <t>Austria</t>
        </is>
      </c>
      <c r="C16" s="126" t="n">
        <v>53</v>
      </c>
      <c r="D16" s="126" t="n">
        <v>3</v>
      </c>
      <c r="E16" s="127" t="n">
        <v>2662.06</v>
      </c>
      <c r="F16" s="128">
        <f>IF(C16&lt;=30,5,IF(C16&lt;=60,4,IF(C16&lt;=120,3,IF(C16&lt;=200,2,1))))</f>
        <v/>
      </c>
      <c r="G16" s="128">
        <f>IF(D16&gt;=20,5,IF(D16&gt;=10,4,IF(D16&gt;=5,3,IF(D16&gt;=2,2,1))))</f>
        <v/>
      </c>
      <c r="H16" s="128">
        <f>IF(E16&gt;=5000,5,IF(E16&gt;=2000,4,IF(E16&gt;=800,3,IF(E16&gt;=300,2,1))))</f>
        <v/>
      </c>
      <c r="I16" s="126">
        <f>TEXT(F16,"0")&amp;TEXT(G16,"0")&amp;TEXT(H16,"0")</f>
        <v/>
      </c>
      <c r="J16" s="126">
        <f>IFERROR(XLOOKUP(I16,'Segment Map'!A:A,'Segment Map'!B:B,"Need Attention"),"Need Attention")</f>
        <v/>
      </c>
      <c r="K16" s="126">
        <f>IF(E16&gt;=5000,"🏆 Platinum",IF(E16&gt;=2000,"🥇 Gold",IF(E16&gt;=800,"🥈 Silver","🥉 Bronze")))</f>
        <v/>
      </c>
      <c r="L16" s="129" t="n">
        <v>40834</v>
      </c>
    </row>
    <row r="17">
      <c r="A17" s="122" t="n">
        <v>12361</v>
      </c>
      <c r="B17" s="122" t="inlineStr">
        <is>
          <t>Belgium</t>
        </is>
      </c>
      <c r="C17" s="122" t="n">
        <v>288</v>
      </c>
      <c r="D17" s="122" t="n">
        <v>1</v>
      </c>
      <c r="E17" s="123" t="n">
        <v>189.9</v>
      </c>
      <c r="F17" s="124">
        <f>IF(C17&lt;=30,5,IF(C17&lt;=60,4,IF(C17&lt;=120,3,IF(C17&lt;=200,2,1))))</f>
        <v/>
      </c>
      <c r="G17" s="124">
        <f>IF(D17&gt;=20,5,IF(D17&gt;=10,4,IF(D17&gt;=5,3,IF(D17&gt;=2,2,1))))</f>
        <v/>
      </c>
      <c r="H17" s="124">
        <f>IF(E17&gt;=5000,5,IF(E17&gt;=2000,4,IF(E17&gt;=800,3,IF(E17&gt;=300,2,1))))</f>
        <v/>
      </c>
      <c r="I17" s="122">
        <f>TEXT(F17,"0")&amp;TEXT(G17,"0")&amp;TEXT(H17,"0")</f>
        <v/>
      </c>
      <c r="J17" s="122">
        <f>IFERROR(XLOOKUP(I17,'Segment Map'!A:A,'Segment Map'!B:B,"Need Attention"),"Need Attention")</f>
        <v/>
      </c>
      <c r="K17" s="122">
        <f>IF(E17&gt;=5000,"🏆 Platinum",IF(E17&gt;=2000,"🥇 Gold",IF(E17&gt;=800,"🥈 Silver","🥉 Bronze")))</f>
        <v/>
      </c>
      <c r="L17" s="125" t="n">
        <v>40599</v>
      </c>
    </row>
    <row r="18">
      <c r="A18" s="126" t="n">
        <v>12362</v>
      </c>
      <c r="B18" s="126" t="inlineStr">
        <is>
          <t>Belgium</t>
        </is>
      </c>
      <c r="C18" s="126" t="n">
        <v>4</v>
      </c>
      <c r="D18" s="126" t="n">
        <v>10</v>
      </c>
      <c r="E18" s="127" t="n">
        <v>5226.23</v>
      </c>
      <c r="F18" s="128">
        <f>IF(C18&lt;=30,5,IF(C18&lt;=60,4,IF(C18&lt;=120,3,IF(C18&lt;=200,2,1))))</f>
        <v/>
      </c>
      <c r="G18" s="128">
        <f>IF(D18&gt;=20,5,IF(D18&gt;=10,4,IF(D18&gt;=5,3,IF(D18&gt;=2,2,1))))</f>
        <v/>
      </c>
      <c r="H18" s="128">
        <f>IF(E18&gt;=5000,5,IF(E18&gt;=2000,4,IF(E18&gt;=800,3,IF(E18&gt;=300,2,1))))</f>
        <v/>
      </c>
      <c r="I18" s="126">
        <f>TEXT(F18,"0")&amp;TEXT(G18,"0")&amp;TEXT(H18,"0")</f>
        <v/>
      </c>
      <c r="J18" s="126">
        <f>IFERROR(XLOOKUP(I18,'Segment Map'!A:A,'Segment Map'!B:B,"Need Attention"),"Need Attention")</f>
        <v/>
      </c>
      <c r="K18" s="126">
        <f>IF(E18&gt;=5000,"🏆 Platinum",IF(E18&gt;=2000,"🥇 Gold",IF(E18&gt;=800,"🥈 Silver","🥉 Bronze")))</f>
        <v/>
      </c>
      <c r="L18" s="129" t="n">
        <v>40883</v>
      </c>
    </row>
    <row r="19">
      <c r="A19" s="122" t="n">
        <v>12363</v>
      </c>
      <c r="B19" s="122" t="inlineStr">
        <is>
          <t>Unspecified</t>
        </is>
      </c>
      <c r="C19" s="122" t="n">
        <v>110</v>
      </c>
      <c r="D19" s="122" t="n">
        <v>2</v>
      </c>
      <c r="E19" s="123" t="n">
        <v>552</v>
      </c>
      <c r="F19" s="124">
        <f>IF(C19&lt;=30,5,IF(C19&lt;=60,4,IF(C19&lt;=120,3,IF(C19&lt;=200,2,1))))</f>
        <v/>
      </c>
      <c r="G19" s="124">
        <f>IF(D19&gt;=20,5,IF(D19&gt;=10,4,IF(D19&gt;=5,3,IF(D19&gt;=2,2,1))))</f>
        <v/>
      </c>
      <c r="H19" s="124">
        <f>IF(E19&gt;=5000,5,IF(E19&gt;=2000,4,IF(E19&gt;=800,3,IF(E19&gt;=300,2,1))))</f>
        <v/>
      </c>
      <c r="I19" s="122">
        <f>TEXT(F19,"0")&amp;TEXT(G19,"0")&amp;TEXT(H19,"0")</f>
        <v/>
      </c>
      <c r="J19" s="122">
        <f>IFERROR(XLOOKUP(I19,'Segment Map'!A:A,'Segment Map'!B:B,"Need Attention"),"Need Attention")</f>
        <v/>
      </c>
      <c r="K19" s="122">
        <f>IF(E19&gt;=5000,"🏆 Platinum",IF(E19&gt;=2000,"🥇 Gold",IF(E19&gt;=800,"🥈 Silver","🥉 Bronze")))</f>
        <v/>
      </c>
      <c r="L19" s="125" t="n">
        <v>40777</v>
      </c>
    </row>
    <row r="20">
      <c r="A20" s="126" t="n">
        <v>12364</v>
      </c>
      <c r="B20" s="126" t="inlineStr">
        <is>
          <t>Belgium</t>
        </is>
      </c>
      <c r="C20" s="126" t="n">
        <v>8</v>
      </c>
      <c r="D20" s="126" t="n">
        <v>4</v>
      </c>
      <c r="E20" s="127" t="n">
        <v>1313.1</v>
      </c>
      <c r="F20" s="128">
        <f>IF(C20&lt;=30,5,IF(C20&lt;=60,4,IF(C20&lt;=120,3,IF(C20&lt;=200,2,1))))</f>
        <v/>
      </c>
      <c r="G20" s="128">
        <f>IF(D20&gt;=20,5,IF(D20&gt;=10,4,IF(D20&gt;=5,3,IF(D20&gt;=2,2,1))))</f>
        <v/>
      </c>
      <c r="H20" s="128">
        <f>IF(E20&gt;=5000,5,IF(E20&gt;=2000,4,IF(E20&gt;=800,3,IF(E20&gt;=300,2,1))))</f>
        <v/>
      </c>
      <c r="I20" s="126">
        <f>TEXT(F20,"0")&amp;TEXT(G20,"0")&amp;TEXT(H20,"0")</f>
        <v/>
      </c>
      <c r="J20" s="126">
        <f>IFERROR(XLOOKUP(I20,'Segment Map'!A:A,'Segment Map'!B:B,"Need Attention"),"Need Attention")</f>
        <v/>
      </c>
      <c r="K20" s="126">
        <f>IF(E20&gt;=5000,"🏆 Platinum",IF(E20&gt;=2000,"🥇 Gold",IF(E20&gt;=800,"🥈 Silver","🥉 Bronze")))</f>
        <v/>
      </c>
      <c r="L20" s="129" t="n">
        <v>40879</v>
      </c>
    </row>
    <row r="21">
      <c r="A21" s="122" t="n">
        <v>12365</v>
      </c>
      <c r="B21" s="122" t="inlineStr">
        <is>
          <t>Cyprus</t>
        </is>
      </c>
      <c r="C21" s="122" t="n">
        <v>292</v>
      </c>
      <c r="D21" s="122" t="n">
        <v>2</v>
      </c>
      <c r="E21" s="123" t="n">
        <v>641.38</v>
      </c>
      <c r="F21" s="124">
        <f>IF(C21&lt;=30,5,IF(C21&lt;=60,4,IF(C21&lt;=120,3,IF(C21&lt;=200,2,1))))</f>
        <v/>
      </c>
      <c r="G21" s="124">
        <f>IF(D21&gt;=20,5,IF(D21&gt;=10,4,IF(D21&gt;=5,3,IF(D21&gt;=2,2,1))))</f>
        <v/>
      </c>
      <c r="H21" s="124">
        <f>IF(E21&gt;=5000,5,IF(E21&gt;=2000,4,IF(E21&gt;=800,3,IF(E21&gt;=300,2,1))))</f>
        <v/>
      </c>
      <c r="I21" s="122">
        <f>TEXT(F21,"0")&amp;TEXT(G21,"0")&amp;TEXT(H21,"0")</f>
        <v/>
      </c>
      <c r="J21" s="122">
        <f>IFERROR(XLOOKUP(I21,'Segment Map'!A:A,'Segment Map'!B:B,"Need Attention"),"Need Attention")</f>
        <v/>
      </c>
      <c r="K21" s="122">
        <f>IF(E21&gt;=5000,"🏆 Platinum",IF(E21&gt;=2000,"🥇 Gold",IF(E21&gt;=800,"🥈 Silver","🥉 Bronze")))</f>
        <v/>
      </c>
      <c r="L21" s="125" t="n">
        <v>40595</v>
      </c>
    </row>
    <row r="22">
      <c r="A22" s="126" t="n">
        <v>12367</v>
      </c>
      <c r="B22" s="126" t="inlineStr">
        <is>
          <t>Denmark</t>
        </is>
      </c>
      <c r="C22" s="126" t="n">
        <v>5</v>
      </c>
      <c r="D22" s="126" t="n">
        <v>1</v>
      </c>
      <c r="E22" s="127" t="n">
        <v>168.9</v>
      </c>
      <c r="F22" s="128">
        <f>IF(C22&lt;=30,5,IF(C22&lt;=60,4,IF(C22&lt;=120,3,IF(C22&lt;=200,2,1))))</f>
        <v/>
      </c>
      <c r="G22" s="128">
        <f>IF(D22&gt;=20,5,IF(D22&gt;=10,4,IF(D22&gt;=5,3,IF(D22&gt;=2,2,1))))</f>
        <v/>
      </c>
      <c r="H22" s="128">
        <f>IF(E22&gt;=5000,5,IF(E22&gt;=2000,4,IF(E22&gt;=800,3,IF(E22&gt;=300,2,1))))</f>
        <v/>
      </c>
      <c r="I22" s="126">
        <f>TEXT(F22,"0")&amp;TEXT(G22,"0")&amp;TEXT(H22,"0")</f>
        <v/>
      </c>
      <c r="J22" s="126">
        <f>IFERROR(XLOOKUP(I22,'Segment Map'!A:A,'Segment Map'!B:B,"Need Attention"),"Need Attention")</f>
        <v/>
      </c>
      <c r="K22" s="126">
        <f>IF(E22&gt;=5000,"🏆 Platinum",IF(E22&gt;=2000,"🥇 Gold",IF(E22&gt;=800,"🥈 Silver","🥉 Bronze")))</f>
        <v/>
      </c>
      <c r="L22" s="129" t="n">
        <v>40882</v>
      </c>
    </row>
    <row r="23">
      <c r="A23" s="122" t="n">
        <v>12370</v>
      </c>
      <c r="B23" s="122" t="inlineStr">
        <is>
          <t>Cyprus</t>
        </is>
      </c>
      <c r="C23" s="122" t="n">
        <v>52</v>
      </c>
      <c r="D23" s="122" t="n">
        <v>4</v>
      </c>
      <c r="E23" s="123" t="n">
        <v>3545.69</v>
      </c>
      <c r="F23" s="124">
        <f>IF(C23&lt;=30,5,IF(C23&lt;=60,4,IF(C23&lt;=120,3,IF(C23&lt;=200,2,1))))</f>
        <v/>
      </c>
      <c r="G23" s="124">
        <f>IF(D23&gt;=20,5,IF(D23&gt;=10,4,IF(D23&gt;=5,3,IF(D23&gt;=2,2,1))))</f>
        <v/>
      </c>
      <c r="H23" s="124">
        <f>IF(E23&gt;=5000,5,IF(E23&gt;=2000,4,IF(E23&gt;=800,3,IF(E23&gt;=300,2,1))))</f>
        <v/>
      </c>
      <c r="I23" s="122">
        <f>TEXT(F23,"0")&amp;TEXT(G23,"0")&amp;TEXT(H23,"0")</f>
        <v/>
      </c>
      <c r="J23" s="122">
        <f>IFERROR(XLOOKUP(I23,'Segment Map'!A:A,'Segment Map'!B:B,"Need Attention"),"Need Attention")</f>
        <v/>
      </c>
      <c r="K23" s="122">
        <f>IF(E23&gt;=5000,"🏆 Platinum",IF(E23&gt;=2000,"🥇 Gold",IF(E23&gt;=800,"🥈 Silver","🥉 Bronze")))</f>
        <v/>
      </c>
      <c r="L23" s="125" t="n">
        <v>40835</v>
      </c>
    </row>
    <row r="24">
      <c r="A24" s="126" t="n">
        <v>12371</v>
      </c>
      <c r="B24" s="126" t="inlineStr">
        <is>
          <t>Switzerland</t>
        </is>
      </c>
      <c r="C24" s="126" t="n">
        <v>45</v>
      </c>
      <c r="D24" s="126" t="n">
        <v>2</v>
      </c>
      <c r="E24" s="127" t="n">
        <v>1887.96</v>
      </c>
      <c r="F24" s="128">
        <f>IF(C24&lt;=30,5,IF(C24&lt;=60,4,IF(C24&lt;=120,3,IF(C24&lt;=200,2,1))))</f>
        <v/>
      </c>
      <c r="G24" s="128">
        <f>IF(D24&gt;=20,5,IF(D24&gt;=10,4,IF(D24&gt;=5,3,IF(D24&gt;=2,2,1))))</f>
        <v/>
      </c>
      <c r="H24" s="128">
        <f>IF(E24&gt;=5000,5,IF(E24&gt;=2000,4,IF(E24&gt;=800,3,IF(E24&gt;=300,2,1))))</f>
        <v/>
      </c>
      <c r="I24" s="126">
        <f>TEXT(F24,"0")&amp;TEXT(G24,"0")&amp;TEXT(H24,"0")</f>
        <v/>
      </c>
      <c r="J24" s="126">
        <f>IFERROR(XLOOKUP(I24,'Segment Map'!A:A,'Segment Map'!B:B,"Need Attention"),"Need Attention")</f>
        <v/>
      </c>
      <c r="K24" s="126">
        <f>IF(E24&gt;=5000,"🏆 Platinum",IF(E24&gt;=2000,"🥇 Gold",IF(E24&gt;=800,"🥈 Silver","🥉 Bronze")))</f>
        <v/>
      </c>
      <c r="L24" s="129" t="n">
        <v>40842</v>
      </c>
    </row>
    <row r="25">
      <c r="A25" s="122" t="n">
        <v>12372</v>
      </c>
      <c r="B25" s="122" t="inlineStr">
        <is>
          <t>Denmark</t>
        </is>
      </c>
      <c r="C25" s="122" t="n">
        <v>72</v>
      </c>
      <c r="D25" s="122" t="n">
        <v>3</v>
      </c>
      <c r="E25" s="123" t="n">
        <v>1298.04</v>
      </c>
      <c r="F25" s="124">
        <f>IF(C25&lt;=30,5,IF(C25&lt;=60,4,IF(C25&lt;=120,3,IF(C25&lt;=200,2,1))))</f>
        <v/>
      </c>
      <c r="G25" s="124">
        <f>IF(D25&gt;=20,5,IF(D25&gt;=10,4,IF(D25&gt;=5,3,IF(D25&gt;=2,2,1))))</f>
        <v/>
      </c>
      <c r="H25" s="124">
        <f>IF(E25&gt;=5000,5,IF(E25&gt;=2000,4,IF(E25&gt;=800,3,IF(E25&gt;=300,2,1))))</f>
        <v/>
      </c>
      <c r="I25" s="122">
        <f>TEXT(F25,"0")&amp;TEXT(G25,"0")&amp;TEXT(H25,"0")</f>
        <v/>
      </c>
      <c r="J25" s="122">
        <f>IFERROR(XLOOKUP(I25,'Segment Map'!A:A,'Segment Map'!B:B,"Need Attention"),"Need Attention")</f>
        <v/>
      </c>
      <c r="K25" s="122">
        <f>IF(E25&gt;=5000,"🏆 Platinum",IF(E25&gt;=2000,"🥇 Gold",IF(E25&gt;=800,"🥈 Silver","🥉 Bronze")))</f>
        <v/>
      </c>
      <c r="L25" s="125" t="n">
        <v>40815</v>
      </c>
    </row>
    <row r="26">
      <c r="A26" s="126" t="n">
        <v>12373</v>
      </c>
      <c r="B26" s="126" t="inlineStr">
        <is>
          <t>Austria</t>
        </is>
      </c>
      <c r="C26" s="126" t="n">
        <v>312</v>
      </c>
      <c r="D26" s="126" t="n">
        <v>1</v>
      </c>
      <c r="E26" s="127" t="n">
        <v>364.6</v>
      </c>
      <c r="F26" s="128">
        <f>IF(C26&lt;=30,5,IF(C26&lt;=60,4,IF(C26&lt;=120,3,IF(C26&lt;=200,2,1))))</f>
        <v/>
      </c>
      <c r="G26" s="128">
        <f>IF(D26&gt;=20,5,IF(D26&gt;=10,4,IF(D26&gt;=5,3,IF(D26&gt;=2,2,1))))</f>
        <v/>
      </c>
      <c r="H26" s="128">
        <f>IF(E26&gt;=5000,5,IF(E26&gt;=2000,4,IF(E26&gt;=800,3,IF(E26&gt;=300,2,1))))</f>
        <v/>
      </c>
      <c r="I26" s="126">
        <f>TEXT(F26,"0")&amp;TEXT(G26,"0")&amp;TEXT(H26,"0")</f>
        <v/>
      </c>
      <c r="J26" s="126">
        <f>IFERROR(XLOOKUP(I26,'Segment Map'!A:A,'Segment Map'!B:B,"Need Attention"),"Need Attention")</f>
        <v/>
      </c>
      <c r="K26" s="126">
        <f>IF(E26&gt;=5000,"🏆 Platinum",IF(E26&gt;=2000,"🥇 Gold",IF(E26&gt;=800,"🥈 Silver","🥉 Bronze")))</f>
        <v/>
      </c>
      <c r="L26" s="129" t="n">
        <v>40575</v>
      </c>
    </row>
    <row r="27">
      <c r="A27" s="122" t="n">
        <v>12374</v>
      </c>
      <c r="B27" s="122" t="inlineStr">
        <is>
          <t>Austria</t>
        </is>
      </c>
      <c r="C27" s="122" t="n">
        <v>26</v>
      </c>
      <c r="D27" s="122" t="n">
        <v>1</v>
      </c>
      <c r="E27" s="123" t="n">
        <v>742.9299999999999</v>
      </c>
      <c r="F27" s="124">
        <f>IF(C27&lt;=30,5,IF(C27&lt;=60,4,IF(C27&lt;=120,3,IF(C27&lt;=200,2,1))))</f>
        <v/>
      </c>
      <c r="G27" s="124">
        <f>IF(D27&gt;=20,5,IF(D27&gt;=10,4,IF(D27&gt;=5,3,IF(D27&gt;=2,2,1))))</f>
        <v/>
      </c>
      <c r="H27" s="124">
        <f>IF(E27&gt;=5000,5,IF(E27&gt;=2000,4,IF(E27&gt;=800,3,IF(E27&gt;=300,2,1))))</f>
        <v/>
      </c>
      <c r="I27" s="122">
        <f>TEXT(F27,"0")&amp;TEXT(G27,"0")&amp;TEXT(H27,"0")</f>
        <v/>
      </c>
      <c r="J27" s="122">
        <f>IFERROR(XLOOKUP(I27,'Segment Map'!A:A,'Segment Map'!B:B,"Need Attention"),"Need Attention")</f>
        <v/>
      </c>
      <c r="K27" s="122">
        <f>IF(E27&gt;=5000,"🏆 Platinum",IF(E27&gt;=2000,"🥇 Gold",IF(E27&gt;=800,"🥈 Silver","🥉 Bronze")))</f>
        <v/>
      </c>
      <c r="L27" s="125" t="n">
        <v>40861</v>
      </c>
    </row>
    <row r="28">
      <c r="A28" s="126" t="n">
        <v>12375</v>
      </c>
      <c r="B28" s="126" t="inlineStr">
        <is>
          <t>Finland</t>
        </is>
      </c>
      <c r="C28" s="126" t="n">
        <v>11</v>
      </c>
      <c r="D28" s="126" t="n">
        <v>2</v>
      </c>
      <c r="E28" s="127" t="n">
        <v>457.5</v>
      </c>
      <c r="F28" s="128">
        <f>IF(C28&lt;=30,5,IF(C28&lt;=60,4,IF(C28&lt;=120,3,IF(C28&lt;=200,2,1))))</f>
        <v/>
      </c>
      <c r="G28" s="128">
        <f>IF(D28&gt;=20,5,IF(D28&gt;=10,4,IF(D28&gt;=5,3,IF(D28&gt;=2,2,1))))</f>
        <v/>
      </c>
      <c r="H28" s="128">
        <f>IF(E28&gt;=5000,5,IF(E28&gt;=2000,4,IF(E28&gt;=800,3,IF(E28&gt;=300,2,1))))</f>
        <v/>
      </c>
      <c r="I28" s="126">
        <f>TEXT(F28,"0")&amp;TEXT(G28,"0")&amp;TEXT(H28,"0")</f>
        <v/>
      </c>
      <c r="J28" s="126">
        <f>IFERROR(XLOOKUP(I28,'Segment Map'!A:A,'Segment Map'!B:B,"Need Attention"),"Need Attention")</f>
        <v/>
      </c>
      <c r="K28" s="126">
        <f>IF(E28&gt;=5000,"🏆 Platinum",IF(E28&gt;=2000,"🥇 Gold",IF(E28&gt;=800,"🥈 Silver","🥉 Bronze")))</f>
        <v/>
      </c>
      <c r="L28" s="129" t="n">
        <v>40876</v>
      </c>
    </row>
    <row r="29">
      <c r="A29" s="122" t="n">
        <v>12377</v>
      </c>
      <c r="B29" s="122" t="inlineStr">
        <is>
          <t>Switzerland</t>
        </is>
      </c>
      <c r="C29" s="122" t="n">
        <v>316</v>
      </c>
      <c r="D29" s="122" t="n">
        <v>2</v>
      </c>
      <c r="E29" s="123" t="n">
        <v>1628.12</v>
      </c>
      <c r="F29" s="124">
        <f>IF(C29&lt;=30,5,IF(C29&lt;=60,4,IF(C29&lt;=120,3,IF(C29&lt;=200,2,1))))</f>
        <v/>
      </c>
      <c r="G29" s="124">
        <f>IF(D29&gt;=20,5,IF(D29&gt;=10,4,IF(D29&gt;=5,3,IF(D29&gt;=2,2,1))))</f>
        <v/>
      </c>
      <c r="H29" s="124">
        <f>IF(E29&gt;=5000,5,IF(E29&gt;=2000,4,IF(E29&gt;=800,3,IF(E29&gt;=300,2,1))))</f>
        <v/>
      </c>
      <c r="I29" s="122">
        <f>TEXT(F29,"0")&amp;TEXT(G29,"0")&amp;TEXT(H29,"0")</f>
        <v/>
      </c>
      <c r="J29" s="122">
        <f>IFERROR(XLOOKUP(I29,'Segment Map'!A:A,'Segment Map'!B:B,"Need Attention"),"Need Attention")</f>
        <v/>
      </c>
      <c r="K29" s="122">
        <f>IF(E29&gt;=5000,"🏆 Platinum",IF(E29&gt;=2000,"🥇 Gold",IF(E29&gt;=800,"🥈 Silver","🥉 Bronze")))</f>
        <v/>
      </c>
      <c r="L29" s="125" t="n">
        <v>40571</v>
      </c>
    </row>
    <row r="30">
      <c r="A30" s="126" t="n">
        <v>12378</v>
      </c>
      <c r="B30" s="126" t="inlineStr">
        <is>
          <t>Switzerland</t>
        </is>
      </c>
      <c r="C30" s="126" t="n">
        <v>130</v>
      </c>
      <c r="D30" s="126" t="n">
        <v>1</v>
      </c>
      <c r="E30" s="127" t="n">
        <v>4008.62</v>
      </c>
      <c r="F30" s="128">
        <f>IF(C30&lt;=30,5,IF(C30&lt;=60,4,IF(C30&lt;=120,3,IF(C30&lt;=200,2,1))))</f>
        <v/>
      </c>
      <c r="G30" s="128">
        <f>IF(D30&gt;=20,5,IF(D30&gt;=10,4,IF(D30&gt;=5,3,IF(D30&gt;=2,2,1))))</f>
        <v/>
      </c>
      <c r="H30" s="128">
        <f>IF(E30&gt;=5000,5,IF(E30&gt;=2000,4,IF(E30&gt;=800,3,IF(E30&gt;=300,2,1))))</f>
        <v/>
      </c>
      <c r="I30" s="126">
        <f>TEXT(F30,"0")&amp;TEXT(G30,"0")&amp;TEXT(H30,"0")</f>
        <v/>
      </c>
      <c r="J30" s="126">
        <f>IFERROR(XLOOKUP(I30,'Segment Map'!A:A,'Segment Map'!B:B,"Need Attention"),"Need Attention")</f>
        <v/>
      </c>
      <c r="K30" s="126">
        <f>IF(E30&gt;=5000,"🏆 Platinum",IF(E30&gt;=2000,"🥇 Gold",IF(E30&gt;=800,"🥈 Silver","🥉 Bronze")))</f>
        <v/>
      </c>
      <c r="L30" s="129" t="n">
        <v>40757</v>
      </c>
    </row>
    <row r="31">
      <c r="A31" s="122" t="n">
        <v>12379</v>
      </c>
      <c r="B31" s="122" t="inlineStr">
        <is>
          <t>Belgium</t>
        </is>
      </c>
      <c r="C31" s="122" t="n">
        <v>82</v>
      </c>
      <c r="D31" s="122" t="n">
        <v>2</v>
      </c>
      <c r="E31" s="123" t="n">
        <v>852.24</v>
      </c>
      <c r="F31" s="124">
        <f>IF(C31&lt;=30,5,IF(C31&lt;=60,4,IF(C31&lt;=120,3,IF(C31&lt;=200,2,1))))</f>
        <v/>
      </c>
      <c r="G31" s="124">
        <f>IF(D31&gt;=20,5,IF(D31&gt;=10,4,IF(D31&gt;=5,3,IF(D31&gt;=2,2,1))))</f>
        <v/>
      </c>
      <c r="H31" s="124">
        <f>IF(E31&gt;=5000,5,IF(E31&gt;=2000,4,IF(E31&gt;=800,3,IF(E31&gt;=300,2,1))))</f>
        <v/>
      </c>
      <c r="I31" s="122">
        <f>TEXT(F31,"0")&amp;TEXT(G31,"0")&amp;TEXT(H31,"0")</f>
        <v/>
      </c>
      <c r="J31" s="122">
        <f>IFERROR(XLOOKUP(I31,'Segment Map'!A:A,'Segment Map'!B:B,"Need Attention"),"Need Attention")</f>
        <v/>
      </c>
      <c r="K31" s="122">
        <f>IF(E31&gt;=5000,"🏆 Platinum",IF(E31&gt;=2000,"🥇 Gold",IF(E31&gt;=800,"🥈 Silver","🥉 Bronze")))</f>
        <v/>
      </c>
      <c r="L31" s="125" t="n">
        <v>40805</v>
      </c>
    </row>
    <row r="32">
      <c r="A32" s="126" t="n">
        <v>12380</v>
      </c>
      <c r="B32" s="126" t="inlineStr">
        <is>
          <t>Belgium</t>
        </is>
      </c>
      <c r="C32" s="126" t="n">
        <v>22</v>
      </c>
      <c r="D32" s="126" t="n">
        <v>4</v>
      </c>
      <c r="E32" s="127" t="n">
        <v>2724.81</v>
      </c>
      <c r="F32" s="128">
        <f>IF(C32&lt;=30,5,IF(C32&lt;=60,4,IF(C32&lt;=120,3,IF(C32&lt;=200,2,1))))</f>
        <v/>
      </c>
      <c r="G32" s="128">
        <f>IF(D32&gt;=20,5,IF(D32&gt;=10,4,IF(D32&gt;=5,3,IF(D32&gt;=2,2,1))))</f>
        <v/>
      </c>
      <c r="H32" s="128">
        <f>IF(E32&gt;=5000,5,IF(E32&gt;=2000,4,IF(E32&gt;=800,3,IF(E32&gt;=300,2,1))))</f>
        <v/>
      </c>
      <c r="I32" s="126">
        <f>TEXT(F32,"0")&amp;TEXT(G32,"0")&amp;TEXT(H32,"0")</f>
        <v/>
      </c>
      <c r="J32" s="126">
        <f>IFERROR(XLOOKUP(I32,'Segment Map'!A:A,'Segment Map'!B:B,"Need Attention"),"Need Attention")</f>
        <v/>
      </c>
      <c r="K32" s="126">
        <f>IF(E32&gt;=5000,"🏆 Platinum",IF(E32&gt;=2000,"🥇 Gold",IF(E32&gt;=800,"🥈 Silver","🥉 Bronze")))</f>
        <v/>
      </c>
      <c r="L32" s="129" t="n">
        <v>40865</v>
      </c>
    </row>
    <row r="33">
      <c r="A33" s="122" t="n">
        <v>12381</v>
      </c>
      <c r="B33" s="122" t="inlineStr">
        <is>
          <t>Norway</t>
        </is>
      </c>
      <c r="C33" s="122" t="n">
        <v>5</v>
      </c>
      <c r="D33" s="122" t="n">
        <v>5</v>
      </c>
      <c r="E33" s="123" t="n">
        <v>1845.31</v>
      </c>
      <c r="F33" s="124">
        <f>IF(C33&lt;=30,5,IF(C33&lt;=60,4,IF(C33&lt;=120,3,IF(C33&lt;=200,2,1))))</f>
        <v/>
      </c>
      <c r="G33" s="124">
        <f>IF(D33&gt;=20,5,IF(D33&gt;=10,4,IF(D33&gt;=5,3,IF(D33&gt;=2,2,1))))</f>
        <v/>
      </c>
      <c r="H33" s="124">
        <f>IF(E33&gt;=5000,5,IF(E33&gt;=2000,4,IF(E33&gt;=800,3,IF(E33&gt;=300,2,1))))</f>
        <v/>
      </c>
      <c r="I33" s="122">
        <f>TEXT(F33,"0")&amp;TEXT(G33,"0")&amp;TEXT(H33,"0")</f>
        <v/>
      </c>
      <c r="J33" s="122">
        <f>IFERROR(XLOOKUP(I33,'Segment Map'!A:A,'Segment Map'!B:B,"Need Attention"),"Need Attention")</f>
        <v/>
      </c>
      <c r="K33" s="122">
        <f>IF(E33&gt;=5000,"🏆 Platinum",IF(E33&gt;=2000,"🥇 Gold",IF(E33&gt;=800,"🥈 Silver","🥉 Bronze")))</f>
        <v/>
      </c>
      <c r="L33" s="125" t="n">
        <v>40882</v>
      </c>
    </row>
    <row r="34">
      <c r="A34" s="126" t="n">
        <v>12383</v>
      </c>
      <c r="B34" s="126" t="inlineStr">
        <is>
          <t>Belgium</t>
        </is>
      </c>
      <c r="C34" s="126" t="n">
        <v>185</v>
      </c>
      <c r="D34" s="126" t="n">
        <v>5</v>
      </c>
      <c r="E34" s="127" t="n">
        <v>1850.56</v>
      </c>
      <c r="F34" s="128">
        <f>IF(C34&lt;=30,5,IF(C34&lt;=60,4,IF(C34&lt;=120,3,IF(C34&lt;=200,2,1))))</f>
        <v/>
      </c>
      <c r="G34" s="128">
        <f>IF(D34&gt;=20,5,IF(D34&gt;=10,4,IF(D34&gt;=5,3,IF(D34&gt;=2,2,1))))</f>
        <v/>
      </c>
      <c r="H34" s="128">
        <f>IF(E34&gt;=5000,5,IF(E34&gt;=2000,4,IF(E34&gt;=800,3,IF(E34&gt;=300,2,1))))</f>
        <v/>
      </c>
      <c r="I34" s="126">
        <f>TEXT(F34,"0")&amp;TEXT(G34,"0")&amp;TEXT(H34,"0")</f>
        <v/>
      </c>
      <c r="J34" s="126">
        <f>IFERROR(XLOOKUP(I34,'Segment Map'!A:A,'Segment Map'!B:B,"Need Attention"),"Need Attention")</f>
        <v/>
      </c>
      <c r="K34" s="126">
        <f>IF(E34&gt;=5000,"🏆 Platinum",IF(E34&gt;=2000,"🥇 Gold",IF(E34&gt;=800,"🥈 Silver","🥉 Bronze")))</f>
        <v/>
      </c>
      <c r="L34" s="129" t="n">
        <v>40702</v>
      </c>
    </row>
    <row r="35">
      <c r="A35" s="122" t="n">
        <v>12384</v>
      </c>
      <c r="B35" s="122" t="inlineStr">
        <is>
          <t>Switzerland</t>
        </is>
      </c>
      <c r="C35" s="122" t="n">
        <v>29</v>
      </c>
      <c r="D35" s="122" t="n">
        <v>2</v>
      </c>
      <c r="E35" s="123" t="n">
        <v>585.27</v>
      </c>
      <c r="F35" s="124">
        <f>IF(C35&lt;=30,5,IF(C35&lt;=60,4,IF(C35&lt;=120,3,IF(C35&lt;=200,2,1))))</f>
        <v/>
      </c>
      <c r="G35" s="124">
        <f>IF(D35&gt;=20,5,IF(D35&gt;=10,4,IF(D35&gt;=5,3,IF(D35&gt;=2,2,1))))</f>
        <v/>
      </c>
      <c r="H35" s="124">
        <f>IF(E35&gt;=5000,5,IF(E35&gt;=2000,4,IF(E35&gt;=800,3,IF(E35&gt;=300,2,1))))</f>
        <v/>
      </c>
      <c r="I35" s="122">
        <f>TEXT(F35,"0")&amp;TEXT(G35,"0")&amp;TEXT(H35,"0")</f>
        <v/>
      </c>
      <c r="J35" s="122">
        <f>IFERROR(XLOOKUP(I35,'Segment Map'!A:A,'Segment Map'!B:B,"Need Attention"),"Need Attention")</f>
        <v/>
      </c>
      <c r="K35" s="122">
        <f>IF(E35&gt;=5000,"🏆 Platinum",IF(E35&gt;=2000,"🥇 Gold",IF(E35&gt;=800,"🥈 Silver","🥉 Bronze")))</f>
        <v/>
      </c>
      <c r="L35" s="125" t="n">
        <v>40858</v>
      </c>
    </row>
    <row r="36">
      <c r="A36" s="126" t="n">
        <v>12386</v>
      </c>
      <c r="B36" s="126" t="inlineStr">
        <is>
          <t>Australia</t>
        </is>
      </c>
      <c r="C36" s="126" t="n">
        <v>338</v>
      </c>
      <c r="D36" s="126" t="n">
        <v>2</v>
      </c>
      <c r="E36" s="127" t="n">
        <v>401.9</v>
      </c>
      <c r="F36" s="128">
        <f>IF(C36&lt;=30,5,IF(C36&lt;=60,4,IF(C36&lt;=120,3,IF(C36&lt;=200,2,1))))</f>
        <v/>
      </c>
      <c r="G36" s="128">
        <f>IF(D36&gt;=20,5,IF(D36&gt;=10,4,IF(D36&gt;=5,3,IF(D36&gt;=2,2,1))))</f>
        <v/>
      </c>
      <c r="H36" s="128">
        <f>IF(E36&gt;=5000,5,IF(E36&gt;=2000,4,IF(E36&gt;=800,3,IF(E36&gt;=300,2,1))))</f>
        <v/>
      </c>
      <c r="I36" s="126">
        <f>TEXT(F36,"0")&amp;TEXT(G36,"0")&amp;TEXT(H36,"0")</f>
        <v/>
      </c>
      <c r="J36" s="126">
        <f>IFERROR(XLOOKUP(I36,'Segment Map'!A:A,'Segment Map'!B:B,"Need Attention"),"Need Attention")</f>
        <v/>
      </c>
      <c r="K36" s="126">
        <f>IF(E36&gt;=5000,"🏆 Platinum",IF(E36&gt;=2000,"🥇 Gold",IF(E36&gt;=800,"🥈 Silver","🥉 Bronze")))</f>
        <v/>
      </c>
      <c r="L36" s="129" t="n">
        <v>40549</v>
      </c>
    </row>
    <row r="37">
      <c r="A37" s="122" t="n">
        <v>12388</v>
      </c>
      <c r="B37" s="122" t="inlineStr">
        <is>
          <t>Australia</t>
        </is>
      </c>
      <c r="C37" s="122" t="n">
        <v>16</v>
      </c>
      <c r="D37" s="122" t="n">
        <v>6</v>
      </c>
      <c r="E37" s="123" t="n">
        <v>2780.66</v>
      </c>
      <c r="F37" s="124">
        <f>IF(C37&lt;=30,5,IF(C37&lt;=60,4,IF(C37&lt;=120,3,IF(C37&lt;=200,2,1))))</f>
        <v/>
      </c>
      <c r="G37" s="124">
        <f>IF(D37&gt;=20,5,IF(D37&gt;=10,4,IF(D37&gt;=5,3,IF(D37&gt;=2,2,1))))</f>
        <v/>
      </c>
      <c r="H37" s="124">
        <f>IF(E37&gt;=5000,5,IF(E37&gt;=2000,4,IF(E37&gt;=800,3,IF(E37&gt;=300,2,1))))</f>
        <v/>
      </c>
      <c r="I37" s="122">
        <f>TEXT(F37,"0")&amp;TEXT(G37,"0")&amp;TEXT(H37,"0")</f>
        <v/>
      </c>
      <c r="J37" s="122">
        <f>IFERROR(XLOOKUP(I37,'Segment Map'!A:A,'Segment Map'!B:B,"Need Attention"),"Need Attention")</f>
        <v/>
      </c>
      <c r="K37" s="122">
        <f>IF(E37&gt;=5000,"🏆 Platinum",IF(E37&gt;=2000,"🥇 Gold",IF(E37&gt;=800,"🥈 Silver","🥉 Bronze")))</f>
        <v/>
      </c>
      <c r="L37" s="125" t="n">
        <v>40871</v>
      </c>
    </row>
    <row r="38">
      <c r="A38" s="126" t="n">
        <v>12390</v>
      </c>
      <c r="B38" s="126" t="inlineStr">
        <is>
          <t>Belgium</t>
        </is>
      </c>
      <c r="C38" s="126" t="n">
        <v>80</v>
      </c>
      <c r="D38" s="126" t="n">
        <v>1</v>
      </c>
      <c r="E38" s="127" t="n">
        <v>549.84</v>
      </c>
      <c r="F38" s="128">
        <f>IF(C38&lt;=30,5,IF(C38&lt;=60,4,IF(C38&lt;=120,3,IF(C38&lt;=200,2,1))))</f>
        <v/>
      </c>
      <c r="G38" s="128">
        <f>IF(D38&gt;=20,5,IF(D38&gt;=10,4,IF(D38&gt;=5,3,IF(D38&gt;=2,2,1))))</f>
        <v/>
      </c>
      <c r="H38" s="128">
        <f>IF(E38&gt;=5000,5,IF(E38&gt;=2000,4,IF(E38&gt;=800,3,IF(E38&gt;=300,2,1))))</f>
        <v/>
      </c>
      <c r="I38" s="126">
        <f>TEXT(F38,"0")&amp;TEXT(G38,"0")&amp;TEXT(H38,"0")</f>
        <v/>
      </c>
      <c r="J38" s="126">
        <f>IFERROR(XLOOKUP(I38,'Segment Map'!A:A,'Segment Map'!B:B,"Need Attention"),"Need Attention")</f>
        <v/>
      </c>
      <c r="K38" s="126">
        <f>IF(E38&gt;=5000,"🏆 Platinum",IF(E38&gt;=2000,"🥇 Gold",IF(E38&gt;=800,"🥈 Silver","🥉 Bronze")))</f>
        <v/>
      </c>
      <c r="L38" s="129" t="n">
        <v>40807</v>
      </c>
    </row>
    <row r="39">
      <c r="A39" s="122" t="n">
        <v>12391</v>
      </c>
      <c r="B39" s="122" t="inlineStr">
        <is>
          <t>Cyprus</t>
        </is>
      </c>
      <c r="C39" s="122" t="n">
        <v>22</v>
      </c>
      <c r="D39" s="122" t="n">
        <v>1</v>
      </c>
      <c r="E39" s="123" t="n">
        <v>460.89</v>
      </c>
      <c r="F39" s="124">
        <f>IF(C39&lt;=30,5,IF(C39&lt;=60,4,IF(C39&lt;=120,3,IF(C39&lt;=200,2,1))))</f>
        <v/>
      </c>
      <c r="G39" s="124">
        <f>IF(D39&gt;=20,5,IF(D39&gt;=10,4,IF(D39&gt;=5,3,IF(D39&gt;=2,2,1))))</f>
        <v/>
      </c>
      <c r="H39" s="124">
        <f>IF(E39&gt;=5000,5,IF(E39&gt;=2000,4,IF(E39&gt;=800,3,IF(E39&gt;=300,2,1))))</f>
        <v/>
      </c>
      <c r="I39" s="122">
        <f>TEXT(F39,"0")&amp;TEXT(G39,"0")&amp;TEXT(H39,"0")</f>
        <v/>
      </c>
      <c r="J39" s="122">
        <f>IFERROR(XLOOKUP(I39,'Segment Map'!A:A,'Segment Map'!B:B,"Need Attention"),"Need Attention")</f>
        <v/>
      </c>
      <c r="K39" s="122">
        <f>IF(E39&gt;=5000,"🏆 Platinum",IF(E39&gt;=2000,"🥇 Gold",IF(E39&gt;=800,"🥈 Silver","🥉 Bronze")))</f>
        <v/>
      </c>
      <c r="L39" s="125" t="n">
        <v>40865</v>
      </c>
    </row>
    <row r="40">
      <c r="A40" s="126" t="n">
        <v>12393</v>
      </c>
      <c r="B40" s="126" t="inlineStr">
        <is>
          <t>Australia</t>
        </is>
      </c>
      <c r="C40" s="126" t="n">
        <v>73</v>
      </c>
      <c r="D40" s="126" t="n">
        <v>4</v>
      </c>
      <c r="E40" s="127" t="n">
        <v>1582.6</v>
      </c>
      <c r="F40" s="128">
        <f>IF(C40&lt;=30,5,IF(C40&lt;=60,4,IF(C40&lt;=120,3,IF(C40&lt;=200,2,1))))</f>
        <v/>
      </c>
      <c r="G40" s="128">
        <f>IF(D40&gt;=20,5,IF(D40&gt;=10,4,IF(D40&gt;=5,3,IF(D40&gt;=2,2,1))))</f>
        <v/>
      </c>
      <c r="H40" s="128">
        <f>IF(E40&gt;=5000,5,IF(E40&gt;=2000,4,IF(E40&gt;=800,3,IF(E40&gt;=300,2,1))))</f>
        <v/>
      </c>
      <c r="I40" s="126">
        <f>TEXT(F40,"0")&amp;TEXT(G40,"0")&amp;TEXT(H40,"0")</f>
        <v/>
      </c>
      <c r="J40" s="126">
        <f>IFERROR(XLOOKUP(I40,'Segment Map'!A:A,'Segment Map'!B:B,"Need Attention"),"Need Attention")</f>
        <v/>
      </c>
      <c r="K40" s="126">
        <f>IF(E40&gt;=5000,"🏆 Platinum",IF(E40&gt;=2000,"🥇 Gold",IF(E40&gt;=800,"🥈 Silver","🥉 Bronze")))</f>
        <v/>
      </c>
      <c r="L40" s="129" t="n">
        <v>40814</v>
      </c>
    </row>
    <row r="41">
      <c r="A41" s="122" t="n">
        <v>12394</v>
      </c>
      <c r="B41" s="122" t="inlineStr">
        <is>
          <t>Belgium</t>
        </is>
      </c>
      <c r="C41" s="122" t="n">
        <v>64</v>
      </c>
      <c r="D41" s="122" t="n">
        <v>2</v>
      </c>
      <c r="E41" s="123" t="n">
        <v>1272.48</v>
      </c>
      <c r="F41" s="124">
        <f>IF(C41&lt;=30,5,IF(C41&lt;=60,4,IF(C41&lt;=120,3,IF(C41&lt;=200,2,1))))</f>
        <v/>
      </c>
      <c r="G41" s="124">
        <f>IF(D41&gt;=20,5,IF(D41&gt;=10,4,IF(D41&gt;=5,3,IF(D41&gt;=2,2,1))))</f>
        <v/>
      </c>
      <c r="H41" s="124">
        <f>IF(E41&gt;=5000,5,IF(E41&gt;=2000,4,IF(E41&gt;=800,3,IF(E41&gt;=300,2,1))))</f>
        <v/>
      </c>
      <c r="I41" s="122">
        <f>TEXT(F41,"0")&amp;TEXT(G41,"0")&amp;TEXT(H41,"0")</f>
        <v/>
      </c>
      <c r="J41" s="122">
        <f>IFERROR(XLOOKUP(I41,'Segment Map'!A:A,'Segment Map'!B:B,"Need Attention"),"Need Attention")</f>
        <v/>
      </c>
      <c r="K41" s="122">
        <f>IF(E41&gt;=5000,"🏆 Platinum",IF(E41&gt;=2000,"🥇 Gold",IF(E41&gt;=800,"🥈 Silver","🥉 Bronze")))</f>
        <v/>
      </c>
      <c r="L41" s="125" t="n">
        <v>40823</v>
      </c>
    </row>
    <row r="42">
      <c r="A42" s="126" t="n">
        <v>12395</v>
      </c>
      <c r="B42" s="126" t="inlineStr">
        <is>
          <t>Belgium</t>
        </is>
      </c>
      <c r="C42" s="126" t="n">
        <v>20</v>
      </c>
      <c r="D42" s="126" t="n">
        <v>12</v>
      </c>
      <c r="E42" s="127" t="n">
        <v>3018.63</v>
      </c>
      <c r="F42" s="128">
        <f>IF(C42&lt;=30,5,IF(C42&lt;=60,4,IF(C42&lt;=120,3,IF(C42&lt;=200,2,1))))</f>
        <v/>
      </c>
      <c r="G42" s="128">
        <f>IF(D42&gt;=20,5,IF(D42&gt;=10,4,IF(D42&gt;=5,3,IF(D42&gt;=2,2,1))))</f>
        <v/>
      </c>
      <c r="H42" s="128">
        <f>IF(E42&gt;=5000,5,IF(E42&gt;=2000,4,IF(E42&gt;=800,3,IF(E42&gt;=300,2,1))))</f>
        <v/>
      </c>
      <c r="I42" s="126">
        <f>TEXT(F42,"0")&amp;TEXT(G42,"0")&amp;TEXT(H42,"0")</f>
        <v/>
      </c>
      <c r="J42" s="126">
        <f>IFERROR(XLOOKUP(I42,'Segment Map'!A:A,'Segment Map'!B:B,"Need Attention"),"Need Attention")</f>
        <v/>
      </c>
      <c r="K42" s="126">
        <f>IF(E42&gt;=5000,"🏆 Platinum",IF(E42&gt;=2000,"🥇 Gold",IF(E42&gt;=800,"🥈 Silver","🥉 Bronze")))</f>
        <v/>
      </c>
      <c r="L42" s="129" t="n">
        <v>40867</v>
      </c>
    </row>
    <row r="43">
      <c r="A43" s="122" t="n">
        <v>12397</v>
      </c>
      <c r="B43" s="122" t="inlineStr">
        <is>
          <t>Belgium</t>
        </is>
      </c>
      <c r="C43" s="122" t="n">
        <v>36</v>
      </c>
      <c r="D43" s="122" t="n">
        <v>2</v>
      </c>
      <c r="E43" s="123" t="n">
        <v>2409.9</v>
      </c>
      <c r="F43" s="124">
        <f>IF(C43&lt;=30,5,IF(C43&lt;=60,4,IF(C43&lt;=120,3,IF(C43&lt;=200,2,1))))</f>
        <v/>
      </c>
      <c r="G43" s="124">
        <f>IF(D43&gt;=20,5,IF(D43&gt;=10,4,IF(D43&gt;=5,3,IF(D43&gt;=2,2,1))))</f>
        <v/>
      </c>
      <c r="H43" s="124">
        <f>IF(E43&gt;=5000,5,IF(E43&gt;=2000,4,IF(E43&gt;=800,3,IF(E43&gt;=300,2,1))))</f>
        <v/>
      </c>
      <c r="I43" s="122">
        <f>TEXT(F43,"0")&amp;TEXT(G43,"0")&amp;TEXT(H43,"0")</f>
        <v/>
      </c>
      <c r="J43" s="122">
        <f>IFERROR(XLOOKUP(I43,'Segment Map'!A:A,'Segment Map'!B:B,"Need Attention"),"Need Attention")</f>
        <v/>
      </c>
      <c r="K43" s="122">
        <f>IF(E43&gt;=5000,"🏆 Platinum",IF(E43&gt;=2000,"🥇 Gold",IF(E43&gt;=800,"🥈 Silver","🥉 Bronze")))</f>
        <v/>
      </c>
      <c r="L43" s="125" t="n">
        <v>40851</v>
      </c>
    </row>
    <row r="44">
      <c r="A44" s="126" t="n">
        <v>12398</v>
      </c>
      <c r="B44" s="126" t="inlineStr">
        <is>
          <t>Switzerland</t>
        </is>
      </c>
      <c r="C44" s="126" t="n">
        <v>46</v>
      </c>
      <c r="D44" s="126" t="n">
        <v>1</v>
      </c>
      <c r="E44" s="127" t="n">
        <v>1635.66</v>
      </c>
      <c r="F44" s="128">
        <f>IF(C44&lt;=30,5,IF(C44&lt;=60,4,IF(C44&lt;=120,3,IF(C44&lt;=200,2,1))))</f>
        <v/>
      </c>
      <c r="G44" s="128">
        <f>IF(D44&gt;=20,5,IF(D44&gt;=10,4,IF(D44&gt;=5,3,IF(D44&gt;=2,2,1))))</f>
        <v/>
      </c>
      <c r="H44" s="128">
        <f>IF(E44&gt;=5000,5,IF(E44&gt;=2000,4,IF(E44&gt;=800,3,IF(E44&gt;=300,2,1))))</f>
        <v/>
      </c>
      <c r="I44" s="126">
        <f>TEXT(F44,"0")&amp;TEXT(G44,"0")&amp;TEXT(H44,"0")</f>
        <v/>
      </c>
      <c r="J44" s="126">
        <f>IFERROR(XLOOKUP(I44,'Segment Map'!A:A,'Segment Map'!B:B,"Need Attention"),"Need Attention")</f>
        <v/>
      </c>
      <c r="K44" s="126">
        <f>IF(E44&gt;=5000,"🏆 Platinum",IF(E44&gt;=2000,"🥇 Gold",IF(E44&gt;=800,"🥈 Silver","🥉 Bronze")))</f>
        <v/>
      </c>
      <c r="L44" s="129" t="n">
        <v>40841</v>
      </c>
    </row>
    <row r="45">
      <c r="A45" s="122" t="n">
        <v>12399</v>
      </c>
      <c r="B45" s="122" t="inlineStr">
        <is>
          <t>Belgium</t>
        </is>
      </c>
      <c r="C45" s="122" t="n">
        <v>120</v>
      </c>
      <c r="D45" s="122" t="n">
        <v>4</v>
      </c>
      <c r="E45" s="123" t="n">
        <v>1108.65</v>
      </c>
      <c r="F45" s="124">
        <f>IF(C45&lt;=30,5,IF(C45&lt;=60,4,IF(C45&lt;=120,3,IF(C45&lt;=200,2,1))))</f>
        <v/>
      </c>
      <c r="G45" s="124">
        <f>IF(D45&gt;=20,5,IF(D45&gt;=10,4,IF(D45&gt;=5,3,IF(D45&gt;=2,2,1))))</f>
        <v/>
      </c>
      <c r="H45" s="124">
        <f>IF(E45&gt;=5000,5,IF(E45&gt;=2000,4,IF(E45&gt;=800,3,IF(E45&gt;=300,2,1))))</f>
        <v/>
      </c>
      <c r="I45" s="122">
        <f>TEXT(F45,"0")&amp;TEXT(G45,"0")&amp;TEXT(H45,"0")</f>
        <v/>
      </c>
      <c r="J45" s="122">
        <f>IFERROR(XLOOKUP(I45,'Segment Map'!A:A,'Segment Map'!B:B,"Need Attention"),"Need Attention")</f>
        <v/>
      </c>
      <c r="K45" s="122">
        <f>IF(E45&gt;=5000,"🏆 Platinum",IF(E45&gt;=2000,"🥇 Gold",IF(E45&gt;=800,"🥈 Silver","🥉 Bronze")))</f>
        <v/>
      </c>
      <c r="L45" s="125" t="n">
        <v>40767</v>
      </c>
    </row>
    <row r="46">
      <c r="A46" s="126" t="n">
        <v>12401</v>
      </c>
      <c r="B46" s="126" t="inlineStr">
        <is>
          <t>Belgium</t>
        </is>
      </c>
      <c r="C46" s="126" t="n">
        <v>304</v>
      </c>
      <c r="D46" s="126" t="n">
        <v>1</v>
      </c>
      <c r="E46" s="127" t="n">
        <v>84.3</v>
      </c>
      <c r="F46" s="128">
        <f>IF(C46&lt;=30,5,IF(C46&lt;=60,4,IF(C46&lt;=120,3,IF(C46&lt;=200,2,1))))</f>
        <v/>
      </c>
      <c r="G46" s="128">
        <f>IF(D46&gt;=20,5,IF(D46&gt;=10,4,IF(D46&gt;=5,3,IF(D46&gt;=2,2,1))))</f>
        <v/>
      </c>
      <c r="H46" s="128">
        <f>IF(E46&gt;=5000,5,IF(E46&gt;=2000,4,IF(E46&gt;=800,3,IF(E46&gt;=300,2,1))))</f>
        <v/>
      </c>
      <c r="I46" s="126">
        <f>TEXT(F46,"0")&amp;TEXT(G46,"0")&amp;TEXT(H46,"0")</f>
        <v/>
      </c>
      <c r="J46" s="126">
        <f>IFERROR(XLOOKUP(I46,'Segment Map'!A:A,'Segment Map'!B:B,"Need Attention"),"Need Attention")</f>
        <v/>
      </c>
      <c r="K46" s="126">
        <f>IF(E46&gt;=5000,"🏆 Platinum",IF(E46&gt;=2000,"🥇 Gold",IF(E46&gt;=800,"🥈 Silver","🥉 Bronze")))</f>
        <v/>
      </c>
      <c r="L46" s="129" t="n">
        <v>40583</v>
      </c>
    </row>
    <row r="47">
      <c r="A47" s="122" t="n">
        <v>12402</v>
      </c>
      <c r="B47" s="122" t="inlineStr">
        <is>
          <t>Belgium</t>
        </is>
      </c>
      <c r="C47" s="122" t="n">
        <v>324</v>
      </c>
      <c r="D47" s="122" t="n">
        <v>1</v>
      </c>
      <c r="E47" s="123" t="n">
        <v>225.6</v>
      </c>
      <c r="F47" s="124">
        <f>IF(C47&lt;=30,5,IF(C47&lt;=60,4,IF(C47&lt;=120,3,IF(C47&lt;=200,2,1))))</f>
        <v/>
      </c>
      <c r="G47" s="124">
        <f>IF(D47&gt;=20,5,IF(D47&gt;=10,4,IF(D47&gt;=5,3,IF(D47&gt;=2,2,1))))</f>
        <v/>
      </c>
      <c r="H47" s="124">
        <f>IF(E47&gt;=5000,5,IF(E47&gt;=2000,4,IF(E47&gt;=800,3,IF(E47&gt;=300,2,1))))</f>
        <v/>
      </c>
      <c r="I47" s="122">
        <f>TEXT(F47,"0")&amp;TEXT(G47,"0")&amp;TEXT(H47,"0")</f>
        <v/>
      </c>
      <c r="J47" s="122">
        <f>IFERROR(XLOOKUP(I47,'Segment Map'!A:A,'Segment Map'!B:B,"Need Attention"),"Need Attention")</f>
        <v/>
      </c>
      <c r="K47" s="122">
        <f>IF(E47&gt;=5000,"🏆 Platinum",IF(E47&gt;=2000,"🥇 Gold",IF(E47&gt;=800,"🥈 Silver","🥉 Bronze")))</f>
        <v/>
      </c>
      <c r="L47" s="125" t="n">
        <v>40563</v>
      </c>
    </row>
    <row r="48">
      <c r="A48" s="126" t="n">
        <v>12403</v>
      </c>
      <c r="B48" s="126" t="inlineStr">
        <is>
          <t>Denmark</t>
        </is>
      </c>
      <c r="C48" s="126" t="n">
        <v>50</v>
      </c>
      <c r="D48" s="126" t="n">
        <v>1</v>
      </c>
      <c r="E48" s="127" t="n">
        <v>427.7</v>
      </c>
      <c r="F48" s="128">
        <f>IF(C48&lt;=30,5,IF(C48&lt;=60,4,IF(C48&lt;=120,3,IF(C48&lt;=200,2,1))))</f>
        <v/>
      </c>
      <c r="G48" s="128">
        <f>IF(D48&gt;=20,5,IF(D48&gt;=10,4,IF(D48&gt;=5,3,IF(D48&gt;=2,2,1))))</f>
        <v/>
      </c>
      <c r="H48" s="128">
        <f>IF(E48&gt;=5000,5,IF(E48&gt;=2000,4,IF(E48&gt;=800,3,IF(E48&gt;=300,2,1))))</f>
        <v/>
      </c>
      <c r="I48" s="126">
        <f>TEXT(F48,"0")&amp;TEXT(G48,"0")&amp;TEXT(H48,"0")</f>
        <v/>
      </c>
      <c r="J48" s="126">
        <f>IFERROR(XLOOKUP(I48,'Segment Map'!A:A,'Segment Map'!B:B,"Need Attention"),"Need Attention")</f>
        <v/>
      </c>
      <c r="K48" s="126">
        <f>IF(E48&gt;=5000,"🏆 Platinum",IF(E48&gt;=2000,"🥇 Gold",IF(E48&gt;=800,"🥈 Silver","🥉 Bronze")))</f>
        <v/>
      </c>
      <c r="L48" s="129" t="n">
        <v>40837</v>
      </c>
    </row>
    <row r="49">
      <c r="A49" s="122" t="n">
        <v>12405</v>
      </c>
      <c r="B49" s="122" t="inlineStr">
        <is>
          <t>Finland</t>
        </is>
      </c>
      <c r="C49" s="122" t="n">
        <v>149</v>
      </c>
      <c r="D49" s="122" t="n">
        <v>1</v>
      </c>
      <c r="E49" s="123" t="n">
        <v>1710.39</v>
      </c>
      <c r="F49" s="124">
        <f>IF(C49&lt;=30,5,IF(C49&lt;=60,4,IF(C49&lt;=120,3,IF(C49&lt;=200,2,1))))</f>
        <v/>
      </c>
      <c r="G49" s="124">
        <f>IF(D49&gt;=20,5,IF(D49&gt;=10,4,IF(D49&gt;=5,3,IF(D49&gt;=2,2,1))))</f>
        <v/>
      </c>
      <c r="H49" s="124">
        <f>IF(E49&gt;=5000,5,IF(E49&gt;=2000,4,IF(E49&gt;=800,3,IF(E49&gt;=300,2,1))))</f>
        <v/>
      </c>
      <c r="I49" s="122">
        <f>TEXT(F49,"0")&amp;TEXT(G49,"0")&amp;TEXT(H49,"0")</f>
        <v/>
      </c>
      <c r="J49" s="122">
        <f>IFERROR(XLOOKUP(I49,'Segment Map'!A:A,'Segment Map'!B:B,"Need Attention"),"Need Attention")</f>
        <v/>
      </c>
      <c r="K49" s="122">
        <f>IF(E49&gt;=5000,"🏆 Platinum",IF(E49&gt;=2000,"🥇 Gold",IF(E49&gt;=800,"🥈 Silver","🥉 Bronze")))</f>
        <v/>
      </c>
      <c r="L49" s="125" t="n">
        <v>40738</v>
      </c>
    </row>
    <row r="50">
      <c r="A50" s="126" t="n">
        <v>12406</v>
      </c>
      <c r="B50" s="126" t="inlineStr">
        <is>
          <t>Denmark</t>
        </is>
      </c>
      <c r="C50" s="126" t="n">
        <v>23</v>
      </c>
      <c r="D50" s="126" t="n">
        <v>2</v>
      </c>
      <c r="E50" s="127" t="n">
        <v>3415.3</v>
      </c>
      <c r="F50" s="128">
        <f>IF(C50&lt;=30,5,IF(C50&lt;=60,4,IF(C50&lt;=120,3,IF(C50&lt;=200,2,1))))</f>
        <v/>
      </c>
      <c r="G50" s="128">
        <f>IF(D50&gt;=20,5,IF(D50&gt;=10,4,IF(D50&gt;=5,3,IF(D50&gt;=2,2,1))))</f>
        <v/>
      </c>
      <c r="H50" s="128">
        <f>IF(E50&gt;=5000,5,IF(E50&gt;=2000,4,IF(E50&gt;=800,3,IF(E50&gt;=300,2,1))))</f>
        <v/>
      </c>
      <c r="I50" s="126">
        <f>TEXT(F50,"0")&amp;TEXT(G50,"0")&amp;TEXT(H50,"0")</f>
        <v/>
      </c>
      <c r="J50" s="126">
        <f>IFERROR(XLOOKUP(I50,'Segment Map'!A:A,'Segment Map'!B:B,"Need Attention"),"Need Attention")</f>
        <v/>
      </c>
      <c r="K50" s="126">
        <f>IF(E50&gt;=5000,"🏆 Platinum",IF(E50&gt;=2000,"🥇 Gold",IF(E50&gt;=800,"🥈 Silver","🥉 Bronze")))</f>
        <v/>
      </c>
      <c r="L50" s="129" t="n">
        <v>40864</v>
      </c>
    </row>
    <row r="51">
      <c r="A51" s="122" t="n">
        <v>12407</v>
      </c>
      <c r="B51" s="122" t="inlineStr">
        <is>
          <t>Belgium</t>
        </is>
      </c>
      <c r="C51" s="122" t="n">
        <v>50</v>
      </c>
      <c r="D51" s="122" t="n">
        <v>5</v>
      </c>
      <c r="E51" s="123" t="n">
        <v>1708.12</v>
      </c>
      <c r="F51" s="124">
        <f>IF(C51&lt;=30,5,IF(C51&lt;=60,4,IF(C51&lt;=120,3,IF(C51&lt;=200,2,1))))</f>
        <v/>
      </c>
      <c r="G51" s="124">
        <f>IF(D51&gt;=20,5,IF(D51&gt;=10,4,IF(D51&gt;=5,3,IF(D51&gt;=2,2,1))))</f>
        <v/>
      </c>
      <c r="H51" s="124">
        <f>IF(E51&gt;=5000,5,IF(E51&gt;=2000,4,IF(E51&gt;=800,3,IF(E51&gt;=300,2,1))))</f>
        <v/>
      </c>
      <c r="I51" s="122">
        <f>TEXT(F51,"0")&amp;TEXT(G51,"0")&amp;TEXT(H51,"0")</f>
        <v/>
      </c>
      <c r="J51" s="122">
        <f>IFERROR(XLOOKUP(I51,'Segment Map'!A:A,'Segment Map'!B:B,"Need Attention"),"Need Attention")</f>
        <v/>
      </c>
      <c r="K51" s="122">
        <f>IF(E51&gt;=5000,"🏆 Platinum",IF(E51&gt;=2000,"🥇 Gold",IF(E51&gt;=800,"🥈 Silver","🥉 Bronze")))</f>
        <v/>
      </c>
      <c r="L51" s="125" t="n">
        <v>40837</v>
      </c>
    </row>
    <row r="52">
      <c r="A52" s="126" t="n">
        <v>12408</v>
      </c>
      <c r="B52" s="126" t="inlineStr">
        <is>
          <t>Belgium</t>
        </is>
      </c>
      <c r="C52" s="126" t="n">
        <v>33</v>
      </c>
      <c r="D52" s="126" t="n">
        <v>5</v>
      </c>
      <c r="E52" s="127" t="n">
        <v>2888.55</v>
      </c>
      <c r="F52" s="128">
        <f>IF(C52&lt;=30,5,IF(C52&lt;=60,4,IF(C52&lt;=120,3,IF(C52&lt;=200,2,1))))</f>
        <v/>
      </c>
      <c r="G52" s="128">
        <f>IF(D52&gt;=20,5,IF(D52&gt;=10,4,IF(D52&gt;=5,3,IF(D52&gt;=2,2,1))))</f>
        <v/>
      </c>
      <c r="H52" s="128">
        <f>IF(E52&gt;=5000,5,IF(E52&gt;=2000,4,IF(E52&gt;=800,3,IF(E52&gt;=300,2,1))))</f>
        <v/>
      </c>
      <c r="I52" s="126">
        <f>TEXT(F52,"0")&amp;TEXT(G52,"0")&amp;TEXT(H52,"0")</f>
        <v/>
      </c>
      <c r="J52" s="126">
        <f>IFERROR(XLOOKUP(I52,'Segment Map'!A:A,'Segment Map'!B:B,"Need Attention"),"Need Attention")</f>
        <v/>
      </c>
      <c r="K52" s="126">
        <f>IF(E52&gt;=5000,"🏆 Platinum",IF(E52&gt;=2000,"🥇 Gold",IF(E52&gt;=800,"🥈 Silver","🥉 Bronze")))</f>
        <v/>
      </c>
      <c r="L52" s="129" t="n">
        <v>40854</v>
      </c>
    </row>
    <row r="53">
      <c r="A53" s="122" t="n">
        <v>12409</v>
      </c>
      <c r="B53" s="122" t="inlineStr">
        <is>
          <t>Switzerland</t>
        </is>
      </c>
      <c r="C53" s="122" t="n">
        <v>79</v>
      </c>
      <c r="D53" s="122" t="n">
        <v>3</v>
      </c>
      <c r="E53" s="123" t="n">
        <v>11072.67</v>
      </c>
      <c r="F53" s="124">
        <f>IF(C53&lt;=30,5,IF(C53&lt;=60,4,IF(C53&lt;=120,3,IF(C53&lt;=200,2,1))))</f>
        <v/>
      </c>
      <c r="G53" s="124">
        <f>IF(D53&gt;=20,5,IF(D53&gt;=10,4,IF(D53&gt;=5,3,IF(D53&gt;=2,2,1))))</f>
        <v/>
      </c>
      <c r="H53" s="124">
        <f>IF(E53&gt;=5000,5,IF(E53&gt;=2000,4,IF(E53&gt;=800,3,IF(E53&gt;=300,2,1))))</f>
        <v/>
      </c>
      <c r="I53" s="122">
        <f>TEXT(F53,"0")&amp;TEXT(G53,"0")&amp;TEXT(H53,"0")</f>
        <v/>
      </c>
      <c r="J53" s="122">
        <f>IFERROR(XLOOKUP(I53,'Segment Map'!A:A,'Segment Map'!B:B,"Need Attention"),"Need Attention")</f>
        <v/>
      </c>
      <c r="K53" s="122">
        <f>IF(E53&gt;=5000,"🏆 Platinum",IF(E53&gt;=2000,"🥇 Gold",IF(E53&gt;=800,"🥈 Silver","🥉 Bronze")))</f>
        <v/>
      </c>
      <c r="L53" s="125" t="n">
        <v>40808</v>
      </c>
    </row>
    <row r="54">
      <c r="A54" s="126" t="n">
        <v>12410</v>
      </c>
      <c r="B54" s="126" t="inlineStr">
        <is>
          <t>Switzerland</t>
        </is>
      </c>
      <c r="C54" s="126" t="n">
        <v>309</v>
      </c>
      <c r="D54" s="126" t="n">
        <v>2</v>
      </c>
      <c r="E54" s="127" t="n">
        <v>693.33</v>
      </c>
      <c r="F54" s="128">
        <f>IF(C54&lt;=30,5,IF(C54&lt;=60,4,IF(C54&lt;=120,3,IF(C54&lt;=200,2,1))))</f>
        <v/>
      </c>
      <c r="G54" s="128">
        <f>IF(D54&gt;=20,5,IF(D54&gt;=10,4,IF(D54&gt;=5,3,IF(D54&gt;=2,2,1))))</f>
        <v/>
      </c>
      <c r="H54" s="128">
        <f>IF(E54&gt;=5000,5,IF(E54&gt;=2000,4,IF(E54&gt;=800,3,IF(E54&gt;=300,2,1))))</f>
        <v/>
      </c>
      <c r="I54" s="126">
        <f>TEXT(F54,"0")&amp;TEXT(G54,"0")&amp;TEXT(H54,"0")</f>
        <v/>
      </c>
      <c r="J54" s="126">
        <f>IFERROR(XLOOKUP(I54,'Segment Map'!A:A,'Segment Map'!B:B,"Need Attention"),"Need Attention")</f>
        <v/>
      </c>
      <c r="K54" s="126">
        <f>IF(E54&gt;=5000,"🏆 Platinum",IF(E54&gt;=2000,"🥇 Gold",IF(E54&gt;=800,"🥈 Silver","🥉 Bronze")))</f>
        <v/>
      </c>
      <c r="L54" s="129" t="n">
        <v>40578</v>
      </c>
    </row>
    <row r="55">
      <c r="A55" s="122" t="n">
        <v>12412</v>
      </c>
      <c r="B55" s="122" t="inlineStr">
        <is>
          <t>Denmark</t>
        </is>
      </c>
      <c r="C55" s="122" t="n">
        <v>75</v>
      </c>
      <c r="D55" s="122" t="n">
        <v>3</v>
      </c>
      <c r="E55" s="123" t="n">
        <v>1226.88</v>
      </c>
      <c r="F55" s="124">
        <f>IF(C55&lt;=30,5,IF(C55&lt;=60,4,IF(C55&lt;=120,3,IF(C55&lt;=200,2,1))))</f>
        <v/>
      </c>
      <c r="G55" s="124">
        <f>IF(D55&gt;=20,5,IF(D55&gt;=10,4,IF(D55&gt;=5,3,IF(D55&gt;=2,2,1))))</f>
        <v/>
      </c>
      <c r="H55" s="124">
        <f>IF(E55&gt;=5000,5,IF(E55&gt;=2000,4,IF(E55&gt;=800,3,IF(E55&gt;=300,2,1))))</f>
        <v/>
      </c>
      <c r="I55" s="122">
        <f>TEXT(F55,"0")&amp;TEXT(G55,"0")&amp;TEXT(H55,"0")</f>
        <v/>
      </c>
      <c r="J55" s="122">
        <f>IFERROR(XLOOKUP(I55,'Segment Map'!A:A,'Segment Map'!B:B,"Need Attention"),"Need Attention")</f>
        <v/>
      </c>
      <c r="K55" s="122">
        <f>IF(E55&gt;=5000,"🏆 Platinum",IF(E55&gt;=2000,"🥇 Gold",IF(E55&gt;=800,"🥈 Silver","🥉 Bronze")))</f>
        <v/>
      </c>
      <c r="L55" s="125" t="n">
        <v>40812</v>
      </c>
    </row>
    <row r="56">
      <c r="A56" s="126" t="n">
        <v>12413</v>
      </c>
      <c r="B56" s="126" t="inlineStr">
        <is>
          <t>France</t>
        </is>
      </c>
      <c r="C56" s="126" t="n">
        <v>67</v>
      </c>
      <c r="D56" s="126" t="n">
        <v>3</v>
      </c>
      <c r="E56" s="127" t="n">
        <v>758.1</v>
      </c>
      <c r="F56" s="128">
        <f>IF(C56&lt;=30,5,IF(C56&lt;=60,4,IF(C56&lt;=120,3,IF(C56&lt;=200,2,1))))</f>
        <v/>
      </c>
      <c r="G56" s="128">
        <f>IF(D56&gt;=20,5,IF(D56&gt;=10,4,IF(D56&gt;=5,3,IF(D56&gt;=2,2,1))))</f>
        <v/>
      </c>
      <c r="H56" s="128">
        <f>IF(E56&gt;=5000,5,IF(E56&gt;=2000,4,IF(E56&gt;=800,3,IF(E56&gt;=300,2,1))))</f>
        <v/>
      </c>
      <c r="I56" s="126">
        <f>TEXT(F56,"0")&amp;TEXT(G56,"0")&amp;TEXT(H56,"0")</f>
        <v/>
      </c>
      <c r="J56" s="126">
        <f>IFERROR(XLOOKUP(I56,'Segment Map'!A:A,'Segment Map'!B:B,"Need Attention"),"Need Attention")</f>
        <v/>
      </c>
      <c r="K56" s="126">
        <f>IF(E56&gt;=5000,"🏆 Platinum",IF(E56&gt;=2000,"🥇 Gold",IF(E56&gt;=800,"🥈 Silver","🥉 Bronze")))</f>
        <v/>
      </c>
      <c r="L56" s="129" t="n">
        <v>40820</v>
      </c>
    </row>
    <row r="57">
      <c r="A57" s="122" t="n">
        <v>12414</v>
      </c>
      <c r="B57" s="122" t="inlineStr">
        <is>
          <t>Austria</t>
        </is>
      </c>
      <c r="C57" s="122" t="n">
        <v>218</v>
      </c>
      <c r="D57" s="122" t="n">
        <v>3</v>
      </c>
      <c r="E57" s="123" t="n">
        <v>562.41</v>
      </c>
      <c r="F57" s="124">
        <f>IF(C57&lt;=30,5,IF(C57&lt;=60,4,IF(C57&lt;=120,3,IF(C57&lt;=200,2,1))))</f>
        <v/>
      </c>
      <c r="G57" s="124">
        <f>IF(D57&gt;=20,5,IF(D57&gt;=10,4,IF(D57&gt;=5,3,IF(D57&gt;=2,2,1))))</f>
        <v/>
      </c>
      <c r="H57" s="124">
        <f>IF(E57&gt;=5000,5,IF(E57&gt;=2000,4,IF(E57&gt;=800,3,IF(E57&gt;=300,2,1))))</f>
        <v/>
      </c>
      <c r="I57" s="122">
        <f>TEXT(F57,"0")&amp;TEXT(G57,"0")&amp;TEXT(H57,"0")</f>
        <v/>
      </c>
      <c r="J57" s="122">
        <f>IFERROR(XLOOKUP(I57,'Segment Map'!A:A,'Segment Map'!B:B,"Need Attention"),"Need Attention")</f>
        <v/>
      </c>
      <c r="K57" s="122">
        <f>IF(E57&gt;=5000,"🏆 Platinum",IF(E57&gt;=2000,"🥇 Gold",IF(E57&gt;=800,"🥈 Silver","🥉 Bronze")))</f>
        <v/>
      </c>
      <c r="L57" s="125" t="n">
        <v>40669</v>
      </c>
    </row>
    <row r="58">
      <c r="A58" s="126" t="n">
        <v>12415</v>
      </c>
      <c r="B58" s="126" t="inlineStr">
        <is>
          <t>Australia</t>
        </is>
      </c>
      <c r="C58" s="126" t="n">
        <v>25</v>
      </c>
      <c r="D58" s="126" t="n">
        <v>21</v>
      </c>
      <c r="E58" s="127" t="n">
        <v>124914.53</v>
      </c>
      <c r="F58" s="128">
        <f>IF(C58&lt;=30,5,IF(C58&lt;=60,4,IF(C58&lt;=120,3,IF(C58&lt;=200,2,1))))</f>
        <v/>
      </c>
      <c r="G58" s="128">
        <f>IF(D58&gt;=20,5,IF(D58&gt;=10,4,IF(D58&gt;=5,3,IF(D58&gt;=2,2,1))))</f>
        <v/>
      </c>
      <c r="H58" s="128">
        <f>IF(E58&gt;=5000,5,IF(E58&gt;=2000,4,IF(E58&gt;=800,3,IF(E58&gt;=300,2,1))))</f>
        <v/>
      </c>
      <c r="I58" s="126">
        <f>TEXT(F58,"0")&amp;TEXT(G58,"0")&amp;TEXT(H58,"0")</f>
        <v/>
      </c>
      <c r="J58" s="126">
        <f>IFERROR(XLOOKUP(I58,'Segment Map'!A:A,'Segment Map'!B:B,"Need Attention"),"Need Attention")</f>
        <v/>
      </c>
      <c r="K58" s="126">
        <f>IF(E58&gt;=5000,"🏆 Platinum",IF(E58&gt;=2000,"🥇 Gold",IF(E58&gt;=800,"🥈 Silver","🥉 Bronze")))</f>
        <v/>
      </c>
      <c r="L58" s="129" t="n">
        <v>40862</v>
      </c>
    </row>
    <row r="59">
      <c r="A59" s="122" t="n">
        <v>12417</v>
      </c>
      <c r="B59" s="122" t="inlineStr">
        <is>
          <t>Belgium</t>
        </is>
      </c>
      <c r="C59" s="122" t="n">
        <v>4</v>
      </c>
      <c r="D59" s="122" t="n">
        <v>9</v>
      </c>
      <c r="E59" s="123" t="n">
        <v>3649.1</v>
      </c>
      <c r="F59" s="124">
        <f>IF(C59&lt;=30,5,IF(C59&lt;=60,4,IF(C59&lt;=120,3,IF(C59&lt;=200,2,1))))</f>
        <v/>
      </c>
      <c r="G59" s="124">
        <f>IF(D59&gt;=20,5,IF(D59&gt;=10,4,IF(D59&gt;=5,3,IF(D59&gt;=2,2,1))))</f>
        <v/>
      </c>
      <c r="H59" s="124">
        <f>IF(E59&gt;=5000,5,IF(E59&gt;=2000,4,IF(E59&gt;=800,3,IF(E59&gt;=300,2,1))))</f>
        <v/>
      </c>
      <c r="I59" s="122">
        <f>TEXT(F59,"0")&amp;TEXT(G59,"0")&amp;TEXT(H59,"0")</f>
        <v/>
      </c>
      <c r="J59" s="122">
        <f>IFERROR(XLOOKUP(I59,'Segment Map'!A:A,'Segment Map'!B:B,"Need Attention"),"Need Attention")</f>
        <v/>
      </c>
      <c r="K59" s="122">
        <f>IF(E59&gt;=5000,"🏆 Platinum",IF(E59&gt;=2000,"🥇 Gold",IF(E59&gt;=800,"🥈 Silver","🥉 Bronze")))</f>
        <v/>
      </c>
      <c r="L59" s="125" t="n">
        <v>40883</v>
      </c>
    </row>
    <row r="60">
      <c r="A60" s="126" t="n">
        <v>12418</v>
      </c>
      <c r="B60" s="126" t="inlineStr">
        <is>
          <t>Switzerland</t>
        </is>
      </c>
      <c r="C60" s="126" t="n">
        <v>113</v>
      </c>
      <c r="D60" s="126" t="n">
        <v>1</v>
      </c>
      <c r="E60" s="127" t="n">
        <v>668.58</v>
      </c>
      <c r="F60" s="128">
        <f>IF(C60&lt;=30,5,IF(C60&lt;=60,4,IF(C60&lt;=120,3,IF(C60&lt;=200,2,1))))</f>
        <v/>
      </c>
      <c r="G60" s="128">
        <f>IF(D60&gt;=20,5,IF(D60&gt;=10,4,IF(D60&gt;=5,3,IF(D60&gt;=2,2,1))))</f>
        <v/>
      </c>
      <c r="H60" s="128">
        <f>IF(E60&gt;=5000,5,IF(E60&gt;=2000,4,IF(E60&gt;=800,3,IF(E60&gt;=300,2,1))))</f>
        <v/>
      </c>
      <c r="I60" s="126">
        <f>TEXT(F60,"0")&amp;TEXT(G60,"0")&amp;TEXT(H60,"0")</f>
        <v/>
      </c>
      <c r="J60" s="126">
        <f>IFERROR(XLOOKUP(I60,'Segment Map'!A:A,'Segment Map'!B:B,"Need Attention"),"Need Attention")</f>
        <v/>
      </c>
      <c r="K60" s="126">
        <f>IF(E60&gt;=5000,"🏆 Platinum",IF(E60&gt;=2000,"🥇 Gold",IF(E60&gt;=800,"🥈 Silver","🥉 Bronze")))</f>
        <v/>
      </c>
      <c r="L60" s="129" t="n">
        <v>40774</v>
      </c>
    </row>
    <row r="61">
      <c r="A61" s="122" t="n">
        <v>12420</v>
      </c>
      <c r="B61" s="122" t="inlineStr">
        <is>
          <t>Cyprus</t>
        </is>
      </c>
      <c r="C61" s="122" t="n">
        <v>64</v>
      </c>
      <c r="D61" s="122" t="n">
        <v>1</v>
      </c>
      <c r="E61" s="123" t="n">
        <v>600.39</v>
      </c>
      <c r="F61" s="124">
        <f>IF(C61&lt;=30,5,IF(C61&lt;=60,4,IF(C61&lt;=120,3,IF(C61&lt;=200,2,1))))</f>
        <v/>
      </c>
      <c r="G61" s="124">
        <f>IF(D61&gt;=20,5,IF(D61&gt;=10,4,IF(D61&gt;=5,3,IF(D61&gt;=2,2,1))))</f>
        <v/>
      </c>
      <c r="H61" s="124">
        <f>IF(E61&gt;=5000,5,IF(E61&gt;=2000,4,IF(E61&gt;=800,3,IF(E61&gt;=300,2,1))))</f>
        <v/>
      </c>
      <c r="I61" s="122">
        <f>TEXT(F61,"0")&amp;TEXT(G61,"0")&amp;TEXT(H61,"0")</f>
        <v/>
      </c>
      <c r="J61" s="122">
        <f>IFERROR(XLOOKUP(I61,'Segment Map'!A:A,'Segment Map'!B:B,"Need Attention"),"Need Attention")</f>
        <v/>
      </c>
      <c r="K61" s="122">
        <f>IF(E61&gt;=5000,"🏆 Platinum",IF(E61&gt;=2000,"🥇 Gold",IF(E61&gt;=800,"🥈 Silver","🥉 Bronze")))</f>
        <v/>
      </c>
      <c r="L61" s="125" t="n">
        <v>40823</v>
      </c>
    </row>
    <row r="62">
      <c r="A62" s="126" t="n">
        <v>12421</v>
      </c>
      <c r="B62" s="126" t="inlineStr">
        <is>
          <t>Spain</t>
        </is>
      </c>
      <c r="C62" s="126" t="n">
        <v>16</v>
      </c>
      <c r="D62" s="126" t="n">
        <v>4</v>
      </c>
      <c r="E62" s="127" t="n">
        <v>807.04</v>
      </c>
      <c r="F62" s="128">
        <f>IF(C62&lt;=30,5,IF(C62&lt;=60,4,IF(C62&lt;=120,3,IF(C62&lt;=200,2,1))))</f>
        <v/>
      </c>
      <c r="G62" s="128">
        <f>IF(D62&gt;=20,5,IF(D62&gt;=10,4,IF(D62&gt;=5,3,IF(D62&gt;=2,2,1))))</f>
        <v/>
      </c>
      <c r="H62" s="128">
        <f>IF(E62&gt;=5000,5,IF(E62&gt;=2000,4,IF(E62&gt;=800,3,IF(E62&gt;=300,2,1))))</f>
        <v/>
      </c>
      <c r="I62" s="126">
        <f>TEXT(F62,"0")&amp;TEXT(G62,"0")&amp;TEXT(H62,"0")</f>
        <v/>
      </c>
      <c r="J62" s="126">
        <f>IFERROR(XLOOKUP(I62,'Segment Map'!A:A,'Segment Map'!B:B,"Need Attention"),"Need Attention")</f>
        <v/>
      </c>
      <c r="K62" s="126">
        <f>IF(E62&gt;=5000,"🏆 Platinum",IF(E62&gt;=2000,"🥇 Gold",IF(E62&gt;=800,"🥈 Silver","🥉 Bronze")))</f>
        <v/>
      </c>
      <c r="L62" s="129" t="n">
        <v>40871</v>
      </c>
    </row>
    <row r="63">
      <c r="A63" s="122" t="n">
        <v>12422</v>
      </c>
      <c r="B63" s="122" t="inlineStr">
        <is>
          <t>Australia</t>
        </is>
      </c>
      <c r="C63" s="122" t="n">
        <v>96</v>
      </c>
      <c r="D63" s="122" t="n">
        <v>3</v>
      </c>
      <c r="E63" s="123" t="n">
        <v>803.5599999999999</v>
      </c>
      <c r="F63" s="124">
        <f>IF(C63&lt;=30,5,IF(C63&lt;=60,4,IF(C63&lt;=120,3,IF(C63&lt;=200,2,1))))</f>
        <v/>
      </c>
      <c r="G63" s="124">
        <f>IF(D63&gt;=20,5,IF(D63&gt;=10,4,IF(D63&gt;=5,3,IF(D63&gt;=2,2,1))))</f>
        <v/>
      </c>
      <c r="H63" s="124">
        <f>IF(E63&gt;=5000,5,IF(E63&gt;=2000,4,IF(E63&gt;=800,3,IF(E63&gt;=300,2,1))))</f>
        <v/>
      </c>
      <c r="I63" s="122">
        <f>TEXT(F63,"0")&amp;TEXT(G63,"0")&amp;TEXT(H63,"0")</f>
        <v/>
      </c>
      <c r="J63" s="122">
        <f>IFERROR(XLOOKUP(I63,'Segment Map'!A:A,'Segment Map'!B:B,"Need Attention"),"Need Attention")</f>
        <v/>
      </c>
      <c r="K63" s="122">
        <f>IF(E63&gt;=5000,"🏆 Platinum",IF(E63&gt;=2000,"🥇 Gold",IF(E63&gt;=800,"🥈 Silver","🥉 Bronze")))</f>
        <v/>
      </c>
      <c r="L63" s="125" t="n">
        <v>40791</v>
      </c>
    </row>
    <row r="64">
      <c r="A64" s="126" t="n">
        <v>12423</v>
      </c>
      <c r="B64" s="126" t="inlineStr">
        <is>
          <t>Belgium</t>
        </is>
      </c>
      <c r="C64" s="126" t="n">
        <v>1</v>
      </c>
      <c r="D64" s="126" t="n">
        <v>8</v>
      </c>
      <c r="E64" s="127" t="n">
        <v>1859.31</v>
      </c>
      <c r="F64" s="128">
        <f>IF(C64&lt;=30,5,IF(C64&lt;=60,4,IF(C64&lt;=120,3,IF(C64&lt;=200,2,1))))</f>
        <v/>
      </c>
      <c r="G64" s="128">
        <f>IF(D64&gt;=20,5,IF(D64&gt;=10,4,IF(D64&gt;=5,3,IF(D64&gt;=2,2,1))))</f>
        <v/>
      </c>
      <c r="H64" s="128">
        <f>IF(E64&gt;=5000,5,IF(E64&gt;=2000,4,IF(E64&gt;=800,3,IF(E64&gt;=300,2,1))))</f>
        <v/>
      </c>
      <c r="I64" s="126">
        <f>TEXT(F64,"0")&amp;TEXT(G64,"0")&amp;TEXT(H64,"0")</f>
        <v/>
      </c>
      <c r="J64" s="126">
        <f>IFERROR(XLOOKUP(I64,'Segment Map'!A:A,'Segment Map'!B:B,"Need Attention"),"Need Attention")</f>
        <v/>
      </c>
      <c r="K64" s="126">
        <f>IF(E64&gt;=5000,"🏆 Platinum",IF(E64&gt;=2000,"🥇 Gold",IF(E64&gt;=800,"🥈 Silver","🥉 Bronze")))</f>
        <v/>
      </c>
      <c r="L64" s="129" t="n">
        <v>40886</v>
      </c>
    </row>
    <row r="65">
      <c r="A65" s="122" t="n">
        <v>12424</v>
      </c>
      <c r="B65" s="122" t="inlineStr">
        <is>
          <t>Australia</t>
        </is>
      </c>
      <c r="C65" s="122" t="n">
        <v>163</v>
      </c>
      <c r="D65" s="122" t="n">
        <v>2</v>
      </c>
      <c r="E65" s="123" t="n">
        <v>1760.96</v>
      </c>
      <c r="F65" s="124">
        <f>IF(C65&lt;=30,5,IF(C65&lt;=60,4,IF(C65&lt;=120,3,IF(C65&lt;=200,2,1))))</f>
        <v/>
      </c>
      <c r="G65" s="124">
        <f>IF(D65&gt;=20,5,IF(D65&gt;=10,4,IF(D65&gt;=5,3,IF(D65&gt;=2,2,1))))</f>
        <v/>
      </c>
      <c r="H65" s="124">
        <f>IF(E65&gt;=5000,5,IF(E65&gt;=2000,4,IF(E65&gt;=800,3,IF(E65&gt;=300,2,1))))</f>
        <v/>
      </c>
      <c r="I65" s="122">
        <f>TEXT(F65,"0")&amp;TEXT(G65,"0")&amp;TEXT(H65,"0")</f>
        <v/>
      </c>
      <c r="J65" s="122">
        <f>IFERROR(XLOOKUP(I65,'Segment Map'!A:A,'Segment Map'!B:B,"Need Attention"),"Need Attention")</f>
        <v/>
      </c>
      <c r="K65" s="122">
        <f>IF(E65&gt;=5000,"🏆 Platinum",IF(E65&gt;=2000,"🥇 Gold",IF(E65&gt;=800,"🥈 Silver","🥉 Bronze")))</f>
        <v/>
      </c>
      <c r="L65" s="125" t="n">
        <v>40724</v>
      </c>
    </row>
    <row r="66">
      <c r="A66" s="126" t="n">
        <v>12425</v>
      </c>
      <c r="B66" s="126" t="inlineStr">
        <is>
          <t>Portugal</t>
        </is>
      </c>
      <c r="C66" s="126" t="n">
        <v>79</v>
      </c>
      <c r="D66" s="126" t="n">
        <v>1</v>
      </c>
      <c r="E66" s="127" t="n">
        <v>777.2</v>
      </c>
      <c r="F66" s="128">
        <f>IF(C66&lt;=30,5,IF(C66&lt;=60,4,IF(C66&lt;=120,3,IF(C66&lt;=200,2,1))))</f>
        <v/>
      </c>
      <c r="G66" s="128">
        <f>IF(D66&gt;=20,5,IF(D66&gt;=10,4,IF(D66&gt;=5,3,IF(D66&gt;=2,2,1))))</f>
        <v/>
      </c>
      <c r="H66" s="128">
        <f>IF(E66&gt;=5000,5,IF(E66&gt;=2000,4,IF(E66&gt;=800,3,IF(E66&gt;=300,2,1))))</f>
        <v/>
      </c>
      <c r="I66" s="126">
        <f>TEXT(F66,"0")&amp;TEXT(G66,"0")&amp;TEXT(H66,"0")</f>
        <v/>
      </c>
      <c r="J66" s="126">
        <f>IFERROR(XLOOKUP(I66,'Segment Map'!A:A,'Segment Map'!B:B,"Need Attention"),"Need Attention")</f>
        <v/>
      </c>
      <c r="K66" s="126">
        <f>IF(E66&gt;=5000,"🏆 Platinum",IF(E66&gt;=2000,"🥇 Gold",IF(E66&gt;=800,"🥈 Silver","🥉 Bronze")))</f>
        <v/>
      </c>
      <c r="L66" s="129" t="n">
        <v>40808</v>
      </c>
    </row>
    <row r="67">
      <c r="A67" s="122" t="n">
        <v>12426</v>
      </c>
      <c r="B67" s="122" t="inlineStr">
        <is>
          <t>Germany</t>
        </is>
      </c>
      <c r="C67" s="122" t="n">
        <v>195</v>
      </c>
      <c r="D67" s="122" t="n">
        <v>1</v>
      </c>
      <c r="E67" s="123" t="n">
        <v>582.73</v>
      </c>
      <c r="F67" s="124">
        <f>IF(C67&lt;=30,5,IF(C67&lt;=60,4,IF(C67&lt;=120,3,IF(C67&lt;=200,2,1))))</f>
        <v/>
      </c>
      <c r="G67" s="124">
        <f>IF(D67&gt;=20,5,IF(D67&gt;=10,4,IF(D67&gt;=5,3,IF(D67&gt;=2,2,1))))</f>
        <v/>
      </c>
      <c r="H67" s="124">
        <f>IF(E67&gt;=5000,5,IF(E67&gt;=2000,4,IF(E67&gt;=800,3,IF(E67&gt;=300,2,1))))</f>
        <v/>
      </c>
      <c r="I67" s="122">
        <f>TEXT(F67,"0")&amp;TEXT(G67,"0")&amp;TEXT(H67,"0")</f>
        <v/>
      </c>
      <c r="J67" s="122">
        <f>IFERROR(XLOOKUP(I67,'Segment Map'!A:A,'Segment Map'!B:B,"Need Attention"),"Need Attention")</f>
        <v/>
      </c>
      <c r="K67" s="122">
        <f>IF(E67&gt;=5000,"🏆 Platinum",IF(E67&gt;=2000,"🥇 Gold",IF(E67&gt;=800,"🥈 Silver","🥉 Bronze")))</f>
        <v/>
      </c>
      <c r="L67" s="125" t="n">
        <v>40692</v>
      </c>
    </row>
    <row r="68">
      <c r="A68" s="126" t="n">
        <v>12427</v>
      </c>
      <c r="B68" s="126" t="inlineStr">
        <is>
          <t>Germany</t>
        </is>
      </c>
      <c r="C68" s="126" t="n">
        <v>22</v>
      </c>
      <c r="D68" s="126" t="n">
        <v>3</v>
      </c>
      <c r="E68" s="127" t="n">
        <v>825.8</v>
      </c>
      <c r="F68" s="128">
        <f>IF(C68&lt;=30,5,IF(C68&lt;=60,4,IF(C68&lt;=120,3,IF(C68&lt;=200,2,1))))</f>
        <v/>
      </c>
      <c r="G68" s="128">
        <f>IF(D68&gt;=20,5,IF(D68&gt;=10,4,IF(D68&gt;=5,3,IF(D68&gt;=2,2,1))))</f>
        <v/>
      </c>
      <c r="H68" s="128">
        <f>IF(E68&gt;=5000,5,IF(E68&gt;=2000,4,IF(E68&gt;=800,3,IF(E68&gt;=300,2,1))))</f>
        <v/>
      </c>
      <c r="I68" s="126">
        <f>TEXT(F68,"0")&amp;TEXT(G68,"0")&amp;TEXT(H68,"0")</f>
        <v/>
      </c>
      <c r="J68" s="126">
        <f>IFERROR(XLOOKUP(I68,'Segment Map'!A:A,'Segment Map'!B:B,"Need Attention"),"Need Attention")</f>
        <v/>
      </c>
      <c r="K68" s="126">
        <f>IF(E68&gt;=5000,"🏆 Platinum",IF(E68&gt;=2000,"🥇 Gold",IF(E68&gt;=800,"🥈 Silver","🥉 Bronze")))</f>
        <v/>
      </c>
      <c r="L68" s="129" t="n">
        <v>40865</v>
      </c>
    </row>
    <row r="69">
      <c r="A69" s="122" t="n">
        <v>12428</v>
      </c>
      <c r="B69" s="122" t="inlineStr">
        <is>
          <t>Finland</t>
        </is>
      </c>
      <c r="C69" s="122" t="n">
        <v>26</v>
      </c>
      <c r="D69" s="122" t="n">
        <v>9</v>
      </c>
      <c r="E69" s="123" t="n">
        <v>7956.46</v>
      </c>
      <c r="F69" s="124">
        <f>IF(C69&lt;=30,5,IF(C69&lt;=60,4,IF(C69&lt;=120,3,IF(C69&lt;=200,2,1))))</f>
        <v/>
      </c>
      <c r="G69" s="124">
        <f>IF(D69&gt;=20,5,IF(D69&gt;=10,4,IF(D69&gt;=5,3,IF(D69&gt;=2,2,1))))</f>
        <v/>
      </c>
      <c r="H69" s="124">
        <f>IF(E69&gt;=5000,5,IF(E69&gt;=2000,4,IF(E69&gt;=800,3,IF(E69&gt;=300,2,1))))</f>
        <v/>
      </c>
      <c r="I69" s="122">
        <f>TEXT(F69,"0")&amp;TEXT(G69,"0")&amp;TEXT(H69,"0")</f>
        <v/>
      </c>
      <c r="J69" s="122">
        <f>IFERROR(XLOOKUP(I69,'Segment Map'!A:A,'Segment Map'!B:B,"Need Attention"),"Need Attention")</f>
        <v/>
      </c>
      <c r="K69" s="122">
        <f>IF(E69&gt;=5000,"🏆 Platinum",IF(E69&gt;=2000,"🥇 Gold",IF(E69&gt;=800,"🥈 Silver","🥉 Bronze")))</f>
        <v/>
      </c>
      <c r="L69" s="125" t="n">
        <v>40861</v>
      </c>
    </row>
    <row r="70">
      <c r="A70" s="126" t="n">
        <v>12429</v>
      </c>
      <c r="B70" s="126" t="inlineStr">
        <is>
          <t>Denmark</t>
        </is>
      </c>
      <c r="C70" s="126" t="n">
        <v>10</v>
      </c>
      <c r="D70" s="126" t="n">
        <v>4</v>
      </c>
      <c r="E70" s="127" t="n">
        <v>3750.4</v>
      </c>
      <c r="F70" s="128">
        <f>IF(C70&lt;=30,5,IF(C70&lt;=60,4,IF(C70&lt;=120,3,IF(C70&lt;=200,2,1))))</f>
        <v/>
      </c>
      <c r="G70" s="128">
        <f>IF(D70&gt;=20,5,IF(D70&gt;=10,4,IF(D70&gt;=5,3,IF(D70&gt;=2,2,1))))</f>
        <v/>
      </c>
      <c r="H70" s="128">
        <f>IF(E70&gt;=5000,5,IF(E70&gt;=2000,4,IF(E70&gt;=800,3,IF(E70&gt;=300,2,1))))</f>
        <v/>
      </c>
      <c r="I70" s="126">
        <f>TEXT(F70,"0")&amp;TEXT(G70,"0")&amp;TEXT(H70,"0")</f>
        <v/>
      </c>
      <c r="J70" s="126">
        <f>IFERROR(XLOOKUP(I70,'Segment Map'!A:A,'Segment Map'!B:B,"Need Attention"),"Need Attention")</f>
        <v/>
      </c>
      <c r="K70" s="126">
        <f>IF(E70&gt;=5000,"🏆 Platinum",IF(E70&gt;=2000,"🥇 Gold",IF(E70&gt;=800,"🥈 Silver","🥉 Bronze")))</f>
        <v/>
      </c>
      <c r="L70" s="129" t="n">
        <v>40877</v>
      </c>
    </row>
    <row r="71">
      <c r="A71" s="122" t="n">
        <v>12430</v>
      </c>
      <c r="B71" s="122" t="inlineStr">
        <is>
          <t>Norway</t>
        </is>
      </c>
      <c r="C71" s="122" t="n">
        <v>44</v>
      </c>
      <c r="D71" s="122" t="n">
        <v>1</v>
      </c>
      <c r="E71" s="123" t="n">
        <v>256.4</v>
      </c>
      <c r="F71" s="124">
        <f>IF(C71&lt;=30,5,IF(C71&lt;=60,4,IF(C71&lt;=120,3,IF(C71&lt;=200,2,1))))</f>
        <v/>
      </c>
      <c r="G71" s="124">
        <f>IF(D71&gt;=20,5,IF(D71&gt;=10,4,IF(D71&gt;=5,3,IF(D71&gt;=2,2,1))))</f>
        <v/>
      </c>
      <c r="H71" s="124">
        <f>IF(E71&gt;=5000,5,IF(E71&gt;=2000,4,IF(E71&gt;=800,3,IF(E71&gt;=300,2,1))))</f>
        <v/>
      </c>
      <c r="I71" s="122">
        <f>TEXT(F71,"0")&amp;TEXT(G71,"0")&amp;TEXT(H71,"0")</f>
        <v/>
      </c>
      <c r="J71" s="122">
        <f>IFERROR(XLOOKUP(I71,'Segment Map'!A:A,'Segment Map'!B:B,"Need Attention"),"Need Attention")</f>
        <v/>
      </c>
      <c r="K71" s="122">
        <f>IF(E71&gt;=5000,"🏆 Platinum",IF(E71&gt;=2000,"🥇 Gold",IF(E71&gt;=800,"🥈 Silver","🥉 Bronze")))</f>
        <v/>
      </c>
      <c r="L71" s="125" t="n">
        <v>40843</v>
      </c>
    </row>
    <row r="72">
      <c r="A72" s="126" t="n">
        <v>12431</v>
      </c>
      <c r="B72" s="126" t="inlineStr">
        <is>
          <t>Australia</t>
        </is>
      </c>
      <c r="C72" s="126" t="n">
        <v>36</v>
      </c>
      <c r="D72" s="126" t="n">
        <v>15</v>
      </c>
      <c r="E72" s="127" t="n">
        <v>6487.45</v>
      </c>
      <c r="F72" s="128">
        <f>IF(C72&lt;=30,5,IF(C72&lt;=60,4,IF(C72&lt;=120,3,IF(C72&lt;=200,2,1))))</f>
        <v/>
      </c>
      <c r="G72" s="128">
        <f>IF(D72&gt;=20,5,IF(D72&gt;=10,4,IF(D72&gt;=5,3,IF(D72&gt;=2,2,1))))</f>
        <v/>
      </c>
      <c r="H72" s="128">
        <f>IF(E72&gt;=5000,5,IF(E72&gt;=2000,4,IF(E72&gt;=800,3,IF(E72&gt;=300,2,1))))</f>
        <v/>
      </c>
      <c r="I72" s="126">
        <f>TEXT(F72,"0")&amp;TEXT(G72,"0")&amp;TEXT(H72,"0")</f>
        <v/>
      </c>
      <c r="J72" s="126">
        <f>IFERROR(XLOOKUP(I72,'Segment Map'!A:A,'Segment Map'!B:B,"Need Attention"),"Need Attention")</f>
        <v/>
      </c>
      <c r="K72" s="126">
        <f>IF(E72&gt;=5000,"🏆 Platinum",IF(E72&gt;=2000,"🥇 Gold",IF(E72&gt;=800,"🥈 Silver","🥉 Bronze")))</f>
        <v/>
      </c>
      <c r="L72" s="129" t="n">
        <v>40851</v>
      </c>
    </row>
    <row r="73">
      <c r="A73" s="122" t="n">
        <v>12432</v>
      </c>
      <c r="B73" s="122" t="inlineStr">
        <is>
          <t>Norway</t>
        </is>
      </c>
      <c r="C73" s="122" t="n">
        <v>43</v>
      </c>
      <c r="D73" s="122" t="n">
        <v>5</v>
      </c>
      <c r="E73" s="123" t="n">
        <v>5059.32</v>
      </c>
      <c r="F73" s="124">
        <f>IF(C73&lt;=30,5,IF(C73&lt;=60,4,IF(C73&lt;=120,3,IF(C73&lt;=200,2,1))))</f>
        <v/>
      </c>
      <c r="G73" s="124">
        <f>IF(D73&gt;=20,5,IF(D73&gt;=10,4,IF(D73&gt;=5,3,IF(D73&gt;=2,2,1))))</f>
        <v/>
      </c>
      <c r="H73" s="124">
        <f>IF(E73&gt;=5000,5,IF(E73&gt;=2000,4,IF(E73&gt;=800,3,IF(E73&gt;=300,2,1))))</f>
        <v/>
      </c>
      <c r="I73" s="122">
        <f>TEXT(F73,"0")&amp;TEXT(G73,"0")&amp;TEXT(H73,"0")</f>
        <v/>
      </c>
      <c r="J73" s="122">
        <f>IFERROR(XLOOKUP(I73,'Segment Map'!A:A,'Segment Map'!B:B,"Need Attention"),"Need Attention")</f>
        <v/>
      </c>
      <c r="K73" s="122">
        <f>IF(E73&gt;=5000,"🏆 Platinum",IF(E73&gt;=2000,"🥇 Gold",IF(E73&gt;=800,"🥈 Silver","🥉 Bronze")))</f>
        <v/>
      </c>
      <c r="L73" s="125" t="n">
        <v>40844</v>
      </c>
    </row>
    <row r="74">
      <c r="A74" s="126" t="n">
        <v>12433</v>
      </c>
      <c r="B74" s="126" t="inlineStr">
        <is>
          <t>Norway</t>
        </is>
      </c>
      <c r="C74" s="126" t="n">
        <v>1</v>
      </c>
      <c r="D74" s="126" t="n">
        <v>7</v>
      </c>
      <c r="E74" s="127" t="n">
        <v>13375.87</v>
      </c>
      <c r="F74" s="128">
        <f>IF(C74&lt;=30,5,IF(C74&lt;=60,4,IF(C74&lt;=120,3,IF(C74&lt;=200,2,1))))</f>
        <v/>
      </c>
      <c r="G74" s="128">
        <f>IF(D74&gt;=20,5,IF(D74&gt;=10,4,IF(D74&gt;=5,3,IF(D74&gt;=2,2,1))))</f>
        <v/>
      </c>
      <c r="H74" s="128">
        <f>IF(E74&gt;=5000,5,IF(E74&gt;=2000,4,IF(E74&gt;=800,3,IF(E74&gt;=300,2,1))))</f>
        <v/>
      </c>
      <c r="I74" s="126">
        <f>TEXT(F74,"0")&amp;TEXT(G74,"0")&amp;TEXT(H74,"0")</f>
        <v/>
      </c>
      <c r="J74" s="126">
        <f>IFERROR(XLOOKUP(I74,'Segment Map'!A:A,'Segment Map'!B:B,"Need Attention"),"Need Attention")</f>
        <v/>
      </c>
      <c r="K74" s="126">
        <f>IF(E74&gt;=5000,"🏆 Platinum",IF(E74&gt;=2000,"🥇 Gold",IF(E74&gt;=800,"🥈 Silver","🥉 Bronze")))</f>
        <v/>
      </c>
      <c r="L74" s="129" t="n">
        <v>40886</v>
      </c>
    </row>
    <row r="75">
      <c r="A75" s="122" t="n">
        <v>12434</v>
      </c>
      <c r="B75" s="122" t="inlineStr">
        <is>
          <t>Australia</t>
        </is>
      </c>
      <c r="C75" s="122" t="n">
        <v>85</v>
      </c>
      <c r="D75" s="122" t="n">
        <v>2</v>
      </c>
      <c r="E75" s="123" t="n">
        <v>806.14</v>
      </c>
      <c r="F75" s="124">
        <f>IF(C75&lt;=30,5,IF(C75&lt;=60,4,IF(C75&lt;=120,3,IF(C75&lt;=200,2,1))))</f>
        <v/>
      </c>
      <c r="G75" s="124">
        <f>IF(D75&gt;=20,5,IF(D75&gt;=10,4,IF(D75&gt;=5,3,IF(D75&gt;=2,2,1))))</f>
        <v/>
      </c>
      <c r="H75" s="124">
        <f>IF(E75&gt;=5000,5,IF(E75&gt;=2000,4,IF(E75&gt;=800,3,IF(E75&gt;=300,2,1))))</f>
        <v/>
      </c>
      <c r="I75" s="122">
        <f>TEXT(F75,"0")&amp;TEXT(G75,"0")&amp;TEXT(H75,"0")</f>
        <v/>
      </c>
      <c r="J75" s="122">
        <f>IFERROR(XLOOKUP(I75,'Segment Map'!A:A,'Segment Map'!B:B,"Need Attention"),"Need Attention")</f>
        <v/>
      </c>
      <c r="K75" s="122">
        <f>IF(E75&gt;=5000,"🏆 Platinum",IF(E75&gt;=2000,"🥇 Gold",IF(E75&gt;=800,"🥈 Silver","🥉 Bronze")))</f>
        <v/>
      </c>
      <c r="L75" s="125" t="n">
        <v>40802</v>
      </c>
    </row>
    <row r="76">
      <c r="A76" s="126" t="n">
        <v>12435</v>
      </c>
      <c r="B76" s="126" t="inlineStr">
        <is>
          <t>Denmark</t>
        </is>
      </c>
      <c r="C76" s="126" t="n">
        <v>80</v>
      </c>
      <c r="D76" s="126" t="n">
        <v>2</v>
      </c>
      <c r="E76" s="127" t="n">
        <v>7829.89</v>
      </c>
      <c r="F76" s="128">
        <f>IF(C76&lt;=30,5,IF(C76&lt;=60,4,IF(C76&lt;=120,3,IF(C76&lt;=200,2,1))))</f>
        <v/>
      </c>
      <c r="G76" s="128">
        <f>IF(D76&gt;=20,5,IF(D76&gt;=10,4,IF(D76&gt;=5,3,IF(D76&gt;=2,2,1))))</f>
        <v/>
      </c>
      <c r="H76" s="128">
        <f>IF(E76&gt;=5000,5,IF(E76&gt;=2000,4,IF(E76&gt;=800,3,IF(E76&gt;=300,2,1))))</f>
        <v/>
      </c>
      <c r="I76" s="126">
        <f>TEXT(F76,"0")&amp;TEXT(G76,"0")&amp;TEXT(H76,"0")</f>
        <v/>
      </c>
      <c r="J76" s="126">
        <f>IFERROR(XLOOKUP(I76,'Segment Map'!A:A,'Segment Map'!B:B,"Need Attention"),"Need Attention")</f>
        <v/>
      </c>
      <c r="K76" s="126">
        <f>IF(E76&gt;=5000,"🏆 Platinum",IF(E76&gt;=2000,"🥇 Gold",IF(E76&gt;=800,"🥈 Silver","🥉 Bronze")))</f>
        <v/>
      </c>
      <c r="L76" s="129" t="n">
        <v>40807</v>
      </c>
    </row>
    <row r="77">
      <c r="A77" s="122" t="n">
        <v>12436</v>
      </c>
      <c r="B77" s="122" t="inlineStr">
        <is>
          <t>Norway</t>
        </is>
      </c>
      <c r="C77" s="122" t="n">
        <v>100</v>
      </c>
      <c r="D77" s="122" t="n">
        <v>1</v>
      </c>
      <c r="E77" s="123" t="n">
        <v>509.01</v>
      </c>
      <c r="F77" s="124">
        <f>IF(C77&lt;=30,5,IF(C77&lt;=60,4,IF(C77&lt;=120,3,IF(C77&lt;=200,2,1))))</f>
        <v/>
      </c>
      <c r="G77" s="124">
        <f>IF(D77&gt;=20,5,IF(D77&gt;=10,4,IF(D77&gt;=5,3,IF(D77&gt;=2,2,1))))</f>
        <v/>
      </c>
      <c r="H77" s="124">
        <f>IF(E77&gt;=5000,5,IF(E77&gt;=2000,4,IF(E77&gt;=800,3,IF(E77&gt;=300,2,1))))</f>
        <v/>
      </c>
      <c r="I77" s="122">
        <f>TEXT(F77,"0")&amp;TEXT(G77,"0")&amp;TEXT(H77,"0")</f>
        <v/>
      </c>
      <c r="J77" s="122">
        <f>IFERROR(XLOOKUP(I77,'Segment Map'!A:A,'Segment Map'!B:B,"Need Attention"),"Need Attention")</f>
        <v/>
      </c>
      <c r="K77" s="122">
        <f>IF(E77&gt;=5000,"🏆 Platinum",IF(E77&gt;=2000,"🥇 Gold",IF(E77&gt;=800,"🥈 Silver","🥉 Bronze")))</f>
        <v/>
      </c>
      <c r="L77" s="125" t="n">
        <v>40787</v>
      </c>
    </row>
    <row r="78">
      <c r="A78" s="126" t="n">
        <v>12437</v>
      </c>
      <c r="B78" s="126" t="inlineStr">
        <is>
          <t>France</t>
        </is>
      </c>
      <c r="C78" s="126" t="n">
        <v>2</v>
      </c>
      <c r="D78" s="126" t="n">
        <v>18</v>
      </c>
      <c r="E78" s="127" t="n">
        <v>4951.41</v>
      </c>
      <c r="F78" s="128">
        <f>IF(C78&lt;=30,5,IF(C78&lt;=60,4,IF(C78&lt;=120,3,IF(C78&lt;=200,2,1))))</f>
        <v/>
      </c>
      <c r="G78" s="128">
        <f>IF(D78&gt;=20,5,IF(D78&gt;=10,4,IF(D78&gt;=5,3,IF(D78&gt;=2,2,1))))</f>
        <v/>
      </c>
      <c r="H78" s="128">
        <f>IF(E78&gt;=5000,5,IF(E78&gt;=2000,4,IF(E78&gt;=800,3,IF(E78&gt;=300,2,1))))</f>
        <v/>
      </c>
      <c r="I78" s="126">
        <f>TEXT(F78,"0")&amp;TEXT(G78,"0")&amp;TEXT(H78,"0")</f>
        <v/>
      </c>
      <c r="J78" s="126">
        <f>IFERROR(XLOOKUP(I78,'Segment Map'!A:A,'Segment Map'!B:B,"Need Attention"),"Need Attention")</f>
        <v/>
      </c>
      <c r="K78" s="126">
        <f>IF(E78&gt;=5000,"🏆 Platinum",IF(E78&gt;=2000,"🥇 Gold",IF(E78&gt;=800,"🥈 Silver","🥉 Bronze")))</f>
        <v/>
      </c>
      <c r="L78" s="129" t="n">
        <v>40885</v>
      </c>
    </row>
    <row r="79">
      <c r="A79" s="122" t="n">
        <v>12438</v>
      </c>
      <c r="B79" s="122" t="inlineStr">
        <is>
          <t>Norway</t>
        </is>
      </c>
      <c r="C79" s="122" t="n">
        <v>15</v>
      </c>
      <c r="D79" s="122" t="n">
        <v>2</v>
      </c>
      <c r="E79" s="123" t="n">
        <v>2906.85</v>
      </c>
      <c r="F79" s="124">
        <f>IF(C79&lt;=30,5,IF(C79&lt;=60,4,IF(C79&lt;=120,3,IF(C79&lt;=200,2,1))))</f>
        <v/>
      </c>
      <c r="G79" s="124">
        <f>IF(D79&gt;=20,5,IF(D79&gt;=10,4,IF(D79&gt;=5,3,IF(D79&gt;=2,2,1))))</f>
        <v/>
      </c>
      <c r="H79" s="124">
        <f>IF(E79&gt;=5000,5,IF(E79&gt;=2000,4,IF(E79&gt;=800,3,IF(E79&gt;=300,2,1))))</f>
        <v/>
      </c>
      <c r="I79" s="122">
        <f>TEXT(F79,"0")&amp;TEXT(G79,"0")&amp;TEXT(H79,"0")</f>
        <v/>
      </c>
      <c r="J79" s="122">
        <f>IFERROR(XLOOKUP(I79,'Segment Map'!A:A,'Segment Map'!B:B,"Need Attention"),"Need Attention")</f>
        <v/>
      </c>
      <c r="K79" s="122">
        <f>IF(E79&gt;=5000,"🏆 Platinum",IF(E79&gt;=2000,"🥇 Gold",IF(E79&gt;=800,"🥈 Silver","🥉 Bronze")))</f>
        <v/>
      </c>
      <c r="L79" s="125" t="n">
        <v>40872</v>
      </c>
    </row>
    <row r="80">
      <c r="A80" s="126" t="n">
        <v>12441</v>
      </c>
      <c r="B80" s="126" t="inlineStr">
        <is>
          <t>France</t>
        </is>
      </c>
      <c r="C80" s="126" t="n">
        <v>367</v>
      </c>
      <c r="D80" s="126" t="n">
        <v>1</v>
      </c>
      <c r="E80" s="127" t="n">
        <v>173.55</v>
      </c>
      <c r="F80" s="128">
        <f>IF(C80&lt;=30,5,IF(C80&lt;=60,4,IF(C80&lt;=120,3,IF(C80&lt;=200,2,1))))</f>
        <v/>
      </c>
      <c r="G80" s="128">
        <f>IF(D80&gt;=20,5,IF(D80&gt;=10,4,IF(D80&gt;=5,3,IF(D80&gt;=2,2,1))))</f>
        <v/>
      </c>
      <c r="H80" s="128">
        <f>IF(E80&gt;=5000,5,IF(E80&gt;=2000,4,IF(E80&gt;=800,3,IF(E80&gt;=300,2,1))))</f>
        <v/>
      </c>
      <c r="I80" s="126">
        <f>TEXT(F80,"0")&amp;TEXT(G80,"0")&amp;TEXT(H80,"0")</f>
        <v/>
      </c>
      <c r="J80" s="126">
        <f>IFERROR(XLOOKUP(I80,'Segment Map'!A:A,'Segment Map'!B:B,"Need Attention"),"Need Attention")</f>
        <v/>
      </c>
      <c r="K80" s="126">
        <f>IF(E80&gt;=5000,"🏆 Platinum",IF(E80&gt;=2000,"🥇 Gold",IF(E80&gt;=800,"🥈 Silver","🥉 Bronze")))</f>
        <v/>
      </c>
      <c r="L80" s="129" t="n">
        <v>40520</v>
      </c>
    </row>
    <row r="81">
      <c r="A81" s="122" t="n">
        <v>12442</v>
      </c>
      <c r="B81" s="122" t="inlineStr">
        <is>
          <t>Spain</t>
        </is>
      </c>
      <c r="C81" s="122" t="n">
        <v>4</v>
      </c>
      <c r="D81" s="122" t="n">
        <v>1</v>
      </c>
      <c r="E81" s="123" t="n">
        <v>172.06</v>
      </c>
      <c r="F81" s="124">
        <f>IF(C81&lt;=30,5,IF(C81&lt;=60,4,IF(C81&lt;=120,3,IF(C81&lt;=200,2,1))))</f>
        <v/>
      </c>
      <c r="G81" s="124">
        <f>IF(D81&gt;=20,5,IF(D81&gt;=10,4,IF(D81&gt;=5,3,IF(D81&gt;=2,2,1))))</f>
        <v/>
      </c>
      <c r="H81" s="124">
        <f>IF(E81&gt;=5000,5,IF(E81&gt;=2000,4,IF(E81&gt;=800,3,IF(E81&gt;=300,2,1))))</f>
        <v/>
      </c>
      <c r="I81" s="122">
        <f>TEXT(F81,"0")&amp;TEXT(G81,"0")&amp;TEXT(H81,"0")</f>
        <v/>
      </c>
      <c r="J81" s="122">
        <f>IFERROR(XLOOKUP(I81,'Segment Map'!A:A,'Segment Map'!B:B,"Need Attention"),"Need Attention")</f>
        <v/>
      </c>
      <c r="K81" s="122">
        <f>IF(E81&gt;=5000,"🏆 Platinum",IF(E81&gt;=2000,"🥇 Gold",IF(E81&gt;=800,"🥈 Silver","🥉 Bronze")))</f>
        <v/>
      </c>
      <c r="L81" s="125" t="n">
        <v>40883</v>
      </c>
    </row>
    <row r="82">
      <c r="A82" s="126" t="n">
        <v>12444</v>
      </c>
      <c r="B82" s="126" t="inlineStr">
        <is>
          <t>Norway</t>
        </is>
      </c>
      <c r="C82" s="126" t="n">
        <v>22</v>
      </c>
      <c r="D82" s="126" t="n">
        <v>5</v>
      </c>
      <c r="E82" s="127" t="n">
        <v>5005.46</v>
      </c>
      <c r="F82" s="128">
        <f>IF(C82&lt;=30,5,IF(C82&lt;=60,4,IF(C82&lt;=120,3,IF(C82&lt;=200,2,1))))</f>
        <v/>
      </c>
      <c r="G82" s="128">
        <f>IF(D82&gt;=20,5,IF(D82&gt;=10,4,IF(D82&gt;=5,3,IF(D82&gt;=2,2,1))))</f>
        <v/>
      </c>
      <c r="H82" s="128">
        <f>IF(E82&gt;=5000,5,IF(E82&gt;=2000,4,IF(E82&gt;=800,3,IF(E82&gt;=300,2,1))))</f>
        <v/>
      </c>
      <c r="I82" s="126">
        <f>TEXT(F82,"0")&amp;TEXT(G82,"0")&amp;TEXT(H82,"0")</f>
        <v/>
      </c>
      <c r="J82" s="126">
        <f>IFERROR(XLOOKUP(I82,'Segment Map'!A:A,'Segment Map'!B:B,"Need Attention"),"Need Attention")</f>
        <v/>
      </c>
      <c r="K82" s="126">
        <f>IF(E82&gt;=5000,"🏆 Platinum",IF(E82&gt;=2000,"🥇 Gold",IF(E82&gt;=800,"🥈 Silver","🥉 Bronze")))</f>
        <v/>
      </c>
      <c r="L82" s="129" t="n">
        <v>40865</v>
      </c>
    </row>
    <row r="83">
      <c r="A83" s="122" t="n">
        <v>12445</v>
      </c>
      <c r="B83" s="122" t="inlineStr">
        <is>
          <t>Spain</t>
        </is>
      </c>
      <c r="C83" s="122" t="n">
        <v>23</v>
      </c>
      <c r="D83" s="122" t="n">
        <v>1</v>
      </c>
      <c r="E83" s="123" t="n">
        <v>133.4</v>
      </c>
      <c r="F83" s="124">
        <f>IF(C83&lt;=30,5,IF(C83&lt;=60,4,IF(C83&lt;=120,3,IF(C83&lt;=200,2,1))))</f>
        <v/>
      </c>
      <c r="G83" s="124">
        <f>IF(D83&gt;=20,5,IF(D83&gt;=10,4,IF(D83&gt;=5,3,IF(D83&gt;=2,2,1))))</f>
        <v/>
      </c>
      <c r="H83" s="124">
        <f>IF(E83&gt;=5000,5,IF(E83&gt;=2000,4,IF(E83&gt;=800,3,IF(E83&gt;=300,2,1))))</f>
        <v/>
      </c>
      <c r="I83" s="122">
        <f>TEXT(F83,"0")&amp;TEXT(G83,"0")&amp;TEXT(H83,"0")</f>
        <v/>
      </c>
      <c r="J83" s="122">
        <f>IFERROR(XLOOKUP(I83,'Segment Map'!A:A,'Segment Map'!B:B,"Need Attention"),"Need Attention")</f>
        <v/>
      </c>
      <c r="K83" s="122">
        <f>IF(E83&gt;=5000,"🏆 Platinum",IF(E83&gt;=2000,"🥇 Gold",IF(E83&gt;=800,"🥈 Silver","🥉 Bronze")))</f>
        <v/>
      </c>
      <c r="L83" s="125" t="n">
        <v>40864</v>
      </c>
    </row>
    <row r="84">
      <c r="A84" s="126" t="n">
        <v>12446</v>
      </c>
      <c r="B84" s="126" t="inlineStr">
        <is>
          <t>RSA</t>
        </is>
      </c>
      <c r="C84" s="126" t="n">
        <v>58</v>
      </c>
      <c r="D84" s="126" t="n">
        <v>1</v>
      </c>
      <c r="E84" s="127" t="n">
        <v>1002.31</v>
      </c>
      <c r="F84" s="128">
        <f>IF(C84&lt;=30,5,IF(C84&lt;=60,4,IF(C84&lt;=120,3,IF(C84&lt;=200,2,1))))</f>
        <v/>
      </c>
      <c r="G84" s="128">
        <f>IF(D84&gt;=20,5,IF(D84&gt;=10,4,IF(D84&gt;=5,3,IF(D84&gt;=2,2,1))))</f>
        <v/>
      </c>
      <c r="H84" s="128">
        <f>IF(E84&gt;=5000,5,IF(E84&gt;=2000,4,IF(E84&gt;=800,3,IF(E84&gt;=300,2,1))))</f>
        <v/>
      </c>
      <c r="I84" s="126">
        <f>TEXT(F84,"0")&amp;TEXT(G84,"0")&amp;TEXT(H84,"0")</f>
        <v/>
      </c>
      <c r="J84" s="126">
        <f>IFERROR(XLOOKUP(I84,'Segment Map'!A:A,'Segment Map'!B:B,"Need Attention"),"Need Attention")</f>
        <v/>
      </c>
      <c r="K84" s="126">
        <f>IF(E84&gt;=5000,"🏆 Platinum",IF(E84&gt;=2000,"🥇 Gold",IF(E84&gt;=800,"🥈 Silver","🥉 Bronze")))</f>
        <v/>
      </c>
      <c r="L84" s="129" t="n">
        <v>40829</v>
      </c>
    </row>
    <row r="85">
      <c r="A85" s="122" t="n">
        <v>12447</v>
      </c>
      <c r="B85" s="122" t="inlineStr">
        <is>
          <t>Belgium</t>
        </is>
      </c>
      <c r="C85" s="122" t="n">
        <v>244</v>
      </c>
      <c r="D85" s="122" t="n">
        <v>1</v>
      </c>
      <c r="E85" s="123" t="n">
        <v>476.49</v>
      </c>
      <c r="F85" s="124">
        <f>IF(C85&lt;=30,5,IF(C85&lt;=60,4,IF(C85&lt;=120,3,IF(C85&lt;=200,2,1))))</f>
        <v/>
      </c>
      <c r="G85" s="124">
        <f>IF(D85&gt;=20,5,IF(D85&gt;=10,4,IF(D85&gt;=5,3,IF(D85&gt;=2,2,1))))</f>
        <v/>
      </c>
      <c r="H85" s="124">
        <f>IF(E85&gt;=5000,5,IF(E85&gt;=2000,4,IF(E85&gt;=800,3,IF(E85&gt;=300,2,1))))</f>
        <v/>
      </c>
      <c r="I85" s="122">
        <f>TEXT(F85,"0")&amp;TEXT(G85,"0")&amp;TEXT(H85,"0")</f>
        <v/>
      </c>
      <c r="J85" s="122">
        <f>IFERROR(XLOOKUP(I85,'Segment Map'!A:A,'Segment Map'!B:B,"Need Attention"),"Need Attention")</f>
        <v/>
      </c>
      <c r="K85" s="122">
        <f>IF(E85&gt;=5000,"🏆 Platinum",IF(E85&gt;=2000,"🥇 Gold",IF(E85&gt;=800,"🥈 Silver","🥉 Bronze")))</f>
        <v/>
      </c>
      <c r="L85" s="125" t="n">
        <v>40643</v>
      </c>
    </row>
    <row r="86">
      <c r="A86" s="126" t="n">
        <v>12448</v>
      </c>
      <c r="B86" s="126" t="inlineStr">
        <is>
          <t>Spain</t>
        </is>
      </c>
      <c r="C86" s="126" t="n">
        <v>45</v>
      </c>
      <c r="D86" s="126" t="n">
        <v>1</v>
      </c>
      <c r="E86" s="127" t="n">
        <v>449.45</v>
      </c>
      <c r="F86" s="128">
        <f>IF(C86&lt;=30,5,IF(C86&lt;=60,4,IF(C86&lt;=120,3,IF(C86&lt;=200,2,1))))</f>
        <v/>
      </c>
      <c r="G86" s="128">
        <f>IF(D86&gt;=20,5,IF(D86&gt;=10,4,IF(D86&gt;=5,3,IF(D86&gt;=2,2,1))))</f>
        <v/>
      </c>
      <c r="H86" s="128">
        <f>IF(E86&gt;=5000,5,IF(E86&gt;=2000,4,IF(E86&gt;=800,3,IF(E86&gt;=300,2,1))))</f>
        <v/>
      </c>
      <c r="I86" s="126">
        <f>TEXT(F86,"0")&amp;TEXT(G86,"0")&amp;TEXT(H86,"0")</f>
        <v/>
      </c>
      <c r="J86" s="126">
        <f>IFERROR(XLOOKUP(I86,'Segment Map'!A:A,'Segment Map'!B:B,"Need Attention"),"Need Attention")</f>
        <v/>
      </c>
      <c r="K86" s="126">
        <f>IF(E86&gt;=5000,"🏆 Platinum",IF(E86&gt;=2000,"🥇 Gold",IF(E86&gt;=800,"🥈 Silver","🥉 Bronze")))</f>
        <v/>
      </c>
      <c r="L86" s="129" t="n">
        <v>40842</v>
      </c>
    </row>
    <row r="87">
      <c r="A87" s="122" t="n">
        <v>12449</v>
      </c>
      <c r="B87" s="122" t="inlineStr">
        <is>
          <t>Belgium</t>
        </is>
      </c>
      <c r="C87" s="122" t="n">
        <v>23</v>
      </c>
      <c r="D87" s="122" t="n">
        <v>4</v>
      </c>
      <c r="E87" s="123" t="n">
        <v>4067.29</v>
      </c>
      <c r="F87" s="124">
        <f>IF(C87&lt;=30,5,IF(C87&lt;=60,4,IF(C87&lt;=120,3,IF(C87&lt;=200,2,1))))</f>
        <v/>
      </c>
      <c r="G87" s="124">
        <f>IF(D87&gt;=20,5,IF(D87&gt;=10,4,IF(D87&gt;=5,3,IF(D87&gt;=2,2,1))))</f>
        <v/>
      </c>
      <c r="H87" s="124">
        <f>IF(E87&gt;=5000,5,IF(E87&gt;=2000,4,IF(E87&gt;=800,3,IF(E87&gt;=300,2,1))))</f>
        <v/>
      </c>
      <c r="I87" s="122">
        <f>TEXT(F87,"0")&amp;TEXT(G87,"0")&amp;TEXT(H87,"0")</f>
        <v/>
      </c>
      <c r="J87" s="122">
        <f>IFERROR(XLOOKUP(I87,'Segment Map'!A:A,'Segment Map'!B:B,"Need Attention"),"Need Attention")</f>
        <v/>
      </c>
      <c r="K87" s="122">
        <f>IF(E87&gt;=5000,"🏆 Platinum",IF(E87&gt;=2000,"🥇 Gold",IF(E87&gt;=800,"🥈 Silver","🥉 Bronze")))</f>
        <v/>
      </c>
      <c r="L87" s="125" t="n">
        <v>40864</v>
      </c>
    </row>
    <row r="88">
      <c r="A88" s="126" t="n">
        <v>12450</v>
      </c>
      <c r="B88" s="126" t="inlineStr">
        <is>
          <t>Spain</t>
        </is>
      </c>
      <c r="C88" s="126" t="n">
        <v>157</v>
      </c>
      <c r="D88" s="126" t="n">
        <v>2</v>
      </c>
      <c r="E88" s="127" t="n">
        <v>197.88</v>
      </c>
      <c r="F88" s="128">
        <f>IF(C88&lt;=30,5,IF(C88&lt;=60,4,IF(C88&lt;=120,3,IF(C88&lt;=200,2,1))))</f>
        <v/>
      </c>
      <c r="G88" s="128">
        <f>IF(D88&gt;=20,5,IF(D88&gt;=10,4,IF(D88&gt;=5,3,IF(D88&gt;=2,2,1))))</f>
        <v/>
      </c>
      <c r="H88" s="128">
        <f>IF(E88&gt;=5000,5,IF(E88&gt;=2000,4,IF(E88&gt;=800,3,IF(E88&gt;=300,2,1))))</f>
        <v/>
      </c>
      <c r="I88" s="126">
        <f>TEXT(F88,"0")&amp;TEXT(G88,"0")&amp;TEXT(H88,"0")</f>
        <v/>
      </c>
      <c r="J88" s="126">
        <f>IFERROR(XLOOKUP(I88,'Segment Map'!A:A,'Segment Map'!B:B,"Need Attention"),"Need Attention")</f>
        <v/>
      </c>
      <c r="K88" s="126">
        <f>IF(E88&gt;=5000,"🏆 Platinum",IF(E88&gt;=2000,"🥇 Gold",IF(E88&gt;=800,"🥈 Silver","🥉 Bronze")))</f>
        <v/>
      </c>
      <c r="L88" s="129" t="n">
        <v>40730</v>
      </c>
    </row>
    <row r="89">
      <c r="A89" s="122" t="n">
        <v>12451</v>
      </c>
      <c r="B89" s="122" t="inlineStr">
        <is>
          <t>Switzerland</t>
        </is>
      </c>
      <c r="C89" s="122" t="n">
        <v>11</v>
      </c>
      <c r="D89" s="122" t="n">
        <v>5</v>
      </c>
      <c r="E89" s="123" t="n">
        <v>9035.52</v>
      </c>
      <c r="F89" s="124">
        <f>IF(C89&lt;=30,5,IF(C89&lt;=60,4,IF(C89&lt;=120,3,IF(C89&lt;=200,2,1))))</f>
        <v/>
      </c>
      <c r="G89" s="124">
        <f>IF(D89&gt;=20,5,IF(D89&gt;=10,4,IF(D89&gt;=5,3,IF(D89&gt;=2,2,1))))</f>
        <v/>
      </c>
      <c r="H89" s="124">
        <f>IF(E89&gt;=5000,5,IF(E89&gt;=2000,4,IF(E89&gt;=800,3,IF(E89&gt;=300,2,1))))</f>
        <v/>
      </c>
      <c r="I89" s="122">
        <f>TEXT(F89,"0")&amp;TEXT(G89,"0")&amp;TEXT(H89,"0")</f>
        <v/>
      </c>
      <c r="J89" s="122">
        <f>IFERROR(XLOOKUP(I89,'Segment Map'!A:A,'Segment Map'!B:B,"Need Attention"),"Need Attention")</f>
        <v/>
      </c>
      <c r="K89" s="122">
        <f>IF(E89&gt;=5000,"🏆 Platinum",IF(E89&gt;=2000,"🥇 Gold",IF(E89&gt;=800,"🥈 Silver","🥉 Bronze")))</f>
        <v/>
      </c>
      <c r="L89" s="125" t="n">
        <v>40876</v>
      </c>
    </row>
    <row r="90">
      <c r="A90" s="126" t="n">
        <v>12452</v>
      </c>
      <c r="B90" s="126" t="inlineStr">
        <is>
          <t>Switzerland</t>
        </is>
      </c>
      <c r="C90" s="126" t="n">
        <v>17</v>
      </c>
      <c r="D90" s="126" t="n">
        <v>2</v>
      </c>
      <c r="E90" s="127" t="n">
        <v>430.57</v>
      </c>
      <c r="F90" s="128">
        <f>IF(C90&lt;=30,5,IF(C90&lt;=60,4,IF(C90&lt;=120,3,IF(C90&lt;=200,2,1))))</f>
        <v/>
      </c>
      <c r="G90" s="128">
        <f>IF(D90&gt;=20,5,IF(D90&gt;=10,4,IF(D90&gt;=5,3,IF(D90&gt;=2,2,1))))</f>
        <v/>
      </c>
      <c r="H90" s="128">
        <f>IF(E90&gt;=5000,5,IF(E90&gt;=2000,4,IF(E90&gt;=800,3,IF(E90&gt;=300,2,1))))</f>
        <v/>
      </c>
      <c r="I90" s="126">
        <f>TEXT(F90,"0")&amp;TEXT(G90,"0")&amp;TEXT(H90,"0")</f>
        <v/>
      </c>
      <c r="J90" s="126">
        <f>IFERROR(XLOOKUP(I90,'Segment Map'!A:A,'Segment Map'!B:B,"Need Attention"),"Need Attention")</f>
        <v/>
      </c>
      <c r="K90" s="126">
        <f>IF(E90&gt;=5000,"🏆 Platinum",IF(E90&gt;=2000,"🥇 Gold",IF(E90&gt;=800,"🥈 Silver","🥉 Bronze")))</f>
        <v/>
      </c>
      <c r="L90" s="129" t="n">
        <v>40870</v>
      </c>
    </row>
    <row r="91">
      <c r="A91" s="122" t="n">
        <v>12453</v>
      </c>
      <c r="B91" s="122" t="inlineStr">
        <is>
          <t>Austria</t>
        </is>
      </c>
      <c r="C91" s="122" t="n">
        <v>135</v>
      </c>
      <c r="D91" s="122" t="n">
        <v>1</v>
      </c>
      <c r="E91" s="123" t="n">
        <v>707.09</v>
      </c>
      <c r="F91" s="124">
        <f>IF(C91&lt;=30,5,IF(C91&lt;=60,4,IF(C91&lt;=120,3,IF(C91&lt;=200,2,1))))</f>
        <v/>
      </c>
      <c r="G91" s="124">
        <f>IF(D91&gt;=20,5,IF(D91&gt;=10,4,IF(D91&gt;=5,3,IF(D91&gt;=2,2,1))))</f>
        <v/>
      </c>
      <c r="H91" s="124">
        <f>IF(E91&gt;=5000,5,IF(E91&gt;=2000,4,IF(E91&gt;=800,3,IF(E91&gt;=300,2,1))))</f>
        <v/>
      </c>
      <c r="I91" s="122">
        <f>TEXT(F91,"0")&amp;TEXT(G91,"0")&amp;TEXT(H91,"0")</f>
        <v/>
      </c>
      <c r="J91" s="122">
        <f>IFERROR(XLOOKUP(I91,'Segment Map'!A:A,'Segment Map'!B:B,"Need Attention"),"Need Attention")</f>
        <v/>
      </c>
      <c r="K91" s="122">
        <f>IF(E91&gt;=5000,"🏆 Platinum",IF(E91&gt;=2000,"🥇 Gold",IF(E91&gt;=800,"🥈 Silver","🥉 Bronze")))</f>
        <v/>
      </c>
      <c r="L91" s="125" t="n">
        <v>40752</v>
      </c>
    </row>
    <row r="92">
      <c r="A92" s="126" t="n">
        <v>12454</v>
      </c>
      <c r="B92" s="126" t="inlineStr">
        <is>
          <t>Spain</t>
        </is>
      </c>
      <c r="C92" s="126" t="n">
        <v>57</v>
      </c>
      <c r="D92" s="126" t="n">
        <v>1</v>
      </c>
      <c r="E92" s="127" t="n">
        <v>3528.34</v>
      </c>
      <c r="F92" s="128">
        <f>IF(C92&lt;=30,5,IF(C92&lt;=60,4,IF(C92&lt;=120,3,IF(C92&lt;=200,2,1))))</f>
        <v/>
      </c>
      <c r="G92" s="128">
        <f>IF(D92&gt;=20,5,IF(D92&gt;=10,4,IF(D92&gt;=5,3,IF(D92&gt;=2,2,1))))</f>
        <v/>
      </c>
      <c r="H92" s="128">
        <f>IF(E92&gt;=5000,5,IF(E92&gt;=2000,4,IF(E92&gt;=800,3,IF(E92&gt;=300,2,1))))</f>
        <v/>
      </c>
      <c r="I92" s="126">
        <f>TEXT(F92,"0")&amp;TEXT(G92,"0")&amp;TEXT(H92,"0")</f>
        <v/>
      </c>
      <c r="J92" s="126">
        <f>IFERROR(XLOOKUP(I92,'Segment Map'!A:A,'Segment Map'!B:B,"Need Attention"),"Need Attention")</f>
        <v/>
      </c>
      <c r="K92" s="126">
        <f>IF(E92&gt;=5000,"🏆 Platinum",IF(E92&gt;=2000,"🥇 Gold",IF(E92&gt;=800,"🥈 Silver","🥉 Bronze")))</f>
        <v/>
      </c>
      <c r="L92" s="129" t="n">
        <v>40830</v>
      </c>
    </row>
    <row r="93">
      <c r="A93" s="122" t="n">
        <v>12455</v>
      </c>
      <c r="B93" s="122" t="inlineStr">
        <is>
          <t>Cyprus</t>
        </is>
      </c>
      <c r="C93" s="122" t="n">
        <v>74</v>
      </c>
      <c r="D93" s="122" t="n">
        <v>6</v>
      </c>
      <c r="E93" s="123" t="n">
        <v>2466.86</v>
      </c>
      <c r="F93" s="124">
        <f>IF(C93&lt;=30,5,IF(C93&lt;=60,4,IF(C93&lt;=120,3,IF(C93&lt;=200,2,1))))</f>
        <v/>
      </c>
      <c r="G93" s="124">
        <f>IF(D93&gt;=20,5,IF(D93&gt;=10,4,IF(D93&gt;=5,3,IF(D93&gt;=2,2,1))))</f>
        <v/>
      </c>
      <c r="H93" s="124">
        <f>IF(E93&gt;=5000,5,IF(E93&gt;=2000,4,IF(E93&gt;=800,3,IF(E93&gt;=300,2,1))))</f>
        <v/>
      </c>
      <c r="I93" s="122">
        <f>TEXT(F93,"0")&amp;TEXT(G93,"0")&amp;TEXT(H93,"0")</f>
        <v/>
      </c>
      <c r="J93" s="122">
        <f>IFERROR(XLOOKUP(I93,'Segment Map'!A:A,'Segment Map'!B:B,"Need Attention"),"Need Attention")</f>
        <v/>
      </c>
      <c r="K93" s="122">
        <f>IF(E93&gt;=5000,"🏆 Platinum",IF(E93&gt;=2000,"🥇 Gold",IF(E93&gt;=800,"🥈 Silver","🥉 Bronze")))</f>
        <v/>
      </c>
      <c r="L93" s="125" t="n">
        <v>40813</v>
      </c>
    </row>
    <row r="94">
      <c r="A94" s="126" t="n">
        <v>12456</v>
      </c>
      <c r="B94" s="126" t="inlineStr">
        <is>
          <t>Switzerland</t>
        </is>
      </c>
      <c r="C94" s="126" t="n">
        <v>45</v>
      </c>
      <c r="D94" s="126" t="n">
        <v>3</v>
      </c>
      <c r="E94" s="127" t="n">
        <v>3181.04</v>
      </c>
      <c r="F94" s="128">
        <f>IF(C94&lt;=30,5,IF(C94&lt;=60,4,IF(C94&lt;=120,3,IF(C94&lt;=200,2,1))))</f>
        <v/>
      </c>
      <c r="G94" s="128">
        <f>IF(D94&gt;=20,5,IF(D94&gt;=10,4,IF(D94&gt;=5,3,IF(D94&gt;=2,2,1))))</f>
        <v/>
      </c>
      <c r="H94" s="128">
        <f>IF(E94&gt;=5000,5,IF(E94&gt;=2000,4,IF(E94&gt;=800,3,IF(E94&gt;=300,2,1))))</f>
        <v/>
      </c>
      <c r="I94" s="126">
        <f>TEXT(F94,"0")&amp;TEXT(G94,"0")&amp;TEXT(H94,"0")</f>
        <v/>
      </c>
      <c r="J94" s="126">
        <f>IFERROR(XLOOKUP(I94,'Segment Map'!A:A,'Segment Map'!B:B,"Need Attention"),"Need Attention")</f>
        <v/>
      </c>
      <c r="K94" s="126">
        <f>IF(E94&gt;=5000,"🏆 Platinum",IF(E94&gt;=2000,"🥇 Gold",IF(E94&gt;=800,"🥈 Silver","🥉 Bronze")))</f>
        <v/>
      </c>
      <c r="L94" s="129" t="n">
        <v>40842</v>
      </c>
    </row>
    <row r="95">
      <c r="A95" s="122" t="n">
        <v>12457</v>
      </c>
      <c r="B95" s="122" t="inlineStr">
        <is>
          <t>Switzerland</t>
        </is>
      </c>
      <c r="C95" s="122" t="n">
        <v>67</v>
      </c>
      <c r="D95" s="122" t="n">
        <v>7</v>
      </c>
      <c r="E95" s="123" t="n">
        <v>2363.23</v>
      </c>
      <c r="F95" s="124">
        <f>IF(C95&lt;=30,5,IF(C95&lt;=60,4,IF(C95&lt;=120,3,IF(C95&lt;=200,2,1))))</f>
        <v/>
      </c>
      <c r="G95" s="124">
        <f>IF(D95&gt;=20,5,IF(D95&gt;=10,4,IF(D95&gt;=5,3,IF(D95&gt;=2,2,1))))</f>
        <v/>
      </c>
      <c r="H95" s="124">
        <f>IF(E95&gt;=5000,5,IF(E95&gt;=2000,4,IF(E95&gt;=800,3,IF(E95&gt;=300,2,1))))</f>
        <v/>
      </c>
      <c r="I95" s="122">
        <f>TEXT(F95,"0")&amp;TEXT(G95,"0")&amp;TEXT(H95,"0")</f>
        <v/>
      </c>
      <c r="J95" s="122">
        <f>IFERROR(XLOOKUP(I95,'Segment Map'!A:A,'Segment Map'!B:B,"Need Attention"),"Need Attention")</f>
        <v/>
      </c>
      <c r="K95" s="122">
        <f>IF(E95&gt;=5000,"🏆 Platinum",IF(E95&gt;=2000,"🥇 Gold",IF(E95&gt;=800,"🥈 Silver","🥉 Bronze")))</f>
        <v/>
      </c>
      <c r="L95" s="125" t="n">
        <v>40820</v>
      </c>
    </row>
    <row r="96">
      <c r="A96" s="126" t="n">
        <v>12458</v>
      </c>
      <c r="B96" s="126" t="inlineStr">
        <is>
          <t>Switzerland</t>
        </is>
      </c>
      <c r="C96" s="126" t="n">
        <v>72</v>
      </c>
      <c r="D96" s="126" t="n">
        <v>2</v>
      </c>
      <c r="E96" s="127" t="n">
        <v>947.4</v>
      </c>
      <c r="F96" s="128">
        <f>IF(C96&lt;=30,5,IF(C96&lt;=60,4,IF(C96&lt;=120,3,IF(C96&lt;=200,2,1))))</f>
        <v/>
      </c>
      <c r="G96" s="128">
        <f>IF(D96&gt;=20,5,IF(D96&gt;=10,4,IF(D96&gt;=5,3,IF(D96&gt;=2,2,1))))</f>
        <v/>
      </c>
      <c r="H96" s="128">
        <f>IF(E96&gt;=5000,5,IF(E96&gt;=2000,4,IF(E96&gt;=800,3,IF(E96&gt;=300,2,1))))</f>
        <v/>
      </c>
      <c r="I96" s="126">
        <f>TEXT(F96,"0")&amp;TEXT(G96,"0")&amp;TEXT(H96,"0")</f>
        <v/>
      </c>
      <c r="J96" s="126">
        <f>IFERROR(XLOOKUP(I96,'Segment Map'!A:A,'Segment Map'!B:B,"Need Attention"),"Need Attention")</f>
        <v/>
      </c>
      <c r="K96" s="126">
        <f>IF(E96&gt;=5000,"🏆 Platinum",IF(E96&gt;=2000,"🥇 Gold",IF(E96&gt;=800,"🥈 Silver","🥉 Bronze")))</f>
        <v/>
      </c>
      <c r="L96" s="129" t="n">
        <v>40815</v>
      </c>
    </row>
    <row r="97">
      <c r="A97" s="122" t="n">
        <v>12461</v>
      </c>
      <c r="B97" s="122" t="inlineStr">
        <is>
          <t>Switzerland</t>
        </is>
      </c>
      <c r="C97" s="122" t="n">
        <v>95</v>
      </c>
      <c r="D97" s="122" t="n">
        <v>2</v>
      </c>
      <c r="E97" s="123" t="n">
        <v>826.88</v>
      </c>
      <c r="F97" s="124">
        <f>IF(C97&lt;=30,5,IF(C97&lt;=60,4,IF(C97&lt;=120,3,IF(C97&lt;=200,2,1))))</f>
        <v/>
      </c>
      <c r="G97" s="124">
        <f>IF(D97&gt;=20,5,IF(D97&gt;=10,4,IF(D97&gt;=5,3,IF(D97&gt;=2,2,1))))</f>
        <v/>
      </c>
      <c r="H97" s="124">
        <f>IF(E97&gt;=5000,5,IF(E97&gt;=2000,4,IF(E97&gt;=800,3,IF(E97&gt;=300,2,1))))</f>
        <v/>
      </c>
      <c r="I97" s="122">
        <f>TEXT(F97,"0")&amp;TEXT(G97,"0")&amp;TEXT(H97,"0")</f>
        <v/>
      </c>
      <c r="J97" s="122">
        <f>IFERROR(XLOOKUP(I97,'Segment Map'!A:A,'Segment Map'!B:B,"Need Attention"),"Need Attention")</f>
        <v/>
      </c>
      <c r="K97" s="122">
        <f>IF(E97&gt;=5000,"🏆 Platinum",IF(E97&gt;=2000,"🥇 Gold",IF(E97&gt;=800,"🥈 Silver","🥉 Bronze")))</f>
        <v/>
      </c>
      <c r="L97" s="125" t="n">
        <v>40792</v>
      </c>
    </row>
    <row r="98">
      <c r="A98" s="126" t="n">
        <v>12462</v>
      </c>
      <c r="B98" s="126" t="inlineStr">
        <is>
          <t>Spain</t>
        </is>
      </c>
      <c r="C98" s="126" t="n">
        <v>19</v>
      </c>
      <c r="D98" s="126" t="n">
        <v>2</v>
      </c>
      <c r="E98" s="127" t="n">
        <v>1189.59</v>
      </c>
      <c r="F98" s="128">
        <f>IF(C98&lt;=30,5,IF(C98&lt;=60,4,IF(C98&lt;=120,3,IF(C98&lt;=200,2,1))))</f>
        <v/>
      </c>
      <c r="G98" s="128">
        <f>IF(D98&gt;=20,5,IF(D98&gt;=10,4,IF(D98&gt;=5,3,IF(D98&gt;=2,2,1))))</f>
        <v/>
      </c>
      <c r="H98" s="128">
        <f>IF(E98&gt;=5000,5,IF(E98&gt;=2000,4,IF(E98&gt;=800,3,IF(E98&gt;=300,2,1))))</f>
        <v/>
      </c>
      <c r="I98" s="126">
        <f>TEXT(F98,"0")&amp;TEXT(G98,"0")&amp;TEXT(H98,"0")</f>
        <v/>
      </c>
      <c r="J98" s="126">
        <f>IFERROR(XLOOKUP(I98,'Segment Map'!A:A,'Segment Map'!B:B,"Need Attention"),"Need Attention")</f>
        <v/>
      </c>
      <c r="K98" s="126">
        <f>IF(E98&gt;=5000,"🏆 Platinum",IF(E98&gt;=2000,"🥇 Gold",IF(E98&gt;=800,"🥈 Silver","🥉 Bronze")))</f>
        <v/>
      </c>
      <c r="L98" s="129" t="n">
        <v>40868</v>
      </c>
    </row>
    <row r="99">
      <c r="A99" s="122" t="n">
        <v>12463</v>
      </c>
      <c r="B99" s="122" t="inlineStr">
        <is>
          <t>Belgium</t>
        </is>
      </c>
      <c r="C99" s="122" t="n">
        <v>54</v>
      </c>
      <c r="D99" s="122" t="n">
        <v>4</v>
      </c>
      <c r="E99" s="123" t="n">
        <v>1344.78</v>
      </c>
      <c r="F99" s="124">
        <f>IF(C99&lt;=30,5,IF(C99&lt;=60,4,IF(C99&lt;=120,3,IF(C99&lt;=200,2,1))))</f>
        <v/>
      </c>
      <c r="G99" s="124">
        <f>IF(D99&gt;=20,5,IF(D99&gt;=10,4,IF(D99&gt;=5,3,IF(D99&gt;=2,2,1))))</f>
        <v/>
      </c>
      <c r="H99" s="124">
        <f>IF(E99&gt;=5000,5,IF(E99&gt;=2000,4,IF(E99&gt;=800,3,IF(E99&gt;=300,2,1))))</f>
        <v/>
      </c>
      <c r="I99" s="122">
        <f>TEXT(F99,"0")&amp;TEXT(G99,"0")&amp;TEXT(H99,"0")</f>
        <v/>
      </c>
      <c r="J99" s="122">
        <f>IFERROR(XLOOKUP(I99,'Segment Map'!A:A,'Segment Map'!B:B,"Need Attention"),"Need Attention")</f>
        <v/>
      </c>
      <c r="K99" s="122">
        <f>IF(E99&gt;=5000,"🏆 Platinum",IF(E99&gt;=2000,"🥇 Gold",IF(E99&gt;=800,"🥈 Silver","🥉 Bronze")))</f>
        <v/>
      </c>
      <c r="L99" s="125" t="n">
        <v>40833</v>
      </c>
    </row>
    <row r="100">
      <c r="A100" s="126" t="n">
        <v>12464</v>
      </c>
      <c r="B100" s="126" t="inlineStr">
        <is>
          <t>Belgium</t>
        </is>
      </c>
      <c r="C100" s="126" t="n">
        <v>11</v>
      </c>
      <c r="D100" s="126" t="n">
        <v>8</v>
      </c>
      <c r="E100" s="127" t="n">
        <v>1212.05</v>
      </c>
      <c r="F100" s="128">
        <f>IF(C100&lt;=30,5,IF(C100&lt;=60,4,IF(C100&lt;=120,3,IF(C100&lt;=200,2,1))))</f>
        <v/>
      </c>
      <c r="G100" s="128">
        <f>IF(D100&gt;=20,5,IF(D100&gt;=10,4,IF(D100&gt;=5,3,IF(D100&gt;=2,2,1))))</f>
        <v/>
      </c>
      <c r="H100" s="128">
        <f>IF(E100&gt;=5000,5,IF(E100&gt;=2000,4,IF(E100&gt;=800,3,IF(E100&gt;=300,2,1))))</f>
        <v/>
      </c>
      <c r="I100" s="126">
        <f>TEXT(F100,"0")&amp;TEXT(G100,"0")&amp;TEXT(H100,"0")</f>
        <v/>
      </c>
      <c r="J100" s="126">
        <f>IFERROR(XLOOKUP(I100,'Segment Map'!A:A,'Segment Map'!B:B,"Need Attention"),"Need Attention")</f>
        <v/>
      </c>
      <c r="K100" s="126">
        <f>IF(E100&gt;=5000,"🏆 Platinum",IF(E100&gt;=2000,"🥇 Gold",IF(E100&gt;=800,"🥈 Silver","🥉 Bronze")))</f>
        <v/>
      </c>
      <c r="L100" s="129" t="n">
        <v>40876</v>
      </c>
    </row>
    <row r="101">
      <c r="A101" s="122" t="n">
        <v>12465</v>
      </c>
      <c r="B101" s="122" t="inlineStr">
        <is>
          <t>Belgium</t>
        </is>
      </c>
      <c r="C101" s="122" t="n">
        <v>18</v>
      </c>
      <c r="D101" s="122" t="n">
        <v>2</v>
      </c>
      <c r="E101" s="123" t="n">
        <v>742.1900000000001</v>
      </c>
      <c r="F101" s="124">
        <f>IF(C101&lt;=30,5,IF(C101&lt;=60,4,IF(C101&lt;=120,3,IF(C101&lt;=200,2,1))))</f>
        <v/>
      </c>
      <c r="G101" s="124">
        <f>IF(D101&gt;=20,5,IF(D101&gt;=10,4,IF(D101&gt;=5,3,IF(D101&gt;=2,2,1))))</f>
        <v/>
      </c>
      <c r="H101" s="124">
        <f>IF(E101&gt;=5000,5,IF(E101&gt;=2000,4,IF(E101&gt;=800,3,IF(E101&gt;=300,2,1))))</f>
        <v/>
      </c>
      <c r="I101" s="122">
        <f>TEXT(F101,"0")&amp;TEXT(G101,"0")&amp;TEXT(H101,"0")</f>
        <v/>
      </c>
      <c r="J101" s="122">
        <f>IFERROR(XLOOKUP(I101,'Segment Map'!A:A,'Segment Map'!B:B,"Need Attention"),"Need Attention")</f>
        <v/>
      </c>
      <c r="K101" s="122">
        <f>IF(E101&gt;=5000,"🏆 Platinum",IF(E101&gt;=2000,"🥇 Gold",IF(E101&gt;=800,"🥈 Silver","🥉 Bronze")))</f>
        <v/>
      </c>
      <c r="L101" s="125" t="n">
        <v>40869</v>
      </c>
    </row>
    <row r="102">
      <c r="A102" s="126" t="n">
        <v>12468</v>
      </c>
      <c r="B102" s="126" t="inlineStr">
        <is>
          <t>Germany</t>
        </is>
      </c>
      <c r="C102" s="126" t="n">
        <v>188</v>
      </c>
      <c r="D102" s="126" t="n">
        <v>2</v>
      </c>
      <c r="E102" s="127" t="n">
        <v>729.54</v>
      </c>
      <c r="F102" s="128">
        <f>IF(C102&lt;=30,5,IF(C102&lt;=60,4,IF(C102&lt;=120,3,IF(C102&lt;=200,2,1))))</f>
        <v/>
      </c>
      <c r="G102" s="128">
        <f>IF(D102&gt;=20,5,IF(D102&gt;=10,4,IF(D102&gt;=5,3,IF(D102&gt;=2,2,1))))</f>
        <v/>
      </c>
      <c r="H102" s="128">
        <f>IF(E102&gt;=5000,5,IF(E102&gt;=2000,4,IF(E102&gt;=800,3,IF(E102&gt;=300,2,1))))</f>
        <v/>
      </c>
      <c r="I102" s="126">
        <f>TEXT(F102,"0")&amp;TEXT(G102,"0")&amp;TEXT(H102,"0")</f>
        <v/>
      </c>
      <c r="J102" s="126">
        <f>IFERROR(XLOOKUP(I102,'Segment Map'!A:A,'Segment Map'!B:B,"Need Attention"),"Need Attention")</f>
        <v/>
      </c>
      <c r="K102" s="126">
        <f>IF(E102&gt;=5000,"🏆 Platinum",IF(E102&gt;=2000,"🥇 Gold",IF(E102&gt;=800,"🥈 Silver","🥉 Bronze")))</f>
        <v/>
      </c>
      <c r="L102" s="129" t="n">
        <v>40699</v>
      </c>
    </row>
    <row r="103">
      <c r="A103" s="122" t="n">
        <v>12471</v>
      </c>
      <c r="B103" s="122" t="inlineStr">
        <is>
          <t>Germany</t>
        </is>
      </c>
      <c r="C103" s="122" t="n">
        <v>3</v>
      </c>
      <c r="D103" s="122" t="n">
        <v>30</v>
      </c>
      <c r="E103" s="123" t="n">
        <v>19824.05</v>
      </c>
      <c r="F103" s="124">
        <f>IF(C103&lt;=30,5,IF(C103&lt;=60,4,IF(C103&lt;=120,3,IF(C103&lt;=200,2,1))))</f>
        <v/>
      </c>
      <c r="G103" s="124">
        <f>IF(D103&gt;=20,5,IF(D103&gt;=10,4,IF(D103&gt;=5,3,IF(D103&gt;=2,2,1))))</f>
        <v/>
      </c>
      <c r="H103" s="124">
        <f>IF(E103&gt;=5000,5,IF(E103&gt;=2000,4,IF(E103&gt;=800,3,IF(E103&gt;=300,2,1))))</f>
        <v/>
      </c>
      <c r="I103" s="122">
        <f>TEXT(F103,"0")&amp;TEXT(G103,"0")&amp;TEXT(H103,"0")</f>
        <v/>
      </c>
      <c r="J103" s="122">
        <f>IFERROR(XLOOKUP(I103,'Segment Map'!A:A,'Segment Map'!B:B,"Need Attention"),"Need Attention")</f>
        <v/>
      </c>
      <c r="K103" s="122">
        <f>IF(E103&gt;=5000,"🏆 Platinum",IF(E103&gt;=2000,"🥇 Gold",IF(E103&gt;=800,"🥈 Silver","🥉 Bronze")))</f>
        <v/>
      </c>
      <c r="L103" s="125" t="n">
        <v>40884</v>
      </c>
    </row>
    <row r="104">
      <c r="A104" s="126" t="n">
        <v>12472</v>
      </c>
      <c r="B104" s="126" t="inlineStr">
        <is>
          <t>Germany</t>
        </is>
      </c>
      <c r="C104" s="126" t="n">
        <v>33</v>
      </c>
      <c r="D104" s="126" t="n">
        <v>7</v>
      </c>
      <c r="E104" s="127" t="n">
        <v>6572.11</v>
      </c>
      <c r="F104" s="128">
        <f>IF(C104&lt;=30,5,IF(C104&lt;=60,4,IF(C104&lt;=120,3,IF(C104&lt;=200,2,1))))</f>
        <v/>
      </c>
      <c r="G104" s="128">
        <f>IF(D104&gt;=20,5,IF(D104&gt;=10,4,IF(D104&gt;=5,3,IF(D104&gt;=2,2,1))))</f>
        <v/>
      </c>
      <c r="H104" s="128">
        <f>IF(E104&gt;=5000,5,IF(E104&gt;=2000,4,IF(E104&gt;=800,3,IF(E104&gt;=300,2,1))))</f>
        <v/>
      </c>
      <c r="I104" s="126">
        <f>TEXT(F104,"0")&amp;TEXT(G104,"0")&amp;TEXT(H104,"0")</f>
        <v/>
      </c>
      <c r="J104" s="126">
        <f>IFERROR(XLOOKUP(I104,'Segment Map'!A:A,'Segment Map'!B:B,"Need Attention"),"Need Attention")</f>
        <v/>
      </c>
      <c r="K104" s="126">
        <f>IF(E104&gt;=5000,"🏆 Platinum",IF(E104&gt;=2000,"🥇 Gold",IF(E104&gt;=800,"🥈 Silver","🥉 Bronze")))</f>
        <v/>
      </c>
      <c r="L104" s="129" t="n">
        <v>40854</v>
      </c>
    </row>
    <row r="105">
      <c r="A105" s="122" t="n">
        <v>12473</v>
      </c>
      <c r="B105" s="122" t="inlineStr">
        <is>
          <t>Germany</t>
        </is>
      </c>
      <c r="C105" s="122" t="n">
        <v>30</v>
      </c>
      <c r="D105" s="122" t="n">
        <v>5</v>
      </c>
      <c r="E105" s="123" t="n">
        <v>3938.55</v>
      </c>
      <c r="F105" s="124">
        <f>IF(C105&lt;=30,5,IF(C105&lt;=60,4,IF(C105&lt;=120,3,IF(C105&lt;=200,2,1))))</f>
        <v/>
      </c>
      <c r="G105" s="124">
        <f>IF(D105&gt;=20,5,IF(D105&gt;=10,4,IF(D105&gt;=5,3,IF(D105&gt;=2,2,1))))</f>
        <v/>
      </c>
      <c r="H105" s="124">
        <f>IF(E105&gt;=5000,5,IF(E105&gt;=2000,4,IF(E105&gt;=800,3,IF(E105&gt;=300,2,1))))</f>
        <v/>
      </c>
      <c r="I105" s="122">
        <f>TEXT(F105,"0")&amp;TEXT(G105,"0")&amp;TEXT(H105,"0")</f>
        <v/>
      </c>
      <c r="J105" s="122">
        <f>IFERROR(XLOOKUP(I105,'Segment Map'!A:A,'Segment Map'!B:B,"Need Attention"),"Need Attention")</f>
        <v/>
      </c>
      <c r="K105" s="122">
        <f>IF(E105&gt;=5000,"🏆 Platinum",IF(E105&gt;=2000,"🥇 Gold",IF(E105&gt;=800,"🥈 Silver","🥉 Bronze")))</f>
        <v/>
      </c>
      <c r="L105" s="125" t="n">
        <v>40857</v>
      </c>
    </row>
    <row r="106">
      <c r="A106" s="126" t="n">
        <v>12474</v>
      </c>
      <c r="B106" s="126" t="inlineStr">
        <is>
          <t>Germany</t>
        </is>
      </c>
      <c r="C106" s="126" t="n">
        <v>18</v>
      </c>
      <c r="D106" s="126" t="n">
        <v>18</v>
      </c>
      <c r="E106" s="127" t="n">
        <v>7375.79</v>
      </c>
      <c r="F106" s="128">
        <f>IF(C106&lt;=30,5,IF(C106&lt;=60,4,IF(C106&lt;=120,3,IF(C106&lt;=200,2,1))))</f>
        <v/>
      </c>
      <c r="G106" s="128">
        <f>IF(D106&gt;=20,5,IF(D106&gt;=10,4,IF(D106&gt;=5,3,IF(D106&gt;=2,2,1))))</f>
        <v/>
      </c>
      <c r="H106" s="128">
        <f>IF(E106&gt;=5000,5,IF(E106&gt;=2000,4,IF(E106&gt;=800,3,IF(E106&gt;=300,2,1))))</f>
        <v/>
      </c>
      <c r="I106" s="126">
        <f>TEXT(F106,"0")&amp;TEXT(G106,"0")&amp;TEXT(H106,"0")</f>
        <v/>
      </c>
      <c r="J106" s="126">
        <f>IFERROR(XLOOKUP(I106,'Segment Map'!A:A,'Segment Map'!B:B,"Need Attention"),"Need Attention")</f>
        <v/>
      </c>
      <c r="K106" s="126">
        <f>IF(E106&gt;=5000,"🏆 Platinum",IF(E106&gt;=2000,"🥇 Gold",IF(E106&gt;=800,"🥈 Silver","🥉 Bronze")))</f>
        <v/>
      </c>
      <c r="L106" s="129" t="n">
        <v>40869</v>
      </c>
    </row>
    <row r="107">
      <c r="A107" s="122" t="n">
        <v>12475</v>
      </c>
      <c r="B107" s="122" t="inlineStr">
        <is>
          <t>Germany</t>
        </is>
      </c>
      <c r="C107" s="122" t="n">
        <v>54</v>
      </c>
      <c r="D107" s="122" t="n">
        <v>1</v>
      </c>
      <c r="E107" s="123" t="n">
        <v>723.38</v>
      </c>
      <c r="F107" s="124">
        <f>IF(C107&lt;=30,5,IF(C107&lt;=60,4,IF(C107&lt;=120,3,IF(C107&lt;=200,2,1))))</f>
        <v/>
      </c>
      <c r="G107" s="124">
        <f>IF(D107&gt;=20,5,IF(D107&gt;=10,4,IF(D107&gt;=5,3,IF(D107&gt;=2,2,1))))</f>
        <v/>
      </c>
      <c r="H107" s="124">
        <f>IF(E107&gt;=5000,5,IF(E107&gt;=2000,4,IF(E107&gt;=800,3,IF(E107&gt;=300,2,1))))</f>
        <v/>
      </c>
      <c r="I107" s="122">
        <f>TEXT(F107,"0")&amp;TEXT(G107,"0")&amp;TEXT(H107,"0")</f>
        <v/>
      </c>
      <c r="J107" s="122">
        <f>IFERROR(XLOOKUP(I107,'Segment Map'!A:A,'Segment Map'!B:B,"Need Attention"),"Need Attention")</f>
        <v/>
      </c>
      <c r="K107" s="122">
        <f>IF(E107&gt;=5000,"🏆 Platinum",IF(E107&gt;=2000,"🥇 Gold",IF(E107&gt;=800,"🥈 Silver","🥉 Bronze")))</f>
        <v/>
      </c>
      <c r="L107" s="125" t="n">
        <v>40833</v>
      </c>
    </row>
    <row r="108">
      <c r="A108" s="126" t="n">
        <v>12476</v>
      </c>
      <c r="B108" s="126" t="inlineStr">
        <is>
          <t>Germany</t>
        </is>
      </c>
      <c r="C108" s="126" t="n">
        <v>16</v>
      </c>
      <c r="D108" s="126" t="n">
        <v>11</v>
      </c>
      <c r="E108" s="127" t="n">
        <v>6816.42</v>
      </c>
      <c r="F108" s="128">
        <f>IF(C108&lt;=30,5,IF(C108&lt;=60,4,IF(C108&lt;=120,3,IF(C108&lt;=200,2,1))))</f>
        <v/>
      </c>
      <c r="G108" s="128">
        <f>IF(D108&gt;=20,5,IF(D108&gt;=10,4,IF(D108&gt;=5,3,IF(D108&gt;=2,2,1))))</f>
        <v/>
      </c>
      <c r="H108" s="128">
        <f>IF(E108&gt;=5000,5,IF(E108&gt;=2000,4,IF(E108&gt;=800,3,IF(E108&gt;=300,2,1))))</f>
        <v/>
      </c>
      <c r="I108" s="126">
        <f>TEXT(F108,"0")&amp;TEXT(G108,"0")&amp;TEXT(H108,"0")</f>
        <v/>
      </c>
      <c r="J108" s="126">
        <f>IFERROR(XLOOKUP(I108,'Segment Map'!A:A,'Segment Map'!B:B,"Need Attention"),"Need Attention")</f>
        <v/>
      </c>
      <c r="K108" s="126">
        <f>IF(E108&gt;=5000,"🏆 Platinum",IF(E108&gt;=2000,"🥇 Gold",IF(E108&gt;=800,"🥈 Silver","🥉 Bronze")))</f>
        <v/>
      </c>
      <c r="L108" s="129" t="n">
        <v>40871</v>
      </c>
    </row>
    <row r="109">
      <c r="A109" s="122" t="n">
        <v>12477</v>
      </c>
      <c r="B109" s="122" t="inlineStr">
        <is>
          <t>Germany</t>
        </is>
      </c>
      <c r="C109" s="122" t="n">
        <v>23</v>
      </c>
      <c r="D109" s="122" t="n">
        <v>6</v>
      </c>
      <c r="E109" s="123" t="n">
        <v>13219.74</v>
      </c>
      <c r="F109" s="124">
        <f>IF(C109&lt;=30,5,IF(C109&lt;=60,4,IF(C109&lt;=120,3,IF(C109&lt;=200,2,1))))</f>
        <v/>
      </c>
      <c r="G109" s="124">
        <f>IF(D109&gt;=20,5,IF(D109&gt;=10,4,IF(D109&gt;=5,3,IF(D109&gt;=2,2,1))))</f>
        <v/>
      </c>
      <c r="H109" s="124">
        <f>IF(E109&gt;=5000,5,IF(E109&gt;=2000,4,IF(E109&gt;=800,3,IF(E109&gt;=300,2,1))))</f>
        <v/>
      </c>
      <c r="I109" s="122">
        <f>TEXT(F109,"0")&amp;TEXT(G109,"0")&amp;TEXT(H109,"0")</f>
        <v/>
      </c>
      <c r="J109" s="122">
        <f>IFERROR(XLOOKUP(I109,'Segment Map'!A:A,'Segment Map'!B:B,"Need Attention"),"Need Attention")</f>
        <v/>
      </c>
      <c r="K109" s="122">
        <f>IF(E109&gt;=5000,"🏆 Platinum",IF(E109&gt;=2000,"🥇 Gold",IF(E109&gt;=800,"🥈 Silver","🥉 Bronze")))</f>
        <v/>
      </c>
      <c r="L109" s="125" t="n">
        <v>40864</v>
      </c>
    </row>
    <row r="110">
      <c r="A110" s="126" t="n">
        <v>12478</v>
      </c>
      <c r="B110" s="126" t="inlineStr">
        <is>
          <t>Greece</t>
        </is>
      </c>
      <c r="C110" s="126" t="n">
        <v>4</v>
      </c>
      <c r="D110" s="126" t="n">
        <v>1</v>
      </c>
      <c r="E110" s="127" t="n">
        <v>680.99</v>
      </c>
      <c r="F110" s="128">
        <f>IF(C110&lt;=30,5,IF(C110&lt;=60,4,IF(C110&lt;=120,3,IF(C110&lt;=200,2,1))))</f>
        <v/>
      </c>
      <c r="G110" s="128">
        <f>IF(D110&gt;=20,5,IF(D110&gt;=10,4,IF(D110&gt;=5,3,IF(D110&gt;=2,2,1))))</f>
        <v/>
      </c>
      <c r="H110" s="128">
        <f>IF(E110&gt;=5000,5,IF(E110&gt;=2000,4,IF(E110&gt;=800,3,IF(E110&gt;=300,2,1))))</f>
        <v/>
      </c>
      <c r="I110" s="126">
        <f>TEXT(F110,"0")&amp;TEXT(G110,"0")&amp;TEXT(H110,"0")</f>
        <v/>
      </c>
      <c r="J110" s="126">
        <f>IFERROR(XLOOKUP(I110,'Segment Map'!A:A,'Segment Map'!B:B,"Need Attention"),"Need Attention")</f>
        <v/>
      </c>
      <c r="K110" s="126">
        <f>IF(E110&gt;=5000,"🏆 Platinum",IF(E110&gt;=2000,"🥇 Gold",IF(E110&gt;=800,"🥈 Silver","🥉 Bronze")))</f>
        <v/>
      </c>
      <c r="L110" s="129" t="n">
        <v>40883</v>
      </c>
    </row>
    <row r="111">
      <c r="A111" s="122" t="n">
        <v>12479</v>
      </c>
      <c r="B111" s="122" t="inlineStr">
        <is>
          <t>Germany</t>
        </is>
      </c>
      <c r="C111" s="122" t="n">
        <v>12</v>
      </c>
      <c r="D111" s="122" t="n">
        <v>1</v>
      </c>
      <c r="E111" s="123" t="n">
        <v>527.2</v>
      </c>
      <c r="F111" s="124">
        <f>IF(C111&lt;=30,5,IF(C111&lt;=60,4,IF(C111&lt;=120,3,IF(C111&lt;=200,2,1))))</f>
        <v/>
      </c>
      <c r="G111" s="124">
        <f>IF(D111&gt;=20,5,IF(D111&gt;=10,4,IF(D111&gt;=5,3,IF(D111&gt;=2,2,1))))</f>
        <v/>
      </c>
      <c r="H111" s="124">
        <f>IF(E111&gt;=5000,5,IF(E111&gt;=2000,4,IF(E111&gt;=800,3,IF(E111&gt;=300,2,1))))</f>
        <v/>
      </c>
      <c r="I111" s="122">
        <f>TEXT(F111,"0")&amp;TEXT(G111,"0")&amp;TEXT(H111,"0")</f>
        <v/>
      </c>
      <c r="J111" s="122">
        <f>IFERROR(XLOOKUP(I111,'Segment Map'!A:A,'Segment Map'!B:B,"Need Attention"),"Need Attention")</f>
        <v/>
      </c>
      <c r="K111" s="122">
        <f>IF(E111&gt;=5000,"🏆 Platinum",IF(E111&gt;=2000,"🥇 Gold",IF(E111&gt;=800,"🥈 Silver","🥉 Bronze")))</f>
        <v/>
      </c>
      <c r="L111" s="125" t="n">
        <v>40875</v>
      </c>
    </row>
    <row r="112">
      <c r="A112" s="126" t="n">
        <v>12480</v>
      </c>
      <c r="B112" s="126" t="inlineStr">
        <is>
          <t>Germany</t>
        </is>
      </c>
      <c r="C112" s="126" t="n">
        <v>29</v>
      </c>
      <c r="D112" s="126" t="n">
        <v>4</v>
      </c>
      <c r="E112" s="127" t="n">
        <v>3281.63</v>
      </c>
      <c r="F112" s="128">
        <f>IF(C112&lt;=30,5,IF(C112&lt;=60,4,IF(C112&lt;=120,3,IF(C112&lt;=200,2,1))))</f>
        <v/>
      </c>
      <c r="G112" s="128">
        <f>IF(D112&gt;=20,5,IF(D112&gt;=10,4,IF(D112&gt;=5,3,IF(D112&gt;=2,2,1))))</f>
        <v/>
      </c>
      <c r="H112" s="128">
        <f>IF(E112&gt;=5000,5,IF(E112&gt;=2000,4,IF(E112&gt;=800,3,IF(E112&gt;=300,2,1))))</f>
        <v/>
      </c>
      <c r="I112" s="126">
        <f>TEXT(F112,"0")&amp;TEXT(G112,"0")&amp;TEXT(H112,"0")</f>
        <v/>
      </c>
      <c r="J112" s="126">
        <f>IFERROR(XLOOKUP(I112,'Segment Map'!A:A,'Segment Map'!B:B,"Need Attention"),"Need Attention")</f>
        <v/>
      </c>
      <c r="K112" s="126">
        <f>IF(E112&gt;=5000,"🏆 Platinum",IF(E112&gt;=2000,"🥇 Gold",IF(E112&gt;=800,"🥈 Silver","🥉 Bronze")))</f>
        <v/>
      </c>
      <c r="L112" s="129" t="n">
        <v>40858</v>
      </c>
    </row>
    <row r="113">
      <c r="A113" s="122" t="n">
        <v>12481</v>
      </c>
      <c r="B113" s="122" t="inlineStr">
        <is>
          <t>Germany</t>
        </is>
      </c>
      <c r="C113" s="122" t="n">
        <v>23</v>
      </c>
      <c r="D113" s="122" t="n">
        <v>10</v>
      </c>
      <c r="E113" s="123" t="n">
        <v>5596.32</v>
      </c>
      <c r="F113" s="124">
        <f>IF(C113&lt;=30,5,IF(C113&lt;=60,4,IF(C113&lt;=120,3,IF(C113&lt;=200,2,1))))</f>
        <v/>
      </c>
      <c r="G113" s="124">
        <f>IF(D113&gt;=20,5,IF(D113&gt;=10,4,IF(D113&gt;=5,3,IF(D113&gt;=2,2,1))))</f>
        <v/>
      </c>
      <c r="H113" s="124">
        <f>IF(E113&gt;=5000,5,IF(E113&gt;=2000,4,IF(E113&gt;=800,3,IF(E113&gt;=300,2,1))))</f>
        <v/>
      </c>
      <c r="I113" s="122">
        <f>TEXT(F113,"0")&amp;TEXT(G113,"0")&amp;TEXT(H113,"0")</f>
        <v/>
      </c>
      <c r="J113" s="122">
        <f>IFERROR(XLOOKUP(I113,'Segment Map'!A:A,'Segment Map'!B:B,"Need Attention"),"Need Attention")</f>
        <v/>
      </c>
      <c r="K113" s="122">
        <f>IF(E113&gt;=5000,"🏆 Platinum",IF(E113&gt;=2000,"🥇 Gold",IF(E113&gt;=800,"🥈 Silver","🥉 Bronze")))</f>
        <v/>
      </c>
      <c r="L113" s="125" t="n">
        <v>40864</v>
      </c>
    </row>
    <row r="114">
      <c r="A114" s="126" t="n">
        <v>12483</v>
      </c>
      <c r="B114" s="126" t="inlineStr">
        <is>
          <t>Sweden</t>
        </is>
      </c>
      <c r="C114" s="126" t="n">
        <v>18</v>
      </c>
      <c r="D114" s="126" t="n">
        <v>8</v>
      </c>
      <c r="E114" s="127" t="n">
        <v>2484.98</v>
      </c>
      <c r="F114" s="128">
        <f>IF(C114&lt;=30,5,IF(C114&lt;=60,4,IF(C114&lt;=120,3,IF(C114&lt;=200,2,1))))</f>
        <v/>
      </c>
      <c r="G114" s="128">
        <f>IF(D114&gt;=20,5,IF(D114&gt;=10,4,IF(D114&gt;=5,3,IF(D114&gt;=2,2,1))))</f>
        <v/>
      </c>
      <c r="H114" s="128">
        <f>IF(E114&gt;=5000,5,IF(E114&gt;=2000,4,IF(E114&gt;=800,3,IF(E114&gt;=300,2,1))))</f>
        <v/>
      </c>
      <c r="I114" s="126">
        <f>TEXT(F114,"0")&amp;TEXT(G114,"0")&amp;TEXT(H114,"0")</f>
        <v/>
      </c>
      <c r="J114" s="126">
        <f>IFERROR(XLOOKUP(I114,'Segment Map'!A:A,'Segment Map'!B:B,"Need Attention"),"Need Attention")</f>
        <v/>
      </c>
      <c r="K114" s="126">
        <f>IF(E114&gt;=5000,"🏆 Platinum",IF(E114&gt;=2000,"🥇 Gold",IF(E114&gt;=800,"🥈 Silver","🥉 Bronze")))</f>
        <v/>
      </c>
      <c r="L114" s="129" t="n">
        <v>40869</v>
      </c>
    </row>
    <row r="115">
      <c r="A115" s="122" t="n">
        <v>12484</v>
      </c>
      <c r="B115" s="122" t="inlineStr">
        <is>
          <t>Spain</t>
        </is>
      </c>
      <c r="C115" s="122" t="n">
        <v>33</v>
      </c>
      <c r="D115" s="122" t="n">
        <v>6</v>
      </c>
      <c r="E115" s="123" t="n">
        <v>4541.72</v>
      </c>
      <c r="F115" s="124">
        <f>IF(C115&lt;=30,5,IF(C115&lt;=60,4,IF(C115&lt;=120,3,IF(C115&lt;=200,2,1))))</f>
        <v/>
      </c>
      <c r="G115" s="124">
        <f>IF(D115&gt;=20,5,IF(D115&gt;=10,4,IF(D115&gt;=5,3,IF(D115&gt;=2,2,1))))</f>
        <v/>
      </c>
      <c r="H115" s="124">
        <f>IF(E115&gt;=5000,5,IF(E115&gt;=2000,4,IF(E115&gt;=800,3,IF(E115&gt;=300,2,1))))</f>
        <v/>
      </c>
      <c r="I115" s="122">
        <f>TEXT(F115,"0")&amp;TEXT(G115,"0")&amp;TEXT(H115,"0")</f>
        <v/>
      </c>
      <c r="J115" s="122">
        <f>IFERROR(XLOOKUP(I115,'Segment Map'!A:A,'Segment Map'!B:B,"Need Attention"),"Need Attention")</f>
        <v/>
      </c>
      <c r="K115" s="122">
        <f>IF(E115&gt;=5000,"🏆 Platinum",IF(E115&gt;=2000,"🥇 Gold",IF(E115&gt;=800,"🥈 Silver","🥉 Bronze")))</f>
        <v/>
      </c>
      <c r="L115" s="125" t="n">
        <v>40854</v>
      </c>
    </row>
    <row r="116">
      <c r="A116" s="126" t="n">
        <v>12488</v>
      </c>
      <c r="B116" s="126" t="inlineStr">
        <is>
          <t>France</t>
        </is>
      </c>
      <c r="C116" s="126" t="n">
        <v>10</v>
      </c>
      <c r="D116" s="126" t="n">
        <v>3</v>
      </c>
      <c r="E116" s="127" t="n">
        <v>1298.66</v>
      </c>
      <c r="F116" s="128">
        <f>IF(C116&lt;=30,5,IF(C116&lt;=60,4,IF(C116&lt;=120,3,IF(C116&lt;=200,2,1))))</f>
        <v/>
      </c>
      <c r="G116" s="128">
        <f>IF(D116&gt;=20,5,IF(D116&gt;=10,4,IF(D116&gt;=5,3,IF(D116&gt;=2,2,1))))</f>
        <v/>
      </c>
      <c r="H116" s="128">
        <f>IF(E116&gt;=5000,5,IF(E116&gt;=2000,4,IF(E116&gt;=800,3,IF(E116&gt;=300,2,1))))</f>
        <v/>
      </c>
      <c r="I116" s="126">
        <f>TEXT(F116,"0")&amp;TEXT(G116,"0")&amp;TEXT(H116,"0")</f>
        <v/>
      </c>
      <c r="J116" s="126">
        <f>IFERROR(XLOOKUP(I116,'Segment Map'!A:A,'Segment Map'!B:B,"Need Attention"),"Need Attention")</f>
        <v/>
      </c>
      <c r="K116" s="126">
        <f>IF(E116&gt;=5000,"🏆 Platinum",IF(E116&gt;=2000,"🥇 Gold",IF(E116&gt;=800,"🥈 Silver","🥉 Bronze")))</f>
        <v/>
      </c>
      <c r="L116" s="129" t="n">
        <v>40877</v>
      </c>
    </row>
    <row r="117">
      <c r="A117" s="122" t="n">
        <v>12489</v>
      </c>
      <c r="B117" s="122" t="inlineStr">
        <is>
          <t>France</t>
        </is>
      </c>
      <c r="C117" s="122" t="n">
        <v>337</v>
      </c>
      <c r="D117" s="122" t="n">
        <v>1</v>
      </c>
      <c r="E117" s="123" t="n">
        <v>334.93</v>
      </c>
      <c r="F117" s="124">
        <f>IF(C117&lt;=30,5,IF(C117&lt;=60,4,IF(C117&lt;=120,3,IF(C117&lt;=200,2,1))))</f>
        <v/>
      </c>
      <c r="G117" s="124">
        <f>IF(D117&gt;=20,5,IF(D117&gt;=10,4,IF(D117&gt;=5,3,IF(D117&gt;=2,2,1))))</f>
        <v/>
      </c>
      <c r="H117" s="124">
        <f>IF(E117&gt;=5000,5,IF(E117&gt;=2000,4,IF(E117&gt;=800,3,IF(E117&gt;=300,2,1))))</f>
        <v/>
      </c>
      <c r="I117" s="122">
        <f>TEXT(F117,"0")&amp;TEXT(G117,"0")&amp;TEXT(H117,"0")</f>
        <v/>
      </c>
      <c r="J117" s="122">
        <f>IFERROR(XLOOKUP(I117,'Segment Map'!A:A,'Segment Map'!B:B,"Need Attention"),"Need Attention")</f>
        <v/>
      </c>
      <c r="K117" s="122">
        <f>IF(E117&gt;=5000,"🏆 Platinum",IF(E117&gt;=2000,"🥇 Gold",IF(E117&gt;=800,"🥈 Silver","🥉 Bronze")))</f>
        <v/>
      </c>
      <c r="L117" s="125" t="n">
        <v>40550</v>
      </c>
    </row>
    <row r="118">
      <c r="A118" s="126" t="n">
        <v>12490</v>
      </c>
      <c r="B118" s="126" t="inlineStr">
        <is>
          <t>France</t>
        </is>
      </c>
      <c r="C118" s="126" t="n">
        <v>6</v>
      </c>
      <c r="D118" s="126" t="n">
        <v>10</v>
      </c>
      <c r="E118" s="127" t="n">
        <v>5417.93</v>
      </c>
      <c r="F118" s="128">
        <f>IF(C118&lt;=30,5,IF(C118&lt;=60,4,IF(C118&lt;=120,3,IF(C118&lt;=200,2,1))))</f>
        <v/>
      </c>
      <c r="G118" s="128">
        <f>IF(D118&gt;=20,5,IF(D118&gt;=10,4,IF(D118&gt;=5,3,IF(D118&gt;=2,2,1))))</f>
        <v/>
      </c>
      <c r="H118" s="128">
        <f>IF(E118&gt;=5000,5,IF(E118&gt;=2000,4,IF(E118&gt;=800,3,IF(E118&gt;=300,2,1))))</f>
        <v/>
      </c>
      <c r="I118" s="126">
        <f>TEXT(F118,"0")&amp;TEXT(G118,"0")&amp;TEXT(H118,"0")</f>
        <v/>
      </c>
      <c r="J118" s="126">
        <f>IFERROR(XLOOKUP(I118,'Segment Map'!A:A,'Segment Map'!B:B,"Need Attention"),"Need Attention")</f>
        <v/>
      </c>
      <c r="K118" s="126">
        <f>IF(E118&gt;=5000,"🏆 Platinum",IF(E118&gt;=2000,"🥇 Gold",IF(E118&gt;=800,"🥈 Silver","🥉 Bronze")))</f>
        <v/>
      </c>
      <c r="L118" s="129" t="n">
        <v>40881</v>
      </c>
    </row>
    <row r="119">
      <c r="A119" s="122" t="n">
        <v>12491</v>
      </c>
      <c r="B119" s="122" t="inlineStr">
        <is>
          <t>France</t>
        </is>
      </c>
      <c r="C119" s="122" t="n">
        <v>39</v>
      </c>
      <c r="D119" s="122" t="n">
        <v>1</v>
      </c>
      <c r="E119" s="123" t="n">
        <v>460.4</v>
      </c>
      <c r="F119" s="124">
        <f>IF(C119&lt;=30,5,IF(C119&lt;=60,4,IF(C119&lt;=120,3,IF(C119&lt;=200,2,1))))</f>
        <v/>
      </c>
      <c r="G119" s="124">
        <f>IF(D119&gt;=20,5,IF(D119&gt;=10,4,IF(D119&gt;=5,3,IF(D119&gt;=2,2,1))))</f>
        <v/>
      </c>
      <c r="H119" s="124">
        <f>IF(E119&gt;=5000,5,IF(E119&gt;=2000,4,IF(E119&gt;=800,3,IF(E119&gt;=300,2,1))))</f>
        <v/>
      </c>
      <c r="I119" s="122">
        <f>TEXT(F119,"0")&amp;TEXT(G119,"0")&amp;TEXT(H119,"0")</f>
        <v/>
      </c>
      <c r="J119" s="122">
        <f>IFERROR(XLOOKUP(I119,'Segment Map'!A:A,'Segment Map'!B:B,"Need Attention"),"Need Attention")</f>
        <v/>
      </c>
      <c r="K119" s="122">
        <f>IF(E119&gt;=5000,"🏆 Platinum",IF(E119&gt;=2000,"🥇 Gold",IF(E119&gt;=800,"🥈 Silver","🥉 Bronze")))</f>
        <v/>
      </c>
      <c r="L119" s="125" t="n">
        <v>40848</v>
      </c>
    </row>
    <row r="120">
      <c r="A120" s="126" t="n">
        <v>12492</v>
      </c>
      <c r="B120" s="126" t="inlineStr">
        <is>
          <t>Germany</t>
        </is>
      </c>
      <c r="C120" s="126" t="n">
        <v>64</v>
      </c>
      <c r="D120" s="126" t="n">
        <v>2</v>
      </c>
      <c r="E120" s="127" t="n">
        <v>263.21</v>
      </c>
      <c r="F120" s="128">
        <f>IF(C120&lt;=30,5,IF(C120&lt;=60,4,IF(C120&lt;=120,3,IF(C120&lt;=200,2,1))))</f>
        <v/>
      </c>
      <c r="G120" s="128">
        <f>IF(D120&gt;=20,5,IF(D120&gt;=10,4,IF(D120&gt;=5,3,IF(D120&gt;=2,2,1))))</f>
        <v/>
      </c>
      <c r="H120" s="128">
        <f>IF(E120&gt;=5000,5,IF(E120&gt;=2000,4,IF(E120&gt;=800,3,IF(E120&gt;=300,2,1))))</f>
        <v/>
      </c>
      <c r="I120" s="126">
        <f>TEXT(F120,"0")&amp;TEXT(G120,"0")&amp;TEXT(H120,"0")</f>
        <v/>
      </c>
      <c r="J120" s="126">
        <f>IFERROR(XLOOKUP(I120,'Segment Map'!A:A,'Segment Map'!B:B,"Need Attention"),"Need Attention")</f>
        <v/>
      </c>
      <c r="K120" s="126">
        <f>IF(E120&gt;=5000,"🏆 Platinum",IF(E120&gt;=2000,"🥇 Gold",IF(E120&gt;=800,"🥈 Silver","🥉 Bronze")))</f>
        <v/>
      </c>
      <c r="L120" s="129" t="n">
        <v>40823</v>
      </c>
    </row>
    <row r="121">
      <c r="A121" s="122" t="n">
        <v>12493</v>
      </c>
      <c r="B121" s="122" t="inlineStr">
        <is>
          <t>France</t>
        </is>
      </c>
      <c r="C121" s="122" t="n">
        <v>166</v>
      </c>
      <c r="D121" s="122" t="n">
        <v>2</v>
      </c>
      <c r="E121" s="123" t="n">
        <v>433.74</v>
      </c>
      <c r="F121" s="124">
        <f>IF(C121&lt;=30,5,IF(C121&lt;=60,4,IF(C121&lt;=120,3,IF(C121&lt;=200,2,1))))</f>
        <v/>
      </c>
      <c r="G121" s="124">
        <f>IF(D121&gt;=20,5,IF(D121&gt;=10,4,IF(D121&gt;=5,3,IF(D121&gt;=2,2,1))))</f>
        <v/>
      </c>
      <c r="H121" s="124">
        <f>IF(E121&gt;=5000,5,IF(E121&gt;=2000,4,IF(E121&gt;=800,3,IF(E121&gt;=300,2,1))))</f>
        <v/>
      </c>
      <c r="I121" s="122">
        <f>TEXT(F121,"0")&amp;TEXT(G121,"0")&amp;TEXT(H121,"0")</f>
        <v/>
      </c>
      <c r="J121" s="122">
        <f>IFERROR(XLOOKUP(I121,'Segment Map'!A:A,'Segment Map'!B:B,"Need Attention"),"Need Attention")</f>
        <v/>
      </c>
      <c r="K121" s="122">
        <f>IF(E121&gt;=5000,"🏆 Platinum",IF(E121&gt;=2000,"🥇 Gold",IF(E121&gt;=800,"🥈 Silver","🥉 Bronze")))</f>
        <v/>
      </c>
      <c r="L121" s="125" t="n">
        <v>40721</v>
      </c>
    </row>
    <row r="122">
      <c r="A122" s="126" t="n">
        <v>12494</v>
      </c>
      <c r="B122" s="126" t="inlineStr">
        <is>
          <t>France</t>
        </is>
      </c>
      <c r="C122" s="126" t="n">
        <v>16</v>
      </c>
      <c r="D122" s="126" t="n">
        <v>7</v>
      </c>
      <c r="E122" s="127" t="n">
        <v>1246.1</v>
      </c>
      <c r="F122" s="128">
        <f>IF(C122&lt;=30,5,IF(C122&lt;=60,4,IF(C122&lt;=120,3,IF(C122&lt;=200,2,1))))</f>
        <v/>
      </c>
      <c r="G122" s="128">
        <f>IF(D122&gt;=20,5,IF(D122&gt;=10,4,IF(D122&gt;=5,3,IF(D122&gt;=2,2,1))))</f>
        <v/>
      </c>
      <c r="H122" s="128">
        <f>IF(E122&gt;=5000,5,IF(E122&gt;=2000,4,IF(E122&gt;=800,3,IF(E122&gt;=300,2,1))))</f>
        <v/>
      </c>
      <c r="I122" s="126">
        <f>TEXT(F122,"0")&amp;TEXT(G122,"0")&amp;TEXT(H122,"0")</f>
        <v/>
      </c>
      <c r="J122" s="126">
        <f>IFERROR(XLOOKUP(I122,'Segment Map'!A:A,'Segment Map'!B:B,"Need Attention"),"Need Attention")</f>
        <v/>
      </c>
      <c r="K122" s="126">
        <f>IF(E122&gt;=5000,"🏆 Platinum",IF(E122&gt;=2000,"🥇 Gold",IF(E122&gt;=800,"🥈 Silver","🥉 Bronze")))</f>
        <v/>
      </c>
      <c r="L122" s="129" t="n">
        <v>40871</v>
      </c>
    </row>
    <row r="123">
      <c r="A123" s="122" t="n">
        <v>12497</v>
      </c>
      <c r="B123" s="122" t="inlineStr">
        <is>
          <t>Germany</t>
        </is>
      </c>
      <c r="C123" s="122" t="n">
        <v>82</v>
      </c>
      <c r="D123" s="122" t="n">
        <v>1</v>
      </c>
      <c r="E123" s="123" t="n">
        <v>1043.1</v>
      </c>
      <c r="F123" s="124">
        <f>IF(C123&lt;=30,5,IF(C123&lt;=60,4,IF(C123&lt;=120,3,IF(C123&lt;=200,2,1))))</f>
        <v/>
      </c>
      <c r="G123" s="124">
        <f>IF(D123&gt;=20,5,IF(D123&gt;=10,4,IF(D123&gt;=5,3,IF(D123&gt;=2,2,1))))</f>
        <v/>
      </c>
      <c r="H123" s="124">
        <f>IF(E123&gt;=5000,5,IF(E123&gt;=2000,4,IF(E123&gt;=800,3,IF(E123&gt;=300,2,1))))</f>
        <v/>
      </c>
      <c r="I123" s="122">
        <f>TEXT(F123,"0")&amp;TEXT(G123,"0")&amp;TEXT(H123,"0")</f>
        <v/>
      </c>
      <c r="J123" s="122">
        <f>IFERROR(XLOOKUP(I123,'Segment Map'!A:A,'Segment Map'!B:B,"Need Attention"),"Need Attention")</f>
        <v/>
      </c>
      <c r="K123" s="122">
        <f>IF(E123&gt;=5000,"🏆 Platinum",IF(E123&gt;=2000,"🥇 Gold",IF(E123&gt;=800,"🥈 Silver","🥉 Bronze")))</f>
        <v/>
      </c>
      <c r="L123" s="125" t="n">
        <v>40805</v>
      </c>
    </row>
    <row r="124">
      <c r="A124" s="126" t="n">
        <v>12498</v>
      </c>
      <c r="B124" s="126" t="inlineStr">
        <is>
          <t>Germany</t>
        </is>
      </c>
      <c r="C124" s="126" t="n">
        <v>22</v>
      </c>
      <c r="D124" s="126" t="n">
        <v>3</v>
      </c>
      <c r="E124" s="127" t="n">
        <v>403.7</v>
      </c>
      <c r="F124" s="128">
        <f>IF(C124&lt;=30,5,IF(C124&lt;=60,4,IF(C124&lt;=120,3,IF(C124&lt;=200,2,1))))</f>
        <v/>
      </c>
      <c r="G124" s="128">
        <f>IF(D124&gt;=20,5,IF(D124&gt;=10,4,IF(D124&gt;=5,3,IF(D124&gt;=2,2,1))))</f>
        <v/>
      </c>
      <c r="H124" s="128">
        <f>IF(E124&gt;=5000,5,IF(E124&gt;=2000,4,IF(E124&gt;=800,3,IF(E124&gt;=300,2,1))))</f>
        <v/>
      </c>
      <c r="I124" s="126">
        <f>TEXT(F124,"0")&amp;TEXT(G124,"0")&amp;TEXT(H124,"0")</f>
        <v/>
      </c>
      <c r="J124" s="126">
        <f>IFERROR(XLOOKUP(I124,'Segment Map'!A:A,'Segment Map'!B:B,"Need Attention"),"Need Attention")</f>
        <v/>
      </c>
      <c r="K124" s="126">
        <f>IF(E124&gt;=5000,"🏆 Platinum",IF(E124&gt;=2000,"🥇 Gold",IF(E124&gt;=800,"🥈 Silver","🥉 Bronze")))</f>
        <v/>
      </c>
      <c r="L124" s="129" t="n">
        <v>40865</v>
      </c>
    </row>
    <row r="125">
      <c r="A125" s="122" t="n">
        <v>12500</v>
      </c>
      <c r="B125" s="122" t="inlineStr">
        <is>
          <t>Germany</t>
        </is>
      </c>
      <c r="C125" s="122" t="n">
        <v>24</v>
      </c>
      <c r="D125" s="122" t="n">
        <v>11</v>
      </c>
      <c r="E125" s="123" t="n">
        <v>4257.82</v>
      </c>
      <c r="F125" s="124">
        <f>IF(C125&lt;=30,5,IF(C125&lt;=60,4,IF(C125&lt;=120,3,IF(C125&lt;=200,2,1))))</f>
        <v/>
      </c>
      <c r="G125" s="124">
        <f>IF(D125&gt;=20,5,IF(D125&gt;=10,4,IF(D125&gt;=5,3,IF(D125&gt;=2,2,1))))</f>
        <v/>
      </c>
      <c r="H125" s="124">
        <f>IF(E125&gt;=5000,5,IF(E125&gt;=2000,4,IF(E125&gt;=800,3,IF(E125&gt;=300,2,1))))</f>
        <v/>
      </c>
      <c r="I125" s="122">
        <f>TEXT(F125,"0")&amp;TEXT(G125,"0")&amp;TEXT(H125,"0")</f>
        <v/>
      </c>
      <c r="J125" s="122">
        <f>IFERROR(XLOOKUP(I125,'Segment Map'!A:A,'Segment Map'!B:B,"Need Attention"),"Need Attention")</f>
        <v/>
      </c>
      <c r="K125" s="122">
        <f>IF(E125&gt;=5000,"🏆 Platinum",IF(E125&gt;=2000,"🥇 Gold",IF(E125&gt;=800,"🥈 Silver","🥉 Bronze")))</f>
        <v/>
      </c>
      <c r="L125" s="125" t="n">
        <v>40863</v>
      </c>
    </row>
    <row r="126">
      <c r="A126" s="126" t="n">
        <v>12501</v>
      </c>
      <c r="B126" s="126" t="inlineStr">
        <is>
          <t>Germany</t>
        </is>
      </c>
      <c r="C126" s="126" t="n">
        <v>337</v>
      </c>
      <c r="D126" s="126" t="n">
        <v>1</v>
      </c>
      <c r="E126" s="127" t="n">
        <v>2169.39</v>
      </c>
      <c r="F126" s="128">
        <f>IF(C126&lt;=30,5,IF(C126&lt;=60,4,IF(C126&lt;=120,3,IF(C126&lt;=200,2,1))))</f>
        <v/>
      </c>
      <c r="G126" s="128">
        <f>IF(D126&gt;=20,5,IF(D126&gt;=10,4,IF(D126&gt;=5,3,IF(D126&gt;=2,2,1))))</f>
        <v/>
      </c>
      <c r="H126" s="128">
        <f>IF(E126&gt;=5000,5,IF(E126&gt;=2000,4,IF(E126&gt;=800,3,IF(E126&gt;=300,2,1))))</f>
        <v/>
      </c>
      <c r="I126" s="126">
        <f>TEXT(F126,"0")&amp;TEXT(G126,"0")&amp;TEXT(H126,"0")</f>
        <v/>
      </c>
      <c r="J126" s="126">
        <f>IFERROR(XLOOKUP(I126,'Segment Map'!A:A,'Segment Map'!B:B,"Need Attention"),"Need Attention")</f>
        <v/>
      </c>
      <c r="K126" s="126">
        <f>IF(E126&gt;=5000,"🏆 Platinum",IF(E126&gt;=2000,"🥇 Gold",IF(E126&gt;=800,"🥈 Silver","🥉 Bronze")))</f>
        <v/>
      </c>
      <c r="L126" s="129" t="n">
        <v>40550</v>
      </c>
    </row>
    <row r="127">
      <c r="A127" s="122" t="n">
        <v>12502</v>
      </c>
      <c r="B127" s="122" t="inlineStr">
        <is>
          <t>Spain</t>
        </is>
      </c>
      <c r="C127" s="122" t="n">
        <v>96</v>
      </c>
      <c r="D127" s="122" t="n">
        <v>5</v>
      </c>
      <c r="E127" s="123" t="n">
        <v>3723.87</v>
      </c>
      <c r="F127" s="124">
        <f>IF(C127&lt;=30,5,IF(C127&lt;=60,4,IF(C127&lt;=120,3,IF(C127&lt;=200,2,1))))</f>
        <v/>
      </c>
      <c r="G127" s="124">
        <f>IF(D127&gt;=20,5,IF(D127&gt;=10,4,IF(D127&gt;=5,3,IF(D127&gt;=2,2,1))))</f>
        <v/>
      </c>
      <c r="H127" s="124">
        <f>IF(E127&gt;=5000,5,IF(E127&gt;=2000,4,IF(E127&gt;=800,3,IF(E127&gt;=300,2,1))))</f>
        <v/>
      </c>
      <c r="I127" s="122">
        <f>TEXT(F127,"0")&amp;TEXT(G127,"0")&amp;TEXT(H127,"0")</f>
        <v/>
      </c>
      <c r="J127" s="122">
        <f>IFERROR(XLOOKUP(I127,'Segment Map'!A:A,'Segment Map'!B:B,"Need Attention"),"Need Attention")</f>
        <v/>
      </c>
      <c r="K127" s="122">
        <f>IF(E127&gt;=5000,"🏆 Platinum",IF(E127&gt;=2000,"🥇 Gold",IF(E127&gt;=800,"🥈 Silver","🥉 Bronze")))</f>
        <v/>
      </c>
      <c r="L127" s="125" t="n">
        <v>40791</v>
      </c>
    </row>
    <row r="128">
      <c r="A128" s="126" t="n">
        <v>12504</v>
      </c>
      <c r="B128" s="126" t="inlineStr">
        <is>
          <t>Germany</t>
        </is>
      </c>
      <c r="C128" s="126" t="n">
        <v>19</v>
      </c>
      <c r="D128" s="126" t="n">
        <v>2</v>
      </c>
      <c r="E128" s="127" t="n">
        <v>482.05</v>
      </c>
      <c r="F128" s="128">
        <f>IF(C128&lt;=30,5,IF(C128&lt;=60,4,IF(C128&lt;=120,3,IF(C128&lt;=200,2,1))))</f>
        <v/>
      </c>
      <c r="G128" s="128">
        <f>IF(D128&gt;=20,5,IF(D128&gt;=10,4,IF(D128&gt;=5,3,IF(D128&gt;=2,2,1))))</f>
        <v/>
      </c>
      <c r="H128" s="128">
        <f>IF(E128&gt;=5000,5,IF(E128&gt;=2000,4,IF(E128&gt;=800,3,IF(E128&gt;=300,2,1))))</f>
        <v/>
      </c>
      <c r="I128" s="126">
        <f>TEXT(F128,"0")&amp;TEXT(G128,"0")&amp;TEXT(H128,"0")</f>
        <v/>
      </c>
      <c r="J128" s="126">
        <f>IFERROR(XLOOKUP(I128,'Segment Map'!A:A,'Segment Map'!B:B,"Need Attention"),"Need Attention")</f>
        <v/>
      </c>
      <c r="K128" s="126">
        <f>IF(E128&gt;=5000,"🏆 Platinum",IF(E128&gt;=2000,"🥇 Gold",IF(E128&gt;=800,"🥈 Silver","🥉 Bronze")))</f>
        <v/>
      </c>
      <c r="L128" s="129" t="n">
        <v>40868</v>
      </c>
    </row>
    <row r="129">
      <c r="A129" s="122" t="n">
        <v>12506</v>
      </c>
      <c r="B129" s="122" t="inlineStr">
        <is>
          <t>France</t>
        </is>
      </c>
      <c r="C129" s="122" t="n">
        <v>233</v>
      </c>
      <c r="D129" s="122" t="n">
        <v>1</v>
      </c>
      <c r="E129" s="123" t="n">
        <v>73.5</v>
      </c>
      <c r="F129" s="124">
        <f>IF(C129&lt;=30,5,IF(C129&lt;=60,4,IF(C129&lt;=120,3,IF(C129&lt;=200,2,1))))</f>
        <v/>
      </c>
      <c r="G129" s="124">
        <f>IF(D129&gt;=20,5,IF(D129&gt;=10,4,IF(D129&gt;=5,3,IF(D129&gt;=2,2,1))))</f>
        <v/>
      </c>
      <c r="H129" s="124">
        <f>IF(E129&gt;=5000,5,IF(E129&gt;=2000,4,IF(E129&gt;=800,3,IF(E129&gt;=300,2,1))))</f>
        <v/>
      </c>
      <c r="I129" s="122">
        <f>TEXT(F129,"0")&amp;TEXT(G129,"0")&amp;TEXT(H129,"0")</f>
        <v/>
      </c>
      <c r="J129" s="122">
        <f>IFERROR(XLOOKUP(I129,'Segment Map'!A:A,'Segment Map'!B:B,"Need Attention"),"Need Attention")</f>
        <v/>
      </c>
      <c r="K129" s="122">
        <f>IF(E129&gt;=5000,"🏆 Platinum",IF(E129&gt;=2000,"🥇 Gold",IF(E129&gt;=800,"🥈 Silver","🥉 Bronze")))</f>
        <v/>
      </c>
      <c r="L129" s="125" t="n">
        <v>40654</v>
      </c>
    </row>
    <row r="130">
      <c r="A130" s="126" t="n">
        <v>12507</v>
      </c>
      <c r="B130" s="126" t="inlineStr">
        <is>
          <t>Spain</t>
        </is>
      </c>
      <c r="C130" s="126" t="n">
        <v>135</v>
      </c>
      <c r="D130" s="126" t="n">
        <v>3</v>
      </c>
      <c r="E130" s="127" t="n">
        <v>1304.81</v>
      </c>
      <c r="F130" s="128">
        <f>IF(C130&lt;=30,5,IF(C130&lt;=60,4,IF(C130&lt;=120,3,IF(C130&lt;=200,2,1))))</f>
        <v/>
      </c>
      <c r="G130" s="128">
        <f>IF(D130&gt;=20,5,IF(D130&gt;=10,4,IF(D130&gt;=5,3,IF(D130&gt;=2,2,1))))</f>
        <v/>
      </c>
      <c r="H130" s="128">
        <f>IF(E130&gt;=5000,5,IF(E130&gt;=2000,4,IF(E130&gt;=800,3,IF(E130&gt;=300,2,1))))</f>
        <v/>
      </c>
      <c r="I130" s="126">
        <f>TEXT(F130,"0")&amp;TEXT(G130,"0")&amp;TEXT(H130,"0")</f>
        <v/>
      </c>
      <c r="J130" s="126">
        <f>IFERROR(XLOOKUP(I130,'Segment Map'!A:A,'Segment Map'!B:B,"Need Attention"),"Need Attention")</f>
        <v/>
      </c>
      <c r="K130" s="126">
        <f>IF(E130&gt;=5000,"🏆 Platinum",IF(E130&gt;=2000,"🥇 Gold",IF(E130&gt;=800,"🥈 Silver","🥉 Bronze")))</f>
        <v/>
      </c>
      <c r="L130" s="129" t="n">
        <v>40752</v>
      </c>
    </row>
    <row r="131">
      <c r="A131" s="122" t="n">
        <v>12508</v>
      </c>
      <c r="B131" s="122" t="inlineStr">
        <is>
          <t>France</t>
        </is>
      </c>
      <c r="C131" s="122" t="n">
        <v>27</v>
      </c>
      <c r="D131" s="122" t="n">
        <v>2</v>
      </c>
      <c r="E131" s="123" t="n">
        <v>398.27</v>
      </c>
      <c r="F131" s="124">
        <f>IF(C131&lt;=30,5,IF(C131&lt;=60,4,IF(C131&lt;=120,3,IF(C131&lt;=200,2,1))))</f>
        <v/>
      </c>
      <c r="G131" s="124">
        <f>IF(D131&gt;=20,5,IF(D131&gt;=10,4,IF(D131&gt;=5,3,IF(D131&gt;=2,2,1))))</f>
        <v/>
      </c>
      <c r="H131" s="124">
        <f>IF(E131&gt;=5000,5,IF(E131&gt;=2000,4,IF(E131&gt;=800,3,IF(E131&gt;=300,2,1))))</f>
        <v/>
      </c>
      <c r="I131" s="122">
        <f>TEXT(F131,"0")&amp;TEXT(G131,"0")&amp;TEXT(H131,"0")</f>
        <v/>
      </c>
      <c r="J131" s="122">
        <f>IFERROR(XLOOKUP(I131,'Segment Map'!A:A,'Segment Map'!B:B,"Need Attention"),"Need Attention")</f>
        <v/>
      </c>
      <c r="K131" s="122">
        <f>IF(E131&gt;=5000,"🏆 Platinum",IF(E131&gt;=2000,"🥇 Gold",IF(E131&gt;=800,"🥈 Silver","🥉 Bronze")))</f>
        <v/>
      </c>
      <c r="L131" s="125" t="n">
        <v>40860</v>
      </c>
    </row>
    <row r="132">
      <c r="A132" s="126" t="n">
        <v>12509</v>
      </c>
      <c r="B132" s="126" t="inlineStr">
        <is>
          <t>France</t>
        </is>
      </c>
      <c r="C132" s="126" t="n">
        <v>285</v>
      </c>
      <c r="D132" s="126" t="n">
        <v>1</v>
      </c>
      <c r="E132" s="127" t="n">
        <v>176.5</v>
      </c>
      <c r="F132" s="128">
        <f>IF(C132&lt;=30,5,IF(C132&lt;=60,4,IF(C132&lt;=120,3,IF(C132&lt;=200,2,1))))</f>
        <v/>
      </c>
      <c r="G132" s="128">
        <f>IF(D132&gt;=20,5,IF(D132&gt;=10,4,IF(D132&gt;=5,3,IF(D132&gt;=2,2,1))))</f>
        <v/>
      </c>
      <c r="H132" s="128">
        <f>IF(E132&gt;=5000,5,IF(E132&gt;=2000,4,IF(E132&gt;=800,3,IF(E132&gt;=300,2,1))))</f>
        <v/>
      </c>
      <c r="I132" s="126">
        <f>TEXT(F132,"0")&amp;TEXT(G132,"0")&amp;TEXT(H132,"0")</f>
        <v/>
      </c>
      <c r="J132" s="126">
        <f>IFERROR(XLOOKUP(I132,'Segment Map'!A:A,'Segment Map'!B:B,"Need Attention"),"Need Attention")</f>
        <v/>
      </c>
      <c r="K132" s="126">
        <f>IF(E132&gt;=5000,"🏆 Platinum",IF(E132&gt;=2000,"🥇 Gold",IF(E132&gt;=800,"🥈 Silver","🥉 Bronze")))</f>
        <v/>
      </c>
      <c r="L132" s="129" t="n">
        <v>40602</v>
      </c>
    </row>
    <row r="133">
      <c r="A133" s="122" t="n">
        <v>12510</v>
      </c>
      <c r="B133" s="122" t="inlineStr">
        <is>
          <t>Spain</t>
        </is>
      </c>
      <c r="C133" s="122" t="n">
        <v>143</v>
      </c>
      <c r="D133" s="122" t="n">
        <v>2</v>
      </c>
      <c r="E133" s="123" t="n">
        <v>982.5700000000001</v>
      </c>
      <c r="F133" s="124">
        <f>IF(C133&lt;=30,5,IF(C133&lt;=60,4,IF(C133&lt;=120,3,IF(C133&lt;=200,2,1))))</f>
        <v/>
      </c>
      <c r="G133" s="124">
        <f>IF(D133&gt;=20,5,IF(D133&gt;=10,4,IF(D133&gt;=5,3,IF(D133&gt;=2,2,1))))</f>
        <v/>
      </c>
      <c r="H133" s="124">
        <f>IF(E133&gt;=5000,5,IF(E133&gt;=2000,4,IF(E133&gt;=800,3,IF(E133&gt;=300,2,1))))</f>
        <v/>
      </c>
      <c r="I133" s="122">
        <f>TEXT(F133,"0")&amp;TEXT(G133,"0")&amp;TEXT(H133,"0")</f>
        <v/>
      </c>
      <c r="J133" s="122">
        <f>IFERROR(XLOOKUP(I133,'Segment Map'!A:A,'Segment Map'!B:B,"Need Attention"),"Need Attention")</f>
        <v/>
      </c>
      <c r="K133" s="122">
        <f>IF(E133&gt;=5000,"🏆 Platinum",IF(E133&gt;=2000,"🥇 Gold",IF(E133&gt;=800,"🥈 Silver","🥉 Bronze")))</f>
        <v/>
      </c>
      <c r="L133" s="125" t="n">
        <v>40744</v>
      </c>
    </row>
    <row r="134">
      <c r="A134" s="126" t="n">
        <v>12512</v>
      </c>
      <c r="B134" s="126" t="inlineStr">
        <is>
          <t>Israel</t>
        </is>
      </c>
      <c r="C134" s="126" t="n">
        <v>67</v>
      </c>
      <c r="D134" s="126" t="n">
        <v>2</v>
      </c>
      <c r="E134" s="127" t="n">
        <v>138.03</v>
      </c>
      <c r="F134" s="128">
        <f>IF(C134&lt;=30,5,IF(C134&lt;=60,4,IF(C134&lt;=120,3,IF(C134&lt;=200,2,1))))</f>
        <v/>
      </c>
      <c r="G134" s="128">
        <f>IF(D134&gt;=20,5,IF(D134&gt;=10,4,IF(D134&gt;=5,3,IF(D134&gt;=2,2,1))))</f>
        <v/>
      </c>
      <c r="H134" s="128">
        <f>IF(E134&gt;=5000,5,IF(E134&gt;=2000,4,IF(E134&gt;=800,3,IF(E134&gt;=300,2,1))))</f>
        <v/>
      </c>
      <c r="I134" s="126">
        <f>TEXT(F134,"0")&amp;TEXT(G134,"0")&amp;TEXT(H134,"0")</f>
        <v/>
      </c>
      <c r="J134" s="126">
        <f>IFERROR(XLOOKUP(I134,'Segment Map'!A:A,'Segment Map'!B:B,"Need Attention"),"Need Attention")</f>
        <v/>
      </c>
      <c r="K134" s="126">
        <f>IF(E134&gt;=5000,"🏆 Platinum",IF(E134&gt;=2000,"🥇 Gold",IF(E134&gt;=800,"🥈 Silver","🥉 Bronze")))</f>
        <v/>
      </c>
      <c r="L134" s="129" t="n">
        <v>40820</v>
      </c>
    </row>
    <row r="135">
      <c r="A135" s="122" t="n">
        <v>12513</v>
      </c>
      <c r="B135" s="122" t="inlineStr">
        <is>
          <t>France</t>
        </is>
      </c>
      <c r="C135" s="122" t="n">
        <v>113</v>
      </c>
      <c r="D135" s="122" t="n">
        <v>1</v>
      </c>
      <c r="E135" s="123" t="n">
        <v>612.29</v>
      </c>
      <c r="F135" s="124">
        <f>IF(C135&lt;=30,5,IF(C135&lt;=60,4,IF(C135&lt;=120,3,IF(C135&lt;=200,2,1))))</f>
        <v/>
      </c>
      <c r="G135" s="124">
        <f>IF(D135&gt;=20,5,IF(D135&gt;=10,4,IF(D135&gt;=5,3,IF(D135&gt;=2,2,1))))</f>
        <v/>
      </c>
      <c r="H135" s="124">
        <f>IF(E135&gt;=5000,5,IF(E135&gt;=2000,4,IF(E135&gt;=800,3,IF(E135&gt;=300,2,1))))</f>
        <v/>
      </c>
      <c r="I135" s="122">
        <f>TEXT(F135,"0")&amp;TEXT(G135,"0")&amp;TEXT(H135,"0")</f>
        <v/>
      </c>
      <c r="J135" s="122">
        <f>IFERROR(XLOOKUP(I135,'Segment Map'!A:A,'Segment Map'!B:B,"Need Attention"),"Need Attention")</f>
        <v/>
      </c>
      <c r="K135" s="122">
        <f>IF(E135&gt;=5000,"🏆 Platinum",IF(E135&gt;=2000,"🥇 Gold",IF(E135&gt;=800,"🥈 Silver","🥉 Bronze")))</f>
        <v/>
      </c>
      <c r="L135" s="125" t="n">
        <v>40774</v>
      </c>
    </row>
    <row r="136">
      <c r="A136" s="126" t="n">
        <v>12514</v>
      </c>
      <c r="B136" s="126" t="inlineStr">
        <is>
          <t>Italy</t>
        </is>
      </c>
      <c r="C136" s="126" t="n">
        <v>268</v>
      </c>
      <c r="D136" s="126" t="n">
        <v>1</v>
      </c>
      <c r="E136" s="127" t="n">
        <v>1017.68</v>
      </c>
      <c r="F136" s="128">
        <f>IF(C136&lt;=30,5,IF(C136&lt;=60,4,IF(C136&lt;=120,3,IF(C136&lt;=200,2,1))))</f>
        <v/>
      </c>
      <c r="G136" s="128">
        <f>IF(D136&gt;=20,5,IF(D136&gt;=10,4,IF(D136&gt;=5,3,IF(D136&gt;=2,2,1))))</f>
        <v/>
      </c>
      <c r="H136" s="128">
        <f>IF(E136&gt;=5000,5,IF(E136&gt;=2000,4,IF(E136&gt;=800,3,IF(E136&gt;=300,2,1))))</f>
        <v/>
      </c>
      <c r="I136" s="126">
        <f>TEXT(F136,"0")&amp;TEXT(G136,"0")&amp;TEXT(H136,"0")</f>
        <v/>
      </c>
      <c r="J136" s="126">
        <f>IFERROR(XLOOKUP(I136,'Segment Map'!A:A,'Segment Map'!B:B,"Need Attention"),"Need Attention")</f>
        <v/>
      </c>
      <c r="K136" s="126">
        <f>IF(E136&gt;=5000,"🏆 Platinum",IF(E136&gt;=2000,"🥇 Gold",IF(E136&gt;=800,"🥈 Silver","🥉 Bronze")))</f>
        <v/>
      </c>
      <c r="L136" s="129" t="n">
        <v>40619</v>
      </c>
    </row>
    <row r="137">
      <c r="A137" s="122" t="n">
        <v>12515</v>
      </c>
      <c r="B137" s="122" t="inlineStr">
        <is>
          <t>Italy</t>
        </is>
      </c>
      <c r="C137" s="122" t="n">
        <v>354</v>
      </c>
      <c r="D137" s="122" t="n">
        <v>1</v>
      </c>
      <c r="E137" s="123" t="n">
        <v>383.7</v>
      </c>
      <c r="F137" s="124">
        <f>IF(C137&lt;=30,5,IF(C137&lt;=60,4,IF(C137&lt;=120,3,IF(C137&lt;=200,2,1))))</f>
        <v/>
      </c>
      <c r="G137" s="124">
        <f>IF(D137&gt;=20,5,IF(D137&gt;=10,4,IF(D137&gt;=5,3,IF(D137&gt;=2,2,1))))</f>
        <v/>
      </c>
      <c r="H137" s="124">
        <f>IF(E137&gt;=5000,5,IF(E137&gt;=2000,4,IF(E137&gt;=800,3,IF(E137&gt;=300,2,1))))</f>
        <v/>
      </c>
      <c r="I137" s="122">
        <f>TEXT(F137,"0")&amp;TEXT(G137,"0")&amp;TEXT(H137,"0")</f>
        <v/>
      </c>
      <c r="J137" s="122">
        <f>IFERROR(XLOOKUP(I137,'Segment Map'!A:A,'Segment Map'!B:B,"Need Attention"),"Need Attention")</f>
        <v/>
      </c>
      <c r="K137" s="122">
        <f>IF(E137&gt;=5000,"🏆 Platinum",IF(E137&gt;=2000,"🥇 Gold",IF(E137&gt;=800,"🥈 Silver","🥉 Bronze")))</f>
        <v/>
      </c>
      <c r="L137" s="125" t="n">
        <v>40533</v>
      </c>
    </row>
    <row r="138">
      <c r="A138" s="126" t="n">
        <v>12516</v>
      </c>
      <c r="B138" s="126" t="inlineStr">
        <is>
          <t>Germany</t>
        </is>
      </c>
      <c r="C138" s="126" t="n">
        <v>78</v>
      </c>
      <c r="D138" s="126" t="n">
        <v>2</v>
      </c>
      <c r="E138" s="127" t="n">
        <v>1312.06</v>
      </c>
      <c r="F138" s="128">
        <f>IF(C138&lt;=30,5,IF(C138&lt;=60,4,IF(C138&lt;=120,3,IF(C138&lt;=200,2,1))))</f>
        <v/>
      </c>
      <c r="G138" s="128">
        <f>IF(D138&gt;=20,5,IF(D138&gt;=10,4,IF(D138&gt;=5,3,IF(D138&gt;=2,2,1))))</f>
        <v/>
      </c>
      <c r="H138" s="128">
        <f>IF(E138&gt;=5000,5,IF(E138&gt;=2000,4,IF(E138&gt;=800,3,IF(E138&gt;=300,2,1))))</f>
        <v/>
      </c>
      <c r="I138" s="126">
        <f>TEXT(F138,"0")&amp;TEXT(G138,"0")&amp;TEXT(H138,"0")</f>
        <v/>
      </c>
      <c r="J138" s="126">
        <f>IFERROR(XLOOKUP(I138,'Segment Map'!A:A,'Segment Map'!B:B,"Need Attention"),"Need Attention")</f>
        <v/>
      </c>
      <c r="K138" s="126">
        <f>IF(E138&gt;=5000,"🏆 Platinum",IF(E138&gt;=2000,"🥇 Gold",IF(E138&gt;=800,"🥈 Silver","🥉 Bronze")))</f>
        <v/>
      </c>
      <c r="L138" s="129" t="n">
        <v>40809</v>
      </c>
    </row>
    <row r="139">
      <c r="A139" s="122" t="n">
        <v>12517</v>
      </c>
      <c r="B139" s="122" t="inlineStr">
        <is>
          <t>Germany</t>
        </is>
      </c>
      <c r="C139" s="122" t="n">
        <v>29</v>
      </c>
      <c r="D139" s="122" t="n">
        <v>5</v>
      </c>
      <c r="E139" s="123" t="n">
        <v>2502.84</v>
      </c>
      <c r="F139" s="124">
        <f>IF(C139&lt;=30,5,IF(C139&lt;=60,4,IF(C139&lt;=120,3,IF(C139&lt;=200,2,1))))</f>
        <v/>
      </c>
      <c r="G139" s="124">
        <f>IF(D139&gt;=20,5,IF(D139&gt;=10,4,IF(D139&gt;=5,3,IF(D139&gt;=2,2,1))))</f>
        <v/>
      </c>
      <c r="H139" s="124">
        <f>IF(E139&gt;=5000,5,IF(E139&gt;=2000,4,IF(E139&gt;=800,3,IF(E139&gt;=300,2,1))))</f>
        <v/>
      </c>
      <c r="I139" s="122">
        <f>TEXT(F139,"0")&amp;TEXT(G139,"0")&amp;TEXT(H139,"0")</f>
        <v/>
      </c>
      <c r="J139" s="122">
        <f>IFERROR(XLOOKUP(I139,'Segment Map'!A:A,'Segment Map'!B:B,"Need Attention"),"Need Attention")</f>
        <v/>
      </c>
      <c r="K139" s="122">
        <f>IF(E139&gt;=5000,"🏆 Platinum",IF(E139&gt;=2000,"🥇 Gold",IF(E139&gt;=800,"🥈 Silver","🥉 Bronze")))</f>
        <v/>
      </c>
      <c r="L139" s="125" t="n">
        <v>40858</v>
      </c>
    </row>
    <row r="140">
      <c r="A140" s="126" t="n">
        <v>12518</v>
      </c>
      <c r="B140" s="126" t="inlineStr">
        <is>
          <t>Germany</t>
        </is>
      </c>
      <c r="C140" s="126" t="n">
        <v>1</v>
      </c>
      <c r="D140" s="126" t="n">
        <v>5</v>
      </c>
      <c r="E140" s="127" t="n">
        <v>2056.89</v>
      </c>
      <c r="F140" s="128">
        <f>IF(C140&lt;=30,5,IF(C140&lt;=60,4,IF(C140&lt;=120,3,IF(C140&lt;=200,2,1))))</f>
        <v/>
      </c>
      <c r="G140" s="128">
        <f>IF(D140&gt;=20,5,IF(D140&gt;=10,4,IF(D140&gt;=5,3,IF(D140&gt;=2,2,1))))</f>
        <v/>
      </c>
      <c r="H140" s="128">
        <f>IF(E140&gt;=5000,5,IF(E140&gt;=2000,4,IF(E140&gt;=800,3,IF(E140&gt;=300,2,1))))</f>
        <v/>
      </c>
      <c r="I140" s="126">
        <f>TEXT(F140,"0")&amp;TEXT(G140,"0")&amp;TEXT(H140,"0")</f>
        <v/>
      </c>
      <c r="J140" s="126">
        <f>IFERROR(XLOOKUP(I140,'Segment Map'!A:A,'Segment Map'!B:B,"Need Attention"),"Need Attention")</f>
        <v/>
      </c>
      <c r="K140" s="126">
        <f>IF(E140&gt;=5000,"🏆 Platinum",IF(E140&gt;=2000,"🥇 Gold",IF(E140&gt;=800,"🥈 Silver","🥉 Bronze")))</f>
        <v/>
      </c>
      <c r="L140" s="129" t="n">
        <v>40886</v>
      </c>
    </row>
    <row r="141">
      <c r="A141" s="122" t="n">
        <v>12519</v>
      </c>
      <c r="B141" s="122" t="inlineStr">
        <is>
          <t>Germany</t>
        </is>
      </c>
      <c r="C141" s="122" t="n">
        <v>64</v>
      </c>
      <c r="D141" s="122" t="n">
        <v>1</v>
      </c>
      <c r="E141" s="123" t="n">
        <v>340.84</v>
      </c>
      <c r="F141" s="124">
        <f>IF(C141&lt;=30,5,IF(C141&lt;=60,4,IF(C141&lt;=120,3,IF(C141&lt;=200,2,1))))</f>
        <v/>
      </c>
      <c r="G141" s="124">
        <f>IF(D141&gt;=20,5,IF(D141&gt;=10,4,IF(D141&gt;=5,3,IF(D141&gt;=2,2,1))))</f>
        <v/>
      </c>
      <c r="H141" s="124">
        <f>IF(E141&gt;=5000,5,IF(E141&gt;=2000,4,IF(E141&gt;=800,3,IF(E141&gt;=300,2,1))))</f>
        <v/>
      </c>
      <c r="I141" s="122">
        <f>TEXT(F141,"0")&amp;TEXT(G141,"0")&amp;TEXT(H141,"0")</f>
        <v/>
      </c>
      <c r="J141" s="122">
        <f>IFERROR(XLOOKUP(I141,'Segment Map'!A:A,'Segment Map'!B:B,"Need Attention"),"Need Attention")</f>
        <v/>
      </c>
      <c r="K141" s="122">
        <f>IF(E141&gt;=5000,"🏆 Platinum",IF(E141&gt;=2000,"🥇 Gold",IF(E141&gt;=800,"🥈 Silver","🥉 Bronze")))</f>
        <v/>
      </c>
      <c r="L141" s="125" t="n">
        <v>40823</v>
      </c>
    </row>
    <row r="142">
      <c r="A142" s="126" t="n">
        <v>12520</v>
      </c>
      <c r="B142" s="126" t="inlineStr">
        <is>
          <t>Germany</t>
        </is>
      </c>
      <c r="C142" s="126" t="n">
        <v>80</v>
      </c>
      <c r="D142" s="126" t="n">
        <v>5</v>
      </c>
      <c r="E142" s="127" t="n">
        <v>2634.26</v>
      </c>
      <c r="F142" s="128">
        <f>IF(C142&lt;=30,5,IF(C142&lt;=60,4,IF(C142&lt;=120,3,IF(C142&lt;=200,2,1))))</f>
        <v/>
      </c>
      <c r="G142" s="128">
        <f>IF(D142&gt;=20,5,IF(D142&gt;=10,4,IF(D142&gt;=5,3,IF(D142&gt;=2,2,1))))</f>
        <v/>
      </c>
      <c r="H142" s="128">
        <f>IF(E142&gt;=5000,5,IF(E142&gt;=2000,4,IF(E142&gt;=800,3,IF(E142&gt;=300,2,1))))</f>
        <v/>
      </c>
      <c r="I142" s="126">
        <f>TEXT(F142,"0")&amp;TEXT(G142,"0")&amp;TEXT(H142,"0")</f>
        <v/>
      </c>
      <c r="J142" s="126">
        <f>IFERROR(XLOOKUP(I142,'Segment Map'!A:A,'Segment Map'!B:B,"Need Attention"),"Need Attention")</f>
        <v/>
      </c>
      <c r="K142" s="126">
        <f>IF(E142&gt;=5000,"🏆 Platinum",IF(E142&gt;=2000,"🥇 Gold",IF(E142&gt;=800,"🥈 Silver","🥉 Bronze")))</f>
        <v/>
      </c>
      <c r="L142" s="129" t="n">
        <v>40807</v>
      </c>
    </row>
    <row r="143">
      <c r="A143" s="122" t="n">
        <v>12521</v>
      </c>
      <c r="B143" s="122" t="inlineStr">
        <is>
          <t>Germany</t>
        </is>
      </c>
      <c r="C143" s="122" t="n">
        <v>143</v>
      </c>
      <c r="D143" s="122" t="n">
        <v>1</v>
      </c>
      <c r="E143" s="123" t="n">
        <v>599.6799999999999</v>
      </c>
      <c r="F143" s="124">
        <f>IF(C143&lt;=30,5,IF(C143&lt;=60,4,IF(C143&lt;=120,3,IF(C143&lt;=200,2,1))))</f>
        <v/>
      </c>
      <c r="G143" s="124">
        <f>IF(D143&gt;=20,5,IF(D143&gt;=10,4,IF(D143&gt;=5,3,IF(D143&gt;=2,2,1))))</f>
        <v/>
      </c>
      <c r="H143" s="124">
        <f>IF(E143&gt;=5000,5,IF(E143&gt;=2000,4,IF(E143&gt;=800,3,IF(E143&gt;=300,2,1))))</f>
        <v/>
      </c>
      <c r="I143" s="122">
        <f>TEXT(F143,"0")&amp;TEXT(G143,"0")&amp;TEXT(H143,"0")</f>
        <v/>
      </c>
      <c r="J143" s="122">
        <f>IFERROR(XLOOKUP(I143,'Segment Map'!A:A,'Segment Map'!B:B,"Need Attention"),"Need Attention")</f>
        <v/>
      </c>
      <c r="K143" s="122">
        <f>IF(E143&gt;=5000,"🏆 Platinum",IF(E143&gt;=2000,"🥇 Gold",IF(E143&gt;=800,"🥈 Silver","🥉 Bronze")))</f>
        <v/>
      </c>
      <c r="L143" s="125" t="n">
        <v>40744</v>
      </c>
    </row>
    <row r="144">
      <c r="A144" s="126" t="n">
        <v>12522</v>
      </c>
      <c r="B144" s="126" t="inlineStr">
        <is>
          <t>Germany</t>
        </is>
      </c>
      <c r="C144" s="126" t="n">
        <v>40</v>
      </c>
      <c r="D144" s="126" t="n">
        <v>2</v>
      </c>
      <c r="E144" s="127" t="n">
        <v>192.72</v>
      </c>
      <c r="F144" s="128">
        <f>IF(C144&lt;=30,5,IF(C144&lt;=60,4,IF(C144&lt;=120,3,IF(C144&lt;=200,2,1))))</f>
        <v/>
      </c>
      <c r="G144" s="128">
        <f>IF(D144&gt;=20,5,IF(D144&gt;=10,4,IF(D144&gt;=5,3,IF(D144&gt;=2,2,1))))</f>
        <v/>
      </c>
      <c r="H144" s="128">
        <f>IF(E144&gt;=5000,5,IF(E144&gt;=2000,4,IF(E144&gt;=800,3,IF(E144&gt;=300,2,1))))</f>
        <v/>
      </c>
      <c r="I144" s="126">
        <f>TEXT(F144,"0")&amp;TEXT(G144,"0")&amp;TEXT(H144,"0")</f>
        <v/>
      </c>
      <c r="J144" s="126">
        <f>IFERROR(XLOOKUP(I144,'Segment Map'!A:A,'Segment Map'!B:B,"Need Attention"),"Need Attention")</f>
        <v/>
      </c>
      <c r="K144" s="126">
        <f>IF(E144&gt;=5000,"🏆 Platinum",IF(E144&gt;=2000,"🥇 Gold",IF(E144&gt;=800,"🥈 Silver","🥉 Bronze")))</f>
        <v/>
      </c>
      <c r="L144" s="129" t="n">
        <v>40847</v>
      </c>
    </row>
    <row r="145">
      <c r="A145" s="122" t="n">
        <v>12523</v>
      </c>
      <c r="B145" s="122" t="inlineStr">
        <is>
          <t>France</t>
        </is>
      </c>
      <c r="C145" s="122" t="n">
        <v>20</v>
      </c>
      <c r="D145" s="122" t="n">
        <v>11</v>
      </c>
      <c r="E145" s="123" t="n">
        <v>1789.77</v>
      </c>
      <c r="F145" s="124">
        <f>IF(C145&lt;=30,5,IF(C145&lt;=60,4,IF(C145&lt;=120,3,IF(C145&lt;=200,2,1))))</f>
        <v/>
      </c>
      <c r="G145" s="124">
        <f>IF(D145&gt;=20,5,IF(D145&gt;=10,4,IF(D145&gt;=5,3,IF(D145&gt;=2,2,1))))</f>
        <v/>
      </c>
      <c r="H145" s="124">
        <f>IF(E145&gt;=5000,5,IF(E145&gt;=2000,4,IF(E145&gt;=800,3,IF(E145&gt;=300,2,1))))</f>
        <v/>
      </c>
      <c r="I145" s="122">
        <f>TEXT(F145,"0")&amp;TEXT(G145,"0")&amp;TEXT(H145,"0")</f>
        <v/>
      </c>
      <c r="J145" s="122">
        <f>IFERROR(XLOOKUP(I145,'Segment Map'!A:A,'Segment Map'!B:B,"Need Attention"),"Need Attention")</f>
        <v/>
      </c>
      <c r="K145" s="122">
        <f>IF(E145&gt;=5000,"🏆 Platinum",IF(E145&gt;=2000,"🥇 Gold",IF(E145&gt;=800,"🥈 Silver","🥉 Bronze")))</f>
        <v/>
      </c>
      <c r="L145" s="125" t="n">
        <v>40867</v>
      </c>
    </row>
    <row r="146">
      <c r="A146" s="126" t="n">
        <v>12524</v>
      </c>
      <c r="B146" s="126" t="inlineStr">
        <is>
          <t>Germany</t>
        </is>
      </c>
      <c r="C146" s="126" t="n">
        <v>10</v>
      </c>
      <c r="D146" s="126" t="n">
        <v>8</v>
      </c>
      <c r="E146" s="127" t="n">
        <v>4485.72</v>
      </c>
      <c r="F146" s="128">
        <f>IF(C146&lt;=30,5,IF(C146&lt;=60,4,IF(C146&lt;=120,3,IF(C146&lt;=200,2,1))))</f>
        <v/>
      </c>
      <c r="G146" s="128">
        <f>IF(D146&gt;=20,5,IF(D146&gt;=10,4,IF(D146&gt;=5,3,IF(D146&gt;=2,2,1))))</f>
        <v/>
      </c>
      <c r="H146" s="128">
        <f>IF(E146&gt;=5000,5,IF(E146&gt;=2000,4,IF(E146&gt;=800,3,IF(E146&gt;=300,2,1))))</f>
        <v/>
      </c>
      <c r="I146" s="126">
        <f>TEXT(F146,"0")&amp;TEXT(G146,"0")&amp;TEXT(H146,"0")</f>
        <v/>
      </c>
      <c r="J146" s="126">
        <f>IFERROR(XLOOKUP(I146,'Segment Map'!A:A,'Segment Map'!B:B,"Need Attention"),"Need Attention")</f>
        <v/>
      </c>
      <c r="K146" s="126">
        <f>IF(E146&gt;=5000,"🏆 Platinum",IF(E146&gt;=2000,"🥇 Gold",IF(E146&gt;=800,"🥈 Silver","🥉 Bronze")))</f>
        <v/>
      </c>
      <c r="L146" s="129" t="n">
        <v>40877</v>
      </c>
    </row>
    <row r="147">
      <c r="A147" s="122" t="n">
        <v>12526</v>
      </c>
      <c r="B147" s="122" t="inlineStr">
        <is>
          <t>Germany</t>
        </is>
      </c>
      <c r="C147" s="122" t="n">
        <v>1</v>
      </c>
      <c r="D147" s="122" t="n">
        <v>3</v>
      </c>
      <c r="E147" s="123" t="n">
        <v>1316.66</v>
      </c>
      <c r="F147" s="124">
        <f>IF(C147&lt;=30,5,IF(C147&lt;=60,4,IF(C147&lt;=120,3,IF(C147&lt;=200,2,1))))</f>
        <v/>
      </c>
      <c r="G147" s="124">
        <f>IF(D147&gt;=20,5,IF(D147&gt;=10,4,IF(D147&gt;=5,3,IF(D147&gt;=2,2,1))))</f>
        <v/>
      </c>
      <c r="H147" s="124">
        <f>IF(E147&gt;=5000,5,IF(E147&gt;=2000,4,IF(E147&gt;=800,3,IF(E147&gt;=300,2,1))))</f>
        <v/>
      </c>
      <c r="I147" s="122">
        <f>TEXT(F147,"0")&amp;TEXT(G147,"0")&amp;TEXT(H147,"0")</f>
        <v/>
      </c>
      <c r="J147" s="122">
        <f>IFERROR(XLOOKUP(I147,'Segment Map'!A:A,'Segment Map'!B:B,"Need Attention"),"Need Attention")</f>
        <v/>
      </c>
      <c r="K147" s="122">
        <f>IF(E147&gt;=5000,"🏆 Platinum",IF(E147&gt;=2000,"🥇 Gold",IF(E147&gt;=800,"🥈 Silver","🥉 Bronze")))</f>
        <v/>
      </c>
      <c r="L147" s="125" t="n">
        <v>40886</v>
      </c>
    </row>
    <row r="148">
      <c r="A148" s="126" t="n">
        <v>12527</v>
      </c>
      <c r="B148" s="126" t="inlineStr">
        <is>
          <t>Germany</t>
        </is>
      </c>
      <c r="C148" s="126" t="n">
        <v>82</v>
      </c>
      <c r="D148" s="126" t="n">
        <v>3</v>
      </c>
      <c r="E148" s="127" t="n">
        <v>348.71</v>
      </c>
      <c r="F148" s="128">
        <f>IF(C148&lt;=30,5,IF(C148&lt;=60,4,IF(C148&lt;=120,3,IF(C148&lt;=200,2,1))))</f>
        <v/>
      </c>
      <c r="G148" s="128">
        <f>IF(D148&gt;=20,5,IF(D148&gt;=10,4,IF(D148&gt;=5,3,IF(D148&gt;=2,2,1))))</f>
        <v/>
      </c>
      <c r="H148" s="128">
        <f>IF(E148&gt;=5000,5,IF(E148&gt;=2000,4,IF(E148&gt;=800,3,IF(E148&gt;=300,2,1))))</f>
        <v/>
      </c>
      <c r="I148" s="126">
        <f>TEXT(F148,"0")&amp;TEXT(G148,"0")&amp;TEXT(H148,"0")</f>
        <v/>
      </c>
      <c r="J148" s="126">
        <f>IFERROR(XLOOKUP(I148,'Segment Map'!A:A,'Segment Map'!B:B,"Need Attention"),"Need Attention")</f>
        <v/>
      </c>
      <c r="K148" s="126">
        <f>IF(E148&gt;=5000,"🏆 Platinum",IF(E148&gt;=2000,"🥇 Gold",IF(E148&gt;=800,"🥈 Silver","🥉 Bronze")))</f>
        <v/>
      </c>
      <c r="L148" s="129" t="n">
        <v>40805</v>
      </c>
    </row>
    <row r="149">
      <c r="A149" s="122" t="n">
        <v>12528</v>
      </c>
      <c r="B149" s="122" t="inlineStr">
        <is>
          <t>Germany</t>
        </is>
      </c>
      <c r="C149" s="122" t="n">
        <v>10</v>
      </c>
      <c r="D149" s="122" t="n">
        <v>6</v>
      </c>
      <c r="E149" s="123" t="n">
        <v>1933.48</v>
      </c>
      <c r="F149" s="124">
        <f>IF(C149&lt;=30,5,IF(C149&lt;=60,4,IF(C149&lt;=120,3,IF(C149&lt;=200,2,1))))</f>
        <v/>
      </c>
      <c r="G149" s="124">
        <f>IF(D149&gt;=20,5,IF(D149&gt;=10,4,IF(D149&gt;=5,3,IF(D149&gt;=2,2,1))))</f>
        <v/>
      </c>
      <c r="H149" s="124">
        <f>IF(E149&gt;=5000,5,IF(E149&gt;=2000,4,IF(E149&gt;=800,3,IF(E149&gt;=300,2,1))))</f>
        <v/>
      </c>
      <c r="I149" s="122">
        <f>TEXT(F149,"0")&amp;TEXT(G149,"0")&amp;TEXT(H149,"0")</f>
        <v/>
      </c>
      <c r="J149" s="122">
        <f>IFERROR(XLOOKUP(I149,'Segment Map'!A:A,'Segment Map'!B:B,"Need Attention"),"Need Attention")</f>
        <v/>
      </c>
      <c r="K149" s="122">
        <f>IF(E149&gt;=5000,"🏆 Platinum",IF(E149&gt;=2000,"🥇 Gold",IF(E149&gt;=800,"🥈 Silver","🥉 Bronze")))</f>
        <v/>
      </c>
      <c r="L149" s="125" t="n">
        <v>40877</v>
      </c>
    </row>
    <row r="150">
      <c r="A150" s="126" t="n">
        <v>12530</v>
      </c>
      <c r="B150" s="126" t="inlineStr">
        <is>
          <t>Germany</t>
        </is>
      </c>
      <c r="C150" s="126" t="n">
        <v>60</v>
      </c>
      <c r="D150" s="126" t="n">
        <v>4</v>
      </c>
      <c r="E150" s="127" t="n">
        <v>1662.28</v>
      </c>
      <c r="F150" s="128">
        <f>IF(C150&lt;=30,5,IF(C150&lt;=60,4,IF(C150&lt;=120,3,IF(C150&lt;=200,2,1))))</f>
        <v/>
      </c>
      <c r="G150" s="128">
        <f>IF(D150&gt;=20,5,IF(D150&gt;=10,4,IF(D150&gt;=5,3,IF(D150&gt;=2,2,1))))</f>
        <v/>
      </c>
      <c r="H150" s="128">
        <f>IF(E150&gt;=5000,5,IF(E150&gt;=2000,4,IF(E150&gt;=800,3,IF(E150&gt;=300,2,1))))</f>
        <v/>
      </c>
      <c r="I150" s="126">
        <f>TEXT(F150,"0")&amp;TEXT(G150,"0")&amp;TEXT(H150,"0")</f>
        <v/>
      </c>
      <c r="J150" s="126">
        <f>IFERROR(XLOOKUP(I150,'Segment Map'!A:A,'Segment Map'!B:B,"Need Attention"),"Need Attention")</f>
        <v/>
      </c>
      <c r="K150" s="126">
        <f>IF(E150&gt;=5000,"🏆 Platinum",IF(E150&gt;=2000,"🥇 Gold",IF(E150&gt;=800,"🥈 Silver","🥉 Bronze")))</f>
        <v/>
      </c>
      <c r="L150" s="129" t="n">
        <v>40827</v>
      </c>
    </row>
    <row r="151">
      <c r="A151" s="122" t="n">
        <v>12531</v>
      </c>
      <c r="B151" s="122" t="inlineStr">
        <is>
          <t>Germany</t>
        </is>
      </c>
      <c r="C151" s="122" t="n">
        <v>15</v>
      </c>
      <c r="D151" s="122" t="n">
        <v>1</v>
      </c>
      <c r="E151" s="123" t="n">
        <v>125.22</v>
      </c>
      <c r="F151" s="124">
        <f>IF(C151&lt;=30,5,IF(C151&lt;=60,4,IF(C151&lt;=120,3,IF(C151&lt;=200,2,1))))</f>
        <v/>
      </c>
      <c r="G151" s="124">
        <f>IF(D151&gt;=20,5,IF(D151&gt;=10,4,IF(D151&gt;=5,3,IF(D151&gt;=2,2,1))))</f>
        <v/>
      </c>
      <c r="H151" s="124">
        <f>IF(E151&gt;=5000,5,IF(E151&gt;=2000,4,IF(E151&gt;=800,3,IF(E151&gt;=300,2,1))))</f>
        <v/>
      </c>
      <c r="I151" s="122">
        <f>TEXT(F151,"0")&amp;TEXT(G151,"0")&amp;TEXT(H151,"0")</f>
        <v/>
      </c>
      <c r="J151" s="122">
        <f>IFERROR(XLOOKUP(I151,'Segment Map'!A:A,'Segment Map'!B:B,"Need Attention"),"Need Attention")</f>
        <v/>
      </c>
      <c r="K151" s="122">
        <f>IF(E151&gt;=5000,"🏆 Platinum",IF(E151&gt;=2000,"🥇 Gold",IF(E151&gt;=800,"🥈 Silver","🥉 Bronze")))</f>
        <v/>
      </c>
      <c r="L151" s="125" t="n">
        <v>40872</v>
      </c>
    </row>
    <row r="152">
      <c r="A152" s="126" t="n">
        <v>12532</v>
      </c>
      <c r="B152" s="126" t="inlineStr">
        <is>
          <t>France</t>
        </is>
      </c>
      <c r="C152" s="126" t="n">
        <v>31</v>
      </c>
      <c r="D152" s="126" t="n">
        <v>1</v>
      </c>
      <c r="E152" s="127" t="n">
        <v>349.83</v>
      </c>
      <c r="F152" s="128">
        <f>IF(C152&lt;=30,5,IF(C152&lt;=60,4,IF(C152&lt;=120,3,IF(C152&lt;=200,2,1))))</f>
        <v/>
      </c>
      <c r="G152" s="128">
        <f>IF(D152&gt;=20,5,IF(D152&gt;=10,4,IF(D152&gt;=5,3,IF(D152&gt;=2,2,1))))</f>
        <v/>
      </c>
      <c r="H152" s="128">
        <f>IF(E152&gt;=5000,5,IF(E152&gt;=2000,4,IF(E152&gt;=800,3,IF(E152&gt;=300,2,1))))</f>
        <v/>
      </c>
      <c r="I152" s="126">
        <f>TEXT(F152,"0")&amp;TEXT(G152,"0")&amp;TEXT(H152,"0")</f>
        <v/>
      </c>
      <c r="J152" s="126">
        <f>IFERROR(XLOOKUP(I152,'Segment Map'!A:A,'Segment Map'!B:B,"Need Attention"),"Need Attention")</f>
        <v/>
      </c>
      <c r="K152" s="126">
        <f>IF(E152&gt;=5000,"🏆 Platinum",IF(E152&gt;=2000,"🥇 Gold",IF(E152&gt;=800,"🥈 Silver","🥉 Bronze")))</f>
        <v/>
      </c>
      <c r="L152" s="129" t="n">
        <v>40856</v>
      </c>
    </row>
    <row r="153">
      <c r="A153" s="122" t="n">
        <v>12534</v>
      </c>
      <c r="B153" s="122" t="inlineStr">
        <is>
          <t>Germany</t>
        </is>
      </c>
      <c r="C153" s="122" t="n">
        <v>131</v>
      </c>
      <c r="D153" s="122" t="n">
        <v>1</v>
      </c>
      <c r="E153" s="123" t="n">
        <v>1089.18</v>
      </c>
      <c r="F153" s="124">
        <f>IF(C153&lt;=30,5,IF(C153&lt;=60,4,IF(C153&lt;=120,3,IF(C153&lt;=200,2,1))))</f>
        <v/>
      </c>
      <c r="G153" s="124">
        <f>IF(D153&gt;=20,5,IF(D153&gt;=10,4,IF(D153&gt;=5,3,IF(D153&gt;=2,2,1))))</f>
        <v/>
      </c>
      <c r="H153" s="124">
        <f>IF(E153&gt;=5000,5,IF(E153&gt;=2000,4,IF(E153&gt;=800,3,IF(E153&gt;=300,2,1))))</f>
        <v/>
      </c>
      <c r="I153" s="122">
        <f>TEXT(F153,"0")&amp;TEXT(G153,"0")&amp;TEXT(H153,"0")</f>
        <v/>
      </c>
      <c r="J153" s="122">
        <f>IFERROR(XLOOKUP(I153,'Segment Map'!A:A,'Segment Map'!B:B,"Need Attention"),"Need Attention")</f>
        <v/>
      </c>
      <c r="K153" s="122">
        <f>IF(E153&gt;=5000,"🏆 Platinum",IF(E153&gt;=2000,"🥇 Gold",IF(E153&gt;=800,"🥈 Silver","🥉 Bronze")))</f>
        <v/>
      </c>
      <c r="L153" s="125" t="n">
        <v>40756</v>
      </c>
    </row>
    <row r="154">
      <c r="A154" s="126" t="n">
        <v>12535</v>
      </c>
      <c r="B154" s="126" t="inlineStr">
        <is>
          <t>France</t>
        </is>
      </c>
      <c r="C154" s="126" t="n">
        <v>92</v>
      </c>
      <c r="D154" s="126" t="n">
        <v>2</v>
      </c>
      <c r="E154" s="127" t="n">
        <v>716.35</v>
      </c>
      <c r="F154" s="128">
        <f>IF(C154&lt;=30,5,IF(C154&lt;=60,4,IF(C154&lt;=120,3,IF(C154&lt;=200,2,1))))</f>
        <v/>
      </c>
      <c r="G154" s="128">
        <f>IF(D154&gt;=20,5,IF(D154&gt;=10,4,IF(D154&gt;=5,3,IF(D154&gt;=2,2,1))))</f>
        <v/>
      </c>
      <c r="H154" s="128">
        <f>IF(E154&gt;=5000,5,IF(E154&gt;=2000,4,IF(E154&gt;=800,3,IF(E154&gt;=300,2,1))))</f>
        <v/>
      </c>
      <c r="I154" s="126">
        <f>TEXT(F154,"0")&amp;TEXT(G154,"0")&amp;TEXT(H154,"0")</f>
        <v/>
      </c>
      <c r="J154" s="126">
        <f>IFERROR(XLOOKUP(I154,'Segment Map'!A:A,'Segment Map'!B:B,"Need Attention"),"Need Attention")</f>
        <v/>
      </c>
      <c r="K154" s="126">
        <f>IF(E154&gt;=5000,"🏆 Platinum",IF(E154&gt;=2000,"🥇 Gold",IF(E154&gt;=800,"🥈 Silver","🥉 Bronze")))</f>
        <v/>
      </c>
      <c r="L154" s="129" t="n">
        <v>40795</v>
      </c>
    </row>
    <row r="155">
      <c r="A155" s="122" t="n">
        <v>12536</v>
      </c>
      <c r="B155" s="122" t="inlineStr">
        <is>
          <t>France</t>
        </is>
      </c>
      <c r="C155" s="122" t="n">
        <v>44</v>
      </c>
      <c r="D155" s="122" t="n">
        <v>3</v>
      </c>
      <c r="E155" s="123" t="n">
        <v>12601.83</v>
      </c>
      <c r="F155" s="124">
        <f>IF(C155&lt;=30,5,IF(C155&lt;=60,4,IF(C155&lt;=120,3,IF(C155&lt;=200,2,1))))</f>
        <v/>
      </c>
      <c r="G155" s="124">
        <f>IF(D155&gt;=20,5,IF(D155&gt;=10,4,IF(D155&gt;=5,3,IF(D155&gt;=2,2,1))))</f>
        <v/>
      </c>
      <c r="H155" s="124">
        <f>IF(E155&gt;=5000,5,IF(E155&gt;=2000,4,IF(E155&gt;=800,3,IF(E155&gt;=300,2,1))))</f>
        <v/>
      </c>
      <c r="I155" s="122">
        <f>TEXT(F155,"0")&amp;TEXT(G155,"0")&amp;TEXT(H155,"0")</f>
        <v/>
      </c>
      <c r="J155" s="122">
        <f>IFERROR(XLOOKUP(I155,'Segment Map'!A:A,'Segment Map'!B:B,"Need Attention"),"Need Attention")</f>
        <v/>
      </c>
      <c r="K155" s="122">
        <f>IF(E155&gt;=5000,"🏆 Platinum",IF(E155&gt;=2000,"🥇 Gold",IF(E155&gt;=800,"🥈 Silver","🥉 Bronze")))</f>
        <v/>
      </c>
      <c r="L155" s="125" t="n">
        <v>40843</v>
      </c>
    </row>
    <row r="156">
      <c r="A156" s="126" t="n">
        <v>12538</v>
      </c>
      <c r="B156" s="126" t="inlineStr">
        <is>
          <t>Spain</t>
        </is>
      </c>
      <c r="C156" s="126" t="n">
        <v>30</v>
      </c>
      <c r="D156" s="126" t="n">
        <v>1</v>
      </c>
      <c r="E156" s="127" t="n">
        <v>363.95</v>
      </c>
      <c r="F156" s="128">
        <f>IF(C156&lt;=30,5,IF(C156&lt;=60,4,IF(C156&lt;=120,3,IF(C156&lt;=200,2,1))))</f>
        <v/>
      </c>
      <c r="G156" s="128">
        <f>IF(D156&gt;=20,5,IF(D156&gt;=10,4,IF(D156&gt;=5,3,IF(D156&gt;=2,2,1))))</f>
        <v/>
      </c>
      <c r="H156" s="128">
        <f>IF(E156&gt;=5000,5,IF(E156&gt;=2000,4,IF(E156&gt;=800,3,IF(E156&gt;=300,2,1))))</f>
        <v/>
      </c>
      <c r="I156" s="126">
        <f>TEXT(F156,"0")&amp;TEXT(G156,"0")&amp;TEXT(H156,"0")</f>
        <v/>
      </c>
      <c r="J156" s="126">
        <f>IFERROR(XLOOKUP(I156,'Segment Map'!A:A,'Segment Map'!B:B,"Need Attention"),"Need Attention")</f>
        <v/>
      </c>
      <c r="K156" s="126">
        <f>IF(E156&gt;=5000,"🏆 Platinum",IF(E156&gt;=2000,"🥇 Gold",IF(E156&gt;=800,"🥈 Silver","🥉 Bronze")))</f>
        <v/>
      </c>
      <c r="L156" s="129" t="n">
        <v>40857</v>
      </c>
    </row>
    <row r="157">
      <c r="A157" s="122" t="n">
        <v>12539</v>
      </c>
      <c r="B157" s="122" t="inlineStr">
        <is>
          <t>Spain</t>
        </is>
      </c>
      <c r="C157" s="122" t="n">
        <v>23</v>
      </c>
      <c r="D157" s="122" t="n">
        <v>4</v>
      </c>
      <c r="E157" s="123" t="n">
        <v>5568.35</v>
      </c>
      <c r="F157" s="124">
        <f>IF(C157&lt;=30,5,IF(C157&lt;=60,4,IF(C157&lt;=120,3,IF(C157&lt;=200,2,1))))</f>
        <v/>
      </c>
      <c r="G157" s="124">
        <f>IF(D157&gt;=20,5,IF(D157&gt;=10,4,IF(D157&gt;=5,3,IF(D157&gt;=2,2,1))))</f>
        <v/>
      </c>
      <c r="H157" s="124">
        <f>IF(E157&gt;=5000,5,IF(E157&gt;=2000,4,IF(E157&gt;=800,3,IF(E157&gt;=300,2,1))))</f>
        <v/>
      </c>
      <c r="I157" s="122">
        <f>TEXT(F157,"0")&amp;TEXT(G157,"0")&amp;TEXT(H157,"0")</f>
        <v/>
      </c>
      <c r="J157" s="122">
        <f>IFERROR(XLOOKUP(I157,'Segment Map'!A:A,'Segment Map'!B:B,"Need Attention"),"Need Attention")</f>
        <v/>
      </c>
      <c r="K157" s="122">
        <f>IF(E157&gt;=5000,"🏆 Platinum",IF(E157&gt;=2000,"🥇 Gold",IF(E157&gt;=800,"🥈 Silver","🥉 Bronze")))</f>
        <v/>
      </c>
      <c r="L157" s="125" t="n">
        <v>40864</v>
      </c>
    </row>
    <row r="158">
      <c r="A158" s="126" t="n">
        <v>12540</v>
      </c>
      <c r="B158" s="126" t="inlineStr">
        <is>
          <t>Spain</t>
        </is>
      </c>
      <c r="C158" s="126" t="n">
        <v>20</v>
      </c>
      <c r="D158" s="126" t="n">
        <v>17</v>
      </c>
      <c r="E158" s="127" t="n">
        <v>13400.24</v>
      </c>
      <c r="F158" s="128">
        <f>IF(C158&lt;=30,5,IF(C158&lt;=60,4,IF(C158&lt;=120,3,IF(C158&lt;=200,2,1))))</f>
        <v/>
      </c>
      <c r="G158" s="128">
        <f>IF(D158&gt;=20,5,IF(D158&gt;=10,4,IF(D158&gt;=5,3,IF(D158&gt;=2,2,1))))</f>
        <v/>
      </c>
      <c r="H158" s="128">
        <f>IF(E158&gt;=5000,5,IF(E158&gt;=2000,4,IF(E158&gt;=800,3,IF(E158&gt;=300,2,1))))</f>
        <v/>
      </c>
      <c r="I158" s="126">
        <f>TEXT(F158,"0")&amp;TEXT(G158,"0")&amp;TEXT(H158,"0")</f>
        <v/>
      </c>
      <c r="J158" s="126">
        <f>IFERROR(XLOOKUP(I158,'Segment Map'!A:A,'Segment Map'!B:B,"Need Attention"),"Need Attention")</f>
        <v/>
      </c>
      <c r="K158" s="126">
        <f>IF(E158&gt;=5000,"🏆 Platinum",IF(E158&gt;=2000,"🥇 Gold",IF(E158&gt;=800,"🥈 Silver","🥉 Bronze")))</f>
        <v/>
      </c>
      <c r="L158" s="129" t="n">
        <v>40867</v>
      </c>
    </row>
    <row r="159">
      <c r="A159" s="122" t="n">
        <v>12541</v>
      </c>
      <c r="B159" s="122" t="inlineStr">
        <is>
          <t>Spain</t>
        </is>
      </c>
      <c r="C159" s="122" t="n">
        <v>30</v>
      </c>
      <c r="D159" s="122" t="n">
        <v>3</v>
      </c>
      <c r="E159" s="123" t="n">
        <v>981.1799999999999</v>
      </c>
      <c r="F159" s="124">
        <f>IF(C159&lt;=30,5,IF(C159&lt;=60,4,IF(C159&lt;=120,3,IF(C159&lt;=200,2,1))))</f>
        <v/>
      </c>
      <c r="G159" s="124">
        <f>IF(D159&gt;=20,5,IF(D159&gt;=10,4,IF(D159&gt;=5,3,IF(D159&gt;=2,2,1))))</f>
        <v/>
      </c>
      <c r="H159" s="124">
        <f>IF(E159&gt;=5000,5,IF(E159&gt;=2000,4,IF(E159&gt;=800,3,IF(E159&gt;=300,2,1))))</f>
        <v/>
      </c>
      <c r="I159" s="122">
        <f>TEXT(F159,"0")&amp;TEXT(G159,"0")&amp;TEXT(H159,"0")</f>
        <v/>
      </c>
      <c r="J159" s="122">
        <f>IFERROR(XLOOKUP(I159,'Segment Map'!A:A,'Segment Map'!B:B,"Need Attention"),"Need Attention")</f>
        <v/>
      </c>
      <c r="K159" s="122">
        <f>IF(E159&gt;=5000,"🏆 Platinum",IF(E159&gt;=2000,"🥇 Gold",IF(E159&gt;=800,"🥈 Silver","🥉 Bronze")))</f>
        <v/>
      </c>
      <c r="L159" s="125" t="n">
        <v>40857</v>
      </c>
    </row>
    <row r="160">
      <c r="A160" s="126" t="n">
        <v>12544</v>
      </c>
      <c r="B160" s="126" t="inlineStr">
        <is>
          <t>Spain</t>
        </is>
      </c>
      <c r="C160" s="126" t="n">
        <v>37</v>
      </c>
      <c r="D160" s="126" t="n">
        <v>1</v>
      </c>
      <c r="E160" s="127" t="n">
        <v>372.7</v>
      </c>
      <c r="F160" s="128">
        <f>IF(C160&lt;=30,5,IF(C160&lt;=60,4,IF(C160&lt;=120,3,IF(C160&lt;=200,2,1))))</f>
        <v/>
      </c>
      <c r="G160" s="128">
        <f>IF(D160&gt;=20,5,IF(D160&gt;=10,4,IF(D160&gt;=5,3,IF(D160&gt;=2,2,1))))</f>
        <v/>
      </c>
      <c r="H160" s="128">
        <f>IF(E160&gt;=5000,5,IF(E160&gt;=2000,4,IF(E160&gt;=800,3,IF(E160&gt;=300,2,1))))</f>
        <v/>
      </c>
      <c r="I160" s="126">
        <f>TEXT(F160,"0")&amp;TEXT(G160,"0")&amp;TEXT(H160,"0")</f>
        <v/>
      </c>
      <c r="J160" s="126">
        <f>IFERROR(XLOOKUP(I160,'Segment Map'!A:A,'Segment Map'!B:B,"Need Attention"),"Need Attention")</f>
        <v/>
      </c>
      <c r="K160" s="126">
        <f>IF(E160&gt;=5000,"🏆 Platinum",IF(E160&gt;=2000,"🥇 Gold",IF(E160&gt;=800,"🥈 Silver","🥉 Bronze")))</f>
        <v/>
      </c>
      <c r="L160" s="129" t="n">
        <v>40850</v>
      </c>
    </row>
    <row r="161">
      <c r="A161" s="122" t="n">
        <v>12545</v>
      </c>
      <c r="B161" s="122" t="inlineStr">
        <is>
          <t>Spain</t>
        </is>
      </c>
      <c r="C161" s="122" t="n">
        <v>76</v>
      </c>
      <c r="D161" s="122" t="n">
        <v>2</v>
      </c>
      <c r="E161" s="123" t="n">
        <v>1000.39</v>
      </c>
      <c r="F161" s="124">
        <f>IF(C161&lt;=30,5,IF(C161&lt;=60,4,IF(C161&lt;=120,3,IF(C161&lt;=200,2,1))))</f>
        <v/>
      </c>
      <c r="G161" s="124">
        <f>IF(D161&gt;=20,5,IF(D161&gt;=10,4,IF(D161&gt;=5,3,IF(D161&gt;=2,2,1))))</f>
        <v/>
      </c>
      <c r="H161" s="124">
        <f>IF(E161&gt;=5000,5,IF(E161&gt;=2000,4,IF(E161&gt;=800,3,IF(E161&gt;=300,2,1))))</f>
        <v/>
      </c>
      <c r="I161" s="122">
        <f>TEXT(F161,"0")&amp;TEXT(G161,"0")&amp;TEXT(H161,"0")</f>
        <v/>
      </c>
      <c r="J161" s="122">
        <f>IFERROR(XLOOKUP(I161,'Segment Map'!A:A,'Segment Map'!B:B,"Need Attention"),"Need Attention")</f>
        <v/>
      </c>
      <c r="K161" s="122">
        <f>IF(E161&gt;=5000,"🏆 Platinum",IF(E161&gt;=2000,"🥇 Gold",IF(E161&gt;=800,"🥈 Silver","🥉 Bronze")))</f>
        <v/>
      </c>
      <c r="L161" s="125" t="n">
        <v>40811</v>
      </c>
    </row>
    <row r="162">
      <c r="A162" s="126" t="n">
        <v>12546</v>
      </c>
      <c r="B162" s="126" t="inlineStr">
        <is>
          <t>Spain</t>
        </is>
      </c>
      <c r="C162" s="126" t="n">
        <v>47</v>
      </c>
      <c r="D162" s="126" t="n">
        <v>2</v>
      </c>
      <c r="E162" s="127" t="n">
        <v>1161.5</v>
      </c>
      <c r="F162" s="128">
        <f>IF(C162&lt;=30,5,IF(C162&lt;=60,4,IF(C162&lt;=120,3,IF(C162&lt;=200,2,1))))</f>
        <v/>
      </c>
      <c r="G162" s="128">
        <f>IF(D162&gt;=20,5,IF(D162&gt;=10,4,IF(D162&gt;=5,3,IF(D162&gt;=2,2,1))))</f>
        <v/>
      </c>
      <c r="H162" s="128">
        <f>IF(E162&gt;=5000,5,IF(E162&gt;=2000,4,IF(E162&gt;=800,3,IF(E162&gt;=300,2,1))))</f>
        <v/>
      </c>
      <c r="I162" s="126">
        <f>TEXT(F162,"0")&amp;TEXT(G162,"0")&amp;TEXT(H162,"0")</f>
        <v/>
      </c>
      <c r="J162" s="126">
        <f>IFERROR(XLOOKUP(I162,'Segment Map'!A:A,'Segment Map'!B:B,"Need Attention"),"Need Attention")</f>
        <v/>
      </c>
      <c r="K162" s="126">
        <f>IF(E162&gt;=5000,"🏆 Platinum",IF(E162&gt;=2000,"🥇 Gold",IF(E162&gt;=800,"🥈 Silver","🥉 Bronze")))</f>
        <v/>
      </c>
      <c r="L162" s="129" t="n">
        <v>40840</v>
      </c>
    </row>
    <row r="163">
      <c r="A163" s="122" t="n">
        <v>12547</v>
      </c>
      <c r="B163" s="122" t="inlineStr">
        <is>
          <t>Spain</t>
        </is>
      </c>
      <c r="C163" s="122" t="n">
        <v>198</v>
      </c>
      <c r="D163" s="122" t="n">
        <v>2</v>
      </c>
      <c r="E163" s="123" t="n">
        <v>207.8</v>
      </c>
      <c r="F163" s="124">
        <f>IF(C163&lt;=30,5,IF(C163&lt;=60,4,IF(C163&lt;=120,3,IF(C163&lt;=200,2,1))))</f>
        <v/>
      </c>
      <c r="G163" s="124">
        <f>IF(D163&gt;=20,5,IF(D163&gt;=10,4,IF(D163&gt;=5,3,IF(D163&gt;=2,2,1))))</f>
        <v/>
      </c>
      <c r="H163" s="124">
        <f>IF(E163&gt;=5000,5,IF(E163&gt;=2000,4,IF(E163&gt;=800,3,IF(E163&gt;=300,2,1))))</f>
        <v/>
      </c>
      <c r="I163" s="122">
        <f>TEXT(F163,"0")&amp;TEXT(G163,"0")&amp;TEXT(H163,"0")</f>
        <v/>
      </c>
      <c r="J163" s="122">
        <f>IFERROR(XLOOKUP(I163,'Segment Map'!A:A,'Segment Map'!B:B,"Need Attention"),"Need Attention")</f>
        <v/>
      </c>
      <c r="K163" s="122">
        <f>IF(E163&gt;=5000,"🏆 Platinum",IF(E163&gt;=2000,"🥇 Gold",IF(E163&gt;=800,"🥈 Silver","🥉 Bronze")))</f>
        <v/>
      </c>
      <c r="L163" s="125" t="n">
        <v>40689</v>
      </c>
    </row>
    <row r="164">
      <c r="A164" s="126" t="n">
        <v>12548</v>
      </c>
      <c r="B164" s="126" t="inlineStr">
        <is>
          <t>Spain</t>
        </is>
      </c>
      <c r="C164" s="126" t="n">
        <v>167</v>
      </c>
      <c r="D164" s="126" t="n">
        <v>1</v>
      </c>
      <c r="E164" s="127" t="n">
        <v>95.2</v>
      </c>
      <c r="F164" s="128">
        <f>IF(C164&lt;=30,5,IF(C164&lt;=60,4,IF(C164&lt;=120,3,IF(C164&lt;=200,2,1))))</f>
        <v/>
      </c>
      <c r="G164" s="128">
        <f>IF(D164&gt;=20,5,IF(D164&gt;=10,4,IF(D164&gt;=5,3,IF(D164&gt;=2,2,1))))</f>
        <v/>
      </c>
      <c r="H164" s="128">
        <f>IF(E164&gt;=5000,5,IF(E164&gt;=2000,4,IF(E164&gt;=800,3,IF(E164&gt;=300,2,1))))</f>
        <v/>
      </c>
      <c r="I164" s="126">
        <f>TEXT(F164,"0")&amp;TEXT(G164,"0")&amp;TEXT(H164,"0")</f>
        <v/>
      </c>
      <c r="J164" s="126">
        <f>IFERROR(XLOOKUP(I164,'Segment Map'!A:A,'Segment Map'!B:B,"Need Attention"),"Need Attention")</f>
        <v/>
      </c>
      <c r="K164" s="126">
        <f>IF(E164&gt;=5000,"🏆 Platinum",IF(E164&gt;=2000,"🥇 Gold",IF(E164&gt;=800,"🥈 Silver","🥉 Bronze")))</f>
        <v/>
      </c>
      <c r="L164" s="129" t="n">
        <v>40720</v>
      </c>
    </row>
    <row r="165">
      <c r="A165" s="122" t="n">
        <v>12550</v>
      </c>
      <c r="B165" s="122" t="inlineStr">
        <is>
          <t>Spain</t>
        </is>
      </c>
      <c r="C165" s="122" t="n">
        <v>80</v>
      </c>
      <c r="D165" s="122" t="n">
        <v>1</v>
      </c>
      <c r="E165" s="123" t="n">
        <v>964.83</v>
      </c>
      <c r="F165" s="124">
        <f>IF(C165&lt;=30,5,IF(C165&lt;=60,4,IF(C165&lt;=120,3,IF(C165&lt;=200,2,1))))</f>
        <v/>
      </c>
      <c r="G165" s="124">
        <f>IF(D165&gt;=20,5,IF(D165&gt;=10,4,IF(D165&gt;=5,3,IF(D165&gt;=2,2,1))))</f>
        <v/>
      </c>
      <c r="H165" s="124">
        <f>IF(E165&gt;=5000,5,IF(E165&gt;=2000,4,IF(E165&gt;=800,3,IF(E165&gt;=300,2,1))))</f>
        <v/>
      </c>
      <c r="I165" s="122">
        <f>TEXT(F165,"0")&amp;TEXT(G165,"0")&amp;TEXT(H165,"0")</f>
        <v/>
      </c>
      <c r="J165" s="122">
        <f>IFERROR(XLOOKUP(I165,'Segment Map'!A:A,'Segment Map'!B:B,"Need Attention"),"Need Attention")</f>
        <v/>
      </c>
      <c r="K165" s="122">
        <f>IF(E165&gt;=5000,"🏆 Platinum",IF(E165&gt;=2000,"🥇 Gold",IF(E165&gt;=800,"🥈 Silver","🥉 Bronze")))</f>
        <v/>
      </c>
      <c r="L165" s="125" t="n">
        <v>40807</v>
      </c>
    </row>
    <row r="166">
      <c r="A166" s="126" t="n">
        <v>12551</v>
      </c>
      <c r="B166" s="126" t="inlineStr">
        <is>
          <t>Spain</t>
        </is>
      </c>
      <c r="C166" s="126" t="n">
        <v>358</v>
      </c>
      <c r="D166" s="126" t="n">
        <v>1</v>
      </c>
      <c r="E166" s="127" t="n">
        <v>168</v>
      </c>
      <c r="F166" s="128">
        <f>IF(C166&lt;=30,5,IF(C166&lt;=60,4,IF(C166&lt;=120,3,IF(C166&lt;=200,2,1))))</f>
        <v/>
      </c>
      <c r="G166" s="128">
        <f>IF(D166&gt;=20,5,IF(D166&gt;=10,4,IF(D166&gt;=5,3,IF(D166&gt;=2,2,1))))</f>
        <v/>
      </c>
      <c r="H166" s="128">
        <f>IF(E166&gt;=5000,5,IF(E166&gt;=2000,4,IF(E166&gt;=800,3,IF(E166&gt;=300,2,1))))</f>
        <v/>
      </c>
      <c r="I166" s="126">
        <f>TEXT(F166,"0")&amp;TEXT(G166,"0")&amp;TEXT(H166,"0")</f>
        <v/>
      </c>
      <c r="J166" s="126">
        <f>IFERROR(XLOOKUP(I166,'Segment Map'!A:A,'Segment Map'!B:B,"Need Attention"),"Need Attention")</f>
        <v/>
      </c>
      <c r="K166" s="126">
        <f>IF(E166&gt;=5000,"🏆 Platinum",IF(E166&gt;=2000,"🥇 Gold",IF(E166&gt;=800,"🥈 Silver","🥉 Bronze")))</f>
        <v/>
      </c>
      <c r="L166" s="129" t="n">
        <v>40529</v>
      </c>
    </row>
    <row r="167">
      <c r="A167" s="122" t="n">
        <v>12552</v>
      </c>
      <c r="B167" s="122" t="inlineStr">
        <is>
          <t>Italy</t>
        </is>
      </c>
      <c r="C167" s="122" t="n">
        <v>39</v>
      </c>
      <c r="D167" s="122" t="n">
        <v>2</v>
      </c>
      <c r="E167" s="123" t="n">
        <v>437.82</v>
      </c>
      <c r="F167" s="124">
        <f>IF(C167&lt;=30,5,IF(C167&lt;=60,4,IF(C167&lt;=120,3,IF(C167&lt;=200,2,1))))</f>
        <v/>
      </c>
      <c r="G167" s="124">
        <f>IF(D167&gt;=20,5,IF(D167&gt;=10,4,IF(D167&gt;=5,3,IF(D167&gt;=2,2,1))))</f>
        <v/>
      </c>
      <c r="H167" s="124">
        <f>IF(E167&gt;=5000,5,IF(E167&gt;=2000,4,IF(E167&gt;=800,3,IF(E167&gt;=300,2,1))))</f>
        <v/>
      </c>
      <c r="I167" s="122">
        <f>TEXT(F167,"0")&amp;TEXT(G167,"0")&amp;TEXT(H167,"0")</f>
        <v/>
      </c>
      <c r="J167" s="122">
        <f>IFERROR(XLOOKUP(I167,'Segment Map'!A:A,'Segment Map'!B:B,"Need Attention"),"Need Attention")</f>
        <v/>
      </c>
      <c r="K167" s="122">
        <f>IF(E167&gt;=5000,"🏆 Platinum",IF(E167&gt;=2000,"🥇 Gold",IF(E167&gt;=800,"🥈 Silver","🥉 Bronze")))</f>
        <v/>
      </c>
      <c r="L167" s="125" t="n">
        <v>40848</v>
      </c>
    </row>
    <row r="168">
      <c r="A168" s="126" t="n">
        <v>12553</v>
      </c>
      <c r="B168" s="126" t="inlineStr">
        <is>
          <t>France</t>
        </is>
      </c>
      <c r="C168" s="126" t="n">
        <v>9</v>
      </c>
      <c r="D168" s="126" t="n">
        <v>10</v>
      </c>
      <c r="E168" s="127" t="n">
        <v>3692.28</v>
      </c>
      <c r="F168" s="128">
        <f>IF(C168&lt;=30,5,IF(C168&lt;=60,4,IF(C168&lt;=120,3,IF(C168&lt;=200,2,1))))</f>
        <v/>
      </c>
      <c r="G168" s="128">
        <f>IF(D168&gt;=20,5,IF(D168&gt;=10,4,IF(D168&gt;=5,3,IF(D168&gt;=2,2,1))))</f>
        <v/>
      </c>
      <c r="H168" s="128">
        <f>IF(E168&gt;=5000,5,IF(E168&gt;=2000,4,IF(E168&gt;=800,3,IF(E168&gt;=300,2,1))))</f>
        <v/>
      </c>
      <c r="I168" s="126">
        <f>TEXT(F168,"0")&amp;TEXT(G168,"0")&amp;TEXT(H168,"0")</f>
        <v/>
      </c>
      <c r="J168" s="126">
        <f>IFERROR(XLOOKUP(I168,'Segment Map'!A:A,'Segment Map'!B:B,"Need Attention"),"Need Attention")</f>
        <v/>
      </c>
      <c r="K168" s="126">
        <f>IF(E168&gt;=5000,"🏆 Platinum",IF(E168&gt;=2000,"🥇 Gold",IF(E168&gt;=800,"🥈 Silver","🥉 Bronze")))</f>
        <v/>
      </c>
      <c r="L168" s="129" t="n">
        <v>40878</v>
      </c>
    </row>
    <row r="169">
      <c r="A169" s="122" t="n">
        <v>12556</v>
      </c>
      <c r="B169" s="122" t="inlineStr">
        <is>
          <t>Spain</t>
        </is>
      </c>
      <c r="C169" s="122" t="n">
        <v>51</v>
      </c>
      <c r="D169" s="122" t="n">
        <v>2</v>
      </c>
      <c r="E169" s="123" t="n">
        <v>603.71</v>
      </c>
      <c r="F169" s="124">
        <f>IF(C169&lt;=30,5,IF(C169&lt;=60,4,IF(C169&lt;=120,3,IF(C169&lt;=200,2,1))))</f>
        <v/>
      </c>
      <c r="G169" s="124">
        <f>IF(D169&gt;=20,5,IF(D169&gt;=10,4,IF(D169&gt;=5,3,IF(D169&gt;=2,2,1))))</f>
        <v/>
      </c>
      <c r="H169" s="124">
        <f>IF(E169&gt;=5000,5,IF(E169&gt;=2000,4,IF(E169&gt;=800,3,IF(E169&gt;=300,2,1))))</f>
        <v/>
      </c>
      <c r="I169" s="122">
        <f>TEXT(F169,"0")&amp;TEXT(G169,"0")&amp;TEXT(H169,"0")</f>
        <v/>
      </c>
      <c r="J169" s="122">
        <f>IFERROR(XLOOKUP(I169,'Segment Map'!A:A,'Segment Map'!B:B,"Need Attention"),"Need Attention")</f>
        <v/>
      </c>
      <c r="K169" s="122">
        <f>IF(E169&gt;=5000,"🏆 Platinum",IF(E169&gt;=2000,"🥇 Gold",IF(E169&gt;=800,"🥈 Silver","🥉 Bronze")))</f>
        <v/>
      </c>
      <c r="L169" s="125" t="n">
        <v>40836</v>
      </c>
    </row>
    <row r="170">
      <c r="A170" s="126" t="n">
        <v>12557</v>
      </c>
      <c r="B170" s="126" t="inlineStr">
        <is>
          <t>Spain</t>
        </is>
      </c>
      <c r="C170" s="126" t="n">
        <v>17</v>
      </c>
      <c r="D170" s="126" t="n">
        <v>5</v>
      </c>
      <c r="E170" s="127" t="n">
        <v>11990.96</v>
      </c>
      <c r="F170" s="128">
        <f>IF(C170&lt;=30,5,IF(C170&lt;=60,4,IF(C170&lt;=120,3,IF(C170&lt;=200,2,1))))</f>
        <v/>
      </c>
      <c r="G170" s="128">
        <f>IF(D170&gt;=20,5,IF(D170&gt;=10,4,IF(D170&gt;=5,3,IF(D170&gt;=2,2,1))))</f>
        <v/>
      </c>
      <c r="H170" s="128">
        <f>IF(E170&gt;=5000,5,IF(E170&gt;=2000,4,IF(E170&gt;=800,3,IF(E170&gt;=300,2,1))))</f>
        <v/>
      </c>
      <c r="I170" s="126">
        <f>TEXT(F170,"0")&amp;TEXT(G170,"0")&amp;TEXT(H170,"0")</f>
        <v/>
      </c>
      <c r="J170" s="126">
        <f>IFERROR(XLOOKUP(I170,'Segment Map'!A:A,'Segment Map'!B:B,"Need Attention"),"Need Attention")</f>
        <v/>
      </c>
      <c r="K170" s="126">
        <f>IF(E170&gt;=5000,"🏆 Platinum",IF(E170&gt;=2000,"🥇 Gold",IF(E170&gt;=800,"🥈 Silver","🥉 Bronze")))</f>
        <v/>
      </c>
      <c r="L170" s="129" t="n">
        <v>40870</v>
      </c>
    </row>
    <row r="171">
      <c r="A171" s="122" t="n">
        <v>12558</v>
      </c>
      <c r="B171" s="122" t="inlineStr">
        <is>
          <t>USA</t>
        </is>
      </c>
      <c r="C171" s="122" t="n">
        <v>8</v>
      </c>
      <c r="D171" s="122" t="n">
        <v>1</v>
      </c>
      <c r="E171" s="123" t="n">
        <v>269.96</v>
      </c>
      <c r="F171" s="124">
        <f>IF(C171&lt;=30,5,IF(C171&lt;=60,4,IF(C171&lt;=120,3,IF(C171&lt;=200,2,1))))</f>
        <v/>
      </c>
      <c r="G171" s="124">
        <f>IF(D171&gt;=20,5,IF(D171&gt;=10,4,IF(D171&gt;=5,3,IF(D171&gt;=2,2,1))))</f>
        <v/>
      </c>
      <c r="H171" s="124">
        <f>IF(E171&gt;=5000,5,IF(E171&gt;=2000,4,IF(E171&gt;=800,3,IF(E171&gt;=300,2,1))))</f>
        <v/>
      </c>
      <c r="I171" s="122">
        <f>TEXT(F171,"0")&amp;TEXT(G171,"0")&amp;TEXT(H171,"0")</f>
        <v/>
      </c>
      <c r="J171" s="122">
        <f>IFERROR(XLOOKUP(I171,'Segment Map'!A:A,'Segment Map'!B:B,"Need Attention"),"Need Attention")</f>
        <v/>
      </c>
      <c r="K171" s="122">
        <f>IF(E171&gt;=5000,"🏆 Platinum",IF(E171&gt;=2000,"🥇 Gold",IF(E171&gt;=800,"🥈 Silver","🥉 Bronze")))</f>
        <v/>
      </c>
      <c r="L171" s="125" t="n">
        <v>40879</v>
      </c>
    </row>
    <row r="172">
      <c r="A172" s="126" t="n">
        <v>12559</v>
      </c>
      <c r="B172" s="126" t="inlineStr">
        <is>
          <t>Germany</t>
        </is>
      </c>
      <c r="C172" s="126" t="n">
        <v>311</v>
      </c>
      <c r="D172" s="126" t="n">
        <v>2</v>
      </c>
      <c r="E172" s="127" t="n">
        <v>561.71</v>
      </c>
      <c r="F172" s="128">
        <f>IF(C172&lt;=30,5,IF(C172&lt;=60,4,IF(C172&lt;=120,3,IF(C172&lt;=200,2,1))))</f>
        <v/>
      </c>
      <c r="G172" s="128">
        <f>IF(D172&gt;=20,5,IF(D172&gt;=10,4,IF(D172&gt;=5,3,IF(D172&gt;=2,2,1))))</f>
        <v/>
      </c>
      <c r="H172" s="128">
        <f>IF(E172&gt;=5000,5,IF(E172&gt;=2000,4,IF(E172&gt;=800,3,IF(E172&gt;=300,2,1))))</f>
        <v/>
      </c>
      <c r="I172" s="126">
        <f>TEXT(F172,"0")&amp;TEXT(G172,"0")&amp;TEXT(H172,"0")</f>
        <v/>
      </c>
      <c r="J172" s="126">
        <f>IFERROR(XLOOKUP(I172,'Segment Map'!A:A,'Segment Map'!B:B,"Need Attention"),"Need Attention")</f>
        <v/>
      </c>
      <c r="K172" s="126">
        <f>IF(E172&gt;=5000,"🏆 Platinum",IF(E172&gt;=2000,"🥇 Gold",IF(E172&gt;=800,"🥈 Silver","🥉 Bronze")))</f>
        <v/>
      </c>
      <c r="L172" s="129" t="n">
        <v>40576</v>
      </c>
    </row>
    <row r="173">
      <c r="A173" s="122" t="n">
        <v>12560</v>
      </c>
      <c r="B173" s="122" t="inlineStr">
        <is>
          <t>Germany</t>
        </is>
      </c>
      <c r="C173" s="122" t="n">
        <v>6</v>
      </c>
      <c r="D173" s="122" t="n">
        <v>3</v>
      </c>
      <c r="E173" s="123" t="n">
        <v>2134.01</v>
      </c>
      <c r="F173" s="124">
        <f>IF(C173&lt;=30,5,IF(C173&lt;=60,4,IF(C173&lt;=120,3,IF(C173&lt;=200,2,1))))</f>
        <v/>
      </c>
      <c r="G173" s="124">
        <f>IF(D173&gt;=20,5,IF(D173&gt;=10,4,IF(D173&gt;=5,3,IF(D173&gt;=2,2,1))))</f>
        <v/>
      </c>
      <c r="H173" s="124">
        <f>IF(E173&gt;=5000,5,IF(E173&gt;=2000,4,IF(E173&gt;=800,3,IF(E173&gt;=300,2,1))))</f>
        <v/>
      </c>
      <c r="I173" s="122">
        <f>TEXT(F173,"0")&amp;TEXT(G173,"0")&amp;TEXT(H173,"0")</f>
        <v/>
      </c>
      <c r="J173" s="122">
        <f>IFERROR(XLOOKUP(I173,'Segment Map'!A:A,'Segment Map'!B:B,"Need Attention"),"Need Attention")</f>
        <v/>
      </c>
      <c r="K173" s="122">
        <f>IF(E173&gt;=5000,"🏆 Platinum",IF(E173&gt;=2000,"🥇 Gold",IF(E173&gt;=800,"🥈 Silver","🥉 Bronze")))</f>
        <v/>
      </c>
      <c r="L173" s="125" t="n">
        <v>40881</v>
      </c>
    </row>
    <row r="174">
      <c r="A174" s="126" t="n">
        <v>12561</v>
      </c>
      <c r="B174" s="126" t="inlineStr">
        <is>
          <t>Germany</t>
        </is>
      </c>
      <c r="C174" s="126" t="n">
        <v>303</v>
      </c>
      <c r="D174" s="126" t="n">
        <v>1</v>
      </c>
      <c r="E174" s="127" t="n">
        <v>238.85</v>
      </c>
      <c r="F174" s="128">
        <f>IF(C174&lt;=30,5,IF(C174&lt;=60,4,IF(C174&lt;=120,3,IF(C174&lt;=200,2,1))))</f>
        <v/>
      </c>
      <c r="G174" s="128">
        <f>IF(D174&gt;=20,5,IF(D174&gt;=10,4,IF(D174&gt;=5,3,IF(D174&gt;=2,2,1))))</f>
        <v/>
      </c>
      <c r="H174" s="128">
        <f>IF(E174&gt;=5000,5,IF(E174&gt;=2000,4,IF(E174&gt;=800,3,IF(E174&gt;=300,2,1))))</f>
        <v/>
      </c>
      <c r="I174" s="126">
        <f>TEXT(F174,"0")&amp;TEXT(G174,"0")&amp;TEXT(H174,"0")</f>
        <v/>
      </c>
      <c r="J174" s="126">
        <f>IFERROR(XLOOKUP(I174,'Segment Map'!A:A,'Segment Map'!B:B,"Need Attention"),"Need Attention")</f>
        <v/>
      </c>
      <c r="K174" s="126">
        <f>IF(E174&gt;=5000,"🏆 Platinum",IF(E174&gt;=2000,"🥇 Gold",IF(E174&gt;=800,"🥈 Silver","🥉 Bronze")))</f>
        <v/>
      </c>
      <c r="L174" s="129" t="n">
        <v>40584</v>
      </c>
    </row>
    <row r="175">
      <c r="A175" s="122" t="n">
        <v>12562</v>
      </c>
      <c r="B175" s="122" t="inlineStr">
        <is>
          <t>France</t>
        </is>
      </c>
      <c r="C175" s="122" t="n">
        <v>9</v>
      </c>
      <c r="D175" s="122" t="n">
        <v>7</v>
      </c>
      <c r="E175" s="123" t="n">
        <v>3781.74</v>
      </c>
      <c r="F175" s="124">
        <f>IF(C175&lt;=30,5,IF(C175&lt;=60,4,IF(C175&lt;=120,3,IF(C175&lt;=200,2,1))))</f>
        <v/>
      </c>
      <c r="G175" s="124">
        <f>IF(D175&gt;=20,5,IF(D175&gt;=10,4,IF(D175&gt;=5,3,IF(D175&gt;=2,2,1))))</f>
        <v/>
      </c>
      <c r="H175" s="124">
        <f>IF(E175&gt;=5000,5,IF(E175&gt;=2000,4,IF(E175&gt;=800,3,IF(E175&gt;=300,2,1))))</f>
        <v/>
      </c>
      <c r="I175" s="122">
        <f>TEXT(F175,"0")&amp;TEXT(G175,"0")&amp;TEXT(H175,"0")</f>
        <v/>
      </c>
      <c r="J175" s="122">
        <f>IFERROR(XLOOKUP(I175,'Segment Map'!A:A,'Segment Map'!B:B,"Need Attention"),"Need Attention")</f>
        <v/>
      </c>
      <c r="K175" s="122">
        <f>IF(E175&gt;=5000,"🏆 Platinum",IF(E175&gt;=2000,"🥇 Gold",IF(E175&gt;=800,"🥈 Silver","🥉 Bronze")))</f>
        <v/>
      </c>
      <c r="L175" s="125" t="n">
        <v>40878</v>
      </c>
    </row>
    <row r="176">
      <c r="A176" s="126" t="n">
        <v>12564</v>
      </c>
      <c r="B176" s="126" t="inlineStr">
        <is>
          <t>France</t>
        </is>
      </c>
      <c r="C176" s="126" t="n">
        <v>262</v>
      </c>
      <c r="D176" s="126" t="n">
        <v>1</v>
      </c>
      <c r="E176" s="127" t="n">
        <v>456.9</v>
      </c>
      <c r="F176" s="128">
        <f>IF(C176&lt;=30,5,IF(C176&lt;=60,4,IF(C176&lt;=120,3,IF(C176&lt;=200,2,1))))</f>
        <v/>
      </c>
      <c r="G176" s="128">
        <f>IF(D176&gt;=20,5,IF(D176&gt;=10,4,IF(D176&gt;=5,3,IF(D176&gt;=2,2,1))))</f>
        <v/>
      </c>
      <c r="H176" s="128">
        <f>IF(E176&gt;=5000,5,IF(E176&gt;=2000,4,IF(E176&gt;=800,3,IF(E176&gt;=300,2,1))))</f>
        <v/>
      </c>
      <c r="I176" s="126">
        <f>TEXT(F176,"0")&amp;TEXT(G176,"0")&amp;TEXT(H176,"0")</f>
        <v/>
      </c>
      <c r="J176" s="126">
        <f>IFERROR(XLOOKUP(I176,'Segment Map'!A:A,'Segment Map'!B:B,"Need Attention"),"Need Attention")</f>
        <v/>
      </c>
      <c r="K176" s="126">
        <f>IF(E176&gt;=5000,"🏆 Platinum",IF(E176&gt;=2000,"🥇 Gold",IF(E176&gt;=800,"🥈 Silver","🥉 Bronze")))</f>
        <v/>
      </c>
      <c r="L176" s="129" t="n">
        <v>40625</v>
      </c>
    </row>
    <row r="177">
      <c r="A177" s="122" t="n">
        <v>12565</v>
      </c>
      <c r="B177" s="122" t="inlineStr">
        <is>
          <t>Saudi Arabia</t>
        </is>
      </c>
      <c r="C177" s="122" t="n">
        <v>289</v>
      </c>
      <c r="D177" s="122" t="n">
        <v>1</v>
      </c>
      <c r="E177" s="123" t="n">
        <v>145.92</v>
      </c>
      <c r="F177" s="124">
        <f>IF(C177&lt;=30,5,IF(C177&lt;=60,4,IF(C177&lt;=120,3,IF(C177&lt;=200,2,1))))</f>
        <v/>
      </c>
      <c r="G177" s="124">
        <f>IF(D177&gt;=20,5,IF(D177&gt;=10,4,IF(D177&gt;=5,3,IF(D177&gt;=2,2,1))))</f>
        <v/>
      </c>
      <c r="H177" s="124">
        <f>IF(E177&gt;=5000,5,IF(E177&gt;=2000,4,IF(E177&gt;=800,3,IF(E177&gt;=300,2,1))))</f>
        <v/>
      </c>
      <c r="I177" s="122">
        <f>TEXT(F177,"0")&amp;TEXT(G177,"0")&amp;TEXT(H177,"0")</f>
        <v/>
      </c>
      <c r="J177" s="122">
        <f>IFERROR(XLOOKUP(I177,'Segment Map'!A:A,'Segment Map'!B:B,"Need Attention"),"Need Attention")</f>
        <v/>
      </c>
      <c r="K177" s="122">
        <f>IF(E177&gt;=5000,"🏆 Platinum",IF(E177&gt;=2000,"🥇 Gold",IF(E177&gt;=800,"🥈 Silver","🥉 Bronze")))</f>
        <v/>
      </c>
      <c r="L177" s="125" t="n">
        <v>40598</v>
      </c>
    </row>
    <row r="178">
      <c r="A178" s="126" t="n">
        <v>12566</v>
      </c>
      <c r="B178" s="126" t="inlineStr">
        <is>
          <t>Germany</t>
        </is>
      </c>
      <c r="C178" s="126" t="n">
        <v>87</v>
      </c>
      <c r="D178" s="126" t="n">
        <v>1</v>
      </c>
      <c r="E178" s="127" t="n">
        <v>351.65</v>
      </c>
      <c r="F178" s="128">
        <f>IF(C178&lt;=30,5,IF(C178&lt;=60,4,IF(C178&lt;=120,3,IF(C178&lt;=200,2,1))))</f>
        <v/>
      </c>
      <c r="G178" s="128">
        <f>IF(D178&gt;=20,5,IF(D178&gt;=10,4,IF(D178&gt;=5,3,IF(D178&gt;=2,2,1))))</f>
        <v/>
      </c>
      <c r="H178" s="128">
        <f>IF(E178&gt;=5000,5,IF(E178&gt;=2000,4,IF(E178&gt;=800,3,IF(E178&gt;=300,2,1))))</f>
        <v/>
      </c>
      <c r="I178" s="126">
        <f>TEXT(F178,"0")&amp;TEXT(G178,"0")&amp;TEXT(H178,"0")</f>
        <v/>
      </c>
      <c r="J178" s="126">
        <f>IFERROR(XLOOKUP(I178,'Segment Map'!A:A,'Segment Map'!B:B,"Need Attention"),"Need Attention")</f>
        <v/>
      </c>
      <c r="K178" s="126">
        <f>IF(E178&gt;=5000,"🏆 Platinum",IF(E178&gt;=2000,"🥇 Gold",IF(E178&gt;=800,"🥈 Silver","🥉 Bronze")))</f>
        <v/>
      </c>
      <c r="L178" s="129" t="n">
        <v>40800</v>
      </c>
    </row>
    <row r="179">
      <c r="A179" s="122" t="n">
        <v>12567</v>
      </c>
      <c r="B179" s="122" t="inlineStr">
        <is>
          <t>France</t>
        </is>
      </c>
      <c r="C179" s="122" t="n">
        <v>23</v>
      </c>
      <c r="D179" s="122" t="n">
        <v>10</v>
      </c>
      <c r="E179" s="123" t="n">
        <v>9401.280000000001</v>
      </c>
      <c r="F179" s="124">
        <f>IF(C179&lt;=30,5,IF(C179&lt;=60,4,IF(C179&lt;=120,3,IF(C179&lt;=200,2,1))))</f>
        <v/>
      </c>
      <c r="G179" s="124">
        <f>IF(D179&gt;=20,5,IF(D179&gt;=10,4,IF(D179&gt;=5,3,IF(D179&gt;=2,2,1))))</f>
        <v/>
      </c>
      <c r="H179" s="124">
        <f>IF(E179&gt;=5000,5,IF(E179&gt;=2000,4,IF(E179&gt;=800,3,IF(E179&gt;=300,2,1))))</f>
        <v/>
      </c>
      <c r="I179" s="122">
        <f>TEXT(F179,"0")&amp;TEXT(G179,"0")&amp;TEXT(H179,"0")</f>
        <v/>
      </c>
      <c r="J179" s="122">
        <f>IFERROR(XLOOKUP(I179,'Segment Map'!A:A,'Segment Map'!B:B,"Need Attention"),"Need Attention")</f>
        <v/>
      </c>
      <c r="K179" s="122">
        <f>IF(E179&gt;=5000,"🏆 Platinum",IF(E179&gt;=2000,"🥇 Gold",IF(E179&gt;=800,"🥈 Silver","🥉 Bronze")))</f>
        <v/>
      </c>
      <c r="L179" s="125" t="n">
        <v>40864</v>
      </c>
    </row>
    <row r="180">
      <c r="A180" s="126" t="n">
        <v>12569</v>
      </c>
      <c r="B180" s="126" t="inlineStr">
        <is>
          <t>Germany</t>
        </is>
      </c>
      <c r="C180" s="126" t="n">
        <v>3</v>
      </c>
      <c r="D180" s="126" t="n">
        <v>32</v>
      </c>
      <c r="E180" s="127" t="n">
        <v>4124.69</v>
      </c>
      <c r="F180" s="128">
        <f>IF(C180&lt;=30,5,IF(C180&lt;=60,4,IF(C180&lt;=120,3,IF(C180&lt;=200,2,1))))</f>
        <v/>
      </c>
      <c r="G180" s="128">
        <f>IF(D180&gt;=20,5,IF(D180&gt;=10,4,IF(D180&gt;=5,3,IF(D180&gt;=2,2,1))))</f>
        <v/>
      </c>
      <c r="H180" s="128">
        <f>IF(E180&gt;=5000,5,IF(E180&gt;=2000,4,IF(E180&gt;=800,3,IF(E180&gt;=300,2,1))))</f>
        <v/>
      </c>
      <c r="I180" s="126">
        <f>TEXT(F180,"0")&amp;TEXT(G180,"0")&amp;TEXT(H180,"0")</f>
        <v/>
      </c>
      <c r="J180" s="126">
        <f>IFERROR(XLOOKUP(I180,'Segment Map'!A:A,'Segment Map'!B:B,"Need Attention"),"Need Attention")</f>
        <v/>
      </c>
      <c r="K180" s="126">
        <f>IF(E180&gt;=5000,"🏆 Platinum",IF(E180&gt;=2000,"🥇 Gold",IF(E180&gt;=800,"🥈 Silver","🥉 Bronze")))</f>
        <v/>
      </c>
      <c r="L180" s="129" t="n">
        <v>40884</v>
      </c>
    </row>
    <row r="181">
      <c r="A181" s="122" t="n">
        <v>12571</v>
      </c>
      <c r="B181" s="122" t="inlineStr">
        <is>
          <t>France</t>
        </is>
      </c>
      <c r="C181" s="122" t="n">
        <v>40</v>
      </c>
      <c r="D181" s="122" t="n">
        <v>2</v>
      </c>
      <c r="E181" s="123" t="n">
        <v>519.61</v>
      </c>
      <c r="F181" s="124">
        <f>IF(C181&lt;=30,5,IF(C181&lt;=60,4,IF(C181&lt;=120,3,IF(C181&lt;=200,2,1))))</f>
        <v/>
      </c>
      <c r="G181" s="124">
        <f>IF(D181&gt;=20,5,IF(D181&gt;=10,4,IF(D181&gt;=5,3,IF(D181&gt;=2,2,1))))</f>
        <v/>
      </c>
      <c r="H181" s="124">
        <f>IF(E181&gt;=5000,5,IF(E181&gt;=2000,4,IF(E181&gt;=800,3,IF(E181&gt;=300,2,1))))</f>
        <v/>
      </c>
      <c r="I181" s="122">
        <f>TEXT(F181,"0")&amp;TEXT(G181,"0")&amp;TEXT(H181,"0")</f>
        <v/>
      </c>
      <c r="J181" s="122">
        <f>IFERROR(XLOOKUP(I181,'Segment Map'!A:A,'Segment Map'!B:B,"Need Attention"),"Need Attention")</f>
        <v/>
      </c>
      <c r="K181" s="122">
        <f>IF(E181&gt;=5000,"🏆 Platinum",IF(E181&gt;=2000,"🥇 Gold",IF(E181&gt;=800,"🥈 Silver","🥉 Bronze")))</f>
        <v/>
      </c>
      <c r="L181" s="125" t="n">
        <v>40847</v>
      </c>
    </row>
    <row r="182">
      <c r="A182" s="126" t="n">
        <v>12572</v>
      </c>
      <c r="B182" s="126" t="inlineStr">
        <is>
          <t>Germany</t>
        </is>
      </c>
      <c r="C182" s="126" t="n">
        <v>9</v>
      </c>
      <c r="D182" s="126" t="n">
        <v>2</v>
      </c>
      <c r="E182" s="127" t="n">
        <v>1020.42</v>
      </c>
      <c r="F182" s="128">
        <f>IF(C182&lt;=30,5,IF(C182&lt;=60,4,IF(C182&lt;=120,3,IF(C182&lt;=200,2,1))))</f>
        <v/>
      </c>
      <c r="G182" s="128">
        <f>IF(D182&gt;=20,5,IF(D182&gt;=10,4,IF(D182&gt;=5,3,IF(D182&gt;=2,2,1))))</f>
        <v/>
      </c>
      <c r="H182" s="128">
        <f>IF(E182&gt;=5000,5,IF(E182&gt;=2000,4,IF(E182&gt;=800,3,IF(E182&gt;=300,2,1))))</f>
        <v/>
      </c>
      <c r="I182" s="126">
        <f>TEXT(F182,"0")&amp;TEXT(G182,"0")&amp;TEXT(H182,"0")</f>
        <v/>
      </c>
      <c r="J182" s="126">
        <f>IFERROR(XLOOKUP(I182,'Segment Map'!A:A,'Segment Map'!B:B,"Need Attention"),"Need Attention")</f>
        <v/>
      </c>
      <c r="K182" s="126">
        <f>IF(E182&gt;=5000,"🏆 Platinum",IF(E182&gt;=2000,"🥇 Gold",IF(E182&gt;=800,"🥈 Silver","🥉 Bronze")))</f>
        <v/>
      </c>
      <c r="L182" s="129" t="n">
        <v>40878</v>
      </c>
    </row>
    <row r="183">
      <c r="A183" s="122" t="n">
        <v>12573</v>
      </c>
      <c r="B183" s="122" t="inlineStr">
        <is>
          <t>France</t>
        </is>
      </c>
      <c r="C183" s="122" t="n">
        <v>228</v>
      </c>
      <c r="D183" s="122" t="n">
        <v>1</v>
      </c>
      <c r="E183" s="123" t="n">
        <v>160.54</v>
      </c>
      <c r="F183" s="124">
        <f>IF(C183&lt;=30,5,IF(C183&lt;=60,4,IF(C183&lt;=120,3,IF(C183&lt;=200,2,1))))</f>
        <v/>
      </c>
      <c r="G183" s="124">
        <f>IF(D183&gt;=20,5,IF(D183&gt;=10,4,IF(D183&gt;=5,3,IF(D183&gt;=2,2,1))))</f>
        <v/>
      </c>
      <c r="H183" s="124">
        <f>IF(E183&gt;=5000,5,IF(E183&gt;=2000,4,IF(E183&gt;=800,3,IF(E183&gt;=300,2,1))))</f>
        <v/>
      </c>
      <c r="I183" s="122">
        <f>TEXT(F183,"0")&amp;TEXT(G183,"0")&amp;TEXT(H183,"0")</f>
        <v/>
      </c>
      <c r="J183" s="122">
        <f>IFERROR(XLOOKUP(I183,'Segment Map'!A:A,'Segment Map'!B:B,"Need Attention"),"Need Attention")</f>
        <v/>
      </c>
      <c r="K183" s="122">
        <f>IF(E183&gt;=5000,"🏆 Platinum",IF(E183&gt;=2000,"🥇 Gold",IF(E183&gt;=800,"🥈 Silver","🥉 Bronze")))</f>
        <v/>
      </c>
      <c r="L183" s="125" t="n">
        <v>40659</v>
      </c>
    </row>
    <row r="184">
      <c r="A184" s="126" t="n">
        <v>12574</v>
      </c>
      <c r="B184" s="126" t="inlineStr">
        <is>
          <t>France</t>
        </is>
      </c>
      <c r="C184" s="126" t="n">
        <v>316</v>
      </c>
      <c r="D184" s="126" t="n">
        <v>1</v>
      </c>
      <c r="E184" s="127" t="n">
        <v>218.45</v>
      </c>
      <c r="F184" s="128">
        <f>IF(C184&lt;=30,5,IF(C184&lt;=60,4,IF(C184&lt;=120,3,IF(C184&lt;=200,2,1))))</f>
        <v/>
      </c>
      <c r="G184" s="128">
        <f>IF(D184&gt;=20,5,IF(D184&gt;=10,4,IF(D184&gt;=5,3,IF(D184&gt;=2,2,1))))</f>
        <v/>
      </c>
      <c r="H184" s="128">
        <f>IF(E184&gt;=5000,5,IF(E184&gt;=2000,4,IF(E184&gt;=800,3,IF(E184&gt;=300,2,1))))</f>
        <v/>
      </c>
      <c r="I184" s="126">
        <f>TEXT(F184,"0")&amp;TEXT(G184,"0")&amp;TEXT(H184,"0")</f>
        <v/>
      </c>
      <c r="J184" s="126">
        <f>IFERROR(XLOOKUP(I184,'Segment Map'!A:A,'Segment Map'!B:B,"Need Attention"),"Need Attention")</f>
        <v/>
      </c>
      <c r="K184" s="126">
        <f>IF(E184&gt;=5000,"🏆 Platinum",IF(E184&gt;=2000,"🥇 Gold",IF(E184&gt;=800,"🥈 Silver","🥉 Bronze")))</f>
        <v/>
      </c>
      <c r="L184" s="129" t="n">
        <v>40571</v>
      </c>
    </row>
    <row r="185">
      <c r="A185" s="122" t="n">
        <v>12576</v>
      </c>
      <c r="B185" s="122" t="inlineStr">
        <is>
          <t>Poland</t>
        </is>
      </c>
      <c r="C185" s="122" t="n">
        <v>36</v>
      </c>
      <c r="D185" s="122" t="n">
        <v>5</v>
      </c>
      <c r="E185" s="123" t="n">
        <v>1315.83</v>
      </c>
      <c r="F185" s="124">
        <f>IF(C185&lt;=30,5,IF(C185&lt;=60,4,IF(C185&lt;=120,3,IF(C185&lt;=200,2,1))))</f>
        <v/>
      </c>
      <c r="G185" s="124">
        <f>IF(D185&gt;=20,5,IF(D185&gt;=10,4,IF(D185&gt;=5,3,IF(D185&gt;=2,2,1))))</f>
        <v/>
      </c>
      <c r="H185" s="124">
        <f>IF(E185&gt;=5000,5,IF(E185&gt;=2000,4,IF(E185&gt;=800,3,IF(E185&gt;=300,2,1))))</f>
        <v/>
      </c>
      <c r="I185" s="122">
        <f>TEXT(F185,"0")&amp;TEXT(G185,"0")&amp;TEXT(H185,"0")</f>
        <v/>
      </c>
      <c r="J185" s="122">
        <f>IFERROR(XLOOKUP(I185,'Segment Map'!A:A,'Segment Map'!B:B,"Need Attention"),"Need Attention")</f>
        <v/>
      </c>
      <c r="K185" s="122">
        <f>IF(E185&gt;=5000,"🏆 Platinum",IF(E185&gt;=2000,"🥇 Gold",IF(E185&gt;=800,"🥈 Silver","🥉 Bronze")))</f>
        <v/>
      </c>
      <c r="L185" s="125" t="n">
        <v>40851</v>
      </c>
    </row>
    <row r="186">
      <c r="A186" s="126" t="n">
        <v>12577</v>
      </c>
      <c r="B186" s="126" t="inlineStr">
        <is>
          <t>France</t>
        </is>
      </c>
      <c r="C186" s="126" t="n">
        <v>36</v>
      </c>
      <c r="D186" s="126" t="n">
        <v>3</v>
      </c>
      <c r="E186" s="127" t="n">
        <v>657.8</v>
      </c>
      <c r="F186" s="128">
        <f>IF(C186&lt;=30,5,IF(C186&lt;=60,4,IF(C186&lt;=120,3,IF(C186&lt;=200,2,1))))</f>
        <v/>
      </c>
      <c r="G186" s="128">
        <f>IF(D186&gt;=20,5,IF(D186&gt;=10,4,IF(D186&gt;=5,3,IF(D186&gt;=2,2,1))))</f>
        <v/>
      </c>
      <c r="H186" s="128">
        <f>IF(E186&gt;=5000,5,IF(E186&gt;=2000,4,IF(E186&gt;=800,3,IF(E186&gt;=300,2,1))))</f>
        <v/>
      </c>
      <c r="I186" s="126">
        <f>TEXT(F186,"0")&amp;TEXT(G186,"0")&amp;TEXT(H186,"0")</f>
        <v/>
      </c>
      <c r="J186" s="126">
        <f>IFERROR(XLOOKUP(I186,'Segment Map'!A:A,'Segment Map'!B:B,"Need Attention"),"Need Attention")</f>
        <v/>
      </c>
      <c r="K186" s="126">
        <f>IF(E186&gt;=5000,"🏆 Platinum",IF(E186&gt;=2000,"🥇 Gold",IF(E186&gt;=800,"🥈 Silver","🥉 Bronze")))</f>
        <v/>
      </c>
      <c r="L186" s="129" t="n">
        <v>40851</v>
      </c>
    </row>
    <row r="187">
      <c r="A187" s="122" t="n">
        <v>12578</v>
      </c>
      <c r="B187" s="122" t="inlineStr">
        <is>
          <t>Italy</t>
        </is>
      </c>
      <c r="C187" s="122" t="n">
        <v>22</v>
      </c>
      <c r="D187" s="122" t="n">
        <v>2</v>
      </c>
      <c r="E187" s="123" t="n">
        <v>2794.51</v>
      </c>
      <c r="F187" s="124">
        <f>IF(C187&lt;=30,5,IF(C187&lt;=60,4,IF(C187&lt;=120,3,IF(C187&lt;=200,2,1))))</f>
        <v/>
      </c>
      <c r="G187" s="124">
        <f>IF(D187&gt;=20,5,IF(D187&gt;=10,4,IF(D187&gt;=5,3,IF(D187&gt;=2,2,1))))</f>
        <v/>
      </c>
      <c r="H187" s="124">
        <f>IF(E187&gt;=5000,5,IF(E187&gt;=2000,4,IF(E187&gt;=800,3,IF(E187&gt;=300,2,1))))</f>
        <v/>
      </c>
      <c r="I187" s="122">
        <f>TEXT(F187,"0")&amp;TEXT(G187,"0")&amp;TEXT(H187,"0")</f>
        <v/>
      </c>
      <c r="J187" s="122">
        <f>IFERROR(XLOOKUP(I187,'Segment Map'!A:A,'Segment Map'!B:B,"Need Attention"),"Need Attention")</f>
        <v/>
      </c>
      <c r="K187" s="122">
        <f>IF(E187&gt;=5000,"🏆 Platinum",IF(E187&gt;=2000,"🥇 Gold",IF(E187&gt;=800,"🥈 Silver","🥉 Bronze")))</f>
        <v/>
      </c>
      <c r="L187" s="125" t="n">
        <v>40865</v>
      </c>
    </row>
    <row r="188">
      <c r="A188" s="126" t="n">
        <v>12579</v>
      </c>
      <c r="B188" s="126" t="inlineStr">
        <is>
          <t>France</t>
        </is>
      </c>
      <c r="C188" s="126" t="n">
        <v>79</v>
      </c>
      <c r="D188" s="126" t="n">
        <v>1</v>
      </c>
      <c r="E188" s="127" t="n">
        <v>440.42</v>
      </c>
      <c r="F188" s="128">
        <f>IF(C188&lt;=30,5,IF(C188&lt;=60,4,IF(C188&lt;=120,3,IF(C188&lt;=200,2,1))))</f>
        <v/>
      </c>
      <c r="G188" s="128">
        <f>IF(D188&gt;=20,5,IF(D188&gt;=10,4,IF(D188&gt;=5,3,IF(D188&gt;=2,2,1))))</f>
        <v/>
      </c>
      <c r="H188" s="128">
        <f>IF(E188&gt;=5000,5,IF(E188&gt;=2000,4,IF(E188&gt;=800,3,IF(E188&gt;=300,2,1))))</f>
        <v/>
      </c>
      <c r="I188" s="126">
        <f>TEXT(F188,"0")&amp;TEXT(G188,"0")&amp;TEXT(H188,"0")</f>
        <v/>
      </c>
      <c r="J188" s="126">
        <f>IFERROR(XLOOKUP(I188,'Segment Map'!A:A,'Segment Map'!B:B,"Need Attention"),"Need Attention")</f>
        <v/>
      </c>
      <c r="K188" s="126">
        <f>IF(E188&gt;=5000,"🏆 Platinum",IF(E188&gt;=2000,"🥇 Gold",IF(E188&gt;=800,"🥈 Silver","🥉 Bronze")))</f>
        <v/>
      </c>
      <c r="L188" s="129" t="n">
        <v>40808</v>
      </c>
    </row>
    <row r="189">
      <c r="A189" s="122" t="n">
        <v>12580</v>
      </c>
      <c r="B189" s="122" t="inlineStr">
        <is>
          <t>Germany</t>
        </is>
      </c>
      <c r="C189" s="122" t="n">
        <v>247</v>
      </c>
      <c r="D189" s="122" t="n">
        <v>1</v>
      </c>
      <c r="E189" s="123" t="n">
        <v>415.7</v>
      </c>
      <c r="F189" s="124">
        <f>IF(C189&lt;=30,5,IF(C189&lt;=60,4,IF(C189&lt;=120,3,IF(C189&lt;=200,2,1))))</f>
        <v/>
      </c>
      <c r="G189" s="124">
        <f>IF(D189&gt;=20,5,IF(D189&gt;=10,4,IF(D189&gt;=5,3,IF(D189&gt;=2,2,1))))</f>
        <v/>
      </c>
      <c r="H189" s="124">
        <f>IF(E189&gt;=5000,5,IF(E189&gt;=2000,4,IF(E189&gt;=800,3,IF(E189&gt;=300,2,1))))</f>
        <v/>
      </c>
      <c r="I189" s="122">
        <f>TEXT(F189,"0")&amp;TEXT(G189,"0")&amp;TEXT(H189,"0")</f>
        <v/>
      </c>
      <c r="J189" s="122">
        <f>IFERROR(XLOOKUP(I189,'Segment Map'!A:A,'Segment Map'!B:B,"Need Attention"),"Need Attention")</f>
        <v/>
      </c>
      <c r="K189" s="122">
        <f>IF(E189&gt;=5000,"🏆 Platinum",IF(E189&gt;=2000,"🥇 Gold",IF(E189&gt;=800,"🥈 Silver","🥉 Bronze")))</f>
        <v/>
      </c>
      <c r="L189" s="125" t="n">
        <v>40640</v>
      </c>
    </row>
    <row r="190">
      <c r="A190" s="126" t="n">
        <v>12581</v>
      </c>
      <c r="B190" s="126" t="inlineStr">
        <is>
          <t>Germany</t>
        </is>
      </c>
      <c r="C190" s="126" t="n">
        <v>40</v>
      </c>
      <c r="D190" s="126" t="n">
        <v>1</v>
      </c>
      <c r="E190" s="127" t="n">
        <v>197.71</v>
      </c>
      <c r="F190" s="128">
        <f>IF(C190&lt;=30,5,IF(C190&lt;=60,4,IF(C190&lt;=120,3,IF(C190&lt;=200,2,1))))</f>
        <v/>
      </c>
      <c r="G190" s="128">
        <f>IF(D190&gt;=20,5,IF(D190&gt;=10,4,IF(D190&gt;=5,3,IF(D190&gt;=2,2,1))))</f>
        <v/>
      </c>
      <c r="H190" s="128">
        <f>IF(E190&gt;=5000,5,IF(E190&gt;=2000,4,IF(E190&gt;=800,3,IF(E190&gt;=300,2,1))))</f>
        <v/>
      </c>
      <c r="I190" s="126">
        <f>TEXT(F190,"0")&amp;TEXT(G190,"0")&amp;TEXT(H190,"0")</f>
        <v/>
      </c>
      <c r="J190" s="126">
        <f>IFERROR(XLOOKUP(I190,'Segment Map'!A:A,'Segment Map'!B:B,"Need Attention"),"Need Attention")</f>
        <v/>
      </c>
      <c r="K190" s="126">
        <f>IF(E190&gt;=5000,"🏆 Platinum",IF(E190&gt;=2000,"🥇 Gold",IF(E190&gt;=800,"🥈 Silver","🥉 Bronze")))</f>
        <v/>
      </c>
      <c r="L190" s="129" t="n">
        <v>40847</v>
      </c>
    </row>
    <row r="191">
      <c r="A191" s="122" t="n">
        <v>12582</v>
      </c>
      <c r="B191" s="122" t="inlineStr">
        <is>
          <t>Finland</t>
        </is>
      </c>
      <c r="C191" s="122" t="n">
        <v>239</v>
      </c>
      <c r="D191" s="122" t="n">
        <v>2</v>
      </c>
      <c r="E191" s="123" t="n">
        <v>511.36</v>
      </c>
      <c r="F191" s="124">
        <f>IF(C191&lt;=30,5,IF(C191&lt;=60,4,IF(C191&lt;=120,3,IF(C191&lt;=200,2,1))))</f>
        <v/>
      </c>
      <c r="G191" s="124">
        <f>IF(D191&gt;=20,5,IF(D191&gt;=10,4,IF(D191&gt;=5,3,IF(D191&gt;=2,2,1))))</f>
        <v/>
      </c>
      <c r="H191" s="124">
        <f>IF(E191&gt;=5000,5,IF(E191&gt;=2000,4,IF(E191&gt;=800,3,IF(E191&gt;=300,2,1))))</f>
        <v/>
      </c>
      <c r="I191" s="122">
        <f>TEXT(F191,"0")&amp;TEXT(G191,"0")&amp;TEXT(H191,"0")</f>
        <v/>
      </c>
      <c r="J191" s="122">
        <f>IFERROR(XLOOKUP(I191,'Segment Map'!A:A,'Segment Map'!B:B,"Need Attention"),"Need Attention")</f>
        <v/>
      </c>
      <c r="K191" s="122">
        <f>IF(E191&gt;=5000,"🏆 Platinum",IF(E191&gt;=2000,"🥇 Gold",IF(E191&gt;=800,"🥈 Silver","🥉 Bronze")))</f>
        <v/>
      </c>
      <c r="L191" s="125" t="n">
        <v>40648</v>
      </c>
    </row>
    <row r="192">
      <c r="A192" s="126" t="n">
        <v>12583</v>
      </c>
      <c r="B192" s="126" t="inlineStr">
        <is>
          <t>France</t>
        </is>
      </c>
      <c r="C192" s="126" t="n">
        <v>3</v>
      </c>
      <c r="D192" s="126" t="n">
        <v>15</v>
      </c>
      <c r="E192" s="127" t="n">
        <v>7281.38</v>
      </c>
      <c r="F192" s="128">
        <f>IF(C192&lt;=30,5,IF(C192&lt;=60,4,IF(C192&lt;=120,3,IF(C192&lt;=200,2,1))))</f>
        <v/>
      </c>
      <c r="G192" s="128">
        <f>IF(D192&gt;=20,5,IF(D192&gt;=10,4,IF(D192&gt;=5,3,IF(D192&gt;=2,2,1))))</f>
        <v/>
      </c>
      <c r="H192" s="128">
        <f>IF(E192&gt;=5000,5,IF(E192&gt;=2000,4,IF(E192&gt;=800,3,IF(E192&gt;=300,2,1))))</f>
        <v/>
      </c>
      <c r="I192" s="126">
        <f>TEXT(F192,"0")&amp;TEXT(G192,"0")&amp;TEXT(H192,"0")</f>
        <v/>
      </c>
      <c r="J192" s="126">
        <f>IFERROR(XLOOKUP(I192,'Segment Map'!A:A,'Segment Map'!B:B,"Need Attention"),"Need Attention")</f>
        <v/>
      </c>
      <c r="K192" s="126">
        <f>IF(E192&gt;=5000,"🏆 Platinum",IF(E192&gt;=2000,"🥇 Gold",IF(E192&gt;=800,"🥈 Silver","🥉 Bronze")))</f>
        <v/>
      </c>
      <c r="L192" s="129" t="n">
        <v>40884</v>
      </c>
    </row>
    <row r="193">
      <c r="A193" s="122" t="n">
        <v>12584</v>
      </c>
      <c r="B193" s="122" t="inlineStr">
        <is>
          <t>Italy</t>
        </is>
      </c>
      <c r="C193" s="122" t="n">
        <v>4</v>
      </c>
      <c r="D193" s="122" t="n">
        <v>9</v>
      </c>
      <c r="E193" s="123" t="n">
        <v>2338.15</v>
      </c>
      <c r="F193" s="124">
        <f>IF(C193&lt;=30,5,IF(C193&lt;=60,4,IF(C193&lt;=120,3,IF(C193&lt;=200,2,1))))</f>
        <v/>
      </c>
      <c r="G193" s="124">
        <f>IF(D193&gt;=20,5,IF(D193&gt;=10,4,IF(D193&gt;=5,3,IF(D193&gt;=2,2,1))))</f>
        <v/>
      </c>
      <c r="H193" s="124">
        <f>IF(E193&gt;=5000,5,IF(E193&gt;=2000,4,IF(E193&gt;=800,3,IF(E193&gt;=300,2,1))))</f>
        <v/>
      </c>
      <c r="I193" s="122">
        <f>TEXT(F193,"0")&amp;TEXT(G193,"0")&amp;TEXT(H193,"0")</f>
        <v/>
      </c>
      <c r="J193" s="122">
        <f>IFERROR(XLOOKUP(I193,'Segment Map'!A:A,'Segment Map'!B:B,"Need Attention"),"Need Attention")</f>
        <v/>
      </c>
      <c r="K193" s="122">
        <f>IF(E193&gt;=5000,"🏆 Platinum",IF(E193&gt;=2000,"🥇 Gold",IF(E193&gt;=800,"🥈 Silver","🥉 Bronze")))</f>
        <v/>
      </c>
      <c r="L193" s="125" t="n">
        <v>40883</v>
      </c>
    </row>
    <row r="194">
      <c r="A194" s="126" t="n">
        <v>12585</v>
      </c>
      <c r="B194" s="126" t="inlineStr">
        <is>
          <t>Germany</t>
        </is>
      </c>
      <c r="C194" s="126" t="n">
        <v>235</v>
      </c>
      <c r="D194" s="126" t="n">
        <v>2</v>
      </c>
      <c r="E194" s="127" t="n">
        <v>2040.1</v>
      </c>
      <c r="F194" s="128">
        <f>IF(C194&lt;=30,5,IF(C194&lt;=60,4,IF(C194&lt;=120,3,IF(C194&lt;=200,2,1))))</f>
        <v/>
      </c>
      <c r="G194" s="128">
        <f>IF(D194&gt;=20,5,IF(D194&gt;=10,4,IF(D194&gt;=5,3,IF(D194&gt;=2,2,1))))</f>
        <v/>
      </c>
      <c r="H194" s="128">
        <f>IF(E194&gt;=5000,5,IF(E194&gt;=2000,4,IF(E194&gt;=800,3,IF(E194&gt;=300,2,1))))</f>
        <v/>
      </c>
      <c r="I194" s="126">
        <f>TEXT(F194,"0")&amp;TEXT(G194,"0")&amp;TEXT(H194,"0")</f>
        <v/>
      </c>
      <c r="J194" s="126">
        <f>IFERROR(XLOOKUP(I194,'Segment Map'!A:A,'Segment Map'!B:B,"Need Attention"),"Need Attention")</f>
        <v/>
      </c>
      <c r="K194" s="126">
        <f>IF(E194&gt;=5000,"🏆 Platinum",IF(E194&gt;=2000,"🥇 Gold",IF(E194&gt;=800,"🥈 Silver","🥉 Bronze")))</f>
        <v/>
      </c>
      <c r="L194" s="129" t="n">
        <v>40652</v>
      </c>
    </row>
    <row r="195">
      <c r="A195" s="122" t="n">
        <v>12586</v>
      </c>
      <c r="B195" s="122" t="inlineStr">
        <is>
          <t>Italy</t>
        </is>
      </c>
      <c r="C195" s="122" t="n">
        <v>18</v>
      </c>
      <c r="D195" s="122" t="n">
        <v>1</v>
      </c>
      <c r="E195" s="123" t="n">
        <v>196.94</v>
      </c>
      <c r="F195" s="124">
        <f>IF(C195&lt;=30,5,IF(C195&lt;=60,4,IF(C195&lt;=120,3,IF(C195&lt;=200,2,1))))</f>
        <v/>
      </c>
      <c r="G195" s="124">
        <f>IF(D195&gt;=20,5,IF(D195&gt;=10,4,IF(D195&gt;=5,3,IF(D195&gt;=2,2,1))))</f>
        <v/>
      </c>
      <c r="H195" s="124">
        <f>IF(E195&gt;=5000,5,IF(E195&gt;=2000,4,IF(E195&gt;=800,3,IF(E195&gt;=300,2,1))))</f>
        <v/>
      </c>
      <c r="I195" s="122">
        <f>TEXT(F195,"0")&amp;TEXT(G195,"0")&amp;TEXT(H195,"0")</f>
        <v/>
      </c>
      <c r="J195" s="122">
        <f>IFERROR(XLOOKUP(I195,'Segment Map'!A:A,'Segment Map'!B:B,"Need Attention"),"Need Attention")</f>
        <v/>
      </c>
      <c r="K195" s="122">
        <f>IF(E195&gt;=5000,"🏆 Platinum",IF(E195&gt;=2000,"🥇 Gold",IF(E195&gt;=800,"🥈 Silver","🥉 Bronze")))</f>
        <v/>
      </c>
      <c r="L195" s="125" t="n">
        <v>40869</v>
      </c>
    </row>
    <row r="196">
      <c r="A196" s="126" t="n">
        <v>12587</v>
      </c>
      <c r="B196" s="126" t="inlineStr">
        <is>
          <t>Finland</t>
        </is>
      </c>
      <c r="C196" s="126" t="n">
        <v>8</v>
      </c>
      <c r="D196" s="126" t="n">
        <v>1</v>
      </c>
      <c r="E196" s="127" t="n">
        <v>144</v>
      </c>
      <c r="F196" s="128">
        <f>IF(C196&lt;=30,5,IF(C196&lt;=60,4,IF(C196&lt;=120,3,IF(C196&lt;=200,2,1))))</f>
        <v/>
      </c>
      <c r="G196" s="128">
        <f>IF(D196&gt;=20,5,IF(D196&gt;=10,4,IF(D196&gt;=5,3,IF(D196&gt;=2,2,1))))</f>
        <v/>
      </c>
      <c r="H196" s="128">
        <f>IF(E196&gt;=5000,5,IF(E196&gt;=2000,4,IF(E196&gt;=800,3,IF(E196&gt;=300,2,1))))</f>
        <v/>
      </c>
      <c r="I196" s="126">
        <f>TEXT(F196,"0")&amp;TEXT(G196,"0")&amp;TEXT(H196,"0")</f>
        <v/>
      </c>
      <c r="J196" s="126">
        <f>IFERROR(XLOOKUP(I196,'Segment Map'!A:A,'Segment Map'!B:B,"Need Attention"),"Need Attention")</f>
        <v/>
      </c>
      <c r="K196" s="126">
        <f>IF(E196&gt;=5000,"🏆 Platinum",IF(E196&gt;=2000,"🥇 Gold",IF(E196&gt;=800,"🥈 Silver","🥉 Bronze")))</f>
        <v/>
      </c>
      <c r="L196" s="129" t="n">
        <v>40879</v>
      </c>
    </row>
    <row r="197">
      <c r="A197" s="122" t="n">
        <v>12588</v>
      </c>
      <c r="B197" s="122" t="inlineStr">
        <is>
          <t>Finland</t>
        </is>
      </c>
      <c r="C197" s="122" t="n">
        <v>40</v>
      </c>
      <c r="D197" s="122" t="n">
        <v>1</v>
      </c>
      <c r="E197" s="123" t="n">
        <v>214.9</v>
      </c>
      <c r="F197" s="124">
        <f>IF(C197&lt;=30,5,IF(C197&lt;=60,4,IF(C197&lt;=120,3,IF(C197&lt;=200,2,1))))</f>
        <v/>
      </c>
      <c r="G197" s="124">
        <f>IF(D197&gt;=20,5,IF(D197&gt;=10,4,IF(D197&gt;=5,3,IF(D197&gt;=2,2,1))))</f>
        <v/>
      </c>
      <c r="H197" s="124">
        <f>IF(E197&gt;=5000,5,IF(E197&gt;=2000,4,IF(E197&gt;=800,3,IF(E197&gt;=300,2,1))))</f>
        <v/>
      </c>
      <c r="I197" s="122">
        <f>TEXT(F197,"0")&amp;TEXT(G197,"0")&amp;TEXT(H197,"0")</f>
        <v/>
      </c>
      <c r="J197" s="122">
        <f>IFERROR(XLOOKUP(I197,'Segment Map'!A:A,'Segment Map'!B:B,"Need Attention"),"Need Attention")</f>
        <v/>
      </c>
      <c r="K197" s="122">
        <f>IF(E197&gt;=5000,"🏆 Platinum",IF(E197&gt;=2000,"🥇 Gold",IF(E197&gt;=800,"🥈 Silver","🥉 Bronze")))</f>
        <v/>
      </c>
      <c r="L197" s="125" t="n">
        <v>40847</v>
      </c>
    </row>
    <row r="198">
      <c r="A198" s="126" t="n">
        <v>12589</v>
      </c>
      <c r="B198" s="126" t="inlineStr">
        <is>
          <t>France</t>
        </is>
      </c>
      <c r="C198" s="126" t="n">
        <v>29</v>
      </c>
      <c r="D198" s="126" t="n">
        <v>2</v>
      </c>
      <c r="E198" s="127" t="n">
        <v>646.6799999999999</v>
      </c>
      <c r="F198" s="128">
        <f>IF(C198&lt;=30,5,IF(C198&lt;=60,4,IF(C198&lt;=120,3,IF(C198&lt;=200,2,1))))</f>
        <v/>
      </c>
      <c r="G198" s="128">
        <f>IF(D198&gt;=20,5,IF(D198&gt;=10,4,IF(D198&gt;=5,3,IF(D198&gt;=2,2,1))))</f>
        <v/>
      </c>
      <c r="H198" s="128">
        <f>IF(E198&gt;=5000,5,IF(E198&gt;=2000,4,IF(E198&gt;=800,3,IF(E198&gt;=300,2,1))))</f>
        <v/>
      </c>
      <c r="I198" s="126">
        <f>TEXT(F198,"0")&amp;TEXT(G198,"0")&amp;TEXT(H198,"0")</f>
        <v/>
      </c>
      <c r="J198" s="126">
        <f>IFERROR(XLOOKUP(I198,'Segment Map'!A:A,'Segment Map'!B:B,"Need Attention"),"Need Attention")</f>
        <v/>
      </c>
      <c r="K198" s="126">
        <f>IF(E198&gt;=5000,"🏆 Platinum",IF(E198&gt;=2000,"🥇 Gold",IF(E198&gt;=800,"🥈 Silver","🥉 Bronze")))</f>
        <v/>
      </c>
      <c r="L198" s="129" t="n">
        <v>40858</v>
      </c>
    </row>
    <row r="199">
      <c r="A199" s="122" t="n">
        <v>12590</v>
      </c>
      <c r="B199" s="122" t="inlineStr">
        <is>
          <t>Germany</t>
        </is>
      </c>
      <c r="C199" s="122" t="n">
        <v>212</v>
      </c>
      <c r="D199" s="122" t="n">
        <v>2</v>
      </c>
      <c r="E199" s="123" t="n">
        <v>9864.26</v>
      </c>
      <c r="F199" s="124">
        <f>IF(C199&lt;=30,5,IF(C199&lt;=60,4,IF(C199&lt;=120,3,IF(C199&lt;=200,2,1))))</f>
        <v/>
      </c>
      <c r="G199" s="124">
        <f>IF(D199&gt;=20,5,IF(D199&gt;=10,4,IF(D199&gt;=5,3,IF(D199&gt;=2,2,1))))</f>
        <v/>
      </c>
      <c r="H199" s="124">
        <f>IF(E199&gt;=5000,5,IF(E199&gt;=2000,4,IF(E199&gt;=800,3,IF(E199&gt;=300,2,1))))</f>
        <v/>
      </c>
      <c r="I199" s="122">
        <f>TEXT(F199,"0")&amp;TEXT(G199,"0")&amp;TEXT(H199,"0")</f>
        <v/>
      </c>
      <c r="J199" s="122">
        <f>IFERROR(XLOOKUP(I199,'Segment Map'!A:A,'Segment Map'!B:B,"Need Attention"),"Need Attention")</f>
        <v/>
      </c>
      <c r="K199" s="122">
        <f>IF(E199&gt;=5000,"🏆 Platinum",IF(E199&gt;=2000,"🥇 Gold",IF(E199&gt;=800,"🥈 Silver","🥉 Bronze")))</f>
        <v/>
      </c>
      <c r="L199" s="125" t="n">
        <v>40675</v>
      </c>
    </row>
    <row r="200">
      <c r="A200" s="126" t="n">
        <v>12591</v>
      </c>
      <c r="B200" s="126" t="inlineStr">
        <is>
          <t>Italy</t>
        </is>
      </c>
      <c r="C200" s="126" t="n">
        <v>318</v>
      </c>
      <c r="D200" s="126" t="n">
        <v>1</v>
      </c>
      <c r="E200" s="127" t="n">
        <v>452.85</v>
      </c>
      <c r="F200" s="128">
        <f>IF(C200&lt;=30,5,IF(C200&lt;=60,4,IF(C200&lt;=120,3,IF(C200&lt;=200,2,1))))</f>
        <v/>
      </c>
      <c r="G200" s="128">
        <f>IF(D200&gt;=20,5,IF(D200&gt;=10,4,IF(D200&gt;=5,3,IF(D200&gt;=2,2,1))))</f>
        <v/>
      </c>
      <c r="H200" s="128">
        <f>IF(E200&gt;=5000,5,IF(E200&gt;=2000,4,IF(E200&gt;=800,3,IF(E200&gt;=300,2,1))))</f>
        <v/>
      </c>
      <c r="I200" s="126">
        <f>TEXT(F200,"0")&amp;TEXT(G200,"0")&amp;TEXT(H200,"0")</f>
        <v/>
      </c>
      <c r="J200" s="126">
        <f>IFERROR(XLOOKUP(I200,'Segment Map'!A:A,'Segment Map'!B:B,"Need Attention"),"Need Attention")</f>
        <v/>
      </c>
      <c r="K200" s="126">
        <f>IF(E200&gt;=5000,"🏆 Platinum",IF(E200&gt;=2000,"🥇 Gold",IF(E200&gt;=800,"🥈 Silver","🥉 Bronze")))</f>
        <v/>
      </c>
      <c r="L200" s="129" t="n">
        <v>40569</v>
      </c>
    </row>
    <row r="201">
      <c r="A201" s="122" t="n">
        <v>12592</v>
      </c>
      <c r="B201" s="122" t="inlineStr">
        <is>
          <t>Germany</t>
        </is>
      </c>
      <c r="C201" s="122" t="n">
        <v>93</v>
      </c>
      <c r="D201" s="122" t="n">
        <v>2</v>
      </c>
      <c r="E201" s="123" t="n">
        <v>437.6</v>
      </c>
      <c r="F201" s="124">
        <f>IF(C201&lt;=30,5,IF(C201&lt;=60,4,IF(C201&lt;=120,3,IF(C201&lt;=200,2,1))))</f>
        <v/>
      </c>
      <c r="G201" s="124">
        <f>IF(D201&gt;=20,5,IF(D201&gt;=10,4,IF(D201&gt;=5,3,IF(D201&gt;=2,2,1))))</f>
        <v/>
      </c>
      <c r="H201" s="124">
        <f>IF(E201&gt;=5000,5,IF(E201&gt;=2000,4,IF(E201&gt;=800,3,IF(E201&gt;=300,2,1))))</f>
        <v/>
      </c>
      <c r="I201" s="122">
        <f>TEXT(F201,"0")&amp;TEXT(G201,"0")&amp;TEXT(H201,"0")</f>
        <v/>
      </c>
      <c r="J201" s="122">
        <f>IFERROR(XLOOKUP(I201,'Segment Map'!A:A,'Segment Map'!B:B,"Need Attention"),"Need Attention")</f>
        <v/>
      </c>
      <c r="K201" s="122">
        <f>IF(E201&gt;=5000,"🏆 Platinum",IF(E201&gt;=2000,"🥇 Gold",IF(E201&gt;=800,"🥈 Silver","🥉 Bronze")))</f>
        <v/>
      </c>
      <c r="L201" s="125" t="n">
        <v>40794</v>
      </c>
    </row>
    <row r="202">
      <c r="A202" s="126" t="n">
        <v>12593</v>
      </c>
      <c r="B202" s="126" t="inlineStr">
        <is>
          <t>France</t>
        </is>
      </c>
      <c r="C202" s="126" t="n">
        <v>109</v>
      </c>
      <c r="D202" s="126" t="n">
        <v>3</v>
      </c>
      <c r="E202" s="127" t="n">
        <v>418.1</v>
      </c>
      <c r="F202" s="128">
        <f>IF(C202&lt;=30,5,IF(C202&lt;=60,4,IF(C202&lt;=120,3,IF(C202&lt;=200,2,1))))</f>
        <v/>
      </c>
      <c r="G202" s="128">
        <f>IF(D202&gt;=20,5,IF(D202&gt;=10,4,IF(D202&gt;=5,3,IF(D202&gt;=2,2,1))))</f>
        <v/>
      </c>
      <c r="H202" s="128">
        <f>IF(E202&gt;=5000,5,IF(E202&gt;=2000,4,IF(E202&gt;=800,3,IF(E202&gt;=300,2,1))))</f>
        <v/>
      </c>
      <c r="I202" s="126">
        <f>TEXT(F202,"0")&amp;TEXT(G202,"0")&amp;TEXT(H202,"0")</f>
        <v/>
      </c>
      <c r="J202" s="126">
        <f>IFERROR(XLOOKUP(I202,'Segment Map'!A:A,'Segment Map'!B:B,"Need Attention"),"Need Attention")</f>
        <v/>
      </c>
      <c r="K202" s="126">
        <f>IF(E202&gt;=5000,"🏆 Platinum",IF(E202&gt;=2000,"🥇 Gold",IF(E202&gt;=800,"🥈 Silver","🥉 Bronze")))</f>
        <v/>
      </c>
      <c r="L202" s="129" t="n">
        <v>40778</v>
      </c>
    </row>
    <row r="203">
      <c r="A203" s="122" t="n">
        <v>12594</v>
      </c>
      <c r="B203" s="122" t="inlineStr">
        <is>
          <t>Italy</t>
        </is>
      </c>
      <c r="C203" s="122" t="n">
        <v>38</v>
      </c>
      <c r="D203" s="122" t="n">
        <v>10</v>
      </c>
      <c r="E203" s="123" t="n">
        <v>3338.22</v>
      </c>
      <c r="F203" s="124">
        <f>IF(C203&lt;=30,5,IF(C203&lt;=60,4,IF(C203&lt;=120,3,IF(C203&lt;=200,2,1))))</f>
        <v/>
      </c>
      <c r="G203" s="124">
        <f>IF(D203&gt;=20,5,IF(D203&gt;=10,4,IF(D203&gt;=5,3,IF(D203&gt;=2,2,1))))</f>
        <v/>
      </c>
      <c r="H203" s="124">
        <f>IF(E203&gt;=5000,5,IF(E203&gt;=2000,4,IF(E203&gt;=800,3,IF(E203&gt;=300,2,1))))</f>
        <v/>
      </c>
      <c r="I203" s="122">
        <f>TEXT(F203,"0")&amp;TEXT(G203,"0")&amp;TEXT(H203,"0")</f>
        <v/>
      </c>
      <c r="J203" s="122">
        <f>IFERROR(XLOOKUP(I203,'Segment Map'!A:A,'Segment Map'!B:B,"Need Attention"),"Need Attention")</f>
        <v/>
      </c>
      <c r="K203" s="122">
        <f>IF(E203&gt;=5000,"🏆 Platinum",IF(E203&gt;=2000,"🥇 Gold",IF(E203&gt;=800,"🥈 Silver","🥉 Bronze")))</f>
        <v/>
      </c>
      <c r="L203" s="125" t="n">
        <v>40849</v>
      </c>
    </row>
    <row r="204">
      <c r="A204" s="126" t="n">
        <v>12596</v>
      </c>
      <c r="B204" s="126" t="inlineStr">
        <is>
          <t>Spain</t>
        </is>
      </c>
      <c r="C204" s="126" t="n">
        <v>52</v>
      </c>
      <c r="D204" s="126" t="n">
        <v>2</v>
      </c>
      <c r="E204" s="127" t="n">
        <v>618.27</v>
      </c>
      <c r="F204" s="128">
        <f>IF(C204&lt;=30,5,IF(C204&lt;=60,4,IF(C204&lt;=120,3,IF(C204&lt;=200,2,1))))</f>
        <v/>
      </c>
      <c r="G204" s="128">
        <f>IF(D204&gt;=20,5,IF(D204&gt;=10,4,IF(D204&gt;=5,3,IF(D204&gt;=2,2,1))))</f>
        <v/>
      </c>
      <c r="H204" s="128">
        <f>IF(E204&gt;=5000,5,IF(E204&gt;=2000,4,IF(E204&gt;=800,3,IF(E204&gt;=300,2,1))))</f>
        <v/>
      </c>
      <c r="I204" s="126">
        <f>TEXT(F204,"0")&amp;TEXT(G204,"0")&amp;TEXT(H204,"0")</f>
        <v/>
      </c>
      <c r="J204" s="126">
        <f>IFERROR(XLOOKUP(I204,'Segment Map'!A:A,'Segment Map'!B:B,"Need Attention"),"Need Attention")</f>
        <v/>
      </c>
      <c r="K204" s="126">
        <f>IF(E204&gt;=5000,"🏆 Platinum",IF(E204&gt;=2000,"🥇 Gold",IF(E204&gt;=800,"🥈 Silver","🥉 Bronze")))</f>
        <v/>
      </c>
      <c r="L204" s="129" t="n">
        <v>40835</v>
      </c>
    </row>
    <row r="205">
      <c r="A205" s="122" t="n">
        <v>12597</v>
      </c>
      <c r="B205" s="122" t="inlineStr">
        <is>
          <t>Spain</t>
        </is>
      </c>
      <c r="C205" s="122" t="n">
        <v>20</v>
      </c>
      <c r="D205" s="122" t="n">
        <v>4</v>
      </c>
      <c r="E205" s="123" t="n">
        <v>3811.22</v>
      </c>
      <c r="F205" s="124">
        <f>IF(C205&lt;=30,5,IF(C205&lt;=60,4,IF(C205&lt;=120,3,IF(C205&lt;=200,2,1))))</f>
        <v/>
      </c>
      <c r="G205" s="124">
        <f>IF(D205&gt;=20,5,IF(D205&gt;=10,4,IF(D205&gt;=5,3,IF(D205&gt;=2,2,1))))</f>
        <v/>
      </c>
      <c r="H205" s="124">
        <f>IF(E205&gt;=5000,5,IF(E205&gt;=2000,4,IF(E205&gt;=800,3,IF(E205&gt;=300,2,1))))</f>
        <v/>
      </c>
      <c r="I205" s="122">
        <f>TEXT(F205,"0")&amp;TEXT(G205,"0")&amp;TEXT(H205,"0")</f>
        <v/>
      </c>
      <c r="J205" s="122">
        <f>IFERROR(XLOOKUP(I205,'Segment Map'!A:A,'Segment Map'!B:B,"Need Attention"),"Need Attention")</f>
        <v/>
      </c>
      <c r="K205" s="122">
        <f>IF(E205&gt;=5000,"🏆 Platinum",IF(E205&gt;=2000,"🥇 Gold",IF(E205&gt;=800,"🥈 Silver","🥉 Bronze")))</f>
        <v/>
      </c>
      <c r="L205" s="125" t="n">
        <v>40867</v>
      </c>
    </row>
    <row r="206">
      <c r="A206" s="126" t="n">
        <v>12598</v>
      </c>
      <c r="B206" s="126" t="inlineStr">
        <is>
          <t>France</t>
        </is>
      </c>
      <c r="C206" s="126" t="n">
        <v>10</v>
      </c>
      <c r="D206" s="126" t="n">
        <v>8</v>
      </c>
      <c r="E206" s="127" t="n">
        <v>3023.08</v>
      </c>
      <c r="F206" s="128">
        <f>IF(C206&lt;=30,5,IF(C206&lt;=60,4,IF(C206&lt;=120,3,IF(C206&lt;=200,2,1))))</f>
        <v/>
      </c>
      <c r="G206" s="128">
        <f>IF(D206&gt;=20,5,IF(D206&gt;=10,4,IF(D206&gt;=5,3,IF(D206&gt;=2,2,1))))</f>
        <v/>
      </c>
      <c r="H206" s="128">
        <f>IF(E206&gt;=5000,5,IF(E206&gt;=2000,4,IF(E206&gt;=800,3,IF(E206&gt;=300,2,1))))</f>
        <v/>
      </c>
      <c r="I206" s="126">
        <f>TEXT(F206,"0")&amp;TEXT(G206,"0")&amp;TEXT(H206,"0")</f>
        <v/>
      </c>
      <c r="J206" s="126">
        <f>IFERROR(XLOOKUP(I206,'Segment Map'!A:A,'Segment Map'!B:B,"Need Attention"),"Need Attention")</f>
        <v/>
      </c>
      <c r="K206" s="126">
        <f>IF(E206&gt;=5000,"🏆 Platinum",IF(E206&gt;=2000,"🥇 Gold",IF(E206&gt;=800,"🥈 Silver","🥉 Bronze")))</f>
        <v/>
      </c>
      <c r="L206" s="129" t="n">
        <v>40877</v>
      </c>
    </row>
    <row r="207">
      <c r="A207" s="122" t="n">
        <v>12599</v>
      </c>
      <c r="B207" s="122" t="inlineStr">
        <is>
          <t>France</t>
        </is>
      </c>
      <c r="C207" s="122" t="n">
        <v>30</v>
      </c>
      <c r="D207" s="122" t="n">
        <v>7</v>
      </c>
      <c r="E207" s="123" t="n">
        <v>1032.58</v>
      </c>
      <c r="F207" s="124">
        <f>IF(C207&lt;=30,5,IF(C207&lt;=60,4,IF(C207&lt;=120,3,IF(C207&lt;=200,2,1))))</f>
        <v/>
      </c>
      <c r="G207" s="124">
        <f>IF(D207&gt;=20,5,IF(D207&gt;=10,4,IF(D207&gt;=5,3,IF(D207&gt;=2,2,1))))</f>
        <v/>
      </c>
      <c r="H207" s="124">
        <f>IF(E207&gt;=5000,5,IF(E207&gt;=2000,4,IF(E207&gt;=800,3,IF(E207&gt;=300,2,1))))</f>
        <v/>
      </c>
      <c r="I207" s="122">
        <f>TEXT(F207,"0")&amp;TEXT(G207,"0")&amp;TEXT(H207,"0")</f>
        <v/>
      </c>
      <c r="J207" s="122">
        <f>IFERROR(XLOOKUP(I207,'Segment Map'!A:A,'Segment Map'!B:B,"Need Attention"),"Need Attention")</f>
        <v/>
      </c>
      <c r="K207" s="122">
        <f>IF(E207&gt;=5000,"🏆 Platinum",IF(E207&gt;=2000,"🥇 Gold",IF(E207&gt;=800,"🥈 Silver","🥉 Bronze")))</f>
        <v/>
      </c>
      <c r="L207" s="125" t="n">
        <v>40857</v>
      </c>
    </row>
    <row r="208">
      <c r="A208" s="126" t="n">
        <v>12600</v>
      </c>
      <c r="B208" s="126" t="inlineStr">
        <is>
          <t>Germany</t>
        </is>
      </c>
      <c r="C208" s="126" t="n">
        <v>29</v>
      </c>
      <c r="D208" s="126" t="n">
        <v>10</v>
      </c>
      <c r="E208" s="127" t="n">
        <v>2599.04</v>
      </c>
      <c r="F208" s="128">
        <f>IF(C208&lt;=30,5,IF(C208&lt;=60,4,IF(C208&lt;=120,3,IF(C208&lt;=200,2,1))))</f>
        <v/>
      </c>
      <c r="G208" s="128">
        <f>IF(D208&gt;=20,5,IF(D208&gt;=10,4,IF(D208&gt;=5,3,IF(D208&gt;=2,2,1))))</f>
        <v/>
      </c>
      <c r="H208" s="128">
        <f>IF(E208&gt;=5000,5,IF(E208&gt;=2000,4,IF(E208&gt;=800,3,IF(E208&gt;=300,2,1))))</f>
        <v/>
      </c>
      <c r="I208" s="126">
        <f>TEXT(F208,"0")&amp;TEXT(G208,"0")&amp;TEXT(H208,"0")</f>
        <v/>
      </c>
      <c r="J208" s="126">
        <f>IFERROR(XLOOKUP(I208,'Segment Map'!A:A,'Segment Map'!B:B,"Need Attention"),"Need Attention")</f>
        <v/>
      </c>
      <c r="K208" s="126">
        <f>IF(E208&gt;=5000,"🏆 Platinum",IF(E208&gt;=2000,"🥇 Gold",IF(E208&gt;=800,"🥈 Silver","🥉 Bronze")))</f>
        <v/>
      </c>
      <c r="L208" s="129" t="n">
        <v>40858</v>
      </c>
    </row>
    <row r="209">
      <c r="A209" s="122" t="n">
        <v>12601</v>
      </c>
      <c r="B209" s="122" t="inlineStr">
        <is>
          <t>Germany</t>
        </is>
      </c>
      <c r="C209" s="122" t="n">
        <v>190</v>
      </c>
      <c r="D209" s="122" t="n">
        <v>5</v>
      </c>
      <c r="E209" s="123" t="n">
        <v>577.0599999999999</v>
      </c>
      <c r="F209" s="124">
        <f>IF(C209&lt;=30,5,IF(C209&lt;=60,4,IF(C209&lt;=120,3,IF(C209&lt;=200,2,1))))</f>
        <v/>
      </c>
      <c r="G209" s="124">
        <f>IF(D209&gt;=20,5,IF(D209&gt;=10,4,IF(D209&gt;=5,3,IF(D209&gt;=2,2,1))))</f>
        <v/>
      </c>
      <c r="H209" s="124">
        <f>IF(E209&gt;=5000,5,IF(E209&gt;=2000,4,IF(E209&gt;=800,3,IF(E209&gt;=300,2,1))))</f>
        <v/>
      </c>
      <c r="I209" s="122">
        <f>TEXT(F209,"0")&amp;TEXT(G209,"0")&amp;TEXT(H209,"0")</f>
        <v/>
      </c>
      <c r="J209" s="122">
        <f>IFERROR(XLOOKUP(I209,'Segment Map'!A:A,'Segment Map'!B:B,"Need Attention"),"Need Attention")</f>
        <v/>
      </c>
      <c r="K209" s="122">
        <f>IF(E209&gt;=5000,"🏆 Platinum",IF(E209&gt;=2000,"🥇 Gold",IF(E209&gt;=800,"🥈 Silver","🥉 Bronze")))</f>
        <v/>
      </c>
      <c r="L209" s="125" t="n">
        <v>40697</v>
      </c>
    </row>
    <row r="210">
      <c r="A210" s="126" t="n">
        <v>12602</v>
      </c>
      <c r="B210" s="126" t="inlineStr">
        <is>
          <t>France</t>
        </is>
      </c>
      <c r="C210" s="126" t="n">
        <v>59</v>
      </c>
      <c r="D210" s="126" t="n">
        <v>1</v>
      </c>
      <c r="E210" s="127" t="n">
        <v>153.12</v>
      </c>
      <c r="F210" s="128">
        <f>IF(C210&lt;=30,5,IF(C210&lt;=60,4,IF(C210&lt;=120,3,IF(C210&lt;=200,2,1))))</f>
        <v/>
      </c>
      <c r="G210" s="128">
        <f>IF(D210&gt;=20,5,IF(D210&gt;=10,4,IF(D210&gt;=5,3,IF(D210&gt;=2,2,1))))</f>
        <v/>
      </c>
      <c r="H210" s="128">
        <f>IF(E210&gt;=5000,5,IF(E210&gt;=2000,4,IF(E210&gt;=800,3,IF(E210&gt;=300,2,1))))</f>
        <v/>
      </c>
      <c r="I210" s="126">
        <f>TEXT(F210,"0")&amp;TEXT(G210,"0")&amp;TEXT(H210,"0")</f>
        <v/>
      </c>
      <c r="J210" s="126">
        <f>IFERROR(XLOOKUP(I210,'Segment Map'!A:A,'Segment Map'!B:B,"Need Attention"),"Need Attention")</f>
        <v/>
      </c>
      <c r="K210" s="126">
        <f>IF(E210&gt;=5000,"🏆 Platinum",IF(E210&gt;=2000,"🥇 Gold",IF(E210&gt;=800,"🥈 Silver","🥉 Bronze")))</f>
        <v/>
      </c>
      <c r="L210" s="129" t="n">
        <v>40828</v>
      </c>
    </row>
    <row r="211">
      <c r="A211" s="122" t="n">
        <v>12603</v>
      </c>
      <c r="B211" s="122" t="inlineStr">
        <is>
          <t>Germany</t>
        </is>
      </c>
      <c r="C211" s="122" t="n">
        <v>22</v>
      </c>
      <c r="D211" s="122" t="n">
        <v>1</v>
      </c>
      <c r="E211" s="123" t="n">
        <v>739.2</v>
      </c>
      <c r="F211" s="124">
        <f>IF(C211&lt;=30,5,IF(C211&lt;=60,4,IF(C211&lt;=120,3,IF(C211&lt;=200,2,1))))</f>
        <v/>
      </c>
      <c r="G211" s="124">
        <f>IF(D211&gt;=20,5,IF(D211&gt;=10,4,IF(D211&gt;=5,3,IF(D211&gt;=2,2,1))))</f>
        <v/>
      </c>
      <c r="H211" s="124">
        <f>IF(E211&gt;=5000,5,IF(E211&gt;=2000,4,IF(E211&gt;=800,3,IF(E211&gt;=300,2,1))))</f>
        <v/>
      </c>
      <c r="I211" s="122">
        <f>TEXT(F211,"0")&amp;TEXT(G211,"0")&amp;TEXT(H211,"0")</f>
        <v/>
      </c>
      <c r="J211" s="122">
        <f>IFERROR(XLOOKUP(I211,'Segment Map'!A:A,'Segment Map'!B:B,"Need Attention"),"Need Attention")</f>
        <v/>
      </c>
      <c r="K211" s="122">
        <f>IF(E211&gt;=5000,"🏆 Platinum",IF(E211&gt;=2000,"🥇 Gold",IF(E211&gt;=800,"🥈 Silver","🥉 Bronze")))</f>
        <v/>
      </c>
      <c r="L211" s="125" t="n">
        <v>40865</v>
      </c>
    </row>
    <row r="212">
      <c r="A212" s="126" t="n">
        <v>12604</v>
      </c>
      <c r="B212" s="126" t="inlineStr">
        <is>
          <t>France</t>
        </is>
      </c>
      <c r="C212" s="126" t="n">
        <v>80</v>
      </c>
      <c r="D212" s="126" t="n">
        <v>2</v>
      </c>
      <c r="E212" s="127" t="n">
        <v>254.18</v>
      </c>
      <c r="F212" s="128">
        <f>IF(C212&lt;=30,5,IF(C212&lt;=60,4,IF(C212&lt;=120,3,IF(C212&lt;=200,2,1))))</f>
        <v/>
      </c>
      <c r="G212" s="128">
        <f>IF(D212&gt;=20,5,IF(D212&gt;=10,4,IF(D212&gt;=5,3,IF(D212&gt;=2,2,1))))</f>
        <v/>
      </c>
      <c r="H212" s="128">
        <f>IF(E212&gt;=5000,5,IF(E212&gt;=2000,4,IF(E212&gt;=800,3,IF(E212&gt;=300,2,1))))</f>
        <v/>
      </c>
      <c r="I212" s="126">
        <f>TEXT(F212,"0")&amp;TEXT(G212,"0")&amp;TEXT(H212,"0")</f>
        <v/>
      </c>
      <c r="J212" s="126">
        <f>IFERROR(XLOOKUP(I212,'Segment Map'!A:A,'Segment Map'!B:B,"Need Attention"),"Need Attention")</f>
        <v/>
      </c>
      <c r="K212" s="126">
        <f>IF(E212&gt;=5000,"🏆 Platinum",IF(E212&gt;=2000,"🥇 Gold",IF(E212&gt;=800,"🥈 Silver","🥉 Bronze")))</f>
        <v/>
      </c>
      <c r="L212" s="129" t="n">
        <v>40807</v>
      </c>
    </row>
    <row r="213">
      <c r="A213" s="122" t="n">
        <v>12607</v>
      </c>
      <c r="B213" s="122" t="inlineStr">
        <is>
          <t>USA</t>
        </is>
      </c>
      <c r="C213" s="122" t="n">
        <v>61</v>
      </c>
      <c r="D213" s="122" t="n">
        <v>1</v>
      </c>
      <c r="E213" s="123" t="n">
        <v>1579.51</v>
      </c>
      <c r="F213" s="124">
        <f>IF(C213&lt;=30,5,IF(C213&lt;=60,4,IF(C213&lt;=120,3,IF(C213&lt;=200,2,1))))</f>
        <v/>
      </c>
      <c r="G213" s="124">
        <f>IF(D213&gt;=20,5,IF(D213&gt;=10,4,IF(D213&gt;=5,3,IF(D213&gt;=2,2,1))))</f>
        <v/>
      </c>
      <c r="H213" s="124">
        <f>IF(E213&gt;=5000,5,IF(E213&gt;=2000,4,IF(E213&gt;=800,3,IF(E213&gt;=300,2,1))))</f>
        <v/>
      </c>
      <c r="I213" s="122">
        <f>TEXT(F213,"0")&amp;TEXT(G213,"0")&amp;TEXT(H213,"0")</f>
        <v/>
      </c>
      <c r="J213" s="122">
        <f>IFERROR(XLOOKUP(I213,'Segment Map'!A:A,'Segment Map'!B:B,"Need Attention"),"Need Attention")</f>
        <v/>
      </c>
      <c r="K213" s="122">
        <f>IF(E213&gt;=5000,"🏆 Platinum",IF(E213&gt;=2000,"🥇 Gold",IF(E213&gt;=800,"🥈 Silver","🥉 Bronze")))</f>
        <v/>
      </c>
      <c r="L213" s="125" t="n">
        <v>40826</v>
      </c>
    </row>
    <row r="214">
      <c r="A214" s="126" t="n">
        <v>12609</v>
      </c>
      <c r="B214" s="126" t="inlineStr">
        <is>
          <t>Germany</t>
        </is>
      </c>
      <c r="C214" s="126" t="n">
        <v>79</v>
      </c>
      <c r="D214" s="126" t="n">
        <v>3</v>
      </c>
      <c r="E214" s="127" t="n">
        <v>1126.85</v>
      </c>
      <c r="F214" s="128">
        <f>IF(C214&lt;=30,5,IF(C214&lt;=60,4,IF(C214&lt;=120,3,IF(C214&lt;=200,2,1))))</f>
        <v/>
      </c>
      <c r="G214" s="128">
        <f>IF(D214&gt;=20,5,IF(D214&gt;=10,4,IF(D214&gt;=5,3,IF(D214&gt;=2,2,1))))</f>
        <v/>
      </c>
      <c r="H214" s="128">
        <f>IF(E214&gt;=5000,5,IF(E214&gt;=2000,4,IF(E214&gt;=800,3,IF(E214&gt;=300,2,1))))</f>
        <v/>
      </c>
      <c r="I214" s="126">
        <f>TEXT(F214,"0")&amp;TEXT(G214,"0")&amp;TEXT(H214,"0")</f>
        <v/>
      </c>
      <c r="J214" s="126">
        <f>IFERROR(XLOOKUP(I214,'Segment Map'!A:A,'Segment Map'!B:B,"Need Attention"),"Need Attention")</f>
        <v/>
      </c>
      <c r="K214" s="126">
        <f>IF(E214&gt;=5000,"🏆 Platinum",IF(E214&gt;=2000,"🥇 Gold",IF(E214&gt;=800,"🥈 Silver","🥉 Bronze")))</f>
        <v/>
      </c>
      <c r="L214" s="129" t="n">
        <v>40808</v>
      </c>
    </row>
    <row r="215">
      <c r="A215" s="122" t="n">
        <v>12610</v>
      </c>
      <c r="B215" s="122" t="inlineStr">
        <is>
          <t>Italy</t>
        </is>
      </c>
      <c r="C215" s="122" t="n">
        <v>23</v>
      </c>
      <c r="D215" s="122" t="n">
        <v>5</v>
      </c>
      <c r="E215" s="123" t="n">
        <v>2099.54</v>
      </c>
      <c r="F215" s="124">
        <f>IF(C215&lt;=30,5,IF(C215&lt;=60,4,IF(C215&lt;=120,3,IF(C215&lt;=200,2,1))))</f>
        <v/>
      </c>
      <c r="G215" s="124">
        <f>IF(D215&gt;=20,5,IF(D215&gt;=10,4,IF(D215&gt;=5,3,IF(D215&gt;=2,2,1))))</f>
        <v/>
      </c>
      <c r="H215" s="124">
        <f>IF(E215&gt;=5000,5,IF(E215&gt;=2000,4,IF(E215&gt;=800,3,IF(E215&gt;=300,2,1))))</f>
        <v/>
      </c>
      <c r="I215" s="122">
        <f>TEXT(F215,"0")&amp;TEXT(G215,"0")&amp;TEXT(H215,"0")</f>
        <v/>
      </c>
      <c r="J215" s="122">
        <f>IFERROR(XLOOKUP(I215,'Segment Map'!A:A,'Segment Map'!B:B,"Need Attention"),"Need Attention")</f>
        <v/>
      </c>
      <c r="K215" s="122">
        <f>IF(E215&gt;=5000,"🏆 Platinum",IF(E215&gt;=2000,"🥇 Gold",IF(E215&gt;=800,"🥈 Silver","🥉 Bronze")))</f>
        <v/>
      </c>
      <c r="L215" s="125" t="n">
        <v>40864</v>
      </c>
    </row>
    <row r="216">
      <c r="A216" s="126" t="n">
        <v>12611</v>
      </c>
      <c r="B216" s="126" t="inlineStr">
        <is>
          <t>Italy</t>
        </is>
      </c>
      <c r="C216" s="126" t="n">
        <v>53</v>
      </c>
      <c r="D216" s="126" t="n">
        <v>1</v>
      </c>
      <c r="E216" s="127" t="n">
        <v>1193.32</v>
      </c>
      <c r="F216" s="128">
        <f>IF(C216&lt;=30,5,IF(C216&lt;=60,4,IF(C216&lt;=120,3,IF(C216&lt;=200,2,1))))</f>
        <v/>
      </c>
      <c r="G216" s="128">
        <f>IF(D216&gt;=20,5,IF(D216&gt;=10,4,IF(D216&gt;=5,3,IF(D216&gt;=2,2,1))))</f>
        <v/>
      </c>
      <c r="H216" s="128">
        <f>IF(E216&gt;=5000,5,IF(E216&gt;=2000,4,IF(E216&gt;=800,3,IF(E216&gt;=300,2,1))))</f>
        <v/>
      </c>
      <c r="I216" s="126">
        <f>TEXT(F216,"0")&amp;TEXT(G216,"0")&amp;TEXT(H216,"0")</f>
        <v/>
      </c>
      <c r="J216" s="126">
        <f>IFERROR(XLOOKUP(I216,'Segment Map'!A:A,'Segment Map'!B:B,"Need Attention"),"Need Attention")</f>
        <v/>
      </c>
      <c r="K216" s="126">
        <f>IF(E216&gt;=5000,"🏆 Platinum",IF(E216&gt;=2000,"🥇 Gold",IF(E216&gt;=800,"🥈 Silver","🥉 Bronze")))</f>
        <v/>
      </c>
      <c r="L216" s="129" t="n">
        <v>40834</v>
      </c>
    </row>
    <row r="217">
      <c r="A217" s="122" t="n">
        <v>12612</v>
      </c>
      <c r="B217" s="122" t="inlineStr">
        <is>
          <t>Germany</t>
        </is>
      </c>
      <c r="C217" s="122" t="n">
        <v>75</v>
      </c>
      <c r="D217" s="122" t="n">
        <v>1</v>
      </c>
      <c r="E217" s="123" t="n">
        <v>704.04</v>
      </c>
      <c r="F217" s="124">
        <f>IF(C217&lt;=30,5,IF(C217&lt;=60,4,IF(C217&lt;=120,3,IF(C217&lt;=200,2,1))))</f>
        <v/>
      </c>
      <c r="G217" s="124">
        <f>IF(D217&gt;=20,5,IF(D217&gt;=10,4,IF(D217&gt;=5,3,IF(D217&gt;=2,2,1))))</f>
        <v/>
      </c>
      <c r="H217" s="124">
        <f>IF(E217&gt;=5000,5,IF(E217&gt;=2000,4,IF(E217&gt;=800,3,IF(E217&gt;=300,2,1))))</f>
        <v/>
      </c>
      <c r="I217" s="122">
        <f>TEXT(F217,"0")&amp;TEXT(G217,"0")&amp;TEXT(H217,"0")</f>
        <v/>
      </c>
      <c r="J217" s="122">
        <f>IFERROR(XLOOKUP(I217,'Segment Map'!A:A,'Segment Map'!B:B,"Need Attention"),"Need Attention")</f>
        <v/>
      </c>
      <c r="K217" s="122">
        <f>IF(E217&gt;=5000,"🏆 Platinum",IF(E217&gt;=2000,"🥇 Gold",IF(E217&gt;=800,"🥈 Silver","🥉 Bronze")))</f>
        <v/>
      </c>
      <c r="L217" s="125" t="n">
        <v>40812</v>
      </c>
    </row>
    <row r="218">
      <c r="A218" s="126" t="n">
        <v>12613</v>
      </c>
      <c r="B218" s="126" t="inlineStr">
        <is>
          <t>Germany</t>
        </is>
      </c>
      <c r="C218" s="126" t="n">
        <v>58</v>
      </c>
      <c r="D218" s="126" t="n">
        <v>5</v>
      </c>
      <c r="E218" s="127" t="n">
        <v>3344.38</v>
      </c>
      <c r="F218" s="128">
        <f>IF(C218&lt;=30,5,IF(C218&lt;=60,4,IF(C218&lt;=120,3,IF(C218&lt;=200,2,1))))</f>
        <v/>
      </c>
      <c r="G218" s="128">
        <f>IF(D218&gt;=20,5,IF(D218&gt;=10,4,IF(D218&gt;=5,3,IF(D218&gt;=2,2,1))))</f>
        <v/>
      </c>
      <c r="H218" s="128">
        <f>IF(E218&gt;=5000,5,IF(E218&gt;=2000,4,IF(E218&gt;=800,3,IF(E218&gt;=300,2,1))))</f>
        <v/>
      </c>
      <c r="I218" s="126">
        <f>TEXT(F218,"0")&amp;TEXT(G218,"0")&amp;TEXT(H218,"0")</f>
        <v/>
      </c>
      <c r="J218" s="126">
        <f>IFERROR(XLOOKUP(I218,'Segment Map'!A:A,'Segment Map'!B:B,"Need Attention"),"Need Attention")</f>
        <v/>
      </c>
      <c r="K218" s="126">
        <f>IF(E218&gt;=5000,"🏆 Platinum",IF(E218&gt;=2000,"🥇 Gold",IF(E218&gt;=800,"🥈 Silver","🥉 Bronze")))</f>
        <v/>
      </c>
      <c r="L218" s="129" t="n">
        <v>40829</v>
      </c>
    </row>
    <row r="219">
      <c r="A219" s="122" t="n">
        <v>12614</v>
      </c>
      <c r="B219" s="122" t="inlineStr">
        <is>
          <t>Germany</t>
        </is>
      </c>
      <c r="C219" s="122" t="n">
        <v>278</v>
      </c>
      <c r="D219" s="122" t="n">
        <v>1</v>
      </c>
      <c r="E219" s="123" t="n">
        <v>315.6</v>
      </c>
      <c r="F219" s="124">
        <f>IF(C219&lt;=30,5,IF(C219&lt;=60,4,IF(C219&lt;=120,3,IF(C219&lt;=200,2,1))))</f>
        <v/>
      </c>
      <c r="G219" s="124">
        <f>IF(D219&gt;=20,5,IF(D219&gt;=10,4,IF(D219&gt;=5,3,IF(D219&gt;=2,2,1))))</f>
        <v/>
      </c>
      <c r="H219" s="124">
        <f>IF(E219&gt;=5000,5,IF(E219&gt;=2000,4,IF(E219&gt;=800,3,IF(E219&gt;=300,2,1))))</f>
        <v/>
      </c>
      <c r="I219" s="122">
        <f>TEXT(F219,"0")&amp;TEXT(G219,"0")&amp;TEXT(H219,"0")</f>
        <v/>
      </c>
      <c r="J219" s="122">
        <f>IFERROR(XLOOKUP(I219,'Segment Map'!A:A,'Segment Map'!B:B,"Need Attention"),"Need Attention")</f>
        <v/>
      </c>
      <c r="K219" s="122">
        <f>IF(E219&gt;=5000,"🏆 Platinum",IF(E219&gt;=2000,"🥇 Gold",IF(E219&gt;=800,"🥈 Silver","🥉 Bronze")))</f>
        <v/>
      </c>
      <c r="L219" s="125" t="n">
        <v>40609</v>
      </c>
    </row>
    <row r="220">
      <c r="A220" s="126" t="n">
        <v>12615</v>
      </c>
      <c r="B220" s="126" t="inlineStr">
        <is>
          <t>France</t>
        </is>
      </c>
      <c r="C220" s="126" t="n">
        <v>3</v>
      </c>
      <c r="D220" s="126" t="n">
        <v>4</v>
      </c>
      <c r="E220" s="127" t="n">
        <v>2291.19</v>
      </c>
      <c r="F220" s="128">
        <f>IF(C220&lt;=30,5,IF(C220&lt;=60,4,IF(C220&lt;=120,3,IF(C220&lt;=200,2,1))))</f>
        <v/>
      </c>
      <c r="G220" s="128">
        <f>IF(D220&gt;=20,5,IF(D220&gt;=10,4,IF(D220&gt;=5,3,IF(D220&gt;=2,2,1))))</f>
        <v/>
      </c>
      <c r="H220" s="128">
        <f>IF(E220&gt;=5000,5,IF(E220&gt;=2000,4,IF(E220&gt;=800,3,IF(E220&gt;=300,2,1))))</f>
        <v/>
      </c>
      <c r="I220" s="126">
        <f>TEXT(F220,"0")&amp;TEXT(G220,"0")&amp;TEXT(H220,"0")</f>
        <v/>
      </c>
      <c r="J220" s="126">
        <f>IFERROR(XLOOKUP(I220,'Segment Map'!A:A,'Segment Map'!B:B,"Need Attention"),"Need Attention")</f>
        <v/>
      </c>
      <c r="K220" s="126">
        <f>IF(E220&gt;=5000,"🏆 Platinum",IF(E220&gt;=2000,"🥇 Gold",IF(E220&gt;=800,"🥈 Silver","🥉 Bronze")))</f>
        <v/>
      </c>
      <c r="L220" s="129" t="n">
        <v>40884</v>
      </c>
    </row>
    <row r="221">
      <c r="A221" s="122" t="n">
        <v>12616</v>
      </c>
      <c r="B221" s="122" t="inlineStr">
        <is>
          <t>France</t>
        </is>
      </c>
      <c r="C221" s="122" t="n">
        <v>96</v>
      </c>
      <c r="D221" s="122" t="n">
        <v>2</v>
      </c>
      <c r="E221" s="123" t="n">
        <v>713.3</v>
      </c>
      <c r="F221" s="124">
        <f>IF(C221&lt;=30,5,IF(C221&lt;=60,4,IF(C221&lt;=120,3,IF(C221&lt;=200,2,1))))</f>
        <v/>
      </c>
      <c r="G221" s="124">
        <f>IF(D221&gt;=20,5,IF(D221&gt;=10,4,IF(D221&gt;=5,3,IF(D221&gt;=2,2,1))))</f>
        <v/>
      </c>
      <c r="H221" s="124">
        <f>IF(E221&gt;=5000,5,IF(E221&gt;=2000,4,IF(E221&gt;=800,3,IF(E221&gt;=300,2,1))))</f>
        <v/>
      </c>
      <c r="I221" s="122">
        <f>TEXT(F221,"0")&amp;TEXT(G221,"0")&amp;TEXT(H221,"0")</f>
        <v/>
      </c>
      <c r="J221" s="122">
        <f>IFERROR(XLOOKUP(I221,'Segment Map'!A:A,'Segment Map'!B:B,"Need Attention"),"Need Attention")</f>
        <v/>
      </c>
      <c r="K221" s="122">
        <f>IF(E221&gt;=5000,"🏆 Platinum",IF(E221&gt;=2000,"🥇 Gold",IF(E221&gt;=800,"🥈 Silver","🥉 Bronze")))</f>
        <v/>
      </c>
      <c r="L221" s="125" t="n">
        <v>40791</v>
      </c>
    </row>
    <row r="222">
      <c r="A222" s="126" t="n">
        <v>12617</v>
      </c>
      <c r="B222" s="126" t="inlineStr">
        <is>
          <t>France</t>
        </is>
      </c>
      <c r="C222" s="126" t="n">
        <v>30</v>
      </c>
      <c r="D222" s="126" t="n">
        <v>1</v>
      </c>
      <c r="E222" s="127" t="n">
        <v>355.53</v>
      </c>
      <c r="F222" s="128">
        <f>IF(C222&lt;=30,5,IF(C222&lt;=60,4,IF(C222&lt;=120,3,IF(C222&lt;=200,2,1))))</f>
        <v/>
      </c>
      <c r="G222" s="128">
        <f>IF(D222&gt;=20,5,IF(D222&gt;=10,4,IF(D222&gt;=5,3,IF(D222&gt;=2,2,1))))</f>
        <v/>
      </c>
      <c r="H222" s="128">
        <f>IF(E222&gt;=5000,5,IF(E222&gt;=2000,4,IF(E222&gt;=800,3,IF(E222&gt;=300,2,1))))</f>
        <v/>
      </c>
      <c r="I222" s="126">
        <f>TEXT(F222,"0")&amp;TEXT(G222,"0")&amp;TEXT(H222,"0")</f>
        <v/>
      </c>
      <c r="J222" s="126">
        <f>IFERROR(XLOOKUP(I222,'Segment Map'!A:A,'Segment Map'!B:B,"Need Attention"),"Need Attention")</f>
        <v/>
      </c>
      <c r="K222" s="126">
        <f>IF(E222&gt;=5000,"🏆 Platinum",IF(E222&gt;=2000,"🥇 Gold",IF(E222&gt;=800,"🥈 Silver","🥉 Bronze")))</f>
        <v/>
      </c>
      <c r="L222" s="129" t="n">
        <v>40857</v>
      </c>
    </row>
    <row r="223">
      <c r="A223" s="122" t="n">
        <v>12618</v>
      </c>
      <c r="B223" s="122" t="inlineStr">
        <is>
          <t>Italy</t>
        </is>
      </c>
      <c r="C223" s="122" t="n">
        <v>22</v>
      </c>
      <c r="D223" s="122" t="n">
        <v>1</v>
      </c>
      <c r="E223" s="123" t="n">
        <v>177.31</v>
      </c>
      <c r="F223" s="124">
        <f>IF(C223&lt;=30,5,IF(C223&lt;=60,4,IF(C223&lt;=120,3,IF(C223&lt;=200,2,1))))</f>
        <v/>
      </c>
      <c r="G223" s="124">
        <f>IF(D223&gt;=20,5,IF(D223&gt;=10,4,IF(D223&gt;=5,3,IF(D223&gt;=2,2,1))))</f>
        <v/>
      </c>
      <c r="H223" s="124">
        <f>IF(E223&gt;=5000,5,IF(E223&gt;=2000,4,IF(E223&gt;=800,3,IF(E223&gt;=300,2,1))))</f>
        <v/>
      </c>
      <c r="I223" s="122">
        <f>TEXT(F223,"0")&amp;TEXT(G223,"0")&amp;TEXT(H223,"0")</f>
        <v/>
      </c>
      <c r="J223" s="122">
        <f>IFERROR(XLOOKUP(I223,'Segment Map'!A:A,'Segment Map'!B:B,"Need Attention"),"Need Attention")</f>
        <v/>
      </c>
      <c r="K223" s="122">
        <f>IF(E223&gt;=5000,"🏆 Platinum",IF(E223&gt;=2000,"🥇 Gold",IF(E223&gt;=800,"🥈 Silver","🥉 Bronze")))</f>
        <v/>
      </c>
      <c r="L223" s="125" t="n">
        <v>40865</v>
      </c>
    </row>
    <row r="224">
      <c r="A224" s="126" t="n">
        <v>12619</v>
      </c>
      <c r="B224" s="126" t="inlineStr">
        <is>
          <t>Germany</t>
        </is>
      </c>
      <c r="C224" s="126" t="n">
        <v>17</v>
      </c>
      <c r="D224" s="126" t="n">
        <v>9</v>
      </c>
      <c r="E224" s="127" t="n">
        <v>3641.24</v>
      </c>
      <c r="F224" s="128">
        <f>IF(C224&lt;=30,5,IF(C224&lt;=60,4,IF(C224&lt;=120,3,IF(C224&lt;=200,2,1))))</f>
        <v/>
      </c>
      <c r="G224" s="128">
        <f>IF(D224&gt;=20,5,IF(D224&gt;=10,4,IF(D224&gt;=5,3,IF(D224&gt;=2,2,1))))</f>
        <v/>
      </c>
      <c r="H224" s="128">
        <f>IF(E224&gt;=5000,5,IF(E224&gt;=2000,4,IF(E224&gt;=800,3,IF(E224&gt;=300,2,1))))</f>
        <v/>
      </c>
      <c r="I224" s="126">
        <f>TEXT(F224,"0")&amp;TEXT(G224,"0")&amp;TEXT(H224,"0")</f>
        <v/>
      </c>
      <c r="J224" s="126">
        <f>IFERROR(XLOOKUP(I224,'Segment Map'!A:A,'Segment Map'!B:B,"Need Attention"),"Need Attention")</f>
        <v/>
      </c>
      <c r="K224" s="126">
        <f>IF(E224&gt;=5000,"🏆 Platinum",IF(E224&gt;=2000,"🥇 Gold",IF(E224&gt;=800,"🥈 Silver","🥉 Bronze")))</f>
        <v/>
      </c>
      <c r="L224" s="129" t="n">
        <v>40870</v>
      </c>
    </row>
    <row r="225">
      <c r="A225" s="122" t="n">
        <v>12620</v>
      </c>
      <c r="B225" s="122" t="inlineStr">
        <is>
          <t>France</t>
        </is>
      </c>
      <c r="C225" s="122" t="n">
        <v>15</v>
      </c>
      <c r="D225" s="122" t="n">
        <v>3</v>
      </c>
      <c r="E225" s="123" t="n">
        <v>1339.41</v>
      </c>
      <c r="F225" s="124">
        <f>IF(C225&lt;=30,5,IF(C225&lt;=60,4,IF(C225&lt;=120,3,IF(C225&lt;=200,2,1))))</f>
        <v/>
      </c>
      <c r="G225" s="124">
        <f>IF(D225&gt;=20,5,IF(D225&gt;=10,4,IF(D225&gt;=5,3,IF(D225&gt;=2,2,1))))</f>
        <v/>
      </c>
      <c r="H225" s="124">
        <f>IF(E225&gt;=5000,5,IF(E225&gt;=2000,4,IF(E225&gt;=800,3,IF(E225&gt;=300,2,1))))</f>
        <v/>
      </c>
      <c r="I225" s="122">
        <f>TEXT(F225,"0")&amp;TEXT(G225,"0")&amp;TEXT(H225,"0")</f>
        <v/>
      </c>
      <c r="J225" s="122">
        <f>IFERROR(XLOOKUP(I225,'Segment Map'!A:A,'Segment Map'!B:B,"Need Attention"),"Need Attention")</f>
        <v/>
      </c>
      <c r="K225" s="122">
        <f>IF(E225&gt;=5000,"🏆 Platinum",IF(E225&gt;=2000,"🥇 Gold",IF(E225&gt;=800,"🥈 Silver","🥉 Bronze")))</f>
        <v/>
      </c>
      <c r="L225" s="125" t="n">
        <v>40872</v>
      </c>
    </row>
    <row r="226">
      <c r="A226" s="126" t="n">
        <v>12621</v>
      </c>
      <c r="B226" s="126" t="inlineStr">
        <is>
          <t>Germany</t>
        </is>
      </c>
      <c r="C226" s="126" t="n">
        <v>2</v>
      </c>
      <c r="D226" s="126" t="n">
        <v>20</v>
      </c>
      <c r="E226" s="127" t="n">
        <v>13689.67</v>
      </c>
      <c r="F226" s="128">
        <f>IF(C226&lt;=30,5,IF(C226&lt;=60,4,IF(C226&lt;=120,3,IF(C226&lt;=200,2,1))))</f>
        <v/>
      </c>
      <c r="G226" s="128">
        <f>IF(D226&gt;=20,5,IF(D226&gt;=10,4,IF(D226&gt;=5,3,IF(D226&gt;=2,2,1))))</f>
        <v/>
      </c>
      <c r="H226" s="128">
        <f>IF(E226&gt;=5000,5,IF(E226&gt;=2000,4,IF(E226&gt;=800,3,IF(E226&gt;=300,2,1))))</f>
        <v/>
      </c>
      <c r="I226" s="126">
        <f>TEXT(F226,"0")&amp;TEXT(G226,"0")&amp;TEXT(H226,"0")</f>
        <v/>
      </c>
      <c r="J226" s="126">
        <f>IFERROR(XLOOKUP(I226,'Segment Map'!A:A,'Segment Map'!B:B,"Need Attention"),"Need Attention")</f>
        <v/>
      </c>
      <c r="K226" s="126">
        <f>IF(E226&gt;=5000,"🏆 Platinum",IF(E226&gt;=2000,"🥇 Gold",IF(E226&gt;=800,"🥈 Silver","🥉 Bronze")))</f>
        <v/>
      </c>
      <c r="L226" s="129" t="n">
        <v>40885</v>
      </c>
    </row>
    <row r="227">
      <c r="A227" s="122" t="n">
        <v>12622</v>
      </c>
      <c r="B227" s="122" t="inlineStr">
        <is>
          <t>Germany</t>
        </is>
      </c>
      <c r="C227" s="122" t="n">
        <v>233</v>
      </c>
      <c r="D227" s="122" t="n">
        <v>1</v>
      </c>
      <c r="E227" s="123" t="n">
        <v>180.1</v>
      </c>
      <c r="F227" s="124">
        <f>IF(C227&lt;=30,5,IF(C227&lt;=60,4,IF(C227&lt;=120,3,IF(C227&lt;=200,2,1))))</f>
        <v/>
      </c>
      <c r="G227" s="124">
        <f>IF(D227&gt;=20,5,IF(D227&gt;=10,4,IF(D227&gt;=5,3,IF(D227&gt;=2,2,1))))</f>
        <v/>
      </c>
      <c r="H227" s="124">
        <f>IF(E227&gt;=5000,5,IF(E227&gt;=2000,4,IF(E227&gt;=800,3,IF(E227&gt;=300,2,1))))</f>
        <v/>
      </c>
      <c r="I227" s="122">
        <f>TEXT(F227,"0")&amp;TEXT(G227,"0")&amp;TEXT(H227,"0")</f>
        <v/>
      </c>
      <c r="J227" s="122">
        <f>IFERROR(XLOOKUP(I227,'Segment Map'!A:A,'Segment Map'!B:B,"Need Attention"),"Need Attention")</f>
        <v/>
      </c>
      <c r="K227" s="122">
        <f>IF(E227&gt;=5000,"🏆 Platinum",IF(E227&gt;=2000,"🥇 Gold",IF(E227&gt;=800,"🥈 Silver","🥉 Bronze")))</f>
        <v/>
      </c>
      <c r="L227" s="125" t="n">
        <v>40654</v>
      </c>
    </row>
    <row r="228">
      <c r="A228" s="126" t="n">
        <v>12623</v>
      </c>
      <c r="B228" s="126" t="inlineStr">
        <is>
          <t>Germany</t>
        </is>
      </c>
      <c r="C228" s="126" t="n">
        <v>277</v>
      </c>
      <c r="D228" s="126" t="n">
        <v>1</v>
      </c>
      <c r="E228" s="127" t="n">
        <v>305.1</v>
      </c>
      <c r="F228" s="128">
        <f>IF(C228&lt;=30,5,IF(C228&lt;=60,4,IF(C228&lt;=120,3,IF(C228&lt;=200,2,1))))</f>
        <v/>
      </c>
      <c r="G228" s="128">
        <f>IF(D228&gt;=20,5,IF(D228&gt;=10,4,IF(D228&gt;=5,3,IF(D228&gt;=2,2,1))))</f>
        <v/>
      </c>
      <c r="H228" s="128">
        <f>IF(E228&gt;=5000,5,IF(E228&gt;=2000,4,IF(E228&gt;=800,3,IF(E228&gt;=300,2,1))))</f>
        <v/>
      </c>
      <c r="I228" s="126">
        <f>TEXT(F228,"0")&amp;TEXT(G228,"0")&amp;TEXT(H228,"0")</f>
        <v/>
      </c>
      <c r="J228" s="126">
        <f>IFERROR(XLOOKUP(I228,'Segment Map'!A:A,'Segment Map'!B:B,"Need Attention"),"Need Attention")</f>
        <v/>
      </c>
      <c r="K228" s="126">
        <f>IF(E228&gt;=5000,"🏆 Platinum",IF(E228&gt;=2000,"🥇 Gold",IF(E228&gt;=800,"🥈 Silver","🥉 Bronze")))</f>
        <v/>
      </c>
      <c r="L228" s="129" t="n">
        <v>40610</v>
      </c>
    </row>
    <row r="229">
      <c r="A229" s="122" t="n">
        <v>12624</v>
      </c>
      <c r="B229" s="122" t="inlineStr">
        <is>
          <t>France</t>
        </is>
      </c>
      <c r="C229" s="122" t="n">
        <v>107</v>
      </c>
      <c r="D229" s="122" t="n">
        <v>2</v>
      </c>
      <c r="E229" s="123" t="n">
        <v>641.13</v>
      </c>
      <c r="F229" s="124">
        <f>IF(C229&lt;=30,5,IF(C229&lt;=60,4,IF(C229&lt;=120,3,IF(C229&lt;=200,2,1))))</f>
        <v/>
      </c>
      <c r="G229" s="124">
        <f>IF(D229&gt;=20,5,IF(D229&gt;=10,4,IF(D229&gt;=5,3,IF(D229&gt;=2,2,1))))</f>
        <v/>
      </c>
      <c r="H229" s="124">
        <f>IF(E229&gt;=5000,5,IF(E229&gt;=2000,4,IF(E229&gt;=800,3,IF(E229&gt;=300,2,1))))</f>
        <v/>
      </c>
      <c r="I229" s="122">
        <f>TEXT(F229,"0")&amp;TEXT(G229,"0")&amp;TEXT(H229,"0")</f>
        <v/>
      </c>
      <c r="J229" s="122">
        <f>IFERROR(XLOOKUP(I229,'Segment Map'!A:A,'Segment Map'!B:B,"Need Attention"),"Need Attention")</f>
        <v/>
      </c>
      <c r="K229" s="122">
        <f>IF(E229&gt;=5000,"🏆 Platinum",IF(E229&gt;=2000,"🥇 Gold",IF(E229&gt;=800,"🥈 Silver","🥉 Bronze")))</f>
        <v/>
      </c>
      <c r="L229" s="125" t="n">
        <v>40780</v>
      </c>
    </row>
    <row r="230">
      <c r="A230" s="126" t="n">
        <v>12625</v>
      </c>
      <c r="B230" s="126" t="inlineStr">
        <is>
          <t>Germany</t>
        </is>
      </c>
      <c r="C230" s="126" t="n">
        <v>212</v>
      </c>
      <c r="D230" s="126" t="n">
        <v>2</v>
      </c>
      <c r="E230" s="127" t="n">
        <v>2683.82</v>
      </c>
      <c r="F230" s="128">
        <f>IF(C230&lt;=30,5,IF(C230&lt;=60,4,IF(C230&lt;=120,3,IF(C230&lt;=200,2,1))))</f>
        <v/>
      </c>
      <c r="G230" s="128">
        <f>IF(D230&gt;=20,5,IF(D230&gt;=10,4,IF(D230&gt;=5,3,IF(D230&gt;=2,2,1))))</f>
        <v/>
      </c>
      <c r="H230" s="128">
        <f>IF(E230&gt;=5000,5,IF(E230&gt;=2000,4,IF(E230&gt;=800,3,IF(E230&gt;=300,2,1))))</f>
        <v/>
      </c>
      <c r="I230" s="126">
        <f>TEXT(F230,"0")&amp;TEXT(G230,"0")&amp;TEXT(H230,"0")</f>
        <v/>
      </c>
      <c r="J230" s="126">
        <f>IFERROR(XLOOKUP(I230,'Segment Map'!A:A,'Segment Map'!B:B,"Need Attention"),"Need Attention")</f>
        <v/>
      </c>
      <c r="K230" s="126">
        <f>IF(E230&gt;=5000,"🏆 Platinum",IF(E230&gt;=2000,"🥇 Gold",IF(E230&gt;=800,"🥈 Silver","🥉 Bronze")))</f>
        <v/>
      </c>
      <c r="L230" s="129" t="n">
        <v>40675</v>
      </c>
    </row>
    <row r="231">
      <c r="A231" s="122" t="n">
        <v>12626</v>
      </c>
      <c r="B231" s="122" t="inlineStr">
        <is>
          <t>Germany</t>
        </is>
      </c>
      <c r="C231" s="122" t="n">
        <v>24</v>
      </c>
      <c r="D231" s="122" t="n">
        <v>9</v>
      </c>
      <c r="E231" s="123" t="n">
        <v>6620.48</v>
      </c>
      <c r="F231" s="124">
        <f>IF(C231&lt;=30,5,IF(C231&lt;=60,4,IF(C231&lt;=120,3,IF(C231&lt;=200,2,1))))</f>
        <v/>
      </c>
      <c r="G231" s="124">
        <f>IF(D231&gt;=20,5,IF(D231&gt;=10,4,IF(D231&gt;=5,3,IF(D231&gt;=2,2,1))))</f>
        <v/>
      </c>
      <c r="H231" s="124">
        <f>IF(E231&gt;=5000,5,IF(E231&gt;=2000,4,IF(E231&gt;=800,3,IF(E231&gt;=300,2,1))))</f>
        <v/>
      </c>
      <c r="I231" s="122">
        <f>TEXT(F231,"0")&amp;TEXT(G231,"0")&amp;TEXT(H231,"0")</f>
        <v/>
      </c>
      <c r="J231" s="122">
        <f>IFERROR(XLOOKUP(I231,'Segment Map'!A:A,'Segment Map'!B:B,"Need Attention"),"Need Attention")</f>
        <v/>
      </c>
      <c r="K231" s="122">
        <f>IF(E231&gt;=5000,"🏆 Platinum",IF(E231&gt;=2000,"🥇 Gold",IF(E231&gt;=800,"🥈 Silver","🥉 Bronze")))</f>
        <v/>
      </c>
      <c r="L231" s="125" t="n">
        <v>40863</v>
      </c>
    </row>
    <row r="232">
      <c r="A232" s="126" t="n">
        <v>12627</v>
      </c>
      <c r="B232" s="126" t="inlineStr">
        <is>
          <t>Germany</t>
        </is>
      </c>
      <c r="C232" s="126" t="n">
        <v>11</v>
      </c>
      <c r="D232" s="126" t="n">
        <v>7</v>
      </c>
      <c r="E232" s="127" t="n">
        <v>4478.53</v>
      </c>
      <c r="F232" s="128">
        <f>IF(C232&lt;=30,5,IF(C232&lt;=60,4,IF(C232&lt;=120,3,IF(C232&lt;=200,2,1))))</f>
        <v/>
      </c>
      <c r="G232" s="128">
        <f>IF(D232&gt;=20,5,IF(D232&gt;=10,4,IF(D232&gt;=5,3,IF(D232&gt;=2,2,1))))</f>
        <v/>
      </c>
      <c r="H232" s="128">
        <f>IF(E232&gt;=5000,5,IF(E232&gt;=2000,4,IF(E232&gt;=800,3,IF(E232&gt;=300,2,1))))</f>
        <v/>
      </c>
      <c r="I232" s="126">
        <f>TEXT(F232,"0")&amp;TEXT(G232,"0")&amp;TEXT(H232,"0")</f>
        <v/>
      </c>
      <c r="J232" s="126">
        <f>IFERROR(XLOOKUP(I232,'Segment Map'!A:A,'Segment Map'!B:B,"Need Attention"),"Need Attention")</f>
        <v/>
      </c>
      <c r="K232" s="126">
        <f>IF(E232&gt;=5000,"🏆 Platinum",IF(E232&gt;=2000,"🥇 Gold",IF(E232&gt;=800,"🥈 Silver","🥉 Bronze")))</f>
        <v/>
      </c>
      <c r="L232" s="129" t="n">
        <v>40876</v>
      </c>
    </row>
    <row r="233">
      <c r="A233" s="122" t="n">
        <v>12628</v>
      </c>
      <c r="B233" s="122" t="inlineStr">
        <is>
          <t>Germany</t>
        </is>
      </c>
      <c r="C233" s="122" t="n">
        <v>5</v>
      </c>
      <c r="D233" s="122" t="n">
        <v>3</v>
      </c>
      <c r="E233" s="123" t="n">
        <v>786.46</v>
      </c>
      <c r="F233" s="124">
        <f>IF(C233&lt;=30,5,IF(C233&lt;=60,4,IF(C233&lt;=120,3,IF(C233&lt;=200,2,1))))</f>
        <v/>
      </c>
      <c r="G233" s="124">
        <f>IF(D233&gt;=20,5,IF(D233&gt;=10,4,IF(D233&gt;=5,3,IF(D233&gt;=2,2,1))))</f>
        <v/>
      </c>
      <c r="H233" s="124">
        <f>IF(E233&gt;=5000,5,IF(E233&gt;=2000,4,IF(E233&gt;=800,3,IF(E233&gt;=300,2,1))))</f>
        <v/>
      </c>
      <c r="I233" s="122">
        <f>TEXT(F233,"0")&amp;TEXT(G233,"0")&amp;TEXT(H233,"0")</f>
        <v/>
      </c>
      <c r="J233" s="122">
        <f>IFERROR(XLOOKUP(I233,'Segment Map'!A:A,'Segment Map'!B:B,"Need Attention"),"Need Attention")</f>
        <v/>
      </c>
      <c r="K233" s="122">
        <f>IF(E233&gt;=5000,"🏆 Platinum",IF(E233&gt;=2000,"🥇 Gold",IF(E233&gt;=800,"🥈 Silver","🥉 Bronze")))</f>
        <v/>
      </c>
      <c r="L233" s="125" t="n">
        <v>40882</v>
      </c>
    </row>
    <row r="234">
      <c r="A234" s="126" t="n">
        <v>12630</v>
      </c>
      <c r="B234" s="126" t="inlineStr">
        <is>
          <t>Finland</t>
        </is>
      </c>
      <c r="C234" s="126" t="n">
        <v>10</v>
      </c>
      <c r="D234" s="126" t="n">
        <v>2</v>
      </c>
      <c r="E234" s="127" t="n">
        <v>1270.88</v>
      </c>
      <c r="F234" s="128">
        <f>IF(C234&lt;=30,5,IF(C234&lt;=60,4,IF(C234&lt;=120,3,IF(C234&lt;=200,2,1))))</f>
        <v/>
      </c>
      <c r="G234" s="128">
        <f>IF(D234&gt;=20,5,IF(D234&gt;=10,4,IF(D234&gt;=5,3,IF(D234&gt;=2,2,1))))</f>
        <v/>
      </c>
      <c r="H234" s="128">
        <f>IF(E234&gt;=5000,5,IF(E234&gt;=2000,4,IF(E234&gt;=800,3,IF(E234&gt;=300,2,1))))</f>
        <v/>
      </c>
      <c r="I234" s="126">
        <f>TEXT(F234,"0")&amp;TEXT(G234,"0")&amp;TEXT(H234,"0")</f>
        <v/>
      </c>
      <c r="J234" s="126">
        <f>IFERROR(XLOOKUP(I234,'Segment Map'!A:A,'Segment Map'!B:B,"Need Attention"),"Need Attention")</f>
        <v/>
      </c>
      <c r="K234" s="126">
        <f>IF(E234&gt;=5000,"🏆 Platinum",IF(E234&gt;=2000,"🥇 Gold",IF(E234&gt;=800,"🥈 Silver","🥉 Bronze")))</f>
        <v/>
      </c>
      <c r="L234" s="129" t="n">
        <v>40877</v>
      </c>
    </row>
    <row r="235">
      <c r="A235" s="122" t="n">
        <v>12631</v>
      </c>
      <c r="B235" s="122" t="inlineStr">
        <is>
          <t>Finland</t>
        </is>
      </c>
      <c r="C235" s="122" t="n">
        <v>58</v>
      </c>
      <c r="D235" s="122" t="n">
        <v>1</v>
      </c>
      <c r="E235" s="123" t="n">
        <v>640.5</v>
      </c>
      <c r="F235" s="124">
        <f>IF(C235&lt;=30,5,IF(C235&lt;=60,4,IF(C235&lt;=120,3,IF(C235&lt;=200,2,1))))</f>
        <v/>
      </c>
      <c r="G235" s="124">
        <f>IF(D235&gt;=20,5,IF(D235&gt;=10,4,IF(D235&gt;=5,3,IF(D235&gt;=2,2,1))))</f>
        <v/>
      </c>
      <c r="H235" s="124">
        <f>IF(E235&gt;=5000,5,IF(E235&gt;=2000,4,IF(E235&gt;=800,3,IF(E235&gt;=300,2,1))))</f>
        <v/>
      </c>
      <c r="I235" s="122">
        <f>TEXT(F235,"0")&amp;TEXT(G235,"0")&amp;TEXT(H235,"0")</f>
        <v/>
      </c>
      <c r="J235" s="122">
        <f>IFERROR(XLOOKUP(I235,'Segment Map'!A:A,'Segment Map'!B:B,"Need Attention"),"Need Attention")</f>
        <v/>
      </c>
      <c r="K235" s="122">
        <f>IF(E235&gt;=5000,"🏆 Platinum",IF(E235&gt;=2000,"🥇 Gold",IF(E235&gt;=800,"🥈 Silver","🥉 Bronze")))</f>
        <v/>
      </c>
      <c r="L235" s="125" t="n">
        <v>40829</v>
      </c>
    </row>
    <row r="236">
      <c r="A236" s="126" t="n">
        <v>12633</v>
      </c>
      <c r="B236" s="126" t="inlineStr">
        <is>
          <t>Germany</t>
        </is>
      </c>
      <c r="C236" s="126" t="n">
        <v>59</v>
      </c>
      <c r="D236" s="126" t="n">
        <v>4</v>
      </c>
      <c r="E236" s="127" t="n">
        <v>2163.98</v>
      </c>
      <c r="F236" s="128">
        <f>IF(C236&lt;=30,5,IF(C236&lt;=60,4,IF(C236&lt;=120,3,IF(C236&lt;=200,2,1))))</f>
        <v/>
      </c>
      <c r="G236" s="128">
        <f>IF(D236&gt;=20,5,IF(D236&gt;=10,4,IF(D236&gt;=5,3,IF(D236&gt;=2,2,1))))</f>
        <v/>
      </c>
      <c r="H236" s="128">
        <f>IF(E236&gt;=5000,5,IF(E236&gt;=2000,4,IF(E236&gt;=800,3,IF(E236&gt;=300,2,1))))</f>
        <v/>
      </c>
      <c r="I236" s="126">
        <f>TEXT(F236,"0")&amp;TEXT(G236,"0")&amp;TEXT(H236,"0")</f>
        <v/>
      </c>
      <c r="J236" s="126">
        <f>IFERROR(XLOOKUP(I236,'Segment Map'!A:A,'Segment Map'!B:B,"Need Attention"),"Need Attention")</f>
        <v/>
      </c>
      <c r="K236" s="126">
        <f>IF(E236&gt;=5000,"🏆 Platinum",IF(E236&gt;=2000,"🥇 Gold",IF(E236&gt;=800,"🥈 Silver","🥉 Bronze")))</f>
        <v/>
      </c>
      <c r="L236" s="129" t="n">
        <v>40828</v>
      </c>
    </row>
    <row r="237">
      <c r="A237" s="122" t="n">
        <v>12635</v>
      </c>
      <c r="B237" s="122" t="inlineStr">
        <is>
          <t>Germany</t>
        </is>
      </c>
      <c r="C237" s="122" t="n">
        <v>90</v>
      </c>
      <c r="D237" s="122" t="n">
        <v>2</v>
      </c>
      <c r="E237" s="123" t="n">
        <v>1689.18</v>
      </c>
      <c r="F237" s="124">
        <f>IF(C237&lt;=30,5,IF(C237&lt;=60,4,IF(C237&lt;=120,3,IF(C237&lt;=200,2,1))))</f>
        <v/>
      </c>
      <c r="G237" s="124">
        <f>IF(D237&gt;=20,5,IF(D237&gt;=10,4,IF(D237&gt;=5,3,IF(D237&gt;=2,2,1))))</f>
        <v/>
      </c>
      <c r="H237" s="124">
        <f>IF(E237&gt;=5000,5,IF(E237&gt;=2000,4,IF(E237&gt;=800,3,IF(E237&gt;=300,2,1))))</f>
        <v/>
      </c>
      <c r="I237" s="122">
        <f>TEXT(F237,"0")&amp;TEXT(G237,"0")&amp;TEXT(H237,"0")</f>
        <v/>
      </c>
      <c r="J237" s="122">
        <f>IFERROR(XLOOKUP(I237,'Segment Map'!A:A,'Segment Map'!B:B,"Need Attention"),"Need Attention")</f>
        <v/>
      </c>
      <c r="K237" s="122">
        <f>IF(E237&gt;=5000,"🏆 Platinum",IF(E237&gt;=2000,"🥇 Gold",IF(E237&gt;=800,"🥈 Silver","🥉 Bronze")))</f>
        <v/>
      </c>
      <c r="L237" s="125" t="n">
        <v>40797</v>
      </c>
    </row>
    <row r="238">
      <c r="A238" s="126" t="n">
        <v>12637</v>
      </c>
      <c r="B238" s="126" t="inlineStr">
        <is>
          <t>France</t>
        </is>
      </c>
      <c r="C238" s="126" t="n">
        <v>68</v>
      </c>
      <c r="D238" s="126" t="n">
        <v>8</v>
      </c>
      <c r="E238" s="127" t="n">
        <v>6021.9</v>
      </c>
      <c r="F238" s="128">
        <f>IF(C238&lt;=30,5,IF(C238&lt;=60,4,IF(C238&lt;=120,3,IF(C238&lt;=200,2,1))))</f>
        <v/>
      </c>
      <c r="G238" s="128">
        <f>IF(D238&gt;=20,5,IF(D238&gt;=10,4,IF(D238&gt;=5,3,IF(D238&gt;=2,2,1))))</f>
        <v/>
      </c>
      <c r="H238" s="128">
        <f>IF(E238&gt;=5000,5,IF(E238&gt;=2000,4,IF(E238&gt;=800,3,IF(E238&gt;=300,2,1))))</f>
        <v/>
      </c>
      <c r="I238" s="126">
        <f>TEXT(F238,"0")&amp;TEXT(G238,"0")&amp;TEXT(H238,"0")</f>
        <v/>
      </c>
      <c r="J238" s="126">
        <f>IFERROR(XLOOKUP(I238,'Segment Map'!A:A,'Segment Map'!B:B,"Need Attention"),"Need Attention")</f>
        <v/>
      </c>
      <c r="K238" s="126">
        <f>IF(E238&gt;=5000,"🏆 Platinum",IF(E238&gt;=2000,"🥇 Gold",IF(E238&gt;=800,"🥈 Silver","🥉 Bronze")))</f>
        <v/>
      </c>
      <c r="L238" s="129" t="n">
        <v>40819</v>
      </c>
    </row>
    <row r="239">
      <c r="A239" s="122" t="n">
        <v>12638</v>
      </c>
      <c r="B239" s="122" t="inlineStr">
        <is>
          <t>Sweden</t>
        </is>
      </c>
      <c r="C239" s="122" t="n">
        <v>34</v>
      </c>
      <c r="D239" s="122" t="n">
        <v>1</v>
      </c>
      <c r="E239" s="123" t="n">
        <v>671.6900000000001</v>
      </c>
      <c r="F239" s="124">
        <f>IF(C239&lt;=30,5,IF(C239&lt;=60,4,IF(C239&lt;=120,3,IF(C239&lt;=200,2,1))))</f>
        <v/>
      </c>
      <c r="G239" s="124">
        <f>IF(D239&gt;=20,5,IF(D239&gt;=10,4,IF(D239&gt;=5,3,IF(D239&gt;=2,2,1))))</f>
        <v/>
      </c>
      <c r="H239" s="124">
        <f>IF(E239&gt;=5000,5,IF(E239&gt;=2000,4,IF(E239&gt;=800,3,IF(E239&gt;=300,2,1))))</f>
        <v/>
      </c>
      <c r="I239" s="122">
        <f>TEXT(F239,"0")&amp;TEXT(G239,"0")&amp;TEXT(H239,"0")</f>
        <v/>
      </c>
      <c r="J239" s="122">
        <f>IFERROR(XLOOKUP(I239,'Segment Map'!A:A,'Segment Map'!B:B,"Need Attention"),"Need Attention")</f>
        <v/>
      </c>
      <c r="K239" s="122">
        <f>IF(E239&gt;=5000,"🏆 Platinum",IF(E239&gt;=2000,"🥇 Gold",IF(E239&gt;=800,"🥈 Silver","🥉 Bronze")))</f>
        <v/>
      </c>
      <c r="L239" s="125" t="n">
        <v>40853</v>
      </c>
    </row>
    <row r="240">
      <c r="A240" s="126" t="n">
        <v>12639</v>
      </c>
      <c r="B240" s="126" t="inlineStr">
        <is>
          <t>Sweden</t>
        </is>
      </c>
      <c r="C240" s="126" t="n">
        <v>239</v>
      </c>
      <c r="D240" s="126" t="n">
        <v>1</v>
      </c>
      <c r="E240" s="127" t="n">
        <v>486.1</v>
      </c>
      <c r="F240" s="128">
        <f>IF(C240&lt;=30,5,IF(C240&lt;=60,4,IF(C240&lt;=120,3,IF(C240&lt;=200,2,1))))</f>
        <v/>
      </c>
      <c r="G240" s="128">
        <f>IF(D240&gt;=20,5,IF(D240&gt;=10,4,IF(D240&gt;=5,3,IF(D240&gt;=2,2,1))))</f>
        <v/>
      </c>
      <c r="H240" s="128">
        <f>IF(E240&gt;=5000,5,IF(E240&gt;=2000,4,IF(E240&gt;=800,3,IF(E240&gt;=300,2,1))))</f>
        <v/>
      </c>
      <c r="I240" s="126">
        <f>TEXT(F240,"0")&amp;TEXT(G240,"0")&amp;TEXT(H240,"0")</f>
        <v/>
      </c>
      <c r="J240" s="126">
        <f>IFERROR(XLOOKUP(I240,'Segment Map'!A:A,'Segment Map'!B:B,"Need Attention"),"Need Attention")</f>
        <v/>
      </c>
      <c r="K240" s="126">
        <f>IF(E240&gt;=5000,"🏆 Platinum",IF(E240&gt;=2000,"🥇 Gold",IF(E240&gt;=800,"🥈 Silver","🥉 Bronze")))</f>
        <v/>
      </c>
      <c r="L240" s="129" t="n">
        <v>40648</v>
      </c>
    </row>
    <row r="241">
      <c r="A241" s="122" t="n">
        <v>12640</v>
      </c>
      <c r="B241" s="122" t="inlineStr">
        <is>
          <t>France</t>
        </is>
      </c>
      <c r="C241" s="122" t="n">
        <v>24</v>
      </c>
      <c r="D241" s="122" t="n">
        <v>3</v>
      </c>
      <c r="E241" s="123" t="n">
        <v>1174.58</v>
      </c>
      <c r="F241" s="124">
        <f>IF(C241&lt;=30,5,IF(C241&lt;=60,4,IF(C241&lt;=120,3,IF(C241&lt;=200,2,1))))</f>
        <v/>
      </c>
      <c r="G241" s="124">
        <f>IF(D241&gt;=20,5,IF(D241&gt;=10,4,IF(D241&gt;=5,3,IF(D241&gt;=2,2,1))))</f>
        <v/>
      </c>
      <c r="H241" s="124">
        <f>IF(E241&gt;=5000,5,IF(E241&gt;=2000,4,IF(E241&gt;=800,3,IF(E241&gt;=300,2,1))))</f>
        <v/>
      </c>
      <c r="I241" s="122">
        <f>TEXT(F241,"0")&amp;TEXT(G241,"0")&amp;TEXT(H241,"0")</f>
        <v/>
      </c>
      <c r="J241" s="122">
        <f>IFERROR(XLOOKUP(I241,'Segment Map'!A:A,'Segment Map'!B:B,"Need Attention"),"Need Attention")</f>
        <v/>
      </c>
      <c r="K241" s="122">
        <f>IF(E241&gt;=5000,"🏆 Platinum",IF(E241&gt;=2000,"🥇 Gold",IF(E241&gt;=800,"🥈 Silver","🥉 Bronze")))</f>
        <v/>
      </c>
      <c r="L241" s="125" t="n">
        <v>40863</v>
      </c>
    </row>
    <row r="242">
      <c r="A242" s="126" t="n">
        <v>12641</v>
      </c>
      <c r="B242" s="126" t="inlineStr">
        <is>
          <t>Sweden</t>
        </is>
      </c>
      <c r="C242" s="126" t="n">
        <v>116</v>
      </c>
      <c r="D242" s="126" t="n">
        <v>1</v>
      </c>
      <c r="E242" s="127" t="n">
        <v>185.9</v>
      </c>
      <c r="F242" s="128">
        <f>IF(C242&lt;=30,5,IF(C242&lt;=60,4,IF(C242&lt;=120,3,IF(C242&lt;=200,2,1))))</f>
        <v/>
      </c>
      <c r="G242" s="128">
        <f>IF(D242&gt;=20,5,IF(D242&gt;=10,4,IF(D242&gt;=5,3,IF(D242&gt;=2,2,1))))</f>
        <v/>
      </c>
      <c r="H242" s="128">
        <f>IF(E242&gt;=5000,5,IF(E242&gt;=2000,4,IF(E242&gt;=800,3,IF(E242&gt;=300,2,1))))</f>
        <v/>
      </c>
      <c r="I242" s="126">
        <f>TEXT(F242,"0")&amp;TEXT(G242,"0")&amp;TEXT(H242,"0")</f>
        <v/>
      </c>
      <c r="J242" s="126">
        <f>IFERROR(XLOOKUP(I242,'Segment Map'!A:A,'Segment Map'!B:B,"Need Attention"),"Need Attention")</f>
        <v/>
      </c>
      <c r="K242" s="126">
        <f>IF(E242&gt;=5000,"🏆 Platinum",IF(E242&gt;=2000,"🥇 Gold",IF(E242&gt;=800,"🥈 Silver","🥉 Bronze")))</f>
        <v/>
      </c>
      <c r="L242" s="129" t="n">
        <v>40771</v>
      </c>
    </row>
    <row r="243">
      <c r="A243" s="122" t="n">
        <v>12642</v>
      </c>
      <c r="B243" s="122" t="inlineStr">
        <is>
          <t>Germany</t>
        </is>
      </c>
      <c r="C243" s="122" t="n">
        <v>26</v>
      </c>
      <c r="D243" s="122" t="n">
        <v>3</v>
      </c>
      <c r="E243" s="123" t="n">
        <v>1013.26</v>
      </c>
      <c r="F243" s="124">
        <f>IF(C243&lt;=30,5,IF(C243&lt;=60,4,IF(C243&lt;=120,3,IF(C243&lt;=200,2,1))))</f>
        <v/>
      </c>
      <c r="G243" s="124">
        <f>IF(D243&gt;=20,5,IF(D243&gt;=10,4,IF(D243&gt;=5,3,IF(D243&gt;=2,2,1))))</f>
        <v/>
      </c>
      <c r="H243" s="124">
        <f>IF(E243&gt;=5000,5,IF(E243&gt;=2000,4,IF(E243&gt;=800,3,IF(E243&gt;=300,2,1))))</f>
        <v/>
      </c>
      <c r="I243" s="122">
        <f>TEXT(F243,"0")&amp;TEXT(G243,"0")&amp;TEXT(H243,"0")</f>
        <v/>
      </c>
      <c r="J243" s="122">
        <f>IFERROR(XLOOKUP(I243,'Segment Map'!A:A,'Segment Map'!B:B,"Need Attention"),"Need Attention")</f>
        <v/>
      </c>
      <c r="K243" s="122">
        <f>IF(E243&gt;=5000,"🏆 Platinum",IF(E243&gt;=2000,"🥇 Gold",IF(E243&gt;=800,"🥈 Silver","🥉 Bronze")))</f>
        <v/>
      </c>
      <c r="L243" s="125" t="n">
        <v>40861</v>
      </c>
    </row>
    <row r="244">
      <c r="A244" s="126" t="n">
        <v>12643</v>
      </c>
      <c r="B244" s="126" t="inlineStr">
        <is>
          <t>France</t>
        </is>
      </c>
      <c r="C244" s="126" t="n">
        <v>129</v>
      </c>
      <c r="D244" s="126" t="n">
        <v>6</v>
      </c>
      <c r="E244" s="127" t="n">
        <v>3344.64</v>
      </c>
      <c r="F244" s="128">
        <f>IF(C244&lt;=30,5,IF(C244&lt;=60,4,IF(C244&lt;=120,3,IF(C244&lt;=200,2,1))))</f>
        <v/>
      </c>
      <c r="G244" s="128">
        <f>IF(D244&gt;=20,5,IF(D244&gt;=10,4,IF(D244&gt;=5,3,IF(D244&gt;=2,2,1))))</f>
        <v/>
      </c>
      <c r="H244" s="128">
        <f>IF(E244&gt;=5000,5,IF(E244&gt;=2000,4,IF(E244&gt;=800,3,IF(E244&gt;=300,2,1))))</f>
        <v/>
      </c>
      <c r="I244" s="126">
        <f>TEXT(F244,"0")&amp;TEXT(G244,"0")&amp;TEXT(H244,"0")</f>
        <v/>
      </c>
      <c r="J244" s="126">
        <f>IFERROR(XLOOKUP(I244,'Segment Map'!A:A,'Segment Map'!B:B,"Need Attention"),"Need Attention")</f>
        <v/>
      </c>
      <c r="K244" s="126">
        <f>IF(E244&gt;=5000,"🏆 Platinum",IF(E244&gt;=2000,"🥇 Gold",IF(E244&gt;=800,"🥈 Silver","🥉 Bronze")))</f>
        <v/>
      </c>
      <c r="L244" s="129" t="n">
        <v>40758</v>
      </c>
    </row>
    <row r="245">
      <c r="A245" s="122" t="n">
        <v>12644</v>
      </c>
      <c r="B245" s="122" t="inlineStr">
        <is>
          <t>Germany</t>
        </is>
      </c>
      <c r="C245" s="122" t="n">
        <v>130</v>
      </c>
      <c r="D245" s="122" t="n">
        <v>1</v>
      </c>
      <c r="E245" s="123" t="n">
        <v>477.91</v>
      </c>
      <c r="F245" s="124">
        <f>IF(C245&lt;=30,5,IF(C245&lt;=60,4,IF(C245&lt;=120,3,IF(C245&lt;=200,2,1))))</f>
        <v/>
      </c>
      <c r="G245" s="124">
        <f>IF(D245&gt;=20,5,IF(D245&gt;=10,4,IF(D245&gt;=5,3,IF(D245&gt;=2,2,1))))</f>
        <v/>
      </c>
      <c r="H245" s="124">
        <f>IF(E245&gt;=5000,5,IF(E245&gt;=2000,4,IF(E245&gt;=800,3,IF(E245&gt;=300,2,1))))</f>
        <v/>
      </c>
      <c r="I245" s="122">
        <f>TEXT(F245,"0")&amp;TEXT(G245,"0")&amp;TEXT(H245,"0")</f>
        <v/>
      </c>
      <c r="J245" s="122">
        <f>IFERROR(XLOOKUP(I245,'Segment Map'!A:A,'Segment Map'!B:B,"Need Attention"),"Need Attention")</f>
        <v/>
      </c>
      <c r="K245" s="122">
        <f>IF(E245&gt;=5000,"🏆 Platinum",IF(E245&gt;=2000,"🥇 Gold",IF(E245&gt;=800,"🥈 Silver","🥉 Bronze")))</f>
        <v/>
      </c>
      <c r="L245" s="125" t="n">
        <v>40757</v>
      </c>
    </row>
    <row r="246">
      <c r="A246" s="126" t="n">
        <v>12645</v>
      </c>
      <c r="B246" s="126" t="inlineStr">
        <is>
          <t>Germany</t>
        </is>
      </c>
      <c r="C246" s="126" t="n">
        <v>34</v>
      </c>
      <c r="D246" s="126" t="n">
        <v>4</v>
      </c>
      <c r="E246" s="127" t="n">
        <v>1775.18</v>
      </c>
      <c r="F246" s="128">
        <f>IF(C246&lt;=30,5,IF(C246&lt;=60,4,IF(C246&lt;=120,3,IF(C246&lt;=200,2,1))))</f>
        <v/>
      </c>
      <c r="G246" s="128">
        <f>IF(D246&gt;=20,5,IF(D246&gt;=10,4,IF(D246&gt;=5,3,IF(D246&gt;=2,2,1))))</f>
        <v/>
      </c>
      <c r="H246" s="128">
        <f>IF(E246&gt;=5000,5,IF(E246&gt;=2000,4,IF(E246&gt;=800,3,IF(E246&gt;=300,2,1))))</f>
        <v/>
      </c>
      <c r="I246" s="126">
        <f>TEXT(F246,"0")&amp;TEXT(G246,"0")&amp;TEXT(H246,"0")</f>
        <v/>
      </c>
      <c r="J246" s="126">
        <f>IFERROR(XLOOKUP(I246,'Segment Map'!A:A,'Segment Map'!B:B,"Need Attention"),"Need Attention")</f>
        <v/>
      </c>
      <c r="K246" s="126">
        <f>IF(E246&gt;=5000,"🏆 Platinum",IF(E246&gt;=2000,"🥇 Gold",IF(E246&gt;=800,"🥈 Silver","🥉 Bronze")))</f>
        <v/>
      </c>
      <c r="L246" s="129" t="n">
        <v>40853</v>
      </c>
    </row>
    <row r="247">
      <c r="A247" s="122" t="n">
        <v>12646</v>
      </c>
      <c r="B247" s="122" t="inlineStr">
        <is>
          <t>USA</t>
        </is>
      </c>
      <c r="C247" s="122" t="n">
        <v>5</v>
      </c>
      <c r="D247" s="122" t="n">
        <v>2</v>
      </c>
      <c r="E247" s="123" t="n">
        <v>1346.97</v>
      </c>
      <c r="F247" s="124">
        <f>IF(C247&lt;=30,5,IF(C247&lt;=60,4,IF(C247&lt;=120,3,IF(C247&lt;=200,2,1))))</f>
        <v/>
      </c>
      <c r="G247" s="124">
        <f>IF(D247&gt;=20,5,IF(D247&gt;=10,4,IF(D247&gt;=5,3,IF(D247&gt;=2,2,1))))</f>
        <v/>
      </c>
      <c r="H247" s="124">
        <f>IF(E247&gt;=5000,5,IF(E247&gt;=2000,4,IF(E247&gt;=800,3,IF(E247&gt;=300,2,1))))</f>
        <v/>
      </c>
      <c r="I247" s="122">
        <f>TEXT(F247,"0")&amp;TEXT(G247,"0")&amp;TEXT(H247,"0")</f>
        <v/>
      </c>
      <c r="J247" s="122">
        <f>IFERROR(XLOOKUP(I247,'Segment Map'!A:A,'Segment Map'!B:B,"Need Attention"),"Need Attention")</f>
        <v/>
      </c>
      <c r="K247" s="122">
        <f>IF(E247&gt;=5000,"🏆 Platinum",IF(E247&gt;=2000,"🥇 Gold",IF(E247&gt;=800,"🥈 Silver","🥉 Bronze")))</f>
        <v/>
      </c>
      <c r="L247" s="125" t="n">
        <v>40882</v>
      </c>
    </row>
    <row r="248">
      <c r="A248" s="126" t="n">
        <v>12647</v>
      </c>
      <c r="B248" s="126" t="inlineStr">
        <is>
          <t>Germany</t>
        </is>
      </c>
      <c r="C248" s="126" t="n">
        <v>23</v>
      </c>
      <c r="D248" s="126" t="n">
        <v>12</v>
      </c>
      <c r="E248" s="127" t="n">
        <v>3722.82</v>
      </c>
      <c r="F248" s="128">
        <f>IF(C248&lt;=30,5,IF(C248&lt;=60,4,IF(C248&lt;=120,3,IF(C248&lt;=200,2,1))))</f>
        <v/>
      </c>
      <c r="G248" s="128">
        <f>IF(D248&gt;=20,5,IF(D248&gt;=10,4,IF(D248&gt;=5,3,IF(D248&gt;=2,2,1))))</f>
        <v/>
      </c>
      <c r="H248" s="128">
        <f>IF(E248&gt;=5000,5,IF(E248&gt;=2000,4,IF(E248&gt;=800,3,IF(E248&gt;=300,2,1))))</f>
        <v/>
      </c>
      <c r="I248" s="126">
        <f>TEXT(F248,"0")&amp;TEXT(G248,"0")&amp;TEXT(H248,"0")</f>
        <v/>
      </c>
      <c r="J248" s="126">
        <f>IFERROR(XLOOKUP(I248,'Segment Map'!A:A,'Segment Map'!B:B,"Need Attention"),"Need Attention")</f>
        <v/>
      </c>
      <c r="K248" s="126">
        <f>IF(E248&gt;=5000,"🏆 Platinum",IF(E248&gt;=2000,"🥇 Gold",IF(E248&gt;=800,"🥈 Silver","🥉 Bronze")))</f>
        <v/>
      </c>
      <c r="L248" s="129" t="n">
        <v>40864</v>
      </c>
    </row>
    <row r="249">
      <c r="A249" s="122" t="n">
        <v>12648</v>
      </c>
      <c r="B249" s="122" t="inlineStr">
        <is>
          <t>Germany</t>
        </is>
      </c>
      <c r="C249" s="122" t="n">
        <v>155</v>
      </c>
      <c r="D249" s="122" t="n">
        <v>1</v>
      </c>
      <c r="E249" s="123" t="n">
        <v>318.05</v>
      </c>
      <c r="F249" s="124">
        <f>IF(C249&lt;=30,5,IF(C249&lt;=60,4,IF(C249&lt;=120,3,IF(C249&lt;=200,2,1))))</f>
        <v/>
      </c>
      <c r="G249" s="124">
        <f>IF(D249&gt;=20,5,IF(D249&gt;=10,4,IF(D249&gt;=5,3,IF(D249&gt;=2,2,1))))</f>
        <v/>
      </c>
      <c r="H249" s="124">
        <f>IF(E249&gt;=5000,5,IF(E249&gt;=2000,4,IF(E249&gt;=800,3,IF(E249&gt;=300,2,1))))</f>
        <v/>
      </c>
      <c r="I249" s="122">
        <f>TEXT(F249,"0")&amp;TEXT(G249,"0")&amp;TEXT(H249,"0")</f>
        <v/>
      </c>
      <c r="J249" s="122">
        <f>IFERROR(XLOOKUP(I249,'Segment Map'!A:A,'Segment Map'!B:B,"Need Attention"),"Need Attention")</f>
        <v/>
      </c>
      <c r="K249" s="122">
        <f>IF(E249&gt;=5000,"🏆 Platinum",IF(E249&gt;=2000,"🥇 Gold",IF(E249&gt;=800,"🥈 Silver","🥉 Bronze")))</f>
        <v/>
      </c>
      <c r="L249" s="125" t="n">
        <v>40732</v>
      </c>
    </row>
    <row r="250">
      <c r="A250" s="126" t="n">
        <v>12649</v>
      </c>
      <c r="B250" s="126" t="inlineStr">
        <is>
          <t>Germany</t>
        </is>
      </c>
      <c r="C250" s="126" t="n">
        <v>108</v>
      </c>
      <c r="D250" s="126" t="n">
        <v>3</v>
      </c>
      <c r="E250" s="127" t="n">
        <v>623.51</v>
      </c>
      <c r="F250" s="128">
        <f>IF(C250&lt;=30,5,IF(C250&lt;=60,4,IF(C250&lt;=120,3,IF(C250&lt;=200,2,1))))</f>
        <v/>
      </c>
      <c r="G250" s="128">
        <f>IF(D250&gt;=20,5,IF(D250&gt;=10,4,IF(D250&gt;=5,3,IF(D250&gt;=2,2,1))))</f>
        <v/>
      </c>
      <c r="H250" s="128">
        <f>IF(E250&gt;=5000,5,IF(E250&gt;=2000,4,IF(E250&gt;=800,3,IF(E250&gt;=300,2,1))))</f>
        <v/>
      </c>
      <c r="I250" s="126">
        <f>TEXT(F250,"0")&amp;TEXT(G250,"0")&amp;TEXT(H250,"0")</f>
        <v/>
      </c>
      <c r="J250" s="126">
        <f>IFERROR(XLOOKUP(I250,'Segment Map'!A:A,'Segment Map'!B:B,"Need Attention"),"Need Attention")</f>
        <v/>
      </c>
      <c r="K250" s="126">
        <f>IF(E250&gt;=5000,"🏆 Platinum",IF(E250&gt;=2000,"🥇 Gold",IF(E250&gt;=800,"🥈 Silver","🥉 Bronze")))</f>
        <v/>
      </c>
      <c r="L250" s="129" t="n">
        <v>40779</v>
      </c>
    </row>
    <row r="251">
      <c r="A251" s="122" t="n">
        <v>12650</v>
      </c>
      <c r="B251" s="122" t="inlineStr">
        <is>
          <t>France</t>
        </is>
      </c>
      <c r="C251" s="122" t="n">
        <v>4</v>
      </c>
      <c r="D251" s="122" t="n">
        <v>1</v>
      </c>
      <c r="E251" s="123" t="n">
        <v>314.44</v>
      </c>
      <c r="F251" s="124">
        <f>IF(C251&lt;=30,5,IF(C251&lt;=60,4,IF(C251&lt;=120,3,IF(C251&lt;=200,2,1))))</f>
        <v/>
      </c>
      <c r="G251" s="124">
        <f>IF(D251&gt;=20,5,IF(D251&gt;=10,4,IF(D251&gt;=5,3,IF(D251&gt;=2,2,1))))</f>
        <v/>
      </c>
      <c r="H251" s="124">
        <f>IF(E251&gt;=5000,5,IF(E251&gt;=2000,4,IF(E251&gt;=800,3,IF(E251&gt;=300,2,1))))</f>
        <v/>
      </c>
      <c r="I251" s="122">
        <f>TEXT(F251,"0")&amp;TEXT(G251,"0")&amp;TEXT(H251,"0")</f>
        <v/>
      </c>
      <c r="J251" s="122">
        <f>IFERROR(XLOOKUP(I251,'Segment Map'!A:A,'Segment Map'!B:B,"Need Attention"),"Need Attention")</f>
        <v/>
      </c>
      <c r="K251" s="122">
        <f>IF(E251&gt;=5000,"🏆 Platinum",IF(E251&gt;=2000,"🥇 Gold",IF(E251&gt;=800,"🥈 Silver","🥉 Bronze")))</f>
        <v/>
      </c>
      <c r="L251" s="125" t="n">
        <v>40883</v>
      </c>
    </row>
    <row r="252">
      <c r="A252" s="126" t="n">
        <v>12651</v>
      </c>
      <c r="B252" s="126" t="inlineStr">
        <is>
          <t>France</t>
        </is>
      </c>
      <c r="C252" s="126" t="n">
        <v>335</v>
      </c>
      <c r="D252" s="126" t="n">
        <v>1</v>
      </c>
      <c r="E252" s="127" t="n">
        <v>114</v>
      </c>
      <c r="F252" s="128">
        <f>IF(C252&lt;=30,5,IF(C252&lt;=60,4,IF(C252&lt;=120,3,IF(C252&lt;=200,2,1))))</f>
        <v/>
      </c>
      <c r="G252" s="128">
        <f>IF(D252&gt;=20,5,IF(D252&gt;=10,4,IF(D252&gt;=5,3,IF(D252&gt;=2,2,1))))</f>
        <v/>
      </c>
      <c r="H252" s="128">
        <f>IF(E252&gt;=5000,5,IF(E252&gt;=2000,4,IF(E252&gt;=800,3,IF(E252&gt;=300,2,1))))</f>
        <v/>
      </c>
      <c r="I252" s="126">
        <f>TEXT(F252,"0")&amp;TEXT(G252,"0")&amp;TEXT(H252,"0")</f>
        <v/>
      </c>
      <c r="J252" s="126">
        <f>IFERROR(XLOOKUP(I252,'Segment Map'!A:A,'Segment Map'!B:B,"Need Attention"),"Need Attention")</f>
        <v/>
      </c>
      <c r="K252" s="126">
        <f>IF(E252&gt;=5000,"🏆 Platinum",IF(E252&gt;=2000,"🥇 Gold",IF(E252&gt;=800,"🥈 Silver","🥉 Bronze")))</f>
        <v/>
      </c>
      <c r="L252" s="129" t="n">
        <v>40552</v>
      </c>
    </row>
    <row r="253">
      <c r="A253" s="122" t="n">
        <v>12652</v>
      </c>
      <c r="B253" s="122" t="inlineStr">
        <is>
          <t>France</t>
        </is>
      </c>
      <c r="C253" s="122" t="n">
        <v>332</v>
      </c>
      <c r="D253" s="122" t="n">
        <v>1</v>
      </c>
      <c r="E253" s="123" t="n">
        <v>919.98</v>
      </c>
      <c r="F253" s="124">
        <f>IF(C253&lt;=30,5,IF(C253&lt;=60,4,IF(C253&lt;=120,3,IF(C253&lt;=200,2,1))))</f>
        <v/>
      </c>
      <c r="G253" s="124">
        <f>IF(D253&gt;=20,5,IF(D253&gt;=10,4,IF(D253&gt;=5,3,IF(D253&gt;=2,2,1))))</f>
        <v/>
      </c>
      <c r="H253" s="124">
        <f>IF(E253&gt;=5000,5,IF(E253&gt;=2000,4,IF(E253&gt;=800,3,IF(E253&gt;=300,2,1))))</f>
        <v/>
      </c>
      <c r="I253" s="122">
        <f>TEXT(F253,"0")&amp;TEXT(G253,"0")&amp;TEXT(H253,"0")</f>
        <v/>
      </c>
      <c r="J253" s="122">
        <f>IFERROR(XLOOKUP(I253,'Segment Map'!A:A,'Segment Map'!B:B,"Need Attention"),"Need Attention")</f>
        <v/>
      </c>
      <c r="K253" s="122">
        <f>IF(E253&gt;=5000,"🏆 Platinum",IF(E253&gt;=2000,"🥇 Gold",IF(E253&gt;=800,"🥈 Silver","🥉 Bronze")))</f>
        <v/>
      </c>
      <c r="L253" s="125" t="n">
        <v>40555</v>
      </c>
    </row>
    <row r="254">
      <c r="A254" s="126" t="n">
        <v>12653</v>
      </c>
      <c r="B254" s="126" t="inlineStr">
        <is>
          <t>Israel</t>
        </is>
      </c>
      <c r="C254" s="126" t="n">
        <v>149</v>
      </c>
      <c r="D254" s="126" t="n">
        <v>2</v>
      </c>
      <c r="E254" s="127" t="n">
        <v>2209.85</v>
      </c>
      <c r="F254" s="128">
        <f>IF(C254&lt;=30,5,IF(C254&lt;=60,4,IF(C254&lt;=120,3,IF(C254&lt;=200,2,1))))</f>
        <v/>
      </c>
      <c r="G254" s="128">
        <f>IF(D254&gt;=20,5,IF(D254&gt;=10,4,IF(D254&gt;=5,3,IF(D254&gt;=2,2,1))))</f>
        <v/>
      </c>
      <c r="H254" s="128">
        <f>IF(E254&gt;=5000,5,IF(E254&gt;=2000,4,IF(E254&gt;=800,3,IF(E254&gt;=300,2,1))))</f>
        <v/>
      </c>
      <c r="I254" s="126">
        <f>TEXT(F254,"0")&amp;TEXT(G254,"0")&amp;TEXT(H254,"0")</f>
        <v/>
      </c>
      <c r="J254" s="126">
        <f>IFERROR(XLOOKUP(I254,'Segment Map'!A:A,'Segment Map'!B:B,"Need Attention"),"Need Attention")</f>
        <v/>
      </c>
      <c r="K254" s="126">
        <f>IF(E254&gt;=5000,"🏆 Platinum",IF(E254&gt;=2000,"🥇 Gold",IF(E254&gt;=800,"🥈 Silver","🥉 Bronze")))</f>
        <v/>
      </c>
      <c r="L254" s="129" t="n">
        <v>40738</v>
      </c>
    </row>
    <row r="255">
      <c r="A255" s="122" t="n">
        <v>12654</v>
      </c>
      <c r="B255" s="122" t="inlineStr">
        <is>
          <t>Germany</t>
        </is>
      </c>
      <c r="C255" s="122" t="n">
        <v>11</v>
      </c>
      <c r="D255" s="122" t="n">
        <v>5</v>
      </c>
      <c r="E255" s="123" t="n">
        <v>601.98</v>
      </c>
      <c r="F255" s="124">
        <f>IF(C255&lt;=30,5,IF(C255&lt;=60,4,IF(C255&lt;=120,3,IF(C255&lt;=200,2,1))))</f>
        <v/>
      </c>
      <c r="G255" s="124">
        <f>IF(D255&gt;=20,5,IF(D255&gt;=10,4,IF(D255&gt;=5,3,IF(D255&gt;=2,2,1))))</f>
        <v/>
      </c>
      <c r="H255" s="124">
        <f>IF(E255&gt;=5000,5,IF(E255&gt;=2000,4,IF(E255&gt;=800,3,IF(E255&gt;=300,2,1))))</f>
        <v/>
      </c>
      <c r="I255" s="122">
        <f>TEXT(F255,"0")&amp;TEXT(G255,"0")&amp;TEXT(H255,"0")</f>
        <v/>
      </c>
      <c r="J255" s="122">
        <f>IFERROR(XLOOKUP(I255,'Segment Map'!A:A,'Segment Map'!B:B,"Need Attention"),"Need Attention")</f>
        <v/>
      </c>
      <c r="K255" s="122">
        <f>IF(E255&gt;=5000,"🏆 Platinum",IF(E255&gt;=2000,"🥇 Gold",IF(E255&gt;=800,"🥈 Silver","🥉 Bronze")))</f>
        <v/>
      </c>
      <c r="L255" s="125" t="n">
        <v>40876</v>
      </c>
    </row>
    <row r="256">
      <c r="A256" s="126" t="n">
        <v>12656</v>
      </c>
      <c r="B256" s="126" t="inlineStr">
        <is>
          <t>France</t>
        </is>
      </c>
      <c r="C256" s="126" t="n">
        <v>18</v>
      </c>
      <c r="D256" s="126" t="n">
        <v>5</v>
      </c>
      <c r="E256" s="127" t="n">
        <v>4051.17</v>
      </c>
      <c r="F256" s="128">
        <f>IF(C256&lt;=30,5,IF(C256&lt;=60,4,IF(C256&lt;=120,3,IF(C256&lt;=200,2,1))))</f>
        <v/>
      </c>
      <c r="G256" s="128">
        <f>IF(D256&gt;=20,5,IF(D256&gt;=10,4,IF(D256&gt;=5,3,IF(D256&gt;=2,2,1))))</f>
        <v/>
      </c>
      <c r="H256" s="128">
        <f>IF(E256&gt;=5000,5,IF(E256&gt;=2000,4,IF(E256&gt;=800,3,IF(E256&gt;=300,2,1))))</f>
        <v/>
      </c>
      <c r="I256" s="126">
        <f>TEXT(F256,"0")&amp;TEXT(G256,"0")&amp;TEXT(H256,"0")</f>
        <v/>
      </c>
      <c r="J256" s="126">
        <f>IFERROR(XLOOKUP(I256,'Segment Map'!A:A,'Segment Map'!B:B,"Need Attention"),"Need Attention")</f>
        <v/>
      </c>
      <c r="K256" s="126">
        <f>IF(E256&gt;=5000,"🏆 Platinum",IF(E256&gt;=2000,"🥇 Gold",IF(E256&gt;=800,"🥈 Silver","🥉 Bronze")))</f>
        <v/>
      </c>
      <c r="L256" s="129" t="n">
        <v>40869</v>
      </c>
    </row>
    <row r="257">
      <c r="A257" s="122" t="n">
        <v>12657</v>
      </c>
      <c r="B257" s="122" t="inlineStr">
        <is>
          <t>France</t>
        </is>
      </c>
      <c r="C257" s="122" t="n">
        <v>12</v>
      </c>
      <c r="D257" s="122" t="n">
        <v>4</v>
      </c>
      <c r="E257" s="123" t="n">
        <v>1643.18</v>
      </c>
      <c r="F257" s="124">
        <f>IF(C257&lt;=30,5,IF(C257&lt;=60,4,IF(C257&lt;=120,3,IF(C257&lt;=200,2,1))))</f>
        <v/>
      </c>
      <c r="G257" s="124">
        <f>IF(D257&gt;=20,5,IF(D257&gt;=10,4,IF(D257&gt;=5,3,IF(D257&gt;=2,2,1))))</f>
        <v/>
      </c>
      <c r="H257" s="124">
        <f>IF(E257&gt;=5000,5,IF(E257&gt;=2000,4,IF(E257&gt;=800,3,IF(E257&gt;=300,2,1))))</f>
        <v/>
      </c>
      <c r="I257" s="122">
        <f>TEXT(F257,"0")&amp;TEXT(G257,"0")&amp;TEXT(H257,"0")</f>
        <v/>
      </c>
      <c r="J257" s="122">
        <f>IFERROR(XLOOKUP(I257,'Segment Map'!A:A,'Segment Map'!B:B,"Need Attention"),"Need Attention")</f>
        <v/>
      </c>
      <c r="K257" s="122">
        <f>IF(E257&gt;=5000,"🏆 Platinum",IF(E257&gt;=2000,"🥇 Gold",IF(E257&gt;=800,"🥈 Silver","🥉 Bronze")))</f>
        <v/>
      </c>
      <c r="L257" s="125" t="n">
        <v>40875</v>
      </c>
    </row>
    <row r="258">
      <c r="A258" s="126" t="n">
        <v>12658</v>
      </c>
      <c r="B258" s="126" t="inlineStr">
        <is>
          <t>Germany</t>
        </is>
      </c>
      <c r="C258" s="126" t="n">
        <v>19</v>
      </c>
      <c r="D258" s="126" t="n">
        <v>1</v>
      </c>
      <c r="E258" s="127" t="n">
        <v>686.05</v>
      </c>
      <c r="F258" s="128">
        <f>IF(C258&lt;=30,5,IF(C258&lt;=60,4,IF(C258&lt;=120,3,IF(C258&lt;=200,2,1))))</f>
        <v/>
      </c>
      <c r="G258" s="128">
        <f>IF(D258&gt;=20,5,IF(D258&gt;=10,4,IF(D258&gt;=5,3,IF(D258&gt;=2,2,1))))</f>
        <v/>
      </c>
      <c r="H258" s="128">
        <f>IF(E258&gt;=5000,5,IF(E258&gt;=2000,4,IF(E258&gt;=800,3,IF(E258&gt;=300,2,1))))</f>
        <v/>
      </c>
      <c r="I258" s="126">
        <f>TEXT(F258,"0")&amp;TEXT(G258,"0")&amp;TEXT(H258,"0")</f>
        <v/>
      </c>
      <c r="J258" s="126">
        <f>IFERROR(XLOOKUP(I258,'Segment Map'!A:A,'Segment Map'!B:B,"Need Attention"),"Need Attention")</f>
        <v/>
      </c>
      <c r="K258" s="126">
        <f>IF(E258&gt;=5000,"🏆 Platinum",IF(E258&gt;=2000,"🥇 Gold",IF(E258&gt;=800,"🥈 Silver","🥉 Bronze")))</f>
        <v/>
      </c>
      <c r="L258" s="129" t="n">
        <v>40868</v>
      </c>
    </row>
    <row r="259">
      <c r="A259" s="122" t="n">
        <v>12659</v>
      </c>
      <c r="B259" s="122" t="inlineStr">
        <is>
          <t>France</t>
        </is>
      </c>
      <c r="C259" s="122" t="n">
        <v>30</v>
      </c>
      <c r="D259" s="122" t="n">
        <v>1</v>
      </c>
      <c r="E259" s="123" t="n">
        <v>91.68000000000001</v>
      </c>
      <c r="F259" s="124">
        <f>IF(C259&lt;=30,5,IF(C259&lt;=60,4,IF(C259&lt;=120,3,IF(C259&lt;=200,2,1))))</f>
        <v/>
      </c>
      <c r="G259" s="124">
        <f>IF(D259&gt;=20,5,IF(D259&gt;=10,4,IF(D259&gt;=5,3,IF(D259&gt;=2,2,1))))</f>
        <v/>
      </c>
      <c r="H259" s="124">
        <f>IF(E259&gt;=5000,5,IF(E259&gt;=2000,4,IF(E259&gt;=800,3,IF(E259&gt;=300,2,1))))</f>
        <v/>
      </c>
      <c r="I259" s="122">
        <f>TEXT(F259,"0")&amp;TEXT(G259,"0")&amp;TEXT(H259,"0")</f>
        <v/>
      </c>
      <c r="J259" s="122">
        <f>IFERROR(XLOOKUP(I259,'Segment Map'!A:A,'Segment Map'!B:B,"Need Attention"),"Need Attention")</f>
        <v/>
      </c>
      <c r="K259" s="122">
        <f>IF(E259&gt;=5000,"🏆 Platinum",IF(E259&gt;=2000,"🥇 Gold",IF(E259&gt;=800,"🥈 Silver","🥉 Bronze")))</f>
        <v/>
      </c>
      <c r="L259" s="125" t="n">
        <v>40857</v>
      </c>
    </row>
    <row r="260">
      <c r="A260" s="126" t="n">
        <v>12660</v>
      </c>
      <c r="B260" s="126" t="inlineStr">
        <is>
          <t>France</t>
        </is>
      </c>
      <c r="C260" s="126" t="n">
        <v>12</v>
      </c>
      <c r="D260" s="126" t="n">
        <v>1</v>
      </c>
      <c r="E260" s="127" t="n">
        <v>245.1</v>
      </c>
      <c r="F260" s="128">
        <f>IF(C260&lt;=30,5,IF(C260&lt;=60,4,IF(C260&lt;=120,3,IF(C260&lt;=200,2,1))))</f>
        <v/>
      </c>
      <c r="G260" s="128">
        <f>IF(D260&gt;=20,5,IF(D260&gt;=10,4,IF(D260&gt;=5,3,IF(D260&gt;=2,2,1))))</f>
        <v/>
      </c>
      <c r="H260" s="128">
        <f>IF(E260&gt;=5000,5,IF(E260&gt;=2000,4,IF(E260&gt;=800,3,IF(E260&gt;=300,2,1))))</f>
        <v/>
      </c>
      <c r="I260" s="126">
        <f>TEXT(F260,"0")&amp;TEXT(G260,"0")&amp;TEXT(H260,"0")</f>
        <v/>
      </c>
      <c r="J260" s="126">
        <f>IFERROR(XLOOKUP(I260,'Segment Map'!A:A,'Segment Map'!B:B,"Need Attention"),"Need Attention")</f>
        <v/>
      </c>
      <c r="K260" s="126">
        <f>IF(E260&gt;=5000,"🏆 Platinum",IF(E260&gt;=2000,"🥇 Gold",IF(E260&gt;=800,"🥈 Silver","🥉 Bronze")))</f>
        <v/>
      </c>
      <c r="L260" s="129" t="n">
        <v>40875</v>
      </c>
    </row>
    <row r="261">
      <c r="A261" s="122" t="n">
        <v>12662</v>
      </c>
      <c r="B261" s="122" t="inlineStr">
        <is>
          <t>Germany</t>
        </is>
      </c>
      <c r="C261" s="122" t="n">
        <v>1</v>
      </c>
      <c r="D261" s="122" t="n">
        <v>11</v>
      </c>
      <c r="E261" s="123" t="n">
        <v>3849.78</v>
      </c>
      <c r="F261" s="124">
        <f>IF(C261&lt;=30,5,IF(C261&lt;=60,4,IF(C261&lt;=120,3,IF(C261&lt;=200,2,1))))</f>
        <v/>
      </c>
      <c r="G261" s="124">
        <f>IF(D261&gt;=20,5,IF(D261&gt;=10,4,IF(D261&gt;=5,3,IF(D261&gt;=2,2,1))))</f>
        <v/>
      </c>
      <c r="H261" s="124">
        <f>IF(E261&gt;=5000,5,IF(E261&gt;=2000,4,IF(E261&gt;=800,3,IF(E261&gt;=300,2,1))))</f>
        <v/>
      </c>
      <c r="I261" s="122">
        <f>TEXT(F261,"0")&amp;TEXT(G261,"0")&amp;TEXT(H261,"0")</f>
        <v/>
      </c>
      <c r="J261" s="122">
        <f>IFERROR(XLOOKUP(I261,'Segment Map'!A:A,'Segment Map'!B:B,"Need Attention"),"Need Attention")</f>
        <v/>
      </c>
      <c r="K261" s="122">
        <f>IF(E261&gt;=5000,"🏆 Platinum",IF(E261&gt;=2000,"🥇 Gold",IF(E261&gt;=800,"🥈 Silver","🥉 Bronze")))</f>
        <v/>
      </c>
      <c r="L261" s="125" t="n">
        <v>40886</v>
      </c>
    </row>
    <row r="262">
      <c r="A262" s="126" t="n">
        <v>12664</v>
      </c>
      <c r="B262" s="126" t="inlineStr">
        <is>
          <t>Finland</t>
        </is>
      </c>
      <c r="C262" s="126" t="n">
        <v>9</v>
      </c>
      <c r="D262" s="126" t="n">
        <v>9</v>
      </c>
      <c r="E262" s="127" t="n">
        <v>4881.88</v>
      </c>
      <c r="F262" s="128">
        <f>IF(C262&lt;=30,5,IF(C262&lt;=60,4,IF(C262&lt;=120,3,IF(C262&lt;=200,2,1))))</f>
        <v/>
      </c>
      <c r="G262" s="128">
        <f>IF(D262&gt;=20,5,IF(D262&gt;=10,4,IF(D262&gt;=5,3,IF(D262&gt;=2,2,1))))</f>
        <v/>
      </c>
      <c r="H262" s="128">
        <f>IF(E262&gt;=5000,5,IF(E262&gt;=2000,4,IF(E262&gt;=800,3,IF(E262&gt;=300,2,1))))</f>
        <v/>
      </c>
      <c r="I262" s="126">
        <f>TEXT(F262,"0")&amp;TEXT(G262,"0")&amp;TEXT(H262,"0")</f>
        <v/>
      </c>
      <c r="J262" s="126">
        <f>IFERROR(XLOOKUP(I262,'Segment Map'!A:A,'Segment Map'!B:B,"Need Attention"),"Need Attention")</f>
        <v/>
      </c>
      <c r="K262" s="126">
        <f>IF(E262&gt;=5000,"🏆 Platinum",IF(E262&gt;=2000,"🥇 Gold",IF(E262&gt;=800,"🥈 Silver","🥉 Bronze")))</f>
        <v/>
      </c>
      <c r="L262" s="129" t="n">
        <v>40878</v>
      </c>
    </row>
    <row r="263">
      <c r="A263" s="122" t="n">
        <v>12665</v>
      </c>
      <c r="B263" s="122" t="inlineStr">
        <is>
          <t>Germany</t>
        </is>
      </c>
      <c r="C263" s="122" t="n">
        <v>325</v>
      </c>
      <c r="D263" s="122" t="n">
        <v>1</v>
      </c>
      <c r="E263" s="123" t="n">
        <v>63</v>
      </c>
      <c r="F263" s="124">
        <f>IF(C263&lt;=30,5,IF(C263&lt;=60,4,IF(C263&lt;=120,3,IF(C263&lt;=200,2,1))))</f>
        <v/>
      </c>
      <c r="G263" s="124">
        <f>IF(D263&gt;=20,5,IF(D263&gt;=10,4,IF(D263&gt;=5,3,IF(D263&gt;=2,2,1))))</f>
        <v/>
      </c>
      <c r="H263" s="124">
        <f>IF(E263&gt;=5000,5,IF(E263&gt;=2000,4,IF(E263&gt;=800,3,IF(E263&gt;=300,2,1))))</f>
        <v/>
      </c>
      <c r="I263" s="122">
        <f>TEXT(F263,"0")&amp;TEXT(G263,"0")&amp;TEXT(H263,"0")</f>
        <v/>
      </c>
      <c r="J263" s="122">
        <f>IFERROR(XLOOKUP(I263,'Segment Map'!A:A,'Segment Map'!B:B,"Need Attention"),"Need Attention")</f>
        <v/>
      </c>
      <c r="K263" s="122">
        <f>IF(E263&gt;=5000,"🏆 Platinum",IF(E263&gt;=2000,"🥇 Gold",IF(E263&gt;=800,"🥈 Silver","🥉 Bronze")))</f>
        <v/>
      </c>
      <c r="L263" s="125" t="n">
        <v>40562</v>
      </c>
    </row>
    <row r="264">
      <c r="A264" s="126" t="n">
        <v>12667</v>
      </c>
      <c r="B264" s="126" t="inlineStr">
        <is>
          <t>Finland</t>
        </is>
      </c>
      <c r="C264" s="126" t="n">
        <v>59</v>
      </c>
      <c r="D264" s="126" t="n">
        <v>1</v>
      </c>
      <c r="E264" s="127" t="n">
        <v>620.13</v>
      </c>
      <c r="F264" s="128">
        <f>IF(C264&lt;=30,5,IF(C264&lt;=60,4,IF(C264&lt;=120,3,IF(C264&lt;=200,2,1))))</f>
        <v/>
      </c>
      <c r="G264" s="128">
        <f>IF(D264&gt;=20,5,IF(D264&gt;=10,4,IF(D264&gt;=5,3,IF(D264&gt;=2,2,1))))</f>
        <v/>
      </c>
      <c r="H264" s="128">
        <f>IF(E264&gt;=5000,5,IF(E264&gt;=2000,4,IF(E264&gt;=800,3,IF(E264&gt;=300,2,1))))</f>
        <v/>
      </c>
      <c r="I264" s="126">
        <f>TEXT(F264,"0")&amp;TEXT(G264,"0")&amp;TEXT(H264,"0")</f>
        <v/>
      </c>
      <c r="J264" s="126">
        <f>IFERROR(XLOOKUP(I264,'Segment Map'!A:A,'Segment Map'!B:B,"Need Attention"),"Need Attention")</f>
        <v/>
      </c>
      <c r="K264" s="126">
        <f>IF(E264&gt;=5000,"🏆 Platinum",IF(E264&gt;=2000,"🥇 Gold",IF(E264&gt;=800,"🥈 Silver","🥉 Bronze")))</f>
        <v/>
      </c>
      <c r="L264" s="129" t="n">
        <v>40828</v>
      </c>
    </row>
    <row r="265">
      <c r="A265" s="122" t="n">
        <v>12668</v>
      </c>
      <c r="B265" s="122" t="inlineStr">
        <is>
          <t>Germany</t>
        </is>
      </c>
      <c r="C265" s="122" t="n">
        <v>12</v>
      </c>
      <c r="D265" s="122" t="n">
        <v>4</v>
      </c>
      <c r="E265" s="123" t="n">
        <v>3807.15</v>
      </c>
      <c r="F265" s="124">
        <f>IF(C265&lt;=30,5,IF(C265&lt;=60,4,IF(C265&lt;=120,3,IF(C265&lt;=200,2,1))))</f>
        <v/>
      </c>
      <c r="G265" s="124">
        <f>IF(D265&gt;=20,5,IF(D265&gt;=10,4,IF(D265&gt;=5,3,IF(D265&gt;=2,2,1))))</f>
        <v/>
      </c>
      <c r="H265" s="124">
        <f>IF(E265&gt;=5000,5,IF(E265&gt;=2000,4,IF(E265&gt;=800,3,IF(E265&gt;=300,2,1))))</f>
        <v/>
      </c>
      <c r="I265" s="122">
        <f>TEXT(F265,"0")&amp;TEXT(G265,"0")&amp;TEXT(H265,"0")</f>
        <v/>
      </c>
      <c r="J265" s="122">
        <f>IFERROR(XLOOKUP(I265,'Segment Map'!A:A,'Segment Map'!B:B,"Need Attention"),"Need Attention")</f>
        <v/>
      </c>
      <c r="K265" s="122">
        <f>IF(E265&gt;=5000,"🏆 Platinum",IF(E265&gt;=2000,"🥇 Gold",IF(E265&gt;=800,"🥈 Silver","🥉 Bronze")))</f>
        <v/>
      </c>
      <c r="L265" s="125" t="n">
        <v>40875</v>
      </c>
    </row>
    <row r="266">
      <c r="A266" s="126" t="n">
        <v>12669</v>
      </c>
      <c r="B266" s="126" t="inlineStr">
        <is>
          <t>France</t>
        </is>
      </c>
      <c r="C266" s="126" t="n">
        <v>151</v>
      </c>
      <c r="D266" s="126" t="n">
        <v>3</v>
      </c>
      <c r="E266" s="127" t="n">
        <v>2744.03</v>
      </c>
      <c r="F266" s="128">
        <f>IF(C266&lt;=30,5,IF(C266&lt;=60,4,IF(C266&lt;=120,3,IF(C266&lt;=200,2,1))))</f>
        <v/>
      </c>
      <c r="G266" s="128">
        <f>IF(D266&gt;=20,5,IF(D266&gt;=10,4,IF(D266&gt;=5,3,IF(D266&gt;=2,2,1))))</f>
        <v/>
      </c>
      <c r="H266" s="128">
        <f>IF(E266&gt;=5000,5,IF(E266&gt;=2000,4,IF(E266&gt;=800,3,IF(E266&gt;=300,2,1))))</f>
        <v/>
      </c>
      <c r="I266" s="126">
        <f>TEXT(F266,"0")&amp;TEXT(G266,"0")&amp;TEXT(H266,"0")</f>
        <v/>
      </c>
      <c r="J266" s="126">
        <f>IFERROR(XLOOKUP(I266,'Segment Map'!A:A,'Segment Map'!B:B,"Need Attention"),"Need Attention")</f>
        <v/>
      </c>
      <c r="K266" s="126">
        <f>IF(E266&gt;=5000,"🏆 Platinum",IF(E266&gt;=2000,"🥇 Gold",IF(E266&gt;=800,"🥈 Silver","🥉 Bronze")))</f>
        <v/>
      </c>
      <c r="L266" s="129" t="n">
        <v>40736</v>
      </c>
    </row>
    <row r="267">
      <c r="A267" s="122" t="n">
        <v>12670</v>
      </c>
      <c r="B267" s="122" t="inlineStr">
        <is>
          <t>France</t>
        </is>
      </c>
      <c r="C267" s="122" t="n">
        <v>11</v>
      </c>
      <c r="D267" s="122" t="n">
        <v>5</v>
      </c>
      <c r="E267" s="123" t="n">
        <v>2996.05</v>
      </c>
      <c r="F267" s="124">
        <f>IF(C267&lt;=30,5,IF(C267&lt;=60,4,IF(C267&lt;=120,3,IF(C267&lt;=200,2,1))))</f>
        <v/>
      </c>
      <c r="G267" s="124">
        <f>IF(D267&gt;=20,5,IF(D267&gt;=10,4,IF(D267&gt;=5,3,IF(D267&gt;=2,2,1))))</f>
        <v/>
      </c>
      <c r="H267" s="124">
        <f>IF(E267&gt;=5000,5,IF(E267&gt;=2000,4,IF(E267&gt;=800,3,IF(E267&gt;=300,2,1))))</f>
        <v/>
      </c>
      <c r="I267" s="122">
        <f>TEXT(F267,"0")&amp;TEXT(G267,"0")&amp;TEXT(H267,"0")</f>
        <v/>
      </c>
      <c r="J267" s="122">
        <f>IFERROR(XLOOKUP(I267,'Segment Map'!A:A,'Segment Map'!B:B,"Need Attention"),"Need Attention")</f>
        <v/>
      </c>
      <c r="K267" s="122">
        <f>IF(E267&gt;=5000,"🏆 Platinum",IF(E267&gt;=2000,"🥇 Gold",IF(E267&gt;=800,"🥈 Silver","🥉 Bronze")))</f>
        <v/>
      </c>
      <c r="L267" s="125" t="n">
        <v>40876</v>
      </c>
    </row>
    <row r="268">
      <c r="A268" s="126" t="n">
        <v>12672</v>
      </c>
      <c r="B268" s="126" t="inlineStr">
        <is>
          <t>France</t>
        </is>
      </c>
      <c r="C268" s="126" t="n">
        <v>330</v>
      </c>
      <c r="D268" s="126" t="n">
        <v>1</v>
      </c>
      <c r="E268" s="127" t="n">
        <v>225.9</v>
      </c>
      <c r="F268" s="128">
        <f>IF(C268&lt;=30,5,IF(C268&lt;=60,4,IF(C268&lt;=120,3,IF(C268&lt;=200,2,1))))</f>
        <v/>
      </c>
      <c r="G268" s="128">
        <f>IF(D268&gt;=20,5,IF(D268&gt;=10,4,IF(D268&gt;=5,3,IF(D268&gt;=2,2,1))))</f>
        <v/>
      </c>
      <c r="H268" s="128">
        <f>IF(E268&gt;=5000,5,IF(E268&gt;=2000,4,IF(E268&gt;=800,3,IF(E268&gt;=300,2,1))))</f>
        <v/>
      </c>
      <c r="I268" s="126">
        <f>TEXT(F268,"0")&amp;TEXT(G268,"0")&amp;TEXT(H268,"0")</f>
        <v/>
      </c>
      <c r="J268" s="126">
        <f>IFERROR(XLOOKUP(I268,'Segment Map'!A:A,'Segment Map'!B:B,"Need Attention"),"Need Attention")</f>
        <v/>
      </c>
      <c r="K268" s="126">
        <f>IF(E268&gt;=5000,"🏆 Platinum",IF(E268&gt;=2000,"🥇 Gold",IF(E268&gt;=800,"🥈 Silver","🥉 Bronze")))</f>
        <v/>
      </c>
      <c r="L268" s="129" t="n">
        <v>40557</v>
      </c>
    </row>
    <row r="269">
      <c r="A269" s="122" t="n">
        <v>12673</v>
      </c>
      <c r="B269" s="122" t="inlineStr">
        <is>
          <t>Germany</t>
        </is>
      </c>
      <c r="C269" s="122" t="n">
        <v>6</v>
      </c>
      <c r="D269" s="122" t="n">
        <v>2</v>
      </c>
      <c r="E269" s="123" t="n">
        <v>610.52</v>
      </c>
      <c r="F269" s="124">
        <f>IF(C269&lt;=30,5,IF(C269&lt;=60,4,IF(C269&lt;=120,3,IF(C269&lt;=200,2,1))))</f>
        <v/>
      </c>
      <c r="G269" s="124">
        <f>IF(D269&gt;=20,5,IF(D269&gt;=10,4,IF(D269&gt;=5,3,IF(D269&gt;=2,2,1))))</f>
        <v/>
      </c>
      <c r="H269" s="124">
        <f>IF(E269&gt;=5000,5,IF(E269&gt;=2000,4,IF(E269&gt;=800,3,IF(E269&gt;=300,2,1))))</f>
        <v/>
      </c>
      <c r="I269" s="122">
        <f>TEXT(F269,"0")&amp;TEXT(G269,"0")&amp;TEXT(H269,"0")</f>
        <v/>
      </c>
      <c r="J269" s="122">
        <f>IFERROR(XLOOKUP(I269,'Segment Map'!A:A,'Segment Map'!B:B,"Need Attention"),"Need Attention")</f>
        <v/>
      </c>
      <c r="K269" s="122">
        <f>IF(E269&gt;=5000,"🏆 Platinum",IF(E269&gt;=2000,"🥇 Gold",IF(E269&gt;=800,"🥈 Silver","🥉 Bronze")))</f>
        <v/>
      </c>
      <c r="L269" s="125" t="n">
        <v>40881</v>
      </c>
    </row>
    <row r="270">
      <c r="A270" s="126" t="n">
        <v>12674</v>
      </c>
      <c r="B270" s="126" t="inlineStr">
        <is>
          <t>France</t>
        </is>
      </c>
      <c r="C270" s="126" t="n">
        <v>39</v>
      </c>
      <c r="D270" s="126" t="n">
        <v>4</v>
      </c>
      <c r="E270" s="127" t="n">
        <v>1970.6</v>
      </c>
      <c r="F270" s="128">
        <f>IF(C270&lt;=30,5,IF(C270&lt;=60,4,IF(C270&lt;=120,3,IF(C270&lt;=200,2,1))))</f>
        <v/>
      </c>
      <c r="G270" s="128">
        <f>IF(D270&gt;=20,5,IF(D270&gt;=10,4,IF(D270&gt;=5,3,IF(D270&gt;=2,2,1))))</f>
        <v/>
      </c>
      <c r="H270" s="128">
        <f>IF(E270&gt;=5000,5,IF(E270&gt;=2000,4,IF(E270&gt;=800,3,IF(E270&gt;=300,2,1))))</f>
        <v/>
      </c>
      <c r="I270" s="126">
        <f>TEXT(F270,"0")&amp;TEXT(G270,"0")&amp;TEXT(H270,"0")</f>
        <v/>
      </c>
      <c r="J270" s="126">
        <f>IFERROR(XLOOKUP(I270,'Segment Map'!A:A,'Segment Map'!B:B,"Need Attention"),"Need Attention")</f>
        <v/>
      </c>
      <c r="K270" s="126">
        <f>IF(E270&gt;=5000,"🏆 Platinum",IF(E270&gt;=2000,"🥇 Gold",IF(E270&gt;=800,"🥈 Silver","🥉 Bronze")))</f>
        <v/>
      </c>
      <c r="L270" s="129" t="n">
        <v>40848</v>
      </c>
    </row>
    <row r="271">
      <c r="A271" s="122" t="n">
        <v>12676</v>
      </c>
      <c r="B271" s="122" t="inlineStr">
        <is>
          <t>Sweden</t>
        </is>
      </c>
      <c r="C271" s="122" t="n">
        <v>25</v>
      </c>
      <c r="D271" s="122" t="n">
        <v>6</v>
      </c>
      <c r="E271" s="123" t="n">
        <v>1331.39</v>
      </c>
      <c r="F271" s="124">
        <f>IF(C271&lt;=30,5,IF(C271&lt;=60,4,IF(C271&lt;=120,3,IF(C271&lt;=200,2,1))))</f>
        <v/>
      </c>
      <c r="G271" s="124">
        <f>IF(D271&gt;=20,5,IF(D271&gt;=10,4,IF(D271&gt;=5,3,IF(D271&gt;=2,2,1))))</f>
        <v/>
      </c>
      <c r="H271" s="124">
        <f>IF(E271&gt;=5000,5,IF(E271&gt;=2000,4,IF(E271&gt;=800,3,IF(E271&gt;=300,2,1))))</f>
        <v/>
      </c>
      <c r="I271" s="122">
        <f>TEXT(F271,"0")&amp;TEXT(G271,"0")&amp;TEXT(H271,"0")</f>
        <v/>
      </c>
      <c r="J271" s="122">
        <f>IFERROR(XLOOKUP(I271,'Segment Map'!A:A,'Segment Map'!B:B,"Need Attention"),"Need Attention")</f>
        <v/>
      </c>
      <c r="K271" s="122">
        <f>IF(E271&gt;=5000,"🏆 Platinum",IF(E271&gt;=2000,"🥇 Gold",IF(E271&gt;=800,"🥈 Silver","🥉 Bronze")))</f>
        <v/>
      </c>
      <c r="L271" s="125" t="n">
        <v>40862</v>
      </c>
    </row>
    <row r="272">
      <c r="A272" s="126" t="n">
        <v>12678</v>
      </c>
      <c r="B272" s="126" t="inlineStr">
        <is>
          <t>France</t>
        </is>
      </c>
      <c r="C272" s="126" t="n">
        <v>43</v>
      </c>
      <c r="D272" s="126" t="n">
        <v>12</v>
      </c>
      <c r="E272" s="127" t="n">
        <v>17628.46</v>
      </c>
      <c r="F272" s="128">
        <f>IF(C272&lt;=30,5,IF(C272&lt;=60,4,IF(C272&lt;=120,3,IF(C272&lt;=200,2,1))))</f>
        <v/>
      </c>
      <c r="G272" s="128">
        <f>IF(D272&gt;=20,5,IF(D272&gt;=10,4,IF(D272&gt;=5,3,IF(D272&gt;=2,2,1))))</f>
        <v/>
      </c>
      <c r="H272" s="128">
        <f>IF(E272&gt;=5000,5,IF(E272&gt;=2000,4,IF(E272&gt;=800,3,IF(E272&gt;=300,2,1))))</f>
        <v/>
      </c>
      <c r="I272" s="126">
        <f>TEXT(F272,"0")&amp;TEXT(G272,"0")&amp;TEXT(H272,"0")</f>
        <v/>
      </c>
      <c r="J272" s="126">
        <f>IFERROR(XLOOKUP(I272,'Segment Map'!A:A,'Segment Map'!B:B,"Need Attention"),"Need Attention")</f>
        <v/>
      </c>
      <c r="K272" s="126">
        <f>IF(E272&gt;=5000,"🏆 Platinum",IF(E272&gt;=2000,"🥇 Gold",IF(E272&gt;=800,"🥈 Silver","🥉 Bronze")))</f>
        <v/>
      </c>
      <c r="L272" s="129" t="n">
        <v>40844</v>
      </c>
    </row>
    <row r="273">
      <c r="A273" s="122" t="n">
        <v>12679</v>
      </c>
      <c r="B273" s="122" t="inlineStr">
        <is>
          <t>France</t>
        </is>
      </c>
      <c r="C273" s="122" t="n">
        <v>59</v>
      </c>
      <c r="D273" s="122" t="n">
        <v>4</v>
      </c>
      <c r="E273" s="123" t="n">
        <v>1113.02</v>
      </c>
      <c r="F273" s="124">
        <f>IF(C273&lt;=30,5,IF(C273&lt;=60,4,IF(C273&lt;=120,3,IF(C273&lt;=200,2,1))))</f>
        <v/>
      </c>
      <c r="G273" s="124">
        <f>IF(D273&gt;=20,5,IF(D273&gt;=10,4,IF(D273&gt;=5,3,IF(D273&gt;=2,2,1))))</f>
        <v/>
      </c>
      <c r="H273" s="124">
        <f>IF(E273&gt;=5000,5,IF(E273&gt;=2000,4,IF(E273&gt;=800,3,IF(E273&gt;=300,2,1))))</f>
        <v/>
      </c>
      <c r="I273" s="122">
        <f>TEXT(F273,"0")&amp;TEXT(G273,"0")&amp;TEXT(H273,"0")</f>
        <v/>
      </c>
      <c r="J273" s="122">
        <f>IFERROR(XLOOKUP(I273,'Segment Map'!A:A,'Segment Map'!B:B,"Need Attention"),"Need Attention")</f>
        <v/>
      </c>
      <c r="K273" s="122">
        <f>IF(E273&gt;=5000,"🏆 Platinum",IF(E273&gt;=2000,"🥇 Gold",IF(E273&gt;=800,"🥈 Silver","🥉 Bronze")))</f>
        <v/>
      </c>
      <c r="L273" s="125" t="n">
        <v>40828</v>
      </c>
    </row>
    <row r="274">
      <c r="A274" s="126" t="n">
        <v>12680</v>
      </c>
      <c r="B274" s="126" t="inlineStr">
        <is>
          <t>France</t>
        </is>
      </c>
      <c r="C274" s="126" t="n">
        <v>1</v>
      </c>
      <c r="D274" s="126" t="n">
        <v>4</v>
      </c>
      <c r="E274" s="127" t="n">
        <v>862.8099999999999</v>
      </c>
      <c r="F274" s="128">
        <f>IF(C274&lt;=30,5,IF(C274&lt;=60,4,IF(C274&lt;=120,3,IF(C274&lt;=200,2,1))))</f>
        <v/>
      </c>
      <c r="G274" s="128">
        <f>IF(D274&gt;=20,5,IF(D274&gt;=10,4,IF(D274&gt;=5,3,IF(D274&gt;=2,2,1))))</f>
        <v/>
      </c>
      <c r="H274" s="128">
        <f>IF(E274&gt;=5000,5,IF(E274&gt;=2000,4,IF(E274&gt;=800,3,IF(E274&gt;=300,2,1))))</f>
        <v/>
      </c>
      <c r="I274" s="126">
        <f>TEXT(F274,"0")&amp;TEXT(G274,"0")&amp;TEXT(H274,"0")</f>
        <v/>
      </c>
      <c r="J274" s="126">
        <f>IFERROR(XLOOKUP(I274,'Segment Map'!A:A,'Segment Map'!B:B,"Need Attention"),"Need Attention")</f>
        <v/>
      </c>
      <c r="K274" s="126">
        <f>IF(E274&gt;=5000,"🏆 Platinum",IF(E274&gt;=2000,"🥇 Gold",IF(E274&gt;=800,"🥈 Silver","🥉 Bronze")))</f>
        <v/>
      </c>
      <c r="L274" s="129" t="n">
        <v>40886</v>
      </c>
    </row>
    <row r="275">
      <c r="A275" s="122" t="n">
        <v>12681</v>
      </c>
      <c r="B275" s="122" t="inlineStr">
        <is>
          <t>France</t>
        </is>
      </c>
      <c r="C275" s="122" t="n">
        <v>15</v>
      </c>
      <c r="D275" s="122" t="n">
        <v>22</v>
      </c>
      <c r="E275" s="123" t="n">
        <v>13787.54</v>
      </c>
      <c r="F275" s="124">
        <f>IF(C275&lt;=30,5,IF(C275&lt;=60,4,IF(C275&lt;=120,3,IF(C275&lt;=200,2,1))))</f>
        <v/>
      </c>
      <c r="G275" s="124">
        <f>IF(D275&gt;=20,5,IF(D275&gt;=10,4,IF(D275&gt;=5,3,IF(D275&gt;=2,2,1))))</f>
        <v/>
      </c>
      <c r="H275" s="124">
        <f>IF(E275&gt;=5000,5,IF(E275&gt;=2000,4,IF(E275&gt;=800,3,IF(E275&gt;=300,2,1))))</f>
        <v/>
      </c>
      <c r="I275" s="122">
        <f>TEXT(F275,"0")&amp;TEXT(G275,"0")&amp;TEXT(H275,"0")</f>
        <v/>
      </c>
      <c r="J275" s="122">
        <f>IFERROR(XLOOKUP(I275,'Segment Map'!A:A,'Segment Map'!B:B,"Need Attention"),"Need Attention")</f>
        <v/>
      </c>
      <c r="K275" s="122">
        <f>IF(E275&gt;=5000,"🏆 Platinum",IF(E275&gt;=2000,"🥇 Gold",IF(E275&gt;=800,"🥈 Silver","🥉 Bronze")))</f>
        <v/>
      </c>
      <c r="L275" s="125" t="n">
        <v>40872</v>
      </c>
    </row>
    <row r="276">
      <c r="A276" s="126" t="n">
        <v>12682</v>
      </c>
      <c r="B276" s="126" t="inlineStr">
        <is>
          <t>France</t>
        </is>
      </c>
      <c r="C276" s="126" t="n">
        <v>4</v>
      </c>
      <c r="D276" s="126" t="n">
        <v>31</v>
      </c>
      <c r="E276" s="127" t="n">
        <v>12288.22</v>
      </c>
      <c r="F276" s="128">
        <f>IF(C276&lt;=30,5,IF(C276&lt;=60,4,IF(C276&lt;=120,3,IF(C276&lt;=200,2,1))))</f>
        <v/>
      </c>
      <c r="G276" s="128">
        <f>IF(D276&gt;=20,5,IF(D276&gt;=10,4,IF(D276&gt;=5,3,IF(D276&gt;=2,2,1))))</f>
        <v/>
      </c>
      <c r="H276" s="128">
        <f>IF(E276&gt;=5000,5,IF(E276&gt;=2000,4,IF(E276&gt;=800,3,IF(E276&gt;=300,2,1))))</f>
        <v/>
      </c>
      <c r="I276" s="126">
        <f>TEXT(F276,"0")&amp;TEXT(G276,"0")&amp;TEXT(H276,"0")</f>
        <v/>
      </c>
      <c r="J276" s="126">
        <f>IFERROR(XLOOKUP(I276,'Segment Map'!A:A,'Segment Map'!B:B,"Need Attention"),"Need Attention")</f>
        <v/>
      </c>
      <c r="K276" s="126">
        <f>IF(E276&gt;=5000,"🏆 Platinum",IF(E276&gt;=2000,"🥇 Gold",IF(E276&gt;=800,"🥈 Silver","🥉 Bronze")))</f>
        <v/>
      </c>
      <c r="L276" s="129" t="n">
        <v>40883</v>
      </c>
    </row>
    <row r="277">
      <c r="A277" s="122" t="n">
        <v>12683</v>
      </c>
      <c r="B277" s="122" t="inlineStr">
        <is>
          <t>France</t>
        </is>
      </c>
      <c r="C277" s="122" t="n">
        <v>5</v>
      </c>
      <c r="D277" s="122" t="n">
        <v>15</v>
      </c>
      <c r="E277" s="123" t="n">
        <v>8476.57</v>
      </c>
      <c r="F277" s="124">
        <f>IF(C277&lt;=30,5,IF(C277&lt;=60,4,IF(C277&lt;=120,3,IF(C277&lt;=200,2,1))))</f>
        <v/>
      </c>
      <c r="G277" s="124">
        <f>IF(D277&gt;=20,5,IF(D277&gt;=10,4,IF(D277&gt;=5,3,IF(D277&gt;=2,2,1))))</f>
        <v/>
      </c>
      <c r="H277" s="124">
        <f>IF(E277&gt;=5000,5,IF(E277&gt;=2000,4,IF(E277&gt;=800,3,IF(E277&gt;=300,2,1))))</f>
        <v/>
      </c>
      <c r="I277" s="122">
        <f>TEXT(F277,"0")&amp;TEXT(G277,"0")&amp;TEXT(H277,"0")</f>
        <v/>
      </c>
      <c r="J277" s="122">
        <f>IFERROR(XLOOKUP(I277,'Segment Map'!A:A,'Segment Map'!B:B,"Need Attention"),"Need Attention")</f>
        <v/>
      </c>
      <c r="K277" s="122">
        <f>IF(E277&gt;=5000,"🏆 Platinum",IF(E277&gt;=2000,"🥇 Gold",IF(E277&gt;=800,"🥈 Silver","🥉 Bronze")))</f>
        <v/>
      </c>
      <c r="L277" s="125" t="n">
        <v>40882</v>
      </c>
    </row>
    <row r="278">
      <c r="A278" s="126" t="n">
        <v>12684</v>
      </c>
      <c r="B278" s="126" t="inlineStr">
        <is>
          <t>France</t>
        </is>
      </c>
      <c r="C278" s="126" t="n">
        <v>8</v>
      </c>
      <c r="D278" s="126" t="n">
        <v>7</v>
      </c>
      <c r="E278" s="127" t="n">
        <v>2283.63</v>
      </c>
      <c r="F278" s="128">
        <f>IF(C278&lt;=30,5,IF(C278&lt;=60,4,IF(C278&lt;=120,3,IF(C278&lt;=200,2,1))))</f>
        <v/>
      </c>
      <c r="G278" s="128">
        <f>IF(D278&gt;=20,5,IF(D278&gt;=10,4,IF(D278&gt;=5,3,IF(D278&gt;=2,2,1))))</f>
        <v/>
      </c>
      <c r="H278" s="128">
        <f>IF(E278&gt;=5000,5,IF(E278&gt;=2000,4,IF(E278&gt;=800,3,IF(E278&gt;=300,2,1))))</f>
        <v/>
      </c>
      <c r="I278" s="126">
        <f>TEXT(F278,"0")&amp;TEXT(G278,"0")&amp;TEXT(H278,"0")</f>
        <v/>
      </c>
      <c r="J278" s="126">
        <f>IFERROR(XLOOKUP(I278,'Segment Map'!A:A,'Segment Map'!B:B,"Need Attention"),"Need Attention")</f>
        <v/>
      </c>
      <c r="K278" s="126">
        <f>IF(E278&gt;=5000,"🏆 Platinum",IF(E278&gt;=2000,"🥇 Gold",IF(E278&gt;=800,"🥈 Silver","🥉 Bronze")))</f>
        <v/>
      </c>
      <c r="L278" s="129" t="n">
        <v>40879</v>
      </c>
    </row>
    <row r="279">
      <c r="A279" s="122" t="n">
        <v>12685</v>
      </c>
      <c r="B279" s="122" t="inlineStr">
        <is>
          <t>France</t>
        </is>
      </c>
      <c r="C279" s="122" t="n">
        <v>29</v>
      </c>
      <c r="D279" s="122" t="n">
        <v>6</v>
      </c>
      <c r="E279" s="123" t="n">
        <v>2863.08</v>
      </c>
      <c r="F279" s="124">
        <f>IF(C279&lt;=30,5,IF(C279&lt;=60,4,IF(C279&lt;=120,3,IF(C279&lt;=200,2,1))))</f>
        <v/>
      </c>
      <c r="G279" s="124">
        <f>IF(D279&gt;=20,5,IF(D279&gt;=10,4,IF(D279&gt;=5,3,IF(D279&gt;=2,2,1))))</f>
        <v/>
      </c>
      <c r="H279" s="124">
        <f>IF(E279&gt;=5000,5,IF(E279&gt;=2000,4,IF(E279&gt;=800,3,IF(E279&gt;=300,2,1))))</f>
        <v/>
      </c>
      <c r="I279" s="122">
        <f>TEXT(F279,"0")&amp;TEXT(G279,"0")&amp;TEXT(H279,"0")</f>
        <v/>
      </c>
      <c r="J279" s="122">
        <f>IFERROR(XLOOKUP(I279,'Segment Map'!A:A,'Segment Map'!B:B,"Need Attention"),"Need Attention")</f>
        <v/>
      </c>
      <c r="K279" s="122">
        <f>IF(E279&gt;=5000,"🏆 Platinum",IF(E279&gt;=2000,"🥇 Gold",IF(E279&gt;=800,"🥈 Silver","🥉 Bronze")))</f>
        <v/>
      </c>
      <c r="L279" s="125" t="n">
        <v>40858</v>
      </c>
    </row>
    <row r="280">
      <c r="A280" s="126" t="n">
        <v>12686</v>
      </c>
      <c r="B280" s="126" t="inlineStr">
        <is>
          <t>France</t>
        </is>
      </c>
      <c r="C280" s="126" t="n">
        <v>372</v>
      </c>
      <c r="D280" s="126" t="n">
        <v>1</v>
      </c>
      <c r="E280" s="127" t="n">
        <v>89.14</v>
      </c>
      <c r="F280" s="128">
        <f>IF(C280&lt;=30,5,IF(C280&lt;=60,4,IF(C280&lt;=120,3,IF(C280&lt;=200,2,1))))</f>
        <v/>
      </c>
      <c r="G280" s="128">
        <f>IF(D280&gt;=20,5,IF(D280&gt;=10,4,IF(D280&gt;=5,3,IF(D280&gt;=2,2,1))))</f>
        <v/>
      </c>
      <c r="H280" s="128">
        <f>IF(E280&gt;=5000,5,IF(E280&gt;=2000,4,IF(E280&gt;=800,3,IF(E280&gt;=300,2,1))))</f>
        <v/>
      </c>
      <c r="I280" s="126">
        <f>TEXT(F280,"0")&amp;TEXT(G280,"0")&amp;TEXT(H280,"0")</f>
        <v/>
      </c>
      <c r="J280" s="126">
        <f>IFERROR(XLOOKUP(I280,'Segment Map'!A:A,'Segment Map'!B:B,"Need Attention"),"Need Attention")</f>
        <v/>
      </c>
      <c r="K280" s="126">
        <f>IF(E280&gt;=5000,"🏆 Platinum",IF(E280&gt;=2000,"🥇 Gold",IF(E280&gt;=800,"🥈 Silver","🥉 Bronze")))</f>
        <v/>
      </c>
      <c r="L280" s="129" t="n">
        <v>40515</v>
      </c>
    </row>
    <row r="281">
      <c r="A281" s="122" t="n">
        <v>12688</v>
      </c>
      <c r="B281" s="122" t="inlineStr">
        <is>
          <t>Israel</t>
        </is>
      </c>
      <c r="C281" s="122" t="n">
        <v>114</v>
      </c>
      <c r="D281" s="122" t="n">
        <v>1</v>
      </c>
      <c r="E281" s="123" t="n">
        <v>4873.81</v>
      </c>
      <c r="F281" s="124">
        <f>IF(C281&lt;=30,5,IF(C281&lt;=60,4,IF(C281&lt;=120,3,IF(C281&lt;=200,2,1))))</f>
        <v/>
      </c>
      <c r="G281" s="124">
        <f>IF(D281&gt;=20,5,IF(D281&gt;=10,4,IF(D281&gt;=5,3,IF(D281&gt;=2,2,1))))</f>
        <v/>
      </c>
      <c r="H281" s="124">
        <f>IF(E281&gt;=5000,5,IF(E281&gt;=2000,4,IF(E281&gt;=800,3,IF(E281&gt;=300,2,1))))</f>
        <v/>
      </c>
      <c r="I281" s="122">
        <f>TEXT(F281,"0")&amp;TEXT(G281,"0")&amp;TEXT(H281,"0")</f>
        <v/>
      </c>
      <c r="J281" s="122">
        <f>IFERROR(XLOOKUP(I281,'Segment Map'!A:A,'Segment Map'!B:B,"Need Attention"),"Need Attention")</f>
        <v/>
      </c>
      <c r="K281" s="122">
        <f>IF(E281&gt;=5000,"🏆 Platinum",IF(E281&gt;=2000,"🥇 Gold",IF(E281&gt;=800,"🥈 Silver","🥉 Bronze")))</f>
        <v/>
      </c>
      <c r="L281" s="125" t="n">
        <v>40773</v>
      </c>
    </row>
    <row r="282">
      <c r="A282" s="126" t="n">
        <v>12689</v>
      </c>
      <c r="B282" s="126" t="inlineStr">
        <is>
          <t>France</t>
        </is>
      </c>
      <c r="C282" s="126" t="n">
        <v>26</v>
      </c>
      <c r="D282" s="126" t="n">
        <v>2</v>
      </c>
      <c r="E282" s="127" t="n">
        <v>1247.61</v>
      </c>
      <c r="F282" s="128">
        <f>IF(C282&lt;=30,5,IF(C282&lt;=60,4,IF(C282&lt;=120,3,IF(C282&lt;=200,2,1))))</f>
        <v/>
      </c>
      <c r="G282" s="128">
        <f>IF(D282&gt;=20,5,IF(D282&gt;=10,4,IF(D282&gt;=5,3,IF(D282&gt;=2,2,1))))</f>
        <v/>
      </c>
      <c r="H282" s="128">
        <f>IF(E282&gt;=5000,5,IF(E282&gt;=2000,4,IF(E282&gt;=800,3,IF(E282&gt;=300,2,1))))</f>
        <v/>
      </c>
      <c r="I282" s="126">
        <f>TEXT(F282,"0")&amp;TEXT(G282,"0")&amp;TEXT(H282,"0")</f>
        <v/>
      </c>
      <c r="J282" s="126">
        <f>IFERROR(XLOOKUP(I282,'Segment Map'!A:A,'Segment Map'!B:B,"Need Attention"),"Need Attention")</f>
        <v/>
      </c>
      <c r="K282" s="126">
        <f>IF(E282&gt;=5000,"🏆 Platinum",IF(E282&gt;=2000,"🥇 Gold",IF(E282&gt;=800,"🥈 Silver","🥉 Bronze")))</f>
        <v/>
      </c>
      <c r="L282" s="129" t="n">
        <v>40861</v>
      </c>
    </row>
    <row r="283">
      <c r="A283" s="122" t="n">
        <v>12690</v>
      </c>
      <c r="B283" s="122" t="inlineStr">
        <is>
          <t>France</t>
        </is>
      </c>
      <c r="C283" s="122" t="n">
        <v>206</v>
      </c>
      <c r="D283" s="122" t="n">
        <v>1</v>
      </c>
      <c r="E283" s="123" t="n">
        <v>389.01</v>
      </c>
      <c r="F283" s="124">
        <f>IF(C283&lt;=30,5,IF(C283&lt;=60,4,IF(C283&lt;=120,3,IF(C283&lt;=200,2,1))))</f>
        <v/>
      </c>
      <c r="G283" s="124">
        <f>IF(D283&gt;=20,5,IF(D283&gt;=10,4,IF(D283&gt;=5,3,IF(D283&gt;=2,2,1))))</f>
        <v/>
      </c>
      <c r="H283" s="124">
        <f>IF(E283&gt;=5000,5,IF(E283&gt;=2000,4,IF(E283&gt;=800,3,IF(E283&gt;=300,2,1))))</f>
        <v/>
      </c>
      <c r="I283" s="122">
        <f>TEXT(F283,"0")&amp;TEXT(G283,"0")&amp;TEXT(H283,"0")</f>
        <v/>
      </c>
      <c r="J283" s="122">
        <f>IFERROR(XLOOKUP(I283,'Segment Map'!A:A,'Segment Map'!B:B,"Need Attention"),"Need Attention")</f>
        <v/>
      </c>
      <c r="K283" s="122">
        <f>IF(E283&gt;=5000,"🏆 Platinum",IF(E283&gt;=2000,"🥇 Gold",IF(E283&gt;=800,"🥈 Silver","🥉 Bronze")))</f>
        <v/>
      </c>
      <c r="L283" s="125" t="n">
        <v>40681</v>
      </c>
    </row>
    <row r="284">
      <c r="A284" s="126" t="n">
        <v>12691</v>
      </c>
      <c r="B284" s="126" t="inlineStr">
        <is>
          <t>France</t>
        </is>
      </c>
      <c r="C284" s="126" t="n">
        <v>29</v>
      </c>
      <c r="D284" s="126" t="n">
        <v>6</v>
      </c>
      <c r="E284" s="127" t="n">
        <v>1035.8</v>
      </c>
      <c r="F284" s="128">
        <f>IF(C284&lt;=30,5,IF(C284&lt;=60,4,IF(C284&lt;=120,3,IF(C284&lt;=200,2,1))))</f>
        <v/>
      </c>
      <c r="G284" s="128">
        <f>IF(D284&gt;=20,5,IF(D284&gt;=10,4,IF(D284&gt;=5,3,IF(D284&gt;=2,2,1))))</f>
        <v/>
      </c>
      <c r="H284" s="128">
        <f>IF(E284&gt;=5000,5,IF(E284&gt;=2000,4,IF(E284&gt;=800,3,IF(E284&gt;=300,2,1))))</f>
        <v/>
      </c>
      <c r="I284" s="126">
        <f>TEXT(F284,"0")&amp;TEXT(G284,"0")&amp;TEXT(H284,"0")</f>
        <v/>
      </c>
      <c r="J284" s="126">
        <f>IFERROR(XLOOKUP(I284,'Segment Map'!A:A,'Segment Map'!B:B,"Need Attention"),"Need Attention")</f>
        <v/>
      </c>
      <c r="K284" s="126">
        <f>IF(E284&gt;=5000,"🏆 Platinum",IF(E284&gt;=2000,"🥇 Gold",IF(E284&gt;=800,"🥈 Silver","🥉 Bronze")))</f>
        <v/>
      </c>
      <c r="L284" s="129" t="n">
        <v>40858</v>
      </c>
    </row>
    <row r="285">
      <c r="A285" s="122" t="n">
        <v>12693</v>
      </c>
      <c r="B285" s="122" t="inlineStr">
        <is>
          <t>Germany</t>
        </is>
      </c>
      <c r="C285" s="122" t="n">
        <v>128</v>
      </c>
      <c r="D285" s="122" t="n">
        <v>4</v>
      </c>
      <c r="E285" s="123" t="n">
        <v>855.91</v>
      </c>
      <c r="F285" s="124">
        <f>IF(C285&lt;=30,5,IF(C285&lt;=60,4,IF(C285&lt;=120,3,IF(C285&lt;=200,2,1))))</f>
        <v/>
      </c>
      <c r="G285" s="124">
        <f>IF(D285&gt;=20,5,IF(D285&gt;=10,4,IF(D285&gt;=5,3,IF(D285&gt;=2,2,1))))</f>
        <v/>
      </c>
      <c r="H285" s="124">
        <f>IF(E285&gt;=5000,5,IF(E285&gt;=2000,4,IF(E285&gt;=800,3,IF(E285&gt;=300,2,1))))</f>
        <v/>
      </c>
      <c r="I285" s="122">
        <f>TEXT(F285,"0")&amp;TEXT(G285,"0")&amp;TEXT(H285,"0")</f>
        <v/>
      </c>
      <c r="J285" s="122">
        <f>IFERROR(XLOOKUP(I285,'Segment Map'!A:A,'Segment Map'!B:B,"Need Attention"),"Need Attention")</f>
        <v/>
      </c>
      <c r="K285" s="122">
        <f>IF(E285&gt;=5000,"🏆 Platinum",IF(E285&gt;=2000,"🥇 Gold",IF(E285&gt;=800,"🥈 Silver","🥉 Bronze")))</f>
        <v/>
      </c>
      <c r="L285" s="125" t="n">
        <v>40759</v>
      </c>
    </row>
    <row r="286">
      <c r="A286" s="126" t="n">
        <v>12694</v>
      </c>
      <c r="B286" s="126" t="inlineStr">
        <is>
          <t>France</t>
        </is>
      </c>
      <c r="C286" s="126" t="n">
        <v>71</v>
      </c>
      <c r="D286" s="126" t="n">
        <v>2</v>
      </c>
      <c r="E286" s="127" t="n">
        <v>869.67</v>
      </c>
      <c r="F286" s="128">
        <f>IF(C286&lt;=30,5,IF(C286&lt;=60,4,IF(C286&lt;=120,3,IF(C286&lt;=200,2,1))))</f>
        <v/>
      </c>
      <c r="G286" s="128">
        <f>IF(D286&gt;=20,5,IF(D286&gt;=10,4,IF(D286&gt;=5,3,IF(D286&gt;=2,2,1))))</f>
        <v/>
      </c>
      <c r="H286" s="128">
        <f>IF(E286&gt;=5000,5,IF(E286&gt;=2000,4,IF(E286&gt;=800,3,IF(E286&gt;=300,2,1))))</f>
        <v/>
      </c>
      <c r="I286" s="126">
        <f>TEXT(F286,"0")&amp;TEXT(G286,"0")&amp;TEXT(H286,"0")</f>
        <v/>
      </c>
      <c r="J286" s="126">
        <f>IFERROR(XLOOKUP(I286,'Segment Map'!A:A,'Segment Map'!B:B,"Need Attention"),"Need Attention")</f>
        <v/>
      </c>
      <c r="K286" s="126">
        <f>IF(E286&gt;=5000,"🏆 Platinum",IF(E286&gt;=2000,"🥇 Gold",IF(E286&gt;=800,"🥈 Silver","🥉 Bronze")))</f>
        <v/>
      </c>
      <c r="L286" s="129" t="n">
        <v>40816</v>
      </c>
    </row>
    <row r="287">
      <c r="A287" s="122" t="n">
        <v>12695</v>
      </c>
      <c r="B287" s="122" t="inlineStr">
        <is>
          <t>France</t>
        </is>
      </c>
      <c r="C287" s="122" t="n">
        <v>8</v>
      </c>
      <c r="D287" s="122" t="n">
        <v>4</v>
      </c>
      <c r="E287" s="123" t="n">
        <v>582.1</v>
      </c>
      <c r="F287" s="124">
        <f>IF(C287&lt;=30,5,IF(C287&lt;=60,4,IF(C287&lt;=120,3,IF(C287&lt;=200,2,1))))</f>
        <v/>
      </c>
      <c r="G287" s="124">
        <f>IF(D287&gt;=20,5,IF(D287&gt;=10,4,IF(D287&gt;=5,3,IF(D287&gt;=2,2,1))))</f>
        <v/>
      </c>
      <c r="H287" s="124">
        <f>IF(E287&gt;=5000,5,IF(E287&gt;=2000,4,IF(E287&gt;=800,3,IF(E287&gt;=300,2,1))))</f>
        <v/>
      </c>
      <c r="I287" s="122">
        <f>TEXT(F287,"0")&amp;TEXT(G287,"0")&amp;TEXT(H287,"0")</f>
        <v/>
      </c>
      <c r="J287" s="122">
        <f>IFERROR(XLOOKUP(I287,'Segment Map'!A:A,'Segment Map'!B:B,"Need Attention"),"Need Attention")</f>
        <v/>
      </c>
      <c r="K287" s="122">
        <f>IF(E287&gt;=5000,"🏆 Platinum",IF(E287&gt;=2000,"🥇 Gold",IF(E287&gt;=800,"🥈 Silver","🥉 Bronze")))</f>
        <v/>
      </c>
      <c r="L287" s="125" t="n">
        <v>40879</v>
      </c>
    </row>
    <row r="288">
      <c r="A288" s="126" t="n">
        <v>12697</v>
      </c>
      <c r="B288" s="126" t="inlineStr">
        <is>
          <t>Sweden</t>
        </is>
      </c>
      <c r="C288" s="126" t="n">
        <v>29</v>
      </c>
      <c r="D288" s="126" t="n">
        <v>3</v>
      </c>
      <c r="E288" s="127" t="n">
        <v>957.59</v>
      </c>
      <c r="F288" s="128">
        <f>IF(C288&lt;=30,5,IF(C288&lt;=60,4,IF(C288&lt;=120,3,IF(C288&lt;=200,2,1))))</f>
        <v/>
      </c>
      <c r="G288" s="128">
        <f>IF(D288&gt;=20,5,IF(D288&gt;=10,4,IF(D288&gt;=5,3,IF(D288&gt;=2,2,1))))</f>
        <v/>
      </c>
      <c r="H288" s="128">
        <f>IF(E288&gt;=5000,5,IF(E288&gt;=2000,4,IF(E288&gt;=800,3,IF(E288&gt;=300,2,1))))</f>
        <v/>
      </c>
      <c r="I288" s="126">
        <f>TEXT(F288,"0")&amp;TEXT(G288,"0")&amp;TEXT(H288,"0")</f>
        <v/>
      </c>
      <c r="J288" s="126">
        <f>IFERROR(XLOOKUP(I288,'Segment Map'!A:A,'Segment Map'!B:B,"Need Attention"),"Need Attention")</f>
        <v/>
      </c>
      <c r="K288" s="126">
        <f>IF(E288&gt;=5000,"🏆 Platinum",IF(E288&gt;=2000,"🥇 Gold",IF(E288&gt;=800,"🥈 Silver","🥉 Bronze")))</f>
        <v/>
      </c>
      <c r="L288" s="129" t="n">
        <v>40858</v>
      </c>
    </row>
    <row r="289">
      <c r="A289" s="122" t="n">
        <v>12700</v>
      </c>
      <c r="B289" s="122" t="inlineStr">
        <is>
          <t>France</t>
        </is>
      </c>
      <c r="C289" s="122" t="n">
        <v>8</v>
      </c>
      <c r="D289" s="122" t="n">
        <v>4</v>
      </c>
      <c r="E289" s="123" t="n">
        <v>4939.99</v>
      </c>
      <c r="F289" s="124">
        <f>IF(C289&lt;=30,5,IF(C289&lt;=60,4,IF(C289&lt;=120,3,IF(C289&lt;=200,2,1))))</f>
        <v/>
      </c>
      <c r="G289" s="124">
        <f>IF(D289&gt;=20,5,IF(D289&gt;=10,4,IF(D289&gt;=5,3,IF(D289&gt;=2,2,1))))</f>
        <v/>
      </c>
      <c r="H289" s="124">
        <f>IF(E289&gt;=5000,5,IF(E289&gt;=2000,4,IF(E289&gt;=800,3,IF(E289&gt;=300,2,1))))</f>
        <v/>
      </c>
      <c r="I289" s="122">
        <f>TEXT(F289,"0")&amp;TEXT(G289,"0")&amp;TEXT(H289,"0")</f>
        <v/>
      </c>
      <c r="J289" s="122">
        <f>IFERROR(XLOOKUP(I289,'Segment Map'!A:A,'Segment Map'!B:B,"Need Attention"),"Need Attention")</f>
        <v/>
      </c>
      <c r="K289" s="122">
        <f>IF(E289&gt;=5000,"🏆 Platinum",IF(E289&gt;=2000,"🥇 Gold",IF(E289&gt;=800,"🥈 Silver","🥉 Bronze")))</f>
        <v/>
      </c>
      <c r="L289" s="125" t="n">
        <v>40879</v>
      </c>
    </row>
    <row r="290">
      <c r="A290" s="126" t="n">
        <v>12701</v>
      </c>
      <c r="B290" s="126" t="inlineStr">
        <is>
          <t>Germany</t>
        </is>
      </c>
      <c r="C290" s="126" t="n">
        <v>80</v>
      </c>
      <c r="D290" s="126" t="n">
        <v>2</v>
      </c>
      <c r="E290" s="127" t="n">
        <v>797.71</v>
      </c>
      <c r="F290" s="128">
        <f>IF(C290&lt;=30,5,IF(C290&lt;=60,4,IF(C290&lt;=120,3,IF(C290&lt;=200,2,1))))</f>
        <v/>
      </c>
      <c r="G290" s="128">
        <f>IF(D290&gt;=20,5,IF(D290&gt;=10,4,IF(D290&gt;=5,3,IF(D290&gt;=2,2,1))))</f>
        <v/>
      </c>
      <c r="H290" s="128">
        <f>IF(E290&gt;=5000,5,IF(E290&gt;=2000,4,IF(E290&gt;=800,3,IF(E290&gt;=300,2,1))))</f>
        <v/>
      </c>
      <c r="I290" s="126">
        <f>TEXT(F290,"0")&amp;TEXT(G290,"0")&amp;TEXT(H290,"0")</f>
        <v/>
      </c>
      <c r="J290" s="126">
        <f>IFERROR(XLOOKUP(I290,'Segment Map'!A:A,'Segment Map'!B:B,"Need Attention"),"Need Attention")</f>
        <v/>
      </c>
      <c r="K290" s="126">
        <f>IF(E290&gt;=5000,"🏆 Platinum",IF(E290&gt;=2000,"🥇 Gold",IF(E290&gt;=800,"🥈 Silver","🥉 Bronze")))</f>
        <v/>
      </c>
      <c r="L290" s="129" t="n">
        <v>40807</v>
      </c>
    </row>
    <row r="291">
      <c r="A291" s="122" t="n">
        <v>12702</v>
      </c>
      <c r="B291" s="122" t="inlineStr">
        <is>
          <t>Germany</t>
        </is>
      </c>
      <c r="C291" s="122" t="n">
        <v>20</v>
      </c>
      <c r="D291" s="122" t="n">
        <v>1</v>
      </c>
      <c r="E291" s="123" t="n">
        <v>219</v>
      </c>
      <c r="F291" s="124">
        <f>IF(C291&lt;=30,5,IF(C291&lt;=60,4,IF(C291&lt;=120,3,IF(C291&lt;=200,2,1))))</f>
        <v/>
      </c>
      <c r="G291" s="124">
        <f>IF(D291&gt;=20,5,IF(D291&gt;=10,4,IF(D291&gt;=5,3,IF(D291&gt;=2,2,1))))</f>
        <v/>
      </c>
      <c r="H291" s="124">
        <f>IF(E291&gt;=5000,5,IF(E291&gt;=2000,4,IF(E291&gt;=800,3,IF(E291&gt;=300,2,1))))</f>
        <v/>
      </c>
      <c r="I291" s="122">
        <f>TEXT(F291,"0")&amp;TEXT(G291,"0")&amp;TEXT(H291,"0")</f>
        <v/>
      </c>
      <c r="J291" s="122">
        <f>IFERROR(XLOOKUP(I291,'Segment Map'!A:A,'Segment Map'!B:B,"Need Attention"),"Need Attention")</f>
        <v/>
      </c>
      <c r="K291" s="122">
        <f>IF(E291&gt;=5000,"🏆 Platinum",IF(E291&gt;=2000,"🥇 Gold",IF(E291&gt;=800,"🥈 Silver","🥉 Bronze")))</f>
        <v/>
      </c>
      <c r="L291" s="125" t="n">
        <v>40867</v>
      </c>
    </row>
    <row r="292">
      <c r="A292" s="126" t="n">
        <v>12703</v>
      </c>
      <c r="B292" s="126" t="inlineStr">
        <is>
          <t>Germany</t>
        </is>
      </c>
      <c r="C292" s="126" t="n">
        <v>72</v>
      </c>
      <c r="D292" s="126" t="n">
        <v>1</v>
      </c>
      <c r="E292" s="127" t="n">
        <v>283.55</v>
      </c>
      <c r="F292" s="128">
        <f>IF(C292&lt;=30,5,IF(C292&lt;=60,4,IF(C292&lt;=120,3,IF(C292&lt;=200,2,1))))</f>
        <v/>
      </c>
      <c r="G292" s="128">
        <f>IF(D292&gt;=20,5,IF(D292&gt;=10,4,IF(D292&gt;=5,3,IF(D292&gt;=2,2,1))))</f>
        <v/>
      </c>
      <c r="H292" s="128">
        <f>IF(E292&gt;=5000,5,IF(E292&gt;=2000,4,IF(E292&gt;=800,3,IF(E292&gt;=300,2,1))))</f>
        <v/>
      </c>
      <c r="I292" s="126">
        <f>TEXT(F292,"0")&amp;TEXT(G292,"0")&amp;TEXT(H292,"0")</f>
        <v/>
      </c>
      <c r="J292" s="126">
        <f>IFERROR(XLOOKUP(I292,'Segment Map'!A:A,'Segment Map'!B:B,"Need Attention"),"Need Attention")</f>
        <v/>
      </c>
      <c r="K292" s="126">
        <f>IF(E292&gt;=5000,"🏆 Platinum",IF(E292&gt;=2000,"🥇 Gold",IF(E292&gt;=800,"🥈 Silver","🥉 Bronze")))</f>
        <v/>
      </c>
      <c r="L292" s="129" t="n">
        <v>40815</v>
      </c>
    </row>
    <row r="293">
      <c r="A293" s="122" t="n">
        <v>12704</v>
      </c>
      <c r="B293" s="122" t="inlineStr">
        <is>
          <t>Finland</t>
        </is>
      </c>
      <c r="C293" s="122" t="n">
        <v>8</v>
      </c>
      <c r="D293" s="122" t="n">
        <v>8</v>
      </c>
      <c r="E293" s="123" t="n">
        <v>2340.84</v>
      </c>
      <c r="F293" s="124">
        <f>IF(C293&lt;=30,5,IF(C293&lt;=60,4,IF(C293&lt;=120,3,IF(C293&lt;=200,2,1))))</f>
        <v/>
      </c>
      <c r="G293" s="124">
        <f>IF(D293&gt;=20,5,IF(D293&gt;=10,4,IF(D293&gt;=5,3,IF(D293&gt;=2,2,1))))</f>
        <v/>
      </c>
      <c r="H293" s="124">
        <f>IF(E293&gt;=5000,5,IF(E293&gt;=2000,4,IF(E293&gt;=800,3,IF(E293&gt;=300,2,1))))</f>
        <v/>
      </c>
      <c r="I293" s="122">
        <f>TEXT(F293,"0")&amp;TEXT(G293,"0")&amp;TEXT(H293,"0")</f>
        <v/>
      </c>
      <c r="J293" s="122">
        <f>IFERROR(XLOOKUP(I293,'Segment Map'!A:A,'Segment Map'!B:B,"Need Attention"),"Need Attention")</f>
        <v/>
      </c>
      <c r="K293" s="122">
        <f>IF(E293&gt;=5000,"🏆 Platinum",IF(E293&gt;=2000,"🥇 Gold",IF(E293&gt;=800,"🥈 Silver","🥉 Bronze")))</f>
        <v/>
      </c>
      <c r="L293" s="125" t="n">
        <v>40879</v>
      </c>
    </row>
    <row r="294">
      <c r="A294" s="126" t="n">
        <v>12705</v>
      </c>
      <c r="B294" s="126" t="inlineStr">
        <is>
          <t>Germany</t>
        </is>
      </c>
      <c r="C294" s="126" t="n">
        <v>16</v>
      </c>
      <c r="D294" s="126" t="n">
        <v>9</v>
      </c>
      <c r="E294" s="127" t="n">
        <v>6868.29</v>
      </c>
      <c r="F294" s="128">
        <f>IF(C294&lt;=30,5,IF(C294&lt;=60,4,IF(C294&lt;=120,3,IF(C294&lt;=200,2,1))))</f>
        <v/>
      </c>
      <c r="G294" s="128">
        <f>IF(D294&gt;=20,5,IF(D294&gt;=10,4,IF(D294&gt;=5,3,IF(D294&gt;=2,2,1))))</f>
        <v/>
      </c>
      <c r="H294" s="128">
        <f>IF(E294&gt;=5000,5,IF(E294&gt;=2000,4,IF(E294&gt;=800,3,IF(E294&gt;=300,2,1))))</f>
        <v/>
      </c>
      <c r="I294" s="126">
        <f>TEXT(F294,"0")&amp;TEXT(G294,"0")&amp;TEXT(H294,"0")</f>
        <v/>
      </c>
      <c r="J294" s="126">
        <f>IFERROR(XLOOKUP(I294,'Segment Map'!A:A,'Segment Map'!B:B,"Need Attention"),"Need Attention")</f>
        <v/>
      </c>
      <c r="K294" s="126">
        <f>IF(E294&gt;=5000,"🏆 Platinum",IF(E294&gt;=2000,"🥇 Gold",IF(E294&gt;=800,"🥈 Silver","🥉 Bronze")))</f>
        <v/>
      </c>
      <c r="L294" s="129" t="n">
        <v>40871</v>
      </c>
    </row>
    <row r="295">
      <c r="A295" s="122" t="n">
        <v>12707</v>
      </c>
      <c r="B295" s="122" t="inlineStr">
        <is>
          <t>France</t>
        </is>
      </c>
      <c r="C295" s="122" t="n">
        <v>292</v>
      </c>
      <c r="D295" s="122" t="n">
        <v>1</v>
      </c>
      <c r="E295" s="123" t="n">
        <v>603.42</v>
      </c>
      <c r="F295" s="124">
        <f>IF(C295&lt;=30,5,IF(C295&lt;=60,4,IF(C295&lt;=120,3,IF(C295&lt;=200,2,1))))</f>
        <v/>
      </c>
      <c r="G295" s="124">
        <f>IF(D295&gt;=20,5,IF(D295&gt;=10,4,IF(D295&gt;=5,3,IF(D295&gt;=2,2,1))))</f>
        <v/>
      </c>
      <c r="H295" s="124">
        <f>IF(E295&gt;=5000,5,IF(E295&gt;=2000,4,IF(E295&gt;=800,3,IF(E295&gt;=300,2,1))))</f>
        <v/>
      </c>
      <c r="I295" s="122">
        <f>TEXT(F295,"0")&amp;TEXT(G295,"0")&amp;TEXT(H295,"0")</f>
        <v/>
      </c>
      <c r="J295" s="122">
        <f>IFERROR(XLOOKUP(I295,'Segment Map'!A:A,'Segment Map'!B:B,"Need Attention"),"Need Attention")</f>
        <v/>
      </c>
      <c r="K295" s="122">
        <f>IF(E295&gt;=5000,"🏆 Platinum",IF(E295&gt;=2000,"🥇 Gold",IF(E295&gt;=800,"🥈 Silver","🥉 Bronze")))</f>
        <v/>
      </c>
      <c r="L295" s="125" t="n">
        <v>40595</v>
      </c>
    </row>
    <row r="296">
      <c r="A296" s="126" t="n">
        <v>12708</v>
      </c>
      <c r="B296" s="126" t="inlineStr">
        <is>
          <t>Germany</t>
        </is>
      </c>
      <c r="C296" s="126" t="n">
        <v>30</v>
      </c>
      <c r="D296" s="126" t="n">
        <v>10</v>
      </c>
      <c r="E296" s="127" t="n">
        <v>2712.91</v>
      </c>
      <c r="F296" s="128">
        <f>IF(C296&lt;=30,5,IF(C296&lt;=60,4,IF(C296&lt;=120,3,IF(C296&lt;=200,2,1))))</f>
        <v/>
      </c>
      <c r="G296" s="128">
        <f>IF(D296&gt;=20,5,IF(D296&gt;=10,4,IF(D296&gt;=5,3,IF(D296&gt;=2,2,1))))</f>
        <v/>
      </c>
      <c r="H296" s="128">
        <f>IF(E296&gt;=5000,5,IF(E296&gt;=2000,4,IF(E296&gt;=800,3,IF(E296&gt;=300,2,1))))</f>
        <v/>
      </c>
      <c r="I296" s="126">
        <f>TEXT(F296,"0")&amp;TEXT(G296,"0")&amp;TEXT(H296,"0")</f>
        <v/>
      </c>
      <c r="J296" s="126">
        <f>IFERROR(XLOOKUP(I296,'Segment Map'!A:A,'Segment Map'!B:B,"Need Attention"),"Need Attention")</f>
        <v/>
      </c>
      <c r="K296" s="126">
        <f>IF(E296&gt;=5000,"🏆 Platinum",IF(E296&gt;=2000,"🥇 Gold",IF(E296&gt;=800,"🥈 Silver","🥉 Bronze")))</f>
        <v/>
      </c>
      <c r="L296" s="129" t="n">
        <v>40857</v>
      </c>
    </row>
    <row r="297">
      <c r="A297" s="122" t="n">
        <v>12709</v>
      </c>
      <c r="B297" s="122" t="inlineStr">
        <is>
          <t>Germany</t>
        </is>
      </c>
      <c r="C297" s="122" t="n">
        <v>16</v>
      </c>
      <c r="D297" s="122" t="n">
        <v>15</v>
      </c>
      <c r="E297" s="123" t="n">
        <v>9736.52</v>
      </c>
      <c r="F297" s="124">
        <f>IF(C297&lt;=30,5,IF(C297&lt;=60,4,IF(C297&lt;=120,3,IF(C297&lt;=200,2,1))))</f>
        <v/>
      </c>
      <c r="G297" s="124">
        <f>IF(D297&gt;=20,5,IF(D297&gt;=10,4,IF(D297&gt;=5,3,IF(D297&gt;=2,2,1))))</f>
        <v/>
      </c>
      <c r="H297" s="124">
        <f>IF(E297&gt;=5000,5,IF(E297&gt;=2000,4,IF(E297&gt;=800,3,IF(E297&gt;=300,2,1))))</f>
        <v/>
      </c>
      <c r="I297" s="122">
        <f>TEXT(F297,"0")&amp;TEXT(G297,"0")&amp;TEXT(H297,"0")</f>
        <v/>
      </c>
      <c r="J297" s="122">
        <f>IFERROR(XLOOKUP(I297,'Segment Map'!A:A,'Segment Map'!B:B,"Need Attention"),"Need Attention")</f>
        <v/>
      </c>
      <c r="K297" s="122">
        <f>IF(E297&gt;=5000,"🏆 Platinum",IF(E297&gt;=2000,"🥇 Gold",IF(E297&gt;=800,"🥈 Silver","🥉 Bronze")))</f>
        <v/>
      </c>
      <c r="L297" s="125" t="n">
        <v>40871</v>
      </c>
    </row>
    <row r="298">
      <c r="A298" s="126" t="n">
        <v>12710</v>
      </c>
      <c r="B298" s="126" t="inlineStr">
        <is>
          <t>Germany</t>
        </is>
      </c>
      <c r="C298" s="126" t="n">
        <v>97</v>
      </c>
      <c r="D298" s="126" t="n">
        <v>3</v>
      </c>
      <c r="E298" s="127" t="n">
        <v>1149.02</v>
      </c>
      <c r="F298" s="128">
        <f>IF(C298&lt;=30,5,IF(C298&lt;=60,4,IF(C298&lt;=120,3,IF(C298&lt;=200,2,1))))</f>
        <v/>
      </c>
      <c r="G298" s="128">
        <f>IF(D298&gt;=20,5,IF(D298&gt;=10,4,IF(D298&gt;=5,3,IF(D298&gt;=2,2,1))))</f>
        <v/>
      </c>
      <c r="H298" s="128">
        <f>IF(E298&gt;=5000,5,IF(E298&gt;=2000,4,IF(E298&gt;=800,3,IF(E298&gt;=300,2,1))))</f>
        <v/>
      </c>
      <c r="I298" s="126">
        <f>TEXT(F298,"0")&amp;TEXT(G298,"0")&amp;TEXT(H298,"0")</f>
        <v/>
      </c>
      <c r="J298" s="126">
        <f>IFERROR(XLOOKUP(I298,'Segment Map'!A:A,'Segment Map'!B:B,"Need Attention"),"Need Attention")</f>
        <v/>
      </c>
      <c r="K298" s="126">
        <f>IF(E298&gt;=5000,"🏆 Platinum",IF(E298&gt;=2000,"🥇 Gold",IF(E298&gt;=800,"🥈 Silver","🥉 Bronze")))</f>
        <v/>
      </c>
      <c r="L298" s="129" t="n">
        <v>40790</v>
      </c>
    </row>
    <row r="299">
      <c r="A299" s="122" t="n">
        <v>12712</v>
      </c>
      <c r="B299" s="122" t="inlineStr">
        <is>
          <t>Germany</t>
        </is>
      </c>
      <c r="C299" s="122" t="n">
        <v>29</v>
      </c>
      <c r="D299" s="122" t="n">
        <v>13</v>
      </c>
      <c r="E299" s="123" t="n">
        <v>4396.13</v>
      </c>
      <c r="F299" s="124">
        <f>IF(C299&lt;=30,5,IF(C299&lt;=60,4,IF(C299&lt;=120,3,IF(C299&lt;=200,2,1))))</f>
        <v/>
      </c>
      <c r="G299" s="124">
        <f>IF(D299&gt;=20,5,IF(D299&gt;=10,4,IF(D299&gt;=5,3,IF(D299&gt;=2,2,1))))</f>
        <v/>
      </c>
      <c r="H299" s="124">
        <f>IF(E299&gt;=5000,5,IF(E299&gt;=2000,4,IF(E299&gt;=800,3,IF(E299&gt;=300,2,1))))</f>
        <v/>
      </c>
      <c r="I299" s="122">
        <f>TEXT(F299,"0")&amp;TEXT(G299,"0")&amp;TEXT(H299,"0")</f>
        <v/>
      </c>
      <c r="J299" s="122">
        <f>IFERROR(XLOOKUP(I299,'Segment Map'!A:A,'Segment Map'!B:B,"Need Attention"),"Need Attention")</f>
        <v/>
      </c>
      <c r="K299" s="122">
        <f>IF(E299&gt;=5000,"🏆 Platinum",IF(E299&gt;=2000,"🥇 Gold",IF(E299&gt;=800,"🥈 Silver","🥉 Bronze")))</f>
        <v/>
      </c>
      <c r="L299" s="125" t="n">
        <v>40858</v>
      </c>
    </row>
    <row r="300">
      <c r="A300" s="126" t="n">
        <v>12713</v>
      </c>
      <c r="B300" s="126" t="inlineStr">
        <is>
          <t>Germany</t>
        </is>
      </c>
      <c r="C300" s="126" t="n">
        <v>1</v>
      </c>
      <c r="D300" s="126" t="n">
        <v>1</v>
      </c>
      <c r="E300" s="127" t="n">
        <v>848.55</v>
      </c>
      <c r="F300" s="128">
        <f>IF(C300&lt;=30,5,IF(C300&lt;=60,4,IF(C300&lt;=120,3,IF(C300&lt;=200,2,1))))</f>
        <v/>
      </c>
      <c r="G300" s="128">
        <f>IF(D300&gt;=20,5,IF(D300&gt;=10,4,IF(D300&gt;=5,3,IF(D300&gt;=2,2,1))))</f>
        <v/>
      </c>
      <c r="H300" s="128">
        <f>IF(E300&gt;=5000,5,IF(E300&gt;=2000,4,IF(E300&gt;=800,3,IF(E300&gt;=300,2,1))))</f>
        <v/>
      </c>
      <c r="I300" s="126">
        <f>TEXT(F300,"0")&amp;TEXT(G300,"0")&amp;TEXT(H300,"0")</f>
        <v/>
      </c>
      <c r="J300" s="126">
        <f>IFERROR(XLOOKUP(I300,'Segment Map'!A:A,'Segment Map'!B:B,"Need Attention"),"Need Attention")</f>
        <v/>
      </c>
      <c r="K300" s="126">
        <f>IF(E300&gt;=5000,"🏆 Platinum",IF(E300&gt;=2000,"🥇 Gold",IF(E300&gt;=800,"🥈 Silver","🥉 Bronze")))</f>
        <v/>
      </c>
      <c r="L300" s="129" t="n">
        <v>40886</v>
      </c>
    </row>
    <row r="301">
      <c r="A301" s="122" t="n">
        <v>12714</v>
      </c>
      <c r="B301" s="122" t="inlineStr">
        <is>
          <t>France</t>
        </is>
      </c>
      <c r="C301" s="122" t="n">
        <v>10</v>
      </c>
      <c r="D301" s="122" t="n">
        <v>5</v>
      </c>
      <c r="E301" s="123" t="n">
        <v>4708.86</v>
      </c>
      <c r="F301" s="124">
        <f>IF(C301&lt;=30,5,IF(C301&lt;=60,4,IF(C301&lt;=120,3,IF(C301&lt;=200,2,1))))</f>
        <v/>
      </c>
      <c r="G301" s="124">
        <f>IF(D301&gt;=20,5,IF(D301&gt;=10,4,IF(D301&gt;=5,3,IF(D301&gt;=2,2,1))))</f>
        <v/>
      </c>
      <c r="H301" s="124">
        <f>IF(E301&gt;=5000,5,IF(E301&gt;=2000,4,IF(E301&gt;=800,3,IF(E301&gt;=300,2,1))))</f>
        <v/>
      </c>
      <c r="I301" s="122">
        <f>TEXT(F301,"0")&amp;TEXT(G301,"0")&amp;TEXT(H301,"0")</f>
        <v/>
      </c>
      <c r="J301" s="122">
        <f>IFERROR(XLOOKUP(I301,'Segment Map'!A:A,'Segment Map'!B:B,"Need Attention"),"Need Attention")</f>
        <v/>
      </c>
      <c r="K301" s="122">
        <f>IF(E301&gt;=5000,"🏆 Platinum",IF(E301&gt;=2000,"🥇 Gold",IF(E301&gt;=800,"🥈 Silver","🥉 Bronze")))</f>
        <v/>
      </c>
      <c r="L301" s="125" t="n">
        <v>40877</v>
      </c>
    </row>
    <row r="302">
      <c r="A302" s="126" t="n">
        <v>12715</v>
      </c>
      <c r="B302" s="126" t="inlineStr">
        <is>
          <t>Sweden</t>
        </is>
      </c>
      <c r="C302" s="126" t="n">
        <v>107</v>
      </c>
      <c r="D302" s="126" t="n">
        <v>1</v>
      </c>
      <c r="E302" s="127" t="n">
        <v>353.86</v>
      </c>
      <c r="F302" s="128">
        <f>IF(C302&lt;=30,5,IF(C302&lt;=60,4,IF(C302&lt;=120,3,IF(C302&lt;=200,2,1))))</f>
        <v/>
      </c>
      <c r="G302" s="128">
        <f>IF(D302&gt;=20,5,IF(D302&gt;=10,4,IF(D302&gt;=5,3,IF(D302&gt;=2,2,1))))</f>
        <v/>
      </c>
      <c r="H302" s="128">
        <f>IF(E302&gt;=5000,5,IF(E302&gt;=2000,4,IF(E302&gt;=800,3,IF(E302&gt;=300,2,1))))</f>
        <v/>
      </c>
      <c r="I302" s="126">
        <f>TEXT(F302,"0")&amp;TEXT(G302,"0")&amp;TEXT(H302,"0")</f>
        <v/>
      </c>
      <c r="J302" s="126">
        <f>IFERROR(XLOOKUP(I302,'Segment Map'!A:A,'Segment Map'!B:B,"Need Attention"),"Need Attention")</f>
        <v/>
      </c>
      <c r="K302" s="126">
        <f>IF(E302&gt;=5000,"🏆 Platinum",IF(E302&gt;=2000,"🥇 Gold",IF(E302&gt;=800,"🥈 Silver","🥉 Bronze")))</f>
        <v/>
      </c>
      <c r="L302" s="129" t="n">
        <v>40780</v>
      </c>
    </row>
    <row r="303">
      <c r="A303" s="122" t="n">
        <v>12716</v>
      </c>
      <c r="B303" s="122" t="inlineStr">
        <is>
          <t>France</t>
        </is>
      </c>
      <c r="C303" s="122" t="n">
        <v>4</v>
      </c>
      <c r="D303" s="122" t="n">
        <v>2</v>
      </c>
      <c r="E303" s="123" t="n">
        <v>1053.49</v>
      </c>
      <c r="F303" s="124">
        <f>IF(C303&lt;=30,5,IF(C303&lt;=60,4,IF(C303&lt;=120,3,IF(C303&lt;=200,2,1))))</f>
        <v/>
      </c>
      <c r="G303" s="124">
        <f>IF(D303&gt;=20,5,IF(D303&gt;=10,4,IF(D303&gt;=5,3,IF(D303&gt;=2,2,1))))</f>
        <v/>
      </c>
      <c r="H303" s="124">
        <f>IF(E303&gt;=5000,5,IF(E303&gt;=2000,4,IF(E303&gt;=800,3,IF(E303&gt;=300,2,1))))</f>
        <v/>
      </c>
      <c r="I303" s="122">
        <f>TEXT(F303,"0")&amp;TEXT(G303,"0")&amp;TEXT(H303,"0")</f>
        <v/>
      </c>
      <c r="J303" s="122">
        <f>IFERROR(XLOOKUP(I303,'Segment Map'!A:A,'Segment Map'!B:B,"Need Attention"),"Need Attention")</f>
        <v/>
      </c>
      <c r="K303" s="122">
        <f>IF(E303&gt;=5000,"🏆 Platinum",IF(E303&gt;=2000,"🥇 Gold",IF(E303&gt;=800,"🥈 Silver","🥉 Bronze")))</f>
        <v/>
      </c>
      <c r="L303" s="125" t="n">
        <v>40883</v>
      </c>
    </row>
    <row r="304">
      <c r="A304" s="126" t="n">
        <v>12717</v>
      </c>
      <c r="B304" s="126" t="inlineStr">
        <is>
          <t>Greece</t>
        </is>
      </c>
      <c r="C304" s="126" t="n">
        <v>152</v>
      </c>
      <c r="D304" s="126" t="n">
        <v>2</v>
      </c>
      <c r="E304" s="127" t="n">
        <v>1030.98</v>
      </c>
      <c r="F304" s="128">
        <f>IF(C304&lt;=30,5,IF(C304&lt;=60,4,IF(C304&lt;=120,3,IF(C304&lt;=200,2,1))))</f>
        <v/>
      </c>
      <c r="G304" s="128">
        <f>IF(D304&gt;=20,5,IF(D304&gt;=10,4,IF(D304&gt;=5,3,IF(D304&gt;=2,2,1))))</f>
        <v/>
      </c>
      <c r="H304" s="128">
        <f>IF(E304&gt;=5000,5,IF(E304&gt;=2000,4,IF(E304&gt;=800,3,IF(E304&gt;=300,2,1))))</f>
        <v/>
      </c>
      <c r="I304" s="126">
        <f>TEXT(F304,"0")&amp;TEXT(G304,"0")&amp;TEXT(H304,"0")</f>
        <v/>
      </c>
      <c r="J304" s="126">
        <f>IFERROR(XLOOKUP(I304,'Segment Map'!A:A,'Segment Map'!B:B,"Need Attention"),"Need Attention")</f>
        <v/>
      </c>
      <c r="K304" s="126">
        <f>IF(E304&gt;=5000,"🏆 Platinum",IF(E304&gt;=2000,"🥇 Gold",IF(E304&gt;=800,"🥈 Silver","🥉 Bronze")))</f>
        <v/>
      </c>
      <c r="L304" s="129" t="n">
        <v>40735</v>
      </c>
    </row>
    <row r="305">
      <c r="A305" s="122" t="n">
        <v>12718</v>
      </c>
      <c r="B305" s="122" t="inlineStr">
        <is>
          <t>France</t>
        </is>
      </c>
      <c r="C305" s="122" t="n">
        <v>72</v>
      </c>
      <c r="D305" s="122" t="n">
        <v>1</v>
      </c>
      <c r="E305" s="123" t="n">
        <v>238.25</v>
      </c>
      <c r="F305" s="124">
        <f>IF(C305&lt;=30,5,IF(C305&lt;=60,4,IF(C305&lt;=120,3,IF(C305&lt;=200,2,1))))</f>
        <v/>
      </c>
      <c r="G305" s="124">
        <f>IF(D305&gt;=20,5,IF(D305&gt;=10,4,IF(D305&gt;=5,3,IF(D305&gt;=2,2,1))))</f>
        <v/>
      </c>
      <c r="H305" s="124">
        <f>IF(E305&gt;=5000,5,IF(E305&gt;=2000,4,IF(E305&gt;=800,3,IF(E305&gt;=300,2,1))))</f>
        <v/>
      </c>
      <c r="I305" s="122">
        <f>TEXT(F305,"0")&amp;TEXT(G305,"0")&amp;TEXT(H305,"0")</f>
        <v/>
      </c>
      <c r="J305" s="122">
        <f>IFERROR(XLOOKUP(I305,'Segment Map'!A:A,'Segment Map'!B:B,"Need Attention"),"Need Attention")</f>
        <v/>
      </c>
      <c r="K305" s="122">
        <f>IF(E305&gt;=5000,"🏆 Platinum",IF(E305&gt;=2000,"🥇 Gold",IF(E305&gt;=800,"🥈 Silver","🥉 Bronze")))</f>
        <v/>
      </c>
      <c r="L305" s="125" t="n">
        <v>40815</v>
      </c>
    </row>
    <row r="306">
      <c r="A306" s="126" t="n">
        <v>12719</v>
      </c>
      <c r="B306" s="126" t="inlineStr">
        <is>
          <t>France</t>
        </is>
      </c>
      <c r="C306" s="126" t="n">
        <v>6</v>
      </c>
      <c r="D306" s="126" t="n">
        <v>2</v>
      </c>
      <c r="E306" s="127" t="n">
        <v>644.95</v>
      </c>
      <c r="F306" s="128">
        <f>IF(C306&lt;=30,5,IF(C306&lt;=60,4,IF(C306&lt;=120,3,IF(C306&lt;=200,2,1))))</f>
        <v/>
      </c>
      <c r="G306" s="128">
        <f>IF(D306&gt;=20,5,IF(D306&gt;=10,4,IF(D306&gt;=5,3,IF(D306&gt;=2,2,1))))</f>
        <v/>
      </c>
      <c r="H306" s="128">
        <f>IF(E306&gt;=5000,5,IF(E306&gt;=2000,4,IF(E306&gt;=800,3,IF(E306&gt;=300,2,1))))</f>
        <v/>
      </c>
      <c r="I306" s="126">
        <f>TEXT(F306,"0")&amp;TEXT(G306,"0")&amp;TEXT(H306,"0")</f>
        <v/>
      </c>
      <c r="J306" s="126">
        <f>IFERROR(XLOOKUP(I306,'Segment Map'!A:A,'Segment Map'!B:B,"Need Attention"),"Need Attention")</f>
        <v/>
      </c>
      <c r="K306" s="126">
        <f>IF(E306&gt;=5000,"🏆 Platinum",IF(E306&gt;=2000,"🥇 Gold",IF(E306&gt;=800,"🥈 Silver","🥉 Bronze")))</f>
        <v/>
      </c>
      <c r="L306" s="129" t="n">
        <v>40881</v>
      </c>
    </row>
    <row r="307">
      <c r="A307" s="122" t="n">
        <v>12720</v>
      </c>
      <c r="B307" s="122" t="inlineStr">
        <is>
          <t>Germany</t>
        </is>
      </c>
      <c r="C307" s="122" t="n">
        <v>3</v>
      </c>
      <c r="D307" s="122" t="n">
        <v>25</v>
      </c>
      <c r="E307" s="123" t="n">
        <v>5781.73</v>
      </c>
      <c r="F307" s="124">
        <f>IF(C307&lt;=30,5,IF(C307&lt;=60,4,IF(C307&lt;=120,3,IF(C307&lt;=200,2,1))))</f>
        <v/>
      </c>
      <c r="G307" s="124">
        <f>IF(D307&gt;=20,5,IF(D307&gt;=10,4,IF(D307&gt;=5,3,IF(D307&gt;=2,2,1))))</f>
        <v/>
      </c>
      <c r="H307" s="124">
        <f>IF(E307&gt;=5000,5,IF(E307&gt;=2000,4,IF(E307&gt;=800,3,IF(E307&gt;=300,2,1))))</f>
        <v/>
      </c>
      <c r="I307" s="122">
        <f>TEXT(F307,"0")&amp;TEXT(G307,"0")&amp;TEXT(H307,"0")</f>
        <v/>
      </c>
      <c r="J307" s="122">
        <f>IFERROR(XLOOKUP(I307,'Segment Map'!A:A,'Segment Map'!B:B,"Need Attention"),"Need Attention")</f>
        <v/>
      </c>
      <c r="K307" s="122">
        <f>IF(E307&gt;=5000,"🏆 Platinum",IF(E307&gt;=2000,"🥇 Gold",IF(E307&gt;=800,"🥈 Silver","🥉 Bronze")))</f>
        <v/>
      </c>
      <c r="L307" s="125" t="n">
        <v>40884</v>
      </c>
    </row>
    <row r="308">
      <c r="A308" s="126" t="n">
        <v>12721</v>
      </c>
      <c r="B308" s="126" t="inlineStr">
        <is>
          <t>France</t>
        </is>
      </c>
      <c r="C308" s="126" t="n">
        <v>32</v>
      </c>
      <c r="D308" s="126" t="n">
        <v>6</v>
      </c>
      <c r="E308" s="127" t="n">
        <v>2656.13</v>
      </c>
      <c r="F308" s="128">
        <f>IF(C308&lt;=30,5,IF(C308&lt;=60,4,IF(C308&lt;=120,3,IF(C308&lt;=200,2,1))))</f>
        <v/>
      </c>
      <c r="G308" s="128">
        <f>IF(D308&gt;=20,5,IF(D308&gt;=10,4,IF(D308&gt;=5,3,IF(D308&gt;=2,2,1))))</f>
        <v/>
      </c>
      <c r="H308" s="128">
        <f>IF(E308&gt;=5000,5,IF(E308&gt;=2000,4,IF(E308&gt;=800,3,IF(E308&gt;=300,2,1))))</f>
        <v/>
      </c>
      <c r="I308" s="126">
        <f>TEXT(F308,"0")&amp;TEXT(G308,"0")&amp;TEXT(H308,"0")</f>
        <v/>
      </c>
      <c r="J308" s="126">
        <f>IFERROR(XLOOKUP(I308,'Segment Map'!A:A,'Segment Map'!B:B,"Need Attention"),"Need Attention")</f>
        <v/>
      </c>
      <c r="K308" s="126">
        <f>IF(E308&gt;=5000,"🏆 Platinum",IF(E308&gt;=2000,"🥇 Gold",IF(E308&gt;=800,"🥈 Silver","🥉 Bronze")))</f>
        <v/>
      </c>
      <c r="L308" s="129" t="n">
        <v>40855</v>
      </c>
    </row>
    <row r="309">
      <c r="A309" s="122" t="n">
        <v>12722</v>
      </c>
      <c r="B309" s="122" t="inlineStr">
        <is>
          <t>France</t>
        </is>
      </c>
      <c r="C309" s="122" t="n">
        <v>86</v>
      </c>
      <c r="D309" s="122" t="n">
        <v>4</v>
      </c>
      <c r="E309" s="123" t="n">
        <v>997.63</v>
      </c>
      <c r="F309" s="124">
        <f>IF(C309&lt;=30,5,IF(C309&lt;=60,4,IF(C309&lt;=120,3,IF(C309&lt;=200,2,1))))</f>
        <v/>
      </c>
      <c r="G309" s="124">
        <f>IF(D309&gt;=20,5,IF(D309&gt;=10,4,IF(D309&gt;=5,3,IF(D309&gt;=2,2,1))))</f>
        <v/>
      </c>
      <c r="H309" s="124">
        <f>IF(E309&gt;=5000,5,IF(E309&gt;=2000,4,IF(E309&gt;=800,3,IF(E309&gt;=300,2,1))))</f>
        <v/>
      </c>
      <c r="I309" s="122">
        <f>TEXT(F309,"0")&amp;TEXT(G309,"0")&amp;TEXT(H309,"0")</f>
        <v/>
      </c>
      <c r="J309" s="122">
        <f>IFERROR(XLOOKUP(I309,'Segment Map'!A:A,'Segment Map'!B:B,"Need Attention"),"Need Attention")</f>
        <v/>
      </c>
      <c r="K309" s="122">
        <f>IF(E309&gt;=5000,"🏆 Platinum",IF(E309&gt;=2000,"🥇 Gold",IF(E309&gt;=800,"🥈 Silver","🥉 Bronze")))</f>
        <v/>
      </c>
      <c r="L309" s="125" t="n">
        <v>40801</v>
      </c>
    </row>
    <row r="310">
      <c r="A310" s="126" t="n">
        <v>12723</v>
      </c>
      <c r="B310" s="126" t="inlineStr">
        <is>
          <t>France</t>
        </is>
      </c>
      <c r="C310" s="126" t="n">
        <v>4</v>
      </c>
      <c r="D310" s="126" t="n">
        <v>5</v>
      </c>
      <c r="E310" s="127" t="n">
        <v>725.0700000000001</v>
      </c>
      <c r="F310" s="128">
        <f>IF(C310&lt;=30,5,IF(C310&lt;=60,4,IF(C310&lt;=120,3,IF(C310&lt;=200,2,1))))</f>
        <v/>
      </c>
      <c r="G310" s="128">
        <f>IF(D310&gt;=20,5,IF(D310&gt;=10,4,IF(D310&gt;=5,3,IF(D310&gt;=2,2,1))))</f>
        <v/>
      </c>
      <c r="H310" s="128">
        <f>IF(E310&gt;=5000,5,IF(E310&gt;=2000,4,IF(E310&gt;=800,3,IF(E310&gt;=300,2,1))))</f>
        <v/>
      </c>
      <c r="I310" s="126">
        <f>TEXT(F310,"0")&amp;TEXT(G310,"0")&amp;TEXT(H310,"0")</f>
        <v/>
      </c>
      <c r="J310" s="126">
        <f>IFERROR(XLOOKUP(I310,'Segment Map'!A:A,'Segment Map'!B:B,"Need Attention"),"Need Attention")</f>
        <v/>
      </c>
      <c r="K310" s="126">
        <f>IF(E310&gt;=5000,"🏆 Platinum",IF(E310&gt;=2000,"🥇 Gold",IF(E310&gt;=800,"🥈 Silver","🥉 Bronze")))</f>
        <v/>
      </c>
      <c r="L310" s="129" t="n">
        <v>40883</v>
      </c>
    </row>
    <row r="311">
      <c r="A311" s="122" t="n">
        <v>12724</v>
      </c>
      <c r="B311" s="122" t="inlineStr">
        <is>
          <t>France</t>
        </is>
      </c>
      <c r="C311" s="122" t="n">
        <v>6</v>
      </c>
      <c r="D311" s="122" t="n">
        <v>4</v>
      </c>
      <c r="E311" s="123" t="n">
        <v>1031.41</v>
      </c>
      <c r="F311" s="124">
        <f>IF(C311&lt;=30,5,IF(C311&lt;=60,4,IF(C311&lt;=120,3,IF(C311&lt;=200,2,1))))</f>
        <v/>
      </c>
      <c r="G311" s="124">
        <f>IF(D311&gt;=20,5,IF(D311&gt;=10,4,IF(D311&gt;=5,3,IF(D311&gt;=2,2,1))))</f>
        <v/>
      </c>
      <c r="H311" s="124">
        <f>IF(E311&gt;=5000,5,IF(E311&gt;=2000,4,IF(E311&gt;=800,3,IF(E311&gt;=300,2,1))))</f>
        <v/>
      </c>
      <c r="I311" s="122">
        <f>TEXT(F311,"0")&amp;TEXT(G311,"0")&amp;TEXT(H311,"0")</f>
        <v/>
      </c>
      <c r="J311" s="122">
        <f>IFERROR(XLOOKUP(I311,'Segment Map'!A:A,'Segment Map'!B:B,"Need Attention"),"Need Attention")</f>
        <v/>
      </c>
      <c r="K311" s="122">
        <f>IF(E311&gt;=5000,"🏆 Platinum",IF(E311&gt;=2000,"🥇 Gold",IF(E311&gt;=800,"🥈 Silver","🥉 Bronze")))</f>
        <v/>
      </c>
      <c r="L311" s="125" t="n">
        <v>40881</v>
      </c>
    </row>
    <row r="312">
      <c r="A312" s="126" t="n">
        <v>12725</v>
      </c>
      <c r="B312" s="126" t="inlineStr">
        <is>
          <t>Italy</t>
        </is>
      </c>
      <c r="C312" s="126" t="n">
        <v>372</v>
      </c>
      <c r="D312" s="126" t="n">
        <v>1</v>
      </c>
      <c r="E312" s="127" t="n">
        <v>427.8</v>
      </c>
      <c r="F312" s="128">
        <f>IF(C312&lt;=30,5,IF(C312&lt;=60,4,IF(C312&lt;=120,3,IF(C312&lt;=200,2,1))))</f>
        <v/>
      </c>
      <c r="G312" s="128">
        <f>IF(D312&gt;=20,5,IF(D312&gt;=10,4,IF(D312&gt;=5,3,IF(D312&gt;=2,2,1))))</f>
        <v/>
      </c>
      <c r="H312" s="128">
        <f>IF(E312&gt;=5000,5,IF(E312&gt;=2000,4,IF(E312&gt;=800,3,IF(E312&gt;=300,2,1))))</f>
        <v/>
      </c>
      <c r="I312" s="126">
        <f>TEXT(F312,"0")&amp;TEXT(G312,"0")&amp;TEXT(H312,"0")</f>
        <v/>
      </c>
      <c r="J312" s="126">
        <f>IFERROR(XLOOKUP(I312,'Segment Map'!A:A,'Segment Map'!B:B,"Need Attention"),"Need Attention")</f>
        <v/>
      </c>
      <c r="K312" s="126">
        <f>IF(E312&gt;=5000,"🏆 Platinum",IF(E312&gt;=2000,"🥇 Gold",IF(E312&gt;=800,"🥈 Silver","🥉 Bronze")))</f>
        <v/>
      </c>
      <c r="L312" s="129" t="n">
        <v>40515</v>
      </c>
    </row>
    <row r="313">
      <c r="A313" s="122" t="n">
        <v>12726</v>
      </c>
      <c r="B313" s="122" t="inlineStr">
        <is>
          <t>France</t>
        </is>
      </c>
      <c r="C313" s="122" t="n">
        <v>29</v>
      </c>
      <c r="D313" s="122" t="n">
        <v>7</v>
      </c>
      <c r="E313" s="123" t="n">
        <v>2609.1</v>
      </c>
      <c r="F313" s="124">
        <f>IF(C313&lt;=30,5,IF(C313&lt;=60,4,IF(C313&lt;=120,3,IF(C313&lt;=200,2,1))))</f>
        <v/>
      </c>
      <c r="G313" s="124">
        <f>IF(D313&gt;=20,5,IF(D313&gt;=10,4,IF(D313&gt;=5,3,IF(D313&gt;=2,2,1))))</f>
        <v/>
      </c>
      <c r="H313" s="124">
        <f>IF(E313&gt;=5000,5,IF(E313&gt;=2000,4,IF(E313&gt;=800,3,IF(E313&gt;=300,2,1))))</f>
        <v/>
      </c>
      <c r="I313" s="122">
        <f>TEXT(F313,"0")&amp;TEXT(G313,"0")&amp;TEXT(H313,"0")</f>
        <v/>
      </c>
      <c r="J313" s="122">
        <f>IFERROR(XLOOKUP(I313,'Segment Map'!A:A,'Segment Map'!B:B,"Need Attention"),"Need Attention")</f>
        <v/>
      </c>
      <c r="K313" s="122">
        <f>IF(E313&gt;=5000,"🏆 Platinum",IF(E313&gt;=2000,"🥇 Gold",IF(E313&gt;=800,"🥈 Silver","🥉 Bronze")))</f>
        <v/>
      </c>
      <c r="L313" s="125" t="n">
        <v>40858</v>
      </c>
    </row>
    <row r="314">
      <c r="A314" s="126" t="n">
        <v>12727</v>
      </c>
      <c r="B314" s="126" t="inlineStr">
        <is>
          <t>France</t>
        </is>
      </c>
      <c r="C314" s="126" t="n">
        <v>11</v>
      </c>
      <c r="D314" s="126" t="n">
        <v>7</v>
      </c>
      <c r="E314" s="127" t="n">
        <v>3980.7</v>
      </c>
      <c r="F314" s="128">
        <f>IF(C314&lt;=30,5,IF(C314&lt;=60,4,IF(C314&lt;=120,3,IF(C314&lt;=200,2,1))))</f>
        <v/>
      </c>
      <c r="G314" s="128">
        <f>IF(D314&gt;=20,5,IF(D314&gt;=10,4,IF(D314&gt;=5,3,IF(D314&gt;=2,2,1))))</f>
        <v/>
      </c>
      <c r="H314" s="128">
        <f>IF(E314&gt;=5000,5,IF(E314&gt;=2000,4,IF(E314&gt;=800,3,IF(E314&gt;=300,2,1))))</f>
        <v/>
      </c>
      <c r="I314" s="126">
        <f>TEXT(F314,"0")&amp;TEXT(G314,"0")&amp;TEXT(H314,"0")</f>
        <v/>
      </c>
      <c r="J314" s="126">
        <f>IFERROR(XLOOKUP(I314,'Segment Map'!A:A,'Segment Map'!B:B,"Need Attention"),"Need Attention")</f>
        <v/>
      </c>
      <c r="K314" s="126">
        <f>IF(E314&gt;=5000,"🏆 Platinum",IF(E314&gt;=2000,"🥇 Gold",IF(E314&gt;=800,"🥈 Silver","🥉 Bronze")))</f>
        <v/>
      </c>
      <c r="L314" s="129" t="n">
        <v>40876</v>
      </c>
    </row>
    <row r="315">
      <c r="A315" s="122" t="n">
        <v>12728</v>
      </c>
      <c r="B315" s="122" t="inlineStr">
        <is>
          <t>France</t>
        </is>
      </c>
      <c r="C315" s="122" t="n">
        <v>72</v>
      </c>
      <c r="D315" s="122" t="n">
        <v>4</v>
      </c>
      <c r="E315" s="123" t="n">
        <v>836.33</v>
      </c>
      <c r="F315" s="124">
        <f>IF(C315&lt;=30,5,IF(C315&lt;=60,4,IF(C315&lt;=120,3,IF(C315&lt;=200,2,1))))</f>
        <v/>
      </c>
      <c r="G315" s="124">
        <f>IF(D315&gt;=20,5,IF(D315&gt;=10,4,IF(D315&gt;=5,3,IF(D315&gt;=2,2,1))))</f>
        <v/>
      </c>
      <c r="H315" s="124">
        <f>IF(E315&gt;=5000,5,IF(E315&gt;=2000,4,IF(E315&gt;=800,3,IF(E315&gt;=300,2,1))))</f>
        <v/>
      </c>
      <c r="I315" s="122">
        <f>TEXT(F315,"0")&amp;TEXT(G315,"0")&amp;TEXT(H315,"0")</f>
        <v/>
      </c>
      <c r="J315" s="122">
        <f>IFERROR(XLOOKUP(I315,'Segment Map'!A:A,'Segment Map'!B:B,"Need Attention"),"Need Attention")</f>
        <v/>
      </c>
      <c r="K315" s="122">
        <f>IF(E315&gt;=5000,"🏆 Platinum",IF(E315&gt;=2000,"🥇 Gold",IF(E315&gt;=800,"🥈 Silver","🥉 Bronze")))</f>
        <v/>
      </c>
      <c r="L315" s="125" t="n">
        <v>40815</v>
      </c>
    </row>
    <row r="316">
      <c r="A316" s="126" t="n">
        <v>12729</v>
      </c>
      <c r="B316" s="126" t="inlineStr">
        <is>
          <t>France</t>
        </is>
      </c>
      <c r="C316" s="126" t="n">
        <v>114</v>
      </c>
      <c r="D316" s="126" t="n">
        <v>1</v>
      </c>
      <c r="E316" s="127" t="n">
        <v>453.01</v>
      </c>
      <c r="F316" s="128">
        <f>IF(C316&lt;=30,5,IF(C316&lt;=60,4,IF(C316&lt;=120,3,IF(C316&lt;=200,2,1))))</f>
        <v/>
      </c>
      <c r="G316" s="128">
        <f>IF(D316&gt;=20,5,IF(D316&gt;=10,4,IF(D316&gt;=5,3,IF(D316&gt;=2,2,1))))</f>
        <v/>
      </c>
      <c r="H316" s="128">
        <f>IF(E316&gt;=5000,5,IF(E316&gt;=2000,4,IF(E316&gt;=800,3,IF(E316&gt;=300,2,1))))</f>
        <v/>
      </c>
      <c r="I316" s="126">
        <f>TEXT(F316,"0")&amp;TEXT(G316,"0")&amp;TEXT(H316,"0")</f>
        <v/>
      </c>
      <c r="J316" s="126">
        <f>IFERROR(XLOOKUP(I316,'Segment Map'!A:A,'Segment Map'!B:B,"Need Attention"),"Need Attention")</f>
        <v/>
      </c>
      <c r="K316" s="126">
        <f>IF(E316&gt;=5000,"🏆 Platinum",IF(E316&gt;=2000,"🥇 Gold",IF(E316&gt;=800,"🥈 Silver","🥉 Bronze")))</f>
        <v/>
      </c>
      <c r="L316" s="129" t="n">
        <v>40773</v>
      </c>
    </row>
    <row r="317">
      <c r="A317" s="122" t="n">
        <v>12731</v>
      </c>
      <c r="B317" s="122" t="inlineStr">
        <is>
          <t>France</t>
        </is>
      </c>
      <c r="C317" s="122" t="n">
        <v>24</v>
      </c>
      <c r="D317" s="122" t="n">
        <v>12</v>
      </c>
      <c r="E317" s="123" t="n">
        <v>18895.91</v>
      </c>
      <c r="F317" s="124">
        <f>IF(C317&lt;=30,5,IF(C317&lt;=60,4,IF(C317&lt;=120,3,IF(C317&lt;=200,2,1))))</f>
        <v/>
      </c>
      <c r="G317" s="124">
        <f>IF(D317&gt;=20,5,IF(D317&gt;=10,4,IF(D317&gt;=5,3,IF(D317&gt;=2,2,1))))</f>
        <v/>
      </c>
      <c r="H317" s="124">
        <f>IF(E317&gt;=5000,5,IF(E317&gt;=2000,4,IF(E317&gt;=800,3,IF(E317&gt;=300,2,1))))</f>
        <v/>
      </c>
      <c r="I317" s="122">
        <f>TEXT(F317,"0")&amp;TEXT(G317,"0")&amp;TEXT(H317,"0")</f>
        <v/>
      </c>
      <c r="J317" s="122">
        <f>IFERROR(XLOOKUP(I317,'Segment Map'!A:A,'Segment Map'!B:B,"Need Attention"),"Need Attention")</f>
        <v/>
      </c>
      <c r="K317" s="122">
        <f>IF(E317&gt;=5000,"🏆 Platinum",IF(E317&gt;=2000,"🥇 Gold",IF(E317&gt;=800,"🥈 Silver","🥉 Bronze")))</f>
        <v/>
      </c>
      <c r="L317" s="125" t="n">
        <v>40863</v>
      </c>
    </row>
    <row r="318">
      <c r="A318" s="126" t="n">
        <v>12732</v>
      </c>
      <c r="B318" s="126" t="inlineStr">
        <is>
          <t>France</t>
        </is>
      </c>
      <c r="C318" s="126" t="n">
        <v>180</v>
      </c>
      <c r="D318" s="126" t="n">
        <v>1</v>
      </c>
      <c r="E318" s="127" t="n">
        <v>236.26</v>
      </c>
      <c r="F318" s="128">
        <f>IF(C318&lt;=30,5,IF(C318&lt;=60,4,IF(C318&lt;=120,3,IF(C318&lt;=200,2,1))))</f>
        <v/>
      </c>
      <c r="G318" s="128">
        <f>IF(D318&gt;=20,5,IF(D318&gt;=10,4,IF(D318&gt;=5,3,IF(D318&gt;=2,2,1))))</f>
        <v/>
      </c>
      <c r="H318" s="128">
        <f>IF(E318&gt;=5000,5,IF(E318&gt;=2000,4,IF(E318&gt;=800,3,IF(E318&gt;=300,2,1))))</f>
        <v/>
      </c>
      <c r="I318" s="126">
        <f>TEXT(F318,"0")&amp;TEXT(G318,"0")&amp;TEXT(H318,"0")</f>
        <v/>
      </c>
      <c r="J318" s="126">
        <f>IFERROR(XLOOKUP(I318,'Segment Map'!A:A,'Segment Map'!B:B,"Need Attention"),"Need Attention")</f>
        <v/>
      </c>
      <c r="K318" s="126">
        <f>IF(E318&gt;=5000,"🏆 Platinum",IF(E318&gt;=2000,"🥇 Gold",IF(E318&gt;=800,"🥈 Silver","🥉 Bronze")))</f>
        <v/>
      </c>
      <c r="L318" s="129" t="n">
        <v>40707</v>
      </c>
    </row>
    <row r="319">
      <c r="A319" s="122" t="n">
        <v>12733</v>
      </c>
      <c r="B319" s="122" t="inlineStr">
        <is>
          <t>USA</t>
        </is>
      </c>
      <c r="C319" s="122" t="n">
        <v>235</v>
      </c>
      <c r="D319" s="122" t="n">
        <v>1</v>
      </c>
      <c r="E319" s="123" t="n">
        <v>383.95</v>
      </c>
      <c r="F319" s="124">
        <f>IF(C319&lt;=30,5,IF(C319&lt;=60,4,IF(C319&lt;=120,3,IF(C319&lt;=200,2,1))))</f>
        <v/>
      </c>
      <c r="G319" s="124">
        <f>IF(D319&gt;=20,5,IF(D319&gt;=10,4,IF(D319&gt;=5,3,IF(D319&gt;=2,2,1))))</f>
        <v/>
      </c>
      <c r="H319" s="124">
        <f>IF(E319&gt;=5000,5,IF(E319&gt;=2000,4,IF(E319&gt;=800,3,IF(E319&gt;=300,2,1))))</f>
        <v/>
      </c>
      <c r="I319" s="122">
        <f>TEXT(F319,"0")&amp;TEXT(G319,"0")&amp;TEXT(H319,"0")</f>
        <v/>
      </c>
      <c r="J319" s="122">
        <f>IFERROR(XLOOKUP(I319,'Segment Map'!A:A,'Segment Map'!B:B,"Need Attention"),"Need Attention")</f>
        <v/>
      </c>
      <c r="K319" s="122">
        <f>IF(E319&gt;=5000,"🏆 Platinum",IF(E319&gt;=2000,"🥇 Gold",IF(E319&gt;=800,"🥈 Silver","🥉 Bronze")))</f>
        <v/>
      </c>
      <c r="L319" s="125" t="n">
        <v>40652</v>
      </c>
    </row>
    <row r="320">
      <c r="A320" s="126" t="n">
        <v>12734</v>
      </c>
      <c r="B320" s="126" t="inlineStr">
        <is>
          <t>France</t>
        </is>
      </c>
      <c r="C320" s="126" t="n">
        <v>353</v>
      </c>
      <c r="D320" s="126" t="n">
        <v>1</v>
      </c>
      <c r="E320" s="127" t="n">
        <v>110.4</v>
      </c>
      <c r="F320" s="128">
        <f>IF(C320&lt;=30,5,IF(C320&lt;=60,4,IF(C320&lt;=120,3,IF(C320&lt;=200,2,1))))</f>
        <v/>
      </c>
      <c r="G320" s="128">
        <f>IF(D320&gt;=20,5,IF(D320&gt;=10,4,IF(D320&gt;=5,3,IF(D320&gt;=2,2,1))))</f>
        <v/>
      </c>
      <c r="H320" s="128">
        <f>IF(E320&gt;=5000,5,IF(E320&gt;=2000,4,IF(E320&gt;=800,3,IF(E320&gt;=300,2,1))))</f>
        <v/>
      </c>
      <c r="I320" s="126">
        <f>TEXT(F320,"0")&amp;TEXT(G320,"0")&amp;TEXT(H320,"0")</f>
        <v/>
      </c>
      <c r="J320" s="126">
        <f>IFERROR(XLOOKUP(I320,'Segment Map'!A:A,'Segment Map'!B:B,"Need Attention"),"Need Attention")</f>
        <v/>
      </c>
      <c r="K320" s="126">
        <f>IF(E320&gt;=5000,"🏆 Platinum",IF(E320&gt;=2000,"🥇 Gold",IF(E320&gt;=800,"🥈 Silver","🥉 Bronze")))</f>
        <v/>
      </c>
      <c r="L320" s="129" t="n">
        <v>40534</v>
      </c>
    </row>
    <row r="321">
      <c r="A321" s="122" t="n">
        <v>12735</v>
      </c>
      <c r="B321" s="122" t="inlineStr">
        <is>
          <t>France</t>
        </is>
      </c>
      <c r="C321" s="122" t="n">
        <v>316</v>
      </c>
      <c r="D321" s="122" t="n">
        <v>2</v>
      </c>
      <c r="E321" s="123" t="n">
        <v>779.5700000000001</v>
      </c>
      <c r="F321" s="124">
        <f>IF(C321&lt;=30,5,IF(C321&lt;=60,4,IF(C321&lt;=120,3,IF(C321&lt;=200,2,1))))</f>
        <v/>
      </c>
      <c r="G321" s="124">
        <f>IF(D321&gt;=20,5,IF(D321&gt;=10,4,IF(D321&gt;=5,3,IF(D321&gt;=2,2,1))))</f>
        <v/>
      </c>
      <c r="H321" s="124">
        <f>IF(E321&gt;=5000,5,IF(E321&gt;=2000,4,IF(E321&gt;=800,3,IF(E321&gt;=300,2,1))))</f>
        <v/>
      </c>
      <c r="I321" s="122">
        <f>TEXT(F321,"0")&amp;TEXT(G321,"0")&amp;TEXT(H321,"0")</f>
        <v/>
      </c>
      <c r="J321" s="122">
        <f>IFERROR(XLOOKUP(I321,'Segment Map'!A:A,'Segment Map'!B:B,"Need Attention"),"Need Attention")</f>
        <v/>
      </c>
      <c r="K321" s="122">
        <f>IF(E321&gt;=5000,"🏆 Platinum",IF(E321&gt;=2000,"🥇 Gold",IF(E321&gt;=800,"🥈 Silver","🥉 Bronze")))</f>
        <v/>
      </c>
      <c r="L321" s="125" t="n">
        <v>40571</v>
      </c>
    </row>
    <row r="322">
      <c r="A322" s="126" t="n">
        <v>12736</v>
      </c>
      <c r="B322" s="126" t="inlineStr">
        <is>
          <t>France</t>
        </is>
      </c>
      <c r="C322" s="126" t="n">
        <v>333</v>
      </c>
      <c r="D322" s="126" t="n">
        <v>1</v>
      </c>
      <c r="E322" s="127" t="n">
        <v>234</v>
      </c>
      <c r="F322" s="128">
        <f>IF(C322&lt;=30,5,IF(C322&lt;=60,4,IF(C322&lt;=120,3,IF(C322&lt;=200,2,1))))</f>
        <v/>
      </c>
      <c r="G322" s="128">
        <f>IF(D322&gt;=20,5,IF(D322&gt;=10,4,IF(D322&gt;=5,3,IF(D322&gt;=2,2,1))))</f>
        <v/>
      </c>
      <c r="H322" s="128">
        <f>IF(E322&gt;=5000,5,IF(E322&gt;=2000,4,IF(E322&gt;=800,3,IF(E322&gt;=300,2,1))))</f>
        <v/>
      </c>
      <c r="I322" s="126">
        <f>TEXT(F322,"0")&amp;TEXT(G322,"0")&amp;TEXT(H322,"0")</f>
        <v/>
      </c>
      <c r="J322" s="126">
        <f>IFERROR(XLOOKUP(I322,'Segment Map'!A:A,'Segment Map'!B:B,"Need Attention"),"Need Attention")</f>
        <v/>
      </c>
      <c r="K322" s="126">
        <f>IF(E322&gt;=5000,"🏆 Platinum",IF(E322&gt;=2000,"🥇 Gold",IF(E322&gt;=800,"🥈 Silver","🥉 Bronze")))</f>
        <v/>
      </c>
      <c r="L322" s="129" t="n">
        <v>40554</v>
      </c>
    </row>
    <row r="323">
      <c r="A323" s="122" t="n">
        <v>12738</v>
      </c>
      <c r="B323" s="122" t="inlineStr">
        <is>
          <t>Germany</t>
        </is>
      </c>
      <c r="C323" s="122" t="n">
        <v>373</v>
      </c>
      <c r="D323" s="122" t="n">
        <v>1</v>
      </c>
      <c r="E323" s="123" t="n">
        <v>155.35</v>
      </c>
      <c r="F323" s="124">
        <f>IF(C323&lt;=30,5,IF(C323&lt;=60,4,IF(C323&lt;=120,3,IF(C323&lt;=200,2,1))))</f>
        <v/>
      </c>
      <c r="G323" s="124">
        <f>IF(D323&gt;=20,5,IF(D323&gt;=10,4,IF(D323&gt;=5,3,IF(D323&gt;=2,2,1))))</f>
        <v/>
      </c>
      <c r="H323" s="124">
        <f>IF(E323&gt;=5000,5,IF(E323&gt;=2000,4,IF(E323&gt;=800,3,IF(E323&gt;=300,2,1))))</f>
        <v/>
      </c>
      <c r="I323" s="122">
        <f>TEXT(F323,"0")&amp;TEXT(G323,"0")&amp;TEXT(H323,"0")</f>
        <v/>
      </c>
      <c r="J323" s="122">
        <f>IFERROR(XLOOKUP(I323,'Segment Map'!A:A,'Segment Map'!B:B,"Need Attention"),"Need Attention")</f>
        <v/>
      </c>
      <c r="K323" s="122">
        <f>IF(E323&gt;=5000,"🏆 Platinum",IF(E323&gt;=2000,"🥇 Gold",IF(E323&gt;=800,"🥈 Silver","🥉 Bronze")))</f>
        <v/>
      </c>
      <c r="L323" s="125" t="n">
        <v>40514</v>
      </c>
    </row>
    <row r="324">
      <c r="A324" s="126" t="n">
        <v>12739</v>
      </c>
      <c r="B324" s="126" t="inlineStr">
        <is>
          <t>United Arab Emirates</t>
        </is>
      </c>
      <c r="C324" s="126" t="n">
        <v>79</v>
      </c>
      <c r="D324" s="126" t="n">
        <v>2</v>
      </c>
      <c r="E324" s="127" t="n">
        <v>1013.04</v>
      </c>
      <c r="F324" s="128">
        <f>IF(C324&lt;=30,5,IF(C324&lt;=60,4,IF(C324&lt;=120,3,IF(C324&lt;=200,2,1))))</f>
        <v/>
      </c>
      <c r="G324" s="128">
        <f>IF(D324&gt;=20,5,IF(D324&gt;=10,4,IF(D324&gt;=5,3,IF(D324&gt;=2,2,1))))</f>
        <v/>
      </c>
      <c r="H324" s="128">
        <f>IF(E324&gt;=5000,5,IF(E324&gt;=2000,4,IF(E324&gt;=800,3,IF(E324&gt;=300,2,1))))</f>
        <v/>
      </c>
      <c r="I324" s="126">
        <f>TEXT(F324,"0")&amp;TEXT(G324,"0")&amp;TEXT(H324,"0")</f>
        <v/>
      </c>
      <c r="J324" s="126">
        <f>IFERROR(XLOOKUP(I324,'Segment Map'!A:A,'Segment Map'!B:B,"Need Attention"),"Need Attention")</f>
        <v/>
      </c>
      <c r="K324" s="126">
        <f>IF(E324&gt;=5000,"🏆 Platinum",IF(E324&gt;=2000,"🥇 Gold",IF(E324&gt;=800,"🥈 Silver","🥉 Bronze")))</f>
        <v/>
      </c>
      <c r="L324" s="129" t="n">
        <v>40808</v>
      </c>
    </row>
    <row r="325">
      <c r="A325" s="122" t="n">
        <v>12740</v>
      </c>
      <c r="B325" s="122" t="inlineStr">
        <is>
          <t>France</t>
        </is>
      </c>
      <c r="C325" s="122" t="n">
        <v>64</v>
      </c>
      <c r="D325" s="122" t="n">
        <v>1</v>
      </c>
      <c r="E325" s="123" t="n">
        <v>427.6</v>
      </c>
      <c r="F325" s="124">
        <f>IF(C325&lt;=30,5,IF(C325&lt;=60,4,IF(C325&lt;=120,3,IF(C325&lt;=200,2,1))))</f>
        <v/>
      </c>
      <c r="G325" s="124">
        <f>IF(D325&gt;=20,5,IF(D325&gt;=10,4,IF(D325&gt;=5,3,IF(D325&gt;=2,2,1))))</f>
        <v/>
      </c>
      <c r="H325" s="124">
        <f>IF(E325&gt;=5000,5,IF(E325&gt;=2000,4,IF(E325&gt;=800,3,IF(E325&gt;=300,2,1))))</f>
        <v/>
      </c>
      <c r="I325" s="122">
        <f>TEXT(F325,"0")&amp;TEXT(G325,"0")&amp;TEXT(H325,"0")</f>
        <v/>
      </c>
      <c r="J325" s="122">
        <f>IFERROR(XLOOKUP(I325,'Segment Map'!A:A,'Segment Map'!B:B,"Need Attention"),"Need Attention")</f>
        <v/>
      </c>
      <c r="K325" s="122">
        <f>IF(E325&gt;=5000,"🏆 Platinum",IF(E325&gt;=2000,"🥇 Gold",IF(E325&gt;=800,"🥈 Silver","🥉 Bronze")))</f>
        <v/>
      </c>
      <c r="L325" s="125" t="n">
        <v>40823</v>
      </c>
    </row>
    <row r="326">
      <c r="A326" s="126" t="n">
        <v>12743</v>
      </c>
      <c r="B326" s="126" t="inlineStr">
        <is>
          <t>Unspecified</t>
        </is>
      </c>
      <c r="C326" s="126" t="n">
        <v>135</v>
      </c>
      <c r="D326" s="126" t="n">
        <v>2</v>
      </c>
      <c r="E326" s="127" t="n">
        <v>546.4299999999999</v>
      </c>
      <c r="F326" s="128">
        <f>IF(C326&lt;=30,5,IF(C326&lt;=60,4,IF(C326&lt;=120,3,IF(C326&lt;=200,2,1))))</f>
        <v/>
      </c>
      <c r="G326" s="128">
        <f>IF(D326&gt;=20,5,IF(D326&gt;=10,4,IF(D326&gt;=5,3,IF(D326&gt;=2,2,1))))</f>
        <v/>
      </c>
      <c r="H326" s="128">
        <f>IF(E326&gt;=5000,5,IF(E326&gt;=2000,4,IF(E326&gt;=800,3,IF(E326&gt;=300,2,1))))</f>
        <v/>
      </c>
      <c r="I326" s="126">
        <f>TEXT(F326,"0")&amp;TEXT(G326,"0")&amp;TEXT(H326,"0")</f>
        <v/>
      </c>
      <c r="J326" s="126">
        <f>IFERROR(XLOOKUP(I326,'Segment Map'!A:A,'Segment Map'!B:B,"Need Attention"),"Need Attention")</f>
        <v/>
      </c>
      <c r="K326" s="126">
        <f>IF(E326&gt;=5000,"🏆 Platinum",IF(E326&gt;=2000,"🥇 Gold",IF(E326&gt;=800,"🥈 Silver","🥉 Bronze")))</f>
        <v/>
      </c>
      <c r="L326" s="129" t="n">
        <v>40752</v>
      </c>
    </row>
    <row r="327">
      <c r="A327" s="122" t="n">
        <v>12744</v>
      </c>
      <c r="B327" s="122" t="inlineStr">
        <is>
          <t>Singapore</t>
        </is>
      </c>
      <c r="C327" s="122" t="n">
        <v>52</v>
      </c>
      <c r="D327" s="122" t="n">
        <v>7</v>
      </c>
      <c r="E327" s="123" t="n">
        <v>21279.29</v>
      </c>
      <c r="F327" s="124">
        <f>IF(C327&lt;=30,5,IF(C327&lt;=60,4,IF(C327&lt;=120,3,IF(C327&lt;=200,2,1))))</f>
        <v/>
      </c>
      <c r="G327" s="124">
        <f>IF(D327&gt;=20,5,IF(D327&gt;=10,4,IF(D327&gt;=5,3,IF(D327&gt;=2,2,1))))</f>
        <v/>
      </c>
      <c r="H327" s="124">
        <f>IF(E327&gt;=5000,5,IF(E327&gt;=2000,4,IF(E327&gt;=800,3,IF(E327&gt;=300,2,1))))</f>
        <v/>
      </c>
      <c r="I327" s="122">
        <f>TEXT(F327,"0")&amp;TEXT(G327,"0")&amp;TEXT(H327,"0")</f>
        <v/>
      </c>
      <c r="J327" s="122">
        <f>IFERROR(XLOOKUP(I327,'Segment Map'!A:A,'Segment Map'!B:B,"Need Attention"),"Need Attention")</f>
        <v/>
      </c>
      <c r="K327" s="122">
        <f>IF(E327&gt;=5000,"🏆 Platinum",IF(E327&gt;=2000,"🥇 Gold",IF(E327&gt;=800,"🥈 Silver","🥉 Bronze")))</f>
        <v/>
      </c>
      <c r="L327" s="125" t="n">
        <v>40835</v>
      </c>
    </row>
    <row r="328">
      <c r="A328" s="126" t="n">
        <v>12747</v>
      </c>
      <c r="B328" s="126" t="inlineStr">
        <is>
          <t>United Kingdom</t>
        </is>
      </c>
      <c r="C328" s="126" t="n">
        <v>3</v>
      </c>
      <c r="D328" s="126" t="n">
        <v>11</v>
      </c>
      <c r="E328" s="127" t="n">
        <v>4196.01</v>
      </c>
      <c r="F328" s="128">
        <f>IF(C328&lt;=30,5,IF(C328&lt;=60,4,IF(C328&lt;=120,3,IF(C328&lt;=200,2,1))))</f>
        <v/>
      </c>
      <c r="G328" s="128">
        <f>IF(D328&gt;=20,5,IF(D328&gt;=10,4,IF(D328&gt;=5,3,IF(D328&gt;=2,2,1))))</f>
        <v/>
      </c>
      <c r="H328" s="128">
        <f>IF(E328&gt;=5000,5,IF(E328&gt;=2000,4,IF(E328&gt;=800,3,IF(E328&gt;=300,2,1))))</f>
        <v/>
      </c>
      <c r="I328" s="126">
        <f>TEXT(F328,"0")&amp;TEXT(G328,"0")&amp;TEXT(H328,"0")</f>
        <v/>
      </c>
      <c r="J328" s="126">
        <f>IFERROR(XLOOKUP(I328,'Segment Map'!A:A,'Segment Map'!B:B,"Need Attention"),"Need Attention")</f>
        <v/>
      </c>
      <c r="K328" s="126">
        <f>IF(E328&gt;=5000,"🏆 Platinum",IF(E328&gt;=2000,"🥇 Gold",IF(E328&gt;=800,"🥈 Silver","🥉 Bronze")))</f>
        <v/>
      </c>
      <c r="L328" s="129" t="n">
        <v>40884</v>
      </c>
    </row>
    <row r="329">
      <c r="A329" s="122" t="n">
        <v>12748</v>
      </c>
      <c r="B329" s="122" t="inlineStr">
        <is>
          <t>United Kingdom</t>
        </is>
      </c>
      <c r="C329" s="122" t="n">
        <v>1</v>
      </c>
      <c r="D329" s="122" t="n">
        <v>209</v>
      </c>
      <c r="E329" s="123" t="n">
        <v>33719.73</v>
      </c>
      <c r="F329" s="124">
        <f>IF(C329&lt;=30,5,IF(C329&lt;=60,4,IF(C329&lt;=120,3,IF(C329&lt;=200,2,1))))</f>
        <v/>
      </c>
      <c r="G329" s="124">
        <f>IF(D329&gt;=20,5,IF(D329&gt;=10,4,IF(D329&gt;=5,3,IF(D329&gt;=2,2,1))))</f>
        <v/>
      </c>
      <c r="H329" s="124">
        <f>IF(E329&gt;=5000,5,IF(E329&gt;=2000,4,IF(E329&gt;=800,3,IF(E329&gt;=300,2,1))))</f>
        <v/>
      </c>
      <c r="I329" s="122">
        <f>TEXT(F329,"0")&amp;TEXT(G329,"0")&amp;TEXT(H329,"0")</f>
        <v/>
      </c>
      <c r="J329" s="122">
        <f>IFERROR(XLOOKUP(I329,'Segment Map'!A:A,'Segment Map'!B:B,"Need Attention"),"Need Attention")</f>
        <v/>
      </c>
      <c r="K329" s="122">
        <f>IF(E329&gt;=5000,"🏆 Platinum",IF(E329&gt;=2000,"🥇 Gold",IF(E329&gt;=800,"🥈 Silver","🥉 Bronze")))</f>
        <v/>
      </c>
      <c r="L329" s="125" t="n">
        <v>40886</v>
      </c>
    </row>
    <row r="330">
      <c r="A330" s="126" t="n">
        <v>12749</v>
      </c>
      <c r="B330" s="126" t="inlineStr">
        <is>
          <t>United Kingdom</t>
        </is>
      </c>
      <c r="C330" s="126" t="n">
        <v>4</v>
      </c>
      <c r="D330" s="126" t="n">
        <v>5</v>
      </c>
      <c r="E330" s="127" t="n">
        <v>4090.88</v>
      </c>
      <c r="F330" s="128">
        <f>IF(C330&lt;=30,5,IF(C330&lt;=60,4,IF(C330&lt;=120,3,IF(C330&lt;=200,2,1))))</f>
        <v/>
      </c>
      <c r="G330" s="128">
        <f>IF(D330&gt;=20,5,IF(D330&gt;=10,4,IF(D330&gt;=5,3,IF(D330&gt;=2,2,1))))</f>
        <v/>
      </c>
      <c r="H330" s="128">
        <f>IF(E330&gt;=5000,5,IF(E330&gt;=2000,4,IF(E330&gt;=800,3,IF(E330&gt;=300,2,1))))</f>
        <v/>
      </c>
      <c r="I330" s="126">
        <f>TEXT(F330,"0")&amp;TEXT(G330,"0")&amp;TEXT(H330,"0")</f>
        <v/>
      </c>
      <c r="J330" s="126">
        <f>IFERROR(XLOOKUP(I330,'Segment Map'!A:A,'Segment Map'!B:B,"Need Attention"),"Need Attention")</f>
        <v/>
      </c>
      <c r="K330" s="126">
        <f>IF(E330&gt;=5000,"🏆 Platinum",IF(E330&gt;=2000,"🥇 Gold",IF(E330&gt;=800,"🥈 Silver","🥉 Bronze")))</f>
        <v/>
      </c>
      <c r="L330" s="129" t="n">
        <v>40883</v>
      </c>
    </row>
    <row r="331">
      <c r="A331" s="122" t="n">
        <v>12750</v>
      </c>
      <c r="B331" s="122" t="inlineStr">
        <is>
          <t>Poland</t>
        </is>
      </c>
      <c r="C331" s="122" t="n">
        <v>129</v>
      </c>
      <c r="D331" s="122" t="n">
        <v>1</v>
      </c>
      <c r="E331" s="123" t="n">
        <v>275.88</v>
      </c>
      <c r="F331" s="124">
        <f>IF(C331&lt;=30,5,IF(C331&lt;=60,4,IF(C331&lt;=120,3,IF(C331&lt;=200,2,1))))</f>
        <v/>
      </c>
      <c r="G331" s="124">
        <f>IF(D331&gt;=20,5,IF(D331&gt;=10,4,IF(D331&gt;=5,3,IF(D331&gt;=2,2,1))))</f>
        <v/>
      </c>
      <c r="H331" s="124">
        <f>IF(E331&gt;=5000,5,IF(E331&gt;=2000,4,IF(E331&gt;=800,3,IF(E331&gt;=300,2,1))))</f>
        <v/>
      </c>
      <c r="I331" s="122">
        <f>TEXT(F331,"0")&amp;TEXT(G331,"0")&amp;TEXT(H331,"0")</f>
        <v/>
      </c>
      <c r="J331" s="122">
        <f>IFERROR(XLOOKUP(I331,'Segment Map'!A:A,'Segment Map'!B:B,"Need Attention"),"Need Attention")</f>
        <v/>
      </c>
      <c r="K331" s="122">
        <f>IF(E331&gt;=5000,"🏆 Platinum",IF(E331&gt;=2000,"🥇 Gold",IF(E331&gt;=800,"🥈 Silver","🥉 Bronze")))</f>
        <v/>
      </c>
      <c r="L331" s="125" t="n">
        <v>40758</v>
      </c>
    </row>
    <row r="332">
      <c r="A332" s="126" t="n">
        <v>12752</v>
      </c>
      <c r="B332" s="126" t="inlineStr">
        <is>
          <t>Norway</t>
        </is>
      </c>
      <c r="C332" s="126" t="n">
        <v>82</v>
      </c>
      <c r="D332" s="126" t="n">
        <v>1</v>
      </c>
      <c r="E332" s="127" t="n">
        <v>4366.78</v>
      </c>
      <c r="F332" s="128">
        <f>IF(C332&lt;=30,5,IF(C332&lt;=60,4,IF(C332&lt;=120,3,IF(C332&lt;=200,2,1))))</f>
        <v/>
      </c>
      <c r="G332" s="128">
        <f>IF(D332&gt;=20,5,IF(D332&gt;=10,4,IF(D332&gt;=5,3,IF(D332&gt;=2,2,1))))</f>
        <v/>
      </c>
      <c r="H332" s="128">
        <f>IF(E332&gt;=5000,5,IF(E332&gt;=2000,4,IF(E332&gt;=800,3,IF(E332&gt;=300,2,1))))</f>
        <v/>
      </c>
      <c r="I332" s="126">
        <f>TEXT(F332,"0")&amp;TEXT(G332,"0")&amp;TEXT(H332,"0")</f>
        <v/>
      </c>
      <c r="J332" s="126">
        <f>IFERROR(XLOOKUP(I332,'Segment Map'!A:A,'Segment Map'!B:B,"Need Attention"),"Need Attention")</f>
        <v/>
      </c>
      <c r="K332" s="126">
        <f>IF(E332&gt;=5000,"🏆 Platinum",IF(E332&gt;=2000,"🥇 Gold",IF(E332&gt;=800,"🥈 Silver","🥉 Bronze")))</f>
        <v/>
      </c>
      <c r="L332" s="129" t="n">
        <v>40805</v>
      </c>
    </row>
    <row r="333">
      <c r="A333" s="122" t="n">
        <v>12753</v>
      </c>
      <c r="B333" s="122" t="inlineStr">
        <is>
          <t>Japan</t>
        </is>
      </c>
      <c r="C333" s="122" t="n">
        <v>23</v>
      </c>
      <c r="D333" s="122" t="n">
        <v>6</v>
      </c>
      <c r="E333" s="123" t="n">
        <v>21429.39</v>
      </c>
      <c r="F333" s="124">
        <f>IF(C333&lt;=30,5,IF(C333&lt;=60,4,IF(C333&lt;=120,3,IF(C333&lt;=200,2,1))))</f>
        <v/>
      </c>
      <c r="G333" s="124">
        <f>IF(D333&gt;=20,5,IF(D333&gt;=10,4,IF(D333&gt;=5,3,IF(D333&gt;=2,2,1))))</f>
        <v/>
      </c>
      <c r="H333" s="124">
        <f>IF(E333&gt;=5000,5,IF(E333&gt;=2000,4,IF(E333&gt;=800,3,IF(E333&gt;=300,2,1))))</f>
        <v/>
      </c>
      <c r="I333" s="122">
        <f>TEXT(F333,"0")&amp;TEXT(G333,"0")&amp;TEXT(H333,"0")</f>
        <v/>
      </c>
      <c r="J333" s="122">
        <f>IFERROR(XLOOKUP(I333,'Segment Map'!A:A,'Segment Map'!B:B,"Need Attention"),"Need Attention")</f>
        <v/>
      </c>
      <c r="K333" s="122">
        <f>IF(E333&gt;=5000,"🏆 Platinum",IF(E333&gt;=2000,"🥇 Gold",IF(E333&gt;=800,"🥈 Silver","🥉 Bronze")))</f>
        <v/>
      </c>
      <c r="L333" s="125" t="n">
        <v>40864</v>
      </c>
    </row>
    <row r="334">
      <c r="A334" s="126" t="n">
        <v>12754</v>
      </c>
      <c r="B334" s="126" t="inlineStr">
        <is>
          <t>Japan</t>
        </is>
      </c>
      <c r="C334" s="126" t="n">
        <v>236</v>
      </c>
      <c r="D334" s="126" t="n">
        <v>3</v>
      </c>
      <c r="E334" s="127" t="n">
        <v>3010.74</v>
      </c>
      <c r="F334" s="128">
        <f>IF(C334&lt;=30,5,IF(C334&lt;=60,4,IF(C334&lt;=120,3,IF(C334&lt;=200,2,1))))</f>
        <v/>
      </c>
      <c r="G334" s="128">
        <f>IF(D334&gt;=20,5,IF(D334&gt;=10,4,IF(D334&gt;=5,3,IF(D334&gt;=2,2,1))))</f>
        <v/>
      </c>
      <c r="H334" s="128">
        <f>IF(E334&gt;=5000,5,IF(E334&gt;=2000,4,IF(E334&gt;=800,3,IF(E334&gt;=300,2,1))))</f>
        <v/>
      </c>
      <c r="I334" s="126">
        <f>TEXT(F334,"0")&amp;TEXT(G334,"0")&amp;TEXT(H334,"0")</f>
        <v/>
      </c>
      <c r="J334" s="126">
        <f>IFERROR(XLOOKUP(I334,'Segment Map'!A:A,'Segment Map'!B:B,"Need Attention"),"Need Attention")</f>
        <v/>
      </c>
      <c r="K334" s="126">
        <f>IF(E334&gt;=5000,"🏆 Platinum",IF(E334&gt;=2000,"🥇 Gold",IF(E334&gt;=800,"🥈 Silver","🥉 Bronze")))</f>
        <v/>
      </c>
      <c r="L334" s="129" t="n">
        <v>40651</v>
      </c>
    </row>
    <row r="335">
      <c r="A335" s="122" t="n">
        <v>12755</v>
      </c>
      <c r="B335" s="122" t="inlineStr">
        <is>
          <t>Japan</t>
        </is>
      </c>
      <c r="C335" s="122" t="n">
        <v>281</v>
      </c>
      <c r="D335" s="122" t="n">
        <v>2</v>
      </c>
      <c r="E335" s="123" t="n">
        <v>3811.95</v>
      </c>
      <c r="F335" s="124">
        <f>IF(C335&lt;=30,5,IF(C335&lt;=60,4,IF(C335&lt;=120,3,IF(C335&lt;=200,2,1))))</f>
        <v/>
      </c>
      <c r="G335" s="124">
        <f>IF(D335&gt;=20,5,IF(D335&gt;=10,4,IF(D335&gt;=5,3,IF(D335&gt;=2,2,1))))</f>
        <v/>
      </c>
      <c r="H335" s="124">
        <f>IF(E335&gt;=5000,5,IF(E335&gt;=2000,4,IF(E335&gt;=800,3,IF(E335&gt;=300,2,1))))</f>
        <v/>
      </c>
      <c r="I335" s="122">
        <f>TEXT(F335,"0")&amp;TEXT(G335,"0")&amp;TEXT(H335,"0")</f>
        <v/>
      </c>
      <c r="J335" s="122">
        <f>IFERROR(XLOOKUP(I335,'Segment Map'!A:A,'Segment Map'!B:B,"Need Attention"),"Need Attention")</f>
        <v/>
      </c>
      <c r="K335" s="122">
        <f>IF(E335&gt;=5000,"🏆 Platinum",IF(E335&gt;=2000,"🥇 Gold",IF(E335&gt;=800,"🥈 Silver","🥉 Bronze")))</f>
        <v/>
      </c>
      <c r="L335" s="125" t="n">
        <v>40606</v>
      </c>
    </row>
    <row r="336">
      <c r="A336" s="126" t="n">
        <v>12756</v>
      </c>
      <c r="B336" s="126" t="inlineStr">
        <is>
          <t>Japan</t>
        </is>
      </c>
      <c r="C336" s="126" t="n">
        <v>87</v>
      </c>
      <c r="D336" s="126" t="n">
        <v>1</v>
      </c>
      <c r="E336" s="127" t="n">
        <v>112.08</v>
      </c>
      <c r="F336" s="128">
        <f>IF(C336&lt;=30,5,IF(C336&lt;=60,4,IF(C336&lt;=120,3,IF(C336&lt;=200,2,1))))</f>
        <v/>
      </c>
      <c r="G336" s="128">
        <f>IF(D336&gt;=20,5,IF(D336&gt;=10,4,IF(D336&gt;=5,3,IF(D336&gt;=2,2,1))))</f>
        <v/>
      </c>
      <c r="H336" s="128">
        <f>IF(E336&gt;=5000,5,IF(E336&gt;=2000,4,IF(E336&gt;=800,3,IF(E336&gt;=300,2,1))))</f>
        <v/>
      </c>
      <c r="I336" s="126">
        <f>TEXT(F336,"0")&amp;TEXT(G336,"0")&amp;TEXT(H336,"0")</f>
        <v/>
      </c>
      <c r="J336" s="126">
        <f>IFERROR(XLOOKUP(I336,'Segment Map'!A:A,'Segment Map'!B:B,"Need Attention"),"Need Attention")</f>
        <v/>
      </c>
      <c r="K336" s="126">
        <f>IF(E336&gt;=5000,"🏆 Platinum",IF(E336&gt;=2000,"🥇 Gold",IF(E336&gt;=800,"🥈 Silver","🥉 Bronze")))</f>
        <v/>
      </c>
      <c r="L336" s="129" t="n">
        <v>40800</v>
      </c>
    </row>
    <row r="337">
      <c r="A337" s="122" t="n">
        <v>12757</v>
      </c>
      <c r="B337" s="122" t="inlineStr">
        <is>
          <t>Portugal</t>
        </is>
      </c>
      <c r="C337" s="122" t="n">
        <v>16</v>
      </c>
      <c r="D337" s="122" t="n">
        <v>13</v>
      </c>
      <c r="E337" s="123" t="n">
        <v>7857.1</v>
      </c>
      <c r="F337" s="124">
        <f>IF(C337&lt;=30,5,IF(C337&lt;=60,4,IF(C337&lt;=120,3,IF(C337&lt;=200,2,1))))</f>
        <v/>
      </c>
      <c r="G337" s="124">
        <f>IF(D337&gt;=20,5,IF(D337&gt;=10,4,IF(D337&gt;=5,3,IF(D337&gt;=2,2,1))))</f>
        <v/>
      </c>
      <c r="H337" s="124">
        <f>IF(E337&gt;=5000,5,IF(E337&gt;=2000,4,IF(E337&gt;=800,3,IF(E337&gt;=300,2,1))))</f>
        <v/>
      </c>
      <c r="I337" s="122">
        <f>TEXT(F337,"0")&amp;TEXT(G337,"0")&amp;TEXT(H337,"0")</f>
        <v/>
      </c>
      <c r="J337" s="122">
        <f>IFERROR(XLOOKUP(I337,'Segment Map'!A:A,'Segment Map'!B:B,"Need Attention"),"Need Attention")</f>
        <v/>
      </c>
      <c r="K337" s="122">
        <f>IF(E337&gt;=5000,"🏆 Platinum",IF(E337&gt;=2000,"🥇 Gold",IF(E337&gt;=800,"🥈 Silver","🥉 Bronze")))</f>
        <v/>
      </c>
      <c r="L337" s="125" t="n">
        <v>40871</v>
      </c>
    </row>
    <row r="338">
      <c r="A338" s="126" t="n">
        <v>12758</v>
      </c>
      <c r="B338" s="126" t="inlineStr">
        <is>
          <t>Portugal</t>
        </is>
      </c>
      <c r="C338" s="126" t="n">
        <v>117</v>
      </c>
      <c r="D338" s="126" t="n">
        <v>2</v>
      </c>
      <c r="E338" s="127" t="n">
        <v>2791.59</v>
      </c>
      <c r="F338" s="128">
        <f>IF(C338&lt;=30,5,IF(C338&lt;=60,4,IF(C338&lt;=120,3,IF(C338&lt;=200,2,1))))</f>
        <v/>
      </c>
      <c r="G338" s="128">
        <f>IF(D338&gt;=20,5,IF(D338&gt;=10,4,IF(D338&gt;=5,3,IF(D338&gt;=2,2,1))))</f>
        <v/>
      </c>
      <c r="H338" s="128">
        <f>IF(E338&gt;=5000,5,IF(E338&gt;=2000,4,IF(E338&gt;=800,3,IF(E338&gt;=300,2,1))))</f>
        <v/>
      </c>
      <c r="I338" s="126">
        <f>TEXT(F338,"0")&amp;TEXT(G338,"0")&amp;TEXT(H338,"0")</f>
        <v/>
      </c>
      <c r="J338" s="126">
        <f>IFERROR(XLOOKUP(I338,'Segment Map'!A:A,'Segment Map'!B:B,"Need Attention"),"Need Attention")</f>
        <v/>
      </c>
      <c r="K338" s="126">
        <f>IF(E338&gt;=5000,"🏆 Platinum",IF(E338&gt;=2000,"🥇 Gold",IF(E338&gt;=800,"🥈 Silver","🥉 Bronze")))</f>
        <v/>
      </c>
      <c r="L338" s="129" t="n">
        <v>40770</v>
      </c>
    </row>
    <row r="339">
      <c r="A339" s="122" t="n">
        <v>12759</v>
      </c>
      <c r="B339" s="122" t="inlineStr">
        <is>
          <t>Netherlands</t>
        </is>
      </c>
      <c r="C339" s="122" t="n">
        <v>53</v>
      </c>
      <c r="D339" s="122" t="n">
        <v>3</v>
      </c>
      <c r="E339" s="123" t="n">
        <v>1531.44</v>
      </c>
      <c r="F339" s="124">
        <f>IF(C339&lt;=30,5,IF(C339&lt;=60,4,IF(C339&lt;=120,3,IF(C339&lt;=200,2,1))))</f>
        <v/>
      </c>
      <c r="G339" s="124">
        <f>IF(D339&gt;=20,5,IF(D339&gt;=10,4,IF(D339&gt;=5,3,IF(D339&gt;=2,2,1))))</f>
        <v/>
      </c>
      <c r="H339" s="124">
        <f>IF(E339&gt;=5000,5,IF(E339&gt;=2000,4,IF(E339&gt;=800,3,IF(E339&gt;=300,2,1))))</f>
        <v/>
      </c>
      <c r="I339" s="122">
        <f>TEXT(F339,"0")&amp;TEXT(G339,"0")&amp;TEXT(H339,"0")</f>
        <v/>
      </c>
      <c r="J339" s="122">
        <f>IFERROR(XLOOKUP(I339,'Segment Map'!A:A,'Segment Map'!B:B,"Need Attention"),"Need Attention")</f>
        <v/>
      </c>
      <c r="K339" s="122">
        <f>IF(E339&gt;=5000,"🏆 Platinum",IF(E339&gt;=2000,"🥇 Gold",IF(E339&gt;=800,"🥈 Silver","🥉 Bronze")))</f>
        <v/>
      </c>
      <c r="L339" s="125" t="n">
        <v>40834</v>
      </c>
    </row>
    <row r="340">
      <c r="A340" s="126" t="n">
        <v>12762</v>
      </c>
      <c r="B340" s="126" t="inlineStr">
        <is>
          <t>Portugal</t>
        </is>
      </c>
      <c r="C340" s="126" t="n">
        <v>8</v>
      </c>
      <c r="D340" s="126" t="n">
        <v>2</v>
      </c>
      <c r="E340" s="127" t="n">
        <v>1898.52</v>
      </c>
      <c r="F340" s="128">
        <f>IF(C340&lt;=30,5,IF(C340&lt;=60,4,IF(C340&lt;=120,3,IF(C340&lt;=200,2,1))))</f>
        <v/>
      </c>
      <c r="G340" s="128">
        <f>IF(D340&gt;=20,5,IF(D340&gt;=10,4,IF(D340&gt;=5,3,IF(D340&gt;=2,2,1))))</f>
        <v/>
      </c>
      <c r="H340" s="128">
        <f>IF(E340&gt;=5000,5,IF(E340&gt;=2000,4,IF(E340&gt;=800,3,IF(E340&gt;=300,2,1))))</f>
        <v/>
      </c>
      <c r="I340" s="126">
        <f>TEXT(F340,"0")&amp;TEXT(G340,"0")&amp;TEXT(H340,"0")</f>
        <v/>
      </c>
      <c r="J340" s="126">
        <f>IFERROR(XLOOKUP(I340,'Segment Map'!A:A,'Segment Map'!B:B,"Need Attention"),"Need Attention")</f>
        <v/>
      </c>
      <c r="K340" s="126">
        <f>IF(E340&gt;=5000,"🏆 Platinum",IF(E340&gt;=2000,"🥇 Gold",IF(E340&gt;=800,"🥈 Silver","🥉 Bronze")))</f>
        <v/>
      </c>
      <c r="L340" s="129" t="n">
        <v>40879</v>
      </c>
    </row>
    <row r="341">
      <c r="A341" s="122" t="n">
        <v>12763</v>
      </c>
      <c r="B341" s="122" t="inlineStr">
        <is>
          <t>Japan</t>
        </is>
      </c>
      <c r="C341" s="122" t="n">
        <v>139</v>
      </c>
      <c r="D341" s="122" t="n">
        <v>2</v>
      </c>
      <c r="E341" s="123" t="n">
        <v>494.08</v>
      </c>
      <c r="F341" s="124">
        <f>IF(C341&lt;=30,5,IF(C341&lt;=60,4,IF(C341&lt;=120,3,IF(C341&lt;=200,2,1))))</f>
        <v/>
      </c>
      <c r="G341" s="124">
        <f>IF(D341&gt;=20,5,IF(D341&gt;=10,4,IF(D341&gt;=5,3,IF(D341&gt;=2,2,1))))</f>
        <v/>
      </c>
      <c r="H341" s="124">
        <f>IF(E341&gt;=5000,5,IF(E341&gt;=2000,4,IF(E341&gt;=800,3,IF(E341&gt;=300,2,1))))</f>
        <v/>
      </c>
      <c r="I341" s="122">
        <f>TEXT(F341,"0")&amp;TEXT(G341,"0")&amp;TEXT(H341,"0")</f>
        <v/>
      </c>
      <c r="J341" s="122">
        <f>IFERROR(XLOOKUP(I341,'Segment Map'!A:A,'Segment Map'!B:B,"Need Attention"),"Need Attention")</f>
        <v/>
      </c>
      <c r="K341" s="122">
        <f>IF(E341&gt;=5000,"🏆 Platinum",IF(E341&gt;=2000,"🥇 Gold",IF(E341&gt;=800,"🥈 Silver","🥉 Bronze")))</f>
        <v/>
      </c>
      <c r="L341" s="125" t="n">
        <v>40748</v>
      </c>
    </row>
    <row r="342">
      <c r="A342" s="126" t="n">
        <v>12764</v>
      </c>
      <c r="B342" s="126" t="inlineStr">
        <is>
          <t>Lebanon</t>
        </is>
      </c>
      <c r="C342" s="126" t="n">
        <v>317</v>
      </c>
      <c r="D342" s="126" t="n">
        <v>1</v>
      </c>
      <c r="E342" s="127" t="n">
        <v>1693.88</v>
      </c>
      <c r="F342" s="128">
        <f>IF(C342&lt;=30,5,IF(C342&lt;=60,4,IF(C342&lt;=120,3,IF(C342&lt;=200,2,1))))</f>
        <v/>
      </c>
      <c r="G342" s="128">
        <f>IF(D342&gt;=20,5,IF(D342&gt;=10,4,IF(D342&gt;=5,3,IF(D342&gt;=2,2,1))))</f>
        <v/>
      </c>
      <c r="H342" s="128">
        <f>IF(E342&gt;=5000,5,IF(E342&gt;=2000,4,IF(E342&gt;=800,3,IF(E342&gt;=300,2,1))))</f>
        <v/>
      </c>
      <c r="I342" s="126">
        <f>TEXT(F342,"0")&amp;TEXT(G342,"0")&amp;TEXT(H342,"0")</f>
        <v/>
      </c>
      <c r="J342" s="126">
        <f>IFERROR(XLOOKUP(I342,'Segment Map'!A:A,'Segment Map'!B:B,"Need Attention"),"Need Attention")</f>
        <v/>
      </c>
      <c r="K342" s="126">
        <f>IF(E342&gt;=5000,"🏆 Platinum",IF(E342&gt;=2000,"🥇 Gold",IF(E342&gt;=800,"🥈 Silver","🥉 Bronze")))</f>
        <v/>
      </c>
      <c r="L342" s="129" t="n">
        <v>40570</v>
      </c>
    </row>
    <row r="343">
      <c r="A343" s="122" t="n">
        <v>12766</v>
      </c>
      <c r="B343" s="122" t="inlineStr">
        <is>
          <t>Portugal</t>
        </is>
      </c>
      <c r="C343" s="122" t="n">
        <v>4</v>
      </c>
      <c r="D343" s="122" t="n">
        <v>7</v>
      </c>
      <c r="E343" s="123" t="n">
        <v>6989.63</v>
      </c>
      <c r="F343" s="124">
        <f>IF(C343&lt;=30,5,IF(C343&lt;=60,4,IF(C343&lt;=120,3,IF(C343&lt;=200,2,1))))</f>
        <v/>
      </c>
      <c r="G343" s="124">
        <f>IF(D343&gt;=20,5,IF(D343&gt;=10,4,IF(D343&gt;=5,3,IF(D343&gt;=2,2,1))))</f>
        <v/>
      </c>
      <c r="H343" s="124">
        <f>IF(E343&gt;=5000,5,IF(E343&gt;=2000,4,IF(E343&gt;=800,3,IF(E343&gt;=300,2,1))))</f>
        <v/>
      </c>
      <c r="I343" s="122">
        <f>TEXT(F343,"0")&amp;TEXT(G343,"0")&amp;TEXT(H343,"0")</f>
        <v/>
      </c>
      <c r="J343" s="122">
        <f>IFERROR(XLOOKUP(I343,'Segment Map'!A:A,'Segment Map'!B:B,"Need Attention"),"Need Attention")</f>
        <v/>
      </c>
      <c r="K343" s="122">
        <f>IF(E343&gt;=5000,"🏆 Platinum",IF(E343&gt;=2000,"🥇 Gold",IF(E343&gt;=800,"🥈 Silver","🥉 Bronze")))</f>
        <v/>
      </c>
      <c r="L343" s="125" t="n">
        <v>40883</v>
      </c>
    </row>
    <row r="344">
      <c r="A344" s="126" t="n">
        <v>12769</v>
      </c>
      <c r="B344" s="126" t="inlineStr">
        <is>
          <t>Brazil</t>
        </is>
      </c>
      <c r="C344" s="126" t="n">
        <v>239</v>
      </c>
      <c r="D344" s="126" t="n">
        <v>1</v>
      </c>
      <c r="E344" s="127" t="n">
        <v>1143.6</v>
      </c>
      <c r="F344" s="128">
        <f>IF(C344&lt;=30,5,IF(C344&lt;=60,4,IF(C344&lt;=120,3,IF(C344&lt;=200,2,1))))</f>
        <v/>
      </c>
      <c r="G344" s="128">
        <f>IF(D344&gt;=20,5,IF(D344&gt;=10,4,IF(D344&gt;=5,3,IF(D344&gt;=2,2,1))))</f>
        <v/>
      </c>
      <c r="H344" s="128">
        <f>IF(E344&gt;=5000,5,IF(E344&gt;=2000,4,IF(E344&gt;=800,3,IF(E344&gt;=300,2,1))))</f>
        <v/>
      </c>
      <c r="I344" s="126">
        <f>TEXT(F344,"0")&amp;TEXT(G344,"0")&amp;TEXT(H344,"0")</f>
        <v/>
      </c>
      <c r="J344" s="126">
        <f>IFERROR(XLOOKUP(I344,'Segment Map'!A:A,'Segment Map'!B:B,"Need Attention"),"Need Attention")</f>
        <v/>
      </c>
      <c r="K344" s="126">
        <f>IF(E344&gt;=5000,"🏆 Platinum",IF(E344&gt;=2000,"🥇 Gold",IF(E344&gt;=800,"🥈 Silver","🥉 Bronze")))</f>
        <v/>
      </c>
      <c r="L344" s="129" t="n">
        <v>40648</v>
      </c>
    </row>
    <row r="345">
      <c r="A345" s="122" t="n">
        <v>12770</v>
      </c>
      <c r="B345" s="122" t="inlineStr">
        <is>
          <t>Japan</t>
        </is>
      </c>
      <c r="C345" s="122" t="n">
        <v>211</v>
      </c>
      <c r="D345" s="122" t="n">
        <v>1</v>
      </c>
      <c r="E345" s="123" t="n">
        <v>1351.45</v>
      </c>
      <c r="F345" s="124">
        <f>IF(C345&lt;=30,5,IF(C345&lt;=60,4,IF(C345&lt;=120,3,IF(C345&lt;=200,2,1))))</f>
        <v/>
      </c>
      <c r="G345" s="124">
        <f>IF(D345&gt;=20,5,IF(D345&gt;=10,4,IF(D345&gt;=5,3,IF(D345&gt;=2,2,1))))</f>
        <v/>
      </c>
      <c r="H345" s="124">
        <f>IF(E345&gt;=5000,5,IF(E345&gt;=2000,4,IF(E345&gt;=800,3,IF(E345&gt;=300,2,1))))</f>
        <v/>
      </c>
      <c r="I345" s="122">
        <f>TEXT(F345,"0")&amp;TEXT(G345,"0")&amp;TEXT(H345,"0")</f>
        <v/>
      </c>
      <c r="J345" s="122">
        <f>IFERROR(XLOOKUP(I345,'Segment Map'!A:A,'Segment Map'!B:B,"Need Attention"),"Need Attention")</f>
        <v/>
      </c>
      <c r="K345" s="122">
        <f>IF(E345&gt;=5000,"🏆 Platinum",IF(E345&gt;=2000,"🥇 Gold",IF(E345&gt;=800,"🥈 Silver","🥉 Bronze")))</f>
        <v/>
      </c>
      <c r="L345" s="125" t="n">
        <v>40676</v>
      </c>
    </row>
    <row r="346">
      <c r="A346" s="126" t="n">
        <v>12772</v>
      </c>
      <c r="B346" s="126" t="inlineStr">
        <is>
          <t>Portugal</t>
        </is>
      </c>
      <c r="C346" s="126" t="n">
        <v>60</v>
      </c>
      <c r="D346" s="126" t="n">
        <v>1</v>
      </c>
      <c r="E346" s="127" t="n">
        <v>892.47</v>
      </c>
      <c r="F346" s="128">
        <f>IF(C346&lt;=30,5,IF(C346&lt;=60,4,IF(C346&lt;=120,3,IF(C346&lt;=200,2,1))))</f>
        <v/>
      </c>
      <c r="G346" s="128">
        <f>IF(D346&gt;=20,5,IF(D346&gt;=10,4,IF(D346&gt;=5,3,IF(D346&gt;=2,2,1))))</f>
        <v/>
      </c>
      <c r="H346" s="128">
        <f>IF(E346&gt;=5000,5,IF(E346&gt;=2000,4,IF(E346&gt;=800,3,IF(E346&gt;=300,2,1))))</f>
        <v/>
      </c>
      <c r="I346" s="126">
        <f>TEXT(F346,"0")&amp;TEXT(G346,"0")&amp;TEXT(H346,"0")</f>
        <v/>
      </c>
      <c r="J346" s="126">
        <f>IFERROR(XLOOKUP(I346,'Segment Map'!A:A,'Segment Map'!B:B,"Need Attention"),"Need Attention")</f>
        <v/>
      </c>
      <c r="K346" s="126">
        <f>IF(E346&gt;=5000,"🏆 Platinum",IF(E346&gt;=2000,"🥇 Gold",IF(E346&gt;=800,"🥈 Silver","🥉 Bronze")))</f>
        <v/>
      </c>
      <c r="L346" s="129" t="n">
        <v>40827</v>
      </c>
    </row>
    <row r="347">
      <c r="A347" s="122" t="n">
        <v>12775</v>
      </c>
      <c r="B347" s="122" t="inlineStr">
        <is>
          <t>Netherlands</t>
        </is>
      </c>
      <c r="C347" s="122" t="n">
        <v>18</v>
      </c>
      <c r="D347" s="122" t="n">
        <v>5</v>
      </c>
      <c r="E347" s="123" t="n">
        <v>1386.04</v>
      </c>
      <c r="F347" s="124">
        <f>IF(C347&lt;=30,5,IF(C347&lt;=60,4,IF(C347&lt;=120,3,IF(C347&lt;=200,2,1))))</f>
        <v/>
      </c>
      <c r="G347" s="124">
        <f>IF(D347&gt;=20,5,IF(D347&gt;=10,4,IF(D347&gt;=5,3,IF(D347&gt;=2,2,1))))</f>
        <v/>
      </c>
      <c r="H347" s="124">
        <f>IF(E347&gt;=5000,5,IF(E347&gt;=2000,4,IF(E347&gt;=800,3,IF(E347&gt;=300,2,1))))</f>
        <v/>
      </c>
      <c r="I347" s="122">
        <f>TEXT(F347,"0")&amp;TEXT(G347,"0")&amp;TEXT(H347,"0")</f>
        <v/>
      </c>
      <c r="J347" s="122">
        <f>IFERROR(XLOOKUP(I347,'Segment Map'!A:A,'Segment Map'!B:B,"Need Attention"),"Need Attention")</f>
        <v/>
      </c>
      <c r="K347" s="122">
        <f>IF(E347&gt;=5000,"🏆 Platinum",IF(E347&gt;=2000,"🥇 Gold",IF(E347&gt;=800,"🥈 Silver","🥉 Bronze")))</f>
        <v/>
      </c>
      <c r="L347" s="125" t="n">
        <v>40869</v>
      </c>
    </row>
    <row r="348">
      <c r="A348" s="126" t="n">
        <v>12778</v>
      </c>
      <c r="B348" s="126" t="inlineStr">
        <is>
          <t>Netherlands</t>
        </is>
      </c>
      <c r="C348" s="126" t="n">
        <v>20</v>
      </c>
      <c r="D348" s="126" t="n">
        <v>6</v>
      </c>
      <c r="E348" s="127" t="n">
        <v>822.23</v>
      </c>
      <c r="F348" s="128">
        <f>IF(C348&lt;=30,5,IF(C348&lt;=60,4,IF(C348&lt;=120,3,IF(C348&lt;=200,2,1))))</f>
        <v/>
      </c>
      <c r="G348" s="128">
        <f>IF(D348&gt;=20,5,IF(D348&gt;=10,4,IF(D348&gt;=5,3,IF(D348&gt;=2,2,1))))</f>
        <v/>
      </c>
      <c r="H348" s="128">
        <f>IF(E348&gt;=5000,5,IF(E348&gt;=2000,4,IF(E348&gt;=800,3,IF(E348&gt;=300,2,1))))</f>
        <v/>
      </c>
      <c r="I348" s="126">
        <f>TEXT(F348,"0")&amp;TEXT(G348,"0")&amp;TEXT(H348,"0")</f>
        <v/>
      </c>
      <c r="J348" s="126">
        <f>IFERROR(XLOOKUP(I348,'Segment Map'!A:A,'Segment Map'!B:B,"Need Attention"),"Need Attention")</f>
        <v/>
      </c>
      <c r="K348" s="126">
        <f>IF(E348&gt;=5000,"🏆 Platinum",IF(E348&gt;=2000,"🥇 Gold",IF(E348&gt;=800,"🥈 Silver","🥉 Bronze")))</f>
        <v/>
      </c>
      <c r="L348" s="129" t="n">
        <v>40867</v>
      </c>
    </row>
    <row r="349">
      <c r="A349" s="122" t="n">
        <v>12779</v>
      </c>
      <c r="B349" s="122" t="inlineStr">
        <is>
          <t>Poland</t>
        </is>
      </c>
      <c r="C349" s="122" t="n">
        <v>38</v>
      </c>
      <c r="D349" s="122" t="n">
        <v>8</v>
      </c>
      <c r="E349" s="123" t="n">
        <v>3981.36</v>
      </c>
      <c r="F349" s="124">
        <f>IF(C349&lt;=30,5,IF(C349&lt;=60,4,IF(C349&lt;=120,3,IF(C349&lt;=200,2,1))))</f>
        <v/>
      </c>
      <c r="G349" s="124">
        <f>IF(D349&gt;=20,5,IF(D349&gt;=10,4,IF(D349&gt;=5,3,IF(D349&gt;=2,2,1))))</f>
        <v/>
      </c>
      <c r="H349" s="124">
        <f>IF(E349&gt;=5000,5,IF(E349&gt;=2000,4,IF(E349&gt;=800,3,IF(E349&gt;=300,2,1))))</f>
        <v/>
      </c>
      <c r="I349" s="122">
        <f>TEXT(F349,"0")&amp;TEXT(G349,"0")&amp;TEXT(H349,"0")</f>
        <v/>
      </c>
      <c r="J349" s="122">
        <f>IFERROR(XLOOKUP(I349,'Segment Map'!A:A,'Segment Map'!B:B,"Need Attention"),"Need Attention")</f>
        <v/>
      </c>
      <c r="K349" s="122">
        <f>IF(E349&gt;=5000,"🏆 Platinum",IF(E349&gt;=2000,"🥇 Gold",IF(E349&gt;=800,"🥈 Silver","🥉 Bronze")))</f>
        <v/>
      </c>
      <c r="L349" s="125" t="n">
        <v>40849</v>
      </c>
    </row>
    <row r="350">
      <c r="A350" s="126" t="n">
        <v>12781</v>
      </c>
      <c r="B350" s="126" t="inlineStr">
        <is>
          <t>Czech Republic</t>
        </is>
      </c>
      <c r="C350" s="126" t="n">
        <v>64</v>
      </c>
      <c r="D350" s="126" t="n">
        <v>2</v>
      </c>
      <c r="E350" s="127" t="n">
        <v>826.74</v>
      </c>
      <c r="F350" s="128">
        <f>IF(C350&lt;=30,5,IF(C350&lt;=60,4,IF(C350&lt;=120,3,IF(C350&lt;=200,2,1))))</f>
        <v/>
      </c>
      <c r="G350" s="128">
        <f>IF(D350&gt;=20,5,IF(D350&gt;=10,4,IF(D350&gt;=5,3,IF(D350&gt;=2,2,1))))</f>
        <v/>
      </c>
      <c r="H350" s="128">
        <f>IF(E350&gt;=5000,5,IF(E350&gt;=2000,4,IF(E350&gt;=800,3,IF(E350&gt;=300,2,1))))</f>
        <v/>
      </c>
      <c r="I350" s="126">
        <f>TEXT(F350,"0")&amp;TEXT(G350,"0")&amp;TEXT(H350,"0")</f>
        <v/>
      </c>
      <c r="J350" s="126">
        <f>IFERROR(XLOOKUP(I350,'Segment Map'!A:A,'Segment Map'!B:B,"Need Attention"),"Need Attention")</f>
        <v/>
      </c>
      <c r="K350" s="126">
        <f>IF(E350&gt;=5000,"🏆 Platinum",IF(E350&gt;=2000,"🥇 Gold",IF(E350&gt;=800,"🥈 Silver","🥉 Bronze")))</f>
        <v/>
      </c>
      <c r="L350" s="129" t="n">
        <v>40823</v>
      </c>
    </row>
    <row r="351">
      <c r="A351" s="122" t="n">
        <v>12782</v>
      </c>
      <c r="B351" s="122" t="inlineStr">
        <is>
          <t>Portugal</t>
        </is>
      </c>
      <c r="C351" s="122" t="n">
        <v>5</v>
      </c>
      <c r="D351" s="122" t="n">
        <v>5</v>
      </c>
      <c r="E351" s="123" t="n">
        <v>2330.92</v>
      </c>
      <c r="F351" s="124">
        <f>IF(C351&lt;=30,5,IF(C351&lt;=60,4,IF(C351&lt;=120,3,IF(C351&lt;=200,2,1))))</f>
        <v/>
      </c>
      <c r="G351" s="124">
        <f>IF(D351&gt;=20,5,IF(D351&gt;=10,4,IF(D351&gt;=5,3,IF(D351&gt;=2,2,1))))</f>
        <v/>
      </c>
      <c r="H351" s="124">
        <f>IF(E351&gt;=5000,5,IF(E351&gt;=2000,4,IF(E351&gt;=800,3,IF(E351&gt;=300,2,1))))</f>
        <v/>
      </c>
      <c r="I351" s="122">
        <f>TEXT(F351,"0")&amp;TEXT(G351,"0")&amp;TEXT(H351,"0")</f>
        <v/>
      </c>
      <c r="J351" s="122">
        <f>IFERROR(XLOOKUP(I351,'Segment Map'!A:A,'Segment Map'!B:B,"Need Attention"),"Need Attention")</f>
        <v/>
      </c>
      <c r="K351" s="122">
        <f>IF(E351&gt;=5000,"🏆 Platinum",IF(E351&gt;=2000,"🥇 Gold",IF(E351&gt;=800,"🥈 Silver","🥉 Bronze")))</f>
        <v/>
      </c>
      <c r="L351" s="125" t="n">
        <v>40882</v>
      </c>
    </row>
    <row r="352">
      <c r="A352" s="126" t="n">
        <v>12783</v>
      </c>
      <c r="B352" s="126" t="inlineStr">
        <is>
          <t>Portugal</t>
        </is>
      </c>
      <c r="C352" s="126" t="n">
        <v>3</v>
      </c>
      <c r="D352" s="126" t="n">
        <v>6</v>
      </c>
      <c r="E352" s="127" t="n">
        <v>2225.91</v>
      </c>
      <c r="F352" s="128">
        <f>IF(C352&lt;=30,5,IF(C352&lt;=60,4,IF(C352&lt;=120,3,IF(C352&lt;=200,2,1))))</f>
        <v/>
      </c>
      <c r="G352" s="128">
        <f>IF(D352&gt;=20,5,IF(D352&gt;=10,4,IF(D352&gt;=5,3,IF(D352&gt;=2,2,1))))</f>
        <v/>
      </c>
      <c r="H352" s="128">
        <f>IF(E352&gt;=5000,5,IF(E352&gt;=2000,4,IF(E352&gt;=800,3,IF(E352&gt;=300,2,1))))</f>
        <v/>
      </c>
      <c r="I352" s="126">
        <f>TEXT(F352,"0")&amp;TEXT(G352,"0")&amp;TEXT(H352,"0")</f>
        <v/>
      </c>
      <c r="J352" s="126">
        <f>IFERROR(XLOOKUP(I352,'Segment Map'!A:A,'Segment Map'!B:B,"Need Attention"),"Need Attention")</f>
        <v/>
      </c>
      <c r="K352" s="126">
        <f>IF(E352&gt;=5000,"🏆 Platinum",IF(E352&gt;=2000,"🥇 Gold",IF(E352&gt;=800,"🥈 Silver","🥉 Bronze")))</f>
        <v/>
      </c>
      <c r="L352" s="129" t="n">
        <v>40884</v>
      </c>
    </row>
    <row r="353">
      <c r="A353" s="122" t="n">
        <v>12784</v>
      </c>
      <c r="B353" s="122" t="inlineStr">
        <is>
          <t>Portugal</t>
        </is>
      </c>
      <c r="C353" s="122" t="n">
        <v>10</v>
      </c>
      <c r="D353" s="122" t="n">
        <v>2</v>
      </c>
      <c r="E353" s="123" t="n">
        <v>574.42</v>
      </c>
      <c r="F353" s="124">
        <f>IF(C353&lt;=30,5,IF(C353&lt;=60,4,IF(C353&lt;=120,3,IF(C353&lt;=200,2,1))))</f>
        <v/>
      </c>
      <c r="G353" s="124">
        <f>IF(D353&gt;=20,5,IF(D353&gt;=10,4,IF(D353&gt;=5,3,IF(D353&gt;=2,2,1))))</f>
        <v/>
      </c>
      <c r="H353" s="124">
        <f>IF(E353&gt;=5000,5,IF(E353&gt;=2000,4,IF(E353&gt;=800,3,IF(E353&gt;=300,2,1))))</f>
        <v/>
      </c>
      <c r="I353" s="122">
        <f>TEXT(F353,"0")&amp;TEXT(G353,"0")&amp;TEXT(H353,"0")</f>
        <v/>
      </c>
      <c r="J353" s="122">
        <f>IFERROR(XLOOKUP(I353,'Segment Map'!A:A,'Segment Map'!B:B,"Need Attention"),"Need Attention")</f>
        <v/>
      </c>
      <c r="K353" s="122">
        <f>IF(E353&gt;=5000,"🏆 Platinum",IF(E353&gt;=2000,"🥇 Gold",IF(E353&gt;=800,"🥈 Silver","🥉 Bronze")))</f>
        <v/>
      </c>
      <c r="L353" s="125" t="n">
        <v>40877</v>
      </c>
    </row>
    <row r="354">
      <c r="A354" s="126" t="n">
        <v>12785</v>
      </c>
      <c r="B354" s="126" t="inlineStr">
        <is>
          <t>Portugal</t>
        </is>
      </c>
      <c r="C354" s="126" t="n">
        <v>365</v>
      </c>
      <c r="D354" s="126" t="n">
        <v>1</v>
      </c>
      <c r="E354" s="127" t="n">
        <v>311.95</v>
      </c>
      <c r="F354" s="128">
        <f>IF(C354&lt;=30,5,IF(C354&lt;=60,4,IF(C354&lt;=120,3,IF(C354&lt;=200,2,1))))</f>
        <v/>
      </c>
      <c r="G354" s="128">
        <f>IF(D354&gt;=20,5,IF(D354&gt;=10,4,IF(D354&gt;=5,3,IF(D354&gt;=2,2,1))))</f>
        <v/>
      </c>
      <c r="H354" s="128">
        <f>IF(E354&gt;=5000,5,IF(E354&gt;=2000,4,IF(E354&gt;=800,3,IF(E354&gt;=300,2,1))))</f>
        <v/>
      </c>
      <c r="I354" s="126">
        <f>TEXT(F354,"0")&amp;TEXT(G354,"0")&amp;TEXT(H354,"0")</f>
        <v/>
      </c>
      <c r="J354" s="126">
        <f>IFERROR(XLOOKUP(I354,'Segment Map'!A:A,'Segment Map'!B:B,"Need Attention"),"Need Attention")</f>
        <v/>
      </c>
      <c r="K354" s="126">
        <f>IF(E354&gt;=5000,"🏆 Platinum",IF(E354&gt;=2000,"🥇 Gold",IF(E354&gt;=800,"🥈 Silver","🥉 Bronze")))</f>
        <v/>
      </c>
      <c r="L354" s="129" t="n">
        <v>40522</v>
      </c>
    </row>
    <row r="355">
      <c r="A355" s="122" t="n">
        <v>12787</v>
      </c>
      <c r="B355" s="122" t="inlineStr">
        <is>
          <t>Netherlands</t>
        </is>
      </c>
      <c r="C355" s="122" t="n">
        <v>10</v>
      </c>
      <c r="D355" s="122" t="n">
        <v>3</v>
      </c>
      <c r="E355" s="123" t="n">
        <v>463.66</v>
      </c>
      <c r="F355" s="124">
        <f>IF(C355&lt;=30,5,IF(C355&lt;=60,4,IF(C355&lt;=120,3,IF(C355&lt;=200,2,1))))</f>
        <v/>
      </c>
      <c r="G355" s="124">
        <f>IF(D355&gt;=20,5,IF(D355&gt;=10,4,IF(D355&gt;=5,3,IF(D355&gt;=2,2,1))))</f>
        <v/>
      </c>
      <c r="H355" s="124">
        <f>IF(E355&gt;=5000,5,IF(E355&gt;=2000,4,IF(E355&gt;=800,3,IF(E355&gt;=300,2,1))))</f>
        <v/>
      </c>
      <c r="I355" s="122">
        <f>TEXT(F355,"0")&amp;TEXT(G355,"0")&amp;TEXT(H355,"0")</f>
        <v/>
      </c>
      <c r="J355" s="122">
        <f>IFERROR(XLOOKUP(I355,'Segment Map'!A:A,'Segment Map'!B:B,"Need Attention"),"Need Attention")</f>
        <v/>
      </c>
      <c r="K355" s="122">
        <f>IF(E355&gt;=5000,"🏆 Platinum",IF(E355&gt;=2000,"🥇 Gold",IF(E355&gt;=800,"🥈 Silver","🥉 Bronze")))</f>
        <v/>
      </c>
      <c r="L355" s="125" t="n">
        <v>40877</v>
      </c>
    </row>
    <row r="356">
      <c r="A356" s="126" t="n">
        <v>12789</v>
      </c>
      <c r="B356" s="126" t="inlineStr">
        <is>
          <t>Netherlands</t>
        </is>
      </c>
      <c r="C356" s="126" t="n">
        <v>66</v>
      </c>
      <c r="D356" s="126" t="n">
        <v>1</v>
      </c>
      <c r="E356" s="127" t="n">
        <v>91.84999999999999</v>
      </c>
      <c r="F356" s="128">
        <f>IF(C356&lt;=30,5,IF(C356&lt;=60,4,IF(C356&lt;=120,3,IF(C356&lt;=200,2,1))))</f>
        <v/>
      </c>
      <c r="G356" s="128">
        <f>IF(D356&gt;=20,5,IF(D356&gt;=10,4,IF(D356&gt;=5,3,IF(D356&gt;=2,2,1))))</f>
        <v/>
      </c>
      <c r="H356" s="128">
        <f>IF(E356&gt;=5000,5,IF(E356&gt;=2000,4,IF(E356&gt;=800,3,IF(E356&gt;=300,2,1))))</f>
        <v/>
      </c>
      <c r="I356" s="126">
        <f>TEXT(F356,"0")&amp;TEXT(G356,"0")&amp;TEXT(H356,"0")</f>
        <v/>
      </c>
      <c r="J356" s="126">
        <f>IFERROR(XLOOKUP(I356,'Segment Map'!A:A,'Segment Map'!B:B,"Need Attention"),"Need Attention")</f>
        <v/>
      </c>
      <c r="K356" s="126">
        <f>IF(E356&gt;=5000,"🏆 Platinum",IF(E356&gt;=2000,"🥇 Gold",IF(E356&gt;=800,"🥈 Silver","🥉 Bronze")))</f>
        <v/>
      </c>
      <c r="L356" s="129" t="n">
        <v>40821</v>
      </c>
    </row>
    <row r="357">
      <c r="A357" s="122" t="n">
        <v>12790</v>
      </c>
      <c r="B357" s="122" t="inlineStr">
        <is>
          <t>Netherlands</t>
        </is>
      </c>
      <c r="C357" s="122" t="n">
        <v>193</v>
      </c>
      <c r="D357" s="122" t="n">
        <v>1</v>
      </c>
      <c r="E357" s="123" t="n">
        <v>324.92</v>
      </c>
      <c r="F357" s="124">
        <f>IF(C357&lt;=30,5,IF(C357&lt;=60,4,IF(C357&lt;=120,3,IF(C357&lt;=200,2,1))))</f>
        <v/>
      </c>
      <c r="G357" s="124">
        <f>IF(D357&gt;=20,5,IF(D357&gt;=10,4,IF(D357&gt;=5,3,IF(D357&gt;=2,2,1))))</f>
        <v/>
      </c>
      <c r="H357" s="124">
        <f>IF(E357&gt;=5000,5,IF(E357&gt;=2000,4,IF(E357&gt;=800,3,IF(E357&gt;=300,2,1))))</f>
        <v/>
      </c>
      <c r="I357" s="122">
        <f>TEXT(F357,"0")&amp;TEXT(G357,"0")&amp;TEXT(H357,"0")</f>
        <v/>
      </c>
      <c r="J357" s="122">
        <f>IFERROR(XLOOKUP(I357,'Segment Map'!A:A,'Segment Map'!B:B,"Need Attention"),"Need Attention")</f>
        <v/>
      </c>
      <c r="K357" s="122">
        <f>IF(E357&gt;=5000,"🏆 Platinum",IF(E357&gt;=2000,"🥇 Gold",IF(E357&gt;=800,"🥈 Silver","🥉 Bronze")))</f>
        <v/>
      </c>
      <c r="L357" s="125" t="n">
        <v>40694</v>
      </c>
    </row>
    <row r="358">
      <c r="A358" s="126" t="n">
        <v>12791</v>
      </c>
      <c r="B358" s="126" t="inlineStr">
        <is>
          <t>Netherlands</t>
        </is>
      </c>
      <c r="C358" s="126" t="n">
        <v>374</v>
      </c>
      <c r="D358" s="126" t="n">
        <v>1</v>
      </c>
      <c r="E358" s="127" t="n">
        <v>192.6</v>
      </c>
      <c r="F358" s="128">
        <f>IF(C358&lt;=30,5,IF(C358&lt;=60,4,IF(C358&lt;=120,3,IF(C358&lt;=200,2,1))))</f>
        <v/>
      </c>
      <c r="G358" s="128">
        <f>IF(D358&gt;=20,5,IF(D358&gt;=10,4,IF(D358&gt;=5,3,IF(D358&gt;=2,2,1))))</f>
        <v/>
      </c>
      <c r="H358" s="128">
        <f>IF(E358&gt;=5000,5,IF(E358&gt;=2000,4,IF(E358&gt;=800,3,IF(E358&gt;=300,2,1))))</f>
        <v/>
      </c>
      <c r="I358" s="126">
        <f>TEXT(F358,"0")&amp;TEXT(G358,"0")&amp;TEXT(H358,"0")</f>
        <v/>
      </c>
      <c r="J358" s="126">
        <f>IFERROR(XLOOKUP(I358,'Segment Map'!A:A,'Segment Map'!B:B,"Need Attention"),"Need Attention")</f>
        <v/>
      </c>
      <c r="K358" s="126">
        <f>IF(E358&gt;=5000,"🏆 Platinum",IF(E358&gt;=2000,"🥇 Gold",IF(E358&gt;=800,"🥈 Silver","🥉 Bronze")))</f>
        <v/>
      </c>
      <c r="L358" s="129" t="n">
        <v>40513</v>
      </c>
    </row>
    <row r="359">
      <c r="A359" s="122" t="n">
        <v>12792</v>
      </c>
      <c r="B359" s="122" t="inlineStr">
        <is>
          <t>Portugal</t>
        </is>
      </c>
      <c r="C359" s="122" t="n">
        <v>257</v>
      </c>
      <c r="D359" s="122" t="n">
        <v>1</v>
      </c>
      <c r="E359" s="123" t="n">
        <v>400.54</v>
      </c>
      <c r="F359" s="124">
        <f>IF(C359&lt;=30,5,IF(C359&lt;=60,4,IF(C359&lt;=120,3,IF(C359&lt;=200,2,1))))</f>
        <v/>
      </c>
      <c r="G359" s="124">
        <f>IF(D359&gt;=20,5,IF(D359&gt;=10,4,IF(D359&gt;=5,3,IF(D359&gt;=2,2,1))))</f>
        <v/>
      </c>
      <c r="H359" s="124">
        <f>IF(E359&gt;=5000,5,IF(E359&gt;=2000,4,IF(E359&gt;=800,3,IF(E359&gt;=300,2,1))))</f>
        <v/>
      </c>
      <c r="I359" s="122">
        <f>TEXT(F359,"0")&amp;TEXT(G359,"0")&amp;TEXT(H359,"0")</f>
        <v/>
      </c>
      <c r="J359" s="122">
        <f>IFERROR(XLOOKUP(I359,'Segment Map'!A:A,'Segment Map'!B:B,"Need Attention"),"Need Attention")</f>
        <v/>
      </c>
      <c r="K359" s="122">
        <f>IF(E359&gt;=5000,"🏆 Platinum",IF(E359&gt;=2000,"🥇 Gold",IF(E359&gt;=800,"🥈 Silver","🥉 Bronze")))</f>
        <v/>
      </c>
      <c r="L359" s="125" t="n">
        <v>40630</v>
      </c>
    </row>
    <row r="360">
      <c r="A360" s="126" t="n">
        <v>12793</v>
      </c>
      <c r="B360" s="126" t="inlineStr">
        <is>
          <t>Portugal</t>
        </is>
      </c>
      <c r="C360" s="126" t="n">
        <v>335</v>
      </c>
      <c r="D360" s="126" t="n">
        <v>2</v>
      </c>
      <c r="E360" s="127" t="n">
        <v>545.48</v>
      </c>
      <c r="F360" s="128">
        <f>IF(C360&lt;=30,5,IF(C360&lt;=60,4,IF(C360&lt;=120,3,IF(C360&lt;=200,2,1))))</f>
        <v/>
      </c>
      <c r="G360" s="128">
        <f>IF(D360&gt;=20,5,IF(D360&gt;=10,4,IF(D360&gt;=5,3,IF(D360&gt;=2,2,1))))</f>
        <v/>
      </c>
      <c r="H360" s="128">
        <f>IF(E360&gt;=5000,5,IF(E360&gt;=2000,4,IF(E360&gt;=800,3,IF(E360&gt;=300,2,1))))</f>
        <v/>
      </c>
      <c r="I360" s="126">
        <f>TEXT(F360,"0")&amp;TEXT(G360,"0")&amp;TEXT(H360,"0")</f>
        <v/>
      </c>
      <c r="J360" s="126">
        <f>IFERROR(XLOOKUP(I360,'Segment Map'!A:A,'Segment Map'!B:B,"Need Attention"),"Need Attention")</f>
        <v/>
      </c>
      <c r="K360" s="126">
        <f>IF(E360&gt;=5000,"🏆 Platinum",IF(E360&gt;=2000,"🥇 Gold",IF(E360&gt;=800,"🥈 Silver","🥉 Bronze")))</f>
        <v/>
      </c>
      <c r="L360" s="129" t="n">
        <v>40552</v>
      </c>
    </row>
    <row r="361">
      <c r="A361" s="122" t="n">
        <v>12794</v>
      </c>
      <c r="B361" s="122" t="inlineStr">
        <is>
          <t>Portugal</t>
        </is>
      </c>
      <c r="C361" s="122" t="n">
        <v>54</v>
      </c>
      <c r="D361" s="122" t="n">
        <v>2</v>
      </c>
      <c r="E361" s="123" t="n">
        <v>860.41</v>
      </c>
      <c r="F361" s="124">
        <f>IF(C361&lt;=30,5,IF(C361&lt;=60,4,IF(C361&lt;=120,3,IF(C361&lt;=200,2,1))))</f>
        <v/>
      </c>
      <c r="G361" s="124">
        <f>IF(D361&gt;=20,5,IF(D361&gt;=10,4,IF(D361&gt;=5,3,IF(D361&gt;=2,2,1))))</f>
        <v/>
      </c>
      <c r="H361" s="124">
        <f>IF(E361&gt;=5000,5,IF(E361&gt;=2000,4,IF(E361&gt;=800,3,IF(E361&gt;=300,2,1))))</f>
        <v/>
      </c>
      <c r="I361" s="122">
        <f>TEXT(F361,"0")&amp;TEXT(G361,"0")&amp;TEXT(H361,"0")</f>
        <v/>
      </c>
      <c r="J361" s="122">
        <f>IFERROR(XLOOKUP(I361,'Segment Map'!A:A,'Segment Map'!B:B,"Need Attention"),"Need Attention")</f>
        <v/>
      </c>
      <c r="K361" s="122">
        <f>IF(E361&gt;=5000,"🏆 Platinum",IF(E361&gt;=2000,"🥇 Gold",IF(E361&gt;=800,"🥈 Silver","🥉 Bronze")))</f>
        <v/>
      </c>
      <c r="L361" s="125" t="n">
        <v>40833</v>
      </c>
    </row>
    <row r="362">
      <c r="A362" s="126" t="n">
        <v>12795</v>
      </c>
      <c r="B362" s="126" t="inlineStr">
        <is>
          <t>Portugal</t>
        </is>
      </c>
      <c r="C362" s="126" t="n">
        <v>19</v>
      </c>
      <c r="D362" s="126" t="n">
        <v>1</v>
      </c>
      <c r="E362" s="127" t="n">
        <v>430.48</v>
      </c>
      <c r="F362" s="128">
        <f>IF(C362&lt;=30,5,IF(C362&lt;=60,4,IF(C362&lt;=120,3,IF(C362&lt;=200,2,1))))</f>
        <v/>
      </c>
      <c r="G362" s="128">
        <f>IF(D362&gt;=20,5,IF(D362&gt;=10,4,IF(D362&gt;=5,3,IF(D362&gt;=2,2,1))))</f>
        <v/>
      </c>
      <c r="H362" s="128">
        <f>IF(E362&gt;=5000,5,IF(E362&gt;=2000,4,IF(E362&gt;=800,3,IF(E362&gt;=300,2,1))))</f>
        <v/>
      </c>
      <c r="I362" s="126">
        <f>TEXT(F362,"0")&amp;TEXT(G362,"0")&amp;TEXT(H362,"0")</f>
        <v/>
      </c>
      <c r="J362" s="126">
        <f>IFERROR(XLOOKUP(I362,'Segment Map'!A:A,'Segment Map'!B:B,"Need Attention"),"Need Attention")</f>
        <v/>
      </c>
      <c r="K362" s="126">
        <f>IF(E362&gt;=5000,"🏆 Platinum",IF(E362&gt;=2000,"🥇 Gold",IF(E362&gt;=800,"🥈 Silver","🥉 Bronze")))</f>
        <v/>
      </c>
      <c r="L362" s="129" t="n">
        <v>40868</v>
      </c>
    </row>
    <row r="363">
      <c r="A363" s="122" t="n">
        <v>12797</v>
      </c>
      <c r="B363" s="122" t="inlineStr">
        <is>
          <t>Portugal</t>
        </is>
      </c>
      <c r="C363" s="122" t="n">
        <v>366</v>
      </c>
      <c r="D363" s="122" t="n">
        <v>1</v>
      </c>
      <c r="E363" s="123" t="n">
        <v>254.03</v>
      </c>
      <c r="F363" s="124">
        <f>IF(C363&lt;=30,5,IF(C363&lt;=60,4,IF(C363&lt;=120,3,IF(C363&lt;=200,2,1))))</f>
        <v/>
      </c>
      <c r="G363" s="124">
        <f>IF(D363&gt;=20,5,IF(D363&gt;=10,4,IF(D363&gt;=5,3,IF(D363&gt;=2,2,1))))</f>
        <v/>
      </c>
      <c r="H363" s="124">
        <f>IF(E363&gt;=5000,5,IF(E363&gt;=2000,4,IF(E363&gt;=800,3,IF(E363&gt;=300,2,1))))</f>
        <v/>
      </c>
      <c r="I363" s="122">
        <f>TEXT(F363,"0")&amp;TEXT(G363,"0")&amp;TEXT(H363,"0")</f>
        <v/>
      </c>
      <c r="J363" s="122">
        <f>IFERROR(XLOOKUP(I363,'Segment Map'!A:A,'Segment Map'!B:B,"Need Attention"),"Need Attention")</f>
        <v/>
      </c>
      <c r="K363" s="122">
        <f>IF(E363&gt;=5000,"🏆 Platinum",IF(E363&gt;=2000,"🥇 Gold",IF(E363&gt;=800,"🥈 Silver","🥉 Bronze")))</f>
        <v/>
      </c>
      <c r="L363" s="125" t="n">
        <v>40521</v>
      </c>
    </row>
    <row r="364">
      <c r="A364" s="126" t="n">
        <v>12798</v>
      </c>
      <c r="B364" s="126" t="inlineStr">
        <is>
          <t>Japan</t>
        </is>
      </c>
      <c r="C364" s="126" t="n">
        <v>11</v>
      </c>
      <c r="D364" s="126" t="n">
        <v>3</v>
      </c>
      <c r="E364" s="127" t="n">
        <v>6977.04</v>
      </c>
      <c r="F364" s="128">
        <f>IF(C364&lt;=30,5,IF(C364&lt;=60,4,IF(C364&lt;=120,3,IF(C364&lt;=200,2,1))))</f>
        <v/>
      </c>
      <c r="G364" s="128">
        <f>IF(D364&gt;=20,5,IF(D364&gt;=10,4,IF(D364&gt;=5,3,IF(D364&gt;=2,2,1))))</f>
        <v/>
      </c>
      <c r="H364" s="128">
        <f>IF(E364&gt;=5000,5,IF(E364&gt;=2000,4,IF(E364&gt;=800,3,IF(E364&gt;=300,2,1))))</f>
        <v/>
      </c>
      <c r="I364" s="126">
        <f>TEXT(F364,"0")&amp;TEXT(G364,"0")&amp;TEXT(H364,"0")</f>
        <v/>
      </c>
      <c r="J364" s="126">
        <f>IFERROR(XLOOKUP(I364,'Segment Map'!A:A,'Segment Map'!B:B,"Need Attention"),"Need Attention")</f>
        <v/>
      </c>
      <c r="K364" s="126">
        <f>IF(E364&gt;=5000,"🏆 Platinum",IF(E364&gt;=2000,"🥇 Gold",IF(E364&gt;=800,"🥈 Silver","🥉 Bronze")))</f>
        <v/>
      </c>
      <c r="L364" s="129" t="n">
        <v>40876</v>
      </c>
    </row>
    <row r="365">
      <c r="A365" s="122" t="n">
        <v>12802</v>
      </c>
      <c r="B365" s="122" t="inlineStr">
        <is>
          <t>Netherlands</t>
        </is>
      </c>
      <c r="C365" s="122" t="n">
        <v>187</v>
      </c>
      <c r="D365" s="122" t="n">
        <v>1</v>
      </c>
      <c r="E365" s="123" t="n">
        <v>427.58</v>
      </c>
      <c r="F365" s="124">
        <f>IF(C365&lt;=30,5,IF(C365&lt;=60,4,IF(C365&lt;=120,3,IF(C365&lt;=200,2,1))))</f>
        <v/>
      </c>
      <c r="G365" s="124">
        <f>IF(D365&gt;=20,5,IF(D365&gt;=10,4,IF(D365&gt;=5,3,IF(D365&gt;=2,2,1))))</f>
        <v/>
      </c>
      <c r="H365" s="124">
        <f>IF(E365&gt;=5000,5,IF(E365&gt;=2000,4,IF(E365&gt;=800,3,IF(E365&gt;=300,2,1))))</f>
        <v/>
      </c>
      <c r="I365" s="122">
        <f>TEXT(F365,"0")&amp;TEXT(G365,"0")&amp;TEXT(H365,"0")</f>
        <v/>
      </c>
      <c r="J365" s="122">
        <f>IFERROR(XLOOKUP(I365,'Segment Map'!A:A,'Segment Map'!B:B,"Need Attention"),"Need Attention")</f>
        <v/>
      </c>
      <c r="K365" s="122">
        <f>IF(E365&gt;=5000,"🏆 Platinum",IF(E365&gt;=2000,"🥇 Gold",IF(E365&gt;=800,"🥈 Silver","🥉 Bronze")))</f>
        <v/>
      </c>
      <c r="L365" s="125" t="n">
        <v>40700</v>
      </c>
    </row>
    <row r="366">
      <c r="A366" s="126" t="n">
        <v>12808</v>
      </c>
      <c r="B366" s="126" t="inlineStr">
        <is>
          <t>Portugal</t>
        </is>
      </c>
      <c r="C366" s="126" t="n">
        <v>37</v>
      </c>
      <c r="D366" s="126" t="n">
        <v>3</v>
      </c>
      <c r="E366" s="127" t="n">
        <v>483.65</v>
      </c>
      <c r="F366" s="128">
        <f>IF(C366&lt;=30,5,IF(C366&lt;=60,4,IF(C366&lt;=120,3,IF(C366&lt;=200,2,1))))</f>
        <v/>
      </c>
      <c r="G366" s="128">
        <f>IF(D366&gt;=20,5,IF(D366&gt;=10,4,IF(D366&gt;=5,3,IF(D366&gt;=2,2,1))))</f>
        <v/>
      </c>
      <c r="H366" s="128">
        <f>IF(E366&gt;=5000,5,IF(E366&gt;=2000,4,IF(E366&gt;=800,3,IF(E366&gt;=300,2,1))))</f>
        <v/>
      </c>
      <c r="I366" s="126">
        <f>TEXT(F366,"0")&amp;TEXT(G366,"0")&amp;TEXT(H366,"0")</f>
        <v/>
      </c>
      <c r="J366" s="126">
        <f>IFERROR(XLOOKUP(I366,'Segment Map'!A:A,'Segment Map'!B:B,"Need Attention"),"Need Attention")</f>
        <v/>
      </c>
      <c r="K366" s="126">
        <f>IF(E366&gt;=5000,"🏆 Platinum",IF(E366&gt;=2000,"🥇 Gold",IF(E366&gt;=800,"🥈 Silver","🥉 Bronze")))</f>
        <v/>
      </c>
      <c r="L366" s="129" t="n">
        <v>40850</v>
      </c>
    </row>
    <row r="367">
      <c r="A367" s="122" t="n">
        <v>12809</v>
      </c>
      <c r="B367" s="122" t="inlineStr">
        <is>
          <t>Portugal</t>
        </is>
      </c>
      <c r="C367" s="122" t="n">
        <v>178</v>
      </c>
      <c r="D367" s="122" t="n">
        <v>1</v>
      </c>
      <c r="E367" s="123" t="n">
        <v>489.31</v>
      </c>
      <c r="F367" s="124">
        <f>IF(C367&lt;=30,5,IF(C367&lt;=60,4,IF(C367&lt;=120,3,IF(C367&lt;=200,2,1))))</f>
        <v/>
      </c>
      <c r="G367" s="124">
        <f>IF(D367&gt;=20,5,IF(D367&gt;=10,4,IF(D367&gt;=5,3,IF(D367&gt;=2,2,1))))</f>
        <v/>
      </c>
      <c r="H367" s="124">
        <f>IF(E367&gt;=5000,5,IF(E367&gt;=2000,4,IF(E367&gt;=800,3,IF(E367&gt;=300,2,1))))</f>
        <v/>
      </c>
      <c r="I367" s="122">
        <f>TEXT(F367,"0")&amp;TEXT(G367,"0")&amp;TEXT(H367,"0")</f>
        <v/>
      </c>
      <c r="J367" s="122">
        <f>IFERROR(XLOOKUP(I367,'Segment Map'!A:A,'Segment Map'!B:B,"Need Attention"),"Need Attention")</f>
        <v/>
      </c>
      <c r="K367" s="122">
        <f>IF(E367&gt;=5000,"🏆 Platinum",IF(E367&gt;=2000,"🥇 Gold",IF(E367&gt;=800,"🥈 Silver","🥉 Bronze")))</f>
        <v/>
      </c>
      <c r="L367" s="125" t="n">
        <v>40709</v>
      </c>
    </row>
    <row r="368">
      <c r="A368" s="126" t="n">
        <v>12811</v>
      </c>
      <c r="B368" s="126" t="inlineStr">
        <is>
          <t>Portugal</t>
        </is>
      </c>
      <c r="C368" s="126" t="n">
        <v>261</v>
      </c>
      <c r="D368" s="126" t="n">
        <v>3</v>
      </c>
      <c r="E368" s="127" t="n">
        <v>514.85</v>
      </c>
      <c r="F368" s="128">
        <f>IF(C368&lt;=30,5,IF(C368&lt;=60,4,IF(C368&lt;=120,3,IF(C368&lt;=200,2,1))))</f>
        <v/>
      </c>
      <c r="G368" s="128">
        <f>IF(D368&gt;=20,5,IF(D368&gt;=10,4,IF(D368&gt;=5,3,IF(D368&gt;=2,2,1))))</f>
        <v/>
      </c>
      <c r="H368" s="128">
        <f>IF(E368&gt;=5000,5,IF(E368&gt;=2000,4,IF(E368&gt;=800,3,IF(E368&gt;=300,2,1))))</f>
        <v/>
      </c>
      <c r="I368" s="126">
        <f>TEXT(F368,"0")&amp;TEXT(G368,"0")&amp;TEXT(H368,"0")</f>
        <v/>
      </c>
      <c r="J368" s="126">
        <f>IFERROR(XLOOKUP(I368,'Segment Map'!A:A,'Segment Map'!B:B,"Need Attention"),"Need Attention")</f>
        <v/>
      </c>
      <c r="K368" s="126">
        <f>IF(E368&gt;=5000,"🏆 Platinum",IF(E368&gt;=2000,"🥇 Gold",IF(E368&gt;=800,"🥈 Silver","🥉 Bronze")))</f>
        <v/>
      </c>
      <c r="L368" s="129" t="n">
        <v>40626</v>
      </c>
    </row>
    <row r="369">
      <c r="A369" s="122" t="n">
        <v>12812</v>
      </c>
      <c r="B369" s="122" t="inlineStr">
        <is>
          <t>Japan</t>
        </is>
      </c>
      <c r="C369" s="122" t="n">
        <v>45</v>
      </c>
      <c r="D369" s="122" t="n">
        <v>1</v>
      </c>
      <c r="E369" s="123" t="n">
        <v>229.64</v>
      </c>
      <c r="F369" s="124">
        <f>IF(C369&lt;=30,5,IF(C369&lt;=60,4,IF(C369&lt;=120,3,IF(C369&lt;=200,2,1))))</f>
        <v/>
      </c>
      <c r="G369" s="124">
        <f>IF(D369&gt;=20,5,IF(D369&gt;=10,4,IF(D369&gt;=5,3,IF(D369&gt;=2,2,1))))</f>
        <v/>
      </c>
      <c r="H369" s="124">
        <f>IF(E369&gt;=5000,5,IF(E369&gt;=2000,4,IF(E369&gt;=800,3,IF(E369&gt;=300,2,1))))</f>
        <v/>
      </c>
      <c r="I369" s="122">
        <f>TEXT(F369,"0")&amp;TEXT(G369,"0")&amp;TEXT(H369,"0")</f>
        <v/>
      </c>
      <c r="J369" s="122">
        <f>IFERROR(XLOOKUP(I369,'Segment Map'!A:A,'Segment Map'!B:B,"Need Attention"),"Need Attention")</f>
        <v/>
      </c>
      <c r="K369" s="122">
        <f>IF(E369&gt;=5000,"🏆 Platinum",IF(E369&gt;=2000,"🥇 Gold",IF(E369&gt;=800,"🥈 Silver","🥉 Bronze")))</f>
        <v/>
      </c>
      <c r="L369" s="125" t="n">
        <v>40842</v>
      </c>
    </row>
    <row r="370">
      <c r="A370" s="126" t="n">
        <v>12814</v>
      </c>
      <c r="B370" s="126" t="inlineStr">
        <is>
          <t>Poland</t>
        </is>
      </c>
      <c r="C370" s="126" t="n">
        <v>102</v>
      </c>
      <c r="D370" s="126" t="n">
        <v>1</v>
      </c>
      <c r="E370" s="127" t="n">
        <v>125.92</v>
      </c>
      <c r="F370" s="128">
        <f>IF(C370&lt;=30,5,IF(C370&lt;=60,4,IF(C370&lt;=120,3,IF(C370&lt;=200,2,1))))</f>
        <v/>
      </c>
      <c r="G370" s="128">
        <f>IF(D370&gt;=20,5,IF(D370&gt;=10,4,IF(D370&gt;=5,3,IF(D370&gt;=2,2,1))))</f>
        <v/>
      </c>
      <c r="H370" s="128">
        <f>IF(E370&gt;=5000,5,IF(E370&gt;=2000,4,IF(E370&gt;=800,3,IF(E370&gt;=300,2,1))))</f>
        <v/>
      </c>
      <c r="I370" s="126">
        <f>TEXT(F370,"0")&amp;TEXT(G370,"0")&amp;TEXT(H370,"0")</f>
        <v/>
      </c>
      <c r="J370" s="126">
        <f>IFERROR(XLOOKUP(I370,'Segment Map'!A:A,'Segment Map'!B:B,"Need Attention"),"Need Attention")</f>
        <v/>
      </c>
      <c r="K370" s="126">
        <f>IF(E370&gt;=5000,"🏆 Platinum",IF(E370&gt;=2000,"🥇 Gold",IF(E370&gt;=800,"🥈 Silver","🥉 Bronze")))</f>
        <v/>
      </c>
      <c r="L370" s="129" t="n">
        <v>40785</v>
      </c>
    </row>
    <row r="371">
      <c r="A371" s="122" t="n">
        <v>12815</v>
      </c>
      <c r="B371" s="122" t="inlineStr">
        <is>
          <t>Poland</t>
        </is>
      </c>
      <c r="C371" s="122" t="n">
        <v>148</v>
      </c>
      <c r="D371" s="122" t="n">
        <v>2</v>
      </c>
      <c r="E371" s="123" t="n">
        <v>1063.46</v>
      </c>
      <c r="F371" s="124">
        <f>IF(C371&lt;=30,5,IF(C371&lt;=60,4,IF(C371&lt;=120,3,IF(C371&lt;=200,2,1))))</f>
        <v/>
      </c>
      <c r="G371" s="124">
        <f>IF(D371&gt;=20,5,IF(D371&gt;=10,4,IF(D371&gt;=5,3,IF(D371&gt;=2,2,1))))</f>
        <v/>
      </c>
      <c r="H371" s="124">
        <f>IF(E371&gt;=5000,5,IF(E371&gt;=2000,4,IF(E371&gt;=800,3,IF(E371&gt;=300,2,1))))</f>
        <v/>
      </c>
      <c r="I371" s="122">
        <f>TEXT(F371,"0")&amp;TEXT(G371,"0")&amp;TEXT(H371,"0")</f>
        <v/>
      </c>
      <c r="J371" s="122">
        <f>IFERROR(XLOOKUP(I371,'Segment Map'!A:A,'Segment Map'!B:B,"Need Attention"),"Need Attention")</f>
        <v/>
      </c>
      <c r="K371" s="122">
        <f>IF(E371&gt;=5000,"🏆 Platinum",IF(E371&gt;=2000,"🥇 Gold",IF(E371&gt;=800,"🥈 Silver","🥉 Bronze")))</f>
        <v/>
      </c>
      <c r="L371" s="125" t="n">
        <v>40739</v>
      </c>
    </row>
    <row r="372">
      <c r="A372" s="126" t="n">
        <v>12816</v>
      </c>
      <c r="B372" s="126" t="inlineStr">
        <is>
          <t>Poland</t>
        </is>
      </c>
      <c r="C372" s="126" t="n">
        <v>96</v>
      </c>
      <c r="D372" s="126" t="n">
        <v>2</v>
      </c>
      <c r="E372" s="127" t="n">
        <v>572.2</v>
      </c>
      <c r="F372" s="128">
        <f>IF(C372&lt;=30,5,IF(C372&lt;=60,4,IF(C372&lt;=120,3,IF(C372&lt;=200,2,1))))</f>
        <v/>
      </c>
      <c r="G372" s="128">
        <f>IF(D372&gt;=20,5,IF(D372&gt;=10,4,IF(D372&gt;=5,3,IF(D372&gt;=2,2,1))))</f>
        <v/>
      </c>
      <c r="H372" s="128">
        <f>IF(E372&gt;=5000,5,IF(E372&gt;=2000,4,IF(E372&gt;=800,3,IF(E372&gt;=300,2,1))))</f>
        <v/>
      </c>
      <c r="I372" s="126">
        <f>TEXT(F372,"0")&amp;TEXT(G372,"0")&amp;TEXT(H372,"0")</f>
        <v/>
      </c>
      <c r="J372" s="126">
        <f>IFERROR(XLOOKUP(I372,'Segment Map'!A:A,'Segment Map'!B:B,"Need Attention"),"Need Attention")</f>
        <v/>
      </c>
      <c r="K372" s="126">
        <f>IF(E372&gt;=5000,"🏆 Platinum",IF(E372&gt;=2000,"🥇 Gold",IF(E372&gt;=800,"🥈 Silver","🥉 Bronze")))</f>
        <v/>
      </c>
      <c r="L372" s="129" t="n">
        <v>40791</v>
      </c>
    </row>
    <row r="373">
      <c r="A373" s="122" t="n">
        <v>12817</v>
      </c>
      <c r="B373" s="122" t="inlineStr">
        <is>
          <t>Austria</t>
        </is>
      </c>
      <c r="C373" s="122" t="n">
        <v>282</v>
      </c>
      <c r="D373" s="122" t="n">
        <v>1</v>
      </c>
      <c r="E373" s="123" t="n">
        <v>166.04</v>
      </c>
      <c r="F373" s="124">
        <f>IF(C373&lt;=30,5,IF(C373&lt;=60,4,IF(C373&lt;=120,3,IF(C373&lt;=200,2,1))))</f>
        <v/>
      </c>
      <c r="G373" s="124">
        <f>IF(D373&gt;=20,5,IF(D373&gt;=10,4,IF(D373&gt;=5,3,IF(D373&gt;=2,2,1))))</f>
        <v/>
      </c>
      <c r="H373" s="124">
        <f>IF(E373&gt;=5000,5,IF(E373&gt;=2000,4,IF(E373&gt;=800,3,IF(E373&gt;=300,2,1))))</f>
        <v/>
      </c>
      <c r="I373" s="122">
        <f>TEXT(F373,"0")&amp;TEXT(G373,"0")&amp;TEXT(H373,"0")</f>
        <v/>
      </c>
      <c r="J373" s="122">
        <f>IFERROR(XLOOKUP(I373,'Segment Map'!A:A,'Segment Map'!B:B,"Need Attention"),"Need Attention")</f>
        <v/>
      </c>
      <c r="K373" s="122">
        <f>IF(E373&gt;=5000,"🏆 Platinum",IF(E373&gt;=2000,"🥇 Gold",IF(E373&gt;=800,"🥈 Silver","🥉 Bronze")))</f>
        <v/>
      </c>
      <c r="L373" s="125" t="n">
        <v>40605</v>
      </c>
    </row>
    <row r="374">
      <c r="A374" s="126" t="n">
        <v>12818</v>
      </c>
      <c r="B374" s="126" t="inlineStr">
        <is>
          <t>Austria</t>
        </is>
      </c>
      <c r="C374" s="126" t="n">
        <v>262</v>
      </c>
      <c r="D374" s="126" t="n">
        <v>1</v>
      </c>
      <c r="E374" s="127" t="n">
        <v>1542.08</v>
      </c>
      <c r="F374" s="128">
        <f>IF(C374&lt;=30,5,IF(C374&lt;=60,4,IF(C374&lt;=120,3,IF(C374&lt;=200,2,1))))</f>
        <v/>
      </c>
      <c r="G374" s="128">
        <f>IF(D374&gt;=20,5,IF(D374&gt;=10,4,IF(D374&gt;=5,3,IF(D374&gt;=2,2,1))))</f>
        <v/>
      </c>
      <c r="H374" s="128">
        <f>IF(E374&gt;=5000,5,IF(E374&gt;=2000,4,IF(E374&gt;=800,3,IF(E374&gt;=300,2,1))))</f>
        <v/>
      </c>
      <c r="I374" s="126">
        <f>TEXT(F374,"0")&amp;TEXT(G374,"0")&amp;TEXT(H374,"0")</f>
        <v/>
      </c>
      <c r="J374" s="126">
        <f>IFERROR(XLOOKUP(I374,'Segment Map'!A:A,'Segment Map'!B:B,"Need Attention"),"Need Attention")</f>
        <v/>
      </c>
      <c r="K374" s="126">
        <f>IF(E374&gt;=5000,"🏆 Platinum",IF(E374&gt;=2000,"🥇 Gold",IF(E374&gt;=800,"🥈 Silver","🥉 Bronze")))</f>
        <v/>
      </c>
      <c r="L374" s="129" t="n">
        <v>40625</v>
      </c>
    </row>
    <row r="375">
      <c r="A375" s="122" t="n">
        <v>12820</v>
      </c>
      <c r="B375" s="122" t="inlineStr">
        <is>
          <t>United Kingdom</t>
        </is>
      </c>
      <c r="C375" s="122" t="n">
        <v>4</v>
      </c>
      <c r="D375" s="122" t="n">
        <v>4</v>
      </c>
      <c r="E375" s="123" t="n">
        <v>942.34</v>
      </c>
      <c r="F375" s="124">
        <f>IF(C375&lt;=30,5,IF(C375&lt;=60,4,IF(C375&lt;=120,3,IF(C375&lt;=200,2,1))))</f>
        <v/>
      </c>
      <c r="G375" s="124">
        <f>IF(D375&gt;=20,5,IF(D375&gt;=10,4,IF(D375&gt;=5,3,IF(D375&gt;=2,2,1))))</f>
        <v/>
      </c>
      <c r="H375" s="124">
        <f>IF(E375&gt;=5000,5,IF(E375&gt;=2000,4,IF(E375&gt;=800,3,IF(E375&gt;=300,2,1))))</f>
        <v/>
      </c>
      <c r="I375" s="122">
        <f>TEXT(F375,"0")&amp;TEXT(G375,"0")&amp;TEXT(H375,"0")</f>
        <v/>
      </c>
      <c r="J375" s="122">
        <f>IFERROR(XLOOKUP(I375,'Segment Map'!A:A,'Segment Map'!B:B,"Need Attention"),"Need Attention")</f>
        <v/>
      </c>
      <c r="K375" s="122">
        <f>IF(E375&gt;=5000,"🏆 Platinum",IF(E375&gt;=2000,"🥇 Gold",IF(E375&gt;=800,"🥈 Silver","🥉 Bronze")))</f>
        <v/>
      </c>
      <c r="L375" s="125" t="n">
        <v>40883</v>
      </c>
    </row>
    <row r="376">
      <c r="A376" s="126" t="n">
        <v>12821</v>
      </c>
      <c r="B376" s="126" t="inlineStr">
        <is>
          <t>United Kingdom</t>
        </is>
      </c>
      <c r="C376" s="126" t="n">
        <v>215</v>
      </c>
      <c r="D376" s="126" t="n">
        <v>1</v>
      </c>
      <c r="E376" s="127" t="n">
        <v>92.72</v>
      </c>
      <c r="F376" s="128">
        <f>IF(C376&lt;=30,5,IF(C376&lt;=60,4,IF(C376&lt;=120,3,IF(C376&lt;=200,2,1))))</f>
        <v/>
      </c>
      <c r="G376" s="128">
        <f>IF(D376&gt;=20,5,IF(D376&gt;=10,4,IF(D376&gt;=5,3,IF(D376&gt;=2,2,1))))</f>
        <v/>
      </c>
      <c r="H376" s="128">
        <f>IF(E376&gt;=5000,5,IF(E376&gt;=2000,4,IF(E376&gt;=800,3,IF(E376&gt;=300,2,1))))</f>
        <v/>
      </c>
      <c r="I376" s="126">
        <f>TEXT(F376,"0")&amp;TEXT(G376,"0")&amp;TEXT(H376,"0")</f>
        <v/>
      </c>
      <c r="J376" s="126">
        <f>IFERROR(XLOOKUP(I376,'Segment Map'!A:A,'Segment Map'!B:B,"Need Attention"),"Need Attention")</f>
        <v/>
      </c>
      <c r="K376" s="126">
        <f>IF(E376&gt;=5000,"🏆 Platinum",IF(E376&gt;=2000,"🥇 Gold",IF(E376&gt;=800,"🥈 Silver","🥉 Bronze")))</f>
        <v/>
      </c>
      <c r="L376" s="129" t="n">
        <v>40672</v>
      </c>
    </row>
    <row r="377">
      <c r="A377" s="122" t="n">
        <v>12822</v>
      </c>
      <c r="B377" s="122" t="inlineStr">
        <is>
          <t>United Kingdom</t>
        </is>
      </c>
      <c r="C377" s="122" t="n">
        <v>71</v>
      </c>
      <c r="D377" s="122" t="n">
        <v>2</v>
      </c>
      <c r="E377" s="123" t="n">
        <v>948.88</v>
      </c>
      <c r="F377" s="124">
        <f>IF(C377&lt;=30,5,IF(C377&lt;=60,4,IF(C377&lt;=120,3,IF(C377&lt;=200,2,1))))</f>
        <v/>
      </c>
      <c r="G377" s="124">
        <f>IF(D377&gt;=20,5,IF(D377&gt;=10,4,IF(D377&gt;=5,3,IF(D377&gt;=2,2,1))))</f>
        <v/>
      </c>
      <c r="H377" s="124">
        <f>IF(E377&gt;=5000,5,IF(E377&gt;=2000,4,IF(E377&gt;=800,3,IF(E377&gt;=300,2,1))))</f>
        <v/>
      </c>
      <c r="I377" s="122">
        <f>TEXT(F377,"0")&amp;TEXT(G377,"0")&amp;TEXT(H377,"0")</f>
        <v/>
      </c>
      <c r="J377" s="122">
        <f>IFERROR(XLOOKUP(I377,'Segment Map'!A:A,'Segment Map'!B:B,"Need Attention"),"Need Attention")</f>
        <v/>
      </c>
      <c r="K377" s="122">
        <f>IF(E377&gt;=5000,"🏆 Platinum",IF(E377&gt;=2000,"🥇 Gold",IF(E377&gt;=800,"🥈 Silver","🥉 Bronze")))</f>
        <v/>
      </c>
      <c r="L377" s="125" t="n">
        <v>40816</v>
      </c>
    </row>
    <row r="378">
      <c r="A378" s="126" t="n">
        <v>12823</v>
      </c>
      <c r="B378" s="126" t="inlineStr">
        <is>
          <t>United Kingdom</t>
        </is>
      </c>
      <c r="C378" s="126" t="n">
        <v>75</v>
      </c>
      <c r="D378" s="126" t="n">
        <v>5</v>
      </c>
      <c r="E378" s="127" t="n">
        <v>1759.5</v>
      </c>
      <c r="F378" s="128">
        <f>IF(C378&lt;=30,5,IF(C378&lt;=60,4,IF(C378&lt;=120,3,IF(C378&lt;=200,2,1))))</f>
        <v/>
      </c>
      <c r="G378" s="128">
        <f>IF(D378&gt;=20,5,IF(D378&gt;=10,4,IF(D378&gt;=5,3,IF(D378&gt;=2,2,1))))</f>
        <v/>
      </c>
      <c r="H378" s="128">
        <f>IF(E378&gt;=5000,5,IF(E378&gt;=2000,4,IF(E378&gt;=800,3,IF(E378&gt;=300,2,1))))</f>
        <v/>
      </c>
      <c r="I378" s="126">
        <f>TEXT(F378,"0")&amp;TEXT(G378,"0")&amp;TEXT(H378,"0")</f>
        <v/>
      </c>
      <c r="J378" s="126">
        <f>IFERROR(XLOOKUP(I378,'Segment Map'!A:A,'Segment Map'!B:B,"Need Attention"),"Need Attention")</f>
        <v/>
      </c>
      <c r="K378" s="126">
        <f>IF(E378&gt;=5000,"🏆 Platinum",IF(E378&gt;=2000,"🥇 Gold",IF(E378&gt;=800,"🥈 Silver","🥉 Bronze")))</f>
        <v/>
      </c>
      <c r="L378" s="129" t="n">
        <v>40812</v>
      </c>
    </row>
    <row r="379">
      <c r="A379" s="122" t="n">
        <v>12824</v>
      </c>
      <c r="B379" s="122" t="inlineStr">
        <is>
          <t>United Kingdom</t>
        </is>
      </c>
      <c r="C379" s="122" t="n">
        <v>60</v>
      </c>
      <c r="D379" s="122" t="n">
        <v>1</v>
      </c>
      <c r="E379" s="123" t="n">
        <v>397.12</v>
      </c>
      <c r="F379" s="124">
        <f>IF(C379&lt;=30,5,IF(C379&lt;=60,4,IF(C379&lt;=120,3,IF(C379&lt;=200,2,1))))</f>
        <v/>
      </c>
      <c r="G379" s="124">
        <f>IF(D379&gt;=20,5,IF(D379&gt;=10,4,IF(D379&gt;=5,3,IF(D379&gt;=2,2,1))))</f>
        <v/>
      </c>
      <c r="H379" s="124">
        <f>IF(E379&gt;=5000,5,IF(E379&gt;=2000,4,IF(E379&gt;=800,3,IF(E379&gt;=300,2,1))))</f>
        <v/>
      </c>
      <c r="I379" s="122">
        <f>TEXT(F379,"0")&amp;TEXT(G379,"0")&amp;TEXT(H379,"0")</f>
        <v/>
      </c>
      <c r="J379" s="122">
        <f>IFERROR(XLOOKUP(I379,'Segment Map'!A:A,'Segment Map'!B:B,"Need Attention"),"Need Attention")</f>
        <v/>
      </c>
      <c r="K379" s="122">
        <f>IF(E379&gt;=5000,"🏆 Platinum",IF(E379&gt;=2000,"🥇 Gold",IF(E379&gt;=800,"🥈 Silver","🥉 Bronze")))</f>
        <v/>
      </c>
      <c r="L379" s="125" t="n">
        <v>40827</v>
      </c>
    </row>
    <row r="380">
      <c r="A380" s="126" t="n">
        <v>12826</v>
      </c>
      <c r="B380" s="126" t="inlineStr">
        <is>
          <t>United Kingdom</t>
        </is>
      </c>
      <c r="C380" s="126" t="n">
        <v>3</v>
      </c>
      <c r="D380" s="126" t="n">
        <v>7</v>
      </c>
      <c r="E380" s="127" t="n">
        <v>1474.72</v>
      </c>
      <c r="F380" s="128">
        <f>IF(C380&lt;=30,5,IF(C380&lt;=60,4,IF(C380&lt;=120,3,IF(C380&lt;=200,2,1))))</f>
        <v/>
      </c>
      <c r="G380" s="128">
        <f>IF(D380&gt;=20,5,IF(D380&gt;=10,4,IF(D380&gt;=5,3,IF(D380&gt;=2,2,1))))</f>
        <v/>
      </c>
      <c r="H380" s="128">
        <f>IF(E380&gt;=5000,5,IF(E380&gt;=2000,4,IF(E380&gt;=800,3,IF(E380&gt;=300,2,1))))</f>
        <v/>
      </c>
      <c r="I380" s="126">
        <f>TEXT(F380,"0")&amp;TEXT(G380,"0")&amp;TEXT(H380,"0")</f>
        <v/>
      </c>
      <c r="J380" s="126">
        <f>IFERROR(XLOOKUP(I380,'Segment Map'!A:A,'Segment Map'!B:B,"Need Attention"),"Need Attention")</f>
        <v/>
      </c>
      <c r="K380" s="126">
        <f>IF(E380&gt;=5000,"🏆 Platinum",IF(E380&gt;=2000,"🥇 Gold",IF(E380&gt;=800,"🥈 Silver","🥉 Bronze")))</f>
        <v/>
      </c>
      <c r="L380" s="129" t="n">
        <v>40884</v>
      </c>
    </row>
    <row r="381">
      <c r="A381" s="122" t="n">
        <v>12827</v>
      </c>
      <c r="B381" s="122" t="inlineStr">
        <is>
          <t>United Kingdom</t>
        </is>
      </c>
      <c r="C381" s="122" t="n">
        <v>6</v>
      </c>
      <c r="D381" s="122" t="n">
        <v>3</v>
      </c>
      <c r="E381" s="123" t="n">
        <v>430.15</v>
      </c>
      <c r="F381" s="124">
        <f>IF(C381&lt;=30,5,IF(C381&lt;=60,4,IF(C381&lt;=120,3,IF(C381&lt;=200,2,1))))</f>
        <v/>
      </c>
      <c r="G381" s="124">
        <f>IF(D381&gt;=20,5,IF(D381&gt;=10,4,IF(D381&gt;=5,3,IF(D381&gt;=2,2,1))))</f>
        <v/>
      </c>
      <c r="H381" s="124">
        <f>IF(E381&gt;=5000,5,IF(E381&gt;=2000,4,IF(E381&gt;=800,3,IF(E381&gt;=300,2,1))))</f>
        <v/>
      </c>
      <c r="I381" s="122">
        <f>TEXT(F381,"0")&amp;TEXT(G381,"0")&amp;TEXT(H381,"0")</f>
        <v/>
      </c>
      <c r="J381" s="122">
        <f>IFERROR(XLOOKUP(I381,'Segment Map'!A:A,'Segment Map'!B:B,"Need Attention"),"Need Attention")</f>
        <v/>
      </c>
      <c r="K381" s="122">
        <f>IF(E381&gt;=5000,"🏆 Platinum",IF(E381&gt;=2000,"🥇 Gold",IF(E381&gt;=800,"🥈 Silver","🥉 Bronze")))</f>
        <v/>
      </c>
      <c r="L381" s="125" t="n">
        <v>40881</v>
      </c>
    </row>
    <row r="382">
      <c r="A382" s="126" t="n">
        <v>12828</v>
      </c>
      <c r="B382" s="126" t="inlineStr">
        <is>
          <t>United Kingdom</t>
        </is>
      </c>
      <c r="C382" s="126" t="n">
        <v>3</v>
      </c>
      <c r="D382" s="126" t="n">
        <v>6</v>
      </c>
      <c r="E382" s="127" t="n">
        <v>1018.71</v>
      </c>
      <c r="F382" s="128">
        <f>IF(C382&lt;=30,5,IF(C382&lt;=60,4,IF(C382&lt;=120,3,IF(C382&lt;=200,2,1))))</f>
        <v/>
      </c>
      <c r="G382" s="128">
        <f>IF(D382&gt;=20,5,IF(D382&gt;=10,4,IF(D382&gt;=5,3,IF(D382&gt;=2,2,1))))</f>
        <v/>
      </c>
      <c r="H382" s="128">
        <f>IF(E382&gt;=5000,5,IF(E382&gt;=2000,4,IF(E382&gt;=800,3,IF(E382&gt;=300,2,1))))</f>
        <v/>
      </c>
      <c r="I382" s="126">
        <f>TEXT(F382,"0")&amp;TEXT(G382,"0")&amp;TEXT(H382,"0")</f>
        <v/>
      </c>
      <c r="J382" s="126">
        <f>IFERROR(XLOOKUP(I382,'Segment Map'!A:A,'Segment Map'!B:B,"Need Attention"),"Need Attention")</f>
        <v/>
      </c>
      <c r="K382" s="126">
        <f>IF(E382&gt;=5000,"🏆 Platinum",IF(E382&gt;=2000,"🥇 Gold",IF(E382&gt;=800,"🥈 Silver","🥉 Bronze")))</f>
        <v/>
      </c>
      <c r="L382" s="129" t="n">
        <v>40884</v>
      </c>
    </row>
    <row r="383">
      <c r="A383" s="122" t="n">
        <v>12829</v>
      </c>
      <c r="B383" s="122" t="inlineStr">
        <is>
          <t>United Kingdom</t>
        </is>
      </c>
      <c r="C383" s="122" t="n">
        <v>337</v>
      </c>
      <c r="D383" s="122" t="n">
        <v>2</v>
      </c>
      <c r="E383" s="123" t="n">
        <v>293</v>
      </c>
      <c r="F383" s="124">
        <f>IF(C383&lt;=30,5,IF(C383&lt;=60,4,IF(C383&lt;=120,3,IF(C383&lt;=200,2,1))))</f>
        <v/>
      </c>
      <c r="G383" s="124">
        <f>IF(D383&gt;=20,5,IF(D383&gt;=10,4,IF(D383&gt;=5,3,IF(D383&gt;=2,2,1))))</f>
        <v/>
      </c>
      <c r="H383" s="124">
        <f>IF(E383&gt;=5000,5,IF(E383&gt;=2000,4,IF(E383&gt;=800,3,IF(E383&gt;=300,2,1))))</f>
        <v/>
      </c>
      <c r="I383" s="122">
        <f>TEXT(F383,"0")&amp;TEXT(G383,"0")&amp;TEXT(H383,"0")</f>
        <v/>
      </c>
      <c r="J383" s="122">
        <f>IFERROR(XLOOKUP(I383,'Segment Map'!A:A,'Segment Map'!B:B,"Need Attention"),"Need Attention")</f>
        <v/>
      </c>
      <c r="K383" s="122">
        <f>IF(E383&gt;=5000,"🏆 Platinum",IF(E383&gt;=2000,"🥇 Gold",IF(E383&gt;=800,"🥈 Silver","🥉 Bronze")))</f>
        <v/>
      </c>
      <c r="L383" s="125" t="n">
        <v>40550</v>
      </c>
    </row>
    <row r="384">
      <c r="A384" s="126" t="n">
        <v>12830</v>
      </c>
      <c r="B384" s="126" t="inlineStr">
        <is>
          <t>United Kingdom</t>
        </is>
      </c>
      <c r="C384" s="126" t="n">
        <v>38</v>
      </c>
      <c r="D384" s="126" t="n">
        <v>6</v>
      </c>
      <c r="E384" s="127" t="n">
        <v>6814.64</v>
      </c>
      <c r="F384" s="128">
        <f>IF(C384&lt;=30,5,IF(C384&lt;=60,4,IF(C384&lt;=120,3,IF(C384&lt;=200,2,1))))</f>
        <v/>
      </c>
      <c r="G384" s="128">
        <f>IF(D384&gt;=20,5,IF(D384&gt;=10,4,IF(D384&gt;=5,3,IF(D384&gt;=2,2,1))))</f>
        <v/>
      </c>
      <c r="H384" s="128">
        <f>IF(E384&gt;=5000,5,IF(E384&gt;=2000,4,IF(E384&gt;=800,3,IF(E384&gt;=300,2,1))))</f>
        <v/>
      </c>
      <c r="I384" s="126">
        <f>TEXT(F384,"0")&amp;TEXT(G384,"0")&amp;TEXT(H384,"0")</f>
        <v/>
      </c>
      <c r="J384" s="126">
        <f>IFERROR(XLOOKUP(I384,'Segment Map'!A:A,'Segment Map'!B:B,"Need Attention"),"Need Attention")</f>
        <v/>
      </c>
      <c r="K384" s="126">
        <f>IF(E384&gt;=5000,"🏆 Platinum",IF(E384&gt;=2000,"🥇 Gold",IF(E384&gt;=800,"🥈 Silver","🥉 Bronze")))</f>
        <v/>
      </c>
      <c r="L384" s="129" t="n">
        <v>40849</v>
      </c>
    </row>
    <row r="385">
      <c r="A385" s="122" t="n">
        <v>12831</v>
      </c>
      <c r="B385" s="122" t="inlineStr">
        <is>
          <t>United Kingdom</t>
        </is>
      </c>
      <c r="C385" s="122" t="n">
        <v>263</v>
      </c>
      <c r="D385" s="122" t="n">
        <v>1</v>
      </c>
      <c r="E385" s="123" t="n">
        <v>215.05</v>
      </c>
      <c r="F385" s="124">
        <f>IF(C385&lt;=30,5,IF(C385&lt;=60,4,IF(C385&lt;=120,3,IF(C385&lt;=200,2,1))))</f>
        <v/>
      </c>
      <c r="G385" s="124">
        <f>IF(D385&gt;=20,5,IF(D385&gt;=10,4,IF(D385&gt;=5,3,IF(D385&gt;=2,2,1))))</f>
        <v/>
      </c>
      <c r="H385" s="124">
        <f>IF(E385&gt;=5000,5,IF(E385&gt;=2000,4,IF(E385&gt;=800,3,IF(E385&gt;=300,2,1))))</f>
        <v/>
      </c>
      <c r="I385" s="122">
        <f>TEXT(F385,"0")&amp;TEXT(G385,"0")&amp;TEXT(H385,"0")</f>
        <v/>
      </c>
      <c r="J385" s="122">
        <f>IFERROR(XLOOKUP(I385,'Segment Map'!A:A,'Segment Map'!B:B,"Need Attention"),"Need Attention")</f>
        <v/>
      </c>
      <c r="K385" s="122">
        <f>IF(E385&gt;=5000,"🏆 Platinum",IF(E385&gt;=2000,"🥇 Gold",IF(E385&gt;=800,"🥈 Silver","🥉 Bronze")))</f>
        <v/>
      </c>
      <c r="L385" s="125" t="n">
        <v>40624</v>
      </c>
    </row>
    <row r="386">
      <c r="A386" s="126" t="n">
        <v>12832</v>
      </c>
      <c r="B386" s="126" t="inlineStr">
        <is>
          <t>United Kingdom</t>
        </is>
      </c>
      <c r="C386" s="126" t="n">
        <v>33</v>
      </c>
      <c r="D386" s="126" t="n">
        <v>2</v>
      </c>
      <c r="E386" s="127" t="n">
        <v>383.03</v>
      </c>
      <c r="F386" s="128">
        <f>IF(C386&lt;=30,5,IF(C386&lt;=60,4,IF(C386&lt;=120,3,IF(C386&lt;=200,2,1))))</f>
        <v/>
      </c>
      <c r="G386" s="128">
        <f>IF(D386&gt;=20,5,IF(D386&gt;=10,4,IF(D386&gt;=5,3,IF(D386&gt;=2,2,1))))</f>
        <v/>
      </c>
      <c r="H386" s="128">
        <f>IF(E386&gt;=5000,5,IF(E386&gt;=2000,4,IF(E386&gt;=800,3,IF(E386&gt;=300,2,1))))</f>
        <v/>
      </c>
      <c r="I386" s="126">
        <f>TEXT(F386,"0")&amp;TEXT(G386,"0")&amp;TEXT(H386,"0")</f>
        <v/>
      </c>
      <c r="J386" s="126">
        <f>IFERROR(XLOOKUP(I386,'Segment Map'!A:A,'Segment Map'!B:B,"Need Attention"),"Need Attention")</f>
        <v/>
      </c>
      <c r="K386" s="126">
        <f>IF(E386&gt;=5000,"🏆 Platinum",IF(E386&gt;=2000,"🥇 Gold",IF(E386&gt;=800,"🥈 Silver","🥉 Bronze")))</f>
        <v/>
      </c>
      <c r="L386" s="129" t="n">
        <v>40854</v>
      </c>
    </row>
    <row r="387">
      <c r="A387" s="122" t="n">
        <v>12833</v>
      </c>
      <c r="B387" s="122" t="inlineStr">
        <is>
          <t>United Kingdom</t>
        </is>
      </c>
      <c r="C387" s="122" t="n">
        <v>146</v>
      </c>
      <c r="D387" s="122" t="n">
        <v>1</v>
      </c>
      <c r="E387" s="123" t="n">
        <v>417.38</v>
      </c>
      <c r="F387" s="124">
        <f>IF(C387&lt;=30,5,IF(C387&lt;=60,4,IF(C387&lt;=120,3,IF(C387&lt;=200,2,1))))</f>
        <v/>
      </c>
      <c r="G387" s="124">
        <f>IF(D387&gt;=20,5,IF(D387&gt;=10,4,IF(D387&gt;=5,3,IF(D387&gt;=2,2,1))))</f>
        <v/>
      </c>
      <c r="H387" s="124">
        <f>IF(E387&gt;=5000,5,IF(E387&gt;=2000,4,IF(E387&gt;=800,3,IF(E387&gt;=300,2,1))))</f>
        <v/>
      </c>
      <c r="I387" s="122">
        <f>TEXT(F387,"0")&amp;TEXT(G387,"0")&amp;TEXT(H387,"0")</f>
        <v/>
      </c>
      <c r="J387" s="122">
        <f>IFERROR(XLOOKUP(I387,'Segment Map'!A:A,'Segment Map'!B:B,"Need Attention"),"Need Attention")</f>
        <v/>
      </c>
      <c r="K387" s="122">
        <f>IF(E387&gt;=5000,"🏆 Platinum",IF(E387&gt;=2000,"🥇 Gold",IF(E387&gt;=800,"🥈 Silver","🥉 Bronze")))</f>
        <v/>
      </c>
      <c r="L387" s="125" t="n">
        <v>40741</v>
      </c>
    </row>
    <row r="388">
      <c r="A388" s="126" t="n">
        <v>12834</v>
      </c>
      <c r="B388" s="126" t="inlineStr">
        <is>
          <t>United Kingdom</t>
        </is>
      </c>
      <c r="C388" s="126" t="n">
        <v>283</v>
      </c>
      <c r="D388" s="126" t="n">
        <v>1</v>
      </c>
      <c r="E388" s="127" t="n">
        <v>312.38</v>
      </c>
      <c r="F388" s="128">
        <f>IF(C388&lt;=30,5,IF(C388&lt;=60,4,IF(C388&lt;=120,3,IF(C388&lt;=200,2,1))))</f>
        <v/>
      </c>
      <c r="G388" s="128">
        <f>IF(D388&gt;=20,5,IF(D388&gt;=10,4,IF(D388&gt;=5,3,IF(D388&gt;=2,2,1))))</f>
        <v/>
      </c>
      <c r="H388" s="128">
        <f>IF(E388&gt;=5000,5,IF(E388&gt;=2000,4,IF(E388&gt;=800,3,IF(E388&gt;=300,2,1))))</f>
        <v/>
      </c>
      <c r="I388" s="126">
        <f>TEXT(F388,"0")&amp;TEXT(G388,"0")&amp;TEXT(H388,"0")</f>
        <v/>
      </c>
      <c r="J388" s="126">
        <f>IFERROR(XLOOKUP(I388,'Segment Map'!A:A,'Segment Map'!B:B,"Need Attention"),"Need Attention")</f>
        <v/>
      </c>
      <c r="K388" s="126">
        <f>IF(E388&gt;=5000,"🏆 Platinum",IF(E388&gt;=2000,"🥇 Gold",IF(E388&gt;=800,"🥈 Silver","🥉 Bronze")))</f>
        <v/>
      </c>
      <c r="L388" s="129" t="n">
        <v>40604</v>
      </c>
    </row>
    <row r="389">
      <c r="A389" s="122" t="n">
        <v>12836</v>
      </c>
      <c r="B389" s="122" t="inlineStr">
        <is>
          <t>United Kingdom</t>
        </is>
      </c>
      <c r="C389" s="122" t="n">
        <v>60</v>
      </c>
      <c r="D389" s="122" t="n">
        <v>4</v>
      </c>
      <c r="E389" s="123" t="n">
        <v>2612.86</v>
      </c>
      <c r="F389" s="124">
        <f>IF(C389&lt;=30,5,IF(C389&lt;=60,4,IF(C389&lt;=120,3,IF(C389&lt;=200,2,1))))</f>
        <v/>
      </c>
      <c r="G389" s="124">
        <f>IF(D389&gt;=20,5,IF(D389&gt;=10,4,IF(D389&gt;=5,3,IF(D389&gt;=2,2,1))))</f>
        <v/>
      </c>
      <c r="H389" s="124">
        <f>IF(E389&gt;=5000,5,IF(E389&gt;=2000,4,IF(E389&gt;=800,3,IF(E389&gt;=300,2,1))))</f>
        <v/>
      </c>
      <c r="I389" s="122">
        <f>TEXT(F389,"0")&amp;TEXT(G389,"0")&amp;TEXT(H389,"0")</f>
        <v/>
      </c>
      <c r="J389" s="122">
        <f>IFERROR(XLOOKUP(I389,'Segment Map'!A:A,'Segment Map'!B:B,"Need Attention"),"Need Attention")</f>
        <v/>
      </c>
      <c r="K389" s="122">
        <f>IF(E389&gt;=5000,"🏆 Platinum",IF(E389&gt;=2000,"🥇 Gold",IF(E389&gt;=800,"🥈 Silver","🥉 Bronze")))</f>
        <v/>
      </c>
      <c r="L389" s="125" t="n">
        <v>40827</v>
      </c>
    </row>
    <row r="390">
      <c r="A390" s="126" t="n">
        <v>12837</v>
      </c>
      <c r="B390" s="126" t="inlineStr">
        <is>
          <t>United Kingdom</t>
        </is>
      </c>
      <c r="C390" s="126" t="n">
        <v>174</v>
      </c>
      <c r="D390" s="126" t="n">
        <v>1</v>
      </c>
      <c r="E390" s="127" t="n">
        <v>134.1</v>
      </c>
      <c r="F390" s="128">
        <f>IF(C390&lt;=30,5,IF(C390&lt;=60,4,IF(C390&lt;=120,3,IF(C390&lt;=200,2,1))))</f>
        <v/>
      </c>
      <c r="G390" s="128">
        <f>IF(D390&gt;=20,5,IF(D390&gt;=10,4,IF(D390&gt;=5,3,IF(D390&gt;=2,2,1))))</f>
        <v/>
      </c>
      <c r="H390" s="128">
        <f>IF(E390&gt;=5000,5,IF(E390&gt;=2000,4,IF(E390&gt;=800,3,IF(E390&gt;=300,2,1))))</f>
        <v/>
      </c>
      <c r="I390" s="126">
        <f>TEXT(F390,"0")&amp;TEXT(G390,"0")&amp;TEXT(H390,"0")</f>
        <v/>
      </c>
      <c r="J390" s="126">
        <f>IFERROR(XLOOKUP(I390,'Segment Map'!A:A,'Segment Map'!B:B,"Need Attention"),"Need Attention")</f>
        <v/>
      </c>
      <c r="K390" s="126">
        <f>IF(E390&gt;=5000,"🏆 Platinum",IF(E390&gt;=2000,"🥇 Gold",IF(E390&gt;=800,"🥈 Silver","🥉 Bronze")))</f>
        <v/>
      </c>
      <c r="L390" s="129" t="n">
        <v>40713</v>
      </c>
    </row>
    <row r="391">
      <c r="A391" s="122" t="n">
        <v>12838</v>
      </c>
      <c r="B391" s="122" t="inlineStr">
        <is>
          <t>United Kingdom</t>
        </is>
      </c>
      <c r="C391" s="122" t="n">
        <v>34</v>
      </c>
      <c r="D391" s="122" t="n">
        <v>2</v>
      </c>
      <c r="E391" s="123" t="n">
        <v>683.13</v>
      </c>
      <c r="F391" s="124">
        <f>IF(C391&lt;=30,5,IF(C391&lt;=60,4,IF(C391&lt;=120,3,IF(C391&lt;=200,2,1))))</f>
        <v/>
      </c>
      <c r="G391" s="124">
        <f>IF(D391&gt;=20,5,IF(D391&gt;=10,4,IF(D391&gt;=5,3,IF(D391&gt;=2,2,1))))</f>
        <v/>
      </c>
      <c r="H391" s="124">
        <f>IF(E391&gt;=5000,5,IF(E391&gt;=2000,4,IF(E391&gt;=800,3,IF(E391&gt;=300,2,1))))</f>
        <v/>
      </c>
      <c r="I391" s="122">
        <f>TEXT(F391,"0")&amp;TEXT(G391,"0")&amp;TEXT(H391,"0")</f>
        <v/>
      </c>
      <c r="J391" s="122">
        <f>IFERROR(XLOOKUP(I391,'Segment Map'!A:A,'Segment Map'!B:B,"Need Attention"),"Need Attention")</f>
        <v/>
      </c>
      <c r="K391" s="122">
        <f>IF(E391&gt;=5000,"🏆 Platinum",IF(E391&gt;=2000,"🥇 Gold",IF(E391&gt;=800,"🥈 Silver","🥉 Bronze")))</f>
        <v/>
      </c>
      <c r="L391" s="125" t="n">
        <v>40853</v>
      </c>
    </row>
    <row r="392">
      <c r="A392" s="126" t="n">
        <v>12839</v>
      </c>
      <c r="B392" s="126" t="inlineStr">
        <is>
          <t>United Kingdom</t>
        </is>
      </c>
      <c r="C392" s="126" t="n">
        <v>3</v>
      </c>
      <c r="D392" s="126" t="n">
        <v>14</v>
      </c>
      <c r="E392" s="127" t="n">
        <v>5591.42</v>
      </c>
      <c r="F392" s="128">
        <f>IF(C392&lt;=30,5,IF(C392&lt;=60,4,IF(C392&lt;=120,3,IF(C392&lt;=200,2,1))))</f>
        <v/>
      </c>
      <c r="G392" s="128">
        <f>IF(D392&gt;=20,5,IF(D392&gt;=10,4,IF(D392&gt;=5,3,IF(D392&gt;=2,2,1))))</f>
        <v/>
      </c>
      <c r="H392" s="128">
        <f>IF(E392&gt;=5000,5,IF(E392&gt;=2000,4,IF(E392&gt;=800,3,IF(E392&gt;=300,2,1))))</f>
        <v/>
      </c>
      <c r="I392" s="126">
        <f>TEXT(F392,"0")&amp;TEXT(G392,"0")&amp;TEXT(H392,"0")</f>
        <v/>
      </c>
      <c r="J392" s="126">
        <f>IFERROR(XLOOKUP(I392,'Segment Map'!A:A,'Segment Map'!B:B,"Need Attention"),"Need Attention")</f>
        <v/>
      </c>
      <c r="K392" s="126">
        <f>IF(E392&gt;=5000,"🏆 Platinum",IF(E392&gt;=2000,"🥇 Gold",IF(E392&gt;=800,"🥈 Silver","🥉 Bronze")))</f>
        <v/>
      </c>
      <c r="L392" s="129" t="n">
        <v>40884</v>
      </c>
    </row>
    <row r="393">
      <c r="A393" s="122" t="n">
        <v>12840</v>
      </c>
      <c r="B393" s="122" t="inlineStr">
        <is>
          <t>United Kingdom</t>
        </is>
      </c>
      <c r="C393" s="122" t="n">
        <v>144</v>
      </c>
      <c r="D393" s="122" t="n">
        <v>4</v>
      </c>
      <c r="E393" s="123" t="n">
        <v>2726.77</v>
      </c>
      <c r="F393" s="124">
        <f>IF(C393&lt;=30,5,IF(C393&lt;=60,4,IF(C393&lt;=120,3,IF(C393&lt;=200,2,1))))</f>
        <v/>
      </c>
      <c r="G393" s="124">
        <f>IF(D393&gt;=20,5,IF(D393&gt;=10,4,IF(D393&gt;=5,3,IF(D393&gt;=2,2,1))))</f>
        <v/>
      </c>
      <c r="H393" s="124">
        <f>IF(E393&gt;=5000,5,IF(E393&gt;=2000,4,IF(E393&gt;=800,3,IF(E393&gt;=300,2,1))))</f>
        <v/>
      </c>
      <c r="I393" s="122">
        <f>TEXT(F393,"0")&amp;TEXT(G393,"0")&amp;TEXT(H393,"0")</f>
        <v/>
      </c>
      <c r="J393" s="122">
        <f>IFERROR(XLOOKUP(I393,'Segment Map'!A:A,'Segment Map'!B:B,"Need Attention"),"Need Attention")</f>
        <v/>
      </c>
      <c r="K393" s="122">
        <f>IF(E393&gt;=5000,"🏆 Platinum",IF(E393&gt;=2000,"🥇 Gold",IF(E393&gt;=800,"🥈 Silver","🥉 Bronze")))</f>
        <v/>
      </c>
      <c r="L393" s="125" t="n">
        <v>40743</v>
      </c>
    </row>
    <row r="394">
      <c r="A394" s="126" t="n">
        <v>12841</v>
      </c>
      <c r="B394" s="126" t="inlineStr">
        <is>
          <t>United Kingdom</t>
        </is>
      </c>
      <c r="C394" s="126" t="n">
        <v>5</v>
      </c>
      <c r="D394" s="126" t="n">
        <v>25</v>
      </c>
      <c r="E394" s="127" t="n">
        <v>4022.35</v>
      </c>
      <c r="F394" s="128">
        <f>IF(C394&lt;=30,5,IF(C394&lt;=60,4,IF(C394&lt;=120,3,IF(C394&lt;=200,2,1))))</f>
        <v/>
      </c>
      <c r="G394" s="128">
        <f>IF(D394&gt;=20,5,IF(D394&gt;=10,4,IF(D394&gt;=5,3,IF(D394&gt;=2,2,1))))</f>
        <v/>
      </c>
      <c r="H394" s="128">
        <f>IF(E394&gt;=5000,5,IF(E394&gt;=2000,4,IF(E394&gt;=800,3,IF(E394&gt;=300,2,1))))</f>
        <v/>
      </c>
      <c r="I394" s="126">
        <f>TEXT(F394,"0")&amp;TEXT(G394,"0")&amp;TEXT(H394,"0")</f>
        <v/>
      </c>
      <c r="J394" s="126">
        <f>IFERROR(XLOOKUP(I394,'Segment Map'!A:A,'Segment Map'!B:B,"Need Attention"),"Need Attention")</f>
        <v/>
      </c>
      <c r="K394" s="126">
        <f>IF(E394&gt;=5000,"🏆 Platinum",IF(E394&gt;=2000,"🥇 Gold",IF(E394&gt;=800,"🥈 Silver","🥉 Bronze")))</f>
        <v/>
      </c>
      <c r="L394" s="129" t="n">
        <v>40882</v>
      </c>
    </row>
    <row r="395">
      <c r="A395" s="122" t="n">
        <v>12842</v>
      </c>
      <c r="B395" s="122" t="inlineStr">
        <is>
          <t>United Kingdom</t>
        </is>
      </c>
      <c r="C395" s="122" t="n">
        <v>71</v>
      </c>
      <c r="D395" s="122" t="n">
        <v>2</v>
      </c>
      <c r="E395" s="123" t="n">
        <v>1118.99</v>
      </c>
      <c r="F395" s="124">
        <f>IF(C395&lt;=30,5,IF(C395&lt;=60,4,IF(C395&lt;=120,3,IF(C395&lt;=200,2,1))))</f>
        <v/>
      </c>
      <c r="G395" s="124">
        <f>IF(D395&gt;=20,5,IF(D395&gt;=10,4,IF(D395&gt;=5,3,IF(D395&gt;=2,2,1))))</f>
        <v/>
      </c>
      <c r="H395" s="124">
        <f>IF(E395&gt;=5000,5,IF(E395&gt;=2000,4,IF(E395&gt;=800,3,IF(E395&gt;=300,2,1))))</f>
        <v/>
      </c>
      <c r="I395" s="122">
        <f>TEXT(F395,"0")&amp;TEXT(G395,"0")&amp;TEXT(H395,"0")</f>
        <v/>
      </c>
      <c r="J395" s="122">
        <f>IFERROR(XLOOKUP(I395,'Segment Map'!A:A,'Segment Map'!B:B,"Need Attention"),"Need Attention")</f>
        <v/>
      </c>
      <c r="K395" s="122">
        <f>IF(E395&gt;=5000,"🏆 Platinum",IF(E395&gt;=2000,"🥇 Gold",IF(E395&gt;=800,"🥈 Silver","🥉 Bronze")))</f>
        <v/>
      </c>
      <c r="L395" s="125" t="n">
        <v>40816</v>
      </c>
    </row>
    <row r="396">
      <c r="A396" s="126" t="n">
        <v>12843</v>
      </c>
      <c r="B396" s="126" t="inlineStr">
        <is>
          <t>United Kingdom</t>
        </is>
      </c>
      <c r="C396" s="126" t="n">
        <v>66</v>
      </c>
      <c r="D396" s="126" t="n">
        <v>8</v>
      </c>
      <c r="E396" s="127" t="n">
        <v>1702.26</v>
      </c>
      <c r="F396" s="128">
        <f>IF(C396&lt;=30,5,IF(C396&lt;=60,4,IF(C396&lt;=120,3,IF(C396&lt;=200,2,1))))</f>
        <v/>
      </c>
      <c r="G396" s="128">
        <f>IF(D396&gt;=20,5,IF(D396&gt;=10,4,IF(D396&gt;=5,3,IF(D396&gt;=2,2,1))))</f>
        <v/>
      </c>
      <c r="H396" s="128">
        <f>IF(E396&gt;=5000,5,IF(E396&gt;=2000,4,IF(E396&gt;=800,3,IF(E396&gt;=300,2,1))))</f>
        <v/>
      </c>
      <c r="I396" s="126">
        <f>TEXT(F396,"0")&amp;TEXT(G396,"0")&amp;TEXT(H396,"0")</f>
        <v/>
      </c>
      <c r="J396" s="126">
        <f>IFERROR(XLOOKUP(I396,'Segment Map'!A:A,'Segment Map'!B:B,"Need Attention"),"Need Attention")</f>
        <v/>
      </c>
      <c r="K396" s="126">
        <f>IF(E396&gt;=5000,"🏆 Platinum",IF(E396&gt;=2000,"🥇 Gold",IF(E396&gt;=800,"🥈 Silver","🥉 Bronze")))</f>
        <v/>
      </c>
      <c r="L396" s="129" t="n">
        <v>40821</v>
      </c>
    </row>
    <row r="397">
      <c r="A397" s="122" t="n">
        <v>12844</v>
      </c>
      <c r="B397" s="122" t="inlineStr">
        <is>
          <t>United Kingdom</t>
        </is>
      </c>
      <c r="C397" s="122" t="n">
        <v>30</v>
      </c>
      <c r="D397" s="122" t="n">
        <v>2</v>
      </c>
      <c r="E397" s="123" t="n">
        <v>325.96</v>
      </c>
      <c r="F397" s="124">
        <f>IF(C397&lt;=30,5,IF(C397&lt;=60,4,IF(C397&lt;=120,3,IF(C397&lt;=200,2,1))))</f>
        <v/>
      </c>
      <c r="G397" s="124">
        <f>IF(D397&gt;=20,5,IF(D397&gt;=10,4,IF(D397&gt;=5,3,IF(D397&gt;=2,2,1))))</f>
        <v/>
      </c>
      <c r="H397" s="124">
        <f>IF(E397&gt;=5000,5,IF(E397&gt;=2000,4,IF(E397&gt;=800,3,IF(E397&gt;=300,2,1))))</f>
        <v/>
      </c>
      <c r="I397" s="122">
        <f>TEXT(F397,"0")&amp;TEXT(G397,"0")&amp;TEXT(H397,"0")</f>
        <v/>
      </c>
      <c r="J397" s="122">
        <f>IFERROR(XLOOKUP(I397,'Segment Map'!A:A,'Segment Map'!B:B,"Need Attention"),"Need Attention")</f>
        <v/>
      </c>
      <c r="K397" s="122">
        <f>IF(E397&gt;=5000,"🏆 Platinum",IF(E397&gt;=2000,"🥇 Gold",IF(E397&gt;=800,"🥈 Silver","🥉 Bronze")))</f>
        <v/>
      </c>
      <c r="L397" s="125" t="n">
        <v>40857</v>
      </c>
    </row>
    <row r="398">
      <c r="A398" s="126" t="n">
        <v>12845</v>
      </c>
      <c r="B398" s="126" t="inlineStr">
        <is>
          <t>United Kingdom</t>
        </is>
      </c>
      <c r="C398" s="126" t="n">
        <v>268</v>
      </c>
      <c r="D398" s="126" t="n">
        <v>4</v>
      </c>
      <c r="E398" s="127" t="n">
        <v>354.09</v>
      </c>
      <c r="F398" s="128">
        <f>IF(C398&lt;=30,5,IF(C398&lt;=60,4,IF(C398&lt;=120,3,IF(C398&lt;=200,2,1))))</f>
        <v/>
      </c>
      <c r="G398" s="128">
        <f>IF(D398&gt;=20,5,IF(D398&gt;=10,4,IF(D398&gt;=5,3,IF(D398&gt;=2,2,1))))</f>
        <v/>
      </c>
      <c r="H398" s="128">
        <f>IF(E398&gt;=5000,5,IF(E398&gt;=2000,4,IF(E398&gt;=800,3,IF(E398&gt;=300,2,1))))</f>
        <v/>
      </c>
      <c r="I398" s="126">
        <f>TEXT(F398,"0")&amp;TEXT(G398,"0")&amp;TEXT(H398,"0")</f>
        <v/>
      </c>
      <c r="J398" s="126">
        <f>IFERROR(XLOOKUP(I398,'Segment Map'!A:A,'Segment Map'!B:B,"Need Attention"),"Need Attention")</f>
        <v/>
      </c>
      <c r="K398" s="126">
        <f>IF(E398&gt;=5000,"🏆 Platinum",IF(E398&gt;=2000,"🥇 Gold",IF(E398&gt;=800,"🥈 Silver","🥉 Bronze")))</f>
        <v/>
      </c>
      <c r="L398" s="129" t="n">
        <v>40619</v>
      </c>
    </row>
    <row r="399">
      <c r="A399" s="122" t="n">
        <v>12847</v>
      </c>
      <c r="B399" s="122" t="inlineStr">
        <is>
          <t>United Kingdom</t>
        </is>
      </c>
      <c r="C399" s="122" t="n">
        <v>23</v>
      </c>
      <c r="D399" s="122" t="n">
        <v>1</v>
      </c>
      <c r="E399" s="123" t="n">
        <v>871.54</v>
      </c>
      <c r="F399" s="124">
        <f>IF(C399&lt;=30,5,IF(C399&lt;=60,4,IF(C399&lt;=120,3,IF(C399&lt;=200,2,1))))</f>
        <v/>
      </c>
      <c r="G399" s="124">
        <f>IF(D399&gt;=20,5,IF(D399&gt;=10,4,IF(D399&gt;=5,3,IF(D399&gt;=2,2,1))))</f>
        <v/>
      </c>
      <c r="H399" s="124">
        <f>IF(E399&gt;=5000,5,IF(E399&gt;=2000,4,IF(E399&gt;=800,3,IF(E399&gt;=300,2,1))))</f>
        <v/>
      </c>
      <c r="I399" s="122">
        <f>TEXT(F399,"0")&amp;TEXT(G399,"0")&amp;TEXT(H399,"0")</f>
        <v/>
      </c>
      <c r="J399" s="122">
        <f>IFERROR(XLOOKUP(I399,'Segment Map'!A:A,'Segment Map'!B:B,"Need Attention"),"Need Attention")</f>
        <v/>
      </c>
      <c r="K399" s="122">
        <f>IF(E399&gt;=5000,"🏆 Platinum",IF(E399&gt;=2000,"🥇 Gold",IF(E399&gt;=800,"🥈 Silver","🥉 Bronze")))</f>
        <v/>
      </c>
      <c r="L399" s="125" t="n">
        <v>40864</v>
      </c>
    </row>
    <row r="400">
      <c r="A400" s="126" t="n">
        <v>12849</v>
      </c>
      <c r="B400" s="126" t="inlineStr">
        <is>
          <t>United Kingdom</t>
        </is>
      </c>
      <c r="C400" s="126" t="n">
        <v>32</v>
      </c>
      <c r="D400" s="126" t="n">
        <v>2</v>
      </c>
      <c r="E400" s="127" t="n">
        <v>1050.89</v>
      </c>
      <c r="F400" s="128">
        <f>IF(C400&lt;=30,5,IF(C400&lt;=60,4,IF(C400&lt;=120,3,IF(C400&lt;=200,2,1))))</f>
        <v/>
      </c>
      <c r="G400" s="128">
        <f>IF(D400&gt;=20,5,IF(D400&gt;=10,4,IF(D400&gt;=5,3,IF(D400&gt;=2,2,1))))</f>
        <v/>
      </c>
      <c r="H400" s="128">
        <f>IF(E400&gt;=5000,5,IF(E400&gt;=2000,4,IF(E400&gt;=800,3,IF(E400&gt;=300,2,1))))</f>
        <v/>
      </c>
      <c r="I400" s="126">
        <f>TEXT(F400,"0")&amp;TEXT(G400,"0")&amp;TEXT(H400,"0")</f>
        <v/>
      </c>
      <c r="J400" s="126">
        <f>IFERROR(XLOOKUP(I400,'Segment Map'!A:A,'Segment Map'!B:B,"Need Attention"),"Need Attention")</f>
        <v/>
      </c>
      <c r="K400" s="126">
        <f>IF(E400&gt;=5000,"🏆 Platinum",IF(E400&gt;=2000,"🥇 Gold",IF(E400&gt;=800,"🥈 Silver","🥉 Bronze")))</f>
        <v/>
      </c>
      <c r="L400" s="129" t="n">
        <v>40855</v>
      </c>
    </row>
    <row r="401">
      <c r="A401" s="122" t="n">
        <v>12851</v>
      </c>
      <c r="B401" s="122" t="inlineStr">
        <is>
          <t>United Kingdom</t>
        </is>
      </c>
      <c r="C401" s="122" t="n">
        <v>97</v>
      </c>
      <c r="D401" s="122" t="n">
        <v>1</v>
      </c>
      <c r="E401" s="123" t="n">
        <v>135.18</v>
      </c>
      <c r="F401" s="124">
        <f>IF(C401&lt;=30,5,IF(C401&lt;=60,4,IF(C401&lt;=120,3,IF(C401&lt;=200,2,1))))</f>
        <v/>
      </c>
      <c r="G401" s="124">
        <f>IF(D401&gt;=20,5,IF(D401&gt;=10,4,IF(D401&gt;=5,3,IF(D401&gt;=2,2,1))))</f>
        <v/>
      </c>
      <c r="H401" s="124">
        <f>IF(E401&gt;=5000,5,IF(E401&gt;=2000,4,IF(E401&gt;=800,3,IF(E401&gt;=300,2,1))))</f>
        <v/>
      </c>
      <c r="I401" s="122">
        <f>TEXT(F401,"0")&amp;TEXT(G401,"0")&amp;TEXT(H401,"0")</f>
        <v/>
      </c>
      <c r="J401" s="122">
        <f>IFERROR(XLOOKUP(I401,'Segment Map'!A:A,'Segment Map'!B:B,"Need Attention"),"Need Attention")</f>
        <v/>
      </c>
      <c r="K401" s="122">
        <f>IF(E401&gt;=5000,"🏆 Platinum",IF(E401&gt;=2000,"🥇 Gold",IF(E401&gt;=800,"🥈 Silver","🥉 Bronze")))</f>
        <v/>
      </c>
      <c r="L401" s="125" t="n">
        <v>40790</v>
      </c>
    </row>
    <row r="402">
      <c r="A402" s="126" t="n">
        <v>12852</v>
      </c>
      <c r="B402" s="126" t="inlineStr">
        <is>
          <t>United Kingdom</t>
        </is>
      </c>
      <c r="C402" s="126" t="n">
        <v>295</v>
      </c>
      <c r="D402" s="126" t="n">
        <v>1</v>
      </c>
      <c r="E402" s="127" t="n">
        <v>311.55</v>
      </c>
      <c r="F402" s="128">
        <f>IF(C402&lt;=30,5,IF(C402&lt;=60,4,IF(C402&lt;=120,3,IF(C402&lt;=200,2,1))))</f>
        <v/>
      </c>
      <c r="G402" s="128">
        <f>IF(D402&gt;=20,5,IF(D402&gt;=10,4,IF(D402&gt;=5,3,IF(D402&gt;=2,2,1))))</f>
        <v/>
      </c>
      <c r="H402" s="128">
        <f>IF(E402&gt;=5000,5,IF(E402&gt;=2000,4,IF(E402&gt;=800,3,IF(E402&gt;=300,2,1))))</f>
        <v/>
      </c>
      <c r="I402" s="126">
        <f>TEXT(F402,"0")&amp;TEXT(G402,"0")&amp;TEXT(H402,"0")</f>
        <v/>
      </c>
      <c r="J402" s="126">
        <f>IFERROR(XLOOKUP(I402,'Segment Map'!A:A,'Segment Map'!B:B,"Need Attention"),"Need Attention")</f>
        <v/>
      </c>
      <c r="K402" s="126">
        <f>IF(E402&gt;=5000,"🏆 Platinum",IF(E402&gt;=2000,"🥇 Gold",IF(E402&gt;=800,"🥈 Silver","🥉 Bronze")))</f>
        <v/>
      </c>
      <c r="L402" s="129" t="n">
        <v>40592</v>
      </c>
    </row>
    <row r="403">
      <c r="A403" s="122" t="n">
        <v>12853</v>
      </c>
      <c r="B403" s="122" t="inlineStr">
        <is>
          <t>United Kingdom</t>
        </is>
      </c>
      <c r="C403" s="122" t="n">
        <v>135</v>
      </c>
      <c r="D403" s="122" t="n">
        <v>6</v>
      </c>
      <c r="E403" s="123" t="n">
        <v>1957.1</v>
      </c>
      <c r="F403" s="124">
        <f>IF(C403&lt;=30,5,IF(C403&lt;=60,4,IF(C403&lt;=120,3,IF(C403&lt;=200,2,1))))</f>
        <v/>
      </c>
      <c r="G403" s="124">
        <f>IF(D403&gt;=20,5,IF(D403&gt;=10,4,IF(D403&gt;=5,3,IF(D403&gt;=2,2,1))))</f>
        <v/>
      </c>
      <c r="H403" s="124">
        <f>IF(E403&gt;=5000,5,IF(E403&gt;=2000,4,IF(E403&gt;=800,3,IF(E403&gt;=300,2,1))))</f>
        <v/>
      </c>
      <c r="I403" s="122">
        <f>TEXT(F403,"0")&amp;TEXT(G403,"0")&amp;TEXT(H403,"0")</f>
        <v/>
      </c>
      <c r="J403" s="122">
        <f>IFERROR(XLOOKUP(I403,'Segment Map'!A:A,'Segment Map'!B:B,"Need Attention"),"Need Attention")</f>
        <v/>
      </c>
      <c r="K403" s="122">
        <f>IF(E403&gt;=5000,"🏆 Platinum",IF(E403&gt;=2000,"🥇 Gold",IF(E403&gt;=800,"🥈 Silver","🥉 Bronze")))</f>
        <v/>
      </c>
      <c r="L403" s="125" t="n">
        <v>40752</v>
      </c>
    </row>
    <row r="404">
      <c r="A404" s="126" t="n">
        <v>12854</v>
      </c>
      <c r="B404" s="126" t="inlineStr">
        <is>
          <t>United Kingdom</t>
        </is>
      </c>
      <c r="C404" s="126" t="n">
        <v>79</v>
      </c>
      <c r="D404" s="126" t="n">
        <v>3</v>
      </c>
      <c r="E404" s="127" t="n">
        <v>1324.5</v>
      </c>
      <c r="F404" s="128">
        <f>IF(C404&lt;=30,5,IF(C404&lt;=60,4,IF(C404&lt;=120,3,IF(C404&lt;=200,2,1))))</f>
        <v/>
      </c>
      <c r="G404" s="128">
        <f>IF(D404&gt;=20,5,IF(D404&gt;=10,4,IF(D404&gt;=5,3,IF(D404&gt;=2,2,1))))</f>
        <v/>
      </c>
      <c r="H404" s="128">
        <f>IF(E404&gt;=5000,5,IF(E404&gt;=2000,4,IF(E404&gt;=800,3,IF(E404&gt;=300,2,1))))</f>
        <v/>
      </c>
      <c r="I404" s="126">
        <f>TEXT(F404,"0")&amp;TEXT(G404,"0")&amp;TEXT(H404,"0")</f>
        <v/>
      </c>
      <c r="J404" s="126">
        <f>IFERROR(XLOOKUP(I404,'Segment Map'!A:A,'Segment Map'!B:B,"Need Attention"),"Need Attention")</f>
        <v/>
      </c>
      <c r="K404" s="126">
        <f>IF(E404&gt;=5000,"🏆 Platinum",IF(E404&gt;=2000,"🥇 Gold",IF(E404&gt;=800,"🥈 Silver","🥉 Bronze")))</f>
        <v/>
      </c>
      <c r="L404" s="129" t="n">
        <v>40808</v>
      </c>
    </row>
    <row r="405">
      <c r="A405" s="122" t="n">
        <v>12855</v>
      </c>
      <c r="B405" s="122" t="inlineStr">
        <is>
          <t>United Kingdom</t>
        </is>
      </c>
      <c r="C405" s="122" t="n">
        <v>373</v>
      </c>
      <c r="D405" s="122" t="n">
        <v>1</v>
      </c>
      <c r="E405" s="123" t="n">
        <v>38.1</v>
      </c>
      <c r="F405" s="124">
        <f>IF(C405&lt;=30,5,IF(C405&lt;=60,4,IF(C405&lt;=120,3,IF(C405&lt;=200,2,1))))</f>
        <v/>
      </c>
      <c r="G405" s="124">
        <f>IF(D405&gt;=20,5,IF(D405&gt;=10,4,IF(D405&gt;=5,3,IF(D405&gt;=2,2,1))))</f>
        <v/>
      </c>
      <c r="H405" s="124">
        <f>IF(E405&gt;=5000,5,IF(E405&gt;=2000,4,IF(E405&gt;=800,3,IF(E405&gt;=300,2,1))))</f>
        <v/>
      </c>
      <c r="I405" s="122">
        <f>TEXT(F405,"0")&amp;TEXT(G405,"0")&amp;TEXT(H405,"0")</f>
        <v/>
      </c>
      <c r="J405" s="122">
        <f>IFERROR(XLOOKUP(I405,'Segment Map'!A:A,'Segment Map'!B:B,"Need Attention"),"Need Attention")</f>
        <v/>
      </c>
      <c r="K405" s="122">
        <f>IF(E405&gt;=5000,"🏆 Platinum",IF(E405&gt;=2000,"🥇 Gold",IF(E405&gt;=800,"🥈 Silver","🥉 Bronze")))</f>
        <v/>
      </c>
      <c r="L405" s="125" t="n">
        <v>40514</v>
      </c>
    </row>
    <row r="406">
      <c r="A406" s="126" t="n">
        <v>12856</v>
      </c>
      <c r="B406" s="126" t="inlineStr">
        <is>
          <t>United Kingdom</t>
        </is>
      </c>
      <c r="C406" s="126" t="n">
        <v>8</v>
      </c>
      <c r="D406" s="126" t="n">
        <v>6</v>
      </c>
      <c r="E406" s="127" t="n">
        <v>2179.93</v>
      </c>
      <c r="F406" s="128">
        <f>IF(C406&lt;=30,5,IF(C406&lt;=60,4,IF(C406&lt;=120,3,IF(C406&lt;=200,2,1))))</f>
        <v/>
      </c>
      <c r="G406" s="128">
        <f>IF(D406&gt;=20,5,IF(D406&gt;=10,4,IF(D406&gt;=5,3,IF(D406&gt;=2,2,1))))</f>
        <v/>
      </c>
      <c r="H406" s="128">
        <f>IF(E406&gt;=5000,5,IF(E406&gt;=2000,4,IF(E406&gt;=800,3,IF(E406&gt;=300,2,1))))</f>
        <v/>
      </c>
      <c r="I406" s="126">
        <f>TEXT(F406,"0")&amp;TEXT(G406,"0")&amp;TEXT(H406,"0")</f>
        <v/>
      </c>
      <c r="J406" s="126">
        <f>IFERROR(XLOOKUP(I406,'Segment Map'!A:A,'Segment Map'!B:B,"Need Attention"),"Need Attention")</f>
        <v/>
      </c>
      <c r="K406" s="126">
        <f>IF(E406&gt;=5000,"🏆 Platinum",IF(E406&gt;=2000,"🥇 Gold",IF(E406&gt;=800,"🥈 Silver","🥉 Bronze")))</f>
        <v/>
      </c>
      <c r="L406" s="129" t="n">
        <v>40879</v>
      </c>
    </row>
    <row r="407">
      <c r="A407" s="122" t="n">
        <v>12857</v>
      </c>
      <c r="B407" s="122" t="inlineStr">
        <is>
          <t>United Kingdom</t>
        </is>
      </c>
      <c r="C407" s="122" t="n">
        <v>211</v>
      </c>
      <c r="D407" s="122" t="n">
        <v>2</v>
      </c>
      <c r="E407" s="123" t="n">
        <v>1106.4</v>
      </c>
      <c r="F407" s="124">
        <f>IF(C407&lt;=30,5,IF(C407&lt;=60,4,IF(C407&lt;=120,3,IF(C407&lt;=200,2,1))))</f>
        <v/>
      </c>
      <c r="G407" s="124">
        <f>IF(D407&gt;=20,5,IF(D407&gt;=10,4,IF(D407&gt;=5,3,IF(D407&gt;=2,2,1))))</f>
        <v/>
      </c>
      <c r="H407" s="124">
        <f>IF(E407&gt;=5000,5,IF(E407&gt;=2000,4,IF(E407&gt;=800,3,IF(E407&gt;=300,2,1))))</f>
        <v/>
      </c>
      <c r="I407" s="122">
        <f>TEXT(F407,"0")&amp;TEXT(G407,"0")&amp;TEXT(H407,"0")</f>
        <v/>
      </c>
      <c r="J407" s="122">
        <f>IFERROR(XLOOKUP(I407,'Segment Map'!A:A,'Segment Map'!B:B,"Need Attention"),"Need Attention")</f>
        <v/>
      </c>
      <c r="K407" s="122">
        <f>IF(E407&gt;=5000,"🏆 Platinum",IF(E407&gt;=2000,"🥇 Gold",IF(E407&gt;=800,"🥈 Silver","🥉 Bronze")))</f>
        <v/>
      </c>
      <c r="L407" s="125" t="n">
        <v>40676</v>
      </c>
    </row>
    <row r="408">
      <c r="A408" s="126" t="n">
        <v>12863</v>
      </c>
      <c r="B408" s="126" t="inlineStr">
        <is>
          <t>United Kingdom</t>
        </is>
      </c>
      <c r="C408" s="126" t="n">
        <v>53</v>
      </c>
      <c r="D408" s="126" t="n">
        <v>1</v>
      </c>
      <c r="E408" s="127" t="n">
        <v>521.2</v>
      </c>
      <c r="F408" s="128">
        <f>IF(C408&lt;=30,5,IF(C408&lt;=60,4,IF(C408&lt;=120,3,IF(C408&lt;=200,2,1))))</f>
        <v/>
      </c>
      <c r="G408" s="128">
        <f>IF(D408&gt;=20,5,IF(D408&gt;=10,4,IF(D408&gt;=5,3,IF(D408&gt;=2,2,1))))</f>
        <v/>
      </c>
      <c r="H408" s="128">
        <f>IF(E408&gt;=5000,5,IF(E408&gt;=2000,4,IF(E408&gt;=800,3,IF(E408&gt;=300,2,1))))</f>
        <v/>
      </c>
      <c r="I408" s="126">
        <f>TEXT(F408,"0")&amp;TEXT(G408,"0")&amp;TEXT(H408,"0")</f>
        <v/>
      </c>
      <c r="J408" s="126">
        <f>IFERROR(XLOOKUP(I408,'Segment Map'!A:A,'Segment Map'!B:B,"Need Attention"),"Need Attention")</f>
        <v/>
      </c>
      <c r="K408" s="126">
        <f>IF(E408&gt;=5000,"🏆 Platinum",IF(E408&gt;=2000,"🥇 Gold",IF(E408&gt;=800,"🥈 Silver","🥉 Bronze")))</f>
        <v/>
      </c>
      <c r="L408" s="129" t="n">
        <v>40834</v>
      </c>
    </row>
    <row r="409">
      <c r="A409" s="122" t="n">
        <v>12864</v>
      </c>
      <c r="B409" s="122" t="inlineStr">
        <is>
          <t>United Kingdom</t>
        </is>
      </c>
      <c r="C409" s="122" t="n">
        <v>139</v>
      </c>
      <c r="D409" s="122" t="n">
        <v>1</v>
      </c>
      <c r="E409" s="123" t="n">
        <v>147.12</v>
      </c>
      <c r="F409" s="124">
        <f>IF(C409&lt;=30,5,IF(C409&lt;=60,4,IF(C409&lt;=120,3,IF(C409&lt;=200,2,1))))</f>
        <v/>
      </c>
      <c r="G409" s="124">
        <f>IF(D409&gt;=20,5,IF(D409&gt;=10,4,IF(D409&gt;=5,3,IF(D409&gt;=2,2,1))))</f>
        <v/>
      </c>
      <c r="H409" s="124">
        <f>IF(E409&gt;=5000,5,IF(E409&gt;=2000,4,IF(E409&gt;=800,3,IF(E409&gt;=300,2,1))))</f>
        <v/>
      </c>
      <c r="I409" s="122">
        <f>TEXT(F409,"0")&amp;TEXT(G409,"0")&amp;TEXT(H409,"0")</f>
        <v/>
      </c>
      <c r="J409" s="122">
        <f>IFERROR(XLOOKUP(I409,'Segment Map'!A:A,'Segment Map'!B:B,"Need Attention"),"Need Attention")</f>
        <v/>
      </c>
      <c r="K409" s="122">
        <f>IF(E409&gt;=5000,"🏆 Platinum",IF(E409&gt;=2000,"🥇 Gold",IF(E409&gt;=800,"🥈 Silver","🥉 Bronze")))</f>
        <v/>
      </c>
      <c r="L409" s="125" t="n">
        <v>40748</v>
      </c>
    </row>
    <row r="410">
      <c r="A410" s="126" t="n">
        <v>12865</v>
      </c>
      <c r="B410" s="126" t="inlineStr">
        <is>
          <t>Austria</t>
        </is>
      </c>
      <c r="C410" s="126" t="n">
        <v>27</v>
      </c>
      <c r="D410" s="126" t="n">
        <v>2</v>
      </c>
      <c r="E410" s="127" t="n">
        <v>1568.23</v>
      </c>
      <c r="F410" s="128">
        <f>IF(C410&lt;=30,5,IF(C410&lt;=60,4,IF(C410&lt;=120,3,IF(C410&lt;=200,2,1))))</f>
        <v/>
      </c>
      <c r="G410" s="128">
        <f>IF(D410&gt;=20,5,IF(D410&gt;=10,4,IF(D410&gt;=5,3,IF(D410&gt;=2,2,1))))</f>
        <v/>
      </c>
      <c r="H410" s="128">
        <f>IF(E410&gt;=5000,5,IF(E410&gt;=2000,4,IF(E410&gt;=800,3,IF(E410&gt;=300,2,1))))</f>
        <v/>
      </c>
      <c r="I410" s="126">
        <f>TEXT(F410,"0")&amp;TEXT(G410,"0")&amp;TEXT(H410,"0")</f>
        <v/>
      </c>
      <c r="J410" s="126">
        <f>IFERROR(XLOOKUP(I410,'Segment Map'!A:A,'Segment Map'!B:B,"Need Attention"),"Need Attention")</f>
        <v/>
      </c>
      <c r="K410" s="126">
        <f>IF(E410&gt;=5000,"🏆 Platinum",IF(E410&gt;=2000,"🥇 Gold",IF(E410&gt;=800,"🥈 Silver","🥉 Bronze")))</f>
        <v/>
      </c>
      <c r="L410" s="129" t="n">
        <v>40860</v>
      </c>
    </row>
    <row r="411">
      <c r="A411" s="122" t="n">
        <v>12866</v>
      </c>
      <c r="B411" s="122" t="inlineStr">
        <is>
          <t>Belgium</t>
        </is>
      </c>
      <c r="C411" s="122" t="n">
        <v>284</v>
      </c>
      <c r="D411" s="122" t="n">
        <v>1</v>
      </c>
      <c r="E411" s="123" t="n">
        <v>559.12</v>
      </c>
      <c r="F411" s="124">
        <f>IF(C411&lt;=30,5,IF(C411&lt;=60,4,IF(C411&lt;=120,3,IF(C411&lt;=200,2,1))))</f>
        <v/>
      </c>
      <c r="G411" s="124">
        <f>IF(D411&gt;=20,5,IF(D411&gt;=10,4,IF(D411&gt;=5,3,IF(D411&gt;=2,2,1))))</f>
        <v/>
      </c>
      <c r="H411" s="124">
        <f>IF(E411&gt;=5000,5,IF(E411&gt;=2000,4,IF(E411&gt;=800,3,IF(E411&gt;=300,2,1))))</f>
        <v/>
      </c>
      <c r="I411" s="122">
        <f>TEXT(F411,"0")&amp;TEXT(G411,"0")&amp;TEXT(H411,"0")</f>
        <v/>
      </c>
      <c r="J411" s="122">
        <f>IFERROR(XLOOKUP(I411,'Segment Map'!A:A,'Segment Map'!B:B,"Need Attention"),"Need Attention")</f>
        <v/>
      </c>
      <c r="K411" s="122">
        <f>IF(E411&gt;=5000,"🏆 Platinum",IF(E411&gt;=2000,"🥇 Gold",IF(E411&gt;=800,"🥈 Silver","🥉 Bronze")))</f>
        <v/>
      </c>
      <c r="L411" s="125" t="n">
        <v>40603</v>
      </c>
    </row>
    <row r="412">
      <c r="A412" s="126" t="n">
        <v>12867</v>
      </c>
      <c r="B412" s="126" t="inlineStr">
        <is>
          <t>United Kingdom</t>
        </is>
      </c>
      <c r="C412" s="126" t="n">
        <v>27</v>
      </c>
      <c r="D412" s="126" t="n">
        <v>7</v>
      </c>
      <c r="E412" s="127" t="n">
        <v>4036.82</v>
      </c>
      <c r="F412" s="128">
        <f>IF(C412&lt;=30,5,IF(C412&lt;=60,4,IF(C412&lt;=120,3,IF(C412&lt;=200,2,1))))</f>
        <v/>
      </c>
      <c r="G412" s="128">
        <f>IF(D412&gt;=20,5,IF(D412&gt;=10,4,IF(D412&gt;=5,3,IF(D412&gt;=2,2,1))))</f>
        <v/>
      </c>
      <c r="H412" s="128">
        <f>IF(E412&gt;=5000,5,IF(E412&gt;=2000,4,IF(E412&gt;=800,3,IF(E412&gt;=300,2,1))))</f>
        <v/>
      </c>
      <c r="I412" s="126">
        <f>TEXT(F412,"0")&amp;TEXT(G412,"0")&amp;TEXT(H412,"0")</f>
        <v/>
      </c>
      <c r="J412" s="126">
        <f>IFERROR(XLOOKUP(I412,'Segment Map'!A:A,'Segment Map'!B:B,"Need Attention"),"Need Attention")</f>
        <v/>
      </c>
      <c r="K412" s="126">
        <f>IF(E412&gt;=5000,"🏆 Platinum",IF(E412&gt;=2000,"🥇 Gold",IF(E412&gt;=800,"🥈 Silver","🥉 Bronze")))</f>
        <v/>
      </c>
      <c r="L412" s="129" t="n">
        <v>40860</v>
      </c>
    </row>
    <row r="413">
      <c r="A413" s="122" t="n">
        <v>12868</v>
      </c>
      <c r="B413" s="122" t="inlineStr">
        <is>
          <t>United Kingdom</t>
        </is>
      </c>
      <c r="C413" s="122" t="n">
        <v>186</v>
      </c>
      <c r="D413" s="122" t="n">
        <v>6</v>
      </c>
      <c r="E413" s="123" t="n">
        <v>1607.06</v>
      </c>
      <c r="F413" s="124">
        <f>IF(C413&lt;=30,5,IF(C413&lt;=60,4,IF(C413&lt;=120,3,IF(C413&lt;=200,2,1))))</f>
        <v/>
      </c>
      <c r="G413" s="124">
        <f>IF(D413&gt;=20,5,IF(D413&gt;=10,4,IF(D413&gt;=5,3,IF(D413&gt;=2,2,1))))</f>
        <v/>
      </c>
      <c r="H413" s="124">
        <f>IF(E413&gt;=5000,5,IF(E413&gt;=2000,4,IF(E413&gt;=800,3,IF(E413&gt;=300,2,1))))</f>
        <v/>
      </c>
      <c r="I413" s="122">
        <f>TEXT(F413,"0")&amp;TEXT(G413,"0")&amp;TEXT(H413,"0")</f>
        <v/>
      </c>
      <c r="J413" s="122">
        <f>IFERROR(XLOOKUP(I413,'Segment Map'!A:A,'Segment Map'!B:B,"Need Attention"),"Need Attention")</f>
        <v/>
      </c>
      <c r="K413" s="122">
        <f>IF(E413&gt;=5000,"🏆 Platinum",IF(E413&gt;=2000,"🥇 Gold",IF(E413&gt;=800,"🥈 Silver","🥉 Bronze")))</f>
        <v/>
      </c>
      <c r="L413" s="125" t="n">
        <v>40701</v>
      </c>
    </row>
    <row r="414">
      <c r="A414" s="126" t="n">
        <v>12871</v>
      </c>
      <c r="B414" s="126" t="inlineStr">
        <is>
          <t>United Kingdom</t>
        </is>
      </c>
      <c r="C414" s="126" t="n">
        <v>85</v>
      </c>
      <c r="D414" s="126" t="n">
        <v>2</v>
      </c>
      <c r="E414" s="127" t="n">
        <v>380.64</v>
      </c>
      <c r="F414" s="128">
        <f>IF(C414&lt;=30,5,IF(C414&lt;=60,4,IF(C414&lt;=120,3,IF(C414&lt;=200,2,1))))</f>
        <v/>
      </c>
      <c r="G414" s="128">
        <f>IF(D414&gt;=20,5,IF(D414&gt;=10,4,IF(D414&gt;=5,3,IF(D414&gt;=2,2,1))))</f>
        <v/>
      </c>
      <c r="H414" s="128">
        <f>IF(E414&gt;=5000,5,IF(E414&gt;=2000,4,IF(E414&gt;=800,3,IF(E414&gt;=300,2,1))))</f>
        <v/>
      </c>
      <c r="I414" s="126">
        <f>TEXT(F414,"0")&amp;TEXT(G414,"0")&amp;TEXT(H414,"0")</f>
        <v/>
      </c>
      <c r="J414" s="126">
        <f>IFERROR(XLOOKUP(I414,'Segment Map'!A:A,'Segment Map'!B:B,"Need Attention"),"Need Attention")</f>
        <v/>
      </c>
      <c r="K414" s="126">
        <f>IF(E414&gt;=5000,"🏆 Platinum",IF(E414&gt;=2000,"🥇 Gold",IF(E414&gt;=800,"🥈 Silver","🥉 Bronze")))</f>
        <v/>
      </c>
      <c r="L414" s="129" t="n">
        <v>40802</v>
      </c>
    </row>
    <row r="415">
      <c r="A415" s="122" t="n">
        <v>12872</v>
      </c>
      <c r="B415" s="122" t="inlineStr">
        <is>
          <t>United Kingdom</t>
        </is>
      </c>
      <c r="C415" s="122" t="n">
        <v>327</v>
      </c>
      <c r="D415" s="122" t="n">
        <v>2</v>
      </c>
      <c r="E415" s="123" t="n">
        <v>599.97</v>
      </c>
      <c r="F415" s="124">
        <f>IF(C415&lt;=30,5,IF(C415&lt;=60,4,IF(C415&lt;=120,3,IF(C415&lt;=200,2,1))))</f>
        <v/>
      </c>
      <c r="G415" s="124">
        <f>IF(D415&gt;=20,5,IF(D415&gt;=10,4,IF(D415&gt;=5,3,IF(D415&gt;=2,2,1))))</f>
        <v/>
      </c>
      <c r="H415" s="124">
        <f>IF(E415&gt;=5000,5,IF(E415&gt;=2000,4,IF(E415&gt;=800,3,IF(E415&gt;=300,2,1))))</f>
        <v/>
      </c>
      <c r="I415" s="122">
        <f>TEXT(F415,"0")&amp;TEXT(G415,"0")&amp;TEXT(H415,"0")</f>
        <v/>
      </c>
      <c r="J415" s="122">
        <f>IFERROR(XLOOKUP(I415,'Segment Map'!A:A,'Segment Map'!B:B,"Need Attention"),"Need Attention")</f>
        <v/>
      </c>
      <c r="K415" s="122">
        <f>IF(E415&gt;=5000,"🏆 Platinum",IF(E415&gt;=2000,"🥇 Gold",IF(E415&gt;=800,"🥈 Silver","🥉 Bronze")))</f>
        <v/>
      </c>
      <c r="L415" s="125" t="n">
        <v>40560</v>
      </c>
    </row>
    <row r="416">
      <c r="A416" s="126" t="n">
        <v>12873</v>
      </c>
      <c r="B416" s="126" t="inlineStr">
        <is>
          <t>United Kingdom</t>
        </is>
      </c>
      <c r="C416" s="126" t="n">
        <v>283</v>
      </c>
      <c r="D416" s="126" t="n">
        <v>1</v>
      </c>
      <c r="E416" s="127" t="n">
        <v>374</v>
      </c>
      <c r="F416" s="128">
        <f>IF(C416&lt;=30,5,IF(C416&lt;=60,4,IF(C416&lt;=120,3,IF(C416&lt;=200,2,1))))</f>
        <v/>
      </c>
      <c r="G416" s="128">
        <f>IF(D416&gt;=20,5,IF(D416&gt;=10,4,IF(D416&gt;=5,3,IF(D416&gt;=2,2,1))))</f>
        <v/>
      </c>
      <c r="H416" s="128">
        <f>IF(E416&gt;=5000,5,IF(E416&gt;=2000,4,IF(E416&gt;=800,3,IF(E416&gt;=300,2,1))))</f>
        <v/>
      </c>
      <c r="I416" s="126">
        <f>TEXT(F416,"0")&amp;TEXT(G416,"0")&amp;TEXT(H416,"0")</f>
        <v/>
      </c>
      <c r="J416" s="126">
        <f>IFERROR(XLOOKUP(I416,'Segment Map'!A:A,'Segment Map'!B:B,"Need Attention"),"Need Attention")</f>
        <v/>
      </c>
      <c r="K416" s="126">
        <f>IF(E416&gt;=5000,"🏆 Platinum",IF(E416&gt;=2000,"🥇 Gold",IF(E416&gt;=800,"🥈 Silver","🥉 Bronze")))</f>
        <v/>
      </c>
      <c r="L416" s="129" t="n">
        <v>40604</v>
      </c>
    </row>
    <row r="417">
      <c r="A417" s="122" t="n">
        <v>12875</v>
      </c>
      <c r="B417" s="122" t="inlineStr">
        <is>
          <t>United Kingdom</t>
        </is>
      </c>
      <c r="C417" s="122" t="n">
        <v>144</v>
      </c>
      <c r="D417" s="122" t="n">
        <v>2</v>
      </c>
      <c r="E417" s="123" t="n">
        <v>343.23</v>
      </c>
      <c r="F417" s="124">
        <f>IF(C417&lt;=30,5,IF(C417&lt;=60,4,IF(C417&lt;=120,3,IF(C417&lt;=200,2,1))))</f>
        <v/>
      </c>
      <c r="G417" s="124">
        <f>IF(D417&gt;=20,5,IF(D417&gt;=10,4,IF(D417&gt;=5,3,IF(D417&gt;=2,2,1))))</f>
        <v/>
      </c>
      <c r="H417" s="124">
        <f>IF(E417&gt;=5000,5,IF(E417&gt;=2000,4,IF(E417&gt;=800,3,IF(E417&gt;=300,2,1))))</f>
        <v/>
      </c>
      <c r="I417" s="122">
        <f>TEXT(F417,"0")&amp;TEXT(G417,"0")&amp;TEXT(H417,"0")</f>
        <v/>
      </c>
      <c r="J417" s="122">
        <f>IFERROR(XLOOKUP(I417,'Segment Map'!A:A,'Segment Map'!B:B,"Need Attention"),"Need Attention")</f>
        <v/>
      </c>
      <c r="K417" s="122">
        <f>IF(E417&gt;=5000,"🏆 Platinum",IF(E417&gt;=2000,"🥇 Gold",IF(E417&gt;=800,"🥈 Silver","🥉 Bronze")))</f>
        <v/>
      </c>
      <c r="L417" s="125" t="n">
        <v>40743</v>
      </c>
    </row>
    <row r="418">
      <c r="A418" s="126" t="n">
        <v>12876</v>
      </c>
      <c r="B418" s="126" t="inlineStr">
        <is>
          <t>Belgium</t>
        </is>
      </c>
      <c r="C418" s="126" t="n">
        <v>58</v>
      </c>
      <c r="D418" s="126" t="n">
        <v>2</v>
      </c>
      <c r="E418" s="127" t="n">
        <v>2218.02</v>
      </c>
      <c r="F418" s="128">
        <f>IF(C418&lt;=30,5,IF(C418&lt;=60,4,IF(C418&lt;=120,3,IF(C418&lt;=200,2,1))))</f>
        <v/>
      </c>
      <c r="G418" s="128">
        <f>IF(D418&gt;=20,5,IF(D418&gt;=10,4,IF(D418&gt;=5,3,IF(D418&gt;=2,2,1))))</f>
        <v/>
      </c>
      <c r="H418" s="128">
        <f>IF(E418&gt;=5000,5,IF(E418&gt;=2000,4,IF(E418&gt;=800,3,IF(E418&gt;=300,2,1))))</f>
        <v/>
      </c>
      <c r="I418" s="126">
        <f>TEXT(F418,"0")&amp;TEXT(G418,"0")&amp;TEXT(H418,"0")</f>
        <v/>
      </c>
      <c r="J418" s="126">
        <f>IFERROR(XLOOKUP(I418,'Segment Map'!A:A,'Segment Map'!B:B,"Need Attention"),"Need Attention")</f>
        <v/>
      </c>
      <c r="K418" s="126">
        <f>IF(E418&gt;=5000,"🏆 Platinum",IF(E418&gt;=2000,"🥇 Gold",IF(E418&gt;=800,"🥈 Silver","🥉 Bronze")))</f>
        <v/>
      </c>
      <c r="L418" s="129" t="n">
        <v>40829</v>
      </c>
    </row>
    <row r="419">
      <c r="A419" s="122" t="n">
        <v>12877</v>
      </c>
      <c r="B419" s="122" t="inlineStr">
        <is>
          <t>United Kingdom</t>
        </is>
      </c>
      <c r="C419" s="122" t="n">
        <v>4</v>
      </c>
      <c r="D419" s="122" t="n">
        <v>12</v>
      </c>
      <c r="E419" s="123" t="n">
        <v>1535.77</v>
      </c>
      <c r="F419" s="124">
        <f>IF(C419&lt;=30,5,IF(C419&lt;=60,4,IF(C419&lt;=120,3,IF(C419&lt;=200,2,1))))</f>
        <v/>
      </c>
      <c r="G419" s="124">
        <f>IF(D419&gt;=20,5,IF(D419&gt;=10,4,IF(D419&gt;=5,3,IF(D419&gt;=2,2,1))))</f>
        <v/>
      </c>
      <c r="H419" s="124">
        <f>IF(E419&gt;=5000,5,IF(E419&gt;=2000,4,IF(E419&gt;=800,3,IF(E419&gt;=300,2,1))))</f>
        <v/>
      </c>
      <c r="I419" s="122">
        <f>TEXT(F419,"0")&amp;TEXT(G419,"0")&amp;TEXT(H419,"0")</f>
        <v/>
      </c>
      <c r="J419" s="122">
        <f>IFERROR(XLOOKUP(I419,'Segment Map'!A:A,'Segment Map'!B:B,"Need Attention"),"Need Attention")</f>
        <v/>
      </c>
      <c r="K419" s="122">
        <f>IF(E419&gt;=5000,"🏆 Platinum",IF(E419&gt;=2000,"🥇 Gold",IF(E419&gt;=800,"🥈 Silver","🥉 Bronze")))</f>
        <v/>
      </c>
      <c r="L419" s="125" t="n">
        <v>40883</v>
      </c>
    </row>
    <row r="420">
      <c r="A420" s="126" t="n">
        <v>12878</v>
      </c>
      <c r="B420" s="126" t="inlineStr">
        <is>
          <t>United Kingdom</t>
        </is>
      </c>
      <c r="C420" s="126" t="n">
        <v>237</v>
      </c>
      <c r="D420" s="126" t="n">
        <v>2</v>
      </c>
      <c r="E420" s="127" t="n">
        <v>854.99</v>
      </c>
      <c r="F420" s="128">
        <f>IF(C420&lt;=30,5,IF(C420&lt;=60,4,IF(C420&lt;=120,3,IF(C420&lt;=200,2,1))))</f>
        <v/>
      </c>
      <c r="G420" s="128">
        <f>IF(D420&gt;=20,5,IF(D420&gt;=10,4,IF(D420&gt;=5,3,IF(D420&gt;=2,2,1))))</f>
        <v/>
      </c>
      <c r="H420" s="128">
        <f>IF(E420&gt;=5000,5,IF(E420&gt;=2000,4,IF(E420&gt;=800,3,IF(E420&gt;=300,2,1))))</f>
        <v/>
      </c>
      <c r="I420" s="126">
        <f>TEXT(F420,"0")&amp;TEXT(G420,"0")&amp;TEXT(H420,"0")</f>
        <v/>
      </c>
      <c r="J420" s="126">
        <f>IFERROR(XLOOKUP(I420,'Segment Map'!A:A,'Segment Map'!B:B,"Need Attention"),"Need Attention")</f>
        <v/>
      </c>
      <c r="K420" s="126">
        <f>IF(E420&gt;=5000,"🏆 Platinum",IF(E420&gt;=2000,"🥇 Gold",IF(E420&gt;=800,"🥈 Silver","🥉 Bronze")))</f>
        <v/>
      </c>
      <c r="L420" s="129" t="n">
        <v>40650</v>
      </c>
    </row>
    <row r="421">
      <c r="A421" s="122" t="n">
        <v>12879</v>
      </c>
      <c r="B421" s="122" t="inlineStr">
        <is>
          <t>United Kingdom</t>
        </is>
      </c>
      <c r="C421" s="122" t="n">
        <v>45</v>
      </c>
      <c r="D421" s="122" t="n">
        <v>3</v>
      </c>
      <c r="E421" s="123" t="n">
        <v>573.22</v>
      </c>
      <c r="F421" s="124">
        <f>IF(C421&lt;=30,5,IF(C421&lt;=60,4,IF(C421&lt;=120,3,IF(C421&lt;=200,2,1))))</f>
        <v/>
      </c>
      <c r="G421" s="124">
        <f>IF(D421&gt;=20,5,IF(D421&gt;=10,4,IF(D421&gt;=5,3,IF(D421&gt;=2,2,1))))</f>
        <v/>
      </c>
      <c r="H421" s="124">
        <f>IF(E421&gt;=5000,5,IF(E421&gt;=2000,4,IF(E421&gt;=800,3,IF(E421&gt;=300,2,1))))</f>
        <v/>
      </c>
      <c r="I421" s="122">
        <f>TEXT(F421,"0")&amp;TEXT(G421,"0")&amp;TEXT(H421,"0")</f>
        <v/>
      </c>
      <c r="J421" s="122">
        <f>IFERROR(XLOOKUP(I421,'Segment Map'!A:A,'Segment Map'!B:B,"Need Attention"),"Need Attention")</f>
        <v/>
      </c>
      <c r="K421" s="122">
        <f>IF(E421&gt;=5000,"🏆 Platinum",IF(E421&gt;=2000,"🥇 Gold",IF(E421&gt;=800,"🥈 Silver","🥉 Bronze")))</f>
        <v/>
      </c>
      <c r="L421" s="125" t="n">
        <v>40842</v>
      </c>
    </row>
    <row r="422">
      <c r="A422" s="126" t="n">
        <v>12881</v>
      </c>
      <c r="B422" s="126" t="inlineStr">
        <is>
          <t>United Kingdom</t>
        </is>
      </c>
      <c r="C422" s="126" t="n">
        <v>276</v>
      </c>
      <c r="D422" s="126" t="n">
        <v>1</v>
      </c>
      <c r="E422" s="127" t="n">
        <v>298</v>
      </c>
      <c r="F422" s="128">
        <f>IF(C422&lt;=30,5,IF(C422&lt;=60,4,IF(C422&lt;=120,3,IF(C422&lt;=200,2,1))))</f>
        <v/>
      </c>
      <c r="G422" s="128">
        <f>IF(D422&gt;=20,5,IF(D422&gt;=10,4,IF(D422&gt;=5,3,IF(D422&gt;=2,2,1))))</f>
        <v/>
      </c>
      <c r="H422" s="128">
        <f>IF(E422&gt;=5000,5,IF(E422&gt;=2000,4,IF(E422&gt;=800,3,IF(E422&gt;=300,2,1))))</f>
        <v/>
      </c>
      <c r="I422" s="126">
        <f>TEXT(F422,"0")&amp;TEXT(G422,"0")&amp;TEXT(H422,"0")</f>
        <v/>
      </c>
      <c r="J422" s="126">
        <f>IFERROR(XLOOKUP(I422,'Segment Map'!A:A,'Segment Map'!B:B,"Need Attention"),"Need Attention")</f>
        <v/>
      </c>
      <c r="K422" s="126">
        <f>IF(E422&gt;=5000,"🏆 Platinum",IF(E422&gt;=2000,"🥇 Gold",IF(E422&gt;=800,"🥈 Silver","🥉 Bronze")))</f>
        <v/>
      </c>
      <c r="L422" s="129" t="n">
        <v>40611</v>
      </c>
    </row>
    <row r="423">
      <c r="A423" s="122" t="n">
        <v>12882</v>
      </c>
      <c r="B423" s="122" t="inlineStr">
        <is>
          <t>United Kingdom</t>
        </is>
      </c>
      <c r="C423" s="122" t="n">
        <v>10</v>
      </c>
      <c r="D423" s="122" t="n">
        <v>2</v>
      </c>
      <c r="E423" s="123" t="n">
        <v>1463.04</v>
      </c>
      <c r="F423" s="124">
        <f>IF(C423&lt;=30,5,IF(C423&lt;=60,4,IF(C423&lt;=120,3,IF(C423&lt;=200,2,1))))</f>
        <v/>
      </c>
      <c r="G423" s="124">
        <f>IF(D423&gt;=20,5,IF(D423&gt;=10,4,IF(D423&gt;=5,3,IF(D423&gt;=2,2,1))))</f>
        <v/>
      </c>
      <c r="H423" s="124">
        <f>IF(E423&gt;=5000,5,IF(E423&gt;=2000,4,IF(E423&gt;=800,3,IF(E423&gt;=300,2,1))))</f>
        <v/>
      </c>
      <c r="I423" s="122">
        <f>TEXT(F423,"0")&amp;TEXT(G423,"0")&amp;TEXT(H423,"0")</f>
        <v/>
      </c>
      <c r="J423" s="122">
        <f>IFERROR(XLOOKUP(I423,'Segment Map'!A:A,'Segment Map'!B:B,"Need Attention"),"Need Attention")</f>
        <v/>
      </c>
      <c r="K423" s="122">
        <f>IF(E423&gt;=5000,"🏆 Platinum",IF(E423&gt;=2000,"🥇 Gold",IF(E423&gt;=800,"🥈 Silver","🥉 Bronze")))</f>
        <v/>
      </c>
      <c r="L423" s="125" t="n">
        <v>40877</v>
      </c>
    </row>
    <row r="424">
      <c r="A424" s="126" t="n">
        <v>12883</v>
      </c>
      <c r="B424" s="126" t="inlineStr">
        <is>
          <t>United Kingdom</t>
        </is>
      </c>
      <c r="C424" s="126" t="n">
        <v>25</v>
      </c>
      <c r="D424" s="126" t="n">
        <v>4</v>
      </c>
      <c r="E424" s="127" t="n">
        <v>703.47</v>
      </c>
      <c r="F424" s="128">
        <f>IF(C424&lt;=30,5,IF(C424&lt;=60,4,IF(C424&lt;=120,3,IF(C424&lt;=200,2,1))))</f>
        <v/>
      </c>
      <c r="G424" s="128">
        <f>IF(D424&gt;=20,5,IF(D424&gt;=10,4,IF(D424&gt;=5,3,IF(D424&gt;=2,2,1))))</f>
        <v/>
      </c>
      <c r="H424" s="128">
        <f>IF(E424&gt;=5000,5,IF(E424&gt;=2000,4,IF(E424&gt;=800,3,IF(E424&gt;=300,2,1))))</f>
        <v/>
      </c>
      <c r="I424" s="126">
        <f>TEXT(F424,"0")&amp;TEXT(G424,"0")&amp;TEXT(H424,"0")</f>
        <v/>
      </c>
      <c r="J424" s="126">
        <f>IFERROR(XLOOKUP(I424,'Segment Map'!A:A,'Segment Map'!B:B,"Need Attention"),"Need Attention")</f>
        <v/>
      </c>
      <c r="K424" s="126">
        <f>IF(E424&gt;=5000,"🏆 Platinum",IF(E424&gt;=2000,"🥇 Gold",IF(E424&gt;=800,"🥈 Silver","🥉 Bronze")))</f>
        <v/>
      </c>
      <c r="L424" s="129" t="n">
        <v>40862</v>
      </c>
    </row>
    <row r="425">
      <c r="A425" s="122" t="n">
        <v>12884</v>
      </c>
      <c r="B425" s="122" t="inlineStr">
        <is>
          <t>United Kingdom</t>
        </is>
      </c>
      <c r="C425" s="122" t="n">
        <v>89</v>
      </c>
      <c r="D425" s="122" t="n">
        <v>1</v>
      </c>
      <c r="E425" s="123" t="n">
        <v>309.05</v>
      </c>
      <c r="F425" s="124">
        <f>IF(C425&lt;=30,5,IF(C425&lt;=60,4,IF(C425&lt;=120,3,IF(C425&lt;=200,2,1))))</f>
        <v/>
      </c>
      <c r="G425" s="124">
        <f>IF(D425&gt;=20,5,IF(D425&gt;=10,4,IF(D425&gt;=5,3,IF(D425&gt;=2,2,1))))</f>
        <v/>
      </c>
      <c r="H425" s="124">
        <f>IF(E425&gt;=5000,5,IF(E425&gt;=2000,4,IF(E425&gt;=800,3,IF(E425&gt;=300,2,1))))</f>
        <v/>
      </c>
      <c r="I425" s="122">
        <f>TEXT(F425,"0")&amp;TEXT(G425,"0")&amp;TEXT(H425,"0")</f>
        <v/>
      </c>
      <c r="J425" s="122">
        <f>IFERROR(XLOOKUP(I425,'Segment Map'!A:A,'Segment Map'!B:B,"Need Attention"),"Need Attention")</f>
        <v/>
      </c>
      <c r="K425" s="122">
        <f>IF(E425&gt;=5000,"🏆 Platinum",IF(E425&gt;=2000,"🥇 Gold",IF(E425&gt;=800,"🥈 Silver","🥉 Bronze")))</f>
        <v/>
      </c>
      <c r="L425" s="125" t="n">
        <v>40798</v>
      </c>
    </row>
    <row r="426">
      <c r="A426" s="126" t="n">
        <v>12885</v>
      </c>
      <c r="B426" s="126" t="inlineStr">
        <is>
          <t>United Kingdom</t>
        </is>
      </c>
      <c r="C426" s="126" t="n">
        <v>64</v>
      </c>
      <c r="D426" s="126" t="n">
        <v>3</v>
      </c>
      <c r="E426" s="127" t="n">
        <v>1175.22</v>
      </c>
      <c r="F426" s="128">
        <f>IF(C426&lt;=30,5,IF(C426&lt;=60,4,IF(C426&lt;=120,3,IF(C426&lt;=200,2,1))))</f>
        <v/>
      </c>
      <c r="G426" s="128">
        <f>IF(D426&gt;=20,5,IF(D426&gt;=10,4,IF(D426&gt;=5,3,IF(D426&gt;=2,2,1))))</f>
        <v/>
      </c>
      <c r="H426" s="128">
        <f>IF(E426&gt;=5000,5,IF(E426&gt;=2000,4,IF(E426&gt;=800,3,IF(E426&gt;=300,2,1))))</f>
        <v/>
      </c>
      <c r="I426" s="126">
        <f>TEXT(F426,"0")&amp;TEXT(G426,"0")&amp;TEXT(H426,"0")</f>
        <v/>
      </c>
      <c r="J426" s="126">
        <f>IFERROR(XLOOKUP(I426,'Segment Map'!A:A,'Segment Map'!B:B,"Need Attention"),"Need Attention")</f>
        <v/>
      </c>
      <c r="K426" s="126">
        <f>IF(E426&gt;=5000,"🏆 Platinum",IF(E426&gt;=2000,"🥇 Gold",IF(E426&gt;=800,"🥈 Silver","🥉 Bronze")))</f>
        <v/>
      </c>
      <c r="L426" s="129" t="n">
        <v>40823</v>
      </c>
    </row>
    <row r="427">
      <c r="A427" s="122" t="n">
        <v>12886</v>
      </c>
      <c r="B427" s="122" t="inlineStr">
        <is>
          <t>United Kingdom</t>
        </is>
      </c>
      <c r="C427" s="122" t="n">
        <v>68</v>
      </c>
      <c r="D427" s="122" t="n">
        <v>2</v>
      </c>
      <c r="E427" s="123" t="n">
        <v>1378.4</v>
      </c>
      <c r="F427" s="124">
        <f>IF(C427&lt;=30,5,IF(C427&lt;=60,4,IF(C427&lt;=120,3,IF(C427&lt;=200,2,1))))</f>
        <v/>
      </c>
      <c r="G427" s="124">
        <f>IF(D427&gt;=20,5,IF(D427&gt;=10,4,IF(D427&gt;=5,3,IF(D427&gt;=2,2,1))))</f>
        <v/>
      </c>
      <c r="H427" s="124">
        <f>IF(E427&gt;=5000,5,IF(E427&gt;=2000,4,IF(E427&gt;=800,3,IF(E427&gt;=300,2,1))))</f>
        <v/>
      </c>
      <c r="I427" s="122">
        <f>TEXT(F427,"0")&amp;TEXT(G427,"0")&amp;TEXT(H427,"0")</f>
        <v/>
      </c>
      <c r="J427" s="122">
        <f>IFERROR(XLOOKUP(I427,'Segment Map'!A:A,'Segment Map'!B:B,"Need Attention"),"Need Attention")</f>
        <v/>
      </c>
      <c r="K427" s="122">
        <f>IF(E427&gt;=5000,"🏆 Platinum",IF(E427&gt;=2000,"🥇 Gold",IF(E427&gt;=800,"🥈 Silver","🥉 Bronze")))</f>
        <v/>
      </c>
      <c r="L427" s="125" t="n">
        <v>40819</v>
      </c>
    </row>
    <row r="428">
      <c r="A428" s="126" t="n">
        <v>12888</v>
      </c>
      <c r="B428" s="126" t="inlineStr">
        <is>
          <t>United Kingdom</t>
        </is>
      </c>
      <c r="C428" s="126" t="n">
        <v>215</v>
      </c>
      <c r="D428" s="126" t="n">
        <v>2</v>
      </c>
      <c r="E428" s="127" t="n">
        <v>354.12</v>
      </c>
      <c r="F428" s="128">
        <f>IF(C428&lt;=30,5,IF(C428&lt;=60,4,IF(C428&lt;=120,3,IF(C428&lt;=200,2,1))))</f>
        <v/>
      </c>
      <c r="G428" s="128">
        <f>IF(D428&gt;=20,5,IF(D428&gt;=10,4,IF(D428&gt;=5,3,IF(D428&gt;=2,2,1))))</f>
        <v/>
      </c>
      <c r="H428" s="128">
        <f>IF(E428&gt;=5000,5,IF(E428&gt;=2000,4,IF(E428&gt;=800,3,IF(E428&gt;=300,2,1))))</f>
        <v/>
      </c>
      <c r="I428" s="126">
        <f>TEXT(F428,"0")&amp;TEXT(G428,"0")&amp;TEXT(H428,"0")</f>
        <v/>
      </c>
      <c r="J428" s="126">
        <f>IFERROR(XLOOKUP(I428,'Segment Map'!A:A,'Segment Map'!B:B,"Need Attention"),"Need Attention")</f>
        <v/>
      </c>
      <c r="K428" s="126">
        <f>IF(E428&gt;=5000,"🏆 Platinum",IF(E428&gt;=2000,"🥇 Gold",IF(E428&gt;=800,"🥈 Silver","🥉 Bronze")))</f>
        <v/>
      </c>
      <c r="L428" s="129" t="n">
        <v>40672</v>
      </c>
    </row>
    <row r="429">
      <c r="A429" s="122" t="n">
        <v>12890</v>
      </c>
      <c r="B429" s="122" t="inlineStr">
        <is>
          <t>United Kingdom</t>
        </is>
      </c>
      <c r="C429" s="122" t="n">
        <v>25</v>
      </c>
      <c r="D429" s="122" t="n">
        <v>1</v>
      </c>
      <c r="E429" s="123" t="n">
        <v>380.47</v>
      </c>
      <c r="F429" s="124">
        <f>IF(C429&lt;=30,5,IF(C429&lt;=60,4,IF(C429&lt;=120,3,IF(C429&lt;=200,2,1))))</f>
        <v/>
      </c>
      <c r="G429" s="124">
        <f>IF(D429&gt;=20,5,IF(D429&gt;=10,4,IF(D429&gt;=5,3,IF(D429&gt;=2,2,1))))</f>
        <v/>
      </c>
      <c r="H429" s="124">
        <f>IF(E429&gt;=5000,5,IF(E429&gt;=2000,4,IF(E429&gt;=800,3,IF(E429&gt;=300,2,1))))</f>
        <v/>
      </c>
      <c r="I429" s="122">
        <f>TEXT(F429,"0")&amp;TEXT(G429,"0")&amp;TEXT(H429,"0")</f>
        <v/>
      </c>
      <c r="J429" s="122">
        <f>IFERROR(XLOOKUP(I429,'Segment Map'!A:A,'Segment Map'!B:B,"Need Attention"),"Need Attention")</f>
        <v/>
      </c>
      <c r="K429" s="122">
        <f>IF(E429&gt;=5000,"🏆 Platinum",IF(E429&gt;=2000,"🥇 Gold",IF(E429&gt;=800,"🥈 Silver","🥉 Bronze")))</f>
        <v/>
      </c>
      <c r="L429" s="125" t="n">
        <v>40862</v>
      </c>
    </row>
    <row r="430">
      <c r="A430" s="126" t="n">
        <v>12891</v>
      </c>
      <c r="B430" s="126" t="inlineStr">
        <is>
          <t>United Kingdom</t>
        </is>
      </c>
      <c r="C430" s="126" t="n">
        <v>186</v>
      </c>
      <c r="D430" s="126" t="n">
        <v>3</v>
      </c>
      <c r="E430" s="127" t="n">
        <v>331</v>
      </c>
      <c r="F430" s="128">
        <f>IF(C430&lt;=30,5,IF(C430&lt;=60,4,IF(C430&lt;=120,3,IF(C430&lt;=200,2,1))))</f>
        <v/>
      </c>
      <c r="G430" s="128">
        <f>IF(D430&gt;=20,5,IF(D430&gt;=10,4,IF(D430&gt;=5,3,IF(D430&gt;=2,2,1))))</f>
        <v/>
      </c>
      <c r="H430" s="128">
        <f>IF(E430&gt;=5000,5,IF(E430&gt;=2000,4,IF(E430&gt;=800,3,IF(E430&gt;=300,2,1))))</f>
        <v/>
      </c>
      <c r="I430" s="126">
        <f>TEXT(F430,"0")&amp;TEXT(G430,"0")&amp;TEXT(H430,"0")</f>
        <v/>
      </c>
      <c r="J430" s="126">
        <f>IFERROR(XLOOKUP(I430,'Segment Map'!A:A,'Segment Map'!B:B,"Need Attention"),"Need Attention")</f>
        <v/>
      </c>
      <c r="K430" s="126">
        <f>IF(E430&gt;=5000,"🏆 Platinum",IF(E430&gt;=2000,"🥇 Gold",IF(E430&gt;=800,"🥈 Silver","🥉 Bronze")))</f>
        <v/>
      </c>
      <c r="L430" s="129" t="n">
        <v>40701</v>
      </c>
    </row>
    <row r="431">
      <c r="A431" s="122" t="n">
        <v>12893</v>
      </c>
      <c r="B431" s="122" t="inlineStr">
        <is>
          <t>United Kingdom</t>
        </is>
      </c>
      <c r="C431" s="122" t="n">
        <v>31</v>
      </c>
      <c r="D431" s="122" t="n">
        <v>1</v>
      </c>
      <c r="E431" s="123" t="n">
        <v>188.14</v>
      </c>
      <c r="F431" s="124">
        <f>IF(C431&lt;=30,5,IF(C431&lt;=60,4,IF(C431&lt;=120,3,IF(C431&lt;=200,2,1))))</f>
        <v/>
      </c>
      <c r="G431" s="124">
        <f>IF(D431&gt;=20,5,IF(D431&gt;=10,4,IF(D431&gt;=5,3,IF(D431&gt;=2,2,1))))</f>
        <v/>
      </c>
      <c r="H431" s="124">
        <f>IF(E431&gt;=5000,5,IF(E431&gt;=2000,4,IF(E431&gt;=800,3,IF(E431&gt;=300,2,1))))</f>
        <v/>
      </c>
      <c r="I431" s="122">
        <f>TEXT(F431,"0")&amp;TEXT(G431,"0")&amp;TEXT(H431,"0")</f>
        <v/>
      </c>
      <c r="J431" s="122">
        <f>IFERROR(XLOOKUP(I431,'Segment Map'!A:A,'Segment Map'!B:B,"Need Attention"),"Need Attention")</f>
        <v/>
      </c>
      <c r="K431" s="122">
        <f>IF(E431&gt;=5000,"🏆 Platinum",IF(E431&gt;=2000,"🥇 Gold",IF(E431&gt;=800,"🥈 Silver","🥉 Bronze")))</f>
        <v/>
      </c>
      <c r="L431" s="125" t="n">
        <v>40856</v>
      </c>
    </row>
    <row r="432">
      <c r="A432" s="126" t="n">
        <v>12895</v>
      </c>
      <c r="B432" s="126" t="inlineStr">
        <is>
          <t>United Kingdom</t>
        </is>
      </c>
      <c r="C432" s="126" t="n">
        <v>43</v>
      </c>
      <c r="D432" s="126" t="n">
        <v>2</v>
      </c>
      <c r="E432" s="127" t="n">
        <v>372.8</v>
      </c>
      <c r="F432" s="128">
        <f>IF(C432&lt;=30,5,IF(C432&lt;=60,4,IF(C432&lt;=120,3,IF(C432&lt;=200,2,1))))</f>
        <v/>
      </c>
      <c r="G432" s="128">
        <f>IF(D432&gt;=20,5,IF(D432&gt;=10,4,IF(D432&gt;=5,3,IF(D432&gt;=2,2,1))))</f>
        <v/>
      </c>
      <c r="H432" s="128">
        <f>IF(E432&gt;=5000,5,IF(E432&gt;=2000,4,IF(E432&gt;=800,3,IF(E432&gt;=300,2,1))))</f>
        <v/>
      </c>
      <c r="I432" s="126">
        <f>TEXT(F432,"0")&amp;TEXT(G432,"0")&amp;TEXT(H432,"0")</f>
        <v/>
      </c>
      <c r="J432" s="126">
        <f>IFERROR(XLOOKUP(I432,'Segment Map'!A:A,'Segment Map'!B:B,"Need Attention"),"Need Attention")</f>
        <v/>
      </c>
      <c r="K432" s="126">
        <f>IF(E432&gt;=5000,"🏆 Platinum",IF(E432&gt;=2000,"🥇 Gold",IF(E432&gt;=800,"🥈 Silver","🥉 Bronze")))</f>
        <v/>
      </c>
      <c r="L432" s="129" t="n">
        <v>40844</v>
      </c>
    </row>
    <row r="433">
      <c r="A433" s="122" t="n">
        <v>12897</v>
      </c>
      <c r="B433" s="122" t="inlineStr">
        <is>
          <t>United Kingdom</t>
        </is>
      </c>
      <c r="C433" s="122" t="n">
        <v>205</v>
      </c>
      <c r="D433" s="122" t="n">
        <v>2</v>
      </c>
      <c r="E433" s="123" t="n">
        <v>216.5</v>
      </c>
      <c r="F433" s="124">
        <f>IF(C433&lt;=30,5,IF(C433&lt;=60,4,IF(C433&lt;=120,3,IF(C433&lt;=200,2,1))))</f>
        <v/>
      </c>
      <c r="G433" s="124">
        <f>IF(D433&gt;=20,5,IF(D433&gt;=10,4,IF(D433&gt;=5,3,IF(D433&gt;=2,2,1))))</f>
        <v/>
      </c>
      <c r="H433" s="124">
        <f>IF(E433&gt;=5000,5,IF(E433&gt;=2000,4,IF(E433&gt;=800,3,IF(E433&gt;=300,2,1))))</f>
        <v/>
      </c>
      <c r="I433" s="122">
        <f>TEXT(F433,"0")&amp;TEXT(G433,"0")&amp;TEXT(H433,"0")</f>
        <v/>
      </c>
      <c r="J433" s="122">
        <f>IFERROR(XLOOKUP(I433,'Segment Map'!A:A,'Segment Map'!B:B,"Need Attention"),"Need Attention")</f>
        <v/>
      </c>
      <c r="K433" s="122">
        <f>IF(E433&gt;=5000,"🏆 Platinum",IF(E433&gt;=2000,"🥇 Gold",IF(E433&gt;=800,"🥈 Silver","🥉 Bronze")))</f>
        <v/>
      </c>
      <c r="L433" s="125" t="n">
        <v>40682</v>
      </c>
    </row>
    <row r="434">
      <c r="A434" s="126" t="n">
        <v>12901</v>
      </c>
      <c r="B434" s="126" t="inlineStr">
        <is>
          <t>United Kingdom</t>
        </is>
      </c>
      <c r="C434" s="126" t="n">
        <v>9</v>
      </c>
      <c r="D434" s="126" t="n">
        <v>28</v>
      </c>
      <c r="E434" s="127" t="n">
        <v>17654.54</v>
      </c>
      <c r="F434" s="128">
        <f>IF(C434&lt;=30,5,IF(C434&lt;=60,4,IF(C434&lt;=120,3,IF(C434&lt;=200,2,1))))</f>
        <v/>
      </c>
      <c r="G434" s="128">
        <f>IF(D434&gt;=20,5,IF(D434&gt;=10,4,IF(D434&gt;=5,3,IF(D434&gt;=2,2,1))))</f>
        <v/>
      </c>
      <c r="H434" s="128">
        <f>IF(E434&gt;=5000,5,IF(E434&gt;=2000,4,IF(E434&gt;=800,3,IF(E434&gt;=300,2,1))))</f>
        <v/>
      </c>
      <c r="I434" s="126">
        <f>TEXT(F434,"0")&amp;TEXT(G434,"0")&amp;TEXT(H434,"0")</f>
        <v/>
      </c>
      <c r="J434" s="126">
        <f>IFERROR(XLOOKUP(I434,'Segment Map'!A:A,'Segment Map'!B:B,"Need Attention"),"Need Attention")</f>
        <v/>
      </c>
      <c r="K434" s="126">
        <f>IF(E434&gt;=5000,"🏆 Platinum",IF(E434&gt;=2000,"🥇 Gold",IF(E434&gt;=800,"🥈 Silver","🥉 Bronze")))</f>
        <v/>
      </c>
      <c r="L434" s="129" t="n">
        <v>40878</v>
      </c>
    </row>
    <row r="435">
      <c r="A435" s="122" t="n">
        <v>12902</v>
      </c>
      <c r="B435" s="122" t="inlineStr">
        <is>
          <t>United Kingdom</t>
        </is>
      </c>
      <c r="C435" s="122" t="n">
        <v>265</v>
      </c>
      <c r="D435" s="122" t="n">
        <v>1</v>
      </c>
      <c r="E435" s="123" t="n">
        <v>138.68</v>
      </c>
      <c r="F435" s="124">
        <f>IF(C435&lt;=30,5,IF(C435&lt;=60,4,IF(C435&lt;=120,3,IF(C435&lt;=200,2,1))))</f>
        <v/>
      </c>
      <c r="G435" s="124">
        <f>IF(D435&gt;=20,5,IF(D435&gt;=10,4,IF(D435&gt;=5,3,IF(D435&gt;=2,2,1))))</f>
        <v/>
      </c>
      <c r="H435" s="124">
        <f>IF(E435&gt;=5000,5,IF(E435&gt;=2000,4,IF(E435&gt;=800,3,IF(E435&gt;=300,2,1))))</f>
        <v/>
      </c>
      <c r="I435" s="122">
        <f>TEXT(F435,"0")&amp;TEXT(G435,"0")&amp;TEXT(H435,"0")</f>
        <v/>
      </c>
      <c r="J435" s="122">
        <f>IFERROR(XLOOKUP(I435,'Segment Map'!A:A,'Segment Map'!B:B,"Need Attention"),"Need Attention")</f>
        <v/>
      </c>
      <c r="K435" s="122">
        <f>IF(E435&gt;=5000,"🏆 Platinum",IF(E435&gt;=2000,"🥇 Gold",IF(E435&gt;=800,"🥈 Silver","🥉 Bronze")))</f>
        <v/>
      </c>
      <c r="L435" s="125" t="n">
        <v>40622</v>
      </c>
    </row>
    <row r="436">
      <c r="A436" s="126" t="n">
        <v>12904</v>
      </c>
      <c r="B436" s="126" t="inlineStr">
        <is>
          <t>United Kingdom</t>
        </is>
      </c>
      <c r="C436" s="126" t="n">
        <v>19</v>
      </c>
      <c r="D436" s="126" t="n">
        <v>2</v>
      </c>
      <c r="E436" s="127" t="n">
        <v>509.58</v>
      </c>
      <c r="F436" s="128">
        <f>IF(C436&lt;=30,5,IF(C436&lt;=60,4,IF(C436&lt;=120,3,IF(C436&lt;=200,2,1))))</f>
        <v/>
      </c>
      <c r="G436" s="128">
        <f>IF(D436&gt;=20,5,IF(D436&gt;=10,4,IF(D436&gt;=5,3,IF(D436&gt;=2,2,1))))</f>
        <v/>
      </c>
      <c r="H436" s="128">
        <f>IF(E436&gt;=5000,5,IF(E436&gt;=2000,4,IF(E436&gt;=800,3,IF(E436&gt;=300,2,1))))</f>
        <v/>
      </c>
      <c r="I436" s="126">
        <f>TEXT(F436,"0")&amp;TEXT(G436,"0")&amp;TEXT(H436,"0")</f>
        <v/>
      </c>
      <c r="J436" s="126">
        <f>IFERROR(XLOOKUP(I436,'Segment Map'!A:A,'Segment Map'!B:B,"Need Attention"),"Need Attention")</f>
        <v/>
      </c>
      <c r="K436" s="126">
        <f>IF(E436&gt;=5000,"🏆 Platinum",IF(E436&gt;=2000,"🥇 Gold",IF(E436&gt;=800,"🥈 Silver","🥉 Bronze")))</f>
        <v/>
      </c>
      <c r="L436" s="129" t="n">
        <v>40868</v>
      </c>
    </row>
    <row r="437">
      <c r="A437" s="122" t="n">
        <v>12906</v>
      </c>
      <c r="B437" s="122" t="inlineStr">
        <is>
          <t>United Kingdom</t>
        </is>
      </c>
      <c r="C437" s="122" t="n">
        <v>12</v>
      </c>
      <c r="D437" s="122" t="n">
        <v>5</v>
      </c>
      <c r="E437" s="123" t="n">
        <v>2919.81</v>
      </c>
      <c r="F437" s="124">
        <f>IF(C437&lt;=30,5,IF(C437&lt;=60,4,IF(C437&lt;=120,3,IF(C437&lt;=200,2,1))))</f>
        <v/>
      </c>
      <c r="G437" s="124">
        <f>IF(D437&gt;=20,5,IF(D437&gt;=10,4,IF(D437&gt;=5,3,IF(D437&gt;=2,2,1))))</f>
        <v/>
      </c>
      <c r="H437" s="124">
        <f>IF(E437&gt;=5000,5,IF(E437&gt;=2000,4,IF(E437&gt;=800,3,IF(E437&gt;=300,2,1))))</f>
        <v/>
      </c>
      <c r="I437" s="122">
        <f>TEXT(F437,"0")&amp;TEXT(G437,"0")&amp;TEXT(H437,"0")</f>
        <v/>
      </c>
      <c r="J437" s="122">
        <f>IFERROR(XLOOKUP(I437,'Segment Map'!A:A,'Segment Map'!B:B,"Need Attention"),"Need Attention")</f>
        <v/>
      </c>
      <c r="K437" s="122">
        <f>IF(E437&gt;=5000,"🏆 Platinum",IF(E437&gt;=2000,"🥇 Gold",IF(E437&gt;=800,"🥈 Silver","🥉 Bronze")))</f>
        <v/>
      </c>
      <c r="L437" s="125" t="n">
        <v>40875</v>
      </c>
    </row>
    <row r="438">
      <c r="A438" s="126" t="n">
        <v>12908</v>
      </c>
      <c r="B438" s="126" t="inlineStr">
        <is>
          <t>United Kingdom</t>
        </is>
      </c>
      <c r="C438" s="126" t="n">
        <v>177</v>
      </c>
      <c r="D438" s="126" t="n">
        <v>2</v>
      </c>
      <c r="E438" s="127" t="n">
        <v>750</v>
      </c>
      <c r="F438" s="128">
        <f>IF(C438&lt;=30,5,IF(C438&lt;=60,4,IF(C438&lt;=120,3,IF(C438&lt;=200,2,1))))</f>
        <v/>
      </c>
      <c r="G438" s="128">
        <f>IF(D438&gt;=20,5,IF(D438&gt;=10,4,IF(D438&gt;=5,3,IF(D438&gt;=2,2,1))))</f>
        <v/>
      </c>
      <c r="H438" s="128">
        <f>IF(E438&gt;=5000,5,IF(E438&gt;=2000,4,IF(E438&gt;=800,3,IF(E438&gt;=300,2,1))))</f>
        <v/>
      </c>
      <c r="I438" s="126">
        <f>TEXT(F438,"0")&amp;TEXT(G438,"0")&amp;TEXT(H438,"0")</f>
        <v/>
      </c>
      <c r="J438" s="126">
        <f>IFERROR(XLOOKUP(I438,'Segment Map'!A:A,'Segment Map'!B:B,"Need Attention"),"Need Attention")</f>
        <v/>
      </c>
      <c r="K438" s="126">
        <f>IF(E438&gt;=5000,"🏆 Platinum",IF(E438&gt;=2000,"🥇 Gold",IF(E438&gt;=800,"🥈 Silver","🥉 Bronze")))</f>
        <v/>
      </c>
      <c r="L438" s="129" t="n">
        <v>40710</v>
      </c>
    </row>
    <row r="439">
      <c r="A439" s="122" t="n">
        <v>12909</v>
      </c>
      <c r="B439" s="122" t="inlineStr">
        <is>
          <t>United Kingdom</t>
        </is>
      </c>
      <c r="C439" s="122" t="n">
        <v>40</v>
      </c>
      <c r="D439" s="122" t="n">
        <v>5</v>
      </c>
      <c r="E439" s="123" t="n">
        <v>2178.67</v>
      </c>
      <c r="F439" s="124">
        <f>IF(C439&lt;=30,5,IF(C439&lt;=60,4,IF(C439&lt;=120,3,IF(C439&lt;=200,2,1))))</f>
        <v/>
      </c>
      <c r="G439" s="124">
        <f>IF(D439&gt;=20,5,IF(D439&gt;=10,4,IF(D439&gt;=5,3,IF(D439&gt;=2,2,1))))</f>
        <v/>
      </c>
      <c r="H439" s="124">
        <f>IF(E439&gt;=5000,5,IF(E439&gt;=2000,4,IF(E439&gt;=800,3,IF(E439&gt;=300,2,1))))</f>
        <v/>
      </c>
      <c r="I439" s="122">
        <f>TEXT(F439,"0")&amp;TEXT(G439,"0")&amp;TEXT(H439,"0")</f>
        <v/>
      </c>
      <c r="J439" s="122">
        <f>IFERROR(XLOOKUP(I439,'Segment Map'!A:A,'Segment Map'!B:B,"Need Attention"),"Need Attention")</f>
        <v/>
      </c>
      <c r="K439" s="122">
        <f>IF(E439&gt;=5000,"🏆 Platinum",IF(E439&gt;=2000,"🥇 Gold",IF(E439&gt;=800,"🥈 Silver","🥉 Bronze")))</f>
        <v/>
      </c>
      <c r="L439" s="125" t="n">
        <v>40847</v>
      </c>
    </row>
    <row r="440">
      <c r="A440" s="126" t="n">
        <v>12910</v>
      </c>
      <c r="B440" s="126" t="inlineStr">
        <is>
          <t>United Kingdom</t>
        </is>
      </c>
      <c r="C440" s="126" t="n">
        <v>24</v>
      </c>
      <c r="D440" s="126" t="n">
        <v>8</v>
      </c>
      <c r="E440" s="127" t="n">
        <v>3075.04</v>
      </c>
      <c r="F440" s="128">
        <f>IF(C440&lt;=30,5,IF(C440&lt;=60,4,IF(C440&lt;=120,3,IF(C440&lt;=200,2,1))))</f>
        <v/>
      </c>
      <c r="G440" s="128">
        <f>IF(D440&gt;=20,5,IF(D440&gt;=10,4,IF(D440&gt;=5,3,IF(D440&gt;=2,2,1))))</f>
        <v/>
      </c>
      <c r="H440" s="128">
        <f>IF(E440&gt;=5000,5,IF(E440&gt;=2000,4,IF(E440&gt;=800,3,IF(E440&gt;=300,2,1))))</f>
        <v/>
      </c>
      <c r="I440" s="126">
        <f>TEXT(F440,"0")&amp;TEXT(G440,"0")&amp;TEXT(H440,"0")</f>
        <v/>
      </c>
      <c r="J440" s="126">
        <f>IFERROR(XLOOKUP(I440,'Segment Map'!A:A,'Segment Map'!B:B,"Need Attention"),"Need Attention")</f>
        <v/>
      </c>
      <c r="K440" s="126">
        <f>IF(E440&gt;=5000,"🏆 Platinum",IF(E440&gt;=2000,"🥇 Gold",IF(E440&gt;=800,"🥈 Silver","🥉 Bronze")))</f>
        <v/>
      </c>
      <c r="L440" s="129" t="n">
        <v>40863</v>
      </c>
    </row>
    <row r="441">
      <c r="A441" s="122" t="n">
        <v>12912</v>
      </c>
      <c r="B441" s="122" t="inlineStr">
        <is>
          <t>United Kingdom</t>
        </is>
      </c>
      <c r="C441" s="122" t="n">
        <v>3</v>
      </c>
      <c r="D441" s="122" t="n">
        <v>5</v>
      </c>
      <c r="E441" s="123" t="n">
        <v>1662.3</v>
      </c>
      <c r="F441" s="124">
        <f>IF(C441&lt;=30,5,IF(C441&lt;=60,4,IF(C441&lt;=120,3,IF(C441&lt;=200,2,1))))</f>
        <v/>
      </c>
      <c r="G441" s="124">
        <f>IF(D441&gt;=20,5,IF(D441&gt;=10,4,IF(D441&gt;=5,3,IF(D441&gt;=2,2,1))))</f>
        <v/>
      </c>
      <c r="H441" s="124">
        <f>IF(E441&gt;=5000,5,IF(E441&gt;=2000,4,IF(E441&gt;=800,3,IF(E441&gt;=300,2,1))))</f>
        <v/>
      </c>
      <c r="I441" s="122">
        <f>TEXT(F441,"0")&amp;TEXT(G441,"0")&amp;TEXT(H441,"0")</f>
        <v/>
      </c>
      <c r="J441" s="122">
        <f>IFERROR(XLOOKUP(I441,'Segment Map'!A:A,'Segment Map'!B:B,"Need Attention"),"Need Attention")</f>
        <v/>
      </c>
      <c r="K441" s="122">
        <f>IF(E441&gt;=5000,"🏆 Platinum",IF(E441&gt;=2000,"🥇 Gold",IF(E441&gt;=800,"🥈 Silver","🥉 Bronze")))</f>
        <v/>
      </c>
      <c r="L441" s="125" t="n">
        <v>40884</v>
      </c>
    </row>
    <row r="442">
      <c r="A442" s="126" t="n">
        <v>12913</v>
      </c>
      <c r="B442" s="126" t="inlineStr">
        <is>
          <t>United Kingdom</t>
        </is>
      </c>
      <c r="C442" s="126" t="n">
        <v>5</v>
      </c>
      <c r="D442" s="126" t="n">
        <v>5</v>
      </c>
      <c r="E442" s="127" t="n">
        <v>2483.63</v>
      </c>
      <c r="F442" s="128">
        <f>IF(C442&lt;=30,5,IF(C442&lt;=60,4,IF(C442&lt;=120,3,IF(C442&lt;=200,2,1))))</f>
        <v/>
      </c>
      <c r="G442" s="128">
        <f>IF(D442&gt;=20,5,IF(D442&gt;=10,4,IF(D442&gt;=5,3,IF(D442&gt;=2,2,1))))</f>
        <v/>
      </c>
      <c r="H442" s="128">
        <f>IF(E442&gt;=5000,5,IF(E442&gt;=2000,4,IF(E442&gt;=800,3,IF(E442&gt;=300,2,1))))</f>
        <v/>
      </c>
      <c r="I442" s="126">
        <f>TEXT(F442,"0")&amp;TEXT(G442,"0")&amp;TEXT(H442,"0")</f>
        <v/>
      </c>
      <c r="J442" s="126">
        <f>IFERROR(XLOOKUP(I442,'Segment Map'!A:A,'Segment Map'!B:B,"Need Attention"),"Need Attention")</f>
        <v/>
      </c>
      <c r="K442" s="126">
        <f>IF(E442&gt;=5000,"🏆 Platinum",IF(E442&gt;=2000,"🥇 Gold",IF(E442&gt;=800,"🥈 Silver","🥉 Bronze")))</f>
        <v/>
      </c>
      <c r="L442" s="129" t="n">
        <v>40882</v>
      </c>
    </row>
    <row r="443">
      <c r="A443" s="122" t="n">
        <v>12915</v>
      </c>
      <c r="B443" s="122" t="inlineStr">
        <is>
          <t>United Kingdom</t>
        </is>
      </c>
      <c r="C443" s="122" t="n">
        <v>149</v>
      </c>
      <c r="D443" s="122" t="n">
        <v>2</v>
      </c>
      <c r="E443" s="123" t="n">
        <v>363.65</v>
      </c>
      <c r="F443" s="124">
        <f>IF(C443&lt;=30,5,IF(C443&lt;=60,4,IF(C443&lt;=120,3,IF(C443&lt;=200,2,1))))</f>
        <v/>
      </c>
      <c r="G443" s="124">
        <f>IF(D443&gt;=20,5,IF(D443&gt;=10,4,IF(D443&gt;=5,3,IF(D443&gt;=2,2,1))))</f>
        <v/>
      </c>
      <c r="H443" s="124">
        <f>IF(E443&gt;=5000,5,IF(E443&gt;=2000,4,IF(E443&gt;=800,3,IF(E443&gt;=300,2,1))))</f>
        <v/>
      </c>
      <c r="I443" s="122">
        <f>TEXT(F443,"0")&amp;TEXT(G443,"0")&amp;TEXT(H443,"0")</f>
        <v/>
      </c>
      <c r="J443" s="122">
        <f>IFERROR(XLOOKUP(I443,'Segment Map'!A:A,'Segment Map'!B:B,"Need Attention"),"Need Attention")</f>
        <v/>
      </c>
      <c r="K443" s="122">
        <f>IF(E443&gt;=5000,"🏆 Platinum",IF(E443&gt;=2000,"🥇 Gold",IF(E443&gt;=800,"🥈 Silver","🥉 Bronze")))</f>
        <v/>
      </c>
      <c r="L443" s="125" t="n">
        <v>40738</v>
      </c>
    </row>
    <row r="444">
      <c r="A444" s="126" t="n">
        <v>12916</v>
      </c>
      <c r="B444" s="126" t="inlineStr">
        <is>
          <t>United Kingdom</t>
        </is>
      </c>
      <c r="C444" s="126" t="n">
        <v>139</v>
      </c>
      <c r="D444" s="126" t="n">
        <v>4</v>
      </c>
      <c r="E444" s="127" t="n">
        <v>3006.15</v>
      </c>
      <c r="F444" s="128">
        <f>IF(C444&lt;=30,5,IF(C444&lt;=60,4,IF(C444&lt;=120,3,IF(C444&lt;=200,2,1))))</f>
        <v/>
      </c>
      <c r="G444" s="128">
        <f>IF(D444&gt;=20,5,IF(D444&gt;=10,4,IF(D444&gt;=5,3,IF(D444&gt;=2,2,1))))</f>
        <v/>
      </c>
      <c r="H444" s="128">
        <f>IF(E444&gt;=5000,5,IF(E444&gt;=2000,4,IF(E444&gt;=800,3,IF(E444&gt;=300,2,1))))</f>
        <v/>
      </c>
      <c r="I444" s="126">
        <f>TEXT(F444,"0")&amp;TEXT(G444,"0")&amp;TEXT(H444,"0")</f>
        <v/>
      </c>
      <c r="J444" s="126">
        <f>IFERROR(XLOOKUP(I444,'Segment Map'!A:A,'Segment Map'!B:B,"Need Attention"),"Need Attention")</f>
        <v/>
      </c>
      <c r="K444" s="126">
        <f>IF(E444&gt;=5000,"🏆 Platinum",IF(E444&gt;=2000,"🥇 Gold",IF(E444&gt;=800,"🥈 Silver","🥉 Bronze")))</f>
        <v/>
      </c>
      <c r="L444" s="129" t="n">
        <v>40748</v>
      </c>
    </row>
    <row r="445">
      <c r="A445" s="122" t="n">
        <v>12917</v>
      </c>
      <c r="B445" s="122" t="inlineStr">
        <is>
          <t>United Kingdom</t>
        </is>
      </c>
      <c r="C445" s="122" t="n">
        <v>129</v>
      </c>
      <c r="D445" s="122" t="n">
        <v>1</v>
      </c>
      <c r="E445" s="123" t="n">
        <v>594</v>
      </c>
      <c r="F445" s="124">
        <f>IF(C445&lt;=30,5,IF(C445&lt;=60,4,IF(C445&lt;=120,3,IF(C445&lt;=200,2,1))))</f>
        <v/>
      </c>
      <c r="G445" s="124">
        <f>IF(D445&gt;=20,5,IF(D445&gt;=10,4,IF(D445&gt;=5,3,IF(D445&gt;=2,2,1))))</f>
        <v/>
      </c>
      <c r="H445" s="124">
        <f>IF(E445&gt;=5000,5,IF(E445&gt;=2000,4,IF(E445&gt;=800,3,IF(E445&gt;=300,2,1))))</f>
        <v/>
      </c>
      <c r="I445" s="122">
        <f>TEXT(F445,"0")&amp;TEXT(G445,"0")&amp;TEXT(H445,"0")</f>
        <v/>
      </c>
      <c r="J445" s="122">
        <f>IFERROR(XLOOKUP(I445,'Segment Map'!A:A,'Segment Map'!B:B,"Need Attention"),"Need Attention")</f>
        <v/>
      </c>
      <c r="K445" s="122">
        <f>IF(E445&gt;=5000,"🏆 Platinum",IF(E445&gt;=2000,"🥇 Gold",IF(E445&gt;=800,"🥈 Silver","🥉 Bronze")))</f>
        <v/>
      </c>
      <c r="L445" s="125" t="n">
        <v>40758</v>
      </c>
    </row>
    <row r="446">
      <c r="A446" s="126" t="n">
        <v>12919</v>
      </c>
      <c r="B446" s="126" t="inlineStr">
        <is>
          <t>United Kingdom</t>
        </is>
      </c>
      <c r="C446" s="126" t="n">
        <v>9</v>
      </c>
      <c r="D446" s="126" t="n">
        <v>6</v>
      </c>
      <c r="E446" s="127" t="n">
        <v>1335.19</v>
      </c>
      <c r="F446" s="128">
        <f>IF(C446&lt;=30,5,IF(C446&lt;=60,4,IF(C446&lt;=120,3,IF(C446&lt;=200,2,1))))</f>
        <v/>
      </c>
      <c r="G446" s="128">
        <f>IF(D446&gt;=20,5,IF(D446&gt;=10,4,IF(D446&gt;=5,3,IF(D446&gt;=2,2,1))))</f>
        <v/>
      </c>
      <c r="H446" s="128">
        <f>IF(E446&gt;=5000,5,IF(E446&gt;=2000,4,IF(E446&gt;=800,3,IF(E446&gt;=300,2,1))))</f>
        <v/>
      </c>
      <c r="I446" s="126">
        <f>TEXT(F446,"0")&amp;TEXT(G446,"0")&amp;TEXT(H446,"0")</f>
        <v/>
      </c>
      <c r="J446" s="126">
        <f>IFERROR(XLOOKUP(I446,'Segment Map'!A:A,'Segment Map'!B:B,"Need Attention"),"Need Attention")</f>
        <v/>
      </c>
      <c r="K446" s="126">
        <f>IF(E446&gt;=5000,"🏆 Platinum",IF(E446&gt;=2000,"🥇 Gold",IF(E446&gt;=800,"🥈 Silver","🥉 Bronze")))</f>
        <v/>
      </c>
      <c r="L446" s="129" t="n">
        <v>40878</v>
      </c>
    </row>
    <row r="447">
      <c r="A447" s="122" t="n">
        <v>12920</v>
      </c>
      <c r="B447" s="122" t="inlineStr">
        <is>
          <t>United Kingdom</t>
        </is>
      </c>
      <c r="C447" s="122" t="n">
        <v>18</v>
      </c>
      <c r="D447" s="122" t="n">
        <v>1</v>
      </c>
      <c r="E447" s="123" t="n">
        <v>164.23</v>
      </c>
      <c r="F447" s="124">
        <f>IF(C447&lt;=30,5,IF(C447&lt;=60,4,IF(C447&lt;=120,3,IF(C447&lt;=200,2,1))))</f>
        <v/>
      </c>
      <c r="G447" s="124">
        <f>IF(D447&gt;=20,5,IF(D447&gt;=10,4,IF(D447&gt;=5,3,IF(D447&gt;=2,2,1))))</f>
        <v/>
      </c>
      <c r="H447" s="124">
        <f>IF(E447&gt;=5000,5,IF(E447&gt;=2000,4,IF(E447&gt;=800,3,IF(E447&gt;=300,2,1))))</f>
        <v/>
      </c>
      <c r="I447" s="122">
        <f>TEXT(F447,"0")&amp;TEXT(G447,"0")&amp;TEXT(H447,"0")</f>
        <v/>
      </c>
      <c r="J447" s="122">
        <f>IFERROR(XLOOKUP(I447,'Segment Map'!A:A,'Segment Map'!B:B,"Need Attention"),"Need Attention")</f>
        <v/>
      </c>
      <c r="K447" s="122">
        <f>IF(E447&gt;=5000,"🏆 Platinum",IF(E447&gt;=2000,"🥇 Gold",IF(E447&gt;=800,"🥈 Silver","🥉 Bronze")))</f>
        <v/>
      </c>
      <c r="L447" s="125" t="n">
        <v>40869</v>
      </c>
    </row>
    <row r="448">
      <c r="A448" s="126" t="n">
        <v>12921</v>
      </c>
      <c r="B448" s="126" t="inlineStr">
        <is>
          <t>United Kingdom</t>
        </is>
      </c>
      <c r="C448" s="126" t="n">
        <v>10</v>
      </c>
      <c r="D448" s="126" t="n">
        <v>37</v>
      </c>
      <c r="E448" s="127" t="n">
        <v>16587.09</v>
      </c>
      <c r="F448" s="128">
        <f>IF(C448&lt;=30,5,IF(C448&lt;=60,4,IF(C448&lt;=120,3,IF(C448&lt;=200,2,1))))</f>
        <v/>
      </c>
      <c r="G448" s="128">
        <f>IF(D448&gt;=20,5,IF(D448&gt;=10,4,IF(D448&gt;=5,3,IF(D448&gt;=2,2,1))))</f>
        <v/>
      </c>
      <c r="H448" s="128">
        <f>IF(E448&gt;=5000,5,IF(E448&gt;=2000,4,IF(E448&gt;=800,3,IF(E448&gt;=300,2,1))))</f>
        <v/>
      </c>
      <c r="I448" s="126">
        <f>TEXT(F448,"0")&amp;TEXT(G448,"0")&amp;TEXT(H448,"0")</f>
        <v/>
      </c>
      <c r="J448" s="126">
        <f>IFERROR(XLOOKUP(I448,'Segment Map'!A:A,'Segment Map'!B:B,"Need Attention"),"Need Attention")</f>
        <v/>
      </c>
      <c r="K448" s="126">
        <f>IF(E448&gt;=5000,"🏆 Platinum",IF(E448&gt;=2000,"🥇 Gold",IF(E448&gt;=800,"🥈 Silver","🥉 Bronze")))</f>
        <v/>
      </c>
      <c r="L448" s="129" t="n">
        <v>40877</v>
      </c>
    </row>
    <row r="449">
      <c r="A449" s="122" t="n">
        <v>12922</v>
      </c>
      <c r="B449" s="122" t="inlineStr">
        <is>
          <t>United Kingdom</t>
        </is>
      </c>
      <c r="C449" s="122" t="n">
        <v>162</v>
      </c>
      <c r="D449" s="122" t="n">
        <v>1</v>
      </c>
      <c r="E449" s="123" t="n">
        <v>405.38</v>
      </c>
      <c r="F449" s="124">
        <f>IF(C449&lt;=30,5,IF(C449&lt;=60,4,IF(C449&lt;=120,3,IF(C449&lt;=200,2,1))))</f>
        <v/>
      </c>
      <c r="G449" s="124">
        <f>IF(D449&gt;=20,5,IF(D449&gt;=10,4,IF(D449&gt;=5,3,IF(D449&gt;=2,2,1))))</f>
        <v/>
      </c>
      <c r="H449" s="124">
        <f>IF(E449&gt;=5000,5,IF(E449&gt;=2000,4,IF(E449&gt;=800,3,IF(E449&gt;=300,2,1))))</f>
        <v/>
      </c>
      <c r="I449" s="122">
        <f>TEXT(F449,"0")&amp;TEXT(G449,"0")&amp;TEXT(H449,"0")</f>
        <v/>
      </c>
      <c r="J449" s="122">
        <f>IFERROR(XLOOKUP(I449,'Segment Map'!A:A,'Segment Map'!B:B,"Need Attention"),"Need Attention")</f>
        <v/>
      </c>
      <c r="K449" s="122">
        <f>IF(E449&gt;=5000,"🏆 Platinum",IF(E449&gt;=2000,"🥇 Gold",IF(E449&gt;=800,"🥈 Silver","🥉 Bronze")))</f>
        <v/>
      </c>
      <c r="L449" s="125" t="n">
        <v>40725</v>
      </c>
    </row>
    <row r="450">
      <c r="A450" s="126" t="n">
        <v>12923</v>
      </c>
      <c r="B450" s="126" t="inlineStr">
        <is>
          <t>United Kingdom</t>
        </is>
      </c>
      <c r="C450" s="126" t="n">
        <v>65</v>
      </c>
      <c r="D450" s="126" t="n">
        <v>1</v>
      </c>
      <c r="E450" s="127" t="n">
        <v>176.97</v>
      </c>
      <c r="F450" s="128">
        <f>IF(C450&lt;=30,5,IF(C450&lt;=60,4,IF(C450&lt;=120,3,IF(C450&lt;=200,2,1))))</f>
        <v/>
      </c>
      <c r="G450" s="128">
        <f>IF(D450&gt;=20,5,IF(D450&gt;=10,4,IF(D450&gt;=5,3,IF(D450&gt;=2,2,1))))</f>
        <v/>
      </c>
      <c r="H450" s="128">
        <f>IF(E450&gt;=5000,5,IF(E450&gt;=2000,4,IF(E450&gt;=800,3,IF(E450&gt;=300,2,1))))</f>
        <v/>
      </c>
      <c r="I450" s="126">
        <f>TEXT(F450,"0")&amp;TEXT(G450,"0")&amp;TEXT(H450,"0")</f>
        <v/>
      </c>
      <c r="J450" s="126">
        <f>IFERROR(XLOOKUP(I450,'Segment Map'!A:A,'Segment Map'!B:B,"Need Attention"),"Need Attention")</f>
        <v/>
      </c>
      <c r="K450" s="126">
        <f>IF(E450&gt;=5000,"🏆 Platinum",IF(E450&gt;=2000,"🥇 Gold",IF(E450&gt;=800,"🥈 Silver","🥉 Bronze")))</f>
        <v/>
      </c>
      <c r="L450" s="129" t="n">
        <v>40822</v>
      </c>
    </row>
    <row r="451">
      <c r="A451" s="122" t="n">
        <v>12924</v>
      </c>
      <c r="B451" s="122" t="inlineStr">
        <is>
          <t>United Kingdom</t>
        </is>
      </c>
      <c r="C451" s="122" t="n">
        <v>89</v>
      </c>
      <c r="D451" s="122" t="n">
        <v>4</v>
      </c>
      <c r="E451" s="123" t="n">
        <v>933.7</v>
      </c>
      <c r="F451" s="124">
        <f>IF(C451&lt;=30,5,IF(C451&lt;=60,4,IF(C451&lt;=120,3,IF(C451&lt;=200,2,1))))</f>
        <v/>
      </c>
      <c r="G451" s="124">
        <f>IF(D451&gt;=20,5,IF(D451&gt;=10,4,IF(D451&gt;=5,3,IF(D451&gt;=2,2,1))))</f>
        <v/>
      </c>
      <c r="H451" s="124">
        <f>IF(E451&gt;=5000,5,IF(E451&gt;=2000,4,IF(E451&gt;=800,3,IF(E451&gt;=300,2,1))))</f>
        <v/>
      </c>
      <c r="I451" s="122">
        <f>TEXT(F451,"0")&amp;TEXT(G451,"0")&amp;TEXT(H451,"0")</f>
        <v/>
      </c>
      <c r="J451" s="122">
        <f>IFERROR(XLOOKUP(I451,'Segment Map'!A:A,'Segment Map'!B:B,"Need Attention"),"Need Attention")</f>
        <v/>
      </c>
      <c r="K451" s="122">
        <f>IF(E451&gt;=5000,"🏆 Platinum",IF(E451&gt;=2000,"🥇 Gold",IF(E451&gt;=800,"🥈 Silver","🥉 Bronze")))</f>
        <v/>
      </c>
      <c r="L451" s="125" t="n">
        <v>40798</v>
      </c>
    </row>
    <row r="452">
      <c r="A452" s="126" t="n">
        <v>12925</v>
      </c>
      <c r="B452" s="126" t="inlineStr">
        <is>
          <t>United Kingdom</t>
        </is>
      </c>
      <c r="C452" s="126" t="n">
        <v>5</v>
      </c>
      <c r="D452" s="126" t="n">
        <v>2</v>
      </c>
      <c r="E452" s="127" t="n">
        <v>694.05</v>
      </c>
      <c r="F452" s="128">
        <f>IF(C452&lt;=30,5,IF(C452&lt;=60,4,IF(C452&lt;=120,3,IF(C452&lt;=200,2,1))))</f>
        <v/>
      </c>
      <c r="G452" s="128">
        <f>IF(D452&gt;=20,5,IF(D452&gt;=10,4,IF(D452&gt;=5,3,IF(D452&gt;=2,2,1))))</f>
        <v/>
      </c>
      <c r="H452" s="128">
        <f>IF(E452&gt;=5000,5,IF(E452&gt;=2000,4,IF(E452&gt;=800,3,IF(E452&gt;=300,2,1))))</f>
        <v/>
      </c>
      <c r="I452" s="126">
        <f>TEXT(F452,"0")&amp;TEXT(G452,"0")&amp;TEXT(H452,"0")</f>
        <v/>
      </c>
      <c r="J452" s="126">
        <f>IFERROR(XLOOKUP(I452,'Segment Map'!A:A,'Segment Map'!B:B,"Need Attention"),"Need Attention")</f>
        <v/>
      </c>
      <c r="K452" s="126">
        <f>IF(E452&gt;=5000,"🏆 Platinum",IF(E452&gt;=2000,"🥇 Gold",IF(E452&gt;=800,"🥈 Silver","🥉 Bronze")))</f>
        <v/>
      </c>
      <c r="L452" s="129" t="n">
        <v>40882</v>
      </c>
    </row>
    <row r="453">
      <c r="A453" s="122" t="n">
        <v>12928</v>
      </c>
      <c r="B453" s="122" t="inlineStr">
        <is>
          <t>United Kingdom</t>
        </is>
      </c>
      <c r="C453" s="122" t="n">
        <v>36</v>
      </c>
      <c r="D453" s="122" t="n">
        <v>5</v>
      </c>
      <c r="E453" s="123" t="n">
        <v>2062.7</v>
      </c>
      <c r="F453" s="124">
        <f>IF(C453&lt;=30,5,IF(C453&lt;=60,4,IF(C453&lt;=120,3,IF(C453&lt;=200,2,1))))</f>
        <v/>
      </c>
      <c r="G453" s="124">
        <f>IF(D453&gt;=20,5,IF(D453&gt;=10,4,IF(D453&gt;=5,3,IF(D453&gt;=2,2,1))))</f>
        <v/>
      </c>
      <c r="H453" s="124">
        <f>IF(E453&gt;=5000,5,IF(E453&gt;=2000,4,IF(E453&gt;=800,3,IF(E453&gt;=300,2,1))))</f>
        <v/>
      </c>
      <c r="I453" s="122">
        <f>TEXT(F453,"0")&amp;TEXT(G453,"0")&amp;TEXT(H453,"0")</f>
        <v/>
      </c>
      <c r="J453" s="122">
        <f>IFERROR(XLOOKUP(I453,'Segment Map'!A:A,'Segment Map'!B:B,"Need Attention"),"Need Attention")</f>
        <v/>
      </c>
      <c r="K453" s="122">
        <f>IF(E453&gt;=5000,"🏆 Platinum",IF(E453&gt;=2000,"🥇 Gold",IF(E453&gt;=800,"🥈 Silver","🥉 Bronze")))</f>
        <v/>
      </c>
      <c r="L453" s="125" t="n">
        <v>40851</v>
      </c>
    </row>
    <row r="454">
      <c r="A454" s="126" t="n">
        <v>12929</v>
      </c>
      <c r="B454" s="126" t="inlineStr">
        <is>
          <t>United Kingdom</t>
        </is>
      </c>
      <c r="C454" s="126" t="n">
        <v>312</v>
      </c>
      <c r="D454" s="126" t="n">
        <v>1</v>
      </c>
      <c r="E454" s="127" t="n">
        <v>117.85</v>
      </c>
      <c r="F454" s="128">
        <f>IF(C454&lt;=30,5,IF(C454&lt;=60,4,IF(C454&lt;=120,3,IF(C454&lt;=200,2,1))))</f>
        <v/>
      </c>
      <c r="G454" s="128">
        <f>IF(D454&gt;=20,5,IF(D454&gt;=10,4,IF(D454&gt;=5,3,IF(D454&gt;=2,2,1))))</f>
        <v/>
      </c>
      <c r="H454" s="128">
        <f>IF(E454&gt;=5000,5,IF(E454&gt;=2000,4,IF(E454&gt;=800,3,IF(E454&gt;=300,2,1))))</f>
        <v/>
      </c>
      <c r="I454" s="126">
        <f>TEXT(F454,"0")&amp;TEXT(G454,"0")&amp;TEXT(H454,"0")</f>
        <v/>
      </c>
      <c r="J454" s="126">
        <f>IFERROR(XLOOKUP(I454,'Segment Map'!A:A,'Segment Map'!B:B,"Need Attention"),"Need Attention")</f>
        <v/>
      </c>
      <c r="K454" s="126">
        <f>IF(E454&gt;=5000,"🏆 Platinum",IF(E454&gt;=2000,"🥇 Gold",IF(E454&gt;=800,"🥈 Silver","🥉 Bronze")))</f>
        <v/>
      </c>
      <c r="L454" s="129" t="n">
        <v>40575</v>
      </c>
    </row>
    <row r="455">
      <c r="A455" s="122" t="n">
        <v>12930</v>
      </c>
      <c r="B455" s="122" t="inlineStr">
        <is>
          <t>United Kingdom</t>
        </is>
      </c>
      <c r="C455" s="122" t="n">
        <v>79</v>
      </c>
      <c r="D455" s="122" t="n">
        <v>2</v>
      </c>
      <c r="E455" s="123" t="n">
        <v>415.8</v>
      </c>
      <c r="F455" s="124">
        <f>IF(C455&lt;=30,5,IF(C455&lt;=60,4,IF(C455&lt;=120,3,IF(C455&lt;=200,2,1))))</f>
        <v/>
      </c>
      <c r="G455" s="124">
        <f>IF(D455&gt;=20,5,IF(D455&gt;=10,4,IF(D455&gt;=5,3,IF(D455&gt;=2,2,1))))</f>
        <v/>
      </c>
      <c r="H455" s="124">
        <f>IF(E455&gt;=5000,5,IF(E455&gt;=2000,4,IF(E455&gt;=800,3,IF(E455&gt;=300,2,1))))</f>
        <v/>
      </c>
      <c r="I455" s="122">
        <f>TEXT(F455,"0")&amp;TEXT(G455,"0")&amp;TEXT(H455,"0")</f>
        <v/>
      </c>
      <c r="J455" s="122">
        <f>IFERROR(XLOOKUP(I455,'Segment Map'!A:A,'Segment Map'!B:B,"Need Attention"),"Need Attention")</f>
        <v/>
      </c>
      <c r="K455" s="122">
        <f>IF(E455&gt;=5000,"🏆 Platinum",IF(E455&gt;=2000,"🥇 Gold",IF(E455&gt;=800,"🥈 Silver","🥉 Bronze")))</f>
        <v/>
      </c>
      <c r="L455" s="125" t="n">
        <v>40808</v>
      </c>
    </row>
    <row r="456">
      <c r="A456" s="126" t="n">
        <v>12931</v>
      </c>
      <c r="B456" s="126" t="inlineStr">
        <is>
          <t>United Kingdom</t>
        </is>
      </c>
      <c r="C456" s="126" t="n">
        <v>22</v>
      </c>
      <c r="D456" s="126" t="n">
        <v>15</v>
      </c>
      <c r="E456" s="127" t="n">
        <v>42055.96</v>
      </c>
      <c r="F456" s="128">
        <f>IF(C456&lt;=30,5,IF(C456&lt;=60,4,IF(C456&lt;=120,3,IF(C456&lt;=200,2,1))))</f>
        <v/>
      </c>
      <c r="G456" s="128">
        <f>IF(D456&gt;=20,5,IF(D456&gt;=10,4,IF(D456&gt;=5,3,IF(D456&gt;=2,2,1))))</f>
        <v/>
      </c>
      <c r="H456" s="128">
        <f>IF(E456&gt;=5000,5,IF(E456&gt;=2000,4,IF(E456&gt;=800,3,IF(E456&gt;=300,2,1))))</f>
        <v/>
      </c>
      <c r="I456" s="126">
        <f>TEXT(F456,"0")&amp;TEXT(G456,"0")&amp;TEXT(H456,"0")</f>
        <v/>
      </c>
      <c r="J456" s="126">
        <f>IFERROR(XLOOKUP(I456,'Segment Map'!A:A,'Segment Map'!B:B,"Need Attention"),"Need Attention")</f>
        <v/>
      </c>
      <c r="K456" s="126">
        <f>IF(E456&gt;=5000,"🏆 Platinum",IF(E456&gt;=2000,"🥇 Gold",IF(E456&gt;=800,"🥈 Silver","🥉 Bronze")))</f>
        <v/>
      </c>
      <c r="L456" s="129" t="n">
        <v>40865</v>
      </c>
    </row>
    <row r="457">
      <c r="A457" s="122" t="n">
        <v>12933</v>
      </c>
      <c r="B457" s="122" t="inlineStr">
        <is>
          <t>United Kingdom</t>
        </is>
      </c>
      <c r="C457" s="122" t="n">
        <v>25</v>
      </c>
      <c r="D457" s="122" t="n">
        <v>3</v>
      </c>
      <c r="E457" s="123" t="n">
        <v>607.53</v>
      </c>
      <c r="F457" s="124">
        <f>IF(C457&lt;=30,5,IF(C457&lt;=60,4,IF(C457&lt;=120,3,IF(C457&lt;=200,2,1))))</f>
        <v/>
      </c>
      <c r="G457" s="124">
        <f>IF(D457&gt;=20,5,IF(D457&gt;=10,4,IF(D457&gt;=5,3,IF(D457&gt;=2,2,1))))</f>
        <v/>
      </c>
      <c r="H457" s="124">
        <f>IF(E457&gt;=5000,5,IF(E457&gt;=2000,4,IF(E457&gt;=800,3,IF(E457&gt;=300,2,1))))</f>
        <v/>
      </c>
      <c r="I457" s="122">
        <f>TEXT(F457,"0")&amp;TEXT(G457,"0")&amp;TEXT(H457,"0")</f>
        <v/>
      </c>
      <c r="J457" s="122">
        <f>IFERROR(XLOOKUP(I457,'Segment Map'!A:A,'Segment Map'!B:B,"Need Attention"),"Need Attention")</f>
        <v/>
      </c>
      <c r="K457" s="122">
        <f>IF(E457&gt;=5000,"🏆 Platinum",IF(E457&gt;=2000,"🥇 Gold",IF(E457&gt;=800,"🥈 Silver","🥉 Bronze")))</f>
        <v/>
      </c>
      <c r="L457" s="125" t="n">
        <v>40862</v>
      </c>
    </row>
    <row r="458">
      <c r="A458" s="126" t="n">
        <v>12935</v>
      </c>
      <c r="B458" s="126" t="inlineStr">
        <is>
          <t>United Kingdom</t>
        </is>
      </c>
      <c r="C458" s="126" t="n">
        <v>3</v>
      </c>
      <c r="D458" s="126" t="n">
        <v>7</v>
      </c>
      <c r="E458" s="127" t="n">
        <v>2160.7</v>
      </c>
      <c r="F458" s="128">
        <f>IF(C458&lt;=30,5,IF(C458&lt;=60,4,IF(C458&lt;=120,3,IF(C458&lt;=200,2,1))))</f>
        <v/>
      </c>
      <c r="G458" s="128">
        <f>IF(D458&gt;=20,5,IF(D458&gt;=10,4,IF(D458&gt;=5,3,IF(D458&gt;=2,2,1))))</f>
        <v/>
      </c>
      <c r="H458" s="128">
        <f>IF(E458&gt;=5000,5,IF(E458&gt;=2000,4,IF(E458&gt;=800,3,IF(E458&gt;=300,2,1))))</f>
        <v/>
      </c>
      <c r="I458" s="126">
        <f>TEXT(F458,"0")&amp;TEXT(G458,"0")&amp;TEXT(H458,"0")</f>
        <v/>
      </c>
      <c r="J458" s="126">
        <f>IFERROR(XLOOKUP(I458,'Segment Map'!A:A,'Segment Map'!B:B,"Need Attention"),"Need Attention")</f>
        <v/>
      </c>
      <c r="K458" s="126">
        <f>IF(E458&gt;=5000,"🏆 Platinum",IF(E458&gt;=2000,"🥇 Gold",IF(E458&gt;=800,"🥈 Silver","🥉 Bronze")))</f>
        <v/>
      </c>
      <c r="L458" s="129" t="n">
        <v>40884</v>
      </c>
    </row>
    <row r="459">
      <c r="A459" s="122" t="n">
        <v>12936</v>
      </c>
      <c r="B459" s="122" t="inlineStr">
        <is>
          <t>United Kingdom</t>
        </is>
      </c>
      <c r="C459" s="122" t="n">
        <v>18</v>
      </c>
      <c r="D459" s="122" t="n">
        <v>4</v>
      </c>
      <c r="E459" s="123" t="n">
        <v>1063.9</v>
      </c>
      <c r="F459" s="124">
        <f>IF(C459&lt;=30,5,IF(C459&lt;=60,4,IF(C459&lt;=120,3,IF(C459&lt;=200,2,1))))</f>
        <v/>
      </c>
      <c r="G459" s="124">
        <f>IF(D459&gt;=20,5,IF(D459&gt;=10,4,IF(D459&gt;=5,3,IF(D459&gt;=2,2,1))))</f>
        <v/>
      </c>
      <c r="H459" s="124">
        <f>IF(E459&gt;=5000,5,IF(E459&gt;=2000,4,IF(E459&gt;=800,3,IF(E459&gt;=300,2,1))))</f>
        <v/>
      </c>
      <c r="I459" s="122">
        <f>TEXT(F459,"0")&amp;TEXT(G459,"0")&amp;TEXT(H459,"0")</f>
        <v/>
      </c>
      <c r="J459" s="122">
        <f>IFERROR(XLOOKUP(I459,'Segment Map'!A:A,'Segment Map'!B:B,"Need Attention"),"Need Attention")</f>
        <v/>
      </c>
      <c r="K459" s="122">
        <f>IF(E459&gt;=5000,"🏆 Platinum",IF(E459&gt;=2000,"🥇 Gold",IF(E459&gt;=800,"🥈 Silver","🥉 Bronze")))</f>
        <v/>
      </c>
      <c r="L459" s="125" t="n">
        <v>40869</v>
      </c>
    </row>
    <row r="460">
      <c r="A460" s="126" t="n">
        <v>12937</v>
      </c>
      <c r="B460" s="126" t="inlineStr">
        <is>
          <t>United Kingdom</t>
        </is>
      </c>
      <c r="C460" s="126" t="n">
        <v>16</v>
      </c>
      <c r="D460" s="126" t="n">
        <v>4</v>
      </c>
      <c r="E460" s="127" t="n">
        <v>1504.27</v>
      </c>
      <c r="F460" s="128">
        <f>IF(C460&lt;=30,5,IF(C460&lt;=60,4,IF(C460&lt;=120,3,IF(C460&lt;=200,2,1))))</f>
        <v/>
      </c>
      <c r="G460" s="128">
        <f>IF(D460&gt;=20,5,IF(D460&gt;=10,4,IF(D460&gt;=5,3,IF(D460&gt;=2,2,1))))</f>
        <v/>
      </c>
      <c r="H460" s="128">
        <f>IF(E460&gt;=5000,5,IF(E460&gt;=2000,4,IF(E460&gt;=800,3,IF(E460&gt;=300,2,1))))</f>
        <v/>
      </c>
      <c r="I460" s="126">
        <f>TEXT(F460,"0")&amp;TEXT(G460,"0")&amp;TEXT(H460,"0")</f>
        <v/>
      </c>
      <c r="J460" s="126">
        <f>IFERROR(XLOOKUP(I460,'Segment Map'!A:A,'Segment Map'!B:B,"Need Attention"),"Need Attention")</f>
        <v/>
      </c>
      <c r="K460" s="126">
        <f>IF(E460&gt;=5000,"🏆 Platinum",IF(E460&gt;=2000,"🥇 Gold",IF(E460&gt;=800,"🥈 Silver","🥉 Bronze")))</f>
        <v/>
      </c>
      <c r="L460" s="129" t="n">
        <v>40871</v>
      </c>
    </row>
    <row r="461">
      <c r="A461" s="122" t="n">
        <v>12938</v>
      </c>
      <c r="B461" s="122" t="inlineStr">
        <is>
          <t>United Kingdom</t>
        </is>
      </c>
      <c r="C461" s="122" t="n">
        <v>26</v>
      </c>
      <c r="D461" s="122" t="n">
        <v>1</v>
      </c>
      <c r="E461" s="123" t="n">
        <v>114.14</v>
      </c>
      <c r="F461" s="124">
        <f>IF(C461&lt;=30,5,IF(C461&lt;=60,4,IF(C461&lt;=120,3,IF(C461&lt;=200,2,1))))</f>
        <v/>
      </c>
      <c r="G461" s="124">
        <f>IF(D461&gt;=20,5,IF(D461&gt;=10,4,IF(D461&gt;=5,3,IF(D461&gt;=2,2,1))))</f>
        <v/>
      </c>
      <c r="H461" s="124">
        <f>IF(E461&gt;=5000,5,IF(E461&gt;=2000,4,IF(E461&gt;=800,3,IF(E461&gt;=300,2,1))))</f>
        <v/>
      </c>
      <c r="I461" s="122">
        <f>TEXT(F461,"0")&amp;TEXT(G461,"0")&amp;TEXT(H461,"0")</f>
        <v/>
      </c>
      <c r="J461" s="122">
        <f>IFERROR(XLOOKUP(I461,'Segment Map'!A:A,'Segment Map'!B:B,"Need Attention"),"Need Attention")</f>
        <v/>
      </c>
      <c r="K461" s="122">
        <f>IF(E461&gt;=5000,"🏆 Platinum",IF(E461&gt;=2000,"🥇 Gold",IF(E461&gt;=800,"🥈 Silver","🥉 Bronze")))</f>
        <v/>
      </c>
      <c r="L461" s="125" t="n">
        <v>40861</v>
      </c>
    </row>
    <row r="462">
      <c r="A462" s="126" t="n">
        <v>12939</v>
      </c>
      <c r="B462" s="126" t="inlineStr">
        <is>
          <t>United Kingdom</t>
        </is>
      </c>
      <c r="C462" s="126" t="n">
        <v>65</v>
      </c>
      <c r="D462" s="126" t="n">
        <v>8</v>
      </c>
      <c r="E462" s="127" t="n">
        <v>11581.8</v>
      </c>
      <c r="F462" s="128">
        <f>IF(C462&lt;=30,5,IF(C462&lt;=60,4,IF(C462&lt;=120,3,IF(C462&lt;=200,2,1))))</f>
        <v/>
      </c>
      <c r="G462" s="128">
        <f>IF(D462&gt;=20,5,IF(D462&gt;=10,4,IF(D462&gt;=5,3,IF(D462&gt;=2,2,1))))</f>
        <v/>
      </c>
      <c r="H462" s="128">
        <f>IF(E462&gt;=5000,5,IF(E462&gt;=2000,4,IF(E462&gt;=800,3,IF(E462&gt;=300,2,1))))</f>
        <v/>
      </c>
      <c r="I462" s="126">
        <f>TEXT(F462,"0")&amp;TEXT(G462,"0")&amp;TEXT(H462,"0")</f>
        <v/>
      </c>
      <c r="J462" s="126">
        <f>IFERROR(XLOOKUP(I462,'Segment Map'!A:A,'Segment Map'!B:B,"Need Attention"),"Need Attention")</f>
        <v/>
      </c>
      <c r="K462" s="126">
        <f>IF(E462&gt;=5000,"🏆 Platinum",IF(E462&gt;=2000,"🥇 Gold",IF(E462&gt;=800,"🥈 Silver","🥉 Bronze")))</f>
        <v/>
      </c>
      <c r="L462" s="129" t="n">
        <v>40822</v>
      </c>
    </row>
    <row r="463">
      <c r="A463" s="122" t="n">
        <v>12940</v>
      </c>
      <c r="B463" s="122" t="inlineStr">
        <is>
          <t>United Kingdom</t>
        </is>
      </c>
      <c r="C463" s="122" t="n">
        <v>55</v>
      </c>
      <c r="D463" s="122" t="n">
        <v>2</v>
      </c>
      <c r="E463" s="123" t="n">
        <v>913.54</v>
      </c>
      <c r="F463" s="124">
        <f>IF(C463&lt;=30,5,IF(C463&lt;=60,4,IF(C463&lt;=120,3,IF(C463&lt;=200,2,1))))</f>
        <v/>
      </c>
      <c r="G463" s="124">
        <f>IF(D463&gt;=20,5,IF(D463&gt;=10,4,IF(D463&gt;=5,3,IF(D463&gt;=2,2,1))))</f>
        <v/>
      </c>
      <c r="H463" s="124">
        <f>IF(E463&gt;=5000,5,IF(E463&gt;=2000,4,IF(E463&gt;=800,3,IF(E463&gt;=300,2,1))))</f>
        <v/>
      </c>
      <c r="I463" s="122">
        <f>TEXT(F463,"0")&amp;TEXT(G463,"0")&amp;TEXT(H463,"0")</f>
        <v/>
      </c>
      <c r="J463" s="122">
        <f>IFERROR(XLOOKUP(I463,'Segment Map'!A:A,'Segment Map'!B:B,"Need Attention"),"Need Attention")</f>
        <v/>
      </c>
      <c r="K463" s="122">
        <f>IF(E463&gt;=5000,"🏆 Platinum",IF(E463&gt;=2000,"🥇 Gold",IF(E463&gt;=800,"🥈 Silver","🥉 Bronze")))</f>
        <v/>
      </c>
      <c r="L463" s="125" t="n">
        <v>40832</v>
      </c>
    </row>
    <row r="464">
      <c r="A464" s="126" t="n">
        <v>12942</v>
      </c>
      <c r="B464" s="126" t="inlineStr">
        <is>
          <t>United Kingdom</t>
        </is>
      </c>
      <c r="C464" s="126" t="n">
        <v>132</v>
      </c>
      <c r="D464" s="126" t="n">
        <v>3</v>
      </c>
      <c r="E464" s="127" t="n">
        <v>683.9</v>
      </c>
      <c r="F464" s="128">
        <f>IF(C464&lt;=30,5,IF(C464&lt;=60,4,IF(C464&lt;=120,3,IF(C464&lt;=200,2,1))))</f>
        <v/>
      </c>
      <c r="G464" s="128">
        <f>IF(D464&gt;=20,5,IF(D464&gt;=10,4,IF(D464&gt;=5,3,IF(D464&gt;=2,2,1))))</f>
        <v/>
      </c>
      <c r="H464" s="128">
        <f>IF(E464&gt;=5000,5,IF(E464&gt;=2000,4,IF(E464&gt;=800,3,IF(E464&gt;=300,2,1))))</f>
        <v/>
      </c>
      <c r="I464" s="126">
        <f>TEXT(F464,"0")&amp;TEXT(G464,"0")&amp;TEXT(H464,"0")</f>
        <v/>
      </c>
      <c r="J464" s="126">
        <f>IFERROR(XLOOKUP(I464,'Segment Map'!A:A,'Segment Map'!B:B,"Need Attention"),"Need Attention")</f>
        <v/>
      </c>
      <c r="K464" s="126">
        <f>IF(E464&gt;=5000,"🏆 Platinum",IF(E464&gt;=2000,"🥇 Gold",IF(E464&gt;=800,"🥈 Silver","🥉 Bronze")))</f>
        <v/>
      </c>
      <c r="L464" s="129" t="n">
        <v>40755</v>
      </c>
    </row>
    <row r="465">
      <c r="A465" s="122" t="n">
        <v>12944</v>
      </c>
      <c r="B465" s="122" t="inlineStr">
        <is>
          <t>United Kingdom</t>
        </is>
      </c>
      <c r="C465" s="122" t="n">
        <v>36</v>
      </c>
      <c r="D465" s="122" t="n">
        <v>2</v>
      </c>
      <c r="E465" s="123" t="n">
        <v>604.51</v>
      </c>
      <c r="F465" s="124">
        <f>IF(C465&lt;=30,5,IF(C465&lt;=60,4,IF(C465&lt;=120,3,IF(C465&lt;=200,2,1))))</f>
        <v/>
      </c>
      <c r="G465" s="124">
        <f>IF(D465&gt;=20,5,IF(D465&gt;=10,4,IF(D465&gt;=5,3,IF(D465&gt;=2,2,1))))</f>
        <v/>
      </c>
      <c r="H465" s="124">
        <f>IF(E465&gt;=5000,5,IF(E465&gt;=2000,4,IF(E465&gt;=800,3,IF(E465&gt;=300,2,1))))</f>
        <v/>
      </c>
      <c r="I465" s="122">
        <f>TEXT(F465,"0")&amp;TEXT(G465,"0")&amp;TEXT(H465,"0")</f>
        <v/>
      </c>
      <c r="J465" s="122">
        <f>IFERROR(XLOOKUP(I465,'Segment Map'!A:A,'Segment Map'!B:B,"Need Attention"),"Need Attention")</f>
        <v/>
      </c>
      <c r="K465" s="122">
        <f>IF(E465&gt;=5000,"🏆 Platinum",IF(E465&gt;=2000,"🥇 Gold",IF(E465&gt;=800,"🥈 Silver","🥉 Bronze")))</f>
        <v/>
      </c>
      <c r="L465" s="125" t="n">
        <v>40851</v>
      </c>
    </row>
    <row r="466">
      <c r="A466" s="126" t="n">
        <v>12945</v>
      </c>
      <c r="B466" s="126" t="inlineStr">
        <is>
          <t>United Kingdom</t>
        </is>
      </c>
      <c r="C466" s="126" t="n">
        <v>289</v>
      </c>
      <c r="D466" s="126" t="n">
        <v>1</v>
      </c>
      <c r="E466" s="127" t="n">
        <v>462.95</v>
      </c>
      <c r="F466" s="128">
        <f>IF(C466&lt;=30,5,IF(C466&lt;=60,4,IF(C466&lt;=120,3,IF(C466&lt;=200,2,1))))</f>
        <v/>
      </c>
      <c r="G466" s="128">
        <f>IF(D466&gt;=20,5,IF(D466&gt;=10,4,IF(D466&gt;=5,3,IF(D466&gt;=2,2,1))))</f>
        <v/>
      </c>
      <c r="H466" s="128">
        <f>IF(E466&gt;=5000,5,IF(E466&gt;=2000,4,IF(E466&gt;=800,3,IF(E466&gt;=300,2,1))))</f>
        <v/>
      </c>
      <c r="I466" s="126">
        <f>TEXT(F466,"0")&amp;TEXT(G466,"0")&amp;TEXT(H466,"0")</f>
        <v/>
      </c>
      <c r="J466" s="126">
        <f>IFERROR(XLOOKUP(I466,'Segment Map'!A:A,'Segment Map'!B:B,"Need Attention"),"Need Attention")</f>
        <v/>
      </c>
      <c r="K466" s="126">
        <f>IF(E466&gt;=5000,"🏆 Platinum",IF(E466&gt;=2000,"🥇 Gold",IF(E466&gt;=800,"🥈 Silver","🥉 Bronze")))</f>
        <v/>
      </c>
      <c r="L466" s="129" t="n">
        <v>40598</v>
      </c>
    </row>
    <row r="467">
      <c r="A467" s="122" t="n">
        <v>12947</v>
      </c>
      <c r="B467" s="122" t="inlineStr">
        <is>
          <t>United Kingdom</t>
        </is>
      </c>
      <c r="C467" s="122" t="n">
        <v>144</v>
      </c>
      <c r="D467" s="122" t="n">
        <v>6</v>
      </c>
      <c r="E467" s="123" t="n">
        <v>1603.99</v>
      </c>
      <c r="F467" s="124">
        <f>IF(C467&lt;=30,5,IF(C467&lt;=60,4,IF(C467&lt;=120,3,IF(C467&lt;=200,2,1))))</f>
        <v/>
      </c>
      <c r="G467" s="124">
        <f>IF(D467&gt;=20,5,IF(D467&gt;=10,4,IF(D467&gt;=5,3,IF(D467&gt;=2,2,1))))</f>
        <v/>
      </c>
      <c r="H467" s="124">
        <f>IF(E467&gt;=5000,5,IF(E467&gt;=2000,4,IF(E467&gt;=800,3,IF(E467&gt;=300,2,1))))</f>
        <v/>
      </c>
      <c r="I467" s="122">
        <f>TEXT(F467,"0")&amp;TEXT(G467,"0")&amp;TEXT(H467,"0")</f>
        <v/>
      </c>
      <c r="J467" s="122">
        <f>IFERROR(XLOOKUP(I467,'Segment Map'!A:A,'Segment Map'!B:B,"Need Attention"),"Need Attention")</f>
        <v/>
      </c>
      <c r="K467" s="122">
        <f>IF(E467&gt;=5000,"🏆 Platinum",IF(E467&gt;=2000,"🥇 Gold",IF(E467&gt;=800,"🥈 Silver","🥉 Bronze")))</f>
        <v/>
      </c>
      <c r="L467" s="125" t="n">
        <v>40743</v>
      </c>
    </row>
    <row r="468">
      <c r="A468" s="126" t="n">
        <v>12948</v>
      </c>
      <c r="B468" s="126" t="inlineStr">
        <is>
          <t>United Kingdom</t>
        </is>
      </c>
      <c r="C468" s="126" t="n">
        <v>17</v>
      </c>
      <c r="D468" s="126" t="n">
        <v>7</v>
      </c>
      <c r="E468" s="127" t="n">
        <v>2064.95</v>
      </c>
      <c r="F468" s="128">
        <f>IF(C468&lt;=30,5,IF(C468&lt;=60,4,IF(C468&lt;=120,3,IF(C468&lt;=200,2,1))))</f>
        <v/>
      </c>
      <c r="G468" s="128">
        <f>IF(D468&gt;=20,5,IF(D468&gt;=10,4,IF(D468&gt;=5,3,IF(D468&gt;=2,2,1))))</f>
        <v/>
      </c>
      <c r="H468" s="128">
        <f>IF(E468&gt;=5000,5,IF(E468&gt;=2000,4,IF(E468&gt;=800,3,IF(E468&gt;=300,2,1))))</f>
        <v/>
      </c>
      <c r="I468" s="126">
        <f>TEXT(F468,"0")&amp;TEXT(G468,"0")&amp;TEXT(H468,"0")</f>
        <v/>
      </c>
      <c r="J468" s="126">
        <f>IFERROR(XLOOKUP(I468,'Segment Map'!A:A,'Segment Map'!B:B,"Need Attention"),"Need Attention")</f>
        <v/>
      </c>
      <c r="K468" s="126">
        <f>IF(E468&gt;=5000,"🏆 Platinum",IF(E468&gt;=2000,"🥇 Gold",IF(E468&gt;=800,"🥈 Silver","🥉 Bronze")))</f>
        <v/>
      </c>
      <c r="L468" s="129" t="n">
        <v>40870</v>
      </c>
    </row>
    <row r="469">
      <c r="A469" s="122" t="n">
        <v>12949</v>
      </c>
      <c r="B469" s="122" t="inlineStr">
        <is>
          <t>United Kingdom</t>
        </is>
      </c>
      <c r="C469" s="122" t="n">
        <v>31</v>
      </c>
      <c r="D469" s="122" t="n">
        <v>8</v>
      </c>
      <c r="E469" s="123" t="n">
        <v>4167.22</v>
      </c>
      <c r="F469" s="124">
        <f>IF(C469&lt;=30,5,IF(C469&lt;=60,4,IF(C469&lt;=120,3,IF(C469&lt;=200,2,1))))</f>
        <v/>
      </c>
      <c r="G469" s="124">
        <f>IF(D469&gt;=20,5,IF(D469&gt;=10,4,IF(D469&gt;=5,3,IF(D469&gt;=2,2,1))))</f>
        <v/>
      </c>
      <c r="H469" s="124">
        <f>IF(E469&gt;=5000,5,IF(E469&gt;=2000,4,IF(E469&gt;=800,3,IF(E469&gt;=300,2,1))))</f>
        <v/>
      </c>
      <c r="I469" s="122">
        <f>TEXT(F469,"0")&amp;TEXT(G469,"0")&amp;TEXT(H469,"0")</f>
        <v/>
      </c>
      <c r="J469" s="122">
        <f>IFERROR(XLOOKUP(I469,'Segment Map'!A:A,'Segment Map'!B:B,"Need Attention"),"Need Attention")</f>
        <v/>
      </c>
      <c r="K469" s="122">
        <f>IF(E469&gt;=5000,"🏆 Platinum",IF(E469&gt;=2000,"🥇 Gold",IF(E469&gt;=800,"🥈 Silver","🥉 Bronze")))</f>
        <v/>
      </c>
      <c r="L469" s="125" t="n">
        <v>40856</v>
      </c>
    </row>
    <row r="470">
      <c r="A470" s="126" t="n">
        <v>12950</v>
      </c>
      <c r="B470" s="126" t="inlineStr">
        <is>
          <t>United Kingdom</t>
        </is>
      </c>
      <c r="C470" s="126" t="n">
        <v>3</v>
      </c>
      <c r="D470" s="126" t="n">
        <v>3</v>
      </c>
      <c r="E470" s="127" t="n">
        <v>1843</v>
      </c>
      <c r="F470" s="128">
        <f>IF(C470&lt;=30,5,IF(C470&lt;=60,4,IF(C470&lt;=120,3,IF(C470&lt;=200,2,1))))</f>
        <v/>
      </c>
      <c r="G470" s="128">
        <f>IF(D470&gt;=20,5,IF(D470&gt;=10,4,IF(D470&gt;=5,3,IF(D470&gt;=2,2,1))))</f>
        <v/>
      </c>
      <c r="H470" s="128">
        <f>IF(E470&gt;=5000,5,IF(E470&gt;=2000,4,IF(E470&gt;=800,3,IF(E470&gt;=300,2,1))))</f>
        <v/>
      </c>
      <c r="I470" s="126">
        <f>TEXT(F470,"0")&amp;TEXT(G470,"0")&amp;TEXT(H470,"0")</f>
        <v/>
      </c>
      <c r="J470" s="126">
        <f>IFERROR(XLOOKUP(I470,'Segment Map'!A:A,'Segment Map'!B:B,"Need Attention"),"Need Attention")</f>
        <v/>
      </c>
      <c r="K470" s="126">
        <f>IF(E470&gt;=5000,"🏆 Platinum",IF(E470&gt;=2000,"🥇 Gold",IF(E470&gt;=800,"🥈 Silver","🥉 Bronze")))</f>
        <v/>
      </c>
      <c r="L470" s="129" t="n">
        <v>40884</v>
      </c>
    </row>
    <row r="471">
      <c r="A471" s="122" t="n">
        <v>12951</v>
      </c>
      <c r="B471" s="122" t="inlineStr">
        <is>
          <t>United Kingdom</t>
        </is>
      </c>
      <c r="C471" s="122" t="n">
        <v>9</v>
      </c>
      <c r="D471" s="122" t="n">
        <v>6</v>
      </c>
      <c r="E471" s="123" t="n">
        <v>1064.07</v>
      </c>
      <c r="F471" s="124">
        <f>IF(C471&lt;=30,5,IF(C471&lt;=60,4,IF(C471&lt;=120,3,IF(C471&lt;=200,2,1))))</f>
        <v/>
      </c>
      <c r="G471" s="124">
        <f>IF(D471&gt;=20,5,IF(D471&gt;=10,4,IF(D471&gt;=5,3,IF(D471&gt;=2,2,1))))</f>
        <v/>
      </c>
      <c r="H471" s="124">
        <f>IF(E471&gt;=5000,5,IF(E471&gt;=2000,4,IF(E471&gt;=800,3,IF(E471&gt;=300,2,1))))</f>
        <v/>
      </c>
      <c r="I471" s="122">
        <f>TEXT(F471,"0")&amp;TEXT(G471,"0")&amp;TEXT(H471,"0")</f>
        <v/>
      </c>
      <c r="J471" s="122">
        <f>IFERROR(XLOOKUP(I471,'Segment Map'!A:A,'Segment Map'!B:B,"Need Attention"),"Need Attention")</f>
        <v/>
      </c>
      <c r="K471" s="122">
        <f>IF(E471&gt;=5000,"🏆 Platinum",IF(E471&gt;=2000,"🥇 Gold",IF(E471&gt;=800,"🥈 Silver","🥉 Bronze")))</f>
        <v/>
      </c>
      <c r="L471" s="125" t="n">
        <v>40878</v>
      </c>
    </row>
    <row r="472">
      <c r="A472" s="126" t="n">
        <v>12952</v>
      </c>
      <c r="B472" s="126" t="inlineStr">
        <is>
          <t>United Kingdom</t>
        </is>
      </c>
      <c r="C472" s="126" t="n">
        <v>6</v>
      </c>
      <c r="D472" s="126" t="n">
        <v>4</v>
      </c>
      <c r="E472" s="127" t="n">
        <v>1387.79</v>
      </c>
      <c r="F472" s="128">
        <f>IF(C472&lt;=30,5,IF(C472&lt;=60,4,IF(C472&lt;=120,3,IF(C472&lt;=200,2,1))))</f>
        <v/>
      </c>
      <c r="G472" s="128">
        <f>IF(D472&gt;=20,5,IF(D472&gt;=10,4,IF(D472&gt;=5,3,IF(D472&gt;=2,2,1))))</f>
        <v/>
      </c>
      <c r="H472" s="128">
        <f>IF(E472&gt;=5000,5,IF(E472&gt;=2000,4,IF(E472&gt;=800,3,IF(E472&gt;=300,2,1))))</f>
        <v/>
      </c>
      <c r="I472" s="126">
        <f>TEXT(F472,"0")&amp;TEXT(G472,"0")&amp;TEXT(H472,"0")</f>
        <v/>
      </c>
      <c r="J472" s="126">
        <f>IFERROR(XLOOKUP(I472,'Segment Map'!A:A,'Segment Map'!B:B,"Need Attention"),"Need Attention")</f>
        <v/>
      </c>
      <c r="K472" s="126">
        <f>IF(E472&gt;=5000,"🏆 Platinum",IF(E472&gt;=2000,"🥇 Gold",IF(E472&gt;=800,"🥈 Silver","🥉 Bronze")))</f>
        <v/>
      </c>
      <c r="L472" s="129" t="n">
        <v>40881</v>
      </c>
    </row>
    <row r="473">
      <c r="A473" s="122" t="n">
        <v>12953</v>
      </c>
      <c r="B473" s="122" t="inlineStr">
        <is>
          <t>United Kingdom</t>
        </is>
      </c>
      <c r="C473" s="122" t="n">
        <v>10</v>
      </c>
      <c r="D473" s="122" t="n">
        <v>1</v>
      </c>
      <c r="E473" s="123" t="n">
        <v>329.85</v>
      </c>
      <c r="F473" s="124">
        <f>IF(C473&lt;=30,5,IF(C473&lt;=60,4,IF(C473&lt;=120,3,IF(C473&lt;=200,2,1))))</f>
        <v/>
      </c>
      <c r="G473" s="124">
        <f>IF(D473&gt;=20,5,IF(D473&gt;=10,4,IF(D473&gt;=5,3,IF(D473&gt;=2,2,1))))</f>
        <v/>
      </c>
      <c r="H473" s="124">
        <f>IF(E473&gt;=5000,5,IF(E473&gt;=2000,4,IF(E473&gt;=800,3,IF(E473&gt;=300,2,1))))</f>
        <v/>
      </c>
      <c r="I473" s="122">
        <f>TEXT(F473,"0")&amp;TEXT(G473,"0")&amp;TEXT(H473,"0")</f>
        <v/>
      </c>
      <c r="J473" s="122">
        <f>IFERROR(XLOOKUP(I473,'Segment Map'!A:A,'Segment Map'!B:B,"Need Attention"),"Need Attention")</f>
        <v/>
      </c>
      <c r="K473" s="122">
        <f>IF(E473&gt;=5000,"🏆 Platinum",IF(E473&gt;=2000,"🥇 Gold",IF(E473&gt;=800,"🥈 Silver","🥉 Bronze")))</f>
        <v/>
      </c>
      <c r="L473" s="125" t="n">
        <v>40877</v>
      </c>
    </row>
    <row r="474">
      <c r="A474" s="126" t="n">
        <v>12955</v>
      </c>
      <c r="B474" s="126" t="inlineStr">
        <is>
          <t>United Kingdom</t>
        </is>
      </c>
      <c r="C474" s="126" t="n">
        <v>2</v>
      </c>
      <c r="D474" s="126" t="n">
        <v>11</v>
      </c>
      <c r="E474" s="127" t="n">
        <v>4757.16</v>
      </c>
      <c r="F474" s="128">
        <f>IF(C474&lt;=30,5,IF(C474&lt;=60,4,IF(C474&lt;=120,3,IF(C474&lt;=200,2,1))))</f>
        <v/>
      </c>
      <c r="G474" s="128">
        <f>IF(D474&gt;=20,5,IF(D474&gt;=10,4,IF(D474&gt;=5,3,IF(D474&gt;=2,2,1))))</f>
        <v/>
      </c>
      <c r="H474" s="128">
        <f>IF(E474&gt;=5000,5,IF(E474&gt;=2000,4,IF(E474&gt;=800,3,IF(E474&gt;=300,2,1))))</f>
        <v/>
      </c>
      <c r="I474" s="126">
        <f>TEXT(F474,"0")&amp;TEXT(G474,"0")&amp;TEXT(H474,"0")</f>
        <v/>
      </c>
      <c r="J474" s="126">
        <f>IFERROR(XLOOKUP(I474,'Segment Map'!A:A,'Segment Map'!B:B,"Need Attention"),"Need Attention")</f>
        <v/>
      </c>
      <c r="K474" s="126">
        <f>IF(E474&gt;=5000,"🏆 Platinum",IF(E474&gt;=2000,"🥇 Gold",IF(E474&gt;=800,"🥈 Silver","🥉 Bronze")))</f>
        <v/>
      </c>
      <c r="L474" s="129" t="n">
        <v>40885</v>
      </c>
    </row>
    <row r="475">
      <c r="A475" s="122" t="n">
        <v>12956</v>
      </c>
      <c r="B475" s="122" t="inlineStr">
        <is>
          <t>United Kingdom</t>
        </is>
      </c>
      <c r="C475" s="122" t="n">
        <v>307</v>
      </c>
      <c r="D475" s="122" t="n">
        <v>1</v>
      </c>
      <c r="E475" s="123" t="n">
        <v>108.07</v>
      </c>
      <c r="F475" s="124">
        <f>IF(C475&lt;=30,5,IF(C475&lt;=60,4,IF(C475&lt;=120,3,IF(C475&lt;=200,2,1))))</f>
        <v/>
      </c>
      <c r="G475" s="124">
        <f>IF(D475&gt;=20,5,IF(D475&gt;=10,4,IF(D475&gt;=5,3,IF(D475&gt;=2,2,1))))</f>
        <v/>
      </c>
      <c r="H475" s="124">
        <f>IF(E475&gt;=5000,5,IF(E475&gt;=2000,4,IF(E475&gt;=800,3,IF(E475&gt;=300,2,1))))</f>
        <v/>
      </c>
      <c r="I475" s="122">
        <f>TEXT(F475,"0")&amp;TEXT(G475,"0")&amp;TEXT(H475,"0")</f>
        <v/>
      </c>
      <c r="J475" s="122">
        <f>IFERROR(XLOOKUP(I475,'Segment Map'!A:A,'Segment Map'!B:B,"Need Attention"),"Need Attention")</f>
        <v/>
      </c>
      <c r="K475" s="122">
        <f>IF(E475&gt;=5000,"🏆 Platinum",IF(E475&gt;=2000,"🥇 Gold",IF(E475&gt;=800,"🥈 Silver","🥉 Bronze")))</f>
        <v/>
      </c>
      <c r="L475" s="125" t="n">
        <v>40580</v>
      </c>
    </row>
    <row r="476">
      <c r="A476" s="126" t="n">
        <v>12957</v>
      </c>
      <c r="B476" s="126" t="inlineStr">
        <is>
          <t>United Kingdom</t>
        </is>
      </c>
      <c r="C476" s="126" t="n">
        <v>10</v>
      </c>
      <c r="D476" s="126" t="n">
        <v>8</v>
      </c>
      <c r="E476" s="127" t="n">
        <v>4017.54</v>
      </c>
      <c r="F476" s="128">
        <f>IF(C476&lt;=30,5,IF(C476&lt;=60,4,IF(C476&lt;=120,3,IF(C476&lt;=200,2,1))))</f>
        <v/>
      </c>
      <c r="G476" s="128">
        <f>IF(D476&gt;=20,5,IF(D476&gt;=10,4,IF(D476&gt;=5,3,IF(D476&gt;=2,2,1))))</f>
        <v/>
      </c>
      <c r="H476" s="128">
        <f>IF(E476&gt;=5000,5,IF(E476&gt;=2000,4,IF(E476&gt;=800,3,IF(E476&gt;=300,2,1))))</f>
        <v/>
      </c>
      <c r="I476" s="126">
        <f>TEXT(F476,"0")&amp;TEXT(G476,"0")&amp;TEXT(H476,"0")</f>
        <v/>
      </c>
      <c r="J476" s="126">
        <f>IFERROR(XLOOKUP(I476,'Segment Map'!A:A,'Segment Map'!B:B,"Need Attention"),"Need Attention")</f>
        <v/>
      </c>
      <c r="K476" s="126">
        <f>IF(E476&gt;=5000,"🏆 Platinum",IF(E476&gt;=2000,"🥇 Gold",IF(E476&gt;=800,"🥈 Silver","🥉 Bronze")))</f>
        <v/>
      </c>
      <c r="L476" s="129" t="n">
        <v>40877</v>
      </c>
    </row>
    <row r="477">
      <c r="A477" s="122" t="n">
        <v>12962</v>
      </c>
      <c r="B477" s="122" t="inlineStr">
        <is>
          <t>United Kingdom</t>
        </is>
      </c>
      <c r="C477" s="122" t="n">
        <v>8</v>
      </c>
      <c r="D477" s="122" t="n">
        <v>2</v>
      </c>
      <c r="E477" s="123" t="n">
        <v>266.39</v>
      </c>
      <c r="F477" s="124">
        <f>IF(C477&lt;=30,5,IF(C477&lt;=60,4,IF(C477&lt;=120,3,IF(C477&lt;=200,2,1))))</f>
        <v/>
      </c>
      <c r="G477" s="124">
        <f>IF(D477&gt;=20,5,IF(D477&gt;=10,4,IF(D477&gt;=5,3,IF(D477&gt;=2,2,1))))</f>
        <v/>
      </c>
      <c r="H477" s="124">
        <f>IF(E477&gt;=5000,5,IF(E477&gt;=2000,4,IF(E477&gt;=800,3,IF(E477&gt;=300,2,1))))</f>
        <v/>
      </c>
      <c r="I477" s="122">
        <f>TEXT(F477,"0")&amp;TEXT(G477,"0")&amp;TEXT(H477,"0")</f>
        <v/>
      </c>
      <c r="J477" s="122">
        <f>IFERROR(XLOOKUP(I477,'Segment Map'!A:A,'Segment Map'!B:B,"Need Attention"),"Need Attention")</f>
        <v/>
      </c>
      <c r="K477" s="122">
        <f>IF(E477&gt;=5000,"🏆 Platinum",IF(E477&gt;=2000,"🥇 Gold",IF(E477&gt;=800,"🥈 Silver","🥉 Bronze")))</f>
        <v/>
      </c>
      <c r="L477" s="125" t="n">
        <v>40879</v>
      </c>
    </row>
    <row r="478">
      <c r="A478" s="126" t="n">
        <v>12963</v>
      </c>
      <c r="B478" s="126" t="inlineStr">
        <is>
          <t>United Kingdom</t>
        </is>
      </c>
      <c r="C478" s="126" t="n">
        <v>9</v>
      </c>
      <c r="D478" s="126" t="n">
        <v>8</v>
      </c>
      <c r="E478" s="127" t="n">
        <v>1856.63</v>
      </c>
      <c r="F478" s="128">
        <f>IF(C478&lt;=30,5,IF(C478&lt;=60,4,IF(C478&lt;=120,3,IF(C478&lt;=200,2,1))))</f>
        <v/>
      </c>
      <c r="G478" s="128">
        <f>IF(D478&gt;=20,5,IF(D478&gt;=10,4,IF(D478&gt;=5,3,IF(D478&gt;=2,2,1))))</f>
        <v/>
      </c>
      <c r="H478" s="128">
        <f>IF(E478&gt;=5000,5,IF(E478&gt;=2000,4,IF(E478&gt;=800,3,IF(E478&gt;=300,2,1))))</f>
        <v/>
      </c>
      <c r="I478" s="126">
        <f>TEXT(F478,"0")&amp;TEXT(G478,"0")&amp;TEXT(H478,"0")</f>
        <v/>
      </c>
      <c r="J478" s="126">
        <f>IFERROR(XLOOKUP(I478,'Segment Map'!A:A,'Segment Map'!B:B,"Need Attention"),"Need Attention")</f>
        <v/>
      </c>
      <c r="K478" s="126">
        <f>IF(E478&gt;=5000,"🏆 Platinum",IF(E478&gt;=2000,"🥇 Gold",IF(E478&gt;=800,"🥈 Silver","🥉 Bronze")))</f>
        <v/>
      </c>
      <c r="L478" s="129" t="n">
        <v>40878</v>
      </c>
    </row>
    <row r="479">
      <c r="A479" s="122" t="n">
        <v>12965</v>
      </c>
      <c r="B479" s="122" t="inlineStr">
        <is>
          <t>United Kingdom</t>
        </is>
      </c>
      <c r="C479" s="122" t="n">
        <v>90</v>
      </c>
      <c r="D479" s="122" t="n">
        <v>1</v>
      </c>
      <c r="E479" s="123" t="n">
        <v>771.91</v>
      </c>
      <c r="F479" s="124">
        <f>IF(C479&lt;=30,5,IF(C479&lt;=60,4,IF(C479&lt;=120,3,IF(C479&lt;=200,2,1))))</f>
        <v/>
      </c>
      <c r="G479" s="124">
        <f>IF(D479&gt;=20,5,IF(D479&gt;=10,4,IF(D479&gt;=5,3,IF(D479&gt;=2,2,1))))</f>
        <v/>
      </c>
      <c r="H479" s="124">
        <f>IF(E479&gt;=5000,5,IF(E479&gt;=2000,4,IF(E479&gt;=800,3,IF(E479&gt;=300,2,1))))</f>
        <v/>
      </c>
      <c r="I479" s="122">
        <f>TEXT(F479,"0")&amp;TEXT(G479,"0")&amp;TEXT(H479,"0")</f>
        <v/>
      </c>
      <c r="J479" s="122">
        <f>IFERROR(XLOOKUP(I479,'Segment Map'!A:A,'Segment Map'!B:B,"Need Attention"),"Need Attention")</f>
        <v/>
      </c>
      <c r="K479" s="122">
        <f>IF(E479&gt;=5000,"🏆 Platinum",IF(E479&gt;=2000,"🥇 Gold",IF(E479&gt;=800,"🥈 Silver","🥉 Bronze")))</f>
        <v/>
      </c>
      <c r="L479" s="125" t="n">
        <v>40797</v>
      </c>
    </row>
    <row r="480">
      <c r="A480" s="126" t="n">
        <v>12966</v>
      </c>
      <c r="B480" s="126" t="inlineStr">
        <is>
          <t>United Kingdom</t>
        </is>
      </c>
      <c r="C480" s="126" t="n">
        <v>10</v>
      </c>
      <c r="D480" s="126" t="n">
        <v>1</v>
      </c>
      <c r="E480" s="127" t="n">
        <v>160.18</v>
      </c>
      <c r="F480" s="128">
        <f>IF(C480&lt;=30,5,IF(C480&lt;=60,4,IF(C480&lt;=120,3,IF(C480&lt;=200,2,1))))</f>
        <v/>
      </c>
      <c r="G480" s="128">
        <f>IF(D480&gt;=20,5,IF(D480&gt;=10,4,IF(D480&gt;=5,3,IF(D480&gt;=2,2,1))))</f>
        <v/>
      </c>
      <c r="H480" s="128">
        <f>IF(E480&gt;=5000,5,IF(E480&gt;=2000,4,IF(E480&gt;=800,3,IF(E480&gt;=300,2,1))))</f>
        <v/>
      </c>
      <c r="I480" s="126">
        <f>TEXT(F480,"0")&amp;TEXT(G480,"0")&amp;TEXT(H480,"0")</f>
        <v/>
      </c>
      <c r="J480" s="126">
        <f>IFERROR(XLOOKUP(I480,'Segment Map'!A:A,'Segment Map'!B:B,"Need Attention"),"Need Attention")</f>
        <v/>
      </c>
      <c r="K480" s="126">
        <f>IF(E480&gt;=5000,"🏆 Platinum",IF(E480&gt;=2000,"🥇 Gold",IF(E480&gt;=800,"🥈 Silver","🥉 Bronze")))</f>
        <v/>
      </c>
      <c r="L480" s="129" t="n">
        <v>40877</v>
      </c>
    </row>
    <row r="481">
      <c r="A481" s="122" t="n">
        <v>12967</v>
      </c>
      <c r="B481" s="122" t="inlineStr">
        <is>
          <t>United Kingdom</t>
        </is>
      </c>
      <c r="C481" s="122" t="n">
        <v>359</v>
      </c>
      <c r="D481" s="122" t="n">
        <v>2</v>
      </c>
      <c r="E481" s="123" t="n">
        <v>1660.9</v>
      </c>
      <c r="F481" s="124">
        <f>IF(C481&lt;=30,5,IF(C481&lt;=60,4,IF(C481&lt;=120,3,IF(C481&lt;=200,2,1))))</f>
        <v/>
      </c>
      <c r="G481" s="124">
        <f>IF(D481&gt;=20,5,IF(D481&gt;=10,4,IF(D481&gt;=5,3,IF(D481&gt;=2,2,1))))</f>
        <v/>
      </c>
      <c r="H481" s="124">
        <f>IF(E481&gt;=5000,5,IF(E481&gt;=2000,4,IF(E481&gt;=800,3,IF(E481&gt;=300,2,1))))</f>
        <v/>
      </c>
      <c r="I481" s="122">
        <f>TEXT(F481,"0")&amp;TEXT(G481,"0")&amp;TEXT(H481,"0")</f>
        <v/>
      </c>
      <c r="J481" s="122">
        <f>IFERROR(XLOOKUP(I481,'Segment Map'!A:A,'Segment Map'!B:B,"Need Attention"),"Need Attention")</f>
        <v/>
      </c>
      <c r="K481" s="122">
        <f>IF(E481&gt;=5000,"🏆 Platinum",IF(E481&gt;=2000,"🥇 Gold",IF(E481&gt;=800,"🥈 Silver","🥉 Bronze")))</f>
        <v/>
      </c>
      <c r="L481" s="125" t="n">
        <v>40528</v>
      </c>
    </row>
    <row r="482">
      <c r="A482" s="126" t="n">
        <v>12968</v>
      </c>
      <c r="B482" s="126" t="inlineStr">
        <is>
          <t>United Kingdom</t>
        </is>
      </c>
      <c r="C482" s="126" t="n">
        <v>113</v>
      </c>
      <c r="D482" s="126" t="n">
        <v>1</v>
      </c>
      <c r="E482" s="127" t="n">
        <v>135.95</v>
      </c>
      <c r="F482" s="128">
        <f>IF(C482&lt;=30,5,IF(C482&lt;=60,4,IF(C482&lt;=120,3,IF(C482&lt;=200,2,1))))</f>
        <v/>
      </c>
      <c r="G482" s="128">
        <f>IF(D482&gt;=20,5,IF(D482&gt;=10,4,IF(D482&gt;=5,3,IF(D482&gt;=2,2,1))))</f>
        <v/>
      </c>
      <c r="H482" s="128">
        <f>IF(E482&gt;=5000,5,IF(E482&gt;=2000,4,IF(E482&gt;=800,3,IF(E482&gt;=300,2,1))))</f>
        <v/>
      </c>
      <c r="I482" s="126">
        <f>TEXT(F482,"0")&amp;TEXT(G482,"0")&amp;TEXT(H482,"0")</f>
        <v/>
      </c>
      <c r="J482" s="126">
        <f>IFERROR(XLOOKUP(I482,'Segment Map'!A:A,'Segment Map'!B:B,"Need Attention"),"Need Attention")</f>
        <v/>
      </c>
      <c r="K482" s="126">
        <f>IF(E482&gt;=5000,"🏆 Platinum",IF(E482&gt;=2000,"🥇 Gold",IF(E482&gt;=800,"🥈 Silver","🥉 Bronze")))</f>
        <v/>
      </c>
      <c r="L482" s="129" t="n">
        <v>40774</v>
      </c>
    </row>
    <row r="483">
      <c r="A483" s="122" t="n">
        <v>12970</v>
      </c>
      <c r="B483" s="122" t="inlineStr">
        <is>
          <t>United Kingdom</t>
        </is>
      </c>
      <c r="C483" s="122" t="n">
        <v>8</v>
      </c>
      <c r="D483" s="122" t="n">
        <v>4</v>
      </c>
      <c r="E483" s="123" t="n">
        <v>452.24</v>
      </c>
      <c r="F483" s="124">
        <f>IF(C483&lt;=30,5,IF(C483&lt;=60,4,IF(C483&lt;=120,3,IF(C483&lt;=200,2,1))))</f>
        <v/>
      </c>
      <c r="G483" s="124">
        <f>IF(D483&gt;=20,5,IF(D483&gt;=10,4,IF(D483&gt;=5,3,IF(D483&gt;=2,2,1))))</f>
        <v/>
      </c>
      <c r="H483" s="124">
        <f>IF(E483&gt;=5000,5,IF(E483&gt;=2000,4,IF(E483&gt;=800,3,IF(E483&gt;=300,2,1))))</f>
        <v/>
      </c>
      <c r="I483" s="122">
        <f>TEXT(F483,"0")&amp;TEXT(G483,"0")&amp;TEXT(H483,"0")</f>
        <v/>
      </c>
      <c r="J483" s="122">
        <f>IFERROR(XLOOKUP(I483,'Segment Map'!A:A,'Segment Map'!B:B,"Need Attention"),"Need Attention")</f>
        <v/>
      </c>
      <c r="K483" s="122">
        <f>IF(E483&gt;=5000,"🏆 Platinum",IF(E483&gt;=2000,"🥇 Gold",IF(E483&gt;=800,"🥈 Silver","🥉 Bronze")))</f>
        <v/>
      </c>
      <c r="L483" s="125" t="n">
        <v>40879</v>
      </c>
    </row>
    <row r="484">
      <c r="A484" s="126" t="n">
        <v>12971</v>
      </c>
      <c r="B484" s="126" t="inlineStr">
        <is>
          <t>United Kingdom</t>
        </is>
      </c>
      <c r="C484" s="126" t="n">
        <v>4</v>
      </c>
      <c r="D484" s="126" t="n">
        <v>86</v>
      </c>
      <c r="E484" s="127" t="n">
        <v>11189.91</v>
      </c>
      <c r="F484" s="128">
        <f>IF(C484&lt;=30,5,IF(C484&lt;=60,4,IF(C484&lt;=120,3,IF(C484&lt;=200,2,1))))</f>
        <v/>
      </c>
      <c r="G484" s="128">
        <f>IF(D484&gt;=20,5,IF(D484&gt;=10,4,IF(D484&gt;=5,3,IF(D484&gt;=2,2,1))))</f>
        <v/>
      </c>
      <c r="H484" s="128">
        <f>IF(E484&gt;=5000,5,IF(E484&gt;=2000,4,IF(E484&gt;=800,3,IF(E484&gt;=300,2,1))))</f>
        <v/>
      </c>
      <c r="I484" s="126">
        <f>TEXT(F484,"0")&amp;TEXT(G484,"0")&amp;TEXT(H484,"0")</f>
        <v/>
      </c>
      <c r="J484" s="126">
        <f>IFERROR(XLOOKUP(I484,'Segment Map'!A:A,'Segment Map'!B:B,"Need Attention"),"Need Attention")</f>
        <v/>
      </c>
      <c r="K484" s="126">
        <f>IF(E484&gt;=5000,"🏆 Platinum",IF(E484&gt;=2000,"🥇 Gold",IF(E484&gt;=800,"🥈 Silver","🥉 Bronze")))</f>
        <v/>
      </c>
      <c r="L484" s="129" t="n">
        <v>40883</v>
      </c>
    </row>
    <row r="485">
      <c r="A485" s="122" t="n">
        <v>12974</v>
      </c>
      <c r="B485" s="122" t="inlineStr">
        <is>
          <t>United Kingdom</t>
        </is>
      </c>
      <c r="C485" s="122" t="n">
        <v>198</v>
      </c>
      <c r="D485" s="122" t="n">
        <v>1</v>
      </c>
      <c r="E485" s="123" t="n">
        <v>144.8</v>
      </c>
      <c r="F485" s="124">
        <f>IF(C485&lt;=30,5,IF(C485&lt;=60,4,IF(C485&lt;=120,3,IF(C485&lt;=200,2,1))))</f>
        <v/>
      </c>
      <c r="G485" s="124">
        <f>IF(D485&gt;=20,5,IF(D485&gt;=10,4,IF(D485&gt;=5,3,IF(D485&gt;=2,2,1))))</f>
        <v/>
      </c>
      <c r="H485" s="124">
        <f>IF(E485&gt;=5000,5,IF(E485&gt;=2000,4,IF(E485&gt;=800,3,IF(E485&gt;=300,2,1))))</f>
        <v/>
      </c>
      <c r="I485" s="122">
        <f>TEXT(F485,"0")&amp;TEXT(G485,"0")&amp;TEXT(H485,"0")</f>
        <v/>
      </c>
      <c r="J485" s="122">
        <f>IFERROR(XLOOKUP(I485,'Segment Map'!A:A,'Segment Map'!B:B,"Need Attention"),"Need Attention")</f>
        <v/>
      </c>
      <c r="K485" s="122">
        <f>IF(E485&gt;=5000,"🏆 Platinum",IF(E485&gt;=2000,"🥇 Gold",IF(E485&gt;=800,"🥈 Silver","🥉 Bronze")))</f>
        <v/>
      </c>
      <c r="L485" s="125" t="n">
        <v>40689</v>
      </c>
    </row>
    <row r="486">
      <c r="A486" s="126" t="n">
        <v>12976</v>
      </c>
      <c r="B486" s="126" t="inlineStr">
        <is>
          <t>United Kingdom</t>
        </is>
      </c>
      <c r="C486" s="126" t="n">
        <v>212</v>
      </c>
      <c r="D486" s="126" t="n">
        <v>1</v>
      </c>
      <c r="E486" s="127" t="n">
        <v>738.6</v>
      </c>
      <c r="F486" s="128">
        <f>IF(C486&lt;=30,5,IF(C486&lt;=60,4,IF(C486&lt;=120,3,IF(C486&lt;=200,2,1))))</f>
        <v/>
      </c>
      <c r="G486" s="128">
        <f>IF(D486&gt;=20,5,IF(D486&gt;=10,4,IF(D486&gt;=5,3,IF(D486&gt;=2,2,1))))</f>
        <v/>
      </c>
      <c r="H486" s="128">
        <f>IF(E486&gt;=5000,5,IF(E486&gt;=2000,4,IF(E486&gt;=800,3,IF(E486&gt;=300,2,1))))</f>
        <v/>
      </c>
      <c r="I486" s="126">
        <f>TEXT(F486,"0")&amp;TEXT(G486,"0")&amp;TEXT(H486,"0")</f>
        <v/>
      </c>
      <c r="J486" s="126">
        <f>IFERROR(XLOOKUP(I486,'Segment Map'!A:A,'Segment Map'!B:B,"Need Attention"),"Need Attention")</f>
        <v/>
      </c>
      <c r="K486" s="126">
        <f>IF(E486&gt;=5000,"🏆 Platinum",IF(E486&gt;=2000,"🥇 Gold",IF(E486&gt;=800,"🥈 Silver","🥉 Bronze")))</f>
        <v/>
      </c>
      <c r="L486" s="129" t="n">
        <v>40675</v>
      </c>
    </row>
    <row r="487">
      <c r="A487" s="122" t="n">
        <v>12977</v>
      </c>
      <c r="B487" s="122" t="inlineStr">
        <is>
          <t>United Kingdom</t>
        </is>
      </c>
      <c r="C487" s="122" t="n">
        <v>157</v>
      </c>
      <c r="D487" s="122" t="n">
        <v>1</v>
      </c>
      <c r="E487" s="123" t="n">
        <v>39.24</v>
      </c>
      <c r="F487" s="124">
        <f>IF(C487&lt;=30,5,IF(C487&lt;=60,4,IF(C487&lt;=120,3,IF(C487&lt;=200,2,1))))</f>
        <v/>
      </c>
      <c r="G487" s="124">
        <f>IF(D487&gt;=20,5,IF(D487&gt;=10,4,IF(D487&gt;=5,3,IF(D487&gt;=2,2,1))))</f>
        <v/>
      </c>
      <c r="H487" s="124">
        <f>IF(E487&gt;=5000,5,IF(E487&gt;=2000,4,IF(E487&gt;=800,3,IF(E487&gt;=300,2,1))))</f>
        <v/>
      </c>
      <c r="I487" s="122">
        <f>TEXT(F487,"0")&amp;TEXT(G487,"0")&amp;TEXT(H487,"0")</f>
        <v/>
      </c>
      <c r="J487" s="122">
        <f>IFERROR(XLOOKUP(I487,'Segment Map'!A:A,'Segment Map'!B:B,"Need Attention"),"Need Attention")</f>
        <v/>
      </c>
      <c r="K487" s="122">
        <f>IF(E487&gt;=5000,"🏆 Platinum",IF(E487&gt;=2000,"🥇 Gold",IF(E487&gt;=800,"🥈 Silver","🥉 Bronze")))</f>
        <v/>
      </c>
      <c r="L487" s="125" t="n">
        <v>40730</v>
      </c>
    </row>
    <row r="488">
      <c r="A488" s="126" t="n">
        <v>12980</v>
      </c>
      <c r="B488" s="126" t="inlineStr">
        <is>
          <t>United Kingdom</t>
        </is>
      </c>
      <c r="C488" s="126" t="n">
        <v>158</v>
      </c>
      <c r="D488" s="126" t="n">
        <v>9</v>
      </c>
      <c r="E488" s="127" t="n">
        <v>7374.9</v>
      </c>
      <c r="F488" s="128">
        <f>IF(C488&lt;=30,5,IF(C488&lt;=60,4,IF(C488&lt;=120,3,IF(C488&lt;=200,2,1))))</f>
        <v/>
      </c>
      <c r="G488" s="128">
        <f>IF(D488&gt;=20,5,IF(D488&gt;=10,4,IF(D488&gt;=5,3,IF(D488&gt;=2,2,1))))</f>
        <v/>
      </c>
      <c r="H488" s="128">
        <f>IF(E488&gt;=5000,5,IF(E488&gt;=2000,4,IF(E488&gt;=800,3,IF(E488&gt;=300,2,1))))</f>
        <v/>
      </c>
      <c r="I488" s="126">
        <f>TEXT(F488,"0")&amp;TEXT(G488,"0")&amp;TEXT(H488,"0")</f>
        <v/>
      </c>
      <c r="J488" s="126">
        <f>IFERROR(XLOOKUP(I488,'Segment Map'!A:A,'Segment Map'!B:B,"Need Attention"),"Need Attention")</f>
        <v/>
      </c>
      <c r="K488" s="126">
        <f>IF(E488&gt;=5000,"🏆 Platinum",IF(E488&gt;=2000,"🥇 Gold",IF(E488&gt;=800,"🥈 Silver","🥉 Bronze")))</f>
        <v/>
      </c>
      <c r="L488" s="129" t="n">
        <v>40729</v>
      </c>
    </row>
    <row r="489">
      <c r="A489" s="122" t="n">
        <v>12981</v>
      </c>
      <c r="B489" s="122" t="inlineStr">
        <is>
          <t>United Kingdom</t>
        </is>
      </c>
      <c r="C489" s="122" t="n">
        <v>30</v>
      </c>
      <c r="D489" s="122" t="n">
        <v>2</v>
      </c>
      <c r="E489" s="123" t="n">
        <v>372.22</v>
      </c>
      <c r="F489" s="124">
        <f>IF(C489&lt;=30,5,IF(C489&lt;=60,4,IF(C489&lt;=120,3,IF(C489&lt;=200,2,1))))</f>
        <v/>
      </c>
      <c r="G489" s="124">
        <f>IF(D489&gt;=20,5,IF(D489&gt;=10,4,IF(D489&gt;=5,3,IF(D489&gt;=2,2,1))))</f>
        <v/>
      </c>
      <c r="H489" s="124">
        <f>IF(E489&gt;=5000,5,IF(E489&gt;=2000,4,IF(E489&gt;=800,3,IF(E489&gt;=300,2,1))))</f>
        <v/>
      </c>
      <c r="I489" s="122">
        <f>TEXT(F489,"0")&amp;TEXT(G489,"0")&amp;TEXT(H489,"0")</f>
        <v/>
      </c>
      <c r="J489" s="122">
        <f>IFERROR(XLOOKUP(I489,'Segment Map'!A:A,'Segment Map'!B:B,"Need Attention"),"Need Attention")</f>
        <v/>
      </c>
      <c r="K489" s="122">
        <f>IF(E489&gt;=5000,"🏆 Platinum",IF(E489&gt;=2000,"🥇 Gold",IF(E489&gt;=800,"🥈 Silver","🥉 Bronze")))</f>
        <v/>
      </c>
      <c r="L489" s="125" t="n">
        <v>40857</v>
      </c>
    </row>
    <row r="490">
      <c r="A490" s="126" t="n">
        <v>12982</v>
      </c>
      <c r="B490" s="126" t="inlineStr">
        <is>
          <t>United Kingdom</t>
        </is>
      </c>
      <c r="C490" s="126" t="n">
        <v>243</v>
      </c>
      <c r="D490" s="126" t="n">
        <v>1</v>
      </c>
      <c r="E490" s="127" t="n">
        <v>390.54</v>
      </c>
      <c r="F490" s="128">
        <f>IF(C490&lt;=30,5,IF(C490&lt;=60,4,IF(C490&lt;=120,3,IF(C490&lt;=200,2,1))))</f>
        <v/>
      </c>
      <c r="G490" s="128">
        <f>IF(D490&gt;=20,5,IF(D490&gt;=10,4,IF(D490&gt;=5,3,IF(D490&gt;=2,2,1))))</f>
        <v/>
      </c>
      <c r="H490" s="128">
        <f>IF(E490&gt;=5000,5,IF(E490&gt;=2000,4,IF(E490&gt;=800,3,IF(E490&gt;=300,2,1))))</f>
        <v/>
      </c>
      <c r="I490" s="126">
        <f>TEXT(F490,"0")&amp;TEXT(G490,"0")&amp;TEXT(H490,"0")</f>
        <v/>
      </c>
      <c r="J490" s="126">
        <f>IFERROR(XLOOKUP(I490,'Segment Map'!A:A,'Segment Map'!B:B,"Need Attention"),"Need Attention")</f>
        <v/>
      </c>
      <c r="K490" s="126">
        <f>IF(E490&gt;=5000,"🏆 Platinum",IF(E490&gt;=2000,"🥇 Gold",IF(E490&gt;=800,"🥈 Silver","🥉 Bronze")))</f>
        <v/>
      </c>
      <c r="L490" s="129" t="n">
        <v>40644</v>
      </c>
    </row>
    <row r="491">
      <c r="A491" s="122" t="n">
        <v>12984</v>
      </c>
      <c r="B491" s="122" t="inlineStr">
        <is>
          <t>United Kingdom</t>
        </is>
      </c>
      <c r="C491" s="122" t="n">
        <v>19</v>
      </c>
      <c r="D491" s="122" t="n">
        <v>1</v>
      </c>
      <c r="E491" s="123" t="n">
        <v>97.5</v>
      </c>
      <c r="F491" s="124">
        <f>IF(C491&lt;=30,5,IF(C491&lt;=60,4,IF(C491&lt;=120,3,IF(C491&lt;=200,2,1))))</f>
        <v/>
      </c>
      <c r="G491" s="124">
        <f>IF(D491&gt;=20,5,IF(D491&gt;=10,4,IF(D491&gt;=5,3,IF(D491&gt;=2,2,1))))</f>
        <v/>
      </c>
      <c r="H491" s="124">
        <f>IF(E491&gt;=5000,5,IF(E491&gt;=2000,4,IF(E491&gt;=800,3,IF(E491&gt;=300,2,1))))</f>
        <v/>
      </c>
      <c r="I491" s="122">
        <f>TEXT(F491,"0")&amp;TEXT(G491,"0")&amp;TEXT(H491,"0")</f>
        <v/>
      </c>
      <c r="J491" s="122">
        <f>IFERROR(XLOOKUP(I491,'Segment Map'!A:A,'Segment Map'!B:B,"Need Attention"),"Need Attention")</f>
        <v/>
      </c>
      <c r="K491" s="122">
        <f>IF(E491&gt;=5000,"🏆 Platinum",IF(E491&gt;=2000,"🥇 Gold",IF(E491&gt;=800,"🥈 Silver","🥉 Bronze")))</f>
        <v/>
      </c>
      <c r="L491" s="125" t="n">
        <v>40868</v>
      </c>
    </row>
    <row r="492">
      <c r="A492" s="126" t="n">
        <v>12985</v>
      </c>
      <c r="B492" s="126" t="inlineStr">
        <is>
          <t>United Kingdom</t>
        </is>
      </c>
      <c r="C492" s="126" t="n">
        <v>1</v>
      </c>
      <c r="D492" s="126" t="n">
        <v>2</v>
      </c>
      <c r="E492" s="127" t="n">
        <v>1239.38</v>
      </c>
      <c r="F492" s="128">
        <f>IF(C492&lt;=30,5,IF(C492&lt;=60,4,IF(C492&lt;=120,3,IF(C492&lt;=200,2,1))))</f>
        <v/>
      </c>
      <c r="G492" s="128">
        <f>IF(D492&gt;=20,5,IF(D492&gt;=10,4,IF(D492&gt;=5,3,IF(D492&gt;=2,2,1))))</f>
        <v/>
      </c>
      <c r="H492" s="128">
        <f>IF(E492&gt;=5000,5,IF(E492&gt;=2000,4,IF(E492&gt;=800,3,IF(E492&gt;=300,2,1))))</f>
        <v/>
      </c>
      <c r="I492" s="126">
        <f>TEXT(F492,"0")&amp;TEXT(G492,"0")&amp;TEXT(H492,"0")</f>
        <v/>
      </c>
      <c r="J492" s="126">
        <f>IFERROR(XLOOKUP(I492,'Segment Map'!A:A,'Segment Map'!B:B,"Need Attention"),"Need Attention")</f>
        <v/>
      </c>
      <c r="K492" s="126">
        <f>IF(E492&gt;=5000,"🏆 Platinum",IF(E492&gt;=2000,"🥇 Gold",IF(E492&gt;=800,"🥈 Silver","🥉 Bronze")))</f>
        <v/>
      </c>
      <c r="L492" s="129" t="n">
        <v>40886</v>
      </c>
    </row>
    <row r="493">
      <c r="A493" s="122" t="n">
        <v>12987</v>
      </c>
      <c r="B493" s="122" t="inlineStr">
        <is>
          <t>United Kingdom</t>
        </is>
      </c>
      <c r="C493" s="122" t="n">
        <v>74</v>
      </c>
      <c r="D493" s="122" t="n">
        <v>2</v>
      </c>
      <c r="E493" s="123" t="n">
        <v>558.7</v>
      </c>
      <c r="F493" s="124">
        <f>IF(C493&lt;=30,5,IF(C493&lt;=60,4,IF(C493&lt;=120,3,IF(C493&lt;=200,2,1))))</f>
        <v/>
      </c>
      <c r="G493" s="124">
        <f>IF(D493&gt;=20,5,IF(D493&gt;=10,4,IF(D493&gt;=5,3,IF(D493&gt;=2,2,1))))</f>
        <v/>
      </c>
      <c r="H493" s="124">
        <f>IF(E493&gt;=5000,5,IF(E493&gt;=2000,4,IF(E493&gt;=800,3,IF(E493&gt;=300,2,1))))</f>
        <v/>
      </c>
      <c r="I493" s="122">
        <f>TEXT(F493,"0")&amp;TEXT(G493,"0")&amp;TEXT(H493,"0")</f>
        <v/>
      </c>
      <c r="J493" s="122">
        <f>IFERROR(XLOOKUP(I493,'Segment Map'!A:A,'Segment Map'!B:B,"Need Attention"),"Need Attention")</f>
        <v/>
      </c>
      <c r="K493" s="122">
        <f>IF(E493&gt;=5000,"🏆 Platinum",IF(E493&gt;=2000,"🥇 Gold",IF(E493&gt;=800,"🥈 Silver","🥉 Bronze")))</f>
        <v/>
      </c>
      <c r="L493" s="125" t="n">
        <v>40813</v>
      </c>
    </row>
    <row r="494">
      <c r="A494" s="126" t="n">
        <v>12988</v>
      </c>
      <c r="B494" s="126" t="inlineStr">
        <is>
          <t>United Kingdom</t>
        </is>
      </c>
      <c r="C494" s="126" t="n">
        <v>293</v>
      </c>
      <c r="D494" s="126" t="n">
        <v>1</v>
      </c>
      <c r="E494" s="127" t="n">
        <v>535.3200000000001</v>
      </c>
      <c r="F494" s="128">
        <f>IF(C494&lt;=30,5,IF(C494&lt;=60,4,IF(C494&lt;=120,3,IF(C494&lt;=200,2,1))))</f>
        <v/>
      </c>
      <c r="G494" s="128">
        <f>IF(D494&gt;=20,5,IF(D494&gt;=10,4,IF(D494&gt;=5,3,IF(D494&gt;=2,2,1))))</f>
        <v/>
      </c>
      <c r="H494" s="128">
        <f>IF(E494&gt;=5000,5,IF(E494&gt;=2000,4,IF(E494&gt;=800,3,IF(E494&gt;=300,2,1))))</f>
        <v/>
      </c>
      <c r="I494" s="126">
        <f>TEXT(F494,"0")&amp;TEXT(G494,"0")&amp;TEXT(H494,"0")</f>
        <v/>
      </c>
      <c r="J494" s="126">
        <f>IFERROR(XLOOKUP(I494,'Segment Map'!A:A,'Segment Map'!B:B,"Need Attention"),"Need Attention")</f>
        <v/>
      </c>
      <c r="K494" s="126">
        <f>IF(E494&gt;=5000,"🏆 Platinum",IF(E494&gt;=2000,"🥇 Gold",IF(E494&gt;=800,"🥈 Silver","🥉 Bronze")))</f>
        <v/>
      </c>
      <c r="L494" s="129" t="n">
        <v>40594</v>
      </c>
    </row>
    <row r="495">
      <c r="A495" s="122" t="n">
        <v>12989</v>
      </c>
      <c r="B495" s="122" t="inlineStr">
        <is>
          <t>United Kingdom</t>
        </is>
      </c>
      <c r="C495" s="122" t="n">
        <v>4</v>
      </c>
      <c r="D495" s="122" t="n">
        <v>15</v>
      </c>
      <c r="E495" s="123" t="n">
        <v>6924.11</v>
      </c>
      <c r="F495" s="124">
        <f>IF(C495&lt;=30,5,IF(C495&lt;=60,4,IF(C495&lt;=120,3,IF(C495&lt;=200,2,1))))</f>
        <v/>
      </c>
      <c r="G495" s="124">
        <f>IF(D495&gt;=20,5,IF(D495&gt;=10,4,IF(D495&gt;=5,3,IF(D495&gt;=2,2,1))))</f>
        <v/>
      </c>
      <c r="H495" s="124">
        <f>IF(E495&gt;=5000,5,IF(E495&gt;=2000,4,IF(E495&gt;=800,3,IF(E495&gt;=300,2,1))))</f>
        <v/>
      </c>
      <c r="I495" s="122">
        <f>TEXT(F495,"0")&amp;TEXT(G495,"0")&amp;TEXT(H495,"0")</f>
        <v/>
      </c>
      <c r="J495" s="122">
        <f>IFERROR(XLOOKUP(I495,'Segment Map'!A:A,'Segment Map'!B:B,"Need Attention"),"Need Attention")</f>
        <v/>
      </c>
      <c r="K495" s="122">
        <f>IF(E495&gt;=5000,"🏆 Platinum",IF(E495&gt;=2000,"🥇 Gold",IF(E495&gt;=800,"🥈 Silver","🥉 Bronze")))</f>
        <v/>
      </c>
      <c r="L495" s="125" t="n">
        <v>40883</v>
      </c>
    </row>
    <row r="496">
      <c r="A496" s="126" t="n">
        <v>12990</v>
      </c>
      <c r="B496" s="126" t="inlineStr">
        <is>
          <t>United Kingdom</t>
        </is>
      </c>
      <c r="C496" s="126" t="n">
        <v>32</v>
      </c>
      <c r="D496" s="126" t="n">
        <v>3</v>
      </c>
      <c r="E496" s="127" t="n">
        <v>409.5</v>
      </c>
      <c r="F496" s="128">
        <f>IF(C496&lt;=30,5,IF(C496&lt;=60,4,IF(C496&lt;=120,3,IF(C496&lt;=200,2,1))))</f>
        <v/>
      </c>
      <c r="G496" s="128">
        <f>IF(D496&gt;=20,5,IF(D496&gt;=10,4,IF(D496&gt;=5,3,IF(D496&gt;=2,2,1))))</f>
        <v/>
      </c>
      <c r="H496" s="128">
        <f>IF(E496&gt;=5000,5,IF(E496&gt;=2000,4,IF(E496&gt;=800,3,IF(E496&gt;=300,2,1))))</f>
        <v/>
      </c>
      <c r="I496" s="126">
        <f>TEXT(F496,"0")&amp;TEXT(G496,"0")&amp;TEXT(H496,"0")</f>
        <v/>
      </c>
      <c r="J496" s="126">
        <f>IFERROR(XLOOKUP(I496,'Segment Map'!A:A,'Segment Map'!B:B,"Need Attention"),"Need Attention")</f>
        <v/>
      </c>
      <c r="K496" s="126">
        <f>IF(E496&gt;=5000,"🏆 Platinum",IF(E496&gt;=2000,"🥇 Gold",IF(E496&gt;=800,"🥈 Silver","🥉 Bronze")))</f>
        <v/>
      </c>
      <c r="L496" s="129" t="n">
        <v>40855</v>
      </c>
    </row>
    <row r="497">
      <c r="A497" s="122" t="n">
        <v>12991</v>
      </c>
      <c r="B497" s="122" t="inlineStr">
        <is>
          <t>United Kingdom</t>
        </is>
      </c>
      <c r="C497" s="122" t="n">
        <v>24</v>
      </c>
      <c r="D497" s="122" t="n">
        <v>2</v>
      </c>
      <c r="E497" s="123" t="n">
        <v>503.76</v>
      </c>
      <c r="F497" s="124">
        <f>IF(C497&lt;=30,5,IF(C497&lt;=60,4,IF(C497&lt;=120,3,IF(C497&lt;=200,2,1))))</f>
        <v/>
      </c>
      <c r="G497" s="124">
        <f>IF(D497&gt;=20,5,IF(D497&gt;=10,4,IF(D497&gt;=5,3,IF(D497&gt;=2,2,1))))</f>
        <v/>
      </c>
      <c r="H497" s="124">
        <f>IF(E497&gt;=5000,5,IF(E497&gt;=2000,4,IF(E497&gt;=800,3,IF(E497&gt;=300,2,1))))</f>
        <v/>
      </c>
      <c r="I497" s="122">
        <f>TEXT(F497,"0")&amp;TEXT(G497,"0")&amp;TEXT(H497,"0")</f>
        <v/>
      </c>
      <c r="J497" s="122">
        <f>IFERROR(XLOOKUP(I497,'Segment Map'!A:A,'Segment Map'!B:B,"Need Attention"),"Need Attention")</f>
        <v/>
      </c>
      <c r="K497" s="122">
        <f>IF(E497&gt;=5000,"🏆 Platinum",IF(E497&gt;=2000,"🥇 Gold",IF(E497&gt;=800,"🥈 Silver","🥉 Bronze")))</f>
        <v/>
      </c>
      <c r="L497" s="125" t="n">
        <v>40863</v>
      </c>
    </row>
    <row r="498">
      <c r="A498" s="126" t="n">
        <v>12993</v>
      </c>
      <c r="B498" s="126" t="inlineStr">
        <is>
          <t>United Kingdom</t>
        </is>
      </c>
      <c r="C498" s="126" t="n">
        <v>24</v>
      </c>
      <c r="D498" s="126" t="n">
        <v>4</v>
      </c>
      <c r="E498" s="127" t="n">
        <v>414.76</v>
      </c>
      <c r="F498" s="128">
        <f>IF(C498&lt;=30,5,IF(C498&lt;=60,4,IF(C498&lt;=120,3,IF(C498&lt;=200,2,1))))</f>
        <v/>
      </c>
      <c r="G498" s="128">
        <f>IF(D498&gt;=20,5,IF(D498&gt;=10,4,IF(D498&gt;=5,3,IF(D498&gt;=2,2,1))))</f>
        <v/>
      </c>
      <c r="H498" s="128">
        <f>IF(E498&gt;=5000,5,IF(E498&gt;=2000,4,IF(E498&gt;=800,3,IF(E498&gt;=300,2,1))))</f>
        <v/>
      </c>
      <c r="I498" s="126">
        <f>TEXT(F498,"0")&amp;TEXT(G498,"0")&amp;TEXT(H498,"0")</f>
        <v/>
      </c>
      <c r="J498" s="126">
        <f>IFERROR(XLOOKUP(I498,'Segment Map'!A:A,'Segment Map'!B:B,"Need Attention"),"Need Attention")</f>
        <v/>
      </c>
      <c r="K498" s="126">
        <f>IF(E498&gt;=5000,"🏆 Platinum",IF(E498&gt;=2000,"🥇 Gold",IF(E498&gt;=800,"🥈 Silver","🥉 Bronze")))</f>
        <v/>
      </c>
      <c r="L498" s="129" t="n">
        <v>40863</v>
      </c>
    </row>
    <row r="499">
      <c r="A499" s="122" t="n">
        <v>12994</v>
      </c>
      <c r="B499" s="122" t="inlineStr">
        <is>
          <t>United Kingdom</t>
        </is>
      </c>
      <c r="C499" s="122" t="n">
        <v>5</v>
      </c>
      <c r="D499" s="122" t="n">
        <v>3</v>
      </c>
      <c r="E499" s="123" t="n">
        <v>974.42</v>
      </c>
      <c r="F499" s="124">
        <f>IF(C499&lt;=30,5,IF(C499&lt;=60,4,IF(C499&lt;=120,3,IF(C499&lt;=200,2,1))))</f>
        <v/>
      </c>
      <c r="G499" s="124">
        <f>IF(D499&gt;=20,5,IF(D499&gt;=10,4,IF(D499&gt;=5,3,IF(D499&gt;=2,2,1))))</f>
        <v/>
      </c>
      <c r="H499" s="124">
        <f>IF(E499&gt;=5000,5,IF(E499&gt;=2000,4,IF(E499&gt;=800,3,IF(E499&gt;=300,2,1))))</f>
        <v/>
      </c>
      <c r="I499" s="122">
        <f>TEXT(F499,"0")&amp;TEXT(G499,"0")&amp;TEXT(H499,"0")</f>
        <v/>
      </c>
      <c r="J499" s="122">
        <f>IFERROR(XLOOKUP(I499,'Segment Map'!A:A,'Segment Map'!B:B,"Need Attention"),"Need Attention")</f>
        <v/>
      </c>
      <c r="K499" s="122">
        <f>IF(E499&gt;=5000,"🏆 Platinum",IF(E499&gt;=2000,"🥇 Gold",IF(E499&gt;=800,"🥈 Silver","🥉 Bronze")))</f>
        <v/>
      </c>
      <c r="L499" s="125" t="n">
        <v>40882</v>
      </c>
    </row>
    <row r="500">
      <c r="A500" s="126" t="n">
        <v>12995</v>
      </c>
      <c r="B500" s="126" t="inlineStr">
        <is>
          <t>United Kingdom</t>
        </is>
      </c>
      <c r="C500" s="126" t="n">
        <v>86</v>
      </c>
      <c r="D500" s="126" t="n">
        <v>1</v>
      </c>
      <c r="E500" s="127" t="n">
        <v>211.32</v>
      </c>
      <c r="F500" s="128">
        <f>IF(C500&lt;=30,5,IF(C500&lt;=60,4,IF(C500&lt;=120,3,IF(C500&lt;=200,2,1))))</f>
        <v/>
      </c>
      <c r="G500" s="128">
        <f>IF(D500&gt;=20,5,IF(D500&gt;=10,4,IF(D500&gt;=5,3,IF(D500&gt;=2,2,1))))</f>
        <v/>
      </c>
      <c r="H500" s="128">
        <f>IF(E500&gt;=5000,5,IF(E500&gt;=2000,4,IF(E500&gt;=800,3,IF(E500&gt;=300,2,1))))</f>
        <v/>
      </c>
      <c r="I500" s="126">
        <f>TEXT(F500,"0")&amp;TEXT(G500,"0")&amp;TEXT(H500,"0")</f>
        <v/>
      </c>
      <c r="J500" s="126">
        <f>IFERROR(XLOOKUP(I500,'Segment Map'!A:A,'Segment Map'!B:B,"Need Attention"),"Need Attention")</f>
        <v/>
      </c>
      <c r="K500" s="126">
        <f>IF(E500&gt;=5000,"🏆 Platinum",IF(E500&gt;=2000,"🥇 Gold",IF(E500&gt;=800,"🥈 Silver","🥉 Bronze")))</f>
        <v/>
      </c>
      <c r="L500" s="129" t="n">
        <v>40801</v>
      </c>
    </row>
    <row r="501">
      <c r="A501" s="122" t="n">
        <v>12997</v>
      </c>
      <c r="B501" s="122" t="inlineStr">
        <is>
          <t>United Kingdom</t>
        </is>
      </c>
      <c r="C501" s="122" t="n">
        <v>23</v>
      </c>
      <c r="D501" s="122" t="n">
        <v>4</v>
      </c>
      <c r="E501" s="123" t="n">
        <v>1226.89</v>
      </c>
      <c r="F501" s="124">
        <f>IF(C501&lt;=30,5,IF(C501&lt;=60,4,IF(C501&lt;=120,3,IF(C501&lt;=200,2,1))))</f>
        <v/>
      </c>
      <c r="G501" s="124">
        <f>IF(D501&gt;=20,5,IF(D501&gt;=10,4,IF(D501&gt;=5,3,IF(D501&gt;=2,2,1))))</f>
        <v/>
      </c>
      <c r="H501" s="124">
        <f>IF(E501&gt;=5000,5,IF(E501&gt;=2000,4,IF(E501&gt;=800,3,IF(E501&gt;=300,2,1))))</f>
        <v/>
      </c>
      <c r="I501" s="122">
        <f>TEXT(F501,"0")&amp;TEXT(G501,"0")&amp;TEXT(H501,"0")</f>
        <v/>
      </c>
      <c r="J501" s="122">
        <f>IFERROR(XLOOKUP(I501,'Segment Map'!A:A,'Segment Map'!B:B,"Need Attention"),"Need Attention")</f>
        <v/>
      </c>
      <c r="K501" s="122">
        <f>IF(E501&gt;=5000,"🏆 Platinum",IF(E501&gt;=2000,"🥇 Gold",IF(E501&gt;=800,"🥈 Silver","🥉 Bronze")))</f>
        <v/>
      </c>
      <c r="L501" s="125" t="n">
        <v>40864</v>
      </c>
    </row>
    <row r="502">
      <c r="A502" s="126" t="n">
        <v>12999</v>
      </c>
      <c r="B502" s="126" t="inlineStr">
        <is>
          <t>United Kingdom</t>
        </is>
      </c>
      <c r="C502" s="126" t="n">
        <v>197</v>
      </c>
      <c r="D502" s="126" t="n">
        <v>3</v>
      </c>
      <c r="E502" s="127" t="n">
        <v>455.88</v>
      </c>
      <c r="F502" s="128">
        <f>IF(C502&lt;=30,5,IF(C502&lt;=60,4,IF(C502&lt;=120,3,IF(C502&lt;=200,2,1))))</f>
        <v/>
      </c>
      <c r="G502" s="128">
        <f>IF(D502&gt;=20,5,IF(D502&gt;=10,4,IF(D502&gt;=5,3,IF(D502&gt;=2,2,1))))</f>
        <v/>
      </c>
      <c r="H502" s="128">
        <f>IF(E502&gt;=5000,5,IF(E502&gt;=2000,4,IF(E502&gt;=800,3,IF(E502&gt;=300,2,1))))</f>
        <v/>
      </c>
      <c r="I502" s="126">
        <f>TEXT(F502,"0")&amp;TEXT(G502,"0")&amp;TEXT(H502,"0")</f>
        <v/>
      </c>
      <c r="J502" s="126">
        <f>IFERROR(XLOOKUP(I502,'Segment Map'!A:A,'Segment Map'!B:B,"Need Attention"),"Need Attention")</f>
        <v/>
      </c>
      <c r="K502" s="126">
        <f>IF(E502&gt;=5000,"🏆 Platinum",IF(E502&gt;=2000,"🥇 Gold",IF(E502&gt;=800,"🥈 Silver","🥉 Bronze")))</f>
        <v/>
      </c>
      <c r="L502" s="129" t="n">
        <v>40690</v>
      </c>
    </row>
    <row r="503">
      <c r="A503" s="122" t="n">
        <v>13000</v>
      </c>
      <c r="B503" s="122" t="inlineStr">
        <is>
          <t>United Kingdom</t>
        </is>
      </c>
      <c r="C503" s="122" t="n">
        <v>107</v>
      </c>
      <c r="D503" s="122" t="n">
        <v>3</v>
      </c>
      <c r="E503" s="123" t="n">
        <v>534.85</v>
      </c>
      <c r="F503" s="124">
        <f>IF(C503&lt;=30,5,IF(C503&lt;=60,4,IF(C503&lt;=120,3,IF(C503&lt;=200,2,1))))</f>
        <v/>
      </c>
      <c r="G503" s="124">
        <f>IF(D503&gt;=20,5,IF(D503&gt;=10,4,IF(D503&gt;=5,3,IF(D503&gt;=2,2,1))))</f>
        <v/>
      </c>
      <c r="H503" s="124">
        <f>IF(E503&gt;=5000,5,IF(E503&gt;=2000,4,IF(E503&gt;=800,3,IF(E503&gt;=300,2,1))))</f>
        <v/>
      </c>
      <c r="I503" s="122">
        <f>TEXT(F503,"0")&amp;TEXT(G503,"0")&amp;TEXT(H503,"0")</f>
        <v/>
      </c>
      <c r="J503" s="122">
        <f>IFERROR(XLOOKUP(I503,'Segment Map'!A:A,'Segment Map'!B:B,"Need Attention"),"Need Attention")</f>
        <v/>
      </c>
      <c r="K503" s="122">
        <f>IF(E503&gt;=5000,"🏆 Platinum",IF(E503&gt;=2000,"🥇 Gold",IF(E503&gt;=800,"🥈 Silver","🥉 Bronze")))</f>
        <v/>
      </c>
      <c r="L503" s="125" t="n">
        <v>40780</v>
      </c>
    </row>
    <row r="504">
      <c r="A504" s="126" t="n">
        <v>13001</v>
      </c>
      <c r="B504" s="126" t="inlineStr">
        <is>
          <t>United Kingdom</t>
        </is>
      </c>
      <c r="C504" s="126" t="n">
        <v>5</v>
      </c>
      <c r="D504" s="126" t="n">
        <v>13</v>
      </c>
      <c r="E504" s="127" t="n">
        <v>9818.82</v>
      </c>
      <c r="F504" s="128">
        <f>IF(C504&lt;=30,5,IF(C504&lt;=60,4,IF(C504&lt;=120,3,IF(C504&lt;=200,2,1))))</f>
        <v/>
      </c>
      <c r="G504" s="128">
        <f>IF(D504&gt;=20,5,IF(D504&gt;=10,4,IF(D504&gt;=5,3,IF(D504&gt;=2,2,1))))</f>
        <v/>
      </c>
      <c r="H504" s="128">
        <f>IF(E504&gt;=5000,5,IF(E504&gt;=2000,4,IF(E504&gt;=800,3,IF(E504&gt;=300,2,1))))</f>
        <v/>
      </c>
      <c r="I504" s="126">
        <f>TEXT(F504,"0")&amp;TEXT(G504,"0")&amp;TEXT(H504,"0")</f>
        <v/>
      </c>
      <c r="J504" s="126">
        <f>IFERROR(XLOOKUP(I504,'Segment Map'!A:A,'Segment Map'!B:B,"Need Attention"),"Need Attention")</f>
        <v/>
      </c>
      <c r="K504" s="126">
        <f>IF(E504&gt;=5000,"🏆 Platinum",IF(E504&gt;=2000,"🥇 Gold",IF(E504&gt;=800,"🥈 Silver","🥉 Bronze")))</f>
        <v/>
      </c>
      <c r="L504" s="129" t="n">
        <v>40882</v>
      </c>
    </row>
    <row r="505">
      <c r="A505" s="122" t="n">
        <v>13002</v>
      </c>
      <c r="B505" s="122" t="inlineStr">
        <is>
          <t>United Kingdom</t>
        </is>
      </c>
      <c r="C505" s="122" t="n">
        <v>319</v>
      </c>
      <c r="D505" s="122" t="n">
        <v>1</v>
      </c>
      <c r="E505" s="123" t="n">
        <v>120.95</v>
      </c>
      <c r="F505" s="124">
        <f>IF(C505&lt;=30,5,IF(C505&lt;=60,4,IF(C505&lt;=120,3,IF(C505&lt;=200,2,1))))</f>
        <v/>
      </c>
      <c r="G505" s="124">
        <f>IF(D505&gt;=20,5,IF(D505&gt;=10,4,IF(D505&gt;=5,3,IF(D505&gt;=2,2,1))))</f>
        <v/>
      </c>
      <c r="H505" s="124">
        <f>IF(E505&gt;=5000,5,IF(E505&gt;=2000,4,IF(E505&gt;=800,3,IF(E505&gt;=300,2,1))))</f>
        <v/>
      </c>
      <c r="I505" s="122">
        <f>TEXT(F505,"0")&amp;TEXT(G505,"0")&amp;TEXT(H505,"0")</f>
        <v/>
      </c>
      <c r="J505" s="122">
        <f>IFERROR(XLOOKUP(I505,'Segment Map'!A:A,'Segment Map'!B:B,"Need Attention"),"Need Attention")</f>
        <v/>
      </c>
      <c r="K505" s="122">
        <f>IF(E505&gt;=5000,"🏆 Platinum",IF(E505&gt;=2000,"🥇 Gold",IF(E505&gt;=800,"🥈 Silver","🥉 Bronze")))</f>
        <v/>
      </c>
      <c r="L505" s="125" t="n">
        <v>40568</v>
      </c>
    </row>
    <row r="506">
      <c r="A506" s="126" t="n">
        <v>13003</v>
      </c>
      <c r="B506" s="126" t="inlineStr">
        <is>
          <t>United Kingdom</t>
        </is>
      </c>
      <c r="C506" s="126" t="n">
        <v>106</v>
      </c>
      <c r="D506" s="126" t="n">
        <v>3</v>
      </c>
      <c r="E506" s="127" t="n">
        <v>149.05</v>
      </c>
      <c r="F506" s="128">
        <f>IF(C506&lt;=30,5,IF(C506&lt;=60,4,IF(C506&lt;=120,3,IF(C506&lt;=200,2,1))))</f>
        <v/>
      </c>
      <c r="G506" s="128">
        <f>IF(D506&gt;=20,5,IF(D506&gt;=10,4,IF(D506&gt;=5,3,IF(D506&gt;=2,2,1))))</f>
        <v/>
      </c>
      <c r="H506" s="128">
        <f>IF(E506&gt;=5000,5,IF(E506&gt;=2000,4,IF(E506&gt;=800,3,IF(E506&gt;=300,2,1))))</f>
        <v/>
      </c>
      <c r="I506" s="126">
        <f>TEXT(F506,"0")&amp;TEXT(G506,"0")&amp;TEXT(H506,"0")</f>
        <v/>
      </c>
      <c r="J506" s="126">
        <f>IFERROR(XLOOKUP(I506,'Segment Map'!A:A,'Segment Map'!B:B,"Need Attention"),"Need Attention")</f>
        <v/>
      </c>
      <c r="K506" s="126">
        <f>IF(E506&gt;=5000,"🏆 Platinum",IF(E506&gt;=2000,"🥇 Gold",IF(E506&gt;=800,"🥈 Silver","🥉 Bronze")))</f>
        <v/>
      </c>
      <c r="L506" s="129" t="n">
        <v>40781</v>
      </c>
    </row>
    <row r="507">
      <c r="A507" s="122" t="n">
        <v>13004</v>
      </c>
      <c r="B507" s="122" t="inlineStr">
        <is>
          <t>United Kingdom</t>
        </is>
      </c>
      <c r="C507" s="122" t="n">
        <v>12</v>
      </c>
      <c r="D507" s="122" t="n">
        <v>18</v>
      </c>
      <c r="E507" s="123" t="n">
        <v>5655.91</v>
      </c>
      <c r="F507" s="124">
        <f>IF(C507&lt;=30,5,IF(C507&lt;=60,4,IF(C507&lt;=120,3,IF(C507&lt;=200,2,1))))</f>
        <v/>
      </c>
      <c r="G507" s="124">
        <f>IF(D507&gt;=20,5,IF(D507&gt;=10,4,IF(D507&gt;=5,3,IF(D507&gt;=2,2,1))))</f>
        <v/>
      </c>
      <c r="H507" s="124">
        <f>IF(E507&gt;=5000,5,IF(E507&gt;=2000,4,IF(E507&gt;=800,3,IF(E507&gt;=300,2,1))))</f>
        <v/>
      </c>
      <c r="I507" s="122">
        <f>TEXT(F507,"0")&amp;TEXT(G507,"0")&amp;TEXT(H507,"0")</f>
        <v/>
      </c>
      <c r="J507" s="122">
        <f>IFERROR(XLOOKUP(I507,'Segment Map'!A:A,'Segment Map'!B:B,"Need Attention"),"Need Attention")</f>
        <v/>
      </c>
      <c r="K507" s="122">
        <f>IF(E507&gt;=5000,"🏆 Platinum",IF(E507&gt;=2000,"🥇 Gold",IF(E507&gt;=800,"🥈 Silver","🥉 Bronze")))</f>
        <v/>
      </c>
      <c r="L507" s="125" t="n">
        <v>40875</v>
      </c>
    </row>
    <row r="508">
      <c r="A508" s="126" t="n">
        <v>13005</v>
      </c>
      <c r="B508" s="126" t="inlineStr">
        <is>
          <t>United Kingdom</t>
        </is>
      </c>
      <c r="C508" s="126" t="n">
        <v>174</v>
      </c>
      <c r="D508" s="126" t="n">
        <v>2</v>
      </c>
      <c r="E508" s="127" t="n">
        <v>513.7</v>
      </c>
      <c r="F508" s="128">
        <f>IF(C508&lt;=30,5,IF(C508&lt;=60,4,IF(C508&lt;=120,3,IF(C508&lt;=200,2,1))))</f>
        <v/>
      </c>
      <c r="G508" s="128">
        <f>IF(D508&gt;=20,5,IF(D508&gt;=10,4,IF(D508&gt;=5,3,IF(D508&gt;=2,2,1))))</f>
        <v/>
      </c>
      <c r="H508" s="128">
        <f>IF(E508&gt;=5000,5,IF(E508&gt;=2000,4,IF(E508&gt;=800,3,IF(E508&gt;=300,2,1))))</f>
        <v/>
      </c>
      <c r="I508" s="126">
        <f>TEXT(F508,"0")&amp;TEXT(G508,"0")&amp;TEXT(H508,"0")</f>
        <v/>
      </c>
      <c r="J508" s="126">
        <f>IFERROR(XLOOKUP(I508,'Segment Map'!A:A,'Segment Map'!B:B,"Need Attention"),"Need Attention")</f>
        <v/>
      </c>
      <c r="K508" s="126">
        <f>IF(E508&gt;=5000,"🏆 Platinum",IF(E508&gt;=2000,"🥇 Gold",IF(E508&gt;=800,"🥈 Silver","🥉 Bronze")))</f>
        <v/>
      </c>
      <c r="L508" s="129" t="n">
        <v>40713</v>
      </c>
    </row>
    <row r="509">
      <c r="A509" s="122" t="n">
        <v>13006</v>
      </c>
      <c r="B509" s="122" t="inlineStr">
        <is>
          <t>United Kingdom</t>
        </is>
      </c>
      <c r="C509" s="122" t="n">
        <v>57</v>
      </c>
      <c r="D509" s="122" t="n">
        <v>1</v>
      </c>
      <c r="E509" s="123" t="n">
        <v>81.56999999999999</v>
      </c>
      <c r="F509" s="124">
        <f>IF(C509&lt;=30,5,IF(C509&lt;=60,4,IF(C509&lt;=120,3,IF(C509&lt;=200,2,1))))</f>
        <v/>
      </c>
      <c r="G509" s="124">
        <f>IF(D509&gt;=20,5,IF(D509&gt;=10,4,IF(D509&gt;=5,3,IF(D509&gt;=2,2,1))))</f>
        <v/>
      </c>
      <c r="H509" s="124">
        <f>IF(E509&gt;=5000,5,IF(E509&gt;=2000,4,IF(E509&gt;=800,3,IF(E509&gt;=300,2,1))))</f>
        <v/>
      </c>
      <c r="I509" s="122">
        <f>TEXT(F509,"0")&amp;TEXT(G509,"0")&amp;TEXT(H509,"0")</f>
        <v/>
      </c>
      <c r="J509" s="122">
        <f>IFERROR(XLOOKUP(I509,'Segment Map'!A:A,'Segment Map'!B:B,"Need Attention"),"Need Attention")</f>
        <v/>
      </c>
      <c r="K509" s="122">
        <f>IF(E509&gt;=5000,"🏆 Platinum",IF(E509&gt;=2000,"🥇 Gold",IF(E509&gt;=800,"🥈 Silver","🥉 Bronze")))</f>
        <v/>
      </c>
      <c r="L509" s="125" t="n">
        <v>40830</v>
      </c>
    </row>
    <row r="510">
      <c r="A510" s="126" t="n">
        <v>13008</v>
      </c>
      <c r="B510" s="126" t="inlineStr">
        <is>
          <t>United Kingdom</t>
        </is>
      </c>
      <c r="C510" s="126" t="n">
        <v>324</v>
      </c>
      <c r="D510" s="126" t="n">
        <v>1</v>
      </c>
      <c r="E510" s="127" t="n">
        <v>229.47</v>
      </c>
      <c r="F510" s="128">
        <f>IF(C510&lt;=30,5,IF(C510&lt;=60,4,IF(C510&lt;=120,3,IF(C510&lt;=200,2,1))))</f>
        <v/>
      </c>
      <c r="G510" s="128">
        <f>IF(D510&gt;=20,5,IF(D510&gt;=10,4,IF(D510&gt;=5,3,IF(D510&gt;=2,2,1))))</f>
        <v/>
      </c>
      <c r="H510" s="128">
        <f>IF(E510&gt;=5000,5,IF(E510&gt;=2000,4,IF(E510&gt;=800,3,IF(E510&gt;=300,2,1))))</f>
        <v/>
      </c>
      <c r="I510" s="126">
        <f>TEXT(F510,"0")&amp;TEXT(G510,"0")&amp;TEXT(H510,"0")</f>
        <v/>
      </c>
      <c r="J510" s="126">
        <f>IFERROR(XLOOKUP(I510,'Segment Map'!A:A,'Segment Map'!B:B,"Need Attention"),"Need Attention")</f>
        <v/>
      </c>
      <c r="K510" s="126">
        <f>IF(E510&gt;=5000,"🏆 Platinum",IF(E510&gt;=2000,"🥇 Gold",IF(E510&gt;=800,"🥈 Silver","🥉 Bronze")))</f>
        <v/>
      </c>
      <c r="L510" s="129" t="n">
        <v>40563</v>
      </c>
    </row>
    <row r="511">
      <c r="A511" s="122" t="n">
        <v>13011</v>
      </c>
      <c r="B511" s="122" t="inlineStr">
        <is>
          <t>United Kingdom</t>
        </is>
      </c>
      <c r="C511" s="122" t="n">
        <v>373</v>
      </c>
      <c r="D511" s="122" t="n">
        <v>1</v>
      </c>
      <c r="E511" s="123" t="n">
        <v>50.55</v>
      </c>
      <c r="F511" s="124">
        <f>IF(C511&lt;=30,5,IF(C511&lt;=60,4,IF(C511&lt;=120,3,IF(C511&lt;=200,2,1))))</f>
        <v/>
      </c>
      <c r="G511" s="124">
        <f>IF(D511&gt;=20,5,IF(D511&gt;=10,4,IF(D511&gt;=5,3,IF(D511&gt;=2,2,1))))</f>
        <v/>
      </c>
      <c r="H511" s="124">
        <f>IF(E511&gt;=5000,5,IF(E511&gt;=2000,4,IF(E511&gt;=800,3,IF(E511&gt;=300,2,1))))</f>
        <v/>
      </c>
      <c r="I511" s="122">
        <f>TEXT(F511,"0")&amp;TEXT(G511,"0")&amp;TEXT(H511,"0")</f>
        <v/>
      </c>
      <c r="J511" s="122">
        <f>IFERROR(XLOOKUP(I511,'Segment Map'!A:A,'Segment Map'!B:B,"Need Attention"),"Need Attention")</f>
        <v/>
      </c>
      <c r="K511" s="122">
        <f>IF(E511&gt;=5000,"🏆 Platinum",IF(E511&gt;=2000,"🥇 Gold",IF(E511&gt;=800,"🥈 Silver","🥉 Bronze")))</f>
        <v/>
      </c>
      <c r="L511" s="125" t="n">
        <v>40514</v>
      </c>
    </row>
    <row r="512">
      <c r="A512" s="126" t="n">
        <v>13012</v>
      </c>
      <c r="B512" s="126" t="inlineStr">
        <is>
          <t>United Kingdom</t>
        </is>
      </c>
      <c r="C512" s="126" t="n">
        <v>10</v>
      </c>
      <c r="D512" s="126" t="n">
        <v>8</v>
      </c>
      <c r="E512" s="127" t="n">
        <v>1661.84</v>
      </c>
      <c r="F512" s="128">
        <f>IF(C512&lt;=30,5,IF(C512&lt;=60,4,IF(C512&lt;=120,3,IF(C512&lt;=200,2,1))))</f>
        <v/>
      </c>
      <c r="G512" s="128">
        <f>IF(D512&gt;=20,5,IF(D512&gt;=10,4,IF(D512&gt;=5,3,IF(D512&gt;=2,2,1))))</f>
        <v/>
      </c>
      <c r="H512" s="128">
        <f>IF(E512&gt;=5000,5,IF(E512&gt;=2000,4,IF(E512&gt;=800,3,IF(E512&gt;=300,2,1))))</f>
        <v/>
      </c>
      <c r="I512" s="126">
        <f>TEXT(F512,"0")&amp;TEXT(G512,"0")&amp;TEXT(H512,"0")</f>
        <v/>
      </c>
      <c r="J512" s="126">
        <f>IFERROR(XLOOKUP(I512,'Segment Map'!A:A,'Segment Map'!B:B,"Need Attention"),"Need Attention")</f>
        <v/>
      </c>
      <c r="K512" s="126">
        <f>IF(E512&gt;=5000,"🏆 Platinum",IF(E512&gt;=2000,"🥇 Gold",IF(E512&gt;=800,"🥈 Silver","🥉 Bronze")))</f>
        <v/>
      </c>
      <c r="L512" s="129" t="n">
        <v>40877</v>
      </c>
    </row>
    <row r="513">
      <c r="A513" s="122" t="n">
        <v>13013</v>
      </c>
      <c r="B513" s="122" t="inlineStr">
        <is>
          <t>United Kingdom</t>
        </is>
      </c>
      <c r="C513" s="122" t="n">
        <v>2</v>
      </c>
      <c r="D513" s="122" t="n">
        <v>13</v>
      </c>
      <c r="E513" s="123" t="n">
        <v>4810.94</v>
      </c>
      <c r="F513" s="124">
        <f>IF(C513&lt;=30,5,IF(C513&lt;=60,4,IF(C513&lt;=120,3,IF(C513&lt;=200,2,1))))</f>
        <v/>
      </c>
      <c r="G513" s="124">
        <f>IF(D513&gt;=20,5,IF(D513&gt;=10,4,IF(D513&gt;=5,3,IF(D513&gt;=2,2,1))))</f>
        <v/>
      </c>
      <c r="H513" s="124">
        <f>IF(E513&gt;=5000,5,IF(E513&gt;=2000,4,IF(E513&gt;=800,3,IF(E513&gt;=300,2,1))))</f>
        <v/>
      </c>
      <c r="I513" s="122">
        <f>TEXT(F513,"0")&amp;TEXT(G513,"0")&amp;TEXT(H513,"0")</f>
        <v/>
      </c>
      <c r="J513" s="122">
        <f>IFERROR(XLOOKUP(I513,'Segment Map'!A:A,'Segment Map'!B:B,"Need Attention"),"Need Attention")</f>
        <v/>
      </c>
      <c r="K513" s="122">
        <f>IF(E513&gt;=5000,"🏆 Platinum",IF(E513&gt;=2000,"🥇 Gold",IF(E513&gt;=800,"🥈 Silver","🥉 Bronze")))</f>
        <v/>
      </c>
      <c r="L513" s="125" t="n">
        <v>40885</v>
      </c>
    </row>
    <row r="514">
      <c r="A514" s="126" t="n">
        <v>13014</v>
      </c>
      <c r="B514" s="126" t="inlineStr">
        <is>
          <t>United Kingdom</t>
        </is>
      </c>
      <c r="C514" s="126" t="n">
        <v>11</v>
      </c>
      <c r="D514" s="126" t="n">
        <v>10</v>
      </c>
      <c r="E514" s="127" t="n">
        <v>3466.28</v>
      </c>
      <c r="F514" s="128">
        <f>IF(C514&lt;=30,5,IF(C514&lt;=60,4,IF(C514&lt;=120,3,IF(C514&lt;=200,2,1))))</f>
        <v/>
      </c>
      <c r="G514" s="128">
        <f>IF(D514&gt;=20,5,IF(D514&gt;=10,4,IF(D514&gt;=5,3,IF(D514&gt;=2,2,1))))</f>
        <v/>
      </c>
      <c r="H514" s="128">
        <f>IF(E514&gt;=5000,5,IF(E514&gt;=2000,4,IF(E514&gt;=800,3,IF(E514&gt;=300,2,1))))</f>
        <v/>
      </c>
      <c r="I514" s="126">
        <f>TEXT(F514,"0")&amp;TEXT(G514,"0")&amp;TEXT(H514,"0")</f>
        <v/>
      </c>
      <c r="J514" s="126">
        <f>IFERROR(XLOOKUP(I514,'Segment Map'!A:A,'Segment Map'!B:B,"Need Attention"),"Need Attention")</f>
        <v/>
      </c>
      <c r="K514" s="126">
        <f>IF(E514&gt;=5000,"🏆 Platinum",IF(E514&gt;=2000,"🥇 Gold",IF(E514&gt;=800,"🥈 Silver","🥉 Bronze")))</f>
        <v/>
      </c>
      <c r="L514" s="129" t="n">
        <v>40876</v>
      </c>
    </row>
    <row r="515">
      <c r="A515" s="122" t="n">
        <v>13015</v>
      </c>
      <c r="B515" s="122" t="inlineStr">
        <is>
          <t>United Kingdom</t>
        </is>
      </c>
      <c r="C515" s="122" t="n">
        <v>54</v>
      </c>
      <c r="D515" s="122" t="n">
        <v>5</v>
      </c>
      <c r="E515" s="123" t="n">
        <v>3346.28</v>
      </c>
      <c r="F515" s="124">
        <f>IF(C515&lt;=30,5,IF(C515&lt;=60,4,IF(C515&lt;=120,3,IF(C515&lt;=200,2,1))))</f>
        <v/>
      </c>
      <c r="G515" s="124">
        <f>IF(D515&gt;=20,5,IF(D515&gt;=10,4,IF(D515&gt;=5,3,IF(D515&gt;=2,2,1))))</f>
        <v/>
      </c>
      <c r="H515" s="124">
        <f>IF(E515&gt;=5000,5,IF(E515&gt;=2000,4,IF(E515&gt;=800,3,IF(E515&gt;=300,2,1))))</f>
        <v/>
      </c>
      <c r="I515" s="122">
        <f>TEXT(F515,"0")&amp;TEXT(G515,"0")&amp;TEXT(H515,"0")</f>
        <v/>
      </c>
      <c r="J515" s="122">
        <f>IFERROR(XLOOKUP(I515,'Segment Map'!A:A,'Segment Map'!B:B,"Need Attention"),"Need Attention")</f>
        <v/>
      </c>
      <c r="K515" s="122">
        <f>IF(E515&gt;=5000,"🏆 Platinum",IF(E515&gt;=2000,"🥇 Gold",IF(E515&gt;=800,"🥈 Silver","🥉 Bronze")))</f>
        <v/>
      </c>
      <c r="L515" s="125" t="n">
        <v>40833</v>
      </c>
    </row>
    <row r="516">
      <c r="A516" s="126" t="n">
        <v>13016</v>
      </c>
      <c r="B516" s="126" t="inlineStr">
        <is>
          <t>United Kingdom</t>
        </is>
      </c>
      <c r="C516" s="126" t="n">
        <v>74</v>
      </c>
      <c r="D516" s="126" t="n">
        <v>3</v>
      </c>
      <c r="E516" s="127" t="n">
        <v>789.89</v>
      </c>
      <c r="F516" s="128">
        <f>IF(C516&lt;=30,5,IF(C516&lt;=60,4,IF(C516&lt;=120,3,IF(C516&lt;=200,2,1))))</f>
        <v/>
      </c>
      <c r="G516" s="128">
        <f>IF(D516&gt;=20,5,IF(D516&gt;=10,4,IF(D516&gt;=5,3,IF(D516&gt;=2,2,1))))</f>
        <v/>
      </c>
      <c r="H516" s="128">
        <f>IF(E516&gt;=5000,5,IF(E516&gt;=2000,4,IF(E516&gt;=800,3,IF(E516&gt;=300,2,1))))</f>
        <v/>
      </c>
      <c r="I516" s="126">
        <f>TEXT(F516,"0")&amp;TEXT(G516,"0")&amp;TEXT(H516,"0")</f>
        <v/>
      </c>
      <c r="J516" s="126">
        <f>IFERROR(XLOOKUP(I516,'Segment Map'!A:A,'Segment Map'!B:B,"Need Attention"),"Need Attention")</f>
        <v/>
      </c>
      <c r="K516" s="126">
        <f>IF(E516&gt;=5000,"🏆 Platinum",IF(E516&gt;=2000,"🥇 Gold",IF(E516&gt;=800,"🥈 Silver","🥉 Bronze")))</f>
        <v/>
      </c>
      <c r="L516" s="129" t="n">
        <v>40813</v>
      </c>
    </row>
    <row r="517">
      <c r="A517" s="122" t="n">
        <v>13017</v>
      </c>
      <c r="B517" s="122" t="inlineStr">
        <is>
          <t>United Kingdom</t>
        </is>
      </c>
      <c r="C517" s="122" t="n">
        <v>8</v>
      </c>
      <c r="D517" s="122" t="n">
        <v>1</v>
      </c>
      <c r="E517" s="123" t="n">
        <v>204</v>
      </c>
      <c r="F517" s="124">
        <f>IF(C517&lt;=30,5,IF(C517&lt;=60,4,IF(C517&lt;=120,3,IF(C517&lt;=200,2,1))))</f>
        <v/>
      </c>
      <c r="G517" s="124">
        <f>IF(D517&gt;=20,5,IF(D517&gt;=10,4,IF(D517&gt;=5,3,IF(D517&gt;=2,2,1))))</f>
        <v/>
      </c>
      <c r="H517" s="124">
        <f>IF(E517&gt;=5000,5,IF(E517&gt;=2000,4,IF(E517&gt;=800,3,IF(E517&gt;=300,2,1))))</f>
        <v/>
      </c>
      <c r="I517" s="122">
        <f>TEXT(F517,"0")&amp;TEXT(G517,"0")&amp;TEXT(H517,"0")</f>
        <v/>
      </c>
      <c r="J517" s="122">
        <f>IFERROR(XLOOKUP(I517,'Segment Map'!A:A,'Segment Map'!B:B,"Need Attention"),"Need Attention")</f>
        <v/>
      </c>
      <c r="K517" s="122">
        <f>IF(E517&gt;=5000,"🏆 Platinum",IF(E517&gt;=2000,"🥇 Gold",IF(E517&gt;=800,"🥈 Silver","🥉 Bronze")))</f>
        <v/>
      </c>
      <c r="L517" s="125" t="n">
        <v>40879</v>
      </c>
    </row>
    <row r="518">
      <c r="A518" s="126" t="n">
        <v>13018</v>
      </c>
      <c r="B518" s="126" t="inlineStr">
        <is>
          <t>United Kingdom</t>
        </is>
      </c>
      <c r="C518" s="126" t="n">
        <v>17</v>
      </c>
      <c r="D518" s="126" t="n">
        <v>28</v>
      </c>
      <c r="E518" s="127" t="n">
        <v>7277.7</v>
      </c>
      <c r="F518" s="128">
        <f>IF(C518&lt;=30,5,IF(C518&lt;=60,4,IF(C518&lt;=120,3,IF(C518&lt;=200,2,1))))</f>
        <v/>
      </c>
      <c r="G518" s="128">
        <f>IF(D518&gt;=20,5,IF(D518&gt;=10,4,IF(D518&gt;=5,3,IF(D518&gt;=2,2,1))))</f>
        <v/>
      </c>
      <c r="H518" s="128">
        <f>IF(E518&gt;=5000,5,IF(E518&gt;=2000,4,IF(E518&gt;=800,3,IF(E518&gt;=300,2,1))))</f>
        <v/>
      </c>
      <c r="I518" s="126">
        <f>TEXT(F518,"0")&amp;TEXT(G518,"0")&amp;TEXT(H518,"0")</f>
        <v/>
      </c>
      <c r="J518" s="126">
        <f>IFERROR(XLOOKUP(I518,'Segment Map'!A:A,'Segment Map'!B:B,"Need Attention"),"Need Attention")</f>
        <v/>
      </c>
      <c r="K518" s="126">
        <f>IF(E518&gt;=5000,"🏆 Platinum",IF(E518&gt;=2000,"🥇 Gold",IF(E518&gt;=800,"🥈 Silver","🥉 Bronze")))</f>
        <v/>
      </c>
      <c r="L518" s="129" t="n">
        <v>40870</v>
      </c>
    </row>
    <row r="519">
      <c r="A519" s="122" t="n">
        <v>13021</v>
      </c>
      <c r="B519" s="122" t="inlineStr">
        <is>
          <t>United Kingdom</t>
        </is>
      </c>
      <c r="C519" s="122" t="n">
        <v>5</v>
      </c>
      <c r="D519" s="122" t="n">
        <v>9</v>
      </c>
      <c r="E519" s="123" t="n">
        <v>2616.38</v>
      </c>
      <c r="F519" s="124">
        <f>IF(C519&lt;=30,5,IF(C519&lt;=60,4,IF(C519&lt;=120,3,IF(C519&lt;=200,2,1))))</f>
        <v/>
      </c>
      <c r="G519" s="124">
        <f>IF(D519&gt;=20,5,IF(D519&gt;=10,4,IF(D519&gt;=5,3,IF(D519&gt;=2,2,1))))</f>
        <v/>
      </c>
      <c r="H519" s="124">
        <f>IF(E519&gt;=5000,5,IF(E519&gt;=2000,4,IF(E519&gt;=800,3,IF(E519&gt;=300,2,1))))</f>
        <v/>
      </c>
      <c r="I519" s="122">
        <f>TEXT(F519,"0")&amp;TEXT(G519,"0")&amp;TEXT(H519,"0")</f>
        <v/>
      </c>
      <c r="J519" s="122">
        <f>IFERROR(XLOOKUP(I519,'Segment Map'!A:A,'Segment Map'!B:B,"Need Attention"),"Need Attention")</f>
        <v/>
      </c>
      <c r="K519" s="122">
        <f>IF(E519&gt;=5000,"🏆 Platinum",IF(E519&gt;=2000,"🥇 Gold",IF(E519&gt;=800,"🥈 Silver","🥉 Bronze")))</f>
        <v/>
      </c>
      <c r="L519" s="125" t="n">
        <v>40882</v>
      </c>
    </row>
    <row r="520">
      <c r="A520" s="126" t="n">
        <v>13023</v>
      </c>
      <c r="B520" s="126" t="inlineStr">
        <is>
          <t>United Kingdom</t>
        </is>
      </c>
      <c r="C520" s="126" t="n">
        <v>65</v>
      </c>
      <c r="D520" s="126" t="n">
        <v>2</v>
      </c>
      <c r="E520" s="127" t="n">
        <v>689.9</v>
      </c>
      <c r="F520" s="128">
        <f>IF(C520&lt;=30,5,IF(C520&lt;=60,4,IF(C520&lt;=120,3,IF(C520&lt;=200,2,1))))</f>
        <v/>
      </c>
      <c r="G520" s="128">
        <f>IF(D520&gt;=20,5,IF(D520&gt;=10,4,IF(D520&gt;=5,3,IF(D520&gt;=2,2,1))))</f>
        <v/>
      </c>
      <c r="H520" s="128">
        <f>IF(E520&gt;=5000,5,IF(E520&gt;=2000,4,IF(E520&gt;=800,3,IF(E520&gt;=300,2,1))))</f>
        <v/>
      </c>
      <c r="I520" s="126">
        <f>TEXT(F520,"0")&amp;TEXT(G520,"0")&amp;TEXT(H520,"0")</f>
        <v/>
      </c>
      <c r="J520" s="126">
        <f>IFERROR(XLOOKUP(I520,'Segment Map'!A:A,'Segment Map'!B:B,"Need Attention"),"Need Attention")</f>
        <v/>
      </c>
      <c r="K520" s="126">
        <f>IF(E520&gt;=5000,"🏆 Platinum",IF(E520&gt;=2000,"🥇 Gold",IF(E520&gt;=800,"🥈 Silver","🥉 Bronze")))</f>
        <v/>
      </c>
      <c r="L520" s="129" t="n">
        <v>40822</v>
      </c>
    </row>
    <row r="521">
      <c r="A521" s="122" t="n">
        <v>13026</v>
      </c>
      <c r="B521" s="122" t="inlineStr">
        <is>
          <t>United Kingdom</t>
        </is>
      </c>
      <c r="C521" s="122" t="n">
        <v>2</v>
      </c>
      <c r="D521" s="122" t="n">
        <v>5</v>
      </c>
      <c r="E521" s="123" t="n">
        <v>975.36</v>
      </c>
      <c r="F521" s="124">
        <f>IF(C521&lt;=30,5,IF(C521&lt;=60,4,IF(C521&lt;=120,3,IF(C521&lt;=200,2,1))))</f>
        <v/>
      </c>
      <c r="G521" s="124">
        <f>IF(D521&gt;=20,5,IF(D521&gt;=10,4,IF(D521&gt;=5,3,IF(D521&gt;=2,2,1))))</f>
        <v/>
      </c>
      <c r="H521" s="124">
        <f>IF(E521&gt;=5000,5,IF(E521&gt;=2000,4,IF(E521&gt;=800,3,IF(E521&gt;=300,2,1))))</f>
        <v/>
      </c>
      <c r="I521" s="122">
        <f>TEXT(F521,"0")&amp;TEXT(G521,"0")&amp;TEXT(H521,"0")</f>
        <v/>
      </c>
      <c r="J521" s="122">
        <f>IFERROR(XLOOKUP(I521,'Segment Map'!A:A,'Segment Map'!B:B,"Need Attention"),"Need Attention")</f>
        <v/>
      </c>
      <c r="K521" s="122">
        <f>IF(E521&gt;=5000,"🏆 Platinum",IF(E521&gt;=2000,"🥇 Gold",IF(E521&gt;=800,"🥈 Silver","🥉 Bronze")))</f>
        <v/>
      </c>
      <c r="L521" s="125" t="n">
        <v>40885</v>
      </c>
    </row>
    <row r="522">
      <c r="A522" s="126" t="n">
        <v>13027</v>
      </c>
      <c r="B522" s="126" t="inlineStr">
        <is>
          <t>United Kingdom</t>
        </is>
      </c>
      <c r="C522" s="126" t="n">
        <v>114</v>
      </c>
      <c r="D522" s="126" t="n">
        <v>6</v>
      </c>
      <c r="E522" s="127" t="n">
        <v>6912</v>
      </c>
      <c r="F522" s="128">
        <f>IF(C522&lt;=30,5,IF(C522&lt;=60,4,IF(C522&lt;=120,3,IF(C522&lt;=200,2,1))))</f>
        <v/>
      </c>
      <c r="G522" s="128">
        <f>IF(D522&gt;=20,5,IF(D522&gt;=10,4,IF(D522&gt;=5,3,IF(D522&gt;=2,2,1))))</f>
        <v/>
      </c>
      <c r="H522" s="128">
        <f>IF(E522&gt;=5000,5,IF(E522&gt;=2000,4,IF(E522&gt;=800,3,IF(E522&gt;=300,2,1))))</f>
        <v/>
      </c>
      <c r="I522" s="126">
        <f>TEXT(F522,"0")&amp;TEXT(G522,"0")&amp;TEXT(H522,"0")</f>
        <v/>
      </c>
      <c r="J522" s="126">
        <f>IFERROR(XLOOKUP(I522,'Segment Map'!A:A,'Segment Map'!B:B,"Need Attention"),"Need Attention")</f>
        <v/>
      </c>
      <c r="K522" s="126">
        <f>IF(E522&gt;=5000,"🏆 Platinum",IF(E522&gt;=2000,"🥇 Gold",IF(E522&gt;=800,"🥈 Silver","🥉 Bronze")))</f>
        <v/>
      </c>
      <c r="L522" s="129" t="n">
        <v>40773</v>
      </c>
    </row>
    <row r="523">
      <c r="A523" s="122" t="n">
        <v>13028</v>
      </c>
      <c r="B523" s="122" t="inlineStr">
        <is>
          <t>United Kingdom</t>
        </is>
      </c>
      <c r="C523" s="122" t="n">
        <v>23</v>
      </c>
      <c r="D523" s="122" t="n">
        <v>2</v>
      </c>
      <c r="E523" s="123" t="n">
        <v>661.3200000000001</v>
      </c>
      <c r="F523" s="124">
        <f>IF(C523&lt;=30,5,IF(C523&lt;=60,4,IF(C523&lt;=120,3,IF(C523&lt;=200,2,1))))</f>
        <v/>
      </c>
      <c r="G523" s="124">
        <f>IF(D523&gt;=20,5,IF(D523&gt;=10,4,IF(D523&gt;=5,3,IF(D523&gt;=2,2,1))))</f>
        <v/>
      </c>
      <c r="H523" s="124">
        <f>IF(E523&gt;=5000,5,IF(E523&gt;=2000,4,IF(E523&gt;=800,3,IF(E523&gt;=300,2,1))))</f>
        <v/>
      </c>
      <c r="I523" s="122">
        <f>TEXT(F523,"0")&amp;TEXT(G523,"0")&amp;TEXT(H523,"0")</f>
        <v/>
      </c>
      <c r="J523" s="122">
        <f>IFERROR(XLOOKUP(I523,'Segment Map'!A:A,'Segment Map'!B:B,"Need Attention"),"Need Attention")</f>
        <v/>
      </c>
      <c r="K523" s="122">
        <f>IF(E523&gt;=5000,"🏆 Platinum",IF(E523&gt;=2000,"🥇 Gold",IF(E523&gt;=800,"🥈 Silver","🥉 Bronze")))</f>
        <v/>
      </c>
      <c r="L523" s="125" t="n">
        <v>40864</v>
      </c>
    </row>
    <row r="524">
      <c r="A524" s="126" t="n">
        <v>13029</v>
      </c>
      <c r="B524" s="126" t="inlineStr">
        <is>
          <t>United Kingdom</t>
        </is>
      </c>
      <c r="C524" s="126" t="n">
        <v>31</v>
      </c>
      <c r="D524" s="126" t="n">
        <v>3</v>
      </c>
      <c r="E524" s="127" t="n">
        <v>1247.5</v>
      </c>
      <c r="F524" s="128">
        <f>IF(C524&lt;=30,5,IF(C524&lt;=60,4,IF(C524&lt;=120,3,IF(C524&lt;=200,2,1))))</f>
        <v/>
      </c>
      <c r="G524" s="128">
        <f>IF(D524&gt;=20,5,IF(D524&gt;=10,4,IF(D524&gt;=5,3,IF(D524&gt;=2,2,1))))</f>
        <v/>
      </c>
      <c r="H524" s="128">
        <f>IF(E524&gt;=5000,5,IF(E524&gt;=2000,4,IF(E524&gt;=800,3,IF(E524&gt;=300,2,1))))</f>
        <v/>
      </c>
      <c r="I524" s="126">
        <f>TEXT(F524,"0")&amp;TEXT(G524,"0")&amp;TEXT(H524,"0")</f>
        <v/>
      </c>
      <c r="J524" s="126">
        <f>IFERROR(XLOOKUP(I524,'Segment Map'!A:A,'Segment Map'!B:B,"Need Attention"),"Need Attention")</f>
        <v/>
      </c>
      <c r="K524" s="126">
        <f>IF(E524&gt;=5000,"🏆 Platinum",IF(E524&gt;=2000,"🥇 Gold",IF(E524&gt;=800,"🥈 Silver","🥉 Bronze")))</f>
        <v/>
      </c>
      <c r="L524" s="129" t="n">
        <v>40856</v>
      </c>
    </row>
    <row r="525">
      <c r="A525" s="122" t="n">
        <v>13030</v>
      </c>
      <c r="B525" s="122" t="inlineStr">
        <is>
          <t>United Kingdom</t>
        </is>
      </c>
      <c r="C525" s="122" t="n">
        <v>12</v>
      </c>
      <c r="D525" s="122" t="n">
        <v>2</v>
      </c>
      <c r="E525" s="123" t="n">
        <v>799.48</v>
      </c>
      <c r="F525" s="124">
        <f>IF(C525&lt;=30,5,IF(C525&lt;=60,4,IF(C525&lt;=120,3,IF(C525&lt;=200,2,1))))</f>
        <v/>
      </c>
      <c r="G525" s="124">
        <f>IF(D525&gt;=20,5,IF(D525&gt;=10,4,IF(D525&gt;=5,3,IF(D525&gt;=2,2,1))))</f>
        <v/>
      </c>
      <c r="H525" s="124">
        <f>IF(E525&gt;=5000,5,IF(E525&gt;=2000,4,IF(E525&gt;=800,3,IF(E525&gt;=300,2,1))))</f>
        <v/>
      </c>
      <c r="I525" s="122">
        <f>TEXT(F525,"0")&amp;TEXT(G525,"0")&amp;TEXT(H525,"0")</f>
        <v/>
      </c>
      <c r="J525" s="122">
        <f>IFERROR(XLOOKUP(I525,'Segment Map'!A:A,'Segment Map'!B:B,"Need Attention"),"Need Attention")</f>
        <v/>
      </c>
      <c r="K525" s="122">
        <f>IF(E525&gt;=5000,"🏆 Platinum",IF(E525&gt;=2000,"🥇 Gold",IF(E525&gt;=800,"🥈 Silver","🥉 Bronze")))</f>
        <v/>
      </c>
      <c r="L525" s="125" t="n">
        <v>40875</v>
      </c>
    </row>
    <row r="526">
      <c r="A526" s="126" t="n">
        <v>13032</v>
      </c>
      <c r="B526" s="126" t="inlineStr">
        <is>
          <t>United Kingdom</t>
        </is>
      </c>
      <c r="C526" s="126" t="n">
        <v>53</v>
      </c>
      <c r="D526" s="126" t="n">
        <v>2</v>
      </c>
      <c r="E526" s="127" t="n">
        <v>1010.18</v>
      </c>
      <c r="F526" s="128">
        <f>IF(C526&lt;=30,5,IF(C526&lt;=60,4,IF(C526&lt;=120,3,IF(C526&lt;=200,2,1))))</f>
        <v/>
      </c>
      <c r="G526" s="128">
        <f>IF(D526&gt;=20,5,IF(D526&gt;=10,4,IF(D526&gt;=5,3,IF(D526&gt;=2,2,1))))</f>
        <v/>
      </c>
      <c r="H526" s="128">
        <f>IF(E526&gt;=5000,5,IF(E526&gt;=2000,4,IF(E526&gt;=800,3,IF(E526&gt;=300,2,1))))</f>
        <v/>
      </c>
      <c r="I526" s="126">
        <f>TEXT(F526,"0")&amp;TEXT(G526,"0")&amp;TEXT(H526,"0")</f>
        <v/>
      </c>
      <c r="J526" s="126">
        <f>IFERROR(XLOOKUP(I526,'Segment Map'!A:A,'Segment Map'!B:B,"Need Attention"),"Need Attention")</f>
        <v/>
      </c>
      <c r="K526" s="126">
        <f>IF(E526&gt;=5000,"🏆 Platinum",IF(E526&gt;=2000,"🥇 Gold",IF(E526&gt;=800,"🥈 Silver","🥉 Bronze")))</f>
        <v/>
      </c>
      <c r="L526" s="129" t="n">
        <v>40834</v>
      </c>
    </row>
    <row r="527">
      <c r="A527" s="122" t="n">
        <v>13033</v>
      </c>
      <c r="B527" s="122" t="inlineStr">
        <is>
          <t>United Kingdom</t>
        </is>
      </c>
      <c r="C527" s="122" t="n">
        <v>358</v>
      </c>
      <c r="D527" s="122" t="n">
        <v>1</v>
      </c>
      <c r="E527" s="123" t="n">
        <v>190.55</v>
      </c>
      <c r="F527" s="124">
        <f>IF(C527&lt;=30,5,IF(C527&lt;=60,4,IF(C527&lt;=120,3,IF(C527&lt;=200,2,1))))</f>
        <v/>
      </c>
      <c r="G527" s="124">
        <f>IF(D527&gt;=20,5,IF(D527&gt;=10,4,IF(D527&gt;=5,3,IF(D527&gt;=2,2,1))))</f>
        <v/>
      </c>
      <c r="H527" s="124">
        <f>IF(E527&gt;=5000,5,IF(E527&gt;=2000,4,IF(E527&gt;=800,3,IF(E527&gt;=300,2,1))))</f>
        <v/>
      </c>
      <c r="I527" s="122">
        <f>TEXT(F527,"0")&amp;TEXT(G527,"0")&amp;TEXT(H527,"0")</f>
        <v/>
      </c>
      <c r="J527" s="122">
        <f>IFERROR(XLOOKUP(I527,'Segment Map'!A:A,'Segment Map'!B:B,"Need Attention"),"Need Attention")</f>
        <v/>
      </c>
      <c r="K527" s="122">
        <f>IF(E527&gt;=5000,"🏆 Platinum",IF(E527&gt;=2000,"🥇 Gold",IF(E527&gt;=800,"🥈 Silver","🥉 Bronze")))</f>
        <v/>
      </c>
      <c r="L527" s="125" t="n">
        <v>40529</v>
      </c>
    </row>
    <row r="528">
      <c r="A528" s="126" t="n">
        <v>13034</v>
      </c>
      <c r="B528" s="126" t="inlineStr">
        <is>
          <t>United Kingdom</t>
        </is>
      </c>
      <c r="C528" s="126" t="n">
        <v>55</v>
      </c>
      <c r="D528" s="126" t="n">
        <v>2</v>
      </c>
      <c r="E528" s="127" t="n">
        <v>642.77</v>
      </c>
      <c r="F528" s="128">
        <f>IF(C528&lt;=30,5,IF(C528&lt;=60,4,IF(C528&lt;=120,3,IF(C528&lt;=200,2,1))))</f>
        <v/>
      </c>
      <c r="G528" s="128">
        <f>IF(D528&gt;=20,5,IF(D528&gt;=10,4,IF(D528&gt;=5,3,IF(D528&gt;=2,2,1))))</f>
        <v/>
      </c>
      <c r="H528" s="128">
        <f>IF(E528&gt;=5000,5,IF(E528&gt;=2000,4,IF(E528&gt;=800,3,IF(E528&gt;=300,2,1))))</f>
        <v/>
      </c>
      <c r="I528" s="126">
        <f>TEXT(F528,"0")&amp;TEXT(G528,"0")&amp;TEXT(H528,"0")</f>
        <v/>
      </c>
      <c r="J528" s="126">
        <f>IFERROR(XLOOKUP(I528,'Segment Map'!A:A,'Segment Map'!B:B,"Need Attention"),"Need Attention")</f>
        <v/>
      </c>
      <c r="K528" s="126">
        <f>IF(E528&gt;=5000,"🏆 Platinum",IF(E528&gt;=2000,"🥇 Gold",IF(E528&gt;=800,"🥈 Silver","🥉 Bronze")))</f>
        <v/>
      </c>
      <c r="L528" s="129" t="n">
        <v>40832</v>
      </c>
    </row>
    <row r="529">
      <c r="A529" s="122" t="n">
        <v>13035</v>
      </c>
      <c r="B529" s="122" t="inlineStr">
        <is>
          <t>United Kingdom</t>
        </is>
      </c>
      <c r="C529" s="122" t="n">
        <v>74</v>
      </c>
      <c r="D529" s="122" t="n">
        <v>2</v>
      </c>
      <c r="E529" s="123" t="n">
        <v>921.88</v>
      </c>
      <c r="F529" s="124">
        <f>IF(C529&lt;=30,5,IF(C529&lt;=60,4,IF(C529&lt;=120,3,IF(C529&lt;=200,2,1))))</f>
        <v/>
      </c>
      <c r="G529" s="124">
        <f>IF(D529&gt;=20,5,IF(D529&gt;=10,4,IF(D529&gt;=5,3,IF(D529&gt;=2,2,1))))</f>
        <v/>
      </c>
      <c r="H529" s="124">
        <f>IF(E529&gt;=5000,5,IF(E529&gt;=2000,4,IF(E529&gt;=800,3,IF(E529&gt;=300,2,1))))</f>
        <v/>
      </c>
      <c r="I529" s="122">
        <f>TEXT(F529,"0")&amp;TEXT(G529,"0")&amp;TEXT(H529,"0")</f>
        <v/>
      </c>
      <c r="J529" s="122">
        <f>IFERROR(XLOOKUP(I529,'Segment Map'!A:A,'Segment Map'!B:B,"Need Attention"),"Need Attention")</f>
        <v/>
      </c>
      <c r="K529" s="122">
        <f>IF(E529&gt;=5000,"🏆 Platinum",IF(E529&gt;=2000,"🥇 Gold",IF(E529&gt;=800,"🥈 Silver","🥉 Bronze")))</f>
        <v/>
      </c>
      <c r="L529" s="125" t="n">
        <v>40813</v>
      </c>
    </row>
    <row r="530">
      <c r="A530" s="126" t="n">
        <v>13037</v>
      </c>
      <c r="B530" s="126" t="inlineStr">
        <is>
          <t>United Kingdom</t>
        </is>
      </c>
      <c r="C530" s="126" t="n">
        <v>139</v>
      </c>
      <c r="D530" s="126" t="n">
        <v>3</v>
      </c>
      <c r="E530" s="127" t="n">
        <v>881.0700000000001</v>
      </c>
      <c r="F530" s="128">
        <f>IF(C530&lt;=30,5,IF(C530&lt;=60,4,IF(C530&lt;=120,3,IF(C530&lt;=200,2,1))))</f>
        <v/>
      </c>
      <c r="G530" s="128">
        <f>IF(D530&gt;=20,5,IF(D530&gt;=10,4,IF(D530&gt;=5,3,IF(D530&gt;=2,2,1))))</f>
        <v/>
      </c>
      <c r="H530" s="128">
        <f>IF(E530&gt;=5000,5,IF(E530&gt;=2000,4,IF(E530&gt;=800,3,IF(E530&gt;=300,2,1))))</f>
        <v/>
      </c>
      <c r="I530" s="126">
        <f>TEXT(F530,"0")&amp;TEXT(G530,"0")&amp;TEXT(H530,"0")</f>
        <v/>
      </c>
      <c r="J530" s="126">
        <f>IFERROR(XLOOKUP(I530,'Segment Map'!A:A,'Segment Map'!B:B,"Need Attention"),"Need Attention")</f>
        <v/>
      </c>
      <c r="K530" s="126">
        <f>IF(E530&gt;=5000,"🏆 Platinum",IF(E530&gt;=2000,"🥇 Gold",IF(E530&gt;=800,"🥈 Silver","🥉 Bronze")))</f>
        <v/>
      </c>
      <c r="L530" s="129" t="n">
        <v>40748</v>
      </c>
    </row>
    <row r="531">
      <c r="A531" s="122" t="n">
        <v>13038</v>
      </c>
      <c r="B531" s="122" t="inlineStr">
        <is>
          <t>United Kingdom</t>
        </is>
      </c>
      <c r="C531" s="122" t="n">
        <v>81</v>
      </c>
      <c r="D531" s="122" t="n">
        <v>3</v>
      </c>
      <c r="E531" s="123" t="n">
        <v>908.46</v>
      </c>
      <c r="F531" s="124">
        <f>IF(C531&lt;=30,5,IF(C531&lt;=60,4,IF(C531&lt;=120,3,IF(C531&lt;=200,2,1))))</f>
        <v/>
      </c>
      <c r="G531" s="124">
        <f>IF(D531&gt;=20,5,IF(D531&gt;=10,4,IF(D531&gt;=5,3,IF(D531&gt;=2,2,1))))</f>
        <v/>
      </c>
      <c r="H531" s="124">
        <f>IF(E531&gt;=5000,5,IF(E531&gt;=2000,4,IF(E531&gt;=800,3,IF(E531&gt;=300,2,1))))</f>
        <v/>
      </c>
      <c r="I531" s="122">
        <f>TEXT(F531,"0")&amp;TEXT(G531,"0")&amp;TEXT(H531,"0")</f>
        <v/>
      </c>
      <c r="J531" s="122">
        <f>IFERROR(XLOOKUP(I531,'Segment Map'!A:A,'Segment Map'!B:B,"Need Attention"),"Need Attention")</f>
        <v/>
      </c>
      <c r="K531" s="122">
        <f>IF(E531&gt;=5000,"🏆 Platinum",IF(E531&gt;=2000,"🥇 Gold",IF(E531&gt;=800,"🥈 Silver","🥉 Bronze")))</f>
        <v/>
      </c>
      <c r="L531" s="125" t="n">
        <v>40806</v>
      </c>
    </row>
    <row r="532">
      <c r="A532" s="126" t="n">
        <v>13040</v>
      </c>
      <c r="B532" s="126" t="inlineStr">
        <is>
          <t>United Kingdom</t>
        </is>
      </c>
      <c r="C532" s="126" t="n">
        <v>9</v>
      </c>
      <c r="D532" s="126" t="n">
        <v>2</v>
      </c>
      <c r="E532" s="127" t="n">
        <v>676.99</v>
      </c>
      <c r="F532" s="128">
        <f>IF(C532&lt;=30,5,IF(C532&lt;=60,4,IF(C532&lt;=120,3,IF(C532&lt;=200,2,1))))</f>
        <v/>
      </c>
      <c r="G532" s="128">
        <f>IF(D532&gt;=20,5,IF(D532&gt;=10,4,IF(D532&gt;=5,3,IF(D532&gt;=2,2,1))))</f>
        <v/>
      </c>
      <c r="H532" s="128">
        <f>IF(E532&gt;=5000,5,IF(E532&gt;=2000,4,IF(E532&gt;=800,3,IF(E532&gt;=300,2,1))))</f>
        <v/>
      </c>
      <c r="I532" s="126">
        <f>TEXT(F532,"0")&amp;TEXT(G532,"0")&amp;TEXT(H532,"0")</f>
        <v/>
      </c>
      <c r="J532" s="126">
        <f>IFERROR(XLOOKUP(I532,'Segment Map'!A:A,'Segment Map'!B:B,"Need Attention"),"Need Attention")</f>
        <v/>
      </c>
      <c r="K532" s="126">
        <f>IF(E532&gt;=5000,"🏆 Platinum",IF(E532&gt;=2000,"🥇 Gold",IF(E532&gt;=800,"🥈 Silver","🥉 Bronze")))</f>
        <v/>
      </c>
      <c r="L532" s="129" t="n">
        <v>40878</v>
      </c>
    </row>
    <row r="533">
      <c r="A533" s="122" t="n">
        <v>13043</v>
      </c>
      <c r="B533" s="122" t="inlineStr">
        <is>
          <t>United Kingdom</t>
        </is>
      </c>
      <c r="C533" s="122" t="n">
        <v>274</v>
      </c>
      <c r="D533" s="122" t="n">
        <v>1</v>
      </c>
      <c r="E533" s="123" t="n">
        <v>516.42</v>
      </c>
      <c r="F533" s="124">
        <f>IF(C533&lt;=30,5,IF(C533&lt;=60,4,IF(C533&lt;=120,3,IF(C533&lt;=200,2,1))))</f>
        <v/>
      </c>
      <c r="G533" s="124">
        <f>IF(D533&gt;=20,5,IF(D533&gt;=10,4,IF(D533&gt;=5,3,IF(D533&gt;=2,2,1))))</f>
        <v/>
      </c>
      <c r="H533" s="124">
        <f>IF(E533&gt;=5000,5,IF(E533&gt;=2000,4,IF(E533&gt;=800,3,IF(E533&gt;=300,2,1))))</f>
        <v/>
      </c>
      <c r="I533" s="122">
        <f>TEXT(F533,"0")&amp;TEXT(G533,"0")&amp;TEXT(H533,"0")</f>
        <v/>
      </c>
      <c r="J533" s="122">
        <f>IFERROR(XLOOKUP(I533,'Segment Map'!A:A,'Segment Map'!B:B,"Need Attention"),"Need Attention")</f>
        <v/>
      </c>
      <c r="K533" s="122">
        <f>IF(E533&gt;=5000,"🏆 Platinum",IF(E533&gt;=2000,"🥇 Gold",IF(E533&gt;=800,"🥈 Silver","🥉 Bronze")))</f>
        <v/>
      </c>
      <c r="L533" s="125" t="n">
        <v>40613</v>
      </c>
    </row>
    <row r="534">
      <c r="A534" s="126" t="n">
        <v>13044</v>
      </c>
      <c r="B534" s="126" t="inlineStr">
        <is>
          <t>United Kingdom</t>
        </is>
      </c>
      <c r="C534" s="126" t="n">
        <v>292</v>
      </c>
      <c r="D534" s="126" t="n">
        <v>1</v>
      </c>
      <c r="E534" s="127" t="n">
        <v>560.47</v>
      </c>
      <c r="F534" s="128">
        <f>IF(C534&lt;=30,5,IF(C534&lt;=60,4,IF(C534&lt;=120,3,IF(C534&lt;=200,2,1))))</f>
        <v/>
      </c>
      <c r="G534" s="128">
        <f>IF(D534&gt;=20,5,IF(D534&gt;=10,4,IF(D534&gt;=5,3,IF(D534&gt;=2,2,1))))</f>
        <v/>
      </c>
      <c r="H534" s="128">
        <f>IF(E534&gt;=5000,5,IF(E534&gt;=2000,4,IF(E534&gt;=800,3,IF(E534&gt;=300,2,1))))</f>
        <v/>
      </c>
      <c r="I534" s="126">
        <f>TEXT(F534,"0")&amp;TEXT(G534,"0")&amp;TEXT(H534,"0")</f>
        <v/>
      </c>
      <c r="J534" s="126">
        <f>IFERROR(XLOOKUP(I534,'Segment Map'!A:A,'Segment Map'!B:B,"Need Attention"),"Need Attention")</f>
        <v/>
      </c>
      <c r="K534" s="126">
        <f>IF(E534&gt;=5000,"🏆 Platinum",IF(E534&gt;=2000,"🥇 Gold",IF(E534&gt;=800,"🥈 Silver","🥉 Bronze")))</f>
        <v/>
      </c>
      <c r="L534" s="129" t="n">
        <v>40595</v>
      </c>
    </row>
    <row r="535">
      <c r="A535" s="122" t="n">
        <v>13045</v>
      </c>
      <c r="B535" s="122" t="inlineStr">
        <is>
          <t>United Kingdom</t>
        </is>
      </c>
      <c r="C535" s="122" t="n">
        <v>100</v>
      </c>
      <c r="D535" s="122" t="n">
        <v>1</v>
      </c>
      <c r="E535" s="123" t="n">
        <v>305.28</v>
      </c>
      <c r="F535" s="124">
        <f>IF(C535&lt;=30,5,IF(C535&lt;=60,4,IF(C535&lt;=120,3,IF(C535&lt;=200,2,1))))</f>
        <v/>
      </c>
      <c r="G535" s="124">
        <f>IF(D535&gt;=20,5,IF(D535&gt;=10,4,IF(D535&gt;=5,3,IF(D535&gt;=2,2,1))))</f>
        <v/>
      </c>
      <c r="H535" s="124">
        <f>IF(E535&gt;=5000,5,IF(E535&gt;=2000,4,IF(E535&gt;=800,3,IF(E535&gt;=300,2,1))))</f>
        <v/>
      </c>
      <c r="I535" s="122">
        <f>TEXT(F535,"0")&amp;TEXT(G535,"0")&amp;TEXT(H535,"0")</f>
        <v/>
      </c>
      <c r="J535" s="122">
        <f>IFERROR(XLOOKUP(I535,'Segment Map'!A:A,'Segment Map'!B:B,"Need Attention"),"Need Attention")</f>
        <v/>
      </c>
      <c r="K535" s="122">
        <f>IF(E535&gt;=5000,"🏆 Platinum",IF(E535&gt;=2000,"🥇 Gold",IF(E535&gt;=800,"🥈 Silver","🥉 Bronze")))</f>
        <v/>
      </c>
      <c r="L535" s="125" t="n">
        <v>40787</v>
      </c>
    </row>
    <row r="536">
      <c r="A536" s="126" t="n">
        <v>13046</v>
      </c>
      <c r="B536" s="126" t="inlineStr">
        <is>
          <t>United Kingdom</t>
        </is>
      </c>
      <c r="C536" s="126" t="n">
        <v>31</v>
      </c>
      <c r="D536" s="126" t="n">
        <v>2</v>
      </c>
      <c r="E536" s="127" t="n">
        <v>629.3099999999999</v>
      </c>
      <c r="F536" s="128">
        <f>IF(C536&lt;=30,5,IF(C536&lt;=60,4,IF(C536&lt;=120,3,IF(C536&lt;=200,2,1))))</f>
        <v/>
      </c>
      <c r="G536" s="128">
        <f>IF(D536&gt;=20,5,IF(D536&gt;=10,4,IF(D536&gt;=5,3,IF(D536&gt;=2,2,1))))</f>
        <v/>
      </c>
      <c r="H536" s="128">
        <f>IF(E536&gt;=5000,5,IF(E536&gt;=2000,4,IF(E536&gt;=800,3,IF(E536&gt;=300,2,1))))</f>
        <v/>
      </c>
      <c r="I536" s="126">
        <f>TEXT(F536,"0")&amp;TEXT(G536,"0")&amp;TEXT(H536,"0")</f>
        <v/>
      </c>
      <c r="J536" s="126">
        <f>IFERROR(XLOOKUP(I536,'Segment Map'!A:A,'Segment Map'!B:B,"Need Attention"),"Need Attention")</f>
        <v/>
      </c>
      <c r="K536" s="126">
        <f>IF(E536&gt;=5000,"🏆 Platinum",IF(E536&gt;=2000,"🥇 Gold",IF(E536&gt;=800,"🥈 Silver","🥉 Bronze")))</f>
        <v/>
      </c>
      <c r="L536" s="129" t="n">
        <v>40856</v>
      </c>
    </row>
    <row r="537">
      <c r="A537" s="122" t="n">
        <v>13047</v>
      </c>
      <c r="B537" s="122" t="inlineStr">
        <is>
          <t>United Kingdom</t>
        </is>
      </c>
      <c r="C537" s="122" t="n">
        <v>32</v>
      </c>
      <c r="D537" s="122" t="n">
        <v>10</v>
      </c>
      <c r="E537" s="123" t="n">
        <v>3237.54</v>
      </c>
      <c r="F537" s="124">
        <f>IF(C537&lt;=30,5,IF(C537&lt;=60,4,IF(C537&lt;=120,3,IF(C537&lt;=200,2,1))))</f>
        <v/>
      </c>
      <c r="G537" s="124">
        <f>IF(D537&gt;=20,5,IF(D537&gt;=10,4,IF(D537&gt;=5,3,IF(D537&gt;=2,2,1))))</f>
        <v/>
      </c>
      <c r="H537" s="124">
        <f>IF(E537&gt;=5000,5,IF(E537&gt;=2000,4,IF(E537&gt;=800,3,IF(E537&gt;=300,2,1))))</f>
        <v/>
      </c>
      <c r="I537" s="122">
        <f>TEXT(F537,"0")&amp;TEXT(G537,"0")&amp;TEXT(H537,"0")</f>
        <v/>
      </c>
      <c r="J537" s="122">
        <f>IFERROR(XLOOKUP(I537,'Segment Map'!A:A,'Segment Map'!B:B,"Need Attention"),"Need Attention")</f>
        <v/>
      </c>
      <c r="K537" s="122">
        <f>IF(E537&gt;=5000,"🏆 Platinum",IF(E537&gt;=2000,"🥇 Gold",IF(E537&gt;=800,"🥈 Silver","🥉 Bronze")))</f>
        <v/>
      </c>
      <c r="L537" s="125" t="n">
        <v>40855</v>
      </c>
    </row>
    <row r="538">
      <c r="A538" s="126" t="n">
        <v>13048</v>
      </c>
      <c r="B538" s="126" t="inlineStr">
        <is>
          <t>United Kingdom</t>
        </is>
      </c>
      <c r="C538" s="126" t="n">
        <v>15</v>
      </c>
      <c r="D538" s="126" t="n">
        <v>4</v>
      </c>
      <c r="E538" s="127" t="n">
        <v>1835.91</v>
      </c>
      <c r="F538" s="128">
        <f>IF(C538&lt;=30,5,IF(C538&lt;=60,4,IF(C538&lt;=120,3,IF(C538&lt;=200,2,1))))</f>
        <v/>
      </c>
      <c r="G538" s="128">
        <f>IF(D538&gt;=20,5,IF(D538&gt;=10,4,IF(D538&gt;=5,3,IF(D538&gt;=2,2,1))))</f>
        <v/>
      </c>
      <c r="H538" s="128">
        <f>IF(E538&gt;=5000,5,IF(E538&gt;=2000,4,IF(E538&gt;=800,3,IF(E538&gt;=300,2,1))))</f>
        <v/>
      </c>
      <c r="I538" s="126">
        <f>TEXT(F538,"0")&amp;TEXT(G538,"0")&amp;TEXT(H538,"0")</f>
        <v/>
      </c>
      <c r="J538" s="126">
        <f>IFERROR(XLOOKUP(I538,'Segment Map'!A:A,'Segment Map'!B:B,"Need Attention"),"Need Attention")</f>
        <v/>
      </c>
      <c r="K538" s="126">
        <f>IF(E538&gt;=5000,"🏆 Platinum",IF(E538&gt;=2000,"🥇 Gold",IF(E538&gt;=800,"🥈 Silver","🥉 Bronze")))</f>
        <v/>
      </c>
      <c r="L538" s="129" t="n">
        <v>40872</v>
      </c>
    </row>
    <row r="539">
      <c r="A539" s="122" t="n">
        <v>13049</v>
      </c>
      <c r="B539" s="122" t="inlineStr">
        <is>
          <t>United Kingdom</t>
        </is>
      </c>
      <c r="C539" s="122" t="n">
        <v>65</v>
      </c>
      <c r="D539" s="122" t="n">
        <v>2</v>
      </c>
      <c r="E539" s="123" t="n">
        <v>656.6799999999999</v>
      </c>
      <c r="F539" s="124">
        <f>IF(C539&lt;=30,5,IF(C539&lt;=60,4,IF(C539&lt;=120,3,IF(C539&lt;=200,2,1))))</f>
        <v/>
      </c>
      <c r="G539" s="124">
        <f>IF(D539&gt;=20,5,IF(D539&gt;=10,4,IF(D539&gt;=5,3,IF(D539&gt;=2,2,1))))</f>
        <v/>
      </c>
      <c r="H539" s="124">
        <f>IF(E539&gt;=5000,5,IF(E539&gt;=2000,4,IF(E539&gt;=800,3,IF(E539&gt;=300,2,1))))</f>
        <v/>
      </c>
      <c r="I539" s="122">
        <f>TEXT(F539,"0")&amp;TEXT(G539,"0")&amp;TEXT(H539,"0")</f>
        <v/>
      </c>
      <c r="J539" s="122">
        <f>IFERROR(XLOOKUP(I539,'Segment Map'!A:A,'Segment Map'!B:B,"Need Attention"),"Need Attention")</f>
        <v/>
      </c>
      <c r="K539" s="122">
        <f>IF(E539&gt;=5000,"🏆 Platinum",IF(E539&gt;=2000,"🥇 Gold",IF(E539&gt;=800,"🥈 Silver","🥉 Bronze")))</f>
        <v/>
      </c>
      <c r="L539" s="125" t="n">
        <v>40822</v>
      </c>
    </row>
    <row r="540">
      <c r="A540" s="126" t="n">
        <v>13050</v>
      </c>
      <c r="B540" s="126" t="inlineStr">
        <is>
          <t>United Kingdom</t>
        </is>
      </c>
      <c r="C540" s="126" t="n">
        <v>15</v>
      </c>
      <c r="D540" s="126" t="n">
        <v>17</v>
      </c>
      <c r="E540" s="127" t="n">
        <v>5836.86</v>
      </c>
      <c r="F540" s="128">
        <f>IF(C540&lt;=30,5,IF(C540&lt;=60,4,IF(C540&lt;=120,3,IF(C540&lt;=200,2,1))))</f>
        <v/>
      </c>
      <c r="G540" s="128">
        <f>IF(D540&gt;=20,5,IF(D540&gt;=10,4,IF(D540&gt;=5,3,IF(D540&gt;=2,2,1))))</f>
        <v/>
      </c>
      <c r="H540" s="128">
        <f>IF(E540&gt;=5000,5,IF(E540&gt;=2000,4,IF(E540&gt;=800,3,IF(E540&gt;=300,2,1))))</f>
        <v/>
      </c>
      <c r="I540" s="126">
        <f>TEXT(F540,"0")&amp;TEXT(G540,"0")&amp;TEXT(H540,"0")</f>
        <v/>
      </c>
      <c r="J540" s="126">
        <f>IFERROR(XLOOKUP(I540,'Segment Map'!A:A,'Segment Map'!B:B,"Need Attention"),"Need Attention")</f>
        <v/>
      </c>
      <c r="K540" s="126">
        <f>IF(E540&gt;=5000,"🏆 Platinum",IF(E540&gt;=2000,"🥇 Gold",IF(E540&gt;=800,"🥈 Silver","🥉 Bronze")))</f>
        <v/>
      </c>
      <c r="L540" s="129" t="n">
        <v>40872</v>
      </c>
    </row>
    <row r="541">
      <c r="A541" s="122" t="n">
        <v>13052</v>
      </c>
      <c r="B541" s="122" t="inlineStr">
        <is>
          <t>United Kingdom</t>
        </is>
      </c>
      <c r="C541" s="122" t="n">
        <v>213</v>
      </c>
      <c r="D541" s="122" t="n">
        <v>1</v>
      </c>
      <c r="E541" s="123" t="n">
        <v>348.15</v>
      </c>
      <c r="F541" s="124">
        <f>IF(C541&lt;=30,5,IF(C541&lt;=60,4,IF(C541&lt;=120,3,IF(C541&lt;=200,2,1))))</f>
        <v/>
      </c>
      <c r="G541" s="124">
        <f>IF(D541&gt;=20,5,IF(D541&gt;=10,4,IF(D541&gt;=5,3,IF(D541&gt;=2,2,1))))</f>
        <v/>
      </c>
      <c r="H541" s="124">
        <f>IF(E541&gt;=5000,5,IF(E541&gt;=2000,4,IF(E541&gt;=800,3,IF(E541&gt;=300,2,1))))</f>
        <v/>
      </c>
      <c r="I541" s="122">
        <f>TEXT(F541,"0")&amp;TEXT(G541,"0")&amp;TEXT(H541,"0")</f>
        <v/>
      </c>
      <c r="J541" s="122">
        <f>IFERROR(XLOOKUP(I541,'Segment Map'!A:A,'Segment Map'!B:B,"Need Attention"),"Need Attention")</f>
        <v/>
      </c>
      <c r="K541" s="122">
        <f>IF(E541&gt;=5000,"🏆 Platinum",IF(E541&gt;=2000,"🥇 Gold",IF(E541&gt;=800,"🥈 Silver","🥉 Bronze")))</f>
        <v/>
      </c>
      <c r="L541" s="125" t="n">
        <v>40674</v>
      </c>
    </row>
    <row r="542">
      <c r="A542" s="126" t="n">
        <v>13055</v>
      </c>
      <c r="B542" s="126" t="inlineStr">
        <is>
          <t>United Kingdom</t>
        </is>
      </c>
      <c r="C542" s="126" t="n">
        <v>79</v>
      </c>
      <c r="D542" s="126" t="n">
        <v>3</v>
      </c>
      <c r="E542" s="127" t="n">
        <v>1214.41</v>
      </c>
      <c r="F542" s="128">
        <f>IF(C542&lt;=30,5,IF(C542&lt;=60,4,IF(C542&lt;=120,3,IF(C542&lt;=200,2,1))))</f>
        <v/>
      </c>
      <c r="G542" s="128">
        <f>IF(D542&gt;=20,5,IF(D542&gt;=10,4,IF(D542&gt;=5,3,IF(D542&gt;=2,2,1))))</f>
        <v/>
      </c>
      <c r="H542" s="128">
        <f>IF(E542&gt;=5000,5,IF(E542&gt;=2000,4,IF(E542&gt;=800,3,IF(E542&gt;=300,2,1))))</f>
        <v/>
      </c>
      <c r="I542" s="126">
        <f>TEXT(F542,"0")&amp;TEXT(G542,"0")&amp;TEXT(H542,"0")</f>
        <v/>
      </c>
      <c r="J542" s="126">
        <f>IFERROR(XLOOKUP(I542,'Segment Map'!A:A,'Segment Map'!B:B,"Need Attention"),"Need Attention")</f>
        <v/>
      </c>
      <c r="K542" s="126">
        <f>IF(E542&gt;=5000,"🏆 Platinum",IF(E542&gt;=2000,"🥇 Gold",IF(E542&gt;=800,"🥈 Silver","🥉 Bronze")))</f>
        <v/>
      </c>
      <c r="L542" s="129" t="n">
        <v>40808</v>
      </c>
    </row>
    <row r="543">
      <c r="A543" s="122" t="n">
        <v>13058</v>
      </c>
      <c r="B543" s="122" t="inlineStr">
        <is>
          <t>United Kingdom</t>
        </is>
      </c>
      <c r="C543" s="122" t="n">
        <v>25</v>
      </c>
      <c r="D543" s="122" t="n">
        <v>3</v>
      </c>
      <c r="E543" s="123" t="n">
        <v>271.4</v>
      </c>
      <c r="F543" s="124">
        <f>IF(C543&lt;=30,5,IF(C543&lt;=60,4,IF(C543&lt;=120,3,IF(C543&lt;=200,2,1))))</f>
        <v/>
      </c>
      <c r="G543" s="124">
        <f>IF(D543&gt;=20,5,IF(D543&gt;=10,4,IF(D543&gt;=5,3,IF(D543&gt;=2,2,1))))</f>
        <v/>
      </c>
      <c r="H543" s="124">
        <f>IF(E543&gt;=5000,5,IF(E543&gt;=2000,4,IF(E543&gt;=800,3,IF(E543&gt;=300,2,1))))</f>
        <v/>
      </c>
      <c r="I543" s="122">
        <f>TEXT(F543,"0")&amp;TEXT(G543,"0")&amp;TEXT(H543,"0")</f>
        <v/>
      </c>
      <c r="J543" s="122">
        <f>IFERROR(XLOOKUP(I543,'Segment Map'!A:A,'Segment Map'!B:B,"Need Attention"),"Need Attention")</f>
        <v/>
      </c>
      <c r="K543" s="122">
        <f>IF(E543&gt;=5000,"🏆 Platinum",IF(E543&gt;=2000,"🥇 Gold",IF(E543&gt;=800,"🥈 Silver","🥉 Bronze")))</f>
        <v/>
      </c>
      <c r="L543" s="125" t="n">
        <v>40862</v>
      </c>
    </row>
    <row r="544">
      <c r="A544" s="126" t="n">
        <v>13059</v>
      </c>
      <c r="B544" s="126" t="inlineStr">
        <is>
          <t>United Kingdom</t>
        </is>
      </c>
      <c r="C544" s="126" t="n">
        <v>250</v>
      </c>
      <c r="D544" s="126" t="n">
        <v>1</v>
      </c>
      <c r="E544" s="127" t="n">
        <v>183.4</v>
      </c>
      <c r="F544" s="128">
        <f>IF(C544&lt;=30,5,IF(C544&lt;=60,4,IF(C544&lt;=120,3,IF(C544&lt;=200,2,1))))</f>
        <v/>
      </c>
      <c r="G544" s="128">
        <f>IF(D544&gt;=20,5,IF(D544&gt;=10,4,IF(D544&gt;=5,3,IF(D544&gt;=2,2,1))))</f>
        <v/>
      </c>
      <c r="H544" s="128">
        <f>IF(E544&gt;=5000,5,IF(E544&gt;=2000,4,IF(E544&gt;=800,3,IF(E544&gt;=300,2,1))))</f>
        <v/>
      </c>
      <c r="I544" s="126">
        <f>TEXT(F544,"0")&amp;TEXT(G544,"0")&amp;TEXT(H544,"0")</f>
        <v/>
      </c>
      <c r="J544" s="126">
        <f>IFERROR(XLOOKUP(I544,'Segment Map'!A:A,'Segment Map'!B:B,"Need Attention"),"Need Attention")</f>
        <v/>
      </c>
      <c r="K544" s="126">
        <f>IF(E544&gt;=5000,"🏆 Platinum",IF(E544&gt;=2000,"🥇 Gold",IF(E544&gt;=800,"🥈 Silver","🥉 Bronze")))</f>
        <v/>
      </c>
      <c r="L544" s="129" t="n">
        <v>40637</v>
      </c>
    </row>
    <row r="545">
      <c r="A545" s="122" t="n">
        <v>13060</v>
      </c>
      <c r="B545" s="122" t="inlineStr">
        <is>
          <t>United Kingdom</t>
        </is>
      </c>
      <c r="C545" s="122" t="n">
        <v>254</v>
      </c>
      <c r="D545" s="122" t="n">
        <v>1</v>
      </c>
      <c r="E545" s="123" t="n">
        <v>307.53</v>
      </c>
      <c r="F545" s="124">
        <f>IF(C545&lt;=30,5,IF(C545&lt;=60,4,IF(C545&lt;=120,3,IF(C545&lt;=200,2,1))))</f>
        <v/>
      </c>
      <c r="G545" s="124">
        <f>IF(D545&gt;=20,5,IF(D545&gt;=10,4,IF(D545&gt;=5,3,IF(D545&gt;=2,2,1))))</f>
        <v/>
      </c>
      <c r="H545" s="124">
        <f>IF(E545&gt;=5000,5,IF(E545&gt;=2000,4,IF(E545&gt;=800,3,IF(E545&gt;=300,2,1))))</f>
        <v/>
      </c>
      <c r="I545" s="122">
        <f>TEXT(F545,"0")&amp;TEXT(G545,"0")&amp;TEXT(H545,"0")</f>
        <v/>
      </c>
      <c r="J545" s="122">
        <f>IFERROR(XLOOKUP(I545,'Segment Map'!A:A,'Segment Map'!B:B,"Need Attention"),"Need Attention")</f>
        <v/>
      </c>
      <c r="K545" s="122">
        <f>IF(E545&gt;=5000,"🏆 Platinum",IF(E545&gt;=2000,"🥇 Gold",IF(E545&gt;=800,"🥈 Silver","🥉 Bronze")))</f>
        <v/>
      </c>
      <c r="L545" s="125" t="n">
        <v>40633</v>
      </c>
    </row>
    <row r="546">
      <c r="A546" s="126" t="n">
        <v>13061</v>
      </c>
      <c r="B546" s="126" t="inlineStr">
        <is>
          <t>United Kingdom</t>
        </is>
      </c>
      <c r="C546" s="126" t="n">
        <v>73</v>
      </c>
      <c r="D546" s="126" t="n">
        <v>1</v>
      </c>
      <c r="E546" s="127" t="n">
        <v>248.61</v>
      </c>
      <c r="F546" s="128">
        <f>IF(C546&lt;=30,5,IF(C546&lt;=60,4,IF(C546&lt;=120,3,IF(C546&lt;=200,2,1))))</f>
        <v/>
      </c>
      <c r="G546" s="128">
        <f>IF(D546&gt;=20,5,IF(D546&gt;=10,4,IF(D546&gt;=5,3,IF(D546&gt;=2,2,1))))</f>
        <v/>
      </c>
      <c r="H546" s="128">
        <f>IF(E546&gt;=5000,5,IF(E546&gt;=2000,4,IF(E546&gt;=800,3,IF(E546&gt;=300,2,1))))</f>
        <v/>
      </c>
      <c r="I546" s="126">
        <f>TEXT(F546,"0")&amp;TEXT(G546,"0")&amp;TEXT(H546,"0")</f>
        <v/>
      </c>
      <c r="J546" s="126">
        <f>IFERROR(XLOOKUP(I546,'Segment Map'!A:A,'Segment Map'!B:B,"Need Attention"),"Need Attention")</f>
        <v/>
      </c>
      <c r="K546" s="126">
        <f>IF(E546&gt;=5000,"🏆 Platinum",IF(E546&gt;=2000,"🥇 Gold",IF(E546&gt;=800,"🥈 Silver","🥉 Bronze")))</f>
        <v/>
      </c>
      <c r="L546" s="129" t="n">
        <v>40814</v>
      </c>
    </row>
    <row r="547">
      <c r="A547" s="122" t="n">
        <v>13062</v>
      </c>
      <c r="B547" s="122" t="inlineStr">
        <is>
          <t>United Kingdom</t>
        </is>
      </c>
      <c r="C547" s="122" t="n">
        <v>192</v>
      </c>
      <c r="D547" s="122" t="n">
        <v>1</v>
      </c>
      <c r="E547" s="123" t="n">
        <v>346.98</v>
      </c>
      <c r="F547" s="124">
        <f>IF(C547&lt;=30,5,IF(C547&lt;=60,4,IF(C547&lt;=120,3,IF(C547&lt;=200,2,1))))</f>
        <v/>
      </c>
      <c r="G547" s="124">
        <f>IF(D547&gt;=20,5,IF(D547&gt;=10,4,IF(D547&gt;=5,3,IF(D547&gt;=2,2,1))))</f>
        <v/>
      </c>
      <c r="H547" s="124">
        <f>IF(E547&gt;=5000,5,IF(E547&gt;=2000,4,IF(E547&gt;=800,3,IF(E547&gt;=300,2,1))))</f>
        <v/>
      </c>
      <c r="I547" s="122">
        <f>TEXT(F547,"0")&amp;TEXT(G547,"0")&amp;TEXT(H547,"0")</f>
        <v/>
      </c>
      <c r="J547" s="122">
        <f>IFERROR(XLOOKUP(I547,'Segment Map'!A:A,'Segment Map'!B:B,"Need Attention"),"Need Attention")</f>
        <v/>
      </c>
      <c r="K547" s="122">
        <f>IF(E547&gt;=5000,"🏆 Platinum",IF(E547&gt;=2000,"🥇 Gold",IF(E547&gt;=800,"🥈 Silver","🥉 Bronze")))</f>
        <v/>
      </c>
      <c r="L547" s="125" t="n">
        <v>40695</v>
      </c>
    </row>
    <row r="548">
      <c r="A548" s="126" t="n">
        <v>13064</v>
      </c>
      <c r="B548" s="126" t="inlineStr">
        <is>
          <t>United Kingdom</t>
        </is>
      </c>
      <c r="C548" s="126" t="n">
        <v>13</v>
      </c>
      <c r="D548" s="126" t="n">
        <v>4</v>
      </c>
      <c r="E548" s="127" t="n">
        <v>1119.49</v>
      </c>
      <c r="F548" s="128">
        <f>IF(C548&lt;=30,5,IF(C548&lt;=60,4,IF(C548&lt;=120,3,IF(C548&lt;=200,2,1))))</f>
        <v/>
      </c>
      <c r="G548" s="128">
        <f>IF(D548&gt;=20,5,IF(D548&gt;=10,4,IF(D548&gt;=5,3,IF(D548&gt;=2,2,1))))</f>
        <v/>
      </c>
      <c r="H548" s="128">
        <f>IF(E548&gt;=5000,5,IF(E548&gt;=2000,4,IF(E548&gt;=800,3,IF(E548&gt;=300,2,1))))</f>
        <v/>
      </c>
      <c r="I548" s="126">
        <f>TEXT(F548,"0")&amp;TEXT(G548,"0")&amp;TEXT(H548,"0")</f>
        <v/>
      </c>
      <c r="J548" s="126">
        <f>IFERROR(XLOOKUP(I548,'Segment Map'!A:A,'Segment Map'!B:B,"Need Attention"),"Need Attention")</f>
        <v/>
      </c>
      <c r="K548" s="126">
        <f>IF(E548&gt;=5000,"🏆 Platinum",IF(E548&gt;=2000,"🥇 Gold",IF(E548&gt;=800,"🥈 Silver","🥉 Bronze")))</f>
        <v/>
      </c>
      <c r="L548" s="129" t="n">
        <v>40874</v>
      </c>
    </row>
    <row r="549">
      <c r="A549" s="122" t="n">
        <v>13065</v>
      </c>
      <c r="B549" s="122" t="inlineStr">
        <is>
          <t>United Kingdom</t>
        </is>
      </c>
      <c r="C549" s="122" t="n">
        <v>374</v>
      </c>
      <c r="D549" s="122" t="n">
        <v>1</v>
      </c>
      <c r="E549" s="123" t="n">
        <v>205.86</v>
      </c>
      <c r="F549" s="124">
        <f>IF(C549&lt;=30,5,IF(C549&lt;=60,4,IF(C549&lt;=120,3,IF(C549&lt;=200,2,1))))</f>
        <v/>
      </c>
      <c r="G549" s="124">
        <f>IF(D549&gt;=20,5,IF(D549&gt;=10,4,IF(D549&gt;=5,3,IF(D549&gt;=2,2,1))))</f>
        <v/>
      </c>
      <c r="H549" s="124">
        <f>IF(E549&gt;=5000,5,IF(E549&gt;=2000,4,IF(E549&gt;=800,3,IF(E549&gt;=300,2,1))))</f>
        <v/>
      </c>
      <c r="I549" s="122">
        <f>TEXT(F549,"0")&amp;TEXT(G549,"0")&amp;TEXT(H549,"0")</f>
        <v/>
      </c>
      <c r="J549" s="122">
        <f>IFERROR(XLOOKUP(I549,'Segment Map'!A:A,'Segment Map'!B:B,"Need Attention"),"Need Attention")</f>
        <v/>
      </c>
      <c r="K549" s="122">
        <f>IF(E549&gt;=5000,"🏆 Platinum",IF(E549&gt;=2000,"🥇 Gold",IF(E549&gt;=800,"🥈 Silver","🥉 Bronze")))</f>
        <v/>
      </c>
      <c r="L549" s="125" t="n">
        <v>40513</v>
      </c>
    </row>
    <row r="550">
      <c r="A550" s="126" t="n">
        <v>13066</v>
      </c>
      <c r="B550" s="126" t="inlineStr">
        <is>
          <t>United Kingdom</t>
        </is>
      </c>
      <c r="C550" s="126" t="n">
        <v>25</v>
      </c>
      <c r="D550" s="126" t="n">
        <v>2</v>
      </c>
      <c r="E550" s="127" t="n">
        <v>470.8</v>
      </c>
      <c r="F550" s="128">
        <f>IF(C550&lt;=30,5,IF(C550&lt;=60,4,IF(C550&lt;=120,3,IF(C550&lt;=200,2,1))))</f>
        <v/>
      </c>
      <c r="G550" s="128">
        <f>IF(D550&gt;=20,5,IF(D550&gt;=10,4,IF(D550&gt;=5,3,IF(D550&gt;=2,2,1))))</f>
        <v/>
      </c>
      <c r="H550" s="128">
        <f>IF(E550&gt;=5000,5,IF(E550&gt;=2000,4,IF(E550&gt;=800,3,IF(E550&gt;=300,2,1))))</f>
        <v/>
      </c>
      <c r="I550" s="126">
        <f>TEXT(F550,"0")&amp;TEXT(G550,"0")&amp;TEXT(H550,"0")</f>
        <v/>
      </c>
      <c r="J550" s="126">
        <f>IFERROR(XLOOKUP(I550,'Segment Map'!A:A,'Segment Map'!B:B,"Need Attention"),"Need Attention")</f>
        <v/>
      </c>
      <c r="K550" s="126">
        <f>IF(E550&gt;=5000,"🏆 Platinum",IF(E550&gt;=2000,"🥇 Gold",IF(E550&gt;=800,"🥈 Silver","🥉 Bronze")))</f>
        <v/>
      </c>
      <c r="L550" s="129" t="n">
        <v>40862</v>
      </c>
    </row>
    <row r="551">
      <c r="A551" s="122" t="n">
        <v>13067</v>
      </c>
      <c r="B551" s="122" t="inlineStr">
        <is>
          <t>United Kingdom</t>
        </is>
      </c>
      <c r="C551" s="122" t="n">
        <v>83</v>
      </c>
      <c r="D551" s="122" t="n">
        <v>1</v>
      </c>
      <c r="E551" s="123" t="n">
        <v>115.46</v>
      </c>
      <c r="F551" s="124">
        <f>IF(C551&lt;=30,5,IF(C551&lt;=60,4,IF(C551&lt;=120,3,IF(C551&lt;=200,2,1))))</f>
        <v/>
      </c>
      <c r="G551" s="124">
        <f>IF(D551&gt;=20,5,IF(D551&gt;=10,4,IF(D551&gt;=5,3,IF(D551&gt;=2,2,1))))</f>
        <v/>
      </c>
      <c r="H551" s="124">
        <f>IF(E551&gt;=5000,5,IF(E551&gt;=2000,4,IF(E551&gt;=800,3,IF(E551&gt;=300,2,1))))</f>
        <v/>
      </c>
      <c r="I551" s="122">
        <f>TEXT(F551,"0")&amp;TEXT(G551,"0")&amp;TEXT(H551,"0")</f>
        <v/>
      </c>
      <c r="J551" s="122">
        <f>IFERROR(XLOOKUP(I551,'Segment Map'!A:A,'Segment Map'!B:B,"Need Attention"),"Need Attention")</f>
        <v/>
      </c>
      <c r="K551" s="122">
        <f>IF(E551&gt;=5000,"🏆 Platinum",IF(E551&gt;=2000,"🥇 Gold",IF(E551&gt;=800,"🥈 Silver","🥉 Bronze")))</f>
        <v/>
      </c>
      <c r="L551" s="125" t="n">
        <v>40804</v>
      </c>
    </row>
    <row r="552">
      <c r="A552" s="126" t="n">
        <v>13068</v>
      </c>
      <c r="B552" s="126" t="inlineStr">
        <is>
          <t>United Kingdom</t>
        </is>
      </c>
      <c r="C552" s="126" t="n">
        <v>11</v>
      </c>
      <c r="D552" s="126" t="n">
        <v>2</v>
      </c>
      <c r="E552" s="127" t="n">
        <v>344</v>
      </c>
      <c r="F552" s="128">
        <f>IF(C552&lt;=30,5,IF(C552&lt;=60,4,IF(C552&lt;=120,3,IF(C552&lt;=200,2,1))))</f>
        <v/>
      </c>
      <c r="G552" s="128">
        <f>IF(D552&gt;=20,5,IF(D552&gt;=10,4,IF(D552&gt;=5,3,IF(D552&gt;=2,2,1))))</f>
        <v/>
      </c>
      <c r="H552" s="128">
        <f>IF(E552&gt;=5000,5,IF(E552&gt;=2000,4,IF(E552&gt;=800,3,IF(E552&gt;=300,2,1))))</f>
        <v/>
      </c>
      <c r="I552" s="126">
        <f>TEXT(F552,"0")&amp;TEXT(G552,"0")&amp;TEXT(H552,"0")</f>
        <v/>
      </c>
      <c r="J552" s="126">
        <f>IFERROR(XLOOKUP(I552,'Segment Map'!A:A,'Segment Map'!B:B,"Need Attention"),"Need Attention")</f>
        <v/>
      </c>
      <c r="K552" s="126">
        <f>IF(E552&gt;=5000,"🏆 Platinum",IF(E552&gt;=2000,"🥇 Gold",IF(E552&gt;=800,"🥈 Silver","🥉 Bronze")))</f>
        <v/>
      </c>
      <c r="L552" s="129" t="n">
        <v>40876</v>
      </c>
    </row>
    <row r="553">
      <c r="A553" s="122" t="n">
        <v>13069</v>
      </c>
      <c r="B553" s="122" t="inlineStr">
        <is>
          <t>United Kingdom</t>
        </is>
      </c>
      <c r="C553" s="122" t="n">
        <v>1</v>
      </c>
      <c r="D553" s="122" t="n">
        <v>24</v>
      </c>
      <c r="E553" s="123" t="n">
        <v>4436.12</v>
      </c>
      <c r="F553" s="124">
        <f>IF(C553&lt;=30,5,IF(C553&lt;=60,4,IF(C553&lt;=120,3,IF(C553&lt;=200,2,1))))</f>
        <v/>
      </c>
      <c r="G553" s="124">
        <f>IF(D553&gt;=20,5,IF(D553&gt;=10,4,IF(D553&gt;=5,3,IF(D553&gt;=2,2,1))))</f>
        <v/>
      </c>
      <c r="H553" s="124">
        <f>IF(E553&gt;=5000,5,IF(E553&gt;=2000,4,IF(E553&gt;=800,3,IF(E553&gt;=300,2,1))))</f>
        <v/>
      </c>
      <c r="I553" s="122">
        <f>TEXT(F553,"0")&amp;TEXT(G553,"0")&amp;TEXT(H553,"0")</f>
        <v/>
      </c>
      <c r="J553" s="122">
        <f>IFERROR(XLOOKUP(I553,'Segment Map'!A:A,'Segment Map'!B:B,"Need Attention"),"Need Attention")</f>
        <v/>
      </c>
      <c r="K553" s="122">
        <f>IF(E553&gt;=5000,"🏆 Platinum",IF(E553&gt;=2000,"🥇 Gold",IF(E553&gt;=800,"🥈 Silver","🥉 Bronze")))</f>
        <v/>
      </c>
      <c r="L553" s="125" t="n">
        <v>40886</v>
      </c>
    </row>
    <row r="554">
      <c r="A554" s="126" t="n">
        <v>13070</v>
      </c>
      <c r="B554" s="126" t="inlineStr">
        <is>
          <t>United Kingdom</t>
        </is>
      </c>
      <c r="C554" s="126" t="n">
        <v>193</v>
      </c>
      <c r="D554" s="126" t="n">
        <v>1</v>
      </c>
      <c r="E554" s="127" t="n">
        <v>228.8</v>
      </c>
      <c r="F554" s="128">
        <f>IF(C554&lt;=30,5,IF(C554&lt;=60,4,IF(C554&lt;=120,3,IF(C554&lt;=200,2,1))))</f>
        <v/>
      </c>
      <c r="G554" s="128">
        <f>IF(D554&gt;=20,5,IF(D554&gt;=10,4,IF(D554&gt;=5,3,IF(D554&gt;=2,2,1))))</f>
        <v/>
      </c>
      <c r="H554" s="128">
        <f>IF(E554&gt;=5000,5,IF(E554&gt;=2000,4,IF(E554&gt;=800,3,IF(E554&gt;=300,2,1))))</f>
        <v/>
      </c>
      <c r="I554" s="126">
        <f>TEXT(F554,"0")&amp;TEXT(G554,"0")&amp;TEXT(H554,"0")</f>
        <v/>
      </c>
      <c r="J554" s="126">
        <f>IFERROR(XLOOKUP(I554,'Segment Map'!A:A,'Segment Map'!B:B,"Need Attention"),"Need Attention")</f>
        <v/>
      </c>
      <c r="K554" s="126">
        <f>IF(E554&gt;=5000,"🏆 Platinum",IF(E554&gt;=2000,"🥇 Gold",IF(E554&gt;=800,"🥈 Silver","🥉 Bronze")))</f>
        <v/>
      </c>
      <c r="L554" s="129" t="n">
        <v>40694</v>
      </c>
    </row>
    <row r="555">
      <c r="A555" s="122" t="n">
        <v>13072</v>
      </c>
      <c r="B555" s="122" t="inlineStr">
        <is>
          <t>United Kingdom</t>
        </is>
      </c>
      <c r="C555" s="122" t="n">
        <v>267</v>
      </c>
      <c r="D555" s="122" t="n">
        <v>1</v>
      </c>
      <c r="E555" s="123" t="n">
        <v>177.15</v>
      </c>
      <c r="F555" s="124">
        <f>IF(C555&lt;=30,5,IF(C555&lt;=60,4,IF(C555&lt;=120,3,IF(C555&lt;=200,2,1))))</f>
        <v/>
      </c>
      <c r="G555" s="124">
        <f>IF(D555&gt;=20,5,IF(D555&gt;=10,4,IF(D555&gt;=5,3,IF(D555&gt;=2,2,1))))</f>
        <v/>
      </c>
      <c r="H555" s="124">
        <f>IF(E555&gt;=5000,5,IF(E555&gt;=2000,4,IF(E555&gt;=800,3,IF(E555&gt;=300,2,1))))</f>
        <v/>
      </c>
      <c r="I555" s="122">
        <f>TEXT(F555,"0")&amp;TEXT(G555,"0")&amp;TEXT(H555,"0")</f>
        <v/>
      </c>
      <c r="J555" s="122">
        <f>IFERROR(XLOOKUP(I555,'Segment Map'!A:A,'Segment Map'!B:B,"Need Attention"),"Need Attention")</f>
        <v/>
      </c>
      <c r="K555" s="122">
        <f>IF(E555&gt;=5000,"🏆 Platinum",IF(E555&gt;=2000,"🥇 Gold",IF(E555&gt;=800,"🥈 Silver","🥉 Bronze")))</f>
        <v/>
      </c>
      <c r="L555" s="125" t="n">
        <v>40620</v>
      </c>
    </row>
    <row r="556">
      <c r="A556" s="126" t="n">
        <v>13075</v>
      </c>
      <c r="B556" s="126" t="inlineStr">
        <is>
          <t>United Kingdom</t>
        </is>
      </c>
      <c r="C556" s="126" t="n">
        <v>130</v>
      </c>
      <c r="D556" s="126" t="n">
        <v>1</v>
      </c>
      <c r="E556" s="127" t="n">
        <v>919.61</v>
      </c>
      <c r="F556" s="128">
        <f>IF(C556&lt;=30,5,IF(C556&lt;=60,4,IF(C556&lt;=120,3,IF(C556&lt;=200,2,1))))</f>
        <v/>
      </c>
      <c r="G556" s="128">
        <f>IF(D556&gt;=20,5,IF(D556&gt;=10,4,IF(D556&gt;=5,3,IF(D556&gt;=2,2,1))))</f>
        <v/>
      </c>
      <c r="H556" s="128">
        <f>IF(E556&gt;=5000,5,IF(E556&gt;=2000,4,IF(E556&gt;=800,3,IF(E556&gt;=300,2,1))))</f>
        <v/>
      </c>
      <c r="I556" s="126">
        <f>TEXT(F556,"0")&amp;TEXT(G556,"0")&amp;TEXT(H556,"0")</f>
        <v/>
      </c>
      <c r="J556" s="126">
        <f>IFERROR(XLOOKUP(I556,'Segment Map'!A:A,'Segment Map'!B:B,"Need Attention"),"Need Attention")</f>
        <v/>
      </c>
      <c r="K556" s="126">
        <f>IF(E556&gt;=5000,"🏆 Platinum",IF(E556&gt;=2000,"🥇 Gold",IF(E556&gt;=800,"🥈 Silver","🥉 Bronze")))</f>
        <v/>
      </c>
      <c r="L556" s="129" t="n">
        <v>40757</v>
      </c>
    </row>
    <row r="557">
      <c r="A557" s="122" t="n">
        <v>13077</v>
      </c>
      <c r="B557" s="122" t="inlineStr">
        <is>
          <t>United Kingdom</t>
        </is>
      </c>
      <c r="C557" s="122" t="n">
        <v>2</v>
      </c>
      <c r="D557" s="122" t="n">
        <v>4</v>
      </c>
      <c r="E557" s="123" t="n">
        <v>729.27</v>
      </c>
      <c r="F557" s="124">
        <f>IF(C557&lt;=30,5,IF(C557&lt;=60,4,IF(C557&lt;=120,3,IF(C557&lt;=200,2,1))))</f>
        <v/>
      </c>
      <c r="G557" s="124">
        <f>IF(D557&gt;=20,5,IF(D557&gt;=10,4,IF(D557&gt;=5,3,IF(D557&gt;=2,2,1))))</f>
        <v/>
      </c>
      <c r="H557" s="124">
        <f>IF(E557&gt;=5000,5,IF(E557&gt;=2000,4,IF(E557&gt;=800,3,IF(E557&gt;=300,2,1))))</f>
        <v/>
      </c>
      <c r="I557" s="122">
        <f>TEXT(F557,"0")&amp;TEXT(G557,"0")&amp;TEXT(H557,"0")</f>
        <v/>
      </c>
      <c r="J557" s="122">
        <f>IFERROR(XLOOKUP(I557,'Segment Map'!A:A,'Segment Map'!B:B,"Need Attention"),"Need Attention")</f>
        <v/>
      </c>
      <c r="K557" s="122">
        <f>IF(E557&gt;=5000,"🏆 Platinum",IF(E557&gt;=2000,"🥇 Gold",IF(E557&gt;=800,"🥈 Silver","🥉 Bronze")))</f>
        <v/>
      </c>
      <c r="L557" s="125" t="n">
        <v>40885</v>
      </c>
    </row>
    <row r="558">
      <c r="A558" s="126" t="n">
        <v>13078</v>
      </c>
      <c r="B558" s="126" t="inlineStr">
        <is>
          <t>United Kingdom</t>
        </is>
      </c>
      <c r="C558" s="126" t="n">
        <v>4</v>
      </c>
      <c r="D558" s="126" t="n">
        <v>26</v>
      </c>
      <c r="E558" s="127" t="n">
        <v>12627.94</v>
      </c>
      <c r="F558" s="128">
        <f>IF(C558&lt;=30,5,IF(C558&lt;=60,4,IF(C558&lt;=120,3,IF(C558&lt;=200,2,1))))</f>
        <v/>
      </c>
      <c r="G558" s="128">
        <f>IF(D558&gt;=20,5,IF(D558&gt;=10,4,IF(D558&gt;=5,3,IF(D558&gt;=2,2,1))))</f>
        <v/>
      </c>
      <c r="H558" s="128">
        <f>IF(E558&gt;=5000,5,IF(E558&gt;=2000,4,IF(E558&gt;=800,3,IF(E558&gt;=300,2,1))))</f>
        <v/>
      </c>
      <c r="I558" s="126">
        <f>TEXT(F558,"0")&amp;TEXT(G558,"0")&amp;TEXT(H558,"0")</f>
        <v/>
      </c>
      <c r="J558" s="126">
        <f>IFERROR(XLOOKUP(I558,'Segment Map'!A:A,'Segment Map'!B:B,"Need Attention"),"Need Attention")</f>
        <v/>
      </c>
      <c r="K558" s="126">
        <f>IF(E558&gt;=5000,"🏆 Platinum",IF(E558&gt;=2000,"🥇 Gold",IF(E558&gt;=800,"🥈 Silver","🥉 Bronze")))</f>
        <v/>
      </c>
      <c r="L558" s="129" t="n">
        <v>40883</v>
      </c>
    </row>
    <row r="559">
      <c r="A559" s="122" t="n">
        <v>13079</v>
      </c>
      <c r="B559" s="122" t="inlineStr">
        <is>
          <t>United Kingdom</t>
        </is>
      </c>
      <c r="C559" s="122" t="n">
        <v>5</v>
      </c>
      <c r="D559" s="122" t="n">
        <v>5</v>
      </c>
      <c r="E559" s="123" t="n">
        <v>220.1</v>
      </c>
      <c r="F559" s="124">
        <f>IF(C559&lt;=30,5,IF(C559&lt;=60,4,IF(C559&lt;=120,3,IF(C559&lt;=200,2,1))))</f>
        <v/>
      </c>
      <c r="G559" s="124">
        <f>IF(D559&gt;=20,5,IF(D559&gt;=10,4,IF(D559&gt;=5,3,IF(D559&gt;=2,2,1))))</f>
        <v/>
      </c>
      <c r="H559" s="124">
        <f>IF(E559&gt;=5000,5,IF(E559&gt;=2000,4,IF(E559&gt;=800,3,IF(E559&gt;=300,2,1))))</f>
        <v/>
      </c>
      <c r="I559" s="122">
        <f>TEXT(F559,"0")&amp;TEXT(G559,"0")&amp;TEXT(H559,"0")</f>
        <v/>
      </c>
      <c r="J559" s="122">
        <f>IFERROR(XLOOKUP(I559,'Segment Map'!A:A,'Segment Map'!B:B,"Need Attention"),"Need Attention")</f>
        <v/>
      </c>
      <c r="K559" s="122">
        <f>IF(E559&gt;=5000,"🏆 Platinum",IF(E559&gt;=2000,"🥇 Gold",IF(E559&gt;=800,"🥈 Silver","🥉 Bronze")))</f>
        <v/>
      </c>
      <c r="L559" s="125" t="n">
        <v>40882</v>
      </c>
    </row>
    <row r="560">
      <c r="A560" s="126" t="n">
        <v>13080</v>
      </c>
      <c r="B560" s="126" t="inlineStr">
        <is>
          <t>United Kingdom</t>
        </is>
      </c>
      <c r="C560" s="126" t="n">
        <v>180</v>
      </c>
      <c r="D560" s="126" t="n">
        <v>1</v>
      </c>
      <c r="E560" s="127" t="n">
        <v>58.08</v>
      </c>
      <c r="F560" s="128">
        <f>IF(C560&lt;=30,5,IF(C560&lt;=60,4,IF(C560&lt;=120,3,IF(C560&lt;=200,2,1))))</f>
        <v/>
      </c>
      <c r="G560" s="128">
        <f>IF(D560&gt;=20,5,IF(D560&gt;=10,4,IF(D560&gt;=5,3,IF(D560&gt;=2,2,1))))</f>
        <v/>
      </c>
      <c r="H560" s="128">
        <f>IF(E560&gt;=5000,5,IF(E560&gt;=2000,4,IF(E560&gt;=800,3,IF(E560&gt;=300,2,1))))</f>
        <v/>
      </c>
      <c r="I560" s="126">
        <f>TEXT(F560,"0")&amp;TEXT(G560,"0")&amp;TEXT(H560,"0")</f>
        <v/>
      </c>
      <c r="J560" s="126">
        <f>IFERROR(XLOOKUP(I560,'Segment Map'!A:A,'Segment Map'!B:B,"Need Attention"),"Need Attention")</f>
        <v/>
      </c>
      <c r="K560" s="126">
        <f>IF(E560&gt;=5000,"🏆 Platinum",IF(E560&gt;=2000,"🥇 Gold",IF(E560&gt;=800,"🥈 Silver","🥉 Bronze")))</f>
        <v/>
      </c>
      <c r="L560" s="129" t="n">
        <v>40707</v>
      </c>
    </row>
    <row r="561">
      <c r="A561" s="122" t="n">
        <v>13081</v>
      </c>
      <c r="B561" s="122" t="inlineStr">
        <is>
          <t>United Kingdom</t>
        </is>
      </c>
      <c r="C561" s="122" t="n">
        <v>12</v>
      </c>
      <c r="D561" s="122" t="n">
        <v>11</v>
      </c>
      <c r="E561" s="123" t="n">
        <v>28337.38</v>
      </c>
      <c r="F561" s="124">
        <f>IF(C561&lt;=30,5,IF(C561&lt;=60,4,IF(C561&lt;=120,3,IF(C561&lt;=200,2,1))))</f>
        <v/>
      </c>
      <c r="G561" s="124">
        <f>IF(D561&gt;=20,5,IF(D561&gt;=10,4,IF(D561&gt;=5,3,IF(D561&gt;=2,2,1))))</f>
        <v/>
      </c>
      <c r="H561" s="124">
        <f>IF(E561&gt;=5000,5,IF(E561&gt;=2000,4,IF(E561&gt;=800,3,IF(E561&gt;=300,2,1))))</f>
        <v/>
      </c>
      <c r="I561" s="122">
        <f>TEXT(F561,"0")&amp;TEXT(G561,"0")&amp;TEXT(H561,"0")</f>
        <v/>
      </c>
      <c r="J561" s="122">
        <f>IFERROR(XLOOKUP(I561,'Segment Map'!A:A,'Segment Map'!B:B,"Need Attention"),"Need Attention")</f>
        <v/>
      </c>
      <c r="K561" s="122">
        <f>IF(E561&gt;=5000,"🏆 Platinum",IF(E561&gt;=2000,"🥇 Gold",IF(E561&gt;=800,"🥈 Silver","🥉 Bronze")))</f>
        <v/>
      </c>
      <c r="L561" s="125" t="n">
        <v>40875</v>
      </c>
    </row>
    <row r="562">
      <c r="A562" s="126" t="n">
        <v>13082</v>
      </c>
      <c r="B562" s="126" t="inlineStr">
        <is>
          <t>United Kingdom</t>
        </is>
      </c>
      <c r="C562" s="126" t="n">
        <v>127</v>
      </c>
      <c r="D562" s="126" t="n">
        <v>9</v>
      </c>
      <c r="E562" s="127" t="n">
        <v>3613.63</v>
      </c>
      <c r="F562" s="128">
        <f>IF(C562&lt;=30,5,IF(C562&lt;=60,4,IF(C562&lt;=120,3,IF(C562&lt;=200,2,1))))</f>
        <v/>
      </c>
      <c r="G562" s="128">
        <f>IF(D562&gt;=20,5,IF(D562&gt;=10,4,IF(D562&gt;=5,3,IF(D562&gt;=2,2,1))))</f>
        <v/>
      </c>
      <c r="H562" s="128">
        <f>IF(E562&gt;=5000,5,IF(E562&gt;=2000,4,IF(E562&gt;=800,3,IF(E562&gt;=300,2,1))))</f>
        <v/>
      </c>
      <c r="I562" s="126">
        <f>TEXT(F562,"0")&amp;TEXT(G562,"0")&amp;TEXT(H562,"0")</f>
        <v/>
      </c>
      <c r="J562" s="126">
        <f>IFERROR(XLOOKUP(I562,'Segment Map'!A:A,'Segment Map'!B:B,"Need Attention"),"Need Attention")</f>
        <v/>
      </c>
      <c r="K562" s="126">
        <f>IF(E562&gt;=5000,"🏆 Platinum",IF(E562&gt;=2000,"🥇 Gold",IF(E562&gt;=800,"🥈 Silver","🥉 Bronze")))</f>
        <v/>
      </c>
      <c r="L562" s="129" t="n">
        <v>40760</v>
      </c>
    </row>
    <row r="563">
      <c r="A563" s="122" t="n">
        <v>13083</v>
      </c>
      <c r="B563" s="122" t="inlineStr">
        <is>
          <t>United Kingdom</t>
        </is>
      </c>
      <c r="C563" s="122" t="n">
        <v>5</v>
      </c>
      <c r="D563" s="122" t="n">
        <v>2</v>
      </c>
      <c r="E563" s="123" t="n">
        <v>303.75</v>
      </c>
      <c r="F563" s="124">
        <f>IF(C563&lt;=30,5,IF(C563&lt;=60,4,IF(C563&lt;=120,3,IF(C563&lt;=200,2,1))))</f>
        <v/>
      </c>
      <c r="G563" s="124">
        <f>IF(D563&gt;=20,5,IF(D563&gt;=10,4,IF(D563&gt;=5,3,IF(D563&gt;=2,2,1))))</f>
        <v/>
      </c>
      <c r="H563" s="124">
        <f>IF(E563&gt;=5000,5,IF(E563&gt;=2000,4,IF(E563&gt;=800,3,IF(E563&gt;=300,2,1))))</f>
        <v/>
      </c>
      <c r="I563" s="122">
        <f>TEXT(F563,"0")&amp;TEXT(G563,"0")&amp;TEXT(H563,"0")</f>
        <v/>
      </c>
      <c r="J563" s="122">
        <f>IFERROR(XLOOKUP(I563,'Segment Map'!A:A,'Segment Map'!B:B,"Need Attention"),"Need Attention")</f>
        <v/>
      </c>
      <c r="K563" s="122">
        <f>IF(E563&gt;=5000,"🏆 Platinum",IF(E563&gt;=2000,"🥇 Gold",IF(E563&gt;=800,"🥈 Silver","🥉 Bronze")))</f>
        <v/>
      </c>
      <c r="L563" s="125" t="n">
        <v>40882</v>
      </c>
    </row>
    <row r="564">
      <c r="A564" s="126" t="n">
        <v>13085</v>
      </c>
      <c r="B564" s="126" t="inlineStr">
        <is>
          <t>United Kingdom</t>
        </is>
      </c>
      <c r="C564" s="126" t="n">
        <v>158</v>
      </c>
      <c r="D564" s="126" t="n">
        <v>2</v>
      </c>
      <c r="E564" s="127" t="n">
        <v>416.08</v>
      </c>
      <c r="F564" s="128">
        <f>IF(C564&lt;=30,5,IF(C564&lt;=60,4,IF(C564&lt;=120,3,IF(C564&lt;=200,2,1))))</f>
        <v/>
      </c>
      <c r="G564" s="128">
        <f>IF(D564&gt;=20,5,IF(D564&gt;=10,4,IF(D564&gt;=5,3,IF(D564&gt;=2,2,1))))</f>
        <v/>
      </c>
      <c r="H564" s="128">
        <f>IF(E564&gt;=5000,5,IF(E564&gt;=2000,4,IF(E564&gt;=800,3,IF(E564&gt;=300,2,1))))</f>
        <v/>
      </c>
      <c r="I564" s="126">
        <f>TEXT(F564,"0")&amp;TEXT(G564,"0")&amp;TEXT(H564,"0")</f>
        <v/>
      </c>
      <c r="J564" s="126">
        <f>IFERROR(XLOOKUP(I564,'Segment Map'!A:A,'Segment Map'!B:B,"Need Attention"),"Need Attention")</f>
        <v/>
      </c>
      <c r="K564" s="126">
        <f>IF(E564&gt;=5000,"🏆 Platinum",IF(E564&gt;=2000,"🥇 Gold",IF(E564&gt;=800,"🥈 Silver","🥉 Bronze")))</f>
        <v/>
      </c>
      <c r="L564" s="129" t="n">
        <v>40729</v>
      </c>
    </row>
    <row r="565">
      <c r="A565" s="122" t="n">
        <v>13089</v>
      </c>
      <c r="B565" s="122" t="inlineStr">
        <is>
          <t>United Kingdom</t>
        </is>
      </c>
      <c r="C565" s="122" t="n">
        <v>3</v>
      </c>
      <c r="D565" s="122" t="n">
        <v>97</v>
      </c>
      <c r="E565" s="123" t="n">
        <v>58825.83</v>
      </c>
      <c r="F565" s="124">
        <f>IF(C565&lt;=30,5,IF(C565&lt;=60,4,IF(C565&lt;=120,3,IF(C565&lt;=200,2,1))))</f>
        <v/>
      </c>
      <c r="G565" s="124">
        <f>IF(D565&gt;=20,5,IF(D565&gt;=10,4,IF(D565&gt;=5,3,IF(D565&gt;=2,2,1))))</f>
        <v/>
      </c>
      <c r="H565" s="124">
        <f>IF(E565&gt;=5000,5,IF(E565&gt;=2000,4,IF(E565&gt;=800,3,IF(E565&gt;=300,2,1))))</f>
        <v/>
      </c>
      <c r="I565" s="122">
        <f>TEXT(F565,"0")&amp;TEXT(G565,"0")&amp;TEXT(H565,"0")</f>
        <v/>
      </c>
      <c r="J565" s="122">
        <f>IFERROR(XLOOKUP(I565,'Segment Map'!A:A,'Segment Map'!B:B,"Need Attention"),"Need Attention")</f>
        <v/>
      </c>
      <c r="K565" s="122">
        <f>IF(E565&gt;=5000,"🏆 Platinum",IF(E565&gt;=2000,"🥇 Gold",IF(E565&gt;=800,"🥈 Silver","🥉 Bronze")))</f>
        <v/>
      </c>
      <c r="L565" s="125" t="n">
        <v>40884</v>
      </c>
    </row>
    <row r="566">
      <c r="A566" s="126" t="n">
        <v>13090</v>
      </c>
      <c r="B566" s="126" t="inlineStr">
        <is>
          <t>United Kingdom</t>
        </is>
      </c>
      <c r="C566" s="126" t="n">
        <v>9</v>
      </c>
      <c r="D566" s="126" t="n">
        <v>14</v>
      </c>
      <c r="E566" s="127" t="n">
        <v>8910.82</v>
      </c>
      <c r="F566" s="128">
        <f>IF(C566&lt;=30,5,IF(C566&lt;=60,4,IF(C566&lt;=120,3,IF(C566&lt;=200,2,1))))</f>
        <v/>
      </c>
      <c r="G566" s="128">
        <f>IF(D566&gt;=20,5,IF(D566&gt;=10,4,IF(D566&gt;=5,3,IF(D566&gt;=2,2,1))))</f>
        <v/>
      </c>
      <c r="H566" s="128">
        <f>IF(E566&gt;=5000,5,IF(E566&gt;=2000,4,IF(E566&gt;=800,3,IF(E566&gt;=300,2,1))))</f>
        <v/>
      </c>
      <c r="I566" s="126">
        <f>TEXT(F566,"0")&amp;TEXT(G566,"0")&amp;TEXT(H566,"0")</f>
        <v/>
      </c>
      <c r="J566" s="126">
        <f>IFERROR(XLOOKUP(I566,'Segment Map'!A:A,'Segment Map'!B:B,"Need Attention"),"Need Attention")</f>
        <v/>
      </c>
      <c r="K566" s="126">
        <f>IF(E566&gt;=5000,"🏆 Platinum",IF(E566&gt;=2000,"🥇 Gold",IF(E566&gt;=800,"🥈 Silver","🥉 Bronze")))</f>
        <v/>
      </c>
      <c r="L566" s="129" t="n">
        <v>40878</v>
      </c>
    </row>
    <row r="567">
      <c r="A567" s="122" t="n">
        <v>13091</v>
      </c>
      <c r="B567" s="122" t="inlineStr">
        <is>
          <t>United Kingdom</t>
        </is>
      </c>
      <c r="C567" s="122" t="n">
        <v>29</v>
      </c>
      <c r="D567" s="122" t="n">
        <v>1</v>
      </c>
      <c r="E567" s="123" t="n">
        <v>345.82</v>
      </c>
      <c r="F567" s="124">
        <f>IF(C567&lt;=30,5,IF(C567&lt;=60,4,IF(C567&lt;=120,3,IF(C567&lt;=200,2,1))))</f>
        <v/>
      </c>
      <c r="G567" s="124">
        <f>IF(D567&gt;=20,5,IF(D567&gt;=10,4,IF(D567&gt;=5,3,IF(D567&gt;=2,2,1))))</f>
        <v/>
      </c>
      <c r="H567" s="124">
        <f>IF(E567&gt;=5000,5,IF(E567&gt;=2000,4,IF(E567&gt;=800,3,IF(E567&gt;=300,2,1))))</f>
        <v/>
      </c>
      <c r="I567" s="122">
        <f>TEXT(F567,"0")&amp;TEXT(G567,"0")&amp;TEXT(H567,"0")</f>
        <v/>
      </c>
      <c r="J567" s="122">
        <f>IFERROR(XLOOKUP(I567,'Segment Map'!A:A,'Segment Map'!B:B,"Need Attention"),"Need Attention")</f>
        <v/>
      </c>
      <c r="K567" s="122">
        <f>IF(E567&gt;=5000,"🏆 Platinum",IF(E567&gt;=2000,"🥇 Gold",IF(E567&gt;=800,"🥈 Silver","🥉 Bronze")))</f>
        <v/>
      </c>
      <c r="L567" s="125" t="n">
        <v>40858</v>
      </c>
    </row>
    <row r="568">
      <c r="A568" s="126" t="n">
        <v>13092</v>
      </c>
      <c r="B568" s="126" t="inlineStr">
        <is>
          <t>United Kingdom</t>
        </is>
      </c>
      <c r="C568" s="126" t="n">
        <v>71</v>
      </c>
      <c r="D568" s="126" t="n">
        <v>5</v>
      </c>
      <c r="E568" s="127" t="n">
        <v>477.83</v>
      </c>
      <c r="F568" s="128">
        <f>IF(C568&lt;=30,5,IF(C568&lt;=60,4,IF(C568&lt;=120,3,IF(C568&lt;=200,2,1))))</f>
        <v/>
      </c>
      <c r="G568" s="128">
        <f>IF(D568&gt;=20,5,IF(D568&gt;=10,4,IF(D568&gt;=5,3,IF(D568&gt;=2,2,1))))</f>
        <v/>
      </c>
      <c r="H568" s="128">
        <f>IF(E568&gt;=5000,5,IF(E568&gt;=2000,4,IF(E568&gt;=800,3,IF(E568&gt;=300,2,1))))</f>
        <v/>
      </c>
      <c r="I568" s="126">
        <f>TEXT(F568,"0")&amp;TEXT(G568,"0")&amp;TEXT(H568,"0")</f>
        <v/>
      </c>
      <c r="J568" s="126">
        <f>IFERROR(XLOOKUP(I568,'Segment Map'!A:A,'Segment Map'!B:B,"Need Attention"),"Need Attention")</f>
        <v/>
      </c>
      <c r="K568" s="126">
        <f>IF(E568&gt;=5000,"🏆 Platinum",IF(E568&gt;=2000,"🥇 Gold",IF(E568&gt;=800,"🥈 Silver","🥉 Bronze")))</f>
        <v/>
      </c>
      <c r="L568" s="129" t="n">
        <v>40816</v>
      </c>
    </row>
    <row r="569">
      <c r="A569" s="122" t="n">
        <v>13093</v>
      </c>
      <c r="B569" s="122" t="inlineStr">
        <is>
          <t>United Kingdom</t>
        </is>
      </c>
      <c r="C569" s="122" t="n">
        <v>276</v>
      </c>
      <c r="D569" s="122" t="n">
        <v>8</v>
      </c>
      <c r="E569" s="123" t="n">
        <v>7832.47</v>
      </c>
      <c r="F569" s="124">
        <f>IF(C569&lt;=30,5,IF(C569&lt;=60,4,IF(C569&lt;=120,3,IF(C569&lt;=200,2,1))))</f>
        <v/>
      </c>
      <c r="G569" s="124">
        <f>IF(D569&gt;=20,5,IF(D569&gt;=10,4,IF(D569&gt;=5,3,IF(D569&gt;=2,2,1))))</f>
        <v/>
      </c>
      <c r="H569" s="124">
        <f>IF(E569&gt;=5000,5,IF(E569&gt;=2000,4,IF(E569&gt;=800,3,IF(E569&gt;=300,2,1))))</f>
        <v/>
      </c>
      <c r="I569" s="122">
        <f>TEXT(F569,"0")&amp;TEXT(G569,"0")&amp;TEXT(H569,"0")</f>
        <v/>
      </c>
      <c r="J569" s="122">
        <f>IFERROR(XLOOKUP(I569,'Segment Map'!A:A,'Segment Map'!B:B,"Need Attention"),"Need Attention")</f>
        <v/>
      </c>
      <c r="K569" s="122">
        <f>IF(E569&gt;=5000,"🏆 Platinum",IF(E569&gt;=2000,"🥇 Gold",IF(E569&gt;=800,"🥈 Silver","🥉 Bronze")))</f>
        <v/>
      </c>
      <c r="L569" s="125" t="n">
        <v>40611</v>
      </c>
    </row>
    <row r="570">
      <c r="A570" s="126" t="n">
        <v>13094</v>
      </c>
      <c r="B570" s="126" t="inlineStr">
        <is>
          <t>United Kingdom</t>
        </is>
      </c>
      <c r="C570" s="126" t="n">
        <v>22</v>
      </c>
      <c r="D570" s="126" t="n">
        <v>12</v>
      </c>
      <c r="E570" s="127" t="n">
        <v>1927.32</v>
      </c>
      <c r="F570" s="128">
        <f>IF(C570&lt;=30,5,IF(C570&lt;=60,4,IF(C570&lt;=120,3,IF(C570&lt;=200,2,1))))</f>
        <v/>
      </c>
      <c r="G570" s="128">
        <f>IF(D570&gt;=20,5,IF(D570&gt;=10,4,IF(D570&gt;=5,3,IF(D570&gt;=2,2,1))))</f>
        <v/>
      </c>
      <c r="H570" s="128">
        <f>IF(E570&gt;=5000,5,IF(E570&gt;=2000,4,IF(E570&gt;=800,3,IF(E570&gt;=300,2,1))))</f>
        <v/>
      </c>
      <c r="I570" s="126">
        <f>TEXT(F570,"0")&amp;TEXT(G570,"0")&amp;TEXT(H570,"0")</f>
        <v/>
      </c>
      <c r="J570" s="126">
        <f>IFERROR(XLOOKUP(I570,'Segment Map'!A:A,'Segment Map'!B:B,"Need Attention"),"Need Attention")</f>
        <v/>
      </c>
      <c r="K570" s="126">
        <f>IF(E570&gt;=5000,"🏆 Platinum",IF(E570&gt;=2000,"🥇 Gold",IF(E570&gt;=800,"🥈 Silver","🥉 Bronze")))</f>
        <v/>
      </c>
      <c r="L570" s="129" t="n">
        <v>40865</v>
      </c>
    </row>
    <row r="571">
      <c r="A571" s="122" t="n">
        <v>13095</v>
      </c>
      <c r="B571" s="122" t="inlineStr">
        <is>
          <t>United Kingdom</t>
        </is>
      </c>
      <c r="C571" s="122" t="n">
        <v>71</v>
      </c>
      <c r="D571" s="122" t="n">
        <v>1</v>
      </c>
      <c r="E571" s="123" t="n">
        <v>74.40000000000001</v>
      </c>
      <c r="F571" s="124">
        <f>IF(C571&lt;=30,5,IF(C571&lt;=60,4,IF(C571&lt;=120,3,IF(C571&lt;=200,2,1))))</f>
        <v/>
      </c>
      <c r="G571" s="124">
        <f>IF(D571&gt;=20,5,IF(D571&gt;=10,4,IF(D571&gt;=5,3,IF(D571&gt;=2,2,1))))</f>
        <v/>
      </c>
      <c r="H571" s="124">
        <f>IF(E571&gt;=5000,5,IF(E571&gt;=2000,4,IF(E571&gt;=800,3,IF(E571&gt;=300,2,1))))</f>
        <v/>
      </c>
      <c r="I571" s="122">
        <f>TEXT(F571,"0")&amp;TEXT(G571,"0")&amp;TEXT(H571,"0")</f>
        <v/>
      </c>
      <c r="J571" s="122">
        <f>IFERROR(XLOOKUP(I571,'Segment Map'!A:A,'Segment Map'!B:B,"Need Attention"),"Need Attention")</f>
        <v/>
      </c>
      <c r="K571" s="122">
        <f>IF(E571&gt;=5000,"🏆 Platinum",IF(E571&gt;=2000,"🥇 Gold",IF(E571&gt;=800,"🥈 Silver","🥉 Bronze")))</f>
        <v/>
      </c>
      <c r="L571" s="125" t="n">
        <v>40816</v>
      </c>
    </row>
    <row r="572">
      <c r="A572" s="126" t="n">
        <v>13097</v>
      </c>
      <c r="B572" s="126" t="inlineStr">
        <is>
          <t>United Kingdom</t>
        </is>
      </c>
      <c r="C572" s="126" t="n">
        <v>33</v>
      </c>
      <c r="D572" s="126" t="n">
        <v>10</v>
      </c>
      <c r="E572" s="127" t="n">
        <v>6010.42</v>
      </c>
      <c r="F572" s="128">
        <f>IF(C572&lt;=30,5,IF(C572&lt;=60,4,IF(C572&lt;=120,3,IF(C572&lt;=200,2,1))))</f>
        <v/>
      </c>
      <c r="G572" s="128">
        <f>IF(D572&gt;=20,5,IF(D572&gt;=10,4,IF(D572&gt;=5,3,IF(D572&gt;=2,2,1))))</f>
        <v/>
      </c>
      <c r="H572" s="128">
        <f>IF(E572&gt;=5000,5,IF(E572&gt;=2000,4,IF(E572&gt;=800,3,IF(E572&gt;=300,2,1))))</f>
        <v/>
      </c>
      <c r="I572" s="126">
        <f>TEXT(F572,"0")&amp;TEXT(G572,"0")&amp;TEXT(H572,"0")</f>
        <v/>
      </c>
      <c r="J572" s="126">
        <f>IFERROR(XLOOKUP(I572,'Segment Map'!A:A,'Segment Map'!B:B,"Need Attention"),"Need Attention")</f>
        <v/>
      </c>
      <c r="K572" s="126">
        <f>IF(E572&gt;=5000,"🏆 Platinum",IF(E572&gt;=2000,"🥇 Gold",IF(E572&gt;=800,"🥈 Silver","🥉 Bronze")))</f>
        <v/>
      </c>
      <c r="L572" s="129" t="n">
        <v>40854</v>
      </c>
    </row>
    <row r="573">
      <c r="A573" s="122" t="n">
        <v>13098</v>
      </c>
      <c r="B573" s="122" t="inlineStr">
        <is>
          <t>United Kingdom</t>
        </is>
      </c>
      <c r="C573" s="122" t="n">
        <v>2</v>
      </c>
      <c r="D573" s="122" t="n">
        <v>28</v>
      </c>
      <c r="E573" s="123" t="n">
        <v>28882.44</v>
      </c>
      <c r="F573" s="124">
        <f>IF(C573&lt;=30,5,IF(C573&lt;=60,4,IF(C573&lt;=120,3,IF(C573&lt;=200,2,1))))</f>
        <v/>
      </c>
      <c r="G573" s="124">
        <f>IF(D573&gt;=20,5,IF(D573&gt;=10,4,IF(D573&gt;=5,3,IF(D573&gt;=2,2,1))))</f>
        <v/>
      </c>
      <c r="H573" s="124">
        <f>IF(E573&gt;=5000,5,IF(E573&gt;=2000,4,IF(E573&gt;=800,3,IF(E573&gt;=300,2,1))))</f>
        <v/>
      </c>
      <c r="I573" s="122">
        <f>TEXT(F573,"0")&amp;TEXT(G573,"0")&amp;TEXT(H573,"0")</f>
        <v/>
      </c>
      <c r="J573" s="122">
        <f>IFERROR(XLOOKUP(I573,'Segment Map'!A:A,'Segment Map'!B:B,"Need Attention"),"Need Attention")</f>
        <v/>
      </c>
      <c r="K573" s="122">
        <f>IF(E573&gt;=5000,"🏆 Platinum",IF(E573&gt;=2000,"🥇 Gold",IF(E573&gt;=800,"🥈 Silver","🥉 Bronze")))</f>
        <v/>
      </c>
      <c r="L573" s="125" t="n">
        <v>40885</v>
      </c>
    </row>
    <row r="574">
      <c r="A574" s="126" t="n">
        <v>13099</v>
      </c>
      <c r="B574" s="126" t="inlineStr">
        <is>
          <t>United Kingdom</t>
        </is>
      </c>
      <c r="C574" s="126" t="n">
        <v>100</v>
      </c>
      <c r="D574" s="126" t="n">
        <v>1</v>
      </c>
      <c r="E574" s="127" t="n">
        <v>207.36</v>
      </c>
      <c r="F574" s="128">
        <f>IF(C574&lt;=30,5,IF(C574&lt;=60,4,IF(C574&lt;=120,3,IF(C574&lt;=200,2,1))))</f>
        <v/>
      </c>
      <c r="G574" s="128">
        <f>IF(D574&gt;=20,5,IF(D574&gt;=10,4,IF(D574&gt;=5,3,IF(D574&gt;=2,2,1))))</f>
        <v/>
      </c>
      <c r="H574" s="128">
        <f>IF(E574&gt;=5000,5,IF(E574&gt;=2000,4,IF(E574&gt;=800,3,IF(E574&gt;=300,2,1))))</f>
        <v/>
      </c>
      <c r="I574" s="126">
        <f>TEXT(F574,"0")&amp;TEXT(G574,"0")&amp;TEXT(H574,"0")</f>
        <v/>
      </c>
      <c r="J574" s="126">
        <f>IFERROR(XLOOKUP(I574,'Segment Map'!A:A,'Segment Map'!B:B,"Need Attention"),"Need Attention")</f>
        <v/>
      </c>
      <c r="K574" s="126">
        <f>IF(E574&gt;=5000,"🏆 Platinum",IF(E574&gt;=2000,"🥇 Gold",IF(E574&gt;=800,"🥈 Silver","🥉 Bronze")))</f>
        <v/>
      </c>
      <c r="L574" s="129" t="n">
        <v>40787</v>
      </c>
    </row>
    <row r="575">
      <c r="A575" s="122" t="n">
        <v>13101</v>
      </c>
      <c r="B575" s="122" t="inlineStr">
        <is>
          <t>United Kingdom</t>
        </is>
      </c>
      <c r="C575" s="122" t="n">
        <v>235</v>
      </c>
      <c r="D575" s="122" t="n">
        <v>1</v>
      </c>
      <c r="E575" s="123" t="n">
        <v>101.19</v>
      </c>
      <c r="F575" s="124">
        <f>IF(C575&lt;=30,5,IF(C575&lt;=60,4,IF(C575&lt;=120,3,IF(C575&lt;=200,2,1))))</f>
        <v/>
      </c>
      <c r="G575" s="124">
        <f>IF(D575&gt;=20,5,IF(D575&gt;=10,4,IF(D575&gt;=5,3,IF(D575&gt;=2,2,1))))</f>
        <v/>
      </c>
      <c r="H575" s="124">
        <f>IF(E575&gt;=5000,5,IF(E575&gt;=2000,4,IF(E575&gt;=800,3,IF(E575&gt;=300,2,1))))</f>
        <v/>
      </c>
      <c r="I575" s="122">
        <f>TEXT(F575,"0")&amp;TEXT(G575,"0")&amp;TEXT(H575,"0")</f>
        <v/>
      </c>
      <c r="J575" s="122">
        <f>IFERROR(XLOOKUP(I575,'Segment Map'!A:A,'Segment Map'!B:B,"Need Attention"),"Need Attention")</f>
        <v/>
      </c>
      <c r="K575" s="122">
        <f>IF(E575&gt;=5000,"🏆 Platinum",IF(E575&gt;=2000,"🥇 Gold",IF(E575&gt;=800,"🥈 Silver","🥉 Bronze")))</f>
        <v/>
      </c>
      <c r="L575" s="125" t="n">
        <v>40652</v>
      </c>
    </row>
    <row r="576">
      <c r="A576" s="126" t="n">
        <v>13102</v>
      </c>
      <c r="B576" s="126" t="inlineStr">
        <is>
          <t>United Kingdom</t>
        </is>
      </c>
      <c r="C576" s="126" t="n">
        <v>2</v>
      </c>
      <c r="D576" s="126" t="n">
        <v>24</v>
      </c>
      <c r="E576" s="127" t="n">
        <v>6424.09</v>
      </c>
      <c r="F576" s="128">
        <f>IF(C576&lt;=30,5,IF(C576&lt;=60,4,IF(C576&lt;=120,3,IF(C576&lt;=200,2,1))))</f>
        <v/>
      </c>
      <c r="G576" s="128">
        <f>IF(D576&gt;=20,5,IF(D576&gt;=10,4,IF(D576&gt;=5,3,IF(D576&gt;=2,2,1))))</f>
        <v/>
      </c>
      <c r="H576" s="128">
        <f>IF(E576&gt;=5000,5,IF(E576&gt;=2000,4,IF(E576&gt;=800,3,IF(E576&gt;=300,2,1))))</f>
        <v/>
      </c>
      <c r="I576" s="126">
        <f>TEXT(F576,"0")&amp;TEXT(G576,"0")&amp;TEXT(H576,"0")</f>
        <v/>
      </c>
      <c r="J576" s="126">
        <f>IFERROR(XLOOKUP(I576,'Segment Map'!A:A,'Segment Map'!B:B,"Need Attention"),"Need Attention")</f>
        <v/>
      </c>
      <c r="K576" s="126">
        <f>IF(E576&gt;=5000,"🏆 Platinum",IF(E576&gt;=2000,"🥇 Gold",IF(E576&gt;=800,"🥈 Silver","🥉 Bronze")))</f>
        <v/>
      </c>
      <c r="L576" s="129" t="n">
        <v>40885</v>
      </c>
    </row>
    <row r="577">
      <c r="A577" s="122" t="n">
        <v>13103</v>
      </c>
      <c r="B577" s="122" t="inlineStr">
        <is>
          <t>United Kingdom</t>
        </is>
      </c>
      <c r="C577" s="122" t="n">
        <v>40</v>
      </c>
      <c r="D577" s="122" t="n">
        <v>1</v>
      </c>
      <c r="E577" s="123" t="n">
        <v>243.94</v>
      </c>
      <c r="F577" s="124">
        <f>IF(C577&lt;=30,5,IF(C577&lt;=60,4,IF(C577&lt;=120,3,IF(C577&lt;=200,2,1))))</f>
        <v/>
      </c>
      <c r="G577" s="124">
        <f>IF(D577&gt;=20,5,IF(D577&gt;=10,4,IF(D577&gt;=5,3,IF(D577&gt;=2,2,1))))</f>
        <v/>
      </c>
      <c r="H577" s="124">
        <f>IF(E577&gt;=5000,5,IF(E577&gt;=2000,4,IF(E577&gt;=800,3,IF(E577&gt;=300,2,1))))</f>
        <v/>
      </c>
      <c r="I577" s="122">
        <f>TEXT(F577,"0")&amp;TEXT(G577,"0")&amp;TEXT(H577,"0")</f>
        <v/>
      </c>
      <c r="J577" s="122">
        <f>IFERROR(XLOOKUP(I577,'Segment Map'!A:A,'Segment Map'!B:B,"Need Attention"),"Need Attention")</f>
        <v/>
      </c>
      <c r="K577" s="122">
        <f>IF(E577&gt;=5000,"🏆 Platinum",IF(E577&gt;=2000,"🥇 Gold",IF(E577&gt;=800,"🥈 Silver","🥉 Bronze")))</f>
        <v/>
      </c>
      <c r="L577" s="125" t="n">
        <v>40847</v>
      </c>
    </row>
    <row r="578">
      <c r="A578" s="126" t="n">
        <v>13104</v>
      </c>
      <c r="B578" s="126" t="inlineStr">
        <is>
          <t>United Kingdom</t>
        </is>
      </c>
      <c r="C578" s="126" t="n">
        <v>4</v>
      </c>
      <c r="D578" s="126" t="n">
        <v>6</v>
      </c>
      <c r="E578" s="127" t="n">
        <v>1098.48</v>
      </c>
      <c r="F578" s="128">
        <f>IF(C578&lt;=30,5,IF(C578&lt;=60,4,IF(C578&lt;=120,3,IF(C578&lt;=200,2,1))))</f>
        <v/>
      </c>
      <c r="G578" s="128">
        <f>IF(D578&gt;=20,5,IF(D578&gt;=10,4,IF(D578&gt;=5,3,IF(D578&gt;=2,2,1))))</f>
        <v/>
      </c>
      <c r="H578" s="128">
        <f>IF(E578&gt;=5000,5,IF(E578&gt;=2000,4,IF(E578&gt;=800,3,IF(E578&gt;=300,2,1))))</f>
        <v/>
      </c>
      <c r="I578" s="126">
        <f>TEXT(F578,"0")&amp;TEXT(G578,"0")&amp;TEXT(H578,"0")</f>
        <v/>
      </c>
      <c r="J578" s="126">
        <f>IFERROR(XLOOKUP(I578,'Segment Map'!A:A,'Segment Map'!B:B,"Need Attention"),"Need Attention")</f>
        <v/>
      </c>
      <c r="K578" s="126">
        <f>IF(E578&gt;=5000,"🏆 Platinum",IF(E578&gt;=2000,"🥇 Gold",IF(E578&gt;=800,"🥈 Silver","🥉 Bronze")))</f>
        <v/>
      </c>
      <c r="L578" s="129" t="n">
        <v>40883</v>
      </c>
    </row>
    <row r="579">
      <c r="A579" s="122" t="n">
        <v>13106</v>
      </c>
      <c r="B579" s="122" t="inlineStr">
        <is>
          <t>United Kingdom</t>
        </is>
      </c>
      <c r="C579" s="122" t="n">
        <v>134</v>
      </c>
      <c r="D579" s="122" t="n">
        <v>1</v>
      </c>
      <c r="E579" s="123" t="n">
        <v>76.5</v>
      </c>
      <c r="F579" s="124">
        <f>IF(C579&lt;=30,5,IF(C579&lt;=60,4,IF(C579&lt;=120,3,IF(C579&lt;=200,2,1))))</f>
        <v/>
      </c>
      <c r="G579" s="124">
        <f>IF(D579&gt;=20,5,IF(D579&gt;=10,4,IF(D579&gt;=5,3,IF(D579&gt;=2,2,1))))</f>
        <v/>
      </c>
      <c r="H579" s="124">
        <f>IF(E579&gt;=5000,5,IF(E579&gt;=2000,4,IF(E579&gt;=800,3,IF(E579&gt;=300,2,1))))</f>
        <v/>
      </c>
      <c r="I579" s="122">
        <f>TEXT(F579,"0")&amp;TEXT(G579,"0")&amp;TEXT(H579,"0")</f>
        <v/>
      </c>
      <c r="J579" s="122">
        <f>IFERROR(XLOOKUP(I579,'Segment Map'!A:A,'Segment Map'!B:B,"Need Attention"),"Need Attention")</f>
        <v/>
      </c>
      <c r="K579" s="122">
        <f>IF(E579&gt;=5000,"🏆 Platinum",IF(E579&gt;=2000,"🥇 Gold",IF(E579&gt;=800,"🥈 Silver","🥉 Bronze")))</f>
        <v/>
      </c>
      <c r="L579" s="125" t="n">
        <v>40753</v>
      </c>
    </row>
    <row r="580">
      <c r="A580" s="126" t="n">
        <v>13107</v>
      </c>
      <c r="B580" s="126" t="inlineStr">
        <is>
          <t>United Kingdom</t>
        </is>
      </c>
      <c r="C580" s="126" t="n">
        <v>45</v>
      </c>
      <c r="D580" s="126" t="n">
        <v>4</v>
      </c>
      <c r="E580" s="127" t="n">
        <v>1531.62</v>
      </c>
      <c r="F580" s="128">
        <f>IF(C580&lt;=30,5,IF(C580&lt;=60,4,IF(C580&lt;=120,3,IF(C580&lt;=200,2,1))))</f>
        <v/>
      </c>
      <c r="G580" s="128">
        <f>IF(D580&gt;=20,5,IF(D580&gt;=10,4,IF(D580&gt;=5,3,IF(D580&gt;=2,2,1))))</f>
        <v/>
      </c>
      <c r="H580" s="128">
        <f>IF(E580&gt;=5000,5,IF(E580&gt;=2000,4,IF(E580&gt;=800,3,IF(E580&gt;=300,2,1))))</f>
        <v/>
      </c>
      <c r="I580" s="126">
        <f>TEXT(F580,"0")&amp;TEXT(G580,"0")&amp;TEXT(H580,"0")</f>
        <v/>
      </c>
      <c r="J580" s="126">
        <f>IFERROR(XLOOKUP(I580,'Segment Map'!A:A,'Segment Map'!B:B,"Need Attention"),"Need Attention")</f>
        <v/>
      </c>
      <c r="K580" s="126">
        <f>IF(E580&gt;=5000,"🏆 Platinum",IF(E580&gt;=2000,"🥇 Gold",IF(E580&gt;=800,"🥈 Silver","🥉 Bronze")))</f>
        <v/>
      </c>
      <c r="L580" s="129" t="n">
        <v>40842</v>
      </c>
    </row>
    <row r="581">
      <c r="A581" s="122" t="n">
        <v>13108</v>
      </c>
      <c r="B581" s="122" t="inlineStr">
        <is>
          <t>United Kingdom</t>
        </is>
      </c>
      <c r="C581" s="122" t="n">
        <v>373</v>
      </c>
      <c r="D581" s="122" t="n">
        <v>1</v>
      </c>
      <c r="E581" s="123" t="n">
        <v>350.06</v>
      </c>
      <c r="F581" s="124">
        <f>IF(C581&lt;=30,5,IF(C581&lt;=60,4,IF(C581&lt;=120,3,IF(C581&lt;=200,2,1))))</f>
        <v/>
      </c>
      <c r="G581" s="124">
        <f>IF(D581&gt;=20,5,IF(D581&gt;=10,4,IF(D581&gt;=5,3,IF(D581&gt;=2,2,1))))</f>
        <v/>
      </c>
      <c r="H581" s="124">
        <f>IF(E581&gt;=5000,5,IF(E581&gt;=2000,4,IF(E581&gt;=800,3,IF(E581&gt;=300,2,1))))</f>
        <v/>
      </c>
      <c r="I581" s="122">
        <f>TEXT(F581,"0")&amp;TEXT(G581,"0")&amp;TEXT(H581,"0")</f>
        <v/>
      </c>
      <c r="J581" s="122">
        <f>IFERROR(XLOOKUP(I581,'Segment Map'!A:A,'Segment Map'!B:B,"Need Attention"),"Need Attention")</f>
        <v/>
      </c>
      <c r="K581" s="122">
        <f>IF(E581&gt;=5000,"🏆 Platinum",IF(E581&gt;=2000,"🥇 Gold",IF(E581&gt;=800,"🥈 Silver","🥉 Bronze")))</f>
        <v/>
      </c>
      <c r="L581" s="125" t="n">
        <v>40514</v>
      </c>
    </row>
    <row r="582">
      <c r="A582" s="126" t="n">
        <v>13109</v>
      </c>
      <c r="B582" s="126" t="inlineStr">
        <is>
          <t>United Kingdom</t>
        </is>
      </c>
      <c r="C582" s="126" t="n">
        <v>60</v>
      </c>
      <c r="D582" s="126" t="n">
        <v>2</v>
      </c>
      <c r="E582" s="127" t="n">
        <v>786.54</v>
      </c>
      <c r="F582" s="128">
        <f>IF(C582&lt;=30,5,IF(C582&lt;=60,4,IF(C582&lt;=120,3,IF(C582&lt;=200,2,1))))</f>
        <v/>
      </c>
      <c r="G582" s="128">
        <f>IF(D582&gt;=20,5,IF(D582&gt;=10,4,IF(D582&gt;=5,3,IF(D582&gt;=2,2,1))))</f>
        <v/>
      </c>
      <c r="H582" s="128">
        <f>IF(E582&gt;=5000,5,IF(E582&gt;=2000,4,IF(E582&gt;=800,3,IF(E582&gt;=300,2,1))))</f>
        <v/>
      </c>
      <c r="I582" s="126">
        <f>TEXT(F582,"0")&amp;TEXT(G582,"0")&amp;TEXT(H582,"0")</f>
        <v/>
      </c>
      <c r="J582" s="126">
        <f>IFERROR(XLOOKUP(I582,'Segment Map'!A:A,'Segment Map'!B:B,"Need Attention"),"Need Attention")</f>
        <v/>
      </c>
      <c r="K582" s="126">
        <f>IF(E582&gt;=5000,"🏆 Platinum",IF(E582&gt;=2000,"🥇 Gold",IF(E582&gt;=800,"🥈 Silver","🥉 Bronze")))</f>
        <v/>
      </c>
      <c r="L582" s="129" t="n">
        <v>40827</v>
      </c>
    </row>
    <row r="583">
      <c r="A583" s="122" t="n">
        <v>13110</v>
      </c>
      <c r="B583" s="122" t="inlineStr">
        <is>
          <t>United Kingdom</t>
        </is>
      </c>
      <c r="C583" s="122" t="n">
        <v>32</v>
      </c>
      <c r="D583" s="122" t="n">
        <v>7</v>
      </c>
      <c r="E583" s="123" t="n">
        <v>1488.67</v>
      </c>
      <c r="F583" s="124">
        <f>IF(C583&lt;=30,5,IF(C583&lt;=60,4,IF(C583&lt;=120,3,IF(C583&lt;=200,2,1))))</f>
        <v/>
      </c>
      <c r="G583" s="124">
        <f>IF(D583&gt;=20,5,IF(D583&gt;=10,4,IF(D583&gt;=5,3,IF(D583&gt;=2,2,1))))</f>
        <v/>
      </c>
      <c r="H583" s="124">
        <f>IF(E583&gt;=5000,5,IF(E583&gt;=2000,4,IF(E583&gt;=800,3,IF(E583&gt;=300,2,1))))</f>
        <v/>
      </c>
      <c r="I583" s="122">
        <f>TEXT(F583,"0")&amp;TEXT(G583,"0")&amp;TEXT(H583,"0")</f>
        <v/>
      </c>
      <c r="J583" s="122">
        <f>IFERROR(XLOOKUP(I583,'Segment Map'!A:A,'Segment Map'!B:B,"Need Attention"),"Need Attention")</f>
        <v/>
      </c>
      <c r="K583" s="122">
        <f>IF(E583&gt;=5000,"🏆 Platinum",IF(E583&gt;=2000,"🥇 Gold",IF(E583&gt;=800,"🥈 Silver","🥉 Bronze")))</f>
        <v/>
      </c>
      <c r="L583" s="125" t="n">
        <v>40855</v>
      </c>
    </row>
    <row r="584">
      <c r="A584" s="126" t="n">
        <v>13113</v>
      </c>
      <c r="B584" s="126" t="inlineStr">
        <is>
          <t>United Kingdom</t>
        </is>
      </c>
      <c r="C584" s="126" t="n">
        <v>1</v>
      </c>
      <c r="D584" s="126" t="n">
        <v>24</v>
      </c>
      <c r="E584" s="127" t="n">
        <v>12245.96</v>
      </c>
      <c r="F584" s="128">
        <f>IF(C584&lt;=30,5,IF(C584&lt;=60,4,IF(C584&lt;=120,3,IF(C584&lt;=200,2,1))))</f>
        <v/>
      </c>
      <c r="G584" s="128">
        <f>IF(D584&gt;=20,5,IF(D584&gt;=10,4,IF(D584&gt;=5,3,IF(D584&gt;=2,2,1))))</f>
        <v/>
      </c>
      <c r="H584" s="128">
        <f>IF(E584&gt;=5000,5,IF(E584&gt;=2000,4,IF(E584&gt;=800,3,IF(E584&gt;=300,2,1))))</f>
        <v/>
      </c>
      <c r="I584" s="126">
        <f>TEXT(F584,"0")&amp;TEXT(G584,"0")&amp;TEXT(H584,"0")</f>
        <v/>
      </c>
      <c r="J584" s="126">
        <f>IFERROR(XLOOKUP(I584,'Segment Map'!A:A,'Segment Map'!B:B,"Need Attention"),"Need Attention")</f>
        <v/>
      </c>
      <c r="K584" s="126">
        <f>IF(E584&gt;=5000,"🏆 Platinum",IF(E584&gt;=2000,"🥇 Gold",IF(E584&gt;=800,"🥈 Silver","🥉 Bronze")))</f>
        <v/>
      </c>
      <c r="L584" s="129" t="n">
        <v>40886</v>
      </c>
    </row>
    <row r="585">
      <c r="A585" s="122" t="n">
        <v>13115</v>
      </c>
      <c r="B585" s="122" t="inlineStr">
        <is>
          <t>United Kingdom</t>
        </is>
      </c>
      <c r="C585" s="122" t="n">
        <v>12</v>
      </c>
      <c r="D585" s="122" t="n">
        <v>4</v>
      </c>
      <c r="E585" s="123" t="n">
        <v>2294.78</v>
      </c>
      <c r="F585" s="124">
        <f>IF(C585&lt;=30,5,IF(C585&lt;=60,4,IF(C585&lt;=120,3,IF(C585&lt;=200,2,1))))</f>
        <v/>
      </c>
      <c r="G585" s="124">
        <f>IF(D585&gt;=20,5,IF(D585&gt;=10,4,IF(D585&gt;=5,3,IF(D585&gt;=2,2,1))))</f>
        <v/>
      </c>
      <c r="H585" s="124">
        <f>IF(E585&gt;=5000,5,IF(E585&gt;=2000,4,IF(E585&gt;=800,3,IF(E585&gt;=300,2,1))))</f>
        <v/>
      </c>
      <c r="I585" s="122">
        <f>TEXT(F585,"0")&amp;TEXT(G585,"0")&amp;TEXT(H585,"0")</f>
        <v/>
      </c>
      <c r="J585" s="122">
        <f>IFERROR(XLOOKUP(I585,'Segment Map'!A:A,'Segment Map'!B:B,"Need Attention"),"Need Attention")</f>
        <v/>
      </c>
      <c r="K585" s="122">
        <f>IF(E585&gt;=5000,"🏆 Platinum",IF(E585&gt;=2000,"🥇 Gold",IF(E585&gt;=800,"🥈 Silver","🥉 Bronze")))</f>
        <v/>
      </c>
      <c r="L585" s="125" t="n">
        <v>40875</v>
      </c>
    </row>
    <row r="586">
      <c r="A586" s="126" t="n">
        <v>13116</v>
      </c>
      <c r="B586" s="126" t="inlineStr">
        <is>
          <t>United Kingdom</t>
        </is>
      </c>
      <c r="C586" s="126" t="n">
        <v>139</v>
      </c>
      <c r="D586" s="126" t="n">
        <v>1</v>
      </c>
      <c r="E586" s="127" t="n">
        <v>501.14</v>
      </c>
      <c r="F586" s="128">
        <f>IF(C586&lt;=30,5,IF(C586&lt;=60,4,IF(C586&lt;=120,3,IF(C586&lt;=200,2,1))))</f>
        <v/>
      </c>
      <c r="G586" s="128">
        <f>IF(D586&gt;=20,5,IF(D586&gt;=10,4,IF(D586&gt;=5,3,IF(D586&gt;=2,2,1))))</f>
        <v/>
      </c>
      <c r="H586" s="128">
        <f>IF(E586&gt;=5000,5,IF(E586&gt;=2000,4,IF(E586&gt;=800,3,IF(E586&gt;=300,2,1))))</f>
        <v/>
      </c>
      <c r="I586" s="126">
        <f>TEXT(F586,"0")&amp;TEXT(G586,"0")&amp;TEXT(H586,"0")</f>
        <v/>
      </c>
      <c r="J586" s="126">
        <f>IFERROR(XLOOKUP(I586,'Segment Map'!A:A,'Segment Map'!B:B,"Need Attention"),"Need Attention")</f>
        <v/>
      </c>
      <c r="K586" s="126">
        <f>IF(E586&gt;=5000,"🏆 Platinum",IF(E586&gt;=2000,"🥇 Gold",IF(E586&gt;=800,"🥈 Silver","🥉 Bronze")))</f>
        <v/>
      </c>
      <c r="L586" s="129" t="n">
        <v>40748</v>
      </c>
    </row>
    <row r="587">
      <c r="A587" s="122" t="n">
        <v>13117</v>
      </c>
      <c r="B587" s="122" t="inlineStr">
        <is>
          <t>United Kingdom</t>
        </is>
      </c>
      <c r="C587" s="122" t="n">
        <v>22</v>
      </c>
      <c r="D587" s="122" t="n">
        <v>8</v>
      </c>
      <c r="E587" s="123" t="n">
        <v>984.91</v>
      </c>
      <c r="F587" s="124">
        <f>IF(C587&lt;=30,5,IF(C587&lt;=60,4,IF(C587&lt;=120,3,IF(C587&lt;=200,2,1))))</f>
        <v/>
      </c>
      <c r="G587" s="124">
        <f>IF(D587&gt;=20,5,IF(D587&gt;=10,4,IF(D587&gt;=5,3,IF(D587&gt;=2,2,1))))</f>
        <v/>
      </c>
      <c r="H587" s="124">
        <f>IF(E587&gt;=5000,5,IF(E587&gt;=2000,4,IF(E587&gt;=800,3,IF(E587&gt;=300,2,1))))</f>
        <v/>
      </c>
      <c r="I587" s="122">
        <f>TEXT(F587,"0")&amp;TEXT(G587,"0")&amp;TEXT(H587,"0")</f>
        <v/>
      </c>
      <c r="J587" s="122">
        <f>IFERROR(XLOOKUP(I587,'Segment Map'!A:A,'Segment Map'!B:B,"Need Attention"),"Need Attention")</f>
        <v/>
      </c>
      <c r="K587" s="122">
        <f>IF(E587&gt;=5000,"🏆 Platinum",IF(E587&gt;=2000,"🥇 Gold",IF(E587&gt;=800,"🥈 Silver","🥉 Bronze")))</f>
        <v/>
      </c>
      <c r="L587" s="125" t="n">
        <v>40865</v>
      </c>
    </row>
    <row r="588">
      <c r="A588" s="126" t="n">
        <v>13118</v>
      </c>
      <c r="B588" s="126" t="inlineStr">
        <is>
          <t>United Kingdom</t>
        </is>
      </c>
      <c r="C588" s="126" t="n">
        <v>20</v>
      </c>
      <c r="D588" s="126" t="n">
        <v>5</v>
      </c>
      <c r="E588" s="127" t="n">
        <v>1197.81</v>
      </c>
      <c r="F588" s="128">
        <f>IF(C588&lt;=30,5,IF(C588&lt;=60,4,IF(C588&lt;=120,3,IF(C588&lt;=200,2,1))))</f>
        <v/>
      </c>
      <c r="G588" s="128">
        <f>IF(D588&gt;=20,5,IF(D588&gt;=10,4,IF(D588&gt;=5,3,IF(D588&gt;=2,2,1))))</f>
        <v/>
      </c>
      <c r="H588" s="128">
        <f>IF(E588&gt;=5000,5,IF(E588&gt;=2000,4,IF(E588&gt;=800,3,IF(E588&gt;=300,2,1))))</f>
        <v/>
      </c>
      <c r="I588" s="126">
        <f>TEXT(F588,"0")&amp;TEXT(G588,"0")&amp;TEXT(H588,"0")</f>
        <v/>
      </c>
      <c r="J588" s="126">
        <f>IFERROR(XLOOKUP(I588,'Segment Map'!A:A,'Segment Map'!B:B,"Need Attention"),"Need Attention")</f>
        <v/>
      </c>
      <c r="K588" s="126">
        <f>IF(E588&gt;=5000,"🏆 Platinum",IF(E588&gt;=2000,"🥇 Gold",IF(E588&gt;=800,"🥈 Silver","🥉 Bronze")))</f>
        <v/>
      </c>
      <c r="L588" s="129" t="n">
        <v>40867</v>
      </c>
    </row>
    <row r="589">
      <c r="A589" s="122" t="n">
        <v>13120</v>
      </c>
      <c r="B589" s="122" t="inlineStr">
        <is>
          <t>United Kingdom</t>
        </is>
      </c>
      <c r="C589" s="122" t="n">
        <v>239</v>
      </c>
      <c r="D589" s="122" t="n">
        <v>1</v>
      </c>
      <c r="E589" s="123" t="n">
        <v>30.6</v>
      </c>
      <c r="F589" s="124">
        <f>IF(C589&lt;=30,5,IF(C589&lt;=60,4,IF(C589&lt;=120,3,IF(C589&lt;=200,2,1))))</f>
        <v/>
      </c>
      <c r="G589" s="124">
        <f>IF(D589&gt;=20,5,IF(D589&gt;=10,4,IF(D589&gt;=5,3,IF(D589&gt;=2,2,1))))</f>
        <v/>
      </c>
      <c r="H589" s="124">
        <f>IF(E589&gt;=5000,5,IF(E589&gt;=2000,4,IF(E589&gt;=800,3,IF(E589&gt;=300,2,1))))</f>
        <v/>
      </c>
      <c r="I589" s="122">
        <f>TEXT(F589,"0")&amp;TEXT(G589,"0")&amp;TEXT(H589,"0")</f>
        <v/>
      </c>
      <c r="J589" s="122">
        <f>IFERROR(XLOOKUP(I589,'Segment Map'!A:A,'Segment Map'!B:B,"Need Attention"),"Need Attention")</f>
        <v/>
      </c>
      <c r="K589" s="122">
        <f>IF(E589&gt;=5000,"🏆 Platinum",IF(E589&gt;=2000,"🥇 Gold",IF(E589&gt;=800,"🥈 Silver","🥉 Bronze")))</f>
        <v/>
      </c>
      <c r="L589" s="125" t="n">
        <v>40648</v>
      </c>
    </row>
    <row r="590">
      <c r="A590" s="126" t="n">
        <v>13121</v>
      </c>
      <c r="B590" s="126" t="inlineStr">
        <is>
          <t>United Kingdom</t>
        </is>
      </c>
      <c r="C590" s="126" t="n">
        <v>270</v>
      </c>
      <c r="D590" s="126" t="n">
        <v>1</v>
      </c>
      <c r="E590" s="127" t="n">
        <v>283.73</v>
      </c>
      <c r="F590" s="128">
        <f>IF(C590&lt;=30,5,IF(C590&lt;=60,4,IF(C590&lt;=120,3,IF(C590&lt;=200,2,1))))</f>
        <v/>
      </c>
      <c r="G590" s="128">
        <f>IF(D590&gt;=20,5,IF(D590&gt;=10,4,IF(D590&gt;=5,3,IF(D590&gt;=2,2,1))))</f>
        <v/>
      </c>
      <c r="H590" s="128">
        <f>IF(E590&gt;=5000,5,IF(E590&gt;=2000,4,IF(E590&gt;=800,3,IF(E590&gt;=300,2,1))))</f>
        <v/>
      </c>
      <c r="I590" s="126">
        <f>TEXT(F590,"0")&amp;TEXT(G590,"0")&amp;TEXT(H590,"0")</f>
        <v/>
      </c>
      <c r="J590" s="126">
        <f>IFERROR(XLOOKUP(I590,'Segment Map'!A:A,'Segment Map'!B:B,"Need Attention"),"Need Attention")</f>
        <v/>
      </c>
      <c r="K590" s="126">
        <f>IF(E590&gt;=5000,"🏆 Platinum",IF(E590&gt;=2000,"🥇 Gold",IF(E590&gt;=800,"🥈 Silver","🥉 Bronze")))</f>
        <v/>
      </c>
      <c r="L590" s="129" t="n">
        <v>40617</v>
      </c>
    </row>
    <row r="591">
      <c r="A591" s="122" t="n">
        <v>13122</v>
      </c>
      <c r="B591" s="122" t="inlineStr">
        <is>
          <t>United Kingdom</t>
        </is>
      </c>
      <c r="C591" s="122" t="n">
        <v>95</v>
      </c>
      <c r="D591" s="122" t="n">
        <v>2</v>
      </c>
      <c r="E591" s="123" t="n">
        <v>922.39</v>
      </c>
      <c r="F591" s="124">
        <f>IF(C591&lt;=30,5,IF(C591&lt;=60,4,IF(C591&lt;=120,3,IF(C591&lt;=200,2,1))))</f>
        <v/>
      </c>
      <c r="G591" s="124">
        <f>IF(D591&gt;=20,5,IF(D591&gt;=10,4,IF(D591&gt;=5,3,IF(D591&gt;=2,2,1))))</f>
        <v/>
      </c>
      <c r="H591" s="124">
        <f>IF(E591&gt;=5000,5,IF(E591&gt;=2000,4,IF(E591&gt;=800,3,IF(E591&gt;=300,2,1))))</f>
        <v/>
      </c>
      <c r="I591" s="122">
        <f>TEXT(F591,"0")&amp;TEXT(G591,"0")&amp;TEXT(H591,"0")</f>
        <v/>
      </c>
      <c r="J591" s="122">
        <f>IFERROR(XLOOKUP(I591,'Segment Map'!A:A,'Segment Map'!B:B,"Need Attention"),"Need Attention")</f>
        <v/>
      </c>
      <c r="K591" s="122">
        <f>IF(E591&gt;=5000,"🏆 Platinum",IF(E591&gt;=2000,"🥇 Gold",IF(E591&gt;=800,"🥈 Silver","🥉 Bronze")))</f>
        <v/>
      </c>
      <c r="L591" s="125" t="n">
        <v>40792</v>
      </c>
    </row>
    <row r="592">
      <c r="A592" s="126" t="n">
        <v>13124</v>
      </c>
      <c r="B592" s="126" t="inlineStr">
        <is>
          <t>United Kingdom</t>
        </is>
      </c>
      <c r="C592" s="126" t="n">
        <v>90</v>
      </c>
      <c r="D592" s="126" t="n">
        <v>3</v>
      </c>
      <c r="E592" s="127" t="n">
        <v>3866.33</v>
      </c>
      <c r="F592" s="128">
        <f>IF(C592&lt;=30,5,IF(C592&lt;=60,4,IF(C592&lt;=120,3,IF(C592&lt;=200,2,1))))</f>
        <v/>
      </c>
      <c r="G592" s="128">
        <f>IF(D592&gt;=20,5,IF(D592&gt;=10,4,IF(D592&gt;=5,3,IF(D592&gt;=2,2,1))))</f>
        <v/>
      </c>
      <c r="H592" s="128">
        <f>IF(E592&gt;=5000,5,IF(E592&gt;=2000,4,IF(E592&gt;=800,3,IF(E592&gt;=300,2,1))))</f>
        <v/>
      </c>
      <c r="I592" s="126">
        <f>TEXT(F592,"0")&amp;TEXT(G592,"0")&amp;TEXT(H592,"0")</f>
        <v/>
      </c>
      <c r="J592" s="126">
        <f>IFERROR(XLOOKUP(I592,'Segment Map'!A:A,'Segment Map'!B:B,"Need Attention"),"Need Attention")</f>
        <v/>
      </c>
      <c r="K592" s="126">
        <f>IF(E592&gt;=5000,"🏆 Platinum",IF(E592&gt;=2000,"🥇 Gold",IF(E592&gt;=800,"🥈 Silver","🥉 Bronze")))</f>
        <v/>
      </c>
      <c r="L592" s="129" t="n">
        <v>40797</v>
      </c>
    </row>
    <row r="593">
      <c r="A593" s="122" t="n">
        <v>13126</v>
      </c>
      <c r="B593" s="122" t="inlineStr">
        <is>
          <t>United Kingdom</t>
        </is>
      </c>
      <c r="C593" s="122" t="n">
        <v>5</v>
      </c>
      <c r="D593" s="122" t="n">
        <v>8</v>
      </c>
      <c r="E593" s="123" t="n">
        <v>2099.64</v>
      </c>
      <c r="F593" s="124">
        <f>IF(C593&lt;=30,5,IF(C593&lt;=60,4,IF(C593&lt;=120,3,IF(C593&lt;=200,2,1))))</f>
        <v/>
      </c>
      <c r="G593" s="124">
        <f>IF(D593&gt;=20,5,IF(D593&gt;=10,4,IF(D593&gt;=5,3,IF(D593&gt;=2,2,1))))</f>
        <v/>
      </c>
      <c r="H593" s="124">
        <f>IF(E593&gt;=5000,5,IF(E593&gt;=2000,4,IF(E593&gt;=800,3,IF(E593&gt;=300,2,1))))</f>
        <v/>
      </c>
      <c r="I593" s="122">
        <f>TEXT(F593,"0")&amp;TEXT(G593,"0")&amp;TEXT(H593,"0")</f>
        <v/>
      </c>
      <c r="J593" s="122">
        <f>IFERROR(XLOOKUP(I593,'Segment Map'!A:A,'Segment Map'!B:B,"Need Attention"),"Need Attention")</f>
        <v/>
      </c>
      <c r="K593" s="122">
        <f>IF(E593&gt;=5000,"🏆 Platinum",IF(E593&gt;=2000,"🥇 Gold",IF(E593&gt;=800,"🥈 Silver","🥉 Bronze")))</f>
        <v/>
      </c>
      <c r="L593" s="125" t="n">
        <v>40882</v>
      </c>
    </row>
    <row r="594">
      <c r="A594" s="126" t="n">
        <v>13127</v>
      </c>
      <c r="B594" s="126" t="inlineStr">
        <is>
          <t>United Kingdom</t>
        </is>
      </c>
      <c r="C594" s="126" t="n">
        <v>78</v>
      </c>
      <c r="D594" s="126" t="n">
        <v>1</v>
      </c>
      <c r="E594" s="127" t="n">
        <v>259.17</v>
      </c>
      <c r="F594" s="128">
        <f>IF(C594&lt;=30,5,IF(C594&lt;=60,4,IF(C594&lt;=120,3,IF(C594&lt;=200,2,1))))</f>
        <v/>
      </c>
      <c r="G594" s="128">
        <f>IF(D594&gt;=20,5,IF(D594&gt;=10,4,IF(D594&gt;=5,3,IF(D594&gt;=2,2,1))))</f>
        <v/>
      </c>
      <c r="H594" s="128">
        <f>IF(E594&gt;=5000,5,IF(E594&gt;=2000,4,IF(E594&gt;=800,3,IF(E594&gt;=300,2,1))))</f>
        <v/>
      </c>
      <c r="I594" s="126">
        <f>TEXT(F594,"0")&amp;TEXT(G594,"0")&amp;TEXT(H594,"0")</f>
        <v/>
      </c>
      <c r="J594" s="126">
        <f>IFERROR(XLOOKUP(I594,'Segment Map'!A:A,'Segment Map'!B:B,"Need Attention"),"Need Attention")</f>
        <v/>
      </c>
      <c r="K594" s="126">
        <f>IF(E594&gt;=5000,"🏆 Platinum",IF(E594&gt;=2000,"🥇 Gold",IF(E594&gt;=800,"🥈 Silver","🥉 Bronze")))</f>
        <v/>
      </c>
      <c r="L594" s="129" t="n">
        <v>40809</v>
      </c>
    </row>
    <row r="595">
      <c r="A595" s="122" t="n">
        <v>13130</v>
      </c>
      <c r="B595" s="122" t="inlineStr">
        <is>
          <t>United Kingdom</t>
        </is>
      </c>
      <c r="C595" s="122" t="n">
        <v>95</v>
      </c>
      <c r="D595" s="122" t="n">
        <v>1</v>
      </c>
      <c r="E595" s="123" t="n">
        <v>64</v>
      </c>
      <c r="F595" s="124">
        <f>IF(C595&lt;=30,5,IF(C595&lt;=60,4,IF(C595&lt;=120,3,IF(C595&lt;=200,2,1))))</f>
        <v/>
      </c>
      <c r="G595" s="124">
        <f>IF(D595&gt;=20,5,IF(D595&gt;=10,4,IF(D595&gt;=5,3,IF(D595&gt;=2,2,1))))</f>
        <v/>
      </c>
      <c r="H595" s="124">
        <f>IF(E595&gt;=5000,5,IF(E595&gt;=2000,4,IF(E595&gt;=800,3,IF(E595&gt;=300,2,1))))</f>
        <v/>
      </c>
      <c r="I595" s="122">
        <f>TEXT(F595,"0")&amp;TEXT(G595,"0")&amp;TEXT(H595,"0")</f>
        <v/>
      </c>
      <c r="J595" s="122">
        <f>IFERROR(XLOOKUP(I595,'Segment Map'!A:A,'Segment Map'!B:B,"Need Attention"),"Need Attention")</f>
        <v/>
      </c>
      <c r="K595" s="122">
        <f>IF(E595&gt;=5000,"🏆 Platinum",IF(E595&gt;=2000,"🥇 Gold",IF(E595&gt;=800,"🥈 Silver","🥉 Bronze")))</f>
        <v/>
      </c>
      <c r="L595" s="125" t="n">
        <v>40792</v>
      </c>
    </row>
    <row r="596">
      <c r="A596" s="126" t="n">
        <v>13131</v>
      </c>
      <c r="B596" s="126" t="inlineStr">
        <is>
          <t>United Kingdom</t>
        </is>
      </c>
      <c r="C596" s="126" t="n">
        <v>24</v>
      </c>
      <c r="D596" s="126" t="n">
        <v>3</v>
      </c>
      <c r="E596" s="127" t="n">
        <v>1073.3</v>
      </c>
      <c r="F596" s="128">
        <f>IF(C596&lt;=30,5,IF(C596&lt;=60,4,IF(C596&lt;=120,3,IF(C596&lt;=200,2,1))))</f>
        <v/>
      </c>
      <c r="G596" s="128">
        <f>IF(D596&gt;=20,5,IF(D596&gt;=10,4,IF(D596&gt;=5,3,IF(D596&gt;=2,2,1))))</f>
        <v/>
      </c>
      <c r="H596" s="128">
        <f>IF(E596&gt;=5000,5,IF(E596&gt;=2000,4,IF(E596&gt;=800,3,IF(E596&gt;=300,2,1))))</f>
        <v/>
      </c>
      <c r="I596" s="126">
        <f>TEXT(F596,"0")&amp;TEXT(G596,"0")&amp;TEXT(H596,"0")</f>
        <v/>
      </c>
      <c r="J596" s="126">
        <f>IFERROR(XLOOKUP(I596,'Segment Map'!A:A,'Segment Map'!B:B,"Need Attention"),"Need Attention")</f>
        <v/>
      </c>
      <c r="K596" s="126">
        <f>IF(E596&gt;=5000,"🏆 Platinum",IF(E596&gt;=2000,"🥇 Gold",IF(E596&gt;=800,"🥈 Silver","🥉 Bronze")))</f>
        <v/>
      </c>
      <c r="L596" s="129" t="n">
        <v>40863</v>
      </c>
    </row>
    <row r="597">
      <c r="A597" s="122" t="n">
        <v>13132</v>
      </c>
      <c r="B597" s="122" t="inlineStr">
        <is>
          <t>United Kingdom</t>
        </is>
      </c>
      <c r="C597" s="122" t="n">
        <v>262</v>
      </c>
      <c r="D597" s="122" t="n">
        <v>1</v>
      </c>
      <c r="E597" s="123" t="n">
        <v>77.3</v>
      </c>
      <c r="F597" s="124">
        <f>IF(C597&lt;=30,5,IF(C597&lt;=60,4,IF(C597&lt;=120,3,IF(C597&lt;=200,2,1))))</f>
        <v/>
      </c>
      <c r="G597" s="124">
        <f>IF(D597&gt;=20,5,IF(D597&gt;=10,4,IF(D597&gt;=5,3,IF(D597&gt;=2,2,1))))</f>
        <v/>
      </c>
      <c r="H597" s="124">
        <f>IF(E597&gt;=5000,5,IF(E597&gt;=2000,4,IF(E597&gt;=800,3,IF(E597&gt;=300,2,1))))</f>
        <v/>
      </c>
      <c r="I597" s="122">
        <f>TEXT(F597,"0")&amp;TEXT(G597,"0")&amp;TEXT(H597,"0")</f>
        <v/>
      </c>
      <c r="J597" s="122">
        <f>IFERROR(XLOOKUP(I597,'Segment Map'!A:A,'Segment Map'!B:B,"Need Attention"),"Need Attention")</f>
        <v/>
      </c>
      <c r="K597" s="122">
        <f>IF(E597&gt;=5000,"🏆 Platinum",IF(E597&gt;=2000,"🥇 Gold",IF(E597&gt;=800,"🥈 Silver","🥉 Bronze")))</f>
        <v/>
      </c>
      <c r="L597" s="125" t="n">
        <v>40625</v>
      </c>
    </row>
    <row r="598">
      <c r="A598" s="126" t="n">
        <v>13133</v>
      </c>
      <c r="B598" s="126" t="inlineStr">
        <is>
          <t>United Kingdom</t>
        </is>
      </c>
      <c r="C598" s="126" t="n">
        <v>274</v>
      </c>
      <c r="D598" s="126" t="n">
        <v>2</v>
      </c>
      <c r="E598" s="127" t="n">
        <v>109.8</v>
      </c>
      <c r="F598" s="128">
        <f>IF(C598&lt;=30,5,IF(C598&lt;=60,4,IF(C598&lt;=120,3,IF(C598&lt;=200,2,1))))</f>
        <v/>
      </c>
      <c r="G598" s="128">
        <f>IF(D598&gt;=20,5,IF(D598&gt;=10,4,IF(D598&gt;=5,3,IF(D598&gt;=2,2,1))))</f>
        <v/>
      </c>
      <c r="H598" s="128">
        <f>IF(E598&gt;=5000,5,IF(E598&gt;=2000,4,IF(E598&gt;=800,3,IF(E598&gt;=300,2,1))))</f>
        <v/>
      </c>
      <c r="I598" s="126">
        <f>TEXT(F598,"0")&amp;TEXT(G598,"0")&amp;TEXT(H598,"0")</f>
        <v/>
      </c>
      <c r="J598" s="126">
        <f>IFERROR(XLOOKUP(I598,'Segment Map'!A:A,'Segment Map'!B:B,"Need Attention"),"Need Attention")</f>
        <v/>
      </c>
      <c r="K598" s="126">
        <f>IF(E598&gt;=5000,"🏆 Platinum",IF(E598&gt;=2000,"🥇 Gold",IF(E598&gt;=800,"🥈 Silver","🥉 Bronze")))</f>
        <v/>
      </c>
      <c r="L598" s="129" t="n">
        <v>40613</v>
      </c>
    </row>
    <row r="599">
      <c r="A599" s="122" t="n">
        <v>13134</v>
      </c>
      <c r="B599" s="122" t="inlineStr">
        <is>
          <t>United Kingdom</t>
        </is>
      </c>
      <c r="C599" s="122" t="n">
        <v>86</v>
      </c>
      <c r="D599" s="122" t="n">
        <v>4</v>
      </c>
      <c r="E599" s="123" t="n">
        <v>1793.58</v>
      </c>
      <c r="F599" s="124">
        <f>IF(C599&lt;=30,5,IF(C599&lt;=60,4,IF(C599&lt;=120,3,IF(C599&lt;=200,2,1))))</f>
        <v/>
      </c>
      <c r="G599" s="124">
        <f>IF(D599&gt;=20,5,IF(D599&gt;=10,4,IF(D599&gt;=5,3,IF(D599&gt;=2,2,1))))</f>
        <v/>
      </c>
      <c r="H599" s="124">
        <f>IF(E599&gt;=5000,5,IF(E599&gt;=2000,4,IF(E599&gt;=800,3,IF(E599&gt;=300,2,1))))</f>
        <v/>
      </c>
      <c r="I599" s="122">
        <f>TEXT(F599,"0")&amp;TEXT(G599,"0")&amp;TEXT(H599,"0")</f>
        <v/>
      </c>
      <c r="J599" s="122">
        <f>IFERROR(XLOOKUP(I599,'Segment Map'!A:A,'Segment Map'!B:B,"Need Attention"),"Need Attention")</f>
        <v/>
      </c>
      <c r="K599" s="122">
        <f>IF(E599&gt;=5000,"🏆 Platinum",IF(E599&gt;=2000,"🥇 Gold",IF(E599&gt;=800,"🥈 Silver","🥉 Bronze")))</f>
        <v/>
      </c>
      <c r="L599" s="125" t="n">
        <v>40801</v>
      </c>
    </row>
    <row r="600">
      <c r="A600" s="126" t="n">
        <v>13135</v>
      </c>
      <c r="B600" s="126" t="inlineStr">
        <is>
          <t>United Kingdom</t>
        </is>
      </c>
      <c r="C600" s="126" t="n">
        <v>197</v>
      </c>
      <c r="D600" s="126" t="n">
        <v>1</v>
      </c>
      <c r="E600" s="127" t="n">
        <v>3096</v>
      </c>
      <c r="F600" s="128">
        <f>IF(C600&lt;=30,5,IF(C600&lt;=60,4,IF(C600&lt;=120,3,IF(C600&lt;=200,2,1))))</f>
        <v/>
      </c>
      <c r="G600" s="128">
        <f>IF(D600&gt;=20,5,IF(D600&gt;=10,4,IF(D600&gt;=5,3,IF(D600&gt;=2,2,1))))</f>
        <v/>
      </c>
      <c r="H600" s="128">
        <f>IF(E600&gt;=5000,5,IF(E600&gt;=2000,4,IF(E600&gt;=800,3,IF(E600&gt;=300,2,1))))</f>
        <v/>
      </c>
      <c r="I600" s="126">
        <f>TEXT(F600,"0")&amp;TEXT(G600,"0")&amp;TEXT(H600,"0")</f>
        <v/>
      </c>
      <c r="J600" s="126">
        <f>IFERROR(XLOOKUP(I600,'Segment Map'!A:A,'Segment Map'!B:B,"Need Attention"),"Need Attention")</f>
        <v/>
      </c>
      <c r="K600" s="126">
        <f>IF(E600&gt;=5000,"🏆 Platinum",IF(E600&gt;=2000,"🥇 Gold",IF(E600&gt;=800,"🥈 Silver","🥉 Bronze")))</f>
        <v/>
      </c>
      <c r="L600" s="129" t="n">
        <v>40690</v>
      </c>
    </row>
    <row r="601">
      <c r="A601" s="122" t="n">
        <v>13136</v>
      </c>
      <c r="B601" s="122" t="inlineStr">
        <is>
          <t>United Kingdom</t>
        </is>
      </c>
      <c r="C601" s="122" t="n">
        <v>57</v>
      </c>
      <c r="D601" s="122" t="n">
        <v>5</v>
      </c>
      <c r="E601" s="123" t="n">
        <v>2607.61</v>
      </c>
      <c r="F601" s="124">
        <f>IF(C601&lt;=30,5,IF(C601&lt;=60,4,IF(C601&lt;=120,3,IF(C601&lt;=200,2,1))))</f>
        <v/>
      </c>
      <c r="G601" s="124">
        <f>IF(D601&gt;=20,5,IF(D601&gt;=10,4,IF(D601&gt;=5,3,IF(D601&gt;=2,2,1))))</f>
        <v/>
      </c>
      <c r="H601" s="124">
        <f>IF(E601&gt;=5000,5,IF(E601&gt;=2000,4,IF(E601&gt;=800,3,IF(E601&gt;=300,2,1))))</f>
        <v/>
      </c>
      <c r="I601" s="122">
        <f>TEXT(F601,"0")&amp;TEXT(G601,"0")&amp;TEXT(H601,"0")</f>
        <v/>
      </c>
      <c r="J601" s="122">
        <f>IFERROR(XLOOKUP(I601,'Segment Map'!A:A,'Segment Map'!B:B,"Need Attention"),"Need Attention")</f>
        <v/>
      </c>
      <c r="K601" s="122">
        <f>IF(E601&gt;=5000,"🏆 Platinum",IF(E601&gt;=2000,"🥇 Gold",IF(E601&gt;=800,"🥈 Silver","🥉 Bronze")))</f>
        <v/>
      </c>
      <c r="L601" s="125" t="n">
        <v>40830</v>
      </c>
    </row>
    <row r="602">
      <c r="A602" s="126" t="n">
        <v>13137</v>
      </c>
      <c r="B602" s="126" t="inlineStr">
        <is>
          <t>United Kingdom</t>
        </is>
      </c>
      <c r="C602" s="126" t="n">
        <v>11</v>
      </c>
      <c r="D602" s="126" t="n">
        <v>8</v>
      </c>
      <c r="E602" s="127" t="n">
        <v>3650.41</v>
      </c>
      <c r="F602" s="128">
        <f>IF(C602&lt;=30,5,IF(C602&lt;=60,4,IF(C602&lt;=120,3,IF(C602&lt;=200,2,1))))</f>
        <v/>
      </c>
      <c r="G602" s="128">
        <f>IF(D602&gt;=20,5,IF(D602&gt;=10,4,IF(D602&gt;=5,3,IF(D602&gt;=2,2,1))))</f>
        <v/>
      </c>
      <c r="H602" s="128">
        <f>IF(E602&gt;=5000,5,IF(E602&gt;=2000,4,IF(E602&gt;=800,3,IF(E602&gt;=300,2,1))))</f>
        <v/>
      </c>
      <c r="I602" s="126">
        <f>TEXT(F602,"0")&amp;TEXT(G602,"0")&amp;TEXT(H602,"0")</f>
        <v/>
      </c>
      <c r="J602" s="126">
        <f>IFERROR(XLOOKUP(I602,'Segment Map'!A:A,'Segment Map'!B:B,"Need Attention"),"Need Attention")</f>
        <v/>
      </c>
      <c r="K602" s="126">
        <f>IF(E602&gt;=5000,"🏆 Platinum",IF(E602&gt;=2000,"🥇 Gold",IF(E602&gt;=800,"🥈 Silver","🥉 Bronze")))</f>
        <v/>
      </c>
      <c r="L602" s="129" t="n">
        <v>40876</v>
      </c>
    </row>
    <row r="603">
      <c r="A603" s="122" t="n">
        <v>13138</v>
      </c>
      <c r="B603" s="122" t="inlineStr">
        <is>
          <t>United Kingdom</t>
        </is>
      </c>
      <c r="C603" s="122" t="n">
        <v>23</v>
      </c>
      <c r="D603" s="122" t="n">
        <v>6</v>
      </c>
      <c r="E603" s="123" t="n">
        <v>962.39</v>
      </c>
      <c r="F603" s="124">
        <f>IF(C603&lt;=30,5,IF(C603&lt;=60,4,IF(C603&lt;=120,3,IF(C603&lt;=200,2,1))))</f>
        <v/>
      </c>
      <c r="G603" s="124">
        <f>IF(D603&gt;=20,5,IF(D603&gt;=10,4,IF(D603&gt;=5,3,IF(D603&gt;=2,2,1))))</f>
        <v/>
      </c>
      <c r="H603" s="124">
        <f>IF(E603&gt;=5000,5,IF(E603&gt;=2000,4,IF(E603&gt;=800,3,IF(E603&gt;=300,2,1))))</f>
        <v/>
      </c>
      <c r="I603" s="122">
        <f>TEXT(F603,"0")&amp;TEXT(G603,"0")&amp;TEXT(H603,"0")</f>
        <v/>
      </c>
      <c r="J603" s="122">
        <f>IFERROR(XLOOKUP(I603,'Segment Map'!A:A,'Segment Map'!B:B,"Need Attention"),"Need Attention")</f>
        <v/>
      </c>
      <c r="K603" s="122">
        <f>IF(E603&gt;=5000,"🏆 Platinum",IF(E603&gt;=2000,"🥇 Gold",IF(E603&gt;=800,"🥈 Silver","🥉 Bronze")))</f>
        <v/>
      </c>
      <c r="L603" s="125" t="n">
        <v>40864</v>
      </c>
    </row>
    <row r="604">
      <c r="A604" s="126" t="n">
        <v>13139</v>
      </c>
      <c r="B604" s="126" t="inlineStr">
        <is>
          <t>United Kingdom</t>
        </is>
      </c>
      <c r="C604" s="126" t="n">
        <v>17</v>
      </c>
      <c r="D604" s="126" t="n">
        <v>7</v>
      </c>
      <c r="E604" s="127" t="n">
        <v>5064.94</v>
      </c>
      <c r="F604" s="128">
        <f>IF(C604&lt;=30,5,IF(C604&lt;=60,4,IF(C604&lt;=120,3,IF(C604&lt;=200,2,1))))</f>
        <v/>
      </c>
      <c r="G604" s="128">
        <f>IF(D604&gt;=20,5,IF(D604&gt;=10,4,IF(D604&gt;=5,3,IF(D604&gt;=2,2,1))))</f>
        <v/>
      </c>
      <c r="H604" s="128">
        <f>IF(E604&gt;=5000,5,IF(E604&gt;=2000,4,IF(E604&gt;=800,3,IF(E604&gt;=300,2,1))))</f>
        <v/>
      </c>
      <c r="I604" s="126">
        <f>TEXT(F604,"0")&amp;TEXT(G604,"0")&amp;TEXT(H604,"0")</f>
        <v/>
      </c>
      <c r="J604" s="126">
        <f>IFERROR(XLOOKUP(I604,'Segment Map'!A:A,'Segment Map'!B:B,"Need Attention"),"Need Attention")</f>
        <v/>
      </c>
      <c r="K604" s="126">
        <f>IF(E604&gt;=5000,"🏆 Platinum",IF(E604&gt;=2000,"🥇 Gold",IF(E604&gt;=800,"🥈 Silver","🥉 Bronze")))</f>
        <v/>
      </c>
      <c r="L604" s="129" t="n">
        <v>40870</v>
      </c>
    </row>
    <row r="605">
      <c r="A605" s="122" t="n">
        <v>13140</v>
      </c>
      <c r="B605" s="122" t="inlineStr">
        <is>
          <t>United Kingdom</t>
        </is>
      </c>
      <c r="C605" s="122" t="n">
        <v>109</v>
      </c>
      <c r="D605" s="122" t="n">
        <v>3</v>
      </c>
      <c r="E605" s="123" t="n">
        <v>423.72</v>
      </c>
      <c r="F605" s="124">
        <f>IF(C605&lt;=30,5,IF(C605&lt;=60,4,IF(C605&lt;=120,3,IF(C605&lt;=200,2,1))))</f>
        <v/>
      </c>
      <c r="G605" s="124">
        <f>IF(D605&gt;=20,5,IF(D605&gt;=10,4,IF(D605&gt;=5,3,IF(D605&gt;=2,2,1))))</f>
        <v/>
      </c>
      <c r="H605" s="124">
        <f>IF(E605&gt;=5000,5,IF(E605&gt;=2000,4,IF(E605&gt;=800,3,IF(E605&gt;=300,2,1))))</f>
        <v/>
      </c>
      <c r="I605" s="122">
        <f>TEXT(F605,"0")&amp;TEXT(G605,"0")&amp;TEXT(H605,"0")</f>
        <v/>
      </c>
      <c r="J605" s="122">
        <f>IFERROR(XLOOKUP(I605,'Segment Map'!A:A,'Segment Map'!B:B,"Need Attention"),"Need Attention")</f>
        <v/>
      </c>
      <c r="K605" s="122">
        <f>IF(E605&gt;=5000,"🏆 Platinum",IF(E605&gt;=2000,"🥇 Gold",IF(E605&gt;=800,"🥈 Silver","🥉 Bronze")))</f>
        <v/>
      </c>
      <c r="L605" s="125" t="n">
        <v>40778</v>
      </c>
    </row>
    <row r="606">
      <c r="A606" s="126" t="n">
        <v>13141</v>
      </c>
      <c r="B606" s="126" t="inlineStr">
        <is>
          <t>United Kingdom</t>
        </is>
      </c>
      <c r="C606" s="126" t="n">
        <v>85</v>
      </c>
      <c r="D606" s="126" t="n">
        <v>5</v>
      </c>
      <c r="E606" s="127" t="n">
        <v>2388.75</v>
      </c>
      <c r="F606" s="128">
        <f>IF(C606&lt;=30,5,IF(C606&lt;=60,4,IF(C606&lt;=120,3,IF(C606&lt;=200,2,1))))</f>
        <v/>
      </c>
      <c r="G606" s="128">
        <f>IF(D606&gt;=20,5,IF(D606&gt;=10,4,IF(D606&gt;=5,3,IF(D606&gt;=2,2,1))))</f>
        <v/>
      </c>
      <c r="H606" s="128">
        <f>IF(E606&gt;=5000,5,IF(E606&gt;=2000,4,IF(E606&gt;=800,3,IF(E606&gt;=300,2,1))))</f>
        <v/>
      </c>
      <c r="I606" s="126">
        <f>TEXT(F606,"0")&amp;TEXT(G606,"0")&amp;TEXT(H606,"0")</f>
        <v/>
      </c>
      <c r="J606" s="126">
        <f>IFERROR(XLOOKUP(I606,'Segment Map'!A:A,'Segment Map'!B:B,"Need Attention"),"Need Attention")</f>
        <v/>
      </c>
      <c r="K606" s="126">
        <f>IF(E606&gt;=5000,"🏆 Platinum",IF(E606&gt;=2000,"🥇 Gold",IF(E606&gt;=800,"🥈 Silver","🥉 Bronze")))</f>
        <v/>
      </c>
      <c r="L606" s="129" t="n">
        <v>40802</v>
      </c>
    </row>
    <row r="607">
      <c r="A607" s="122" t="n">
        <v>13142</v>
      </c>
      <c r="B607" s="122" t="inlineStr">
        <is>
          <t>United Kingdom</t>
        </is>
      </c>
      <c r="C607" s="122" t="n">
        <v>20</v>
      </c>
      <c r="D607" s="122" t="n">
        <v>1</v>
      </c>
      <c r="E607" s="123" t="n">
        <v>307.09</v>
      </c>
      <c r="F607" s="124">
        <f>IF(C607&lt;=30,5,IF(C607&lt;=60,4,IF(C607&lt;=120,3,IF(C607&lt;=200,2,1))))</f>
        <v/>
      </c>
      <c r="G607" s="124">
        <f>IF(D607&gt;=20,5,IF(D607&gt;=10,4,IF(D607&gt;=5,3,IF(D607&gt;=2,2,1))))</f>
        <v/>
      </c>
      <c r="H607" s="124">
        <f>IF(E607&gt;=5000,5,IF(E607&gt;=2000,4,IF(E607&gt;=800,3,IF(E607&gt;=300,2,1))))</f>
        <v/>
      </c>
      <c r="I607" s="122">
        <f>TEXT(F607,"0")&amp;TEXT(G607,"0")&amp;TEXT(H607,"0")</f>
        <v/>
      </c>
      <c r="J607" s="122">
        <f>IFERROR(XLOOKUP(I607,'Segment Map'!A:A,'Segment Map'!B:B,"Need Attention"),"Need Attention")</f>
        <v/>
      </c>
      <c r="K607" s="122">
        <f>IF(E607&gt;=5000,"🏆 Platinum",IF(E607&gt;=2000,"🥇 Gold",IF(E607&gt;=800,"🥈 Silver","🥉 Bronze")))</f>
        <v/>
      </c>
      <c r="L607" s="125" t="n">
        <v>40867</v>
      </c>
    </row>
    <row r="608">
      <c r="A608" s="126" t="n">
        <v>13144</v>
      </c>
      <c r="B608" s="126" t="inlineStr">
        <is>
          <t>United Kingdom</t>
        </is>
      </c>
      <c r="C608" s="126" t="n">
        <v>333</v>
      </c>
      <c r="D608" s="126" t="n">
        <v>1</v>
      </c>
      <c r="E608" s="127" t="n">
        <v>110.95</v>
      </c>
      <c r="F608" s="128">
        <f>IF(C608&lt;=30,5,IF(C608&lt;=60,4,IF(C608&lt;=120,3,IF(C608&lt;=200,2,1))))</f>
        <v/>
      </c>
      <c r="G608" s="128">
        <f>IF(D608&gt;=20,5,IF(D608&gt;=10,4,IF(D608&gt;=5,3,IF(D608&gt;=2,2,1))))</f>
        <v/>
      </c>
      <c r="H608" s="128">
        <f>IF(E608&gt;=5000,5,IF(E608&gt;=2000,4,IF(E608&gt;=800,3,IF(E608&gt;=300,2,1))))</f>
        <v/>
      </c>
      <c r="I608" s="126">
        <f>TEXT(F608,"0")&amp;TEXT(G608,"0")&amp;TEXT(H608,"0")</f>
        <v/>
      </c>
      <c r="J608" s="126">
        <f>IFERROR(XLOOKUP(I608,'Segment Map'!A:A,'Segment Map'!B:B,"Need Attention"),"Need Attention")</f>
        <v/>
      </c>
      <c r="K608" s="126">
        <f>IF(E608&gt;=5000,"🏆 Platinum",IF(E608&gt;=2000,"🥇 Gold",IF(E608&gt;=800,"🥈 Silver","🥉 Bronze")))</f>
        <v/>
      </c>
      <c r="L608" s="129" t="n">
        <v>40554</v>
      </c>
    </row>
    <row r="609">
      <c r="A609" s="122" t="n">
        <v>13145</v>
      </c>
      <c r="B609" s="122" t="inlineStr">
        <is>
          <t>United Kingdom</t>
        </is>
      </c>
      <c r="C609" s="122" t="n">
        <v>40</v>
      </c>
      <c r="D609" s="122" t="n">
        <v>4</v>
      </c>
      <c r="E609" s="123" t="n">
        <v>618.52</v>
      </c>
      <c r="F609" s="124">
        <f>IF(C609&lt;=30,5,IF(C609&lt;=60,4,IF(C609&lt;=120,3,IF(C609&lt;=200,2,1))))</f>
        <v/>
      </c>
      <c r="G609" s="124">
        <f>IF(D609&gt;=20,5,IF(D609&gt;=10,4,IF(D609&gt;=5,3,IF(D609&gt;=2,2,1))))</f>
        <v/>
      </c>
      <c r="H609" s="124">
        <f>IF(E609&gt;=5000,5,IF(E609&gt;=2000,4,IF(E609&gt;=800,3,IF(E609&gt;=300,2,1))))</f>
        <v/>
      </c>
      <c r="I609" s="122">
        <f>TEXT(F609,"0")&amp;TEXT(G609,"0")&amp;TEXT(H609,"0")</f>
        <v/>
      </c>
      <c r="J609" s="122">
        <f>IFERROR(XLOOKUP(I609,'Segment Map'!A:A,'Segment Map'!B:B,"Need Attention"),"Need Attention")</f>
        <v/>
      </c>
      <c r="K609" s="122">
        <f>IF(E609&gt;=5000,"🏆 Platinum",IF(E609&gt;=2000,"🥇 Gold",IF(E609&gt;=800,"🥈 Silver","🥉 Bronze")))</f>
        <v/>
      </c>
      <c r="L609" s="125" t="n">
        <v>40847</v>
      </c>
    </row>
    <row r="610">
      <c r="A610" s="126" t="n">
        <v>13146</v>
      </c>
      <c r="B610" s="126" t="inlineStr">
        <is>
          <t>United Kingdom</t>
        </is>
      </c>
      <c r="C610" s="126" t="n">
        <v>27</v>
      </c>
      <c r="D610" s="126" t="n">
        <v>1</v>
      </c>
      <c r="E610" s="127" t="n">
        <v>228.91</v>
      </c>
      <c r="F610" s="128">
        <f>IF(C610&lt;=30,5,IF(C610&lt;=60,4,IF(C610&lt;=120,3,IF(C610&lt;=200,2,1))))</f>
        <v/>
      </c>
      <c r="G610" s="128">
        <f>IF(D610&gt;=20,5,IF(D610&gt;=10,4,IF(D610&gt;=5,3,IF(D610&gt;=2,2,1))))</f>
        <v/>
      </c>
      <c r="H610" s="128">
        <f>IF(E610&gt;=5000,5,IF(E610&gt;=2000,4,IF(E610&gt;=800,3,IF(E610&gt;=300,2,1))))</f>
        <v/>
      </c>
      <c r="I610" s="126">
        <f>TEXT(F610,"0")&amp;TEXT(G610,"0")&amp;TEXT(H610,"0")</f>
        <v/>
      </c>
      <c r="J610" s="126">
        <f>IFERROR(XLOOKUP(I610,'Segment Map'!A:A,'Segment Map'!B:B,"Need Attention"),"Need Attention")</f>
        <v/>
      </c>
      <c r="K610" s="126">
        <f>IF(E610&gt;=5000,"🏆 Platinum",IF(E610&gt;=2000,"🥇 Gold",IF(E610&gt;=800,"🥈 Silver","🥉 Bronze")))</f>
        <v/>
      </c>
      <c r="L610" s="129" t="n">
        <v>40860</v>
      </c>
    </row>
    <row r="611">
      <c r="A611" s="122" t="n">
        <v>13147</v>
      </c>
      <c r="B611" s="122" t="inlineStr">
        <is>
          <t>United Kingdom</t>
        </is>
      </c>
      <c r="C611" s="122" t="n">
        <v>11</v>
      </c>
      <c r="D611" s="122" t="n">
        <v>4</v>
      </c>
      <c r="E611" s="123" t="n">
        <v>712.8</v>
      </c>
      <c r="F611" s="124">
        <f>IF(C611&lt;=30,5,IF(C611&lt;=60,4,IF(C611&lt;=120,3,IF(C611&lt;=200,2,1))))</f>
        <v/>
      </c>
      <c r="G611" s="124">
        <f>IF(D611&gt;=20,5,IF(D611&gt;=10,4,IF(D611&gt;=5,3,IF(D611&gt;=2,2,1))))</f>
        <v/>
      </c>
      <c r="H611" s="124">
        <f>IF(E611&gt;=5000,5,IF(E611&gt;=2000,4,IF(E611&gt;=800,3,IF(E611&gt;=300,2,1))))</f>
        <v/>
      </c>
      <c r="I611" s="122">
        <f>TEXT(F611,"0")&amp;TEXT(G611,"0")&amp;TEXT(H611,"0")</f>
        <v/>
      </c>
      <c r="J611" s="122">
        <f>IFERROR(XLOOKUP(I611,'Segment Map'!A:A,'Segment Map'!B:B,"Need Attention"),"Need Attention")</f>
        <v/>
      </c>
      <c r="K611" s="122">
        <f>IF(E611&gt;=5000,"🏆 Platinum",IF(E611&gt;=2000,"🥇 Gold",IF(E611&gt;=800,"🥈 Silver","🥉 Bronze")))</f>
        <v/>
      </c>
      <c r="L611" s="125" t="n">
        <v>40876</v>
      </c>
    </row>
    <row r="612">
      <c r="A612" s="126" t="n">
        <v>13148</v>
      </c>
      <c r="B612" s="126" t="inlineStr">
        <is>
          <t>United Kingdom</t>
        </is>
      </c>
      <c r="C612" s="126" t="n">
        <v>30</v>
      </c>
      <c r="D612" s="126" t="n">
        <v>12</v>
      </c>
      <c r="E612" s="127" t="n">
        <v>3707.12</v>
      </c>
      <c r="F612" s="128">
        <f>IF(C612&lt;=30,5,IF(C612&lt;=60,4,IF(C612&lt;=120,3,IF(C612&lt;=200,2,1))))</f>
        <v/>
      </c>
      <c r="G612" s="128">
        <f>IF(D612&gt;=20,5,IF(D612&gt;=10,4,IF(D612&gt;=5,3,IF(D612&gt;=2,2,1))))</f>
        <v/>
      </c>
      <c r="H612" s="128">
        <f>IF(E612&gt;=5000,5,IF(E612&gt;=2000,4,IF(E612&gt;=800,3,IF(E612&gt;=300,2,1))))</f>
        <v/>
      </c>
      <c r="I612" s="126">
        <f>TEXT(F612,"0")&amp;TEXT(G612,"0")&amp;TEXT(H612,"0")</f>
        <v/>
      </c>
      <c r="J612" s="126">
        <f>IFERROR(XLOOKUP(I612,'Segment Map'!A:A,'Segment Map'!B:B,"Need Attention"),"Need Attention")</f>
        <v/>
      </c>
      <c r="K612" s="126">
        <f>IF(E612&gt;=5000,"🏆 Platinum",IF(E612&gt;=2000,"🥇 Gold",IF(E612&gt;=800,"🥈 Silver","🥉 Bronze")))</f>
        <v/>
      </c>
      <c r="L612" s="129" t="n">
        <v>40857</v>
      </c>
    </row>
    <row r="613">
      <c r="A613" s="122" t="n">
        <v>13149</v>
      </c>
      <c r="B613" s="122" t="inlineStr">
        <is>
          <t>United Kingdom</t>
        </is>
      </c>
      <c r="C613" s="122" t="n">
        <v>15</v>
      </c>
      <c r="D613" s="122" t="n">
        <v>4</v>
      </c>
      <c r="E613" s="123" t="n">
        <v>1676.06</v>
      </c>
      <c r="F613" s="124">
        <f>IF(C613&lt;=30,5,IF(C613&lt;=60,4,IF(C613&lt;=120,3,IF(C613&lt;=200,2,1))))</f>
        <v/>
      </c>
      <c r="G613" s="124">
        <f>IF(D613&gt;=20,5,IF(D613&gt;=10,4,IF(D613&gt;=5,3,IF(D613&gt;=2,2,1))))</f>
        <v/>
      </c>
      <c r="H613" s="124">
        <f>IF(E613&gt;=5000,5,IF(E613&gt;=2000,4,IF(E613&gt;=800,3,IF(E613&gt;=300,2,1))))</f>
        <v/>
      </c>
      <c r="I613" s="122">
        <f>TEXT(F613,"0")&amp;TEXT(G613,"0")&amp;TEXT(H613,"0")</f>
        <v/>
      </c>
      <c r="J613" s="122">
        <f>IFERROR(XLOOKUP(I613,'Segment Map'!A:A,'Segment Map'!B:B,"Need Attention"),"Need Attention")</f>
        <v/>
      </c>
      <c r="K613" s="122">
        <f>IF(E613&gt;=5000,"🏆 Platinum",IF(E613&gt;=2000,"🥇 Gold",IF(E613&gt;=800,"🥈 Silver","🥉 Bronze")))</f>
        <v/>
      </c>
      <c r="L613" s="125" t="n">
        <v>40872</v>
      </c>
    </row>
    <row r="614">
      <c r="A614" s="126" t="n">
        <v>13151</v>
      </c>
      <c r="B614" s="126" t="inlineStr">
        <is>
          <t>United Kingdom</t>
        </is>
      </c>
      <c r="C614" s="126" t="n">
        <v>296</v>
      </c>
      <c r="D614" s="126" t="n">
        <v>1</v>
      </c>
      <c r="E614" s="127" t="n">
        <v>1257.87</v>
      </c>
      <c r="F614" s="128">
        <f>IF(C614&lt;=30,5,IF(C614&lt;=60,4,IF(C614&lt;=120,3,IF(C614&lt;=200,2,1))))</f>
        <v/>
      </c>
      <c r="G614" s="128">
        <f>IF(D614&gt;=20,5,IF(D614&gt;=10,4,IF(D614&gt;=5,3,IF(D614&gt;=2,2,1))))</f>
        <v/>
      </c>
      <c r="H614" s="128">
        <f>IF(E614&gt;=5000,5,IF(E614&gt;=2000,4,IF(E614&gt;=800,3,IF(E614&gt;=300,2,1))))</f>
        <v/>
      </c>
      <c r="I614" s="126">
        <f>TEXT(F614,"0")&amp;TEXT(G614,"0")&amp;TEXT(H614,"0")</f>
        <v/>
      </c>
      <c r="J614" s="126">
        <f>IFERROR(XLOOKUP(I614,'Segment Map'!A:A,'Segment Map'!B:B,"Need Attention"),"Need Attention")</f>
        <v/>
      </c>
      <c r="K614" s="126">
        <f>IF(E614&gt;=5000,"🏆 Platinum",IF(E614&gt;=2000,"🥇 Gold",IF(E614&gt;=800,"🥈 Silver","🥉 Bronze")))</f>
        <v/>
      </c>
      <c r="L614" s="129" t="n">
        <v>40591</v>
      </c>
    </row>
    <row r="615">
      <c r="A615" s="122" t="n">
        <v>13153</v>
      </c>
      <c r="B615" s="122" t="inlineStr">
        <is>
          <t>United Kingdom</t>
        </is>
      </c>
      <c r="C615" s="122" t="n">
        <v>6</v>
      </c>
      <c r="D615" s="122" t="n">
        <v>1</v>
      </c>
      <c r="E615" s="123" t="n">
        <v>486.22</v>
      </c>
      <c r="F615" s="124">
        <f>IF(C615&lt;=30,5,IF(C615&lt;=60,4,IF(C615&lt;=120,3,IF(C615&lt;=200,2,1))))</f>
        <v/>
      </c>
      <c r="G615" s="124">
        <f>IF(D615&gt;=20,5,IF(D615&gt;=10,4,IF(D615&gt;=5,3,IF(D615&gt;=2,2,1))))</f>
        <v/>
      </c>
      <c r="H615" s="124">
        <f>IF(E615&gt;=5000,5,IF(E615&gt;=2000,4,IF(E615&gt;=800,3,IF(E615&gt;=300,2,1))))</f>
        <v/>
      </c>
      <c r="I615" s="122">
        <f>TEXT(F615,"0")&amp;TEXT(G615,"0")&amp;TEXT(H615,"0")</f>
        <v/>
      </c>
      <c r="J615" s="122">
        <f>IFERROR(XLOOKUP(I615,'Segment Map'!A:A,'Segment Map'!B:B,"Need Attention"),"Need Attention")</f>
        <v/>
      </c>
      <c r="K615" s="122">
        <f>IF(E615&gt;=5000,"🏆 Platinum",IF(E615&gt;=2000,"🥇 Gold",IF(E615&gt;=800,"🥈 Silver","🥉 Bronze")))</f>
        <v/>
      </c>
      <c r="L615" s="125" t="n">
        <v>40881</v>
      </c>
    </row>
    <row r="616">
      <c r="A616" s="126" t="n">
        <v>13155</v>
      </c>
      <c r="B616" s="126" t="inlineStr">
        <is>
          <t>United Kingdom</t>
        </is>
      </c>
      <c r="C616" s="126" t="n">
        <v>34</v>
      </c>
      <c r="D616" s="126" t="n">
        <v>4</v>
      </c>
      <c r="E616" s="127" t="n">
        <v>971.76</v>
      </c>
      <c r="F616" s="128">
        <f>IF(C616&lt;=30,5,IF(C616&lt;=60,4,IF(C616&lt;=120,3,IF(C616&lt;=200,2,1))))</f>
        <v/>
      </c>
      <c r="G616" s="128">
        <f>IF(D616&gt;=20,5,IF(D616&gt;=10,4,IF(D616&gt;=5,3,IF(D616&gt;=2,2,1))))</f>
        <v/>
      </c>
      <c r="H616" s="128">
        <f>IF(E616&gt;=5000,5,IF(E616&gt;=2000,4,IF(E616&gt;=800,3,IF(E616&gt;=300,2,1))))</f>
        <v/>
      </c>
      <c r="I616" s="126">
        <f>TEXT(F616,"0")&amp;TEXT(G616,"0")&amp;TEXT(H616,"0")</f>
        <v/>
      </c>
      <c r="J616" s="126">
        <f>IFERROR(XLOOKUP(I616,'Segment Map'!A:A,'Segment Map'!B:B,"Need Attention"),"Need Attention")</f>
        <v/>
      </c>
      <c r="K616" s="126">
        <f>IF(E616&gt;=5000,"🏆 Platinum",IF(E616&gt;=2000,"🥇 Gold",IF(E616&gt;=800,"🥈 Silver","🥉 Bronze")))</f>
        <v/>
      </c>
      <c r="L616" s="129" t="n">
        <v>40853</v>
      </c>
    </row>
    <row r="617">
      <c r="A617" s="122" t="n">
        <v>13157</v>
      </c>
      <c r="B617" s="122" t="inlineStr">
        <is>
          <t>United Kingdom</t>
        </is>
      </c>
      <c r="C617" s="122" t="n">
        <v>50</v>
      </c>
      <c r="D617" s="122" t="n">
        <v>4</v>
      </c>
      <c r="E617" s="123" t="n">
        <v>1741.22</v>
      </c>
      <c r="F617" s="124">
        <f>IF(C617&lt;=30,5,IF(C617&lt;=60,4,IF(C617&lt;=120,3,IF(C617&lt;=200,2,1))))</f>
        <v/>
      </c>
      <c r="G617" s="124">
        <f>IF(D617&gt;=20,5,IF(D617&gt;=10,4,IF(D617&gt;=5,3,IF(D617&gt;=2,2,1))))</f>
        <v/>
      </c>
      <c r="H617" s="124">
        <f>IF(E617&gt;=5000,5,IF(E617&gt;=2000,4,IF(E617&gt;=800,3,IF(E617&gt;=300,2,1))))</f>
        <v/>
      </c>
      <c r="I617" s="122">
        <f>TEXT(F617,"0")&amp;TEXT(G617,"0")&amp;TEXT(H617,"0")</f>
        <v/>
      </c>
      <c r="J617" s="122">
        <f>IFERROR(XLOOKUP(I617,'Segment Map'!A:A,'Segment Map'!B:B,"Need Attention"),"Need Attention")</f>
        <v/>
      </c>
      <c r="K617" s="122">
        <f>IF(E617&gt;=5000,"🏆 Platinum",IF(E617&gt;=2000,"🥇 Gold",IF(E617&gt;=800,"🥈 Silver","🥉 Bronze")))</f>
        <v/>
      </c>
      <c r="L617" s="125" t="n">
        <v>40837</v>
      </c>
    </row>
    <row r="618">
      <c r="A618" s="126" t="n">
        <v>13158</v>
      </c>
      <c r="B618" s="126" t="inlineStr">
        <is>
          <t>United Kingdom</t>
        </is>
      </c>
      <c r="C618" s="126" t="n">
        <v>95</v>
      </c>
      <c r="D618" s="126" t="n">
        <v>4</v>
      </c>
      <c r="E618" s="127" t="n">
        <v>1201.06</v>
      </c>
      <c r="F618" s="128">
        <f>IF(C618&lt;=30,5,IF(C618&lt;=60,4,IF(C618&lt;=120,3,IF(C618&lt;=200,2,1))))</f>
        <v/>
      </c>
      <c r="G618" s="128">
        <f>IF(D618&gt;=20,5,IF(D618&gt;=10,4,IF(D618&gt;=5,3,IF(D618&gt;=2,2,1))))</f>
        <v/>
      </c>
      <c r="H618" s="128">
        <f>IF(E618&gt;=5000,5,IF(E618&gt;=2000,4,IF(E618&gt;=800,3,IF(E618&gt;=300,2,1))))</f>
        <v/>
      </c>
      <c r="I618" s="126">
        <f>TEXT(F618,"0")&amp;TEXT(G618,"0")&amp;TEXT(H618,"0")</f>
        <v/>
      </c>
      <c r="J618" s="126">
        <f>IFERROR(XLOOKUP(I618,'Segment Map'!A:A,'Segment Map'!B:B,"Need Attention"),"Need Attention")</f>
        <v/>
      </c>
      <c r="K618" s="126">
        <f>IF(E618&gt;=5000,"🏆 Platinum",IF(E618&gt;=2000,"🥇 Gold",IF(E618&gt;=800,"🥈 Silver","🥉 Bronze")))</f>
        <v/>
      </c>
      <c r="L618" s="129" t="n">
        <v>40792</v>
      </c>
    </row>
    <row r="619">
      <c r="A619" s="122" t="n">
        <v>13159</v>
      </c>
      <c r="B619" s="122" t="inlineStr">
        <is>
          <t>United Kingdom</t>
        </is>
      </c>
      <c r="C619" s="122" t="n">
        <v>9</v>
      </c>
      <c r="D619" s="122" t="n">
        <v>4</v>
      </c>
      <c r="E619" s="123" t="n">
        <v>1437.85</v>
      </c>
      <c r="F619" s="124">
        <f>IF(C619&lt;=30,5,IF(C619&lt;=60,4,IF(C619&lt;=120,3,IF(C619&lt;=200,2,1))))</f>
        <v/>
      </c>
      <c r="G619" s="124">
        <f>IF(D619&gt;=20,5,IF(D619&gt;=10,4,IF(D619&gt;=5,3,IF(D619&gt;=2,2,1))))</f>
        <v/>
      </c>
      <c r="H619" s="124">
        <f>IF(E619&gt;=5000,5,IF(E619&gt;=2000,4,IF(E619&gt;=800,3,IF(E619&gt;=300,2,1))))</f>
        <v/>
      </c>
      <c r="I619" s="122">
        <f>TEXT(F619,"0")&amp;TEXT(G619,"0")&amp;TEXT(H619,"0")</f>
        <v/>
      </c>
      <c r="J619" s="122">
        <f>IFERROR(XLOOKUP(I619,'Segment Map'!A:A,'Segment Map'!B:B,"Need Attention"),"Need Attention")</f>
        <v/>
      </c>
      <c r="K619" s="122">
        <f>IF(E619&gt;=5000,"🏆 Platinum",IF(E619&gt;=2000,"🥇 Gold",IF(E619&gt;=800,"🥈 Silver","🥉 Bronze")))</f>
        <v/>
      </c>
      <c r="L619" s="125" t="n">
        <v>40878</v>
      </c>
    </row>
    <row r="620">
      <c r="A620" s="126" t="n">
        <v>13160</v>
      </c>
      <c r="B620" s="126" t="inlineStr">
        <is>
          <t>United Kingdom</t>
        </is>
      </c>
      <c r="C620" s="126" t="n">
        <v>23</v>
      </c>
      <c r="D620" s="126" t="n">
        <v>1</v>
      </c>
      <c r="E620" s="127" t="n">
        <v>91.8</v>
      </c>
      <c r="F620" s="128">
        <f>IF(C620&lt;=30,5,IF(C620&lt;=60,4,IF(C620&lt;=120,3,IF(C620&lt;=200,2,1))))</f>
        <v/>
      </c>
      <c r="G620" s="128">
        <f>IF(D620&gt;=20,5,IF(D620&gt;=10,4,IF(D620&gt;=5,3,IF(D620&gt;=2,2,1))))</f>
        <v/>
      </c>
      <c r="H620" s="128">
        <f>IF(E620&gt;=5000,5,IF(E620&gt;=2000,4,IF(E620&gt;=800,3,IF(E620&gt;=300,2,1))))</f>
        <v/>
      </c>
      <c r="I620" s="126">
        <f>TEXT(F620,"0")&amp;TEXT(G620,"0")&amp;TEXT(H620,"0")</f>
        <v/>
      </c>
      <c r="J620" s="126">
        <f>IFERROR(XLOOKUP(I620,'Segment Map'!A:A,'Segment Map'!B:B,"Need Attention"),"Need Attention")</f>
        <v/>
      </c>
      <c r="K620" s="126">
        <f>IF(E620&gt;=5000,"🏆 Platinum",IF(E620&gt;=2000,"🥇 Gold",IF(E620&gt;=800,"🥈 Silver","🥉 Bronze")))</f>
        <v/>
      </c>
      <c r="L620" s="129" t="n">
        <v>40864</v>
      </c>
    </row>
    <row r="621">
      <c r="A621" s="122" t="n">
        <v>13161</v>
      </c>
      <c r="B621" s="122" t="inlineStr">
        <is>
          <t>United Kingdom</t>
        </is>
      </c>
      <c r="C621" s="122" t="n">
        <v>314</v>
      </c>
      <c r="D621" s="122" t="n">
        <v>1</v>
      </c>
      <c r="E621" s="123" t="n">
        <v>112.75</v>
      </c>
      <c r="F621" s="124">
        <f>IF(C621&lt;=30,5,IF(C621&lt;=60,4,IF(C621&lt;=120,3,IF(C621&lt;=200,2,1))))</f>
        <v/>
      </c>
      <c r="G621" s="124">
        <f>IF(D621&gt;=20,5,IF(D621&gt;=10,4,IF(D621&gt;=5,3,IF(D621&gt;=2,2,1))))</f>
        <v/>
      </c>
      <c r="H621" s="124">
        <f>IF(E621&gt;=5000,5,IF(E621&gt;=2000,4,IF(E621&gt;=800,3,IF(E621&gt;=300,2,1))))</f>
        <v/>
      </c>
      <c r="I621" s="122">
        <f>TEXT(F621,"0")&amp;TEXT(G621,"0")&amp;TEXT(H621,"0")</f>
        <v/>
      </c>
      <c r="J621" s="122">
        <f>IFERROR(XLOOKUP(I621,'Segment Map'!A:A,'Segment Map'!B:B,"Need Attention"),"Need Attention")</f>
        <v/>
      </c>
      <c r="K621" s="122">
        <f>IF(E621&gt;=5000,"🏆 Platinum",IF(E621&gt;=2000,"🥇 Gold",IF(E621&gt;=800,"🥈 Silver","🥉 Bronze")))</f>
        <v/>
      </c>
      <c r="L621" s="125" t="n">
        <v>40573</v>
      </c>
    </row>
    <row r="622">
      <c r="A622" s="126" t="n">
        <v>13162</v>
      </c>
      <c r="B622" s="126" t="inlineStr">
        <is>
          <t>United Kingdom</t>
        </is>
      </c>
      <c r="C622" s="126" t="n">
        <v>123</v>
      </c>
      <c r="D622" s="126" t="n">
        <v>4</v>
      </c>
      <c r="E622" s="127" t="n">
        <v>1688.29</v>
      </c>
      <c r="F622" s="128">
        <f>IF(C622&lt;=30,5,IF(C622&lt;=60,4,IF(C622&lt;=120,3,IF(C622&lt;=200,2,1))))</f>
        <v/>
      </c>
      <c r="G622" s="128">
        <f>IF(D622&gt;=20,5,IF(D622&gt;=10,4,IF(D622&gt;=5,3,IF(D622&gt;=2,2,1))))</f>
        <v/>
      </c>
      <c r="H622" s="128">
        <f>IF(E622&gt;=5000,5,IF(E622&gt;=2000,4,IF(E622&gt;=800,3,IF(E622&gt;=300,2,1))))</f>
        <v/>
      </c>
      <c r="I622" s="126">
        <f>TEXT(F622,"0")&amp;TEXT(G622,"0")&amp;TEXT(H622,"0")</f>
        <v/>
      </c>
      <c r="J622" s="126">
        <f>IFERROR(XLOOKUP(I622,'Segment Map'!A:A,'Segment Map'!B:B,"Need Attention"),"Need Attention")</f>
        <v/>
      </c>
      <c r="K622" s="126">
        <f>IF(E622&gt;=5000,"🏆 Platinum",IF(E622&gt;=2000,"🥇 Gold",IF(E622&gt;=800,"🥈 Silver","🥉 Bronze")))</f>
        <v/>
      </c>
      <c r="L622" s="129" t="n">
        <v>40764</v>
      </c>
    </row>
    <row r="623">
      <c r="A623" s="122" t="n">
        <v>13165</v>
      </c>
      <c r="B623" s="122" t="inlineStr">
        <is>
          <t>United Kingdom</t>
        </is>
      </c>
      <c r="C623" s="122" t="n">
        <v>47</v>
      </c>
      <c r="D623" s="122" t="n">
        <v>2</v>
      </c>
      <c r="E623" s="123" t="n">
        <v>1021.48</v>
      </c>
      <c r="F623" s="124">
        <f>IF(C623&lt;=30,5,IF(C623&lt;=60,4,IF(C623&lt;=120,3,IF(C623&lt;=200,2,1))))</f>
        <v/>
      </c>
      <c r="G623" s="124">
        <f>IF(D623&gt;=20,5,IF(D623&gt;=10,4,IF(D623&gt;=5,3,IF(D623&gt;=2,2,1))))</f>
        <v/>
      </c>
      <c r="H623" s="124">
        <f>IF(E623&gt;=5000,5,IF(E623&gt;=2000,4,IF(E623&gt;=800,3,IF(E623&gt;=300,2,1))))</f>
        <v/>
      </c>
      <c r="I623" s="122">
        <f>TEXT(F623,"0")&amp;TEXT(G623,"0")&amp;TEXT(H623,"0")</f>
        <v/>
      </c>
      <c r="J623" s="122">
        <f>IFERROR(XLOOKUP(I623,'Segment Map'!A:A,'Segment Map'!B:B,"Need Attention"),"Need Attention")</f>
        <v/>
      </c>
      <c r="K623" s="122">
        <f>IF(E623&gt;=5000,"🏆 Platinum",IF(E623&gt;=2000,"🥇 Gold",IF(E623&gt;=800,"🥈 Silver","🥉 Bronze")))</f>
        <v/>
      </c>
      <c r="L623" s="125" t="n">
        <v>40840</v>
      </c>
    </row>
    <row r="624">
      <c r="A624" s="126" t="n">
        <v>13166</v>
      </c>
      <c r="B624" s="126" t="inlineStr">
        <is>
          <t>United Kingdom</t>
        </is>
      </c>
      <c r="C624" s="126" t="n">
        <v>284</v>
      </c>
      <c r="D624" s="126" t="n">
        <v>1</v>
      </c>
      <c r="E624" s="127" t="n">
        <v>417.2</v>
      </c>
      <c r="F624" s="128">
        <f>IF(C624&lt;=30,5,IF(C624&lt;=60,4,IF(C624&lt;=120,3,IF(C624&lt;=200,2,1))))</f>
        <v/>
      </c>
      <c r="G624" s="128">
        <f>IF(D624&gt;=20,5,IF(D624&gt;=10,4,IF(D624&gt;=5,3,IF(D624&gt;=2,2,1))))</f>
        <v/>
      </c>
      <c r="H624" s="128">
        <f>IF(E624&gt;=5000,5,IF(E624&gt;=2000,4,IF(E624&gt;=800,3,IF(E624&gt;=300,2,1))))</f>
        <v/>
      </c>
      <c r="I624" s="126">
        <f>TEXT(F624,"0")&amp;TEXT(G624,"0")&amp;TEXT(H624,"0")</f>
        <v/>
      </c>
      <c r="J624" s="126">
        <f>IFERROR(XLOOKUP(I624,'Segment Map'!A:A,'Segment Map'!B:B,"Need Attention"),"Need Attention")</f>
        <v/>
      </c>
      <c r="K624" s="126">
        <f>IF(E624&gt;=5000,"🏆 Platinum",IF(E624&gt;=2000,"🥇 Gold",IF(E624&gt;=800,"🥈 Silver","🥉 Bronze")))</f>
        <v/>
      </c>
      <c r="L624" s="129" t="n">
        <v>40603</v>
      </c>
    </row>
    <row r="625">
      <c r="A625" s="122" t="n">
        <v>13167</v>
      </c>
      <c r="B625" s="122" t="inlineStr">
        <is>
          <t>United Kingdom</t>
        </is>
      </c>
      <c r="C625" s="122" t="n">
        <v>19</v>
      </c>
      <c r="D625" s="122" t="n">
        <v>4</v>
      </c>
      <c r="E625" s="123" t="n">
        <v>791.33</v>
      </c>
      <c r="F625" s="124">
        <f>IF(C625&lt;=30,5,IF(C625&lt;=60,4,IF(C625&lt;=120,3,IF(C625&lt;=200,2,1))))</f>
        <v/>
      </c>
      <c r="G625" s="124">
        <f>IF(D625&gt;=20,5,IF(D625&gt;=10,4,IF(D625&gt;=5,3,IF(D625&gt;=2,2,1))))</f>
        <v/>
      </c>
      <c r="H625" s="124">
        <f>IF(E625&gt;=5000,5,IF(E625&gt;=2000,4,IF(E625&gt;=800,3,IF(E625&gt;=300,2,1))))</f>
        <v/>
      </c>
      <c r="I625" s="122">
        <f>TEXT(F625,"0")&amp;TEXT(G625,"0")&amp;TEXT(H625,"0")</f>
        <v/>
      </c>
      <c r="J625" s="122">
        <f>IFERROR(XLOOKUP(I625,'Segment Map'!A:A,'Segment Map'!B:B,"Need Attention"),"Need Attention")</f>
        <v/>
      </c>
      <c r="K625" s="122">
        <f>IF(E625&gt;=5000,"🏆 Platinum",IF(E625&gt;=2000,"🥇 Gold",IF(E625&gt;=800,"🥈 Silver","🥉 Bronze")))</f>
        <v/>
      </c>
      <c r="L625" s="125" t="n">
        <v>40868</v>
      </c>
    </row>
    <row r="626">
      <c r="A626" s="126" t="n">
        <v>13168</v>
      </c>
      <c r="B626" s="126" t="inlineStr">
        <is>
          <t>United Kingdom</t>
        </is>
      </c>
      <c r="C626" s="126" t="n">
        <v>37</v>
      </c>
      <c r="D626" s="126" t="n">
        <v>4</v>
      </c>
      <c r="E626" s="127" t="n">
        <v>1319.19</v>
      </c>
      <c r="F626" s="128">
        <f>IF(C626&lt;=30,5,IF(C626&lt;=60,4,IF(C626&lt;=120,3,IF(C626&lt;=200,2,1))))</f>
        <v/>
      </c>
      <c r="G626" s="128">
        <f>IF(D626&gt;=20,5,IF(D626&gt;=10,4,IF(D626&gt;=5,3,IF(D626&gt;=2,2,1))))</f>
        <v/>
      </c>
      <c r="H626" s="128">
        <f>IF(E626&gt;=5000,5,IF(E626&gt;=2000,4,IF(E626&gt;=800,3,IF(E626&gt;=300,2,1))))</f>
        <v/>
      </c>
      <c r="I626" s="126">
        <f>TEXT(F626,"0")&amp;TEXT(G626,"0")&amp;TEXT(H626,"0")</f>
        <v/>
      </c>
      <c r="J626" s="126">
        <f>IFERROR(XLOOKUP(I626,'Segment Map'!A:A,'Segment Map'!B:B,"Need Attention"),"Need Attention")</f>
        <v/>
      </c>
      <c r="K626" s="126">
        <f>IF(E626&gt;=5000,"🏆 Platinum",IF(E626&gt;=2000,"🥇 Gold",IF(E626&gt;=800,"🥈 Silver","🥉 Bronze")))</f>
        <v/>
      </c>
      <c r="L626" s="129" t="n">
        <v>40850</v>
      </c>
    </row>
    <row r="627">
      <c r="A627" s="122" t="n">
        <v>13169</v>
      </c>
      <c r="B627" s="122" t="inlineStr">
        <is>
          <t>United Kingdom</t>
        </is>
      </c>
      <c r="C627" s="122" t="n">
        <v>64</v>
      </c>
      <c r="D627" s="122" t="n">
        <v>2</v>
      </c>
      <c r="E627" s="123" t="n">
        <v>712.88</v>
      </c>
      <c r="F627" s="124">
        <f>IF(C627&lt;=30,5,IF(C627&lt;=60,4,IF(C627&lt;=120,3,IF(C627&lt;=200,2,1))))</f>
        <v/>
      </c>
      <c r="G627" s="124">
        <f>IF(D627&gt;=20,5,IF(D627&gt;=10,4,IF(D627&gt;=5,3,IF(D627&gt;=2,2,1))))</f>
        <v/>
      </c>
      <c r="H627" s="124">
        <f>IF(E627&gt;=5000,5,IF(E627&gt;=2000,4,IF(E627&gt;=800,3,IF(E627&gt;=300,2,1))))</f>
        <v/>
      </c>
      <c r="I627" s="122">
        <f>TEXT(F627,"0")&amp;TEXT(G627,"0")&amp;TEXT(H627,"0")</f>
        <v/>
      </c>
      <c r="J627" s="122">
        <f>IFERROR(XLOOKUP(I627,'Segment Map'!A:A,'Segment Map'!B:B,"Need Attention"),"Need Attention")</f>
        <v/>
      </c>
      <c r="K627" s="122">
        <f>IF(E627&gt;=5000,"🏆 Platinum",IF(E627&gt;=2000,"🥇 Gold",IF(E627&gt;=800,"🥈 Silver","🥉 Bronze")))</f>
        <v/>
      </c>
      <c r="L627" s="125" t="n">
        <v>40823</v>
      </c>
    </row>
    <row r="628">
      <c r="A628" s="126" t="n">
        <v>13170</v>
      </c>
      <c r="B628" s="126" t="inlineStr">
        <is>
          <t>United Kingdom</t>
        </is>
      </c>
      <c r="C628" s="126" t="n">
        <v>27</v>
      </c>
      <c r="D628" s="126" t="n">
        <v>1</v>
      </c>
      <c r="E628" s="127" t="n">
        <v>116.01</v>
      </c>
      <c r="F628" s="128">
        <f>IF(C628&lt;=30,5,IF(C628&lt;=60,4,IF(C628&lt;=120,3,IF(C628&lt;=200,2,1))))</f>
        <v/>
      </c>
      <c r="G628" s="128">
        <f>IF(D628&gt;=20,5,IF(D628&gt;=10,4,IF(D628&gt;=5,3,IF(D628&gt;=2,2,1))))</f>
        <v/>
      </c>
      <c r="H628" s="128">
        <f>IF(E628&gt;=5000,5,IF(E628&gt;=2000,4,IF(E628&gt;=800,3,IF(E628&gt;=300,2,1))))</f>
        <v/>
      </c>
      <c r="I628" s="126">
        <f>TEXT(F628,"0")&amp;TEXT(G628,"0")&amp;TEXT(H628,"0")</f>
        <v/>
      </c>
      <c r="J628" s="126">
        <f>IFERROR(XLOOKUP(I628,'Segment Map'!A:A,'Segment Map'!B:B,"Need Attention"),"Need Attention")</f>
        <v/>
      </c>
      <c r="K628" s="126">
        <f>IF(E628&gt;=5000,"🏆 Platinum",IF(E628&gt;=2000,"🥇 Gold",IF(E628&gt;=800,"🥈 Silver","🥉 Bronze")))</f>
        <v/>
      </c>
      <c r="L628" s="129" t="n">
        <v>40860</v>
      </c>
    </row>
    <row r="629">
      <c r="A629" s="122" t="n">
        <v>13171</v>
      </c>
      <c r="B629" s="122" t="inlineStr">
        <is>
          <t>United Kingdom</t>
        </is>
      </c>
      <c r="C629" s="122" t="n">
        <v>22</v>
      </c>
      <c r="D629" s="122" t="n">
        <v>3</v>
      </c>
      <c r="E629" s="123" t="n">
        <v>468.41</v>
      </c>
      <c r="F629" s="124">
        <f>IF(C629&lt;=30,5,IF(C629&lt;=60,4,IF(C629&lt;=120,3,IF(C629&lt;=200,2,1))))</f>
        <v/>
      </c>
      <c r="G629" s="124">
        <f>IF(D629&gt;=20,5,IF(D629&gt;=10,4,IF(D629&gt;=5,3,IF(D629&gt;=2,2,1))))</f>
        <v/>
      </c>
      <c r="H629" s="124">
        <f>IF(E629&gt;=5000,5,IF(E629&gt;=2000,4,IF(E629&gt;=800,3,IF(E629&gt;=300,2,1))))</f>
        <v/>
      </c>
      <c r="I629" s="122">
        <f>TEXT(F629,"0")&amp;TEXT(G629,"0")&amp;TEXT(H629,"0")</f>
        <v/>
      </c>
      <c r="J629" s="122">
        <f>IFERROR(XLOOKUP(I629,'Segment Map'!A:A,'Segment Map'!B:B,"Need Attention"),"Need Attention")</f>
        <v/>
      </c>
      <c r="K629" s="122">
        <f>IF(E629&gt;=5000,"🏆 Platinum",IF(E629&gt;=2000,"🥇 Gold",IF(E629&gt;=800,"🥈 Silver","🥉 Bronze")))</f>
        <v/>
      </c>
      <c r="L629" s="125" t="n">
        <v>40865</v>
      </c>
    </row>
    <row r="630">
      <c r="A630" s="126" t="n">
        <v>13173</v>
      </c>
      <c r="B630" s="126" t="inlineStr">
        <is>
          <t>United Kingdom</t>
        </is>
      </c>
      <c r="C630" s="126" t="n">
        <v>5</v>
      </c>
      <c r="D630" s="126" t="n">
        <v>2</v>
      </c>
      <c r="E630" s="127" t="n">
        <v>353.65</v>
      </c>
      <c r="F630" s="128">
        <f>IF(C630&lt;=30,5,IF(C630&lt;=60,4,IF(C630&lt;=120,3,IF(C630&lt;=200,2,1))))</f>
        <v/>
      </c>
      <c r="G630" s="128">
        <f>IF(D630&gt;=20,5,IF(D630&gt;=10,4,IF(D630&gt;=5,3,IF(D630&gt;=2,2,1))))</f>
        <v/>
      </c>
      <c r="H630" s="128">
        <f>IF(E630&gt;=5000,5,IF(E630&gt;=2000,4,IF(E630&gt;=800,3,IF(E630&gt;=300,2,1))))</f>
        <v/>
      </c>
      <c r="I630" s="126">
        <f>TEXT(F630,"0")&amp;TEXT(G630,"0")&amp;TEXT(H630,"0")</f>
        <v/>
      </c>
      <c r="J630" s="126">
        <f>IFERROR(XLOOKUP(I630,'Segment Map'!A:A,'Segment Map'!B:B,"Need Attention"),"Need Attention")</f>
        <v/>
      </c>
      <c r="K630" s="126">
        <f>IF(E630&gt;=5000,"🏆 Platinum",IF(E630&gt;=2000,"🥇 Gold",IF(E630&gt;=800,"🥈 Silver","🥉 Bronze")))</f>
        <v/>
      </c>
      <c r="L630" s="129" t="n">
        <v>40882</v>
      </c>
    </row>
    <row r="631">
      <c r="A631" s="122" t="n">
        <v>13174</v>
      </c>
      <c r="B631" s="122" t="inlineStr">
        <is>
          <t>United Kingdom</t>
        </is>
      </c>
      <c r="C631" s="122" t="n">
        <v>17</v>
      </c>
      <c r="D631" s="122" t="n">
        <v>3</v>
      </c>
      <c r="E631" s="123" t="n">
        <v>2817.03</v>
      </c>
      <c r="F631" s="124">
        <f>IF(C631&lt;=30,5,IF(C631&lt;=60,4,IF(C631&lt;=120,3,IF(C631&lt;=200,2,1))))</f>
        <v/>
      </c>
      <c r="G631" s="124">
        <f>IF(D631&gt;=20,5,IF(D631&gt;=10,4,IF(D631&gt;=5,3,IF(D631&gt;=2,2,1))))</f>
        <v/>
      </c>
      <c r="H631" s="124">
        <f>IF(E631&gt;=5000,5,IF(E631&gt;=2000,4,IF(E631&gt;=800,3,IF(E631&gt;=300,2,1))))</f>
        <v/>
      </c>
      <c r="I631" s="122">
        <f>TEXT(F631,"0")&amp;TEXT(G631,"0")&amp;TEXT(H631,"0")</f>
        <v/>
      </c>
      <c r="J631" s="122">
        <f>IFERROR(XLOOKUP(I631,'Segment Map'!A:A,'Segment Map'!B:B,"Need Attention"),"Need Attention")</f>
        <v/>
      </c>
      <c r="K631" s="122">
        <f>IF(E631&gt;=5000,"🏆 Platinum",IF(E631&gt;=2000,"🥇 Gold",IF(E631&gt;=800,"🥈 Silver","🥉 Bronze")))</f>
        <v/>
      </c>
      <c r="L631" s="125" t="n">
        <v>40870</v>
      </c>
    </row>
    <row r="632">
      <c r="A632" s="126" t="n">
        <v>13176</v>
      </c>
      <c r="B632" s="126" t="inlineStr">
        <is>
          <t>United Kingdom</t>
        </is>
      </c>
      <c r="C632" s="126" t="n">
        <v>47</v>
      </c>
      <c r="D632" s="126" t="n">
        <v>1</v>
      </c>
      <c r="E632" s="127" t="n">
        <v>492.84</v>
      </c>
      <c r="F632" s="128">
        <f>IF(C632&lt;=30,5,IF(C632&lt;=60,4,IF(C632&lt;=120,3,IF(C632&lt;=200,2,1))))</f>
        <v/>
      </c>
      <c r="G632" s="128">
        <f>IF(D632&gt;=20,5,IF(D632&gt;=10,4,IF(D632&gt;=5,3,IF(D632&gt;=2,2,1))))</f>
        <v/>
      </c>
      <c r="H632" s="128">
        <f>IF(E632&gt;=5000,5,IF(E632&gt;=2000,4,IF(E632&gt;=800,3,IF(E632&gt;=300,2,1))))</f>
        <v/>
      </c>
      <c r="I632" s="126">
        <f>TEXT(F632,"0")&amp;TEXT(G632,"0")&amp;TEXT(H632,"0")</f>
        <v/>
      </c>
      <c r="J632" s="126">
        <f>IFERROR(XLOOKUP(I632,'Segment Map'!A:A,'Segment Map'!B:B,"Need Attention"),"Need Attention")</f>
        <v/>
      </c>
      <c r="K632" s="126">
        <f>IF(E632&gt;=5000,"🏆 Platinum",IF(E632&gt;=2000,"🥇 Gold",IF(E632&gt;=800,"🥈 Silver","🥉 Bronze")))</f>
        <v/>
      </c>
      <c r="L632" s="129" t="n">
        <v>40840</v>
      </c>
    </row>
    <row r="633">
      <c r="A633" s="122" t="n">
        <v>13177</v>
      </c>
      <c r="B633" s="122" t="inlineStr">
        <is>
          <t>United Kingdom</t>
        </is>
      </c>
      <c r="C633" s="122" t="n">
        <v>65</v>
      </c>
      <c r="D633" s="122" t="n">
        <v>1</v>
      </c>
      <c r="E633" s="123" t="n">
        <v>282.45</v>
      </c>
      <c r="F633" s="124">
        <f>IF(C633&lt;=30,5,IF(C633&lt;=60,4,IF(C633&lt;=120,3,IF(C633&lt;=200,2,1))))</f>
        <v/>
      </c>
      <c r="G633" s="124">
        <f>IF(D633&gt;=20,5,IF(D633&gt;=10,4,IF(D633&gt;=5,3,IF(D633&gt;=2,2,1))))</f>
        <v/>
      </c>
      <c r="H633" s="124">
        <f>IF(E633&gt;=5000,5,IF(E633&gt;=2000,4,IF(E633&gt;=800,3,IF(E633&gt;=300,2,1))))</f>
        <v/>
      </c>
      <c r="I633" s="122">
        <f>TEXT(F633,"0")&amp;TEXT(G633,"0")&amp;TEXT(H633,"0")</f>
        <v/>
      </c>
      <c r="J633" s="122">
        <f>IFERROR(XLOOKUP(I633,'Segment Map'!A:A,'Segment Map'!B:B,"Need Attention"),"Need Attention")</f>
        <v/>
      </c>
      <c r="K633" s="122">
        <f>IF(E633&gt;=5000,"🏆 Platinum",IF(E633&gt;=2000,"🥇 Gold",IF(E633&gt;=800,"🥈 Silver","🥉 Bronze")))</f>
        <v/>
      </c>
      <c r="L633" s="125" t="n">
        <v>40822</v>
      </c>
    </row>
    <row r="634">
      <c r="A634" s="126" t="n">
        <v>13178</v>
      </c>
      <c r="B634" s="126" t="inlineStr">
        <is>
          <t>United Kingdom</t>
        </is>
      </c>
      <c r="C634" s="126" t="n">
        <v>27</v>
      </c>
      <c r="D634" s="126" t="n">
        <v>11</v>
      </c>
      <c r="E634" s="127" t="n">
        <v>5725.47</v>
      </c>
      <c r="F634" s="128">
        <f>IF(C634&lt;=30,5,IF(C634&lt;=60,4,IF(C634&lt;=120,3,IF(C634&lt;=200,2,1))))</f>
        <v/>
      </c>
      <c r="G634" s="128">
        <f>IF(D634&gt;=20,5,IF(D634&gt;=10,4,IF(D634&gt;=5,3,IF(D634&gt;=2,2,1))))</f>
        <v/>
      </c>
      <c r="H634" s="128">
        <f>IF(E634&gt;=5000,5,IF(E634&gt;=2000,4,IF(E634&gt;=800,3,IF(E634&gt;=300,2,1))))</f>
        <v/>
      </c>
      <c r="I634" s="126">
        <f>TEXT(F634,"0")&amp;TEXT(G634,"0")&amp;TEXT(H634,"0")</f>
        <v/>
      </c>
      <c r="J634" s="126">
        <f>IFERROR(XLOOKUP(I634,'Segment Map'!A:A,'Segment Map'!B:B,"Need Attention"),"Need Attention")</f>
        <v/>
      </c>
      <c r="K634" s="126">
        <f>IF(E634&gt;=5000,"🏆 Platinum",IF(E634&gt;=2000,"🥇 Gold",IF(E634&gt;=800,"🥈 Silver","🥉 Bronze")))</f>
        <v/>
      </c>
      <c r="L634" s="129" t="n">
        <v>40860</v>
      </c>
    </row>
    <row r="635">
      <c r="A635" s="122" t="n">
        <v>13182</v>
      </c>
      <c r="B635" s="122" t="inlineStr">
        <is>
          <t>United Kingdom</t>
        </is>
      </c>
      <c r="C635" s="122" t="n">
        <v>46</v>
      </c>
      <c r="D635" s="122" t="n">
        <v>1</v>
      </c>
      <c r="E635" s="123" t="n">
        <v>121.18</v>
      </c>
      <c r="F635" s="124">
        <f>IF(C635&lt;=30,5,IF(C635&lt;=60,4,IF(C635&lt;=120,3,IF(C635&lt;=200,2,1))))</f>
        <v/>
      </c>
      <c r="G635" s="124">
        <f>IF(D635&gt;=20,5,IF(D635&gt;=10,4,IF(D635&gt;=5,3,IF(D635&gt;=2,2,1))))</f>
        <v/>
      </c>
      <c r="H635" s="124">
        <f>IF(E635&gt;=5000,5,IF(E635&gt;=2000,4,IF(E635&gt;=800,3,IF(E635&gt;=300,2,1))))</f>
        <v/>
      </c>
      <c r="I635" s="122">
        <f>TEXT(F635,"0")&amp;TEXT(G635,"0")&amp;TEXT(H635,"0")</f>
        <v/>
      </c>
      <c r="J635" s="122">
        <f>IFERROR(XLOOKUP(I635,'Segment Map'!A:A,'Segment Map'!B:B,"Need Attention"),"Need Attention")</f>
        <v/>
      </c>
      <c r="K635" s="122">
        <f>IF(E635&gt;=5000,"🏆 Platinum",IF(E635&gt;=2000,"🥇 Gold",IF(E635&gt;=800,"🥈 Silver","🥉 Bronze")))</f>
        <v/>
      </c>
      <c r="L635" s="125" t="n">
        <v>40841</v>
      </c>
    </row>
    <row r="636">
      <c r="A636" s="126" t="n">
        <v>13183</v>
      </c>
      <c r="B636" s="126" t="inlineStr">
        <is>
          <t>United Kingdom</t>
        </is>
      </c>
      <c r="C636" s="126" t="n">
        <v>8</v>
      </c>
      <c r="D636" s="126" t="n">
        <v>9</v>
      </c>
      <c r="E636" s="127" t="n">
        <v>3957.78</v>
      </c>
      <c r="F636" s="128">
        <f>IF(C636&lt;=30,5,IF(C636&lt;=60,4,IF(C636&lt;=120,3,IF(C636&lt;=200,2,1))))</f>
        <v/>
      </c>
      <c r="G636" s="128">
        <f>IF(D636&gt;=20,5,IF(D636&gt;=10,4,IF(D636&gt;=5,3,IF(D636&gt;=2,2,1))))</f>
        <v/>
      </c>
      <c r="H636" s="128">
        <f>IF(E636&gt;=5000,5,IF(E636&gt;=2000,4,IF(E636&gt;=800,3,IF(E636&gt;=300,2,1))))</f>
        <v/>
      </c>
      <c r="I636" s="126">
        <f>TEXT(F636,"0")&amp;TEXT(G636,"0")&amp;TEXT(H636,"0")</f>
        <v/>
      </c>
      <c r="J636" s="126">
        <f>IFERROR(XLOOKUP(I636,'Segment Map'!A:A,'Segment Map'!B:B,"Need Attention"),"Need Attention")</f>
        <v/>
      </c>
      <c r="K636" s="126">
        <f>IF(E636&gt;=5000,"🏆 Platinum",IF(E636&gt;=2000,"🥇 Gold",IF(E636&gt;=800,"🥈 Silver","🥉 Bronze")))</f>
        <v/>
      </c>
      <c r="L636" s="129" t="n">
        <v>40879</v>
      </c>
    </row>
    <row r="637">
      <c r="A637" s="122" t="n">
        <v>13184</v>
      </c>
      <c r="B637" s="122" t="inlineStr">
        <is>
          <t>United Kingdom</t>
        </is>
      </c>
      <c r="C637" s="122" t="n">
        <v>15</v>
      </c>
      <c r="D637" s="122" t="n">
        <v>10</v>
      </c>
      <c r="E637" s="123" t="n">
        <v>1701.29</v>
      </c>
      <c r="F637" s="124">
        <f>IF(C637&lt;=30,5,IF(C637&lt;=60,4,IF(C637&lt;=120,3,IF(C637&lt;=200,2,1))))</f>
        <v/>
      </c>
      <c r="G637" s="124">
        <f>IF(D637&gt;=20,5,IF(D637&gt;=10,4,IF(D637&gt;=5,3,IF(D637&gt;=2,2,1))))</f>
        <v/>
      </c>
      <c r="H637" s="124">
        <f>IF(E637&gt;=5000,5,IF(E637&gt;=2000,4,IF(E637&gt;=800,3,IF(E637&gt;=300,2,1))))</f>
        <v/>
      </c>
      <c r="I637" s="122">
        <f>TEXT(F637,"0")&amp;TEXT(G637,"0")&amp;TEXT(H637,"0")</f>
        <v/>
      </c>
      <c r="J637" s="122">
        <f>IFERROR(XLOOKUP(I637,'Segment Map'!A:A,'Segment Map'!B:B,"Need Attention"),"Need Attention")</f>
        <v/>
      </c>
      <c r="K637" s="122">
        <f>IF(E637&gt;=5000,"🏆 Platinum",IF(E637&gt;=2000,"🥇 Gold",IF(E637&gt;=800,"🥈 Silver","🥉 Bronze")))</f>
        <v/>
      </c>
      <c r="L637" s="125" t="n">
        <v>40872</v>
      </c>
    </row>
    <row r="638">
      <c r="A638" s="126" t="n">
        <v>13185</v>
      </c>
      <c r="B638" s="126" t="inlineStr">
        <is>
          <t>United Kingdom</t>
        </is>
      </c>
      <c r="C638" s="126" t="n">
        <v>268</v>
      </c>
      <c r="D638" s="126" t="n">
        <v>1</v>
      </c>
      <c r="E638" s="127" t="n">
        <v>71.40000000000001</v>
      </c>
      <c r="F638" s="128">
        <f>IF(C638&lt;=30,5,IF(C638&lt;=60,4,IF(C638&lt;=120,3,IF(C638&lt;=200,2,1))))</f>
        <v/>
      </c>
      <c r="G638" s="128">
        <f>IF(D638&gt;=20,5,IF(D638&gt;=10,4,IF(D638&gt;=5,3,IF(D638&gt;=2,2,1))))</f>
        <v/>
      </c>
      <c r="H638" s="128">
        <f>IF(E638&gt;=5000,5,IF(E638&gt;=2000,4,IF(E638&gt;=800,3,IF(E638&gt;=300,2,1))))</f>
        <v/>
      </c>
      <c r="I638" s="126">
        <f>TEXT(F638,"0")&amp;TEXT(G638,"0")&amp;TEXT(H638,"0")</f>
        <v/>
      </c>
      <c r="J638" s="126">
        <f>IFERROR(XLOOKUP(I638,'Segment Map'!A:A,'Segment Map'!B:B,"Need Attention"),"Need Attention")</f>
        <v/>
      </c>
      <c r="K638" s="126">
        <f>IF(E638&gt;=5000,"🏆 Platinum",IF(E638&gt;=2000,"🥇 Gold",IF(E638&gt;=800,"🥈 Silver","🥉 Bronze")))</f>
        <v/>
      </c>
      <c r="L638" s="129" t="n">
        <v>40619</v>
      </c>
    </row>
    <row r="639">
      <c r="A639" s="122" t="n">
        <v>13186</v>
      </c>
      <c r="B639" s="122" t="inlineStr">
        <is>
          <t>United Kingdom</t>
        </is>
      </c>
      <c r="C639" s="122" t="n">
        <v>40</v>
      </c>
      <c r="D639" s="122" t="n">
        <v>3</v>
      </c>
      <c r="E639" s="123" t="n">
        <v>1575.89</v>
      </c>
      <c r="F639" s="124">
        <f>IF(C639&lt;=30,5,IF(C639&lt;=60,4,IF(C639&lt;=120,3,IF(C639&lt;=200,2,1))))</f>
        <v/>
      </c>
      <c r="G639" s="124">
        <f>IF(D639&gt;=20,5,IF(D639&gt;=10,4,IF(D639&gt;=5,3,IF(D639&gt;=2,2,1))))</f>
        <v/>
      </c>
      <c r="H639" s="124">
        <f>IF(E639&gt;=5000,5,IF(E639&gt;=2000,4,IF(E639&gt;=800,3,IF(E639&gt;=300,2,1))))</f>
        <v/>
      </c>
      <c r="I639" s="122">
        <f>TEXT(F639,"0")&amp;TEXT(G639,"0")&amp;TEXT(H639,"0")</f>
        <v/>
      </c>
      <c r="J639" s="122">
        <f>IFERROR(XLOOKUP(I639,'Segment Map'!A:A,'Segment Map'!B:B,"Need Attention"),"Need Attention")</f>
        <v/>
      </c>
      <c r="K639" s="122">
        <f>IF(E639&gt;=5000,"🏆 Platinum",IF(E639&gt;=2000,"🥇 Gold",IF(E639&gt;=800,"🥈 Silver","🥉 Bronze")))</f>
        <v/>
      </c>
      <c r="L639" s="125" t="n">
        <v>40847</v>
      </c>
    </row>
    <row r="640">
      <c r="A640" s="126" t="n">
        <v>13187</v>
      </c>
      <c r="B640" s="126" t="inlineStr">
        <is>
          <t>United Kingdom</t>
        </is>
      </c>
      <c r="C640" s="126" t="n">
        <v>338</v>
      </c>
      <c r="D640" s="126" t="n">
        <v>1</v>
      </c>
      <c r="E640" s="127" t="n">
        <v>236.02</v>
      </c>
      <c r="F640" s="128">
        <f>IF(C640&lt;=30,5,IF(C640&lt;=60,4,IF(C640&lt;=120,3,IF(C640&lt;=200,2,1))))</f>
        <v/>
      </c>
      <c r="G640" s="128">
        <f>IF(D640&gt;=20,5,IF(D640&gt;=10,4,IF(D640&gt;=5,3,IF(D640&gt;=2,2,1))))</f>
        <v/>
      </c>
      <c r="H640" s="128">
        <f>IF(E640&gt;=5000,5,IF(E640&gt;=2000,4,IF(E640&gt;=800,3,IF(E640&gt;=300,2,1))))</f>
        <v/>
      </c>
      <c r="I640" s="126">
        <f>TEXT(F640,"0")&amp;TEXT(G640,"0")&amp;TEXT(H640,"0")</f>
        <v/>
      </c>
      <c r="J640" s="126">
        <f>IFERROR(XLOOKUP(I640,'Segment Map'!A:A,'Segment Map'!B:B,"Need Attention"),"Need Attention")</f>
        <v/>
      </c>
      <c r="K640" s="126">
        <f>IF(E640&gt;=5000,"🏆 Platinum",IF(E640&gt;=2000,"🥇 Gold",IF(E640&gt;=800,"🥈 Silver","🥉 Bronze")))</f>
        <v/>
      </c>
      <c r="L640" s="129" t="n">
        <v>40549</v>
      </c>
    </row>
    <row r="641">
      <c r="A641" s="122" t="n">
        <v>13188</v>
      </c>
      <c r="B641" s="122" t="inlineStr">
        <is>
          <t>United Kingdom</t>
        </is>
      </c>
      <c r="C641" s="122" t="n">
        <v>12</v>
      </c>
      <c r="D641" s="122" t="n">
        <v>1</v>
      </c>
      <c r="E641" s="123" t="n">
        <v>114.6</v>
      </c>
      <c r="F641" s="124">
        <f>IF(C641&lt;=30,5,IF(C641&lt;=60,4,IF(C641&lt;=120,3,IF(C641&lt;=200,2,1))))</f>
        <v/>
      </c>
      <c r="G641" s="124">
        <f>IF(D641&gt;=20,5,IF(D641&gt;=10,4,IF(D641&gt;=5,3,IF(D641&gt;=2,2,1))))</f>
        <v/>
      </c>
      <c r="H641" s="124">
        <f>IF(E641&gt;=5000,5,IF(E641&gt;=2000,4,IF(E641&gt;=800,3,IF(E641&gt;=300,2,1))))</f>
        <v/>
      </c>
      <c r="I641" s="122">
        <f>TEXT(F641,"0")&amp;TEXT(G641,"0")&amp;TEXT(H641,"0")</f>
        <v/>
      </c>
      <c r="J641" s="122">
        <f>IFERROR(XLOOKUP(I641,'Segment Map'!A:A,'Segment Map'!B:B,"Need Attention"),"Need Attention")</f>
        <v/>
      </c>
      <c r="K641" s="122">
        <f>IF(E641&gt;=5000,"🏆 Platinum",IF(E641&gt;=2000,"🥇 Gold",IF(E641&gt;=800,"🥈 Silver","🥉 Bronze")))</f>
        <v/>
      </c>
      <c r="L641" s="125" t="n">
        <v>40875</v>
      </c>
    </row>
    <row r="642">
      <c r="A642" s="126" t="n">
        <v>13189</v>
      </c>
      <c r="B642" s="126" t="inlineStr">
        <is>
          <t>United Kingdom</t>
        </is>
      </c>
      <c r="C642" s="126" t="n">
        <v>19</v>
      </c>
      <c r="D642" s="126" t="n">
        <v>2</v>
      </c>
      <c r="E642" s="127" t="n">
        <v>260.68</v>
      </c>
      <c r="F642" s="128">
        <f>IF(C642&lt;=30,5,IF(C642&lt;=60,4,IF(C642&lt;=120,3,IF(C642&lt;=200,2,1))))</f>
        <v/>
      </c>
      <c r="G642" s="128">
        <f>IF(D642&gt;=20,5,IF(D642&gt;=10,4,IF(D642&gt;=5,3,IF(D642&gt;=2,2,1))))</f>
        <v/>
      </c>
      <c r="H642" s="128">
        <f>IF(E642&gt;=5000,5,IF(E642&gt;=2000,4,IF(E642&gt;=800,3,IF(E642&gt;=300,2,1))))</f>
        <v/>
      </c>
      <c r="I642" s="126">
        <f>TEXT(F642,"0")&amp;TEXT(G642,"0")&amp;TEXT(H642,"0")</f>
        <v/>
      </c>
      <c r="J642" s="126">
        <f>IFERROR(XLOOKUP(I642,'Segment Map'!A:A,'Segment Map'!B:B,"Need Attention"),"Need Attention")</f>
        <v/>
      </c>
      <c r="K642" s="126">
        <f>IF(E642&gt;=5000,"🏆 Platinum",IF(E642&gt;=2000,"🥇 Gold",IF(E642&gt;=800,"🥈 Silver","🥉 Bronze")))</f>
        <v/>
      </c>
      <c r="L642" s="129" t="n">
        <v>40868</v>
      </c>
    </row>
    <row r="643">
      <c r="A643" s="122" t="n">
        <v>13192</v>
      </c>
      <c r="B643" s="122" t="inlineStr">
        <is>
          <t>United Kingdom</t>
        </is>
      </c>
      <c r="C643" s="122" t="n">
        <v>96</v>
      </c>
      <c r="D643" s="122" t="n">
        <v>2</v>
      </c>
      <c r="E643" s="123" t="n">
        <v>911.9400000000001</v>
      </c>
      <c r="F643" s="124">
        <f>IF(C643&lt;=30,5,IF(C643&lt;=60,4,IF(C643&lt;=120,3,IF(C643&lt;=200,2,1))))</f>
        <v/>
      </c>
      <c r="G643" s="124">
        <f>IF(D643&gt;=20,5,IF(D643&gt;=10,4,IF(D643&gt;=5,3,IF(D643&gt;=2,2,1))))</f>
        <v/>
      </c>
      <c r="H643" s="124">
        <f>IF(E643&gt;=5000,5,IF(E643&gt;=2000,4,IF(E643&gt;=800,3,IF(E643&gt;=300,2,1))))</f>
        <v/>
      </c>
      <c r="I643" s="122">
        <f>TEXT(F643,"0")&amp;TEXT(G643,"0")&amp;TEXT(H643,"0")</f>
        <v/>
      </c>
      <c r="J643" s="122">
        <f>IFERROR(XLOOKUP(I643,'Segment Map'!A:A,'Segment Map'!B:B,"Need Attention"),"Need Attention")</f>
        <v/>
      </c>
      <c r="K643" s="122">
        <f>IF(E643&gt;=5000,"🏆 Platinum",IF(E643&gt;=2000,"🥇 Gold",IF(E643&gt;=800,"🥈 Silver","🥉 Bronze")))</f>
        <v/>
      </c>
      <c r="L643" s="125" t="n">
        <v>40791</v>
      </c>
    </row>
    <row r="644">
      <c r="A644" s="126" t="n">
        <v>13193</v>
      </c>
      <c r="B644" s="126" t="inlineStr">
        <is>
          <t>United Kingdom</t>
        </is>
      </c>
      <c r="C644" s="126" t="n">
        <v>62</v>
      </c>
      <c r="D644" s="126" t="n">
        <v>1</v>
      </c>
      <c r="E644" s="127" t="n">
        <v>117.88</v>
      </c>
      <c r="F644" s="128">
        <f>IF(C644&lt;=30,5,IF(C644&lt;=60,4,IF(C644&lt;=120,3,IF(C644&lt;=200,2,1))))</f>
        <v/>
      </c>
      <c r="G644" s="128">
        <f>IF(D644&gt;=20,5,IF(D644&gt;=10,4,IF(D644&gt;=5,3,IF(D644&gt;=2,2,1))))</f>
        <v/>
      </c>
      <c r="H644" s="128">
        <f>IF(E644&gt;=5000,5,IF(E644&gt;=2000,4,IF(E644&gt;=800,3,IF(E644&gt;=300,2,1))))</f>
        <v/>
      </c>
      <c r="I644" s="126">
        <f>TEXT(F644,"0")&amp;TEXT(G644,"0")&amp;TEXT(H644,"0")</f>
        <v/>
      </c>
      <c r="J644" s="126">
        <f>IFERROR(XLOOKUP(I644,'Segment Map'!A:A,'Segment Map'!B:B,"Need Attention"),"Need Attention")</f>
        <v/>
      </c>
      <c r="K644" s="126">
        <f>IF(E644&gt;=5000,"🏆 Platinum",IF(E644&gt;=2000,"🥇 Gold",IF(E644&gt;=800,"🥈 Silver","🥉 Bronze")))</f>
        <v/>
      </c>
      <c r="L644" s="129" t="n">
        <v>40825</v>
      </c>
    </row>
    <row r="645">
      <c r="A645" s="122" t="n">
        <v>13194</v>
      </c>
      <c r="B645" s="122" t="inlineStr">
        <is>
          <t>United Kingdom</t>
        </is>
      </c>
      <c r="C645" s="122" t="n">
        <v>136</v>
      </c>
      <c r="D645" s="122" t="n">
        <v>1</v>
      </c>
      <c r="E645" s="123" t="n">
        <v>60.7</v>
      </c>
      <c r="F645" s="124">
        <f>IF(C645&lt;=30,5,IF(C645&lt;=60,4,IF(C645&lt;=120,3,IF(C645&lt;=200,2,1))))</f>
        <v/>
      </c>
      <c r="G645" s="124">
        <f>IF(D645&gt;=20,5,IF(D645&gt;=10,4,IF(D645&gt;=5,3,IF(D645&gt;=2,2,1))))</f>
        <v/>
      </c>
      <c r="H645" s="124">
        <f>IF(E645&gt;=5000,5,IF(E645&gt;=2000,4,IF(E645&gt;=800,3,IF(E645&gt;=300,2,1))))</f>
        <v/>
      </c>
      <c r="I645" s="122">
        <f>TEXT(F645,"0")&amp;TEXT(G645,"0")&amp;TEXT(H645,"0")</f>
        <v/>
      </c>
      <c r="J645" s="122">
        <f>IFERROR(XLOOKUP(I645,'Segment Map'!A:A,'Segment Map'!B:B,"Need Attention"),"Need Attention")</f>
        <v/>
      </c>
      <c r="K645" s="122">
        <f>IF(E645&gt;=5000,"🏆 Platinum",IF(E645&gt;=2000,"🥇 Gold",IF(E645&gt;=800,"🥈 Silver","🥉 Bronze")))</f>
        <v/>
      </c>
      <c r="L645" s="125" t="n">
        <v>40751</v>
      </c>
    </row>
    <row r="646">
      <c r="A646" s="126" t="n">
        <v>13196</v>
      </c>
      <c r="B646" s="126" t="inlineStr">
        <is>
          <t>United Kingdom</t>
        </is>
      </c>
      <c r="C646" s="126" t="n">
        <v>12</v>
      </c>
      <c r="D646" s="126" t="n">
        <v>4</v>
      </c>
      <c r="E646" s="127" t="n">
        <v>1797.78</v>
      </c>
      <c r="F646" s="128">
        <f>IF(C646&lt;=30,5,IF(C646&lt;=60,4,IF(C646&lt;=120,3,IF(C646&lt;=200,2,1))))</f>
        <v/>
      </c>
      <c r="G646" s="128">
        <f>IF(D646&gt;=20,5,IF(D646&gt;=10,4,IF(D646&gt;=5,3,IF(D646&gt;=2,2,1))))</f>
        <v/>
      </c>
      <c r="H646" s="128">
        <f>IF(E646&gt;=5000,5,IF(E646&gt;=2000,4,IF(E646&gt;=800,3,IF(E646&gt;=300,2,1))))</f>
        <v/>
      </c>
      <c r="I646" s="126">
        <f>TEXT(F646,"0")&amp;TEXT(G646,"0")&amp;TEXT(H646,"0")</f>
        <v/>
      </c>
      <c r="J646" s="126">
        <f>IFERROR(XLOOKUP(I646,'Segment Map'!A:A,'Segment Map'!B:B,"Need Attention"),"Need Attention")</f>
        <v/>
      </c>
      <c r="K646" s="126">
        <f>IF(E646&gt;=5000,"🏆 Platinum",IF(E646&gt;=2000,"🥇 Gold",IF(E646&gt;=800,"🥈 Silver","🥉 Bronze")))</f>
        <v/>
      </c>
      <c r="L646" s="129" t="n">
        <v>40875</v>
      </c>
    </row>
    <row r="647">
      <c r="A647" s="122" t="n">
        <v>13198</v>
      </c>
      <c r="B647" s="122" t="inlineStr">
        <is>
          <t>United Kingdom</t>
        </is>
      </c>
      <c r="C647" s="122" t="n">
        <v>11</v>
      </c>
      <c r="D647" s="122" t="n">
        <v>6</v>
      </c>
      <c r="E647" s="123" t="n">
        <v>3401.24</v>
      </c>
      <c r="F647" s="124">
        <f>IF(C647&lt;=30,5,IF(C647&lt;=60,4,IF(C647&lt;=120,3,IF(C647&lt;=200,2,1))))</f>
        <v/>
      </c>
      <c r="G647" s="124">
        <f>IF(D647&gt;=20,5,IF(D647&gt;=10,4,IF(D647&gt;=5,3,IF(D647&gt;=2,2,1))))</f>
        <v/>
      </c>
      <c r="H647" s="124">
        <f>IF(E647&gt;=5000,5,IF(E647&gt;=2000,4,IF(E647&gt;=800,3,IF(E647&gt;=300,2,1))))</f>
        <v/>
      </c>
      <c r="I647" s="122">
        <f>TEXT(F647,"0")&amp;TEXT(G647,"0")&amp;TEXT(H647,"0")</f>
        <v/>
      </c>
      <c r="J647" s="122">
        <f>IFERROR(XLOOKUP(I647,'Segment Map'!A:A,'Segment Map'!B:B,"Need Attention"),"Need Attention")</f>
        <v/>
      </c>
      <c r="K647" s="122">
        <f>IF(E647&gt;=5000,"🏆 Platinum",IF(E647&gt;=2000,"🥇 Gold",IF(E647&gt;=800,"🥈 Silver","🥉 Bronze")))</f>
        <v/>
      </c>
      <c r="L647" s="125" t="n">
        <v>40876</v>
      </c>
    </row>
    <row r="648">
      <c r="A648" s="126" t="n">
        <v>13199</v>
      </c>
      <c r="B648" s="126" t="inlineStr">
        <is>
          <t>United Kingdom</t>
        </is>
      </c>
      <c r="C648" s="126" t="n">
        <v>4</v>
      </c>
      <c r="D648" s="126" t="n">
        <v>38</v>
      </c>
      <c r="E648" s="127" t="n">
        <v>9817.120000000001</v>
      </c>
      <c r="F648" s="128">
        <f>IF(C648&lt;=30,5,IF(C648&lt;=60,4,IF(C648&lt;=120,3,IF(C648&lt;=200,2,1))))</f>
        <v/>
      </c>
      <c r="G648" s="128">
        <f>IF(D648&gt;=20,5,IF(D648&gt;=10,4,IF(D648&gt;=5,3,IF(D648&gt;=2,2,1))))</f>
        <v/>
      </c>
      <c r="H648" s="128">
        <f>IF(E648&gt;=5000,5,IF(E648&gt;=2000,4,IF(E648&gt;=800,3,IF(E648&gt;=300,2,1))))</f>
        <v/>
      </c>
      <c r="I648" s="126">
        <f>TEXT(F648,"0")&amp;TEXT(G648,"0")&amp;TEXT(H648,"0")</f>
        <v/>
      </c>
      <c r="J648" s="126">
        <f>IFERROR(XLOOKUP(I648,'Segment Map'!A:A,'Segment Map'!B:B,"Need Attention"),"Need Attention")</f>
        <v/>
      </c>
      <c r="K648" s="126">
        <f>IF(E648&gt;=5000,"🏆 Platinum",IF(E648&gt;=2000,"🥇 Gold",IF(E648&gt;=800,"🥈 Silver","🥉 Bronze")))</f>
        <v/>
      </c>
      <c r="L648" s="129" t="n">
        <v>40883</v>
      </c>
    </row>
    <row r="649">
      <c r="A649" s="122" t="n">
        <v>13200</v>
      </c>
      <c r="B649" s="122" t="inlineStr">
        <is>
          <t>United Kingdom</t>
        </is>
      </c>
      <c r="C649" s="122" t="n">
        <v>20</v>
      </c>
      <c r="D649" s="122" t="n">
        <v>4</v>
      </c>
      <c r="E649" s="123" t="n">
        <v>870.09</v>
      </c>
      <c r="F649" s="124">
        <f>IF(C649&lt;=30,5,IF(C649&lt;=60,4,IF(C649&lt;=120,3,IF(C649&lt;=200,2,1))))</f>
        <v/>
      </c>
      <c r="G649" s="124">
        <f>IF(D649&gt;=20,5,IF(D649&gt;=10,4,IF(D649&gt;=5,3,IF(D649&gt;=2,2,1))))</f>
        <v/>
      </c>
      <c r="H649" s="124">
        <f>IF(E649&gt;=5000,5,IF(E649&gt;=2000,4,IF(E649&gt;=800,3,IF(E649&gt;=300,2,1))))</f>
        <v/>
      </c>
      <c r="I649" s="122">
        <f>TEXT(F649,"0")&amp;TEXT(G649,"0")&amp;TEXT(H649,"0")</f>
        <v/>
      </c>
      <c r="J649" s="122">
        <f>IFERROR(XLOOKUP(I649,'Segment Map'!A:A,'Segment Map'!B:B,"Need Attention"),"Need Attention")</f>
        <v/>
      </c>
      <c r="K649" s="122">
        <f>IF(E649&gt;=5000,"🏆 Platinum",IF(E649&gt;=2000,"🥇 Gold",IF(E649&gt;=800,"🥈 Silver","🥉 Bronze")))</f>
        <v/>
      </c>
      <c r="L649" s="125" t="n">
        <v>40867</v>
      </c>
    </row>
    <row r="650">
      <c r="A650" s="126" t="n">
        <v>13203</v>
      </c>
      <c r="B650" s="126" t="inlineStr">
        <is>
          <t>United Kingdom</t>
        </is>
      </c>
      <c r="C650" s="126" t="n">
        <v>10</v>
      </c>
      <c r="D650" s="126" t="n">
        <v>4</v>
      </c>
      <c r="E650" s="127" t="n">
        <v>869.46</v>
      </c>
      <c r="F650" s="128">
        <f>IF(C650&lt;=30,5,IF(C650&lt;=60,4,IF(C650&lt;=120,3,IF(C650&lt;=200,2,1))))</f>
        <v/>
      </c>
      <c r="G650" s="128">
        <f>IF(D650&gt;=20,5,IF(D650&gt;=10,4,IF(D650&gt;=5,3,IF(D650&gt;=2,2,1))))</f>
        <v/>
      </c>
      <c r="H650" s="128">
        <f>IF(E650&gt;=5000,5,IF(E650&gt;=2000,4,IF(E650&gt;=800,3,IF(E650&gt;=300,2,1))))</f>
        <v/>
      </c>
      <c r="I650" s="126">
        <f>TEXT(F650,"0")&amp;TEXT(G650,"0")&amp;TEXT(H650,"0")</f>
        <v/>
      </c>
      <c r="J650" s="126">
        <f>IFERROR(XLOOKUP(I650,'Segment Map'!A:A,'Segment Map'!B:B,"Need Attention"),"Need Attention")</f>
        <v/>
      </c>
      <c r="K650" s="126">
        <f>IF(E650&gt;=5000,"🏆 Platinum",IF(E650&gt;=2000,"🥇 Gold",IF(E650&gt;=800,"🥈 Silver","🥉 Bronze")))</f>
        <v/>
      </c>
      <c r="L650" s="129" t="n">
        <v>40877</v>
      </c>
    </row>
    <row r="651">
      <c r="A651" s="122" t="n">
        <v>13207</v>
      </c>
      <c r="B651" s="122" t="inlineStr">
        <is>
          <t>United Kingdom</t>
        </is>
      </c>
      <c r="C651" s="122" t="n">
        <v>16</v>
      </c>
      <c r="D651" s="122" t="n">
        <v>2</v>
      </c>
      <c r="E651" s="123" t="n">
        <v>250.26</v>
      </c>
      <c r="F651" s="124">
        <f>IF(C651&lt;=30,5,IF(C651&lt;=60,4,IF(C651&lt;=120,3,IF(C651&lt;=200,2,1))))</f>
        <v/>
      </c>
      <c r="G651" s="124">
        <f>IF(D651&gt;=20,5,IF(D651&gt;=10,4,IF(D651&gt;=5,3,IF(D651&gt;=2,2,1))))</f>
        <v/>
      </c>
      <c r="H651" s="124">
        <f>IF(E651&gt;=5000,5,IF(E651&gt;=2000,4,IF(E651&gt;=800,3,IF(E651&gt;=300,2,1))))</f>
        <v/>
      </c>
      <c r="I651" s="122">
        <f>TEXT(F651,"0")&amp;TEXT(G651,"0")&amp;TEXT(H651,"0")</f>
        <v/>
      </c>
      <c r="J651" s="122">
        <f>IFERROR(XLOOKUP(I651,'Segment Map'!A:A,'Segment Map'!B:B,"Need Attention"),"Need Attention")</f>
        <v/>
      </c>
      <c r="K651" s="122">
        <f>IF(E651&gt;=5000,"🏆 Platinum",IF(E651&gt;=2000,"🥇 Gold",IF(E651&gt;=800,"🥈 Silver","🥉 Bronze")))</f>
        <v/>
      </c>
      <c r="L651" s="125" t="n">
        <v>40871</v>
      </c>
    </row>
    <row r="652">
      <c r="A652" s="126" t="n">
        <v>13208</v>
      </c>
      <c r="B652" s="126" t="inlineStr">
        <is>
          <t>United Kingdom</t>
        </is>
      </c>
      <c r="C652" s="126" t="n">
        <v>59</v>
      </c>
      <c r="D652" s="126" t="n">
        <v>6</v>
      </c>
      <c r="E652" s="127" t="n">
        <v>1223.9</v>
      </c>
      <c r="F652" s="128">
        <f>IF(C652&lt;=30,5,IF(C652&lt;=60,4,IF(C652&lt;=120,3,IF(C652&lt;=200,2,1))))</f>
        <v/>
      </c>
      <c r="G652" s="128">
        <f>IF(D652&gt;=20,5,IF(D652&gt;=10,4,IF(D652&gt;=5,3,IF(D652&gt;=2,2,1))))</f>
        <v/>
      </c>
      <c r="H652" s="128">
        <f>IF(E652&gt;=5000,5,IF(E652&gt;=2000,4,IF(E652&gt;=800,3,IF(E652&gt;=300,2,1))))</f>
        <v/>
      </c>
      <c r="I652" s="126">
        <f>TEXT(F652,"0")&amp;TEXT(G652,"0")&amp;TEXT(H652,"0")</f>
        <v/>
      </c>
      <c r="J652" s="126">
        <f>IFERROR(XLOOKUP(I652,'Segment Map'!A:A,'Segment Map'!B:B,"Need Attention"),"Need Attention")</f>
        <v/>
      </c>
      <c r="K652" s="126">
        <f>IF(E652&gt;=5000,"🏆 Platinum",IF(E652&gt;=2000,"🥇 Gold",IF(E652&gt;=800,"🥈 Silver","🥉 Bronze")))</f>
        <v/>
      </c>
      <c r="L652" s="129" t="n">
        <v>40828</v>
      </c>
    </row>
    <row r="653">
      <c r="A653" s="122" t="n">
        <v>13209</v>
      </c>
      <c r="B653" s="122" t="inlineStr">
        <is>
          <t>United Kingdom</t>
        </is>
      </c>
      <c r="C653" s="122" t="n">
        <v>31</v>
      </c>
      <c r="D653" s="122" t="n">
        <v>8</v>
      </c>
      <c r="E653" s="123" t="n">
        <v>5891.61</v>
      </c>
      <c r="F653" s="124">
        <f>IF(C653&lt;=30,5,IF(C653&lt;=60,4,IF(C653&lt;=120,3,IF(C653&lt;=200,2,1))))</f>
        <v/>
      </c>
      <c r="G653" s="124">
        <f>IF(D653&gt;=20,5,IF(D653&gt;=10,4,IF(D653&gt;=5,3,IF(D653&gt;=2,2,1))))</f>
        <v/>
      </c>
      <c r="H653" s="124">
        <f>IF(E653&gt;=5000,5,IF(E653&gt;=2000,4,IF(E653&gt;=800,3,IF(E653&gt;=300,2,1))))</f>
        <v/>
      </c>
      <c r="I653" s="122">
        <f>TEXT(F653,"0")&amp;TEXT(G653,"0")&amp;TEXT(H653,"0")</f>
        <v/>
      </c>
      <c r="J653" s="122">
        <f>IFERROR(XLOOKUP(I653,'Segment Map'!A:A,'Segment Map'!B:B,"Need Attention"),"Need Attention")</f>
        <v/>
      </c>
      <c r="K653" s="122">
        <f>IF(E653&gt;=5000,"🏆 Platinum",IF(E653&gt;=2000,"🥇 Gold",IF(E653&gt;=800,"🥈 Silver","🥉 Bronze")))</f>
        <v/>
      </c>
      <c r="L653" s="125" t="n">
        <v>40856</v>
      </c>
    </row>
    <row r="654">
      <c r="A654" s="126" t="n">
        <v>13210</v>
      </c>
      <c r="B654" s="126" t="inlineStr">
        <is>
          <t>United Kingdom</t>
        </is>
      </c>
      <c r="C654" s="126" t="n">
        <v>94</v>
      </c>
      <c r="D654" s="126" t="n">
        <v>1</v>
      </c>
      <c r="E654" s="127" t="n">
        <v>353.48</v>
      </c>
      <c r="F654" s="128">
        <f>IF(C654&lt;=30,5,IF(C654&lt;=60,4,IF(C654&lt;=120,3,IF(C654&lt;=200,2,1))))</f>
        <v/>
      </c>
      <c r="G654" s="128">
        <f>IF(D654&gt;=20,5,IF(D654&gt;=10,4,IF(D654&gt;=5,3,IF(D654&gt;=2,2,1))))</f>
        <v/>
      </c>
      <c r="H654" s="128">
        <f>IF(E654&gt;=5000,5,IF(E654&gt;=2000,4,IF(E654&gt;=800,3,IF(E654&gt;=300,2,1))))</f>
        <v/>
      </c>
      <c r="I654" s="126">
        <f>TEXT(F654,"0")&amp;TEXT(G654,"0")&amp;TEXT(H654,"0")</f>
        <v/>
      </c>
      <c r="J654" s="126">
        <f>IFERROR(XLOOKUP(I654,'Segment Map'!A:A,'Segment Map'!B:B,"Need Attention"),"Need Attention")</f>
        <v/>
      </c>
      <c r="K654" s="126">
        <f>IF(E654&gt;=5000,"🏆 Platinum",IF(E654&gt;=2000,"🥇 Gold",IF(E654&gt;=800,"🥈 Silver","🥉 Bronze")))</f>
        <v/>
      </c>
      <c r="L654" s="129" t="n">
        <v>40793</v>
      </c>
    </row>
    <row r="655">
      <c r="A655" s="122" t="n">
        <v>13211</v>
      </c>
      <c r="B655" s="122" t="inlineStr">
        <is>
          <t>United Kingdom</t>
        </is>
      </c>
      <c r="C655" s="122" t="n">
        <v>11</v>
      </c>
      <c r="D655" s="122" t="n">
        <v>3</v>
      </c>
      <c r="E655" s="123" t="n">
        <v>1197.42</v>
      </c>
      <c r="F655" s="124">
        <f>IF(C655&lt;=30,5,IF(C655&lt;=60,4,IF(C655&lt;=120,3,IF(C655&lt;=200,2,1))))</f>
        <v/>
      </c>
      <c r="G655" s="124">
        <f>IF(D655&gt;=20,5,IF(D655&gt;=10,4,IF(D655&gt;=5,3,IF(D655&gt;=2,2,1))))</f>
        <v/>
      </c>
      <c r="H655" s="124">
        <f>IF(E655&gt;=5000,5,IF(E655&gt;=2000,4,IF(E655&gt;=800,3,IF(E655&gt;=300,2,1))))</f>
        <v/>
      </c>
      <c r="I655" s="122">
        <f>TEXT(F655,"0")&amp;TEXT(G655,"0")&amp;TEXT(H655,"0")</f>
        <v/>
      </c>
      <c r="J655" s="122">
        <f>IFERROR(XLOOKUP(I655,'Segment Map'!A:A,'Segment Map'!B:B,"Need Attention"),"Need Attention")</f>
        <v/>
      </c>
      <c r="K655" s="122">
        <f>IF(E655&gt;=5000,"🏆 Platinum",IF(E655&gt;=2000,"🥇 Gold",IF(E655&gt;=800,"🥈 Silver","🥉 Bronze")))</f>
        <v/>
      </c>
      <c r="L655" s="125" t="n">
        <v>40876</v>
      </c>
    </row>
    <row r="656">
      <c r="A656" s="126" t="n">
        <v>13212</v>
      </c>
      <c r="B656" s="126" t="inlineStr">
        <is>
          <t>United Kingdom</t>
        </is>
      </c>
      <c r="C656" s="126" t="n">
        <v>20</v>
      </c>
      <c r="D656" s="126" t="n">
        <v>3</v>
      </c>
      <c r="E656" s="127" t="n">
        <v>788.08</v>
      </c>
      <c r="F656" s="128">
        <f>IF(C656&lt;=30,5,IF(C656&lt;=60,4,IF(C656&lt;=120,3,IF(C656&lt;=200,2,1))))</f>
        <v/>
      </c>
      <c r="G656" s="128">
        <f>IF(D656&gt;=20,5,IF(D656&gt;=10,4,IF(D656&gt;=5,3,IF(D656&gt;=2,2,1))))</f>
        <v/>
      </c>
      <c r="H656" s="128">
        <f>IF(E656&gt;=5000,5,IF(E656&gt;=2000,4,IF(E656&gt;=800,3,IF(E656&gt;=300,2,1))))</f>
        <v/>
      </c>
      <c r="I656" s="126">
        <f>TEXT(F656,"0")&amp;TEXT(G656,"0")&amp;TEXT(H656,"0")</f>
        <v/>
      </c>
      <c r="J656" s="126">
        <f>IFERROR(XLOOKUP(I656,'Segment Map'!A:A,'Segment Map'!B:B,"Need Attention"),"Need Attention")</f>
        <v/>
      </c>
      <c r="K656" s="126">
        <f>IF(E656&gt;=5000,"🏆 Platinum",IF(E656&gt;=2000,"🥇 Gold",IF(E656&gt;=800,"🥈 Silver","🥉 Bronze")))</f>
        <v/>
      </c>
      <c r="L656" s="129" t="n">
        <v>40867</v>
      </c>
    </row>
    <row r="657">
      <c r="A657" s="122" t="n">
        <v>13213</v>
      </c>
      <c r="B657" s="122" t="inlineStr">
        <is>
          <t>United Kingdom</t>
        </is>
      </c>
      <c r="C657" s="122" t="n">
        <v>57</v>
      </c>
      <c r="D657" s="122" t="n">
        <v>5</v>
      </c>
      <c r="E657" s="123" t="n">
        <v>1520.58</v>
      </c>
      <c r="F657" s="124">
        <f>IF(C657&lt;=30,5,IF(C657&lt;=60,4,IF(C657&lt;=120,3,IF(C657&lt;=200,2,1))))</f>
        <v/>
      </c>
      <c r="G657" s="124">
        <f>IF(D657&gt;=20,5,IF(D657&gt;=10,4,IF(D657&gt;=5,3,IF(D657&gt;=2,2,1))))</f>
        <v/>
      </c>
      <c r="H657" s="124">
        <f>IF(E657&gt;=5000,5,IF(E657&gt;=2000,4,IF(E657&gt;=800,3,IF(E657&gt;=300,2,1))))</f>
        <v/>
      </c>
      <c r="I657" s="122">
        <f>TEXT(F657,"0")&amp;TEXT(G657,"0")&amp;TEXT(H657,"0")</f>
        <v/>
      </c>
      <c r="J657" s="122">
        <f>IFERROR(XLOOKUP(I657,'Segment Map'!A:A,'Segment Map'!B:B,"Need Attention"),"Need Attention")</f>
        <v/>
      </c>
      <c r="K657" s="122">
        <f>IF(E657&gt;=5000,"🏆 Platinum",IF(E657&gt;=2000,"🥇 Gold",IF(E657&gt;=800,"🥈 Silver","🥉 Bronze")))</f>
        <v/>
      </c>
      <c r="L657" s="125" t="n">
        <v>40830</v>
      </c>
    </row>
    <row r="658">
      <c r="A658" s="126" t="n">
        <v>13216</v>
      </c>
      <c r="B658" s="126" t="inlineStr">
        <is>
          <t>United Kingdom</t>
        </is>
      </c>
      <c r="C658" s="126" t="n">
        <v>268</v>
      </c>
      <c r="D658" s="126" t="n">
        <v>1</v>
      </c>
      <c r="E658" s="127" t="n">
        <v>333.74</v>
      </c>
      <c r="F658" s="128">
        <f>IF(C658&lt;=30,5,IF(C658&lt;=60,4,IF(C658&lt;=120,3,IF(C658&lt;=200,2,1))))</f>
        <v/>
      </c>
      <c r="G658" s="128">
        <f>IF(D658&gt;=20,5,IF(D658&gt;=10,4,IF(D658&gt;=5,3,IF(D658&gt;=2,2,1))))</f>
        <v/>
      </c>
      <c r="H658" s="128">
        <f>IF(E658&gt;=5000,5,IF(E658&gt;=2000,4,IF(E658&gt;=800,3,IF(E658&gt;=300,2,1))))</f>
        <v/>
      </c>
      <c r="I658" s="126">
        <f>TEXT(F658,"0")&amp;TEXT(G658,"0")&amp;TEXT(H658,"0")</f>
        <v/>
      </c>
      <c r="J658" s="126">
        <f>IFERROR(XLOOKUP(I658,'Segment Map'!A:A,'Segment Map'!B:B,"Need Attention"),"Need Attention")</f>
        <v/>
      </c>
      <c r="K658" s="126">
        <f>IF(E658&gt;=5000,"🏆 Platinum",IF(E658&gt;=2000,"🥇 Gold",IF(E658&gt;=800,"🥈 Silver","🥉 Bronze")))</f>
        <v/>
      </c>
      <c r="L658" s="129" t="n">
        <v>40619</v>
      </c>
    </row>
    <row r="659">
      <c r="A659" s="122" t="n">
        <v>13217</v>
      </c>
      <c r="B659" s="122" t="inlineStr">
        <is>
          <t>United Kingdom</t>
        </is>
      </c>
      <c r="C659" s="122" t="n">
        <v>123</v>
      </c>
      <c r="D659" s="122" t="n">
        <v>3</v>
      </c>
      <c r="E659" s="123" t="n">
        <v>533.98</v>
      </c>
      <c r="F659" s="124">
        <f>IF(C659&lt;=30,5,IF(C659&lt;=60,4,IF(C659&lt;=120,3,IF(C659&lt;=200,2,1))))</f>
        <v/>
      </c>
      <c r="G659" s="124">
        <f>IF(D659&gt;=20,5,IF(D659&gt;=10,4,IF(D659&gt;=5,3,IF(D659&gt;=2,2,1))))</f>
        <v/>
      </c>
      <c r="H659" s="124">
        <f>IF(E659&gt;=5000,5,IF(E659&gt;=2000,4,IF(E659&gt;=800,3,IF(E659&gt;=300,2,1))))</f>
        <v/>
      </c>
      <c r="I659" s="122">
        <f>TEXT(F659,"0")&amp;TEXT(G659,"0")&amp;TEXT(H659,"0")</f>
        <v/>
      </c>
      <c r="J659" s="122">
        <f>IFERROR(XLOOKUP(I659,'Segment Map'!A:A,'Segment Map'!B:B,"Need Attention"),"Need Attention")</f>
        <v/>
      </c>
      <c r="K659" s="122">
        <f>IF(E659&gt;=5000,"🏆 Platinum",IF(E659&gt;=2000,"🥇 Gold",IF(E659&gt;=800,"🥈 Silver","🥉 Bronze")))</f>
        <v/>
      </c>
      <c r="L659" s="125" t="n">
        <v>40764</v>
      </c>
    </row>
    <row r="660">
      <c r="A660" s="126" t="n">
        <v>13218</v>
      </c>
      <c r="B660" s="126" t="inlineStr">
        <is>
          <t>United Kingdom</t>
        </is>
      </c>
      <c r="C660" s="126" t="n">
        <v>128</v>
      </c>
      <c r="D660" s="126" t="n">
        <v>1</v>
      </c>
      <c r="E660" s="127" t="n">
        <v>62.64</v>
      </c>
      <c r="F660" s="128">
        <f>IF(C660&lt;=30,5,IF(C660&lt;=60,4,IF(C660&lt;=120,3,IF(C660&lt;=200,2,1))))</f>
        <v/>
      </c>
      <c r="G660" s="128">
        <f>IF(D660&gt;=20,5,IF(D660&gt;=10,4,IF(D660&gt;=5,3,IF(D660&gt;=2,2,1))))</f>
        <v/>
      </c>
      <c r="H660" s="128">
        <f>IF(E660&gt;=5000,5,IF(E660&gt;=2000,4,IF(E660&gt;=800,3,IF(E660&gt;=300,2,1))))</f>
        <v/>
      </c>
      <c r="I660" s="126">
        <f>TEXT(F660,"0")&amp;TEXT(G660,"0")&amp;TEXT(H660,"0")</f>
        <v/>
      </c>
      <c r="J660" s="126">
        <f>IFERROR(XLOOKUP(I660,'Segment Map'!A:A,'Segment Map'!B:B,"Need Attention"),"Need Attention")</f>
        <v/>
      </c>
      <c r="K660" s="126">
        <f>IF(E660&gt;=5000,"🏆 Platinum",IF(E660&gt;=2000,"🥇 Gold",IF(E660&gt;=800,"🥈 Silver","🥉 Bronze")))</f>
        <v/>
      </c>
      <c r="L660" s="129" t="n">
        <v>40759</v>
      </c>
    </row>
    <row r="661">
      <c r="A661" s="122" t="n">
        <v>13220</v>
      </c>
      <c r="B661" s="122" t="inlineStr">
        <is>
          <t>United Kingdom</t>
        </is>
      </c>
      <c r="C661" s="122" t="n">
        <v>79</v>
      </c>
      <c r="D661" s="122" t="n">
        <v>4</v>
      </c>
      <c r="E661" s="123" t="n">
        <v>819.29</v>
      </c>
      <c r="F661" s="124">
        <f>IF(C661&lt;=30,5,IF(C661&lt;=60,4,IF(C661&lt;=120,3,IF(C661&lt;=200,2,1))))</f>
        <v/>
      </c>
      <c r="G661" s="124">
        <f>IF(D661&gt;=20,5,IF(D661&gt;=10,4,IF(D661&gt;=5,3,IF(D661&gt;=2,2,1))))</f>
        <v/>
      </c>
      <c r="H661" s="124">
        <f>IF(E661&gt;=5000,5,IF(E661&gt;=2000,4,IF(E661&gt;=800,3,IF(E661&gt;=300,2,1))))</f>
        <v/>
      </c>
      <c r="I661" s="122">
        <f>TEXT(F661,"0")&amp;TEXT(G661,"0")&amp;TEXT(H661,"0")</f>
        <v/>
      </c>
      <c r="J661" s="122">
        <f>IFERROR(XLOOKUP(I661,'Segment Map'!A:A,'Segment Map'!B:B,"Need Attention"),"Need Attention")</f>
        <v/>
      </c>
      <c r="K661" s="122">
        <f>IF(E661&gt;=5000,"🏆 Platinum",IF(E661&gt;=2000,"🥇 Gold",IF(E661&gt;=800,"🥈 Silver","🥉 Bronze")))</f>
        <v/>
      </c>
      <c r="L661" s="125" t="n">
        <v>40808</v>
      </c>
    </row>
    <row r="662">
      <c r="A662" s="126" t="n">
        <v>13221</v>
      </c>
      <c r="B662" s="126" t="inlineStr">
        <is>
          <t>United Kingdom</t>
        </is>
      </c>
      <c r="C662" s="126" t="n">
        <v>241</v>
      </c>
      <c r="D662" s="126" t="n">
        <v>2</v>
      </c>
      <c r="E662" s="127" t="n">
        <v>847.41</v>
      </c>
      <c r="F662" s="128">
        <f>IF(C662&lt;=30,5,IF(C662&lt;=60,4,IF(C662&lt;=120,3,IF(C662&lt;=200,2,1))))</f>
        <v/>
      </c>
      <c r="G662" s="128">
        <f>IF(D662&gt;=20,5,IF(D662&gt;=10,4,IF(D662&gt;=5,3,IF(D662&gt;=2,2,1))))</f>
        <v/>
      </c>
      <c r="H662" s="128">
        <f>IF(E662&gt;=5000,5,IF(E662&gt;=2000,4,IF(E662&gt;=800,3,IF(E662&gt;=300,2,1))))</f>
        <v/>
      </c>
      <c r="I662" s="126">
        <f>TEXT(F662,"0")&amp;TEXT(G662,"0")&amp;TEXT(H662,"0")</f>
        <v/>
      </c>
      <c r="J662" s="126">
        <f>IFERROR(XLOOKUP(I662,'Segment Map'!A:A,'Segment Map'!B:B,"Need Attention"),"Need Attention")</f>
        <v/>
      </c>
      <c r="K662" s="126">
        <f>IF(E662&gt;=5000,"🏆 Platinum",IF(E662&gt;=2000,"🥇 Gold",IF(E662&gt;=800,"🥈 Silver","🥉 Bronze")))</f>
        <v/>
      </c>
      <c r="L662" s="129" t="n">
        <v>40646</v>
      </c>
    </row>
    <row r="663">
      <c r="A663" s="122" t="n">
        <v>13223</v>
      </c>
      <c r="B663" s="122" t="inlineStr">
        <is>
          <t>United Kingdom</t>
        </is>
      </c>
      <c r="C663" s="122" t="n">
        <v>201</v>
      </c>
      <c r="D663" s="122" t="n">
        <v>2</v>
      </c>
      <c r="E663" s="123" t="n">
        <v>163.2</v>
      </c>
      <c r="F663" s="124">
        <f>IF(C663&lt;=30,5,IF(C663&lt;=60,4,IF(C663&lt;=120,3,IF(C663&lt;=200,2,1))))</f>
        <v/>
      </c>
      <c r="G663" s="124">
        <f>IF(D663&gt;=20,5,IF(D663&gt;=10,4,IF(D663&gt;=5,3,IF(D663&gt;=2,2,1))))</f>
        <v/>
      </c>
      <c r="H663" s="124">
        <f>IF(E663&gt;=5000,5,IF(E663&gt;=2000,4,IF(E663&gt;=800,3,IF(E663&gt;=300,2,1))))</f>
        <v/>
      </c>
      <c r="I663" s="122">
        <f>TEXT(F663,"0")&amp;TEXT(G663,"0")&amp;TEXT(H663,"0")</f>
        <v/>
      </c>
      <c r="J663" s="122">
        <f>IFERROR(XLOOKUP(I663,'Segment Map'!A:A,'Segment Map'!B:B,"Need Attention"),"Need Attention")</f>
        <v/>
      </c>
      <c r="K663" s="122">
        <f>IF(E663&gt;=5000,"🏆 Platinum",IF(E663&gt;=2000,"🥇 Gold",IF(E663&gt;=800,"🥈 Silver","🥉 Bronze")))</f>
        <v/>
      </c>
      <c r="L663" s="125" t="n">
        <v>40686</v>
      </c>
    </row>
    <row r="664">
      <c r="A664" s="126" t="n">
        <v>13224</v>
      </c>
      <c r="B664" s="126" t="inlineStr">
        <is>
          <t>United Kingdom</t>
        </is>
      </c>
      <c r="C664" s="126" t="n">
        <v>61</v>
      </c>
      <c r="D664" s="126" t="n">
        <v>2</v>
      </c>
      <c r="E664" s="127" t="n">
        <v>2155.95</v>
      </c>
      <c r="F664" s="128">
        <f>IF(C664&lt;=30,5,IF(C664&lt;=60,4,IF(C664&lt;=120,3,IF(C664&lt;=200,2,1))))</f>
        <v/>
      </c>
      <c r="G664" s="128">
        <f>IF(D664&gt;=20,5,IF(D664&gt;=10,4,IF(D664&gt;=5,3,IF(D664&gt;=2,2,1))))</f>
        <v/>
      </c>
      <c r="H664" s="128">
        <f>IF(E664&gt;=5000,5,IF(E664&gt;=2000,4,IF(E664&gt;=800,3,IF(E664&gt;=300,2,1))))</f>
        <v/>
      </c>
      <c r="I664" s="126">
        <f>TEXT(F664,"0")&amp;TEXT(G664,"0")&amp;TEXT(H664,"0")</f>
        <v/>
      </c>
      <c r="J664" s="126">
        <f>IFERROR(XLOOKUP(I664,'Segment Map'!A:A,'Segment Map'!B:B,"Need Attention"),"Need Attention")</f>
        <v/>
      </c>
      <c r="K664" s="126">
        <f>IF(E664&gt;=5000,"🏆 Platinum",IF(E664&gt;=2000,"🥇 Gold",IF(E664&gt;=800,"🥈 Silver","🥉 Bronze")))</f>
        <v/>
      </c>
      <c r="L664" s="129" t="n">
        <v>40826</v>
      </c>
    </row>
    <row r="665">
      <c r="A665" s="122" t="n">
        <v>13225</v>
      </c>
      <c r="B665" s="122" t="inlineStr">
        <is>
          <t>United Kingdom</t>
        </is>
      </c>
      <c r="C665" s="122" t="n">
        <v>4</v>
      </c>
      <c r="D665" s="122" t="n">
        <v>7</v>
      </c>
      <c r="E665" s="123" t="n">
        <v>6463.84</v>
      </c>
      <c r="F665" s="124">
        <f>IF(C665&lt;=30,5,IF(C665&lt;=60,4,IF(C665&lt;=120,3,IF(C665&lt;=200,2,1))))</f>
        <v/>
      </c>
      <c r="G665" s="124">
        <f>IF(D665&gt;=20,5,IF(D665&gt;=10,4,IF(D665&gt;=5,3,IF(D665&gt;=2,2,1))))</f>
        <v/>
      </c>
      <c r="H665" s="124">
        <f>IF(E665&gt;=5000,5,IF(E665&gt;=2000,4,IF(E665&gt;=800,3,IF(E665&gt;=300,2,1))))</f>
        <v/>
      </c>
      <c r="I665" s="122">
        <f>TEXT(F665,"0")&amp;TEXT(G665,"0")&amp;TEXT(H665,"0")</f>
        <v/>
      </c>
      <c r="J665" s="122">
        <f>IFERROR(XLOOKUP(I665,'Segment Map'!A:A,'Segment Map'!B:B,"Need Attention"),"Need Attention")</f>
        <v/>
      </c>
      <c r="K665" s="122">
        <f>IF(E665&gt;=5000,"🏆 Platinum",IF(E665&gt;=2000,"🥇 Gold",IF(E665&gt;=800,"🥈 Silver","🥉 Bronze")))</f>
        <v/>
      </c>
      <c r="L665" s="125" t="n">
        <v>40883</v>
      </c>
    </row>
    <row r="666">
      <c r="A666" s="126" t="n">
        <v>13226</v>
      </c>
      <c r="B666" s="126" t="inlineStr">
        <is>
          <t>United Kingdom</t>
        </is>
      </c>
      <c r="C666" s="126" t="n">
        <v>274</v>
      </c>
      <c r="D666" s="126" t="n">
        <v>1</v>
      </c>
      <c r="E666" s="127" t="n">
        <v>108.21</v>
      </c>
      <c r="F666" s="128">
        <f>IF(C666&lt;=30,5,IF(C666&lt;=60,4,IF(C666&lt;=120,3,IF(C666&lt;=200,2,1))))</f>
        <v/>
      </c>
      <c r="G666" s="128">
        <f>IF(D666&gt;=20,5,IF(D666&gt;=10,4,IF(D666&gt;=5,3,IF(D666&gt;=2,2,1))))</f>
        <v/>
      </c>
      <c r="H666" s="128">
        <f>IF(E666&gt;=5000,5,IF(E666&gt;=2000,4,IF(E666&gt;=800,3,IF(E666&gt;=300,2,1))))</f>
        <v/>
      </c>
      <c r="I666" s="126">
        <f>TEXT(F666,"0")&amp;TEXT(G666,"0")&amp;TEXT(H666,"0")</f>
        <v/>
      </c>
      <c r="J666" s="126">
        <f>IFERROR(XLOOKUP(I666,'Segment Map'!A:A,'Segment Map'!B:B,"Need Attention"),"Need Attention")</f>
        <v/>
      </c>
      <c r="K666" s="126">
        <f>IF(E666&gt;=5000,"🏆 Platinum",IF(E666&gt;=2000,"🥇 Gold",IF(E666&gt;=800,"🥈 Silver","🥉 Bronze")))</f>
        <v/>
      </c>
      <c r="L666" s="129" t="n">
        <v>40613</v>
      </c>
    </row>
    <row r="667">
      <c r="A667" s="122" t="n">
        <v>13227</v>
      </c>
      <c r="B667" s="122" t="inlineStr">
        <is>
          <t>United Kingdom</t>
        </is>
      </c>
      <c r="C667" s="122" t="n">
        <v>202</v>
      </c>
      <c r="D667" s="122" t="n">
        <v>1</v>
      </c>
      <c r="E667" s="123" t="n">
        <v>257.7</v>
      </c>
      <c r="F667" s="124">
        <f>IF(C667&lt;=30,5,IF(C667&lt;=60,4,IF(C667&lt;=120,3,IF(C667&lt;=200,2,1))))</f>
        <v/>
      </c>
      <c r="G667" s="124">
        <f>IF(D667&gt;=20,5,IF(D667&gt;=10,4,IF(D667&gt;=5,3,IF(D667&gt;=2,2,1))))</f>
        <v/>
      </c>
      <c r="H667" s="124">
        <f>IF(E667&gt;=5000,5,IF(E667&gt;=2000,4,IF(E667&gt;=800,3,IF(E667&gt;=300,2,1))))</f>
        <v/>
      </c>
      <c r="I667" s="122">
        <f>TEXT(F667,"0")&amp;TEXT(G667,"0")&amp;TEXT(H667,"0")</f>
        <v/>
      </c>
      <c r="J667" s="122">
        <f>IFERROR(XLOOKUP(I667,'Segment Map'!A:A,'Segment Map'!B:B,"Need Attention"),"Need Attention")</f>
        <v/>
      </c>
      <c r="K667" s="122">
        <f>IF(E667&gt;=5000,"🏆 Platinum",IF(E667&gt;=2000,"🥇 Gold",IF(E667&gt;=800,"🥈 Silver","🥉 Bronze")))</f>
        <v/>
      </c>
      <c r="L667" s="125" t="n">
        <v>40685</v>
      </c>
    </row>
    <row r="668">
      <c r="A668" s="126" t="n">
        <v>13228</v>
      </c>
      <c r="B668" s="126" t="inlineStr">
        <is>
          <t>United Kingdom</t>
        </is>
      </c>
      <c r="C668" s="126" t="n">
        <v>82</v>
      </c>
      <c r="D668" s="126" t="n">
        <v>1</v>
      </c>
      <c r="E668" s="127" t="n">
        <v>358</v>
      </c>
      <c r="F668" s="128">
        <f>IF(C668&lt;=30,5,IF(C668&lt;=60,4,IF(C668&lt;=120,3,IF(C668&lt;=200,2,1))))</f>
        <v/>
      </c>
      <c r="G668" s="128">
        <f>IF(D668&gt;=20,5,IF(D668&gt;=10,4,IF(D668&gt;=5,3,IF(D668&gt;=2,2,1))))</f>
        <v/>
      </c>
      <c r="H668" s="128">
        <f>IF(E668&gt;=5000,5,IF(E668&gt;=2000,4,IF(E668&gt;=800,3,IF(E668&gt;=300,2,1))))</f>
        <v/>
      </c>
      <c r="I668" s="126">
        <f>TEXT(F668,"0")&amp;TEXT(G668,"0")&amp;TEXT(H668,"0")</f>
        <v/>
      </c>
      <c r="J668" s="126">
        <f>IFERROR(XLOOKUP(I668,'Segment Map'!A:A,'Segment Map'!B:B,"Need Attention"),"Need Attention")</f>
        <v/>
      </c>
      <c r="K668" s="126">
        <f>IF(E668&gt;=5000,"🏆 Platinum",IF(E668&gt;=2000,"🥇 Gold",IF(E668&gt;=800,"🥈 Silver","🥉 Bronze")))</f>
        <v/>
      </c>
      <c r="L668" s="129" t="n">
        <v>40805</v>
      </c>
    </row>
    <row r="669">
      <c r="A669" s="122" t="n">
        <v>13229</v>
      </c>
      <c r="B669" s="122" t="inlineStr">
        <is>
          <t>United Kingdom</t>
        </is>
      </c>
      <c r="C669" s="122" t="n">
        <v>226</v>
      </c>
      <c r="D669" s="122" t="n">
        <v>1</v>
      </c>
      <c r="E669" s="123" t="n">
        <v>160.95</v>
      </c>
      <c r="F669" s="124">
        <f>IF(C669&lt;=30,5,IF(C669&lt;=60,4,IF(C669&lt;=120,3,IF(C669&lt;=200,2,1))))</f>
        <v/>
      </c>
      <c r="G669" s="124">
        <f>IF(D669&gt;=20,5,IF(D669&gt;=10,4,IF(D669&gt;=5,3,IF(D669&gt;=2,2,1))))</f>
        <v/>
      </c>
      <c r="H669" s="124">
        <f>IF(E669&gt;=5000,5,IF(E669&gt;=2000,4,IF(E669&gt;=800,3,IF(E669&gt;=300,2,1))))</f>
        <v/>
      </c>
      <c r="I669" s="122">
        <f>TEXT(F669,"0")&amp;TEXT(G669,"0")&amp;TEXT(H669,"0")</f>
        <v/>
      </c>
      <c r="J669" s="122">
        <f>IFERROR(XLOOKUP(I669,'Segment Map'!A:A,'Segment Map'!B:B,"Need Attention"),"Need Attention")</f>
        <v/>
      </c>
      <c r="K669" s="122">
        <f>IF(E669&gt;=5000,"🏆 Platinum",IF(E669&gt;=2000,"🥇 Gold",IF(E669&gt;=800,"🥈 Silver","🥉 Bronze")))</f>
        <v/>
      </c>
      <c r="L669" s="125" t="n">
        <v>40661</v>
      </c>
    </row>
    <row r="670">
      <c r="A670" s="126" t="n">
        <v>13230</v>
      </c>
      <c r="B670" s="126" t="inlineStr">
        <is>
          <t>United Kingdom</t>
        </is>
      </c>
      <c r="C670" s="126" t="n">
        <v>5</v>
      </c>
      <c r="D670" s="126" t="n">
        <v>14</v>
      </c>
      <c r="E670" s="127" t="n">
        <v>2806.97</v>
      </c>
      <c r="F670" s="128">
        <f>IF(C670&lt;=30,5,IF(C670&lt;=60,4,IF(C670&lt;=120,3,IF(C670&lt;=200,2,1))))</f>
        <v/>
      </c>
      <c r="G670" s="128">
        <f>IF(D670&gt;=20,5,IF(D670&gt;=10,4,IF(D670&gt;=5,3,IF(D670&gt;=2,2,1))))</f>
        <v/>
      </c>
      <c r="H670" s="128">
        <f>IF(E670&gt;=5000,5,IF(E670&gt;=2000,4,IF(E670&gt;=800,3,IF(E670&gt;=300,2,1))))</f>
        <v/>
      </c>
      <c r="I670" s="126">
        <f>TEXT(F670,"0")&amp;TEXT(G670,"0")&amp;TEXT(H670,"0")</f>
        <v/>
      </c>
      <c r="J670" s="126">
        <f>IFERROR(XLOOKUP(I670,'Segment Map'!A:A,'Segment Map'!B:B,"Need Attention"),"Need Attention")</f>
        <v/>
      </c>
      <c r="K670" s="126">
        <f>IF(E670&gt;=5000,"🏆 Platinum",IF(E670&gt;=2000,"🥇 Gold",IF(E670&gt;=800,"🥈 Silver","🥉 Bronze")))</f>
        <v/>
      </c>
      <c r="L670" s="129" t="n">
        <v>40882</v>
      </c>
    </row>
    <row r="671">
      <c r="A671" s="122" t="n">
        <v>13232</v>
      </c>
      <c r="B671" s="122" t="inlineStr">
        <is>
          <t>United Kingdom</t>
        </is>
      </c>
      <c r="C671" s="122" t="n">
        <v>13</v>
      </c>
      <c r="D671" s="122" t="n">
        <v>7</v>
      </c>
      <c r="E671" s="123" t="n">
        <v>1357.6</v>
      </c>
      <c r="F671" s="124">
        <f>IF(C671&lt;=30,5,IF(C671&lt;=60,4,IF(C671&lt;=120,3,IF(C671&lt;=200,2,1))))</f>
        <v/>
      </c>
      <c r="G671" s="124">
        <f>IF(D671&gt;=20,5,IF(D671&gt;=10,4,IF(D671&gt;=5,3,IF(D671&gt;=2,2,1))))</f>
        <v/>
      </c>
      <c r="H671" s="124">
        <f>IF(E671&gt;=5000,5,IF(E671&gt;=2000,4,IF(E671&gt;=800,3,IF(E671&gt;=300,2,1))))</f>
        <v/>
      </c>
      <c r="I671" s="122">
        <f>TEXT(F671,"0")&amp;TEXT(G671,"0")&amp;TEXT(H671,"0")</f>
        <v/>
      </c>
      <c r="J671" s="122">
        <f>IFERROR(XLOOKUP(I671,'Segment Map'!A:A,'Segment Map'!B:B,"Need Attention"),"Need Attention")</f>
        <v/>
      </c>
      <c r="K671" s="122">
        <f>IF(E671&gt;=5000,"🏆 Platinum",IF(E671&gt;=2000,"🥇 Gold",IF(E671&gt;=800,"🥈 Silver","🥉 Bronze")))</f>
        <v/>
      </c>
      <c r="L671" s="125" t="n">
        <v>40874</v>
      </c>
    </row>
    <row r="672">
      <c r="A672" s="126" t="n">
        <v>13233</v>
      </c>
      <c r="B672" s="126" t="inlineStr">
        <is>
          <t>United Kingdom</t>
        </is>
      </c>
      <c r="C672" s="126" t="n">
        <v>75</v>
      </c>
      <c r="D672" s="126" t="n">
        <v>2</v>
      </c>
      <c r="E672" s="127" t="n">
        <v>605.12</v>
      </c>
      <c r="F672" s="128">
        <f>IF(C672&lt;=30,5,IF(C672&lt;=60,4,IF(C672&lt;=120,3,IF(C672&lt;=200,2,1))))</f>
        <v/>
      </c>
      <c r="G672" s="128">
        <f>IF(D672&gt;=20,5,IF(D672&gt;=10,4,IF(D672&gt;=5,3,IF(D672&gt;=2,2,1))))</f>
        <v/>
      </c>
      <c r="H672" s="128">
        <f>IF(E672&gt;=5000,5,IF(E672&gt;=2000,4,IF(E672&gt;=800,3,IF(E672&gt;=300,2,1))))</f>
        <v/>
      </c>
      <c r="I672" s="126">
        <f>TEXT(F672,"0")&amp;TEXT(G672,"0")&amp;TEXT(H672,"0")</f>
        <v/>
      </c>
      <c r="J672" s="126">
        <f>IFERROR(XLOOKUP(I672,'Segment Map'!A:A,'Segment Map'!B:B,"Need Attention"),"Need Attention")</f>
        <v/>
      </c>
      <c r="K672" s="126">
        <f>IF(E672&gt;=5000,"🏆 Platinum",IF(E672&gt;=2000,"🥇 Gold",IF(E672&gt;=800,"🥈 Silver","🥉 Bronze")))</f>
        <v/>
      </c>
      <c r="L672" s="129" t="n">
        <v>40812</v>
      </c>
    </row>
    <row r="673">
      <c r="A673" s="122" t="n">
        <v>13235</v>
      </c>
      <c r="B673" s="122" t="inlineStr">
        <is>
          <t>United Kingdom</t>
        </is>
      </c>
      <c r="C673" s="122" t="n">
        <v>213</v>
      </c>
      <c r="D673" s="122" t="n">
        <v>1</v>
      </c>
      <c r="E673" s="123" t="n">
        <v>1031.07</v>
      </c>
      <c r="F673" s="124">
        <f>IF(C673&lt;=30,5,IF(C673&lt;=60,4,IF(C673&lt;=120,3,IF(C673&lt;=200,2,1))))</f>
        <v/>
      </c>
      <c r="G673" s="124">
        <f>IF(D673&gt;=20,5,IF(D673&gt;=10,4,IF(D673&gt;=5,3,IF(D673&gt;=2,2,1))))</f>
        <v/>
      </c>
      <c r="H673" s="124">
        <f>IF(E673&gt;=5000,5,IF(E673&gt;=2000,4,IF(E673&gt;=800,3,IF(E673&gt;=300,2,1))))</f>
        <v/>
      </c>
      <c r="I673" s="122">
        <f>TEXT(F673,"0")&amp;TEXT(G673,"0")&amp;TEXT(H673,"0")</f>
        <v/>
      </c>
      <c r="J673" s="122">
        <f>IFERROR(XLOOKUP(I673,'Segment Map'!A:A,'Segment Map'!B:B,"Need Attention"),"Need Attention")</f>
        <v/>
      </c>
      <c r="K673" s="122">
        <f>IF(E673&gt;=5000,"🏆 Platinum",IF(E673&gt;=2000,"🥇 Gold",IF(E673&gt;=800,"🥈 Silver","🥉 Bronze")))</f>
        <v/>
      </c>
      <c r="L673" s="125" t="n">
        <v>40674</v>
      </c>
    </row>
    <row r="674">
      <c r="A674" s="126" t="n">
        <v>13236</v>
      </c>
      <c r="B674" s="126" t="inlineStr">
        <is>
          <t>United Kingdom</t>
        </is>
      </c>
      <c r="C674" s="126" t="n">
        <v>25</v>
      </c>
      <c r="D674" s="126" t="n">
        <v>2</v>
      </c>
      <c r="E674" s="127" t="n">
        <v>744.85</v>
      </c>
      <c r="F674" s="128">
        <f>IF(C674&lt;=30,5,IF(C674&lt;=60,4,IF(C674&lt;=120,3,IF(C674&lt;=200,2,1))))</f>
        <v/>
      </c>
      <c r="G674" s="128">
        <f>IF(D674&gt;=20,5,IF(D674&gt;=10,4,IF(D674&gt;=5,3,IF(D674&gt;=2,2,1))))</f>
        <v/>
      </c>
      <c r="H674" s="128">
        <f>IF(E674&gt;=5000,5,IF(E674&gt;=2000,4,IF(E674&gt;=800,3,IF(E674&gt;=300,2,1))))</f>
        <v/>
      </c>
      <c r="I674" s="126">
        <f>TEXT(F674,"0")&amp;TEXT(G674,"0")&amp;TEXT(H674,"0")</f>
        <v/>
      </c>
      <c r="J674" s="126">
        <f>IFERROR(XLOOKUP(I674,'Segment Map'!A:A,'Segment Map'!B:B,"Need Attention"),"Need Attention")</f>
        <v/>
      </c>
      <c r="K674" s="126">
        <f>IF(E674&gt;=5000,"🏆 Platinum",IF(E674&gt;=2000,"🥇 Gold",IF(E674&gt;=800,"🥈 Silver","🥉 Bronze")))</f>
        <v/>
      </c>
      <c r="L674" s="129" t="n">
        <v>40862</v>
      </c>
    </row>
    <row r="675">
      <c r="A675" s="122" t="n">
        <v>13238</v>
      </c>
      <c r="B675" s="122" t="inlineStr">
        <is>
          <t>United Kingdom</t>
        </is>
      </c>
      <c r="C675" s="122" t="n">
        <v>18</v>
      </c>
      <c r="D675" s="122" t="n">
        <v>4</v>
      </c>
      <c r="E675" s="123" t="n">
        <v>700.73</v>
      </c>
      <c r="F675" s="124">
        <f>IF(C675&lt;=30,5,IF(C675&lt;=60,4,IF(C675&lt;=120,3,IF(C675&lt;=200,2,1))))</f>
        <v/>
      </c>
      <c r="G675" s="124">
        <f>IF(D675&gt;=20,5,IF(D675&gt;=10,4,IF(D675&gt;=5,3,IF(D675&gt;=2,2,1))))</f>
        <v/>
      </c>
      <c r="H675" s="124">
        <f>IF(E675&gt;=5000,5,IF(E675&gt;=2000,4,IF(E675&gt;=800,3,IF(E675&gt;=300,2,1))))</f>
        <v/>
      </c>
      <c r="I675" s="122">
        <f>TEXT(F675,"0")&amp;TEXT(G675,"0")&amp;TEXT(H675,"0")</f>
        <v/>
      </c>
      <c r="J675" s="122">
        <f>IFERROR(XLOOKUP(I675,'Segment Map'!A:A,'Segment Map'!B:B,"Need Attention"),"Need Attention")</f>
        <v/>
      </c>
      <c r="K675" s="122">
        <f>IF(E675&gt;=5000,"🏆 Platinum",IF(E675&gt;=2000,"🥇 Gold",IF(E675&gt;=800,"🥈 Silver","🥉 Bronze")))</f>
        <v/>
      </c>
      <c r="L675" s="125" t="n">
        <v>40869</v>
      </c>
    </row>
    <row r="676">
      <c r="A676" s="126" t="n">
        <v>13239</v>
      </c>
      <c r="B676" s="126" t="inlineStr">
        <is>
          <t>United Kingdom</t>
        </is>
      </c>
      <c r="C676" s="126" t="n">
        <v>262</v>
      </c>
      <c r="D676" s="126" t="n">
        <v>1</v>
      </c>
      <c r="E676" s="127" t="n">
        <v>329.56</v>
      </c>
      <c r="F676" s="128">
        <f>IF(C676&lt;=30,5,IF(C676&lt;=60,4,IF(C676&lt;=120,3,IF(C676&lt;=200,2,1))))</f>
        <v/>
      </c>
      <c r="G676" s="128">
        <f>IF(D676&gt;=20,5,IF(D676&gt;=10,4,IF(D676&gt;=5,3,IF(D676&gt;=2,2,1))))</f>
        <v/>
      </c>
      <c r="H676" s="128">
        <f>IF(E676&gt;=5000,5,IF(E676&gt;=2000,4,IF(E676&gt;=800,3,IF(E676&gt;=300,2,1))))</f>
        <v/>
      </c>
      <c r="I676" s="126">
        <f>TEXT(F676,"0")&amp;TEXT(G676,"0")&amp;TEXT(H676,"0")</f>
        <v/>
      </c>
      <c r="J676" s="126">
        <f>IFERROR(XLOOKUP(I676,'Segment Map'!A:A,'Segment Map'!B:B,"Need Attention"),"Need Attention")</f>
        <v/>
      </c>
      <c r="K676" s="126">
        <f>IF(E676&gt;=5000,"🏆 Platinum",IF(E676&gt;=2000,"🥇 Gold",IF(E676&gt;=800,"🥈 Silver","🥉 Bronze")))</f>
        <v/>
      </c>
      <c r="L676" s="129" t="n">
        <v>40625</v>
      </c>
    </row>
    <row r="677">
      <c r="A677" s="122" t="n">
        <v>13240</v>
      </c>
      <c r="B677" s="122" t="inlineStr">
        <is>
          <t>United Kingdom</t>
        </is>
      </c>
      <c r="C677" s="122" t="n">
        <v>97</v>
      </c>
      <c r="D677" s="122" t="n">
        <v>4</v>
      </c>
      <c r="E677" s="123" t="n">
        <v>663.65</v>
      </c>
      <c r="F677" s="124">
        <f>IF(C677&lt;=30,5,IF(C677&lt;=60,4,IF(C677&lt;=120,3,IF(C677&lt;=200,2,1))))</f>
        <v/>
      </c>
      <c r="G677" s="124">
        <f>IF(D677&gt;=20,5,IF(D677&gt;=10,4,IF(D677&gt;=5,3,IF(D677&gt;=2,2,1))))</f>
        <v/>
      </c>
      <c r="H677" s="124">
        <f>IF(E677&gt;=5000,5,IF(E677&gt;=2000,4,IF(E677&gt;=800,3,IF(E677&gt;=300,2,1))))</f>
        <v/>
      </c>
      <c r="I677" s="122">
        <f>TEXT(F677,"0")&amp;TEXT(G677,"0")&amp;TEXT(H677,"0")</f>
        <v/>
      </c>
      <c r="J677" s="122">
        <f>IFERROR(XLOOKUP(I677,'Segment Map'!A:A,'Segment Map'!B:B,"Need Attention"),"Need Attention")</f>
        <v/>
      </c>
      <c r="K677" s="122">
        <f>IF(E677&gt;=5000,"🏆 Platinum",IF(E677&gt;=2000,"🥇 Gold",IF(E677&gt;=800,"🥈 Silver","🥉 Bronze")))</f>
        <v/>
      </c>
      <c r="L677" s="125" t="n">
        <v>40790</v>
      </c>
    </row>
    <row r="678">
      <c r="A678" s="126" t="n">
        <v>13242</v>
      </c>
      <c r="B678" s="126" t="inlineStr">
        <is>
          <t>United Kingdom</t>
        </is>
      </c>
      <c r="C678" s="126" t="n">
        <v>113</v>
      </c>
      <c r="D678" s="126" t="n">
        <v>3</v>
      </c>
      <c r="E678" s="127" t="n">
        <v>270.4</v>
      </c>
      <c r="F678" s="128">
        <f>IF(C678&lt;=30,5,IF(C678&lt;=60,4,IF(C678&lt;=120,3,IF(C678&lt;=200,2,1))))</f>
        <v/>
      </c>
      <c r="G678" s="128">
        <f>IF(D678&gt;=20,5,IF(D678&gt;=10,4,IF(D678&gt;=5,3,IF(D678&gt;=2,2,1))))</f>
        <v/>
      </c>
      <c r="H678" s="128">
        <f>IF(E678&gt;=5000,5,IF(E678&gt;=2000,4,IF(E678&gt;=800,3,IF(E678&gt;=300,2,1))))</f>
        <v/>
      </c>
      <c r="I678" s="126">
        <f>TEXT(F678,"0")&amp;TEXT(G678,"0")&amp;TEXT(H678,"0")</f>
        <v/>
      </c>
      <c r="J678" s="126">
        <f>IFERROR(XLOOKUP(I678,'Segment Map'!A:A,'Segment Map'!B:B,"Need Attention"),"Need Attention")</f>
        <v/>
      </c>
      <c r="K678" s="126">
        <f>IF(E678&gt;=5000,"🏆 Platinum",IF(E678&gt;=2000,"🥇 Gold",IF(E678&gt;=800,"🥈 Silver","🥉 Bronze")))</f>
        <v/>
      </c>
      <c r="L678" s="129" t="n">
        <v>40774</v>
      </c>
    </row>
    <row r="679">
      <c r="A679" s="122" t="n">
        <v>13243</v>
      </c>
      <c r="B679" s="122" t="inlineStr">
        <is>
          <t>United Kingdom</t>
        </is>
      </c>
      <c r="C679" s="122" t="n">
        <v>204</v>
      </c>
      <c r="D679" s="122" t="n">
        <v>1</v>
      </c>
      <c r="E679" s="123" t="n">
        <v>600.0700000000001</v>
      </c>
      <c r="F679" s="124">
        <f>IF(C679&lt;=30,5,IF(C679&lt;=60,4,IF(C679&lt;=120,3,IF(C679&lt;=200,2,1))))</f>
        <v/>
      </c>
      <c r="G679" s="124">
        <f>IF(D679&gt;=20,5,IF(D679&gt;=10,4,IF(D679&gt;=5,3,IF(D679&gt;=2,2,1))))</f>
        <v/>
      </c>
      <c r="H679" s="124">
        <f>IF(E679&gt;=5000,5,IF(E679&gt;=2000,4,IF(E679&gt;=800,3,IF(E679&gt;=300,2,1))))</f>
        <v/>
      </c>
      <c r="I679" s="122">
        <f>TEXT(F679,"0")&amp;TEXT(G679,"0")&amp;TEXT(H679,"0")</f>
        <v/>
      </c>
      <c r="J679" s="122">
        <f>IFERROR(XLOOKUP(I679,'Segment Map'!A:A,'Segment Map'!B:B,"Need Attention"),"Need Attention")</f>
        <v/>
      </c>
      <c r="K679" s="122">
        <f>IF(E679&gt;=5000,"🏆 Platinum",IF(E679&gt;=2000,"🥇 Gold",IF(E679&gt;=800,"🥈 Silver","🥉 Bronze")))</f>
        <v/>
      </c>
      <c r="L679" s="125" t="n">
        <v>40683</v>
      </c>
    </row>
    <row r="680">
      <c r="A680" s="126" t="n">
        <v>13244</v>
      </c>
      <c r="B680" s="126" t="inlineStr">
        <is>
          <t>United Kingdom</t>
        </is>
      </c>
      <c r="C680" s="126" t="n">
        <v>93</v>
      </c>
      <c r="D680" s="126" t="n">
        <v>1</v>
      </c>
      <c r="E680" s="127" t="n">
        <v>121.74</v>
      </c>
      <c r="F680" s="128">
        <f>IF(C680&lt;=30,5,IF(C680&lt;=60,4,IF(C680&lt;=120,3,IF(C680&lt;=200,2,1))))</f>
        <v/>
      </c>
      <c r="G680" s="128">
        <f>IF(D680&gt;=20,5,IF(D680&gt;=10,4,IF(D680&gt;=5,3,IF(D680&gt;=2,2,1))))</f>
        <v/>
      </c>
      <c r="H680" s="128">
        <f>IF(E680&gt;=5000,5,IF(E680&gt;=2000,4,IF(E680&gt;=800,3,IF(E680&gt;=300,2,1))))</f>
        <v/>
      </c>
      <c r="I680" s="126">
        <f>TEXT(F680,"0")&amp;TEXT(G680,"0")&amp;TEXT(H680,"0")</f>
        <v/>
      </c>
      <c r="J680" s="126">
        <f>IFERROR(XLOOKUP(I680,'Segment Map'!A:A,'Segment Map'!B:B,"Need Attention"),"Need Attention")</f>
        <v/>
      </c>
      <c r="K680" s="126">
        <f>IF(E680&gt;=5000,"🏆 Platinum",IF(E680&gt;=2000,"🥇 Gold",IF(E680&gt;=800,"🥈 Silver","🥉 Bronze")))</f>
        <v/>
      </c>
      <c r="L680" s="129" t="n">
        <v>40794</v>
      </c>
    </row>
    <row r="681">
      <c r="A681" s="122" t="n">
        <v>13245</v>
      </c>
      <c r="B681" s="122" t="inlineStr">
        <is>
          <t>United Kingdom</t>
        </is>
      </c>
      <c r="C681" s="122" t="n">
        <v>51</v>
      </c>
      <c r="D681" s="122" t="n">
        <v>1</v>
      </c>
      <c r="E681" s="123" t="n">
        <v>430.5</v>
      </c>
      <c r="F681" s="124">
        <f>IF(C681&lt;=30,5,IF(C681&lt;=60,4,IF(C681&lt;=120,3,IF(C681&lt;=200,2,1))))</f>
        <v/>
      </c>
      <c r="G681" s="124">
        <f>IF(D681&gt;=20,5,IF(D681&gt;=10,4,IF(D681&gt;=5,3,IF(D681&gt;=2,2,1))))</f>
        <v/>
      </c>
      <c r="H681" s="124">
        <f>IF(E681&gt;=5000,5,IF(E681&gt;=2000,4,IF(E681&gt;=800,3,IF(E681&gt;=300,2,1))))</f>
        <v/>
      </c>
      <c r="I681" s="122">
        <f>TEXT(F681,"0")&amp;TEXT(G681,"0")&amp;TEXT(H681,"0")</f>
        <v/>
      </c>
      <c r="J681" s="122">
        <f>IFERROR(XLOOKUP(I681,'Segment Map'!A:A,'Segment Map'!B:B,"Need Attention"),"Need Attention")</f>
        <v/>
      </c>
      <c r="K681" s="122">
        <f>IF(E681&gt;=5000,"🏆 Platinum",IF(E681&gt;=2000,"🥇 Gold",IF(E681&gt;=800,"🥈 Silver","🥉 Bronze")))</f>
        <v/>
      </c>
      <c r="L681" s="125" t="n">
        <v>40836</v>
      </c>
    </row>
    <row r="682">
      <c r="A682" s="126" t="n">
        <v>13246</v>
      </c>
      <c r="B682" s="126" t="inlineStr">
        <is>
          <t>United Kingdom</t>
        </is>
      </c>
      <c r="C682" s="126" t="n">
        <v>19</v>
      </c>
      <c r="D682" s="126" t="n">
        <v>6</v>
      </c>
      <c r="E682" s="127" t="n">
        <v>1987.3</v>
      </c>
      <c r="F682" s="128">
        <f>IF(C682&lt;=30,5,IF(C682&lt;=60,4,IF(C682&lt;=120,3,IF(C682&lt;=200,2,1))))</f>
        <v/>
      </c>
      <c r="G682" s="128">
        <f>IF(D682&gt;=20,5,IF(D682&gt;=10,4,IF(D682&gt;=5,3,IF(D682&gt;=2,2,1))))</f>
        <v/>
      </c>
      <c r="H682" s="128">
        <f>IF(E682&gt;=5000,5,IF(E682&gt;=2000,4,IF(E682&gt;=800,3,IF(E682&gt;=300,2,1))))</f>
        <v/>
      </c>
      <c r="I682" s="126">
        <f>TEXT(F682,"0")&amp;TEXT(G682,"0")&amp;TEXT(H682,"0")</f>
        <v/>
      </c>
      <c r="J682" s="126">
        <f>IFERROR(XLOOKUP(I682,'Segment Map'!A:A,'Segment Map'!B:B,"Need Attention"),"Need Attention")</f>
        <v/>
      </c>
      <c r="K682" s="126">
        <f>IF(E682&gt;=5000,"🏆 Platinum",IF(E682&gt;=2000,"🥇 Gold",IF(E682&gt;=800,"🥈 Silver","🥉 Bronze")))</f>
        <v/>
      </c>
      <c r="L682" s="129" t="n">
        <v>40868</v>
      </c>
    </row>
    <row r="683">
      <c r="A683" s="122" t="n">
        <v>13247</v>
      </c>
      <c r="B683" s="122" t="inlineStr">
        <is>
          <t>United Kingdom</t>
        </is>
      </c>
      <c r="C683" s="122" t="n">
        <v>18</v>
      </c>
      <c r="D683" s="122" t="n">
        <v>4</v>
      </c>
      <c r="E683" s="123" t="n">
        <v>501.12</v>
      </c>
      <c r="F683" s="124">
        <f>IF(C683&lt;=30,5,IF(C683&lt;=60,4,IF(C683&lt;=120,3,IF(C683&lt;=200,2,1))))</f>
        <v/>
      </c>
      <c r="G683" s="124">
        <f>IF(D683&gt;=20,5,IF(D683&gt;=10,4,IF(D683&gt;=5,3,IF(D683&gt;=2,2,1))))</f>
        <v/>
      </c>
      <c r="H683" s="124">
        <f>IF(E683&gt;=5000,5,IF(E683&gt;=2000,4,IF(E683&gt;=800,3,IF(E683&gt;=300,2,1))))</f>
        <v/>
      </c>
      <c r="I683" s="122">
        <f>TEXT(F683,"0")&amp;TEXT(G683,"0")&amp;TEXT(H683,"0")</f>
        <v/>
      </c>
      <c r="J683" s="122">
        <f>IFERROR(XLOOKUP(I683,'Segment Map'!A:A,'Segment Map'!B:B,"Need Attention"),"Need Attention")</f>
        <v/>
      </c>
      <c r="K683" s="122">
        <f>IF(E683&gt;=5000,"🏆 Platinum",IF(E683&gt;=2000,"🥇 Gold",IF(E683&gt;=800,"🥈 Silver","🥉 Bronze")))</f>
        <v/>
      </c>
      <c r="L683" s="125" t="n">
        <v>40869</v>
      </c>
    </row>
    <row r="684">
      <c r="A684" s="126" t="n">
        <v>13248</v>
      </c>
      <c r="B684" s="126" t="inlineStr">
        <is>
          <t>United Kingdom</t>
        </is>
      </c>
      <c r="C684" s="126" t="n">
        <v>125</v>
      </c>
      <c r="D684" s="126" t="n">
        <v>2</v>
      </c>
      <c r="E684" s="127" t="n">
        <v>465.68</v>
      </c>
      <c r="F684" s="128">
        <f>IF(C684&lt;=30,5,IF(C684&lt;=60,4,IF(C684&lt;=120,3,IF(C684&lt;=200,2,1))))</f>
        <v/>
      </c>
      <c r="G684" s="128">
        <f>IF(D684&gt;=20,5,IF(D684&gt;=10,4,IF(D684&gt;=5,3,IF(D684&gt;=2,2,1))))</f>
        <v/>
      </c>
      <c r="H684" s="128">
        <f>IF(E684&gt;=5000,5,IF(E684&gt;=2000,4,IF(E684&gt;=800,3,IF(E684&gt;=300,2,1))))</f>
        <v/>
      </c>
      <c r="I684" s="126">
        <f>TEXT(F684,"0")&amp;TEXT(G684,"0")&amp;TEXT(H684,"0")</f>
        <v/>
      </c>
      <c r="J684" s="126">
        <f>IFERROR(XLOOKUP(I684,'Segment Map'!A:A,'Segment Map'!B:B,"Need Attention"),"Need Attention")</f>
        <v/>
      </c>
      <c r="K684" s="126">
        <f>IF(E684&gt;=5000,"🏆 Platinum",IF(E684&gt;=2000,"🥇 Gold",IF(E684&gt;=800,"🥈 Silver","🥉 Bronze")))</f>
        <v/>
      </c>
      <c r="L684" s="129" t="n">
        <v>40762</v>
      </c>
    </row>
    <row r="685">
      <c r="A685" s="122" t="n">
        <v>13249</v>
      </c>
      <c r="B685" s="122" t="inlineStr">
        <is>
          <t>United Kingdom</t>
        </is>
      </c>
      <c r="C685" s="122" t="n">
        <v>93</v>
      </c>
      <c r="D685" s="122" t="n">
        <v>3</v>
      </c>
      <c r="E685" s="123" t="n">
        <v>711.41</v>
      </c>
      <c r="F685" s="124">
        <f>IF(C685&lt;=30,5,IF(C685&lt;=60,4,IF(C685&lt;=120,3,IF(C685&lt;=200,2,1))))</f>
        <v/>
      </c>
      <c r="G685" s="124">
        <f>IF(D685&gt;=20,5,IF(D685&gt;=10,4,IF(D685&gt;=5,3,IF(D685&gt;=2,2,1))))</f>
        <v/>
      </c>
      <c r="H685" s="124">
        <f>IF(E685&gt;=5000,5,IF(E685&gt;=2000,4,IF(E685&gt;=800,3,IF(E685&gt;=300,2,1))))</f>
        <v/>
      </c>
      <c r="I685" s="122">
        <f>TEXT(F685,"0")&amp;TEXT(G685,"0")&amp;TEXT(H685,"0")</f>
        <v/>
      </c>
      <c r="J685" s="122">
        <f>IFERROR(XLOOKUP(I685,'Segment Map'!A:A,'Segment Map'!B:B,"Need Attention"),"Need Attention")</f>
        <v/>
      </c>
      <c r="K685" s="122">
        <f>IF(E685&gt;=5000,"🏆 Platinum",IF(E685&gt;=2000,"🥇 Gold",IF(E685&gt;=800,"🥈 Silver","🥉 Bronze")))</f>
        <v/>
      </c>
      <c r="L685" s="125" t="n">
        <v>40794</v>
      </c>
    </row>
    <row r="686">
      <c r="A686" s="126" t="n">
        <v>13253</v>
      </c>
      <c r="B686" s="126" t="inlineStr">
        <is>
          <t>United Kingdom</t>
        </is>
      </c>
      <c r="C686" s="126" t="n">
        <v>157</v>
      </c>
      <c r="D686" s="126" t="n">
        <v>2</v>
      </c>
      <c r="E686" s="127" t="n">
        <v>1030.4</v>
      </c>
      <c r="F686" s="128">
        <f>IF(C686&lt;=30,5,IF(C686&lt;=60,4,IF(C686&lt;=120,3,IF(C686&lt;=200,2,1))))</f>
        <v/>
      </c>
      <c r="G686" s="128">
        <f>IF(D686&gt;=20,5,IF(D686&gt;=10,4,IF(D686&gt;=5,3,IF(D686&gt;=2,2,1))))</f>
        <v/>
      </c>
      <c r="H686" s="128">
        <f>IF(E686&gt;=5000,5,IF(E686&gt;=2000,4,IF(E686&gt;=800,3,IF(E686&gt;=300,2,1))))</f>
        <v/>
      </c>
      <c r="I686" s="126">
        <f>TEXT(F686,"0")&amp;TEXT(G686,"0")&amp;TEXT(H686,"0")</f>
        <v/>
      </c>
      <c r="J686" s="126">
        <f>IFERROR(XLOOKUP(I686,'Segment Map'!A:A,'Segment Map'!B:B,"Need Attention"),"Need Attention")</f>
        <v/>
      </c>
      <c r="K686" s="126">
        <f>IF(E686&gt;=5000,"🏆 Platinum",IF(E686&gt;=2000,"🥇 Gold",IF(E686&gt;=800,"🥈 Silver","🥉 Bronze")))</f>
        <v/>
      </c>
      <c r="L686" s="129" t="n">
        <v>40730</v>
      </c>
    </row>
    <row r="687">
      <c r="A687" s="122" t="n">
        <v>13255</v>
      </c>
      <c r="B687" s="122" t="inlineStr">
        <is>
          <t>United Kingdom</t>
        </is>
      </c>
      <c r="C687" s="122" t="n">
        <v>10</v>
      </c>
      <c r="D687" s="122" t="n">
        <v>2</v>
      </c>
      <c r="E687" s="123" t="n">
        <v>399.51</v>
      </c>
      <c r="F687" s="124">
        <f>IF(C687&lt;=30,5,IF(C687&lt;=60,4,IF(C687&lt;=120,3,IF(C687&lt;=200,2,1))))</f>
        <v/>
      </c>
      <c r="G687" s="124">
        <f>IF(D687&gt;=20,5,IF(D687&gt;=10,4,IF(D687&gt;=5,3,IF(D687&gt;=2,2,1))))</f>
        <v/>
      </c>
      <c r="H687" s="124">
        <f>IF(E687&gt;=5000,5,IF(E687&gt;=2000,4,IF(E687&gt;=800,3,IF(E687&gt;=300,2,1))))</f>
        <v/>
      </c>
      <c r="I687" s="122">
        <f>TEXT(F687,"0")&amp;TEXT(G687,"0")&amp;TEXT(H687,"0")</f>
        <v/>
      </c>
      <c r="J687" s="122">
        <f>IFERROR(XLOOKUP(I687,'Segment Map'!A:A,'Segment Map'!B:B,"Need Attention"),"Need Attention")</f>
        <v/>
      </c>
      <c r="K687" s="122">
        <f>IF(E687&gt;=5000,"🏆 Platinum",IF(E687&gt;=2000,"🥇 Gold",IF(E687&gt;=800,"🥈 Silver","🥉 Bronze")))</f>
        <v/>
      </c>
      <c r="L687" s="125" t="n">
        <v>40877</v>
      </c>
    </row>
    <row r="688">
      <c r="A688" s="126" t="n">
        <v>13258</v>
      </c>
      <c r="B688" s="126" t="inlineStr">
        <is>
          <t>United Kingdom</t>
        </is>
      </c>
      <c r="C688" s="126" t="n">
        <v>12</v>
      </c>
      <c r="D688" s="126" t="n">
        <v>3</v>
      </c>
      <c r="E688" s="127" t="n">
        <v>698.58</v>
      </c>
      <c r="F688" s="128">
        <f>IF(C688&lt;=30,5,IF(C688&lt;=60,4,IF(C688&lt;=120,3,IF(C688&lt;=200,2,1))))</f>
        <v/>
      </c>
      <c r="G688" s="128">
        <f>IF(D688&gt;=20,5,IF(D688&gt;=10,4,IF(D688&gt;=5,3,IF(D688&gt;=2,2,1))))</f>
        <v/>
      </c>
      <c r="H688" s="128">
        <f>IF(E688&gt;=5000,5,IF(E688&gt;=2000,4,IF(E688&gt;=800,3,IF(E688&gt;=300,2,1))))</f>
        <v/>
      </c>
      <c r="I688" s="126">
        <f>TEXT(F688,"0")&amp;TEXT(G688,"0")&amp;TEXT(H688,"0")</f>
        <v/>
      </c>
      <c r="J688" s="126">
        <f>IFERROR(XLOOKUP(I688,'Segment Map'!A:A,'Segment Map'!B:B,"Need Attention"),"Need Attention")</f>
        <v/>
      </c>
      <c r="K688" s="126">
        <f>IF(E688&gt;=5000,"🏆 Platinum",IF(E688&gt;=2000,"🥇 Gold",IF(E688&gt;=800,"🥈 Silver","🥉 Bronze")))</f>
        <v/>
      </c>
      <c r="L688" s="129" t="n">
        <v>40875</v>
      </c>
    </row>
    <row r="689">
      <c r="A689" s="122" t="n">
        <v>13259</v>
      </c>
      <c r="B689" s="122" t="inlineStr">
        <is>
          <t>United Kingdom</t>
        </is>
      </c>
      <c r="C689" s="122" t="n">
        <v>62</v>
      </c>
      <c r="D689" s="122" t="n">
        <v>1</v>
      </c>
      <c r="E689" s="123" t="n">
        <v>292.32</v>
      </c>
      <c r="F689" s="124">
        <f>IF(C689&lt;=30,5,IF(C689&lt;=60,4,IF(C689&lt;=120,3,IF(C689&lt;=200,2,1))))</f>
        <v/>
      </c>
      <c r="G689" s="124">
        <f>IF(D689&gt;=20,5,IF(D689&gt;=10,4,IF(D689&gt;=5,3,IF(D689&gt;=2,2,1))))</f>
        <v/>
      </c>
      <c r="H689" s="124">
        <f>IF(E689&gt;=5000,5,IF(E689&gt;=2000,4,IF(E689&gt;=800,3,IF(E689&gt;=300,2,1))))</f>
        <v/>
      </c>
      <c r="I689" s="122">
        <f>TEXT(F689,"0")&amp;TEXT(G689,"0")&amp;TEXT(H689,"0")</f>
        <v/>
      </c>
      <c r="J689" s="122">
        <f>IFERROR(XLOOKUP(I689,'Segment Map'!A:A,'Segment Map'!B:B,"Need Attention"),"Need Attention")</f>
        <v/>
      </c>
      <c r="K689" s="122">
        <f>IF(E689&gt;=5000,"🏆 Platinum",IF(E689&gt;=2000,"🥇 Gold",IF(E689&gt;=800,"🥈 Silver","🥉 Bronze")))</f>
        <v/>
      </c>
      <c r="L689" s="125" t="n">
        <v>40825</v>
      </c>
    </row>
    <row r="690">
      <c r="A690" s="126" t="n">
        <v>13260</v>
      </c>
      <c r="B690" s="126" t="inlineStr">
        <is>
          <t>United Kingdom</t>
        </is>
      </c>
      <c r="C690" s="126" t="n">
        <v>62</v>
      </c>
      <c r="D690" s="126" t="n">
        <v>1</v>
      </c>
      <c r="E690" s="127" t="n">
        <v>557.62</v>
      </c>
      <c r="F690" s="128">
        <f>IF(C690&lt;=30,5,IF(C690&lt;=60,4,IF(C690&lt;=120,3,IF(C690&lt;=200,2,1))))</f>
        <v/>
      </c>
      <c r="G690" s="128">
        <f>IF(D690&gt;=20,5,IF(D690&gt;=10,4,IF(D690&gt;=5,3,IF(D690&gt;=2,2,1))))</f>
        <v/>
      </c>
      <c r="H690" s="128">
        <f>IF(E690&gt;=5000,5,IF(E690&gt;=2000,4,IF(E690&gt;=800,3,IF(E690&gt;=300,2,1))))</f>
        <v/>
      </c>
      <c r="I690" s="126">
        <f>TEXT(F690,"0")&amp;TEXT(G690,"0")&amp;TEXT(H690,"0")</f>
        <v/>
      </c>
      <c r="J690" s="126">
        <f>IFERROR(XLOOKUP(I690,'Segment Map'!A:A,'Segment Map'!B:B,"Need Attention"),"Need Attention")</f>
        <v/>
      </c>
      <c r="K690" s="126">
        <f>IF(E690&gt;=5000,"🏆 Platinum",IF(E690&gt;=2000,"🥇 Gold",IF(E690&gt;=800,"🥈 Silver","🥉 Bronze")))</f>
        <v/>
      </c>
      <c r="L690" s="129" t="n">
        <v>40825</v>
      </c>
    </row>
    <row r="691">
      <c r="A691" s="122" t="n">
        <v>13261</v>
      </c>
      <c r="B691" s="122" t="inlineStr">
        <is>
          <t>United Kingdom</t>
        </is>
      </c>
      <c r="C691" s="122" t="n">
        <v>269</v>
      </c>
      <c r="D691" s="122" t="n">
        <v>2</v>
      </c>
      <c r="E691" s="123" t="n">
        <v>944.1</v>
      </c>
      <c r="F691" s="124">
        <f>IF(C691&lt;=30,5,IF(C691&lt;=60,4,IF(C691&lt;=120,3,IF(C691&lt;=200,2,1))))</f>
        <v/>
      </c>
      <c r="G691" s="124">
        <f>IF(D691&gt;=20,5,IF(D691&gt;=10,4,IF(D691&gt;=5,3,IF(D691&gt;=2,2,1))))</f>
        <v/>
      </c>
      <c r="H691" s="124">
        <f>IF(E691&gt;=5000,5,IF(E691&gt;=2000,4,IF(E691&gt;=800,3,IF(E691&gt;=300,2,1))))</f>
        <v/>
      </c>
      <c r="I691" s="122">
        <f>TEXT(F691,"0")&amp;TEXT(G691,"0")&amp;TEXT(H691,"0")</f>
        <v/>
      </c>
      <c r="J691" s="122">
        <f>IFERROR(XLOOKUP(I691,'Segment Map'!A:A,'Segment Map'!B:B,"Need Attention"),"Need Attention")</f>
        <v/>
      </c>
      <c r="K691" s="122">
        <f>IF(E691&gt;=5000,"🏆 Platinum",IF(E691&gt;=2000,"🥇 Gold",IF(E691&gt;=800,"🥈 Silver","🥉 Bronze")))</f>
        <v/>
      </c>
      <c r="L691" s="125" t="n">
        <v>40618</v>
      </c>
    </row>
    <row r="692">
      <c r="A692" s="126" t="n">
        <v>13262</v>
      </c>
      <c r="B692" s="126" t="inlineStr">
        <is>
          <t>United Kingdom</t>
        </is>
      </c>
      <c r="C692" s="126" t="n">
        <v>264</v>
      </c>
      <c r="D692" s="126" t="n">
        <v>1</v>
      </c>
      <c r="E692" s="127" t="n">
        <v>200.29</v>
      </c>
      <c r="F692" s="128">
        <f>IF(C692&lt;=30,5,IF(C692&lt;=60,4,IF(C692&lt;=120,3,IF(C692&lt;=200,2,1))))</f>
        <v/>
      </c>
      <c r="G692" s="128">
        <f>IF(D692&gt;=20,5,IF(D692&gt;=10,4,IF(D692&gt;=5,3,IF(D692&gt;=2,2,1))))</f>
        <v/>
      </c>
      <c r="H692" s="128">
        <f>IF(E692&gt;=5000,5,IF(E692&gt;=2000,4,IF(E692&gt;=800,3,IF(E692&gt;=300,2,1))))</f>
        <v/>
      </c>
      <c r="I692" s="126">
        <f>TEXT(F692,"0")&amp;TEXT(G692,"0")&amp;TEXT(H692,"0")</f>
        <v/>
      </c>
      <c r="J692" s="126">
        <f>IFERROR(XLOOKUP(I692,'Segment Map'!A:A,'Segment Map'!B:B,"Need Attention"),"Need Attention")</f>
        <v/>
      </c>
      <c r="K692" s="126">
        <f>IF(E692&gt;=5000,"🏆 Platinum",IF(E692&gt;=2000,"🥇 Gold",IF(E692&gt;=800,"🥈 Silver","🥉 Bronze")))</f>
        <v/>
      </c>
      <c r="L692" s="129" t="n">
        <v>40623</v>
      </c>
    </row>
    <row r="693">
      <c r="A693" s="122" t="n">
        <v>13263</v>
      </c>
      <c r="B693" s="122" t="inlineStr">
        <is>
          <t>United Kingdom</t>
        </is>
      </c>
      <c r="C693" s="122" t="n">
        <v>2</v>
      </c>
      <c r="D693" s="122" t="n">
        <v>35</v>
      </c>
      <c r="E693" s="123" t="n">
        <v>7454.07</v>
      </c>
      <c r="F693" s="124">
        <f>IF(C693&lt;=30,5,IF(C693&lt;=60,4,IF(C693&lt;=120,3,IF(C693&lt;=200,2,1))))</f>
        <v/>
      </c>
      <c r="G693" s="124">
        <f>IF(D693&gt;=20,5,IF(D693&gt;=10,4,IF(D693&gt;=5,3,IF(D693&gt;=2,2,1))))</f>
        <v/>
      </c>
      <c r="H693" s="124">
        <f>IF(E693&gt;=5000,5,IF(E693&gt;=2000,4,IF(E693&gt;=800,3,IF(E693&gt;=300,2,1))))</f>
        <v/>
      </c>
      <c r="I693" s="122">
        <f>TEXT(F693,"0")&amp;TEXT(G693,"0")&amp;TEXT(H693,"0")</f>
        <v/>
      </c>
      <c r="J693" s="122">
        <f>IFERROR(XLOOKUP(I693,'Segment Map'!A:A,'Segment Map'!B:B,"Need Attention"),"Need Attention")</f>
        <v/>
      </c>
      <c r="K693" s="122">
        <f>IF(E693&gt;=5000,"🏆 Platinum",IF(E693&gt;=2000,"🥇 Gold",IF(E693&gt;=800,"🥈 Silver","🥉 Bronze")))</f>
        <v/>
      </c>
      <c r="L693" s="125" t="n">
        <v>40885</v>
      </c>
    </row>
    <row r="694">
      <c r="A694" s="126" t="n">
        <v>13265</v>
      </c>
      <c r="B694" s="126" t="inlineStr">
        <is>
          <t>United Kingdom</t>
        </is>
      </c>
      <c r="C694" s="126" t="n">
        <v>54</v>
      </c>
      <c r="D694" s="126" t="n">
        <v>5</v>
      </c>
      <c r="E694" s="127" t="n">
        <v>2107.66</v>
      </c>
      <c r="F694" s="128">
        <f>IF(C694&lt;=30,5,IF(C694&lt;=60,4,IF(C694&lt;=120,3,IF(C694&lt;=200,2,1))))</f>
        <v/>
      </c>
      <c r="G694" s="128">
        <f>IF(D694&gt;=20,5,IF(D694&gt;=10,4,IF(D694&gt;=5,3,IF(D694&gt;=2,2,1))))</f>
        <v/>
      </c>
      <c r="H694" s="128">
        <f>IF(E694&gt;=5000,5,IF(E694&gt;=2000,4,IF(E694&gt;=800,3,IF(E694&gt;=300,2,1))))</f>
        <v/>
      </c>
      <c r="I694" s="126">
        <f>TEXT(F694,"0")&amp;TEXT(G694,"0")&amp;TEXT(H694,"0")</f>
        <v/>
      </c>
      <c r="J694" s="126">
        <f>IFERROR(XLOOKUP(I694,'Segment Map'!A:A,'Segment Map'!B:B,"Need Attention"),"Need Attention")</f>
        <v/>
      </c>
      <c r="K694" s="126">
        <f>IF(E694&gt;=5000,"🏆 Platinum",IF(E694&gt;=2000,"🥇 Gold",IF(E694&gt;=800,"🥈 Silver","🥉 Bronze")))</f>
        <v/>
      </c>
      <c r="L694" s="129" t="n">
        <v>40833</v>
      </c>
    </row>
    <row r="695">
      <c r="A695" s="122" t="n">
        <v>13266</v>
      </c>
      <c r="B695" s="122" t="inlineStr">
        <is>
          <t>United Kingdom</t>
        </is>
      </c>
      <c r="C695" s="122" t="n">
        <v>12</v>
      </c>
      <c r="D695" s="122" t="n">
        <v>12</v>
      </c>
      <c r="E695" s="123" t="n">
        <v>3834.26</v>
      </c>
      <c r="F695" s="124">
        <f>IF(C695&lt;=30,5,IF(C695&lt;=60,4,IF(C695&lt;=120,3,IF(C695&lt;=200,2,1))))</f>
        <v/>
      </c>
      <c r="G695" s="124">
        <f>IF(D695&gt;=20,5,IF(D695&gt;=10,4,IF(D695&gt;=5,3,IF(D695&gt;=2,2,1))))</f>
        <v/>
      </c>
      <c r="H695" s="124">
        <f>IF(E695&gt;=5000,5,IF(E695&gt;=2000,4,IF(E695&gt;=800,3,IF(E695&gt;=300,2,1))))</f>
        <v/>
      </c>
      <c r="I695" s="122">
        <f>TEXT(F695,"0")&amp;TEXT(G695,"0")&amp;TEXT(H695,"0")</f>
        <v/>
      </c>
      <c r="J695" s="122">
        <f>IFERROR(XLOOKUP(I695,'Segment Map'!A:A,'Segment Map'!B:B,"Need Attention"),"Need Attention")</f>
        <v/>
      </c>
      <c r="K695" s="122">
        <f>IF(E695&gt;=5000,"🏆 Platinum",IF(E695&gt;=2000,"🥇 Gold",IF(E695&gt;=800,"🥈 Silver","🥉 Bronze")))</f>
        <v/>
      </c>
      <c r="L695" s="125" t="n">
        <v>40875</v>
      </c>
    </row>
    <row r="696">
      <c r="A696" s="126" t="n">
        <v>13267</v>
      </c>
      <c r="B696" s="126" t="inlineStr">
        <is>
          <t>United Kingdom</t>
        </is>
      </c>
      <c r="C696" s="126" t="n">
        <v>3</v>
      </c>
      <c r="D696" s="126" t="n">
        <v>19</v>
      </c>
      <c r="E696" s="127" t="n">
        <v>4521.49</v>
      </c>
      <c r="F696" s="128">
        <f>IF(C696&lt;=30,5,IF(C696&lt;=60,4,IF(C696&lt;=120,3,IF(C696&lt;=200,2,1))))</f>
        <v/>
      </c>
      <c r="G696" s="128">
        <f>IF(D696&gt;=20,5,IF(D696&gt;=10,4,IF(D696&gt;=5,3,IF(D696&gt;=2,2,1))))</f>
        <v/>
      </c>
      <c r="H696" s="128">
        <f>IF(E696&gt;=5000,5,IF(E696&gt;=2000,4,IF(E696&gt;=800,3,IF(E696&gt;=300,2,1))))</f>
        <v/>
      </c>
      <c r="I696" s="126">
        <f>TEXT(F696,"0")&amp;TEXT(G696,"0")&amp;TEXT(H696,"0")</f>
        <v/>
      </c>
      <c r="J696" s="126">
        <f>IFERROR(XLOOKUP(I696,'Segment Map'!A:A,'Segment Map'!B:B,"Need Attention"),"Need Attention")</f>
        <v/>
      </c>
      <c r="K696" s="126">
        <f>IF(E696&gt;=5000,"🏆 Platinum",IF(E696&gt;=2000,"🥇 Gold",IF(E696&gt;=800,"🥈 Silver","🥉 Bronze")))</f>
        <v/>
      </c>
      <c r="L696" s="129" t="n">
        <v>40884</v>
      </c>
    </row>
    <row r="697">
      <c r="A697" s="122" t="n">
        <v>13268</v>
      </c>
      <c r="B697" s="122" t="inlineStr">
        <is>
          <t>United Kingdom</t>
        </is>
      </c>
      <c r="C697" s="122" t="n">
        <v>18</v>
      </c>
      <c r="D697" s="122" t="n">
        <v>11</v>
      </c>
      <c r="E697" s="123" t="n">
        <v>3214.69</v>
      </c>
      <c r="F697" s="124">
        <f>IF(C697&lt;=30,5,IF(C697&lt;=60,4,IF(C697&lt;=120,3,IF(C697&lt;=200,2,1))))</f>
        <v/>
      </c>
      <c r="G697" s="124">
        <f>IF(D697&gt;=20,5,IF(D697&gt;=10,4,IF(D697&gt;=5,3,IF(D697&gt;=2,2,1))))</f>
        <v/>
      </c>
      <c r="H697" s="124">
        <f>IF(E697&gt;=5000,5,IF(E697&gt;=2000,4,IF(E697&gt;=800,3,IF(E697&gt;=300,2,1))))</f>
        <v/>
      </c>
      <c r="I697" s="122">
        <f>TEXT(F697,"0")&amp;TEXT(G697,"0")&amp;TEXT(H697,"0")</f>
        <v/>
      </c>
      <c r="J697" s="122">
        <f>IFERROR(XLOOKUP(I697,'Segment Map'!A:A,'Segment Map'!B:B,"Need Attention"),"Need Attention")</f>
        <v/>
      </c>
      <c r="K697" s="122">
        <f>IF(E697&gt;=5000,"🏆 Platinum",IF(E697&gt;=2000,"🥇 Gold",IF(E697&gt;=800,"🥈 Silver","🥉 Bronze")))</f>
        <v/>
      </c>
      <c r="L697" s="125" t="n">
        <v>40869</v>
      </c>
    </row>
    <row r="698">
      <c r="A698" s="126" t="n">
        <v>13269</v>
      </c>
      <c r="B698" s="126" t="inlineStr">
        <is>
          <t>United Kingdom</t>
        </is>
      </c>
      <c r="C698" s="126" t="n">
        <v>2</v>
      </c>
      <c r="D698" s="126" t="n">
        <v>15</v>
      </c>
      <c r="E698" s="127" t="n">
        <v>5346.23</v>
      </c>
      <c r="F698" s="128">
        <f>IF(C698&lt;=30,5,IF(C698&lt;=60,4,IF(C698&lt;=120,3,IF(C698&lt;=200,2,1))))</f>
        <v/>
      </c>
      <c r="G698" s="128">
        <f>IF(D698&gt;=20,5,IF(D698&gt;=10,4,IF(D698&gt;=5,3,IF(D698&gt;=2,2,1))))</f>
        <v/>
      </c>
      <c r="H698" s="128">
        <f>IF(E698&gt;=5000,5,IF(E698&gt;=2000,4,IF(E698&gt;=800,3,IF(E698&gt;=300,2,1))))</f>
        <v/>
      </c>
      <c r="I698" s="126">
        <f>TEXT(F698,"0")&amp;TEXT(G698,"0")&amp;TEXT(H698,"0")</f>
        <v/>
      </c>
      <c r="J698" s="126">
        <f>IFERROR(XLOOKUP(I698,'Segment Map'!A:A,'Segment Map'!B:B,"Need Attention"),"Need Attention")</f>
        <v/>
      </c>
      <c r="K698" s="126">
        <f>IF(E698&gt;=5000,"🏆 Platinum",IF(E698&gt;=2000,"🥇 Gold",IF(E698&gt;=800,"🥈 Silver","🥉 Bronze")))</f>
        <v/>
      </c>
      <c r="L698" s="129" t="n">
        <v>40885</v>
      </c>
    </row>
    <row r="699">
      <c r="A699" s="122" t="n">
        <v>13270</v>
      </c>
      <c r="B699" s="122" t="inlineStr">
        <is>
          <t>United Kingdom</t>
        </is>
      </c>
      <c r="C699" s="122" t="n">
        <v>367</v>
      </c>
      <c r="D699" s="122" t="n">
        <v>1</v>
      </c>
      <c r="E699" s="123" t="n">
        <v>590</v>
      </c>
      <c r="F699" s="124">
        <f>IF(C699&lt;=30,5,IF(C699&lt;=60,4,IF(C699&lt;=120,3,IF(C699&lt;=200,2,1))))</f>
        <v/>
      </c>
      <c r="G699" s="124">
        <f>IF(D699&gt;=20,5,IF(D699&gt;=10,4,IF(D699&gt;=5,3,IF(D699&gt;=2,2,1))))</f>
        <v/>
      </c>
      <c r="H699" s="124">
        <f>IF(E699&gt;=5000,5,IF(E699&gt;=2000,4,IF(E699&gt;=800,3,IF(E699&gt;=300,2,1))))</f>
        <v/>
      </c>
      <c r="I699" s="122">
        <f>TEXT(F699,"0")&amp;TEXT(G699,"0")&amp;TEXT(H699,"0")</f>
        <v/>
      </c>
      <c r="J699" s="122">
        <f>IFERROR(XLOOKUP(I699,'Segment Map'!A:A,'Segment Map'!B:B,"Need Attention"),"Need Attention")</f>
        <v/>
      </c>
      <c r="K699" s="122">
        <f>IF(E699&gt;=5000,"🏆 Platinum",IF(E699&gt;=2000,"🥇 Gold",IF(E699&gt;=800,"🥈 Silver","🥉 Bronze")))</f>
        <v/>
      </c>
      <c r="L699" s="125" t="n">
        <v>40520</v>
      </c>
    </row>
    <row r="700">
      <c r="A700" s="126" t="n">
        <v>13271</v>
      </c>
      <c r="B700" s="126" t="inlineStr">
        <is>
          <t>United Kingdom</t>
        </is>
      </c>
      <c r="C700" s="126" t="n">
        <v>38</v>
      </c>
      <c r="D700" s="126" t="n">
        <v>1</v>
      </c>
      <c r="E700" s="127" t="n">
        <v>217.38</v>
      </c>
      <c r="F700" s="128">
        <f>IF(C700&lt;=30,5,IF(C700&lt;=60,4,IF(C700&lt;=120,3,IF(C700&lt;=200,2,1))))</f>
        <v/>
      </c>
      <c r="G700" s="128">
        <f>IF(D700&gt;=20,5,IF(D700&gt;=10,4,IF(D700&gt;=5,3,IF(D700&gt;=2,2,1))))</f>
        <v/>
      </c>
      <c r="H700" s="128">
        <f>IF(E700&gt;=5000,5,IF(E700&gt;=2000,4,IF(E700&gt;=800,3,IF(E700&gt;=300,2,1))))</f>
        <v/>
      </c>
      <c r="I700" s="126">
        <f>TEXT(F700,"0")&amp;TEXT(G700,"0")&amp;TEXT(H700,"0")</f>
        <v/>
      </c>
      <c r="J700" s="126">
        <f>IFERROR(XLOOKUP(I700,'Segment Map'!A:A,'Segment Map'!B:B,"Need Attention"),"Need Attention")</f>
        <v/>
      </c>
      <c r="K700" s="126">
        <f>IF(E700&gt;=5000,"🏆 Platinum",IF(E700&gt;=2000,"🥇 Gold",IF(E700&gt;=800,"🥈 Silver","🥉 Bronze")))</f>
        <v/>
      </c>
      <c r="L700" s="129" t="n">
        <v>40849</v>
      </c>
    </row>
    <row r="701">
      <c r="A701" s="122" t="n">
        <v>13272</v>
      </c>
      <c r="B701" s="122" t="inlineStr">
        <is>
          <t>United Kingdom</t>
        </is>
      </c>
      <c r="C701" s="122" t="n">
        <v>32</v>
      </c>
      <c r="D701" s="122" t="n">
        <v>2</v>
      </c>
      <c r="E701" s="123" t="n">
        <v>276.56</v>
      </c>
      <c r="F701" s="124">
        <f>IF(C701&lt;=30,5,IF(C701&lt;=60,4,IF(C701&lt;=120,3,IF(C701&lt;=200,2,1))))</f>
        <v/>
      </c>
      <c r="G701" s="124">
        <f>IF(D701&gt;=20,5,IF(D701&gt;=10,4,IF(D701&gt;=5,3,IF(D701&gt;=2,2,1))))</f>
        <v/>
      </c>
      <c r="H701" s="124">
        <f>IF(E701&gt;=5000,5,IF(E701&gt;=2000,4,IF(E701&gt;=800,3,IF(E701&gt;=300,2,1))))</f>
        <v/>
      </c>
      <c r="I701" s="122">
        <f>TEXT(F701,"0")&amp;TEXT(G701,"0")&amp;TEXT(H701,"0")</f>
        <v/>
      </c>
      <c r="J701" s="122">
        <f>IFERROR(XLOOKUP(I701,'Segment Map'!A:A,'Segment Map'!B:B,"Need Attention"),"Need Attention")</f>
        <v/>
      </c>
      <c r="K701" s="122">
        <f>IF(E701&gt;=5000,"🏆 Platinum",IF(E701&gt;=2000,"🥇 Gold",IF(E701&gt;=800,"🥈 Silver","🥉 Bronze")))</f>
        <v/>
      </c>
      <c r="L701" s="125" t="n">
        <v>40855</v>
      </c>
    </row>
    <row r="702">
      <c r="A702" s="126" t="n">
        <v>13273</v>
      </c>
      <c r="B702" s="126" t="inlineStr">
        <is>
          <t>United Kingdom</t>
        </is>
      </c>
      <c r="C702" s="126" t="n">
        <v>114</v>
      </c>
      <c r="D702" s="126" t="n">
        <v>1</v>
      </c>
      <c r="E702" s="127" t="n">
        <v>138.98</v>
      </c>
      <c r="F702" s="128">
        <f>IF(C702&lt;=30,5,IF(C702&lt;=60,4,IF(C702&lt;=120,3,IF(C702&lt;=200,2,1))))</f>
        <v/>
      </c>
      <c r="G702" s="128">
        <f>IF(D702&gt;=20,5,IF(D702&gt;=10,4,IF(D702&gt;=5,3,IF(D702&gt;=2,2,1))))</f>
        <v/>
      </c>
      <c r="H702" s="128">
        <f>IF(E702&gt;=5000,5,IF(E702&gt;=2000,4,IF(E702&gt;=800,3,IF(E702&gt;=300,2,1))))</f>
        <v/>
      </c>
      <c r="I702" s="126">
        <f>TEXT(F702,"0")&amp;TEXT(G702,"0")&amp;TEXT(H702,"0")</f>
        <v/>
      </c>
      <c r="J702" s="126">
        <f>IFERROR(XLOOKUP(I702,'Segment Map'!A:A,'Segment Map'!B:B,"Need Attention"),"Need Attention")</f>
        <v/>
      </c>
      <c r="K702" s="126">
        <f>IF(E702&gt;=5000,"🏆 Platinum",IF(E702&gt;=2000,"🥇 Gold",IF(E702&gt;=800,"🥈 Silver","🥉 Bronze")))</f>
        <v/>
      </c>
      <c r="L702" s="129" t="n">
        <v>40773</v>
      </c>
    </row>
    <row r="703">
      <c r="A703" s="122" t="n">
        <v>13276</v>
      </c>
      <c r="B703" s="122" t="inlineStr">
        <is>
          <t>United Kingdom</t>
        </is>
      </c>
      <c r="C703" s="122" t="n">
        <v>64</v>
      </c>
      <c r="D703" s="122" t="n">
        <v>2</v>
      </c>
      <c r="E703" s="123" t="n">
        <v>590.9299999999999</v>
      </c>
      <c r="F703" s="124">
        <f>IF(C703&lt;=30,5,IF(C703&lt;=60,4,IF(C703&lt;=120,3,IF(C703&lt;=200,2,1))))</f>
        <v/>
      </c>
      <c r="G703" s="124">
        <f>IF(D703&gt;=20,5,IF(D703&gt;=10,4,IF(D703&gt;=5,3,IF(D703&gt;=2,2,1))))</f>
        <v/>
      </c>
      <c r="H703" s="124">
        <f>IF(E703&gt;=5000,5,IF(E703&gt;=2000,4,IF(E703&gt;=800,3,IF(E703&gt;=300,2,1))))</f>
        <v/>
      </c>
      <c r="I703" s="122">
        <f>TEXT(F703,"0")&amp;TEXT(G703,"0")&amp;TEXT(H703,"0")</f>
        <v/>
      </c>
      <c r="J703" s="122">
        <f>IFERROR(XLOOKUP(I703,'Segment Map'!A:A,'Segment Map'!B:B,"Need Attention"),"Need Attention")</f>
        <v/>
      </c>
      <c r="K703" s="122">
        <f>IF(E703&gt;=5000,"🏆 Platinum",IF(E703&gt;=2000,"🥇 Gold",IF(E703&gt;=800,"🥈 Silver","🥉 Bronze")))</f>
        <v/>
      </c>
      <c r="L703" s="125" t="n">
        <v>40823</v>
      </c>
    </row>
    <row r="704">
      <c r="A704" s="126" t="n">
        <v>13277</v>
      </c>
      <c r="B704" s="126" t="inlineStr">
        <is>
          <t>United Kingdom</t>
        </is>
      </c>
      <c r="C704" s="126" t="n">
        <v>16</v>
      </c>
      <c r="D704" s="126" t="n">
        <v>4</v>
      </c>
      <c r="E704" s="127" t="n">
        <v>258.4</v>
      </c>
      <c r="F704" s="128">
        <f>IF(C704&lt;=30,5,IF(C704&lt;=60,4,IF(C704&lt;=120,3,IF(C704&lt;=200,2,1))))</f>
        <v/>
      </c>
      <c r="G704" s="128">
        <f>IF(D704&gt;=20,5,IF(D704&gt;=10,4,IF(D704&gt;=5,3,IF(D704&gt;=2,2,1))))</f>
        <v/>
      </c>
      <c r="H704" s="128">
        <f>IF(E704&gt;=5000,5,IF(E704&gt;=2000,4,IF(E704&gt;=800,3,IF(E704&gt;=300,2,1))))</f>
        <v/>
      </c>
      <c r="I704" s="126">
        <f>TEXT(F704,"0")&amp;TEXT(G704,"0")&amp;TEXT(H704,"0")</f>
        <v/>
      </c>
      <c r="J704" s="126">
        <f>IFERROR(XLOOKUP(I704,'Segment Map'!A:A,'Segment Map'!B:B,"Need Attention"),"Need Attention")</f>
        <v/>
      </c>
      <c r="K704" s="126">
        <f>IF(E704&gt;=5000,"🏆 Platinum",IF(E704&gt;=2000,"🥇 Gold",IF(E704&gt;=800,"🥈 Silver","🥉 Bronze")))</f>
        <v/>
      </c>
      <c r="L704" s="129" t="n">
        <v>40871</v>
      </c>
    </row>
    <row r="705">
      <c r="A705" s="122" t="n">
        <v>13278</v>
      </c>
      <c r="B705" s="122" t="inlineStr">
        <is>
          <t>United Kingdom</t>
        </is>
      </c>
      <c r="C705" s="122" t="n">
        <v>41</v>
      </c>
      <c r="D705" s="122" t="n">
        <v>1</v>
      </c>
      <c r="E705" s="123" t="n">
        <v>542.73</v>
      </c>
      <c r="F705" s="124">
        <f>IF(C705&lt;=30,5,IF(C705&lt;=60,4,IF(C705&lt;=120,3,IF(C705&lt;=200,2,1))))</f>
        <v/>
      </c>
      <c r="G705" s="124">
        <f>IF(D705&gt;=20,5,IF(D705&gt;=10,4,IF(D705&gt;=5,3,IF(D705&gt;=2,2,1))))</f>
        <v/>
      </c>
      <c r="H705" s="124">
        <f>IF(E705&gt;=5000,5,IF(E705&gt;=2000,4,IF(E705&gt;=800,3,IF(E705&gt;=300,2,1))))</f>
        <v/>
      </c>
      <c r="I705" s="122">
        <f>TEXT(F705,"0")&amp;TEXT(G705,"0")&amp;TEXT(H705,"0")</f>
        <v/>
      </c>
      <c r="J705" s="122">
        <f>IFERROR(XLOOKUP(I705,'Segment Map'!A:A,'Segment Map'!B:B,"Need Attention"),"Need Attention")</f>
        <v/>
      </c>
      <c r="K705" s="122">
        <f>IF(E705&gt;=5000,"🏆 Platinum",IF(E705&gt;=2000,"🥇 Gold",IF(E705&gt;=800,"🥈 Silver","🥉 Bronze")))</f>
        <v/>
      </c>
      <c r="L705" s="125" t="n">
        <v>40846</v>
      </c>
    </row>
    <row r="706">
      <c r="A706" s="126" t="n">
        <v>13279</v>
      </c>
      <c r="B706" s="126" t="inlineStr">
        <is>
          <t>United Kingdom</t>
        </is>
      </c>
      <c r="C706" s="126" t="n">
        <v>79</v>
      </c>
      <c r="D706" s="126" t="n">
        <v>1</v>
      </c>
      <c r="E706" s="127" t="n">
        <v>137.75</v>
      </c>
      <c r="F706" s="128">
        <f>IF(C706&lt;=30,5,IF(C706&lt;=60,4,IF(C706&lt;=120,3,IF(C706&lt;=200,2,1))))</f>
        <v/>
      </c>
      <c r="G706" s="128">
        <f>IF(D706&gt;=20,5,IF(D706&gt;=10,4,IF(D706&gt;=5,3,IF(D706&gt;=2,2,1))))</f>
        <v/>
      </c>
      <c r="H706" s="128">
        <f>IF(E706&gt;=5000,5,IF(E706&gt;=2000,4,IF(E706&gt;=800,3,IF(E706&gt;=300,2,1))))</f>
        <v/>
      </c>
      <c r="I706" s="126">
        <f>TEXT(F706,"0")&amp;TEXT(G706,"0")&amp;TEXT(H706,"0")</f>
        <v/>
      </c>
      <c r="J706" s="126">
        <f>IFERROR(XLOOKUP(I706,'Segment Map'!A:A,'Segment Map'!B:B,"Need Attention"),"Need Attention")</f>
        <v/>
      </c>
      <c r="K706" s="126">
        <f>IF(E706&gt;=5000,"🏆 Platinum",IF(E706&gt;=2000,"🥇 Gold",IF(E706&gt;=800,"🥈 Silver","🥉 Bronze")))</f>
        <v/>
      </c>
      <c r="L706" s="129" t="n">
        <v>40808</v>
      </c>
    </row>
    <row r="707">
      <c r="A707" s="122" t="n">
        <v>13280</v>
      </c>
      <c r="B707" s="122" t="inlineStr">
        <is>
          <t>United Kingdom</t>
        </is>
      </c>
      <c r="C707" s="122" t="n">
        <v>123</v>
      </c>
      <c r="D707" s="122" t="n">
        <v>3</v>
      </c>
      <c r="E707" s="123" t="n">
        <v>814.86</v>
      </c>
      <c r="F707" s="124">
        <f>IF(C707&lt;=30,5,IF(C707&lt;=60,4,IF(C707&lt;=120,3,IF(C707&lt;=200,2,1))))</f>
        <v/>
      </c>
      <c r="G707" s="124">
        <f>IF(D707&gt;=20,5,IF(D707&gt;=10,4,IF(D707&gt;=5,3,IF(D707&gt;=2,2,1))))</f>
        <v/>
      </c>
      <c r="H707" s="124">
        <f>IF(E707&gt;=5000,5,IF(E707&gt;=2000,4,IF(E707&gt;=800,3,IF(E707&gt;=300,2,1))))</f>
        <v/>
      </c>
      <c r="I707" s="122">
        <f>TEXT(F707,"0")&amp;TEXT(G707,"0")&amp;TEXT(H707,"0")</f>
        <v/>
      </c>
      <c r="J707" s="122">
        <f>IFERROR(XLOOKUP(I707,'Segment Map'!A:A,'Segment Map'!B:B,"Need Attention"),"Need Attention")</f>
        <v/>
      </c>
      <c r="K707" s="122">
        <f>IF(E707&gt;=5000,"🏆 Platinum",IF(E707&gt;=2000,"🥇 Gold",IF(E707&gt;=800,"🥈 Silver","🥉 Bronze")))</f>
        <v/>
      </c>
      <c r="L707" s="125" t="n">
        <v>40764</v>
      </c>
    </row>
    <row r="708">
      <c r="A708" s="126" t="n">
        <v>13282</v>
      </c>
      <c r="B708" s="126" t="inlineStr">
        <is>
          <t>United Kingdom</t>
        </is>
      </c>
      <c r="C708" s="126" t="n">
        <v>19</v>
      </c>
      <c r="D708" s="126" t="n">
        <v>3</v>
      </c>
      <c r="E708" s="127" t="n">
        <v>1132.14</v>
      </c>
      <c r="F708" s="128">
        <f>IF(C708&lt;=30,5,IF(C708&lt;=60,4,IF(C708&lt;=120,3,IF(C708&lt;=200,2,1))))</f>
        <v/>
      </c>
      <c r="G708" s="128">
        <f>IF(D708&gt;=20,5,IF(D708&gt;=10,4,IF(D708&gt;=5,3,IF(D708&gt;=2,2,1))))</f>
        <v/>
      </c>
      <c r="H708" s="128">
        <f>IF(E708&gt;=5000,5,IF(E708&gt;=2000,4,IF(E708&gt;=800,3,IF(E708&gt;=300,2,1))))</f>
        <v/>
      </c>
      <c r="I708" s="126">
        <f>TEXT(F708,"0")&amp;TEXT(G708,"0")&amp;TEXT(H708,"0")</f>
        <v/>
      </c>
      <c r="J708" s="126">
        <f>IFERROR(XLOOKUP(I708,'Segment Map'!A:A,'Segment Map'!B:B,"Need Attention"),"Need Attention")</f>
        <v/>
      </c>
      <c r="K708" s="126">
        <f>IF(E708&gt;=5000,"🏆 Platinum",IF(E708&gt;=2000,"🥇 Gold",IF(E708&gt;=800,"🥈 Silver","🥉 Bronze")))</f>
        <v/>
      </c>
      <c r="L708" s="129" t="n">
        <v>40868</v>
      </c>
    </row>
    <row r="709">
      <c r="A709" s="122" t="n">
        <v>13283</v>
      </c>
      <c r="B709" s="122" t="inlineStr">
        <is>
          <t>United Kingdom</t>
        </is>
      </c>
      <c r="C709" s="122" t="n">
        <v>60</v>
      </c>
      <c r="D709" s="122" t="n">
        <v>2</v>
      </c>
      <c r="E709" s="123" t="n">
        <v>93.66</v>
      </c>
      <c r="F709" s="124">
        <f>IF(C709&lt;=30,5,IF(C709&lt;=60,4,IF(C709&lt;=120,3,IF(C709&lt;=200,2,1))))</f>
        <v/>
      </c>
      <c r="G709" s="124">
        <f>IF(D709&gt;=20,5,IF(D709&gt;=10,4,IF(D709&gt;=5,3,IF(D709&gt;=2,2,1))))</f>
        <v/>
      </c>
      <c r="H709" s="124">
        <f>IF(E709&gt;=5000,5,IF(E709&gt;=2000,4,IF(E709&gt;=800,3,IF(E709&gt;=300,2,1))))</f>
        <v/>
      </c>
      <c r="I709" s="122">
        <f>TEXT(F709,"0")&amp;TEXT(G709,"0")&amp;TEXT(H709,"0")</f>
        <v/>
      </c>
      <c r="J709" s="122">
        <f>IFERROR(XLOOKUP(I709,'Segment Map'!A:A,'Segment Map'!B:B,"Need Attention"),"Need Attention")</f>
        <v/>
      </c>
      <c r="K709" s="122">
        <f>IF(E709&gt;=5000,"🏆 Platinum",IF(E709&gt;=2000,"🥇 Gold",IF(E709&gt;=800,"🥈 Silver","🥉 Bronze")))</f>
        <v/>
      </c>
      <c r="L709" s="125" t="n">
        <v>40827</v>
      </c>
    </row>
    <row r="710">
      <c r="A710" s="126" t="n">
        <v>13284</v>
      </c>
      <c r="B710" s="126" t="inlineStr">
        <is>
          <t>United Kingdom</t>
        </is>
      </c>
      <c r="C710" s="126" t="n">
        <v>331</v>
      </c>
      <c r="D710" s="126" t="n">
        <v>1</v>
      </c>
      <c r="E710" s="127" t="n">
        <v>201.19</v>
      </c>
      <c r="F710" s="128">
        <f>IF(C710&lt;=30,5,IF(C710&lt;=60,4,IF(C710&lt;=120,3,IF(C710&lt;=200,2,1))))</f>
        <v/>
      </c>
      <c r="G710" s="128">
        <f>IF(D710&gt;=20,5,IF(D710&gt;=10,4,IF(D710&gt;=5,3,IF(D710&gt;=2,2,1))))</f>
        <v/>
      </c>
      <c r="H710" s="128">
        <f>IF(E710&gt;=5000,5,IF(E710&gt;=2000,4,IF(E710&gt;=800,3,IF(E710&gt;=300,2,1))))</f>
        <v/>
      </c>
      <c r="I710" s="126">
        <f>TEXT(F710,"0")&amp;TEXT(G710,"0")&amp;TEXT(H710,"0")</f>
        <v/>
      </c>
      <c r="J710" s="126">
        <f>IFERROR(XLOOKUP(I710,'Segment Map'!A:A,'Segment Map'!B:B,"Need Attention"),"Need Attention")</f>
        <v/>
      </c>
      <c r="K710" s="126">
        <f>IF(E710&gt;=5000,"🏆 Platinum",IF(E710&gt;=2000,"🥇 Gold",IF(E710&gt;=800,"🥈 Silver","🥉 Bronze")))</f>
        <v/>
      </c>
      <c r="L710" s="129" t="n">
        <v>40556</v>
      </c>
    </row>
    <row r="711">
      <c r="A711" s="122" t="n">
        <v>13285</v>
      </c>
      <c r="B711" s="122" t="inlineStr">
        <is>
          <t>United Kingdom</t>
        </is>
      </c>
      <c r="C711" s="122" t="n">
        <v>24</v>
      </c>
      <c r="D711" s="122" t="n">
        <v>4</v>
      </c>
      <c r="E711" s="123" t="n">
        <v>2709.12</v>
      </c>
      <c r="F711" s="124">
        <f>IF(C711&lt;=30,5,IF(C711&lt;=60,4,IF(C711&lt;=120,3,IF(C711&lt;=200,2,1))))</f>
        <v/>
      </c>
      <c r="G711" s="124">
        <f>IF(D711&gt;=20,5,IF(D711&gt;=10,4,IF(D711&gt;=5,3,IF(D711&gt;=2,2,1))))</f>
        <v/>
      </c>
      <c r="H711" s="124">
        <f>IF(E711&gt;=5000,5,IF(E711&gt;=2000,4,IF(E711&gt;=800,3,IF(E711&gt;=300,2,1))))</f>
        <v/>
      </c>
      <c r="I711" s="122">
        <f>TEXT(F711,"0")&amp;TEXT(G711,"0")&amp;TEXT(H711,"0")</f>
        <v/>
      </c>
      <c r="J711" s="122">
        <f>IFERROR(XLOOKUP(I711,'Segment Map'!A:A,'Segment Map'!B:B,"Need Attention"),"Need Attention")</f>
        <v/>
      </c>
      <c r="K711" s="122">
        <f>IF(E711&gt;=5000,"🏆 Platinum",IF(E711&gt;=2000,"🥇 Gold",IF(E711&gt;=800,"🥈 Silver","🥉 Bronze")))</f>
        <v/>
      </c>
      <c r="L711" s="125" t="n">
        <v>40863</v>
      </c>
    </row>
    <row r="712">
      <c r="A712" s="126" t="n">
        <v>13291</v>
      </c>
      <c r="B712" s="126" t="inlineStr">
        <is>
          <t>United Kingdom</t>
        </is>
      </c>
      <c r="C712" s="126" t="n">
        <v>156</v>
      </c>
      <c r="D712" s="126" t="n">
        <v>1</v>
      </c>
      <c r="E712" s="127" t="n">
        <v>361.11</v>
      </c>
      <c r="F712" s="128">
        <f>IF(C712&lt;=30,5,IF(C712&lt;=60,4,IF(C712&lt;=120,3,IF(C712&lt;=200,2,1))))</f>
        <v/>
      </c>
      <c r="G712" s="128">
        <f>IF(D712&gt;=20,5,IF(D712&gt;=10,4,IF(D712&gt;=5,3,IF(D712&gt;=2,2,1))))</f>
        <v/>
      </c>
      <c r="H712" s="128">
        <f>IF(E712&gt;=5000,5,IF(E712&gt;=2000,4,IF(E712&gt;=800,3,IF(E712&gt;=300,2,1))))</f>
        <v/>
      </c>
      <c r="I712" s="126">
        <f>TEXT(F712,"0")&amp;TEXT(G712,"0")&amp;TEXT(H712,"0")</f>
        <v/>
      </c>
      <c r="J712" s="126">
        <f>IFERROR(XLOOKUP(I712,'Segment Map'!A:A,'Segment Map'!B:B,"Need Attention"),"Need Attention")</f>
        <v/>
      </c>
      <c r="K712" s="126">
        <f>IF(E712&gt;=5000,"🏆 Platinum",IF(E712&gt;=2000,"🥇 Gold",IF(E712&gt;=800,"🥈 Silver","🥉 Bronze")))</f>
        <v/>
      </c>
      <c r="L712" s="129" t="n">
        <v>40731</v>
      </c>
    </row>
    <row r="713">
      <c r="A713" s="122" t="n">
        <v>13292</v>
      </c>
      <c r="B713" s="122" t="inlineStr">
        <is>
          <t>United Kingdom</t>
        </is>
      </c>
      <c r="C713" s="122" t="n">
        <v>39</v>
      </c>
      <c r="D713" s="122" t="n">
        <v>2</v>
      </c>
      <c r="E713" s="123" t="n">
        <v>578.9400000000001</v>
      </c>
      <c r="F713" s="124">
        <f>IF(C713&lt;=30,5,IF(C713&lt;=60,4,IF(C713&lt;=120,3,IF(C713&lt;=200,2,1))))</f>
        <v/>
      </c>
      <c r="G713" s="124">
        <f>IF(D713&gt;=20,5,IF(D713&gt;=10,4,IF(D713&gt;=5,3,IF(D713&gt;=2,2,1))))</f>
        <v/>
      </c>
      <c r="H713" s="124">
        <f>IF(E713&gt;=5000,5,IF(E713&gt;=2000,4,IF(E713&gt;=800,3,IF(E713&gt;=300,2,1))))</f>
        <v/>
      </c>
      <c r="I713" s="122">
        <f>TEXT(F713,"0")&amp;TEXT(G713,"0")&amp;TEXT(H713,"0")</f>
        <v/>
      </c>
      <c r="J713" s="122">
        <f>IFERROR(XLOOKUP(I713,'Segment Map'!A:A,'Segment Map'!B:B,"Need Attention"),"Need Attention")</f>
        <v/>
      </c>
      <c r="K713" s="122">
        <f>IF(E713&gt;=5000,"🏆 Platinum",IF(E713&gt;=2000,"🥇 Gold",IF(E713&gt;=800,"🥈 Silver","🥉 Bronze")))</f>
        <v/>
      </c>
      <c r="L713" s="125" t="n">
        <v>40848</v>
      </c>
    </row>
    <row r="714">
      <c r="A714" s="126" t="n">
        <v>13294</v>
      </c>
      <c r="B714" s="126" t="inlineStr">
        <is>
          <t>United Kingdom</t>
        </is>
      </c>
      <c r="C714" s="126" t="n">
        <v>190</v>
      </c>
      <c r="D714" s="126" t="n">
        <v>2</v>
      </c>
      <c r="E714" s="127" t="n">
        <v>873.74</v>
      </c>
      <c r="F714" s="128">
        <f>IF(C714&lt;=30,5,IF(C714&lt;=60,4,IF(C714&lt;=120,3,IF(C714&lt;=200,2,1))))</f>
        <v/>
      </c>
      <c r="G714" s="128">
        <f>IF(D714&gt;=20,5,IF(D714&gt;=10,4,IF(D714&gt;=5,3,IF(D714&gt;=2,2,1))))</f>
        <v/>
      </c>
      <c r="H714" s="128">
        <f>IF(E714&gt;=5000,5,IF(E714&gt;=2000,4,IF(E714&gt;=800,3,IF(E714&gt;=300,2,1))))</f>
        <v/>
      </c>
      <c r="I714" s="126">
        <f>TEXT(F714,"0")&amp;TEXT(G714,"0")&amp;TEXT(H714,"0")</f>
        <v/>
      </c>
      <c r="J714" s="126">
        <f>IFERROR(XLOOKUP(I714,'Segment Map'!A:A,'Segment Map'!B:B,"Need Attention"),"Need Attention")</f>
        <v/>
      </c>
      <c r="K714" s="126">
        <f>IF(E714&gt;=5000,"🏆 Platinum",IF(E714&gt;=2000,"🥇 Gold",IF(E714&gt;=800,"🥈 Silver","🥉 Bronze")))</f>
        <v/>
      </c>
      <c r="L714" s="129" t="n">
        <v>40697</v>
      </c>
    </row>
    <row r="715">
      <c r="A715" s="122" t="n">
        <v>13295</v>
      </c>
      <c r="B715" s="122" t="inlineStr">
        <is>
          <t>United Kingdom</t>
        </is>
      </c>
      <c r="C715" s="122" t="n">
        <v>360</v>
      </c>
      <c r="D715" s="122" t="n">
        <v>1</v>
      </c>
      <c r="E715" s="123" t="n">
        <v>201.2</v>
      </c>
      <c r="F715" s="124">
        <f>IF(C715&lt;=30,5,IF(C715&lt;=60,4,IF(C715&lt;=120,3,IF(C715&lt;=200,2,1))))</f>
        <v/>
      </c>
      <c r="G715" s="124">
        <f>IF(D715&gt;=20,5,IF(D715&gt;=10,4,IF(D715&gt;=5,3,IF(D715&gt;=2,2,1))))</f>
        <v/>
      </c>
      <c r="H715" s="124">
        <f>IF(E715&gt;=5000,5,IF(E715&gt;=2000,4,IF(E715&gt;=800,3,IF(E715&gt;=300,2,1))))</f>
        <v/>
      </c>
      <c r="I715" s="122">
        <f>TEXT(F715,"0")&amp;TEXT(G715,"0")&amp;TEXT(H715,"0")</f>
        <v/>
      </c>
      <c r="J715" s="122">
        <f>IFERROR(XLOOKUP(I715,'Segment Map'!A:A,'Segment Map'!B:B,"Need Attention"),"Need Attention")</f>
        <v/>
      </c>
      <c r="K715" s="122">
        <f>IF(E715&gt;=5000,"🏆 Platinum",IF(E715&gt;=2000,"🥇 Gold",IF(E715&gt;=800,"🥈 Silver","🥉 Bronze")))</f>
        <v/>
      </c>
      <c r="L715" s="125" t="n">
        <v>40527</v>
      </c>
    </row>
    <row r="716">
      <c r="A716" s="126" t="n">
        <v>13296</v>
      </c>
      <c r="B716" s="126" t="inlineStr">
        <is>
          <t>United Kingdom</t>
        </is>
      </c>
      <c r="C716" s="126" t="n">
        <v>138</v>
      </c>
      <c r="D716" s="126" t="n">
        <v>1</v>
      </c>
      <c r="E716" s="127" t="n">
        <v>87.40000000000001</v>
      </c>
      <c r="F716" s="128">
        <f>IF(C716&lt;=30,5,IF(C716&lt;=60,4,IF(C716&lt;=120,3,IF(C716&lt;=200,2,1))))</f>
        <v/>
      </c>
      <c r="G716" s="128">
        <f>IF(D716&gt;=20,5,IF(D716&gt;=10,4,IF(D716&gt;=5,3,IF(D716&gt;=2,2,1))))</f>
        <v/>
      </c>
      <c r="H716" s="128">
        <f>IF(E716&gt;=5000,5,IF(E716&gt;=2000,4,IF(E716&gt;=800,3,IF(E716&gt;=300,2,1))))</f>
        <v/>
      </c>
      <c r="I716" s="126">
        <f>TEXT(F716,"0")&amp;TEXT(G716,"0")&amp;TEXT(H716,"0")</f>
        <v/>
      </c>
      <c r="J716" s="126">
        <f>IFERROR(XLOOKUP(I716,'Segment Map'!A:A,'Segment Map'!B:B,"Need Attention"),"Need Attention")</f>
        <v/>
      </c>
      <c r="K716" s="126">
        <f>IF(E716&gt;=5000,"🏆 Platinum",IF(E716&gt;=2000,"🥇 Gold",IF(E716&gt;=800,"🥈 Silver","🥉 Bronze")))</f>
        <v/>
      </c>
      <c r="L716" s="129" t="n">
        <v>40749</v>
      </c>
    </row>
    <row r="717">
      <c r="A717" s="122" t="n">
        <v>13297</v>
      </c>
      <c r="B717" s="122" t="inlineStr">
        <is>
          <t>United Kingdom</t>
        </is>
      </c>
      <c r="C717" s="122" t="n">
        <v>8</v>
      </c>
      <c r="D717" s="122" t="n">
        <v>4</v>
      </c>
      <c r="E717" s="123" t="n">
        <v>2089.85</v>
      </c>
      <c r="F717" s="124">
        <f>IF(C717&lt;=30,5,IF(C717&lt;=60,4,IF(C717&lt;=120,3,IF(C717&lt;=200,2,1))))</f>
        <v/>
      </c>
      <c r="G717" s="124">
        <f>IF(D717&gt;=20,5,IF(D717&gt;=10,4,IF(D717&gt;=5,3,IF(D717&gt;=2,2,1))))</f>
        <v/>
      </c>
      <c r="H717" s="124">
        <f>IF(E717&gt;=5000,5,IF(E717&gt;=2000,4,IF(E717&gt;=800,3,IF(E717&gt;=300,2,1))))</f>
        <v/>
      </c>
      <c r="I717" s="122">
        <f>TEXT(F717,"0")&amp;TEXT(G717,"0")&amp;TEXT(H717,"0")</f>
        <v/>
      </c>
      <c r="J717" s="122">
        <f>IFERROR(XLOOKUP(I717,'Segment Map'!A:A,'Segment Map'!B:B,"Need Attention"),"Need Attention")</f>
        <v/>
      </c>
      <c r="K717" s="122">
        <f>IF(E717&gt;=5000,"🏆 Platinum",IF(E717&gt;=2000,"🥇 Gold",IF(E717&gt;=800,"🥈 Silver","🥉 Bronze")))</f>
        <v/>
      </c>
      <c r="L717" s="125" t="n">
        <v>40879</v>
      </c>
    </row>
    <row r="718">
      <c r="A718" s="126" t="n">
        <v>13298</v>
      </c>
      <c r="B718" s="126" t="inlineStr">
        <is>
          <t>United Kingdom</t>
        </is>
      </c>
      <c r="C718" s="126" t="n">
        <v>2</v>
      </c>
      <c r="D718" s="126" t="n">
        <v>1</v>
      </c>
      <c r="E718" s="127" t="n">
        <v>360</v>
      </c>
      <c r="F718" s="128">
        <f>IF(C718&lt;=30,5,IF(C718&lt;=60,4,IF(C718&lt;=120,3,IF(C718&lt;=200,2,1))))</f>
        <v/>
      </c>
      <c r="G718" s="128">
        <f>IF(D718&gt;=20,5,IF(D718&gt;=10,4,IF(D718&gt;=5,3,IF(D718&gt;=2,2,1))))</f>
        <v/>
      </c>
      <c r="H718" s="128">
        <f>IF(E718&gt;=5000,5,IF(E718&gt;=2000,4,IF(E718&gt;=800,3,IF(E718&gt;=300,2,1))))</f>
        <v/>
      </c>
      <c r="I718" s="126">
        <f>TEXT(F718,"0")&amp;TEXT(G718,"0")&amp;TEXT(H718,"0")</f>
        <v/>
      </c>
      <c r="J718" s="126">
        <f>IFERROR(XLOOKUP(I718,'Segment Map'!A:A,'Segment Map'!B:B,"Need Attention"),"Need Attention")</f>
        <v/>
      </c>
      <c r="K718" s="126">
        <f>IF(E718&gt;=5000,"🏆 Platinum",IF(E718&gt;=2000,"🥇 Gold",IF(E718&gt;=800,"🥈 Silver","🥉 Bronze")))</f>
        <v/>
      </c>
      <c r="L718" s="129" t="n">
        <v>40885</v>
      </c>
    </row>
    <row r="719">
      <c r="A719" s="122" t="n">
        <v>13299</v>
      </c>
      <c r="B719" s="122" t="inlineStr">
        <is>
          <t>United Kingdom</t>
        </is>
      </c>
      <c r="C719" s="122" t="n">
        <v>269</v>
      </c>
      <c r="D719" s="122" t="n">
        <v>1</v>
      </c>
      <c r="E719" s="123" t="n">
        <v>142.5</v>
      </c>
      <c r="F719" s="124">
        <f>IF(C719&lt;=30,5,IF(C719&lt;=60,4,IF(C719&lt;=120,3,IF(C719&lt;=200,2,1))))</f>
        <v/>
      </c>
      <c r="G719" s="124">
        <f>IF(D719&gt;=20,5,IF(D719&gt;=10,4,IF(D719&gt;=5,3,IF(D719&gt;=2,2,1))))</f>
        <v/>
      </c>
      <c r="H719" s="124">
        <f>IF(E719&gt;=5000,5,IF(E719&gt;=2000,4,IF(E719&gt;=800,3,IF(E719&gt;=300,2,1))))</f>
        <v/>
      </c>
      <c r="I719" s="122">
        <f>TEXT(F719,"0")&amp;TEXT(G719,"0")&amp;TEXT(H719,"0")</f>
        <v/>
      </c>
      <c r="J719" s="122">
        <f>IFERROR(XLOOKUP(I719,'Segment Map'!A:A,'Segment Map'!B:B,"Need Attention"),"Need Attention")</f>
        <v/>
      </c>
      <c r="K719" s="122">
        <f>IF(E719&gt;=5000,"🏆 Platinum",IF(E719&gt;=2000,"🥇 Gold",IF(E719&gt;=800,"🥈 Silver","🥉 Bronze")))</f>
        <v/>
      </c>
      <c r="L719" s="125" t="n">
        <v>40618</v>
      </c>
    </row>
    <row r="720">
      <c r="A720" s="126" t="n">
        <v>13300</v>
      </c>
      <c r="B720" s="126" t="inlineStr">
        <is>
          <t>United Kingdom</t>
        </is>
      </c>
      <c r="C720" s="126" t="n">
        <v>170</v>
      </c>
      <c r="D720" s="126" t="n">
        <v>1</v>
      </c>
      <c r="E720" s="127" t="n">
        <v>371.89</v>
      </c>
      <c r="F720" s="128">
        <f>IF(C720&lt;=30,5,IF(C720&lt;=60,4,IF(C720&lt;=120,3,IF(C720&lt;=200,2,1))))</f>
        <v/>
      </c>
      <c r="G720" s="128">
        <f>IF(D720&gt;=20,5,IF(D720&gt;=10,4,IF(D720&gt;=5,3,IF(D720&gt;=2,2,1))))</f>
        <v/>
      </c>
      <c r="H720" s="128">
        <f>IF(E720&gt;=5000,5,IF(E720&gt;=2000,4,IF(E720&gt;=800,3,IF(E720&gt;=300,2,1))))</f>
        <v/>
      </c>
      <c r="I720" s="126">
        <f>TEXT(F720,"0")&amp;TEXT(G720,"0")&amp;TEXT(H720,"0")</f>
        <v/>
      </c>
      <c r="J720" s="126">
        <f>IFERROR(XLOOKUP(I720,'Segment Map'!A:A,'Segment Map'!B:B,"Need Attention"),"Need Attention")</f>
        <v/>
      </c>
      <c r="K720" s="126">
        <f>IF(E720&gt;=5000,"🏆 Platinum",IF(E720&gt;=2000,"🥇 Gold",IF(E720&gt;=800,"🥈 Silver","🥉 Bronze")))</f>
        <v/>
      </c>
      <c r="L720" s="129" t="n">
        <v>40717</v>
      </c>
    </row>
    <row r="721">
      <c r="A721" s="122" t="n">
        <v>13301</v>
      </c>
      <c r="B721" s="122" t="inlineStr">
        <is>
          <t>United Kingdom</t>
        </is>
      </c>
      <c r="C721" s="122" t="n">
        <v>104</v>
      </c>
      <c r="D721" s="122" t="n">
        <v>4</v>
      </c>
      <c r="E721" s="123" t="n">
        <v>618.09</v>
      </c>
      <c r="F721" s="124">
        <f>IF(C721&lt;=30,5,IF(C721&lt;=60,4,IF(C721&lt;=120,3,IF(C721&lt;=200,2,1))))</f>
        <v/>
      </c>
      <c r="G721" s="124">
        <f>IF(D721&gt;=20,5,IF(D721&gt;=10,4,IF(D721&gt;=5,3,IF(D721&gt;=2,2,1))))</f>
        <v/>
      </c>
      <c r="H721" s="124">
        <f>IF(E721&gt;=5000,5,IF(E721&gt;=2000,4,IF(E721&gt;=800,3,IF(E721&gt;=300,2,1))))</f>
        <v/>
      </c>
      <c r="I721" s="122">
        <f>TEXT(F721,"0")&amp;TEXT(G721,"0")&amp;TEXT(H721,"0")</f>
        <v/>
      </c>
      <c r="J721" s="122">
        <f>IFERROR(XLOOKUP(I721,'Segment Map'!A:A,'Segment Map'!B:B,"Need Attention"),"Need Attention")</f>
        <v/>
      </c>
      <c r="K721" s="122">
        <f>IF(E721&gt;=5000,"🏆 Platinum",IF(E721&gt;=2000,"🥇 Gold",IF(E721&gt;=800,"🥈 Silver","🥉 Bronze")))</f>
        <v/>
      </c>
      <c r="L721" s="125" t="n">
        <v>40783</v>
      </c>
    </row>
    <row r="722">
      <c r="A722" s="126" t="n">
        <v>13302</v>
      </c>
      <c r="B722" s="126" t="inlineStr">
        <is>
          <t>United Kingdom</t>
        </is>
      </c>
      <c r="C722" s="126" t="n">
        <v>156</v>
      </c>
      <c r="D722" s="126" t="n">
        <v>1</v>
      </c>
      <c r="E722" s="127" t="n">
        <v>63.75</v>
      </c>
      <c r="F722" s="128">
        <f>IF(C722&lt;=30,5,IF(C722&lt;=60,4,IF(C722&lt;=120,3,IF(C722&lt;=200,2,1))))</f>
        <v/>
      </c>
      <c r="G722" s="128">
        <f>IF(D722&gt;=20,5,IF(D722&gt;=10,4,IF(D722&gt;=5,3,IF(D722&gt;=2,2,1))))</f>
        <v/>
      </c>
      <c r="H722" s="128">
        <f>IF(E722&gt;=5000,5,IF(E722&gt;=2000,4,IF(E722&gt;=800,3,IF(E722&gt;=300,2,1))))</f>
        <v/>
      </c>
      <c r="I722" s="126">
        <f>TEXT(F722,"0")&amp;TEXT(G722,"0")&amp;TEXT(H722,"0")</f>
        <v/>
      </c>
      <c r="J722" s="126">
        <f>IFERROR(XLOOKUP(I722,'Segment Map'!A:A,'Segment Map'!B:B,"Need Attention"),"Need Attention")</f>
        <v/>
      </c>
      <c r="K722" s="126">
        <f>IF(E722&gt;=5000,"🏆 Platinum",IF(E722&gt;=2000,"🥇 Gold",IF(E722&gt;=800,"🥈 Silver","🥉 Bronze")))</f>
        <v/>
      </c>
      <c r="L722" s="129" t="n">
        <v>40731</v>
      </c>
    </row>
    <row r="723">
      <c r="A723" s="122" t="n">
        <v>13304</v>
      </c>
      <c r="B723" s="122" t="inlineStr">
        <is>
          <t>United Kingdom</t>
        </is>
      </c>
      <c r="C723" s="122" t="n">
        <v>352</v>
      </c>
      <c r="D723" s="122" t="n">
        <v>1</v>
      </c>
      <c r="E723" s="123" t="n">
        <v>300.42</v>
      </c>
      <c r="F723" s="124">
        <f>IF(C723&lt;=30,5,IF(C723&lt;=60,4,IF(C723&lt;=120,3,IF(C723&lt;=200,2,1))))</f>
        <v/>
      </c>
      <c r="G723" s="124">
        <f>IF(D723&gt;=20,5,IF(D723&gt;=10,4,IF(D723&gt;=5,3,IF(D723&gt;=2,2,1))))</f>
        <v/>
      </c>
      <c r="H723" s="124">
        <f>IF(E723&gt;=5000,5,IF(E723&gt;=2000,4,IF(E723&gt;=800,3,IF(E723&gt;=300,2,1))))</f>
        <v/>
      </c>
      <c r="I723" s="122">
        <f>TEXT(F723,"0")&amp;TEXT(G723,"0")&amp;TEXT(H723,"0")</f>
        <v/>
      </c>
      <c r="J723" s="122">
        <f>IFERROR(XLOOKUP(I723,'Segment Map'!A:A,'Segment Map'!B:B,"Need Attention"),"Need Attention")</f>
        <v/>
      </c>
      <c r="K723" s="122">
        <f>IF(E723&gt;=5000,"🏆 Platinum",IF(E723&gt;=2000,"🥇 Gold",IF(E723&gt;=800,"🥈 Silver","🥉 Bronze")))</f>
        <v/>
      </c>
      <c r="L723" s="125" t="n">
        <v>40535</v>
      </c>
    </row>
    <row r="724">
      <c r="A724" s="126" t="n">
        <v>13305</v>
      </c>
      <c r="B724" s="126" t="inlineStr">
        <is>
          <t>United Kingdom</t>
        </is>
      </c>
      <c r="C724" s="126" t="n">
        <v>5</v>
      </c>
      <c r="D724" s="126" t="n">
        <v>10</v>
      </c>
      <c r="E724" s="127" t="n">
        <v>2000.86</v>
      </c>
      <c r="F724" s="128">
        <f>IF(C724&lt;=30,5,IF(C724&lt;=60,4,IF(C724&lt;=120,3,IF(C724&lt;=200,2,1))))</f>
        <v/>
      </c>
      <c r="G724" s="128">
        <f>IF(D724&gt;=20,5,IF(D724&gt;=10,4,IF(D724&gt;=5,3,IF(D724&gt;=2,2,1))))</f>
        <v/>
      </c>
      <c r="H724" s="128">
        <f>IF(E724&gt;=5000,5,IF(E724&gt;=2000,4,IF(E724&gt;=800,3,IF(E724&gt;=300,2,1))))</f>
        <v/>
      </c>
      <c r="I724" s="126">
        <f>TEXT(F724,"0")&amp;TEXT(G724,"0")&amp;TEXT(H724,"0")</f>
        <v/>
      </c>
      <c r="J724" s="126">
        <f>IFERROR(XLOOKUP(I724,'Segment Map'!A:A,'Segment Map'!B:B,"Need Attention"),"Need Attention")</f>
        <v/>
      </c>
      <c r="K724" s="126">
        <f>IF(E724&gt;=5000,"🏆 Platinum",IF(E724&gt;=2000,"🥇 Gold",IF(E724&gt;=800,"🥈 Silver","🥉 Bronze")))</f>
        <v/>
      </c>
      <c r="L724" s="129" t="n">
        <v>40882</v>
      </c>
    </row>
    <row r="725">
      <c r="A725" s="122" t="n">
        <v>13307</v>
      </c>
      <c r="B725" s="122" t="inlineStr">
        <is>
          <t>United Kingdom</t>
        </is>
      </c>
      <c r="C725" s="122" t="n">
        <v>121</v>
      </c>
      <c r="D725" s="122" t="n">
        <v>1</v>
      </c>
      <c r="E725" s="123" t="n">
        <v>15</v>
      </c>
      <c r="F725" s="124">
        <f>IF(C725&lt;=30,5,IF(C725&lt;=60,4,IF(C725&lt;=120,3,IF(C725&lt;=200,2,1))))</f>
        <v/>
      </c>
      <c r="G725" s="124">
        <f>IF(D725&gt;=20,5,IF(D725&gt;=10,4,IF(D725&gt;=5,3,IF(D725&gt;=2,2,1))))</f>
        <v/>
      </c>
      <c r="H725" s="124">
        <f>IF(E725&gt;=5000,5,IF(E725&gt;=2000,4,IF(E725&gt;=800,3,IF(E725&gt;=300,2,1))))</f>
        <v/>
      </c>
      <c r="I725" s="122">
        <f>TEXT(F725,"0")&amp;TEXT(G725,"0")&amp;TEXT(H725,"0")</f>
        <v/>
      </c>
      <c r="J725" s="122">
        <f>IFERROR(XLOOKUP(I725,'Segment Map'!A:A,'Segment Map'!B:B,"Need Attention"),"Need Attention")</f>
        <v/>
      </c>
      <c r="K725" s="122">
        <f>IF(E725&gt;=5000,"🏆 Platinum",IF(E725&gt;=2000,"🥇 Gold",IF(E725&gt;=800,"🥈 Silver","🥉 Bronze")))</f>
        <v/>
      </c>
      <c r="L725" s="125" t="n">
        <v>40766</v>
      </c>
    </row>
    <row r="726">
      <c r="A726" s="126" t="n">
        <v>13308</v>
      </c>
      <c r="B726" s="126" t="inlineStr">
        <is>
          <t>United Kingdom</t>
        </is>
      </c>
      <c r="C726" s="126" t="n">
        <v>23</v>
      </c>
      <c r="D726" s="126" t="n">
        <v>3</v>
      </c>
      <c r="E726" s="127" t="n">
        <v>1385.51</v>
      </c>
      <c r="F726" s="128">
        <f>IF(C726&lt;=30,5,IF(C726&lt;=60,4,IF(C726&lt;=120,3,IF(C726&lt;=200,2,1))))</f>
        <v/>
      </c>
      <c r="G726" s="128">
        <f>IF(D726&gt;=20,5,IF(D726&gt;=10,4,IF(D726&gt;=5,3,IF(D726&gt;=2,2,1))))</f>
        <v/>
      </c>
      <c r="H726" s="128">
        <f>IF(E726&gt;=5000,5,IF(E726&gt;=2000,4,IF(E726&gt;=800,3,IF(E726&gt;=300,2,1))))</f>
        <v/>
      </c>
      <c r="I726" s="126">
        <f>TEXT(F726,"0")&amp;TEXT(G726,"0")&amp;TEXT(H726,"0")</f>
        <v/>
      </c>
      <c r="J726" s="126">
        <f>IFERROR(XLOOKUP(I726,'Segment Map'!A:A,'Segment Map'!B:B,"Need Attention"),"Need Attention")</f>
        <v/>
      </c>
      <c r="K726" s="126">
        <f>IF(E726&gt;=5000,"🏆 Platinum",IF(E726&gt;=2000,"🥇 Gold",IF(E726&gt;=800,"🥈 Silver","🥉 Bronze")))</f>
        <v/>
      </c>
      <c r="L726" s="129" t="n">
        <v>40864</v>
      </c>
    </row>
    <row r="727">
      <c r="A727" s="122" t="n">
        <v>13309</v>
      </c>
      <c r="B727" s="122" t="inlineStr">
        <is>
          <t>United Kingdom</t>
        </is>
      </c>
      <c r="C727" s="122" t="n">
        <v>8</v>
      </c>
      <c r="D727" s="122" t="n">
        <v>5</v>
      </c>
      <c r="E727" s="123" t="n">
        <v>1456.79</v>
      </c>
      <c r="F727" s="124">
        <f>IF(C727&lt;=30,5,IF(C727&lt;=60,4,IF(C727&lt;=120,3,IF(C727&lt;=200,2,1))))</f>
        <v/>
      </c>
      <c r="G727" s="124">
        <f>IF(D727&gt;=20,5,IF(D727&gt;=10,4,IF(D727&gt;=5,3,IF(D727&gt;=2,2,1))))</f>
        <v/>
      </c>
      <c r="H727" s="124">
        <f>IF(E727&gt;=5000,5,IF(E727&gt;=2000,4,IF(E727&gt;=800,3,IF(E727&gt;=300,2,1))))</f>
        <v/>
      </c>
      <c r="I727" s="122">
        <f>TEXT(F727,"0")&amp;TEXT(G727,"0")&amp;TEXT(H727,"0")</f>
        <v/>
      </c>
      <c r="J727" s="122">
        <f>IFERROR(XLOOKUP(I727,'Segment Map'!A:A,'Segment Map'!B:B,"Need Attention"),"Need Attention")</f>
        <v/>
      </c>
      <c r="K727" s="122">
        <f>IF(E727&gt;=5000,"🏆 Platinum",IF(E727&gt;=2000,"🥇 Gold",IF(E727&gt;=800,"🥈 Silver","🥉 Bronze")))</f>
        <v/>
      </c>
      <c r="L727" s="125" t="n">
        <v>40879</v>
      </c>
    </row>
    <row r="728">
      <c r="A728" s="126" t="n">
        <v>13310</v>
      </c>
      <c r="B728" s="126" t="inlineStr">
        <is>
          <t>United Kingdom</t>
        </is>
      </c>
      <c r="C728" s="126" t="n">
        <v>29</v>
      </c>
      <c r="D728" s="126" t="n">
        <v>3</v>
      </c>
      <c r="E728" s="127" t="n">
        <v>1132.03</v>
      </c>
      <c r="F728" s="128">
        <f>IF(C728&lt;=30,5,IF(C728&lt;=60,4,IF(C728&lt;=120,3,IF(C728&lt;=200,2,1))))</f>
        <v/>
      </c>
      <c r="G728" s="128">
        <f>IF(D728&gt;=20,5,IF(D728&gt;=10,4,IF(D728&gt;=5,3,IF(D728&gt;=2,2,1))))</f>
        <v/>
      </c>
      <c r="H728" s="128">
        <f>IF(E728&gt;=5000,5,IF(E728&gt;=2000,4,IF(E728&gt;=800,3,IF(E728&gt;=300,2,1))))</f>
        <v/>
      </c>
      <c r="I728" s="126">
        <f>TEXT(F728,"0")&amp;TEXT(G728,"0")&amp;TEXT(H728,"0")</f>
        <v/>
      </c>
      <c r="J728" s="126">
        <f>IFERROR(XLOOKUP(I728,'Segment Map'!A:A,'Segment Map'!B:B,"Need Attention"),"Need Attention")</f>
        <v/>
      </c>
      <c r="K728" s="126">
        <f>IF(E728&gt;=5000,"🏆 Platinum",IF(E728&gt;=2000,"🥇 Gold",IF(E728&gt;=800,"🥈 Silver","🥉 Bronze")))</f>
        <v/>
      </c>
      <c r="L728" s="129" t="n">
        <v>40858</v>
      </c>
    </row>
    <row r="729">
      <c r="A729" s="122" t="n">
        <v>13311</v>
      </c>
      <c r="B729" s="122" t="inlineStr">
        <is>
          <t>United Kingdom</t>
        </is>
      </c>
      <c r="C729" s="122" t="n">
        <v>5</v>
      </c>
      <c r="D729" s="122" t="n">
        <v>2</v>
      </c>
      <c r="E729" s="123" t="n">
        <v>598.5700000000001</v>
      </c>
      <c r="F729" s="124">
        <f>IF(C729&lt;=30,5,IF(C729&lt;=60,4,IF(C729&lt;=120,3,IF(C729&lt;=200,2,1))))</f>
        <v/>
      </c>
      <c r="G729" s="124">
        <f>IF(D729&gt;=20,5,IF(D729&gt;=10,4,IF(D729&gt;=5,3,IF(D729&gt;=2,2,1))))</f>
        <v/>
      </c>
      <c r="H729" s="124">
        <f>IF(E729&gt;=5000,5,IF(E729&gt;=2000,4,IF(E729&gt;=800,3,IF(E729&gt;=300,2,1))))</f>
        <v/>
      </c>
      <c r="I729" s="122">
        <f>TEXT(F729,"0")&amp;TEXT(G729,"0")&amp;TEXT(H729,"0")</f>
        <v/>
      </c>
      <c r="J729" s="122">
        <f>IFERROR(XLOOKUP(I729,'Segment Map'!A:A,'Segment Map'!B:B,"Need Attention"),"Need Attention")</f>
        <v/>
      </c>
      <c r="K729" s="122">
        <f>IF(E729&gt;=5000,"🏆 Platinum",IF(E729&gt;=2000,"🥇 Gold",IF(E729&gt;=800,"🥈 Silver","🥉 Bronze")))</f>
        <v/>
      </c>
      <c r="L729" s="125" t="n">
        <v>40882</v>
      </c>
    </row>
    <row r="730">
      <c r="A730" s="126" t="n">
        <v>13313</v>
      </c>
      <c r="B730" s="126" t="inlineStr">
        <is>
          <t>United Kingdom</t>
        </is>
      </c>
      <c r="C730" s="126" t="n">
        <v>23</v>
      </c>
      <c r="D730" s="126" t="n">
        <v>5</v>
      </c>
      <c r="E730" s="127" t="n">
        <v>1555.32</v>
      </c>
      <c r="F730" s="128">
        <f>IF(C730&lt;=30,5,IF(C730&lt;=60,4,IF(C730&lt;=120,3,IF(C730&lt;=200,2,1))))</f>
        <v/>
      </c>
      <c r="G730" s="128">
        <f>IF(D730&gt;=20,5,IF(D730&gt;=10,4,IF(D730&gt;=5,3,IF(D730&gt;=2,2,1))))</f>
        <v/>
      </c>
      <c r="H730" s="128">
        <f>IF(E730&gt;=5000,5,IF(E730&gt;=2000,4,IF(E730&gt;=800,3,IF(E730&gt;=300,2,1))))</f>
        <v/>
      </c>
      <c r="I730" s="126">
        <f>TEXT(F730,"0")&amp;TEXT(G730,"0")&amp;TEXT(H730,"0")</f>
        <v/>
      </c>
      <c r="J730" s="126">
        <f>IFERROR(XLOOKUP(I730,'Segment Map'!A:A,'Segment Map'!B:B,"Need Attention"),"Need Attention")</f>
        <v/>
      </c>
      <c r="K730" s="126">
        <f>IF(E730&gt;=5000,"🏆 Platinum",IF(E730&gt;=2000,"🥇 Gold",IF(E730&gt;=800,"🥈 Silver","🥉 Bronze")))</f>
        <v/>
      </c>
      <c r="L730" s="129" t="n">
        <v>40864</v>
      </c>
    </row>
    <row r="731">
      <c r="A731" s="122" t="n">
        <v>13314</v>
      </c>
      <c r="B731" s="122" t="inlineStr">
        <is>
          <t>United Kingdom</t>
        </is>
      </c>
      <c r="C731" s="122" t="n">
        <v>2</v>
      </c>
      <c r="D731" s="122" t="n">
        <v>3</v>
      </c>
      <c r="E731" s="123" t="n">
        <v>775.9400000000001</v>
      </c>
      <c r="F731" s="124">
        <f>IF(C731&lt;=30,5,IF(C731&lt;=60,4,IF(C731&lt;=120,3,IF(C731&lt;=200,2,1))))</f>
        <v/>
      </c>
      <c r="G731" s="124">
        <f>IF(D731&gt;=20,5,IF(D731&gt;=10,4,IF(D731&gt;=5,3,IF(D731&gt;=2,2,1))))</f>
        <v/>
      </c>
      <c r="H731" s="124">
        <f>IF(E731&gt;=5000,5,IF(E731&gt;=2000,4,IF(E731&gt;=800,3,IF(E731&gt;=300,2,1))))</f>
        <v/>
      </c>
      <c r="I731" s="122">
        <f>TEXT(F731,"0")&amp;TEXT(G731,"0")&amp;TEXT(H731,"0")</f>
        <v/>
      </c>
      <c r="J731" s="122">
        <f>IFERROR(XLOOKUP(I731,'Segment Map'!A:A,'Segment Map'!B:B,"Need Attention"),"Need Attention")</f>
        <v/>
      </c>
      <c r="K731" s="122">
        <f>IF(E731&gt;=5000,"🏆 Platinum",IF(E731&gt;=2000,"🥇 Gold",IF(E731&gt;=800,"🥈 Silver","🥉 Bronze")))</f>
        <v/>
      </c>
      <c r="L731" s="125" t="n">
        <v>40885</v>
      </c>
    </row>
    <row r="732">
      <c r="A732" s="126" t="n">
        <v>13316</v>
      </c>
      <c r="B732" s="126" t="inlineStr">
        <is>
          <t>United Kingdom</t>
        </is>
      </c>
      <c r="C732" s="126" t="n">
        <v>38</v>
      </c>
      <c r="D732" s="126" t="n">
        <v>4</v>
      </c>
      <c r="E732" s="127" t="n">
        <v>5977.73</v>
      </c>
      <c r="F732" s="128">
        <f>IF(C732&lt;=30,5,IF(C732&lt;=60,4,IF(C732&lt;=120,3,IF(C732&lt;=200,2,1))))</f>
        <v/>
      </c>
      <c r="G732" s="128">
        <f>IF(D732&gt;=20,5,IF(D732&gt;=10,4,IF(D732&gt;=5,3,IF(D732&gt;=2,2,1))))</f>
        <v/>
      </c>
      <c r="H732" s="128">
        <f>IF(E732&gt;=5000,5,IF(E732&gt;=2000,4,IF(E732&gt;=800,3,IF(E732&gt;=300,2,1))))</f>
        <v/>
      </c>
      <c r="I732" s="126">
        <f>TEXT(F732,"0")&amp;TEXT(G732,"0")&amp;TEXT(H732,"0")</f>
        <v/>
      </c>
      <c r="J732" s="126">
        <f>IFERROR(XLOOKUP(I732,'Segment Map'!A:A,'Segment Map'!B:B,"Need Attention"),"Need Attention")</f>
        <v/>
      </c>
      <c r="K732" s="126">
        <f>IF(E732&gt;=5000,"🏆 Platinum",IF(E732&gt;=2000,"🥇 Gold",IF(E732&gt;=800,"🥈 Silver","🥉 Bronze")))</f>
        <v/>
      </c>
      <c r="L732" s="129" t="n">
        <v>40849</v>
      </c>
    </row>
    <row r="733">
      <c r="A733" s="122" t="n">
        <v>13317</v>
      </c>
      <c r="B733" s="122" t="inlineStr">
        <is>
          <t>United Kingdom</t>
        </is>
      </c>
      <c r="C733" s="122" t="n">
        <v>67</v>
      </c>
      <c r="D733" s="122" t="n">
        <v>6</v>
      </c>
      <c r="E733" s="123" t="n">
        <v>2273.68</v>
      </c>
      <c r="F733" s="124">
        <f>IF(C733&lt;=30,5,IF(C733&lt;=60,4,IF(C733&lt;=120,3,IF(C733&lt;=200,2,1))))</f>
        <v/>
      </c>
      <c r="G733" s="124">
        <f>IF(D733&gt;=20,5,IF(D733&gt;=10,4,IF(D733&gt;=5,3,IF(D733&gt;=2,2,1))))</f>
        <v/>
      </c>
      <c r="H733" s="124">
        <f>IF(E733&gt;=5000,5,IF(E733&gt;=2000,4,IF(E733&gt;=800,3,IF(E733&gt;=300,2,1))))</f>
        <v/>
      </c>
      <c r="I733" s="122">
        <f>TEXT(F733,"0")&amp;TEXT(G733,"0")&amp;TEXT(H733,"0")</f>
        <v/>
      </c>
      <c r="J733" s="122">
        <f>IFERROR(XLOOKUP(I733,'Segment Map'!A:A,'Segment Map'!B:B,"Need Attention"),"Need Attention")</f>
        <v/>
      </c>
      <c r="K733" s="122">
        <f>IF(E733&gt;=5000,"🏆 Platinum",IF(E733&gt;=2000,"🥇 Gold",IF(E733&gt;=800,"🥈 Silver","🥉 Bronze")))</f>
        <v/>
      </c>
      <c r="L733" s="125" t="n">
        <v>40820</v>
      </c>
    </row>
    <row r="734">
      <c r="A734" s="126" t="n">
        <v>13318</v>
      </c>
      <c r="B734" s="126" t="inlineStr">
        <is>
          <t>United Kingdom</t>
        </is>
      </c>
      <c r="C734" s="126" t="n">
        <v>2</v>
      </c>
      <c r="D734" s="126" t="n">
        <v>3</v>
      </c>
      <c r="E734" s="127" t="n">
        <v>640.76</v>
      </c>
      <c r="F734" s="128">
        <f>IF(C734&lt;=30,5,IF(C734&lt;=60,4,IF(C734&lt;=120,3,IF(C734&lt;=200,2,1))))</f>
        <v/>
      </c>
      <c r="G734" s="128">
        <f>IF(D734&gt;=20,5,IF(D734&gt;=10,4,IF(D734&gt;=5,3,IF(D734&gt;=2,2,1))))</f>
        <v/>
      </c>
      <c r="H734" s="128">
        <f>IF(E734&gt;=5000,5,IF(E734&gt;=2000,4,IF(E734&gt;=800,3,IF(E734&gt;=300,2,1))))</f>
        <v/>
      </c>
      <c r="I734" s="126">
        <f>TEXT(F734,"0")&amp;TEXT(G734,"0")&amp;TEXT(H734,"0")</f>
        <v/>
      </c>
      <c r="J734" s="126">
        <f>IFERROR(XLOOKUP(I734,'Segment Map'!A:A,'Segment Map'!B:B,"Need Attention"),"Need Attention")</f>
        <v/>
      </c>
      <c r="K734" s="126">
        <f>IF(E734&gt;=5000,"🏆 Platinum",IF(E734&gt;=2000,"🥇 Gold",IF(E734&gt;=800,"🥈 Silver","🥉 Bronze")))</f>
        <v/>
      </c>
      <c r="L734" s="129" t="n">
        <v>40885</v>
      </c>
    </row>
    <row r="735">
      <c r="A735" s="122" t="n">
        <v>13319</v>
      </c>
      <c r="B735" s="122" t="inlineStr">
        <is>
          <t>United Kingdom</t>
        </is>
      </c>
      <c r="C735" s="122" t="n">
        <v>6</v>
      </c>
      <c r="D735" s="122" t="n">
        <v>26</v>
      </c>
      <c r="E735" s="123" t="n">
        <v>10845.55</v>
      </c>
      <c r="F735" s="124">
        <f>IF(C735&lt;=30,5,IF(C735&lt;=60,4,IF(C735&lt;=120,3,IF(C735&lt;=200,2,1))))</f>
        <v/>
      </c>
      <c r="G735" s="124">
        <f>IF(D735&gt;=20,5,IF(D735&gt;=10,4,IF(D735&gt;=5,3,IF(D735&gt;=2,2,1))))</f>
        <v/>
      </c>
      <c r="H735" s="124">
        <f>IF(E735&gt;=5000,5,IF(E735&gt;=2000,4,IF(E735&gt;=800,3,IF(E735&gt;=300,2,1))))</f>
        <v/>
      </c>
      <c r="I735" s="122">
        <f>TEXT(F735,"0")&amp;TEXT(G735,"0")&amp;TEXT(H735,"0")</f>
        <v/>
      </c>
      <c r="J735" s="122">
        <f>IFERROR(XLOOKUP(I735,'Segment Map'!A:A,'Segment Map'!B:B,"Need Attention"),"Need Attention")</f>
        <v/>
      </c>
      <c r="K735" s="122">
        <f>IF(E735&gt;=5000,"🏆 Platinum",IF(E735&gt;=2000,"🥇 Gold",IF(E735&gt;=800,"🥈 Silver","🥉 Bronze")))</f>
        <v/>
      </c>
      <c r="L735" s="125" t="n">
        <v>40881</v>
      </c>
    </row>
    <row r="736">
      <c r="A736" s="126" t="n">
        <v>13320</v>
      </c>
      <c r="B736" s="126" t="inlineStr">
        <is>
          <t>United Kingdom</t>
        </is>
      </c>
      <c r="C736" s="126" t="n">
        <v>79</v>
      </c>
      <c r="D736" s="126" t="n">
        <v>4</v>
      </c>
      <c r="E736" s="127" t="n">
        <v>1548.7</v>
      </c>
      <c r="F736" s="128">
        <f>IF(C736&lt;=30,5,IF(C736&lt;=60,4,IF(C736&lt;=120,3,IF(C736&lt;=200,2,1))))</f>
        <v/>
      </c>
      <c r="G736" s="128">
        <f>IF(D736&gt;=20,5,IF(D736&gt;=10,4,IF(D736&gt;=5,3,IF(D736&gt;=2,2,1))))</f>
        <v/>
      </c>
      <c r="H736" s="128">
        <f>IF(E736&gt;=5000,5,IF(E736&gt;=2000,4,IF(E736&gt;=800,3,IF(E736&gt;=300,2,1))))</f>
        <v/>
      </c>
      <c r="I736" s="126">
        <f>TEXT(F736,"0")&amp;TEXT(G736,"0")&amp;TEXT(H736,"0")</f>
        <v/>
      </c>
      <c r="J736" s="126">
        <f>IFERROR(XLOOKUP(I736,'Segment Map'!A:A,'Segment Map'!B:B,"Need Attention"),"Need Attention")</f>
        <v/>
      </c>
      <c r="K736" s="126">
        <f>IF(E736&gt;=5000,"🏆 Platinum",IF(E736&gt;=2000,"🥇 Gold",IF(E736&gt;=800,"🥈 Silver","🥉 Bronze")))</f>
        <v/>
      </c>
      <c r="L736" s="129" t="n">
        <v>40808</v>
      </c>
    </row>
    <row r="737">
      <c r="A737" s="122" t="n">
        <v>13321</v>
      </c>
      <c r="B737" s="122" t="inlineStr">
        <is>
          <t>United Kingdom</t>
        </is>
      </c>
      <c r="C737" s="122" t="n">
        <v>73</v>
      </c>
      <c r="D737" s="122" t="n">
        <v>2</v>
      </c>
      <c r="E737" s="123" t="n">
        <v>567.36</v>
      </c>
      <c r="F737" s="124">
        <f>IF(C737&lt;=30,5,IF(C737&lt;=60,4,IF(C737&lt;=120,3,IF(C737&lt;=200,2,1))))</f>
        <v/>
      </c>
      <c r="G737" s="124">
        <f>IF(D737&gt;=20,5,IF(D737&gt;=10,4,IF(D737&gt;=5,3,IF(D737&gt;=2,2,1))))</f>
        <v/>
      </c>
      <c r="H737" s="124">
        <f>IF(E737&gt;=5000,5,IF(E737&gt;=2000,4,IF(E737&gt;=800,3,IF(E737&gt;=300,2,1))))</f>
        <v/>
      </c>
      <c r="I737" s="122">
        <f>TEXT(F737,"0")&amp;TEXT(G737,"0")&amp;TEXT(H737,"0")</f>
        <v/>
      </c>
      <c r="J737" s="122">
        <f>IFERROR(XLOOKUP(I737,'Segment Map'!A:A,'Segment Map'!B:B,"Need Attention"),"Need Attention")</f>
        <v/>
      </c>
      <c r="K737" s="122">
        <f>IF(E737&gt;=5000,"🏆 Platinum",IF(E737&gt;=2000,"🥇 Gold",IF(E737&gt;=800,"🥈 Silver","🥉 Bronze")))</f>
        <v/>
      </c>
      <c r="L737" s="125" t="n">
        <v>40814</v>
      </c>
    </row>
    <row r="738">
      <c r="A738" s="126" t="n">
        <v>13322</v>
      </c>
      <c r="B738" s="126" t="inlineStr">
        <is>
          <t>United Kingdom</t>
        </is>
      </c>
      <c r="C738" s="126" t="n">
        <v>18</v>
      </c>
      <c r="D738" s="126" t="n">
        <v>1</v>
      </c>
      <c r="E738" s="127" t="n">
        <v>199.48</v>
      </c>
      <c r="F738" s="128">
        <f>IF(C738&lt;=30,5,IF(C738&lt;=60,4,IF(C738&lt;=120,3,IF(C738&lt;=200,2,1))))</f>
        <v/>
      </c>
      <c r="G738" s="128">
        <f>IF(D738&gt;=20,5,IF(D738&gt;=10,4,IF(D738&gt;=5,3,IF(D738&gt;=2,2,1))))</f>
        <v/>
      </c>
      <c r="H738" s="128">
        <f>IF(E738&gt;=5000,5,IF(E738&gt;=2000,4,IF(E738&gt;=800,3,IF(E738&gt;=300,2,1))))</f>
        <v/>
      </c>
      <c r="I738" s="126">
        <f>TEXT(F738,"0")&amp;TEXT(G738,"0")&amp;TEXT(H738,"0")</f>
        <v/>
      </c>
      <c r="J738" s="126">
        <f>IFERROR(XLOOKUP(I738,'Segment Map'!A:A,'Segment Map'!B:B,"Need Attention"),"Need Attention")</f>
        <v/>
      </c>
      <c r="K738" s="126">
        <f>IF(E738&gt;=5000,"🏆 Platinum",IF(E738&gt;=2000,"🥇 Gold",IF(E738&gt;=800,"🥈 Silver","🥉 Bronze")))</f>
        <v/>
      </c>
      <c r="L738" s="129" t="n">
        <v>40869</v>
      </c>
    </row>
    <row r="739">
      <c r="A739" s="122" t="n">
        <v>13323</v>
      </c>
      <c r="B739" s="122" t="inlineStr">
        <is>
          <t>United Kingdom</t>
        </is>
      </c>
      <c r="C739" s="122" t="n">
        <v>4</v>
      </c>
      <c r="D739" s="122" t="n">
        <v>5</v>
      </c>
      <c r="E739" s="123" t="n">
        <v>787.85</v>
      </c>
      <c r="F739" s="124">
        <f>IF(C739&lt;=30,5,IF(C739&lt;=60,4,IF(C739&lt;=120,3,IF(C739&lt;=200,2,1))))</f>
        <v/>
      </c>
      <c r="G739" s="124">
        <f>IF(D739&gt;=20,5,IF(D739&gt;=10,4,IF(D739&gt;=5,3,IF(D739&gt;=2,2,1))))</f>
        <v/>
      </c>
      <c r="H739" s="124">
        <f>IF(E739&gt;=5000,5,IF(E739&gt;=2000,4,IF(E739&gt;=800,3,IF(E739&gt;=300,2,1))))</f>
        <v/>
      </c>
      <c r="I739" s="122">
        <f>TEXT(F739,"0")&amp;TEXT(G739,"0")&amp;TEXT(H739,"0")</f>
        <v/>
      </c>
      <c r="J739" s="122">
        <f>IFERROR(XLOOKUP(I739,'Segment Map'!A:A,'Segment Map'!B:B,"Need Attention"),"Need Attention")</f>
        <v/>
      </c>
      <c r="K739" s="122">
        <f>IF(E739&gt;=5000,"🏆 Platinum",IF(E739&gt;=2000,"🥇 Gold",IF(E739&gt;=800,"🥈 Silver","🥉 Bronze")))</f>
        <v/>
      </c>
      <c r="L739" s="125" t="n">
        <v>40883</v>
      </c>
    </row>
    <row r="740">
      <c r="A740" s="126" t="n">
        <v>13324</v>
      </c>
      <c r="B740" s="126" t="inlineStr">
        <is>
          <t>United Kingdom</t>
        </is>
      </c>
      <c r="C740" s="126" t="n">
        <v>37</v>
      </c>
      <c r="D740" s="126" t="n">
        <v>10</v>
      </c>
      <c r="E740" s="127" t="n">
        <v>7121.95</v>
      </c>
      <c r="F740" s="128">
        <f>IF(C740&lt;=30,5,IF(C740&lt;=60,4,IF(C740&lt;=120,3,IF(C740&lt;=200,2,1))))</f>
        <v/>
      </c>
      <c r="G740" s="128">
        <f>IF(D740&gt;=20,5,IF(D740&gt;=10,4,IF(D740&gt;=5,3,IF(D740&gt;=2,2,1))))</f>
        <v/>
      </c>
      <c r="H740" s="128">
        <f>IF(E740&gt;=5000,5,IF(E740&gt;=2000,4,IF(E740&gt;=800,3,IF(E740&gt;=300,2,1))))</f>
        <v/>
      </c>
      <c r="I740" s="126">
        <f>TEXT(F740,"0")&amp;TEXT(G740,"0")&amp;TEXT(H740,"0")</f>
        <v/>
      </c>
      <c r="J740" s="126">
        <f>IFERROR(XLOOKUP(I740,'Segment Map'!A:A,'Segment Map'!B:B,"Need Attention"),"Need Attention")</f>
        <v/>
      </c>
      <c r="K740" s="126">
        <f>IF(E740&gt;=5000,"🏆 Platinum",IF(E740&gt;=2000,"🥇 Gold",IF(E740&gt;=800,"🥈 Silver","🥉 Bronze")))</f>
        <v/>
      </c>
      <c r="L740" s="129" t="n">
        <v>40850</v>
      </c>
    </row>
    <row r="741">
      <c r="A741" s="122" t="n">
        <v>13325</v>
      </c>
      <c r="B741" s="122" t="inlineStr">
        <is>
          <t>United Kingdom</t>
        </is>
      </c>
      <c r="C741" s="122" t="n">
        <v>82</v>
      </c>
      <c r="D741" s="122" t="n">
        <v>1</v>
      </c>
      <c r="E741" s="123" t="n">
        <v>675.3</v>
      </c>
      <c r="F741" s="124">
        <f>IF(C741&lt;=30,5,IF(C741&lt;=60,4,IF(C741&lt;=120,3,IF(C741&lt;=200,2,1))))</f>
        <v/>
      </c>
      <c r="G741" s="124">
        <f>IF(D741&gt;=20,5,IF(D741&gt;=10,4,IF(D741&gt;=5,3,IF(D741&gt;=2,2,1))))</f>
        <v/>
      </c>
      <c r="H741" s="124">
        <f>IF(E741&gt;=5000,5,IF(E741&gt;=2000,4,IF(E741&gt;=800,3,IF(E741&gt;=300,2,1))))</f>
        <v/>
      </c>
      <c r="I741" s="122">
        <f>TEXT(F741,"0")&amp;TEXT(G741,"0")&amp;TEXT(H741,"0")</f>
        <v/>
      </c>
      <c r="J741" s="122">
        <f>IFERROR(XLOOKUP(I741,'Segment Map'!A:A,'Segment Map'!B:B,"Need Attention"),"Need Attention")</f>
        <v/>
      </c>
      <c r="K741" s="122">
        <f>IF(E741&gt;=5000,"🏆 Platinum",IF(E741&gt;=2000,"🥇 Gold",IF(E741&gt;=800,"🥈 Silver","🥉 Bronze")))</f>
        <v/>
      </c>
      <c r="L741" s="125" t="n">
        <v>40805</v>
      </c>
    </row>
    <row r="742">
      <c r="A742" s="126" t="n">
        <v>13327</v>
      </c>
      <c r="B742" s="126" t="inlineStr">
        <is>
          <t>United Kingdom</t>
        </is>
      </c>
      <c r="C742" s="126" t="n">
        <v>39</v>
      </c>
      <c r="D742" s="126" t="n">
        <v>8</v>
      </c>
      <c r="E742" s="127" t="n">
        <v>3627.77</v>
      </c>
      <c r="F742" s="128">
        <f>IF(C742&lt;=30,5,IF(C742&lt;=60,4,IF(C742&lt;=120,3,IF(C742&lt;=200,2,1))))</f>
        <v/>
      </c>
      <c r="G742" s="128">
        <f>IF(D742&gt;=20,5,IF(D742&gt;=10,4,IF(D742&gt;=5,3,IF(D742&gt;=2,2,1))))</f>
        <v/>
      </c>
      <c r="H742" s="128">
        <f>IF(E742&gt;=5000,5,IF(E742&gt;=2000,4,IF(E742&gt;=800,3,IF(E742&gt;=300,2,1))))</f>
        <v/>
      </c>
      <c r="I742" s="126">
        <f>TEXT(F742,"0")&amp;TEXT(G742,"0")&amp;TEXT(H742,"0")</f>
        <v/>
      </c>
      <c r="J742" s="126">
        <f>IFERROR(XLOOKUP(I742,'Segment Map'!A:A,'Segment Map'!B:B,"Need Attention"),"Need Attention")</f>
        <v/>
      </c>
      <c r="K742" s="126">
        <f>IF(E742&gt;=5000,"🏆 Platinum",IF(E742&gt;=2000,"🥇 Gold",IF(E742&gt;=800,"🥈 Silver","🥉 Bronze")))</f>
        <v/>
      </c>
      <c r="L742" s="129" t="n">
        <v>40848</v>
      </c>
    </row>
    <row r="743">
      <c r="A743" s="122" t="n">
        <v>13328</v>
      </c>
      <c r="B743" s="122" t="inlineStr">
        <is>
          <t>United Kingdom</t>
        </is>
      </c>
      <c r="C743" s="122" t="n">
        <v>317</v>
      </c>
      <c r="D743" s="122" t="n">
        <v>1</v>
      </c>
      <c r="E743" s="123" t="n">
        <v>1308.48</v>
      </c>
      <c r="F743" s="124">
        <f>IF(C743&lt;=30,5,IF(C743&lt;=60,4,IF(C743&lt;=120,3,IF(C743&lt;=200,2,1))))</f>
        <v/>
      </c>
      <c r="G743" s="124">
        <f>IF(D743&gt;=20,5,IF(D743&gt;=10,4,IF(D743&gt;=5,3,IF(D743&gt;=2,2,1))))</f>
        <v/>
      </c>
      <c r="H743" s="124">
        <f>IF(E743&gt;=5000,5,IF(E743&gt;=2000,4,IF(E743&gt;=800,3,IF(E743&gt;=300,2,1))))</f>
        <v/>
      </c>
      <c r="I743" s="122">
        <f>TEXT(F743,"0")&amp;TEXT(G743,"0")&amp;TEXT(H743,"0")</f>
        <v/>
      </c>
      <c r="J743" s="122">
        <f>IFERROR(XLOOKUP(I743,'Segment Map'!A:A,'Segment Map'!B:B,"Need Attention"),"Need Attention")</f>
        <v/>
      </c>
      <c r="K743" s="122">
        <f>IF(E743&gt;=5000,"🏆 Platinum",IF(E743&gt;=2000,"🥇 Gold",IF(E743&gt;=800,"🥈 Silver","🥉 Bronze")))</f>
        <v/>
      </c>
      <c r="L743" s="125" t="n">
        <v>40570</v>
      </c>
    </row>
    <row r="744">
      <c r="A744" s="126" t="n">
        <v>13329</v>
      </c>
      <c r="B744" s="126" t="inlineStr">
        <is>
          <t>United Kingdom</t>
        </is>
      </c>
      <c r="C744" s="126" t="n">
        <v>32</v>
      </c>
      <c r="D744" s="126" t="n">
        <v>2</v>
      </c>
      <c r="E744" s="127" t="n">
        <v>789</v>
      </c>
      <c r="F744" s="128">
        <f>IF(C744&lt;=30,5,IF(C744&lt;=60,4,IF(C744&lt;=120,3,IF(C744&lt;=200,2,1))))</f>
        <v/>
      </c>
      <c r="G744" s="128">
        <f>IF(D744&gt;=20,5,IF(D744&gt;=10,4,IF(D744&gt;=5,3,IF(D744&gt;=2,2,1))))</f>
        <v/>
      </c>
      <c r="H744" s="128">
        <f>IF(E744&gt;=5000,5,IF(E744&gt;=2000,4,IF(E744&gt;=800,3,IF(E744&gt;=300,2,1))))</f>
        <v/>
      </c>
      <c r="I744" s="126">
        <f>TEXT(F744,"0")&amp;TEXT(G744,"0")&amp;TEXT(H744,"0")</f>
        <v/>
      </c>
      <c r="J744" s="126">
        <f>IFERROR(XLOOKUP(I744,'Segment Map'!A:A,'Segment Map'!B:B,"Need Attention"),"Need Attention")</f>
        <v/>
      </c>
      <c r="K744" s="126">
        <f>IF(E744&gt;=5000,"🏆 Platinum",IF(E744&gt;=2000,"🥇 Gold",IF(E744&gt;=800,"🥈 Silver","🥉 Bronze")))</f>
        <v/>
      </c>
      <c r="L744" s="129" t="n">
        <v>40855</v>
      </c>
    </row>
    <row r="745">
      <c r="A745" s="122" t="n">
        <v>13330</v>
      </c>
      <c r="B745" s="122" t="inlineStr">
        <is>
          <t>United Kingdom</t>
        </is>
      </c>
      <c r="C745" s="122" t="n">
        <v>93</v>
      </c>
      <c r="D745" s="122" t="n">
        <v>3</v>
      </c>
      <c r="E745" s="123" t="n">
        <v>1140.93</v>
      </c>
      <c r="F745" s="124">
        <f>IF(C745&lt;=30,5,IF(C745&lt;=60,4,IF(C745&lt;=120,3,IF(C745&lt;=200,2,1))))</f>
        <v/>
      </c>
      <c r="G745" s="124">
        <f>IF(D745&gt;=20,5,IF(D745&gt;=10,4,IF(D745&gt;=5,3,IF(D745&gt;=2,2,1))))</f>
        <v/>
      </c>
      <c r="H745" s="124">
        <f>IF(E745&gt;=5000,5,IF(E745&gt;=2000,4,IF(E745&gt;=800,3,IF(E745&gt;=300,2,1))))</f>
        <v/>
      </c>
      <c r="I745" s="122">
        <f>TEXT(F745,"0")&amp;TEXT(G745,"0")&amp;TEXT(H745,"0")</f>
        <v/>
      </c>
      <c r="J745" s="122">
        <f>IFERROR(XLOOKUP(I745,'Segment Map'!A:A,'Segment Map'!B:B,"Need Attention"),"Need Attention")</f>
        <v/>
      </c>
      <c r="K745" s="122">
        <f>IF(E745&gt;=5000,"🏆 Platinum",IF(E745&gt;=2000,"🥇 Gold",IF(E745&gt;=800,"🥈 Silver","🥉 Bronze")))</f>
        <v/>
      </c>
      <c r="L745" s="125" t="n">
        <v>40794</v>
      </c>
    </row>
    <row r="746">
      <c r="A746" s="126" t="n">
        <v>13332</v>
      </c>
      <c r="B746" s="126" t="inlineStr">
        <is>
          <t>United Kingdom</t>
        </is>
      </c>
      <c r="C746" s="126" t="n">
        <v>15</v>
      </c>
      <c r="D746" s="126" t="n">
        <v>1</v>
      </c>
      <c r="E746" s="127" t="n">
        <v>350.9</v>
      </c>
      <c r="F746" s="128">
        <f>IF(C746&lt;=30,5,IF(C746&lt;=60,4,IF(C746&lt;=120,3,IF(C746&lt;=200,2,1))))</f>
        <v/>
      </c>
      <c r="G746" s="128">
        <f>IF(D746&gt;=20,5,IF(D746&gt;=10,4,IF(D746&gt;=5,3,IF(D746&gt;=2,2,1))))</f>
        <v/>
      </c>
      <c r="H746" s="128">
        <f>IF(E746&gt;=5000,5,IF(E746&gt;=2000,4,IF(E746&gt;=800,3,IF(E746&gt;=300,2,1))))</f>
        <v/>
      </c>
      <c r="I746" s="126">
        <f>TEXT(F746,"0")&amp;TEXT(G746,"0")&amp;TEXT(H746,"0")</f>
        <v/>
      </c>
      <c r="J746" s="126">
        <f>IFERROR(XLOOKUP(I746,'Segment Map'!A:A,'Segment Map'!B:B,"Need Attention"),"Need Attention")</f>
        <v/>
      </c>
      <c r="K746" s="126">
        <f>IF(E746&gt;=5000,"🏆 Platinum",IF(E746&gt;=2000,"🥇 Gold",IF(E746&gt;=800,"🥈 Silver","🥉 Bronze")))</f>
        <v/>
      </c>
      <c r="L746" s="129" t="n">
        <v>40872</v>
      </c>
    </row>
    <row r="747">
      <c r="A747" s="122" t="n">
        <v>13334</v>
      </c>
      <c r="B747" s="122" t="inlineStr">
        <is>
          <t>United Kingdom</t>
        </is>
      </c>
      <c r="C747" s="122" t="n">
        <v>83</v>
      </c>
      <c r="D747" s="122" t="n">
        <v>3</v>
      </c>
      <c r="E747" s="123" t="n">
        <v>3536.82</v>
      </c>
      <c r="F747" s="124">
        <f>IF(C747&lt;=30,5,IF(C747&lt;=60,4,IF(C747&lt;=120,3,IF(C747&lt;=200,2,1))))</f>
        <v/>
      </c>
      <c r="G747" s="124">
        <f>IF(D747&gt;=20,5,IF(D747&gt;=10,4,IF(D747&gt;=5,3,IF(D747&gt;=2,2,1))))</f>
        <v/>
      </c>
      <c r="H747" s="124">
        <f>IF(E747&gt;=5000,5,IF(E747&gt;=2000,4,IF(E747&gt;=800,3,IF(E747&gt;=300,2,1))))</f>
        <v/>
      </c>
      <c r="I747" s="122">
        <f>TEXT(F747,"0")&amp;TEXT(G747,"0")&amp;TEXT(H747,"0")</f>
        <v/>
      </c>
      <c r="J747" s="122">
        <f>IFERROR(XLOOKUP(I747,'Segment Map'!A:A,'Segment Map'!B:B,"Need Attention"),"Need Attention")</f>
        <v/>
      </c>
      <c r="K747" s="122">
        <f>IF(E747&gt;=5000,"🏆 Platinum",IF(E747&gt;=2000,"🥇 Gold",IF(E747&gt;=800,"🥈 Silver","🥉 Bronze")))</f>
        <v/>
      </c>
      <c r="L747" s="125" t="n">
        <v>40804</v>
      </c>
    </row>
    <row r="748">
      <c r="A748" s="126" t="n">
        <v>13336</v>
      </c>
      <c r="B748" s="126" t="inlineStr">
        <is>
          <t>United Kingdom</t>
        </is>
      </c>
      <c r="C748" s="126" t="n">
        <v>78</v>
      </c>
      <c r="D748" s="126" t="n">
        <v>1</v>
      </c>
      <c r="E748" s="127" t="n">
        <v>795.12</v>
      </c>
      <c r="F748" s="128">
        <f>IF(C748&lt;=30,5,IF(C748&lt;=60,4,IF(C748&lt;=120,3,IF(C748&lt;=200,2,1))))</f>
        <v/>
      </c>
      <c r="G748" s="128">
        <f>IF(D748&gt;=20,5,IF(D748&gt;=10,4,IF(D748&gt;=5,3,IF(D748&gt;=2,2,1))))</f>
        <v/>
      </c>
      <c r="H748" s="128">
        <f>IF(E748&gt;=5000,5,IF(E748&gt;=2000,4,IF(E748&gt;=800,3,IF(E748&gt;=300,2,1))))</f>
        <v/>
      </c>
      <c r="I748" s="126">
        <f>TEXT(F748,"0")&amp;TEXT(G748,"0")&amp;TEXT(H748,"0")</f>
        <v/>
      </c>
      <c r="J748" s="126">
        <f>IFERROR(XLOOKUP(I748,'Segment Map'!A:A,'Segment Map'!B:B,"Need Attention"),"Need Attention")</f>
        <v/>
      </c>
      <c r="K748" s="126">
        <f>IF(E748&gt;=5000,"🏆 Platinum",IF(E748&gt;=2000,"🥇 Gold",IF(E748&gt;=800,"🥈 Silver","🥉 Bronze")))</f>
        <v/>
      </c>
      <c r="L748" s="129" t="n">
        <v>40809</v>
      </c>
    </row>
    <row r="749">
      <c r="A749" s="122" t="n">
        <v>13338</v>
      </c>
      <c r="B749" s="122" t="inlineStr">
        <is>
          <t>United Kingdom</t>
        </is>
      </c>
      <c r="C749" s="122" t="n">
        <v>158</v>
      </c>
      <c r="D749" s="122" t="n">
        <v>1</v>
      </c>
      <c r="E749" s="123" t="n">
        <v>487.02</v>
      </c>
      <c r="F749" s="124">
        <f>IF(C749&lt;=30,5,IF(C749&lt;=60,4,IF(C749&lt;=120,3,IF(C749&lt;=200,2,1))))</f>
        <v/>
      </c>
      <c r="G749" s="124">
        <f>IF(D749&gt;=20,5,IF(D749&gt;=10,4,IF(D749&gt;=5,3,IF(D749&gt;=2,2,1))))</f>
        <v/>
      </c>
      <c r="H749" s="124">
        <f>IF(E749&gt;=5000,5,IF(E749&gt;=2000,4,IF(E749&gt;=800,3,IF(E749&gt;=300,2,1))))</f>
        <v/>
      </c>
      <c r="I749" s="122">
        <f>TEXT(F749,"0")&amp;TEXT(G749,"0")&amp;TEXT(H749,"0")</f>
        <v/>
      </c>
      <c r="J749" s="122">
        <f>IFERROR(XLOOKUP(I749,'Segment Map'!A:A,'Segment Map'!B:B,"Need Attention"),"Need Attention")</f>
        <v/>
      </c>
      <c r="K749" s="122">
        <f>IF(E749&gt;=5000,"🏆 Platinum",IF(E749&gt;=2000,"🥇 Gold",IF(E749&gt;=800,"🥈 Silver","🥉 Bronze")))</f>
        <v/>
      </c>
      <c r="L749" s="125" t="n">
        <v>40729</v>
      </c>
    </row>
    <row r="750">
      <c r="A750" s="126" t="n">
        <v>13339</v>
      </c>
      <c r="B750" s="126" t="inlineStr">
        <is>
          <t>United Kingdom</t>
        </is>
      </c>
      <c r="C750" s="126" t="n">
        <v>201</v>
      </c>
      <c r="D750" s="126" t="n">
        <v>1</v>
      </c>
      <c r="E750" s="127" t="n">
        <v>860.12</v>
      </c>
      <c r="F750" s="128">
        <f>IF(C750&lt;=30,5,IF(C750&lt;=60,4,IF(C750&lt;=120,3,IF(C750&lt;=200,2,1))))</f>
        <v/>
      </c>
      <c r="G750" s="128">
        <f>IF(D750&gt;=20,5,IF(D750&gt;=10,4,IF(D750&gt;=5,3,IF(D750&gt;=2,2,1))))</f>
        <v/>
      </c>
      <c r="H750" s="128">
        <f>IF(E750&gt;=5000,5,IF(E750&gt;=2000,4,IF(E750&gt;=800,3,IF(E750&gt;=300,2,1))))</f>
        <v/>
      </c>
      <c r="I750" s="126">
        <f>TEXT(F750,"0")&amp;TEXT(G750,"0")&amp;TEXT(H750,"0")</f>
        <v/>
      </c>
      <c r="J750" s="126">
        <f>IFERROR(XLOOKUP(I750,'Segment Map'!A:A,'Segment Map'!B:B,"Need Attention"),"Need Attention")</f>
        <v/>
      </c>
      <c r="K750" s="126">
        <f>IF(E750&gt;=5000,"🏆 Platinum",IF(E750&gt;=2000,"🥇 Gold",IF(E750&gt;=800,"🥈 Silver","🥉 Bronze")))</f>
        <v/>
      </c>
      <c r="L750" s="129" t="n">
        <v>40686</v>
      </c>
    </row>
    <row r="751">
      <c r="A751" s="122" t="n">
        <v>13340</v>
      </c>
      <c r="B751" s="122" t="inlineStr">
        <is>
          <t>United Kingdom</t>
        </is>
      </c>
      <c r="C751" s="122" t="n">
        <v>46</v>
      </c>
      <c r="D751" s="122" t="n">
        <v>7</v>
      </c>
      <c r="E751" s="123" t="n">
        <v>10736.48</v>
      </c>
      <c r="F751" s="124">
        <f>IF(C751&lt;=30,5,IF(C751&lt;=60,4,IF(C751&lt;=120,3,IF(C751&lt;=200,2,1))))</f>
        <v/>
      </c>
      <c r="G751" s="124">
        <f>IF(D751&gt;=20,5,IF(D751&gt;=10,4,IF(D751&gt;=5,3,IF(D751&gt;=2,2,1))))</f>
        <v/>
      </c>
      <c r="H751" s="124">
        <f>IF(E751&gt;=5000,5,IF(E751&gt;=2000,4,IF(E751&gt;=800,3,IF(E751&gt;=300,2,1))))</f>
        <v/>
      </c>
      <c r="I751" s="122">
        <f>TEXT(F751,"0")&amp;TEXT(G751,"0")&amp;TEXT(H751,"0")</f>
        <v/>
      </c>
      <c r="J751" s="122">
        <f>IFERROR(XLOOKUP(I751,'Segment Map'!A:A,'Segment Map'!B:B,"Need Attention"),"Need Attention")</f>
        <v/>
      </c>
      <c r="K751" s="122">
        <f>IF(E751&gt;=5000,"🏆 Platinum",IF(E751&gt;=2000,"🥇 Gold",IF(E751&gt;=800,"🥈 Silver","🥉 Bronze")))</f>
        <v/>
      </c>
      <c r="L751" s="125" t="n">
        <v>40841</v>
      </c>
    </row>
    <row r="752">
      <c r="A752" s="126" t="n">
        <v>13341</v>
      </c>
      <c r="B752" s="126" t="inlineStr">
        <is>
          <t>United Kingdom</t>
        </is>
      </c>
      <c r="C752" s="126" t="n">
        <v>261</v>
      </c>
      <c r="D752" s="126" t="n">
        <v>1</v>
      </c>
      <c r="E752" s="127" t="n">
        <v>775.85</v>
      </c>
      <c r="F752" s="128">
        <f>IF(C752&lt;=30,5,IF(C752&lt;=60,4,IF(C752&lt;=120,3,IF(C752&lt;=200,2,1))))</f>
        <v/>
      </c>
      <c r="G752" s="128">
        <f>IF(D752&gt;=20,5,IF(D752&gt;=10,4,IF(D752&gt;=5,3,IF(D752&gt;=2,2,1))))</f>
        <v/>
      </c>
      <c r="H752" s="128">
        <f>IF(E752&gt;=5000,5,IF(E752&gt;=2000,4,IF(E752&gt;=800,3,IF(E752&gt;=300,2,1))))</f>
        <v/>
      </c>
      <c r="I752" s="126">
        <f>TEXT(F752,"0")&amp;TEXT(G752,"0")&amp;TEXT(H752,"0")</f>
        <v/>
      </c>
      <c r="J752" s="126">
        <f>IFERROR(XLOOKUP(I752,'Segment Map'!A:A,'Segment Map'!B:B,"Need Attention"),"Need Attention")</f>
        <v/>
      </c>
      <c r="K752" s="126">
        <f>IF(E752&gt;=5000,"🏆 Platinum",IF(E752&gt;=2000,"🥇 Gold",IF(E752&gt;=800,"🥈 Silver","🥉 Bronze")))</f>
        <v/>
      </c>
      <c r="L752" s="129" t="n">
        <v>40626</v>
      </c>
    </row>
    <row r="753">
      <c r="A753" s="122" t="n">
        <v>13343</v>
      </c>
      <c r="B753" s="122" t="inlineStr">
        <is>
          <t>United Kingdom</t>
        </is>
      </c>
      <c r="C753" s="122" t="n">
        <v>178</v>
      </c>
      <c r="D753" s="122" t="n">
        <v>1</v>
      </c>
      <c r="E753" s="123" t="n">
        <v>353.43</v>
      </c>
      <c r="F753" s="124">
        <f>IF(C753&lt;=30,5,IF(C753&lt;=60,4,IF(C753&lt;=120,3,IF(C753&lt;=200,2,1))))</f>
        <v/>
      </c>
      <c r="G753" s="124">
        <f>IF(D753&gt;=20,5,IF(D753&gt;=10,4,IF(D753&gt;=5,3,IF(D753&gt;=2,2,1))))</f>
        <v/>
      </c>
      <c r="H753" s="124">
        <f>IF(E753&gt;=5000,5,IF(E753&gt;=2000,4,IF(E753&gt;=800,3,IF(E753&gt;=300,2,1))))</f>
        <v/>
      </c>
      <c r="I753" s="122">
        <f>TEXT(F753,"0")&amp;TEXT(G753,"0")&amp;TEXT(H753,"0")</f>
        <v/>
      </c>
      <c r="J753" s="122">
        <f>IFERROR(XLOOKUP(I753,'Segment Map'!A:A,'Segment Map'!B:B,"Need Attention"),"Need Attention")</f>
        <v/>
      </c>
      <c r="K753" s="122">
        <f>IF(E753&gt;=5000,"🏆 Platinum",IF(E753&gt;=2000,"🥇 Gold",IF(E753&gt;=800,"🥈 Silver","🥉 Bronze")))</f>
        <v/>
      </c>
      <c r="L753" s="125" t="n">
        <v>40709</v>
      </c>
    </row>
    <row r="754">
      <c r="A754" s="126" t="n">
        <v>13344</v>
      </c>
      <c r="B754" s="126" t="inlineStr">
        <is>
          <t>United Kingdom</t>
        </is>
      </c>
      <c r="C754" s="126" t="n">
        <v>68</v>
      </c>
      <c r="D754" s="126" t="n">
        <v>3</v>
      </c>
      <c r="E754" s="127" t="n">
        <v>2543.72</v>
      </c>
      <c r="F754" s="128">
        <f>IF(C754&lt;=30,5,IF(C754&lt;=60,4,IF(C754&lt;=120,3,IF(C754&lt;=200,2,1))))</f>
        <v/>
      </c>
      <c r="G754" s="128">
        <f>IF(D754&gt;=20,5,IF(D754&gt;=10,4,IF(D754&gt;=5,3,IF(D754&gt;=2,2,1))))</f>
        <v/>
      </c>
      <c r="H754" s="128">
        <f>IF(E754&gt;=5000,5,IF(E754&gt;=2000,4,IF(E754&gt;=800,3,IF(E754&gt;=300,2,1))))</f>
        <v/>
      </c>
      <c r="I754" s="126">
        <f>TEXT(F754,"0")&amp;TEXT(G754,"0")&amp;TEXT(H754,"0")</f>
        <v/>
      </c>
      <c r="J754" s="126">
        <f>IFERROR(XLOOKUP(I754,'Segment Map'!A:A,'Segment Map'!B:B,"Need Attention"),"Need Attention")</f>
        <v/>
      </c>
      <c r="K754" s="126">
        <f>IF(E754&gt;=5000,"🏆 Platinum",IF(E754&gt;=2000,"🥇 Gold",IF(E754&gt;=800,"🥈 Silver","🥉 Bronze")))</f>
        <v/>
      </c>
      <c r="L754" s="129" t="n">
        <v>40819</v>
      </c>
    </row>
    <row r="755">
      <c r="A755" s="122" t="n">
        <v>13345</v>
      </c>
      <c r="B755" s="122" t="inlineStr">
        <is>
          <t>United Kingdom</t>
        </is>
      </c>
      <c r="C755" s="122" t="n">
        <v>288</v>
      </c>
      <c r="D755" s="122" t="n">
        <v>1</v>
      </c>
      <c r="E755" s="123" t="n">
        <v>389.5</v>
      </c>
      <c r="F755" s="124">
        <f>IF(C755&lt;=30,5,IF(C755&lt;=60,4,IF(C755&lt;=120,3,IF(C755&lt;=200,2,1))))</f>
        <v/>
      </c>
      <c r="G755" s="124">
        <f>IF(D755&gt;=20,5,IF(D755&gt;=10,4,IF(D755&gt;=5,3,IF(D755&gt;=2,2,1))))</f>
        <v/>
      </c>
      <c r="H755" s="124">
        <f>IF(E755&gt;=5000,5,IF(E755&gt;=2000,4,IF(E755&gt;=800,3,IF(E755&gt;=300,2,1))))</f>
        <v/>
      </c>
      <c r="I755" s="122">
        <f>TEXT(F755,"0")&amp;TEXT(G755,"0")&amp;TEXT(H755,"0")</f>
        <v/>
      </c>
      <c r="J755" s="122">
        <f>IFERROR(XLOOKUP(I755,'Segment Map'!A:A,'Segment Map'!B:B,"Need Attention"),"Need Attention")</f>
        <v/>
      </c>
      <c r="K755" s="122">
        <f>IF(E755&gt;=5000,"🏆 Platinum",IF(E755&gt;=2000,"🥇 Gold",IF(E755&gt;=800,"🥈 Silver","🥉 Bronze")))</f>
        <v/>
      </c>
      <c r="L755" s="125" t="n">
        <v>40599</v>
      </c>
    </row>
    <row r="756">
      <c r="A756" s="126" t="n">
        <v>13347</v>
      </c>
      <c r="B756" s="126" t="inlineStr">
        <is>
          <t>United Kingdom</t>
        </is>
      </c>
      <c r="C756" s="126" t="n">
        <v>71</v>
      </c>
      <c r="D756" s="126" t="n">
        <v>1</v>
      </c>
      <c r="E756" s="127" t="n">
        <v>341.36</v>
      </c>
      <c r="F756" s="128">
        <f>IF(C756&lt;=30,5,IF(C756&lt;=60,4,IF(C756&lt;=120,3,IF(C756&lt;=200,2,1))))</f>
        <v/>
      </c>
      <c r="G756" s="128">
        <f>IF(D756&gt;=20,5,IF(D756&gt;=10,4,IF(D756&gt;=5,3,IF(D756&gt;=2,2,1))))</f>
        <v/>
      </c>
      <c r="H756" s="128">
        <f>IF(E756&gt;=5000,5,IF(E756&gt;=2000,4,IF(E756&gt;=800,3,IF(E756&gt;=300,2,1))))</f>
        <v/>
      </c>
      <c r="I756" s="126">
        <f>TEXT(F756,"0")&amp;TEXT(G756,"0")&amp;TEXT(H756,"0")</f>
        <v/>
      </c>
      <c r="J756" s="126">
        <f>IFERROR(XLOOKUP(I756,'Segment Map'!A:A,'Segment Map'!B:B,"Need Attention"),"Need Attention")</f>
        <v/>
      </c>
      <c r="K756" s="126">
        <f>IF(E756&gt;=5000,"🏆 Platinum",IF(E756&gt;=2000,"🥇 Gold",IF(E756&gt;=800,"🥈 Silver","🥉 Bronze")))</f>
        <v/>
      </c>
      <c r="L756" s="129" t="n">
        <v>40816</v>
      </c>
    </row>
    <row r="757">
      <c r="A757" s="122" t="n">
        <v>13348</v>
      </c>
      <c r="B757" s="122" t="inlineStr">
        <is>
          <t>United Kingdom</t>
        </is>
      </c>
      <c r="C757" s="122" t="n">
        <v>65</v>
      </c>
      <c r="D757" s="122" t="n">
        <v>1</v>
      </c>
      <c r="E757" s="123" t="n">
        <v>233.76</v>
      </c>
      <c r="F757" s="124">
        <f>IF(C757&lt;=30,5,IF(C757&lt;=60,4,IF(C757&lt;=120,3,IF(C757&lt;=200,2,1))))</f>
        <v/>
      </c>
      <c r="G757" s="124">
        <f>IF(D757&gt;=20,5,IF(D757&gt;=10,4,IF(D757&gt;=5,3,IF(D757&gt;=2,2,1))))</f>
        <v/>
      </c>
      <c r="H757" s="124">
        <f>IF(E757&gt;=5000,5,IF(E757&gt;=2000,4,IF(E757&gt;=800,3,IF(E757&gt;=300,2,1))))</f>
        <v/>
      </c>
      <c r="I757" s="122">
        <f>TEXT(F757,"0")&amp;TEXT(G757,"0")&amp;TEXT(H757,"0")</f>
        <v/>
      </c>
      <c r="J757" s="122">
        <f>IFERROR(XLOOKUP(I757,'Segment Map'!A:A,'Segment Map'!B:B,"Need Attention"),"Need Attention")</f>
        <v/>
      </c>
      <c r="K757" s="122">
        <f>IF(E757&gt;=5000,"🏆 Platinum",IF(E757&gt;=2000,"🥇 Gold",IF(E757&gt;=800,"🥈 Silver","🥉 Bronze")))</f>
        <v/>
      </c>
      <c r="L757" s="125" t="n">
        <v>40822</v>
      </c>
    </row>
    <row r="758">
      <c r="A758" s="126" t="n">
        <v>13349</v>
      </c>
      <c r="B758" s="126" t="inlineStr">
        <is>
          <t>United Kingdom</t>
        </is>
      </c>
      <c r="C758" s="126" t="n">
        <v>11</v>
      </c>
      <c r="D758" s="126" t="n">
        <v>1</v>
      </c>
      <c r="E758" s="127" t="n">
        <v>247.32</v>
      </c>
      <c r="F758" s="128">
        <f>IF(C758&lt;=30,5,IF(C758&lt;=60,4,IF(C758&lt;=120,3,IF(C758&lt;=200,2,1))))</f>
        <v/>
      </c>
      <c r="G758" s="128">
        <f>IF(D758&gt;=20,5,IF(D758&gt;=10,4,IF(D758&gt;=5,3,IF(D758&gt;=2,2,1))))</f>
        <v/>
      </c>
      <c r="H758" s="128">
        <f>IF(E758&gt;=5000,5,IF(E758&gt;=2000,4,IF(E758&gt;=800,3,IF(E758&gt;=300,2,1))))</f>
        <v/>
      </c>
      <c r="I758" s="126">
        <f>TEXT(F758,"0")&amp;TEXT(G758,"0")&amp;TEXT(H758,"0")</f>
        <v/>
      </c>
      <c r="J758" s="126">
        <f>IFERROR(XLOOKUP(I758,'Segment Map'!A:A,'Segment Map'!B:B,"Need Attention"),"Need Attention")</f>
        <v/>
      </c>
      <c r="K758" s="126">
        <f>IF(E758&gt;=5000,"🏆 Platinum",IF(E758&gt;=2000,"🥇 Gold",IF(E758&gt;=800,"🥈 Silver","🥉 Bronze")))</f>
        <v/>
      </c>
      <c r="L758" s="129" t="n">
        <v>40876</v>
      </c>
    </row>
    <row r="759">
      <c r="A759" s="122" t="n">
        <v>13350</v>
      </c>
      <c r="B759" s="122" t="inlineStr">
        <is>
          <t>United Kingdom</t>
        </is>
      </c>
      <c r="C759" s="122" t="n">
        <v>17</v>
      </c>
      <c r="D759" s="122" t="n">
        <v>2</v>
      </c>
      <c r="E759" s="123" t="n">
        <v>979.12</v>
      </c>
      <c r="F759" s="124">
        <f>IF(C759&lt;=30,5,IF(C759&lt;=60,4,IF(C759&lt;=120,3,IF(C759&lt;=200,2,1))))</f>
        <v/>
      </c>
      <c r="G759" s="124">
        <f>IF(D759&gt;=20,5,IF(D759&gt;=10,4,IF(D759&gt;=5,3,IF(D759&gt;=2,2,1))))</f>
        <v/>
      </c>
      <c r="H759" s="124">
        <f>IF(E759&gt;=5000,5,IF(E759&gt;=2000,4,IF(E759&gt;=800,3,IF(E759&gt;=300,2,1))))</f>
        <v/>
      </c>
      <c r="I759" s="122">
        <f>TEXT(F759,"0")&amp;TEXT(G759,"0")&amp;TEXT(H759,"0")</f>
        <v/>
      </c>
      <c r="J759" s="122">
        <f>IFERROR(XLOOKUP(I759,'Segment Map'!A:A,'Segment Map'!B:B,"Need Attention"),"Need Attention")</f>
        <v/>
      </c>
      <c r="K759" s="122">
        <f>IF(E759&gt;=5000,"🏆 Platinum",IF(E759&gt;=2000,"🥇 Gold",IF(E759&gt;=800,"🥈 Silver","🥉 Bronze")))</f>
        <v/>
      </c>
      <c r="L759" s="125" t="n">
        <v>40870</v>
      </c>
    </row>
    <row r="760">
      <c r="A760" s="126" t="n">
        <v>13351</v>
      </c>
      <c r="B760" s="126" t="inlineStr">
        <is>
          <t>United Kingdom</t>
        </is>
      </c>
      <c r="C760" s="126" t="n">
        <v>67</v>
      </c>
      <c r="D760" s="126" t="n">
        <v>1</v>
      </c>
      <c r="E760" s="127" t="n">
        <v>373.94</v>
      </c>
      <c r="F760" s="128">
        <f>IF(C760&lt;=30,5,IF(C760&lt;=60,4,IF(C760&lt;=120,3,IF(C760&lt;=200,2,1))))</f>
        <v/>
      </c>
      <c r="G760" s="128">
        <f>IF(D760&gt;=20,5,IF(D760&gt;=10,4,IF(D760&gt;=5,3,IF(D760&gt;=2,2,1))))</f>
        <v/>
      </c>
      <c r="H760" s="128">
        <f>IF(E760&gt;=5000,5,IF(E760&gt;=2000,4,IF(E760&gt;=800,3,IF(E760&gt;=300,2,1))))</f>
        <v/>
      </c>
      <c r="I760" s="126">
        <f>TEXT(F760,"0")&amp;TEXT(G760,"0")&amp;TEXT(H760,"0")</f>
        <v/>
      </c>
      <c r="J760" s="126">
        <f>IFERROR(XLOOKUP(I760,'Segment Map'!A:A,'Segment Map'!B:B,"Need Attention"),"Need Attention")</f>
        <v/>
      </c>
      <c r="K760" s="126">
        <f>IF(E760&gt;=5000,"🏆 Platinum",IF(E760&gt;=2000,"🥇 Gold",IF(E760&gt;=800,"🥈 Silver","🥉 Bronze")))</f>
        <v/>
      </c>
      <c r="L760" s="129" t="n">
        <v>40820</v>
      </c>
    </row>
    <row r="761">
      <c r="A761" s="122" t="n">
        <v>13352</v>
      </c>
      <c r="B761" s="122" t="inlineStr">
        <is>
          <t>United Kingdom</t>
        </is>
      </c>
      <c r="C761" s="122" t="n">
        <v>61</v>
      </c>
      <c r="D761" s="122" t="n">
        <v>1</v>
      </c>
      <c r="E761" s="123" t="n">
        <v>397.98</v>
      </c>
      <c r="F761" s="124">
        <f>IF(C761&lt;=30,5,IF(C761&lt;=60,4,IF(C761&lt;=120,3,IF(C761&lt;=200,2,1))))</f>
        <v/>
      </c>
      <c r="G761" s="124">
        <f>IF(D761&gt;=20,5,IF(D761&gt;=10,4,IF(D761&gt;=5,3,IF(D761&gt;=2,2,1))))</f>
        <v/>
      </c>
      <c r="H761" s="124">
        <f>IF(E761&gt;=5000,5,IF(E761&gt;=2000,4,IF(E761&gt;=800,3,IF(E761&gt;=300,2,1))))</f>
        <v/>
      </c>
      <c r="I761" s="122">
        <f>TEXT(F761,"0")&amp;TEXT(G761,"0")&amp;TEXT(H761,"0")</f>
        <v/>
      </c>
      <c r="J761" s="122">
        <f>IFERROR(XLOOKUP(I761,'Segment Map'!A:A,'Segment Map'!B:B,"Need Attention"),"Need Attention")</f>
        <v/>
      </c>
      <c r="K761" s="122">
        <f>IF(E761&gt;=5000,"🏆 Platinum",IF(E761&gt;=2000,"🥇 Gold",IF(E761&gt;=800,"🥈 Silver","🥉 Bronze")))</f>
        <v/>
      </c>
      <c r="L761" s="125" t="n">
        <v>40826</v>
      </c>
    </row>
    <row r="762">
      <c r="A762" s="126" t="n">
        <v>13354</v>
      </c>
      <c r="B762" s="126" t="inlineStr">
        <is>
          <t>United Kingdom</t>
        </is>
      </c>
      <c r="C762" s="126" t="n">
        <v>72</v>
      </c>
      <c r="D762" s="126" t="n">
        <v>1</v>
      </c>
      <c r="E762" s="127" t="n">
        <v>743.53</v>
      </c>
      <c r="F762" s="128">
        <f>IF(C762&lt;=30,5,IF(C762&lt;=60,4,IF(C762&lt;=120,3,IF(C762&lt;=200,2,1))))</f>
        <v/>
      </c>
      <c r="G762" s="128">
        <f>IF(D762&gt;=20,5,IF(D762&gt;=10,4,IF(D762&gt;=5,3,IF(D762&gt;=2,2,1))))</f>
        <v/>
      </c>
      <c r="H762" s="128">
        <f>IF(E762&gt;=5000,5,IF(E762&gt;=2000,4,IF(E762&gt;=800,3,IF(E762&gt;=300,2,1))))</f>
        <v/>
      </c>
      <c r="I762" s="126">
        <f>TEXT(F762,"0")&amp;TEXT(G762,"0")&amp;TEXT(H762,"0")</f>
        <v/>
      </c>
      <c r="J762" s="126">
        <f>IFERROR(XLOOKUP(I762,'Segment Map'!A:A,'Segment Map'!B:B,"Need Attention"),"Need Attention")</f>
        <v/>
      </c>
      <c r="K762" s="126">
        <f>IF(E762&gt;=5000,"🏆 Platinum",IF(E762&gt;=2000,"🥇 Gold",IF(E762&gt;=800,"🥈 Silver","🥉 Bronze")))</f>
        <v/>
      </c>
      <c r="L762" s="129" t="n">
        <v>40815</v>
      </c>
    </row>
    <row r="763">
      <c r="A763" s="122" t="n">
        <v>13355</v>
      </c>
      <c r="B763" s="122" t="inlineStr">
        <is>
          <t>United Kingdom</t>
        </is>
      </c>
      <c r="C763" s="122" t="n">
        <v>123</v>
      </c>
      <c r="D763" s="122" t="n">
        <v>1</v>
      </c>
      <c r="E763" s="123" t="n">
        <v>674.7</v>
      </c>
      <c r="F763" s="124">
        <f>IF(C763&lt;=30,5,IF(C763&lt;=60,4,IF(C763&lt;=120,3,IF(C763&lt;=200,2,1))))</f>
        <v/>
      </c>
      <c r="G763" s="124">
        <f>IF(D763&gt;=20,5,IF(D763&gt;=10,4,IF(D763&gt;=5,3,IF(D763&gt;=2,2,1))))</f>
        <v/>
      </c>
      <c r="H763" s="124">
        <f>IF(E763&gt;=5000,5,IF(E763&gt;=2000,4,IF(E763&gt;=800,3,IF(E763&gt;=300,2,1))))</f>
        <v/>
      </c>
      <c r="I763" s="122">
        <f>TEXT(F763,"0")&amp;TEXT(G763,"0")&amp;TEXT(H763,"0")</f>
        <v/>
      </c>
      <c r="J763" s="122">
        <f>IFERROR(XLOOKUP(I763,'Segment Map'!A:A,'Segment Map'!B:B,"Need Attention"),"Need Attention")</f>
        <v/>
      </c>
      <c r="K763" s="122">
        <f>IF(E763&gt;=5000,"🏆 Platinum",IF(E763&gt;=2000,"🥇 Gold",IF(E763&gt;=800,"🥈 Silver","🥉 Bronze")))</f>
        <v/>
      </c>
      <c r="L763" s="125" t="n">
        <v>40764</v>
      </c>
    </row>
    <row r="764">
      <c r="A764" s="126" t="n">
        <v>13356</v>
      </c>
      <c r="B764" s="126" t="inlineStr">
        <is>
          <t>United Kingdom</t>
        </is>
      </c>
      <c r="C764" s="126" t="n">
        <v>81</v>
      </c>
      <c r="D764" s="126" t="n">
        <v>1</v>
      </c>
      <c r="E764" s="127" t="n">
        <v>768.24</v>
      </c>
      <c r="F764" s="128">
        <f>IF(C764&lt;=30,5,IF(C764&lt;=60,4,IF(C764&lt;=120,3,IF(C764&lt;=200,2,1))))</f>
        <v/>
      </c>
      <c r="G764" s="128">
        <f>IF(D764&gt;=20,5,IF(D764&gt;=10,4,IF(D764&gt;=5,3,IF(D764&gt;=2,2,1))))</f>
        <v/>
      </c>
      <c r="H764" s="128">
        <f>IF(E764&gt;=5000,5,IF(E764&gt;=2000,4,IF(E764&gt;=800,3,IF(E764&gt;=300,2,1))))</f>
        <v/>
      </c>
      <c r="I764" s="126">
        <f>TEXT(F764,"0")&amp;TEXT(G764,"0")&amp;TEXT(H764,"0")</f>
        <v/>
      </c>
      <c r="J764" s="126">
        <f>IFERROR(XLOOKUP(I764,'Segment Map'!A:A,'Segment Map'!B:B,"Need Attention"),"Need Attention")</f>
        <v/>
      </c>
      <c r="K764" s="126">
        <f>IF(E764&gt;=5000,"🏆 Platinum",IF(E764&gt;=2000,"🥇 Gold",IF(E764&gt;=800,"🥈 Silver","🥉 Bronze")))</f>
        <v/>
      </c>
      <c r="L764" s="129" t="n">
        <v>40806</v>
      </c>
    </row>
    <row r="765">
      <c r="A765" s="122" t="n">
        <v>13357</v>
      </c>
      <c r="B765" s="122" t="inlineStr">
        <is>
          <t>United Kingdom</t>
        </is>
      </c>
      <c r="C765" s="122" t="n">
        <v>258</v>
      </c>
      <c r="D765" s="122" t="n">
        <v>1</v>
      </c>
      <c r="E765" s="123" t="n">
        <v>609.95</v>
      </c>
      <c r="F765" s="124">
        <f>IF(C765&lt;=30,5,IF(C765&lt;=60,4,IF(C765&lt;=120,3,IF(C765&lt;=200,2,1))))</f>
        <v/>
      </c>
      <c r="G765" s="124">
        <f>IF(D765&gt;=20,5,IF(D765&gt;=10,4,IF(D765&gt;=5,3,IF(D765&gt;=2,2,1))))</f>
        <v/>
      </c>
      <c r="H765" s="124">
        <f>IF(E765&gt;=5000,5,IF(E765&gt;=2000,4,IF(E765&gt;=800,3,IF(E765&gt;=300,2,1))))</f>
        <v/>
      </c>
      <c r="I765" s="122">
        <f>TEXT(F765,"0")&amp;TEXT(G765,"0")&amp;TEXT(H765,"0")</f>
        <v/>
      </c>
      <c r="J765" s="122">
        <f>IFERROR(XLOOKUP(I765,'Segment Map'!A:A,'Segment Map'!B:B,"Need Attention"),"Need Attention")</f>
        <v/>
      </c>
      <c r="K765" s="122">
        <f>IF(E765&gt;=5000,"🏆 Platinum",IF(E765&gt;=2000,"🥇 Gold",IF(E765&gt;=800,"🥈 Silver","🥉 Bronze")))</f>
        <v/>
      </c>
      <c r="L765" s="125" t="n">
        <v>40629</v>
      </c>
    </row>
    <row r="766">
      <c r="A766" s="126" t="n">
        <v>13358</v>
      </c>
      <c r="B766" s="126" t="inlineStr">
        <is>
          <t>United Kingdom</t>
        </is>
      </c>
      <c r="C766" s="126" t="n">
        <v>269</v>
      </c>
      <c r="D766" s="126" t="n">
        <v>1</v>
      </c>
      <c r="E766" s="127" t="n">
        <v>439.03</v>
      </c>
      <c r="F766" s="128">
        <f>IF(C766&lt;=30,5,IF(C766&lt;=60,4,IF(C766&lt;=120,3,IF(C766&lt;=200,2,1))))</f>
        <v/>
      </c>
      <c r="G766" s="128">
        <f>IF(D766&gt;=20,5,IF(D766&gt;=10,4,IF(D766&gt;=5,3,IF(D766&gt;=2,2,1))))</f>
        <v/>
      </c>
      <c r="H766" s="128">
        <f>IF(E766&gt;=5000,5,IF(E766&gt;=2000,4,IF(E766&gt;=800,3,IF(E766&gt;=300,2,1))))</f>
        <v/>
      </c>
      <c r="I766" s="126">
        <f>TEXT(F766,"0")&amp;TEXT(G766,"0")&amp;TEXT(H766,"0")</f>
        <v/>
      </c>
      <c r="J766" s="126">
        <f>IFERROR(XLOOKUP(I766,'Segment Map'!A:A,'Segment Map'!B:B,"Need Attention"),"Need Attention")</f>
        <v/>
      </c>
      <c r="K766" s="126">
        <f>IF(E766&gt;=5000,"🏆 Platinum",IF(E766&gt;=2000,"🥇 Gold",IF(E766&gt;=800,"🥈 Silver","🥉 Bronze")))</f>
        <v/>
      </c>
      <c r="L766" s="129" t="n">
        <v>40618</v>
      </c>
    </row>
    <row r="767">
      <c r="A767" s="122" t="n">
        <v>13359</v>
      </c>
      <c r="B767" s="122" t="inlineStr">
        <is>
          <t>United Kingdom</t>
        </is>
      </c>
      <c r="C767" s="122" t="n">
        <v>64</v>
      </c>
      <c r="D767" s="122" t="n">
        <v>1</v>
      </c>
      <c r="E767" s="123" t="n">
        <v>439.56</v>
      </c>
      <c r="F767" s="124">
        <f>IF(C767&lt;=30,5,IF(C767&lt;=60,4,IF(C767&lt;=120,3,IF(C767&lt;=200,2,1))))</f>
        <v/>
      </c>
      <c r="G767" s="124">
        <f>IF(D767&gt;=20,5,IF(D767&gt;=10,4,IF(D767&gt;=5,3,IF(D767&gt;=2,2,1))))</f>
        <v/>
      </c>
      <c r="H767" s="124">
        <f>IF(E767&gt;=5000,5,IF(E767&gt;=2000,4,IF(E767&gt;=800,3,IF(E767&gt;=300,2,1))))</f>
        <v/>
      </c>
      <c r="I767" s="122">
        <f>TEXT(F767,"0")&amp;TEXT(G767,"0")&amp;TEXT(H767,"0")</f>
        <v/>
      </c>
      <c r="J767" s="122">
        <f>IFERROR(XLOOKUP(I767,'Segment Map'!A:A,'Segment Map'!B:B,"Need Attention"),"Need Attention")</f>
        <v/>
      </c>
      <c r="K767" s="122">
        <f>IF(E767&gt;=5000,"🏆 Platinum",IF(E767&gt;=2000,"🥇 Gold",IF(E767&gt;=800,"🥈 Silver","🥉 Bronze")))</f>
        <v/>
      </c>
      <c r="L767" s="125" t="n">
        <v>40823</v>
      </c>
    </row>
    <row r="768">
      <c r="A768" s="126" t="n">
        <v>13362</v>
      </c>
      <c r="B768" s="126" t="inlineStr">
        <is>
          <t>United Kingdom</t>
        </is>
      </c>
      <c r="C768" s="126" t="n">
        <v>10</v>
      </c>
      <c r="D768" s="126" t="n">
        <v>4</v>
      </c>
      <c r="E768" s="127" t="n">
        <v>3090.74</v>
      </c>
      <c r="F768" s="128">
        <f>IF(C768&lt;=30,5,IF(C768&lt;=60,4,IF(C768&lt;=120,3,IF(C768&lt;=200,2,1))))</f>
        <v/>
      </c>
      <c r="G768" s="128">
        <f>IF(D768&gt;=20,5,IF(D768&gt;=10,4,IF(D768&gt;=5,3,IF(D768&gt;=2,2,1))))</f>
        <v/>
      </c>
      <c r="H768" s="128">
        <f>IF(E768&gt;=5000,5,IF(E768&gt;=2000,4,IF(E768&gt;=800,3,IF(E768&gt;=300,2,1))))</f>
        <v/>
      </c>
      <c r="I768" s="126">
        <f>TEXT(F768,"0")&amp;TEXT(G768,"0")&amp;TEXT(H768,"0")</f>
        <v/>
      </c>
      <c r="J768" s="126">
        <f>IFERROR(XLOOKUP(I768,'Segment Map'!A:A,'Segment Map'!B:B,"Need Attention"),"Need Attention")</f>
        <v/>
      </c>
      <c r="K768" s="126">
        <f>IF(E768&gt;=5000,"🏆 Platinum",IF(E768&gt;=2000,"🥇 Gold",IF(E768&gt;=800,"🥈 Silver","🥉 Bronze")))</f>
        <v/>
      </c>
      <c r="L768" s="129" t="n">
        <v>40877</v>
      </c>
    </row>
    <row r="769">
      <c r="A769" s="122" t="n">
        <v>13363</v>
      </c>
      <c r="B769" s="122" t="inlineStr">
        <is>
          <t>United Kingdom</t>
        </is>
      </c>
      <c r="C769" s="122" t="n">
        <v>18</v>
      </c>
      <c r="D769" s="122" t="n">
        <v>2</v>
      </c>
      <c r="E769" s="123" t="n">
        <v>992.5</v>
      </c>
      <c r="F769" s="124">
        <f>IF(C769&lt;=30,5,IF(C769&lt;=60,4,IF(C769&lt;=120,3,IF(C769&lt;=200,2,1))))</f>
        <v/>
      </c>
      <c r="G769" s="124">
        <f>IF(D769&gt;=20,5,IF(D769&gt;=10,4,IF(D769&gt;=5,3,IF(D769&gt;=2,2,1))))</f>
        <v/>
      </c>
      <c r="H769" s="124">
        <f>IF(E769&gt;=5000,5,IF(E769&gt;=2000,4,IF(E769&gt;=800,3,IF(E769&gt;=300,2,1))))</f>
        <v/>
      </c>
      <c r="I769" s="122">
        <f>TEXT(F769,"0")&amp;TEXT(G769,"0")&amp;TEXT(H769,"0")</f>
        <v/>
      </c>
      <c r="J769" s="122">
        <f>IFERROR(XLOOKUP(I769,'Segment Map'!A:A,'Segment Map'!B:B,"Need Attention"),"Need Attention")</f>
        <v/>
      </c>
      <c r="K769" s="122">
        <f>IF(E769&gt;=5000,"🏆 Platinum",IF(E769&gt;=2000,"🥇 Gold",IF(E769&gt;=800,"🥈 Silver","🥉 Bronze")))</f>
        <v/>
      </c>
      <c r="L769" s="125" t="n">
        <v>40869</v>
      </c>
    </row>
    <row r="770">
      <c r="A770" s="126" t="n">
        <v>13364</v>
      </c>
      <c r="B770" s="126" t="inlineStr">
        <is>
          <t>United Kingdom</t>
        </is>
      </c>
      <c r="C770" s="126" t="n">
        <v>72</v>
      </c>
      <c r="D770" s="126" t="n">
        <v>1</v>
      </c>
      <c r="E770" s="127" t="n">
        <v>134.96</v>
      </c>
      <c r="F770" s="128">
        <f>IF(C770&lt;=30,5,IF(C770&lt;=60,4,IF(C770&lt;=120,3,IF(C770&lt;=200,2,1))))</f>
        <v/>
      </c>
      <c r="G770" s="128">
        <f>IF(D770&gt;=20,5,IF(D770&gt;=10,4,IF(D770&gt;=5,3,IF(D770&gt;=2,2,1))))</f>
        <v/>
      </c>
      <c r="H770" s="128">
        <f>IF(E770&gt;=5000,5,IF(E770&gt;=2000,4,IF(E770&gt;=800,3,IF(E770&gt;=300,2,1))))</f>
        <v/>
      </c>
      <c r="I770" s="126">
        <f>TEXT(F770,"0")&amp;TEXT(G770,"0")&amp;TEXT(H770,"0")</f>
        <v/>
      </c>
      <c r="J770" s="126">
        <f>IFERROR(XLOOKUP(I770,'Segment Map'!A:A,'Segment Map'!B:B,"Need Attention"),"Need Attention")</f>
        <v/>
      </c>
      <c r="K770" s="126">
        <f>IF(E770&gt;=5000,"🏆 Platinum",IF(E770&gt;=2000,"🥇 Gold",IF(E770&gt;=800,"🥈 Silver","🥉 Bronze")))</f>
        <v/>
      </c>
      <c r="L770" s="129" t="n">
        <v>40815</v>
      </c>
    </row>
    <row r="771">
      <c r="A771" s="122" t="n">
        <v>13365</v>
      </c>
      <c r="B771" s="122" t="inlineStr">
        <is>
          <t>United Kingdom</t>
        </is>
      </c>
      <c r="C771" s="122" t="n">
        <v>34</v>
      </c>
      <c r="D771" s="122" t="n">
        <v>2</v>
      </c>
      <c r="E771" s="123" t="n">
        <v>2225.37</v>
      </c>
      <c r="F771" s="124">
        <f>IF(C771&lt;=30,5,IF(C771&lt;=60,4,IF(C771&lt;=120,3,IF(C771&lt;=200,2,1))))</f>
        <v/>
      </c>
      <c r="G771" s="124">
        <f>IF(D771&gt;=20,5,IF(D771&gt;=10,4,IF(D771&gt;=5,3,IF(D771&gt;=2,2,1))))</f>
        <v/>
      </c>
      <c r="H771" s="124">
        <f>IF(E771&gt;=5000,5,IF(E771&gt;=2000,4,IF(E771&gt;=800,3,IF(E771&gt;=300,2,1))))</f>
        <v/>
      </c>
      <c r="I771" s="122">
        <f>TEXT(F771,"0")&amp;TEXT(G771,"0")&amp;TEXT(H771,"0")</f>
        <v/>
      </c>
      <c r="J771" s="122">
        <f>IFERROR(XLOOKUP(I771,'Segment Map'!A:A,'Segment Map'!B:B,"Need Attention"),"Need Attention")</f>
        <v/>
      </c>
      <c r="K771" s="122">
        <f>IF(E771&gt;=5000,"🏆 Platinum",IF(E771&gt;=2000,"🥇 Gold",IF(E771&gt;=800,"🥈 Silver","🥉 Bronze")))</f>
        <v/>
      </c>
      <c r="L771" s="125" t="n">
        <v>40853</v>
      </c>
    </row>
    <row r="772">
      <c r="A772" s="126" t="n">
        <v>13366</v>
      </c>
      <c r="B772" s="126" t="inlineStr">
        <is>
          <t>United Kingdom</t>
        </is>
      </c>
      <c r="C772" s="126" t="n">
        <v>51</v>
      </c>
      <c r="D772" s="126" t="n">
        <v>1</v>
      </c>
      <c r="E772" s="127" t="n">
        <v>56.16</v>
      </c>
      <c r="F772" s="128">
        <f>IF(C772&lt;=30,5,IF(C772&lt;=60,4,IF(C772&lt;=120,3,IF(C772&lt;=200,2,1))))</f>
        <v/>
      </c>
      <c r="G772" s="128">
        <f>IF(D772&gt;=20,5,IF(D772&gt;=10,4,IF(D772&gt;=5,3,IF(D772&gt;=2,2,1))))</f>
        <v/>
      </c>
      <c r="H772" s="128">
        <f>IF(E772&gt;=5000,5,IF(E772&gt;=2000,4,IF(E772&gt;=800,3,IF(E772&gt;=300,2,1))))</f>
        <v/>
      </c>
      <c r="I772" s="126">
        <f>TEXT(F772,"0")&amp;TEXT(G772,"0")&amp;TEXT(H772,"0")</f>
        <v/>
      </c>
      <c r="J772" s="126">
        <f>IFERROR(XLOOKUP(I772,'Segment Map'!A:A,'Segment Map'!B:B,"Need Attention"),"Need Attention")</f>
        <v/>
      </c>
      <c r="K772" s="126">
        <f>IF(E772&gt;=5000,"🏆 Platinum",IF(E772&gt;=2000,"🥇 Gold",IF(E772&gt;=800,"🥈 Silver","🥉 Bronze")))</f>
        <v/>
      </c>
      <c r="L772" s="129" t="n">
        <v>40836</v>
      </c>
    </row>
    <row r="773">
      <c r="A773" s="122" t="n">
        <v>13368</v>
      </c>
      <c r="B773" s="122" t="inlineStr">
        <is>
          <t>United Kingdom</t>
        </is>
      </c>
      <c r="C773" s="122" t="n">
        <v>257</v>
      </c>
      <c r="D773" s="122" t="n">
        <v>2</v>
      </c>
      <c r="E773" s="123" t="n">
        <v>623.4</v>
      </c>
      <c r="F773" s="124">
        <f>IF(C773&lt;=30,5,IF(C773&lt;=60,4,IF(C773&lt;=120,3,IF(C773&lt;=200,2,1))))</f>
        <v/>
      </c>
      <c r="G773" s="124">
        <f>IF(D773&gt;=20,5,IF(D773&gt;=10,4,IF(D773&gt;=5,3,IF(D773&gt;=2,2,1))))</f>
        <v/>
      </c>
      <c r="H773" s="124">
        <f>IF(E773&gt;=5000,5,IF(E773&gt;=2000,4,IF(E773&gt;=800,3,IF(E773&gt;=300,2,1))))</f>
        <v/>
      </c>
      <c r="I773" s="122">
        <f>TEXT(F773,"0")&amp;TEXT(G773,"0")&amp;TEXT(H773,"0")</f>
        <v/>
      </c>
      <c r="J773" s="122">
        <f>IFERROR(XLOOKUP(I773,'Segment Map'!A:A,'Segment Map'!B:B,"Need Attention"),"Need Attention")</f>
        <v/>
      </c>
      <c r="K773" s="122">
        <f>IF(E773&gt;=5000,"🏆 Platinum",IF(E773&gt;=2000,"🥇 Gold",IF(E773&gt;=800,"🥈 Silver","🥉 Bronze")))</f>
        <v/>
      </c>
      <c r="L773" s="125" t="n">
        <v>40630</v>
      </c>
    </row>
    <row r="774">
      <c r="A774" s="126" t="n">
        <v>13369</v>
      </c>
      <c r="B774" s="126" t="inlineStr">
        <is>
          <t>United Kingdom</t>
        </is>
      </c>
      <c r="C774" s="126" t="n">
        <v>366</v>
      </c>
      <c r="D774" s="126" t="n">
        <v>1</v>
      </c>
      <c r="E774" s="127" t="n">
        <v>308.28</v>
      </c>
      <c r="F774" s="128">
        <f>IF(C774&lt;=30,5,IF(C774&lt;=60,4,IF(C774&lt;=120,3,IF(C774&lt;=200,2,1))))</f>
        <v/>
      </c>
      <c r="G774" s="128">
        <f>IF(D774&gt;=20,5,IF(D774&gt;=10,4,IF(D774&gt;=5,3,IF(D774&gt;=2,2,1))))</f>
        <v/>
      </c>
      <c r="H774" s="128">
        <f>IF(E774&gt;=5000,5,IF(E774&gt;=2000,4,IF(E774&gt;=800,3,IF(E774&gt;=300,2,1))))</f>
        <v/>
      </c>
      <c r="I774" s="126">
        <f>TEXT(F774,"0")&amp;TEXT(G774,"0")&amp;TEXT(H774,"0")</f>
        <v/>
      </c>
      <c r="J774" s="126">
        <f>IFERROR(XLOOKUP(I774,'Segment Map'!A:A,'Segment Map'!B:B,"Need Attention"),"Need Attention")</f>
        <v/>
      </c>
      <c r="K774" s="126">
        <f>IF(E774&gt;=5000,"🏆 Platinum",IF(E774&gt;=2000,"🥇 Gold",IF(E774&gt;=800,"🥈 Silver","🥉 Bronze")))</f>
        <v/>
      </c>
      <c r="L774" s="129" t="n">
        <v>40521</v>
      </c>
    </row>
    <row r="775">
      <c r="A775" s="122" t="n">
        <v>13370</v>
      </c>
      <c r="B775" s="122" t="inlineStr">
        <is>
          <t>United Kingdom</t>
        </is>
      </c>
      <c r="C775" s="122" t="n">
        <v>372</v>
      </c>
      <c r="D775" s="122" t="n">
        <v>1</v>
      </c>
      <c r="E775" s="123" t="n">
        <v>754.87</v>
      </c>
      <c r="F775" s="124">
        <f>IF(C775&lt;=30,5,IF(C775&lt;=60,4,IF(C775&lt;=120,3,IF(C775&lt;=200,2,1))))</f>
        <v/>
      </c>
      <c r="G775" s="124">
        <f>IF(D775&gt;=20,5,IF(D775&gt;=10,4,IF(D775&gt;=5,3,IF(D775&gt;=2,2,1))))</f>
        <v/>
      </c>
      <c r="H775" s="124">
        <f>IF(E775&gt;=5000,5,IF(E775&gt;=2000,4,IF(E775&gt;=800,3,IF(E775&gt;=300,2,1))))</f>
        <v/>
      </c>
      <c r="I775" s="122">
        <f>TEXT(F775,"0")&amp;TEXT(G775,"0")&amp;TEXT(H775,"0")</f>
        <v/>
      </c>
      <c r="J775" s="122">
        <f>IFERROR(XLOOKUP(I775,'Segment Map'!A:A,'Segment Map'!B:B,"Need Attention"),"Need Attention")</f>
        <v/>
      </c>
      <c r="K775" s="122">
        <f>IF(E775&gt;=5000,"🏆 Platinum",IF(E775&gt;=2000,"🥇 Gold",IF(E775&gt;=800,"🥈 Silver","🥉 Bronze")))</f>
        <v/>
      </c>
      <c r="L775" s="125" t="n">
        <v>40515</v>
      </c>
    </row>
    <row r="776">
      <c r="A776" s="126" t="n">
        <v>13372</v>
      </c>
      <c r="B776" s="126" t="inlineStr">
        <is>
          <t>United Kingdom</t>
        </is>
      </c>
      <c r="C776" s="126" t="n">
        <v>90</v>
      </c>
      <c r="D776" s="126" t="n">
        <v>1</v>
      </c>
      <c r="E776" s="127" t="n">
        <v>378.64</v>
      </c>
      <c r="F776" s="128">
        <f>IF(C776&lt;=30,5,IF(C776&lt;=60,4,IF(C776&lt;=120,3,IF(C776&lt;=200,2,1))))</f>
        <v/>
      </c>
      <c r="G776" s="128">
        <f>IF(D776&gt;=20,5,IF(D776&gt;=10,4,IF(D776&gt;=5,3,IF(D776&gt;=2,2,1))))</f>
        <v/>
      </c>
      <c r="H776" s="128">
        <f>IF(E776&gt;=5000,5,IF(E776&gt;=2000,4,IF(E776&gt;=800,3,IF(E776&gt;=300,2,1))))</f>
        <v/>
      </c>
      <c r="I776" s="126">
        <f>TEXT(F776,"0")&amp;TEXT(G776,"0")&amp;TEXT(H776,"0")</f>
        <v/>
      </c>
      <c r="J776" s="126">
        <f>IFERROR(XLOOKUP(I776,'Segment Map'!A:A,'Segment Map'!B:B,"Need Attention"),"Need Attention")</f>
        <v/>
      </c>
      <c r="K776" s="126">
        <f>IF(E776&gt;=5000,"🏆 Platinum",IF(E776&gt;=2000,"🥇 Gold",IF(E776&gt;=800,"🥈 Silver","🥉 Bronze")))</f>
        <v/>
      </c>
      <c r="L776" s="129" t="n">
        <v>40797</v>
      </c>
    </row>
    <row r="777">
      <c r="A777" s="122" t="n">
        <v>13373</v>
      </c>
      <c r="B777" s="122" t="inlineStr">
        <is>
          <t>United Kingdom</t>
        </is>
      </c>
      <c r="C777" s="122" t="n">
        <v>61</v>
      </c>
      <c r="D777" s="122" t="n">
        <v>3</v>
      </c>
      <c r="E777" s="123" t="n">
        <v>3312.25</v>
      </c>
      <c r="F777" s="124">
        <f>IF(C777&lt;=30,5,IF(C777&lt;=60,4,IF(C777&lt;=120,3,IF(C777&lt;=200,2,1))))</f>
        <v/>
      </c>
      <c r="G777" s="124">
        <f>IF(D777&gt;=20,5,IF(D777&gt;=10,4,IF(D777&gt;=5,3,IF(D777&gt;=2,2,1))))</f>
        <v/>
      </c>
      <c r="H777" s="124">
        <f>IF(E777&gt;=5000,5,IF(E777&gt;=2000,4,IF(E777&gt;=800,3,IF(E777&gt;=300,2,1))))</f>
        <v/>
      </c>
      <c r="I777" s="122">
        <f>TEXT(F777,"0")&amp;TEXT(G777,"0")&amp;TEXT(H777,"0")</f>
        <v/>
      </c>
      <c r="J777" s="122">
        <f>IFERROR(XLOOKUP(I777,'Segment Map'!A:A,'Segment Map'!B:B,"Need Attention"),"Need Attention")</f>
        <v/>
      </c>
      <c r="K777" s="122">
        <f>IF(E777&gt;=5000,"🏆 Platinum",IF(E777&gt;=2000,"🥇 Gold",IF(E777&gt;=800,"🥈 Silver","🥉 Bronze")))</f>
        <v/>
      </c>
      <c r="L777" s="125" t="n">
        <v>40826</v>
      </c>
    </row>
    <row r="778">
      <c r="A778" s="126" t="n">
        <v>13375</v>
      </c>
      <c r="B778" s="126" t="inlineStr">
        <is>
          <t>United Kingdom</t>
        </is>
      </c>
      <c r="C778" s="126" t="n">
        <v>89</v>
      </c>
      <c r="D778" s="126" t="n">
        <v>1</v>
      </c>
      <c r="E778" s="127" t="n">
        <v>778.65</v>
      </c>
      <c r="F778" s="128">
        <f>IF(C778&lt;=30,5,IF(C778&lt;=60,4,IF(C778&lt;=120,3,IF(C778&lt;=200,2,1))))</f>
        <v/>
      </c>
      <c r="G778" s="128">
        <f>IF(D778&gt;=20,5,IF(D778&gt;=10,4,IF(D778&gt;=5,3,IF(D778&gt;=2,2,1))))</f>
        <v/>
      </c>
      <c r="H778" s="128">
        <f>IF(E778&gt;=5000,5,IF(E778&gt;=2000,4,IF(E778&gt;=800,3,IF(E778&gt;=300,2,1))))</f>
        <v/>
      </c>
      <c r="I778" s="126">
        <f>TEXT(F778,"0")&amp;TEXT(G778,"0")&amp;TEXT(H778,"0")</f>
        <v/>
      </c>
      <c r="J778" s="126">
        <f>IFERROR(XLOOKUP(I778,'Segment Map'!A:A,'Segment Map'!B:B,"Need Attention"),"Need Attention")</f>
        <v/>
      </c>
      <c r="K778" s="126">
        <f>IF(E778&gt;=5000,"🏆 Platinum",IF(E778&gt;=2000,"🥇 Gold",IF(E778&gt;=800,"🥈 Silver","🥉 Bronze")))</f>
        <v/>
      </c>
      <c r="L778" s="129" t="n">
        <v>40798</v>
      </c>
    </row>
    <row r="779">
      <c r="A779" s="122" t="n">
        <v>13376</v>
      </c>
      <c r="B779" s="122" t="inlineStr">
        <is>
          <t>United Kingdom</t>
        </is>
      </c>
      <c r="C779" s="122" t="n">
        <v>100</v>
      </c>
      <c r="D779" s="122" t="n">
        <v>3</v>
      </c>
      <c r="E779" s="123" t="n">
        <v>1019.76</v>
      </c>
      <c r="F779" s="124">
        <f>IF(C779&lt;=30,5,IF(C779&lt;=60,4,IF(C779&lt;=120,3,IF(C779&lt;=200,2,1))))</f>
        <v/>
      </c>
      <c r="G779" s="124">
        <f>IF(D779&gt;=20,5,IF(D779&gt;=10,4,IF(D779&gt;=5,3,IF(D779&gt;=2,2,1))))</f>
        <v/>
      </c>
      <c r="H779" s="124">
        <f>IF(E779&gt;=5000,5,IF(E779&gt;=2000,4,IF(E779&gt;=800,3,IF(E779&gt;=300,2,1))))</f>
        <v/>
      </c>
      <c r="I779" s="122">
        <f>TEXT(F779,"0")&amp;TEXT(G779,"0")&amp;TEXT(H779,"0")</f>
        <v/>
      </c>
      <c r="J779" s="122">
        <f>IFERROR(XLOOKUP(I779,'Segment Map'!A:A,'Segment Map'!B:B,"Need Attention"),"Need Attention")</f>
        <v/>
      </c>
      <c r="K779" s="122">
        <f>IF(E779&gt;=5000,"🏆 Platinum",IF(E779&gt;=2000,"🥇 Gold",IF(E779&gt;=800,"🥈 Silver","🥉 Bronze")))</f>
        <v/>
      </c>
      <c r="L779" s="125" t="n">
        <v>40787</v>
      </c>
    </row>
    <row r="780">
      <c r="A780" s="126" t="n">
        <v>13379</v>
      </c>
      <c r="B780" s="126" t="inlineStr">
        <is>
          <t>United Kingdom</t>
        </is>
      </c>
      <c r="C780" s="126" t="n">
        <v>27</v>
      </c>
      <c r="D780" s="126" t="n">
        <v>3</v>
      </c>
      <c r="E780" s="127" t="n">
        <v>572.5599999999999</v>
      </c>
      <c r="F780" s="128">
        <f>IF(C780&lt;=30,5,IF(C780&lt;=60,4,IF(C780&lt;=120,3,IF(C780&lt;=200,2,1))))</f>
        <v/>
      </c>
      <c r="G780" s="128">
        <f>IF(D780&gt;=20,5,IF(D780&gt;=10,4,IF(D780&gt;=5,3,IF(D780&gt;=2,2,1))))</f>
        <v/>
      </c>
      <c r="H780" s="128">
        <f>IF(E780&gt;=5000,5,IF(E780&gt;=2000,4,IF(E780&gt;=800,3,IF(E780&gt;=300,2,1))))</f>
        <v/>
      </c>
      <c r="I780" s="126">
        <f>TEXT(F780,"0")&amp;TEXT(G780,"0")&amp;TEXT(H780,"0")</f>
        <v/>
      </c>
      <c r="J780" s="126">
        <f>IFERROR(XLOOKUP(I780,'Segment Map'!A:A,'Segment Map'!B:B,"Need Attention"),"Need Attention")</f>
        <v/>
      </c>
      <c r="K780" s="126">
        <f>IF(E780&gt;=5000,"🏆 Platinum",IF(E780&gt;=2000,"🥇 Gold",IF(E780&gt;=800,"🥈 Silver","🥉 Bronze")))</f>
        <v/>
      </c>
      <c r="L780" s="129" t="n">
        <v>40860</v>
      </c>
    </row>
    <row r="781">
      <c r="A781" s="122" t="n">
        <v>13381</v>
      </c>
      <c r="B781" s="122" t="inlineStr">
        <is>
          <t>United Kingdom</t>
        </is>
      </c>
      <c r="C781" s="122" t="n">
        <v>32</v>
      </c>
      <c r="D781" s="122" t="n">
        <v>6</v>
      </c>
      <c r="E781" s="123" t="n">
        <v>3639.31</v>
      </c>
      <c r="F781" s="124">
        <f>IF(C781&lt;=30,5,IF(C781&lt;=60,4,IF(C781&lt;=120,3,IF(C781&lt;=200,2,1))))</f>
        <v/>
      </c>
      <c r="G781" s="124">
        <f>IF(D781&gt;=20,5,IF(D781&gt;=10,4,IF(D781&gt;=5,3,IF(D781&gt;=2,2,1))))</f>
        <v/>
      </c>
      <c r="H781" s="124">
        <f>IF(E781&gt;=5000,5,IF(E781&gt;=2000,4,IF(E781&gt;=800,3,IF(E781&gt;=300,2,1))))</f>
        <v/>
      </c>
      <c r="I781" s="122">
        <f>TEXT(F781,"0")&amp;TEXT(G781,"0")&amp;TEXT(H781,"0")</f>
        <v/>
      </c>
      <c r="J781" s="122">
        <f>IFERROR(XLOOKUP(I781,'Segment Map'!A:A,'Segment Map'!B:B,"Need Attention"),"Need Attention")</f>
        <v/>
      </c>
      <c r="K781" s="122">
        <f>IF(E781&gt;=5000,"🏆 Platinum",IF(E781&gt;=2000,"🥇 Gold",IF(E781&gt;=800,"🥈 Silver","🥉 Bronze")))</f>
        <v/>
      </c>
      <c r="L781" s="125" t="n">
        <v>40855</v>
      </c>
    </row>
    <row r="782">
      <c r="A782" s="126" t="n">
        <v>13382</v>
      </c>
      <c r="B782" s="126" t="inlineStr">
        <is>
          <t>United Kingdom</t>
        </is>
      </c>
      <c r="C782" s="126" t="n">
        <v>281</v>
      </c>
      <c r="D782" s="126" t="n">
        <v>1</v>
      </c>
      <c r="E782" s="127" t="n">
        <v>222.99</v>
      </c>
      <c r="F782" s="128">
        <f>IF(C782&lt;=30,5,IF(C782&lt;=60,4,IF(C782&lt;=120,3,IF(C782&lt;=200,2,1))))</f>
        <v/>
      </c>
      <c r="G782" s="128">
        <f>IF(D782&gt;=20,5,IF(D782&gt;=10,4,IF(D782&gt;=5,3,IF(D782&gt;=2,2,1))))</f>
        <v/>
      </c>
      <c r="H782" s="128">
        <f>IF(E782&gt;=5000,5,IF(E782&gt;=2000,4,IF(E782&gt;=800,3,IF(E782&gt;=300,2,1))))</f>
        <v/>
      </c>
      <c r="I782" s="126">
        <f>TEXT(F782,"0")&amp;TEXT(G782,"0")&amp;TEXT(H782,"0")</f>
        <v/>
      </c>
      <c r="J782" s="126">
        <f>IFERROR(XLOOKUP(I782,'Segment Map'!A:A,'Segment Map'!B:B,"Need Attention"),"Need Attention")</f>
        <v/>
      </c>
      <c r="K782" s="126">
        <f>IF(E782&gt;=5000,"🏆 Platinum",IF(E782&gt;=2000,"🥇 Gold",IF(E782&gt;=800,"🥈 Silver","🥉 Bronze")))</f>
        <v/>
      </c>
      <c r="L782" s="129" t="n">
        <v>40606</v>
      </c>
    </row>
    <row r="783">
      <c r="A783" s="122" t="n">
        <v>13384</v>
      </c>
      <c r="B783" s="122" t="inlineStr">
        <is>
          <t>United Kingdom</t>
        </is>
      </c>
      <c r="C783" s="122" t="n">
        <v>31</v>
      </c>
      <c r="D783" s="122" t="n">
        <v>7</v>
      </c>
      <c r="E783" s="123" t="n">
        <v>4151.93</v>
      </c>
      <c r="F783" s="124">
        <f>IF(C783&lt;=30,5,IF(C783&lt;=60,4,IF(C783&lt;=120,3,IF(C783&lt;=200,2,1))))</f>
        <v/>
      </c>
      <c r="G783" s="124">
        <f>IF(D783&gt;=20,5,IF(D783&gt;=10,4,IF(D783&gt;=5,3,IF(D783&gt;=2,2,1))))</f>
        <v/>
      </c>
      <c r="H783" s="124">
        <f>IF(E783&gt;=5000,5,IF(E783&gt;=2000,4,IF(E783&gt;=800,3,IF(E783&gt;=300,2,1))))</f>
        <v/>
      </c>
      <c r="I783" s="122">
        <f>TEXT(F783,"0")&amp;TEXT(G783,"0")&amp;TEXT(H783,"0")</f>
        <v/>
      </c>
      <c r="J783" s="122">
        <f>IFERROR(XLOOKUP(I783,'Segment Map'!A:A,'Segment Map'!B:B,"Need Attention"),"Need Attention")</f>
        <v/>
      </c>
      <c r="K783" s="122">
        <f>IF(E783&gt;=5000,"🏆 Platinum",IF(E783&gt;=2000,"🥇 Gold",IF(E783&gt;=800,"🥈 Silver","🥉 Bronze")))</f>
        <v/>
      </c>
      <c r="L783" s="125" t="n">
        <v>40856</v>
      </c>
    </row>
    <row r="784">
      <c r="A784" s="126" t="n">
        <v>13385</v>
      </c>
      <c r="B784" s="126" t="inlineStr">
        <is>
          <t>United Kingdom</t>
        </is>
      </c>
      <c r="C784" s="126" t="n">
        <v>330</v>
      </c>
      <c r="D784" s="126" t="n">
        <v>1</v>
      </c>
      <c r="E784" s="127" t="n">
        <v>534.5700000000001</v>
      </c>
      <c r="F784" s="128">
        <f>IF(C784&lt;=30,5,IF(C784&lt;=60,4,IF(C784&lt;=120,3,IF(C784&lt;=200,2,1))))</f>
        <v/>
      </c>
      <c r="G784" s="128">
        <f>IF(D784&gt;=20,5,IF(D784&gt;=10,4,IF(D784&gt;=5,3,IF(D784&gt;=2,2,1))))</f>
        <v/>
      </c>
      <c r="H784" s="128">
        <f>IF(E784&gt;=5000,5,IF(E784&gt;=2000,4,IF(E784&gt;=800,3,IF(E784&gt;=300,2,1))))</f>
        <v/>
      </c>
      <c r="I784" s="126">
        <f>TEXT(F784,"0")&amp;TEXT(G784,"0")&amp;TEXT(H784,"0")</f>
        <v/>
      </c>
      <c r="J784" s="126">
        <f>IFERROR(XLOOKUP(I784,'Segment Map'!A:A,'Segment Map'!B:B,"Need Attention"),"Need Attention")</f>
        <v/>
      </c>
      <c r="K784" s="126">
        <f>IF(E784&gt;=5000,"🏆 Platinum",IF(E784&gt;=2000,"🥇 Gold",IF(E784&gt;=800,"🥈 Silver","🥉 Bronze")))</f>
        <v/>
      </c>
      <c r="L784" s="129" t="n">
        <v>40557</v>
      </c>
    </row>
    <row r="785">
      <c r="A785" s="122" t="n">
        <v>13388</v>
      </c>
      <c r="B785" s="122" t="inlineStr">
        <is>
          <t>United Kingdom</t>
        </is>
      </c>
      <c r="C785" s="122" t="n">
        <v>132</v>
      </c>
      <c r="D785" s="122" t="n">
        <v>2</v>
      </c>
      <c r="E785" s="123" t="n">
        <v>677.1</v>
      </c>
      <c r="F785" s="124">
        <f>IF(C785&lt;=30,5,IF(C785&lt;=60,4,IF(C785&lt;=120,3,IF(C785&lt;=200,2,1))))</f>
        <v/>
      </c>
      <c r="G785" s="124">
        <f>IF(D785&gt;=20,5,IF(D785&gt;=10,4,IF(D785&gt;=5,3,IF(D785&gt;=2,2,1))))</f>
        <v/>
      </c>
      <c r="H785" s="124">
        <f>IF(E785&gt;=5000,5,IF(E785&gt;=2000,4,IF(E785&gt;=800,3,IF(E785&gt;=300,2,1))))</f>
        <v/>
      </c>
      <c r="I785" s="122">
        <f>TEXT(F785,"0")&amp;TEXT(G785,"0")&amp;TEXT(H785,"0")</f>
        <v/>
      </c>
      <c r="J785" s="122">
        <f>IFERROR(XLOOKUP(I785,'Segment Map'!A:A,'Segment Map'!B:B,"Need Attention"),"Need Attention")</f>
        <v/>
      </c>
      <c r="K785" s="122">
        <f>IF(E785&gt;=5000,"🏆 Platinum",IF(E785&gt;=2000,"🥇 Gold",IF(E785&gt;=800,"🥈 Silver","🥉 Bronze")))</f>
        <v/>
      </c>
      <c r="L785" s="125" t="n">
        <v>40755</v>
      </c>
    </row>
    <row r="786">
      <c r="A786" s="126" t="n">
        <v>13389</v>
      </c>
      <c r="B786" s="126" t="inlineStr">
        <is>
          <t>United Kingdom</t>
        </is>
      </c>
      <c r="C786" s="126" t="n">
        <v>12</v>
      </c>
      <c r="D786" s="126" t="n">
        <v>3</v>
      </c>
      <c r="E786" s="127" t="n">
        <v>797.96</v>
      </c>
      <c r="F786" s="128">
        <f>IF(C786&lt;=30,5,IF(C786&lt;=60,4,IF(C786&lt;=120,3,IF(C786&lt;=200,2,1))))</f>
        <v/>
      </c>
      <c r="G786" s="128">
        <f>IF(D786&gt;=20,5,IF(D786&gt;=10,4,IF(D786&gt;=5,3,IF(D786&gt;=2,2,1))))</f>
        <v/>
      </c>
      <c r="H786" s="128">
        <f>IF(E786&gt;=5000,5,IF(E786&gt;=2000,4,IF(E786&gt;=800,3,IF(E786&gt;=300,2,1))))</f>
        <v/>
      </c>
      <c r="I786" s="126">
        <f>TEXT(F786,"0")&amp;TEXT(G786,"0")&amp;TEXT(H786,"0")</f>
        <v/>
      </c>
      <c r="J786" s="126">
        <f>IFERROR(XLOOKUP(I786,'Segment Map'!A:A,'Segment Map'!B:B,"Need Attention"),"Need Attention")</f>
        <v/>
      </c>
      <c r="K786" s="126">
        <f>IF(E786&gt;=5000,"🏆 Platinum",IF(E786&gt;=2000,"🥇 Gold",IF(E786&gt;=800,"🥈 Silver","🥉 Bronze")))</f>
        <v/>
      </c>
      <c r="L786" s="129" t="n">
        <v>40875</v>
      </c>
    </row>
    <row r="787">
      <c r="A787" s="122" t="n">
        <v>13390</v>
      </c>
      <c r="B787" s="122" t="inlineStr">
        <is>
          <t>United Kingdom</t>
        </is>
      </c>
      <c r="C787" s="122" t="n">
        <v>75</v>
      </c>
      <c r="D787" s="122" t="n">
        <v>1</v>
      </c>
      <c r="E787" s="123" t="n">
        <v>544.08</v>
      </c>
      <c r="F787" s="124">
        <f>IF(C787&lt;=30,5,IF(C787&lt;=60,4,IF(C787&lt;=120,3,IF(C787&lt;=200,2,1))))</f>
        <v/>
      </c>
      <c r="G787" s="124">
        <f>IF(D787&gt;=20,5,IF(D787&gt;=10,4,IF(D787&gt;=5,3,IF(D787&gt;=2,2,1))))</f>
        <v/>
      </c>
      <c r="H787" s="124">
        <f>IF(E787&gt;=5000,5,IF(E787&gt;=2000,4,IF(E787&gt;=800,3,IF(E787&gt;=300,2,1))))</f>
        <v/>
      </c>
      <c r="I787" s="122">
        <f>TEXT(F787,"0")&amp;TEXT(G787,"0")&amp;TEXT(H787,"0")</f>
        <v/>
      </c>
      <c r="J787" s="122">
        <f>IFERROR(XLOOKUP(I787,'Segment Map'!A:A,'Segment Map'!B:B,"Need Attention"),"Need Attention")</f>
        <v/>
      </c>
      <c r="K787" s="122">
        <f>IF(E787&gt;=5000,"🏆 Platinum",IF(E787&gt;=2000,"🥇 Gold",IF(E787&gt;=800,"🥈 Silver","🥉 Bronze")))</f>
        <v/>
      </c>
      <c r="L787" s="125" t="n">
        <v>40812</v>
      </c>
    </row>
    <row r="788">
      <c r="A788" s="126" t="n">
        <v>13391</v>
      </c>
      <c r="B788" s="126" t="inlineStr">
        <is>
          <t>United Kingdom</t>
        </is>
      </c>
      <c r="C788" s="126" t="n">
        <v>204</v>
      </c>
      <c r="D788" s="126" t="n">
        <v>1</v>
      </c>
      <c r="E788" s="127" t="n">
        <v>59.8</v>
      </c>
      <c r="F788" s="128">
        <f>IF(C788&lt;=30,5,IF(C788&lt;=60,4,IF(C788&lt;=120,3,IF(C788&lt;=200,2,1))))</f>
        <v/>
      </c>
      <c r="G788" s="128">
        <f>IF(D788&gt;=20,5,IF(D788&gt;=10,4,IF(D788&gt;=5,3,IF(D788&gt;=2,2,1))))</f>
        <v/>
      </c>
      <c r="H788" s="128">
        <f>IF(E788&gt;=5000,5,IF(E788&gt;=2000,4,IF(E788&gt;=800,3,IF(E788&gt;=300,2,1))))</f>
        <v/>
      </c>
      <c r="I788" s="126">
        <f>TEXT(F788,"0")&amp;TEXT(G788,"0")&amp;TEXT(H788,"0")</f>
        <v/>
      </c>
      <c r="J788" s="126">
        <f>IFERROR(XLOOKUP(I788,'Segment Map'!A:A,'Segment Map'!B:B,"Need Attention"),"Need Attention")</f>
        <v/>
      </c>
      <c r="K788" s="126">
        <f>IF(E788&gt;=5000,"🏆 Platinum",IF(E788&gt;=2000,"🥇 Gold",IF(E788&gt;=800,"🥈 Silver","🥉 Bronze")))</f>
        <v/>
      </c>
      <c r="L788" s="129" t="n">
        <v>40683</v>
      </c>
    </row>
    <row r="789">
      <c r="A789" s="122" t="n">
        <v>13394</v>
      </c>
      <c r="B789" s="122" t="inlineStr">
        <is>
          <t>United Kingdom</t>
        </is>
      </c>
      <c r="C789" s="122" t="n">
        <v>2</v>
      </c>
      <c r="D789" s="122" t="n">
        <v>8</v>
      </c>
      <c r="E789" s="123" t="n">
        <v>2520.02</v>
      </c>
      <c r="F789" s="124">
        <f>IF(C789&lt;=30,5,IF(C789&lt;=60,4,IF(C789&lt;=120,3,IF(C789&lt;=200,2,1))))</f>
        <v/>
      </c>
      <c r="G789" s="124">
        <f>IF(D789&gt;=20,5,IF(D789&gt;=10,4,IF(D789&gt;=5,3,IF(D789&gt;=2,2,1))))</f>
        <v/>
      </c>
      <c r="H789" s="124">
        <f>IF(E789&gt;=5000,5,IF(E789&gt;=2000,4,IF(E789&gt;=800,3,IF(E789&gt;=300,2,1))))</f>
        <v/>
      </c>
      <c r="I789" s="122">
        <f>TEXT(F789,"0")&amp;TEXT(G789,"0")&amp;TEXT(H789,"0")</f>
        <v/>
      </c>
      <c r="J789" s="122">
        <f>IFERROR(XLOOKUP(I789,'Segment Map'!A:A,'Segment Map'!B:B,"Need Attention"),"Need Attention")</f>
        <v/>
      </c>
      <c r="K789" s="122">
        <f>IF(E789&gt;=5000,"🏆 Platinum",IF(E789&gt;=2000,"🥇 Gold",IF(E789&gt;=800,"🥈 Silver","🥉 Bronze")))</f>
        <v/>
      </c>
      <c r="L789" s="125" t="n">
        <v>40885</v>
      </c>
    </row>
    <row r="790">
      <c r="A790" s="126" t="n">
        <v>13395</v>
      </c>
      <c r="B790" s="126" t="inlineStr">
        <is>
          <t>United Kingdom</t>
        </is>
      </c>
      <c r="C790" s="126" t="n">
        <v>186</v>
      </c>
      <c r="D790" s="126" t="n">
        <v>1</v>
      </c>
      <c r="E790" s="127" t="n">
        <v>307.72</v>
      </c>
      <c r="F790" s="128">
        <f>IF(C790&lt;=30,5,IF(C790&lt;=60,4,IF(C790&lt;=120,3,IF(C790&lt;=200,2,1))))</f>
        <v/>
      </c>
      <c r="G790" s="128">
        <f>IF(D790&gt;=20,5,IF(D790&gt;=10,4,IF(D790&gt;=5,3,IF(D790&gt;=2,2,1))))</f>
        <v/>
      </c>
      <c r="H790" s="128">
        <f>IF(E790&gt;=5000,5,IF(E790&gt;=2000,4,IF(E790&gt;=800,3,IF(E790&gt;=300,2,1))))</f>
        <v/>
      </c>
      <c r="I790" s="126">
        <f>TEXT(F790,"0")&amp;TEXT(G790,"0")&amp;TEXT(H790,"0")</f>
        <v/>
      </c>
      <c r="J790" s="126">
        <f>IFERROR(XLOOKUP(I790,'Segment Map'!A:A,'Segment Map'!B:B,"Need Attention"),"Need Attention")</f>
        <v/>
      </c>
      <c r="K790" s="126">
        <f>IF(E790&gt;=5000,"🏆 Platinum",IF(E790&gt;=2000,"🥇 Gold",IF(E790&gt;=800,"🥈 Silver","🥉 Bronze")))</f>
        <v/>
      </c>
      <c r="L790" s="129" t="n">
        <v>40701</v>
      </c>
    </row>
    <row r="791">
      <c r="A791" s="122" t="n">
        <v>13396</v>
      </c>
      <c r="B791" s="122" t="inlineStr">
        <is>
          <t>United Kingdom</t>
        </is>
      </c>
      <c r="C791" s="122" t="n">
        <v>30</v>
      </c>
      <c r="D791" s="122" t="n">
        <v>2</v>
      </c>
      <c r="E791" s="123" t="n">
        <v>1360.99</v>
      </c>
      <c r="F791" s="124">
        <f>IF(C791&lt;=30,5,IF(C791&lt;=60,4,IF(C791&lt;=120,3,IF(C791&lt;=200,2,1))))</f>
        <v/>
      </c>
      <c r="G791" s="124">
        <f>IF(D791&gt;=20,5,IF(D791&gt;=10,4,IF(D791&gt;=5,3,IF(D791&gt;=2,2,1))))</f>
        <v/>
      </c>
      <c r="H791" s="124">
        <f>IF(E791&gt;=5000,5,IF(E791&gt;=2000,4,IF(E791&gt;=800,3,IF(E791&gt;=300,2,1))))</f>
        <v/>
      </c>
      <c r="I791" s="122">
        <f>TEXT(F791,"0")&amp;TEXT(G791,"0")&amp;TEXT(H791,"0")</f>
        <v/>
      </c>
      <c r="J791" s="122">
        <f>IFERROR(XLOOKUP(I791,'Segment Map'!A:A,'Segment Map'!B:B,"Need Attention"),"Need Attention")</f>
        <v/>
      </c>
      <c r="K791" s="122">
        <f>IF(E791&gt;=5000,"🏆 Platinum",IF(E791&gt;=2000,"🥇 Gold",IF(E791&gt;=800,"🥈 Silver","🥉 Bronze")))</f>
        <v/>
      </c>
      <c r="L791" s="125" t="n">
        <v>40857</v>
      </c>
    </row>
    <row r="792">
      <c r="A792" s="126" t="n">
        <v>13397</v>
      </c>
      <c r="B792" s="126" t="inlineStr">
        <is>
          <t>United Kingdom</t>
        </is>
      </c>
      <c r="C792" s="126" t="n">
        <v>73</v>
      </c>
      <c r="D792" s="126" t="n">
        <v>5</v>
      </c>
      <c r="E792" s="127" t="n">
        <v>1544.13</v>
      </c>
      <c r="F792" s="128">
        <f>IF(C792&lt;=30,5,IF(C792&lt;=60,4,IF(C792&lt;=120,3,IF(C792&lt;=200,2,1))))</f>
        <v/>
      </c>
      <c r="G792" s="128">
        <f>IF(D792&gt;=20,5,IF(D792&gt;=10,4,IF(D792&gt;=5,3,IF(D792&gt;=2,2,1))))</f>
        <v/>
      </c>
      <c r="H792" s="128">
        <f>IF(E792&gt;=5000,5,IF(E792&gt;=2000,4,IF(E792&gt;=800,3,IF(E792&gt;=300,2,1))))</f>
        <v/>
      </c>
      <c r="I792" s="126">
        <f>TEXT(F792,"0")&amp;TEXT(G792,"0")&amp;TEXT(H792,"0")</f>
        <v/>
      </c>
      <c r="J792" s="126">
        <f>IFERROR(XLOOKUP(I792,'Segment Map'!A:A,'Segment Map'!B:B,"Need Attention"),"Need Attention")</f>
        <v/>
      </c>
      <c r="K792" s="126">
        <f>IF(E792&gt;=5000,"🏆 Platinum",IF(E792&gt;=2000,"🥇 Gold",IF(E792&gt;=800,"🥈 Silver","🥉 Bronze")))</f>
        <v/>
      </c>
      <c r="L792" s="129" t="n">
        <v>40814</v>
      </c>
    </row>
    <row r="793">
      <c r="A793" s="122" t="n">
        <v>13398</v>
      </c>
      <c r="B793" s="122" t="inlineStr">
        <is>
          <t>United Kingdom</t>
        </is>
      </c>
      <c r="C793" s="122" t="n">
        <v>193</v>
      </c>
      <c r="D793" s="122" t="n">
        <v>1</v>
      </c>
      <c r="E793" s="123" t="n">
        <v>457.34</v>
      </c>
      <c r="F793" s="124">
        <f>IF(C793&lt;=30,5,IF(C793&lt;=60,4,IF(C793&lt;=120,3,IF(C793&lt;=200,2,1))))</f>
        <v/>
      </c>
      <c r="G793" s="124">
        <f>IF(D793&gt;=20,5,IF(D793&gt;=10,4,IF(D793&gt;=5,3,IF(D793&gt;=2,2,1))))</f>
        <v/>
      </c>
      <c r="H793" s="124">
        <f>IF(E793&gt;=5000,5,IF(E793&gt;=2000,4,IF(E793&gt;=800,3,IF(E793&gt;=300,2,1))))</f>
        <v/>
      </c>
      <c r="I793" s="122">
        <f>TEXT(F793,"0")&amp;TEXT(G793,"0")&amp;TEXT(H793,"0")</f>
        <v/>
      </c>
      <c r="J793" s="122">
        <f>IFERROR(XLOOKUP(I793,'Segment Map'!A:A,'Segment Map'!B:B,"Need Attention"),"Need Attention")</f>
        <v/>
      </c>
      <c r="K793" s="122">
        <f>IF(E793&gt;=5000,"🏆 Platinum",IF(E793&gt;=2000,"🥇 Gold",IF(E793&gt;=800,"🥈 Silver","🥉 Bronze")))</f>
        <v/>
      </c>
      <c r="L793" s="125" t="n">
        <v>40694</v>
      </c>
    </row>
    <row r="794">
      <c r="A794" s="126" t="n">
        <v>13402</v>
      </c>
      <c r="B794" s="126" t="inlineStr">
        <is>
          <t>United Kingdom</t>
        </is>
      </c>
      <c r="C794" s="126" t="n">
        <v>128</v>
      </c>
      <c r="D794" s="126" t="n">
        <v>2</v>
      </c>
      <c r="E794" s="127" t="n">
        <v>621.23</v>
      </c>
      <c r="F794" s="128">
        <f>IF(C794&lt;=30,5,IF(C794&lt;=60,4,IF(C794&lt;=120,3,IF(C794&lt;=200,2,1))))</f>
        <v/>
      </c>
      <c r="G794" s="128">
        <f>IF(D794&gt;=20,5,IF(D794&gt;=10,4,IF(D794&gt;=5,3,IF(D794&gt;=2,2,1))))</f>
        <v/>
      </c>
      <c r="H794" s="128">
        <f>IF(E794&gt;=5000,5,IF(E794&gt;=2000,4,IF(E794&gt;=800,3,IF(E794&gt;=300,2,1))))</f>
        <v/>
      </c>
      <c r="I794" s="126">
        <f>TEXT(F794,"0")&amp;TEXT(G794,"0")&amp;TEXT(H794,"0")</f>
        <v/>
      </c>
      <c r="J794" s="126">
        <f>IFERROR(XLOOKUP(I794,'Segment Map'!A:A,'Segment Map'!B:B,"Need Attention"),"Need Attention")</f>
        <v/>
      </c>
      <c r="K794" s="126">
        <f>IF(E794&gt;=5000,"🏆 Platinum",IF(E794&gt;=2000,"🥇 Gold",IF(E794&gt;=800,"🥈 Silver","🥉 Bronze")))</f>
        <v/>
      </c>
      <c r="L794" s="129" t="n">
        <v>40759</v>
      </c>
    </row>
    <row r="795">
      <c r="A795" s="122" t="n">
        <v>13403</v>
      </c>
      <c r="B795" s="122" t="inlineStr">
        <is>
          <t>United Kingdom</t>
        </is>
      </c>
      <c r="C795" s="122" t="n">
        <v>18</v>
      </c>
      <c r="D795" s="122" t="n">
        <v>1</v>
      </c>
      <c r="E795" s="123" t="n">
        <v>75</v>
      </c>
      <c r="F795" s="124">
        <f>IF(C795&lt;=30,5,IF(C795&lt;=60,4,IF(C795&lt;=120,3,IF(C795&lt;=200,2,1))))</f>
        <v/>
      </c>
      <c r="G795" s="124">
        <f>IF(D795&gt;=20,5,IF(D795&gt;=10,4,IF(D795&gt;=5,3,IF(D795&gt;=2,2,1))))</f>
        <v/>
      </c>
      <c r="H795" s="124">
        <f>IF(E795&gt;=5000,5,IF(E795&gt;=2000,4,IF(E795&gt;=800,3,IF(E795&gt;=300,2,1))))</f>
        <v/>
      </c>
      <c r="I795" s="122">
        <f>TEXT(F795,"0")&amp;TEXT(G795,"0")&amp;TEXT(H795,"0")</f>
        <v/>
      </c>
      <c r="J795" s="122">
        <f>IFERROR(XLOOKUP(I795,'Segment Map'!A:A,'Segment Map'!B:B,"Need Attention"),"Need Attention")</f>
        <v/>
      </c>
      <c r="K795" s="122">
        <f>IF(E795&gt;=5000,"🏆 Platinum",IF(E795&gt;=2000,"🥇 Gold",IF(E795&gt;=800,"🥈 Silver","🥉 Bronze")))</f>
        <v/>
      </c>
      <c r="L795" s="125" t="n">
        <v>40869</v>
      </c>
    </row>
    <row r="796">
      <c r="A796" s="126" t="n">
        <v>13404</v>
      </c>
      <c r="B796" s="126" t="inlineStr">
        <is>
          <t>United Kingdom</t>
        </is>
      </c>
      <c r="C796" s="126" t="n">
        <v>2</v>
      </c>
      <c r="D796" s="126" t="n">
        <v>2</v>
      </c>
      <c r="E796" s="127" t="n">
        <v>252.49</v>
      </c>
      <c r="F796" s="128">
        <f>IF(C796&lt;=30,5,IF(C796&lt;=60,4,IF(C796&lt;=120,3,IF(C796&lt;=200,2,1))))</f>
        <v/>
      </c>
      <c r="G796" s="128">
        <f>IF(D796&gt;=20,5,IF(D796&gt;=10,4,IF(D796&gt;=5,3,IF(D796&gt;=2,2,1))))</f>
        <v/>
      </c>
      <c r="H796" s="128">
        <f>IF(E796&gt;=5000,5,IF(E796&gt;=2000,4,IF(E796&gt;=800,3,IF(E796&gt;=300,2,1))))</f>
        <v/>
      </c>
      <c r="I796" s="126">
        <f>TEXT(F796,"0")&amp;TEXT(G796,"0")&amp;TEXT(H796,"0")</f>
        <v/>
      </c>
      <c r="J796" s="126">
        <f>IFERROR(XLOOKUP(I796,'Segment Map'!A:A,'Segment Map'!B:B,"Need Attention"),"Need Attention")</f>
        <v/>
      </c>
      <c r="K796" s="126">
        <f>IF(E796&gt;=5000,"🏆 Platinum",IF(E796&gt;=2000,"🥇 Gold",IF(E796&gt;=800,"🥈 Silver","🥉 Bronze")))</f>
        <v/>
      </c>
      <c r="L796" s="129" t="n">
        <v>40885</v>
      </c>
    </row>
    <row r="797">
      <c r="A797" s="122" t="n">
        <v>13405</v>
      </c>
      <c r="B797" s="122" t="inlineStr">
        <is>
          <t>United Kingdom</t>
        </is>
      </c>
      <c r="C797" s="122" t="n">
        <v>75</v>
      </c>
      <c r="D797" s="122" t="n">
        <v>3</v>
      </c>
      <c r="E797" s="123" t="n">
        <v>572.45</v>
      </c>
      <c r="F797" s="124">
        <f>IF(C797&lt;=30,5,IF(C797&lt;=60,4,IF(C797&lt;=120,3,IF(C797&lt;=200,2,1))))</f>
        <v/>
      </c>
      <c r="G797" s="124">
        <f>IF(D797&gt;=20,5,IF(D797&gt;=10,4,IF(D797&gt;=5,3,IF(D797&gt;=2,2,1))))</f>
        <v/>
      </c>
      <c r="H797" s="124">
        <f>IF(E797&gt;=5000,5,IF(E797&gt;=2000,4,IF(E797&gt;=800,3,IF(E797&gt;=300,2,1))))</f>
        <v/>
      </c>
      <c r="I797" s="122">
        <f>TEXT(F797,"0")&amp;TEXT(G797,"0")&amp;TEXT(H797,"0")</f>
        <v/>
      </c>
      <c r="J797" s="122">
        <f>IFERROR(XLOOKUP(I797,'Segment Map'!A:A,'Segment Map'!B:B,"Need Attention"),"Need Attention")</f>
        <v/>
      </c>
      <c r="K797" s="122">
        <f>IF(E797&gt;=5000,"🏆 Platinum",IF(E797&gt;=2000,"🥇 Gold",IF(E797&gt;=800,"🥈 Silver","🥉 Bronze")))</f>
        <v/>
      </c>
      <c r="L797" s="125" t="n">
        <v>40812</v>
      </c>
    </row>
    <row r="798">
      <c r="A798" s="126" t="n">
        <v>13408</v>
      </c>
      <c r="B798" s="126" t="inlineStr">
        <is>
          <t>United Kingdom</t>
        </is>
      </c>
      <c r="C798" s="126" t="n">
        <v>2</v>
      </c>
      <c r="D798" s="126" t="n">
        <v>62</v>
      </c>
      <c r="E798" s="127" t="n">
        <v>28117.04</v>
      </c>
      <c r="F798" s="128">
        <f>IF(C798&lt;=30,5,IF(C798&lt;=60,4,IF(C798&lt;=120,3,IF(C798&lt;=200,2,1))))</f>
        <v/>
      </c>
      <c r="G798" s="128">
        <f>IF(D798&gt;=20,5,IF(D798&gt;=10,4,IF(D798&gt;=5,3,IF(D798&gt;=2,2,1))))</f>
        <v/>
      </c>
      <c r="H798" s="128">
        <f>IF(E798&gt;=5000,5,IF(E798&gt;=2000,4,IF(E798&gt;=800,3,IF(E798&gt;=300,2,1))))</f>
        <v/>
      </c>
      <c r="I798" s="126">
        <f>TEXT(F798,"0")&amp;TEXT(G798,"0")&amp;TEXT(H798,"0")</f>
        <v/>
      </c>
      <c r="J798" s="126">
        <f>IFERROR(XLOOKUP(I798,'Segment Map'!A:A,'Segment Map'!B:B,"Need Attention"),"Need Attention")</f>
        <v/>
      </c>
      <c r="K798" s="126">
        <f>IF(E798&gt;=5000,"🏆 Platinum",IF(E798&gt;=2000,"🥇 Gold",IF(E798&gt;=800,"🥈 Silver","🥉 Bronze")))</f>
        <v/>
      </c>
      <c r="L798" s="129" t="n">
        <v>40885</v>
      </c>
    </row>
    <row r="799">
      <c r="A799" s="122" t="n">
        <v>13410</v>
      </c>
      <c r="B799" s="122" t="inlineStr">
        <is>
          <t>United Kingdom</t>
        </is>
      </c>
      <c r="C799" s="122" t="n">
        <v>25</v>
      </c>
      <c r="D799" s="122" t="n">
        <v>5</v>
      </c>
      <c r="E799" s="123" t="n">
        <v>1003.06</v>
      </c>
      <c r="F799" s="124">
        <f>IF(C799&lt;=30,5,IF(C799&lt;=60,4,IF(C799&lt;=120,3,IF(C799&lt;=200,2,1))))</f>
        <v/>
      </c>
      <c r="G799" s="124">
        <f>IF(D799&gt;=20,5,IF(D799&gt;=10,4,IF(D799&gt;=5,3,IF(D799&gt;=2,2,1))))</f>
        <v/>
      </c>
      <c r="H799" s="124">
        <f>IF(E799&gt;=5000,5,IF(E799&gt;=2000,4,IF(E799&gt;=800,3,IF(E799&gt;=300,2,1))))</f>
        <v/>
      </c>
      <c r="I799" s="122">
        <f>TEXT(F799,"0")&amp;TEXT(G799,"0")&amp;TEXT(H799,"0")</f>
        <v/>
      </c>
      <c r="J799" s="122">
        <f>IFERROR(XLOOKUP(I799,'Segment Map'!A:A,'Segment Map'!B:B,"Need Attention"),"Need Attention")</f>
        <v/>
      </c>
      <c r="K799" s="122">
        <f>IF(E799&gt;=5000,"🏆 Platinum",IF(E799&gt;=2000,"🥇 Gold",IF(E799&gt;=800,"🥈 Silver","🥉 Bronze")))</f>
        <v/>
      </c>
      <c r="L799" s="125" t="n">
        <v>40862</v>
      </c>
    </row>
    <row r="800">
      <c r="A800" s="126" t="n">
        <v>13411</v>
      </c>
      <c r="B800" s="126" t="inlineStr">
        <is>
          <t>United Kingdom</t>
        </is>
      </c>
      <c r="C800" s="126" t="n">
        <v>108</v>
      </c>
      <c r="D800" s="126" t="n">
        <v>1</v>
      </c>
      <c r="E800" s="127" t="n">
        <v>213.55</v>
      </c>
      <c r="F800" s="128">
        <f>IF(C800&lt;=30,5,IF(C800&lt;=60,4,IF(C800&lt;=120,3,IF(C800&lt;=200,2,1))))</f>
        <v/>
      </c>
      <c r="G800" s="128">
        <f>IF(D800&gt;=20,5,IF(D800&gt;=10,4,IF(D800&gt;=5,3,IF(D800&gt;=2,2,1))))</f>
        <v/>
      </c>
      <c r="H800" s="128">
        <f>IF(E800&gt;=5000,5,IF(E800&gt;=2000,4,IF(E800&gt;=800,3,IF(E800&gt;=300,2,1))))</f>
        <v/>
      </c>
      <c r="I800" s="126">
        <f>TEXT(F800,"0")&amp;TEXT(G800,"0")&amp;TEXT(H800,"0")</f>
        <v/>
      </c>
      <c r="J800" s="126">
        <f>IFERROR(XLOOKUP(I800,'Segment Map'!A:A,'Segment Map'!B:B,"Need Attention"),"Need Attention")</f>
        <v/>
      </c>
      <c r="K800" s="126">
        <f>IF(E800&gt;=5000,"🏆 Platinum",IF(E800&gt;=2000,"🥇 Gold",IF(E800&gt;=800,"🥈 Silver","🥉 Bronze")))</f>
        <v/>
      </c>
      <c r="L800" s="129" t="n">
        <v>40779</v>
      </c>
    </row>
    <row r="801">
      <c r="A801" s="122" t="n">
        <v>13414</v>
      </c>
      <c r="B801" s="122" t="inlineStr">
        <is>
          <t>United Kingdom</t>
        </is>
      </c>
      <c r="C801" s="122" t="n">
        <v>134</v>
      </c>
      <c r="D801" s="122" t="n">
        <v>3</v>
      </c>
      <c r="E801" s="123" t="n">
        <v>1390.5</v>
      </c>
      <c r="F801" s="124">
        <f>IF(C801&lt;=30,5,IF(C801&lt;=60,4,IF(C801&lt;=120,3,IF(C801&lt;=200,2,1))))</f>
        <v/>
      </c>
      <c r="G801" s="124">
        <f>IF(D801&gt;=20,5,IF(D801&gt;=10,4,IF(D801&gt;=5,3,IF(D801&gt;=2,2,1))))</f>
        <v/>
      </c>
      <c r="H801" s="124">
        <f>IF(E801&gt;=5000,5,IF(E801&gt;=2000,4,IF(E801&gt;=800,3,IF(E801&gt;=300,2,1))))</f>
        <v/>
      </c>
      <c r="I801" s="122">
        <f>TEXT(F801,"0")&amp;TEXT(G801,"0")&amp;TEXT(H801,"0")</f>
        <v/>
      </c>
      <c r="J801" s="122">
        <f>IFERROR(XLOOKUP(I801,'Segment Map'!A:A,'Segment Map'!B:B,"Need Attention"),"Need Attention")</f>
        <v/>
      </c>
      <c r="K801" s="122">
        <f>IF(E801&gt;=5000,"🏆 Platinum",IF(E801&gt;=2000,"🥇 Gold",IF(E801&gt;=800,"🥈 Silver","🥉 Bronze")))</f>
        <v/>
      </c>
      <c r="L801" s="125" t="n">
        <v>40753</v>
      </c>
    </row>
    <row r="802">
      <c r="A802" s="126" t="n">
        <v>13416</v>
      </c>
      <c r="B802" s="126" t="inlineStr">
        <is>
          <t>United Kingdom</t>
        </is>
      </c>
      <c r="C802" s="126" t="n">
        <v>44</v>
      </c>
      <c r="D802" s="126" t="n">
        <v>2</v>
      </c>
      <c r="E802" s="127" t="n">
        <v>712.5</v>
      </c>
      <c r="F802" s="128">
        <f>IF(C802&lt;=30,5,IF(C802&lt;=60,4,IF(C802&lt;=120,3,IF(C802&lt;=200,2,1))))</f>
        <v/>
      </c>
      <c r="G802" s="128">
        <f>IF(D802&gt;=20,5,IF(D802&gt;=10,4,IF(D802&gt;=5,3,IF(D802&gt;=2,2,1))))</f>
        <v/>
      </c>
      <c r="H802" s="128">
        <f>IF(E802&gt;=5000,5,IF(E802&gt;=2000,4,IF(E802&gt;=800,3,IF(E802&gt;=300,2,1))))</f>
        <v/>
      </c>
      <c r="I802" s="126">
        <f>TEXT(F802,"0")&amp;TEXT(G802,"0")&amp;TEXT(H802,"0")</f>
        <v/>
      </c>
      <c r="J802" s="126">
        <f>IFERROR(XLOOKUP(I802,'Segment Map'!A:A,'Segment Map'!B:B,"Need Attention"),"Need Attention")</f>
        <v/>
      </c>
      <c r="K802" s="126">
        <f>IF(E802&gt;=5000,"🏆 Platinum",IF(E802&gt;=2000,"🥇 Gold",IF(E802&gt;=800,"🥈 Silver","🥉 Bronze")))</f>
        <v/>
      </c>
      <c r="L802" s="129" t="n">
        <v>40843</v>
      </c>
    </row>
    <row r="803">
      <c r="A803" s="122" t="n">
        <v>13417</v>
      </c>
      <c r="B803" s="122" t="inlineStr">
        <is>
          <t>United Kingdom</t>
        </is>
      </c>
      <c r="C803" s="122" t="n">
        <v>5</v>
      </c>
      <c r="D803" s="122" t="n">
        <v>2</v>
      </c>
      <c r="E803" s="123" t="n">
        <v>640.83</v>
      </c>
      <c r="F803" s="124">
        <f>IF(C803&lt;=30,5,IF(C803&lt;=60,4,IF(C803&lt;=120,3,IF(C803&lt;=200,2,1))))</f>
        <v/>
      </c>
      <c r="G803" s="124">
        <f>IF(D803&gt;=20,5,IF(D803&gt;=10,4,IF(D803&gt;=5,3,IF(D803&gt;=2,2,1))))</f>
        <v/>
      </c>
      <c r="H803" s="124">
        <f>IF(E803&gt;=5000,5,IF(E803&gt;=2000,4,IF(E803&gt;=800,3,IF(E803&gt;=300,2,1))))</f>
        <v/>
      </c>
      <c r="I803" s="122">
        <f>TEXT(F803,"0")&amp;TEXT(G803,"0")&amp;TEXT(H803,"0")</f>
        <v/>
      </c>
      <c r="J803" s="122">
        <f>IFERROR(XLOOKUP(I803,'Segment Map'!A:A,'Segment Map'!B:B,"Need Attention"),"Need Attention")</f>
        <v/>
      </c>
      <c r="K803" s="122">
        <f>IF(E803&gt;=5000,"🏆 Platinum",IF(E803&gt;=2000,"🥇 Gold",IF(E803&gt;=800,"🥈 Silver","🥉 Bronze")))</f>
        <v/>
      </c>
      <c r="L803" s="125" t="n">
        <v>40882</v>
      </c>
    </row>
    <row r="804">
      <c r="A804" s="126" t="n">
        <v>13418</v>
      </c>
      <c r="B804" s="126" t="inlineStr">
        <is>
          <t>United Kingdom</t>
        </is>
      </c>
      <c r="C804" s="126" t="n">
        <v>12</v>
      </c>
      <c r="D804" s="126" t="n">
        <v>18</v>
      </c>
      <c r="E804" s="127" t="n">
        <v>6127.43</v>
      </c>
      <c r="F804" s="128">
        <f>IF(C804&lt;=30,5,IF(C804&lt;=60,4,IF(C804&lt;=120,3,IF(C804&lt;=200,2,1))))</f>
        <v/>
      </c>
      <c r="G804" s="128">
        <f>IF(D804&gt;=20,5,IF(D804&gt;=10,4,IF(D804&gt;=5,3,IF(D804&gt;=2,2,1))))</f>
        <v/>
      </c>
      <c r="H804" s="128">
        <f>IF(E804&gt;=5000,5,IF(E804&gt;=2000,4,IF(E804&gt;=800,3,IF(E804&gt;=300,2,1))))</f>
        <v/>
      </c>
      <c r="I804" s="126">
        <f>TEXT(F804,"0")&amp;TEXT(G804,"0")&amp;TEXT(H804,"0")</f>
        <v/>
      </c>
      <c r="J804" s="126">
        <f>IFERROR(XLOOKUP(I804,'Segment Map'!A:A,'Segment Map'!B:B,"Need Attention"),"Need Attention")</f>
        <v/>
      </c>
      <c r="K804" s="126">
        <f>IF(E804&gt;=5000,"🏆 Platinum",IF(E804&gt;=2000,"🥇 Gold",IF(E804&gt;=800,"🥈 Silver","🥉 Bronze")))</f>
        <v/>
      </c>
      <c r="L804" s="129" t="n">
        <v>40875</v>
      </c>
    </row>
    <row r="805">
      <c r="A805" s="122" t="n">
        <v>13419</v>
      </c>
      <c r="B805" s="122" t="inlineStr">
        <is>
          <t>United Kingdom</t>
        </is>
      </c>
      <c r="C805" s="122" t="n">
        <v>64</v>
      </c>
      <c r="D805" s="122" t="n">
        <v>1</v>
      </c>
      <c r="E805" s="123" t="n">
        <v>221.06</v>
      </c>
      <c r="F805" s="124">
        <f>IF(C805&lt;=30,5,IF(C805&lt;=60,4,IF(C805&lt;=120,3,IF(C805&lt;=200,2,1))))</f>
        <v/>
      </c>
      <c r="G805" s="124">
        <f>IF(D805&gt;=20,5,IF(D805&gt;=10,4,IF(D805&gt;=5,3,IF(D805&gt;=2,2,1))))</f>
        <v/>
      </c>
      <c r="H805" s="124">
        <f>IF(E805&gt;=5000,5,IF(E805&gt;=2000,4,IF(E805&gt;=800,3,IF(E805&gt;=300,2,1))))</f>
        <v/>
      </c>
      <c r="I805" s="122">
        <f>TEXT(F805,"0")&amp;TEXT(G805,"0")&amp;TEXT(H805,"0")</f>
        <v/>
      </c>
      <c r="J805" s="122">
        <f>IFERROR(XLOOKUP(I805,'Segment Map'!A:A,'Segment Map'!B:B,"Need Attention"),"Need Attention")</f>
        <v/>
      </c>
      <c r="K805" s="122">
        <f>IF(E805&gt;=5000,"🏆 Platinum",IF(E805&gt;=2000,"🥇 Gold",IF(E805&gt;=800,"🥈 Silver","🥉 Bronze")))</f>
        <v/>
      </c>
      <c r="L805" s="125" t="n">
        <v>40823</v>
      </c>
    </row>
    <row r="806">
      <c r="A806" s="126" t="n">
        <v>13420</v>
      </c>
      <c r="B806" s="126" t="inlineStr">
        <is>
          <t>United Kingdom</t>
        </is>
      </c>
      <c r="C806" s="126" t="n">
        <v>150</v>
      </c>
      <c r="D806" s="126" t="n">
        <v>2</v>
      </c>
      <c r="E806" s="127" t="n">
        <v>159.85</v>
      </c>
      <c r="F806" s="128">
        <f>IF(C806&lt;=30,5,IF(C806&lt;=60,4,IF(C806&lt;=120,3,IF(C806&lt;=200,2,1))))</f>
        <v/>
      </c>
      <c r="G806" s="128">
        <f>IF(D806&gt;=20,5,IF(D806&gt;=10,4,IF(D806&gt;=5,3,IF(D806&gt;=2,2,1))))</f>
        <v/>
      </c>
      <c r="H806" s="128">
        <f>IF(E806&gt;=5000,5,IF(E806&gt;=2000,4,IF(E806&gt;=800,3,IF(E806&gt;=300,2,1))))</f>
        <v/>
      </c>
      <c r="I806" s="126">
        <f>TEXT(F806,"0")&amp;TEXT(G806,"0")&amp;TEXT(H806,"0")</f>
        <v/>
      </c>
      <c r="J806" s="126">
        <f>IFERROR(XLOOKUP(I806,'Segment Map'!A:A,'Segment Map'!B:B,"Need Attention"),"Need Attention")</f>
        <v/>
      </c>
      <c r="K806" s="126">
        <f>IF(E806&gt;=5000,"🏆 Platinum",IF(E806&gt;=2000,"🥇 Gold",IF(E806&gt;=800,"🥈 Silver","🥉 Bronze")))</f>
        <v/>
      </c>
      <c r="L806" s="129" t="n">
        <v>40737</v>
      </c>
    </row>
    <row r="807">
      <c r="A807" s="122" t="n">
        <v>13421</v>
      </c>
      <c r="B807" s="122" t="inlineStr">
        <is>
          <t>United Kingdom</t>
        </is>
      </c>
      <c r="C807" s="122" t="n">
        <v>41</v>
      </c>
      <c r="D807" s="122" t="n">
        <v>2</v>
      </c>
      <c r="E807" s="123" t="n">
        <v>1851.08</v>
      </c>
      <c r="F807" s="124">
        <f>IF(C807&lt;=30,5,IF(C807&lt;=60,4,IF(C807&lt;=120,3,IF(C807&lt;=200,2,1))))</f>
        <v/>
      </c>
      <c r="G807" s="124">
        <f>IF(D807&gt;=20,5,IF(D807&gt;=10,4,IF(D807&gt;=5,3,IF(D807&gt;=2,2,1))))</f>
        <v/>
      </c>
      <c r="H807" s="124">
        <f>IF(E807&gt;=5000,5,IF(E807&gt;=2000,4,IF(E807&gt;=800,3,IF(E807&gt;=300,2,1))))</f>
        <v/>
      </c>
      <c r="I807" s="122">
        <f>TEXT(F807,"0")&amp;TEXT(G807,"0")&amp;TEXT(H807,"0")</f>
        <v/>
      </c>
      <c r="J807" s="122">
        <f>IFERROR(XLOOKUP(I807,'Segment Map'!A:A,'Segment Map'!B:B,"Need Attention"),"Need Attention")</f>
        <v/>
      </c>
      <c r="K807" s="122">
        <f>IF(E807&gt;=5000,"🏆 Platinum",IF(E807&gt;=2000,"🥇 Gold",IF(E807&gt;=800,"🥈 Silver","🥉 Bronze")))</f>
        <v/>
      </c>
      <c r="L807" s="125" t="n">
        <v>40846</v>
      </c>
    </row>
    <row r="808">
      <c r="A808" s="126" t="n">
        <v>13422</v>
      </c>
      <c r="B808" s="126" t="inlineStr">
        <is>
          <t>United Kingdom</t>
        </is>
      </c>
      <c r="C808" s="126" t="n">
        <v>65</v>
      </c>
      <c r="D808" s="126" t="n">
        <v>1</v>
      </c>
      <c r="E808" s="127" t="n">
        <v>2626.3</v>
      </c>
      <c r="F808" s="128">
        <f>IF(C808&lt;=30,5,IF(C808&lt;=60,4,IF(C808&lt;=120,3,IF(C808&lt;=200,2,1))))</f>
        <v/>
      </c>
      <c r="G808" s="128">
        <f>IF(D808&gt;=20,5,IF(D808&gt;=10,4,IF(D808&gt;=5,3,IF(D808&gt;=2,2,1))))</f>
        <v/>
      </c>
      <c r="H808" s="128">
        <f>IF(E808&gt;=5000,5,IF(E808&gt;=2000,4,IF(E808&gt;=800,3,IF(E808&gt;=300,2,1))))</f>
        <v/>
      </c>
      <c r="I808" s="126">
        <f>TEXT(F808,"0")&amp;TEXT(G808,"0")&amp;TEXT(H808,"0")</f>
        <v/>
      </c>
      <c r="J808" s="126">
        <f>IFERROR(XLOOKUP(I808,'Segment Map'!A:A,'Segment Map'!B:B,"Need Attention"),"Need Attention")</f>
        <v/>
      </c>
      <c r="K808" s="126">
        <f>IF(E808&gt;=5000,"🏆 Platinum",IF(E808&gt;=2000,"🥇 Gold",IF(E808&gt;=800,"🥈 Silver","🥉 Bronze")))</f>
        <v/>
      </c>
      <c r="L808" s="129" t="n">
        <v>40822</v>
      </c>
    </row>
    <row r="809">
      <c r="A809" s="122" t="n">
        <v>13425</v>
      </c>
      <c r="B809" s="122" t="inlineStr">
        <is>
          <t>United Kingdom</t>
        </is>
      </c>
      <c r="C809" s="122" t="n">
        <v>109</v>
      </c>
      <c r="D809" s="122" t="n">
        <v>3</v>
      </c>
      <c r="E809" s="123" t="n">
        <v>1624.21</v>
      </c>
      <c r="F809" s="124">
        <f>IF(C809&lt;=30,5,IF(C809&lt;=60,4,IF(C809&lt;=120,3,IF(C809&lt;=200,2,1))))</f>
        <v/>
      </c>
      <c r="G809" s="124">
        <f>IF(D809&gt;=20,5,IF(D809&gt;=10,4,IF(D809&gt;=5,3,IF(D809&gt;=2,2,1))))</f>
        <v/>
      </c>
      <c r="H809" s="124">
        <f>IF(E809&gt;=5000,5,IF(E809&gt;=2000,4,IF(E809&gt;=800,3,IF(E809&gt;=300,2,1))))</f>
        <v/>
      </c>
      <c r="I809" s="122">
        <f>TEXT(F809,"0")&amp;TEXT(G809,"0")&amp;TEXT(H809,"0")</f>
        <v/>
      </c>
      <c r="J809" s="122">
        <f>IFERROR(XLOOKUP(I809,'Segment Map'!A:A,'Segment Map'!B:B,"Need Attention"),"Need Attention")</f>
        <v/>
      </c>
      <c r="K809" s="122">
        <f>IF(E809&gt;=5000,"🏆 Platinum",IF(E809&gt;=2000,"🥇 Gold",IF(E809&gt;=800,"🥈 Silver","🥉 Bronze")))</f>
        <v/>
      </c>
      <c r="L809" s="125" t="n">
        <v>40778</v>
      </c>
    </row>
    <row r="810">
      <c r="A810" s="126" t="n">
        <v>13426</v>
      </c>
      <c r="B810" s="126" t="inlineStr">
        <is>
          <t>United Kingdom</t>
        </is>
      </c>
      <c r="C810" s="126" t="n">
        <v>1</v>
      </c>
      <c r="D810" s="126" t="n">
        <v>10</v>
      </c>
      <c r="E810" s="127" t="n">
        <v>3641.32</v>
      </c>
      <c r="F810" s="128">
        <f>IF(C810&lt;=30,5,IF(C810&lt;=60,4,IF(C810&lt;=120,3,IF(C810&lt;=200,2,1))))</f>
        <v/>
      </c>
      <c r="G810" s="128">
        <f>IF(D810&gt;=20,5,IF(D810&gt;=10,4,IF(D810&gt;=5,3,IF(D810&gt;=2,2,1))))</f>
        <v/>
      </c>
      <c r="H810" s="128">
        <f>IF(E810&gt;=5000,5,IF(E810&gt;=2000,4,IF(E810&gt;=800,3,IF(E810&gt;=300,2,1))))</f>
        <v/>
      </c>
      <c r="I810" s="126">
        <f>TEXT(F810,"0")&amp;TEXT(G810,"0")&amp;TEXT(H810,"0")</f>
        <v/>
      </c>
      <c r="J810" s="126">
        <f>IFERROR(XLOOKUP(I810,'Segment Map'!A:A,'Segment Map'!B:B,"Need Attention"),"Need Attention")</f>
        <v/>
      </c>
      <c r="K810" s="126">
        <f>IF(E810&gt;=5000,"🏆 Platinum",IF(E810&gt;=2000,"🥇 Gold",IF(E810&gt;=800,"🥈 Silver","🥉 Bronze")))</f>
        <v/>
      </c>
      <c r="L810" s="129" t="n">
        <v>40886</v>
      </c>
    </row>
    <row r="811">
      <c r="A811" s="122" t="n">
        <v>13427</v>
      </c>
      <c r="B811" s="122" t="inlineStr">
        <is>
          <t>United Kingdom</t>
        </is>
      </c>
      <c r="C811" s="122" t="n">
        <v>20</v>
      </c>
      <c r="D811" s="122" t="n">
        <v>3</v>
      </c>
      <c r="E811" s="123" t="n">
        <v>582.6</v>
      </c>
      <c r="F811" s="124">
        <f>IF(C811&lt;=30,5,IF(C811&lt;=60,4,IF(C811&lt;=120,3,IF(C811&lt;=200,2,1))))</f>
        <v/>
      </c>
      <c r="G811" s="124">
        <f>IF(D811&gt;=20,5,IF(D811&gt;=10,4,IF(D811&gt;=5,3,IF(D811&gt;=2,2,1))))</f>
        <v/>
      </c>
      <c r="H811" s="124">
        <f>IF(E811&gt;=5000,5,IF(E811&gt;=2000,4,IF(E811&gt;=800,3,IF(E811&gt;=300,2,1))))</f>
        <v/>
      </c>
      <c r="I811" s="122">
        <f>TEXT(F811,"0")&amp;TEXT(G811,"0")&amp;TEXT(H811,"0")</f>
        <v/>
      </c>
      <c r="J811" s="122">
        <f>IFERROR(XLOOKUP(I811,'Segment Map'!A:A,'Segment Map'!B:B,"Need Attention"),"Need Attention")</f>
        <v/>
      </c>
      <c r="K811" s="122">
        <f>IF(E811&gt;=5000,"🏆 Platinum",IF(E811&gt;=2000,"🥇 Gold",IF(E811&gt;=800,"🥈 Silver","🥉 Bronze")))</f>
        <v/>
      </c>
      <c r="L811" s="125" t="n">
        <v>40867</v>
      </c>
    </row>
    <row r="812">
      <c r="A812" s="126" t="n">
        <v>13428</v>
      </c>
      <c r="B812" s="126" t="inlineStr">
        <is>
          <t>United Kingdom</t>
        </is>
      </c>
      <c r="C812" s="126" t="n">
        <v>11</v>
      </c>
      <c r="D812" s="126" t="n">
        <v>1</v>
      </c>
      <c r="E812" s="127" t="n">
        <v>218.47</v>
      </c>
      <c r="F812" s="128">
        <f>IF(C812&lt;=30,5,IF(C812&lt;=60,4,IF(C812&lt;=120,3,IF(C812&lt;=200,2,1))))</f>
        <v/>
      </c>
      <c r="G812" s="128">
        <f>IF(D812&gt;=20,5,IF(D812&gt;=10,4,IF(D812&gt;=5,3,IF(D812&gt;=2,2,1))))</f>
        <v/>
      </c>
      <c r="H812" s="128">
        <f>IF(E812&gt;=5000,5,IF(E812&gt;=2000,4,IF(E812&gt;=800,3,IF(E812&gt;=300,2,1))))</f>
        <v/>
      </c>
      <c r="I812" s="126">
        <f>TEXT(F812,"0")&amp;TEXT(G812,"0")&amp;TEXT(H812,"0")</f>
        <v/>
      </c>
      <c r="J812" s="126">
        <f>IFERROR(XLOOKUP(I812,'Segment Map'!A:A,'Segment Map'!B:B,"Need Attention"),"Need Attention")</f>
        <v/>
      </c>
      <c r="K812" s="126">
        <f>IF(E812&gt;=5000,"🏆 Platinum",IF(E812&gt;=2000,"🥇 Gold",IF(E812&gt;=800,"🥈 Silver","🥉 Bronze")))</f>
        <v/>
      </c>
      <c r="L812" s="129" t="n">
        <v>40876</v>
      </c>
    </row>
    <row r="813">
      <c r="A813" s="122" t="n">
        <v>13429</v>
      </c>
      <c r="B813" s="122" t="inlineStr">
        <is>
          <t>United Kingdom</t>
        </is>
      </c>
      <c r="C813" s="122" t="n">
        <v>11</v>
      </c>
      <c r="D813" s="122" t="n">
        <v>4</v>
      </c>
      <c r="E813" s="123" t="n">
        <v>1006.8</v>
      </c>
      <c r="F813" s="124">
        <f>IF(C813&lt;=30,5,IF(C813&lt;=60,4,IF(C813&lt;=120,3,IF(C813&lt;=200,2,1))))</f>
        <v/>
      </c>
      <c r="G813" s="124">
        <f>IF(D813&gt;=20,5,IF(D813&gt;=10,4,IF(D813&gt;=5,3,IF(D813&gt;=2,2,1))))</f>
        <v/>
      </c>
      <c r="H813" s="124">
        <f>IF(E813&gt;=5000,5,IF(E813&gt;=2000,4,IF(E813&gt;=800,3,IF(E813&gt;=300,2,1))))</f>
        <v/>
      </c>
      <c r="I813" s="122">
        <f>TEXT(F813,"0")&amp;TEXT(G813,"0")&amp;TEXT(H813,"0")</f>
        <v/>
      </c>
      <c r="J813" s="122">
        <f>IFERROR(XLOOKUP(I813,'Segment Map'!A:A,'Segment Map'!B:B,"Need Attention"),"Need Attention")</f>
        <v/>
      </c>
      <c r="K813" s="122">
        <f>IF(E813&gt;=5000,"🏆 Platinum",IF(E813&gt;=2000,"🥇 Gold",IF(E813&gt;=800,"🥈 Silver","🥉 Bronze")))</f>
        <v/>
      </c>
      <c r="L813" s="125" t="n">
        <v>40876</v>
      </c>
    </row>
    <row r="814">
      <c r="A814" s="126" t="n">
        <v>13430</v>
      </c>
      <c r="B814" s="126" t="inlineStr">
        <is>
          <t>United Kingdom</t>
        </is>
      </c>
      <c r="C814" s="126" t="n">
        <v>19</v>
      </c>
      <c r="D814" s="126" t="n">
        <v>2</v>
      </c>
      <c r="E814" s="127" t="n">
        <v>679.45</v>
      </c>
      <c r="F814" s="128">
        <f>IF(C814&lt;=30,5,IF(C814&lt;=60,4,IF(C814&lt;=120,3,IF(C814&lt;=200,2,1))))</f>
        <v/>
      </c>
      <c r="G814" s="128">
        <f>IF(D814&gt;=20,5,IF(D814&gt;=10,4,IF(D814&gt;=5,3,IF(D814&gt;=2,2,1))))</f>
        <v/>
      </c>
      <c r="H814" s="128">
        <f>IF(E814&gt;=5000,5,IF(E814&gt;=2000,4,IF(E814&gt;=800,3,IF(E814&gt;=300,2,1))))</f>
        <v/>
      </c>
      <c r="I814" s="126">
        <f>TEXT(F814,"0")&amp;TEXT(G814,"0")&amp;TEXT(H814,"0")</f>
        <v/>
      </c>
      <c r="J814" s="126">
        <f>IFERROR(XLOOKUP(I814,'Segment Map'!A:A,'Segment Map'!B:B,"Need Attention"),"Need Attention")</f>
        <v/>
      </c>
      <c r="K814" s="126">
        <f>IF(E814&gt;=5000,"🏆 Platinum",IF(E814&gt;=2000,"🥇 Gold",IF(E814&gt;=800,"🥈 Silver","🥉 Bronze")))</f>
        <v/>
      </c>
      <c r="L814" s="129" t="n">
        <v>40868</v>
      </c>
    </row>
    <row r="815">
      <c r="A815" s="122" t="n">
        <v>13431</v>
      </c>
      <c r="B815" s="122" t="inlineStr">
        <is>
          <t>United Kingdom</t>
        </is>
      </c>
      <c r="C815" s="122" t="n">
        <v>68</v>
      </c>
      <c r="D815" s="122" t="n">
        <v>2</v>
      </c>
      <c r="E815" s="123" t="n">
        <v>1269.1</v>
      </c>
      <c r="F815" s="124">
        <f>IF(C815&lt;=30,5,IF(C815&lt;=60,4,IF(C815&lt;=120,3,IF(C815&lt;=200,2,1))))</f>
        <v/>
      </c>
      <c r="G815" s="124">
        <f>IF(D815&gt;=20,5,IF(D815&gt;=10,4,IF(D815&gt;=5,3,IF(D815&gt;=2,2,1))))</f>
        <v/>
      </c>
      <c r="H815" s="124">
        <f>IF(E815&gt;=5000,5,IF(E815&gt;=2000,4,IF(E815&gt;=800,3,IF(E815&gt;=300,2,1))))</f>
        <v/>
      </c>
      <c r="I815" s="122">
        <f>TEXT(F815,"0")&amp;TEXT(G815,"0")&amp;TEXT(H815,"0")</f>
        <v/>
      </c>
      <c r="J815" s="122">
        <f>IFERROR(XLOOKUP(I815,'Segment Map'!A:A,'Segment Map'!B:B,"Need Attention"),"Need Attention")</f>
        <v/>
      </c>
      <c r="K815" s="122">
        <f>IF(E815&gt;=5000,"🏆 Platinum",IF(E815&gt;=2000,"🥇 Gold",IF(E815&gt;=800,"🥈 Silver","🥉 Bronze")))</f>
        <v/>
      </c>
      <c r="L815" s="125" t="n">
        <v>40819</v>
      </c>
    </row>
    <row r="816">
      <c r="A816" s="126" t="n">
        <v>13434</v>
      </c>
      <c r="B816" s="126" t="inlineStr">
        <is>
          <t>United Kingdom</t>
        </is>
      </c>
      <c r="C816" s="126" t="n">
        <v>75</v>
      </c>
      <c r="D816" s="126" t="n">
        <v>2</v>
      </c>
      <c r="E816" s="127" t="n">
        <v>534.24</v>
      </c>
      <c r="F816" s="128">
        <f>IF(C816&lt;=30,5,IF(C816&lt;=60,4,IF(C816&lt;=120,3,IF(C816&lt;=200,2,1))))</f>
        <v/>
      </c>
      <c r="G816" s="128">
        <f>IF(D816&gt;=20,5,IF(D816&gt;=10,4,IF(D816&gt;=5,3,IF(D816&gt;=2,2,1))))</f>
        <v/>
      </c>
      <c r="H816" s="128">
        <f>IF(E816&gt;=5000,5,IF(E816&gt;=2000,4,IF(E816&gt;=800,3,IF(E816&gt;=300,2,1))))</f>
        <v/>
      </c>
      <c r="I816" s="126">
        <f>TEXT(F816,"0")&amp;TEXT(G816,"0")&amp;TEXT(H816,"0")</f>
        <v/>
      </c>
      <c r="J816" s="126">
        <f>IFERROR(XLOOKUP(I816,'Segment Map'!A:A,'Segment Map'!B:B,"Need Attention"),"Need Attention")</f>
        <v/>
      </c>
      <c r="K816" s="126">
        <f>IF(E816&gt;=5000,"🏆 Platinum",IF(E816&gt;=2000,"🥇 Gold",IF(E816&gt;=800,"🥈 Silver","🥉 Bronze")))</f>
        <v/>
      </c>
      <c r="L816" s="129" t="n">
        <v>40812</v>
      </c>
    </row>
    <row r="817">
      <c r="A817" s="122" t="n">
        <v>13435</v>
      </c>
      <c r="B817" s="122" t="inlineStr">
        <is>
          <t>United Kingdom</t>
        </is>
      </c>
      <c r="C817" s="122" t="n">
        <v>6</v>
      </c>
      <c r="D817" s="122" t="n">
        <v>7</v>
      </c>
      <c r="E817" s="123" t="n">
        <v>3809.89</v>
      </c>
      <c r="F817" s="124">
        <f>IF(C817&lt;=30,5,IF(C817&lt;=60,4,IF(C817&lt;=120,3,IF(C817&lt;=200,2,1))))</f>
        <v/>
      </c>
      <c r="G817" s="124">
        <f>IF(D817&gt;=20,5,IF(D817&gt;=10,4,IF(D817&gt;=5,3,IF(D817&gt;=2,2,1))))</f>
        <v/>
      </c>
      <c r="H817" s="124">
        <f>IF(E817&gt;=5000,5,IF(E817&gt;=2000,4,IF(E817&gt;=800,3,IF(E817&gt;=300,2,1))))</f>
        <v/>
      </c>
      <c r="I817" s="122">
        <f>TEXT(F817,"0")&amp;TEXT(G817,"0")&amp;TEXT(H817,"0")</f>
        <v/>
      </c>
      <c r="J817" s="122">
        <f>IFERROR(XLOOKUP(I817,'Segment Map'!A:A,'Segment Map'!B:B,"Need Attention"),"Need Attention")</f>
        <v/>
      </c>
      <c r="K817" s="122">
        <f>IF(E817&gt;=5000,"🏆 Platinum",IF(E817&gt;=2000,"🥇 Gold",IF(E817&gt;=800,"🥈 Silver","🥉 Bronze")))</f>
        <v/>
      </c>
      <c r="L817" s="125" t="n">
        <v>40881</v>
      </c>
    </row>
    <row r="818">
      <c r="A818" s="126" t="n">
        <v>13436</v>
      </c>
      <c r="B818" s="126" t="inlineStr">
        <is>
          <t>United Kingdom</t>
        </is>
      </c>
      <c r="C818" s="126" t="n">
        <v>2</v>
      </c>
      <c r="D818" s="126" t="n">
        <v>1</v>
      </c>
      <c r="E818" s="127" t="n">
        <v>196.89</v>
      </c>
      <c r="F818" s="128">
        <f>IF(C818&lt;=30,5,IF(C818&lt;=60,4,IF(C818&lt;=120,3,IF(C818&lt;=200,2,1))))</f>
        <v/>
      </c>
      <c r="G818" s="128">
        <f>IF(D818&gt;=20,5,IF(D818&gt;=10,4,IF(D818&gt;=5,3,IF(D818&gt;=2,2,1))))</f>
        <v/>
      </c>
      <c r="H818" s="128">
        <f>IF(E818&gt;=5000,5,IF(E818&gt;=2000,4,IF(E818&gt;=800,3,IF(E818&gt;=300,2,1))))</f>
        <v/>
      </c>
      <c r="I818" s="126">
        <f>TEXT(F818,"0")&amp;TEXT(G818,"0")&amp;TEXT(H818,"0")</f>
        <v/>
      </c>
      <c r="J818" s="126">
        <f>IFERROR(XLOOKUP(I818,'Segment Map'!A:A,'Segment Map'!B:B,"Need Attention"),"Need Attention")</f>
        <v/>
      </c>
      <c r="K818" s="126">
        <f>IF(E818&gt;=5000,"🏆 Platinum",IF(E818&gt;=2000,"🥇 Gold",IF(E818&gt;=800,"🥈 Silver","🥉 Bronze")))</f>
        <v/>
      </c>
      <c r="L818" s="129" t="n">
        <v>40885</v>
      </c>
    </row>
    <row r="819">
      <c r="A819" s="122" t="n">
        <v>13437</v>
      </c>
      <c r="B819" s="122" t="inlineStr">
        <is>
          <t>United Kingdom</t>
        </is>
      </c>
      <c r="C819" s="122" t="n">
        <v>15</v>
      </c>
      <c r="D819" s="122" t="n">
        <v>7</v>
      </c>
      <c r="E819" s="123" t="n">
        <v>3408.06</v>
      </c>
      <c r="F819" s="124">
        <f>IF(C819&lt;=30,5,IF(C819&lt;=60,4,IF(C819&lt;=120,3,IF(C819&lt;=200,2,1))))</f>
        <v/>
      </c>
      <c r="G819" s="124">
        <f>IF(D819&gt;=20,5,IF(D819&gt;=10,4,IF(D819&gt;=5,3,IF(D819&gt;=2,2,1))))</f>
        <v/>
      </c>
      <c r="H819" s="124">
        <f>IF(E819&gt;=5000,5,IF(E819&gt;=2000,4,IF(E819&gt;=800,3,IF(E819&gt;=300,2,1))))</f>
        <v/>
      </c>
      <c r="I819" s="122">
        <f>TEXT(F819,"0")&amp;TEXT(G819,"0")&amp;TEXT(H819,"0")</f>
        <v/>
      </c>
      <c r="J819" s="122">
        <f>IFERROR(XLOOKUP(I819,'Segment Map'!A:A,'Segment Map'!B:B,"Need Attention"),"Need Attention")</f>
        <v/>
      </c>
      <c r="K819" s="122">
        <f>IF(E819&gt;=5000,"🏆 Platinum",IF(E819&gt;=2000,"🥇 Gold",IF(E819&gt;=800,"🥈 Silver","🥉 Bronze")))</f>
        <v/>
      </c>
      <c r="L819" s="125" t="n">
        <v>40872</v>
      </c>
    </row>
    <row r="820">
      <c r="A820" s="126" t="n">
        <v>13439</v>
      </c>
      <c r="B820" s="126" t="inlineStr">
        <is>
          <t>United Kingdom</t>
        </is>
      </c>
      <c r="C820" s="126" t="n">
        <v>256</v>
      </c>
      <c r="D820" s="126" t="n">
        <v>1</v>
      </c>
      <c r="E820" s="127" t="n">
        <v>283.71</v>
      </c>
      <c r="F820" s="128">
        <f>IF(C820&lt;=30,5,IF(C820&lt;=60,4,IF(C820&lt;=120,3,IF(C820&lt;=200,2,1))))</f>
        <v/>
      </c>
      <c r="G820" s="128">
        <f>IF(D820&gt;=20,5,IF(D820&gt;=10,4,IF(D820&gt;=5,3,IF(D820&gt;=2,2,1))))</f>
        <v/>
      </c>
      <c r="H820" s="128">
        <f>IF(E820&gt;=5000,5,IF(E820&gt;=2000,4,IF(E820&gt;=800,3,IF(E820&gt;=300,2,1))))</f>
        <v/>
      </c>
      <c r="I820" s="126">
        <f>TEXT(F820,"0")&amp;TEXT(G820,"0")&amp;TEXT(H820,"0")</f>
        <v/>
      </c>
      <c r="J820" s="126">
        <f>IFERROR(XLOOKUP(I820,'Segment Map'!A:A,'Segment Map'!B:B,"Need Attention"),"Need Attention")</f>
        <v/>
      </c>
      <c r="K820" s="126">
        <f>IF(E820&gt;=5000,"🏆 Platinum",IF(E820&gt;=2000,"🥇 Gold",IF(E820&gt;=800,"🥈 Silver","🥉 Bronze")))</f>
        <v/>
      </c>
      <c r="L820" s="129" t="n">
        <v>40631</v>
      </c>
    </row>
    <row r="821">
      <c r="A821" s="122" t="n">
        <v>13441</v>
      </c>
      <c r="B821" s="122" t="inlineStr">
        <is>
          <t>United Kingdom</t>
        </is>
      </c>
      <c r="C821" s="122" t="n">
        <v>92</v>
      </c>
      <c r="D821" s="122" t="n">
        <v>1</v>
      </c>
      <c r="E821" s="123" t="n">
        <v>296.64</v>
      </c>
      <c r="F821" s="124">
        <f>IF(C821&lt;=30,5,IF(C821&lt;=60,4,IF(C821&lt;=120,3,IF(C821&lt;=200,2,1))))</f>
        <v/>
      </c>
      <c r="G821" s="124">
        <f>IF(D821&gt;=20,5,IF(D821&gt;=10,4,IF(D821&gt;=5,3,IF(D821&gt;=2,2,1))))</f>
        <v/>
      </c>
      <c r="H821" s="124">
        <f>IF(E821&gt;=5000,5,IF(E821&gt;=2000,4,IF(E821&gt;=800,3,IF(E821&gt;=300,2,1))))</f>
        <v/>
      </c>
      <c r="I821" s="122">
        <f>TEXT(F821,"0")&amp;TEXT(G821,"0")&amp;TEXT(H821,"0")</f>
        <v/>
      </c>
      <c r="J821" s="122">
        <f>IFERROR(XLOOKUP(I821,'Segment Map'!A:A,'Segment Map'!B:B,"Need Attention"),"Need Attention")</f>
        <v/>
      </c>
      <c r="K821" s="122">
        <f>IF(E821&gt;=5000,"🏆 Platinum",IF(E821&gt;=2000,"🥇 Gold",IF(E821&gt;=800,"🥈 Silver","🥉 Bronze")))</f>
        <v/>
      </c>
      <c r="L821" s="125" t="n">
        <v>40795</v>
      </c>
    </row>
    <row r="822">
      <c r="A822" s="126" t="n">
        <v>13447</v>
      </c>
      <c r="B822" s="126" t="inlineStr">
        <is>
          <t>United Kingdom</t>
        </is>
      </c>
      <c r="C822" s="126" t="n">
        <v>24</v>
      </c>
      <c r="D822" s="126" t="n">
        <v>3</v>
      </c>
      <c r="E822" s="127" t="n">
        <v>1129.14</v>
      </c>
      <c r="F822" s="128">
        <f>IF(C822&lt;=30,5,IF(C822&lt;=60,4,IF(C822&lt;=120,3,IF(C822&lt;=200,2,1))))</f>
        <v/>
      </c>
      <c r="G822" s="128">
        <f>IF(D822&gt;=20,5,IF(D822&gt;=10,4,IF(D822&gt;=5,3,IF(D822&gt;=2,2,1))))</f>
        <v/>
      </c>
      <c r="H822" s="128">
        <f>IF(E822&gt;=5000,5,IF(E822&gt;=2000,4,IF(E822&gt;=800,3,IF(E822&gt;=300,2,1))))</f>
        <v/>
      </c>
      <c r="I822" s="126">
        <f>TEXT(F822,"0")&amp;TEXT(G822,"0")&amp;TEXT(H822,"0")</f>
        <v/>
      </c>
      <c r="J822" s="126">
        <f>IFERROR(XLOOKUP(I822,'Segment Map'!A:A,'Segment Map'!B:B,"Need Attention"),"Need Attention")</f>
        <v/>
      </c>
      <c r="K822" s="126">
        <f>IF(E822&gt;=5000,"🏆 Platinum",IF(E822&gt;=2000,"🥇 Gold",IF(E822&gt;=800,"🥈 Silver","🥉 Bronze")))</f>
        <v/>
      </c>
      <c r="L822" s="129" t="n">
        <v>40863</v>
      </c>
    </row>
    <row r="823">
      <c r="A823" s="122" t="n">
        <v>13448</v>
      </c>
      <c r="B823" s="122" t="inlineStr">
        <is>
          <t>United Kingdom</t>
        </is>
      </c>
      <c r="C823" s="122" t="n">
        <v>17</v>
      </c>
      <c r="D823" s="122" t="n">
        <v>6</v>
      </c>
      <c r="E823" s="123" t="n">
        <v>3539.37</v>
      </c>
      <c r="F823" s="124">
        <f>IF(C823&lt;=30,5,IF(C823&lt;=60,4,IF(C823&lt;=120,3,IF(C823&lt;=200,2,1))))</f>
        <v/>
      </c>
      <c r="G823" s="124">
        <f>IF(D823&gt;=20,5,IF(D823&gt;=10,4,IF(D823&gt;=5,3,IF(D823&gt;=2,2,1))))</f>
        <v/>
      </c>
      <c r="H823" s="124">
        <f>IF(E823&gt;=5000,5,IF(E823&gt;=2000,4,IF(E823&gt;=800,3,IF(E823&gt;=300,2,1))))</f>
        <v/>
      </c>
      <c r="I823" s="122">
        <f>TEXT(F823,"0")&amp;TEXT(G823,"0")&amp;TEXT(H823,"0")</f>
        <v/>
      </c>
      <c r="J823" s="122">
        <f>IFERROR(XLOOKUP(I823,'Segment Map'!A:A,'Segment Map'!B:B,"Need Attention"),"Need Attention")</f>
        <v/>
      </c>
      <c r="K823" s="122">
        <f>IF(E823&gt;=5000,"🏆 Platinum",IF(E823&gt;=2000,"🥇 Gold",IF(E823&gt;=800,"🥈 Silver","🥉 Bronze")))</f>
        <v/>
      </c>
      <c r="L823" s="125" t="n">
        <v>40870</v>
      </c>
    </row>
    <row r="824">
      <c r="A824" s="126" t="n">
        <v>13449</v>
      </c>
      <c r="B824" s="126" t="inlineStr">
        <is>
          <t>United Kingdom</t>
        </is>
      </c>
      <c r="C824" s="126" t="n">
        <v>24</v>
      </c>
      <c r="D824" s="126" t="n">
        <v>1</v>
      </c>
      <c r="E824" s="127" t="n">
        <v>291.88</v>
      </c>
      <c r="F824" s="128">
        <f>IF(C824&lt;=30,5,IF(C824&lt;=60,4,IF(C824&lt;=120,3,IF(C824&lt;=200,2,1))))</f>
        <v/>
      </c>
      <c r="G824" s="128">
        <f>IF(D824&gt;=20,5,IF(D824&gt;=10,4,IF(D824&gt;=5,3,IF(D824&gt;=2,2,1))))</f>
        <v/>
      </c>
      <c r="H824" s="128">
        <f>IF(E824&gt;=5000,5,IF(E824&gt;=2000,4,IF(E824&gt;=800,3,IF(E824&gt;=300,2,1))))</f>
        <v/>
      </c>
      <c r="I824" s="126">
        <f>TEXT(F824,"0")&amp;TEXT(G824,"0")&amp;TEXT(H824,"0")</f>
        <v/>
      </c>
      <c r="J824" s="126">
        <f>IFERROR(XLOOKUP(I824,'Segment Map'!A:A,'Segment Map'!B:B,"Need Attention"),"Need Attention")</f>
        <v/>
      </c>
      <c r="K824" s="126">
        <f>IF(E824&gt;=5000,"🏆 Platinum",IF(E824&gt;=2000,"🥇 Gold",IF(E824&gt;=800,"🥈 Silver","🥉 Bronze")))</f>
        <v/>
      </c>
      <c r="L824" s="129" t="n">
        <v>40863</v>
      </c>
    </row>
    <row r="825">
      <c r="A825" s="122" t="n">
        <v>13450</v>
      </c>
      <c r="B825" s="122" t="inlineStr">
        <is>
          <t>United Kingdom</t>
        </is>
      </c>
      <c r="C825" s="122" t="n">
        <v>27</v>
      </c>
      <c r="D825" s="122" t="n">
        <v>6</v>
      </c>
      <c r="E825" s="123" t="n">
        <v>2043.72</v>
      </c>
      <c r="F825" s="124">
        <f>IF(C825&lt;=30,5,IF(C825&lt;=60,4,IF(C825&lt;=120,3,IF(C825&lt;=200,2,1))))</f>
        <v/>
      </c>
      <c r="G825" s="124">
        <f>IF(D825&gt;=20,5,IF(D825&gt;=10,4,IF(D825&gt;=5,3,IF(D825&gt;=2,2,1))))</f>
        <v/>
      </c>
      <c r="H825" s="124">
        <f>IF(E825&gt;=5000,5,IF(E825&gt;=2000,4,IF(E825&gt;=800,3,IF(E825&gt;=300,2,1))))</f>
        <v/>
      </c>
      <c r="I825" s="122">
        <f>TEXT(F825,"0")&amp;TEXT(G825,"0")&amp;TEXT(H825,"0")</f>
        <v/>
      </c>
      <c r="J825" s="122">
        <f>IFERROR(XLOOKUP(I825,'Segment Map'!A:A,'Segment Map'!B:B,"Need Attention"),"Need Attention")</f>
        <v/>
      </c>
      <c r="K825" s="122">
        <f>IF(E825&gt;=5000,"🏆 Platinum",IF(E825&gt;=2000,"🥇 Gold",IF(E825&gt;=800,"🥈 Silver","🥉 Bronze")))</f>
        <v/>
      </c>
      <c r="L825" s="125" t="n">
        <v>40860</v>
      </c>
    </row>
    <row r="826">
      <c r="A826" s="126" t="n">
        <v>13451</v>
      </c>
      <c r="B826" s="126" t="inlineStr">
        <is>
          <t>United Kingdom</t>
        </is>
      </c>
      <c r="C826" s="126" t="n">
        <v>27</v>
      </c>
      <c r="D826" s="126" t="n">
        <v>5</v>
      </c>
      <c r="E826" s="127" t="n">
        <v>2976.15</v>
      </c>
      <c r="F826" s="128">
        <f>IF(C826&lt;=30,5,IF(C826&lt;=60,4,IF(C826&lt;=120,3,IF(C826&lt;=200,2,1))))</f>
        <v/>
      </c>
      <c r="G826" s="128">
        <f>IF(D826&gt;=20,5,IF(D826&gt;=10,4,IF(D826&gt;=5,3,IF(D826&gt;=2,2,1))))</f>
        <v/>
      </c>
      <c r="H826" s="128">
        <f>IF(E826&gt;=5000,5,IF(E826&gt;=2000,4,IF(E826&gt;=800,3,IF(E826&gt;=300,2,1))))</f>
        <v/>
      </c>
      <c r="I826" s="126">
        <f>TEXT(F826,"0")&amp;TEXT(G826,"0")&amp;TEXT(H826,"0")</f>
        <v/>
      </c>
      <c r="J826" s="126">
        <f>IFERROR(XLOOKUP(I826,'Segment Map'!A:A,'Segment Map'!B:B,"Need Attention"),"Need Attention")</f>
        <v/>
      </c>
      <c r="K826" s="126">
        <f>IF(E826&gt;=5000,"🏆 Platinum",IF(E826&gt;=2000,"🥇 Gold",IF(E826&gt;=800,"🥈 Silver","🥉 Bronze")))</f>
        <v/>
      </c>
      <c r="L826" s="129" t="n">
        <v>40860</v>
      </c>
    </row>
    <row r="827">
      <c r="A827" s="122" t="n">
        <v>13452</v>
      </c>
      <c r="B827" s="122" t="inlineStr">
        <is>
          <t>United Kingdom</t>
        </is>
      </c>
      <c r="C827" s="122" t="n">
        <v>260</v>
      </c>
      <c r="D827" s="122" t="n">
        <v>2</v>
      </c>
      <c r="E827" s="123" t="n">
        <v>590</v>
      </c>
      <c r="F827" s="124">
        <f>IF(C827&lt;=30,5,IF(C827&lt;=60,4,IF(C827&lt;=120,3,IF(C827&lt;=200,2,1))))</f>
        <v/>
      </c>
      <c r="G827" s="124">
        <f>IF(D827&gt;=20,5,IF(D827&gt;=10,4,IF(D827&gt;=5,3,IF(D827&gt;=2,2,1))))</f>
        <v/>
      </c>
      <c r="H827" s="124">
        <f>IF(E827&gt;=5000,5,IF(E827&gt;=2000,4,IF(E827&gt;=800,3,IF(E827&gt;=300,2,1))))</f>
        <v/>
      </c>
      <c r="I827" s="122">
        <f>TEXT(F827,"0")&amp;TEXT(G827,"0")&amp;TEXT(H827,"0")</f>
        <v/>
      </c>
      <c r="J827" s="122">
        <f>IFERROR(XLOOKUP(I827,'Segment Map'!A:A,'Segment Map'!B:B,"Need Attention"),"Need Attention")</f>
        <v/>
      </c>
      <c r="K827" s="122">
        <f>IF(E827&gt;=5000,"🏆 Platinum",IF(E827&gt;=2000,"🥇 Gold",IF(E827&gt;=800,"🥈 Silver","🥉 Bronze")))</f>
        <v/>
      </c>
      <c r="L827" s="125" t="n">
        <v>40627</v>
      </c>
    </row>
    <row r="828">
      <c r="A828" s="126" t="n">
        <v>13453</v>
      </c>
      <c r="B828" s="126" t="inlineStr">
        <is>
          <t>United Kingdom</t>
        </is>
      </c>
      <c r="C828" s="126" t="n">
        <v>166</v>
      </c>
      <c r="D828" s="126" t="n">
        <v>2</v>
      </c>
      <c r="E828" s="127" t="n">
        <v>356.98</v>
      </c>
      <c r="F828" s="128">
        <f>IF(C828&lt;=30,5,IF(C828&lt;=60,4,IF(C828&lt;=120,3,IF(C828&lt;=200,2,1))))</f>
        <v/>
      </c>
      <c r="G828" s="128">
        <f>IF(D828&gt;=20,5,IF(D828&gt;=10,4,IF(D828&gt;=5,3,IF(D828&gt;=2,2,1))))</f>
        <v/>
      </c>
      <c r="H828" s="128">
        <f>IF(E828&gt;=5000,5,IF(E828&gt;=2000,4,IF(E828&gt;=800,3,IF(E828&gt;=300,2,1))))</f>
        <v/>
      </c>
      <c r="I828" s="126">
        <f>TEXT(F828,"0")&amp;TEXT(G828,"0")&amp;TEXT(H828,"0")</f>
        <v/>
      </c>
      <c r="J828" s="126">
        <f>IFERROR(XLOOKUP(I828,'Segment Map'!A:A,'Segment Map'!B:B,"Need Attention"),"Need Attention")</f>
        <v/>
      </c>
      <c r="K828" s="126">
        <f>IF(E828&gt;=5000,"🏆 Platinum",IF(E828&gt;=2000,"🥇 Gold",IF(E828&gt;=800,"🥈 Silver","🥉 Bronze")))</f>
        <v/>
      </c>
      <c r="L828" s="129" t="n">
        <v>40721</v>
      </c>
    </row>
    <row r="829">
      <c r="A829" s="122" t="n">
        <v>13455</v>
      </c>
      <c r="B829" s="122" t="inlineStr">
        <is>
          <t>United Kingdom</t>
        </is>
      </c>
      <c r="C829" s="122" t="n">
        <v>25</v>
      </c>
      <c r="D829" s="122" t="n">
        <v>2</v>
      </c>
      <c r="E829" s="123" t="n">
        <v>1058.34</v>
      </c>
      <c r="F829" s="124">
        <f>IF(C829&lt;=30,5,IF(C829&lt;=60,4,IF(C829&lt;=120,3,IF(C829&lt;=200,2,1))))</f>
        <v/>
      </c>
      <c r="G829" s="124">
        <f>IF(D829&gt;=20,5,IF(D829&gt;=10,4,IF(D829&gt;=5,3,IF(D829&gt;=2,2,1))))</f>
        <v/>
      </c>
      <c r="H829" s="124">
        <f>IF(E829&gt;=5000,5,IF(E829&gt;=2000,4,IF(E829&gt;=800,3,IF(E829&gt;=300,2,1))))</f>
        <v/>
      </c>
      <c r="I829" s="122">
        <f>TEXT(F829,"0")&amp;TEXT(G829,"0")&amp;TEXT(H829,"0")</f>
        <v/>
      </c>
      <c r="J829" s="122">
        <f>IFERROR(XLOOKUP(I829,'Segment Map'!A:A,'Segment Map'!B:B,"Need Attention"),"Need Attention")</f>
        <v/>
      </c>
      <c r="K829" s="122">
        <f>IF(E829&gt;=5000,"🏆 Platinum",IF(E829&gt;=2000,"🥇 Gold",IF(E829&gt;=800,"🥈 Silver","🥉 Bronze")))</f>
        <v/>
      </c>
      <c r="L829" s="125" t="n">
        <v>40862</v>
      </c>
    </row>
    <row r="830">
      <c r="A830" s="126" t="n">
        <v>13456</v>
      </c>
      <c r="B830" s="126" t="inlineStr">
        <is>
          <t>United Kingdom</t>
        </is>
      </c>
      <c r="C830" s="126" t="n">
        <v>18</v>
      </c>
      <c r="D830" s="126" t="n">
        <v>6</v>
      </c>
      <c r="E830" s="127" t="n">
        <v>1766.72</v>
      </c>
      <c r="F830" s="128">
        <f>IF(C830&lt;=30,5,IF(C830&lt;=60,4,IF(C830&lt;=120,3,IF(C830&lt;=200,2,1))))</f>
        <v/>
      </c>
      <c r="G830" s="128">
        <f>IF(D830&gt;=20,5,IF(D830&gt;=10,4,IF(D830&gt;=5,3,IF(D830&gt;=2,2,1))))</f>
        <v/>
      </c>
      <c r="H830" s="128">
        <f>IF(E830&gt;=5000,5,IF(E830&gt;=2000,4,IF(E830&gt;=800,3,IF(E830&gt;=300,2,1))))</f>
        <v/>
      </c>
      <c r="I830" s="126">
        <f>TEXT(F830,"0")&amp;TEXT(G830,"0")&amp;TEXT(H830,"0")</f>
        <v/>
      </c>
      <c r="J830" s="126">
        <f>IFERROR(XLOOKUP(I830,'Segment Map'!A:A,'Segment Map'!B:B,"Need Attention"),"Need Attention")</f>
        <v/>
      </c>
      <c r="K830" s="126">
        <f>IF(E830&gt;=5000,"🏆 Platinum",IF(E830&gt;=2000,"🥇 Gold",IF(E830&gt;=800,"🥈 Silver","🥉 Bronze")))</f>
        <v/>
      </c>
      <c r="L830" s="129" t="n">
        <v>40869</v>
      </c>
    </row>
    <row r="831">
      <c r="A831" s="122" t="n">
        <v>13458</v>
      </c>
      <c r="B831" s="122" t="inlineStr">
        <is>
          <t>United Kingdom</t>
        </is>
      </c>
      <c r="C831" s="122" t="n">
        <v>8</v>
      </c>
      <c r="D831" s="122" t="n">
        <v>14</v>
      </c>
      <c r="E831" s="123" t="n">
        <v>9646.57</v>
      </c>
      <c r="F831" s="124">
        <f>IF(C831&lt;=30,5,IF(C831&lt;=60,4,IF(C831&lt;=120,3,IF(C831&lt;=200,2,1))))</f>
        <v/>
      </c>
      <c r="G831" s="124">
        <f>IF(D831&gt;=20,5,IF(D831&gt;=10,4,IF(D831&gt;=5,3,IF(D831&gt;=2,2,1))))</f>
        <v/>
      </c>
      <c r="H831" s="124">
        <f>IF(E831&gt;=5000,5,IF(E831&gt;=2000,4,IF(E831&gt;=800,3,IF(E831&gt;=300,2,1))))</f>
        <v/>
      </c>
      <c r="I831" s="122">
        <f>TEXT(F831,"0")&amp;TEXT(G831,"0")&amp;TEXT(H831,"0")</f>
        <v/>
      </c>
      <c r="J831" s="122">
        <f>IFERROR(XLOOKUP(I831,'Segment Map'!A:A,'Segment Map'!B:B,"Need Attention"),"Need Attention")</f>
        <v/>
      </c>
      <c r="K831" s="122">
        <f>IF(E831&gt;=5000,"🏆 Platinum",IF(E831&gt;=2000,"🥇 Gold",IF(E831&gt;=800,"🥈 Silver","🥉 Bronze")))</f>
        <v/>
      </c>
      <c r="L831" s="125" t="n">
        <v>40879</v>
      </c>
    </row>
    <row r="832">
      <c r="A832" s="126" t="n">
        <v>13460</v>
      </c>
      <c r="B832" s="126" t="inlineStr">
        <is>
          <t>United Kingdom</t>
        </is>
      </c>
      <c r="C832" s="126" t="n">
        <v>30</v>
      </c>
      <c r="D832" s="126" t="n">
        <v>2</v>
      </c>
      <c r="E832" s="127" t="n">
        <v>183.44</v>
      </c>
      <c r="F832" s="128">
        <f>IF(C832&lt;=30,5,IF(C832&lt;=60,4,IF(C832&lt;=120,3,IF(C832&lt;=200,2,1))))</f>
        <v/>
      </c>
      <c r="G832" s="128">
        <f>IF(D832&gt;=20,5,IF(D832&gt;=10,4,IF(D832&gt;=5,3,IF(D832&gt;=2,2,1))))</f>
        <v/>
      </c>
      <c r="H832" s="128">
        <f>IF(E832&gt;=5000,5,IF(E832&gt;=2000,4,IF(E832&gt;=800,3,IF(E832&gt;=300,2,1))))</f>
        <v/>
      </c>
      <c r="I832" s="126">
        <f>TEXT(F832,"0")&amp;TEXT(G832,"0")&amp;TEXT(H832,"0")</f>
        <v/>
      </c>
      <c r="J832" s="126">
        <f>IFERROR(XLOOKUP(I832,'Segment Map'!A:A,'Segment Map'!B:B,"Need Attention"),"Need Attention")</f>
        <v/>
      </c>
      <c r="K832" s="126">
        <f>IF(E832&gt;=5000,"🏆 Platinum",IF(E832&gt;=2000,"🥇 Gold",IF(E832&gt;=800,"🥈 Silver","🥉 Bronze")))</f>
        <v/>
      </c>
      <c r="L832" s="129" t="n">
        <v>40857</v>
      </c>
    </row>
    <row r="833">
      <c r="A833" s="122" t="n">
        <v>13461</v>
      </c>
      <c r="B833" s="122" t="inlineStr">
        <is>
          <t>United Kingdom</t>
        </is>
      </c>
      <c r="C833" s="122" t="n">
        <v>39</v>
      </c>
      <c r="D833" s="122" t="n">
        <v>3</v>
      </c>
      <c r="E833" s="123" t="n">
        <v>1445</v>
      </c>
      <c r="F833" s="124">
        <f>IF(C833&lt;=30,5,IF(C833&lt;=60,4,IF(C833&lt;=120,3,IF(C833&lt;=200,2,1))))</f>
        <v/>
      </c>
      <c r="G833" s="124">
        <f>IF(D833&gt;=20,5,IF(D833&gt;=10,4,IF(D833&gt;=5,3,IF(D833&gt;=2,2,1))))</f>
        <v/>
      </c>
      <c r="H833" s="124">
        <f>IF(E833&gt;=5000,5,IF(E833&gt;=2000,4,IF(E833&gt;=800,3,IF(E833&gt;=300,2,1))))</f>
        <v/>
      </c>
      <c r="I833" s="122">
        <f>TEXT(F833,"0")&amp;TEXT(G833,"0")&amp;TEXT(H833,"0")</f>
        <v/>
      </c>
      <c r="J833" s="122">
        <f>IFERROR(XLOOKUP(I833,'Segment Map'!A:A,'Segment Map'!B:B,"Need Attention"),"Need Attention")</f>
        <v/>
      </c>
      <c r="K833" s="122">
        <f>IF(E833&gt;=5000,"🏆 Platinum",IF(E833&gt;=2000,"🥇 Gold",IF(E833&gt;=800,"🥈 Silver","🥉 Bronze")))</f>
        <v/>
      </c>
      <c r="L833" s="125" t="n">
        <v>40848</v>
      </c>
    </row>
    <row r="834">
      <c r="A834" s="126" t="n">
        <v>13462</v>
      </c>
      <c r="B834" s="126" t="inlineStr">
        <is>
          <t>United Kingdom</t>
        </is>
      </c>
      <c r="C834" s="126" t="n">
        <v>253</v>
      </c>
      <c r="D834" s="126" t="n">
        <v>1</v>
      </c>
      <c r="E834" s="127" t="n">
        <v>151.5</v>
      </c>
      <c r="F834" s="128">
        <f>IF(C834&lt;=30,5,IF(C834&lt;=60,4,IF(C834&lt;=120,3,IF(C834&lt;=200,2,1))))</f>
        <v/>
      </c>
      <c r="G834" s="128">
        <f>IF(D834&gt;=20,5,IF(D834&gt;=10,4,IF(D834&gt;=5,3,IF(D834&gt;=2,2,1))))</f>
        <v/>
      </c>
      <c r="H834" s="128">
        <f>IF(E834&gt;=5000,5,IF(E834&gt;=2000,4,IF(E834&gt;=800,3,IF(E834&gt;=300,2,1))))</f>
        <v/>
      </c>
      <c r="I834" s="126">
        <f>TEXT(F834,"0")&amp;TEXT(G834,"0")&amp;TEXT(H834,"0")</f>
        <v/>
      </c>
      <c r="J834" s="126">
        <f>IFERROR(XLOOKUP(I834,'Segment Map'!A:A,'Segment Map'!B:B,"Need Attention"),"Need Attention")</f>
        <v/>
      </c>
      <c r="K834" s="126">
        <f>IF(E834&gt;=5000,"🏆 Platinum",IF(E834&gt;=2000,"🥇 Gold",IF(E834&gt;=800,"🥈 Silver","🥉 Bronze")))</f>
        <v/>
      </c>
      <c r="L834" s="129" t="n">
        <v>40634</v>
      </c>
    </row>
    <row r="835">
      <c r="A835" s="122" t="n">
        <v>13464</v>
      </c>
      <c r="B835" s="122" t="inlineStr">
        <is>
          <t>United Kingdom</t>
        </is>
      </c>
      <c r="C835" s="122" t="n">
        <v>59</v>
      </c>
      <c r="D835" s="122" t="n">
        <v>1</v>
      </c>
      <c r="E835" s="123" t="n">
        <v>674.6799999999999</v>
      </c>
      <c r="F835" s="124">
        <f>IF(C835&lt;=30,5,IF(C835&lt;=60,4,IF(C835&lt;=120,3,IF(C835&lt;=200,2,1))))</f>
        <v/>
      </c>
      <c r="G835" s="124">
        <f>IF(D835&gt;=20,5,IF(D835&gt;=10,4,IF(D835&gt;=5,3,IF(D835&gt;=2,2,1))))</f>
        <v/>
      </c>
      <c r="H835" s="124">
        <f>IF(E835&gt;=5000,5,IF(E835&gt;=2000,4,IF(E835&gt;=800,3,IF(E835&gt;=300,2,1))))</f>
        <v/>
      </c>
      <c r="I835" s="122">
        <f>TEXT(F835,"0")&amp;TEXT(G835,"0")&amp;TEXT(H835,"0")</f>
        <v/>
      </c>
      <c r="J835" s="122">
        <f>IFERROR(XLOOKUP(I835,'Segment Map'!A:A,'Segment Map'!B:B,"Need Attention"),"Need Attention")</f>
        <v/>
      </c>
      <c r="K835" s="122">
        <f>IF(E835&gt;=5000,"🏆 Platinum",IF(E835&gt;=2000,"🥇 Gold",IF(E835&gt;=800,"🥈 Silver","🥉 Bronze")))</f>
        <v/>
      </c>
      <c r="L835" s="125" t="n">
        <v>40828</v>
      </c>
    </row>
    <row r="836">
      <c r="A836" s="126" t="n">
        <v>13466</v>
      </c>
      <c r="B836" s="126" t="inlineStr">
        <is>
          <t>United Kingdom</t>
        </is>
      </c>
      <c r="C836" s="126" t="n">
        <v>185</v>
      </c>
      <c r="D836" s="126" t="n">
        <v>1</v>
      </c>
      <c r="E836" s="127" t="n">
        <v>307.9</v>
      </c>
      <c r="F836" s="128">
        <f>IF(C836&lt;=30,5,IF(C836&lt;=60,4,IF(C836&lt;=120,3,IF(C836&lt;=200,2,1))))</f>
        <v/>
      </c>
      <c r="G836" s="128">
        <f>IF(D836&gt;=20,5,IF(D836&gt;=10,4,IF(D836&gt;=5,3,IF(D836&gt;=2,2,1))))</f>
        <v/>
      </c>
      <c r="H836" s="128">
        <f>IF(E836&gt;=5000,5,IF(E836&gt;=2000,4,IF(E836&gt;=800,3,IF(E836&gt;=300,2,1))))</f>
        <v/>
      </c>
      <c r="I836" s="126">
        <f>TEXT(F836,"0")&amp;TEXT(G836,"0")&amp;TEXT(H836,"0")</f>
        <v/>
      </c>
      <c r="J836" s="126">
        <f>IFERROR(XLOOKUP(I836,'Segment Map'!A:A,'Segment Map'!B:B,"Need Attention"),"Need Attention")</f>
        <v/>
      </c>
      <c r="K836" s="126">
        <f>IF(E836&gt;=5000,"🏆 Platinum",IF(E836&gt;=2000,"🥇 Gold",IF(E836&gt;=800,"🥈 Silver","🥉 Bronze")))</f>
        <v/>
      </c>
      <c r="L836" s="129" t="n">
        <v>40702</v>
      </c>
    </row>
    <row r="837">
      <c r="A837" s="122" t="n">
        <v>13467</v>
      </c>
      <c r="B837" s="122" t="inlineStr">
        <is>
          <t>United Kingdom</t>
        </is>
      </c>
      <c r="C837" s="122" t="n">
        <v>11</v>
      </c>
      <c r="D837" s="122" t="n">
        <v>2</v>
      </c>
      <c r="E837" s="123" t="n">
        <v>1083.71</v>
      </c>
      <c r="F837" s="124">
        <f>IF(C837&lt;=30,5,IF(C837&lt;=60,4,IF(C837&lt;=120,3,IF(C837&lt;=200,2,1))))</f>
        <v/>
      </c>
      <c r="G837" s="124">
        <f>IF(D837&gt;=20,5,IF(D837&gt;=10,4,IF(D837&gt;=5,3,IF(D837&gt;=2,2,1))))</f>
        <v/>
      </c>
      <c r="H837" s="124">
        <f>IF(E837&gt;=5000,5,IF(E837&gt;=2000,4,IF(E837&gt;=800,3,IF(E837&gt;=300,2,1))))</f>
        <v/>
      </c>
      <c r="I837" s="122">
        <f>TEXT(F837,"0")&amp;TEXT(G837,"0")&amp;TEXT(H837,"0")</f>
        <v/>
      </c>
      <c r="J837" s="122">
        <f>IFERROR(XLOOKUP(I837,'Segment Map'!A:A,'Segment Map'!B:B,"Need Attention"),"Need Attention")</f>
        <v/>
      </c>
      <c r="K837" s="122">
        <f>IF(E837&gt;=5000,"🏆 Platinum",IF(E837&gt;=2000,"🥇 Gold",IF(E837&gt;=800,"🥈 Silver","🥉 Bronze")))</f>
        <v/>
      </c>
      <c r="L837" s="125" t="n">
        <v>40876</v>
      </c>
    </row>
    <row r="838">
      <c r="A838" s="126" t="n">
        <v>13468</v>
      </c>
      <c r="B838" s="126" t="inlineStr">
        <is>
          <t>United Kingdom</t>
        </is>
      </c>
      <c r="C838" s="126" t="n">
        <v>2</v>
      </c>
      <c r="D838" s="126" t="n">
        <v>37</v>
      </c>
      <c r="E838" s="127" t="n">
        <v>5704.97</v>
      </c>
      <c r="F838" s="128">
        <f>IF(C838&lt;=30,5,IF(C838&lt;=60,4,IF(C838&lt;=120,3,IF(C838&lt;=200,2,1))))</f>
        <v/>
      </c>
      <c r="G838" s="128">
        <f>IF(D838&gt;=20,5,IF(D838&gt;=10,4,IF(D838&gt;=5,3,IF(D838&gt;=2,2,1))))</f>
        <v/>
      </c>
      <c r="H838" s="128">
        <f>IF(E838&gt;=5000,5,IF(E838&gt;=2000,4,IF(E838&gt;=800,3,IF(E838&gt;=300,2,1))))</f>
        <v/>
      </c>
      <c r="I838" s="126">
        <f>TEXT(F838,"0")&amp;TEXT(G838,"0")&amp;TEXT(H838,"0")</f>
        <v/>
      </c>
      <c r="J838" s="126">
        <f>IFERROR(XLOOKUP(I838,'Segment Map'!A:A,'Segment Map'!B:B,"Need Attention"),"Need Attention")</f>
        <v/>
      </c>
      <c r="K838" s="126">
        <f>IF(E838&gt;=5000,"🏆 Platinum",IF(E838&gt;=2000,"🥇 Gold",IF(E838&gt;=800,"🥈 Silver","🥉 Bronze")))</f>
        <v/>
      </c>
      <c r="L838" s="129" t="n">
        <v>40885</v>
      </c>
    </row>
    <row r="839">
      <c r="A839" s="122" t="n">
        <v>13470</v>
      </c>
      <c r="B839" s="122" t="inlineStr">
        <is>
          <t>United Kingdom</t>
        </is>
      </c>
      <c r="C839" s="122" t="n">
        <v>100</v>
      </c>
      <c r="D839" s="122" t="n">
        <v>2</v>
      </c>
      <c r="E839" s="123" t="n">
        <v>165</v>
      </c>
      <c r="F839" s="124">
        <f>IF(C839&lt;=30,5,IF(C839&lt;=60,4,IF(C839&lt;=120,3,IF(C839&lt;=200,2,1))))</f>
        <v/>
      </c>
      <c r="G839" s="124">
        <f>IF(D839&gt;=20,5,IF(D839&gt;=10,4,IF(D839&gt;=5,3,IF(D839&gt;=2,2,1))))</f>
        <v/>
      </c>
      <c r="H839" s="124">
        <f>IF(E839&gt;=5000,5,IF(E839&gt;=2000,4,IF(E839&gt;=800,3,IF(E839&gt;=300,2,1))))</f>
        <v/>
      </c>
      <c r="I839" s="122">
        <f>TEXT(F839,"0")&amp;TEXT(G839,"0")&amp;TEXT(H839,"0")</f>
        <v/>
      </c>
      <c r="J839" s="122">
        <f>IFERROR(XLOOKUP(I839,'Segment Map'!A:A,'Segment Map'!B:B,"Need Attention"),"Need Attention")</f>
        <v/>
      </c>
      <c r="K839" s="122">
        <f>IF(E839&gt;=5000,"🏆 Platinum",IF(E839&gt;=2000,"🥇 Gold",IF(E839&gt;=800,"🥈 Silver","🥉 Bronze")))</f>
        <v/>
      </c>
      <c r="L839" s="125" t="n">
        <v>40787</v>
      </c>
    </row>
    <row r="840">
      <c r="A840" s="126" t="n">
        <v>13471</v>
      </c>
      <c r="B840" s="126" t="inlineStr">
        <is>
          <t>United Kingdom</t>
        </is>
      </c>
      <c r="C840" s="126" t="n">
        <v>2</v>
      </c>
      <c r="D840" s="126" t="n">
        <v>4</v>
      </c>
      <c r="E840" s="127" t="n">
        <v>2531.58</v>
      </c>
      <c r="F840" s="128">
        <f>IF(C840&lt;=30,5,IF(C840&lt;=60,4,IF(C840&lt;=120,3,IF(C840&lt;=200,2,1))))</f>
        <v/>
      </c>
      <c r="G840" s="128">
        <f>IF(D840&gt;=20,5,IF(D840&gt;=10,4,IF(D840&gt;=5,3,IF(D840&gt;=2,2,1))))</f>
        <v/>
      </c>
      <c r="H840" s="128">
        <f>IF(E840&gt;=5000,5,IF(E840&gt;=2000,4,IF(E840&gt;=800,3,IF(E840&gt;=300,2,1))))</f>
        <v/>
      </c>
      <c r="I840" s="126">
        <f>TEXT(F840,"0")&amp;TEXT(G840,"0")&amp;TEXT(H840,"0")</f>
        <v/>
      </c>
      <c r="J840" s="126">
        <f>IFERROR(XLOOKUP(I840,'Segment Map'!A:A,'Segment Map'!B:B,"Need Attention"),"Need Attention")</f>
        <v/>
      </c>
      <c r="K840" s="126">
        <f>IF(E840&gt;=5000,"🏆 Platinum",IF(E840&gt;=2000,"🥇 Gold",IF(E840&gt;=800,"🥈 Silver","🥉 Bronze")))</f>
        <v/>
      </c>
      <c r="L840" s="129" t="n">
        <v>40885</v>
      </c>
    </row>
    <row r="841">
      <c r="A841" s="122" t="n">
        <v>13473</v>
      </c>
      <c r="B841" s="122" t="inlineStr">
        <is>
          <t>United Kingdom</t>
        </is>
      </c>
      <c r="C841" s="122" t="n">
        <v>61</v>
      </c>
      <c r="D841" s="122" t="n">
        <v>2</v>
      </c>
      <c r="E841" s="123" t="n">
        <v>422.64</v>
      </c>
      <c r="F841" s="124">
        <f>IF(C841&lt;=30,5,IF(C841&lt;=60,4,IF(C841&lt;=120,3,IF(C841&lt;=200,2,1))))</f>
        <v/>
      </c>
      <c r="G841" s="124">
        <f>IF(D841&gt;=20,5,IF(D841&gt;=10,4,IF(D841&gt;=5,3,IF(D841&gt;=2,2,1))))</f>
        <v/>
      </c>
      <c r="H841" s="124">
        <f>IF(E841&gt;=5000,5,IF(E841&gt;=2000,4,IF(E841&gt;=800,3,IF(E841&gt;=300,2,1))))</f>
        <v/>
      </c>
      <c r="I841" s="122">
        <f>TEXT(F841,"0")&amp;TEXT(G841,"0")&amp;TEXT(H841,"0")</f>
        <v/>
      </c>
      <c r="J841" s="122">
        <f>IFERROR(XLOOKUP(I841,'Segment Map'!A:A,'Segment Map'!B:B,"Need Attention"),"Need Attention")</f>
        <v/>
      </c>
      <c r="K841" s="122">
        <f>IF(E841&gt;=5000,"🏆 Platinum",IF(E841&gt;=2000,"🥇 Gold",IF(E841&gt;=800,"🥈 Silver","🥉 Bronze")))</f>
        <v/>
      </c>
      <c r="L841" s="125" t="n">
        <v>40826</v>
      </c>
    </row>
    <row r="842">
      <c r="A842" s="126" t="n">
        <v>13474</v>
      </c>
      <c r="B842" s="126" t="inlineStr">
        <is>
          <t>United Kingdom</t>
        </is>
      </c>
      <c r="C842" s="126" t="n">
        <v>237</v>
      </c>
      <c r="D842" s="126" t="n">
        <v>1</v>
      </c>
      <c r="E842" s="127" t="n">
        <v>229.59</v>
      </c>
      <c r="F842" s="128">
        <f>IF(C842&lt;=30,5,IF(C842&lt;=60,4,IF(C842&lt;=120,3,IF(C842&lt;=200,2,1))))</f>
        <v/>
      </c>
      <c r="G842" s="128">
        <f>IF(D842&gt;=20,5,IF(D842&gt;=10,4,IF(D842&gt;=5,3,IF(D842&gt;=2,2,1))))</f>
        <v/>
      </c>
      <c r="H842" s="128">
        <f>IF(E842&gt;=5000,5,IF(E842&gt;=2000,4,IF(E842&gt;=800,3,IF(E842&gt;=300,2,1))))</f>
        <v/>
      </c>
      <c r="I842" s="126">
        <f>TEXT(F842,"0")&amp;TEXT(G842,"0")&amp;TEXT(H842,"0")</f>
        <v/>
      </c>
      <c r="J842" s="126">
        <f>IFERROR(XLOOKUP(I842,'Segment Map'!A:A,'Segment Map'!B:B,"Need Attention"),"Need Attention")</f>
        <v/>
      </c>
      <c r="K842" s="126">
        <f>IF(E842&gt;=5000,"🏆 Platinum",IF(E842&gt;=2000,"🥇 Gold",IF(E842&gt;=800,"🥈 Silver","🥉 Bronze")))</f>
        <v/>
      </c>
      <c r="L842" s="129" t="n">
        <v>40650</v>
      </c>
    </row>
    <row r="843">
      <c r="A843" s="122" t="n">
        <v>13475</v>
      </c>
      <c r="B843" s="122" t="inlineStr">
        <is>
          <t>United Kingdom</t>
        </is>
      </c>
      <c r="C843" s="122" t="n">
        <v>192</v>
      </c>
      <c r="D843" s="122" t="n">
        <v>4</v>
      </c>
      <c r="E843" s="123" t="n">
        <v>1431.78</v>
      </c>
      <c r="F843" s="124">
        <f>IF(C843&lt;=30,5,IF(C843&lt;=60,4,IF(C843&lt;=120,3,IF(C843&lt;=200,2,1))))</f>
        <v/>
      </c>
      <c r="G843" s="124">
        <f>IF(D843&gt;=20,5,IF(D843&gt;=10,4,IF(D843&gt;=5,3,IF(D843&gt;=2,2,1))))</f>
        <v/>
      </c>
      <c r="H843" s="124">
        <f>IF(E843&gt;=5000,5,IF(E843&gt;=2000,4,IF(E843&gt;=800,3,IF(E843&gt;=300,2,1))))</f>
        <v/>
      </c>
      <c r="I843" s="122">
        <f>TEXT(F843,"0")&amp;TEXT(G843,"0")&amp;TEXT(H843,"0")</f>
        <v/>
      </c>
      <c r="J843" s="122">
        <f>IFERROR(XLOOKUP(I843,'Segment Map'!A:A,'Segment Map'!B:B,"Need Attention"),"Need Attention")</f>
        <v/>
      </c>
      <c r="K843" s="122">
        <f>IF(E843&gt;=5000,"🏆 Platinum",IF(E843&gt;=2000,"🥇 Gold",IF(E843&gt;=800,"🥈 Silver","🥉 Bronze")))</f>
        <v/>
      </c>
      <c r="L843" s="125" t="n">
        <v>40695</v>
      </c>
    </row>
    <row r="844">
      <c r="A844" s="126" t="n">
        <v>13476</v>
      </c>
      <c r="B844" s="126" t="inlineStr">
        <is>
          <t>United Kingdom</t>
        </is>
      </c>
      <c r="C844" s="126" t="n">
        <v>179</v>
      </c>
      <c r="D844" s="126" t="n">
        <v>2</v>
      </c>
      <c r="E844" s="127" t="n">
        <v>1238.47</v>
      </c>
      <c r="F844" s="128">
        <f>IF(C844&lt;=30,5,IF(C844&lt;=60,4,IF(C844&lt;=120,3,IF(C844&lt;=200,2,1))))</f>
        <v/>
      </c>
      <c r="G844" s="128">
        <f>IF(D844&gt;=20,5,IF(D844&gt;=10,4,IF(D844&gt;=5,3,IF(D844&gt;=2,2,1))))</f>
        <v/>
      </c>
      <c r="H844" s="128">
        <f>IF(E844&gt;=5000,5,IF(E844&gt;=2000,4,IF(E844&gt;=800,3,IF(E844&gt;=300,2,1))))</f>
        <v/>
      </c>
      <c r="I844" s="126">
        <f>TEXT(F844,"0")&amp;TEXT(G844,"0")&amp;TEXT(H844,"0")</f>
        <v/>
      </c>
      <c r="J844" s="126">
        <f>IFERROR(XLOOKUP(I844,'Segment Map'!A:A,'Segment Map'!B:B,"Need Attention"),"Need Attention")</f>
        <v/>
      </c>
      <c r="K844" s="126">
        <f>IF(E844&gt;=5000,"🏆 Platinum",IF(E844&gt;=2000,"🥇 Gold",IF(E844&gt;=800,"🥈 Silver","🥉 Bronze")))</f>
        <v/>
      </c>
      <c r="L844" s="129" t="n">
        <v>40708</v>
      </c>
    </row>
    <row r="845">
      <c r="A845" s="122" t="n">
        <v>13477</v>
      </c>
      <c r="B845" s="122" t="inlineStr">
        <is>
          <t>United Kingdom</t>
        </is>
      </c>
      <c r="C845" s="122" t="n">
        <v>38</v>
      </c>
      <c r="D845" s="122" t="n">
        <v>6</v>
      </c>
      <c r="E845" s="123" t="n">
        <v>1454.58</v>
      </c>
      <c r="F845" s="124">
        <f>IF(C845&lt;=30,5,IF(C845&lt;=60,4,IF(C845&lt;=120,3,IF(C845&lt;=200,2,1))))</f>
        <v/>
      </c>
      <c r="G845" s="124">
        <f>IF(D845&gt;=20,5,IF(D845&gt;=10,4,IF(D845&gt;=5,3,IF(D845&gt;=2,2,1))))</f>
        <v/>
      </c>
      <c r="H845" s="124">
        <f>IF(E845&gt;=5000,5,IF(E845&gt;=2000,4,IF(E845&gt;=800,3,IF(E845&gt;=300,2,1))))</f>
        <v/>
      </c>
      <c r="I845" s="122">
        <f>TEXT(F845,"0")&amp;TEXT(G845,"0")&amp;TEXT(H845,"0")</f>
        <v/>
      </c>
      <c r="J845" s="122">
        <f>IFERROR(XLOOKUP(I845,'Segment Map'!A:A,'Segment Map'!B:B,"Need Attention"),"Need Attention")</f>
        <v/>
      </c>
      <c r="K845" s="122">
        <f>IF(E845&gt;=5000,"🏆 Platinum",IF(E845&gt;=2000,"🥇 Gold",IF(E845&gt;=800,"🥈 Silver","🥉 Bronze")))</f>
        <v/>
      </c>
      <c r="L845" s="125" t="n">
        <v>40849</v>
      </c>
    </row>
    <row r="846">
      <c r="A846" s="126" t="n">
        <v>13479</v>
      </c>
      <c r="B846" s="126" t="inlineStr">
        <is>
          <t>United Kingdom</t>
        </is>
      </c>
      <c r="C846" s="126" t="n">
        <v>201</v>
      </c>
      <c r="D846" s="126" t="n">
        <v>2</v>
      </c>
      <c r="E846" s="127" t="n">
        <v>300.95</v>
      </c>
      <c r="F846" s="128">
        <f>IF(C846&lt;=30,5,IF(C846&lt;=60,4,IF(C846&lt;=120,3,IF(C846&lt;=200,2,1))))</f>
        <v/>
      </c>
      <c r="G846" s="128">
        <f>IF(D846&gt;=20,5,IF(D846&gt;=10,4,IF(D846&gt;=5,3,IF(D846&gt;=2,2,1))))</f>
        <v/>
      </c>
      <c r="H846" s="128">
        <f>IF(E846&gt;=5000,5,IF(E846&gt;=2000,4,IF(E846&gt;=800,3,IF(E846&gt;=300,2,1))))</f>
        <v/>
      </c>
      <c r="I846" s="126">
        <f>TEXT(F846,"0")&amp;TEXT(G846,"0")&amp;TEXT(H846,"0")</f>
        <v/>
      </c>
      <c r="J846" s="126">
        <f>IFERROR(XLOOKUP(I846,'Segment Map'!A:A,'Segment Map'!B:B,"Need Attention"),"Need Attention")</f>
        <v/>
      </c>
      <c r="K846" s="126">
        <f>IF(E846&gt;=5000,"🏆 Platinum",IF(E846&gt;=2000,"🥇 Gold",IF(E846&gt;=800,"🥈 Silver","🥉 Bronze")))</f>
        <v/>
      </c>
      <c r="L846" s="129" t="n">
        <v>40686</v>
      </c>
    </row>
    <row r="847">
      <c r="A847" s="122" t="n">
        <v>13481</v>
      </c>
      <c r="B847" s="122" t="inlineStr">
        <is>
          <t>United Kingdom</t>
        </is>
      </c>
      <c r="C847" s="122" t="n">
        <v>46</v>
      </c>
      <c r="D847" s="122" t="n">
        <v>5</v>
      </c>
      <c r="E847" s="123" t="n">
        <v>1804.56</v>
      </c>
      <c r="F847" s="124">
        <f>IF(C847&lt;=30,5,IF(C847&lt;=60,4,IF(C847&lt;=120,3,IF(C847&lt;=200,2,1))))</f>
        <v/>
      </c>
      <c r="G847" s="124">
        <f>IF(D847&gt;=20,5,IF(D847&gt;=10,4,IF(D847&gt;=5,3,IF(D847&gt;=2,2,1))))</f>
        <v/>
      </c>
      <c r="H847" s="124">
        <f>IF(E847&gt;=5000,5,IF(E847&gt;=2000,4,IF(E847&gt;=800,3,IF(E847&gt;=300,2,1))))</f>
        <v/>
      </c>
      <c r="I847" s="122">
        <f>TEXT(F847,"0")&amp;TEXT(G847,"0")&amp;TEXT(H847,"0")</f>
        <v/>
      </c>
      <c r="J847" s="122">
        <f>IFERROR(XLOOKUP(I847,'Segment Map'!A:A,'Segment Map'!B:B,"Need Attention"),"Need Attention")</f>
        <v/>
      </c>
      <c r="K847" s="122">
        <f>IF(E847&gt;=5000,"🏆 Platinum",IF(E847&gt;=2000,"🥇 Gold",IF(E847&gt;=800,"🥈 Silver","🥉 Bronze")))</f>
        <v/>
      </c>
      <c r="L847" s="125" t="n">
        <v>40841</v>
      </c>
    </row>
    <row r="848">
      <c r="A848" s="126" t="n">
        <v>13482</v>
      </c>
      <c r="B848" s="126" t="inlineStr">
        <is>
          <t>United Kingdom</t>
        </is>
      </c>
      <c r="C848" s="126" t="n">
        <v>233</v>
      </c>
      <c r="D848" s="126" t="n">
        <v>1</v>
      </c>
      <c r="E848" s="127" t="n">
        <v>184.64</v>
      </c>
      <c r="F848" s="128">
        <f>IF(C848&lt;=30,5,IF(C848&lt;=60,4,IF(C848&lt;=120,3,IF(C848&lt;=200,2,1))))</f>
        <v/>
      </c>
      <c r="G848" s="128">
        <f>IF(D848&gt;=20,5,IF(D848&gt;=10,4,IF(D848&gt;=5,3,IF(D848&gt;=2,2,1))))</f>
        <v/>
      </c>
      <c r="H848" s="128">
        <f>IF(E848&gt;=5000,5,IF(E848&gt;=2000,4,IF(E848&gt;=800,3,IF(E848&gt;=300,2,1))))</f>
        <v/>
      </c>
      <c r="I848" s="126">
        <f>TEXT(F848,"0")&amp;TEXT(G848,"0")&amp;TEXT(H848,"0")</f>
        <v/>
      </c>
      <c r="J848" s="126">
        <f>IFERROR(XLOOKUP(I848,'Segment Map'!A:A,'Segment Map'!B:B,"Need Attention"),"Need Attention")</f>
        <v/>
      </c>
      <c r="K848" s="126">
        <f>IF(E848&gt;=5000,"🏆 Platinum",IF(E848&gt;=2000,"🥇 Gold",IF(E848&gt;=800,"🥈 Silver","🥉 Bronze")))</f>
        <v/>
      </c>
      <c r="L848" s="129" t="n">
        <v>40654</v>
      </c>
    </row>
    <row r="849">
      <c r="A849" s="122" t="n">
        <v>13483</v>
      </c>
      <c r="B849" s="122" t="inlineStr">
        <is>
          <t>United Kingdom</t>
        </is>
      </c>
      <c r="C849" s="122" t="n">
        <v>66</v>
      </c>
      <c r="D849" s="122" t="n">
        <v>1</v>
      </c>
      <c r="E849" s="123" t="n">
        <v>140.34</v>
      </c>
      <c r="F849" s="124">
        <f>IF(C849&lt;=30,5,IF(C849&lt;=60,4,IF(C849&lt;=120,3,IF(C849&lt;=200,2,1))))</f>
        <v/>
      </c>
      <c r="G849" s="124">
        <f>IF(D849&gt;=20,5,IF(D849&gt;=10,4,IF(D849&gt;=5,3,IF(D849&gt;=2,2,1))))</f>
        <v/>
      </c>
      <c r="H849" s="124">
        <f>IF(E849&gt;=5000,5,IF(E849&gt;=2000,4,IF(E849&gt;=800,3,IF(E849&gt;=300,2,1))))</f>
        <v/>
      </c>
      <c r="I849" s="122">
        <f>TEXT(F849,"0")&amp;TEXT(G849,"0")&amp;TEXT(H849,"0")</f>
        <v/>
      </c>
      <c r="J849" s="122">
        <f>IFERROR(XLOOKUP(I849,'Segment Map'!A:A,'Segment Map'!B:B,"Need Attention"),"Need Attention")</f>
        <v/>
      </c>
      <c r="K849" s="122">
        <f>IF(E849&gt;=5000,"🏆 Platinum",IF(E849&gt;=2000,"🥇 Gold",IF(E849&gt;=800,"🥈 Silver","🥉 Bronze")))</f>
        <v/>
      </c>
      <c r="L849" s="125" t="n">
        <v>40821</v>
      </c>
    </row>
    <row r="850">
      <c r="A850" s="126" t="n">
        <v>13484</v>
      </c>
      <c r="B850" s="126" t="inlineStr">
        <is>
          <t>United Kingdom</t>
        </is>
      </c>
      <c r="C850" s="126" t="n">
        <v>242</v>
      </c>
      <c r="D850" s="126" t="n">
        <v>1</v>
      </c>
      <c r="E850" s="127" t="n">
        <v>313.8</v>
      </c>
      <c r="F850" s="128">
        <f>IF(C850&lt;=30,5,IF(C850&lt;=60,4,IF(C850&lt;=120,3,IF(C850&lt;=200,2,1))))</f>
        <v/>
      </c>
      <c r="G850" s="128">
        <f>IF(D850&gt;=20,5,IF(D850&gt;=10,4,IF(D850&gt;=5,3,IF(D850&gt;=2,2,1))))</f>
        <v/>
      </c>
      <c r="H850" s="128">
        <f>IF(E850&gt;=5000,5,IF(E850&gt;=2000,4,IF(E850&gt;=800,3,IF(E850&gt;=300,2,1))))</f>
        <v/>
      </c>
      <c r="I850" s="126">
        <f>TEXT(F850,"0")&amp;TEXT(G850,"0")&amp;TEXT(H850,"0")</f>
        <v/>
      </c>
      <c r="J850" s="126">
        <f>IFERROR(XLOOKUP(I850,'Segment Map'!A:A,'Segment Map'!B:B,"Need Attention"),"Need Attention")</f>
        <v/>
      </c>
      <c r="K850" s="126">
        <f>IF(E850&gt;=5000,"🏆 Platinum",IF(E850&gt;=2000,"🥇 Gold",IF(E850&gt;=800,"🥈 Silver","🥉 Bronze")))</f>
        <v/>
      </c>
      <c r="L850" s="129" t="n">
        <v>40645</v>
      </c>
    </row>
    <row r="851">
      <c r="A851" s="122" t="n">
        <v>13485</v>
      </c>
      <c r="B851" s="122" t="inlineStr">
        <is>
          <t>United Kingdom</t>
        </is>
      </c>
      <c r="C851" s="122" t="n">
        <v>234</v>
      </c>
      <c r="D851" s="122" t="n">
        <v>1</v>
      </c>
      <c r="E851" s="123" t="n">
        <v>454.24</v>
      </c>
      <c r="F851" s="124">
        <f>IF(C851&lt;=30,5,IF(C851&lt;=60,4,IF(C851&lt;=120,3,IF(C851&lt;=200,2,1))))</f>
        <v/>
      </c>
      <c r="G851" s="124">
        <f>IF(D851&gt;=20,5,IF(D851&gt;=10,4,IF(D851&gt;=5,3,IF(D851&gt;=2,2,1))))</f>
        <v/>
      </c>
      <c r="H851" s="124">
        <f>IF(E851&gt;=5000,5,IF(E851&gt;=2000,4,IF(E851&gt;=800,3,IF(E851&gt;=300,2,1))))</f>
        <v/>
      </c>
      <c r="I851" s="122">
        <f>TEXT(F851,"0")&amp;TEXT(G851,"0")&amp;TEXT(H851,"0")</f>
        <v/>
      </c>
      <c r="J851" s="122">
        <f>IFERROR(XLOOKUP(I851,'Segment Map'!A:A,'Segment Map'!B:B,"Need Attention"),"Need Attention")</f>
        <v/>
      </c>
      <c r="K851" s="122">
        <f>IF(E851&gt;=5000,"🏆 Platinum",IF(E851&gt;=2000,"🥇 Gold",IF(E851&gt;=800,"🥈 Silver","🥉 Bronze")))</f>
        <v/>
      </c>
      <c r="L851" s="125" t="n">
        <v>40653</v>
      </c>
    </row>
    <row r="852">
      <c r="A852" s="126" t="n">
        <v>13486</v>
      </c>
      <c r="B852" s="126" t="inlineStr">
        <is>
          <t>United Kingdom</t>
        </is>
      </c>
      <c r="C852" s="126" t="n">
        <v>79</v>
      </c>
      <c r="D852" s="126" t="n">
        <v>3</v>
      </c>
      <c r="E852" s="127" t="n">
        <v>1122.41</v>
      </c>
      <c r="F852" s="128">
        <f>IF(C852&lt;=30,5,IF(C852&lt;=60,4,IF(C852&lt;=120,3,IF(C852&lt;=200,2,1))))</f>
        <v/>
      </c>
      <c r="G852" s="128">
        <f>IF(D852&gt;=20,5,IF(D852&gt;=10,4,IF(D852&gt;=5,3,IF(D852&gt;=2,2,1))))</f>
        <v/>
      </c>
      <c r="H852" s="128">
        <f>IF(E852&gt;=5000,5,IF(E852&gt;=2000,4,IF(E852&gt;=800,3,IF(E852&gt;=300,2,1))))</f>
        <v/>
      </c>
      <c r="I852" s="126">
        <f>TEXT(F852,"0")&amp;TEXT(G852,"0")&amp;TEXT(H852,"0")</f>
        <v/>
      </c>
      <c r="J852" s="126">
        <f>IFERROR(XLOOKUP(I852,'Segment Map'!A:A,'Segment Map'!B:B,"Need Attention"),"Need Attention")</f>
        <v/>
      </c>
      <c r="K852" s="126">
        <f>IF(E852&gt;=5000,"🏆 Platinum",IF(E852&gt;=2000,"🥇 Gold",IF(E852&gt;=800,"🥈 Silver","🥉 Bronze")))</f>
        <v/>
      </c>
      <c r="L852" s="129" t="n">
        <v>40808</v>
      </c>
    </row>
    <row r="853">
      <c r="A853" s="122" t="n">
        <v>13487</v>
      </c>
      <c r="B853" s="122" t="inlineStr">
        <is>
          <t>United Kingdom</t>
        </is>
      </c>
      <c r="C853" s="122" t="n">
        <v>58</v>
      </c>
      <c r="D853" s="122" t="n">
        <v>3</v>
      </c>
      <c r="E853" s="123" t="n">
        <v>575.4</v>
      </c>
      <c r="F853" s="124">
        <f>IF(C853&lt;=30,5,IF(C853&lt;=60,4,IF(C853&lt;=120,3,IF(C853&lt;=200,2,1))))</f>
        <v/>
      </c>
      <c r="G853" s="124">
        <f>IF(D853&gt;=20,5,IF(D853&gt;=10,4,IF(D853&gt;=5,3,IF(D853&gt;=2,2,1))))</f>
        <v/>
      </c>
      <c r="H853" s="124">
        <f>IF(E853&gt;=5000,5,IF(E853&gt;=2000,4,IF(E853&gt;=800,3,IF(E853&gt;=300,2,1))))</f>
        <v/>
      </c>
      <c r="I853" s="122">
        <f>TEXT(F853,"0")&amp;TEXT(G853,"0")&amp;TEXT(H853,"0")</f>
        <v/>
      </c>
      <c r="J853" s="122">
        <f>IFERROR(XLOOKUP(I853,'Segment Map'!A:A,'Segment Map'!B:B,"Need Attention"),"Need Attention")</f>
        <v/>
      </c>
      <c r="K853" s="122">
        <f>IF(E853&gt;=5000,"🏆 Platinum",IF(E853&gt;=2000,"🥇 Gold",IF(E853&gt;=800,"🥈 Silver","🥉 Bronze")))</f>
        <v/>
      </c>
      <c r="L853" s="125" t="n">
        <v>40829</v>
      </c>
    </row>
    <row r="854">
      <c r="A854" s="126" t="n">
        <v>13488</v>
      </c>
      <c r="B854" s="126" t="inlineStr">
        <is>
          <t>United Kingdom</t>
        </is>
      </c>
      <c r="C854" s="126" t="n">
        <v>18</v>
      </c>
      <c r="D854" s="126" t="n">
        <v>13</v>
      </c>
      <c r="E854" s="127" t="n">
        <v>8968.309999999999</v>
      </c>
      <c r="F854" s="128">
        <f>IF(C854&lt;=30,5,IF(C854&lt;=60,4,IF(C854&lt;=120,3,IF(C854&lt;=200,2,1))))</f>
        <v/>
      </c>
      <c r="G854" s="128">
        <f>IF(D854&gt;=20,5,IF(D854&gt;=10,4,IF(D854&gt;=5,3,IF(D854&gt;=2,2,1))))</f>
        <v/>
      </c>
      <c r="H854" s="128">
        <f>IF(E854&gt;=5000,5,IF(E854&gt;=2000,4,IF(E854&gt;=800,3,IF(E854&gt;=300,2,1))))</f>
        <v/>
      </c>
      <c r="I854" s="126">
        <f>TEXT(F854,"0")&amp;TEXT(G854,"0")&amp;TEXT(H854,"0")</f>
        <v/>
      </c>
      <c r="J854" s="126">
        <f>IFERROR(XLOOKUP(I854,'Segment Map'!A:A,'Segment Map'!B:B,"Need Attention"),"Need Attention")</f>
        <v/>
      </c>
      <c r="K854" s="126">
        <f>IF(E854&gt;=5000,"🏆 Platinum",IF(E854&gt;=2000,"🥇 Gold",IF(E854&gt;=800,"🥈 Silver","🥉 Bronze")))</f>
        <v/>
      </c>
      <c r="L854" s="129" t="n">
        <v>40869</v>
      </c>
    </row>
    <row r="855">
      <c r="A855" s="122" t="n">
        <v>13489</v>
      </c>
      <c r="B855" s="122" t="inlineStr">
        <is>
          <t>United Kingdom</t>
        </is>
      </c>
      <c r="C855" s="122" t="n">
        <v>106</v>
      </c>
      <c r="D855" s="122" t="n">
        <v>4</v>
      </c>
      <c r="E855" s="123" t="n">
        <v>449.52</v>
      </c>
      <c r="F855" s="124">
        <f>IF(C855&lt;=30,5,IF(C855&lt;=60,4,IF(C855&lt;=120,3,IF(C855&lt;=200,2,1))))</f>
        <v/>
      </c>
      <c r="G855" s="124">
        <f>IF(D855&gt;=20,5,IF(D855&gt;=10,4,IF(D855&gt;=5,3,IF(D855&gt;=2,2,1))))</f>
        <v/>
      </c>
      <c r="H855" s="124">
        <f>IF(E855&gt;=5000,5,IF(E855&gt;=2000,4,IF(E855&gt;=800,3,IF(E855&gt;=300,2,1))))</f>
        <v/>
      </c>
      <c r="I855" s="122">
        <f>TEXT(F855,"0")&amp;TEXT(G855,"0")&amp;TEXT(H855,"0")</f>
        <v/>
      </c>
      <c r="J855" s="122">
        <f>IFERROR(XLOOKUP(I855,'Segment Map'!A:A,'Segment Map'!B:B,"Need Attention"),"Need Attention")</f>
        <v/>
      </c>
      <c r="K855" s="122">
        <f>IF(E855&gt;=5000,"🏆 Platinum",IF(E855&gt;=2000,"🥇 Gold",IF(E855&gt;=800,"🥈 Silver","🥉 Bronze")))</f>
        <v/>
      </c>
      <c r="L855" s="125" t="n">
        <v>40781</v>
      </c>
    </row>
    <row r="856">
      <c r="A856" s="126" t="n">
        <v>13491</v>
      </c>
      <c r="B856" s="126" t="inlineStr">
        <is>
          <t>United Kingdom</t>
        </is>
      </c>
      <c r="C856" s="126" t="n">
        <v>52</v>
      </c>
      <c r="D856" s="126" t="n">
        <v>10</v>
      </c>
      <c r="E856" s="127" t="n">
        <v>1215.82</v>
      </c>
      <c r="F856" s="128">
        <f>IF(C856&lt;=30,5,IF(C856&lt;=60,4,IF(C856&lt;=120,3,IF(C856&lt;=200,2,1))))</f>
        <v/>
      </c>
      <c r="G856" s="128">
        <f>IF(D856&gt;=20,5,IF(D856&gt;=10,4,IF(D856&gt;=5,3,IF(D856&gt;=2,2,1))))</f>
        <v/>
      </c>
      <c r="H856" s="128">
        <f>IF(E856&gt;=5000,5,IF(E856&gt;=2000,4,IF(E856&gt;=800,3,IF(E856&gt;=300,2,1))))</f>
        <v/>
      </c>
      <c r="I856" s="126">
        <f>TEXT(F856,"0")&amp;TEXT(G856,"0")&amp;TEXT(H856,"0")</f>
        <v/>
      </c>
      <c r="J856" s="126">
        <f>IFERROR(XLOOKUP(I856,'Segment Map'!A:A,'Segment Map'!B:B,"Need Attention"),"Need Attention")</f>
        <v/>
      </c>
      <c r="K856" s="126">
        <f>IF(E856&gt;=5000,"🏆 Platinum",IF(E856&gt;=2000,"🥇 Gold",IF(E856&gt;=800,"🥈 Silver","🥉 Bronze")))</f>
        <v/>
      </c>
      <c r="L856" s="129" t="n">
        <v>40835</v>
      </c>
    </row>
    <row r="857">
      <c r="A857" s="122" t="n">
        <v>13492</v>
      </c>
      <c r="B857" s="122" t="inlineStr">
        <is>
          <t>Switzerland</t>
        </is>
      </c>
      <c r="C857" s="122" t="n">
        <v>137</v>
      </c>
      <c r="D857" s="122" t="n">
        <v>3</v>
      </c>
      <c r="E857" s="123" t="n">
        <v>1269.84</v>
      </c>
      <c r="F857" s="124">
        <f>IF(C857&lt;=30,5,IF(C857&lt;=60,4,IF(C857&lt;=120,3,IF(C857&lt;=200,2,1))))</f>
        <v/>
      </c>
      <c r="G857" s="124">
        <f>IF(D857&gt;=20,5,IF(D857&gt;=10,4,IF(D857&gt;=5,3,IF(D857&gt;=2,2,1))))</f>
        <v/>
      </c>
      <c r="H857" s="124">
        <f>IF(E857&gt;=5000,5,IF(E857&gt;=2000,4,IF(E857&gt;=800,3,IF(E857&gt;=300,2,1))))</f>
        <v/>
      </c>
      <c r="I857" s="122">
        <f>TEXT(F857,"0")&amp;TEXT(G857,"0")&amp;TEXT(H857,"0")</f>
        <v/>
      </c>
      <c r="J857" s="122">
        <f>IFERROR(XLOOKUP(I857,'Segment Map'!A:A,'Segment Map'!B:B,"Need Attention"),"Need Attention")</f>
        <v/>
      </c>
      <c r="K857" s="122">
        <f>IF(E857&gt;=5000,"🏆 Platinum",IF(E857&gt;=2000,"🥇 Gold",IF(E857&gt;=800,"🥈 Silver","🥉 Bronze")))</f>
        <v/>
      </c>
      <c r="L857" s="125" t="n">
        <v>40750</v>
      </c>
    </row>
    <row r="858">
      <c r="A858" s="126" t="n">
        <v>13493</v>
      </c>
      <c r="B858" s="126" t="inlineStr">
        <is>
          <t>Switzerland</t>
        </is>
      </c>
      <c r="C858" s="126" t="n">
        <v>276</v>
      </c>
      <c r="D858" s="126" t="n">
        <v>2</v>
      </c>
      <c r="E858" s="127" t="n">
        <v>618.63</v>
      </c>
      <c r="F858" s="128">
        <f>IF(C858&lt;=30,5,IF(C858&lt;=60,4,IF(C858&lt;=120,3,IF(C858&lt;=200,2,1))))</f>
        <v/>
      </c>
      <c r="G858" s="128">
        <f>IF(D858&gt;=20,5,IF(D858&gt;=10,4,IF(D858&gt;=5,3,IF(D858&gt;=2,2,1))))</f>
        <v/>
      </c>
      <c r="H858" s="128">
        <f>IF(E858&gt;=5000,5,IF(E858&gt;=2000,4,IF(E858&gt;=800,3,IF(E858&gt;=300,2,1))))</f>
        <v/>
      </c>
      <c r="I858" s="126">
        <f>TEXT(F858,"0")&amp;TEXT(G858,"0")&amp;TEXT(H858,"0")</f>
        <v/>
      </c>
      <c r="J858" s="126">
        <f>IFERROR(XLOOKUP(I858,'Segment Map'!A:A,'Segment Map'!B:B,"Need Attention"),"Need Attention")</f>
        <v/>
      </c>
      <c r="K858" s="126">
        <f>IF(E858&gt;=5000,"🏆 Platinum",IF(E858&gt;=2000,"🥇 Gold",IF(E858&gt;=800,"🥈 Silver","🥉 Bronze")))</f>
        <v/>
      </c>
      <c r="L858" s="129" t="n">
        <v>40611</v>
      </c>
    </row>
    <row r="859">
      <c r="A859" s="122" t="n">
        <v>13494</v>
      </c>
      <c r="B859" s="122" t="inlineStr">
        <is>
          <t>United Kingdom</t>
        </is>
      </c>
      <c r="C859" s="122" t="n">
        <v>312</v>
      </c>
      <c r="D859" s="122" t="n">
        <v>1</v>
      </c>
      <c r="E859" s="123" t="n">
        <v>316.26</v>
      </c>
      <c r="F859" s="124">
        <f>IF(C859&lt;=30,5,IF(C859&lt;=60,4,IF(C859&lt;=120,3,IF(C859&lt;=200,2,1))))</f>
        <v/>
      </c>
      <c r="G859" s="124">
        <f>IF(D859&gt;=20,5,IF(D859&gt;=10,4,IF(D859&gt;=5,3,IF(D859&gt;=2,2,1))))</f>
        <v/>
      </c>
      <c r="H859" s="124">
        <f>IF(E859&gt;=5000,5,IF(E859&gt;=2000,4,IF(E859&gt;=800,3,IF(E859&gt;=300,2,1))))</f>
        <v/>
      </c>
      <c r="I859" s="122">
        <f>TEXT(F859,"0")&amp;TEXT(G859,"0")&amp;TEXT(H859,"0")</f>
        <v/>
      </c>
      <c r="J859" s="122">
        <f>IFERROR(XLOOKUP(I859,'Segment Map'!A:A,'Segment Map'!B:B,"Need Attention"),"Need Attention")</f>
        <v/>
      </c>
      <c r="K859" s="122">
        <f>IF(E859&gt;=5000,"🏆 Platinum",IF(E859&gt;=2000,"🥇 Gold",IF(E859&gt;=800,"🥈 Silver","🥉 Bronze")))</f>
        <v/>
      </c>
      <c r="L859" s="125" t="n">
        <v>40575</v>
      </c>
    </row>
    <row r="860">
      <c r="A860" s="126" t="n">
        <v>13495</v>
      </c>
      <c r="B860" s="126" t="inlineStr">
        <is>
          <t>United Kingdom</t>
        </is>
      </c>
      <c r="C860" s="126" t="n">
        <v>8</v>
      </c>
      <c r="D860" s="126" t="n">
        <v>5</v>
      </c>
      <c r="E860" s="127" t="n">
        <v>2044.87</v>
      </c>
      <c r="F860" s="128">
        <f>IF(C860&lt;=30,5,IF(C860&lt;=60,4,IF(C860&lt;=120,3,IF(C860&lt;=200,2,1))))</f>
        <v/>
      </c>
      <c r="G860" s="128">
        <f>IF(D860&gt;=20,5,IF(D860&gt;=10,4,IF(D860&gt;=5,3,IF(D860&gt;=2,2,1))))</f>
        <v/>
      </c>
      <c r="H860" s="128">
        <f>IF(E860&gt;=5000,5,IF(E860&gt;=2000,4,IF(E860&gt;=800,3,IF(E860&gt;=300,2,1))))</f>
        <v/>
      </c>
      <c r="I860" s="126">
        <f>TEXT(F860,"0")&amp;TEXT(G860,"0")&amp;TEXT(H860,"0")</f>
        <v/>
      </c>
      <c r="J860" s="126">
        <f>IFERROR(XLOOKUP(I860,'Segment Map'!A:A,'Segment Map'!B:B,"Need Attention"),"Need Attention")</f>
        <v/>
      </c>
      <c r="K860" s="126">
        <f>IF(E860&gt;=5000,"🏆 Platinum",IF(E860&gt;=2000,"🥇 Gold",IF(E860&gt;=800,"🥈 Silver","🥉 Bronze")))</f>
        <v/>
      </c>
      <c r="L860" s="129" t="n">
        <v>40879</v>
      </c>
    </row>
    <row r="861">
      <c r="A861" s="122" t="n">
        <v>13496</v>
      </c>
      <c r="B861" s="122" t="inlineStr">
        <is>
          <t>United Kingdom</t>
        </is>
      </c>
      <c r="C861" s="122" t="n">
        <v>11</v>
      </c>
      <c r="D861" s="122" t="n">
        <v>2</v>
      </c>
      <c r="E861" s="123" t="n">
        <v>653.33</v>
      </c>
      <c r="F861" s="124">
        <f>IF(C861&lt;=30,5,IF(C861&lt;=60,4,IF(C861&lt;=120,3,IF(C861&lt;=200,2,1))))</f>
        <v/>
      </c>
      <c r="G861" s="124">
        <f>IF(D861&gt;=20,5,IF(D861&gt;=10,4,IF(D861&gt;=5,3,IF(D861&gt;=2,2,1))))</f>
        <v/>
      </c>
      <c r="H861" s="124">
        <f>IF(E861&gt;=5000,5,IF(E861&gt;=2000,4,IF(E861&gt;=800,3,IF(E861&gt;=300,2,1))))</f>
        <v/>
      </c>
      <c r="I861" s="122">
        <f>TEXT(F861,"0")&amp;TEXT(G861,"0")&amp;TEXT(H861,"0")</f>
        <v/>
      </c>
      <c r="J861" s="122">
        <f>IFERROR(XLOOKUP(I861,'Segment Map'!A:A,'Segment Map'!B:B,"Need Attention"),"Need Attention")</f>
        <v/>
      </c>
      <c r="K861" s="122">
        <f>IF(E861&gt;=5000,"🏆 Platinum",IF(E861&gt;=2000,"🥇 Gold",IF(E861&gt;=800,"🥈 Silver","🥉 Bronze")))</f>
        <v/>
      </c>
      <c r="L861" s="125" t="n">
        <v>40876</v>
      </c>
    </row>
    <row r="862">
      <c r="A862" s="126" t="n">
        <v>13497</v>
      </c>
      <c r="B862" s="126" t="inlineStr">
        <is>
          <t>United Kingdom</t>
        </is>
      </c>
      <c r="C862" s="126" t="n">
        <v>283</v>
      </c>
      <c r="D862" s="126" t="n">
        <v>2</v>
      </c>
      <c r="E862" s="127" t="n">
        <v>348.05</v>
      </c>
      <c r="F862" s="128">
        <f>IF(C862&lt;=30,5,IF(C862&lt;=60,4,IF(C862&lt;=120,3,IF(C862&lt;=200,2,1))))</f>
        <v/>
      </c>
      <c r="G862" s="128">
        <f>IF(D862&gt;=20,5,IF(D862&gt;=10,4,IF(D862&gt;=5,3,IF(D862&gt;=2,2,1))))</f>
        <v/>
      </c>
      <c r="H862" s="128">
        <f>IF(E862&gt;=5000,5,IF(E862&gt;=2000,4,IF(E862&gt;=800,3,IF(E862&gt;=300,2,1))))</f>
        <v/>
      </c>
      <c r="I862" s="126">
        <f>TEXT(F862,"0")&amp;TEXT(G862,"0")&amp;TEXT(H862,"0")</f>
        <v/>
      </c>
      <c r="J862" s="126">
        <f>IFERROR(XLOOKUP(I862,'Segment Map'!A:A,'Segment Map'!B:B,"Need Attention"),"Need Attention")</f>
        <v/>
      </c>
      <c r="K862" s="126">
        <f>IF(E862&gt;=5000,"🏆 Platinum",IF(E862&gt;=2000,"🥇 Gold",IF(E862&gt;=800,"🥈 Silver","🥉 Bronze")))</f>
        <v/>
      </c>
      <c r="L862" s="129" t="n">
        <v>40604</v>
      </c>
    </row>
    <row r="863">
      <c r="A863" s="122" t="n">
        <v>13499</v>
      </c>
      <c r="B863" s="122" t="inlineStr">
        <is>
          <t>United Kingdom</t>
        </is>
      </c>
      <c r="C863" s="122" t="n">
        <v>18</v>
      </c>
      <c r="D863" s="122" t="n">
        <v>5</v>
      </c>
      <c r="E863" s="123" t="n">
        <v>1159.11</v>
      </c>
      <c r="F863" s="124">
        <f>IF(C863&lt;=30,5,IF(C863&lt;=60,4,IF(C863&lt;=120,3,IF(C863&lt;=200,2,1))))</f>
        <v/>
      </c>
      <c r="G863" s="124">
        <f>IF(D863&gt;=20,5,IF(D863&gt;=10,4,IF(D863&gt;=5,3,IF(D863&gt;=2,2,1))))</f>
        <v/>
      </c>
      <c r="H863" s="124">
        <f>IF(E863&gt;=5000,5,IF(E863&gt;=2000,4,IF(E863&gt;=800,3,IF(E863&gt;=300,2,1))))</f>
        <v/>
      </c>
      <c r="I863" s="122">
        <f>TEXT(F863,"0")&amp;TEXT(G863,"0")&amp;TEXT(H863,"0")</f>
        <v/>
      </c>
      <c r="J863" s="122">
        <f>IFERROR(XLOOKUP(I863,'Segment Map'!A:A,'Segment Map'!B:B,"Need Attention"),"Need Attention")</f>
        <v/>
      </c>
      <c r="K863" s="122">
        <f>IF(E863&gt;=5000,"🏆 Platinum",IF(E863&gt;=2000,"🥇 Gold",IF(E863&gt;=800,"🥈 Silver","🥉 Bronze")))</f>
        <v/>
      </c>
      <c r="L863" s="125" t="n">
        <v>40869</v>
      </c>
    </row>
    <row r="864">
      <c r="A864" s="126" t="n">
        <v>13500</v>
      </c>
      <c r="B864" s="126" t="inlineStr">
        <is>
          <t>United Kingdom</t>
        </is>
      </c>
      <c r="C864" s="126" t="n">
        <v>24</v>
      </c>
      <c r="D864" s="126" t="n">
        <v>3</v>
      </c>
      <c r="E864" s="127" t="n">
        <v>1166.77</v>
      </c>
      <c r="F864" s="128">
        <f>IF(C864&lt;=30,5,IF(C864&lt;=60,4,IF(C864&lt;=120,3,IF(C864&lt;=200,2,1))))</f>
        <v/>
      </c>
      <c r="G864" s="128">
        <f>IF(D864&gt;=20,5,IF(D864&gt;=10,4,IF(D864&gt;=5,3,IF(D864&gt;=2,2,1))))</f>
        <v/>
      </c>
      <c r="H864" s="128">
        <f>IF(E864&gt;=5000,5,IF(E864&gt;=2000,4,IF(E864&gt;=800,3,IF(E864&gt;=300,2,1))))</f>
        <v/>
      </c>
      <c r="I864" s="126">
        <f>TEXT(F864,"0")&amp;TEXT(G864,"0")&amp;TEXT(H864,"0")</f>
        <v/>
      </c>
      <c r="J864" s="126">
        <f>IFERROR(XLOOKUP(I864,'Segment Map'!A:A,'Segment Map'!B:B,"Need Attention"),"Need Attention")</f>
        <v/>
      </c>
      <c r="K864" s="126">
        <f>IF(E864&gt;=5000,"🏆 Platinum",IF(E864&gt;=2000,"🥇 Gold",IF(E864&gt;=800,"🥈 Silver","🥉 Bronze")))</f>
        <v/>
      </c>
      <c r="L864" s="129" t="n">
        <v>40863</v>
      </c>
    </row>
    <row r="865">
      <c r="A865" s="122" t="n">
        <v>13501</v>
      </c>
      <c r="B865" s="122" t="inlineStr">
        <is>
          <t>Switzerland</t>
        </is>
      </c>
      <c r="C865" s="122" t="n">
        <v>289</v>
      </c>
      <c r="D865" s="122" t="n">
        <v>1</v>
      </c>
      <c r="E865" s="123" t="n">
        <v>1340.32</v>
      </c>
      <c r="F865" s="124">
        <f>IF(C865&lt;=30,5,IF(C865&lt;=60,4,IF(C865&lt;=120,3,IF(C865&lt;=200,2,1))))</f>
        <v/>
      </c>
      <c r="G865" s="124">
        <f>IF(D865&gt;=20,5,IF(D865&gt;=10,4,IF(D865&gt;=5,3,IF(D865&gt;=2,2,1))))</f>
        <v/>
      </c>
      <c r="H865" s="124">
        <f>IF(E865&gt;=5000,5,IF(E865&gt;=2000,4,IF(E865&gt;=800,3,IF(E865&gt;=300,2,1))))</f>
        <v/>
      </c>
      <c r="I865" s="122">
        <f>TEXT(F865,"0")&amp;TEXT(G865,"0")&amp;TEXT(H865,"0")</f>
        <v/>
      </c>
      <c r="J865" s="122">
        <f>IFERROR(XLOOKUP(I865,'Segment Map'!A:A,'Segment Map'!B:B,"Need Attention"),"Need Attention")</f>
        <v/>
      </c>
      <c r="K865" s="122">
        <f>IF(E865&gt;=5000,"🏆 Platinum",IF(E865&gt;=2000,"🥇 Gold",IF(E865&gt;=800,"🥈 Silver","🥉 Bronze")))</f>
        <v/>
      </c>
      <c r="L865" s="125" t="n">
        <v>40598</v>
      </c>
    </row>
    <row r="866">
      <c r="A866" s="126" t="n">
        <v>13502</v>
      </c>
      <c r="B866" s="126" t="inlineStr">
        <is>
          <t>United Kingdom</t>
        </is>
      </c>
      <c r="C866" s="126" t="n">
        <v>17</v>
      </c>
      <c r="D866" s="126" t="n">
        <v>3</v>
      </c>
      <c r="E866" s="127" t="n">
        <v>292</v>
      </c>
      <c r="F866" s="128">
        <f>IF(C866&lt;=30,5,IF(C866&lt;=60,4,IF(C866&lt;=120,3,IF(C866&lt;=200,2,1))))</f>
        <v/>
      </c>
      <c r="G866" s="128">
        <f>IF(D866&gt;=20,5,IF(D866&gt;=10,4,IF(D866&gt;=5,3,IF(D866&gt;=2,2,1))))</f>
        <v/>
      </c>
      <c r="H866" s="128">
        <f>IF(E866&gt;=5000,5,IF(E866&gt;=2000,4,IF(E866&gt;=800,3,IF(E866&gt;=300,2,1))))</f>
        <v/>
      </c>
      <c r="I866" s="126">
        <f>TEXT(F866,"0")&amp;TEXT(G866,"0")&amp;TEXT(H866,"0")</f>
        <v/>
      </c>
      <c r="J866" s="126">
        <f>IFERROR(XLOOKUP(I866,'Segment Map'!A:A,'Segment Map'!B:B,"Need Attention"),"Need Attention")</f>
        <v/>
      </c>
      <c r="K866" s="126">
        <f>IF(E866&gt;=5000,"🏆 Platinum",IF(E866&gt;=2000,"🥇 Gold",IF(E866&gt;=800,"🥈 Silver","🥉 Bronze")))</f>
        <v/>
      </c>
      <c r="L866" s="129" t="n">
        <v>40870</v>
      </c>
    </row>
    <row r="867">
      <c r="A867" s="122" t="n">
        <v>13503</v>
      </c>
      <c r="B867" s="122" t="inlineStr">
        <is>
          <t>United Kingdom</t>
        </is>
      </c>
      <c r="C867" s="122" t="n">
        <v>72</v>
      </c>
      <c r="D867" s="122" t="n">
        <v>1</v>
      </c>
      <c r="E867" s="123" t="n">
        <v>216.85</v>
      </c>
      <c r="F867" s="124">
        <f>IF(C867&lt;=30,5,IF(C867&lt;=60,4,IF(C867&lt;=120,3,IF(C867&lt;=200,2,1))))</f>
        <v/>
      </c>
      <c r="G867" s="124">
        <f>IF(D867&gt;=20,5,IF(D867&gt;=10,4,IF(D867&gt;=5,3,IF(D867&gt;=2,2,1))))</f>
        <v/>
      </c>
      <c r="H867" s="124">
        <f>IF(E867&gt;=5000,5,IF(E867&gt;=2000,4,IF(E867&gt;=800,3,IF(E867&gt;=300,2,1))))</f>
        <v/>
      </c>
      <c r="I867" s="122">
        <f>TEXT(F867,"0")&amp;TEXT(G867,"0")&amp;TEXT(H867,"0")</f>
        <v/>
      </c>
      <c r="J867" s="122">
        <f>IFERROR(XLOOKUP(I867,'Segment Map'!A:A,'Segment Map'!B:B,"Need Attention"),"Need Attention")</f>
        <v/>
      </c>
      <c r="K867" s="122">
        <f>IF(E867&gt;=5000,"🏆 Platinum",IF(E867&gt;=2000,"🥇 Gold",IF(E867&gt;=800,"🥈 Silver","🥉 Bronze")))</f>
        <v/>
      </c>
      <c r="L867" s="125" t="n">
        <v>40815</v>
      </c>
    </row>
    <row r="868">
      <c r="A868" s="126" t="n">
        <v>13504</v>
      </c>
      <c r="B868" s="126" t="inlineStr">
        <is>
          <t>United Kingdom</t>
        </is>
      </c>
      <c r="C868" s="126" t="n">
        <v>65</v>
      </c>
      <c r="D868" s="126" t="n">
        <v>1</v>
      </c>
      <c r="E868" s="127" t="n">
        <v>295.93</v>
      </c>
      <c r="F868" s="128">
        <f>IF(C868&lt;=30,5,IF(C868&lt;=60,4,IF(C868&lt;=120,3,IF(C868&lt;=200,2,1))))</f>
        <v/>
      </c>
      <c r="G868" s="128">
        <f>IF(D868&gt;=20,5,IF(D868&gt;=10,4,IF(D868&gt;=5,3,IF(D868&gt;=2,2,1))))</f>
        <v/>
      </c>
      <c r="H868" s="128">
        <f>IF(E868&gt;=5000,5,IF(E868&gt;=2000,4,IF(E868&gt;=800,3,IF(E868&gt;=300,2,1))))</f>
        <v/>
      </c>
      <c r="I868" s="126">
        <f>TEXT(F868,"0")&amp;TEXT(G868,"0")&amp;TEXT(H868,"0")</f>
        <v/>
      </c>
      <c r="J868" s="126">
        <f>IFERROR(XLOOKUP(I868,'Segment Map'!A:A,'Segment Map'!B:B,"Need Attention"),"Need Attention")</f>
        <v/>
      </c>
      <c r="K868" s="126">
        <f>IF(E868&gt;=5000,"🏆 Platinum",IF(E868&gt;=2000,"🥇 Gold",IF(E868&gt;=800,"🥈 Silver","🥉 Bronze")))</f>
        <v/>
      </c>
      <c r="L868" s="129" t="n">
        <v>40822</v>
      </c>
    </row>
    <row r="869">
      <c r="A869" s="122" t="n">
        <v>13505</v>
      </c>
      <c r="B869" s="122" t="inlineStr">
        <is>
          <t>Switzerland</t>
        </is>
      </c>
      <c r="C869" s="122" t="n">
        <v>73</v>
      </c>
      <c r="D869" s="122" t="n">
        <v>4</v>
      </c>
      <c r="E869" s="123" t="n">
        <v>4393.63</v>
      </c>
      <c r="F869" s="124">
        <f>IF(C869&lt;=30,5,IF(C869&lt;=60,4,IF(C869&lt;=120,3,IF(C869&lt;=200,2,1))))</f>
        <v/>
      </c>
      <c r="G869" s="124">
        <f>IF(D869&gt;=20,5,IF(D869&gt;=10,4,IF(D869&gt;=5,3,IF(D869&gt;=2,2,1))))</f>
        <v/>
      </c>
      <c r="H869" s="124">
        <f>IF(E869&gt;=5000,5,IF(E869&gt;=2000,4,IF(E869&gt;=800,3,IF(E869&gt;=300,2,1))))</f>
        <v/>
      </c>
      <c r="I869" s="122">
        <f>TEXT(F869,"0")&amp;TEXT(G869,"0")&amp;TEXT(H869,"0")</f>
        <v/>
      </c>
      <c r="J869" s="122">
        <f>IFERROR(XLOOKUP(I869,'Segment Map'!A:A,'Segment Map'!B:B,"Need Attention"),"Need Attention")</f>
        <v/>
      </c>
      <c r="K869" s="122">
        <f>IF(E869&gt;=5000,"🏆 Platinum",IF(E869&gt;=2000,"🥇 Gold",IF(E869&gt;=800,"🥈 Silver","🥉 Bronze")))</f>
        <v/>
      </c>
      <c r="L869" s="125" t="n">
        <v>40814</v>
      </c>
    </row>
    <row r="870">
      <c r="A870" s="126" t="n">
        <v>13506</v>
      </c>
      <c r="B870" s="126" t="inlineStr">
        <is>
          <t>United Kingdom</t>
        </is>
      </c>
      <c r="C870" s="126" t="n">
        <v>317</v>
      </c>
      <c r="D870" s="126" t="n">
        <v>2</v>
      </c>
      <c r="E870" s="127" t="n">
        <v>458.52</v>
      </c>
      <c r="F870" s="128">
        <f>IF(C870&lt;=30,5,IF(C870&lt;=60,4,IF(C870&lt;=120,3,IF(C870&lt;=200,2,1))))</f>
        <v/>
      </c>
      <c r="G870" s="128">
        <f>IF(D870&gt;=20,5,IF(D870&gt;=10,4,IF(D870&gt;=5,3,IF(D870&gt;=2,2,1))))</f>
        <v/>
      </c>
      <c r="H870" s="128">
        <f>IF(E870&gt;=5000,5,IF(E870&gt;=2000,4,IF(E870&gt;=800,3,IF(E870&gt;=300,2,1))))</f>
        <v/>
      </c>
      <c r="I870" s="126">
        <f>TEXT(F870,"0")&amp;TEXT(G870,"0")&amp;TEXT(H870,"0")</f>
        <v/>
      </c>
      <c r="J870" s="126">
        <f>IFERROR(XLOOKUP(I870,'Segment Map'!A:A,'Segment Map'!B:B,"Need Attention"),"Need Attention")</f>
        <v/>
      </c>
      <c r="K870" s="126">
        <f>IF(E870&gt;=5000,"🏆 Platinum",IF(E870&gt;=2000,"🥇 Gold",IF(E870&gt;=800,"🥈 Silver","🥉 Bronze")))</f>
        <v/>
      </c>
      <c r="L870" s="129" t="n">
        <v>40570</v>
      </c>
    </row>
    <row r="871">
      <c r="A871" s="122" t="n">
        <v>13507</v>
      </c>
      <c r="B871" s="122" t="inlineStr">
        <is>
          <t>United Kingdom</t>
        </is>
      </c>
      <c r="C871" s="122" t="n">
        <v>4</v>
      </c>
      <c r="D871" s="122" t="n">
        <v>4</v>
      </c>
      <c r="E871" s="123" t="n">
        <v>2479.16</v>
      </c>
      <c r="F871" s="124">
        <f>IF(C871&lt;=30,5,IF(C871&lt;=60,4,IF(C871&lt;=120,3,IF(C871&lt;=200,2,1))))</f>
        <v/>
      </c>
      <c r="G871" s="124">
        <f>IF(D871&gt;=20,5,IF(D871&gt;=10,4,IF(D871&gt;=5,3,IF(D871&gt;=2,2,1))))</f>
        <v/>
      </c>
      <c r="H871" s="124">
        <f>IF(E871&gt;=5000,5,IF(E871&gt;=2000,4,IF(E871&gt;=800,3,IF(E871&gt;=300,2,1))))</f>
        <v/>
      </c>
      <c r="I871" s="122">
        <f>TEXT(F871,"0")&amp;TEXT(G871,"0")&amp;TEXT(H871,"0")</f>
        <v/>
      </c>
      <c r="J871" s="122">
        <f>IFERROR(XLOOKUP(I871,'Segment Map'!A:A,'Segment Map'!B:B,"Need Attention"),"Need Attention")</f>
        <v/>
      </c>
      <c r="K871" s="122">
        <f>IF(E871&gt;=5000,"🏆 Platinum",IF(E871&gt;=2000,"🥇 Gold",IF(E871&gt;=800,"🥈 Silver","🥉 Bronze")))</f>
        <v/>
      </c>
      <c r="L871" s="125" t="n">
        <v>40883</v>
      </c>
    </row>
    <row r="872">
      <c r="A872" s="126" t="n">
        <v>13508</v>
      </c>
      <c r="B872" s="126" t="inlineStr">
        <is>
          <t>United Kingdom</t>
        </is>
      </c>
      <c r="C872" s="126" t="n">
        <v>244</v>
      </c>
      <c r="D872" s="126" t="n">
        <v>1</v>
      </c>
      <c r="E872" s="127" t="n">
        <v>110.97</v>
      </c>
      <c r="F872" s="128">
        <f>IF(C872&lt;=30,5,IF(C872&lt;=60,4,IF(C872&lt;=120,3,IF(C872&lt;=200,2,1))))</f>
        <v/>
      </c>
      <c r="G872" s="128">
        <f>IF(D872&gt;=20,5,IF(D872&gt;=10,4,IF(D872&gt;=5,3,IF(D872&gt;=2,2,1))))</f>
        <v/>
      </c>
      <c r="H872" s="128">
        <f>IF(E872&gt;=5000,5,IF(E872&gt;=2000,4,IF(E872&gt;=800,3,IF(E872&gt;=300,2,1))))</f>
        <v/>
      </c>
      <c r="I872" s="126">
        <f>TEXT(F872,"0")&amp;TEXT(G872,"0")&amp;TEXT(H872,"0")</f>
        <v/>
      </c>
      <c r="J872" s="126">
        <f>IFERROR(XLOOKUP(I872,'Segment Map'!A:A,'Segment Map'!B:B,"Need Attention"),"Need Attention")</f>
        <v/>
      </c>
      <c r="K872" s="126">
        <f>IF(E872&gt;=5000,"🏆 Platinum",IF(E872&gt;=2000,"🥇 Gold",IF(E872&gt;=800,"🥈 Silver","🥉 Bronze")))</f>
        <v/>
      </c>
      <c r="L872" s="129" t="n">
        <v>40643</v>
      </c>
    </row>
    <row r="873">
      <c r="A873" s="122" t="n">
        <v>13509</v>
      </c>
      <c r="B873" s="122" t="inlineStr">
        <is>
          <t>United Kingdom</t>
        </is>
      </c>
      <c r="C873" s="122" t="n">
        <v>9</v>
      </c>
      <c r="D873" s="122" t="n">
        <v>7</v>
      </c>
      <c r="E873" s="123" t="n">
        <v>979.72</v>
      </c>
      <c r="F873" s="124">
        <f>IF(C873&lt;=30,5,IF(C873&lt;=60,4,IF(C873&lt;=120,3,IF(C873&lt;=200,2,1))))</f>
        <v/>
      </c>
      <c r="G873" s="124">
        <f>IF(D873&gt;=20,5,IF(D873&gt;=10,4,IF(D873&gt;=5,3,IF(D873&gt;=2,2,1))))</f>
        <v/>
      </c>
      <c r="H873" s="124">
        <f>IF(E873&gt;=5000,5,IF(E873&gt;=2000,4,IF(E873&gt;=800,3,IF(E873&gt;=300,2,1))))</f>
        <v/>
      </c>
      <c r="I873" s="122">
        <f>TEXT(F873,"0")&amp;TEXT(G873,"0")&amp;TEXT(H873,"0")</f>
        <v/>
      </c>
      <c r="J873" s="122">
        <f>IFERROR(XLOOKUP(I873,'Segment Map'!A:A,'Segment Map'!B:B,"Need Attention"),"Need Attention")</f>
        <v/>
      </c>
      <c r="K873" s="122">
        <f>IF(E873&gt;=5000,"🏆 Platinum",IF(E873&gt;=2000,"🥇 Gold",IF(E873&gt;=800,"🥈 Silver","🥉 Bronze")))</f>
        <v/>
      </c>
      <c r="L873" s="125" t="n">
        <v>40878</v>
      </c>
    </row>
    <row r="874">
      <c r="A874" s="126" t="n">
        <v>13510</v>
      </c>
      <c r="B874" s="126" t="inlineStr">
        <is>
          <t>United Kingdom</t>
        </is>
      </c>
      <c r="C874" s="126" t="n">
        <v>2</v>
      </c>
      <c r="D874" s="126" t="n">
        <v>4</v>
      </c>
      <c r="E874" s="127" t="n">
        <v>1791.56</v>
      </c>
      <c r="F874" s="128">
        <f>IF(C874&lt;=30,5,IF(C874&lt;=60,4,IF(C874&lt;=120,3,IF(C874&lt;=200,2,1))))</f>
        <v/>
      </c>
      <c r="G874" s="128">
        <f>IF(D874&gt;=20,5,IF(D874&gt;=10,4,IF(D874&gt;=5,3,IF(D874&gt;=2,2,1))))</f>
        <v/>
      </c>
      <c r="H874" s="128">
        <f>IF(E874&gt;=5000,5,IF(E874&gt;=2000,4,IF(E874&gt;=800,3,IF(E874&gt;=300,2,1))))</f>
        <v/>
      </c>
      <c r="I874" s="126">
        <f>TEXT(F874,"0")&amp;TEXT(G874,"0")&amp;TEXT(H874,"0")</f>
        <v/>
      </c>
      <c r="J874" s="126">
        <f>IFERROR(XLOOKUP(I874,'Segment Map'!A:A,'Segment Map'!B:B,"Need Attention"),"Need Attention")</f>
        <v/>
      </c>
      <c r="K874" s="126">
        <f>IF(E874&gt;=5000,"🏆 Platinum",IF(E874&gt;=2000,"🥇 Gold",IF(E874&gt;=800,"🥈 Silver","🥉 Bronze")))</f>
        <v/>
      </c>
      <c r="L874" s="129" t="n">
        <v>40885</v>
      </c>
    </row>
    <row r="875">
      <c r="A875" s="122" t="n">
        <v>13512</v>
      </c>
      <c r="B875" s="122" t="inlineStr">
        <is>
          <t>United Kingdom</t>
        </is>
      </c>
      <c r="C875" s="122" t="n">
        <v>261</v>
      </c>
      <c r="D875" s="122" t="n">
        <v>1</v>
      </c>
      <c r="E875" s="123" t="n">
        <v>251.21</v>
      </c>
      <c r="F875" s="124">
        <f>IF(C875&lt;=30,5,IF(C875&lt;=60,4,IF(C875&lt;=120,3,IF(C875&lt;=200,2,1))))</f>
        <v/>
      </c>
      <c r="G875" s="124">
        <f>IF(D875&gt;=20,5,IF(D875&gt;=10,4,IF(D875&gt;=5,3,IF(D875&gt;=2,2,1))))</f>
        <v/>
      </c>
      <c r="H875" s="124">
        <f>IF(E875&gt;=5000,5,IF(E875&gt;=2000,4,IF(E875&gt;=800,3,IF(E875&gt;=300,2,1))))</f>
        <v/>
      </c>
      <c r="I875" s="122">
        <f>TEXT(F875,"0")&amp;TEXT(G875,"0")&amp;TEXT(H875,"0")</f>
        <v/>
      </c>
      <c r="J875" s="122">
        <f>IFERROR(XLOOKUP(I875,'Segment Map'!A:A,'Segment Map'!B:B,"Need Attention"),"Need Attention")</f>
        <v/>
      </c>
      <c r="K875" s="122">
        <f>IF(E875&gt;=5000,"🏆 Platinum",IF(E875&gt;=2000,"🥇 Gold",IF(E875&gt;=800,"🥈 Silver","🥉 Bronze")))</f>
        <v/>
      </c>
      <c r="L875" s="125" t="n">
        <v>40626</v>
      </c>
    </row>
    <row r="876">
      <c r="A876" s="126" t="n">
        <v>13513</v>
      </c>
      <c r="B876" s="126" t="inlineStr">
        <is>
          <t>United Kingdom</t>
        </is>
      </c>
      <c r="C876" s="126" t="n">
        <v>127</v>
      </c>
      <c r="D876" s="126" t="n">
        <v>1</v>
      </c>
      <c r="E876" s="127" t="n">
        <v>205.1</v>
      </c>
      <c r="F876" s="128">
        <f>IF(C876&lt;=30,5,IF(C876&lt;=60,4,IF(C876&lt;=120,3,IF(C876&lt;=200,2,1))))</f>
        <v/>
      </c>
      <c r="G876" s="128">
        <f>IF(D876&gt;=20,5,IF(D876&gt;=10,4,IF(D876&gt;=5,3,IF(D876&gt;=2,2,1))))</f>
        <v/>
      </c>
      <c r="H876" s="128">
        <f>IF(E876&gt;=5000,5,IF(E876&gt;=2000,4,IF(E876&gt;=800,3,IF(E876&gt;=300,2,1))))</f>
        <v/>
      </c>
      <c r="I876" s="126">
        <f>TEXT(F876,"0")&amp;TEXT(G876,"0")&amp;TEXT(H876,"0")</f>
        <v/>
      </c>
      <c r="J876" s="126">
        <f>IFERROR(XLOOKUP(I876,'Segment Map'!A:A,'Segment Map'!B:B,"Need Attention"),"Need Attention")</f>
        <v/>
      </c>
      <c r="K876" s="126">
        <f>IF(E876&gt;=5000,"🏆 Platinum",IF(E876&gt;=2000,"🥇 Gold",IF(E876&gt;=800,"🥈 Silver","🥉 Bronze")))</f>
        <v/>
      </c>
      <c r="L876" s="129" t="n">
        <v>40760</v>
      </c>
    </row>
    <row r="877">
      <c r="A877" s="122" t="n">
        <v>13514</v>
      </c>
      <c r="B877" s="122" t="inlineStr">
        <is>
          <t>United Kingdom</t>
        </is>
      </c>
      <c r="C877" s="122" t="n">
        <v>74</v>
      </c>
      <c r="D877" s="122" t="n">
        <v>1</v>
      </c>
      <c r="E877" s="123" t="n">
        <v>152.2</v>
      </c>
      <c r="F877" s="124">
        <f>IF(C877&lt;=30,5,IF(C877&lt;=60,4,IF(C877&lt;=120,3,IF(C877&lt;=200,2,1))))</f>
        <v/>
      </c>
      <c r="G877" s="124">
        <f>IF(D877&gt;=20,5,IF(D877&gt;=10,4,IF(D877&gt;=5,3,IF(D877&gt;=2,2,1))))</f>
        <v/>
      </c>
      <c r="H877" s="124">
        <f>IF(E877&gt;=5000,5,IF(E877&gt;=2000,4,IF(E877&gt;=800,3,IF(E877&gt;=300,2,1))))</f>
        <v/>
      </c>
      <c r="I877" s="122">
        <f>TEXT(F877,"0")&amp;TEXT(G877,"0")&amp;TEXT(H877,"0")</f>
        <v/>
      </c>
      <c r="J877" s="122">
        <f>IFERROR(XLOOKUP(I877,'Segment Map'!A:A,'Segment Map'!B:B,"Need Attention"),"Need Attention")</f>
        <v/>
      </c>
      <c r="K877" s="122">
        <f>IF(E877&gt;=5000,"🏆 Platinum",IF(E877&gt;=2000,"🥇 Gold",IF(E877&gt;=800,"🥈 Silver","🥉 Bronze")))</f>
        <v/>
      </c>
      <c r="L877" s="125" t="n">
        <v>40813</v>
      </c>
    </row>
    <row r="878">
      <c r="A878" s="126" t="n">
        <v>13515</v>
      </c>
      <c r="B878" s="126" t="inlineStr">
        <is>
          <t>United Kingdom</t>
        </is>
      </c>
      <c r="C878" s="126" t="n">
        <v>73</v>
      </c>
      <c r="D878" s="126" t="n">
        <v>4</v>
      </c>
      <c r="E878" s="127" t="n">
        <v>891.12</v>
      </c>
      <c r="F878" s="128">
        <f>IF(C878&lt;=30,5,IF(C878&lt;=60,4,IF(C878&lt;=120,3,IF(C878&lt;=200,2,1))))</f>
        <v/>
      </c>
      <c r="G878" s="128">
        <f>IF(D878&gt;=20,5,IF(D878&gt;=10,4,IF(D878&gt;=5,3,IF(D878&gt;=2,2,1))))</f>
        <v/>
      </c>
      <c r="H878" s="128">
        <f>IF(E878&gt;=5000,5,IF(E878&gt;=2000,4,IF(E878&gt;=800,3,IF(E878&gt;=300,2,1))))</f>
        <v/>
      </c>
      <c r="I878" s="126">
        <f>TEXT(F878,"0")&amp;TEXT(G878,"0")&amp;TEXT(H878,"0")</f>
        <v/>
      </c>
      <c r="J878" s="126">
        <f>IFERROR(XLOOKUP(I878,'Segment Map'!A:A,'Segment Map'!B:B,"Need Attention"),"Need Attention")</f>
        <v/>
      </c>
      <c r="K878" s="126">
        <f>IF(E878&gt;=5000,"🏆 Platinum",IF(E878&gt;=2000,"🥇 Gold",IF(E878&gt;=800,"🥈 Silver","🥉 Bronze")))</f>
        <v/>
      </c>
      <c r="L878" s="129" t="n">
        <v>40814</v>
      </c>
    </row>
    <row r="879">
      <c r="A879" s="122" t="n">
        <v>13516</v>
      </c>
      <c r="B879" s="122" t="inlineStr">
        <is>
          <t>United Kingdom</t>
        </is>
      </c>
      <c r="C879" s="122" t="n">
        <v>22</v>
      </c>
      <c r="D879" s="122" t="n">
        <v>3</v>
      </c>
      <c r="E879" s="123" t="n">
        <v>1389.41</v>
      </c>
      <c r="F879" s="124">
        <f>IF(C879&lt;=30,5,IF(C879&lt;=60,4,IF(C879&lt;=120,3,IF(C879&lt;=200,2,1))))</f>
        <v/>
      </c>
      <c r="G879" s="124">
        <f>IF(D879&gt;=20,5,IF(D879&gt;=10,4,IF(D879&gt;=5,3,IF(D879&gt;=2,2,1))))</f>
        <v/>
      </c>
      <c r="H879" s="124">
        <f>IF(E879&gt;=5000,5,IF(E879&gt;=2000,4,IF(E879&gt;=800,3,IF(E879&gt;=300,2,1))))</f>
        <v/>
      </c>
      <c r="I879" s="122">
        <f>TEXT(F879,"0")&amp;TEXT(G879,"0")&amp;TEXT(H879,"0")</f>
        <v/>
      </c>
      <c r="J879" s="122">
        <f>IFERROR(XLOOKUP(I879,'Segment Map'!A:A,'Segment Map'!B:B,"Need Attention"),"Need Attention")</f>
        <v/>
      </c>
      <c r="K879" s="122">
        <f>IF(E879&gt;=5000,"🏆 Platinum",IF(E879&gt;=2000,"🥇 Gold",IF(E879&gt;=800,"🥈 Silver","🥉 Bronze")))</f>
        <v/>
      </c>
      <c r="L879" s="125" t="n">
        <v>40865</v>
      </c>
    </row>
    <row r="880">
      <c r="A880" s="126" t="n">
        <v>13517</v>
      </c>
      <c r="B880" s="126" t="inlineStr">
        <is>
          <t>United Kingdom</t>
        </is>
      </c>
      <c r="C880" s="126" t="n">
        <v>60</v>
      </c>
      <c r="D880" s="126" t="n">
        <v>3</v>
      </c>
      <c r="E880" s="127" t="n">
        <v>2128.42</v>
      </c>
      <c r="F880" s="128">
        <f>IF(C880&lt;=30,5,IF(C880&lt;=60,4,IF(C880&lt;=120,3,IF(C880&lt;=200,2,1))))</f>
        <v/>
      </c>
      <c r="G880" s="128">
        <f>IF(D880&gt;=20,5,IF(D880&gt;=10,4,IF(D880&gt;=5,3,IF(D880&gt;=2,2,1))))</f>
        <v/>
      </c>
      <c r="H880" s="128">
        <f>IF(E880&gt;=5000,5,IF(E880&gt;=2000,4,IF(E880&gt;=800,3,IF(E880&gt;=300,2,1))))</f>
        <v/>
      </c>
      <c r="I880" s="126">
        <f>TEXT(F880,"0")&amp;TEXT(G880,"0")&amp;TEXT(H880,"0")</f>
        <v/>
      </c>
      <c r="J880" s="126">
        <f>IFERROR(XLOOKUP(I880,'Segment Map'!A:A,'Segment Map'!B:B,"Need Attention"),"Need Attention")</f>
        <v/>
      </c>
      <c r="K880" s="126">
        <f>IF(E880&gt;=5000,"🏆 Platinum",IF(E880&gt;=2000,"🥇 Gold",IF(E880&gt;=800,"🥈 Silver","🥉 Bronze")))</f>
        <v/>
      </c>
      <c r="L880" s="129" t="n">
        <v>40827</v>
      </c>
    </row>
    <row r="881">
      <c r="A881" s="122" t="n">
        <v>13518</v>
      </c>
      <c r="B881" s="122" t="inlineStr">
        <is>
          <t>United Kingdom</t>
        </is>
      </c>
      <c r="C881" s="122" t="n">
        <v>86</v>
      </c>
      <c r="D881" s="122" t="n">
        <v>1</v>
      </c>
      <c r="E881" s="123" t="n">
        <v>659.4400000000001</v>
      </c>
      <c r="F881" s="124">
        <f>IF(C881&lt;=30,5,IF(C881&lt;=60,4,IF(C881&lt;=120,3,IF(C881&lt;=200,2,1))))</f>
        <v/>
      </c>
      <c r="G881" s="124">
        <f>IF(D881&gt;=20,5,IF(D881&gt;=10,4,IF(D881&gt;=5,3,IF(D881&gt;=2,2,1))))</f>
        <v/>
      </c>
      <c r="H881" s="124">
        <f>IF(E881&gt;=5000,5,IF(E881&gt;=2000,4,IF(E881&gt;=800,3,IF(E881&gt;=300,2,1))))</f>
        <v/>
      </c>
      <c r="I881" s="122">
        <f>TEXT(F881,"0")&amp;TEXT(G881,"0")&amp;TEXT(H881,"0")</f>
        <v/>
      </c>
      <c r="J881" s="122">
        <f>IFERROR(XLOOKUP(I881,'Segment Map'!A:A,'Segment Map'!B:B,"Need Attention"),"Need Attention")</f>
        <v/>
      </c>
      <c r="K881" s="122">
        <f>IF(E881&gt;=5000,"🏆 Platinum",IF(E881&gt;=2000,"🥇 Gold",IF(E881&gt;=800,"🥈 Silver","🥉 Bronze")))</f>
        <v/>
      </c>
      <c r="L881" s="125" t="n">
        <v>40801</v>
      </c>
    </row>
    <row r="882">
      <c r="A882" s="126" t="n">
        <v>13519</v>
      </c>
      <c r="B882" s="126" t="inlineStr">
        <is>
          <t>United Kingdom</t>
        </is>
      </c>
      <c r="C882" s="126" t="n">
        <v>79</v>
      </c>
      <c r="D882" s="126" t="n">
        <v>1</v>
      </c>
      <c r="E882" s="127" t="n">
        <v>122.75</v>
      </c>
      <c r="F882" s="128">
        <f>IF(C882&lt;=30,5,IF(C882&lt;=60,4,IF(C882&lt;=120,3,IF(C882&lt;=200,2,1))))</f>
        <v/>
      </c>
      <c r="G882" s="128">
        <f>IF(D882&gt;=20,5,IF(D882&gt;=10,4,IF(D882&gt;=5,3,IF(D882&gt;=2,2,1))))</f>
        <v/>
      </c>
      <c r="H882" s="128">
        <f>IF(E882&gt;=5000,5,IF(E882&gt;=2000,4,IF(E882&gt;=800,3,IF(E882&gt;=300,2,1))))</f>
        <v/>
      </c>
      <c r="I882" s="126">
        <f>TEXT(F882,"0")&amp;TEXT(G882,"0")&amp;TEXT(H882,"0")</f>
        <v/>
      </c>
      <c r="J882" s="126">
        <f>IFERROR(XLOOKUP(I882,'Segment Map'!A:A,'Segment Map'!B:B,"Need Attention"),"Need Attention")</f>
        <v/>
      </c>
      <c r="K882" s="126">
        <f>IF(E882&gt;=5000,"🏆 Platinum",IF(E882&gt;=2000,"🥇 Gold",IF(E882&gt;=800,"🥈 Silver","🥉 Bronze")))</f>
        <v/>
      </c>
      <c r="L882" s="129" t="n">
        <v>40808</v>
      </c>
    </row>
    <row r="883">
      <c r="A883" s="122" t="n">
        <v>13520</v>
      </c>
      <c r="B883" s="122" t="inlineStr">
        <is>
          <t>Switzerland</t>
        </is>
      </c>
      <c r="C883" s="122" t="n">
        <v>59</v>
      </c>
      <c r="D883" s="122" t="n">
        <v>6</v>
      </c>
      <c r="E883" s="123" t="n">
        <v>3624.35</v>
      </c>
      <c r="F883" s="124">
        <f>IF(C883&lt;=30,5,IF(C883&lt;=60,4,IF(C883&lt;=120,3,IF(C883&lt;=200,2,1))))</f>
        <v/>
      </c>
      <c r="G883" s="124">
        <f>IF(D883&gt;=20,5,IF(D883&gt;=10,4,IF(D883&gt;=5,3,IF(D883&gt;=2,2,1))))</f>
        <v/>
      </c>
      <c r="H883" s="124">
        <f>IF(E883&gt;=5000,5,IF(E883&gt;=2000,4,IF(E883&gt;=800,3,IF(E883&gt;=300,2,1))))</f>
        <v/>
      </c>
      <c r="I883" s="122">
        <f>TEXT(F883,"0")&amp;TEXT(G883,"0")&amp;TEXT(H883,"0")</f>
        <v/>
      </c>
      <c r="J883" s="122">
        <f>IFERROR(XLOOKUP(I883,'Segment Map'!A:A,'Segment Map'!B:B,"Need Attention"),"Need Attention")</f>
        <v/>
      </c>
      <c r="K883" s="122">
        <f>IF(E883&gt;=5000,"🏆 Platinum",IF(E883&gt;=2000,"🥇 Gold",IF(E883&gt;=800,"🥈 Silver","🥉 Bronze")))</f>
        <v/>
      </c>
      <c r="L883" s="125" t="n">
        <v>40828</v>
      </c>
    </row>
    <row r="884">
      <c r="A884" s="126" t="n">
        <v>13521</v>
      </c>
      <c r="B884" s="126" t="inlineStr">
        <is>
          <t>United Kingdom</t>
        </is>
      </c>
      <c r="C884" s="126" t="n">
        <v>2</v>
      </c>
      <c r="D884" s="126" t="n">
        <v>3</v>
      </c>
      <c r="E884" s="127" t="n">
        <v>1093.65</v>
      </c>
      <c r="F884" s="128">
        <f>IF(C884&lt;=30,5,IF(C884&lt;=60,4,IF(C884&lt;=120,3,IF(C884&lt;=200,2,1))))</f>
        <v/>
      </c>
      <c r="G884" s="128">
        <f>IF(D884&gt;=20,5,IF(D884&gt;=10,4,IF(D884&gt;=5,3,IF(D884&gt;=2,2,1))))</f>
        <v/>
      </c>
      <c r="H884" s="128">
        <f>IF(E884&gt;=5000,5,IF(E884&gt;=2000,4,IF(E884&gt;=800,3,IF(E884&gt;=300,2,1))))</f>
        <v/>
      </c>
      <c r="I884" s="126">
        <f>TEXT(F884,"0")&amp;TEXT(G884,"0")&amp;TEXT(H884,"0")</f>
        <v/>
      </c>
      <c r="J884" s="126">
        <f>IFERROR(XLOOKUP(I884,'Segment Map'!A:A,'Segment Map'!B:B,"Need Attention"),"Need Attention")</f>
        <v/>
      </c>
      <c r="K884" s="126">
        <f>IF(E884&gt;=5000,"🏆 Platinum",IF(E884&gt;=2000,"🥇 Gold",IF(E884&gt;=800,"🥈 Silver","🥉 Bronze")))</f>
        <v/>
      </c>
      <c r="L884" s="129" t="n">
        <v>40885</v>
      </c>
    </row>
    <row r="885">
      <c r="A885" s="122" t="n">
        <v>13522</v>
      </c>
      <c r="B885" s="122" t="inlineStr">
        <is>
          <t>United Kingdom</t>
        </is>
      </c>
      <c r="C885" s="122" t="n">
        <v>31</v>
      </c>
      <c r="D885" s="122" t="n">
        <v>1</v>
      </c>
      <c r="E885" s="123" t="n">
        <v>125.8</v>
      </c>
      <c r="F885" s="124">
        <f>IF(C885&lt;=30,5,IF(C885&lt;=60,4,IF(C885&lt;=120,3,IF(C885&lt;=200,2,1))))</f>
        <v/>
      </c>
      <c r="G885" s="124">
        <f>IF(D885&gt;=20,5,IF(D885&gt;=10,4,IF(D885&gt;=5,3,IF(D885&gt;=2,2,1))))</f>
        <v/>
      </c>
      <c r="H885" s="124">
        <f>IF(E885&gt;=5000,5,IF(E885&gt;=2000,4,IF(E885&gt;=800,3,IF(E885&gt;=300,2,1))))</f>
        <v/>
      </c>
      <c r="I885" s="122">
        <f>TEXT(F885,"0")&amp;TEXT(G885,"0")&amp;TEXT(H885,"0")</f>
        <v/>
      </c>
      <c r="J885" s="122">
        <f>IFERROR(XLOOKUP(I885,'Segment Map'!A:A,'Segment Map'!B:B,"Need Attention"),"Need Attention")</f>
        <v/>
      </c>
      <c r="K885" s="122">
        <f>IF(E885&gt;=5000,"🏆 Platinum",IF(E885&gt;=2000,"🥇 Gold",IF(E885&gt;=800,"🥈 Silver","🥉 Bronze")))</f>
        <v/>
      </c>
      <c r="L885" s="125" t="n">
        <v>40856</v>
      </c>
    </row>
    <row r="886">
      <c r="A886" s="126" t="n">
        <v>13523</v>
      </c>
      <c r="B886" s="126" t="inlineStr">
        <is>
          <t>United Kingdom</t>
        </is>
      </c>
      <c r="C886" s="126" t="n">
        <v>34</v>
      </c>
      <c r="D886" s="126" t="n">
        <v>5</v>
      </c>
      <c r="E886" s="127" t="n">
        <v>3964.88</v>
      </c>
      <c r="F886" s="128">
        <f>IF(C886&lt;=30,5,IF(C886&lt;=60,4,IF(C886&lt;=120,3,IF(C886&lt;=200,2,1))))</f>
        <v/>
      </c>
      <c r="G886" s="128">
        <f>IF(D886&gt;=20,5,IF(D886&gt;=10,4,IF(D886&gt;=5,3,IF(D886&gt;=2,2,1))))</f>
        <v/>
      </c>
      <c r="H886" s="128">
        <f>IF(E886&gt;=5000,5,IF(E886&gt;=2000,4,IF(E886&gt;=800,3,IF(E886&gt;=300,2,1))))</f>
        <v/>
      </c>
      <c r="I886" s="126">
        <f>TEXT(F886,"0")&amp;TEXT(G886,"0")&amp;TEXT(H886,"0")</f>
        <v/>
      </c>
      <c r="J886" s="126">
        <f>IFERROR(XLOOKUP(I886,'Segment Map'!A:A,'Segment Map'!B:B,"Need Attention"),"Need Attention")</f>
        <v/>
      </c>
      <c r="K886" s="126">
        <f>IF(E886&gt;=5000,"🏆 Platinum",IF(E886&gt;=2000,"🥇 Gold",IF(E886&gt;=800,"🥈 Silver","🥉 Bronze")))</f>
        <v/>
      </c>
      <c r="L886" s="129" t="n">
        <v>40853</v>
      </c>
    </row>
    <row r="887">
      <c r="A887" s="122" t="n">
        <v>13524</v>
      </c>
      <c r="B887" s="122" t="inlineStr">
        <is>
          <t>United Kingdom</t>
        </is>
      </c>
      <c r="C887" s="122" t="n">
        <v>41</v>
      </c>
      <c r="D887" s="122" t="n">
        <v>5</v>
      </c>
      <c r="E887" s="123" t="n">
        <v>680.1799999999999</v>
      </c>
      <c r="F887" s="124">
        <f>IF(C887&lt;=30,5,IF(C887&lt;=60,4,IF(C887&lt;=120,3,IF(C887&lt;=200,2,1))))</f>
        <v/>
      </c>
      <c r="G887" s="124">
        <f>IF(D887&gt;=20,5,IF(D887&gt;=10,4,IF(D887&gt;=5,3,IF(D887&gt;=2,2,1))))</f>
        <v/>
      </c>
      <c r="H887" s="124">
        <f>IF(E887&gt;=5000,5,IF(E887&gt;=2000,4,IF(E887&gt;=800,3,IF(E887&gt;=300,2,1))))</f>
        <v/>
      </c>
      <c r="I887" s="122">
        <f>TEXT(F887,"0")&amp;TEXT(G887,"0")&amp;TEXT(H887,"0")</f>
        <v/>
      </c>
      <c r="J887" s="122">
        <f>IFERROR(XLOOKUP(I887,'Segment Map'!A:A,'Segment Map'!B:B,"Need Attention"),"Need Attention")</f>
        <v/>
      </c>
      <c r="K887" s="122">
        <f>IF(E887&gt;=5000,"🏆 Platinum",IF(E887&gt;=2000,"🥇 Gold",IF(E887&gt;=800,"🥈 Silver","🥉 Bronze")))</f>
        <v/>
      </c>
      <c r="L887" s="125" t="n">
        <v>40846</v>
      </c>
    </row>
    <row r="888">
      <c r="A888" s="126" t="n">
        <v>13525</v>
      </c>
      <c r="B888" s="126" t="inlineStr">
        <is>
          <t>United Kingdom</t>
        </is>
      </c>
      <c r="C888" s="126" t="n">
        <v>15</v>
      </c>
      <c r="D888" s="126" t="n">
        <v>2</v>
      </c>
      <c r="E888" s="127" t="n">
        <v>628.78</v>
      </c>
      <c r="F888" s="128">
        <f>IF(C888&lt;=30,5,IF(C888&lt;=60,4,IF(C888&lt;=120,3,IF(C888&lt;=200,2,1))))</f>
        <v/>
      </c>
      <c r="G888" s="128">
        <f>IF(D888&gt;=20,5,IF(D888&gt;=10,4,IF(D888&gt;=5,3,IF(D888&gt;=2,2,1))))</f>
        <v/>
      </c>
      <c r="H888" s="128">
        <f>IF(E888&gt;=5000,5,IF(E888&gt;=2000,4,IF(E888&gt;=800,3,IF(E888&gt;=300,2,1))))</f>
        <v/>
      </c>
      <c r="I888" s="126">
        <f>TEXT(F888,"0")&amp;TEXT(G888,"0")&amp;TEXT(H888,"0")</f>
        <v/>
      </c>
      <c r="J888" s="126">
        <f>IFERROR(XLOOKUP(I888,'Segment Map'!A:A,'Segment Map'!B:B,"Need Attention"),"Need Attention")</f>
        <v/>
      </c>
      <c r="K888" s="126">
        <f>IF(E888&gt;=5000,"🏆 Platinum",IF(E888&gt;=2000,"🥇 Gold",IF(E888&gt;=800,"🥈 Silver","🥉 Bronze")))</f>
        <v/>
      </c>
      <c r="L888" s="129" t="n">
        <v>40872</v>
      </c>
    </row>
    <row r="889">
      <c r="A889" s="122" t="n">
        <v>13527</v>
      </c>
      <c r="B889" s="122" t="inlineStr">
        <is>
          <t>United Kingdom</t>
        </is>
      </c>
      <c r="C889" s="122" t="n">
        <v>34</v>
      </c>
      <c r="D889" s="122" t="n">
        <v>7</v>
      </c>
      <c r="E889" s="123" t="n">
        <v>2287.51</v>
      </c>
      <c r="F889" s="124">
        <f>IF(C889&lt;=30,5,IF(C889&lt;=60,4,IF(C889&lt;=120,3,IF(C889&lt;=200,2,1))))</f>
        <v/>
      </c>
      <c r="G889" s="124">
        <f>IF(D889&gt;=20,5,IF(D889&gt;=10,4,IF(D889&gt;=5,3,IF(D889&gt;=2,2,1))))</f>
        <v/>
      </c>
      <c r="H889" s="124">
        <f>IF(E889&gt;=5000,5,IF(E889&gt;=2000,4,IF(E889&gt;=800,3,IF(E889&gt;=300,2,1))))</f>
        <v/>
      </c>
      <c r="I889" s="122">
        <f>TEXT(F889,"0")&amp;TEXT(G889,"0")&amp;TEXT(H889,"0")</f>
        <v/>
      </c>
      <c r="J889" s="122">
        <f>IFERROR(XLOOKUP(I889,'Segment Map'!A:A,'Segment Map'!B:B,"Need Attention"),"Need Attention")</f>
        <v/>
      </c>
      <c r="K889" s="122">
        <f>IF(E889&gt;=5000,"🏆 Platinum",IF(E889&gt;=2000,"🥇 Gold",IF(E889&gt;=800,"🥈 Silver","🥉 Bronze")))</f>
        <v/>
      </c>
      <c r="L889" s="125" t="n">
        <v>40853</v>
      </c>
    </row>
    <row r="890">
      <c r="A890" s="126" t="n">
        <v>13529</v>
      </c>
      <c r="B890" s="126" t="inlineStr">
        <is>
          <t>United Kingdom</t>
        </is>
      </c>
      <c r="C890" s="126" t="n">
        <v>79</v>
      </c>
      <c r="D890" s="126" t="n">
        <v>2</v>
      </c>
      <c r="E890" s="127" t="n">
        <v>307.76</v>
      </c>
      <c r="F890" s="128">
        <f>IF(C890&lt;=30,5,IF(C890&lt;=60,4,IF(C890&lt;=120,3,IF(C890&lt;=200,2,1))))</f>
        <v/>
      </c>
      <c r="G890" s="128">
        <f>IF(D890&gt;=20,5,IF(D890&gt;=10,4,IF(D890&gt;=5,3,IF(D890&gt;=2,2,1))))</f>
        <v/>
      </c>
      <c r="H890" s="128">
        <f>IF(E890&gt;=5000,5,IF(E890&gt;=2000,4,IF(E890&gt;=800,3,IF(E890&gt;=300,2,1))))</f>
        <v/>
      </c>
      <c r="I890" s="126">
        <f>TEXT(F890,"0")&amp;TEXT(G890,"0")&amp;TEXT(H890,"0")</f>
        <v/>
      </c>
      <c r="J890" s="126">
        <f>IFERROR(XLOOKUP(I890,'Segment Map'!A:A,'Segment Map'!B:B,"Need Attention"),"Need Attention")</f>
        <v/>
      </c>
      <c r="K890" s="126">
        <f>IF(E890&gt;=5000,"🏆 Platinum",IF(E890&gt;=2000,"🥇 Gold",IF(E890&gt;=800,"🥈 Silver","🥉 Bronze")))</f>
        <v/>
      </c>
      <c r="L890" s="129" t="n">
        <v>40808</v>
      </c>
    </row>
    <row r="891">
      <c r="A891" s="122" t="n">
        <v>13531</v>
      </c>
      <c r="B891" s="122" t="inlineStr">
        <is>
          <t>United Kingdom</t>
        </is>
      </c>
      <c r="C891" s="122" t="n">
        <v>206</v>
      </c>
      <c r="D891" s="122" t="n">
        <v>2</v>
      </c>
      <c r="E891" s="123" t="n">
        <v>483.8</v>
      </c>
      <c r="F891" s="124">
        <f>IF(C891&lt;=30,5,IF(C891&lt;=60,4,IF(C891&lt;=120,3,IF(C891&lt;=200,2,1))))</f>
        <v/>
      </c>
      <c r="G891" s="124">
        <f>IF(D891&gt;=20,5,IF(D891&gt;=10,4,IF(D891&gt;=5,3,IF(D891&gt;=2,2,1))))</f>
        <v/>
      </c>
      <c r="H891" s="124">
        <f>IF(E891&gt;=5000,5,IF(E891&gt;=2000,4,IF(E891&gt;=800,3,IF(E891&gt;=300,2,1))))</f>
        <v/>
      </c>
      <c r="I891" s="122">
        <f>TEXT(F891,"0")&amp;TEXT(G891,"0")&amp;TEXT(H891,"0")</f>
        <v/>
      </c>
      <c r="J891" s="122">
        <f>IFERROR(XLOOKUP(I891,'Segment Map'!A:A,'Segment Map'!B:B,"Need Attention"),"Need Attention")</f>
        <v/>
      </c>
      <c r="K891" s="122">
        <f>IF(E891&gt;=5000,"🏆 Platinum",IF(E891&gt;=2000,"🥇 Gold",IF(E891&gt;=800,"🥈 Silver","🥉 Bronze")))</f>
        <v/>
      </c>
      <c r="L891" s="125" t="n">
        <v>40681</v>
      </c>
    </row>
    <row r="892">
      <c r="A892" s="126" t="n">
        <v>13532</v>
      </c>
      <c r="B892" s="126" t="inlineStr">
        <is>
          <t>United Kingdom</t>
        </is>
      </c>
      <c r="C892" s="126" t="n">
        <v>34</v>
      </c>
      <c r="D892" s="126" t="n">
        <v>1</v>
      </c>
      <c r="E892" s="127" t="n">
        <v>210.31</v>
      </c>
      <c r="F892" s="128">
        <f>IF(C892&lt;=30,5,IF(C892&lt;=60,4,IF(C892&lt;=120,3,IF(C892&lt;=200,2,1))))</f>
        <v/>
      </c>
      <c r="G892" s="128">
        <f>IF(D892&gt;=20,5,IF(D892&gt;=10,4,IF(D892&gt;=5,3,IF(D892&gt;=2,2,1))))</f>
        <v/>
      </c>
      <c r="H892" s="128">
        <f>IF(E892&gt;=5000,5,IF(E892&gt;=2000,4,IF(E892&gt;=800,3,IF(E892&gt;=300,2,1))))</f>
        <v/>
      </c>
      <c r="I892" s="126">
        <f>TEXT(F892,"0")&amp;TEXT(G892,"0")&amp;TEXT(H892,"0")</f>
        <v/>
      </c>
      <c r="J892" s="126">
        <f>IFERROR(XLOOKUP(I892,'Segment Map'!A:A,'Segment Map'!B:B,"Need Attention"),"Need Attention")</f>
        <v/>
      </c>
      <c r="K892" s="126">
        <f>IF(E892&gt;=5000,"🏆 Platinum",IF(E892&gt;=2000,"🥇 Gold",IF(E892&gt;=800,"🥈 Silver","🥉 Bronze")))</f>
        <v/>
      </c>
      <c r="L892" s="129" t="n">
        <v>40853</v>
      </c>
    </row>
    <row r="893">
      <c r="A893" s="122" t="n">
        <v>13533</v>
      </c>
      <c r="B893" s="122" t="inlineStr">
        <is>
          <t>United Kingdom</t>
        </is>
      </c>
      <c r="C893" s="122" t="n">
        <v>183</v>
      </c>
      <c r="D893" s="122" t="n">
        <v>3</v>
      </c>
      <c r="E893" s="123" t="n">
        <v>270.79</v>
      </c>
      <c r="F893" s="124">
        <f>IF(C893&lt;=30,5,IF(C893&lt;=60,4,IF(C893&lt;=120,3,IF(C893&lt;=200,2,1))))</f>
        <v/>
      </c>
      <c r="G893" s="124">
        <f>IF(D893&gt;=20,5,IF(D893&gt;=10,4,IF(D893&gt;=5,3,IF(D893&gt;=2,2,1))))</f>
        <v/>
      </c>
      <c r="H893" s="124">
        <f>IF(E893&gt;=5000,5,IF(E893&gt;=2000,4,IF(E893&gt;=800,3,IF(E893&gt;=300,2,1))))</f>
        <v/>
      </c>
      <c r="I893" s="122">
        <f>TEXT(F893,"0")&amp;TEXT(G893,"0")&amp;TEXT(H893,"0")</f>
        <v/>
      </c>
      <c r="J893" s="122">
        <f>IFERROR(XLOOKUP(I893,'Segment Map'!A:A,'Segment Map'!B:B,"Need Attention"),"Need Attention")</f>
        <v/>
      </c>
      <c r="K893" s="122">
        <f>IF(E893&gt;=5000,"🏆 Platinum",IF(E893&gt;=2000,"🥇 Gold",IF(E893&gt;=800,"🥈 Silver","🥉 Bronze")))</f>
        <v/>
      </c>
      <c r="L893" s="125" t="n">
        <v>40704</v>
      </c>
    </row>
    <row r="894">
      <c r="A894" s="126" t="n">
        <v>13534</v>
      </c>
      <c r="B894" s="126" t="inlineStr">
        <is>
          <t>United Kingdom</t>
        </is>
      </c>
      <c r="C894" s="126" t="n">
        <v>3</v>
      </c>
      <c r="D894" s="126" t="n">
        <v>25</v>
      </c>
      <c r="E894" s="127" t="n">
        <v>5870.08</v>
      </c>
      <c r="F894" s="128">
        <f>IF(C894&lt;=30,5,IF(C894&lt;=60,4,IF(C894&lt;=120,3,IF(C894&lt;=200,2,1))))</f>
        <v/>
      </c>
      <c r="G894" s="128">
        <f>IF(D894&gt;=20,5,IF(D894&gt;=10,4,IF(D894&gt;=5,3,IF(D894&gt;=2,2,1))))</f>
        <v/>
      </c>
      <c r="H894" s="128">
        <f>IF(E894&gt;=5000,5,IF(E894&gt;=2000,4,IF(E894&gt;=800,3,IF(E894&gt;=300,2,1))))</f>
        <v/>
      </c>
      <c r="I894" s="126">
        <f>TEXT(F894,"0")&amp;TEXT(G894,"0")&amp;TEXT(H894,"0")</f>
        <v/>
      </c>
      <c r="J894" s="126">
        <f>IFERROR(XLOOKUP(I894,'Segment Map'!A:A,'Segment Map'!B:B,"Need Attention"),"Need Attention")</f>
        <v/>
      </c>
      <c r="K894" s="126">
        <f>IF(E894&gt;=5000,"🏆 Platinum",IF(E894&gt;=2000,"🥇 Gold",IF(E894&gt;=800,"🥈 Silver","🥉 Bronze")))</f>
        <v/>
      </c>
      <c r="L894" s="129" t="n">
        <v>40884</v>
      </c>
    </row>
    <row r="895">
      <c r="A895" s="122" t="n">
        <v>13536</v>
      </c>
      <c r="B895" s="122" t="inlineStr">
        <is>
          <t>United Kingdom</t>
        </is>
      </c>
      <c r="C895" s="122" t="n">
        <v>2</v>
      </c>
      <c r="D895" s="122" t="n">
        <v>7</v>
      </c>
      <c r="E895" s="123" t="n">
        <v>3448.29</v>
      </c>
      <c r="F895" s="124">
        <f>IF(C895&lt;=30,5,IF(C895&lt;=60,4,IF(C895&lt;=120,3,IF(C895&lt;=200,2,1))))</f>
        <v/>
      </c>
      <c r="G895" s="124">
        <f>IF(D895&gt;=20,5,IF(D895&gt;=10,4,IF(D895&gt;=5,3,IF(D895&gt;=2,2,1))))</f>
        <v/>
      </c>
      <c r="H895" s="124">
        <f>IF(E895&gt;=5000,5,IF(E895&gt;=2000,4,IF(E895&gt;=800,3,IF(E895&gt;=300,2,1))))</f>
        <v/>
      </c>
      <c r="I895" s="122">
        <f>TEXT(F895,"0")&amp;TEXT(G895,"0")&amp;TEXT(H895,"0")</f>
        <v/>
      </c>
      <c r="J895" s="122">
        <f>IFERROR(XLOOKUP(I895,'Segment Map'!A:A,'Segment Map'!B:B,"Need Attention"),"Need Attention")</f>
        <v/>
      </c>
      <c r="K895" s="122">
        <f>IF(E895&gt;=5000,"🏆 Platinum",IF(E895&gt;=2000,"🥇 Gold",IF(E895&gt;=800,"🥈 Silver","🥉 Bronze")))</f>
        <v/>
      </c>
      <c r="L895" s="125" t="n">
        <v>40885</v>
      </c>
    </row>
    <row r="896">
      <c r="A896" s="126" t="n">
        <v>13538</v>
      </c>
      <c r="B896" s="126" t="inlineStr">
        <is>
          <t>United Kingdom</t>
        </is>
      </c>
      <c r="C896" s="126" t="n">
        <v>44</v>
      </c>
      <c r="D896" s="126" t="n">
        <v>7</v>
      </c>
      <c r="E896" s="127" t="n">
        <v>1280.85</v>
      </c>
      <c r="F896" s="128">
        <f>IF(C896&lt;=30,5,IF(C896&lt;=60,4,IF(C896&lt;=120,3,IF(C896&lt;=200,2,1))))</f>
        <v/>
      </c>
      <c r="G896" s="128">
        <f>IF(D896&gt;=20,5,IF(D896&gt;=10,4,IF(D896&gt;=5,3,IF(D896&gt;=2,2,1))))</f>
        <v/>
      </c>
      <c r="H896" s="128">
        <f>IF(E896&gt;=5000,5,IF(E896&gt;=2000,4,IF(E896&gt;=800,3,IF(E896&gt;=300,2,1))))</f>
        <v/>
      </c>
      <c r="I896" s="126">
        <f>TEXT(F896,"0")&amp;TEXT(G896,"0")&amp;TEXT(H896,"0")</f>
        <v/>
      </c>
      <c r="J896" s="126">
        <f>IFERROR(XLOOKUP(I896,'Segment Map'!A:A,'Segment Map'!B:B,"Need Attention"),"Need Attention")</f>
        <v/>
      </c>
      <c r="K896" s="126">
        <f>IF(E896&gt;=5000,"🏆 Platinum",IF(E896&gt;=2000,"🥇 Gold",IF(E896&gt;=800,"🥈 Silver","🥉 Bronze")))</f>
        <v/>
      </c>
      <c r="L896" s="129" t="n">
        <v>40843</v>
      </c>
    </row>
    <row r="897">
      <c r="A897" s="122" t="n">
        <v>13539</v>
      </c>
      <c r="B897" s="122" t="inlineStr">
        <is>
          <t>United Kingdom</t>
        </is>
      </c>
      <c r="C897" s="122" t="n">
        <v>86</v>
      </c>
      <c r="D897" s="122" t="n">
        <v>3</v>
      </c>
      <c r="E897" s="123" t="n">
        <v>631.34</v>
      </c>
      <c r="F897" s="124">
        <f>IF(C897&lt;=30,5,IF(C897&lt;=60,4,IF(C897&lt;=120,3,IF(C897&lt;=200,2,1))))</f>
        <v/>
      </c>
      <c r="G897" s="124">
        <f>IF(D897&gt;=20,5,IF(D897&gt;=10,4,IF(D897&gt;=5,3,IF(D897&gt;=2,2,1))))</f>
        <v/>
      </c>
      <c r="H897" s="124">
        <f>IF(E897&gt;=5000,5,IF(E897&gt;=2000,4,IF(E897&gt;=800,3,IF(E897&gt;=300,2,1))))</f>
        <v/>
      </c>
      <c r="I897" s="122">
        <f>TEXT(F897,"0")&amp;TEXT(G897,"0")&amp;TEXT(H897,"0")</f>
        <v/>
      </c>
      <c r="J897" s="122">
        <f>IFERROR(XLOOKUP(I897,'Segment Map'!A:A,'Segment Map'!B:B,"Need Attention"),"Need Attention")</f>
        <v/>
      </c>
      <c r="K897" s="122">
        <f>IF(E897&gt;=5000,"🏆 Platinum",IF(E897&gt;=2000,"🥇 Gold",IF(E897&gt;=800,"🥈 Silver","🥉 Bronze")))</f>
        <v/>
      </c>
      <c r="L897" s="125" t="n">
        <v>40801</v>
      </c>
    </row>
    <row r="898">
      <c r="A898" s="126" t="n">
        <v>13544</v>
      </c>
      <c r="B898" s="126" t="inlineStr">
        <is>
          <t>United Kingdom</t>
        </is>
      </c>
      <c r="C898" s="126" t="n">
        <v>40</v>
      </c>
      <c r="D898" s="126" t="n">
        <v>2</v>
      </c>
      <c r="E898" s="127" t="n">
        <v>291.41</v>
      </c>
      <c r="F898" s="128">
        <f>IF(C898&lt;=30,5,IF(C898&lt;=60,4,IF(C898&lt;=120,3,IF(C898&lt;=200,2,1))))</f>
        <v/>
      </c>
      <c r="G898" s="128">
        <f>IF(D898&gt;=20,5,IF(D898&gt;=10,4,IF(D898&gt;=5,3,IF(D898&gt;=2,2,1))))</f>
        <v/>
      </c>
      <c r="H898" s="128">
        <f>IF(E898&gt;=5000,5,IF(E898&gt;=2000,4,IF(E898&gt;=800,3,IF(E898&gt;=300,2,1))))</f>
        <v/>
      </c>
      <c r="I898" s="126">
        <f>TEXT(F898,"0")&amp;TEXT(G898,"0")&amp;TEXT(H898,"0")</f>
        <v/>
      </c>
      <c r="J898" s="126">
        <f>IFERROR(XLOOKUP(I898,'Segment Map'!A:A,'Segment Map'!B:B,"Need Attention"),"Need Attention")</f>
        <v/>
      </c>
      <c r="K898" s="126">
        <f>IF(E898&gt;=5000,"🏆 Platinum",IF(E898&gt;=2000,"🥇 Gold",IF(E898&gt;=800,"🥈 Silver","🥉 Bronze")))</f>
        <v/>
      </c>
      <c r="L898" s="129" t="n">
        <v>40847</v>
      </c>
    </row>
    <row r="899">
      <c r="A899" s="122" t="n">
        <v>13546</v>
      </c>
      <c r="B899" s="122" t="inlineStr">
        <is>
          <t>United Kingdom</t>
        </is>
      </c>
      <c r="C899" s="122" t="n">
        <v>13</v>
      </c>
      <c r="D899" s="122" t="n">
        <v>3</v>
      </c>
      <c r="E899" s="123" t="n">
        <v>626.99</v>
      </c>
      <c r="F899" s="124">
        <f>IF(C899&lt;=30,5,IF(C899&lt;=60,4,IF(C899&lt;=120,3,IF(C899&lt;=200,2,1))))</f>
        <v/>
      </c>
      <c r="G899" s="124">
        <f>IF(D899&gt;=20,5,IF(D899&gt;=10,4,IF(D899&gt;=5,3,IF(D899&gt;=2,2,1))))</f>
        <v/>
      </c>
      <c r="H899" s="124">
        <f>IF(E899&gt;=5000,5,IF(E899&gt;=2000,4,IF(E899&gt;=800,3,IF(E899&gt;=300,2,1))))</f>
        <v/>
      </c>
      <c r="I899" s="122">
        <f>TEXT(F899,"0")&amp;TEXT(G899,"0")&amp;TEXT(H899,"0")</f>
        <v/>
      </c>
      <c r="J899" s="122">
        <f>IFERROR(XLOOKUP(I899,'Segment Map'!A:A,'Segment Map'!B:B,"Need Attention"),"Need Attention")</f>
        <v/>
      </c>
      <c r="K899" s="122">
        <f>IF(E899&gt;=5000,"🏆 Platinum",IF(E899&gt;=2000,"🥇 Gold",IF(E899&gt;=800,"🥈 Silver","🥉 Bronze")))</f>
        <v/>
      </c>
      <c r="L899" s="125" t="n">
        <v>40874</v>
      </c>
    </row>
    <row r="900">
      <c r="A900" s="126" t="n">
        <v>13548</v>
      </c>
      <c r="B900" s="126" t="inlineStr">
        <is>
          <t>United Kingdom</t>
        </is>
      </c>
      <c r="C900" s="126" t="n">
        <v>97</v>
      </c>
      <c r="D900" s="126" t="n">
        <v>2</v>
      </c>
      <c r="E900" s="127" t="n">
        <v>682.41</v>
      </c>
      <c r="F900" s="128">
        <f>IF(C900&lt;=30,5,IF(C900&lt;=60,4,IF(C900&lt;=120,3,IF(C900&lt;=200,2,1))))</f>
        <v/>
      </c>
      <c r="G900" s="128">
        <f>IF(D900&gt;=20,5,IF(D900&gt;=10,4,IF(D900&gt;=5,3,IF(D900&gt;=2,2,1))))</f>
        <v/>
      </c>
      <c r="H900" s="128">
        <f>IF(E900&gt;=5000,5,IF(E900&gt;=2000,4,IF(E900&gt;=800,3,IF(E900&gt;=300,2,1))))</f>
        <v/>
      </c>
      <c r="I900" s="126">
        <f>TEXT(F900,"0")&amp;TEXT(G900,"0")&amp;TEXT(H900,"0")</f>
        <v/>
      </c>
      <c r="J900" s="126">
        <f>IFERROR(XLOOKUP(I900,'Segment Map'!A:A,'Segment Map'!B:B,"Need Attention"),"Need Attention")</f>
        <v/>
      </c>
      <c r="K900" s="126">
        <f>IF(E900&gt;=5000,"🏆 Platinum",IF(E900&gt;=2000,"🥇 Gold",IF(E900&gt;=800,"🥈 Silver","🥉 Bronze")))</f>
        <v/>
      </c>
      <c r="L900" s="129" t="n">
        <v>40790</v>
      </c>
    </row>
    <row r="901">
      <c r="A901" s="122" t="n">
        <v>13549</v>
      </c>
      <c r="B901" s="122" t="inlineStr">
        <is>
          <t>United Kingdom</t>
        </is>
      </c>
      <c r="C901" s="122" t="n">
        <v>26</v>
      </c>
      <c r="D901" s="122" t="n">
        <v>7</v>
      </c>
      <c r="E901" s="123" t="n">
        <v>918.2</v>
      </c>
      <c r="F901" s="124">
        <f>IF(C901&lt;=30,5,IF(C901&lt;=60,4,IF(C901&lt;=120,3,IF(C901&lt;=200,2,1))))</f>
        <v/>
      </c>
      <c r="G901" s="124">
        <f>IF(D901&gt;=20,5,IF(D901&gt;=10,4,IF(D901&gt;=5,3,IF(D901&gt;=2,2,1))))</f>
        <v/>
      </c>
      <c r="H901" s="124">
        <f>IF(E901&gt;=5000,5,IF(E901&gt;=2000,4,IF(E901&gt;=800,3,IF(E901&gt;=300,2,1))))</f>
        <v/>
      </c>
      <c r="I901" s="122">
        <f>TEXT(F901,"0")&amp;TEXT(G901,"0")&amp;TEXT(H901,"0")</f>
        <v/>
      </c>
      <c r="J901" s="122">
        <f>IFERROR(XLOOKUP(I901,'Segment Map'!A:A,'Segment Map'!B:B,"Need Attention"),"Need Attention")</f>
        <v/>
      </c>
      <c r="K901" s="122">
        <f>IF(E901&gt;=5000,"🏆 Platinum",IF(E901&gt;=2000,"🥇 Gold",IF(E901&gt;=800,"🥈 Silver","🥉 Bronze")))</f>
        <v/>
      </c>
      <c r="L901" s="125" t="n">
        <v>40861</v>
      </c>
    </row>
    <row r="902">
      <c r="A902" s="126" t="n">
        <v>13551</v>
      </c>
      <c r="B902" s="126" t="inlineStr">
        <is>
          <t>United Kingdom</t>
        </is>
      </c>
      <c r="C902" s="126" t="n">
        <v>320</v>
      </c>
      <c r="D902" s="126" t="n">
        <v>1</v>
      </c>
      <c r="E902" s="127" t="n">
        <v>91.8</v>
      </c>
      <c r="F902" s="128">
        <f>IF(C902&lt;=30,5,IF(C902&lt;=60,4,IF(C902&lt;=120,3,IF(C902&lt;=200,2,1))))</f>
        <v/>
      </c>
      <c r="G902" s="128">
        <f>IF(D902&gt;=20,5,IF(D902&gt;=10,4,IF(D902&gt;=5,3,IF(D902&gt;=2,2,1))))</f>
        <v/>
      </c>
      <c r="H902" s="128">
        <f>IF(E902&gt;=5000,5,IF(E902&gt;=2000,4,IF(E902&gt;=800,3,IF(E902&gt;=300,2,1))))</f>
        <v/>
      </c>
      <c r="I902" s="126">
        <f>TEXT(F902,"0")&amp;TEXT(G902,"0")&amp;TEXT(H902,"0")</f>
        <v/>
      </c>
      <c r="J902" s="126">
        <f>IFERROR(XLOOKUP(I902,'Segment Map'!A:A,'Segment Map'!B:B,"Need Attention"),"Need Attention")</f>
        <v/>
      </c>
      <c r="K902" s="126">
        <f>IF(E902&gt;=5000,"🏆 Platinum",IF(E902&gt;=2000,"🥇 Gold",IF(E902&gt;=800,"🥈 Silver","🥉 Bronze")))</f>
        <v/>
      </c>
      <c r="L902" s="129" t="n">
        <v>40567</v>
      </c>
    </row>
    <row r="903">
      <c r="A903" s="122" t="n">
        <v>13552</v>
      </c>
      <c r="B903" s="122" t="inlineStr">
        <is>
          <t>United Kingdom</t>
        </is>
      </c>
      <c r="C903" s="122" t="n">
        <v>67</v>
      </c>
      <c r="D903" s="122" t="n">
        <v>12</v>
      </c>
      <c r="E903" s="123" t="n">
        <v>3740.07</v>
      </c>
      <c r="F903" s="124">
        <f>IF(C903&lt;=30,5,IF(C903&lt;=60,4,IF(C903&lt;=120,3,IF(C903&lt;=200,2,1))))</f>
        <v/>
      </c>
      <c r="G903" s="124">
        <f>IF(D903&gt;=20,5,IF(D903&gt;=10,4,IF(D903&gt;=5,3,IF(D903&gt;=2,2,1))))</f>
        <v/>
      </c>
      <c r="H903" s="124">
        <f>IF(E903&gt;=5000,5,IF(E903&gt;=2000,4,IF(E903&gt;=800,3,IF(E903&gt;=300,2,1))))</f>
        <v/>
      </c>
      <c r="I903" s="122">
        <f>TEXT(F903,"0")&amp;TEXT(G903,"0")&amp;TEXT(H903,"0")</f>
        <v/>
      </c>
      <c r="J903" s="122">
        <f>IFERROR(XLOOKUP(I903,'Segment Map'!A:A,'Segment Map'!B:B,"Need Attention"),"Need Attention")</f>
        <v/>
      </c>
      <c r="K903" s="122">
        <f>IF(E903&gt;=5000,"🏆 Platinum",IF(E903&gt;=2000,"🥇 Gold",IF(E903&gt;=800,"🥈 Silver","🥉 Bronze")))</f>
        <v/>
      </c>
      <c r="L903" s="125" t="n">
        <v>40820</v>
      </c>
    </row>
    <row r="904">
      <c r="A904" s="126" t="n">
        <v>13555</v>
      </c>
      <c r="B904" s="126" t="inlineStr">
        <is>
          <t>United Kingdom</t>
        </is>
      </c>
      <c r="C904" s="126" t="n">
        <v>74</v>
      </c>
      <c r="D904" s="126" t="n">
        <v>4</v>
      </c>
      <c r="E904" s="127" t="n">
        <v>4149.28</v>
      </c>
      <c r="F904" s="128">
        <f>IF(C904&lt;=30,5,IF(C904&lt;=60,4,IF(C904&lt;=120,3,IF(C904&lt;=200,2,1))))</f>
        <v/>
      </c>
      <c r="G904" s="128">
        <f>IF(D904&gt;=20,5,IF(D904&gt;=10,4,IF(D904&gt;=5,3,IF(D904&gt;=2,2,1))))</f>
        <v/>
      </c>
      <c r="H904" s="128">
        <f>IF(E904&gt;=5000,5,IF(E904&gt;=2000,4,IF(E904&gt;=800,3,IF(E904&gt;=300,2,1))))</f>
        <v/>
      </c>
      <c r="I904" s="126">
        <f>TEXT(F904,"0")&amp;TEXT(G904,"0")&amp;TEXT(H904,"0")</f>
        <v/>
      </c>
      <c r="J904" s="126">
        <f>IFERROR(XLOOKUP(I904,'Segment Map'!A:A,'Segment Map'!B:B,"Need Attention"),"Need Attention")</f>
        <v/>
      </c>
      <c r="K904" s="126">
        <f>IF(E904&gt;=5000,"🏆 Platinum",IF(E904&gt;=2000,"🥇 Gold",IF(E904&gt;=800,"🥈 Silver","🥉 Bronze")))</f>
        <v/>
      </c>
      <c r="L904" s="129" t="n">
        <v>40813</v>
      </c>
    </row>
    <row r="905">
      <c r="A905" s="122" t="n">
        <v>13557</v>
      </c>
      <c r="B905" s="122" t="inlineStr">
        <is>
          <t>United Kingdom</t>
        </is>
      </c>
      <c r="C905" s="122" t="n">
        <v>29</v>
      </c>
      <c r="D905" s="122" t="n">
        <v>2</v>
      </c>
      <c r="E905" s="123" t="n">
        <v>584.0599999999999</v>
      </c>
      <c r="F905" s="124">
        <f>IF(C905&lt;=30,5,IF(C905&lt;=60,4,IF(C905&lt;=120,3,IF(C905&lt;=200,2,1))))</f>
        <v/>
      </c>
      <c r="G905" s="124">
        <f>IF(D905&gt;=20,5,IF(D905&gt;=10,4,IF(D905&gt;=5,3,IF(D905&gt;=2,2,1))))</f>
        <v/>
      </c>
      <c r="H905" s="124">
        <f>IF(E905&gt;=5000,5,IF(E905&gt;=2000,4,IF(E905&gt;=800,3,IF(E905&gt;=300,2,1))))</f>
        <v/>
      </c>
      <c r="I905" s="122">
        <f>TEXT(F905,"0")&amp;TEXT(G905,"0")&amp;TEXT(H905,"0")</f>
        <v/>
      </c>
      <c r="J905" s="122">
        <f>IFERROR(XLOOKUP(I905,'Segment Map'!A:A,'Segment Map'!B:B,"Need Attention"),"Need Attention")</f>
        <v/>
      </c>
      <c r="K905" s="122">
        <f>IF(E905&gt;=5000,"🏆 Platinum",IF(E905&gt;=2000,"🥇 Gold",IF(E905&gt;=800,"🥈 Silver","🥉 Bronze")))</f>
        <v/>
      </c>
      <c r="L905" s="125" t="n">
        <v>40858</v>
      </c>
    </row>
    <row r="906">
      <c r="A906" s="126" t="n">
        <v>13558</v>
      </c>
      <c r="B906" s="126" t="inlineStr">
        <is>
          <t>United Kingdom</t>
        </is>
      </c>
      <c r="C906" s="126" t="n">
        <v>6</v>
      </c>
      <c r="D906" s="126" t="n">
        <v>4</v>
      </c>
      <c r="E906" s="127" t="n">
        <v>605.0599999999999</v>
      </c>
      <c r="F906" s="128">
        <f>IF(C906&lt;=30,5,IF(C906&lt;=60,4,IF(C906&lt;=120,3,IF(C906&lt;=200,2,1))))</f>
        <v/>
      </c>
      <c r="G906" s="128">
        <f>IF(D906&gt;=20,5,IF(D906&gt;=10,4,IF(D906&gt;=5,3,IF(D906&gt;=2,2,1))))</f>
        <v/>
      </c>
      <c r="H906" s="128">
        <f>IF(E906&gt;=5000,5,IF(E906&gt;=2000,4,IF(E906&gt;=800,3,IF(E906&gt;=300,2,1))))</f>
        <v/>
      </c>
      <c r="I906" s="126">
        <f>TEXT(F906,"0")&amp;TEXT(G906,"0")&amp;TEXT(H906,"0")</f>
        <v/>
      </c>
      <c r="J906" s="126">
        <f>IFERROR(XLOOKUP(I906,'Segment Map'!A:A,'Segment Map'!B:B,"Need Attention"),"Need Attention")</f>
        <v/>
      </c>
      <c r="K906" s="126">
        <f>IF(E906&gt;=5000,"🏆 Platinum",IF(E906&gt;=2000,"🥇 Gold",IF(E906&gt;=800,"🥈 Silver","🥉 Bronze")))</f>
        <v/>
      </c>
      <c r="L906" s="129" t="n">
        <v>40881</v>
      </c>
    </row>
    <row r="907">
      <c r="A907" s="122" t="n">
        <v>13560</v>
      </c>
      <c r="B907" s="122" t="inlineStr">
        <is>
          <t>United Kingdom</t>
        </is>
      </c>
      <c r="C907" s="122" t="n">
        <v>8</v>
      </c>
      <c r="D907" s="122" t="n">
        <v>1</v>
      </c>
      <c r="E907" s="123" t="n">
        <v>174.37</v>
      </c>
      <c r="F907" s="124">
        <f>IF(C907&lt;=30,5,IF(C907&lt;=60,4,IF(C907&lt;=120,3,IF(C907&lt;=200,2,1))))</f>
        <v/>
      </c>
      <c r="G907" s="124">
        <f>IF(D907&gt;=20,5,IF(D907&gt;=10,4,IF(D907&gt;=5,3,IF(D907&gt;=2,2,1))))</f>
        <v/>
      </c>
      <c r="H907" s="124">
        <f>IF(E907&gt;=5000,5,IF(E907&gt;=2000,4,IF(E907&gt;=800,3,IF(E907&gt;=300,2,1))))</f>
        <v/>
      </c>
      <c r="I907" s="122">
        <f>TEXT(F907,"0")&amp;TEXT(G907,"0")&amp;TEXT(H907,"0")</f>
        <v/>
      </c>
      <c r="J907" s="122">
        <f>IFERROR(XLOOKUP(I907,'Segment Map'!A:A,'Segment Map'!B:B,"Need Attention"),"Need Attention")</f>
        <v/>
      </c>
      <c r="K907" s="122">
        <f>IF(E907&gt;=5000,"🏆 Platinum",IF(E907&gt;=2000,"🥇 Gold",IF(E907&gt;=800,"🥈 Silver","🥉 Bronze")))</f>
        <v/>
      </c>
      <c r="L907" s="125" t="n">
        <v>40879</v>
      </c>
    </row>
    <row r="908">
      <c r="A908" s="126" t="n">
        <v>13561</v>
      </c>
      <c r="B908" s="126" t="inlineStr">
        <is>
          <t>United Kingdom</t>
        </is>
      </c>
      <c r="C908" s="126" t="n">
        <v>216</v>
      </c>
      <c r="D908" s="126" t="n">
        <v>1</v>
      </c>
      <c r="E908" s="127" t="n">
        <v>141.86</v>
      </c>
      <c r="F908" s="128">
        <f>IF(C908&lt;=30,5,IF(C908&lt;=60,4,IF(C908&lt;=120,3,IF(C908&lt;=200,2,1))))</f>
        <v/>
      </c>
      <c r="G908" s="128">
        <f>IF(D908&gt;=20,5,IF(D908&gt;=10,4,IF(D908&gt;=5,3,IF(D908&gt;=2,2,1))))</f>
        <v/>
      </c>
      <c r="H908" s="128">
        <f>IF(E908&gt;=5000,5,IF(E908&gt;=2000,4,IF(E908&gt;=800,3,IF(E908&gt;=300,2,1))))</f>
        <v/>
      </c>
      <c r="I908" s="126">
        <f>TEXT(F908,"0")&amp;TEXT(G908,"0")&amp;TEXT(H908,"0")</f>
        <v/>
      </c>
      <c r="J908" s="126">
        <f>IFERROR(XLOOKUP(I908,'Segment Map'!A:A,'Segment Map'!B:B,"Need Attention"),"Need Attention")</f>
        <v/>
      </c>
      <c r="K908" s="126">
        <f>IF(E908&gt;=5000,"🏆 Platinum",IF(E908&gt;=2000,"🥇 Gold",IF(E908&gt;=800,"🥈 Silver","🥉 Bronze")))</f>
        <v/>
      </c>
      <c r="L908" s="129" t="n">
        <v>40671</v>
      </c>
    </row>
    <row r="909">
      <c r="A909" s="122" t="n">
        <v>13562</v>
      </c>
      <c r="B909" s="122" t="inlineStr">
        <is>
          <t>United Kingdom</t>
        </is>
      </c>
      <c r="C909" s="122" t="n">
        <v>82</v>
      </c>
      <c r="D909" s="122" t="n">
        <v>3</v>
      </c>
      <c r="E909" s="123" t="n">
        <v>1799.33</v>
      </c>
      <c r="F909" s="124">
        <f>IF(C909&lt;=30,5,IF(C909&lt;=60,4,IF(C909&lt;=120,3,IF(C909&lt;=200,2,1))))</f>
        <v/>
      </c>
      <c r="G909" s="124">
        <f>IF(D909&gt;=20,5,IF(D909&gt;=10,4,IF(D909&gt;=5,3,IF(D909&gt;=2,2,1))))</f>
        <v/>
      </c>
      <c r="H909" s="124">
        <f>IF(E909&gt;=5000,5,IF(E909&gt;=2000,4,IF(E909&gt;=800,3,IF(E909&gt;=300,2,1))))</f>
        <v/>
      </c>
      <c r="I909" s="122">
        <f>TEXT(F909,"0")&amp;TEXT(G909,"0")&amp;TEXT(H909,"0")</f>
        <v/>
      </c>
      <c r="J909" s="122">
        <f>IFERROR(XLOOKUP(I909,'Segment Map'!A:A,'Segment Map'!B:B,"Need Attention"),"Need Attention")</f>
        <v/>
      </c>
      <c r="K909" s="122">
        <f>IF(E909&gt;=5000,"🏆 Platinum",IF(E909&gt;=2000,"🥇 Gold",IF(E909&gt;=800,"🥈 Silver","🥉 Bronze")))</f>
        <v/>
      </c>
      <c r="L909" s="125" t="n">
        <v>40805</v>
      </c>
    </row>
    <row r="910">
      <c r="A910" s="126" t="n">
        <v>13563</v>
      </c>
      <c r="B910" s="126" t="inlineStr">
        <is>
          <t>United Kingdom</t>
        </is>
      </c>
      <c r="C910" s="126" t="n">
        <v>85</v>
      </c>
      <c r="D910" s="126" t="n">
        <v>2</v>
      </c>
      <c r="E910" s="127" t="n">
        <v>777.53</v>
      </c>
      <c r="F910" s="128">
        <f>IF(C910&lt;=30,5,IF(C910&lt;=60,4,IF(C910&lt;=120,3,IF(C910&lt;=200,2,1))))</f>
        <v/>
      </c>
      <c r="G910" s="128">
        <f>IF(D910&gt;=20,5,IF(D910&gt;=10,4,IF(D910&gt;=5,3,IF(D910&gt;=2,2,1))))</f>
        <v/>
      </c>
      <c r="H910" s="128">
        <f>IF(E910&gt;=5000,5,IF(E910&gt;=2000,4,IF(E910&gt;=800,3,IF(E910&gt;=300,2,1))))</f>
        <v/>
      </c>
      <c r="I910" s="126">
        <f>TEXT(F910,"0")&amp;TEXT(G910,"0")&amp;TEXT(H910,"0")</f>
        <v/>
      </c>
      <c r="J910" s="126">
        <f>IFERROR(XLOOKUP(I910,'Segment Map'!A:A,'Segment Map'!B:B,"Need Attention"),"Need Attention")</f>
        <v/>
      </c>
      <c r="K910" s="126">
        <f>IF(E910&gt;=5000,"🏆 Platinum",IF(E910&gt;=2000,"🥇 Gold",IF(E910&gt;=800,"🥈 Silver","🥉 Bronze")))</f>
        <v/>
      </c>
      <c r="L910" s="129" t="n">
        <v>40802</v>
      </c>
    </row>
    <row r="911">
      <c r="A911" s="122" t="n">
        <v>13564</v>
      </c>
      <c r="B911" s="122" t="inlineStr">
        <is>
          <t>United Kingdom</t>
        </is>
      </c>
      <c r="C911" s="122" t="n">
        <v>145</v>
      </c>
      <c r="D911" s="122" t="n">
        <v>3</v>
      </c>
      <c r="E911" s="123" t="n">
        <v>1749.02</v>
      </c>
      <c r="F911" s="124">
        <f>IF(C911&lt;=30,5,IF(C911&lt;=60,4,IF(C911&lt;=120,3,IF(C911&lt;=200,2,1))))</f>
        <v/>
      </c>
      <c r="G911" s="124">
        <f>IF(D911&gt;=20,5,IF(D911&gt;=10,4,IF(D911&gt;=5,3,IF(D911&gt;=2,2,1))))</f>
        <v/>
      </c>
      <c r="H911" s="124">
        <f>IF(E911&gt;=5000,5,IF(E911&gt;=2000,4,IF(E911&gt;=800,3,IF(E911&gt;=300,2,1))))</f>
        <v/>
      </c>
      <c r="I911" s="122">
        <f>TEXT(F911,"0")&amp;TEXT(G911,"0")&amp;TEXT(H911,"0")</f>
        <v/>
      </c>
      <c r="J911" s="122">
        <f>IFERROR(XLOOKUP(I911,'Segment Map'!A:A,'Segment Map'!B:B,"Need Attention"),"Need Attention")</f>
        <v/>
      </c>
      <c r="K911" s="122">
        <f>IF(E911&gt;=5000,"🏆 Platinum",IF(E911&gt;=2000,"🥇 Gold",IF(E911&gt;=800,"🥈 Silver","🥉 Bronze")))</f>
        <v/>
      </c>
      <c r="L911" s="125" t="n">
        <v>40742</v>
      </c>
    </row>
    <row r="912">
      <c r="A912" s="126" t="n">
        <v>13565</v>
      </c>
      <c r="B912" s="126" t="inlineStr">
        <is>
          <t>United Kingdom</t>
        </is>
      </c>
      <c r="C912" s="126" t="n">
        <v>20</v>
      </c>
      <c r="D912" s="126" t="n">
        <v>2</v>
      </c>
      <c r="E912" s="127" t="n">
        <v>240.22</v>
      </c>
      <c r="F912" s="128">
        <f>IF(C912&lt;=30,5,IF(C912&lt;=60,4,IF(C912&lt;=120,3,IF(C912&lt;=200,2,1))))</f>
        <v/>
      </c>
      <c r="G912" s="128">
        <f>IF(D912&gt;=20,5,IF(D912&gt;=10,4,IF(D912&gt;=5,3,IF(D912&gt;=2,2,1))))</f>
        <v/>
      </c>
      <c r="H912" s="128">
        <f>IF(E912&gt;=5000,5,IF(E912&gt;=2000,4,IF(E912&gt;=800,3,IF(E912&gt;=300,2,1))))</f>
        <v/>
      </c>
      <c r="I912" s="126">
        <f>TEXT(F912,"0")&amp;TEXT(G912,"0")&amp;TEXT(H912,"0")</f>
        <v/>
      </c>
      <c r="J912" s="126">
        <f>IFERROR(XLOOKUP(I912,'Segment Map'!A:A,'Segment Map'!B:B,"Need Attention"),"Need Attention")</f>
        <v/>
      </c>
      <c r="K912" s="126">
        <f>IF(E912&gt;=5000,"🏆 Platinum",IF(E912&gt;=2000,"🥇 Gold",IF(E912&gt;=800,"🥈 Silver","🥉 Bronze")))</f>
        <v/>
      </c>
      <c r="L912" s="129" t="n">
        <v>40867</v>
      </c>
    </row>
    <row r="913">
      <c r="A913" s="122" t="n">
        <v>13566</v>
      </c>
      <c r="B913" s="122" t="inlineStr">
        <is>
          <t>United Kingdom</t>
        </is>
      </c>
      <c r="C913" s="122" t="n">
        <v>41</v>
      </c>
      <c r="D913" s="122" t="n">
        <v>2</v>
      </c>
      <c r="E913" s="123" t="n">
        <v>874.71</v>
      </c>
      <c r="F913" s="124">
        <f>IF(C913&lt;=30,5,IF(C913&lt;=60,4,IF(C913&lt;=120,3,IF(C913&lt;=200,2,1))))</f>
        <v/>
      </c>
      <c r="G913" s="124">
        <f>IF(D913&gt;=20,5,IF(D913&gt;=10,4,IF(D913&gt;=5,3,IF(D913&gt;=2,2,1))))</f>
        <v/>
      </c>
      <c r="H913" s="124">
        <f>IF(E913&gt;=5000,5,IF(E913&gt;=2000,4,IF(E913&gt;=800,3,IF(E913&gt;=300,2,1))))</f>
        <v/>
      </c>
      <c r="I913" s="122">
        <f>TEXT(F913,"0")&amp;TEXT(G913,"0")&amp;TEXT(H913,"0")</f>
        <v/>
      </c>
      <c r="J913" s="122">
        <f>IFERROR(XLOOKUP(I913,'Segment Map'!A:A,'Segment Map'!B:B,"Need Attention"),"Need Attention")</f>
        <v/>
      </c>
      <c r="K913" s="122">
        <f>IF(E913&gt;=5000,"🏆 Platinum",IF(E913&gt;=2000,"🥇 Gold",IF(E913&gt;=800,"🥈 Silver","🥉 Bronze")))</f>
        <v/>
      </c>
      <c r="L913" s="125" t="n">
        <v>40846</v>
      </c>
    </row>
    <row r="914">
      <c r="A914" s="126" t="n">
        <v>13568</v>
      </c>
      <c r="B914" s="126" t="inlineStr">
        <is>
          <t>United Kingdom</t>
        </is>
      </c>
      <c r="C914" s="126" t="n">
        <v>174</v>
      </c>
      <c r="D914" s="126" t="n">
        <v>1</v>
      </c>
      <c r="E914" s="127" t="n">
        <v>192.85</v>
      </c>
      <c r="F914" s="128">
        <f>IF(C914&lt;=30,5,IF(C914&lt;=60,4,IF(C914&lt;=120,3,IF(C914&lt;=200,2,1))))</f>
        <v/>
      </c>
      <c r="G914" s="128">
        <f>IF(D914&gt;=20,5,IF(D914&gt;=10,4,IF(D914&gt;=5,3,IF(D914&gt;=2,2,1))))</f>
        <v/>
      </c>
      <c r="H914" s="128">
        <f>IF(E914&gt;=5000,5,IF(E914&gt;=2000,4,IF(E914&gt;=800,3,IF(E914&gt;=300,2,1))))</f>
        <v/>
      </c>
      <c r="I914" s="126">
        <f>TEXT(F914,"0")&amp;TEXT(G914,"0")&amp;TEXT(H914,"0")</f>
        <v/>
      </c>
      <c r="J914" s="126">
        <f>IFERROR(XLOOKUP(I914,'Segment Map'!A:A,'Segment Map'!B:B,"Need Attention"),"Need Attention")</f>
        <v/>
      </c>
      <c r="K914" s="126">
        <f>IF(E914&gt;=5000,"🏆 Platinum",IF(E914&gt;=2000,"🥇 Gold",IF(E914&gt;=800,"🥈 Silver","🥉 Bronze")))</f>
        <v/>
      </c>
      <c r="L914" s="129" t="n">
        <v>40713</v>
      </c>
    </row>
    <row r="915">
      <c r="A915" s="122" t="n">
        <v>13569</v>
      </c>
      <c r="B915" s="122" t="inlineStr">
        <is>
          <t>United Kingdom</t>
        </is>
      </c>
      <c r="C915" s="122" t="n">
        <v>18</v>
      </c>
      <c r="D915" s="122" t="n">
        <v>2</v>
      </c>
      <c r="E915" s="123" t="n">
        <v>373.75</v>
      </c>
      <c r="F915" s="124">
        <f>IF(C915&lt;=30,5,IF(C915&lt;=60,4,IF(C915&lt;=120,3,IF(C915&lt;=200,2,1))))</f>
        <v/>
      </c>
      <c r="G915" s="124">
        <f>IF(D915&gt;=20,5,IF(D915&gt;=10,4,IF(D915&gt;=5,3,IF(D915&gt;=2,2,1))))</f>
        <v/>
      </c>
      <c r="H915" s="124">
        <f>IF(E915&gt;=5000,5,IF(E915&gt;=2000,4,IF(E915&gt;=800,3,IF(E915&gt;=300,2,1))))</f>
        <v/>
      </c>
      <c r="I915" s="122">
        <f>TEXT(F915,"0")&amp;TEXT(G915,"0")&amp;TEXT(H915,"0")</f>
        <v/>
      </c>
      <c r="J915" s="122">
        <f>IFERROR(XLOOKUP(I915,'Segment Map'!A:A,'Segment Map'!B:B,"Need Attention"),"Need Attention")</f>
        <v/>
      </c>
      <c r="K915" s="122">
        <f>IF(E915&gt;=5000,"🏆 Platinum",IF(E915&gt;=2000,"🥇 Gold",IF(E915&gt;=800,"🥈 Silver","🥉 Bronze")))</f>
        <v/>
      </c>
      <c r="L915" s="125" t="n">
        <v>40869</v>
      </c>
    </row>
    <row r="916">
      <c r="A916" s="126" t="n">
        <v>13570</v>
      </c>
      <c r="B916" s="126" t="inlineStr">
        <is>
          <t>United Kingdom</t>
        </is>
      </c>
      <c r="C916" s="126" t="n">
        <v>244</v>
      </c>
      <c r="D916" s="126" t="n">
        <v>1</v>
      </c>
      <c r="E916" s="127" t="n">
        <v>239.49</v>
      </c>
      <c r="F916" s="128">
        <f>IF(C916&lt;=30,5,IF(C916&lt;=60,4,IF(C916&lt;=120,3,IF(C916&lt;=200,2,1))))</f>
        <v/>
      </c>
      <c r="G916" s="128">
        <f>IF(D916&gt;=20,5,IF(D916&gt;=10,4,IF(D916&gt;=5,3,IF(D916&gt;=2,2,1))))</f>
        <v/>
      </c>
      <c r="H916" s="128">
        <f>IF(E916&gt;=5000,5,IF(E916&gt;=2000,4,IF(E916&gt;=800,3,IF(E916&gt;=300,2,1))))</f>
        <v/>
      </c>
      <c r="I916" s="126">
        <f>TEXT(F916,"0")&amp;TEXT(G916,"0")&amp;TEXT(H916,"0")</f>
        <v/>
      </c>
      <c r="J916" s="126">
        <f>IFERROR(XLOOKUP(I916,'Segment Map'!A:A,'Segment Map'!B:B,"Need Attention"),"Need Attention")</f>
        <v/>
      </c>
      <c r="K916" s="126">
        <f>IF(E916&gt;=5000,"🏆 Platinum",IF(E916&gt;=2000,"🥇 Gold",IF(E916&gt;=800,"🥈 Silver","🥉 Bronze")))</f>
        <v/>
      </c>
      <c r="L916" s="129" t="n">
        <v>40643</v>
      </c>
    </row>
    <row r="917">
      <c r="A917" s="122" t="n">
        <v>13571</v>
      </c>
      <c r="B917" s="122" t="inlineStr">
        <is>
          <t>United Kingdom</t>
        </is>
      </c>
      <c r="C917" s="122" t="n">
        <v>13</v>
      </c>
      <c r="D917" s="122" t="n">
        <v>12</v>
      </c>
      <c r="E917" s="123" t="n">
        <v>2092.32</v>
      </c>
      <c r="F917" s="124">
        <f>IF(C917&lt;=30,5,IF(C917&lt;=60,4,IF(C917&lt;=120,3,IF(C917&lt;=200,2,1))))</f>
        <v/>
      </c>
      <c r="G917" s="124">
        <f>IF(D917&gt;=20,5,IF(D917&gt;=10,4,IF(D917&gt;=5,3,IF(D917&gt;=2,2,1))))</f>
        <v/>
      </c>
      <c r="H917" s="124">
        <f>IF(E917&gt;=5000,5,IF(E917&gt;=2000,4,IF(E917&gt;=800,3,IF(E917&gt;=300,2,1))))</f>
        <v/>
      </c>
      <c r="I917" s="122">
        <f>TEXT(F917,"0")&amp;TEXT(G917,"0")&amp;TEXT(H917,"0")</f>
        <v/>
      </c>
      <c r="J917" s="122">
        <f>IFERROR(XLOOKUP(I917,'Segment Map'!A:A,'Segment Map'!B:B,"Need Attention"),"Need Attention")</f>
        <v/>
      </c>
      <c r="K917" s="122">
        <f>IF(E917&gt;=5000,"🏆 Platinum",IF(E917&gt;=2000,"🥇 Gold",IF(E917&gt;=800,"🥈 Silver","🥉 Bronze")))</f>
        <v/>
      </c>
      <c r="L917" s="125" t="n">
        <v>40874</v>
      </c>
    </row>
    <row r="918">
      <c r="A918" s="126" t="n">
        <v>13572</v>
      </c>
      <c r="B918" s="126" t="inlineStr">
        <is>
          <t>United Kingdom</t>
        </is>
      </c>
      <c r="C918" s="126" t="n">
        <v>206</v>
      </c>
      <c r="D918" s="126" t="n">
        <v>1</v>
      </c>
      <c r="E918" s="127" t="n">
        <v>1384.25</v>
      </c>
      <c r="F918" s="128">
        <f>IF(C918&lt;=30,5,IF(C918&lt;=60,4,IF(C918&lt;=120,3,IF(C918&lt;=200,2,1))))</f>
        <v/>
      </c>
      <c r="G918" s="128">
        <f>IF(D918&gt;=20,5,IF(D918&gt;=10,4,IF(D918&gt;=5,3,IF(D918&gt;=2,2,1))))</f>
        <v/>
      </c>
      <c r="H918" s="128">
        <f>IF(E918&gt;=5000,5,IF(E918&gt;=2000,4,IF(E918&gt;=800,3,IF(E918&gt;=300,2,1))))</f>
        <v/>
      </c>
      <c r="I918" s="126">
        <f>TEXT(F918,"0")&amp;TEXT(G918,"0")&amp;TEXT(H918,"0")</f>
        <v/>
      </c>
      <c r="J918" s="126">
        <f>IFERROR(XLOOKUP(I918,'Segment Map'!A:A,'Segment Map'!B:B,"Need Attention"),"Need Attention")</f>
        <v/>
      </c>
      <c r="K918" s="126">
        <f>IF(E918&gt;=5000,"🏆 Platinum",IF(E918&gt;=2000,"🥇 Gold",IF(E918&gt;=800,"🥈 Silver","🥉 Bronze")))</f>
        <v/>
      </c>
      <c r="L918" s="129" t="n">
        <v>40681</v>
      </c>
    </row>
    <row r="919">
      <c r="A919" s="122" t="n">
        <v>13573</v>
      </c>
      <c r="B919" s="122" t="inlineStr">
        <is>
          <t>United Kingdom</t>
        </is>
      </c>
      <c r="C919" s="122" t="n">
        <v>51</v>
      </c>
      <c r="D919" s="122" t="n">
        <v>2</v>
      </c>
      <c r="E919" s="123" t="n">
        <v>294.4</v>
      </c>
      <c r="F919" s="124">
        <f>IF(C919&lt;=30,5,IF(C919&lt;=60,4,IF(C919&lt;=120,3,IF(C919&lt;=200,2,1))))</f>
        <v/>
      </c>
      <c r="G919" s="124">
        <f>IF(D919&gt;=20,5,IF(D919&gt;=10,4,IF(D919&gt;=5,3,IF(D919&gt;=2,2,1))))</f>
        <v/>
      </c>
      <c r="H919" s="124">
        <f>IF(E919&gt;=5000,5,IF(E919&gt;=2000,4,IF(E919&gt;=800,3,IF(E919&gt;=300,2,1))))</f>
        <v/>
      </c>
      <c r="I919" s="122">
        <f>TEXT(F919,"0")&amp;TEXT(G919,"0")&amp;TEXT(H919,"0")</f>
        <v/>
      </c>
      <c r="J919" s="122">
        <f>IFERROR(XLOOKUP(I919,'Segment Map'!A:A,'Segment Map'!B:B,"Need Attention"),"Need Attention")</f>
        <v/>
      </c>
      <c r="K919" s="122">
        <f>IF(E919&gt;=5000,"🏆 Platinum",IF(E919&gt;=2000,"🥇 Gold",IF(E919&gt;=800,"🥈 Silver","🥉 Bronze")))</f>
        <v/>
      </c>
      <c r="L919" s="125" t="n">
        <v>40836</v>
      </c>
    </row>
    <row r="920">
      <c r="A920" s="126" t="n">
        <v>13575</v>
      </c>
      <c r="B920" s="126" t="inlineStr">
        <is>
          <t>United Kingdom</t>
        </is>
      </c>
      <c r="C920" s="126" t="n">
        <v>24</v>
      </c>
      <c r="D920" s="126" t="n">
        <v>5</v>
      </c>
      <c r="E920" s="127" t="n">
        <v>732.0700000000001</v>
      </c>
      <c r="F920" s="128">
        <f>IF(C920&lt;=30,5,IF(C920&lt;=60,4,IF(C920&lt;=120,3,IF(C920&lt;=200,2,1))))</f>
        <v/>
      </c>
      <c r="G920" s="128">
        <f>IF(D920&gt;=20,5,IF(D920&gt;=10,4,IF(D920&gt;=5,3,IF(D920&gt;=2,2,1))))</f>
        <v/>
      </c>
      <c r="H920" s="128">
        <f>IF(E920&gt;=5000,5,IF(E920&gt;=2000,4,IF(E920&gt;=800,3,IF(E920&gt;=300,2,1))))</f>
        <v/>
      </c>
      <c r="I920" s="126">
        <f>TEXT(F920,"0")&amp;TEXT(G920,"0")&amp;TEXT(H920,"0")</f>
        <v/>
      </c>
      <c r="J920" s="126">
        <f>IFERROR(XLOOKUP(I920,'Segment Map'!A:A,'Segment Map'!B:B,"Need Attention"),"Need Attention")</f>
        <v/>
      </c>
      <c r="K920" s="126">
        <f>IF(E920&gt;=5000,"🏆 Platinum",IF(E920&gt;=2000,"🥇 Gold",IF(E920&gt;=800,"🥈 Silver","🥉 Bronze")))</f>
        <v/>
      </c>
      <c r="L920" s="129" t="n">
        <v>40863</v>
      </c>
    </row>
    <row r="921">
      <c r="A921" s="122" t="n">
        <v>13576</v>
      </c>
      <c r="B921" s="122" t="inlineStr">
        <is>
          <t>United Kingdom</t>
        </is>
      </c>
      <c r="C921" s="122" t="n">
        <v>11</v>
      </c>
      <c r="D921" s="122" t="n">
        <v>18</v>
      </c>
      <c r="E921" s="123" t="n">
        <v>6717.34</v>
      </c>
      <c r="F921" s="124">
        <f>IF(C921&lt;=30,5,IF(C921&lt;=60,4,IF(C921&lt;=120,3,IF(C921&lt;=200,2,1))))</f>
        <v/>
      </c>
      <c r="G921" s="124">
        <f>IF(D921&gt;=20,5,IF(D921&gt;=10,4,IF(D921&gt;=5,3,IF(D921&gt;=2,2,1))))</f>
        <v/>
      </c>
      <c r="H921" s="124">
        <f>IF(E921&gt;=5000,5,IF(E921&gt;=2000,4,IF(E921&gt;=800,3,IF(E921&gt;=300,2,1))))</f>
        <v/>
      </c>
      <c r="I921" s="122">
        <f>TEXT(F921,"0")&amp;TEXT(G921,"0")&amp;TEXT(H921,"0")</f>
        <v/>
      </c>
      <c r="J921" s="122">
        <f>IFERROR(XLOOKUP(I921,'Segment Map'!A:A,'Segment Map'!B:B,"Need Attention"),"Need Attention")</f>
        <v/>
      </c>
      <c r="K921" s="122">
        <f>IF(E921&gt;=5000,"🏆 Platinum",IF(E921&gt;=2000,"🥇 Gold",IF(E921&gt;=800,"🥈 Silver","🥉 Bronze")))</f>
        <v/>
      </c>
      <c r="L921" s="125" t="n">
        <v>40876</v>
      </c>
    </row>
    <row r="922">
      <c r="A922" s="126" t="n">
        <v>13577</v>
      </c>
      <c r="B922" s="126" t="inlineStr">
        <is>
          <t>United Kingdom</t>
        </is>
      </c>
      <c r="C922" s="126" t="n">
        <v>26</v>
      </c>
      <c r="D922" s="126" t="n">
        <v>4</v>
      </c>
      <c r="E922" s="127" t="n">
        <v>1687.6</v>
      </c>
      <c r="F922" s="128">
        <f>IF(C922&lt;=30,5,IF(C922&lt;=60,4,IF(C922&lt;=120,3,IF(C922&lt;=200,2,1))))</f>
        <v/>
      </c>
      <c r="G922" s="128">
        <f>IF(D922&gt;=20,5,IF(D922&gt;=10,4,IF(D922&gt;=5,3,IF(D922&gt;=2,2,1))))</f>
        <v/>
      </c>
      <c r="H922" s="128">
        <f>IF(E922&gt;=5000,5,IF(E922&gt;=2000,4,IF(E922&gt;=800,3,IF(E922&gt;=300,2,1))))</f>
        <v/>
      </c>
      <c r="I922" s="126">
        <f>TEXT(F922,"0")&amp;TEXT(G922,"0")&amp;TEXT(H922,"0")</f>
        <v/>
      </c>
      <c r="J922" s="126">
        <f>IFERROR(XLOOKUP(I922,'Segment Map'!A:A,'Segment Map'!B:B,"Need Attention"),"Need Attention")</f>
        <v/>
      </c>
      <c r="K922" s="126">
        <f>IF(E922&gt;=5000,"🏆 Platinum",IF(E922&gt;=2000,"🥇 Gold",IF(E922&gt;=800,"🥈 Silver","🥉 Bronze")))</f>
        <v/>
      </c>
      <c r="L922" s="129" t="n">
        <v>40861</v>
      </c>
    </row>
    <row r="923">
      <c r="A923" s="122" t="n">
        <v>13579</v>
      </c>
      <c r="B923" s="122" t="inlineStr">
        <is>
          <t>United Kingdom</t>
        </is>
      </c>
      <c r="C923" s="122" t="n">
        <v>15</v>
      </c>
      <c r="D923" s="122" t="n">
        <v>2</v>
      </c>
      <c r="E923" s="123" t="n">
        <v>467.04</v>
      </c>
      <c r="F923" s="124">
        <f>IF(C923&lt;=30,5,IF(C923&lt;=60,4,IF(C923&lt;=120,3,IF(C923&lt;=200,2,1))))</f>
        <v/>
      </c>
      <c r="G923" s="124">
        <f>IF(D923&gt;=20,5,IF(D923&gt;=10,4,IF(D923&gt;=5,3,IF(D923&gt;=2,2,1))))</f>
        <v/>
      </c>
      <c r="H923" s="124">
        <f>IF(E923&gt;=5000,5,IF(E923&gt;=2000,4,IF(E923&gt;=800,3,IF(E923&gt;=300,2,1))))</f>
        <v/>
      </c>
      <c r="I923" s="122">
        <f>TEXT(F923,"0")&amp;TEXT(G923,"0")&amp;TEXT(H923,"0")</f>
        <v/>
      </c>
      <c r="J923" s="122">
        <f>IFERROR(XLOOKUP(I923,'Segment Map'!A:A,'Segment Map'!B:B,"Need Attention"),"Need Attention")</f>
        <v/>
      </c>
      <c r="K923" s="122">
        <f>IF(E923&gt;=5000,"🏆 Platinum",IF(E923&gt;=2000,"🥇 Gold",IF(E923&gt;=800,"🥈 Silver","🥉 Bronze")))</f>
        <v/>
      </c>
      <c r="L923" s="125" t="n">
        <v>40872</v>
      </c>
    </row>
    <row r="924">
      <c r="A924" s="126" t="n">
        <v>13581</v>
      </c>
      <c r="B924" s="126" t="inlineStr">
        <is>
          <t>United Kingdom</t>
        </is>
      </c>
      <c r="C924" s="126" t="n">
        <v>310</v>
      </c>
      <c r="D924" s="126" t="n">
        <v>1</v>
      </c>
      <c r="E924" s="127" t="n">
        <v>118</v>
      </c>
      <c r="F924" s="128">
        <f>IF(C924&lt;=30,5,IF(C924&lt;=60,4,IF(C924&lt;=120,3,IF(C924&lt;=200,2,1))))</f>
        <v/>
      </c>
      <c r="G924" s="128">
        <f>IF(D924&gt;=20,5,IF(D924&gt;=10,4,IF(D924&gt;=5,3,IF(D924&gt;=2,2,1))))</f>
        <v/>
      </c>
      <c r="H924" s="128">
        <f>IF(E924&gt;=5000,5,IF(E924&gt;=2000,4,IF(E924&gt;=800,3,IF(E924&gt;=300,2,1))))</f>
        <v/>
      </c>
      <c r="I924" s="126">
        <f>TEXT(F924,"0")&amp;TEXT(G924,"0")&amp;TEXT(H924,"0")</f>
        <v/>
      </c>
      <c r="J924" s="126">
        <f>IFERROR(XLOOKUP(I924,'Segment Map'!A:A,'Segment Map'!B:B,"Need Attention"),"Need Attention")</f>
        <v/>
      </c>
      <c r="K924" s="126">
        <f>IF(E924&gt;=5000,"🏆 Platinum",IF(E924&gt;=2000,"🥇 Gold",IF(E924&gt;=800,"🥈 Silver","🥉 Bronze")))</f>
        <v/>
      </c>
      <c r="L924" s="129" t="n">
        <v>40577</v>
      </c>
    </row>
    <row r="925">
      <c r="A925" s="122" t="n">
        <v>13583</v>
      </c>
      <c r="B925" s="122" t="inlineStr">
        <is>
          <t>United Kingdom</t>
        </is>
      </c>
      <c r="C925" s="122" t="n">
        <v>156</v>
      </c>
      <c r="D925" s="122" t="n">
        <v>1</v>
      </c>
      <c r="E925" s="123" t="n">
        <v>781.03</v>
      </c>
      <c r="F925" s="124">
        <f>IF(C925&lt;=30,5,IF(C925&lt;=60,4,IF(C925&lt;=120,3,IF(C925&lt;=200,2,1))))</f>
        <v/>
      </c>
      <c r="G925" s="124">
        <f>IF(D925&gt;=20,5,IF(D925&gt;=10,4,IF(D925&gt;=5,3,IF(D925&gt;=2,2,1))))</f>
        <v/>
      </c>
      <c r="H925" s="124">
        <f>IF(E925&gt;=5000,5,IF(E925&gt;=2000,4,IF(E925&gt;=800,3,IF(E925&gt;=300,2,1))))</f>
        <v/>
      </c>
      <c r="I925" s="122">
        <f>TEXT(F925,"0")&amp;TEXT(G925,"0")&amp;TEXT(H925,"0")</f>
        <v/>
      </c>
      <c r="J925" s="122">
        <f>IFERROR(XLOOKUP(I925,'Segment Map'!A:A,'Segment Map'!B:B,"Need Attention"),"Need Attention")</f>
        <v/>
      </c>
      <c r="K925" s="122">
        <f>IF(E925&gt;=5000,"🏆 Platinum",IF(E925&gt;=2000,"🥇 Gold",IF(E925&gt;=800,"🥈 Silver","🥉 Bronze")))</f>
        <v/>
      </c>
      <c r="L925" s="125" t="n">
        <v>40731</v>
      </c>
    </row>
    <row r="926">
      <c r="A926" s="126" t="n">
        <v>13584</v>
      </c>
      <c r="B926" s="126" t="inlineStr">
        <is>
          <t>United Kingdom</t>
        </is>
      </c>
      <c r="C926" s="126" t="n">
        <v>307</v>
      </c>
      <c r="D926" s="126" t="n">
        <v>1</v>
      </c>
      <c r="E926" s="127" t="n">
        <v>142.4</v>
      </c>
      <c r="F926" s="128">
        <f>IF(C926&lt;=30,5,IF(C926&lt;=60,4,IF(C926&lt;=120,3,IF(C926&lt;=200,2,1))))</f>
        <v/>
      </c>
      <c r="G926" s="128">
        <f>IF(D926&gt;=20,5,IF(D926&gt;=10,4,IF(D926&gt;=5,3,IF(D926&gt;=2,2,1))))</f>
        <v/>
      </c>
      <c r="H926" s="128">
        <f>IF(E926&gt;=5000,5,IF(E926&gt;=2000,4,IF(E926&gt;=800,3,IF(E926&gt;=300,2,1))))</f>
        <v/>
      </c>
      <c r="I926" s="126">
        <f>TEXT(F926,"0")&amp;TEXT(G926,"0")&amp;TEXT(H926,"0")</f>
        <v/>
      </c>
      <c r="J926" s="126">
        <f>IFERROR(XLOOKUP(I926,'Segment Map'!A:A,'Segment Map'!B:B,"Need Attention"),"Need Attention")</f>
        <v/>
      </c>
      <c r="K926" s="126">
        <f>IF(E926&gt;=5000,"🏆 Platinum",IF(E926&gt;=2000,"🥇 Gold",IF(E926&gt;=800,"🥈 Silver","🥉 Bronze")))</f>
        <v/>
      </c>
      <c r="L926" s="129" t="n">
        <v>40580</v>
      </c>
    </row>
    <row r="927">
      <c r="A927" s="122" t="n">
        <v>13587</v>
      </c>
      <c r="B927" s="122" t="inlineStr">
        <is>
          <t>United Kingdom</t>
        </is>
      </c>
      <c r="C927" s="122" t="n">
        <v>64</v>
      </c>
      <c r="D927" s="122" t="n">
        <v>1</v>
      </c>
      <c r="E927" s="123" t="n">
        <v>712.4</v>
      </c>
      <c r="F927" s="124">
        <f>IF(C927&lt;=30,5,IF(C927&lt;=60,4,IF(C927&lt;=120,3,IF(C927&lt;=200,2,1))))</f>
        <v/>
      </c>
      <c r="G927" s="124">
        <f>IF(D927&gt;=20,5,IF(D927&gt;=10,4,IF(D927&gt;=5,3,IF(D927&gt;=2,2,1))))</f>
        <v/>
      </c>
      <c r="H927" s="124">
        <f>IF(E927&gt;=5000,5,IF(E927&gt;=2000,4,IF(E927&gt;=800,3,IF(E927&gt;=300,2,1))))</f>
        <v/>
      </c>
      <c r="I927" s="122">
        <f>TEXT(F927,"0")&amp;TEXT(G927,"0")&amp;TEXT(H927,"0")</f>
        <v/>
      </c>
      <c r="J927" s="122">
        <f>IFERROR(XLOOKUP(I927,'Segment Map'!A:A,'Segment Map'!B:B,"Need Attention"),"Need Attention")</f>
        <v/>
      </c>
      <c r="K927" s="122">
        <f>IF(E927&gt;=5000,"🏆 Platinum",IF(E927&gt;=2000,"🥇 Gold",IF(E927&gt;=800,"🥈 Silver","🥉 Bronze")))</f>
        <v/>
      </c>
      <c r="L927" s="125" t="n">
        <v>40823</v>
      </c>
    </row>
    <row r="928">
      <c r="A928" s="126" t="n">
        <v>13588</v>
      </c>
      <c r="B928" s="126" t="inlineStr">
        <is>
          <t>United Kingdom</t>
        </is>
      </c>
      <c r="C928" s="126" t="n">
        <v>16</v>
      </c>
      <c r="D928" s="126" t="n">
        <v>9</v>
      </c>
      <c r="E928" s="127" t="n">
        <v>2478.95</v>
      </c>
      <c r="F928" s="128">
        <f>IF(C928&lt;=30,5,IF(C928&lt;=60,4,IF(C928&lt;=120,3,IF(C928&lt;=200,2,1))))</f>
        <v/>
      </c>
      <c r="G928" s="128">
        <f>IF(D928&gt;=20,5,IF(D928&gt;=10,4,IF(D928&gt;=5,3,IF(D928&gt;=2,2,1))))</f>
        <v/>
      </c>
      <c r="H928" s="128">
        <f>IF(E928&gt;=5000,5,IF(E928&gt;=2000,4,IF(E928&gt;=800,3,IF(E928&gt;=300,2,1))))</f>
        <v/>
      </c>
      <c r="I928" s="126">
        <f>TEXT(F928,"0")&amp;TEXT(G928,"0")&amp;TEXT(H928,"0")</f>
        <v/>
      </c>
      <c r="J928" s="126">
        <f>IFERROR(XLOOKUP(I928,'Segment Map'!A:A,'Segment Map'!B:B,"Need Attention"),"Need Attention")</f>
        <v/>
      </c>
      <c r="K928" s="126">
        <f>IF(E928&gt;=5000,"🏆 Platinum",IF(E928&gt;=2000,"🥇 Gold",IF(E928&gt;=800,"🥈 Silver","🥉 Bronze")))</f>
        <v/>
      </c>
      <c r="L928" s="129" t="n">
        <v>40871</v>
      </c>
    </row>
    <row r="929">
      <c r="A929" s="122" t="n">
        <v>13589</v>
      </c>
      <c r="B929" s="122" t="inlineStr">
        <is>
          <t>United Kingdom</t>
        </is>
      </c>
      <c r="C929" s="122" t="n">
        <v>15</v>
      </c>
      <c r="D929" s="122" t="n">
        <v>2</v>
      </c>
      <c r="E929" s="123" t="n">
        <v>379.65</v>
      </c>
      <c r="F929" s="124">
        <f>IF(C929&lt;=30,5,IF(C929&lt;=60,4,IF(C929&lt;=120,3,IF(C929&lt;=200,2,1))))</f>
        <v/>
      </c>
      <c r="G929" s="124">
        <f>IF(D929&gt;=20,5,IF(D929&gt;=10,4,IF(D929&gt;=5,3,IF(D929&gt;=2,2,1))))</f>
        <v/>
      </c>
      <c r="H929" s="124">
        <f>IF(E929&gt;=5000,5,IF(E929&gt;=2000,4,IF(E929&gt;=800,3,IF(E929&gt;=300,2,1))))</f>
        <v/>
      </c>
      <c r="I929" s="122">
        <f>TEXT(F929,"0")&amp;TEXT(G929,"0")&amp;TEXT(H929,"0")</f>
        <v/>
      </c>
      <c r="J929" s="122">
        <f>IFERROR(XLOOKUP(I929,'Segment Map'!A:A,'Segment Map'!B:B,"Need Attention"),"Need Attention")</f>
        <v/>
      </c>
      <c r="K929" s="122">
        <f>IF(E929&gt;=5000,"🏆 Platinum",IF(E929&gt;=2000,"🥇 Gold",IF(E929&gt;=800,"🥈 Silver","🥉 Bronze")))</f>
        <v/>
      </c>
      <c r="L929" s="125" t="n">
        <v>40872</v>
      </c>
    </row>
    <row r="930">
      <c r="A930" s="126" t="n">
        <v>13590</v>
      </c>
      <c r="B930" s="126" t="inlineStr">
        <is>
          <t>United Kingdom</t>
        </is>
      </c>
      <c r="C930" s="126" t="n">
        <v>12</v>
      </c>
      <c r="D930" s="126" t="n">
        <v>6</v>
      </c>
      <c r="E930" s="127" t="n">
        <v>1981.92</v>
      </c>
      <c r="F930" s="128">
        <f>IF(C930&lt;=30,5,IF(C930&lt;=60,4,IF(C930&lt;=120,3,IF(C930&lt;=200,2,1))))</f>
        <v/>
      </c>
      <c r="G930" s="128">
        <f>IF(D930&gt;=20,5,IF(D930&gt;=10,4,IF(D930&gt;=5,3,IF(D930&gt;=2,2,1))))</f>
        <v/>
      </c>
      <c r="H930" s="128">
        <f>IF(E930&gt;=5000,5,IF(E930&gt;=2000,4,IF(E930&gt;=800,3,IF(E930&gt;=300,2,1))))</f>
        <v/>
      </c>
      <c r="I930" s="126">
        <f>TEXT(F930,"0")&amp;TEXT(G930,"0")&amp;TEXT(H930,"0")</f>
        <v/>
      </c>
      <c r="J930" s="126">
        <f>IFERROR(XLOOKUP(I930,'Segment Map'!A:A,'Segment Map'!B:B,"Need Attention"),"Need Attention")</f>
        <v/>
      </c>
      <c r="K930" s="126">
        <f>IF(E930&gt;=5000,"🏆 Platinum",IF(E930&gt;=2000,"🥇 Gold",IF(E930&gt;=800,"🥈 Silver","🥉 Bronze")))</f>
        <v/>
      </c>
      <c r="L930" s="129" t="n">
        <v>40875</v>
      </c>
    </row>
    <row r="931">
      <c r="A931" s="122" t="n">
        <v>13591</v>
      </c>
      <c r="B931" s="122" t="inlineStr">
        <is>
          <t>United Kingdom</t>
        </is>
      </c>
      <c r="C931" s="122" t="n">
        <v>65</v>
      </c>
      <c r="D931" s="122" t="n">
        <v>3</v>
      </c>
      <c r="E931" s="123" t="n">
        <v>1117.13</v>
      </c>
      <c r="F931" s="124">
        <f>IF(C931&lt;=30,5,IF(C931&lt;=60,4,IF(C931&lt;=120,3,IF(C931&lt;=200,2,1))))</f>
        <v/>
      </c>
      <c r="G931" s="124">
        <f>IF(D931&gt;=20,5,IF(D931&gt;=10,4,IF(D931&gt;=5,3,IF(D931&gt;=2,2,1))))</f>
        <v/>
      </c>
      <c r="H931" s="124">
        <f>IF(E931&gt;=5000,5,IF(E931&gt;=2000,4,IF(E931&gt;=800,3,IF(E931&gt;=300,2,1))))</f>
        <v/>
      </c>
      <c r="I931" s="122">
        <f>TEXT(F931,"0")&amp;TEXT(G931,"0")&amp;TEXT(H931,"0")</f>
        <v/>
      </c>
      <c r="J931" s="122">
        <f>IFERROR(XLOOKUP(I931,'Segment Map'!A:A,'Segment Map'!B:B,"Need Attention"),"Need Attention")</f>
        <v/>
      </c>
      <c r="K931" s="122">
        <f>IF(E931&gt;=5000,"🏆 Platinum",IF(E931&gt;=2000,"🥇 Gold",IF(E931&gt;=800,"🥈 Silver","🥉 Bronze")))</f>
        <v/>
      </c>
      <c r="L931" s="125" t="n">
        <v>40822</v>
      </c>
    </row>
    <row r="932">
      <c r="A932" s="126" t="n">
        <v>13592</v>
      </c>
      <c r="B932" s="126" t="inlineStr">
        <is>
          <t>United Kingdom</t>
        </is>
      </c>
      <c r="C932" s="126" t="n">
        <v>36</v>
      </c>
      <c r="D932" s="126" t="n">
        <v>4</v>
      </c>
      <c r="E932" s="127" t="n">
        <v>247.96</v>
      </c>
      <c r="F932" s="128">
        <f>IF(C932&lt;=30,5,IF(C932&lt;=60,4,IF(C932&lt;=120,3,IF(C932&lt;=200,2,1))))</f>
        <v/>
      </c>
      <c r="G932" s="128">
        <f>IF(D932&gt;=20,5,IF(D932&gt;=10,4,IF(D932&gt;=5,3,IF(D932&gt;=2,2,1))))</f>
        <v/>
      </c>
      <c r="H932" s="128">
        <f>IF(E932&gt;=5000,5,IF(E932&gt;=2000,4,IF(E932&gt;=800,3,IF(E932&gt;=300,2,1))))</f>
        <v/>
      </c>
      <c r="I932" s="126">
        <f>TEXT(F932,"0")&amp;TEXT(G932,"0")&amp;TEXT(H932,"0")</f>
        <v/>
      </c>
      <c r="J932" s="126">
        <f>IFERROR(XLOOKUP(I932,'Segment Map'!A:A,'Segment Map'!B:B,"Need Attention"),"Need Attention")</f>
        <v/>
      </c>
      <c r="K932" s="126">
        <f>IF(E932&gt;=5000,"🏆 Platinum",IF(E932&gt;=2000,"🥇 Gold",IF(E932&gt;=800,"🥈 Silver","🥉 Bronze")))</f>
        <v/>
      </c>
      <c r="L932" s="129" t="n">
        <v>40851</v>
      </c>
    </row>
    <row r="933">
      <c r="A933" s="122" t="n">
        <v>13593</v>
      </c>
      <c r="B933" s="122" t="inlineStr">
        <is>
          <t>United Kingdom</t>
        </is>
      </c>
      <c r="C933" s="122" t="n">
        <v>109</v>
      </c>
      <c r="D933" s="122" t="n">
        <v>5</v>
      </c>
      <c r="E933" s="123" t="n">
        <v>2037.08</v>
      </c>
      <c r="F933" s="124">
        <f>IF(C933&lt;=30,5,IF(C933&lt;=60,4,IF(C933&lt;=120,3,IF(C933&lt;=200,2,1))))</f>
        <v/>
      </c>
      <c r="G933" s="124">
        <f>IF(D933&gt;=20,5,IF(D933&gt;=10,4,IF(D933&gt;=5,3,IF(D933&gt;=2,2,1))))</f>
        <v/>
      </c>
      <c r="H933" s="124">
        <f>IF(E933&gt;=5000,5,IF(E933&gt;=2000,4,IF(E933&gt;=800,3,IF(E933&gt;=300,2,1))))</f>
        <v/>
      </c>
      <c r="I933" s="122">
        <f>TEXT(F933,"0")&amp;TEXT(G933,"0")&amp;TEXT(H933,"0")</f>
        <v/>
      </c>
      <c r="J933" s="122">
        <f>IFERROR(XLOOKUP(I933,'Segment Map'!A:A,'Segment Map'!B:B,"Need Attention"),"Need Attention")</f>
        <v/>
      </c>
      <c r="K933" s="122">
        <f>IF(E933&gt;=5000,"🏆 Platinum",IF(E933&gt;=2000,"🥇 Gold",IF(E933&gt;=800,"🥈 Silver","🥉 Bronze")))</f>
        <v/>
      </c>
      <c r="L933" s="125" t="n">
        <v>40778</v>
      </c>
    </row>
    <row r="934">
      <c r="A934" s="126" t="n">
        <v>13594</v>
      </c>
      <c r="B934" s="126" t="inlineStr">
        <is>
          <t>United Kingdom</t>
        </is>
      </c>
      <c r="C934" s="126" t="n">
        <v>53</v>
      </c>
      <c r="D934" s="126" t="n">
        <v>1</v>
      </c>
      <c r="E934" s="127" t="n">
        <v>396.97</v>
      </c>
      <c r="F934" s="128">
        <f>IF(C934&lt;=30,5,IF(C934&lt;=60,4,IF(C934&lt;=120,3,IF(C934&lt;=200,2,1))))</f>
        <v/>
      </c>
      <c r="G934" s="128">
        <f>IF(D934&gt;=20,5,IF(D934&gt;=10,4,IF(D934&gt;=5,3,IF(D934&gt;=2,2,1))))</f>
        <v/>
      </c>
      <c r="H934" s="128">
        <f>IF(E934&gt;=5000,5,IF(E934&gt;=2000,4,IF(E934&gt;=800,3,IF(E934&gt;=300,2,1))))</f>
        <v/>
      </c>
      <c r="I934" s="126">
        <f>TEXT(F934,"0")&amp;TEXT(G934,"0")&amp;TEXT(H934,"0")</f>
        <v/>
      </c>
      <c r="J934" s="126">
        <f>IFERROR(XLOOKUP(I934,'Segment Map'!A:A,'Segment Map'!B:B,"Need Attention"),"Need Attention")</f>
        <v/>
      </c>
      <c r="K934" s="126">
        <f>IF(E934&gt;=5000,"🏆 Platinum",IF(E934&gt;=2000,"🥇 Gold",IF(E934&gt;=800,"🥈 Silver","🥉 Bronze")))</f>
        <v/>
      </c>
      <c r="L934" s="129" t="n">
        <v>40834</v>
      </c>
    </row>
    <row r="935">
      <c r="A935" s="122" t="n">
        <v>13596</v>
      </c>
      <c r="B935" s="122" t="inlineStr">
        <is>
          <t>United Kingdom</t>
        </is>
      </c>
      <c r="C935" s="122" t="n">
        <v>6</v>
      </c>
      <c r="D935" s="122" t="n">
        <v>2</v>
      </c>
      <c r="E935" s="123" t="n">
        <v>697.04</v>
      </c>
      <c r="F935" s="124">
        <f>IF(C935&lt;=30,5,IF(C935&lt;=60,4,IF(C935&lt;=120,3,IF(C935&lt;=200,2,1))))</f>
        <v/>
      </c>
      <c r="G935" s="124">
        <f>IF(D935&gt;=20,5,IF(D935&gt;=10,4,IF(D935&gt;=5,3,IF(D935&gt;=2,2,1))))</f>
        <v/>
      </c>
      <c r="H935" s="124">
        <f>IF(E935&gt;=5000,5,IF(E935&gt;=2000,4,IF(E935&gt;=800,3,IF(E935&gt;=300,2,1))))</f>
        <v/>
      </c>
      <c r="I935" s="122">
        <f>TEXT(F935,"0")&amp;TEXT(G935,"0")&amp;TEXT(H935,"0")</f>
        <v/>
      </c>
      <c r="J935" s="122">
        <f>IFERROR(XLOOKUP(I935,'Segment Map'!A:A,'Segment Map'!B:B,"Need Attention"),"Need Attention")</f>
        <v/>
      </c>
      <c r="K935" s="122">
        <f>IF(E935&gt;=5000,"🏆 Platinum",IF(E935&gt;=2000,"🥇 Gold",IF(E935&gt;=800,"🥈 Silver","🥉 Bronze")))</f>
        <v/>
      </c>
      <c r="L935" s="125" t="n">
        <v>40881</v>
      </c>
    </row>
    <row r="936">
      <c r="A936" s="126" t="n">
        <v>13598</v>
      </c>
      <c r="B936" s="126" t="inlineStr">
        <is>
          <t>United Kingdom</t>
        </is>
      </c>
      <c r="C936" s="126" t="n">
        <v>48</v>
      </c>
      <c r="D936" s="126" t="n">
        <v>1</v>
      </c>
      <c r="E936" s="127" t="n">
        <v>180.17</v>
      </c>
      <c r="F936" s="128">
        <f>IF(C936&lt;=30,5,IF(C936&lt;=60,4,IF(C936&lt;=120,3,IF(C936&lt;=200,2,1))))</f>
        <v/>
      </c>
      <c r="G936" s="128">
        <f>IF(D936&gt;=20,5,IF(D936&gt;=10,4,IF(D936&gt;=5,3,IF(D936&gt;=2,2,1))))</f>
        <v/>
      </c>
      <c r="H936" s="128">
        <f>IF(E936&gt;=5000,5,IF(E936&gt;=2000,4,IF(E936&gt;=800,3,IF(E936&gt;=300,2,1))))</f>
        <v/>
      </c>
      <c r="I936" s="126">
        <f>TEXT(F936,"0")&amp;TEXT(G936,"0")&amp;TEXT(H936,"0")</f>
        <v/>
      </c>
      <c r="J936" s="126">
        <f>IFERROR(XLOOKUP(I936,'Segment Map'!A:A,'Segment Map'!B:B,"Need Attention"),"Need Attention")</f>
        <v/>
      </c>
      <c r="K936" s="126">
        <f>IF(E936&gt;=5000,"🏆 Platinum",IF(E936&gt;=2000,"🥇 Gold",IF(E936&gt;=800,"🥈 Silver","🥉 Bronze")))</f>
        <v/>
      </c>
      <c r="L936" s="129" t="n">
        <v>40839</v>
      </c>
    </row>
    <row r="937">
      <c r="A937" s="122" t="n">
        <v>13599</v>
      </c>
      <c r="B937" s="122" t="inlineStr">
        <is>
          <t>United Kingdom</t>
        </is>
      </c>
      <c r="C937" s="122" t="n">
        <v>2</v>
      </c>
      <c r="D937" s="122" t="n">
        <v>21</v>
      </c>
      <c r="E937" s="123" t="n">
        <v>5153.67</v>
      </c>
      <c r="F937" s="124">
        <f>IF(C937&lt;=30,5,IF(C937&lt;=60,4,IF(C937&lt;=120,3,IF(C937&lt;=200,2,1))))</f>
        <v/>
      </c>
      <c r="G937" s="124">
        <f>IF(D937&gt;=20,5,IF(D937&gt;=10,4,IF(D937&gt;=5,3,IF(D937&gt;=2,2,1))))</f>
        <v/>
      </c>
      <c r="H937" s="124">
        <f>IF(E937&gt;=5000,5,IF(E937&gt;=2000,4,IF(E937&gt;=800,3,IF(E937&gt;=300,2,1))))</f>
        <v/>
      </c>
      <c r="I937" s="122">
        <f>TEXT(F937,"0")&amp;TEXT(G937,"0")&amp;TEXT(H937,"0")</f>
        <v/>
      </c>
      <c r="J937" s="122">
        <f>IFERROR(XLOOKUP(I937,'Segment Map'!A:A,'Segment Map'!B:B,"Need Attention"),"Need Attention")</f>
        <v/>
      </c>
      <c r="K937" s="122">
        <f>IF(E937&gt;=5000,"🏆 Platinum",IF(E937&gt;=2000,"🥇 Gold",IF(E937&gt;=800,"🥈 Silver","🥉 Bronze")))</f>
        <v/>
      </c>
      <c r="L937" s="125" t="n">
        <v>40885</v>
      </c>
    </row>
    <row r="938">
      <c r="A938" s="126" t="n">
        <v>13600</v>
      </c>
      <c r="B938" s="126" t="inlineStr">
        <is>
          <t>United Kingdom</t>
        </is>
      </c>
      <c r="C938" s="126" t="n">
        <v>313</v>
      </c>
      <c r="D938" s="126" t="n">
        <v>1</v>
      </c>
      <c r="E938" s="127" t="n">
        <v>219.52</v>
      </c>
      <c r="F938" s="128">
        <f>IF(C938&lt;=30,5,IF(C938&lt;=60,4,IF(C938&lt;=120,3,IF(C938&lt;=200,2,1))))</f>
        <v/>
      </c>
      <c r="G938" s="128">
        <f>IF(D938&gt;=20,5,IF(D938&gt;=10,4,IF(D938&gt;=5,3,IF(D938&gt;=2,2,1))))</f>
        <v/>
      </c>
      <c r="H938" s="128">
        <f>IF(E938&gt;=5000,5,IF(E938&gt;=2000,4,IF(E938&gt;=800,3,IF(E938&gt;=300,2,1))))</f>
        <v/>
      </c>
      <c r="I938" s="126">
        <f>TEXT(F938,"0")&amp;TEXT(G938,"0")&amp;TEXT(H938,"0")</f>
        <v/>
      </c>
      <c r="J938" s="126">
        <f>IFERROR(XLOOKUP(I938,'Segment Map'!A:A,'Segment Map'!B:B,"Need Attention"),"Need Attention")</f>
        <v/>
      </c>
      <c r="K938" s="126">
        <f>IF(E938&gt;=5000,"🏆 Platinum",IF(E938&gt;=2000,"🥇 Gold",IF(E938&gt;=800,"🥈 Silver","🥉 Bronze")))</f>
        <v/>
      </c>
      <c r="L938" s="129" t="n">
        <v>40574</v>
      </c>
    </row>
    <row r="939">
      <c r="A939" s="122" t="n">
        <v>13601</v>
      </c>
      <c r="B939" s="122" t="inlineStr">
        <is>
          <t>United Kingdom</t>
        </is>
      </c>
      <c r="C939" s="122" t="n">
        <v>46</v>
      </c>
      <c r="D939" s="122" t="n">
        <v>2</v>
      </c>
      <c r="E939" s="123" t="n">
        <v>693.3200000000001</v>
      </c>
      <c r="F939" s="124">
        <f>IF(C939&lt;=30,5,IF(C939&lt;=60,4,IF(C939&lt;=120,3,IF(C939&lt;=200,2,1))))</f>
        <v/>
      </c>
      <c r="G939" s="124">
        <f>IF(D939&gt;=20,5,IF(D939&gt;=10,4,IF(D939&gt;=5,3,IF(D939&gt;=2,2,1))))</f>
        <v/>
      </c>
      <c r="H939" s="124">
        <f>IF(E939&gt;=5000,5,IF(E939&gt;=2000,4,IF(E939&gt;=800,3,IF(E939&gt;=300,2,1))))</f>
        <v/>
      </c>
      <c r="I939" s="122">
        <f>TEXT(F939,"0")&amp;TEXT(G939,"0")&amp;TEXT(H939,"0")</f>
        <v/>
      </c>
      <c r="J939" s="122">
        <f>IFERROR(XLOOKUP(I939,'Segment Map'!A:A,'Segment Map'!B:B,"Need Attention"),"Need Attention")</f>
        <v/>
      </c>
      <c r="K939" s="122">
        <f>IF(E939&gt;=5000,"🏆 Platinum",IF(E939&gt;=2000,"🥇 Gold",IF(E939&gt;=800,"🥈 Silver","🥉 Bronze")))</f>
        <v/>
      </c>
      <c r="L939" s="125" t="n">
        <v>40841</v>
      </c>
    </row>
    <row r="940">
      <c r="A940" s="126" t="n">
        <v>13602</v>
      </c>
      <c r="B940" s="126" t="inlineStr">
        <is>
          <t>United Kingdom</t>
        </is>
      </c>
      <c r="C940" s="126" t="n">
        <v>65</v>
      </c>
      <c r="D940" s="126" t="n">
        <v>1</v>
      </c>
      <c r="E940" s="127" t="n">
        <v>428.89</v>
      </c>
      <c r="F940" s="128">
        <f>IF(C940&lt;=30,5,IF(C940&lt;=60,4,IF(C940&lt;=120,3,IF(C940&lt;=200,2,1))))</f>
        <v/>
      </c>
      <c r="G940" s="128">
        <f>IF(D940&gt;=20,5,IF(D940&gt;=10,4,IF(D940&gt;=5,3,IF(D940&gt;=2,2,1))))</f>
        <v/>
      </c>
      <c r="H940" s="128">
        <f>IF(E940&gt;=5000,5,IF(E940&gt;=2000,4,IF(E940&gt;=800,3,IF(E940&gt;=300,2,1))))</f>
        <v/>
      </c>
      <c r="I940" s="126">
        <f>TEXT(F940,"0")&amp;TEXT(G940,"0")&amp;TEXT(H940,"0")</f>
        <v/>
      </c>
      <c r="J940" s="126">
        <f>IFERROR(XLOOKUP(I940,'Segment Map'!A:A,'Segment Map'!B:B,"Need Attention"),"Need Attention")</f>
        <v/>
      </c>
      <c r="K940" s="126">
        <f>IF(E940&gt;=5000,"🏆 Platinum",IF(E940&gt;=2000,"🥇 Gold",IF(E940&gt;=800,"🥈 Silver","🥉 Bronze")))</f>
        <v/>
      </c>
      <c r="L940" s="129" t="n">
        <v>40822</v>
      </c>
    </row>
    <row r="941">
      <c r="A941" s="122" t="n">
        <v>13603</v>
      </c>
      <c r="B941" s="122" t="inlineStr">
        <is>
          <t>United Kingdom</t>
        </is>
      </c>
      <c r="C941" s="122" t="n">
        <v>27</v>
      </c>
      <c r="D941" s="122" t="n">
        <v>1</v>
      </c>
      <c r="E941" s="123" t="n">
        <v>164.34</v>
      </c>
      <c r="F941" s="124">
        <f>IF(C941&lt;=30,5,IF(C941&lt;=60,4,IF(C941&lt;=120,3,IF(C941&lt;=200,2,1))))</f>
        <v/>
      </c>
      <c r="G941" s="124">
        <f>IF(D941&gt;=20,5,IF(D941&gt;=10,4,IF(D941&gt;=5,3,IF(D941&gt;=2,2,1))))</f>
        <v/>
      </c>
      <c r="H941" s="124">
        <f>IF(E941&gt;=5000,5,IF(E941&gt;=2000,4,IF(E941&gt;=800,3,IF(E941&gt;=300,2,1))))</f>
        <v/>
      </c>
      <c r="I941" s="122">
        <f>TEXT(F941,"0")&amp;TEXT(G941,"0")&amp;TEXT(H941,"0")</f>
        <v/>
      </c>
      <c r="J941" s="122">
        <f>IFERROR(XLOOKUP(I941,'Segment Map'!A:A,'Segment Map'!B:B,"Need Attention"),"Need Attention")</f>
        <v/>
      </c>
      <c r="K941" s="122">
        <f>IF(E941&gt;=5000,"🏆 Platinum",IF(E941&gt;=2000,"🥇 Gold",IF(E941&gt;=800,"🥈 Silver","🥉 Bronze")))</f>
        <v/>
      </c>
      <c r="L941" s="125" t="n">
        <v>40860</v>
      </c>
    </row>
    <row r="942">
      <c r="A942" s="126" t="n">
        <v>13606</v>
      </c>
      <c r="B942" s="126" t="inlineStr">
        <is>
          <t>United Kingdom</t>
        </is>
      </c>
      <c r="C942" s="126" t="n">
        <v>30</v>
      </c>
      <c r="D942" s="126" t="n">
        <v>3</v>
      </c>
      <c r="E942" s="127" t="n">
        <v>280.54</v>
      </c>
      <c r="F942" s="128">
        <f>IF(C942&lt;=30,5,IF(C942&lt;=60,4,IF(C942&lt;=120,3,IF(C942&lt;=200,2,1))))</f>
        <v/>
      </c>
      <c r="G942" s="128">
        <f>IF(D942&gt;=20,5,IF(D942&gt;=10,4,IF(D942&gt;=5,3,IF(D942&gt;=2,2,1))))</f>
        <v/>
      </c>
      <c r="H942" s="128">
        <f>IF(E942&gt;=5000,5,IF(E942&gt;=2000,4,IF(E942&gt;=800,3,IF(E942&gt;=300,2,1))))</f>
        <v/>
      </c>
      <c r="I942" s="126">
        <f>TEXT(F942,"0")&amp;TEXT(G942,"0")&amp;TEXT(H942,"0")</f>
        <v/>
      </c>
      <c r="J942" s="126">
        <f>IFERROR(XLOOKUP(I942,'Segment Map'!A:A,'Segment Map'!B:B,"Need Attention"),"Need Attention")</f>
        <v/>
      </c>
      <c r="K942" s="126">
        <f>IF(E942&gt;=5000,"🏆 Platinum",IF(E942&gt;=2000,"🥇 Gold",IF(E942&gt;=800,"🥈 Silver","🥉 Bronze")))</f>
        <v/>
      </c>
      <c r="L942" s="129" t="n">
        <v>40857</v>
      </c>
    </row>
    <row r="943">
      <c r="A943" s="122" t="n">
        <v>13607</v>
      </c>
      <c r="B943" s="122" t="inlineStr">
        <is>
          <t>United Kingdom</t>
        </is>
      </c>
      <c r="C943" s="122" t="n">
        <v>41</v>
      </c>
      <c r="D943" s="122" t="n">
        <v>1</v>
      </c>
      <c r="E943" s="123" t="n">
        <v>678.01</v>
      </c>
      <c r="F943" s="124">
        <f>IF(C943&lt;=30,5,IF(C943&lt;=60,4,IF(C943&lt;=120,3,IF(C943&lt;=200,2,1))))</f>
        <v/>
      </c>
      <c r="G943" s="124">
        <f>IF(D943&gt;=20,5,IF(D943&gt;=10,4,IF(D943&gt;=5,3,IF(D943&gt;=2,2,1))))</f>
        <v/>
      </c>
      <c r="H943" s="124">
        <f>IF(E943&gt;=5000,5,IF(E943&gt;=2000,4,IF(E943&gt;=800,3,IF(E943&gt;=300,2,1))))</f>
        <v/>
      </c>
      <c r="I943" s="122">
        <f>TEXT(F943,"0")&amp;TEXT(G943,"0")&amp;TEXT(H943,"0")</f>
        <v/>
      </c>
      <c r="J943" s="122">
        <f>IFERROR(XLOOKUP(I943,'Segment Map'!A:A,'Segment Map'!B:B,"Need Attention"),"Need Attention")</f>
        <v/>
      </c>
      <c r="K943" s="122">
        <f>IF(E943&gt;=5000,"🏆 Platinum",IF(E943&gt;=2000,"🥇 Gold",IF(E943&gt;=800,"🥈 Silver","🥉 Bronze")))</f>
        <v/>
      </c>
      <c r="L943" s="125" t="n">
        <v>40846</v>
      </c>
    </row>
    <row r="944">
      <c r="A944" s="126" t="n">
        <v>13610</v>
      </c>
      <c r="B944" s="126" t="inlineStr">
        <is>
          <t>United Kingdom</t>
        </is>
      </c>
      <c r="C944" s="126" t="n">
        <v>13</v>
      </c>
      <c r="D944" s="126" t="n">
        <v>7</v>
      </c>
      <c r="E944" s="127" t="n">
        <v>1131.88</v>
      </c>
      <c r="F944" s="128">
        <f>IF(C944&lt;=30,5,IF(C944&lt;=60,4,IF(C944&lt;=120,3,IF(C944&lt;=200,2,1))))</f>
        <v/>
      </c>
      <c r="G944" s="128">
        <f>IF(D944&gt;=20,5,IF(D944&gt;=10,4,IF(D944&gt;=5,3,IF(D944&gt;=2,2,1))))</f>
        <v/>
      </c>
      <c r="H944" s="128">
        <f>IF(E944&gt;=5000,5,IF(E944&gt;=2000,4,IF(E944&gt;=800,3,IF(E944&gt;=300,2,1))))</f>
        <v/>
      </c>
      <c r="I944" s="126">
        <f>TEXT(F944,"0")&amp;TEXT(G944,"0")&amp;TEXT(H944,"0")</f>
        <v/>
      </c>
      <c r="J944" s="126">
        <f>IFERROR(XLOOKUP(I944,'Segment Map'!A:A,'Segment Map'!B:B,"Need Attention"),"Need Attention")</f>
        <v/>
      </c>
      <c r="K944" s="126">
        <f>IF(E944&gt;=5000,"🏆 Platinum",IF(E944&gt;=2000,"🥇 Gold",IF(E944&gt;=800,"🥈 Silver","🥉 Bronze")))</f>
        <v/>
      </c>
      <c r="L944" s="129" t="n">
        <v>40874</v>
      </c>
    </row>
    <row r="945">
      <c r="A945" s="122" t="n">
        <v>13611</v>
      </c>
      <c r="B945" s="122" t="inlineStr">
        <is>
          <t>United Kingdom</t>
        </is>
      </c>
      <c r="C945" s="122" t="n">
        <v>90</v>
      </c>
      <c r="D945" s="122" t="n">
        <v>3</v>
      </c>
      <c r="E945" s="123" t="n">
        <v>1171.8</v>
      </c>
      <c r="F945" s="124">
        <f>IF(C945&lt;=30,5,IF(C945&lt;=60,4,IF(C945&lt;=120,3,IF(C945&lt;=200,2,1))))</f>
        <v/>
      </c>
      <c r="G945" s="124">
        <f>IF(D945&gt;=20,5,IF(D945&gt;=10,4,IF(D945&gt;=5,3,IF(D945&gt;=2,2,1))))</f>
        <v/>
      </c>
      <c r="H945" s="124">
        <f>IF(E945&gt;=5000,5,IF(E945&gt;=2000,4,IF(E945&gt;=800,3,IF(E945&gt;=300,2,1))))</f>
        <v/>
      </c>
      <c r="I945" s="122">
        <f>TEXT(F945,"0")&amp;TEXT(G945,"0")&amp;TEXT(H945,"0")</f>
        <v/>
      </c>
      <c r="J945" s="122">
        <f>IFERROR(XLOOKUP(I945,'Segment Map'!A:A,'Segment Map'!B:B,"Need Attention"),"Need Attention")</f>
        <v/>
      </c>
      <c r="K945" s="122">
        <f>IF(E945&gt;=5000,"🏆 Platinum",IF(E945&gt;=2000,"🥇 Gold",IF(E945&gt;=800,"🥈 Silver","🥉 Bronze")))</f>
        <v/>
      </c>
      <c r="L945" s="125" t="n">
        <v>40797</v>
      </c>
    </row>
    <row r="946">
      <c r="A946" s="126" t="n">
        <v>13614</v>
      </c>
      <c r="B946" s="126" t="inlineStr">
        <is>
          <t>United Kingdom</t>
        </is>
      </c>
      <c r="C946" s="126" t="n">
        <v>25</v>
      </c>
      <c r="D946" s="126" t="n">
        <v>4</v>
      </c>
      <c r="E946" s="127" t="n">
        <v>1610.46</v>
      </c>
      <c r="F946" s="128">
        <f>IF(C946&lt;=30,5,IF(C946&lt;=60,4,IF(C946&lt;=120,3,IF(C946&lt;=200,2,1))))</f>
        <v/>
      </c>
      <c r="G946" s="128">
        <f>IF(D946&gt;=20,5,IF(D946&gt;=10,4,IF(D946&gt;=5,3,IF(D946&gt;=2,2,1))))</f>
        <v/>
      </c>
      <c r="H946" s="128">
        <f>IF(E946&gt;=5000,5,IF(E946&gt;=2000,4,IF(E946&gt;=800,3,IF(E946&gt;=300,2,1))))</f>
        <v/>
      </c>
      <c r="I946" s="126">
        <f>TEXT(F946,"0")&amp;TEXT(G946,"0")&amp;TEXT(H946,"0")</f>
        <v/>
      </c>
      <c r="J946" s="126">
        <f>IFERROR(XLOOKUP(I946,'Segment Map'!A:A,'Segment Map'!B:B,"Need Attention"),"Need Attention")</f>
        <v/>
      </c>
      <c r="K946" s="126">
        <f>IF(E946&gt;=5000,"🏆 Platinum",IF(E946&gt;=2000,"🥇 Gold",IF(E946&gt;=800,"🥈 Silver","🥉 Bronze")))</f>
        <v/>
      </c>
      <c r="L946" s="129" t="n">
        <v>40862</v>
      </c>
    </row>
    <row r="947">
      <c r="A947" s="122" t="n">
        <v>13615</v>
      </c>
      <c r="B947" s="122" t="inlineStr">
        <is>
          <t>United Kingdom</t>
        </is>
      </c>
      <c r="C947" s="122" t="n">
        <v>319</v>
      </c>
      <c r="D947" s="122" t="n">
        <v>1</v>
      </c>
      <c r="E947" s="123" t="n">
        <v>417.69</v>
      </c>
      <c r="F947" s="124">
        <f>IF(C947&lt;=30,5,IF(C947&lt;=60,4,IF(C947&lt;=120,3,IF(C947&lt;=200,2,1))))</f>
        <v/>
      </c>
      <c r="G947" s="124">
        <f>IF(D947&gt;=20,5,IF(D947&gt;=10,4,IF(D947&gt;=5,3,IF(D947&gt;=2,2,1))))</f>
        <v/>
      </c>
      <c r="H947" s="124">
        <f>IF(E947&gt;=5000,5,IF(E947&gt;=2000,4,IF(E947&gt;=800,3,IF(E947&gt;=300,2,1))))</f>
        <v/>
      </c>
      <c r="I947" s="122">
        <f>TEXT(F947,"0")&amp;TEXT(G947,"0")&amp;TEXT(H947,"0")</f>
        <v/>
      </c>
      <c r="J947" s="122">
        <f>IFERROR(XLOOKUP(I947,'Segment Map'!A:A,'Segment Map'!B:B,"Need Attention"),"Need Attention")</f>
        <v/>
      </c>
      <c r="K947" s="122">
        <f>IF(E947&gt;=5000,"🏆 Platinum",IF(E947&gt;=2000,"🥇 Gold",IF(E947&gt;=800,"🥈 Silver","🥉 Bronze")))</f>
        <v/>
      </c>
      <c r="L947" s="125" t="n">
        <v>40568</v>
      </c>
    </row>
    <row r="948">
      <c r="A948" s="126" t="n">
        <v>13617</v>
      </c>
      <c r="B948" s="126" t="inlineStr">
        <is>
          <t>United Kingdom</t>
        </is>
      </c>
      <c r="C948" s="126" t="n">
        <v>41</v>
      </c>
      <c r="D948" s="126" t="n">
        <v>3</v>
      </c>
      <c r="E948" s="127" t="n">
        <v>544.1799999999999</v>
      </c>
      <c r="F948" s="128">
        <f>IF(C948&lt;=30,5,IF(C948&lt;=60,4,IF(C948&lt;=120,3,IF(C948&lt;=200,2,1))))</f>
        <v/>
      </c>
      <c r="G948" s="128">
        <f>IF(D948&gt;=20,5,IF(D948&gt;=10,4,IF(D948&gt;=5,3,IF(D948&gt;=2,2,1))))</f>
        <v/>
      </c>
      <c r="H948" s="128">
        <f>IF(E948&gt;=5000,5,IF(E948&gt;=2000,4,IF(E948&gt;=800,3,IF(E948&gt;=300,2,1))))</f>
        <v/>
      </c>
      <c r="I948" s="126">
        <f>TEXT(F948,"0")&amp;TEXT(G948,"0")&amp;TEXT(H948,"0")</f>
        <v/>
      </c>
      <c r="J948" s="126">
        <f>IFERROR(XLOOKUP(I948,'Segment Map'!A:A,'Segment Map'!B:B,"Need Attention"),"Need Attention")</f>
        <v/>
      </c>
      <c r="K948" s="126">
        <f>IF(E948&gt;=5000,"🏆 Platinum",IF(E948&gt;=2000,"🥇 Gold",IF(E948&gt;=800,"🥈 Silver","🥉 Bronze")))</f>
        <v/>
      </c>
      <c r="L948" s="129" t="n">
        <v>40846</v>
      </c>
    </row>
    <row r="949">
      <c r="A949" s="122" t="n">
        <v>13618</v>
      </c>
      <c r="B949" s="122" t="inlineStr">
        <is>
          <t>United Kingdom</t>
        </is>
      </c>
      <c r="C949" s="122" t="n">
        <v>174</v>
      </c>
      <c r="D949" s="122" t="n">
        <v>1</v>
      </c>
      <c r="E949" s="123" t="n">
        <v>177.34</v>
      </c>
      <c r="F949" s="124">
        <f>IF(C949&lt;=30,5,IF(C949&lt;=60,4,IF(C949&lt;=120,3,IF(C949&lt;=200,2,1))))</f>
        <v/>
      </c>
      <c r="G949" s="124">
        <f>IF(D949&gt;=20,5,IF(D949&gt;=10,4,IF(D949&gt;=5,3,IF(D949&gt;=2,2,1))))</f>
        <v/>
      </c>
      <c r="H949" s="124">
        <f>IF(E949&gt;=5000,5,IF(E949&gt;=2000,4,IF(E949&gt;=800,3,IF(E949&gt;=300,2,1))))</f>
        <v/>
      </c>
      <c r="I949" s="122">
        <f>TEXT(F949,"0")&amp;TEXT(G949,"0")&amp;TEXT(H949,"0")</f>
        <v/>
      </c>
      <c r="J949" s="122">
        <f>IFERROR(XLOOKUP(I949,'Segment Map'!A:A,'Segment Map'!B:B,"Need Attention"),"Need Attention")</f>
        <v/>
      </c>
      <c r="K949" s="122">
        <f>IF(E949&gt;=5000,"🏆 Platinum",IF(E949&gt;=2000,"🥇 Gold",IF(E949&gt;=800,"🥈 Silver","🥉 Bronze")))</f>
        <v/>
      </c>
      <c r="L949" s="125" t="n">
        <v>40713</v>
      </c>
    </row>
    <row r="950">
      <c r="A950" s="126" t="n">
        <v>13621</v>
      </c>
      <c r="B950" s="126" t="inlineStr">
        <is>
          <t>United Kingdom</t>
        </is>
      </c>
      <c r="C950" s="126" t="n">
        <v>117</v>
      </c>
      <c r="D950" s="126" t="n">
        <v>1</v>
      </c>
      <c r="E950" s="127" t="n">
        <v>213.85</v>
      </c>
      <c r="F950" s="128">
        <f>IF(C950&lt;=30,5,IF(C950&lt;=60,4,IF(C950&lt;=120,3,IF(C950&lt;=200,2,1))))</f>
        <v/>
      </c>
      <c r="G950" s="128">
        <f>IF(D950&gt;=20,5,IF(D950&gt;=10,4,IF(D950&gt;=5,3,IF(D950&gt;=2,2,1))))</f>
        <v/>
      </c>
      <c r="H950" s="128">
        <f>IF(E950&gt;=5000,5,IF(E950&gt;=2000,4,IF(E950&gt;=800,3,IF(E950&gt;=300,2,1))))</f>
        <v/>
      </c>
      <c r="I950" s="126">
        <f>TEXT(F950,"0")&amp;TEXT(G950,"0")&amp;TEXT(H950,"0")</f>
        <v/>
      </c>
      <c r="J950" s="126">
        <f>IFERROR(XLOOKUP(I950,'Segment Map'!A:A,'Segment Map'!B:B,"Need Attention"),"Need Attention")</f>
        <v/>
      </c>
      <c r="K950" s="126">
        <f>IF(E950&gt;=5000,"🏆 Platinum",IF(E950&gt;=2000,"🥇 Gold",IF(E950&gt;=800,"🥈 Silver","🥉 Bronze")))</f>
        <v/>
      </c>
      <c r="L950" s="129" t="n">
        <v>40770</v>
      </c>
    </row>
    <row r="951">
      <c r="A951" s="122" t="n">
        <v>13623</v>
      </c>
      <c r="B951" s="122" t="inlineStr">
        <is>
          <t>United Kingdom</t>
        </is>
      </c>
      <c r="C951" s="122" t="n">
        <v>31</v>
      </c>
      <c r="D951" s="122" t="n">
        <v>5</v>
      </c>
      <c r="E951" s="123" t="n">
        <v>747.78</v>
      </c>
      <c r="F951" s="124">
        <f>IF(C951&lt;=30,5,IF(C951&lt;=60,4,IF(C951&lt;=120,3,IF(C951&lt;=200,2,1))))</f>
        <v/>
      </c>
      <c r="G951" s="124">
        <f>IF(D951&gt;=20,5,IF(D951&gt;=10,4,IF(D951&gt;=5,3,IF(D951&gt;=2,2,1))))</f>
        <v/>
      </c>
      <c r="H951" s="124">
        <f>IF(E951&gt;=5000,5,IF(E951&gt;=2000,4,IF(E951&gt;=800,3,IF(E951&gt;=300,2,1))))</f>
        <v/>
      </c>
      <c r="I951" s="122">
        <f>TEXT(F951,"0")&amp;TEXT(G951,"0")&amp;TEXT(H951,"0")</f>
        <v/>
      </c>
      <c r="J951" s="122">
        <f>IFERROR(XLOOKUP(I951,'Segment Map'!A:A,'Segment Map'!B:B,"Need Attention"),"Need Attention")</f>
        <v/>
      </c>
      <c r="K951" s="122">
        <f>IF(E951&gt;=5000,"🏆 Platinum",IF(E951&gt;=2000,"🥇 Gold",IF(E951&gt;=800,"🥈 Silver","🥉 Bronze")))</f>
        <v/>
      </c>
      <c r="L951" s="125" t="n">
        <v>40856</v>
      </c>
    </row>
    <row r="952">
      <c r="A952" s="126" t="n">
        <v>13626</v>
      </c>
      <c r="B952" s="126" t="inlineStr">
        <is>
          <t>United Kingdom</t>
        </is>
      </c>
      <c r="C952" s="126" t="n">
        <v>253</v>
      </c>
      <c r="D952" s="126" t="n">
        <v>1</v>
      </c>
      <c r="E952" s="127" t="n">
        <v>257.23</v>
      </c>
      <c r="F952" s="128">
        <f>IF(C952&lt;=30,5,IF(C952&lt;=60,4,IF(C952&lt;=120,3,IF(C952&lt;=200,2,1))))</f>
        <v/>
      </c>
      <c r="G952" s="128">
        <f>IF(D952&gt;=20,5,IF(D952&gt;=10,4,IF(D952&gt;=5,3,IF(D952&gt;=2,2,1))))</f>
        <v/>
      </c>
      <c r="H952" s="128">
        <f>IF(E952&gt;=5000,5,IF(E952&gt;=2000,4,IF(E952&gt;=800,3,IF(E952&gt;=300,2,1))))</f>
        <v/>
      </c>
      <c r="I952" s="126">
        <f>TEXT(F952,"0")&amp;TEXT(G952,"0")&amp;TEXT(H952,"0")</f>
        <v/>
      </c>
      <c r="J952" s="126">
        <f>IFERROR(XLOOKUP(I952,'Segment Map'!A:A,'Segment Map'!B:B,"Need Attention"),"Need Attention")</f>
        <v/>
      </c>
      <c r="K952" s="126">
        <f>IF(E952&gt;=5000,"🏆 Platinum",IF(E952&gt;=2000,"🥇 Gold",IF(E952&gt;=800,"🥈 Silver","🥉 Bronze")))</f>
        <v/>
      </c>
      <c r="L952" s="129" t="n">
        <v>40634</v>
      </c>
    </row>
    <row r="953">
      <c r="A953" s="122" t="n">
        <v>13627</v>
      </c>
      <c r="B953" s="122" t="inlineStr">
        <is>
          <t>United Kingdom</t>
        </is>
      </c>
      <c r="C953" s="122" t="n">
        <v>60</v>
      </c>
      <c r="D953" s="122" t="n">
        <v>5</v>
      </c>
      <c r="E953" s="123" t="n">
        <v>1638.47</v>
      </c>
      <c r="F953" s="124">
        <f>IF(C953&lt;=30,5,IF(C953&lt;=60,4,IF(C953&lt;=120,3,IF(C953&lt;=200,2,1))))</f>
        <v/>
      </c>
      <c r="G953" s="124">
        <f>IF(D953&gt;=20,5,IF(D953&gt;=10,4,IF(D953&gt;=5,3,IF(D953&gt;=2,2,1))))</f>
        <v/>
      </c>
      <c r="H953" s="124">
        <f>IF(E953&gt;=5000,5,IF(E953&gt;=2000,4,IF(E953&gt;=800,3,IF(E953&gt;=300,2,1))))</f>
        <v/>
      </c>
      <c r="I953" s="122">
        <f>TEXT(F953,"0")&amp;TEXT(G953,"0")&amp;TEXT(H953,"0")</f>
        <v/>
      </c>
      <c r="J953" s="122">
        <f>IFERROR(XLOOKUP(I953,'Segment Map'!A:A,'Segment Map'!B:B,"Need Attention"),"Need Attention")</f>
        <v/>
      </c>
      <c r="K953" s="122">
        <f>IF(E953&gt;=5000,"🏆 Platinum",IF(E953&gt;=2000,"🥇 Gold",IF(E953&gt;=800,"🥈 Silver","🥉 Bronze")))</f>
        <v/>
      </c>
      <c r="L953" s="125" t="n">
        <v>40827</v>
      </c>
    </row>
    <row r="954">
      <c r="A954" s="126" t="n">
        <v>13629</v>
      </c>
      <c r="B954" s="126" t="inlineStr">
        <is>
          <t>United Kingdom</t>
        </is>
      </c>
      <c r="C954" s="126" t="n">
        <v>24</v>
      </c>
      <c r="D954" s="126" t="n">
        <v>11</v>
      </c>
      <c r="E954" s="127" t="n">
        <v>7792.36</v>
      </c>
      <c r="F954" s="128">
        <f>IF(C954&lt;=30,5,IF(C954&lt;=60,4,IF(C954&lt;=120,3,IF(C954&lt;=200,2,1))))</f>
        <v/>
      </c>
      <c r="G954" s="128">
        <f>IF(D954&gt;=20,5,IF(D954&gt;=10,4,IF(D954&gt;=5,3,IF(D954&gt;=2,2,1))))</f>
        <v/>
      </c>
      <c r="H954" s="128">
        <f>IF(E954&gt;=5000,5,IF(E954&gt;=2000,4,IF(E954&gt;=800,3,IF(E954&gt;=300,2,1))))</f>
        <v/>
      </c>
      <c r="I954" s="126">
        <f>TEXT(F954,"0")&amp;TEXT(G954,"0")&amp;TEXT(H954,"0")</f>
        <v/>
      </c>
      <c r="J954" s="126">
        <f>IFERROR(XLOOKUP(I954,'Segment Map'!A:A,'Segment Map'!B:B,"Need Attention"),"Need Attention")</f>
        <v/>
      </c>
      <c r="K954" s="126">
        <f>IF(E954&gt;=5000,"🏆 Platinum",IF(E954&gt;=2000,"🥇 Gold",IF(E954&gt;=800,"🥈 Silver","🥉 Bronze")))</f>
        <v/>
      </c>
      <c r="L954" s="129" t="n">
        <v>40863</v>
      </c>
    </row>
    <row r="955">
      <c r="A955" s="122" t="n">
        <v>13630</v>
      </c>
      <c r="B955" s="122" t="inlineStr">
        <is>
          <t>United Kingdom</t>
        </is>
      </c>
      <c r="C955" s="122" t="n">
        <v>6</v>
      </c>
      <c r="D955" s="122" t="n">
        <v>7</v>
      </c>
      <c r="E955" s="123" t="n">
        <v>2031.78</v>
      </c>
      <c r="F955" s="124">
        <f>IF(C955&lt;=30,5,IF(C955&lt;=60,4,IF(C955&lt;=120,3,IF(C955&lt;=200,2,1))))</f>
        <v/>
      </c>
      <c r="G955" s="124">
        <f>IF(D955&gt;=20,5,IF(D955&gt;=10,4,IF(D955&gt;=5,3,IF(D955&gt;=2,2,1))))</f>
        <v/>
      </c>
      <c r="H955" s="124">
        <f>IF(E955&gt;=5000,5,IF(E955&gt;=2000,4,IF(E955&gt;=800,3,IF(E955&gt;=300,2,1))))</f>
        <v/>
      </c>
      <c r="I955" s="122">
        <f>TEXT(F955,"0")&amp;TEXT(G955,"0")&amp;TEXT(H955,"0")</f>
        <v/>
      </c>
      <c r="J955" s="122">
        <f>IFERROR(XLOOKUP(I955,'Segment Map'!A:A,'Segment Map'!B:B,"Need Attention"),"Need Attention")</f>
        <v/>
      </c>
      <c r="K955" s="122">
        <f>IF(E955&gt;=5000,"🏆 Platinum",IF(E955&gt;=2000,"🥇 Gold",IF(E955&gt;=800,"🥈 Silver","🥉 Bronze")))</f>
        <v/>
      </c>
      <c r="L955" s="125" t="n">
        <v>40881</v>
      </c>
    </row>
    <row r="956">
      <c r="A956" s="126" t="n">
        <v>13631</v>
      </c>
      <c r="B956" s="126" t="inlineStr">
        <is>
          <t>United Kingdom</t>
        </is>
      </c>
      <c r="C956" s="126" t="n">
        <v>100</v>
      </c>
      <c r="D956" s="126" t="n">
        <v>11</v>
      </c>
      <c r="E956" s="127" t="n">
        <v>3070.42</v>
      </c>
      <c r="F956" s="128">
        <f>IF(C956&lt;=30,5,IF(C956&lt;=60,4,IF(C956&lt;=120,3,IF(C956&lt;=200,2,1))))</f>
        <v/>
      </c>
      <c r="G956" s="128">
        <f>IF(D956&gt;=20,5,IF(D956&gt;=10,4,IF(D956&gt;=5,3,IF(D956&gt;=2,2,1))))</f>
        <v/>
      </c>
      <c r="H956" s="128">
        <f>IF(E956&gt;=5000,5,IF(E956&gt;=2000,4,IF(E956&gt;=800,3,IF(E956&gt;=300,2,1))))</f>
        <v/>
      </c>
      <c r="I956" s="126">
        <f>TEXT(F956,"0")&amp;TEXT(G956,"0")&amp;TEXT(H956,"0")</f>
        <v/>
      </c>
      <c r="J956" s="126">
        <f>IFERROR(XLOOKUP(I956,'Segment Map'!A:A,'Segment Map'!B:B,"Need Attention"),"Need Attention")</f>
        <v/>
      </c>
      <c r="K956" s="126">
        <f>IF(E956&gt;=5000,"🏆 Platinum",IF(E956&gt;=2000,"🥇 Gold",IF(E956&gt;=800,"🥈 Silver","🥉 Bronze")))</f>
        <v/>
      </c>
      <c r="L956" s="129" t="n">
        <v>40787</v>
      </c>
    </row>
    <row r="957">
      <c r="A957" s="122" t="n">
        <v>13632</v>
      </c>
      <c r="B957" s="122" t="inlineStr">
        <is>
          <t>United Kingdom</t>
        </is>
      </c>
      <c r="C957" s="122" t="n">
        <v>25</v>
      </c>
      <c r="D957" s="122" t="n">
        <v>5</v>
      </c>
      <c r="E957" s="123" t="n">
        <v>2121.27</v>
      </c>
      <c r="F957" s="124">
        <f>IF(C957&lt;=30,5,IF(C957&lt;=60,4,IF(C957&lt;=120,3,IF(C957&lt;=200,2,1))))</f>
        <v/>
      </c>
      <c r="G957" s="124">
        <f>IF(D957&gt;=20,5,IF(D957&gt;=10,4,IF(D957&gt;=5,3,IF(D957&gt;=2,2,1))))</f>
        <v/>
      </c>
      <c r="H957" s="124">
        <f>IF(E957&gt;=5000,5,IF(E957&gt;=2000,4,IF(E957&gt;=800,3,IF(E957&gt;=300,2,1))))</f>
        <v/>
      </c>
      <c r="I957" s="122">
        <f>TEXT(F957,"0")&amp;TEXT(G957,"0")&amp;TEXT(H957,"0")</f>
        <v/>
      </c>
      <c r="J957" s="122">
        <f>IFERROR(XLOOKUP(I957,'Segment Map'!A:A,'Segment Map'!B:B,"Need Attention"),"Need Attention")</f>
        <v/>
      </c>
      <c r="K957" s="122">
        <f>IF(E957&gt;=5000,"🏆 Platinum",IF(E957&gt;=2000,"🥇 Gold",IF(E957&gt;=800,"🥈 Silver","🥉 Bronze")))</f>
        <v/>
      </c>
      <c r="L957" s="125" t="n">
        <v>40862</v>
      </c>
    </row>
    <row r="958">
      <c r="A958" s="126" t="n">
        <v>13634</v>
      </c>
      <c r="B958" s="126" t="inlineStr">
        <is>
          <t>United Kingdom</t>
        </is>
      </c>
      <c r="C958" s="126" t="n">
        <v>34</v>
      </c>
      <c r="D958" s="126" t="n">
        <v>5</v>
      </c>
      <c r="E958" s="127" t="n">
        <v>1575.16</v>
      </c>
      <c r="F958" s="128">
        <f>IF(C958&lt;=30,5,IF(C958&lt;=60,4,IF(C958&lt;=120,3,IF(C958&lt;=200,2,1))))</f>
        <v/>
      </c>
      <c r="G958" s="128">
        <f>IF(D958&gt;=20,5,IF(D958&gt;=10,4,IF(D958&gt;=5,3,IF(D958&gt;=2,2,1))))</f>
        <v/>
      </c>
      <c r="H958" s="128">
        <f>IF(E958&gt;=5000,5,IF(E958&gt;=2000,4,IF(E958&gt;=800,3,IF(E958&gt;=300,2,1))))</f>
        <v/>
      </c>
      <c r="I958" s="126">
        <f>TEXT(F958,"0")&amp;TEXT(G958,"0")&amp;TEXT(H958,"0")</f>
        <v/>
      </c>
      <c r="J958" s="126">
        <f>IFERROR(XLOOKUP(I958,'Segment Map'!A:A,'Segment Map'!B:B,"Need Attention"),"Need Attention")</f>
        <v/>
      </c>
      <c r="K958" s="126">
        <f>IF(E958&gt;=5000,"🏆 Platinum",IF(E958&gt;=2000,"🥇 Gold",IF(E958&gt;=800,"🥈 Silver","🥉 Bronze")))</f>
        <v/>
      </c>
      <c r="L958" s="129" t="n">
        <v>40853</v>
      </c>
    </row>
    <row r="959">
      <c r="A959" s="122" t="n">
        <v>13635</v>
      </c>
      <c r="B959" s="122" t="inlineStr">
        <is>
          <t>United Kingdom</t>
        </is>
      </c>
      <c r="C959" s="122" t="n">
        <v>68</v>
      </c>
      <c r="D959" s="122" t="n">
        <v>1</v>
      </c>
      <c r="E959" s="123" t="n">
        <v>1071.03</v>
      </c>
      <c r="F959" s="124">
        <f>IF(C959&lt;=30,5,IF(C959&lt;=60,4,IF(C959&lt;=120,3,IF(C959&lt;=200,2,1))))</f>
        <v/>
      </c>
      <c r="G959" s="124">
        <f>IF(D959&gt;=20,5,IF(D959&gt;=10,4,IF(D959&gt;=5,3,IF(D959&gt;=2,2,1))))</f>
        <v/>
      </c>
      <c r="H959" s="124">
        <f>IF(E959&gt;=5000,5,IF(E959&gt;=2000,4,IF(E959&gt;=800,3,IF(E959&gt;=300,2,1))))</f>
        <v/>
      </c>
      <c r="I959" s="122">
        <f>TEXT(F959,"0")&amp;TEXT(G959,"0")&amp;TEXT(H959,"0")</f>
        <v/>
      </c>
      <c r="J959" s="122">
        <f>IFERROR(XLOOKUP(I959,'Segment Map'!A:A,'Segment Map'!B:B,"Need Attention"),"Need Attention")</f>
        <v/>
      </c>
      <c r="K959" s="122">
        <f>IF(E959&gt;=5000,"🏆 Platinum",IF(E959&gt;=2000,"🥇 Gold",IF(E959&gt;=800,"🥈 Silver","🥉 Bronze")))</f>
        <v/>
      </c>
      <c r="L959" s="125" t="n">
        <v>40819</v>
      </c>
    </row>
    <row r="960">
      <c r="A960" s="126" t="n">
        <v>13636</v>
      </c>
      <c r="B960" s="126" t="inlineStr">
        <is>
          <t>United Kingdom</t>
        </is>
      </c>
      <c r="C960" s="126" t="n">
        <v>37</v>
      </c>
      <c r="D960" s="126" t="n">
        <v>5</v>
      </c>
      <c r="E960" s="127" t="n">
        <v>949.12</v>
      </c>
      <c r="F960" s="128">
        <f>IF(C960&lt;=30,5,IF(C960&lt;=60,4,IF(C960&lt;=120,3,IF(C960&lt;=200,2,1))))</f>
        <v/>
      </c>
      <c r="G960" s="128">
        <f>IF(D960&gt;=20,5,IF(D960&gt;=10,4,IF(D960&gt;=5,3,IF(D960&gt;=2,2,1))))</f>
        <v/>
      </c>
      <c r="H960" s="128">
        <f>IF(E960&gt;=5000,5,IF(E960&gt;=2000,4,IF(E960&gt;=800,3,IF(E960&gt;=300,2,1))))</f>
        <v/>
      </c>
      <c r="I960" s="126">
        <f>TEXT(F960,"0")&amp;TEXT(G960,"0")&amp;TEXT(H960,"0")</f>
        <v/>
      </c>
      <c r="J960" s="126">
        <f>IFERROR(XLOOKUP(I960,'Segment Map'!A:A,'Segment Map'!B:B,"Need Attention"),"Need Attention")</f>
        <v/>
      </c>
      <c r="K960" s="126">
        <f>IF(E960&gt;=5000,"🏆 Platinum",IF(E960&gt;=2000,"🥇 Gold",IF(E960&gt;=800,"🥈 Silver","🥉 Bronze")))</f>
        <v/>
      </c>
      <c r="L960" s="129" t="n">
        <v>40850</v>
      </c>
    </row>
    <row r="961">
      <c r="A961" s="122" t="n">
        <v>13637</v>
      </c>
      <c r="B961" s="122" t="inlineStr">
        <is>
          <t>United Kingdom</t>
        </is>
      </c>
      <c r="C961" s="122" t="n">
        <v>53</v>
      </c>
      <c r="D961" s="122" t="n">
        <v>3</v>
      </c>
      <c r="E961" s="123" t="n">
        <v>810.5</v>
      </c>
      <c r="F961" s="124">
        <f>IF(C961&lt;=30,5,IF(C961&lt;=60,4,IF(C961&lt;=120,3,IF(C961&lt;=200,2,1))))</f>
        <v/>
      </c>
      <c r="G961" s="124">
        <f>IF(D961&gt;=20,5,IF(D961&gt;=10,4,IF(D961&gt;=5,3,IF(D961&gt;=2,2,1))))</f>
        <v/>
      </c>
      <c r="H961" s="124">
        <f>IF(E961&gt;=5000,5,IF(E961&gt;=2000,4,IF(E961&gt;=800,3,IF(E961&gt;=300,2,1))))</f>
        <v/>
      </c>
      <c r="I961" s="122">
        <f>TEXT(F961,"0")&amp;TEXT(G961,"0")&amp;TEXT(H961,"0")</f>
        <v/>
      </c>
      <c r="J961" s="122">
        <f>IFERROR(XLOOKUP(I961,'Segment Map'!A:A,'Segment Map'!B:B,"Need Attention"),"Need Attention")</f>
        <v/>
      </c>
      <c r="K961" s="122">
        <f>IF(E961&gt;=5000,"🏆 Platinum",IF(E961&gt;=2000,"🥇 Gold",IF(E961&gt;=800,"🥈 Silver","🥉 Bronze")))</f>
        <v/>
      </c>
      <c r="L961" s="125" t="n">
        <v>40834</v>
      </c>
    </row>
    <row r="962">
      <c r="A962" s="126" t="n">
        <v>13638</v>
      </c>
      <c r="B962" s="126" t="inlineStr">
        <is>
          <t>United Kingdom</t>
        </is>
      </c>
      <c r="C962" s="126" t="n">
        <v>16</v>
      </c>
      <c r="D962" s="126" t="n">
        <v>1</v>
      </c>
      <c r="E962" s="127" t="n">
        <v>122.64</v>
      </c>
      <c r="F962" s="128">
        <f>IF(C962&lt;=30,5,IF(C962&lt;=60,4,IF(C962&lt;=120,3,IF(C962&lt;=200,2,1))))</f>
        <v/>
      </c>
      <c r="G962" s="128">
        <f>IF(D962&gt;=20,5,IF(D962&gt;=10,4,IF(D962&gt;=5,3,IF(D962&gt;=2,2,1))))</f>
        <v/>
      </c>
      <c r="H962" s="128">
        <f>IF(E962&gt;=5000,5,IF(E962&gt;=2000,4,IF(E962&gt;=800,3,IF(E962&gt;=300,2,1))))</f>
        <v/>
      </c>
      <c r="I962" s="126">
        <f>TEXT(F962,"0")&amp;TEXT(G962,"0")&amp;TEXT(H962,"0")</f>
        <v/>
      </c>
      <c r="J962" s="126">
        <f>IFERROR(XLOOKUP(I962,'Segment Map'!A:A,'Segment Map'!B:B,"Need Attention"),"Need Attention")</f>
        <v/>
      </c>
      <c r="K962" s="126">
        <f>IF(E962&gt;=5000,"🏆 Platinum",IF(E962&gt;=2000,"🥇 Gold",IF(E962&gt;=800,"🥈 Silver","🥉 Bronze")))</f>
        <v/>
      </c>
      <c r="L962" s="129" t="n">
        <v>40871</v>
      </c>
    </row>
    <row r="963">
      <c r="A963" s="122" t="n">
        <v>13639</v>
      </c>
      <c r="B963" s="122" t="inlineStr">
        <is>
          <t>United Kingdom</t>
        </is>
      </c>
      <c r="C963" s="122" t="n">
        <v>75</v>
      </c>
      <c r="D963" s="122" t="n">
        <v>1</v>
      </c>
      <c r="E963" s="123" t="n">
        <v>1033.34</v>
      </c>
      <c r="F963" s="124">
        <f>IF(C963&lt;=30,5,IF(C963&lt;=60,4,IF(C963&lt;=120,3,IF(C963&lt;=200,2,1))))</f>
        <v/>
      </c>
      <c r="G963" s="124">
        <f>IF(D963&gt;=20,5,IF(D963&gt;=10,4,IF(D963&gt;=5,3,IF(D963&gt;=2,2,1))))</f>
        <v/>
      </c>
      <c r="H963" s="124">
        <f>IF(E963&gt;=5000,5,IF(E963&gt;=2000,4,IF(E963&gt;=800,3,IF(E963&gt;=300,2,1))))</f>
        <v/>
      </c>
      <c r="I963" s="122">
        <f>TEXT(F963,"0")&amp;TEXT(G963,"0")&amp;TEXT(H963,"0")</f>
        <v/>
      </c>
      <c r="J963" s="122">
        <f>IFERROR(XLOOKUP(I963,'Segment Map'!A:A,'Segment Map'!B:B,"Need Attention"),"Need Attention")</f>
        <v/>
      </c>
      <c r="K963" s="122">
        <f>IF(E963&gt;=5000,"🏆 Platinum",IF(E963&gt;=2000,"🥇 Gold",IF(E963&gt;=800,"🥈 Silver","🥉 Bronze")))</f>
        <v/>
      </c>
      <c r="L963" s="125" t="n">
        <v>40812</v>
      </c>
    </row>
    <row r="964">
      <c r="A964" s="126" t="n">
        <v>13642</v>
      </c>
      <c r="B964" s="126" t="inlineStr">
        <is>
          <t>United Kingdom</t>
        </is>
      </c>
      <c r="C964" s="126" t="n">
        <v>216</v>
      </c>
      <c r="D964" s="126" t="n">
        <v>1</v>
      </c>
      <c r="E964" s="127" t="n">
        <v>354.8</v>
      </c>
      <c r="F964" s="128">
        <f>IF(C964&lt;=30,5,IF(C964&lt;=60,4,IF(C964&lt;=120,3,IF(C964&lt;=200,2,1))))</f>
        <v/>
      </c>
      <c r="G964" s="128">
        <f>IF(D964&gt;=20,5,IF(D964&gt;=10,4,IF(D964&gt;=5,3,IF(D964&gt;=2,2,1))))</f>
        <v/>
      </c>
      <c r="H964" s="128">
        <f>IF(E964&gt;=5000,5,IF(E964&gt;=2000,4,IF(E964&gt;=800,3,IF(E964&gt;=300,2,1))))</f>
        <v/>
      </c>
      <c r="I964" s="126">
        <f>TEXT(F964,"0")&amp;TEXT(G964,"0")&amp;TEXT(H964,"0")</f>
        <v/>
      </c>
      <c r="J964" s="126">
        <f>IFERROR(XLOOKUP(I964,'Segment Map'!A:A,'Segment Map'!B:B,"Need Attention"),"Need Attention")</f>
        <v/>
      </c>
      <c r="K964" s="126">
        <f>IF(E964&gt;=5000,"🏆 Platinum",IF(E964&gt;=2000,"🥇 Gold",IF(E964&gt;=800,"🥈 Silver","🥉 Bronze")))</f>
        <v/>
      </c>
      <c r="L964" s="129" t="n">
        <v>40671</v>
      </c>
    </row>
    <row r="965">
      <c r="A965" s="122" t="n">
        <v>13643</v>
      </c>
      <c r="B965" s="122" t="inlineStr">
        <is>
          <t>United Kingdom</t>
        </is>
      </c>
      <c r="C965" s="122" t="n">
        <v>32</v>
      </c>
      <c r="D965" s="122" t="n">
        <v>3</v>
      </c>
      <c r="E965" s="123" t="n">
        <v>519.4400000000001</v>
      </c>
      <c r="F965" s="124">
        <f>IF(C965&lt;=30,5,IF(C965&lt;=60,4,IF(C965&lt;=120,3,IF(C965&lt;=200,2,1))))</f>
        <v/>
      </c>
      <c r="G965" s="124">
        <f>IF(D965&gt;=20,5,IF(D965&gt;=10,4,IF(D965&gt;=5,3,IF(D965&gt;=2,2,1))))</f>
        <v/>
      </c>
      <c r="H965" s="124">
        <f>IF(E965&gt;=5000,5,IF(E965&gt;=2000,4,IF(E965&gt;=800,3,IF(E965&gt;=300,2,1))))</f>
        <v/>
      </c>
      <c r="I965" s="122">
        <f>TEXT(F965,"0")&amp;TEXT(G965,"0")&amp;TEXT(H965,"0")</f>
        <v/>
      </c>
      <c r="J965" s="122">
        <f>IFERROR(XLOOKUP(I965,'Segment Map'!A:A,'Segment Map'!B:B,"Need Attention"),"Need Attention")</f>
        <v/>
      </c>
      <c r="K965" s="122">
        <f>IF(E965&gt;=5000,"🏆 Platinum",IF(E965&gt;=2000,"🥇 Gold",IF(E965&gt;=800,"🥈 Silver","🥉 Bronze")))</f>
        <v/>
      </c>
      <c r="L965" s="125" t="n">
        <v>40855</v>
      </c>
    </row>
    <row r="966">
      <c r="A966" s="126" t="n">
        <v>13644</v>
      </c>
      <c r="B966" s="126" t="inlineStr">
        <is>
          <t>United Kingdom</t>
        </is>
      </c>
      <c r="C966" s="126" t="n">
        <v>17</v>
      </c>
      <c r="D966" s="126" t="n">
        <v>4</v>
      </c>
      <c r="E966" s="127" t="n">
        <v>2624.26</v>
      </c>
      <c r="F966" s="128">
        <f>IF(C966&lt;=30,5,IF(C966&lt;=60,4,IF(C966&lt;=120,3,IF(C966&lt;=200,2,1))))</f>
        <v/>
      </c>
      <c r="G966" s="128">
        <f>IF(D966&gt;=20,5,IF(D966&gt;=10,4,IF(D966&gt;=5,3,IF(D966&gt;=2,2,1))))</f>
        <v/>
      </c>
      <c r="H966" s="128">
        <f>IF(E966&gt;=5000,5,IF(E966&gt;=2000,4,IF(E966&gt;=800,3,IF(E966&gt;=300,2,1))))</f>
        <v/>
      </c>
      <c r="I966" s="126">
        <f>TEXT(F966,"0")&amp;TEXT(G966,"0")&amp;TEXT(H966,"0")</f>
        <v/>
      </c>
      <c r="J966" s="126">
        <f>IFERROR(XLOOKUP(I966,'Segment Map'!A:A,'Segment Map'!B:B,"Need Attention"),"Need Attention")</f>
        <v/>
      </c>
      <c r="K966" s="126">
        <f>IF(E966&gt;=5000,"🏆 Platinum",IF(E966&gt;=2000,"🥇 Gold",IF(E966&gt;=800,"🥈 Silver","🥉 Bronze")))</f>
        <v/>
      </c>
      <c r="L966" s="129" t="n">
        <v>40870</v>
      </c>
    </row>
    <row r="967">
      <c r="A967" s="122" t="n">
        <v>13645</v>
      </c>
      <c r="B967" s="122" t="inlineStr">
        <is>
          <t>United Kingdom</t>
        </is>
      </c>
      <c r="C967" s="122" t="n">
        <v>121</v>
      </c>
      <c r="D967" s="122" t="n">
        <v>1</v>
      </c>
      <c r="E967" s="123" t="n">
        <v>252.1</v>
      </c>
      <c r="F967" s="124">
        <f>IF(C967&lt;=30,5,IF(C967&lt;=60,4,IF(C967&lt;=120,3,IF(C967&lt;=200,2,1))))</f>
        <v/>
      </c>
      <c r="G967" s="124">
        <f>IF(D967&gt;=20,5,IF(D967&gt;=10,4,IF(D967&gt;=5,3,IF(D967&gt;=2,2,1))))</f>
        <v/>
      </c>
      <c r="H967" s="124">
        <f>IF(E967&gt;=5000,5,IF(E967&gt;=2000,4,IF(E967&gt;=800,3,IF(E967&gt;=300,2,1))))</f>
        <v/>
      </c>
      <c r="I967" s="122">
        <f>TEXT(F967,"0")&amp;TEXT(G967,"0")&amp;TEXT(H967,"0")</f>
        <v/>
      </c>
      <c r="J967" s="122">
        <f>IFERROR(XLOOKUP(I967,'Segment Map'!A:A,'Segment Map'!B:B,"Need Attention"),"Need Attention")</f>
        <v/>
      </c>
      <c r="K967" s="122">
        <f>IF(E967&gt;=5000,"🏆 Platinum",IF(E967&gt;=2000,"🥇 Gold",IF(E967&gt;=800,"🥈 Silver","🥉 Bronze")))</f>
        <v/>
      </c>
      <c r="L967" s="125" t="n">
        <v>40766</v>
      </c>
    </row>
    <row r="968">
      <c r="A968" s="126" t="n">
        <v>13647</v>
      </c>
      <c r="B968" s="126" t="inlineStr">
        <is>
          <t>United Kingdom</t>
        </is>
      </c>
      <c r="C968" s="126" t="n">
        <v>10</v>
      </c>
      <c r="D968" s="126" t="n">
        <v>4</v>
      </c>
      <c r="E968" s="127" t="n">
        <v>1678.12</v>
      </c>
      <c r="F968" s="128">
        <f>IF(C968&lt;=30,5,IF(C968&lt;=60,4,IF(C968&lt;=120,3,IF(C968&lt;=200,2,1))))</f>
        <v/>
      </c>
      <c r="G968" s="128">
        <f>IF(D968&gt;=20,5,IF(D968&gt;=10,4,IF(D968&gt;=5,3,IF(D968&gt;=2,2,1))))</f>
        <v/>
      </c>
      <c r="H968" s="128">
        <f>IF(E968&gt;=5000,5,IF(E968&gt;=2000,4,IF(E968&gt;=800,3,IF(E968&gt;=300,2,1))))</f>
        <v/>
      </c>
      <c r="I968" s="126">
        <f>TEXT(F968,"0")&amp;TEXT(G968,"0")&amp;TEXT(H968,"0")</f>
        <v/>
      </c>
      <c r="J968" s="126">
        <f>IFERROR(XLOOKUP(I968,'Segment Map'!A:A,'Segment Map'!B:B,"Need Attention"),"Need Attention")</f>
        <v/>
      </c>
      <c r="K968" s="126">
        <f>IF(E968&gt;=5000,"🏆 Platinum",IF(E968&gt;=2000,"🥇 Gold",IF(E968&gt;=800,"🥈 Silver","🥉 Bronze")))</f>
        <v/>
      </c>
      <c r="L968" s="129" t="n">
        <v>40877</v>
      </c>
    </row>
    <row r="969">
      <c r="A969" s="122" t="n">
        <v>13649</v>
      </c>
      <c r="B969" s="122" t="inlineStr">
        <is>
          <t>United Kingdom</t>
        </is>
      </c>
      <c r="C969" s="122" t="n">
        <v>257</v>
      </c>
      <c r="D969" s="122" t="n">
        <v>2</v>
      </c>
      <c r="E969" s="123" t="n">
        <v>346.6</v>
      </c>
      <c r="F969" s="124">
        <f>IF(C969&lt;=30,5,IF(C969&lt;=60,4,IF(C969&lt;=120,3,IF(C969&lt;=200,2,1))))</f>
        <v/>
      </c>
      <c r="G969" s="124">
        <f>IF(D969&gt;=20,5,IF(D969&gt;=10,4,IF(D969&gt;=5,3,IF(D969&gt;=2,2,1))))</f>
        <v/>
      </c>
      <c r="H969" s="124">
        <f>IF(E969&gt;=5000,5,IF(E969&gt;=2000,4,IF(E969&gt;=800,3,IF(E969&gt;=300,2,1))))</f>
        <v/>
      </c>
      <c r="I969" s="122">
        <f>TEXT(F969,"0")&amp;TEXT(G969,"0")&amp;TEXT(H969,"0")</f>
        <v/>
      </c>
      <c r="J969" s="122">
        <f>IFERROR(XLOOKUP(I969,'Segment Map'!A:A,'Segment Map'!B:B,"Need Attention"),"Need Attention")</f>
        <v/>
      </c>
      <c r="K969" s="122">
        <f>IF(E969&gt;=5000,"🏆 Platinum",IF(E969&gt;=2000,"🥇 Gold",IF(E969&gt;=800,"🥈 Silver","🥉 Bronze")))</f>
        <v/>
      </c>
      <c r="L969" s="125" t="n">
        <v>40630</v>
      </c>
    </row>
    <row r="970">
      <c r="A970" s="126" t="n">
        <v>13650</v>
      </c>
      <c r="B970" s="126" t="inlineStr">
        <is>
          <t>United Kingdom</t>
        </is>
      </c>
      <c r="C970" s="126" t="n">
        <v>17</v>
      </c>
      <c r="D970" s="126" t="n">
        <v>6</v>
      </c>
      <c r="E970" s="127" t="n">
        <v>1836.34</v>
      </c>
      <c r="F970" s="128">
        <f>IF(C970&lt;=30,5,IF(C970&lt;=60,4,IF(C970&lt;=120,3,IF(C970&lt;=200,2,1))))</f>
        <v/>
      </c>
      <c r="G970" s="128">
        <f>IF(D970&gt;=20,5,IF(D970&gt;=10,4,IF(D970&gt;=5,3,IF(D970&gt;=2,2,1))))</f>
        <v/>
      </c>
      <c r="H970" s="128">
        <f>IF(E970&gt;=5000,5,IF(E970&gt;=2000,4,IF(E970&gt;=800,3,IF(E970&gt;=300,2,1))))</f>
        <v/>
      </c>
      <c r="I970" s="126">
        <f>TEXT(F970,"0")&amp;TEXT(G970,"0")&amp;TEXT(H970,"0")</f>
        <v/>
      </c>
      <c r="J970" s="126">
        <f>IFERROR(XLOOKUP(I970,'Segment Map'!A:A,'Segment Map'!B:B,"Need Attention"),"Need Attention")</f>
        <v/>
      </c>
      <c r="K970" s="126">
        <f>IF(E970&gt;=5000,"🏆 Platinum",IF(E970&gt;=2000,"🥇 Gold",IF(E970&gt;=800,"🥈 Silver","🥉 Bronze")))</f>
        <v/>
      </c>
      <c r="L970" s="129" t="n">
        <v>40870</v>
      </c>
    </row>
    <row r="971">
      <c r="A971" s="122" t="n">
        <v>13651</v>
      </c>
      <c r="B971" s="122" t="inlineStr">
        <is>
          <t>United Kingdom</t>
        </is>
      </c>
      <c r="C971" s="122" t="n">
        <v>36</v>
      </c>
      <c r="D971" s="122" t="n">
        <v>2</v>
      </c>
      <c r="E971" s="123" t="n">
        <v>94.2</v>
      </c>
      <c r="F971" s="124">
        <f>IF(C971&lt;=30,5,IF(C971&lt;=60,4,IF(C971&lt;=120,3,IF(C971&lt;=200,2,1))))</f>
        <v/>
      </c>
      <c r="G971" s="124">
        <f>IF(D971&gt;=20,5,IF(D971&gt;=10,4,IF(D971&gt;=5,3,IF(D971&gt;=2,2,1))))</f>
        <v/>
      </c>
      <c r="H971" s="124">
        <f>IF(E971&gt;=5000,5,IF(E971&gt;=2000,4,IF(E971&gt;=800,3,IF(E971&gt;=300,2,1))))</f>
        <v/>
      </c>
      <c r="I971" s="122">
        <f>TEXT(F971,"0")&amp;TEXT(G971,"0")&amp;TEXT(H971,"0")</f>
        <v/>
      </c>
      <c r="J971" s="122">
        <f>IFERROR(XLOOKUP(I971,'Segment Map'!A:A,'Segment Map'!B:B,"Need Attention"),"Need Attention")</f>
        <v/>
      </c>
      <c r="K971" s="122">
        <f>IF(E971&gt;=5000,"🏆 Platinum",IF(E971&gt;=2000,"🥇 Gold",IF(E971&gt;=800,"🥈 Silver","🥉 Bronze")))</f>
        <v/>
      </c>
      <c r="L971" s="125" t="n">
        <v>40851</v>
      </c>
    </row>
    <row r="972">
      <c r="A972" s="126" t="n">
        <v>13652</v>
      </c>
      <c r="B972" s="126" t="inlineStr">
        <is>
          <t>United Kingdom</t>
        </is>
      </c>
      <c r="C972" s="126" t="n">
        <v>46</v>
      </c>
      <c r="D972" s="126" t="n">
        <v>3</v>
      </c>
      <c r="E972" s="127" t="n">
        <v>1095.08</v>
      </c>
      <c r="F972" s="128">
        <f>IF(C972&lt;=30,5,IF(C972&lt;=60,4,IF(C972&lt;=120,3,IF(C972&lt;=200,2,1))))</f>
        <v/>
      </c>
      <c r="G972" s="128">
        <f>IF(D972&gt;=20,5,IF(D972&gt;=10,4,IF(D972&gt;=5,3,IF(D972&gt;=2,2,1))))</f>
        <v/>
      </c>
      <c r="H972" s="128">
        <f>IF(E972&gt;=5000,5,IF(E972&gt;=2000,4,IF(E972&gt;=800,3,IF(E972&gt;=300,2,1))))</f>
        <v/>
      </c>
      <c r="I972" s="126">
        <f>TEXT(F972,"0")&amp;TEXT(G972,"0")&amp;TEXT(H972,"0")</f>
        <v/>
      </c>
      <c r="J972" s="126">
        <f>IFERROR(XLOOKUP(I972,'Segment Map'!A:A,'Segment Map'!B:B,"Need Attention"),"Need Attention")</f>
        <v/>
      </c>
      <c r="K972" s="126">
        <f>IF(E972&gt;=5000,"🏆 Platinum",IF(E972&gt;=2000,"🥇 Gold",IF(E972&gt;=800,"🥈 Silver","🥉 Bronze")))</f>
        <v/>
      </c>
      <c r="L972" s="129" t="n">
        <v>40841</v>
      </c>
    </row>
    <row r="973">
      <c r="A973" s="122" t="n">
        <v>13654</v>
      </c>
      <c r="B973" s="122" t="inlineStr">
        <is>
          <t>United Kingdom</t>
        </is>
      </c>
      <c r="C973" s="122" t="n">
        <v>44</v>
      </c>
      <c r="D973" s="122" t="n">
        <v>6</v>
      </c>
      <c r="E973" s="123" t="n">
        <v>2707.33</v>
      </c>
      <c r="F973" s="124">
        <f>IF(C973&lt;=30,5,IF(C973&lt;=60,4,IF(C973&lt;=120,3,IF(C973&lt;=200,2,1))))</f>
        <v/>
      </c>
      <c r="G973" s="124">
        <f>IF(D973&gt;=20,5,IF(D973&gt;=10,4,IF(D973&gt;=5,3,IF(D973&gt;=2,2,1))))</f>
        <v/>
      </c>
      <c r="H973" s="124">
        <f>IF(E973&gt;=5000,5,IF(E973&gt;=2000,4,IF(E973&gt;=800,3,IF(E973&gt;=300,2,1))))</f>
        <v/>
      </c>
      <c r="I973" s="122">
        <f>TEXT(F973,"0")&amp;TEXT(G973,"0")&amp;TEXT(H973,"0")</f>
        <v/>
      </c>
      <c r="J973" s="122">
        <f>IFERROR(XLOOKUP(I973,'Segment Map'!A:A,'Segment Map'!B:B,"Need Attention"),"Need Attention")</f>
        <v/>
      </c>
      <c r="K973" s="122">
        <f>IF(E973&gt;=5000,"🏆 Platinum",IF(E973&gt;=2000,"🥇 Gold",IF(E973&gt;=800,"🥈 Silver","🥉 Bronze")))</f>
        <v/>
      </c>
      <c r="L973" s="125" t="n">
        <v>40843</v>
      </c>
    </row>
    <row r="974">
      <c r="A974" s="126" t="n">
        <v>13655</v>
      </c>
      <c r="B974" s="126" t="inlineStr">
        <is>
          <t>United Kingdom</t>
        </is>
      </c>
      <c r="C974" s="126" t="n">
        <v>115</v>
      </c>
      <c r="D974" s="126" t="n">
        <v>2</v>
      </c>
      <c r="E974" s="127" t="n">
        <v>932.97</v>
      </c>
      <c r="F974" s="128">
        <f>IF(C974&lt;=30,5,IF(C974&lt;=60,4,IF(C974&lt;=120,3,IF(C974&lt;=200,2,1))))</f>
        <v/>
      </c>
      <c r="G974" s="128">
        <f>IF(D974&gt;=20,5,IF(D974&gt;=10,4,IF(D974&gt;=5,3,IF(D974&gt;=2,2,1))))</f>
        <v/>
      </c>
      <c r="H974" s="128">
        <f>IF(E974&gt;=5000,5,IF(E974&gt;=2000,4,IF(E974&gt;=800,3,IF(E974&gt;=300,2,1))))</f>
        <v/>
      </c>
      <c r="I974" s="126">
        <f>TEXT(F974,"0")&amp;TEXT(G974,"0")&amp;TEXT(H974,"0")</f>
        <v/>
      </c>
      <c r="J974" s="126">
        <f>IFERROR(XLOOKUP(I974,'Segment Map'!A:A,'Segment Map'!B:B,"Need Attention"),"Need Attention")</f>
        <v/>
      </c>
      <c r="K974" s="126">
        <f>IF(E974&gt;=5000,"🏆 Platinum",IF(E974&gt;=2000,"🥇 Gold",IF(E974&gt;=800,"🥈 Silver","🥉 Bronze")))</f>
        <v/>
      </c>
      <c r="L974" s="129" t="n">
        <v>40772</v>
      </c>
    </row>
    <row r="975">
      <c r="A975" s="122" t="n">
        <v>13656</v>
      </c>
      <c r="B975" s="122" t="inlineStr">
        <is>
          <t>United Kingdom</t>
        </is>
      </c>
      <c r="C975" s="122" t="n">
        <v>165</v>
      </c>
      <c r="D975" s="122" t="n">
        <v>2</v>
      </c>
      <c r="E975" s="123" t="n">
        <v>379.65</v>
      </c>
      <c r="F975" s="124">
        <f>IF(C975&lt;=30,5,IF(C975&lt;=60,4,IF(C975&lt;=120,3,IF(C975&lt;=200,2,1))))</f>
        <v/>
      </c>
      <c r="G975" s="124">
        <f>IF(D975&gt;=20,5,IF(D975&gt;=10,4,IF(D975&gt;=5,3,IF(D975&gt;=2,2,1))))</f>
        <v/>
      </c>
      <c r="H975" s="124">
        <f>IF(E975&gt;=5000,5,IF(E975&gt;=2000,4,IF(E975&gt;=800,3,IF(E975&gt;=300,2,1))))</f>
        <v/>
      </c>
      <c r="I975" s="122">
        <f>TEXT(F975,"0")&amp;TEXT(G975,"0")&amp;TEXT(H975,"0")</f>
        <v/>
      </c>
      <c r="J975" s="122">
        <f>IFERROR(XLOOKUP(I975,'Segment Map'!A:A,'Segment Map'!B:B,"Need Attention"),"Need Attention")</f>
        <v/>
      </c>
      <c r="K975" s="122">
        <f>IF(E975&gt;=5000,"🏆 Platinum",IF(E975&gt;=2000,"🥇 Gold",IF(E975&gt;=800,"🥈 Silver","🥉 Bronze")))</f>
        <v/>
      </c>
      <c r="L975" s="125" t="n">
        <v>40722</v>
      </c>
    </row>
    <row r="976">
      <c r="A976" s="126" t="n">
        <v>13657</v>
      </c>
      <c r="B976" s="126" t="inlineStr">
        <is>
          <t>United Kingdom</t>
        </is>
      </c>
      <c r="C976" s="126" t="n">
        <v>11</v>
      </c>
      <c r="D976" s="126" t="n">
        <v>2</v>
      </c>
      <c r="E976" s="127" t="n">
        <v>382.14</v>
      </c>
      <c r="F976" s="128">
        <f>IF(C976&lt;=30,5,IF(C976&lt;=60,4,IF(C976&lt;=120,3,IF(C976&lt;=200,2,1))))</f>
        <v/>
      </c>
      <c r="G976" s="128">
        <f>IF(D976&gt;=20,5,IF(D976&gt;=10,4,IF(D976&gt;=5,3,IF(D976&gt;=2,2,1))))</f>
        <v/>
      </c>
      <c r="H976" s="128">
        <f>IF(E976&gt;=5000,5,IF(E976&gt;=2000,4,IF(E976&gt;=800,3,IF(E976&gt;=300,2,1))))</f>
        <v/>
      </c>
      <c r="I976" s="126">
        <f>TEXT(F976,"0")&amp;TEXT(G976,"0")&amp;TEXT(H976,"0")</f>
        <v/>
      </c>
      <c r="J976" s="126">
        <f>IFERROR(XLOOKUP(I976,'Segment Map'!A:A,'Segment Map'!B:B,"Need Attention"),"Need Attention")</f>
        <v/>
      </c>
      <c r="K976" s="126">
        <f>IF(E976&gt;=5000,"🏆 Platinum",IF(E976&gt;=2000,"🥇 Gold",IF(E976&gt;=800,"🥈 Silver","🥉 Bronze")))</f>
        <v/>
      </c>
      <c r="L976" s="129" t="n">
        <v>40876</v>
      </c>
    </row>
    <row r="977">
      <c r="A977" s="122" t="n">
        <v>13658</v>
      </c>
      <c r="B977" s="122" t="inlineStr">
        <is>
          <t>United Kingdom</t>
        </is>
      </c>
      <c r="C977" s="122" t="n">
        <v>10</v>
      </c>
      <c r="D977" s="122" t="n">
        <v>5</v>
      </c>
      <c r="E977" s="123" t="n">
        <v>2639.17</v>
      </c>
      <c r="F977" s="124">
        <f>IF(C977&lt;=30,5,IF(C977&lt;=60,4,IF(C977&lt;=120,3,IF(C977&lt;=200,2,1))))</f>
        <v/>
      </c>
      <c r="G977" s="124">
        <f>IF(D977&gt;=20,5,IF(D977&gt;=10,4,IF(D977&gt;=5,3,IF(D977&gt;=2,2,1))))</f>
        <v/>
      </c>
      <c r="H977" s="124">
        <f>IF(E977&gt;=5000,5,IF(E977&gt;=2000,4,IF(E977&gt;=800,3,IF(E977&gt;=300,2,1))))</f>
        <v/>
      </c>
      <c r="I977" s="122">
        <f>TEXT(F977,"0")&amp;TEXT(G977,"0")&amp;TEXT(H977,"0")</f>
        <v/>
      </c>
      <c r="J977" s="122">
        <f>IFERROR(XLOOKUP(I977,'Segment Map'!A:A,'Segment Map'!B:B,"Need Attention"),"Need Attention")</f>
        <v/>
      </c>
      <c r="K977" s="122">
        <f>IF(E977&gt;=5000,"🏆 Platinum",IF(E977&gt;=2000,"🥇 Gold",IF(E977&gt;=800,"🥈 Silver","🥉 Bronze")))</f>
        <v/>
      </c>
      <c r="L977" s="125" t="n">
        <v>40877</v>
      </c>
    </row>
    <row r="978">
      <c r="A978" s="126" t="n">
        <v>13659</v>
      </c>
      <c r="B978" s="126" t="inlineStr">
        <is>
          <t>United Kingdom</t>
        </is>
      </c>
      <c r="C978" s="126" t="n">
        <v>206</v>
      </c>
      <c r="D978" s="126" t="n">
        <v>2</v>
      </c>
      <c r="E978" s="127" t="n">
        <v>1573.2</v>
      </c>
      <c r="F978" s="128">
        <f>IF(C978&lt;=30,5,IF(C978&lt;=60,4,IF(C978&lt;=120,3,IF(C978&lt;=200,2,1))))</f>
        <v/>
      </c>
      <c r="G978" s="128">
        <f>IF(D978&gt;=20,5,IF(D978&gt;=10,4,IF(D978&gt;=5,3,IF(D978&gt;=2,2,1))))</f>
        <v/>
      </c>
      <c r="H978" s="128">
        <f>IF(E978&gt;=5000,5,IF(E978&gt;=2000,4,IF(E978&gt;=800,3,IF(E978&gt;=300,2,1))))</f>
        <v/>
      </c>
      <c r="I978" s="126">
        <f>TEXT(F978,"0")&amp;TEXT(G978,"0")&amp;TEXT(H978,"0")</f>
        <v/>
      </c>
      <c r="J978" s="126">
        <f>IFERROR(XLOOKUP(I978,'Segment Map'!A:A,'Segment Map'!B:B,"Need Attention"),"Need Attention")</f>
        <v/>
      </c>
      <c r="K978" s="126">
        <f>IF(E978&gt;=5000,"🏆 Platinum",IF(E978&gt;=2000,"🥇 Gold",IF(E978&gt;=800,"🥈 Silver","🥉 Bronze")))</f>
        <v/>
      </c>
      <c r="L978" s="129" t="n">
        <v>40681</v>
      </c>
    </row>
    <row r="979">
      <c r="A979" s="122" t="n">
        <v>13662</v>
      </c>
      <c r="B979" s="122" t="inlineStr">
        <is>
          <t>United Kingdom</t>
        </is>
      </c>
      <c r="C979" s="122" t="n">
        <v>86</v>
      </c>
      <c r="D979" s="122" t="n">
        <v>3</v>
      </c>
      <c r="E979" s="123" t="n">
        <v>897.76</v>
      </c>
      <c r="F979" s="124">
        <f>IF(C979&lt;=30,5,IF(C979&lt;=60,4,IF(C979&lt;=120,3,IF(C979&lt;=200,2,1))))</f>
        <v/>
      </c>
      <c r="G979" s="124">
        <f>IF(D979&gt;=20,5,IF(D979&gt;=10,4,IF(D979&gt;=5,3,IF(D979&gt;=2,2,1))))</f>
        <v/>
      </c>
      <c r="H979" s="124">
        <f>IF(E979&gt;=5000,5,IF(E979&gt;=2000,4,IF(E979&gt;=800,3,IF(E979&gt;=300,2,1))))</f>
        <v/>
      </c>
      <c r="I979" s="122">
        <f>TEXT(F979,"0")&amp;TEXT(G979,"0")&amp;TEXT(H979,"0")</f>
        <v/>
      </c>
      <c r="J979" s="122">
        <f>IFERROR(XLOOKUP(I979,'Segment Map'!A:A,'Segment Map'!B:B,"Need Attention"),"Need Attention")</f>
        <v/>
      </c>
      <c r="K979" s="122">
        <f>IF(E979&gt;=5000,"🏆 Platinum",IF(E979&gt;=2000,"🥇 Gold",IF(E979&gt;=800,"🥈 Silver","🥉 Bronze")))</f>
        <v/>
      </c>
      <c r="L979" s="125" t="n">
        <v>40801</v>
      </c>
    </row>
    <row r="980">
      <c r="A980" s="126" t="n">
        <v>13663</v>
      </c>
      <c r="B980" s="126" t="inlineStr">
        <is>
          <t>United Kingdom</t>
        </is>
      </c>
      <c r="C980" s="126" t="n">
        <v>180</v>
      </c>
      <c r="D980" s="126" t="n">
        <v>1</v>
      </c>
      <c r="E980" s="127" t="n">
        <v>189.47</v>
      </c>
      <c r="F980" s="128">
        <f>IF(C980&lt;=30,5,IF(C980&lt;=60,4,IF(C980&lt;=120,3,IF(C980&lt;=200,2,1))))</f>
        <v/>
      </c>
      <c r="G980" s="128">
        <f>IF(D980&gt;=20,5,IF(D980&gt;=10,4,IF(D980&gt;=5,3,IF(D980&gt;=2,2,1))))</f>
        <v/>
      </c>
      <c r="H980" s="128">
        <f>IF(E980&gt;=5000,5,IF(E980&gt;=2000,4,IF(E980&gt;=800,3,IF(E980&gt;=300,2,1))))</f>
        <v/>
      </c>
      <c r="I980" s="126">
        <f>TEXT(F980,"0")&amp;TEXT(G980,"0")&amp;TEXT(H980,"0")</f>
        <v/>
      </c>
      <c r="J980" s="126">
        <f>IFERROR(XLOOKUP(I980,'Segment Map'!A:A,'Segment Map'!B:B,"Need Attention"),"Need Attention")</f>
        <v/>
      </c>
      <c r="K980" s="126">
        <f>IF(E980&gt;=5000,"🏆 Platinum",IF(E980&gt;=2000,"🥇 Gold",IF(E980&gt;=800,"🥈 Silver","🥉 Bronze")))</f>
        <v/>
      </c>
      <c r="L980" s="129" t="n">
        <v>40707</v>
      </c>
    </row>
    <row r="981">
      <c r="A981" s="122" t="n">
        <v>13666</v>
      </c>
      <c r="B981" s="122" t="inlineStr">
        <is>
          <t>United Kingdom</t>
        </is>
      </c>
      <c r="C981" s="122" t="n">
        <v>61</v>
      </c>
      <c r="D981" s="122" t="n">
        <v>3</v>
      </c>
      <c r="E981" s="123" t="n">
        <v>84.65000000000001</v>
      </c>
      <c r="F981" s="124">
        <f>IF(C981&lt;=30,5,IF(C981&lt;=60,4,IF(C981&lt;=120,3,IF(C981&lt;=200,2,1))))</f>
        <v/>
      </c>
      <c r="G981" s="124">
        <f>IF(D981&gt;=20,5,IF(D981&gt;=10,4,IF(D981&gt;=5,3,IF(D981&gt;=2,2,1))))</f>
        <v/>
      </c>
      <c r="H981" s="124">
        <f>IF(E981&gt;=5000,5,IF(E981&gt;=2000,4,IF(E981&gt;=800,3,IF(E981&gt;=300,2,1))))</f>
        <v/>
      </c>
      <c r="I981" s="122">
        <f>TEXT(F981,"0")&amp;TEXT(G981,"0")&amp;TEXT(H981,"0")</f>
        <v/>
      </c>
      <c r="J981" s="122">
        <f>IFERROR(XLOOKUP(I981,'Segment Map'!A:A,'Segment Map'!B:B,"Need Attention"),"Need Attention")</f>
        <v/>
      </c>
      <c r="K981" s="122">
        <f>IF(E981&gt;=5000,"🏆 Platinum",IF(E981&gt;=2000,"🥇 Gold",IF(E981&gt;=800,"🥈 Silver","🥉 Bronze")))</f>
        <v/>
      </c>
      <c r="L981" s="125" t="n">
        <v>40826</v>
      </c>
    </row>
    <row r="982">
      <c r="A982" s="126" t="n">
        <v>13667</v>
      </c>
      <c r="B982" s="126" t="inlineStr">
        <is>
          <t>United Kingdom</t>
        </is>
      </c>
      <c r="C982" s="126" t="n">
        <v>150</v>
      </c>
      <c r="D982" s="126" t="n">
        <v>1</v>
      </c>
      <c r="E982" s="127" t="n">
        <v>305.02</v>
      </c>
      <c r="F982" s="128">
        <f>IF(C982&lt;=30,5,IF(C982&lt;=60,4,IF(C982&lt;=120,3,IF(C982&lt;=200,2,1))))</f>
        <v/>
      </c>
      <c r="G982" s="128">
        <f>IF(D982&gt;=20,5,IF(D982&gt;=10,4,IF(D982&gt;=5,3,IF(D982&gt;=2,2,1))))</f>
        <v/>
      </c>
      <c r="H982" s="128">
        <f>IF(E982&gt;=5000,5,IF(E982&gt;=2000,4,IF(E982&gt;=800,3,IF(E982&gt;=300,2,1))))</f>
        <v/>
      </c>
      <c r="I982" s="126">
        <f>TEXT(F982,"0")&amp;TEXT(G982,"0")&amp;TEXT(H982,"0")</f>
        <v/>
      </c>
      <c r="J982" s="126">
        <f>IFERROR(XLOOKUP(I982,'Segment Map'!A:A,'Segment Map'!B:B,"Need Attention"),"Need Attention")</f>
        <v/>
      </c>
      <c r="K982" s="126">
        <f>IF(E982&gt;=5000,"🏆 Platinum",IF(E982&gt;=2000,"🥇 Gold",IF(E982&gt;=800,"🥈 Silver","🥉 Bronze")))</f>
        <v/>
      </c>
      <c r="L982" s="129" t="n">
        <v>40737</v>
      </c>
    </row>
    <row r="983">
      <c r="A983" s="122" t="n">
        <v>13668</v>
      </c>
      <c r="B983" s="122" t="inlineStr">
        <is>
          <t>United Kingdom</t>
        </is>
      </c>
      <c r="C983" s="122" t="n">
        <v>3</v>
      </c>
      <c r="D983" s="122" t="n">
        <v>21</v>
      </c>
      <c r="E983" s="123" t="n">
        <v>6363.59</v>
      </c>
      <c r="F983" s="124">
        <f>IF(C983&lt;=30,5,IF(C983&lt;=60,4,IF(C983&lt;=120,3,IF(C983&lt;=200,2,1))))</f>
        <v/>
      </c>
      <c r="G983" s="124">
        <f>IF(D983&gt;=20,5,IF(D983&gt;=10,4,IF(D983&gt;=5,3,IF(D983&gt;=2,2,1))))</f>
        <v/>
      </c>
      <c r="H983" s="124">
        <f>IF(E983&gt;=5000,5,IF(E983&gt;=2000,4,IF(E983&gt;=800,3,IF(E983&gt;=300,2,1))))</f>
        <v/>
      </c>
      <c r="I983" s="122">
        <f>TEXT(F983,"0")&amp;TEXT(G983,"0")&amp;TEXT(H983,"0")</f>
        <v/>
      </c>
      <c r="J983" s="122">
        <f>IFERROR(XLOOKUP(I983,'Segment Map'!A:A,'Segment Map'!B:B,"Need Attention"),"Need Attention")</f>
        <v/>
      </c>
      <c r="K983" s="122">
        <f>IF(E983&gt;=5000,"🏆 Platinum",IF(E983&gt;=2000,"🥇 Gold",IF(E983&gt;=800,"🥈 Silver","🥉 Bronze")))</f>
        <v/>
      </c>
      <c r="L983" s="125" t="n">
        <v>40884</v>
      </c>
    </row>
    <row r="984">
      <c r="A984" s="126" t="n">
        <v>13669</v>
      </c>
      <c r="B984" s="126" t="inlineStr">
        <is>
          <t>United Kingdom</t>
        </is>
      </c>
      <c r="C984" s="126" t="n">
        <v>51</v>
      </c>
      <c r="D984" s="126" t="n">
        <v>2</v>
      </c>
      <c r="E984" s="127" t="n">
        <v>218.55</v>
      </c>
      <c r="F984" s="128">
        <f>IF(C984&lt;=30,5,IF(C984&lt;=60,4,IF(C984&lt;=120,3,IF(C984&lt;=200,2,1))))</f>
        <v/>
      </c>
      <c r="G984" s="128">
        <f>IF(D984&gt;=20,5,IF(D984&gt;=10,4,IF(D984&gt;=5,3,IF(D984&gt;=2,2,1))))</f>
        <v/>
      </c>
      <c r="H984" s="128">
        <f>IF(E984&gt;=5000,5,IF(E984&gt;=2000,4,IF(E984&gt;=800,3,IF(E984&gt;=300,2,1))))</f>
        <v/>
      </c>
      <c r="I984" s="126">
        <f>TEXT(F984,"0")&amp;TEXT(G984,"0")&amp;TEXT(H984,"0")</f>
        <v/>
      </c>
      <c r="J984" s="126">
        <f>IFERROR(XLOOKUP(I984,'Segment Map'!A:A,'Segment Map'!B:B,"Need Attention"),"Need Attention")</f>
        <v/>
      </c>
      <c r="K984" s="126">
        <f>IF(E984&gt;=5000,"🏆 Platinum",IF(E984&gt;=2000,"🥇 Gold",IF(E984&gt;=800,"🥈 Silver","🥉 Bronze")))</f>
        <v/>
      </c>
      <c r="L984" s="129" t="n">
        <v>40836</v>
      </c>
    </row>
    <row r="985">
      <c r="A985" s="122" t="n">
        <v>13670</v>
      </c>
      <c r="B985" s="122" t="inlineStr">
        <is>
          <t>United Kingdom</t>
        </is>
      </c>
      <c r="C985" s="122" t="n">
        <v>76</v>
      </c>
      <c r="D985" s="122" t="n">
        <v>1</v>
      </c>
      <c r="E985" s="123" t="n">
        <v>349.7</v>
      </c>
      <c r="F985" s="124">
        <f>IF(C985&lt;=30,5,IF(C985&lt;=60,4,IF(C985&lt;=120,3,IF(C985&lt;=200,2,1))))</f>
        <v/>
      </c>
      <c r="G985" s="124">
        <f>IF(D985&gt;=20,5,IF(D985&gt;=10,4,IF(D985&gt;=5,3,IF(D985&gt;=2,2,1))))</f>
        <v/>
      </c>
      <c r="H985" s="124">
        <f>IF(E985&gt;=5000,5,IF(E985&gt;=2000,4,IF(E985&gt;=800,3,IF(E985&gt;=300,2,1))))</f>
        <v/>
      </c>
      <c r="I985" s="122">
        <f>TEXT(F985,"0")&amp;TEXT(G985,"0")&amp;TEXT(H985,"0")</f>
        <v/>
      </c>
      <c r="J985" s="122">
        <f>IFERROR(XLOOKUP(I985,'Segment Map'!A:A,'Segment Map'!B:B,"Need Attention"),"Need Attention")</f>
        <v/>
      </c>
      <c r="K985" s="122">
        <f>IF(E985&gt;=5000,"🏆 Platinum",IF(E985&gt;=2000,"🥇 Gold",IF(E985&gt;=800,"🥈 Silver","🥉 Bronze")))</f>
        <v/>
      </c>
      <c r="L985" s="125" t="n">
        <v>40811</v>
      </c>
    </row>
    <row r="986">
      <c r="A986" s="126" t="n">
        <v>13672</v>
      </c>
      <c r="B986" s="126" t="inlineStr">
        <is>
          <t>United Kingdom</t>
        </is>
      </c>
      <c r="C986" s="126" t="n">
        <v>302</v>
      </c>
      <c r="D986" s="126" t="n">
        <v>2</v>
      </c>
      <c r="E986" s="127" t="n">
        <v>186.39</v>
      </c>
      <c r="F986" s="128">
        <f>IF(C986&lt;=30,5,IF(C986&lt;=60,4,IF(C986&lt;=120,3,IF(C986&lt;=200,2,1))))</f>
        <v/>
      </c>
      <c r="G986" s="128">
        <f>IF(D986&gt;=20,5,IF(D986&gt;=10,4,IF(D986&gt;=5,3,IF(D986&gt;=2,2,1))))</f>
        <v/>
      </c>
      <c r="H986" s="128">
        <f>IF(E986&gt;=5000,5,IF(E986&gt;=2000,4,IF(E986&gt;=800,3,IF(E986&gt;=300,2,1))))</f>
        <v/>
      </c>
      <c r="I986" s="126">
        <f>TEXT(F986,"0")&amp;TEXT(G986,"0")&amp;TEXT(H986,"0")</f>
        <v/>
      </c>
      <c r="J986" s="126">
        <f>IFERROR(XLOOKUP(I986,'Segment Map'!A:A,'Segment Map'!B:B,"Need Attention"),"Need Attention")</f>
        <v/>
      </c>
      <c r="K986" s="126">
        <f>IF(E986&gt;=5000,"🏆 Platinum",IF(E986&gt;=2000,"🥇 Gold",IF(E986&gt;=800,"🥈 Silver","🥉 Bronze")))</f>
        <v/>
      </c>
      <c r="L986" s="129" t="n">
        <v>40585</v>
      </c>
    </row>
    <row r="987">
      <c r="A987" s="122" t="n">
        <v>13673</v>
      </c>
      <c r="B987" s="122" t="inlineStr">
        <is>
          <t>United Kingdom</t>
        </is>
      </c>
      <c r="C987" s="122" t="n">
        <v>19</v>
      </c>
      <c r="D987" s="122" t="n">
        <v>2</v>
      </c>
      <c r="E987" s="123" t="n">
        <v>396.92</v>
      </c>
      <c r="F987" s="124">
        <f>IF(C987&lt;=30,5,IF(C987&lt;=60,4,IF(C987&lt;=120,3,IF(C987&lt;=200,2,1))))</f>
        <v/>
      </c>
      <c r="G987" s="124">
        <f>IF(D987&gt;=20,5,IF(D987&gt;=10,4,IF(D987&gt;=5,3,IF(D987&gt;=2,2,1))))</f>
        <v/>
      </c>
      <c r="H987" s="124">
        <f>IF(E987&gt;=5000,5,IF(E987&gt;=2000,4,IF(E987&gt;=800,3,IF(E987&gt;=300,2,1))))</f>
        <v/>
      </c>
      <c r="I987" s="122">
        <f>TEXT(F987,"0")&amp;TEXT(G987,"0")&amp;TEXT(H987,"0")</f>
        <v/>
      </c>
      <c r="J987" s="122">
        <f>IFERROR(XLOOKUP(I987,'Segment Map'!A:A,'Segment Map'!B:B,"Need Attention"),"Need Attention")</f>
        <v/>
      </c>
      <c r="K987" s="122">
        <f>IF(E987&gt;=5000,"🏆 Platinum",IF(E987&gt;=2000,"🥇 Gold",IF(E987&gt;=800,"🥈 Silver","🥉 Bronze")))</f>
        <v/>
      </c>
      <c r="L987" s="125" t="n">
        <v>40868</v>
      </c>
    </row>
    <row r="988">
      <c r="A988" s="126" t="n">
        <v>13675</v>
      </c>
      <c r="B988" s="126" t="inlineStr">
        <is>
          <t>United Kingdom</t>
        </is>
      </c>
      <c r="C988" s="126" t="n">
        <v>152</v>
      </c>
      <c r="D988" s="126" t="n">
        <v>2</v>
      </c>
      <c r="E988" s="127" t="n">
        <v>486.82</v>
      </c>
      <c r="F988" s="128">
        <f>IF(C988&lt;=30,5,IF(C988&lt;=60,4,IF(C988&lt;=120,3,IF(C988&lt;=200,2,1))))</f>
        <v/>
      </c>
      <c r="G988" s="128">
        <f>IF(D988&gt;=20,5,IF(D988&gt;=10,4,IF(D988&gt;=5,3,IF(D988&gt;=2,2,1))))</f>
        <v/>
      </c>
      <c r="H988" s="128">
        <f>IF(E988&gt;=5000,5,IF(E988&gt;=2000,4,IF(E988&gt;=800,3,IF(E988&gt;=300,2,1))))</f>
        <v/>
      </c>
      <c r="I988" s="126">
        <f>TEXT(F988,"0")&amp;TEXT(G988,"0")&amp;TEXT(H988,"0")</f>
        <v/>
      </c>
      <c r="J988" s="126">
        <f>IFERROR(XLOOKUP(I988,'Segment Map'!A:A,'Segment Map'!B:B,"Need Attention"),"Need Attention")</f>
        <v/>
      </c>
      <c r="K988" s="126">
        <f>IF(E988&gt;=5000,"🏆 Platinum",IF(E988&gt;=2000,"🥇 Gold",IF(E988&gt;=800,"🥈 Silver","🥉 Bronze")))</f>
        <v/>
      </c>
      <c r="L988" s="129" t="n">
        <v>40735</v>
      </c>
    </row>
    <row r="989">
      <c r="A989" s="122" t="n">
        <v>13678</v>
      </c>
      <c r="B989" s="122" t="inlineStr">
        <is>
          <t>United Kingdom</t>
        </is>
      </c>
      <c r="C989" s="122" t="n">
        <v>152</v>
      </c>
      <c r="D989" s="122" t="n">
        <v>1</v>
      </c>
      <c r="E989" s="123" t="n">
        <v>232.6</v>
      </c>
      <c r="F989" s="124">
        <f>IF(C989&lt;=30,5,IF(C989&lt;=60,4,IF(C989&lt;=120,3,IF(C989&lt;=200,2,1))))</f>
        <v/>
      </c>
      <c r="G989" s="124">
        <f>IF(D989&gt;=20,5,IF(D989&gt;=10,4,IF(D989&gt;=5,3,IF(D989&gt;=2,2,1))))</f>
        <v/>
      </c>
      <c r="H989" s="124">
        <f>IF(E989&gt;=5000,5,IF(E989&gt;=2000,4,IF(E989&gt;=800,3,IF(E989&gt;=300,2,1))))</f>
        <v/>
      </c>
      <c r="I989" s="122">
        <f>TEXT(F989,"0")&amp;TEXT(G989,"0")&amp;TEXT(H989,"0")</f>
        <v/>
      </c>
      <c r="J989" s="122">
        <f>IFERROR(XLOOKUP(I989,'Segment Map'!A:A,'Segment Map'!B:B,"Need Attention"),"Need Attention")</f>
        <v/>
      </c>
      <c r="K989" s="122">
        <f>IF(E989&gt;=5000,"🏆 Platinum",IF(E989&gt;=2000,"🥇 Gold",IF(E989&gt;=800,"🥈 Silver","🥉 Bronze")))</f>
        <v/>
      </c>
      <c r="L989" s="125" t="n">
        <v>40735</v>
      </c>
    </row>
    <row r="990">
      <c r="A990" s="126" t="n">
        <v>13680</v>
      </c>
      <c r="B990" s="126" t="inlineStr">
        <is>
          <t>United Kingdom</t>
        </is>
      </c>
      <c r="C990" s="126" t="n">
        <v>2</v>
      </c>
      <c r="D990" s="126" t="n">
        <v>4</v>
      </c>
      <c r="E990" s="127" t="n">
        <v>3722.42</v>
      </c>
      <c r="F990" s="128">
        <f>IF(C990&lt;=30,5,IF(C990&lt;=60,4,IF(C990&lt;=120,3,IF(C990&lt;=200,2,1))))</f>
        <v/>
      </c>
      <c r="G990" s="128">
        <f>IF(D990&gt;=20,5,IF(D990&gt;=10,4,IF(D990&gt;=5,3,IF(D990&gt;=2,2,1))))</f>
        <v/>
      </c>
      <c r="H990" s="128">
        <f>IF(E990&gt;=5000,5,IF(E990&gt;=2000,4,IF(E990&gt;=800,3,IF(E990&gt;=300,2,1))))</f>
        <v/>
      </c>
      <c r="I990" s="126">
        <f>TEXT(F990,"0")&amp;TEXT(G990,"0")&amp;TEXT(H990,"0")</f>
        <v/>
      </c>
      <c r="J990" s="126">
        <f>IFERROR(XLOOKUP(I990,'Segment Map'!A:A,'Segment Map'!B:B,"Need Attention"),"Need Attention")</f>
        <v/>
      </c>
      <c r="K990" s="126">
        <f>IF(E990&gt;=5000,"🏆 Platinum",IF(E990&gt;=2000,"🥇 Gold",IF(E990&gt;=800,"🥈 Silver","🥉 Bronze")))</f>
        <v/>
      </c>
      <c r="L990" s="129" t="n">
        <v>40885</v>
      </c>
    </row>
    <row r="991">
      <c r="A991" s="122" t="n">
        <v>13681</v>
      </c>
      <c r="B991" s="122" t="inlineStr">
        <is>
          <t>United Kingdom</t>
        </is>
      </c>
      <c r="C991" s="122" t="n">
        <v>18</v>
      </c>
      <c r="D991" s="122" t="n">
        <v>4</v>
      </c>
      <c r="E991" s="123" t="n">
        <v>827.83</v>
      </c>
      <c r="F991" s="124">
        <f>IF(C991&lt;=30,5,IF(C991&lt;=60,4,IF(C991&lt;=120,3,IF(C991&lt;=200,2,1))))</f>
        <v/>
      </c>
      <c r="G991" s="124">
        <f>IF(D991&gt;=20,5,IF(D991&gt;=10,4,IF(D991&gt;=5,3,IF(D991&gt;=2,2,1))))</f>
        <v/>
      </c>
      <c r="H991" s="124">
        <f>IF(E991&gt;=5000,5,IF(E991&gt;=2000,4,IF(E991&gt;=800,3,IF(E991&gt;=300,2,1))))</f>
        <v/>
      </c>
      <c r="I991" s="122">
        <f>TEXT(F991,"0")&amp;TEXT(G991,"0")&amp;TEXT(H991,"0")</f>
        <v/>
      </c>
      <c r="J991" s="122">
        <f>IFERROR(XLOOKUP(I991,'Segment Map'!A:A,'Segment Map'!B:B,"Need Attention"),"Need Attention")</f>
        <v/>
      </c>
      <c r="K991" s="122">
        <f>IF(E991&gt;=5000,"🏆 Platinum",IF(E991&gt;=2000,"🥇 Gold",IF(E991&gt;=800,"🥈 Silver","🥉 Bronze")))</f>
        <v/>
      </c>
      <c r="L991" s="125" t="n">
        <v>40869</v>
      </c>
    </row>
    <row r="992">
      <c r="A992" s="126" t="n">
        <v>13682</v>
      </c>
      <c r="B992" s="126" t="inlineStr">
        <is>
          <t>United Kingdom</t>
        </is>
      </c>
      <c r="C992" s="126" t="n">
        <v>188</v>
      </c>
      <c r="D992" s="126" t="n">
        <v>1</v>
      </c>
      <c r="E992" s="127" t="n">
        <v>59.5</v>
      </c>
      <c r="F992" s="128">
        <f>IF(C992&lt;=30,5,IF(C992&lt;=60,4,IF(C992&lt;=120,3,IF(C992&lt;=200,2,1))))</f>
        <v/>
      </c>
      <c r="G992" s="128">
        <f>IF(D992&gt;=20,5,IF(D992&gt;=10,4,IF(D992&gt;=5,3,IF(D992&gt;=2,2,1))))</f>
        <v/>
      </c>
      <c r="H992" s="128">
        <f>IF(E992&gt;=5000,5,IF(E992&gt;=2000,4,IF(E992&gt;=800,3,IF(E992&gt;=300,2,1))))</f>
        <v/>
      </c>
      <c r="I992" s="126">
        <f>TEXT(F992,"0")&amp;TEXT(G992,"0")&amp;TEXT(H992,"0")</f>
        <v/>
      </c>
      <c r="J992" s="126">
        <f>IFERROR(XLOOKUP(I992,'Segment Map'!A:A,'Segment Map'!B:B,"Need Attention"),"Need Attention")</f>
        <v/>
      </c>
      <c r="K992" s="126">
        <f>IF(E992&gt;=5000,"🏆 Platinum",IF(E992&gt;=2000,"🥇 Gold",IF(E992&gt;=800,"🥈 Silver","🥉 Bronze")))</f>
        <v/>
      </c>
      <c r="L992" s="129" t="n">
        <v>40699</v>
      </c>
    </row>
    <row r="993">
      <c r="A993" s="122" t="n">
        <v>13684</v>
      </c>
      <c r="B993" s="122" t="inlineStr">
        <is>
          <t>United Kingdom</t>
        </is>
      </c>
      <c r="C993" s="122" t="n">
        <v>286</v>
      </c>
      <c r="D993" s="122" t="n">
        <v>1</v>
      </c>
      <c r="E993" s="123" t="n">
        <v>67.23</v>
      </c>
      <c r="F993" s="124">
        <f>IF(C993&lt;=30,5,IF(C993&lt;=60,4,IF(C993&lt;=120,3,IF(C993&lt;=200,2,1))))</f>
        <v/>
      </c>
      <c r="G993" s="124">
        <f>IF(D993&gt;=20,5,IF(D993&gt;=10,4,IF(D993&gt;=5,3,IF(D993&gt;=2,2,1))))</f>
        <v/>
      </c>
      <c r="H993" s="124">
        <f>IF(E993&gt;=5000,5,IF(E993&gt;=2000,4,IF(E993&gt;=800,3,IF(E993&gt;=300,2,1))))</f>
        <v/>
      </c>
      <c r="I993" s="122">
        <f>TEXT(F993,"0")&amp;TEXT(G993,"0")&amp;TEXT(H993,"0")</f>
        <v/>
      </c>
      <c r="J993" s="122">
        <f>IFERROR(XLOOKUP(I993,'Segment Map'!A:A,'Segment Map'!B:B,"Need Attention"),"Need Attention")</f>
        <v/>
      </c>
      <c r="K993" s="122">
        <f>IF(E993&gt;=5000,"🏆 Platinum",IF(E993&gt;=2000,"🥇 Gold",IF(E993&gt;=800,"🥈 Silver","🥉 Bronze")))</f>
        <v/>
      </c>
      <c r="L993" s="125" t="n">
        <v>40601</v>
      </c>
    </row>
    <row r="994">
      <c r="A994" s="126" t="n">
        <v>13685</v>
      </c>
      <c r="B994" s="126" t="inlineStr">
        <is>
          <t>United Kingdom</t>
        </is>
      </c>
      <c r="C994" s="126" t="n">
        <v>3</v>
      </c>
      <c r="D994" s="126" t="n">
        <v>7</v>
      </c>
      <c r="E994" s="127" t="n">
        <v>3119.44</v>
      </c>
      <c r="F994" s="128">
        <f>IF(C994&lt;=30,5,IF(C994&lt;=60,4,IF(C994&lt;=120,3,IF(C994&lt;=200,2,1))))</f>
        <v/>
      </c>
      <c r="G994" s="128">
        <f>IF(D994&gt;=20,5,IF(D994&gt;=10,4,IF(D994&gt;=5,3,IF(D994&gt;=2,2,1))))</f>
        <v/>
      </c>
      <c r="H994" s="128">
        <f>IF(E994&gt;=5000,5,IF(E994&gt;=2000,4,IF(E994&gt;=800,3,IF(E994&gt;=300,2,1))))</f>
        <v/>
      </c>
      <c r="I994" s="126">
        <f>TEXT(F994,"0")&amp;TEXT(G994,"0")&amp;TEXT(H994,"0")</f>
        <v/>
      </c>
      <c r="J994" s="126">
        <f>IFERROR(XLOOKUP(I994,'Segment Map'!A:A,'Segment Map'!B:B,"Need Attention"),"Need Attention")</f>
        <v/>
      </c>
      <c r="K994" s="126">
        <f>IF(E994&gt;=5000,"🏆 Platinum",IF(E994&gt;=2000,"🥇 Gold",IF(E994&gt;=800,"🥈 Silver","🥉 Bronze")))</f>
        <v/>
      </c>
      <c r="L994" s="129" t="n">
        <v>40884</v>
      </c>
    </row>
    <row r="995">
      <c r="A995" s="122" t="n">
        <v>13686</v>
      </c>
      <c r="B995" s="122" t="inlineStr">
        <is>
          <t>United Kingdom</t>
        </is>
      </c>
      <c r="C995" s="122" t="n">
        <v>183</v>
      </c>
      <c r="D995" s="122" t="n">
        <v>1</v>
      </c>
      <c r="E995" s="123" t="n">
        <v>72</v>
      </c>
      <c r="F995" s="124">
        <f>IF(C995&lt;=30,5,IF(C995&lt;=60,4,IF(C995&lt;=120,3,IF(C995&lt;=200,2,1))))</f>
        <v/>
      </c>
      <c r="G995" s="124">
        <f>IF(D995&gt;=20,5,IF(D995&gt;=10,4,IF(D995&gt;=5,3,IF(D995&gt;=2,2,1))))</f>
        <v/>
      </c>
      <c r="H995" s="124">
        <f>IF(E995&gt;=5000,5,IF(E995&gt;=2000,4,IF(E995&gt;=800,3,IF(E995&gt;=300,2,1))))</f>
        <v/>
      </c>
      <c r="I995" s="122">
        <f>TEXT(F995,"0")&amp;TEXT(G995,"0")&amp;TEXT(H995,"0")</f>
        <v/>
      </c>
      <c r="J995" s="122">
        <f>IFERROR(XLOOKUP(I995,'Segment Map'!A:A,'Segment Map'!B:B,"Need Attention"),"Need Attention")</f>
        <v/>
      </c>
      <c r="K995" s="122">
        <f>IF(E995&gt;=5000,"🏆 Platinum",IF(E995&gt;=2000,"🥇 Gold",IF(E995&gt;=800,"🥈 Silver","🥉 Bronze")))</f>
        <v/>
      </c>
      <c r="L995" s="125" t="n">
        <v>40704</v>
      </c>
    </row>
    <row r="996">
      <c r="A996" s="126" t="n">
        <v>13689</v>
      </c>
      <c r="B996" s="126" t="inlineStr">
        <is>
          <t>United Kingdom</t>
        </is>
      </c>
      <c r="C996" s="126" t="n">
        <v>64</v>
      </c>
      <c r="D996" s="126" t="n">
        <v>1</v>
      </c>
      <c r="E996" s="127" t="n">
        <v>910</v>
      </c>
      <c r="F996" s="128">
        <f>IF(C996&lt;=30,5,IF(C996&lt;=60,4,IF(C996&lt;=120,3,IF(C996&lt;=200,2,1))))</f>
        <v/>
      </c>
      <c r="G996" s="128">
        <f>IF(D996&gt;=20,5,IF(D996&gt;=10,4,IF(D996&gt;=5,3,IF(D996&gt;=2,2,1))))</f>
        <v/>
      </c>
      <c r="H996" s="128">
        <f>IF(E996&gt;=5000,5,IF(E996&gt;=2000,4,IF(E996&gt;=800,3,IF(E996&gt;=300,2,1))))</f>
        <v/>
      </c>
      <c r="I996" s="126">
        <f>TEXT(F996,"0")&amp;TEXT(G996,"0")&amp;TEXT(H996,"0")</f>
        <v/>
      </c>
      <c r="J996" s="126">
        <f>IFERROR(XLOOKUP(I996,'Segment Map'!A:A,'Segment Map'!B:B,"Need Attention"),"Need Attention")</f>
        <v/>
      </c>
      <c r="K996" s="126">
        <f>IF(E996&gt;=5000,"🏆 Platinum",IF(E996&gt;=2000,"🥇 Gold",IF(E996&gt;=800,"🥈 Silver","🥉 Bronze")))</f>
        <v/>
      </c>
      <c r="L996" s="129" t="n">
        <v>40823</v>
      </c>
    </row>
    <row r="997">
      <c r="A997" s="122" t="n">
        <v>13690</v>
      </c>
      <c r="B997" s="122" t="inlineStr">
        <is>
          <t>United Kingdom</t>
        </is>
      </c>
      <c r="C997" s="122" t="n">
        <v>60</v>
      </c>
      <c r="D997" s="122" t="n">
        <v>1</v>
      </c>
      <c r="E997" s="123" t="n">
        <v>172.25</v>
      </c>
      <c r="F997" s="124">
        <f>IF(C997&lt;=30,5,IF(C997&lt;=60,4,IF(C997&lt;=120,3,IF(C997&lt;=200,2,1))))</f>
        <v/>
      </c>
      <c r="G997" s="124">
        <f>IF(D997&gt;=20,5,IF(D997&gt;=10,4,IF(D997&gt;=5,3,IF(D997&gt;=2,2,1))))</f>
        <v/>
      </c>
      <c r="H997" s="124">
        <f>IF(E997&gt;=5000,5,IF(E997&gt;=2000,4,IF(E997&gt;=800,3,IF(E997&gt;=300,2,1))))</f>
        <v/>
      </c>
      <c r="I997" s="122">
        <f>TEXT(F997,"0")&amp;TEXT(G997,"0")&amp;TEXT(H997,"0")</f>
        <v/>
      </c>
      <c r="J997" s="122">
        <f>IFERROR(XLOOKUP(I997,'Segment Map'!A:A,'Segment Map'!B:B,"Need Attention"),"Need Attention")</f>
        <v/>
      </c>
      <c r="K997" s="122">
        <f>IF(E997&gt;=5000,"🏆 Platinum",IF(E997&gt;=2000,"🥇 Gold",IF(E997&gt;=800,"🥈 Silver","🥉 Bronze")))</f>
        <v/>
      </c>
      <c r="L997" s="125" t="n">
        <v>40827</v>
      </c>
    </row>
    <row r="998">
      <c r="A998" s="126" t="n">
        <v>13692</v>
      </c>
      <c r="B998" s="126" t="inlineStr">
        <is>
          <t>United Kingdom</t>
        </is>
      </c>
      <c r="C998" s="126" t="n">
        <v>25</v>
      </c>
      <c r="D998" s="126" t="n">
        <v>3</v>
      </c>
      <c r="E998" s="127" t="n">
        <v>1488.32</v>
      </c>
      <c r="F998" s="128">
        <f>IF(C998&lt;=30,5,IF(C998&lt;=60,4,IF(C998&lt;=120,3,IF(C998&lt;=200,2,1))))</f>
        <v/>
      </c>
      <c r="G998" s="128">
        <f>IF(D998&gt;=20,5,IF(D998&gt;=10,4,IF(D998&gt;=5,3,IF(D998&gt;=2,2,1))))</f>
        <v/>
      </c>
      <c r="H998" s="128">
        <f>IF(E998&gt;=5000,5,IF(E998&gt;=2000,4,IF(E998&gt;=800,3,IF(E998&gt;=300,2,1))))</f>
        <v/>
      </c>
      <c r="I998" s="126">
        <f>TEXT(F998,"0")&amp;TEXT(G998,"0")&amp;TEXT(H998,"0")</f>
        <v/>
      </c>
      <c r="J998" s="126">
        <f>IFERROR(XLOOKUP(I998,'Segment Map'!A:A,'Segment Map'!B:B,"Need Attention"),"Need Attention")</f>
        <v/>
      </c>
      <c r="K998" s="126">
        <f>IF(E998&gt;=5000,"🏆 Platinum",IF(E998&gt;=2000,"🥇 Gold",IF(E998&gt;=800,"🥈 Silver","🥉 Bronze")))</f>
        <v/>
      </c>
      <c r="L998" s="129" t="n">
        <v>40862</v>
      </c>
    </row>
    <row r="999">
      <c r="A999" s="122" t="n">
        <v>13694</v>
      </c>
      <c r="B999" s="122" t="inlineStr">
        <is>
          <t>United Kingdom</t>
        </is>
      </c>
      <c r="C999" s="122" t="n">
        <v>4</v>
      </c>
      <c r="D999" s="122" t="n">
        <v>50</v>
      </c>
      <c r="E999" s="123" t="n">
        <v>65039.62</v>
      </c>
      <c r="F999" s="124">
        <f>IF(C999&lt;=30,5,IF(C999&lt;=60,4,IF(C999&lt;=120,3,IF(C999&lt;=200,2,1))))</f>
        <v/>
      </c>
      <c r="G999" s="124">
        <f>IF(D999&gt;=20,5,IF(D999&gt;=10,4,IF(D999&gt;=5,3,IF(D999&gt;=2,2,1))))</f>
        <v/>
      </c>
      <c r="H999" s="124">
        <f>IF(E999&gt;=5000,5,IF(E999&gt;=2000,4,IF(E999&gt;=800,3,IF(E999&gt;=300,2,1))))</f>
        <v/>
      </c>
      <c r="I999" s="122">
        <f>TEXT(F999,"0")&amp;TEXT(G999,"0")&amp;TEXT(H999,"0")</f>
        <v/>
      </c>
      <c r="J999" s="122">
        <f>IFERROR(XLOOKUP(I999,'Segment Map'!A:A,'Segment Map'!B:B,"Need Attention"),"Need Attention")</f>
        <v/>
      </c>
      <c r="K999" s="122">
        <f>IF(E999&gt;=5000,"🏆 Platinum",IF(E999&gt;=2000,"🥇 Gold",IF(E999&gt;=800,"🥈 Silver","🥉 Bronze")))</f>
        <v/>
      </c>
      <c r="L999" s="125" t="n">
        <v>40883</v>
      </c>
    </row>
    <row r="1000">
      <c r="A1000" s="126" t="n">
        <v>13695</v>
      </c>
      <c r="B1000" s="126" t="inlineStr">
        <is>
          <t>United Kingdom</t>
        </is>
      </c>
      <c r="C1000" s="126" t="n">
        <v>32</v>
      </c>
      <c r="D1000" s="126" t="n">
        <v>15</v>
      </c>
      <c r="E1000" s="127" t="n">
        <v>2504.13</v>
      </c>
      <c r="F1000" s="128">
        <f>IF(C1000&lt;=30,5,IF(C1000&lt;=60,4,IF(C1000&lt;=120,3,IF(C1000&lt;=200,2,1))))</f>
        <v/>
      </c>
      <c r="G1000" s="128">
        <f>IF(D1000&gt;=20,5,IF(D1000&gt;=10,4,IF(D1000&gt;=5,3,IF(D1000&gt;=2,2,1))))</f>
        <v/>
      </c>
      <c r="H1000" s="128">
        <f>IF(E1000&gt;=5000,5,IF(E1000&gt;=2000,4,IF(E1000&gt;=800,3,IF(E1000&gt;=300,2,1))))</f>
        <v/>
      </c>
      <c r="I1000" s="126">
        <f>TEXT(F1000,"0")&amp;TEXT(G1000,"0")&amp;TEXT(H1000,"0")</f>
        <v/>
      </c>
      <c r="J1000" s="126">
        <f>IFERROR(XLOOKUP(I1000,'Segment Map'!A:A,'Segment Map'!B:B,"Need Attention"),"Need Attention")</f>
        <v/>
      </c>
      <c r="K1000" s="126">
        <f>IF(E1000&gt;=5000,"🏆 Platinum",IF(E1000&gt;=2000,"🥇 Gold",IF(E1000&gt;=800,"🥈 Silver","🥉 Bronze")))</f>
        <v/>
      </c>
      <c r="L1000" s="129" t="n">
        <v>40855</v>
      </c>
    </row>
    <row r="1001">
      <c r="A1001" s="122" t="n">
        <v>13697</v>
      </c>
      <c r="B1001" s="122" t="inlineStr">
        <is>
          <t>United Kingdom</t>
        </is>
      </c>
      <c r="C1001" s="122" t="n">
        <v>39</v>
      </c>
      <c r="D1001" s="122" t="n">
        <v>1</v>
      </c>
      <c r="E1001" s="123" t="n">
        <v>151.3</v>
      </c>
      <c r="F1001" s="124">
        <f>IF(C1001&lt;=30,5,IF(C1001&lt;=60,4,IF(C1001&lt;=120,3,IF(C1001&lt;=200,2,1))))</f>
        <v/>
      </c>
      <c r="G1001" s="124">
        <f>IF(D1001&gt;=20,5,IF(D1001&gt;=10,4,IF(D1001&gt;=5,3,IF(D1001&gt;=2,2,1))))</f>
        <v/>
      </c>
      <c r="H1001" s="124">
        <f>IF(E1001&gt;=5000,5,IF(E1001&gt;=2000,4,IF(E1001&gt;=800,3,IF(E1001&gt;=300,2,1))))</f>
        <v/>
      </c>
      <c r="I1001" s="122">
        <f>TEXT(F1001,"0")&amp;TEXT(G1001,"0")&amp;TEXT(H1001,"0")</f>
        <v/>
      </c>
      <c r="J1001" s="122">
        <f>IFERROR(XLOOKUP(I1001,'Segment Map'!A:A,'Segment Map'!B:B,"Need Attention"),"Need Attention")</f>
        <v/>
      </c>
      <c r="K1001" s="122">
        <f>IF(E1001&gt;=5000,"🏆 Platinum",IF(E1001&gt;=2000,"🥇 Gold",IF(E1001&gt;=800,"🥈 Silver","🥉 Bronze")))</f>
        <v/>
      </c>
      <c r="L1001" s="125" t="n">
        <v>40848</v>
      </c>
    </row>
    <row r="1002">
      <c r="A1002" s="126" t="n">
        <v>13699</v>
      </c>
      <c r="B1002" s="126" t="inlineStr">
        <is>
          <t>United Kingdom</t>
        </is>
      </c>
      <c r="C1002" s="126" t="n">
        <v>156</v>
      </c>
      <c r="D1002" s="126" t="n">
        <v>1</v>
      </c>
      <c r="E1002" s="127" t="n">
        <v>308.58</v>
      </c>
      <c r="F1002" s="128">
        <f>IF(C1002&lt;=30,5,IF(C1002&lt;=60,4,IF(C1002&lt;=120,3,IF(C1002&lt;=200,2,1))))</f>
        <v/>
      </c>
      <c r="G1002" s="128">
        <f>IF(D1002&gt;=20,5,IF(D1002&gt;=10,4,IF(D1002&gt;=5,3,IF(D1002&gt;=2,2,1))))</f>
        <v/>
      </c>
      <c r="H1002" s="128">
        <f>IF(E1002&gt;=5000,5,IF(E1002&gt;=2000,4,IF(E1002&gt;=800,3,IF(E1002&gt;=300,2,1))))</f>
        <v/>
      </c>
      <c r="I1002" s="126">
        <f>TEXT(F1002,"0")&amp;TEXT(G1002,"0")&amp;TEXT(H1002,"0")</f>
        <v/>
      </c>
      <c r="J1002" s="126">
        <f>IFERROR(XLOOKUP(I1002,'Segment Map'!A:A,'Segment Map'!B:B,"Need Attention"),"Need Attention")</f>
        <v/>
      </c>
      <c r="K1002" s="126">
        <f>IF(E1002&gt;=5000,"🏆 Platinum",IF(E1002&gt;=2000,"🥇 Gold",IF(E1002&gt;=800,"🥈 Silver","🥉 Bronze")))</f>
        <v/>
      </c>
      <c r="L1002" s="129" t="n">
        <v>40731</v>
      </c>
    </row>
    <row r="1003">
      <c r="A1003" s="122" t="n">
        <v>13700</v>
      </c>
      <c r="B1003" s="122" t="inlineStr">
        <is>
          <t>United Kingdom</t>
        </is>
      </c>
      <c r="C1003" s="122" t="n">
        <v>27</v>
      </c>
      <c r="D1003" s="122" t="n">
        <v>10</v>
      </c>
      <c r="E1003" s="123" t="n">
        <v>2265.12</v>
      </c>
      <c r="F1003" s="124">
        <f>IF(C1003&lt;=30,5,IF(C1003&lt;=60,4,IF(C1003&lt;=120,3,IF(C1003&lt;=200,2,1))))</f>
        <v/>
      </c>
      <c r="G1003" s="124">
        <f>IF(D1003&gt;=20,5,IF(D1003&gt;=10,4,IF(D1003&gt;=5,3,IF(D1003&gt;=2,2,1))))</f>
        <v/>
      </c>
      <c r="H1003" s="124">
        <f>IF(E1003&gt;=5000,5,IF(E1003&gt;=2000,4,IF(E1003&gt;=800,3,IF(E1003&gt;=300,2,1))))</f>
        <v/>
      </c>
      <c r="I1003" s="122">
        <f>TEXT(F1003,"0")&amp;TEXT(G1003,"0")&amp;TEXT(H1003,"0")</f>
        <v/>
      </c>
      <c r="J1003" s="122">
        <f>IFERROR(XLOOKUP(I1003,'Segment Map'!A:A,'Segment Map'!B:B,"Need Attention"),"Need Attention")</f>
        <v/>
      </c>
      <c r="K1003" s="122">
        <f>IF(E1003&gt;=5000,"🏆 Platinum",IF(E1003&gt;=2000,"🥇 Gold",IF(E1003&gt;=800,"🥈 Silver","🥉 Bronze")))</f>
        <v/>
      </c>
      <c r="L1003" s="125" t="n">
        <v>40860</v>
      </c>
    </row>
    <row r="1004">
      <c r="A1004" s="126" t="n">
        <v>13703</v>
      </c>
      <c r="B1004" s="126" t="inlineStr">
        <is>
          <t>United Kingdom</t>
        </is>
      </c>
      <c r="C1004" s="126" t="n">
        <v>319</v>
      </c>
      <c r="D1004" s="126" t="n">
        <v>1</v>
      </c>
      <c r="E1004" s="127" t="n">
        <v>99.5</v>
      </c>
      <c r="F1004" s="128">
        <f>IF(C1004&lt;=30,5,IF(C1004&lt;=60,4,IF(C1004&lt;=120,3,IF(C1004&lt;=200,2,1))))</f>
        <v/>
      </c>
      <c r="G1004" s="128">
        <f>IF(D1004&gt;=20,5,IF(D1004&gt;=10,4,IF(D1004&gt;=5,3,IF(D1004&gt;=2,2,1))))</f>
        <v/>
      </c>
      <c r="H1004" s="128">
        <f>IF(E1004&gt;=5000,5,IF(E1004&gt;=2000,4,IF(E1004&gt;=800,3,IF(E1004&gt;=300,2,1))))</f>
        <v/>
      </c>
      <c r="I1004" s="126">
        <f>TEXT(F1004,"0")&amp;TEXT(G1004,"0")&amp;TEXT(H1004,"0")</f>
        <v/>
      </c>
      <c r="J1004" s="126">
        <f>IFERROR(XLOOKUP(I1004,'Segment Map'!A:A,'Segment Map'!B:B,"Need Attention"),"Need Attention")</f>
        <v/>
      </c>
      <c r="K1004" s="126">
        <f>IF(E1004&gt;=5000,"🏆 Platinum",IF(E1004&gt;=2000,"🥇 Gold",IF(E1004&gt;=800,"🥈 Silver","🥉 Bronze")))</f>
        <v/>
      </c>
      <c r="L1004" s="129" t="n">
        <v>40568</v>
      </c>
    </row>
    <row r="1005">
      <c r="A1005" s="122" t="n">
        <v>13704</v>
      </c>
      <c r="B1005" s="122" t="inlineStr">
        <is>
          <t>United Kingdom</t>
        </is>
      </c>
      <c r="C1005" s="122" t="n">
        <v>6</v>
      </c>
      <c r="D1005" s="122" t="n">
        <v>9</v>
      </c>
      <c r="E1005" s="123" t="n">
        <v>2308.06</v>
      </c>
      <c r="F1005" s="124">
        <f>IF(C1005&lt;=30,5,IF(C1005&lt;=60,4,IF(C1005&lt;=120,3,IF(C1005&lt;=200,2,1))))</f>
        <v/>
      </c>
      <c r="G1005" s="124">
        <f>IF(D1005&gt;=20,5,IF(D1005&gt;=10,4,IF(D1005&gt;=5,3,IF(D1005&gt;=2,2,1))))</f>
        <v/>
      </c>
      <c r="H1005" s="124">
        <f>IF(E1005&gt;=5000,5,IF(E1005&gt;=2000,4,IF(E1005&gt;=800,3,IF(E1005&gt;=300,2,1))))</f>
        <v/>
      </c>
      <c r="I1005" s="122">
        <f>TEXT(F1005,"0")&amp;TEXT(G1005,"0")&amp;TEXT(H1005,"0")</f>
        <v/>
      </c>
      <c r="J1005" s="122">
        <f>IFERROR(XLOOKUP(I1005,'Segment Map'!A:A,'Segment Map'!B:B,"Need Attention"),"Need Attention")</f>
        <v/>
      </c>
      <c r="K1005" s="122">
        <f>IF(E1005&gt;=5000,"🏆 Platinum",IF(E1005&gt;=2000,"🥇 Gold",IF(E1005&gt;=800,"🥈 Silver","🥉 Bronze")))</f>
        <v/>
      </c>
      <c r="L1005" s="125" t="n">
        <v>40881</v>
      </c>
    </row>
    <row r="1006">
      <c r="A1006" s="126" t="n">
        <v>13705</v>
      </c>
      <c r="B1006" s="126" t="inlineStr">
        <is>
          <t>United Kingdom</t>
        </is>
      </c>
      <c r="C1006" s="126" t="n">
        <v>8</v>
      </c>
      <c r="D1006" s="126" t="n">
        <v>3</v>
      </c>
      <c r="E1006" s="127" t="n">
        <v>711.86</v>
      </c>
      <c r="F1006" s="128">
        <f>IF(C1006&lt;=30,5,IF(C1006&lt;=60,4,IF(C1006&lt;=120,3,IF(C1006&lt;=200,2,1))))</f>
        <v/>
      </c>
      <c r="G1006" s="128">
        <f>IF(D1006&gt;=20,5,IF(D1006&gt;=10,4,IF(D1006&gt;=5,3,IF(D1006&gt;=2,2,1))))</f>
        <v/>
      </c>
      <c r="H1006" s="128">
        <f>IF(E1006&gt;=5000,5,IF(E1006&gt;=2000,4,IF(E1006&gt;=800,3,IF(E1006&gt;=300,2,1))))</f>
        <v/>
      </c>
      <c r="I1006" s="126">
        <f>TEXT(F1006,"0")&amp;TEXT(G1006,"0")&amp;TEXT(H1006,"0")</f>
        <v/>
      </c>
      <c r="J1006" s="126">
        <f>IFERROR(XLOOKUP(I1006,'Segment Map'!A:A,'Segment Map'!B:B,"Need Attention"),"Need Attention")</f>
        <v/>
      </c>
      <c r="K1006" s="126">
        <f>IF(E1006&gt;=5000,"🏆 Platinum",IF(E1006&gt;=2000,"🥇 Gold",IF(E1006&gt;=800,"🥈 Silver","🥉 Bronze")))</f>
        <v/>
      </c>
      <c r="L1006" s="129" t="n">
        <v>40879</v>
      </c>
    </row>
    <row r="1007">
      <c r="A1007" s="122" t="n">
        <v>13706</v>
      </c>
      <c r="B1007" s="122" t="inlineStr">
        <is>
          <t>United Kingdom</t>
        </is>
      </c>
      <c r="C1007" s="122" t="n">
        <v>303</v>
      </c>
      <c r="D1007" s="122" t="n">
        <v>1</v>
      </c>
      <c r="E1007" s="123" t="n">
        <v>330.79</v>
      </c>
      <c r="F1007" s="124">
        <f>IF(C1007&lt;=30,5,IF(C1007&lt;=60,4,IF(C1007&lt;=120,3,IF(C1007&lt;=200,2,1))))</f>
        <v/>
      </c>
      <c r="G1007" s="124">
        <f>IF(D1007&gt;=20,5,IF(D1007&gt;=10,4,IF(D1007&gt;=5,3,IF(D1007&gt;=2,2,1))))</f>
        <v/>
      </c>
      <c r="H1007" s="124">
        <f>IF(E1007&gt;=5000,5,IF(E1007&gt;=2000,4,IF(E1007&gt;=800,3,IF(E1007&gt;=300,2,1))))</f>
        <v/>
      </c>
      <c r="I1007" s="122">
        <f>TEXT(F1007,"0")&amp;TEXT(G1007,"0")&amp;TEXT(H1007,"0")</f>
        <v/>
      </c>
      <c r="J1007" s="122">
        <f>IFERROR(XLOOKUP(I1007,'Segment Map'!A:A,'Segment Map'!B:B,"Need Attention"),"Need Attention")</f>
        <v/>
      </c>
      <c r="K1007" s="122">
        <f>IF(E1007&gt;=5000,"🏆 Platinum",IF(E1007&gt;=2000,"🥇 Gold",IF(E1007&gt;=800,"🥈 Silver","🥉 Bronze")))</f>
        <v/>
      </c>
      <c r="L1007" s="125" t="n">
        <v>40584</v>
      </c>
    </row>
    <row r="1008">
      <c r="A1008" s="126" t="n">
        <v>13707</v>
      </c>
      <c r="B1008" s="126" t="inlineStr">
        <is>
          <t>United Kingdom</t>
        </is>
      </c>
      <c r="C1008" s="126" t="n">
        <v>268</v>
      </c>
      <c r="D1008" s="126" t="n">
        <v>2</v>
      </c>
      <c r="E1008" s="127" t="n">
        <v>806.41</v>
      </c>
      <c r="F1008" s="128">
        <f>IF(C1008&lt;=30,5,IF(C1008&lt;=60,4,IF(C1008&lt;=120,3,IF(C1008&lt;=200,2,1))))</f>
        <v/>
      </c>
      <c r="G1008" s="128">
        <f>IF(D1008&gt;=20,5,IF(D1008&gt;=10,4,IF(D1008&gt;=5,3,IF(D1008&gt;=2,2,1))))</f>
        <v/>
      </c>
      <c r="H1008" s="128">
        <f>IF(E1008&gt;=5000,5,IF(E1008&gt;=2000,4,IF(E1008&gt;=800,3,IF(E1008&gt;=300,2,1))))</f>
        <v/>
      </c>
      <c r="I1008" s="126">
        <f>TEXT(F1008,"0")&amp;TEXT(G1008,"0")&amp;TEXT(H1008,"0")</f>
        <v/>
      </c>
      <c r="J1008" s="126">
        <f>IFERROR(XLOOKUP(I1008,'Segment Map'!A:A,'Segment Map'!B:B,"Need Attention"),"Need Attention")</f>
        <v/>
      </c>
      <c r="K1008" s="126">
        <f>IF(E1008&gt;=5000,"🏆 Platinum",IF(E1008&gt;=2000,"🥇 Gold",IF(E1008&gt;=800,"🥈 Silver","🥉 Bronze")))</f>
        <v/>
      </c>
      <c r="L1008" s="129" t="n">
        <v>40619</v>
      </c>
    </row>
    <row r="1009">
      <c r="A1009" s="122" t="n">
        <v>13708</v>
      </c>
      <c r="B1009" s="122" t="inlineStr">
        <is>
          <t>United Kingdom</t>
        </is>
      </c>
      <c r="C1009" s="122" t="n">
        <v>272</v>
      </c>
      <c r="D1009" s="122" t="n">
        <v>1</v>
      </c>
      <c r="E1009" s="123" t="n">
        <v>296.88</v>
      </c>
      <c r="F1009" s="124">
        <f>IF(C1009&lt;=30,5,IF(C1009&lt;=60,4,IF(C1009&lt;=120,3,IF(C1009&lt;=200,2,1))))</f>
        <v/>
      </c>
      <c r="G1009" s="124">
        <f>IF(D1009&gt;=20,5,IF(D1009&gt;=10,4,IF(D1009&gt;=5,3,IF(D1009&gt;=2,2,1))))</f>
        <v/>
      </c>
      <c r="H1009" s="124">
        <f>IF(E1009&gt;=5000,5,IF(E1009&gt;=2000,4,IF(E1009&gt;=800,3,IF(E1009&gt;=300,2,1))))</f>
        <v/>
      </c>
      <c r="I1009" s="122">
        <f>TEXT(F1009,"0")&amp;TEXT(G1009,"0")&amp;TEXT(H1009,"0")</f>
        <v/>
      </c>
      <c r="J1009" s="122">
        <f>IFERROR(XLOOKUP(I1009,'Segment Map'!A:A,'Segment Map'!B:B,"Need Attention"),"Need Attention")</f>
        <v/>
      </c>
      <c r="K1009" s="122">
        <f>IF(E1009&gt;=5000,"🏆 Platinum",IF(E1009&gt;=2000,"🥇 Gold",IF(E1009&gt;=800,"🥈 Silver","🥉 Bronze")))</f>
        <v/>
      </c>
      <c r="L1009" s="125" t="n">
        <v>40615</v>
      </c>
    </row>
    <row r="1010">
      <c r="A1010" s="126" t="n">
        <v>13709</v>
      </c>
      <c r="B1010" s="126" t="inlineStr">
        <is>
          <t>United Kingdom</t>
        </is>
      </c>
      <c r="C1010" s="126" t="n">
        <v>4</v>
      </c>
      <c r="D1010" s="126" t="n">
        <v>13</v>
      </c>
      <c r="E1010" s="127" t="n">
        <v>6328.05</v>
      </c>
      <c r="F1010" s="128">
        <f>IF(C1010&lt;=30,5,IF(C1010&lt;=60,4,IF(C1010&lt;=120,3,IF(C1010&lt;=200,2,1))))</f>
        <v/>
      </c>
      <c r="G1010" s="128">
        <f>IF(D1010&gt;=20,5,IF(D1010&gt;=10,4,IF(D1010&gt;=5,3,IF(D1010&gt;=2,2,1))))</f>
        <v/>
      </c>
      <c r="H1010" s="128">
        <f>IF(E1010&gt;=5000,5,IF(E1010&gt;=2000,4,IF(E1010&gt;=800,3,IF(E1010&gt;=300,2,1))))</f>
        <v/>
      </c>
      <c r="I1010" s="126">
        <f>TEXT(F1010,"0")&amp;TEXT(G1010,"0")&amp;TEXT(H1010,"0")</f>
        <v/>
      </c>
      <c r="J1010" s="126">
        <f>IFERROR(XLOOKUP(I1010,'Segment Map'!A:A,'Segment Map'!B:B,"Need Attention"),"Need Attention")</f>
        <v/>
      </c>
      <c r="K1010" s="126">
        <f>IF(E1010&gt;=5000,"🏆 Platinum",IF(E1010&gt;=2000,"🥇 Gold",IF(E1010&gt;=800,"🥈 Silver","🥉 Bronze")))</f>
        <v/>
      </c>
      <c r="L1010" s="129" t="n">
        <v>40883</v>
      </c>
    </row>
    <row r="1011">
      <c r="A1011" s="122" t="n">
        <v>13710</v>
      </c>
      <c r="B1011" s="122" t="inlineStr">
        <is>
          <t>United Kingdom</t>
        </is>
      </c>
      <c r="C1011" s="122" t="n">
        <v>32</v>
      </c>
      <c r="D1011" s="122" t="n">
        <v>1</v>
      </c>
      <c r="E1011" s="123" t="n">
        <v>180.48</v>
      </c>
      <c r="F1011" s="124">
        <f>IF(C1011&lt;=30,5,IF(C1011&lt;=60,4,IF(C1011&lt;=120,3,IF(C1011&lt;=200,2,1))))</f>
        <v/>
      </c>
      <c r="G1011" s="124">
        <f>IF(D1011&gt;=20,5,IF(D1011&gt;=10,4,IF(D1011&gt;=5,3,IF(D1011&gt;=2,2,1))))</f>
        <v/>
      </c>
      <c r="H1011" s="124">
        <f>IF(E1011&gt;=5000,5,IF(E1011&gt;=2000,4,IF(E1011&gt;=800,3,IF(E1011&gt;=300,2,1))))</f>
        <v/>
      </c>
      <c r="I1011" s="122">
        <f>TEXT(F1011,"0")&amp;TEXT(G1011,"0")&amp;TEXT(H1011,"0")</f>
        <v/>
      </c>
      <c r="J1011" s="122">
        <f>IFERROR(XLOOKUP(I1011,'Segment Map'!A:A,'Segment Map'!B:B,"Need Attention"),"Need Attention")</f>
        <v/>
      </c>
      <c r="K1011" s="122">
        <f>IF(E1011&gt;=5000,"🏆 Platinum",IF(E1011&gt;=2000,"🥇 Gold",IF(E1011&gt;=800,"🥈 Silver","🥉 Bronze")))</f>
        <v/>
      </c>
      <c r="L1011" s="125" t="n">
        <v>40855</v>
      </c>
    </row>
    <row r="1012">
      <c r="A1012" s="126" t="n">
        <v>13711</v>
      </c>
      <c r="B1012" s="126" t="inlineStr">
        <is>
          <t>United Kingdom</t>
        </is>
      </c>
      <c r="C1012" s="126" t="n">
        <v>219</v>
      </c>
      <c r="D1012" s="126" t="n">
        <v>2</v>
      </c>
      <c r="E1012" s="127" t="n">
        <v>252.06</v>
      </c>
      <c r="F1012" s="128">
        <f>IF(C1012&lt;=30,5,IF(C1012&lt;=60,4,IF(C1012&lt;=120,3,IF(C1012&lt;=200,2,1))))</f>
        <v/>
      </c>
      <c r="G1012" s="128">
        <f>IF(D1012&gt;=20,5,IF(D1012&gt;=10,4,IF(D1012&gt;=5,3,IF(D1012&gt;=2,2,1))))</f>
        <v/>
      </c>
      <c r="H1012" s="128">
        <f>IF(E1012&gt;=5000,5,IF(E1012&gt;=2000,4,IF(E1012&gt;=800,3,IF(E1012&gt;=300,2,1))))</f>
        <v/>
      </c>
      <c r="I1012" s="126">
        <f>TEXT(F1012,"0")&amp;TEXT(G1012,"0")&amp;TEXT(H1012,"0")</f>
        <v/>
      </c>
      <c r="J1012" s="126">
        <f>IFERROR(XLOOKUP(I1012,'Segment Map'!A:A,'Segment Map'!B:B,"Need Attention"),"Need Attention")</f>
        <v/>
      </c>
      <c r="K1012" s="126">
        <f>IF(E1012&gt;=5000,"🏆 Platinum",IF(E1012&gt;=2000,"🥇 Gold",IF(E1012&gt;=800,"🥈 Silver","🥉 Bronze")))</f>
        <v/>
      </c>
      <c r="L1012" s="129" t="n">
        <v>40668</v>
      </c>
    </row>
    <row r="1013">
      <c r="A1013" s="122" t="n">
        <v>13712</v>
      </c>
      <c r="B1013" s="122" t="inlineStr">
        <is>
          <t>United Kingdom</t>
        </is>
      </c>
      <c r="C1013" s="122" t="n">
        <v>247</v>
      </c>
      <c r="D1013" s="122" t="n">
        <v>1</v>
      </c>
      <c r="E1013" s="123" t="n">
        <v>228.84</v>
      </c>
      <c r="F1013" s="124">
        <f>IF(C1013&lt;=30,5,IF(C1013&lt;=60,4,IF(C1013&lt;=120,3,IF(C1013&lt;=200,2,1))))</f>
        <v/>
      </c>
      <c r="G1013" s="124">
        <f>IF(D1013&gt;=20,5,IF(D1013&gt;=10,4,IF(D1013&gt;=5,3,IF(D1013&gt;=2,2,1))))</f>
        <v/>
      </c>
      <c r="H1013" s="124">
        <f>IF(E1013&gt;=5000,5,IF(E1013&gt;=2000,4,IF(E1013&gt;=800,3,IF(E1013&gt;=300,2,1))))</f>
        <v/>
      </c>
      <c r="I1013" s="122">
        <f>TEXT(F1013,"0")&amp;TEXT(G1013,"0")&amp;TEXT(H1013,"0")</f>
        <v/>
      </c>
      <c r="J1013" s="122">
        <f>IFERROR(XLOOKUP(I1013,'Segment Map'!A:A,'Segment Map'!B:B,"Need Attention"),"Need Attention")</f>
        <v/>
      </c>
      <c r="K1013" s="122">
        <f>IF(E1013&gt;=5000,"🏆 Platinum",IF(E1013&gt;=2000,"🥇 Gold",IF(E1013&gt;=800,"🥈 Silver","🥉 Bronze")))</f>
        <v/>
      </c>
      <c r="L1013" s="125" t="n">
        <v>40640</v>
      </c>
    </row>
    <row r="1014">
      <c r="A1014" s="126" t="n">
        <v>13715</v>
      </c>
      <c r="B1014" s="126" t="inlineStr">
        <is>
          <t>United Kingdom</t>
        </is>
      </c>
      <c r="C1014" s="126" t="n">
        <v>282</v>
      </c>
      <c r="D1014" s="126" t="n">
        <v>5</v>
      </c>
      <c r="E1014" s="127" t="n">
        <v>1079.34</v>
      </c>
      <c r="F1014" s="128">
        <f>IF(C1014&lt;=30,5,IF(C1014&lt;=60,4,IF(C1014&lt;=120,3,IF(C1014&lt;=200,2,1))))</f>
        <v/>
      </c>
      <c r="G1014" s="128">
        <f>IF(D1014&gt;=20,5,IF(D1014&gt;=10,4,IF(D1014&gt;=5,3,IF(D1014&gt;=2,2,1))))</f>
        <v/>
      </c>
      <c r="H1014" s="128">
        <f>IF(E1014&gt;=5000,5,IF(E1014&gt;=2000,4,IF(E1014&gt;=800,3,IF(E1014&gt;=300,2,1))))</f>
        <v/>
      </c>
      <c r="I1014" s="126">
        <f>TEXT(F1014,"0")&amp;TEXT(G1014,"0")&amp;TEXT(H1014,"0")</f>
        <v/>
      </c>
      <c r="J1014" s="126">
        <f>IFERROR(XLOOKUP(I1014,'Segment Map'!A:A,'Segment Map'!B:B,"Need Attention"),"Need Attention")</f>
        <v/>
      </c>
      <c r="K1014" s="126">
        <f>IF(E1014&gt;=5000,"🏆 Platinum",IF(E1014&gt;=2000,"🥇 Gold",IF(E1014&gt;=800,"🥈 Silver","🥉 Bronze")))</f>
        <v/>
      </c>
      <c r="L1014" s="129" t="n">
        <v>40605</v>
      </c>
    </row>
    <row r="1015">
      <c r="A1015" s="122" t="n">
        <v>13716</v>
      </c>
      <c r="B1015" s="122" t="inlineStr">
        <is>
          <t>United Kingdom</t>
        </is>
      </c>
      <c r="C1015" s="122" t="n">
        <v>270</v>
      </c>
      <c r="D1015" s="122" t="n">
        <v>1</v>
      </c>
      <c r="E1015" s="123" t="n">
        <v>138.28</v>
      </c>
      <c r="F1015" s="124">
        <f>IF(C1015&lt;=30,5,IF(C1015&lt;=60,4,IF(C1015&lt;=120,3,IF(C1015&lt;=200,2,1))))</f>
        <v/>
      </c>
      <c r="G1015" s="124">
        <f>IF(D1015&gt;=20,5,IF(D1015&gt;=10,4,IF(D1015&gt;=5,3,IF(D1015&gt;=2,2,1))))</f>
        <v/>
      </c>
      <c r="H1015" s="124">
        <f>IF(E1015&gt;=5000,5,IF(E1015&gt;=2000,4,IF(E1015&gt;=800,3,IF(E1015&gt;=300,2,1))))</f>
        <v/>
      </c>
      <c r="I1015" s="122">
        <f>TEXT(F1015,"0")&amp;TEXT(G1015,"0")&amp;TEXT(H1015,"0")</f>
        <v/>
      </c>
      <c r="J1015" s="122">
        <f>IFERROR(XLOOKUP(I1015,'Segment Map'!A:A,'Segment Map'!B:B,"Need Attention"),"Need Attention")</f>
        <v/>
      </c>
      <c r="K1015" s="122">
        <f>IF(E1015&gt;=5000,"🏆 Platinum",IF(E1015&gt;=2000,"🥇 Gold",IF(E1015&gt;=800,"🥈 Silver","🥉 Bronze")))</f>
        <v/>
      </c>
      <c r="L1015" s="125" t="n">
        <v>40617</v>
      </c>
    </row>
    <row r="1016">
      <c r="A1016" s="126" t="n">
        <v>13717</v>
      </c>
      <c r="B1016" s="126" t="inlineStr">
        <is>
          <t>United Kingdom</t>
        </is>
      </c>
      <c r="C1016" s="126" t="n">
        <v>33</v>
      </c>
      <c r="D1016" s="126" t="n">
        <v>6</v>
      </c>
      <c r="E1016" s="127" t="n">
        <v>1445.01</v>
      </c>
      <c r="F1016" s="128">
        <f>IF(C1016&lt;=30,5,IF(C1016&lt;=60,4,IF(C1016&lt;=120,3,IF(C1016&lt;=200,2,1))))</f>
        <v/>
      </c>
      <c r="G1016" s="128">
        <f>IF(D1016&gt;=20,5,IF(D1016&gt;=10,4,IF(D1016&gt;=5,3,IF(D1016&gt;=2,2,1))))</f>
        <v/>
      </c>
      <c r="H1016" s="128">
        <f>IF(E1016&gt;=5000,5,IF(E1016&gt;=2000,4,IF(E1016&gt;=800,3,IF(E1016&gt;=300,2,1))))</f>
        <v/>
      </c>
      <c r="I1016" s="126">
        <f>TEXT(F1016,"0")&amp;TEXT(G1016,"0")&amp;TEXT(H1016,"0")</f>
        <v/>
      </c>
      <c r="J1016" s="126">
        <f>IFERROR(XLOOKUP(I1016,'Segment Map'!A:A,'Segment Map'!B:B,"Need Attention"),"Need Attention")</f>
        <v/>
      </c>
      <c r="K1016" s="126">
        <f>IF(E1016&gt;=5000,"🏆 Platinum",IF(E1016&gt;=2000,"🥇 Gold",IF(E1016&gt;=800,"🥈 Silver","🥉 Bronze")))</f>
        <v/>
      </c>
      <c r="L1016" s="129" t="n">
        <v>40854</v>
      </c>
    </row>
    <row r="1017">
      <c r="A1017" s="122" t="n">
        <v>13718</v>
      </c>
      <c r="B1017" s="122" t="inlineStr">
        <is>
          <t>United Kingdom</t>
        </is>
      </c>
      <c r="C1017" s="122" t="n">
        <v>247</v>
      </c>
      <c r="D1017" s="122" t="n">
        <v>2</v>
      </c>
      <c r="E1017" s="123" t="n">
        <v>306.55</v>
      </c>
      <c r="F1017" s="124">
        <f>IF(C1017&lt;=30,5,IF(C1017&lt;=60,4,IF(C1017&lt;=120,3,IF(C1017&lt;=200,2,1))))</f>
        <v/>
      </c>
      <c r="G1017" s="124">
        <f>IF(D1017&gt;=20,5,IF(D1017&gt;=10,4,IF(D1017&gt;=5,3,IF(D1017&gt;=2,2,1))))</f>
        <v/>
      </c>
      <c r="H1017" s="124">
        <f>IF(E1017&gt;=5000,5,IF(E1017&gt;=2000,4,IF(E1017&gt;=800,3,IF(E1017&gt;=300,2,1))))</f>
        <v/>
      </c>
      <c r="I1017" s="122">
        <f>TEXT(F1017,"0")&amp;TEXT(G1017,"0")&amp;TEXT(H1017,"0")</f>
        <v/>
      </c>
      <c r="J1017" s="122">
        <f>IFERROR(XLOOKUP(I1017,'Segment Map'!A:A,'Segment Map'!B:B,"Need Attention"),"Need Attention")</f>
        <v/>
      </c>
      <c r="K1017" s="122">
        <f>IF(E1017&gt;=5000,"🏆 Platinum",IF(E1017&gt;=2000,"🥇 Gold",IF(E1017&gt;=800,"🥈 Silver","🥉 Bronze")))</f>
        <v/>
      </c>
      <c r="L1017" s="125" t="n">
        <v>40640</v>
      </c>
    </row>
    <row r="1018">
      <c r="A1018" s="126" t="n">
        <v>13719</v>
      </c>
      <c r="B1018" s="126" t="inlineStr">
        <is>
          <t>United Kingdom</t>
        </is>
      </c>
      <c r="C1018" s="126" t="n">
        <v>16</v>
      </c>
      <c r="D1018" s="126" t="n">
        <v>5</v>
      </c>
      <c r="E1018" s="127" t="n">
        <v>1041.68</v>
      </c>
      <c r="F1018" s="128">
        <f>IF(C1018&lt;=30,5,IF(C1018&lt;=60,4,IF(C1018&lt;=120,3,IF(C1018&lt;=200,2,1))))</f>
        <v/>
      </c>
      <c r="G1018" s="128">
        <f>IF(D1018&gt;=20,5,IF(D1018&gt;=10,4,IF(D1018&gt;=5,3,IF(D1018&gt;=2,2,1))))</f>
        <v/>
      </c>
      <c r="H1018" s="128">
        <f>IF(E1018&gt;=5000,5,IF(E1018&gt;=2000,4,IF(E1018&gt;=800,3,IF(E1018&gt;=300,2,1))))</f>
        <v/>
      </c>
      <c r="I1018" s="126">
        <f>TEXT(F1018,"0")&amp;TEXT(G1018,"0")&amp;TEXT(H1018,"0")</f>
        <v/>
      </c>
      <c r="J1018" s="126">
        <f>IFERROR(XLOOKUP(I1018,'Segment Map'!A:A,'Segment Map'!B:B,"Need Attention"),"Need Attention")</f>
        <v/>
      </c>
      <c r="K1018" s="126">
        <f>IF(E1018&gt;=5000,"🏆 Platinum",IF(E1018&gt;=2000,"🥇 Gold",IF(E1018&gt;=800,"🥈 Silver","🥉 Bronze")))</f>
        <v/>
      </c>
      <c r="L1018" s="129" t="n">
        <v>40871</v>
      </c>
    </row>
    <row r="1019">
      <c r="A1019" s="122" t="n">
        <v>13720</v>
      </c>
      <c r="B1019" s="122" t="inlineStr">
        <is>
          <t>United Kingdom</t>
        </is>
      </c>
      <c r="C1019" s="122" t="n">
        <v>117</v>
      </c>
      <c r="D1019" s="122" t="n">
        <v>4</v>
      </c>
      <c r="E1019" s="123" t="n">
        <v>799.9</v>
      </c>
      <c r="F1019" s="124">
        <f>IF(C1019&lt;=30,5,IF(C1019&lt;=60,4,IF(C1019&lt;=120,3,IF(C1019&lt;=200,2,1))))</f>
        <v/>
      </c>
      <c r="G1019" s="124">
        <f>IF(D1019&gt;=20,5,IF(D1019&gt;=10,4,IF(D1019&gt;=5,3,IF(D1019&gt;=2,2,1))))</f>
        <v/>
      </c>
      <c r="H1019" s="124">
        <f>IF(E1019&gt;=5000,5,IF(E1019&gt;=2000,4,IF(E1019&gt;=800,3,IF(E1019&gt;=300,2,1))))</f>
        <v/>
      </c>
      <c r="I1019" s="122">
        <f>TEXT(F1019,"0")&amp;TEXT(G1019,"0")&amp;TEXT(H1019,"0")</f>
        <v/>
      </c>
      <c r="J1019" s="122">
        <f>IFERROR(XLOOKUP(I1019,'Segment Map'!A:A,'Segment Map'!B:B,"Need Attention"),"Need Attention")</f>
        <v/>
      </c>
      <c r="K1019" s="122">
        <f>IF(E1019&gt;=5000,"🏆 Platinum",IF(E1019&gt;=2000,"🥇 Gold",IF(E1019&gt;=800,"🥈 Silver","🥉 Bronze")))</f>
        <v/>
      </c>
      <c r="L1019" s="125" t="n">
        <v>40770</v>
      </c>
    </row>
    <row r="1020">
      <c r="A1020" s="126" t="n">
        <v>13721</v>
      </c>
      <c r="B1020" s="126" t="inlineStr">
        <is>
          <t>United Kingdom</t>
        </is>
      </c>
      <c r="C1020" s="126" t="n">
        <v>37</v>
      </c>
      <c r="D1020" s="126" t="n">
        <v>1</v>
      </c>
      <c r="E1020" s="127" t="n">
        <v>524.14</v>
      </c>
      <c r="F1020" s="128">
        <f>IF(C1020&lt;=30,5,IF(C1020&lt;=60,4,IF(C1020&lt;=120,3,IF(C1020&lt;=200,2,1))))</f>
        <v/>
      </c>
      <c r="G1020" s="128">
        <f>IF(D1020&gt;=20,5,IF(D1020&gt;=10,4,IF(D1020&gt;=5,3,IF(D1020&gt;=2,2,1))))</f>
        <v/>
      </c>
      <c r="H1020" s="128">
        <f>IF(E1020&gt;=5000,5,IF(E1020&gt;=2000,4,IF(E1020&gt;=800,3,IF(E1020&gt;=300,2,1))))</f>
        <v/>
      </c>
      <c r="I1020" s="126">
        <f>TEXT(F1020,"0")&amp;TEXT(G1020,"0")&amp;TEXT(H1020,"0")</f>
        <v/>
      </c>
      <c r="J1020" s="126">
        <f>IFERROR(XLOOKUP(I1020,'Segment Map'!A:A,'Segment Map'!B:B,"Need Attention"),"Need Attention")</f>
        <v/>
      </c>
      <c r="K1020" s="126">
        <f>IF(E1020&gt;=5000,"🏆 Platinum",IF(E1020&gt;=2000,"🥇 Gold",IF(E1020&gt;=800,"🥈 Silver","🥉 Bronze")))</f>
        <v/>
      </c>
      <c r="L1020" s="129" t="n">
        <v>40850</v>
      </c>
    </row>
    <row r="1021">
      <c r="A1021" s="122" t="n">
        <v>13722</v>
      </c>
      <c r="B1021" s="122" t="inlineStr">
        <is>
          <t>United Kingdom</t>
        </is>
      </c>
      <c r="C1021" s="122" t="n">
        <v>132</v>
      </c>
      <c r="D1021" s="122" t="n">
        <v>3</v>
      </c>
      <c r="E1021" s="123" t="n">
        <v>2375.41</v>
      </c>
      <c r="F1021" s="124">
        <f>IF(C1021&lt;=30,5,IF(C1021&lt;=60,4,IF(C1021&lt;=120,3,IF(C1021&lt;=200,2,1))))</f>
        <v/>
      </c>
      <c r="G1021" s="124">
        <f>IF(D1021&gt;=20,5,IF(D1021&gt;=10,4,IF(D1021&gt;=5,3,IF(D1021&gt;=2,2,1))))</f>
        <v/>
      </c>
      <c r="H1021" s="124">
        <f>IF(E1021&gt;=5000,5,IF(E1021&gt;=2000,4,IF(E1021&gt;=800,3,IF(E1021&gt;=300,2,1))))</f>
        <v/>
      </c>
      <c r="I1021" s="122">
        <f>TEXT(F1021,"0")&amp;TEXT(G1021,"0")&amp;TEXT(H1021,"0")</f>
        <v/>
      </c>
      <c r="J1021" s="122">
        <f>IFERROR(XLOOKUP(I1021,'Segment Map'!A:A,'Segment Map'!B:B,"Need Attention"),"Need Attention")</f>
        <v/>
      </c>
      <c r="K1021" s="122">
        <f>IF(E1021&gt;=5000,"🏆 Platinum",IF(E1021&gt;=2000,"🥇 Gold",IF(E1021&gt;=800,"🥈 Silver","🥉 Bronze")))</f>
        <v/>
      </c>
      <c r="L1021" s="125" t="n">
        <v>40755</v>
      </c>
    </row>
    <row r="1022">
      <c r="A1022" s="126" t="n">
        <v>13723</v>
      </c>
      <c r="B1022" s="126" t="inlineStr">
        <is>
          <t>United Kingdom</t>
        </is>
      </c>
      <c r="C1022" s="126" t="n">
        <v>218</v>
      </c>
      <c r="D1022" s="126" t="n">
        <v>1</v>
      </c>
      <c r="E1022" s="127" t="n">
        <v>199.85</v>
      </c>
      <c r="F1022" s="128">
        <f>IF(C1022&lt;=30,5,IF(C1022&lt;=60,4,IF(C1022&lt;=120,3,IF(C1022&lt;=200,2,1))))</f>
        <v/>
      </c>
      <c r="G1022" s="128">
        <f>IF(D1022&gt;=20,5,IF(D1022&gt;=10,4,IF(D1022&gt;=5,3,IF(D1022&gt;=2,2,1))))</f>
        <v/>
      </c>
      <c r="H1022" s="128">
        <f>IF(E1022&gt;=5000,5,IF(E1022&gt;=2000,4,IF(E1022&gt;=800,3,IF(E1022&gt;=300,2,1))))</f>
        <v/>
      </c>
      <c r="I1022" s="126">
        <f>TEXT(F1022,"0")&amp;TEXT(G1022,"0")&amp;TEXT(H1022,"0")</f>
        <v/>
      </c>
      <c r="J1022" s="126">
        <f>IFERROR(XLOOKUP(I1022,'Segment Map'!A:A,'Segment Map'!B:B,"Need Attention"),"Need Attention")</f>
        <v/>
      </c>
      <c r="K1022" s="126">
        <f>IF(E1022&gt;=5000,"🏆 Platinum",IF(E1022&gt;=2000,"🥇 Gold",IF(E1022&gt;=800,"🥈 Silver","🥉 Bronze")))</f>
        <v/>
      </c>
      <c r="L1022" s="129" t="n">
        <v>40669</v>
      </c>
    </row>
    <row r="1023">
      <c r="A1023" s="122" t="n">
        <v>13725</v>
      </c>
      <c r="B1023" s="122" t="inlineStr">
        <is>
          <t>United Kingdom</t>
        </is>
      </c>
      <c r="C1023" s="122" t="n">
        <v>50</v>
      </c>
      <c r="D1023" s="122" t="n">
        <v>8</v>
      </c>
      <c r="E1023" s="123" t="n">
        <v>1980.56</v>
      </c>
      <c r="F1023" s="124">
        <f>IF(C1023&lt;=30,5,IF(C1023&lt;=60,4,IF(C1023&lt;=120,3,IF(C1023&lt;=200,2,1))))</f>
        <v/>
      </c>
      <c r="G1023" s="124">
        <f>IF(D1023&gt;=20,5,IF(D1023&gt;=10,4,IF(D1023&gt;=5,3,IF(D1023&gt;=2,2,1))))</f>
        <v/>
      </c>
      <c r="H1023" s="124">
        <f>IF(E1023&gt;=5000,5,IF(E1023&gt;=2000,4,IF(E1023&gt;=800,3,IF(E1023&gt;=300,2,1))))</f>
        <v/>
      </c>
      <c r="I1023" s="122">
        <f>TEXT(F1023,"0")&amp;TEXT(G1023,"0")&amp;TEXT(H1023,"0")</f>
        <v/>
      </c>
      <c r="J1023" s="122">
        <f>IFERROR(XLOOKUP(I1023,'Segment Map'!A:A,'Segment Map'!B:B,"Need Attention"),"Need Attention")</f>
        <v/>
      </c>
      <c r="K1023" s="122">
        <f>IF(E1023&gt;=5000,"🏆 Platinum",IF(E1023&gt;=2000,"🥇 Gold",IF(E1023&gt;=800,"🥈 Silver","🥉 Bronze")))</f>
        <v/>
      </c>
      <c r="L1023" s="125" t="n">
        <v>40837</v>
      </c>
    </row>
    <row r="1024">
      <c r="A1024" s="126" t="n">
        <v>13726</v>
      </c>
      <c r="B1024" s="126" t="inlineStr">
        <is>
          <t>United Kingdom</t>
        </is>
      </c>
      <c r="C1024" s="126" t="n">
        <v>39</v>
      </c>
      <c r="D1024" s="126" t="n">
        <v>2</v>
      </c>
      <c r="E1024" s="127" t="n">
        <v>1079.66</v>
      </c>
      <c r="F1024" s="128">
        <f>IF(C1024&lt;=30,5,IF(C1024&lt;=60,4,IF(C1024&lt;=120,3,IF(C1024&lt;=200,2,1))))</f>
        <v/>
      </c>
      <c r="G1024" s="128">
        <f>IF(D1024&gt;=20,5,IF(D1024&gt;=10,4,IF(D1024&gt;=5,3,IF(D1024&gt;=2,2,1))))</f>
        <v/>
      </c>
      <c r="H1024" s="128">
        <f>IF(E1024&gt;=5000,5,IF(E1024&gt;=2000,4,IF(E1024&gt;=800,3,IF(E1024&gt;=300,2,1))))</f>
        <v/>
      </c>
      <c r="I1024" s="126">
        <f>TEXT(F1024,"0")&amp;TEXT(G1024,"0")&amp;TEXT(H1024,"0")</f>
        <v/>
      </c>
      <c r="J1024" s="126">
        <f>IFERROR(XLOOKUP(I1024,'Segment Map'!A:A,'Segment Map'!B:B,"Need Attention"),"Need Attention")</f>
        <v/>
      </c>
      <c r="K1024" s="126">
        <f>IF(E1024&gt;=5000,"🏆 Platinum",IF(E1024&gt;=2000,"🥇 Gold",IF(E1024&gt;=800,"🥈 Silver","🥉 Bronze")))</f>
        <v/>
      </c>
      <c r="L1024" s="129" t="n">
        <v>40848</v>
      </c>
    </row>
    <row r="1025">
      <c r="A1025" s="122" t="n">
        <v>13727</v>
      </c>
      <c r="B1025" s="122" t="inlineStr">
        <is>
          <t>United Kingdom</t>
        </is>
      </c>
      <c r="C1025" s="122" t="n">
        <v>29</v>
      </c>
      <c r="D1025" s="122" t="n">
        <v>2</v>
      </c>
      <c r="E1025" s="123" t="n">
        <v>333.48</v>
      </c>
      <c r="F1025" s="124">
        <f>IF(C1025&lt;=30,5,IF(C1025&lt;=60,4,IF(C1025&lt;=120,3,IF(C1025&lt;=200,2,1))))</f>
        <v/>
      </c>
      <c r="G1025" s="124">
        <f>IF(D1025&gt;=20,5,IF(D1025&gt;=10,4,IF(D1025&gt;=5,3,IF(D1025&gt;=2,2,1))))</f>
        <v/>
      </c>
      <c r="H1025" s="124">
        <f>IF(E1025&gt;=5000,5,IF(E1025&gt;=2000,4,IF(E1025&gt;=800,3,IF(E1025&gt;=300,2,1))))</f>
        <v/>
      </c>
      <c r="I1025" s="122">
        <f>TEXT(F1025,"0")&amp;TEXT(G1025,"0")&amp;TEXT(H1025,"0")</f>
        <v/>
      </c>
      <c r="J1025" s="122">
        <f>IFERROR(XLOOKUP(I1025,'Segment Map'!A:A,'Segment Map'!B:B,"Need Attention"),"Need Attention")</f>
        <v/>
      </c>
      <c r="K1025" s="122">
        <f>IF(E1025&gt;=5000,"🏆 Platinum",IF(E1025&gt;=2000,"🥇 Gold",IF(E1025&gt;=800,"🥈 Silver","🥉 Bronze")))</f>
        <v/>
      </c>
      <c r="L1025" s="125" t="n">
        <v>40858</v>
      </c>
    </row>
    <row r="1026">
      <c r="A1026" s="126" t="n">
        <v>13728</v>
      </c>
      <c r="B1026" s="126" t="inlineStr">
        <is>
          <t>United Kingdom</t>
        </is>
      </c>
      <c r="C1026" s="126" t="n">
        <v>37</v>
      </c>
      <c r="D1026" s="126" t="n">
        <v>6</v>
      </c>
      <c r="E1026" s="127" t="n">
        <v>1016.14</v>
      </c>
      <c r="F1026" s="128">
        <f>IF(C1026&lt;=30,5,IF(C1026&lt;=60,4,IF(C1026&lt;=120,3,IF(C1026&lt;=200,2,1))))</f>
        <v/>
      </c>
      <c r="G1026" s="128">
        <f>IF(D1026&gt;=20,5,IF(D1026&gt;=10,4,IF(D1026&gt;=5,3,IF(D1026&gt;=2,2,1))))</f>
        <v/>
      </c>
      <c r="H1026" s="128">
        <f>IF(E1026&gt;=5000,5,IF(E1026&gt;=2000,4,IF(E1026&gt;=800,3,IF(E1026&gt;=300,2,1))))</f>
        <v/>
      </c>
      <c r="I1026" s="126">
        <f>TEXT(F1026,"0")&amp;TEXT(G1026,"0")&amp;TEXT(H1026,"0")</f>
        <v/>
      </c>
      <c r="J1026" s="126">
        <f>IFERROR(XLOOKUP(I1026,'Segment Map'!A:A,'Segment Map'!B:B,"Need Attention"),"Need Attention")</f>
        <v/>
      </c>
      <c r="K1026" s="126">
        <f>IF(E1026&gt;=5000,"🏆 Platinum",IF(E1026&gt;=2000,"🥇 Gold",IF(E1026&gt;=800,"🥈 Silver","🥉 Bronze")))</f>
        <v/>
      </c>
      <c r="L1026" s="129" t="n">
        <v>40850</v>
      </c>
    </row>
    <row r="1027">
      <c r="A1027" s="122" t="n">
        <v>13730</v>
      </c>
      <c r="B1027" s="122" t="inlineStr">
        <is>
          <t>United Kingdom</t>
        </is>
      </c>
      <c r="C1027" s="122" t="n">
        <v>136</v>
      </c>
      <c r="D1027" s="122" t="n">
        <v>2</v>
      </c>
      <c r="E1027" s="123" t="n">
        <v>752.6</v>
      </c>
      <c r="F1027" s="124">
        <f>IF(C1027&lt;=30,5,IF(C1027&lt;=60,4,IF(C1027&lt;=120,3,IF(C1027&lt;=200,2,1))))</f>
        <v/>
      </c>
      <c r="G1027" s="124">
        <f>IF(D1027&gt;=20,5,IF(D1027&gt;=10,4,IF(D1027&gt;=5,3,IF(D1027&gt;=2,2,1))))</f>
        <v/>
      </c>
      <c r="H1027" s="124">
        <f>IF(E1027&gt;=5000,5,IF(E1027&gt;=2000,4,IF(E1027&gt;=800,3,IF(E1027&gt;=300,2,1))))</f>
        <v/>
      </c>
      <c r="I1027" s="122">
        <f>TEXT(F1027,"0")&amp;TEXT(G1027,"0")&amp;TEXT(H1027,"0")</f>
        <v/>
      </c>
      <c r="J1027" s="122">
        <f>IFERROR(XLOOKUP(I1027,'Segment Map'!A:A,'Segment Map'!B:B,"Need Attention"),"Need Attention")</f>
        <v/>
      </c>
      <c r="K1027" s="122">
        <f>IF(E1027&gt;=5000,"🏆 Platinum",IF(E1027&gt;=2000,"🥇 Gold",IF(E1027&gt;=800,"🥈 Silver","🥉 Bronze")))</f>
        <v/>
      </c>
      <c r="L1027" s="125" t="n">
        <v>40751</v>
      </c>
    </row>
    <row r="1028">
      <c r="A1028" s="126" t="n">
        <v>13731</v>
      </c>
      <c r="B1028" s="126" t="inlineStr">
        <is>
          <t>United Kingdom</t>
        </is>
      </c>
      <c r="C1028" s="126" t="n">
        <v>220</v>
      </c>
      <c r="D1028" s="126" t="n">
        <v>2</v>
      </c>
      <c r="E1028" s="127" t="n">
        <v>610.59</v>
      </c>
      <c r="F1028" s="128">
        <f>IF(C1028&lt;=30,5,IF(C1028&lt;=60,4,IF(C1028&lt;=120,3,IF(C1028&lt;=200,2,1))))</f>
        <v/>
      </c>
      <c r="G1028" s="128">
        <f>IF(D1028&gt;=20,5,IF(D1028&gt;=10,4,IF(D1028&gt;=5,3,IF(D1028&gt;=2,2,1))))</f>
        <v/>
      </c>
      <c r="H1028" s="128">
        <f>IF(E1028&gt;=5000,5,IF(E1028&gt;=2000,4,IF(E1028&gt;=800,3,IF(E1028&gt;=300,2,1))))</f>
        <v/>
      </c>
      <c r="I1028" s="126">
        <f>TEXT(F1028,"0")&amp;TEXT(G1028,"0")&amp;TEXT(H1028,"0")</f>
        <v/>
      </c>
      <c r="J1028" s="126">
        <f>IFERROR(XLOOKUP(I1028,'Segment Map'!A:A,'Segment Map'!B:B,"Need Attention"),"Need Attention")</f>
        <v/>
      </c>
      <c r="K1028" s="126">
        <f>IF(E1028&gt;=5000,"🏆 Platinum",IF(E1028&gt;=2000,"🥇 Gold",IF(E1028&gt;=800,"🥈 Silver","🥉 Bronze")))</f>
        <v/>
      </c>
      <c r="L1028" s="129" t="n">
        <v>40667</v>
      </c>
    </row>
    <row r="1029">
      <c r="A1029" s="122" t="n">
        <v>13732</v>
      </c>
      <c r="B1029" s="122" t="inlineStr">
        <is>
          <t>United Kingdom</t>
        </is>
      </c>
      <c r="C1029" s="122" t="n">
        <v>29</v>
      </c>
      <c r="D1029" s="122" t="n">
        <v>1</v>
      </c>
      <c r="E1029" s="123" t="n">
        <v>491.86</v>
      </c>
      <c r="F1029" s="124">
        <f>IF(C1029&lt;=30,5,IF(C1029&lt;=60,4,IF(C1029&lt;=120,3,IF(C1029&lt;=200,2,1))))</f>
        <v/>
      </c>
      <c r="G1029" s="124">
        <f>IF(D1029&gt;=20,5,IF(D1029&gt;=10,4,IF(D1029&gt;=5,3,IF(D1029&gt;=2,2,1))))</f>
        <v/>
      </c>
      <c r="H1029" s="124">
        <f>IF(E1029&gt;=5000,5,IF(E1029&gt;=2000,4,IF(E1029&gt;=800,3,IF(E1029&gt;=300,2,1))))</f>
        <v/>
      </c>
      <c r="I1029" s="122">
        <f>TEXT(F1029,"0")&amp;TEXT(G1029,"0")&amp;TEXT(H1029,"0")</f>
        <v/>
      </c>
      <c r="J1029" s="122">
        <f>IFERROR(XLOOKUP(I1029,'Segment Map'!A:A,'Segment Map'!B:B,"Need Attention"),"Need Attention")</f>
        <v/>
      </c>
      <c r="K1029" s="122">
        <f>IF(E1029&gt;=5000,"🏆 Platinum",IF(E1029&gt;=2000,"🥇 Gold",IF(E1029&gt;=800,"🥈 Silver","🥉 Bronze")))</f>
        <v/>
      </c>
      <c r="L1029" s="125" t="n">
        <v>40858</v>
      </c>
    </row>
    <row r="1030">
      <c r="A1030" s="126" t="n">
        <v>13735</v>
      </c>
      <c r="B1030" s="126" t="inlineStr">
        <is>
          <t>United Kingdom</t>
        </is>
      </c>
      <c r="C1030" s="126" t="n">
        <v>25</v>
      </c>
      <c r="D1030" s="126" t="n">
        <v>4</v>
      </c>
      <c r="E1030" s="127" t="n">
        <v>2885.24</v>
      </c>
      <c r="F1030" s="128">
        <f>IF(C1030&lt;=30,5,IF(C1030&lt;=60,4,IF(C1030&lt;=120,3,IF(C1030&lt;=200,2,1))))</f>
        <v/>
      </c>
      <c r="G1030" s="128">
        <f>IF(D1030&gt;=20,5,IF(D1030&gt;=10,4,IF(D1030&gt;=5,3,IF(D1030&gt;=2,2,1))))</f>
        <v/>
      </c>
      <c r="H1030" s="128">
        <f>IF(E1030&gt;=5000,5,IF(E1030&gt;=2000,4,IF(E1030&gt;=800,3,IF(E1030&gt;=300,2,1))))</f>
        <v/>
      </c>
      <c r="I1030" s="126">
        <f>TEXT(F1030,"0")&amp;TEXT(G1030,"0")&amp;TEXT(H1030,"0")</f>
        <v/>
      </c>
      <c r="J1030" s="126">
        <f>IFERROR(XLOOKUP(I1030,'Segment Map'!A:A,'Segment Map'!B:B,"Need Attention"),"Need Attention")</f>
        <v/>
      </c>
      <c r="K1030" s="126">
        <f>IF(E1030&gt;=5000,"🏆 Platinum",IF(E1030&gt;=2000,"🥇 Gold",IF(E1030&gt;=800,"🥈 Silver","🥉 Bronze")))</f>
        <v/>
      </c>
      <c r="L1030" s="129" t="n">
        <v>40862</v>
      </c>
    </row>
    <row r="1031">
      <c r="A1031" s="122" t="n">
        <v>13736</v>
      </c>
      <c r="B1031" s="122" t="inlineStr">
        <is>
          <t>United Kingdom</t>
        </is>
      </c>
      <c r="C1031" s="122" t="n">
        <v>6</v>
      </c>
      <c r="D1031" s="122" t="n">
        <v>2</v>
      </c>
      <c r="E1031" s="123" t="n">
        <v>731.9</v>
      </c>
      <c r="F1031" s="124">
        <f>IF(C1031&lt;=30,5,IF(C1031&lt;=60,4,IF(C1031&lt;=120,3,IF(C1031&lt;=200,2,1))))</f>
        <v/>
      </c>
      <c r="G1031" s="124">
        <f>IF(D1031&gt;=20,5,IF(D1031&gt;=10,4,IF(D1031&gt;=5,3,IF(D1031&gt;=2,2,1))))</f>
        <v/>
      </c>
      <c r="H1031" s="124">
        <f>IF(E1031&gt;=5000,5,IF(E1031&gt;=2000,4,IF(E1031&gt;=800,3,IF(E1031&gt;=300,2,1))))</f>
        <v/>
      </c>
      <c r="I1031" s="122">
        <f>TEXT(F1031,"0")&amp;TEXT(G1031,"0")&amp;TEXT(H1031,"0")</f>
        <v/>
      </c>
      <c r="J1031" s="122">
        <f>IFERROR(XLOOKUP(I1031,'Segment Map'!A:A,'Segment Map'!B:B,"Need Attention"),"Need Attention")</f>
        <v/>
      </c>
      <c r="K1031" s="122">
        <f>IF(E1031&gt;=5000,"🏆 Platinum",IF(E1031&gt;=2000,"🥇 Gold",IF(E1031&gt;=800,"🥈 Silver","🥉 Bronze")))</f>
        <v/>
      </c>
      <c r="L1031" s="125" t="n">
        <v>40881</v>
      </c>
    </row>
    <row r="1032">
      <c r="A1032" s="126" t="n">
        <v>13737</v>
      </c>
      <c r="B1032" s="126" t="inlineStr">
        <is>
          <t>United Kingdom</t>
        </is>
      </c>
      <c r="C1032" s="126" t="n">
        <v>201</v>
      </c>
      <c r="D1032" s="126" t="n">
        <v>1</v>
      </c>
      <c r="E1032" s="127" t="n">
        <v>339.6</v>
      </c>
      <c r="F1032" s="128">
        <f>IF(C1032&lt;=30,5,IF(C1032&lt;=60,4,IF(C1032&lt;=120,3,IF(C1032&lt;=200,2,1))))</f>
        <v/>
      </c>
      <c r="G1032" s="128">
        <f>IF(D1032&gt;=20,5,IF(D1032&gt;=10,4,IF(D1032&gt;=5,3,IF(D1032&gt;=2,2,1))))</f>
        <v/>
      </c>
      <c r="H1032" s="128">
        <f>IF(E1032&gt;=5000,5,IF(E1032&gt;=2000,4,IF(E1032&gt;=800,3,IF(E1032&gt;=300,2,1))))</f>
        <v/>
      </c>
      <c r="I1032" s="126">
        <f>TEXT(F1032,"0")&amp;TEXT(G1032,"0")&amp;TEXT(H1032,"0")</f>
        <v/>
      </c>
      <c r="J1032" s="126">
        <f>IFERROR(XLOOKUP(I1032,'Segment Map'!A:A,'Segment Map'!B:B,"Need Attention"),"Need Attention")</f>
        <v/>
      </c>
      <c r="K1032" s="126">
        <f>IF(E1032&gt;=5000,"🏆 Platinum",IF(E1032&gt;=2000,"🥇 Gold",IF(E1032&gt;=800,"🥈 Silver","🥉 Bronze")))</f>
        <v/>
      </c>
      <c r="L1032" s="129" t="n">
        <v>40686</v>
      </c>
    </row>
    <row r="1033">
      <c r="A1033" s="122" t="n">
        <v>13739</v>
      </c>
      <c r="B1033" s="122" t="inlineStr">
        <is>
          <t>United Kingdom</t>
        </is>
      </c>
      <c r="C1033" s="122" t="n">
        <v>19</v>
      </c>
      <c r="D1033" s="122" t="n">
        <v>1</v>
      </c>
      <c r="E1033" s="123" t="n">
        <v>216.9</v>
      </c>
      <c r="F1033" s="124">
        <f>IF(C1033&lt;=30,5,IF(C1033&lt;=60,4,IF(C1033&lt;=120,3,IF(C1033&lt;=200,2,1))))</f>
        <v/>
      </c>
      <c r="G1033" s="124">
        <f>IF(D1033&gt;=20,5,IF(D1033&gt;=10,4,IF(D1033&gt;=5,3,IF(D1033&gt;=2,2,1))))</f>
        <v/>
      </c>
      <c r="H1033" s="124">
        <f>IF(E1033&gt;=5000,5,IF(E1033&gt;=2000,4,IF(E1033&gt;=800,3,IF(E1033&gt;=300,2,1))))</f>
        <v/>
      </c>
      <c r="I1033" s="122">
        <f>TEXT(F1033,"0")&amp;TEXT(G1033,"0")&amp;TEXT(H1033,"0")</f>
        <v/>
      </c>
      <c r="J1033" s="122">
        <f>IFERROR(XLOOKUP(I1033,'Segment Map'!A:A,'Segment Map'!B:B,"Need Attention"),"Need Attention")</f>
        <v/>
      </c>
      <c r="K1033" s="122">
        <f>IF(E1033&gt;=5000,"🏆 Platinum",IF(E1033&gt;=2000,"🥇 Gold",IF(E1033&gt;=800,"🥈 Silver","🥉 Bronze")))</f>
        <v/>
      </c>
      <c r="L1033" s="125" t="n">
        <v>40868</v>
      </c>
    </row>
    <row r="1034">
      <c r="A1034" s="126" t="n">
        <v>13740</v>
      </c>
      <c r="B1034" s="126" t="inlineStr">
        <is>
          <t>United Kingdom</t>
        </is>
      </c>
      <c r="C1034" s="126" t="n">
        <v>241</v>
      </c>
      <c r="D1034" s="126" t="n">
        <v>1</v>
      </c>
      <c r="E1034" s="127" t="n">
        <v>350.75</v>
      </c>
      <c r="F1034" s="128">
        <f>IF(C1034&lt;=30,5,IF(C1034&lt;=60,4,IF(C1034&lt;=120,3,IF(C1034&lt;=200,2,1))))</f>
        <v/>
      </c>
      <c r="G1034" s="128">
        <f>IF(D1034&gt;=20,5,IF(D1034&gt;=10,4,IF(D1034&gt;=5,3,IF(D1034&gt;=2,2,1))))</f>
        <v/>
      </c>
      <c r="H1034" s="128">
        <f>IF(E1034&gt;=5000,5,IF(E1034&gt;=2000,4,IF(E1034&gt;=800,3,IF(E1034&gt;=300,2,1))))</f>
        <v/>
      </c>
      <c r="I1034" s="126">
        <f>TEXT(F1034,"0")&amp;TEXT(G1034,"0")&amp;TEXT(H1034,"0")</f>
        <v/>
      </c>
      <c r="J1034" s="126">
        <f>IFERROR(XLOOKUP(I1034,'Segment Map'!A:A,'Segment Map'!B:B,"Need Attention"),"Need Attention")</f>
        <v/>
      </c>
      <c r="K1034" s="126">
        <f>IF(E1034&gt;=5000,"🏆 Platinum",IF(E1034&gt;=2000,"🥇 Gold",IF(E1034&gt;=800,"🥈 Silver","🥉 Bronze")))</f>
        <v/>
      </c>
      <c r="L1034" s="129" t="n">
        <v>40646</v>
      </c>
    </row>
    <row r="1035">
      <c r="A1035" s="122" t="n">
        <v>13741</v>
      </c>
      <c r="B1035" s="122" t="inlineStr">
        <is>
          <t>United Kingdom</t>
        </is>
      </c>
      <c r="C1035" s="122" t="n">
        <v>72</v>
      </c>
      <c r="D1035" s="122" t="n">
        <v>3</v>
      </c>
      <c r="E1035" s="123" t="n">
        <v>668.4299999999999</v>
      </c>
      <c r="F1035" s="124">
        <f>IF(C1035&lt;=30,5,IF(C1035&lt;=60,4,IF(C1035&lt;=120,3,IF(C1035&lt;=200,2,1))))</f>
        <v/>
      </c>
      <c r="G1035" s="124">
        <f>IF(D1035&gt;=20,5,IF(D1035&gt;=10,4,IF(D1035&gt;=5,3,IF(D1035&gt;=2,2,1))))</f>
        <v/>
      </c>
      <c r="H1035" s="124">
        <f>IF(E1035&gt;=5000,5,IF(E1035&gt;=2000,4,IF(E1035&gt;=800,3,IF(E1035&gt;=300,2,1))))</f>
        <v/>
      </c>
      <c r="I1035" s="122">
        <f>TEXT(F1035,"0")&amp;TEXT(G1035,"0")&amp;TEXT(H1035,"0")</f>
        <v/>
      </c>
      <c r="J1035" s="122">
        <f>IFERROR(XLOOKUP(I1035,'Segment Map'!A:A,'Segment Map'!B:B,"Need Attention"),"Need Attention")</f>
        <v/>
      </c>
      <c r="K1035" s="122">
        <f>IF(E1035&gt;=5000,"🏆 Platinum",IF(E1035&gt;=2000,"🥇 Gold",IF(E1035&gt;=800,"🥈 Silver","🥉 Bronze")))</f>
        <v/>
      </c>
      <c r="L1035" s="125" t="n">
        <v>40815</v>
      </c>
    </row>
    <row r="1036">
      <c r="A1036" s="126" t="n">
        <v>13742</v>
      </c>
      <c r="B1036" s="126" t="inlineStr">
        <is>
          <t>United Kingdom</t>
        </is>
      </c>
      <c r="C1036" s="126" t="n">
        <v>17</v>
      </c>
      <c r="D1036" s="126" t="n">
        <v>12</v>
      </c>
      <c r="E1036" s="127" t="n">
        <v>3131.02</v>
      </c>
      <c r="F1036" s="128">
        <f>IF(C1036&lt;=30,5,IF(C1036&lt;=60,4,IF(C1036&lt;=120,3,IF(C1036&lt;=200,2,1))))</f>
        <v/>
      </c>
      <c r="G1036" s="128">
        <f>IF(D1036&gt;=20,5,IF(D1036&gt;=10,4,IF(D1036&gt;=5,3,IF(D1036&gt;=2,2,1))))</f>
        <v/>
      </c>
      <c r="H1036" s="128">
        <f>IF(E1036&gt;=5000,5,IF(E1036&gt;=2000,4,IF(E1036&gt;=800,3,IF(E1036&gt;=300,2,1))))</f>
        <v/>
      </c>
      <c r="I1036" s="126">
        <f>TEXT(F1036,"0")&amp;TEXT(G1036,"0")&amp;TEXT(H1036,"0")</f>
        <v/>
      </c>
      <c r="J1036" s="126">
        <f>IFERROR(XLOOKUP(I1036,'Segment Map'!A:A,'Segment Map'!B:B,"Need Attention"),"Need Attention")</f>
        <v/>
      </c>
      <c r="K1036" s="126">
        <f>IF(E1036&gt;=5000,"🏆 Platinum",IF(E1036&gt;=2000,"🥇 Gold",IF(E1036&gt;=800,"🥈 Silver","🥉 Bronze")))</f>
        <v/>
      </c>
      <c r="L1036" s="129" t="n">
        <v>40870</v>
      </c>
    </row>
    <row r="1037">
      <c r="A1037" s="122" t="n">
        <v>13743</v>
      </c>
      <c r="B1037" s="122" t="inlineStr">
        <is>
          <t>United Kingdom</t>
        </is>
      </c>
      <c r="C1037" s="122" t="n">
        <v>3</v>
      </c>
      <c r="D1037" s="122" t="n">
        <v>7</v>
      </c>
      <c r="E1037" s="123" t="n">
        <v>1341.6</v>
      </c>
      <c r="F1037" s="124">
        <f>IF(C1037&lt;=30,5,IF(C1037&lt;=60,4,IF(C1037&lt;=120,3,IF(C1037&lt;=200,2,1))))</f>
        <v/>
      </c>
      <c r="G1037" s="124">
        <f>IF(D1037&gt;=20,5,IF(D1037&gt;=10,4,IF(D1037&gt;=5,3,IF(D1037&gt;=2,2,1))))</f>
        <v/>
      </c>
      <c r="H1037" s="124">
        <f>IF(E1037&gt;=5000,5,IF(E1037&gt;=2000,4,IF(E1037&gt;=800,3,IF(E1037&gt;=300,2,1))))</f>
        <v/>
      </c>
      <c r="I1037" s="122">
        <f>TEXT(F1037,"0")&amp;TEXT(G1037,"0")&amp;TEXT(H1037,"0")</f>
        <v/>
      </c>
      <c r="J1037" s="122">
        <f>IFERROR(XLOOKUP(I1037,'Segment Map'!A:A,'Segment Map'!B:B,"Need Attention"),"Need Attention")</f>
        <v/>
      </c>
      <c r="K1037" s="122">
        <f>IF(E1037&gt;=5000,"🏆 Platinum",IF(E1037&gt;=2000,"🥇 Gold",IF(E1037&gt;=800,"🥈 Silver","🥉 Bronze")))</f>
        <v/>
      </c>
      <c r="L1037" s="125" t="n">
        <v>40884</v>
      </c>
    </row>
    <row r="1038">
      <c r="A1038" s="126" t="n">
        <v>13744</v>
      </c>
      <c r="B1038" s="126" t="inlineStr">
        <is>
          <t>United Kingdom</t>
        </is>
      </c>
      <c r="C1038" s="126" t="n">
        <v>96</v>
      </c>
      <c r="D1038" s="126" t="n">
        <v>2</v>
      </c>
      <c r="E1038" s="127" t="n">
        <v>1156.36</v>
      </c>
      <c r="F1038" s="128">
        <f>IF(C1038&lt;=30,5,IF(C1038&lt;=60,4,IF(C1038&lt;=120,3,IF(C1038&lt;=200,2,1))))</f>
        <v/>
      </c>
      <c r="G1038" s="128">
        <f>IF(D1038&gt;=20,5,IF(D1038&gt;=10,4,IF(D1038&gt;=5,3,IF(D1038&gt;=2,2,1))))</f>
        <v/>
      </c>
      <c r="H1038" s="128">
        <f>IF(E1038&gt;=5000,5,IF(E1038&gt;=2000,4,IF(E1038&gt;=800,3,IF(E1038&gt;=300,2,1))))</f>
        <v/>
      </c>
      <c r="I1038" s="126">
        <f>TEXT(F1038,"0")&amp;TEXT(G1038,"0")&amp;TEXT(H1038,"0")</f>
        <v/>
      </c>
      <c r="J1038" s="126">
        <f>IFERROR(XLOOKUP(I1038,'Segment Map'!A:A,'Segment Map'!B:B,"Need Attention"),"Need Attention")</f>
        <v/>
      </c>
      <c r="K1038" s="126">
        <f>IF(E1038&gt;=5000,"🏆 Platinum",IF(E1038&gt;=2000,"🥇 Gold",IF(E1038&gt;=800,"🥈 Silver","🥉 Bronze")))</f>
        <v/>
      </c>
      <c r="L1038" s="129" t="n">
        <v>40791</v>
      </c>
    </row>
    <row r="1039">
      <c r="A1039" s="122" t="n">
        <v>13745</v>
      </c>
      <c r="B1039" s="122" t="inlineStr">
        <is>
          <t>United Kingdom</t>
        </is>
      </c>
      <c r="C1039" s="122" t="n">
        <v>163</v>
      </c>
      <c r="D1039" s="122" t="n">
        <v>1</v>
      </c>
      <c r="E1039" s="123" t="n">
        <v>300.04</v>
      </c>
      <c r="F1039" s="124">
        <f>IF(C1039&lt;=30,5,IF(C1039&lt;=60,4,IF(C1039&lt;=120,3,IF(C1039&lt;=200,2,1))))</f>
        <v/>
      </c>
      <c r="G1039" s="124">
        <f>IF(D1039&gt;=20,5,IF(D1039&gt;=10,4,IF(D1039&gt;=5,3,IF(D1039&gt;=2,2,1))))</f>
        <v/>
      </c>
      <c r="H1039" s="124">
        <f>IF(E1039&gt;=5000,5,IF(E1039&gt;=2000,4,IF(E1039&gt;=800,3,IF(E1039&gt;=300,2,1))))</f>
        <v/>
      </c>
      <c r="I1039" s="122">
        <f>TEXT(F1039,"0")&amp;TEXT(G1039,"0")&amp;TEXT(H1039,"0")</f>
        <v/>
      </c>
      <c r="J1039" s="122">
        <f>IFERROR(XLOOKUP(I1039,'Segment Map'!A:A,'Segment Map'!B:B,"Need Attention"),"Need Attention")</f>
        <v/>
      </c>
      <c r="K1039" s="122">
        <f>IF(E1039&gt;=5000,"🏆 Platinum",IF(E1039&gt;=2000,"🥇 Gold",IF(E1039&gt;=800,"🥈 Silver","🥉 Bronze")))</f>
        <v/>
      </c>
      <c r="L1039" s="125" t="n">
        <v>40724</v>
      </c>
    </row>
    <row r="1040">
      <c r="A1040" s="126" t="n">
        <v>13747</v>
      </c>
      <c r="B1040" s="126" t="inlineStr">
        <is>
          <t>United Kingdom</t>
        </is>
      </c>
      <c r="C1040" s="126" t="n">
        <v>374</v>
      </c>
      <c r="D1040" s="126" t="n">
        <v>1</v>
      </c>
      <c r="E1040" s="127" t="n">
        <v>79.59999999999999</v>
      </c>
      <c r="F1040" s="128">
        <f>IF(C1040&lt;=30,5,IF(C1040&lt;=60,4,IF(C1040&lt;=120,3,IF(C1040&lt;=200,2,1))))</f>
        <v/>
      </c>
      <c r="G1040" s="128">
        <f>IF(D1040&gt;=20,5,IF(D1040&gt;=10,4,IF(D1040&gt;=5,3,IF(D1040&gt;=2,2,1))))</f>
        <v/>
      </c>
      <c r="H1040" s="128">
        <f>IF(E1040&gt;=5000,5,IF(E1040&gt;=2000,4,IF(E1040&gt;=800,3,IF(E1040&gt;=300,2,1))))</f>
        <v/>
      </c>
      <c r="I1040" s="126">
        <f>TEXT(F1040,"0")&amp;TEXT(G1040,"0")&amp;TEXT(H1040,"0")</f>
        <v/>
      </c>
      <c r="J1040" s="126">
        <f>IFERROR(XLOOKUP(I1040,'Segment Map'!A:A,'Segment Map'!B:B,"Need Attention"),"Need Attention")</f>
        <v/>
      </c>
      <c r="K1040" s="126">
        <f>IF(E1040&gt;=5000,"🏆 Platinum",IF(E1040&gt;=2000,"🥇 Gold",IF(E1040&gt;=800,"🥈 Silver","🥉 Bronze")))</f>
        <v/>
      </c>
      <c r="L1040" s="129" t="n">
        <v>40513</v>
      </c>
    </row>
    <row r="1041">
      <c r="A1041" s="122" t="n">
        <v>13748</v>
      </c>
      <c r="B1041" s="122" t="inlineStr">
        <is>
          <t>United Kingdom</t>
        </is>
      </c>
      <c r="C1041" s="122" t="n">
        <v>96</v>
      </c>
      <c r="D1041" s="122" t="n">
        <v>5</v>
      </c>
      <c r="E1041" s="123" t="n">
        <v>948.25</v>
      </c>
      <c r="F1041" s="124">
        <f>IF(C1041&lt;=30,5,IF(C1041&lt;=60,4,IF(C1041&lt;=120,3,IF(C1041&lt;=200,2,1))))</f>
        <v/>
      </c>
      <c r="G1041" s="124">
        <f>IF(D1041&gt;=20,5,IF(D1041&gt;=10,4,IF(D1041&gt;=5,3,IF(D1041&gt;=2,2,1))))</f>
        <v/>
      </c>
      <c r="H1041" s="124">
        <f>IF(E1041&gt;=5000,5,IF(E1041&gt;=2000,4,IF(E1041&gt;=800,3,IF(E1041&gt;=300,2,1))))</f>
        <v/>
      </c>
      <c r="I1041" s="122">
        <f>TEXT(F1041,"0")&amp;TEXT(G1041,"0")&amp;TEXT(H1041,"0")</f>
        <v/>
      </c>
      <c r="J1041" s="122">
        <f>IFERROR(XLOOKUP(I1041,'Segment Map'!A:A,'Segment Map'!B:B,"Need Attention"),"Need Attention")</f>
        <v/>
      </c>
      <c r="K1041" s="122">
        <f>IF(E1041&gt;=5000,"🏆 Platinum",IF(E1041&gt;=2000,"🥇 Gold",IF(E1041&gt;=800,"🥈 Silver","🥉 Bronze")))</f>
        <v/>
      </c>
      <c r="L1041" s="125" t="n">
        <v>40791</v>
      </c>
    </row>
    <row r="1042">
      <c r="A1042" s="126" t="n">
        <v>13750</v>
      </c>
      <c r="B1042" s="126" t="inlineStr">
        <is>
          <t>United Kingdom</t>
        </is>
      </c>
      <c r="C1042" s="126" t="n">
        <v>54</v>
      </c>
      <c r="D1042" s="126" t="n">
        <v>5</v>
      </c>
      <c r="E1042" s="127" t="n">
        <v>1647.26</v>
      </c>
      <c r="F1042" s="128">
        <f>IF(C1042&lt;=30,5,IF(C1042&lt;=60,4,IF(C1042&lt;=120,3,IF(C1042&lt;=200,2,1))))</f>
        <v/>
      </c>
      <c r="G1042" s="128">
        <f>IF(D1042&gt;=20,5,IF(D1042&gt;=10,4,IF(D1042&gt;=5,3,IF(D1042&gt;=2,2,1))))</f>
        <v/>
      </c>
      <c r="H1042" s="128">
        <f>IF(E1042&gt;=5000,5,IF(E1042&gt;=2000,4,IF(E1042&gt;=800,3,IF(E1042&gt;=300,2,1))))</f>
        <v/>
      </c>
      <c r="I1042" s="126">
        <f>TEXT(F1042,"0")&amp;TEXT(G1042,"0")&amp;TEXT(H1042,"0")</f>
        <v/>
      </c>
      <c r="J1042" s="126">
        <f>IFERROR(XLOOKUP(I1042,'Segment Map'!A:A,'Segment Map'!B:B,"Need Attention"),"Need Attention")</f>
        <v/>
      </c>
      <c r="K1042" s="126">
        <f>IF(E1042&gt;=5000,"🏆 Platinum",IF(E1042&gt;=2000,"🥇 Gold",IF(E1042&gt;=800,"🥈 Silver","🥉 Bronze")))</f>
        <v/>
      </c>
      <c r="L1042" s="129" t="n">
        <v>40833</v>
      </c>
    </row>
    <row r="1043">
      <c r="A1043" s="122" t="n">
        <v>13751</v>
      </c>
      <c r="B1043" s="122" t="inlineStr">
        <is>
          <t>United Kingdom</t>
        </is>
      </c>
      <c r="C1043" s="122" t="n">
        <v>289</v>
      </c>
      <c r="D1043" s="122" t="n">
        <v>1</v>
      </c>
      <c r="E1043" s="123" t="n">
        <v>296.25</v>
      </c>
      <c r="F1043" s="124">
        <f>IF(C1043&lt;=30,5,IF(C1043&lt;=60,4,IF(C1043&lt;=120,3,IF(C1043&lt;=200,2,1))))</f>
        <v/>
      </c>
      <c r="G1043" s="124">
        <f>IF(D1043&gt;=20,5,IF(D1043&gt;=10,4,IF(D1043&gt;=5,3,IF(D1043&gt;=2,2,1))))</f>
        <v/>
      </c>
      <c r="H1043" s="124">
        <f>IF(E1043&gt;=5000,5,IF(E1043&gt;=2000,4,IF(E1043&gt;=800,3,IF(E1043&gt;=300,2,1))))</f>
        <v/>
      </c>
      <c r="I1043" s="122">
        <f>TEXT(F1043,"0")&amp;TEXT(G1043,"0")&amp;TEXT(H1043,"0")</f>
        <v/>
      </c>
      <c r="J1043" s="122">
        <f>IFERROR(XLOOKUP(I1043,'Segment Map'!A:A,'Segment Map'!B:B,"Need Attention"),"Need Attention")</f>
        <v/>
      </c>
      <c r="K1043" s="122">
        <f>IF(E1043&gt;=5000,"🏆 Platinum",IF(E1043&gt;=2000,"🥇 Gold",IF(E1043&gt;=800,"🥈 Silver","🥉 Bronze")))</f>
        <v/>
      </c>
      <c r="L1043" s="125" t="n">
        <v>40598</v>
      </c>
    </row>
    <row r="1044">
      <c r="A1044" s="126" t="n">
        <v>13752</v>
      </c>
      <c r="B1044" s="126" t="inlineStr">
        <is>
          <t>United Kingdom</t>
        </is>
      </c>
      <c r="C1044" s="126" t="n">
        <v>125</v>
      </c>
      <c r="D1044" s="126" t="n">
        <v>6</v>
      </c>
      <c r="E1044" s="127" t="n">
        <v>1186.28</v>
      </c>
      <c r="F1044" s="128">
        <f>IF(C1044&lt;=30,5,IF(C1044&lt;=60,4,IF(C1044&lt;=120,3,IF(C1044&lt;=200,2,1))))</f>
        <v/>
      </c>
      <c r="G1044" s="128">
        <f>IF(D1044&gt;=20,5,IF(D1044&gt;=10,4,IF(D1044&gt;=5,3,IF(D1044&gt;=2,2,1))))</f>
        <v/>
      </c>
      <c r="H1044" s="128">
        <f>IF(E1044&gt;=5000,5,IF(E1044&gt;=2000,4,IF(E1044&gt;=800,3,IF(E1044&gt;=300,2,1))))</f>
        <v/>
      </c>
      <c r="I1044" s="126">
        <f>TEXT(F1044,"0")&amp;TEXT(G1044,"0")&amp;TEXT(H1044,"0")</f>
        <v/>
      </c>
      <c r="J1044" s="126">
        <f>IFERROR(XLOOKUP(I1044,'Segment Map'!A:A,'Segment Map'!B:B,"Need Attention"),"Need Attention")</f>
        <v/>
      </c>
      <c r="K1044" s="126">
        <f>IF(E1044&gt;=5000,"🏆 Platinum",IF(E1044&gt;=2000,"🥇 Gold",IF(E1044&gt;=800,"🥈 Silver","🥉 Bronze")))</f>
        <v/>
      </c>
      <c r="L1044" s="129" t="n">
        <v>40762</v>
      </c>
    </row>
    <row r="1045">
      <c r="A1045" s="122" t="n">
        <v>13753</v>
      </c>
      <c r="B1045" s="122" t="inlineStr">
        <is>
          <t>United Kingdom</t>
        </is>
      </c>
      <c r="C1045" s="122" t="n">
        <v>288</v>
      </c>
      <c r="D1045" s="122" t="n">
        <v>1</v>
      </c>
      <c r="E1045" s="123" t="n">
        <v>741.26</v>
      </c>
      <c r="F1045" s="124">
        <f>IF(C1045&lt;=30,5,IF(C1045&lt;=60,4,IF(C1045&lt;=120,3,IF(C1045&lt;=200,2,1))))</f>
        <v/>
      </c>
      <c r="G1045" s="124">
        <f>IF(D1045&gt;=20,5,IF(D1045&gt;=10,4,IF(D1045&gt;=5,3,IF(D1045&gt;=2,2,1))))</f>
        <v/>
      </c>
      <c r="H1045" s="124">
        <f>IF(E1045&gt;=5000,5,IF(E1045&gt;=2000,4,IF(E1045&gt;=800,3,IF(E1045&gt;=300,2,1))))</f>
        <v/>
      </c>
      <c r="I1045" s="122">
        <f>TEXT(F1045,"0")&amp;TEXT(G1045,"0")&amp;TEXT(H1045,"0")</f>
        <v/>
      </c>
      <c r="J1045" s="122">
        <f>IFERROR(XLOOKUP(I1045,'Segment Map'!A:A,'Segment Map'!B:B,"Need Attention"),"Need Attention")</f>
        <v/>
      </c>
      <c r="K1045" s="122">
        <f>IF(E1045&gt;=5000,"🏆 Platinum",IF(E1045&gt;=2000,"🥇 Gold",IF(E1045&gt;=800,"🥈 Silver","🥉 Bronze")))</f>
        <v/>
      </c>
      <c r="L1045" s="125" t="n">
        <v>40599</v>
      </c>
    </row>
    <row r="1046">
      <c r="A1046" s="126" t="n">
        <v>13754</v>
      </c>
      <c r="B1046" s="126" t="inlineStr">
        <is>
          <t>United Kingdom</t>
        </is>
      </c>
      <c r="C1046" s="126" t="n">
        <v>152</v>
      </c>
      <c r="D1046" s="126" t="n">
        <v>2</v>
      </c>
      <c r="E1046" s="127" t="n">
        <v>282.6</v>
      </c>
      <c r="F1046" s="128">
        <f>IF(C1046&lt;=30,5,IF(C1046&lt;=60,4,IF(C1046&lt;=120,3,IF(C1046&lt;=200,2,1))))</f>
        <v/>
      </c>
      <c r="G1046" s="128">
        <f>IF(D1046&gt;=20,5,IF(D1046&gt;=10,4,IF(D1046&gt;=5,3,IF(D1046&gt;=2,2,1))))</f>
        <v/>
      </c>
      <c r="H1046" s="128">
        <f>IF(E1046&gt;=5000,5,IF(E1046&gt;=2000,4,IF(E1046&gt;=800,3,IF(E1046&gt;=300,2,1))))</f>
        <v/>
      </c>
      <c r="I1046" s="126">
        <f>TEXT(F1046,"0")&amp;TEXT(G1046,"0")&amp;TEXT(H1046,"0")</f>
        <v/>
      </c>
      <c r="J1046" s="126">
        <f>IFERROR(XLOOKUP(I1046,'Segment Map'!A:A,'Segment Map'!B:B,"Need Attention"),"Need Attention")</f>
        <v/>
      </c>
      <c r="K1046" s="126">
        <f>IF(E1046&gt;=5000,"🏆 Platinum",IF(E1046&gt;=2000,"🥇 Gold",IF(E1046&gt;=800,"🥈 Silver","🥉 Bronze")))</f>
        <v/>
      </c>
      <c r="L1046" s="129" t="n">
        <v>40735</v>
      </c>
    </row>
    <row r="1047">
      <c r="A1047" s="122" t="n">
        <v>13755</v>
      </c>
      <c r="B1047" s="122" t="inlineStr">
        <is>
          <t>United Kingdom</t>
        </is>
      </c>
      <c r="C1047" s="122" t="n">
        <v>4</v>
      </c>
      <c r="D1047" s="122" t="n">
        <v>9</v>
      </c>
      <c r="E1047" s="123" t="n">
        <v>2161.35</v>
      </c>
      <c r="F1047" s="124">
        <f>IF(C1047&lt;=30,5,IF(C1047&lt;=60,4,IF(C1047&lt;=120,3,IF(C1047&lt;=200,2,1))))</f>
        <v/>
      </c>
      <c r="G1047" s="124">
        <f>IF(D1047&gt;=20,5,IF(D1047&gt;=10,4,IF(D1047&gt;=5,3,IF(D1047&gt;=2,2,1))))</f>
        <v/>
      </c>
      <c r="H1047" s="124">
        <f>IF(E1047&gt;=5000,5,IF(E1047&gt;=2000,4,IF(E1047&gt;=800,3,IF(E1047&gt;=300,2,1))))</f>
        <v/>
      </c>
      <c r="I1047" s="122">
        <f>TEXT(F1047,"0")&amp;TEXT(G1047,"0")&amp;TEXT(H1047,"0")</f>
        <v/>
      </c>
      <c r="J1047" s="122">
        <f>IFERROR(XLOOKUP(I1047,'Segment Map'!A:A,'Segment Map'!B:B,"Need Attention"),"Need Attention")</f>
        <v/>
      </c>
      <c r="K1047" s="122">
        <f>IF(E1047&gt;=5000,"🏆 Platinum",IF(E1047&gt;=2000,"🥇 Gold",IF(E1047&gt;=800,"🥈 Silver","🥉 Bronze")))</f>
        <v/>
      </c>
      <c r="L1047" s="125" t="n">
        <v>40883</v>
      </c>
    </row>
    <row r="1048">
      <c r="A1048" s="126" t="n">
        <v>13756</v>
      </c>
      <c r="B1048" s="126" t="inlineStr">
        <is>
          <t>United Kingdom</t>
        </is>
      </c>
      <c r="C1048" s="126" t="n">
        <v>3</v>
      </c>
      <c r="D1048" s="126" t="n">
        <v>14</v>
      </c>
      <c r="E1048" s="127" t="n">
        <v>5189.52</v>
      </c>
      <c r="F1048" s="128">
        <f>IF(C1048&lt;=30,5,IF(C1048&lt;=60,4,IF(C1048&lt;=120,3,IF(C1048&lt;=200,2,1))))</f>
        <v/>
      </c>
      <c r="G1048" s="128">
        <f>IF(D1048&gt;=20,5,IF(D1048&gt;=10,4,IF(D1048&gt;=5,3,IF(D1048&gt;=2,2,1))))</f>
        <v/>
      </c>
      <c r="H1048" s="128">
        <f>IF(E1048&gt;=5000,5,IF(E1048&gt;=2000,4,IF(E1048&gt;=800,3,IF(E1048&gt;=300,2,1))))</f>
        <v/>
      </c>
      <c r="I1048" s="126">
        <f>TEXT(F1048,"0")&amp;TEXT(G1048,"0")&amp;TEXT(H1048,"0")</f>
        <v/>
      </c>
      <c r="J1048" s="126">
        <f>IFERROR(XLOOKUP(I1048,'Segment Map'!A:A,'Segment Map'!B:B,"Need Attention"),"Need Attention")</f>
        <v/>
      </c>
      <c r="K1048" s="126">
        <f>IF(E1048&gt;=5000,"🏆 Platinum",IF(E1048&gt;=2000,"🥇 Gold",IF(E1048&gt;=800,"🥈 Silver","🥉 Bronze")))</f>
        <v/>
      </c>
      <c r="L1048" s="129" t="n">
        <v>40884</v>
      </c>
    </row>
    <row r="1049">
      <c r="A1049" s="122" t="n">
        <v>13758</v>
      </c>
      <c r="B1049" s="122" t="inlineStr">
        <is>
          <t>United Kingdom</t>
        </is>
      </c>
      <c r="C1049" s="122" t="n">
        <v>12</v>
      </c>
      <c r="D1049" s="122" t="n">
        <v>7</v>
      </c>
      <c r="E1049" s="123" t="n">
        <v>3190.55</v>
      </c>
      <c r="F1049" s="124">
        <f>IF(C1049&lt;=30,5,IF(C1049&lt;=60,4,IF(C1049&lt;=120,3,IF(C1049&lt;=200,2,1))))</f>
        <v/>
      </c>
      <c r="G1049" s="124">
        <f>IF(D1049&gt;=20,5,IF(D1049&gt;=10,4,IF(D1049&gt;=5,3,IF(D1049&gt;=2,2,1))))</f>
        <v/>
      </c>
      <c r="H1049" s="124">
        <f>IF(E1049&gt;=5000,5,IF(E1049&gt;=2000,4,IF(E1049&gt;=800,3,IF(E1049&gt;=300,2,1))))</f>
        <v/>
      </c>
      <c r="I1049" s="122">
        <f>TEXT(F1049,"0")&amp;TEXT(G1049,"0")&amp;TEXT(H1049,"0")</f>
        <v/>
      </c>
      <c r="J1049" s="122">
        <f>IFERROR(XLOOKUP(I1049,'Segment Map'!A:A,'Segment Map'!B:B,"Need Attention"),"Need Attention")</f>
        <v/>
      </c>
      <c r="K1049" s="122">
        <f>IF(E1049&gt;=5000,"🏆 Platinum",IF(E1049&gt;=2000,"🥇 Gold",IF(E1049&gt;=800,"🥈 Silver","🥉 Bronze")))</f>
        <v/>
      </c>
      <c r="L1049" s="125" t="n">
        <v>40875</v>
      </c>
    </row>
    <row r="1050">
      <c r="A1050" s="126" t="n">
        <v>13759</v>
      </c>
      <c r="B1050" s="126" t="inlineStr">
        <is>
          <t>United Kingdom</t>
        </is>
      </c>
      <c r="C1050" s="126" t="n">
        <v>34</v>
      </c>
      <c r="D1050" s="126" t="n">
        <v>2</v>
      </c>
      <c r="E1050" s="127" t="n">
        <v>659.41</v>
      </c>
      <c r="F1050" s="128">
        <f>IF(C1050&lt;=30,5,IF(C1050&lt;=60,4,IF(C1050&lt;=120,3,IF(C1050&lt;=200,2,1))))</f>
        <v/>
      </c>
      <c r="G1050" s="128">
        <f>IF(D1050&gt;=20,5,IF(D1050&gt;=10,4,IF(D1050&gt;=5,3,IF(D1050&gt;=2,2,1))))</f>
        <v/>
      </c>
      <c r="H1050" s="128">
        <f>IF(E1050&gt;=5000,5,IF(E1050&gt;=2000,4,IF(E1050&gt;=800,3,IF(E1050&gt;=300,2,1))))</f>
        <v/>
      </c>
      <c r="I1050" s="126">
        <f>TEXT(F1050,"0")&amp;TEXT(G1050,"0")&amp;TEXT(H1050,"0")</f>
        <v/>
      </c>
      <c r="J1050" s="126">
        <f>IFERROR(XLOOKUP(I1050,'Segment Map'!A:A,'Segment Map'!B:B,"Need Attention"),"Need Attention")</f>
        <v/>
      </c>
      <c r="K1050" s="126">
        <f>IF(E1050&gt;=5000,"🏆 Platinum",IF(E1050&gt;=2000,"🥇 Gold",IF(E1050&gt;=800,"🥈 Silver","🥉 Bronze")))</f>
        <v/>
      </c>
      <c r="L1050" s="129" t="n">
        <v>40853</v>
      </c>
    </row>
    <row r="1051">
      <c r="A1051" s="122" t="n">
        <v>13760</v>
      </c>
      <c r="B1051" s="122" t="inlineStr">
        <is>
          <t>United Kingdom</t>
        </is>
      </c>
      <c r="C1051" s="122" t="n">
        <v>55</v>
      </c>
      <c r="D1051" s="122" t="n">
        <v>2</v>
      </c>
      <c r="E1051" s="123" t="n">
        <v>286.79</v>
      </c>
      <c r="F1051" s="124">
        <f>IF(C1051&lt;=30,5,IF(C1051&lt;=60,4,IF(C1051&lt;=120,3,IF(C1051&lt;=200,2,1))))</f>
        <v/>
      </c>
      <c r="G1051" s="124">
        <f>IF(D1051&gt;=20,5,IF(D1051&gt;=10,4,IF(D1051&gt;=5,3,IF(D1051&gt;=2,2,1))))</f>
        <v/>
      </c>
      <c r="H1051" s="124">
        <f>IF(E1051&gt;=5000,5,IF(E1051&gt;=2000,4,IF(E1051&gt;=800,3,IF(E1051&gt;=300,2,1))))</f>
        <v/>
      </c>
      <c r="I1051" s="122">
        <f>TEXT(F1051,"0")&amp;TEXT(G1051,"0")&amp;TEXT(H1051,"0")</f>
        <v/>
      </c>
      <c r="J1051" s="122">
        <f>IFERROR(XLOOKUP(I1051,'Segment Map'!A:A,'Segment Map'!B:B,"Need Attention"),"Need Attention")</f>
        <v/>
      </c>
      <c r="K1051" s="122">
        <f>IF(E1051&gt;=5000,"🏆 Platinum",IF(E1051&gt;=2000,"🥇 Gold",IF(E1051&gt;=800,"🥈 Silver","🥉 Bronze")))</f>
        <v/>
      </c>
      <c r="L1051" s="125" t="n">
        <v>40832</v>
      </c>
    </row>
    <row r="1052">
      <c r="A1052" s="126" t="n">
        <v>13761</v>
      </c>
      <c r="B1052" s="126" t="inlineStr">
        <is>
          <t>United Kingdom</t>
        </is>
      </c>
      <c r="C1052" s="126" t="n">
        <v>51</v>
      </c>
      <c r="D1052" s="126" t="n">
        <v>2</v>
      </c>
      <c r="E1052" s="127" t="n">
        <v>1070.65</v>
      </c>
      <c r="F1052" s="128">
        <f>IF(C1052&lt;=30,5,IF(C1052&lt;=60,4,IF(C1052&lt;=120,3,IF(C1052&lt;=200,2,1))))</f>
        <v/>
      </c>
      <c r="G1052" s="128">
        <f>IF(D1052&gt;=20,5,IF(D1052&gt;=10,4,IF(D1052&gt;=5,3,IF(D1052&gt;=2,2,1))))</f>
        <v/>
      </c>
      <c r="H1052" s="128">
        <f>IF(E1052&gt;=5000,5,IF(E1052&gt;=2000,4,IF(E1052&gt;=800,3,IF(E1052&gt;=300,2,1))))</f>
        <v/>
      </c>
      <c r="I1052" s="126">
        <f>TEXT(F1052,"0")&amp;TEXT(G1052,"0")&amp;TEXT(H1052,"0")</f>
        <v/>
      </c>
      <c r="J1052" s="126">
        <f>IFERROR(XLOOKUP(I1052,'Segment Map'!A:A,'Segment Map'!B:B,"Need Attention"),"Need Attention")</f>
        <v/>
      </c>
      <c r="K1052" s="126">
        <f>IF(E1052&gt;=5000,"🏆 Platinum",IF(E1052&gt;=2000,"🥇 Gold",IF(E1052&gt;=800,"🥈 Silver","🥉 Bronze")))</f>
        <v/>
      </c>
      <c r="L1052" s="129" t="n">
        <v>40836</v>
      </c>
    </row>
    <row r="1053">
      <c r="A1053" s="122" t="n">
        <v>13762</v>
      </c>
      <c r="B1053" s="122" t="inlineStr">
        <is>
          <t>United Kingdom</t>
        </is>
      </c>
      <c r="C1053" s="122" t="n">
        <v>219</v>
      </c>
      <c r="D1053" s="122" t="n">
        <v>1</v>
      </c>
      <c r="E1053" s="123" t="n">
        <v>306.72</v>
      </c>
      <c r="F1053" s="124">
        <f>IF(C1053&lt;=30,5,IF(C1053&lt;=60,4,IF(C1053&lt;=120,3,IF(C1053&lt;=200,2,1))))</f>
        <v/>
      </c>
      <c r="G1053" s="124">
        <f>IF(D1053&gt;=20,5,IF(D1053&gt;=10,4,IF(D1053&gt;=5,3,IF(D1053&gt;=2,2,1))))</f>
        <v/>
      </c>
      <c r="H1053" s="124">
        <f>IF(E1053&gt;=5000,5,IF(E1053&gt;=2000,4,IF(E1053&gt;=800,3,IF(E1053&gt;=300,2,1))))</f>
        <v/>
      </c>
      <c r="I1053" s="122">
        <f>TEXT(F1053,"0")&amp;TEXT(G1053,"0")&amp;TEXT(H1053,"0")</f>
        <v/>
      </c>
      <c r="J1053" s="122">
        <f>IFERROR(XLOOKUP(I1053,'Segment Map'!A:A,'Segment Map'!B:B,"Need Attention"),"Need Attention")</f>
        <v/>
      </c>
      <c r="K1053" s="122">
        <f>IF(E1053&gt;=5000,"🏆 Platinum",IF(E1053&gt;=2000,"🥇 Gold",IF(E1053&gt;=800,"🥈 Silver","🥉 Bronze")))</f>
        <v/>
      </c>
      <c r="L1053" s="125" t="n">
        <v>40668</v>
      </c>
    </row>
    <row r="1054">
      <c r="A1054" s="126" t="n">
        <v>13763</v>
      </c>
      <c r="B1054" s="126" t="inlineStr">
        <is>
          <t>United Kingdom</t>
        </is>
      </c>
      <c r="C1054" s="126" t="n">
        <v>64</v>
      </c>
      <c r="D1054" s="126" t="n">
        <v>1</v>
      </c>
      <c r="E1054" s="127" t="n">
        <v>1714.96</v>
      </c>
      <c r="F1054" s="128">
        <f>IF(C1054&lt;=30,5,IF(C1054&lt;=60,4,IF(C1054&lt;=120,3,IF(C1054&lt;=200,2,1))))</f>
        <v/>
      </c>
      <c r="G1054" s="128">
        <f>IF(D1054&gt;=20,5,IF(D1054&gt;=10,4,IF(D1054&gt;=5,3,IF(D1054&gt;=2,2,1))))</f>
        <v/>
      </c>
      <c r="H1054" s="128">
        <f>IF(E1054&gt;=5000,5,IF(E1054&gt;=2000,4,IF(E1054&gt;=800,3,IF(E1054&gt;=300,2,1))))</f>
        <v/>
      </c>
      <c r="I1054" s="126">
        <f>TEXT(F1054,"0")&amp;TEXT(G1054,"0")&amp;TEXT(H1054,"0")</f>
        <v/>
      </c>
      <c r="J1054" s="126">
        <f>IFERROR(XLOOKUP(I1054,'Segment Map'!A:A,'Segment Map'!B:B,"Need Attention"),"Need Attention")</f>
        <v/>
      </c>
      <c r="K1054" s="126">
        <f>IF(E1054&gt;=5000,"🏆 Platinum",IF(E1054&gt;=2000,"🥇 Gold",IF(E1054&gt;=800,"🥈 Silver","🥉 Bronze")))</f>
        <v/>
      </c>
      <c r="L1054" s="129" t="n">
        <v>40823</v>
      </c>
    </row>
    <row r="1055">
      <c r="A1055" s="122" t="n">
        <v>13764</v>
      </c>
      <c r="B1055" s="122" t="inlineStr">
        <is>
          <t>United Kingdom</t>
        </is>
      </c>
      <c r="C1055" s="122" t="n">
        <v>71</v>
      </c>
      <c r="D1055" s="122" t="n">
        <v>3</v>
      </c>
      <c r="E1055" s="123" t="n">
        <v>1521.76</v>
      </c>
      <c r="F1055" s="124">
        <f>IF(C1055&lt;=30,5,IF(C1055&lt;=60,4,IF(C1055&lt;=120,3,IF(C1055&lt;=200,2,1))))</f>
        <v/>
      </c>
      <c r="G1055" s="124">
        <f>IF(D1055&gt;=20,5,IF(D1055&gt;=10,4,IF(D1055&gt;=5,3,IF(D1055&gt;=2,2,1))))</f>
        <v/>
      </c>
      <c r="H1055" s="124">
        <f>IF(E1055&gt;=5000,5,IF(E1055&gt;=2000,4,IF(E1055&gt;=800,3,IF(E1055&gt;=300,2,1))))</f>
        <v/>
      </c>
      <c r="I1055" s="122">
        <f>TEXT(F1055,"0")&amp;TEXT(G1055,"0")&amp;TEXT(H1055,"0")</f>
        <v/>
      </c>
      <c r="J1055" s="122">
        <f>IFERROR(XLOOKUP(I1055,'Segment Map'!A:A,'Segment Map'!B:B,"Need Attention"),"Need Attention")</f>
        <v/>
      </c>
      <c r="K1055" s="122">
        <f>IF(E1055&gt;=5000,"🏆 Platinum",IF(E1055&gt;=2000,"🥇 Gold",IF(E1055&gt;=800,"🥈 Silver","🥉 Bronze")))</f>
        <v/>
      </c>
      <c r="L1055" s="125" t="n">
        <v>40816</v>
      </c>
    </row>
    <row r="1056">
      <c r="A1056" s="126" t="n">
        <v>13767</v>
      </c>
      <c r="B1056" s="126" t="inlineStr">
        <is>
          <t>United Kingdom</t>
        </is>
      </c>
      <c r="C1056" s="126" t="n">
        <v>3</v>
      </c>
      <c r="D1056" s="126" t="n">
        <v>37</v>
      </c>
      <c r="E1056" s="127" t="n">
        <v>17220.36</v>
      </c>
      <c r="F1056" s="128">
        <f>IF(C1056&lt;=30,5,IF(C1056&lt;=60,4,IF(C1056&lt;=120,3,IF(C1056&lt;=200,2,1))))</f>
        <v/>
      </c>
      <c r="G1056" s="128">
        <f>IF(D1056&gt;=20,5,IF(D1056&gt;=10,4,IF(D1056&gt;=5,3,IF(D1056&gt;=2,2,1))))</f>
        <v/>
      </c>
      <c r="H1056" s="128">
        <f>IF(E1056&gt;=5000,5,IF(E1056&gt;=2000,4,IF(E1056&gt;=800,3,IF(E1056&gt;=300,2,1))))</f>
        <v/>
      </c>
      <c r="I1056" s="126">
        <f>TEXT(F1056,"0")&amp;TEXT(G1056,"0")&amp;TEXT(H1056,"0")</f>
        <v/>
      </c>
      <c r="J1056" s="126">
        <f>IFERROR(XLOOKUP(I1056,'Segment Map'!A:A,'Segment Map'!B:B,"Need Attention"),"Need Attention")</f>
        <v/>
      </c>
      <c r="K1056" s="126">
        <f>IF(E1056&gt;=5000,"🏆 Platinum",IF(E1056&gt;=2000,"🥇 Gold",IF(E1056&gt;=800,"🥈 Silver","🥉 Bronze")))</f>
        <v/>
      </c>
      <c r="L1056" s="129" t="n">
        <v>40884</v>
      </c>
    </row>
    <row r="1057">
      <c r="A1057" s="122" t="n">
        <v>13769</v>
      </c>
      <c r="B1057" s="122" t="inlineStr">
        <is>
          <t>United Kingdom</t>
        </is>
      </c>
      <c r="C1057" s="122" t="n">
        <v>3</v>
      </c>
      <c r="D1057" s="122" t="n">
        <v>10</v>
      </c>
      <c r="E1057" s="123" t="n">
        <v>2796.51</v>
      </c>
      <c r="F1057" s="124">
        <f>IF(C1057&lt;=30,5,IF(C1057&lt;=60,4,IF(C1057&lt;=120,3,IF(C1057&lt;=200,2,1))))</f>
        <v/>
      </c>
      <c r="G1057" s="124">
        <f>IF(D1057&gt;=20,5,IF(D1057&gt;=10,4,IF(D1057&gt;=5,3,IF(D1057&gt;=2,2,1))))</f>
        <v/>
      </c>
      <c r="H1057" s="124">
        <f>IF(E1057&gt;=5000,5,IF(E1057&gt;=2000,4,IF(E1057&gt;=800,3,IF(E1057&gt;=300,2,1))))</f>
        <v/>
      </c>
      <c r="I1057" s="122">
        <f>TEXT(F1057,"0")&amp;TEXT(G1057,"0")&amp;TEXT(H1057,"0")</f>
        <v/>
      </c>
      <c r="J1057" s="122">
        <f>IFERROR(XLOOKUP(I1057,'Segment Map'!A:A,'Segment Map'!B:B,"Need Attention"),"Need Attention")</f>
        <v/>
      </c>
      <c r="K1057" s="122">
        <f>IF(E1057&gt;=5000,"🏆 Platinum",IF(E1057&gt;=2000,"🥇 Gold",IF(E1057&gt;=800,"🥈 Silver","🥉 Bronze")))</f>
        <v/>
      </c>
      <c r="L1057" s="125" t="n">
        <v>40884</v>
      </c>
    </row>
    <row r="1058">
      <c r="A1058" s="126" t="n">
        <v>13771</v>
      </c>
      <c r="B1058" s="126" t="inlineStr">
        <is>
          <t>United Kingdom</t>
        </is>
      </c>
      <c r="C1058" s="126" t="n">
        <v>65</v>
      </c>
      <c r="D1058" s="126" t="n">
        <v>4</v>
      </c>
      <c r="E1058" s="127" t="n">
        <v>2634.45</v>
      </c>
      <c r="F1058" s="128">
        <f>IF(C1058&lt;=30,5,IF(C1058&lt;=60,4,IF(C1058&lt;=120,3,IF(C1058&lt;=200,2,1))))</f>
        <v/>
      </c>
      <c r="G1058" s="128">
        <f>IF(D1058&gt;=20,5,IF(D1058&gt;=10,4,IF(D1058&gt;=5,3,IF(D1058&gt;=2,2,1))))</f>
        <v/>
      </c>
      <c r="H1058" s="128">
        <f>IF(E1058&gt;=5000,5,IF(E1058&gt;=2000,4,IF(E1058&gt;=800,3,IF(E1058&gt;=300,2,1))))</f>
        <v/>
      </c>
      <c r="I1058" s="126">
        <f>TEXT(F1058,"0")&amp;TEXT(G1058,"0")&amp;TEXT(H1058,"0")</f>
        <v/>
      </c>
      <c r="J1058" s="126">
        <f>IFERROR(XLOOKUP(I1058,'Segment Map'!A:A,'Segment Map'!B:B,"Need Attention"),"Need Attention")</f>
        <v/>
      </c>
      <c r="K1058" s="126">
        <f>IF(E1058&gt;=5000,"🏆 Platinum",IF(E1058&gt;=2000,"🥇 Gold",IF(E1058&gt;=800,"🥈 Silver","🥉 Bronze")))</f>
        <v/>
      </c>
      <c r="L1058" s="129" t="n">
        <v>40822</v>
      </c>
    </row>
    <row r="1059">
      <c r="A1059" s="122" t="n">
        <v>13772</v>
      </c>
      <c r="B1059" s="122" t="inlineStr">
        <is>
          <t>United Kingdom</t>
        </is>
      </c>
      <c r="C1059" s="122" t="n">
        <v>34</v>
      </c>
      <c r="D1059" s="122" t="n">
        <v>3</v>
      </c>
      <c r="E1059" s="123" t="n">
        <v>1132.13</v>
      </c>
      <c r="F1059" s="124">
        <f>IF(C1059&lt;=30,5,IF(C1059&lt;=60,4,IF(C1059&lt;=120,3,IF(C1059&lt;=200,2,1))))</f>
        <v/>
      </c>
      <c r="G1059" s="124">
        <f>IF(D1059&gt;=20,5,IF(D1059&gt;=10,4,IF(D1059&gt;=5,3,IF(D1059&gt;=2,2,1))))</f>
        <v/>
      </c>
      <c r="H1059" s="124">
        <f>IF(E1059&gt;=5000,5,IF(E1059&gt;=2000,4,IF(E1059&gt;=800,3,IF(E1059&gt;=300,2,1))))</f>
        <v/>
      </c>
      <c r="I1059" s="122">
        <f>TEXT(F1059,"0")&amp;TEXT(G1059,"0")&amp;TEXT(H1059,"0")</f>
        <v/>
      </c>
      <c r="J1059" s="122">
        <f>IFERROR(XLOOKUP(I1059,'Segment Map'!A:A,'Segment Map'!B:B,"Need Attention"),"Need Attention")</f>
        <v/>
      </c>
      <c r="K1059" s="122">
        <f>IF(E1059&gt;=5000,"🏆 Platinum",IF(E1059&gt;=2000,"🥇 Gold",IF(E1059&gt;=800,"🥈 Silver","🥉 Bronze")))</f>
        <v/>
      </c>
      <c r="L1059" s="125" t="n">
        <v>40853</v>
      </c>
    </row>
    <row r="1060">
      <c r="A1060" s="126" t="n">
        <v>13774</v>
      </c>
      <c r="B1060" s="126" t="inlineStr">
        <is>
          <t>United Kingdom</t>
        </is>
      </c>
      <c r="C1060" s="126" t="n">
        <v>82</v>
      </c>
      <c r="D1060" s="126" t="n">
        <v>1</v>
      </c>
      <c r="E1060" s="127" t="n">
        <v>345</v>
      </c>
      <c r="F1060" s="128">
        <f>IF(C1060&lt;=30,5,IF(C1060&lt;=60,4,IF(C1060&lt;=120,3,IF(C1060&lt;=200,2,1))))</f>
        <v/>
      </c>
      <c r="G1060" s="128">
        <f>IF(D1060&gt;=20,5,IF(D1060&gt;=10,4,IF(D1060&gt;=5,3,IF(D1060&gt;=2,2,1))))</f>
        <v/>
      </c>
      <c r="H1060" s="128">
        <f>IF(E1060&gt;=5000,5,IF(E1060&gt;=2000,4,IF(E1060&gt;=800,3,IF(E1060&gt;=300,2,1))))</f>
        <v/>
      </c>
      <c r="I1060" s="126">
        <f>TEXT(F1060,"0")&amp;TEXT(G1060,"0")&amp;TEXT(H1060,"0")</f>
        <v/>
      </c>
      <c r="J1060" s="126">
        <f>IFERROR(XLOOKUP(I1060,'Segment Map'!A:A,'Segment Map'!B:B,"Need Attention"),"Need Attention")</f>
        <v/>
      </c>
      <c r="K1060" s="126">
        <f>IF(E1060&gt;=5000,"🏆 Platinum",IF(E1060&gt;=2000,"🥇 Gold",IF(E1060&gt;=800,"🥈 Silver","🥉 Bronze")))</f>
        <v/>
      </c>
      <c r="L1060" s="129" t="n">
        <v>40805</v>
      </c>
    </row>
    <row r="1061">
      <c r="A1061" s="122" t="n">
        <v>13777</v>
      </c>
      <c r="B1061" s="122" t="inlineStr">
        <is>
          <t>United Kingdom</t>
        </is>
      </c>
      <c r="C1061" s="122" t="n">
        <v>1</v>
      </c>
      <c r="D1061" s="122" t="n">
        <v>33</v>
      </c>
      <c r="E1061" s="123" t="n">
        <v>25977.16</v>
      </c>
      <c r="F1061" s="124">
        <f>IF(C1061&lt;=30,5,IF(C1061&lt;=60,4,IF(C1061&lt;=120,3,IF(C1061&lt;=200,2,1))))</f>
        <v/>
      </c>
      <c r="G1061" s="124">
        <f>IF(D1061&gt;=20,5,IF(D1061&gt;=10,4,IF(D1061&gt;=5,3,IF(D1061&gt;=2,2,1))))</f>
        <v/>
      </c>
      <c r="H1061" s="124">
        <f>IF(E1061&gt;=5000,5,IF(E1061&gt;=2000,4,IF(E1061&gt;=800,3,IF(E1061&gt;=300,2,1))))</f>
        <v/>
      </c>
      <c r="I1061" s="122">
        <f>TEXT(F1061,"0")&amp;TEXT(G1061,"0")&amp;TEXT(H1061,"0")</f>
        <v/>
      </c>
      <c r="J1061" s="122">
        <f>IFERROR(XLOOKUP(I1061,'Segment Map'!A:A,'Segment Map'!B:B,"Need Attention"),"Need Attention")</f>
        <v/>
      </c>
      <c r="K1061" s="122">
        <f>IF(E1061&gt;=5000,"🏆 Platinum",IF(E1061&gt;=2000,"🥇 Gold",IF(E1061&gt;=800,"🥈 Silver","🥉 Bronze")))</f>
        <v/>
      </c>
      <c r="L1061" s="125" t="n">
        <v>40886</v>
      </c>
    </row>
    <row r="1062">
      <c r="A1062" s="126" t="n">
        <v>13778</v>
      </c>
      <c r="B1062" s="126" t="inlineStr">
        <is>
          <t>United Kingdom</t>
        </is>
      </c>
      <c r="C1062" s="126" t="n">
        <v>104</v>
      </c>
      <c r="D1062" s="126" t="n">
        <v>1</v>
      </c>
      <c r="E1062" s="127" t="n">
        <v>178.7</v>
      </c>
      <c r="F1062" s="128">
        <f>IF(C1062&lt;=30,5,IF(C1062&lt;=60,4,IF(C1062&lt;=120,3,IF(C1062&lt;=200,2,1))))</f>
        <v/>
      </c>
      <c r="G1062" s="128">
        <f>IF(D1062&gt;=20,5,IF(D1062&gt;=10,4,IF(D1062&gt;=5,3,IF(D1062&gt;=2,2,1))))</f>
        <v/>
      </c>
      <c r="H1062" s="128">
        <f>IF(E1062&gt;=5000,5,IF(E1062&gt;=2000,4,IF(E1062&gt;=800,3,IF(E1062&gt;=300,2,1))))</f>
        <v/>
      </c>
      <c r="I1062" s="126">
        <f>TEXT(F1062,"0")&amp;TEXT(G1062,"0")&amp;TEXT(H1062,"0")</f>
        <v/>
      </c>
      <c r="J1062" s="126">
        <f>IFERROR(XLOOKUP(I1062,'Segment Map'!A:A,'Segment Map'!B:B,"Need Attention"),"Need Attention")</f>
        <v/>
      </c>
      <c r="K1062" s="126">
        <f>IF(E1062&gt;=5000,"🏆 Platinum",IF(E1062&gt;=2000,"🥇 Gold",IF(E1062&gt;=800,"🥈 Silver","🥉 Bronze")))</f>
        <v/>
      </c>
      <c r="L1062" s="129" t="n">
        <v>40783</v>
      </c>
    </row>
    <row r="1063">
      <c r="A1063" s="122" t="n">
        <v>13780</v>
      </c>
      <c r="B1063" s="122" t="inlineStr">
        <is>
          <t>United Kingdom</t>
        </is>
      </c>
      <c r="C1063" s="122" t="n">
        <v>8</v>
      </c>
      <c r="D1063" s="122" t="n">
        <v>2</v>
      </c>
      <c r="E1063" s="123" t="n">
        <v>360.01</v>
      </c>
      <c r="F1063" s="124">
        <f>IF(C1063&lt;=30,5,IF(C1063&lt;=60,4,IF(C1063&lt;=120,3,IF(C1063&lt;=200,2,1))))</f>
        <v/>
      </c>
      <c r="G1063" s="124">
        <f>IF(D1063&gt;=20,5,IF(D1063&gt;=10,4,IF(D1063&gt;=5,3,IF(D1063&gt;=2,2,1))))</f>
        <v/>
      </c>
      <c r="H1063" s="124">
        <f>IF(E1063&gt;=5000,5,IF(E1063&gt;=2000,4,IF(E1063&gt;=800,3,IF(E1063&gt;=300,2,1))))</f>
        <v/>
      </c>
      <c r="I1063" s="122">
        <f>TEXT(F1063,"0")&amp;TEXT(G1063,"0")&amp;TEXT(H1063,"0")</f>
        <v/>
      </c>
      <c r="J1063" s="122">
        <f>IFERROR(XLOOKUP(I1063,'Segment Map'!A:A,'Segment Map'!B:B,"Need Attention"),"Need Attention")</f>
        <v/>
      </c>
      <c r="K1063" s="122">
        <f>IF(E1063&gt;=5000,"🏆 Platinum",IF(E1063&gt;=2000,"🥇 Gold",IF(E1063&gt;=800,"🥈 Silver","🥉 Bronze")))</f>
        <v/>
      </c>
      <c r="L1063" s="125" t="n">
        <v>40879</v>
      </c>
    </row>
    <row r="1064">
      <c r="A1064" s="126" t="n">
        <v>13781</v>
      </c>
      <c r="B1064" s="126" t="inlineStr">
        <is>
          <t>United Kingdom</t>
        </is>
      </c>
      <c r="C1064" s="126" t="n">
        <v>251</v>
      </c>
      <c r="D1064" s="126" t="n">
        <v>1</v>
      </c>
      <c r="E1064" s="127" t="n">
        <v>127.84</v>
      </c>
      <c r="F1064" s="128">
        <f>IF(C1064&lt;=30,5,IF(C1064&lt;=60,4,IF(C1064&lt;=120,3,IF(C1064&lt;=200,2,1))))</f>
        <v/>
      </c>
      <c r="G1064" s="128">
        <f>IF(D1064&gt;=20,5,IF(D1064&gt;=10,4,IF(D1064&gt;=5,3,IF(D1064&gt;=2,2,1))))</f>
        <v/>
      </c>
      <c r="H1064" s="128">
        <f>IF(E1064&gt;=5000,5,IF(E1064&gt;=2000,4,IF(E1064&gt;=800,3,IF(E1064&gt;=300,2,1))))</f>
        <v/>
      </c>
      <c r="I1064" s="126">
        <f>TEXT(F1064,"0")&amp;TEXT(G1064,"0")&amp;TEXT(H1064,"0")</f>
        <v/>
      </c>
      <c r="J1064" s="126">
        <f>IFERROR(XLOOKUP(I1064,'Segment Map'!A:A,'Segment Map'!B:B,"Need Attention"),"Need Attention")</f>
        <v/>
      </c>
      <c r="K1064" s="126">
        <f>IF(E1064&gt;=5000,"🏆 Platinum",IF(E1064&gt;=2000,"🥇 Gold",IF(E1064&gt;=800,"🥈 Silver","🥉 Bronze")))</f>
        <v/>
      </c>
      <c r="L1064" s="129" t="n">
        <v>40636</v>
      </c>
    </row>
    <row r="1065">
      <c r="A1065" s="122" t="n">
        <v>13782</v>
      </c>
      <c r="B1065" s="122" t="inlineStr">
        <is>
          <t>United Kingdom</t>
        </is>
      </c>
      <c r="C1065" s="122" t="n">
        <v>13</v>
      </c>
      <c r="D1065" s="122" t="n">
        <v>6</v>
      </c>
      <c r="E1065" s="123" t="n">
        <v>912</v>
      </c>
      <c r="F1065" s="124">
        <f>IF(C1065&lt;=30,5,IF(C1065&lt;=60,4,IF(C1065&lt;=120,3,IF(C1065&lt;=200,2,1))))</f>
        <v/>
      </c>
      <c r="G1065" s="124">
        <f>IF(D1065&gt;=20,5,IF(D1065&gt;=10,4,IF(D1065&gt;=5,3,IF(D1065&gt;=2,2,1))))</f>
        <v/>
      </c>
      <c r="H1065" s="124">
        <f>IF(E1065&gt;=5000,5,IF(E1065&gt;=2000,4,IF(E1065&gt;=800,3,IF(E1065&gt;=300,2,1))))</f>
        <v/>
      </c>
      <c r="I1065" s="122">
        <f>TEXT(F1065,"0")&amp;TEXT(G1065,"0")&amp;TEXT(H1065,"0")</f>
        <v/>
      </c>
      <c r="J1065" s="122">
        <f>IFERROR(XLOOKUP(I1065,'Segment Map'!A:A,'Segment Map'!B:B,"Need Attention"),"Need Attention")</f>
        <v/>
      </c>
      <c r="K1065" s="122">
        <f>IF(E1065&gt;=5000,"🏆 Platinum",IF(E1065&gt;=2000,"🥇 Gold",IF(E1065&gt;=800,"🥈 Silver","🥉 Bronze")))</f>
        <v/>
      </c>
      <c r="L1065" s="125" t="n">
        <v>40874</v>
      </c>
    </row>
    <row r="1066">
      <c r="A1066" s="126" t="n">
        <v>13784</v>
      </c>
      <c r="B1066" s="126" t="inlineStr">
        <is>
          <t>United Kingdom</t>
        </is>
      </c>
      <c r="C1066" s="126" t="n">
        <v>10</v>
      </c>
      <c r="D1066" s="126" t="n">
        <v>11</v>
      </c>
      <c r="E1066" s="127" t="n">
        <v>2462.79</v>
      </c>
      <c r="F1066" s="128">
        <f>IF(C1066&lt;=30,5,IF(C1066&lt;=60,4,IF(C1066&lt;=120,3,IF(C1066&lt;=200,2,1))))</f>
        <v/>
      </c>
      <c r="G1066" s="128">
        <f>IF(D1066&gt;=20,5,IF(D1066&gt;=10,4,IF(D1066&gt;=5,3,IF(D1066&gt;=2,2,1))))</f>
        <v/>
      </c>
      <c r="H1066" s="128">
        <f>IF(E1066&gt;=5000,5,IF(E1066&gt;=2000,4,IF(E1066&gt;=800,3,IF(E1066&gt;=300,2,1))))</f>
        <v/>
      </c>
      <c r="I1066" s="126">
        <f>TEXT(F1066,"0")&amp;TEXT(G1066,"0")&amp;TEXT(H1066,"0")</f>
        <v/>
      </c>
      <c r="J1066" s="126">
        <f>IFERROR(XLOOKUP(I1066,'Segment Map'!A:A,'Segment Map'!B:B,"Need Attention"),"Need Attention")</f>
        <v/>
      </c>
      <c r="K1066" s="126">
        <f>IF(E1066&gt;=5000,"🏆 Platinum",IF(E1066&gt;=2000,"🥇 Gold",IF(E1066&gt;=800,"🥈 Silver","🥉 Bronze")))</f>
        <v/>
      </c>
      <c r="L1066" s="129" t="n">
        <v>40877</v>
      </c>
    </row>
    <row r="1067">
      <c r="A1067" s="122" t="n">
        <v>13786</v>
      </c>
      <c r="B1067" s="122" t="inlineStr">
        <is>
          <t>United Kingdom</t>
        </is>
      </c>
      <c r="C1067" s="122" t="n">
        <v>368</v>
      </c>
      <c r="D1067" s="122" t="n">
        <v>1</v>
      </c>
      <c r="E1067" s="123" t="n">
        <v>230.4</v>
      </c>
      <c r="F1067" s="124">
        <f>IF(C1067&lt;=30,5,IF(C1067&lt;=60,4,IF(C1067&lt;=120,3,IF(C1067&lt;=200,2,1))))</f>
        <v/>
      </c>
      <c r="G1067" s="124">
        <f>IF(D1067&gt;=20,5,IF(D1067&gt;=10,4,IF(D1067&gt;=5,3,IF(D1067&gt;=2,2,1))))</f>
        <v/>
      </c>
      <c r="H1067" s="124">
        <f>IF(E1067&gt;=5000,5,IF(E1067&gt;=2000,4,IF(E1067&gt;=800,3,IF(E1067&gt;=300,2,1))))</f>
        <v/>
      </c>
      <c r="I1067" s="122">
        <f>TEXT(F1067,"0")&amp;TEXT(G1067,"0")&amp;TEXT(H1067,"0")</f>
        <v/>
      </c>
      <c r="J1067" s="122">
        <f>IFERROR(XLOOKUP(I1067,'Segment Map'!A:A,'Segment Map'!B:B,"Need Attention"),"Need Attention")</f>
        <v/>
      </c>
      <c r="K1067" s="122">
        <f>IF(E1067&gt;=5000,"🏆 Platinum",IF(E1067&gt;=2000,"🥇 Gold",IF(E1067&gt;=800,"🥈 Silver","🥉 Bronze")))</f>
        <v/>
      </c>
      <c r="L1067" s="125" t="n">
        <v>40519</v>
      </c>
    </row>
    <row r="1068">
      <c r="A1068" s="126" t="n">
        <v>13787</v>
      </c>
      <c r="B1068" s="126" t="inlineStr">
        <is>
          <t>United Kingdom</t>
        </is>
      </c>
      <c r="C1068" s="126" t="n">
        <v>76</v>
      </c>
      <c r="D1068" s="126" t="n">
        <v>2</v>
      </c>
      <c r="E1068" s="127" t="n">
        <v>309.04</v>
      </c>
      <c r="F1068" s="128">
        <f>IF(C1068&lt;=30,5,IF(C1068&lt;=60,4,IF(C1068&lt;=120,3,IF(C1068&lt;=200,2,1))))</f>
        <v/>
      </c>
      <c r="G1068" s="128">
        <f>IF(D1068&gt;=20,5,IF(D1068&gt;=10,4,IF(D1068&gt;=5,3,IF(D1068&gt;=2,2,1))))</f>
        <v/>
      </c>
      <c r="H1068" s="128">
        <f>IF(E1068&gt;=5000,5,IF(E1068&gt;=2000,4,IF(E1068&gt;=800,3,IF(E1068&gt;=300,2,1))))</f>
        <v/>
      </c>
      <c r="I1068" s="126">
        <f>TEXT(F1068,"0")&amp;TEXT(G1068,"0")&amp;TEXT(H1068,"0")</f>
        <v/>
      </c>
      <c r="J1068" s="126">
        <f>IFERROR(XLOOKUP(I1068,'Segment Map'!A:A,'Segment Map'!B:B,"Need Attention"),"Need Attention")</f>
        <v/>
      </c>
      <c r="K1068" s="126">
        <f>IF(E1068&gt;=5000,"🏆 Platinum",IF(E1068&gt;=2000,"🥇 Gold",IF(E1068&gt;=800,"🥈 Silver","🥉 Bronze")))</f>
        <v/>
      </c>
      <c r="L1068" s="129" t="n">
        <v>40811</v>
      </c>
    </row>
    <row r="1069">
      <c r="A1069" s="122" t="n">
        <v>13790</v>
      </c>
      <c r="B1069" s="122" t="inlineStr">
        <is>
          <t>United Kingdom</t>
        </is>
      </c>
      <c r="C1069" s="122" t="n">
        <v>5</v>
      </c>
      <c r="D1069" s="122" t="n">
        <v>1</v>
      </c>
      <c r="E1069" s="123" t="n">
        <v>348.8</v>
      </c>
      <c r="F1069" s="124">
        <f>IF(C1069&lt;=30,5,IF(C1069&lt;=60,4,IF(C1069&lt;=120,3,IF(C1069&lt;=200,2,1))))</f>
        <v/>
      </c>
      <c r="G1069" s="124">
        <f>IF(D1069&gt;=20,5,IF(D1069&gt;=10,4,IF(D1069&gt;=5,3,IF(D1069&gt;=2,2,1))))</f>
        <v/>
      </c>
      <c r="H1069" s="124">
        <f>IF(E1069&gt;=5000,5,IF(E1069&gt;=2000,4,IF(E1069&gt;=800,3,IF(E1069&gt;=300,2,1))))</f>
        <v/>
      </c>
      <c r="I1069" s="122">
        <f>TEXT(F1069,"0")&amp;TEXT(G1069,"0")&amp;TEXT(H1069,"0")</f>
        <v/>
      </c>
      <c r="J1069" s="122">
        <f>IFERROR(XLOOKUP(I1069,'Segment Map'!A:A,'Segment Map'!B:B,"Need Attention"),"Need Attention")</f>
        <v/>
      </c>
      <c r="K1069" s="122">
        <f>IF(E1069&gt;=5000,"🏆 Platinum",IF(E1069&gt;=2000,"🥇 Gold",IF(E1069&gt;=800,"🥈 Silver","🥉 Bronze")))</f>
        <v/>
      </c>
      <c r="L1069" s="125" t="n">
        <v>40882</v>
      </c>
    </row>
    <row r="1070">
      <c r="A1070" s="126" t="n">
        <v>13791</v>
      </c>
      <c r="B1070" s="126" t="inlineStr">
        <is>
          <t>United Kingdom</t>
        </is>
      </c>
      <c r="C1070" s="126" t="n">
        <v>128</v>
      </c>
      <c r="D1070" s="126" t="n">
        <v>2</v>
      </c>
      <c r="E1070" s="127" t="n">
        <v>1516</v>
      </c>
      <c r="F1070" s="128">
        <f>IF(C1070&lt;=30,5,IF(C1070&lt;=60,4,IF(C1070&lt;=120,3,IF(C1070&lt;=200,2,1))))</f>
        <v/>
      </c>
      <c r="G1070" s="128">
        <f>IF(D1070&gt;=20,5,IF(D1070&gt;=10,4,IF(D1070&gt;=5,3,IF(D1070&gt;=2,2,1))))</f>
        <v/>
      </c>
      <c r="H1070" s="128">
        <f>IF(E1070&gt;=5000,5,IF(E1070&gt;=2000,4,IF(E1070&gt;=800,3,IF(E1070&gt;=300,2,1))))</f>
        <v/>
      </c>
      <c r="I1070" s="126">
        <f>TEXT(F1070,"0")&amp;TEXT(G1070,"0")&amp;TEXT(H1070,"0")</f>
        <v/>
      </c>
      <c r="J1070" s="126">
        <f>IFERROR(XLOOKUP(I1070,'Segment Map'!A:A,'Segment Map'!B:B,"Need Attention"),"Need Attention")</f>
        <v/>
      </c>
      <c r="K1070" s="126">
        <f>IF(E1070&gt;=5000,"🏆 Platinum",IF(E1070&gt;=2000,"🥇 Gold",IF(E1070&gt;=800,"🥈 Silver","🥉 Bronze")))</f>
        <v/>
      </c>
      <c r="L1070" s="129" t="n">
        <v>40759</v>
      </c>
    </row>
    <row r="1071">
      <c r="A1071" s="122" t="n">
        <v>13792</v>
      </c>
      <c r="B1071" s="122" t="inlineStr">
        <is>
          <t>United Kingdom</t>
        </is>
      </c>
      <c r="C1071" s="122" t="n">
        <v>67</v>
      </c>
      <c r="D1071" s="122" t="n">
        <v>2</v>
      </c>
      <c r="E1071" s="123" t="n">
        <v>195.55</v>
      </c>
      <c r="F1071" s="124">
        <f>IF(C1071&lt;=30,5,IF(C1071&lt;=60,4,IF(C1071&lt;=120,3,IF(C1071&lt;=200,2,1))))</f>
        <v/>
      </c>
      <c r="G1071" s="124">
        <f>IF(D1071&gt;=20,5,IF(D1071&gt;=10,4,IF(D1071&gt;=5,3,IF(D1071&gt;=2,2,1))))</f>
        <v/>
      </c>
      <c r="H1071" s="124">
        <f>IF(E1071&gt;=5000,5,IF(E1071&gt;=2000,4,IF(E1071&gt;=800,3,IF(E1071&gt;=300,2,1))))</f>
        <v/>
      </c>
      <c r="I1071" s="122">
        <f>TEXT(F1071,"0")&amp;TEXT(G1071,"0")&amp;TEXT(H1071,"0")</f>
        <v/>
      </c>
      <c r="J1071" s="122">
        <f>IFERROR(XLOOKUP(I1071,'Segment Map'!A:A,'Segment Map'!B:B,"Need Attention"),"Need Attention")</f>
        <v/>
      </c>
      <c r="K1071" s="122">
        <f>IF(E1071&gt;=5000,"🏆 Platinum",IF(E1071&gt;=2000,"🥇 Gold",IF(E1071&gt;=800,"🥈 Silver","🥉 Bronze")))</f>
        <v/>
      </c>
      <c r="L1071" s="125" t="n">
        <v>40820</v>
      </c>
    </row>
    <row r="1072">
      <c r="A1072" s="126" t="n">
        <v>13798</v>
      </c>
      <c r="B1072" s="126" t="inlineStr">
        <is>
          <t>United Kingdom</t>
        </is>
      </c>
      <c r="C1072" s="126" t="n">
        <v>2</v>
      </c>
      <c r="D1072" s="126" t="n">
        <v>57</v>
      </c>
      <c r="E1072" s="127" t="n">
        <v>37153.85</v>
      </c>
      <c r="F1072" s="128">
        <f>IF(C1072&lt;=30,5,IF(C1072&lt;=60,4,IF(C1072&lt;=120,3,IF(C1072&lt;=200,2,1))))</f>
        <v/>
      </c>
      <c r="G1072" s="128">
        <f>IF(D1072&gt;=20,5,IF(D1072&gt;=10,4,IF(D1072&gt;=5,3,IF(D1072&gt;=2,2,1))))</f>
        <v/>
      </c>
      <c r="H1072" s="128">
        <f>IF(E1072&gt;=5000,5,IF(E1072&gt;=2000,4,IF(E1072&gt;=800,3,IF(E1072&gt;=300,2,1))))</f>
        <v/>
      </c>
      <c r="I1072" s="126">
        <f>TEXT(F1072,"0")&amp;TEXT(G1072,"0")&amp;TEXT(H1072,"0")</f>
        <v/>
      </c>
      <c r="J1072" s="126">
        <f>IFERROR(XLOOKUP(I1072,'Segment Map'!A:A,'Segment Map'!B:B,"Need Attention"),"Need Attention")</f>
        <v/>
      </c>
      <c r="K1072" s="126">
        <f>IF(E1072&gt;=5000,"🏆 Platinum",IF(E1072&gt;=2000,"🥇 Gold",IF(E1072&gt;=800,"🥈 Silver","🥉 Bronze")))</f>
        <v/>
      </c>
      <c r="L1072" s="129" t="n">
        <v>40885</v>
      </c>
    </row>
    <row r="1073">
      <c r="A1073" s="122" t="n">
        <v>13799</v>
      </c>
      <c r="B1073" s="122" t="inlineStr">
        <is>
          <t>United Kingdom</t>
        </is>
      </c>
      <c r="C1073" s="122" t="n">
        <v>117</v>
      </c>
      <c r="D1073" s="122" t="n">
        <v>2</v>
      </c>
      <c r="E1073" s="123" t="n">
        <v>688.86</v>
      </c>
      <c r="F1073" s="124">
        <f>IF(C1073&lt;=30,5,IF(C1073&lt;=60,4,IF(C1073&lt;=120,3,IF(C1073&lt;=200,2,1))))</f>
        <v/>
      </c>
      <c r="G1073" s="124">
        <f>IF(D1073&gt;=20,5,IF(D1073&gt;=10,4,IF(D1073&gt;=5,3,IF(D1073&gt;=2,2,1))))</f>
        <v/>
      </c>
      <c r="H1073" s="124">
        <f>IF(E1073&gt;=5000,5,IF(E1073&gt;=2000,4,IF(E1073&gt;=800,3,IF(E1073&gt;=300,2,1))))</f>
        <v/>
      </c>
      <c r="I1073" s="122">
        <f>TEXT(F1073,"0")&amp;TEXT(G1073,"0")&amp;TEXT(H1073,"0")</f>
        <v/>
      </c>
      <c r="J1073" s="122">
        <f>IFERROR(XLOOKUP(I1073,'Segment Map'!A:A,'Segment Map'!B:B,"Need Attention"),"Need Attention")</f>
        <v/>
      </c>
      <c r="K1073" s="122">
        <f>IF(E1073&gt;=5000,"🏆 Platinum",IF(E1073&gt;=2000,"🥇 Gold",IF(E1073&gt;=800,"🥈 Silver","🥉 Bronze")))</f>
        <v/>
      </c>
      <c r="L1073" s="125" t="n">
        <v>40770</v>
      </c>
    </row>
    <row r="1074">
      <c r="A1074" s="126" t="n">
        <v>13800</v>
      </c>
      <c r="B1074" s="126" t="inlineStr">
        <is>
          <t>United Kingdom</t>
        </is>
      </c>
      <c r="C1074" s="126" t="n">
        <v>310</v>
      </c>
      <c r="D1074" s="126" t="n">
        <v>1</v>
      </c>
      <c r="E1074" s="127" t="n">
        <v>558.3200000000001</v>
      </c>
      <c r="F1074" s="128">
        <f>IF(C1074&lt;=30,5,IF(C1074&lt;=60,4,IF(C1074&lt;=120,3,IF(C1074&lt;=200,2,1))))</f>
        <v/>
      </c>
      <c r="G1074" s="128">
        <f>IF(D1074&gt;=20,5,IF(D1074&gt;=10,4,IF(D1074&gt;=5,3,IF(D1074&gt;=2,2,1))))</f>
        <v/>
      </c>
      <c r="H1074" s="128">
        <f>IF(E1074&gt;=5000,5,IF(E1074&gt;=2000,4,IF(E1074&gt;=800,3,IF(E1074&gt;=300,2,1))))</f>
        <v/>
      </c>
      <c r="I1074" s="126">
        <f>TEXT(F1074,"0")&amp;TEXT(G1074,"0")&amp;TEXT(H1074,"0")</f>
        <v/>
      </c>
      <c r="J1074" s="126">
        <f>IFERROR(XLOOKUP(I1074,'Segment Map'!A:A,'Segment Map'!B:B,"Need Attention"),"Need Attention")</f>
        <v/>
      </c>
      <c r="K1074" s="126">
        <f>IF(E1074&gt;=5000,"🏆 Platinum",IF(E1074&gt;=2000,"🥇 Gold",IF(E1074&gt;=800,"🥈 Silver","🥉 Bronze")))</f>
        <v/>
      </c>
      <c r="L1074" s="129" t="n">
        <v>40577</v>
      </c>
    </row>
    <row r="1075">
      <c r="A1075" s="122" t="n">
        <v>13801</v>
      </c>
      <c r="B1075" s="122" t="inlineStr">
        <is>
          <t>United Kingdom</t>
        </is>
      </c>
      <c r="C1075" s="122" t="n">
        <v>67</v>
      </c>
      <c r="D1075" s="122" t="n">
        <v>1</v>
      </c>
      <c r="E1075" s="123" t="n">
        <v>324.8</v>
      </c>
      <c r="F1075" s="124">
        <f>IF(C1075&lt;=30,5,IF(C1075&lt;=60,4,IF(C1075&lt;=120,3,IF(C1075&lt;=200,2,1))))</f>
        <v/>
      </c>
      <c r="G1075" s="124">
        <f>IF(D1075&gt;=20,5,IF(D1075&gt;=10,4,IF(D1075&gt;=5,3,IF(D1075&gt;=2,2,1))))</f>
        <v/>
      </c>
      <c r="H1075" s="124">
        <f>IF(E1075&gt;=5000,5,IF(E1075&gt;=2000,4,IF(E1075&gt;=800,3,IF(E1075&gt;=300,2,1))))</f>
        <v/>
      </c>
      <c r="I1075" s="122">
        <f>TEXT(F1075,"0")&amp;TEXT(G1075,"0")&amp;TEXT(H1075,"0")</f>
        <v/>
      </c>
      <c r="J1075" s="122">
        <f>IFERROR(XLOOKUP(I1075,'Segment Map'!A:A,'Segment Map'!B:B,"Need Attention"),"Need Attention")</f>
        <v/>
      </c>
      <c r="K1075" s="122">
        <f>IF(E1075&gt;=5000,"🏆 Platinum",IF(E1075&gt;=2000,"🥇 Gold",IF(E1075&gt;=800,"🥈 Silver","🥉 Bronze")))</f>
        <v/>
      </c>
      <c r="L1075" s="125" t="n">
        <v>40820</v>
      </c>
    </row>
    <row r="1076">
      <c r="A1076" s="126" t="n">
        <v>13802</v>
      </c>
      <c r="B1076" s="126" t="inlineStr">
        <is>
          <t>United Kingdom</t>
        </is>
      </c>
      <c r="C1076" s="126" t="n">
        <v>139</v>
      </c>
      <c r="D1076" s="126" t="n">
        <v>3</v>
      </c>
      <c r="E1076" s="127" t="n">
        <v>4599.42</v>
      </c>
      <c r="F1076" s="128">
        <f>IF(C1076&lt;=30,5,IF(C1076&lt;=60,4,IF(C1076&lt;=120,3,IF(C1076&lt;=200,2,1))))</f>
        <v/>
      </c>
      <c r="G1076" s="128">
        <f>IF(D1076&gt;=20,5,IF(D1076&gt;=10,4,IF(D1076&gt;=5,3,IF(D1076&gt;=2,2,1))))</f>
        <v/>
      </c>
      <c r="H1076" s="128">
        <f>IF(E1076&gt;=5000,5,IF(E1076&gt;=2000,4,IF(E1076&gt;=800,3,IF(E1076&gt;=300,2,1))))</f>
        <v/>
      </c>
      <c r="I1076" s="126">
        <f>TEXT(F1076,"0")&amp;TEXT(G1076,"0")&amp;TEXT(H1076,"0")</f>
        <v/>
      </c>
      <c r="J1076" s="126">
        <f>IFERROR(XLOOKUP(I1076,'Segment Map'!A:A,'Segment Map'!B:B,"Need Attention"),"Need Attention")</f>
        <v/>
      </c>
      <c r="K1076" s="126">
        <f>IF(E1076&gt;=5000,"🏆 Platinum",IF(E1076&gt;=2000,"🥇 Gold",IF(E1076&gt;=800,"🥈 Silver","🥉 Bronze")))</f>
        <v/>
      </c>
      <c r="L1076" s="129" t="n">
        <v>40748</v>
      </c>
    </row>
    <row r="1077">
      <c r="A1077" s="122" t="n">
        <v>13803</v>
      </c>
      <c r="B1077" s="122" t="inlineStr">
        <is>
          <t>United Kingdom</t>
        </is>
      </c>
      <c r="C1077" s="122" t="n">
        <v>256</v>
      </c>
      <c r="D1077" s="122" t="n">
        <v>1</v>
      </c>
      <c r="E1077" s="123" t="n">
        <v>277.07</v>
      </c>
      <c r="F1077" s="124">
        <f>IF(C1077&lt;=30,5,IF(C1077&lt;=60,4,IF(C1077&lt;=120,3,IF(C1077&lt;=200,2,1))))</f>
        <v/>
      </c>
      <c r="G1077" s="124">
        <f>IF(D1077&gt;=20,5,IF(D1077&gt;=10,4,IF(D1077&gt;=5,3,IF(D1077&gt;=2,2,1))))</f>
        <v/>
      </c>
      <c r="H1077" s="124">
        <f>IF(E1077&gt;=5000,5,IF(E1077&gt;=2000,4,IF(E1077&gt;=800,3,IF(E1077&gt;=300,2,1))))</f>
        <v/>
      </c>
      <c r="I1077" s="122">
        <f>TEXT(F1077,"0")&amp;TEXT(G1077,"0")&amp;TEXT(H1077,"0")</f>
        <v/>
      </c>
      <c r="J1077" s="122">
        <f>IFERROR(XLOOKUP(I1077,'Segment Map'!A:A,'Segment Map'!B:B,"Need Attention"),"Need Attention")</f>
        <v/>
      </c>
      <c r="K1077" s="122">
        <f>IF(E1077&gt;=5000,"🏆 Platinum",IF(E1077&gt;=2000,"🥇 Gold",IF(E1077&gt;=800,"🥈 Silver","🥉 Bronze")))</f>
        <v/>
      </c>
      <c r="L1077" s="125" t="n">
        <v>40631</v>
      </c>
    </row>
    <row r="1078">
      <c r="A1078" s="126" t="n">
        <v>13804</v>
      </c>
      <c r="B1078" s="126" t="inlineStr">
        <is>
          <t>United Kingdom</t>
        </is>
      </c>
      <c r="C1078" s="126" t="n">
        <v>31</v>
      </c>
      <c r="D1078" s="126" t="n">
        <v>7</v>
      </c>
      <c r="E1078" s="127" t="n">
        <v>2635.79</v>
      </c>
      <c r="F1078" s="128">
        <f>IF(C1078&lt;=30,5,IF(C1078&lt;=60,4,IF(C1078&lt;=120,3,IF(C1078&lt;=200,2,1))))</f>
        <v/>
      </c>
      <c r="G1078" s="128">
        <f>IF(D1078&gt;=20,5,IF(D1078&gt;=10,4,IF(D1078&gt;=5,3,IF(D1078&gt;=2,2,1))))</f>
        <v/>
      </c>
      <c r="H1078" s="128">
        <f>IF(E1078&gt;=5000,5,IF(E1078&gt;=2000,4,IF(E1078&gt;=800,3,IF(E1078&gt;=300,2,1))))</f>
        <v/>
      </c>
      <c r="I1078" s="126">
        <f>TEXT(F1078,"0")&amp;TEXT(G1078,"0")&amp;TEXT(H1078,"0")</f>
        <v/>
      </c>
      <c r="J1078" s="126">
        <f>IFERROR(XLOOKUP(I1078,'Segment Map'!A:A,'Segment Map'!B:B,"Need Attention"),"Need Attention")</f>
        <v/>
      </c>
      <c r="K1078" s="126">
        <f>IF(E1078&gt;=5000,"🏆 Platinum",IF(E1078&gt;=2000,"🥇 Gold",IF(E1078&gt;=800,"🥈 Silver","🥉 Bronze")))</f>
        <v/>
      </c>
      <c r="L1078" s="129" t="n">
        <v>40856</v>
      </c>
    </row>
    <row r="1079">
      <c r="A1079" s="122" t="n">
        <v>13805</v>
      </c>
      <c r="B1079" s="122" t="inlineStr">
        <is>
          <t>United Kingdom</t>
        </is>
      </c>
      <c r="C1079" s="122" t="n">
        <v>53</v>
      </c>
      <c r="D1079" s="122" t="n">
        <v>2</v>
      </c>
      <c r="E1079" s="123" t="n">
        <v>924.6</v>
      </c>
      <c r="F1079" s="124">
        <f>IF(C1079&lt;=30,5,IF(C1079&lt;=60,4,IF(C1079&lt;=120,3,IF(C1079&lt;=200,2,1))))</f>
        <v/>
      </c>
      <c r="G1079" s="124">
        <f>IF(D1079&gt;=20,5,IF(D1079&gt;=10,4,IF(D1079&gt;=5,3,IF(D1079&gt;=2,2,1))))</f>
        <v/>
      </c>
      <c r="H1079" s="124">
        <f>IF(E1079&gt;=5000,5,IF(E1079&gt;=2000,4,IF(E1079&gt;=800,3,IF(E1079&gt;=300,2,1))))</f>
        <v/>
      </c>
      <c r="I1079" s="122">
        <f>TEXT(F1079,"0")&amp;TEXT(G1079,"0")&amp;TEXT(H1079,"0")</f>
        <v/>
      </c>
      <c r="J1079" s="122">
        <f>IFERROR(XLOOKUP(I1079,'Segment Map'!A:A,'Segment Map'!B:B,"Need Attention"),"Need Attention")</f>
        <v/>
      </c>
      <c r="K1079" s="122">
        <f>IF(E1079&gt;=5000,"🏆 Platinum",IF(E1079&gt;=2000,"🥇 Gold",IF(E1079&gt;=800,"🥈 Silver","🥉 Bronze")))</f>
        <v/>
      </c>
      <c r="L1079" s="125" t="n">
        <v>40834</v>
      </c>
    </row>
    <row r="1080">
      <c r="A1080" s="126" t="n">
        <v>13806</v>
      </c>
      <c r="B1080" s="126" t="inlineStr">
        <is>
          <t>United Kingdom</t>
        </is>
      </c>
      <c r="C1080" s="126" t="n">
        <v>64</v>
      </c>
      <c r="D1080" s="126" t="n">
        <v>1</v>
      </c>
      <c r="E1080" s="127" t="n">
        <v>256.38</v>
      </c>
      <c r="F1080" s="128">
        <f>IF(C1080&lt;=30,5,IF(C1080&lt;=60,4,IF(C1080&lt;=120,3,IF(C1080&lt;=200,2,1))))</f>
        <v/>
      </c>
      <c r="G1080" s="128">
        <f>IF(D1080&gt;=20,5,IF(D1080&gt;=10,4,IF(D1080&gt;=5,3,IF(D1080&gt;=2,2,1))))</f>
        <v/>
      </c>
      <c r="H1080" s="128">
        <f>IF(E1080&gt;=5000,5,IF(E1080&gt;=2000,4,IF(E1080&gt;=800,3,IF(E1080&gt;=300,2,1))))</f>
        <v/>
      </c>
      <c r="I1080" s="126">
        <f>TEXT(F1080,"0")&amp;TEXT(G1080,"0")&amp;TEXT(H1080,"0")</f>
        <v/>
      </c>
      <c r="J1080" s="126">
        <f>IFERROR(XLOOKUP(I1080,'Segment Map'!A:A,'Segment Map'!B:B,"Need Attention"),"Need Attention")</f>
        <v/>
      </c>
      <c r="K1080" s="126">
        <f>IF(E1080&gt;=5000,"🏆 Platinum",IF(E1080&gt;=2000,"🥇 Gold",IF(E1080&gt;=800,"🥈 Silver","🥉 Bronze")))</f>
        <v/>
      </c>
      <c r="L1080" s="129" t="n">
        <v>40823</v>
      </c>
    </row>
    <row r="1081">
      <c r="A1081" s="122" t="n">
        <v>13807</v>
      </c>
      <c r="B1081" s="122" t="inlineStr">
        <is>
          <t>United Kingdom</t>
        </is>
      </c>
      <c r="C1081" s="122" t="n">
        <v>368</v>
      </c>
      <c r="D1081" s="122" t="n">
        <v>1</v>
      </c>
      <c r="E1081" s="123" t="n">
        <v>112.6</v>
      </c>
      <c r="F1081" s="124">
        <f>IF(C1081&lt;=30,5,IF(C1081&lt;=60,4,IF(C1081&lt;=120,3,IF(C1081&lt;=200,2,1))))</f>
        <v/>
      </c>
      <c r="G1081" s="124">
        <f>IF(D1081&gt;=20,5,IF(D1081&gt;=10,4,IF(D1081&gt;=5,3,IF(D1081&gt;=2,2,1))))</f>
        <v/>
      </c>
      <c r="H1081" s="124">
        <f>IF(E1081&gt;=5000,5,IF(E1081&gt;=2000,4,IF(E1081&gt;=800,3,IF(E1081&gt;=300,2,1))))</f>
        <v/>
      </c>
      <c r="I1081" s="122">
        <f>TEXT(F1081,"0")&amp;TEXT(G1081,"0")&amp;TEXT(H1081,"0")</f>
        <v/>
      </c>
      <c r="J1081" s="122">
        <f>IFERROR(XLOOKUP(I1081,'Segment Map'!A:A,'Segment Map'!B:B,"Need Attention"),"Need Attention")</f>
        <v/>
      </c>
      <c r="K1081" s="122">
        <f>IF(E1081&gt;=5000,"🏆 Platinum",IF(E1081&gt;=2000,"🥇 Gold",IF(E1081&gt;=800,"🥈 Silver","🥉 Bronze")))</f>
        <v/>
      </c>
      <c r="L1081" s="125" t="n">
        <v>40519</v>
      </c>
    </row>
    <row r="1082">
      <c r="A1082" s="126" t="n">
        <v>13808</v>
      </c>
      <c r="B1082" s="126" t="inlineStr">
        <is>
          <t>United Kingdom</t>
        </is>
      </c>
      <c r="C1082" s="126" t="n">
        <v>6</v>
      </c>
      <c r="D1082" s="126" t="n">
        <v>5</v>
      </c>
      <c r="E1082" s="127" t="n">
        <v>1747.66</v>
      </c>
      <c r="F1082" s="128">
        <f>IF(C1082&lt;=30,5,IF(C1082&lt;=60,4,IF(C1082&lt;=120,3,IF(C1082&lt;=200,2,1))))</f>
        <v/>
      </c>
      <c r="G1082" s="128">
        <f>IF(D1082&gt;=20,5,IF(D1082&gt;=10,4,IF(D1082&gt;=5,3,IF(D1082&gt;=2,2,1))))</f>
        <v/>
      </c>
      <c r="H1082" s="128">
        <f>IF(E1082&gt;=5000,5,IF(E1082&gt;=2000,4,IF(E1082&gt;=800,3,IF(E1082&gt;=300,2,1))))</f>
        <v/>
      </c>
      <c r="I1082" s="126">
        <f>TEXT(F1082,"0")&amp;TEXT(G1082,"0")&amp;TEXT(H1082,"0")</f>
        <v/>
      </c>
      <c r="J1082" s="126">
        <f>IFERROR(XLOOKUP(I1082,'Segment Map'!A:A,'Segment Map'!B:B,"Need Attention"),"Need Attention")</f>
        <v/>
      </c>
      <c r="K1082" s="126">
        <f>IF(E1082&gt;=5000,"🏆 Platinum",IF(E1082&gt;=2000,"🥇 Gold",IF(E1082&gt;=800,"🥈 Silver","🥉 Bronze")))</f>
        <v/>
      </c>
      <c r="L1082" s="129" t="n">
        <v>40881</v>
      </c>
    </row>
    <row r="1083">
      <c r="A1083" s="122" t="n">
        <v>13809</v>
      </c>
      <c r="B1083" s="122" t="inlineStr">
        <is>
          <t>Cyprus</t>
        </is>
      </c>
      <c r="C1083" s="122" t="n">
        <v>306</v>
      </c>
      <c r="D1083" s="122" t="n">
        <v>1</v>
      </c>
      <c r="E1083" s="123" t="n">
        <v>155.05</v>
      </c>
      <c r="F1083" s="124">
        <f>IF(C1083&lt;=30,5,IF(C1083&lt;=60,4,IF(C1083&lt;=120,3,IF(C1083&lt;=200,2,1))))</f>
        <v/>
      </c>
      <c r="G1083" s="124">
        <f>IF(D1083&gt;=20,5,IF(D1083&gt;=10,4,IF(D1083&gt;=5,3,IF(D1083&gt;=2,2,1))))</f>
        <v/>
      </c>
      <c r="H1083" s="124">
        <f>IF(E1083&gt;=5000,5,IF(E1083&gt;=2000,4,IF(E1083&gt;=800,3,IF(E1083&gt;=300,2,1))))</f>
        <v/>
      </c>
      <c r="I1083" s="122">
        <f>TEXT(F1083,"0")&amp;TEXT(G1083,"0")&amp;TEXT(H1083,"0")</f>
        <v/>
      </c>
      <c r="J1083" s="122">
        <f>IFERROR(XLOOKUP(I1083,'Segment Map'!A:A,'Segment Map'!B:B,"Need Attention"),"Need Attention")</f>
        <v/>
      </c>
      <c r="K1083" s="122">
        <f>IF(E1083&gt;=5000,"🏆 Platinum",IF(E1083&gt;=2000,"🥇 Gold",IF(E1083&gt;=800,"🥈 Silver","🥉 Bronze")))</f>
        <v/>
      </c>
      <c r="L1083" s="125" t="n">
        <v>40581</v>
      </c>
    </row>
    <row r="1084">
      <c r="A1084" s="126" t="n">
        <v>13810</v>
      </c>
      <c r="B1084" s="126" t="inlineStr">
        <is>
          <t>Germany</t>
        </is>
      </c>
      <c r="C1084" s="126" t="n">
        <v>29</v>
      </c>
      <c r="D1084" s="126" t="n">
        <v>3</v>
      </c>
      <c r="E1084" s="127" t="n">
        <v>1499.01</v>
      </c>
      <c r="F1084" s="128">
        <f>IF(C1084&lt;=30,5,IF(C1084&lt;=60,4,IF(C1084&lt;=120,3,IF(C1084&lt;=200,2,1))))</f>
        <v/>
      </c>
      <c r="G1084" s="128">
        <f>IF(D1084&gt;=20,5,IF(D1084&gt;=10,4,IF(D1084&gt;=5,3,IF(D1084&gt;=2,2,1))))</f>
        <v/>
      </c>
      <c r="H1084" s="128">
        <f>IF(E1084&gt;=5000,5,IF(E1084&gt;=2000,4,IF(E1084&gt;=800,3,IF(E1084&gt;=300,2,1))))</f>
        <v/>
      </c>
      <c r="I1084" s="126">
        <f>TEXT(F1084,"0")&amp;TEXT(G1084,"0")&amp;TEXT(H1084,"0")</f>
        <v/>
      </c>
      <c r="J1084" s="126">
        <f>IFERROR(XLOOKUP(I1084,'Segment Map'!A:A,'Segment Map'!B:B,"Need Attention"),"Need Attention")</f>
        <v/>
      </c>
      <c r="K1084" s="126">
        <f>IF(E1084&gt;=5000,"🏆 Platinum",IF(E1084&gt;=2000,"🥇 Gold",IF(E1084&gt;=800,"🥈 Silver","🥉 Bronze")))</f>
        <v/>
      </c>
      <c r="L1084" s="129" t="n">
        <v>40858</v>
      </c>
    </row>
    <row r="1085">
      <c r="A1085" s="122" t="n">
        <v>13811</v>
      </c>
      <c r="B1085" s="122" t="inlineStr">
        <is>
          <t>Germany</t>
        </is>
      </c>
      <c r="C1085" s="122" t="n">
        <v>184</v>
      </c>
      <c r="D1085" s="122" t="n">
        <v>3</v>
      </c>
      <c r="E1085" s="123" t="n">
        <v>814.5</v>
      </c>
      <c r="F1085" s="124">
        <f>IF(C1085&lt;=30,5,IF(C1085&lt;=60,4,IF(C1085&lt;=120,3,IF(C1085&lt;=200,2,1))))</f>
        <v/>
      </c>
      <c r="G1085" s="124">
        <f>IF(D1085&gt;=20,5,IF(D1085&gt;=10,4,IF(D1085&gt;=5,3,IF(D1085&gt;=2,2,1))))</f>
        <v/>
      </c>
      <c r="H1085" s="124">
        <f>IF(E1085&gt;=5000,5,IF(E1085&gt;=2000,4,IF(E1085&gt;=800,3,IF(E1085&gt;=300,2,1))))</f>
        <v/>
      </c>
      <c r="I1085" s="122">
        <f>TEXT(F1085,"0")&amp;TEXT(G1085,"0")&amp;TEXT(H1085,"0")</f>
        <v/>
      </c>
      <c r="J1085" s="122">
        <f>IFERROR(XLOOKUP(I1085,'Segment Map'!A:A,'Segment Map'!B:B,"Need Attention"),"Need Attention")</f>
        <v/>
      </c>
      <c r="K1085" s="122">
        <f>IF(E1085&gt;=5000,"🏆 Platinum",IF(E1085&gt;=2000,"🥇 Gold",IF(E1085&gt;=800,"🥈 Silver","🥉 Bronze")))</f>
        <v/>
      </c>
      <c r="L1085" s="125" t="n">
        <v>40703</v>
      </c>
    </row>
    <row r="1086">
      <c r="A1086" s="126" t="n">
        <v>13812</v>
      </c>
      <c r="B1086" s="126" t="inlineStr">
        <is>
          <t>Germany</t>
        </is>
      </c>
      <c r="C1086" s="126" t="n">
        <v>43</v>
      </c>
      <c r="D1086" s="126" t="n">
        <v>3</v>
      </c>
      <c r="E1086" s="127" t="n">
        <v>539</v>
      </c>
      <c r="F1086" s="128">
        <f>IF(C1086&lt;=30,5,IF(C1086&lt;=60,4,IF(C1086&lt;=120,3,IF(C1086&lt;=200,2,1))))</f>
        <v/>
      </c>
      <c r="G1086" s="128">
        <f>IF(D1086&gt;=20,5,IF(D1086&gt;=10,4,IF(D1086&gt;=5,3,IF(D1086&gt;=2,2,1))))</f>
        <v/>
      </c>
      <c r="H1086" s="128">
        <f>IF(E1086&gt;=5000,5,IF(E1086&gt;=2000,4,IF(E1086&gt;=800,3,IF(E1086&gt;=300,2,1))))</f>
        <v/>
      </c>
      <c r="I1086" s="126">
        <f>TEXT(F1086,"0")&amp;TEXT(G1086,"0")&amp;TEXT(H1086,"0")</f>
        <v/>
      </c>
      <c r="J1086" s="126">
        <f>IFERROR(XLOOKUP(I1086,'Segment Map'!A:A,'Segment Map'!B:B,"Need Attention"),"Need Attention")</f>
        <v/>
      </c>
      <c r="K1086" s="126">
        <f>IF(E1086&gt;=5000,"🏆 Platinum",IF(E1086&gt;=2000,"🥇 Gold",IF(E1086&gt;=800,"🥈 Silver","🥉 Bronze")))</f>
        <v/>
      </c>
      <c r="L1086" s="129" t="n">
        <v>40844</v>
      </c>
    </row>
    <row r="1087">
      <c r="A1087" s="122" t="n">
        <v>13813</v>
      </c>
      <c r="B1087" s="122" t="inlineStr">
        <is>
          <t>Germany</t>
        </is>
      </c>
      <c r="C1087" s="122" t="n">
        <v>40</v>
      </c>
      <c r="D1087" s="122" t="n">
        <v>4</v>
      </c>
      <c r="E1087" s="123" t="n">
        <v>1366.86</v>
      </c>
      <c r="F1087" s="124">
        <f>IF(C1087&lt;=30,5,IF(C1087&lt;=60,4,IF(C1087&lt;=120,3,IF(C1087&lt;=200,2,1))))</f>
        <v/>
      </c>
      <c r="G1087" s="124">
        <f>IF(D1087&gt;=20,5,IF(D1087&gt;=10,4,IF(D1087&gt;=5,3,IF(D1087&gt;=2,2,1))))</f>
        <v/>
      </c>
      <c r="H1087" s="124">
        <f>IF(E1087&gt;=5000,5,IF(E1087&gt;=2000,4,IF(E1087&gt;=800,3,IF(E1087&gt;=300,2,1))))</f>
        <v/>
      </c>
      <c r="I1087" s="122">
        <f>TEXT(F1087,"0")&amp;TEXT(G1087,"0")&amp;TEXT(H1087,"0")</f>
        <v/>
      </c>
      <c r="J1087" s="122">
        <f>IFERROR(XLOOKUP(I1087,'Segment Map'!A:A,'Segment Map'!B:B,"Need Attention"),"Need Attention")</f>
        <v/>
      </c>
      <c r="K1087" s="122">
        <f>IF(E1087&gt;=5000,"🏆 Platinum",IF(E1087&gt;=2000,"🥇 Gold",IF(E1087&gt;=800,"🥈 Silver","🥉 Bronze")))</f>
        <v/>
      </c>
      <c r="L1087" s="125" t="n">
        <v>40847</v>
      </c>
    </row>
    <row r="1088">
      <c r="A1088" s="126" t="n">
        <v>13814</v>
      </c>
      <c r="B1088" s="126" t="inlineStr">
        <is>
          <t>Germany</t>
        </is>
      </c>
      <c r="C1088" s="126" t="n">
        <v>93</v>
      </c>
      <c r="D1088" s="126" t="n">
        <v>2</v>
      </c>
      <c r="E1088" s="127" t="n">
        <v>1579.12</v>
      </c>
      <c r="F1088" s="128">
        <f>IF(C1088&lt;=30,5,IF(C1088&lt;=60,4,IF(C1088&lt;=120,3,IF(C1088&lt;=200,2,1))))</f>
        <v/>
      </c>
      <c r="G1088" s="128">
        <f>IF(D1088&gt;=20,5,IF(D1088&gt;=10,4,IF(D1088&gt;=5,3,IF(D1088&gt;=2,2,1))))</f>
        <v/>
      </c>
      <c r="H1088" s="128">
        <f>IF(E1088&gt;=5000,5,IF(E1088&gt;=2000,4,IF(E1088&gt;=800,3,IF(E1088&gt;=300,2,1))))</f>
        <v/>
      </c>
      <c r="I1088" s="126">
        <f>TEXT(F1088,"0")&amp;TEXT(G1088,"0")&amp;TEXT(H1088,"0")</f>
        <v/>
      </c>
      <c r="J1088" s="126">
        <f>IFERROR(XLOOKUP(I1088,'Segment Map'!A:A,'Segment Map'!B:B,"Need Attention"),"Need Attention")</f>
        <v/>
      </c>
      <c r="K1088" s="126">
        <f>IF(E1088&gt;=5000,"🏆 Platinum",IF(E1088&gt;=2000,"🥇 Gold",IF(E1088&gt;=800,"🥈 Silver","🥉 Bronze")))</f>
        <v/>
      </c>
      <c r="L1088" s="129" t="n">
        <v>40794</v>
      </c>
    </row>
    <row r="1089">
      <c r="A1089" s="122" t="n">
        <v>13815</v>
      </c>
      <c r="B1089" s="122" t="inlineStr">
        <is>
          <t>Germany</t>
        </is>
      </c>
      <c r="C1089" s="122" t="n">
        <v>23</v>
      </c>
      <c r="D1089" s="122" t="n">
        <v>4</v>
      </c>
      <c r="E1089" s="123" t="n">
        <v>4027.36</v>
      </c>
      <c r="F1089" s="124">
        <f>IF(C1089&lt;=30,5,IF(C1089&lt;=60,4,IF(C1089&lt;=120,3,IF(C1089&lt;=200,2,1))))</f>
        <v/>
      </c>
      <c r="G1089" s="124">
        <f>IF(D1089&gt;=20,5,IF(D1089&gt;=10,4,IF(D1089&gt;=5,3,IF(D1089&gt;=2,2,1))))</f>
        <v/>
      </c>
      <c r="H1089" s="124">
        <f>IF(E1089&gt;=5000,5,IF(E1089&gt;=2000,4,IF(E1089&gt;=800,3,IF(E1089&gt;=300,2,1))))</f>
        <v/>
      </c>
      <c r="I1089" s="122">
        <f>TEXT(F1089,"0")&amp;TEXT(G1089,"0")&amp;TEXT(H1089,"0")</f>
        <v/>
      </c>
      <c r="J1089" s="122">
        <f>IFERROR(XLOOKUP(I1089,'Segment Map'!A:A,'Segment Map'!B:B,"Need Attention"),"Need Attention")</f>
        <v/>
      </c>
      <c r="K1089" s="122">
        <f>IF(E1089&gt;=5000,"🏆 Platinum",IF(E1089&gt;=2000,"🥇 Gold",IF(E1089&gt;=800,"🥈 Silver","🥉 Bronze")))</f>
        <v/>
      </c>
      <c r="L1089" s="125" t="n">
        <v>40864</v>
      </c>
    </row>
    <row r="1090">
      <c r="A1090" s="126" t="n">
        <v>13816</v>
      </c>
      <c r="B1090" s="126" t="inlineStr">
        <is>
          <t>Germany</t>
        </is>
      </c>
      <c r="C1090" s="126" t="n">
        <v>24</v>
      </c>
      <c r="D1090" s="126" t="n">
        <v>2</v>
      </c>
      <c r="E1090" s="127" t="n">
        <v>571.67</v>
      </c>
      <c r="F1090" s="128">
        <f>IF(C1090&lt;=30,5,IF(C1090&lt;=60,4,IF(C1090&lt;=120,3,IF(C1090&lt;=200,2,1))))</f>
        <v/>
      </c>
      <c r="G1090" s="128">
        <f>IF(D1090&gt;=20,5,IF(D1090&gt;=10,4,IF(D1090&gt;=5,3,IF(D1090&gt;=2,2,1))))</f>
        <v/>
      </c>
      <c r="H1090" s="128">
        <f>IF(E1090&gt;=5000,5,IF(E1090&gt;=2000,4,IF(E1090&gt;=800,3,IF(E1090&gt;=300,2,1))))</f>
        <v/>
      </c>
      <c r="I1090" s="126">
        <f>TEXT(F1090,"0")&amp;TEXT(G1090,"0")&amp;TEXT(H1090,"0")</f>
        <v/>
      </c>
      <c r="J1090" s="126">
        <f>IFERROR(XLOOKUP(I1090,'Segment Map'!A:A,'Segment Map'!B:B,"Need Attention"),"Need Attention")</f>
        <v/>
      </c>
      <c r="K1090" s="126">
        <f>IF(E1090&gt;=5000,"🏆 Platinum",IF(E1090&gt;=2000,"🥇 Gold",IF(E1090&gt;=800,"🥈 Silver","🥉 Bronze")))</f>
        <v/>
      </c>
      <c r="L1090" s="129" t="n">
        <v>40863</v>
      </c>
    </row>
    <row r="1091">
      <c r="A1091" s="122" t="n">
        <v>13817</v>
      </c>
      <c r="B1091" s="122" t="inlineStr">
        <is>
          <t>Germany</t>
        </is>
      </c>
      <c r="C1091" s="122" t="n">
        <v>30</v>
      </c>
      <c r="D1091" s="122" t="n">
        <v>2</v>
      </c>
      <c r="E1091" s="123" t="n">
        <v>382.98</v>
      </c>
      <c r="F1091" s="124">
        <f>IF(C1091&lt;=30,5,IF(C1091&lt;=60,4,IF(C1091&lt;=120,3,IF(C1091&lt;=200,2,1))))</f>
        <v/>
      </c>
      <c r="G1091" s="124">
        <f>IF(D1091&gt;=20,5,IF(D1091&gt;=10,4,IF(D1091&gt;=5,3,IF(D1091&gt;=2,2,1))))</f>
        <v/>
      </c>
      <c r="H1091" s="124">
        <f>IF(E1091&gt;=5000,5,IF(E1091&gt;=2000,4,IF(E1091&gt;=800,3,IF(E1091&gt;=300,2,1))))</f>
        <v/>
      </c>
      <c r="I1091" s="122">
        <f>TEXT(F1091,"0")&amp;TEXT(G1091,"0")&amp;TEXT(H1091,"0")</f>
        <v/>
      </c>
      <c r="J1091" s="122">
        <f>IFERROR(XLOOKUP(I1091,'Segment Map'!A:A,'Segment Map'!B:B,"Need Attention"),"Need Attention")</f>
        <v/>
      </c>
      <c r="K1091" s="122">
        <f>IF(E1091&gt;=5000,"🏆 Platinum",IF(E1091&gt;=2000,"🥇 Gold",IF(E1091&gt;=800,"🥈 Silver","🥉 Bronze")))</f>
        <v/>
      </c>
      <c r="L1091" s="125" t="n">
        <v>40857</v>
      </c>
    </row>
    <row r="1092">
      <c r="A1092" s="126" t="n">
        <v>13819</v>
      </c>
      <c r="B1092" s="126" t="inlineStr">
        <is>
          <t>United Kingdom</t>
        </is>
      </c>
      <c r="C1092" s="126" t="n">
        <v>302</v>
      </c>
      <c r="D1092" s="126" t="n">
        <v>3</v>
      </c>
      <c r="E1092" s="127" t="n">
        <v>1140.35</v>
      </c>
      <c r="F1092" s="128">
        <f>IF(C1092&lt;=30,5,IF(C1092&lt;=60,4,IF(C1092&lt;=120,3,IF(C1092&lt;=200,2,1))))</f>
        <v/>
      </c>
      <c r="G1092" s="128">
        <f>IF(D1092&gt;=20,5,IF(D1092&gt;=10,4,IF(D1092&gt;=5,3,IF(D1092&gt;=2,2,1))))</f>
        <v/>
      </c>
      <c r="H1092" s="128">
        <f>IF(E1092&gt;=5000,5,IF(E1092&gt;=2000,4,IF(E1092&gt;=800,3,IF(E1092&gt;=300,2,1))))</f>
        <v/>
      </c>
      <c r="I1092" s="126">
        <f>TEXT(F1092,"0")&amp;TEXT(G1092,"0")&amp;TEXT(H1092,"0")</f>
        <v/>
      </c>
      <c r="J1092" s="126">
        <f>IFERROR(XLOOKUP(I1092,'Segment Map'!A:A,'Segment Map'!B:B,"Need Attention"),"Need Attention")</f>
        <v/>
      </c>
      <c r="K1092" s="126">
        <f>IF(E1092&gt;=5000,"🏆 Platinum",IF(E1092&gt;=2000,"🥇 Gold",IF(E1092&gt;=800,"🥈 Silver","🥉 Bronze")))</f>
        <v/>
      </c>
      <c r="L1092" s="129" t="n">
        <v>40585</v>
      </c>
    </row>
    <row r="1093">
      <c r="A1093" s="122" t="n">
        <v>13821</v>
      </c>
      <c r="B1093" s="122" t="inlineStr">
        <is>
          <t>United Kingdom</t>
        </is>
      </c>
      <c r="C1093" s="122" t="n">
        <v>145</v>
      </c>
      <c r="D1093" s="122" t="n">
        <v>2</v>
      </c>
      <c r="E1093" s="123" t="n">
        <v>385.64</v>
      </c>
      <c r="F1093" s="124">
        <f>IF(C1093&lt;=30,5,IF(C1093&lt;=60,4,IF(C1093&lt;=120,3,IF(C1093&lt;=200,2,1))))</f>
        <v/>
      </c>
      <c r="G1093" s="124">
        <f>IF(D1093&gt;=20,5,IF(D1093&gt;=10,4,IF(D1093&gt;=5,3,IF(D1093&gt;=2,2,1))))</f>
        <v/>
      </c>
      <c r="H1093" s="124">
        <f>IF(E1093&gt;=5000,5,IF(E1093&gt;=2000,4,IF(E1093&gt;=800,3,IF(E1093&gt;=300,2,1))))</f>
        <v/>
      </c>
      <c r="I1093" s="122">
        <f>TEXT(F1093,"0")&amp;TEXT(G1093,"0")&amp;TEXT(H1093,"0")</f>
        <v/>
      </c>
      <c r="J1093" s="122">
        <f>IFERROR(XLOOKUP(I1093,'Segment Map'!A:A,'Segment Map'!B:B,"Need Attention"),"Need Attention")</f>
        <v/>
      </c>
      <c r="K1093" s="122">
        <f>IF(E1093&gt;=5000,"🏆 Platinum",IF(E1093&gt;=2000,"🥇 Gold",IF(E1093&gt;=800,"🥈 Silver","🥉 Bronze")))</f>
        <v/>
      </c>
      <c r="L1093" s="125" t="n">
        <v>40742</v>
      </c>
    </row>
    <row r="1094">
      <c r="A1094" s="126" t="n">
        <v>13822</v>
      </c>
      <c r="B1094" s="126" t="inlineStr">
        <is>
          <t>United Kingdom</t>
        </is>
      </c>
      <c r="C1094" s="126" t="n">
        <v>6</v>
      </c>
      <c r="D1094" s="126" t="n">
        <v>2</v>
      </c>
      <c r="E1094" s="127" t="n">
        <v>632</v>
      </c>
      <c r="F1094" s="128">
        <f>IF(C1094&lt;=30,5,IF(C1094&lt;=60,4,IF(C1094&lt;=120,3,IF(C1094&lt;=200,2,1))))</f>
        <v/>
      </c>
      <c r="G1094" s="128">
        <f>IF(D1094&gt;=20,5,IF(D1094&gt;=10,4,IF(D1094&gt;=5,3,IF(D1094&gt;=2,2,1))))</f>
        <v/>
      </c>
      <c r="H1094" s="128">
        <f>IF(E1094&gt;=5000,5,IF(E1094&gt;=2000,4,IF(E1094&gt;=800,3,IF(E1094&gt;=300,2,1))))</f>
        <v/>
      </c>
      <c r="I1094" s="126">
        <f>TEXT(F1094,"0")&amp;TEXT(G1094,"0")&amp;TEXT(H1094,"0")</f>
        <v/>
      </c>
      <c r="J1094" s="126">
        <f>IFERROR(XLOOKUP(I1094,'Segment Map'!A:A,'Segment Map'!B:B,"Need Attention"),"Need Attention")</f>
        <v/>
      </c>
      <c r="K1094" s="126">
        <f>IF(E1094&gt;=5000,"🏆 Platinum",IF(E1094&gt;=2000,"🥇 Gold",IF(E1094&gt;=800,"🥈 Silver","🥉 Bronze")))</f>
        <v/>
      </c>
      <c r="L1094" s="129" t="n">
        <v>40881</v>
      </c>
    </row>
    <row r="1095">
      <c r="A1095" s="122" t="n">
        <v>13823</v>
      </c>
      <c r="B1095" s="122" t="inlineStr">
        <is>
          <t>United Kingdom</t>
        </is>
      </c>
      <c r="C1095" s="122" t="n">
        <v>19</v>
      </c>
      <c r="D1095" s="122" t="n">
        <v>2</v>
      </c>
      <c r="E1095" s="123" t="n">
        <v>957.66</v>
      </c>
      <c r="F1095" s="124">
        <f>IF(C1095&lt;=30,5,IF(C1095&lt;=60,4,IF(C1095&lt;=120,3,IF(C1095&lt;=200,2,1))))</f>
        <v/>
      </c>
      <c r="G1095" s="124">
        <f>IF(D1095&gt;=20,5,IF(D1095&gt;=10,4,IF(D1095&gt;=5,3,IF(D1095&gt;=2,2,1))))</f>
        <v/>
      </c>
      <c r="H1095" s="124">
        <f>IF(E1095&gt;=5000,5,IF(E1095&gt;=2000,4,IF(E1095&gt;=800,3,IF(E1095&gt;=300,2,1))))</f>
        <v/>
      </c>
      <c r="I1095" s="122">
        <f>TEXT(F1095,"0")&amp;TEXT(G1095,"0")&amp;TEXT(H1095,"0")</f>
        <v/>
      </c>
      <c r="J1095" s="122">
        <f>IFERROR(XLOOKUP(I1095,'Segment Map'!A:A,'Segment Map'!B:B,"Need Attention"),"Need Attention")</f>
        <v/>
      </c>
      <c r="K1095" s="122">
        <f>IF(E1095&gt;=5000,"🏆 Platinum",IF(E1095&gt;=2000,"🥇 Gold",IF(E1095&gt;=800,"🥈 Silver","🥉 Bronze")))</f>
        <v/>
      </c>
      <c r="L1095" s="125" t="n">
        <v>40868</v>
      </c>
    </row>
    <row r="1096">
      <c r="A1096" s="126" t="n">
        <v>13824</v>
      </c>
      <c r="B1096" s="126" t="inlineStr">
        <is>
          <t>United Kingdom</t>
        </is>
      </c>
      <c r="C1096" s="126" t="n">
        <v>33</v>
      </c>
      <c r="D1096" s="126" t="n">
        <v>5</v>
      </c>
      <c r="E1096" s="127" t="n">
        <v>1698.94</v>
      </c>
      <c r="F1096" s="128">
        <f>IF(C1096&lt;=30,5,IF(C1096&lt;=60,4,IF(C1096&lt;=120,3,IF(C1096&lt;=200,2,1))))</f>
        <v/>
      </c>
      <c r="G1096" s="128">
        <f>IF(D1096&gt;=20,5,IF(D1096&gt;=10,4,IF(D1096&gt;=5,3,IF(D1096&gt;=2,2,1))))</f>
        <v/>
      </c>
      <c r="H1096" s="128">
        <f>IF(E1096&gt;=5000,5,IF(E1096&gt;=2000,4,IF(E1096&gt;=800,3,IF(E1096&gt;=300,2,1))))</f>
        <v/>
      </c>
      <c r="I1096" s="126">
        <f>TEXT(F1096,"0")&amp;TEXT(G1096,"0")&amp;TEXT(H1096,"0")</f>
        <v/>
      </c>
      <c r="J1096" s="126">
        <f>IFERROR(XLOOKUP(I1096,'Segment Map'!A:A,'Segment Map'!B:B,"Need Attention"),"Need Attention")</f>
        <v/>
      </c>
      <c r="K1096" s="126">
        <f>IF(E1096&gt;=5000,"🏆 Platinum",IF(E1096&gt;=2000,"🥇 Gold",IF(E1096&gt;=800,"🥈 Silver","🥉 Bronze")))</f>
        <v/>
      </c>
      <c r="L1096" s="129" t="n">
        <v>40854</v>
      </c>
    </row>
    <row r="1097">
      <c r="A1097" s="122" t="n">
        <v>13826</v>
      </c>
      <c r="B1097" s="122" t="inlineStr">
        <is>
          <t>United Kingdom</t>
        </is>
      </c>
      <c r="C1097" s="122" t="n">
        <v>177</v>
      </c>
      <c r="D1097" s="122" t="n">
        <v>1</v>
      </c>
      <c r="E1097" s="123" t="n">
        <v>189.5</v>
      </c>
      <c r="F1097" s="124">
        <f>IF(C1097&lt;=30,5,IF(C1097&lt;=60,4,IF(C1097&lt;=120,3,IF(C1097&lt;=200,2,1))))</f>
        <v/>
      </c>
      <c r="G1097" s="124">
        <f>IF(D1097&gt;=20,5,IF(D1097&gt;=10,4,IF(D1097&gt;=5,3,IF(D1097&gt;=2,2,1))))</f>
        <v/>
      </c>
      <c r="H1097" s="124">
        <f>IF(E1097&gt;=5000,5,IF(E1097&gt;=2000,4,IF(E1097&gt;=800,3,IF(E1097&gt;=300,2,1))))</f>
        <v/>
      </c>
      <c r="I1097" s="122">
        <f>TEXT(F1097,"0")&amp;TEXT(G1097,"0")&amp;TEXT(H1097,"0")</f>
        <v/>
      </c>
      <c r="J1097" s="122">
        <f>IFERROR(XLOOKUP(I1097,'Segment Map'!A:A,'Segment Map'!B:B,"Need Attention"),"Need Attention")</f>
        <v/>
      </c>
      <c r="K1097" s="122">
        <f>IF(E1097&gt;=5000,"🏆 Platinum",IF(E1097&gt;=2000,"🥇 Gold",IF(E1097&gt;=800,"🥈 Silver","🥉 Bronze")))</f>
        <v/>
      </c>
      <c r="L1097" s="125" t="n">
        <v>40710</v>
      </c>
    </row>
    <row r="1098">
      <c r="A1098" s="126" t="n">
        <v>13827</v>
      </c>
      <c r="B1098" s="126" t="inlineStr">
        <is>
          <t>United Kingdom</t>
        </is>
      </c>
      <c r="C1098" s="126" t="n">
        <v>58</v>
      </c>
      <c r="D1098" s="126" t="n">
        <v>3</v>
      </c>
      <c r="E1098" s="127" t="n">
        <v>412.05</v>
      </c>
      <c r="F1098" s="128">
        <f>IF(C1098&lt;=30,5,IF(C1098&lt;=60,4,IF(C1098&lt;=120,3,IF(C1098&lt;=200,2,1))))</f>
        <v/>
      </c>
      <c r="G1098" s="128">
        <f>IF(D1098&gt;=20,5,IF(D1098&gt;=10,4,IF(D1098&gt;=5,3,IF(D1098&gt;=2,2,1))))</f>
        <v/>
      </c>
      <c r="H1098" s="128">
        <f>IF(E1098&gt;=5000,5,IF(E1098&gt;=2000,4,IF(E1098&gt;=800,3,IF(E1098&gt;=300,2,1))))</f>
        <v/>
      </c>
      <c r="I1098" s="126">
        <f>TEXT(F1098,"0")&amp;TEXT(G1098,"0")&amp;TEXT(H1098,"0")</f>
        <v/>
      </c>
      <c r="J1098" s="126">
        <f>IFERROR(XLOOKUP(I1098,'Segment Map'!A:A,'Segment Map'!B:B,"Need Attention"),"Need Attention")</f>
        <v/>
      </c>
      <c r="K1098" s="126">
        <f>IF(E1098&gt;=5000,"🏆 Platinum",IF(E1098&gt;=2000,"🥇 Gold",IF(E1098&gt;=800,"🥈 Silver","🥉 Bronze")))</f>
        <v/>
      </c>
      <c r="L1098" s="129" t="n">
        <v>40829</v>
      </c>
    </row>
    <row r="1099">
      <c r="A1099" s="122" t="n">
        <v>13828</v>
      </c>
      <c r="B1099" s="122" t="inlineStr">
        <is>
          <t>United Kingdom</t>
        </is>
      </c>
      <c r="C1099" s="122" t="n">
        <v>23</v>
      </c>
      <c r="D1099" s="122" t="n">
        <v>1</v>
      </c>
      <c r="E1099" s="123" t="n">
        <v>209.49</v>
      </c>
      <c r="F1099" s="124">
        <f>IF(C1099&lt;=30,5,IF(C1099&lt;=60,4,IF(C1099&lt;=120,3,IF(C1099&lt;=200,2,1))))</f>
        <v/>
      </c>
      <c r="G1099" s="124">
        <f>IF(D1099&gt;=20,5,IF(D1099&gt;=10,4,IF(D1099&gt;=5,3,IF(D1099&gt;=2,2,1))))</f>
        <v/>
      </c>
      <c r="H1099" s="124">
        <f>IF(E1099&gt;=5000,5,IF(E1099&gt;=2000,4,IF(E1099&gt;=800,3,IF(E1099&gt;=300,2,1))))</f>
        <v/>
      </c>
      <c r="I1099" s="122">
        <f>TEXT(F1099,"0")&amp;TEXT(G1099,"0")&amp;TEXT(H1099,"0")</f>
        <v/>
      </c>
      <c r="J1099" s="122">
        <f>IFERROR(XLOOKUP(I1099,'Segment Map'!A:A,'Segment Map'!B:B,"Need Attention"),"Need Attention")</f>
        <v/>
      </c>
      <c r="K1099" s="122">
        <f>IF(E1099&gt;=5000,"🏆 Platinum",IF(E1099&gt;=2000,"🥇 Gold",IF(E1099&gt;=800,"🥈 Silver","🥉 Bronze")))</f>
        <v/>
      </c>
      <c r="L1099" s="125" t="n">
        <v>40864</v>
      </c>
    </row>
    <row r="1100">
      <c r="A1100" s="126" t="n">
        <v>13831</v>
      </c>
      <c r="B1100" s="126" t="inlineStr">
        <is>
          <t>United Kingdom</t>
        </is>
      </c>
      <c r="C1100" s="126" t="n">
        <v>17</v>
      </c>
      <c r="D1100" s="126" t="n">
        <v>6</v>
      </c>
      <c r="E1100" s="127" t="n">
        <v>2202.99</v>
      </c>
      <c r="F1100" s="128">
        <f>IF(C1100&lt;=30,5,IF(C1100&lt;=60,4,IF(C1100&lt;=120,3,IF(C1100&lt;=200,2,1))))</f>
        <v/>
      </c>
      <c r="G1100" s="128">
        <f>IF(D1100&gt;=20,5,IF(D1100&gt;=10,4,IF(D1100&gt;=5,3,IF(D1100&gt;=2,2,1))))</f>
        <v/>
      </c>
      <c r="H1100" s="128">
        <f>IF(E1100&gt;=5000,5,IF(E1100&gt;=2000,4,IF(E1100&gt;=800,3,IF(E1100&gt;=300,2,1))))</f>
        <v/>
      </c>
      <c r="I1100" s="126">
        <f>TEXT(F1100,"0")&amp;TEXT(G1100,"0")&amp;TEXT(H1100,"0")</f>
        <v/>
      </c>
      <c r="J1100" s="126">
        <f>IFERROR(XLOOKUP(I1100,'Segment Map'!A:A,'Segment Map'!B:B,"Need Attention"),"Need Attention")</f>
        <v/>
      </c>
      <c r="K1100" s="126">
        <f>IF(E1100&gt;=5000,"🏆 Platinum",IF(E1100&gt;=2000,"🥇 Gold",IF(E1100&gt;=800,"🥈 Silver","🥉 Bronze")))</f>
        <v/>
      </c>
      <c r="L1100" s="129" t="n">
        <v>40870</v>
      </c>
    </row>
    <row r="1101">
      <c r="A1101" s="122" t="n">
        <v>13832</v>
      </c>
      <c r="B1101" s="122" t="inlineStr">
        <is>
          <t>United Kingdom</t>
        </is>
      </c>
      <c r="C1101" s="122" t="n">
        <v>20</v>
      </c>
      <c r="D1101" s="122" t="n">
        <v>1</v>
      </c>
      <c r="E1101" s="123" t="n">
        <v>52.2</v>
      </c>
      <c r="F1101" s="124">
        <f>IF(C1101&lt;=30,5,IF(C1101&lt;=60,4,IF(C1101&lt;=120,3,IF(C1101&lt;=200,2,1))))</f>
        <v/>
      </c>
      <c r="G1101" s="124">
        <f>IF(D1101&gt;=20,5,IF(D1101&gt;=10,4,IF(D1101&gt;=5,3,IF(D1101&gt;=2,2,1))))</f>
        <v/>
      </c>
      <c r="H1101" s="124">
        <f>IF(E1101&gt;=5000,5,IF(E1101&gt;=2000,4,IF(E1101&gt;=800,3,IF(E1101&gt;=300,2,1))))</f>
        <v/>
      </c>
      <c r="I1101" s="122">
        <f>TEXT(F1101,"0")&amp;TEXT(G1101,"0")&amp;TEXT(H1101,"0")</f>
        <v/>
      </c>
      <c r="J1101" s="122">
        <f>IFERROR(XLOOKUP(I1101,'Segment Map'!A:A,'Segment Map'!B:B,"Need Attention"),"Need Attention")</f>
        <v/>
      </c>
      <c r="K1101" s="122">
        <f>IF(E1101&gt;=5000,"🏆 Platinum",IF(E1101&gt;=2000,"🥇 Gold",IF(E1101&gt;=800,"🥈 Silver","🥉 Bronze")))</f>
        <v/>
      </c>
      <c r="L1101" s="125" t="n">
        <v>40867</v>
      </c>
    </row>
    <row r="1102">
      <c r="A1102" s="126" t="n">
        <v>13833</v>
      </c>
      <c r="B1102" s="126" t="inlineStr">
        <is>
          <t>United Kingdom</t>
        </is>
      </c>
      <c r="C1102" s="126" t="n">
        <v>160</v>
      </c>
      <c r="D1102" s="126" t="n">
        <v>1</v>
      </c>
      <c r="E1102" s="127" t="n">
        <v>384.8</v>
      </c>
      <c r="F1102" s="128">
        <f>IF(C1102&lt;=30,5,IF(C1102&lt;=60,4,IF(C1102&lt;=120,3,IF(C1102&lt;=200,2,1))))</f>
        <v/>
      </c>
      <c r="G1102" s="128">
        <f>IF(D1102&gt;=20,5,IF(D1102&gt;=10,4,IF(D1102&gt;=5,3,IF(D1102&gt;=2,2,1))))</f>
        <v/>
      </c>
      <c r="H1102" s="128">
        <f>IF(E1102&gt;=5000,5,IF(E1102&gt;=2000,4,IF(E1102&gt;=800,3,IF(E1102&gt;=300,2,1))))</f>
        <v/>
      </c>
      <c r="I1102" s="126">
        <f>TEXT(F1102,"0")&amp;TEXT(G1102,"0")&amp;TEXT(H1102,"0")</f>
        <v/>
      </c>
      <c r="J1102" s="126">
        <f>IFERROR(XLOOKUP(I1102,'Segment Map'!A:A,'Segment Map'!B:B,"Need Attention"),"Need Attention")</f>
        <v/>
      </c>
      <c r="K1102" s="126">
        <f>IF(E1102&gt;=5000,"🏆 Platinum",IF(E1102&gt;=2000,"🥇 Gold",IF(E1102&gt;=800,"🥈 Silver","🥉 Bronze")))</f>
        <v/>
      </c>
      <c r="L1102" s="129" t="n">
        <v>40727</v>
      </c>
    </row>
    <row r="1103">
      <c r="A1103" s="122" t="n">
        <v>13835</v>
      </c>
      <c r="B1103" s="122" t="inlineStr">
        <is>
          <t>United Kingdom</t>
        </is>
      </c>
      <c r="C1103" s="122" t="n">
        <v>26</v>
      </c>
      <c r="D1103" s="122" t="n">
        <v>4</v>
      </c>
      <c r="E1103" s="123" t="n">
        <v>834.5700000000001</v>
      </c>
      <c r="F1103" s="124">
        <f>IF(C1103&lt;=30,5,IF(C1103&lt;=60,4,IF(C1103&lt;=120,3,IF(C1103&lt;=200,2,1))))</f>
        <v/>
      </c>
      <c r="G1103" s="124">
        <f>IF(D1103&gt;=20,5,IF(D1103&gt;=10,4,IF(D1103&gt;=5,3,IF(D1103&gt;=2,2,1))))</f>
        <v/>
      </c>
      <c r="H1103" s="124">
        <f>IF(E1103&gt;=5000,5,IF(E1103&gt;=2000,4,IF(E1103&gt;=800,3,IF(E1103&gt;=300,2,1))))</f>
        <v/>
      </c>
      <c r="I1103" s="122">
        <f>TEXT(F1103,"0")&amp;TEXT(G1103,"0")&amp;TEXT(H1103,"0")</f>
        <v/>
      </c>
      <c r="J1103" s="122">
        <f>IFERROR(XLOOKUP(I1103,'Segment Map'!A:A,'Segment Map'!B:B,"Need Attention"),"Need Attention")</f>
        <v/>
      </c>
      <c r="K1103" s="122">
        <f>IF(E1103&gt;=5000,"🏆 Platinum",IF(E1103&gt;=2000,"🥇 Gold",IF(E1103&gt;=800,"🥈 Silver","🥉 Bronze")))</f>
        <v/>
      </c>
      <c r="L1103" s="125" t="n">
        <v>40861</v>
      </c>
    </row>
    <row r="1104">
      <c r="A1104" s="126" t="n">
        <v>13837</v>
      </c>
      <c r="B1104" s="126" t="inlineStr">
        <is>
          <t>United Kingdom</t>
        </is>
      </c>
      <c r="C1104" s="126" t="n">
        <v>212</v>
      </c>
      <c r="D1104" s="126" t="n">
        <v>2</v>
      </c>
      <c r="E1104" s="127" t="n">
        <v>271.24</v>
      </c>
      <c r="F1104" s="128">
        <f>IF(C1104&lt;=30,5,IF(C1104&lt;=60,4,IF(C1104&lt;=120,3,IF(C1104&lt;=200,2,1))))</f>
        <v/>
      </c>
      <c r="G1104" s="128">
        <f>IF(D1104&gt;=20,5,IF(D1104&gt;=10,4,IF(D1104&gt;=5,3,IF(D1104&gt;=2,2,1))))</f>
        <v/>
      </c>
      <c r="H1104" s="128">
        <f>IF(E1104&gt;=5000,5,IF(E1104&gt;=2000,4,IF(E1104&gt;=800,3,IF(E1104&gt;=300,2,1))))</f>
        <v/>
      </c>
      <c r="I1104" s="126">
        <f>TEXT(F1104,"0")&amp;TEXT(G1104,"0")&amp;TEXT(H1104,"0")</f>
        <v/>
      </c>
      <c r="J1104" s="126">
        <f>IFERROR(XLOOKUP(I1104,'Segment Map'!A:A,'Segment Map'!B:B,"Need Attention"),"Need Attention")</f>
        <v/>
      </c>
      <c r="K1104" s="126">
        <f>IF(E1104&gt;=5000,"🏆 Platinum",IF(E1104&gt;=2000,"🥇 Gold",IF(E1104&gt;=800,"🥈 Silver","🥉 Bronze")))</f>
        <v/>
      </c>
      <c r="L1104" s="129" t="n">
        <v>40675</v>
      </c>
    </row>
    <row r="1105">
      <c r="A1105" s="122" t="n">
        <v>13838</v>
      </c>
      <c r="B1105" s="122" t="inlineStr">
        <is>
          <t>United Kingdom</t>
        </is>
      </c>
      <c r="C1105" s="122" t="n">
        <v>6</v>
      </c>
      <c r="D1105" s="122" t="n">
        <v>4</v>
      </c>
      <c r="E1105" s="123" t="n">
        <v>691.73</v>
      </c>
      <c r="F1105" s="124">
        <f>IF(C1105&lt;=30,5,IF(C1105&lt;=60,4,IF(C1105&lt;=120,3,IF(C1105&lt;=200,2,1))))</f>
        <v/>
      </c>
      <c r="G1105" s="124">
        <f>IF(D1105&gt;=20,5,IF(D1105&gt;=10,4,IF(D1105&gt;=5,3,IF(D1105&gt;=2,2,1))))</f>
        <v/>
      </c>
      <c r="H1105" s="124">
        <f>IF(E1105&gt;=5000,5,IF(E1105&gt;=2000,4,IF(E1105&gt;=800,3,IF(E1105&gt;=300,2,1))))</f>
        <v/>
      </c>
      <c r="I1105" s="122">
        <f>TEXT(F1105,"0")&amp;TEXT(G1105,"0")&amp;TEXT(H1105,"0")</f>
        <v/>
      </c>
      <c r="J1105" s="122">
        <f>IFERROR(XLOOKUP(I1105,'Segment Map'!A:A,'Segment Map'!B:B,"Need Attention"),"Need Attention")</f>
        <v/>
      </c>
      <c r="K1105" s="122">
        <f>IF(E1105&gt;=5000,"🏆 Platinum",IF(E1105&gt;=2000,"🥇 Gold",IF(E1105&gt;=800,"🥈 Silver","🥉 Bronze")))</f>
        <v/>
      </c>
      <c r="L1105" s="125" t="n">
        <v>40881</v>
      </c>
    </row>
    <row r="1106">
      <c r="A1106" s="126" t="n">
        <v>13841</v>
      </c>
      <c r="B1106" s="126" t="inlineStr">
        <is>
          <t>United Kingdom</t>
        </is>
      </c>
      <c r="C1106" s="126" t="n">
        <v>253</v>
      </c>
      <c r="D1106" s="126" t="n">
        <v>1</v>
      </c>
      <c r="E1106" s="127" t="n">
        <v>85</v>
      </c>
      <c r="F1106" s="128">
        <f>IF(C1106&lt;=30,5,IF(C1106&lt;=60,4,IF(C1106&lt;=120,3,IF(C1106&lt;=200,2,1))))</f>
        <v/>
      </c>
      <c r="G1106" s="128">
        <f>IF(D1106&gt;=20,5,IF(D1106&gt;=10,4,IF(D1106&gt;=5,3,IF(D1106&gt;=2,2,1))))</f>
        <v/>
      </c>
      <c r="H1106" s="128">
        <f>IF(E1106&gt;=5000,5,IF(E1106&gt;=2000,4,IF(E1106&gt;=800,3,IF(E1106&gt;=300,2,1))))</f>
        <v/>
      </c>
      <c r="I1106" s="126">
        <f>TEXT(F1106,"0")&amp;TEXT(G1106,"0")&amp;TEXT(H1106,"0")</f>
        <v/>
      </c>
      <c r="J1106" s="126">
        <f>IFERROR(XLOOKUP(I1106,'Segment Map'!A:A,'Segment Map'!B:B,"Need Attention"),"Need Attention")</f>
        <v/>
      </c>
      <c r="K1106" s="126">
        <f>IF(E1106&gt;=5000,"🏆 Platinum",IF(E1106&gt;=2000,"🥇 Gold",IF(E1106&gt;=800,"🥈 Silver","🥉 Bronze")))</f>
        <v/>
      </c>
      <c r="L1106" s="129" t="n">
        <v>40634</v>
      </c>
    </row>
    <row r="1107">
      <c r="A1107" s="122" t="n">
        <v>13842</v>
      </c>
      <c r="B1107" s="122" t="inlineStr">
        <is>
          <t>United Kingdom</t>
        </is>
      </c>
      <c r="C1107" s="122" t="n">
        <v>59</v>
      </c>
      <c r="D1107" s="122" t="n">
        <v>9</v>
      </c>
      <c r="E1107" s="123" t="n">
        <v>3385.62</v>
      </c>
      <c r="F1107" s="124">
        <f>IF(C1107&lt;=30,5,IF(C1107&lt;=60,4,IF(C1107&lt;=120,3,IF(C1107&lt;=200,2,1))))</f>
        <v/>
      </c>
      <c r="G1107" s="124">
        <f>IF(D1107&gt;=20,5,IF(D1107&gt;=10,4,IF(D1107&gt;=5,3,IF(D1107&gt;=2,2,1))))</f>
        <v/>
      </c>
      <c r="H1107" s="124">
        <f>IF(E1107&gt;=5000,5,IF(E1107&gt;=2000,4,IF(E1107&gt;=800,3,IF(E1107&gt;=300,2,1))))</f>
        <v/>
      </c>
      <c r="I1107" s="122">
        <f>TEXT(F1107,"0")&amp;TEXT(G1107,"0")&amp;TEXT(H1107,"0")</f>
        <v/>
      </c>
      <c r="J1107" s="122">
        <f>IFERROR(XLOOKUP(I1107,'Segment Map'!A:A,'Segment Map'!B:B,"Need Attention"),"Need Attention")</f>
        <v/>
      </c>
      <c r="K1107" s="122">
        <f>IF(E1107&gt;=5000,"🏆 Platinum",IF(E1107&gt;=2000,"🥇 Gold",IF(E1107&gt;=800,"🥈 Silver","🥉 Bronze")))</f>
        <v/>
      </c>
      <c r="L1107" s="125" t="n">
        <v>40828</v>
      </c>
    </row>
    <row r="1108">
      <c r="A1108" s="126" t="n">
        <v>13844</v>
      </c>
      <c r="B1108" s="126" t="inlineStr">
        <is>
          <t>United Kingdom</t>
        </is>
      </c>
      <c r="C1108" s="126" t="n">
        <v>12</v>
      </c>
      <c r="D1108" s="126" t="n">
        <v>1</v>
      </c>
      <c r="E1108" s="127" t="n">
        <v>361.62</v>
      </c>
      <c r="F1108" s="128">
        <f>IF(C1108&lt;=30,5,IF(C1108&lt;=60,4,IF(C1108&lt;=120,3,IF(C1108&lt;=200,2,1))))</f>
        <v/>
      </c>
      <c r="G1108" s="128">
        <f>IF(D1108&gt;=20,5,IF(D1108&gt;=10,4,IF(D1108&gt;=5,3,IF(D1108&gt;=2,2,1))))</f>
        <v/>
      </c>
      <c r="H1108" s="128">
        <f>IF(E1108&gt;=5000,5,IF(E1108&gt;=2000,4,IF(E1108&gt;=800,3,IF(E1108&gt;=300,2,1))))</f>
        <v/>
      </c>
      <c r="I1108" s="126">
        <f>TEXT(F1108,"0")&amp;TEXT(G1108,"0")&amp;TEXT(H1108,"0")</f>
        <v/>
      </c>
      <c r="J1108" s="126">
        <f>IFERROR(XLOOKUP(I1108,'Segment Map'!A:A,'Segment Map'!B:B,"Need Attention"),"Need Attention")</f>
        <v/>
      </c>
      <c r="K1108" s="126">
        <f>IF(E1108&gt;=5000,"🏆 Platinum",IF(E1108&gt;=2000,"🥇 Gold",IF(E1108&gt;=800,"🥈 Silver","🥉 Bronze")))</f>
        <v/>
      </c>
      <c r="L1108" s="129" t="n">
        <v>40875</v>
      </c>
    </row>
    <row r="1109">
      <c r="A1109" s="122" t="n">
        <v>13845</v>
      </c>
      <c r="B1109" s="122" t="inlineStr">
        <is>
          <t>United Kingdom</t>
        </is>
      </c>
      <c r="C1109" s="122" t="n">
        <v>65</v>
      </c>
      <c r="D1109" s="122" t="n">
        <v>1</v>
      </c>
      <c r="E1109" s="123" t="n">
        <v>312.98</v>
      </c>
      <c r="F1109" s="124">
        <f>IF(C1109&lt;=30,5,IF(C1109&lt;=60,4,IF(C1109&lt;=120,3,IF(C1109&lt;=200,2,1))))</f>
        <v/>
      </c>
      <c r="G1109" s="124">
        <f>IF(D1109&gt;=20,5,IF(D1109&gt;=10,4,IF(D1109&gt;=5,3,IF(D1109&gt;=2,2,1))))</f>
        <v/>
      </c>
      <c r="H1109" s="124">
        <f>IF(E1109&gt;=5000,5,IF(E1109&gt;=2000,4,IF(E1109&gt;=800,3,IF(E1109&gt;=300,2,1))))</f>
        <v/>
      </c>
      <c r="I1109" s="122">
        <f>TEXT(F1109,"0")&amp;TEXT(G1109,"0")&amp;TEXT(H1109,"0")</f>
        <v/>
      </c>
      <c r="J1109" s="122">
        <f>IFERROR(XLOOKUP(I1109,'Segment Map'!A:A,'Segment Map'!B:B,"Need Attention"),"Need Attention")</f>
        <v/>
      </c>
      <c r="K1109" s="122">
        <f>IF(E1109&gt;=5000,"🏆 Platinum",IF(E1109&gt;=2000,"🥇 Gold",IF(E1109&gt;=800,"🥈 Silver","🥉 Bronze")))</f>
        <v/>
      </c>
      <c r="L1109" s="125" t="n">
        <v>40822</v>
      </c>
    </row>
    <row r="1110">
      <c r="A1110" s="126" t="n">
        <v>13846</v>
      </c>
      <c r="B1110" s="126" t="inlineStr">
        <is>
          <t>United Kingdom</t>
        </is>
      </c>
      <c r="C1110" s="126" t="n">
        <v>25</v>
      </c>
      <c r="D1110" s="126" t="n">
        <v>3</v>
      </c>
      <c r="E1110" s="127" t="n">
        <v>865.0599999999999</v>
      </c>
      <c r="F1110" s="128">
        <f>IF(C1110&lt;=30,5,IF(C1110&lt;=60,4,IF(C1110&lt;=120,3,IF(C1110&lt;=200,2,1))))</f>
        <v/>
      </c>
      <c r="G1110" s="128">
        <f>IF(D1110&gt;=20,5,IF(D1110&gt;=10,4,IF(D1110&gt;=5,3,IF(D1110&gt;=2,2,1))))</f>
        <v/>
      </c>
      <c r="H1110" s="128">
        <f>IF(E1110&gt;=5000,5,IF(E1110&gt;=2000,4,IF(E1110&gt;=800,3,IF(E1110&gt;=300,2,1))))</f>
        <v/>
      </c>
      <c r="I1110" s="126">
        <f>TEXT(F1110,"0")&amp;TEXT(G1110,"0")&amp;TEXT(H1110,"0")</f>
        <v/>
      </c>
      <c r="J1110" s="126">
        <f>IFERROR(XLOOKUP(I1110,'Segment Map'!A:A,'Segment Map'!B:B,"Need Attention"),"Need Attention")</f>
        <v/>
      </c>
      <c r="K1110" s="126">
        <f>IF(E1110&gt;=5000,"🏆 Platinum",IF(E1110&gt;=2000,"🥇 Gold",IF(E1110&gt;=800,"🥈 Silver","🥉 Bronze")))</f>
        <v/>
      </c>
      <c r="L1110" s="129" t="n">
        <v>40862</v>
      </c>
    </row>
    <row r="1111">
      <c r="A1111" s="122" t="n">
        <v>13848</v>
      </c>
      <c r="B1111" s="122" t="inlineStr">
        <is>
          <t>United Kingdom</t>
        </is>
      </c>
      <c r="C1111" s="122" t="n">
        <v>93</v>
      </c>
      <c r="D1111" s="122" t="n">
        <v>3</v>
      </c>
      <c r="E1111" s="123" t="n">
        <v>1255</v>
      </c>
      <c r="F1111" s="124">
        <f>IF(C1111&lt;=30,5,IF(C1111&lt;=60,4,IF(C1111&lt;=120,3,IF(C1111&lt;=200,2,1))))</f>
        <v/>
      </c>
      <c r="G1111" s="124">
        <f>IF(D1111&gt;=20,5,IF(D1111&gt;=10,4,IF(D1111&gt;=5,3,IF(D1111&gt;=2,2,1))))</f>
        <v/>
      </c>
      <c r="H1111" s="124">
        <f>IF(E1111&gt;=5000,5,IF(E1111&gt;=2000,4,IF(E1111&gt;=800,3,IF(E1111&gt;=300,2,1))))</f>
        <v/>
      </c>
      <c r="I1111" s="122">
        <f>TEXT(F1111,"0")&amp;TEXT(G1111,"0")&amp;TEXT(H1111,"0")</f>
        <v/>
      </c>
      <c r="J1111" s="122">
        <f>IFERROR(XLOOKUP(I1111,'Segment Map'!A:A,'Segment Map'!B:B,"Need Attention"),"Need Attention")</f>
        <v/>
      </c>
      <c r="K1111" s="122">
        <f>IF(E1111&gt;=5000,"🏆 Platinum",IF(E1111&gt;=2000,"🥇 Gold",IF(E1111&gt;=800,"🥈 Silver","🥉 Bronze")))</f>
        <v/>
      </c>
      <c r="L1111" s="125" t="n">
        <v>40794</v>
      </c>
    </row>
    <row r="1112">
      <c r="A1112" s="126" t="n">
        <v>13849</v>
      </c>
      <c r="B1112" s="126" t="inlineStr">
        <is>
          <t>United Kingdom</t>
        </is>
      </c>
      <c r="C1112" s="126" t="n">
        <v>52</v>
      </c>
      <c r="D1112" s="126" t="n">
        <v>2</v>
      </c>
      <c r="E1112" s="127" t="n">
        <v>1537.95</v>
      </c>
      <c r="F1112" s="128">
        <f>IF(C1112&lt;=30,5,IF(C1112&lt;=60,4,IF(C1112&lt;=120,3,IF(C1112&lt;=200,2,1))))</f>
        <v/>
      </c>
      <c r="G1112" s="128">
        <f>IF(D1112&gt;=20,5,IF(D1112&gt;=10,4,IF(D1112&gt;=5,3,IF(D1112&gt;=2,2,1))))</f>
        <v/>
      </c>
      <c r="H1112" s="128">
        <f>IF(E1112&gt;=5000,5,IF(E1112&gt;=2000,4,IF(E1112&gt;=800,3,IF(E1112&gt;=300,2,1))))</f>
        <v/>
      </c>
      <c r="I1112" s="126">
        <f>TEXT(F1112,"0")&amp;TEXT(G1112,"0")&amp;TEXT(H1112,"0")</f>
        <v/>
      </c>
      <c r="J1112" s="126">
        <f>IFERROR(XLOOKUP(I1112,'Segment Map'!A:A,'Segment Map'!B:B,"Need Attention"),"Need Attention")</f>
        <v/>
      </c>
      <c r="K1112" s="126">
        <f>IF(E1112&gt;=5000,"🏆 Platinum",IF(E1112&gt;=2000,"🥇 Gold",IF(E1112&gt;=800,"🥈 Silver","🥉 Bronze")))</f>
        <v/>
      </c>
      <c r="L1112" s="129" t="n">
        <v>40835</v>
      </c>
    </row>
    <row r="1113">
      <c r="A1113" s="122" t="n">
        <v>13850</v>
      </c>
      <c r="B1113" s="122" t="inlineStr">
        <is>
          <t>United Kingdom</t>
        </is>
      </c>
      <c r="C1113" s="122" t="n">
        <v>130</v>
      </c>
      <c r="D1113" s="122" t="n">
        <v>1</v>
      </c>
      <c r="E1113" s="123" t="n">
        <v>1595.48</v>
      </c>
      <c r="F1113" s="124">
        <f>IF(C1113&lt;=30,5,IF(C1113&lt;=60,4,IF(C1113&lt;=120,3,IF(C1113&lt;=200,2,1))))</f>
        <v/>
      </c>
      <c r="G1113" s="124">
        <f>IF(D1113&gt;=20,5,IF(D1113&gt;=10,4,IF(D1113&gt;=5,3,IF(D1113&gt;=2,2,1))))</f>
        <v/>
      </c>
      <c r="H1113" s="124">
        <f>IF(E1113&gt;=5000,5,IF(E1113&gt;=2000,4,IF(E1113&gt;=800,3,IF(E1113&gt;=300,2,1))))</f>
        <v/>
      </c>
      <c r="I1113" s="122">
        <f>TEXT(F1113,"0")&amp;TEXT(G1113,"0")&amp;TEXT(H1113,"0")</f>
        <v/>
      </c>
      <c r="J1113" s="122">
        <f>IFERROR(XLOOKUP(I1113,'Segment Map'!A:A,'Segment Map'!B:B,"Need Attention"),"Need Attention")</f>
        <v/>
      </c>
      <c r="K1113" s="122">
        <f>IF(E1113&gt;=5000,"🏆 Platinum",IF(E1113&gt;=2000,"🥇 Gold",IF(E1113&gt;=800,"🥈 Silver","🥉 Bronze")))</f>
        <v/>
      </c>
      <c r="L1113" s="125" t="n">
        <v>40757</v>
      </c>
    </row>
    <row r="1114">
      <c r="A1114" s="126" t="n">
        <v>13851</v>
      </c>
      <c r="B1114" s="126" t="inlineStr">
        <is>
          <t>United Kingdom</t>
        </is>
      </c>
      <c r="C1114" s="126" t="n">
        <v>96</v>
      </c>
      <c r="D1114" s="126" t="n">
        <v>3</v>
      </c>
      <c r="E1114" s="127" t="n">
        <v>2651.46</v>
      </c>
      <c r="F1114" s="128">
        <f>IF(C1114&lt;=30,5,IF(C1114&lt;=60,4,IF(C1114&lt;=120,3,IF(C1114&lt;=200,2,1))))</f>
        <v/>
      </c>
      <c r="G1114" s="128">
        <f>IF(D1114&gt;=20,5,IF(D1114&gt;=10,4,IF(D1114&gt;=5,3,IF(D1114&gt;=2,2,1))))</f>
        <v/>
      </c>
      <c r="H1114" s="128">
        <f>IF(E1114&gt;=5000,5,IF(E1114&gt;=2000,4,IF(E1114&gt;=800,3,IF(E1114&gt;=300,2,1))))</f>
        <v/>
      </c>
      <c r="I1114" s="126">
        <f>TEXT(F1114,"0")&amp;TEXT(G1114,"0")&amp;TEXT(H1114,"0")</f>
        <v/>
      </c>
      <c r="J1114" s="126">
        <f>IFERROR(XLOOKUP(I1114,'Segment Map'!A:A,'Segment Map'!B:B,"Need Attention"),"Need Attention")</f>
        <v/>
      </c>
      <c r="K1114" s="126">
        <f>IF(E1114&gt;=5000,"🏆 Platinum",IF(E1114&gt;=2000,"🥇 Gold",IF(E1114&gt;=800,"🥈 Silver","🥉 Bronze")))</f>
        <v/>
      </c>
      <c r="L1114" s="129" t="n">
        <v>40791</v>
      </c>
    </row>
    <row r="1115">
      <c r="A1115" s="122" t="n">
        <v>13853</v>
      </c>
      <c r="B1115" s="122" t="inlineStr">
        <is>
          <t>United Kingdom</t>
        </is>
      </c>
      <c r="C1115" s="122" t="n">
        <v>58</v>
      </c>
      <c r="D1115" s="122" t="n">
        <v>1</v>
      </c>
      <c r="E1115" s="123" t="n">
        <v>1090.14</v>
      </c>
      <c r="F1115" s="124">
        <f>IF(C1115&lt;=30,5,IF(C1115&lt;=60,4,IF(C1115&lt;=120,3,IF(C1115&lt;=200,2,1))))</f>
        <v/>
      </c>
      <c r="G1115" s="124">
        <f>IF(D1115&gt;=20,5,IF(D1115&gt;=10,4,IF(D1115&gt;=5,3,IF(D1115&gt;=2,2,1))))</f>
        <v/>
      </c>
      <c r="H1115" s="124">
        <f>IF(E1115&gt;=5000,5,IF(E1115&gt;=2000,4,IF(E1115&gt;=800,3,IF(E1115&gt;=300,2,1))))</f>
        <v/>
      </c>
      <c r="I1115" s="122">
        <f>TEXT(F1115,"0")&amp;TEXT(G1115,"0")&amp;TEXT(H1115,"0")</f>
        <v/>
      </c>
      <c r="J1115" s="122">
        <f>IFERROR(XLOOKUP(I1115,'Segment Map'!A:A,'Segment Map'!B:B,"Need Attention"),"Need Attention")</f>
        <v/>
      </c>
      <c r="K1115" s="122">
        <f>IF(E1115&gt;=5000,"🏆 Platinum",IF(E1115&gt;=2000,"🥇 Gold",IF(E1115&gt;=800,"🥈 Silver","🥉 Bronze")))</f>
        <v/>
      </c>
      <c r="L1115" s="125" t="n">
        <v>40829</v>
      </c>
    </row>
    <row r="1116">
      <c r="A1116" s="126" t="n">
        <v>13854</v>
      </c>
      <c r="B1116" s="126" t="inlineStr">
        <is>
          <t>United Kingdom</t>
        </is>
      </c>
      <c r="C1116" s="126" t="n">
        <v>9</v>
      </c>
      <c r="D1116" s="126" t="n">
        <v>25</v>
      </c>
      <c r="E1116" s="127" t="n">
        <v>8109.52</v>
      </c>
      <c r="F1116" s="128">
        <f>IF(C1116&lt;=30,5,IF(C1116&lt;=60,4,IF(C1116&lt;=120,3,IF(C1116&lt;=200,2,1))))</f>
        <v/>
      </c>
      <c r="G1116" s="128">
        <f>IF(D1116&gt;=20,5,IF(D1116&gt;=10,4,IF(D1116&gt;=5,3,IF(D1116&gt;=2,2,1))))</f>
        <v/>
      </c>
      <c r="H1116" s="128">
        <f>IF(E1116&gt;=5000,5,IF(E1116&gt;=2000,4,IF(E1116&gt;=800,3,IF(E1116&gt;=300,2,1))))</f>
        <v/>
      </c>
      <c r="I1116" s="126">
        <f>TEXT(F1116,"0")&amp;TEXT(G1116,"0")&amp;TEXT(H1116,"0")</f>
        <v/>
      </c>
      <c r="J1116" s="126">
        <f>IFERROR(XLOOKUP(I1116,'Segment Map'!A:A,'Segment Map'!B:B,"Need Attention"),"Need Attention")</f>
        <v/>
      </c>
      <c r="K1116" s="126">
        <f>IF(E1116&gt;=5000,"🏆 Platinum",IF(E1116&gt;=2000,"🥇 Gold",IF(E1116&gt;=800,"🥈 Silver","🥉 Bronze")))</f>
        <v/>
      </c>
      <c r="L1116" s="129" t="n">
        <v>40878</v>
      </c>
    </row>
    <row r="1117">
      <c r="A1117" s="122" t="n">
        <v>13856</v>
      </c>
      <c r="B1117" s="122" t="inlineStr">
        <is>
          <t>United Kingdom</t>
        </is>
      </c>
      <c r="C1117" s="122" t="n">
        <v>169</v>
      </c>
      <c r="D1117" s="122" t="n">
        <v>3</v>
      </c>
      <c r="E1117" s="123" t="n">
        <v>388.5</v>
      </c>
      <c r="F1117" s="124">
        <f>IF(C1117&lt;=30,5,IF(C1117&lt;=60,4,IF(C1117&lt;=120,3,IF(C1117&lt;=200,2,1))))</f>
        <v/>
      </c>
      <c r="G1117" s="124">
        <f>IF(D1117&gt;=20,5,IF(D1117&gt;=10,4,IF(D1117&gt;=5,3,IF(D1117&gt;=2,2,1))))</f>
        <v/>
      </c>
      <c r="H1117" s="124">
        <f>IF(E1117&gt;=5000,5,IF(E1117&gt;=2000,4,IF(E1117&gt;=800,3,IF(E1117&gt;=300,2,1))))</f>
        <v/>
      </c>
      <c r="I1117" s="122">
        <f>TEXT(F1117,"0")&amp;TEXT(G1117,"0")&amp;TEXT(H1117,"0")</f>
        <v/>
      </c>
      <c r="J1117" s="122">
        <f>IFERROR(XLOOKUP(I1117,'Segment Map'!A:A,'Segment Map'!B:B,"Need Attention"),"Need Attention")</f>
        <v/>
      </c>
      <c r="K1117" s="122">
        <f>IF(E1117&gt;=5000,"🏆 Platinum",IF(E1117&gt;=2000,"🥇 Gold",IF(E1117&gt;=800,"🥈 Silver","🥉 Bronze")))</f>
        <v/>
      </c>
      <c r="L1117" s="125" t="n">
        <v>40718</v>
      </c>
    </row>
    <row r="1118">
      <c r="A1118" s="126" t="n">
        <v>13858</v>
      </c>
      <c r="B1118" s="126" t="inlineStr">
        <is>
          <t>United Kingdom</t>
        </is>
      </c>
      <c r="C1118" s="126" t="n">
        <v>58</v>
      </c>
      <c r="D1118" s="126" t="n">
        <v>1</v>
      </c>
      <c r="E1118" s="127" t="n">
        <v>216.17</v>
      </c>
      <c r="F1118" s="128">
        <f>IF(C1118&lt;=30,5,IF(C1118&lt;=60,4,IF(C1118&lt;=120,3,IF(C1118&lt;=200,2,1))))</f>
        <v/>
      </c>
      <c r="G1118" s="128">
        <f>IF(D1118&gt;=20,5,IF(D1118&gt;=10,4,IF(D1118&gt;=5,3,IF(D1118&gt;=2,2,1))))</f>
        <v/>
      </c>
      <c r="H1118" s="128">
        <f>IF(E1118&gt;=5000,5,IF(E1118&gt;=2000,4,IF(E1118&gt;=800,3,IF(E1118&gt;=300,2,1))))</f>
        <v/>
      </c>
      <c r="I1118" s="126">
        <f>TEXT(F1118,"0")&amp;TEXT(G1118,"0")&amp;TEXT(H1118,"0")</f>
        <v/>
      </c>
      <c r="J1118" s="126">
        <f>IFERROR(XLOOKUP(I1118,'Segment Map'!A:A,'Segment Map'!B:B,"Need Attention"),"Need Attention")</f>
        <v/>
      </c>
      <c r="K1118" s="126">
        <f>IF(E1118&gt;=5000,"🏆 Platinum",IF(E1118&gt;=2000,"🥇 Gold",IF(E1118&gt;=800,"🥈 Silver","🥉 Bronze")))</f>
        <v/>
      </c>
      <c r="L1118" s="129" t="n">
        <v>40829</v>
      </c>
    </row>
    <row r="1119">
      <c r="A1119" s="122" t="n">
        <v>13859</v>
      </c>
      <c r="B1119" s="122" t="inlineStr">
        <is>
          <t>United Kingdom</t>
        </is>
      </c>
      <c r="C1119" s="122" t="n">
        <v>327</v>
      </c>
      <c r="D1119" s="122" t="n">
        <v>1</v>
      </c>
      <c r="E1119" s="123" t="n">
        <v>201.16</v>
      </c>
      <c r="F1119" s="124">
        <f>IF(C1119&lt;=30,5,IF(C1119&lt;=60,4,IF(C1119&lt;=120,3,IF(C1119&lt;=200,2,1))))</f>
        <v/>
      </c>
      <c r="G1119" s="124">
        <f>IF(D1119&gt;=20,5,IF(D1119&gt;=10,4,IF(D1119&gt;=5,3,IF(D1119&gt;=2,2,1))))</f>
        <v/>
      </c>
      <c r="H1119" s="124">
        <f>IF(E1119&gt;=5000,5,IF(E1119&gt;=2000,4,IF(E1119&gt;=800,3,IF(E1119&gt;=300,2,1))))</f>
        <v/>
      </c>
      <c r="I1119" s="122">
        <f>TEXT(F1119,"0")&amp;TEXT(G1119,"0")&amp;TEXT(H1119,"0")</f>
        <v/>
      </c>
      <c r="J1119" s="122">
        <f>IFERROR(XLOOKUP(I1119,'Segment Map'!A:A,'Segment Map'!B:B,"Need Attention"),"Need Attention")</f>
        <v/>
      </c>
      <c r="K1119" s="122">
        <f>IF(E1119&gt;=5000,"🏆 Platinum",IF(E1119&gt;=2000,"🥇 Gold",IF(E1119&gt;=800,"🥈 Silver","🥉 Bronze")))</f>
        <v/>
      </c>
      <c r="L1119" s="125" t="n">
        <v>40560</v>
      </c>
    </row>
    <row r="1120">
      <c r="A1120" s="126" t="n">
        <v>13860</v>
      </c>
      <c r="B1120" s="126" t="inlineStr">
        <is>
          <t>United Kingdom</t>
        </is>
      </c>
      <c r="C1120" s="126" t="n">
        <v>2</v>
      </c>
      <c r="D1120" s="126" t="n">
        <v>5</v>
      </c>
      <c r="E1120" s="127" t="n">
        <v>1245.9</v>
      </c>
      <c r="F1120" s="128">
        <f>IF(C1120&lt;=30,5,IF(C1120&lt;=60,4,IF(C1120&lt;=120,3,IF(C1120&lt;=200,2,1))))</f>
        <v/>
      </c>
      <c r="G1120" s="128">
        <f>IF(D1120&gt;=20,5,IF(D1120&gt;=10,4,IF(D1120&gt;=5,3,IF(D1120&gt;=2,2,1))))</f>
        <v/>
      </c>
      <c r="H1120" s="128">
        <f>IF(E1120&gt;=5000,5,IF(E1120&gt;=2000,4,IF(E1120&gt;=800,3,IF(E1120&gt;=300,2,1))))</f>
        <v/>
      </c>
      <c r="I1120" s="126">
        <f>TEXT(F1120,"0")&amp;TEXT(G1120,"0")&amp;TEXT(H1120,"0")</f>
        <v/>
      </c>
      <c r="J1120" s="126">
        <f>IFERROR(XLOOKUP(I1120,'Segment Map'!A:A,'Segment Map'!B:B,"Need Attention"),"Need Attention")</f>
        <v/>
      </c>
      <c r="K1120" s="126">
        <f>IF(E1120&gt;=5000,"🏆 Platinum",IF(E1120&gt;=2000,"🥇 Gold",IF(E1120&gt;=800,"🥈 Silver","🥉 Bronze")))</f>
        <v/>
      </c>
      <c r="L1120" s="129" t="n">
        <v>40885</v>
      </c>
    </row>
    <row r="1121">
      <c r="A1121" s="122" t="n">
        <v>13862</v>
      </c>
      <c r="B1121" s="122" t="inlineStr">
        <is>
          <t>United Kingdom</t>
        </is>
      </c>
      <c r="C1121" s="122" t="n">
        <v>19</v>
      </c>
      <c r="D1121" s="122" t="n">
        <v>8</v>
      </c>
      <c r="E1121" s="123" t="n">
        <v>2209.36</v>
      </c>
      <c r="F1121" s="124">
        <f>IF(C1121&lt;=30,5,IF(C1121&lt;=60,4,IF(C1121&lt;=120,3,IF(C1121&lt;=200,2,1))))</f>
        <v/>
      </c>
      <c r="G1121" s="124">
        <f>IF(D1121&gt;=20,5,IF(D1121&gt;=10,4,IF(D1121&gt;=5,3,IF(D1121&gt;=2,2,1))))</f>
        <v/>
      </c>
      <c r="H1121" s="124">
        <f>IF(E1121&gt;=5000,5,IF(E1121&gt;=2000,4,IF(E1121&gt;=800,3,IF(E1121&gt;=300,2,1))))</f>
        <v/>
      </c>
      <c r="I1121" s="122">
        <f>TEXT(F1121,"0")&amp;TEXT(G1121,"0")&amp;TEXT(H1121,"0")</f>
        <v/>
      </c>
      <c r="J1121" s="122">
        <f>IFERROR(XLOOKUP(I1121,'Segment Map'!A:A,'Segment Map'!B:B,"Need Attention"),"Need Attention")</f>
        <v/>
      </c>
      <c r="K1121" s="122">
        <f>IF(E1121&gt;=5000,"🏆 Platinum",IF(E1121&gt;=2000,"🥇 Gold",IF(E1121&gt;=800,"🥈 Silver","🥉 Bronze")))</f>
        <v/>
      </c>
      <c r="L1121" s="125" t="n">
        <v>40868</v>
      </c>
    </row>
    <row r="1122">
      <c r="A1122" s="126" t="n">
        <v>13863</v>
      </c>
      <c r="B1122" s="126" t="inlineStr">
        <is>
          <t>United Kingdom</t>
        </is>
      </c>
      <c r="C1122" s="126" t="n">
        <v>248</v>
      </c>
      <c r="D1122" s="126" t="n">
        <v>1</v>
      </c>
      <c r="E1122" s="127" t="n">
        <v>305.78</v>
      </c>
      <c r="F1122" s="128">
        <f>IF(C1122&lt;=30,5,IF(C1122&lt;=60,4,IF(C1122&lt;=120,3,IF(C1122&lt;=200,2,1))))</f>
        <v/>
      </c>
      <c r="G1122" s="128">
        <f>IF(D1122&gt;=20,5,IF(D1122&gt;=10,4,IF(D1122&gt;=5,3,IF(D1122&gt;=2,2,1))))</f>
        <v/>
      </c>
      <c r="H1122" s="128">
        <f>IF(E1122&gt;=5000,5,IF(E1122&gt;=2000,4,IF(E1122&gt;=800,3,IF(E1122&gt;=300,2,1))))</f>
        <v/>
      </c>
      <c r="I1122" s="126">
        <f>TEXT(F1122,"0")&amp;TEXT(G1122,"0")&amp;TEXT(H1122,"0")</f>
        <v/>
      </c>
      <c r="J1122" s="126">
        <f>IFERROR(XLOOKUP(I1122,'Segment Map'!A:A,'Segment Map'!B:B,"Need Attention"),"Need Attention")</f>
        <v/>
      </c>
      <c r="K1122" s="126">
        <f>IF(E1122&gt;=5000,"🏆 Platinum",IF(E1122&gt;=2000,"🥇 Gold",IF(E1122&gt;=800,"🥈 Silver","🥉 Bronze")))</f>
        <v/>
      </c>
      <c r="L1122" s="129" t="n">
        <v>40639</v>
      </c>
    </row>
    <row r="1123">
      <c r="A1123" s="122" t="n">
        <v>13865</v>
      </c>
      <c r="B1123" s="122" t="inlineStr">
        <is>
          <t>United Kingdom</t>
        </is>
      </c>
      <c r="C1123" s="122" t="n">
        <v>59</v>
      </c>
      <c r="D1123" s="122" t="n">
        <v>4</v>
      </c>
      <c r="E1123" s="123" t="n">
        <v>501.56</v>
      </c>
      <c r="F1123" s="124">
        <f>IF(C1123&lt;=30,5,IF(C1123&lt;=60,4,IF(C1123&lt;=120,3,IF(C1123&lt;=200,2,1))))</f>
        <v/>
      </c>
      <c r="G1123" s="124">
        <f>IF(D1123&gt;=20,5,IF(D1123&gt;=10,4,IF(D1123&gt;=5,3,IF(D1123&gt;=2,2,1))))</f>
        <v/>
      </c>
      <c r="H1123" s="124">
        <f>IF(E1123&gt;=5000,5,IF(E1123&gt;=2000,4,IF(E1123&gt;=800,3,IF(E1123&gt;=300,2,1))))</f>
        <v/>
      </c>
      <c r="I1123" s="122">
        <f>TEXT(F1123,"0")&amp;TEXT(G1123,"0")&amp;TEXT(H1123,"0")</f>
        <v/>
      </c>
      <c r="J1123" s="122">
        <f>IFERROR(XLOOKUP(I1123,'Segment Map'!A:A,'Segment Map'!B:B,"Need Attention"),"Need Attention")</f>
        <v/>
      </c>
      <c r="K1123" s="122">
        <f>IF(E1123&gt;=5000,"🏆 Platinum",IF(E1123&gt;=2000,"🥇 Gold",IF(E1123&gt;=800,"🥈 Silver","🥉 Bronze")))</f>
        <v/>
      </c>
      <c r="L1123" s="125" t="n">
        <v>40828</v>
      </c>
    </row>
    <row r="1124">
      <c r="A1124" s="126" t="n">
        <v>13866</v>
      </c>
      <c r="B1124" s="126" t="inlineStr">
        <is>
          <t>United Kingdom</t>
        </is>
      </c>
      <c r="C1124" s="126" t="n">
        <v>75</v>
      </c>
      <c r="D1124" s="126" t="n">
        <v>1</v>
      </c>
      <c r="E1124" s="127" t="n">
        <v>145.67</v>
      </c>
      <c r="F1124" s="128">
        <f>IF(C1124&lt;=30,5,IF(C1124&lt;=60,4,IF(C1124&lt;=120,3,IF(C1124&lt;=200,2,1))))</f>
        <v/>
      </c>
      <c r="G1124" s="128">
        <f>IF(D1124&gt;=20,5,IF(D1124&gt;=10,4,IF(D1124&gt;=5,3,IF(D1124&gt;=2,2,1))))</f>
        <v/>
      </c>
      <c r="H1124" s="128">
        <f>IF(E1124&gt;=5000,5,IF(E1124&gt;=2000,4,IF(E1124&gt;=800,3,IF(E1124&gt;=300,2,1))))</f>
        <v/>
      </c>
      <c r="I1124" s="126">
        <f>TEXT(F1124,"0")&amp;TEXT(G1124,"0")&amp;TEXT(H1124,"0")</f>
        <v/>
      </c>
      <c r="J1124" s="126">
        <f>IFERROR(XLOOKUP(I1124,'Segment Map'!A:A,'Segment Map'!B:B,"Need Attention"),"Need Attention")</f>
        <v/>
      </c>
      <c r="K1124" s="126">
        <f>IF(E1124&gt;=5000,"🏆 Platinum",IF(E1124&gt;=2000,"🥇 Gold",IF(E1124&gt;=800,"🥈 Silver","🥉 Bronze")))</f>
        <v/>
      </c>
      <c r="L1124" s="129" t="n">
        <v>40812</v>
      </c>
    </row>
    <row r="1125">
      <c r="A1125" s="122" t="n">
        <v>13867</v>
      </c>
      <c r="B1125" s="122" t="inlineStr">
        <is>
          <t>United Kingdom</t>
        </is>
      </c>
      <c r="C1125" s="122" t="n">
        <v>32</v>
      </c>
      <c r="D1125" s="122" t="n">
        <v>3</v>
      </c>
      <c r="E1125" s="123" t="n">
        <v>1015.29</v>
      </c>
      <c r="F1125" s="124">
        <f>IF(C1125&lt;=30,5,IF(C1125&lt;=60,4,IF(C1125&lt;=120,3,IF(C1125&lt;=200,2,1))))</f>
        <v/>
      </c>
      <c r="G1125" s="124">
        <f>IF(D1125&gt;=20,5,IF(D1125&gt;=10,4,IF(D1125&gt;=5,3,IF(D1125&gt;=2,2,1))))</f>
        <v/>
      </c>
      <c r="H1125" s="124">
        <f>IF(E1125&gt;=5000,5,IF(E1125&gt;=2000,4,IF(E1125&gt;=800,3,IF(E1125&gt;=300,2,1))))</f>
        <v/>
      </c>
      <c r="I1125" s="122">
        <f>TEXT(F1125,"0")&amp;TEXT(G1125,"0")&amp;TEXT(H1125,"0")</f>
        <v/>
      </c>
      <c r="J1125" s="122">
        <f>IFERROR(XLOOKUP(I1125,'Segment Map'!A:A,'Segment Map'!B:B,"Need Attention"),"Need Attention")</f>
        <v/>
      </c>
      <c r="K1125" s="122">
        <f>IF(E1125&gt;=5000,"🏆 Platinum",IF(E1125&gt;=2000,"🥇 Gold",IF(E1125&gt;=800,"🥈 Silver","🥉 Bronze")))</f>
        <v/>
      </c>
      <c r="L1125" s="125" t="n">
        <v>40855</v>
      </c>
    </row>
    <row r="1126">
      <c r="A1126" s="126" t="n">
        <v>13868</v>
      </c>
      <c r="B1126" s="126" t="inlineStr">
        <is>
          <t>United Kingdom</t>
        </is>
      </c>
      <c r="C1126" s="126" t="n">
        <v>8</v>
      </c>
      <c r="D1126" s="126" t="n">
        <v>2</v>
      </c>
      <c r="E1126" s="127" t="n">
        <v>3192.54</v>
      </c>
      <c r="F1126" s="128">
        <f>IF(C1126&lt;=30,5,IF(C1126&lt;=60,4,IF(C1126&lt;=120,3,IF(C1126&lt;=200,2,1))))</f>
        <v/>
      </c>
      <c r="G1126" s="128">
        <f>IF(D1126&gt;=20,5,IF(D1126&gt;=10,4,IF(D1126&gt;=5,3,IF(D1126&gt;=2,2,1))))</f>
        <v/>
      </c>
      <c r="H1126" s="128">
        <f>IF(E1126&gt;=5000,5,IF(E1126&gt;=2000,4,IF(E1126&gt;=800,3,IF(E1126&gt;=300,2,1))))</f>
        <v/>
      </c>
      <c r="I1126" s="126">
        <f>TEXT(F1126,"0")&amp;TEXT(G1126,"0")&amp;TEXT(H1126,"0")</f>
        <v/>
      </c>
      <c r="J1126" s="126">
        <f>IFERROR(XLOOKUP(I1126,'Segment Map'!A:A,'Segment Map'!B:B,"Need Attention"),"Need Attention")</f>
        <v/>
      </c>
      <c r="K1126" s="126">
        <f>IF(E1126&gt;=5000,"🏆 Platinum",IF(E1126&gt;=2000,"🥇 Gold",IF(E1126&gt;=800,"🥈 Silver","🥉 Bronze")))</f>
        <v/>
      </c>
      <c r="L1126" s="129" t="n">
        <v>40879</v>
      </c>
    </row>
    <row r="1127">
      <c r="A1127" s="122" t="n">
        <v>13869</v>
      </c>
      <c r="B1127" s="122" t="inlineStr">
        <is>
          <t>United Kingdom</t>
        </is>
      </c>
      <c r="C1127" s="122" t="n">
        <v>124</v>
      </c>
      <c r="D1127" s="122" t="n">
        <v>4</v>
      </c>
      <c r="E1127" s="123" t="n">
        <v>3104.95</v>
      </c>
      <c r="F1127" s="124">
        <f>IF(C1127&lt;=30,5,IF(C1127&lt;=60,4,IF(C1127&lt;=120,3,IF(C1127&lt;=200,2,1))))</f>
        <v/>
      </c>
      <c r="G1127" s="124">
        <f>IF(D1127&gt;=20,5,IF(D1127&gt;=10,4,IF(D1127&gt;=5,3,IF(D1127&gt;=2,2,1))))</f>
        <v/>
      </c>
      <c r="H1127" s="124">
        <f>IF(E1127&gt;=5000,5,IF(E1127&gt;=2000,4,IF(E1127&gt;=800,3,IF(E1127&gt;=300,2,1))))</f>
        <v/>
      </c>
      <c r="I1127" s="122">
        <f>TEXT(F1127,"0")&amp;TEXT(G1127,"0")&amp;TEXT(H1127,"0")</f>
        <v/>
      </c>
      <c r="J1127" s="122">
        <f>IFERROR(XLOOKUP(I1127,'Segment Map'!A:A,'Segment Map'!B:B,"Need Attention"),"Need Attention")</f>
        <v/>
      </c>
      <c r="K1127" s="122">
        <f>IF(E1127&gt;=5000,"🏆 Platinum",IF(E1127&gt;=2000,"🥇 Gold",IF(E1127&gt;=800,"🥈 Silver","🥉 Bronze")))</f>
        <v/>
      </c>
      <c r="L1127" s="125" t="n">
        <v>40763</v>
      </c>
    </row>
    <row r="1128">
      <c r="A1128" s="126" t="n">
        <v>13870</v>
      </c>
      <c r="B1128" s="126" t="inlineStr">
        <is>
          <t>United Kingdom</t>
        </is>
      </c>
      <c r="C1128" s="126" t="n">
        <v>3</v>
      </c>
      <c r="D1128" s="126" t="n">
        <v>8</v>
      </c>
      <c r="E1128" s="127" t="n">
        <v>2770.94</v>
      </c>
      <c r="F1128" s="128">
        <f>IF(C1128&lt;=30,5,IF(C1128&lt;=60,4,IF(C1128&lt;=120,3,IF(C1128&lt;=200,2,1))))</f>
        <v/>
      </c>
      <c r="G1128" s="128">
        <f>IF(D1128&gt;=20,5,IF(D1128&gt;=10,4,IF(D1128&gt;=5,3,IF(D1128&gt;=2,2,1))))</f>
        <v/>
      </c>
      <c r="H1128" s="128">
        <f>IF(E1128&gt;=5000,5,IF(E1128&gt;=2000,4,IF(E1128&gt;=800,3,IF(E1128&gt;=300,2,1))))</f>
        <v/>
      </c>
      <c r="I1128" s="126">
        <f>TEXT(F1128,"0")&amp;TEXT(G1128,"0")&amp;TEXT(H1128,"0")</f>
        <v/>
      </c>
      <c r="J1128" s="126">
        <f>IFERROR(XLOOKUP(I1128,'Segment Map'!A:A,'Segment Map'!B:B,"Need Attention"),"Need Attention")</f>
        <v/>
      </c>
      <c r="K1128" s="126">
        <f>IF(E1128&gt;=5000,"🏆 Platinum",IF(E1128&gt;=2000,"🥇 Gold",IF(E1128&gt;=800,"🥈 Silver","🥉 Bronze")))</f>
        <v/>
      </c>
      <c r="L1128" s="129" t="n">
        <v>40884</v>
      </c>
    </row>
    <row r="1129">
      <c r="A1129" s="122" t="n">
        <v>13871</v>
      </c>
      <c r="B1129" s="122" t="inlineStr">
        <is>
          <t>United Kingdom</t>
        </is>
      </c>
      <c r="C1129" s="122" t="n">
        <v>23</v>
      </c>
      <c r="D1129" s="122" t="n">
        <v>13</v>
      </c>
      <c r="E1129" s="123" t="n">
        <v>6403.25</v>
      </c>
      <c r="F1129" s="124">
        <f>IF(C1129&lt;=30,5,IF(C1129&lt;=60,4,IF(C1129&lt;=120,3,IF(C1129&lt;=200,2,1))))</f>
        <v/>
      </c>
      <c r="G1129" s="124">
        <f>IF(D1129&gt;=20,5,IF(D1129&gt;=10,4,IF(D1129&gt;=5,3,IF(D1129&gt;=2,2,1))))</f>
        <v/>
      </c>
      <c r="H1129" s="124">
        <f>IF(E1129&gt;=5000,5,IF(E1129&gt;=2000,4,IF(E1129&gt;=800,3,IF(E1129&gt;=300,2,1))))</f>
        <v/>
      </c>
      <c r="I1129" s="122">
        <f>TEXT(F1129,"0")&amp;TEXT(G1129,"0")&amp;TEXT(H1129,"0")</f>
        <v/>
      </c>
      <c r="J1129" s="122">
        <f>IFERROR(XLOOKUP(I1129,'Segment Map'!A:A,'Segment Map'!B:B,"Need Attention"),"Need Attention")</f>
        <v/>
      </c>
      <c r="K1129" s="122">
        <f>IF(E1129&gt;=5000,"🏆 Platinum",IF(E1129&gt;=2000,"🥇 Gold",IF(E1129&gt;=800,"🥈 Silver","🥉 Bronze")))</f>
        <v/>
      </c>
      <c r="L1129" s="125" t="n">
        <v>40864</v>
      </c>
    </row>
    <row r="1130">
      <c r="A1130" s="126" t="n">
        <v>13873</v>
      </c>
      <c r="B1130" s="126" t="inlineStr">
        <is>
          <t>United Kingdom</t>
        </is>
      </c>
      <c r="C1130" s="126" t="n">
        <v>120</v>
      </c>
      <c r="D1130" s="126" t="n">
        <v>3</v>
      </c>
      <c r="E1130" s="127" t="n">
        <v>389.6</v>
      </c>
      <c r="F1130" s="128">
        <f>IF(C1130&lt;=30,5,IF(C1130&lt;=60,4,IF(C1130&lt;=120,3,IF(C1130&lt;=200,2,1))))</f>
        <v/>
      </c>
      <c r="G1130" s="128">
        <f>IF(D1130&gt;=20,5,IF(D1130&gt;=10,4,IF(D1130&gt;=5,3,IF(D1130&gt;=2,2,1))))</f>
        <v/>
      </c>
      <c r="H1130" s="128">
        <f>IF(E1130&gt;=5000,5,IF(E1130&gt;=2000,4,IF(E1130&gt;=800,3,IF(E1130&gt;=300,2,1))))</f>
        <v/>
      </c>
      <c r="I1130" s="126">
        <f>TEXT(F1130,"0")&amp;TEXT(G1130,"0")&amp;TEXT(H1130,"0")</f>
        <v/>
      </c>
      <c r="J1130" s="126">
        <f>IFERROR(XLOOKUP(I1130,'Segment Map'!A:A,'Segment Map'!B:B,"Need Attention"),"Need Attention")</f>
        <v/>
      </c>
      <c r="K1130" s="126">
        <f>IF(E1130&gt;=5000,"🏆 Platinum",IF(E1130&gt;=2000,"🥇 Gold",IF(E1130&gt;=800,"🥈 Silver","🥉 Bronze")))</f>
        <v/>
      </c>
      <c r="L1130" s="129" t="n">
        <v>40767</v>
      </c>
    </row>
    <row r="1131">
      <c r="A1131" s="122" t="n">
        <v>13874</v>
      </c>
      <c r="B1131" s="122" t="inlineStr">
        <is>
          <t>United Kingdom</t>
        </is>
      </c>
      <c r="C1131" s="122" t="n">
        <v>359</v>
      </c>
      <c r="D1131" s="122" t="n">
        <v>1</v>
      </c>
      <c r="E1131" s="123" t="n">
        <v>540.45</v>
      </c>
      <c r="F1131" s="124">
        <f>IF(C1131&lt;=30,5,IF(C1131&lt;=60,4,IF(C1131&lt;=120,3,IF(C1131&lt;=200,2,1))))</f>
        <v/>
      </c>
      <c r="G1131" s="124">
        <f>IF(D1131&gt;=20,5,IF(D1131&gt;=10,4,IF(D1131&gt;=5,3,IF(D1131&gt;=2,2,1))))</f>
        <v/>
      </c>
      <c r="H1131" s="124">
        <f>IF(E1131&gt;=5000,5,IF(E1131&gt;=2000,4,IF(E1131&gt;=800,3,IF(E1131&gt;=300,2,1))))</f>
        <v/>
      </c>
      <c r="I1131" s="122">
        <f>TEXT(F1131,"0")&amp;TEXT(G1131,"0")&amp;TEXT(H1131,"0")</f>
        <v/>
      </c>
      <c r="J1131" s="122">
        <f>IFERROR(XLOOKUP(I1131,'Segment Map'!A:A,'Segment Map'!B:B,"Need Attention"),"Need Attention")</f>
        <v/>
      </c>
      <c r="K1131" s="122">
        <f>IF(E1131&gt;=5000,"🏆 Platinum",IF(E1131&gt;=2000,"🥇 Gold",IF(E1131&gt;=800,"🥈 Silver","🥉 Bronze")))</f>
        <v/>
      </c>
      <c r="L1131" s="125" t="n">
        <v>40528</v>
      </c>
    </row>
    <row r="1132">
      <c r="A1132" s="126" t="n">
        <v>13875</v>
      </c>
      <c r="B1132" s="126" t="inlineStr">
        <is>
          <t>United Kingdom</t>
        </is>
      </c>
      <c r="C1132" s="126" t="n">
        <v>54</v>
      </c>
      <c r="D1132" s="126" t="n">
        <v>5</v>
      </c>
      <c r="E1132" s="127" t="n">
        <v>1786.79</v>
      </c>
      <c r="F1132" s="128">
        <f>IF(C1132&lt;=30,5,IF(C1132&lt;=60,4,IF(C1132&lt;=120,3,IF(C1132&lt;=200,2,1))))</f>
        <v/>
      </c>
      <c r="G1132" s="128">
        <f>IF(D1132&gt;=20,5,IF(D1132&gt;=10,4,IF(D1132&gt;=5,3,IF(D1132&gt;=2,2,1))))</f>
        <v/>
      </c>
      <c r="H1132" s="128">
        <f>IF(E1132&gt;=5000,5,IF(E1132&gt;=2000,4,IF(E1132&gt;=800,3,IF(E1132&gt;=300,2,1))))</f>
        <v/>
      </c>
      <c r="I1132" s="126">
        <f>TEXT(F1132,"0")&amp;TEXT(G1132,"0")&amp;TEXT(H1132,"0")</f>
        <v/>
      </c>
      <c r="J1132" s="126">
        <f>IFERROR(XLOOKUP(I1132,'Segment Map'!A:A,'Segment Map'!B:B,"Need Attention"),"Need Attention")</f>
        <v/>
      </c>
      <c r="K1132" s="126">
        <f>IF(E1132&gt;=5000,"🏆 Platinum",IF(E1132&gt;=2000,"🥇 Gold",IF(E1132&gt;=800,"🥈 Silver","🥉 Bronze")))</f>
        <v/>
      </c>
      <c r="L1132" s="129" t="n">
        <v>40833</v>
      </c>
    </row>
    <row r="1133">
      <c r="A1133" s="122" t="n">
        <v>13876</v>
      </c>
      <c r="B1133" s="122" t="inlineStr">
        <is>
          <t>United Kingdom</t>
        </is>
      </c>
      <c r="C1133" s="122" t="n">
        <v>64</v>
      </c>
      <c r="D1133" s="122" t="n">
        <v>1</v>
      </c>
      <c r="E1133" s="123" t="n">
        <v>122.7</v>
      </c>
      <c r="F1133" s="124">
        <f>IF(C1133&lt;=30,5,IF(C1133&lt;=60,4,IF(C1133&lt;=120,3,IF(C1133&lt;=200,2,1))))</f>
        <v/>
      </c>
      <c r="G1133" s="124">
        <f>IF(D1133&gt;=20,5,IF(D1133&gt;=10,4,IF(D1133&gt;=5,3,IF(D1133&gt;=2,2,1))))</f>
        <v/>
      </c>
      <c r="H1133" s="124">
        <f>IF(E1133&gt;=5000,5,IF(E1133&gt;=2000,4,IF(E1133&gt;=800,3,IF(E1133&gt;=300,2,1))))</f>
        <v/>
      </c>
      <c r="I1133" s="122">
        <f>TEXT(F1133,"0")&amp;TEXT(G1133,"0")&amp;TEXT(H1133,"0")</f>
        <v/>
      </c>
      <c r="J1133" s="122">
        <f>IFERROR(XLOOKUP(I1133,'Segment Map'!A:A,'Segment Map'!B:B,"Need Attention"),"Need Attention")</f>
        <v/>
      </c>
      <c r="K1133" s="122">
        <f>IF(E1133&gt;=5000,"🏆 Platinum",IF(E1133&gt;=2000,"🥇 Gold",IF(E1133&gt;=800,"🥈 Silver","🥉 Bronze")))</f>
        <v/>
      </c>
      <c r="L1133" s="125" t="n">
        <v>40823</v>
      </c>
    </row>
    <row r="1134">
      <c r="A1134" s="126" t="n">
        <v>13877</v>
      </c>
      <c r="B1134" s="126" t="inlineStr">
        <is>
          <t>United Kingdom</t>
        </is>
      </c>
      <c r="C1134" s="126" t="n">
        <v>87</v>
      </c>
      <c r="D1134" s="126" t="n">
        <v>1</v>
      </c>
      <c r="E1134" s="127" t="n">
        <v>117.24</v>
      </c>
      <c r="F1134" s="128">
        <f>IF(C1134&lt;=30,5,IF(C1134&lt;=60,4,IF(C1134&lt;=120,3,IF(C1134&lt;=200,2,1))))</f>
        <v/>
      </c>
      <c r="G1134" s="128">
        <f>IF(D1134&gt;=20,5,IF(D1134&gt;=10,4,IF(D1134&gt;=5,3,IF(D1134&gt;=2,2,1))))</f>
        <v/>
      </c>
      <c r="H1134" s="128">
        <f>IF(E1134&gt;=5000,5,IF(E1134&gt;=2000,4,IF(E1134&gt;=800,3,IF(E1134&gt;=300,2,1))))</f>
        <v/>
      </c>
      <c r="I1134" s="126">
        <f>TEXT(F1134,"0")&amp;TEXT(G1134,"0")&amp;TEXT(H1134,"0")</f>
        <v/>
      </c>
      <c r="J1134" s="126">
        <f>IFERROR(XLOOKUP(I1134,'Segment Map'!A:A,'Segment Map'!B:B,"Need Attention"),"Need Attention")</f>
        <v/>
      </c>
      <c r="K1134" s="126">
        <f>IF(E1134&gt;=5000,"🏆 Platinum",IF(E1134&gt;=2000,"🥇 Gold",IF(E1134&gt;=800,"🥈 Silver","🥉 Bronze")))</f>
        <v/>
      </c>
      <c r="L1134" s="129" t="n">
        <v>40800</v>
      </c>
    </row>
    <row r="1135">
      <c r="A1135" s="122" t="n">
        <v>13878</v>
      </c>
      <c r="B1135" s="122" t="inlineStr">
        <is>
          <t>United Kingdom</t>
        </is>
      </c>
      <c r="C1135" s="122" t="n">
        <v>55</v>
      </c>
      <c r="D1135" s="122" t="n">
        <v>1</v>
      </c>
      <c r="E1135" s="123" t="n">
        <v>1281.53</v>
      </c>
      <c r="F1135" s="124">
        <f>IF(C1135&lt;=30,5,IF(C1135&lt;=60,4,IF(C1135&lt;=120,3,IF(C1135&lt;=200,2,1))))</f>
        <v/>
      </c>
      <c r="G1135" s="124">
        <f>IF(D1135&gt;=20,5,IF(D1135&gt;=10,4,IF(D1135&gt;=5,3,IF(D1135&gt;=2,2,1))))</f>
        <v/>
      </c>
      <c r="H1135" s="124">
        <f>IF(E1135&gt;=5000,5,IF(E1135&gt;=2000,4,IF(E1135&gt;=800,3,IF(E1135&gt;=300,2,1))))</f>
        <v/>
      </c>
      <c r="I1135" s="122">
        <f>TEXT(F1135,"0")&amp;TEXT(G1135,"0")&amp;TEXT(H1135,"0")</f>
        <v/>
      </c>
      <c r="J1135" s="122">
        <f>IFERROR(XLOOKUP(I1135,'Segment Map'!A:A,'Segment Map'!B:B,"Need Attention"),"Need Attention")</f>
        <v/>
      </c>
      <c r="K1135" s="122">
        <f>IF(E1135&gt;=5000,"🏆 Platinum",IF(E1135&gt;=2000,"🥇 Gold",IF(E1135&gt;=800,"🥈 Silver","🥉 Bronze")))</f>
        <v/>
      </c>
      <c r="L1135" s="125" t="n">
        <v>40832</v>
      </c>
    </row>
    <row r="1136">
      <c r="A1136" s="126" t="n">
        <v>13880</v>
      </c>
      <c r="B1136" s="126" t="inlineStr">
        <is>
          <t>United Kingdom</t>
        </is>
      </c>
      <c r="C1136" s="126" t="n">
        <v>22</v>
      </c>
      <c r="D1136" s="126" t="n">
        <v>13</v>
      </c>
      <c r="E1136" s="127" t="n">
        <v>3219.77</v>
      </c>
      <c r="F1136" s="128">
        <f>IF(C1136&lt;=30,5,IF(C1136&lt;=60,4,IF(C1136&lt;=120,3,IF(C1136&lt;=200,2,1))))</f>
        <v/>
      </c>
      <c r="G1136" s="128">
        <f>IF(D1136&gt;=20,5,IF(D1136&gt;=10,4,IF(D1136&gt;=5,3,IF(D1136&gt;=2,2,1))))</f>
        <v/>
      </c>
      <c r="H1136" s="128">
        <f>IF(E1136&gt;=5000,5,IF(E1136&gt;=2000,4,IF(E1136&gt;=800,3,IF(E1136&gt;=300,2,1))))</f>
        <v/>
      </c>
      <c r="I1136" s="126">
        <f>TEXT(F1136,"0")&amp;TEXT(G1136,"0")&amp;TEXT(H1136,"0")</f>
        <v/>
      </c>
      <c r="J1136" s="126">
        <f>IFERROR(XLOOKUP(I1136,'Segment Map'!A:A,'Segment Map'!B:B,"Need Attention"),"Need Attention")</f>
        <v/>
      </c>
      <c r="K1136" s="126">
        <f>IF(E1136&gt;=5000,"🏆 Platinum",IF(E1136&gt;=2000,"🥇 Gold",IF(E1136&gt;=800,"🥈 Silver","🥉 Bronze")))</f>
        <v/>
      </c>
      <c r="L1136" s="129" t="n">
        <v>40865</v>
      </c>
    </row>
    <row r="1137">
      <c r="A1137" s="122" t="n">
        <v>13881</v>
      </c>
      <c r="B1137" s="122" t="inlineStr">
        <is>
          <t>United Kingdom</t>
        </is>
      </c>
      <c r="C1137" s="122" t="n">
        <v>4</v>
      </c>
      <c r="D1137" s="122" t="n">
        <v>20</v>
      </c>
      <c r="E1137" s="123" t="n">
        <v>17159.52</v>
      </c>
      <c r="F1137" s="124">
        <f>IF(C1137&lt;=30,5,IF(C1137&lt;=60,4,IF(C1137&lt;=120,3,IF(C1137&lt;=200,2,1))))</f>
        <v/>
      </c>
      <c r="G1137" s="124">
        <f>IF(D1137&gt;=20,5,IF(D1137&gt;=10,4,IF(D1137&gt;=5,3,IF(D1137&gt;=2,2,1))))</f>
        <v/>
      </c>
      <c r="H1137" s="124">
        <f>IF(E1137&gt;=5000,5,IF(E1137&gt;=2000,4,IF(E1137&gt;=800,3,IF(E1137&gt;=300,2,1))))</f>
        <v/>
      </c>
      <c r="I1137" s="122">
        <f>TEXT(F1137,"0")&amp;TEXT(G1137,"0")&amp;TEXT(H1137,"0")</f>
        <v/>
      </c>
      <c r="J1137" s="122">
        <f>IFERROR(XLOOKUP(I1137,'Segment Map'!A:A,'Segment Map'!B:B,"Need Attention"),"Need Attention")</f>
        <v/>
      </c>
      <c r="K1137" s="122">
        <f>IF(E1137&gt;=5000,"🏆 Platinum",IF(E1137&gt;=2000,"🥇 Gold",IF(E1137&gt;=800,"🥈 Silver","🥉 Bronze")))</f>
        <v/>
      </c>
      <c r="L1137" s="125" t="n">
        <v>40883</v>
      </c>
    </row>
    <row r="1138">
      <c r="A1138" s="126" t="n">
        <v>13882</v>
      </c>
      <c r="B1138" s="126" t="inlineStr">
        <is>
          <t>United Kingdom</t>
        </is>
      </c>
      <c r="C1138" s="126" t="n">
        <v>3</v>
      </c>
      <c r="D1138" s="126" t="n">
        <v>5</v>
      </c>
      <c r="E1138" s="127" t="n">
        <v>1191.13</v>
      </c>
      <c r="F1138" s="128">
        <f>IF(C1138&lt;=30,5,IF(C1138&lt;=60,4,IF(C1138&lt;=120,3,IF(C1138&lt;=200,2,1))))</f>
        <v/>
      </c>
      <c r="G1138" s="128">
        <f>IF(D1138&gt;=20,5,IF(D1138&gt;=10,4,IF(D1138&gt;=5,3,IF(D1138&gt;=2,2,1))))</f>
        <v/>
      </c>
      <c r="H1138" s="128">
        <f>IF(E1138&gt;=5000,5,IF(E1138&gt;=2000,4,IF(E1138&gt;=800,3,IF(E1138&gt;=300,2,1))))</f>
        <v/>
      </c>
      <c r="I1138" s="126">
        <f>TEXT(F1138,"0")&amp;TEXT(G1138,"0")&amp;TEXT(H1138,"0")</f>
        <v/>
      </c>
      <c r="J1138" s="126">
        <f>IFERROR(XLOOKUP(I1138,'Segment Map'!A:A,'Segment Map'!B:B,"Need Attention"),"Need Attention")</f>
        <v/>
      </c>
      <c r="K1138" s="126">
        <f>IF(E1138&gt;=5000,"🏆 Platinum",IF(E1138&gt;=2000,"🥇 Gold",IF(E1138&gt;=800,"🥈 Silver","🥉 Bronze")))</f>
        <v/>
      </c>
      <c r="L1138" s="129" t="n">
        <v>40884</v>
      </c>
    </row>
    <row r="1139">
      <c r="A1139" s="122" t="n">
        <v>13883</v>
      </c>
      <c r="B1139" s="122" t="inlineStr">
        <is>
          <t>United Kingdom</t>
        </is>
      </c>
      <c r="C1139" s="122" t="n">
        <v>11</v>
      </c>
      <c r="D1139" s="122" t="n">
        <v>5</v>
      </c>
      <c r="E1139" s="123" t="n">
        <v>2674.48</v>
      </c>
      <c r="F1139" s="124">
        <f>IF(C1139&lt;=30,5,IF(C1139&lt;=60,4,IF(C1139&lt;=120,3,IF(C1139&lt;=200,2,1))))</f>
        <v/>
      </c>
      <c r="G1139" s="124">
        <f>IF(D1139&gt;=20,5,IF(D1139&gt;=10,4,IF(D1139&gt;=5,3,IF(D1139&gt;=2,2,1))))</f>
        <v/>
      </c>
      <c r="H1139" s="124">
        <f>IF(E1139&gt;=5000,5,IF(E1139&gt;=2000,4,IF(E1139&gt;=800,3,IF(E1139&gt;=300,2,1))))</f>
        <v/>
      </c>
      <c r="I1139" s="122">
        <f>TEXT(F1139,"0")&amp;TEXT(G1139,"0")&amp;TEXT(H1139,"0")</f>
        <v/>
      </c>
      <c r="J1139" s="122">
        <f>IFERROR(XLOOKUP(I1139,'Segment Map'!A:A,'Segment Map'!B:B,"Need Attention"),"Need Attention")</f>
        <v/>
      </c>
      <c r="K1139" s="122">
        <f>IF(E1139&gt;=5000,"🏆 Platinum",IF(E1139&gt;=2000,"🥇 Gold",IF(E1139&gt;=800,"🥈 Silver","🥉 Bronze")))</f>
        <v/>
      </c>
      <c r="L1139" s="125" t="n">
        <v>40876</v>
      </c>
    </row>
    <row r="1140">
      <c r="A1140" s="126" t="n">
        <v>13884</v>
      </c>
      <c r="B1140" s="126" t="inlineStr">
        <is>
          <t>United Kingdom</t>
        </is>
      </c>
      <c r="C1140" s="126" t="n">
        <v>8</v>
      </c>
      <c r="D1140" s="126" t="n">
        <v>5</v>
      </c>
      <c r="E1140" s="127" t="n">
        <v>787.6</v>
      </c>
      <c r="F1140" s="128">
        <f>IF(C1140&lt;=30,5,IF(C1140&lt;=60,4,IF(C1140&lt;=120,3,IF(C1140&lt;=200,2,1))))</f>
        <v/>
      </c>
      <c r="G1140" s="128">
        <f>IF(D1140&gt;=20,5,IF(D1140&gt;=10,4,IF(D1140&gt;=5,3,IF(D1140&gt;=2,2,1))))</f>
        <v/>
      </c>
      <c r="H1140" s="128">
        <f>IF(E1140&gt;=5000,5,IF(E1140&gt;=2000,4,IF(E1140&gt;=800,3,IF(E1140&gt;=300,2,1))))</f>
        <v/>
      </c>
      <c r="I1140" s="126">
        <f>TEXT(F1140,"0")&amp;TEXT(G1140,"0")&amp;TEXT(H1140,"0")</f>
        <v/>
      </c>
      <c r="J1140" s="126">
        <f>IFERROR(XLOOKUP(I1140,'Segment Map'!A:A,'Segment Map'!B:B,"Need Attention"),"Need Attention")</f>
        <v/>
      </c>
      <c r="K1140" s="126">
        <f>IF(E1140&gt;=5000,"🏆 Platinum",IF(E1140&gt;=2000,"🥇 Gold",IF(E1140&gt;=800,"🥈 Silver","🥉 Bronze")))</f>
        <v/>
      </c>
      <c r="L1140" s="129" t="n">
        <v>40879</v>
      </c>
    </row>
    <row r="1141">
      <c r="A1141" s="122" t="n">
        <v>13885</v>
      </c>
      <c r="B1141" s="122" t="inlineStr">
        <is>
          <t>United Kingdom</t>
        </is>
      </c>
      <c r="C1141" s="122" t="n">
        <v>190</v>
      </c>
      <c r="D1141" s="122" t="n">
        <v>2</v>
      </c>
      <c r="E1141" s="123" t="n">
        <v>506.8</v>
      </c>
      <c r="F1141" s="124">
        <f>IF(C1141&lt;=30,5,IF(C1141&lt;=60,4,IF(C1141&lt;=120,3,IF(C1141&lt;=200,2,1))))</f>
        <v/>
      </c>
      <c r="G1141" s="124">
        <f>IF(D1141&gt;=20,5,IF(D1141&gt;=10,4,IF(D1141&gt;=5,3,IF(D1141&gt;=2,2,1))))</f>
        <v/>
      </c>
      <c r="H1141" s="124">
        <f>IF(E1141&gt;=5000,5,IF(E1141&gt;=2000,4,IF(E1141&gt;=800,3,IF(E1141&gt;=300,2,1))))</f>
        <v/>
      </c>
      <c r="I1141" s="122">
        <f>TEXT(F1141,"0")&amp;TEXT(G1141,"0")&amp;TEXT(H1141,"0")</f>
        <v/>
      </c>
      <c r="J1141" s="122">
        <f>IFERROR(XLOOKUP(I1141,'Segment Map'!A:A,'Segment Map'!B:B,"Need Attention"),"Need Attention")</f>
        <v/>
      </c>
      <c r="K1141" s="122">
        <f>IF(E1141&gt;=5000,"🏆 Platinum",IF(E1141&gt;=2000,"🥇 Gold",IF(E1141&gt;=800,"🥈 Silver","🥉 Bronze")))</f>
        <v/>
      </c>
      <c r="L1141" s="125" t="n">
        <v>40697</v>
      </c>
    </row>
    <row r="1142">
      <c r="A1142" s="126" t="n">
        <v>13886</v>
      </c>
      <c r="B1142" s="126" t="inlineStr">
        <is>
          <t>United Kingdom</t>
        </is>
      </c>
      <c r="C1142" s="126" t="n">
        <v>72</v>
      </c>
      <c r="D1142" s="126" t="n">
        <v>1</v>
      </c>
      <c r="E1142" s="127" t="n">
        <v>243.56</v>
      </c>
      <c r="F1142" s="128">
        <f>IF(C1142&lt;=30,5,IF(C1142&lt;=60,4,IF(C1142&lt;=120,3,IF(C1142&lt;=200,2,1))))</f>
        <v/>
      </c>
      <c r="G1142" s="128">
        <f>IF(D1142&gt;=20,5,IF(D1142&gt;=10,4,IF(D1142&gt;=5,3,IF(D1142&gt;=2,2,1))))</f>
        <v/>
      </c>
      <c r="H1142" s="128">
        <f>IF(E1142&gt;=5000,5,IF(E1142&gt;=2000,4,IF(E1142&gt;=800,3,IF(E1142&gt;=300,2,1))))</f>
        <v/>
      </c>
      <c r="I1142" s="126">
        <f>TEXT(F1142,"0")&amp;TEXT(G1142,"0")&amp;TEXT(H1142,"0")</f>
        <v/>
      </c>
      <c r="J1142" s="126">
        <f>IFERROR(XLOOKUP(I1142,'Segment Map'!A:A,'Segment Map'!B:B,"Need Attention"),"Need Attention")</f>
        <v/>
      </c>
      <c r="K1142" s="126">
        <f>IF(E1142&gt;=5000,"🏆 Platinum",IF(E1142&gt;=2000,"🥇 Gold",IF(E1142&gt;=800,"🥈 Silver","🥉 Bronze")))</f>
        <v/>
      </c>
      <c r="L1142" s="129" t="n">
        <v>40815</v>
      </c>
    </row>
    <row r="1143">
      <c r="A1143" s="122" t="n">
        <v>13887</v>
      </c>
      <c r="B1143" s="122" t="inlineStr">
        <is>
          <t>United Kingdom</t>
        </is>
      </c>
      <c r="C1143" s="122" t="n">
        <v>205</v>
      </c>
      <c r="D1143" s="122" t="n">
        <v>1</v>
      </c>
      <c r="E1143" s="123" t="n">
        <v>349.55</v>
      </c>
      <c r="F1143" s="124">
        <f>IF(C1143&lt;=30,5,IF(C1143&lt;=60,4,IF(C1143&lt;=120,3,IF(C1143&lt;=200,2,1))))</f>
        <v/>
      </c>
      <c r="G1143" s="124">
        <f>IF(D1143&gt;=20,5,IF(D1143&gt;=10,4,IF(D1143&gt;=5,3,IF(D1143&gt;=2,2,1))))</f>
        <v/>
      </c>
      <c r="H1143" s="124">
        <f>IF(E1143&gt;=5000,5,IF(E1143&gt;=2000,4,IF(E1143&gt;=800,3,IF(E1143&gt;=300,2,1))))</f>
        <v/>
      </c>
      <c r="I1143" s="122">
        <f>TEXT(F1143,"0")&amp;TEXT(G1143,"0")&amp;TEXT(H1143,"0")</f>
        <v/>
      </c>
      <c r="J1143" s="122">
        <f>IFERROR(XLOOKUP(I1143,'Segment Map'!A:A,'Segment Map'!B:B,"Need Attention"),"Need Attention")</f>
        <v/>
      </c>
      <c r="K1143" s="122">
        <f>IF(E1143&gt;=5000,"🏆 Platinum",IF(E1143&gt;=2000,"🥇 Gold",IF(E1143&gt;=800,"🥈 Silver","🥉 Bronze")))</f>
        <v/>
      </c>
      <c r="L1143" s="125" t="n">
        <v>40682</v>
      </c>
    </row>
    <row r="1144">
      <c r="A1144" s="126" t="n">
        <v>13888</v>
      </c>
      <c r="B1144" s="126" t="inlineStr">
        <is>
          <t>United Kingdom</t>
        </is>
      </c>
      <c r="C1144" s="126" t="n">
        <v>120</v>
      </c>
      <c r="D1144" s="126" t="n">
        <v>2</v>
      </c>
      <c r="E1144" s="127" t="n">
        <v>605.63</v>
      </c>
      <c r="F1144" s="128">
        <f>IF(C1144&lt;=30,5,IF(C1144&lt;=60,4,IF(C1144&lt;=120,3,IF(C1144&lt;=200,2,1))))</f>
        <v/>
      </c>
      <c r="G1144" s="128">
        <f>IF(D1144&gt;=20,5,IF(D1144&gt;=10,4,IF(D1144&gt;=5,3,IF(D1144&gt;=2,2,1))))</f>
        <v/>
      </c>
      <c r="H1144" s="128">
        <f>IF(E1144&gt;=5000,5,IF(E1144&gt;=2000,4,IF(E1144&gt;=800,3,IF(E1144&gt;=300,2,1))))</f>
        <v/>
      </c>
      <c r="I1144" s="126">
        <f>TEXT(F1144,"0")&amp;TEXT(G1144,"0")&amp;TEXT(H1144,"0")</f>
        <v/>
      </c>
      <c r="J1144" s="126">
        <f>IFERROR(XLOOKUP(I1144,'Segment Map'!A:A,'Segment Map'!B:B,"Need Attention"),"Need Attention")</f>
        <v/>
      </c>
      <c r="K1144" s="126">
        <f>IF(E1144&gt;=5000,"🏆 Platinum",IF(E1144&gt;=2000,"🥇 Gold",IF(E1144&gt;=800,"🥈 Silver","🥉 Bronze")))</f>
        <v/>
      </c>
      <c r="L1144" s="129" t="n">
        <v>40767</v>
      </c>
    </row>
    <row r="1145">
      <c r="A1145" s="122" t="n">
        <v>13889</v>
      </c>
      <c r="B1145" s="122" t="inlineStr">
        <is>
          <t>United Kingdom</t>
        </is>
      </c>
      <c r="C1145" s="122" t="n">
        <v>93</v>
      </c>
      <c r="D1145" s="122" t="n">
        <v>1</v>
      </c>
      <c r="E1145" s="123" t="n">
        <v>416.9</v>
      </c>
      <c r="F1145" s="124">
        <f>IF(C1145&lt;=30,5,IF(C1145&lt;=60,4,IF(C1145&lt;=120,3,IF(C1145&lt;=200,2,1))))</f>
        <v/>
      </c>
      <c r="G1145" s="124">
        <f>IF(D1145&gt;=20,5,IF(D1145&gt;=10,4,IF(D1145&gt;=5,3,IF(D1145&gt;=2,2,1))))</f>
        <v/>
      </c>
      <c r="H1145" s="124">
        <f>IF(E1145&gt;=5000,5,IF(E1145&gt;=2000,4,IF(E1145&gt;=800,3,IF(E1145&gt;=300,2,1))))</f>
        <v/>
      </c>
      <c r="I1145" s="122">
        <f>TEXT(F1145,"0")&amp;TEXT(G1145,"0")&amp;TEXT(H1145,"0")</f>
        <v/>
      </c>
      <c r="J1145" s="122">
        <f>IFERROR(XLOOKUP(I1145,'Segment Map'!A:A,'Segment Map'!B:B,"Need Attention"),"Need Attention")</f>
        <v/>
      </c>
      <c r="K1145" s="122">
        <f>IF(E1145&gt;=5000,"🏆 Platinum",IF(E1145&gt;=2000,"🥇 Gold",IF(E1145&gt;=800,"🥈 Silver","🥉 Bronze")))</f>
        <v/>
      </c>
      <c r="L1145" s="125" t="n">
        <v>40794</v>
      </c>
    </row>
    <row r="1146">
      <c r="A1146" s="126" t="n">
        <v>13890</v>
      </c>
      <c r="B1146" s="126" t="inlineStr">
        <is>
          <t>United Kingdom</t>
        </is>
      </c>
      <c r="C1146" s="126" t="n">
        <v>2</v>
      </c>
      <c r="D1146" s="126" t="n">
        <v>10</v>
      </c>
      <c r="E1146" s="127" t="n">
        <v>1883.81</v>
      </c>
      <c r="F1146" s="128">
        <f>IF(C1146&lt;=30,5,IF(C1146&lt;=60,4,IF(C1146&lt;=120,3,IF(C1146&lt;=200,2,1))))</f>
        <v/>
      </c>
      <c r="G1146" s="128">
        <f>IF(D1146&gt;=20,5,IF(D1146&gt;=10,4,IF(D1146&gt;=5,3,IF(D1146&gt;=2,2,1))))</f>
        <v/>
      </c>
      <c r="H1146" s="128">
        <f>IF(E1146&gt;=5000,5,IF(E1146&gt;=2000,4,IF(E1146&gt;=800,3,IF(E1146&gt;=300,2,1))))</f>
        <v/>
      </c>
      <c r="I1146" s="126">
        <f>TEXT(F1146,"0")&amp;TEXT(G1146,"0")&amp;TEXT(H1146,"0")</f>
        <v/>
      </c>
      <c r="J1146" s="126">
        <f>IFERROR(XLOOKUP(I1146,'Segment Map'!A:A,'Segment Map'!B:B,"Need Attention"),"Need Attention")</f>
        <v/>
      </c>
      <c r="K1146" s="126">
        <f>IF(E1146&gt;=5000,"🏆 Platinum",IF(E1146&gt;=2000,"🥇 Gold",IF(E1146&gt;=800,"🥈 Silver","🥉 Bronze")))</f>
        <v/>
      </c>
      <c r="L1146" s="129" t="n">
        <v>40885</v>
      </c>
    </row>
    <row r="1147">
      <c r="A1147" s="122" t="n">
        <v>13892</v>
      </c>
      <c r="B1147" s="122" t="inlineStr">
        <is>
          <t>United Kingdom</t>
        </is>
      </c>
      <c r="C1147" s="122" t="n">
        <v>27</v>
      </c>
      <c r="D1147" s="122" t="n">
        <v>4</v>
      </c>
      <c r="E1147" s="123" t="n">
        <v>632.97</v>
      </c>
      <c r="F1147" s="124">
        <f>IF(C1147&lt;=30,5,IF(C1147&lt;=60,4,IF(C1147&lt;=120,3,IF(C1147&lt;=200,2,1))))</f>
        <v/>
      </c>
      <c r="G1147" s="124">
        <f>IF(D1147&gt;=20,5,IF(D1147&gt;=10,4,IF(D1147&gt;=5,3,IF(D1147&gt;=2,2,1))))</f>
        <v/>
      </c>
      <c r="H1147" s="124">
        <f>IF(E1147&gt;=5000,5,IF(E1147&gt;=2000,4,IF(E1147&gt;=800,3,IF(E1147&gt;=300,2,1))))</f>
        <v/>
      </c>
      <c r="I1147" s="122">
        <f>TEXT(F1147,"0")&amp;TEXT(G1147,"0")&amp;TEXT(H1147,"0")</f>
        <v/>
      </c>
      <c r="J1147" s="122">
        <f>IFERROR(XLOOKUP(I1147,'Segment Map'!A:A,'Segment Map'!B:B,"Need Attention"),"Need Attention")</f>
        <v/>
      </c>
      <c r="K1147" s="122">
        <f>IF(E1147&gt;=5000,"🏆 Platinum",IF(E1147&gt;=2000,"🥇 Gold",IF(E1147&gt;=800,"🥈 Silver","🥉 Bronze")))</f>
        <v/>
      </c>
      <c r="L1147" s="125" t="n">
        <v>40860</v>
      </c>
    </row>
    <row r="1148">
      <c r="A1148" s="126" t="n">
        <v>13893</v>
      </c>
      <c r="B1148" s="126" t="inlineStr">
        <is>
          <t>United Kingdom</t>
        </is>
      </c>
      <c r="C1148" s="126" t="n">
        <v>298</v>
      </c>
      <c r="D1148" s="126" t="n">
        <v>1</v>
      </c>
      <c r="E1148" s="127" t="n">
        <v>821.1</v>
      </c>
      <c r="F1148" s="128">
        <f>IF(C1148&lt;=30,5,IF(C1148&lt;=60,4,IF(C1148&lt;=120,3,IF(C1148&lt;=200,2,1))))</f>
        <v/>
      </c>
      <c r="G1148" s="128">
        <f>IF(D1148&gt;=20,5,IF(D1148&gt;=10,4,IF(D1148&gt;=5,3,IF(D1148&gt;=2,2,1))))</f>
        <v/>
      </c>
      <c r="H1148" s="128">
        <f>IF(E1148&gt;=5000,5,IF(E1148&gt;=2000,4,IF(E1148&gt;=800,3,IF(E1148&gt;=300,2,1))))</f>
        <v/>
      </c>
      <c r="I1148" s="126">
        <f>TEXT(F1148,"0")&amp;TEXT(G1148,"0")&amp;TEXT(H1148,"0")</f>
        <v/>
      </c>
      <c r="J1148" s="126">
        <f>IFERROR(XLOOKUP(I1148,'Segment Map'!A:A,'Segment Map'!B:B,"Need Attention"),"Need Attention")</f>
        <v/>
      </c>
      <c r="K1148" s="126">
        <f>IF(E1148&gt;=5000,"🏆 Platinum",IF(E1148&gt;=2000,"🥇 Gold",IF(E1148&gt;=800,"🥈 Silver","🥉 Bronze")))</f>
        <v/>
      </c>
      <c r="L1148" s="129" t="n">
        <v>40589</v>
      </c>
    </row>
    <row r="1149">
      <c r="A1149" s="122" t="n">
        <v>13894</v>
      </c>
      <c r="B1149" s="122" t="inlineStr">
        <is>
          <t>United Kingdom</t>
        </is>
      </c>
      <c r="C1149" s="122" t="n">
        <v>24</v>
      </c>
      <c r="D1149" s="122" t="n">
        <v>3</v>
      </c>
      <c r="E1149" s="123" t="n">
        <v>564.62</v>
      </c>
      <c r="F1149" s="124">
        <f>IF(C1149&lt;=30,5,IF(C1149&lt;=60,4,IF(C1149&lt;=120,3,IF(C1149&lt;=200,2,1))))</f>
        <v/>
      </c>
      <c r="G1149" s="124">
        <f>IF(D1149&gt;=20,5,IF(D1149&gt;=10,4,IF(D1149&gt;=5,3,IF(D1149&gt;=2,2,1))))</f>
        <v/>
      </c>
      <c r="H1149" s="124">
        <f>IF(E1149&gt;=5000,5,IF(E1149&gt;=2000,4,IF(E1149&gt;=800,3,IF(E1149&gt;=300,2,1))))</f>
        <v/>
      </c>
      <c r="I1149" s="122">
        <f>TEXT(F1149,"0")&amp;TEXT(G1149,"0")&amp;TEXT(H1149,"0")</f>
        <v/>
      </c>
      <c r="J1149" s="122">
        <f>IFERROR(XLOOKUP(I1149,'Segment Map'!A:A,'Segment Map'!B:B,"Need Attention"),"Need Attention")</f>
        <v/>
      </c>
      <c r="K1149" s="122">
        <f>IF(E1149&gt;=5000,"🏆 Platinum",IF(E1149&gt;=2000,"🥇 Gold",IF(E1149&gt;=800,"🥈 Silver","🥉 Bronze")))</f>
        <v/>
      </c>
      <c r="L1149" s="125" t="n">
        <v>40863</v>
      </c>
    </row>
    <row r="1150">
      <c r="A1150" s="126" t="n">
        <v>13895</v>
      </c>
      <c r="B1150" s="126" t="inlineStr">
        <is>
          <t>United Kingdom</t>
        </is>
      </c>
      <c r="C1150" s="126" t="n">
        <v>29</v>
      </c>
      <c r="D1150" s="126" t="n">
        <v>4</v>
      </c>
      <c r="E1150" s="127" t="n">
        <v>2593.07</v>
      </c>
      <c r="F1150" s="128">
        <f>IF(C1150&lt;=30,5,IF(C1150&lt;=60,4,IF(C1150&lt;=120,3,IF(C1150&lt;=200,2,1))))</f>
        <v/>
      </c>
      <c r="G1150" s="128">
        <f>IF(D1150&gt;=20,5,IF(D1150&gt;=10,4,IF(D1150&gt;=5,3,IF(D1150&gt;=2,2,1))))</f>
        <v/>
      </c>
      <c r="H1150" s="128">
        <f>IF(E1150&gt;=5000,5,IF(E1150&gt;=2000,4,IF(E1150&gt;=800,3,IF(E1150&gt;=300,2,1))))</f>
        <v/>
      </c>
      <c r="I1150" s="126">
        <f>TEXT(F1150,"0")&amp;TEXT(G1150,"0")&amp;TEXT(H1150,"0")</f>
        <v/>
      </c>
      <c r="J1150" s="126">
        <f>IFERROR(XLOOKUP(I1150,'Segment Map'!A:A,'Segment Map'!B:B,"Need Attention"),"Need Attention")</f>
        <v/>
      </c>
      <c r="K1150" s="126">
        <f>IF(E1150&gt;=5000,"🏆 Platinum",IF(E1150&gt;=2000,"🥇 Gold",IF(E1150&gt;=800,"🥈 Silver","🥉 Bronze")))</f>
        <v/>
      </c>
      <c r="L1150" s="129" t="n">
        <v>40858</v>
      </c>
    </row>
    <row r="1151">
      <c r="A1151" s="122" t="n">
        <v>13897</v>
      </c>
      <c r="B1151" s="122" t="inlineStr">
        <is>
          <t>United Kingdom</t>
        </is>
      </c>
      <c r="C1151" s="122" t="n">
        <v>51</v>
      </c>
      <c r="D1151" s="122" t="n">
        <v>1</v>
      </c>
      <c r="E1151" s="123" t="n">
        <v>311.16</v>
      </c>
      <c r="F1151" s="124">
        <f>IF(C1151&lt;=30,5,IF(C1151&lt;=60,4,IF(C1151&lt;=120,3,IF(C1151&lt;=200,2,1))))</f>
        <v/>
      </c>
      <c r="G1151" s="124">
        <f>IF(D1151&gt;=20,5,IF(D1151&gt;=10,4,IF(D1151&gt;=5,3,IF(D1151&gt;=2,2,1))))</f>
        <v/>
      </c>
      <c r="H1151" s="124">
        <f>IF(E1151&gt;=5000,5,IF(E1151&gt;=2000,4,IF(E1151&gt;=800,3,IF(E1151&gt;=300,2,1))))</f>
        <v/>
      </c>
      <c r="I1151" s="122">
        <f>TEXT(F1151,"0")&amp;TEXT(G1151,"0")&amp;TEXT(H1151,"0")</f>
        <v/>
      </c>
      <c r="J1151" s="122">
        <f>IFERROR(XLOOKUP(I1151,'Segment Map'!A:A,'Segment Map'!B:B,"Need Attention"),"Need Attention")</f>
        <v/>
      </c>
      <c r="K1151" s="122">
        <f>IF(E1151&gt;=5000,"🏆 Platinum",IF(E1151&gt;=2000,"🥇 Gold",IF(E1151&gt;=800,"🥈 Silver","🥉 Bronze")))</f>
        <v/>
      </c>
      <c r="L1151" s="125" t="n">
        <v>40836</v>
      </c>
    </row>
    <row r="1152">
      <c r="A1152" s="126" t="n">
        <v>13898</v>
      </c>
      <c r="B1152" s="126" t="inlineStr">
        <is>
          <t>United Kingdom</t>
        </is>
      </c>
      <c r="C1152" s="126" t="n">
        <v>326</v>
      </c>
      <c r="D1152" s="126" t="n">
        <v>1</v>
      </c>
      <c r="E1152" s="127" t="n">
        <v>155.93</v>
      </c>
      <c r="F1152" s="128">
        <f>IF(C1152&lt;=30,5,IF(C1152&lt;=60,4,IF(C1152&lt;=120,3,IF(C1152&lt;=200,2,1))))</f>
        <v/>
      </c>
      <c r="G1152" s="128">
        <f>IF(D1152&gt;=20,5,IF(D1152&gt;=10,4,IF(D1152&gt;=5,3,IF(D1152&gt;=2,2,1))))</f>
        <v/>
      </c>
      <c r="H1152" s="128">
        <f>IF(E1152&gt;=5000,5,IF(E1152&gt;=2000,4,IF(E1152&gt;=800,3,IF(E1152&gt;=300,2,1))))</f>
        <v/>
      </c>
      <c r="I1152" s="126">
        <f>TEXT(F1152,"0")&amp;TEXT(G1152,"0")&amp;TEXT(H1152,"0")</f>
        <v/>
      </c>
      <c r="J1152" s="126">
        <f>IFERROR(XLOOKUP(I1152,'Segment Map'!A:A,'Segment Map'!B:B,"Need Attention"),"Need Attention")</f>
        <v/>
      </c>
      <c r="K1152" s="126">
        <f>IF(E1152&gt;=5000,"🏆 Platinum",IF(E1152&gt;=2000,"🥇 Gold",IF(E1152&gt;=800,"🥈 Silver","🥉 Bronze")))</f>
        <v/>
      </c>
      <c r="L1152" s="129" t="n">
        <v>40561</v>
      </c>
    </row>
    <row r="1153">
      <c r="A1153" s="122" t="n">
        <v>13899</v>
      </c>
      <c r="B1153" s="122" t="inlineStr">
        <is>
          <t>United Kingdom</t>
        </is>
      </c>
      <c r="C1153" s="122" t="n">
        <v>17</v>
      </c>
      <c r="D1153" s="122" t="n">
        <v>2</v>
      </c>
      <c r="E1153" s="123" t="n">
        <v>388.52</v>
      </c>
      <c r="F1153" s="124">
        <f>IF(C1153&lt;=30,5,IF(C1153&lt;=60,4,IF(C1153&lt;=120,3,IF(C1153&lt;=200,2,1))))</f>
        <v/>
      </c>
      <c r="G1153" s="124">
        <f>IF(D1153&gt;=20,5,IF(D1153&gt;=10,4,IF(D1153&gt;=5,3,IF(D1153&gt;=2,2,1))))</f>
        <v/>
      </c>
      <c r="H1153" s="124">
        <f>IF(E1153&gt;=5000,5,IF(E1153&gt;=2000,4,IF(E1153&gt;=800,3,IF(E1153&gt;=300,2,1))))</f>
        <v/>
      </c>
      <c r="I1153" s="122">
        <f>TEXT(F1153,"0")&amp;TEXT(G1153,"0")&amp;TEXT(H1153,"0")</f>
        <v/>
      </c>
      <c r="J1153" s="122">
        <f>IFERROR(XLOOKUP(I1153,'Segment Map'!A:A,'Segment Map'!B:B,"Need Attention"),"Need Attention")</f>
        <v/>
      </c>
      <c r="K1153" s="122">
        <f>IF(E1153&gt;=5000,"🏆 Platinum",IF(E1153&gt;=2000,"🥇 Gold",IF(E1153&gt;=800,"🥈 Silver","🥉 Bronze")))</f>
        <v/>
      </c>
      <c r="L1153" s="125" t="n">
        <v>40870</v>
      </c>
    </row>
    <row r="1154">
      <c r="A1154" s="126" t="n">
        <v>13900</v>
      </c>
      <c r="B1154" s="126" t="inlineStr">
        <is>
          <t>United Kingdom</t>
        </is>
      </c>
      <c r="C1154" s="126" t="n">
        <v>184</v>
      </c>
      <c r="D1154" s="126" t="n">
        <v>3</v>
      </c>
      <c r="E1154" s="127" t="n">
        <v>740.95</v>
      </c>
      <c r="F1154" s="128">
        <f>IF(C1154&lt;=30,5,IF(C1154&lt;=60,4,IF(C1154&lt;=120,3,IF(C1154&lt;=200,2,1))))</f>
        <v/>
      </c>
      <c r="G1154" s="128">
        <f>IF(D1154&gt;=20,5,IF(D1154&gt;=10,4,IF(D1154&gt;=5,3,IF(D1154&gt;=2,2,1))))</f>
        <v/>
      </c>
      <c r="H1154" s="128">
        <f>IF(E1154&gt;=5000,5,IF(E1154&gt;=2000,4,IF(E1154&gt;=800,3,IF(E1154&gt;=300,2,1))))</f>
        <v/>
      </c>
      <c r="I1154" s="126">
        <f>TEXT(F1154,"0")&amp;TEXT(G1154,"0")&amp;TEXT(H1154,"0")</f>
        <v/>
      </c>
      <c r="J1154" s="126">
        <f>IFERROR(XLOOKUP(I1154,'Segment Map'!A:A,'Segment Map'!B:B,"Need Attention"),"Need Attention")</f>
        <v/>
      </c>
      <c r="K1154" s="126">
        <f>IF(E1154&gt;=5000,"🏆 Platinum",IF(E1154&gt;=2000,"🥇 Gold",IF(E1154&gt;=800,"🥈 Silver","🥉 Bronze")))</f>
        <v/>
      </c>
      <c r="L1154" s="129" t="n">
        <v>40703</v>
      </c>
    </row>
    <row r="1155">
      <c r="A1155" s="122" t="n">
        <v>13901</v>
      </c>
      <c r="B1155" s="122" t="inlineStr">
        <is>
          <t>United Kingdom</t>
        </is>
      </c>
      <c r="C1155" s="122" t="n">
        <v>73</v>
      </c>
      <c r="D1155" s="122" t="n">
        <v>5</v>
      </c>
      <c r="E1155" s="123" t="n">
        <v>2867.2</v>
      </c>
      <c r="F1155" s="124">
        <f>IF(C1155&lt;=30,5,IF(C1155&lt;=60,4,IF(C1155&lt;=120,3,IF(C1155&lt;=200,2,1))))</f>
        <v/>
      </c>
      <c r="G1155" s="124">
        <f>IF(D1155&gt;=20,5,IF(D1155&gt;=10,4,IF(D1155&gt;=5,3,IF(D1155&gt;=2,2,1))))</f>
        <v/>
      </c>
      <c r="H1155" s="124">
        <f>IF(E1155&gt;=5000,5,IF(E1155&gt;=2000,4,IF(E1155&gt;=800,3,IF(E1155&gt;=300,2,1))))</f>
        <v/>
      </c>
      <c r="I1155" s="122">
        <f>TEXT(F1155,"0")&amp;TEXT(G1155,"0")&amp;TEXT(H1155,"0")</f>
        <v/>
      </c>
      <c r="J1155" s="122">
        <f>IFERROR(XLOOKUP(I1155,'Segment Map'!A:A,'Segment Map'!B:B,"Need Attention"),"Need Attention")</f>
        <v/>
      </c>
      <c r="K1155" s="122">
        <f>IF(E1155&gt;=5000,"🏆 Platinum",IF(E1155&gt;=2000,"🥇 Gold",IF(E1155&gt;=800,"🥈 Silver","🥉 Bronze")))</f>
        <v/>
      </c>
      <c r="L1155" s="125" t="n">
        <v>40814</v>
      </c>
    </row>
    <row r="1156">
      <c r="A1156" s="126" t="n">
        <v>13904</v>
      </c>
      <c r="B1156" s="126" t="inlineStr">
        <is>
          <t>United Kingdom</t>
        </is>
      </c>
      <c r="C1156" s="126" t="n">
        <v>38</v>
      </c>
      <c r="D1156" s="126" t="n">
        <v>2</v>
      </c>
      <c r="E1156" s="127" t="n">
        <v>332.64</v>
      </c>
      <c r="F1156" s="128">
        <f>IF(C1156&lt;=30,5,IF(C1156&lt;=60,4,IF(C1156&lt;=120,3,IF(C1156&lt;=200,2,1))))</f>
        <v/>
      </c>
      <c r="G1156" s="128">
        <f>IF(D1156&gt;=20,5,IF(D1156&gt;=10,4,IF(D1156&gt;=5,3,IF(D1156&gt;=2,2,1))))</f>
        <v/>
      </c>
      <c r="H1156" s="128">
        <f>IF(E1156&gt;=5000,5,IF(E1156&gt;=2000,4,IF(E1156&gt;=800,3,IF(E1156&gt;=300,2,1))))</f>
        <v/>
      </c>
      <c r="I1156" s="126">
        <f>TEXT(F1156,"0")&amp;TEXT(G1156,"0")&amp;TEXT(H1156,"0")</f>
        <v/>
      </c>
      <c r="J1156" s="126">
        <f>IFERROR(XLOOKUP(I1156,'Segment Map'!A:A,'Segment Map'!B:B,"Need Attention"),"Need Attention")</f>
        <v/>
      </c>
      <c r="K1156" s="126">
        <f>IF(E1156&gt;=5000,"🏆 Platinum",IF(E1156&gt;=2000,"🥇 Gold",IF(E1156&gt;=800,"🥈 Silver","🥉 Bronze")))</f>
        <v/>
      </c>
      <c r="L1156" s="129" t="n">
        <v>40849</v>
      </c>
    </row>
    <row r="1157">
      <c r="A1157" s="122" t="n">
        <v>13908</v>
      </c>
      <c r="B1157" s="122" t="inlineStr">
        <is>
          <t>United Kingdom</t>
        </is>
      </c>
      <c r="C1157" s="122" t="n">
        <v>80</v>
      </c>
      <c r="D1157" s="122" t="n">
        <v>4</v>
      </c>
      <c r="E1157" s="123" t="n">
        <v>2369.55</v>
      </c>
      <c r="F1157" s="124">
        <f>IF(C1157&lt;=30,5,IF(C1157&lt;=60,4,IF(C1157&lt;=120,3,IF(C1157&lt;=200,2,1))))</f>
        <v/>
      </c>
      <c r="G1157" s="124">
        <f>IF(D1157&gt;=20,5,IF(D1157&gt;=10,4,IF(D1157&gt;=5,3,IF(D1157&gt;=2,2,1))))</f>
        <v/>
      </c>
      <c r="H1157" s="124">
        <f>IF(E1157&gt;=5000,5,IF(E1157&gt;=2000,4,IF(E1157&gt;=800,3,IF(E1157&gt;=300,2,1))))</f>
        <v/>
      </c>
      <c r="I1157" s="122">
        <f>TEXT(F1157,"0")&amp;TEXT(G1157,"0")&amp;TEXT(H1157,"0")</f>
        <v/>
      </c>
      <c r="J1157" s="122">
        <f>IFERROR(XLOOKUP(I1157,'Segment Map'!A:A,'Segment Map'!B:B,"Need Attention"),"Need Attention")</f>
        <v/>
      </c>
      <c r="K1157" s="122">
        <f>IF(E1157&gt;=5000,"🏆 Platinum",IF(E1157&gt;=2000,"🥇 Gold",IF(E1157&gt;=800,"🥈 Silver","🥉 Bronze")))</f>
        <v/>
      </c>
      <c r="L1157" s="125" t="n">
        <v>40807</v>
      </c>
    </row>
    <row r="1158">
      <c r="A1158" s="126" t="n">
        <v>13911</v>
      </c>
      <c r="B1158" s="126" t="inlineStr">
        <is>
          <t>United Kingdom</t>
        </is>
      </c>
      <c r="C1158" s="126" t="n">
        <v>58</v>
      </c>
      <c r="D1158" s="126" t="n">
        <v>9</v>
      </c>
      <c r="E1158" s="127" t="n">
        <v>2580.91</v>
      </c>
      <c r="F1158" s="128">
        <f>IF(C1158&lt;=30,5,IF(C1158&lt;=60,4,IF(C1158&lt;=120,3,IF(C1158&lt;=200,2,1))))</f>
        <v/>
      </c>
      <c r="G1158" s="128">
        <f>IF(D1158&gt;=20,5,IF(D1158&gt;=10,4,IF(D1158&gt;=5,3,IF(D1158&gt;=2,2,1))))</f>
        <v/>
      </c>
      <c r="H1158" s="128">
        <f>IF(E1158&gt;=5000,5,IF(E1158&gt;=2000,4,IF(E1158&gt;=800,3,IF(E1158&gt;=300,2,1))))</f>
        <v/>
      </c>
      <c r="I1158" s="126">
        <f>TEXT(F1158,"0")&amp;TEXT(G1158,"0")&amp;TEXT(H1158,"0")</f>
        <v/>
      </c>
      <c r="J1158" s="126">
        <f>IFERROR(XLOOKUP(I1158,'Segment Map'!A:A,'Segment Map'!B:B,"Need Attention"),"Need Attention")</f>
        <v/>
      </c>
      <c r="K1158" s="126">
        <f>IF(E1158&gt;=5000,"🏆 Platinum",IF(E1158&gt;=2000,"🥇 Gold",IF(E1158&gt;=800,"🥈 Silver","🥉 Bronze")))</f>
        <v/>
      </c>
      <c r="L1158" s="129" t="n">
        <v>40829</v>
      </c>
    </row>
    <row r="1159">
      <c r="A1159" s="122" t="n">
        <v>13914</v>
      </c>
      <c r="B1159" s="122" t="inlineStr">
        <is>
          <t>United Kingdom</t>
        </is>
      </c>
      <c r="C1159" s="122" t="n">
        <v>12</v>
      </c>
      <c r="D1159" s="122" t="n">
        <v>2</v>
      </c>
      <c r="E1159" s="123" t="n">
        <v>626.45</v>
      </c>
      <c r="F1159" s="124">
        <f>IF(C1159&lt;=30,5,IF(C1159&lt;=60,4,IF(C1159&lt;=120,3,IF(C1159&lt;=200,2,1))))</f>
        <v/>
      </c>
      <c r="G1159" s="124">
        <f>IF(D1159&gt;=20,5,IF(D1159&gt;=10,4,IF(D1159&gt;=5,3,IF(D1159&gt;=2,2,1))))</f>
        <v/>
      </c>
      <c r="H1159" s="124">
        <f>IF(E1159&gt;=5000,5,IF(E1159&gt;=2000,4,IF(E1159&gt;=800,3,IF(E1159&gt;=300,2,1))))</f>
        <v/>
      </c>
      <c r="I1159" s="122">
        <f>TEXT(F1159,"0")&amp;TEXT(G1159,"0")&amp;TEXT(H1159,"0")</f>
        <v/>
      </c>
      <c r="J1159" s="122">
        <f>IFERROR(XLOOKUP(I1159,'Segment Map'!A:A,'Segment Map'!B:B,"Need Attention"),"Need Attention")</f>
        <v/>
      </c>
      <c r="K1159" s="122">
        <f>IF(E1159&gt;=5000,"🏆 Platinum",IF(E1159&gt;=2000,"🥇 Gold",IF(E1159&gt;=800,"🥈 Silver","🥉 Bronze")))</f>
        <v/>
      </c>
      <c r="L1159" s="125" t="n">
        <v>40875</v>
      </c>
    </row>
    <row r="1160">
      <c r="A1160" s="126" t="n">
        <v>13917</v>
      </c>
      <c r="B1160" s="126" t="inlineStr">
        <is>
          <t>United Kingdom</t>
        </is>
      </c>
      <c r="C1160" s="126" t="n">
        <v>50</v>
      </c>
      <c r="D1160" s="126" t="n">
        <v>2</v>
      </c>
      <c r="E1160" s="127" t="n">
        <v>272.04</v>
      </c>
      <c r="F1160" s="128">
        <f>IF(C1160&lt;=30,5,IF(C1160&lt;=60,4,IF(C1160&lt;=120,3,IF(C1160&lt;=200,2,1))))</f>
        <v/>
      </c>
      <c r="G1160" s="128">
        <f>IF(D1160&gt;=20,5,IF(D1160&gt;=10,4,IF(D1160&gt;=5,3,IF(D1160&gt;=2,2,1))))</f>
        <v/>
      </c>
      <c r="H1160" s="128">
        <f>IF(E1160&gt;=5000,5,IF(E1160&gt;=2000,4,IF(E1160&gt;=800,3,IF(E1160&gt;=300,2,1))))</f>
        <v/>
      </c>
      <c r="I1160" s="126">
        <f>TEXT(F1160,"0")&amp;TEXT(G1160,"0")&amp;TEXT(H1160,"0")</f>
        <v/>
      </c>
      <c r="J1160" s="126">
        <f>IFERROR(XLOOKUP(I1160,'Segment Map'!A:A,'Segment Map'!B:B,"Need Attention"),"Need Attention")</f>
        <v/>
      </c>
      <c r="K1160" s="126">
        <f>IF(E1160&gt;=5000,"🏆 Platinum",IF(E1160&gt;=2000,"🥇 Gold",IF(E1160&gt;=800,"🥈 Silver","🥉 Bronze")))</f>
        <v/>
      </c>
      <c r="L1160" s="129" t="n">
        <v>40837</v>
      </c>
    </row>
    <row r="1161">
      <c r="A1161" s="122" t="n">
        <v>13918</v>
      </c>
      <c r="B1161" s="122" t="inlineStr">
        <is>
          <t>United Kingdom</t>
        </is>
      </c>
      <c r="C1161" s="122" t="n">
        <v>50</v>
      </c>
      <c r="D1161" s="122" t="n">
        <v>2</v>
      </c>
      <c r="E1161" s="123" t="n">
        <v>1212.84</v>
      </c>
      <c r="F1161" s="124">
        <f>IF(C1161&lt;=30,5,IF(C1161&lt;=60,4,IF(C1161&lt;=120,3,IF(C1161&lt;=200,2,1))))</f>
        <v/>
      </c>
      <c r="G1161" s="124">
        <f>IF(D1161&gt;=20,5,IF(D1161&gt;=10,4,IF(D1161&gt;=5,3,IF(D1161&gt;=2,2,1))))</f>
        <v/>
      </c>
      <c r="H1161" s="124">
        <f>IF(E1161&gt;=5000,5,IF(E1161&gt;=2000,4,IF(E1161&gt;=800,3,IF(E1161&gt;=300,2,1))))</f>
        <v/>
      </c>
      <c r="I1161" s="122">
        <f>TEXT(F1161,"0")&amp;TEXT(G1161,"0")&amp;TEXT(H1161,"0")</f>
        <v/>
      </c>
      <c r="J1161" s="122">
        <f>IFERROR(XLOOKUP(I1161,'Segment Map'!A:A,'Segment Map'!B:B,"Need Attention"),"Need Attention")</f>
        <v/>
      </c>
      <c r="K1161" s="122">
        <f>IF(E1161&gt;=5000,"🏆 Platinum",IF(E1161&gt;=2000,"🥇 Gold",IF(E1161&gt;=800,"🥈 Silver","🥉 Bronze")))</f>
        <v/>
      </c>
      <c r="L1161" s="125" t="n">
        <v>40837</v>
      </c>
    </row>
    <row r="1162">
      <c r="A1162" s="126" t="n">
        <v>13919</v>
      </c>
      <c r="B1162" s="126" t="inlineStr">
        <is>
          <t>Denmark</t>
        </is>
      </c>
      <c r="C1162" s="126" t="n">
        <v>60</v>
      </c>
      <c r="D1162" s="126" t="n">
        <v>2</v>
      </c>
      <c r="E1162" s="127" t="n">
        <v>384.81</v>
      </c>
      <c r="F1162" s="128">
        <f>IF(C1162&lt;=30,5,IF(C1162&lt;=60,4,IF(C1162&lt;=120,3,IF(C1162&lt;=200,2,1))))</f>
        <v/>
      </c>
      <c r="G1162" s="128">
        <f>IF(D1162&gt;=20,5,IF(D1162&gt;=10,4,IF(D1162&gt;=5,3,IF(D1162&gt;=2,2,1))))</f>
        <v/>
      </c>
      <c r="H1162" s="128">
        <f>IF(E1162&gt;=5000,5,IF(E1162&gt;=2000,4,IF(E1162&gt;=800,3,IF(E1162&gt;=300,2,1))))</f>
        <v/>
      </c>
      <c r="I1162" s="126">
        <f>TEXT(F1162,"0")&amp;TEXT(G1162,"0")&amp;TEXT(H1162,"0")</f>
        <v/>
      </c>
      <c r="J1162" s="126">
        <f>IFERROR(XLOOKUP(I1162,'Segment Map'!A:A,'Segment Map'!B:B,"Need Attention"),"Need Attention")</f>
        <v/>
      </c>
      <c r="K1162" s="126">
        <f>IF(E1162&gt;=5000,"🏆 Platinum",IF(E1162&gt;=2000,"🥇 Gold",IF(E1162&gt;=800,"🥈 Silver","🥉 Bronze")))</f>
        <v/>
      </c>
      <c r="L1162" s="129" t="n">
        <v>40827</v>
      </c>
    </row>
    <row r="1163">
      <c r="A1163" s="122" t="n">
        <v>13922</v>
      </c>
      <c r="B1163" s="122" t="inlineStr">
        <is>
          <t>United Kingdom</t>
        </is>
      </c>
      <c r="C1163" s="122" t="n">
        <v>352</v>
      </c>
      <c r="D1163" s="122" t="n">
        <v>1</v>
      </c>
      <c r="E1163" s="123" t="n">
        <v>172.25</v>
      </c>
      <c r="F1163" s="124">
        <f>IF(C1163&lt;=30,5,IF(C1163&lt;=60,4,IF(C1163&lt;=120,3,IF(C1163&lt;=200,2,1))))</f>
        <v/>
      </c>
      <c r="G1163" s="124">
        <f>IF(D1163&gt;=20,5,IF(D1163&gt;=10,4,IF(D1163&gt;=5,3,IF(D1163&gt;=2,2,1))))</f>
        <v/>
      </c>
      <c r="H1163" s="124">
        <f>IF(E1163&gt;=5000,5,IF(E1163&gt;=2000,4,IF(E1163&gt;=800,3,IF(E1163&gt;=300,2,1))))</f>
        <v/>
      </c>
      <c r="I1163" s="122">
        <f>TEXT(F1163,"0")&amp;TEXT(G1163,"0")&amp;TEXT(H1163,"0")</f>
        <v/>
      </c>
      <c r="J1163" s="122">
        <f>IFERROR(XLOOKUP(I1163,'Segment Map'!A:A,'Segment Map'!B:B,"Need Attention"),"Need Attention")</f>
        <v/>
      </c>
      <c r="K1163" s="122">
        <f>IF(E1163&gt;=5000,"🏆 Platinum",IF(E1163&gt;=2000,"🥇 Gold",IF(E1163&gt;=800,"🥈 Silver","🥉 Bronze")))</f>
        <v/>
      </c>
      <c r="L1163" s="125" t="n">
        <v>40535</v>
      </c>
    </row>
    <row r="1164">
      <c r="A1164" s="126" t="n">
        <v>13923</v>
      </c>
      <c r="B1164" s="126" t="inlineStr">
        <is>
          <t>United Kingdom</t>
        </is>
      </c>
      <c r="C1164" s="126" t="n">
        <v>54</v>
      </c>
      <c r="D1164" s="126" t="n">
        <v>1</v>
      </c>
      <c r="E1164" s="127" t="n">
        <v>351.13</v>
      </c>
      <c r="F1164" s="128">
        <f>IF(C1164&lt;=30,5,IF(C1164&lt;=60,4,IF(C1164&lt;=120,3,IF(C1164&lt;=200,2,1))))</f>
        <v/>
      </c>
      <c r="G1164" s="128">
        <f>IF(D1164&gt;=20,5,IF(D1164&gt;=10,4,IF(D1164&gt;=5,3,IF(D1164&gt;=2,2,1))))</f>
        <v/>
      </c>
      <c r="H1164" s="128">
        <f>IF(E1164&gt;=5000,5,IF(E1164&gt;=2000,4,IF(E1164&gt;=800,3,IF(E1164&gt;=300,2,1))))</f>
        <v/>
      </c>
      <c r="I1164" s="126">
        <f>TEXT(F1164,"0")&amp;TEXT(G1164,"0")&amp;TEXT(H1164,"0")</f>
        <v/>
      </c>
      <c r="J1164" s="126">
        <f>IFERROR(XLOOKUP(I1164,'Segment Map'!A:A,'Segment Map'!B:B,"Need Attention"),"Need Attention")</f>
        <v/>
      </c>
      <c r="K1164" s="126">
        <f>IF(E1164&gt;=5000,"🏆 Platinum",IF(E1164&gt;=2000,"🥇 Gold",IF(E1164&gt;=800,"🥈 Silver","🥉 Bronze")))</f>
        <v/>
      </c>
      <c r="L1164" s="129" t="n">
        <v>40833</v>
      </c>
    </row>
    <row r="1165">
      <c r="A1165" s="122" t="n">
        <v>13924</v>
      </c>
      <c r="B1165" s="122" t="inlineStr">
        <is>
          <t>United Kingdom</t>
        </is>
      </c>
      <c r="C1165" s="122" t="n">
        <v>2</v>
      </c>
      <c r="D1165" s="122" t="n">
        <v>6</v>
      </c>
      <c r="E1165" s="123" t="n">
        <v>1838.85</v>
      </c>
      <c r="F1165" s="124">
        <f>IF(C1165&lt;=30,5,IF(C1165&lt;=60,4,IF(C1165&lt;=120,3,IF(C1165&lt;=200,2,1))))</f>
        <v/>
      </c>
      <c r="G1165" s="124">
        <f>IF(D1165&gt;=20,5,IF(D1165&gt;=10,4,IF(D1165&gt;=5,3,IF(D1165&gt;=2,2,1))))</f>
        <v/>
      </c>
      <c r="H1165" s="124">
        <f>IF(E1165&gt;=5000,5,IF(E1165&gt;=2000,4,IF(E1165&gt;=800,3,IF(E1165&gt;=300,2,1))))</f>
        <v/>
      </c>
      <c r="I1165" s="122">
        <f>TEXT(F1165,"0")&amp;TEXT(G1165,"0")&amp;TEXT(H1165,"0")</f>
        <v/>
      </c>
      <c r="J1165" s="122">
        <f>IFERROR(XLOOKUP(I1165,'Segment Map'!A:A,'Segment Map'!B:B,"Need Attention"),"Need Attention")</f>
        <v/>
      </c>
      <c r="K1165" s="122">
        <f>IF(E1165&gt;=5000,"🏆 Platinum",IF(E1165&gt;=2000,"🥇 Gold",IF(E1165&gt;=800,"🥈 Silver","🥉 Bronze")))</f>
        <v/>
      </c>
      <c r="L1165" s="125" t="n">
        <v>40885</v>
      </c>
    </row>
    <row r="1166">
      <c r="A1166" s="126" t="n">
        <v>13925</v>
      </c>
      <c r="B1166" s="126" t="inlineStr">
        <is>
          <t>United Kingdom</t>
        </is>
      </c>
      <c r="C1166" s="126" t="n">
        <v>93</v>
      </c>
      <c r="D1166" s="126" t="n">
        <v>4</v>
      </c>
      <c r="E1166" s="127" t="n">
        <v>678.25</v>
      </c>
      <c r="F1166" s="128">
        <f>IF(C1166&lt;=30,5,IF(C1166&lt;=60,4,IF(C1166&lt;=120,3,IF(C1166&lt;=200,2,1))))</f>
        <v/>
      </c>
      <c r="G1166" s="128">
        <f>IF(D1166&gt;=20,5,IF(D1166&gt;=10,4,IF(D1166&gt;=5,3,IF(D1166&gt;=2,2,1))))</f>
        <v/>
      </c>
      <c r="H1166" s="128">
        <f>IF(E1166&gt;=5000,5,IF(E1166&gt;=2000,4,IF(E1166&gt;=800,3,IF(E1166&gt;=300,2,1))))</f>
        <v/>
      </c>
      <c r="I1166" s="126">
        <f>TEXT(F1166,"0")&amp;TEXT(G1166,"0")&amp;TEXT(H1166,"0")</f>
        <v/>
      </c>
      <c r="J1166" s="126">
        <f>IFERROR(XLOOKUP(I1166,'Segment Map'!A:A,'Segment Map'!B:B,"Need Attention"),"Need Attention")</f>
        <v/>
      </c>
      <c r="K1166" s="126">
        <f>IF(E1166&gt;=5000,"🏆 Platinum",IF(E1166&gt;=2000,"🥇 Gold",IF(E1166&gt;=800,"🥈 Silver","🥉 Bronze")))</f>
        <v/>
      </c>
      <c r="L1166" s="129" t="n">
        <v>40794</v>
      </c>
    </row>
    <row r="1167">
      <c r="A1167" s="122" t="n">
        <v>13926</v>
      </c>
      <c r="B1167" s="122" t="inlineStr">
        <is>
          <t>United Kingdom</t>
        </is>
      </c>
      <c r="C1167" s="122" t="n">
        <v>24</v>
      </c>
      <c r="D1167" s="122" t="n">
        <v>1</v>
      </c>
      <c r="E1167" s="123" t="n">
        <v>223.85</v>
      </c>
      <c r="F1167" s="124">
        <f>IF(C1167&lt;=30,5,IF(C1167&lt;=60,4,IF(C1167&lt;=120,3,IF(C1167&lt;=200,2,1))))</f>
        <v/>
      </c>
      <c r="G1167" s="124">
        <f>IF(D1167&gt;=20,5,IF(D1167&gt;=10,4,IF(D1167&gt;=5,3,IF(D1167&gt;=2,2,1))))</f>
        <v/>
      </c>
      <c r="H1167" s="124">
        <f>IF(E1167&gt;=5000,5,IF(E1167&gt;=2000,4,IF(E1167&gt;=800,3,IF(E1167&gt;=300,2,1))))</f>
        <v/>
      </c>
      <c r="I1167" s="122">
        <f>TEXT(F1167,"0")&amp;TEXT(G1167,"0")&amp;TEXT(H1167,"0")</f>
        <v/>
      </c>
      <c r="J1167" s="122">
        <f>IFERROR(XLOOKUP(I1167,'Segment Map'!A:A,'Segment Map'!B:B,"Need Attention"),"Need Attention")</f>
        <v/>
      </c>
      <c r="K1167" s="122">
        <f>IF(E1167&gt;=5000,"🏆 Platinum",IF(E1167&gt;=2000,"🥇 Gold",IF(E1167&gt;=800,"🥈 Silver","🥉 Bronze")))</f>
        <v/>
      </c>
      <c r="L1167" s="125" t="n">
        <v>40863</v>
      </c>
    </row>
    <row r="1168">
      <c r="A1168" s="126" t="n">
        <v>13927</v>
      </c>
      <c r="B1168" s="126" t="inlineStr">
        <is>
          <t>United Kingdom</t>
        </is>
      </c>
      <c r="C1168" s="126" t="n">
        <v>75</v>
      </c>
      <c r="D1168" s="126" t="n">
        <v>1</v>
      </c>
      <c r="E1168" s="127" t="n">
        <v>348.99</v>
      </c>
      <c r="F1168" s="128">
        <f>IF(C1168&lt;=30,5,IF(C1168&lt;=60,4,IF(C1168&lt;=120,3,IF(C1168&lt;=200,2,1))))</f>
        <v/>
      </c>
      <c r="G1168" s="128">
        <f>IF(D1168&gt;=20,5,IF(D1168&gt;=10,4,IF(D1168&gt;=5,3,IF(D1168&gt;=2,2,1))))</f>
        <v/>
      </c>
      <c r="H1168" s="128">
        <f>IF(E1168&gt;=5000,5,IF(E1168&gt;=2000,4,IF(E1168&gt;=800,3,IF(E1168&gt;=300,2,1))))</f>
        <v/>
      </c>
      <c r="I1168" s="126">
        <f>TEXT(F1168,"0")&amp;TEXT(G1168,"0")&amp;TEXT(H1168,"0")</f>
        <v/>
      </c>
      <c r="J1168" s="126">
        <f>IFERROR(XLOOKUP(I1168,'Segment Map'!A:A,'Segment Map'!B:B,"Need Attention"),"Need Attention")</f>
        <v/>
      </c>
      <c r="K1168" s="126">
        <f>IF(E1168&gt;=5000,"🏆 Platinum",IF(E1168&gt;=2000,"🥇 Gold",IF(E1168&gt;=800,"🥈 Silver","🥉 Bronze")))</f>
        <v/>
      </c>
      <c r="L1168" s="129" t="n">
        <v>40812</v>
      </c>
    </row>
    <row r="1169">
      <c r="A1169" s="122" t="n">
        <v>13928</v>
      </c>
      <c r="B1169" s="122" t="inlineStr">
        <is>
          <t>United Kingdom</t>
        </is>
      </c>
      <c r="C1169" s="122" t="n">
        <v>11</v>
      </c>
      <c r="D1169" s="122" t="n">
        <v>4</v>
      </c>
      <c r="E1169" s="123" t="n">
        <v>464.57</v>
      </c>
      <c r="F1169" s="124">
        <f>IF(C1169&lt;=30,5,IF(C1169&lt;=60,4,IF(C1169&lt;=120,3,IF(C1169&lt;=200,2,1))))</f>
        <v/>
      </c>
      <c r="G1169" s="124">
        <f>IF(D1169&gt;=20,5,IF(D1169&gt;=10,4,IF(D1169&gt;=5,3,IF(D1169&gt;=2,2,1))))</f>
        <v/>
      </c>
      <c r="H1169" s="124">
        <f>IF(E1169&gt;=5000,5,IF(E1169&gt;=2000,4,IF(E1169&gt;=800,3,IF(E1169&gt;=300,2,1))))</f>
        <v/>
      </c>
      <c r="I1169" s="122">
        <f>TEXT(F1169,"0")&amp;TEXT(G1169,"0")&amp;TEXT(H1169,"0")</f>
        <v/>
      </c>
      <c r="J1169" s="122">
        <f>IFERROR(XLOOKUP(I1169,'Segment Map'!A:A,'Segment Map'!B:B,"Need Attention"),"Need Attention")</f>
        <v/>
      </c>
      <c r="K1169" s="122">
        <f>IF(E1169&gt;=5000,"🏆 Platinum",IF(E1169&gt;=2000,"🥇 Gold",IF(E1169&gt;=800,"🥈 Silver","🥉 Bronze")))</f>
        <v/>
      </c>
      <c r="L1169" s="125" t="n">
        <v>40876</v>
      </c>
    </row>
    <row r="1170">
      <c r="A1170" s="126" t="n">
        <v>13929</v>
      </c>
      <c r="B1170" s="126" t="inlineStr">
        <is>
          <t>United Kingdom</t>
        </is>
      </c>
      <c r="C1170" s="126" t="n">
        <v>170</v>
      </c>
      <c r="D1170" s="126" t="n">
        <v>2</v>
      </c>
      <c r="E1170" s="127" t="n">
        <v>842.65</v>
      </c>
      <c r="F1170" s="128">
        <f>IF(C1170&lt;=30,5,IF(C1170&lt;=60,4,IF(C1170&lt;=120,3,IF(C1170&lt;=200,2,1))))</f>
        <v/>
      </c>
      <c r="G1170" s="128">
        <f>IF(D1170&gt;=20,5,IF(D1170&gt;=10,4,IF(D1170&gt;=5,3,IF(D1170&gt;=2,2,1))))</f>
        <v/>
      </c>
      <c r="H1170" s="128">
        <f>IF(E1170&gt;=5000,5,IF(E1170&gt;=2000,4,IF(E1170&gt;=800,3,IF(E1170&gt;=300,2,1))))</f>
        <v/>
      </c>
      <c r="I1170" s="126">
        <f>TEXT(F1170,"0")&amp;TEXT(G1170,"0")&amp;TEXT(H1170,"0")</f>
        <v/>
      </c>
      <c r="J1170" s="126">
        <f>IFERROR(XLOOKUP(I1170,'Segment Map'!A:A,'Segment Map'!B:B,"Need Attention"),"Need Attention")</f>
        <v/>
      </c>
      <c r="K1170" s="126">
        <f>IF(E1170&gt;=5000,"🏆 Platinum",IF(E1170&gt;=2000,"🥇 Gold",IF(E1170&gt;=800,"🥈 Silver","🥉 Bronze")))</f>
        <v/>
      </c>
      <c r="L1170" s="129" t="n">
        <v>40717</v>
      </c>
    </row>
    <row r="1171">
      <c r="A1171" s="122" t="n">
        <v>13930</v>
      </c>
      <c r="B1171" s="122" t="inlineStr">
        <is>
          <t>United Kingdom</t>
        </is>
      </c>
      <c r="C1171" s="122" t="n">
        <v>58</v>
      </c>
      <c r="D1171" s="122" t="n">
        <v>2</v>
      </c>
      <c r="E1171" s="123" t="n">
        <v>337.34</v>
      </c>
      <c r="F1171" s="124">
        <f>IF(C1171&lt;=30,5,IF(C1171&lt;=60,4,IF(C1171&lt;=120,3,IF(C1171&lt;=200,2,1))))</f>
        <v/>
      </c>
      <c r="G1171" s="124">
        <f>IF(D1171&gt;=20,5,IF(D1171&gt;=10,4,IF(D1171&gt;=5,3,IF(D1171&gt;=2,2,1))))</f>
        <v/>
      </c>
      <c r="H1171" s="124">
        <f>IF(E1171&gt;=5000,5,IF(E1171&gt;=2000,4,IF(E1171&gt;=800,3,IF(E1171&gt;=300,2,1))))</f>
        <v/>
      </c>
      <c r="I1171" s="122">
        <f>TEXT(F1171,"0")&amp;TEXT(G1171,"0")&amp;TEXT(H1171,"0")</f>
        <v/>
      </c>
      <c r="J1171" s="122">
        <f>IFERROR(XLOOKUP(I1171,'Segment Map'!A:A,'Segment Map'!B:B,"Need Attention"),"Need Attention")</f>
        <v/>
      </c>
      <c r="K1171" s="122">
        <f>IF(E1171&gt;=5000,"🏆 Platinum",IF(E1171&gt;=2000,"🥇 Gold",IF(E1171&gt;=800,"🥈 Silver","🥉 Bronze")))</f>
        <v/>
      </c>
      <c r="L1171" s="125" t="n">
        <v>40829</v>
      </c>
    </row>
    <row r="1172">
      <c r="A1172" s="126" t="n">
        <v>13931</v>
      </c>
      <c r="B1172" s="126" t="inlineStr">
        <is>
          <t>United Kingdom</t>
        </is>
      </c>
      <c r="C1172" s="126" t="n">
        <v>96</v>
      </c>
      <c r="D1172" s="126" t="n">
        <v>2</v>
      </c>
      <c r="E1172" s="127" t="n">
        <v>1237.53</v>
      </c>
      <c r="F1172" s="128">
        <f>IF(C1172&lt;=30,5,IF(C1172&lt;=60,4,IF(C1172&lt;=120,3,IF(C1172&lt;=200,2,1))))</f>
        <v/>
      </c>
      <c r="G1172" s="128">
        <f>IF(D1172&gt;=20,5,IF(D1172&gt;=10,4,IF(D1172&gt;=5,3,IF(D1172&gt;=2,2,1))))</f>
        <v/>
      </c>
      <c r="H1172" s="128">
        <f>IF(E1172&gt;=5000,5,IF(E1172&gt;=2000,4,IF(E1172&gt;=800,3,IF(E1172&gt;=300,2,1))))</f>
        <v/>
      </c>
      <c r="I1172" s="126">
        <f>TEXT(F1172,"0")&amp;TEXT(G1172,"0")&amp;TEXT(H1172,"0")</f>
        <v/>
      </c>
      <c r="J1172" s="126">
        <f>IFERROR(XLOOKUP(I1172,'Segment Map'!A:A,'Segment Map'!B:B,"Need Attention"),"Need Attention")</f>
        <v/>
      </c>
      <c r="K1172" s="126">
        <f>IF(E1172&gt;=5000,"🏆 Platinum",IF(E1172&gt;=2000,"🥇 Gold",IF(E1172&gt;=800,"🥈 Silver","🥉 Bronze")))</f>
        <v/>
      </c>
      <c r="L1172" s="129" t="n">
        <v>40791</v>
      </c>
    </row>
    <row r="1173">
      <c r="A1173" s="122" t="n">
        <v>13932</v>
      </c>
      <c r="B1173" s="122" t="inlineStr">
        <is>
          <t>United Kingdom</t>
        </is>
      </c>
      <c r="C1173" s="122" t="n">
        <v>295</v>
      </c>
      <c r="D1173" s="122" t="n">
        <v>1</v>
      </c>
      <c r="E1173" s="123" t="n">
        <v>307.4</v>
      </c>
      <c r="F1173" s="124">
        <f>IF(C1173&lt;=30,5,IF(C1173&lt;=60,4,IF(C1173&lt;=120,3,IF(C1173&lt;=200,2,1))))</f>
        <v/>
      </c>
      <c r="G1173" s="124">
        <f>IF(D1173&gt;=20,5,IF(D1173&gt;=10,4,IF(D1173&gt;=5,3,IF(D1173&gt;=2,2,1))))</f>
        <v/>
      </c>
      <c r="H1173" s="124">
        <f>IF(E1173&gt;=5000,5,IF(E1173&gt;=2000,4,IF(E1173&gt;=800,3,IF(E1173&gt;=300,2,1))))</f>
        <v/>
      </c>
      <c r="I1173" s="122">
        <f>TEXT(F1173,"0")&amp;TEXT(G1173,"0")&amp;TEXT(H1173,"0")</f>
        <v/>
      </c>
      <c r="J1173" s="122">
        <f>IFERROR(XLOOKUP(I1173,'Segment Map'!A:A,'Segment Map'!B:B,"Need Attention"),"Need Attention")</f>
        <v/>
      </c>
      <c r="K1173" s="122">
        <f>IF(E1173&gt;=5000,"🏆 Platinum",IF(E1173&gt;=2000,"🥇 Gold",IF(E1173&gt;=800,"🥈 Silver","🥉 Bronze")))</f>
        <v/>
      </c>
      <c r="L1173" s="125" t="n">
        <v>40592</v>
      </c>
    </row>
    <row r="1174">
      <c r="A1174" s="126" t="n">
        <v>13933</v>
      </c>
      <c r="B1174" s="126" t="inlineStr">
        <is>
          <t>United Kingdom</t>
        </is>
      </c>
      <c r="C1174" s="126" t="n">
        <v>110</v>
      </c>
      <c r="D1174" s="126" t="n">
        <v>2</v>
      </c>
      <c r="E1174" s="127" t="n">
        <v>608.79</v>
      </c>
      <c r="F1174" s="128">
        <f>IF(C1174&lt;=30,5,IF(C1174&lt;=60,4,IF(C1174&lt;=120,3,IF(C1174&lt;=200,2,1))))</f>
        <v/>
      </c>
      <c r="G1174" s="128">
        <f>IF(D1174&gt;=20,5,IF(D1174&gt;=10,4,IF(D1174&gt;=5,3,IF(D1174&gt;=2,2,1))))</f>
        <v/>
      </c>
      <c r="H1174" s="128">
        <f>IF(E1174&gt;=5000,5,IF(E1174&gt;=2000,4,IF(E1174&gt;=800,3,IF(E1174&gt;=300,2,1))))</f>
        <v/>
      </c>
      <c r="I1174" s="126">
        <f>TEXT(F1174,"0")&amp;TEXT(G1174,"0")&amp;TEXT(H1174,"0")</f>
        <v/>
      </c>
      <c r="J1174" s="126">
        <f>IFERROR(XLOOKUP(I1174,'Segment Map'!A:A,'Segment Map'!B:B,"Need Attention"),"Need Attention")</f>
        <v/>
      </c>
      <c r="K1174" s="126">
        <f>IF(E1174&gt;=5000,"🏆 Platinum",IF(E1174&gt;=2000,"🥇 Gold",IF(E1174&gt;=800,"🥈 Silver","🥉 Bronze")))</f>
        <v/>
      </c>
      <c r="L1174" s="129" t="n">
        <v>40777</v>
      </c>
    </row>
    <row r="1175">
      <c r="A1175" s="122" t="n">
        <v>13934</v>
      </c>
      <c r="B1175" s="122" t="inlineStr">
        <is>
          <t>United Kingdom</t>
        </is>
      </c>
      <c r="C1175" s="122" t="n">
        <v>264</v>
      </c>
      <c r="D1175" s="122" t="n">
        <v>1</v>
      </c>
      <c r="E1175" s="123" t="n">
        <v>922.1</v>
      </c>
      <c r="F1175" s="124">
        <f>IF(C1175&lt;=30,5,IF(C1175&lt;=60,4,IF(C1175&lt;=120,3,IF(C1175&lt;=200,2,1))))</f>
        <v/>
      </c>
      <c r="G1175" s="124">
        <f>IF(D1175&gt;=20,5,IF(D1175&gt;=10,4,IF(D1175&gt;=5,3,IF(D1175&gt;=2,2,1))))</f>
        <v/>
      </c>
      <c r="H1175" s="124">
        <f>IF(E1175&gt;=5000,5,IF(E1175&gt;=2000,4,IF(E1175&gt;=800,3,IF(E1175&gt;=300,2,1))))</f>
        <v/>
      </c>
      <c r="I1175" s="122">
        <f>TEXT(F1175,"0")&amp;TEXT(G1175,"0")&amp;TEXT(H1175,"0")</f>
        <v/>
      </c>
      <c r="J1175" s="122">
        <f>IFERROR(XLOOKUP(I1175,'Segment Map'!A:A,'Segment Map'!B:B,"Need Attention"),"Need Attention")</f>
        <v/>
      </c>
      <c r="K1175" s="122">
        <f>IF(E1175&gt;=5000,"🏆 Platinum",IF(E1175&gt;=2000,"🥇 Gold",IF(E1175&gt;=800,"🥈 Silver","🥉 Bronze")))</f>
        <v/>
      </c>
      <c r="L1175" s="125" t="n">
        <v>40623</v>
      </c>
    </row>
    <row r="1176">
      <c r="A1176" s="126" t="n">
        <v>13936</v>
      </c>
      <c r="B1176" s="126" t="inlineStr">
        <is>
          <t>United Kingdom</t>
        </is>
      </c>
      <c r="C1176" s="126" t="n">
        <v>180</v>
      </c>
      <c r="D1176" s="126" t="n">
        <v>1</v>
      </c>
      <c r="E1176" s="127" t="n">
        <v>376.58</v>
      </c>
      <c r="F1176" s="128">
        <f>IF(C1176&lt;=30,5,IF(C1176&lt;=60,4,IF(C1176&lt;=120,3,IF(C1176&lt;=200,2,1))))</f>
        <v/>
      </c>
      <c r="G1176" s="128">
        <f>IF(D1176&gt;=20,5,IF(D1176&gt;=10,4,IF(D1176&gt;=5,3,IF(D1176&gt;=2,2,1))))</f>
        <v/>
      </c>
      <c r="H1176" s="128">
        <f>IF(E1176&gt;=5000,5,IF(E1176&gt;=2000,4,IF(E1176&gt;=800,3,IF(E1176&gt;=300,2,1))))</f>
        <v/>
      </c>
      <c r="I1176" s="126">
        <f>TEXT(F1176,"0")&amp;TEXT(G1176,"0")&amp;TEXT(H1176,"0")</f>
        <v/>
      </c>
      <c r="J1176" s="126">
        <f>IFERROR(XLOOKUP(I1176,'Segment Map'!A:A,'Segment Map'!B:B,"Need Attention"),"Need Attention")</f>
        <v/>
      </c>
      <c r="K1176" s="126">
        <f>IF(E1176&gt;=5000,"🏆 Platinum",IF(E1176&gt;=2000,"🥇 Gold",IF(E1176&gt;=800,"🥈 Silver","🥉 Bronze")))</f>
        <v/>
      </c>
      <c r="L1176" s="129" t="n">
        <v>40707</v>
      </c>
    </row>
    <row r="1177">
      <c r="A1177" s="122" t="n">
        <v>13937</v>
      </c>
      <c r="B1177" s="122" t="inlineStr">
        <is>
          <t>United Kingdom</t>
        </is>
      </c>
      <c r="C1177" s="122" t="n">
        <v>170</v>
      </c>
      <c r="D1177" s="122" t="n">
        <v>1</v>
      </c>
      <c r="E1177" s="123" t="n">
        <v>158.85</v>
      </c>
      <c r="F1177" s="124">
        <f>IF(C1177&lt;=30,5,IF(C1177&lt;=60,4,IF(C1177&lt;=120,3,IF(C1177&lt;=200,2,1))))</f>
        <v/>
      </c>
      <c r="G1177" s="124">
        <f>IF(D1177&gt;=20,5,IF(D1177&gt;=10,4,IF(D1177&gt;=5,3,IF(D1177&gt;=2,2,1))))</f>
        <v/>
      </c>
      <c r="H1177" s="124">
        <f>IF(E1177&gt;=5000,5,IF(E1177&gt;=2000,4,IF(E1177&gt;=800,3,IF(E1177&gt;=300,2,1))))</f>
        <v/>
      </c>
      <c r="I1177" s="122">
        <f>TEXT(F1177,"0")&amp;TEXT(G1177,"0")&amp;TEXT(H1177,"0")</f>
        <v/>
      </c>
      <c r="J1177" s="122">
        <f>IFERROR(XLOOKUP(I1177,'Segment Map'!A:A,'Segment Map'!B:B,"Need Attention"),"Need Attention")</f>
        <v/>
      </c>
      <c r="K1177" s="122">
        <f>IF(E1177&gt;=5000,"🏆 Platinum",IF(E1177&gt;=2000,"🥇 Gold",IF(E1177&gt;=800,"🥈 Silver","🥉 Bronze")))</f>
        <v/>
      </c>
      <c r="L1177" s="125" t="n">
        <v>40717</v>
      </c>
    </row>
    <row r="1178">
      <c r="A1178" s="126" t="n">
        <v>13938</v>
      </c>
      <c r="B1178" s="126" t="inlineStr">
        <is>
          <t>United Kingdom</t>
        </is>
      </c>
      <c r="C1178" s="126" t="n">
        <v>36</v>
      </c>
      <c r="D1178" s="126" t="n">
        <v>1</v>
      </c>
      <c r="E1178" s="127" t="n">
        <v>71.66</v>
      </c>
      <c r="F1178" s="128">
        <f>IF(C1178&lt;=30,5,IF(C1178&lt;=60,4,IF(C1178&lt;=120,3,IF(C1178&lt;=200,2,1))))</f>
        <v/>
      </c>
      <c r="G1178" s="128">
        <f>IF(D1178&gt;=20,5,IF(D1178&gt;=10,4,IF(D1178&gt;=5,3,IF(D1178&gt;=2,2,1))))</f>
        <v/>
      </c>
      <c r="H1178" s="128">
        <f>IF(E1178&gt;=5000,5,IF(E1178&gt;=2000,4,IF(E1178&gt;=800,3,IF(E1178&gt;=300,2,1))))</f>
        <v/>
      </c>
      <c r="I1178" s="126">
        <f>TEXT(F1178,"0")&amp;TEXT(G1178,"0")&amp;TEXT(H1178,"0")</f>
        <v/>
      </c>
      <c r="J1178" s="126">
        <f>IFERROR(XLOOKUP(I1178,'Segment Map'!A:A,'Segment Map'!B:B,"Need Attention"),"Need Attention")</f>
        <v/>
      </c>
      <c r="K1178" s="126">
        <f>IF(E1178&gt;=5000,"🏆 Platinum",IF(E1178&gt;=2000,"🥇 Gold",IF(E1178&gt;=800,"🥈 Silver","🥉 Bronze")))</f>
        <v/>
      </c>
      <c r="L1178" s="129" t="n">
        <v>40851</v>
      </c>
    </row>
    <row r="1179">
      <c r="A1179" s="122" t="n">
        <v>13939</v>
      </c>
      <c r="B1179" s="122" t="inlineStr">
        <is>
          <t>United Kingdom</t>
        </is>
      </c>
      <c r="C1179" s="122" t="n">
        <v>24</v>
      </c>
      <c r="D1179" s="122" t="n">
        <v>3</v>
      </c>
      <c r="E1179" s="123" t="n">
        <v>568.55</v>
      </c>
      <c r="F1179" s="124">
        <f>IF(C1179&lt;=30,5,IF(C1179&lt;=60,4,IF(C1179&lt;=120,3,IF(C1179&lt;=200,2,1))))</f>
        <v/>
      </c>
      <c r="G1179" s="124">
        <f>IF(D1179&gt;=20,5,IF(D1179&gt;=10,4,IF(D1179&gt;=5,3,IF(D1179&gt;=2,2,1))))</f>
        <v/>
      </c>
      <c r="H1179" s="124">
        <f>IF(E1179&gt;=5000,5,IF(E1179&gt;=2000,4,IF(E1179&gt;=800,3,IF(E1179&gt;=300,2,1))))</f>
        <v/>
      </c>
      <c r="I1179" s="122">
        <f>TEXT(F1179,"0")&amp;TEXT(G1179,"0")&amp;TEXT(H1179,"0")</f>
        <v/>
      </c>
      <c r="J1179" s="122">
        <f>IFERROR(XLOOKUP(I1179,'Segment Map'!A:A,'Segment Map'!B:B,"Need Attention"),"Need Attention")</f>
        <v/>
      </c>
      <c r="K1179" s="122">
        <f>IF(E1179&gt;=5000,"🏆 Platinum",IF(E1179&gt;=2000,"🥇 Gold",IF(E1179&gt;=800,"🥈 Silver","🥉 Bronze")))</f>
        <v/>
      </c>
      <c r="L1179" s="125" t="n">
        <v>40863</v>
      </c>
    </row>
    <row r="1180">
      <c r="A1180" s="126" t="n">
        <v>13940</v>
      </c>
      <c r="B1180" s="126" t="inlineStr">
        <is>
          <t>United Kingdom</t>
        </is>
      </c>
      <c r="C1180" s="126" t="n">
        <v>18</v>
      </c>
      <c r="D1180" s="126" t="n">
        <v>4</v>
      </c>
      <c r="E1180" s="127" t="n">
        <v>839.14</v>
      </c>
      <c r="F1180" s="128">
        <f>IF(C1180&lt;=30,5,IF(C1180&lt;=60,4,IF(C1180&lt;=120,3,IF(C1180&lt;=200,2,1))))</f>
        <v/>
      </c>
      <c r="G1180" s="128">
        <f>IF(D1180&gt;=20,5,IF(D1180&gt;=10,4,IF(D1180&gt;=5,3,IF(D1180&gt;=2,2,1))))</f>
        <v/>
      </c>
      <c r="H1180" s="128">
        <f>IF(E1180&gt;=5000,5,IF(E1180&gt;=2000,4,IF(E1180&gt;=800,3,IF(E1180&gt;=300,2,1))))</f>
        <v/>
      </c>
      <c r="I1180" s="126">
        <f>TEXT(F1180,"0")&amp;TEXT(G1180,"0")&amp;TEXT(H1180,"0")</f>
        <v/>
      </c>
      <c r="J1180" s="126">
        <f>IFERROR(XLOOKUP(I1180,'Segment Map'!A:A,'Segment Map'!B:B,"Need Attention"),"Need Attention")</f>
        <v/>
      </c>
      <c r="K1180" s="126">
        <f>IF(E1180&gt;=5000,"🏆 Platinum",IF(E1180&gt;=2000,"🥇 Gold",IF(E1180&gt;=800,"🥈 Silver","🥉 Bronze")))</f>
        <v/>
      </c>
      <c r="L1180" s="129" t="n">
        <v>40869</v>
      </c>
    </row>
    <row r="1181">
      <c r="A1181" s="122" t="n">
        <v>13941</v>
      </c>
      <c r="B1181" s="122" t="inlineStr">
        <is>
          <t>United Kingdom</t>
        </is>
      </c>
      <c r="C1181" s="122" t="n">
        <v>22</v>
      </c>
      <c r="D1181" s="122" t="n">
        <v>5</v>
      </c>
      <c r="E1181" s="123" t="n">
        <v>5112.96</v>
      </c>
      <c r="F1181" s="124">
        <f>IF(C1181&lt;=30,5,IF(C1181&lt;=60,4,IF(C1181&lt;=120,3,IF(C1181&lt;=200,2,1))))</f>
        <v/>
      </c>
      <c r="G1181" s="124">
        <f>IF(D1181&gt;=20,5,IF(D1181&gt;=10,4,IF(D1181&gt;=5,3,IF(D1181&gt;=2,2,1))))</f>
        <v/>
      </c>
      <c r="H1181" s="124">
        <f>IF(E1181&gt;=5000,5,IF(E1181&gt;=2000,4,IF(E1181&gt;=800,3,IF(E1181&gt;=300,2,1))))</f>
        <v/>
      </c>
      <c r="I1181" s="122">
        <f>TEXT(F1181,"0")&amp;TEXT(G1181,"0")&amp;TEXT(H1181,"0")</f>
        <v/>
      </c>
      <c r="J1181" s="122">
        <f>IFERROR(XLOOKUP(I1181,'Segment Map'!A:A,'Segment Map'!B:B,"Need Attention"),"Need Attention")</f>
        <v/>
      </c>
      <c r="K1181" s="122">
        <f>IF(E1181&gt;=5000,"🏆 Platinum",IF(E1181&gt;=2000,"🥇 Gold",IF(E1181&gt;=800,"🥈 Silver","🥉 Bronze")))</f>
        <v/>
      </c>
      <c r="L1181" s="125" t="n">
        <v>40865</v>
      </c>
    </row>
    <row r="1182">
      <c r="A1182" s="126" t="n">
        <v>13946</v>
      </c>
      <c r="B1182" s="126" t="inlineStr">
        <is>
          <t>United Kingdom</t>
        </is>
      </c>
      <c r="C1182" s="126" t="n">
        <v>80</v>
      </c>
      <c r="D1182" s="126" t="n">
        <v>3</v>
      </c>
      <c r="E1182" s="127" t="n">
        <v>561.5700000000001</v>
      </c>
      <c r="F1182" s="128">
        <f>IF(C1182&lt;=30,5,IF(C1182&lt;=60,4,IF(C1182&lt;=120,3,IF(C1182&lt;=200,2,1))))</f>
        <v/>
      </c>
      <c r="G1182" s="128">
        <f>IF(D1182&gt;=20,5,IF(D1182&gt;=10,4,IF(D1182&gt;=5,3,IF(D1182&gt;=2,2,1))))</f>
        <v/>
      </c>
      <c r="H1182" s="128">
        <f>IF(E1182&gt;=5000,5,IF(E1182&gt;=2000,4,IF(E1182&gt;=800,3,IF(E1182&gt;=300,2,1))))</f>
        <v/>
      </c>
      <c r="I1182" s="126">
        <f>TEXT(F1182,"0")&amp;TEXT(G1182,"0")&amp;TEXT(H1182,"0")</f>
        <v/>
      </c>
      <c r="J1182" s="126">
        <f>IFERROR(XLOOKUP(I1182,'Segment Map'!A:A,'Segment Map'!B:B,"Need Attention"),"Need Attention")</f>
        <v/>
      </c>
      <c r="K1182" s="126">
        <f>IF(E1182&gt;=5000,"🏆 Platinum",IF(E1182&gt;=2000,"🥇 Gold",IF(E1182&gt;=800,"🥈 Silver","🥉 Bronze")))</f>
        <v/>
      </c>
      <c r="L1182" s="129" t="n">
        <v>40807</v>
      </c>
    </row>
    <row r="1183">
      <c r="A1183" s="122" t="n">
        <v>13947</v>
      </c>
      <c r="B1183" s="122" t="inlineStr">
        <is>
          <t>United Kingdom</t>
        </is>
      </c>
      <c r="C1183" s="122" t="n">
        <v>66</v>
      </c>
      <c r="D1183" s="122" t="n">
        <v>1</v>
      </c>
      <c r="E1183" s="123" t="n">
        <v>90.59999999999999</v>
      </c>
      <c r="F1183" s="124">
        <f>IF(C1183&lt;=30,5,IF(C1183&lt;=60,4,IF(C1183&lt;=120,3,IF(C1183&lt;=200,2,1))))</f>
        <v/>
      </c>
      <c r="G1183" s="124">
        <f>IF(D1183&gt;=20,5,IF(D1183&gt;=10,4,IF(D1183&gt;=5,3,IF(D1183&gt;=2,2,1))))</f>
        <v/>
      </c>
      <c r="H1183" s="124">
        <f>IF(E1183&gt;=5000,5,IF(E1183&gt;=2000,4,IF(E1183&gt;=800,3,IF(E1183&gt;=300,2,1))))</f>
        <v/>
      </c>
      <c r="I1183" s="122">
        <f>TEXT(F1183,"0")&amp;TEXT(G1183,"0")&amp;TEXT(H1183,"0")</f>
        <v/>
      </c>
      <c r="J1183" s="122">
        <f>IFERROR(XLOOKUP(I1183,'Segment Map'!A:A,'Segment Map'!B:B,"Need Attention"),"Need Attention")</f>
        <v/>
      </c>
      <c r="K1183" s="122">
        <f>IF(E1183&gt;=5000,"🏆 Platinum",IF(E1183&gt;=2000,"🥇 Gold",IF(E1183&gt;=800,"🥈 Silver","🥉 Bronze")))</f>
        <v/>
      </c>
      <c r="L1183" s="125" t="n">
        <v>40821</v>
      </c>
    </row>
    <row r="1184">
      <c r="A1184" s="126" t="n">
        <v>13948</v>
      </c>
      <c r="B1184" s="126" t="inlineStr">
        <is>
          <t>United Kingdom</t>
        </is>
      </c>
      <c r="C1184" s="126" t="n">
        <v>361</v>
      </c>
      <c r="D1184" s="126" t="n">
        <v>1</v>
      </c>
      <c r="E1184" s="127" t="n">
        <v>102</v>
      </c>
      <c r="F1184" s="128">
        <f>IF(C1184&lt;=30,5,IF(C1184&lt;=60,4,IF(C1184&lt;=120,3,IF(C1184&lt;=200,2,1))))</f>
        <v/>
      </c>
      <c r="G1184" s="128">
        <f>IF(D1184&gt;=20,5,IF(D1184&gt;=10,4,IF(D1184&gt;=5,3,IF(D1184&gt;=2,2,1))))</f>
        <v/>
      </c>
      <c r="H1184" s="128">
        <f>IF(E1184&gt;=5000,5,IF(E1184&gt;=2000,4,IF(E1184&gt;=800,3,IF(E1184&gt;=300,2,1))))</f>
        <v/>
      </c>
      <c r="I1184" s="126">
        <f>TEXT(F1184,"0")&amp;TEXT(G1184,"0")&amp;TEXT(H1184,"0")</f>
        <v/>
      </c>
      <c r="J1184" s="126">
        <f>IFERROR(XLOOKUP(I1184,'Segment Map'!A:A,'Segment Map'!B:B,"Need Attention"),"Need Attention")</f>
        <v/>
      </c>
      <c r="K1184" s="126">
        <f>IF(E1184&gt;=5000,"🏆 Platinum",IF(E1184&gt;=2000,"🥇 Gold",IF(E1184&gt;=800,"🥈 Silver","🥉 Bronze")))</f>
        <v/>
      </c>
      <c r="L1184" s="129" t="n">
        <v>40526</v>
      </c>
    </row>
    <row r="1185">
      <c r="A1185" s="122" t="n">
        <v>13949</v>
      </c>
      <c r="B1185" s="122" t="inlineStr">
        <is>
          <t>United Kingdom</t>
        </is>
      </c>
      <c r="C1185" s="122" t="n">
        <v>3</v>
      </c>
      <c r="D1185" s="122" t="n">
        <v>6</v>
      </c>
      <c r="E1185" s="123" t="n">
        <v>2427.32</v>
      </c>
      <c r="F1185" s="124">
        <f>IF(C1185&lt;=30,5,IF(C1185&lt;=60,4,IF(C1185&lt;=120,3,IF(C1185&lt;=200,2,1))))</f>
        <v/>
      </c>
      <c r="G1185" s="124">
        <f>IF(D1185&gt;=20,5,IF(D1185&gt;=10,4,IF(D1185&gt;=5,3,IF(D1185&gt;=2,2,1))))</f>
        <v/>
      </c>
      <c r="H1185" s="124">
        <f>IF(E1185&gt;=5000,5,IF(E1185&gt;=2000,4,IF(E1185&gt;=800,3,IF(E1185&gt;=300,2,1))))</f>
        <v/>
      </c>
      <c r="I1185" s="122">
        <f>TEXT(F1185,"0")&amp;TEXT(G1185,"0")&amp;TEXT(H1185,"0")</f>
        <v/>
      </c>
      <c r="J1185" s="122">
        <f>IFERROR(XLOOKUP(I1185,'Segment Map'!A:A,'Segment Map'!B:B,"Need Attention"),"Need Attention")</f>
        <v/>
      </c>
      <c r="K1185" s="122">
        <f>IF(E1185&gt;=5000,"🏆 Platinum",IF(E1185&gt;=2000,"🥇 Gold",IF(E1185&gt;=800,"🥈 Silver","🥉 Bronze")))</f>
        <v/>
      </c>
      <c r="L1185" s="125" t="n">
        <v>40884</v>
      </c>
    </row>
    <row r="1186">
      <c r="A1186" s="126" t="n">
        <v>13950</v>
      </c>
      <c r="B1186" s="126" t="inlineStr">
        <is>
          <t>United Kingdom</t>
        </is>
      </c>
      <c r="C1186" s="126" t="n">
        <v>12</v>
      </c>
      <c r="D1186" s="126" t="n">
        <v>4</v>
      </c>
      <c r="E1186" s="127" t="n">
        <v>745.0599999999999</v>
      </c>
      <c r="F1186" s="128">
        <f>IF(C1186&lt;=30,5,IF(C1186&lt;=60,4,IF(C1186&lt;=120,3,IF(C1186&lt;=200,2,1))))</f>
        <v/>
      </c>
      <c r="G1186" s="128">
        <f>IF(D1186&gt;=20,5,IF(D1186&gt;=10,4,IF(D1186&gt;=5,3,IF(D1186&gt;=2,2,1))))</f>
        <v/>
      </c>
      <c r="H1186" s="128">
        <f>IF(E1186&gt;=5000,5,IF(E1186&gt;=2000,4,IF(E1186&gt;=800,3,IF(E1186&gt;=300,2,1))))</f>
        <v/>
      </c>
      <c r="I1186" s="126">
        <f>TEXT(F1186,"0")&amp;TEXT(G1186,"0")&amp;TEXT(H1186,"0")</f>
        <v/>
      </c>
      <c r="J1186" s="126">
        <f>IFERROR(XLOOKUP(I1186,'Segment Map'!A:A,'Segment Map'!B:B,"Need Attention"),"Need Attention")</f>
        <v/>
      </c>
      <c r="K1186" s="126">
        <f>IF(E1186&gt;=5000,"🏆 Platinum",IF(E1186&gt;=2000,"🥇 Gold",IF(E1186&gt;=800,"🥈 Silver","🥉 Bronze")))</f>
        <v/>
      </c>
      <c r="L1186" s="129" t="n">
        <v>40875</v>
      </c>
    </row>
    <row r="1187">
      <c r="A1187" s="122" t="n">
        <v>13951</v>
      </c>
      <c r="B1187" s="122" t="inlineStr">
        <is>
          <t>United Kingdom</t>
        </is>
      </c>
      <c r="C1187" s="122" t="n">
        <v>177</v>
      </c>
      <c r="D1187" s="122" t="n">
        <v>3</v>
      </c>
      <c r="E1187" s="123" t="n">
        <v>674.45</v>
      </c>
      <c r="F1187" s="124">
        <f>IF(C1187&lt;=30,5,IF(C1187&lt;=60,4,IF(C1187&lt;=120,3,IF(C1187&lt;=200,2,1))))</f>
        <v/>
      </c>
      <c r="G1187" s="124">
        <f>IF(D1187&gt;=20,5,IF(D1187&gt;=10,4,IF(D1187&gt;=5,3,IF(D1187&gt;=2,2,1))))</f>
        <v/>
      </c>
      <c r="H1187" s="124">
        <f>IF(E1187&gt;=5000,5,IF(E1187&gt;=2000,4,IF(E1187&gt;=800,3,IF(E1187&gt;=300,2,1))))</f>
        <v/>
      </c>
      <c r="I1187" s="122">
        <f>TEXT(F1187,"0")&amp;TEXT(G1187,"0")&amp;TEXT(H1187,"0")</f>
        <v/>
      </c>
      <c r="J1187" s="122">
        <f>IFERROR(XLOOKUP(I1187,'Segment Map'!A:A,'Segment Map'!B:B,"Need Attention"),"Need Attention")</f>
        <v/>
      </c>
      <c r="K1187" s="122">
        <f>IF(E1187&gt;=5000,"🏆 Platinum",IF(E1187&gt;=2000,"🥇 Gold",IF(E1187&gt;=800,"🥈 Silver","🥉 Bronze")))</f>
        <v/>
      </c>
      <c r="L1187" s="125" t="n">
        <v>40710</v>
      </c>
    </row>
    <row r="1188">
      <c r="A1188" s="126" t="n">
        <v>13952</v>
      </c>
      <c r="B1188" s="126" t="inlineStr">
        <is>
          <t>United Kingdom</t>
        </is>
      </c>
      <c r="C1188" s="126" t="n">
        <v>218</v>
      </c>
      <c r="D1188" s="126" t="n">
        <v>2</v>
      </c>
      <c r="E1188" s="127" t="n">
        <v>3251.07</v>
      </c>
      <c r="F1188" s="128">
        <f>IF(C1188&lt;=30,5,IF(C1188&lt;=60,4,IF(C1188&lt;=120,3,IF(C1188&lt;=200,2,1))))</f>
        <v/>
      </c>
      <c r="G1188" s="128">
        <f>IF(D1188&gt;=20,5,IF(D1188&gt;=10,4,IF(D1188&gt;=5,3,IF(D1188&gt;=2,2,1))))</f>
        <v/>
      </c>
      <c r="H1188" s="128">
        <f>IF(E1188&gt;=5000,5,IF(E1188&gt;=2000,4,IF(E1188&gt;=800,3,IF(E1188&gt;=300,2,1))))</f>
        <v/>
      </c>
      <c r="I1188" s="126">
        <f>TEXT(F1188,"0")&amp;TEXT(G1188,"0")&amp;TEXT(H1188,"0")</f>
        <v/>
      </c>
      <c r="J1188" s="126">
        <f>IFERROR(XLOOKUP(I1188,'Segment Map'!A:A,'Segment Map'!B:B,"Need Attention"),"Need Attention")</f>
        <v/>
      </c>
      <c r="K1188" s="126">
        <f>IF(E1188&gt;=5000,"🏆 Platinum",IF(E1188&gt;=2000,"🥇 Gold",IF(E1188&gt;=800,"🥈 Silver","🥉 Bronze")))</f>
        <v/>
      </c>
      <c r="L1188" s="129" t="n">
        <v>40669</v>
      </c>
    </row>
    <row r="1189">
      <c r="A1189" s="122" t="n">
        <v>13953</v>
      </c>
      <c r="B1189" s="122" t="inlineStr">
        <is>
          <t>United Kingdom</t>
        </is>
      </c>
      <c r="C1189" s="122" t="n">
        <v>8</v>
      </c>
      <c r="D1189" s="122" t="n">
        <v>7</v>
      </c>
      <c r="E1189" s="123" t="n">
        <v>3515.68</v>
      </c>
      <c r="F1189" s="124">
        <f>IF(C1189&lt;=30,5,IF(C1189&lt;=60,4,IF(C1189&lt;=120,3,IF(C1189&lt;=200,2,1))))</f>
        <v/>
      </c>
      <c r="G1189" s="124">
        <f>IF(D1189&gt;=20,5,IF(D1189&gt;=10,4,IF(D1189&gt;=5,3,IF(D1189&gt;=2,2,1))))</f>
        <v/>
      </c>
      <c r="H1189" s="124">
        <f>IF(E1189&gt;=5000,5,IF(E1189&gt;=2000,4,IF(E1189&gt;=800,3,IF(E1189&gt;=300,2,1))))</f>
        <v/>
      </c>
      <c r="I1189" s="122">
        <f>TEXT(F1189,"0")&amp;TEXT(G1189,"0")&amp;TEXT(H1189,"0")</f>
        <v/>
      </c>
      <c r="J1189" s="122">
        <f>IFERROR(XLOOKUP(I1189,'Segment Map'!A:A,'Segment Map'!B:B,"Need Attention"),"Need Attention")</f>
        <v/>
      </c>
      <c r="K1189" s="122">
        <f>IF(E1189&gt;=5000,"🏆 Platinum",IF(E1189&gt;=2000,"🥇 Gold",IF(E1189&gt;=800,"🥈 Silver","🥉 Bronze")))</f>
        <v/>
      </c>
      <c r="L1189" s="125" t="n">
        <v>40879</v>
      </c>
    </row>
    <row r="1190">
      <c r="A1190" s="126" t="n">
        <v>13954</v>
      </c>
      <c r="B1190" s="126" t="inlineStr">
        <is>
          <t>United Kingdom</t>
        </is>
      </c>
      <c r="C1190" s="126" t="n">
        <v>2</v>
      </c>
      <c r="D1190" s="126" t="n">
        <v>2</v>
      </c>
      <c r="E1190" s="127" t="n">
        <v>439.92</v>
      </c>
      <c r="F1190" s="128">
        <f>IF(C1190&lt;=30,5,IF(C1190&lt;=60,4,IF(C1190&lt;=120,3,IF(C1190&lt;=200,2,1))))</f>
        <v/>
      </c>
      <c r="G1190" s="128">
        <f>IF(D1190&gt;=20,5,IF(D1190&gt;=10,4,IF(D1190&gt;=5,3,IF(D1190&gt;=2,2,1))))</f>
        <v/>
      </c>
      <c r="H1190" s="128">
        <f>IF(E1190&gt;=5000,5,IF(E1190&gt;=2000,4,IF(E1190&gt;=800,3,IF(E1190&gt;=300,2,1))))</f>
        <v/>
      </c>
      <c r="I1190" s="126">
        <f>TEXT(F1190,"0")&amp;TEXT(G1190,"0")&amp;TEXT(H1190,"0")</f>
        <v/>
      </c>
      <c r="J1190" s="126">
        <f>IFERROR(XLOOKUP(I1190,'Segment Map'!A:A,'Segment Map'!B:B,"Need Attention"),"Need Attention")</f>
        <v/>
      </c>
      <c r="K1190" s="126">
        <f>IF(E1190&gt;=5000,"🏆 Platinum",IF(E1190&gt;=2000,"🥇 Gold",IF(E1190&gt;=800,"🥈 Silver","🥉 Bronze")))</f>
        <v/>
      </c>
      <c r="L1190" s="129" t="n">
        <v>40885</v>
      </c>
    </row>
    <row r="1191">
      <c r="A1191" s="122" t="n">
        <v>13955</v>
      </c>
      <c r="B1191" s="122" t="inlineStr">
        <is>
          <t>United Kingdom</t>
        </is>
      </c>
      <c r="C1191" s="122" t="n">
        <v>155</v>
      </c>
      <c r="D1191" s="122" t="n">
        <v>2</v>
      </c>
      <c r="E1191" s="123" t="n">
        <v>322.96</v>
      </c>
      <c r="F1191" s="124">
        <f>IF(C1191&lt;=30,5,IF(C1191&lt;=60,4,IF(C1191&lt;=120,3,IF(C1191&lt;=200,2,1))))</f>
        <v/>
      </c>
      <c r="G1191" s="124">
        <f>IF(D1191&gt;=20,5,IF(D1191&gt;=10,4,IF(D1191&gt;=5,3,IF(D1191&gt;=2,2,1))))</f>
        <v/>
      </c>
      <c r="H1191" s="124">
        <f>IF(E1191&gt;=5000,5,IF(E1191&gt;=2000,4,IF(E1191&gt;=800,3,IF(E1191&gt;=300,2,1))))</f>
        <v/>
      </c>
      <c r="I1191" s="122">
        <f>TEXT(F1191,"0")&amp;TEXT(G1191,"0")&amp;TEXT(H1191,"0")</f>
        <v/>
      </c>
      <c r="J1191" s="122">
        <f>IFERROR(XLOOKUP(I1191,'Segment Map'!A:A,'Segment Map'!B:B,"Need Attention"),"Need Attention")</f>
        <v/>
      </c>
      <c r="K1191" s="122">
        <f>IF(E1191&gt;=5000,"🏆 Platinum",IF(E1191&gt;=2000,"🥇 Gold",IF(E1191&gt;=800,"🥈 Silver","🥉 Bronze")))</f>
        <v/>
      </c>
      <c r="L1191" s="125" t="n">
        <v>40732</v>
      </c>
    </row>
    <row r="1192">
      <c r="A1192" s="126" t="n">
        <v>13956</v>
      </c>
      <c r="B1192" s="126" t="inlineStr">
        <is>
          <t>United Kingdom</t>
        </is>
      </c>
      <c r="C1192" s="126" t="n">
        <v>6</v>
      </c>
      <c r="D1192" s="126" t="n">
        <v>5</v>
      </c>
      <c r="E1192" s="127" t="n">
        <v>1026.42</v>
      </c>
      <c r="F1192" s="128">
        <f>IF(C1192&lt;=30,5,IF(C1192&lt;=60,4,IF(C1192&lt;=120,3,IF(C1192&lt;=200,2,1))))</f>
        <v/>
      </c>
      <c r="G1192" s="128">
        <f>IF(D1192&gt;=20,5,IF(D1192&gt;=10,4,IF(D1192&gt;=5,3,IF(D1192&gt;=2,2,1))))</f>
        <v/>
      </c>
      <c r="H1192" s="128">
        <f>IF(E1192&gt;=5000,5,IF(E1192&gt;=2000,4,IF(E1192&gt;=800,3,IF(E1192&gt;=300,2,1))))</f>
        <v/>
      </c>
      <c r="I1192" s="126">
        <f>TEXT(F1192,"0")&amp;TEXT(G1192,"0")&amp;TEXT(H1192,"0")</f>
        <v/>
      </c>
      <c r="J1192" s="126">
        <f>IFERROR(XLOOKUP(I1192,'Segment Map'!A:A,'Segment Map'!B:B,"Need Attention"),"Need Attention")</f>
        <v/>
      </c>
      <c r="K1192" s="126">
        <f>IF(E1192&gt;=5000,"🏆 Platinum",IF(E1192&gt;=2000,"🥇 Gold",IF(E1192&gt;=800,"🥈 Silver","🥉 Bronze")))</f>
        <v/>
      </c>
      <c r="L1192" s="129" t="n">
        <v>40881</v>
      </c>
    </row>
    <row r="1193">
      <c r="A1193" s="122" t="n">
        <v>13959</v>
      </c>
      <c r="B1193" s="122" t="inlineStr">
        <is>
          <t>United Kingdom</t>
        </is>
      </c>
      <c r="C1193" s="122" t="n">
        <v>80</v>
      </c>
      <c r="D1193" s="122" t="n">
        <v>3</v>
      </c>
      <c r="E1193" s="123" t="n">
        <v>598.2</v>
      </c>
      <c r="F1193" s="124">
        <f>IF(C1193&lt;=30,5,IF(C1193&lt;=60,4,IF(C1193&lt;=120,3,IF(C1193&lt;=200,2,1))))</f>
        <v/>
      </c>
      <c r="G1193" s="124">
        <f>IF(D1193&gt;=20,5,IF(D1193&gt;=10,4,IF(D1193&gt;=5,3,IF(D1193&gt;=2,2,1))))</f>
        <v/>
      </c>
      <c r="H1193" s="124">
        <f>IF(E1193&gt;=5000,5,IF(E1193&gt;=2000,4,IF(E1193&gt;=800,3,IF(E1193&gt;=300,2,1))))</f>
        <v/>
      </c>
      <c r="I1193" s="122">
        <f>TEXT(F1193,"0")&amp;TEXT(G1193,"0")&amp;TEXT(H1193,"0")</f>
        <v/>
      </c>
      <c r="J1193" s="122">
        <f>IFERROR(XLOOKUP(I1193,'Segment Map'!A:A,'Segment Map'!B:B,"Need Attention"),"Need Attention")</f>
        <v/>
      </c>
      <c r="K1193" s="122">
        <f>IF(E1193&gt;=5000,"🏆 Platinum",IF(E1193&gt;=2000,"🥇 Gold",IF(E1193&gt;=800,"🥈 Silver","🥉 Bronze")))</f>
        <v/>
      </c>
      <c r="L1193" s="125" t="n">
        <v>40807</v>
      </c>
    </row>
    <row r="1194">
      <c r="A1194" s="126" t="n">
        <v>13960</v>
      </c>
      <c r="B1194" s="126" t="inlineStr">
        <is>
          <t>United Kingdom</t>
        </is>
      </c>
      <c r="C1194" s="126" t="n">
        <v>22</v>
      </c>
      <c r="D1194" s="126" t="n">
        <v>2</v>
      </c>
      <c r="E1194" s="127" t="n">
        <v>230.22</v>
      </c>
      <c r="F1194" s="128">
        <f>IF(C1194&lt;=30,5,IF(C1194&lt;=60,4,IF(C1194&lt;=120,3,IF(C1194&lt;=200,2,1))))</f>
        <v/>
      </c>
      <c r="G1194" s="128">
        <f>IF(D1194&gt;=20,5,IF(D1194&gt;=10,4,IF(D1194&gt;=5,3,IF(D1194&gt;=2,2,1))))</f>
        <v/>
      </c>
      <c r="H1194" s="128">
        <f>IF(E1194&gt;=5000,5,IF(E1194&gt;=2000,4,IF(E1194&gt;=800,3,IF(E1194&gt;=300,2,1))))</f>
        <v/>
      </c>
      <c r="I1194" s="126">
        <f>TEXT(F1194,"0")&amp;TEXT(G1194,"0")&amp;TEXT(H1194,"0")</f>
        <v/>
      </c>
      <c r="J1194" s="126">
        <f>IFERROR(XLOOKUP(I1194,'Segment Map'!A:A,'Segment Map'!B:B,"Need Attention"),"Need Attention")</f>
        <v/>
      </c>
      <c r="K1194" s="126">
        <f>IF(E1194&gt;=5000,"🏆 Platinum",IF(E1194&gt;=2000,"🥇 Gold",IF(E1194&gt;=800,"🥈 Silver","🥉 Bronze")))</f>
        <v/>
      </c>
      <c r="L1194" s="129" t="n">
        <v>40865</v>
      </c>
    </row>
    <row r="1195">
      <c r="A1195" s="122" t="n">
        <v>13962</v>
      </c>
      <c r="B1195" s="122" t="inlineStr">
        <is>
          <t>United Kingdom</t>
        </is>
      </c>
      <c r="C1195" s="122" t="n">
        <v>22</v>
      </c>
      <c r="D1195" s="122" t="n">
        <v>2</v>
      </c>
      <c r="E1195" s="123" t="n">
        <v>169.55</v>
      </c>
      <c r="F1195" s="124">
        <f>IF(C1195&lt;=30,5,IF(C1195&lt;=60,4,IF(C1195&lt;=120,3,IF(C1195&lt;=200,2,1))))</f>
        <v/>
      </c>
      <c r="G1195" s="124">
        <f>IF(D1195&gt;=20,5,IF(D1195&gt;=10,4,IF(D1195&gt;=5,3,IF(D1195&gt;=2,2,1))))</f>
        <v/>
      </c>
      <c r="H1195" s="124">
        <f>IF(E1195&gt;=5000,5,IF(E1195&gt;=2000,4,IF(E1195&gt;=800,3,IF(E1195&gt;=300,2,1))))</f>
        <v/>
      </c>
      <c r="I1195" s="122">
        <f>TEXT(F1195,"0")&amp;TEXT(G1195,"0")&amp;TEXT(H1195,"0")</f>
        <v/>
      </c>
      <c r="J1195" s="122">
        <f>IFERROR(XLOOKUP(I1195,'Segment Map'!A:A,'Segment Map'!B:B,"Need Attention"),"Need Attention")</f>
        <v/>
      </c>
      <c r="K1195" s="122">
        <f>IF(E1195&gt;=5000,"🏆 Platinum",IF(E1195&gt;=2000,"🥇 Gold",IF(E1195&gt;=800,"🥈 Silver","🥉 Bronze")))</f>
        <v/>
      </c>
      <c r="L1195" s="125" t="n">
        <v>40865</v>
      </c>
    </row>
    <row r="1196">
      <c r="A1196" s="126" t="n">
        <v>13963</v>
      </c>
      <c r="B1196" s="126" t="inlineStr">
        <is>
          <t>United Kingdom</t>
        </is>
      </c>
      <c r="C1196" s="126" t="n">
        <v>309</v>
      </c>
      <c r="D1196" s="126" t="n">
        <v>4</v>
      </c>
      <c r="E1196" s="127" t="n">
        <v>664.54</v>
      </c>
      <c r="F1196" s="128">
        <f>IF(C1196&lt;=30,5,IF(C1196&lt;=60,4,IF(C1196&lt;=120,3,IF(C1196&lt;=200,2,1))))</f>
        <v/>
      </c>
      <c r="G1196" s="128">
        <f>IF(D1196&gt;=20,5,IF(D1196&gt;=10,4,IF(D1196&gt;=5,3,IF(D1196&gt;=2,2,1))))</f>
        <v/>
      </c>
      <c r="H1196" s="128">
        <f>IF(E1196&gt;=5000,5,IF(E1196&gt;=2000,4,IF(E1196&gt;=800,3,IF(E1196&gt;=300,2,1))))</f>
        <v/>
      </c>
      <c r="I1196" s="126">
        <f>TEXT(F1196,"0")&amp;TEXT(G1196,"0")&amp;TEXT(H1196,"0")</f>
        <v/>
      </c>
      <c r="J1196" s="126">
        <f>IFERROR(XLOOKUP(I1196,'Segment Map'!A:A,'Segment Map'!B:B,"Need Attention"),"Need Attention")</f>
        <v/>
      </c>
      <c r="K1196" s="126">
        <f>IF(E1196&gt;=5000,"🏆 Platinum",IF(E1196&gt;=2000,"🥇 Gold",IF(E1196&gt;=800,"🥈 Silver","🥉 Bronze")))</f>
        <v/>
      </c>
      <c r="L1196" s="129" t="n">
        <v>40578</v>
      </c>
    </row>
    <row r="1197">
      <c r="A1197" s="122" t="n">
        <v>13967</v>
      </c>
      <c r="B1197" s="122" t="inlineStr">
        <is>
          <t>United Kingdom</t>
        </is>
      </c>
      <c r="C1197" s="122" t="n">
        <v>146</v>
      </c>
      <c r="D1197" s="122" t="n">
        <v>1</v>
      </c>
      <c r="E1197" s="123" t="n">
        <v>80.7</v>
      </c>
      <c r="F1197" s="124">
        <f>IF(C1197&lt;=30,5,IF(C1197&lt;=60,4,IF(C1197&lt;=120,3,IF(C1197&lt;=200,2,1))))</f>
        <v/>
      </c>
      <c r="G1197" s="124">
        <f>IF(D1197&gt;=20,5,IF(D1197&gt;=10,4,IF(D1197&gt;=5,3,IF(D1197&gt;=2,2,1))))</f>
        <v/>
      </c>
      <c r="H1197" s="124">
        <f>IF(E1197&gt;=5000,5,IF(E1197&gt;=2000,4,IF(E1197&gt;=800,3,IF(E1197&gt;=300,2,1))))</f>
        <v/>
      </c>
      <c r="I1197" s="122">
        <f>TEXT(F1197,"0")&amp;TEXT(G1197,"0")&amp;TEXT(H1197,"0")</f>
        <v/>
      </c>
      <c r="J1197" s="122">
        <f>IFERROR(XLOOKUP(I1197,'Segment Map'!A:A,'Segment Map'!B:B,"Need Attention"),"Need Attention")</f>
        <v/>
      </c>
      <c r="K1197" s="122">
        <f>IF(E1197&gt;=5000,"🏆 Platinum",IF(E1197&gt;=2000,"🥇 Gold",IF(E1197&gt;=800,"🥈 Silver","🥉 Bronze")))</f>
        <v/>
      </c>
      <c r="L1197" s="125" t="n">
        <v>40741</v>
      </c>
    </row>
    <row r="1198">
      <c r="A1198" s="126" t="n">
        <v>13969</v>
      </c>
      <c r="B1198" s="126" t="inlineStr">
        <is>
          <t>United Kingdom</t>
        </is>
      </c>
      <c r="C1198" s="126" t="n">
        <v>8</v>
      </c>
      <c r="D1198" s="126" t="n">
        <v>18</v>
      </c>
      <c r="E1198" s="127" t="n">
        <v>9053.940000000001</v>
      </c>
      <c r="F1198" s="128">
        <f>IF(C1198&lt;=30,5,IF(C1198&lt;=60,4,IF(C1198&lt;=120,3,IF(C1198&lt;=200,2,1))))</f>
        <v/>
      </c>
      <c r="G1198" s="128">
        <f>IF(D1198&gt;=20,5,IF(D1198&gt;=10,4,IF(D1198&gt;=5,3,IF(D1198&gt;=2,2,1))))</f>
        <v/>
      </c>
      <c r="H1198" s="128">
        <f>IF(E1198&gt;=5000,5,IF(E1198&gt;=2000,4,IF(E1198&gt;=800,3,IF(E1198&gt;=300,2,1))))</f>
        <v/>
      </c>
      <c r="I1198" s="126">
        <f>TEXT(F1198,"0")&amp;TEXT(G1198,"0")&amp;TEXT(H1198,"0")</f>
        <v/>
      </c>
      <c r="J1198" s="126">
        <f>IFERROR(XLOOKUP(I1198,'Segment Map'!A:A,'Segment Map'!B:B,"Need Attention"),"Need Attention")</f>
        <v/>
      </c>
      <c r="K1198" s="126">
        <f>IF(E1198&gt;=5000,"🏆 Platinum",IF(E1198&gt;=2000,"🥇 Gold",IF(E1198&gt;=800,"🥈 Silver","🥉 Bronze")))</f>
        <v/>
      </c>
      <c r="L1198" s="129" t="n">
        <v>40879</v>
      </c>
    </row>
    <row r="1199">
      <c r="A1199" s="122" t="n">
        <v>13971</v>
      </c>
      <c r="B1199" s="122" t="inlineStr">
        <is>
          <t>United Kingdom</t>
        </is>
      </c>
      <c r="C1199" s="122" t="n">
        <v>19</v>
      </c>
      <c r="D1199" s="122" t="n">
        <v>8</v>
      </c>
      <c r="E1199" s="123" t="n">
        <v>2758.26</v>
      </c>
      <c r="F1199" s="124">
        <f>IF(C1199&lt;=30,5,IF(C1199&lt;=60,4,IF(C1199&lt;=120,3,IF(C1199&lt;=200,2,1))))</f>
        <v/>
      </c>
      <c r="G1199" s="124">
        <f>IF(D1199&gt;=20,5,IF(D1199&gt;=10,4,IF(D1199&gt;=5,3,IF(D1199&gt;=2,2,1))))</f>
        <v/>
      </c>
      <c r="H1199" s="124">
        <f>IF(E1199&gt;=5000,5,IF(E1199&gt;=2000,4,IF(E1199&gt;=800,3,IF(E1199&gt;=300,2,1))))</f>
        <v/>
      </c>
      <c r="I1199" s="122">
        <f>TEXT(F1199,"0")&amp;TEXT(G1199,"0")&amp;TEXT(H1199,"0")</f>
        <v/>
      </c>
      <c r="J1199" s="122">
        <f>IFERROR(XLOOKUP(I1199,'Segment Map'!A:A,'Segment Map'!B:B,"Need Attention"),"Need Attention")</f>
        <v/>
      </c>
      <c r="K1199" s="122">
        <f>IF(E1199&gt;=5000,"🏆 Platinum",IF(E1199&gt;=2000,"🥇 Gold",IF(E1199&gt;=800,"🥈 Silver","🥉 Bronze")))</f>
        <v/>
      </c>
      <c r="L1199" s="125" t="n">
        <v>40868</v>
      </c>
    </row>
    <row r="1200">
      <c r="A1200" s="126" t="n">
        <v>13972</v>
      </c>
      <c r="B1200" s="126" t="inlineStr">
        <is>
          <t>United Kingdom</t>
        </is>
      </c>
      <c r="C1200" s="126" t="n">
        <v>71</v>
      </c>
      <c r="D1200" s="126" t="n">
        <v>2</v>
      </c>
      <c r="E1200" s="127" t="n">
        <v>190.25</v>
      </c>
      <c r="F1200" s="128">
        <f>IF(C1200&lt;=30,5,IF(C1200&lt;=60,4,IF(C1200&lt;=120,3,IF(C1200&lt;=200,2,1))))</f>
        <v/>
      </c>
      <c r="G1200" s="128">
        <f>IF(D1200&gt;=20,5,IF(D1200&gt;=10,4,IF(D1200&gt;=5,3,IF(D1200&gt;=2,2,1))))</f>
        <v/>
      </c>
      <c r="H1200" s="128">
        <f>IF(E1200&gt;=5000,5,IF(E1200&gt;=2000,4,IF(E1200&gt;=800,3,IF(E1200&gt;=300,2,1))))</f>
        <v/>
      </c>
      <c r="I1200" s="126">
        <f>TEXT(F1200,"0")&amp;TEXT(G1200,"0")&amp;TEXT(H1200,"0")</f>
        <v/>
      </c>
      <c r="J1200" s="126">
        <f>IFERROR(XLOOKUP(I1200,'Segment Map'!A:A,'Segment Map'!B:B,"Need Attention"),"Need Attention")</f>
        <v/>
      </c>
      <c r="K1200" s="126">
        <f>IF(E1200&gt;=5000,"🏆 Platinum",IF(E1200&gt;=2000,"🥇 Gold",IF(E1200&gt;=800,"🥈 Silver","🥉 Bronze")))</f>
        <v/>
      </c>
      <c r="L1200" s="129" t="n">
        <v>40816</v>
      </c>
    </row>
    <row r="1201">
      <c r="A1201" s="122" t="n">
        <v>13973</v>
      </c>
      <c r="B1201" s="122" t="inlineStr">
        <is>
          <t>United Kingdom</t>
        </is>
      </c>
      <c r="C1201" s="122" t="n">
        <v>288</v>
      </c>
      <c r="D1201" s="122" t="n">
        <v>1</v>
      </c>
      <c r="E1201" s="123" t="n">
        <v>264.7</v>
      </c>
      <c r="F1201" s="124">
        <f>IF(C1201&lt;=30,5,IF(C1201&lt;=60,4,IF(C1201&lt;=120,3,IF(C1201&lt;=200,2,1))))</f>
        <v/>
      </c>
      <c r="G1201" s="124">
        <f>IF(D1201&gt;=20,5,IF(D1201&gt;=10,4,IF(D1201&gt;=5,3,IF(D1201&gt;=2,2,1))))</f>
        <v/>
      </c>
      <c r="H1201" s="124">
        <f>IF(E1201&gt;=5000,5,IF(E1201&gt;=2000,4,IF(E1201&gt;=800,3,IF(E1201&gt;=300,2,1))))</f>
        <v/>
      </c>
      <c r="I1201" s="122">
        <f>TEXT(F1201,"0")&amp;TEXT(G1201,"0")&amp;TEXT(H1201,"0")</f>
        <v/>
      </c>
      <c r="J1201" s="122">
        <f>IFERROR(XLOOKUP(I1201,'Segment Map'!A:A,'Segment Map'!B:B,"Need Attention"),"Need Attention")</f>
        <v/>
      </c>
      <c r="K1201" s="122">
        <f>IF(E1201&gt;=5000,"🏆 Platinum",IF(E1201&gt;=2000,"🥇 Gold",IF(E1201&gt;=800,"🥈 Silver","🥉 Bronze")))</f>
        <v/>
      </c>
      <c r="L1201" s="125" t="n">
        <v>40599</v>
      </c>
    </row>
    <row r="1202">
      <c r="A1202" s="126" t="n">
        <v>13974</v>
      </c>
      <c r="B1202" s="126" t="inlineStr">
        <is>
          <t>United Kingdom</t>
        </is>
      </c>
      <c r="C1202" s="126" t="n">
        <v>50</v>
      </c>
      <c r="D1202" s="126" t="n">
        <v>1</v>
      </c>
      <c r="E1202" s="127" t="n">
        <v>413.59</v>
      </c>
      <c r="F1202" s="128">
        <f>IF(C1202&lt;=30,5,IF(C1202&lt;=60,4,IF(C1202&lt;=120,3,IF(C1202&lt;=200,2,1))))</f>
        <v/>
      </c>
      <c r="G1202" s="128">
        <f>IF(D1202&gt;=20,5,IF(D1202&gt;=10,4,IF(D1202&gt;=5,3,IF(D1202&gt;=2,2,1))))</f>
        <v/>
      </c>
      <c r="H1202" s="128">
        <f>IF(E1202&gt;=5000,5,IF(E1202&gt;=2000,4,IF(E1202&gt;=800,3,IF(E1202&gt;=300,2,1))))</f>
        <v/>
      </c>
      <c r="I1202" s="126">
        <f>TEXT(F1202,"0")&amp;TEXT(G1202,"0")&amp;TEXT(H1202,"0")</f>
        <v/>
      </c>
      <c r="J1202" s="126">
        <f>IFERROR(XLOOKUP(I1202,'Segment Map'!A:A,'Segment Map'!B:B,"Need Attention"),"Need Attention")</f>
        <v/>
      </c>
      <c r="K1202" s="126">
        <f>IF(E1202&gt;=5000,"🏆 Platinum",IF(E1202&gt;=2000,"🥇 Gold",IF(E1202&gt;=800,"🥈 Silver","🥉 Bronze")))</f>
        <v/>
      </c>
      <c r="L1202" s="129" t="n">
        <v>40837</v>
      </c>
    </row>
    <row r="1203">
      <c r="A1203" s="122" t="n">
        <v>13975</v>
      </c>
      <c r="B1203" s="122" t="inlineStr">
        <is>
          <t>United Kingdom</t>
        </is>
      </c>
      <c r="C1203" s="122" t="n">
        <v>32</v>
      </c>
      <c r="D1203" s="122" t="n">
        <v>6</v>
      </c>
      <c r="E1203" s="123" t="n">
        <v>2526.28</v>
      </c>
      <c r="F1203" s="124">
        <f>IF(C1203&lt;=30,5,IF(C1203&lt;=60,4,IF(C1203&lt;=120,3,IF(C1203&lt;=200,2,1))))</f>
        <v/>
      </c>
      <c r="G1203" s="124">
        <f>IF(D1203&gt;=20,5,IF(D1203&gt;=10,4,IF(D1203&gt;=5,3,IF(D1203&gt;=2,2,1))))</f>
        <v/>
      </c>
      <c r="H1203" s="124">
        <f>IF(E1203&gt;=5000,5,IF(E1203&gt;=2000,4,IF(E1203&gt;=800,3,IF(E1203&gt;=300,2,1))))</f>
        <v/>
      </c>
      <c r="I1203" s="122">
        <f>TEXT(F1203,"0")&amp;TEXT(G1203,"0")&amp;TEXT(H1203,"0")</f>
        <v/>
      </c>
      <c r="J1203" s="122">
        <f>IFERROR(XLOOKUP(I1203,'Segment Map'!A:A,'Segment Map'!B:B,"Need Attention"),"Need Attention")</f>
        <v/>
      </c>
      <c r="K1203" s="122">
        <f>IF(E1203&gt;=5000,"🏆 Platinum",IF(E1203&gt;=2000,"🥇 Gold",IF(E1203&gt;=800,"🥈 Silver","🥉 Bronze")))</f>
        <v/>
      </c>
      <c r="L1203" s="125" t="n">
        <v>40855</v>
      </c>
    </row>
    <row r="1204">
      <c r="A1204" s="126" t="n">
        <v>13976</v>
      </c>
      <c r="B1204" s="126" t="inlineStr">
        <is>
          <t>United Kingdom</t>
        </is>
      </c>
      <c r="C1204" s="126" t="n">
        <v>207</v>
      </c>
      <c r="D1204" s="126" t="n">
        <v>1</v>
      </c>
      <c r="E1204" s="127" t="n">
        <v>357.98</v>
      </c>
      <c r="F1204" s="128">
        <f>IF(C1204&lt;=30,5,IF(C1204&lt;=60,4,IF(C1204&lt;=120,3,IF(C1204&lt;=200,2,1))))</f>
        <v/>
      </c>
      <c r="G1204" s="128">
        <f>IF(D1204&gt;=20,5,IF(D1204&gt;=10,4,IF(D1204&gt;=5,3,IF(D1204&gt;=2,2,1))))</f>
        <v/>
      </c>
      <c r="H1204" s="128">
        <f>IF(E1204&gt;=5000,5,IF(E1204&gt;=2000,4,IF(E1204&gt;=800,3,IF(E1204&gt;=300,2,1))))</f>
        <v/>
      </c>
      <c r="I1204" s="126">
        <f>TEXT(F1204,"0")&amp;TEXT(G1204,"0")&amp;TEXT(H1204,"0")</f>
        <v/>
      </c>
      <c r="J1204" s="126">
        <f>IFERROR(XLOOKUP(I1204,'Segment Map'!A:A,'Segment Map'!B:B,"Need Attention"),"Need Attention")</f>
        <v/>
      </c>
      <c r="K1204" s="126">
        <f>IF(E1204&gt;=5000,"🏆 Platinum",IF(E1204&gt;=2000,"🥇 Gold",IF(E1204&gt;=800,"🥈 Silver","🥉 Bronze")))</f>
        <v/>
      </c>
      <c r="L1204" s="129" t="n">
        <v>40680</v>
      </c>
    </row>
    <row r="1205">
      <c r="A1205" s="122" t="n">
        <v>13978</v>
      </c>
      <c r="B1205" s="122" t="inlineStr">
        <is>
          <t>United Kingdom</t>
        </is>
      </c>
      <c r="C1205" s="122" t="n">
        <v>15</v>
      </c>
      <c r="D1205" s="122" t="n">
        <v>2</v>
      </c>
      <c r="E1205" s="123" t="n">
        <v>196.79</v>
      </c>
      <c r="F1205" s="124">
        <f>IF(C1205&lt;=30,5,IF(C1205&lt;=60,4,IF(C1205&lt;=120,3,IF(C1205&lt;=200,2,1))))</f>
        <v/>
      </c>
      <c r="G1205" s="124">
        <f>IF(D1205&gt;=20,5,IF(D1205&gt;=10,4,IF(D1205&gt;=5,3,IF(D1205&gt;=2,2,1))))</f>
        <v/>
      </c>
      <c r="H1205" s="124">
        <f>IF(E1205&gt;=5000,5,IF(E1205&gt;=2000,4,IF(E1205&gt;=800,3,IF(E1205&gt;=300,2,1))))</f>
        <v/>
      </c>
      <c r="I1205" s="122">
        <f>TEXT(F1205,"0")&amp;TEXT(G1205,"0")&amp;TEXT(H1205,"0")</f>
        <v/>
      </c>
      <c r="J1205" s="122">
        <f>IFERROR(XLOOKUP(I1205,'Segment Map'!A:A,'Segment Map'!B:B,"Need Attention"),"Need Attention")</f>
        <v/>
      </c>
      <c r="K1205" s="122">
        <f>IF(E1205&gt;=5000,"🏆 Platinum",IF(E1205&gt;=2000,"🥇 Gold",IF(E1205&gt;=800,"🥈 Silver","🥉 Bronze")))</f>
        <v/>
      </c>
      <c r="L1205" s="125" t="n">
        <v>40872</v>
      </c>
    </row>
    <row r="1206">
      <c r="A1206" s="126" t="n">
        <v>13979</v>
      </c>
      <c r="B1206" s="126" t="inlineStr">
        <is>
          <t>United Kingdom</t>
        </is>
      </c>
      <c r="C1206" s="126" t="n">
        <v>74</v>
      </c>
      <c r="D1206" s="126" t="n">
        <v>1</v>
      </c>
      <c r="E1206" s="127" t="n">
        <v>869.87</v>
      </c>
      <c r="F1206" s="128">
        <f>IF(C1206&lt;=30,5,IF(C1206&lt;=60,4,IF(C1206&lt;=120,3,IF(C1206&lt;=200,2,1))))</f>
        <v/>
      </c>
      <c r="G1206" s="128">
        <f>IF(D1206&gt;=20,5,IF(D1206&gt;=10,4,IF(D1206&gt;=5,3,IF(D1206&gt;=2,2,1))))</f>
        <v/>
      </c>
      <c r="H1206" s="128">
        <f>IF(E1206&gt;=5000,5,IF(E1206&gt;=2000,4,IF(E1206&gt;=800,3,IF(E1206&gt;=300,2,1))))</f>
        <v/>
      </c>
      <c r="I1206" s="126">
        <f>TEXT(F1206,"0")&amp;TEXT(G1206,"0")&amp;TEXT(H1206,"0")</f>
        <v/>
      </c>
      <c r="J1206" s="126">
        <f>IFERROR(XLOOKUP(I1206,'Segment Map'!A:A,'Segment Map'!B:B,"Need Attention"),"Need Attention")</f>
        <v/>
      </c>
      <c r="K1206" s="126">
        <f>IF(E1206&gt;=5000,"🏆 Platinum",IF(E1206&gt;=2000,"🥇 Gold",IF(E1206&gt;=800,"🥈 Silver","🥉 Bronze")))</f>
        <v/>
      </c>
      <c r="L1206" s="129" t="n">
        <v>40813</v>
      </c>
    </row>
    <row r="1207">
      <c r="A1207" s="122" t="n">
        <v>13980</v>
      </c>
      <c r="B1207" s="122" t="inlineStr">
        <is>
          <t>United Kingdom</t>
        </is>
      </c>
      <c r="C1207" s="122" t="n">
        <v>61</v>
      </c>
      <c r="D1207" s="122" t="n">
        <v>1</v>
      </c>
      <c r="E1207" s="123" t="n">
        <v>200.14</v>
      </c>
      <c r="F1207" s="124">
        <f>IF(C1207&lt;=30,5,IF(C1207&lt;=60,4,IF(C1207&lt;=120,3,IF(C1207&lt;=200,2,1))))</f>
        <v/>
      </c>
      <c r="G1207" s="124">
        <f>IF(D1207&gt;=20,5,IF(D1207&gt;=10,4,IF(D1207&gt;=5,3,IF(D1207&gt;=2,2,1))))</f>
        <v/>
      </c>
      <c r="H1207" s="124">
        <f>IF(E1207&gt;=5000,5,IF(E1207&gt;=2000,4,IF(E1207&gt;=800,3,IF(E1207&gt;=300,2,1))))</f>
        <v/>
      </c>
      <c r="I1207" s="122">
        <f>TEXT(F1207,"0")&amp;TEXT(G1207,"0")&amp;TEXT(H1207,"0")</f>
        <v/>
      </c>
      <c r="J1207" s="122">
        <f>IFERROR(XLOOKUP(I1207,'Segment Map'!A:A,'Segment Map'!B:B,"Need Attention"),"Need Attention")</f>
        <v/>
      </c>
      <c r="K1207" s="122">
        <f>IF(E1207&gt;=5000,"🏆 Platinum",IF(E1207&gt;=2000,"🥇 Gold",IF(E1207&gt;=800,"🥈 Silver","🥉 Bronze")))</f>
        <v/>
      </c>
      <c r="L1207" s="125" t="n">
        <v>40826</v>
      </c>
    </row>
    <row r="1208">
      <c r="A1208" s="126" t="n">
        <v>13982</v>
      </c>
      <c r="B1208" s="126" t="inlineStr">
        <is>
          <t>United Kingdom</t>
        </is>
      </c>
      <c r="C1208" s="126" t="n">
        <v>40</v>
      </c>
      <c r="D1208" s="126" t="n">
        <v>4</v>
      </c>
      <c r="E1208" s="127" t="n">
        <v>1871.81</v>
      </c>
      <c r="F1208" s="128">
        <f>IF(C1208&lt;=30,5,IF(C1208&lt;=60,4,IF(C1208&lt;=120,3,IF(C1208&lt;=200,2,1))))</f>
        <v/>
      </c>
      <c r="G1208" s="128">
        <f>IF(D1208&gt;=20,5,IF(D1208&gt;=10,4,IF(D1208&gt;=5,3,IF(D1208&gt;=2,2,1))))</f>
        <v/>
      </c>
      <c r="H1208" s="128">
        <f>IF(E1208&gt;=5000,5,IF(E1208&gt;=2000,4,IF(E1208&gt;=800,3,IF(E1208&gt;=300,2,1))))</f>
        <v/>
      </c>
      <c r="I1208" s="126">
        <f>TEXT(F1208,"0")&amp;TEXT(G1208,"0")&amp;TEXT(H1208,"0")</f>
        <v/>
      </c>
      <c r="J1208" s="126">
        <f>IFERROR(XLOOKUP(I1208,'Segment Map'!A:A,'Segment Map'!B:B,"Need Attention"),"Need Attention")</f>
        <v/>
      </c>
      <c r="K1208" s="126">
        <f>IF(E1208&gt;=5000,"🏆 Platinum",IF(E1208&gt;=2000,"🥇 Gold",IF(E1208&gt;=800,"🥈 Silver","🥉 Bronze")))</f>
        <v/>
      </c>
      <c r="L1208" s="129" t="n">
        <v>40847</v>
      </c>
    </row>
    <row r="1209">
      <c r="A1209" s="122" t="n">
        <v>13983</v>
      </c>
      <c r="B1209" s="122" t="inlineStr">
        <is>
          <t>United Kingdom</t>
        </is>
      </c>
      <c r="C1209" s="122" t="n">
        <v>30</v>
      </c>
      <c r="D1209" s="122" t="n">
        <v>12</v>
      </c>
      <c r="E1209" s="123" t="n">
        <v>2603.43</v>
      </c>
      <c r="F1209" s="124">
        <f>IF(C1209&lt;=30,5,IF(C1209&lt;=60,4,IF(C1209&lt;=120,3,IF(C1209&lt;=200,2,1))))</f>
        <v/>
      </c>
      <c r="G1209" s="124">
        <f>IF(D1209&gt;=20,5,IF(D1209&gt;=10,4,IF(D1209&gt;=5,3,IF(D1209&gt;=2,2,1))))</f>
        <v/>
      </c>
      <c r="H1209" s="124">
        <f>IF(E1209&gt;=5000,5,IF(E1209&gt;=2000,4,IF(E1209&gt;=800,3,IF(E1209&gt;=300,2,1))))</f>
        <v/>
      </c>
      <c r="I1209" s="122">
        <f>TEXT(F1209,"0")&amp;TEXT(G1209,"0")&amp;TEXT(H1209,"0")</f>
        <v/>
      </c>
      <c r="J1209" s="122">
        <f>IFERROR(XLOOKUP(I1209,'Segment Map'!A:A,'Segment Map'!B:B,"Need Attention"),"Need Attention")</f>
        <v/>
      </c>
      <c r="K1209" s="122">
        <f>IF(E1209&gt;=5000,"🏆 Platinum",IF(E1209&gt;=2000,"🥇 Gold",IF(E1209&gt;=800,"🥈 Silver","🥉 Bronze")))</f>
        <v/>
      </c>
      <c r="L1209" s="125" t="n">
        <v>40857</v>
      </c>
    </row>
    <row r="1210">
      <c r="A1210" s="126" t="n">
        <v>13984</v>
      </c>
      <c r="B1210" s="126" t="inlineStr">
        <is>
          <t>United Kingdom</t>
        </is>
      </c>
      <c r="C1210" s="126" t="n">
        <v>27</v>
      </c>
      <c r="D1210" s="126" t="n">
        <v>5</v>
      </c>
      <c r="E1210" s="127" t="n">
        <v>920.51</v>
      </c>
      <c r="F1210" s="128">
        <f>IF(C1210&lt;=30,5,IF(C1210&lt;=60,4,IF(C1210&lt;=120,3,IF(C1210&lt;=200,2,1))))</f>
        <v/>
      </c>
      <c r="G1210" s="128">
        <f>IF(D1210&gt;=20,5,IF(D1210&gt;=10,4,IF(D1210&gt;=5,3,IF(D1210&gt;=2,2,1))))</f>
        <v/>
      </c>
      <c r="H1210" s="128">
        <f>IF(E1210&gt;=5000,5,IF(E1210&gt;=2000,4,IF(E1210&gt;=800,3,IF(E1210&gt;=300,2,1))))</f>
        <v/>
      </c>
      <c r="I1210" s="126">
        <f>TEXT(F1210,"0")&amp;TEXT(G1210,"0")&amp;TEXT(H1210,"0")</f>
        <v/>
      </c>
      <c r="J1210" s="126">
        <f>IFERROR(XLOOKUP(I1210,'Segment Map'!A:A,'Segment Map'!B:B,"Need Attention"),"Need Attention")</f>
        <v/>
      </c>
      <c r="K1210" s="126">
        <f>IF(E1210&gt;=5000,"🏆 Platinum",IF(E1210&gt;=2000,"🥇 Gold",IF(E1210&gt;=800,"🥈 Silver","🥉 Bronze")))</f>
        <v/>
      </c>
      <c r="L1210" s="129" t="n">
        <v>40860</v>
      </c>
    </row>
    <row r="1211">
      <c r="A1211" s="122" t="n">
        <v>13985</v>
      </c>
      <c r="B1211" s="122" t="inlineStr">
        <is>
          <t>United Kingdom</t>
        </is>
      </c>
      <c r="C1211" s="122" t="n">
        <v>5</v>
      </c>
      <c r="D1211" s="122" t="n">
        <v>15</v>
      </c>
      <c r="E1211" s="123" t="n">
        <v>7060.13</v>
      </c>
      <c r="F1211" s="124">
        <f>IF(C1211&lt;=30,5,IF(C1211&lt;=60,4,IF(C1211&lt;=120,3,IF(C1211&lt;=200,2,1))))</f>
        <v/>
      </c>
      <c r="G1211" s="124">
        <f>IF(D1211&gt;=20,5,IF(D1211&gt;=10,4,IF(D1211&gt;=5,3,IF(D1211&gt;=2,2,1))))</f>
        <v/>
      </c>
      <c r="H1211" s="124">
        <f>IF(E1211&gt;=5000,5,IF(E1211&gt;=2000,4,IF(E1211&gt;=800,3,IF(E1211&gt;=300,2,1))))</f>
        <v/>
      </c>
      <c r="I1211" s="122">
        <f>TEXT(F1211,"0")&amp;TEXT(G1211,"0")&amp;TEXT(H1211,"0")</f>
        <v/>
      </c>
      <c r="J1211" s="122">
        <f>IFERROR(XLOOKUP(I1211,'Segment Map'!A:A,'Segment Map'!B:B,"Need Attention"),"Need Attention")</f>
        <v/>
      </c>
      <c r="K1211" s="122">
        <f>IF(E1211&gt;=5000,"🏆 Platinum",IF(E1211&gt;=2000,"🥇 Gold",IF(E1211&gt;=800,"🥈 Silver","🥉 Bronze")))</f>
        <v/>
      </c>
      <c r="L1211" s="125" t="n">
        <v>40882</v>
      </c>
    </row>
    <row r="1212">
      <c r="A1212" s="126" t="n">
        <v>13986</v>
      </c>
      <c r="B1212" s="126" t="inlineStr">
        <is>
          <t>United Kingdom</t>
        </is>
      </c>
      <c r="C1212" s="126" t="n">
        <v>18</v>
      </c>
      <c r="D1212" s="126" t="n">
        <v>1</v>
      </c>
      <c r="E1212" s="127" t="n">
        <v>320.46</v>
      </c>
      <c r="F1212" s="128">
        <f>IF(C1212&lt;=30,5,IF(C1212&lt;=60,4,IF(C1212&lt;=120,3,IF(C1212&lt;=200,2,1))))</f>
        <v/>
      </c>
      <c r="G1212" s="128">
        <f>IF(D1212&gt;=20,5,IF(D1212&gt;=10,4,IF(D1212&gt;=5,3,IF(D1212&gt;=2,2,1))))</f>
        <v/>
      </c>
      <c r="H1212" s="128">
        <f>IF(E1212&gt;=5000,5,IF(E1212&gt;=2000,4,IF(E1212&gt;=800,3,IF(E1212&gt;=300,2,1))))</f>
        <v/>
      </c>
      <c r="I1212" s="126">
        <f>TEXT(F1212,"0")&amp;TEXT(G1212,"0")&amp;TEXT(H1212,"0")</f>
        <v/>
      </c>
      <c r="J1212" s="126">
        <f>IFERROR(XLOOKUP(I1212,'Segment Map'!A:A,'Segment Map'!B:B,"Need Attention"),"Need Attention")</f>
        <v/>
      </c>
      <c r="K1212" s="126">
        <f>IF(E1212&gt;=5000,"🏆 Platinum",IF(E1212&gt;=2000,"🥇 Gold",IF(E1212&gt;=800,"🥈 Silver","🥉 Bronze")))</f>
        <v/>
      </c>
      <c r="L1212" s="129" t="n">
        <v>40869</v>
      </c>
    </row>
    <row r="1213">
      <c r="A1213" s="122" t="n">
        <v>13988</v>
      </c>
      <c r="B1213" s="122" t="inlineStr">
        <is>
          <t>United Kingdom</t>
        </is>
      </c>
      <c r="C1213" s="122" t="n">
        <v>20</v>
      </c>
      <c r="D1213" s="122" t="n">
        <v>6</v>
      </c>
      <c r="E1213" s="123" t="n">
        <v>4147.96</v>
      </c>
      <c r="F1213" s="124">
        <f>IF(C1213&lt;=30,5,IF(C1213&lt;=60,4,IF(C1213&lt;=120,3,IF(C1213&lt;=200,2,1))))</f>
        <v/>
      </c>
      <c r="G1213" s="124">
        <f>IF(D1213&gt;=20,5,IF(D1213&gt;=10,4,IF(D1213&gt;=5,3,IF(D1213&gt;=2,2,1))))</f>
        <v/>
      </c>
      <c r="H1213" s="124">
        <f>IF(E1213&gt;=5000,5,IF(E1213&gt;=2000,4,IF(E1213&gt;=800,3,IF(E1213&gt;=300,2,1))))</f>
        <v/>
      </c>
      <c r="I1213" s="122">
        <f>TEXT(F1213,"0")&amp;TEXT(G1213,"0")&amp;TEXT(H1213,"0")</f>
        <v/>
      </c>
      <c r="J1213" s="122">
        <f>IFERROR(XLOOKUP(I1213,'Segment Map'!A:A,'Segment Map'!B:B,"Need Attention"),"Need Attention")</f>
        <v/>
      </c>
      <c r="K1213" s="122">
        <f>IF(E1213&gt;=5000,"🏆 Platinum",IF(E1213&gt;=2000,"🥇 Gold",IF(E1213&gt;=800,"🥈 Silver","🥉 Bronze")))</f>
        <v/>
      </c>
      <c r="L1213" s="125" t="n">
        <v>40867</v>
      </c>
    </row>
    <row r="1214">
      <c r="A1214" s="126" t="n">
        <v>13989</v>
      </c>
      <c r="B1214" s="126" t="inlineStr">
        <is>
          <t>United Kingdom</t>
        </is>
      </c>
      <c r="C1214" s="126" t="n">
        <v>66</v>
      </c>
      <c r="D1214" s="126" t="n">
        <v>2</v>
      </c>
      <c r="E1214" s="127" t="n">
        <v>1266.08</v>
      </c>
      <c r="F1214" s="128">
        <f>IF(C1214&lt;=30,5,IF(C1214&lt;=60,4,IF(C1214&lt;=120,3,IF(C1214&lt;=200,2,1))))</f>
        <v/>
      </c>
      <c r="G1214" s="128">
        <f>IF(D1214&gt;=20,5,IF(D1214&gt;=10,4,IF(D1214&gt;=5,3,IF(D1214&gt;=2,2,1))))</f>
        <v/>
      </c>
      <c r="H1214" s="128">
        <f>IF(E1214&gt;=5000,5,IF(E1214&gt;=2000,4,IF(E1214&gt;=800,3,IF(E1214&gt;=300,2,1))))</f>
        <v/>
      </c>
      <c r="I1214" s="126">
        <f>TEXT(F1214,"0")&amp;TEXT(G1214,"0")&amp;TEXT(H1214,"0")</f>
        <v/>
      </c>
      <c r="J1214" s="126">
        <f>IFERROR(XLOOKUP(I1214,'Segment Map'!A:A,'Segment Map'!B:B,"Need Attention"),"Need Attention")</f>
        <v/>
      </c>
      <c r="K1214" s="126">
        <f>IF(E1214&gt;=5000,"🏆 Platinum",IF(E1214&gt;=2000,"🥇 Gold",IF(E1214&gt;=800,"🥈 Silver","🥉 Bronze")))</f>
        <v/>
      </c>
      <c r="L1214" s="129" t="n">
        <v>40821</v>
      </c>
    </row>
    <row r="1215">
      <c r="A1215" s="122" t="n">
        <v>13990</v>
      </c>
      <c r="B1215" s="122" t="inlineStr">
        <is>
          <t>United Kingdom</t>
        </is>
      </c>
      <c r="C1215" s="122" t="n">
        <v>214</v>
      </c>
      <c r="D1215" s="122" t="n">
        <v>1</v>
      </c>
      <c r="E1215" s="123" t="n">
        <v>311.3</v>
      </c>
      <c r="F1215" s="124">
        <f>IF(C1215&lt;=30,5,IF(C1215&lt;=60,4,IF(C1215&lt;=120,3,IF(C1215&lt;=200,2,1))))</f>
        <v/>
      </c>
      <c r="G1215" s="124">
        <f>IF(D1215&gt;=20,5,IF(D1215&gt;=10,4,IF(D1215&gt;=5,3,IF(D1215&gt;=2,2,1))))</f>
        <v/>
      </c>
      <c r="H1215" s="124">
        <f>IF(E1215&gt;=5000,5,IF(E1215&gt;=2000,4,IF(E1215&gt;=800,3,IF(E1215&gt;=300,2,1))))</f>
        <v/>
      </c>
      <c r="I1215" s="122">
        <f>TEXT(F1215,"0")&amp;TEXT(G1215,"0")&amp;TEXT(H1215,"0")</f>
        <v/>
      </c>
      <c r="J1215" s="122">
        <f>IFERROR(XLOOKUP(I1215,'Segment Map'!A:A,'Segment Map'!B:B,"Need Attention"),"Need Attention")</f>
        <v/>
      </c>
      <c r="K1215" s="122">
        <f>IF(E1215&gt;=5000,"🏆 Platinum",IF(E1215&gt;=2000,"🥇 Gold",IF(E1215&gt;=800,"🥈 Silver","🥉 Bronze")))</f>
        <v/>
      </c>
      <c r="L1215" s="125" t="n">
        <v>40673</v>
      </c>
    </row>
    <row r="1216">
      <c r="A1216" s="126" t="n">
        <v>13991</v>
      </c>
      <c r="B1216" s="126" t="inlineStr">
        <is>
          <t>United Kingdom</t>
        </is>
      </c>
      <c r="C1216" s="126" t="n">
        <v>13</v>
      </c>
      <c r="D1216" s="126" t="n">
        <v>6</v>
      </c>
      <c r="E1216" s="127" t="n">
        <v>855.97</v>
      </c>
      <c r="F1216" s="128">
        <f>IF(C1216&lt;=30,5,IF(C1216&lt;=60,4,IF(C1216&lt;=120,3,IF(C1216&lt;=200,2,1))))</f>
        <v/>
      </c>
      <c r="G1216" s="128">
        <f>IF(D1216&gt;=20,5,IF(D1216&gt;=10,4,IF(D1216&gt;=5,3,IF(D1216&gt;=2,2,1))))</f>
        <v/>
      </c>
      <c r="H1216" s="128">
        <f>IF(E1216&gt;=5000,5,IF(E1216&gt;=2000,4,IF(E1216&gt;=800,3,IF(E1216&gt;=300,2,1))))</f>
        <v/>
      </c>
      <c r="I1216" s="126">
        <f>TEXT(F1216,"0")&amp;TEXT(G1216,"0")&amp;TEXT(H1216,"0")</f>
        <v/>
      </c>
      <c r="J1216" s="126">
        <f>IFERROR(XLOOKUP(I1216,'Segment Map'!A:A,'Segment Map'!B:B,"Need Attention"),"Need Attention")</f>
        <v/>
      </c>
      <c r="K1216" s="126">
        <f>IF(E1216&gt;=5000,"🏆 Platinum",IF(E1216&gt;=2000,"🥇 Gold",IF(E1216&gt;=800,"🥈 Silver","🥉 Bronze")))</f>
        <v/>
      </c>
      <c r="L1216" s="129" t="n">
        <v>40874</v>
      </c>
    </row>
    <row r="1217">
      <c r="A1217" s="122" t="n">
        <v>13992</v>
      </c>
      <c r="B1217" s="122" t="inlineStr">
        <is>
          <t>United Kingdom</t>
        </is>
      </c>
      <c r="C1217" s="122" t="n">
        <v>31</v>
      </c>
      <c r="D1217" s="122" t="n">
        <v>1</v>
      </c>
      <c r="E1217" s="123" t="n">
        <v>76.8</v>
      </c>
      <c r="F1217" s="124">
        <f>IF(C1217&lt;=30,5,IF(C1217&lt;=60,4,IF(C1217&lt;=120,3,IF(C1217&lt;=200,2,1))))</f>
        <v/>
      </c>
      <c r="G1217" s="124">
        <f>IF(D1217&gt;=20,5,IF(D1217&gt;=10,4,IF(D1217&gt;=5,3,IF(D1217&gt;=2,2,1))))</f>
        <v/>
      </c>
      <c r="H1217" s="124">
        <f>IF(E1217&gt;=5000,5,IF(E1217&gt;=2000,4,IF(E1217&gt;=800,3,IF(E1217&gt;=300,2,1))))</f>
        <v/>
      </c>
      <c r="I1217" s="122">
        <f>TEXT(F1217,"0")&amp;TEXT(G1217,"0")&amp;TEXT(H1217,"0")</f>
        <v/>
      </c>
      <c r="J1217" s="122">
        <f>IFERROR(XLOOKUP(I1217,'Segment Map'!A:A,'Segment Map'!B:B,"Need Attention"),"Need Attention")</f>
        <v/>
      </c>
      <c r="K1217" s="122">
        <f>IF(E1217&gt;=5000,"🏆 Platinum",IF(E1217&gt;=2000,"🥇 Gold",IF(E1217&gt;=800,"🥈 Silver","🥉 Bronze")))</f>
        <v/>
      </c>
      <c r="L1217" s="125" t="n">
        <v>40856</v>
      </c>
    </row>
    <row r="1218">
      <c r="A1218" s="126" t="n">
        <v>13993</v>
      </c>
      <c r="B1218" s="126" t="inlineStr">
        <is>
          <t>United Kingdom</t>
        </is>
      </c>
      <c r="C1218" s="126" t="n">
        <v>43</v>
      </c>
      <c r="D1218" s="126" t="n">
        <v>9</v>
      </c>
      <c r="E1218" s="127" t="n">
        <v>3466.36</v>
      </c>
      <c r="F1218" s="128">
        <f>IF(C1218&lt;=30,5,IF(C1218&lt;=60,4,IF(C1218&lt;=120,3,IF(C1218&lt;=200,2,1))))</f>
        <v/>
      </c>
      <c r="G1218" s="128">
        <f>IF(D1218&gt;=20,5,IF(D1218&gt;=10,4,IF(D1218&gt;=5,3,IF(D1218&gt;=2,2,1))))</f>
        <v/>
      </c>
      <c r="H1218" s="128">
        <f>IF(E1218&gt;=5000,5,IF(E1218&gt;=2000,4,IF(E1218&gt;=800,3,IF(E1218&gt;=300,2,1))))</f>
        <v/>
      </c>
      <c r="I1218" s="126">
        <f>TEXT(F1218,"0")&amp;TEXT(G1218,"0")&amp;TEXT(H1218,"0")</f>
        <v/>
      </c>
      <c r="J1218" s="126">
        <f>IFERROR(XLOOKUP(I1218,'Segment Map'!A:A,'Segment Map'!B:B,"Need Attention"),"Need Attention")</f>
        <v/>
      </c>
      <c r="K1218" s="126">
        <f>IF(E1218&gt;=5000,"🏆 Platinum",IF(E1218&gt;=2000,"🥇 Gold",IF(E1218&gt;=800,"🥈 Silver","🥉 Bronze")))</f>
        <v/>
      </c>
      <c r="L1218" s="129" t="n">
        <v>40844</v>
      </c>
    </row>
    <row r="1219">
      <c r="A1219" s="122" t="n">
        <v>13994</v>
      </c>
      <c r="B1219" s="122" t="inlineStr">
        <is>
          <t>United Kingdom</t>
        </is>
      </c>
      <c r="C1219" s="122" t="n">
        <v>4</v>
      </c>
      <c r="D1219" s="122" t="n">
        <v>6</v>
      </c>
      <c r="E1219" s="123" t="n">
        <v>2313.14</v>
      </c>
      <c r="F1219" s="124">
        <f>IF(C1219&lt;=30,5,IF(C1219&lt;=60,4,IF(C1219&lt;=120,3,IF(C1219&lt;=200,2,1))))</f>
        <v/>
      </c>
      <c r="G1219" s="124">
        <f>IF(D1219&gt;=20,5,IF(D1219&gt;=10,4,IF(D1219&gt;=5,3,IF(D1219&gt;=2,2,1))))</f>
        <v/>
      </c>
      <c r="H1219" s="124">
        <f>IF(E1219&gt;=5000,5,IF(E1219&gt;=2000,4,IF(E1219&gt;=800,3,IF(E1219&gt;=300,2,1))))</f>
        <v/>
      </c>
      <c r="I1219" s="122">
        <f>TEXT(F1219,"0")&amp;TEXT(G1219,"0")&amp;TEXT(H1219,"0")</f>
        <v/>
      </c>
      <c r="J1219" s="122">
        <f>IFERROR(XLOOKUP(I1219,'Segment Map'!A:A,'Segment Map'!B:B,"Need Attention"),"Need Attention")</f>
        <v/>
      </c>
      <c r="K1219" s="122">
        <f>IF(E1219&gt;=5000,"🏆 Platinum",IF(E1219&gt;=2000,"🥇 Gold",IF(E1219&gt;=800,"🥈 Silver","🥉 Bronze")))</f>
        <v/>
      </c>
      <c r="L1219" s="125" t="n">
        <v>40883</v>
      </c>
    </row>
    <row r="1220">
      <c r="A1220" s="126" t="n">
        <v>13995</v>
      </c>
      <c r="B1220" s="126" t="inlineStr">
        <is>
          <t>United Kingdom</t>
        </is>
      </c>
      <c r="C1220" s="126" t="n">
        <v>16</v>
      </c>
      <c r="D1220" s="126" t="n">
        <v>5</v>
      </c>
      <c r="E1220" s="127" t="n">
        <v>1393.69</v>
      </c>
      <c r="F1220" s="128">
        <f>IF(C1220&lt;=30,5,IF(C1220&lt;=60,4,IF(C1220&lt;=120,3,IF(C1220&lt;=200,2,1))))</f>
        <v/>
      </c>
      <c r="G1220" s="128">
        <f>IF(D1220&gt;=20,5,IF(D1220&gt;=10,4,IF(D1220&gt;=5,3,IF(D1220&gt;=2,2,1))))</f>
        <v/>
      </c>
      <c r="H1220" s="128">
        <f>IF(E1220&gt;=5000,5,IF(E1220&gt;=2000,4,IF(E1220&gt;=800,3,IF(E1220&gt;=300,2,1))))</f>
        <v/>
      </c>
      <c r="I1220" s="126">
        <f>TEXT(F1220,"0")&amp;TEXT(G1220,"0")&amp;TEXT(H1220,"0")</f>
        <v/>
      </c>
      <c r="J1220" s="126">
        <f>IFERROR(XLOOKUP(I1220,'Segment Map'!A:A,'Segment Map'!B:B,"Need Attention"),"Need Attention")</f>
        <v/>
      </c>
      <c r="K1220" s="126">
        <f>IF(E1220&gt;=5000,"🏆 Platinum",IF(E1220&gt;=2000,"🥇 Gold",IF(E1220&gt;=800,"🥈 Silver","🥉 Bronze")))</f>
        <v/>
      </c>
      <c r="L1220" s="129" t="n">
        <v>40871</v>
      </c>
    </row>
    <row r="1221">
      <c r="A1221" s="122" t="n">
        <v>13999</v>
      </c>
      <c r="B1221" s="122" t="inlineStr">
        <is>
          <t>United Kingdom</t>
        </is>
      </c>
      <c r="C1221" s="122" t="n">
        <v>11</v>
      </c>
      <c r="D1221" s="122" t="n">
        <v>12</v>
      </c>
      <c r="E1221" s="123" t="n">
        <v>3901.81</v>
      </c>
      <c r="F1221" s="124">
        <f>IF(C1221&lt;=30,5,IF(C1221&lt;=60,4,IF(C1221&lt;=120,3,IF(C1221&lt;=200,2,1))))</f>
        <v/>
      </c>
      <c r="G1221" s="124">
        <f>IF(D1221&gt;=20,5,IF(D1221&gt;=10,4,IF(D1221&gt;=5,3,IF(D1221&gt;=2,2,1))))</f>
        <v/>
      </c>
      <c r="H1221" s="124">
        <f>IF(E1221&gt;=5000,5,IF(E1221&gt;=2000,4,IF(E1221&gt;=800,3,IF(E1221&gt;=300,2,1))))</f>
        <v/>
      </c>
      <c r="I1221" s="122">
        <f>TEXT(F1221,"0")&amp;TEXT(G1221,"0")&amp;TEXT(H1221,"0")</f>
        <v/>
      </c>
      <c r="J1221" s="122">
        <f>IFERROR(XLOOKUP(I1221,'Segment Map'!A:A,'Segment Map'!B:B,"Need Attention"),"Need Attention")</f>
        <v/>
      </c>
      <c r="K1221" s="122">
        <f>IF(E1221&gt;=5000,"🏆 Platinum",IF(E1221&gt;=2000,"🥇 Gold",IF(E1221&gt;=800,"🥈 Silver","🥉 Bronze")))</f>
        <v/>
      </c>
      <c r="L1221" s="125" t="n">
        <v>40876</v>
      </c>
    </row>
    <row r="1222">
      <c r="A1222" s="126" t="n">
        <v>14000</v>
      </c>
      <c r="B1222" s="126" t="inlineStr">
        <is>
          <t>United Kingdom</t>
        </is>
      </c>
      <c r="C1222" s="126" t="n">
        <v>212</v>
      </c>
      <c r="D1222" s="126" t="n">
        <v>1</v>
      </c>
      <c r="E1222" s="127" t="n">
        <v>635.66</v>
      </c>
      <c r="F1222" s="128">
        <f>IF(C1222&lt;=30,5,IF(C1222&lt;=60,4,IF(C1222&lt;=120,3,IF(C1222&lt;=200,2,1))))</f>
        <v/>
      </c>
      <c r="G1222" s="128">
        <f>IF(D1222&gt;=20,5,IF(D1222&gt;=10,4,IF(D1222&gt;=5,3,IF(D1222&gt;=2,2,1))))</f>
        <v/>
      </c>
      <c r="H1222" s="128">
        <f>IF(E1222&gt;=5000,5,IF(E1222&gt;=2000,4,IF(E1222&gt;=800,3,IF(E1222&gt;=300,2,1))))</f>
        <v/>
      </c>
      <c r="I1222" s="126">
        <f>TEXT(F1222,"0")&amp;TEXT(G1222,"0")&amp;TEXT(H1222,"0")</f>
        <v/>
      </c>
      <c r="J1222" s="126">
        <f>IFERROR(XLOOKUP(I1222,'Segment Map'!A:A,'Segment Map'!B:B,"Need Attention"),"Need Attention")</f>
        <v/>
      </c>
      <c r="K1222" s="126">
        <f>IF(E1222&gt;=5000,"🏆 Platinum",IF(E1222&gt;=2000,"🥇 Gold",IF(E1222&gt;=800,"🥈 Silver","🥉 Bronze")))</f>
        <v/>
      </c>
      <c r="L1222" s="129" t="n">
        <v>40675</v>
      </c>
    </row>
    <row r="1223">
      <c r="A1223" s="122" t="n">
        <v>14001</v>
      </c>
      <c r="B1223" s="122" t="inlineStr">
        <is>
          <t>United Kingdom</t>
        </is>
      </c>
      <c r="C1223" s="122" t="n">
        <v>46</v>
      </c>
      <c r="D1223" s="122" t="n">
        <v>3</v>
      </c>
      <c r="E1223" s="123" t="n">
        <v>2043.08</v>
      </c>
      <c r="F1223" s="124">
        <f>IF(C1223&lt;=30,5,IF(C1223&lt;=60,4,IF(C1223&lt;=120,3,IF(C1223&lt;=200,2,1))))</f>
        <v/>
      </c>
      <c r="G1223" s="124">
        <f>IF(D1223&gt;=20,5,IF(D1223&gt;=10,4,IF(D1223&gt;=5,3,IF(D1223&gt;=2,2,1))))</f>
        <v/>
      </c>
      <c r="H1223" s="124">
        <f>IF(E1223&gt;=5000,5,IF(E1223&gt;=2000,4,IF(E1223&gt;=800,3,IF(E1223&gt;=300,2,1))))</f>
        <v/>
      </c>
      <c r="I1223" s="122">
        <f>TEXT(F1223,"0")&amp;TEXT(G1223,"0")&amp;TEXT(H1223,"0")</f>
        <v/>
      </c>
      <c r="J1223" s="122">
        <f>IFERROR(XLOOKUP(I1223,'Segment Map'!A:A,'Segment Map'!B:B,"Need Attention"),"Need Attention")</f>
        <v/>
      </c>
      <c r="K1223" s="122">
        <f>IF(E1223&gt;=5000,"🏆 Platinum",IF(E1223&gt;=2000,"🥇 Gold",IF(E1223&gt;=800,"🥈 Silver","🥉 Bronze")))</f>
        <v/>
      </c>
      <c r="L1223" s="125" t="n">
        <v>40841</v>
      </c>
    </row>
    <row r="1224">
      <c r="A1224" s="126" t="n">
        <v>14002</v>
      </c>
      <c r="B1224" s="126" t="inlineStr">
        <is>
          <t>United Kingdom</t>
        </is>
      </c>
      <c r="C1224" s="126" t="n">
        <v>135</v>
      </c>
      <c r="D1224" s="126" t="n">
        <v>2</v>
      </c>
      <c r="E1224" s="127" t="n">
        <v>529.73</v>
      </c>
      <c r="F1224" s="128">
        <f>IF(C1224&lt;=30,5,IF(C1224&lt;=60,4,IF(C1224&lt;=120,3,IF(C1224&lt;=200,2,1))))</f>
        <v/>
      </c>
      <c r="G1224" s="128">
        <f>IF(D1224&gt;=20,5,IF(D1224&gt;=10,4,IF(D1224&gt;=5,3,IF(D1224&gt;=2,2,1))))</f>
        <v/>
      </c>
      <c r="H1224" s="128">
        <f>IF(E1224&gt;=5000,5,IF(E1224&gt;=2000,4,IF(E1224&gt;=800,3,IF(E1224&gt;=300,2,1))))</f>
        <v/>
      </c>
      <c r="I1224" s="126">
        <f>TEXT(F1224,"0")&amp;TEXT(G1224,"0")&amp;TEXT(H1224,"0")</f>
        <v/>
      </c>
      <c r="J1224" s="126">
        <f>IFERROR(XLOOKUP(I1224,'Segment Map'!A:A,'Segment Map'!B:B,"Need Attention"),"Need Attention")</f>
        <v/>
      </c>
      <c r="K1224" s="126">
        <f>IF(E1224&gt;=5000,"🏆 Platinum",IF(E1224&gt;=2000,"🥇 Gold",IF(E1224&gt;=800,"🥈 Silver","🥉 Bronze")))</f>
        <v/>
      </c>
      <c r="L1224" s="129" t="n">
        <v>40752</v>
      </c>
    </row>
    <row r="1225">
      <c r="A1225" s="122" t="n">
        <v>14004</v>
      </c>
      <c r="B1225" s="122" t="inlineStr">
        <is>
          <t>United Kingdom</t>
        </is>
      </c>
      <c r="C1225" s="122" t="n">
        <v>44</v>
      </c>
      <c r="D1225" s="122" t="n">
        <v>7</v>
      </c>
      <c r="E1225" s="123" t="n">
        <v>4582.64</v>
      </c>
      <c r="F1225" s="124">
        <f>IF(C1225&lt;=30,5,IF(C1225&lt;=60,4,IF(C1225&lt;=120,3,IF(C1225&lt;=200,2,1))))</f>
        <v/>
      </c>
      <c r="G1225" s="124">
        <f>IF(D1225&gt;=20,5,IF(D1225&gt;=10,4,IF(D1225&gt;=5,3,IF(D1225&gt;=2,2,1))))</f>
        <v/>
      </c>
      <c r="H1225" s="124">
        <f>IF(E1225&gt;=5000,5,IF(E1225&gt;=2000,4,IF(E1225&gt;=800,3,IF(E1225&gt;=300,2,1))))</f>
        <v/>
      </c>
      <c r="I1225" s="122">
        <f>TEXT(F1225,"0")&amp;TEXT(G1225,"0")&amp;TEXT(H1225,"0")</f>
        <v/>
      </c>
      <c r="J1225" s="122">
        <f>IFERROR(XLOOKUP(I1225,'Segment Map'!A:A,'Segment Map'!B:B,"Need Attention"),"Need Attention")</f>
        <v/>
      </c>
      <c r="K1225" s="122">
        <f>IF(E1225&gt;=5000,"🏆 Platinum",IF(E1225&gt;=2000,"🥇 Gold",IF(E1225&gt;=800,"🥈 Silver","🥉 Bronze")))</f>
        <v/>
      </c>
      <c r="L1225" s="125" t="n">
        <v>40843</v>
      </c>
    </row>
    <row r="1226">
      <c r="A1226" s="126" t="n">
        <v>14005</v>
      </c>
      <c r="B1226" s="126" t="inlineStr">
        <is>
          <t>United Kingdom</t>
        </is>
      </c>
      <c r="C1226" s="126" t="n">
        <v>10</v>
      </c>
      <c r="D1226" s="126" t="n">
        <v>5</v>
      </c>
      <c r="E1226" s="127" t="n">
        <v>2874.72</v>
      </c>
      <c r="F1226" s="128">
        <f>IF(C1226&lt;=30,5,IF(C1226&lt;=60,4,IF(C1226&lt;=120,3,IF(C1226&lt;=200,2,1))))</f>
        <v/>
      </c>
      <c r="G1226" s="128">
        <f>IF(D1226&gt;=20,5,IF(D1226&gt;=10,4,IF(D1226&gt;=5,3,IF(D1226&gt;=2,2,1))))</f>
        <v/>
      </c>
      <c r="H1226" s="128">
        <f>IF(E1226&gt;=5000,5,IF(E1226&gt;=2000,4,IF(E1226&gt;=800,3,IF(E1226&gt;=300,2,1))))</f>
        <v/>
      </c>
      <c r="I1226" s="126">
        <f>TEXT(F1226,"0")&amp;TEXT(G1226,"0")&amp;TEXT(H1226,"0")</f>
        <v/>
      </c>
      <c r="J1226" s="126">
        <f>IFERROR(XLOOKUP(I1226,'Segment Map'!A:A,'Segment Map'!B:B,"Need Attention"),"Need Attention")</f>
        <v/>
      </c>
      <c r="K1226" s="126">
        <f>IF(E1226&gt;=5000,"🏆 Platinum",IF(E1226&gt;=2000,"🥇 Gold",IF(E1226&gt;=800,"🥈 Silver","🥉 Bronze")))</f>
        <v/>
      </c>
      <c r="L1226" s="129" t="n">
        <v>40877</v>
      </c>
    </row>
    <row r="1227">
      <c r="A1227" s="122" t="n">
        <v>14006</v>
      </c>
      <c r="B1227" s="122" t="inlineStr">
        <is>
          <t>United Kingdom</t>
        </is>
      </c>
      <c r="C1227" s="122" t="n">
        <v>116</v>
      </c>
      <c r="D1227" s="122" t="n">
        <v>3</v>
      </c>
      <c r="E1227" s="123" t="n">
        <v>962.1900000000001</v>
      </c>
      <c r="F1227" s="124">
        <f>IF(C1227&lt;=30,5,IF(C1227&lt;=60,4,IF(C1227&lt;=120,3,IF(C1227&lt;=200,2,1))))</f>
        <v/>
      </c>
      <c r="G1227" s="124">
        <f>IF(D1227&gt;=20,5,IF(D1227&gt;=10,4,IF(D1227&gt;=5,3,IF(D1227&gt;=2,2,1))))</f>
        <v/>
      </c>
      <c r="H1227" s="124">
        <f>IF(E1227&gt;=5000,5,IF(E1227&gt;=2000,4,IF(E1227&gt;=800,3,IF(E1227&gt;=300,2,1))))</f>
        <v/>
      </c>
      <c r="I1227" s="122">
        <f>TEXT(F1227,"0")&amp;TEXT(G1227,"0")&amp;TEXT(H1227,"0")</f>
        <v/>
      </c>
      <c r="J1227" s="122">
        <f>IFERROR(XLOOKUP(I1227,'Segment Map'!A:A,'Segment Map'!B:B,"Need Attention"),"Need Attention")</f>
        <v/>
      </c>
      <c r="K1227" s="122">
        <f>IF(E1227&gt;=5000,"🏆 Platinum",IF(E1227&gt;=2000,"🥇 Gold",IF(E1227&gt;=800,"🥈 Silver","🥉 Bronze")))</f>
        <v/>
      </c>
      <c r="L1227" s="125" t="n">
        <v>40771</v>
      </c>
    </row>
    <row r="1228">
      <c r="A1228" s="126" t="n">
        <v>14009</v>
      </c>
      <c r="B1228" s="126" t="inlineStr">
        <is>
          <t>United Kingdom</t>
        </is>
      </c>
      <c r="C1228" s="126" t="n">
        <v>199</v>
      </c>
      <c r="D1228" s="126" t="n">
        <v>2</v>
      </c>
      <c r="E1228" s="127" t="n">
        <v>695.61</v>
      </c>
      <c r="F1228" s="128">
        <f>IF(C1228&lt;=30,5,IF(C1228&lt;=60,4,IF(C1228&lt;=120,3,IF(C1228&lt;=200,2,1))))</f>
        <v/>
      </c>
      <c r="G1228" s="128">
        <f>IF(D1228&gt;=20,5,IF(D1228&gt;=10,4,IF(D1228&gt;=5,3,IF(D1228&gt;=2,2,1))))</f>
        <v/>
      </c>
      <c r="H1228" s="128">
        <f>IF(E1228&gt;=5000,5,IF(E1228&gt;=2000,4,IF(E1228&gt;=800,3,IF(E1228&gt;=300,2,1))))</f>
        <v/>
      </c>
      <c r="I1228" s="126">
        <f>TEXT(F1228,"0")&amp;TEXT(G1228,"0")&amp;TEXT(H1228,"0")</f>
        <v/>
      </c>
      <c r="J1228" s="126">
        <f>IFERROR(XLOOKUP(I1228,'Segment Map'!A:A,'Segment Map'!B:B,"Need Attention"),"Need Attention")</f>
        <v/>
      </c>
      <c r="K1228" s="126">
        <f>IF(E1228&gt;=5000,"🏆 Platinum",IF(E1228&gt;=2000,"🥇 Gold",IF(E1228&gt;=800,"🥈 Silver","🥉 Bronze")))</f>
        <v/>
      </c>
      <c r="L1228" s="129" t="n">
        <v>40688</v>
      </c>
    </row>
    <row r="1229">
      <c r="A1229" s="122" t="n">
        <v>14012</v>
      </c>
      <c r="B1229" s="122" t="inlineStr">
        <is>
          <t>United Kingdom</t>
        </is>
      </c>
      <c r="C1229" s="122" t="n">
        <v>278</v>
      </c>
      <c r="D1229" s="122" t="n">
        <v>1</v>
      </c>
      <c r="E1229" s="123" t="n">
        <v>328.8</v>
      </c>
      <c r="F1229" s="124">
        <f>IF(C1229&lt;=30,5,IF(C1229&lt;=60,4,IF(C1229&lt;=120,3,IF(C1229&lt;=200,2,1))))</f>
        <v/>
      </c>
      <c r="G1229" s="124">
        <f>IF(D1229&gt;=20,5,IF(D1229&gt;=10,4,IF(D1229&gt;=5,3,IF(D1229&gt;=2,2,1))))</f>
        <v/>
      </c>
      <c r="H1229" s="124">
        <f>IF(E1229&gt;=5000,5,IF(E1229&gt;=2000,4,IF(E1229&gt;=800,3,IF(E1229&gt;=300,2,1))))</f>
        <v/>
      </c>
      <c r="I1229" s="122">
        <f>TEXT(F1229,"0")&amp;TEXT(G1229,"0")&amp;TEXT(H1229,"0")</f>
        <v/>
      </c>
      <c r="J1229" s="122">
        <f>IFERROR(XLOOKUP(I1229,'Segment Map'!A:A,'Segment Map'!B:B,"Need Attention"),"Need Attention")</f>
        <v/>
      </c>
      <c r="K1229" s="122">
        <f>IF(E1229&gt;=5000,"🏆 Platinum",IF(E1229&gt;=2000,"🥇 Gold",IF(E1229&gt;=800,"🥈 Silver","🥉 Bronze")))</f>
        <v/>
      </c>
      <c r="L1229" s="125" t="n">
        <v>40609</v>
      </c>
    </row>
    <row r="1230">
      <c r="A1230" s="126" t="n">
        <v>14013</v>
      </c>
      <c r="B1230" s="126" t="inlineStr">
        <is>
          <t>United Kingdom</t>
        </is>
      </c>
      <c r="C1230" s="126" t="n">
        <v>111</v>
      </c>
      <c r="D1230" s="126" t="n">
        <v>3</v>
      </c>
      <c r="E1230" s="127" t="n">
        <v>473.02</v>
      </c>
      <c r="F1230" s="128">
        <f>IF(C1230&lt;=30,5,IF(C1230&lt;=60,4,IF(C1230&lt;=120,3,IF(C1230&lt;=200,2,1))))</f>
        <v/>
      </c>
      <c r="G1230" s="128">
        <f>IF(D1230&gt;=20,5,IF(D1230&gt;=10,4,IF(D1230&gt;=5,3,IF(D1230&gt;=2,2,1))))</f>
        <v/>
      </c>
      <c r="H1230" s="128">
        <f>IF(E1230&gt;=5000,5,IF(E1230&gt;=2000,4,IF(E1230&gt;=800,3,IF(E1230&gt;=300,2,1))))</f>
        <v/>
      </c>
      <c r="I1230" s="126">
        <f>TEXT(F1230,"0")&amp;TEXT(G1230,"0")&amp;TEXT(H1230,"0")</f>
        <v/>
      </c>
      <c r="J1230" s="126">
        <f>IFERROR(XLOOKUP(I1230,'Segment Map'!A:A,'Segment Map'!B:B,"Need Attention"),"Need Attention")</f>
        <v/>
      </c>
      <c r="K1230" s="126">
        <f>IF(E1230&gt;=5000,"🏆 Platinum",IF(E1230&gt;=2000,"🥇 Gold",IF(E1230&gt;=800,"🥈 Silver","🥉 Bronze")))</f>
        <v/>
      </c>
      <c r="L1230" s="129" t="n">
        <v>40776</v>
      </c>
    </row>
    <row r="1231">
      <c r="A1231" s="122" t="n">
        <v>14014</v>
      </c>
      <c r="B1231" s="122" t="inlineStr">
        <is>
          <t>United Kingdom</t>
        </is>
      </c>
      <c r="C1231" s="122" t="n">
        <v>78</v>
      </c>
      <c r="D1231" s="122" t="n">
        <v>1</v>
      </c>
      <c r="E1231" s="123" t="n">
        <v>505.18</v>
      </c>
      <c r="F1231" s="124">
        <f>IF(C1231&lt;=30,5,IF(C1231&lt;=60,4,IF(C1231&lt;=120,3,IF(C1231&lt;=200,2,1))))</f>
        <v/>
      </c>
      <c r="G1231" s="124">
        <f>IF(D1231&gt;=20,5,IF(D1231&gt;=10,4,IF(D1231&gt;=5,3,IF(D1231&gt;=2,2,1))))</f>
        <v/>
      </c>
      <c r="H1231" s="124">
        <f>IF(E1231&gt;=5000,5,IF(E1231&gt;=2000,4,IF(E1231&gt;=800,3,IF(E1231&gt;=300,2,1))))</f>
        <v/>
      </c>
      <c r="I1231" s="122">
        <f>TEXT(F1231,"0")&amp;TEXT(G1231,"0")&amp;TEXT(H1231,"0")</f>
        <v/>
      </c>
      <c r="J1231" s="122">
        <f>IFERROR(XLOOKUP(I1231,'Segment Map'!A:A,'Segment Map'!B:B,"Need Attention"),"Need Attention")</f>
        <v/>
      </c>
      <c r="K1231" s="122">
        <f>IF(E1231&gt;=5000,"🏆 Platinum",IF(E1231&gt;=2000,"🥇 Gold",IF(E1231&gt;=800,"🥈 Silver","🥉 Bronze")))</f>
        <v/>
      </c>
      <c r="L1231" s="125" t="n">
        <v>40809</v>
      </c>
    </row>
    <row r="1232">
      <c r="A1232" s="126" t="n">
        <v>14015</v>
      </c>
      <c r="B1232" s="126" t="inlineStr">
        <is>
          <t>United Kingdom</t>
        </is>
      </c>
      <c r="C1232" s="126" t="n">
        <v>53</v>
      </c>
      <c r="D1232" s="126" t="n">
        <v>1</v>
      </c>
      <c r="E1232" s="127" t="n">
        <v>917.34</v>
      </c>
      <c r="F1232" s="128">
        <f>IF(C1232&lt;=30,5,IF(C1232&lt;=60,4,IF(C1232&lt;=120,3,IF(C1232&lt;=200,2,1))))</f>
        <v/>
      </c>
      <c r="G1232" s="128">
        <f>IF(D1232&gt;=20,5,IF(D1232&gt;=10,4,IF(D1232&gt;=5,3,IF(D1232&gt;=2,2,1))))</f>
        <v/>
      </c>
      <c r="H1232" s="128">
        <f>IF(E1232&gt;=5000,5,IF(E1232&gt;=2000,4,IF(E1232&gt;=800,3,IF(E1232&gt;=300,2,1))))</f>
        <v/>
      </c>
      <c r="I1232" s="126">
        <f>TEXT(F1232,"0")&amp;TEXT(G1232,"0")&amp;TEXT(H1232,"0")</f>
        <v/>
      </c>
      <c r="J1232" s="126">
        <f>IFERROR(XLOOKUP(I1232,'Segment Map'!A:A,'Segment Map'!B:B,"Need Attention"),"Need Attention")</f>
        <v/>
      </c>
      <c r="K1232" s="126">
        <f>IF(E1232&gt;=5000,"🏆 Platinum",IF(E1232&gt;=2000,"🥇 Gold",IF(E1232&gt;=800,"🥈 Silver","🥉 Bronze")))</f>
        <v/>
      </c>
      <c r="L1232" s="129" t="n">
        <v>40834</v>
      </c>
    </row>
    <row r="1233">
      <c r="A1233" s="122" t="n">
        <v>14016</v>
      </c>
      <c r="B1233" s="122" t="inlineStr">
        <is>
          <t>EIRE</t>
        </is>
      </c>
      <c r="C1233" s="122" t="n">
        <v>162</v>
      </c>
      <c r="D1233" s="122" t="n">
        <v>4</v>
      </c>
      <c r="E1233" s="123" t="n">
        <v>4341.21</v>
      </c>
      <c r="F1233" s="124">
        <f>IF(C1233&lt;=30,5,IF(C1233&lt;=60,4,IF(C1233&lt;=120,3,IF(C1233&lt;=200,2,1))))</f>
        <v/>
      </c>
      <c r="G1233" s="124">
        <f>IF(D1233&gt;=20,5,IF(D1233&gt;=10,4,IF(D1233&gt;=5,3,IF(D1233&gt;=2,2,1))))</f>
        <v/>
      </c>
      <c r="H1233" s="124">
        <f>IF(E1233&gt;=5000,5,IF(E1233&gt;=2000,4,IF(E1233&gt;=800,3,IF(E1233&gt;=300,2,1))))</f>
        <v/>
      </c>
      <c r="I1233" s="122">
        <f>TEXT(F1233,"0")&amp;TEXT(G1233,"0")&amp;TEXT(H1233,"0")</f>
        <v/>
      </c>
      <c r="J1233" s="122">
        <f>IFERROR(XLOOKUP(I1233,'Segment Map'!A:A,'Segment Map'!B:B,"Need Attention"),"Need Attention")</f>
        <v/>
      </c>
      <c r="K1233" s="122">
        <f>IF(E1233&gt;=5000,"🏆 Platinum",IF(E1233&gt;=2000,"🥇 Gold",IF(E1233&gt;=800,"🥈 Silver","🥉 Bronze")))</f>
        <v/>
      </c>
      <c r="L1233" s="125" t="n">
        <v>40725</v>
      </c>
    </row>
    <row r="1234">
      <c r="A1234" s="126" t="n">
        <v>14019</v>
      </c>
      <c r="B1234" s="126" t="inlineStr">
        <is>
          <t>United Kingdom</t>
        </is>
      </c>
      <c r="C1234" s="126" t="n">
        <v>47</v>
      </c>
      <c r="D1234" s="126" t="n">
        <v>3</v>
      </c>
      <c r="E1234" s="127" t="n">
        <v>1421.61</v>
      </c>
      <c r="F1234" s="128">
        <f>IF(C1234&lt;=30,5,IF(C1234&lt;=60,4,IF(C1234&lt;=120,3,IF(C1234&lt;=200,2,1))))</f>
        <v/>
      </c>
      <c r="G1234" s="128">
        <f>IF(D1234&gt;=20,5,IF(D1234&gt;=10,4,IF(D1234&gt;=5,3,IF(D1234&gt;=2,2,1))))</f>
        <v/>
      </c>
      <c r="H1234" s="128">
        <f>IF(E1234&gt;=5000,5,IF(E1234&gt;=2000,4,IF(E1234&gt;=800,3,IF(E1234&gt;=300,2,1))))</f>
        <v/>
      </c>
      <c r="I1234" s="126">
        <f>TEXT(F1234,"0")&amp;TEXT(G1234,"0")&amp;TEXT(H1234,"0")</f>
        <v/>
      </c>
      <c r="J1234" s="126">
        <f>IFERROR(XLOOKUP(I1234,'Segment Map'!A:A,'Segment Map'!B:B,"Need Attention"),"Need Attention")</f>
        <v/>
      </c>
      <c r="K1234" s="126">
        <f>IF(E1234&gt;=5000,"🏆 Platinum",IF(E1234&gt;=2000,"🥇 Gold",IF(E1234&gt;=800,"🥈 Silver","🥉 Bronze")))</f>
        <v/>
      </c>
      <c r="L1234" s="129" t="n">
        <v>40840</v>
      </c>
    </row>
    <row r="1235">
      <c r="A1235" s="122" t="n">
        <v>14020</v>
      </c>
      <c r="B1235" s="122" t="inlineStr">
        <is>
          <t>United Kingdom</t>
        </is>
      </c>
      <c r="C1235" s="122" t="n">
        <v>17</v>
      </c>
      <c r="D1235" s="122" t="n">
        <v>2</v>
      </c>
      <c r="E1235" s="123" t="n">
        <v>642.8</v>
      </c>
      <c r="F1235" s="124">
        <f>IF(C1235&lt;=30,5,IF(C1235&lt;=60,4,IF(C1235&lt;=120,3,IF(C1235&lt;=200,2,1))))</f>
        <v/>
      </c>
      <c r="G1235" s="124">
        <f>IF(D1235&gt;=20,5,IF(D1235&gt;=10,4,IF(D1235&gt;=5,3,IF(D1235&gt;=2,2,1))))</f>
        <v/>
      </c>
      <c r="H1235" s="124">
        <f>IF(E1235&gt;=5000,5,IF(E1235&gt;=2000,4,IF(E1235&gt;=800,3,IF(E1235&gt;=300,2,1))))</f>
        <v/>
      </c>
      <c r="I1235" s="122">
        <f>TEXT(F1235,"0")&amp;TEXT(G1235,"0")&amp;TEXT(H1235,"0")</f>
        <v/>
      </c>
      <c r="J1235" s="122">
        <f>IFERROR(XLOOKUP(I1235,'Segment Map'!A:A,'Segment Map'!B:B,"Need Attention"),"Need Attention")</f>
        <v/>
      </c>
      <c r="K1235" s="122">
        <f>IF(E1235&gt;=5000,"🏆 Platinum",IF(E1235&gt;=2000,"🥇 Gold",IF(E1235&gt;=800,"🥈 Silver","🥉 Bronze")))</f>
        <v/>
      </c>
      <c r="L1235" s="125" t="n">
        <v>40870</v>
      </c>
    </row>
    <row r="1236">
      <c r="A1236" s="126" t="n">
        <v>14021</v>
      </c>
      <c r="B1236" s="126" t="inlineStr">
        <is>
          <t>United Kingdom</t>
        </is>
      </c>
      <c r="C1236" s="126" t="n">
        <v>156</v>
      </c>
      <c r="D1236" s="126" t="n">
        <v>3</v>
      </c>
      <c r="E1236" s="127" t="n">
        <v>631.9</v>
      </c>
      <c r="F1236" s="128">
        <f>IF(C1236&lt;=30,5,IF(C1236&lt;=60,4,IF(C1236&lt;=120,3,IF(C1236&lt;=200,2,1))))</f>
        <v/>
      </c>
      <c r="G1236" s="128">
        <f>IF(D1236&gt;=20,5,IF(D1236&gt;=10,4,IF(D1236&gt;=5,3,IF(D1236&gt;=2,2,1))))</f>
        <v/>
      </c>
      <c r="H1236" s="128">
        <f>IF(E1236&gt;=5000,5,IF(E1236&gt;=2000,4,IF(E1236&gt;=800,3,IF(E1236&gt;=300,2,1))))</f>
        <v/>
      </c>
      <c r="I1236" s="126">
        <f>TEXT(F1236,"0")&amp;TEXT(G1236,"0")&amp;TEXT(H1236,"0")</f>
        <v/>
      </c>
      <c r="J1236" s="126">
        <f>IFERROR(XLOOKUP(I1236,'Segment Map'!A:A,'Segment Map'!B:B,"Need Attention"),"Need Attention")</f>
        <v/>
      </c>
      <c r="K1236" s="126">
        <f>IF(E1236&gt;=5000,"🏆 Platinum",IF(E1236&gt;=2000,"🥇 Gold",IF(E1236&gt;=800,"🥈 Silver","🥉 Bronze")))</f>
        <v/>
      </c>
      <c r="L1236" s="129" t="n">
        <v>40731</v>
      </c>
    </row>
    <row r="1237">
      <c r="A1237" s="122" t="n">
        <v>14022</v>
      </c>
      <c r="B1237" s="122" t="inlineStr">
        <is>
          <t>United Kingdom</t>
        </is>
      </c>
      <c r="C1237" s="122" t="n">
        <v>226</v>
      </c>
      <c r="D1237" s="122" t="n">
        <v>1</v>
      </c>
      <c r="E1237" s="123" t="n">
        <v>440</v>
      </c>
      <c r="F1237" s="124">
        <f>IF(C1237&lt;=30,5,IF(C1237&lt;=60,4,IF(C1237&lt;=120,3,IF(C1237&lt;=200,2,1))))</f>
        <v/>
      </c>
      <c r="G1237" s="124">
        <f>IF(D1237&gt;=20,5,IF(D1237&gt;=10,4,IF(D1237&gt;=5,3,IF(D1237&gt;=2,2,1))))</f>
        <v/>
      </c>
      <c r="H1237" s="124">
        <f>IF(E1237&gt;=5000,5,IF(E1237&gt;=2000,4,IF(E1237&gt;=800,3,IF(E1237&gt;=300,2,1))))</f>
        <v/>
      </c>
      <c r="I1237" s="122">
        <f>TEXT(F1237,"0")&amp;TEXT(G1237,"0")&amp;TEXT(H1237,"0")</f>
        <v/>
      </c>
      <c r="J1237" s="122">
        <f>IFERROR(XLOOKUP(I1237,'Segment Map'!A:A,'Segment Map'!B:B,"Need Attention"),"Need Attention")</f>
        <v/>
      </c>
      <c r="K1237" s="122">
        <f>IF(E1237&gt;=5000,"🏆 Platinum",IF(E1237&gt;=2000,"🥇 Gold",IF(E1237&gt;=800,"🥈 Silver","🥉 Bronze")))</f>
        <v/>
      </c>
      <c r="L1237" s="125" t="n">
        <v>40661</v>
      </c>
    </row>
    <row r="1238">
      <c r="A1238" s="126" t="n">
        <v>14023</v>
      </c>
      <c r="B1238" s="126" t="inlineStr">
        <is>
          <t>United Kingdom</t>
        </is>
      </c>
      <c r="C1238" s="126" t="n">
        <v>8</v>
      </c>
      <c r="D1238" s="126" t="n">
        <v>2</v>
      </c>
      <c r="E1238" s="127" t="n">
        <v>584.0700000000001</v>
      </c>
      <c r="F1238" s="128">
        <f>IF(C1238&lt;=30,5,IF(C1238&lt;=60,4,IF(C1238&lt;=120,3,IF(C1238&lt;=200,2,1))))</f>
        <v/>
      </c>
      <c r="G1238" s="128">
        <f>IF(D1238&gt;=20,5,IF(D1238&gt;=10,4,IF(D1238&gt;=5,3,IF(D1238&gt;=2,2,1))))</f>
        <v/>
      </c>
      <c r="H1238" s="128">
        <f>IF(E1238&gt;=5000,5,IF(E1238&gt;=2000,4,IF(E1238&gt;=800,3,IF(E1238&gt;=300,2,1))))</f>
        <v/>
      </c>
      <c r="I1238" s="126">
        <f>TEXT(F1238,"0")&amp;TEXT(G1238,"0")&amp;TEXT(H1238,"0")</f>
        <v/>
      </c>
      <c r="J1238" s="126">
        <f>IFERROR(XLOOKUP(I1238,'Segment Map'!A:A,'Segment Map'!B:B,"Need Attention"),"Need Attention")</f>
        <v/>
      </c>
      <c r="K1238" s="126">
        <f>IF(E1238&gt;=5000,"🏆 Platinum",IF(E1238&gt;=2000,"🥇 Gold",IF(E1238&gt;=800,"🥈 Silver","🥉 Bronze")))</f>
        <v/>
      </c>
      <c r="L1238" s="129" t="n">
        <v>40879</v>
      </c>
    </row>
    <row r="1239">
      <c r="A1239" s="122" t="n">
        <v>14024</v>
      </c>
      <c r="B1239" s="122" t="inlineStr">
        <is>
          <t>United Kingdom</t>
        </is>
      </c>
      <c r="C1239" s="122" t="n">
        <v>122</v>
      </c>
      <c r="D1239" s="122" t="n">
        <v>2</v>
      </c>
      <c r="E1239" s="123" t="n">
        <v>327.7</v>
      </c>
      <c r="F1239" s="124">
        <f>IF(C1239&lt;=30,5,IF(C1239&lt;=60,4,IF(C1239&lt;=120,3,IF(C1239&lt;=200,2,1))))</f>
        <v/>
      </c>
      <c r="G1239" s="124">
        <f>IF(D1239&gt;=20,5,IF(D1239&gt;=10,4,IF(D1239&gt;=5,3,IF(D1239&gt;=2,2,1))))</f>
        <v/>
      </c>
      <c r="H1239" s="124">
        <f>IF(E1239&gt;=5000,5,IF(E1239&gt;=2000,4,IF(E1239&gt;=800,3,IF(E1239&gt;=300,2,1))))</f>
        <v/>
      </c>
      <c r="I1239" s="122">
        <f>TEXT(F1239,"0")&amp;TEXT(G1239,"0")&amp;TEXT(H1239,"0")</f>
        <v/>
      </c>
      <c r="J1239" s="122">
        <f>IFERROR(XLOOKUP(I1239,'Segment Map'!A:A,'Segment Map'!B:B,"Need Attention"),"Need Attention")</f>
        <v/>
      </c>
      <c r="K1239" s="122">
        <f>IF(E1239&gt;=5000,"🏆 Platinum",IF(E1239&gt;=2000,"🥇 Gold",IF(E1239&gt;=800,"🥈 Silver","🥉 Bronze")))</f>
        <v/>
      </c>
      <c r="L1239" s="125" t="n">
        <v>40765</v>
      </c>
    </row>
    <row r="1240">
      <c r="A1240" s="126" t="n">
        <v>14027</v>
      </c>
      <c r="B1240" s="126" t="inlineStr">
        <is>
          <t>United Kingdom</t>
        </is>
      </c>
      <c r="C1240" s="126" t="n">
        <v>61</v>
      </c>
      <c r="D1240" s="126" t="n">
        <v>1</v>
      </c>
      <c r="E1240" s="127" t="n">
        <v>104.82</v>
      </c>
      <c r="F1240" s="128">
        <f>IF(C1240&lt;=30,5,IF(C1240&lt;=60,4,IF(C1240&lt;=120,3,IF(C1240&lt;=200,2,1))))</f>
        <v/>
      </c>
      <c r="G1240" s="128">
        <f>IF(D1240&gt;=20,5,IF(D1240&gt;=10,4,IF(D1240&gt;=5,3,IF(D1240&gt;=2,2,1))))</f>
        <v/>
      </c>
      <c r="H1240" s="128">
        <f>IF(E1240&gt;=5000,5,IF(E1240&gt;=2000,4,IF(E1240&gt;=800,3,IF(E1240&gt;=300,2,1))))</f>
        <v/>
      </c>
      <c r="I1240" s="126">
        <f>TEXT(F1240,"0")&amp;TEXT(G1240,"0")&amp;TEXT(H1240,"0")</f>
        <v/>
      </c>
      <c r="J1240" s="126">
        <f>IFERROR(XLOOKUP(I1240,'Segment Map'!A:A,'Segment Map'!B:B,"Need Attention"),"Need Attention")</f>
        <v/>
      </c>
      <c r="K1240" s="126">
        <f>IF(E1240&gt;=5000,"🏆 Platinum",IF(E1240&gt;=2000,"🥇 Gold",IF(E1240&gt;=800,"🥈 Silver","🥉 Bronze")))</f>
        <v/>
      </c>
      <c r="L1240" s="129" t="n">
        <v>40826</v>
      </c>
    </row>
    <row r="1241">
      <c r="A1241" s="122" t="n">
        <v>14029</v>
      </c>
      <c r="B1241" s="122" t="inlineStr">
        <is>
          <t>United Kingdom</t>
        </is>
      </c>
      <c r="C1241" s="122" t="n">
        <v>64</v>
      </c>
      <c r="D1241" s="122" t="n">
        <v>2</v>
      </c>
      <c r="E1241" s="123" t="n">
        <v>467.66</v>
      </c>
      <c r="F1241" s="124">
        <f>IF(C1241&lt;=30,5,IF(C1241&lt;=60,4,IF(C1241&lt;=120,3,IF(C1241&lt;=200,2,1))))</f>
        <v/>
      </c>
      <c r="G1241" s="124">
        <f>IF(D1241&gt;=20,5,IF(D1241&gt;=10,4,IF(D1241&gt;=5,3,IF(D1241&gt;=2,2,1))))</f>
        <v/>
      </c>
      <c r="H1241" s="124">
        <f>IF(E1241&gt;=5000,5,IF(E1241&gt;=2000,4,IF(E1241&gt;=800,3,IF(E1241&gt;=300,2,1))))</f>
        <v/>
      </c>
      <c r="I1241" s="122">
        <f>TEXT(F1241,"0")&amp;TEXT(G1241,"0")&amp;TEXT(H1241,"0")</f>
        <v/>
      </c>
      <c r="J1241" s="122">
        <f>IFERROR(XLOOKUP(I1241,'Segment Map'!A:A,'Segment Map'!B:B,"Need Attention"),"Need Attention")</f>
        <v/>
      </c>
      <c r="K1241" s="122">
        <f>IF(E1241&gt;=5000,"🏆 Platinum",IF(E1241&gt;=2000,"🥇 Gold",IF(E1241&gt;=800,"🥈 Silver","🥉 Bronze")))</f>
        <v/>
      </c>
      <c r="L1241" s="125" t="n">
        <v>40823</v>
      </c>
    </row>
    <row r="1242">
      <c r="A1242" s="126" t="n">
        <v>14030</v>
      </c>
      <c r="B1242" s="126" t="inlineStr">
        <is>
          <t>United Kingdom</t>
        </is>
      </c>
      <c r="C1242" s="126" t="n">
        <v>19</v>
      </c>
      <c r="D1242" s="126" t="n">
        <v>8</v>
      </c>
      <c r="E1242" s="127" t="n">
        <v>2360.09</v>
      </c>
      <c r="F1242" s="128">
        <f>IF(C1242&lt;=30,5,IF(C1242&lt;=60,4,IF(C1242&lt;=120,3,IF(C1242&lt;=200,2,1))))</f>
        <v/>
      </c>
      <c r="G1242" s="128">
        <f>IF(D1242&gt;=20,5,IF(D1242&gt;=10,4,IF(D1242&gt;=5,3,IF(D1242&gt;=2,2,1))))</f>
        <v/>
      </c>
      <c r="H1242" s="128">
        <f>IF(E1242&gt;=5000,5,IF(E1242&gt;=2000,4,IF(E1242&gt;=800,3,IF(E1242&gt;=300,2,1))))</f>
        <v/>
      </c>
      <c r="I1242" s="126">
        <f>TEXT(F1242,"0")&amp;TEXT(G1242,"0")&amp;TEXT(H1242,"0")</f>
        <v/>
      </c>
      <c r="J1242" s="126">
        <f>IFERROR(XLOOKUP(I1242,'Segment Map'!A:A,'Segment Map'!B:B,"Need Attention"),"Need Attention")</f>
        <v/>
      </c>
      <c r="K1242" s="126">
        <f>IF(E1242&gt;=5000,"🏆 Platinum",IF(E1242&gt;=2000,"🥇 Gold",IF(E1242&gt;=800,"🥈 Silver","🥉 Bronze")))</f>
        <v/>
      </c>
      <c r="L1242" s="129" t="n">
        <v>40868</v>
      </c>
    </row>
    <row r="1243">
      <c r="A1243" s="122" t="n">
        <v>14031</v>
      </c>
      <c r="B1243" s="122" t="inlineStr">
        <is>
          <t>United Kingdom</t>
        </is>
      </c>
      <c r="C1243" s="122" t="n">
        <v>8</v>
      </c>
      <c r="D1243" s="122" t="n">
        <v>19</v>
      </c>
      <c r="E1243" s="123" t="n">
        <v>17286.86</v>
      </c>
      <c r="F1243" s="124">
        <f>IF(C1243&lt;=30,5,IF(C1243&lt;=60,4,IF(C1243&lt;=120,3,IF(C1243&lt;=200,2,1))))</f>
        <v/>
      </c>
      <c r="G1243" s="124">
        <f>IF(D1243&gt;=20,5,IF(D1243&gt;=10,4,IF(D1243&gt;=5,3,IF(D1243&gt;=2,2,1))))</f>
        <v/>
      </c>
      <c r="H1243" s="124">
        <f>IF(E1243&gt;=5000,5,IF(E1243&gt;=2000,4,IF(E1243&gt;=800,3,IF(E1243&gt;=300,2,1))))</f>
        <v/>
      </c>
      <c r="I1243" s="122">
        <f>TEXT(F1243,"0")&amp;TEXT(G1243,"0")&amp;TEXT(H1243,"0")</f>
        <v/>
      </c>
      <c r="J1243" s="122">
        <f>IFERROR(XLOOKUP(I1243,'Segment Map'!A:A,'Segment Map'!B:B,"Need Attention"),"Need Attention")</f>
        <v/>
      </c>
      <c r="K1243" s="122">
        <f>IF(E1243&gt;=5000,"🏆 Platinum",IF(E1243&gt;=2000,"🥇 Gold",IF(E1243&gt;=800,"🥈 Silver","🥉 Bronze")))</f>
        <v/>
      </c>
      <c r="L1243" s="125" t="n">
        <v>40879</v>
      </c>
    </row>
    <row r="1244">
      <c r="A1244" s="126" t="n">
        <v>14032</v>
      </c>
      <c r="B1244" s="126" t="inlineStr">
        <is>
          <t>United Kingdom</t>
        </is>
      </c>
      <c r="C1244" s="126" t="n">
        <v>3</v>
      </c>
      <c r="D1244" s="126" t="n">
        <v>11</v>
      </c>
      <c r="E1244" s="127" t="n">
        <v>2975.59</v>
      </c>
      <c r="F1244" s="128">
        <f>IF(C1244&lt;=30,5,IF(C1244&lt;=60,4,IF(C1244&lt;=120,3,IF(C1244&lt;=200,2,1))))</f>
        <v/>
      </c>
      <c r="G1244" s="128">
        <f>IF(D1244&gt;=20,5,IF(D1244&gt;=10,4,IF(D1244&gt;=5,3,IF(D1244&gt;=2,2,1))))</f>
        <v/>
      </c>
      <c r="H1244" s="128">
        <f>IF(E1244&gt;=5000,5,IF(E1244&gt;=2000,4,IF(E1244&gt;=800,3,IF(E1244&gt;=300,2,1))))</f>
        <v/>
      </c>
      <c r="I1244" s="126">
        <f>TEXT(F1244,"0")&amp;TEXT(G1244,"0")&amp;TEXT(H1244,"0")</f>
        <v/>
      </c>
      <c r="J1244" s="126">
        <f>IFERROR(XLOOKUP(I1244,'Segment Map'!A:A,'Segment Map'!B:B,"Need Attention"),"Need Attention")</f>
        <v/>
      </c>
      <c r="K1244" s="126">
        <f>IF(E1244&gt;=5000,"🏆 Platinum",IF(E1244&gt;=2000,"🥇 Gold",IF(E1244&gt;=800,"🥈 Silver","🥉 Bronze")))</f>
        <v/>
      </c>
      <c r="L1244" s="129" t="n">
        <v>40884</v>
      </c>
    </row>
    <row r="1245">
      <c r="A1245" s="122" t="n">
        <v>14034</v>
      </c>
      <c r="B1245" s="122" t="inlineStr">
        <is>
          <t>United Kingdom</t>
        </is>
      </c>
      <c r="C1245" s="122" t="n">
        <v>23</v>
      </c>
      <c r="D1245" s="122" t="n">
        <v>3</v>
      </c>
      <c r="E1245" s="123" t="n">
        <v>651.8200000000001</v>
      </c>
      <c r="F1245" s="124">
        <f>IF(C1245&lt;=30,5,IF(C1245&lt;=60,4,IF(C1245&lt;=120,3,IF(C1245&lt;=200,2,1))))</f>
        <v/>
      </c>
      <c r="G1245" s="124">
        <f>IF(D1245&gt;=20,5,IF(D1245&gt;=10,4,IF(D1245&gt;=5,3,IF(D1245&gt;=2,2,1))))</f>
        <v/>
      </c>
      <c r="H1245" s="124">
        <f>IF(E1245&gt;=5000,5,IF(E1245&gt;=2000,4,IF(E1245&gt;=800,3,IF(E1245&gt;=300,2,1))))</f>
        <v/>
      </c>
      <c r="I1245" s="122">
        <f>TEXT(F1245,"0")&amp;TEXT(G1245,"0")&amp;TEXT(H1245,"0")</f>
        <v/>
      </c>
      <c r="J1245" s="122">
        <f>IFERROR(XLOOKUP(I1245,'Segment Map'!A:A,'Segment Map'!B:B,"Need Attention"),"Need Attention")</f>
        <v/>
      </c>
      <c r="K1245" s="122">
        <f>IF(E1245&gt;=5000,"🏆 Platinum",IF(E1245&gt;=2000,"🥇 Gold",IF(E1245&gt;=800,"🥈 Silver","🥉 Bronze")))</f>
        <v/>
      </c>
      <c r="L1245" s="125" t="n">
        <v>40864</v>
      </c>
    </row>
    <row r="1246">
      <c r="A1246" s="126" t="n">
        <v>14035</v>
      </c>
      <c r="B1246" s="126" t="inlineStr">
        <is>
          <t>United Kingdom</t>
        </is>
      </c>
      <c r="C1246" s="126" t="n">
        <v>29</v>
      </c>
      <c r="D1246" s="126" t="n">
        <v>5</v>
      </c>
      <c r="E1246" s="127" t="n">
        <v>1428.02</v>
      </c>
      <c r="F1246" s="128">
        <f>IF(C1246&lt;=30,5,IF(C1246&lt;=60,4,IF(C1246&lt;=120,3,IF(C1246&lt;=200,2,1))))</f>
        <v/>
      </c>
      <c r="G1246" s="128">
        <f>IF(D1246&gt;=20,5,IF(D1246&gt;=10,4,IF(D1246&gt;=5,3,IF(D1246&gt;=2,2,1))))</f>
        <v/>
      </c>
      <c r="H1246" s="128">
        <f>IF(E1246&gt;=5000,5,IF(E1246&gt;=2000,4,IF(E1246&gt;=800,3,IF(E1246&gt;=300,2,1))))</f>
        <v/>
      </c>
      <c r="I1246" s="126">
        <f>TEXT(F1246,"0")&amp;TEXT(G1246,"0")&amp;TEXT(H1246,"0")</f>
        <v/>
      </c>
      <c r="J1246" s="126">
        <f>IFERROR(XLOOKUP(I1246,'Segment Map'!A:A,'Segment Map'!B:B,"Need Attention"),"Need Attention")</f>
        <v/>
      </c>
      <c r="K1246" s="126">
        <f>IF(E1246&gt;=5000,"🏆 Platinum",IF(E1246&gt;=2000,"🥇 Gold",IF(E1246&gt;=800,"🥈 Silver","🥉 Bronze")))</f>
        <v/>
      </c>
      <c r="L1246" s="129" t="n">
        <v>40858</v>
      </c>
    </row>
    <row r="1247">
      <c r="A1247" s="122" t="n">
        <v>14036</v>
      </c>
      <c r="B1247" s="122" t="inlineStr">
        <is>
          <t>United Kingdom</t>
        </is>
      </c>
      <c r="C1247" s="122" t="n">
        <v>285</v>
      </c>
      <c r="D1247" s="122" t="n">
        <v>1</v>
      </c>
      <c r="E1247" s="123" t="n">
        <v>626.65</v>
      </c>
      <c r="F1247" s="124">
        <f>IF(C1247&lt;=30,5,IF(C1247&lt;=60,4,IF(C1247&lt;=120,3,IF(C1247&lt;=200,2,1))))</f>
        <v/>
      </c>
      <c r="G1247" s="124">
        <f>IF(D1247&gt;=20,5,IF(D1247&gt;=10,4,IF(D1247&gt;=5,3,IF(D1247&gt;=2,2,1))))</f>
        <v/>
      </c>
      <c r="H1247" s="124">
        <f>IF(E1247&gt;=5000,5,IF(E1247&gt;=2000,4,IF(E1247&gt;=800,3,IF(E1247&gt;=300,2,1))))</f>
        <v/>
      </c>
      <c r="I1247" s="122">
        <f>TEXT(F1247,"0")&amp;TEXT(G1247,"0")&amp;TEXT(H1247,"0")</f>
        <v/>
      </c>
      <c r="J1247" s="122">
        <f>IFERROR(XLOOKUP(I1247,'Segment Map'!A:A,'Segment Map'!B:B,"Need Attention"),"Need Attention")</f>
        <v/>
      </c>
      <c r="K1247" s="122">
        <f>IF(E1247&gt;=5000,"🏆 Platinum",IF(E1247&gt;=2000,"🥇 Gold",IF(E1247&gt;=800,"🥈 Silver","🥉 Bronze")))</f>
        <v/>
      </c>
      <c r="L1247" s="125" t="n">
        <v>40602</v>
      </c>
    </row>
    <row r="1248">
      <c r="A1248" s="126" t="n">
        <v>14037</v>
      </c>
      <c r="B1248" s="126" t="inlineStr">
        <is>
          <t>United Kingdom</t>
        </is>
      </c>
      <c r="C1248" s="126" t="n">
        <v>177</v>
      </c>
      <c r="D1248" s="126" t="n">
        <v>2</v>
      </c>
      <c r="E1248" s="127" t="n">
        <v>147.2</v>
      </c>
      <c r="F1248" s="128">
        <f>IF(C1248&lt;=30,5,IF(C1248&lt;=60,4,IF(C1248&lt;=120,3,IF(C1248&lt;=200,2,1))))</f>
        <v/>
      </c>
      <c r="G1248" s="128">
        <f>IF(D1248&gt;=20,5,IF(D1248&gt;=10,4,IF(D1248&gt;=5,3,IF(D1248&gt;=2,2,1))))</f>
        <v/>
      </c>
      <c r="H1248" s="128">
        <f>IF(E1248&gt;=5000,5,IF(E1248&gt;=2000,4,IF(E1248&gt;=800,3,IF(E1248&gt;=300,2,1))))</f>
        <v/>
      </c>
      <c r="I1248" s="126">
        <f>TEXT(F1248,"0")&amp;TEXT(G1248,"0")&amp;TEXT(H1248,"0")</f>
        <v/>
      </c>
      <c r="J1248" s="126">
        <f>IFERROR(XLOOKUP(I1248,'Segment Map'!A:A,'Segment Map'!B:B,"Need Attention"),"Need Attention")</f>
        <v/>
      </c>
      <c r="K1248" s="126">
        <f>IF(E1248&gt;=5000,"🏆 Platinum",IF(E1248&gt;=2000,"🥇 Gold",IF(E1248&gt;=800,"🥈 Silver","🥉 Bronze")))</f>
        <v/>
      </c>
      <c r="L1248" s="129" t="n">
        <v>40710</v>
      </c>
    </row>
    <row r="1249">
      <c r="A1249" s="122" t="n">
        <v>14038</v>
      </c>
      <c r="B1249" s="122" t="inlineStr">
        <is>
          <t>United Kingdom</t>
        </is>
      </c>
      <c r="C1249" s="122" t="n">
        <v>79</v>
      </c>
      <c r="D1249" s="122" t="n">
        <v>3</v>
      </c>
      <c r="E1249" s="123" t="n">
        <v>1560.38</v>
      </c>
      <c r="F1249" s="124">
        <f>IF(C1249&lt;=30,5,IF(C1249&lt;=60,4,IF(C1249&lt;=120,3,IF(C1249&lt;=200,2,1))))</f>
        <v/>
      </c>
      <c r="G1249" s="124">
        <f>IF(D1249&gt;=20,5,IF(D1249&gt;=10,4,IF(D1249&gt;=5,3,IF(D1249&gt;=2,2,1))))</f>
        <v/>
      </c>
      <c r="H1249" s="124">
        <f>IF(E1249&gt;=5000,5,IF(E1249&gt;=2000,4,IF(E1249&gt;=800,3,IF(E1249&gt;=300,2,1))))</f>
        <v/>
      </c>
      <c r="I1249" s="122">
        <f>TEXT(F1249,"0")&amp;TEXT(G1249,"0")&amp;TEXT(H1249,"0")</f>
        <v/>
      </c>
      <c r="J1249" s="122">
        <f>IFERROR(XLOOKUP(I1249,'Segment Map'!A:A,'Segment Map'!B:B,"Need Attention"),"Need Attention")</f>
        <v/>
      </c>
      <c r="K1249" s="122">
        <f>IF(E1249&gt;=5000,"🏆 Platinum",IF(E1249&gt;=2000,"🥇 Gold",IF(E1249&gt;=800,"🥈 Silver","🥉 Bronze")))</f>
        <v/>
      </c>
      <c r="L1249" s="125" t="n">
        <v>40808</v>
      </c>
    </row>
    <row r="1250">
      <c r="A1250" s="126" t="n">
        <v>14039</v>
      </c>
      <c r="B1250" s="126" t="inlineStr">
        <is>
          <t>United Kingdom</t>
        </is>
      </c>
      <c r="C1250" s="126" t="n">
        <v>34</v>
      </c>
      <c r="D1250" s="126" t="n">
        <v>1</v>
      </c>
      <c r="E1250" s="127" t="n">
        <v>152.2</v>
      </c>
      <c r="F1250" s="128">
        <f>IF(C1250&lt;=30,5,IF(C1250&lt;=60,4,IF(C1250&lt;=120,3,IF(C1250&lt;=200,2,1))))</f>
        <v/>
      </c>
      <c r="G1250" s="128">
        <f>IF(D1250&gt;=20,5,IF(D1250&gt;=10,4,IF(D1250&gt;=5,3,IF(D1250&gt;=2,2,1))))</f>
        <v/>
      </c>
      <c r="H1250" s="128">
        <f>IF(E1250&gt;=5000,5,IF(E1250&gt;=2000,4,IF(E1250&gt;=800,3,IF(E1250&gt;=300,2,1))))</f>
        <v/>
      </c>
      <c r="I1250" s="126">
        <f>TEXT(F1250,"0")&amp;TEXT(G1250,"0")&amp;TEXT(H1250,"0")</f>
        <v/>
      </c>
      <c r="J1250" s="126">
        <f>IFERROR(XLOOKUP(I1250,'Segment Map'!A:A,'Segment Map'!B:B,"Need Attention"),"Need Attention")</f>
        <v/>
      </c>
      <c r="K1250" s="126">
        <f>IF(E1250&gt;=5000,"🏆 Platinum",IF(E1250&gt;=2000,"🥇 Gold",IF(E1250&gt;=800,"🥈 Silver","🥉 Bronze")))</f>
        <v/>
      </c>
      <c r="L1250" s="129" t="n">
        <v>40853</v>
      </c>
    </row>
    <row r="1251">
      <c r="A1251" s="122" t="n">
        <v>14040</v>
      </c>
      <c r="B1251" s="122" t="inlineStr">
        <is>
          <t>United Kingdom</t>
        </is>
      </c>
      <c r="C1251" s="122" t="n">
        <v>41</v>
      </c>
      <c r="D1251" s="122" t="n">
        <v>12</v>
      </c>
      <c r="E1251" s="123" t="n">
        <v>3614.92</v>
      </c>
      <c r="F1251" s="124">
        <f>IF(C1251&lt;=30,5,IF(C1251&lt;=60,4,IF(C1251&lt;=120,3,IF(C1251&lt;=200,2,1))))</f>
        <v/>
      </c>
      <c r="G1251" s="124">
        <f>IF(D1251&gt;=20,5,IF(D1251&gt;=10,4,IF(D1251&gt;=5,3,IF(D1251&gt;=2,2,1))))</f>
        <v/>
      </c>
      <c r="H1251" s="124">
        <f>IF(E1251&gt;=5000,5,IF(E1251&gt;=2000,4,IF(E1251&gt;=800,3,IF(E1251&gt;=300,2,1))))</f>
        <v/>
      </c>
      <c r="I1251" s="122">
        <f>TEXT(F1251,"0")&amp;TEXT(G1251,"0")&amp;TEXT(H1251,"0")</f>
        <v/>
      </c>
      <c r="J1251" s="122">
        <f>IFERROR(XLOOKUP(I1251,'Segment Map'!A:A,'Segment Map'!B:B,"Need Attention"),"Need Attention")</f>
        <v/>
      </c>
      <c r="K1251" s="122">
        <f>IF(E1251&gt;=5000,"🏆 Platinum",IF(E1251&gt;=2000,"🥇 Gold",IF(E1251&gt;=800,"🥈 Silver","🥉 Bronze")))</f>
        <v/>
      </c>
      <c r="L1251" s="125" t="n">
        <v>40846</v>
      </c>
    </row>
    <row r="1252">
      <c r="A1252" s="126" t="n">
        <v>14041</v>
      </c>
      <c r="B1252" s="126" t="inlineStr">
        <is>
          <t>United Kingdom</t>
        </is>
      </c>
      <c r="C1252" s="126" t="n">
        <v>267</v>
      </c>
      <c r="D1252" s="126" t="n">
        <v>1</v>
      </c>
      <c r="E1252" s="127" t="n">
        <v>141.41</v>
      </c>
      <c r="F1252" s="128">
        <f>IF(C1252&lt;=30,5,IF(C1252&lt;=60,4,IF(C1252&lt;=120,3,IF(C1252&lt;=200,2,1))))</f>
        <v/>
      </c>
      <c r="G1252" s="128">
        <f>IF(D1252&gt;=20,5,IF(D1252&gt;=10,4,IF(D1252&gt;=5,3,IF(D1252&gt;=2,2,1))))</f>
        <v/>
      </c>
      <c r="H1252" s="128">
        <f>IF(E1252&gt;=5000,5,IF(E1252&gt;=2000,4,IF(E1252&gt;=800,3,IF(E1252&gt;=300,2,1))))</f>
        <v/>
      </c>
      <c r="I1252" s="126">
        <f>TEXT(F1252,"0")&amp;TEXT(G1252,"0")&amp;TEXT(H1252,"0")</f>
        <v/>
      </c>
      <c r="J1252" s="126">
        <f>IFERROR(XLOOKUP(I1252,'Segment Map'!A:A,'Segment Map'!B:B,"Need Attention"),"Need Attention")</f>
        <v/>
      </c>
      <c r="K1252" s="126">
        <f>IF(E1252&gt;=5000,"🏆 Platinum",IF(E1252&gt;=2000,"🥇 Gold",IF(E1252&gt;=800,"🥈 Silver","🥉 Bronze")))</f>
        <v/>
      </c>
      <c r="L1252" s="129" t="n">
        <v>40620</v>
      </c>
    </row>
    <row r="1253">
      <c r="A1253" s="122" t="n">
        <v>14044</v>
      </c>
      <c r="B1253" s="122" t="inlineStr">
        <is>
          <t>United Kingdom</t>
        </is>
      </c>
      <c r="C1253" s="122" t="n">
        <v>27</v>
      </c>
      <c r="D1253" s="122" t="n">
        <v>4</v>
      </c>
      <c r="E1253" s="123" t="n">
        <v>652.8200000000001</v>
      </c>
      <c r="F1253" s="124">
        <f>IF(C1253&lt;=30,5,IF(C1253&lt;=60,4,IF(C1253&lt;=120,3,IF(C1253&lt;=200,2,1))))</f>
        <v/>
      </c>
      <c r="G1253" s="124">
        <f>IF(D1253&gt;=20,5,IF(D1253&gt;=10,4,IF(D1253&gt;=5,3,IF(D1253&gt;=2,2,1))))</f>
        <v/>
      </c>
      <c r="H1253" s="124">
        <f>IF(E1253&gt;=5000,5,IF(E1253&gt;=2000,4,IF(E1253&gt;=800,3,IF(E1253&gt;=300,2,1))))</f>
        <v/>
      </c>
      <c r="I1253" s="122">
        <f>TEXT(F1253,"0")&amp;TEXT(G1253,"0")&amp;TEXT(H1253,"0")</f>
        <v/>
      </c>
      <c r="J1253" s="122">
        <f>IFERROR(XLOOKUP(I1253,'Segment Map'!A:A,'Segment Map'!B:B,"Need Attention"),"Need Attention")</f>
        <v/>
      </c>
      <c r="K1253" s="122">
        <f>IF(E1253&gt;=5000,"🏆 Platinum",IF(E1253&gt;=2000,"🥇 Gold",IF(E1253&gt;=800,"🥈 Silver","🥉 Bronze")))</f>
        <v/>
      </c>
      <c r="L1253" s="125" t="n">
        <v>40860</v>
      </c>
    </row>
    <row r="1254">
      <c r="A1254" s="126" t="n">
        <v>14045</v>
      </c>
      <c r="B1254" s="126" t="inlineStr">
        <is>
          <t>United Kingdom</t>
        </is>
      </c>
      <c r="C1254" s="126" t="n">
        <v>110</v>
      </c>
      <c r="D1254" s="126" t="n">
        <v>4</v>
      </c>
      <c r="E1254" s="127" t="n">
        <v>1659.75</v>
      </c>
      <c r="F1254" s="128">
        <f>IF(C1254&lt;=30,5,IF(C1254&lt;=60,4,IF(C1254&lt;=120,3,IF(C1254&lt;=200,2,1))))</f>
        <v/>
      </c>
      <c r="G1254" s="128">
        <f>IF(D1254&gt;=20,5,IF(D1254&gt;=10,4,IF(D1254&gt;=5,3,IF(D1254&gt;=2,2,1))))</f>
        <v/>
      </c>
      <c r="H1254" s="128">
        <f>IF(E1254&gt;=5000,5,IF(E1254&gt;=2000,4,IF(E1254&gt;=800,3,IF(E1254&gt;=300,2,1))))</f>
        <v/>
      </c>
      <c r="I1254" s="126">
        <f>TEXT(F1254,"0")&amp;TEXT(G1254,"0")&amp;TEXT(H1254,"0")</f>
        <v/>
      </c>
      <c r="J1254" s="126">
        <f>IFERROR(XLOOKUP(I1254,'Segment Map'!A:A,'Segment Map'!B:B,"Need Attention"),"Need Attention")</f>
        <v/>
      </c>
      <c r="K1254" s="126">
        <f>IF(E1254&gt;=5000,"🏆 Platinum",IF(E1254&gt;=2000,"🥇 Gold",IF(E1254&gt;=800,"🥈 Silver","🥉 Bronze")))</f>
        <v/>
      </c>
      <c r="L1254" s="129" t="n">
        <v>40777</v>
      </c>
    </row>
    <row r="1255">
      <c r="A1255" s="122" t="n">
        <v>14046</v>
      </c>
      <c r="B1255" s="122" t="inlineStr">
        <is>
          <t>United Kingdom</t>
        </is>
      </c>
      <c r="C1255" s="122" t="n">
        <v>285</v>
      </c>
      <c r="D1255" s="122" t="n">
        <v>1</v>
      </c>
      <c r="E1255" s="123" t="n">
        <v>154.99</v>
      </c>
      <c r="F1255" s="124">
        <f>IF(C1255&lt;=30,5,IF(C1255&lt;=60,4,IF(C1255&lt;=120,3,IF(C1255&lt;=200,2,1))))</f>
        <v/>
      </c>
      <c r="G1255" s="124">
        <f>IF(D1255&gt;=20,5,IF(D1255&gt;=10,4,IF(D1255&gt;=5,3,IF(D1255&gt;=2,2,1))))</f>
        <v/>
      </c>
      <c r="H1255" s="124">
        <f>IF(E1255&gt;=5000,5,IF(E1255&gt;=2000,4,IF(E1255&gt;=800,3,IF(E1255&gt;=300,2,1))))</f>
        <v/>
      </c>
      <c r="I1255" s="122">
        <f>TEXT(F1255,"0")&amp;TEXT(G1255,"0")&amp;TEXT(H1255,"0")</f>
        <v/>
      </c>
      <c r="J1255" s="122">
        <f>IFERROR(XLOOKUP(I1255,'Segment Map'!A:A,'Segment Map'!B:B,"Need Attention"),"Need Attention")</f>
        <v/>
      </c>
      <c r="K1255" s="122">
        <f>IF(E1255&gt;=5000,"🏆 Platinum",IF(E1255&gt;=2000,"🥇 Gold",IF(E1255&gt;=800,"🥈 Silver","🥉 Bronze")))</f>
        <v/>
      </c>
      <c r="L1255" s="125" t="n">
        <v>40602</v>
      </c>
    </row>
    <row r="1256">
      <c r="A1256" s="126" t="n">
        <v>14047</v>
      </c>
      <c r="B1256" s="126" t="inlineStr">
        <is>
          <t>United Kingdom</t>
        </is>
      </c>
      <c r="C1256" s="126" t="n">
        <v>9</v>
      </c>
      <c r="D1256" s="126" t="n">
        <v>5</v>
      </c>
      <c r="E1256" s="127" t="n">
        <v>1308.61</v>
      </c>
      <c r="F1256" s="128">
        <f>IF(C1256&lt;=30,5,IF(C1256&lt;=60,4,IF(C1256&lt;=120,3,IF(C1256&lt;=200,2,1))))</f>
        <v/>
      </c>
      <c r="G1256" s="128">
        <f>IF(D1256&gt;=20,5,IF(D1256&gt;=10,4,IF(D1256&gt;=5,3,IF(D1256&gt;=2,2,1))))</f>
        <v/>
      </c>
      <c r="H1256" s="128">
        <f>IF(E1256&gt;=5000,5,IF(E1256&gt;=2000,4,IF(E1256&gt;=800,3,IF(E1256&gt;=300,2,1))))</f>
        <v/>
      </c>
      <c r="I1256" s="126">
        <f>TEXT(F1256,"0")&amp;TEXT(G1256,"0")&amp;TEXT(H1256,"0")</f>
        <v/>
      </c>
      <c r="J1256" s="126">
        <f>IFERROR(XLOOKUP(I1256,'Segment Map'!A:A,'Segment Map'!B:B,"Need Attention"),"Need Attention")</f>
        <v/>
      </c>
      <c r="K1256" s="126">
        <f>IF(E1256&gt;=5000,"🏆 Platinum",IF(E1256&gt;=2000,"🥇 Gold",IF(E1256&gt;=800,"🥈 Silver","🥉 Bronze")))</f>
        <v/>
      </c>
      <c r="L1256" s="129" t="n">
        <v>40878</v>
      </c>
    </row>
    <row r="1257">
      <c r="A1257" s="122" t="n">
        <v>14048</v>
      </c>
      <c r="B1257" s="122" t="inlineStr">
        <is>
          <t>United Kingdom</t>
        </is>
      </c>
      <c r="C1257" s="122" t="n">
        <v>306</v>
      </c>
      <c r="D1257" s="122" t="n">
        <v>1</v>
      </c>
      <c r="E1257" s="123" t="n">
        <v>409.93</v>
      </c>
      <c r="F1257" s="124">
        <f>IF(C1257&lt;=30,5,IF(C1257&lt;=60,4,IF(C1257&lt;=120,3,IF(C1257&lt;=200,2,1))))</f>
        <v/>
      </c>
      <c r="G1257" s="124">
        <f>IF(D1257&gt;=20,5,IF(D1257&gt;=10,4,IF(D1257&gt;=5,3,IF(D1257&gt;=2,2,1))))</f>
        <v/>
      </c>
      <c r="H1257" s="124">
        <f>IF(E1257&gt;=5000,5,IF(E1257&gt;=2000,4,IF(E1257&gt;=800,3,IF(E1257&gt;=300,2,1))))</f>
        <v/>
      </c>
      <c r="I1257" s="122">
        <f>TEXT(F1257,"0")&amp;TEXT(G1257,"0")&amp;TEXT(H1257,"0")</f>
        <v/>
      </c>
      <c r="J1257" s="122">
        <f>IFERROR(XLOOKUP(I1257,'Segment Map'!A:A,'Segment Map'!B:B,"Need Attention"),"Need Attention")</f>
        <v/>
      </c>
      <c r="K1257" s="122">
        <f>IF(E1257&gt;=5000,"🏆 Platinum",IF(E1257&gt;=2000,"🥇 Gold",IF(E1257&gt;=800,"🥈 Silver","🥉 Bronze")))</f>
        <v/>
      </c>
      <c r="L1257" s="125" t="n">
        <v>40581</v>
      </c>
    </row>
    <row r="1258">
      <c r="A1258" s="126" t="n">
        <v>14049</v>
      </c>
      <c r="B1258" s="126" t="inlineStr">
        <is>
          <t>United Kingdom</t>
        </is>
      </c>
      <c r="C1258" s="126" t="n">
        <v>17</v>
      </c>
      <c r="D1258" s="126" t="n">
        <v>4</v>
      </c>
      <c r="E1258" s="127" t="n">
        <v>5681.72</v>
      </c>
      <c r="F1258" s="128">
        <f>IF(C1258&lt;=30,5,IF(C1258&lt;=60,4,IF(C1258&lt;=120,3,IF(C1258&lt;=200,2,1))))</f>
        <v/>
      </c>
      <c r="G1258" s="128">
        <f>IF(D1258&gt;=20,5,IF(D1258&gt;=10,4,IF(D1258&gt;=5,3,IF(D1258&gt;=2,2,1))))</f>
        <v/>
      </c>
      <c r="H1258" s="128">
        <f>IF(E1258&gt;=5000,5,IF(E1258&gt;=2000,4,IF(E1258&gt;=800,3,IF(E1258&gt;=300,2,1))))</f>
        <v/>
      </c>
      <c r="I1258" s="126">
        <f>TEXT(F1258,"0")&amp;TEXT(G1258,"0")&amp;TEXT(H1258,"0")</f>
        <v/>
      </c>
      <c r="J1258" s="126">
        <f>IFERROR(XLOOKUP(I1258,'Segment Map'!A:A,'Segment Map'!B:B,"Need Attention"),"Need Attention")</f>
        <v/>
      </c>
      <c r="K1258" s="126">
        <f>IF(E1258&gt;=5000,"🏆 Platinum",IF(E1258&gt;=2000,"🥇 Gold",IF(E1258&gt;=800,"🥈 Silver","🥉 Bronze")))</f>
        <v/>
      </c>
      <c r="L1258" s="129" t="n">
        <v>40870</v>
      </c>
    </row>
    <row r="1259">
      <c r="A1259" s="122" t="n">
        <v>14050</v>
      </c>
      <c r="B1259" s="122" t="inlineStr">
        <is>
          <t>United Kingdom</t>
        </is>
      </c>
      <c r="C1259" s="122" t="n">
        <v>32</v>
      </c>
      <c r="D1259" s="122" t="n">
        <v>2</v>
      </c>
      <c r="E1259" s="123" t="n">
        <v>746.36</v>
      </c>
      <c r="F1259" s="124">
        <f>IF(C1259&lt;=30,5,IF(C1259&lt;=60,4,IF(C1259&lt;=120,3,IF(C1259&lt;=200,2,1))))</f>
        <v/>
      </c>
      <c r="G1259" s="124">
        <f>IF(D1259&gt;=20,5,IF(D1259&gt;=10,4,IF(D1259&gt;=5,3,IF(D1259&gt;=2,2,1))))</f>
        <v/>
      </c>
      <c r="H1259" s="124">
        <f>IF(E1259&gt;=5000,5,IF(E1259&gt;=2000,4,IF(E1259&gt;=800,3,IF(E1259&gt;=300,2,1))))</f>
        <v/>
      </c>
      <c r="I1259" s="122">
        <f>TEXT(F1259,"0")&amp;TEXT(G1259,"0")&amp;TEXT(H1259,"0")</f>
        <v/>
      </c>
      <c r="J1259" s="122">
        <f>IFERROR(XLOOKUP(I1259,'Segment Map'!A:A,'Segment Map'!B:B,"Need Attention"),"Need Attention")</f>
        <v/>
      </c>
      <c r="K1259" s="122">
        <f>IF(E1259&gt;=5000,"🏆 Platinum",IF(E1259&gt;=2000,"🥇 Gold",IF(E1259&gt;=800,"🥈 Silver","🥉 Bronze")))</f>
        <v/>
      </c>
      <c r="L1259" s="125" t="n">
        <v>40855</v>
      </c>
    </row>
    <row r="1260">
      <c r="A1260" s="126" t="n">
        <v>14051</v>
      </c>
      <c r="B1260" s="126" t="inlineStr">
        <is>
          <t>United Kingdom</t>
        </is>
      </c>
      <c r="C1260" s="126" t="n">
        <v>1</v>
      </c>
      <c r="D1260" s="126" t="n">
        <v>23</v>
      </c>
      <c r="E1260" s="127" t="n">
        <v>15610.39</v>
      </c>
      <c r="F1260" s="128">
        <f>IF(C1260&lt;=30,5,IF(C1260&lt;=60,4,IF(C1260&lt;=120,3,IF(C1260&lt;=200,2,1))))</f>
        <v/>
      </c>
      <c r="G1260" s="128">
        <f>IF(D1260&gt;=20,5,IF(D1260&gt;=10,4,IF(D1260&gt;=5,3,IF(D1260&gt;=2,2,1))))</f>
        <v/>
      </c>
      <c r="H1260" s="128">
        <f>IF(E1260&gt;=5000,5,IF(E1260&gt;=2000,4,IF(E1260&gt;=800,3,IF(E1260&gt;=300,2,1))))</f>
        <v/>
      </c>
      <c r="I1260" s="126">
        <f>TEXT(F1260,"0")&amp;TEXT(G1260,"0")&amp;TEXT(H1260,"0")</f>
        <v/>
      </c>
      <c r="J1260" s="126">
        <f>IFERROR(XLOOKUP(I1260,'Segment Map'!A:A,'Segment Map'!B:B,"Need Attention"),"Need Attention")</f>
        <v/>
      </c>
      <c r="K1260" s="126">
        <f>IF(E1260&gt;=5000,"🏆 Platinum",IF(E1260&gt;=2000,"🥇 Gold",IF(E1260&gt;=800,"🥈 Silver","🥉 Bronze")))</f>
        <v/>
      </c>
      <c r="L1260" s="129" t="n">
        <v>40886</v>
      </c>
    </row>
    <row r="1261">
      <c r="A1261" s="122" t="n">
        <v>14052</v>
      </c>
      <c r="B1261" s="122" t="inlineStr">
        <is>
          <t>United Kingdom</t>
        </is>
      </c>
      <c r="C1261" s="122" t="n">
        <v>20</v>
      </c>
      <c r="D1261" s="122" t="n">
        <v>1</v>
      </c>
      <c r="E1261" s="123" t="n">
        <v>225.36</v>
      </c>
      <c r="F1261" s="124">
        <f>IF(C1261&lt;=30,5,IF(C1261&lt;=60,4,IF(C1261&lt;=120,3,IF(C1261&lt;=200,2,1))))</f>
        <v/>
      </c>
      <c r="G1261" s="124">
        <f>IF(D1261&gt;=20,5,IF(D1261&gt;=10,4,IF(D1261&gt;=5,3,IF(D1261&gt;=2,2,1))))</f>
        <v/>
      </c>
      <c r="H1261" s="124">
        <f>IF(E1261&gt;=5000,5,IF(E1261&gt;=2000,4,IF(E1261&gt;=800,3,IF(E1261&gt;=300,2,1))))</f>
        <v/>
      </c>
      <c r="I1261" s="122">
        <f>TEXT(F1261,"0")&amp;TEXT(G1261,"0")&amp;TEXT(H1261,"0")</f>
        <v/>
      </c>
      <c r="J1261" s="122">
        <f>IFERROR(XLOOKUP(I1261,'Segment Map'!A:A,'Segment Map'!B:B,"Need Attention"),"Need Attention")</f>
        <v/>
      </c>
      <c r="K1261" s="122">
        <f>IF(E1261&gt;=5000,"🏆 Platinum",IF(E1261&gt;=2000,"🥇 Gold",IF(E1261&gt;=800,"🥈 Silver","🥉 Bronze")))</f>
        <v/>
      </c>
      <c r="L1261" s="125" t="n">
        <v>40867</v>
      </c>
    </row>
    <row r="1262">
      <c r="A1262" s="126" t="n">
        <v>14053</v>
      </c>
      <c r="B1262" s="126" t="inlineStr">
        <is>
          <t>United Kingdom</t>
        </is>
      </c>
      <c r="C1262" s="126" t="n">
        <v>125</v>
      </c>
      <c r="D1262" s="126" t="n">
        <v>2</v>
      </c>
      <c r="E1262" s="127" t="n">
        <v>260.25</v>
      </c>
      <c r="F1262" s="128">
        <f>IF(C1262&lt;=30,5,IF(C1262&lt;=60,4,IF(C1262&lt;=120,3,IF(C1262&lt;=200,2,1))))</f>
        <v/>
      </c>
      <c r="G1262" s="128">
        <f>IF(D1262&gt;=20,5,IF(D1262&gt;=10,4,IF(D1262&gt;=5,3,IF(D1262&gt;=2,2,1))))</f>
        <v/>
      </c>
      <c r="H1262" s="128">
        <f>IF(E1262&gt;=5000,5,IF(E1262&gt;=2000,4,IF(E1262&gt;=800,3,IF(E1262&gt;=300,2,1))))</f>
        <v/>
      </c>
      <c r="I1262" s="126">
        <f>TEXT(F1262,"0")&amp;TEXT(G1262,"0")&amp;TEXT(H1262,"0")</f>
        <v/>
      </c>
      <c r="J1262" s="126">
        <f>IFERROR(XLOOKUP(I1262,'Segment Map'!A:A,'Segment Map'!B:B,"Need Attention"),"Need Attention")</f>
        <v/>
      </c>
      <c r="K1262" s="126">
        <f>IF(E1262&gt;=5000,"🏆 Platinum",IF(E1262&gt;=2000,"🥇 Gold",IF(E1262&gt;=800,"🥈 Silver","🥉 Bronze")))</f>
        <v/>
      </c>
      <c r="L1262" s="129" t="n">
        <v>40762</v>
      </c>
    </row>
    <row r="1263">
      <c r="A1263" s="122" t="n">
        <v>14054</v>
      </c>
      <c r="B1263" s="122" t="inlineStr">
        <is>
          <t>United Kingdom</t>
        </is>
      </c>
      <c r="C1263" s="122" t="n">
        <v>66</v>
      </c>
      <c r="D1263" s="122" t="n">
        <v>1</v>
      </c>
      <c r="E1263" s="123" t="n">
        <v>92.45999999999999</v>
      </c>
      <c r="F1263" s="124">
        <f>IF(C1263&lt;=30,5,IF(C1263&lt;=60,4,IF(C1263&lt;=120,3,IF(C1263&lt;=200,2,1))))</f>
        <v/>
      </c>
      <c r="G1263" s="124">
        <f>IF(D1263&gt;=20,5,IF(D1263&gt;=10,4,IF(D1263&gt;=5,3,IF(D1263&gt;=2,2,1))))</f>
        <v/>
      </c>
      <c r="H1263" s="124">
        <f>IF(E1263&gt;=5000,5,IF(E1263&gt;=2000,4,IF(E1263&gt;=800,3,IF(E1263&gt;=300,2,1))))</f>
        <v/>
      </c>
      <c r="I1263" s="122">
        <f>TEXT(F1263,"0")&amp;TEXT(G1263,"0")&amp;TEXT(H1263,"0")</f>
        <v/>
      </c>
      <c r="J1263" s="122">
        <f>IFERROR(XLOOKUP(I1263,'Segment Map'!A:A,'Segment Map'!B:B,"Need Attention"),"Need Attention")</f>
        <v/>
      </c>
      <c r="K1263" s="122">
        <f>IF(E1263&gt;=5000,"🏆 Platinum",IF(E1263&gt;=2000,"🥇 Gold",IF(E1263&gt;=800,"🥈 Silver","🥉 Bronze")))</f>
        <v/>
      </c>
      <c r="L1263" s="125" t="n">
        <v>40821</v>
      </c>
    </row>
    <row r="1264">
      <c r="A1264" s="126" t="n">
        <v>14055</v>
      </c>
      <c r="B1264" s="126" t="inlineStr">
        <is>
          <t>United Kingdom</t>
        </is>
      </c>
      <c r="C1264" s="126" t="n">
        <v>107</v>
      </c>
      <c r="D1264" s="126" t="n">
        <v>1</v>
      </c>
      <c r="E1264" s="127" t="n">
        <v>725.64</v>
      </c>
      <c r="F1264" s="128">
        <f>IF(C1264&lt;=30,5,IF(C1264&lt;=60,4,IF(C1264&lt;=120,3,IF(C1264&lt;=200,2,1))))</f>
        <v/>
      </c>
      <c r="G1264" s="128">
        <f>IF(D1264&gt;=20,5,IF(D1264&gt;=10,4,IF(D1264&gt;=5,3,IF(D1264&gt;=2,2,1))))</f>
        <v/>
      </c>
      <c r="H1264" s="128">
        <f>IF(E1264&gt;=5000,5,IF(E1264&gt;=2000,4,IF(E1264&gt;=800,3,IF(E1264&gt;=300,2,1))))</f>
        <v/>
      </c>
      <c r="I1264" s="126">
        <f>TEXT(F1264,"0")&amp;TEXT(G1264,"0")&amp;TEXT(H1264,"0")</f>
        <v/>
      </c>
      <c r="J1264" s="126">
        <f>IFERROR(XLOOKUP(I1264,'Segment Map'!A:A,'Segment Map'!B:B,"Need Attention"),"Need Attention")</f>
        <v/>
      </c>
      <c r="K1264" s="126">
        <f>IF(E1264&gt;=5000,"🏆 Platinum",IF(E1264&gt;=2000,"🥇 Gold",IF(E1264&gt;=800,"🥈 Silver","🥉 Bronze")))</f>
        <v/>
      </c>
      <c r="L1264" s="129" t="n">
        <v>40780</v>
      </c>
    </row>
    <row r="1265">
      <c r="A1265" s="122" t="n">
        <v>14056</v>
      </c>
      <c r="B1265" s="122" t="inlineStr">
        <is>
          <t>United Kingdom</t>
        </is>
      </c>
      <c r="C1265" s="122" t="n">
        <v>2</v>
      </c>
      <c r="D1265" s="122" t="n">
        <v>23</v>
      </c>
      <c r="E1265" s="123" t="n">
        <v>8214.65</v>
      </c>
      <c r="F1265" s="124">
        <f>IF(C1265&lt;=30,5,IF(C1265&lt;=60,4,IF(C1265&lt;=120,3,IF(C1265&lt;=200,2,1))))</f>
        <v/>
      </c>
      <c r="G1265" s="124">
        <f>IF(D1265&gt;=20,5,IF(D1265&gt;=10,4,IF(D1265&gt;=5,3,IF(D1265&gt;=2,2,1))))</f>
        <v/>
      </c>
      <c r="H1265" s="124">
        <f>IF(E1265&gt;=5000,5,IF(E1265&gt;=2000,4,IF(E1265&gt;=800,3,IF(E1265&gt;=300,2,1))))</f>
        <v/>
      </c>
      <c r="I1265" s="122">
        <f>TEXT(F1265,"0")&amp;TEXT(G1265,"0")&amp;TEXT(H1265,"0")</f>
        <v/>
      </c>
      <c r="J1265" s="122">
        <f>IFERROR(XLOOKUP(I1265,'Segment Map'!A:A,'Segment Map'!B:B,"Need Attention"),"Need Attention")</f>
        <v/>
      </c>
      <c r="K1265" s="122">
        <f>IF(E1265&gt;=5000,"🏆 Platinum",IF(E1265&gt;=2000,"🥇 Gold",IF(E1265&gt;=800,"🥈 Silver","🥉 Bronze")))</f>
        <v/>
      </c>
      <c r="L1265" s="125" t="n">
        <v>40885</v>
      </c>
    </row>
    <row r="1266">
      <c r="A1266" s="126" t="n">
        <v>14057</v>
      </c>
      <c r="B1266" s="126" t="inlineStr">
        <is>
          <t>United Kingdom</t>
        </is>
      </c>
      <c r="C1266" s="126" t="n">
        <v>24</v>
      </c>
      <c r="D1266" s="126" t="n">
        <v>17</v>
      </c>
      <c r="E1266" s="127" t="n">
        <v>6217.96</v>
      </c>
      <c r="F1266" s="128">
        <f>IF(C1266&lt;=30,5,IF(C1266&lt;=60,4,IF(C1266&lt;=120,3,IF(C1266&lt;=200,2,1))))</f>
        <v/>
      </c>
      <c r="G1266" s="128">
        <f>IF(D1266&gt;=20,5,IF(D1266&gt;=10,4,IF(D1266&gt;=5,3,IF(D1266&gt;=2,2,1))))</f>
        <v/>
      </c>
      <c r="H1266" s="128">
        <f>IF(E1266&gt;=5000,5,IF(E1266&gt;=2000,4,IF(E1266&gt;=800,3,IF(E1266&gt;=300,2,1))))</f>
        <v/>
      </c>
      <c r="I1266" s="126">
        <f>TEXT(F1266,"0")&amp;TEXT(G1266,"0")&amp;TEXT(H1266,"0")</f>
        <v/>
      </c>
      <c r="J1266" s="126">
        <f>IFERROR(XLOOKUP(I1266,'Segment Map'!A:A,'Segment Map'!B:B,"Need Attention"),"Need Attention")</f>
        <v/>
      </c>
      <c r="K1266" s="126">
        <f>IF(E1266&gt;=5000,"🏆 Platinum",IF(E1266&gt;=2000,"🥇 Gold",IF(E1266&gt;=800,"🥈 Silver","🥉 Bronze")))</f>
        <v/>
      </c>
      <c r="L1266" s="129" t="n">
        <v>40863</v>
      </c>
    </row>
    <row r="1267">
      <c r="A1267" s="122" t="n">
        <v>14059</v>
      </c>
      <c r="B1267" s="122" t="inlineStr">
        <is>
          <t>United Kingdom</t>
        </is>
      </c>
      <c r="C1267" s="122" t="n">
        <v>267</v>
      </c>
      <c r="D1267" s="122" t="n">
        <v>1</v>
      </c>
      <c r="E1267" s="123" t="n">
        <v>183.6</v>
      </c>
      <c r="F1267" s="124">
        <f>IF(C1267&lt;=30,5,IF(C1267&lt;=60,4,IF(C1267&lt;=120,3,IF(C1267&lt;=200,2,1))))</f>
        <v/>
      </c>
      <c r="G1267" s="124">
        <f>IF(D1267&gt;=20,5,IF(D1267&gt;=10,4,IF(D1267&gt;=5,3,IF(D1267&gt;=2,2,1))))</f>
        <v/>
      </c>
      <c r="H1267" s="124">
        <f>IF(E1267&gt;=5000,5,IF(E1267&gt;=2000,4,IF(E1267&gt;=800,3,IF(E1267&gt;=300,2,1))))</f>
        <v/>
      </c>
      <c r="I1267" s="122">
        <f>TEXT(F1267,"0")&amp;TEXT(G1267,"0")&amp;TEXT(H1267,"0")</f>
        <v/>
      </c>
      <c r="J1267" s="122">
        <f>IFERROR(XLOOKUP(I1267,'Segment Map'!A:A,'Segment Map'!B:B,"Need Attention"),"Need Attention")</f>
        <v/>
      </c>
      <c r="K1267" s="122">
        <f>IF(E1267&gt;=5000,"🏆 Platinum",IF(E1267&gt;=2000,"🥇 Gold",IF(E1267&gt;=800,"🥈 Silver","🥉 Bronze")))</f>
        <v/>
      </c>
      <c r="L1267" s="125" t="n">
        <v>40620</v>
      </c>
    </row>
    <row r="1268">
      <c r="A1268" s="126" t="n">
        <v>14060</v>
      </c>
      <c r="B1268" s="126" t="inlineStr">
        <is>
          <t>United Kingdom</t>
        </is>
      </c>
      <c r="C1268" s="126" t="n">
        <v>5</v>
      </c>
      <c r="D1268" s="126" t="n">
        <v>19</v>
      </c>
      <c r="E1268" s="127" t="n">
        <v>6140.42</v>
      </c>
      <c r="F1268" s="128">
        <f>IF(C1268&lt;=30,5,IF(C1268&lt;=60,4,IF(C1268&lt;=120,3,IF(C1268&lt;=200,2,1))))</f>
        <v/>
      </c>
      <c r="G1268" s="128">
        <f>IF(D1268&gt;=20,5,IF(D1268&gt;=10,4,IF(D1268&gt;=5,3,IF(D1268&gt;=2,2,1))))</f>
        <v/>
      </c>
      <c r="H1268" s="128">
        <f>IF(E1268&gt;=5000,5,IF(E1268&gt;=2000,4,IF(E1268&gt;=800,3,IF(E1268&gt;=300,2,1))))</f>
        <v/>
      </c>
      <c r="I1268" s="126">
        <f>TEXT(F1268,"0")&amp;TEXT(G1268,"0")&amp;TEXT(H1268,"0")</f>
        <v/>
      </c>
      <c r="J1268" s="126">
        <f>IFERROR(XLOOKUP(I1268,'Segment Map'!A:A,'Segment Map'!B:B,"Need Attention"),"Need Attention")</f>
        <v/>
      </c>
      <c r="K1268" s="126">
        <f>IF(E1268&gt;=5000,"🏆 Platinum",IF(E1268&gt;=2000,"🥇 Gold",IF(E1268&gt;=800,"🥈 Silver","🥉 Bronze")))</f>
        <v/>
      </c>
      <c r="L1268" s="129" t="n">
        <v>40882</v>
      </c>
    </row>
    <row r="1269">
      <c r="A1269" s="122" t="n">
        <v>14062</v>
      </c>
      <c r="B1269" s="122" t="inlineStr">
        <is>
          <t>United Kingdom</t>
        </is>
      </c>
      <c r="C1269" s="122" t="n">
        <v>10</v>
      </c>
      <c r="D1269" s="122" t="n">
        <v>12</v>
      </c>
      <c r="E1269" s="123" t="n">
        <v>10464.85</v>
      </c>
      <c r="F1269" s="124">
        <f>IF(C1269&lt;=30,5,IF(C1269&lt;=60,4,IF(C1269&lt;=120,3,IF(C1269&lt;=200,2,1))))</f>
        <v/>
      </c>
      <c r="G1269" s="124">
        <f>IF(D1269&gt;=20,5,IF(D1269&gt;=10,4,IF(D1269&gt;=5,3,IF(D1269&gt;=2,2,1))))</f>
        <v/>
      </c>
      <c r="H1269" s="124">
        <f>IF(E1269&gt;=5000,5,IF(E1269&gt;=2000,4,IF(E1269&gt;=800,3,IF(E1269&gt;=300,2,1))))</f>
        <v/>
      </c>
      <c r="I1269" s="122">
        <f>TEXT(F1269,"0")&amp;TEXT(G1269,"0")&amp;TEXT(H1269,"0")</f>
        <v/>
      </c>
      <c r="J1269" s="122">
        <f>IFERROR(XLOOKUP(I1269,'Segment Map'!A:A,'Segment Map'!B:B,"Need Attention"),"Need Attention")</f>
        <v/>
      </c>
      <c r="K1269" s="122">
        <f>IF(E1269&gt;=5000,"🏆 Platinum",IF(E1269&gt;=2000,"🥇 Gold",IF(E1269&gt;=800,"🥈 Silver","🥉 Bronze")))</f>
        <v/>
      </c>
      <c r="L1269" s="125" t="n">
        <v>40877</v>
      </c>
    </row>
    <row r="1270">
      <c r="A1270" s="126" t="n">
        <v>14064</v>
      </c>
      <c r="B1270" s="126" t="inlineStr">
        <is>
          <t>United Kingdom</t>
        </is>
      </c>
      <c r="C1270" s="126" t="n">
        <v>30</v>
      </c>
      <c r="D1270" s="126" t="n">
        <v>5</v>
      </c>
      <c r="E1270" s="127" t="n">
        <v>1353.74</v>
      </c>
      <c r="F1270" s="128">
        <f>IF(C1270&lt;=30,5,IF(C1270&lt;=60,4,IF(C1270&lt;=120,3,IF(C1270&lt;=200,2,1))))</f>
        <v/>
      </c>
      <c r="G1270" s="128">
        <f>IF(D1270&gt;=20,5,IF(D1270&gt;=10,4,IF(D1270&gt;=5,3,IF(D1270&gt;=2,2,1))))</f>
        <v/>
      </c>
      <c r="H1270" s="128">
        <f>IF(E1270&gt;=5000,5,IF(E1270&gt;=2000,4,IF(E1270&gt;=800,3,IF(E1270&gt;=300,2,1))))</f>
        <v/>
      </c>
      <c r="I1270" s="126">
        <f>TEXT(F1270,"0")&amp;TEXT(G1270,"0")&amp;TEXT(H1270,"0")</f>
        <v/>
      </c>
      <c r="J1270" s="126">
        <f>IFERROR(XLOOKUP(I1270,'Segment Map'!A:A,'Segment Map'!B:B,"Need Attention"),"Need Attention")</f>
        <v/>
      </c>
      <c r="K1270" s="126">
        <f>IF(E1270&gt;=5000,"🏆 Platinum",IF(E1270&gt;=2000,"🥇 Gold",IF(E1270&gt;=800,"🥈 Silver","🥉 Bronze")))</f>
        <v/>
      </c>
      <c r="L1270" s="129" t="n">
        <v>40857</v>
      </c>
    </row>
    <row r="1271">
      <c r="A1271" s="122" t="n">
        <v>14066</v>
      </c>
      <c r="B1271" s="122" t="inlineStr">
        <is>
          <t>United Kingdom</t>
        </is>
      </c>
      <c r="C1271" s="122" t="n">
        <v>267</v>
      </c>
      <c r="D1271" s="122" t="n">
        <v>1</v>
      </c>
      <c r="E1271" s="123" t="n">
        <v>152.55</v>
      </c>
      <c r="F1271" s="124">
        <f>IF(C1271&lt;=30,5,IF(C1271&lt;=60,4,IF(C1271&lt;=120,3,IF(C1271&lt;=200,2,1))))</f>
        <v/>
      </c>
      <c r="G1271" s="124">
        <f>IF(D1271&gt;=20,5,IF(D1271&gt;=10,4,IF(D1271&gt;=5,3,IF(D1271&gt;=2,2,1))))</f>
        <v/>
      </c>
      <c r="H1271" s="124">
        <f>IF(E1271&gt;=5000,5,IF(E1271&gt;=2000,4,IF(E1271&gt;=800,3,IF(E1271&gt;=300,2,1))))</f>
        <v/>
      </c>
      <c r="I1271" s="122">
        <f>TEXT(F1271,"0")&amp;TEXT(G1271,"0")&amp;TEXT(H1271,"0")</f>
        <v/>
      </c>
      <c r="J1271" s="122">
        <f>IFERROR(XLOOKUP(I1271,'Segment Map'!A:A,'Segment Map'!B:B,"Need Attention"),"Need Attention")</f>
        <v/>
      </c>
      <c r="K1271" s="122">
        <f>IF(E1271&gt;=5000,"🏆 Platinum",IF(E1271&gt;=2000,"🥇 Gold",IF(E1271&gt;=800,"🥈 Silver","🥉 Bronze")))</f>
        <v/>
      </c>
      <c r="L1271" s="125" t="n">
        <v>40620</v>
      </c>
    </row>
    <row r="1272">
      <c r="A1272" s="126" t="n">
        <v>14067</v>
      </c>
      <c r="B1272" s="126" t="inlineStr">
        <is>
          <t>United Kingdom</t>
        </is>
      </c>
      <c r="C1272" s="126" t="n">
        <v>64</v>
      </c>
      <c r="D1272" s="126" t="n">
        <v>2</v>
      </c>
      <c r="E1272" s="127" t="n">
        <v>374.7</v>
      </c>
      <c r="F1272" s="128">
        <f>IF(C1272&lt;=30,5,IF(C1272&lt;=60,4,IF(C1272&lt;=120,3,IF(C1272&lt;=200,2,1))))</f>
        <v/>
      </c>
      <c r="G1272" s="128">
        <f>IF(D1272&gt;=20,5,IF(D1272&gt;=10,4,IF(D1272&gt;=5,3,IF(D1272&gt;=2,2,1))))</f>
        <v/>
      </c>
      <c r="H1272" s="128">
        <f>IF(E1272&gt;=5000,5,IF(E1272&gt;=2000,4,IF(E1272&gt;=800,3,IF(E1272&gt;=300,2,1))))</f>
        <v/>
      </c>
      <c r="I1272" s="126">
        <f>TEXT(F1272,"0")&amp;TEXT(G1272,"0")&amp;TEXT(H1272,"0")</f>
        <v/>
      </c>
      <c r="J1272" s="126">
        <f>IFERROR(XLOOKUP(I1272,'Segment Map'!A:A,'Segment Map'!B:B,"Need Attention"),"Need Attention")</f>
        <v/>
      </c>
      <c r="K1272" s="126">
        <f>IF(E1272&gt;=5000,"🏆 Platinum",IF(E1272&gt;=2000,"🥇 Gold",IF(E1272&gt;=800,"🥈 Silver","🥉 Bronze")))</f>
        <v/>
      </c>
      <c r="L1272" s="129" t="n">
        <v>40823</v>
      </c>
    </row>
    <row r="1273">
      <c r="A1273" s="122" t="n">
        <v>14068</v>
      </c>
      <c r="B1273" s="122" t="inlineStr">
        <is>
          <t>United Kingdom</t>
        </is>
      </c>
      <c r="C1273" s="122" t="n">
        <v>321</v>
      </c>
      <c r="D1273" s="122" t="n">
        <v>1</v>
      </c>
      <c r="E1273" s="123" t="n">
        <v>265.85</v>
      </c>
      <c r="F1273" s="124">
        <f>IF(C1273&lt;=30,5,IF(C1273&lt;=60,4,IF(C1273&lt;=120,3,IF(C1273&lt;=200,2,1))))</f>
        <v/>
      </c>
      <c r="G1273" s="124">
        <f>IF(D1273&gt;=20,5,IF(D1273&gt;=10,4,IF(D1273&gt;=5,3,IF(D1273&gt;=2,2,1))))</f>
        <v/>
      </c>
      <c r="H1273" s="124">
        <f>IF(E1273&gt;=5000,5,IF(E1273&gt;=2000,4,IF(E1273&gt;=800,3,IF(E1273&gt;=300,2,1))))</f>
        <v/>
      </c>
      <c r="I1273" s="122">
        <f>TEXT(F1273,"0")&amp;TEXT(G1273,"0")&amp;TEXT(H1273,"0")</f>
        <v/>
      </c>
      <c r="J1273" s="122">
        <f>IFERROR(XLOOKUP(I1273,'Segment Map'!A:A,'Segment Map'!B:B,"Need Attention"),"Need Attention")</f>
        <v/>
      </c>
      <c r="K1273" s="122">
        <f>IF(E1273&gt;=5000,"🏆 Platinum",IF(E1273&gt;=2000,"🥇 Gold",IF(E1273&gt;=800,"🥈 Silver","🥉 Bronze")))</f>
        <v/>
      </c>
      <c r="L1273" s="125" t="n">
        <v>40566</v>
      </c>
    </row>
    <row r="1274">
      <c r="A1274" s="126" t="n">
        <v>14071</v>
      </c>
      <c r="B1274" s="126" t="inlineStr">
        <is>
          <t>United Kingdom</t>
        </is>
      </c>
      <c r="C1274" s="126" t="n">
        <v>4</v>
      </c>
      <c r="D1274" s="126" t="n">
        <v>8</v>
      </c>
      <c r="E1274" s="127" t="n">
        <v>1438.82</v>
      </c>
      <c r="F1274" s="128">
        <f>IF(C1274&lt;=30,5,IF(C1274&lt;=60,4,IF(C1274&lt;=120,3,IF(C1274&lt;=200,2,1))))</f>
        <v/>
      </c>
      <c r="G1274" s="128">
        <f>IF(D1274&gt;=20,5,IF(D1274&gt;=10,4,IF(D1274&gt;=5,3,IF(D1274&gt;=2,2,1))))</f>
        <v/>
      </c>
      <c r="H1274" s="128">
        <f>IF(E1274&gt;=5000,5,IF(E1274&gt;=2000,4,IF(E1274&gt;=800,3,IF(E1274&gt;=300,2,1))))</f>
        <v/>
      </c>
      <c r="I1274" s="126">
        <f>TEXT(F1274,"0")&amp;TEXT(G1274,"0")&amp;TEXT(H1274,"0")</f>
        <v/>
      </c>
      <c r="J1274" s="126">
        <f>IFERROR(XLOOKUP(I1274,'Segment Map'!A:A,'Segment Map'!B:B,"Need Attention"),"Need Attention")</f>
        <v/>
      </c>
      <c r="K1274" s="126">
        <f>IF(E1274&gt;=5000,"🏆 Platinum",IF(E1274&gt;=2000,"🥇 Gold",IF(E1274&gt;=800,"🥈 Silver","🥉 Bronze")))</f>
        <v/>
      </c>
      <c r="L1274" s="129" t="n">
        <v>40883</v>
      </c>
    </row>
    <row r="1275">
      <c r="A1275" s="122" t="n">
        <v>14073</v>
      </c>
      <c r="B1275" s="122" t="inlineStr">
        <is>
          <t>United Kingdom</t>
        </is>
      </c>
      <c r="C1275" s="122" t="n">
        <v>33</v>
      </c>
      <c r="D1275" s="122" t="n">
        <v>1</v>
      </c>
      <c r="E1275" s="123" t="n">
        <v>151.04</v>
      </c>
      <c r="F1275" s="124">
        <f>IF(C1275&lt;=30,5,IF(C1275&lt;=60,4,IF(C1275&lt;=120,3,IF(C1275&lt;=200,2,1))))</f>
        <v/>
      </c>
      <c r="G1275" s="124">
        <f>IF(D1275&gt;=20,5,IF(D1275&gt;=10,4,IF(D1275&gt;=5,3,IF(D1275&gt;=2,2,1))))</f>
        <v/>
      </c>
      <c r="H1275" s="124">
        <f>IF(E1275&gt;=5000,5,IF(E1275&gt;=2000,4,IF(E1275&gt;=800,3,IF(E1275&gt;=300,2,1))))</f>
        <v/>
      </c>
      <c r="I1275" s="122">
        <f>TEXT(F1275,"0")&amp;TEXT(G1275,"0")&amp;TEXT(H1275,"0")</f>
        <v/>
      </c>
      <c r="J1275" s="122">
        <f>IFERROR(XLOOKUP(I1275,'Segment Map'!A:A,'Segment Map'!B:B,"Need Attention"),"Need Attention")</f>
        <v/>
      </c>
      <c r="K1275" s="122">
        <f>IF(E1275&gt;=5000,"🏆 Platinum",IF(E1275&gt;=2000,"🥇 Gold",IF(E1275&gt;=800,"🥈 Silver","🥉 Bronze")))</f>
        <v/>
      </c>
      <c r="L1275" s="125" t="n">
        <v>40854</v>
      </c>
    </row>
    <row r="1276">
      <c r="A1276" s="126" t="n">
        <v>14075</v>
      </c>
      <c r="B1276" s="126" t="inlineStr">
        <is>
          <t>United Kingdom</t>
        </is>
      </c>
      <c r="C1276" s="126" t="n">
        <v>5</v>
      </c>
      <c r="D1276" s="126" t="n">
        <v>3</v>
      </c>
      <c r="E1276" s="127" t="n">
        <v>942.26</v>
      </c>
      <c r="F1276" s="128">
        <f>IF(C1276&lt;=30,5,IF(C1276&lt;=60,4,IF(C1276&lt;=120,3,IF(C1276&lt;=200,2,1))))</f>
        <v/>
      </c>
      <c r="G1276" s="128">
        <f>IF(D1276&gt;=20,5,IF(D1276&gt;=10,4,IF(D1276&gt;=5,3,IF(D1276&gt;=2,2,1))))</f>
        <v/>
      </c>
      <c r="H1276" s="128">
        <f>IF(E1276&gt;=5000,5,IF(E1276&gt;=2000,4,IF(E1276&gt;=800,3,IF(E1276&gt;=300,2,1))))</f>
        <v/>
      </c>
      <c r="I1276" s="126">
        <f>TEXT(F1276,"0")&amp;TEXT(G1276,"0")&amp;TEXT(H1276,"0")</f>
        <v/>
      </c>
      <c r="J1276" s="126">
        <f>IFERROR(XLOOKUP(I1276,'Segment Map'!A:A,'Segment Map'!B:B,"Need Attention"),"Need Attention")</f>
        <v/>
      </c>
      <c r="K1276" s="126">
        <f>IF(E1276&gt;=5000,"🏆 Platinum",IF(E1276&gt;=2000,"🥇 Gold",IF(E1276&gt;=800,"🥈 Silver","🥉 Bronze")))</f>
        <v/>
      </c>
      <c r="L1276" s="129" t="n">
        <v>40882</v>
      </c>
    </row>
    <row r="1277">
      <c r="A1277" s="122" t="n">
        <v>14076</v>
      </c>
      <c r="B1277" s="122" t="inlineStr">
        <is>
          <t>United Kingdom</t>
        </is>
      </c>
      <c r="C1277" s="122" t="n">
        <v>130</v>
      </c>
      <c r="D1277" s="122" t="n">
        <v>1</v>
      </c>
      <c r="E1277" s="123" t="n">
        <v>122.47</v>
      </c>
      <c r="F1277" s="124">
        <f>IF(C1277&lt;=30,5,IF(C1277&lt;=60,4,IF(C1277&lt;=120,3,IF(C1277&lt;=200,2,1))))</f>
        <v/>
      </c>
      <c r="G1277" s="124">
        <f>IF(D1277&gt;=20,5,IF(D1277&gt;=10,4,IF(D1277&gt;=5,3,IF(D1277&gt;=2,2,1))))</f>
        <v/>
      </c>
      <c r="H1277" s="124">
        <f>IF(E1277&gt;=5000,5,IF(E1277&gt;=2000,4,IF(E1277&gt;=800,3,IF(E1277&gt;=300,2,1))))</f>
        <v/>
      </c>
      <c r="I1277" s="122">
        <f>TEXT(F1277,"0")&amp;TEXT(G1277,"0")&amp;TEXT(H1277,"0")</f>
        <v/>
      </c>
      <c r="J1277" s="122">
        <f>IFERROR(XLOOKUP(I1277,'Segment Map'!A:A,'Segment Map'!B:B,"Need Attention"),"Need Attention")</f>
        <v/>
      </c>
      <c r="K1277" s="122">
        <f>IF(E1277&gt;=5000,"🏆 Platinum",IF(E1277&gt;=2000,"🥇 Gold",IF(E1277&gt;=800,"🥈 Silver","🥉 Bronze")))</f>
        <v/>
      </c>
      <c r="L1277" s="125" t="n">
        <v>40757</v>
      </c>
    </row>
    <row r="1278">
      <c r="A1278" s="126" t="n">
        <v>14077</v>
      </c>
      <c r="B1278" s="126" t="inlineStr">
        <is>
          <t>United Kingdom</t>
        </is>
      </c>
      <c r="C1278" s="126" t="n">
        <v>41</v>
      </c>
      <c r="D1278" s="126" t="n">
        <v>5</v>
      </c>
      <c r="E1278" s="127" t="n">
        <v>499.42</v>
      </c>
      <c r="F1278" s="128">
        <f>IF(C1278&lt;=30,5,IF(C1278&lt;=60,4,IF(C1278&lt;=120,3,IF(C1278&lt;=200,2,1))))</f>
        <v/>
      </c>
      <c r="G1278" s="128">
        <f>IF(D1278&gt;=20,5,IF(D1278&gt;=10,4,IF(D1278&gt;=5,3,IF(D1278&gt;=2,2,1))))</f>
        <v/>
      </c>
      <c r="H1278" s="128">
        <f>IF(E1278&gt;=5000,5,IF(E1278&gt;=2000,4,IF(E1278&gt;=800,3,IF(E1278&gt;=300,2,1))))</f>
        <v/>
      </c>
      <c r="I1278" s="126">
        <f>TEXT(F1278,"0")&amp;TEXT(G1278,"0")&amp;TEXT(H1278,"0")</f>
        <v/>
      </c>
      <c r="J1278" s="126">
        <f>IFERROR(XLOOKUP(I1278,'Segment Map'!A:A,'Segment Map'!B:B,"Need Attention"),"Need Attention")</f>
        <v/>
      </c>
      <c r="K1278" s="126">
        <f>IF(E1278&gt;=5000,"🏆 Platinum",IF(E1278&gt;=2000,"🥇 Gold",IF(E1278&gt;=800,"🥈 Silver","🥉 Bronze")))</f>
        <v/>
      </c>
      <c r="L1278" s="129" t="n">
        <v>40846</v>
      </c>
    </row>
    <row r="1279">
      <c r="A1279" s="122" t="n">
        <v>14078</v>
      </c>
      <c r="B1279" s="122" t="inlineStr">
        <is>
          <t>United Kingdom</t>
        </is>
      </c>
      <c r="C1279" s="122" t="n">
        <v>102</v>
      </c>
      <c r="D1279" s="122" t="n">
        <v>6</v>
      </c>
      <c r="E1279" s="123" t="n">
        <v>1049.37</v>
      </c>
      <c r="F1279" s="124">
        <f>IF(C1279&lt;=30,5,IF(C1279&lt;=60,4,IF(C1279&lt;=120,3,IF(C1279&lt;=200,2,1))))</f>
        <v/>
      </c>
      <c r="G1279" s="124">
        <f>IF(D1279&gt;=20,5,IF(D1279&gt;=10,4,IF(D1279&gt;=5,3,IF(D1279&gt;=2,2,1))))</f>
        <v/>
      </c>
      <c r="H1279" s="124">
        <f>IF(E1279&gt;=5000,5,IF(E1279&gt;=2000,4,IF(E1279&gt;=800,3,IF(E1279&gt;=300,2,1))))</f>
        <v/>
      </c>
      <c r="I1279" s="122">
        <f>TEXT(F1279,"0")&amp;TEXT(G1279,"0")&amp;TEXT(H1279,"0")</f>
        <v/>
      </c>
      <c r="J1279" s="122">
        <f>IFERROR(XLOOKUP(I1279,'Segment Map'!A:A,'Segment Map'!B:B,"Need Attention"),"Need Attention")</f>
        <v/>
      </c>
      <c r="K1279" s="122">
        <f>IF(E1279&gt;=5000,"🏆 Platinum",IF(E1279&gt;=2000,"🥇 Gold",IF(E1279&gt;=800,"🥈 Silver","🥉 Bronze")))</f>
        <v/>
      </c>
      <c r="L1279" s="125" t="n">
        <v>40785</v>
      </c>
    </row>
    <row r="1280">
      <c r="A1280" s="126" t="n">
        <v>14079</v>
      </c>
      <c r="B1280" s="126" t="inlineStr">
        <is>
          <t>United Kingdom</t>
        </is>
      </c>
      <c r="C1280" s="126" t="n">
        <v>125</v>
      </c>
      <c r="D1280" s="126" t="n">
        <v>1</v>
      </c>
      <c r="E1280" s="127" t="n">
        <v>375.1</v>
      </c>
      <c r="F1280" s="128">
        <f>IF(C1280&lt;=30,5,IF(C1280&lt;=60,4,IF(C1280&lt;=120,3,IF(C1280&lt;=200,2,1))))</f>
        <v/>
      </c>
      <c r="G1280" s="128">
        <f>IF(D1280&gt;=20,5,IF(D1280&gt;=10,4,IF(D1280&gt;=5,3,IF(D1280&gt;=2,2,1))))</f>
        <v/>
      </c>
      <c r="H1280" s="128">
        <f>IF(E1280&gt;=5000,5,IF(E1280&gt;=2000,4,IF(E1280&gt;=800,3,IF(E1280&gt;=300,2,1))))</f>
        <v/>
      </c>
      <c r="I1280" s="126">
        <f>TEXT(F1280,"0")&amp;TEXT(G1280,"0")&amp;TEXT(H1280,"0")</f>
        <v/>
      </c>
      <c r="J1280" s="126">
        <f>IFERROR(XLOOKUP(I1280,'Segment Map'!A:A,'Segment Map'!B:B,"Need Attention"),"Need Attention")</f>
        <v/>
      </c>
      <c r="K1280" s="126">
        <f>IF(E1280&gt;=5000,"🏆 Platinum",IF(E1280&gt;=2000,"🥇 Gold",IF(E1280&gt;=800,"🥈 Silver","🥉 Bronze")))</f>
        <v/>
      </c>
      <c r="L1280" s="129" t="n">
        <v>40762</v>
      </c>
    </row>
    <row r="1281">
      <c r="A1281" s="122" t="n">
        <v>14080</v>
      </c>
      <c r="B1281" s="122" t="inlineStr">
        <is>
          <t>United Kingdom</t>
        </is>
      </c>
      <c r="C1281" s="122" t="n">
        <v>33</v>
      </c>
      <c r="D1281" s="122" t="n">
        <v>1</v>
      </c>
      <c r="E1281" s="123" t="n">
        <v>45.6</v>
      </c>
      <c r="F1281" s="124">
        <f>IF(C1281&lt;=30,5,IF(C1281&lt;=60,4,IF(C1281&lt;=120,3,IF(C1281&lt;=200,2,1))))</f>
        <v/>
      </c>
      <c r="G1281" s="124">
        <f>IF(D1281&gt;=20,5,IF(D1281&gt;=10,4,IF(D1281&gt;=5,3,IF(D1281&gt;=2,2,1))))</f>
        <v/>
      </c>
      <c r="H1281" s="124">
        <f>IF(E1281&gt;=5000,5,IF(E1281&gt;=2000,4,IF(E1281&gt;=800,3,IF(E1281&gt;=300,2,1))))</f>
        <v/>
      </c>
      <c r="I1281" s="122">
        <f>TEXT(F1281,"0")&amp;TEXT(G1281,"0")&amp;TEXT(H1281,"0")</f>
        <v/>
      </c>
      <c r="J1281" s="122">
        <f>IFERROR(XLOOKUP(I1281,'Segment Map'!A:A,'Segment Map'!B:B,"Need Attention"),"Need Attention")</f>
        <v/>
      </c>
      <c r="K1281" s="122">
        <f>IF(E1281&gt;=5000,"🏆 Platinum",IF(E1281&gt;=2000,"🥇 Gold",IF(E1281&gt;=800,"🥈 Silver","🥉 Bronze")))</f>
        <v/>
      </c>
      <c r="L1281" s="125" t="n">
        <v>40854</v>
      </c>
    </row>
    <row r="1282">
      <c r="A1282" s="126" t="n">
        <v>14081</v>
      </c>
      <c r="B1282" s="126" t="inlineStr">
        <is>
          <t>United Kingdom</t>
        </is>
      </c>
      <c r="C1282" s="126" t="n">
        <v>303</v>
      </c>
      <c r="D1282" s="126" t="n">
        <v>2</v>
      </c>
      <c r="E1282" s="127" t="n">
        <v>934.52</v>
      </c>
      <c r="F1282" s="128">
        <f>IF(C1282&lt;=30,5,IF(C1282&lt;=60,4,IF(C1282&lt;=120,3,IF(C1282&lt;=200,2,1))))</f>
        <v/>
      </c>
      <c r="G1282" s="128">
        <f>IF(D1282&gt;=20,5,IF(D1282&gt;=10,4,IF(D1282&gt;=5,3,IF(D1282&gt;=2,2,1))))</f>
        <v/>
      </c>
      <c r="H1282" s="128">
        <f>IF(E1282&gt;=5000,5,IF(E1282&gt;=2000,4,IF(E1282&gt;=800,3,IF(E1282&gt;=300,2,1))))</f>
        <v/>
      </c>
      <c r="I1282" s="126">
        <f>TEXT(F1282,"0")&amp;TEXT(G1282,"0")&amp;TEXT(H1282,"0")</f>
        <v/>
      </c>
      <c r="J1282" s="126">
        <f>IFERROR(XLOOKUP(I1282,'Segment Map'!A:A,'Segment Map'!B:B,"Need Attention"),"Need Attention")</f>
        <v/>
      </c>
      <c r="K1282" s="126">
        <f>IF(E1282&gt;=5000,"🏆 Platinum",IF(E1282&gt;=2000,"🥇 Gold",IF(E1282&gt;=800,"🥈 Silver","🥉 Bronze")))</f>
        <v/>
      </c>
      <c r="L1282" s="129" t="n">
        <v>40584</v>
      </c>
    </row>
    <row r="1283">
      <c r="A1283" s="122" t="n">
        <v>14082</v>
      </c>
      <c r="B1283" s="122" t="inlineStr">
        <is>
          <t>United Kingdom</t>
        </is>
      </c>
      <c r="C1283" s="122" t="n">
        <v>365</v>
      </c>
      <c r="D1283" s="122" t="n">
        <v>1</v>
      </c>
      <c r="E1283" s="123" t="n">
        <v>182.25</v>
      </c>
      <c r="F1283" s="124">
        <f>IF(C1283&lt;=30,5,IF(C1283&lt;=60,4,IF(C1283&lt;=120,3,IF(C1283&lt;=200,2,1))))</f>
        <v/>
      </c>
      <c r="G1283" s="124">
        <f>IF(D1283&gt;=20,5,IF(D1283&gt;=10,4,IF(D1283&gt;=5,3,IF(D1283&gt;=2,2,1))))</f>
        <v/>
      </c>
      <c r="H1283" s="124">
        <f>IF(E1283&gt;=5000,5,IF(E1283&gt;=2000,4,IF(E1283&gt;=800,3,IF(E1283&gt;=300,2,1))))</f>
        <v/>
      </c>
      <c r="I1283" s="122">
        <f>TEXT(F1283,"0")&amp;TEXT(G1283,"0")&amp;TEXT(H1283,"0")</f>
        <v/>
      </c>
      <c r="J1283" s="122">
        <f>IFERROR(XLOOKUP(I1283,'Segment Map'!A:A,'Segment Map'!B:B,"Need Attention"),"Need Attention")</f>
        <v/>
      </c>
      <c r="K1283" s="122">
        <f>IF(E1283&gt;=5000,"🏆 Platinum",IF(E1283&gt;=2000,"🥇 Gold",IF(E1283&gt;=800,"🥈 Silver","🥉 Bronze")))</f>
        <v/>
      </c>
      <c r="L1283" s="125" t="n">
        <v>40522</v>
      </c>
    </row>
    <row r="1284">
      <c r="A1284" s="126" t="n">
        <v>14083</v>
      </c>
      <c r="B1284" s="126" t="inlineStr">
        <is>
          <t>United Kingdom</t>
        </is>
      </c>
      <c r="C1284" s="126" t="n">
        <v>5</v>
      </c>
      <c r="D1284" s="126" t="n">
        <v>9</v>
      </c>
      <c r="E1284" s="127" t="n">
        <v>1018.43</v>
      </c>
      <c r="F1284" s="128">
        <f>IF(C1284&lt;=30,5,IF(C1284&lt;=60,4,IF(C1284&lt;=120,3,IF(C1284&lt;=200,2,1))))</f>
        <v/>
      </c>
      <c r="G1284" s="128">
        <f>IF(D1284&gt;=20,5,IF(D1284&gt;=10,4,IF(D1284&gt;=5,3,IF(D1284&gt;=2,2,1))))</f>
        <v/>
      </c>
      <c r="H1284" s="128">
        <f>IF(E1284&gt;=5000,5,IF(E1284&gt;=2000,4,IF(E1284&gt;=800,3,IF(E1284&gt;=300,2,1))))</f>
        <v/>
      </c>
      <c r="I1284" s="126">
        <f>TEXT(F1284,"0")&amp;TEXT(G1284,"0")&amp;TEXT(H1284,"0")</f>
        <v/>
      </c>
      <c r="J1284" s="126">
        <f>IFERROR(XLOOKUP(I1284,'Segment Map'!A:A,'Segment Map'!B:B,"Need Attention"),"Need Attention")</f>
        <v/>
      </c>
      <c r="K1284" s="126">
        <f>IF(E1284&gt;=5000,"🏆 Platinum",IF(E1284&gt;=2000,"🥇 Gold",IF(E1284&gt;=800,"🥈 Silver","🥉 Bronze")))</f>
        <v/>
      </c>
      <c r="L1284" s="129" t="n">
        <v>40882</v>
      </c>
    </row>
    <row r="1285">
      <c r="A1285" s="122" t="n">
        <v>14085</v>
      </c>
      <c r="B1285" s="122" t="inlineStr">
        <is>
          <t>United Kingdom</t>
        </is>
      </c>
      <c r="C1285" s="122" t="n">
        <v>3</v>
      </c>
      <c r="D1285" s="122" t="n">
        <v>18</v>
      </c>
      <c r="E1285" s="123" t="n">
        <v>4448.54</v>
      </c>
      <c r="F1285" s="124">
        <f>IF(C1285&lt;=30,5,IF(C1285&lt;=60,4,IF(C1285&lt;=120,3,IF(C1285&lt;=200,2,1))))</f>
        <v/>
      </c>
      <c r="G1285" s="124">
        <f>IF(D1285&gt;=20,5,IF(D1285&gt;=10,4,IF(D1285&gt;=5,3,IF(D1285&gt;=2,2,1))))</f>
        <v/>
      </c>
      <c r="H1285" s="124">
        <f>IF(E1285&gt;=5000,5,IF(E1285&gt;=2000,4,IF(E1285&gt;=800,3,IF(E1285&gt;=300,2,1))))</f>
        <v/>
      </c>
      <c r="I1285" s="122">
        <f>TEXT(F1285,"0")&amp;TEXT(G1285,"0")&amp;TEXT(H1285,"0")</f>
        <v/>
      </c>
      <c r="J1285" s="122">
        <f>IFERROR(XLOOKUP(I1285,'Segment Map'!A:A,'Segment Map'!B:B,"Need Attention"),"Need Attention")</f>
        <v/>
      </c>
      <c r="K1285" s="122">
        <f>IF(E1285&gt;=5000,"🏆 Platinum",IF(E1285&gt;=2000,"🥇 Gold",IF(E1285&gt;=800,"🥈 Silver","🥉 Bronze")))</f>
        <v/>
      </c>
      <c r="L1285" s="125" t="n">
        <v>40884</v>
      </c>
    </row>
    <row r="1286">
      <c r="A1286" s="126" t="n">
        <v>14087</v>
      </c>
      <c r="B1286" s="126" t="inlineStr">
        <is>
          <t>United Kingdom</t>
        </is>
      </c>
      <c r="C1286" s="126" t="n">
        <v>3</v>
      </c>
      <c r="D1286" s="126" t="n">
        <v>1</v>
      </c>
      <c r="E1286" s="127" t="n">
        <v>194.42</v>
      </c>
      <c r="F1286" s="128">
        <f>IF(C1286&lt;=30,5,IF(C1286&lt;=60,4,IF(C1286&lt;=120,3,IF(C1286&lt;=200,2,1))))</f>
        <v/>
      </c>
      <c r="G1286" s="128">
        <f>IF(D1286&gt;=20,5,IF(D1286&gt;=10,4,IF(D1286&gt;=5,3,IF(D1286&gt;=2,2,1))))</f>
        <v/>
      </c>
      <c r="H1286" s="128">
        <f>IF(E1286&gt;=5000,5,IF(E1286&gt;=2000,4,IF(E1286&gt;=800,3,IF(E1286&gt;=300,2,1))))</f>
        <v/>
      </c>
      <c r="I1286" s="126">
        <f>TEXT(F1286,"0")&amp;TEXT(G1286,"0")&amp;TEXT(H1286,"0")</f>
        <v/>
      </c>
      <c r="J1286" s="126">
        <f>IFERROR(XLOOKUP(I1286,'Segment Map'!A:A,'Segment Map'!B:B,"Need Attention"),"Need Attention")</f>
        <v/>
      </c>
      <c r="K1286" s="126">
        <f>IF(E1286&gt;=5000,"🏆 Platinum",IF(E1286&gt;=2000,"🥇 Gold",IF(E1286&gt;=800,"🥈 Silver","🥉 Bronze")))</f>
        <v/>
      </c>
      <c r="L1286" s="129" t="n">
        <v>40884</v>
      </c>
    </row>
    <row r="1287">
      <c r="A1287" s="122" t="n">
        <v>14088</v>
      </c>
      <c r="B1287" s="122" t="inlineStr">
        <is>
          <t>United Kingdom</t>
        </is>
      </c>
      <c r="C1287" s="122" t="n">
        <v>11</v>
      </c>
      <c r="D1287" s="122" t="n">
        <v>13</v>
      </c>
      <c r="E1287" s="123" t="n">
        <v>50491.81</v>
      </c>
      <c r="F1287" s="124">
        <f>IF(C1287&lt;=30,5,IF(C1287&lt;=60,4,IF(C1287&lt;=120,3,IF(C1287&lt;=200,2,1))))</f>
        <v/>
      </c>
      <c r="G1287" s="124">
        <f>IF(D1287&gt;=20,5,IF(D1287&gt;=10,4,IF(D1287&gt;=5,3,IF(D1287&gt;=2,2,1))))</f>
        <v/>
      </c>
      <c r="H1287" s="124">
        <f>IF(E1287&gt;=5000,5,IF(E1287&gt;=2000,4,IF(E1287&gt;=800,3,IF(E1287&gt;=300,2,1))))</f>
        <v/>
      </c>
      <c r="I1287" s="122">
        <f>TEXT(F1287,"0")&amp;TEXT(G1287,"0")&amp;TEXT(H1287,"0")</f>
        <v/>
      </c>
      <c r="J1287" s="122">
        <f>IFERROR(XLOOKUP(I1287,'Segment Map'!A:A,'Segment Map'!B:B,"Need Attention"),"Need Attention")</f>
        <v/>
      </c>
      <c r="K1287" s="122">
        <f>IF(E1287&gt;=5000,"🏆 Platinum",IF(E1287&gt;=2000,"🥇 Gold",IF(E1287&gt;=800,"🥈 Silver","🥉 Bronze")))</f>
        <v/>
      </c>
      <c r="L1287" s="125" t="n">
        <v>40876</v>
      </c>
    </row>
    <row r="1288">
      <c r="A1288" s="126" t="n">
        <v>14089</v>
      </c>
      <c r="B1288" s="126" t="inlineStr">
        <is>
          <t>United Kingdom</t>
        </is>
      </c>
      <c r="C1288" s="126" t="n">
        <v>57</v>
      </c>
      <c r="D1288" s="126" t="n">
        <v>1</v>
      </c>
      <c r="E1288" s="127" t="n">
        <v>161</v>
      </c>
      <c r="F1288" s="128">
        <f>IF(C1288&lt;=30,5,IF(C1288&lt;=60,4,IF(C1288&lt;=120,3,IF(C1288&lt;=200,2,1))))</f>
        <v/>
      </c>
      <c r="G1288" s="128">
        <f>IF(D1288&gt;=20,5,IF(D1288&gt;=10,4,IF(D1288&gt;=5,3,IF(D1288&gt;=2,2,1))))</f>
        <v/>
      </c>
      <c r="H1288" s="128">
        <f>IF(E1288&gt;=5000,5,IF(E1288&gt;=2000,4,IF(E1288&gt;=800,3,IF(E1288&gt;=300,2,1))))</f>
        <v/>
      </c>
      <c r="I1288" s="126">
        <f>TEXT(F1288,"0")&amp;TEXT(G1288,"0")&amp;TEXT(H1288,"0")</f>
        <v/>
      </c>
      <c r="J1288" s="126">
        <f>IFERROR(XLOOKUP(I1288,'Segment Map'!A:A,'Segment Map'!B:B,"Need Attention"),"Need Attention")</f>
        <v/>
      </c>
      <c r="K1288" s="126">
        <f>IF(E1288&gt;=5000,"🏆 Platinum",IF(E1288&gt;=2000,"🥇 Gold",IF(E1288&gt;=800,"🥈 Silver","🥉 Bronze")))</f>
        <v/>
      </c>
      <c r="L1288" s="129" t="n">
        <v>40830</v>
      </c>
    </row>
    <row r="1289">
      <c r="A1289" s="122" t="n">
        <v>14090</v>
      </c>
      <c r="B1289" s="122" t="inlineStr">
        <is>
          <t>United Kingdom</t>
        </is>
      </c>
      <c r="C1289" s="122" t="n">
        <v>325</v>
      </c>
      <c r="D1289" s="122" t="n">
        <v>1</v>
      </c>
      <c r="E1289" s="123" t="n">
        <v>76.31999999999999</v>
      </c>
      <c r="F1289" s="124">
        <f>IF(C1289&lt;=30,5,IF(C1289&lt;=60,4,IF(C1289&lt;=120,3,IF(C1289&lt;=200,2,1))))</f>
        <v/>
      </c>
      <c r="G1289" s="124">
        <f>IF(D1289&gt;=20,5,IF(D1289&gt;=10,4,IF(D1289&gt;=5,3,IF(D1289&gt;=2,2,1))))</f>
        <v/>
      </c>
      <c r="H1289" s="124">
        <f>IF(E1289&gt;=5000,5,IF(E1289&gt;=2000,4,IF(E1289&gt;=800,3,IF(E1289&gt;=300,2,1))))</f>
        <v/>
      </c>
      <c r="I1289" s="122">
        <f>TEXT(F1289,"0")&amp;TEXT(G1289,"0")&amp;TEXT(H1289,"0")</f>
        <v/>
      </c>
      <c r="J1289" s="122">
        <f>IFERROR(XLOOKUP(I1289,'Segment Map'!A:A,'Segment Map'!B:B,"Need Attention"),"Need Attention")</f>
        <v/>
      </c>
      <c r="K1289" s="122">
        <f>IF(E1289&gt;=5000,"🏆 Platinum",IF(E1289&gt;=2000,"🥇 Gold",IF(E1289&gt;=800,"🥈 Silver","🥉 Bronze")))</f>
        <v/>
      </c>
      <c r="L1289" s="125" t="n">
        <v>40562</v>
      </c>
    </row>
    <row r="1290">
      <c r="A1290" s="126" t="n">
        <v>14092</v>
      </c>
      <c r="B1290" s="126" t="inlineStr">
        <is>
          <t>United Kingdom</t>
        </is>
      </c>
      <c r="C1290" s="126" t="n">
        <v>8</v>
      </c>
      <c r="D1290" s="126" t="n">
        <v>14</v>
      </c>
      <c r="E1290" s="127" t="n">
        <v>4076.91</v>
      </c>
      <c r="F1290" s="128">
        <f>IF(C1290&lt;=30,5,IF(C1290&lt;=60,4,IF(C1290&lt;=120,3,IF(C1290&lt;=200,2,1))))</f>
        <v/>
      </c>
      <c r="G1290" s="128">
        <f>IF(D1290&gt;=20,5,IF(D1290&gt;=10,4,IF(D1290&gt;=5,3,IF(D1290&gt;=2,2,1))))</f>
        <v/>
      </c>
      <c r="H1290" s="128">
        <f>IF(E1290&gt;=5000,5,IF(E1290&gt;=2000,4,IF(E1290&gt;=800,3,IF(E1290&gt;=300,2,1))))</f>
        <v/>
      </c>
      <c r="I1290" s="126">
        <f>TEXT(F1290,"0")&amp;TEXT(G1290,"0")&amp;TEXT(H1290,"0")</f>
        <v/>
      </c>
      <c r="J1290" s="126">
        <f>IFERROR(XLOOKUP(I1290,'Segment Map'!A:A,'Segment Map'!B:B,"Need Attention"),"Need Attention")</f>
        <v/>
      </c>
      <c r="K1290" s="126">
        <f>IF(E1290&gt;=5000,"🏆 Platinum",IF(E1290&gt;=2000,"🥇 Gold",IF(E1290&gt;=800,"🥈 Silver","🥉 Bronze")))</f>
        <v/>
      </c>
      <c r="L1290" s="129" t="n">
        <v>40879</v>
      </c>
    </row>
    <row r="1291">
      <c r="A1291" s="122" t="n">
        <v>14093</v>
      </c>
      <c r="B1291" s="122" t="inlineStr">
        <is>
          <t>United Kingdom</t>
        </is>
      </c>
      <c r="C1291" s="122" t="n">
        <v>13</v>
      </c>
      <c r="D1291" s="122" t="n">
        <v>1</v>
      </c>
      <c r="E1291" s="123" t="n">
        <v>442.85</v>
      </c>
      <c r="F1291" s="124">
        <f>IF(C1291&lt;=30,5,IF(C1291&lt;=60,4,IF(C1291&lt;=120,3,IF(C1291&lt;=200,2,1))))</f>
        <v/>
      </c>
      <c r="G1291" s="124">
        <f>IF(D1291&gt;=20,5,IF(D1291&gt;=10,4,IF(D1291&gt;=5,3,IF(D1291&gt;=2,2,1))))</f>
        <v/>
      </c>
      <c r="H1291" s="124">
        <f>IF(E1291&gt;=5000,5,IF(E1291&gt;=2000,4,IF(E1291&gt;=800,3,IF(E1291&gt;=300,2,1))))</f>
        <v/>
      </c>
      <c r="I1291" s="122">
        <f>TEXT(F1291,"0")&amp;TEXT(G1291,"0")&amp;TEXT(H1291,"0")</f>
        <v/>
      </c>
      <c r="J1291" s="122">
        <f>IFERROR(XLOOKUP(I1291,'Segment Map'!A:A,'Segment Map'!B:B,"Need Attention"),"Need Attention")</f>
        <v/>
      </c>
      <c r="K1291" s="122">
        <f>IF(E1291&gt;=5000,"🏆 Platinum",IF(E1291&gt;=2000,"🥇 Gold",IF(E1291&gt;=800,"🥈 Silver","🥉 Bronze")))</f>
        <v/>
      </c>
      <c r="L1291" s="125" t="n">
        <v>40874</v>
      </c>
    </row>
    <row r="1292">
      <c r="A1292" s="126" t="n">
        <v>14096</v>
      </c>
      <c r="B1292" s="126" t="inlineStr">
        <is>
          <t>United Kingdom</t>
        </is>
      </c>
      <c r="C1292" s="126" t="n">
        <v>5</v>
      </c>
      <c r="D1292" s="126" t="n">
        <v>17</v>
      </c>
      <c r="E1292" s="127" t="n">
        <v>65164.79</v>
      </c>
      <c r="F1292" s="128">
        <f>IF(C1292&lt;=30,5,IF(C1292&lt;=60,4,IF(C1292&lt;=120,3,IF(C1292&lt;=200,2,1))))</f>
        <v/>
      </c>
      <c r="G1292" s="128">
        <f>IF(D1292&gt;=20,5,IF(D1292&gt;=10,4,IF(D1292&gt;=5,3,IF(D1292&gt;=2,2,1))))</f>
        <v/>
      </c>
      <c r="H1292" s="128">
        <f>IF(E1292&gt;=5000,5,IF(E1292&gt;=2000,4,IF(E1292&gt;=800,3,IF(E1292&gt;=300,2,1))))</f>
        <v/>
      </c>
      <c r="I1292" s="126">
        <f>TEXT(F1292,"0")&amp;TEXT(G1292,"0")&amp;TEXT(H1292,"0")</f>
        <v/>
      </c>
      <c r="J1292" s="126">
        <f>IFERROR(XLOOKUP(I1292,'Segment Map'!A:A,'Segment Map'!B:B,"Need Attention"),"Need Attention")</f>
        <v/>
      </c>
      <c r="K1292" s="126">
        <f>IF(E1292&gt;=5000,"🏆 Platinum",IF(E1292&gt;=2000,"🥇 Gold",IF(E1292&gt;=800,"🥈 Silver","🥉 Bronze")))</f>
        <v/>
      </c>
      <c r="L1292" s="129" t="n">
        <v>40882</v>
      </c>
    </row>
    <row r="1293">
      <c r="A1293" s="122" t="n">
        <v>14098</v>
      </c>
      <c r="B1293" s="122" t="inlineStr">
        <is>
          <t>United Kingdom</t>
        </is>
      </c>
      <c r="C1293" s="122" t="n">
        <v>37</v>
      </c>
      <c r="D1293" s="122" t="n">
        <v>1</v>
      </c>
      <c r="E1293" s="123" t="n">
        <v>147.35</v>
      </c>
      <c r="F1293" s="124">
        <f>IF(C1293&lt;=30,5,IF(C1293&lt;=60,4,IF(C1293&lt;=120,3,IF(C1293&lt;=200,2,1))))</f>
        <v/>
      </c>
      <c r="G1293" s="124">
        <f>IF(D1293&gt;=20,5,IF(D1293&gt;=10,4,IF(D1293&gt;=5,3,IF(D1293&gt;=2,2,1))))</f>
        <v/>
      </c>
      <c r="H1293" s="124">
        <f>IF(E1293&gt;=5000,5,IF(E1293&gt;=2000,4,IF(E1293&gt;=800,3,IF(E1293&gt;=300,2,1))))</f>
        <v/>
      </c>
      <c r="I1293" s="122">
        <f>TEXT(F1293,"0")&amp;TEXT(G1293,"0")&amp;TEXT(H1293,"0")</f>
        <v/>
      </c>
      <c r="J1293" s="122">
        <f>IFERROR(XLOOKUP(I1293,'Segment Map'!A:A,'Segment Map'!B:B,"Need Attention"),"Need Attention")</f>
        <v/>
      </c>
      <c r="K1293" s="122">
        <f>IF(E1293&gt;=5000,"🏆 Platinum",IF(E1293&gt;=2000,"🥇 Gold",IF(E1293&gt;=800,"🥈 Silver","🥉 Bronze")))</f>
        <v/>
      </c>
      <c r="L1293" s="125" t="n">
        <v>40850</v>
      </c>
    </row>
    <row r="1294">
      <c r="A1294" s="126" t="n">
        <v>14099</v>
      </c>
      <c r="B1294" s="126" t="inlineStr">
        <is>
          <t>United Kingdom</t>
        </is>
      </c>
      <c r="C1294" s="126" t="n">
        <v>17</v>
      </c>
      <c r="D1294" s="126" t="n">
        <v>11</v>
      </c>
      <c r="E1294" s="127" t="n">
        <v>3104.17</v>
      </c>
      <c r="F1294" s="128">
        <f>IF(C1294&lt;=30,5,IF(C1294&lt;=60,4,IF(C1294&lt;=120,3,IF(C1294&lt;=200,2,1))))</f>
        <v/>
      </c>
      <c r="G1294" s="128">
        <f>IF(D1294&gt;=20,5,IF(D1294&gt;=10,4,IF(D1294&gt;=5,3,IF(D1294&gt;=2,2,1))))</f>
        <v/>
      </c>
      <c r="H1294" s="128">
        <f>IF(E1294&gt;=5000,5,IF(E1294&gt;=2000,4,IF(E1294&gt;=800,3,IF(E1294&gt;=300,2,1))))</f>
        <v/>
      </c>
      <c r="I1294" s="126">
        <f>TEXT(F1294,"0")&amp;TEXT(G1294,"0")&amp;TEXT(H1294,"0")</f>
        <v/>
      </c>
      <c r="J1294" s="126">
        <f>IFERROR(XLOOKUP(I1294,'Segment Map'!A:A,'Segment Map'!B:B,"Need Attention"),"Need Attention")</f>
        <v/>
      </c>
      <c r="K1294" s="126">
        <f>IF(E1294&gt;=5000,"🏆 Platinum",IF(E1294&gt;=2000,"🥇 Gold",IF(E1294&gt;=800,"🥈 Silver","🥉 Bronze")))</f>
        <v/>
      </c>
      <c r="L1294" s="129" t="n">
        <v>40870</v>
      </c>
    </row>
    <row r="1295">
      <c r="A1295" s="122" t="n">
        <v>14100</v>
      </c>
      <c r="B1295" s="122" t="inlineStr">
        <is>
          <t>United Kingdom</t>
        </is>
      </c>
      <c r="C1295" s="122" t="n">
        <v>138</v>
      </c>
      <c r="D1295" s="122" t="n">
        <v>1</v>
      </c>
      <c r="E1295" s="123" t="n">
        <v>194.9</v>
      </c>
      <c r="F1295" s="124">
        <f>IF(C1295&lt;=30,5,IF(C1295&lt;=60,4,IF(C1295&lt;=120,3,IF(C1295&lt;=200,2,1))))</f>
        <v/>
      </c>
      <c r="G1295" s="124">
        <f>IF(D1295&gt;=20,5,IF(D1295&gt;=10,4,IF(D1295&gt;=5,3,IF(D1295&gt;=2,2,1))))</f>
        <v/>
      </c>
      <c r="H1295" s="124">
        <f>IF(E1295&gt;=5000,5,IF(E1295&gt;=2000,4,IF(E1295&gt;=800,3,IF(E1295&gt;=300,2,1))))</f>
        <v/>
      </c>
      <c r="I1295" s="122">
        <f>TEXT(F1295,"0")&amp;TEXT(G1295,"0")&amp;TEXT(H1295,"0")</f>
        <v/>
      </c>
      <c r="J1295" s="122">
        <f>IFERROR(XLOOKUP(I1295,'Segment Map'!A:A,'Segment Map'!B:B,"Need Attention"),"Need Attention")</f>
        <v/>
      </c>
      <c r="K1295" s="122">
        <f>IF(E1295&gt;=5000,"🏆 Platinum",IF(E1295&gt;=2000,"🥇 Gold",IF(E1295&gt;=800,"🥈 Silver","🥉 Bronze")))</f>
        <v/>
      </c>
      <c r="L1295" s="125" t="n">
        <v>40749</v>
      </c>
    </row>
    <row r="1296">
      <c r="A1296" s="126" t="n">
        <v>14101</v>
      </c>
      <c r="B1296" s="126" t="inlineStr">
        <is>
          <t>United Kingdom</t>
        </is>
      </c>
      <c r="C1296" s="126" t="n">
        <v>74</v>
      </c>
      <c r="D1296" s="126" t="n">
        <v>6</v>
      </c>
      <c r="E1296" s="127" t="n">
        <v>5976.79</v>
      </c>
      <c r="F1296" s="128">
        <f>IF(C1296&lt;=30,5,IF(C1296&lt;=60,4,IF(C1296&lt;=120,3,IF(C1296&lt;=200,2,1))))</f>
        <v/>
      </c>
      <c r="G1296" s="128">
        <f>IF(D1296&gt;=20,5,IF(D1296&gt;=10,4,IF(D1296&gt;=5,3,IF(D1296&gt;=2,2,1))))</f>
        <v/>
      </c>
      <c r="H1296" s="128">
        <f>IF(E1296&gt;=5000,5,IF(E1296&gt;=2000,4,IF(E1296&gt;=800,3,IF(E1296&gt;=300,2,1))))</f>
        <v/>
      </c>
      <c r="I1296" s="126">
        <f>TEXT(F1296,"0")&amp;TEXT(G1296,"0")&amp;TEXT(H1296,"0")</f>
        <v/>
      </c>
      <c r="J1296" s="126">
        <f>IFERROR(XLOOKUP(I1296,'Segment Map'!A:A,'Segment Map'!B:B,"Need Attention"),"Need Attention")</f>
        <v/>
      </c>
      <c r="K1296" s="126">
        <f>IF(E1296&gt;=5000,"🏆 Platinum",IF(E1296&gt;=2000,"🥇 Gold",IF(E1296&gt;=800,"🥈 Silver","🥉 Bronze")))</f>
        <v/>
      </c>
      <c r="L1296" s="129" t="n">
        <v>40813</v>
      </c>
    </row>
    <row r="1297">
      <c r="A1297" s="122" t="n">
        <v>14102</v>
      </c>
      <c r="B1297" s="122" t="inlineStr">
        <is>
          <t>United Kingdom</t>
        </is>
      </c>
      <c r="C1297" s="122" t="n">
        <v>6</v>
      </c>
      <c r="D1297" s="122" t="n">
        <v>5</v>
      </c>
      <c r="E1297" s="123" t="n">
        <v>1360.28</v>
      </c>
      <c r="F1297" s="124">
        <f>IF(C1297&lt;=30,5,IF(C1297&lt;=60,4,IF(C1297&lt;=120,3,IF(C1297&lt;=200,2,1))))</f>
        <v/>
      </c>
      <c r="G1297" s="124">
        <f>IF(D1297&gt;=20,5,IF(D1297&gt;=10,4,IF(D1297&gt;=5,3,IF(D1297&gt;=2,2,1))))</f>
        <v/>
      </c>
      <c r="H1297" s="124">
        <f>IF(E1297&gt;=5000,5,IF(E1297&gt;=2000,4,IF(E1297&gt;=800,3,IF(E1297&gt;=300,2,1))))</f>
        <v/>
      </c>
      <c r="I1297" s="122">
        <f>TEXT(F1297,"0")&amp;TEXT(G1297,"0")&amp;TEXT(H1297,"0")</f>
        <v/>
      </c>
      <c r="J1297" s="122">
        <f>IFERROR(XLOOKUP(I1297,'Segment Map'!A:A,'Segment Map'!B:B,"Need Attention"),"Need Attention")</f>
        <v/>
      </c>
      <c r="K1297" s="122">
        <f>IF(E1297&gt;=5000,"🏆 Platinum",IF(E1297&gt;=2000,"🥇 Gold",IF(E1297&gt;=800,"🥈 Silver","🥉 Bronze")))</f>
        <v/>
      </c>
      <c r="L1297" s="125" t="n">
        <v>40881</v>
      </c>
    </row>
    <row r="1298">
      <c r="A1298" s="126" t="n">
        <v>14104</v>
      </c>
      <c r="B1298" s="126" t="inlineStr">
        <is>
          <t>United Kingdom</t>
        </is>
      </c>
      <c r="C1298" s="126" t="n">
        <v>155</v>
      </c>
      <c r="D1298" s="126" t="n">
        <v>2</v>
      </c>
      <c r="E1298" s="127" t="n">
        <v>216.21</v>
      </c>
      <c r="F1298" s="128">
        <f>IF(C1298&lt;=30,5,IF(C1298&lt;=60,4,IF(C1298&lt;=120,3,IF(C1298&lt;=200,2,1))))</f>
        <v/>
      </c>
      <c r="G1298" s="128">
        <f>IF(D1298&gt;=20,5,IF(D1298&gt;=10,4,IF(D1298&gt;=5,3,IF(D1298&gt;=2,2,1))))</f>
        <v/>
      </c>
      <c r="H1298" s="128">
        <f>IF(E1298&gt;=5000,5,IF(E1298&gt;=2000,4,IF(E1298&gt;=800,3,IF(E1298&gt;=300,2,1))))</f>
        <v/>
      </c>
      <c r="I1298" s="126">
        <f>TEXT(F1298,"0")&amp;TEXT(G1298,"0")&amp;TEXT(H1298,"0")</f>
        <v/>
      </c>
      <c r="J1298" s="126">
        <f>IFERROR(XLOOKUP(I1298,'Segment Map'!A:A,'Segment Map'!B:B,"Need Attention"),"Need Attention")</f>
        <v/>
      </c>
      <c r="K1298" s="126">
        <f>IF(E1298&gt;=5000,"🏆 Platinum",IF(E1298&gt;=2000,"🥇 Gold",IF(E1298&gt;=800,"🥈 Silver","🥉 Bronze")))</f>
        <v/>
      </c>
      <c r="L1298" s="129" t="n">
        <v>40732</v>
      </c>
    </row>
    <row r="1299">
      <c r="A1299" s="122" t="n">
        <v>14105</v>
      </c>
      <c r="B1299" s="122" t="inlineStr">
        <is>
          <t>United Kingdom</t>
        </is>
      </c>
      <c r="C1299" s="122" t="n">
        <v>240</v>
      </c>
      <c r="D1299" s="122" t="n">
        <v>1</v>
      </c>
      <c r="E1299" s="123" t="n">
        <v>1266.23</v>
      </c>
      <c r="F1299" s="124">
        <f>IF(C1299&lt;=30,5,IF(C1299&lt;=60,4,IF(C1299&lt;=120,3,IF(C1299&lt;=200,2,1))))</f>
        <v/>
      </c>
      <c r="G1299" s="124">
        <f>IF(D1299&gt;=20,5,IF(D1299&gt;=10,4,IF(D1299&gt;=5,3,IF(D1299&gt;=2,2,1))))</f>
        <v/>
      </c>
      <c r="H1299" s="124">
        <f>IF(E1299&gt;=5000,5,IF(E1299&gt;=2000,4,IF(E1299&gt;=800,3,IF(E1299&gt;=300,2,1))))</f>
        <v/>
      </c>
      <c r="I1299" s="122">
        <f>TEXT(F1299,"0")&amp;TEXT(G1299,"0")&amp;TEXT(H1299,"0")</f>
        <v/>
      </c>
      <c r="J1299" s="122">
        <f>IFERROR(XLOOKUP(I1299,'Segment Map'!A:A,'Segment Map'!B:B,"Need Attention"),"Need Attention")</f>
        <v/>
      </c>
      <c r="K1299" s="122">
        <f>IF(E1299&gt;=5000,"🏆 Platinum",IF(E1299&gt;=2000,"🥇 Gold",IF(E1299&gt;=800,"🥈 Silver","🥉 Bronze")))</f>
        <v/>
      </c>
      <c r="L1299" s="125" t="n">
        <v>40647</v>
      </c>
    </row>
    <row r="1300">
      <c r="A1300" s="126" t="n">
        <v>14107</v>
      </c>
      <c r="B1300" s="126" t="inlineStr">
        <is>
          <t>United Kingdom</t>
        </is>
      </c>
      <c r="C1300" s="126" t="n">
        <v>52</v>
      </c>
      <c r="D1300" s="126" t="n">
        <v>7</v>
      </c>
      <c r="E1300" s="127" t="n">
        <v>2703.23</v>
      </c>
      <c r="F1300" s="128">
        <f>IF(C1300&lt;=30,5,IF(C1300&lt;=60,4,IF(C1300&lt;=120,3,IF(C1300&lt;=200,2,1))))</f>
        <v/>
      </c>
      <c r="G1300" s="128">
        <f>IF(D1300&gt;=20,5,IF(D1300&gt;=10,4,IF(D1300&gt;=5,3,IF(D1300&gt;=2,2,1))))</f>
        <v/>
      </c>
      <c r="H1300" s="128">
        <f>IF(E1300&gt;=5000,5,IF(E1300&gt;=2000,4,IF(E1300&gt;=800,3,IF(E1300&gt;=300,2,1))))</f>
        <v/>
      </c>
      <c r="I1300" s="126">
        <f>TEXT(F1300,"0")&amp;TEXT(G1300,"0")&amp;TEXT(H1300,"0")</f>
        <v/>
      </c>
      <c r="J1300" s="126">
        <f>IFERROR(XLOOKUP(I1300,'Segment Map'!A:A,'Segment Map'!B:B,"Need Attention"),"Need Attention")</f>
        <v/>
      </c>
      <c r="K1300" s="126">
        <f>IF(E1300&gt;=5000,"🏆 Platinum",IF(E1300&gt;=2000,"🥇 Gold",IF(E1300&gt;=800,"🥈 Silver","🥉 Bronze")))</f>
        <v/>
      </c>
      <c r="L1300" s="129" t="n">
        <v>40835</v>
      </c>
    </row>
    <row r="1301">
      <c r="A1301" s="122" t="n">
        <v>14108</v>
      </c>
      <c r="B1301" s="122" t="inlineStr">
        <is>
          <t>United Kingdom</t>
        </is>
      </c>
      <c r="C1301" s="122" t="n">
        <v>31</v>
      </c>
      <c r="D1301" s="122" t="n">
        <v>2</v>
      </c>
      <c r="E1301" s="123" t="n">
        <v>597.91</v>
      </c>
      <c r="F1301" s="124">
        <f>IF(C1301&lt;=30,5,IF(C1301&lt;=60,4,IF(C1301&lt;=120,3,IF(C1301&lt;=200,2,1))))</f>
        <v/>
      </c>
      <c r="G1301" s="124">
        <f>IF(D1301&gt;=20,5,IF(D1301&gt;=10,4,IF(D1301&gt;=5,3,IF(D1301&gt;=2,2,1))))</f>
        <v/>
      </c>
      <c r="H1301" s="124">
        <f>IF(E1301&gt;=5000,5,IF(E1301&gt;=2000,4,IF(E1301&gt;=800,3,IF(E1301&gt;=300,2,1))))</f>
        <v/>
      </c>
      <c r="I1301" s="122">
        <f>TEXT(F1301,"0")&amp;TEXT(G1301,"0")&amp;TEXT(H1301,"0")</f>
        <v/>
      </c>
      <c r="J1301" s="122">
        <f>IFERROR(XLOOKUP(I1301,'Segment Map'!A:A,'Segment Map'!B:B,"Need Attention"),"Need Attention")</f>
        <v/>
      </c>
      <c r="K1301" s="122">
        <f>IF(E1301&gt;=5000,"🏆 Platinum",IF(E1301&gt;=2000,"🥇 Gold",IF(E1301&gt;=800,"🥈 Silver","🥉 Bronze")))</f>
        <v/>
      </c>
      <c r="L1301" s="125" t="n">
        <v>40856</v>
      </c>
    </row>
    <row r="1302">
      <c r="A1302" s="126" t="n">
        <v>14109</v>
      </c>
      <c r="B1302" s="126" t="inlineStr">
        <is>
          <t>United Kingdom</t>
        </is>
      </c>
      <c r="C1302" s="126" t="n">
        <v>73</v>
      </c>
      <c r="D1302" s="126" t="n">
        <v>1</v>
      </c>
      <c r="E1302" s="127" t="n">
        <v>144.2</v>
      </c>
      <c r="F1302" s="128">
        <f>IF(C1302&lt;=30,5,IF(C1302&lt;=60,4,IF(C1302&lt;=120,3,IF(C1302&lt;=200,2,1))))</f>
        <v/>
      </c>
      <c r="G1302" s="128">
        <f>IF(D1302&gt;=20,5,IF(D1302&gt;=10,4,IF(D1302&gt;=5,3,IF(D1302&gt;=2,2,1))))</f>
        <v/>
      </c>
      <c r="H1302" s="128">
        <f>IF(E1302&gt;=5000,5,IF(E1302&gt;=2000,4,IF(E1302&gt;=800,3,IF(E1302&gt;=300,2,1))))</f>
        <v/>
      </c>
      <c r="I1302" s="126">
        <f>TEXT(F1302,"0")&amp;TEXT(G1302,"0")&amp;TEXT(H1302,"0")</f>
        <v/>
      </c>
      <c r="J1302" s="126">
        <f>IFERROR(XLOOKUP(I1302,'Segment Map'!A:A,'Segment Map'!B:B,"Need Attention"),"Need Attention")</f>
        <v/>
      </c>
      <c r="K1302" s="126">
        <f>IF(E1302&gt;=5000,"🏆 Platinum",IF(E1302&gt;=2000,"🥇 Gold",IF(E1302&gt;=800,"🥈 Silver","🥉 Bronze")))</f>
        <v/>
      </c>
      <c r="L1302" s="129" t="n">
        <v>40814</v>
      </c>
    </row>
    <row r="1303">
      <c r="A1303" s="122" t="n">
        <v>14110</v>
      </c>
      <c r="B1303" s="122" t="inlineStr">
        <is>
          <t>United Kingdom</t>
        </is>
      </c>
      <c r="C1303" s="122" t="n">
        <v>4</v>
      </c>
      <c r="D1303" s="122" t="n">
        <v>12</v>
      </c>
      <c r="E1303" s="123" t="n">
        <v>5683.15</v>
      </c>
      <c r="F1303" s="124">
        <f>IF(C1303&lt;=30,5,IF(C1303&lt;=60,4,IF(C1303&lt;=120,3,IF(C1303&lt;=200,2,1))))</f>
        <v/>
      </c>
      <c r="G1303" s="124">
        <f>IF(D1303&gt;=20,5,IF(D1303&gt;=10,4,IF(D1303&gt;=5,3,IF(D1303&gt;=2,2,1))))</f>
        <v/>
      </c>
      <c r="H1303" s="124">
        <f>IF(E1303&gt;=5000,5,IF(E1303&gt;=2000,4,IF(E1303&gt;=800,3,IF(E1303&gt;=300,2,1))))</f>
        <v/>
      </c>
      <c r="I1303" s="122">
        <f>TEXT(F1303,"0")&amp;TEXT(G1303,"0")&amp;TEXT(H1303,"0")</f>
        <v/>
      </c>
      <c r="J1303" s="122">
        <f>IFERROR(XLOOKUP(I1303,'Segment Map'!A:A,'Segment Map'!B:B,"Need Attention"),"Need Attention")</f>
        <v/>
      </c>
      <c r="K1303" s="122">
        <f>IF(E1303&gt;=5000,"🏆 Platinum",IF(E1303&gt;=2000,"🥇 Gold",IF(E1303&gt;=800,"🥈 Silver","🥉 Bronze")))</f>
        <v/>
      </c>
      <c r="L1303" s="125" t="n">
        <v>40883</v>
      </c>
    </row>
    <row r="1304">
      <c r="A1304" s="126" t="n">
        <v>14111</v>
      </c>
      <c r="B1304" s="126" t="inlineStr">
        <is>
          <t>United Kingdom</t>
        </is>
      </c>
      <c r="C1304" s="126" t="n">
        <v>15</v>
      </c>
      <c r="D1304" s="126" t="n">
        <v>4</v>
      </c>
      <c r="E1304" s="127" t="n">
        <v>692.85</v>
      </c>
      <c r="F1304" s="128">
        <f>IF(C1304&lt;=30,5,IF(C1304&lt;=60,4,IF(C1304&lt;=120,3,IF(C1304&lt;=200,2,1))))</f>
        <v/>
      </c>
      <c r="G1304" s="128">
        <f>IF(D1304&gt;=20,5,IF(D1304&gt;=10,4,IF(D1304&gt;=5,3,IF(D1304&gt;=2,2,1))))</f>
        <v/>
      </c>
      <c r="H1304" s="128">
        <f>IF(E1304&gt;=5000,5,IF(E1304&gt;=2000,4,IF(E1304&gt;=800,3,IF(E1304&gt;=300,2,1))))</f>
        <v/>
      </c>
      <c r="I1304" s="126">
        <f>TEXT(F1304,"0")&amp;TEXT(G1304,"0")&amp;TEXT(H1304,"0")</f>
        <v/>
      </c>
      <c r="J1304" s="126">
        <f>IFERROR(XLOOKUP(I1304,'Segment Map'!A:A,'Segment Map'!B:B,"Need Attention"),"Need Attention")</f>
        <v/>
      </c>
      <c r="K1304" s="126">
        <f>IF(E1304&gt;=5000,"🏆 Platinum",IF(E1304&gt;=2000,"🥇 Gold",IF(E1304&gt;=800,"🥈 Silver","🥉 Bronze")))</f>
        <v/>
      </c>
      <c r="L1304" s="129" t="n">
        <v>40872</v>
      </c>
    </row>
    <row r="1305">
      <c r="A1305" s="122" t="n">
        <v>14112</v>
      </c>
      <c r="B1305" s="122" t="inlineStr">
        <is>
          <t>United Kingdom</t>
        </is>
      </c>
      <c r="C1305" s="122" t="n">
        <v>23</v>
      </c>
      <c r="D1305" s="122" t="n">
        <v>7</v>
      </c>
      <c r="E1305" s="123" t="n">
        <v>2915.15</v>
      </c>
      <c r="F1305" s="124">
        <f>IF(C1305&lt;=30,5,IF(C1305&lt;=60,4,IF(C1305&lt;=120,3,IF(C1305&lt;=200,2,1))))</f>
        <v/>
      </c>
      <c r="G1305" s="124">
        <f>IF(D1305&gt;=20,5,IF(D1305&gt;=10,4,IF(D1305&gt;=5,3,IF(D1305&gt;=2,2,1))))</f>
        <v/>
      </c>
      <c r="H1305" s="124">
        <f>IF(E1305&gt;=5000,5,IF(E1305&gt;=2000,4,IF(E1305&gt;=800,3,IF(E1305&gt;=300,2,1))))</f>
        <v/>
      </c>
      <c r="I1305" s="122">
        <f>TEXT(F1305,"0")&amp;TEXT(G1305,"0")&amp;TEXT(H1305,"0")</f>
        <v/>
      </c>
      <c r="J1305" s="122">
        <f>IFERROR(XLOOKUP(I1305,'Segment Map'!A:A,'Segment Map'!B:B,"Need Attention"),"Need Attention")</f>
        <v/>
      </c>
      <c r="K1305" s="122">
        <f>IF(E1305&gt;=5000,"🏆 Platinum",IF(E1305&gt;=2000,"🥇 Gold",IF(E1305&gt;=800,"🥈 Silver","🥉 Bronze")))</f>
        <v/>
      </c>
      <c r="L1305" s="125" t="n">
        <v>40864</v>
      </c>
    </row>
    <row r="1306">
      <c r="A1306" s="126" t="n">
        <v>14113</v>
      </c>
      <c r="B1306" s="126" t="inlineStr">
        <is>
          <t>United Kingdom</t>
        </is>
      </c>
      <c r="C1306" s="126" t="n">
        <v>4</v>
      </c>
      <c r="D1306" s="126" t="n">
        <v>4</v>
      </c>
      <c r="E1306" s="127" t="n">
        <v>1840.42</v>
      </c>
      <c r="F1306" s="128">
        <f>IF(C1306&lt;=30,5,IF(C1306&lt;=60,4,IF(C1306&lt;=120,3,IF(C1306&lt;=200,2,1))))</f>
        <v/>
      </c>
      <c r="G1306" s="128">
        <f>IF(D1306&gt;=20,5,IF(D1306&gt;=10,4,IF(D1306&gt;=5,3,IF(D1306&gt;=2,2,1))))</f>
        <v/>
      </c>
      <c r="H1306" s="128">
        <f>IF(E1306&gt;=5000,5,IF(E1306&gt;=2000,4,IF(E1306&gt;=800,3,IF(E1306&gt;=300,2,1))))</f>
        <v/>
      </c>
      <c r="I1306" s="126">
        <f>TEXT(F1306,"0")&amp;TEXT(G1306,"0")&amp;TEXT(H1306,"0")</f>
        <v/>
      </c>
      <c r="J1306" s="126">
        <f>IFERROR(XLOOKUP(I1306,'Segment Map'!A:A,'Segment Map'!B:B,"Need Attention"),"Need Attention")</f>
        <v/>
      </c>
      <c r="K1306" s="126">
        <f>IF(E1306&gt;=5000,"🏆 Platinum",IF(E1306&gt;=2000,"🥇 Gold",IF(E1306&gt;=800,"🥈 Silver","🥉 Bronze")))</f>
        <v/>
      </c>
      <c r="L1306" s="129" t="n">
        <v>40883</v>
      </c>
    </row>
    <row r="1307">
      <c r="A1307" s="122" t="n">
        <v>14114</v>
      </c>
      <c r="B1307" s="122" t="inlineStr">
        <is>
          <t>United Kingdom</t>
        </is>
      </c>
      <c r="C1307" s="122" t="n">
        <v>274</v>
      </c>
      <c r="D1307" s="122" t="n">
        <v>2</v>
      </c>
      <c r="E1307" s="123" t="n">
        <v>386.53</v>
      </c>
      <c r="F1307" s="124">
        <f>IF(C1307&lt;=30,5,IF(C1307&lt;=60,4,IF(C1307&lt;=120,3,IF(C1307&lt;=200,2,1))))</f>
        <v/>
      </c>
      <c r="G1307" s="124">
        <f>IF(D1307&gt;=20,5,IF(D1307&gt;=10,4,IF(D1307&gt;=5,3,IF(D1307&gt;=2,2,1))))</f>
        <v/>
      </c>
      <c r="H1307" s="124">
        <f>IF(E1307&gt;=5000,5,IF(E1307&gt;=2000,4,IF(E1307&gt;=800,3,IF(E1307&gt;=300,2,1))))</f>
        <v/>
      </c>
      <c r="I1307" s="122">
        <f>TEXT(F1307,"0")&amp;TEXT(G1307,"0")&amp;TEXT(H1307,"0")</f>
        <v/>
      </c>
      <c r="J1307" s="122">
        <f>IFERROR(XLOOKUP(I1307,'Segment Map'!A:A,'Segment Map'!B:B,"Need Attention"),"Need Attention")</f>
        <v/>
      </c>
      <c r="K1307" s="122">
        <f>IF(E1307&gt;=5000,"🏆 Platinum",IF(E1307&gt;=2000,"🥇 Gold",IF(E1307&gt;=800,"🥈 Silver","🥉 Bronze")))</f>
        <v/>
      </c>
      <c r="L1307" s="125" t="n">
        <v>40613</v>
      </c>
    </row>
    <row r="1308">
      <c r="A1308" s="126" t="n">
        <v>14116</v>
      </c>
      <c r="B1308" s="126" t="inlineStr">
        <is>
          <t>United Kingdom</t>
        </is>
      </c>
      <c r="C1308" s="126" t="n">
        <v>20</v>
      </c>
      <c r="D1308" s="126" t="n">
        <v>5</v>
      </c>
      <c r="E1308" s="127" t="n">
        <v>1382.74</v>
      </c>
      <c r="F1308" s="128">
        <f>IF(C1308&lt;=30,5,IF(C1308&lt;=60,4,IF(C1308&lt;=120,3,IF(C1308&lt;=200,2,1))))</f>
        <v/>
      </c>
      <c r="G1308" s="128">
        <f>IF(D1308&gt;=20,5,IF(D1308&gt;=10,4,IF(D1308&gt;=5,3,IF(D1308&gt;=2,2,1))))</f>
        <v/>
      </c>
      <c r="H1308" s="128">
        <f>IF(E1308&gt;=5000,5,IF(E1308&gt;=2000,4,IF(E1308&gt;=800,3,IF(E1308&gt;=300,2,1))))</f>
        <v/>
      </c>
      <c r="I1308" s="126">
        <f>TEXT(F1308,"0")&amp;TEXT(G1308,"0")&amp;TEXT(H1308,"0")</f>
        <v/>
      </c>
      <c r="J1308" s="126">
        <f>IFERROR(XLOOKUP(I1308,'Segment Map'!A:A,'Segment Map'!B:B,"Need Attention"),"Need Attention")</f>
        <v/>
      </c>
      <c r="K1308" s="126">
        <f>IF(E1308&gt;=5000,"🏆 Platinum",IF(E1308&gt;=2000,"🥇 Gold",IF(E1308&gt;=800,"🥈 Silver","🥉 Bronze")))</f>
        <v/>
      </c>
      <c r="L1308" s="129" t="n">
        <v>40867</v>
      </c>
    </row>
    <row r="1309">
      <c r="A1309" s="122" t="n">
        <v>14117</v>
      </c>
      <c r="B1309" s="122" t="inlineStr">
        <is>
          <t>United Kingdom</t>
        </is>
      </c>
      <c r="C1309" s="122" t="n">
        <v>144</v>
      </c>
      <c r="D1309" s="122" t="n">
        <v>1</v>
      </c>
      <c r="E1309" s="123" t="n">
        <v>90</v>
      </c>
      <c r="F1309" s="124">
        <f>IF(C1309&lt;=30,5,IF(C1309&lt;=60,4,IF(C1309&lt;=120,3,IF(C1309&lt;=200,2,1))))</f>
        <v/>
      </c>
      <c r="G1309" s="124">
        <f>IF(D1309&gt;=20,5,IF(D1309&gt;=10,4,IF(D1309&gt;=5,3,IF(D1309&gt;=2,2,1))))</f>
        <v/>
      </c>
      <c r="H1309" s="124">
        <f>IF(E1309&gt;=5000,5,IF(E1309&gt;=2000,4,IF(E1309&gt;=800,3,IF(E1309&gt;=300,2,1))))</f>
        <v/>
      </c>
      <c r="I1309" s="122">
        <f>TEXT(F1309,"0")&amp;TEXT(G1309,"0")&amp;TEXT(H1309,"0")</f>
        <v/>
      </c>
      <c r="J1309" s="122">
        <f>IFERROR(XLOOKUP(I1309,'Segment Map'!A:A,'Segment Map'!B:B,"Need Attention"),"Need Attention")</f>
        <v/>
      </c>
      <c r="K1309" s="122">
        <f>IF(E1309&gt;=5000,"🏆 Platinum",IF(E1309&gt;=2000,"🥇 Gold",IF(E1309&gt;=800,"🥈 Silver","🥉 Bronze")))</f>
        <v/>
      </c>
      <c r="L1309" s="125" t="n">
        <v>40743</v>
      </c>
    </row>
    <row r="1310">
      <c r="A1310" s="126" t="n">
        <v>14121</v>
      </c>
      <c r="B1310" s="126" t="inlineStr">
        <is>
          <t>United Kingdom</t>
        </is>
      </c>
      <c r="C1310" s="126" t="n">
        <v>4</v>
      </c>
      <c r="D1310" s="126" t="n">
        <v>4</v>
      </c>
      <c r="E1310" s="127" t="n">
        <v>2780.15</v>
      </c>
      <c r="F1310" s="128">
        <f>IF(C1310&lt;=30,5,IF(C1310&lt;=60,4,IF(C1310&lt;=120,3,IF(C1310&lt;=200,2,1))))</f>
        <v/>
      </c>
      <c r="G1310" s="128">
        <f>IF(D1310&gt;=20,5,IF(D1310&gt;=10,4,IF(D1310&gt;=5,3,IF(D1310&gt;=2,2,1))))</f>
        <v/>
      </c>
      <c r="H1310" s="128">
        <f>IF(E1310&gt;=5000,5,IF(E1310&gt;=2000,4,IF(E1310&gt;=800,3,IF(E1310&gt;=300,2,1))))</f>
        <v/>
      </c>
      <c r="I1310" s="126">
        <f>TEXT(F1310,"0")&amp;TEXT(G1310,"0")&amp;TEXT(H1310,"0")</f>
        <v/>
      </c>
      <c r="J1310" s="126">
        <f>IFERROR(XLOOKUP(I1310,'Segment Map'!A:A,'Segment Map'!B:B,"Need Attention"),"Need Attention")</f>
        <v/>
      </c>
      <c r="K1310" s="126">
        <f>IF(E1310&gt;=5000,"🏆 Platinum",IF(E1310&gt;=2000,"🥇 Gold",IF(E1310&gt;=800,"🥈 Silver","🥉 Bronze")))</f>
        <v/>
      </c>
      <c r="L1310" s="129" t="n">
        <v>40883</v>
      </c>
    </row>
    <row r="1311">
      <c r="A1311" s="122" t="n">
        <v>14124</v>
      </c>
      <c r="B1311" s="122" t="inlineStr">
        <is>
          <t>United Kingdom</t>
        </is>
      </c>
      <c r="C1311" s="122" t="n">
        <v>85</v>
      </c>
      <c r="D1311" s="122" t="n">
        <v>1</v>
      </c>
      <c r="E1311" s="123" t="n">
        <v>419.58</v>
      </c>
      <c r="F1311" s="124">
        <f>IF(C1311&lt;=30,5,IF(C1311&lt;=60,4,IF(C1311&lt;=120,3,IF(C1311&lt;=200,2,1))))</f>
        <v/>
      </c>
      <c r="G1311" s="124">
        <f>IF(D1311&gt;=20,5,IF(D1311&gt;=10,4,IF(D1311&gt;=5,3,IF(D1311&gt;=2,2,1))))</f>
        <v/>
      </c>
      <c r="H1311" s="124">
        <f>IF(E1311&gt;=5000,5,IF(E1311&gt;=2000,4,IF(E1311&gt;=800,3,IF(E1311&gt;=300,2,1))))</f>
        <v/>
      </c>
      <c r="I1311" s="122">
        <f>TEXT(F1311,"0")&amp;TEXT(G1311,"0")&amp;TEXT(H1311,"0")</f>
        <v/>
      </c>
      <c r="J1311" s="122">
        <f>IFERROR(XLOOKUP(I1311,'Segment Map'!A:A,'Segment Map'!B:B,"Need Attention"),"Need Attention")</f>
        <v/>
      </c>
      <c r="K1311" s="122">
        <f>IF(E1311&gt;=5000,"🏆 Platinum",IF(E1311&gt;=2000,"🥇 Gold",IF(E1311&gt;=800,"🥈 Silver","🥉 Bronze")))</f>
        <v/>
      </c>
      <c r="L1311" s="125" t="n">
        <v>40802</v>
      </c>
    </row>
    <row r="1312">
      <c r="A1312" s="126" t="n">
        <v>14125</v>
      </c>
      <c r="B1312" s="126" t="inlineStr">
        <is>
          <t>United Kingdom</t>
        </is>
      </c>
      <c r="C1312" s="126" t="n">
        <v>11</v>
      </c>
      <c r="D1312" s="126" t="n">
        <v>3</v>
      </c>
      <c r="E1312" s="127" t="n">
        <v>2740.43</v>
      </c>
      <c r="F1312" s="128">
        <f>IF(C1312&lt;=30,5,IF(C1312&lt;=60,4,IF(C1312&lt;=120,3,IF(C1312&lt;=200,2,1))))</f>
        <v/>
      </c>
      <c r="G1312" s="128">
        <f>IF(D1312&gt;=20,5,IF(D1312&gt;=10,4,IF(D1312&gt;=5,3,IF(D1312&gt;=2,2,1))))</f>
        <v/>
      </c>
      <c r="H1312" s="128">
        <f>IF(E1312&gt;=5000,5,IF(E1312&gt;=2000,4,IF(E1312&gt;=800,3,IF(E1312&gt;=300,2,1))))</f>
        <v/>
      </c>
      <c r="I1312" s="126">
        <f>TEXT(F1312,"0")&amp;TEXT(G1312,"0")&amp;TEXT(H1312,"0")</f>
        <v/>
      </c>
      <c r="J1312" s="126">
        <f>IFERROR(XLOOKUP(I1312,'Segment Map'!A:A,'Segment Map'!B:B,"Need Attention"),"Need Attention")</f>
        <v/>
      </c>
      <c r="K1312" s="126">
        <f>IF(E1312&gt;=5000,"🏆 Platinum",IF(E1312&gt;=2000,"🥇 Gold",IF(E1312&gt;=800,"🥈 Silver","🥉 Bronze")))</f>
        <v/>
      </c>
      <c r="L1312" s="129" t="n">
        <v>40876</v>
      </c>
    </row>
    <row r="1313">
      <c r="A1313" s="122" t="n">
        <v>14126</v>
      </c>
      <c r="B1313" s="122" t="inlineStr">
        <is>
          <t>United Kingdom</t>
        </is>
      </c>
      <c r="C1313" s="122" t="n">
        <v>8</v>
      </c>
      <c r="D1313" s="122" t="n">
        <v>3</v>
      </c>
      <c r="E1313" s="123" t="n">
        <v>706.13</v>
      </c>
      <c r="F1313" s="124">
        <f>IF(C1313&lt;=30,5,IF(C1313&lt;=60,4,IF(C1313&lt;=120,3,IF(C1313&lt;=200,2,1))))</f>
        <v/>
      </c>
      <c r="G1313" s="124">
        <f>IF(D1313&gt;=20,5,IF(D1313&gt;=10,4,IF(D1313&gt;=5,3,IF(D1313&gt;=2,2,1))))</f>
        <v/>
      </c>
      <c r="H1313" s="124">
        <f>IF(E1313&gt;=5000,5,IF(E1313&gt;=2000,4,IF(E1313&gt;=800,3,IF(E1313&gt;=300,2,1))))</f>
        <v/>
      </c>
      <c r="I1313" s="122">
        <f>TEXT(F1313,"0")&amp;TEXT(G1313,"0")&amp;TEXT(H1313,"0")</f>
        <v/>
      </c>
      <c r="J1313" s="122">
        <f>IFERROR(XLOOKUP(I1313,'Segment Map'!A:A,'Segment Map'!B:B,"Need Attention"),"Need Attention")</f>
        <v/>
      </c>
      <c r="K1313" s="122">
        <f>IF(E1313&gt;=5000,"🏆 Platinum",IF(E1313&gt;=2000,"🥇 Gold",IF(E1313&gt;=800,"🥈 Silver","🥉 Bronze")))</f>
        <v/>
      </c>
      <c r="L1313" s="125" t="n">
        <v>40879</v>
      </c>
    </row>
    <row r="1314">
      <c r="A1314" s="126" t="n">
        <v>14127</v>
      </c>
      <c r="B1314" s="126" t="inlineStr">
        <is>
          <t>United Kingdom</t>
        </is>
      </c>
      <c r="C1314" s="126" t="n">
        <v>123</v>
      </c>
      <c r="D1314" s="126" t="n">
        <v>3</v>
      </c>
      <c r="E1314" s="127" t="n">
        <v>709.71</v>
      </c>
      <c r="F1314" s="128">
        <f>IF(C1314&lt;=30,5,IF(C1314&lt;=60,4,IF(C1314&lt;=120,3,IF(C1314&lt;=200,2,1))))</f>
        <v/>
      </c>
      <c r="G1314" s="128">
        <f>IF(D1314&gt;=20,5,IF(D1314&gt;=10,4,IF(D1314&gt;=5,3,IF(D1314&gt;=2,2,1))))</f>
        <v/>
      </c>
      <c r="H1314" s="128">
        <f>IF(E1314&gt;=5000,5,IF(E1314&gt;=2000,4,IF(E1314&gt;=800,3,IF(E1314&gt;=300,2,1))))</f>
        <v/>
      </c>
      <c r="I1314" s="126">
        <f>TEXT(F1314,"0")&amp;TEXT(G1314,"0")&amp;TEXT(H1314,"0")</f>
        <v/>
      </c>
      <c r="J1314" s="126">
        <f>IFERROR(XLOOKUP(I1314,'Segment Map'!A:A,'Segment Map'!B:B,"Need Attention"),"Need Attention")</f>
        <v/>
      </c>
      <c r="K1314" s="126">
        <f>IF(E1314&gt;=5000,"🏆 Platinum",IF(E1314&gt;=2000,"🥇 Gold",IF(E1314&gt;=800,"🥈 Silver","🥉 Bronze")))</f>
        <v/>
      </c>
      <c r="L1314" s="129" t="n">
        <v>40764</v>
      </c>
    </row>
    <row r="1315">
      <c r="A1315" s="122" t="n">
        <v>14128</v>
      </c>
      <c r="B1315" s="122" t="inlineStr">
        <is>
          <t>United Kingdom</t>
        </is>
      </c>
      <c r="C1315" s="122" t="n">
        <v>61</v>
      </c>
      <c r="D1315" s="122" t="n">
        <v>2</v>
      </c>
      <c r="E1315" s="123" t="n">
        <v>637.5</v>
      </c>
      <c r="F1315" s="124">
        <f>IF(C1315&lt;=30,5,IF(C1315&lt;=60,4,IF(C1315&lt;=120,3,IF(C1315&lt;=200,2,1))))</f>
        <v/>
      </c>
      <c r="G1315" s="124">
        <f>IF(D1315&gt;=20,5,IF(D1315&gt;=10,4,IF(D1315&gt;=5,3,IF(D1315&gt;=2,2,1))))</f>
        <v/>
      </c>
      <c r="H1315" s="124">
        <f>IF(E1315&gt;=5000,5,IF(E1315&gt;=2000,4,IF(E1315&gt;=800,3,IF(E1315&gt;=300,2,1))))</f>
        <v/>
      </c>
      <c r="I1315" s="122">
        <f>TEXT(F1315,"0")&amp;TEXT(G1315,"0")&amp;TEXT(H1315,"0")</f>
        <v/>
      </c>
      <c r="J1315" s="122">
        <f>IFERROR(XLOOKUP(I1315,'Segment Map'!A:A,'Segment Map'!B:B,"Need Attention"),"Need Attention")</f>
        <v/>
      </c>
      <c r="K1315" s="122">
        <f>IF(E1315&gt;=5000,"🏆 Platinum",IF(E1315&gt;=2000,"🥇 Gold",IF(E1315&gt;=800,"🥈 Silver","🥉 Bronze")))</f>
        <v/>
      </c>
      <c r="L1315" s="125" t="n">
        <v>40826</v>
      </c>
    </row>
    <row r="1316">
      <c r="A1316" s="126" t="n">
        <v>14129</v>
      </c>
      <c r="B1316" s="126" t="inlineStr">
        <is>
          <t>United Kingdom</t>
        </is>
      </c>
      <c r="C1316" s="126" t="n">
        <v>2</v>
      </c>
      <c r="D1316" s="126" t="n">
        <v>5</v>
      </c>
      <c r="E1316" s="127" t="n">
        <v>1123.86</v>
      </c>
      <c r="F1316" s="128">
        <f>IF(C1316&lt;=30,5,IF(C1316&lt;=60,4,IF(C1316&lt;=120,3,IF(C1316&lt;=200,2,1))))</f>
        <v/>
      </c>
      <c r="G1316" s="128">
        <f>IF(D1316&gt;=20,5,IF(D1316&gt;=10,4,IF(D1316&gt;=5,3,IF(D1316&gt;=2,2,1))))</f>
        <v/>
      </c>
      <c r="H1316" s="128">
        <f>IF(E1316&gt;=5000,5,IF(E1316&gt;=2000,4,IF(E1316&gt;=800,3,IF(E1316&gt;=300,2,1))))</f>
        <v/>
      </c>
      <c r="I1316" s="126">
        <f>TEXT(F1316,"0")&amp;TEXT(G1316,"0")&amp;TEXT(H1316,"0")</f>
        <v/>
      </c>
      <c r="J1316" s="126">
        <f>IFERROR(XLOOKUP(I1316,'Segment Map'!A:A,'Segment Map'!B:B,"Need Attention"),"Need Attention")</f>
        <v/>
      </c>
      <c r="K1316" s="126">
        <f>IF(E1316&gt;=5000,"🏆 Platinum",IF(E1316&gt;=2000,"🥇 Gold",IF(E1316&gt;=800,"🥈 Silver","🥉 Bronze")))</f>
        <v/>
      </c>
      <c r="L1316" s="129" t="n">
        <v>40885</v>
      </c>
    </row>
    <row r="1317">
      <c r="A1317" s="122" t="n">
        <v>14130</v>
      </c>
      <c r="B1317" s="122" t="inlineStr">
        <is>
          <t>United Kingdom</t>
        </is>
      </c>
      <c r="C1317" s="122" t="n">
        <v>320</v>
      </c>
      <c r="D1317" s="122" t="n">
        <v>1</v>
      </c>
      <c r="E1317" s="123" t="n">
        <v>483.86</v>
      </c>
      <c r="F1317" s="124">
        <f>IF(C1317&lt;=30,5,IF(C1317&lt;=60,4,IF(C1317&lt;=120,3,IF(C1317&lt;=200,2,1))))</f>
        <v/>
      </c>
      <c r="G1317" s="124">
        <f>IF(D1317&gt;=20,5,IF(D1317&gt;=10,4,IF(D1317&gt;=5,3,IF(D1317&gt;=2,2,1))))</f>
        <v/>
      </c>
      <c r="H1317" s="124">
        <f>IF(E1317&gt;=5000,5,IF(E1317&gt;=2000,4,IF(E1317&gt;=800,3,IF(E1317&gt;=300,2,1))))</f>
        <v/>
      </c>
      <c r="I1317" s="122">
        <f>TEXT(F1317,"0")&amp;TEXT(G1317,"0")&amp;TEXT(H1317,"0")</f>
        <v/>
      </c>
      <c r="J1317" s="122">
        <f>IFERROR(XLOOKUP(I1317,'Segment Map'!A:A,'Segment Map'!B:B,"Need Attention"),"Need Attention")</f>
        <v/>
      </c>
      <c r="K1317" s="122">
        <f>IF(E1317&gt;=5000,"🏆 Platinum",IF(E1317&gt;=2000,"🥇 Gold",IF(E1317&gt;=800,"🥈 Silver","🥉 Bronze")))</f>
        <v/>
      </c>
      <c r="L1317" s="125" t="n">
        <v>40567</v>
      </c>
    </row>
    <row r="1318">
      <c r="A1318" s="126" t="n">
        <v>14132</v>
      </c>
      <c r="B1318" s="126" t="inlineStr">
        <is>
          <t>United Kingdom</t>
        </is>
      </c>
      <c r="C1318" s="126" t="n">
        <v>3</v>
      </c>
      <c r="D1318" s="126" t="n">
        <v>11</v>
      </c>
      <c r="E1318" s="127" t="n">
        <v>3586.03</v>
      </c>
      <c r="F1318" s="128">
        <f>IF(C1318&lt;=30,5,IF(C1318&lt;=60,4,IF(C1318&lt;=120,3,IF(C1318&lt;=200,2,1))))</f>
        <v/>
      </c>
      <c r="G1318" s="128">
        <f>IF(D1318&gt;=20,5,IF(D1318&gt;=10,4,IF(D1318&gt;=5,3,IF(D1318&gt;=2,2,1))))</f>
        <v/>
      </c>
      <c r="H1318" s="128">
        <f>IF(E1318&gt;=5000,5,IF(E1318&gt;=2000,4,IF(E1318&gt;=800,3,IF(E1318&gt;=300,2,1))))</f>
        <v/>
      </c>
      <c r="I1318" s="126">
        <f>TEXT(F1318,"0")&amp;TEXT(G1318,"0")&amp;TEXT(H1318,"0")</f>
        <v/>
      </c>
      <c r="J1318" s="126">
        <f>IFERROR(XLOOKUP(I1318,'Segment Map'!A:A,'Segment Map'!B:B,"Need Attention"),"Need Attention")</f>
        <v/>
      </c>
      <c r="K1318" s="126">
        <f>IF(E1318&gt;=5000,"🏆 Platinum",IF(E1318&gt;=2000,"🥇 Gold",IF(E1318&gt;=800,"🥈 Silver","🥉 Bronze")))</f>
        <v/>
      </c>
      <c r="L1318" s="129" t="n">
        <v>40884</v>
      </c>
    </row>
    <row r="1319">
      <c r="A1319" s="122" t="n">
        <v>14133</v>
      </c>
      <c r="B1319" s="122" t="inlineStr">
        <is>
          <t>United Kingdom</t>
        </is>
      </c>
      <c r="C1319" s="122" t="n">
        <v>130</v>
      </c>
      <c r="D1319" s="122" t="n">
        <v>3</v>
      </c>
      <c r="E1319" s="123" t="n">
        <v>605.64</v>
      </c>
      <c r="F1319" s="124">
        <f>IF(C1319&lt;=30,5,IF(C1319&lt;=60,4,IF(C1319&lt;=120,3,IF(C1319&lt;=200,2,1))))</f>
        <v/>
      </c>
      <c r="G1319" s="124">
        <f>IF(D1319&gt;=20,5,IF(D1319&gt;=10,4,IF(D1319&gt;=5,3,IF(D1319&gt;=2,2,1))))</f>
        <v/>
      </c>
      <c r="H1319" s="124">
        <f>IF(E1319&gt;=5000,5,IF(E1319&gt;=2000,4,IF(E1319&gt;=800,3,IF(E1319&gt;=300,2,1))))</f>
        <v/>
      </c>
      <c r="I1319" s="122">
        <f>TEXT(F1319,"0")&amp;TEXT(G1319,"0")&amp;TEXT(H1319,"0")</f>
        <v/>
      </c>
      <c r="J1319" s="122">
        <f>IFERROR(XLOOKUP(I1319,'Segment Map'!A:A,'Segment Map'!B:B,"Need Attention"),"Need Attention")</f>
        <v/>
      </c>
      <c r="K1319" s="122">
        <f>IF(E1319&gt;=5000,"🏆 Platinum",IF(E1319&gt;=2000,"🥇 Gold",IF(E1319&gt;=800,"🥈 Silver","🥉 Bronze")))</f>
        <v/>
      </c>
      <c r="L1319" s="125" t="n">
        <v>40757</v>
      </c>
    </row>
    <row r="1320">
      <c r="A1320" s="126" t="n">
        <v>14135</v>
      </c>
      <c r="B1320" s="126" t="inlineStr">
        <is>
          <t>United Kingdom</t>
        </is>
      </c>
      <c r="C1320" s="126" t="n">
        <v>2</v>
      </c>
      <c r="D1320" s="126" t="n">
        <v>15</v>
      </c>
      <c r="E1320" s="127" t="n">
        <v>4690.31</v>
      </c>
      <c r="F1320" s="128">
        <f>IF(C1320&lt;=30,5,IF(C1320&lt;=60,4,IF(C1320&lt;=120,3,IF(C1320&lt;=200,2,1))))</f>
        <v/>
      </c>
      <c r="G1320" s="128">
        <f>IF(D1320&gt;=20,5,IF(D1320&gt;=10,4,IF(D1320&gt;=5,3,IF(D1320&gt;=2,2,1))))</f>
        <v/>
      </c>
      <c r="H1320" s="128">
        <f>IF(E1320&gt;=5000,5,IF(E1320&gt;=2000,4,IF(E1320&gt;=800,3,IF(E1320&gt;=300,2,1))))</f>
        <v/>
      </c>
      <c r="I1320" s="126">
        <f>TEXT(F1320,"0")&amp;TEXT(G1320,"0")&amp;TEXT(H1320,"0")</f>
        <v/>
      </c>
      <c r="J1320" s="126">
        <f>IFERROR(XLOOKUP(I1320,'Segment Map'!A:A,'Segment Map'!B:B,"Need Attention"),"Need Attention")</f>
        <v/>
      </c>
      <c r="K1320" s="126">
        <f>IF(E1320&gt;=5000,"🏆 Platinum",IF(E1320&gt;=2000,"🥇 Gold",IF(E1320&gt;=800,"🥈 Silver","🥉 Bronze")))</f>
        <v/>
      </c>
      <c r="L1320" s="129" t="n">
        <v>40885</v>
      </c>
    </row>
    <row r="1321">
      <c r="A1321" s="122" t="n">
        <v>14138</v>
      </c>
      <c r="B1321" s="122" t="inlineStr">
        <is>
          <t>United Kingdom</t>
        </is>
      </c>
      <c r="C1321" s="122" t="n">
        <v>2</v>
      </c>
      <c r="D1321" s="122" t="n">
        <v>2</v>
      </c>
      <c r="E1321" s="123" t="n">
        <v>982.38</v>
      </c>
      <c r="F1321" s="124">
        <f>IF(C1321&lt;=30,5,IF(C1321&lt;=60,4,IF(C1321&lt;=120,3,IF(C1321&lt;=200,2,1))))</f>
        <v/>
      </c>
      <c r="G1321" s="124">
        <f>IF(D1321&gt;=20,5,IF(D1321&gt;=10,4,IF(D1321&gt;=5,3,IF(D1321&gt;=2,2,1))))</f>
        <v/>
      </c>
      <c r="H1321" s="124">
        <f>IF(E1321&gt;=5000,5,IF(E1321&gt;=2000,4,IF(E1321&gt;=800,3,IF(E1321&gt;=300,2,1))))</f>
        <v/>
      </c>
      <c r="I1321" s="122">
        <f>TEXT(F1321,"0")&amp;TEXT(G1321,"0")&amp;TEXT(H1321,"0")</f>
        <v/>
      </c>
      <c r="J1321" s="122">
        <f>IFERROR(XLOOKUP(I1321,'Segment Map'!A:A,'Segment Map'!B:B,"Need Attention"),"Need Attention")</f>
        <v/>
      </c>
      <c r="K1321" s="122">
        <f>IF(E1321&gt;=5000,"🏆 Platinum",IF(E1321&gt;=2000,"🥇 Gold",IF(E1321&gt;=800,"🥈 Silver","🥉 Bronze")))</f>
        <v/>
      </c>
      <c r="L1321" s="125" t="n">
        <v>40885</v>
      </c>
    </row>
    <row r="1322">
      <c r="A1322" s="126" t="n">
        <v>14139</v>
      </c>
      <c r="B1322" s="126" t="inlineStr">
        <is>
          <t>United Kingdom</t>
        </is>
      </c>
      <c r="C1322" s="126" t="n">
        <v>47</v>
      </c>
      <c r="D1322" s="126" t="n">
        <v>1</v>
      </c>
      <c r="E1322" s="127" t="n">
        <v>415.82</v>
      </c>
      <c r="F1322" s="128">
        <f>IF(C1322&lt;=30,5,IF(C1322&lt;=60,4,IF(C1322&lt;=120,3,IF(C1322&lt;=200,2,1))))</f>
        <v/>
      </c>
      <c r="G1322" s="128">
        <f>IF(D1322&gt;=20,5,IF(D1322&gt;=10,4,IF(D1322&gt;=5,3,IF(D1322&gt;=2,2,1))))</f>
        <v/>
      </c>
      <c r="H1322" s="128">
        <f>IF(E1322&gt;=5000,5,IF(E1322&gt;=2000,4,IF(E1322&gt;=800,3,IF(E1322&gt;=300,2,1))))</f>
        <v/>
      </c>
      <c r="I1322" s="126">
        <f>TEXT(F1322,"0")&amp;TEXT(G1322,"0")&amp;TEXT(H1322,"0")</f>
        <v/>
      </c>
      <c r="J1322" s="126">
        <f>IFERROR(XLOOKUP(I1322,'Segment Map'!A:A,'Segment Map'!B:B,"Need Attention"),"Need Attention")</f>
        <v/>
      </c>
      <c r="K1322" s="126">
        <f>IF(E1322&gt;=5000,"🏆 Platinum",IF(E1322&gt;=2000,"🥇 Gold",IF(E1322&gt;=800,"🥈 Silver","🥉 Bronze")))</f>
        <v/>
      </c>
      <c r="L1322" s="129" t="n">
        <v>40840</v>
      </c>
    </row>
    <row r="1323">
      <c r="A1323" s="122" t="n">
        <v>14140</v>
      </c>
      <c r="B1323" s="122" t="inlineStr">
        <is>
          <t>United Kingdom</t>
        </is>
      </c>
      <c r="C1323" s="122" t="n">
        <v>4</v>
      </c>
      <c r="D1323" s="122" t="n">
        <v>2</v>
      </c>
      <c r="E1323" s="123" t="n">
        <v>935.05</v>
      </c>
      <c r="F1323" s="124">
        <f>IF(C1323&lt;=30,5,IF(C1323&lt;=60,4,IF(C1323&lt;=120,3,IF(C1323&lt;=200,2,1))))</f>
        <v/>
      </c>
      <c r="G1323" s="124">
        <f>IF(D1323&gt;=20,5,IF(D1323&gt;=10,4,IF(D1323&gt;=5,3,IF(D1323&gt;=2,2,1))))</f>
        <v/>
      </c>
      <c r="H1323" s="124">
        <f>IF(E1323&gt;=5000,5,IF(E1323&gt;=2000,4,IF(E1323&gt;=800,3,IF(E1323&gt;=300,2,1))))</f>
        <v/>
      </c>
      <c r="I1323" s="122">
        <f>TEXT(F1323,"0")&amp;TEXT(G1323,"0")&amp;TEXT(H1323,"0")</f>
        <v/>
      </c>
      <c r="J1323" s="122">
        <f>IFERROR(XLOOKUP(I1323,'Segment Map'!A:A,'Segment Map'!B:B,"Need Attention"),"Need Attention")</f>
        <v/>
      </c>
      <c r="K1323" s="122">
        <f>IF(E1323&gt;=5000,"🏆 Platinum",IF(E1323&gt;=2000,"🥇 Gold",IF(E1323&gt;=800,"🥈 Silver","🥉 Bronze")))</f>
        <v/>
      </c>
      <c r="L1323" s="125" t="n">
        <v>40883</v>
      </c>
    </row>
    <row r="1324">
      <c r="A1324" s="126" t="n">
        <v>14141</v>
      </c>
      <c r="B1324" s="126" t="inlineStr">
        <is>
          <t>United Kingdom</t>
        </is>
      </c>
      <c r="C1324" s="126" t="n">
        <v>3</v>
      </c>
      <c r="D1324" s="126" t="n">
        <v>4</v>
      </c>
      <c r="E1324" s="127" t="n">
        <v>915.13</v>
      </c>
      <c r="F1324" s="128">
        <f>IF(C1324&lt;=30,5,IF(C1324&lt;=60,4,IF(C1324&lt;=120,3,IF(C1324&lt;=200,2,1))))</f>
        <v/>
      </c>
      <c r="G1324" s="128">
        <f>IF(D1324&gt;=20,5,IF(D1324&gt;=10,4,IF(D1324&gt;=5,3,IF(D1324&gt;=2,2,1))))</f>
        <v/>
      </c>
      <c r="H1324" s="128">
        <f>IF(E1324&gt;=5000,5,IF(E1324&gt;=2000,4,IF(E1324&gt;=800,3,IF(E1324&gt;=300,2,1))))</f>
        <v/>
      </c>
      <c r="I1324" s="126">
        <f>TEXT(F1324,"0")&amp;TEXT(G1324,"0")&amp;TEXT(H1324,"0")</f>
        <v/>
      </c>
      <c r="J1324" s="126">
        <f>IFERROR(XLOOKUP(I1324,'Segment Map'!A:A,'Segment Map'!B:B,"Need Attention"),"Need Attention")</f>
        <v/>
      </c>
      <c r="K1324" s="126">
        <f>IF(E1324&gt;=5000,"🏆 Platinum",IF(E1324&gt;=2000,"🥇 Gold",IF(E1324&gt;=800,"🥈 Silver","🥉 Bronze")))</f>
        <v/>
      </c>
      <c r="L1324" s="129" t="n">
        <v>40884</v>
      </c>
    </row>
    <row r="1325">
      <c r="A1325" s="122" t="n">
        <v>14142</v>
      </c>
      <c r="B1325" s="122" t="inlineStr">
        <is>
          <t>United Kingdom</t>
        </is>
      </c>
      <c r="C1325" s="122" t="n">
        <v>374</v>
      </c>
      <c r="D1325" s="122" t="n">
        <v>1</v>
      </c>
      <c r="E1325" s="123" t="n">
        <v>311.81</v>
      </c>
      <c r="F1325" s="124">
        <f>IF(C1325&lt;=30,5,IF(C1325&lt;=60,4,IF(C1325&lt;=120,3,IF(C1325&lt;=200,2,1))))</f>
        <v/>
      </c>
      <c r="G1325" s="124">
        <f>IF(D1325&gt;=20,5,IF(D1325&gt;=10,4,IF(D1325&gt;=5,3,IF(D1325&gt;=2,2,1))))</f>
        <v/>
      </c>
      <c r="H1325" s="124">
        <f>IF(E1325&gt;=5000,5,IF(E1325&gt;=2000,4,IF(E1325&gt;=800,3,IF(E1325&gt;=300,2,1))))</f>
        <v/>
      </c>
      <c r="I1325" s="122">
        <f>TEXT(F1325,"0")&amp;TEXT(G1325,"0")&amp;TEXT(H1325,"0")</f>
        <v/>
      </c>
      <c r="J1325" s="122">
        <f>IFERROR(XLOOKUP(I1325,'Segment Map'!A:A,'Segment Map'!B:B,"Need Attention"),"Need Attention")</f>
        <v/>
      </c>
      <c r="K1325" s="122">
        <f>IF(E1325&gt;=5000,"🏆 Platinum",IF(E1325&gt;=2000,"🥇 Gold",IF(E1325&gt;=800,"🥈 Silver","🥉 Bronze")))</f>
        <v/>
      </c>
      <c r="L1325" s="125" t="n">
        <v>40513</v>
      </c>
    </row>
    <row r="1326">
      <c r="A1326" s="126" t="n">
        <v>14143</v>
      </c>
      <c r="B1326" s="126" t="inlineStr">
        <is>
          <t>United Kingdom</t>
        </is>
      </c>
      <c r="C1326" s="126" t="n">
        <v>134</v>
      </c>
      <c r="D1326" s="126" t="n">
        <v>1</v>
      </c>
      <c r="E1326" s="127" t="n">
        <v>115.8</v>
      </c>
      <c r="F1326" s="128">
        <f>IF(C1326&lt;=30,5,IF(C1326&lt;=60,4,IF(C1326&lt;=120,3,IF(C1326&lt;=200,2,1))))</f>
        <v/>
      </c>
      <c r="G1326" s="128">
        <f>IF(D1326&gt;=20,5,IF(D1326&gt;=10,4,IF(D1326&gt;=5,3,IF(D1326&gt;=2,2,1))))</f>
        <v/>
      </c>
      <c r="H1326" s="128">
        <f>IF(E1326&gt;=5000,5,IF(E1326&gt;=2000,4,IF(E1326&gt;=800,3,IF(E1326&gt;=300,2,1))))</f>
        <v/>
      </c>
      <c r="I1326" s="126">
        <f>TEXT(F1326,"0")&amp;TEXT(G1326,"0")&amp;TEXT(H1326,"0")</f>
        <v/>
      </c>
      <c r="J1326" s="126">
        <f>IFERROR(XLOOKUP(I1326,'Segment Map'!A:A,'Segment Map'!B:B,"Need Attention"),"Need Attention")</f>
        <v/>
      </c>
      <c r="K1326" s="126">
        <f>IF(E1326&gt;=5000,"🏆 Platinum",IF(E1326&gt;=2000,"🥇 Gold",IF(E1326&gt;=800,"🥈 Silver","🥉 Bronze")))</f>
        <v/>
      </c>
      <c r="L1326" s="129" t="n">
        <v>40753</v>
      </c>
    </row>
    <row r="1327">
      <c r="A1327" s="122" t="n">
        <v>14145</v>
      </c>
      <c r="B1327" s="122" t="inlineStr">
        <is>
          <t>United Kingdom</t>
        </is>
      </c>
      <c r="C1327" s="122" t="n">
        <v>47</v>
      </c>
      <c r="D1327" s="122" t="n">
        <v>4</v>
      </c>
      <c r="E1327" s="123" t="n">
        <v>3742.2</v>
      </c>
      <c r="F1327" s="124">
        <f>IF(C1327&lt;=30,5,IF(C1327&lt;=60,4,IF(C1327&lt;=120,3,IF(C1327&lt;=200,2,1))))</f>
        <v/>
      </c>
      <c r="G1327" s="124">
        <f>IF(D1327&gt;=20,5,IF(D1327&gt;=10,4,IF(D1327&gt;=5,3,IF(D1327&gt;=2,2,1))))</f>
        <v/>
      </c>
      <c r="H1327" s="124">
        <f>IF(E1327&gt;=5000,5,IF(E1327&gt;=2000,4,IF(E1327&gt;=800,3,IF(E1327&gt;=300,2,1))))</f>
        <v/>
      </c>
      <c r="I1327" s="122">
        <f>TEXT(F1327,"0")&amp;TEXT(G1327,"0")&amp;TEXT(H1327,"0")</f>
        <v/>
      </c>
      <c r="J1327" s="122">
        <f>IFERROR(XLOOKUP(I1327,'Segment Map'!A:A,'Segment Map'!B:B,"Need Attention"),"Need Attention")</f>
        <v/>
      </c>
      <c r="K1327" s="122">
        <f>IF(E1327&gt;=5000,"🏆 Platinum",IF(E1327&gt;=2000,"🥇 Gold",IF(E1327&gt;=800,"🥈 Silver","🥉 Bronze")))</f>
        <v/>
      </c>
      <c r="L1327" s="125" t="n">
        <v>40840</v>
      </c>
    </row>
    <row r="1328">
      <c r="A1328" s="126" t="n">
        <v>14146</v>
      </c>
      <c r="B1328" s="126" t="inlineStr">
        <is>
          <t>United Kingdom</t>
        </is>
      </c>
      <c r="C1328" s="126" t="n">
        <v>9</v>
      </c>
      <c r="D1328" s="126" t="n">
        <v>5</v>
      </c>
      <c r="E1328" s="127" t="n">
        <v>4191</v>
      </c>
      <c r="F1328" s="128">
        <f>IF(C1328&lt;=30,5,IF(C1328&lt;=60,4,IF(C1328&lt;=120,3,IF(C1328&lt;=200,2,1))))</f>
        <v/>
      </c>
      <c r="G1328" s="128">
        <f>IF(D1328&gt;=20,5,IF(D1328&gt;=10,4,IF(D1328&gt;=5,3,IF(D1328&gt;=2,2,1))))</f>
        <v/>
      </c>
      <c r="H1328" s="128">
        <f>IF(E1328&gt;=5000,5,IF(E1328&gt;=2000,4,IF(E1328&gt;=800,3,IF(E1328&gt;=300,2,1))))</f>
        <v/>
      </c>
      <c r="I1328" s="126">
        <f>TEXT(F1328,"0")&amp;TEXT(G1328,"0")&amp;TEXT(H1328,"0")</f>
        <v/>
      </c>
      <c r="J1328" s="126">
        <f>IFERROR(XLOOKUP(I1328,'Segment Map'!A:A,'Segment Map'!B:B,"Need Attention"),"Need Attention")</f>
        <v/>
      </c>
      <c r="K1328" s="126">
        <f>IF(E1328&gt;=5000,"🏆 Platinum",IF(E1328&gt;=2000,"🥇 Gold",IF(E1328&gt;=800,"🥈 Silver","🥉 Bronze")))</f>
        <v/>
      </c>
      <c r="L1328" s="129" t="n">
        <v>40878</v>
      </c>
    </row>
    <row r="1329">
      <c r="A1329" s="122" t="n">
        <v>14147</v>
      </c>
      <c r="B1329" s="122" t="inlineStr">
        <is>
          <t>United Kingdom</t>
        </is>
      </c>
      <c r="C1329" s="122" t="n">
        <v>79</v>
      </c>
      <c r="D1329" s="122" t="n">
        <v>2</v>
      </c>
      <c r="E1329" s="123" t="n">
        <v>483.4</v>
      </c>
      <c r="F1329" s="124">
        <f>IF(C1329&lt;=30,5,IF(C1329&lt;=60,4,IF(C1329&lt;=120,3,IF(C1329&lt;=200,2,1))))</f>
        <v/>
      </c>
      <c r="G1329" s="124">
        <f>IF(D1329&gt;=20,5,IF(D1329&gt;=10,4,IF(D1329&gt;=5,3,IF(D1329&gt;=2,2,1))))</f>
        <v/>
      </c>
      <c r="H1329" s="124">
        <f>IF(E1329&gt;=5000,5,IF(E1329&gt;=2000,4,IF(E1329&gt;=800,3,IF(E1329&gt;=300,2,1))))</f>
        <v/>
      </c>
      <c r="I1329" s="122">
        <f>TEXT(F1329,"0")&amp;TEXT(G1329,"0")&amp;TEXT(H1329,"0")</f>
        <v/>
      </c>
      <c r="J1329" s="122">
        <f>IFERROR(XLOOKUP(I1329,'Segment Map'!A:A,'Segment Map'!B:B,"Need Attention"),"Need Attention")</f>
        <v/>
      </c>
      <c r="K1329" s="122">
        <f>IF(E1329&gt;=5000,"🏆 Platinum",IF(E1329&gt;=2000,"🥇 Gold",IF(E1329&gt;=800,"🥈 Silver","🥉 Bronze")))</f>
        <v/>
      </c>
      <c r="L1329" s="125" t="n">
        <v>40808</v>
      </c>
    </row>
    <row r="1330">
      <c r="A1330" s="126" t="n">
        <v>14148</v>
      </c>
      <c r="B1330" s="126" t="inlineStr">
        <is>
          <t>United Kingdom</t>
        </is>
      </c>
      <c r="C1330" s="126" t="n">
        <v>234</v>
      </c>
      <c r="D1330" s="126" t="n">
        <v>1</v>
      </c>
      <c r="E1330" s="127" t="n">
        <v>157.2</v>
      </c>
      <c r="F1330" s="128">
        <f>IF(C1330&lt;=30,5,IF(C1330&lt;=60,4,IF(C1330&lt;=120,3,IF(C1330&lt;=200,2,1))))</f>
        <v/>
      </c>
      <c r="G1330" s="128">
        <f>IF(D1330&gt;=20,5,IF(D1330&gt;=10,4,IF(D1330&gt;=5,3,IF(D1330&gt;=2,2,1))))</f>
        <v/>
      </c>
      <c r="H1330" s="128">
        <f>IF(E1330&gt;=5000,5,IF(E1330&gt;=2000,4,IF(E1330&gt;=800,3,IF(E1330&gt;=300,2,1))))</f>
        <v/>
      </c>
      <c r="I1330" s="126">
        <f>TEXT(F1330,"0")&amp;TEXT(G1330,"0")&amp;TEXT(H1330,"0")</f>
        <v/>
      </c>
      <c r="J1330" s="126">
        <f>IFERROR(XLOOKUP(I1330,'Segment Map'!A:A,'Segment Map'!B:B,"Need Attention"),"Need Attention")</f>
        <v/>
      </c>
      <c r="K1330" s="126">
        <f>IF(E1330&gt;=5000,"🏆 Platinum",IF(E1330&gt;=2000,"🥇 Gold",IF(E1330&gt;=800,"🥈 Silver","🥉 Bronze")))</f>
        <v/>
      </c>
      <c r="L1330" s="129" t="n">
        <v>40653</v>
      </c>
    </row>
    <row r="1331">
      <c r="A1331" s="122" t="n">
        <v>14149</v>
      </c>
      <c r="B1331" s="122" t="inlineStr">
        <is>
          <t>United Kingdom</t>
        </is>
      </c>
      <c r="C1331" s="122" t="n">
        <v>221</v>
      </c>
      <c r="D1331" s="122" t="n">
        <v>1</v>
      </c>
      <c r="E1331" s="123" t="n">
        <v>446.62</v>
      </c>
      <c r="F1331" s="124">
        <f>IF(C1331&lt;=30,5,IF(C1331&lt;=60,4,IF(C1331&lt;=120,3,IF(C1331&lt;=200,2,1))))</f>
        <v/>
      </c>
      <c r="G1331" s="124">
        <f>IF(D1331&gt;=20,5,IF(D1331&gt;=10,4,IF(D1331&gt;=5,3,IF(D1331&gt;=2,2,1))))</f>
        <v/>
      </c>
      <c r="H1331" s="124">
        <f>IF(E1331&gt;=5000,5,IF(E1331&gt;=2000,4,IF(E1331&gt;=800,3,IF(E1331&gt;=300,2,1))))</f>
        <v/>
      </c>
      <c r="I1331" s="122">
        <f>TEXT(F1331,"0")&amp;TEXT(G1331,"0")&amp;TEXT(H1331,"0")</f>
        <v/>
      </c>
      <c r="J1331" s="122">
        <f>IFERROR(XLOOKUP(I1331,'Segment Map'!A:A,'Segment Map'!B:B,"Need Attention"),"Need Attention")</f>
        <v/>
      </c>
      <c r="K1331" s="122">
        <f>IF(E1331&gt;=5000,"🏆 Platinum",IF(E1331&gt;=2000,"🥇 Gold",IF(E1331&gt;=800,"🥈 Silver","🥉 Bronze")))</f>
        <v/>
      </c>
      <c r="L1331" s="125" t="n">
        <v>40666</v>
      </c>
    </row>
    <row r="1332">
      <c r="A1332" s="126" t="n">
        <v>14150</v>
      </c>
      <c r="B1332" s="126" t="inlineStr">
        <is>
          <t>United Kingdom</t>
        </is>
      </c>
      <c r="C1332" s="126" t="n">
        <v>36</v>
      </c>
      <c r="D1332" s="126" t="n">
        <v>2</v>
      </c>
      <c r="E1332" s="127" t="n">
        <v>658.64</v>
      </c>
      <c r="F1332" s="128">
        <f>IF(C1332&lt;=30,5,IF(C1332&lt;=60,4,IF(C1332&lt;=120,3,IF(C1332&lt;=200,2,1))))</f>
        <v/>
      </c>
      <c r="G1332" s="128">
        <f>IF(D1332&gt;=20,5,IF(D1332&gt;=10,4,IF(D1332&gt;=5,3,IF(D1332&gt;=2,2,1))))</f>
        <v/>
      </c>
      <c r="H1332" s="128">
        <f>IF(E1332&gt;=5000,5,IF(E1332&gt;=2000,4,IF(E1332&gt;=800,3,IF(E1332&gt;=300,2,1))))</f>
        <v/>
      </c>
      <c r="I1332" s="126">
        <f>TEXT(F1332,"0")&amp;TEXT(G1332,"0")&amp;TEXT(H1332,"0")</f>
        <v/>
      </c>
      <c r="J1332" s="126">
        <f>IFERROR(XLOOKUP(I1332,'Segment Map'!A:A,'Segment Map'!B:B,"Need Attention"),"Need Attention")</f>
        <v/>
      </c>
      <c r="K1332" s="126">
        <f>IF(E1332&gt;=5000,"🏆 Platinum",IF(E1332&gt;=2000,"🥇 Gold",IF(E1332&gt;=800,"🥈 Silver","🥉 Bronze")))</f>
        <v/>
      </c>
      <c r="L1332" s="129" t="n">
        <v>40851</v>
      </c>
    </row>
    <row r="1333">
      <c r="A1333" s="122" t="n">
        <v>14152</v>
      </c>
      <c r="B1333" s="122" t="inlineStr">
        <is>
          <t>United Kingdom</t>
        </is>
      </c>
      <c r="C1333" s="122" t="n">
        <v>76</v>
      </c>
      <c r="D1333" s="122" t="n">
        <v>2</v>
      </c>
      <c r="E1333" s="123" t="n">
        <v>621.29</v>
      </c>
      <c r="F1333" s="124">
        <f>IF(C1333&lt;=30,5,IF(C1333&lt;=60,4,IF(C1333&lt;=120,3,IF(C1333&lt;=200,2,1))))</f>
        <v/>
      </c>
      <c r="G1333" s="124">
        <f>IF(D1333&gt;=20,5,IF(D1333&gt;=10,4,IF(D1333&gt;=5,3,IF(D1333&gt;=2,2,1))))</f>
        <v/>
      </c>
      <c r="H1333" s="124">
        <f>IF(E1333&gt;=5000,5,IF(E1333&gt;=2000,4,IF(E1333&gt;=800,3,IF(E1333&gt;=300,2,1))))</f>
        <v/>
      </c>
      <c r="I1333" s="122">
        <f>TEXT(F1333,"0")&amp;TEXT(G1333,"0")&amp;TEXT(H1333,"0")</f>
        <v/>
      </c>
      <c r="J1333" s="122">
        <f>IFERROR(XLOOKUP(I1333,'Segment Map'!A:A,'Segment Map'!B:B,"Need Attention"),"Need Attention")</f>
        <v/>
      </c>
      <c r="K1333" s="122">
        <f>IF(E1333&gt;=5000,"🏆 Platinum",IF(E1333&gt;=2000,"🥇 Gold",IF(E1333&gt;=800,"🥈 Silver","🥉 Bronze")))</f>
        <v/>
      </c>
      <c r="L1333" s="125" t="n">
        <v>40811</v>
      </c>
    </row>
    <row r="1334">
      <c r="A1334" s="126" t="n">
        <v>14154</v>
      </c>
      <c r="B1334" s="126" t="inlineStr">
        <is>
          <t>United Kingdom</t>
        </is>
      </c>
      <c r="C1334" s="126" t="n">
        <v>240</v>
      </c>
      <c r="D1334" s="126" t="n">
        <v>2</v>
      </c>
      <c r="E1334" s="127" t="n">
        <v>1345.62</v>
      </c>
      <c r="F1334" s="128">
        <f>IF(C1334&lt;=30,5,IF(C1334&lt;=60,4,IF(C1334&lt;=120,3,IF(C1334&lt;=200,2,1))))</f>
        <v/>
      </c>
      <c r="G1334" s="128">
        <f>IF(D1334&gt;=20,5,IF(D1334&gt;=10,4,IF(D1334&gt;=5,3,IF(D1334&gt;=2,2,1))))</f>
        <v/>
      </c>
      <c r="H1334" s="128">
        <f>IF(E1334&gt;=5000,5,IF(E1334&gt;=2000,4,IF(E1334&gt;=800,3,IF(E1334&gt;=300,2,1))))</f>
        <v/>
      </c>
      <c r="I1334" s="126">
        <f>TEXT(F1334,"0")&amp;TEXT(G1334,"0")&amp;TEXT(H1334,"0")</f>
        <v/>
      </c>
      <c r="J1334" s="126">
        <f>IFERROR(XLOOKUP(I1334,'Segment Map'!A:A,'Segment Map'!B:B,"Need Attention"),"Need Attention")</f>
        <v/>
      </c>
      <c r="K1334" s="126">
        <f>IF(E1334&gt;=5000,"🏆 Platinum",IF(E1334&gt;=2000,"🥇 Gold",IF(E1334&gt;=800,"🥈 Silver","🥉 Bronze")))</f>
        <v/>
      </c>
      <c r="L1334" s="129" t="n">
        <v>40647</v>
      </c>
    </row>
    <row r="1335">
      <c r="A1335" s="122" t="n">
        <v>14155</v>
      </c>
      <c r="B1335" s="122" t="inlineStr">
        <is>
          <t>United Kingdom</t>
        </is>
      </c>
      <c r="C1335" s="122" t="n">
        <v>267</v>
      </c>
      <c r="D1335" s="122" t="n">
        <v>1</v>
      </c>
      <c r="E1335" s="123" t="n">
        <v>118.75</v>
      </c>
      <c r="F1335" s="124">
        <f>IF(C1335&lt;=30,5,IF(C1335&lt;=60,4,IF(C1335&lt;=120,3,IF(C1335&lt;=200,2,1))))</f>
        <v/>
      </c>
      <c r="G1335" s="124">
        <f>IF(D1335&gt;=20,5,IF(D1335&gt;=10,4,IF(D1335&gt;=5,3,IF(D1335&gt;=2,2,1))))</f>
        <v/>
      </c>
      <c r="H1335" s="124">
        <f>IF(E1335&gt;=5000,5,IF(E1335&gt;=2000,4,IF(E1335&gt;=800,3,IF(E1335&gt;=300,2,1))))</f>
        <v/>
      </c>
      <c r="I1335" s="122">
        <f>TEXT(F1335,"0")&amp;TEXT(G1335,"0")&amp;TEXT(H1335,"0")</f>
        <v/>
      </c>
      <c r="J1335" s="122">
        <f>IFERROR(XLOOKUP(I1335,'Segment Map'!A:A,'Segment Map'!B:B,"Need Attention"),"Need Attention")</f>
        <v/>
      </c>
      <c r="K1335" s="122">
        <f>IF(E1335&gt;=5000,"🏆 Platinum",IF(E1335&gt;=2000,"🥇 Gold",IF(E1335&gt;=800,"🥈 Silver","🥉 Bronze")))</f>
        <v/>
      </c>
      <c r="L1335" s="125" t="n">
        <v>40620</v>
      </c>
    </row>
    <row r="1336">
      <c r="A1336" s="126" t="n">
        <v>14156</v>
      </c>
      <c r="B1336" s="126" t="inlineStr">
        <is>
          <t>EIRE</t>
        </is>
      </c>
      <c r="C1336" s="126" t="n">
        <v>10</v>
      </c>
      <c r="D1336" s="126" t="n">
        <v>55</v>
      </c>
      <c r="E1336" s="127" t="n">
        <v>117379.63</v>
      </c>
      <c r="F1336" s="128">
        <f>IF(C1336&lt;=30,5,IF(C1336&lt;=60,4,IF(C1336&lt;=120,3,IF(C1336&lt;=200,2,1))))</f>
        <v/>
      </c>
      <c r="G1336" s="128">
        <f>IF(D1336&gt;=20,5,IF(D1336&gt;=10,4,IF(D1336&gt;=5,3,IF(D1336&gt;=2,2,1))))</f>
        <v/>
      </c>
      <c r="H1336" s="128">
        <f>IF(E1336&gt;=5000,5,IF(E1336&gt;=2000,4,IF(E1336&gt;=800,3,IF(E1336&gt;=300,2,1))))</f>
        <v/>
      </c>
      <c r="I1336" s="126">
        <f>TEXT(F1336,"0")&amp;TEXT(G1336,"0")&amp;TEXT(H1336,"0")</f>
        <v/>
      </c>
      <c r="J1336" s="126">
        <f>IFERROR(XLOOKUP(I1336,'Segment Map'!A:A,'Segment Map'!B:B,"Need Attention"),"Need Attention")</f>
        <v/>
      </c>
      <c r="K1336" s="126">
        <f>IF(E1336&gt;=5000,"🏆 Platinum",IF(E1336&gt;=2000,"🥇 Gold",IF(E1336&gt;=800,"🥈 Silver","🥉 Bronze")))</f>
        <v/>
      </c>
      <c r="L1336" s="129" t="n">
        <v>40877</v>
      </c>
    </row>
    <row r="1337">
      <c r="A1337" s="122" t="n">
        <v>14157</v>
      </c>
      <c r="B1337" s="122" t="inlineStr">
        <is>
          <t>United Kingdom</t>
        </is>
      </c>
      <c r="C1337" s="122" t="n">
        <v>20</v>
      </c>
      <c r="D1337" s="122" t="n">
        <v>2</v>
      </c>
      <c r="E1337" s="123" t="n">
        <v>432.88</v>
      </c>
      <c r="F1337" s="124">
        <f>IF(C1337&lt;=30,5,IF(C1337&lt;=60,4,IF(C1337&lt;=120,3,IF(C1337&lt;=200,2,1))))</f>
        <v/>
      </c>
      <c r="G1337" s="124">
        <f>IF(D1337&gt;=20,5,IF(D1337&gt;=10,4,IF(D1337&gt;=5,3,IF(D1337&gt;=2,2,1))))</f>
        <v/>
      </c>
      <c r="H1337" s="124">
        <f>IF(E1337&gt;=5000,5,IF(E1337&gt;=2000,4,IF(E1337&gt;=800,3,IF(E1337&gt;=300,2,1))))</f>
        <v/>
      </c>
      <c r="I1337" s="122">
        <f>TEXT(F1337,"0")&amp;TEXT(G1337,"0")&amp;TEXT(H1337,"0")</f>
        <v/>
      </c>
      <c r="J1337" s="122">
        <f>IFERROR(XLOOKUP(I1337,'Segment Map'!A:A,'Segment Map'!B:B,"Need Attention"),"Need Attention")</f>
        <v/>
      </c>
      <c r="K1337" s="122">
        <f>IF(E1337&gt;=5000,"🏆 Platinum",IF(E1337&gt;=2000,"🥇 Gold",IF(E1337&gt;=800,"🥈 Silver","🥉 Bronze")))</f>
        <v/>
      </c>
      <c r="L1337" s="125" t="n">
        <v>40867</v>
      </c>
    </row>
    <row r="1338">
      <c r="A1338" s="126" t="n">
        <v>14158</v>
      </c>
      <c r="B1338" s="126" t="inlineStr">
        <is>
          <t>United Kingdom</t>
        </is>
      </c>
      <c r="C1338" s="126" t="n">
        <v>41</v>
      </c>
      <c r="D1338" s="126" t="n">
        <v>1</v>
      </c>
      <c r="E1338" s="127" t="n">
        <v>507.66</v>
      </c>
      <c r="F1338" s="128">
        <f>IF(C1338&lt;=30,5,IF(C1338&lt;=60,4,IF(C1338&lt;=120,3,IF(C1338&lt;=200,2,1))))</f>
        <v/>
      </c>
      <c r="G1338" s="128">
        <f>IF(D1338&gt;=20,5,IF(D1338&gt;=10,4,IF(D1338&gt;=5,3,IF(D1338&gt;=2,2,1))))</f>
        <v/>
      </c>
      <c r="H1338" s="128">
        <f>IF(E1338&gt;=5000,5,IF(E1338&gt;=2000,4,IF(E1338&gt;=800,3,IF(E1338&gt;=300,2,1))))</f>
        <v/>
      </c>
      <c r="I1338" s="126">
        <f>TEXT(F1338,"0")&amp;TEXT(G1338,"0")&amp;TEXT(H1338,"0")</f>
        <v/>
      </c>
      <c r="J1338" s="126">
        <f>IFERROR(XLOOKUP(I1338,'Segment Map'!A:A,'Segment Map'!B:B,"Need Attention"),"Need Attention")</f>
        <v/>
      </c>
      <c r="K1338" s="126">
        <f>IF(E1338&gt;=5000,"🏆 Platinum",IF(E1338&gt;=2000,"🥇 Gold",IF(E1338&gt;=800,"🥈 Silver","🥉 Bronze")))</f>
        <v/>
      </c>
      <c r="L1338" s="129" t="n">
        <v>40846</v>
      </c>
    </row>
    <row r="1339">
      <c r="A1339" s="122" t="n">
        <v>14159</v>
      </c>
      <c r="B1339" s="122" t="inlineStr">
        <is>
          <t>United Kingdom</t>
        </is>
      </c>
      <c r="C1339" s="122" t="n">
        <v>20</v>
      </c>
      <c r="D1339" s="122" t="n">
        <v>11</v>
      </c>
      <c r="E1339" s="123" t="n">
        <v>4693.01</v>
      </c>
      <c r="F1339" s="124">
        <f>IF(C1339&lt;=30,5,IF(C1339&lt;=60,4,IF(C1339&lt;=120,3,IF(C1339&lt;=200,2,1))))</f>
        <v/>
      </c>
      <c r="G1339" s="124">
        <f>IF(D1339&gt;=20,5,IF(D1339&gt;=10,4,IF(D1339&gt;=5,3,IF(D1339&gt;=2,2,1))))</f>
        <v/>
      </c>
      <c r="H1339" s="124">
        <f>IF(E1339&gt;=5000,5,IF(E1339&gt;=2000,4,IF(E1339&gt;=800,3,IF(E1339&gt;=300,2,1))))</f>
        <v/>
      </c>
      <c r="I1339" s="122">
        <f>TEXT(F1339,"0")&amp;TEXT(G1339,"0")&amp;TEXT(H1339,"0")</f>
        <v/>
      </c>
      <c r="J1339" s="122">
        <f>IFERROR(XLOOKUP(I1339,'Segment Map'!A:A,'Segment Map'!B:B,"Need Attention"),"Need Attention")</f>
        <v/>
      </c>
      <c r="K1339" s="122">
        <f>IF(E1339&gt;=5000,"🏆 Platinum",IF(E1339&gt;=2000,"🥇 Gold",IF(E1339&gt;=800,"🥈 Silver","🥉 Bronze")))</f>
        <v/>
      </c>
      <c r="L1339" s="125" t="n">
        <v>40867</v>
      </c>
    </row>
    <row r="1340">
      <c r="A1340" s="126" t="n">
        <v>14161</v>
      </c>
      <c r="B1340" s="126" t="inlineStr">
        <is>
          <t>United Kingdom</t>
        </is>
      </c>
      <c r="C1340" s="126" t="n">
        <v>216</v>
      </c>
      <c r="D1340" s="126" t="n">
        <v>3</v>
      </c>
      <c r="E1340" s="127" t="n">
        <v>1110.52</v>
      </c>
      <c r="F1340" s="128">
        <f>IF(C1340&lt;=30,5,IF(C1340&lt;=60,4,IF(C1340&lt;=120,3,IF(C1340&lt;=200,2,1))))</f>
        <v/>
      </c>
      <c r="G1340" s="128">
        <f>IF(D1340&gt;=20,5,IF(D1340&gt;=10,4,IF(D1340&gt;=5,3,IF(D1340&gt;=2,2,1))))</f>
        <v/>
      </c>
      <c r="H1340" s="128">
        <f>IF(E1340&gt;=5000,5,IF(E1340&gt;=2000,4,IF(E1340&gt;=800,3,IF(E1340&gt;=300,2,1))))</f>
        <v/>
      </c>
      <c r="I1340" s="126">
        <f>TEXT(F1340,"0")&amp;TEXT(G1340,"0")&amp;TEXT(H1340,"0")</f>
        <v/>
      </c>
      <c r="J1340" s="126">
        <f>IFERROR(XLOOKUP(I1340,'Segment Map'!A:A,'Segment Map'!B:B,"Need Attention"),"Need Attention")</f>
        <v/>
      </c>
      <c r="K1340" s="126">
        <f>IF(E1340&gt;=5000,"🏆 Platinum",IF(E1340&gt;=2000,"🥇 Gold",IF(E1340&gt;=800,"🥈 Silver","🥉 Bronze")))</f>
        <v/>
      </c>
      <c r="L1340" s="129" t="n">
        <v>40671</v>
      </c>
    </row>
    <row r="1341">
      <c r="A1341" s="122" t="n">
        <v>14162</v>
      </c>
      <c r="B1341" s="122" t="inlineStr">
        <is>
          <t>United Kingdom</t>
        </is>
      </c>
      <c r="C1341" s="122" t="n">
        <v>174</v>
      </c>
      <c r="D1341" s="122" t="n">
        <v>2</v>
      </c>
      <c r="E1341" s="123" t="n">
        <v>289.36</v>
      </c>
      <c r="F1341" s="124">
        <f>IF(C1341&lt;=30,5,IF(C1341&lt;=60,4,IF(C1341&lt;=120,3,IF(C1341&lt;=200,2,1))))</f>
        <v/>
      </c>
      <c r="G1341" s="124">
        <f>IF(D1341&gt;=20,5,IF(D1341&gt;=10,4,IF(D1341&gt;=5,3,IF(D1341&gt;=2,2,1))))</f>
        <v/>
      </c>
      <c r="H1341" s="124">
        <f>IF(E1341&gt;=5000,5,IF(E1341&gt;=2000,4,IF(E1341&gt;=800,3,IF(E1341&gt;=300,2,1))))</f>
        <v/>
      </c>
      <c r="I1341" s="122">
        <f>TEXT(F1341,"0")&amp;TEXT(G1341,"0")&amp;TEXT(H1341,"0")</f>
        <v/>
      </c>
      <c r="J1341" s="122">
        <f>IFERROR(XLOOKUP(I1341,'Segment Map'!A:A,'Segment Map'!B:B,"Need Attention"),"Need Attention")</f>
        <v/>
      </c>
      <c r="K1341" s="122">
        <f>IF(E1341&gt;=5000,"🏆 Platinum",IF(E1341&gt;=2000,"🥇 Gold",IF(E1341&gt;=800,"🥈 Silver","🥉 Bronze")))</f>
        <v/>
      </c>
      <c r="L1341" s="125" t="n">
        <v>40713</v>
      </c>
    </row>
    <row r="1342">
      <c r="A1342" s="126" t="n">
        <v>14163</v>
      </c>
      <c r="B1342" s="126" t="inlineStr">
        <is>
          <t>United Kingdom</t>
        </is>
      </c>
      <c r="C1342" s="126" t="n">
        <v>88</v>
      </c>
      <c r="D1342" s="126" t="n">
        <v>4</v>
      </c>
      <c r="E1342" s="127" t="n">
        <v>2445.91</v>
      </c>
      <c r="F1342" s="128">
        <f>IF(C1342&lt;=30,5,IF(C1342&lt;=60,4,IF(C1342&lt;=120,3,IF(C1342&lt;=200,2,1))))</f>
        <v/>
      </c>
      <c r="G1342" s="128">
        <f>IF(D1342&gt;=20,5,IF(D1342&gt;=10,4,IF(D1342&gt;=5,3,IF(D1342&gt;=2,2,1))))</f>
        <v/>
      </c>
      <c r="H1342" s="128">
        <f>IF(E1342&gt;=5000,5,IF(E1342&gt;=2000,4,IF(E1342&gt;=800,3,IF(E1342&gt;=300,2,1))))</f>
        <v/>
      </c>
      <c r="I1342" s="126">
        <f>TEXT(F1342,"0")&amp;TEXT(G1342,"0")&amp;TEXT(H1342,"0")</f>
        <v/>
      </c>
      <c r="J1342" s="126">
        <f>IFERROR(XLOOKUP(I1342,'Segment Map'!A:A,'Segment Map'!B:B,"Need Attention"),"Need Attention")</f>
        <v/>
      </c>
      <c r="K1342" s="126">
        <f>IF(E1342&gt;=5000,"🏆 Platinum",IF(E1342&gt;=2000,"🥇 Gold",IF(E1342&gt;=800,"🥈 Silver","🥉 Bronze")))</f>
        <v/>
      </c>
      <c r="L1342" s="129" t="n">
        <v>40799</v>
      </c>
    </row>
    <row r="1343">
      <c r="A1343" s="122" t="n">
        <v>14164</v>
      </c>
      <c r="B1343" s="122" t="inlineStr">
        <is>
          <t>United Kingdom</t>
        </is>
      </c>
      <c r="C1343" s="122" t="n">
        <v>71</v>
      </c>
      <c r="D1343" s="122" t="n">
        <v>2</v>
      </c>
      <c r="E1343" s="123" t="n">
        <v>1631.77</v>
      </c>
      <c r="F1343" s="124">
        <f>IF(C1343&lt;=30,5,IF(C1343&lt;=60,4,IF(C1343&lt;=120,3,IF(C1343&lt;=200,2,1))))</f>
        <v/>
      </c>
      <c r="G1343" s="124">
        <f>IF(D1343&gt;=20,5,IF(D1343&gt;=10,4,IF(D1343&gt;=5,3,IF(D1343&gt;=2,2,1))))</f>
        <v/>
      </c>
      <c r="H1343" s="124">
        <f>IF(E1343&gt;=5000,5,IF(E1343&gt;=2000,4,IF(E1343&gt;=800,3,IF(E1343&gt;=300,2,1))))</f>
        <v/>
      </c>
      <c r="I1343" s="122">
        <f>TEXT(F1343,"0")&amp;TEXT(G1343,"0")&amp;TEXT(H1343,"0")</f>
        <v/>
      </c>
      <c r="J1343" s="122">
        <f>IFERROR(XLOOKUP(I1343,'Segment Map'!A:A,'Segment Map'!B:B,"Need Attention"),"Need Attention")</f>
        <v/>
      </c>
      <c r="K1343" s="122">
        <f>IF(E1343&gt;=5000,"🏆 Platinum",IF(E1343&gt;=2000,"🥇 Gold",IF(E1343&gt;=800,"🥈 Silver","🥉 Bronze")))</f>
        <v/>
      </c>
      <c r="L1343" s="125" t="n">
        <v>40816</v>
      </c>
    </row>
    <row r="1344">
      <c r="A1344" s="126" t="n">
        <v>14165</v>
      </c>
      <c r="B1344" s="126" t="inlineStr">
        <is>
          <t>United Kingdom</t>
        </is>
      </c>
      <c r="C1344" s="126" t="n">
        <v>276</v>
      </c>
      <c r="D1344" s="126" t="n">
        <v>1</v>
      </c>
      <c r="E1344" s="127" t="n">
        <v>122.54</v>
      </c>
      <c r="F1344" s="128">
        <f>IF(C1344&lt;=30,5,IF(C1344&lt;=60,4,IF(C1344&lt;=120,3,IF(C1344&lt;=200,2,1))))</f>
        <v/>
      </c>
      <c r="G1344" s="128">
        <f>IF(D1344&gt;=20,5,IF(D1344&gt;=10,4,IF(D1344&gt;=5,3,IF(D1344&gt;=2,2,1))))</f>
        <v/>
      </c>
      <c r="H1344" s="128">
        <f>IF(E1344&gt;=5000,5,IF(E1344&gt;=2000,4,IF(E1344&gt;=800,3,IF(E1344&gt;=300,2,1))))</f>
        <v/>
      </c>
      <c r="I1344" s="126">
        <f>TEXT(F1344,"0")&amp;TEXT(G1344,"0")&amp;TEXT(H1344,"0")</f>
        <v/>
      </c>
      <c r="J1344" s="126">
        <f>IFERROR(XLOOKUP(I1344,'Segment Map'!A:A,'Segment Map'!B:B,"Need Attention"),"Need Attention")</f>
        <v/>
      </c>
      <c r="K1344" s="126">
        <f>IF(E1344&gt;=5000,"🏆 Platinum",IF(E1344&gt;=2000,"🥇 Gold",IF(E1344&gt;=800,"🥈 Silver","🥉 Bronze")))</f>
        <v/>
      </c>
      <c r="L1344" s="129" t="n">
        <v>40611</v>
      </c>
    </row>
    <row r="1345">
      <c r="A1345" s="122" t="n">
        <v>14167</v>
      </c>
      <c r="B1345" s="122" t="inlineStr">
        <is>
          <t>United Kingdom</t>
        </is>
      </c>
      <c r="C1345" s="122" t="n">
        <v>40</v>
      </c>
      <c r="D1345" s="122" t="n">
        <v>4</v>
      </c>
      <c r="E1345" s="123" t="n">
        <v>574.84</v>
      </c>
      <c r="F1345" s="124">
        <f>IF(C1345&lt;=30,5,IF(C1345&lt;=60,4,IF(C1345&lt;=120,3,IF(C1345&lt;=200,2,1))))</f>
        <v/>
      </c>
      <c r="G1345" s="124">
        <f>IF(D1345&gt;=20,5,IF(D1345&gt;=10,4,IF(D1345&gt;=5,3,IF(D1345&gt;=2,2,1))))</f>
        <v/>
      </c>
      <c r="H1345" s="124">
        <f>IF(E1345&gt;=5000,5,IF(E1345&gt;=2000,4,IF(E1345&gt;=800,3,IF(E1345&gt;=300,2,1))))</f>
        <v/>
      </c>
      <c r="I1345" s="122">
        <f>TEXT(F1345,"0")&amp;TEXT(G1345,"0")&amp;TEXT(H1345,"0")</f>
        <v/>
      </c>
      <c r="J1345" s="122">
        <f>IFERROR(XLOOKUP(I1345,'Segment Map'!A:A,'Segment Map'!B:B,"Need Attention"),"Need Attention")</f>
        <v/>
      </c>
      <c r="K1345" s="122">
        <f>IF(E1345&gt;=5000,"🏆 Platinum",IF(E1345&gt;=2000,"🥇 Gold",IF(E1345&gt;=800,"🥈 Silver","🥉 Bronze")))</f>
        <v/>
      </c>
      <c r="L1345" s="125" t="n">
        <v>40847</v>
      </c>
    </row>
    <row r="1346">
      <c r="A1346" s="126" t="n">
        <v>14171</v>
      </c>
      <c r="B1346" s="126" t="inlineStr">
        <is>
          <t>United Kingdom</t>
        </is>
      </c>
      <c r="C1346" s="126" t="n">
        <v>99</v>
      </c>
      <c r="D1346" s="126" t="n">
        <v>1</v>
      </c>
      <c r="E1346" s="127" t="n">
        <v>363.79</v>
      </c>
      <c r="F1346" s="128">
        <f>IF(C1346&lt;=30,5,IF(C1346&lt;=60,4,IF(C1346&lt;=120,3,IF(C1346&lt;=200,2,1))))</f>
        <v/>
      </c>
      <c r="G1346" s="128">
        <f>IF(D1346&gt;=20,5,IF(D1346&gt;=10,4,IF(D1346&gt;=5,3,IF(D1346&gt;=2,2,1))))</f>
        <v/>
      </c>
      <c r="H1346" s="128">
        <f>IF(E1346&gt;=5000,5,IF(E1346&gt;=2000,4,IF(E1346&gt;=800,3,IF(E1346&gt;=300,2,1))))</f>
        <v/>
      </c>
      <c r="I1346" s="126">
        <f>TEXT(F1346,"0")&amp;TEXT(G1346,"0")&amp;TEXT(H1346,"0")</f>
        <v/>
      </c>
      <c r="J1346" s="126">
        <f>IFERROR(XLOOKUP(I1346,'Segment Map'!A:A,'Segment Map'!B:B,"Need Attention"),"Need Attention")</f>
        <v/>
      </c>
      <c r="K1346" s="126">
        <f>IF(E1346&gt;=5000,"🏆 Platinum",IF(E1346&gt;=2000,"🥇 Gold",IF(E1346&gt;=800,"🥈 Silver","🥉 Bronze")))</f>
        <v/>
      </c>
      <c r="L1346" s="129" t="n">
        <v>40788</v>
      </c>
    </row>
    <row r="1347">
      <c r="A1347" s="122" t="n">
        <v>14173</v>
      </c>
      <c r="B1347" s="122" t="inlineStr">
        <is>
          <t>United Kingdom</t>
        </is>
      </c>
      <c r="C1347" s="122" t="n">
        <v>11</v>
      </c>
      <c r="D1347" s="122" t="n">
        <v>4</v>
      </c>
      <c r="E1347" s="123" t="n">
        <v>450.84</v>
      </c>
      <c r="F1347" s="124">
        <f>IF(C1347&lt;=30,5,IF(C1347&lt;=60,4,IF(C1347&lt;=120,3,IF(C1347&lt;=200,2,1))))</f>
        <v/>
      </c>
      <c r="G1347" s="124">
        <f>IF(D1347&gt;=20,5,IF(D1347&gt;=10,4,IF(D1347&gt;=5,3,IF(D1347&gt;=2,2,1))))</f>
        <v/>
      </c>
      <c r="H1347" s="124">
        <f>IF(E1347&gt;=5000,5,IF(E1347&gt;=2000,4,IF(E1347&gt;=800,3,IF(E1347&gt;=300,2,1))))</f>
        <v/>
      </c>
      <c r="I1347" s="122">
        <f>TEXT(F1347,"0")&amp;TEXT(G1347,"0")&amp;TEXT(H1347,"0")</f>
        <v/>
      </c>
      <c r="J1347" s="122">
        <f>IFERROR(XLOOKUP(I1347,'Segment Map'!A:A,'Segment Map'!B:B,"Need Attention"),"Need Attention")</f>
        <v/>
      </c>
      <c r="K1347" s="122">
        <f>IF(E1347&gt;=5000,"🏆 Platinum",IF(E1347&gt;=2000,"🥇 Gold",IF(E1347&gt;=800,"🥈 Silver","🥉 Bronze")))</f>
        <v/>
      </c>
      <c r="L1347" s="125" t="n">
        <v>40876</v>
      </c>
    </row>
    <row r="1348">
      <c r="A1348" s="126" t="n">
        <v>14174</v>
      </c>
      <c r="B1348" s="126" t="inlineStr">
        <is>
          <t>United Kingdom</t>
        </is>
      </c>
      <c r="C1348" s="126" t="n">
        <v>34</v>
      </c>
      <c r="D1348" s="126" t="n">
        <v>1</v>
      </c>
      <c r="E1348" s="127" t="n">
        <v>134.46</v>
      </c>
      <c r="F1348" s="128">
        <f>IF(C1348&lt;=30,5,IF(C1348&lt;=60,4,IF(C1348&lt;=120,3,IF(C1348&lt;=200,2,1))))</f>
        <v/>
      </c>
      <c r="G1348" s="128">
        <f>IF(D1348&gt;=20,5,IF(D1348&gt;=10,4,IF(D1348&gt;=5,3,IF(D1348&gt;=2,2,1))))</f>
        <v/>
      </c>
      <c r="H1348" s="128">
        <f>IF(E1348&gt;=5000,5,IF(E1348&gt;=2000,4,IF(E1348&gt;=800,3,IF(E1348&gt;=300,2,1))))</f>
        <v/>
      </c>
      <c r="I1348" s="126">
        <f>TEXT(F1348,"0")&amp;TEXT(G1348,"0")&amp;TEXT(H1348,"0")</f>
        <v/>
      </c>
      <c r="J1348" s="126">
        <f>IFERROR(XLOOKUP(I1348,'Segment Map'!A:A,'Segment Map'!B:B,"Need Attention"),"Need Attention")</f>
        <v/>
      </c>
      <c r="K1348" s="126">
        <f>IF(E1348&gt;=5000,"🏆 Platinum",IF(E1348&gt;=2000,"🥇 Gold",IF(E1348&gt;=800,"🥈 Silver","🥉 Bronze")))</f>
        <v/>
      </c>
      <c r="L1348" s="129" t="n">
        <v>40853</v>
      </c>
    </row>
    <row r="1349">
      <c r="A1349" s="122" t="n">
        <v>14175</v>
      </c>
      <c r="B1349" s="122" t="inlineStr">
        <is>
          <t>United Kingdom</t>
        </is>
      </c>
      <c r="C1349" s="122" t="n">
        <v>60</v>
      </c>
      <c r="D1349" s="122" t="n">
        <v>3</v>
      </c>
      <c r="E1349" s="123" t="n">
        <v>3222.3</v>
      </c>
      <c r="F1349" s="124">
        <f>IF(C1349&lt;=30,5,IF(C1349&lt;=60,4,IF(C1349&lt;=120,3,IF(C1349&lt;=200,2,1))))</f>
        <v/>
      </c>
      <c r="G1349" s="124">
        <f>IF(D1349&gt;=20,5,IF(D1349&gt;=10,4,IF(D1349&gt;=5,3,IF(D1349&gt;=2,2,1))))</f>
        <v/>
      </c>
      <c r="H1349" s="124">
        <f>IF(E1349&gt;=5000,5,IF(E1349&gt;=2000,4,IF(E1349&gt;=800,3,IF(E1349&gt;=300,2,1))))</f>
        <v/>
      </c>
      <c r="I1349" s="122">
        <f>TEXT(F1349,"0")&amp;TEXT(G1349,"0")&amp;TEXT(H1349,"0")</f>
        <v/>
      </c>
      <c r="J1349" s="122">
        <f>IFERROR(XLOOKUP(I1349,'Segment Map'!A:A,'Segment Map'!B:B,"Need Attention"),"Need Attention")</f>
        <v/>
      </c>
      <c r="K1349" s="122">
        <f>IF(E1349&gt;=5000,"🏆 Platinum",IF(E1349&gt;=2000,"🥇 Gold",IF(E1349&gt;=800,"🥈 Silver","🥉 Bronze")))</f>
        <v/>
      </c>
      <c r="L1349" s="125" t="n">
        <v>40827</v>
      </c>
    </row>
    <row r="1350">
      <c r="A1350" s="126" t="n">
        <v>14176</v>
      </c>
      <c r="B1350" s="126" t="inlineStr">
        <is>
          <t>United Kingdom</t>
        </is>
      </c>
      <c r="C1350" s="126" t="n">
        <v>298</v>
      </c>
      <c r="D1350" s="126" t="n">
        <v>4</v>
      </c>
      <c r="E1350" s="127" t="n">
        <v>576.9</v>
      </c>
      <c r="F1350" s="128">
        <f>IF(C1350&lt;=30,5,IF(C1350&lt;=60,4,IF(C1350&lt;=120,3,IF(C1350&lt;=200,2,1))))</f>
        <v/>
      </c>
      <c r="G1350" s="128">
        <f>IF(D1350&gt;=20,5,IF(D1350&gt;=10,4,IF(D1350&gt;=5,3,IF(D1350&gt;=2,2,1))))</f>
        <v/>
      </c>
      <c r="H1350" s="128">
        <f>IF(E1350&gt;=5000,5,IF(E1350&gt;=2000,4,IF(E1350&gt;=800,3,IF(E1350&gt;=300,2,1))))</f>
        <v/>
      </c>
      <c r="I1350" s="126">
        <f>TEXT(F1350,"0")&amp;TEXT(G1350,"0")&amp;TEXT(H1350,"0")</f>
        <v/>
      </c>
      <c r="J1350" s="126">
        <f>IFERROR(XLOOKUP(I1350,'Segment Map'!A:A,'Segment Map'!B:B,"Need Attention"),"Need Attention")</f>
        <v/>
      </c>
      <c r="K1350" s="126">
        <f>IF(E1350&gt;=5000,"🏆 Platinum",IF(E1350&gt;=2000,"🥇 Gold",IF(E1350&gt;=800,"🥈 Silver","🥉 Bronze")))</f>
        <v/>
      </c>
      <c r="L1350" s="129" t="n">
        <v>40589</v>
      </c>
    </row>
    <row r="1351">
      <c r="A1351" s="122" t="n">
        <v>14177</v>
      </c>
      <c r="B1351" s="122" t="inlineStr">
        <is>
          <t>United Kingdom</t>
        </is>
      </c>
      <c r="C1351" s="122" t="n">
        <v>87</v>
      </c>
      <c r="D1351" s="122" t="n">
        <v>4</v>
      </c>
      <c r="E1351" s="123" t="n">
        <v>559.41</v>
      </c>
      <c r="F1351" s="124">
        <f>IF(C1351&lt;=30,5,IF(C1351&lt;=60,4,IF(C1351&lt;=120,3,IF(C1351&lt;=200,2,1))))</f>
        <v/>
      </c>
      <c r="G1351" s="124">
        <f>IF(D1351&gt;=20,5,IF(D1351&gt;=10,4,IF(D1351&gt;=5,3,IF(D1351&gt;=2,2,1))))</f>
        <v/>
      </c>
      <c r="H1351" s="124">
        <f>IF(E1351&gt;=5000,5,IF(E1351&gt;=2000,4,IF(E1351&gt;=800,3,IF(E1351&gt;=300,2,1))))</f>
        <v/>
      </c>
      <c r="I1351" s="122">
        <f>TEXT(F1351,"0")&amp;TEXT(G1351,"0")&amp;TEXT(H1351,"0")</f>
        <v/>
      </c>
      <c r="J1351" s="122">
        <f>IFERROR(XLOOKUP(I1351,'Segment Map'!A:A,'Segment Map'!B:B,"Need Attention"),"Need Attention")</f>
        <v/>
      </c>
      <c r="K1351" s="122">
        <f>IF(E1351&gt;=5000,"🏆 Platinum",IF(E1351&gt;=2000,"🥇 Gold",IF(E1351&gt;=800,"🥈 Silver","🥉 Bronze")))</f>
        <v/>
      </c>
      <c r="L1351" s="125" t="n">
        <v>40800</v>
      </c>
    </row>
    <row r="1352">
      <c r="A1352" s="126" t="n">
        <v>14178</v>
      </c>
      <c r="B1352" s="126" t="inlineStr">
        <is>
          <t>United Kingdom</t>
        </is>
      </c>
      <c r="C1352" s="126" t="n">
        <v>9</v>
      </c>
      <c r="D1352" s="126" t="n">
        <v>7</v>
      </c>
      <c r="E1352" s="127" t="n">
        <v>1620.93</v>
      </c>
      <c r="F1352" s="128">
        <f>IF(C1352&lt;=30,5,IF(C1352&lt;=60,4,IF(C1352&lt;=120,3,IF(C1352&lt;=200,2,1))))</f>
        <v/>
      </c>
      <c r="G1352" s="128">
        <f>IF(D1352&gt;=20,5,IF(D1352&gt;=10,4,IF(D1352&gt;=5,3,IF(D1352&gt;=2,2,1))))</f>
        <v/>
      </c>
      <c r="H1352" s="128">
        <f>IF(E1352&gt;=5000,5,IF(E1352&gt;=2000,4,IF(E1352&gt;=800,3,IF(E1352&gt;=300,2,1))))</f>
        <v/>
      </c>
      <c r="I1352" s="126">
        <f>TEXT(F1352,"0")&amp;TEXT(G1352,"0")&amp;TEXT(H1352,"0")</f>
        <v/>
      </c>
      <c r="J1352" s="126">
        <f>IFERROR(XLOOKUP(I1352,'Segment Map'!A:A,'Segment Map'!B:B,"Need Attention"),"Need Attention")</f>
        <v/>
      </c>
      <c r="K1352" s="126">
        <f>IF(E1352&gt;=5000,"🏆 Platinum",IF(E1352&gt;=2000,"🥇 Gold",IF(E1352&gt;=800,"🥈 Silver","🥉 Bronze")))</f>
        <v/>
      </c>
      <c r="L1352" s="129" t="n">
        <v>40878</v>
      </c>
    </row>
    <row r="1353">
      <c r="A1353" s="122" t="n">
        <v>14179</v>
      </c>
      <c r="B1353" s="122" t="inlineStr">
        <is>
          <t>United Kingdom</t>
        </is>
      </c>
      <c r="C1353" s="122" t="n">
        <v>41</v>
      </c>
      <c r="D1353" s="122" t="n">
        <v>2</v>
      </c>
      <c r="E1353" s="123" t="n">
        <v>719.78</v>
      </c>
      <c r="F1353" s="124">
        <f>IF(C1353&lt;=30,5,IF(C1353&lt;=60,4,IF(C1353&lt;=120,3,IF(C1353&lt;=200,2,1))))</f>
        <v/>
      </c>
      <c r="G1353" s="124">
        <f>IF(D1353&gt;=20,5,IF(D1353&gt;=10,4,IF(D1353&gt;=5,3,IF(D1353&gt;=2,2,1))))</f>
        <v/>
      </c>
      <c r="H1353" s="124">
        <f>IF(E1353&gt;=5000,5,IF(E1353&gt;=2000,4,IF(E1353&gt;=800,3,IF(E1353&gt;=300,2,1))))</f>
        <v/>
      </c>
      <c r="I1353" s="122">
        <f>TEXT(F1353,"0")&amp;TEXT(G1353,"0")&amp;TEXT(H1353,"0")</f>
        <v/>
      </c>
      <c r="J1353" s="122">
        <f>IFERROR(XLOOKUP(I1353,'Segment Map'!A:A,'Segment Map'!B:B,"Need Attention"),"Need Attention")</f>
        <v/>
      </c>
      <c r="K1353" s="122">
        <f>IF(E1353&gt;=5000,"🏆 Platinum",IF(E1353&gt;=2000,"🥇 Gold",IF(E1353&gt;=800,"🥈 Silver","🥉 Bronze")))</f>
        <v/>
      </c>
      <c r="L1353" s="125" t="n">
        <v>40846</v>
      </c>
    </row>
    <row r="1354">
      <c r="A1354" s="126" t="n">
        <v>14180</v>
      </c>
      <c r="B1354" s="126" t="inlineStr">
        <is>
          <t>United Kingdom</t>
        </is>
      </c>
      <c r="C1354" s="126" t="n">
        <v>11</v>
      </c>
      <c r="D1354" s="126" t="n">
        <v>25</v>
      </c>
      <c r="E1354" s="127" t="n">
        <v>4748.52</v>
      </c>
      <c r="F1354" s="128">
        <f>IF(C1354&lt;=30,5,IF(C1354&lt;=60,4,IF(C1354&lt;=120,3,IF(C1354&lt;=200,2,1))))</f>
        <v/>
      </c>
      <c r="G1354" s="128">
        <f>IF(D1354&gt;=20,5,IF(D1354&gt;=10,4,IF(D1354&gt;=5,3,IF(D1354&gt;=2,2,1))))</f>
        <v/>
      </c>
      <c r="H1354" s="128">
        <f>IF(E1354&gt;=5000,5,IF(E1354&gt;=2000,4,IF(E1354&gt;=800,3,IF(E1354&gt;=300,2,1))))</f>
        <v/>
      </c>
      <c r="I1354" s="126">
        <f>TEXT(F1354,"0")&amp;TEXT(G1354,"0")&amp;TEXT(H1354,"0")</f>
        <v/>
      </c>
      <c r="J1354" s="126">
        <f>IFERROR(XLOOKUP(I1354,'Segment Map'!A:A,'Segment Map'!B:B,"Need Attention"),"Need Attention")</f>
        <v/>
      </c>
      <c r="K1354" s="126">
        <f>IF(E1354&gt;=5000,"🏆 Platinum",IF(E1354&gt;=2000,"🥇 Gold",IF(E1354&gt;=800,"🥈 Silver","🥉 Bronze")))</f>
        <v/>
      </c>
      <c r="L1354" s="129" t="n">
        <v>40876</v>
      </c>
    </row>
    <row r="1355">
      <c r="A1355" s="122" t="n">
        <v>14184</v>
      </c>
      <c r="B1355" s="122" t="inlineStr">
        <is>
          <t>United Kingdom</t>
        </is>
      </c>
      <c r="C1355" s="122" t="n">
        <v>67</v>
      </c>
      <c r="D1355" s="122" t="n">
        <v>1</v>
      </c>
      <c r="E1355" s="123" t="n">
        <v>452.89</v>
      </c>
      <c r="F1355" s="124">
        <f>IF(C1355&lt;=30,5,IF(C1355&lt;=60,4,IF(C1355&lt;=120,3,IF(C1355&lt;=200,2,1))))</f>
        <v/>
      </c>
      <c r="G1355" s="124">
        <f>IF(D1355&gt;=20,5,IF(D1355&gt;=10,4,IF(D1355&gt;=5,3,IF(D1355&gt;=2,2,1))))</f>
        <v/>
      </c>
      <c r="H1355" s="124">
        <f>IF(E1355&gt;=5000,5,IF(E1355&gt;=2000,4,IF(E1355&gt;=800,3,IF(E1355&gt;=300,2,1))))</f>
        <v/>
      </c>
      <c r="I1355" s="122">
        <f>TEXT(F1355,"0")&amp;TEXT(G1355,"0")&amp;TEXT(H1355,"0")</f>
        <v/>
      </c>
      <c r="J1355" s="122">
        <f>IFERROR(XLOOKUP(I1355,'Segment Map'!A:A,'Segment Map'!B:B,"Need Attention"),"Need Attention")</f>
        <v/>
      </c>
      <c r="K1355" s="122">
        <f>IF(E1355&gt;=5000,"🏆 Platinum",IF(E1355&gt;=2000,"🥇 Gold",IF(E1355&gt;=800,"🥈 Silver","🥉 Bronze")))</f>
        <v/>
      </c>
      <c r="L1355" s="125" t="n">
        <v>40820</v>
      </c>
    </row>
    <row r="1356">
      <c r="A1356" s="126" t="n">
        <v>14185</v>
      </c>
      <c r="B1356" s="126" t="inlineStr">
        <is>
          <t>United Kingdom</t>
        </is>
      </c>
      <c r="C1356" s="126" t="n">
        <v>332</v>
      </c>
      <c r="D1356" s="126" t="n">
        <v>1</v>
      </c>
      <c r="E1356" s="127" t="n">
        <v>197.65</v>
      </c>
      <c r="F1356" s="128">
        <f>IF(C1356&lt;=30,5,IF(C1356&lt;=60,4,IF(C1356&lt;=120,3,IF(C1356&lt;=200,2,1))))</f>
        <v/>
      </c>
      <c r="G1356" s="128">
        <f>IF(D1356&gt;=20,5,IF(D1356&gt;=10,4,IF(D1356&gt;=5,3,IF(D1356&gt;=2,2,1))))</f>
        <v/>
      </c>
      <c r="H1356" s="128">
        <f>IF(E1356&gt;=5000,5,IF(E1356&gt;=2000,4,IF(E1356&gt;=800,3,IF(E1356&gt;=300,2,1))))</f>
        <v/>
      </c>
      <c r="I1356" s="126">
        <f>TEXT(F1356,"0")&amp;TEXT(G1356,"0")&amp;TEXT(H1356,"0")</f>
        <v/>
      </c>
      <c r="J1356" s="126">
        <f>IFERROR(XLOOKUP(I1356,'Segment Map'!A:A,'Segment Map'!B:B,"Need Attention"),"Need Attention")</f>
        <v/>
      </c>
      <c r="K1356" s="126">
        <f>IF(E1356&gt;=5000,"🏆 Platinum",IF(E1356&gt;=2000,"🥇 Gold",IF(E1356&gt;=800,"🥈 Silver","🥉 Bronze")))</f>
        <v/>
      </c>
      <c r="L1356" s="129" t="n">
        <v>40555</v>
      </c>
    </row>
    <row r="1357">
      <c r="A1357" s="122" t="n">
        <v>14188</v>
      </c>
      <c r="B1357" s="122" t="inlineStr">
        <is>
          <t>United Kingdom</t>
        </is>
      </c>
      <c r="C1357" s="122" t="n">
        <v>31</v>
      </c>
      <c r="D1357" s="122" t="n">
        <v>6</v>
      </c>
      <c r="E1357" s="123" t="n">
        <v>2054.36</v>
      </c>
      <c r="F1357" s="124">
        <f>IF(C1357&lt;=30,5,IF(C1357&lt;=60,4,IF(C1357&lt;=120,3,IF(C1357&lt;=200,2,1))))</f>
        <v/>
      </c>
      <c r="G1357" s="124">
        <f>IF(D1357&gt;=20,5,IF(D1357&gt;=10,4,IF(D1357&gt;=5,3,IF(D1357&gt;=2,2,1))))</f>
        <v/>
      </c>
      <c r="H1357" s="124">
        <f>IF(E1357&gt;=5000,5,IF(E1357&gt;=2000,4,IF(E1357&gt;=800,3,IF(E1357&gt;=300,2,1))))</f>
        <v/>
      </c>
      <c r="I1357" s="122">
        <f>TEXT(F1357,"0")&amp;TEXT(G1357,"0")&amp;TEXT(H1357,"0")</f>
        <v/>
      </c>
      <c r="J1357" s="122">
        <f>IFERROR(XLOOKUP(I1357,'Segment Map'!A:A,'Segment Map'!B:B,"Need Attention"),"Need Attention")</f>
        <v/>
      </c>
      <c r="K1357" s="122">
        <f>IF(E1357&gt;=5000,"🏆 Platinum",IF(E1357&gt;=2000,"🥇 Gold",IF(E1357&gt;=800,"🥈 Silver","🥉 Bronze")))</f>
        <v/>
      </c>
      <c r="L1357" s="125" t="n">
        <v>40856</v>
      </c>
    </row>
    <row r="1358">
      <c r="A1358" s="126" t="n">
        <v>14189</v>
      </c>
      <c r="B1358" s="126" t="inlineStr">
        <is>
          <t>United Kingdom</t>
        </is>
      </c>
      <c r="C1358" s="126" t="n">
        <v>3</v>
      </c>
      <c r="D1358" s="126" t="n">
        <v>15</v>
      </c>
      <c r="E1358" s="127" t="n">
        <v>4654.08</v>
      </c>
      <c r="F1358" s="128">
        <f>IF(C1358&lt;=30,5,IF(C1358&lt;=60,4,IF(C1358&lt;=120,3,IF(C1358&lt;=200,2,1))))</f>
        <v/>
      </c>
      <c r="G1358" s="128">
        <f>IF(D1358&gt;=20,5,IF(D1358&gt;=10,4,IF(D1358&gt;=5,3,IF(D1358&gt;=2,2,1))))</f>
        <v/>
      </c>
      <c r="H1358" s="128">
        <f>IF(E1358&gt;=5000,5,IF(E1358&gt;=2000,4,IF(E1358&gt;=800,3,IF(E1358&gt;=300,2,1))))</f>
        <v/>
      </c>
      <c r="I1358" s="126">
        <f>TEXT(F1358,"0")&amp;TEXT(G1358,"0")&amp;TEXT(H1358,"0")</f>
        <v/>
      </c>
      <c r="J1358" s="126">
        <f>IFERROR(XLOOKUP(I1358,'Segment Map'!A:A,'Segment Map'!B:B,"Need Attention"),"Need Attention")</f>
        <v/>
      </c>
      <c r="K1358" s="126">
        <f>IF(E1358&gt;=5000,"🏆 Platinum",IF(E1358&gt;=2000,"🥇 Gold",IF(E1358&gt;=800,"🥈 Silver","🥉 Bronze")))</f>
        <v/>
      </c>
      <c r="L1358" s="129" t="n">
        <v>40884</v>
      </c>
    </row>
    <row r="1359">
      <c r="A1359" s="122" t="n">
        <v>14191</v>
      </c>
      <c r="B1359" s="122" t="inlineStr">
        <is>
          <t>United Kingdom</t>
        </is>
      </c>
      <c r="C1359" s="122" t="n">
        <v>2</v>
      </c>
      <c r="D1359" s="122" t="n">
        <v>13</v>
      </c>
      <c r="E1359" s="123" t="n">
        <v>4684.76</v>
      </c>
      <c r="F1359" s="124">
        <f>IF(C1359&lt;=30,5,IF(C1359&lt;=60,4,IF(C1359&lt;=120,3,IF(C1359&lt;=200,2,1))))</f>
        <v/>
      </c>
      <c r="G1359" s="124">
        <f>IF(D1359&gt;=20,5,IF(D1359&gt;=10,4,IF(D1359&gt;=5,3,IF(D1359&gt;=2,2,1))))</f>
        <v/>
      </c>
      <c r="H1359" s="124">
        <f>IF(E1359&gt;=5000,5,IF(E1359&gt;=2000,4,IF(E1359&gt;=800,3,IF(E1359&gt;=300,2,1))))</f>
        <v/>
      </c>
      <c r="I1359" s="122">
        <f>TEXT(F1359,"0")&amp;TEXT(G1359,"0")&amp;TEXT(H1359,"0")</f>
        <v/>
      </c>
      <c r="J1359" s="122">
        <f>IFERROR(XLOOKUP(I1359,'Segment Map'!A:A,'Segment Map'!B:B,"Need Attention"),"Need Attention")</f>
        <v/>
      </c>
      <c r="K1359" s="122">
        <f>IF(E1359&gt;=5000,"🏆 Platinum",IF(E1359&gt;=2000,"🥇 Gold",IF(E1359&gt;=800,"🥈 Silver","🥉 Bronze")))</f>
        <v/>
      </c>
      <c r="L1359" s="125" t="n">
        <v>40885</v>
      </c>
    </row>
    <row r="1360">
      <c r="A1360" s="126" t="n">
        <v>14193</v>
      </c>
      <c r="B1360" s="126" t="inlineStr">
        <is>
          <t>United Kingdom</t>
        </is>
      </c>
      <c r="C1360" s="126" t="n">
        <v>68</v>
      </c>
      <c r="D1360" s="126" t="n">
        <v>2</v>
      </c>
      <c r="E1360" s="127" t="n">
        <v>853.39</v>
      </c>
      <c r="F1360" s="128">
        <f>IF(C1360&lt;=30,5,IF(C1360&lt;=60,4,IF(C1360&lt;=120,3,IF(C1360&lt;=200,2,1))))</f>
        <v/>
      </c>
      <c r="G1360" s="128">
        <f>IF(D1360&gt;=20,5,IF(D1360&gt;=10,4,IF(D1360&gt;=5,3,IF(D1360&gt;=2,2,1))))</f>
        <v/>
      </c>
      <c r="H1360" s="128">
        <f>IF(E1360&gt;=5000,5,IF(E1360&gt;=2000,4,IF(E1360&gt;=800,3,IF(E1360&gt;=300,2,1))))</f>
        <v/>
      </c>
      <c r="I1360" s="126">
        <f>TEXT(F1360,"0")&amp;TEXT(G1360,"0")&amp;TEXT(H1360,"0")</f>
        <v/>
      </c>
      <c r="J1360" s="126">
        <f>IFERROR(XLOOKUP(I1360,'Segment Map'!A:A,'Segment Map'!B:B,"Need Attention"),"Need Attention")</f>
        <v/>
      </c>
      <c r="K1360" s="126">
        <f>IF(E1360&gt;=5000,"🏆 Platinum",IF(E1360&gt;=2000,"🥇 Gold",IF(E1360&gt;=800,"🥈 Silver","🥉 Bronze")))</f>
        <v/>
      </c>
      <c r="L1360" s="129" t="n">
        <v>40819</v>
      </c>
    </row>
    <row r="1361">
      <c r="A1361" s="122" t="n">
        <v>14194</v>
      </c>
      <c r="B1361" s="122" t="inlineStr">
        <is>
          <t>United Kingdom</t>
        </is>
      </c>
      <c r="C1361" s="122" t="n">
        <v>5</v>
      </c>
      <c r="D1361" s="122" t="n">
        <v>21</v>
      </c>
      <c r="E1361" s="123" t="n">
        <v>11349.52</v>
      </c>
      <c r="F1361" s="124">
        <f>IF(C1361&lt;=30,5,IF(C1361&lt;=60,4,IF(C1361&lt;=120,3,IF(C1361&lt;=200,2,1))))</f>
        <v/>
      </c>
      <c r="G1361" s="124">
        <f>IF(D1361&gt;=20,5,IF(D1361&gt;=10,4,IF(D1361&gt;=5,3,IF(D1361&gt;=2,2,1))))</f>
        <v/>
      </c>
      <c r="H1361" s="124">
        <f>IF(E1361&gt;=5000,5,IF(E1361&gt;=2000,4,IF(E1361&gt;=800,3,IF(E1361&gt;=300,2,1))))</f>
        <v/>
      </c>
      <c r="I1361" s="122">
        <f>TEXT(F1361,"0")&amp;TEXT(G1361,"0")&amp;TEXT(H1361,"0")</f>
        <v/>
      </c>
      <c r="J1361" s="122">
        <f>IFERROR(XLOOKUP(I1361,'Segment Map'!A:A,'Segment Map'!B:B,"Need Attention"),"Need Attention")</f>
        <v/>
      </c>
      <c r="K1361" s="122">
        <f>IF(E1361&gt;=5000,"🏆 Platinum",IF(E1361&gt;=2000,"🥇 Gold",IF(E1361&gt;=800,"🥈 Silver","🥉 Bronze")))</f>
        <v/>
      </c>
      <c r="L1361" s="125" t="n">
        <v>40882</v>
      </c>
    </row>
    <row r="1362">
      <c r="A1362" s="126" t="n">
        <v>14195</v>
      </c>
      <c r="B1362" s="126" t="inlineStr">
        <is>
          <t>United Kingdom</t>
        </is>
      </c>
      <c r="C1362" s="126" t="n">
        <v>202</v>
      </c>
      <c r="D1362" s="126" t="n">
        <v>2</v>
      </c>
      <c r="E1362" s="127" t="n">
        <v>1012</v>
      </c>
      <c r="F1362" s="128">
        <f>IF(C1362&lt;=30,5,IF(C1362&lt;=60,4,IF(C1362&lt;=120,3,IF(C1362&lt;=200,2,1))))</f>
        <v/>
      </c>
      <c r="G1362" s="128">
        <f>IF(D1362&gt;=20,5,IF(D1362&gt;=10,4,IF(D1362&gt;=5,3,IF(D1362&gt;=2,2,1))))</f>
        <v/>
      </c>
      <c r="H1362" s="128">
        <f>IF(E1362&gt;=5000,5,IF(E1362&gt;=2000,4,IF(E1362&gt;=800,3,IF(E1362&gt;=300,2,1))))</f>
        <v/>
      </c>
      <c r="I1362" s="126">
        <f>TEXT(F1362,"0")&amp;TEXT(G1362,"0")&amp;TEXT(H1362,"0")</f>
        <v/>
      </c>
      <c r="J1362" s="126">
        <f>IFERROR(XLOOKUP(I1362,'Segment Map'!A:A,'Segment Map'!B:B,"Need Attention"),"Need Attention")</f>
        <v/>
      </c>
      <c r="K1362" s="126">
        <f>IF(E1362&gt;=5000,"🏆 Platinum",IF(E1362&gt;=2000,"🥇 Gold",IF(E1362&gt;=800,"🥈 Silver","🥉 Bronze")))</f>
        <v/>
      </c>
      <c r="L1362" s="129" t="n">
        <v>40685</v>
      </c>
    </row>
    <row r="1363">
      <c r="A1363" s="122" t="n">
        <v>14196</v>
      </c>
      <c r="B1363" s="122" t="inlineStr">
        <is>
          <t>United Kingdom</t>
        </is>
      </c>
      <c r="C1363" s="122" t="n">
        <v>107</v>
      </c>
      <c r="D1363" s="122" t="n">
        <v>1</v>
      </c>
      <c r="E1363" s="123" t="n">
        <v>335.52</v>
      </c>
      <c r="F1363" s="124">
        <f>IF(C1363&lt;=30,5,IF(C1363&lt;=60,4,IF(C1363&lt;=120,3,IF(C1363&lt;=200,2,1))))</f>
        <v/>
      </c>
      <c r="G1363" s="124">
        <f>IF(D1363&gt;=20,5,IF(D1363&gt;=10,4,IF(D1363&gt;=5,3,IF(D1363&gt;=2,2,1))))</f>
        <v/>
      </c>
      <c r="H1363" s="124">
        <f>IF(E1363&gt;=5000,5,IF(E1363&gt;=2000,4,IF(E1363&gt;=800,3,IF(E1363&gt;=300,2,1))))</f>
        <v/>
      </c>
      <c r="I1363" s="122">
        <f>TEXT(F1363,"0")&amp;TEXT(G1363,"0")&amp;TEXT(H1363,"0")</f>
        <v/>
      </c>
      <c r="J1363" s="122">
        <f>IFERROR(XLOOKUP(I1363,'Segment Map'!A:A,'Segment Map'!B:B,"Need Attention"),"Need Attention")</f>
        <v/>
      </c>
      <c r="K1363" s="122">
        <f>IF(E1363&gt;=5000,"🏆 Platinum",IF(E1363&gt;=2000,"🥇 Gold",IF(E1363&gt;=800,"🥈 Silver","🥉 Bronze")))</f>
        <v/>
      </c>
      <c r="L1363" s="125" t="n">
        <v>40780</v>
      </c>
    </row>
    <row r="1364">
      <c r="A1364" s="126" t="n">
        <v>14198</v>
      </c>
      <c r="B1364" s="126" t="inlineStr">
        <is>
          <t>United Kingdom</t>
        </is>
      </c>
      <c r="C1364" s="126" t="n">
        <v>19</v>
      </c>
      <c r="D1364" s="126" t="n">
        <v>4</v>
      </c>
      <c r="E1364" s="127" t="n">
        <v>701.4</v>
      </c>
      <c r="F1364" s="128">
        <f>IF(C1364&lt;=30,5,IF(C1364&lt;=60,4,IF(C1364&lt;=120,3,IF(C1364&lt;=200,2,1))))</f>
        <v/>
      </c>
      <c r="G1364" s="128">
        <f>IF(D1364&gt;=20,5,IF(D1364&gt;=10,4,IF(D1364&gt;=5,3,IF(D1364&gt;=2,2,1))))</f>
        <v/>
      </c>
      <c r="H1364" s="128">
        <f>IF(E1364&gt;=5000,5,IF(E1364&gt;=2000,4,IF(E1364&gt;=800,3,IF(E1364&gt;=300,2,1))))</f>
        <v/>
      </c>
      <c r="I1364" s="126">
        <f>TEXT(F1364,"0")&amp;TEXT(G1364,"0")&amp;TEXT(H1364,"0")</f>
        <v/>
      </c>
      <c r="J1364" s="126">
        <f>IFERROR(XLOOKUP(I1364,'Segment Map'!A:A,'Segment Map'!B:B,"Need Attention"),"Need Attention")</f>
        <v/>
      </c>
      <c r="K1364" s="126">
        <f>IF(E1364&gt;=5000,"🏆 Platinum",IF(E1364&gt;=2000,"🥇 Gold",IF(E1364&gt;=800,"🥈 Silver","🥉 Bronze")))</f>
        <v/>
      </c>
      <c r="L1364" s="129" t="n">
        <v>40868</v>
      </c>
    </row>
    <row r="1365">
      <c r="A1365" s="122" t="n">
        <v>14199</v>
      </c>
      <c r="B1365" s="122" t="inlineStr">
        <is>
          <t>United Kingdom</t>
        </is>
      </c>
      <c r="C1365" s="122" t="n">
        <v>219</v>
      </c>
      <c r="D1365" s="122" t="n">
        <v>1</v>
      </c>
      <c r="E1365" s="123" t="n">
        <v>185.4</v>
      </c>
      <c r="F1365" s="124">
        <f>IF(C1365&lt;=30,5,IF(C1365&lt;=60,4,IF(C1365&lt;=120,3,IF(C1365&lt;=200,2,1))))</f>
        <v/>
      </c>
      <c r="G1365" s="124">
        <f>IF(D1365&gt;=20,5,IF(D1365&gt;=10,4,IF(D1365&gt;=5,3,IF(D1365&gt;=2,2,1))))</f>
        <v/>
      </c>
      <c r="H1365" s="124">
        <f>IF(E1365&gt;=5000,5,IF(E1365&gt;=2000,4,IF(E1365&gt;=800,3,IF(E1365&gt;=300,2,1))))</f>
        <v/>
      </c>
      <c r="I1365" s="122">
        <f>TEXT(F1365,"0")&amp;TEXT(G1365,"0")&amp;TEXT(H1365,"0")</f>
        <v/>
      </c>
      <c r="J1365" s="122">
        <f>IFERROR(XLOOKUP(I1365,'Segment Map'!A:A,'Segment Map'!B:B,"Need Attention"),"Need Attention")</f>
        <v/>
      </c>
      <c r="K1365" s="122">
        <f>IF(E1365&gt;=5000,"🏆 Platinum",IF(E1365&gt;=2000,"🥇 Gold",IF(E1365&gt;=800,"🥈 Silver","🥉 Bronze")))</f>
        <v/>
      </c>
      <c r="L1365" s="125" t="n">
        <v>40668</v>
      </c>
    </row>
    <row r="1366">
      <c r="A1366" s="126" t="n">
        <v>14201</v>
      </c>
      <c r="B1366" s="126" t="inlineStr">
        <is>
          <t>United Kingdom</t>
        </is>
      </c>
      <c r="C1366" s="126" t="n">
        <v>61</v>
      </c>
      <c r="D1366" s="126" t="n">
        <v>7</v>
      </c>
      <c r="E1366" s="127" t="n">
        <v>747.4400000000001</v>
      </c>
      <c r="F1366" s="128">
        <f>IF(C1366&lt;=30,5,IF(C1366&lt;=60,4,IF(C1366&lt;=120,3,IF(C1366&lt;=200,2,1))))</f>
        <v/>
      </c>
      <c r="G1366" s="128">
        <f>IF(D1366&gt;=20,5,IF(D1366&gt;=10,4,IF(D1366&gt;=5,3,IF(D1366&gt;=2,2,1))))</f>
        <v/>
      </c>
      <c r="H1366" s="128">
        <f>IF(E1366&gt;=5000,5,IF(E1366&gt;=2000,4,IF(E1366&gt;=800,3,IF(E1366&gt;=300,2,1))))</f>
        <v/>
      </c>
      <c r="I1366" s="126">
        <f>TEXT(F1366,"0")&amp;TEXT(G1366,"0")&amp;TEXT(H1366,"0")</f>
        <v/>
      </c>
      <c r="J1366" s="126">
        <f>IFERROR(XLOOKUP(I1366,'Segment Map'!A:A,'Segment Map'!B:B,"Need Attention"),"Need Attention")</f>
        <v/>
      </c>
      <c r="K1366" s="126">
        <f>IF(E1366&gt;=5000,"🏆 Platinum",IF(E1366&gt;=2000,"🥇 Gold",IF(E1366&gt;=800,"🥈 Silver","🥉 Bronze")))</f>
        <v/>
      </c>
      <c r="L1366" s="129" t="n">
        <v>40826</v>
      </c>
    </row>
    <row r="1367">
      <c r="A1367" s="122" t="n">
        <v>14204</v>
      </c>
      <c r="B1367" s="122" t="inlineStr">
        <is>
          <t>United Kingdom</t>
        </is>
      </c>
      <c r="C1367" s="122" t="n">
        <v>3</v>
      </c>
      <c r="D1367" s="122" t="n">
        <v>1</v>
      </c>
      <c r="E1367" s="123" t="n">
        <v>161.03</v>
      </c>
      <c r="F1367" s="124">
        <f>IF(C1367&lt;=30,5,IF(C1367&lt;=60,4,IF(C1367&lt;=120,3,IF(C1367&lt;=200,2,1))))</f>
        <v/>
      </c>
      <c r="G1367" s="124">
        <f>IF(D1367&gt;=20,5,IF(D1367&gt;=10,4,IF(D1367&gt;=5,3,IF(D1367&gt;=2,2,1))))</f>
        <v/>
      </c>
      <c r="H1367" s="124">
        <f>IF(E1367&gt;=5000,5,IF(E1367&gt;=2000,4,IF(E1367&gt;=800,3,IF(E1367&gt;=300,2,1))))</f>
        <v/>
      </c>
      <c r="I1367" s="122">
        <f>TEXT(F1367,"0")&amp;TEXT(G1367,"0")&amp;TEXT(H1367,"0")</f>
        <v/>
      </c>
      <c r="J1367" s="122">
        <f>IFERROR(XLOOKUP(I1367,'Segment Map'!A:A,'Segment Map'!B:B,"Need Attention"),"Need Attention")</f>
        <v/>
      </c>
      <c r="K1367" s="122">
        <f>IF(E1367&gt;=5000,"🏆 Platinum",IF(E1367&gt;=2000,"🥇 Gold",IF(E1367&gt;=800,"🥈 Silver","🥉 Bronze")))</f>
        <v/>
      </c>
      <c r="L1367" s="125" t="n">
        <v>40884</v>
      </c>
    </row>
    <row r="1368">
      <c r="A1368" s="126" t="n">
        <v>14205</v>
      </c>
      <c r="B1368" s="126" t="inlineStr">
        <is>
          <t>United Kingdom</t>
        </is>
      </c>
      <c r="C1368" s="126" t="n">
        <v>17</v>
      </c>
      <c r="D1368" s="126" t="n">
        <v>2</v>
      </c>
      <c r="E1368" s="127" t="n">
        <v>466.7</v>
      </c>
      <c r="F1368" s="128">
        <f>IF(C1368&lt;=30,5,IF(C1368&lt;=60,4,IF(C1368&lt;=120,3,IF(C1368&lt;=200,2,1))))</f>
        <v/>
      </c>
      <c r="G1368" s="128">
        <f>IF(D1368&gt;=20,5,IF(D1368&gt;=10,4,IF(D1368&gt;=5,3,IF(D1368&gt;=2,2,1))))</f>
        <v/>
      </c>
      <c r="H1368" s="128">
        <f>IF(E1368&gt;=5000,5,IF(E1368&gt;=2000,4,IF(E1368&gt;=800,3,IF(E1368&gt;=300,2,1))))</f>
        <v/>
      </c>
      <c r="I1368" s="126">
        <f>TEXT(F1368,"0")&amp;TEXT(G1368,"0")&amp;TEXT(H1368,"0")</f>
        <v/>
      </c>
      <c r="J1368" s="126">
        <f>IFERROR(XLOOKUP(I1368,'Segment Map'!A:A,'Segment Map'!B:B,"Need Attention"),"Need Attention")</f>
        <v/>
      </c>
      <c r="K1368" s="126">
        <f>IF(E1368&gt;=5000,"🏆 Platinum",IF(E1368&gt;=2000,"🥇 Gold",IF(E1368&gt;=800,"🥈 Silver","🥉 Bronze")))</f>
        <v/>
      </c>
      <c r="L1368" s="129" t="n">
        <v>40870</v>
      </c>
    </row>
    <row r="1369">
      <c r="A1369" s="122" t="n">
        <v>14206</v>
      </c>
      <c r="B1369" s="122" t="inlineStr">
        <is>
          <t>United Kingdom</t>
        </is>
      </c>
      <c r="C1369" s="122" t="n">
        <v>240</v>
      </c>
      <c r="D1369" s="122" t="n">
        <v>1</v>
      </c>
      <c r="E1369" s="123" t="n">
        <v>328.16</v>
      </c>
      <c r="F1369" s="124">
        <f>IF(C1369&lt;=30,5,IF(C1369&lt;=60,4,IF(C1369&lt;=120,3,IF(C1369&lt;=200,2,1))))</f>
        <v/>
      </c>
      <c r="G1369" s="124">
        <f>IF(D1369&gt;=20,5,IF(D1369&gt;=10,4,IF(D1369&gt;=5,3,IF(D1369&gt;=2,2,1))))</f>
        <v/>
      </c>
      <c r="H1369" s="124">
        <f>IF(E1369&gt;=5000,5,IF(E1369&gt;=2000,4,IF(E1369&gt;=800,3,IF(E1369&gt;=300,2,1))))</f>
        <v/>
      </c>
      <c r="I1369" s="122">
        <f>TEXT(F1369,"0")&amp;TEXT(G1369,"0")&amp;TEXT(H1369,"0")</f>
        <v/>
      </c>
      <c r="J1369" s="122">
        <f>IFERROR(XLOOKUP(I1369,'Segment Map'!A:A,'Segment Map'!B:B,"Need Attention"),"Need Attention")</f>
        <v/>
      </c>
      <c r="K1369" s="122">
        <f>IF(E1369&gt;=5000,"🏆 Platinum",IF(E1369&gt;=2000,"🥇 Gold",IF(E1369&gt;=800,"🥈 Silver","🥉 Bronze")))</f>
        <v/>
      </c>
      <c r="L1369" s="125" t="n">
        <v>40647</v>
      </c>
    </row>
    <row r="1370">
      <c r="A1370" s="126" t="n">
        <v>14208</v>
      </c>
      <c r="B1370" s="126" t="inlineStr">
        <is>
          <t>United Kingdom</t>
        </is>
      </c>
      <c r="C1370" s="126" t="n">
        <v>95</v>
      </c>
      <c r="D1370" s="126" t="n">
        <v>1</v>
      </c>
      <c r="E1370" s="127" t="n">
        <v>151.74</v>
      </c>
      <c r="F1370" s="128">
        <f>IF(C1370&lt;=30,5,IF(C1370&lt;=60,4,IF(C1370&lt;=120,3,IF(C1370&lt;=200,2,1))))</f>
        <v/>
      </c>
      <c r="G1370" s="128">
        <f>IF(D1370&gt;=20,5,IF(D1370&gt;=10,4,IF(D1370&gt;=5,3,IF(D1370&gt;=2,2,1))))</f>
        <v/>
      </c>
      <c r="H1370" s="128">
        <f>IF(E1370&gt;=5000,5,IF(E1370&gt;=2000,4,IF(E1370&gt;=800,3,IF(E1370&gt;=300,2,1))))</f>
        <v/>
      </c>
      <c r="I1370" s="126">
        <f>TEXT(F1370,"0")&amp;TEXT(G1370,"0")&amp;TEXT(H1370,"0")</f>
        <v/>
      </c>
      <c r="J1370" s="126">
        <f>IFERROR(XLOOKUP(I1370,'Segment Map'!A:A,'Segment Map'!B:B,"Need Attention"),"Need Attention")</f>
        <v/>
      </c>
      <c r="K1370" s="126">
        <f>IF(E1370&gt;=5000,"🏆 Platinum",IF(E1370&gt;=2000,"🥇 Gold",IF(E1370&gt;=800,"🥈 Silver","🥉 Bronze")))</f>
        <v/>
      </c>
      <c r="L1370" s="129" t="n">
        <v>40792</v>
      </c>
    </row>
    <row r="1371">
      <c r="A1371" s="122" t="n">
        <v>14209</v>
      </c>
      <c r="B1371" s="122" t="inlineStr">
        <is>
          <t>United Kingdom</t>
        </is>
      </c>
      <c r="C1371" s="122" t="n">
        <v>11</v>
      </c>
      <c r="D1371" s="122" t="n">
        <v>6</v>
      </c>
      <c r="E1371" s="123" t="n">
        <v>2073.43</v>
      </c>
      <c r="F1371" s="124">
        <f>IF(C1371&lt;=30,5,IF(C1371&lt;=60,4,IF(C1371&lt;=120,3,IF(C1371&lt;=200,2,1))))</f>
        <v/>
      </c>
      <c r="G1371" s="124">
        <f>IF(D1371&gt;=20,5,IF(D1371&gt;=10,4,IF(D1371&gt;=5,3,IF(D1371&gt;=2,2,1))))</f>
        <v/>
      </c>
      <c r="H1371" s="124">
        <f>IF(E1371&gt;=5000,5,IF(E1371&gt;=2000,4,IF(E1371&gt;=800,3,IF(E1371&gt;=300,2,1))))</f>
        <v/>
      </c>
      <c r="I1371" s="122">
        <f>TEXT(F1371,"0")&amp;TEXT(G1371,"0")&amp;TEXT(H1371,"0")</f>
        <v/>
      </c>
      <c r="J1371" s="122">
        <f>IFERROR(XLOOKUP(I1371,'Segment Map'!A:A,'Segment Map'!B:B,"Need Attention"),"Need Attention")</f>
        <v/>
      </c>
      <c r="K1371" s="122">
        <f>IF(E1371&gt;=5000,"🏆 Platinum",IF(E1371&gt;=2000,"🥇 Gold",IF(E1371&gt;=800,"🥈 Silver","🥉 Bronze")))</f>
        <v/>
      </c>
      <c r="L1371" s="125" t="n">
        <v>40876</v>
      </c>
    </row>
    <row r="1372">
      <c r="A1372" s="126" t="n">
        <v>14210</v>
      </c>
      <c r="B1372" s="126" t="inlineStr">
        <is>
          <t>United Kingdom</t>
        </is>
      </c>
      <c r="C1372" s="126" t="n">
        <v>106</v>
      </c>
      <c r="D1372" s="126" t="n">
        <v>6</v>
      </c>
      <c r="E1372" s="127" t="n">
        <v>1905.84</v>
      </c>
      <c r="F1372" s="128">
        <f>IF(C1372&lt;=30,5,IF(C1372&lt;=60,4,IF(C1372&lt;=120,3,IF(C1372&lt;=200,2,1))))</f>
        <v/>
      </c>
      <c r="G1372" s="128">
        <f>IF(D1372&gt;=20,5,IF(D1372&gt;=10,4,IF(D1372&gt;=5,3,IF(D1372&gt;=2,2,1))))</f>
        <v/>
      </c>
      <c r="H1372" s="128">
        <f>IF(E1372&gt;=5000,5,IF(E1372&gt;=2000,4,IF(E1372&gt;=800,3,IF(E1372&gt;=300,2,1))))</f>
        <v/>
      </c>
      <c r="I1372" s="126">
        <f>TEXT(F1372,"0")&amp;TEXT(G1372,"0")&amp;TEXT(H1372,"0")</f>
        <v/>
      </c>
      <c r="J1372" s="126">
        <f>IFERROR(XLOOKUP(I1372,'Segment Map'!A:A,'Segment Map'!B:B,"Need Attention"),"Need Attention")</f>
        <v/>
      </c>
      <c r="K1372" s="126">
        <f>IF(E1372&gt;=5000,"🏆 Platinum",IF(E1372&gt;=2000,"🥇 Gold",IF(E1372&gt;=800,"🥈 Silver","🥉 Bronze")))</f>
        <v/>
      </c>
      <c r="L1372" s="129" t="n">
        <v>40781</v>
      </c>
    </row>
    <row r="1373">
      <c r="A1373" s="122" t="n">
        <v>14211</v>
      </c>
      <c r="B1373" s="122" t="inlineStr">
        <is>
          <t>United Kingdom</t>
        </is>
      </c>
      <c r="C1373" s="122" t="n">
        <v>54</v>
      </c>
      <c r="D1373" s="122" t="n">
        <v>9</v>
      </c>
      <c r="E1373" s="123" t="n">
        <v>2241.1</v>
      </c>
      <c r="F1373" s="124">
        <f>IF(C1373&lt;=30,5,IF(C1373&lt;=60,4,IF(C1373&lt;=120,3,IF(C1373&lt;=200,2,1))))</f>
        <v/>
      </c>
      <c r="G1373" s="124">
        <f>IF(D1373&gt;=20,5,IF(D1373&gt;=10,4,IF(D1373&gt;=5,3,IF(D1373&gt;=2,2,1))))</f>
        <v/>
      </c>
      <c r="H1373" s="124">
        <f>IF(E1373&gt;=5000,5,IF(E1373&gt;=2000,4,IF(E1373&gt;=800,3,IF(E1373&gt;=300,2,1))))</f>
        <v/>
      </c>
      <c r="I1373" s="122">
        <f>TEXT(F1373,"0")&amp;TEXT(G1373,"0")&amp;TEXT(H1373,"0")</f>
        <v/>
      </c>
      <c r="J1373" s="122">
        <f>IFERROR(XLOOKUP(I1373,'Segment Map'!A:A,'Segment Map'!B:B,"Need Attention"),"Need Attention")</f>
        <v/>
      </c>
      <c r="K1373" s="122">
        <f>IF(E1373&gt;=5000,"🏆 Platinum",IF(E1373&gt;=2000,"🥇 Gold",IF(E1373&gt;=800,"🥈 Silver","🥉 Bronze")))</f>
        <v/>
      </c>
      <c r="L1373" s="125" t="n">
        <v>40833</v>
      </c>
    </row>
    <row r="1374">
      <c r="A1374" s="126" t="n">
        <v>14212</v>
      </c>
      <c r="B1374" s="126" t="inlineStr">
        <is>
          <t>United Kingdom</t>
        </is>
      </c>
      <c r="C1374" s="126" t="n">
        <v>90</v>
      </c>
      <c r="D1374" s="126" t="n">
        <v>1</v>
      </c>
      <c r="E1374" s="127" t="n">
        <v>1070.48</v>
      </c>
      <c r="F1374" s="128">
        <f>IF(C1374&lt;=30,5,IF(C1374&lt;=60,4,IF(C1374&lt;=120,3,IF(C1374&lt;=200,2,1))))</f>
        <v/>
      </c>
      <c r="G1374" s="128">
        <f>IF(D1374&gt;=20,5,IF(D1374&gt;=10,4,IF(D1374&gt;=5,3,IF(D1374&gt;=2,2,1))))</f>
        <v/>
      </c>
      <c r="H1374" s="128">
        <f>IF(E1374&gt;=5000,5,IF(E1374&gt;=2000,4,IF(E1374&gt;=800,3,IF(E1374&gt;=300,2,1))))</f>
        <v/>
      </c>
      <c r="I1374" s="126">
        <f>TEXT(F1374,"0")&amp;TEXT(G1374,"0")&amp;TEXT(H1374,"0")</f>
        <v/>
      </c>
      <c r="J1374" s="126">
        <f>IFERROR(XLOOKUP(I1374,'Segment Map'!A:A,'Segment Map'!B:B,"Need Attention"),"Need Attention")</f>
        <v/>
      </c>
      <c r="K1374" s="126">
        <f>IF(E1374&gt;=5000,"🏆 Platinum",IF(E1374&gt;=2000,"🥇 Gold",IF(E1374&gt;=800,"🥈 Silver","🥉 Bronze")))</f>
        <v/>
      </c>
      <c r="L1374" s="129" t="n">
        <v>40797</v>
      </c>
    </row>
    <row r="1375">
      <c r="A1375" s="122" t="n">
        <v>14214</v>
      </c>
      <c r="B1375" s="122" t="inlineStr">
        <is>
          <t>United Kingdom</t>
        </is>
      </c>
      <c r="C1375" s="122" t="n">
        <v>31</v>
      </c>
      <c r="D1375" s="122" t="n">
        <v>5</v>
      </c>
      <c r="E1375" s="123" t="n">
        <v>1004.38</v>
      </c>
      <c r="F1375" s="124">
        <f>IF(C1375&lt;=30,5,IF(C1375&lt;=60,4,IF(C1375&lt;=120,3,IF(C1375&lt;=200,2,1))))</f>
        <v/>
      </c>
      <c r="G1375" s="124">
        <f>IF(D1375&gt;=20,5,IF(D1375&gt;=10,4,IF(D1375&gt;=5,3,IF(D1375&gt;=2,2,1))))</f>
        <v/>
      </c>
      <c r="H1375" s="124">
        <f>IF(E1375&gt;=5000,5,IF(E1375&gt;=2000,4,IF(E1375&gt;=800,3,IF(E1375&gt;=300,2,1))))</f>
        <v/>
      </c>
      <c r="I1375" s="122">
        <f>TEXT(F1375,"0")&amp;TEXT(G1375,"0")&amp;TEXT(H1375,"0")</f>
        <v/>
      </c>
      <c r="J1375" s="122">
        <f>IFERROR(XLOOKUP(I1375,'Segment Map'!A:A,'Segment Map'!B:B,"Need Attention"),"Need Attention")</f>
        <v/>
      </c>
      <c r="K1375" s="122">
        <f>IF(E1375&gt;=5000,"🏆 Platinum",IF(E1375&gt;=2000,"🥇 Gold",IF(E1375&gt;=800,"🥈 Silver","🥉 Bronze")))</f>
        <v/>
      </c>
      <c r="L1375" s="125" t="n">
        <v>40856</v>
      </c>
    </row>
    <row r="1376">
      <c r="A1376" s="126" t="n">
        <v>14215</v>
      </c>
      <c r="B1376" s="126" t="inlineStr">
        <is>
          <t>United Kingdom</t>
        </is>
      </c>
      <c r="C1376" s="126" t="n">
        <v>12</v>
      </c>
      <c r="D1376" s="126" t="n">
        <v>6</v>
      </c>
      <c r="E1376" s="127" t="n">
        <v>1789.72</v>
      </c>
      <c r="F1376" s="128">
        <f>IF(C1376&lt;=30,5,IF(C1376&lt;=60,4,IF(C1376&lt;=120,3,IF(C1376&lt;=200,2,1))))</f>
        <v/>
      </c>
      <c r="G1376" s="128">
        <f>IF(D1376&gt;=20,5,IF(D1376&gt;=10,4,IF(D1376&gt;=5,3,IF(D1376&gt;=2,2,1))))</f>
        <v/>
      </c>
      <c r="H1376" s="128">
        <f>IF(E1376&gt;=5000,5,IF(E1376&gt;=2000,4,IF(E1376&gt;=800,3,IF(E1376&gt;=300,2,1))))</f>
        <v/>
      </c>
      <c r="I1376" s="126">
        <f>TEXT(F1376,"0")&amp;TEXT(G1376,"0")&amp;TEXT(H1376,"0")</f>
        <v/>
      </c>
      <c r="J1376" s="126">
        <f>IFERROR(XLOOKUP(I1376,'Segment Map'!A:A,'Segment Map'!B:B,"Need Attention"),"Need Attention")</f>
        <v/>
      </c>
      <c r="K1376" s="126">
        <f>IF(E1376&gt;=5000,"🏆 Platinum",IF(E1376&gt;=2000,"🥇 Gold",IF(E1376&gt;=800,"🥈 Silver","🥉 Bronze")))</f>
        <v/>
      </c>
      <c r="L1376" s="129" t="n">
        <v>40875</v>
      </c>
    </row>
    <row r="1377">
      <c r="A1377" s="122" t="n">
        <v>14216</v>
      </c>
      <c r="B1377" s="122" t="inlineStr">
        <is>
          <t>United Kingdom</t>
        </is>
      </c>
      <c r="C1377" s="122" t="n">
        <v>4</v>
      </c>
      <c r="D1377" s="122" t="n">
        <v>4</v>
      </c>
      <c r="E1377" s="123" t="n">
        <v>1839.3</v>
      </c>
      <c r="F1377" s="124">
        <f>IF(C1377&lt;=30,5,IF(C1377&lt;=60,4,IF(C1377&lt;=120,3,IF(C1377&lt;=200,2,1))))</f>
        <v/>
      </c>
      <c r="G1377" s="124">
        <f>IF(D1377&gt;=20,5,IF(D1377&gt;=10,4,IF(D1377&gt;=5,3,IF(D1377&gt;=2,2,1))))</f>
        <v/>
      </c>
      <c r="H1377" s="124">
        <f>IF(E1377&gt;=5000,5,IF(E1377&gt;=2000,4,IF(E1377&gt;=800,3,IF(E1377&gt;=300,2,1))))</f>
        <v/>
      </c>
      <c r="I1377" s="122">
        <f>TEXT(F1377,"0")&amp;TEXT(G1377,"0")&amp;TEXT(H1377,"0")</f>
        <v/>
      </c>
      <c r="J1377" s="122">
        <f>IFERROR(XLOOKUP(I1377,'Segment Map'!A:A,'Segment Map'!B:B,"Need Attention"),"Need Attention")</f>
        <v/>
      </c>
      <c r="K1377" s="122">
        <f>IF(E1377&gt;=5000,"🏆 Platinum",IF(E1377&gt;=2000,"🥇 Gold",IF(E1377&gt;=800,"🥈 Silver","🥉 Bronze")))</f>
        <v/>
      </c>
      <c r="L1377" s="125" t="n">
        <v>40883</v>
      </c>
    </row>
    <row r="1378">
      <c r="A1378" s="126" t="n">
        <v>14217</v>
      </c>
      <c r="B1378" s="126" t="inlineStr">
        <is>
          <t>United Kingdom</t>
        </is>
      </c>
      <c r="C1378" s="126" t="n">
        <v>2</v>
      </c>
      <c r="D1378" s="126" t="n">
        <v>17</v>
      </c>
      <c r="E1378" s="127" t="n">
        <v>2004.98</v>
      </c>
      <c r="F1378" s="128">
        <f>IF(C1378&lt;=30,5,IF(C1378&lt;=60,4,IF(C1378&lt;=120,3,IF(C1378&lt;=200,2,1))))</f>
        <v/>
      </c>
      <c r="G1378" s="128">
        <f>IF(D1378&gt;=20,5,IF(D1378&gt;=10,4,IF(D1378&gt;=5,3,IF(D1378&gt;=2,2,1))))</f>
        <v/>
      </c>
      <c r="H1378" s="128">
        <f>IF(E1378&gt;=5000,5,IF(E1378&gt;=2000,4,IF(E1378&gt;=800,3,IF(E1378&gt;=300,2,1))))</f>
        <v/>
      </c>
      <c r="I1378" s="126">
        <f>TEXT(F1378,"0")&amp;TEXT(G1378,"0")&amp;TEXT(H1378,"0")</f>
        <v/>
      </c>
      <c r="J1378" s="126">
        <f>IFERROR(XLOOKUP(I1378,'Segment Map'!A:A,'Segment Map'!B:B,"Need Attention"),"Need Attention")</f>
        <v/>
      </c>
      <c r="K1378" s="126">
        <f>IF(E1378&gt;=5000,"🏆 Platinum",IF(E1378&gt;=2000,"🥇 Gold",IF(E1378&gt;=800,"🥈 Silver","🥉 Bronze")))</f>
        <v/>
      </c>
      <c r="L1378" s="129" t="n">
        <v>40885</v>
      </c>
    </row>
    <row r="1379">
      <c r="A1379" s="122" t="n">
        <v>14218</v>
      </c>
      <c r="B1379" s="122" t="inlineStr">
        <is>
          <t>United Kingdom</t>
        </is>
      </c>
      <c r="C1379" s="122" t="n">
        <v>43</v>
      </c>
      <c r="D1379" s="122" t="n">
        <v>1</v>
      </c>
      <c r="E1379" s="123" t="n">
        <v>169.48</v>
      </c>
      <c r="F1379" s="124">
        <f>IF(C1379&lt;=30,5,IF(C1379&lt;=60,4,IF(C1379&lt;=120,3,IF(C1379&lt;=200,2,1))))</f>
        <v/>
      </c>
      <c r="G1379" s="124">
        <f>IF(D1379&gt;=20,5,IF(D1379&gt;=10,4,IF(D1379&gt;=5,3,IF(D1379&gt;=2,2,1))))</f>
        <v/>
      </c>
      <c r="H1379" s="124">
        <f>IF(E1379&gt;=5000,5,IF(E1379&gt;=2000,4,IF(E1379&gt;=800,3,IF(E1379&gt;=300,2,1))))</f>
        <v/>
      </c>
      <c r="I1379" s="122">
        <f>TEXT(F1379,"0")&amp;TEXT(G1379,"0")&amp;TEXT(H1379,"0")</f>
        <v/>
      </c>
      <c r="J1379" s="122">
        <f>IFERROR(XLOOKUP(I1379,'Segment Map'!A:A,'Segment Map'!B:B,"Need Attention"),"Need Attention")</f>
        <v/>
      </c>
      <c r="K1379" s="122">
        <f>IF(E1379&gt;=5000,"🏆 Platinum",IF(E1379&gt;=2000,"🥇 Gold",IF(E1379&gt;=800,"🥈 Silver","🥉 Bronze")))</f>
        <v/>
      </c>
      <c r="L1379" s="125" t="n">
        <v>40844</v>
      </c>
    </row>
    <row r="1380">
      <c r="A1380" s="126" t="n">
        <v>14219</v>
      </c>
      <c r="B1380" s="126" t="inlineStr">
        <is>
          <t>United Kingdom</t>
        </is>
      </c>
      <c r="C1380" s="126" t="n">
        <v>5</v>
      </c>
      <c r="D1380" s="126" t="n">
        <v>1</v>
      </c>
      <c r="E1380" s="127" t="n">
        <v>89.94</v>
      </c>
      <c r="F1380" s="128">
        <f>IF(C1380&lt;=30,5,IF(C1380&lt;=60,4,IF(C1380&lt;=120,3,IF(C1380&lt;=200,2,1))))</f>
        <v/>
      </c>
      <c r="G1380" s="128">
        <f>IF(D1380&gt;=20,5,IF(D1380&gt;=10,4,IF(D1380&gt;=5,3,IF(D1380&gt;=2,2,1))))</f>
        <v/>
      </c>
      <c r="H1380" s="128">
        <f>IF(E1380&gt;=5000,5,IF(E1380&gt;=2000,4,IF(E1380&gt;=800,3,IF(E1380&gt;=300,2,1))))</f>
        <v/>
      </c>
      <c r="I1380" s="126">
        <f>TEXT(F1380,"0")&amp;TEXT(G1380,"0")&amp;TEXT(H1380,"0")</f>
        <v/>
      </c>
      <c r="J1380" s="126">
        <f>IFERROR(XLOOKUP(I1380,'Segment Map'!A:A,'Segment Map'!B:B,"Need Attention"),"Need Attention")</f>
        <v/>
      </c>
      <c r="K1380" s="126">
        <f>IF(E1380&gt;=5000,"🏆 Platinum",IF(E1380&gt;=2000,"🥇 Gold",IF(E1380&gt;=800,"🥈 Silver","🥉 Bronze")))</f>
        <v/>
      </c>
      <c r="L1380" s="129" t="n">
        <v>40882</v>
      </c>
    </row>
    <row r="1381">
      <c r="A1381" s="122" t="n">
        <v>14220</v>
      </c>
      <c r="B1381" s="122" t="inlineStr">
        <is>
          <t>United Kingdom</t>
        </is>
      </c>
      <c r="C1381" s="122" t="n">
        <v>248</v>
      </c>
      <c r="D1381" s="122" t="n">
        <v>2</v>
      </c>
      <c r="E1381" s="123" t="n">
        <v>632.4</v>
      </c>
      <c r="F1381" s="124">
        <f>IF(C1381&lt;=30,5,IF(C1381&lt;=60,4,IF(C1381&lt;=120,3,IF(C1381&lt;=200,2,1))))</f>
        <v/>
      </c>
      <c r="G1381" s="124">
        <f>IF(D1381&gt;=20,5,IF(D1381&gt;=10,4,IF(D1381&gt;=5,3,IF(D1381&gt;=2,2,1))))</f>
        <v/>
      </c>
      <c r="H1381" s="124">
        <f>IF(E1381&gt;=5000,5,IF(E1381&gt;=2000,4,IF(E1381&gt;=800,3,IF(E1381&gt;=300,2,1))))</f>
        <v/>
      </c>
      <c r="I1381" s="122">
        <f>TEXT(F1381,"0")&amp;TEXT(G1381,"0")&amp;TEXT(H1381,"0")</f>
        <v/>
      </c>
      <c r="J1381" s="122">
        <f>IFERROR(XLOOKUP(I1381,'Segment Map'!A:A,'Segment Map'!B:B,"Need Attention"),"Need Attention")</f>
        <v/>
      </c>
      <c r="K1381" s="122">
        <f>IF(E1381&gt;=5000,"🏆 Platinum",IF(E1381&gt;=2000,"🥇 Gold",IF(E1381&gt;=800,"🥈 Silver","🥉 Bronze")))</f>
        <v/>
      </c>
      <c r="L1381" s="125" t="n">
        <v>40639</v>
      </c>
    </row>
    <row r="1382">
      <c r="A1382" s="126" t="n">
        <v>14221</v>
      </c>
      <c r="B1382" s="126" t="inlineStr">
        <is>
          <t>United Kingdom</t>
        </is>
      </c>
      <c r="C1382" s="126" t="n">
        <v>43</v>
      </c>
      <c r="D1382" s="126" t="n">
        <v>9</v>
      </c>
      <c r="E1382" s="127" t="n">
        <v>3432.8</v>
      </c>
      <c r="F1382" s="128">
        <f>IF(C1382&lt;=30,5,IF(C1382&lt;=60,4,IF(C1382&lt;=120,3,IF(C1382&lt;=200,2,1))))</f>
        <v/>
      </c>
      <c r="G1382" s="128">
        <f>IF(D1382&gt;=20,5,IF(D1382&gt;=10,4,IF(D1382&gt;=5,3,IF(D1382&gt;=2,2,1))))</f>
        <v/>
      </c>
      <c r="H1382" s="128">
        <f>IF(E1382&gt;=5000,5,IF(E1382&gt;=2000,4,IF(E1382&gt;=800,3,IF(E1382&gt;=300,2,1))))</f>
        <v/>
      </c>
      <c r="I1382" s="126">
        <f>TEXT(F1382,"0")&amp;TEXT(G1382,"0")&amp;TEXT(H1382,"0")</f>
        <v/>
      </c>
      <c r="J1382" s="126">
        <f>IFERROR(XLOOKUP(I1382,'Segment Map'!A:A,'Segment Map'!B:B,"Need Attention"),"Need Attention")</f>
        <v/>
      </c>
      <c r="K1382" s="126">
        <f>IF(E1382&gt;=5000,"🏆 Platinum",IF(E1382&gt;=2000,"🥇 Gold",IF(E1382&gt;=800,"🥈 Silver","🥉 Bronze")))</f>
        <v/>
      </c>
      <c r="L1382" s="129" t="n">
        <v>40844</v>
      </c>
    </row>
    <row r="1383">
      <c r="A1383" s="122" t="n">
        <v>14222</v>
      </c>
      <c r="B1383" s="122" t="inlineStr">
        <is>
          <t>United Kingdom</t>
        </is>
      </c>
      <c r="C1383" s="122" t="n">
        <v>178</v>
      </c>
      <c r="D1383" s="122" t="n">
        <v>1</v>
      </c>
      <c r="E1383" s="123" t="n">
        <v>683.17</v>
      </c>
      <c r="F1383" s="124">
        <f>IF(C1383&lt;=30,5,IF(C1383&lt;=60,4,IF(C1383&lt;=120,3,IF(C1383&lt;=200,2,1))))</f>
        <v/>
      </c>
      <c r="G1383" s="124">
        <f>IF(D1383&gt;=20,5,IF(D1383&gt;=10,4,IF(D1383&gt;=5,3,IF(D1383&gt;=2,2,1))))</f>
        <v/>
      </c>
      <c r="H1383" s="124">
        <f>IF(E1383&gt;=5000,5,IF(E1383&gt;=2000,4,IF(E1383&gt;=800,3,IF(E1383&gt;=300,2,1))))</f>
        <v/>
      </c>
      <c r="I1383" s="122">
        <f>TEXT(F1383,"0")&amp;TEXT(G1383,"0")&amp;TEXT(H1383,"0")</f>
        <v/>
      </c>
      <c r="J1383" s="122">
        <f>IFERROR(XLOOKUP(I1383,'Segment Map'!A:A,'Segment Map'!B:B,"Need Attention"),"Need Attention")</f>
        <v/>
      </c>
      <c r="K1383" s="122">
        <f>IF(E1383&gt;=5000,"🏆 Platinum",IF(E1383&gt;=2000,"🥇 Gold",IF(E1383&gt;=800,"🥈 Silver","🥉 Bronze")))</f>
        <v/>
      </c>
      <c r="L1383" s="125" t="n">
        <v>40709</v>
      </c>
    </row>
    <row r="1384">
      <c r="A1384" s="126" t="n">
        <v>14223</v>
      </c>
      <c r="B1384" s="126" t="inlineStr">
        <is>
          <t>United Kingdom</t>
        </is>
      </c>
      <c r="C1384" s="126" t="n">
        <v>93</v>
      </c>
      <c r="D1384" s="126" t="n">
        <v>3</v>
      </c>
      <c r="E1384" s="127" t="n">
        <v>991.13</v>
      </c>
      <c r="F1384" s="128">
        <f>IF(C1384&lt;=30,5,IF(C1384&lt;=60,4,IF(C1384&lt;=120,3,IF(C1384&lt;=200,2,1))))</f>
        <v/>
      </c>
      <c r="G1384" s="128">
        <f>IF(D1384&gt;=20,5,IF(D1384&gt;=10,4,IF(D1384&gt;=5,3,IF(D1384&gt;=2,2,1))))</f>
        <v/>
      </c>
      <c r="H1384" s="128">
        <f>IF(E1384&gt;=5000,5,IF(E1384&gt;=2000,4,IF(E1384&gt;=800,3,IF(E1384&gt;=300,2,1))))</f>
        <v/>
      </c>
      <c r="I1384" s="126">
        <f>TEXT(F1384,"0")&amp;TEXT(G1384,"0")&amp;TEXT(H1384,"0")</f>
        <v/>
      </c>
      <c r="J1384" s="126">
        <f>IFERROR(XLOOKUP(I1384,'Segment Map'!A:A,'Segment Map'!B:B,"Need Attention"),"Need Attention")</f>
        <v/>
      </c>
      <c r="K1384" s="126">
        <f>IF(E1384&gt;=5000,"🏆 Platinum",IF(E1384&gt;=2000,"🥇 Gold",IF(E1384&gt;=800,"🥈 Silver","🥉 Bronze")))</f>
        <v/>
      </c>
      <c r="L1384" s="129" t="n">
        <v>40794</v>
      </c>
    </row>
    <row r="1385">
      <c r="A1385" s="122" t="n">
        <v>14224</v>
      </c>
      <c r="B1385" s="122" t="inlineStr">
        <is>
          <t>United Kingdom</t>
        </is>
      </c>
      <c r="C1385" s="122" t="n">
        <v>111</v>
      </c>
      <c r="D1385" s="122" t="n">
        <v>4</v>
      </c>
      <c r="E1385" s="123" t="n">
        <v>1050.12</v>
      </c>
      <c r="F1385" s="124">
        <f>IF(C1385&lt;=30,5,IF(C1385&lt;=60,4,IF(C1385&lt;=120,3,IF(C1385&lt;=200,2,1))))</f>
        <v/>
      </c>
      <c r="G1385" s="124">
        <f>IF(D1385&gt;=20,5,IF(D1385&gt;=10,4,IF(D1385&gt;=5,3,IF(D1385&gt;=2,2,1))))</f>
        <v/>
      </c>
      <c r="H1385" s="124">
        <f>IF(E1385&gt;=5000,5,IF(E1385&gt;=2000,4,IF(E1385&gt;=800,3,IF(E1385&gt;=300,2,1))))</f>
        <v/>
      </c>
      <c r="I1385" s="122">
        <f>TEXT(F1385,"0")&amp;TEXT(G1385,"0")&amp;TEXT(H1385,"0")</f>
        <v/>
      </c>
      <c r="J1385" s="122">
        <f>IFERROR(XLOOKUP(I1385,'Segment Map'!A:A,'Segment Map'!B:B,"Need Attention"),"Need Attention")</f>
        <v/>
      </c>
      <c r="K1385" s="122">
        <f>IF(E1385&gt;=5000,"🏆 Platinum",IF(E1385&gt;=2000,"🥇 Gold",IF(E1385&gt;=800,"🥈 Silver","🥉 Bronze")))</f>
        <v/>
      </c>
      <c r="L1385" s="125" t="n">
        <v>40776</v>
      </c>
    </row>
    <row r="1386">
      <c r="A1386" s="126" t="n">
        <v>14226</v>
      </c>
      <c r="B1386" s="126" t="inlineStr">
        <is>
          <t>United Kingdom</t>
        </is>
      </c>
      <c r="C1386" s="126" t="n">
        <v>29</v>
      </c>
      <c r="D1386" s="126" t="n">
        <v>5</v>
      </c>
      <c r="E1386" s="127" t="n">
        <v>2232.19</v>
      </c>
      <c r="F1386" s="128">
        <f>IF(C1386&lt;=30,5,IF(C1386&lt;=60,4,IF(C1386&lt;=120,3,IF(C1386&lt;=200,2,1))))</f>
        <v/>
      </c>
      <c r="G1386" s="128">
        <f>IF(D1386&gt;=20,5,IF(D1386&gt;=10,4,IF(D1386&gt;=5,3,IF(D1386&gt;=2,2,1))))</f>
        <v/>
      </c>
      <c r="H1386" s="128">
        <f>IF(E1386&gt;=5000,5,IF(E1386&gt;=2000,4,IF(E1386&gt;=800,3,IF(E1386&gt;=300,2,1))))</f>
        <v/>
      </c>
      <c r="I1386" s="126">
        <f>TEXT(F1386,"0")&amp;TEXT(G1386,"0")&amp;TEXT(H1386,"0")</f>
        <v/>
      </c>
      <c r="J1386" s="126">
        <f>IFERROR(XLOOKUP(I1386,'Segment Map'!A:A,'Segment Map'!B:B,"Need Attention"),"Need Attention")</f>
        <v/>
      </c>
      <c r="K1386" s="126">
        <f>IF(E1386&gt;=5000,"🏆 Platinum",IF(E1386&gt;=2000,"🥇 Gold",IF(E1386&gt;=800,"🥈 Silver","🥉 Bronze")))</f>
        <v/>
      </c>
      <c r="L1386" s="129" t="n">
        <v>40858</v>
      </c>
    </row>
    <row r="1387">
      <c r="A1387" s="122" t="n">
        <v>14227</v>
      </c>
      <c r="B1387" s="122" t="inlineStr">
        <is>
          <t>United Kingdom</t>
        </is>
      </c>
      <c r="C1387" s="122" t="n">
        <v>27</v>
      </c>
      <c r="D1387" s="122" t="n">
        <v>10</v>
      </c>
      <c r="E1387" s="123" t="n">
        <v>3350.96</v>
      </c>
      <c r="F1387" s="124">
        <f>IF(C1387&lt;=30,5,IF(C1387&lt;=60,4,IF(C1387&lt;=120,3,IF(C1387&lt;=200,2,1))))</f>
        <v/>
      </c>
      <c r="G1387" s="124">
        <f>IF(D1387&gt;=20,5,IF(D1387&gt;=10,4,IF(D1387&gt;=5,3,IF(D1387&gt;=2,2,1))))</f>
        <v/>
      </c>
      <c r="H1387" s="124">
        <f>IF(E1387&gt;=5000,5,IF(E1387&gt;=2000,4,IF(E1387&gt;=800,3,IF(E1387&gt;=300,2,1))))</f>
        <v/>
      </c>
      <c r="I1387" s="122">
        <f>TEXT(F1387,"0")&amp;TEXT(G1387,"0")&amp;TEXT(H1387,"0")</f>
        <v/>
      </c>
      <c r="J1387" s="122">
        <f>IFERROR(XLOOKUP(I1387,'Segment Map'!A:A,'Segment Map'!B:B,"Need Attention"),"Need Attention")</f>
        <v/>
      </c>
      <c r="K1387" s="122">
        <f>IF(E1387&gt;=5000,"🏆 Platinum",IF(E1387&gt;=2000,"🥇 Gold",IF(E1387&gt;=800,"🥈 Silver","🥉 Bronze")))</f>
        <v/>
      </c>
      <c r="L1387" s="125" t="n">
        <v>40860</v>
      </c>
    </row>
    <row r="1388">
      <c r="A1388" s="126" t="n">
        <v>14229</v>
      </c>
      <c r="B1388" s="126" t="inlineStr">
        <is>
          <t>United Kingdom</t>
        </is>
      </c>
      <c r="C1388" s="126" t="n">
        <v>52</v>
      </c>
      <c r="D1388" s="126" t="n">
        <v>3</v>
      </c>
      <c r="E1388" s="127" t="n">
        <v>1547.2</v>
      </c>
      <c r="F1388" s="128">
        <f>IF(C1388&lt;=30,5,IF(C1388&lt;=60,4,IF(C1388&lt;=120,3,IF(C1388&lt;=200,2,1))))</f>
        <v/>
      </c>
      <c r="G1388" s="128">
        <f>IF(D1388&gt;=20,5,IF(D1388&gt;=10,4,IF(D1388&gt;=5,3,IF(D1388&gt;=2,2,1))))</f>
        <v/>
      </c>
      <c r="H1388" s="128">
        <f>IF(E1388&gt;=5000,5,IF(E1388&gt;=2000,4,IF(E1388&gt;=800,3,IF(E1388&gt;=300,2,1))))</f>
        <v/>
      </c>
      <c r="I1388" s="126">
        <f>TEXT(F1388,"0")&amp;TEXT(G1388,"0")&amp;TEXT(H1388,"0")</f>
        <v/>
      </c>
      <c r="J1388" s="126">
        <f>IFERROR(XLOOKUP(I1388,'Segment Map'!A:A,'Segment Map'!B:B,"Need Attention"),"Need Attention")</f>
        <v/>
      </c>
      <c r="K1388" s="126">
        <f>IF(E1388&gt;=5000,"🏆 Platinum",IF(E1388&gt;=2000,"🥇 Gold",IF(E1388&gt;=800,"🥈 Silver","🥉 Bronze")))</f>
        <v/>
      </c>
      <c r="L1388" s="129" t="n">
        <v>40835</v>
      </c>
    </row>
    <row r="1389">
      <c r="A1389" s="122" t="n">
        <v>14231</v>
      </c>
      <c r="B1389" s="122" t="inlineStr">
        <is>
          <t>United Kingdom</t>
        </is>
      </c>
      <c r="C1389" s="122" t="n">
        <v>184</v>
      </c>
      <c r="D1389" s="122" t="n">
        <v>3</v>
      </c>
      <c r="E1389" s="123" t="n">
        <v>925.71</v>
      </c>
      <c r="F1389" s="124">
        <f>IF(C1389&lt;=30,5,IF(C1389&lt;=60,4,IF(C1389&lt;=120,3,IF(C1389&lt;=200,2,1))))</f>
        <v/>
      </c>
      <c r="G1389" s="124">
        <f>IF(D1389&gt;=20,5,IF(D1389&gt;=10,4,IF(D1389&gt;=5,3,IF(D1389&gt;=2,2,1))))</f>
        <v/>
      </c>
      <c r="H1389" s="124">
        <f>IF(E1389&gt;=5000,5,IF(E1389&gt;=2000,4,IF(E1389&gt;=800,3,IF(E1389&gt;=300,2,1))))</f>
        <v/>
      </c>
      <c r="I1389" s="122">
        <f>TEXT(F1389,"0")&amp;TEXT(G1389,"0")&amp;TEXT(H1389,"0")</f>
        <v/>
      </c>
      <c r="J1389" s="122">
        <f>IFERROR(XLOOKUP(I1389,'Segment Map'!A:A,'Segment Map'!B:B,"Need Attention"),"Need Attention")</f>
        <v/>
      </c>
      <c r="K1389" s="122">
        <f>IF(E1389&gt;=5000,"🏆 Platinum",IF(E1389&gt;=2000,"🥇 Gold",IF(E1389&gt;=800,"🥈 Silver","🥉 Bronze")))</f>
        <v/>
      </c>
      <c r="L1389" s="125" t="n">
        <v>40703</v>
      </c>
    </row>
    <row r="1390">
      <c r="A1390" s="126" t="n">
        <v>14232</v>
      </c>
      <c r="B1390" s="126" t="inlineStr">
        <is>
          <t>United Kingdom</t>
        </is>
      </c>
      <c r="C1390" s="126" t="n">
        <v>43</v>
      </c>
      <c r="D1390" s="126" t="n">
        <v>5</v>
      </c>
      <c r="E1390" s="127" t="n">
        <v>2048.07</v>
      </c>
      <c r="F1390" s="128">
        <f>IF(C1390&lt;=30,5,IF(C1390&lt;=60,4,IF(C1390&lt;=120,3,IF(C1390&lt;=200,2,1))))</f>
        <v/>
      </c>
      <c r="G1390" s="128">
        <f>IF(D1390&gt;=20,5,IF(D1390&gt;=10,4,IF(D1390&gt;=5,3,IF(D1390&gt;=2,2,1))))</f>
        <v/>
      </c>
      <c r="H1390" s="128">
        <f>IF(E1390&gt;=5000,5,IF(E1390&gt;=2000,4,IF(E1390&gt;=800,3,IF(E1390&gt;=300,2,1))))</f>
        <v/>
      </c>
      <c r="I1390" s="126">
        <f>TEXT(F1390,"0")&amp;TEXT(G1390,"0")&amp;TEXT(H1390,"0")</f>
        <v/>
      </c>
      <c r="J1390" s="126">
        <f>IFERROR(XLOOKUP(I1390,'Segment Map'!A:A,'Segment Map'!B:B,"Need Attention"),"Need Attention")</f>
        <v/>
      </c>
      <c r="K1390" s="126">
        <f>IF(E1390&gt;=5000,"🏆 Platinum",IF(E1390&gt;=2000,"🥇 Gold",IF(E1390&gt;=800,"🥈 Silver","🥉 Bronze")))</f>
        <v/>
      </c>
      <c r="L1390" s="129" t="n">
        <v>40844</v>
      </c>
    </row>
    <row r="1391">
      <c r="A1391" s="122" t="n">
        <v>14233</v>
      </c>
      <c r="B1391" s="122" t="inlineStr">
        <is>
          <t>United Kingdom</t>
        </is>
      </c>
      <c r="C1391" s="122" t="n">
        <v>50</v>
      </c>
      <c r="D1391" s="122" t="n">
        <v>4</v>
      </c>
      <c r="E1391" s="123" t="n">
        <v>1462.72</v>
      </c>
      <c r="F1391" s="124">
        <f>IF(C1391&lt;=30,5,IF(C1391&lt;=60,4,IF(C1391&lt;=120,3,IF(C1391&lt;=200,2,1))))</f>
        <v/>
      </c>
      <c r="G1391" s="124">
        <f>IF(D1391&gt;=20,5,IF(D1391&gt;=10,4,IF(D1391&gt;=5,3,IF(D1391&gt;=2,2,1))))</f>
        <v/>
      </c>
      <c r="H1391" s="124">
        <f>IF(E1391&gt;=5000,5,IF(E1391&gt;=2000,4,IF(E1391&gt;=800,3,IF(E1391&gt;=300,2,1))))</f>
        <v/>
      </c>
      <c r="I1391" s="122">
        <f>TEXT(F1391,"0")&amp;TEXT(G1391,"0")&amp;TEXT(H1391,"0")</f>
        <v/>
      </c>
      <c r="J1391" s="122">
        <f>IFERROR(XLOOKUP(I1391,'Segment Map'!A:A,'Segment Map'!B:B,"Need Attention"),"Need Attention")</f>
        <v/>
      </c>
      <c r="K1391" s="122">
        <f>IF(E1391&gt;=5000,"🏆 Platinum",IF(E1391&gt;=2000,"🥇 Gold",IF(E1391&gt;=800,"🥈 Silver","🥉 Bronze")))</f>
        <v/>
      </c>
      <c r="L1391" s="125" t="n">
        <v>40837</v>
      </c>
    </row>
    <row r="1392">
      <c r="A1392" s="126" t="n">
        <v>14234</v>
      </c>
      <c r="B1392" s="126" t="inlineStr">
        <is>
          <t>United Kingdom</t>
        </is>
      </c>
      <c r="C1392" s="126" t="n">
        <v>23</v>
      </c>
      <c r="D1392" s="126" t="n">
        <v>4</v>
      </c>
      <c r="E1392" s="127" t="n">
        <v>775.46</v>
      </c>
      <c r="F1392" s="128">
        <f>IF(C1392&lt;=30,5,IF(C1392&lt;=60,4,IF(C1392&lt;=120,3,IF(C1392&lt;=200,2,1))))</f>
        <v/>
      </c>
      <c r="G1392" s="128">
        <f>IF(D1392&gt;=20,5,IF(D1392&gt;=10,4,IF(D1392&gt;=5,3,IF(D1392&gt;=2,2,1))))</f>
        <v/>
      </c>
      <c r="H1392" s="128">
        <f>IF(E1392&gt;=5000,5,IF(E1392&gt;=2000,4,IF(E1392&gt;=800,3,IF(E1392&gt;=300,2,1))))</f>
        <v/>
      </c>
      <c r="I1392" s="126">
        <f>TEXT(F1392,"0")&amp;TEXT(G1392,"0")&amp;TEXT(H1392,"0")</f>
        <v/>
      </c>
      <c r="J1392" s="126">
        <f>IFERROR(XLOOKUP(I1392,'Segment Map'!A:A,'Segment Map'!B:B,"Need Attention"),"Need Attention")</f>
        <v/>
      </c>
      <c r="K1392" s="126">
        <f>IF(E1392&gt;=5000,"🏆 Platinum",IF(E1392&gt;=2000,"🥇 Gold",IF(E1392&gt;=800,"🥈 Silver","🥉 Bronze")))</f>
        <v/>
      </c>
      <c r="L1392" s="129" t="n">
        <v>40864</v>
      </c>
    </row>
    <row r="1393">
      <c r="A1393" s="122" t="n">
        <v>14235</v>
      </c>
      <c r="B1393" s="122" t="inlineStr">
        <is>
          <t>United Kingdom</t>
        </is>
      </c>
      <c r="C1393" s="122" t="n">
        <v>76</v>
      </c>
      <c r="D1393" s="122" t="n">
        <v>5</v>
      </c>
      <c r="E1393" s="123" t="n">
        <v>3144.86</v>
      </c>
      <c r="F1393" s="124">
        <f>IF(C1393&lt;=30,5,IF(C1393&lt;=60,4,IF(C1393&lt;=120,3,IF(C1393&lt;=200,2,1))))</f>
        <v/>
      </c>
      <c r="G1393" s="124">
        <f>IF(D1393&gt;=20,5,IF(D1393&gt;=10,4,IF(D1393&gt;=5,3,IF(D1393&gt;=2,2,1))))</f>
        <v/>
      </c>
      <c r="H1393" s="124">
        <f>IF(E1393&gt;=5000,5,IF(E1393&gt;=2000,4,IF(E1393&gt;=800,3,IF(E1393&gt;=300,2,1))))</f>
        <v/>
      </c>
      <c r="I1393" s="122">
        <f>TEXT(F1393,"0")&amp;TEXT(G1393,"0")&amp;TEXT(H1393,"0")</f>
        <v/>
      </c>
      <c r="J1393" s="122">
        <f>IFERROR(XLOOKUP(I1393,'Segment Map'!A:A,'Segment Map'!B:B,"Need Attention"),"Need Attention")</f>
        <v/>
      </c>
      <c r="K1393" s="122">
        <f>IF(E1393&gt;=5000,"🏆 Platinum",IF(E1393&gt;=2000,"🥇 Gold",IF(E1393&gt;=800,"🥈 Silver","🥉 Bronze")))</f>
        <v/>
      </c>
      <c r="L1393" s="125" t="n">
        <v>40811</v>
      </c>
    </row>
    <row r="1394">
      <c r="A1394" s="126" t="n">
        <v>14236</v>
      </c>
      <c r="B1394" s="126" t="inlineStr">
        <is>
          <t>United Kingdom</t>
        </is>
      </c>
      <c r="C1394" s="126" t="n">
        <v>81</v>
      </c>
      <c r="D1394" s="126" t="n">
        <v>2</v>
      </c>
      <c r="E1394" s="127" t="n">
        <v>490.86</v>
      </c>
      <c r="F1394" s="128">
        <f>IF(C1394&lt;=30,5,IF(C1394&lt;=60,4,IF(C1394&lt;=120,3,IF(C1394&lt;=200,2,1))))</f>
        <v/>
      </c>
      <c r="G1394" s="128">
        <f>IF(D1394&gt;=20,5,IF(D1394&gt;=10,4,IF(D1394&gt;=5,3,IF(D1394&gt;=2,2,1))))</f>
        <v/>
      </c>
      <c r="H1394" s="128">
        <f>IF(E1394&gt;=5000,5,IF(E1394&gt;=2000,4,IF(E1394&gt;=800,3,IF(E1394&gt;=300,2,1))))</f>
        <v/>
      </c>
      <c r="I1394" s="126">
        <f>TEXT(F1394,"0")&amp;TEXT(G1394,"0")&amp;TEXT(H1394,"0")</f>
        <v/>
      </c>
      <c r="J1394" s="126">
        <f>IFERROR(XLOOKUP(I1394,'Segment Map'!A:A,'Segment Map'!B:B,"Need Attention"),"Need Attention")</f>
        <v/>
      </c>
      <c r="K1394" s="126">
        <f>IF(E1394&gt;=5000,"🏆 Platinum",IF(E1394&gt;=2000,"🥇 Gold",IF(E1394&gt;=800,"🥈 Silver","🥉 Bronze")))</f>
        <v/>
      </c>
      <c r="L1394" s="129" t="n">
        <v>40806</v>
      </c>
    </row>
    <row r="1395">
      <c r="A1395" s="122" t="n">
        <v>14237</v>
      </c>
      <c r="B1395" s="122" t="inlineStr">
        <is>
          <t>United Kingdom</t>
        </is>
      </c>
      <c r="C1395" s="122" t="n">
        <v>374</v>
      </c>
      <c r="D1395" s="122" t="n">
        <v>1</v>
      </c>
      <c r="E1395" s="123" t="n">
        <v>161</v>
      </c>
      <c r="F1395" s="124">
        <f>IF(C1395&lt;=30,5,IF(C1395&lt;=60,4,IF(C1395&lt;=120,3,IF(C1395&lt;=200,2,1))))</f>
        <v/>
      </c>
      <c r="G1395" s="124">
        <f>IF(D1395&gt;=20,5,IF(D1395&gt;=10,4,IF(D1395&gt;=5,3,IF(D1395&gt;=2,2,1))))</f>
        <v/>
      </c>
      <c r="H1395" s="124">
        <f>IF(E1395&gt;=5000,5,IF(E1395&gt;=2000,4,IF(E1395&gt;=800,3,IF(E1395&gt;=300,2,1))))</f>
        <v/>
      </c>
      <c r="I1395" s="122">
        <f>TEXT(F1395,"0")&amp;TEXT(G1395,"0")&amp;TEXT(H1395,"0")</f>
        <v/>
      </c>
      <c r="J1395" s="122">
        <f>IFERROR(XLOOKUP(I1395,'Segment Map'!A:A,'Segment Map'!B:B,"Need Attention"),"Need Attention")</f>
        <v/>
      </c>
      <c r="K1395" s="122">
        <f>IF(E1395&gt;=5000,"🏆 Platinum",IF(E1395&gt;=2000,"🥇 Gold",IF(E1395&gt;=800,"🥈 Silver","🥉 Bronze")))</f>
        <v/>
      </c>
      <c r="L1395" s="125" t="n">
        <v>40513</v>
      </c>
    </row>
    <row r="1396">
      <c r="A1396" s="126" t="n">
        <v>14238</v>
      </c>
      <c r="B1396" s="126" t="inlineStr">
        <is>
          <t>United Kingdom</t>
        </is>
      </c>
      <c r="C1396" s="126" t="n">
        <v>327</v>
      </c>
      <c r="D1396" s="126" t="n">
        <v>1</v>
      </c>
      <c r="E1396" s="127" t="n">
        <v>146.85</v>
      </c>
      <c r="F1396" s="128">
        <f>IF(C1396&lt;=30,5,IF(C1396&lt;=60,4,IF(C1396&lt;=120,3,IF(C1396&lt;=200,2,1))))</f>
        <v/>
      </c>
      <c r="G1396" s="128">
        <f>IF(D1396&gt;=20,5,IF(D1396&gt;=10,4,IF(D1396&gt;=5,3,IF(D1396&gt;=2,2,1))))</f>
        <v/>
      </c>
      <c r="H1396" s="128">
        <f>IF(E1396&gt;=5000,5,IF(E1396&gt;=2000,4,IF(E1396&gt;=800,3,IF(E1396&gt;=300,2,1))))</f>
        <v/>
      </c>
      <c r="I1396" s="126">
        <f>TEXT(F1396,"0")&amp;TEXT(G1396,"0")&amp;TEXT(H1396,"0")</f>
        <v/>
      </c>
      <c r="J1396" s="126">
        <f>IFERROR(XLOOKUP(I1396,'Segment Map'!A:A,'Segment Map'!B:B,"Need Attention"),"Need Attention")</f>
        <v/>
      </c>
      <c r="K1396" s="126">
        <f>IF(E1396&gt;=5000,"🏆 Platinum",IF(E1396&gt;=2000,"🥇 Gold",IF(E1396&gt;=800,"🥈 Silver","🥉 Bronze")))</f>
        <v/>
      </c>
      <c r="L1396" s="129" t="n">
        <v>40560</v>
      </c>
    </row>
    <row r="1397">
      <c r="A1397" s="122" t="n">
        <v>14239</v>
      </c>
      <c r="B1397" s="122" t="inlineStr">
        <is>
          <t>United Kingdom</t>
        </is>
      </c>
      <c r="C1397" s="122" t="n">
        <v>44</v>
      </c>
      <c r="D1397" s="122" t="n">
        <v>11</v>
      </c>
      <c r="E1397" s="123" t="n">
        <v>2380.85</v>
      </c>
      <c r="F1397" s="124">
        <f>IF(C1397&lt;=30,5,IF(C1397&lt;=60,4,IF(C1397&lt;=120,3,IF(C1397&lt;=200,2,1))))</f>
        <v/>
      </c>
      <c r="G1397" s="124">
        <f>IF(D1397&gt;=20,5,IF(D1397&gt;=10,4,IF(D1397&gt;=5,3,IF(D1397&gt;=2,2,1))))</f>
        <v/>
      </c>
      <c r="H1397" s="124">
        <f>IF(E1397&gt;=5000,5,IF(E1397&gt;=2000,4,IF(E1397&gt;=800,3,IF(E1397&gt;=300,2,1))))</f>
        <v/>
      </c>
      <c r="I1397" s="122">
        <f>TEXT(F1397,"0")&amp;TEXT(G1397,"0")&amp;TEXT(H1397,"0")</f>
        <v/>
      </c>
      <c r="J1397" s="122">
        <f>IFERROR(XLOOKUP(I1397,'Segment Map'!A:A,'Segment Map'!B:B,"Need Attention"),"Need Attention")</f>
        <v/>
      </c>
      <c r="K1397" s="122">
        <f>IF(E1397&gt;=5000,"🏆 Platinum",IF(E1397&gt;=2000,"🥇 Gold",IF(E1397&gt;=800,"🥈 Silver","🥉 Bronze")))</f>
        <v/>
      </c>
      <c r="L1397" s="125" t="n">
        <v>40843</v>
      </c>
    </row>
    <row r="1398">
      <c r="A1398" s="126" t="n">
        <v>14240</v>
      </c>
      <c r="B1398" s="126" t="inlineStr">
        <is>
          <t>United Kingdom</t>
        </is>
      </c>
      <c r="C1398" s="126" t="n">
        <v>31</v>
      </c>
      <c r="D1398" s="126" t="n">
        <v>2</v>
      </c>
      <c r="E1398" s="127" t="n">
        <v>890.34</v>
      </c>
      <c r="F1398" s="128">
        <f>IF(C1398&lt;=30,5,IF(C1398&lt;=60,4,IF(C1398&lt;=120,3,IF(C1398&lt;=200,2,1))))</f>
        <v/>
      </c>
      <c r="G1398" s="128">
        <f>IF(D1398&gt;=20,5,IF(D1398&gt;=10,4,IF(D1398&gt;=5,3,IF(D1398&gt;=2,2,1))))</f>
        <v/>
      </c>
      <c r="H1398" s="128">
        <f>IF(E1398&gt;=5000,5,IF(E1398&gt;=2000,4,IF(E1398&gt;=800,3,IF(E1398&gt;=300,2,1))))</f>
        <v/>
      </c>
      <c r="I1398" s="126">
        <f>TEXT(F1398,"0")&amp;TEXT(G1398,"0")&amp;TEXT(H1398,"0")</f>
        <v/>
      </c>
      <c r="J1398" s="126">
        <f>IFERROR(XLOOKUP(I1398,'Segment Map'!A:A,'Segment Map'!B:B,"Need Attention"),"Need Attention")</f>
        <v/>
      </c>
      <c r="K1398" s="126">
        <f>IF(E1398&gt;=5000,"🏆 Platinum",IF(E1398&gt;=2000,"🥇 Gold",IF(E1398&gt;=800,"🥈 Silver","🥉 Bronze")))</f>
        <v/>
      </c>
      <c r="L1398" s="129" t="n">
        <v>40856</v>
      </c>
    </row>
    <row r="1399">
      <c r="A1399" s="122" t="n">
        <v>14241</v>
      </c>
      <c r="B1399" s="122" t="inlineStr">
        <is>
          <t>United Kingdom</t>
        </is>
      </c>
      <c r="C1399" s="122" t="n">
        <v>184</v>
      </c>
      <c r="D1399" s="122" t="n">
        <v>1</v>
      </c>
      <c r="E1399" s="123" t="n">
        <v>213.7</v>
      </c>
      <c r="F1399" s="124">
        <f>IF(C1399&lt;=30,5,IF(C1399&lt;=60,4,IF(C1399&lt;=120,3,IF(C1399&lt;=200,2,1))))</f>
        <v/>
      </c>
      <c r="G1399" s="124">
        <f>IF(D1399&gt;=20,5,IF(D1399&gt;=10,4,IF(D1399&gt;=5,3,IF(D1399&gt;=2,2,1))))</f>
        <v/>
      </c>
      <c r="H1399" s="124">
        <f>IF(E1399&gt;=5000,5,IF(E1399&gt;=2000,4,IF(E1399&gt;=800,3,IF(E1399&gt;=300,2,1))))</f>
        <v/>
      </c>
      <c r="I1399" s="122">
        <f>TEXT(F1399,"0")&amp;TEXT(G1399,"0")&amp;TEXT(H1399,"0")</f>
        <v/>
      </c>
      <c r="J1399" s="122">
        <f>IFERROR(XLOOKUP(I1399,'Segment Map'!A:A,'Segment Map'!B:B,"Need Attention"),"Need Attention")</f>
        <v/>
      </c>
      <c r="K1399" s="122">
        <f>IF(E1399&gt;=5000,"🏆 Platinum",IF(E1399&gt;=2000,"🥇 Gold",IF(E1399&gt;=800,"🥈 Silver","🥉 Bronze")))</f>
        <v/>
      </c>
      <c r="L1399" s="125" t="n">
        <v>40703</v>
      </c>
    </row>
    <row r="1400">
      <c r="A1400" s="126" t="n">
        <v>14242</v>
      </c>
      <c r="B1400" s="126" t="inlineStr">
        <is>
          <t>United Kingdom</t>
        </is>
      </c>
      <c r="C1400" s="126" t="n">
        <v>235</v>
      </c>
      <c r="D1400" s="126" t="n">
        <v>2</v>
      </c>
      <c r="E1400" s="127" t="n">
        <v>280.55</v>
      </c>
      <c r="F1400" s="128">
        <f>IF(C1400&lt;=30,5,IF(C1400&lt;=60,4,IF(C1400&lt;=120,3,IF(C1400&lt;=200,2,1))))</f>
        <v/>
      </c>
      <c r="G1400" s="128">
        <f>IF(D1400&gt;=20,5,IF(D1400&gt;=10,4,IF(D1400&gt;=5,3,IF(D1400&gt;=2,2,1))))</f>
        <v/>
      </c>
      <c r="H1400" s="128">
        <f>IF(E1400&gt;=5000,5,IF(E1400&gt;=2000,4,IF(E1400&gt;=800,3,IF(E1400&gt;=300,2,1))))</f>
        <v/>
      </c>
      <c r="I1400" s="126">
        <f>TEXT(F1400,"0")&amp;TEXT(G1400,"0")&amp;TEXT(H1400,"0")</f>
        <v/>
      </c>
      <c r="J1400" s="126">
        <f>IFERROR(XLOOKUP(I1400,'Segment Map'!A:A,'Segment Map'!B:B,"Need Attention"),"Need Attention")</f>
        <v/>
      </c>
      <c r="K1400" s="126">
        <f>IF(E1400&gt;=5000,"🏆 Platinum",IF(E1400&gt;=2000,"🥇 Gold",IF(E1400&gt;=800,"🥈 Silver","🥉 Bronze")))</f>
        <v/>
      </c>
      <c r="L1400" s="129" t="n">
        <v>40652</v>
      </c>
    </row>
    <row r="1401">
      <c r="A1401" s="122" t="n">
        <v>14243</v>
      </c>
      <c r="B1401" s="122" t="inlineStr">
        <is>
          <t>United Kingdom</t>
        </is>
      </c>
      <c r="C1401" s="122" t="n">
        <v>9</v>
      </c>
      <c r="D1401" s="122" t="n">
        <v>10</v>
      </c>
      <c r="E1401" s="123" t="n">
        <v>2588.77</v>
      </c>
      <c r="F1401" s="124">
        <f>IF(C1401&lt;=30,5,IF(C1401&lt;=60,4,IF(C1401&lt;=120,3,IF(C1401&lt;=200,2,1))))</f>
        <v/>
      </c>
      <c r="G1401" s="124">
        <f>IF(D1401&gt;=20,5,IF(D1401&gt;=10,4,IF(D1401&gt;=5,3,IF(D1401&gt;=2,2,1))))</f>
        <v/>
      </c>
      <c r="H1401" s="124">
        <f>IF(E1401&gt;=5000,5,IF(E1401&gt;=2000,4,IF(E1401&gt;=800,3,IF(E1401&gt;=300,2,1))))</f>
        <v/>
      </c>
      <c r="I1401" s="122">
        <f>TEXT(F1401,"0")&amp;TEXT(G1401,"0")&amp;TEXT(H1401,"0")</f>
        <v/>
      </c>
      <c r="J1401" s="122">
        <f>IFERROR(XLOOKUP(I1401,'Segment Map'!A:A,'Segment Map'!B:B,"Need Attention"),"Need Attention")</f>
        <v/>
      </c>
      <c r="K1401" s="122">
        <f>IF(E1401&gt;=5000,"🏆 Platinum",IF(E1401&gt;=2000,"🥇 Gold",IF(E1401&gt;=800,"🥈 Silver","🥉 Bronze")))</f>
        <v/>
      </c>
      <c r="L1401" s="125" t="n">
        <v>40878</v>
      </c>
    </row>
    <row r="1402">
      <c r="A1402" s="126" t="n">
        <v>14245</v>
      </c>
      <c r="B1402" s="126" t="inlineStr">
        <is>
          <t>United Kingdom</t>
        </is>
      </c>
      <c r="C1402" s="126" t="n">
        <v>220</v>
      </c>
      <c r="D1402" s="126" t="n">
        <v>2</v>
      </c>
      <c r="E1402" s="127" t="n">
        <v>1693.45</v>
      </c>
      <c r="F1402" s="128">
        <f>IF(C1402&lt;=30,5,IF(C1402&lt;=60,4,IF(C1402&lt;=120,3,IF(C1402&lt;=200,2,1))))</f>
        <v/>
      </c>
      <c r="G1402" s="128">
        <f>IF(D1402&gt;=20,5,IF(D1402&gt;=10,4,IF(D1402&gt;=5,3,IF(D1402&gt;=2,2,1))))</f>
        <v/>
      </c>
      <c r="H1402" s="128">
        <f>IF(E1402&gt;=5000,5,IF(E1402&gt;=2000,4,IF(E1402&gt;=800,3,IF(E1402&gt;=300,2,1))))</f>
        <v/>
      </c>
      <c r="I1402" s="126">
        <f>TEXT(F1402,"0")&amp;TEXT(G1402,"0")&amp;TEXT(H1402,"0")</f>
        <v/>
      </c>
      <c r="J1402" s="126">
        <f>IFERROR(XLOOKUP(I1402,'Segment Map'!A:A,'Segment Map'!B:B,"Need Attention"),"Need Attention")</f>
        <v/>
      </c>
      <c r="K1402" s="126">
        <f>IF(E1402&gt;=5000,"🏆 Platinum",IF(E1402&gt;=2000,"🥇 Gold",IF(E1402&gt;=800,"🥈 Silver","🥉 Bronze")))</f>
        <v/>
      </c>
      <c r="L1402" s="129" t="n">
        <v>40667</v>
      </c>
    </row>
    <row r="1403">
      <c r="A1403" s="122" t="n">
        <v>14246</v>
      </c>
      <c r="B1403" s="122" t="inlineStr">
        <is>
          <t>United Kingdom</t>
        </is>
      </c>
      <c r="C1403" s="122" t="n">
        <v>111</v>
      </c>
      <c r="D1403" s="122" t="n">
        <v>3</v>
      </c>
      <c r="E1403" s="123" t="n">
        <v>1474.06</v>
      </c>
      <c r="F1403" s="124">
        <f>IF(C1403&lt;=30,5,IF(C1403&lt;=60,4,IF(C1403&lt;=120,3,IF(C1403&lt;=200,2,1))))</f>
        <v/>
      </c>
      <c r="G1403" s="124">
        <f>IF(D1403&gt;=20,5,IF(D1403&gt;=10,4,IF(D1403&gt;=5,3,IF(D1403&gt;=2,2,1))))</f>
        <v/>
      </c>
      <c r="H1403" s="124">
        <f>IF(E1403&gt;=5000,5,IF(E1403&gt;=2000,4,IF(E1403&gt;=800,3,IF(E1403&gt;=300,2,1))))</f>
        <v/>
      </c>
      <c r="I1403" s="122">
        <f>TEXT(F1403,"0")&amp;TEXT(G1403,"0")&amp;TEXT(H1403,"0")</f>
        <v/>
      </c>
      <c r="J1403" s="122">
        <f>IFERROR(XLOOKUP(I1403,'Segment Map'!A:A,'Segment Map'!B:B,"Need Attention"),"Need Attention")</f>
        <v/>
      </c>
      <c r="K1403" s="122">
        <f>IF(E1403&gt;=5000,"🏆 Platinum",IF(E1403&gt;=2000,"🥇 Gold",IF(E1403&gt;=800,"🥈 Silver","🥉 Bronze")))</f>
        <v/>
      </c>
      <c r="L1403" s="125" t="n">
        <v>40776</v>
      </c>
    </row>
    <row r="1404">
      <c r="A1404" s="126" t="n">
        <v>14247</v>
      </c>
      <c r="B1404" s="126" t="inlineStr">
        <is>
          <t>United Kingdom</t>
        </is>
      </c>
      <c r="C1404" s="126" t="n">
        <v>279</v>
      </c>
      <c r="D1404" s="126" t="n">
        <v>1</v>
      </c>
      <c r="E1404" s="127" t="n">
        <v>136.77</v>
      </c>
      <c r="F1404" s="128">
        <f>IF(C1404&lt;=30,5,IF(C1404&lt;=60,4,IF(C1404&lt;=120,3,IF(C1404&lt;=200,2,1))))</f>
        <v/>
      </c>
      <c r="G1404" s="128">
        <f>IF(D1404&gt;=20,5,IF(D1404&gt;=10,4,IF(D1404&gt;=5,3,IF(D1404&gt;=2,2,1))))</f>
        <v/>
      </c>
      <c r="H1404" s="128">
        <f>IF(E1404&gt;=5000,5,IF(E1404&gt;=2000,4,IF(E1404&gt;=800,3,IF(E1404&gt;=300,2,1))))</f>
        <v/>
      </c>
      <c r="I1404" s="126">
        <f>TEXT(F1404,"0")&amp;TEXT(G1404,"0")&amp;TEXT(H1404,"0")</f>
        <v/>
      </c>
      <c r="J1404" s="126">
        <f>IFERROR(XLOOKUP(I1404,'Segment Map'!A:A,'Segment Map'!B:B,"Need Attention"),"Need Attention")</f>
        <v/>
      </c>
      <c r="K1404" s="126">
        <f>IF(E1404&gt;=5000,"🏆 Platinum",IF(E1404&gt;=2000,"🥇 Gold",IF(E1404&gt;=800,"🥈 Silver","🥉 Bronze")))</f>
        <v/>
      </c>
      <c r="L1404" s="129" t="n">
        <v>40608</v>
      </c>
    </row>
    <row r="1405">
      <c r="A1405" s="122" t="n">
        <v>14248</v>
      </c>
      <c r="B1405" s="122" t="inlineStr">
        <is>
          <t>United Kingdom</t>
        </is>
      </c>
      <c r="C1405" s="122" t="n">
        <v>319</v>
      </c>
      <c r="D1405" s="122" t="n">
        <v>1</v>
      </c>
      <c r="E1405" s="123" t="n">
        <v>302.58</v>
      </c>
      <c r="F1405" s="124">
        <f>IF(C1405&lt;=30,5,IF(C1405&lt;=60,4,IF(C1405&lt;=120,3,IF(C1405&lt;=200,2,1))))</f>
        <v/>
      </c>
      <c r="G1405" s="124">
        <f>IF(D1405&gt;=20,5,IF(D1405&gt;=10,4,IF(D1405&gt;=5,3,IF(D1405&gt;=2,2,1))))</f>
        <v/>
      </c>
      <c r="H1405" s="124">
        <f>IF(E1405&gt;=5000,5,IF(E1405&gt;=2000,4,IF(E1405&gt;=800,3,IF(E1405&gt;=300,2,1))))</f>
        <v/>
      </c>
      <c r="I1405" s="122">
        <f>TEXT(F1405,"0")&amp;TEXT(G1405,"0")&amp;TEXT(H1405,"0")</f>
        <v/>
      </c>
      <c r="J1405" s="122">
        <f>IFERROR(XLOOKUP(I1405,'Segment Map'!A:A,'Segment Map'!B:B,"Need Attention"),"Need Attention")</f>
        <v/>
      </c>
      <c r="K1405" s="122">
        <f>IF(E1405&gt;=5000,"🏆 Platinum",IF(E1405&gt;=2000,"🥇 Gold",IF(E1405&gt;=800,"🥈 Silver","🥉 Bronze")))</f>
        <v/>
      </c>
      <c r="L1405" s="125" t="n">
        <v>40568</v>
      </c>
    </row>
    <row r="1406">
      <c r="A1406" s="126" t="n">
        <v>14250</v>
      </c>
      <c r="B1406" s="126" t="inlineStr">
        <is>
          <t>United Kingdom</t>
        </is>
      </c>
      <c r="C1406" s="126" t="n">
        <v>8</v>
      </c>
      <c r="D1406" s="126" t="n">
        <v>3</v>
      </c>
      <c r="E1406" s="127" t="n">
        <v>1904.05</v>
      </c>
      <c r="F1406" s="128">
        <f>IF(C1406&lt;=30,5,IF(C1406&lt;=60,4,IF(C1406&lt;=120,3,IF(C1406&lt;=200,2,1))))</f>
        <v/>
      </c>
      <c r="G1406" s="128">
        <f>IF(D1406&gt;=20,5,IF(D1406&gt;=10,4,IF(D1406&gt;=5,3,IF(D1406&gt;=2,2,1))))</f>
        <v/>
      </c>
      <c r="H1406" s="128">
        <f>IF(E1406&gt;=5000,5,IF(E1406&gt;=2000,4,IF(E1406&gt;=800,3,IF(E1406&gt;=300,2,1))))</f>
        <v/>
      </c>
      <c r="I1406" s="126">
        <f>TEXT(F1406,"0")&amp;TEXT(G1406,"0")&amp;TEXT(H1406,"0")</f>
        <v/>
      </c>
      <c r="J1406" s="126">
        <f>IFERROR(XLOOKUP(I1406,'Segment Map'!A:A,'Segment Map'!B:B,"Need Attention"),"Need Attention")</f>
        <v/>
      </c>
      <c r="K1406" s="126">
        <f>IF(E1406&gt;=5000,"🏆 Platinum",IF(E1406&gt;=2000,"🥇 Gold",IF(E1406&gt;=800,"🥈 Silver","🥉 Bronze")))</f>
        <v/>
      </c>
      <c r="L1406" s="129" t="n">
        <v>40879</v>
      </c>
    </row>
    <row r="1407">
      <c r="A1407" s="122" t="n">
        <v>14251</v>
      </c>
      <c r="B1407" s="122" t="inlineStr">
        <is>
          <t>United Kingdom</t>
        </is>
      </c>
      <c r="C1407" s="122" t="n">
        <v>2</v>
      </c>
      <c r="D1407" s="122" t="n">
        <v>5</v>
      </c>
      <c r="E1407" s="123" t="n">
        <v>2879.7</v>
      </c>
      <c r="F1407" s="124">
        <f>IF(C1407&lt;=30,5,IF(C1407&lt;=60,4,IF(C1407&lt;=120,3,IF(C1407&lt;=200,2,1))))</f>
        <v/>
      </c>
      <c r="G1407" s="124">
        <f>IF(D1407&gt;=20,5,IF(D1407&gt;=10,4,IF(D1407&gt;=5,3,IF(D1407&gt;=2,2,1))))</f>
        <v/>
      </c>
      <c r="H1407" s="124">
        <f>IF(E1407&gt;=5000,5,IF(E1407&gt;=2000,4,IF(E1407&gt;=800,3,IF(E1407&gt;=300,2,1))))</f>
        <v/>
      </c>
      <c r="I1407" s="122">
        <f>TEXT(F1407,"0")&amp;TEXT(G1407,"0")&amp;TEXT(H1407,"0")</f>
        <v/>
      </c>
      <c r="J1407" s="122">
        <f>IFERROR(XLOOKUP(I1407,'Segment Map'!A:A,'Segment Map'!B:B,"Need Attention"),"Need Attention")</f>
        <v/>
      </c>
      <c r="K1407" s="122">
        <f>IF(E1407&gt;=5000,"🏆 Platinum",IF(E1407&gt;=2000,"🥇 Gold",IF(E1407&gt;=800,"🥈 Silver","🥉 Bronze")))</f>
        <v/>
      </c>
      <c r="L1407" s="125" t="n">
        <v>40885</v>
      </c>
    </row>
    <row r="1408">
      <c r="A1408" s="126" t="n">
        <v>14256</v>
      </c>
      <c r="B1408" s="126" t="inlineStr">
        <is>
          <t>United Kingdom</t>
        </is>
      </c>
      <c r="C1408" s="126" t="n">
        <v>261</v>
      </c>
      <c r="D1408" s="126" t="n">
        <v>2</v>
      </c>
      <c r="E1408" s="127" t="n">
        <v>969.0599999999999</v>
      </c>
      <c r="F1408" s="128">
        <f>IF(C1408&lt;=30,5,IF(C1408&lt;=60,4,IF(C1408&lt;=120,3,IF(C1408&lt;=200,2,1))))</f>
        <v/>
      </c>
      <c r="G1408" s="128">
        <f>IF(D1408&gt;=20,5,IF(D1408&gt;=10,4,IF(D1408&gt;=5,3,IF(D1408&gt;=2,2,1))))</f>
        <v/>
      </c>
      <c r="H1408" s="128">
        <f>IF(E1408&gt;=5000,5,IF(E1408&gt;=2000,4,IF(E1408&gt;=800,3,IF(E1408&gt;=300,2,1))))</f>
        <v/>
      </c>
      <c r="I1408" s="126">
        <f>TEXT(F1408,"0")&amp;TEXT(G1408,"0")&amp;TEXT(H1408,"0")</f>
        <v/>
      </c>
      <c r="J1408" s="126">
        <f>IFERROR(XLOOKUP(I1408,'Segment Map'!A:A,'Segment Map'!B:B,"Need Attention"),"Need Attention")</f>
        <v/>
      </c>
      <c r="K1408" s="126">
        <f>IF(E1408&gt;=5000,"🏆 Platinum",IF(E1408&gt;=2000,"🥇 Gold",IF(E1408&gt;=800,"🥈 Silver","🥉 Bronze")))</f>
        <v/>
      </c>
      <c r="L1408" s="129" t="n">
        <v>40626</v>
      </c>
    </row>
    <row r="1409">
      <c r="A1409" s="122" t="n">
        <v>14257</v>
      </c>
      <c r="B1409" s="122" t="inlineStr">
        <is>
          <t>United Kingdom</t>
        </is>
      </c>
      <c r="C1409" s="122" t="n">
        <v>65</v>
      </c>
      <c r="D1409" s="122" t="n">
        <v>5</v>
      </c>
      <c r="E1409" s="123" t="n">
        <v>3099.72</v>
      </c>
      <c r="F1409" s="124">
        <f>IF(C1409&lt;=30,5,IF(C1409&lt;=60,4,IF(C1409&lt;=120,3,IF(C1409&lt;=200,2,1))))</f>
        <v/>
      </c>
      <c r="G1409" s="124">
        <f>IF(D1409&gt;=20,5,IF(D1409&gt;=10,4,IF(D1409&gt;=5,3,IF(D1409&gt;=2,2,1))))</f>
        <v/>
      </c>
      <c r="H1409" s="124">
        <f>IF(E1409&gt;=5000,5,IF(E1409&gt;=2000,4,IF(E1409&gt;=800,3,IF(E1409&gt;=300,2,1))))</f>
        <v/>
      </c>
      <c r="I1409" s="122">
        <f>TEXT(F1409,"0")&amp;TEXT(G1409,"0")&amp;TEXT(H1409,"0")</f>
        <v/>
      </c>
      <c r="J1409" s="122">
        <f>IFERROR(XLOOKUP(I1409,'Segment Map'!A:A,'Segment Map'!B:B,"Need Attention"),"Need Attention")</f>
        <v/>
      </c>
      <c r="K1409" s="122">
        <f>IF(E1409&gt;=5000,"🏆 Platinum",IF(E1409&gt;=2000,"🥇 Gold",IF(E1409&gt;=800,"🥈 Silver","🥉 Bronze")))</f>
        <v/>
      </c>
      <c r="L1409" s="125" t="n">
        <v>40822</v>
      </c>
    </row>
    <row r="1410">
      <c r="A1410" s="126" t="n">
        <v>14258</v>
      </c>
      <c r="B1410" s="126" t="inlineStr">
        <is>
          <t>United Kingdom</t>
        </is>
      </c>
      <c r="C1410" s="126" t="n">
        <v>10</v>
      </c>
      <c r="D1410" s="126" t="n">
        <v>9</v>
      </c>
      <c r="E1410" s="127" t="n">
        <v>12669.98</v>
      </c>
      <c r="F1410" s="128">
        <f>IF(C1410&lt;=30,5,IF(C1410&lt;=60,4,IF(C1410&lt;=120,3,IF(C1410&lt;=200,2,1))))</f>
        <v/>
      </c>
      <c r="G1410" s="128">
        <f>IF(D1410&gt;=20,5,IF(D1410&gt;=10,4,IF(D1410&gt;=5,3,IF(D1410&gt;=2,2,1))))</f>
        <v/>
      </c>
      <c r="H1410" s="128">
        <f>IF(E1410&gt;=5000,5,IF(E1410&gt;=2000,4,IF(E1410&gt;=800,3,IF(E1410&gt;=300,2,1))))</f>
        <v/>
      </c>
      <c r="I1410" s="126">
        <f>TEXT(F1410,"0")&amp;TEXT(G1410,"0")&amp;TEXT(H1410,"0")</f>
        <v/>
      </c>
      <c r="J1410" s="126">
        <f>IFERROR(XLOOKUP(I1410,'Segment Map'!A:A,'Segment Map'!B:B,"Need Attention"),"Need Attention")</f>
        <v/>
      </c>
      <c r="K1410" s="126">
        <f>IF(E1410&gt;=5000,"🏆 Platinum",IF(E1410&gt;=2000,"🥇 Gold",IF(E1410&gt;=800,"🥈 Silver","🥉 Bronze")))</f>
        <v/>
      </c>
      <c r="L1410" s="129" t="n">
        <v>40877</v>
      </c>
    </row>
    <row r="1411">
      <c r="A1411" s="122" t="n">
        <v>14259</v>
      </c>
      <c r="B1411" s="122" t="inlineStr">
        <is>
          <t>United Kingdom</t>
        </is>
      </c>
      <c r="C1411" s="122" t="n">
        <v>142</v>
      </c>
      <c r="D1411" s="122" t="n">
        <v>1</v>
      </c>
      <c r="E1411" s="123" t="n">
        <v>120</v>
      </c>
      <c r="F1411" s="124">
        <f>IF(C1411&lt;=30,5,IF(C1411&lt;=60,4,IF(C1411&lt;=120,3,IF(C1411&lt;=200,2,1))))</f>
        <v/>
      </c>
      <c r="G1411" s="124">
        <f>IF(D1411&gt;=20,5,IF(D1411&gt;=10,4,IF(D1411&gt;=5,3,IF(D1411&gt;=2,2,1))))</f>
        <v/>
      </c>
      <c r="H1411" s="124">
        <f>IF(E1411&gt;=5000,5,IF(E1411&gt;=2000,4,IF(E1411&gt;=800,3,IF(E1411&gt;=300,2,1))))</f>
        <v/>
      </c>
      <c r="I1411" s="122">
        <f>TEXT(F1411,"0")&amp;TEXT(G1411,"0")&amp;TEXT(H1411,"0")</f>
        <v/>
      </c>
      <c r="J1411" s="122">
        <f>IFERROR(XLOOKUP(I1411,'Segment Map'!A:A,'Segment Map'!B:B,"Need Attention"),"Need Attention")</f>
        <v/>
      </c>
      <c r="K1411" s="122">
        <f>IF(E1411&gt;=5000,"🏆 Platinum",IF(E1411&gt;=2000,"🥇 Gold",IF(E1411&gt;=800,"🥈 Silver","🥉 Bronze")))</f>
        <v/>
      </c>
      <c r="L1411" s="125" t="n">
        <v>40745</v>
      </c>
    </row>
    <row r="1412">
      <c r="A1412" s="126" t="n">
        <v>14261</v>
      </c>
      <c r="B1412" s="126" t="inlineStr">
        <is>
          <t>United Kingdom</t>
        </is>
      </c>
      <c r="C1412" s="126" t="n">
        <v>51</v>
      </c>
      <c r="D1412" s="126" t="n">
        <v>2</v>
      </c>
      <c r="E1412" s="127" t="n">
        <v>1163.45</v>
      </c>
      <c r="F1412" s="128">
        <f>IF(C1412&lt;=30,5,IF(C1412&lt;=60,4,IF(C1412&lt;=120,3,IF(C1412&lt;=200,2,1))))</f>
        <v/>
      </c>
      <c r="G1412" s="128">
        <f>IF(D1412&gt;=20,5,IF(D1412&gt;=10,4,IF(D1412&gt;=5,3,IF(D1412&gt;=2,2,1))))</f>
        <v/>
      </c>
      <c r="H1412" s="128">
        <f>IF(E1412&gt;=5000,5,IF(E1412&gt;=2000,4,IF(E1412&gt;=800,3,IF(E1412&gt;=300,2,1))))</f>
        <v/>
      </c>
      <c r="I1412" s="126">
        <f>TEXT(F1412,"0")&amp;TEXT(G1412,"0")&amp;TEXT(H1412,"0")</f>
        <v/>
      </c>
      <c r="J1412" s="126">
        <f>IFERROR(XLOOKUP(I1412,'Segment Map'!A:A,'Segment Map'!B:B,"Need Attention"),"Need Attention")</f>
        <v/>
      </c>
      <c r="K1412" s="126">
        <f>IF(E1412&gt;=5000,"🏆 Platinum",IF(E1412&gt;=2000,"🥇 Gold",IF(E1412&gt;=800,"🥈 Silver","🥉 Bronze")))</f>
        <v/>
      </c>
      <c r="L1412" s="129" t="n">
        <v>40836</v>
      </c>
    </row>
    <row r="1413">
      <c r="A1413" s="122" t="n">
        <v>14262</v>
      </c>
      <c r="B1413" s="122" t="inlineStr">
        <is>
          <t>United Kingdom</t>
        </is>
      </c>
      <c r="C1413" s="122" t="n">
        <v>9</v>
      </c>
      <c r="D1413" s="122" t="n">
        <v>8</v>
      </c>
      <c r="E1413" s="123" t="n">
        <v>2618.23</v>
      </c>
      <c r="F1413" s="124">
        <f>IF(C1413&lt;=30,5,IF(C1413&lt;=60,4,IF(C1413&lt;=120,3,IF(C1413&lt;=200,2,1))))</f>
        <v/>
      </c>
      <c r="G1413" s="124">
        <f>IF(D1413&gt;=20,5,IF(D1413&gt;=10,4,IF(D1413&gt;=5,3,IF(D1413&gt;=2,2,1))))</f>
        <v/>
      </c>
      <c r="H1413" s="124">
        <f>IF(E1413&gt;=5000,5,IF(E1413&gt;=2000,4,IF(E1413&gt;=800,3,IF(E1413&gt;=300,2,1))))</f>
        <v/>
      </c>
      <c r="I1413" s="122">
        <f>TEXT(F1413,"0")&amp;TEXT(G1413,"0")&amp;TEXT(H1413,"0")</f>
        <v/>
      </c>
      <c r="J1413" s="122">
        <f>IFERROR(XLOOKUP(I1413,'Segment Map'!A:A,'Segment Map'!B:B,"Need Attention"),"Need Attention")</f>
        <v/>
      </c>
      <c r="K1413" s="122">
        <f>IF(E1413&gt;=5000,"🏆 Platinum",IF(E1413&gt;=2000,"🥇 Gold",IF(E1413&gt;=800,"🥈 Silver","🥉 Bronze")))</f>
        <v/>
      </c>
      <c r="L1413" s="125" t="n">
        <v>40878</v>
      </c>
    </row>
    <row r="1414">
      <c r="A1414" s="126" t="n">
        <v>14264</v>
      </c>
      <c r="B1414" s="126" t="inlineStr">
        <is>
          <t>United Kingdom</t>
        </is>
      </c>
      <c r="C1414" s="126" t="n">
        <v>155</v>
      </c>
      <c r="D1414" s="126" t="n">
        <v>2</v>
      </c>
      <c r="E1414" s="127" t="n">
        <v>333.97</v>
      </c>
      <c r="F1414" s="128">
        <f>IF(C1414&lt;=30,5,IF(C1414&lt;=60,4,IF(C1414&lt;=120,3,IF(C1414&lt;=200,2,1))))</f>
        <v/>
      </c>
      <c r="G1414" s="128">
        <f>IF(D1414&gt;=20,5,IF(D1414&gt;=10,4,IF(D1414&gt;=5,3,IF(D1414&gt;=2,2,1))))</f>
        <v/>
      </c>
      <c r="H1414" s="128">
        <f>IF(E1414&gt;=5000,5,IF(E1414&gt;=2000,4,IF(E1414&gt;=800,3,IF(E1414&gt;=300,2,1))))</f>
        <v/>
      </c>
      <c r="I1414" s="126">
        <f>TEXT(F1414,"0")&amp;TEXT(G1414,"0")&amp;TEXT(H1414,"0")</f>
        <v/>
      </c>
      <c r="J1414" s="126">
        <f>IFERROR(XLOOKUP(I1414,'Segment Map'!A:A,'Segment Map'!B:B,"Need Attention"),"Need Attention")</f>
        <v/>
      </c>
      <c r="K1414" s="126">
        <f>IF(E1414&gt;=5000,"🏆 Platinum",IF(E1414&gt;=2000,"🥇 Gold",IF(E1414&gt;=800,"🥈 Silver","🥉 Bronze")))</f>
        <v/>
      </c>
      <c r="L1414" s="129" t="n">
        <v>40732</v>
      </c>
    </row>
    <row r="1415">
      <c r="A1415" s="122" t="n">
        <v>14265</v>
      </c>
      <c r="B1415" s="122" t="inlineStr">
        <is>
          <t>Unspecified</t>
        </is>
      </c>
      <c r="C1415" s="122" t="n">
        <v>110</v>
      </c>
      <c r="D1415" s="122" t="n">
        <v>2</v>
      </c>
      <c r="E1415" s="123" t="n">
        <v>530.1799999999999</v>
      </c>
      <c r="F1415" s="124">
        <f>IF(C1415&lt;=30,5,IF(C1415&lt;=60,4,IF(C1415&lt;=120,3,IF(C1415&lt;=200,2,1))))</f>
        <v/>
      </c>
      <c r="G1415" s="124">
        <f>IF(D1415&gt;=20,5,IF(D1415&gt;=10,4,IF(D1415&gt;=5,3,IF(D1415&gt;=2,2,1))))</f>
        <v/>
      </c>
      <c r="H1415" s="124">
        <f>IF(E1415&gt;=5000,5,IF(E1415&gt;=2000,4,IF(E1415&gt;=800,3,IF(E1415&gt;=300,2,1))))</f>
        <v/>
      </c>
      <c r="I1415" s="122">
        <f>TEXT(F1415,"0")&amp;TEXT(G1415,"0")&amp;TEXT(H1415,"0")</f>
        <v/>
      </c>
      <c r="J1415" s="122">
        <f>IFERROR(XLOOKUP(I1415,'Segment Map'!A:A,'Segment Map'!B:B,"Need Attention"),"Need Attention")</f>
        <v/>
      </c>
      <c r="K1415" s="122">
        <f>IF(E1415&gt;=5000,"🏆 Platinum",IF(E1415&gt;=2000,"🥇 Gold",IF(E1415&gt;=800,"🥈 Silver","🥉 Bronze")))</f>
        <v/>
      </c>
      <c r="L1415" s="125" t="n">
        <v>40777</v>
      </c>
    </row>
    <row r="1416">
      <c r="A1416" s="126" t="n">
        <v>14267</v>
      </c>
      <c r="B1416" s="126" t="inlineStr">
        <is>
          <t>United Kingdom</t>
        </is>
      </c>
      <c r="C1416" s="126" t="n">
        <v>163</v>
      </c>
      <c r="D1416" s="126" t="n">
        <v>3</v>
      </c>
      <c r="E1416" s="127" t="n">
        <v>1516.24</v>
      </c>
      <c r="F1416" s="128">
        <f>IF(C1416&lt;=30,5,IF(C1416&lt;=60,4,IF(C1416&lt;=120,3,IF(C1416&lt;=200,2,1))))</f>
        <v/>
      </c>
      <c r="G1416" s="128">
        <f>IF(D1416&gt;=20,5,IF(D1416&gt;=10,4,IF(D1416&gt;=5,3,IF(D1416&gt;=2,2,1))))</f>
        <v/>
      </c>
      <c r="H1416" s="128">
        <f>IF(E1416&gt;=5000,5,IF(E1416&gt;=2000,4,IF(E1416&gt;=800,3,IF(E1416&gt;=300,2,1))))</f>
        <v/>
      </c>
      <c r="I1416" s="126">
        <f>TEXT(F1416,"0")&amp;TEXT(G1416,"0")&amp;TEXT(H1416,"0")</f>
        <v/>
      </c>
      <c r="J1416" s="126">
        <f>IFERROR(XLOOKUP(I1416,'Segment Map'!A:A,'Segment Map'!B:B,"Need Attention"),"Need Attention")</f>
        <v/>
      </c>
      <c r="K1416" s="126">
        <f>IF(E1416&gt;=5000,"🏆 Platinum",IF(E1416&gt;=2000,"🥇 Gold",IF(E1416&gt;=800,"🥈 Silver","🥉 Bronze")))</f>
        <v/>
      </c>
      <c r="L1416" s="129" t="n">
        <v>40724</v>
      </c>
    </row>
    <row r="1417">
      <c r="A1417" s="122" t="n">
        <v>14270</v>
      </c>
      <c r="B1417" s="122" t="inlineStr">
        <is>
          <t>United Kingdom</t>
        </is>
      </c>
      <c r="C1417" s="122" t="n">
        <v>332</v>
      </c>
      <c r="D1417" s="122" t="n">
        <v>1</v>
      </c>
      <c r="E1417" s="123" t="n">
        <v>492.65</v>
      </c>
      <c r="F1417" s="124">
        <f>IF(C1417&lt;=30,5,IF(C1417&lt;=60,4,IF(C1417&lt;=120,3,IF(C1417&lt;=200,2,1))))</f>
        <v/>
      </c>
      <c r="G1417" s="124">
        <f>IF(D1417&gt;=20,5,IF(D1417&gt;=10,4,IF(D1417&gt;=5,3,IF(D1417&gt;=2,2,1))))</f>
        <v/>
      </c>
      <c r="H1417" s="124">
        <f>IF(E1417&gt;=5000,5,IF(E1417&gt;=2000,4,IF(E1417&gt;=800,3,IF(E1417&gt;=300,2,1))))</f>
        <v/>
      </c>
      <c r="I1417" s="122">
        <f>TEXT(F1417,"0")&amp;TEXT(G1417,"0")&amp;TEXT(H1417,"0")</f>
        <v/>
      </c>
      <c r="J1417" s="122">
        <f>IFERROR(XLOOKUP(I1417,'Segment Map'!A:A,'Segment Map'!B:B,"Need Attention"),"Need Attention")</f>
        <v/>
      </c>
      <c r="K1417" s="122">
        <f>IF(E1417&gt;=5000,"🏆 Platinum",IF(E1417&gt;=2000,"🥇 Gold",IF(E1417&gt;=800,"🥈 Silver","🥉 Bronze")))</f>
        <v/>
      </c>
      <c r="L1417" s="125" t="n">
        <v>40555</v>
      </c>
    </row>
    <row r="1418">
      <c r="A1418" s="126" t="n">
        <v>14271</v>
      </c>
      <c r="B1418" s="126" t="inlineStr">
        <is>
          <t>United Kingdom</t>
        </is>
      </c>
      <c r="C1418" s="126" t="n">
        <v>226</v>
      </c>
      <c r="D1418" s="126" t="n">
        <v>1</v>
      </c>
      <c r="E1418" s="127" t="n">
        <v>112.32</v>
      </c>
      <c r="F1418" s="128">
        <f>IF(C1418&lt;=30,5,IF(C1418&lt;=60,4,IF(C1418&lt;=120,3,IF(C1418&lt;=200,2,1))))</f>
        <v/>
      </c>
      <c r="G1418" s="128">
        <f>IF(D1418&gt;=20,5,IF(D1418&gt;=10,4,IF(D1418&gt;=5,3,IF(D1418&gt;=2,2,1))))</f>
        <v/>
      </c>
      <c r="H1418" s="128">
        <f>IF(E1418&gt;=5000,5,IF(E1418&gt;=2000,4,IF(E1418&gt;=800,3,IF(E1418&gt;=300,2,1))))</f>
        <v/>
      </c>
      <c r="I1418" s="126">
        <f>TEXT(F1418,"0")&amp;TEXT(G1418,"0")&amp;TEXT(H1418,"0")</f>
        <v/>
      </c>
      <c r="J1418" s="126">
        <f>IFERROR(XLOOKUP(I1418,'Segment Map'!A:A,'Segment Map'!B:B,"Need Attention"),"Need Attention")</f>
        <v/>
      </c>
      <c r="K1418" s="126">
        <f>IF(E1418&gt;=5000,"🏆 Platinum",IF(E1418&gt;=2000,"🥇 Gold",IF(E1418&gt;=800,"🥈 Silver","🥉 Bronze")))</f>
        <v/>
      </c>
      <c r="L1418" s="129" t="n">
        <v>40661</v>
      </c>
    </row>
    <row r="1419">
      <c r="A1419" s="122" t="n">
        <v>14272</v>
      </c>
      <c r="B1419" s="122" t="inlineStr">
        <is>
          <t>United Kingdom</t>
        </is>
      </c>
      <c r="C1419" s="122" t="n">
        <v>74</v>
      </c>
      <c r="D1419" s="122" t="n">
        <v>2</v>
      </c>
      <c r="E1419" s="123" t="n">
        <v>437.96</v>
      </c>
      <c r="F1419" s="124">
        <f>IF(C1419&lt;=30,5,IF(C1419&lt;=60,4,IF(C1419&lt;=120,3,IF(C1419&lt;=200,2,1))))</f>
        <v/>
      </c>
      <c r="G1419" s="124">
        <f>IF(D1419&gt;=20,5,IF(D1419&gt;=10,4,IF(D1419&gt;=5,3,IF(D1419&gt;=2,2,1))))</f>
        <v/>
      </c>
      <c r="H1419" s="124">
        <f>IF(E1419&gt;=5000,5,IF(E1419&gt;=2000,4,IF(E1419&gt;=800,3,IF(E1419&gt;=300,2,1))))</f>
        <v/>
      </c>
      <c r="I1419" s="122">
        <f>TEXT(F1419,"0")&amp;TEXT(G1419,"0")&amp;TEXT(H1419,"0")</f>
        <v/>
      </c>
      <c r="J1419" s="122">
        <f>IFERROR(XLOOKUP(I1419,'Segment Map'!A:A,'Segment Map'!B:B,"Need Attention"),"Need Attention")</f>
        <v/>
      </c>
      <c r="K1419" s="122">
        <f>IF(E1419&gt;=5000,"🏆 Platinum",IF(E1419&gt;=2000,"🥇 Gold",IF(E1419&gt;=800,"🥈 Silver","🥉 Bronze")))</f>
        <v/>
      </c>
      <c r="L1419" s="125" t="n">
        <v>40813</v>
      </c>
    </row>
    <row r="1420">
      <c r="A1420" s="126" t="n">
        <v>14273</v>
      </c>
      <c r="B1420" s="126" t="inlineStr">
        <is>
          <t>United Kingdom</t>
        </is>
      </c>
      <c r="C1420" s="126" t="n">
        <v>52</v>
      </c>
      <c r="D1420" s="126" t="n">
        <v>4</v>
      </c>
      <c r="E1420" s="127" t="n">
        <v>559.97</v>
      </c>
      <c r="F1420" s="128">
        <f>IF(C1420&lt;=30,5,IF(C1420&lt;=60,4,IF(C1420&lt;=120,3,IF(C1420&lt;=200,2,1))))</f>
        <v/>
      </c>
      <c r="G1420" s="128">
        <f>IF(D1420&gt;=20,5,IF(D1420&gt;=10,4,IF(D1420&gt;=5,3,IF(D1420&gt;=2,2,1))))</f>
        <v/>
      </c>
      <c r="H1420" s="128">
        <f>IF(E1420&gt;=5000,5,IF(E1420&gt;=2000,4,IF(E1420&gt;=800,3,IF(E1420&gt;=300,2,1))))</f>
        <v/>
      </c>
      <c r="I1420" s="126">
        <f>TEXT(F1420,"0")&amp;TEXT(G1420,"0")&amp;TEXT(H1420,"0")</f>
        <v/>
      </c>
      <c r="J1420" s="126">
        <f>IFERROR(XLOOKUP(I1420,'Segment Map'!A:A,'Segment Map'!B:B,"Need Attention"),"Need Attention")</f>
        <v/>
      </c>
      <c r="K1420" s="126">
        <f>IF(E1420&gt;=5000,"🏆 Platinum",IF(E1420&gt;=2000,"🥇 Gold",IF(E1420&gt;=800,"🥈 Silver","🥉 Bronze")))</f>
        <v/>
      </c>
      <c r="L1420" s="129" t="n">
        <v>40835</v>
      </c>
    </row>
    <row r="1421">
      <c r="A1421" s="122" t="n">
        <v>14276</v>
      </c>
      <c r="B1421" s="122" t="inlineStr">
        <is>
          <t>United Kingdom</t>
        </is>
      </c>
      <c r="C1421" s="122" t="n">
        <v>99</v>
      </c>
      <c r="D1421" s="122" t="n">
        <v>3</v>
      </c>
      <c r="E1421" s="123" t="n">
        <v>1119.74</v>
      </c>
      <c r="F1421" s="124">
        <f>IF(C1421&lt;=30,5,IF(C1421&lt;=60,4,IF(C1421&lt;=120,3,IF(C1421&lt;=200,2,1))))</f>
        <v/>
      </c>
      <c r="G1421" s="124">
        <f>IF(D1421&gt;=20,5,IF(D1421&gt;=10,4,IF(D1421&gt;=5,3,IF(D1421&gt;=2,2,1))))</f>
        <v/>
      </c>
      <c r="H1421" s="124">
        <f>IF(E1421&gt;=5000,5,IF(E1421&gt;=2000,4,IF(E1421&gt;=800,3,IF(E1421&gt;=300,2,1))))</f>
        <v/>
      </c>
      <c r="I1421" s="122">
        <f>TEXT(F1421,"0")&amp;TEXT(G1421,"0")&amp;TEXT(H1421,"0")</f>
        <v/>
      </c>
      <c r="J1421" s="122">
        <f>IFERROR(XLOOKUP(I1421,'Segment Map'!A:A,'Segment Map'!B:B,"Need Attention"),"Need Attention")</f>
        <v/>
      </c>
      <c r="K1421" s="122">
        <f>IF(E1421&gt;=5000,"🏆 Platinum",IF(E1421&gt;=2000,"🥇 Gold",IF(E1421&gt;=800,"🥈 Silver","🥉 Bronze")))</f>
        <v/>
      </c>
      <c r="L1421" s="125" t="n">
        <v>40788</v>
      </c>
    </row>
    <row r="1422">
      <c r="A1422" s="126" t="n">
        <v>14277</v>
      </c>
      <c r="B1422" s="126" t="inlineStr">
        <is>
          <t>France</t>
        </is>
      </c>
      <c r="C1422" s="126" t="n">
        <v>16</v>
      </c>
      <c r="D1422" s="126" t="n">
        <v>3</v>
      </c>
      <c r="E1422" s="127" t="n">
        <v>4216.2</v>
      </c>
      <c r="F1422" s="128">
        <f>IF(C1422&lt;=30,5,IF(C1422&lt;=60,4,IF(C1422&lt;=120,3,IF(C1422&lt;=200,2,1))))</f>
        <v/>
      </c>
      <c r="G1422" s="128">
        <f>IF(D1422&gt;=20,5,IF(D1422&gt;=10,4,IF(D1422&gt;=5,3,IF(D1422&gt;=2,2,1))))</f>
        <v/>
      </c>
      <c r="H1422" s="128">
        <f>IF(E1422&gt;=5000,5,IF(E1422&gt;=2000,4,IF(E1422&gt;=800,3,IF(E1422&gt;=300,2,1))))</f>
        <v/>
      </c>
      <c r="I1422" s="126">
        <f>TEXT(F1422,"0")&amp;TEXT(G1422,"0")&amp;TEXT(H1422,"0")</f>
        <v/>
      </c>
      <c r="J1422" s="126">
        <f>IFERROR(XLOOKUP(I1422,'Segment Map'!A:A,'Segment Map'!B:B,"Need Attention"),"Need Attention")</f>
        <v/>
      </c>
      <c r="K1422" s="126">
        <f>IF(E1422&gt;=5000,"🏆 Platinum",IF(E1422&gt;=2000,"🥇 Gold",IF(E1422&gt;=800,"🥈 Silver","🥉 Bronze")))</f>
        <v/>
      </c>
      <c r="L1422" s="129" t="n">
        <v>40871</v>
      </c>
    </row>
    <row r="1423">
      <c r="A1423" s="122" t="n">
        <v>14280</v>
      </c>
      <c r="B1423" s="122" t="inlineStr">
        <is>
          <t>United Kingdom</t>
        </is>
      </c>
      <c r="C1423" s="122" t="n">
        <v>197</v>
      </c>
      <c r="D1423" s="122" t="n">
        <v>1</v>
      </c>
      <c r="E1423" s="123" t="n">
        <v>134.04</v>
      </c>
      <c r="F1423" s="124">
        <f>IF(C1423&lt;=30,5,IF(C1423&lt;=60,4,IF(C1423&lt;=120,3,IF(C1423&lt;=200,2,1))))</f>
        <v/>
      </c>
      <c r="G1423" s="124">
        <f>IF(D1423&gt;=20,5,IF(D1423&gt;=10,4,IF(D1423&gt;=5,3,IF(D1423&gt;=2,2,1))))</f>
        <v/>
      </c>
      <c r="H1423" s="124">
        <f>IF(E1423&gt;=5000,5,IF(E1423&gt;=2000,4,IF(E1423&gt;=800,3,IF(E1423&gt;=300,2,1))))</f>
        <v/>
      </c>
      <c r="I1423" s="122">
        <f>TEXT(F1423,"0")&amp;TEXT(G1423,"0")&amp;TEXT(H1423,"0")</f>
        <v/>
      </c>
      <c r="J1423" s="122">
        <f>IFERROR(XLOOKUP(I1423,'Segment Map'!A:A,'Segment Map'!B:B,"Need Attention"),"Need Attention")</f>
        <v/>
      </c>
      <c r="K1423" s="122">
        <f>IF(E1423&gt;=5000,"🏆 Platinum",IF(E1423&gt;=2000,"🥇 Gold",IF(E1423&gt;=800,"🥈 Silver","🥉 Bronze")))</f>
        <v/>
      </c>
      <c r="L1423" s="125" t="n">
        <v>40690</v>
      </c>
    </row>
    <row r="1424">
      <c r="A1424" s="126" t="n">
        <v>14282</v>
      </c>
      <c r="B1424" s="126" t="inlineStr">
        <is>
          <t>United Kingdom</t>
        </is>
      </c>
      <c r="C1424" s="126" t="n">
        <v>4</v>
      </c>
      <c r="D1424" s="126" t="n">
        <v>15</v>
      </c>
      <c r="E1424" s="127" t="n">
        <v>3729.34</v>
      </c>
      <c r="F1424" s="128">
        <f>IF(C1424&lt;=30,5,IF(C1424&lt;=60,4,IF(C1424&lt;=120,3,IF(C1424&lt;=200,2,1))))</f>
        <v/>
      </c>
      <c r="G1424" s="128">
        <f>IF(D1424&gt;=20,5,IF(D1424&gt;=10,4,IF(D1424&gt;=5,3,IF(D1424&gt;=2,2,1))))</f>
        <v/>
      </c>
      <c r="H1424" s="128">
        <f>IF(E1424&gt;=5000,5,IF(E1424&gt;=2000,4,IF(E1424&gt;=800,3,IF(E1424&gt;=300,2,1))))</f>
        <v/>
      </c>
      <c r="I1424" s="126">
        <f>TEXT(F1424,"0")&amp;TEXT(G1424,"0")&amp;TEXT(H1424,"0")</f>
        <v/>
      </c>
      <c r="J1424" s="126">
        <f>IFERROR(XLOOKUP(I1424,'Segment Map'!A:A,'Segment Map'!B:B,"Need Attention"),"Need Attention")</f>
        <v/>
      </c>
      <c r="K1424" s="126">
        <f>IF(E1424&gt;=5000,"🏆 Platinum",IF(E1424&gt;=2000,"🥇 Gold",IF(E1424&gt;=800,"🥈 Silver","🥉 Bronze")))</f>
        <v/>
      </c>
      <c r="L1424" s="129" t="n">
        <v>40883</v>
      </c>
    </row>
    <row r="1425">
      <c r="A1425" s="122" t="n">
        <v>14284</v>
      </c>
      <c r="B1425" s="122" t="inlineStr">
        <is>
          <t>United Kingdom</t>
        </is>
      </c>
      <c r="C1425" s="122" t="n">
        <v>31</v>
      </c>
      <c r="D1425" s="122" t="n">
        <v>2</v>
      </c>
      <c r="E1425" s="123" t="n">
        <v>595.25</v>
      </c>
      <c r="F1425" s="124">
        <f>IF(C1425&lt;=30,5,IF(C1425&lt;=60,4,IF(C1425&lt;=120,3,IF(C1425&lt;=200,2,1))))</f>
        <v/>
      </c>
      <c r="G1425" s="124">
        <f>IF(D1425&gt;=20,5,IF(D1425&gt;=10,4,IF(D1425&gt;=5,3,IF(D1425&gt;=2,2,1))))</f>
        <v/>
      </c>
      <c r="H1425" s="124">
        <f>IF(E1425&gt;=5000,5,IF(E1425&gt;=2000,4,IF(E1425&gt;=800,3,IF(E1425&gt;=300,2,1))))</f>
        <v/>
      </c>
      <c r="I1425" s="122">
        <f>TEXT(F1425,"0")&amp;TEXT(G1425,"0")&amp;TEXT(H1425,"0")</f>
        <v/>
      </c>
      <c r="J1425" s="122">
        <f>IFERROR(XLOOKUP(I1425,'Segment Map'!A:A,'Segment Map'!B:B,"Need Attention"),"Need Attention")</f>
        <v/>
      </c>
      <c r="K1425" s="122">
        <f>IF(E1425&gt;=5000,"🏆 Platinum",IF(E1425&gt;=2000,"🥇 Gold",IF(E1425&gt;=800,"🥈 Silver","🥉 Bronze")))</f>
        <v/>
      </c>
      <c r="L1425" s="125" t="n">
        <v>40856</v>
      </c>
    </row>
    <row r="1426">
      <c r="A1426" s="126" t="n">
        <v>14285</v>
      </c>
      <c r="B1426" s="126" t="inlineStr">
        <is>
          <t>United Kingdom</t>
        </is>
      </c>
      <c r="C1426" s="126" t="n">
        <v>22</v>
      </c>
      <c r="D1426" s="126" t="n">
        <v>4</v>
      </c>
      <c r="E1426" s="127" t="n">
        <v>1910.01</v>
      </c>
      <c r="F1426" s="128">
        <f>IF(C1426&lt;=30,5,IF(C1426&lt;=60,4,IF(C1426&lt;=120,3,IF(C1426&lt;=200,2,1))))</f>
        <v/>
      </c>
      <c r="G1426" s="128">
        <f>IF(D1426&gt;=20,5,IF(D1426&gt;=10,4,IF(D1426&gt;=5,3,IF(D1426&gt;=2,2,1))))</f>
        <v/>
      </c>
      <c r="H1426" s="128">
        <f>IF(E1426&gt;=5000,5,IF(E1426&gt;=2000,4,IF(E1426&gt;=800,3,IF(E1426&gt;=300,2,1))))</f>
        <v/>
      </c>
      <c r="I1426" s="126">
        <f>TEXT(F1426,"0")&amp;TEXT(G1426,"0")&amp;TEXT(H1426,"0")</f>
        <v/>
      </c>
      <c r="J1426" s="126">
        <f>IFERROR(XLOOKUP(I1426,'Segment Map'!A:A,'Segment Map'!B:B,"Need Attention"),"Need Attention")</f>
        <v/>
      </c>
      <c r="K1426" s="126">
        <f>IF(E1426&gt;=5000,"🏆 Platinum",IF(E1426&gt;=2000,"🥇 Gold",IF(E1426&gt;=800,"🥈 Silver","🥉 Bronze")))</f>
        <v/>
      </c>
      <c r="L1426" s="129" t="n">
        <v>40865</v>
      </c>
    </row>
    <row r="1427">
      <c r="A1427" s="122" t="n">
        <v>14286</v>
      </c>
      <c r="B1427" s="122" t="inlineStr">
        <is>
          <t>United Kingdom</t>
        </is>
      </c>
      <c r="C1427" s="122" t="n">
        <v>24</v>
      </c>
      <c r="D1427" s="122" t="n">
        <v>3</v>
      </c>
      <c r="E1427" s="123" t="n">
        <v>4628.75</v>
      </c>
      <c r="F1427" s="124">
        <f>IF(C1427&lt;=30,5,IF(C1427&lt;=60,4,IF(C1427&lt;=120,3,IF(C1427&lt;=200,2,1))))</f>
        <v/>
      </c>
      <c r="G1427" s="124">
        <f>IF(D1427&gt;=20,5,IF(D1427&gt;=10,4,IF(D1427&gt;=5,3,IF(D1427&gt;=2,2,1))))</f>
        <v/>
      </c>
      <c r="H1427" s="124">
        <f>IF(E1427&gt;=5000,5,IF(E1427&gt;=2000,4,IF(E1427&gt;=800,3,IF(E1427&gt;=300,2,1))))</f>
        <v/>
      </c>
      <c r="I1427" s="122">
        <f>TEXT(F1427,"0")&amp;TEXT(G1427,"0")&amp;TEXT(H1427,"0")</f>
        <v/>
      </c>
      <c r="J1427" s="122">
        <f>IFERROR(XLOOKUP(I1427,'Segment Map'!A:A,'Segment Map'!B:B,"Need Attention"),"Need Attention")</f>
        <v/>
      </c>
      <c r="K1427" s="122">
        <f>IF(E1427&gt;=5000,"🏆 Platinum",IF(E1427&gt;=2000,"🥇 Gold",IF(E1427&gt;=800,"🥈 Silver","🥉 Bronze")))</f>
        <v/>
      </c>
      <c r="L1427" s="125" t="n">
        <v>40863</v>
      </c>
    </row>
    <row r="1428">
      <c r="A1428" s="126" t="n">
        <v>14287</v>
      </c>
      <c r="B1428" s="126" t="inlineStr">
        <is>
          <t>United Kingdom</t>
        </is>
      </c>
      <c r="C1428" s="126" t="n">
        <v>9</v>
      </c>
      <c r="D1428" s="126" t="n">
        <v>3</v>
      </c>
      <c r="E1428" s="127" t="n">
        <v>176.63</v>
      </c>
      <c r="F1428" s="128">
        <f>IF(C1428&lt;=30,5,IF(C1428&lt;=60,4,IF(C1428&lt;=120,3,IF(C1428&lt;=200,2,1))))</f>
        <v/>
      </c>
      <c r="G1428" s="128">
        <f>IF(D1428&gt;=20,5,IF(D1428&gt;=10,4,IF(D1428&gt;=5,3,IF(D1428&gt;=2,2,1))))</f>
        <v/>
      </c>
      <c r="H1428" s="128">
        <f>IF(E1428&gt;=5000,5,IF(E1428&gt;=2000,4,IF(E1428&gt;=800,3,IF(E1428&gt;=300,2,1))))</f>
        <v/>
      </c>
      <c r="I1428" s="126">
        <f>TEXT(F1428,"0")&amp;TEXT(G1428,"0")&amp;TEXT(H1428,"0")</f>
        <v/>
      </c>
      <c r="J1428" s="126">
        <f>IFERROR(XLOOKUP(I1428,'Segment Map'!A:A,'Segment Map'!B:B,"Need Attention"),"Need Attention")</f>
        <v/>
      </c>
      <c r="K1428" s="126">
        <f>IF(E1428&gt;=5000,"🏆 Platinum",IF(E1428&gt;=2000,"🥇 Gold",IF(E1428&gt;=800,"🥈 Silver","🥉 Bronze")))</f>
        <v/>
      </c>
      <c r="L1428" s="129" t="n">
        <v>40878</v>
      </c>
    </row>
    <row r="1429">
      <c r="A1429" s="122" t="n">
        <v>14288</v>
      </c>
      <c r="B1429" s="122" t="inlineStr">
        <is>
          <t>United Kingdom</t>
        </is>
      </c>
      <c r="C1429" s="122" t="n">
        <v>214</v>
      </c>
      <c r="D1429" s="122" t="n">
        <v>1</v>
      </c>
      <c r="E1429" s="123" t="n">
        <v>426.6</v>
      </c>
      <c r="F1429" s="124">
        <f>IF(C1429&lt;=30,5,IF(C1429&lt;=60,4,IF(C1429&lt;=120,3,IF(C1429&lt;=200,2,1))))</f>
        <v/>
      </c>
      <c r="G1429" s="124">
        <f>IF(D1429&gt;=20,5,IF(D1429&gt;=10,4,IF(D1429&gt;=5,3,IF(D1429&gt;=2,2,1))))</f>
        <v/>
      </c>
      <c r="H1429" s="124">
        <f>IF(E1429&gt;=5000,5,IF(E1429&gt;=2000,4,IF(E1429&gt;=800,3,IF(E1429&gt;=300,2,1))))</f>
        <v/>
      </c>
      <c r="I1429" s="122">
        <f>TEXT(F1429,"0")&amp;TEXT(G1429,"0")&amp;TEXT(H1429,"0")</f>
        <v/>
      </c>
      <c r="J1429" s="122">
        <f>IFERROR(XLOOKUP(I1429,'Segment Map'!A:A,'Segment Map'!B:B,"Need Attention"),"Need Attention")</f>
        <v/>
      </c>
      <c r="K1429" s="122">
        <f>IF(E1429&gt;=5000,"🏆 Platinum",IF(E1429&gt;=2000,"🥇 Gold",IF(E1429&gt;=800,"🥈 Silver","🥉 Bronze")))</f>
        <v/>
      </c>
      <c r="L1429" s="125" t="n">
        <v>40673</v>
      </c>
    </row>
    <row r="1430">
      <c r="A1430" s="126" t="n">
        <v>14289</v>
      </c>
      <c r="B1430" s="126" t="inlineStr">
        <is>
          <t>United Kingdom</t>
        </is>
      </c>
      <c r="C1430" s="126" t="n">
        <v>9</v>
      </c>
      <c r="D1430" s="126" t="n">
        <v>6</v>
      </c>
      <c r="E1430" s="127" t="n">
        <v>911.26</v>
      </c>
      <c r="F1430" s="128">
        <f>IF(C1430&lt;=30,5,IF(C1430&lt;=60,4,IF(C1430&lt;=120,3,IF(C1430&lt;=200,2,1))))</f>
        <v/>
      </c>
      <c r="G1430" s="128">
        <f>IF(D1430&gt;=20,5,IF(D1430&gt;=10,4,IF(D1430&gt;=5,3,IF(D1430&gt;=2,2,1))))</f>
        <v/>
      </c>
      <c r="H1430" s="128">
        <f>IF(E1430&gt;=5000,5,IF(E1430&gt;=2000,4,IF(E1430&gt;=800,3,IF(E1430&gt;=300,2,1))))</f>
        <v/>
      </c>
      <c r="I1430" s="126">
        <f>TEXT(F1430,"0")&amp;TEXT(G1430,"0")&amp;TEXT(H1430,"0")</f>
        <v/>
      </c>
      <c r="J1430" s="126">
        <f>IFERROR(XLOOKUP(I1430,'Segment Map'!A:A,'Segment Map'!B:B,"Need Attention"),"Need Attention")</f>
        <v/>
      </c>
      <c r="K1430" s="126">
        <f>IF(E1430&gt;=5000,"🏆 Platinum",IF(E1430&gt;=2000,"🥇 Gold",IF(E1430&gt;=800,"🥈 Silver","🥉 Bronze")))</f>
        <v/>
      </c>
      <c r="L1430" s="129" t="n">
        <v>40878</v>
      </c>
    </row>
    <row r="1431">
      <c r="A1431" s="122" t="n">
        <v>14290</v>
      </c>
      <c r="B1431" s="122" t="inlineStr">
        <is>
          <t>United Kingdom</t>
        </is>
      </c>
      <c r="C1431" s="122" t="n">
        <v>12</v>
      </c>
      <c r="D1431" s="122" t="n">
        <v>5</v>
      </c>
      <c r="E1431" s="123" t="n">
        <v>2314.65</v>
      </c>
      <c r="F1431" s="124">
        <f>IF(C1431&lt;=30,5,IF(C1431&lt;=60,4,IF(C1431&lt;=120,3,IF(C1431&lt;=200,2,1))))</f>
        <v/>
      </c>
      <c r="G1431" s="124">
        <f>IF(D1431&gt;=20,5,IF(D1431&gt;=10,4,IF(D1431&gt;=5,3,IF(D1431&gt;=2,2,1))))</f>
        <v/>
      </c>
      <c r="H1431" s="124">
        <f>IF(E1431&gt;=5000,5,IF(E1431&gt;=2000,4,IF(E1431&gt;=800,3,IF(E1431&gt;=300,2,1))))</f>
        <v/>
      </c>
      <c r="I1431" s="122">
        <f>TEXT(F1431,"0")&amp;TEXT(G1431,"0")&amp;TEXT(H1431,"0")</f>
        <v/>
      </c>
      <c r="J1431" s="122">
        <f>IFERROR(XLOOKUP(I1431,'Segment Map'!A:A,'Segment Map'!B:B,"Need Attention"),"Need Attention")</f>
        <v/>
      </c>
      <c r="K1431" s="122">
        <f>IF(E1431&gt;=5000,"🏆 Platinum",IF(E1431&gt;=2000,"🥇 Gold",IF(E1431&gt;=800,"🥈 Silver","🥉 Bronze")))</f>
        <v/>
      </c>
      <c r="L1431" s="125" t="n">
        <v>40875</v>
      </c>
    </row>
    <row r="1432">
      <c r="A1432" s="126" t="n">
        <v>14291</v>
      </c>
      <c r="B1432" s="126" t="inlineStr">
        <is>
          <t>United Kingdom</t>
        </is>
      </c>
      <c r="C1432" s="126" t="n">
        <v>2</v>
      </c>
      <c r="D1432" s="126" t="n">
        <v>11</v>
      </c>
      <c r="E1432" s="127" t="n">
        <v>3883.25</v>
      </c>
      <c r="F1432" s="128">
        <f>IF(C1432&lt;=30,5,IF(C1432&lt;=60,4,IF(C1432&lt;=120,3,IF(C1432&lt;=200,2,1))))</f>
        <v/>
      </c>
      <c r="G1432" s="128">
        <f>IF(D1432&gt;=20,5,IF(D1432&gt;=10,4,IF(D1432&gt;=5,3,IF(D1432&gt;=2,2,1))))</f>
        <v/>
      </c>
      <c r="H1432" s="128">
        <f>IF(E1432&gt;=5000,5,IF(E1432&gt;=2000,4,IF(E1432&gt;=800,3,IF(E1432&gt;=300,2,1))))</f>
        <v/>
      </c>
      <c r="I1432" s="126">
        <f>TEXT(F1432,"0")&amp;TEXT(G1432,"0")&amp;TEXT(H1432,"0")</f>
        <v/>
      </c>
      <c r="J1432" s="126">
        <f>IFERROR(XLOOKUP(I1432,'Segment Map'!A:A,'Segment Map'!B:B,"Need Attention"),"Need Attention")</f>
        <v/>
      </c>
      <c r="K1432" s="126">
        <f>IF(E1432&gt;=5000,"🏆 Platinum",IF(E1432&gt;=2000,"🥇 Gold",IF(E1432&gt;=800,"🥈 Silver","🥉 Bronze")))</f>
        <v/>
      </c>
      <c r="L1432" s="129" t="n">
        <v>40885</v>
      </c>
    </row>
    <row r="1433">
      <c r="A1433" s="122" t="n">
        <v>14292</v>
      </c>
      <c r="B1433" s="122" t="inlineStr">
        <is>
          <t>United Kingdom</t>
        </is>
      </c>
      <c r="C1433" s="122" t="n">
        <v>8</v>
      </c>
      <c r="D1433" s="122" t="n">
        <v>9</v>
      </c>
      <c r="E1433" s="123" t="n">
        <v>4871.93</v>
      </c>
      <c r="F1433" s="124">
        <f>IF(C1433&lt;=30,5,IF(C1433&lt;=60,4,IF(C1433&lt;=120,3,IF(C1433&lt;=200,2,1))))</f>
        <v/>
      </c>
      <c r="G1433" s="124">
        <f>IF(D1433&gt;=20,5,IF(D1433&gt;=10,4,IF(D1433&gt;=5,3,IF(D1433&gt;=2,2,1))))</f>
        <v/>
      </c>
      <c r="H1433" s="124">
        <f>IF(E1433&gt;=5000,5,IF(E1433&gt;=2000,4,IF(E1433&gt;=800,3,IF(E1433&gt;=300,2,1))))</f>
        <v/>
      </c>
      <c r="I1433" s="122">
        <f>TEXT(F1433,"0")&amp;TEXT(G1433,"0")&amp;TEXT(H1433,"0")</f>
        <v/>
      </c>
      <c r="J1433" s="122">
        <f>IFERROR(XLOOKUP(I1433,'Segment Map'!A:A,'Segment Map'!B:B,"Need Attention"),"Need Attention")</f>
        <v/>
      </c>
      <c r="K1433" s="122">
        <f>IF(E1433&gt;=5000,"🏆 Platinum",IF(E1433&gt;=2000,"🥇 Gold",IF(E1433&gt;=800,"🥈 Silver","🥉 Bronze")))</f>
        <v/>
      </c>
      <c r="L1433" s="125" t="n">
        <v>40879</v>
      </c>
    </row>
    <row r="1434">
      <c r="A1434" s="126" t="n">
        <v>14293</v>
      </c>
      <c r="B1434" s="126" t="inlineStr">
        <is>
          <t>United Kingdom</t>
        </is>
      </c>
      <c r="C1434" s="126" t="n">
        <v>4</v>
      </c>
      <c r="D1434" s="126" t="n">
        <v>4</v>
      </c>
      <c r="E1434" s="127" t="n">
        <v>1046.56</v>
      </c>
      <c r="F1434" s="128">
        <f>IF(C1434&lt;=30,5,IF(C1434&lt;=60,4,IF(C1434&lt;=120,3,IF(C1434&lt;=200,2,1))))</f>
        <v/>
      </c>
      <c r="G1434" s="128">
        <f>IF(D1434&gt;=20,5,IF(D1434&gt;=10,4,IF(D1434&gt;=5,3,IF(D1434&gt;=2,2,1))))</f>
        <v/>
      </c>
      <c r="H1434" s="128">
        <f>IF(E1434&gt;=5000,5,IF(E1434&gt;=2000,4,IF(E1434&gt;=800,3,IF(E1434&gt;=300,2,1))))</f>
        <v/>
      </c>
      <c r="I1434" s="126">
        <f>TEXT(F1434,"0")&amp;TEXT(G1434,"0")&amp;TEXT(H1434,"0")</f>
        <v/>
      </c>
      <c r="J1434" s="126">
        <f>IFERROR(XLOOKUP(I1434,'Segment Map'!A:A,'Segment Map'!B:B,"Need Attention"),"Need Attention")</f>
        <v/>
      </c>
      <c r="K1434" s="126">
        <f>IF(E1434&gt;=5000,"🏆 Platinum",IF(E1434&gt;=2000,"🥇 Gold",IF(E1434&gt;=800,"🥈 Silver","🥉 Bronze")))</f>
        <v/>
      </c>
      <c r="L1434" s="129" t="n">
        <v>40883</v>
      </c>
    </row>
    <row r="1435">
      <c r="A1435" s="122" t="n">
        <v>14295</v>
      </c>
      <c r="B1435" s="122" t="inlineStr">
        <is>
          <t>United Kingdom</t>
        </is>
      </c>
      <c r="C1435" s="122" t="n">
        <v>41</v>
      </c>
      <c r="D1435" s="122" t="n">
        <v>1</v>
      </c>
      <c r="E1435" s="123" t="n">
        <v>166.2</v>
      </c>
      <c r="F1435" s="124">
        <f>IF(C1435&lt;=30,5,IF(C1435&lt;=60,4,IF(C1435&lt;=120,3,IF(C1435&lt;=200,2,1))))</f>
        <v/>
      </c>
      <c r="G1435" s="124">
        <f>IF(D1435&gt;=20,5,IF(D1435&gt;=10,4,IF(D1435&gt;=5,3,IF(D1435&gt;=2,2,1))))</f>
        <v/>
      </c>
      <c r="H1435" s="124">
        <f>IF(E1435&gt;=5000,5,IF(E1435&gt;=2000,4,IF(E1435&gt;=800,3,IF(E1435&gt;=300,2,1))))</f>
        <v/>
      </c>
      <c r="I1435" s="122">
        <f>TEXT(F1435,"0")&amp;TEXT(G1435,"0")&amp;TEXT(H1435,"0")</f>
        <v/>
      </c>
      <c r="J1435" s="122">
        <f>IFERROR(XLOOKUP(I1435,'Segment Map'!A:A,'Segment Map'!B:B,"Need Attention"),"Need Attention")</f>
        <v/>
      </c>
      <c r="K1435" s="122">
        <f>IF(E1435&gt;=5000,"🏆 Platinum",IF(E1435&gt;=2000,"🥇 Gold",IF(E1435&gt;=800,"🥈 Silver","🥉 Bronze")))</f>
        <v/>
      </c>
      <c r="L1435" s="125" t="n">
        <v>40846</v>
      </c>
    </row>
    <row r="1436">
      <c r="A1436" s="126" t="n">
        <v>14297</v>
      </c>
      <c r="B1436" s="126" t="inlineStr">
        <is>
          <t>United Kingdom</t>
        </is>
      </c>
      <c r="C1436" s="126" t="n">
        <v>18</v>
      </c>
      <c r="D1436" s="126" t="n">
        <v>4</v>
      </c>
      <c r="E1436" s="127" t="n">
        <v>1305.33</v>
      </c>
      <c r="F1436" s="128">
        <f>IF(C1436&lt;=30,5,IF(C1436&lt;=60,4,IF(C1436&lt;=120,3,IF(C1436&lt;=200,2,1))))</f>
        <v/>
      </c>
      <c r="G1436" s="128">
        <f>IF(D1436&gt;=20,5,IF(D1436&gt;=10,4,IF(D1436&gt;=5,3,IF(D1436&gt;=2,2,1))))</f>
        <v/>
      </c>
      <c r="H1436" s="128">
        <f>IF(E1436&gt;=5000,5,IF(E1436&gt;=2000,4,IF(E1436&gt;=800,3,IF(E1436&gt;=300,2,1))))</f>
        <v/>
      </c>
      <c r="I1436" s="126">
        <f>TEXT(F1436,"0")&amp;TEXT(G1436,"0")&amp;TEXT(H1436,"0")</f>
        <v/>
      </c>
      <c r="J1436" s="126">
        <f>IFERROR(XLOOKUP(I1436,'Segment Map'!A:A,'Segment Map'!B:B,"Need Attention"),"Need Attention")</f>
        <v/>
      </c>
      <c r="K1436" s="126">
        <f>IF(E1436&gt;=5000,"🏆 Platinum",IF(E1436&gt;=2000,"🥇 Gold",IF(E1436&gt;=800,"🥈 Silver","🥉 Bronze")))</f>
        <v/>
      </c>
      <c r="L1436" s="129" t="n">
        <v>40869</v>
      </c>
    </row>
    <row r="1437">
      <c r="A1437" s="122" t="n">
        <v>14298</v>
      </c>
      <c r="B1437" s="122" t="inlineStr">
        <is>
          <t>United Kingdom</t>
        </is>
      </c>
      <c r="C1437" s="122" t="n">
        <v>9</v>
      </c>
      <c r="D1437" s="122" t="n">
        <v>44</v>
      </c>
      <c r="E1437" s="123" t="n">
        <v>51527.3</v>
      </c>
      <c r="F1437" s="124">
        <f>IF(C1437&lt;=30,5,IF(C1437&lt;=60,4,IF(C1437&lt;=120,3,IF(C1437&lt;=200,2,1))))</f>
        <v/>
      </c>
      <c r="G1437" s="124">
        <f>IF(D1437&gt;=20,5,IF(D1437&gt;=10,4,IF(D1437&gt;=5,3,IF(D1437&gt;=2,2,1))))</f>
        <v/>
      </c>
      <c r="H1437" s="124">
        <f>IF(E1437&gt;=5000,5,IF(E1437&gt;=2000,4,IF(E1437&gt;=800,3,IF(E1437&gt;=300,2,1))))</f>
        <v/>
      </c>
      <c r="I1437" s="122">
        <f>TEXT(F1437,"0")&amp;TEXT(G1437,"0")&amp;TEXT(H1437,"0")</f>
        <v/>
      </c>
      <c r="J1437" s="122">
        <f>IFERROR(XLOOKUP(I1437,'Segment Map'!A:A,'Segment Map'!B:B,"Need Attention"),"Need Attention")</f>
        <v/>
      </c>
      <c r="K1437" s="122">
        <f>IF(E1437&gt;=5000,"🏆 Platinum",IF(E1437&gt;=2000,"🥇 Gold",IF(E1437&gt;=800,"🥈 Silver","🥉 Bronze")))</f>
        <v/>
      </c>
      <c r="L1437" s="125" t="n">
        <v>40878</v>
      </c>
    </row>
    <row r="1438">
      <c r="A1438" s="126" t="n">
        <v>14299</v>
      </c>
      <c r="B1438" s="126" t="inlineStr">
        <is>
          <t>United Kingdom</t>
        </is>
      </c>
      <c r="C1438" s="126" t="n">
        <v>9</v>
      </c>
      <c r="D1438" s="126" t="n">
        <v>9</v>
      </c>
      <c r="E1438" s="127" t="n">
        <v>3965.62</v>
      </c>
      <c r="F1438" s="128">
        <f>IF(C1438&lt;=30,5,IF(C1438&lt;=60,4,IF(C1438&lt;=120,3,IF(C1438&lt;=200,2,1))))</f>
        <v/>
      </c>
      <c r="G1438" s="128">
        <f>IF(D1438&gt;=20,5,IF(D1438&gt;=10,4,IF(D1438&gt;=5,3,IF(D1438&gt;=2,2,1))))</f>
        <v/>
      </c>
      <c r="H1438" s="128">
        <f>IF(E1438&gt;=5000,5,IF(E1438&gt;=2000,4,IF(E1438&gt;=800,3,IF(E1438&gt;=300,2,1))))</f>
        <v/>
      </c>
      <c r="I1438" s="126">
        <f>TEXT(F1438,"0")&amp;TEXT(G1438,"0")&amp;TEXT(H1438,"0")</f>
        <v/>
      </c>
      <c r="J1438" s="126">
        <f>IFERROR(XLOOKUP(I1438,'Segment Map'!A:A,'Segment Map'!B:B,"Need Attention"),"Need Attention")</f>
        <v/>
      </c>
      <c r="K1438" s="126">
        <f>IF(E1438&gt;=5000,"🏆 Platinum",IF(E1438&gt;=2000,"🥇 Gold",IF(E1438&gt;=800,"🥈 Silver","🥉 Bronze")))</f>
        <v/>
      </c>
      <c r="L1438" s="129" t="n">
        <v>40878</v>
      </c>
    </row>
    <row r="1439">
      <c r="A1439" s="122" t="n">
        <v>14300</v>
      </c>
      <c r="B1439" s="122" t="inlineStr">
        <is>
          <t>United Kingdom</t>
        </is>
      </c>
      <c r="C1439" s="122" t="n">
        <v>19</v>
      </c>
      <c r="D1439" s="122" t="n">
        <v>1</v>
      </c>
      <c r="E1439" s="123" t="n">
        <v>43.2</v>
      </c>
      <c r="F1439" s="124">
        <f>IF(C1439&lt;=30,5,IF(C1439&lt;=60,4,IF(C1439&lt;=120,3,IF(C1439&lt;=200,2,1))))</f>
        <v/>
      </c>
      <c r="G1439" s="124">
        <f>IF(D1439&gt;=20,5,IF(D1439&gt;=10,4,IF(D1439&gt;=5,3,IF(D1439&gt;=2,2,1))))</f>
        <v/>
      </c>
      <c r="H1439" s="124">
        <f>IF(E1439&gt;=5000,5,IF(E1439&gt;=2000,4,IF(E1439&gt;=800,3,IF(E1439&gt;=300,2,1))))</f>
        <v/>
      </c>
      <c r="I1439" s="122">
        <f>TEXT(F1439,"0")&amp;TEXT(G1439,"0")&amp;TEXT(H1439,"0")</f>
        <v/>
      </c>
      <c r="J1439" s="122">
        <f>IFERROR(XLOOKUP(I1439,'Segment Map'!A:A,'Segment Map'!B:B,"Need Attention"),"Need Attention")</f>
        <v/>
      </c>
      <c r="K1439" s="122">
        <f>IF(E1439&gt;=5000,"🏆 Platinum",IF(E1439&gt;=2000,"🥇 Gold",IF(E1439&gt;=800,"🥈 Silver","🥉 Bronze")))</f>
        <v/>
      </c>
      <c r="L1439" s="125" t="n">
        <v>40868</v>
      </c>
    </row>
    <row r="1440">
      <c r="A1440" s="126" t="n">
        <v>14301</v>
      </c>
      <c r="B1440" s="126" t="inlineStr">
        <is>
          <t>United Kingdom</t>
        </is>
      </c>
      <c r="C1440" s="126" t="n">
        <v>118</v>
      </c>
      <c r="D1440" s="126" t="n">
        <v>1</v>
      </c>
      <c r="E1440" s="127" t="n">
        <v>640.14</v>
      </c>
      <c r="F1440" s="128">
        <f>IF(C1440&lt;=30,5,IF(C1440&lt;=60,4,IF(C1440&lt;=120,3,IF(C1440&lt;=200,2,1))))</f>
        <v/>
      </c>
      <c r="G1440" s="128">
        <f>IF(D1440&gt;=20,5,IF(D1440&gt;=10,4,IF(D1440&gt;=5,3,IF(D1440&gt;=2,2,1))))</f>
        <v/>
      </c>
      <c r="H1440" s="128">
        <f>IF(E1440&gt;=5000,5,IF(E1440&gt;=2000,4,IF(E1440&gt;=800,3,IF(E1440&gt;=300,2,1))))</f>
        <v/>
      </c>
      <c r="I1440" s="126">
        <f>TEXT(F1440,"0")&amp;TEXT(G1440,"0")&amp;TEXT(H1440,"0")</f>
        <v/>
      </c>
      <c r="J1440" s="126">
        <f>IFERROR(XLOOKUP(I1440,'Segment Map'!A:A,'Segment Map'!B:B,"Need Attention"),"Need Attention")</f>
        <v/>
      </c>
      <c r="K1440" s="126">
        <f>IF(E1440&gt;=5000,"🏆 Platinum",IF(E1440&gt;=2000,"🥇 Gold",IF(E1440&gt;=800,"🥈 Silver","🥉 Bronze")))</f>
        <v/>
      </c>
      <c r="L1440" s="129" t="n">
        <v>40769</v>
      </c>
    </row>
    <row r="1441">
      <c r="A1441" s="122" t="n">
        <v>14304</v>
      </c>
      <c r="B1441" s="122" t="inlineStr">
        <is>
          <t>United Kingdom</t>
        </is>
      </c>
      <c r="C1441" s="122" t="n">
        <v>223</v>
      </c>
      <c r="D1441" s="122" t="n">
        <v>1</v>
      </c>
      <c r="E1441" s="123" t="n">
        <v>383.45</v>
      </c>
      <c r="F1441" s="124">
        <f>IF(C1441&lt;=30,5,IF(C1441&lt;=60,4,IF(C1441&lt;=120,3,IF(C1441&lt;=200,2,1))))</f>
        <v/>
      </c>
      <c r="G1441" s="124">
        <f>IF(D1441&gt;=20,5,IF(D1441&gt;=10,4,IF(D1441&gt;=5,3,IF(D1441&gt;=2,2,1))))</f>
        <v/>
      </c>
      <c r="H1441" s="124">
        <f>IF(E1441&gt;=5000,5,IF(E1441&gt;=2000,4,IF(E1441&gt;=800,3,IF(E1441&gt;=300,2,1))))</f>
        <v/>
      </c>
      <c r="I1441" s="122">
        <f>TEXT(F1441,"0")&amp;TEXT(G1441,"0")&amp;TEXT(H1441,"0")</f>
        <v/>
      </c>
      <c r="J1441" s="122">
        <f>IFERROR(XLOOKUP(I1441,'Segment Map'!A:A,'Segment Map'!B:B,"Need Attention"),"Need Attention")</f>
        <v/>
      </c>
      <c r="K1441" s="122">
        <f>IF(E1441&gt;=5000,"🏆 Platinum",IF(E1441&gt;=2000,"🥇 Gold",IF(E1441&gt;=800,"🥈 Silver","🥉 Bronze")))</f>
        <v/>
      </c>
      <c r="L1441" s="125" t="n">
        <v>40664</v>
      </c>
    </row>
    <row r="1442">
      <c r="A1442" s="126" t="n">
        <v>14305</v>
      </c>
      <c r="B1442" s="126" t="inlineStr">
        <is>
          <t>United Kingdom</t>
        </is>
      </c>
      <c r="C1442" s="126" t="n">
        <v>72</v>
      </c>
      <c r="D1442" s="126" t="n">
        <v>3</v>
      </c>
      <c r="E1442" s="127" t="n">
        <v>1858.96</v>
      </c>
      <c r="F1442" s="128">
        <f>IF(C1442&lt;=30,5,IF(C1442&lt;=60,4,IF(C1442&lt;=120,3,IF(C1442&lt;=200,2,1))))</f>
        <v/>
      </c>
      <c r="G1442" s="128">
        <f>IF(D1442&gt;=20,5,IF(D1442&gt;=10,4,IF(D1442&gt;=5,3,IF(D1442&gt;=2,2,1))))</f>
        <v/>
      </c>
      <c r="H1442" s="128">
        <f>IF(E1442&gt;=5000,5,IF(E1442&gt;=2000,4,IF(E1442&gt;=800,3,IF(E1442&gt;=300,2,1))))</f>
        <v/>
      </c>
      <c r="I1442" s="126">
        <f>TEXT(F1442,"0")&amp;TEXT(G1442,"0")&amp;TEXT(H1442,"0")</f>
        <v/>
      </c>
      <c r="J1442" s="126">
        <f>IFERROR(XLOOKUP(I1442,'Segment Map'!A:A,'Segment Map'!B:B,"Need Attention"),"Need Attention")</f>
        <v/>
      </c>
      <c r="K1442" s="126">
        <f>IF(E1442&gt;=5000,"🏆 Platinum",IF(E1442&gt;=2000,"🥇 Gold",IF(E1442&gt;=800,"🥈 Silver","🥉 Bronze")))</f>
        <v/>
      </c>
      <c r="L1442" s="129" t="n">
        <v>40815</v>
      </c>
    </row>
    <row r="1443">
      <c r="A1443" s="122" t="n">
        <v>14306</v>
      </c>
      <c r="B1443" s="122" t="inlineStr">
        <is>
          <t>United Kingdom</t>
        </is>
      </c>
      <c r="C1443" s="122" t="n">
        <v>52</v>
      </c>
      <c r="D1443" s="122" t="n">
        <v>2</v>
      </c>
      <c r="E1443" s="123" t="n">
        <v>2093.32</v>
      </c>
      <c r="F1443" s="124">
        <f>IF(C1443&lt;=30,5,IF(C1443&lt;=60,4,IF(C1443&lt;=120,3,IF(C1443&lt;=200,2,1))))</f>
        <v/>
      </c>
      <c r="G1443" s="124">
        <f>IF(D1443&gt;=20,5,IF(D1443&gt;=10,4,IF(D1443&gt;=5,3,IF(D1443&gt;=2,2,1))))</f>
        <v/>
      </c>
      <c r="H1443" s="124">
        <f>IF(E1443&gt;=5000,5,IF(E1443&gt;=2000,4,IF(E1443&gt;=800,3,IF(E1443&gt;=300,2,1))))</f>
        <v/>
      </c>
      <c r="I1443" s="122">
        <f>TEXT(F1443,"0")&amp;TEXT(G1443,"0")&amp;TEXT(H1443,"0")</f>
        <v/>
      </c>
      <c r="J1443" s="122">
        <f>IFERROR(XLOOKUP(I1443,'Segment Map'!A:A,'Segment Map'!B:B,"Need Attention"),"Need Attention")</f>
        <v/>
      </c>
      <c r="K1443" s="122">
        <f>IF(E1443&gt;=5000,"🏆 Platinum",IF(E1443&gt;=2000,"🥇 Gold",IF(E1443&gt;=800,"🥈 Silver","🥉 Bronze")))</f>
        <v/>
      </c>
      <c r="L1443" s="125" t="n">
        <v>40835</v>
      </c>
    </row>
    <row r="1444">
      <c r="A1444" s="126" t="n">
        <v>14307</v>
      </c>
      <c r="B1444" s="126" t="inlineStr">
        <is>
          <t>United Kingdom</t>
        </is>
      </c>
      <c r="C1444" s="126" t="n">
        <v>89</v>
      </c>
      <c r="D1444" s="126" t="n">
        <v>6</v>
      </c>
      <c r="E1444" s="127" t="n">
        <v>2995.72</v>
      </c>
      <c r="F1444" s="128">
        <f>IF(C1444&lt;=30,5,IF(C1444&lt;=60,4,IF(C1444&lt;=120,3,IF(C1444&lt;=200,2,1))))</f>
        <v/>
      </c>
      <c r="G1444" s="128">
        <f>IF(D1444&gt;=20,5,IF(D1444&gt;=10,4,IF(D1444&gt;=5,3,IF(D1444&gt;=2,2,1))))</f>
        <v/>
      </c>
      <c r="H1444" s="128">
        <f>IF(E1444&gt;=5000,5,IF(E1444&gt;=2000,4,IF(E1444&gt;=800,3,IF(E1444&gt;=300,2,1))))</f>
        <v/>
      </c>
      <c r="I1444" s="126">
        <f>TEXT(F1444,"0")&amp;TEXT(G1444,"0")&amp;TEXT(H1444,"0")</f>
        <v/>
      </c>
      <c r="J1444" s="126">
        <f>IFERROR(XLOOKUP(I1444,'Segment Map'!A:A,'Segment Map'!B:B,"Need Attention"),"Need Attention")</f>
        <v/>
      </c>
      <c r="K1444" s="126">
        <f>IF(E1444&gt;=5000,"🏆 Platinum",IF(E1444&gt;=2000,"🥇 Gold",IF(E1444&gt;=800,"🥈 Silver","🥉 Bronze")))</f>
        <v/>
      </c>
      <c r="L1444" s="129" t="n">
        <v>40798</v>
      </c>
    </row>
    <row r="1445">
      <c r="A1445" s="122" t="n">
        <v>14309</v>
      </c>
      <c r="B1445" s="122" t="inlineStr">
        <is>
          <t>United Kingdom</t>
        </is>
      </c>
      <c r="C1445" s="122" t="n">
        <v>9</v>
      </c>
      <c r="D1445" s="122" t="n">
        <v>9</v>
      </c>
      <c r="E1445" s="123" t="n">
        <v>2352.53</v>
      </c>
      <c r="F1445" s="124">
        <f>IF(C1445&lt;=30,5,IF(C1445&lt;=60,4,IF(C1445&lt;=120,3,IF(C1445&lt;=200,2,1))))</f>
        <v/>
      </c>
      <c r="G1445" s="124">
        <f>IF(D1445&gt;=20,5,IF(D1445&gt;=10,4,IF(D1445&gt;=5,3,IF(D1445&gt;=2,2,1))))</f>
        <v/>
      </c>
      <c r="H1445" s="124">
        <f>IF(E1445&gt;=5000,5,IF(E1445&gt;=2000,4,IF(E1445&gt;=800,3,IF(E1445&gt;=300,2,1))))</f>
        <v/>
      </c>
      <c r="I1445" s="122">
        <f>TEXT(F1445,"0")&amp;TEXT(G1445,"0")&amp;TEXT(H1445,"0")</f>
        <v/>
      </c>
      <c r="J1445" s="122">
        <f>IFERROR(XLOOKUP(I1445,'Segment Map'!A:A,'Segment Map'!B:B,"Need Attention"),"Need Attention")</f>
        <v/>
      </c>
      <c r="K1445" s="122">
        <f>IF(E1445&gt;=5000,"🏆 Platinum",IF(E1445&gt;=2000,"🥇 Gold",IF(E1445&gt;=800,"🥈 Silver","🥉 Bronze")))</f>
        <v/>
      </c>
      <c r="L1445" s="125" t="n">
        <v>40878</v>
      </c>
    </row>
    <row r="1446">
      <c r="A1446" s="126" t="n">
        <v>14311</v>
      </c>
      <c r="B1446" s="126" t="inlineStr">
        <is>
          <t>United Kingdom</t>
        </is>
      </c>
      <c r="C1446" s="126" t="n">
        <v>243</v>
      </c>
      <c r="D1446" s="126" t="n">
        <v>1</v>
      </c>
      <c r="E1446" s="127" t="n">
        <v>310.26</v>
      </c>
      <c r="F1446" s="128">
        <f>IF(C1446&lt;=30,5,IF(C1446&lt;=60,4,IF(C1446&lt;=120,3,IF(C1446&lt;=200,2,1))))</f>
        <v/>
      </c>
      <c r="G1446" s="128">
        <f>IF(D1446&gt;=20,5,IF(D1446&gt;=10,4,IF(D1446&gt;=5,3,IF(D1446&gt;=2,2,1))))</f>
        <v/>
      </c>
      <c r="H1446" s="128">
        <f>IF(E1446&gt;=5000,5,IF(E1446&gt;=2000,4,IF(E1446&gt;=800,3,IF(E1446&gt;=300,2,1))))</f>
        <v/>
      </c>
      <c r="I1446" s="126">
        <f>TEXT(F1446,"0")&amp;TEXT(G1446,"0")&amp;TEXT(H1446,"0")</f>
        <v/>
      </c>
      <c r="J1446" s="126">
        <f>IFERROR(XLOOKUP(I1446,'Segment Map'!A:A,'Segment Map'!B:B,"Need Attention"),"Need Attention")</f>
        <v/>
      </c>
      <c r="K1446" s="126">
        <f>IF(E1446&gt;=5000,"🏆 Platinum",IF(E1446&gt;=2000,"🥇 Gold",IF(E1446&gt;=800,"🥈 Silver","🥉 Bronze")))</f>
        <v/>
      </c>
      <c r="L1446" s="129" t="n">
        <v>40644</v>
      </c>
    </row>
    <row r="1447">
      <c r="A1447" s="122" t="n">
        <v>14312</v>
      </c>
      <c r="B1447" s="122" t="inlineStr">
        <is>
          <t>United Kingdom</t>
        </is>
      </c>
      <c r="C1447" s="122" t="n">
        <v>47</v>
      </c>
      <c r="D1447" s="122" t="n">
        <v>6</v>
      </c>
      <c r="E1447" s="123" t="n">
        <v>1611.59</v>
      </c>
      <c r="F1447" s="124">
        <f>IF(C1447&lt;=30,5,IF(C1447&lt;=60,4,IF(C1447&lt;=120,3,IF(C1447&lt;=200,2,1))))</f>
        <v/>
      </c>
      <c r="G1447" s="124">
        <f>IF(D1447&gt;=20,5,IF(D1447&gt;=10,4,IF(D1447&gt;=5,3,IF(D1447&gt;=2,2,1))))</f>
        <v/>
      </c>
      <c r="H1447" s="124">
        <f>IF(E1447&gt;=5000,5,IF(E1447&gt;=2000,4,IF(E1447&gt;=800,3,IF(E1447&gt;=300,2,1))))</f>
        <v/>
      </c>
      <c r="I1447" s="122">
        <f>TEXT(F1447,"0")&amp;TEXT(G1447,"0")&amp;TEXT(H1447,"0")</f>
        <v/>
      </c>
      <c r="J1447" s="122">
        <f>IFERROR(XLOOKUP(I1447,'Segment Map'!A:A,'Segment Map'!B:B,"Need Attention"),"Need Attention")</f>
        <v/>
      </c>
      <c r="K1447" s="122">
        <f>IF(E1447&gt;=5000,"🏆 Platinum",IF(E1447&gt;=2000,"🥇 Gold",IF(E1447&gt;=800,"🥈 Silver","🥉 Bronze")))</f>
        <v/>
      </c>
      <c r="L1447" s="125" t="n">
        <v>40840</v>
      </c>
    </row>
    <row r="1448">
      <c r="A1448" s="126" t="n">
        <v>14314</v>
      </c>
      <c r="B1448" s="126" t="inlineStr">
        <is>
          <t>United Kingdom</t>
        </is>
      </c>
      <c r="C1448" s="126" t="n">
        <v>107</v>
      </c>
      <c r="D1448" s="126" t="n">
        <v>1</v>
      </c>
      <c r="E1448" s="127" t="n">
        <v>120</v>
      </c>
      <c r="F1448" s="128">
        <f>IF(C1448&lt;=30,5,IF(C1448&lt;=60,4,IF(C1448&lt;=120,3,IF(C1448&lt;=200,2,1))))</f>
        <v/>
      </c>
      <c r="G1448" s="128">
        <f>IF(D1448&gt;=20,5,IF(D1448&gt;=10,4,IF(D1448&gt;=5,3,IF(D1448&gt;=2,2,1))))</f>
        <v/>
      </c>
      <c r="H1448" s="128">
        <f>IF(E1448&gt;=5000,5,IF(E1448&gt;=2000,4,IF(E1448&gt;=800,3,IF(E1448&gt;=300,2,1))))</f>
        <v/>
      </c>
      <c r="I1448" s="126">
        <f>TEXT(F1448,"0")&amp;TEXT(G1448,"0")&amp;TEXT(H1448,"0")</f>
        <v/>
      </c>
      <c r="J1448" s="126">
        <f>IFERROR(XLOOKUP(I1448,'Segment Map'!A:A,'Segment Map'!B:B,"Need Attention"),"Need Attention")</f>
        <v/>
      </c>
      <c r="K1448" s="126">
        <f>IF(E1448&gt;=5000,"🏆 Platinum",IF(E1448&gt;=2000,"🥇 Gold",IF(E1448&gt;=800,"🥈 Silver","🥉 Bronze")))</f>
        <v/>
      </c>
      <c r="L1448" s="129" t="n">
        <v>40780</v>
      </c>
    </row>
    <row r="1449">
      <c r="A1449" s="122" t="n">
        <v>14315</v>
      </c>
      <c r="B1449" s="122" t="inlineStr">
        <is>
          <t>United Kingdom</t>
        </is>
      </c>
      <c r="C1449" s="122" t="n">
        <v>45</v>
      </c>
      <c r="D1449" s="122" t="n">
        <v>6</v>
      </c>
      <c r="E1449" s="123" t="n">
        <v>2481.13</v>
      </c>
      <c r="F1449" s="124">
        <f>IF(C1449&lt;=30,5,IF(C1449&lt;=60,4,IF(C1449&lt;=120,3,IF(C1449&lt;=200,2,1))))</f>
        <v/>
      </c>
      <c r="G1449" s="124">
        <f>IF(D1449&gt;=20,5,IF(D1449&gt;=10,4,IF(D1449&gt;=5,3,IF(D1449&gt;=2,2,1))))</f>
        <v/>
      </c>
      <c r="H1449" s="124">
        <f>IF(E1449&gt;=5000,5,IF(E1449&gt;=2000,4,IF(E1449&gt;=800,3,IF(E1449&gt;=300,2,1))))</f>
        <v/>
      </c>
      <c r="I1449" s="122">
        <f>TEXT(F1449,"0")&amp;TEXT(G1449,"0")&amp;TEXT(H1449,"0")</f>
        <v/>
      </c>
      <c r="J1449" s="122">
        <f>IFERROR(XLOOKUP(I1449,'Segment Map'!A:A,'Segment Map'!B:B,"Need Attention"),"Need Attention")</f>
        <v/>
      </c>
      <c r="K1449" s="122">
        <f>IF(E1449&gt;=5000,"🏆 Platinum",IF(E1449&gt;=2000,"🥇 Gold",IF(E1449&gt;=800,"🥈 Silver","🥉 Bronze")))</f>
        <v/>
      </c>
      <c r="L1449" s="125" t="n">
        <v>40842</v>
      </c>
    </row>
    <row r="1450">
      <c r="A1450" s="126" t="n">
        <v>14317</v>
      </c>
      <c r="B1450" s="126" t="inlineStr">
        <is>
          <t>United Kingdom</t>
        </is>
      </c>
      <c r="C1450" s="126" t="n">
        <v>65</v>
      </c>
      <c r="D1450" s="126" t="n">
        <v>1</v>
      </c>
      <c r="E1450" s="127" t="n">
        <v>508.58</v>
      </c>
      <c r="F1450" s="128">
        <f>IF(C1450&lt;=30,5,IF(C1450&lt;=60,4,IF(C1450&lt;=120,3,IF(C1450&lt;=200,2,1))))</f>
        <v/>
      </c>
      <c r="G1450" s="128">
        <f>IF(D1450&gt;=20,5,IF(D1450&gt;=10,4,IF(D1450&gt;=5,3,IF(D1450&gt;=2,2,1))))</f>
        <v/>
      </c>
      <c r="H1450" s="128">
        <f>IF(E1450&gt;=5000,5,IF(E1450&gt;=2000,4,IF(E1450&gt;=800,3,IF(E1450&gt;=300,2,1))))</f>
        <v/>
      </c>
      <c r="I1450" s="126">
        <f>TEXT(F1450,"0")&amp;TEXT(G1450,"0")&amp;TEXT(H1450,"0")</f>
        <v/>
      </c>
      <c r="J1450" s="126">
        <f>IFERROR(XLOOKUP(I1450,'Segment Map'!A:A,'Segment Map'!B:B,"Need Attention"),"Need Attention")</f>
        <v/>
      </c>
      <c r="K1450" s="126">
        <f>IF(E1450&gt;=5000,"🏆 Platinum",IF(E1450&gt;=2000,"🥇 Gold",IF(E1450&gt;=800,"🥈 Silver","🥉 Bronze")))</f>
        <v/>
      </c>
      <c r="L1450" s="129" t="n">
        <v>40822</v>
      </c>
    </row>
    <row r="1451">
      <c r="A1451" s="122" t="n">
        <v>14320</v>
      </c>
      <c r="B1451" s="122" t="inlineStr">
        <is>
          <t>United Kingdom</t>
        </is>
      </c>
      <c r="C1451" s="122" t="n">
        <v>207</v>
      </c>
      <c r="D1451" s="122" t="n">
        <v>2</v>
      </c>
      <c r="E1451" s="123" t="n">
        <v>477.79</v>
      </c>
      <c r="F1451" s="124">
        <f>IF(C1451&lt;=30,5,IF(C1451&lt;=60,4,IF(C1451&lt;=120,3,IF(C1451&lt;=200,2,1))))</f>
        <v/>
      </c>
      <c r="G1451" s="124">
        <f>IF(D1451&gt;=20,5,IF(D1451&gt;=10,4,IF(D1451&gt;=5,3,IF(D1451&gt;=2,2,1))))</f>
        <v/>
      </c>
      <c r="H1451" s="124">
        <f>IF(E1451&gt;=5000,5,IF(E1451&gt;=2000,4,IF(E1451&gt;=800,3,IF(E1451&gt;=300,2,1))))</f>
        <v/>
      </c>
      <c r="I1451" s="122">
        <f>TEXT(F1451,"0")&amp;TEXT(G1451,"0")&amp;TEXT(H1451,"0")</f>
        <v/>
      </c>
      <c r="J1451" s="122">
        <f>IFERROR(XLOOKUP(I1451,'Segment Map'!A:A,'Segment Map'!B:B,"Need Attention"),"Need Attention")</f>
        <v/>
      </c>
      <c r="K1451" s="122">
        <f>IF(E1451&gt;=5000,"🏆 Platinum",IF(E1451&gt;=2000,"🥇 Gold",IF(E1451&gt;=800,"🥈 Silver","🥉 Bronze")))</f>
        <v/>
      </c>
      <c r="L1451" s="125" t="n">
        <v>40680</v>
      </c>
    </row>
    <row r="1452">
      <c r="A1452" s="126" t="n">
        <v>14321</v>
      </c>
      <c r="B1452" s="126" t="inlineStr">
        <is>
          <t>United Kingdom</t>
        </is>
      </c>
      <c r="C1452" s="126" t="n">
        <v>11</v>
      </c>
      <c r="D1452" s="126" t="n">
        <v>5</v>
      </c>
      <c r="E1452" s="127" t="n">
        <v>1530.75</v>
      </c>
      <c r="F1452" s="128">
        <f>IF(C1452&lt;=30,5,IF(C1452&lt;=60,4,IF(C1452&lt;=120,3,IF(C1452&lt;=200,2,1))))</f>
        <v/>
      </c>
      <c r="G1452" s="128">
        <f>IF(D1452&gt;=20,5,IF(D1452&gt;=10,4,IF(D1452&gt;=5,3,IF(D1452&gt;=2,2,1))))</f>
        <v/>
      </c>
      <c r="H1452" s="128">
        <f>IF(E1452&gt;=5000,5,IF(E1452&gt;=2000,4,IF(E1452&gt;=800,3,IF(E1452&gt;=300,2,1))))</f>
        <v/>
      </c>
      <c r="I1452" s="126">
        <f>TEXT(F1452,"0")&amp;TEXT(G1452,"0")&amp;TEXT(H1452,"0")</f>
        <v/>
      </c>
      <c r="J1452" s="126">
        <f>IFERROR(XLOOKUP(I1452,'Segment Map'!A:A,'Segment Map'!B:B,"Need Attention"),"Need Attention")</f>
        <v/>
      </c>
      <c r="K1452" s="126">
        <f>IF(E1452&gt;=5000,"🏆 Platinum",IF(E1452&gt;=2000,"🥇 Gold",IF(E1452&gt;=800,"🥈 Silver","🥉 Bronze")))</f>
        <v/>
      </c>
      <c r="L1452" s="129" t="n">
        <v>40876</v>
      </c>
    </row>
    <row r="1453">
      <c r="A1453" s="122" t="n">
        <v>14323</v>
      </c>
      <c r="B1453" s="122" t="inlineStr">
        <is>
          <t>United Kingdom</t>
        </is>
      </c>
      <c r="C1453" s="122" t="n">
        <v>115</v>
      </c>
      <c r="D1453" s="122" t="n">
        <v>2</v>
      </c>
      <c r="E1453" s="123" t="n">
        <v>605.0599999999999</v>
      </c>
      <c r="F1453" s="124">
        <f>IF(C1453&lt;=30,5,IF(C1453&lt;=60,4,IF(C1453&lt;=120,3,IF(C1453&lt;=200,2,1))))</f>
        <v/>
      </c>
      <c r="G1453" s="124">
        <f>IF(D1453&gt;=20,5,IF(D1453&gt;=10,4,IF(D1453&gt;=5,3,IF(D1453&gt;=2,2,1))))</f>
        <v/>
      </c>
      <c r="H1453" s="124">
        <f>IF(E1453&gt;=5000,5,IF(E1453&gt;=2000,4,IF(E1453&gt;=800,3,IF(E1453&gt;=300,2,1))))</f>
        <v/>
      </c>
      <c r="I1453" s="122">
        <f>TEXT(F1453,"0")&amp;TEXT(G1453,"0")&amp;TEXT(H1453,"0")</f>
        <v/>
      </c>
      <c r="J1453" s="122">
        <f>IFERROR(XLOOKUP(I1453,'Segment Map'!A:A,'Segment Map'!B:B,"Need Attention"),"Need Attention")</f>
        <v/>
      </c>
      <c r="K1453" s="122">
        <f>IF(E1453&gt;=5000,"🏆 Platinum",IF(E1453&gt;=2000,"🥇 Gold",IF(E1453&gt;=800,"🥈 Silver","🥉 Bronze")))</f>
        <v/>
      </c>
      <c r="L1453" s="125" t="n">
        <v>40772</v>
      </c>
    </row>
    <row r="1454">
      <c r="A1454" s="126" t="n">
        <v>14326</v>
      </c>
      <c r="B1454" s="126" t="inlineStr">
        <is>
          <t>United Kingdom</t>
        </is>
      </c>
      <c r="C1454" s="126" t="n">
        <v>243</v>
      </c>
      <c r="D1454" s="126" t="n">
        <v>1</v>
      </c>
      <c r="E1454" s="127" t="n">
        <v>183.85</v>
      </c>
      <c r="F1454" s="128">
        <f>IF(C1454&lt;=30,5,IF(C1454&lt;=60,4,IF(C1454&lt;=120,3,IF(C1454&lt;=200,2,1))))</f>
        <v/>
      </c>
      <c r="G1454" s="128">
        <f>IF(D1454&gt;=20,5,IF(D1454&gt;=10,4,IF(D1454&gt;=5,3,IF(D1454&gt;=2,2,1))))</f>
        <v/>
      </c>
      <c r="H1454" s="128">
        <f>IF(E1454&gt;=5000,5,IF(E1454&gt;=2000,4,IF(E1454&gt;=800,3,IF(E1454&gt;=300,2,1))))</f>
        <v/>
      </c>
      <c r="I1454" s="126">
        <f>TEXT(F1454,"0")&amp;TEXT(G1454,"0")&amp;TEXT(H1454,"0")</f>
        <v/>
      </c>
      <c r="J1454" s="126">
        <f>IFERROR(XLOOKUP(I1454,'Segment Map'!A:A,'Segment Map'!B:B,"Need Attention"),"Need Attention")</f>
        <v/>
      </c>
      <c r="K1454" s="126">
        <f>IF(E1454&gt;=5000,"🏆 Platinum",IF(E1454&gt;=2000,"🥇 Gold",IF(E1454&gt;=800,"🥈 Silver","🥉 Bronze")))</f>
        <v/>
      </c>
      <c r="L1454" s="129" t="n">
        <v>40644</v>
      </c>
    </row>
    <row r="1455">
      <c r="A1455" s="122" t="n">
        <v>14327</v>
      </c>
      <c r="B1455" s="122" t="inlineStr">
        <is>
          <t>United Kingdom</t>
        </is>
      </c>
      <c r="C1455" s="122" t="n">
        <v>164</v>
      </c>
      <c r="D1455" s="122" t="n">
        <v>1</v>
      </c>
      <c r="E1455" s="123" t="n">
        <v>311.65</v>
      </c>
      <c r="F1455" s="124">
        <f>IF(C1455&lt;=30,5,IF(C1455&lt;=60,4,IF(C1455&lt;=120,3,IF(C1455&lt;=200,2,1))))</f>
        <v/>
      </c>
      <c r="G1455" s="124">
        <f>IF(D1455&gt;=20,5,IF(D1455&gt;=10,4,IF(D1455&gt;=5,3,IF(D1455&gt;=2,2,1))))</f>
        <v/>
      </c>
      <c r="H1455" s="124">
        <f>IF(E1455&gt;=5000,5,IF(E1455&gt;=2000,4,IF(E1455&gt;=800,3,IF(E1455&gt;=300,2,1))))</f>
        <v/>
      </c>
      <c r="I1455" s="122">
        <f>TEXT(F1455,"0")&amp;TEXT(G1455,"0")&amp;TEXT(H1455,"0")</f>
        <v/>
      </c>
      <c r="J1455" s="122">
        <f>IFERROR(XLOOKUP(I1455,'Segment Map'!A:A,'Segment Map'!B:B,"Need Attention"),"Need Attention")</f>
        <v/>
      </c>
      <c r="K1455" s="122">
        <f>IF(E1455&gt;=5000,"🏆 Platinum",IF(E1455&gt;=2000,"🥇 Gold",IF(E1455&gt;=800,"🥈 Silver","🥉 Bronze")))</f>
        <v/>
      </c>
      <c r="L1455" s="125" t="n">
        <v>40723</v>
      </c>
    </row>
    <row r="1456">
      <c r="A1456" s="126" t="n">
        <v>14329</v>
      </c>
      <c r="B1456" s="126" t="inlineStr">
        <is>
          <t>United Kingdom</t>
        </is>
      </c>
      <c r="C1456" s="126" t="n">
        <v>18</v>
      </c>
      <c r="D1456" s="126" t="n">
        <v>7</v>
      </c>
      <c r="E1456" s="127" t="n">
        <v>5014.84</v>
      </c>
      <c r="F1456" s="128">
        <f>IF(C1456&lt;=30,5,IF(C1456&lt;=60,4,IF(C1456&lt;=120,3,IF(C1456&lt;=200,2,1))))</f>
        <v/>
      </c>
      <c r="G1456" s="128">
        <f>IF(D1456&gt;=20,5,IF(D1456&gt;=10,4,IF(D1456&gt;=5,3,IF(D1456&gt;=2,2,1))))</f>
        <v/>
      </c>
      <c r="H1456" s="128">
        <f>IF(E1456&gt;=5000,5,IF(E1456&gt;=2000,4,IF(E1456&gt;=800,3,IF(E1456&gt;=300,2,1))))</f>
        <v/>
      </c>
      <c r="I1456" s="126">
        <f>TEXT(F1456,"0")&amp;TEXT(G1456,"0")&amp;TEXT(H1456,"0")</f>
        <v/>
      </c>
      <c r="J1456" s="126">
        <f>IFERROR(XLOOKUP(I1456,'Segment Map'!A:A,'Segment Map'!B:B,"Need Attention"),"Need Attention")</f>
        <v/>
      </c>
      <c r="K1456" s="126">
        <f>IF(E1456&gt;=5000,"🏆 Platinum",IF(E1456&gt;=2000,"🥇 Gold",IF(E1456&gt;=800,"🥈 Silver","🥉 Bronze")))</f>
        <v/>
      </c>
      <c r="L1456" s="129" t="n">
        <v>40869</v>
      </c>
    </row>
    <row r="1457">
      <c r="A1457" s="122" t="n">
        <v>14331</v>
      </c>
      <c r="B1457" s="122" t="inlineStr">
        <is>
          <t>United Kingdom</t>
        </is>
      </c>
      <c r="C1457" s="122" t="n">
        <v>125</v>
      </c>
      <c r="D1457" s="122" t="n">
        <v>2</v>
      </c>
      <c r="E1457" s="123" t="n">
        <v>462.66</v>
      </c>
      <c r="F1457" s="124">
        <f>IF(C1457&lt;=30,5,IF(C1457&lt;=60,4,IF(C1457&lt;=120,3,IF(C1457&lt;=200,2,1))))</f>
        <v/>
      </c>
      <c r="G1457" s="124">
        <f>IF(D1457&gt;=20,5,IF(D1457&gt;=10,4,IF(D1457&gt;=5,3,IF(D1457&gt;=2,2,1))))</f>
        <v/>
      </c>
      <c r="H1457" s="124">
        <f>IF(E1457&gt;=5000,5,IF(E1457&gt;=2000,4,IF(E1457&gt;=800,3,IF(E1457&gt;=300,2,1))))</f>
        <v/>
      </c>
      <c r="I1457" s="122">
        <f>TEXT(F1457,"0")&amp;TEXT(G1457,"0")&amp;TEXT(H1457,"0")</f>
        <v/>
      </c>
      <c r="J1457" s="122">
        <f>IFERROR(XLOOKUP(I1457,'Segment Map'!A:A,'Segment Map'!B:B,"Need Attention"),"Need Attention")</f>
        <v/>
      </c>
      <c r="K1457" s="122">
        <f>IF(E1457&gt;=5000,"🏆 Platinum",IF(E1457&gt;=2000,"🥇 Gold",IF(E1457&gt;=800,"🥈 Silver","🥉 Bronze")))</f>
        <v/>
      </c>
      <c r="L1457" s="125" t="n">
        <v>40762</v>
      </c>
    </row>
    <row r="1458">
      <c r="A1458" s="126" t="n">
        <v>14332</v>
      </c>
      <c r="B1458" s="126" t="inlineStr">
        <is>
          <t>United Kingdom</t>
        </is>
      </c>
      <c r="C1458" s="126" t="n">
        <v>23</v>
      </c>
      <c r="D1458" s="126" t="n">
        <v>3</v>
      </c>
      <c r="E1458" s="127" t="n">
        <v>866.3099999999999</v>
      </c>
      <c r="F1458" s="128">
        <f>IF(C1458&lt;=30,5,IF(C1458&lt;=60,4,IF(C1458&lt;=120,3,IF(C1458&lt;=200,2,1))))</f>
        <v/>
      </c>
      <c r="G1458" s="128">
        <f>IF(D1458&gt;=20,5,IF(D1458&gt;=10,4,IF(D1458&gt;=5,3,IF(D1458&gt;=2,2,1))))</f>
        <v/>
      </c>
      <c r="H1458" s="128">
        <f>IF(E1458&gt;=5000,5,IF(E1458&gt;=2000,4,IF(E1458&gt;=800,3,IF(E1458&gt;=300,2,1))))</f>
        <v/>
      </c>
      <c r="I1458" s="126">
        <f>TEXT(F1458,"0")&amp;TEXT(G1458,"0")&amp;TEXT(H1458,"0")</f>
        <v/>
      </c>
      <c r="J1458" s="126">
        <f>IFERROR(XLOOKUP(I1458,'Segment Map'!A:A,'Segment Map'!B:B,"Need Attention"),"Need Attention")</f>
        <v/>
      </c>
      <c r="K1458" s="126">
        <f>IF(E1458&gt;=5000,"🏆 Platinum",IF(E1458&gt;=2000,"🥇 Gold",IF(E1458&gt;=800,"🥈 Silver","🥉 Bronze")))</f>
        <v/>
      </c>
      <c r="L1458" s="129" t="n">
        <v>40864</v>
      </c>
    </row>
    <row r="1459">
      <c r="A1459" s="122" t="n">
        <v>14333</v>
      </c>
      <c r="B1459" s="122" t="inlineStr">
        <is>
          <t>United Kingdom</t>
        </is>
      </c>
      <c r="C1459" s="122" t="n">
        <v>68</v>
      </c>
      <c r="D1459" s="122" t="n">
        <v>1</v>
      </c>
      <c r="E1459" s="123" t="n">
        <v>415.2</v>
      </c>
      <c r="F1459" s="124">
        <f>IF(C1459&lt;=30,5,IF(C1459&lt;=60,4,IF(C1459&lt;=120,3,IF(C1459&lt;=200,2,1))))</f>
        <v/>
      </c>
      <c r="G1459" s="124">
        <f>IF(D1459&gt;=20,5,IF(D1459&gt;=10,4,IF(D1459&gt;=5,3,IF(D1459&gt;=2,2,1))))</f>
        <v/>
      </c>
      <c r="H1459" s="124">
        <f>IF(E1459&gt;=5000,5,IF(E1459&gt;=2000,4,IF(E1459&gt;=800,3,IF(E1459&gt;=300,2,1))))</f>
        <v/>
      </c>
      <c r="I1459" s="122">
        <f>TEXT(F1459,"0")&amp;TEXT(G1459,"0")&amp;TEXT(H1459,"0")</f>
        <v/>
      </c>
      <c r="J1459" s="122">
        <f>IFERROR(XLOOKUP(I1459,'Segment Map'!A:A,'Segment Map'!B:B,"Need Attention"),"Need Attention")</f>
        <v/>
      </c>
      <c r="K1459" s="122">
        <f>IF(E1459&gt;=5000,"🏆 Platinum",IF(E1459&gt;=2000,"🥇 Gold",IF(E1459&gt;=800,"🥈 Silver","🥉 Bronze")))</f>
        <v/>
      </c>
      <c r="L1459" s="125" t="n">
        <v>40819</v>
      </c>
    </row>
    <row r="1460">
      <c r="A1460" s="126" t="n">
        <v>14334</v>
      </c>
      <c r="B1460" s="126" t="inlineStr">
        <is>
          <t>United Kingdom</t>
        </is>
      </c>
      <c r="C1460" s="126" t="n">
        <v>17</v>
      </c>
      <c r="D1460" s="126" t="n">
        <v>8</v>
      </c>
      <c r="E1460" s="127" t="n">
        <v>2552.21</v>
      </c>
      <c r="F1460" s="128">
        <f>IF(C1460&lt;=30,5,IF(C1460&lt;=60,4,IF(C1460&lt;=120,3,IF(C1460&lt;=200,2,1))))</f>
        <v/>
      </c>
      <c r="G1460" s="128">
        <f>IF(D1460&gt;=20,5,IF(D1460&gt;=10,4,IF(D1460&gt;=5,3,IF(D1460&gt;=2,2,1))))</f>
        <v/>
      </c>
      <c r="H1460" s="128">
        <f>IF(E1460&gt;=5000,5,IF(E1460&gt;=2000,4,IF(E1460&gt;=800,3,IF(E1460&gt;=300,2,1))))</f>
        <v/>
      </c>
      <c r="I1460" s="126">
        <f>TEXT(F1460,"0")&amp;TEXT(G1460,"0")&amp;TEXT(H1460,"0")</f>
        <v/>
      </c>
      <c r="J1460" s="126">
        <f>IFERROR(XLOOKUP(I1460,'Segment Map'!A:A,'Segment Map'!B:B,"Need Attention"),"Need Attention")</f>
        <v/>
      </c>
      <c r="K1460" s="126">
        <f>IF(E1460&gt;=5000,"🏆 Platinum",IF(E1460&gt;=2000,"🥇 Gold",IF(E1460&gt;=800,"🥈 Silver","🥉 Bronze")))</f>
        <v/>
      </c>
      <c r="L1460" s="129" t="n">
        <v>40870</v>
      </c>
    </row>
    <row r="1461">
      <c r="A1461" s="122" t="n">
        <v>14335</v>
      </c>
      <c r="B1461" s="122" t="inlineStr">
        <is>
          <t>Germany</t>
        </is>
      </c>
      <c r="C1461" s="122" t="n">
        <v>17</v>
      </c>
      <c r="D1461" s="122" t="n">
        <v>2</v>
      </c>
      <c r="E1461" s="123" t="n">
        <v>468.26</v>
      </c>
      <c r="F1461" s="124">
        <f>IF(C1461&lt;=30,5,IF(C1461&lt;=60,4,IF(C1461&lt;=120,3,IF(C1461&lt;=200,2,1))))</f>
        <v/>
      </c>
      <c r="G1461" s="124">
        <f>IF(D1461&gt;=20,5,IF(D1461&gt;=10,4,IF(D1461&gt;=5,3,IF(D1461&gt;=2,2,1))))</f>
        <v/>
      </c>
      <c r="H1461" s="124">
        <f>IF(E1461&gt;=5000,5,IF(E1461&gt;=2000,4,IF(E1461&gt;=800,3,IF(E1461&gt;=300,2,1))))</f>
        <v/>
      </c>
      <c r="I1461" s="122">
        <f>TEXT(F1461,"0")&amp;TEXT(G1461,"0")&amp;TEXT(H1461,"0")</f>
        <v/>
      </c>
      <c r="J1461" s="122">
        <f>IFERROR(XLOOKUP(I1461,'Segment Map'!A:A,'Segment Map'!B:B,"Need Attention"),"Need Attention")</f>
        <v/>
      </c>
      <c r="K1461" s="122">
        <f>IF(E1461&gt;=5000,"🏆 Platinum",IF(E1461&gt;=2000,"🥇 Gold",IF(E1461&gt;=800,"🥈 Silver","🥉 Bronze")))</f>
        <v/>
      </c>
      <c r="L1461" s="125" t="n">
        <v>40870</v>
      </c>
    </row>
    <row r="1462">
      <c r="A1462" s="126" t="n">
        <v>14336</v>
      </c>
      <c r="B1462" s="126" t="inlineStr">
        <is>
          <t>United Kingdom</t>
        </is>
      </c>
      <c r="C1462" s="126" t="n">
        <v>17</v>
      </c>
      <c r="D1462" s="126" t="n">
        <v>4</v>
      </c>
      <c r="E1462" s="127" t="n">
        <v>1614.91</v>
      </c>
      <c r="F1462" s="128">
        <f>IF(C1462&lt;=30,5,IF(C1462&lt;=60,4,IF(C1462&lt;=120,3,IF(C1462&lt;=200,2,1))))</f>
        <v/>
      </c>
      <c r="G1462" s="128">
        <f>IF(D1462&gt;=20,5,IF(D1462&gt;=10,4,IF(D1462&gt;=5,3,IF(D1462&gt;=2,2,1))))</f>
        <v/>
      </c>
      <c r="H1462" s="128">
        <f>IF(E1462&gt;=5000,5,IF(E1462&gt;=2000,4,IF(E1462&gt;=800,3,IF(E1462&gt;=300,2,1))))</f>
        <v/>
      </c>
      <c r="I1462" s="126">
        <f>TEXT(F1462,"0")&amp;TEXT(G1462,"0")&amp;TEXT(H1462,"0")</f>
        <v/>
      </c>
      <c r="J1462" s="126">
        <f>IFERROR(XLOOKUP(I1462,'Segment Map'!A:A,'Segment Map'!B:B,"Need Attention"),"Need Attention")</f>
        <v/>
      </c>
      <c r="K1462" s="126">
        <f>IF(E1462&gt;=5000,"🏆 Platinum",IF(E1462&gt;=2000,"🥇 Gold",IF(E1462&gt;=800,"🥈 Silver","🥉 Bronze")))</f>
        <v/>
      </c>
      <c r="L1462" s="129" t="n">
        <v>40870</v>
      </c>
    </row>
    <row r="1463">
      <c r="A1463" s="122" t="n">
        <v>14338</v>
      </c>
      <c r="B1463" s="122" t="inlineStr">
        <is>
          <t>United Kingdom</t>
        </is>
      </c>
      <c r="C1463" s="122" t="n">
        <v>162</v>
      </c>
      <c r="D1463" s="122" t="n">
        <v>2</v>
      </c>
      <c r="E1463" s="123" t="n">
        <v>588.22</v>
      </c>
      <c r="F1463" s="124">
        <f>IF(C1463&lt;=30,5,IF(C1463&lt;=60,4,IF(C1463&lt;=120,3,IF(C1463&lt;=200,2,1))))</f>
        <v/>
      </c>
      <c r="G1463" s="124">
        <f>IF(D1463&gt;=20,5,IF(D1463&gt;=10,4,IF(D1463&gt;=5,3,IF(D1463&gt;=2,2,1))))</f>
        <v/>
      </c>
      <c r="H1463" s="124">
        <f>IF(E1463&gt;=5000,5,IF(E1463&gt;=2000,4,IF(E1463&gt;=800,3,IF(E1463&gt;=300,2,1))))</f>
        <v/>
      </c>
      <c r="I1463" s="122">
        <f>TEXT(F1463,"0")&amp;TEXT(G1463,"0")&amp;TEXT(H1463,"0")</f>
        <v/>
      </c>
      <c r="J1463" s="122">
        <f>IFERROR(XLOOKUP(I1463,'Segment Map'!A:A,'Segment Map'!B:B,"Need Attention"),"Need Attention")</f>
        <v/>
      </c>
      <c r="K1463" s="122">
        <f>IF(E1463&gt;=5000,"🏆 Platinum",IF(E1463&gt;=2000,"🥇 Gold",IF(E1463&gt;=800,"🥈 Silver","🥉 Bronze")))</f>
        <v/>
      </c>
      <c r="L1463" s="125" t="n">
        <v>40725</v>
      </c>
    </row>
    <row r="1464">
      <c r="A1464" s="126" t="n">
        <v>14339</v>
      </c>
      <c r="B1464" s="126" t="inlineStr">
        <is>
          <t>United Kingdom</t>
        </is>
      </c>
      <c r="C1464" s="126" t="n">
        <v>243</v>
      </c>
      <c r="D1464" s="126" t="n">
        <v>1</v>
      </c>
      <c r="E1464" s="127" t="n">
        <v>309.52</v>
      </c>
      <c r="F1464" s="128">
        <f>IF(C1464&lt;=30,5,IF(C1464&lt;=60,4,IF(C1464&lt;=120,3,IF(C1464&lt;=200,2,1))))</f>
        <v/>
      </c>
      <c r="G1464" s="128">
        <f>IF(D1464&gt;=20,5,IF(D1464&gt;=10,4,IF(D1464&gt;=5,3,IF(D1464&gt;=2,2,1))))</f>
        <v/>
      </c>
      <c r="H1464" s="128">
        <f>IF(E1464&gt;=5000,5,IF(E1464&gt;=2000,4,IF(E1464&gt;=800,3,IF(E1464&gt;=300,2,1))))</f>
        <v/>
      </c>
      <c r="I1464" s="126">
        <f>TEXT(F1464,"0")&amp;TEXT(G1464,"0")&amp;TEXT(H1464,"0")</f>
        <v/>
      </c>
      <c r="J1464" s="126">
        <f>IFERROR(XLOOKUP(I1464,'Segment Map'!A:A,'Segment Map'!B:B,"Need Attention"),"Need Attention")</f>
        <v/>
      </c>
      <c r="K1464" s="126">
        <f>IF(E1464&gt;=5000,"🏆 Platinum",IF(E1464&gt;=2000,"🥇 Gold",IF(E1464&gt;=800,"🥈 Silver","🥉 Bronze")))</f>
        <v/>
      </c>
      <c r="L1464" s="129" t="n">
        <v>40644</v>
      </c>
    </row>
    <row r="1465">
      <c r="A1465" s="122" t="n">
        <v>14340</v>
      </c>
      <c r="B1465" s="122" t="inlineStr">
        <is>
          <t>United Kingdom</t>
        </is>
      </c>
      <c r="C1465" s="122" t="n">
        <v>219</v>
      </c>
      <c r="D1465" s="122" t="n">
        <v>1</v>
      </c>
      <c r="E1465" s="123" t="n">
        <v>134.7</v>
      </c>
      <c r="F1465" s="124">
        <f>IF(C1465&lt;=30,5,IF(C1465&lt;=60,4,IF(C1465&lt;=120,3,IF(C1465&lt;=200,2,1))))</f>
        <v/>
      </c>
      <c r="G1465" s="124">
        <f>IF(D1465&gt;=20,5,IF(D1465&gt;=10,4,IF(D1465&gt;=5,3,IF(D1465&gt;=2,2,1))))</f>
        <v/>
      </c>
      <c r="H1465" s="124">
        <f>IF(E1465&gt;=5000,5,IF(E1465&gt;=2000,4,IF(E1465&gt;=800,3,IF(E1465&gt;=300,2,1))))</f>
        <v/>
      </c>
      <c r="I1465" s="122">
        <f>TEXT(F1465,"0")&amp;TEXT(G1465,"0")&amp;TEXT(H1465,"0")</f>
        <v/>
      </c>
      <c r="J1465" s="122">
        <f>IFERROR(XLOOKUP(I1465,'Segment Map'!A:A,'Segment Map'!B:B,"Need Attention"),"Need Attention")</f>
        <v/>
      </c>
      <c r="K1465" s="122">
        <f>IF(E1465&gt;=5000,"🏆 Platinum",IF(E1465&gt;=2000,"🥇 Gold",IF(E1465&gt;=800,"🥈 Silver","🥉 Bronze")))</f>
        <v/>
      </c>
      <c r="L1465" s="125" t="n">
        <v>40668</v>
      </c>
    </row>
    <row r="1466">
      <c r="A1466" s="126" t="n">
        <v>14341</v>
      </c>
      <c r="B1466" s="126" t="inlineStr">
        <is>
          <t>United Kingdom</t>
        </is>
      </c>
      <c r="C1466" s="126" t="n">
        <v>46</v>
      </c>
      <c r="D1466" s="126" t="n">
        <v>8</v>
      </c>
      <c r="E1466" s="127" t="n">
        <v>2182.28</v>
      </c>
      <c r="F1466" s="128">
        <f>IF(C1466&lt;=30,5,IF(C1466&lt;=60,4,IF(C1466&lt;=120,3,IF(C1466&lt;=200,2,1))))</f>
        <v/>
      </c>
      <c r="G1466" s="128">
        <f>IF(D1466&gt;=20,5,IF(D1466&gt;=10,4,IF(D1466&gt;=5,3,IF(D1466&gt;=2,2,1))))</f>
        <v/>
      </c>
      <c r="H1466" s="128">
        <f>IF(E1466&gt;=5000,5,IF(E1466&gt;=2000,4,IF(E1466&gt;=800,3,IF(E1466&gt;=300,2,1))))</f>
        <v/>
      </c>
      <c r="I1466" s="126">
        <f>TEXT(F1466,"0")&amp;TEXT(G1466,"0")&amp;TEXT(H1466,"0")</f>
        <v/>
      </c>
      <c r="J1466" s="126">
        <f>IFERROR(XLOOKUP(I1466,'Segment Map'!A:A,'Segment Map'!B:B,"Need Attention"),"Need Attention")</f>
        <v/>
      </c>
      <c r="K1466" s="126">
        <f>IF(E1466&gt;=5000,"🏆 Platinum",IF(E1466&gt;=2000,"🥇 Gold",IF(E1466&gt;=800,"🥈 Silver","🥉 Bronze")))</f>
        <v/>
      </c>
      <c r="L1466" s="129" t="n">
        <v>40841</v>
      </c>
    </row>
    <row r="1467">
      <c r="A1467" s="122" t="n">
        <v>14342</v>
      </c>
      <c r="B1467" s="122" t="inlineStr">
        <is>
          <t>United Kingdom</t>
        </is>
      </c>
      <c r="C1467" s="122" t="n">
        <v>22</v>
      </c>
      <c r="D1467" s="122" t="n">
        <v>4</v>
      </c>
      <c r="E1467" s="123" t="n">
        <v>668.5599999999999</v>
      </c>
      <c r="F1467" s="124">
        <f>IF(C1467&lt;=30,5,IF(C1467&lt;=60,4,IF(C1467&lt;=120,3,IF(C1467&lt;=200,2,1))))</f>
        <v/>
      </c>
      <c r="G1467" s="124">
        <f>IF(D1467&gt;=20,5,IF(D1467&gt;=10,4,IF(D1467&gt;=5,3,IF(D1467&gt;=2,2,1))))</f>
        <v/>
      </c>
      <c r="H1467" s="124">
        <f>IF(E1467&gt;=5000,5,IF(E1467&gt;=2000,4,IF(E1467&gt;=800,3,IF(E1467&gt;=300,2,1))))</f>
        <v/>
      </c>
      <c r="I1467" s="122">
        <f>TEXT(F1467,"0")&amp;TEXT(G1467,"0")&amp;TEXT(H1467,"0")</f>
        <v/>
      </c>
      <c r="J1467" s="122">
        <f>IFERROR(XLOOKUP(I1467,'Segment Map'!A:A,'Segment Map'!B:B,"Need Attention"),"Need Attention")</f>
        <v/>
      </c>
      <c r="K1467" s="122">
        <f>IF(E1467&gt;=5000,"🏆 Platinum",IF(E1467&gt;=2000,"🥇 Gold",IF(E1467&gt;=800,"🥈 Silver","🥉 Bronze")))</f>
        <v/>
      </c>
      <c r="L1467" s="125" t="n">
        <v>40865</v>
      </c>
    </row>
    <row r="1468">
      <c r="A1468" s="126" t="n">
        <v>14344</v>
      </c>
      <c r="B1468" s="126" t="inlineStr">
        <is>
          <t>United Kingdom</t>
        </is>
      </c>
      <c r="C1468" s="126" t="n">
        <v>128</v>
      </c>
      <c r="D1468" s="126" t="n">
        <v>8</v>
      </c>
      <c r="E1468" s="127" t="n">
        <v>889.9299999999999</v>
      </c>
      <c r="F1468" s="128">
        <f>IF(C1468&lt;=30,5,IF(C1468&lt;=60,4,IF(C1468&lt;=120,3,IF(C1468&lt;=200,2,1))))</f>
        <v/>
      </c>
      <c r="G1468" s="128">
        <f>IF(D1468&gt;=20,5,IF(D1468&gt;=10,4,IF(D1468&gt;=5,3,IF(D1468&gt;=2,2,1))))</f>
        <v/>
      </c>
      <c r="H1468" s="128">
        <f>IF(E1468&gt;=5000,5,IF(E1468&gt;=2000,4,IF(E1468&gt;=800,3,IF(E1468&gt;=300,2,1))))</f>
        <v/>
      </c>
      <c r="I1468" s="126">
        <f>TEXT(F1468,"0")&amp;TEXT(G1468,"0")&amp;TEXT(H1468,"0")</f>
        <v/>
      </c>
      <c r="J1468" s="126">
        <f>IFERROR(XLOOKUP(I1468,'Segment Map'!A:A,'Segment Map'!B:B,"Need Attention"),"Need Attention")</f>
        <v/>
      </c>
      <c r="K1468" s="126">
        <f>IF(E1468&gt;=5000,"🏆 Platinum",IF(E1468&gt;=2000,"🥇 Gold",IF(E1468&gt;=800,"🥈 Silver","🥉 Bronze")))</f>
        <v/>
      </c>
      <c r="L1468" s="129" t="n">
        <v>40759</v>
      </c>
    </row>
    <row r="1469">
      <c r="A1469" s="122" t="n">
        <v>14345</v>
      </c>
      <c r="B1469" s="122" t="inlineStr">
        <is>
          <t>United Kingdom</t>
        </is>
      </c>
      <c r="C1469" s="122" t="n">
        <v>39</v>
      </c>
      <c r="D1469" s="122" t="n">
        <v>1</v>
      </c>
      <c r="E1469" s="123" t="n">
        <v>108.98</v>
      </c>
      <c r="F1469" s="124">
        <f>IF(C1469&lt;=30,5,IF(C1469&lt;=60,4,IF(C1469&lt;=120,3,IF(C1469&lt;=200,2,1))))</f>
        <v/>
      </c>
      <c r="G1469" s="124">
        <f>IF(D1469&gt;=20,5,IF(D1469&gt;=10,4,IF(D1469&gt;=5,3,IF(D1469&gt;=2,2,1))))</f>
        <v/>
      </c>
      <c r="H1469" s="124">
        <f>IF(E1469&gt;=5000,5,IF(E1469&gt;=2000,4,IF(E1469&gt;=800,3,IF(E1469&gt;=300,2,1))))</f>
        <v/>
      </c>
      <c r="I1469" s="122">
        <f>TEXT(F1469,"0")&amp;TEXT(G1469,"0")&amp;TEXT(H1469,"0")</f>
        <v/>
      </c>
      <c r="J1469" s="122">
        <f>IFERROR(XLOOKUP(I1469,'Segment Map'!A:A,'Segment Map'!B:B,"Need Attention"),"Need Attention")</f>
        <v/>
      </c>
      <c r="K1469" s="122">
        <f>IF(E1469&gt;=5000,"🏆 Platinum",IF(E1469&gt;=2000,"🥇 Gold",IF(E1469&gt;=800,"🥈 Silver","🥉 Bronze")))</f>
        <v/>
      </c>
      <c r="L1469" s="125" t="n">
        <v>40848</v>
      </c>
    </row>
    <row r="1470">
      <c r="A1470" s="126" t="n">
        <v>14346</v>
      </c>
      <c r="B1470" s="126" t="inlineStr">
        <is>
          <t>United Kingdom</t>
        </is>
      </c>
      <c r="C1470" s="126" t="n">
        <v>121</v>
      </c>
      <c r="D1470" s="126" t="n">
        <v>2</v>
      </c>
      <c r="E1470" s="127" t="n">
        <v>1021.58</v>
      </c>
      <c r="F1470" s="128">
        <f>IF(C1470&lt;=30,5,IF(C1470&lt;=60,4,IF(C1470&lt;=120,3,IF(C1470&lt;=200,2,1))))</f>
        <v/>
      </c>
      <c r="G1470" s="128">
        <f>IF(D1470&gt;=20,5,IF(D1470&gt;=10,4,IF(D1470&gt;=5,3,IF(D1470&gt;=2,2,1))))</f>
        <v/>
      </c>
      <c r="H1470" s="128">
        <f>IF(E1470&gt;=5000,5,IF(E1470&gt;=2000,4,IF(E1470&gt;=800,3,IF(E1470&gt;=300,2,1))))</f>
        <v/>
      </c>
      <c r="I1470" s="126">
        <f>TEXT(F1470,"0")&amp;TEXT(G1470,"0")&amp;TEXT(H1470,"0")</f>
        <v/>
      </c>
      <c r="J1470" s="126">
        <f>IFERROR(XLOOKUP(I1470,'Segment Map'!A:A,'Segment Map'!B:B,"Need Attention"),"Need Attention")</f>
        <v/>
      </c>
      <c r="K1470" s="126">
        <f>IF(E1470&gt;=5000,"🏆 Platinum",IF(E1470&gt;=2000,"🥇 Gold",IF(E1470&gt;=800,"🥈 Silver","🥉 Bronze")))</f>
        <v/>
      </c>
      <c r="L1470" s="129" t="n">
        <v>40766</v>
      </c>
    </row>
    <row r="1471">
      <c r="A1471" s="122" t="n">
        <v>14348</v>
      </c>
      <c r="B1471" s="122" t="inlineStr">
        <is>
          <t>United Kingdom</t>
        </is>
      </c>
      <c r="C1471" s="122" t="n">
        <v>261</v>
      </c>
      <c r="D1471" s="122" t="n">
        <v>1</v>
      </c>
      <c r="E1471" s="123" t="n">
        <v>409.57</v>
      </c>
      <c r="F1471" s="124">
        <f>IF(C1471&lt;=30,5,IF(C1471&lt;=60,4,IF(C1471&lt;=120,3,IF(C1471&lt;=200,2,1))))</f>
        <v/>
      </c>
      <c r="G1471" s="124">
        <f>IF(D1471&gt;=20,5,IF(D1471&gt;=10,4,IF(D1471&gt;=5,3,IF(D1471&gt;=2,2,1))))</f>
        <v/>
      </c>
      <c r="H1471" s="124">
        <f>IF(E1471&gt;=5000,5,IF(E1471&gt;=2000,4,IF(E1471&gt;=800,3,IF(E1471&gt;=300,2,1))))</f>
        <v/>
      </c>
      <c r="I1471" s="122">
        <f>TEXT(F1471,"0")&amp;TEXT(G1471,"0")&amp;TEXT(H1471,"0")</f>
        <v/>
      </c>
      <c r="J1471" s="122">
        <f>IFERROR(XLOOKUP(I1471,'Segment Map'!A:A,'Segment Map'!B:B,"Need Attention"),"Need Attention")</f>
        <v/>
      </c>
      <c r="K1471" s="122">
        <f>IF(E1471&gt;=5000,"🏆 Platinum",IF(E1471&gt;=2000,"🥇 Gold",IF(E1471&gt;=800,"🥈 Silver","🥉 Bronze")))</f>
        <v/>
      </c>
      <c r="L1471" s="125" t="n">
        <v>40626</v>
      </c>
    </row>
    <row r="1472">
      <c r="A1472" s="126" t="n">
        <v>14349</v>
      </c>
      <c r="B1472" s="126" t="inlineStr">
        <is>
          <t>United Kingdom</t>
        </is>
      </c>
      <c r="C1472" s="126" t="n">
        <v>11</v>
      </c>
      <c r="D1472" s="126" t="n">
        <v>1</v>
      </c>
      <c r="E1472" s="127" t="n">
        <v>133.5</v>
      </c>
      <c r="F1472" s="128">
        <f>IF(C1472&lt;=30,5,IF(C1472&lt;=60,4,IF(C1472&lt;=120,3,IF(C1472&lt;=200,2,1))))</f>
        <v/>
      </c>
      <c r="G1472" s="128">
        <f>IF(D1472&gt;=20,5,IF(D1472&gt;=10,4,IF(D1472&gt;=5,3,IF(D1472&gt;=2,2,1))))</f>
        <v/>
      </c>
      <c r="H1472" s="128">
        <f>IF(E1472&gt;=5000,5,IF(E1472&gt;=2000,4,IF(E1472&gt;=800,3,IF(E1472&gt;=300,2,1))))</f>
        <v/>
      </c>
      <c r="I1472" s="126">
        <f>TEXT(F1472,"0")&amp;TEXT(G1472,"0")&amp;TEXT(H1472,"0")</f>
        <v/>
      </c>
      <c r="J1472" s="126">
        <f>IFERROR(XLOOKUP(I1472,'Segment Map'!A:A,'Segment Map'!B:B,"Need Attention"),"Need Attention")</f>
        <v/>
      </c>
      <c r="K1472" s="126">
        <f>IF(E1472&gt;=5000,"🏆 Platinum",IF(E1472&gt;=2000,"🥇 Gold",IF(E1472&gt;=800,"🥈 Silver","🥉 Bronze")))</f>
        <v/>
      </c>
      <c r="L1472" s="129" t="n">
        <v>40876</v>
      </c>
    </row>
    <row r="1473">
      <c r="A1473" s="122" t="n">
        <v>14350</v>
      </c>
      <c r="B1473" s="122" t="inlineStr">
        <is>
          <t>United Kingdom</t>
        </is>
      </c>
      <c r="C1473" s="122" t="n">
        <v>275</v>
      </c>
      <c r="D1473" s="122" t="n">
        <v>1</v>
      </c>
      <c r="E1473" s="123" t="n">
        <v>282.93</v>
      </c>
      <c r="F1473" s="124">
        <f>IF(C1473&lt;=30,5,IF(C1473&lt;=60,4,IF(C1473&lt;=120,3,IF(C1473&lt;=200,2,1))))</f>
        <v/>
      </c>
      <c r="G1473" s="124">
        <f>IF(D1473&gt;=20,5,IF(D1473&gt;=10,4,IF(D1473&gt;=5,3,IF(D1473&gt;=2,2,1))))</f>
        <v/>
      </c>
      <c r="H1473" s="124">
        <f>IF(E1473&gt;=5000,5,IF(E1473&gt;=2000,4,IF(E1473&gt;=800,3,IF(E1473&gt;=300,2,1))))</f>
        <v/>
      </c>
      <c r="I1473" s="122">
        <f>TEXT(F1473,"0")&amp;TEXT(G1473,"0")&amp;TEXT(H1473,"0")</f>
        <v/>
      </c>
      <c r="J1473" s="122">
        <f>IFERROR(XLOOKUP(I1473,'Segment Map'!A:A,'Segment Map'!B:B,"Need Attention"),"Need Attention")</f>
        <v/>
      </c>
      <c r="K1473" s="122">
        <f>IF(E1473&gt;=5000,"🏆 Platinum",IF(E1473&gt;=2000,"🥇 Gold",IF(E1473&gt;=800,"🥈 Silver","🥉 Bronze")))</f>
        <v/>
      </c>
      <c r="L1473" s="125" t="n">
        <v>40612</v>
      </c>
    </row>
    <row r="1474">
      <c r="A1474" s="126" t="n">
        <v>14351</v>
      </c>
      <c r="B1474" s="126" t="inlineStr">
        <is>
          <t>United Kingdom</t>
        </is>
      </c>
      <c r="C1474" s="126" t="n">
        <v>165</v>
      </c>
      <c r="D1474" s="126" t="n">
        <v>1</v>
      </c>
      <c r="E1474" s="127" t="n">
        <v>51</v>
      </c>
      <c r="F1474" s="128">
        <f>IF(C1474&lt;=30,5,IF(C1474&lt;=60,4,IF(C1474&lt;=120,3,IF(C1474&lt;=200,2,1))))</f>
        <v/>
      </c>
      <c r="G1474" s="128">
        <f>IF(D1474&gt;=20,5,IF(D1474&gt;=10,4,IF(D1474&gt;=5,3,IF(D1474&gt;=2,2,1))))</f>
        <v/>
      </c>
      <c r="H1474" s="128">
        <f>IF(E1474&gt;=5000,5,IF(E1474&gt;=2000,4,IF(E1474&gt;=800,3,IF(E1474&gt;=300,2,1))))</f>
        <v/>
      </c>
      <c r="I1474" s="126">
        <f>TEXT(F1474,"0")&amp;TEXT(G1474,"0")&amp;TEXT(H1474,"0")</f>
        <v/>
      </c>
      <c r="J1474" s="126">
        <f>IFERROR(XLOOKUP(I1474,'Segment Map'!A:A,'Segment Map'!B:B,"Need Attention"),"Need Attention")</f>
        <v/>
      </c>
      <c r="K1474" s="126">
        <f>IF(E1474&gt;=5000,"🏆 Platinum",IF(E1474&gt;=2000,"🥇 Gold",IF(E1474&gt;=800,"🥈 Silver","🥉 Bronze")))</f>
        <v/>
      </c>
      <c r="L1474" s="129" t="n">
        <v>40722</v>
      </c>
    </row>
    <row r="1475">
      <c r="A1475" s="122" t="n">
        <v>14352</v>
      </c>
      <c r="B1475" s="122" t="inlineStr">
        <is>
          <t>United Kingdom</t>
        </is>
      </c>
      <c r="C1475" s="122" t="n">
        <v>158</v>
      </c>
      <c r="D1475" s="122" t="n">
        <v>4</v>
      </c>
      <c r="E1475" s="123" t="n">
        <v>1078.96</v>
      </c>
      <c r="F1475" s="124">
        <f>IF(C1475&lt;=30,5,IF(C1475&lt;=60,4,IF(C1475&lt;=120,3,IF(C1475&lt;=200,2,1))))</f>
        <v/>
      </c>
      <c r="G1475" s="124">
        <f>IF(D1475&gt;=20,5,IF(D1475&gt;=10,4,IF(D1475&gt;=5,3,IF(D1475&gt;=2,2,1))))</f>
        <v/>
      </c>
      <c r="H1475" s="124">
        <f>IF(E1475&gt;=5000,5,IF(E1475&gt;=2000,4,IF(E1475&gt;=800,3,IF(E1475&gt;=300,2,1))))</f>
        <v/>
      </c>
      <c r="I1475" s="122">
        <f>TEXT(F1475,"0")&amp;TEXT(G1475,"0")&amp;TEXT(H1475,"0")</f>
        <v/>
      </c>
      <c r="J1475" s="122">
        <f>IFERROR(XLOOKUP(I1475,'Segment Map'!A:A,'Segment Map'!B:B,"Need Attention"),"Need Attention")</f>
        <v/>
      </c>
      <c r="K1475" s="122">
        <f>IF(E1475&gt;=5000,"🏆 Platinum",IF(E1475&gt;=2000,"🥇 Gold",IF(E1475&gt;=800,"🥈 Silver","🥉 Bronze")))</f>
        <v/>
      </c>
      <c r="L1475" s="125" t="n">
        <v>40729</v>
      </c>
    </row>
    <row r="1476">
      <c r="A1476" s="126" t="n">
        <v>14353</v>
      </c>
      <c r="B1476" s="126" t="inlineStr">
        <is>
          <t>United Kingdom</t>
        </is>
      </c>
      <c r="C1476" s="126" t="n">
        <v>216</v>
      </c>
      <c r="D1476" s="126" t="n">
        <v>1</v>
      </c>
      <c r="E1476" s="127" t="n">
        <v>90.59999999999999</v>
      </c>
      <c r="F1476" s="128">
        <f>IF(C1476&lt;=30,5,IF(C1476&lt;=60,4,IF(C1476&lt;=120,3,IF(C1476&lt;=200,2,1))))</f>
        <v/>
      </c>
      <c r="G1476" s="128">
        <f>IF(D1476&gt;=20,5,IF(D1476&gt;=10,4,IF(D1476&gt;=5,3,IF(D1476&gt;=2,2,1))))</f>
        <v/>
      </c>
      <c r="H1476" s="128">
        <f>IF(E1476&gt;=5000,5,IF(E1476&gt;=2000,4,IF(E1476&gt;=800,3,IF(E1476&gt;=300,2,1))))</f>
        <v/>
      </c>
      <c r="I1476" s="126">
        <f>TEXT(F1476,"0")&amp;TEXT(G1476,"0")&amp;TEXT(H1476,"0")</f>
        <v/>
      </c>
      <c r="J1476" s="126">
        <f>IFERROR(XLOOKUP(I1476,'Segment Map'!A:A,'Segment Map'!B:B,"Need Attention"),"Need Attention")</f>
        <v/>
      </c>
      <c r="K1476" s="126">
        <f>IF(E1476&gt;=5000,"🏆 Platinum",IF(E1476&gt;=2000,"🥇 Gold",IF(E1476&gt;=800,"🥈 Silver","🥉 Bronze")))</f>
        <v/>
      </c>
      <c r="L1476" s="129" t="n">
        <v>40671</v>
      </c>
    </row>
    <row r="1477">
      <c r="A1477" s="122" t="n">
        <v>14354</v>
      </c>
      <c r="B1477" s="122" t="inlineStr">
        <is>
          <t>United Kingdom</t>
        </is>
      </c>
      <c r="C1477" s="122" t="n">
        <v>6</v>
      </c>
      <c r="D1477" s="122" t="n">
        <v>2</v>
      </c>
      <c r="E1477" s="123" t="n">
        <v>163.62</v>
      </c>
      <c r="F1477" s="124">
        <f>IF(C1477&lt;=30,5,IF(C1477&lt;=60,4,IF(C1477&lt;=120,3,IF(C1477&lt;=200,2,1))))</f>
        <v/>
      </c>
      <c r="G1477" s="124">
        <f>IF(D1477&gt;=20,5,IF(D1477&gt;=10,4,IF(D1477&gt;=5,3,IF(D1477&gt;=2,2,1))))</f>
        <v/>
      </c>
      <c r="H1477" s="124">
        <f>IF(E1477&gt;=5000,5,IF(E1477&gt;=2000,4,IF(E1477&gt;=800,3,IF(E1477&gt;=300,2,1))))</f>
        <v/>
      </c>
      <c r="I1477" s="122">
        <f>TEXT(F1477,"0")&amp;TEXT(G1477,"0")&amp;TEXT(H1477,"0")</f>
        <v/>
      </c>
      <c r="J1477" s="122">
        <f>IFERROR(XLOOKUP(I1477,'Segment Map'!A:A,'Segment Map'!B:B,"Need Attention"),"Need Attention")</f>
        <v/>
      </c>
      <c r="K1477" s="122">
        <f>IF(E1477&gt;=5000,"🏆 Platinum",IF(E1477&gt;=2000,"🥇 Gold",IF(E1477&gt;=800,"🥈 Silver","🥉 Bronze")))</f>
        <v/>
      </c>
      <c r="L1477" s="125" t="n">
        <v>40881</v>
      </c>
    </row>
    <row r="1478">
      <c r="A1478" s="126" t="n">
        <v>14355</v>
      </c>
      <c r="B1478" s="126" t="inlineStr">
        <is>
          <t>United Kingdom</t>
        </is>
      </c>
      <c r="C1478" s="126" t="n">
        <v>366</v>
      </c>
      <c r="D1478" s="126" t="n">
        <v>1</v>
      </c>
      <c r="E1478" s="127" t="n">
        <v>174.4</v>
      </c>
      <c r="F1478" s="128">
        <f>IF(C1478&lt;=30,5,IF(C1478&lt;=60,4,IF(C1478&lt;=120,3,IF(C1478&lt;=200,2,1))))</f>
        <v/>
      </c>
      <c r="G1478" s="128">
        <f>IF(D1478&gt;=20,5,IF(D1478&gt;=10,4,IF(D1478&gt;=5,3,IF(D1478&gt;=2,2,1))))</f>
        <v/>
      </c>
      <c r="H1478" s="128">
        <f>IF(E1478&gt;=5000,5,IF(E1478&gt;=2000,4,IF(E1478&gt;=800,3,IF(E1478&gt;=300,2,1))))</f>
        <v/>
      </c>
      <c r="I1478" s="126">
        <f>TEXT(F1478,"0")&amp;TEXT(G1478,"0")&amp;TEXT(H1478,"0")</f>
        <v/>
      </c>
      <c r="J1478" s="126">
        <f>IFERROR(XLOOKUP(I1478,'Segment Map'!A:A,'Segment Map'!B:B,"Need Attention"),"Need Attention")</f>
        <v/>
      </c>
      <c r="K1478" s="126">
        <f>IF(E1478&gt;=5000,"🏆 Platinum",IF(E1478&gt;=2000,"🥇 Gold",IF(E1478&gt;=800,"🥈 Silver","🥉 Bronze")))</f>
        <v/>
      </c>
      <c r="L1478" s="129" t="n">
        <v>40521</v>
      </c>
    </row>
    <row r="1479">
      <c r="A1479" s="122" t="n">
        <v>14356</v>
      </c>
      <c r="B1479" s="122" t="inlineStr">
        <is>
          <t>United Kingdom</t>
        </is>
      </c>
      <c r="C1479" s="122" t="n">
        <v>80</v>
      </c>
      <c r="D1479" s="122" t="n">
        <v>2</v>
      </c>
      <c r="E1479" s="123" t="n">
        <v>701.23</v>
      </c>
      <c r="F1479" s="124">
        <f>IF(C1479&lt;=30,5,IF(C1479&lt;=60,4,IF(C1479&lt;=120,3,IF(C1479&lt;=200,2,1))))</f>
        <v/>
      </c>
      <c r="G1479" s="124">
        <f>IF(D1479&gt;=20,5,IF(D1479&gt;=10,4,IF(D1479&gt;=5,3,IF(D1479&gt;=2,2,1))))</f>
        <v/>
      </c>
      <c r="H1479" s="124">
        <f>IF(E1479&gt;=5000,5,IF(E1479&gt;=2000,4,IF(E1479&gt;=800,3,IF(E1479&gt;=300,2,1))))</f>
        <v/>
      </c>
      <c r="I1479" s="122">
        <f>TEXT(F1479,"0")&amp;TEXT(G1479,"0")&amp;TEXT(H1479,"0")</f>
        <v/>
      </c>
      <c r="J1479" s="122">
        <f>IFERROR(XLOOKUP(I1479,'Segment Map'!A:A,'Segment Map'!B:B,"Need Attention"),"Need Attention")</f>
        <v/>
      </c>
      <c r="K1479" s="122">
        <f>IF(E1479&gt;=5000,"🏆 Platinum",IF(E1479&gt;=2000,"🥇 Gold",IF(E1479&gt;=800,"🥈 Silver","🥉 Bronze")))</f>
        <v/>
      </c>
      <c r="L1479" s="125" t="n">
        <v>40807</v>
      </c>
    </row>
    <row r="1480">
      <c r="A1480" s="126" t="n">
        <v>14357</v>
      </c>
      <c r="B1480" s="126" t="inlineStr">
        <is>
          <t>United Kingdom</t>
        </is>
      </c>
      <c r="C1480" s="126" t="n">
        <v>44</v>
      </c>
      <c r="D1480" s="126" t="n">
        <v>1</v>
      </c>
      <c r="E1480" s="127" t="n">
        <v>225.77</v>
      </c>
      <c r="F1480" s="128">
        <f>IF(C1480&lt;=30,5,IF(C1480&lt;=60,4,IF(C1480&lt;=120,3,IF(C1480&lt;=200,2,1))))</f>
        <v/>
      </c>
      <c r="G1480" s="128">
        <f>IF(D1480&gt;=20,5,IF(D1480&gt;=10,4,IF(D1480&gt;=5,3,IF(D1480&gt;=2,2,1))))</f>
        <v/>
      </c>
      <c r="H1480" s="128">
        <f>IF(E1480&gt;=5000,5,IF(E1480&gt;=2000,4,IF(E1480&gt;=800,3,IF(E1480&gt;=300,2,1))))</f>
        <v/>
      </c>
      <c r="I1480" s="126">
        <f>TEXT(F1480,"0")&amp;TEXT(G1480,"0")&amp;TEXT(H1480,"0")</f>
        <v/>
      </c>
      <c r="J1480" s="126">
        <f>IFERROR(XLOOKUP(I1480,'Segment Map'!A:A,'Segment Map'!B:B,"Need Attention"),"Need Attention")</f>
        <v/>
      </c>
      <c r="K1480" s="126">
        <f>IF(E1480&gt;=5000,"🏆 Platinum",IF(E1480&gt;=2000,"🥇 Gold",IF(E1480&gt;=800,"🥈 Silver","🥉 Bronze")))</f>
        <v/>
      </c>
      <c r="L1480" s="129" t="n">
        <v>40843</v>
      </c>
    </row>
    <row r="1481">
      <c r="A1481" s="122" t="n">
        <v>14359</v>
      </c>
      <c r="B1481" s="122" t="inlineStr">
        <is>
          <t>United Kingdom</t>
        </is>
      </c>
      <c r="C1481" s="122" t="n">
        <v>20</v>
      </c>
      <c r="D1481" s="122" t="n">
        <v>3</v>
      </c>
      <c r="E1481" s="123" t="n">
        <v>912.1799999999999</v>
      </c>
      <c r="F1481" s="124">
        <f>IF(C1481&lt;=30,5,IF(C1481&lt;=60,4,IF(C1481&lt;=120,3,IF(C1481&lt;=200,2,1))))</f>
        <v/>
      </c>
      <c r="G1481" s="124">
        <f>IF(D1481&gt;=20,5,IF(D1481&gt;=10,4,IF(D1481&gt;=5,3,IF(D1481&gt;=2,2,1))))</f>
        <v/>
      </c>
      <c r="H1481" s="124">
        <f>IF(E1481&gt;=5000,5,IF(E1481&gt;=2000,4,IF(E1481&gt;=800,3,IF(E1481&gt;=300,2,1))))</f>
        <v/>
      </c>
      <c r="I1481" s="122">
        <f>TEXT(F1481,"0")&amp;TEXT(G1481,"0")&amp;TEXT(H1481,"0")</f>
        <v/>
      </c>
      <c r="J1481" s="122">
        <f>IFERROR(XLOOKUP(I1481,'Segment Map'!A:A,'Segment Map'!B:B,"Need Attention"),"Need Attention")</f>
        <v/>
      </c>
      <c r="K1481" s="122">
        <f>IF(E1481&gt;=5000,"🏆 Platinum",IF(E1481&gt;=2000,"🥇 Gold",IF(E1481&gt;=800,"🥈 Silver","🥉 Bronze")))</f>
        <v/>
      </c>
      <c r="L1481" s="125" t="n">
        <v>40867</v>
      </c>
    </row>
    <row r="1482">
      <c r="A1482" s="126" t="n">
        <v>14360</v>
      </c>
      <c r="B1482" s="126" t="inlineStr">
        <is>
          <t>United Kingdom</t>
        </is>
      </c>
      <c r="C1482" s="126" t="n">
        <v>32</v>
      </c>
      <c r="D1482" s="126" t="n">
        <v>4</v>
      </c>
      <c r="E1482" s="127" t="n">
        <v>2128.23</v>
      </c>
      <c r="F1482" s="128">
        <f>IF(C1482&lt;=30,5,IF(C1482&lt;=60,4,IF(C1482&lt;=120,3,IF(C1482&lt;=200,2,1))))</f>
        <v/>
      </c>
      <c r="G1482" s="128">
        <f>IF(D1482&gt;=20,5,IF(D1482&gt;=10,4,IF(D1482&gt;=5,3,IF(D1482&gt;=2,2,1))))</f>
        <v/>
      </c>
      <c r="H1482" s="128">
        <f>IF(E1482&gt;=5000,5,IF(E1482&gt;=2000,4,IF(E1482&gt;=800,3,IF(E1482&gt;=300,2,1))))</f>
        <v/>
      </c>
      <c r="I1482" s="126">
        <f>TEXT(F1482,"0")&amp;TEXT(G1482,"0")&amp;TEXT(H1482,"0")</f>
        <v/>
      </c>
      <c r="J1482" s="126">
        <f>IFERROR(XLOOKUP(I1482,'Segment Map'!A:A,'Segment Map'!B:B,"Need Attention"),"Need Attention")</f>
        <v/>
      </c>
      <c r="K1482" s="126">
        <f>IF(E1482&gt;=5000,"🏆 Platinum",IF(E1482&gt;=2000,"🥇 Gold",IF(E1482&gt;=800,"🥈 Silver","🥉 Bronze")))</f>
        <v/>
      </c>
      <c r="L1482" s="129" t="n">
        <v>40855</v>
      </c>
    </row>
    <row r="1483">
      <c r="A1483" s="122" t="n">
        <v>14362</v>
      </c>
      <c r="B1483" s="122" t="inlineStr">
        <is>
          <t>United Kingdom</t>
        </is>
      </c>
      <c r="C1483" s="122" t="n">
        <v>23</v>
      </c>
      <c r="D1483" s="122" t="n">
        <v>1</v>
      </c>
      <c r="E1483" s="123" t="n">
        <v>161.2</v>
      </c>
      <c r="F1483" s="124">
        <f>IF(C1483&lt;=30,5,IF(C1483&lt;=60,4,IF(C1483&lt;=120,3,IF(C1483&lt;=200,2,1))))</f>
        <v/>
      </c>
      <c r="G1483" s="124">
        <f>IF(D1483&gt;=20,5,IF(D1483&gt;=10,4,IF(D1483&gt;=5,3,IF(D1483&gt;=2,2,1))))</f>
        <v/>
      </c>
      <c r="H1483" s="124">
        <f>IF(E1483&gt;=5000,5,IF(E1483&gt;=2000,4,IF(E1483&gt;=800,3,IF(E1483&gt;=300,2,1))))</f>
        <v/>
      </c>
      <c r="I1483" s="122">
        <f>TEXT(F1483,"0")&amp;TEXT(G1483,"0")&amp;TEXT(H1483,"0")</f>
        <v/>
      </c>
      <c r="J1483" s="122">
        <f>IFERROR(XLOOKUP(I1483,'Segment Map'!A:A,'Segment Map'!B:B,"Need Attention"),"Need Attention")</f>
        <v/>
      </c>
      <c r="K1483" s="122">
        <f>IF(E1483&gt;=5000,"🏆 Platinum",IF(E1483&gt;=2000,"🥇 Gold",IF(E1483&gt;=800,"🥈 Silver","🥉 Bronze")))</f>
        <v/>
      </c>
      <c r="L1483" s="125" t="n">
        <v>40864</v>
      </c>
    </row>
    <row r="1484">
      <c r="A1484" s="126" t="n">
        <v>14364</v>
      </c>
      <c r="B1484" s="126" t="inlineStr">
        <is>
          <t>United Kingdom</t>
        </is>
      </c>
      <c r="C1484" s="126" t="n">
        <v>109</v>
      </c>
      <c r="D1484" s="126" t="n">
        <v>8</v>
      </c>
      <c r="E1484" s="127" t="n">
        <v>3717.35</v>
      </c>
      <c r="F1484" s="128">
        <f>IF(C1484&lt;=30,5,IF(C1484&lt;=60,4,IF(C1484&lt;=120,3,IF(C1484&lt;=200,2,1))))</f>
        <v/>
      </c>
      <c r="G1484" s="128">
        <f>IF(D1484&gt;=20,5,IF(D1484&gt;=10,4,IF(D1484&gt;=5,3,IF(D1484&gt;=2,2,1))))</f>
        <v/>
      </c>
      <c r="H1484" s="128">
        <f>IF(E1484&gt;=5000,5,IF(E1484&gt;=2000,4,IF(E1484&gt;=800,3,IF(E1484&gt;=300,2,1))))</f>
        <v/>
      </c>
      <c r="I1484" s="126">
        <f>TEXT(F1484,"0")&amp;TEXT(G1484,"0")&amp;TEXT(H1484,"0")</f>
        <v/>
      </c>
      <c r="J1484" s="126">
        <f>IFERROR(XLOOKUP(I1484,'Segment Map'!A:A,'Segment Map'!B:B,"Need Attention"),"Need Attention")</f>
        <v/>
      </c>
      <c r="K1484" s="126">
        <f>IF(E1484&gt;=5000,"🏆 Platinum",IF(E1484&gt;=2000,"🥇 Gold",IF(E1484&gt;=800,"🥈 Silver","🥉 Bronze")))</f>
        <v/>
      </c>
      <c r="L1484" s="129" t="n">
        <v>40778</v>
      </c>
    </row>
    <row r="1485">
      <c r="A1485" s="122" t="n">
        <v>14367</v>
      </c>
      <c r="B1485" s="122" t="inlineStr">
        <is>
          <t>United Kingdom</t>
        </is>
      </c>
      <c r="C1485" s="122" t="n">
        <v>9</v>
      </c>
      <c r="D1485" s="122" t="n">
        <v>16</v>
      </c>
      <c r="E1485" s="123" t="n">
        <v>9261.52</v>
      </c>
      <c r="F1485" s="124">
        <f>IF(C1485&lt;=30,5,IF(C1485&lt;=60,4,IF(C1485&lt;=120,3,IF(C1485&lt;=200,2,1))))</f>
        <v/>
      </c>
      <c r="G1485" s="124">
        <f>IF(D1485&gt;=20,5,IF(D1485&gt;=10,4,IF(D1485&gt;=5,3,IF(D1485&gt;=2,2,1))))</f>
        <v/>
      </c>
      <c r="H1485" s="124">
        <f>IF(E1485&gt;=5000,5,IF(E1485&gt;=2000,4,IF(E1485&gt;=800,3,IF(E1485&gt;=300,2,1))))</f>
        <v/>
      </c>
      <c r="I1485" s="122">
        <f>TEXT(F1485,"0")&amp;TEXT(G1485,"0")&amp;TEXT(H1485,"0")</f>
        <v/>
      </c>
      <c r="J1485" s="122">
        <f>IFERROR(XLOOKUP(I1485,'Segment Map'!A:A,'Segment Map'!B:B,"Need Attention"),"Need Attention")</f>
        <v/>
      </c>
      <c r="K1485" s="122">
        <f>IF(E1485&gt;=5000,"🏆 Platinum",IF(E1485&gt;=2000,"🥇 Gold",IF(E1485&gt;=800,"🥈 Silver","🥉 Bronze")))</f>
        <v/>
      </c>
      <c r="L1485" s="125" t="n">
        <v>40878</v>
      </c>
    </row>
    <row r="1486">
      <c r="A1486" s="126" t="n">
        <v>14368</v>
      </c>
      <c r="B1486" s="126" t="inlineStr">
        <is>
          <t>United Kingdom</t>
        </is>
      </c>
      <c r="C1486" s="126" t="n">
        <v>320</v>
      </c>
      <c r="D1486" s="126" t="n">
        <v>1</v>
      </c>
      <c r="E1486" s="127" t="n">
        <v>155</v>
      </c>
      <c r="F1486" s="128">
        <f>IF(C1486&lt;=30,5,IF(C1486&lt;=60,4,IF(C1486&lt;=120,3,IF(C1486&lt;=200,2,1))))</f>
        <v/>
      </c>
      <c r="G1486" s="128">
        <f>IF(D1486&gt;=20,5,IF(D1486&gt;=10,4,IF(D1486&gt;=5,3,IF(D1486&gt;=2,2,1))))</f>
        <v/>
      </c>
      <c r="H1486" s="128">
        <f>IF(E1486&gt;=5000,5,IF(E1486&gt;=2000,4,IF(E1486&gt;=800,3,IF(E1486&gt;=300,2,1))))</f>
        <v/>
      </c>
      <c r="I1486" s="126">
        <f>TEXT(F1486,"0")&amp;TEXT(G1486,"0")&amp;TEXT(H1486,"0")</f>
        <v/>
      </c>
      <c r="J1486" s="126">
        <f>IFERROR(XLOOKUP(I1486,'Segment Map'!A:A,'Segment Map'!B:B,"Need Attention"),"Need Attention")</f>
        <v/>
      </c>
      <c r="K1486" s="126">
        <f>IF(E1486&gt;=5000,"🏆 Platinum",IF(E1486&gt;=2000,"🥇 Gold",IF(E1486&gt;=800,"🥈 Silver","🥉 Bronze")))</f>
        <v/>
      </c>
      <c r="L1486" s="129" t="n">
        <v>40567</v>
      </c>
    </row>
    <row r="1487">
      <c r="A1487" s="122" t="n">
        <v>14371</v>
      </c>
      <c r="B1487" s="122" t="inlineStr">
        <is>
          <t>United Kingdom</t>
        </is>
      </c>
      <c r="C1487" s="122" t="n">
        <v>296</v>
      </c>
      <c r="D1487" s="122" t="n">
        <v>1</v>
      </c>
      <c r="E1487" s="123" t="n">
        <v>100.5</v>
      </c>
      <c r="F1487" s="124">
        <f>IF(C1487&lt;=30,5,IF(C1487&lt;=60,4,IF(C1487&lt;=120,3,IF(C1487&lt;=200,2,1))))</f>
        <v/>
      </c>
      <c r="G1487" s="124">
        <f>IF(D1487&gt;=20,5,IF(D1487&gt;=10,4,IF(D1487&gt;=5,3,IF(D1487&gt;=2,2,1))))</f>
        <v/>
      </c>
      <c r="H1487" s="124">
        <f>IF(E1487&gt;=5000,5,IF(E1487&gt;=2000,4,IF(E1487&gt;=800,3,IF(E1487&gt;=300,2,1))))</f>
        <v/>
      </c>
      <c r="I1487" s="122">
        <f>TEXT(F1487,"0")&amp;TEXT(G1487,"0")&amp;TEXT(H1487,"0")</f>
        <v/>
      </c>
      <c r="J1487" s="122">
        <f>IFERROR(XLOOKUP(I1487,'Segment Map'!A:A,'Segment Map'!B:B,"Need Attention"),"Need Attention")</f>
        <v/>
      </c>
      <c r="K1487" s="122">
        <f>IF(E1487&gt;=5000,"🏆 Platinum",IF(E1487&gt;=2000,"🥇 Gold",IF(E1487&gt;=800,"🥈 Silver","🥉 Bronze")))</f>
        <v/>
      </c>
      <c r="L1487" s="125" t="n">
        <v>40591</v>
      </c>
    </row>
    <row r="1488">
      <c r="A1488" s="126" t="n">
        <v>14373</v>
      </c>
      <c r="B1488" s="126" t="inlineStr">
        <is>
          <t>United Kingdom</t>
        </is>
      </c>
      <c r="C1488" s="126" t="n">
        <v>359</v>
      </c>
      <c r="D1488" s="126" t="n">
        <v>1</v>
      </c>
      <c r="E1488" s="127" t="n">
        <v>76.55</v>
      </c>
      <c r="F1488" s="128">
        <f>IF(C1488&lt;=30,5,IF(C1488&lt;=60,4,IF(C1488&lt;=120,3,IF(C1488&lt;=200,2,1))))</f>
        <v/>
      </c>
      <c r="G1488" s="128">
        <f>IF(D1488&gt;=20,5,IF(D1488&gt;=10,4,IF(D1488&gt;=5,3,IF(D1488&gt;=2,2,1))))</f>
        <v/>
      </c>
      <c r="H1488" s="128">
        <f>IF(E1488&gt;=5000,5,IF(E1488&gt;=2000,4,IF(E1488&gt;=800,3,IF(E1488&gt;=300,2,1))))</f>
        <v/>
      </c>
      <c r="I1488" s="126">
        <f>TEXT(F1488,"0")&amp;TEXT(G1488,"0")&amp;TEXT(H1488,"0")</f>
        <v/>
      </c>
      <c r="J1488" s="126">
        <f>IFERROR(XLOOKUP(I1488,'Segment Map'!A:A,'Segment Map'!B:B,"Need Attention"),"Need Attention")</f>
        <v/>
      </c>
      <c r="K1488" s="126">
        <f>IF(E1488&gt;=5000,"🏆 Platinum",IF(E1488&gt;=2000,"🥇 Gold",IF(E1488&gt;=800,"🥈 Silver","🥉 Bronze")))</f>
        <v/>
      </c>
      <c r="L1488" s="129" t="n">
        <v>40528</v>
      </c>
    </row>
    <row r="1489">
      <c r="A1489" s="122" t="n">
        <v>14375</v>
      </c>
      <c r="B1489" s="122" t="inlineStr">
        <is>
          <t>United Kingdom</t>
        </is>
      </c>
      <c r="C1489" s="122" t="n">
        <v>186</v>
      </c>
      <c r="D1489" s="122" t="n">
        <v>1</v>
      </c>
      <c r="E1489" s="123" t="n">
        <v>257.68</v>
      </c>
      <c r="F1489" s="124">
        <f>IF(C1489&lt;=30,5,IF(C1489&lt;=60,4,IF(C1489&lt;=120,3,IF(C1489&lt;=200,2,1))))</f>
        <v/>
      </c>
      <c r="G1489" s="124">
        <f>IF(D1489&gt;=20,5,IF(D1489&gt;=10,4,IF(D1489&gt;=5,3,IF(D1489&gt;=2,2,1))))</f>
        <v/>
      </c>
      <c r="H1489" s="124">
        <f>IF(E1489&gt;=5000,5,IF(E1489&gt;=2000,4,IF(E1489&gt;=800,3,IF(E1489&gt;=300,2,1))))</f>
        <v/>
      </c>
      <c r="I1489" s="122">
        <f>TEXT(F1489,"0")&amp;TEXT(G1489,"0")&amp;TEXT(H1489,"0")</f>
        <v/>
      </c>
      <c r="J1489" s="122">
        <f>IFERROR(XLOOKUP(I1489,'Segment Map'!A:A,'Segment Map'!B:B,"Need Attention"),"Need Attention")</f>
        <v/>
      </c>
      <c r="K1489" s="122">
        <f>IF(E1489&gt;=5000,"🏆 Platinum",IF(E1489&gt;=2000,"🥇 Gold",IF(E1489&gt;=800,"🥈 Silver","🥉 Bronze")))</f>
        <v/>
      </c>
      <c r="L1489" s="125" t="n">
        <v>40701</v>
      </c>
    </row>
    <row r="1490">
      <c r="A1490" s="126" t="n">
        <v>14377</v>
      </c>
      <c r="B1490" s="126" t="inlineStr">
        <is>
          <t>United Kingdom</t>
        </is>
      </c>
      <c r="C1490" s="126" t="n">
        <v>192</v>
      </c>
      <c r="D1490" s="126" t="n">
        <v>2</v>
      </c>
      <c r="E1490" s="127" t="n">
        <v>617.05</v>
      </c>
      <c r="F1490" s="128">
        <f>IF(C1490&lt;=30,5,IF(C1490&lt;=60,4,IF(C1490&lt;=120,3,IF(C1490&lt;=200,2,1))))</f>
        <v/>
      </c>
      <c r="G1490" s="128">
        <f>IF(D1490&gt;=20,5,IF(D1490&gt;=10,4,IF(D1490&gt;=5,3,IF(D1490&gt;=2,2,1))))</f>
        <v/>
      </c>
      <c r="H1490" s="128">
        <f>IF(E1490&gt;=5000,5,IF(E1490&gt;=2000,4,IF(E1490&gt;=800,3,IF(E1490&gt;=300,2,1))))</f>
        <v/>
      </c>
      <c r="I1490" s="126">
        <f>TEXT(F1490,"0")&amp;TEXT(G1490,"0")&amp;TEXT(H1490,"0")</f>
        <v/>
      </c>
      <c r="J1490" s="126">
        <f>IFERROR(XLOOKUP(I1490,'Segment Map'!A:A,'Segment Map'!B:B,"Need Attention"),"Need Attention")</f>
        <v/>
      </c>
      <c r="K1490" s="126">
        <f>IF(E1490&gt;=5000,"🏆 Platinum",IF(E1490&gt;=2000,"🥇 Gold",IF(E1490&gt;=800,"🥈 Silver","🥉 Bronze")))</f>
        <v/>
      </c>
      <c r="L1490" s="129" t="n">
        <v>40695</v>
      </c>
    </row>
    <row r="1491">
      <c r="A1491" s="122" t="n">
        <v>14379</v>
      </c>
      <c r="B1491" s="122" t="inlineStr">
        <is>
          <t>United Kingdom</t>
        </is>
      </c>
      <c r="C1491" s="122" t="n">
        <v>45</v>
      </c>
      <c r="D1491" s="122" t="n">
        <v>2</v>
      </c>
      <c r="E1491" s="123" t="n">
        <v>348.1</v>
      </c>
      <c r="F1491" s="124">
        <f>IF(C1491&lt;=30,5,IF(C1491&lt;=60,4,IF(C1491&lt;=120,3,IF(C1491&lt;=200,2,1))))</f>
        <v/>
      </c>
      <c r="G1491" s="124">
        <f>IF(D1491&gt;=20,5,IF(D1491&gt;=10,4,IF(D1491&gt;=5,3,IF(D1491&gt;=2,2,1))))</f>
        <v/>
      </c>
      <c r="H1491" s="124">
        <f>IF(E1491&gt;=5000,5,IF(E1491&gt;=2000,4,IF(E1491&gt;=800,3,IF(E1491&gt;=300,2,1))))</f>
        <v/>
      </c>
      <c r="I1491" s="122">
        <f>TEXT(F1491,"0")&amp;TEXT(G1491,"0")&amp;TEXT(H1491,"0")</f>
        <v/>
      </c>
      <c r="J1491" s="122">
        <f>IFERROR(XLOOKUP(I1491,'Segment Map'!A:A,'Segment Map'!B:B,"Need Attention"),"Need Attention")</f>
        <v/>
      </c>
      <c r="K1491" s="122">
        <f>IF(E1491&gt;=5000,"🏆 Platinum",IF(E1491&gt;=2000,"🥇 Gold",IF(E1491&gt;=800,"🥈 Silver","🥉 Bronze")))</f>
        <v/>
      </c>
      <c r="L1491" s="125" t="n">
        <v>40842</v>
      </c>
    </row>
    <row r="1492">
      <c r="A1492" s="126" t="n">
        <v>14381</v>
      </c>
      <c r="B1492" s="126" t="inlineStr">
        <is>
          <t>United Kingdom</t>
        </is>
      </c>
      <c r="C1492" s="126" t="n">
        <v>53</v>
      </c>
      <c r="D1492" s="126" t="n">
        <v>1</v>
      </c>
      <c r="E1492" s="127" t="n">
        <v>202.68</v>
      </c>
      <c r="F1492" s="128">
        <f>IF(C1492&lt;=30,5,IF(C1492&lt;=60,4,IF(C1492&lt;=120,3,IF(C1492&lt;=200,2,1))))</f>
        <v/>
      </c>
      <c r="G1492" s="128">
        <f>IF(D1492&gt;=20,5,IF(D1492&gt;=10,4,IF(D1492&gt;=5,3,IF(D1492&gt;=2,2,1))))</f>
        <v/>
      </c>
      <c r="H1492" s="128">
        <f>IF(E1492&gt;=5000,5,IF(E1492&gt;=2000,4,IF(E1492&gt;=800,3,IF(E1492&gt;=300,2,1))))</f>
        <v/>
      </c>
      <c r="I1492" s="126">
        <f>TEXT(F1492,"0")&amp;TEXT(G1492,"0")&amp;TEXT(H1492,"0")</f>
        <v/>
      </c>
      <c r="J1492" s="126">
        <f>IFERROR(XLOOKUP(I1492,'Segment Map'!A:A,'Segment Map'!B:B,"Need Attention"),"Need Attention")</f>
        <v/>
      </c>
      <c r="K1492" s="126">
        <f>IF(E1492&gt;=5000,"🏆 Platinum",IF(E1492&gt;=2000,"🥇 Gold",IF(E1492&gt;=800,"🥈 Silver","🥉 Bronze")))</f>
        <v/>
      </c>
      <c r="L1492" s="129" t="n">
        <v>40834</v>
      </c>
    </row>
    <row r="1493">
      <c r="A1493" s="122" t="n">
        <v>14382</v>
      </c>
      <c r="B1493" s="122" t="inlineStr">
        <is>
          <t>United Kingdom</t>
        </is>
      </c>
      <c r="C1493" s="122" t="n">
        <v>27</v>
      </c>
      <c r="D1493" s="122" t="n">
        <v>1</v>
      </c>
      <c r="E1493" s="123" t="n">
        <v>626.0700000000001</v>
      </c>
      <c r="F1493" s="124">
        <f>IF(C1493&lt;=30,5,IF(C1493&lt;=60,4,IF(C1493&lt;=120,3,IF(C1493&lt;=200,2,1))))</f>
        <v/>
      </c>
      <c r="G1493" s="124">
        <f>IF(D1493&gt;=20,5,IF(D1493&gt;=10,4,IF(D1493&gt;=5,3,IF(D1493&gt;=2,2,1))))</f>
        <v/>
      </c>
      <c r="H1493" s="124">
        <f>IF(E1493&gt;=5000,5,IF(E1493&gt;=2000,4,IF(E1493&gt;=800,3,IF(E1493&gt;=300,2,1))))</f>
        <v/>
      </c>
      <c r="I1493" s="122">
        <f>TEXT(F1493,"0")&amp;TEXT(G1493,"0")&amp;TEXT(H1493,"0")</f>
        <v/>
      </c>
      <c r="J1493" s="122">
        <f>IFERROR(XLOOKUP(I1493,'Segment Map'!A:A,'Segment Map'!B:B,"Need Attention"),"Need Attention")</f>
        <v/>
      </c>
      <c r="K1493" s="122">
        <f>IF(E1493&gt;=5000,"🏆 Platinum",IF(E1493&gt;=2000,"🥇 Gold",IF(E1493&gt;=800,"🥈 Silver","🥉 Bronze")))</f>
        <v/>
      </c>
      <c r="L1493" s="125" t="n">
        <v>40860</v>
      </c>
    </row>
    <row r="1494">
      <c r="A1494" s="126" t="n">
        <v>14383</v>
      </c>
      <c r="B1494" s="126" t="inlineStr">
        <is>
          <t>United Kingdom</t>
        </is>
      </c>
      <c r="C1494" s="126" t="n">
        <v>39</v>
      </c>
      <c r="D1494" s="126" t="n">
        <v>3</v>
      </c>
      <c r="E1494" s="127" t="n">
        <v>1247.69</v>
      </c>
      <c r="F1494" s="128">
        <f>IF(C1494&lt;=30,5,IF(C1494&lt;=60,4,IF(C1494&lt;=120,3,IF(C1494&lt;=200,2,1))))</f>
        <v/>
      </c>
      <c r="G1494" s="128">
        <f>IF(D1494&gt;=20,5,IF(D1494&gt;=10,4,IF(D1494&gt;=5,3,IF(D1494&gt;=2,2,1))))</f>
        <v/>
      </c>
      <c r="H1494" s="128">
        <f>IF(E1494&gt;=5000,5,IF(E1494&gt;=2000,4,IF(E1494&gt;=800,3,IF(E1494&gt;=300,2,1))))</f>
        <v/>
      </c>
      <c r="I1494" s="126">
        <f>TEXT(F1494,"0")&amp;TEXT(G1494,"0")&amp;TEXT(H1494,"0")</f>
        <v/>
      </c>
      <c r="J1494" s="126">
        <f>IFERROR(XLOOKUP(I1494,'Segment Map'!A:A,'Segment Map'!B:B,"Need Attention"),"Need Attention")</f>
        <v/>
      </c>
      <c r="K1494" s="126">
        <f>IF(E1494&gt;=5000,"🏆 Platinum",IF(E1494&gt;=2000,"🥇 Gold",IF(E1494&gt;=800,"🥈 Silver","🥉 Bronze")))</f>
        <v/>
      </c>
      <c r="L1494" s="129" t="n">
        <v>40848</v>
      </c>
    </row>
    <row r="1495">
      <c r="A1495" s="122" t="n">
        <v>14385</v>
      </c>
      <c r="B1495" s="122" t="inlineStr">
        <is>
          <t>United Kingdom</t>
        </is>
      </c>
      <c r="C1495" s="122" t="n">
        <v>10</v>
      </c>
      <c r="D1495" s="122" t="n">
        <v>3</v>
      </c>
      <c r="E1495" s="123" t="n">
        <v>202.11</v>
      </c>
      <c r="F1495" s="124">
        <f>IF(C1495&lt;=30,5,IF(C1495&lt;=60,4,IF(C1495&lt;=120,3,IF(C1495&lt;=200,2,1))))</f>
        <v/>
      </c>
      <c r="G1495" s="124">
        <f>IF(D1495&gt;=20,5,IF(D1495&gt;=10,4,IF(D1495&gt;=5,3,IF(D1495&gt;=2,2,1))))</f>
        <v/>
      </c>
      <c r="H1495" s="124">
        <f>IF(E1495&gt;=5000,5,IF(E1495&gt;=2000,4,IF(E1495&gt;=800,3,IF(E1495&gt;=300,2,1))))</f>
        <v/>
      </c>
      <c r="I1495" s="122">
        <f>TEXT(F1495,"0")&amp;TEXT(G1495,"0")&amp;TEXT(H1495,"0")</f>
        <v/>
      </c>
      <c r="J1495" s="122">
        <f>IFERROR(XLOOKUP(I1495,'Segment Map'!A:A,'Segment Map'!B:B,"Need Attention"),"Need Attention")</f>
        <v/>
      </c>
      <c r="K1495" s="122">
        <f>IF(E1495&gt;=5000,"🏆 Platinum",IF(E1495&gt;=2000,"🥇 Gold",IF(E1495&gt;=800,"🥈 Silver","🥉 Bronze")))</f>
        <v/>
      </c>
      <c r="L1495" s="125" t="n">
        <v>40877</v>
      </c>
    </row>
    <row r="1496">
      <c r="A1496" s="126" t="n">
        <v>14386</v>
      </c>
      <c r="B1496" s="126" t="inlineStr">
        <is>
          <t>United Kingdom</t>
        </is>
      </c>
      <c r="C1496" s="126" t="n">
        <v>297</v>
      </c>
      <c r="D1496" s="126" t="n">
        <v>1</v>
      </c>
      <c r="E1496" s="127" t="n">
        <v>142.4</v>
      </c>
      <c r="F1496" s="128">
        <f>IF(C1496&lt;=30,5,IF(C1496&lt;=60,4,IF(C1496&lt;=120,3,IF(C1496&lt;=200,2,1))))</f>
        <v/>
      </c>
      <c r="G1496" s="128">
        <f>IF(D1496&gt;=20,5,IF(D1496&gt;=10,4,IF(D1496&gt;=5,3,IF(D1496&gt;=2,2,1))))</f>
        <v/>
      </c>
      <c r="H1496" s="128">
        <f>IF(E1496&gt;=5000,5,IF(E1496&gt;=2000,4,IF(E1496&gt;=800,3,IF(E1496&gt;=300,2,1))))</f>
        <v/>
      </c>
      <c r="I1496" s="126">
        <f>TEXT(F1496,"0")&amp;TEXT(G1496,"0")&amp;TEXT(H1496,"0")</f>
        <v/>
      </c>
      <c r="J1496" s="126">
        <f>IFERROR(XLOOKUP(I1496,'Segment Map'!A:A,'Segment Map'!B:B,"Need Attention"),"Need Attention")</f>
        <v/>
      </c>
      <c r="K1496" s="126">
        <f>IF(E1496&gt;=5000,"🏆 Platinum",IF(E1496&gt;=2000,"🥇 Gold",IF(E1496&gt;=800,"🥈 Silver","🥉 Bronze")))</f>
        <v/>
      </c>
      <c r="L1496" s="129" t="n">
        <v>40590</v>
      </c>
    </row>
    <row r="1497">
      <c r="A1497" s="122" t="n">
        <v>14387</v>
      </c>
      <c r="B1497" s="122" t="inlineStr">
        <is>
          <t>United Kingdom</t>
        </is>
      </c>
      <c r="C1497" s="122" t="n">
        <v>33</v>
      </c>
      <c r="D1497" s="122" t="n">
        <v>3</v>
      </c>
      <c r="E1497" s="123" t="n">
        <v>1770.56</v>
      </c>
      <c r="F1497" s="124">
        <f>IF(C1497&lt;=30,5,IF(C1497&lt;=60,4,IF(C1497&lt;=120,3,IF(C1497&lt;=200,2,1))))</f>
        <v/>
      </c>
      <c r="G1497" s="124">
        <f>IF(D1497&gt;=20,5,IF(D1497&gt;=10,4,IF(D1497&gt;=5,3,IF(D1497&gt;=2,2,1))))</f>
        <v/>
      </c>
      <c r="H1497" s="124">
        <f>IF(E1497&gt;=5000,5,IF(E1497&gt;=2000,4,IF(E1497&gt;=800,3,IF(E1497&gt;=300,2,1))))</f>
        <v/>
      </c>
      <c r="I1497" s="122">
        <f>TEXT(F1497,"0")&amp;TEXT(G1497,"0")&amp;TEXT(H1497,"0")</f>
        <v/>
      </c>
      <c r="J1497" s="122">
        <f>IFERROR(XLOOKUP(I1497,'Segment Map'!A:A,'Segment Map'!B:B,"Need Attention"),"Need Attention")</f>
        <v/>
      </c>
      <c r="K1497" s="122">
        <f>IF(E1497&gt;=5000,"🏆 Platinum",IF(E1497&gt;=2000,"🥇 Gold",IF(E1497&gt;=800,"🥈 Silver","🥉 Bronze")))</f>
        <v/>
      </c>
      <c r="L1497" s="125" t="n">
        <v>40854</v>
      </c>
    </row>
    <row r="1498">
      <c r="A1498" s="126" t="n">
        <v>14388</v>
      </c>
      <c r="B1498" s="126" t="inlineStr">
        <is>
          <t>United Kingdom</t>
        </is>
      </c>
      <c r="C1498" s="126" t="n">
        <v>11</v>
      </c>
      <c r="D1498" s="126" t="n">
        <v>8</v>
      </c>
      <c r="E1498" s="127" t="n">
        <v>3212.84</v>
      </c>
      <c r="F1498" s="128">
        <f>IF(C1498&lt;=30,5,IF(C1498&lt;=60,4,IF(C1498&lt;=120,3,IF(C1498&lt;=200,2,1))))</f>
        <v/>
      </c>
      <c r="G1498" s="128">
        <f>IF(D1498&gt;=20,5,IF(D1498&gt;=10,4,IF(D1498&gt;=5,3,IF(D1498&gt;=2,2,1))))</f>
        <v/>
      </c>
      <c r="H1498" s="128">
        <f>IF(E1498&gt;=5000,5,IF(E1498&gt;=2000,4,IF(E1498&gt;=800,3,IF(E1498&gt;=300,2,1))))</f>
        <v/>
      </c>
      <c r="I1498" s="126">
        <f>TEXT(F1498,"0")&amp;TEXT(G1498,"0")&amp;TEXT(H1498,"0")</f>
        <v/>
      </c>
      <c r="J1498" s="126">
        <f>IFERROR(XLOOKUP(I1498,'Segment Map'!A:A,'Segment Map'!B:B,"Need Attention"),"Need Attention")</f>
        <v/>
      </c>
      <c r="K1498" s="126">
        <f>IF(E1498&gt;=5000,"🏆 Platinum",IF(E1498&gt;=2000,"🥇 Gold",IF(E1498&gt;=800,"🥈 Silver","🥉 Bronze")))</f>
        <v/>
      </c>
      <c r="L1498" s="129" t="n">
        <v>40876</v>
      </c>
    </row>
    <row r="1499">
      <c r="A1499" s="122" t="n">
        <v>14389</v>
      </c>
      <c r="B1499" s="122" t="inlineStr">
        <is>
          <t>United Kingdom</t>
        </is>
      </c>
      <c r="C1499" s="122" t="n">
        <v>66</v>
      </c>
      <c r="D1499" s="122" t="n">
        <v>2</v>
      </c>
      <c r="E1499" s="123" t="n">
        <v>1043.46</v>
      </c>
      <c r="F1499" s="124">
        <f>IF(C1499&lt;=30,5,IF(C1499&lt;=60,4,IF(C1499&lt;=120,3,IF(C1499&lt;=200,2,1))))</f>
        <v/>
      </c>
      <c r="G1499" s="124">
        <f>IF(D1499&gt;=20,5,IF(D1499&gt;=10,4,IF(D1499&gt;=5,3,IF(D1499&gt;=2,2,1))))</f>
        <v/>
      </c>
      <c r="H1499" s="124">
        <f>IF(E1499&gt;=5000,5,IF(E1499&gt;=2000,4,IF(E1499&gt;=800,3,IF(E1499&gt;=300,2,1))))</f>
        <v/>
      </c>
      <c r="I1499" s="122">
        <f>TEXT(F1499,"0")&amp;TEXT(G1499,"0")&amp;TEXT(H1499,"0")</f>
        <v/>
      </c>
      <c r="J1499" s="122">
        <f>IFERROR(XLOOKUP(I1499,'Segment Map'!A:A,'Segment Map'!B:B,"Need Attention"),"Need Attention")</f>
        <v/>
      </c>
      <c r="K1499" s="122">
        <f>IF(E1499&gt;=5000,"🏆 Platinum",IF(E1499&gt;=2000,"🥇 Gold",IF(E1499&gt;=800,"🥈 Silver","🥉 Bronze")))</f>
        <v/>
      </c>
      <c r="L1499" s="125" t="n">
        <v>40821</v>
      </c>
    </row>
    <row r="1500">
      <c r="A1500" s="126" t="n">
        <v>14390</v>
      </c>
      <c r="B1500" s="126" t="inlineStr">
        <is>
          <t>United Kingdom</t>
        </is>
      </c>
      <c r="C1500" s="126" t="n">
        <v>11</v>
      </c>
      <c r="D1500" s="126" t="n">
        <v>9</v>
      </c>
      <c r="E1500" s="127" t="n">
        <v>4652.82</v>
      </c>
      <c r="F1500" s="128">
        <f>IF(C1500&lt;=30,5,IF(C1500&lt;=60,4,IF(C1500&lt;=120,3,IF(C1500&lt;=200,2,1))))</f>
        <v/>
      </c>
      <c r="G1500" s="128">
        <f>IF(D1500&gt;=20,5,IF(D1500&gt;=10,4,IF(D1500&gt;=5,3,IF(D1500&gt;=2,2,1))))</f>
        <v/>
      </c>
      <c r="H1500" s="128">
        <f>IF(E1500&gt;=5000,5,IF(E1500&gt;=2000,4,IF(E1500&gt;=800,3,IF(E1500&gt;=300,2,1))))</f>
        <v/>
      </c>
      <c r="I1500" s="126">
        <f>TEXT(F1500,"0")&amp;TEXT(G1500,"0")&amp;TEXT(H1500,"0")</f>
        <v/>
      </c>
      <c r="J1500" s="126">
        <f>IFERROR(XLOOKUP(I1500,'Segment Map'!A:A,'Segment Map'!B:B,"Need Attention"),"Need Attention")</f>
        <v/>
      </c>
      <c r="K1500" s="126">
        <f>IF(E1500&gt;=5000,"🏆 Platinum",IF(E1500&gt;=2000,"🥇 Gold",IF(E1500&gt;=800,"🥈 Silver","🥉 Bronze")))</f>
        <v/>
      </c>
      <c r="L1500" s="129" t="n">
        <v>40876</v>
      </c>
    </row>
    <row r="1501">
      <c r="A1501" s="122" t="n">
        <v>14393</v>
      </c>
      <c r="B1501" s="122" t="inlineStr">
        <is>
          <t>United Kingdom</t>
        </is>
      </c>
      <c r="C1501" s="122" t="n">
        <v>219</v>
      </c>
      <c r="D1501" s="122" t="n">
        <v>1</v>
      </c>
      <c r="E1501" s="123" t="n">
        <v>67.95</v>
      </c>
      <c r="F1501" s="124">
        <f>IF(C1501&lt;=30,5,IF(C1501&lt;=60,4,IF(C1501&lt;=120,3,IF(C1501&lt;=200,2,1))))</f>
        <v/>
      </c>
      <c r="G1501" s="124">
        <f>IF(D1501&gt;=20,5,IF(D1501&gt;=10,4,IF(D1501&gt;=5,3,IF(D1501&gt;=2,2,1))))</f>
        <v/>
      </c>
      <c r="H1501" s="124">
        <f>IF(E1501&gt;=5000,5,IF(E1501&gt;=2000,4,IF(E1501&gt;=800,3,IF(E1501&gt;=300,2,1))))</f>
        <v/>
      </c>
      <c r="I1501" s="122">
        <f>TEXT(F1501,"0")&amp;TEXT(G1501,"0")&amp;TEXT(H1501,"0")</f>
        <v/>
      </c>
      <c r="J1501" s="122">
        <f>IFERROR(XLOOKUP(I1501,'Segment Map'!A:A,'Segment Map'!B:B,"Need Attention"),"Need Attention")</f>
        <v/>
      </c>
      <c r="K1501" s="122">
        <f>IF(E1501&gt;=5000,"🏆 Platinum",IF(E1501&gt;=2000,"🥇 Gold",IF(E1501&gt;=800,"🥈 Silver","🥉 Bronze")))</f>
        <v/>
      </c>
      <c r="L1501" s="125" t="n">
        <v>40668</v>
      </c>
    </row>
    <row r="1502">
      <c r="A1502" s="126" t="n">
        <v>14395</v>
      </c>
      <c r="B1502" s="126" t="inlineStr">
        <is>
          <t>United Kingdom</t>
        </is>
      </c>
      <c r="C1502" s="126" t="n">
        <v>3</v>
      </c>
      <c r="D1502" s="126" t="n">
        <v>9</v>
      </c>
      <c r="E1502" s="127" t="n">
        <v>3507.71</v>
      </c>
      <c r="F1502" s="128">
        <f>IF(C1502&lt;=30,5,IF(C1502&lt;=60,4,IF(C1502&lt;=120,3,IF(C1502&lt;=200,2,1))))</f>
        <v/>
      </c>
      <c r="G1502" s="128">
        <f>IF(D1502&gt;=20,5,IF(D1502&gt;=10,4,IF(D1502&gt;=5,3,IF(D1502&gt;=2,2,1))))</f>
        <v/>
      </c>
      <c r="H1502" s="128">
        <f>IF(E1502&gt;=5000,5,IF(E1502&gt;=2000,4,IF(E1502&gt;=800,3,IF(E1502&gt;=300,2,1))))</f>
        <v/>
      </c>
      <c r="I1502" s="126">
        <f>TEXT(F1502,"0")&amp;TEXT(G1502,"0")&amp;TEXT(H1502,"0")</f>
        <v/>
      </c>
      <c r="J1502" s="126">
        <f>IFERROR(XLOOKUP(I1502,'Segment Map'!A:A,'Segment Map'!B:B,"Need Attention"),"Need Attention")</f>
        <v/>
      </c>
      <c r="K1502" s="126">
        <f>IF(E1502&gt;=5000,"🏆 Platinum",IF(E1502&gt;=2000,"🥇 Gold",IF(E1502&gt;=800,"🥈 Silver","🥉 Bronze")))</f>
        <v/>
      </c>
      <c r="L1502" s="129" t="n">
        <v>40884</v>
      </c>
    </row>
    <row r="1503">
      <c r="A1503" s="122" t="n">
        <v>14396</v>
      </c>
      <c r="B1503" s="122" t="inlineStr">
        <is>
          <t>United Kingdom</t>
        </is>
      </c>
      <c r="C1503" s="122" t="n">
        <v>66</v>
      </c>
      <c r="D1503" s="122" t="n">
        <v>2</v>
      </c>
      <c r="E1503" s="123" t="n">
        <v>487.99</v>
      </c>
      <c r="F1503" s="124">
        <f>IF(C1503&lt;=30,5,IF(C1503&lt;=60,4,IF(C1503&lt;=120,3,IF(C1503&lt;=200,2,1))))</f>
        <v/>
      </c>
      <c r="G1503" s="124">
        <f>IF(D1503&gt;=20,5,IF(D1503&gt;=10,4,IF(D1503&gt;=5,3,IF(D1503&gt;=2,2,1))))</f>
        <v/>
      </c>
      <c r="H1503" s="124">
        <f>IF(E1503&gt;=5000,5,IF(E1503&gt;=2000,4,IF(E1503&gt;=800,3,IF(E1503&gt;=300,2,1))))</f>
        <v/>
      </c>
      <c r="I1503" s="122">
        <f>TEXT(F1503,"0")&amp;TEXT(G1503,"0")&amp;TEXT(H1503,"0")</f>
        <v/>
      </c>
      <c r="J1503" s="122">
        <f>IFERROR(XLOOKUP(I1503,'Segment Map'!A:A,'Segment Map'!B:B,"Need Attention"),"Need Attention")</f>
        <v/>
      </c>
      <c r="K1503" s="122">
        <f>IF(E1503&gt;=5000,"🏆 Platinum",IF(E1503&gt;=2000,"🥇 Gold",IF(E1503&gt;=800,"🥈 Silver","🥉 Bronze")))</f>
        <v/>
      </c>
      <c r="L1503" s="125" t="n">
        <v>40821</v>
      </c>
    </row>
    <row r="1504">
      <c r="A1504" s="126" t="n">
        <v>14397</v>
      </c>
      <c r="B1504" s="126" t="inlineStr">
        <is>
          <t>United Kingdom</t>
        </is>
      </c>
      <c r="C1504" s="126" t="n">
        <v>3</v>
      </c>
      <c r="D1504" s="126" t="n">
        <v>19</v>
      </c>
      <c r="E1504" s="127" t="n">
        <v>2612.96</v>
      </c>
      <c r="F1504" s="128">
        <f>IF(C1504&lt;=30,5,IF(C1504&lt;=60,4,IF(C1504&lt;=120,3,IF(C1504&lt;=200,2,1))))</f>
        <v/>
      </c>
      <c r="G1504" s="128">
        <f>IF(D1504&gt;=20,5,IF(D1504&gt;=10,4,IF(D1504&gt;=5,3,IF(D1504&gt;=2,2,1))))</f>
        <v/>
      </c>
      <c r="H1504" s="128">
        <f>IF(E1504&gt;=5000,5,IF(E1504&gt;=2000,4,IF(E1504&gt;=800,3,IF(E1504&gt;=300,2,1))))</f>
        <v/>
      </c>
      <c r="I1504" s="126">
        <f>TEXT(F1504,"0")&amp;TEXT(G1504,"0")&amp;TEXT(H1504,"0")</f>
        <v/>
      </c>
      <c r="J1504" s="126">
        <f>IFERROR(XLOOKUP(I1504,'Segment Map'!A:A,'Segment Map'!B:B,"Need Attention"),"Need Attention")</f>
        <v/>
      </c>
      <c r="K1504" s="126">
        <f>IF(E1504&gt;=5000,"🏆 Platinum",IF(E1504&gt;=2000,"🥇 Gold",IF(E1504&gt;=800,"🥈 Silver","🥉 Bronze")))</f>
        <v/>
      </c>
      <c r="L1504" s="129" t="n">
        <v>40884</v>
      </c>
    </row>
    <row r="1505">
      <c r="A1505" s="122" t="n">
        <v>14400</v>
      </c>
      <c r="B1505" s="122" t="inlineStr">
        <is>
          <t>United Kingdom</t>
        </is>
      </c>
      <c r="C1505" s="122" t="n">
        <v>150</v>
      </c>
      <c r="D1505" s="122" t="n">
        <v>1</v>
      </c>
      <c r="E1505" s="123" t="n">
        <v>574.7</v>
      </c>
      <c r="F1505" s="124">
        <f>IF(C1505&lt;=30,5,IF(C1505&lt;=60,4,IF(C1505&lt;=120,3,IF(C1505&lt;=200,2,1))))</f>
        <v/>
      </c>
      <c r="G1505" s="124">
        <f>IF(D1505&gt;=20,5,IF(D1505&gt;=10,4,IF(D1505&gt;=5,3,IF(D1505&gt;=2,2,1))))</f>
        <v/>
      </c>
      <c r="H1505" s="124">
        <f>IF(E1505&gt;=5000,5,IF(E1505&gt;=2000,4,IF(E1505&gt;=800,3,IF(E1505&gt;=300,2,1))))</f>
        <v/>
      </c>
      <c r="I1505" s="122">
        <f>TEXT(F1505,"0")&amp;TEXT(G1505,"0")&amp;TEXT(H1505,"0")</f>
        <v/>
      </c>
      <c r="J1505" s="122">
        <f>IFERROR(XLOOKUP(I1505,'Segment Map'!A:A,'Segment Map'!B:B,"Need Attention"),"Need Attention")</f>
        <v/>
      </c>
      <c r="K1505" s="122">
        <f>IF(E1505&gt;=5000,"🏆 Platinum",IF(E1505&gt;=2000,"🥇 Gold",IF(E1505&gt;=800,"🥈 Silver","🥉 Bronze")))</f>
        <v/>
      </c>
      <c r="L1505" s="125" t="n">
        <v>40737</v>
      </c>
    </row>
    <row r="1506">
      <c r="A1506" s="126" t="n">
        <v>14401</v>
      </c>
      <c r="B1506" s="126" t="inlineStr">
        <is>
          <t>United Kingdom</t>
        </is>
      </c>
      <c r="C1506" s="126" t="n">
        <v>5</v>
      </c>
      <c r="D1506" s="126" t="n">
        <v>13</v>
      </c>
      <c r="E1506" s="127" t="n">
        <v>4051.48</v>
      </c>
      <c r="F1506" s="128">
        <f>IF(C1506&lt;=30,5,IF(C1506&lt;=60,4,IF(C1506&lt;=120,3,IF(C1506&lt;=200,2,1))))</f>
        <v/>
      </c>
      <c r="G1506" s="128">
        <f>IF(D1506&gt;=20,5,IF(D1506&gt;=10,4,IF(D1506&gt;=5,3,IF(D1506&gt;=2,2,1))))</f>
        <v/>
      </c>
      <c r="H1506" s="128">
        <f>IF(E1506&gt;=5000,5,IF(E1506&gt;=2000,4,IF(E1506&gt;=800,3,IF(E1506&gt;=300,2,1))))</f>
        <v/>
      </c>
      <c r="I1506" s="126">
        <f>TEXT(F1506,"0")&amp;TEXT(G1506,"0")&amp;TEXT(H1506,"0")</f>
        <v/>
      </c>
      <c r="J1506" s="126">
        <f>IFERROR(XLOOKUP(I1506,'Segment Map'!A:A,'Segment Map'!B:B,"Need Attention"),"Need Attention")</f>
        <v/>
      </c>
      <c r="K1506" s="126">
        <f>IF(E1506&gt;=5000,"🏆 Platinum",IF(E1506&gt;=2000,"🥇 Gold",IF(E1506&gt;=800,"🥈 Silver","🥉 Bronze")))</f>
        <v/>
      </c>
      <c r="L1506" s="129" t="n">
        <v>40882</v>
      </c>
    </row>
    <row r="1507">
      <c r="A1507" s="122" t="n">
        <v>14403</v>
      </c>
      <c r="B1507" s="122" t="inlineStr">
        <is>
          <t>United Kingdom</t>
        </is>
      </c>
      <c r="C1507" s="122" t="n">
        <v>131</v>
      </c>
      <c r="D1507" s="122" t="n">
        <v>4</v>
      </c>
      <c r="E1507" s="123" t="n">
        <v>1475.81</v>
      </c>
      <c r="F1507" s="124">
        <f>IF(C1507&lt;=30,5,IF(C1507&lt;=60,4,IF(C1507&lt;=120,3,IF(C1507&lt;=200,2,1))))</f>
        <v/>
      </c>
      <c r="G1507" s="124">
        <f>IF(D1507&gt;=20,5,IF(D1507&gt;=10,4,IF(D1507&gt;=5,3,IF(D1507&gt;=2,2,1))))</f>
        <v/>
      </c>
      <c r="H1507" s="124">
        <f>IF(E1507&gt;=5000,5,IF(E1507&gt;=2000,4,IF(E1507&gt;=800,3,IF(E1507&gt;=300,2,1))))</f>
        <v/>
      </c>
      <c r="I1507" s="122">
        <f>TEXT(F1507,"0")&amp;TEXT(G1507,"0")&amp;TEXT(H1507,"0")</f>
        <v/>
      </c>
      <c r="J1507" s="122">
        <f>IFERROR(XLOOKUP(I1507,'Segment Map'!A:A,'Segment Map'!B:B,"Need Attention"),"Need Attention")</f>
        <v/>
      </c>
      <c r="K1507" s="122">
        <f>IF(E1507&gt;=5000,"🏆 Platinum",IF(E1507&gt;=2000,"🥇 Gold",IF(E1507&gt;=800,"🥈 Silver","🥉 Bronze")))</f>
        <v/>
      </c>
      <c r="L1507" s="125" t="n">
        <v>40756</v>
      </c>
    </row>
    <row r="1508">
      <c r="A1508" s="126" t="n">
        <v>14404</v>
      </c>
      <c r="B1508" s="126" t="inlineStr">
        <is>
          <t>United Kingdom</t>
        </is>
      </c>
      <c r="C1508" s="126" t="n">
        <v>34</v>
      </c>
      <c r="D1508" s="126" t="n">
        <v>6</v>
      </c>
      <c r="E1508" s="127" t="n">
        <v>1474.32</v>
      </c>
      <c r="F1508" s="128">
        <f>IF(C1508&lt;=30,5,IF(C1508&lt;=60,4,IF(C1508&lt;=120,3,IF(C1508&lt;=200,2,1))))</f>
        <v/>
      </c>
      <c r="G1508" s="128">
        <f>IF(D1508&gt;=20,5,IF(D1508&gt;=10,4,IF(D1508&gt;=5,3,IF(D1508&gt;=2,2,1))))</f>
        <v/>
      </c>
      <c r="H1508" s="128">
        <f>IF(E1508&gt;=5000,5,IF(E1508&gt;=2000,4,IF(E1508&gt;=800,3,IF(E1508&gt;=300,2,1))))</f>
        <v/>
      </c>
      <c r="I1508" s="126">
        <f>TEXT(F1508,"0")&amp;TEXT(G1508,"0")&amp;TEXT(H1508,"0")</f>
        <v/>
      </c>
      <c r="J1508" s="126">
        <f>IFERROR(XLOOKUP(I1508,'Segment Map'!A:A,'Segment Map'!B:B,"Need Attention"),"Need Attention")</f>
        <v/>
      </c>
      <c r="K1508" s="126">
        <f>IF(E1508&gt;=5000,"🏆 Platinum",IF(E1508&gt;=2000,"🥇 Gold",IF(E1508&gt;=800,"🥈 Silver","🥉 Bronze")))</f>
        <v/>
      </c>
      <c r="L1508" s="129" t="n">
        <v>40853</v>
      </c>
    </row>
    <row r="1509">
      <c r="A1509" s="122" t="n">
        <v>14406</v>
      </c>
      <c r="B1509" s="122" t="inlineStr">
        <is>
          <t>United Kingdom</t>
        </is>
      </c>
      <c r="C1509" s="122" t="n">
        <v>120</v>
      </c>
      <c r="D1509" s="122" t="n">
        <v>1</v>
      </c>
      <c r="E1509" s="123" t="n">
        <v>156.75</v>
      </c>
      <c r="F1509" s="124">
        <f>IF(C1509&lt;=30,5,IF(C1509&lt;=60,4,IF(C1509&lt;=120,3,IF(C1509&lt;=200,2,1))))</f>
        <v/>
      </c>
      <c r="G1509" s="124">
        <f>IF(D1509&gt;=20,5,IF(D1509&gt;=10,4,IF(D1509&gt;=5,3,IF(D1509&gt;=2,2,1))))</f>
        <v/>
      </c>
      <c r="H1509" s="124">
        <f>IF(E1509&gt;=5000,5,IF(E1509&gt;=2000,4,IF(E1509&gt;=800,3,IF(E1509&gt;=300,2,1))))</f>
        <v/>
      </c>
      <c r="I1509" s="122">
        <f>TEXT(F1509,"0")&amp;TEXT(G1509,"0")&amp;TEXT(H1509,"0")</f>
        <v/>
      </c>
      <c r="J1509" s="122">
        <f>IFERROR(XLOOKUP(I1509,'Segment Map'!A:A,'Segment Map'!B:B,"Need Attention"),"Need Attention")</f>
        <v/>
      </c>
      <c r="K1509" s="122">
        <f>IF(E1509&gt;=5000,"🏆 Platinum",IF(E1509&gt;=2000,"🥇 Gold",IF(E1509&gt;=800,"🥈 Silver","🥉 Bronze")))</f>
        <v/>
      </c>
      <c r="L1509" s="125" t="n">
        <v>40767</v>
      </c>
    </row>
    <row r="1510">
      <c r="A1510" s="126" t="n">
        <v>14407</v>
      </c>
      <c r="B1510" s="126" t="inlineStr">
        <is>
          <t>United Kingdom</t>
        </is>
      </c>
      <c r="C1510" s="126" t="n">
        <v>108</v>
      </c>
      <c r="D1510" s="126" t="n">
        <v>6</v>
      </c>
      <c r="E1510" s="127" t="n">
        <v>2157.73</v>
      </c>
      <c r="F1510" s="128">
        <f>IF(C1510&lt;=30,5,IF(C1510&lt;=60,4,IF(C1510&lt;=120,3,IF(C1510&lt;=200,2,1))))</f>
        <v/>
      </c>
      <c r="G1510" s="128">
        <f>IF(D1510&gt;=20,5,IF(D1510&gt;=10,4,IF(D1510&gt;=5,3,IF(D1510&gt;=2,2,1))))</f>
        <v/>
      </c>
      <c r="H1510" s="128">
        <f>IF(E1510&gt;=5000,5,IF(E1510&gt;=2000,4,IF(E1510&gt;=800,3,IF(E1510&gt;=300,2,1))))</f>
        <v/>
      </c>
      <c r="I1510" s="126">
        <f>TEXT(F1510,"0")&amp;TEXT(G1510,"0")&amp;TEXT(H1510,"0")</f>
        <v/>
      </c>
      <c r="J1510" s="126">
        <f>IFERROR(XLOOKUP(I1510,'Segment Map'!A:A,'Segment Map'!B:B,"Need Attention"),"Need Attention")</f>
        <v/>
      </c>
      <c r="K1510" s="126">
        <f>IF(E1510&gt;=5000,"🏆 Platinum",IF(E1510&gt;=2000,"🥇 Gold",IF(E1510&gt;=800,"🥈 Silver","🥉 Bronze")))</f>
        <v/>
      </c>
      <c r="L1510" s="129" t="n">
        <v>40779</v>
      </c>
    </row>
    <row r="1511">
      <c r="A1511" s="122" t="n">
        <v>14408</v>
      </c>
      <c r="B1511" s="122" t="inlineStr">
        <is>
          <t>United Kingdom</t>
        </is>
      </c>
      <c r="C1511" s="122" t="n">
        <v>11</v>
      </c>
      <c r="D1511" s="122" t="n">
        <v>7</v>
      </c>
      <c r="E1511" s="123" t="n">
        <v>2606.53</v>
      </c>
      <c r="F1511" s="124">
        <f>IF(C1511&lt;=30,5,IF(C1511&lt;=60,4,IF(C1511&lt;=120,3,IF(C1511&lt;=200,2,1))))</f>
        <v/>
      </c>
      <c r="G1511" s="124">
        <f>IF(D1511&gt;=20,5,IF(D1511&gt;=10,4,IF(D1511&gt;=5,3,IF(D1511&gt;=2,2,1))))</f>
        <v/>
      </c>
      <c r="H1511" s="124">
        <f>IF(E1511&gt;=5000,5,IF(E1511&gt;=2000,4,IF(E1511&gt;=800,3,IF(E1511&gt;=300,2,1))))</f>
        <v/>
      </c>
      <c r="I1511" s="122">
        <f>TEXT(F1511,"0")&amp;TEXT(G1511,"0")&amp;TEXT(H1511,"0")</f>
        <v/>
      </c>
      <c r="J1511" s="122">
        <f>IFERROR(XLOOKUP(I1511,'Segment Map'!A:A,'Segment Map'!B:B,"Need Attention"),"Need Attention")</f>
        <v/>
      </c>
      <c r="K1511" s="122">
        <f>IF(E1511&gt;=5000,"🏆 Platinum",IF(E1511&gt;=2000,"🥇 Gold",IF(E1511&gt;=800,"🥈 Silver","🥉 Bronze")))</f>
        <v/>
      </c>
      <c r="L1511" s="125" t="n">
        <v>40876</v>
      </c>
    </row>
    <row r="1512">
      <c r="A1512" s="126" t="n">
        <v>14409</v>
      </c>
      <c r="B1512" s="126" t="inlineStr">
        <is>
          <t>United Kingdom</t>
        </is>
      </c>
      <c r="C1512" s="126" t="n">
        <v>72</v>
      </c>
      <c r="D1512" s="126" t="n">
        <v>6</v>
      </c>
      <c r="E1512" s="127" t="n">
        <v>2059.45</v>
      </c>
      <c r="F1512" s="128">
        <f>IF(C1512&lt;=30,5,IF(C1512&lt;=60,4,IF(C1512&lt;=120,3,IF(C1512&lt;=200,2,1))))</f>
        <v/>
      </c>
      <c r="G1512" s="128">
        <f>IF(D1512&gt;=20,5,IF(D1512&gt;=10,4,IF(D1512&gt;=5,3,IF(D1512&gt;=2,2,1))))</f>
        <v/>
      </c>
      <c r="H1512" s="128">
        <f>IF(E1512&gt;=5000,5,IF(E1512&gt;=2000,4,IF(E1512&gt;=800,3,IF(E1512&gt;=300,2,1))))</f>
        <v/>
      </c>
      <c r="I1512" s="126">
        <f>TEXT(F1512,"0")&amp;TEXT(G1512,"0")&amp;TEXT(H1512,"0")</f>
        <v/>
      </c>
      <c r="J1512" s="126">
        <f>IFERROR(XLOOKUP(I1512,'Segment Map'!A:A,'Segment Map'!B:B,"Need Attention"),"Need Attention")</f>
        <v/>
      </c>
      <c r="K1512" s="126">
        <f>IF(E1512&gt;=5000,"🏆 Platinum",IF(E1512&gt;=2000,"🥇 Gold",IF(E1512&gt;=800,"🥈 Silver","🥉 Bronze")))</f>
        <v/>
      </c>
      <c r="L1512" s="129" t="n">
        <v>40815</v>
      </c>
    </row>
    <row r="1513">
      <c r="A1513" s="122" t="n">
        <v>14410</v>
      </c>
      <c r="B1513" s="122" t="inlineStr">
        <is>
          <t>United Kingdom</t>
        </is>
      </c>
      <c r="C1513" s="122" t="n">
        <v>93</v>
      </c>
      <c r="D1513" s="122" t="n">
        <v>9</v>
      </c>
      <c r="E1513" s="123" t="n">
        <v>1105.07</v>
      </c>
      <c r="F1513" s="124">
        <f>IF(C1513&lt;=30,5,IF(C1513&lt;=60,4,IF(C1513&lt;=120,3,IF(C1513&lt;=200,2,1))))</f>
        <v/>
      </c>
      <c r="G1513" s="124">
        <f>IF(D1513&gt;=20,5,IF(D1513&gt;=10,4,IF(D1513&gt;=5,3,IF(D1513&gt;=2,2,1))))</f>
        <v/>
      </c>
      <c r="H1513" s="124">
        <f>IF(E1513&gt;=5000,5,IF(E1513&gt;=2000,4,IF(E1513&gt;=800,3,IF(E1513&gt;=300,2,1))))</f>
        <v/>
      </c>
      <c r="I1513" s="122">
        <f>TEXT(F1513,"0")&amp;TEXT(G1513,"0")&amp;TEXT(H1513,"0")</f>
        <v/>
      </c>
      <c r="J1513" s="122">
        <f>IFERROR(XLOOKUP(I1513,'Segment Map'!A:A,'Segment Map'!B:B,"Need Attention"),"Need Attention")</f>
        <v/>
      </c>
      <c r="K1513" s="122">
        <f>IF(E1513&gt;=5000,"🏆 Platinum",IF(E1513&gt;=2000,"🥇 Gold",IF(E1513&gt;=800,"🥈 Silver","🥉 Bronze")))</f>
        <v/>
      </c>
      <c r="L1513" s="125" t="n">
        <v>40794</v>
      </c>
    </row>
    <row r="1514">
      <c r="A1514" s="126" t="n">
        <v>14411</v>
      </c>
      <c r="B1514" s="126" t="inlineStr">
        <is>
          <t>United Kingdom</t>
        </is>
      </c>
      <c r="C1514" s="126" t="n">
        <v>311</v>
      </c>
      <c r="D1514" s="126" t="n">
        <v>1</v>
      </c>
      <c r="E1514" s="127" t="n">
        <v>1063</v>
      </c>
      <c r="F1514" s="128">
        <f>IF(C1514&lt;=30,5,IF(C1514&lt;=60,4,IF(C1514&lt;=120,3,IF(C1514&lt;=200,2,1))))</f>
        <v/>
      </c>
      <c r="G1514" s="128">
        <f>IF(D1514&gt;=20,5,IF(D1514&gt;=10,4,IF(D1514&gt;=5,3,IF(D1514&gt;=2,2,1))))</f>
        <v/>
      </c>
      <c r="H1514" s="128">
        <f>IF(E1514&gt;=5000,5,IF(E1514&gt;=2000,4,IF(E1514&gt;=800,3,IF(E1514&gt;=300,2,1))))</f>
        <v/>
      </c>
      <c r="I1514" s="126">
        <f>TEXT(F1514,"0")&amp;TEXT(G1514,"0")&amp;TEXT(H1514,"0")</f>
        <v/>
      </c>
      <c r="J1514" s="126">
        <f>IFERROR(XLOOKUP(I1514,'Segment Map'!A:A,'Segment Map'!B:B,"Need Attention"),"Need Attention")</f>
        <v/>
      </c>
      <c r="K1514" s="126">
        <f>IF(E1514&gt;=5000,"🏆 Platinum",IF(E1514&gt;=2000,"🥇 Gold",IF(E1514&gt;=800,"🥈 Silver","🥉 Bronze")))</f>
        <v/>
      </c>
      <c r="L1514" s="129" t="n">
        <v>40576</v>
      </c>
    </row>
    <row r="1515">
      <c r="A1515" s="122" t="n">
        <v>14412</v>
      </c>
      <c r="B1515" s="122" t="inlineStr">
        <is>
          <t>United Kingdom</t>
        </is>
      </c>
      <c r="C1515" s="122" t="n">
        <v>43</v>
      </c>
      <c r="D1515" s="122" t="n">
        <v>2</v>
      </c>
      <c r="E1515" s="123" t="n">
        <v>770.03</v>
      </c>
      <c r="F1515" s="124">
        <f>IF(C1515&lt;=30,5,IF(C1515&lt;=60,4,IF(C1515&lt;=120,3,IF(C1515&lt;=200,2,1))))</f>
        <v/>
      </c>
      <c r="G1515" s="124">
        <f>IF(D1515&gt;=20,5,IF(D1515&gt;=10,4,IF(D1515&gt;=5,3,IF(D1515&gt;=2,2,1))))</f>
        <v/>
      </c>
      <c r="H1515" s="124">
        <f>IF(E1515&gt;=5000,5,IF(E1515&gt;=2000,4,IF(E1515&gt;=800,3,IF(E1515&gt;=300,2,1))))</f>
        <v/>
      </c>
      <c r="I1515" s="122">
        <f>TEXT(F1515,"0")&amp;TEXT(G1515,"0")&amp;TEXT(H1515,"0")</f>
        <v/>
      </c>
      <c r="J1515" s="122">
        <f>IFERROR(XLOOKUP(I1515,'Segment Map'!A:A,'Segment Map'!B:B,"Need Attention"),"Need Attention")</f>
        <v/>
      </c>
      <c r="K1515" s="122">
        <f>IF(E1515&gt;=5000,"🏆 Platinum",IF(E1515&gt;=2000,"🥇 Gold",IF(E1515&gt;=800,"🥈 Silver","🥉 Bronze")))</f>
        <v/>
      </c>
      <c r="L1515" s="125" t="n">
        <v>40844</v>
      </c>
    </row>
    <row r="1516">
      <c r="A1516" s="126" t="n">
        <v>14413</v>
      </c>
      <c r="B1516" s="126" t="inlineStr">
        <is>
          <t>United Kingdom</t>
        </is>
      </c>
      <c r="C1516" s="126" t="n">
        <v>363</v>
      </c>
      <c r="D1516" s="126" t="n">
        <v>1</v>
      </c>
      <c r="E1516" s="127" t="n">
        <v>122.7</v>
      </c>
      <c r="F1516" s="128">
        <f>IF(C1516&lt;=30,5,IF(C1516&lt;=60,4,IF(C1516&lt;=120,3,IF(C1516&lt;=200,2,1))))</f>
        <v/>
      </c>
      <c r="G1516" s="128">
        <f>IF(D1516&gt;=20,5,IF(D1516&gt;=10,4,IF(D1516&gt;=5,3,IF(D1516&gt;=2,2,1))))</f>
        <v/>
      </c>
      <c r="H1516" s="128">
        <f>IF(E1516&gt;=5000,5,IF(E1516&gt;=2000,4,IF(E1516&gt;=800,3,IF(E1516&gt;=300,2,1))))</f>
        <v/>
      </c>
      <c r="I1516" s="126">
        <f>TEXT(F1516,"0")&amp;TEXT(G1516,"0")&amp;TEXT(H1516,"0")</f>
        <v/>
      </c>
      <c r="J1516" s="126">
        <f>IFERROR(XLOOKUP(I1516,'Segment Map'!A:A,'Segment Map'!B:B,"Need Attention"),"Need Attention")</f>
        <v/>
      </c>
      <c r="K1516" s="126">
        <f>IF(E1516&gt;=5000,"🏆 Platinum",IF(E1516&gt;=2000,"🥇 Gold",IF(E1516&gt;=800,"🥈 Silver","🥉 Bronze")))</f>
        <v/>
      </c>
      <c r="L1516" s="129" t="n">
        <v>40524</v>
      </c>
    </row>
    <row r="1517">
      <c r="A1517" s="122" t="n">
        <v>14414</v>
      </c>
      <c r="B1517" s="122" t="inlineStr">
        <is>
          <t>United Kingdom</t>
        </is>
      </c>
      <c r="C1517" s="122" t="n">
        <v>92</v>
      </c>
      <c r="D1517" s="122" t="n">
        <v>7</v>
      </c>
      <c r="E1517" s="123" t="n">
        <v>1496.98</v>
      </c>
      <c r="F1517" s="124">
        <f>IF(C1517&lt;=30,5,IF(C1517&lt;=60,4,IF(C1517&lt;=120,3,IF(C1517&lt;=200,2,1))))</f>
        <v/>
      </c>
      <c r="G1517" s="124">
        <f>IF(D1517&gt;=20,5,IF(D1517&gt;=10,4,IF(D1517&gt;=5,3,IF(D1517&gt;=2,2,1))))</f>
        <v/>
      </c>
      <c r="H1517" s="124">
        <f>IF(E1517&gt;=5000,5,IF(E1517&gt;=2000,4,IF(E1517&gt;=800,3,IF(E1517&gt;=300,2,1))))</f>
        <v/>
      </c>
      <c r="I1517" s="122">
        <f>TEXT(F1517,"0")&amp;TEXT(G1517,"0")&amp;TEXT(H1517,"0")</f>
        <v/>
      </c>
      <c r="J1517" s="122">
        <f>IFERROR(XLOOKUP(I1517,'Segment Map'!A:A,'Segment Map'!B:B,"Need Attention"),"Need Attention")</f>
        <v/>
      </c>
      <c r="K1517" s="122">
        <f>IF(E1517&gt;=5000,"🏆 Platinum",IF(E1517&gt;=2000,"🥇 Gold",IF(E1517&gt;=800,"🥈 Silver","🥉 Bronze")))</f>
        <v/>
      </c>
      <c r="L1517" s="125" t="n">
        <v>40795</v>
      </c>
    </row>
    <row r="1518">
      <c r="A1518" s="126" t="n">
        <v>14415</v>
      </c>
      <c r="B1518" s="126" t="inlineStr">
        <is>
          <t>United Kingdom</t>
        </is>
      </c>
      <c r="C1518" s="126" t="n">
        <v>2</v>
      </c>
      <c r="D1518" s="126" t="n">
        <v>13</v>
      </c>
      <c r="E1518" s="127" t="n">
        <v>5900.28</v>
      </c>
      <c r="F1518" s="128">
        <f>IF(C1518&lt;=30,5,IF(C1518&lt;=60,4,IF(C1518&lt;=120,3,IF(C1518&lt;=200,2,1))))</f>
        <v/>
      </c>
      <c r="G1518" s="128">
        <f>IF(D1518&gt;=20,5,IF(D1518&gt;=10,4,IF(D1518&gt;=5,3,IF(D1518&gt;=2,2,1))))</f>
        <v/>
      </c>
      <c r="H1518" s="128">
        <f>IF(E1518&gt;=5000,5,IF(E1518&gt;=2000,4,IF(E1518&gt;=800,3,IF(E1518&gt;=300,2,1))))</f>
        <v/>
      </c>
      <c r="I1518" s="126">
        <f>TEXT(F1518,"0")&amp;TEXT(G1518,"0")&amp;TEXT(H1518,"0")</f>
        <v/>
      </c>
      <c r="J1518" s="126">
        <f>IFERROR(XLOOKUP(I1518,'Segment Map'!A:A,'Segment Map'!B:B,"Need Attention"),"Need Attention")</f>
        <v/>
      </c>
      <c r="K1518" s="126">
        <f>IF(E1518&gt;=5000,"🏆 Platinum",IF(E1518&gt;=2000,"🥇 Gold",IF(E1518&gt;=800,"🥈 Silver","🥉 Bronze")))</f>
        <v/>
      </c>
      <c r="L1518" s="129" t="n">
        <v>40885</v>
      </c>
    </row>
    <row r="1519">
      <c r="A1519" s="122" t="n">
        <v>14416</v>
      </c>
      <c r="B1519" s="122" t="inlineStr">
        <is>
          <t>United Kingdom</t>
        </is>
      </c>
      <c r="C1519" s="122" t="n">
        <v>23</v>
      </c>
      <c r="D1519" s="122" t="n">
        <v>2</v>
      </c>
      <c r="E1519" s="123" t="n">
        <v>490.22</v>
      </c>
      <c r="F1519" s="124">
        <f>IF(C1519&lt;=30,5,IF(C1519&lt;=60,4,IF(C1519&lt;=120,3,IF(C1519&lt;=200,2,1))))</f>
        <v/>
      </c>
      <c r="G1519" s="124">
        <f>IF(D1519&gt;=20,5,IF(D1519&gt;=10,4,IF(D1519&gt;=5,3,IF(D1519&gt;=2,2,1))))</f>
        <v/>
      </c>
      <c r="H1519" s="124">
        <f>IF(E1519&gt;=5000,5,IF(E1519&gt;=2000,4,IF(E1519&gt;=800,3,IF(E1519&gt;=300,2,1))))</f>
        <v/>
      </c>
      <c r="I1519" s="122">
        <f>TEXT(F1519,"0")&amp;TEXT(G1519,"0")&amp;TEXT(H1519,"0")</f>
        <v/>
      </c>
      <c r="J1519" s="122">
        <f>IFERROR(XLOOKUP(I1519,'Segment Map'!A:A,'Segment Map'!B:B,"Need Attention"),"Need Attention")</f>
        <v/>
      </c>
      <c r="K1519" s="122">
        <f>IF(E1519&gt;=5000,"🏆 Platinum",IF(E1519&gt;=2000,"🥇 Gold",IF(E1519&gt;=800,"🥈 Silver","🥉 Bronze")))</f>
        <v/>
      </c>
      <c r="L1519" s="125" t="n">
        <v>40864</v>
      </c>
    </row>
    <row r="1520">
      <c r="A1520" s="126" t="n">
        <v>14418</v>
      </c>
      <c r="B1520" s="126" t="inlineStr">
        <is>
          <t>United Kingdom</t>
        </is>
      </c>
      <c r="C1520" s="126" t="n">
        <v>4</v>
      </c>
      <c r="D1520" s="126" t="n">
        <v>3</v>
      </c>
      <c r="E1520" s="127" t="n">
        <v>1937.25</v>
      </c>
      <c r="F1520" s="128">
        <f>IF(C1520&lt;=30,5,IF(C1520&lt;=60,4,IF(C1520&lt;=120,3,IF(C1520&lt;=200,2,1))))</f>
        <v/>
      </c>
      <c r="G1520" s="128">
        <f>IF(D1520&gt;=20,5,IF(D1520&gt;=10,4,IF(D1520&gt;=5,3,IF(D1520&gt;=2,2,1))))</f>
        <v/>
      </c>
      <c r="H1520" s="128">
        <f>IF(E1520&gt;=5000,5,IF(E1520&gt;=2000,4,IF(E1520&gt;=800,3,IF(E1520&gt;=300,2,1))))</f>
        <v/>
      </c>
      <c r="I1520" s="126">
        <f>TEXT(F1520,"0")&amp;TEXT(G1520,"0")&amp;TEXT(H1520,"0")</f>
        <v/>
      </c>
      <c r="J1520" s="126">
        <f>IFERROR(XLOOKUP(I1520,'Segment Map'!A:A,'Segment Map'!B:B,"Need Attention"),"Need Attention")</f>
        <v/>
      </c>
      <c r="K1520" s="126">
        <f>IF(E1520&gt;=5000,"🏆 Platinum",IF(E1520&gt;=2000,"🥇 Gold",IF(E1520&gt;=800,"🥈 Silver","🥉 Bronze")))</f>
        <v/>
      </c>
      <c r="L1520" s="129" t="n">
        <v>40883</v>
      </c>
    </row>
    <row r="1521">
      <c r="A1521" s="122" t="n">
        <v>14419</v>
      </c>
      <c r="B1521" s="122" t="inlineStr">
        <is>
          <t>United Kingdom</t>
        </is>
      </c>
      <c r="C1521" s="122" t="n">
        <v>11</v>
      </c>
      <c r="D1521" s="122" t="n">
        <v>6</v>
      </c>
      <c r="E1521" s="123" t="n">
        <v>1058.06</v>
      </c>
      <c r="F1521" s="124">
        <f>IF(C1521&lt;=30,5,IF(C1521&lt;=60,4,IF(C1521&lt;=120,3,IF(C1521&lt;=200,2,1))))</f>
        <v/>
      </c>
      <c r="G1521" s="124">
        <f>IF(D1521&gt;=20,5,IF(D1521&gt;=10,4,IF(D1521&gt;=5,3,IF(D1521&gt;=2,2,1))))</f>
        <v/>
      </c>
      <c r="H1521" s="124">
        <f>IF(E1521&gt;=5000,5,IF(E1521&gt;=2000,4,IF(E1521&gt;=800,3,IF(E1521&gt;=300,2,1))))</f>
        <v/>
      </c>
      <c r="I1521" s="122">
        <f>TEXT(F1521,"0")&amp;TEXT(G1521,"0")&amp;TEXT(H1521,"0")</f>
        <v/>
      </c>
      <c r="J1521" s="122">
        <f>IFERROR(XLOOKUP(I1521,'Segment Map'!A:A,'Segment Map'!B:B,"Need Attention"),"Need Attention")</f>
        <v/>
      </c>
      <c r="K1521" s="122">
        <f>IF(E1521&gt;=5000,"🏆 Platinum",IF(E1521&gt;=2000,"🥇 Gold",IF(E1521&gt;=800,"🥈 Silver","🥉 Bronze")))</f>
        <v/>
      </c>
      <c r="L1521" s="125" t="n">
        <v>40876</v>
      </c>
    </row>
    <row r="1522">
      <c r="A1522" s="126" t="n">
        <v>14420</v>
      </c>
      <c r="B1522" s="126" t="inlineStr">
        <is>
          <t>United Kingdom</t>
        </is>
      </c>
      <c r="C1522" s="126" t="n">
        <v>100</v>
      </c>
      <c r="D1522" s="126" t="n">
        <v>1</v>
      </c>
      <c r="E1522" s="127" t="n">
        <v>387.52</v>
      </c>
      <c r="F1522" s="128">
        <f>IF(C1522&lt;=30,5,IF(C1522&lt;=60,4,IF(C1522&lt;=120,3,IF(C1522&lt;=200,2,1))))</f>
        <v/>
      </c>
      <c r="G1522" s="128">
        <f>IF(D1522&gt;=20,5,IF(D1522&gt;=10,4,IF(D1522&gt;=5,3,IF(D1522&gt;=2,2,1))))</f>
        <v/>
      </c>
      <c r="H1522" s="128">
        <f>IF(E1522&gt;=5000,5,IF(E1522&gt;=2000,4,IF(E1522&gt;=800,3,IF(E1522&gt;=300,2,1))))</f>
        <v/>
      </c>
      <c r="I1522" s="126">
        <f>TEXT(F1522,"0")&amp;TEXT(G1522,"0")&amp;TEXT(H1522,"0")</f>
        <v/>
      </c>
      <c r="J1522" s="126">
        <f>IFERROR(XLOOKUP(I1522,'Segment Map'!A:A,'Segment Map'!B:B,"Need Attention"),"Need Attention")</f>
        <v/>
      </c>
      <c r="K1522" s="126">
        <f>IF(E1522&gt;=5000,"🏆 Platinum",IF(E1522&gt;=2000,"🥇 Gold",IF(E1522&gt;=800,"🥈 Silver","🥉 Bronze")))</f>
        <v/>
      </c>
      <c r="L1522" s="129" t="n">
        <v>40787</v>
      </c>
    </row>
    <row r="1523">
      <c r="A1523" s="122" t="n">
        <v>14421</v>
      </c>
      <c r="B1523" s="122" t="inlineStr">
        <is>
          <t>United Kingdom</t>
        </is>
      </c>
      <c r="C1523" s="122" t="n">
        <v>58</v>
      </c>
      <c r="D1523" s="122" t="n">
        <v>2</v>
      </c>
      <c r="E1523" s="123" t="n">
        <v>813.11</v>
      </c>
      <c r="F1523" s="124">
        <f>IF(C1523&lt;=30,5,IF(C1523&lt;=60,4,IF(C1523&lt;=120,3,IF(C1523&lt;=200,2,1))))</f>
        <v/>
      </c>
      <c r="G1523" s="124">
        <f>IF(D1523&gt;=20,5,IF(D1523&gt;=10,4,IF(D1523&gt;=5,3,IF(D1523&gt;=2,2,1))))</f>
        <v/>
      </c>
      <c r="H1523" s="124">
        <f>IF(E1523&gt;=5000,5,IF(E1523&gt;=2000,4,IF(E1523&gt;=800,3,IF(E1523&gt;=300,2,1))))</f>
        <v/>
      </c>
      <c r="I1523" s="122">
        <f>TEXT(F1523,"0")&amp;TEXT(G1523,"0")&amp;TEXT(H1523,"0")</f>
        <v/>
      </c>
      <c r="J1523" s="122">
        <f>IFERROR(XLOOKUP(I1523,'Segment Map'!A:A,'Segment Map'!B:B,"Need Attention"),"Need Attention")</f>
        <v/>
      </c>
      <c r="K1523" s="122">
        <f>IF(E1523&gt;=5000,"🏆 Platinum",IF(E1523&gt;=2000,"🥇 Gold",IF(E1523&gt;=800,"🥈 Silver","🥉 Bronze")))</f>
        <v/>
      </c>
      <c r="L1523" s="125" t="n">
        <v>40829</v>
      </c>
    </row>
    <row r="1524">
      <c r="A1524" s="126" t="n">
        <v>14422</v>
      </c>
      <c r="B1524" s="126" t="inlineStr">
        <is>
          <t>United Kingdom</t>
        </is>
      </c>
      <c r="C1524" s="126" t="n">
        <v>1</v>
      </c>
      <c r="D1524" s="126" t="n">
        <v>6</v>
      </c>
      <c r="E1524" s="127" t="n">
        <v>4263.64</v>
      </c>
      <c r="F1524" s="128">
        <f>IF(C1524&lt;=30,5,IF(C1524&lt;=60,4,IF(C1524&lt;=120,3,IF(C1524&lt;=200,2,1))))</f>
        <v/>
      </c>
      <c r="G1524" s="128">
        <f>IF(D1524&gt;=20,5,IF(D1524&gt;=10,4,IF(D1524&gt;=5,3,IF(D1524&gt;=2,2,1))))</f>
        <v/>
      </c>
      <c r="H1524" s="128">
        <f>IF(E1524&gt;=5000,5,IF(E1524&gt;=2000,4,IF(E1524&gt;=800,3,IF(E1524&gt;=300,2,1))))</f>
        <v/>
      </c>
      <c r="I1524" s="126">
        <f>TEXT(F1524,"0")&amp;TEXT(G1524,"0")&amp;TEXT(H1524,"0")</f>
        <v/>
      </c>
      <c r="J1524" s="126">
        <f>IFERROR(XLOOKUP(I1524,'Segment Map'!A:A,'Segment Map'!B:B,"Need Attention"),"Need Attention")</f>
        <v/>
      </c>
      <c r="K1524" s="126">
        <f>IF(E1524&gt;=5000,"🏆 Platinum",IF(E1524&gt;=2000,"🥇 Gold",IF(E1524&gt;=800,"🥈 Silver","🥉 Bronze")))</f>
        <v/>
      </c>
      <c r="L1524" s="129" t="n">
        <v>40886</v>
      </c>
    </row>
    <row r="1525">
      <c r="A1525" s="122" t="n">
        <v>14423</v>
      </c>
      <c r="B1525" s="122" t="inlineStr">
        <is>
          <t>United Kingdom</t>
        </is>
      </c>
      <c r="C1525" s="122" t="n">
        <v>219</v>
      </c>
      <c r="D1525" s="122" t="n">
        <v>1</v>
      </c>
      <c r="E1525" s="123" t="n">
        <v>265.2</v>
      </c>
      <c r="F1525" s="124">
        <f>IF(C1525&lt;=30,5,IF(C1525&lt;=60,4,IF(C1525&lt;=120,3,IF(C1525&lt;=200,2,1))))</f>
        <v/>
      </c>
      <c r="G1525" s="124">
        <f>IF(D1525&gt;=20,5,IF(D1525&gt;=10,4,IF(D1525&gt;=5,3,IF(D1525&gt;=2,2,1))))</f>
        <v/>
      </c>
      <c r="H1525" s="124">
        <f>IF(E1525&gt;=5000,5,IF(E1525&gt;=2000,4,IF(E1525&gt;=800,3,IF(E1525&gt;=300,2,1))))</f>
        <v/>
      </c>
      <c r="I1525" s="122">
        <f>TEXT(F1525,"0")&amp;TEXT(G1525,"0")&amp;TEXT(H1525,"0")</f>
        <v/>
      </c>
      <c r="J1525" s="122">
        <f>IFERROR(XLOOKUP(I1525,'Segment Map'!A:A,'Segment Map'!B:B,"Need Attention"),"Need Attention")</f>
        <v/>
      </c>
      <c r="K1525" s="122">
        <f>IF(E1525&gt;=5000,"🏆 Platinum",IF(E1525&gt;=2000,"🥇 Gold",IF(E1525&gt;=800,"🥈 Silver","🥉 Bronze")))</f>
        <v/>
      </c>
      <c r="L1525" s="125" t="n">
        <v>40668</v>
      </c>
    </row>
    <row r="1526">
      <c r="A1526" s="126" t="n">
        <v>14424</v>
      </c>
      <c r="B1526" s="126" t="inlineStr">
        <is>
          <t>United Kingdom</t>
        </is>
      </c>
      <c r="C1526" s="126" t="n">
        <v>18</v>
      </c>
      <c r="D1526" s="126" t="n">
        <v>1</v>
      </c>
      <c r="E1526" s="127" t="n">
        <v>322.08</v>
      </c>
      <c r="F1526" s="128">
        <f>IF(C1526&lt;=30,5,IF(C1526&lt;=60,4,IF(C1526&lt;=120,3,IF(C1526&lt;=200,2,1))))</f>
        <v/>
      </c>
      <c r="G1526" s="128">
        <f>IF(D1526&gt;=20,5,IF(D1526&gt;=10,4,IF(D1526&gt;=5,3,IF(D1526&gt;=2,2,1))))</f>
        <v/>
      </c>
      <c r="H1526" s="128">
        <f>IF(E1526&gt;=5000,5,IF(E1526&gt;=2000,4,IF(E1526&gt;=800,3,IF(E1526&gt;=300,2,1))))</f>
        <v/>
      </c>
      <c r="I1526" s="126">
        <f>TEXT(F1526,"0")&amp;TEXT(G1526,"0")&amp;TEXT(H1526,"0")</f>
        <v/>
      </c>
      <c r="J1526" s="126">
        <f>IFERROR(XLOOKUP(I1526,'Segment Map'!A:A,'Segment Map'!B:B,"Need Attention"),"Need Attention")</f>
        <v/>
      </c>
      <c r="K1526" s="126">
        <f>IF(E1526&gt;=5000,"🏆 Platinum",IF(E1526&gt;=2000,"🥇 Gold",IF(E1526&gt;=800,"🥈 Silver","🥉 Bronze")))</f>
        <v/>
      </c>
      <c r="L1526" s="129" t="n">
        <v>40869</v>
      </c>
    </row>
    <row r="1527">
      <c r="A1527" s="122" t="n">
        <v>14426</v>
      </c>
      <c r="B1527" s="122" t="inlineStr">
        <is>
          <t>United Kingdom</t>
        </is>
      </c>
      <c r="C1527" s="122" t="n">
        <v>24</v>
      </c>
      <c r="D1527" s="122" t="n">
        <v>10</v>
      </c>
      <c r="E1527" s="123" t="n">
        <v>4481.67</v>
      </c>
      <c r="F1527" s="124">
        <f>IF(C1527&lt;=30,5,IF(C1527&lt;=60,4,IF(C1527&lt;=120,3,IF(C1527&lt;=200,2,1))))</f>
        <v/>
      </c>
      <c r="G1527" s="124">
        <f>IF(D1527&gt;=20,5,IF(D1527&gt;=10,4,IF(D1527&gt;=5,3,IF(D1527&gt;=2,2,1))))</f>
        <v/>
      </c>
      <c r="H1527" s="124">
        <f>IF(E1527&gt;=5000,5,IF(E1527&gt;=2000,4,IF(E1527&gt;=800,3,IF(E1527&gt;=300,2,1))))</f>
        <v/>
      </c>
      <c r="I1527" s="122">
        <f>TEXT(F1527,"0")&amp;TEXT(G1527,"0")&amp;TEXT(H1527,"0")</f>
        <v/>
      </c>
      <c r="J1527" s="122">
        <f>IFERROR(XLOOKUP(I1527,'Segment Map'!A:A,'Segment Map'!B:B,"Need Attention"),"Need Attention")</f>
        <v/>
      </c>
      <c r="K1527" s="122">
        <f>IF(E1527&gt;=5000,"🏆 Platinum",IF(E1527&gt;=2000,"🥇 Gold",IF(E1527&gt;=800,"🥈 Silver","🥉 Bronze")))</f>
        <v/>
      </c>
      <c r="L1527" s="125" t="n">
        <v>40863</v>
      </c>
    </row>
    <row r="1528">
      <c r="A1528" s="126" t="n">
        <v>14427</v>
      </c>
      <c r="B1528" s="126" t="inlineStr">
        <is>
          <t>United Kingdom</t>
        </is>
      </c>
      <c r="C1528" s="126" t="n">
        <v>51</v>
      </c>
      <c r="D1528" s="126" t="n">
        <v>2</v>
      </c>
      <c r="E1528" s="127" t="n">
        <v>363.34</v>
      </c>
      <c r="F1528" s="128">
        <f>IF(C1528&lt;=30,5,IF(C1528&lt;=60,4,IF(C1528&lt;=120,3,IF(C1528&lt;=200,2,1))))</f>
        <v/>
      </c>
      <c r="G1528" s="128">
        <f>IF(D1528&gt;=20,5,IF(D1528&gt;=10,4,IF(D1528&gt;=5,3,IF(D1528&gt;=2,2,1))))</f>
        <v/>
      </c>
      <c r="H1528" s="128">
        <f>IF(E1528&gt;=5000,5,IF(E1528&gt;=2000,4,IF(E1528&gt;=800,3,IF(E1528&gt;=300,2,1))))</f>
        <v/>
      </c>
      <c r="I1528" s="126">
        <f>TEXT(F1528,"0")&amp;TEXT(G1528,"0")&amp;TEXT(H1528,"0")</f>
        <v/>
      </c>
      <c r="J1528" s="126">
        <f>IFERROR(XLOOKUP(I1528,'Segment Map'!A:A,'Segment Map'!B:B,"Need Attention"),"Need Attention")</f>
        <v/>
      </c>
      <c r="K1528" s="126">
        <f>IF(E1528&gt;=5000,"🏆 Platinum",IF(E1528&gt;=2000,"🥇 Gold",IF(E1528&gt;=800,"🥈 Silver","🥉 Bronze")))</f>
        <v/>
      </c>
      <c r="L1528" s="129" t="n">
        <v>40836</v>
      </c>
    </row>
    <row r="1529">
      <c r="A1529" s="122" t="n">
        <v>14428</v>
      </c>
      <c r="B1529" s="122" t="inlineStr">
        <is>
          <t>United Kingdom</t>
        </is>
      </c>
      <c r="C1529" s="122" t="n">
        <v>8</v>
      </c>
      <c r="D1529" s="122" t="n">
        <v>5</v>
      </c>
      <c r="E1529" s="123" t="n">
        <v>1244.83</v>
      </c>
      <c r="F1529" s="124">
        <f>IF(C1529&lt;=30,5,IF(C1529&lt;=60,4,IF(C1529&lt;=120,3,IF(C1529&lt;=200,2,1))))</f>
        <v/>
      </c>
      <c r="G1529" s="124">
        <f>IF(D1529&gt;=20,5,IF(D1529&gt;=10,4,IF(D1529&gt;=5,3,IF(D1529&gt;=2,2,1))))</f>
        <v/>
      </c>
      <c r="H1529" s="124">
        <f>IF(E1529&gt;=5000,5,IF(E1529&gt;=2000,4,IF(E1529&gt;=800,3,IF(E1529&gt;=300,2,1))))</f>
        <v/>
      </c>
      <c r="I1529" s="122">
        <f>TEXT(F1529,"0")&amp;TEXT(G1529,"0")&amp;TEXT(H1529,"0")</f>
        <v/>
      </c>
      <c r="J1529" s="122">
        <f>IFERROR(XLOOKUP(I1529,'Segment Map'!A:A,'Segment Map'!B:B,"Need Attention"),"Need Attention")</f>
        <v/>
      </c>
      <c r="K1529" s="122">
        <f>IF(E1529&gt;=5000,"🏆 Platinum",IF(E1529&gt;=2000,"🥇 Gold",IF(E1529&gt;=800,"🥈 Silver","🥉 Bronze")))</f>
        <v/>
      </c>
      <c r="L1529" s="125" t="n">
        <v>40879</v>
      </c>
    </row>
    <row r="1530">
      <c r="A1530" s="126" t="n">
        <v>14431</v>
      </c>
      <c r="B1530" s="126" t="inlineStr">
        <is>
          <t>United Kingdom</t>
        </is>
      </c>
      <c r="C1530" s="126" t="n">
        <v>303</v>
      </c>
      <c r="D1530" s="126" t="n">
        <v>1</v>
      </c>
      <c r="E1530" s="127" t="n">
        <v>470.36</v>
      </c>
      <c r="F1530" s="128">
        <f>IF(C1530&lt;=30,5,IF(C1530&lt;=60,4,IF(C1530&lt;=120,3,IF(C1530&lt;=200,2,1))))</f>
        <v/>
      </c>
      <c r="G1530" s="128">
        <f>IF(D1530&gt;=20,5,IF(D1530&gt;=10,4,IF(D1530&gt;=5,3,IF(D1530&gt;=2,2,1))))</f>
        <v/>
      </c>
      <c r="H1530" s="128">
        <f>IF(E1530&gt;=5000,5,IF(E1530&gt;=2000,4,IF(E1530&gt;=800,3,IF(E1530&gt;=300,2,1))))</f>
        <v/>
      </c>
      <c r="I1530" s="126">
        <f>TEXT(F1530,"0")&amp;TEXT(G1530,"0")&amp;TEXT(H1530,"0")</f>
        <v/>
      </c>
      <c r="J1530" s="126">
        <f>IFERROR(XLOOKUP(I1530,'Segment Map'!A:A,'Segment Map'!B:B,"Need Attention"),"Need Attention")</f>
        <v/>
      </c>
      <c r="K1530" s="126">
        <f>IF(E1530&gt;=5000,"🏆 Platinum",IF(E1530&gt;=2000,"🥇 Gold",IF(E1530&gt;=800,"🥈 Silver","🥉 Bronze")))</f>
        <v/>
      </c>
      <c r="L1530" s="129" t="n">
        <v>40584</v>
      </c>
    </row>
    <row r="1531">
      <c r="A1531" s="122" t="n">
        <v>14432</v>
      </c>
      <c r="B1531" s="122" t="inlineStr">
        <is>
          <t>United Kingdom</t>
        </is>
      </c>
      <c r="C1531" s="122" t="n">
        <v>10</v>
      </c>
      <c r="D1531" s="122" t="n">
        <v>6</v>
      </c>
      <c r="E1531" s="123" t="n">
        <v>2255.51</v>
      </c>
      <c r="F1531" s="124">
        <f>IF(C1531&lt;=30,5,IF(C1531&lt;=60,4,IF(C1531&lt;=120,3,IF(C1531&lt;=200,2,1))))</f>
        <v/>
      </c>
      <c r="G1531" s="124">
        <f>IF(D1531&gt;=20,5,IF(D1531&gt;=10,4,IF(D1531&gt;=5,3,IF(D1531&gt;=2,2,1))))</f>
        <v/>
      </c>
      <c r="H1531" s="124">
        <f>IF(E1531&gt;=5000,5,IF(E1531&gt;=2000,4,IF(E1531&gt;=800,3,IF(E1531&gt;=300,2,1))))</f>
        <v/>
      </c>
      <c r="I1531" s="122">
        <f>TEXT(F1531,"0")&amp;TEXT(G1531,"0")&amp;TEXT(H1531,"0")</f>
        <v/>
      </c>
      <c r="J1531" s="122">
        <f>IFERROR(XLOOKUP(I1531,'Segment Map'!A:A,'Segment Map'!B:B,"Need Attention"),"Need Attention")</f>
        <v/>
      </c>
      <c r="K1531" s="122">
        <f>IF(E1531&gt;=5000,"🏆 Platinum",IF(E1531&gt;=2000,"🥇 Gold",IF(E1531&gt;=800,"🥈 Silver","🥉 Bronze")))</f>
        <v/>
      </c>
      <c r="L1531" s="125" t="n">
        <v>40877</v>
      </c>
    </row>
    <row r="1532">
      <c r="A1532" s="126" t="n">
        <v>14434</v>
      </c>
      <c r="B1532" s="126" t="inlineStr">
        <is>
          <t>United Kingdom</t>
        </is>
      </c>
      <c r="C1532" s="126" t="n">
        <v>22</v>
      </c>
      <c r="D1532" s="126" t="n">
        <v>6</v>
      </c>
      <c r="E1532" s="127" t="n">
        <v>1372.8</v>
      </c>
      <c r="F1532" s="128">
        <f>IF(C1532&lt;=30,5,IF(C1532&lt;=60,4,IF(C1532&lt;=120,3,IF(C1532&lt;=200,2,1))))</f>
        <v/>
      </c>
      <c r="G1532" s="128">
        <f>IF(D1532&gt;=20,5,IF(D1532&gt;=10,4,IF(D1532&gt;=5,3,IF(D1532&gt;=2,2,1))))</f>
        <v/>
      </c>
      <c r="H1532" s="128">
        <f>IF(E1532&gt;=5000,5,IF(E1532&gt;=2000,4,IF(E1532&gt;=800,3,IF(E1532&gt;=300,2,1))))</f>
        <v/>
      </c>
      <c r="I1532" s="126">
        <f>TEXT(F1532,"0")&amp;TEXT(G1532,"0")&amp;TEXT(H1532,"0")</f>
        <v/>
      </c>
      <c r="J1532" s="126">
        <f>IFERROR(XLOOKUP(I1532,'Segment Map'!A:A,'Segment Map'!B:B,"Need Attention"),"Need Attention")</f>
        <v/>
      </c>
      <c r="K1532" s="126">
        <f>IF(E1532&gt;=5000,"🏆 Platinum",IF(E1532&gt;=2000,"🥇 Gold",IF(E1532&gt;=800,"🥈 Silver","🥉 Bronze")))</f>
        <v/>
      </c>
      <c r="L1532" s="129" t="n">
        <v>40865</v>
      </c>
    </row>
    <row r="1533">
      <c r="A1533" s="122" t="n">
        <v>14436</v>
      </c>
      <c r="B1533" s="122" t="inlineStr">
        <is>
          <t>United Kingdom</t>
        </is>
      </c>
      <c r="C1533" s="122" t="n">
        <v>99</v>
      </c>
      <c r="D1533" s="122" t="n">
        <v>1</v>
      </c>
      <c r="E1533" s="123" t="n">
        <v>89.06</v>
      </c>
      <c r="F1533" s="124">
        <f>IF(C1533&lt;=30,5,IF(C1533&lt;=60,4,IF(C1533&lt;=120,3,IF(C1533&lt;=200,2,1))))</f>
        <v/>
      </c>
      <c r="G1533" s="124">
        <f>IF(D1533&gt;=20,5,IF(D1533&gt;=10,4,IF(D1533&gt;=5,3,IF(D1533&gt;=2,2,1))))</f>
        <v/>
      </c>
      <c r="H1533" s="124">
        <f>IF(E1533&gt;=5000,5,IF(E1533&gt;=2000,4,IF(E1533&gt;=800,3,IF(E1533&gt;=300,2,1))))</f>
        <v/>
      </c>
      <c r="I1533" s="122">
        <f>TEXT(F1533,"0")&amp;TEXT(G1533,"0")&amp;TEXT(H1533,"0")</f>
        <v/>
      </c>
      <c r="J1533" s="122">
        <f>IFERROR(XLOOKUP(I1533,'Segment Map'!A:A,'Segment Map'!B:B,"Need Attention"),"Need Attention")</f>
        <v/>
      </c>
      <c r="K1533" s="122">
        <f>IF(E1533&gt;=5000,"🏆 Platinum",IF(E1533&gt;=2000,"🥇 Gold",IF(E1533&gt;=800,"🥈 Silver","🥉 Bronze")))</f>
        <v/>
      </c>
      <c r="L1533" s="125" t="n">
        <v>40788</v>
      </c>
    </row>
    <row r="1534">
      <c r="A1534" s="126" t="n">
        <v>14437</v>
      </c>
      <c r="B1534" s="126" t="inlineStr">
        <is>
          <t>United Kingdom</t>
        </is>
      </c>
      <c r="C1534" s="126" t="n">
        <v>366</v>
      </c>
      <c r="D1534" s="126" t="n">
        <v>1</v>
      </c>
      <c r="E1534" s="127" t="n">
        <v>63</v>
      </c>
      <c r="F1534" s="128">
        <f>IF(C1534&lt;=30,5,IF(C1534&lt;=60,4,IF(C1534&lt;=120,3,IF(C1534&lt;=200,2,1))))</f>
        <v/>
      </c>
      <c r="G1534" s="128">
        <f>IF(D1534&gt;=20,5,IF(D1534&gt;=10,4,IF(D1534&gt;=5,3,IF(D1534&gt;=2,2,1))))</f>
        <v/>
      </c>
      <c r="H1534" s="128">
        <f>IF(E1534&gt;=5000,5,IF(E1534&gt;=2000,4,IF(E1534&gt;=800,3,IF(E1534&gt;=300,2,1))))</f>
        <v/>
      </c>
      <c r="I1534" s="126">
        <f>TEXT(F1534,"0")&amp;TEXT(G1534,"0")&amp;TEXT(H1534,"0")</f>
        <v/>
      </c>
      <c r="J1534" s="126">
        <f>IFERROR(XLOOKUP(I1534,'Segment Map'!A:A,'Segment Map'!B:B,"Need Attention"),"Need Attention")</f>
        <v/>
      </c>
      <c r="K1534" s="126">
        <f>IF(E1534&gt;=5000,"🏆 Platinum",IF(E1534&gt;=2000,"🥇 Gold",IF(E1534&gt;=800,"🥈 Silver","🥉 Bronze")))</f>
        <v/>
      </c>
      <c r="L1534" s="129" t="n">
        <v>40521</v>
      </c>
    </row>
    <row r="1535">
      <c r="A1535" s="122" t="n">
        <v>14438</v>
      </c>
      <c r="B1535" s="122" t="inlineStr">
        <is>
          <t>United Kingdom</t>
        </is>
      </c>
      <c r="C1535" s="122" t="n">
        <v>307</v>
      </c>
      <c r="D1535" s="122" t="n">
        <v>1</v>
      </c>
      <c r="E1535" s="123" t="n">
        <v>131.9</v>
      </c>
      <c r="F1535" s="124">
        <f>IF(C1535&lt;=30,5,IF(C1535&lt;=60,4,IF(C1535&lt;=120,3,IF(C1535&lt;=200,2,1))))</f>
        <v/>
      </c>
      <c r="G1535" s="124">
        <f>IF(D1535&gt;=20,5,IF(D1535&gt;=10,4,IF(D1535&gt;=5,3,IF(D1535&gt;=2,2,1))))</f>
        <v/>
      </c>
      <c r="H1535" s="124">
        <f>IF(E1535&gt;=5000,5,IF(E1535&gt;=2000,4,IF(E1535&gt;=800,3,IF(E1535&gt;=300,2,1))))</f>
        <v/>
      </c>
      <c r="I1535" s="122">
        <f>TEXT(F1535,"0")&amp;TEXT(G1535,"0")&amp;TEXT(H1535,"0")</f>
        <v/>
      </c>
      <c r="J1535" s="122">
        <f>IFERROR(XLOOKUP(I1535,'Segment Map'!A:A,'Segment Map'!B:B,"Need Attention"),"Need Attention")</f>
        <v/>
      </c>
      <c r="K1535" s="122">
        <f>IF(E1535&gt;=5000,"🏆 Platinum",IF(E1535&gt;=2000,"🥇 Gold",IF(E1535&gt;=800,"🥈 Silver","🥉 Bronze")))</f>
        <v/>
      </c>
      <c r="L1535" s="125" t="n">
        <v>40580</v>
      </c>
    </row>
    <row r="1536">
      <c r="A1536" s="126" t="n">
        <v>14439</v>
      </c>
      <c r="B1536" s="126" t="inlineStr">
        <is>
          <t>Greece</t>
        </is>
      </c>
      <c r="C1536" s="126" t="n">
        <v>320</v>
      </c>
      <c r="D1536" s="126" t="n">
        <v>1</v>
      </c>
      <c r="E1536" s="127" t="n">
        <v>2661.24</v>
      </c>
      <c r="F1536" s="128">
        <f>IF(C1536&lt;=30,5,IF(C1536&lt;=60,4,IF(C1536&lt;=120,3,IF(C1536&lt;=200,2,1))))</f>
        <v/>
      </c>
      <c r="G1536" s="128">
        <f>IF(D1536&gt;=20,5,IF(D1536&gt;=10,4,IF(D1536&gt;=5,3,IF(D1536&gt;=2,2,1))))</f>
        <v/>
      </c>
      <c r="H1536" s="128">
        <f>IF(E1536&gt;=5000,5,IF(E1536&gt;=2000,4,IF(E1536&gt;=800,3,IF(E1536&gt;=300,2,1))))</f>
        <v/>
      </c>
      <c r="I1536" s="126">
        <f>TEXT(F1536,"0")&amp;TEXT(G1536,"0")&amp;TEXT(H1536,"0")</f>
        <v/>
      </c>
      <c r="J1536" s="126">
        <f>IFERROR(XLOOKUP(I1536,'Segment Map'!A:A,'Segment Map'!B:B,"Need Attention"),"Need Attention")</f>
        <v/>
      </c>
      <c r="K1536" s="126">
        <f>IF(E1536&gt;=5000,"🏆 Platinum",IF(E1536&gt;=2000,"🥇 Gold",IF(E1536&gt;=800,"🥈 Silver","🥉 Bronze")))</f>
        <v/>
      </c>
      <c r="L1536" s="129" t="n">
        <v>40567</v>
      </c>
    </row>
    <row r="1537">
      <c r="A1537" s="122" t="n">
        <v>14440</v>
      </c>
      <c r="B1537" s="122" t="inlineStr">
        <is>
          <t>United Kingdom</t>
        </is>
      </c>
      <c r="C1537" s="122" t="n">
        <v>9</v>
      </c>
      <c r="D1537" s="122" t="n">
        <v>5</v>
      </c>
      <c r="E1537" s="123" t="n">
        <v>2357.68</v>
      </c>
      <c r="F1537" s="124">
        <f>IF(C1537&lt;=30,5,IF(C1537&lt;=60,4,IF(C1537&lt;=120,3,IF(C1537&lt;=200,2,1))))</f>
        <v/>
      </c>
      <c r="G1537" s="124">
        <f>IF(D1537&gt;=20,5,IF(D1537&gt;=10,4,IF(D1537&gt;=5,3,IF(D1537&gt;=2,2,1))))</f>
        <v/>
      </c>
      <c r="H1537" s="124">
        <f>IF(E1537&gt;=5000,5,IF(E1537&gt;=2000,4,IF(E1537&gt;=800,3,IF(E1537&gt;=300,2,1))))</f>
        <v/>
      </c>
      <c r="I1537" s="122">
        <f>TEXT(F1537,"0")&amp;TEXT(G1537,"0")&amp;TEXT(H1537,"0")</f>
        <v/>
      </c>
      <c r="J1537" s="122">
        <f>IFERROR(XLOOKUP(I1537,'Segment Map'!A:A,'Segment Map'!B:B,"Need Attention"),"Need Attention")</f>
        <v/>
      </c>
      <c r="K1537" s="122">
        <f>IF(E1537&gt;=5000,"🏆 Platinum",IF(E1537&gt;=2000,"🥇 Gold",IF(E1537&gt;=800,"🥈 Silver","🥉 Bronze")))</f>
        <v/>
      </c>
      <c r="L1537" s="125" t="n">
        <v>40878</v>
      </c>
    </row>
    <row r="1538">
      <c r="A1538" s="126" t="n">
        <v>14441</v>
      </c>
      <c r="B1538" s="126" t="inlineStr">
        <is>
          <t>United Kingdom</t>
        </is>
      </c>
      <c r="C1538" s="126" t="n">
        <v>1</v>
      </c>
      <c r="D1538" s="126" t="n">
        <v>4</v>
      </c>
      <c r="E1538" s="127" t="n">
        <v>1712.89</v>
      </c>
      <c r="F1538" s="128">
        <f>IF(C1538&lt;=30,5,IF(C1538&lt;=60,4,IF(C1538&lt;=120,3,IF(C1538&lt;=200,2,1))))</f>
        <v/>
      </c>
      <c r="G1538" s="128">
        <f>IF(D1538&gt;=20,5,IF(D1538&gt;=10,4,IF(D1538&gt;=5,3,IF(D1538&gt;=2,2,1))))</f>
        <v/>
      </c>
      <c r="H1538" s="128">
        <f>IF(E1538&gt;=5000,5,IF(E1538&gt;=2000,4,IF(E1538&gt;=800,3,IF(E1538&gt;=300,2,1))))</f>
        <v/>
      </c>
      <c r="I1538" s="126">
        <f>TEXT(F1538,"0")&amp;TEXT(G1538,"0")&amp;TEXT(H1538,"0")</f>
        <v/>
      </c>
      <c r="J1538" s="126">
        <f>IFERROR(XLOOKUP(I1538,'Segment Map'!A:A,'Segment Map'!B:B,"Need Attention"),"Need Attention")</f>
        <v/>
      </c>
      <c r="K1538" s="126">
        <f>IF(E1538&gt;=5000,"🏆 Platinum",IF(E1538&gt;=2000,"🥇 Gold",IF(E1538&gt;=800,"🥈 Silver","🥉 Bronze")))</f>
        <v/>
      </c>
      <c r="L1538" s="129" t="n">
        <v>40886</v>
      </c>
    </row>
    <row r="1539">
      <c r="A1539" s="122" t="n">
        <v>14442</v>
      </c>
      <c r="B1539" s="122" t="inlineStr">
        <is>
          <t>Channel Islands</t>
        </is>
      </c>
      <c r="C1539" s="122" t="n">
        <v>205</v>
      </c>
      <c r="D1539" s="122" t="n">
        <v>2</v>
      </c>
      <c r="E1539" s="123" t="n">
        <v>1589.82</v>
      </c>
      <c r="F1539" s="124">
        <f>IF(C1539&lt;=30,5,IF(C1539&lt;=60,4,IF(C1539&lt;=120,3,IF(C1539&lt;=200,2,1))))</f>
        <v/>
      </c>
      <c r="G1539" s="124">
        <f>IF(D1539&gt;=20,5,IF(D1539&gt;=10,4,IF(D1539&gt;=5,3,IF(D1539&gt;=2,2,1))))</f>
        <v/>
      </c>
      <c r="H1539" s="124">
        <f>IF(E1539&gt;=5000,5,IF(E1539&gt;=2000,4,IF(E1539&gt;=800,3,IF(E1539&gt;=300,2,1))))</f>
        <v/>
      </c>
      <c r="I1539" s="122">
        <f>TEXT(F1539,"0")&amp;TEXT(G1539,"0")&amp;TEXT(H1539,"0")</f>
        <v/>
      </c>
      <c r="J1539" s="122">
        <f>IFERROR(XLOOKUP(I1539,'Segment Map'!A:A,'Segment Map'!B:B,"Need Attention"),"Need Attention")</f>
        <v/>
      </c>
      <c r="K1539" s="122">
        <f>IF(E1539&gt;=5000,"🏆 Platinum",IF(E1539&gt;=2000,"🥇 Gold",IF(E1539&gt;=800,"🥈 Silver","🥉 Bronze")))</f>
        <v/>
      </c>
      <c r="L1539" s="125" t="n">
        <v>40682</v>
      </c>
    </row>
    <row r="1540">
      <c r="A1540" s="126" t="n">
        <v>14443</v>
      </c>
      <c r="B1540" s="126" t="inlineStr">
        <is>
          <t>United Kingdom</t>
        </is>
      </c>
      <c r="C1540" s="126" t="n">
        <v>54</v>
      </c>
      <c r="D1540" s="126" t="n">
        <v>4</v>
      </c>
      <c r="E1540" s="127" t="n">
        <v>1420.2</v>
      </c>
      <c r="F1540" s="128">
        <f>IF(C1540&lt;=30,5,IF(C1540&lt;=60,4,IF(C1540&lt;=120,3,IF(C1540&lt;=200,2,1))))</f>
        <v/>
      </c>
      <c r="G1540" s="128">
        <f>IF(D1540&gt;=20,5,IF(D1540&gt;=10,4,IF(D1540&gt;=5,3,IF(D1540&gt;=2,2,1))))</f>
        <v/>
      </c>
      <c r="H1540" s="128">
        <f>IF(E1540&gt;=5000,5,IF(E1540&gt;=2000,4,IF(E1540&gt;=800,3,IF(E1540&gt;=300,2,1))))</f>
        <v/>
      </c>
      <c r="I1540" s="126">
        <f>TEXT(F1540,"0")&amp;TEXT(G1540,"0")&amp;TEXT(H1540,"0")</f>
        <v/>
      </c>
      <c r="J1540" s="126">
        <f>IFERROR(XLOOKUP(I1540,'Segment Map'!A:A,'Segment Map'!B:B,"Need Attention"),"Need Attention")</f>
        <v/>
      </c>
      <c r="K1540" s="126">
        <f>IF(E1540&gt;=5000,"🏆 Platinum",IF(E1540&gt;=2000,"🥇 Gold",IF(E1540&gt;=800,"🥈 Silver","🥉 Bronze")))</f>
        <v/>
      </c>
      <c r="L1540" s="129" t="n">
        <v>40833</v>
      </c>
    </row>
    <row r="1541">
      <c r="A1541" s="122" t="n">
        <v>14446</v>
      </c>
      <c r="B1541" s="122" t="inlineStr">
        <is>
          <t>United Kingdom</t>
        </is>
      </c>
      <c r="C1541" s="122" t="n">
        <v>1</v>
      </c>
      <c r="D1541" s="122" t="n">
        <v>4</v>
      </c>
      <c r="E1541" s="123" t="n">
        <v>1039.58</v>
      </c>
      <c r="F1541" s="124">
        <f>IF(C1541&lt;=30,5,IF(C1541&lt;=60,4,IF(C1541&lt;=120,3,IF(C1541&lt;=200,2,1))))</f>
        <v/>
      </c>
      <c r="G1541" s="124">
        <f>IF(D1541&gt;=20,5,IF(D1541&gt;=10,4,IF(D1541&gt;=5,3,IF(D1541&gt;=2,2,1))))</f>
        <v/>
      </c>
      <c r="H1541" s="124">
        <f>IF(E1541&gt;=5000,5,IF(E1541&gt;=2000,4,IF(E1541&gt;=800,3,IF(E1541&gt;=300,2,1))))</f>
        <v/>
      </c>
      <c r="I1541" s="122">
        <f>TEXT(F1541,"0")&amp;TEXT(G1541,"0")&amp;TEXT(H1541,"0")</f>
        <v/>
      </c>
      <c r="J1541" s="122">
        <f>IFERROR(XLOOKUP(I1541,'Segment Map'!A:A,'Segment Map'!B:B,"Need Attention"),"Need Attention")</f>
        <v/>
      </c>
      <c r="K1541" s="122">
        <f>IF(E1541&gt;=5000,"🏆 Platinum",IF(E1541&gt;=2000,"🥇 Gold",IF(E1541&gt;=800,"🥈 Silver","🥉 Bronze")))</f>
        <v/>
      </c>
      <c r="L1541" s="125" t="n">
        <v>40886</v>
      </c>
    </row>
    <row r="1542">
      <c r="A1542" s="126" t="n">
        <v>14447</v>
      </c>
      <c r="B1542" s="126" t="inlineStr">
        <is>
          <t>United Kingdom</t>
        </is>
      </c>
      <c r="C1542" s="126" t="n">
        <v>19</v>
      </c>
      <c r="D1542" s="126" t="n">
        <v>5</v>
      </c>
      <c r="E1542" s="127" t="n">
        <v>1163.23</v>
      </c>
      <c r="F1542" s="128">
        <f>IF(C1542&lt;=30,5,IF(C1542&lt;=60,4,IF(C1542&lt;=120,3,IF(C1542&lt;=200,2,1))))</f>
        <v/>
      </c>
      <c r="G1542" s="128">
        <f>IF(D1542&gt;=20,5,IF(D1542&gt;=10,4,IF(D1542&gt;=5,3,IF(D1542&gt;=2,2,1))))</f>
        <v/>
      </c>
      <c r="H1542" s="128">
        <f>IF(E1542&gt;=5000,5,IF(E1542&gt;=2000,4,IF(E1542&gt;=800,3,IF(E1542&gt;=300,2,1))))</f>
        <v/>
      </c>
      <c r="I1542" s="126">
        <f>TEXT(F1542,"0")&amp;TEXT(G1542,"0")&amp;TEXT(H1542,"0")</f>
        <v/>
      </c>
      <c r="J1542" s="126">
        <f>IFERROR(XLOOKUP(I1542,'Segment Map'!A:A,'Segment Map'!B:B,"Need Attention"),"Need Attention")</f>
        <v/>
      </c>
      <c r="K1542" s="126">
        <f>IF(E1542&gt;=5000,"🏆 Platinum",IF(E1542&gt;=2000,"🥇 Gold",IF(E1542&gt;=800,"🥈 Silver","🥉 Bronze")))</f>
        <v/>
      </c>
      <c r="L1542" s="129" t="n">
        <v>40868</v>
      </c>
    </row>
    <row r="1543">
      <c r="A1543" s="122" t="n">
        <v>14448</v>
      </c>
      <c r="B1543" s="122" t="inlineStr">
        <is>
          <t>United Kingdom</t>
        </is>
      </c>
      <c r="C1543" s="122" t="n">
        <v>10</v>
      </c>
      <c r="D1543" s="122" t="n">
        <v>2</v>
      </c>
      <c r="E1543" s="123" t="n">
        <v>375.35</v>
      </c>
      <c r="F1543" s="124">
        <f>IF(C1543&lt;=30,5,IF(C1543&lt;=60,4,IF(C1543&lt;=120,3,IF(C1543&lt;=200,2,1))))</f>
        <v/>
      </c>
      <c r="G1543" s="124">
        <f>IF(D1543&gt;=20,5,IF(D1543&gt;=10,4,IF(D1543&gt;=5,3,IF(D1543&gt;=2,2,1))))</f>
        <v/>
      </c>
      <c r="H1543" s="124">
        <f>IF(E1543&gt;=5000,5,IF(E1543&gt;=2000,4,IF(E1543&gt;=800,3,IF(E1543&gt;=300,2,1))))</f>
        <v/>
      </c>
      <c r="I1543" s="122">
        <f>TEXT(F1543,"0")&amp;TEXT(G1543,"0")&amp;TEXT(H1543,"0")</f>
        <v/>
      </c>
      <c r="J1543" s="122">
        <f>IFERROR(XLOOKUP(I1543,'Segment Map'!A:A,'Segment Map'!B:B,"Need Attention"),"Need Attention")</f>
        <v/>
      </c>
      <c r="K1543" s="122">
        <f>IF(E1543&gt;=5000,"🏆 Platinum",IF(E1543&gt;=2000,"🥇 Gold",IF(E1543&gt;=800,"🥈 Silver","🥉 Bronze")))</f>
        <v/>
      </c>
      <c r="L1543" s="125" t="n">
        <v>40877</v>
      </c>
    </row>
    <row r="1544">
      <c r="A1544" s="126" t="n">
        <v>14449</v>
      </c>
      <c r="B1544" s="126" t="inlineStr">
        <is>
          <t>United Kingdom</t>
        </is>
      </c>
      <c r="C1544" s="126" t="n">
        <v>19</v>
      </c>
      <c r="D1544" s="126" t="n">
        <v>4</v>
      </c>
      <c r="E1544" s="127" t="n">
        <v>907.1</v>
      </c>
      <c r="F1544" s="128">
        <f>IF(C1544&lt;=30,5,IF(C1544&lt;=60,4,IF(C1544&lt;=120,3,IF(C1544&lt;=200,2,1))))</f>
        <v/>
      </c>
      <c r="G1544" s="128">
        <f>IF(D1544&gt;=20,5,IF(D1544&gt;=10,4,IF(D1544&gt;=5,3,IF(D1544&gt;=2,2,1))))</f>
        <v/>
      </c>
      <c r="H1544" s="128">
        <f>IF(E1544&gt;=5000,5,IF(E1544&gt;=2000,4,IF(E1544&gt;=800,3,IF(E1544&gt;=300,2,1))))</f>
        <v/>
      </c>
      <c r="I1544" s="126">
        <f>TEXT(F1544,"0")&amp;TEXT(G1544,"0")&amp;TEXT(H1544,"0")</f>
        <v/>
      </c>
      <c r="J1544" s="126">
        <f>IFERROR(XLOOKUP(I1544,'Segment Map'!A:A,'Segment Map'!B:B,"Need Attention"),"Need Attention")</f>
        <v/>
      </c>
      <c r="K1544" s="126">
        <f>IF(E1544&gt;=5000,"🏆 Platinum",IF(E1544&gt;=2000,"🥇 Gold",IF(E1544&gt;=800,"🥈 Silver","🥉 Bronze")))</f>
        <v/>
      </c>
      <c r="L1544" s="129" t="n">
        <v>40868</v>
      </c>
    </row>
    <row r="1545">
      <c r="A1545" s="122" t="n">
        <v>14450</v>
      </c>
      <c r="B1545" s="122" t="inlineStr">
        <is>
          <t>United Kingdom</t>
        </is>
      </c>
      <c r="C1545" s="122" t="n">
        <v>181</v>
      </c>
      <c r="D1545" s="122" t="n">
        <v>3</v>
      </c>
      <c r="E1545" s="123" t="n">
        <v>483.25</v>
      </c>
      <c r="F1545" s="124">
        <f>IF(C1545&lt;=30,5,IF(C1545&lt;=60,4,IF(C1545&lt;=120,3,IF(C1545&lt;=200,2,1))))</f>
        <v/>
      </c>
      <c r="G1545" s="124">
        <f>IF(D1545&gt;=20,5,IF(D1545&gt;=10,4,IF(D1545&gt;=5,3,IF(D1545&gt;=2,2,1))))</f>
        <v/>
      </c>
      <c r="H1545" s="124">
        <f>IF(E1545&gt;=5000,5,IF(E1545&gt;=2000,4,IF(E1545&gt;=800,3,IF(E1545&gt;=300,2,1))))</f>
        <v/>
      </c>
      <c r="I1545" s="122">
        <f>TEXT(F1545,"0")&amp;TEXT(G1545,"0")&amp;TEXT(H1545,"0")</f>
        <v/>
      </c>
      <c r="J1545" s="122">
        <f>IFERROR(XLOOKUP(I1545,'Segment Map'!A:A,'Segment Map'!B:B,"Need Attention"),"Need Attention")</f>
        <v/>
      </c>
      <c r="K1545" s="122">
        <f>IF(E1545&gt;=5000,"🏆 Platinum",IF(E1545&gt;=2000,"🥇 Gold",IF(E1545&gt;=800,"🥈 Silver","🥉 Bronze")))</f>
        <v/>
      </c>
      <c r="L1545" s="125" t="n">
        <v>40706</v>
      </c>
    </row>
    <row r="1546">
      <c r="A1546" s="126" t="n">
        <v>14451</v>
      </c>
      <c r="B1546" s="126" t="inlineStr">
        <is>
          <t>United Kingdom</t>
        </is>
      </c>
      <c r="C1546" s="126" t="n">
        <v>61</v>
      </c>
      <c r="D1546" s="126" t="n">
        <v>2</v>
      </c>
      <c r="E1546" s="127" t="n">
        <v>662.59</v>
      </c>
      <c r="F1546" s="128">
        <f>IF(C1546&lt;=30,5,IF(C1546&lt;=60,4,IF(C1546&lt;=120,3,IF(C1546&lt;=200,2,1))))</f>
        <v/>
      </c>
      <c r="G1546" s="128">
        <f>IF(D1546&gt;=20,5,IF(D1546&gt;=10,4,IF(D1546&gt;=5,3,IF(D1546&gt;=2,2,1))))</f>
        <v/>
      </c>
      <c r="H1546" s="128">
        <f>IF(E1546&gt;=5000,5,IF(E1546&gt;=2000,4,IF(E1546&gt;=800,3,IF(E1546&gt;=300,2,1))))</f>
        <v/>
      </c>
      <c r="I1546" s="126">
        <f>TEXT(F1546,"0")&amp;TEXT(G1546,"0")&amp;TEXT(H1546,"0")</f>
        <v/>
      </c>
      <c r="J1546" s="126">
        <f>IFERROR(XLOOKUP(I1546,'Segment Map'!A:A,'Segment Map'!B:B,"Need Attention"),"Need Attention")</f>
        <v/>
      </c>
      <c r="K1546" s="126">
        <f>IF(E1546&gt;=5000,"🏆 Platinum",IF(E1546&gt;=2000,"🥇 Gold",IF(E1546&gt;=800,"🥈 Silver","🥉 Bronze")))</f>
        <v/>
      </c>
      <c r="L1546" s="129" t="n">
        <v>40826</v>
      </c>
    </row>
    <row r="1547">
      <c r="A1547" s="122" t="n">
        <v>14452</v>
      </c>
      <c r="B1547" s="122" t="inlineStr">
        <is>
          <t>United Kingdom</t>
        </is>
      </c>
      <c r="C1547" s="122" t="n">
        <v>11</v>
      </c>
      <c r="D1547" s="122" t="n">
        <v>2</v>
      </c>
      <c r="E1547" s="123" t="n">
        <v>264.44</v>
      </c>
      <c r="F1547" s="124">
        <f>IF(C1547&lt;=30,5,IF(C1547&lt;=60,4,IF(C1547&lt;=120,3,IF(C1547&lt;=200,2,1))))</f>
        <v/>
      </c>
      <c r="G1547" s="124">
        <f>IF(D1547&gt;=20,5,IF(D1547&gt;=10,4,IF(D1547&gt;=5,3,IF(D1547&gt;=2,2,1))))</f>
        <v/>
      </c>
      <c r="H1547" s="124">
        <f>IF(E1547&gt;=5000,5,IF(E1547&gt;=2000,4,IF(E1547&gt;=800,3,IF(E1547&gt;=300,2,1))))</f>
        <v/>
      </c>
      <c r="I1547" s="122">
        <f>TEXT(F1547,"0")&amp;TEXT(G1547,"0")&amp;TEXT(H1547,"0")</f>
        <v/>
      </c>
      <c r="J1547" s="122">
        <f>IFERROR(XLOOKUP(I1547,'Segment Map'!A:A,'Segment Map'!B:B,"Need Attention"),"Need Attention")</f>
        <v/>
      </c>
      <c r="K1547" s="122">
        <f>IF(E1547&gt;=5000,"🏆 Platinum",IF(E1547&gt;=2000,"🥇 Gold",IF(E1547&gt;=800,"🥈 Silver","🥉 Bronze")))</f>
        <v/>
      </c>
      <c r="L1547" s="125" t="n">
        <v>40876</v>
      </c>
    </row>
    <row r="1548">
      <c r="A1548" s="126" t="n">
        <v>14453</v>
      </c>
      <c r="B1548" s="126" t="inlineStr">
        <is>
          <t>United Kingdom</t>
        </is>
      </c>
      <c r="C1548" s="126" t="n">
        <v>191</v>
      </c>
      <c r="D1548" s="126" t="n">
        <v>1</v>
      </c>
      <c r="E1548" s="127" t="n">
        <v>119.93</v>
      </c>
      <c r="F1548" s="128">
        <f>IF(C1548&lt;=30,5,IF(C1548&lt;=60,4,IF(C1548&lt;=120,3,IF(C1548&lt;=200,2,1))))</f>
        <v/>
      </c>
      <c r="G1548" s="128">
        <f>IF(D1548&gt;=20,5,IF(D1548&gt;=10,4,IF(D1548&gt;=5,3,IF(D1548&gt;=2,2,1))))</f>
        <v/>
      </c>
      <c r="H1548" s="128">
        <f>IF(E1548&gt;=5000,5,IF(E1548&gt;=2000,4,IF(E1548&gt;=800,3,IF(E1548&gt;=300,2,1))))</f>
        <v/>
      </c>
      <c r="I1548" s="126">
        <f>TEXT(F1548,"0")&amp;TEXT(G1548,"0")&amp;TEXT(H1548,"0")</f>
        <v/>
      </c>
      <c r="J1548" s="126">
        <f>IFERROR(XLOOKUP(I1548,'Segment Map'!A:A,'Segment Map'!B:B,"Need Attention"),"Need Attention")</f>
        <v/>
      </c>
      <c r="K1548" s="126">
        <f>IF(E1548&gt;=5000,"🏆 Platinum",IF(E1548&gt;=2000,"🥇 Gold",IF(E1548&gt;=800,"🥈 Silver","🥉 Bronze")))</f>
        <v/>
      </c>
      <c r="L1548" s="129" t="n">
        <v>40696</v>
      </c>
    </row>
    <row r="1549">
      <c r="A1549" s="122" t="n">
        <v>14456</v>
      </c>
      <c r="B1549" s="122" t="inlineStr">
        <is>
          <t>United Kingdom</t>
        </is>
      </c>
      <c r="C1549" s="122" t="n">
        <v>6</v>
      </c>
      <c r="D1549" s="122" t="n">
        <v>9</v>
      </c>
      <c r="E1549" s="123" t="n">
        <v>3062.4</v>
      </c>
      <c r="F1549" s="124">
        <f>IF(C1549&lt;=30,5,IF(C1549&lt;=60,4,IF(C1549&lt;=120,3,IF(C1549&lt;=200,2,1))))</f>
        <v/>
      </c>
      <c r="G1549" s="124">
        <f>IF(D1549&gt;=20,5,IF(D1549&gt;=10,4,IF(D1549&gt;=5,3,IF(D1549&gt;=2,2,1))))</f>
        <v/>
      </c>
      <c r="H1549" s="124">
        <f>IF(E1549&gt;=5000,5,IF(E1549&gt;=2000,4,IF(E1549&gt;=800,3,IF(E1549&gt;=300,2,1))))</f>
        <v/>
      </c>
      <c r="I1549" s="122">
        <f>TEXT(F1549,"0")&amp;TEXT(G1549,"0")&amp;TEXT(H1549,"0")</f>
        <v/>
      </c>
      <c r="J1549" s="122">
        <f>IFERROR(XLOOKUP(I1549,'Segment Map'!A:A,'Segment Map'!B:B,"Need Attention"),"Need Attention")</f>
        <v/>
      </c>
      <c r="K1549" s="122">
        <f>IF(E1549&gt;=5000,"🏆 Platinum",IF(E1549&gt;=2000,"🥇 Gold",IF(E1549&gt;=800,"🥈 Silver","🥉 Bronze")))</f>
        <v/>
      </c>
      <c r="L1549" s="125" t="n">
        <v>40881</v>
      </c>
    </row>
    <row r="1550">
      <c r="A1550" s="126" t="n">
        <v>14457</v>
      </c>
      <c r="B1550" s="126" t="inlineStr">
        <is>
          <t>United Kingdom</t>
        </is>
      </c>
      <c r="C1550" s="126" t="n">
        <v>311</v>
      </c>
      <c r="D1550" s="126" t="n">
        <v>1</v>
      </c>
      <c r="E1550" s="127" t="n">
        <v>113.64</v>
      </c>
      <c r="F1550" s="128">
        <f>IF(C1550&lt;=30,5,IF(C1550&lt;=60,4,IF(C1550&lt;=120,3,IF(C1550&lt;=200,2,1))))</f>
        <v/>
      </c>
      <c r="G1550" s="128">
        <f>IF(D1550&gt;=20,5,IF(D1550&gt;=10,4,IF(D1550&gt;=5,3,IF(D1550&gt;=2,2,1))))</f>
        <v/>
      </c>
      <c r="H1550" s="128">
        <f>IF(E1550&gt;=5000,5,IF(E1550&gt;=2000,4,IF(E1550&gt;=800,3,IF(E1550&gt;=300,2,1))))</f>
        <v/>
      </c>
      <c r="I1550" s="126">
        <f>TEXT(F1550,"0")&amp;TEXT(G1550,"0")&amp;TEXT(H1550,"0")</f>
        <v/>
      </c>
      <c r="J1550" s="126">
        <f>IFERROR(XLOOKUP(I1550,'Segment Map'!A:A,'Segment Map'!B:B,"Need Attention"),"Need Attention")</f>
        <v/>
      </c>
      <c r="K1550" s="126">
        <f>IF(E1550&gt;=5000,"🏆 Platinum",IF(E1550&gt;=2000,"🥇 Gold",IF(E1550&gt;=800,"🥈 Silver","🥉 Bronze")))</f>
        <v/>
      </c>
      <c r="L1550" s="129" t="n">
        <v>40576</v>
      </c>
    </row>
    <row r="1551">
      <c r="A1551" s="122" t="n">
        <v>14459</v>
      </c>
      <c r="B1551" s="122" t="inlineStr">
        <is>
          <t>United Kingdom</t>
        </is>
      </c>
      <c r="C1551" s="122" t="n">
        <v>156</v>
      </c>
      <c r="D1551" s="122" t="n">
        <v>1</v>
      </c>
      <c r="E1551" s="123" t="n">
        <v>1837.92</v>
      </c>
      <c r="F1551" s="124">
        <f>IF(C1551&lt;=30,5,IF(C1551&lt;=60,4,IF(C1551&lt;=120,3,IF(C1551&lt;=200,2,1))))</f>
        <v/>
      </c>
      <c r="G1551" s="124">
        <f>IF(D1551&gt;=20,5,IF(D1551&gt;=10,4,IF(D1551&gt;=5,3,IF(D1551&gt;=2,2,1))))</f>
        <v/>
      </c>
      <c r="H1551" s="124">
        <f>IF(E1551&gt;=5000,5,IF(E1551&gt;=2000,4,IF(E1551&gt;=800,3,IF(E1551&gt;=300,2,1))))</f>
        <v/>
      </c>
      <c r="I1551" s="122">
        <f>TEXT(F1551,"0")&amp;TEXT(G1551,"0")&amp;TEXT(H1551,"0")</f>
        <v/>
      </c>
      <c r="J1551" s="122">
        <f>IFERROR(XLOOKUP(I1551,'Segment Map'!A:A,'Segment Map'!B:B,"Need Attention"),"Need Attention")</f>
        <v/>
      </c>
      <c r="K1551" s="122">
        <f>IF(E1551&gt;=5000,"🏆 Platinum",IF(E1551&gt;=2000,"🥇 Gold",IF(E1551&gt;=800,"🥈 Silver","🥉 Bronze")))</f>
        <v/>
      </c>
      <c r="L1551" s="125" t="n">
        <v>40731</v>
      </c>
    </row>
    <row r="1552">
      <c r="A1552" s="126" t="n">
        <v>14460</v>
      </c>
      <c r="B1552" s="126" t="inlineStr">
        <is>
          <t>United Kingdom</t>
        </is>
      </c>
      <c r="C1552" s="126" t="n">
        <v>111</v>
      </c>
      <c r="D1552" s="126" t="n">
        <v>3</v>
      </c>
      <c r="E1552" s="127" t="n">
        <v>434.34</v>
      </c>
      <c r="F1552" s="128">
        <f>IF(C1552&lt;=30,5,IF(C1552&lt;=60,4,IF(C1552&lt;=120,3,IF(C1552&lt;=200,2,1))))</f>
        <v/>
      </c>
      <c r="G1552" s="128">
        <f>IF(D1552&gt;=20,5,IF(D1552&gt;=10,4,IF(D1552&gt;=5,3,IF(D1552&gt;=2,2,1))))</f>
        <v/>
      </c>
      <c r="H1552" s="128">
        <f>IF(E1552&gt;=5000,5,IF(E1552&gt;=2000,4,IF(E1552&gt;=800,3,IF(E1552&gt;=300,2,1))))</f>
        <v/>
      </c>
      <c r="I1552" s="126">
        <f>TEXT(F1552,"0")&amp;TEXT(G1552,"0")&amp;TEXT(H1552,"0")</f>
        <v/>
      </c>
      <c r="J1552" s="126">
        <f>IFERROR(XLOOKUP(I1552,'Segment Map'!A:A,'Segment Map'!B:B,"Need Attention"),"Need Attention")</f>
        <v/>
      </c>
      <c r="K1552" s="126">
        <f>IF(E1552&gt;=5000,"🏆 Platinum",IF(E1552&gt;=2000,"🥇 Gold",IF(E1552&gt;=800,"🥈 Silver","🥉 Bronze")))</f>
        <v/>
      </c>
      <c r="L1552" s="129" t="n">
        <v>40776</v>
      </c>
    </row>
    <row r="1553">
      <c r="A1553" s="122" t="n">
        <v>14461</v>
      </c>
      <c r="B1553" s="122" t="inlineStr">
        <is>
          <t>United Kingdom</t>
        </is>
      </c>
      <c r="C1553" s="122" t="n">
        <v>149</v>
      </c>
      <c r="D1553" s="122" t="n">
        <v>3</v>
      </c>
      <c r="E1553" s="123" t="n">
        <v>2103.06</v>
      </c>
      <c r="F1553" s="124">
        <f>IF(C1553&lt;=30,5,IF(C1553&lt;=60,4,IF(C1553&lt;=120,3,IF(C1553&lt;=200,2,1))))</f>
        <v/>
      </c>
      <c r="G1553" s="124">
        <f>IF(D1553&gt;=20,5,IF(D1553&gt;=10,4,IF(D1553&gt;=5,3,IF(D1553&gt;=2,2,1))))</f>
        <v/>
      </c>
      <c r="H1553" s="124">
        <f>IF(E1553&gt;=5000,5,IF(E1553&gt;=2000,4,IF(E1553&gt;=800,3,IF(E1553&gt;=300,2,1))))</f>
        <v/>
      </c>
      <c r="I1553" s="122">
        <f>TEXT(F1553,"0")&amp;TEXT(G1553,"0")&amp;TEXT(H1553,"0")</f>
        <v/>
      </c>
      <c r="J1553" s="122">
        <f>IFERROR(XLOOKUP(I1553,'Segment Map'!A:A,'Segment Map'!B:B,"Need Attention"),"Need Attention")</f>
        <v/>
      </c>
      <c r="K1553" s="122">
        <f>IF(E1553&gt;=5000,"🏆 Platinum",IF(E1553&gt;=2000,"🥇 Gold",IF(E1553&gt;=800,"🥈 Silver","🥉 Bronze")))</f>
        <v/>
      </c>
      <c r="L1553" s="125" t="n">
        <v>40738</v>
      </c>
    </row>
    <row r="1554">
      <c r="A1554" s="126" t="n">
        <v>14462</v>
      </c>
      <c r="B1554" s="126" t="inlineStr">
        <is>
          <t>United Kingdom</t>
        </is>
      </c>
      <c r="C1554" s="126" t="n">
        <v>67</v>
      </c>
      <c r="D1554" s="126" t="n">
        <v>11</v>
      </c>
      <c r="E1554" s="127" t="n">
        <v>2004.02</v>
      </c>
      <c r="F1554" s="128">
        <f>IF(C1554&lt;=30,5,IF(C1554&lt;=60,4,IF(C1554&lt;=120,3,IF(C1554&lt;=200,2,1))))</f>
        <v/>
      </c>
      <c r="G1554" s="128">
        <f>IF(D1554&gt;=20,5,IF(D1554&gt;=10,4,IF(D1554&gt;=5,3,IF(D1554&gt;=2,2,1))))</f>
        <v/>
      </c>
      <c r="H1554" s="128">
        <f>IF(E1554&gt;=5000,5,IF(E1554&gt;=2000,4,IF(E1554&gt;=800,3,IF(E1554&gt;=300,2,1))))</f>
        <v/>
      </c>
      <c r="I1554" s="126">
        <f>TEXT(F1554,"0")&amp;TEXT(G1554,"0")&amp;TEXT(H1554,"0")</f>
        <v/>
      </c>
      <c r="J1554" s="126">
        <f>IFERROR(XLOOKUP(I1554,'Segment Map'!A:A,'Segment Map'!B:B,"Need Attention"),"Need Attention")</f>
        <v/>
      </c>
      <c r="K1554" s="126">
        <f>IF(E1554&gt;=5000,"🏆 Platinum",IF(E1554&gt;=2000,"🥇 Gold",IF(E1554&gt;=800,"🥈 Silver","🥉 Bronze")))</f>
        <v/>
      </c>
      <c r="L1554" s="129" t="n">
        <v>40820</v>
      </c>
    </row>
    <row r="1555">
      <c r="A1555" s="122" t="n">
        <v>14463</v>
      </c>
      <c r="B1555" s="122" t="inlineStr">
        <is>
          <t>United Kingdom</t>
        </is>
      </c>
      <c r="C1555" s="122" t="n">
        <v>99</v>
      </c>
      <c r="D1555" s="122" t="n">
        <v>3</v>
      </c>
      <c r="E1555" s="123" t="n">
        <v>529.62</v>
      </c>
      <c r="F1555" s="124">
        <f>IF(C1555&lt;=30,5,IF(C1555&lt;=60,4,IF(C1555&lt;=120,3,IF(C1555&lt;=200,2,1))))</f>
        <v/>
      </c>
      <c r="G1555" s="124">
        <f>IF(D1555&gt;=20,5,IF(D1555&gt;=10,4,IF(D1555&gt;=5,3,IF(D1555&gt;=2,2,1))))</f>
        <v/>
      </c>
      <c r="H1555" s="124">
        <f>IF(E1555&gt;=5000,5,IF(E1555&gt;=2000,4,IF(E1555&gt;=800,3,IF(E1555&gt;=300,2,1))))</f>
        <v/>
      </c>
      <c r="I1555" s="122">
        <f>TEXT(F1555,"0")&amp;TEXT(G1555,"0")&amp;TEXT(H1555,"0")</f>
        <v/>
      </c>
      <c r="J1555" s="122">
        <f>IFERROR(XLOOKUP(I1555,'Segment Map'!A:A,'Segment Map'!B:B,"Need Attention"),"Need Attention")</f>
        <v/>
      </c>
      <c r="K1555" s="122">
        <f>IF(E1555&gt;=5000,"🏆 Platinum",IF(E1555&gt;=2000,"🥇 Gold",IF(E1555&gt;=800,"🥈 Silver","🥉 Bronze")))</f>
        <v/>
      </c>
      <c r="L1555" s="125" t="n">
        <v>40788</v>
      </c>
    </row>
    <row r="1556">
      <c r="A1556" s="126" t="n">
        <v>14465</v>
      </c>
      <c r="B1556" s="126" t="inlineStr">
        <is>
          <t>United Kingdom</t>
        </is>
      </c>
      <c r="C1556" s="126" t="n">
        <v>247</v>
      </c>
      <c r="D1556" s="126" t="n">
        <v>3</v>
      </c>
      <c r="E1556" s="127" t="n">
        <v>1058.62</v>
      </c>
      <c r="F1556" s="128">
        <f>IF(C1556&lt;=30,5,IF(C1556&lt;=60,4,IF(C1556&lt;=120,3,IF(C1556&lt;=200,2,1))))</f>
        <v/>
      </c>
      <c r="G1556" s="128">
        <f>IF(D1556&gt;=20,5,IF(D1556&gt;=10,4,IF(D1556&gt;=5,3,IF(D1556&gt;=2,2,1))))</f>
        <v/>
      </c>
      <c r="H1556" s="128">
        <f>IF(E1556&gt;=5000,5,IF(E1556&gt;=2000,4,IF(E1556&gt;=800,3,IF(E1556&gt;=300,2,1))))</f>
        <v/>
      </c>
      <c r="I1556" s="126">
        <f>TEXT(F1556,"0")&amp;TEXT(G1556,"0")&amp;TEXT(H1556,"0")</f>
        <v/>
      </c>
      <c r="J1556" s="126">
        <f>IFERROR(XLOOKUP(I1556,'Segment Map'!A:A,'Segment Map'!B:B,"Need Attention"),"Need Attention")</f>
        <v/>
      </c>
      <c r="K1556" s="126">
        <f>IF(E1556&gt;=5000,"🏆 Platinum",IF(E1556&gt;=2000,"🥇 Gold",IF(E1556&gt;=800,"🥈 Silver","🥉 Bronze")))</f>
        <v/>
      </c>
      <c r="L1556" s="129" t="n">
        <v>40640</v>
      </c>
    </row>
    <row r="1557">
      <c r="A1557" s="122" t="n">
        <v>14466</v>
      </c>
      <c r="B1557" s="122" t="inlineStr">
        <is>
          <t>United Kingdom</t>
        </is>
      </c>
      <c r="C1557" s="122" t="n">
        <v>30</v>
      </c>
      <c r="D1557" s="122" t="n">
        <v>7</v>
      </c>
      <c r="E1557" s="123" t="n">
        <v>2272.4</v>
      </c>
      <c r="F1557" s="124">
        <f>IF(C1557&lt;=30,5,IF(C1557&lt;=60,4,IF(C1557&lt;=120,3,IF(C1557&lt;=200,2,1))))</f>
        <v/>
      </c>
      <c r="G1557" s="124">
        <f>IF(D1557&gt;=20,5,IF(D1557&gt;=10,4,IF(D1557&gt;=5,3,IF(D1557&gt;=2,2,1))))</f>
        <v/>
      </c>
      <c r="H1557" s="124">
        <f>IF(E1557&gt;=5000,5,IF(E1557&gt;=2000,4,IF(E1557&gt;=800,3,IF(E1557&gt;=300,2,1))))</f>
        <v/>
      </c>
      <c r="I1557" s="122">
        <f>TEXT(F1557,"0")&amp;TEXT(G1557,"0")&amp;TEXT(H1557,"0")</f>
        <v/>
      </c>
      <c r="J1557" s="122">
        <f>IFERROR(XLOOKUP(I1557,'Segment Map'!A:A,'Segment Map'!B:B,"Need Attention"),"Need Attention")</f>
        <v/>
      </c>
      <c r="K1557" s="122">
        <f>IF(E1557&gt;=5000,"🏆 Platinum",IF(E1557&gt;=2000,"🥇 Gold",IF(E1557&gt;=800,"🥈 Silver","🥉 Bronze")))</f>
        <v/>
      </c>
      <c r="L1557" s="125" t="n">
        <v>40857</v>
      </c>
    </row>
    <row r="1558">
      <c r="A1558" s="126" t="n">
        <v>14467</v>
      </c>
      <c r="B1558" s="126" t="inlineStr">
        <is>
          <t>United Kingdom</t>
        </is>
      </c>
      <c r="C1558" s="126" t="n">
        <v>18</v>
      </c>
      <c r="D1558" s="126" t="n">
        <v>4</v>
      </c>
      <c r="E1558" s="127" t="n">
        <v>598.76</v>
      </c>
      <c r="F1558" s="128">
        <f>IF(C1558&lt;=30,5,IF(C1558&lt;=60,4,IF(C1558&lt;=120,3,IF(C1558&lt;=200,2,1))))</f>
        <v/>
      </c>
      <c r="G1558" s="128">
        <f>IF(D1558&gt;=20,5,IF(D1558&gt;=10,4,IF(D1558&gt;=5,3,IF(D1558&gt;=2,2,1))))</f>
        <v/>
      </c>
      <c r="H1558" s="128">
        <f>IF(E1558&gt;=5000,5,IF(E1558&gt;=2000,4,IF(E1558&gt;=800,3,IF(E1558&gt;=300,2,1))))</f>
        <v/>
      </c>
      <c r="I1558" s="126">
        <f>TEXT(F1558,"0")&amp;TEXT(G1558,"0")&amp;TEXT(H1558,"0")</f>
        <v/>
      </c>
      <c r="J1558" s="126">
        <f>IFERROR(XLOOKUP(I1558,'Segment Map'!A:A,'Segment Map'!B:B,"Need Attention"),"Need Attention")</f>
        <v/>
      </c>
      <c r="K1558" s="126">
        <f>IF(E1558&gt;=5000,"🏆 Platinum",IF(E1558&gt;=2000,"🥇 Gold",IF(E1558&gt;=800,"🥈 Silver","🥉 Bronze")))</f>
        <v/>
      </c>
      <c r="L1558" s="129" t="n">
        <v>40869</v>
      </c>
    </row>
    <row r="1559">
      <c r="A1559" s="122" t="n">
        <v>14470</v>
      </c>
      <c r="B1559" s="122" t="inlineStr">
        <is>
          <t>United Kingdom</t>
        </is>
      </c>
      <c r="C1559" s="122" t="n">
        <v>12</v>
      </c>
      <c r="D1559" s="122" t="n">
        <v>2</v>
      </c>
      <c r="E1559" s="123" t="n">
        <v>461.19</v>
      </c>
      <c r="F1559" s="124">
        <f>IF(C1559&lt;=30,5,IF(C1559&lt;=60,4,IF(C1559&lt;=120,3,IF(C1559&lt;=200,2,1))))</f>
        <v/>
      </c>
      <c r="G1559" s="124">
        <f>IF(D1559&gt;=20,5,IF(D1559&gt;=10,4,IF(D1559&gt;=5,3,IF(D1559&gt;=2,2,1))))</f>
        <v/>
      </c>
      <c r="H1559" s="124">
        <f>IF(E1559&gt;=5000,5,IF(E1559&gt;=2000,4,IF(E1559&gt;=800,3,IF(E1559&gt;=300,2,1))))</f>
        <v/>
      </c>
      <c r="I1559" s="122">
        <f>TEXT(F1559,"0")&amp;TEXT(G1559,"0")&amp;TEXT(H1559,"0")</f>
        <v/>
      </c>
      <c r="J1559" s="122">
        <f>IFERROR(XLOOKUP(I1559,'Segment Map'!A:A,'Segment Map'!B:B,"Need Attention"),"Need Attention")</f>
        <v/>
      </c>
      <c r="K1559" s="122">
        <f>IF(E1559&gt;=5000,"🏆 Platinum",IF(E1559&gt;=2000,"🥇 Gold",IF(E1559&gt;=800,"🥈 Silver","🥉 Bronze")))</f>
        <v/>
      </c>
      <c r="L1559" s="125" t="n">
        <v>40875</v>
      </c>
    </row>
    <row r="1560">
      <c r="A1560" s="126" t="n">
        <v>14472</v>
      </c>
      <c r="B1560" s="126" t="inlineStr">
        <is>
          <t>United Kingdom</t>
        </is>
      </c>
      <c r="C1560" s="126" t="n">
        <v>104</v>
      </c>
      <c r="D1560" s="126" t="n">
        <v>8</v>
      </c>
      <c r="E1560" s="127" t="n">
        <v>1936.84</v>
      </c>
      <c r="F1560" s="128">
        <f>IF(C1560&lt;=30,5,IF(C1560&lt;=60,4,IF(C1560&lt;=120,3,IF(C1560&lt;=200,2,1))))</f>
        <v/>
      </c>
      <c r="G1560" s="128">
        <f>IF(D1560&gt;=20,5,IF(D1560&gt;=10,4,IF(D1560&gt;=5,3,IF(D1560&gt;=2,2,1))))</f>
        <v/>
      </c>
      <c r="H1560" s="128">
        <f>IF(E1560&gt;=5000,5,IF(E1560&gt;=2000,4,IF(E1560&gt;=800,3,IF(E1560&gt;=300,2,1))))</f>
        <v/>
      </c>
      <c r="I1560" s="126">
        <f>TEXT(F1560,"0")&amp;TEXT(G1560,"0")&amp;TEXT(H1560,"0")</f>
        <v/>
      </c>
      <c r="J1560" s="126">
        <f>IFERROR(XLOOKUP(I1560,'Segment Map'!A:A,'Segment Map'!B:B,"Need Attention"),"Need Attention")</f>
        <v/>
      </c>
      <c r="K1560" s="126">
        <f>IF(E1560&gt;=5000,"🏆 Platinum",IF(E1560&gt;=2000,"🥇 Gold",IF(E1560&gt;=800,"🥈 Silver","🥉 Bronze")))</f>
        <v/>
      </c>
      <c r="L1560" s="129" t="n">
        <v>40783</v>
      </c>
    </row>
    <row r="1561">
      <c r="A1561" s="122" t="n">
        <v>14473</v>
      </c>
      <c r="B1561" s="122" t="inlineStr">
        <is>
          <t>United Kingdom</t>
        </is>
      </c>
      <c r="C1561" s="122" t="n">
        <v>75</v>
      </c>
      <c r="D1561" s="122" t="n">
        <v>2</v>
      </c>
      <c r="E1561" s="123" t="n">
        <v>234.34</v>
      </c>
      <c r="F1561" s="124">
        <f>IF(C1561&lt;=30,5,IF(C1561&lt;=60,4,IF(C1561&lt;=120,3,IF(C1561&lt;=200,2,1))))</f>
        <v/>
      </c>
      <c r="G1561" s="124">
        <f>IF(D1561&gt;=20,5,IF(D1561&gt;=10,4,IF(D1561&gt;=5,3,IF(D1561&gt;=2,2,1))))</f>
        <v/>
      </c>
      <c r="H1561" s="124">
        <f>IF(E1561&gt;=5000,5,IF(E1561&gt;=2000,4,IF(E1561&gt;=800,3,IF(E1561&gt;=300,2,1))))</f>
        <v/>
      </c>
      <c r="I1561" s="122">
        <f>TEXT(F1561,"0")&amp;TEXT(G1561,"0")&amp;TEXT(H1561,"0")</f>
        <v/>
      </c>
      <c r="J1561" s="122">
        <f>IFERROR(XLOOKUP(I1561,'Segment Map'!A:A,'Segment Map'!B:B,"Need Attention"),"Need Attention")</f>
        <v/>
      </c>
      <c r="K1561" s="122">
        <f>IF(E1561&gt;=5000,"🏆 Platinum",IF(E1561&gt;=2000,"🥇 Gold",IF(E1561&gt;=800,"🥈 Silver","🥉 Bronze")))</f>
        <v/>
      </c>
      <c r="L1561" s="125" t="n">
        <v>40812</v>
      </c>
    </row>
    <row r="1562">
      <c r="A1562" s="126" t="n">
        <v>14474</v>
      </c>
      <c r="B1562" s="126" t="inlineStr">
        <is>
          <t>United Kingdom</t>
        </is>
      </c>
      <c r="C1562" s="126" t="n">
        <v>47</v>
      </c>
      <c r="D1562" s="126" t="n">
        <v>1</v>
      </c>
      <c r="E1562" s="127" t="n">
        <v>547.66</v>
      </c>
      <c r="F1562" s="128">
        <f>IF(C1562&lt;=30,5,IF(C1562&lt;=60,4,IF(C1562&lt;=120,3,IF(C1562&lt;=200,2,1))))</f>
        <v/>
      </c>
      <c r="G1562" s="128">
        <f>IF(D1562&gt;=20,5,IF(D1562&gt;=10,4,IF(D1562&gt;=5,3,IF(D1562&gt;=2,2,1))))</f>
        <v/>
      </c>
      <c r="H1562" s="128">
        <f>IF(E1562&gt;=5000,5,IF(E1562&gt;=2000,4,IF(E1562&gt;=800,3,IF(E1562&gt;=300,2,1))))</f>
        <v/>
      </c>
      <c r="I1562" s="126">
        <f>TEXT(F1562,"0")&amp;TEXT(G1562,"0")&amp;TEXT(H1562,"0")</f>
        <v/>
      </c>
      <c r="J1562" s="126">
        <f>IFERROR(XLOOKUP(I1562,'Segment Map'!A:A,'Segment Map'!B:B,"Need Attention"),"Need Attention")</f>
        <v/>
      </c>
      <c r="K1562" s="126">
        <f>IF(E1562&gt;=5000,"🏆 Platinum",IF(E1562&gt;=2000,"🥇 Gold",IF(E1562&gt;=800,"🥈 Silver","🥉 Bronze")))</f>
        <v/>
      </c>
      <c r="L1562" s="129" t="n">
        <v>40840</v>
      </c>
    </row>
    <row r="1563">
      <c r="A1563" s="122" t="n">
        <v>14475</v>
      </c>
      <c r="B1563" s="122" t="inlineStr">
        <is>
          <t>United Kingdom</t>
        </is>
      </c>
      <c r="C1563" s="122" t="n">
        <v>72</v>
      </c>
      <c r="D1563" s="122" t="n">
        <v>3</v>
      </c>
      <c r="E1563" s="123" t="n">
        <v>925.85</v>
      </c>
      <c r="F1563" s="124">
        <f>IF(C1563&lt;=30,5,IF(C1563&lt;=60,4,IF(C1563&lt;=120,3,IF(C1563&lt;=200,2,1))))</f>
        <v/>
      </c>
      <c r="G1563" s="124">
        <f>IF(D1563&gt;=20,5,IF(D1563&gt;=10,4,IF(D1563&gt;=5,3,IF(D1563&gt;=2,2,1))))</f>
        <v/>
      </c>
      <c r="H1563" s="124">
        <f>IF(E1563&gt;=5000,5,IF(E1563&gt;=2000,4,IF(E1563&gt;=800,3,IF(E1563&gt;=300,2,1))))</f>
        <v/>
      </c>
      <c r="I1563" s="122">
        <f>TEXT(F1563,"0")&amp;TEXT(G1563,"0")&amp;TEXT(H1563,"0")</f>
        <v/>
      </c>
      <c r="J1563" s="122">
        <f>IFERROR(XLOOKUP(I1563,'Segment Map'!A:A,'Segment Map'!B:B,"Need Attention"),"Need Attention")</f>
        <v/>
      </c>
      <c r="K1563" s="122">
        <f>IF(E1563&gt;=5000,"🏆 Platinum",IF(E1563&gt;=2000,"🥇 Gold",IF(E1563&gt;=800,"🥈 Silver","🥉 Bronze")))</f>
        <v/>
      </c>
      <c r="L1563" s="125" t="n">
        <v>40815</v>
      </c>
    </row>
    <row r="1564">
      <c r="A1564" s="126" t="n">
        <v>14476</v>
      </c>
      <c r="B1564" s="126" t="inlineStr">
        <is>
          <t>United Kingdom</t>
        </is>
      </c>
      <c r="C1564" s="126" t="n">
        <v>258</v>
      </c>
      <c r="D1564" s="126" t="n">
        <v>1</v>
      </c>
      <c r="E1564" s="127" t="n">
        <v>215.7</v>
      </c>
      <c r="F1564" s="128">
        <f>IF(C1564&lt;=30,5,IF(C1564&lt;=60,4,IF(C1564&lt;=120,3,IF(C1564&lt;=200,2,1))))</f>
        <v/>
      </c>
      <c r="G1564" s="128">
        <f>IF(D1564&gt;=20,5,IF(D1564&gt;=10,4,IF(D1564&gt;=5,3,IF(D1564&gt;=2,2,1))))</f>
        <v/>
      </c>
      <c r="H1564" s="128">
        <f>IF(E1564&gt;=5000,5,IF(E1564&gt;=2000,4,IF(E1564&gt;=800,3,IF(E1564&gt;=300,2,1))))</f>
        <v/>
      </c>
      <c r="I1564" s="126">
        <f>TEXT(F1564,"0")&amp;TEXT(G1564,"0")&amp;TEXT(H1564,"0")</f>
        <v/>
      </c>
      <c r="J1564" s="126">
        <f>IFERROR(XLOOKUP(I1564,'Segment Map'!A:A,'Segment Map'!B:B,"Need Attention"),"Need Attention")</f>
        <v/>
      </c>
      <c r="K1564" s="126">
        <f>IF(E1564&gt;=5000,"🏆 Platinum",IF(E1564&gt;=2000,"🥇 Gold",IF(E1564&gt;=800,"🥈 Silver","🥉 Bronze")))</f>
        <v/>
      </c>
      <c r="L1564" s="129" t="n">
        <v>40629</v>
      </c>
    </row>
    <row r="1565">
      <c r="A1565" s="122" t="n">
        <v>14477</v>
      </c>
      <c r="B1565" s="122" t="inlineStr">
        <is>
          <t>United Kingdom</t>
        </is>
      </c>
      <c r="C1565" s="122" t="n">
        <v>20</v>
      </c>
      <c r="D1565" s="122" t="n">
        <v>4</v>
      </c>
      <c r="E1565" s="123" t="n">
        <v>1309.6</v>
      </c>
      <c r="F1565" s="124">
        <f>IF(C1565&lt;=30,5,IF(C1565&lt;=60,4,IF(C1565&lt;=120,3,IF(C1565&lt;=200,2,1))))</f>
        <v/>
      </c>
      <c r="G1565" s="124">
        <f>IF(D1565&gt;=20,5,IF(D1565&gt;=10,4,IF(D1565&gt;=5,3,IF(D1565&gt;=2,2,1))))</f>
        <v/>
      </c>
      <c r="H1565" s="124">
        <f>IF(E1565&gt;=5000,5,IF(E1565&gt;=2000,4,IF(E1565&gt;=800,3,IF(E1565&gt;=300,2,1))))</f>
        <v/>
      </c>
      <c r="I1565" s="122">
        <f>TEXT(F1565,"0")&amp;TEXT(G1565,"0")&amp;TEXT(H1565,"0")</f>
        <v/>
      </c>
      <c r="J1565" s="122">
        <f>IFERROR(XLOOKUP(I1565,'Segment Map'!A:A,'Segment Map'!B:B,"Need Attention"),"Need Attention")</f>
        <v/>
      </c>
      <c r="K1565" s="122">
        <f>IF(E1565&gt;=5000,"🏆 Platinum",IF(E1565&gt;=2000,"🥇 Gold",IF(E1565&gt;=800,"🥈 Silver","🥉 Bronze")))</f>
        <v/>
      </c>
      <c r="L1565" s="125" t="n">
        <v>40867</v>
      </c>
    </row>
    <row r="1566">
      <c r="A1566" s="126" t="n">
        <v>14479</v>
      </c>
      <c r="B1566" s="126" t="inlineStr">
        <is>
          <t>United Kingdom</t>
        </is>
      </c>
      <c r="C1566" s="126" t="n">
        <v>254</v>
      </c>
      <c r="D1566" s="126" t="n">
        <v>2</v>
      </c>
      <c r="E1566" s="127" t="n">
        <v>316.25</v>
      </c>
      <c r="F1566" s="128">
        <f>IF(C1566&lt;=30,5,IF(C1566&lt;=60,4,IF(C1566&lt;=120,3,IF(C1566&lt;=200,2,1))))</f>
        <v/>
      </c>
      <c r="G1566" s="128">
        <f>IF(D1566&gt;=20,5,IF(D1566&gt;=10,4,IF(D1566&gt;=5,3,IF(D1566&gt;=2,2,1))))</f>
        <v/>
      </c>
      <c r="H1566" s="128">
        <f>IF(E1566&gt;=5000,5,IF(E1566&gt;=2000,4,IF(E1566&gt;=800,3,IF(E1566&gt;=300,2,1))))</f>
        <v/>
      </c>
      <c r="I1566" s="126">
        <f>TEXT(F1566,"0")&amp;TEXT(G1566,"0")&amp;TEXT(H1566,"0")</f>
        <v/>
      </c>
      <c r="J1566" s="126">
        <f>IFERROR(XLOOKUP(I1566,'Segment Map'!A:A,'Segment Map'!B:B,"Need Attention"),"Need Attention")</f>
        <v/>
      </c>
      <c r="K1566" s="126">
        <f>IF(E1566&gt;=5000,"🏆 Platinum",IF(E1566&gt;=2000,"🥇 Gold",IF(E1566&gt;=800,"🥈 Silver","🥉 Bronze")))</f>
        <v/>
      </c>
      <c r="L1566" s="129" t="n">
        <v>40633</v>
      </c>
    </row>
    <row r="1567">
      <c r="A1567" s="122" t="n">
        <v>14480</v>
      </c>
      <c r="B1567" s="122" t="inlineStr">
        <is>
          <t>United Kingdom</t>
        </is>
      </c>
      <c r="C1567" s="122" t="n">
        <v>12</v>
      </c>
      <c r="D1567" s="122" t="n">
        <v>1</v>
      </c>
      <c r="E1567" s="123" t="n">
        <v>279.05</v>
      </c>
      <c r="F1567" s="124">
        <f>IF(C1567&lt;=30,5,IF(C1567&lt;=60,4,IF(C1567&lt;=120,3,IF(C1567&lt;=200,2,1))))</f>
        <v/>
      </c>
      <c r="G1567" s="124">
        <f>IF(D1567&gt;=20,5,IF(D1567&gt;=10,4,IF(D1567&gt;=5,3,IF(D1567&gt;=2,2,1))))</f>
        <v/>
      </c>
      <c r="H1567" s="124">
        <f>IF(E1567&gt;=5000,5,IF(E1567&gt;=2000,4,IF(E1567&gt;=800,3,IF(E1567&gt;=300,2,1))))</f>
        <v/>
      </c>
      <c r="I1567" s="122">
        <f>TEXT(F1567,"0")&amp;TEXT(G1567,"0")&amp;TEXT(H1567,"0")</f>
        <v/>
      </c>
      <c r="J1567" s="122">
        <f>IFERROR(XLOOKUP(I1567,'Segment Map'!A:A,'Segment Map'!B:B,"Need Attention"),"Need Attention")</f>
        <v/>
      </c>
      <c r="K1567" s="122">
        <f>IF(E1567&gt;=5000,"🏆 Platinum",IF(E1567&gt;=2000,"🥇 Gold",IF(E1567&gt;=800,"🥈 Silver","🥉 Bronze")))</f>
        <v/>
      </c>
      <c r="L1567" s="125" t="n">
        <v>40875</v>
      </c>
    </row>
    <row r="1568">
      <c r="A1568" s="126" t="n">
        <v>14481</v>
      </c>
      <c r="B1568" s="126" t="inlineStr">
        <is>
          <t>United Kingdom</t>
        </is>
      </c>
      <c r="C1568" s="126" t="n">
        <v>165</v>
      </c>
      <c r="D1568" s="126" t="n">
        <v>2</v>
      </c>
      <c r="E1568" s="127" t="n">
        <v>636.51</v>
      </c>
      <c r="F1568" s="128">
        <f>IF(C1568&lt;=30,5,IF(C1568&lt;=60,4,IF(C1568&lt;=120,3,IF(C1568&lt;=200,2,1))))</f>
        <v/>
      </c>
      <c r="G1568" s="128">
        <f>IF(D1568&gt;=20,5,IF(D1568&gt;=10,4,IF(D1568&gt;=5,3,IF(D1568&gt;=2,2,1))))</f>
        <v/>
      </c>
      <c r="H1568" s="128">
        <f>IF(E1568&gt;=5000,5,IF(E1568&gt;=2000,4,IF(E1568&gt;=800,3,IF(E1568&gt;=300,2,1))))</f>
        <v/>
      </c>
      <c r="I1568" s="126">
        <f>TEXT(F1568,"0")&amp;TEXT(G1568,"0")&amp;TEXT(H1568,"0")</f>
        <v/>
      </c>
      <c r="J1568" s="126">
        <f>IFERROR(XLOOKUP(I1568,'Segment Map'!A:A,'Segment Map'!B:B,"Need Attention"),"Need Attention")</f>
        <v/>
      </c>
      <c r="K1568" s="126">
        <f>IF(E1568&gt;=5000,"🏆 Platinum",IF(E1568&gt;=2000,"🥇 Gold",IF(E1568&gt;=800,"🥈 Silver","🥉 Bronze")))</f>
        <v/>
      </c>
      <c r="L1568" s="129" t="n">
        <v>40722</v>
      </c>
    </row>
    <row r="1569">
      <c r="A1569" s="122" t="n">
        <v>14482</v>
      </c>
      <c r="B1569" s="122" t="inlineStr">
        <is>
          <t>United Kingdom</t>
        </is>
      </c>
      <c r="C1569" s="122" t="n">
        <v>19</v>
      </c>
      <c r="D1569" s="122" t="n">
        <v>6</v>
      </c>
      <c r="E1569" s="123" t="n">
        <v>2068.15</v>
      </c>
      <c r="F1569" s="124">
        <f>IF(C1569&lt;=30,5,IF(C1569&lt;=60,4,IF(C1569&lt;=120,3,IF(C1569&lt;=200,2,1))))</f>
        <v/>
      </c>
      <c r="G1569" s="124">
        <f>IF(D1569&gt;=20,5,IF(D1569&gt;=10,4,IF(D1569&gt;=5,3,IF(D1569&gt;=2,2,1))))</f>
        <v/>
      </c>
      <c r="H1569" s="124">
        <f>IF(E1569&gt;=5000,5,IF(E1569&gt;=2000,4,IF(E1569&gt;=800,3,IF(E1569&gt;=300,2,1))))</f>
        <v/>
      </c>
      <c r="I1569" s="122">
        <f>TEXT(F1569,"0")&amp;TEXT(G1569,"0")&amp;TEXT(H1569,"0")</f>
        <v/>
      </c>
      <c r="J1569" s="122">
        <f>IFERROR(XLOOKUP(I1569,'Segment Map'!A:A,'Segment Map'!B:B,"Need Attention"),"Need Attention")</f>
        <v/>
      </c>
      <c r="K1569" s="122">
        <f>IF(E1569&gt;=5000,"🏆 Platinum",IF(E1569&gt;=2000,"🥇 Gold",IF(E1569&gt;=800,"🥈 Silver","🥉 Bronze")))</f>
        <v/>
      </c>
      <c r="L1569" s="125" t="n">
        <v>40868</v>
      </c>
    </row>
    <row r="1570">
      <c r="A1570" s="126" t="n">
        <v>14483</v>
      </c>
      <c r="B1570" s="126" t="inlineStr">
        <is>
          <t>United Kingdom</t>
        </is>
      </c>
      <c r="C1570" s="126" t="n">
        <v>282</v>
      </c>
      <c r="D1570" s="126" t="n">
        <v>1</v>
      </c>
      <c r="E1570" s="127" t="n">
        <v>137.1</v>
      </c>
      <c r="F1570" s="128">
        <f>IF(C1570&lt;=30,5,IF(C1570&lt;=60,4,IF(C1570&lt;=120,3,IF(C1570&lt;=200,2,1))))</f>
        <v/>
      </c>
      <c r="G1570" s="128">
        <f>IF(D1570&gt;=20,5,IF(D1570&gt;=10,4,IF(D1570&gt;=5,3,IF(D1570&gt;=2,2,1))))</f>
        <v/>
      </c>
      <c r="H1570" s="128">
        <f>IF(E1570&gt;=5000,5,IF(E1570&gt;=2000,4,IF(E1570&gt;=800,3,IF(E1570&gt;=300,2,1))))</f>
        <v/>
      </c>
      <c r="I1570" s="126">
        <f>TEXT(F1570,"0")&amp;TEXT(G1570,"0")&amp;TEXT(H1570,"0")</f>
        <v/>
      </c>
      <c r="J1570" s="126">
        <f>IFERROR(XLOOKUP(I1570,'Segment Map'!A:A,'Segment Map'!B:B,"Need Attention"),"Need Attention")</f>
        <v/>
      </c>
      <c r="K1570" s="126">
        <f>IF(E1570&gt;=5000,"🏆 Platinum",IF(E1570&gt;=2000,"🥇 Gold",IF(E1570&gt;=800,"🥈 Silver","🥉 Bronze")))</f>
        <v/>
      </c>
      <c r="L1570" s="129" t="n">
        <v>40605</v>
      </c>
    </row>
    <row r="1571">
      <c r="A1571" s="122" t="n">
        <v>14484</v>
      </c>
      <c r="B1571" s="122" t="inlineStr">
        <is>
          <t>United Kingdom</t>
        </is>
      </c>
      <c r="C1571" s="122" t="n">
        <v>51</v>
      </c>
      <c r="D1571" s="122" t="n">
        <v>1</v>
      </c>
      <c r="E1571" s="123" t="n">
        <v>321.92</v>
      </c>
      <c r="F1571" s="124">
        <f>IF(C1571&lt;=30,5,IF(C1571&lt;=60,4,IF(C1571&lt;=120,3,IF(C1571&lt;=200,2,1))))</f>
        <v/>
      </c>
      <c r="G1571" s="124">
        <f>IF(D1571&gt;=20,5,IF(D1571&gt;=10,4,IF(D1571&gt;=5,3,IF(D1571&gt;=2,2,1))))</f>
        <v/>
      </c>
      <c r="H1571" s="124">
        <f>IF(E1571&gt;=5000,5,IF(E1571&gt;=2000,4,IF(E1571&gt;=800,3,IF(E1571&gt;=300,2,1))))</f>
        <v/>
      </c>
      <c r="I1571" s="122">
        <f>TEXT(F1571,"0")&amp;TEXT(G1571,"0")&amp;TEXT(H1571,"0")</f>
        <v/>
      </c>
      <c r="J1571" s="122">
        <f>IFERROR(XLOOKUP(I1571,'Segment Map'!A:A,'Segment Map'!B:B,"Need Attention"),"Need Attention")</f>
        <v/>
      </c>
      <c r="K1571" s="122">
        <f>IF(E1571&gt;=5000,"🏆 Platinum",IF(E1571&gt;=2000,"🥇 Gold",IF(E1571&gt;=800,"🥈 Silver","🥉 Bronze")))</f>
        <v/>
      </c>
      <c r="L1571" s="125" t="n">
        <v>40836</v>
      </c>
    </row>
    <row r="1572">
      <c r="A1572" s="126" t="n">
        <v>14485</v>
      </c>
      <c r="B1572" s="126" t="inlineStr">
        <is>
          <t>United Kingdom</t>
        </is>
      </c>
      <c r="C1572" s="126" t="n">
        <v>39</v>
      </c>
      <c r="D1572" s="126" t="n">
        <v>1</v>
      </c>
      <c r="E1572" s="127" t="n">
        <v>165.75</v>
      </c>
      <c r="F1572" s="128">
        <f>IF(C1572&lt;=30,5,IF(C1572&lt;=60,4,IF(C1572&lt;=120,3,IF(C1572&lt;=200,2,1))))</f>
        <v/>
      </c>
      <c r="G1572" s="128">
        <f>IF(D1572&gt;=20,5,IF(D1572&gt;=10,4,IF(D1572&gt;=5,3,IF(D1572&gt;=2,2,1))))</f>
        <v/>
      </c>
      <c r="H1572" s="128">
        <f>IF(E1572&gt;=5000,5,IF(E1572&gt;=2000,4,IF(E1572&gt;=800,3,IF(E1572&gt;=300,2,1))))</f>
        <v/>
      </c>
      <c r="I1572" s="126">
        <f>TEXT(F1572,"0")&amp;TEXT(G1572,"0")&amp;TEXT(H1572,"0")</f>
        <v/>
      </c>
      <c r="J1572" s="126">
        <f>IFERROR(XLOOKUP(I1572,'Segment Map'!A:A,'Segment Map'!B:B,"Need Attention"),"Need Attention")</f>
        <v/>
      </c>
      <c r="K1572" s="126">
        <f>IF(E1572&gt;=5000,"🏆 Platinum",IF(E1572&gt;=2000,"🥇 Gold",IF(E1572&gt;=800,"🥈 Silver","🥉 Bronze")))</f>
        <v/>
      </c>
      <c r="L1572" s="129" t="n">
        <v>40848</v>
      </c>
    </row>
    <row r="1573">
      <c r="A1573" s="122" t="n">
        <v>14487</v>
      </c>
      <c r="B1573" s="122" t="inlineStr">
        <is>
          <t>United Kingdom</t>
        </is>
      </c>
      <c r="C1573" s="122" t="n">
        <v>27</v>
      </c>
      <c r="D1573" s="122" t="n">
        <v>6</v>
      </c>
      <c r="E1573" s="123" t="n">
        <v>1196.33</v>
      </c>
      <c r="F1573" s="124">
        <f>IF(C1573&lt;=30,5,IF(C1573&lt;=60,4,IF(C1573&lt;=120,3,IF(C1573&lt;=200,2,1))))</f>
        <v/>
      </c>
      <c r="G1573" s="124">
        <f>IF(D1573&gt;=20,5,IF(D1573&gt;=10,4,IF(D1573&gt;=5,3,IF(D1573&gt;=2,2,1))))</f>
        <v/>
      </c>
      <c r="H1573" s="124">
        <f>IF(E1573&gt;=5000,5,IF(E1573&gt;=2000,4,IF(E1573&gt;=800,3,IF(E1573&gt;=300,2,1))))</f>
        <v/>
      </c>
      <c r="I1573" s="122">
        <f>TEXT(F1573,"0")&amp;TEXT(G1573,"0")&amp;TEXT(H1573,"0")</f>
        <v/>
      </c>
      <c r="J1573" s="122">
        <f>IFERROR(XLOOKUP(I1573,'Segment Map'!A:A,'Segment Map'!B:B,"Need Attention"),"Need Attention")</f>
        <v/>
      </c>
      <c r="K1573" s="122">
        <f>IF(E1573&gt;=5000,"🏆 Platinum",IF(E1573&gt;=2000,"🥇 Gold",IF(E1573&gt;=800,"🥈 Silver","🥉 Bronze")))</f>
        <v/>
      </c>
      <c r="L1573" s="125" t="n">
        <v>40860</v>
      </c>
    </row>
    <row r="1574">
      <c r="A1574" s="126" t="n">
        <v>14488</v>
      </c>
      <c r="B1574" s="126" t="inlineStr">
        <is>
          <t>United Kingdom</t>
        </is>
      </c>
      <c r="C1574" s="126" t="n">
        <v>68</v>
      </c>
      <c r="D1574" s="126" t="n">
        <v>1</v>
      </c>
      <c r="E1574" s="127" t="n">
        <v>1064.28</v>
      </c>
      <c r="F1574" s="128">
        <f>IF(C1574&lt;=30,5,IF(C1574&lt;=60,4,IF(C1574&lt;=120,3,IF(C1574&lt;=200,2,1))))</f>
        <v/>
      </c>
      <c r="G1574" s="128">
        <f>IF(D1574&gt;=20,5,IF(D1574&gt;=10,4,IF(D1574&gt;=5,3,IF(D1574&gt;=2,2,1))))</f>
        <v/>
      </c>
      <c r="H1574" s="128">
        <f>IF(E1574&gt;=5000,5,IF(E1574&gt;=2000,4,IF(E1574&gt;=800,3,IF(E1574&gt;=300,2,1))))</f>
        <v/>
      </c>
      <c r="I1574" s="126">
        <f>TEXT(F1574,"0")&amp;TEXT(G1574,"0")&amp;TEXT(H1574,"0")</f>
        <v/>
      </c>
      <c r="J1574" s="126">
        <f>IFERROR(XLOOKUP(I1574,'Segment Map'!A:A,'Segment Map'!B:B,"Need Attention"),"Need Attention")</f>
        <v/>
      </c>
      <c r="K1574" s="126">
        <f>IF(E1574&gt;=5000,"🏆 Platinum",IF(E1574&gt;=2000,"🥇 Gold",IF(E1574&gt;=800,"🥈 Silver","🥉 Bronze")))</f>
        <v/>
      </c>
      <c r="L1574" s="129" t="n">
        <v>40819</v>
      </c>
    </row>
    <row r="1575">
      <c r="A1575" s="122" t="n">
        <v>14489</v>
      </c>
      <c r="B1575" s="122" t="inlineStr">
        <is>
          <t>United Kingdom</t>
        </is>
      </c>
      <c r="C1575" s="122" t="n">
        <v>208</v>
      </c>
      <c r="D1575" s="122" t="n">
        <v>1</v>
      </c>
      <c r="E1575" s="123" t="n">
        <v>463.38</v>
      </c>
      <c r="F1575" s="124">
        <f>IF(C1575&lt;=30,5,IF(C1575&lt;=60,4,IF(C1575&lt;=120,3,IF(C1575&lt;=200,2,1))))</f>
        <v/>
      </c>
      <c r="G1575" s="124">
        <f>IF(D1575&gt;=20,5,IF(D1575&gt;=10,4,IF(D1575&gt;=5,3,IF(D1575&gt;=2,2,1))))</f>
        <v/>
      </c>
      <c r="H1575" s="124">
        <f>IF(E1575&gt;=5000,5,IF(E1575&gt;=2000,4,IF(E1575&gt;=800,3,IF(E1575&gt;=300,2,1))))</f>
        <v/>
      </c>
      <c r="I1575" s="122">
        <f>TEXT(F1575,"0")&amp;TEXT(G1575,"0")&amp;TEXT(H1575,"0")</f>
        <v/>
      </c>
      <c r="J1575" s="122">
        <f>IFERROR(XLOOKUP(I1575,'Segment Map'!A:A,'Segment Map'!B:B,"Need Attention"),"Need Attention")</f>
        <v/>
      </c>
      <c r="K1575" s="122">
        <f>IF(E1575&gt;=5000,"🏆 Platinum",IF(E1575&gt;=2000,"🥇 Gold",IF(E1575&gt;=800,"🥈 Silver","🥉 Bronze")))</f>
        <v/>
      </c>
      <c r="L1575" s="125" t="n">
        <v>40679</v>
      </c>
    </row>
    <row r="1576">
      <c r="A1576" s="126" t="n">
        <v>14491</v>
      </c>
      <c r="B1576" s="126" t="inlineStr">
        <is>
          <t>United Kingdom</t>
        </is>
      </c>
      <c r="C1576" s="126" t="n">
        <v>176</v>
      </c>
      <c r="D1576" s="126" t="n">
        <v>2</v>
      </c>
      <c r="E1576" s="127" t="n">
        <v>340.93</v>
      </c>
      <c r="F1576" s="128">
        <f>IF(C1576&lt;=30,5,IF(C1576&lt;=60,4,IF(C1576&lt;=120,3,IF(C1576&lt;=200,2,1))))</f>
        <v/>
      </c>
      <c r="G1576" s="128">
        <f>IF(D1576&gt;=20,5,IF(D1576&gt;=10,4,IF(D1576&gt;=5,3,IF(D1576&gt;=2,2,1))))</f>
        <v/>
      </c>
      <c r="H1576" s="128">
        <f>IF(E1576&gt;=5000,5,IF(E1576&gt;=2000,4,IF(E1576&gt;=800,3,IF(E1576&gt;=300,2,1))))</f>
        <v/>
      </c>
      <c r="I1576" s="126">
        <f>TEXT(F1576,"0")&amp;TEXT(G1576,"0")&amp;TEXT(H1576,"0")</f>
        <v/>
      </c>
      <c r="J1576" s="126">
        <f>IFERROR(XLOOKUP(I1576,'Segment Map'!A:A,'Segment Map'!B:B,"Need Attention"),"Need Attention")</f>
        <v/>
      </c>
      <c r="K1576" s="126">
        <f>IF(E1576&gt;=5000,"🏆 Platinum",IF(E1576&gt;=2000,"🥇 Gold",IF(E1576&gt;=800,"🥈 Silver","🥉 Bronze")))</f>
        <v/>
      </c>
      <c r="L1576" s="129" t="n">
        <v>40711</v>
      </c>
    </row>
    <row r="1577">
      <c r="A1577" s="122" t="n">
        <v>14493</v>
      </c>
      <c r="B1577" s="122" t="inlineStr">
        <is>
          <t>United Kingdom</t>
        </is>
      </c>
      <c r="C1577" s="122" t="n">
        <v>8</v>
      </c>
      <c r="D1577" s="122" t="n">
        <v>5</v>
      </c>
      <c r="E1577" s="123" t="n">
        <v>2383.24</v>
      </c>
      <c r="F1577" s="124">
        <f>IF(C1577&lt;=30,5,IF(C1577&lt;=60,4,IF(C1577&lt;=120,3,IF(C1577&lt;=200,2,1))))</f>
        <v/>
      </c>
      <c r="G1577" s="124">
        <f>IF(D1577&gt;=20,5,IF(D1577&gt;=10,4,IF(D1577&gt;=5,3,IF(D1577&gt;=2,2,1))))</f>
        <v/>
      </c>
      <c r="H1577" s="124">
        <f>IF(E1577&gt;=5000,5,IF(E1577&gt;=2000,4,IF(E1577&gt;=800,3,IF(E1577&gt;=300,2,1))))</f>
        <v/>
      </c>
      <c r="I1577" s="122">
        <f>TEXT(F1577,"0")&amp;TEXT(G1577,"0")&amp;TEXT(H1577,"0")</f>
        <v/>
      </c>
      <c r="J1577" s="122">
        <f>IFERROR(XLOOKUP(I1577,'Segment Map'!A:A,'Segment Map'!B:B,"Need Attention"),"Need Attention")</f>
        <v/>
      </c>
      <c r="K1577" s="122">
        <f>IF(E1577&gt;=5000,"🏆 Platinum",IF(E1577&gt;=2000,"🥇 Gold",IF(E1577&gt;=800,"🥈 Silver","🥉 Bronze")))</f>
        <v/>
      </c>
      <c r="L1577" s="125" t="n">
        <v>40879</v>
      </c>
    </row>
    <row r="1578">
      <c r="A1578" s="126" t="n">
        <v>14494</v>
      </c>
      <c r="B1578" s="126" t="inlineStr">
        <is>
          <t>United Kingdom</t>
        </is>
      </c>
      <c r="C1578" s="126" t="n">
        <v>26</v>
      </c>
      <c r="D1578" s="126" t="n">
        <v>1</v>
      </c>
      <c r="E1578" s="127" t="n">
        <v>139.56</v>
      </c>
      <c r="F1578" s="128">
        <f>IF(C1578&lt;=30,5,IF(C1578&lt;=60,4,IF(C1578&lt;=120,3,IF(C1578&lt;=200,2,1))))</f>
        <v/>
      </c>
      <c r="G1578" s="128">
        <f>IF(D1578&gt;=20,5,IF(D1578&gt;=10,4,IF(D1578&gt;=5,3,IF(D1578&gt;=2,2,1))))</f>
        <v/>
      </c>
      <c r="H1578" s="128">
        <f>IF(E1578&gt;=5000,5,IF(E1578&gt;=2000,4,IF(E1578&gt;=800,3,IF(E1578&gt;=300,2,1))))</f>
        <v/>
      </c>
      <c r="I1578" s="126">
        <f>TEXT(F1578,"0")&amp;TEXT(G1578,"0")&amp;TEXT(H1578,"0")</f>
        <v/>
      </c>
      <c r="J1578" s="126">
        <f>IFERROR(XLOOKUP(I1578,'Segment Map'!A:A,'Segment Map'!B:B,"Need Attention"),"Need Attention")</f>
        <v/>
      </c>
      <c r="K1578" s="126">
        <f>IF(E1578&gt;=5000,"🏆 Platinum",IF(E1578&gt;=2000,"🥇 Gold",IF(E1578&gt;=800,"🥈 Silver","🥉 Bronze")))</f>
        <v/>
      </c>
      <c r="L1578" s="129" t="n">
        <v>40861</v>
      </c>
    </row>
    <row r="1579">
      <c r="A1579" s="122" t="n">
        <v>14495</v>
      </c>
      <c r="B1579" s="122" t="inlineStr">
        <is>
          <t>United Kingdom</t>
        </is>
      </c>
      <c r="C1579" s="122" t="n">
        <v>51</v>
      </c>
      <c r="D1579" s="122" t="n">
        <v>2</v>
      </c>
      <c r="E1579" s="123" t="n">
        <v>123.8</v>
      </c>
      <c r="F1579" s="124">
        <f>IF(C1579&lt;=30,5,IF(C1579&lt;=60,4,IF(C1579&lt;=120,3,IF(C1579&lt;=200,2,1))))</f>
        <v/>
      </c>
      <c r="G1579" s="124">
        <f>IF(D1579&gt;=20,5,IF(D1579&gt;=10,4,IF(D1579&gt;=5,3,IF(D1579&gt;=2,2,1))))</f>
        <v/>
      </c>
      <c r="H1579" s="124">
        <f>IF(E1579&gt;=5000,5,IF(E1579&gt;=2000,4,IF(E1579&gt;=800,3,IF(E1579&gt;=300,2,1))))</f>
        <v/>
      </c>
      <c r="I1579" s="122">
        <f>TEXT(F1579,"0")&amp;TEXT(G1579,"0")&amp;TEXT(H1579,"0")</f>
        <v/>
      </c>
      <c r="J1579" s="122">
        <f>IFERROR(XLOOKUP(I1579,'Segment Map'!A:A,'Segment Map'!B:B,"Need Attention"),"Need Attention")</f>
        <v/>
      </c>
      <c r="K1579" s="122">
        <f>IF(E1579&gt;=5000,"🏆 Platinum",IF(E1579&gt;=2000,"🥇 Gold",IF(E1579&gt;=800,"🥈 Silver","🥉 Bronze")))</f>
        <v/>
      </c>
      <c r="L1579" s="125" t="n">
        <v>40836</v>
      </c>
    </row>
    <row r="1580">
      <c r="A1580" s="126" t="n">
        <v>14496</v>
      </c>
      <c r="B1580" s="126" t="inlineStr">
        <is>
          <t>United Kingdom</t>
        </is>
      </c>
      <c r="C1580" s="126" t="n">
        <v>312</v>
      </c>
      <c r="D1580" s="126" t="n">
        <v>2</v>
      </c>
      <c r="E1580" s="127" t="n">
        <v>538.8099999999999</v>
      </c>
      <c r="F1580" s="128">
        <f>IF(C1580&lt;=30,5,IF(C1580&lt;=60,4,IF(C1580&lt;=120,3,IF(C1580&lt;=200,2,1))))</f>
        <v/>
      </c>
      <c r="G1580" s="128">
        <f>IF(D1580&gt;=20,5,IF(D1580&gt;=10,4,IF(D1580&gt;=5,3,IF(D1580&gt;=2,2,1))))</f>
        <v/>
      </c>
      <c r="H1580" s="128">
        <f>IF(E1580&gt;=5000,5,IF(E1580&gt;=2000,4,IF(E1580&gt;=800,3,IF(E1580&gt;=300,2,1))))</f>
        <v/>
      </c>
      <c r="I1580" s="126">
        <f>TEXT(F1580,"0")&amp;TEXT(G1580,"0")&amp;TEXT(H1580,"0")</f>
        <v/>
      </c>
      <c r="J1580" s="126">
        <f>IFERROR(XLOOKUP(I1580,'Segment Map'!A:A,'Segment Map'!B:B,"Need Attention"),"Need Attention")</f>
        <v/>
      </c>
      <c r="K1580" s="126">
        <f>IF(E1580&gt;=5000,"🏆 Platinum",IF(E1580&gt;=2000,"🥇 Gold",IF(E1580&gt;=800,"🥈 Silver","🥉 Bronze")))</f>
        <v/>
      </c>
      <c r="L1580" s="129" t="n">
        <v>40575</v>
      </c>
    </row>
    <row r="1581">
      <c r="A1581" s="122" t="n">
        <v>14497</v>
      </c>
      <c r="B1581" s="122" t="inlineStr">
        <is>
          <t>United Kingdom</t>
        </is>
      </c>
      <c r="C1581" s="122" t="n">
        <v>310</v>
      </c>
      <c r="D1581" s="122" t="n">
        <v>1</v>
      </c>
      <c r="E1581" s="123" t="n">
        <v>475.37</v>
      </c>
      <c r="F1581" s="124">
        <f>IF(C1581&lt;=30,5,IF(C1581&lt;=60,4,IF(C1581&lt;=120,3,IF(C1581&lt;=200,2,1))))</f>
        <v/>
      </c>
      <c r="G1581" s="124">
        <f>IF(D1581&gt;=20,5,IF(D1581&gt;=10,4,IF(D1581&gt;=5,3,IF(D1581&gt;=2,2,1))))</f>
        <v/>
      </c>
      <c r="H1581" s="124">
        <f>IF(E1581&gt;=5000,5,IF(E1581&gt;=2000,4,IF(E1581&gt;=800,3,IF(E1581&gt;=300,2,1))))</f>
        <v/>
      </c>
      <c r="I1581" s="122">
        <f>TEXT(F1581,"0")&amp;TEXT(G1581,"0")&amp;TEXT(H1581,"0")</f>
        <v/>
      </c>
      <c r="J1581" s="122">
        <f>IFERROR(XLOOKUP(I1581,'Segment Map'!A:A,'Segment Map'!B:B,"Need Attention"),"Need Attention")</f>
        <v/>
      </c>
      <c r="K1581" s="122">
        <f>IF(E1581&gt;=5000,"🏆 Platinum",IF(E1581&gt;=2000,"🥇 Gold",IF(E1581&gt;=800,"🥈 Silver","🥉 Bronze")))</f>
        <v/>
      </c>
      <c r="L1581" s="125" t="n">
        <v>40577</v>
      </c>
    </row>
    <row r="1582">
      <c r="A1582" s="126" t="n">
        <v>14498</v>
      </c>
      <c r="B1582" s="126" t="inlineStr">
        <is>
          <t>United Kingdom</t>
        </is>
      </c>
      <c r="C1582" s="126" t="n">
        <v>43</v>
      </c>
      <c r="D1582" s="126" t="n">
        <v>5</v>
      </c>
      <c r="E1582" s="127" t="n">
        <v>1957.32</v>
      </c>
      <c r="F1582" s="128">
        <f>IF(C1582&lt;=30,5,IF(C1582&lt;=60,4,IF(C1582&lt;=120,3,IF(C1582&lt;=200,2,1))))</f>
        <v/>
      </c>
      <c r="G1582" s="128">
        <f>IF(D1582&gt;=20,5,IF(D1582&gt;=10,4,IF(D1582&gt;=5,3,IF(D1582&gt;=2,2,1))))</f>
        <v/>
      </c>
      <c r="H1582" s="128">
        <f>IF(E1582&gt;=5000,5,IF(E1582&gt;=2000,4,IF(E1582&gt;=800,3,IF(E1582&gt;=300,2,1))))</f>
        <v/>
      </c>
      <c r="I1582" s="126">
        <f>TEXT(F1582,"0")&amp;TEXT(G1582,"0")&amp;TEXT(H1582,"0")</f>
        <v/>
      </c>
      <c r="J1582" s="126">
        <f>IFERROR(XLOOKUP(I1582,'Segment Map'!A:A,'Segment Map'!B:B,"Need Attention"),"Need Attention")</f>
        <v/>
      </c>
      <c r="K1582" s="126">
        <f>IF(E1582&gt;=5000,"🏆 Platinum",IF(E1582&gt;=2000,"🥇 Gold",IF(E1582&gt;=800,"🥈 Silver","🥉 Bronze")))</f>
        <v/>
      </c>
      <c r="L1582" s="129" t="n">
        <v>40844</v>
      </c>
    </row>
    <row r="1583">
      <c r="A1583" s="122" t="n">
        <v>14499</v>
      </c>
      <c r="B1583" s="122" t="inlineStr">
        <is>
          <t>United Kingdom</t>
        </is>
      </c>
      <c r="C1583" s="122" t="n">
        <v>27</v>
      </c>
      <c r="D1583" s="122" t="n">
        <v>3</v>
      </c>
      <c r="E1583" s="123" t="n">
        <v>815.3200000000001</v>
      </c>
      <c r="F1583" s="124">
        <f>IF(C1583&lt;=30,5,IF(C1583&lt;=60,4,IF(C1583&lt;=120,3,IF(C1583&lt;=200,2,1))))</f>
        <v/>
      </c>
      <c r="G1583" s="124">
        <f>IF(D1583&gt;=20,5,IF(D1583&gt;=10,4,IF(D1583&gt;=5,3,IF(D1583&gt;=2,2,1))))</f>
        <v/>
      </c>
      <c r="H1583" s="124">
        <f>IF(E1583&gt;=5000,5,IF(E1583&gt;=2000,4,IF(E1583&gt;=800,3,IF(E1583&gt;=300,2,1))))</f>
        <v/>
      </c>
      <c r="I1583" s="122">
        <f>TEXT(F1583,"0")&amp;TEXT(G1583,"0")&amp;TEXT(H1583,"0")</f>
        <v/>
      </c>
      <c r="J1583" s="122">
        <f>IFERROR(XLOOKUP(I1583,'Segment Map'!A:A,'Segment Map'!B:B,"Need Attention"),"Need Attention")</f>
        <v/>
      </c>
      <c r="K1583" s="122">
        <f>IF(E1583&gt;=5000,"🏆 Platinum",IF(E1583&gt;=2000,"🥇 Gold",IF(E1583&gt;=800,"🥈 Silver","🥉 Bronze")))</f>
        <v/>
      </c>
      <c r="L1583" s="125" t="n">
        <v>40860</v>
      </c>
    </row>
    <row r="1584">
      <c r="A1584" s="126" t="n">
        <v>14500</v>
      </c>
      <c r="B1584" s="126" t="inlineStr">
        <is>
          <t>United Kingdom</t>
        </is>
      </c>
      <c r="C1584" s="126" t="n">
        <v>89</v>
      </c>
      <c r="D1584" s="126" t="n">
        <v>3</v>
      </c>
      <c r="E1584" s="127" t="n">
        <v>356.85</v>
      </c>
      <c r="F1584" s="128">
        <f>IF(C1584&lt;=30,5,IF(C1584&lt;=60,4,IF(C1584&lt;=120,3,IF(C1584&lt;=200,2,1))))</f>
        <v/>
      </c>
      <c r="G1584" s="128">
        <f>IF(D1584&gt;=20,5,IF(D1584&gt;=10,4,IF(D1584&gt;=5,3,IF(D1584&gt;=2,2,1))))</f>
        <v/>
      </c>
      <c r="H1584" s="128">
        <f>IF(E1584&gt;=5000,5,IF(E1584&gt;=2000,4,IF(E1584&gt;=800,3,IF(E1584&gt;=300,2,1))))</f>
        <v/>
      </c>
      <c r="I1584" s="126">
        <f>TEXT(F1584,"0")&amp;TEXT(G1584,"0")&amp;TEXT(H1584,"0")</f>
        <v/>
      </c>
      <c r="J1584" s="126">
        <f>IFERROR(XLOOKUP(I1584,'Segment Map'!A:A,'Segment Map'!B:B,"Need Attention"),"Need Attention")</f>
        <v/>
      </c>
      <c r="K1584" s="126">
        <f>IF(E1584&gt;=5000,"🏆 Platinum",IF(E1584&gt;=2000,"🥇 Gold",IF(E1584&gt;=800,"🥈 Silver","🥉 Bronze")))</f>
        <v/>
      </c>
      <c r="L1584" s="129" t="n">
        <v>40798</v>
      </c>
    </row>
    <row r="1585">
      <c r="A1585" s="122" t="n">
        <v>14501</v>
      </c>
      <c r="B1585" s="122" t="inlineStr">
        <is>
          <t>United Kingdom</t>
        </is>
      </c>
      <c r="C1585" s="122" t="n">
        <v>184</v>
      </c>
      <c r="D1585" s="122" t="n">
        <v>2</v>
      </c>
      <c r="E1585" s="123" t="n">
        <v>251.21</v>
      </c>
      <c r="F1585" s="124">
        <f>IF(C1585&lt;=30,5,IF(C1585&lt;=60,4,IF(C1585&lt;=120,3,IF(C1585&lt;=200,2,1))))</f>
        <v/>
      </c>
      <c r="G1585" s="124">
        <f>IF(D1585&gt;=20,5,IF(D1585&gt;=10,4,IF(D1585&gt;=5,3,IF(D1585&gt;=2,2,1))))</f>
        <v/>
      </c>
      <c r="H1585" s="124">
        <f>IF(E1585&gt;=5000,5,IF(E1585&gt;=2000,4,IF(E1585&gt;=800,3,IF(E1585&gt;=300,2,1))))</f>
        <v/>
      </c>
      <c r="I1585" s="122">
        <f>TEXT(F1585,"0")&amp;TEXT(G1585,"0")&amp;TEXT(H1585,"0")</f>
        <v/>
      </c>
      <c r="J1585" s="122">
        <f>IFERROR(XLOOKUP(I1585,'Segment Map'!A:A,'Segment Map'!B:B,"Need Attention"),"Need Attention")</f>
        <v/>
      </c>
      <c r="K1585" s="122">
        <f>IF(E1585&gt;=5000,"🏆 Platinum",IF(E1585&gt;=2000,"🥇 Gold",IF(E1585&gt;=800,"🥈 Silver","🥉 Bronze")))</f>
        <v/>
      </c>
      <c r="L1585" s="125" t="n">
        <v>40703</v>
      </c>
    </row>
    <row r="1586">
      <c r="A1586" s="126" t="n">
        <v>14502</v>
      </c>
      <c r="B1586" s="126" t="inlineStr">
        <is>
          <t>United Kingdom</t>
        </is>
      </c>
      <c r="C1586" s="126" t="n">
        <v>20</v>
      </c>
      <c r="D1586" s="126" t="n">
        <v>11</v>
      </c>
      <c r="E1586" s="127" t="n">
        <v>2470.67</v>
      </c>
      <c r="F1586" s="128">
        <f>IF(C1586&lt;=30,5,IF(C1586&lt;=60,4,IF(C1586&lt;=120,3,IF(C1586&lt;=200,2,1))))</f>
        <v/>
      </c>
      <c r="G1586" s="128">
        <f>IF(D1586&gt;=20,5,IF(D1586&gt;=10,4,IF(D1586&gt;=5,3,IF(D1586&gt;=2,2,1))))</f>
        <v/>
      </c>
      <c r="H1586" s="128">
        <f>IF(E1586&gt;=5000,5,IF(E1586&gt;=2000,4,IF(E1586&gt;=800,3,IF(E1586&gt;=300,2,1))))</f>
        <v/>
      </c>
      <c r="I1586" s="126">
        <f>TEXT(F1586,"0")&amp;TEXT(G1586,"0")&amp;TEXT(H1586,"0")</f>
        <v/>
      </c>
      <c r="J1586" s="126">
        <f>IFERROR(XLOOKUP(I1586,'Segment Map'!A:A,'Segment Map'!B:B,"Need Attention"),"Need Attention")</f>
        <v/>
      </c>
      <c r="K1586" s="126">
        <f>IF(E1586&gt;=5000,"🏆 Platinum",IF(E1586&gt;=2000,"🥇 Gold",IF(E1586&gt;=800,"🥈 Silver","🥉 Bronze")))</f>
        <v/>
      </c>
      <c r="L1586" s="129" t="n">
        <v>40867</v>
      </c>
    </row>
    <row r="1587">
      <c r="A1587" s="122" t="n">
        <v>14503</v>
      </c>
      <c r="B1587" s="122" t="inlineStr">
        <is>
          <t>United Kingdom</t>
        </is>
      </c>
      <c r="C1587" s="122" t="n">
        <v>4</v>
      </c>
      <c r="D1587" s="122" t="n">
        <v>6</v>
      </c>
      <c r="E1587" s="123" t="n">
        <v>3543.26</v>
      </c>
      <c r="F1587" s="124">
        <f>IF(C1587&lt;=30,5,IF(C1587&lt;=60,4,IF(C1587&lt;=120,3,IF(C1587&lt;=200,2,1))))</f>
        <v/>
      </c>
      <c r="G1587" s="124">
        <f>IF(D1587&gt;=20,5,IF(D1587&gt;=10,4,IF(D1587&gt;=5,3,IF(D1587&gt;=2,2,1))))</f>
        <v/>
      </c>
      <c r="H1587" s="124">
        <f>IF(E1587&gt;=5000,5,IF(E1587&gt;=2000,4,IF(E1587&gt;=800,3,IF(E1587&gt;=300,2,1))))</f>
        <v/>
      </c>
      <c r="I1587" s="122">
        <f>TEXT(F1587,"0")&amp;TEXT(G1587,"0")&amp;TEXT(H1587,"0")</f>
        <v/>
      </c>
      <c r="J1587" s="122">
        <f>IFERROR(XLOOKUP(I1587,'Segment Map'!A:A,'Segment Map'!B:B,"Need Attention"),"Need Attention")</f>
        <v/>
      </c>
      <c r="K1587" s="122">
        <f>IF(E1587&gt;=5000,"🏆 Platinum",IF(E1587&gt;=2000,"🥇 Gold",IF(E1587&gt;=800,"🥈 Silver","🥉 Bronze")))</f>
        <v/>
      </c>
      <c r="L1587" s="125" t="n">
        <v>40883</v>
      </c>
    </row>
    <row r="1588">
      <c r="A1588" s="126" t="n">
        <v>14504</v>
      </c>
      <c r="B1588" s="126" t="inlineStr">
        <is>
          <t>United Kingdom</t>
        </is>
      </c>
      <c r="C1588" s="126" t="n">
        <v>48</v>
      </c>
      <c r="D1588" s="126" t="n">
        <v>4</v>
      </c>
      <c r="E1588" s="127" t="n">
        <v>673.26</v>
      </c>
      <c r="F1588" s="128">
        <f>IF(C1588&lt;=30,5,IF(C1588&lt;=60,4,IF(C1588&lt;=120,3,IF(C1588&lt;=200,2,1))))</f>
        <v/>
      </c>
      <c r="G1588" s="128">
        <f>IF(D1588&gt;=20,5,IF(D1588&gt;=10,4,IF(D1588&gt;=5,3,IF(D1588&gt;=2,2,1))))</f>
        <v/>
      </c>
      <c r="H1588" s="128">
        <f>IF(E1588&gt;=5000,5,IF(E1588&gt;=2000,4,IF(E1588&gt;=800,3,IF(E1588&gt;=300,2,1))))</f>
        <v/>
      </c>
      <c r="I1588" s="126">
        <f>TEXT(F1588,"0")&amp;TEXT(G1588,"0")&amp;TEXT(H1588,"0")</f>
        <v/>
      </c>
      <c r="J1588" s="126">
        <f>IFERROR(XLOOKUP(I1588,'Segment Map'!A:A,'Segment Map'!B:B,"Need Attention"),"Need Attention")</f>
        <v/>
      </c>
      <c r="K1588" s="126">
        <f>IF(E1588&gt;=5000,"🏆 Platinum",IF(E1588&gt;=2000,"🥇 Gold",IF(E1588&gt;=800,"🥈 Silver","🥉 Bronze")))</f>
        <v/>
      </c>
      <c r="L1588" s="129" t="n">
        <v>40839</v>
      </c>
    </row>
    <row r="1589">
      <c r="A1589" s="122" t="n">
        <v>14505</v>
      </c>
      <c r="B1589" s="122" t="inlineStr">
        <is>
          <t>United Kingdom</t>
        </is>
      </c>
      <c r="C1589" s="122" t="n">
        <v>18</v>
      </c>
      <c r="D1589" s="122" t="n">
        <v>8</v>
      </c>
      <c r="E1589" s="123" t="n">
        <v>5905.64</v>
      </c>
      <c r="F1589" s="124">
        <f>IF(C1589&lt;=30,5,IF(C1589&lt;=60,4,IF(C1589&lt;=120,3,IF(C1589&lt;=200,2,1))))</f>
        <v/>
      </c>
      <c r="G1589" s="124">
        <f>IF(D1589&gt;=20,5,IF(D1589&gt;=10,4,IF(D1589&gt;=5,3,IF(D1589&gt;=2,2,1))))</f>
        <v/>
      </c>
      <c r="H1589" s="124">
        <f>IF(E1589&gt;=5000,5,IF(E1589&gt;=2000,4,IF(E1589&gt;=800,3,IF(E1589&gt;=300,2,1))))</f>
        <v/>
      </c>
      <c r="I1589" s="122">
        <f>TEXT(F1589,"0")&amp;TEXT(G1589,"0")&amp;TEXT(H1589,"0")</f>
        <v/>
      </c>
      <c r="J1589" s="122">
        <f>IFERROR(XLOOKUP(I1589,'Segment Map'!A:A,'Segment Map'!B:B,"Need Attention"),"Need Attention")</f>
        <v/>
      </c>
      <c r="K1589" s="122">
        <f>IF(E1589&gt;=5000,"🏆 Platinum",IF(E1589&gt;=2000,"🥇 Gold",IF(E1589&gt;=800,"🥈 Silver","🥉 Bronze")))</f>
        <v/>
      </c>
      <c r="L1589" s="125" t="n">
        <v>40869</v>
      </c>
    </row>
    <row r="1590">
      <c r="A1590" s="126" t="n">
        <v>14506</v>
      </c>
      <c r="B1590" s="126" t="inlineStr">
        <is>
          <t>United Kingdom</t>
        </is>
      </c>
      <c r="C1590" s="126" t="n">
        <v>18</v>
      </c>
      <c r="D1590" s="126" t="n">
        <v>5</v>
      </c>
      <c r="E1590" s="127" t="n">
        <v>2012.17</v>
      </c>
      <c r="F1590" s="128">
        <f>IF(C1590&lt;=30,5,IF(C1590&lt;=60,4,IF(C1590&lt;=120,3,IF(C1590&lt;=200,2,1))))</f>
        <v/>
      </c>
      <c r="G1590" s="128">
        <f>IF(D1590&gt;=20,5,IF(D1590&gt;=10,4,IF(D1590&gt;=5,3,IF(D1590&gt;=2,2,1))))</f>
        <v/>
      </c>
      <c r="H1590" s="128">
        <f>IF(E1590&gt;=5000,5,IF(E1590&gt;=2000,4,IF(E1590&gt;=800,3,IF(E1590&gt;=300,2,1))))</f>
        <v/>
      </c>
      <c r="I1590" s="126">
        <f>TEXT(F1590,"0")&amp;TEXT(G1590,"0")&amp;TEXT(H1590,"0")</f>
        <v/>
      </c>
      <c r="J1590" s="126">
        <f>IFERROR(XLOOKUP(I1590,'Segment Map'!A:A,'Segment Map'!B:B,"Need Attention"),"Need Attention")</f>
        <v/>
      </c>
      <c r="K1590" s="126">
        <f>IF(E1590&gt;=5000,"🏆 Platinum",IF(E1590&gt;=2000,"🥇 Gold",IF(E1590&gt;=800,"🥈 Silver","🥉 Bronze")))</f>
        <v/>
      </c>
      <c r="L1590" s="129" t="n">
        <v>40869</v>
      </c>
    </row>
    <row r="1591">
      <c r="A1591" s="122" t="n">
        <v>14507</v>
      </c>
      <c r="B1591" s="122" t="inlineStr">
        <is>
          <t>United Kingdom</t>
        </is>
      </c>
      <c r="C1591" s="122" t="n">
        <v>24</v>
      </c>
      <c r="D1591" s="122" t="n">
        <v>6</v>
      </c>
      <c r="E1591" s="123" t="n">
        <v>1383.18</v>
      </c>
      <c r="F1591" s="124">
        <f>IF(C1591&lt;=30,5,IF(C1591&lt;=60,4,IF(C1591&lt;=120,3,IF(C1591&lt;=200,2,1))))</f>
        <v/>
      </c>
      <c r="G1591" s="124">
        <f>IF(D1591&gt;=20,5,IF(D1591&gt;=10,4,IF(D1591&gt;=5,3,IF(D1591&gt;=2,2,1))))</f>
        <v/>
      </c>
      <c r="H1591" s="124">
        <f>IF(E1591&gt;=5000,5,IF(E1591&gt;=2000,4,IF(E1591&gt;=800,3,IF(E1591&gt;=300,2,1))))</f>
        <v/>
      </c>
      <c r="I1591" s="122">
        <f>TEXT(F1591,"0")&amp;TEXT(G1591,"0")&amp;TEXT(H1591,"0")</f>
        <v/>
      </c>
      <c r="J1591" s="122">
        <f>IFERROR(XLOOKUP(I1591,'Segment Map'!A:A,'Segment Map'!B:B,"Need Attention"),"Need Attention")</f>
        <v/>
      </c>
      <c r="K1591" s="122">
        <f>IF(E1591&gt;=5000,"🏆 Platinum",IF(E1591&gt;=2000,"🥇 Gold",IF(E1591&gt;=800,"🥈 Silver","🥉 Bronze")))</f>
        <v/>
      </c>
      <c r="L1591" s="125" t="n">
        <v>40863</v>
      </c>
    </row>
    <row r="1592">
      <c r="A1592" s="126" t="n">
        <v>14508</v>
      </c>
      <c r="B1592" s="126" t="inlineStr">
        <is>
          <t>United Kingdom</t>
        </is>
      </c>
      <c r="C1592" s="126" t="n">
        <v>23</v>
      </c>
      <c r="D1592" s="126" t="n">
        <v>2</v>
      </c>
      <c r="E1592" s="127" t="n">
        <v>276.42</v>
      </c>
      <c r="F1592" s="128">
        <f>IF(C1592&lt;=30,5,IF(C1592&lt;=60,4,IF(C1592&lt;=120,3,IF(C1592&lt;=200,2,1))))</f>
        <v/>
      </c>
      <c r="G1592" s="128">
        <f>IF(D1592&gt;=20,5,IF(D1592&gt;=10,4,IF(D1592&gt;=5,3,IF(D1592&gt;=2,2,1))))</f>
        <v/>
      </c>
      <c r="H1592" s="128">
        <f>IF(E1592&gt;=5000,5,IF(E1592&gt;=2000,4,IF(E1592&gt;=800,3,IF(E1592&gt;=300,2,1))))</f>
        <v/>
      </c>
      <c r="I1592" s="126">
        <f>TEXT(F1592,"0")&amp;TEXT(G1592,"0")&amp;TEXT(H1592,"0")</f>
        <v/>
      </c>
      <c r="J1592" s="126">
        <f>IFERROR(XLOOKUP(I1592,'Segment Map'!A:A,'Segment Map'!B:B,"Need Attention"),"Need Attention")</f>
        <v/>
      </c>
      <c r="K1592" s="126">
        <f>IF(E1592&gt;=5000,"🏆 Platinum",IF(E1592&gt;=2000,"🥇 Gold",IF(E1592&gt;=800,"🥈 Silver","🥉 Bronze")))</f>
        <v/>
      </c>
      <c r="L1592" s="129" t="n">
        <v>40864</v>
      </c>
    </row>
    <row r="1593">
      <c r="A1593" s="122" t="n">
        <v>14511</v>
      </c>
      <c r="B1593" s="122" t="inlineStr">
        <is>
          <t>United Kingdom</t>
        </is>
      </c>
      <c r="C1593" s="122" t="n">
        <v>12</v>
      </c>
      <c r="D1593" s="122" t="n">
        <v>5</v>
      </c>
      <c r="E1593" s="123" t="n">
        <v>1314.81</v>
      </c>
      <c r="F1593" s="124">
        <f>IF(C1593&lt;=30,5,IF(C1593&lt;=60,4,IF(C1593&lt;=120,3,IF(C1593&lt;=200,2,1))))</f>
        <v/>
      </c>
      <c r="G1593" s="124">
        <f>IF(D1593&gt;=20,5,IF(D1593&gt;=10,4,IF(D1593&gt;=5,3,IF(D1593&gt;=2,2,1))))</f>
        <v/>
      </c>
      <c r="H1593" s="124">
        <f>IF(E1593&gt;=5000,5,IF(E1593&gt;=2000,4,IF(E1593&gt;=800,3,IF(E1593&gt;=300,2,1))))</f>
        <v/>
      </c>
      <c r="I1593" s="122">
        <f>TEXT(F1593,"0")&amp;TEXT(G1593,"0")&amp;TEXT(H1593,"0")</f>
        <v/>
      </c>
      <c r="J1593" s="122">
        <f>IFERROR(XLOOKUP(I1593,'Segment Map'!A:A,'Segment Map'!B:B,"Need Attention"),"Need Attention")</f>
        <v/>
      </c>
      <c r="K1593" s="122">
        <f>IF(E1593&gt;=5000,"🏆 Platinum",IF(E1593&gt;=2000,"🥇 Gold",IF(E1593&gt;=800,"🥈 Silver","🥉 Bronze")))</f>
        <v/>
      </c>
      <c r="L1593" s="125" t="n">
        <v>40875</v>
      </c>
    </row>
    <row r="1594">
      <c r="A1594" s="126" t="n">
        <v>14512</v>
      </c>
      <c r="B1594" s="126" t="inlineStr">
        <is>
          <t>United Kingdom</t>
        </is>
      </c>
      <c r="C1594" s="126" t="n">
        <v>188</v>
      </c>
      <c r="D1594" s="126" t="n">
        <v>2</v>
      </c>
      <c r="E1594" s="127" t="n">
        <v>275.28</v>
      </c>
      <c r="F1594" s="128">
        <f>IF(C1594&lt;=30,5,IF(C1594&lt;=60,4,IF(C1594&lt;=120,3,IF(C1594&lt;=200,2,1))))</f>
        <v/>
      </c>
      <c r="G1594" s="128">
        <f>IF(D1594&gt;=20,5,IF(D1594&gt;=10,4,IF(D1594&gt;=5,3,IF(D1594&gt;=2,2,1))))</f>
        <v/>
      </c>
      <c r="H1594" s="128">
        <f>IF(E1594&gt;=5000,5,IF(E1594&gt;=2000,4,IF(E1594&gt;=800,3,IF(E1594&gt;=300,2,1))))</f>
        <v/>
      </c>
      <c r="I1594" s="126">
        <f>TEXT(F1594,"0")&amp;TEXT(G1594,"0")&amp;TEXT(H1594,"0")</f>
        <v/>
      </c>
      <c r="J1594" s="126">
        <f>IFERROR(XLOOKUP(I1594,'Segment Map'!A:A,'Segment Map'!B:B,"Need Attention"),"Need Attention")</f>
        <v/>
      </c>
      <c r="K1594" s="126">
        <f>IF(E1594&gt;=5000,"🏆 Platinum",IF(E1594&gt;=2000,"🥇 Gold",IF(E1594&gt;=800,"🥈 Silver","🥉 Bronze")))</f>
        <v/>
      </c>
      <c r="L1594" s="129" t="n">
        <v>40699</v>
      </c>
    </row>
    <row r="1595">
      <c r="A1595" s="122" t="n">
        <v>14513</v>
      </c>
      <c r="B1595" s="122" t="inlineStr">
        <is>
          <t>United Kingdom</t>
        </is>
      </c>
      <c r="C1595" s="122" t="n">
        <v>101</v>
      </c>
      <c r="D1595" s="122" t="n">
        <v>3</v>
      </c>
      <c r="E1595" s="123" t="n">
        <v>455.59</v>
      </c>
      <c r="F1595" s="124">
        <f>IF(C1595&lt;=30,5,IF(C1595&lt;=60,4,IF(C1595&lt;=120,3,IF(C1595&lt;=200,2,1))))</f>
        <v/>
      </c>
      <c r="G1595" s="124">
        <f>IF(D1595&gt;=20,5,IF(D1595&gt;=10,4,IF(D1595&gt;=5,3,IF(D1595&gt;=2,2,1))))</f>
        <v/>
      </c>
      <c r="H1595" s="124">
        <f>IF(E1595&gt;=5000,5,IF(E1595&gt;=2000,4,IF(E1595&gt;=800,3,IF(E1595&gt;=300,2,1))))</f>
        <v/>
      </c>
      <c r="I1595" s="122">
        <f>TEXT(F1595,"0")&amp;TEXT(G1595,"0")&amp;TEXT(H1595,"0")</f>
        <v/>
      </c>
      <c r="J1595" s="122">
        <f>IFERROR(XLOOKUP(I1595,'Segment Map'!A:A,'Segment Map'!B:B,"Need Attention"),"Need Attention")</f>
        <v/>
      </c>
      <c r="K1595" s="122">
        <f>IF(E1595&gt;=5000,"🏆 Platinum",IF(E1595&gt;=2000,"🥇 Gold",IF(E1595&gt;=800,"🥈 Silver","🥉 Bronze")))</f>
        <v/>
      </c>
      <c r="L1595" s="125" t="n">
        <v>40786</v>
      </c>
    </row>
    <row r="1596">
      <c r="A1596" s="126" t="n">
        <v>14514</v>
      </c>
      <c r="B1596" s="126" t="inlineStr">
        <is>
          <t>United Kingdom</t>
        </is>
      </c>
      <c r="C1596" s="126" t="n">
        <v>62</v>
      </c>
      <c r="D1596" s="126" t="n">
        <v>3</v>
      </c>
      <c r="E1596" s="127" t="n">
        <v>1055.35</v>
      </c>
      <c r="F1596" s="128">
        <f>IF(C1596&lt;=30,5,IF(C1596&lt;=60,4,IF(C1596&lt;=120,3,IF(C1596&lt;=200,2,1))))</f>
        <v/>
      </c>
      <c r="G1596" s="128">
        <f>IF(D1596&gt;=20,5,IF(D1596&gt;=10,4,IF(D1596&gt;=5,3,IF(D1596&gt;=2,2,1))))</f>
        <v/>
      </c>
      <c r="H1596" s="128">
        <f>IF(E1596&gt;=5000,5,IF(E1596&gt;=2000,4,IF(E1596&gt;=800,3,IF(E1596&gt;=300,2,1))))</f>
        <v/>
      </c>
      <c r="I1596" s="126">
        <f>TEXT(F1596,"0")&amp;TEXT(G1596,"0")&amp;TEXT(H1596,"0")</f>
        <v/>
      </c>
      <c r="J1596" s="126">
        <f>IFERROR(XLOOKUP(I1596,'Segment Map'!A:A,'Segment Map'!B:B,"Need Attention"),"Need Attention")</f>
        <v/>
      </c>
      <c r="K1596" s="126">
        <f>IF(E1596&gt;=5000,"🏆 Platinum",IF(E1596&gt;=2000,"🥇 Gold",IF(E1596&gt;=800,"🥈 Silver","🥉 Bronze")))</f>
        <v/>
      </c>
      <c r="L1596" s="129" t="n">
        <v>40825</v>
      </c>
    </row>
    <row r="1597">
      <c r="A1597" s="122" t="n">
        <v>14515</v>
      </c>
      <c r="B1597" s="122" t="inlineStr">
        <is>
          <t>United Kingdom</t>
        </is>
      </c>
      <c r="C1597" s="122" t="n">
        <v>18</v>
      </c>
      <c r="D1597" s="122" t="n">
        <v>6</v>
      </c>
      <c r="E1597" s="123" t="n">
        <v>2102.09</v>
      </c>
      <c r="F1597" s="124">
        <f>IF(C1597&lt;=30,5,IF(C1597&lt;=60,4,IF(C1597&lt;=120,3,IF(C1597&lt;=200,2,1))))</f>
        <v/>
      </c>
      <c r="G1597" s="124">
        <f>IF(D1597&gt;=20,5,IF(D1597&gt;=10,4,IF(D1597&gt;=5,3,IF(D1597&gt;=2,2,1))))</f>
        <v/>
      </c>
      <c r="H1597" s="124">
        <f>IF(E1597&gt;=5000,5,IF(E1597&gt;=2000,4,IF(E1597&gt;=800,3,IF(E1597&gt;=300,2,1))))</f>
        <v/>
      </c>
      <c r="I1597" s="122">
        <f>TEXT(F1597,"0")&amp;TEXT(G1597,"0")&amp;TEXT(H1597,"0")</f>
        <v/>
      </c>
      <c r="J1597" s="122">
        <f>IFERROR(XLOOKUP(I1597,'Segment Map'!A:A,'Segment Map'!B:B,"Need Attention"),"Need Attention")</f>
        <v/>
      </c>
      <c r="K1597" s="122">
        <f>IF(E1597&gt;=5000,"🏆 Platinum",IF(E1597&gt;=2000,"🥇 Gold",IF(E1597&gt;=800,"🥈 Silver","🥉 Bronze")))</f>
        <v/>
      </c>
      <c r="L1597" s="125" t="n">
        <v>40869</v>
      </c>
    </row>
    <row r="1598">
      <c r="A1598" s="126" t="n">
        <v>14517</v>
      </c>
      <c r="B1598" s="126" t="inlineStr">
        <is>
          <t>United Kingdom</t>
        </is>
      </c>
      <c r="C1598" s="126" t="n">
        <v>34</v>
      </c>
      <c r="D1598" s="126" t="n">
        <v>2</v>
      </c>
      <c r="E1598" s="127" t="n">
        <v>330.45</v>
      </c>
      <c r="F1598" s="128">
        <f>IF(C1598&lt;=30,5,IF(C1598&lt;=60,4,IF(C1598&lt;=120,3,IF(C1598&lt;=200,2,1))))</f>
        <v/>
      </c>
      <c r="G1598" s="128">
        <f>IF(D1598&gt;=20,5,IF(D1598&gt;=10,4,IF(D1598&gt;=5,3,IF(D1598&gt;=2,2,1))))</f>
        <v/>
      </c>
      <c r="H1598" s="128">
        <f>IF(E1598&gt;=5000,5,IF(E1598&gt;=2000,4,IF(E1598&gt;=800,3,IF(E1598&gt;=300,2,1))))</f>
        <v/>
      </c>
      <c r="I1598" s="126">
        <f>TEXT(F1598,"0")&amp;TEXT(G1598,"0")&amp;TEXT(H1598,"0")</f>
        <v/>
      </c>
      <c r="J1598" s="126">
        <f>IFERROR(XLOOKUP(I1598,'Segment Map'!A:A,'Segment Map'!B:B,"Need Attention"),"Need Attention")</f>
        <v/>
      </c>
      <c r="K1598" s="126">
        <f>IF(E1598&gt;=5000,"🏆 Platinum",IF(E1598&gt;=2000,"🥇 Gold",IF(E1598&gt;=800,"🥈 Silver","🥉 Bronze")))</f>
        <v/>
      </c>
      <c r="L1598" s="129" t="n">
        <v>40853</v>
      </c>
    </row>
    <row r="1599">
      <c r="A1599" s="122" t="n">
        <v>14518</v>
      </c>
      <c r="B1599" s="122" t="inlineStr">
        <is>
          <t>United Kingdom</t>
        </is>
      </c>
      <c r="C1599" s="122" t="n">
        <v>65</v>
      </c>
      <c r="D1599" s="122" t="n">
        <v>1</v>
      </c>
      <c r="E1599" s="123" t="n">
        <v>174.37</v>
      </c>
      <c r="F1599" s="124">
        <f>IF(C1599&lt;=30,5,IF(C1599&lt;=60,4,IF(C1599&lt;=120,3,IF(C1599&lt;=200,2,1))))</f>
        <v/>
      </c>
      <c r="G1599" s="124">
        <f>IF(D1599&gt;=20,5,IF(D1599&gt;=10,4,IF(D1599&gt;=5,3,IF(D1599&gt;=2,2,1))))</f>
        <v/>
      </c>
      <c r="H1599" s="124">
        <f>IF(E1599&gt;=5000,5,IF(E1599&gt;=2000,4,IF(E1599&gt;=800,3,IF(E1599&gt;=300,2,1))))</f>
        <v/>
      </c>
      <c r="I1599" s="122">
        <f>TEXT(F1599,"0")&amp;TEXT(G1599,"0")&amp;TEXT(H1599,"0")</f>
        <v/>
      </c>
      <c r="J1599" s="122">
        <f>IFERROR(XLOOKUP(I1599,'Segment Map'!A:A,'Segment Map'!B:B,"Need Attention"),"Need Attention")</f>
        <v/>
      </c>
      <c r="K1599" s="122">
        <f>IF(E1599&gt;=5000,"🏆 Platinum",IF(E1599&gt;=2000,"🥇 Gold",IF(E1599&gt;=800,"🥈 Silver","🥉 Bronze")))</f>
        <v/>
      </c>
      <c r="L1599" s="125" t="n">
        <v>40822</v>
      </c>
    </row>
    <row r="1600">
      <c r="A1600" s="126" t="n">
        <v>14520</v>
      </c>
      <c r="B1600" s="126" t="inlineStr">
        <is>
          <t>United Kingdom</t>
        </is>
      </c>
      <c r="C1600" s="126" t="n">
        <v>2</v>
      </c>
      <c r="D1600" s="126" t="n">
        <v>2</v>
      </c>
      <c r="E1600" s="127" t="n">
        <v>270.6</v>
      </c>
      <c r="F1600" s="128">
        <f>IF(C1600&lt;=30,5,IF(C1600&lt;=60,4,IF(C1600&lt;=120,3,IF(C1600&lt;=200,2,1))))</f>
        <v/>
      </c>
      <c r="G1600" s="128">
        <f>IF(D1600&gt;=20,5,IF(D1600&gt;=10,4,IF(D1600&gt;=5,3,IF(D1600&gt;=2,2,1))))</f>
        <v/>
      </c>
      <c r="H1600" s="128">
        <f>IF(E1600&gt;=5000,5,IF(E1600&gt;=2000,4,IF(E1600&gt;=800,3,IF(E1600&gt;=300,2,1))))</f>
        <v/>
      </c>
      <c r="I1600" s="126">
        <f>TEXT(F1600,"0")&amp;TEXT(G1600,"0")&amp;TEXT(H1600,"0")</f>
        <v/>
      </c>
      <c r="J1600" s="126">
        <f>IFERROR(XLOOKUP(I1600,'Segment Map'!A:A,'Segment Map'!B:B,"Need Attention"),"Need Attention")</f>
        <v/>
      </c>
      <c r="K1600" s="126">
        <f>IF(E1600&gt;=5000,"🏆 Platinum",IF(E1600&gt;=2000,"🥇 Gold",IF(E1600&gt;=800,"🥈 Silver","🥉 Bronze")))</f>
        <v/>
      </c>
      <c r="L1600" s="129" t="n">
        <v>40885</v>
      </c>
    </row>
    <row r="1601">
      <c r="A1601" s="122" t="n">
        <v>14522</v>
      </c>
      <c r="B1601" s="122" t="inlineStr">
        <is>
          <t>United Kingdom</t>
        </is>
      </c>
      <c r="C1601" s="122" t="n">
        <v>25</v>
      </c>
      <c r="D1601" s="122" t="n">
        <v>4</v>
      </c>
      <c r="E1601" s="123" t="n">
        <v>974.54</v>
      </c>
      <c r="F1601" s="124">
        <f>IF(C1601&lt;=30,5,IF(C1601&lt;=60,4,IF(C1601&lt;=120,3,IF(C1601&lt;=200,2,1))))</f>
        <v/>
      </c>
      <c r="G1601" s="124">
        <f>IF(D1601&gt;=20,5,IF(D1601&gt;=10,4,IF(D1601&gt;=5,3,IF(D1601&gt;=2,2,1))))</f>
        <v/>
      </c>
      <c r="H1601" s="124">
        <f>IF(E1601&gt;=5000,5,IF(E1601&gt;=2000,4,IF(E1601&gt;=800,3,IF(E1601&gt;=300,2,1))))</f>
        <v/>
      </c>
      <c r="I1601" s="122">
        <f>TEXT(F1601,"0")&amp;TEXT(G1601,"0")&amp;TEXT(H1601,"0")</f>
        <v/>
      </c>
      <c r="J1601" s="122">
        <f>IFERROR(XLOOKUP(I1601,'Segment Map'!A:A,'Segment Map'!B:B,"Need Attention"),"Need Attention")</f>
        <v/>
      </c>
      <c r="K1601" s="122">
        <f>IF(E1601&gt;=5000,"🏆 Platinum",IF(E1601&gt;=2000,"🥇 Gold",IF(E1601&gt;=800,"🥈 Silver","🥉 Bronze")))</f>
        <v/>
      </c>
      <c r="L1601" s="125" t="n">
        <v>40862</v>
      </c>
    </row>
    <row r="1602">
      <c r="A1602" s="126" t="n">
        <v>14523</v>
      </c>
      <c r="B1602" s="126" t="inlineStr">
        <is>
          <t>United Kingdom</t>
        </is>
      </c>
      <c r="C1602" s="126" t="n">
        <v>109</v>
      </c>
      <c r="D1602" s="126" t="n">
        <v>1</v>
      </c>
      <c r="E1602" s="127" t="n">
        <v>241.09</v>
      </c>
      <c r="F1602" s="128">
        <f>IF(C1602&lt;=30,5,IF(C1602&lt;=60,4,IF(C1602&lt;=120,3,IF(C1602&lt;=200,2,1))))</f>
        <v/>
      </c>
      <c r="G1602" s="128">
        <f>IF(D1602&gt;=20,5,IF(D1602&gt;=10,4,IF(D1602&gt;=5,3,IF(D1602&gt;=2,2,1))))</f>
        <v/>
      </c>
      <c r="H1602" s="128">
        <f>IF(E1602&gt;=5000,5,IF(E1602&gt;=2000,4,IF(E1602&gt;=800,3,IF(E1602&gt;=300,2,1))))</f>
        <v/>
      </c>
      <c r="I1602" s="126">
        <f>TEXT(F1602,"0")&amp;TEXT(G1602,"0")&amp;TEXT(H1602,"0")</f>
        <v/>
      </c>
      <c r="J1602" s="126">
        <f>IFERROR(XLOOKUP(I1602,'Segment Map'!A:A,'Segment Map'!B:B,"Need Attention"),"Need Attention")</f>
        <v/>
      </c>
      <c r="K1602" s="126">
        <f>IF(E1602&gt;=5000,"🏆 Platinum",IF(E1602&gt;=2000,"🥇 Gold",IF(E1602&gt;=800,"🥈 Silver","🥉 Bronze")))</f>
        <v/>
      </c>
      <c r="L1602" s="129" t="n">
        <v>40778</v>
      </c>
    </row>
    <row r="1603">
      <c r="A1603" s="122" t="n">
        <v>14524</v>
      </c>
      <c r="B1603" s="122" t="inlineStr">
        <is>
          <t>United Kingdom</t>
        </is>
      </c>
      <c r="C1603" s="122" t="n">
        <v>32</v>
      </c>
      <c r="D1603" s="122" t="n">
        <v>9</v>
      </c>
      <c r="E1603" s="123" t="n">
        <v>1867.68</v>
      </c>
      <c r="F1603" s="124">
        <f>IF(C1603&lt;=30,5,IF(C1603&lt;=60,4,IF(C1603&lt;=120,3,IF(C1603&lt;=200,2,1))))</f>
        <v/>
      </c>
      <c r="G1603" s="124">
        <f>IF(D1603&gt;=20,5,IF(D1603&gt;=10,4,IF(D1603&gt;=5,3,IF(D1603&gt;=2,2,1))))</f>
        <v/>
      </c>
      <c r="H1603" s="124">
        <f>IF(E1603&gt;=5000,5,IF(E1603&gt;=2000,4,IF(E1603&gt;=800,3,IF(E1603&gt;=300,2,1))))</f>
        <v/>
      </c>
      <c r="I1603" s="122">
        <f>TEXT(F1603,"0")&amp;TEXT(G1603,"0")&amp;TEXT(H1603,"0")</f>
        <v/>
      </c>
      <c r="J1603" s="122">
        <f>IFERROR(XLOOKUP(I1603,'Segment Map'!A:A,'Segment Map'!B:B,"Need Attention"),"Need Attention")</f>
        <v/>
      </c>
      <c r="K1603" s="122">
        <f>IF(E1603&gt;=5000,"🏆 Platinum",IF(E1603&gt;=2000,"🥇 Gold",IF(E1603&gt;=800,"🥈 Silver","🥉 Bronze")))</f>
        <v/>
      </c>
      <c r="L1603" s="125" t="n">
        <v>40855</v>
      </c>
    </row>
    <row r="1604">
      <c r="A1604" s="126" t="n">
        <v>14525</v>
      </c>
      <c r="B1604" s="126" t="inlineStr">
        <is>
          <t>United Kingdom</t>
        </is>
      </c>
      <c r="C1604" s="126" t="n">
        <v>20</v>
      </c>
      <c r="D1604" s="126" t="n">
        <v>9</v>
      </c>
      <c r="E1604" s="127" t="n">
        <v>4332.2</v>
      </c>
      <c r="F1604" s="128">
        <f>IF(C1604&lt;=30,5,IF(C1604&lt;=60,4,IF(C1604&lt;=120,3,IF(C1604&lt;=200,2,1))))</f>
        <v/>
      </c>
      <c r="G1604" s="128">
        <f>IF(D1604&gt;=20,5,IF(D1604&gt;=10,4,IF(D1604&gt;=5,3,IF(D1604&gt;=2,2,1))))</f>
        <v/>
      </c>
      <c r="H1604" s="128">
        <f>IF(E1604&gt;=5000,5,IF(E1604&gt;=2000,4,IF(E1604&gt;=800,3,IF(E1604&gt;=300,2,1))))</f>
        <v/>
      </c>
      <c r="I1604" s="126">
        <f>TEXT(F1604,"0")&amp;TEXT(G1604,"0")&amp;TEXT(H1604,"0")</f>
        <v/>
      </c>
      <c r="J1604" s="126">
        <f>IFERROR(XLOOKUP(I1604,'Segment Map'!A:A,'Segment Map'!B:B,"Need Attention"),"Need Attention")</f>
        <v/>
      </c>
      <c r="K1604" s="126">
        <f>IF(E1604&gt;=5000,"🏆 Platinum",IF(E1604&gt;=2000,"🥇 Gold",IF(E1604&gt;=800,"🥈 Silver","🥉 Bronze")))</f>
        <v/>
      </c>
      <c r="L1604" s="129" t="n">
        <v>40867</v>
      </c>
    </row>
    <row r="1605">
      <c r="A1605" s="122" t="n">
        <v>14527</v>
      </c>
      <c r="B1605" s="122" t="inlineStr">
        <is>
          <t>United Kingdom</t>
        </is>
      </c>
      <c r="C1605" s="122" t="n">
        <v>3</v>
      </c>
      <c r="D1605" s="122" t="n">
        <v>55</v>
      </c>
      <c r="E1605" s="123" t="n">
        <v>8508.82</v>
      </c>
      <c r="F1605" s="124">
        <f>IF(C1605&lt;=30,5,IF(C1605&lt;=60,4,IF(C1605&lt;=120,3,IF(C1605&lt;=200,2,1))))</f>
        <v/>
      </c>
      <c r="G1605" s="124">
        <f>IF(D1605&gt;=20,5,IF(D1605&gt;=10,4,IF(D1605&gt;=5,3,IF(D1605&gt;=2,2,1))))</f>
        <v/>
      </c>
      <c r="H1605" s="124">
        <f>IF(E1605&gt;=5000,5,IF(E1605&gt;=2000,4,IF(E1605&gt;=800,3,IF(E1605&gt;=300,2,1))))</f>
        <v/>
      </c>
      <c r="I1605" s="122">
        <f>TEXT(F1605,"0")&amp;TEXT(G1605,"0")&amp;TEXT(H1605,"0")</f>
        <v/>
      </c>
      <c r="J1605" s="122">
        <f>IFERROR(XLOOKUP(I1605,'Segment Map'!A:A,'Segment Map'!B:B,"Need Attention"),"Need Attention")</f>
        <v/>
      </c>
      <c r="K1605" s="122">
        <f>IF(E1605&gt;=5000,"🏆 Platinum",IF(E1605&gt;=2000,"🥇 Gold",IF(E1605&gt;=800,"🥈 Silver","🥉 Bronze")))</f>
        <v/>
      </c>
      <c r="L1605" s="125" t="n">
        <v>40884</v>
      </c>
    </row>
    <row r="1606">
      <c r="A1606" s="126" t="n">
        <v>14528</v>
      </c>
      <c r="B1606" s="126" t="inlineStr">
        <is>
          <t>United Kingdom</t>
        </is>
      </c>
      <c r="C1606" s="126" t="n">
        <v>38</v>
      </c>
      <c r="D1606" s="126" t="n">
        <v>1</v>
      </c>
      <c r="E1606" s="127" t="n">
        <v>364.22</v>
      </c>
      <c r="F1606" s="128">
        <f>IF(C1606&lt;=30,5,IF(C1606&lt;=60,4,IF(C1606&lt;=120,3,IF(C1606&lt;=200,2,1))))</f>
        <v/>
      </c>
      <c r="G1606" s="128">
        <f>IF(D1606&gt;=20,5,IF(D1606&gt;=10,4,IF(D1606&gt;=5,3,IF(D1606&gt;=2,2,1))))</f>
        <v/>
      </c>
      <c r="H1606" s="128">
        <f>IF(E1606&gt;=5000,5,IF(E1606&gt;=2000,4,IF(E1606&gt;=800,3,IF(E1606&gt;=300,2,1))))</f>
        <v/>
      </c>
      <c r="I1606" s="126">
        <f>TEXT(F1606,"0")&amp;TEXT(G1606,"0")&amp;TEXT(H1606,"0")</f>
        <v/>
      </c>
      <c r="J1606" s="126">
        <f>IFERROR(XLOOKUP(I1606,'Segment Map'!A:A,'Segment Map'!B:B,"Need Attention"),"Need Attention")</f>
        <v/>
      </c>
      <c r="K1606" s="126">
        <f>IF(E1606&gt;=5000,"🏆 Platinum",IF(E1606&gt;=2000,"🥇 Gold",IF(E1606&gt;=800,"🥈 Silver","🥉 Bronze")))</f>
        <v/>
      </c>
      <c r="L1606" s="129" t="n">
        <v>40849</v>
      </c>
    </row>
    <row r="1607">
      <c r="A1607" s="122" t="n">
        <v>14529</v>
      </c>
      <c r="B1607" s="122" t="inlineStr">
        <is>
          <t>United Kingdom</t>
        </is>
      </c>
      <c r="C1607" s="122" t="n">
        <v>61</v>
      </c>
      <c r="D1607" s="122" t="n">
        <v>3</v>
      </c>
      <c r="E1607" s="123" t="n">
        <v>620.04</v>
      </c>
      <c r="F1607" s="124">
        <f>IF(C1607&lt;=30,5,IF(C1607&lt;=60,4,IF(C1607&lt;=120,3,IF(C1607&lt;=200,2,1))))</f>
        <v/>
      </c>
      <c r="G1607" s="124">
        <f>IF(D1607&gt;=20,5,IF(D1607&gt;=10,4,IF(D1607&gt;=5,3,IF(D1607&gt;=2,2,1))))</f>
        <v/>
      </c>
      <c r="H1607" s="124">
        <f>IF(E1607&gt;=5000,5,IF(E1607&gt;=2000,4,IF(E1607&gt;=800,3,IF(E1607&gt;=300,2,1))))</f>
        <v/>
      </c>
      <c r="I1607" s="122">
        <f>TEXT(F1607,"0")&amp;TEXT(G1607,"0")&amp;TEXT(H1607,"0")</f>
        <v/>
      </c>
      <c r="J1607" s="122">
        <f>IFERROR(XLOOKUP(I1607,'Segment Map'!A:A,'Segment Map'!B:B,"Need Attention"),"Need Attention")</f>
        <v/>
      </c>
      <c r="K1607" s="122">
        <f>IF(E1607&gt;=5000,"🏆 Platinum",IF(E1607&gt;=2000,"🥇 Gold",IF(E1607&gt;=800,"🥈 Silver","🥉 Bronze")))</f>
        <v/>
      </c>
      <c r="L1607" s="125" t="n">
        <v>40826</v>
      </c>
    </row>
    <row r="1608">
      <c r="A1608" s="126" t="n">
        <v>14530</v>
      </c>
      <c r="B1608" s="126" t="inlineStr">
        <is>
          <t>United Kingdom</t>
        </is>
      </c>
      <c r="C1608" s="126" t="n">
        <v>26</v>
      </c>
      <c r="D1608" s="126" t="n">
        <v>6</v>
      </c>
      <c r="E1608" s="127" t="n">
        <v>2925.91</v>
      </c>
      <c r="F1608" s="128">
        <f>IF(C1608&lt;=30,5,IF(C1608&lt;=60,4,IF(C1608&lt;=120,3,IF(C1608&lt;=200,2,1))))</f>
        <v/>
      </c>
      <c r="G1608" s="128">
        <f>IF(D1608&gt;=20,5,IF(D1608&gt;=10,4,IF(D1608&gt;=5,3,IF(D1608&gt;=2,2,1))))</f>
        <v/>
      </c>
      <c r="H1608" s="128">
        <f>IF(E1608&gt;=5000,5,IF(E1608&gt;=2000,4,IF(E1608&gt;=800,3,IF(E1608&gt;=300,2,1))))</f>
        <v/>
      </c>
      <c r="I1608" s="126">
        <f>TEXT(F1608,"0")&amp;TEXT(G1608,"0")&amp;TEXT(H1608,"0")</f>
        <v/>
      </c>
      <c r="J1608" s="126">
        <f>IFERROR(XLOOKUP(I1608,'Segment Map'!A:A,'Segment Map'!B:B,"Need Attention"),"Need Attention")</f>
        <v/>
      </c>
      <c r="K1608" s="126">
        <f>IF(E1608&gt;=5000,"🏆 Platinum",IF(E1608&gt;=2000,"🥇 Gold",IF(E1608&gt;=800,"🥈 Silver","🥉 Bronze")))</f>
        <v/>
      </c>
      <c r="L1608" s="129" t="n">
        <v>40861</v>
      </c>
    </row>
    <row r="1609">
      <c r="A1609" s="122" t="n">
        <v>14532</v>
      </c>
      <c r="B1609" s="122" t="inlineStr">
        <is>
          <t>United Kingdom</t>
        </is>
      </c>
      <c r="C1609" s="122" t="n">
        <v>237</v>
      </c>
      <c r="D1609" s="122" t="n">
        <v>4</v>
      </c>
      <c r="E1609" s="123" t="n">
        <v>932.85</v>
      </c>
      <c r="F1609" s="124">
        <f>IF(C1609&lt;=30,5,IF(C1609&lt;=60,4,IF(C1609&lt;=120,3,IF(C1609&lt;=200,2,1))))</f>
        <v/>
      </c>
      <c r="G1609" s="124">
        <f>IF(D1609&gt;=20,5,IF(D1609&gt;=10,4,IF(D1609&gt;=5,3,IF(D1609&gt;=2,2,1))))</f>
        <v/>
      </c>
      <c r="H1609" s="124">
        <f>IF(E1609&gt;=5000,5,IF(E1609&gt;=2000,4,IF(E1609&gt;=800,3,IF(E1609&gt;=300,2,1))))</f>
        <v/>
      </c>
      <c r="I1609" s="122">
        <f>TEXT(F1609,"0")&amp;TEXT(G1609,"0")&amp;TEXT(H1609,"0")</f>
        <v/>
      </c>
      <c r="J1609" s="122">
        <f>IFERROR(XLOOKUP(I1609,'Segment Map'!A:A,'Segment Map'!B:B,"Need Attention"),"Need Attention")</f>
        <v/>
      </c>
      <c r="K1609" s="122">
        <f>IF(E1609&gt;=5000,"🏆 Platinum",IF(E1609&gt;=2000,"🥇 Gold",IF(E1609&gt;=800,"🥈 Silver","🥉 Bronze")))</f>
        <v/>
      </c>
      <c r="L1609" s="125" t="n">
        <v>40650</v>
      </c>
    </row>
    <row r="1610">
      <c r="A1610" s="126" t="n">
        <v>14533</v>
      </c>
      <c r="B1610" s="126" t="inlineStr">
        <is>
          <t>United Kingdom</t>
        </is>
      </c>
      <c r="C1610" s="126" t="n">
        <v>25</v>
      </c>
      <c r="D1610" s="126" t="n">
        <v>7</v>
      </c>
      <c r="E1610" s="127" t="n">
        <v>1949.72</v>
      </c>
      <c r="F1610" s="128">
        <f>IF(C1610&lt;=30,5,IF(C1610&lt;=60,4,IF(C1610&lt;=120,3,IF(C1610&lt;=200,2,1))))</f>
        <v/>
      </c>
      <c r="G1610" s="128">
        <f>IF(D1610&gt;=20,5,IF(D1610&gt;=10,4,IF(D1610&gt;=5,3,IF(D1610&gt;=2,2,1))))</f>
        <v/>
      </c>
      <c r="H1610" s="128">
        <f>IF(E1610&gt;=5000,5,IF(E1610&gt;=2000,4,IF(E1610&gt;=800,3,IF(E1610&gt;=300,2,1))))</f>
        <v/>
      </c>
      <c r="I1610" s="126">
        <f>TEXT(F1610,"0")&amp;TEXT(G1610,"0")&amp;TEXT(H1610,"0")</f>
        <v/>
      </c>
      <c r="J1610" s="126">
        <f>IFERROR(XLOOKUP(I1610,'Segment Map'!A:A,'Segment Map'!B:B,"Need Attention"),"Need Attention")</f>
        <v/>
      </c>
      <c r="K1610" s="126">
        <f>IF(E1610&gt;=5000,"🏆 Platinum",IF(E1610&gt;=2000,"🥇 Gold",IF(E1610&gt;=800,"🥈 Silver","🥉 Bronze")))</f>
        <v/>
      </c>
      <c r="L1610" s="129" t="n">
        <v>40862</v>
      </c>
    </row>
    <row r="1611">
      <c r="A1611" s="122" t="n">
        <v>14534</v>
      </c>
      <c r="B1611" s="122" t="inlineStr">
        <is>
          <t>United Kingdom</t>
        </is>
      </c>
      <c r="C1611" s="122" t="n">
        <v>3</v>
      </c>
      <c r="D1611" s="122" t="n">
        <v>18</v>
      </c>
      <c r="E1611" s="123" t="n">
        <v>4447.05</v>
      </c>
      <c r="F1611" s="124">
        <f>IF(C1611&lt;=30,5,IF(C1611&lt;=60,4,IF(C1611&lt;=120,3,IF(C1611&lt;=200,2,1))))</f>
        <v/>
      </c>
      <c r="G1611" s="124">
        <f>IF(D1611&gt;=20,5,IF(D1611&gt;=10,4,IF(D1611&gt;=5,3,IF(D1611&gt;=2,2,1))))</f>
        <v/>
      </c>
      <c r="H1611" s="124">
        <f>IF(E1611&gt;=5000,5,IF(E1611&gt;=2000,4,IF(E1611&gt;=800,3,IF(E1611&gt;=300,2,1))))</f>
        <v/>
      </c>
      <c r="I1611" s="122">
        <f>TEXT(F1611,"0")&amp;TEXT(G1611,"0")&amp;TEXT(H1611,"0")</f>
        <v/>
      </c>
      <c r="J1611" s="122">
        <f>IFERROR(XLOOKUP(I1611,'Segment Map'!A:A,'Segment Map'!B:B,"Need Attention"),"Need Attention")</f>
        <v/>
      </c>
      <c r="K1611" s="122">
        <f>IF(E1611&gt;=5000,"🏆 Platinum",IF(E1611&gt;=2000,"🥇 Gold",IF(E1611&gt;=800,"🥈 Silver","🥉 Bronze")))</f>
        <v/>
      </c>
      <c r="L1611" s="125" t="n">
        <v>40884</v>
      </c>
    </row>
    <row r="1612">
      <c r="A1612" s="126" t="n">
        <v>14535</v>
      </c>
      <c r="B1612" s="126" t="inlineStr">
        <is>
          <t>United Kingdom</t>
        </is>
      </c>
      <c r="C1612" s="126" t="n">
        <v>61</v>
      </c>
      <c r="D1612" s="126" t="n">
        <v>3</v>
      </c>
      <c r="E1612" s="127" t="n">
        <v>2864.19</v>
      </c>
      <c r="F1612" s="128">
        <f>IF(C1612&lt;=30,5,IF(C1612&lt;=60,4,IF(C1612&lt;=120,3,IF(C1612&lt;=200,2,1))))</f>
        <v/>
      </c>
      <c r="G1612" s="128">
        <f>IF(D1612&gt;=20,5,IF(D1612&gt;=10,4,IF(D1612&gt;=5,3,IF(D1612&gt;=2,2,1))))</f>
        <v/>
      </c>
      <c r="H1612" s="128">
        <f>IF(E1612&gt;=5000,5,IF(E1612&gt;=2000,4,IF(E1612&gt;=800,3,IF(E1612&gt;=300,2,1))))</f>
        <v/>
      </c>
      <c r="I1612" s="126">
        <f>TEXT(F1612,"0")&amp;TEXT(G1612,"0")&amp;TEXT(H1612,"0")</f>
        <v/>
      </c>
      <c r="J1612" s="126">
        <f>IFERROR(XLOOKUP(I1612,'Segment Map'!A:A,'Segment Map'!B:B,"Need Attention"),"Need Attention")</f>
        <v/>
      </c>
      <c r="K1612" s="126">
        <f>IF(E1612&gt;=5000,"🏆 Platinum",IF(E1612&gt;=2000,"🥇 Gold",IF(E1612&gt;=800,"🥈 Silver","🥉 Bronze")))</f>
        <v/>
      </c>
      <c r="L1612" s="129" t="n">
        <v>40826</v>
      </c>
    </row>
    <row r="1613">
      <c r="A1613" s="122" t="n">
        <v>14536</v>
      </c>
      <c r="B1613" s="122" t="inlineStr">
        <is>
          <t>United Kingdom</t>
        </is>
      </c>
      <c r="C1613" s="122" t="n">
        <v>260</v>
      </c>
      <c r="D1613" s="122" t="n">
        <v>1</v>
      </c>
      <c r="E1613" s="123" t="n">
        <v>171.8</v>
      </c>
      <c r="F1613" s="124">
        <f>IF(C1613&lt;=30,5,IF(C1613&lt;=60,4,IF(C1613&lt;=120,3,IF(C1613&lt;=200,2,1))))</f>
        <v/>
      </c>
      <c r="G1613" s="124">
        <f>IF(D1613&gt;=20,5,IF(D1613&gt;=10,4,IF(D1613&gt;=5,3,IF(D1613&gt;=2,2,1))))</f>
        <v/>
      </c>
      <c r="H1613" s="124">
        <f>IF(E1613&gt;=5000,5,IF(E1613&gt;=2000,4,IF(E1613&gt;=800,3,IF(E1613&gt;=300,2,1))))</f>
        <v/>
      </c>
      <c r="I1613" s="122">
        <f>TEXT(F1613,"0")&amp;TEXT(G1613,"0")&amp;TEXT(H1613,"0")</f>
        <v/>
      </c>
      <c r="J1613" s="122">
        <f>IFERROR(XLOOKUP(I1613,'Segment Map'!A:A,'Segment Map'!B:B,"Need Attention"),"Need Attention")</f>
        <v/>
      </c>
      <c r="K1613" s="122">
        <f>IF(E1613&gt;=5000,"🏆 Platinum",IF(E1613&gt;=2000,"🥇 Gold",IF(E1613&gt;=800,"🥈 Silver","🥉 Bronze")))</f>
        <v/>
      </c>
      <c r="L1613" s="125" t="n">
        <v>40627</v>
      </c>
    </row>
    <row r="1614">
      <c r="A1614" s="126" t="n">
        <v>14537</v>
      </c>
      <c r="B1614" s="126" t="inlineStr">
        <is>
          <t>United Kingdom</t>
        </is>
      </c>
      <c r="C1614" s="126" t="n">
        <v>58</v>
      </c>
      <c r="D1614" s="126" t="n">
        <v>1</v>
      </c>
      <c r="E1614" s="127" t="n">
        <v>355.56</v>
      </c>
      <c r="F1614" s="128">
        <f>IF(C1614&lt;=30,5,IF(C1614&lt;=60,4,IF(C1614&lt;=120,3,IF(C1614&lt;=200,2,1))))</f>
        <v/>
      </c>
      <c r="G1614" s="128">
        <f>IF(D1614&gt;=20,5,IF(D1614&gt;=10,4,IF(D1614&gt;=5,3,IF(D1614&gt;=2,2,1))))</f>
        <v/>
      </c>
      <c r="H1614" s="128">
        <f>IF(E1614&gt;=5000,5,IF(E1614&gt;=2000,4,IF(E1614&gt;=800,3,IF(E1614&gt;=300,2,1))))</f>
        <v/>
      </c>
      <c r="I1614" s="126">
        <f>TEXT(F1614,"0")&amp;TEXT(G1614,"0")&amp;TEXT(H1614,"0")</f>
        <v/>
      </c>
      <c r="J1614" s="126">
        <f>IFERROR(XLOOKUP(I1614,'Segment Map'!A:A,'Segment Map'!B:B,"Need Attention"),"Need Attention")</f>
        <v/>
      </c>
      <c r="K1614" s="126">
        <f>IF(E1614&gt;=5000,"🏆 Platinum",IF(E1614&gt;=2000,"🥇 Gold",IF(E1614&gt;=800,"🥈 Silver","🥉 Bronze")))</f>
        <v/>
      </c>
      <c r="L1614" s="129" t="n">
        <v>40829</v>
      </c>
    </row>
    <row r="1615">
      <c r="A1615" s="122" t="n">
        <v>14538</v>
      </c>
      <c r="B1615" s="122" t="inlineStr">
        <is>
          <t>United Kingdom</t>
        </is>
      </c>
      <c r="C1615" s="122" t="n">
        <v>65</v>
      </c>
      <c r="D1615" s="122" t="n">
        <v>2</v>
      </c>
      <c r="E1615" s="123" t="n">
        <v>388.25</v>
      </c>
      <c r="F1615" s="124">
        <f>IF(C1615&lt;=30,5,IF(C1615&lt;=60,4,IF(C1615&lt;=120,3,IF(C1615&lt;=200,2,1))))</f>
        <v/>
      </c>
      <c r="G1615" s="124">
        <f>IF(D1615&gt;=20,5,IF(D1615&gt;=10,4,IF(D1615&gt;=5,3,IF(D1615&gt;=2,2,1))))</f>
        <v/>
      </c>
      <c r="H1615" s="124">
        <f>IF(E1615&gt;=5000,5,IF(E1615&gt;=2000,4,IF(E1615&gt;=800,3,IF(E1615&gt;=300,2,1))))</f>
        <v/>
      </c>
      <c r="I1615" s="122">
        <f>TEXT(F1615,"0")&amp;TEXT(G1615,"0")&amp;TEXT(H1615,"0")</f>
        <v/>
      </c>
      <c r="J1615" s="122">
        <f>IFERROR(XLOOKUP(I1615,'Segment Map'!A:A,'Segment Map'!B:B,"Need Attention"),"Need Attention")</f>
        <v/>
      </c>
      <c r="K1615" s="122">
        <f>IF(E1615&gt;=5000,"🏆 Platinum",IF(E1615&gt;=2000,"🥇 Gold",IF(E1615&gt;=800,"🥈 Silver","🥉 Bronze")))</f>
        <v/>
      </c>
      <c r="L1615" s="125" t="n">
        <v>40822</v>
      </c>
    </row>
    <row r="1616">
      <c r="A1616" s="126" t="n">
        <v>14539</v>
      </c>
      <c r="B1616" s="126" t="inlineStr">
        <is>
          <t>United Kingdom</t>
        </is>
      </c>
      <c r="C1616" s="126" t="n">
        <v>16</v>
      </c>
      <c r="D1616" s="126" t="n">
        <v>2</v>
      </c>
      <c r="E1616" s="127" t="n">
        <v>537.48</v>
      </c>
      <c r="F1616" s="128">
        <f>IF(C1616&lt;=30,5,IF(C1616&lt;=60,4,IF(C1616&lt;=120,3,IF(C1616&lt;=200,2,1))))</f>
        <v/>
      </c>
      <c r="G1616" s="128">
        <f>IF(D1616&gt;=20,5,IF(D1616&gt;=10,4,IF(D1616&gt;=5,3,IF(D1616&gt;=2,2,1))))</f>
        <v/>
      </c>
      <c r="H1616" s="128">
        <f>IF(E1616&gt;=5000,5,IF(E1616&gt;=2000,4,IF(E1616&gt;=800,3,IF(E1616&gt;=300,2,1))))</f>
        <v/>
      </c>
      <c r="I1616" s="126">
        <f>TEXT(F1616,"0")&amp;TEXT(G1616,"0")&amp;TEXT(H1616,"0")</f>
        <v/>
      </c>
      <c r="J1616" s="126">
        <f>IFERROR(XLOOKUP(I1616,'Segment Map'!A:A,'Segment Map'!B:B,"Need Attention"),"Need Attention")</f>
        <v/>
      </c>
      <c r="K1616" s="126">
        <f>IF(E1616&gt;=5000,"🏆 Platinum",IF(E1616&gt;=2000,"🥇 Gold",IF(E1616&gt;=800,"🥈 Silver","🥉 Bronze")))</f>
        <v/>
      </c>
      <c r="L1616" s="129" t="n">
        <v>40871</v>
      </c>
    </row>
    <row r="1617">
      <c r="A1617" s="122" t="n">
        <v>14540</v>
      </c>
      <c r="B1617" s="122" t="inlineStr">
        <is>
          <t>United Kingdom</t>
        </is>
      </c>
      <c r="C1617" s="122" t="n">
        <v>10</v>
      </c>
      <c r="D1617" s="122" t="n">
        <v>3</v>
      </c>
      <c r="E1617" s="123" t="n">
        <v>996.26</v>
      </c>
      <c r="F1617" s="124">
        <f>IF(C1617&lt;=30,5,IF(C1617&lt;=60,4,IF(C1617&lt;=120,3,IF(C1617&lt;=200,2,1))))</f>
        <v/>
      </c>
      <c r="G1617" s="124">
        <f>IF(D1617&gt;=20,5,IF(D1617&gt;=10,4,IF(D1617&gt;=5,3,IF(D1617&gt;=2,2,1))))</f>
        <v/>
      </c>
      <c r="H1617" s="124">
        <f>IF(E1617&gt;=5000,5,IF(E1617&gt;=2000,4,IF(E1617&gt;=800,3,IF(E1617&gt;=300,2,1))))</f>
        <v/>
      </c>
      <c r="I1617" s="122">
        <f>TEXT(F1617,"0")&amp;TEXT(G1617,"0")&amp;TEXT(H1617,"0")</f>
        <v/>
      </c>
      <c r="J1617" s="122">
        <f>IFERROR(XLOOKUP(I1617,'Segment Map'!A:A,'Segment Map'!B:B,"Need Attention"),"Need Attention")</f>
        <v/>
      </c>
      <c r="K1617" s="122">
        <f>IF(E1617&gt;=5000,"🏆 Platinum",IF(E1617&gt;=2000,"🥇 Gold",IF(E1617&gt;=800,"🥈 Silver","🥉 Bronze")))</f>
        <v/>
      </c>
      <c r="L1617" s="125" t="n">
        <v>40877</v>
      </c>
    </row>
    <row r="1618">
      <c r="A1618" s="126" t="n">
        <v>14541</v>
      </c>
      <c r="B1618" s="126" t="inlineStr">
        <is>
          <t>United Kingdom</t>
        </is>
      </c>
      <c r="C1618" s="126" t="n">
        <v>59</v>
      </c>
      <c r="D1618" s="126" t="n">
        <v>8</v>
      </c>
      <c r="E1618" s="127" t="n">
        <v>1461.65</v>
      </c>
      <c r="F1618" s="128">
        <f>IF(C1618&lt;=30,5,IF(C1618&lt;=60,4,IF(C1618&lt;=120,3,IF(C1618&lt;=200,2,1))))</f>
        <v/>
      </c>
      <c r="G1618" s="128">
        <f>IF(D1618&gt;=20,5,IF(D1618&gt;=10,4,IF(D1618&gt;=5,3,IF(D1618&gt;=2,2,1))))</f>
        <v/>
      </c>
      <c r="H1618" s="128">
        <f>IF(E1618&gt;=5000,5,IF(E1618&gt;=2000,4,IF(E1618&gt;=800,3,IF(E1618&gt;=300,2,1))))</f>
        <v/>
      </c>
      <c r="I1618" s="126">
        <f>TEXT(F1618,"0")&amp;TEXT(G1618,"0")&amp;TEXT(H1618,"0")</f>
        <v/>
      </c>
      <c r="J1618" s="126">
        <f>IFERROR(XLOOKUP(I1618,'Segment Map'!A:A,'Segment Map'!B:B,"Need Attention"),"Need Attention")</f>
        <v/>
      </c>
      <c r="K1618" s="126">
        <f>IF(E1618&gt;=5000,"🏆 Platinum",IF(E1618&gt;=2000,"🥇 Gold",IF(E1618&gt;=800,"🥈 Silver","🥉 Bronze")))</f>
        <v/>
      </c>
      <c r="L1618" s="129" t="n">
        <v>40828</v>
      </c>
    </row>
    <row r="1619">
      <c r="A1619" s="122" t="n">
        <v>14542</v>
      </c>
      <c r="B1619" s="122" t="inlineStr">
        <is>
          <t>United Kingdom</t>
        </is>
      </c>
      <c r="C1619" s="122" t="n">
        <v>186</v>
      </c>
      <c r="D1619" s="122" t="n">
        <v>1</v>
      </c>
      <c r="E1619" s="123" t="n">
        <v>103.25</v>
      </c>
      <c r="F1619" s="124">
        <f>IF(C1619&lt;=30,5,IF(C1619&lt;=60,4,IF(C1619&lt;=120,3,IF(C1619&lt;=200,2,1))))</f>
        <v/>
      </c>
      <c r="G1619" s="124">
        <f>IF(D1619&gt;=20,5,IF(D1619&gt;=10,4,IF(D1619&gt;=5,3,IF(D1619&gt;=2,2,1))))</f>
        <v/>
      </c>
      <c r="H1619" s="124">
        <f>IF(E1619&gt;=5000,5,IF(E1619&gt;=2000,4,IF(E1619&gt;=800,3,IF(E1619&gt;=300,2,1))))</f>
        <v/>
      </c>
      <c r="I1619" s="122">
        <f>TEXT(F1619,"0")&amp;TEXT(G1619,"0")&amp;TEXT(H1619,"0")</f>
        <v/>
      </c>
      <c r="J1619" s="122">
        <f>IFERROR(XLOOKUP(I1619,'Segment Map'!A:A,'Segment Map'!B:B,"Need Attention"),"Need Attention")</f>
        <v/>
      </c>
      <c r="K1619" s="122">
        <f>IF(E1619&gt;=5000,"🏆 Platinum",IF(E1619&gt;=2000,"🥇 Gold",IF(E1619&gt;=800,"🥈 Silver","🥉 Bronze")))</f>
        <v/>
      </c>
      <c r="L1619" s="125" t="n">
        <v>40701</v>
      </c>
    </row>
    <row r="1620">
      <c r="A1620" s="126" t="n">
        <v>14543</v>
      </c>
      <c r="B1620" s="126" t="inlineStr">
        <is>
          <t>United Kingdom</t>
        </is>
      </c>
      <c r="C1620" s="126" t="n">
        <v>29</v>
      </c>
      <c r="D1620" s="126" t="n">
        <v>16</v>
      </c>
      <c r="E1620" s="127" t="n">
        <v>3630.33</v>
      </c>
      <c r="F1620" s="128">
        <f>IF(C1620&lt;=30,5,IF(C1620&lt;=60,4,IF(C1620&lt;=120,3,IF(C1620&lt;=200,2,1))))</f>
        <v/>
      </c>
      <c r="G1620" s="128">
        <f>IF(D1620&gt;=20,5,IF(D1620&gt;=10,4,IF(D1620&gt;=5,3,IF(D1620&gt;=2,2,1))))</f>
        <v/>
      </c>
      <c r="H1620" s="128">
        <f>IF(E1620&gt;=5000,5,IF(E1620&gt;=2000,4,IF(E1620&gt;=800,3,IF(E1620&gt;=300,2,1))))</f>
        <v/>
      </c>
      <c r="I1620" s="126">
        <f>TEXT(F1620,"0")&amp;TEXT(G1620,"0")&amp;TEXT(H1620,"0")</f>
        <v/>
      </c>
      <c r="J1620" s="126">
        <f>IFERROR(XLOOKUP(I1620,'Segment Map'!A:A,'Segment Map'!B:B,"Need Attention"),"Need Attention")</f>
        <v/>
      </c>
      <c r="K1620" s="126">
        <f>IF(E1620&gt;=5000,"🏆 Platinum",IF(E1620&gt;=2000,"🥇 Gold",IF(E1620&gt;=800,"🥈 Silver","🥉 Bronze")))</f>
        <v/>
      </c>
      <c r="L1620" s="129" t="n">
        <v>40858</v>
      </c>
    </row>
    <row r="1621">
      <c r="A1621" s="122" t="n">
        <v>14544</v>
      </c>
      <c r="B1621" s="122" t="inlineStr">
        <is>
          <t>United Kingdom</t>
        </is>
      </c>
      <c r="C1621" s="122" t="n">
        <v>25</v>
      </c>
      <c r="D1621" s="122" t="n">
        <v>2</v>
      </c>
      <c r="E1621" s="123" t="n">
        <v>2024.45</v>
      </c>
      <c r="F1621" s="124">
        <f>IF(C1621&lt;=30,5,IF(C1621&lt;=60,4,IF(C1621&lt;=120,3,IF(C1621&lt;=200,2,1))))</f>
        <v/>
      </c>
      <c r="G1621" s="124">
        <f>IF(D1621&gt;=20,5,IF(D1621&gt;=10,4,IF(D1621&gt;=5,3,IF(D1621&gt;=2,2,1))))</f>
        <v/>
      </c>
      <c r="H1621" s="124">
        <f>IF(E1621&gt;=5000,5,IF(E1621&gt;=2000,4,IF(E1621&gt;=800,3,IF(E1621&gt;=300,2,1))))</f>
        <v/>
      </c>
      <c r="I1621" s="122">
        <f>TEXT(F1621,"0")&amp;TEXT(G1621,"0")&amp;TEXT(H1621,"0")</f>
        <v/>
      </c>
      <c r="J1621" s="122">
        <f>IFERROR(XLOOKUP(I1621,'Segment Map'!A:A,'Segment Map'!B:B,"Need Attention"),"Need Attention")</f>
        <v/>
      </c>
      <c r="K1621" s="122">
        <f>IF(E1621&gt;=5000,"🏆 Platinum",IF(E1621&gt;=2000,"🥇 Gold",IF(E1621&gt;=800,"🥈 Silver","🥉 Bronze")))</f>
        <v/>
      </c>
      <c r="L1621" s="125" t="n">
        <v>40862</v>
      </c>
    </row>
    <row r="1622">
      <c r="A1622" s="126" t="n">
        <v>14546</v>
      </c>
      <c r="B1622" s="126" t="inlineStr">
        <is>
          <t>United Kingdom</t>
        </is>
      </c>
      <c r="C1622" s="126" t="n">
        <v>6</v>
      </c>
      <c r="D1622" s="126" t="n">
        <v>5</v>
      </c>
      <c r="E1622" s="127" t="n">
        <v>2578.09</v>
      </c>
      <c r="F1622" s="128">
        <f>IF(C1622&lt;=30,5,IF(C1622&lt;=60,4,IF(C1622&lt;=120,3,IF(C1622&lt;=200,2,1))))</f>
        <v/>
      </c>
      <c r="G1622" s="128">
        <f>IF(D1622&gt;=20,5,IF(D1622&gt;=10,4,IF(D1622&gt;=5,3,IF(D1622&gt;=2,2,1))))</f>
        <v/>
      </c>
      <c r="H1622" s="128">
        <f>IF(E1622&gt;=5000,5,IF(E1622&gt;=2000,4,IF(E1622&gt;=800,3,IF(E1622&gt;=300,2,1))))</f>
        <v/>
      </c>
      <c r="I1622" s="126">
        <f>TEXT(F1622,"0")&amp;TEXT(G1622,"0")&amp;TEXT(H1622,"0")</f>
        <v/>
      </c>
      <c r="J1622" s="126">
        <f>IFERROR(XLOOKUP(I1622,'Segment Map'!A:A,'Segment Map'!B:B,"Need Attention"),"Need Attention")</f>
        <v/>
      </c>
      <c r="K1622" s="126">
        <f>IF(E1622&gt;=5000,"🏆 Platinum",IF(E1622&gt;=2000,"🥇 Gold",IF(E1622&gt;=800,"🥈 Silver","🥉 Bronze")))</f>
        <v/>
      </c>
      <c r="L1622" s="129" t="n">
        <v>40881</v>
      </c>
    </row>
    <row r="1623">
      <c r="A1623" s="122" t="n">
        <v>14547</v>
      </c>
      <c r="B1623" s="122" t="inlineStr">
        <is>
          <t>United Kingdom</t>
        </is>
      </c>
      <c r="C1623" s="122" t="n">
        <v>4</v>
      </c>
      <c r="D1623" s="122" t="n">
        <v>8</v>
      </c>
      <c r="E1623" s="123" t="n">
        <v>4007.54</v>
      </c>
      <c r="F1623" s="124">
        <f>IF(C1623&lt;=30,5,IF(C1623&lt;=60,4,IF(C1623&lt;=120,3,IF(C1623&lt;=200,2,1))))</f>
        <v/>
      </c>
      <c r="G1623" s="124">
        <f>IF(D1623&gt;=20,5,IF(D1623&gt;=10,4,IF(D1623&gt;=5,3,IF(D1623&gt;=2,2,1))))</f>
        <v/>
      </c>
      <c r="H1623" s="124">
        <f>IF(E1623&gt;=5000,5,IF(E1623&gt;=2000,4,IF(E1623&gt;=800,3,IF(E1623&gt;=300,2,1))))</f>
        <v/>
      </c>
      <c r="I1623" s="122">
        <f>TEXT(F1623,"0")&amp;TEXT(G1623,"0")&amp;TEXT(H1623,"0")</f>
        <v/>
      </c>
      <c r="J1623" s="122">
        <f>IFERROR(XLOOKUP(I1623,'Segment Map'!A:A,'Segment Map'!B:B,"Need Attention"),"Need Attention")</f>
        <v/>
      </c>
      <c r="K1623" s="122">
        <f>IF(E1623&gt;=5000,"🏆 Platinum",IF(E1623&gt;=2000,"🥇 Gold",IF(E1623&gt;=800,"🥈 Silver","🥉 Bronze")))</f>
        <v/>
      </c>
      <c r="L1623" s="125" t="n">
        <v>40883</v>
      </c>
    </row>
    <row r="1624">
      <c r="A1624" s="126" t="n">
        <v>14548</v>
      </c>
      <c r="B1624" s="126" t="inlineStr">
        <is>
          <t>United Kingdom</t>
        </is>
      </c>
      <c r="C1624" s="126" t="n">
        <v>151</v>
      </c>
      <c r="D1624" s="126" t="n">
        <v>2</v>
      </c>
      <c r="E1624" s="127" t="n">
        <v>652.8</v>
      </c>
      <c r="F1624" s="128">
        <f>IF(C1624&lt;=30,5,IF(C1624&lt;=60,4,IF(C1624&lt;=120,3,IF(C1624&lt;=200,2,1))))</f>
        <v/>
      </c>
      <c r="G1624" s="128">
        <f>IF(D1624&gt;=20,5,IF(D1624&gt;=10,4,IF(D1624&gt;=5,3,IF(D1624&gt;=2,2,1))))</f>
        <v/>
      </c>
      <c r="H1624" s="128">
        <f>IF(E1624&gt;=5000,5,IF(E1624&gt;=2000,4,IF(E1624&gt;=800,3,IF(E1624&gt;=300,2,1))))</f>
        <v/>
      </c>
      <c r="I1624" s="126">
        <f>TEXT(F1624,"0")&amp;TEXT(G1624,"0")&amp;TEXT(H1624,"0")</f>
        <v/>
      </c>
      <c r="J1624" s="126">
        <f>IFERROR(XLOOKUP(I1624,'Segment Map'!A:A,'Segment Map'!B:B,"Need Attention"),"Need Attention")</f>
        <v/>
      </c>
      <c r="K1624" s="126">
        <f>IF(E1624&gt;=5000,"🏆 Platinum",IF(E1624&gt;=2000,"🥇 Gold",IF(E1624&gt;=800,"🥈 Silver","🥉 Bronze")))</f>
        <v/>
      </c>
      <c r="L1624" s="129" t="n">
        <v>40736</v>
      </c>
    </row>
    <row r="1625">
      <c r="A1625" s="122" t="n">
        <v>14549</v>
      </c>
      <c r="B1625" s="122" t="inlineStr">
        <is>
          <t>United Kingdom</t>
        </is>
      </c>
      <c r="C1625" s="122" t="n">
        <v>312</v>
      </c>
      <c r="D1625" s="122" t="n">
        <v>1</v>
      </c>
      <c r="E1625" s="123" t="n">
        <v>289.24</v>
      </c>
      <c r="F1625" s="124">
        <f>IF(C1625&lt;=30,5,IF(C1625&lt;=60,4,IF(C1625&lt;=120,3,IF(C1625&lt;=200,2,1))))</f>
        <v/>
      </c>
      <c r="G1625" s="124">
        <f>IF(D1625&gt;=20,5,IF(D1625&gt;=10,4,IF(D1625&gt;=5,3,IF(D1625&gt;=2,2,1))))</f>
        <v/>
      </c>
      <c r="H1625" s="124">
        <f>IF(E1625&gt;=5000,5,IF(E1625&gt;=2000,4,IF(E1625&gt;=800,3,IF(E1625&gt;=300,2,1))))</f>
        <v/>
      </c>
      <c r="I1625" s="122">
        <f>TEXT(F1625,"0")&amp;TEXT(G1625,"0")&amp;TEXT(H1625,"0")</f>
        <v/>
      </c>
      <c r="J1625" s="122">
        <f>IFERROR(XLOOKUP(I1625,'Segment Map'!A:A,'Segment Map'!B:B,"Need Attention"),"Need Attention")</f>
        <v/>
      </c>
      <c r="K1625" s="122">
        <f>IF(E1625&gt;=5000,"🏆 Platinum",IF(E1625&gt;=2000,"🥇 Gold",IF(E1625&gt;=800,"🥈 Silver","🥉 Bronze")))</f>
        <v/>
      </c>
      <c r="L1625" s="125" t="n">
        <v>40575</v>
      </c>
    </row>
    <row r="1626">
      <c r="A1626" s="126" t="n">
        <v>14550</v>
      </c>
      <c r="B1626" s="126" t="inlineStr">
        <is>
          <t>United Kingdom</t>
        </is>
      </c>
      <c r="C1626" s="126" t="n">
        <v>11</v>
      </c>
      <c r="D1626" s="126" t="n">
        <v>2</v>
      </c>
      <c r="E1626" s="127" t="n">
        <v>765.62</v>
      </c>
      <c r="F1626" s="128">
        <f>IF(C1626&lt;=30,5,IF(C1626&lt;=60,4,IF(C1626&lt;=120,3,IF(C1626&lt;=200,2,1))))</f>
        <v/>
      </c>
      <c r="G1626" s="128">
        <f>IF(D1626&gt;=20,5,IF(D1626&gt;=10,4,IF(D1626&gt;=5,3,IF(D1626&gt;=2,2,1))))</f>
        <v/>
      </c>
      <c r="H1626" s="128">
        <f>IF(E1626&gt;=5000,5,IF(E1626&gt;=2000,4,IF(E1626&gt;=800,3,IF(E1626&gt;=300,2,1))))</f>
        <v/>
      </c>
      <c r="I1626" s="126">
        <f>TEXT(F1626,"0")&amp;TEXT(G1626,"0")&amp;TEXT(H1626,"0")</f>
        <v/>
      </c>
      <c r="J1626" s="126">
        <f>IFERROR(XLOOKUP(I1626,'Segment Map'!A:A,'Segment Map'!B:B,"Need Attention"),"Need Attention")</f>
        <v/>
      </c>
      <c r="K1626" s="126">
        <f>IF(E1626&gt;=5000,"🏆 Platinum",IF(E1626&gt;=2000,"🥇 Gold",IF(E1626&gt;=800,"🥈 Silver","🥉 Bronze")))</f>
        <v/>
      </c>
      <c r="L1626" s="129" t="n">
        <v>40876</v>
      </c>
    </row>
    <row r="1627">
      <c r="A1627" s="122" t="n">
        <v>14551</v>
      </c>
      <c r="B1627" s="122" t="inlineStr">
        <is>
          <t>United Kingdom</t>
        </is>
      </c>
      <c r="C1627" s="122" t="n">
        <v>19</v>
      </c>
      <c r="D1627" s="122" t="n">
        <v>2</v>
      </c>
      <c r="E1627" s="123" t="n">
        <v>186.23</v>
      </c>
      <c r="F1627" s="124">
        <f>IF(C1627&lt;=30,5,IF(C1627&lt;=60,4,IF(C1627&lt;=120,3,IF(C1627&lt;=200,2,1))))</f>
        <v/>
      </c>
      <c r="G1627" s="124">
        <f>IF(D1627&gt;=20,5,IF(D1627&gt;=10,4,IF(D1627&gt;=5,3,IF(D1627&gt;=2,2,1))))</f>
        <v/>
      </c>
      <c r="H1627" s="124">
        <f>IF(E1627&gt;=5000,5,IF(E1627&gt;=2000,4,IF(E1627&gt;=800,3,IF(E1627&gt;=300,2,1))))</f>
        <v/>
      </c>
      <c r="I1627" s="122">
        <f>TEXT(F1627,"0")&amp;TEXT(G1627,"0")&amp;TEXT(H1627,"0")</f>
        <v/>
      </c>
      <c r="J1627" s="122">
        <f>IFERROR(XLOOKUP(I1627,'Segment Map'!A:A,'Segment Map'!B:B,"Need Attention"),"Need Attention")</f>
        <v/>
      </c>
      <c r="K1627" s="122">
        <f>IF(E1627&gt;=5000,"🏆 Platinum",IF(E1627&gt;=2000,"🥇 Gold",IF(E1627&gt;=800,"🥈 Silver","🥉 Bronze")))</f>
        <v/>
      </c>
      <c r="L1627" s="125" t="n">
        <v>40868</v>
      </c>
    </row>
    <row r="1628">
      <c r="A1628" s="126" t="n">
        <v>14552</v>
      </c>
      <c r="B1628" s="126" t="inlineStr">
        <is>
          <t>United Kingdom</t>
        </is>
      </c>
      <c r="C1628" s="126" t="n">
        <v>152</v>
      </c>
      <c r="D1628" s="126" t="n">
        <v>1</v>
      </c>
      <c r="E1628" s="127" t="n">
        <v>165.07</v>
      </c>
      <c r="F1628" s="128">
        <f>IF(C1628&lt;=30,5,IF(C1628&lt;=60,4,IF(C1628&lt;=120,3,IF(C1628&lt;=200,2,1))))</f>
        <v/>
      </c>
      <c r="G1628" s="128">
        <f>IF(D1628&gt;=20,5,IF(D1628&gt;=10,4,IF(D1628&gt;=5,3,IF(D1628&gt;=2,2,1))))</f>
        <v/>
      </c>
      <c r="H1628" s="128">
        <f>IF(E1628&gt;=5000,5,IF(E1628&gt;=2000,4,IF(E1628&gt;=800,3,IF(E1628&gt;=300,2,1))))</f>
        <v/>
      </c>
      <c r="I1628" s="126">
        <f>TEXT(F1628,"0")&amp;TEXT(G1628,"0")&amp;TEXT(H1628,"0")</f>
        <v/>
      </c>
      <c r="J1628" s="126">
        <f>IFERROR(XLOOKUP(I1628,'Segment Map'!A:A,'Segment Map'!B:B,"Need Attention"),"Need Attention")</f>
        <v/>
      </c>
      <c r="K1628" s="126">
        <f>IF(E1628&gt;=5000,"🏆 Platinum",IF(E1628&gt;=2000,"🥇 Gold",IF(E1628&gt;=800,"🥈 Silver","🥉 Bronze")))</f>
        <v/>
      </c>
      <c r="L1628" s="129" t="n">
        <v>40735</v>
      </c>
    </row>
    <row r="1629">
      <c r="A1629" s="122" t="n">
        <v>14553</v>
      </c>
      <c r="B1629" s="122" t="inlineStr">
        <is>
          <t>United Kingdom</t>
        </is>
      </c>
      <c r="C1629" s="122" t="n">
        <v>20</v>
      </c>
      <c r="D1629" s="122" t="n">
        <v>5</v>
      </c>
      <c r="E1629" s="123" t="n">
        <v>859.27</v>
      </c>
      <c r="F1629" s="124">
        <f>IF(C1629&lt;=30,5,IF(C1629&lt;=60,4,IF(C1629&lt;=120,3,IF(C1629&lt;=200,2,1))))</f>
        <v/>
      </c>
      <c r="G1629" s="124">
        <f>IF(D1629&gt;=20,5,IF(D1629&gt;=10,4,IF(D1629&gt;=5,3,IF(D1629&gt;=2,2,1))))</f>
        <v/>
      </c>
      <c r="H1629" s="124">
        <f>IF(E1629&gt;=5000,5,IF(E1629&gt;=2000,4,IF(E1629&gt;=800,3,IF(E1629&gt;=300,2,1))))</f>
        <v/>
      </c>
      <c r="I1629" s="122">
        <f>TEXT(F1629,"0")&amp;TEXT(G1629,"0")&amp;TEXT(H1629,"0")</f>
        <v/>
      </c>
      <c r="J1629" s="122">
        <f>IFERROR(XLOOKUP(I1629,'Segment Map'!A:A,'Segment Map'!B:B,"Need Attention"),"Need Attention")</f>
        <v/>
      </c>
      <c r="K1629" s="122">
        <f>IF(E1629&gt;=5000,"🏆 Platinum",IF(E1629&gt;=2000,"🥇 Gold",IF(E1629&gt;=800,"🥈 Silver","🥉 Bronze")))</f>
        <v/>
      </c>
      <c r="L1629" s="125" t="n">
        <v>40867</v>
      </c>
    </row>
    <row r="1630">
      <c r="A1630" s="126" t="n">
        <v>14554</v>
      </c>
      <c r="B1630" s="126" t="inlineStr">
        <is>
          <t>United Kingdom</t>
        </is>
      </c>
      <c r="C1630" s="126" t="n">
        <v>11</v>
      </c>
      <c r="D1630" s="126" t="n">
        <v>4</v>
      </c>
      <c r="E1630" s="127" t="n">
        <v>2381.04</v>
      </c>
      <c r="F1630" s="128">
        <f>IF(C1630&lt;=30,5,IF(C1630&lt;=60,4,IF(C1630&lt;=120,3,IF(C1630&lt;=200,2,1))))</f>
        <v/>
      </c>
      <c r="G1630" s="128">
        <f>IF(D1630&gt;=20,5,IF(D1630&gt;=10,4,IF(D1630&gt;=5,3,IF(D1630&gt;=2,2,1))))</f>
        <v/>
      </c>
      <c r="H1630" s="128">
        <f>IF(E1630&gt;=5000,5,IF(E1630&gt;=2000,4,IF(E1630&gt;=800,3,IF(E1630&gt;=300,2,1))))</f>
        <v/>
      </c>
      <c r="I1630" s="126">
        <f>TEXT(F1630,"0")&amp;TEXT(G1630,"0")&amp;TEXT(H1630,"0")</f>
        <v/>
      </c>
      <c r="J1630" s="126">
        <f>IFERROR(XLOOKUP(I1630,'Segment Map'!A:A,'Segment Map'!B:B,"Need Attention"),"Need Attention")</f>
        <v/>
      </c>
      <c r="K1630" s="126">
        <f>IF(E1630&gt;=5000,"🏆 Platinum",IF(E1630&gt;=2000,"🥇 Gold",IF(E1630&gt;=800,"🥈 Silver","🥉 Bronze")))</f>
        <v/>
      </c>
      <c r="L1630" s="129" t="n">
        <v>40876</v>
      </c>
    </row>
    <row r="1631">
      <c r="A1631" s="122" t="n">
        <v>14555</v>
      </c>
      <c r="B1631" s="122" t="inlineStr">
        <is>
          <t>United Kingdom</t>
        </is>
      </c>
      <c r="C1631" s="122" t="n">
        <v>58</v>
      </c>
      <c r="D1631" s="122" t="n">
        <v>2</v>
      </c>
      <c r="E1631" s="123" t="n">
        <v>324.14</v>
      </c>
      <c r="F1631" s="124">
        <f>IF(C1631&lt;=30,5,IF(C1631&lt;=60,4,IF(C1631&lt;=120,3,IF(C1631&lt;=200,2,1))))</f>
        <v/>
      </c>
      <c r="G1631" s="124">
        <f>IF(D1631&gt;=20,5,IF(D1631&gt;=10,4,IF(D1631&gt;=5,3,IF(D1631&gt;=2,2,1))))</f>
        <v/>
      </c>
      <c r="H1631" s="124">
        <f>IF(E1631&gt;=5000,5,IF(E1631&gt;=2000,4,IF(E1631&gt;=800,3,IF(E1631&gt;=300,2,1))))</f>
        <v/>
      </c>
      <c r="I1631" s="122">
        <f>TEXT(F1631,"0")&amp;TEXT(G1631,"0")&amp;TEXT(H1631,"0")</f>
        <v/>
      </c>
      <c r="J1631" s="122">
        <f>IFERROR(XLOOKUP(I1631,'Segment Map'!A:A,'Segment Map'!B:B,"Need Attention"),"Need Attention")</f>
        <v/>
      </c>
      <c r="K1631" s="122">
        <f>IF(E1631&gt;=5000,"🏆 Platinum",IF(E1631&gt;=2000,"🥇 Gold",IF(E1631&gt;=800,"🥈 Silver","🥉 Bronze")))</f>
        <v/>
      </c>
      <c r="L1631" s="125" t="n">
        <v>40829</v>
      </c>
    </row>
    <row r="1632">
      <c r="A1632" s="126" t="n">
        <v>14557</v>
      </c>
      <c r="B1632" s="126" t="inlineStr">
        <is>
          <t>United Kingdom</t>
        </is>
      </c>
      <c r="C1632" s="126" t="n">
        <v>86</v>
      </c>
      <c r="D1632" s="126" t="n">
        <v>1</v>
      </c>
      <c r="E1632" s="127" t="n">
        <v>788.38</v>
      </c>
      <c r="F1632" s="128">
        <f>IF(C1632&lt;=30,5,IF(C1632&lt;=60,4,IF(C1632&lt;=120,3,IF(C1632&lt;=200,2,1))))</f>
        <v/>
      </c>
      <c r="G1632" s="128">
        <f>IF(D1632&gt;=20,5,IF(D1632&gt;=10,4,IF(D1632&gt;=5,3,IF(D1632&gt;=2,2,1))))</f>
        <v/>
      </c>
      <c r="H1632" s="128">
        <f>IF(E1632&gt;=5000,5,IF(E1632&gt;=2000,4,IF(E1632&gt;=800,3,IF(E1632&gt;=300,2,1))))</f>
        <v/>
      </c>
      <c r="I1632" s="126">
        <f>TEXT(F1632,"0")&amp;TEXT(G1632,"0")&amp;TEXT(H1632,"0")</f>
        <v/>
      </c>
      <c r="J1632" s="126">
        <f>IFERROR(XLOOKUP(I1632,'Segment Map'!A:A,'Segment Map'!B:B,"Need Attention"),"Need Attention")</f>
        <v/>
      </c>
      <c r="K1632" s="126">
        <f>IF(E1632&gt;=5000,"🏆 Platinum",IF(E1632&gt;=2000,"🥇 Gold",IF(E1632&gt;=800,"🥈 Silver","🥉 Bronze")))</f>
        <v/>
      </c>
      <c r="L1632" s="129" t="n">
        <v>40801</v>
      </c>
    </row>
    <row r="1633">
      <c r="A1633" s="122" t="n">
        <v>14560</v>
      </c>
      <c r="B1633" s="122" t="inlineStr">
        <is>
          <t>United Kingdom</t>
        </is>
      </c>
      <c r="C1633" s="122" t="n">
        <v>8</v>
      </c>
      <c r="D1633" s="122" t="n">
        <v>22</v>
      </c>
      <c r="E1633" s="123" t="n">
        <v>2237.77</v>
      </c>
      <c r="F1633" s="124">
        <f>IF(C1633&lt;=30,5,IF(C1633&lt;=60,4,IF(C1633&lt;=120,3,IF(C1633&lt;=200,2,1))))</f>
        <v/>
      </c>
      <c r="G1633" s="124">
        <f>IF(D1633&gt;=20,5,IF(D1633&gt;=10,4,IF(D1633&gt;=5,3,IF(D1633&gt;=2,2,1))))</f>
        <v/>
      </c>
      <c r="H1633" s="124">
        <f>IF(E1633&gt;=5000,5,IF(E1633&gt;=2000,4,IF(E1633&gt;=800,3,IF(E1633&gt;=300,2,1))))</f>
        <v/>
      </c>
      <c r="I1633" s="122">
        <f>TEXT(F1633,"0")&amp;TEXT(G1633,"0")&amp;TEXT(H1633,"0")</f>
        <v/>
      </c>
      <c r="J1633" s="122">
        <f>IFERROR(XLOOKUP(I1633,'Segment Map'!A:A,'Segment Map'!B:B,"Need Attention"),"Need Attention")</f>
        <v/>
      </c>
      <c r="K1633" s="122">
        <f>IF(E1633&gt;=5000,"🏆 Platinum",IF(E1633&gt;=2000,"🥇 Gold",IF(E1633&gt;=800,"🥈 Silver","🥉 Bronze")))</f>
        <v/>
      </c>
      <c r="L1633" s="125" t="n">
        <v>40879</v>
      </c>
    </row>
    <row r="1634">
      <c r="A1634" s="126" t="n">
        <v>14561</v>
      </c>
      <c r="B1634" s="126" t="inlineStr">
        <is>
          <t>United Kingdom</t>
        </is>
      </c>
      <c r="C1634" s="126" t="n">
        <v>76</v>
      </c>
      <c r="D1634" s="126" t="n">
        <v>3</v>
      </c>
      <c r="E1634" s="127" t="n">
        <v>1080.76</v>
      </c>
      <c r="F1634" s="128">
        <f>IF(C1634&lt;=30,5,IF(C1634&lt;=60,4,IF(C1634&lt;=120,3,IF(C1634&lt;=200,2,1))))</f>
        <v/>
      </c>
      <c r="G1634" s="128">
        <f>IF(D1634&gt;=20,5,IF(D1634&gt;=10,4,IF(D1634&gt;=5,3,IF(D1634&gt;=2,2,1))))</f>
        <v/>
      </c>
      <c r="H1634" s="128">
        <f>IF(E1634&gt;=5000,5,IF(E1634&gt;=2000,4,IF(E1634&gt;=800,3,IF(E1634&gt;=300,2,1))))</f>
        <v/>
      </c>
      <c r="I1634" s="126">
        <f>TEXT(F1634,"0")&amp;TEXT(G1634,"0")&amp;TEXT(H1634,"0")</f>
        <v/>
      </c>
      <c r="J1634" s="126">
        <f>IFERROR(XLOOKUP(I1634,'Segment Map'!A:A,'Segment Map'!B:B,"Need Attention"),"Need Attention")</f>
        <v/>
      </c>
      <c r="K1634" s="126">
        <f>IF(E1634&gt;=5000,"🏆 Platinum",IF(E1634&gt;=2000,"🥇 Gold",IF(E1634&gt;=800,"🥈 Silver","🥉 Bronze")))</f>
        <v/>
      </c>
      <c r="L1634" s="129" t="n">
        <v>40811</v>
      </c>
    </row>
    <row r="1635">
      <c r="A1635" s="122" t="n">
        <v>14562</v>
      </c>
      <c r="B1635" s="122" t="inlineStr">
        <is>
          <t>United Kingdom</t>
        </is>
      </c>
      <c r="C1635" s="122" t="n">
        <v>4</v>
      </c>
      <c r="D1635" s="122" t="n">
        <v>18</v>
      </c>
      <c r="E1635" s="123" t="n">
        <v>5074.77</v>
      </c>
      <c r="F1635" s="124">
        <f>IF(C1635&lt;=30,5,IF(C1635&lt;=60,4,IF(C1635&lt;=120,3,IF(C1635&lt;=200,2,1))))</f>
        <v/>
      </c>
      <c r="G1635" s="124">
        <f>IF(D1635&gt;=20,5,IF(D1635&gt;=10,4,IF(D1635&gt;=5,3,IF(D1635&gt;=2,2,1))))</f>
        <v/>
      </c>
      <c r="H1635" s="124">
        <f>IF(E1635&gt;=5000,5,IF(E1635&gt;=2000,4,IF(E1635&gt;=800,3,IF(E1635&gt;=300,2,1))))</f>
        <v/>
      </c>
      <c r="I1635" s="122">
        <f>TEXT(F1635,"0")&amp;TEXT(G1635,"0")&amp;TEXT(H1635,"0")</f>
        <v/>
      </c>
      <c r="J1635" s="122">
        <f>IFERROR(XLOOKUP(I1635,'Segment Map'!A:A,'Segment Map'!B:B,"Need Attention"),"Need Attention")</f>
        <v/>
      </c>
      <c r="K1635" s="122">
        <f>IF(E1635&gt;=5000,"🏆 Platinum",IF(E1635&gt;=2000,"🥇 Gold",IF(E1635&gt;=800,"🥈 Silver","🥉 Bronze")))</f>
        <v/>
      </c>
      <c r="L1635" s="125" t="n">
        <v>40883</v>
      </c>
    </row>
    <row r="1636">
      <c r="A1636" s="126" t="n">
        <v>14565</v>
      </c>
      <c r="B1636" s="126" t="inlineStr">
        <is>
          <t>United Kingdom</t>
        </is>
      </c>
      <c r="C1636" s="126" t="n">
        <v>96</v>
      </c>
      <c r="D1636" s="126" t="n">
        <v>4</v>
      </c>
      <c r="E1636" s="127" t="n">
        <v>3099.12</v>
      </c>
      <c r="F1636" s="128">
        <f>IF(C1636&lt;=30,5,IF(C1636&lt;=60,4,IF(C1636&lt;=120,3,IF(C1636&lt;=200,2,1))))</f>
        <v/>
      </c>
      <c r="G1636" s="128">
        <f>IF(D1636&gt;=20,5,IF(D1636&gt;=10,4,IF(D1636&gt;=5,3,IF(D1636&gt;=2,2,1))))</f>
        <v/>
      </c>
      <c r="H1636" s="128">
        <f>IF(E1636&gt;=5000,5,IF(E1636&gt;=2000,4,IF(E1636&gt;=800,3,IF(E1636&gt;=300,2,1))))</f>
        <v/>
      </c>
      <c r="I1636" s="126">
        <f>TEXT(F1636,"0")&amp;TEXT(G1636,"0")&amp;TEXT(H1636,"0")</f>
        <v/>
      </c>
      <c r="J1636" s="126">
        <f>IFERROR(XLOOKUP(I1636,'Segment Map'!A:A,'Segment Map'!B:B,"Need Attention"),"Need Attention")</f>
        <v/>
      </c>
      <c r="K1636" s="126">
        <f>IF(E1636&gt;=5000,"🏆 Platinum",IF(E1636&gt;=2000,"🥇 Gold",IF(E1636&gt;=800,"🥈 Silver","🥉 Bronze")))</f>
        <v/>
      </c>
      <c r="L1636" s="129" t="n">
        <v>40791</v>
      </c>
    </row>
    <row r="1637">
      <c r="A1637" s="122" t="n">
        <v>14566</v>
      </c>
      <c r="B1637" s="122" t="inlineStr">
        <is>
          <t>Channel Islands</t>
        </is>
      </c>
      <c r="C1637" s="122" t="n">
        <v>111</v>
      </c>
      <c r="D1637" s="122" t="n">
        <v>1</v>
      </c>
      <c r="E1637" s="123" t="n">
        <v>1432</v>
      </c>
      <c r="F1637" s="124">
        <f>IF(C1637&lt;=30,5,IF(C1637&lt;=60,4,IF(C1637&lt;=120,3,IF(C1637&lt;=200,2,1))))</f>
        <v/>
      </c>
      <c r="G1637" s="124">
        <f>IF(D1637&gt;=20,5,IF(D1637&gt;=10,4,IF(D1637&gt;=5,3,IF(D1637&gt;=2,2,1))))</f>
        <v/>
      </c>
      <c r="H1637" s="124">
        <f>IF(E1637&gt;=5000,5,IF(E1637&gt;=2000,4,IF(E1637&gt;=800,3,IF(E1637&gt;=300,2,1))))</f>
        <v/>
      </c>
      <c r="I1637" s="122">
        <f>TEXT(F1637,"0")&amp;TEXT(G1637,"0")&amp;TEXT(H1637,"0")</f>
        <v/>
      </c>
      <c r="J1637" s="122">
        <f>IFERROR(XLOOKUP(I1637,'Segment Map'!A:A,'Segment Map'!B:B,"Need Attention"),"Need Attention")</f>
        <v/>
      </c>
      <c r="K1637" s="122">
        <f>IF(E1637&gt;=5000,"🏆 Platinum",IF(E1637&gt;=2000,"🥇 Gold",IF(E1637&gt;=800,"🥈 Silver","🥉 Bronze")))</f>
        <v/>
      </c>
      <c r="L1637" s="125" t="n">
        <v>40776</v>
      </c>
    </row>
    <row r="1638">
      <c r="A1638" s="126" t="n">
        <v>14567</v>
      </c>
      <c r="B1638" s="126" t="inlineStr">
        <is>
          <t>United Kingdom</t>
        </is>
      </c>
      <c r="C1638" s="126" t="n">
        <v>57</v>
      </c>
      <c r="D1638" s="126" t="n">
        <v>2</v>
      </c>
      <c r="E1638" s="127" t="n">
        <v>1530.36</v>
      </c>
      <c r="F1638" s="128">
        <f>IF(C1638&lt;=30,5,IF(C1638&lt;=60,4,IF(C1638&lt;=120,3,IF(C1638&lt;=200,2,1))))</f>
        <v/>
      </c>
      <c r="G1638" s="128">
        <f>IF(D1638&gt;=20,5,IF(D1638&gt;=10,4,IF(D1638&gt;=5,3,IF(D1638&gt;=2,2,1))))</f>
        <v/>
      </c>
      <c r="H1638" s="128">
        <f>IF(E1638&gt;=5000,5,IF(E1638&gt;=2000,4,IF(E1638&gt;=800,3,IF(E1638&gt;=300,2,1))))</f>
        <v/>
      </c>
      <c r="I1638" s="126">
        <f>TEXT(F1638,"0")&amp;TEXT(G1638,"0")&amp;TEXT(H1638,"0")</f>
        <v/>
      </c>
      <c r="J1638" s="126">
        <f>IFERROR(XLOOKUP(I1638,'Segment Map'!A:A,'Segment Map'!B:B,"Need Attention"),"Need Attention")</f>
        <v/>
      </c>
      <c r="K1638" s="126">
        <f>IF(E1638&gt;=5000,"🏆 Platinum",IF(E1638&gt;=2000,"🥇 Gold",IF(E1638&gt;=800,"🥈 Silver","🥉 Bronze")))</f>
        <v/>
      </c>
      <c r="L1638" s="129" t="n">
        <v>40830</v>
      </c>
    </row>
    <row r="1639">
      <c r="A1639" s="122" t="n">
        <v>14569</v>
      </c>
      <c r="B1639" s="122" t="inlineStr">
        <is>
          <t>United Kingdom</t>
        </is>
      </c>
      <c r="C1639" s="122" t="n">
        <v>2</v>
      </c>
      <c r="D1639" s="122" t="n">
        <v>1</v>
      </c>
      <c r="E1639" s="123" t="n">
        <v>227.39</v>
      </c>
      <c r="F1639" s="124">
        <f>IF(C1639&lt;=30,5,IF(C1639&lt;=60,4,IF(C1639&lt;=120,3,IF(C1639&lt;=200,2,1))))</f>
        <v/>
      </c>
      <c r="G1639" s="124">
        <f>IF(D1639&gt;=20,5,IF(D1639&gt;=10,4,IF(D1639&gt;=5,3,IF(D1639&gt;=2,2,1))))</f>
        <v/>
      </c>
      <c r="H1639" s="124">
        <f>IF(E1639&gt;=5000,5,IF(E1639&gt;=2000,4,IF(E1639&gt;=800,3,IF(E1639&gt;=300,2,1))))</f>
        <v/>
      </c>
      <c r="I1639" s="122">
        <f>TEXT(F1639,"0")&amp;TEXT(G1639,"0")&amp;TEXT(H1639,"0")</f>
        <v/>
      </c>
      <c r="J1639" s="122">
        <f>IFERROR(XLOOKUP(I1639,'Segment Map'!A:A,'Segment Map'!B:B,"Need Attention"),"Need Attention")</f>
        <v/>
      </c>
      <c r="K1639" s="122">
        <f>IF(E1639&gt;=5000,"🏆 Platinum",IF(E1639&gt;=2000,"🥇 Gold",IF(E1639&gt;=800,"🥈 Silver","🥉 Bronze")))</f>
        <v/>
      </c>
      <c r="L1639" s="125" t="n">
        <v>40885</v>
      </c>
    </row>
    <row r="1640">
      <c r="A1640" s="126" t="n">
        <v>14570</v>
      </c>
      <c r="B1640" s="126" t="inlineStr">
        <is>
          <t>United Kingdom</t>
        </is>
      </c>
      <c r="C1640" s="126" t="n">
        <v>281</v>
      </c>
      <c r="D1640" s="126" t="n">
        <v>2</v>
      </c>
      <c r="E1640" s="127" t="n">
        <v>218.06</v>
      </c>
      <c r="F1640" s="128">
        <f>IF(C1640&lt;=30,5,IF(C1640&lt;=60,4,IF(C1640&lt;=120,3,IF(C1640&lt;=200,2,1))))</f>
        <v/>
      </c>
      <c r="G1640" s="128">
        <f>IF(D1640&gt;=20,5,IF(D1640&gt;=10,4,IF(D1640&gt;=5,3,IF(D1640&gt;=2,2,1))))</f>
        <v/>
      </c>
      <c r="H1640" s="128">
        <f>IF(E1640&gt;=5000,5,IF(E1640&gt;=2000,4,IF(E1640&gt;=800,3,IF(E1640&gt;=300,2,1))))</f>
        <v/>
      </c>
      <c r="I1640" s="126">
        <f>TEXT(F1640,"0")&amp;TEXT(G1640,"0")&amp;TEXT(H1640,"0")</f>
        <v/>
      </c>
      <c r="J1640" s="126">
        <f>IFERROR(XLOOKUP(I1640,'Segment Map'!A:A,'Segment Map'!B:B,"Need Attention"),"Need Attention")</f>
        <v/>
      </c>
      <c r="K1640" s="126">
        <f>IF(E1640&gt;=5000,"🏆 Platinum",IF(E1640&gt;=2000,"🥇 Gold",IF(E1640&gt;=800,"🥈 Silver","🥉 Bronze")))</f>
        <v/>
      </c>
      <c r="L1640" s="129" t="n">
        <v>40606</v>
      </c>
    </row>
    <row r="1641">
      <c r="A1641" s="122" t="n">
        <v>14572</v>
      </c>
      <c r="B1641" s="122" t="inlineStr">
        <is>
          <t>United Kingdom</t>
        </is>
      </c>
      <c r="C1641" s="122" t="n">
        <v>4</v>
      </c>
      <c r="D1641" s="122" t="n">
        <v>7</v>
      </c>
      <c r="E1641" s="123" t="n">
        <v>2832.84</v>
      </c>
      <c r="F1641" s="124">
        <f>IF(C1641&lt;=30,5,IF(C1641&lt;=60,4,IF(C1641&lt;=120,3,IF(C1641&lt;=200,2,1))))</f>
        <v/>
      </c>
      <c r="G1641" s="124">
        <f>IF(D1641&gt;=20,5,IF(D1641&gt;=10,4,IF(D1641&gt;=5,3,IF(D1641&gt;=2,2,1))))</f>
        <v/>
      </c>
      <c r="H1641" s="124">
        <f>IF(E1641&gt;=5000,5,IF(E1641&gt;=2000,4,IF(E1641&gt;=800,3,IF(E1641&gt;=300,2,1))))</f>
        <v/>
      </c>
      <c r="I1641" s="122">
        <f>TEXT(F1641,"0")&amp;TEXT(G1641,"0")&amp;TEXT(H1641,"0")</f>
        <v/>
      </c>
      <c r="J1641" s="122">
        <f>IFERROR(XLOOKUP(I1641,'Segment Map'!A:A,'Segment Map'!B:B,"Need Attention"),"Need Attention")</f>
        <v/>
      </c>
      <c r="K1641" s="122">
        <f>IF(E1641&gt;=5000,"🏆 Platinum",IF(E1641&gt;=2000,"🥇 Gold",IF(E1641&gt;=800,"🥈 Silver","🥉 Bronze")))</f>
        <v/>
      </c>
      <c r="L1641" s="125" t="n">
        <v>40883</v>
      </c>
    </row>
    <row r="1642">
      <c r="A1642" s="126" t="n">
        <v>14573</v>
      </c>
      <c r="B1642" s="126" t="inlineStr">
        <is>
          <t>United Kingdom</t>
        </is>
      </c>
      <c r="C1642" s="126" t="n">
        <v>180</v>
      </c>
      <c r="D1642" s="126" t="n">
        <v>9</v>
      </c>
      <c r="E1642" s="127" t="n">
        <v>1653.42</v>
      </c>
      <c r="F1642" s="128">
        <f>IF(C1642&lt;=30,5,IF(C1642&lt;=60,4,IF(C1642&lt;=120,3,IF(C1642&lt;=200,2,1))))</f>
        <v/>
      </c>
      <c r="G1642" s="128">
        <f>IF(D1642&gt;=20,5,IF(D1642&gt;=10,4,IF(D1642&gt;=5,3,IF(D1642&gt;=2,2,1))))</f>
        <v/>
      </c>
      <c r="H1642" s="128">
        <f>IF(E1642&gt;=5000,5,IF(E1642&gt;=2000,4,IF(E1642&gt;=800,3,IF(E1642&gt;=300,2,1))))</f>
        <v/>
      </c>
      <c r="I1642" s="126">
        <f>TEXT(F1642,"0")&amp;TEXT(G1642,"0")&amp;TEXT(H1642,"0")</f>
        <v/>
      </c>
      <c r="J1642" s="126">
        <f>IFERROR(XLOOKUP(I1642,'Segment Map'!A:A,'Segment Map'!B:B,"Need Attention"),"Need Attention")</f>
        <v/>
      </c>
      <c r="K1642" s="126">
        <f>IF(E1642&gt;=5000,"🏆 Platinum",IF(E1642&gt;=2000,"🥇 Gold",IF(E1642&gt;=800,"🥈 Silver","🥉 Bronze")))</f>
        <v/>
      </c>
      <c r="L1642" s="129" t="n">
        <v>40707</v>
      </c>
    </row>
    <row r="1643">
      <c r="A1643" s="122" t="n">
        <v>14576</v>
      </c>
      <c r="B1643" s="122" t="inlineStr">
        <is>
          <t>United Kingdom</t>
        </is>
      </c>
      <c r="C1643" s="122" t="n">
        <v>373</v>
      </c>
      <c r="D1643" s="122" t="n">
        <v>1</v>
      </c>
      <c r="E1643" s="123" t="n">
        <v>35.4</v>
      </c>
      <c r="F1643" s="124">
        <f>IF(C1643&lt;=30,5,IF(C1643&lt;=60,4,IF(C1643&lt;=120,3,IF(C1643&lt;=200,2,1))))</f>
        <v/>
      </c>
      <c r="G1643" s="124">
        <f>IF(D1643&gt;=20,5,IF(D1643&gt;=10,4,IF(D1643&gt;=5,3,IF(D1643&gt;=2,2,1))))</f>
        <v/>
      </c>
      <c r="H1643" s="124">
        <f>IF(E1643&gt;=5000,5,IF(E1643&gt;=2000,4,IF(E1643&gt;=800,3,IF(E1643&gt;=300,2,1))))</f>
        <v/>
      </c>
      <c r="I1643" s="122">
        <f>TEXT(F1643,"0")&amp;TEXT(G1643,"0")&amp;TEXT(H1643,"0")</f>
        <v/>
      </c>
      <c r="J1643" s="122">
        <f>IFERROR(XLOOKUP(I1643,'Segment Map'!A:A,'Segment Map'!B:B,"Need Attention"),"Need Attention")</f>
        <v/>
      </c>
      <c r="K1643" s="122">
        <f>IF(E1643&gt;=5000,"🏆 Platinum",IF(E1643&gt;=2000,"🥇 Gold",IF(E1643&gt;=800,"🥈 Silver","🥉 Bronze")))</f>
        <v/>
      </c>
      <c r="L1643" s="125" t="n">
        <v>40514</v>
      </c>
    </row>
    <row r="1644">
      <c r="A1644" s="126" t="n">
        <v>14577</v>
      </c>
      <c r="B1644" s="126" t="inlineStr">
        <is>
          <t>United Kingdom</t>
        </is>
      </c>
      <c r="C1644" s="126" t="n">
        <v>13</v>
      </c>
      <c r="D1644" s="126" t="n">
        <v>4</v>
      </c>
      <c r="E1644" s="127" t="n">
        <v>859.71</v>
      </c>
      <c r="F1644" s="128">
        <f>IF(C1644&lt;=30,5,IF(C1644&lt;=60,4,IF(C1644&lt;=120,3,IF(C1644&lt;=200,2,1))))</f>
        <v/>
      </c>
      <c r="G1644" s="128">
        <f>IF(D1644&gt;=20,5,IF(D1644&gt;=10,4,IF(D1644&gt;=5,3,IF(D1644&gt;=2,2,1))))</f>
        <v/>
      </c>
      <c r="H1644" s="128">
        <f>IF(E1644&gt;=5000,5,IF(E1644&gt;=2000,4,IF(E1644&gt;=800,3,IF(E1644&gt;=300,2,1))))</f>
        <v/>
      </c>
      <c r="I1644" s="126">
        <f>TEXT(F1644,"0")&amp;TEXT(G1644,"0")&amp;TEXT(H1644,"0")</f>
        <v/>
      </c>
      <c r="J1644" s="126">
        <f>IFERROR(XLOOKUP(I1644,'Segment Map'!A:A,'Segment Map'!B:B,"Need Attention"),"Need Attention")</f>
        <v/>
      </c>
      <c r="K1644" s="126">
        <f>IF(E1644&gt;=5000,"🏆 Platinum",IF(E1644&gt;=2000,"🥇 Gold",IF(E1644&gt;=800,"🥈 Silver","🥉 Bronze")))</f>
        <v/>
      </c>
      <c r="L1644" s="129" t="n">
        <v>40874</v>
      </c>
    </row>
    <row r="1645">
      <c r="A1645" s="122" t="n">
        <v>14578</v>
      </c>
      <c r="B1645" s="122" t="inlineStr">
        <is>
          <t>United Kingdom</t>
        </is>
      </c>
      <c r="C1645" s="122" t="n">
        <v>4</v>
      </c>
      <c r="D1645" s="122" t="n">
        <v>1</v>
      </c>
      <c r="E1645" s="123" t="n">
        <v>168.63</v>
      </c>
      <c r="F1645" s="124">
        <f>IF(C1645&lt;=30,5,IF(C1645&lt;=60,4,IF(C1645&lt;=120,3,IF(C1645&lt;=200,2,1))))</f>
        <v/>
      </c>
      <c r="G1645" s="124">
        <f>IF(D1645&gt;=20,5,IF(D1645&gt;=10,4,IF(D1645&gt;=5,3,IF(D1645&gt;=2,2,1))))</f>
        <v/>
      </c>
      <c r="H1645" s="124">
        <f>IF(E1645&gt;=5000,5,IF(E1645&gt;=2000,4,IF(E1645&gt;=800,3,IF(E1645&gt;=300,2,1))))</f>
        <v/>
      </c>
      <c r="I1645" s="122">
        <f>TEXT(F1645,"0")&amp;TEXT(G1645,"0")&amp;TEXT(H1645,"0")</f>
        <v/>
      </c>
      <c r="J1645" s="122">
        <f>IFERROR(XLOOKUP(I1645,'Segment Map'!A:A,'Segment Map'!B:B,"Need Attention"),"Need Attention")</f>
        <v/>
      </c>
      <c r="K1645" s="122">
        <f>IF(E1645&gt;=5000,"🏆 Platinum",IF(E1645&gt;=2000,"🥇 Gold",IF(E1645&gt;=800,"🥈 Silver","🥉 Bronze")))</f>
        <v/>
      </c>
      <c r="L1645" s="125" t="n">
        <v>40883</v>
      </c>
    </row>
    <row r="1646">
      <c r="A1646" s="126" t="n">
        <v>14581</v>
      </c>
      <c r="B1646" s="126" t="inlineStr">
        <is>
          <t>United Kingdom</t>
        </is>
      </c>
      <c r="C1646" s="126" t="n">
        <v>17</v>
      </c>
      <c r="D1646" s="126" t="n">
        <v>1</v>
      </c>
      <c r="E1646" s="127" t="n">
        <v>138.6</v>
      </c>
      <c r="F1646" s="128">
        <f>IF(C1646&lt;=30,5,IF(C1646&lt;=60,4,IF(C1646&lt;=120,3,IF(C1646&lt;=200,2,1))))</f>
        <v/>
      </c>
      <c r="G1646" s="128">
        <f>IF(D1646&gt;=20,5,IF(D1646&gt;=10,4,IF(D1646&gt;=5,3,IF(D1646&gt;=2,2,1))))</f>
        <v/>
      </c>
      <c r="H1646" s="128">
        <f>IF(E1646&gt;=5000,5,IF(E1646&gt;=2000,4,IF(E1646&gt;=800,3,IF(E1646&gt;=300,2,1))))</f>
        <v/>
      </c>
      <c r="I1646" s="126">
        <f>TEXT(F1646,"0")&amp;TEXT(G1646,"0")&amp;TEXT(H1646,"0")</f>
        <v/>
      </c>
      <c r="J1646" s="126">
        <f>IFERROR(XLOOKUP(I1646,'Segment Map'!A:A,'Segment Map'!B:B,"Need Attention"),"Need Attention")</f>
        <v/>
      </c>
      <c r="K1646" s="126">
        <f>IF(E1646&gt;=5000,"🏆 Platinum",IF(E1646&gt;=2000,"🥇 Gold",IF(E1646&gt;=800,"🥈 Silver","🥉 Bronze")))</f>
        <v/>
      </c>
      <c r="L1646" s="129" t="n">
        <v>40870</v>
      </c>
    </row>
    <row r="1647">
      <c r="A1647" s="122" t="n">
        <v>14582</v>
      </c>
      <c r="B1647" s="122" t="inlineStr">
        <is>
          <t>United Kingdom</t>
        </is>
      </c>
      <c r="C1647" s="122" t="n">
        <v>41</v>
      </c>
      <c r="D1647" s="122" t="n">
        <v>1</v>
      </c>
      <c r="E1647" s="123" t="n">
        <v>114.11</v>
      </c>
      <c r="F1647" s="124">
        <f>IF(C1647&lt;=30,5,IF(C1647&lt;=60,4,IF(C1647&lt;=120,3,IF(C1647&lt;=200,2,1))))</f>
        <v/>
      </c>
      <c r="G1647" s="124">
        <f>IF(D1647&gt;=20,5,IF(D1647&gt;=10,4,IF(D1647&gt;=5,3,IF(D1647&gt;=2,2,1))))</f>
        <v/>
      </c>
      <c r="H1647" s="124">
        <f>IF(E1647&gt;=5000,5,IF(E1647&gt;=2000,4,IF(E1647&gt;=800,3,IF(E1647&gt;=300,2,1))))</f>
        <v/>
      </c>
      <c r="I1647" s="122">
        <f>TEXT(F1647,"0")&amp;TEXT(G1647,"0")&amp;TEXT(H1647,"0")</f>
        <v/>
      </c>
      <c r="J1647" s="122">
        <f>IFERROR(XLOOKUP(I1647,'Segment Map'!A:A,'Segment Map'!B:B,"Need Attention"),"Need Attention")</f>
        <v/>
      </c>
      <c r="K1647" s="122">
        <f>IF(E1647&gt;=5000,"🏆 Platinum",IF(E1647&gt;=2000,"🥇 Gold",IF(E1647&gt;=800,"🥈 Silver","🥉 Bronze")))</f>
        <v/>
      </c>
      <c r="L1647" s="125" t="n">
        <v>40846</v>
      </c>
    </row>
    <row r="1648">
      <c r="A1648" s="126" t="n">
        <v>14583</v>
      </c>
      <c r="B1648" s="126" t="inlineStr">
        <is>
          <t>United Kingdom</t>
        </is>
      </c>
      <c r="C1648" s="126" t="n">
        <v>6</v>
      </c>
      <c r="D1648" s="126" t="n">
        <v>5</v>
      </c>
      <c r="E1648" s="127" t="n">
        <v>1052.55</v>
      </c>
      <c r="F1648" s="128">
        <f>IF(C1648&lt;=30,5,IF(C1648&lt;=60,4,IF(C1648&lt;=120,3,IF(C1648&lt;=200,2,1))))</f>
        <v/>
      </c>
      <c r="G1648" s="128">
        <f>IF(D1648&gt;=20,5,IF(D1648&gt;=10,4,IF(D1648&gt;=5,3,IF(D1648&gt;=2,2,1))))</f>
        <v/>
      </c>
      <c r="H1648" s="128">
        <f>IF(E1648&gt;=5000,5,IF(E1648&gt;=2000,4,IF(E1648&gt;=800,3,IF(E1648&gt;=300,2,1))))</f>
        <v/>
      </c>
      <c r="I1648" s="126">
        <f>TEXT(F1648,"0")&amp;TEXT(G1648,"0")&amp;TEXT(H1648,"0")</f>
        <v/>
      </c>
      <c r="J1648" s="126">
        <f>IFERROR(XLOOKUP(I1648,'Segment Map'!A:A,'Segment Map'!B:B,"Need Attention"),"Need Attention")</f>
        <v/>
      </c>
      <c r="K1648" s="126">
        <f>IF(E1648&gt;=5000,"🏆 Platinum",IF(E1648&gt;=2000,"🥇 Gold",IF(E1648&gt;=800,"🥈 Silver","🥉 Bronze")))</f>
        <v/>
      </c>
      <c r="L1648" s="129" t="n">
        <v>40881</v>
      </c>
    </row>
    <row r="1649">
      <c r="A1649" s="122" t="n">
        <v>14584</v>
      </c>
      <c r="B1649" s="122" t="inlineStr">
        <is>
          <t>United Kingdom</t>
        </is>
      </c>
      <c r="C1649" s="122" t="n">
        <v>170</v>
      </c>
      <c r="D1649" s="122" t="n">
        <v>4</v>
      </c>
      <c r="E1649" s="123" t="n">
        <v>1042.26</v>
      </c>
      <c r="F1649" s="124">
        <f>IF(C1649&lt;=30,5,IF(C1649&lt;=60,4,IF(C1649&lt;=120,3,IF(C1649&lt;=200,2,1))))</f>
        <v/>
      </c>
      <c r="G1649" s="124">
        <f>IF(D1649&gt;=20,5,IF(D1649&gt;=10,4,IF(D1649&gt;=5,3,IF(D1649&gt;=2,2,1))))</f>
        <v/>
      </c>
      <c r="H1649" s="124">
        <f>IF(E1649&gt;=5000,5,IF(E1649&gt;=2000,4,IF(E1649&gt;=800,3,IF(E1649&gt;=300,2,1))))</f>
        <v/>
      </c>
      <c r="I1649" s="122">
        <f>TEXT(F1649,"0")&amp;TEXT(G1649,"0")&amp;TEXT(H1649,"0")</f>
        <v/>
      </c>
      <c r="J1649" s="122">
        <f>IFERROR(XLOOKUP(I1649,'Segment Map'!A:A,'Segment Map'!B:B,"Need Attention"),"Need Attention")</f>
        <v/>
      </c>
      <c r="K1649" s="122">
        <f>IF(E1649&gt;=5000,"🏆 Platinum",IF(E1649&gt;=2000,"🥇 Gold",IF(E1649&gt;=800,"🥈 Silver","🥉 Bronze")))</f>
        <v/>
      </c>
      <c r="L1649" s="125" t="n">
        <v>40717</v>
      </c>
    </row>
    <row r="1650">
      <c r="A1650" s="126" t="n">
        <v>14585</v>
      </c>
      <c r="B1650" s="126" t="inlineStr">
        <is>
          <t>United Kingdom</t>
        </is>
      </c>
      <c r="C1650" s="126" t="n">
        <v>51</v>
      </c>
      <c r="D1650" s="126" t="n">
        <v>1</v>
      </c>
      <c r="E1650" s="127" t="n">
        <v>157.05</v>
      </c>
      <c r="F1650" s="128">
        <f>IF(C1650&lt;=30,5,IF(C1650&lt;=60,4,IF(C1650&lt;=120,3,IF(C1650&lt;=200,2,1))))</f>
        <v/>
      </c>
      <c r="G1650" s="128">
        <f>IF(D1650&gt;=20,5,IF(D1650&gt;=10,4,IF(D1650&gt;=5,3,IF(D1650&gt;=2,2,1))))</f>
        <v/>
      </c>
      <c r="H1650" s="128">
        <f>IF(E1650&gt;=5000,5,IF(E1650&gt;=2000,4,IF(E1650&gt;=800,3,IF(E1650&gt;=300,2,1))))</f>
        <v/>
      </c>
      <c r="I1650" s="126">
        <f>TEXT(F1650,"0")&amp;TEXT(G1650,"0")&amp;TEXT(H1650,"0")</f>
        <v/>
      </c>
      <c r="J1650" s="126">
        <f>IFERROR(XLOOKUP(I1650,'Segment Map'!A:A,'Segment Map'!B:B,"Need Attention"),"Need Attention")</f>
        <v/>
      </c>
      <c r="K1650" s="126">
        <f>IF(E1650&gt;=5000,"🏆 Platinum",IF(E1650&gt;=2000,"🥇 Gold",IF(E1650&gt;=800,"🥈 Silver","🥉 Bronze")))</f>
        <v/>
      </c>
      <c r="L1650" s="129" t="n">
        <v>40836</v>
      </c>
    </row>
    <row r="1651">
      <c r="A1651" s="122" t="n">
        <v>14586</v>
      </c>
      <c r="B1651" s="122" t="inlineStr">
        <is>
          <t>United Kingdom</t>
        </is>
      </c>
      <c r="C1651" s="122" t="n">
        <v>277</v>
      </c>
      <c r="D1651" s="122" t="n">
        <v>1</v>
      </c>
      <c r="E1651" s="123" t="n">
        <v>237.36</v>
      </c>
      <c r="F1651" s="124">
        <f>IF(C1651&lt;=30,5,IF(C1651&lt;=60,4,IF(C1651&lt;=120,3,IF(C1651&lt;=200,2,1))))</f>
        <v/>
      </c>
      <c r="G1651" s="124">
        <f>IF(D1651&gt;=20,5,IF(D1651&gt;=10,4,IF(D1651&gt;=5,3,IF(D1651&gt;=2,2,1))))</f>
        <v/>
      </c>
      <c r="H1651" s="124">
        <f>IF(E1651&gt;=5000,5,IF(E1651&gt;=2000,4,IF(E1651&gt;=800,3,IF(E1651&gt;=300,2,1))))</f>
        <v/>
      </c>
      <c r="I1651" s="122">
        <f>TEXT(F1651,"0")&amp;TEXT(G1651,"0")&amp;TEXT(H1651,"0")</f>
        <v/>
      </c>
      <c r="J1651" s="122">
        <f>IFERROR(XLOOKUP(I1651,'Segment Map'!A:A,'Segment Map'!B:B,"Need Attention"),"Need Attention")</f>
        <v/>
      </c>
      <c r="K1651" s="122">
        <f>IF(E1651&gt;=5000,"🏆 Platinum",IF(E1651&gt;=2000,"🥇 Gold",IF(E1651&gt;=800,"🥈 Silver","🥉 Bronze")))</f>
        <v/>
      </c>
      <c r="L1651" s="125" t="n">
        <v>40610</v>
      </c>
    </row>
    <row r="1652">
      <c r="A1652" s="126" t="n">
        <v>14587</v>
      </c>
      <c r="B1652" s="126" t="inlineStr">
        <is>
          <t>United Kingdom</t>
        </is>
      </c>
      <c r="C1652" s="126" t="n">
        <v>19</v>
      </c>
      <c r="D1652" s="126" t="n">
        <v>9</v>
      </c>
      <c r="E1652" s="127" t="n">
        <v>1601.14</v>
      </c>
      <c r="F1652" s="128">
        <f>IF(C1652&lt;=30,5,IF(C1652&lt;=60,4,IF(C1652&lt;=120,3,IF(C1652&lt;=200,2,1))))</f>
        <v/>
      </c>
      <c r="G1652" s="128">
        <f>IF(D1652&gt;=20,5,IF(D1652&gt;=10,4,IF(D1652&gt;=5,3,IF(D1652&gt;=2,2,1))))</f>
        <v/>
      </c>
      <c r="H1652" s="128">
        <f>IF(E1652&gt;=5000,5,IF(E1652&gt;=2000,4,IF(E1652&gt;=800,3,IF(E1652&gt;=300,2,1))))</f>
        <v/>
      </c>
      <c r="I1652" s="126">
        <f>TEXT(F1652,"0")&amp;TEXT(G1652,"0")&amp;TEXT(H1652,"0")</f>
        <v/>
      </c>
      <c r="J1652" s="126">
        <f>IFERROR(XLOOKUP(I1652,'Segment Map'!A:A,'Segment Map'!B:B,"Need Attention"),"Need Attention")</f>
        <v/>
      </c>
      <c r="K1652" s="126">
        <f>IF(E1652&gt;=5000,"🏆 Platinum",IF(E1652&gt;=2000,"🥇 Gold",IF(E1652&gt;=800,"🥈 Silver","🥉 Bronze")))</f>
        <v/>
      </c>
      <c r="L1652" s="129" t="n">
        <v>40868</v>
      </c>
    </row>
    <row r="1653">
      <c r="A1653" s="122" t="n">
        <v>14589</v>
      </c>
      <c r="B1653" s="122" t="inlineStr">
        <is>
          <t>United Kingdom</t>
        </is>
      </c>
      <c r="C1653" s="122" t="n">
        <v>372</v>
      </c>
      <c r="D1653" s="122" t="n">
        <v>1</v>
      </c>
      <c r="E1653" s="123" t="n">
        <v>39.75</v>
      </c>
      <c r="F1653" s="124">
        <f>IF(C1653&lt;=30,5,IF(C1653&lt;=60,4,IF(C1653&lt;=120,3,IF(C1653&lt;=200,2,1))))</f>
        <v/>
      </c>
      <c r="G1653" s="124">
        <f>IF(D1653&gt;=20,5,IF(D1653&gt;=10,4,IF(D1653&gt;=5,3,IF(D1653&gt;=2,2,1))))</f>
        <v/>
      </c>
      <c r="H1653" s="124">
        <f>IF(E1653&gt;=5000,5,IF(E1653&gt;=2000,4,IF(E1653&gt;=800,3,IF(E1653&gt;=300,2,1))))</f>
        <v/>
      </c>
      <c r="I1653" s="122">
        <f>TEXT(F1653,"0")&amp;TEXT(G1653,"0")&amp;TEXT(H1653,"0")</f>
        <v/>
      </c>
      <c r="J1653" s="122">
        <f>IFERROR(XLOOKUP(I1653,'Segment Map'!A:A,'Segment Map'!B:B,"Need Attention"),"Need Attention")</f>
        <v/>
      </c>
      <c r="K1653" s="122">
        <f>IF(E1653&gt;=5000,"🏆 Platinum",IF(E1653&gt;=2000,"🥇 Gold",IF(E1653&gt;=800,"🥈 Silver","🥉 Bronze")))</f>
        <v/>
      </c>
      <c r="L1653" s="125" t="n">
        <v>40515</v>
      </c>
    </row>
    <row r="1654">
      <c r="A1654" s="126" t="n">
        <v>14591</v>
      </c>
      <c r="B1654" s="126" t="inlineStr">
        <is>
          <t>United Kingdom</t>
        </is>
      </c>
      <c r="C1654" s="126" t="n">
        <v>16</v>
      </c>
      <c r="D1654" s="126" t="n">
        <v>4</v>
      </c>
      <c r="E1654" s="127" t="n">
        <v>1447.14</v>
      </c>
      <c r="F1654" s="128">
        <f>IF(C1654&lt;=30,5,IF(C1654&lt;=60,4,IF(C1654&lt;=120,3,IF(C1654&lt;=200,2,1))))</f>
        <v/>
      </c>
      <c r="G1654" s="128">
        <f>IF(D1654&gt;=20,5,IF(D1654&gt;=10,4,IF(D1654&gt;=5,3,IF(D1654&gt;=2,2,1))))</f>
        <v/>
      </c>
      <c r="H1654" s="128">
        <f>IF(E1654&gt;=5000,5,IF(E1654&gt;=2000,4,IF(E1654&gt;=800,3,IF(E1654&gt;=300,2,1))))</f>
        <v/>
      </c>
      <c r="I1654" s="126">
        <f>TEXT(F1654,"0")&amp;TEXT(G1654,"0")&amp;TEXT(H1654,"0")</f>
        <v/>
      </c>
      <c r="J1654" s="126">
        <f>IFERROR(XLOOKUP(I1654,'Segment Map'!A:A,'Segment Map'!B:B,"Need Attention"),"Need Attention")</f>
        <v/>
      </c>
      <c r="K1654" s="126">
        <f>IF(E1654&gt;=5000,"🏆 Platinum",IF(E1654&gt;=2000,"🥇 Gold",IF(E1654&gt;=800,"🥈 Silver","🥉 Bronze")))</f>
        <v/>
      </c>
      <c r="L1654" s="129" t="n">
        <v>40871</v>
      </c>
    </row>
    <row r="1655">
      <c r="A1655" s="122" t="n">
        <v>14592</v>
      </c>
      <c r="B1655" s="122" t="inlineStr">
        <is>
          <t>United Kingdom</t>
        </is>
      </c>
      <c r="C1655" s="122" t="n">
        <v>36</v>
      </c>
      <c r="D1655" s="122" t="n">
        <v>3</v>
      </c>
      <c r="E1655" s="123" t="n">
        <v>570.46</v>
      </c>
      <c r="F1655" s="124">
        <f>IF(C1655&lt;=30,5,IF(C1655&lt;=60,4,IF(C1655&lt;=120,3,IF(C1655&lt;=200,2,1))))</f>
        <v/>
      </c>
      <c r="G1655" s="124">
        <f>IF(D1655&gt;=20,5,IF(D1655&gt;=10,4,IF(D1655&gt;=5,3,IF(D1655&gt;=2,2,1))))</f>
        <v/>
      </c>
      <c r="H1655" s="124">
        <f>IF(E1655&gt;=5000,5,IF(E1655&gt;=2000,4,IF(E1655&gt;=800,3,IF(E1655&gt;=300,2,1))))</f>
        <v/>
      </c>
      <c r="I1655" s="122">
        <f>TEXT(F1655,"0")&amp;TEXT(G1655,"0")&amp;TEXT(H1655,"0")</f>
        <v/>
      </c>
      <c r="J1655" s="122">
        <f>IFERROR(XLOOKUP(I1655,'Segment Map'!A:A,'Segment Map'!B:B,"Need Attention"),"Need Attention")</f>
        <v/>
      </c>
      <c r="K1655" s="122">
        <f>IF(E1655&gt;=5000,"🏆 Platinum",IF(E1655&gt;=2000,"🥇 Gold",IF(E1655&gt;=800,"🥈 Silver","🥉 Bronze")))</f>
        <v/>
      </c>
      <c r="L1655" s="125" t="n">
        <v>40851</v>
      </c>
    </row>
    <row r="1656">
      <c r="A1656" s="126" t="n">
        <v>14593</v>
      </c>
      <c r="B1656" s="126" t="inlineStr">
        <is>
          <t>United Kingdom</t>
        </is>
      </c>
      <c r="C1656" s="126" t="n">
        <v>22</v>
      </c>
      <c r="D1656" s="126" t="n">
        <v>3</v>
      </c>
      <c r="E1656" s="127" t="n">
        <v>617.99</v>
      </c>
      <c r="F1656" s="128">
        <f>IF(C1656&lt;=30,5,IF(C1656&lt;=60,4,IF(C1656&lt;=120,3,IF(C1656&lt;=200,2,1))))</f>
        <v/>
      </c>
      <c r="G1656" s="128">
        <f>IF(D1656&gt;=20,5,IF(D1656&gt;=10,4,IF(D1656&gt;=5,3,IF(D1656&gt;=2,2,1))))</f>
        <v/>
      </c>
      <c r="H1656" s="128">
        <f>IF(E1656&gt;=5000,5,IF(E1656&gt;=2000,4,IF(E1656&gt;=800,3,IF(E1656&gt;=300,2,1))))</f>
        <v/>
      </c>
      <c r="I1656" s="126">
        <f>TEXT(F1656,"0")&amp;TEXT(G1656,"0")&amp;TEXT(H1656,"0")</f>
        <v/>
      </c>
      <c r="J1656" s="126">
        <f>IFERROR(XLOOKUP(I1656,'Segment Map'!A:A,'Segment Map'!B:B,"Need Attention"),"Need Attention")</f>
        <v/>
      </c>
      <c r="K1656" s="126">
        <f>IF(E1656&gt;=5000,"🏆 Platinum",IF(E1656&gt;=2000,"🥇 Gold",IF(E1656&gt;=800,"🥈 Silver","🥉 Bronze")))</f>
        <v/>
      </c>
      <c r="L1656" s="129" t="n">
        <v>40865</v>
      </c>
    </row>
    <row r="1657">
      <c r="A1657" s="122" t="n">
        <v>14594</v>
      </c>
      <c r="B1657" s="122" t="inlineStr">
        <is>
          <t>United Kingdom</t>
        </is>
      </c>
      <c r="C1657" s="122" t="n">
        <v>8</v>
      </c>
      <c r="D1657" s="122" t="n">
        <v>2</v>
      </c>
      <c r="E1657" s="123" t="n">
        <v>379.83</v>
      </c>
      <c r="F1657" s="124">
        <f>IF(C1657&lt;=30,5,IF(C1657&lt;=60,4,IF(C1657&lt;=120,3,IF(C1657&lt;=200,2,1))))</f>
        <v/>
      </c>
      <c r="G1657" s="124">
        <f>IF(D1657&gt;=20,5,IF(D1657&gt;=10,4,IF(D1657&gt;=5,3,IF(D1657&gt;=2,2,1))))</f>
        <v/>
      </c>
      <c r="H1657" s="124">
        <f>IF(E1657&gt;=5000,5,IF(E1657&gt;=2000,4,IF(E1657&gt;=800,3,IF(E1657&gt;=300,2,1))))</f>
        <v/>
      </c>
      <c r="I1657" s="122">
        <f>TEXT(F1657,"0")&amp;TEXT(G1657,"0")&amp;TEXT(H1657,"0")</f>
        <v/>
      </c>
      <c r="J1657" s="122">
        <f>IFERROR(XLOOKUP(I1657,'Segment Map'!A:A,'Segment Map'!B:B,"Need Attention"),"Need Attention")</f>
        <v/>
      </c>
      <c r="K1657" s="122">
        <f>IF(E1657&gt;=5000,"🏆 Platinum",IF(E1657&gt;=2000,"🥇 Gold",IF(E1657&gt;=800,"🥈 Silver","🥉 Bronze")))</f>
        <v/>
      </c>
      <c r="L1657" s="125" t="n">
        <v>40879</v>
      </c>
    </row>
    <row r="1658">
      <c r="A1658" s="126" t="n">
        <v>14595</v>
      </c>
      <c r="B1658" s="126" t="inlineStr">
        <is>
          <t>United Kingdom</t>
        </is>
      </c>
      <c r="C1658" s="126" t="n">
        <v>20</v>
      </c>
      <c r="D1658" s="126" t="n">
        <v>6</v>
      </c>
      <c r="E1658" s="127" t="n">
        <v>1740.6</v>
      </c>
      <c r="F1658" s="128">
        <f>IF(C1658&lt;=30,5,IF(C1658&lt;=60,4,IF(C1658&lt;=120,3,IF(C1658&lt;=200,2,1))))</f>
        <v/>
      </c>
      <c r="G1658" s="128">
        <f>IF(D1658&gt;=20,5,IF(D1658&gt;=10,4,IF(D1658&gt;=5,3,IF(D1658&gt;=2,2,1))))</f>
        <v/>
      </c>
      <c r="H1658" s="128">
        <f>IF(E1658&gt;=5000,5,IF(E1658&gt;=2000,4,IF(E1658&gt;=800,3,IF(E1658&gt;=300,2,1))))</f>
        <v/>
      </c>
      <c r="I1658" s="126">
        <f>TEXT(F1658,"0")&amp;TEXT(G1658,"0")&amp;TEXT(H1658,"0")</f>
        <v/>
      </c>
      <c r="J1658" s="126">
        <f>IFERROR(XLOOKUP(I1658,'Segment Map'!A:A,'Segment Map'!B:B,"Need Attention"),"Need Attention")</f>
        <v/>
      </c>
      <c r="K1658" s="126">
        <f>IF(E1658&gt;=5000,"🏆 Platinum",IF(E1658&gt;=2000,"🥇 Gold",IF(E1658&gt;=800,"🥈 Silver","🥉 Bronze")))</f>
        <v/>
      </c>
      <c r="L1658" s="129" t="n">
        <v>40867</v>
      </c>
    </row>
    <row r="1659">
      <c r="A1659" s="122" t="n">
        <v>14597</v>
      </c>
      <c r="B1659" s="122" t="inlineStr">
        <is>
          <t>United Kingdom</t>
        </is>
      </c>
      <c r="C1659" s="122" t="n">
        <v>12</v>
      </c>
      <c r="D1659" s="122" t="n">
        <v>2</v>
      </c>
      <c r="E1659" s="123" t="n">
        <v>883.15</v>
      </c>
      <c r="F1659" s="124">
        <f>IF(C1659&lt;=30,5,IF(C1659&lt;=60,4,IF(C1659&lt;=120,3,IF(C1659&lt;=200,2,1))))</f>
        <v/>
      </c>
      <c r="G1659" s="124">
        <f>IF(D1659&gt;=20,5,IF(D1659&gt;=10,4,IF(D1659&gt;=5,3,IF(D1659&gt;=2,2,1))))</f>
        <v/>
      </c>
      <c r="H1659" s="124">
        <f>IF(E1659&gt;=5000,5,IF(E1659&gt;=2000,4,IF(E1659&gt;=800,3,IF(E1659&gt;=300,2,1))))</f>
        <v/>
      </c>
      <c r="I1659" s="122">
        <f>TEXT(F1659,"0")&amp;TEXT(G1659,"0")&amp;TEXT(H1659,"0")</f>
        <v/>
      </c>
      <c r="J1659" s="122">
        <f>IFERROR(XLOOKUP(I1659,'Segment Map'!A:A,'Segment Map'!B:B,"Need Attention"),"Need Attention")</f>
        <v/>
      </c>
      <c r="K1659" s="122">
        <f>IF(E1659&gt;=5000,"🏆 Platinum",IF(E1659&gt;=2000,"🥇 Gold",IF(E1659&gt;=800,"🥈 Silver","🥉 Bronze")))</f>
        <v/>
      </c>
      <c r="L1659" s="125" t="n">
        <v>40875</v>
      </c>
    </row>
    <row r="1660">
      <c r="A1660" s="126" t="n">
        <v>14598</v>
      </c>
      <c r="B1660" s="126" t="inlineStr">
        <is>
          <t>United Kingdom</t>
        </is>
      </c>
      <c r="C1660" s="126" t="n">
        <v>45</v>
      </c>
      <c r="D1660" s="126" t="n">
        <v>1</v>
      </c>
      <c r="E1660" s="127" t="n">
        <v>221.97</v>
      </c>
      <c r="F1660" s="128">
        <f>IF(C1660&lt;=30,5,IF(C1660&lt;=60,4,IF(C1660&lt;=120,3,IF(C1660&lt;=200,2,1))))</f>
        <v/>
      </c>
      <c r="G1660" s="128">
        <f>IF(D1660&gt;=20,5,IF(D1660&gt;=10,4,IF(D1660&gt;=5,3,IF(D1660&gt;=2,2,1))))</f>
        <v/>
      </c>
      <c r="H1660" s="128">
        <f>IF(E1660&gt;=5000,5,IF(E1660&gt;=2000,4,IF(E1660&gt;=800,3,IF(E1660&gt;=300,2,1))))</f>
        <v/>
      </c>
      <c r="I1660" s="126">
        <f>TEXT(F1660,"0")&amp;TEXT(G1660,"0")&amp;TEXT(H1660,"0")</f>
        <v/>
      </c>
      <c r="J1660" s="126">
        <f>IFERROR(XLOOKUP(I1660,'Segment Map'!A:A,'Segment Map'!B:B,"Need Attention"),"Need Attention")</f>
        <v/>
      </c>
      <c r="K1660" s="126">
        <f>IF(E1660&gt;=5000,"🏆 Platinum",IF(E1660&gt;=2000,"🥇 Gold",IF(E1660&gt;=800,"🥈 Silver","🥉 Bronze")))</f>
        <v/>
      </c>
      <c r="L1660" s="129" t="n">
        <v>40842</v>
      </c>
    </row>
    <row r="1661">
      <c r="A1661" s="122" t="n">
        <v>14600</v>
      </c>
      <c r="B1661" s="122" t="inlineStr">
        <is>
          <t>United Kingdom</t>
        </is>
      </c>
      <c r="C1661" s="122" t="n">
        <v>306</v>
      </c>
      <c r="D1661" s="122" t="n">
        <v>1</v>
      </c>
      <c r="E1661" s="123" t="n">
        <v>393.33</v>
      </c>
      <c r="F1661" s="124">
        <f>IF(C1661&lt;=30,5,IF(C1661&lt;=60,4,IF(C1661&lt;=120,3,IF(C1661&lt;=200,2,1))))</f>
        <v/>
      </c>
      <c r="G1661" s="124">
        <f>IF(D1661&gt;=20,5,IF(D1661&gt;=10,4,IF(D1661&gt;=5,3,IF(D1661&gt;=2,2,1))))</f>
        <v/>
      </c>
      <c r="H1661" s="124">
        <f>IF(E1661&gt;=5000,5,IF(E1661&gt;=2000,4,IF(E1661&gt;=800,3,IF(E1661&gt;=300,2,1))))</f>
        <v/>
      </c>
      <c r="I1661" s="122">
        <f>TEXT(F1661,"0")&amp;TEXT(G1661,"0")&amp;TEXT(H1661,"0")</f>
        <v/>
      </c>
      <c r="J1661" s="122">
        <f>IFERROR(XLOOKUP(I1661,'Segment Map'!A:A,'Segment Map'!B:B,"Need Attention"),"Need Attention")</f>
        <v/>
      </c>
      <c r="K1661" s="122">
        <f>IF(E1661&gt;=5000,"🏆 Platinum",IF(E1661&gt;=2000,"🥇 Gold",IF(E1661&gt;=800,"🥈 Silver","🥉 Bronze")))</f>
        <v/>
      </c>
      <c r="L1661" s="125" t="n">
        <v>40581</v>
      </c>
    </row>
    <row r="1662">
      <c r="A1662" s="126" t="n">
        <v>14601</v>
      </c>
      <c r="B1662" s="126" t="inlineStr">
        <is>
          <t>United Kingdom</t>
        </is>
      </c>
      <c r="C1662" s="126" t="n">
        <v>11</v>
      </c>
      <c r="D1662" s="126" t="n">
        <v>1</v>
      </c>
      <c r="E1662" s="127" t="n">
        <v>213.96</v>
      </c>
      <c r="F1662" s="128">
        <f>IF(C1662&lt;=30,5,IF(C1662&lt;=60,4,IF(C1662&lt;=120,3,IF(C1662&lt;=200,2,1))))</f>
        <v/>
      </c>
      <c r="G1662" s="128">
        <f>IF(D1662&gt;=20,5,IF(D1662&gt;=10,4,IF(D1662&gt;=5,3,IF(D1662&gt;=2,2,1))))</f>
        <v/>
      </c>
      <c r="H1662" s="128">
        <f>IF(E1662&gt;=5000,5,IF(E1662&gt;=2000,4,IF(E1662&gt;=800,3,IF(E1662&gt;=300,2,1))))</f>
        <v/>
      </c>
      <c r="I1662" s="126">
        <f>TEXT(F1662,"0")&amp;TEXT(G1662,"0")&amp;TEXT(H1662,"0")</f>
        <v/>
      </c>
      <c r="J1662" s="126">
        <f>IFERROR(XLOOKUP(I1662,'Segment Map'!A:A,'Segment Map'!B:B,"Need Attention"),"Need Attention")</f>
        <v/>
      </c>
      <c r="K1662" s="126">
        <f>IF(E1662&gt;=5000,"🏆 Platinum",IF(E1662&gt;=2000,"🥇 Gold",IF(E1662&gt;=800,"🥈 Silver","🥉 Bronze")))</f>
        <v/>
      </c>
      <c r="L1662" s="129" t="n">
        <v>40876</v>
      </c>
    </row>
    <row r="1663">
      <c r="A1663" s="122" t="n">
        <v>14603</v>
      </c>
      <c r="B1663" s="122" t="inlineStr">
        <is>
          <t>United Kingdom</t>
        </is>
      </c>
      <c r="C1663" s="122" t="n">
        <v>275</v>
      </c>
      <c r="D1663" s="122" t="n">
        <v>1</v>
      </c>
      <c r="E1663" s="123" t="n">
        <v>660</v>
      </c>
      <c r="F1663" s="124">
        <f>IF(C1663&lt;=30,5,IF(C1663&lt;=60,4,IF(C1663&lt;=120,3,IF(C1663&lt;=200,2,1))))</f>
        <v/>
      </c>
      <c r="G1663" s="124">
        <f>IF(D1663&gt;=20,5,IF(D1663&gt;=10,4,IF(D1663&gt;=5,3,IF(D1663&gt;=2,2,1))))</f>
        <v/>
      </c>
      <c r="H1663" s="124">
        <f>IF(E1663&gt;=5000,5,IF(E1663&gt;=2000,4,IF(E1663&gt;=800,3,IF(E1663&gt;=300,2,1))))</f>
        <v/>
      </c>
      <c r="I1663" s="122">
        <f>TEXT(F1663,"0")&amp;TEXT(G1663,"0")&amp;TEXT(H1663,"0")</f>
        <v/>
      </c>
      <c r="J1663" s="122">
        <f>IFERROR(XLOOKUP(I1663,'Segment Map'!A:A,'Segment Map'!B:B,"Need Attention"),"Need Attention")</f>
        <v/>
      </c>
      <c r="K1663" s="122">
        <f>IF(E1663&gt;=5000,"🏆 Platinum",IF(E1663&gt;=2000,"🥇 Gold",IF(E1663&gt;=800,"🥈 Silver","🥉 Bronze")))</f>
        <v/>
      </c>
      <c r="L1663" s="125" t="n">
        <v>40612</v>
      </c>
    </row>
    <row r="1664">
      <c r="A1664" s="126" t="n">
        <v>14606</v>
      </c>
      <c r="B1664" s="126" t="inlineStr">
        <is>
          <t>United Kingdom</t>
        </is>
      </c>
      <c r="C1664" s="126" t="n">
        <v>2</v>
      </c>
      <c r="D1664" s="126" t="n">
        <v>93</v>
      </c>
      <c r="E1664" s="127" t="n">
        <v>12156.65</v>
      </c>
      <c r="F1664" s="128">
        <f>IF(C1664&lt;=30,5,IF(C1664&lt;=60,4,IF(C1664&lt;=120,3,IF(C1664&lt;=200,2,1))))</f>
        <v/>
      </c>
      <c r="G1664" s="128">
        <f>IF(D1664&gt;=20,5,IF(D1664&gt;=10,4,IF(D1664&gt;=5,3,IF(D1664&gt;=2,2,1))))</f>
        <v/>
      </c>
      <c r="H1664" s="128">
        <f>IF(E1664&gt;=5000,5,IF(E1664&gt;=2000,4,IF(E1664&gt;=800,3,IF(E1664&gt;=300,2,1))))</f>
        <v/>
      </c>
      <c r="I1664" s="126">
        <f>TEXT(F1664,"0")&amp;TEXT(G1664,"0")&amp;TEXT(H1664,"0")</f>
        <v/>
      </c>
      <c r="J1664" s="126">
        <f>IFERROR(XLOOKUP(I1664,'Segment Map'!A:A,'Segment Map'!B:B,"Need Attention"),"Need Attention")</f>
        <v/>
      </c>
      <c r="K1664" s="126">
        <f>IF(E1664&gt;=5000,"🏆 Platinum",IF(E1664&gt;=2000,"🥇 Gold",IF(E1664&gt;=800,"🥈 Silver","🥉 Bronze")))</f>
        <v/>
      </c>
      <c r="L1664" s="129" t="n">
        <v>40885</v>
      </c>
    </row>
    <row r="1665">
      <c r="A1665" s="122" t="n">
        <v>14607</v>
      </c>
      <c r="B1665" s="122" t="inlineStr">
        <is>
          <t>United Kingdom</t>
        </is>
      </c>
      <c r="C1665" s="122" t="n">
        <v>16</v>
      </c>
      <c r="D1665" s="122" t="n">
        <v>14</v>
      </c>
      <c r="E1665" s="123" t="n">
        <v>16569.5</v>
      </c>
      <c r="F1665" s="124">
        <f>IF(C1665&lt;=30,5,IF(C1665&lt;=60,4,IF(C1665&lt;=120,3,IF(C1665&lt;=200,2,1))))</f>
        <v/>
      </c>
      <c r="G1665" s="124">
        <f>IF(D1665&gt;=20,5,IF(D1665&gt;=10,4,IF(D1665&gt;=5,3,IF(D1665&gt;=2,2,1))))</f>
        <v/>
      </c>
      <c r="H1665" s="124">
        <f>IF(E1665&gt;=5000,5,IF(E1665&gt;=2000,4,IF(E1665&gt;=800,3,IF(E1665&gt;=300,2,1))))</f>
        <v/>
      </c>
      <c r="I1665" s="122">
        <f>TEXT(F1665,"0")&amp;TEXT(G1665,"0")&amp;TEXT(H1665,"0")</f>
        <v/>
      </c>
      <c r="J1665" s="122">
        <f>IFERROR(XLOOKUP(I1665,'Segment Map'!A:A,'Segment Map'!B:B,"Need Attention"),"Need Attention")</f>
        <v/>
      </c>
      <c r="K1665" s="122">
        <f>IF(E1665&gt;=5000,"🏆 Platinum",IF(E1665&gt;=2000,"🥇 Gold",IF(E1665&gt;=800,"🥈 Silver","🥉 Bronze")))</f>
        <v/>
      </c>
      <c r="L1665" s="125" t="n">
        <v>40871</v>
      </c>
    </row>
    <row r="1666">
      <c r="A1666" s="126" t="n">
        <v>14608</v>
      </c>
      <c r="B1666" s="126" t="inlineStr">
        <is>
          <t>United Kingdom</t>
        </is>
      </c>
      <c r="C1666" s="126" t="n">
        <v>5</v>
      </c>
      <c r="D1666" s="126" t="n">
        <v>4</v>
      </c>
      <c r="E1666" s="127" t="n">
        <v>1785.15</v>
      </c>
      <c r="F1666" s="128">
        <f>IF(C1666&lt;=30,5,IF(C1666&lt;=60,4,IF(C1666&lt;=120,3,IF(C1666&lt;=200,2,1))))</f>
        <v/>
      </c>
      <c r="G1666" s="128">
        <f>IF(D1666&gt;=20,5,IF(D1666&gt;=10,4,IF(D1666&gt;=5,3,IF(D1666&gt;=2,2,1))))</f>
        <v/>
      </c>
      <c r="H1666" s="128">
        <f>IF(E1666&gt;=5000,5,IF(E1666&gt;=2000,4,IF(E1666&gt;=800,3,IF(E1666&gt;=300,2,1))))</f>
        <v/>
      </c>
      <c r="I1666" s="126">
        <f>TEXT(F1666,"0")&amp;TEXT(G1666,"0")&amp;TEXT(H1666,"0")</f>
        <v/>
      </c>
      <c r="J1666" s="126">
        <f>IFERROR(XLOOKUP(I1666,'Segment Map'!A:A,'Segment Map'!B:B,"Need Attention"),"Need Attention")</f>
        <v/>
      </c>
      <c r="K1666" s="126">
        <f>IF(E1666&gt;=5000,"🏆 Platinum",IF(E1666&gt;=2000,"🥇 Gold",IF(E1666&gt;=800,"🥈 Silver","🥉 Bronze")))</f>
        <v/>
      </c>
      <c r="L1666" s="129" t="n">
        <v>40882</v>
      </c>
    </row>
    <row r="1667">
      <c r="A1667" s="122" t="n">
        <v>14609</v>
      </c>
      <c r="B1667" s="122" t="inlineStr">
        <is>
          <t>United Kingdom</t>
        </is>
      </c>
      <c r="C1667" s="122" t="n">
        <v>73</v>
      </c>
      <c r="D1667" s="122" t="n">
        <v>4</v>
      </c>
      <c r="E1667" s="123" t="n">
        <v>601.5599999999999</v>
      </c>
      <c r="F1667" s="124">
        <f>IF(C1667&lt;=30,5,IF(C1667&lt;=60,4,IF(C1667&lt;=120,3,IF(C1667&lt;=200,2,1))))</f>
        <v/>
      </c>
      <c r="G1667" s="124">
        <f>IF(D1667&gt;=20,5,IF(D1667&gt;=10,4,IF(D1667&gt;=5,3,IF(D1667&gt;=2,2,1))))</f>
        <v/>
      </c>
      <c r="H1667" s="124">
        <f>IF(E1667&gt;=5000,5,IF(E1667&gt;=2000,4,IF(E1667&gt;=800,3,IF(E1667&gt;=300,2,1))))</f>
        <v/>
      </c>
      <c r="I1667" s="122">
        <f>TEXT(F1667,"0")&amp;TEXT(G1667,"0")&amp;TEXT(H1667,"0")</f>
        <v/>
      </c>
      <c r="J1667" s="122">
        <f>IFERROR(XLOOKUP(I1667,'Segment Map'!A:A,'Segment Map'!B:B,"Need Attention"),"Need Attention")</f>
        <v/>
      </c>
      <c r="K1667" s="122">
        <f>IF(E1667&gt;=5000,"🏆 Platinum",IF(E1667&gt;=2000,"🥇 Gold",IF(E1667&gt;=800,"🥈 Silver","🥉 Bronze")))</f>
        <v/>
      </c>
      <c r="L1667" s="125" t="n">
        <v>40814</v>
      </c>
    </row>
    <row r="1668">
      <c r="A1668" s="126" t="n">
        <v>14616</v>
      </c>
      <c r="B1668" s="126" t="inlineStr">
        <is>
          <t>United Kingdom</t>
        </is>
      </c>
      <c r="C1668" s="126" t="n">
        <v>243</v>
      </c>
      <c r="D1668" s="126" t="n">
        <v>3</v>
      </c>
      <c r="E1668" s="127" t="n">
        <v>406.08</v>
      </c>
      <c r="F1668" s="128">
        <f>IF(C1668&lt;=30,5,IF(C1668&lt;=60,4,IF(C1668&lt;=120,3,IF(C1668&lt;=200,2,1))))</f>
        <v/>
      </c>
      <c r="G1668" s="128">
        <f>IF(D1668&gt;=20,5,IF(D1668&gt;=10,4,IF(D1668&gt;=5,3,IF(D1668&gt;=2,2,1))))</f>
        <v/>
      </c>
      <c r="H1668" s="128">
        <f>IF(E1668&gt;=5000,5,IF(E1668&gt;=2000,4,IF(E1668&gt;=800,3,IF(E1668&gt;=300,2,1))))</f>
        <v/>
      </c>
      <c r="I1668" s="126">
        <f>TEXT(F1668,"0")&amp;TEXT(G1668,"0")&amp;TEXT(H1668,"0")</f>
        <v/>
      </c>
      <c r="J1668" s="126">
        <f>IFERROR(XLOOKUP(I1668,'Segment Map'!A:A,'Segment Map'!B:B,"Need Attention"),"Need Attention")</f>
        <v/>
      </c>
      <c r="K1668" s="126">
        <f>IF(E1668&gt;=5000,"🏆 Platinum",IF(E1668&gt;=2000,"🥇 Gold",IF(E1668&gt;=800,"🥈 Silver","🥉 Bronze")))</f>
        <v/>
      </c>
      <c r="L1668" s="129" t="n">
        <v>40644</v>
      </c>
    </row>
    <row r="1669">
      <c r="A1669" s="122" t="n">
        <v>14618</v>
      </c>
      <c r="B1669" s="122" t="inlineStr">
        <is>
          <t>United Kingdom</t>
        </is>
      </c>
      <c r="C1669" s="122" t="n">
        <v>10</v>
      </c>
      <c r="D1669" s="122" t="n">
        <v>3</v>
      </c>
      <c r="E1669" s="123" t="n">
        <v>553.4400000000001</v>
      </c>
      <c r="F1669" s="124">
        <f>IF(C1669&lt;=30,5,IF(C1669&lt;=60,4,IF(C1669&lt;=120,3,IF(C1669&lt;=200,2,1))))</f>
        <v/>
      </c>
      <c r="G1669" s="124">
        <f>IF(D1669&gt;=20,5,IF(D1669&gt;=10,4,IF(D1669&gt;=5,3,IF(D1669&gt;=2,2,1))))</f>
        <v/>
      </c>
      <c r="H1669" s="124">
        <f>IF(E1669&gt;=5000,5,IF(E1669&gt;=2000,4,IF(E1669&gt;=800,3,IF(E1669&gt;=300,2,1))))</f>
        <v/>
      </c>
      <c r="I1669" s="122">
        <f>TEXT(F1669,"0")&amp;TEXT(G1669,"0")&amp;TEXT(H1669,"0")</f>
        <v/>
      </c>
      <c r="J1669" s="122">
        <f>IFERROR(XLOOKUP(I1669,'Segment Map'!A:A,'Segment Map'!B:B,"Need Attention"),"Need Attention")</f>
        <v/>
      </c>
      <c r="K1669" s="122">
        <f>IF(E1669&gt;=5000,"🏆 Platinum",IF(E1669&gt;=2000,"🥇 Gold",IF(E1669&gt;=800,"🥈 Silver","🥉 Bronze")))</f>
        <v/>
      </c>
      <c r="L1669" s="125" t="n">
        <v>40877</v>
      </c>
    </row>
    <row r="1670">
      <c r="A1670" s="126" t="n">
        <v>14619</v>
      </c>
      <c r="B1670" s="126" t="inlineStr">
        <is>
          <t>United Kingdom</t>
        </is>
      </c>
      <c r="C1670" s="126" t="n">
        <v>246</v>
      </c>
      <c r="D1670" s="126" t="n">
        <v>1</v>
      </c>
      <c r="E1670" s="127" t="n">
        <v>394.44</v>
      </c>
      <c r="F1670" s="128">
        <f>IF(C1670&lt;=30,5,IF(C1670&lt;=60,4,IF(C1670&lt;=120,3,IF(C1670&lt;=200,2,1))))</f>
        <v/>
      </c>
      <c r="G1670" s="128">
        <f>IF(D1670&gt;=20,5,IF(D1670&gt;=10,4,IF(D1670&gt;=5,3,IF(D1670&gt;=2,2,1))))</f>
        <v/>
      </c>
      <c r="H1670" s="128">
        <f>IF(E1670&gt;=5000,5,IF(E1670&gt;=2000,4,IF(E1670&gt;=800,3,IF(E1670&gt;=300,2,1))))</f>
        <v/>
      </c>
      <c r="I1670" s="126">
        <f>TEXT(F1670,"0")&amp;TEXT(G1670,"0")&amp;TEXT(H1670,"0")</f>
        <v/>
      </c>
      <c r="J1670" s="126">
        <f>IFERROR(XLOOKUP(I1670,'Segment Map'!A:A,'Segment Map'!B:B,"Need Attention"),"Need Attention")</f>
        <v/>
      </c>
      <c r="K1670" s="126">
        <f>IF(E1670&gt;=5000,"🏆 Platinum",IF(E1670&gt;=2000,"🥇 Gold",IF(E1670&gt;=800,"🥈 Silver","🥉 Bronze")))</f>
        <v/>
      </c>
      <c r="L1670" s="129" t="n">
        <v>40641</v>
      </c>
    </row>
    <row r="1671">
      <c r="A1671" s="122" t="n">
        <v>14620</v>
      </c>
      <c r="B1671" s="122" t="inlineStr">
        <is>
          <t>United Kingdom</t>
        </is>
      </c>
      <c r="C1671" s="122" t="n">
        <v>206</v>
      </c>
      <c r="D1671" s="122" t="n">
        <v>2</v>
      </c>
      <c r="E1671" s="123" t="n">
        <v>412.78</v>
      </c>
      <c r="F1671" s="124">
        <f>IF(C1671&lt;=30,5,IF(C1671&lt;=60,4,IF(C1671&lt;=120,3,IF(C1671&lt;=200,2,1))))</f>
        <v/>
      </c>
      <c r="G1671" s="124">
        <f>IF(D1671&gt;=20,5,IF(D1671&gt;=10,4,IF(D1671&gt;=5,3,IF(D1671&gt;=2,2,1))))</f>
        <v/>
      </c>
      <c r="H1671" s="124">
        <f>IF(E1671&gt;=5000,5,IF(E1671&gt;=2000,4,IF(E1671&gt;=800,3,IF(E1671&gt;=300,2,1))))</f>
        <v/>
      </c>
      <c r="I1671" s="122">
        <f>TEXT(F1671,"0")&amp;TEXT(G1671,"0")&amp;TEXT(H1671,"0")</f>
        <v/>
      </c>
      <c r="J1671" s="122">
        <f>IFERROR(XLOOKUP(I1671,'Segment Map'!A:A,'Segment Map'!B:B,"Need Attention"),"Need Attention")</f>
        <v/>
      </c>
      <c r="K1671" s="122">
        <f>IF(E1671&gt;=5000,"🏆 Platinum",IF(E1671&gt;=2000,"🥇 Gold",IF(E1671&gt;=800,"🥈 Silver","🥉 Bronze")))</f>
        <v/>
      </c>
      <c r="L1671" s="125" t="n">
        <v>40681</v>
      </c>
    </row>
    <row r="1672">
      <c r="A1672" s="126" t="n">
        <v>14621</v>
      </c>
      <c r="B1672" s="126" t="inlineStr">
        <is>
          <t>United Kingdom</t>
        </is>
      </c>
      <c r="C1672" s="126" t="n">
        <v>2</v>
      </c>
      <c r="D1672" s="126" t="n">
        <v>5</v>
      </c>
      <c r="E1672" s="127" t="n">
        <v>1788.36</v>
      </c>
      <c r="F1672" s="128">
        <f>IF(C1672&lt;=30,5,IF(C1672&lt;=60,4,IF(C1672&lt;=120,3,IF(C1672&lt;=200,2,1))))</f>
        <v/>
      </c>
      <c r="G1672" s="128">
        <f>IF(D1672&gt;=20,5,IF(D1672&gt;=10,4,IF(D1672&gt;=5,3,IF(D1672&gt;=2,2,1))))</f>
        <v/>
      </c>
      <c r="H1672" s="128">
        <f>IF(E1672&gt;=5000,5,IF(E1672&gt;=2000,4,IF(E1672&gt;=800,3,IF(E1672&gt;=300,2,1))))</f>
        <v/>
      </c>
      <c r="I1672" s="126">
        <f>TEXT(F1672,"0")&amp;TEXT(G1672,"0")&amp;TEXT(H1672,"0")</f>
        <v/>
      </c>
      <c r="J1672" s="126">
        <f>IFERROR(XLOOKUP(I1672,'Segment Map'!A:A,'Segment Map'!B:B,"Need Attention"),"Need Attention")</f>
        <v/>
      </c>
      <c r="K1672" s="126">
        <f>IF(E1672&gt;=5000,"🏆 Platinum",IF(E1672&gt;=2000,"🥇 Gold",IF(E1672&gt;=800,"🥈 Silver","🥉 Bronze")))</f>
        <v/>
      </c>
      <c r="L1672" s="129" t="n">
        <v>40885</v>
      </c>
    </row>
    <row r="1673">
      <c r="A1673" s="122" t="n">
        <v>14622</v>
      </c>
      <c r="B1673" s="122" t="inlineStr">
        <is>
          <t>United Kingdom</t>
        </is>
      </c>
      <c r="C1673" s="122" t="n">
        <v>185</v>
      </c>
      <c r="D1673" s="122" t="n">
        <v>1</v>
      </c>
      <c r="E1673" s="123" t="n">
        <v>320.58</v>
      </c>
      <c r="F1673" s="124">
        <f>IF(C1673&lt;=30,5,IF(C1673&lt;=60,4,IF(C1673&lt;=120,3,IF(C1673&lt;=200,2,1))))</f>
        <v/>
      </c>
      <c r="G1673" s="124">
        <f>IF(D1673&gt;=20,5,IF(D1673&gt;=10,4,IF(D1673&gt;=5,3,IF(D1673&gt;=2,2,1))))</f>
        <v/>
      </c>
      <c r="H1673" s="124">
        <f>IF(E1673&gt;=5000,5,IF(E1673&gt;=2000,4,IF(E1673&gt;=800,3,IF(E1673&gt;=300,2,1))))</f>
        <v/>
      </c>
      <c r="I1673" s="122">
        <f>TEXT(F1673,"0")&amp;TEXT(G1673,"0")&amp;TEXT(H1673,"0")</f>
        <v/>
      </c>
      <c r="J1673" s="122">
        <f>IFERROR(XLOOKUP(I1673,'Segment Map'!A:A,'Segment Map'!B:B,"Need Attention"),"Need Attention")</f>
        <v/>
      </c>
      <c r="K1673" s="122">
        <f>IF(E1673&gt;=5000,"🏆 Platinum",IF(E1673&gt;=2000,"🥇 Gold",IF(E1673&gt;=800,"🥈 Silver","🥉 Bronze")))</f>
        <v/>
      </c>
      <c r="L1673" s="125" t="n">
        <v>40702</v>
      </c>
    </row>
    <row r="1674">
      <c r="A1674" s="126" t="n">
        <v>14623</v>
      </c>
      <c r="B1674" s="126" t="inlineStr">
        <is>
          <t>United Kingdom</t>
        </is>
      </c>
      <c r="C1674" s="126" t="n">
        <v>33</v>
      </c>
      <c r="D1674" s="126" t="n">
        <v>5</v>
      </c>
      <c r="E1674" s="127" t="n">
        <v>889.25</v>
      </c>
      <c r="F1674" s="128">
        <f>IF(C1674&lt;=30,5,IF(C1674&lt;=60,4,IF(C1674&lt;=120,3,IF(C1674&lt;=200,2,1))))</f>
        <v/>
      </c>
      <c r="G1674" s="128">
        <f>IF(D1674&gt;=20,5,IF(D1674&gt;=10,4,IF(D1674&gt;=5,3,IF(D1674&gt;=2,2,1))))</f>
        <v/>
      </c>
      <c r="H1674" s="128">
        <f>IF(E1674&gt;=5000,5,IF(E1674&gt;=2000,4,IF(E1674&gt;=800,3,IF(E1674&gt;=300,2,1))))</f>
        <v/>
      </c>
      <c r="I1674" s="126">
        <f>TEXT(F1674,"0")&amp;TEXT(G1674,"0")&amp;TEXT(H1674,"0")</f>
        <v/>
      </c>
      <c r="J1674" s="126">
        <f>IFERROR(XLOOKUP(I1674,'Segment Map'!A:A,'Segment Map'!B:B,"Need Attention"),"Need Attention")</f>
        <v/>
      </c>
      <c r="K1674" s="126">
        <f>IF(E1674&gt;=5000,"🏆 Platinum",IF(E1674&gt;=2000,"🥇 Gold",IF(E1674&gt;=800,"🥈 Silver","🥉 Bronze")))</f>
        <v/>
      </c>
      <c r="L1674" s="129" t="n">
        <v>40854</v>
      </c>
    </row>
    <row r="1675">
      <c r="A1675" s="122" t="n">
        <v>14624</v>
      </c>
      <c r="B1675" s="122" t="inlineStr">
        <is>
          <t>United Kingdom</t>
        </is>
      </c>
      <c r="C1675" s="122" t="n">
        <v>58</v>
      </c>
      <c r="D1675" s="122" t="n">
        <v>2</v>
      </c>
      <c r="E1675" s="123" t="n">
        <v>225.85</v>
      </c>
      <c r="F1675" s="124">
        <f>IF(C1675&lt;=30,5,IF(C1675&lt;=60,4,IF(C1675&lt;=120,3,IF(C1675&lt;=200,2,1))))</f>
        <v/>
      </c>
      <c r="G1675" s="124">
        <f>IF(D1675&gt;=20,5,IF(D1675&gt;=10,4,IF(D1675&gt;=5,3,IF(D1675&gt;=2,2,1))))</f>
        <v/>
      </c>
      <c r="H1675" s="124">
        <f>IF(E1675&gt;=5000,5,IF(E1675&gt;=2000,4,IF(E1675&gt;=800,3,IF(E1675&gt;=300,2,1))))</f>
        <v/>
      </c>
      <c r="I1675" s="122">
        <f>TEXT(F1675,"0")&amp;TEXT(G1675,"0")&amp;TEXT(H1675,"0")</f>
        <v/>
      </c>
      <c r="J1675" s="122">
        <f>IFERROR(XLOOKUP(I1675,'Segment Map'!A:A,'Segment Map'!B:B,"Need Attention"),"Need Attention")</f>
        <v/>
      </c>
      <c r="K1675" s="122">
        <f>IF(E1675&gt;=5000,"🏆 Platinum",IF(E1675&gt;=2000,"🥇 Gold",IF(E1675&gt;=800,"🥈 Silver","🥉 Bronze")))</f>
        <v/>
      </c>
      <c r="L1675" s="125" t="n">
        <v>40829</v>
      </c>
    </row>
    <row r="1676">
      <c r="A1676" s="126" t="n">
        <v>14625</v>
      </c>
      <c r="B1676" s="126" t="inlineStr">
        <is>
          <t>United Kingdom</t>
        </is>
      </c>
      <c r="C1676" s="126" t="n">
        <v>197</v>
      </c>
      <c r="D1676" s="126" t="n">
        <v>2</v>
      </c>
      <c r="E1676" s="127" t="n">
        <v>899.63</v>
      </c>
      <c r="F1676" s="128">
        <f>IF(C1676&lt;=30,5,IF(C1676&lt;=60,4,IF(C1676&lt;=120,3,IF(C1676&lt;=200,2,1))))</f>
        <v/>
      </c>
      <c r="G1676" s="128">
        <f>IF(D1676&gt;=20,5,IF(D1676&gt;=10,4,IF(D1676&gt;=5,3,IF(D1676&gt;=2,2,1))))</f>
        <v/>
      </c>
      <c r="H1676" s="128">
        <f>IF(E1676&gt;=5000,5,IF(E1676&gt;=2000,4,IF(E1676&gt;=800,3,IF(E1676&gt;=300,2,1))))</f>
        <v/>
      </c>
      <c r="I1676" s="126">
        <f>TEXT(F1676,"0")&amp;TEXT(G1676,"0")&amp;TEXT(H1676,"0")</f>
        <v/>
      </c>
      <c r="J1676" s="126">
        <f>IFERROR(XLOOKUP(I1676,'Segment Map'!A:A,'Segment Map'!B:B,"Need Attention"),"Need Attention")</f>
        <v/>
      </c>
      <c r="K1676" s="126">
        <f>IF(E1676&gt;=5000,"🏆 Platinum",IF(E1676&gt;=2000,"🥇 Gold",IF(E1676&gt;=800,"🥈 Silver","🥉 Bronze")))</f>
        <v/>
      </c>
      <c r="L1676" s="129" t="n">
        <v>40690</v>
      </c>
    </row>
    <row r="1677">
      <c r="A1677" s="122" t="n">
        <v>14626</v>
      </c>
      <c r="B1677" s="122" t="inlineStr">
        <is>
          <t>United Kingdom</t>
        </is>
      </c>
      <c r="C1677" s="122" t="n">
        <v>24</v>
      </c>
      <c r="D1677" s="122" t="n">
        <v>4</v>
      </c>
      <c r="E1677" s="123" t="n">
        <v>2791.27</v>
      </c>
      <c r="F1677" s="124">
        <f>IF(C1677&lt;=30,5,IF(C1677&lt;=60,4,IF(C1677&lt;=120,3,IF(C1677&lt;=200,2,1))))</f>
        <v/>
      </c>
      <c r="G1677" s="124">
        <f>IF(D1677&gt;=20,5,IF(D1677&gt;=10,4,IF(D1677&gt;=5,3,IF(D1677&gt;=2,2,1))))</f>
        <v/>
      </c>
      <c r="H1677" s="124">
        <f>IF(E1677&gt;=5000,5,IF(E1677&gt;=2000,4,IF(E1677&gt;=800,3,IF(E1677&gt;=300,2,1))))</f>
        <v/>
      </c>
      <c r="I1677" s="122">
        <f>TEXT(F1677,"0")&amp;TEXT(G1677,"0")&amp;TEXT(H1677,"0")</f>
        <v/>
      </c>
      <c r="J1677" s="122">
        <f>IFERROR(XLOOKUP(I1677,'Segment Map'!A:A,'Segment Map'!B:B,"Need Attention"),"Need Attention")</f>
        <v/>
      </c>
      <c r="K1677" s="122">
        <f>IF(E1677&gt;=5000,"🏆 Platinum",IF(E1677&gt;=2000,"🥇 Gold",IF(E1677&gt;=800,"🥈 Silver","🥉 Bronze")))</f>
        <v/>
      </c>
      <c r="L1677" s="125" t="n">
        <v>40863</v>
      </c>
    </row>
    <row r="1678">
      <c r="A1678" s="126" t="n">
        <v>14628</v>
      </c>
      <c r="B1678" s="126" t="inlineStr">
        <is>
          <t>United Kingdom</t>
        </is>
      </c>
      <c r="C1678" s="126" t="n">
        <v>92</v>
      </c>
      <c r="D1678" s="126" t="n">
        <v>2</v>
      </c>
      <c r="E1678" s="127" t="n">
        <v>671.96</v>
      </c>
      <c r="F1678" s="128">
        <f>IF(C1678&lt;=30,5,IF(C1678&lt;=60,4,IF(C1678&lt;=120,3,IF(C1678&lt;=200,2,1))))</f>
        <v/>
      </c>
      <c r="G1678" s="128">
        <f>IF(D1678&gt;=20,5,IF(D1678&gt;=10,4,IF(D1678&gt;=5,3,IF(D1678&gt;=2,2,1))))</f>
        <v/>
      </c>
      <c r="H1678" s="128">
        <f>IF(E1678&gt;=5000,5,IF(E1678&gt;=2000,4,IF(E1678&gt;=800,3,IF(E1678&gt;=300,2,1))))</f>
        <v/>
      </c>
      <c r="I1678" s="126">
        <f>TEXT(F1678,"0")&amp;TEXT(G1678,"0")&amp;TEXT(H1678,"0")</f>
        <v/>
      </c>
      <c r="J1678" s="126">
        <f>IFERROR(XLOOKUP(I1678,'Segment Map'!A:A,'Segment Map'!B:B,"Need Attention"),"Need Attention")</f>
        <v/>
      </c>
      <c r="K1678" s="126">
        <f>IF(E1678&gt;=5000,"🏆 Platinum",IF(E1678&gt;=2000,"🥇 Gold",IF(E1678&gt;=800,"🥈 Silver","🥉 Bronze")))</f>
        <v/>
      </c>
      <c r="L1678" s="129" t="n">
        <v>40795</v>
      </c>
    </row>
    <row r="1679">
      <c r="A1679" s="122" t="n">
        <v>14629</v>
      </c>
      <c r="B1679" s="122" t="inlineStr">
        <is>
          <t>United Kingdom</t>
        </is>
      </c>
      <c r="C1679" s="122" t="n">
        <v>5</v>
      </c>
      <c r="D1679" s="122" t="n">
        <v>2</v>
      </c>
      <c r="E1679" s="123" t="n">
        <v>959.01</v>
      </c>
      <c r="F1679" s="124">
        <f>IF(C1679&lt;=30,5,IF(C1679&lt;=60,4,IF(C1679&lt;=120,3,IF(C1679&lt;=200,2,1))))</f>
        <v/>
      </c>
      <c r="G1679" s="124">
        <f>IF(D1679&gt;=20,5,IF(D1679&gt;=10,4,IF(D1679&gt;=5,3,IF(D1679&gt;=2,2,1))))</f>
        <v/>
      </c>
      <c r="H1679" s="124">
        <f>IF(E1679&gt;=5000,5,IF(E1679&gt;=2000,4,IF(E1679&gt;=800,3,IF(E1679&gt;=300,2,1))))</f>
        <v/>
      </c>
      <c r="I1679" s="122">
        <f>TEXT(F1679,"0")&amp;TEXT(G1679,"0")&amp;TEXT(H1679,"0")</f>
        <v/>
      </c>
      <c r="J1679" s="122">
        <f>IFERROR(XLOOKUP(I1679,'Segment Map'!A:A,'Segment Map'!B:B,"Need Attention"),"Need Attention")</f>
        <v/>
      </c>
      <c r="K1679" s="122">
        <f>IF(E1679&gt;=5000,"🏆 Platinum",IF(E1679&gt;=2000,"🥇 Gold",IF(E1679&gt;=800,"🥈 Silver","🥉 Bronze")))</f>
        <v/>
      </c>
      <c r="L1679" s="125" t="n">
        <v>40882</v>
      </c>
    </row>
    <row r="1680">
      <c r="A1680" s="126" t="n">
        <v>14631</v>
      </c>
      <c r="B1680" s="126" t="inlineStr">
        <is>
          <t>United Kingdom</t>
        </is>
      </c>
      <c r="C1680" s="126" t="n">
        <v>51</v>
      </c>
      <c r="D1680" s="126" t="n">
        <v>3</v>
      </c>
      <c r="E1680" s="127" t="n">
        <v>1006.98</v>
      </c>
      <c r="F1680" s="128">
        <f>IF(C1680&lt;=30,5,IF(C1680&lt;=60,4,IF(C1680&lt;=120,3,IF(C1680&lt;=200,2,1))))</f>
        <v/>
      </c>
      <c r="G1680" s="128">
        <f>IF(D1680&gt;=20,5,IF(D1680&gt;=10,4,IF(D1680&gt;=5,3,IF(D1680&gt;=2,2,1))))</f>
        <v/>
      </c>
      <c r="H1680" s="128">
        <f>IF(E1680&gt;=5000,5,IF(E1680&gt;=2000,4,IF(E1680&gt;=800,3,IF(E1680&gt;=300,2,1))))</f>
        <v/>
      </c>
      <c r="I1680" s="126">
        <f>TEXT(F1680,"0")&amp;TEXT(G1680,"0")&amp;TEXT(H1680,"0")</f>
        <v/>
      </c>
      <c r="J1680" s="126">
        <f>IFERROR(XLOOKUP(I1680,'Segment Map'!A:A,'Segment Map'!B:B,"Need Attention"),"Need Attention")</f>
        <v/>
      </c>
      <c r="K1680" s="126">
        <f>IF(E1680&gt;=5000,"🏆 Platinum",IF(E1680&gt;=2000,"🥇 Gold",IF(E1680&gt;=800,"🥈 Silver","🥉 Bronze")))</f>
        <v/>
      </c>
      <c r="L1680" s="129" t="n">
        <v>40836</v>
      </c>
    </row>
    <row r="1681">
      <c r="A1681" s="122" t="n">
        <v>14632</v>
      </c>
      <c r="B1681" s="122" t="inlineStr">
        <is>
          <t>United Kingdom</t>
        </is>
      </c>
      <c r="C1681" s="122" t="n">
        <v>263</v>
      </c>
      <c r="D1681" s="122" t="n">
        <v>1</v>
      </c>
      <c r="E1681" s="123" t="n">
        <v>114.56</v>
      </c>
      <c r="F1681" s="124">
        <f>IF(C1681&lt;=30,5,IF(C1681&lt;=60,4,IF(C1681&lt;=120,3,IF(C1681&lt;=200,2,1))))</f>
        <v/>
      </c>
      <c r="G1681" s="124">
        <f>IF(D1681&gt;=20,5,IF(D1681&gt;=10,4,IF(D1681&gt;=5,3,IF(D1681&gt;=2,2,1))))</f>
        <v/>
      </c>
      <c r="H1681" s="124">
        <f>IF(E1681&gt;=5000,5,IF(E1681&gt;=2000,4,IF(E1681&gt;=800,3,IF(E1681&gt;=300,2,1))))</f>
        <v/>
      </c>
      <c r="I1681" s="122">
        <f>TEXT(F1681,"0")&amp;TEXT(G1681,"0")&amp;TEXT(H1681,"0")</f>
        <v/>
      </c>
      <c r="J1681" s="122">
        <f>IFERROR(XLOOKUP(I1681,'Segment Map'!A:A,'Segment Map'!B:B,"Need Attention"),"Need Attention")</f>
        <v/>
      </c>
      <c r="K1681" s="122">
        <f>IF(E1681&gt;=5000,"🏆 Platinum",IF(E1681&gt;=2000,"🥇 Gold",IF(E1681&gt;=800,"🥈 Silver","🥉 Bronze")))</f>
        <v/>
      </c>
      <c r="L1681" s="125" t="n">
        <v>40624</v>
      </c>
    </row>
    <row r="1682">
      <c r="A1682" s="126" t="n">
        <v>14633</v>
      </c>
      <c r="B1682" s="126" t="inlineStr">
        <is>
          <t>United Kingdom</t>
        </is>
      </c>
      <c r="C1682" s="126" t="n">
        <v>267</v>
      </c>
      <c r="D1682" s="126" t="n">
        <v>1</v>
      </c>
      <c r="E1682" s="127" t="n">
        <v>344.9</v>
      </c>
      <c r="F1682" s="128">
        <f>IF(C1682&lt;=30,5,IF(C1682&lt;=60,4,IF(C1682&lt;=120,3,IF(C1682&lt;=200,2,1))))</f>
        <v/>
      </c>
      <c r="G1682" s="128">
        <f>IF(D1682&gt;=20,5,IF(D1682&gt;=10,4,IF(D1682&gt;=5,3,IF(D1682&gt;=2,2,1))))</f>
        <v/>
      </c>
      <c r="H1682" s="128">
        <f>IF(E1682&gt;=5000,5,IF(E1682&gt;=2000,4,IF(E1682&gt;=800,3,IF(E1682&gt;=300,2,1))))</f>
        <v/>
      </c>
      <c r="I1682" s="126">
        <f>TEXT(F1682,"0")&amp;TEXT(G1682,"0")&amp;TEXT(H1682,"0")</f>
        <v/>
      </c>
      <c r="J1682" s="126">
        <f>IFERROR(XLOOKUP(I1682,'Segment Map'!A:A,'Segment Map'!B:B,"Need Attention"),"Need Attention")</f>
        <v/>
      </c>
      <c r="K1682" s="126">
        <f>IF(E1682&gt;=5000,"🏆 Platinum",IF(E1682&gt;=2000,"🥇 Gold",IF(E1682&gt;=800,"🥈 Silver","🥉 Bronze")))</f>
        <v/>
      </c>
      <c r="L1682" s="129" t="n">
        <v>40620</v>
      </c>
    </row>
    <row r="1683">
      <c r="A1683" s="122" t="n">
        <v>14636</v>
      </c>
      <c r="B1683" s="122" t="inlineStr">
        <is>
          <t>United Kingdom</t>
        </is>
      </c>
      <c r="C1683" s="122" t="n">
        <v>37</v>
      </c>
      <c r="D1683" s="122" t="n">
        <v>2</v>
      </c>
      <c r="E1683" s="123" t="n">
        <v>609.85</v>
      </c>
      <c r="F1683" s="124">
        <f>IF(C1683&lt;=30,5,IF(C1683&lt;=60,4,IF(C1683&lt;=120,3,IF(C1683&lt;=200,2,1))))</f>
        <v/>
      </c>
      <c r="G1683" s="124">
        <f>IF(D1683&gt;=20,5,IF(D1683&gt;=10,4,IF(D1683&gt;=5,3,IF(D1683&gt;=2,2,1))))</f>
        <v/>
      </c>
      <c r="H1683" s="124">
        <f>IF(E1683&gt;=5000,5,IF(E1683&gt;=2000,4,IF(E1683&gt;=800,3,IF(E1683&gt;=300,2,1))))</f>
        <v/>
      </c>
      <c r="I1683" s="122">
        <f>TEXT(F1683,"0")&amp;TEXT(G1683,"0")&amp;TEXT(H1683,"0")</f>
        <v/>
      </c>
      <c r="J1683" s="122">
        <f>IFERROR(XLOOKUP(I1683,'Segment Map'!A:A,'Segment Map'!B:B,"Need Attention"),"Need Attention")</f>
        <v/>
      </c>
      <c r="K1683" s="122">
        <f>IF(E1683&gt;=5000,"🏆 Platinum",IF(E1683&gt;=2000,"🥇 Gold",IF(E1683&gt;=800,"🥈 Silver","🥉 Bronze")))</f>
        <v/>
      </c>
      <c r="L1683" s="125" t="n">
        <v>40850</v>
      </c>
    </row>
    <row r="1684">
      <c r="A1684" s="126" t="n">
        <v>14638</v>
      </c>
      <c r="B1684" s="126" t="inlineStr">
        <is>
          <t>United Kingdom</t>
        </is>
      </c>
      <c r="C1684" s="126" t="n">
        <v>51</v>
      </c>
      <c r="D1684" s="126" t="n">
        <v>1</v>
      </c>
      <c r="E1684" s="127" t="n">
        <v>443.6</v>
      </c>
      <c r="F1684" s="128">
        <f>IF(C1684&lt;=30,5,IF(C1684&lt;=60,4,IF(C1684&lt;=120,3,IF(C1684&lt;=200,2,1))))</f>
        <v/>
      </c>
      <c r="G1684" s="128">
        <f>IF(D1684&gt;=20,5,IF(D1684&gt;=10,4,IF(D1684&gt;=5,3,IF(D1684&gt;=2,2,1))))</f>
        <v/>
      </c>
      <c r="H1684" s="128">
        <f>IF(E1684&gt;=5000,5,IF(E1684&gt;=2000,4,IF(E1684&gt;=800,3,IF(E1684&gt;=300,2,1))))</f>
        <v/>
      </c>
      <c r="I1684" s="126">
        <f>TEXT(F1684,"0")&amp;TEXT(G1684,"0")&amp;TEXT(H1684,"0")</f>
        <v/>
      </c>
      <c r="J1684" s="126">
        <f>IFERROR(XLOOKUP(I1684,'Segment Map'!A:A,'Segment Map'!B:B,"Need Attention"),"Need Attention")</f>
        <v/>
      </c>
      <c r="K1684" s="126">
        <f>IF(E1684&gt;=5000,"🏆 Platinum",IF(E1684&gt;=2000,"🥇 Gold",IF(E1684&gt;=800,"🥈 Silver","🥉 Bronze")))</f>
        <v/>
      </c>
      <c r="L1684" s="129" t="n">
        <v>40836</v>
      </c>
    </row>
    <row r="1685">
      <c r="A1685" s="122" t="n">
        <v>14639</v>
      </c>
      <c r="B1685" s="122" t="inlineStr">
        <is>
          <t>United Kingdom</t>
        </is>
      </c>
      <c r="C1685" s="122" t="n">
        <v>53</v>
      </c>
      <c r="D1685" s="122" t="n">
        <v>6</v>
      </c>
      <c r="E1685" s="123" t="n">
        <v>2984.49</v>
      </c>
      <c r="F1685" s="124">
        <f>IF(C1685&lt;=30,5,IF(C1685&lt;=60,4,IF(C1685&lt;=120,3,IF(C1685&lt;=200,2,1))))</f>
        <v/>
      </c>
      <c r="G1685" s="124">
        <f>IF(D1685&gt;=20,5,IF(D1685&gt;=10,4,IF(D1685&gt;=5,3,IF(D1685&gt;=2,2,1))))</f>
        <v/>
      </c>
      <c r="H1685" s="124">
        <f>IF(E1685&gt;=5000,5,IF(E1685&gt;=2000,4,IF(E1685&gt;=800,3,IF(E1685&gt;=300,2,1))))</f>
        <v/>
      </c>
      <c r="I1685" s="122">
        <f>TEXT(F1685,"0")&amp;TEXT(G1685,"0")&amp;TEXT(H1685,"0")</f>
        <v/>
      </c>
      <c r="J1685" s="122">
        <f>IFERROR(XLOOKUP(I1685,'Segment Map'!A:A,'Segment Map'!B:B,"Need Attention"),"Need Attention")</f>
        <v/>
      </c>
      <c r="K1685" s="122">
        <f>IF(E1685&gt;=5000,"🏆 Platinum",IF(E1685&gt;=2000,"🥇 Gold",IF(E1685&gt;=800,"🥈 Silver","🥉 Bronze")))</f>
        <v/>
      </c>
      <c r="L1685" s="125" t="n">
        <v>40834</v>
      </c>
    </row>
    <row r="1686">
      <c r="A1686" s="126" t="n">
        <v>14640</v>
      </c>
      <c r="B1686" s="126" t="inlineStr">
        <is>
          <t>United Kingdom</t>
        </is>
      </c>
      <c r="C1686" s="126" t="n">
        <v>25</v>
      </c>
      <c r="D1686" s="126" t="n">
        <v>6</v>
      </c>
      <c r="E1686" s="127" t="n">
        <v>2125.08</v>
      </c>
      <c r="F1686" s="128">
        <f>IF(C1686&lt;=30,5,IF(C1686&lt;=60,4,IF(C1686&lt;=120,3,IF(C1686&lt;=200,2,1))))</f>
        <v/>
      </c>
      <c r="G1686" s="128">
        <f>IF(D1686&gt;=20,5,IF(D1686&gt;=10,4,IF(D1686&gt;=5,3,IF(D1686&gt;=2,2,1))))</f>
        <v/>
      </c>
      <c r="H1686" s="128">
        <f>IF(E1686&gt;=5000,5,IF(E1686&gt;=2000,4,IF(E1686&gt;=800,3,IF(E1686&gt;=300,2,1))))</f>
        <v/>
      </c>
      <c r="I1686" s="126">
        <f>TEXT(F1686,"0")&amp;TEXT(G1686,"0")&amp;TEXT(H1686,"0")</f>
        <v/>
      </c>
      <c r="J1686" s="126">
        <f>IFERROR(XLOOKUP(I1686,'Segment Map'!A:A,'Segment Map'!B:B,"Need Attention"),"Need Attention")</f>
        <v/>
      </c>
      <c r="K1686" s="126">
        <f>IF(E1686&gt;=5000,"🏆 Platinum",IF(E1686&gt;=2000,"🥇 Gold",IF(E1686&gt;=800,"🥈 Silver","🥉 Bronze")))</f>
        <v/>
      </c>
      <c r="L1686" s="129" t="n">
        <v>40862</v>
      </c>
    </row>
    <row r="1687">
      <c r="A1687" s="122" t="n">
        <v>14641</v>
      </c>
      <c r="B1687" s="122" t="inlineStr">
        <is>
          <t>United Kingdom</t>
        </is>
      </c>
      <c r="C1687" s="122" t="n">
        <v>22</v>
      </c>
      <c r="D1687" s="122" t="n">
        <v>1</v>
      </c>
      <c r="E1687" s="123" t="n">
        <v>110.46</v>
      </c>
      <c r="F1687" s="124">
        <f>IF(C1687&lt;=30,5,IF(C1687&lt;=60,4,IF(C1687&lt;=120,3,IF(C1687&lt;=200,2,1))))</f>
        <v/>
      </c>
      <c r="G1687" s="124">
        <f>IF(D1687&gt;=20,5,IF(D1687&gt;=10,4,IF(D1687&gt;=5,3,IF(D1687&gt;=2,2,1))))</f>
        <v/>
      </c>
      <c r="H1687" s="124">
        <f>IF(E1687&gt;=5000,5,IF(E1687&gt;=2000,4,IF(E1687&gt;=800,3,IF(E1687&gt;=300,2,1))))</f>
        <v/>
      </c>
      <c r="I1687" s="122">
        <f>TEXT(F1687,"0")&amp;TEXT(G1687,"0")&amp;TEXT(H1687,"0")</f>
        <v/>
      </c>
      <c r="J1687" s="122">
        <f>IFERROR(XLOOKUP(I1687,'Segment Map'!A:A,'Segment Map'!B:B,"Need Attention"),"Need Attention")</f>
        <v/>
      </c>
      <c r="K1687" s="122">
        <f>IF(E1687&gt;=5000,"🏆 Platinum",IF(E1687&gt;=2000,"🥇 Gold",IF(E1687&gt;=800,"🥈 Silver","🥉 Bronze")))</f>
        <v/>
      </c>
      <c r="L1687" s="125" t="n">
        <v>40865</v>
      </c>
    </row>
    <row r="1688">
      <c r="A1688" s="126" t="n">
        <v>14642</v>
      </c>
      <c r="B1688" s="126" t="inlineStr">
        <is>
          <t>United Kingdom</t>
        </is>
      </c>
      <c r="C1688" s="126" t="n">
        <v>59</v>
      </c>
      <c r="D1688" s="126" t="n">
        <v>1</v>
      </c>
      <c r="E1688" s="127" t="n">
        <v>96.12</v>
      </c>
      <c r="F1688" s="128">
        <f>IF(C1688&lt;=30,5,IF(C1688&lt;=60,4,IF(C1688&lt;=120,3,IF(C1688&lt;=200,2,1))))</f>
        <v/>
      </c>
      <c r="G1688" s="128">
        <f>IF(D1688&gt;=20,5,IF(D1688&gt;=10,4,IF(D1688&gt;=5,3,IF(D1688&gt;=2,2,1))))</f>
        <v/>
      </c>
      <c r="H1688" s="128">
        <f>IF(E1688&gt;=5000,5,IF(E1688&gt;=2000,4,IF(E1688&gt;=800,3,IF(E1688&gt;=300,2,1))))</f>
        <v/>
      </c>
      <c r="I1688" s="126">
        <f>TEXT(F1688,"0")&amp;TEXT(G1688,"0")&amp;TEXT(H1688,"0")</f>
        <v/>
      </c>
      <c r="J1688" s="126">
        <f>IFERROR(XLOOKUP(I1688,'Segment Map'!A:A,'Segment Map'!B:B,"Need Attention"),"Need Attention")</f>
        <v/>
      </c>
      <c r="K1688" s="126">
        <f>IF(E1688&gt;=5000,"🏆 Platinum",IF(E1688&gt;=2000,"🥇 Gold",IF(E1688&gt;=800,"🥈 Silver","🥉 Bronze")))</f>
        <v/>
      </c>
      <c r="L1688" s="129" t="n">
        <v>40828</v>
      </c>
    </row>
    <row r="1689">
      <c r="A1689" s="122" t="n">
        <v>14643</v>
      </c>
      <c r="B1689" s="122" t="inlineStr">
        <is>
          <t>United Kingdom</t>
        </is>
      </c>
      <c r="C1689" s="122" t="n">
        <v>171</v>
      </c>
      <c r="D1689" s="122" t="n">
        <v>2</v>
      </c>
      <c r="E1689" s="123" t="n">
        <v>693.8099999999999</v>
      </c>
      <c r="F1689" s="124">
        <f>IF(C1689&lt;=30,5,IF(C1689&lt;=60,4,IF(C1689&lt;=120,3,IF(C1689&lt;=200,2,1))))</f>
        <v/>
      </c>
      <c r="G1689" s="124">
        <f>IF(D1689&gt;=20,5,IF(D1689&gt;=10,4,IF(D1689&gt;=5,3,IF(D1689&gt;=2,2,1))))</f>
        <v/>
      </c>
      <c r="H1689" s="124">
        <f>IF(E1689&gt;=5000,5,IF(E1689&gt;=2000,4,IF(E1689&gt;=800,3,IF(E1689&gt;=300,2,1))))</f>
        <v/>
      </c>
      <c r="I1689" s="122">
        <f>TEXT(F1689,"0")&amp;TEXT(G1689,"0")&amp;TEXT(H1689,"0")</f>
        <v/>
      </c>
      <c r="J1689" s="122">
        <f>IFERROR(XLOOKUP(I1689,'Segment Map'!A:A,'Segment Map'!B:B,"Need Attention"),"Need Attention")</f>
        <v/>
      </c>
      <c r="K1689" s="122">
        <f>IF(E1689&gt;=5000,"🏆 Platinum",IF(E1689&gt;=2000,"🥇 Gold",IF(E1689&gt;=800,"🥈 Silver","🥉 Bronze")))</f>
        <v/>
      </c>
      <c r="L1689" s="125" t="n">
        <v>40716</v>
      </c>
    </row>
    <row r="1690">
      <c r="A1690" s="126" t="n">
        <v>14644</v>
      </c>
      <c r="B1690" s="126" t="inlineStr">
        <is>
          <t>United Kingdom</t>
        </is>
      </c>
      <c r="C1690" s="126" t="n">
        <v>68</v>
      </c>
      <c r="D1690" s="126" t="n">
        <v>2</v>
      </c>
      <c r="E1690" s="127" t="n">
        <v>830.76</v>
      </c>
      <c r="F1690" s="128">
        <f>IF(C1690&lt;=30,5,IF(C1690&lt;=60,4,IF(C1690&lt;=120,3,IF(C1690&lt;=200,2,1))))</f>
        <v/>
      </c>
      <c r="G1690" s="128">
        <f>IF(D1690&gt;=20,5,IF(D1690&gt;=10,4,IF(D1690&gt;=5,3,IF(D1690&gt;=2,2,1))))</f>
        <v/>
      </c>
      <c r="H1690" s="128">
        <f>IF(E1690&gt;=5000,5,IF(E1690&gt;=2000,4,IF(E1690&gt;=800,3,IF(E1690&gt;=300,2,1))))</f>
        <v/>
      </c>
      <c r="I1690" s="126">
        <f>TEXT(F1690,"0")&amp;TEXT(G1690,"0")&amp;TEXT(H1690,"0")</f>
        <v/>
      </c>
      <c r="J1690" s="126">
        <f>IFERROR(XLOOKUP(I1690,'Segment Map'!A:A,'Segment Map'!B:B,"Need Attention"),"Need Attention")</f>
        <v/>
      </c>
      <c r="K1690" s="126">
        <f>IF(E1690&gt;=5000,"🏆 Platinum",IF(E1690&gt;=2000,"🥇 Gold",IF(E1690&gt;=800,"🥈 Silver","🥉 Bronze")))</f>
        <v/>
      </c>
      <c r="L1690" s="129" t="n">
        <v>40819</v>
      </c>
    </row>
    <row r="1691">
      <c r="A1691" s="122" t="n">
        <v>14645</v>
      </c>
      <c r="B1691" s="122" t="inlineStr">
        <is>
          <t>United Kingdom</t>
        </is>
      </c>
      <c r="C1691" s="122" t="n">
        <v>157</v>
      </c>
      <c r="D1691" s="122" t="n">
        <v>2</v>
      </c>
      <c r="E1691" s="123" t="n">
        <v>597.09</v>
      </c>
      <c r="F1691" s="124">
        <f>IF(C1691&lt;=30,5,IF(C1691&lt;=60,4,IF(C1691&lt;=120,3,IF(C1691&lt;=200,2,1))))</f>
        <v/>
      </c>
      <c r="G1691" s="124">
        <f>IF(D1691&gt;=20,5,IF(D1691&gt;=10,4,IF(D1691&gt;=5,3,IF(D1691&gt;=2,2,1))))</f>
        <v/>
      </c>
      <c r="H1691" s="124">
        <f>IF(E1691&gt;=5000,5,IF(E1691&gt;=2000,4,IF(E1691&gt;=800,3,IF(E1691&gt;=300,2,1))))</f>
        <v/>
      </c>
      <c r="I1691" s="122">
        <f>TEXT(F1691,"0")&amp;TEXT(G1691,"0")&amp;TEXT(H1691,"0")</f>
        <v/>
      </c>
      <c r="J1691" s="122">
        <f>IFERROR(XLOOKUP(I1691,'Segment Map'!A:A,'Segment Map'!B:B,"Need Attention"),"Need Attention")</f>
        <v/>
      </c>
      <c r="K1691" s="122">
        <f>IF(E1691&gt;=5000,"🏆 Platinum",IF(E1691&gt;=2000,"🥇 Gold",IF(E1691&gt;=800,"🥈 Silver","🥉 Bronze")))</f>
        <v/>
      </c>
      <c r="L1691" s="125" t="n">
        <v>40730</v>
      </c>
    </row>
    <row r="1692">
      <c r="A1692" s="126" t="n">
        <v>14646</v>
      </c>
      <c r="B1692" s="126" t="inlineStr">
        <is>
          <t>Netherlands</t>
        </is>
      </c>
      <c r="C1692" s="126" t="n">
        <v>2</v>
      </c>
      <c r="D1692" s="126" t="n">
        <v>73</v>
      </c>
      <c r="E1692" s="127" t="n">
        <v>280206.02</v>
      </c>
      <c r="F1692" s="128">
        <f>IF(C1692&lt;=30,5,IF(C1692&lt;=60,4,IF(C1692&lt;=120,3,IF(C1692&lt;=200,2,1))))</f>
        <v/>
      </c>
      <c r="G1692" s="128">
        <f>IF(D1692&gt;=20,5,IF(D1692&gt;=10,4,IF(D1692&gt;=5,3,IF(D1692&gt;=2,2,1))))</f>
        <v/>
      </c>
      <c r="H1692" s="128">
        <f>IF(E1692&gt;=5000,5,IF(E1692&gt;=2000,4,IF(E1692&gt;=800,3,IF(E1692&gt;=300,2,1))))</f>
        <v/>
      </c>
      <c r="I1692" s="126">
        <f>TEXT(F1692,"0")&amp;TEXT(G1692,"0")&amp;TEXT(H1692,"0")</f>
        <v/>
      </c>
      <c r="J1692" s="126">
        <f>IFERROR(XLOOKUP(I1692,'Segment Map'!A:A,'Segment Map'!B:B,"Need Attention"),"Need Attention")</f>
        <v/>
      </c>
      <c r="K1692" s="126">
        <f>IF(E1692&gt;=5000,"🏆 Platinum",IF(E1692&gt;=2000,"🥇 Gold",IF(E1692&gt;=800,"🥈 Silver","🥉 Bronze")))</f>
        <v/>
      </c>
      <c r="L1692" s="129" t="n">
        <v>40885</v>
      </c>
    </row>
    <row r="1693">
      <c r="A1693" s="122" t="n">
        <v>14647</v>
      </c>
      <c r="B1693" s="122" t="inlineStr">
        <is>
          <t>United Kingdom</t>
        </is>
      </c>
      <c r="C1693" s="122" t="n">
        <v>202</v>
      </c>
      <c r="D1693" s="122" t="n">
        <v>1</v>
      </c>
      <c r="E1693" s="123" t="n">
        <v>243.22</v>
      </c>
      <c r="F1693" s="124">
        <f>IF(C1693&lt;=30,5,IF(C1693&lt;=60,4,IF(C1693&lt;=120,3,IF(C1693&lt;=200,2,1))))</f>
        <v/>
      </c>
      <c r="G1693" s="124">
        <f>IF(D1693&gt;=20,5,IF(D1693&gt;=10,4,IF(D1693&gt;=5,3,IF(D1693&gt;=2,2,1))))</f>
        <v/>
      </c>
      <c r="H1693" s="124">
        <f>IF(E1693&gt;=5000,5,IF(E1693&gt;=2000,4,IF(E1693&gt;=800,3,IF(E1693&gt;=300,2,1))))</f>
        <v/>
      </c>
      <c r="I1693" s="122">
        <f>TEXT(F1693,"0")&amp;TEXT(G1693,"0")&amp;TEXT(H1693,"0")</f>
        <v/>
      </c>
      <c r="J1693" s="122">
        <f>IFERROR(XLOOKUP(I1693,'Segment Map'!A:A,'Segment Map'!B:B,"Need Attention"),"Need Attention")</f>
        <v/>
      </c>
      <c r="K1693" s="122">
        <f>IF(E1693&gt;=5000,"🏆 Platinum",IF(E1693&gt;=2000,"🥇 Gold",IF(E1693&gt;=800,"🥈 Silver","🥉 Bronze")))</f>
        <v/>
      </c>
      <c r="L1693" s="125" t="n">
        <v>40685</v>
      </c>
    </row>
    <row r="1694">
      <c r="A1694" s="126" t="n">
        <v>14649</v>
      </c>
      <c r="B1694" s="126" t="inlineStr">
        <is>
          <t>United Kingdom</t>
        </is>
      </c>
      <c r="C1694" s="126" t="n">
        <v>5</v>
      </c>
      <c r="D1694" s="126" t="n">
        <v>4</v>
      </c>
      <c r="E1694" s="127" t="n">
        <v>1417.29</v>
      </c>
      <c r="F1694" s="128">
        <f>IF(C1694&lt;=30,5,IF(C1694&lt;=60,4,IF(C1694&lt;=120,3,IF(C1694&lt;=200,2,1))))</f>
        <v/>
      </c>
      <c r="G1694" s="128">
        <f>IF(D1694&gt;=20,5,IF(D1694&gt;=10,4,IF(D1694&gt;=5,3,IF(D1694&gt;=2,2,1))))</f>
        <v/>
      </c>
      <c r="H1694" s="128">
        <f>IF(E1694&gt;=5000,5,IF(E1694&gt;=2000,4,IF(E1694&gt;=800,3,IF(E1694&gt;=300,2,1))))</f>
        <v/>
      </c>
      <c r="I1694" s="126">
        <f>TEXT(F1694,"0")&amp;TEXT(G1694,"0")&amp;TEXT(H1694,"0")</f>
        <v/>
      </c>
      <c r="J1694" s="126">
        <f>IFERROR(XLOOKUP(I1694,'Segment Map'!A:A,'Segment Map'!B:B,"Need Attention"),"Need Attention")</f>
        <v/>
      </c>
      <c r="K1694" s="126">
        <f>IF(E1694&gt;=5000,"🏆 Platinum",IF(E1694&gt;=2000,"🥇 Gold",IF(E1694&gt;=800,"🥈 Silver","🥉 Bronze")))</f>
        <v/>
      </c>
      <c r="L1694" s="129" t="n">
        <v>40882</v>
      </c>
    </row>
    <row r="1695">
      <c r="A1695" s="122" t="n">
        <v>14651</v>
      </c>
      <c r="B1695" s="122" t="inlineStr">
        <is>
          <t>United Kingdom</t>
        </is>
      </c>
      <c r="C1695" s="122" t="n">
        <v>68</v>
      </c>
      <c r="D1695" s="122" t="n">
        <v>2</v>
      </c>
      <c r="E1695" s="123" t="n">
        <v>654.6</v>
      </c>
      <c r="F1695" s="124">
        <f>IF(C1695&lt;=30,5,IF(C1695&lt;=60,4,IF(C1695&lt;=120,3,IF(C1695&lt;=200,2,1))))</f>
        <v/>
      </c>
      <c r="G1695" s="124">
        <f>IF(D1695&gt;=20,5,IF(D1695&gt;=10,4,IF(D1695&gt;=5,3,IF(D1695&gt;=2,2,1))))</f>
        <v/>
      </c>
      <c r="H1695" s="124">
        <f>IF(E1695&gt;=5000,5,IF(E1695&gt;=2000,4,IF(E1695&gt;=800,3,IF(E1695&gt;=300,2,1))))</f>
        <v/>
      </c>
      <c r="I1695" s="122">
        <f>TEXT(F1695,"0")&amp;TEXT(G1695,"0")&amp;TEXT(H1695,"0")</f>
        <v/>
      </c>
      <c r="J1695" s="122">
        <f>IFERROR(XLOOKUP(I1695,'Segment Map'!A:A,'Segment Map'!B:B,"Need Attention"),"Need Attention")</f>
        <v/>
      </c>
      <c r="K1695" s="122">
        <f>IF(E1695&gt;=5000,"🏆 Platinum",IF(E1695&gt;=2000,"🥇 Gold",IF(E1695&gt;=800,"🥈 Silver","🥉 Bronze")))</f>
        <v/>
      </c>
      <c r="L1695" s="125" t="n">
        <v>40819</v>
      </c>
    </row>
    <row r="1696">
      <c r="A1696" s="126" t="n">
        <v>14652</v>
      </c>
      <c r="B1696" s="126" t="inlineStr">
        <is>
          <t>United Kingdom</t>
        </is>
      </c>
      <c r="C1696" s="126" t="n">
        <v>78</v>
      </c>
      <c r="D1696" s="126" t="n">
        <v>1</v>
      </c>
      <c r="E1696" s="127" t="n">
        <v>114.18</v>
      </c>
      <c r="F1696" s="128">
        <f>IF(C1696&lt;=30,5,IF(C1696&lt;=60,4,IF(C1696&lt;=120,3,IF(C1696&lt;=200,2,1))))</f>
        <v/>
      </c>
      <c r="G1696" s="128">
        <f>IF(D1696&gt;=20,5,IF(D1696&gt;=10,4,IF(D1696&gt;=5,3,IF(D1696&gt;=2,2,1))))</f>
        <v/>
      </c>
      <c r="H1696" s="128">
        <f>IF(E1696&gt;=5000,5,IF(E1696&gt;=2000,4,IF(E1696&gt;=800,3,IF(E1696&gt;=300,2,1))))</f>
        <v/>
      </c>
      <c r="I1696" s="126">
        <f>TEXT(F1696,"0")&amp;TEXT(G1696,"0")&amp;TEXT(H1696,"0")</f>
        <v/>
      </c>
      <c r="J1696" s="126">
        <f>IFERROR(XLOOKUP(I1696,'Segment Map'!A:A,'Segment Map'!B:B,"Need Attention"),"Need Attention")</f>
        <v/>
      </c>
      <c r="K1696" s="126">
        <f>IF(E1696&gt;=5000,"🏆 Platinum",IF(E1696&gt;=2000,"🥇 Gold",IF(E1696&gt;=800,"🥈 Silver","🥉 Bronze")))</f>
        <v/>
      </c>
      <c r="L1696" s="129" t="n">
        <v>40809</v>
      </c>
    </row>
    <row r="1697">
      <c r="A1697" s="122" t="n">
        <v>14653</v>
      </c>
      <c r="B1697" s="122" t="inlineStr">
        <is>
          <t>United Kingdom</t>
        </is>
      </c>
      <c r="C1697" s="122" t="n">
        <v>2</v>
      </c>
      <c r="D1697" s="122" t="n">
        <v>7</v>
      </c>
      <c r="E1697" s="123" t="n">
        <v>1947.55</v>
      </c>
      <c r="F1697" s="124">
        <f>IF(C1697&lt;=30,5,IF(C1697&lt;=60,4,IF(C1697&lt;=120,3,IF(C1697&lt;=200,2,1))))</f>
        <v/>
      </c>
      <c r="G1697" s="124">
        <f>IF(D1697&gt;=20,5,IF(D1697&gt;=10,4,IF(D1697&gt;=5,3,IF(D1697&gt;=2,2,1))))</f>
        <v/>
      </c>
      <c r="H1697" s="124">
        <f>IF(E1697&gt;=5000,5,IF(E1697&gt;=2000,4,IF(E1697&gt;=800,3,IF(E1697&gt;=300,2,1))))</f>
        <v/>
      </c>
      <c r="I1697" s="122">
        <f>TEXT(F1697,"0")&amp;TEXT(G1697,"0")&amp;TEXT(H1697,"0")</f>
        <v/>
      </c>
      <c r="J1697" s="122">
        <f>IFERROR(XLOOKUP(I1697,'Segment Map'!A:A,'Segment Map'!B:B,"Need Attention"),"Need Attention")</f>
        <v/>
      </c>
      <c r="K1697" s="122">
        <f>IF(E1697&gt;=5000,"🏆 Platinum",IF(E1697&gt;=2000,"🥇 Gold",IF(E1697&gt;=800,"🥈 Silver","🥉 Bronze")))</f>
        <v/>
      </c>
      <c r="L1697" s="125" t="n">
        <v>40885</v>
      </c>
    </row>
    <row r="1698">
      <c r="A1698" s="126" t="n">
        <v>14655</v>
      </c>
      <c r="B1698" s="126" t="inlineStr">
        <is>
          <t>United Kingdom</t>
        </is>
      </c>
      <c r="C1698" s="126" t="n">
        <v>9</v>
      </c>
      <c r="D1698" s="126" t="n">
        <v>4</v>
      </c>
      <c r="E1698" s="127" t="n">
        <v>1932.23</v>
      </c>
      <c r="F1698" s="128">
        <f>IF(C1698&lt;=30,5,IF(C1698&lt;=60,4,IF(C1698&lt;=120,3,IF(C1698&lt;=200,2,1))))</f>
        <v/>
      </c>
      <c r="G1698" s="128">
        <f>IF(D1698&gt;=20,5,IF(D1698&gt;=10,4,IF(D1698&gt;=5,3,IF(D1698&gt;=2,2,1))))</f>
        <v/>
      </c>
      <c r="H1698" s="128">
        <f>IF(E1698&gt;=5000,5,IF(E1698&gt;=2000,4,IF(E1698&gt;=800,3,IF(E1698&gt;=300,2,1))))</f>
        <v/>
      </c>
      <c r="I1698" s="126">
        <f>TEXT(F1698,"0")&amp;TEXT(G1698,"0")&amp;TEXT(H1698,"0")</f>
        <v/>
      </c>
      <c r="J1698" s="126">
        <f>IFERROR(XLOOKUP(I1698,'Segment Map'!A:A,'Segment Map'!B:B,"Need Attention"),"Need Attention")</f>
        <v/>
      </c>
      <c r="K1698" s="126">
        <f>IF(E1698&gt;=5000,"🏆 Platinum",IF(E1698&gt;=2000,"🥇 Gold",IF(E1698&gt;=800,"🥈 Silver","🥉 Bronze")))</f>
        <v/>
      </c>
      <c r="L1698" s="129" t="n">
        <v>40878</v>
      </c>
    </row>
    <row r="1699">
      <c r="A1699" s="122" t="n">
        <v>14656</v>
      </c>
      <c r="B1699" s="122" t="inlineStr">
        <is>
          <t>United Kingdom</t>
        </is>
      </c>
      <c r="C1699" s="122" t="n">
        <v>170</v>
      </c>
      <c r="D1699" s="122" t="n">
        <v>2</v>
      </c>
      <c r="E1699" s="123" t="n">
        <v>291.05</v>
      </c>
      <c r="F1699" s="124">
        <f>IF(C1699&lt;=30,5,IF(C1699&lt;=60,4,IF(C1699&lt;=120,3,IF(C1699&lt;=200,2,1))))</f>
        <v/>
      </c>
      <c r="G1699" s="124">
        <f>IF(D1699&gt;=20,5,IF(D1699&gt;=10,4,IF(D1699&gt;=5,3,IF(D1699&gt;=2,2,1))))</f>
        <v/>
      </c>
      <c r="H1699" s="124">
        <f>IF(E1699&gt;=5000,5,IF(E1699&gt;=2000,4,IF(E1699&gt;=800,3,IF(E1699&gt;=300,2,1))))</f>
        <v/>
      </c>
      <c r="I1699" s="122">
        <f>TEXT(F1699,"0")&amp;TEXT(G1699,"0")&amp;TEXT(H1699,"0")</f>
        <v/>
      </c>
      <c r="J1699" s="122">
        <f>IFERROR(XLOOKUP(I1699,'Segment Map'!A:A,'Segment Map'!B:B,"Need Attention"),"Need Attention")</f>
        <v/>
      </c>
      <c r="K1699" s="122">
        <f>IF(E1699&gt;=5000,"🏆 Platinum",IF(E1699&gt;=2000,"🥇 Gold",IF(E1699&gt;=800,"🥈 Silver","🥉 Bronze")))</f>
        <v/>
      </c>
      <c r="L1699" s="125" t="n">
        <v>40717</v>
      </c>
    </row>
    <row r="1700">
      <c r="A1700" s="126" t="n">
        <v>14657</v>
      </c>
      <c r="B1700" s="126" t="inlineStr">
        <is>
          <t>United Kingdom</t>
        </is>
      </c>
      <c r="C1700" s="126" t="n">
        <v>18</v>
      </c>
      <c r="D1700" s="126" t="n">
        <v>4</v>
      </c>
      <c r="E1700" s="127" t="n">
        <v>848.22</v>
      </c>
      <c r="F1700" s="128">
        <f>IF(C1700&lt;=30,5,IF(C1700&lt;=60,4,IF(C1700&lt;=120,3,IF(C1700&lt;=200,2,1))))</f>
        <v/>
      </c>
      <c r="G1700" s="128">
        <f>IF(D1700&gt;=20,5,IF(D1700&gt;=10,4,IF(D1700&gt;=5,3,IF(D1700&gt;=2,2,1))))</f>
        <v/>
      </c>
      <c r="H1700" s="128">
        <f>IF(E1700&gt;=5000,5,IF(E1700&gt;=2000,4,IF(E1700&gt;=800,3,IF(E1700&gt;=300,2,1))))</f>
        <v/>
      </c>
      <c r="I1700" s="126">
        <f>TEXT(F1700,"0")&amp;TEXT(G1700,"0")&amp;TEXT(H1700,"0")</f>
        <v/>
      </c>
      <c r="J1700" s="126">
        <f>IFERROR(XLOOKUP(I1700,'Segment Map'!A:A,'Segment Map'!B:B,"Need Attention"),"Need Attention")</f>
        <v/>
      </c>
      <c r="K1700" s="126">
        <f>IF(E1700&gt;=5000,"🏆 Platinum",IF(E1700&gt;=2000,"🥇 Gold",IF(E1700&gt;=800,"🥈 Silver","🥉 Bronze")))</f>
        <v/>
      </c>
      <c r="L1700" s="129" t="n">
        <v>40869</v>
      </c>
    </row>
    <row r="1701">
      <c r="A1701" s="122" t="n">
        <v>14658</v>
      </c>
      <c r="B1701" s="122" t="inlineStr">
        <is>
          <t>United Kingdom</t>
        </is>
      </c>
      <c r="C1701" s="122" t="n">
        <v>6</v>
      </c>
      <c r="D1701" s="122" t="n">
        <v>2</v>
      </c>
      <c r="E1701" s="123" t="n">
        <v>247.15</v>
      </c>
      <c r="F1701" s="124">
        <f>IF(C1701&lt;=30,5,IF(C1701&lt;=60,4,IF(C1701&lt;=120,3,IF(C1701&lt;=200,2,1))))</f>
        <v/>
      </c>
      <c r="G1701" s="124">
        <f>IF(D1701&gt;=20,5,IF(D1701&gt;=10,4,IF(D1701&gt;=5,3,IF(D1701&gt;=2,2,1))))</f>
        <v/>
      </c>
      <c r="H1701" s="124">
        <f>IF(E1701&gt;=5000,5,IF(E1701&gt;=2000,4,IF(E1701&gt;=800,3,IF(E1701&gt;=300,2,1))))</f>
        <v/>
      </c>
      <c r="I1701" s="122">
        <f>TEXT(F1701,"0")&amp;TEXT(G1701,"0")&amp;TEXT(H1701,"0")</f>
        <v/>
      </c>
      <c r="J1701" s="122">
        <f>IFERROR(XLOOKUP(I1701,'Segment Map'!A:A,'Segment Map'!B:B,"Need Attention"),"Need Attention")</f>
        <v/>
      </c>
      <c r="K1701" s="122">
        <f>IF(E1701&gt;=5000,"🏆 Platinum",IF(E1701&gt;=2000,"🥇 Gold",IF(E1701&gt;=800,"🥈 Silver","🥉 Bronze")))</f>
        <v/>
      </c>
      <c r="L1701" s="125" t="n">
        <v>40881</v>
      </c>
    </row>
    <row r="1702">
      <c r="A1702" s="126" t="n">
        <v>14659</v>
      </c>
      <c r="B1702" s="126" t="inlineStr">
        <is>
          <t>United Kingdom</t>
        </is>
      </c>
      <c r="C1702" s="126" t="n">
        <v>9</v>
      </c>
      <c r="D1702" s="126" t="n">
        <v>9</v>
      </c>
      <c r="E1702" s="127" t="n">
        <v>2529.93</v>
      </c>
      <c r="F1702" s="128">
        <f>IF(C1702&lt;=30,5,IF(C1702&lt;=60,4,IF(C1702&lt;=120,3,IF(C1702&lt;=200,2,1))))</f>
        <v/>
      </c>
      <c r="G1702" s="128">
        <f>IF(D1702&gt;=20,5,IF(D1702&gt;=10,4,IF(D1702&gt;=5,3,IF(D1702&gt;=2,2,1))))</f>
        <v/>
      </c>
      <c r="H1702" s="128">
        <f>IF(E1702&gt;=5000,5,IF(E1702&gt;=2000,4,IF(E1702&gt;=800,3,IF(E1702&gt;=300,2,1))))</f>
        <v/>
      </c>
      <c r="I1702" s="126">
        <f>TEXT(F1702,"0")&amp;TEXT(G1702,"0")&amp;TEXT(H1702,"0")</f>
        <v/>
      </c>
      <c r="J1702" s="126">
        <f>IFERROR(XLOOKUP(I1702,'Segment Map'!A:A,'Segment Map'!B:B,"Need Attention"),"Need Attention")</f>
        <v/>
      </c>
      <c r="K1702" s="126">
        <f>IF(E1702&gt;=5000,"🏆 Platinum",IF(E1702&gt;=2000,"🥇 Gold",IF(E1702&gt;=800,"🥈 Silver","🥉 Bronze")))</f>
        <v/>
      </c>
      <c r="L1702" s="129" t="n">
        <v>40878</v>
      </c>
    </row>
    <row r="1703">
      <c r="A1703" s="122" t="n">
        <v>14660</v>
      </c>
      <c r="B1703" s="122" t="inlineStr">
        <is>
          <t>United Kingdom</t>
        </is>
      </c>
      <c r="C1703" s="122" t="n">
        <v>87</v>
      </c>
      <c r="D1703" s="122" t="n">
        <v>2</v>
      </c>
      <c r="E1703" s="123" t="n">
        <v>285.74</v>
      </c>
      <c r="F1703" s="124">
        <f>IF(C1703&lt;=30,5,IF(C1703&lt;=60,4,IF(C1703&lt;=120,3,IF(C1703&lt;=200,2,1))))</f>
        <v/>
      </c>
      <c r="G1703" s="124">
        <f>IF(D1703&gt;=20,5,IF(D1703&gt;=10,4,IF(D1703&gt;=5,3,IF(D1703&gt;=2,2,1))))</f>
        <v/>
      </c>
      <c r="H1703" s="124">
        <f>IF(E1703&gt;=5000,5,IF(E1703&gt;=2000,4,IF(E1703&gt;=800,3,IF(E1703&gt;=300,2,1))))</f>
        <v/>
      </c>
      <c r="I1703" s="122">
        <f>TEXT(F1703,"0")&amp;TEXT(G1703,"0")&amp;TEXT(H1703,"0")</f>
        <v/>
      </c>
      <c r="J1703" s="122">
        <f>IFERROR(XLOOKUP(I1703,'Segment Map'!A:A,'Segment Map'!B:B,"Need Attention"),"Need Attention")</f>
        <v/>
      </c>
      <c r="K1703" s="122">
        <f>IF(E1703&gt;=5000,"🏆 Platinum",IF(E1703&gt;=2000,"🥇 Gold",IF(E1703&gt;=800,"🥈 Silver","🥉 Bronze")))</f>
        <v/>
      </c>
      <c r="L1703" s="125" t="n">
        <v>40800</v>
      </c>
    </row>
    <row r="1704">
      <c r="A1704" s="126" t="n">
        <v>14661</v>
      </c>
      <c r="B1704" s="126" t="inlineStr">
        <is>
          <t>United Kingdom</t>
        </is>
      </c>
      <c r="C1704" s="126" t="n">
        <v>27</v>
      </c>
      <c r="D1704" s="126" t="n">
        <v>1</v>
      </c>
      <c r="E1704" s="127" t="n">
        <v>107.95</v>
      </c>
      <c r="F1704" s="128">
        <f>IF(C1704&lt;=30,5,IF(C1704&lt;=60,4,IF(C1704&lt;=120,3,IF(C1704&lt;=200,2,1))))</f>
        <v/>
      </c>
      <c r="G1704" s="128">
        <f>IF(D1704&gt;=20,5,IF(D1704&gt;=10,4,IF(D1704&gt;=5,3,IF(D1704&gt;=2,2,1))))</f>
        <v/>
      </c>
      <c r="H1704" s="128">
        <f>IF(E1704&gt;=5000,5,IF(E1704&gt;=2000,4,IF(E1704&gt;=800,3,IF(E1704&gt;=300,2,1))))</f>
        <v/>
      </c>
      <c r="I1704" s="126">
        <f>TEXT(F1704,"0")&amp;TEXT(G1704,"0")&amp;TEXT(H1704,"0")</f>
        <v/>
      </c>
      <c r="J1704" s="126">
        <f>IFERROR(XLOOKUP(I1704,'Segment Map'!A:A,'Segment Map'!B:B,"Need Attention"),"Need Attention")</f>
        <v/>
      </c>
      <c r="K1704" s="126">
        <f>IF(E1704&gt;=5000,"🏆 Platinum",IF(E1704&gt;=2000,"🥇 Gold",IF(E1704&gt;=800,"🥈 Silver","🥉 Bronze")))</f>
        <v/>
      </c>
      <c r="L1704" s="129" t="n">
        <v>40860</v>
      </c>
    </row>
    <row r="1705">
      <c r="A1705" s="122" t="n">
        <v>14662</v>
      </c>
      <c r="B1705" s="122" t="inlineStr">
        <is>
          <t>United Kingdom</t>
        </is>
      </c>
      <c r="C1705" s="122" t="n">
        <v>29</v>
      </c>
      <c r="D1705" s="122" t="n">
        <v>4</v>
      </c>
      <c r="E1705" s="123" t="n">
        <v>771.17</v>
      </c>
      <c r="F1705" s="124">
        <f>IF(C1705&lt;=30,5,IF(C1705&lt;=60,4,IF(C1705&lt;=120,3,IF(C1705&lt;=200,2,1))))</f>
        <v/>
      </c>
      <c r="G1705" s="124">
        <f>IF(D1705&gt;=20,5,IF(D1705&gt;=10,4,IF(D1705&gt;=5,3,IF(D1705&gt;=2,2,1))))</f>
        <v/>
      </c>
      <c r="H1705" s="124">
        <f>IF(E1705&gt;=5000,5,IF(E1705&gt;=2000,4,IF(E1705&gt;=800,3,IF(E1705&gt;=300,2,1))))</f>
        <v/>
      </c>
      <c r="I1705" s="122">
        <f>TEXT(F1705,"0")&amp;TEXT(G1705,"0")&amp;TEXT(H1705,"0")</f>
        <v/>
      </c>
      <c r="J1705" s="122">
        <f>IFERROR(XLOOKUP(I1705,'Segment Map'!A:A,'Segment Map'!B:B,"Need Attention"),"Need Attention")</f>
        <v/>
      </c>
      <c r="K1705" s="122">
        <f>IF(E1705&gt;=5000,"🏆 Platinum",IF(E1705&gt;=2000,"🥇 Gold",IF(E1705&gt;=800,"🥈 Silver","🥉 Bronze")))</f>
        <v/>
      </c>
      <c r="L1705" s="125" t="n">
        <v>40858</v>
      </c>
    </row>
    <row r="1706">
      <c r="A1706" s="126" t="n">
        <v>14664</v>
      </c>
      <c r="B1706" s="126" t="inlineStr">
        <is>
          <t>United Kingdom</t>
        </is>
      </c>
      <c r="C1706" s="126" t="n">
        <v>20</v>
      </c>
      <c r="D1706" s="126" t="n">
        <v>2</v>
      </c>
      <c r="E1706" s="127" t="n">
        <v>637.89</v>
      </c>
      <c r="F1706" s="128">
        <f>IF(C1706&lt;=30,5,IF(C1706&lt;=60,4,IF(C1706&lt;=120,3,IF(C1706&lt;=200,2,1))))</f>
        <v/>
      </c>
      <c r="G1706" s="128">
        <f>IF(D1706&gt;=20,5,IF(D1706&gt;=10,4,IF(D1706&gt;=5,3,IF(D1706&gt;=2,2,1))))</f>
        <v/>
      </c>
      <c r="H1706" s="128">
        <f>IF(E1706&gt;=5000,5,IF(E1706&gt;=2000,4,IF(E1706&gt;=800,3,IF(E1706&gt;=300,2,1))))</f>
        <v/>
      </c>
      <c r="I1706" s="126">
        <f>TEXT(F1706,"0")&amp;TEXT(G1706,"0")&amp;TEXT(H1706,"0")</f>
        <v/>
      </c>
      <c r="J1706" s="126">
        <f>IFERROR(XLOOKUP(I1706,'Segment Map'!A:A,'Segment Map'!B:B,"Need Attention"),"Need Attention")</f>
        <v/>
      </c>
      <c r="K1706" s="126">
        <f>IF(E1706&gt;=5000,"🏆 Platinum",IF(E1706&gt;=2000,"🥇 Gold",IF(E1706&gt;=800,"🥈 Silver","🥉 Bronze")))</f>
        <v/>
      </c>
      <c r="L1706" s="129" t="n">
        <v>40867</v>
      </c>
    </row>
    <row r="1707">
      <c r="A1707" s="122" t="n">
        <v>14665</v>
      </c>
      <c r="B1707" s="122" t="inlineStr">
        <is>
          <t>United Kingdom</t>
        </is>
      </c>
      <c r="C1707" s="122" t="n">
        <v>61</v>
      </c>
      <c r="D1707" s="122" t="n">
        <v>5</v>
      </c>
      <c r="E1707" s="123" t="n">
        <v>1835.7</v>
      </c>
      <c r="F1707" s="124">
        <f>IF(C1707&lt;=30,5,IF(C1707&lt;=60,4,IF(C1707&lt;=120,3,IF(C1707&lt;=200,2,1))))</f>
        <v/>
      </c>
      <c r="G1707" s="124">
        <f>IF(D1707&gt;=20,5,IF(D1707&gt;=10,4,IF(D1707&gt;=5,3,IF(D1707&gt;=2,2,1))))</f>
        <v/>
      </c>
      <c r="H1707" s="124">
        <f>IF(E1707&gt;=5000,5,IF(E1707&gt;=2000,4,IF(E1707&gt;=800,3,IF(E1707&gt;=300,2,1))))</f>
        <v/>
      </c>
      <c r="I1707" s="122">
        <f>TEXT(F1707,"0")&amp;TEXT(G1707,"0")&amp;TEXT(H1707,"0")</f>
        <v/>
      </c>
      <c r="J1707" s="122">
        <f>IFERROR(XLOOKUP(I1707,'Segment Map'!A:A,'Segment Map'!B:B,"Need Attention"),"Need Attention")</f>
        <v/>
      </c>
      <c r="K1707" s="122">
        <f>IF(E1707&gt;=5000,"🏆 Platinum",IF(E1707&gt;=2000,"🥇 Gold",IF(E1707&gt;=800,"🥈 Silver","🥉 Bronze")))</f>
        <v/>
      </c>
      <c r="L1707" s="125" t="n">
        <v>40826</v>
      </c>
    </row>
    <row r="1708">
      <c r="A1708" s="126" t="n">
        <v>14666</v>
      </c>
      <c r="B1708" s="126" t="inlineStr">
        <is>
          <t>United Kingdom</t>
        </is>
      </c>
      <c r="C1708" s="126" t="n">
        <v>25</v>
      </c>
      <c r="D1708" s="126" t="n">
        <v>1</v>
      </c>
      <c r="E1708" s="127" t="n">
        <v>195.25</v>
      </c>
      <c r="F1708" s="128">
        <f>IF(C1708&lt;=30,5,IF(C1708&lt;=60,4,IF(C1708&lt;=120,3,IF(C1708&lt;=200,2,1))))</f>
        <v/>
      </c>
      <c r="G1708" s="128">
        <f>IF(D1708&gt;=20,5,IF(D1708&gt;=10,4,IF(D1708&gt;=5,3,IF(D1708&gt;=2,2,1))))</f>
        <v/>
      </c>
      <c r="H1708" s="128">
        <f>IF(E1708&gt;=5000,5,IF(E1708&gt;=2000,4,IF(E1708&gt;=800,3,IF(E1708&gt;=300,2,1))))</f>
        <v/>
      </c>
      <c r="I1708" s="126">
        <f>TEXT(F1708,"0")&amp;TEXT(G1708,"0")&amp;TEXT(H1708,"0")</f>
        <v/>
      </c>
      <c r="J1708" s="126">
        <f>IFERROR(XLOOKUP(I1708,'Segment Map'!A:A,'Segment Map'!B:B,"Need Attention"),"Need Attention")</f>
        <v/>
      </c>
      <c r="K1708" s="126">
        <f>IF(E1708&gt;=5000,"🏆 Platinum",IF(E1708&gt;=2000,"🥇 Gold",IF(E1708&gt;=800,"🥈 Silver","🥉 Bronze")))</f>
        <v/>
      </c>
      <c r="L1708" s="129" t="n">
        <v>40862</v>
      </c>
    </row>
    <row r="1709">
      <c r="A1709" s="122" t="n">
        <v>14667</v>
      </c>
      <c r="B1709" s="122" t="inlineStr">
        <is>
          <t>United Kingdom</t>
        </is>
      </c>
      <c r="C1709" s="122" t="n">
        <v>11</v>
      </c>
      <c r="D1709" s="122" t="n">
        <v>25</v>
      </c>
      <c r="E1709" s="123" t="n">
        <v>9241.200000000001</v>
      </c>
      <c r="F1709" s="124">
        <f>IF(C1709&lt;=30,5,IF(C1709&lt;=60,4,IF(C1709&lt;=120,3,IF(C1709&lt;=200,2,1))))</f>
        <v/>
      </c>
      <c r="G1709" s="124">
        <f>IF(D1709&gt;=20,5,IF(D1709&gt;=10,4,IF(D1709&gt;=5,3,IF(D1709&gt;=2,2,1))))</f>
        <v/>
      </c>
      <c r="H1709" s="124">
        <f>IF(E1709&gt;=5000,5,IF(E1709&gt;=2000,4,IF(E1709&gt;=800,3,IF(E1709&gt;=300,2,1))))</f>
        <v/>
      </c>
      <c r="I1709" s="122">
        <f>TEXT(F1709,"0")&amp;TEXT(G1709,"0")&amp;TEXT(H1709,"0")</f>
        <v/>
      </c>
      <c r="J1709" s="122">
        <f>IFERROR(XLOOKUP(I1709,'Segment Map'!A:A,'Segment Map'!B:B,"Need Attention"),"Need Attention")</f>
        <v/>
      </c>
      <c r="K1709" s="122">
        <f>IF(E1709&gt;=5000,"🏆 Platinum",IF(E1709&gt;=2000,"🥇 Gold",IF(E1709&gt;=800,"🥈 Silver","🥉 Bronze")))</f>
        <v/>
      </c>
      <c r="L1709" s="125" t="n">
        <v>40876</v>
      </c>
    </row>
    <row r="1710">
      <c r="A1710" s="126" t="n">
        <v>14669</v>
      </c>
      <c r="B1710" s="126" t="inlineStr">
        <is>
          <t>United Kingdom</t>
        </is>
      </c>
      <c r="C1710" s="126" t="n">
        <v>242</v>
      </c>
      <c r="D1710" s="126" t="n">
        <v>3</v>
      </c>
      <c r="E1710" s="127" t="n">
        <v>1269.99</v>
      </c>
      <c r="F1710" s="128">
        <f>IF(C1710&lt;=30,5,IF(C1710&lt;=60,4,IF(C1710&lt;=120,3,IF(C1710&lt;=200,2,1))))</f>
        <v/>
      </c>
      <c r="G1710" s="128">
        <f>IF(D1710&gt;=20,5,IF(D1710&gt;=10,4,IF(D1710&gt;=5,3,IF(D1710&gt;=2,2,1))))</f>
        <v/>
      </c>
      <c r="H1710" s="128">
        <f>IF(E1710&gt;=5000,5,IF(E1710&gt;=2000,4,IF(E1710&gt;=800,3,IF(E1710&gt;=300,2,1))))</f>
        <v/>
      </c>
      <c r="I1710" s="126">
        <f>TEXT(F1710,"0")&amp;TEXT(G1710,"0")&amp;TEXT(H1710,"0")</f>
        <v/>
      </c>
      <c r="J1710" s="126">
        <f>IFERROR(XLOOKUP(I1710,'Segment Map'!A:A,'Segment Map'!B:B,"Need Attention"),"Need Attention")</f>
        <v/>
      </c>
      <c r="K1710" s="126">
        <f>IF(E1710&gt;=5000,"🏆 Platinum",IF(E1710&gt;=2000,"🥇 Gold",IF(E1710&gt;=800,"🥈 Silver","🥉 Bronze")))</f>
        <v/>
      </c>
      <c r="L1710" s="129" t="n">
        <v>40645</v>
      </c>
    </row>
    <row r="1711">
      <c r="A1711" s="122" t="n">
        <v>14670</v>
      </c>
      <c r="B1711" s="122" t="inlineStr">
        <is>
          <t>United Kingdom</t>
        </is>
      </c>
      <c r="C1711" s="122" t="n">
        <v>281</v>
      </c>
      <c r="D1711" s="122" t="n">
        <v>2</v>
      </c>
      <c r="E1711" s="123" t="n">
        <v>411.53</v>
      </c>
      <c r="F1711" s="124">
        <f>IF(C1711&lt;=30,5,IF(C1711&lt;=60,4,IF(C1711&lt;=120,3,IF(C1711&lt;=200,2,1))))</f>
        <v/>
      </c>
      <c r="G1711" s="124">
        <f>IF(D1711&gt;=20,5,IF(D1711&gt;=10,4,IF(D1711&gt;=5,3,IF(D1711&gt;=2,2,1))))</f>
        <v/>
      </c>
      <c r="H1711" s="124">
        <f>IF(E1711&gt;=5000,5,IF(E1711&gt;=2000,4,IF(E1711&gt;=800,3,IF(E1711&gt;=300,2,1))))</f>
        <v/>
      </c>
      <c r="I1711" s="122">
        <f>TEXT(F1711,"0")&amp;TEXT(G1711,"0")&amp;TEXT(H1711,"0")</f>
        <v/>
      </c>
      <c r="J1711" s="122">
        <f>IFERROR(XLOOKUP(I1711,'Segment Map'!A:A,'Segment Map'!B:B,"Need Attention"),"Need Attention")</f>
        <v/>
      </c>
      <c r="K1711" s="122">
        <f>IF(E1711&gt;=5000,"🏆 Platinum",IF(E1711&gt;=2000,"🥇 Gold",IF(E1711&gt;=800,"🥈 Silver","🥉 Bronze")))</f>
        <v/>
      </c>
      <c r="L1711" s="125" t="n">
        <v>40606</v>
      </c>
    </row>
    <row r="1712">
      <c r="A1712" s="126" t="n">
        <v>14672</v>
      </c>
      <c r="B1712" s="126" t="inlineStr">
        <is>
          <t>United Kingdom</t>
        </is>
      </c>
      <c r="C1712" s="126" t="n">
        <v>235</v>
      </c>
      <c r="D1712" s="126" t="n">
        <v>2</v>
      </c>
      <c r="E1712" s="127" t="n">
        <v>765.55</v>
      </c>
      <c r="F1712" s="128">
        <f>IF(C1712&lt;=30,5,IF(C1712&lt;=60,4,IF(C1712&lt;=120,3,IF(C1712&lt;=200,2,1))))</f>
        <v/>
      </c>
      <c r="G1712" s="128">
        <f>IF(D1712&gt;=20,5,IF(D1712&gt;=10,4,IF(D1712&gt;=5,3,IF(D1712&gt;=2,2,1))))</f>
        <v/>
      </c>
      <c r="H1712" s="128">
        <f>IF(E1712&gt;=5000,5,IF(E1712&gt;=2000,4,IF(E1712&gt;=800,3,IF(E1712&gt;=300,2,1))))</f>
        <v/>
      </c>
      <c r="I1712" s="126">
        <f>TEXT(F1712,"0")&amp;TEXT(G1712,"0")&amp;TEXT(H1712,"0")</f>
        <v/>
      </c>
      <c r="J1712" s="126">
        <f>IFERROR(XLOOKUP(I1712,'Segment Map'!A:A,'Segment Map'!B:B,"Need Attention"),"Need Attention")</f>
        <v/>
      </c>
      <c r="K1712" s="126">
        <f>IF(E1712&gt;=5000,"🏆 Platinum",IF(E1712&gt;=2000,"🥇 Gold",IF(E1712&gt;=800,"🥈 Silver","🥉 Bronze")))</f>
        <v/>
      </c>
      <c r="L1712" s="129" t="n">
        <v>40652</v>
      </c>
    </row>
    <row r="1713">
      <c r="A1713" s="122" t="n">
        <v>14673</v>
      </c>
      <c r="B1713" s="122" t="inlineStr">
        <is>
          <t>United Kingdom</t>
        </is>
      </c>
      <c r="C1713" s="122" t="n">
        <v>4</v>
      </c>
      <c r="D1713" s="122" t="n">
        <v>5</v>
      </c>
      <c r="E1713" s="123" t="n">
        <v>1736.4</v>
      </c>
      <c r="F1713" s="124">
        <f>IF(C1713&lt;=30,5,IF(C1713&lt;=60,4,IF(C1713&lt;=120,3,IF(C1713&lt;=200,2,1))))</f>
        <v/>
      </c>
      <c r="G1713" s="124">
        <f>IF(D1713&gt;=20,5,IF(D1713&gt;=10,4,IF(D1713&gt;=5,3,IF(D1713&gt;=2,2,1))))</f>
        <v/>
      </c>
      <c r="H1713" s="124">
        <f>IF(E1713&gt;=5000,5,IF(E1713&gt;=2000,4,IF(E1713&gt;=800,3,IF(E1713&gt;=300,2,1))))</f>
        <v/>
      </c>
      <c r="I1713" s="122">
        <f>TEXT(F1713,"0")&amp;TEXT(G1713,"0")&amp;TEXT(H1713,"0")</f>
        <v/>
      </c>
      <c r="J1713" s="122">
        <f>IFERROR(XLOOKUP(I1713,'Segment Map'!A:A,'Segment Map'!B:B,"Need Attention"),"Need Attention")</f>
        <v/>
      </c>
      <c r="K1713" s="122">
        <f>IF(E1713&gt;=5000,"🏆 Platinum",IF(E1713&gt;=2000,"🥇 Gold",IF(E1713&gt;=800,"🥈 Silver","🥉 Bronze")))</f>
        <v/>
      </c>
      <c r="L1713" s="125" t="n">
        <v>40883</v>
      </c>
    </row>
    <row r="1714">
      <c r="A1714" s="126" t="n">
        <v>14675</v>
      </c>
      <c r="B1714" s="126" t="inlineStr">
        <is>
          <t>United Kingdom</t>
        </is>
      </c>
      <c r="C1714" s="126" t="n">
        <v>17</v>
      </c>
      <c r="D1714" s="126" t="n">
        <v>1</v>
      </c>
      <c r="E1714" s="127" t="n">
        <v>604.75</v>
      </c>
      <c r="F1714" s="128">
        <f>IF(C1714&lt;=30,5,IF(C1714&lt;=60,4,IF(C1714&lt;=120,3,IF(C1714&lt;=200,2,1))))</f>
        <v/>
      </c>
      <c r="G1714" s="128">
        <f>IF(D1714&gt;=20,5,IF(D1714&gt;=10,4,IF(D1714&gt;=5,3,IF(D1714&gt;=2,2,1))))</f>
        <v/>
      </c>
      <c r="H1714" s="128">
        <f>IF(E1714&gt;=5000,5,IF(E1714&gt;=2000,4,IF(E1714&gt;=800,3,IF(E1714&gt;=300,2,1))))</f>
        <v/>
      </c>
      <c r="I1714" s="126">
        <f>TEXT(F1714,"0")&amp;TEXT(G1714,"0")&amp;TEXT(H1714,"0")</f>
        <v/>
      </c>
      <c r="J1714" s="126">
        <f>IFERROR(XLOOKUP(I1714,'Segment Map'!A:A,'Segment Map'!B:B,"Need Attention"),"Need Attention")</f>
        <v/>
      </c>
      <c r="K1714" s="126">
        <f>IF(E1714&gt;=5000,"🏆 Platinum",IF(E1714&gt;=2000,"🥇 Gold",IF(E1714&gt;=800,"🥈 Silver","🥉 Bronze")))</f>
        <v/>
      </c>
      <c r="L1714" s="129" t="n">
        <v>40870</v>
      </c>
    </row>
    <row r="1715">
      <c r="A1715" s="122" t="n">
        <v>14676</v>
      </c>
      <c r="B1715" s="122" t="inlineStr">
        <is>
          <t>United Kingdom</t>
        </is>
      </c>
      <c r="C1715" s="122" t="n">
        <v>32</v>
      </c>
      <c r="D1715" s="122" t="n">
        <v>6</v>
      </c>
      <c r="E1715" s="123" t="n">
        <v>2548.24</v>
      </c>
      <c r="F1715" s="124">
        <f>IF(C1715&lt;=30,5,IF(C1715&lt;=60,4,IF(C1715&lt;=120,3,IF(C1715&lt;=200,2,1))))</f>
        <v/>
      </c>
      <c r="G1715" s="124">
        <f>IF(D1715&gt;=20,5,IF(D1715&gt;=10,4,IF(D1715&gt;=5,3,IF(D1715&gt;=2,2,1))))</f>
        <v/>
      </c>
      <c r="H1715" s="124">
        <f>IF(E1715&gt;=5000,5,IF(E1715&gt;=2000,4,IF(E1715&gt;=800,3,IF(E1715&gt;=300,2,1))))</f>
        <v/>
      </c>
      <c r="I1715" s="122">
        <f>TEXT(F1715,"0")&amp;TEXT(G1715,"0")&amp;TEXT(H1715,"0")</f>
        <v/>
      </c>
      <c r="J1715" s="122">
        <f>IFERROR(XLOOKUP(I1715,'Segment Map'!A:A,'Segment Map'!B:B,"Need Attention"),"Need Attention")</f>
        <v/>
      </c>
      <c r="K1715" s="122">
        <f>IF(E1715&gt;=5000,"🏆 Platinum",IF(E1715&gt;=2000,"🥇 Gold",IF(E1715&gt;=800,"🥈 Silver","🥉 Bronze")))</f>
        <v/>
      </c>
      <c r="L1715" s="125" t="n">
        <v>40855</v>
      </c>
    </row>
    <row r="1716">
      <c r="A1716" s="126" t="n">
        <v>14680</v>
      </c>
      <c r="B1716" s="126" t="inlineStr">
        <is>
          <t>United Kingdom</t>
        </is>
      </c>
      <c r="C1716" s="126" t="n">
        <v>26</v>
      </c>
      <c r="D1716" s="126" t="n">
        <v>16</v>
      </c>
      <c r="E1716" s="127" t="n">
        <v>28754.11</v>
      </c>
      <c r="F1716" s="128">
        <f>IF(C1716&lt;=30,5,IF(C1716&lt;=60,4,IF(C1716&lt;=120,3,IF(C1716&lt;=200,2,1))))</f>
        <v/>
      </c>
      <c r="G1716" s="128">
        <f>IF(D1716&gt;=20,5,IF(D1716&gt;=10,4,IF(D1716&gt;=5,3,IF(D1716&gt;=2,2,1))))</f>
        <v/>
      </c>
      <c r="H1716" s="128">
        <f>IF(E1716&gt;=5000,5,IF(E1716&gt;=2000,4,IF(E1716&gt;=800,3,IF(E1716&gt;=300,2,1))))</f>
        <v/>
      </c>
      <c r="I1716" s="126">
        <f>TEXT(F1716,"0")&amp;TEXT(G1716,"0")&amp;TEXT(H1716,"0")</f>
        <v/>
      </c>
      <c r="J1716" s="126">
        <f>IFERROR(XLOOKUP(I1716,'Segment Map'!A:A,'Segment Map'!B:B,"Need Attention"),"Need Attention")</f>
        <v/>
      </c>
      <c r="K1716" s="126">
        <f>IF(E1716&gt;=5000,"🏆 Platinum",IF(E1716&gt;=2000,"🥇 Gold",IF(E1716&gt;=800,"🥈 Silver","🥉 Bronze")))</f>
        <v/>
      </c>
      <c r="L1716" s="129" t="n">
        <v>40861</v>
      </c>
    </row>
    <row r="1717">
      <c r="A1717" s="122" t="n">
        <v>14681</v>
      </c>
      <c r="B1717" s="122" t="inlineStr">
        <is>
          <t>United Kingdom</t>
        </is>
      </c>
      <c r="C1717" s="122" t="n">
        <v>72</v>
      </c>
      <c r="D1717" s="122" t="n">
        <v>3</v>
      </c>
      <c r="E1717" s="123" t="n">
        <v>498.95</v>
      </c>
      <c r="F1717" s="124">
        <f>IF(C1717&lt;=30,5,IF(C1717&lt;=60,4,IF(C1717&lt;=120,3,IF(C1717&lt;=200,2,1))))</f>
        <v/>
      </c>
      <c r="G1717" s="124">
        <f>IF(D1717&gt;=20,5,IF(D1717&gt;=10,4,IF(D1717&gt;=5,3,IF(D1717&gt;=2,2,1))))</f>
        <v/>
      </c>
      <c r="H1717" s="124">
        <f>IF(E1717&gt;=5000,5,IF(E1717&gt;=2000,4,IF(E1717&gt;=800,3,IF(E1717&gt;=300,2,1))))</f>
        <v/>
      </c>
      <c r="I1717" s="122">
        <f>TEXT(F1717,"0")&amp;TEXT(G1717,"0")&amp;TEXT(H1717,"0")</f>
        <v/>
      </c>
      <c r="J1717" s="122">
        <f>IFERROR(XLOOKUP(I1717,'Segment Map'!A:A,'Segment Map'!B:B,"Need Attention"),"Need Attention")</f>
        <v/>
      </c>
      <c r="K1717" s="122">
        <f>IF(E1717&gt;=5000,"🏆 Platinum",IF(E1717&gt;=2000,"🥇 Gold",IF(E1717&gt;=800,"🥈 Silver","🥉 Bronze")))</f>
        <v/>
      </c>
      <c r="L1717" s="125" t="n">
        <v>40815</v>
      </c>
    </row>
    <row r="1718">
      <c r="A1718" s="126" t="n">
        <v>14682</v>
      </c>
      <c r="B1718" s="126" t="inlineStr">
        <is>
          <t>United Kingdom</t>
        </is>
      </c>
      <c r="C1718" s="126" t="n">
        <v>188</v>
      </c>
      <c r="D1718" s="126" t="n">
        <v>2</v>
      </c>
      <c r="E1718" s="127" t="n">
        <v>52</v>
      </c>
      <c r="F1718" s="128">
        <f>IF(C1718&lt;=30,5,IF(C1718&lt;=60,4,IF(C1718&lt;=120,3,IF(C1718&lt;=200,2,1))))</f>
        <v/>
      </c>
      <c r="G1718" s="128">
        <f>IF(D1718&gt;=20,5,IF(D1718&gt;=10,4,IF(D1718&gt;=5,3,IF(D1718&gt;=2,2,1))))</f>
        <v/>
      </c>
      <c r="H1718" s="128">
        <f>IF(E1718&gt;=5000,5,IF(E1718&gt;=2000,4,IF(E1718&gt;=800,3,IF(E1718&gt;=300,2,1))))</f>
        <v/>
      </c>
      <c r="I1718" s="126">
        <f>TEXT(F1718,"0")&amp;TEXT(G1718,"0")&amp;TEXT(H1718,"0")</f>
        <v/>
      </c>
      <c r="J1718" s="126">
        <f>IFERROR(XLOOKUP(I1718,'Segment Map'!A:A,'Segment Map'!B:B,"Need Attention"),"Need Attention")</f>
        <v/>
      </c>
      <c r="K1718" s="126">
        <f>IF(E1718&gt;=5000,"🏆 Platinum",IF(E1718&gt;=2000,"🥇 Gold",IF(E1718&gt;=800,"🥈 Silver","🥉 Bronze")))</f>
        <v/>
      </c>
      <c r="L1718" s="129" t="n">
        <v>40699</v>
      </c>
    </row>
    <row r="1719">
      <c r="A1719" s="122" t="n">
        <v>14684</v>
      </c>
      <c r="B1719" s="122" t="inlineStr">
        <is>
          <t>United Kingdom</t>
        </is>
      </c>
      <c r="C1719" s="122" t="n">
        <v>26</v>
      </c>
      <c r="D1719" s="122" t="n">
        <v>5</v>
      </c>
      <c r="E1719" s="123" t="n">
        <v>1236.28</v>
      </c>
      <c r="F1719" s="124">
        <f>IF(C1719&lt;=30,5,IF(C1719&lt;=60,4,IF(C1719&lt;=120,3,IF(C1719&lt;=200,2,1))))</f>
        <v/>
      </c>
      <c r="G1719" s="124">
        <f>IF(D1719&gt;=20,5,IF(D1719&gt;=10,4,IF(D1719&gt;=5,3,IF(D1719&gt;=2,2,1))))</f>
        <v/>
      </c>
      <c r="H1719" s="124">
        <f>IF(E1719&gt;=5000,5,IF(E1719&gt;=2000,4,IF(E1719&gt;=800,3,IF(E1719&gt;=300,2,1))))</f>
        <v/>
      </c>
      <c r="I1719" s="122">
        <f>TEXT(F1719,"0")&amp;TEXT(G1719,"0")&amp;TEXT(H1719,"0")</f>
        <v/>
      </c>
      <c r="J1719" s="122">
        <f>IFERROR(XLOOKUP(I1719,'Segment Map'!A:A,'Segment Map'!B:B,"Need Attention"),"Need Attention")</f>
        <v/>
      </c>
      <c r="K1719" s="122">
        <f>IF(E1719&gt;=5000,"🏆 Platinum",IF(E1719&gt;=2000,"🥇 Gold",IF(E1719&gt;=800,"🥈 Silver","🥉 Bronze")))</f>
        <v/>
      </c>
      <c r="L1719" s="125" t="n">
        <v>40861</v>
      </c>
    </row>
    <row r="1720">
      <c r="A1720" s="126" t="n">
        <v>14687</v>
      </c>
      <c r="B1720" s="126" t="inlineStr">
        <is>
          <t>United Kingdom</t>
        </is>
      </c>
      <c r="C1720" s="126" t="n">
        <v>107</v>
      </c>
      <c r="D1720" s="126" t="n">
        <v>1</v>
      </c>
      <c r="E1720" s="127" t="n">
        <v>628.38</v>
      </c>
      <c r="F1720" s="128">
        <f>IF(C1720&lt;=30,5,IF(C1720&lt;=60,4,IF(C1720&lt;=120,3,IF(C1720&lt;=200,2,1))))</f>
        <v/>
      </c>
      <c r="G1720" s="128">
        <f>IF(D1720&gt;=20,5,IF(D1720&gt;=10,4,IF(D1720&gt;=5,3,IF(D1720&gt;=2,2,1))))</f>
        <v/>
      </c>
      <c r="H1720" s="128">
        <f>IF(E1720&gt;=5000,5,IF(E1720&gt;=2000,4,IF(E1720&gt;=800,3,IF(E1720&gt;=300,2,1))))</f>
        <v/>
      </c>
      <c r="I1720" s="126">
        <f>TEXT(F1720,"0")&amp;TEXT(G1720,"0")&amp;TEXT(H1720,"0")</f>
        <v/>
      </c>
      <c r="J1720" s="126">
        <f>IFERROR(XLOOKUP(I1720,'Segment Map'!A:A,'Segment Map'!B:B,"Need Attention"),"Need Attention")</f>
        <v/>
      </c>
      <c r="K1720" s="126">
        <f>IF(E1720&gt;=5000,"🏆 Platinum",IF(E1720&gt;=2000,"🥇 Gold",IF(E1720&gt;=800,"🥈 Silver","🥉 Bronze")))</f>
        <v/>
      </c>
      <c r="L1720" s="129" t="n">
        <v>40780</v>
      </c>
    </row>
    <row r="1721">
      <c r="A1721" s="122" t="n">
        <v>14688</v>
      </c>
      <c r="B1721" s="122" t="inlineStr">
        <is>
          <t>United Kingdom</t>
        </is>
      </c>
      <c r="C1721" s="122" t="n">
        <v>8</v>
      </c>
      <c r="D1721" s="122" t="n">
        <v>21</v>
      </c>
      <c r="E1721" s="123" t="n">
        <v>5630.87</v>
      </c>
      <c r="F1721" s="124">
        <f>IF(C1721&lt;=30,5,IF(C1721&lt;=60,4,IF(C1721&lt;=120,3,IF(C1721&lt;=200,2,1))))</f>
        <v/>
      </c>
      <c r="G1721" s="124">
        <f>IF(D1721&gt;=20,5,IF(D1721&gt;=10,4,IF(D1721&gt;=5,3,IF(D1721&gt;=2,2,1))))</f>
        <v/>
      </c>
      <c r="H1721" s="124">
        <f>IF(E1721&gt;=5000,5,IF(E1721&gt;=2000,4,IF(E1721&gt;=800,3,IF(E1721&gt;=300,2,1))))</f>
        <v/>
      </c>
      <c r="I1721" s="122">
        <f>TEXT(F1721,"0")&amp;TEXT(G1721,"0")&amp;TEXT(H1721,"0")</f>
        <v/>
      </c>
      <c r="J1721" s="122">
        <f>IFERROR(XLOOKUP(I1721,'Segment Map'!A:A,'Segment Map'!B:B,"Need Attention"),"Need Attention")</f>
        <v/>
      </c>
      <c r="K1721" s="122">
        <f>IF(E1721&gt;=5000,"🏆 Platinum",IF(E1721&gt;=2000,"🥇 Gold",IF(E1721&gt;=800,"🥈 Silver","🥉 Bronze")))</f>
        <v/>
      </c>
      <c r="L1721" s="125" t="n">
        <v>40879</v>
      </c>
    </row>
    <row r="1722">
      <c r="A1722" s="126" t="n">
        <v>14689</v>
      </c>
      <c r="B1722" s="126" t="inlineStr">
        <is>
          <t>United Kingdom</t>
        </is>
      </c>
      <c r="C1722" s="126" t="n">
        <v>209</v>
      </c>
      <c r="D1722" s="126" t="n">
        <v>1</v>
      </c>
      <c r="E1722" s="127" t="n">
        <v>112.8</v>
      </c>
      <c r="F1722" s="128">
        <f>IF(C1722&lt;=30,5,IF(C1722&lt;=60,4,IF(C1722&lt;=120,3,IF(C1722&lt;=200,2,1))))</f>
        <v/>
      </c>
      <c r="G1722" s="128">
        <f>IF(D1722&gt;=20,5,IF(D1722&gt;=10,4,IF(D1722&gt;=5,3,IF(D1722&gt;=2,2,1))))</f>
        <v/>
      </c>
      <c r="H1722" s="128">
        <f>IF(E1722&gt;=5000,5,IF(E1722&gt;=2000,4,IF(E1722&gt;=800,3,IF(E1722&gt;=300,2,1))))</f>
        <v/>
      </c>
      <c r="I1722" s="126">
        <f>TEXT(F1722,"0")&amp;TEXT(G1722,"0")&amp;TEXT(H1722,"0")</f>
        <v/>
      </c>
      <c r="J1722" s="126">
        <f>IFERROR(XLOOKUP(I1722,'Segment Map'!A:A,'Segment Map'!B:B,"Need Attention"),"Need Attention")</f>
        <v/>
      </c>
      <c r="K1722" s="126">
        <f>IF(E1722&gt;=5000,"🏆 Platinum",IF(E1722&gt;=2000,"🥇 Gold",IF(E1722&gt;=800,"🥈 Silver","🥉 Bronze")))</f>
        <v/>
      </c>
      <c r="L1722" s="129" t="n">
        <v>40678</v>
      </c>
    </row>
    <row r="1723">
      <c r="A1723" s="122" t="n">
        <v>14690</v>
      </c>
      <c r="B1723" s="122" t="inlineStr">
        <is>
          <t>United Kingdom</t>
        </is>
      </c>
      <c r="C1723" s="122" t="n">
        <v>45</v>
      </c>
      <c r="D1723" s="122" t="n">
        <v>2</v>
      </c>
      <c r="E1723" s="123" t="n">
        <v>371.7</v>
      </c>
      <c r="F1723" s="124">
        <f>IF(C1723&lt;=30,5,IF(C1723&lt;=60,4,IF(C1723&lt;=120,3,IF(C1723&lt;=200,2,1))))</f>
        <v/>
      </c>
      <c r="G1723" s="124">
        <f>IF(D1723&gt;=20,5,IF(D1723&gt;=10,4,IF(D1723&gt;=5,3,IF(D1723&gt;=2,2,1))))</f>
        <v/>
      </c>
      <c r="H1723" s="124">
        <f>IF(E1723&gt;=5000,5,IF(E1723&gt;=2000,4,IF(E1723&gt;=800,3,IF(E1723&gt;=300,2,1))))</f>
        <v/>
      </c>
      <c r="I1723" s="122">
        <f>TEXT(F1723,"0")&amp;TEXT(G1723,"0")&amp;TEXT(H1723,"0")</f>
        <v/>
      </c>
      <c r="J1723" s="122">
        <f>IFERROR(XLOOKUP(I1723,'Segment Map'!A:A,'Segment Map'!B:B,"Need Attention"),"Need Attention")</f>
        <v/>
      </c>
      <c r="K1723" s="122">
        <f>IF(E1723&gt;=5000,"🏆 Platinum",IF(E1723&gt;=2000,"🥇 Gold",IF(E1723&gt;=800,"🥈 Silver","🥉 Bronze")))</f>
        <v/>
      </c>
      <c r="L1723" s="125" t="n">
        <v>40842</v>
      </c>
    </row>
    <row r="1724">
      <c r="A1724" s="126" t="n">
        <v>14691</v>
      </c>
      <c r="B1724" s="126" t="inlineStr">
        <is>
          <t>United Kingdom</t>
        </is>
      </c>
      <c r="C1724" s="126" t="n">
        <v>31</v>
      </c>
      <c r="D1724" s="126" t="n">
        <v>5</v>
      </c>
      <c r="E1724" s="127" t="n">
        <v>2114.33</v>
      </c>
      <c r="F1724" s="128">
        <f>IF(C1724&lt;=30,5,IF(C1724&lt;=60,4,IF(C1724&lt;=120,3,IF(C1724&lt;=200,2,1))))</f>
        <v/>
      </c>
      <c r="G1724" s="128">
        <f>IF(D1724&gt;=20,5,IF(D1724&gt;=10,4,IF(D1724&gt;=5,3,IF(D1724&gt;=2,2,1))))</f>
        <v/>
      </c>
      <c r="H1724" s="128">
        <f>IF(E1724&gt;=5000,5,IF(E1724&gt;=2000,4,IF(E1724&gt;=800,3,IF(E1724&gt;=300,2,1))))</f>
        <v/>
      </c>
      <c r="I1724" s="126">
        <f>TEXT(F1724,"0")&amp;TEXT(G1724,"0")&amp;TEXT(H1724,"0")</f>
        <v/>
      </c>
      <c r="J1724" s="126">
        <f>IFERROR(XLOOKUP(I1724,'Segment Map'!A:A,'Segment Map'!B:B,"Need Attention"),"Need Attention")</f>
        <v/>
      </c>
      <c r="K1724" s="126">
        <f>IF(E1724&gt;=5000,"🏆 Platinum",IF(E1724&gt;=2000,"🥇 Gold",IF(E1724&gt;=800,"🥈 Silver","🥉 Bronze")))</f>
        <v/>
      </c>
      <c r="L1724" s="129" t="n">
        <v>40856</v>
      </c>
    </row>
    <row r="1725">
      <c r="A1725" s="122" t="n">
        <v>14692</v>
      </c>
      <c r="B1725" s="122" t="inlineStr">
        <is>
          <t>United Kingdom</t>
        </is>
      </c>
      <c r="C1725" s="122" t="n">
        <v>138</v>
      </c>
      <c r="D1725" s="122" t="n">
        <v>4</v>
      </c>
      <c r="E1725" s="123" t="n">
        <v>591.55</v>
      </c>
      <c r="F1725" s="124">
        <f>IF(C1725&lt;=30,5,IF(C1725&lt;=60,4,IF(C1725&lt;=120,3,IF(C1725&lt;=200,2,1))))</f>
        <v/>
      </c>
      <c r="G1725" s="124">
        <f>IF(D1725&gt;=20,5,IF(D1725&gt;=10,4,IF(D1725&gt;=5,3,IF(D1725&gt;=2,2,1))))</f>
        <v/>
      </c>
      <c r="H1725" s="124">
        <f>IF(E1725&gt;=5000,5,IF(E1725&gt;=2000,4,IF(E1725&gt;=800,3,IF(E1725&gt;=300,2,1))))</f>
        <v/>
      </c>
      <c r="I1725" s="122">
        <f>TEXT(F1725,"0")&amp;TEXT(G1725,"0")&amp;TEXT(H1725,"0")</f>
        <v/>
      </c>
      <c r="J1725" s="122">
        <f>IFERROR(XLOOKUP(I1725,'Segment Map'!A:A,'Segment Map'!B:B,"Need Attention"),"Need Attention")</f>
        <v/>
      </c>
      <c r="K1725" s="122">
        <f>IF(E1725&gt;=5000,"🏆 Platinum",IF(E1725&gt;=2000,"🥇 Gold",IF(E1725&gt;=800,"🥈 Silver","🥉 Bronze")))</f>
        <v/>
      </c>
      <c r="L1725" s="125" t="n">
        <v>40749</v>
      </c>
    </row>
    <row r="1726">
      <c r="A1726" s="126" t="n">
        <v>14693</v>
      </c>
      <c r="B1726" s="126" t="inlineStr">
        <is>
          <t>United Kingdom</t>
        </is>
      </c>
      <c r="C1726" s="126" t="n">
        <v>265</v>
      </c>
      <c r="D1726" s="126" t="n">
        <v>1</v>
      </c>
      <c r="E1726" s="127" t="n">
        <v>172.9</v>
      </c>
      <c r="F1726" s="128">
        <f>IF(C1726&lt;=30,5,IF(C1726&lt;=60,4,IF(C1726&lt;=120,3,IF(C1726&lt;=200,2,1))))</f>
        <v/>
      </c>
      <c r="G1726" s="128">
        <f>IF(D1726&gt;=20,5,IF(D1726&gt;=10,4,IF(D1726&gt;=5,3,IF(D1726&gt;=2,2,1))))</f>
        <v/>
      </c>
      <c r="H1726" s="128">
        <f>IF(E1726&gt;=5000,5,IF(E1726&gt;=2000,4,IF(E1726&gt;=800,3,IF(E1726&gt;=300,2,1))))</f>
        <v/>
      </c>
      <c r="I1726" s="126">
        <f>TEXT(F1726,"0")&amp;TEXT(G1726,"0")&amp;TEXT(H1726,"0")</f>
        <v/>
      </c>
      <c r="J1726" s="126">
        <f>IFERROR(XLOOKUP(I1726,'Segment Map'!A:A,'Segment Map'!B:B,"Need Attention"),"Need Attention")</f>
        <v/>
      </c>
      <c r="K1726" s="126">
        <f>IF(E1726&gt;=5000,"🏆 Platinum",IF(E1726&gt;=2000,"🥇 Gold",IF(E1726&gt;=800,"🥈 Silver","🥉 Bronze")))</f>
        <v/>
      </c>
      <c r="L1726" s="129" t="n">
        <v>40622</v>
      </c>
    </row>
    <row r="1727">
      <c r="A1727" s="122" t="n">
        <v>14696</v>
      </c>
      <c r="B1727" s="122" t="inlineStr">
        <is>
          <t>United Kingdom</t>
        </is>
      </c>
      <c r="C1727" s="122" t="n">
        <v>5</v>
      </c>
      <c r="D1727" s="122" t="n">
        <v>7</v>
      </c>
      <c r="E1727" s="123" t="n">
        <v>2078.95</v>
      </c>
      <c r="F1727" s="124">
        <f>IF(C1727&lt;=30,5,IF(C1727&lt;=60,4,IF(C1727&lt;=120,3,IF(C1727&lt;=200,2,1))))</f>
        <v/>
      </c>
      <c r="G1727" s="124">
        <f>IF(D1727&gt;=20,5,IF(D1727&gt;=10,4,IF(D1727&gt;=5,3,IF(D1727&gt;=2,2,1))))</f>
        <v/>
      </c>
      <c r="H1727" s="124">
        <f>IF(E1727&gt;=5000,5,IF(E1727&gt;=2000,4,IF(E1727&gt;=800,3,IF(E1727&gt;=300,2,1))))</f>
        <v/>
      </c>
      <c r="I1727" s="122">
        <f>TEXT(F1727,"0")&amp;TEXT(G1727,"0")&amp;TEXT(H1727,"0")</f>
        <v/>
      </c>
      <c r="J1727" s="122">
        <f>IFERROR(XLOOKUP(I1727,'Segment Map'!A:A,'Segment Map'!B:B,"Need Attention"),"Need Attention")</f>
        <v/>
      </c>
      <c r="K1727" s="122">
        <f>IF(E1727&gt;=5000,"🏆 Platinum",IF(E1727&gt;=2000,"🥇 Gold",IF(E1727&gt;=800,"🥈 Silver","🥉 Bronze")))</f>
        <v/>
      </c>
      <c r="L1727" s="125" t="n">
        <v>40882</v>
      </c>
    </row>
    <row r="1728">
      <c r="A1728" s="126" t="n">
        <v>14697</v>
      </c>
      <c r="B1728" s="126" t="inlineStr">
        <is>
          <t>United Kingdom</t>
        </is>
      </c>
      <c r="C1728" s="126" t="n">
        <v>219</v>
      </c>
      <c r="D1728" s="126" t="n">
        <v>2</v>
      </c>
      <c r="E1728" s="127" t="n">
        <v>188.61</v>
      </c>
      <c r="F1728" s="128">
        <f>IF(C1728&lt;=30,5,IF(C1728&lt;=60,4,IF(C1728&lt;=120,3,IF(C1728&lt;=200,2,1))))</f>
        <v/>
      </c>
      <c r="G1728" s="128">
        <f>IF(D1728&gt;=20,5,IF(D1728&gt;=10,4,IF(D1728&gt;=5,3,IF(D1728&gt;=2,2,1))))</f>
        <v/>
      </c>
      <c r="H1728" s="128">
        <f>IF(E1728&gt;=5000,5,IF(E1728&gt;=2000,4,IF(E1728&gt;=800,3,IF(E1728&gt;=300,2,1))))</f>
        <v/>
      </c>
      <c r="I1728" s="126">
        <f>TEXT(F1728,"0")&amp;TEXT(G1728,"0")&amp;TEXT(H1728,"0")</f>
        <v/>
      </c>
      <c r="J1728" s="126">
        <f>IFERROR(XLOOKUP(I1728,'Segment Map'!A:A,'Segment Map'!B:B,"Need Attention"),"Need Attention")</f>
        <v/>
      </c>
      <c r="K1728" s="126">
        <f>IF(E1728&gt;=5000,"🏆 Platinum",IF(E1728&gt;=2000,"🥇 Gold",IF(E1728&gt;=800,"🥈 Silver","🥉 Bronze")))</f>
        <v/>
      </c>
      <c r="L1728" s="129" t="n">
        <v>40668</v>
      </c>
    </row>
    <row r="1729">
      <c r="A1729" s="122" t="n">
        <v>14698</v>
      </c>
      <c r="B1729" s="122" t="inlineStr">
        <is>
          <t>United Kingdom</t>
        </is>
      </c>
      <c r="C1729" s="122" t="n">
        <v>2</v>
      </c>
      <c r="D1729" s="122" t="n">
        <v>5</v>
      </c>
      <c r="E1729" s="123" t="n">
        <v>1250.76</v>
      </c>
      <c r="F1729" s="124">
        <f>IF(C1729&lt;=30,5,IF(C1729&lt;=60,4,IF(C1729&lt;=120,3,IF(C1729&lt;=200,2,1))))</f>
        <v/>
      </c>
      <c r="G1729" s="124">
        <f>IF(D1729&gt;=20,5,IF(D1729&gt;=10,4,IF(D1729&gt;=5,3,IF(D1729&gt;=2,2,1))))</f>
        <v/>
      </c>
      <c r="H1729" s="124">
        <f>IF(E1729&gt;=5000,5,IF(E1729&gt;=2000,4,IF(E1729&gt;=800,3,IF(E1729&gt;=300,2,1))))</f>
        <v/>
      </c>
      <c r="I1729" s="122">
        <f>TEXT(F1729,"0")&amp;TEXT(G1729,"0")&amp;TEXT(H1729,"0")</f>
        <v/>
      </c>
      <c r="J1729" s="122">
        <f>IFERROR(XLOOKUP(I1729,'Segment Map'!A:A,'Segment Map'!B:B,"Need Attention"),"Need Attention")</f>
        <v/>
      </c>
      <c r="K1729" s="122">
        <f>IF(E1729&gt;=5000,"🏆 Platinum",IF(E1729&gt;=2000,"🥇 Gold",IF(E1729&gt;=800,"🥈 Silver","🥉 Bronze")))</f>
        <v/>
      </c>
      <c r="L1729" s="125" t="n">
        <v>40885</v>
      </c>
    </row>
    <row r="1730">
      <c r="A1730" s="126" t="n">
        <v>14699</v>
      </c>
      <c r="B1730" s="126" t="inlineStr">
        <is>
          <t>United Kingdom</t>
        </is>
      </c>
      <c r="C1730" s="126" t="n">
        <v>215</v>
      </c>
      <c r="D1730" s="126" t="n">
        <v>1</v>
      </c>
      <c r="E1730" s="127" t="n">
        <v>109.13</v>
      </c>
      <c r="F1730" s="128">
        <f>IF(C1730&lt;=30,5,IF(C1730&lt;=60,4,IF(C1730&lt;=120,3,IF(C1730&lt;=200,2,1))))</f>
        <v/>
      </c>
      <c r="G1730" s="128">
        <f>IF(D1730&gt;=20,5,IF(D1730&gt;=10,4,IF(D1730&gt;=5,3,IF(D1730&gt;=2,2,1))))</f>
        <v/>
      </c>
      <c r="H1730" s="128">
        <f>IF(E1730&gt;=5000,5,IF(E1730&gt;=2000,4,IF(E1730&gt;=800,3,IF(E1730&gt;=300,2,1))))</f>
        <v/>
      </c>
      <c r="I1730" s="126">
        <f>TEXT(F1730,"0")&amp;TEXT(G1730,"0")&amp;TEXT(H1730,"0")</f>
        <v/>
      </c>
      <c r="J1730" s="126">
        <f>IFERROR(XLOOKUP(I1730,'Segment Map'!A:A,'Segment Map'!B:B,"Need Attention"),"Need Attention")</f>
        <v/>
      </c>
      <c r="K1730" s="126">
        <f>IF(E1730&gt;=5000,"🏆 Platinum",IF(E1730&gt;=2000,"🥇 Gold",IF(E1730&gt;=800,"🥈 Silver","🥉 Bronze")))</f>
        <v/>
      </c>
      <c r="L1730" s="129" t="n">
        <v>40672</v>
      </c>
    </row>
    <row r="1731">
      <c r="A1731" s="122" t="n">
        <v>14700</v>
      </c>
      <c r="B1731" s="122" t="inlineStr">
        <is>
          <t>United Kingdom</t>
        </is>
      </c>
      <c r="C1731" s="122" t="n">
        <v>33</v>
      </c>
      <c r="D1731" s="122" t="n">
        <v>3</v>
      </c>
      <c r="E1731" s="123" t="n">
        <v>2235.3</v>
      </c>
      <c r="F1731" s="124">
        <f>IF(C1731&lt;=30,5,IF(C1731&lt;=60,4,IF(C1731&lt;=120,3,IF(C1731&lt;=200,2,1))))</f>
        <v/>
      </c>
      <c r="G1731" s="124">
        <f>IF(D1731&gt;=20,5,IF(D1731&gt;=10,4,IF(D1731&gt;=5,3,IF(D1731&gt;=2,2,1))))</f>
        <v/>
      </c>
      <c r="H1731" s="124">
        <f>IF(E1731&gt;=5000,5,IF(E1731&gt;=2000,4,IF(E1731&gt;=800,3,IF(E1731&gt;=300,2,1))))</f>
        <v/>
      </c>
      <c r="I1731" s="122">
        <f>TEXT(F1731,"0")&amp;TEXT(G1731,"0")&amp;TEXT(H1731,"0")</f>
        <v/>
      </c>
      <c r="J1731" s="122">
        <f>IFERROR(XLOOKUP(I1731,'Segment Map'!A:A,'Segment Map'!B:B,"Need Attention"),"Need Attention")</f>
        <v/>
      </c>
      <c r="K1731" s="122">
        <f>IF(E1731&gt;=5000,"🏆 Platinum",IF(E1731&gt;=2000,"🥇 Gold",IF(E1731&gt;=800,"🥈 Silver","🥉 Bronze")))</f>
        <v/>
      </c>
      <c r="L1731" s="125" t="n">
        <v>40854</v>
      </c>
    </row>
    <row r="1732">
      <c r="A1732" s="126" t="n">
        <v>14701</v>
      </c>
      <c r="B1732" s="126" t="inlineStr">
        <is>
          <t>United Kingdom</t>
        </is>
      </c>
      <c r="C1732" s="126" t="n">
        <v>11</v>
      </c>
      <c r="D1732" s="126" t="n">
        <v>9</v>
      </c>
      <c r="E1732" s="127" t="n">
        <v>2549.37</v>
      </c>
      <c r="F1732" s="128">
        <f>IF(C1732&lt;=30,5,IF(C1732&lt;=60,4,IF(C1732&lt;=120,3,IF(C1732&lt;=200,2,1))))</f>
        <v/>
      </c>
      <c r="G1732" s="128">
        <f>IF(D1732&gt;=20,5,IF(D1732&gt;=10,4,IF(D1732&gt;=5,3,IF(D1732&gt;=2,2,1))))</f>
        <v/>
      </c>
      <c r="H1732" s="128">
        <f>IF(E1732&gt;=5000,5,IF(E1732&gt;=2000,4,IF(E1732&gt;=800,3,IF(E1732&gt;=300,2,1))))</f>
        <v/>
      </c>
      <c r="I1732" s="126">
        <f>TEXT(F1732,"0")&amp;TEXT(G1732,"0")&amp;TEXT(H1732,"0")</f>
        <v/>
      </c>
      <c r="J1732" s="126">
        <f>IFERROR(XLOOKUP(I1732,'Segment Map'!A:A,'Segment Map'!B:B,"Need Attention"),"Need Attention")</f>
        <v/>
      </c>
      <c r="K1732" s="126">
        <f>IF(E1732&gt;=5000,"🏆 Platinum",IF(E1732&gt;=2000,"🥇 Gold",IF(E1732&gt;=800,"🥈 Silver","🥉 Bronze")))</f>
        <v/>
      </c>
      <c r="L1732" s="129" t="n">
        <v>40876</v>
      </c>
    </row>
    <row r="1733">
      <c r="A1733" s="122" t="n">
        <v>14702</v>
      </c>
      <c r="B1733" s="122" t="inlineStr">
        <is>
          <t>United Kingdom</t>
        </is>
      </c>
      <c r="C1733" s="122" t="n">
        <v>2</v>
      </c>
      <c r="D1733" s="122" t="n">
        <v>17</v>
      </c>
      <c r="E1733" s="123" t="n">
        <v>3292.14</v>
      </c>
      <c r="F1733" s="124">
        <f>IF(C1733&lt;=30,5,IF(C1733&lt;=60,4,IF(C1733&lt;=120,3,IF(C1733&lt;=200,2,1))))</f>
        <v/>
      </c>
      <c r="G1733" s="124">
        <f>IF(D1733&gt;=20,5,IF(D1733&gt;=10,4,IF(D1733&gt;=5,3,IF(D1733&gt;=2,2,1))))</f>
        <v/>
      </c>
      <c r="H1733" s="124">
        <f>IF(E1733&gt;=5000,5,IF(E1733&gt;=2000,4,IF(E1733&gt;=800,3,IF(E1733&gt;=300,2,1))))</f>
        <v/>
      </c>
      <c r="I1733" s="122">
        <f>TEXT(F1733,"0")&amp;TEXT(G1733,"0")&amp;TEXT(H1733,"0")</f>
        <v/>
      </c>
      <c r="J1733" s="122">
        <f>IFERROR(XLOOKUP(I1733,'Segment Map'!A:A,'Segment Map'!B:B,"Need Attention"),"Need Attention")</f>
        <v/>
      </c>
      <c r="K1733" s="122">
        <f>IF(E1733&gt;=5000,"🏆 Platinum",IF(E1733&gt;=2000,"🥇 Gold",IF(E1733&gt;=800,"🥈 Silver","🥉 Bronze")))</f>
        <v/>
      </c>
      <c r="L1733" s="125" t="n">
        <v>40885</v>
      </c>
    </row>
    <row r="1734">
      <c r="A1734" s="126" t="n">
        <v>14703</v>
      </c>
      <c r="B1734" s="126" t="inlineStr">
        <is>
          <t>United Kingdom</t>
        </is>
      </c>
      <c r="C1734" s="126" t="n">
        <v>15</v>
      </c>
      <c r="D1734" s="126" t="n">
        <v>1</v>
      </c>
      <c r="E1734" s="127" t="n">
        <v>318.17</v>
      </c>
      <c r="F1734" s="128">
        <f>IF(C1734&lt;=30,5,IF(C1734&lt;=60,4,IF(C1734&lt;=120,3,IF(C1734&lt;=200,2,1))))</f>
        <v/>
      </c>
      <c r="G1734" s="128">
        <f>IF(D1734&gt;=20,5,IF(D1734&gt;=10,4,IF(D1734&gt;=5,3,IF(D1734&gt;=2,2,1))))</f>
        <v/>
      </c>
      <c r="H1734" s="128">
        <f>IF(E1734&gt;=5000,5,IF(E1734&gt;=2000,4,IF(E1734&gt;=800,3,IF(E1734&gt;=300,2,1))))</f>
        <v/>
      </c>
      <c r="I1734" s="126">
        <f>TEXT(F1734,"0")&amp;TEXT(G1734,"0")&amp;TEXT(H1734,"0")</f>
        <v/>
      </c>
      <c r="J1734" s="126">
        <f>IFERROR(XLOOKUP(I1734,'Segment Map'!A:A,'Segment Map'!B:B,"Need Attention"),"Need Attention")</f>
        <v/>
      </c>
      <c r="K1734" s="126">
        <f>IF(E1734&gt;=5000,"🏆 Platinum",IF(E1734&gt;=2000,"🥇 Gold",IF(E1734&gt;=800,"🥈 Silver","🥉 Bronze")))</f>
        <v/>
      </c>
      <c r="L1734" s="129" t="n">
        <v>40872</v>
      </c>
    </row>
    <row r="1735">
      <c r="A1735" s="122" t="n">
        <v>14704</v>
      </c>
      <c r="B1735" s="122" t="inlineStr">
        <is>
          <t>United Kingdom</t>
        </is>
      </c>
      <c r="C1735" s="122" t="n">
        <v>12</v>
      </c>
      <c r="D1735" s="122" t="n">
        <v>9</v>
      </c>
      <c r="E1735" s="123" t="n">
        <v>1546.91</v>
      </c>
      <c r="F1735" s="124">
        <f>IF(C1735&lt;=30,5,IF(C1735&lt;=60,4,IF(C1735&lt;=120,3,IF(C1735&lt;=200,2,1))))</f>
        <v/>
      </c>
      <c r="G1735" s="124">
        <f>IF(D1735&gt;=20,5,IF(D1735&gt;=10,4,IF(D1735&gt;=5,3,IF(D1735&gt;=2,2,1))))</f>
        <v/>
      </c>
      <c r="H1735" s="124">
        <f>IF(E1735&gt;=5000,5,IF(E1735&gt;=2000,4,IF(E1735&gt;=800,3,IF(E1735&gt;=300,2,1))))</f>
        <v/>
      </c>
      <c r="I1735" s="122">
        <f>TEXT(F1735,"0")&amp;TEXT(G1735,"0")&amp;TEXT(H1735,"0")</f>
        <v/>
      </c>
      <c r="J1735" s="122">
        <f>IFERROR(XLOOKUP(I1735,'Segment Map'!A:A,'Segment Map'!B:B,"Need Attention"),"Need Attention")</f>
        <v/>
      </c>
      <c r="K1735" s="122">
        <f>IF(E1735&gt;=5000,"🏆 Platinum",IF(E1735&gt;=2000,"🥇 Gold",IF(E1735&gt;=800,"🥈 Silver","🥉 Bronze")))</f>
        <v/>
      </c>
      <c r="L1735" s="125" t="n">
        <v>40875</v>
      </c>
    </row>
    <row r="1736">
      <c r="A1736" s="126" t="n">
        <v>14705</v>
      </c>
      <c r="B1736" s="126" t="inlineStr">
        <is>
          <t>United Kingdom</t>
        </is>
      </c>
      <c r="C1736" s="126" t="n">
        <v>199</v>
      </c>
      <c r="D1736" s="126" t="n">
        <v>1</v>
      </c>
      <c r="E1736" s="127" t="n">
        <v>179</v>
      </c>
      <c r="F1736" s="128">
        <f>IF(C1736&lt;=30,5,IF(C1736&lt;=60,4,IF(C1736&lt;=120,3,IF(C1736&lt;=200,2,1))))</f>
        <v/>
      </c>
      <c r="G1736" s="128">
        <f>IF(D1736&gt;=20,5,IF(D1736&gt;=10,4,IF(D1736&gt;=5,3,IF(D1736&gt;=2,2,1))))</f>
        <v/>
      </c>
      <c r="H1736" s="128">
        <f>IF(E1736&gt;=5000,5,IF(E1736&gt;=2000,4,IF(E1736&gt;=800,3,IF(E1736&gt;=300,2,1))))</f>
        <v/>
      </c>
      <c r="I1736" s="126">
        <f>TEXT(F1736,"0")&amp;TEXT(G1736,"0")&amp;TEXT(H1736,"0")</f>
        <v/>
      </c>
      <c r="J1736" s="126">
        <f>IFERROR(XLOOKUP(I1736,'Segment Map'!A:A,'Segment Map'!B:B,"Need Attention"),"Need Attention")</f>
        <v/>
      </c>
      <c r="K1736" s="126">
        <f>IF(E1736&gt;=5000,"🏆 Platinum",IF(E1736&gt;=2000,"🥇 Gold",IF(E1736&gt;=800,"🥈 Silver","🥉 Bronze")))</f>
        <v/>
      </c>
      <c r="L1736" s="129" t="n">
        <v>40688</v>
      </c>
    </row>
    <row r="1737">
      <c r="A1737" s="122" t="n">
        <v>14708</v>
      </c>
      <c r="B1737" s="122" t="inlineStr">
        <is>
          <t>United Kingdom</t>
        </is>
      </c>
      <c r="C1737" s="122" t="n">
        <v>3</v>
      </c>
      <c r="D1737" s="122" t="n">
        <v>3</v>
      </c>
      <c r="E1737" s="123" t="n">
        <v>1126.37</v>
      </c>
      <c r="F1737" s="124">
        <f>IF(C1737&lt;=30,5,IF(C1737&lt;=60,4,IF(C1737&lt;=120,3,IF(C1737&lt;=200,2,1))))</f>
        <v/>
      </c>
      <c r="G1737" s="124">
        <f>IF(D1737&gt;=20,5,IF(D1737&gt;=10,4,IF(D1737&gt;=5,3,IF(D1737&gt;=2,2,1))))</f>
        <v/>
      </c>
      <c r="H1737" s="124">
        <f>IF(E1737&gt;=5000,5,IF(E1737&gt;=2000,4,IF(E1737&gt;=800,3,IF(E1737&gt;=300,2,1))))</f>
        <v/>
      </c>
      <c r="I1737" s="122">
        <f>TEXT(F1737,"0")&amp;TEXT(G1737,"0")&amp;TEXT(H1737,"0")</f>
        <v/>
      </c>
      <c r="J1737" s="122">
        <f>IFERROR(XLOOKUP(I1737,'Segment Map'!A:A,'Segment Map'!B:B,"Need Attention"),"Need Attention")</f>
        <v/>
      </c>
      <c r="K1737" s="122">
        <f>IF(E1737&gt;=5000,"🏆 Platinum",IF(E1737&gt;=2000,"🥇 Gold",IF(E1737&gt;=800,"🥈 Silver","🥉 Bronze")))</f>
        <v/>
      </c>
      <c r="L1737" s="125" t="n">
        <v>40884</v>
      </c>
    </row>
    <row r="1738">
      <c r="A1738" s="126" t="n">
        <v>14709</v>
      </c>
      <c r="B1738" s="126" t="inlineStr">
        <is>
          <t>United Kingdom</t>
        </is>
      </c>
      <c r="C1738" s="126" t="n">
        <v>16</v>
      </c>
      <c r="D1738" s="126" t="n">
        <v>13</v>
      </c>
      <c r="E1738" s="127" t="n">
        <v>4921.04</v>
      </c>
      <c r="F1738" s="128">
        <f>IF(C1738&lt;=30,5,IF(C1738&lt;=60,4,IF(C1738&lt;=120,3,IF(C1738&lt;=200,2,1))))</f>
        <v/>
      </c>
      <c r="G1738" s="128">
        <f>IF(D1738&gt;=20,5,IF(D1738&gt;=10,4,IF(D1738&gt;=5,3,IF(D1738&gt;=2,2,1))))</f>
        <v/>
      </c>
      <c r="H1738" s="128">
        <f>IF(E1738&gt;=5000,5,IF(E1738&gt;=2000,4,IF(E1738&gt;=800,3,IF(E1738&gt;=300,2,1))))</f>
        <v/>
      </c>
      <c r="I1738" s="126">
        <f>TEXT(F1738,"0")&amp;TEXT(G1738,"0")&amp;TEXT(H1738,"0")</f>
        <v/>
      </c>
      <c r="J1738" s="126">
        <f>IFERROR(XLOOKUP(I1738,'Segment Map'!A:A,'Segment Map'!B:B,"Need Attention"),"Need Attention")</f>
        <v/>
      </c>
      <c r="K1738" s="126">
        <f>IF(E1738&gt;=5000,"🏆 Platinum",IF(E1738&gt;=2000,"🥇 Gold",IF(E1738&gt;=800,"🥈 Silver","🥉 Bronze")))</f>
        <v/>
      </c>
      <c r="L1738" s="129" t="n">
        <v>40871</v>
      </c>
    </row>
    <row r="1739">
      <c r="A1739" s="122" t="n">
        <v>14710</v>
      </c>
      <c r="B1739" s="122" t="inlineStr">
        <is>
          <t>United Kingdom</t>
        </is>
      </c>
      <c r="C1739" s="122" t="n">
        <v>15</v>
      </c>
      <c r="D1739" s="122" t="n">
        <v>4</v>
      </c>
      <c r="E1739" s="123" t="n">
        <v>606.13</v>
      </c>
      <c r="F1739" s="124">
        <f>IF(C1739&lt;=30,5,IF(C1739&lt;=60,4,IF(C1739&lt;=120,3,IF(C1739&lt;=200,2,1))))</f>
        <v/>
      </c>
      <c r="G1739" s="124">
        <f>IF(D1739&gt;=20,5,IF(D1739&gt;=10,4,IF(D1739&gt;=5,3,IF(D1739&gt;=2,2,1))))</f>
        <v/>
      </c>
      <c r="H1739" s="124">
        <f>IF(E1739&gt;=5000,5,IF(E1739&gt;=2000,4,IF(E1739&gt;=800,3,IF(E1739&gt;=300,2,1))))</f>
        <v/>
      </c>
      <c r="I1739" s="122">
        <f>TEXT(F1739,"0")&amp;TEXT(G1739,"0")&amp;TEXT(H1739,"0")</f>
        <v/>
      </c>
      <c r="J1739" s="122">
        <f>IFERROR(XLOOKUP(I1739,'Segment Map'!A:A,'Segment Map'!B:B,"Need Attention"),"Need Attention")</f>
        <v/>
      </c>
      <c r="K1739" s="122">
        <f>IF(E1739&gt;=5000,"🏆 Platinum",IF(E1739&gt;=2000,"🥇 Gold",IF(E1739&gt;=800,"🥈 Silver","🥉 Bronze")))</f>
        <v/>
      </c>
      <c r="L1739" s="125" t="n">
        <v>40872</v>
      </c>
    </row>
    <row r="1740">
      <c r="A1740" s="126" t="n">
        <v>14711</v>
      </c>
      <c r="B1740" s="126" t="inlineStr">
        <is>
          <t>United Kingdom</t>
        </is>
      </c>
      <c r="C1740" s="126" t="n">
        <v>11</v>
      </c>
      <c r="D1740" s="126" t="n">
        <v>11</v>
      </c>
      <c r="E1740" s="127" t="n">
        <v>2868.8</v>
      </c>
      <c r="F1740" s="128">
        <f>IF(C1740&lt;=30,5,IF(C1740&lt;=60,4,IF(C1740&lt;=120,3,IF(C1740&lt;=200,2,1))))</f>
        <v/>
      </c>
      <c r="G1740" s="128">
        <f>IF(D1740&gt;=20,5,IF(D1740&gt;=10,4,IF(D1740&gt;=5,3,IF(D1740&gt;=2,2,1))))</f>
        <v/>
      </c>
      <c r="H1740" s="128">
        <f>IF(E1740&gt;=5000,5,IF(E1740&gt;=2000,4,IF(E1740&gt;=800,3,IF(E1740&gt;=300,2,1))))</f>
        <v/>
      </c>
      <c r="I1740" s="126">
        <f>TEXT(F1740,"0")&amp;TEXT(G1740,"0")&amp;TEXT(H1740,"0")</f>
        <v/>
      </c>
      <c r="J1740" s="126">
        <f>IFERROR(XLOOKUP(I1740,'Segment Map'!A:A,'Segment Map'!B:B,"Need Attention"),"Need Attention")</f>
        <v/>
      </c>
      <c r="K1740" s="126">
        <f>IF(E1740&gt;=5000,"🏆 Platinum",IF(E1740&gt;=2000,"🥇 Gold",IF(E1740&gt;=800,"🥈 Silver","🥉 Bronze")))</f>
        <v/>
      </c>
      <c r="L1740" s="129" t="n">
        <v>40876</v>
      </c>
    </row>
    <row r="1741">
      <c r="A1741" s="122" t="n">
        <v>14712</v>
      </c>
      <c r="B1741" s="122" t="inlineStr">
        <is>
          <t>United Kingdom</t>
        </is>
      </c>
      <c r="C1741" s="122" t="n">
        <v>30</v>
      </c>
      <c r="D1741" s="122" t="n">
        <v>3</v>
      </c>
      <c r="E1741" s="123" t="n">
        <v>917.0700000000001</v>
      </c>
      <c r="F1741" s="124">
        <f>IF(C1741&lt;=30,5,IF(C1741&lt;=60,4,IF(C1741&lt;=120,3,IF(C1741&lt;=200,2,1))))</f>
        <v/>
      </c>
      <c r="G1741" s="124">
        <f>IF(D1741&gt;=20,5,IF(D1741&gt;=10,4,IF(D1741&gt;=5,3,IF(D1741&gt;=2,2,1))))</f>
        <v/>
      </c>
      <c r="H1741" s="124">
        <f>IF(E1741&gt;=5000,5,IF(E1741&gt;=2000,4,IF(E1741&gt;=800,3,IF(E1741&gt;=300,2,1))))</f>
        <v/>
      </c>
      <c r="I1741" s="122">
        <f>TEXT(F1741,"0")&amp;TEXT(G1741,"0")&amp;TEXT(H1741,"0")</f>
        <v/>
      </c>
      <c r="J1741" s="122">
        <f>IFERROR(XLOOKUP(I1741,'Segment Map'!A:A,'Segment Map'!B:B,"Need Attention"),"Need Attention")</f>
        <v/>
      </c>
      <c r="K1741" s="122">
        <f>IF(E1741&gt;=5000,"🏆 Platinum",IF(E1741&gt;=2000,"🥇 Gold",IF(E1741&gt;=800,"🥈 Silver","🥉 Bronze")))</f>
        <v/>
      </c>
      <c r="L1741" s="125" t="n">
        <v>40857</v>
      </c>
    </row>
    <row r="1742">
      <c r="A1742" s="126" t="n">
        <v>14713</v>
      </c>
      <c r="B1742" s="126" t="inlineStr">
        <is>
          <t>United Kingdom</t>
        </is>
      </c>
      <c r="C1742" s="126" t="n">
        <v>10</v>
      </c>
      <c r="D1742" s="126" t="n">
        <v>11</v>
      </c>
      <c r="E1742" s="127" t="n">
        <v>2666.36</v>
      </c>
      <c r="F1742" s="128">
        <f>IF(C1742&lt;=30,5,IF(C1742&lt;=60,4,IF(C1742&lt;=120,3,IF(C1742&lt;=200,2,1))))</f>
        <v/>
      </c>
      <c r="G1742" s="128">
        <f>IF(D1742&gt;=20,5,IF(D1742&gt;=10,4,IF(D1742&gt;=5,3,IF(D1742&gt;=2,2,1))))</f>
        <v/>
      </c>
      <c r="H1742" s="128">
        <f>IF(E1742&gt;=5000,5,IF(E1742&gt;=2000,4,IF(E1742&gt;=800,3,IF(E1742&gt;=300,2,1))))</f>
        <v/>
      </c>
      <c r="I1742" s="126">
        <f>TEXT(F1742,"0")&amp;TEXT(G1742,"0")&amp;TEXT(H1742,"0")</f>
        <v/>
      </c>
      <c r="J1742" s="126">
        <f>IFERROR(XLOOKUP(I1742,'Segment Map'!A:A,'Segment Map'!B:B,"Need Attention"),"Need Attention")</f>
        <v/>
      </c>
      <c r="K1742" s="126">
        <f>IF(E1742&gt;=5000,"🏆 Platinum",IF(E1742&gt;=2000,"🥇 Gold",IF(E1742&gt;=800,"🥈 Silver","🥉 Bronze")))</f>
        <v/>
      </c>
      <c r="L1742" s="129" t="n">
        <v>40877</v>
      </c>
    </row>
    <row r="1743">
      <c r="A1743" s="122" t="n">
        <v>14714</v>
      </c>
      <c r="B1743" s="122" t="inlineStr">
        <is>
          <t>United Kingdom</t>
        </is>
      </c>
      <c r="C1743" s="122" t="n">
        <v>25</v>
      </c>
      <c r="D1743" s="122" t="n">
        <v>1</v>
      </c>
      <c r="E1743" s="123" t="n">
        <v>160.19</v>
      </c>
      <c r="F1743" s="124">
        <f>IF(C1743&lt;=30,5,IF(C1743&lt;=60,4,IF(C1743&lt;=120,3,IF(C1743&lt;=200,2,1))))</f>
        <v/>
      </c>
      <c r="G1743" s="124">
        <f>IF(D1743&gt;=20,5,IF(D1743&gt;=10,4,IF(D1743&gt;=5,3,IF(D1743&gt;=2,2,1))))</f>
        <v/>
      </c>
      <c r="H1743" s="124">
        <f>IF(E1743&gt;=5000,5,IF(E1743&gt;=2000,4,IF(E1743&gt;=800,3,IF(E1743&gt;=300,2,1))))</f>
        <v/>
      </c>
      <c r="I1743" s="122">
        <f>TEXT(F1743,"0")&amp;TEXT(G1743,"0")&amp;TEXT(H1743,"0")</f>
        <v/>
      </c>
      <c r="J1743" s="122">
        <f>IFERROR(XLOOKUP(I1743,'Segment Map'!A:A,'Segment Map'!B:B,"Need Attention"),"Need Attention")</f>
        <v/>
      </c>
      <c r="K1743" s="122">
        <f>IF(E1743&gt;=5000,"🏆 Platinum",IF(E1743&gt;=2000,"🥇 Gold",IF(E1743&gt;=800,"🥈 Silver","🥉 Bronze")))</f>
        <v/>
      </c>
      <c r="L1743" s="125" t="n">
        <v>40862</v>
      </c>
    </row>
    <row r="1744">
      <c r="A1744" s="126" t="n">
        <v>14715</v>
      </c>
      <c r="B1744" s="126" t="inlineStr">
        <is>
          <t>United Kingdom</t>
        </is>
      </c>
      <c r="C1744" s="126" t="n">
        <v>25</v>
      </c>
      <c r="D1744" s="126" t="n">
        <v>4</v>
      </c>
      <c r="E1744" s="127" t="n">
        <v>867.38</v>
      </c>
      <c r="F1744" s="128">
        <f>IF(C1744&lt;=30,5,IF(C1744&lt;=60,4,IF(C1744&lt;=120,3,IF(C1744&lt;=200,2,1))))</f>
        <v/>
      </c>
      <c r="G1744" s="128">
        <f>IF(D1744&gt;=20,5,IF(D1744&gt;=10,4,IF(D1744&gt;=5,3,IF(D1744&gt;=2,2,1))))</f>
        <v/>
      </c>
      <c r="H1744" s="128">
        <f>IF(E1744&gt;=5000,5,IF(E1744&gt;=2000,4,IF(E1744&gt;=800,3,IF(E1744&gt;=300,2,1))))</f>
        <v/>
      </c>
      <c r="I1744" s="126">
        <f>TEXT(F1744,"0")&amp;TEXT(G1744,"0")&amp;TEXT(H1744,"0")</f>
        <v/>
      </c>
      <c r="J1744" s="126">
        <f>IFERROR(XLOOKUP(I1744,'Segment Map'!A:A,'Segment Map'!B:B,"Need Attention"),"Need Attention")</f>
        <v/>
      </c>
      <c r="K1744" s="126">
        <f>IF(E1744&gt;=5000,"🏆 Platinum",IF(E1744&gt;=2000,"🥇 Gold",IF(E1744&gt;=800,"🥈 Silver","🥉 Bronze")))</f>
        <v/>
      </c>
      <c r="L1744" s="129" t="n">
        <v>40862</v>
      </c>
    </row>
    <row r="1745">
      <c r="A1745" s="122" t="n">
        <v>14716</v>
      </c>
      <c r="B1745" s="122" t="inlineStr">
        <is>
          <t>United Kingdom</t>
        </is>
      </c>
      <c r="C1745" s="122" t="n">
        <v>44</v>
      </c>
      <c r="D1745" s="122" t="n">
        <v>2</v>
      </c>
      <c r="E1745" s="123" t="n">
        <v>329.68</v>
      </c>
      <c r="F1745" s="124">
        <f>IF(C1745&lt;=30,5,IF(C1745&lt;=60,4,IF(C1745&lt;=120,3,IF(C1745&lt;=200,2,1))))</f>
        <v/>
      </c>
      <c r="G1745" s="124">
        <f>IF(D1745&gt;=20,5,IF(D1745&gt;=10,4,IF(D1745&gt;=5,3,IF(D1745&gt;=2,2,1))))</f>
        <v/>
      </c>
      <c r="H1745" s="124">
        <f>IF(E1745&gt;=5000,5,IF(E1745&gt;=2000,4,IF(E1745&gt;=800,3,IF(E1745&gt;=300,2,1))))</f>
        <v/>
      </c>
      <c r="I1745" s="122">
        <f>TEXT(F1745,"0")&amp;TEXT(G1745,"0")&amp;TEXT(H1745,"0")</f>
        <v/>
      </c>
      <c r="J1745" s="122">
        <f>IFERROR(XLOOKUP(I1745,'Segment Map'!A:A,'Segment Map'!B:B,"Need Attention"),"Need Attention")</f>
        <v/>
      </c>
      <c r="K1745" s="122">
        <f>IF(E1745&gt;=5000,"🏆 Platinum",IF(E1745&gt;=2000,"🥇 Gold",IF(E1745&gt;=800,"🥈 Silver","🥉 Bronze")))</f>
        <v/>
      </c>
      <c r="L1745" s="125" t="n">
        <v>40843</v>
      </c>
    </row>
    <row r="1746">
      <c r="A1746" s="126" t="n">
        <v>14719</v>
      </c>
      <c r="B1746" s="126" t="inlineStr">
        <is>
          <t>United Kingdom</t>
        </is>
      </c>
      <c r="C1746" s="126" t="n">
        <v>2</v>
      </c>
      <c r="D1746" s="126" t="n">
        <v>5</v>
      </c>
      <c r="E1746" s="127" t="n">
        <v>1602.13</v>
      </c>
      <c r="F1746" s="128">
        <f>IF(C1746&lt;=30,5,IF(C1746&lt;=60,4,IF(C1746&lt;=120,3,IF(C1746&lt;=200,2,1))))</f>
        <v/>
      </c>
      <c r="G1746" s="128">
        <f>IF(D1746&gt;=20,5,IF(D1746&gt;=10,4,IF(D1746&gt;=5,3,IF(D1746&gt;=2,2,1))))</f>
        <v/>
      </c>
      <c r="H1746" s="128">
        <f>IF(E1746&gt;=5000,5,IF(E1746&gt;=2000,4,IF(E1746&gt;=800,3,IF(E1746&gt;=300,2,1))))</f>
        <v/>
      </c>
      <c r="I1746" s="126">
        <f>TEXT(F1746,"0")&amp;TEXT(G1746,"0")&amp;TEXT(H1746,"0")</f>
        <v/>
      </c>
      <c r="J1746" s="126">
        <f>IFERROR(XLOOKUP(I1746,'Segment Map'!A:A,'Segment Map'!B:B,"Need Attention"),"Need Attention")</f>
        <v/>
      </c>
      <c r="K1746" s="126">
        <f>IF(E1746&gt;=5000,"🏆 Platinum",IF(E1746&gt;=2000,"🥇 Gold",IF(E1746&gt;=800,"🥈 Silver","🥉 Bronze")))</f>
        <v/>
      </c>
      <c r="L1746" s="129" t="n">
        <v>40885</v>
      </c>
    </row>
    <row r="1747">
      <c r="A1747" s="122" t="n">
        <v>14720</v>
      </c>
      <c r="B1747" s="122" t="inlineStr">
        <is>
          <t>United Kingdom</t>
        </is>
      </c>
      <c r="C1747" s="122" t="n">
        <v>6</v>
      </c>
      <c r="D1747" s="122" t="n">
        <v>3</v>
      </c>
      <c r="E1747" s="123" t="n">
        <v>663.8099999999999</v>
      </c>
      <c r="F1747" s="124">
        <f>IF(C1747&lt;=30,5,IF(C1747&lt;=60,4,IF(C1747&lt;=120,3,IF(C1747&lt;=200,2,1))))</f>
        <v/>
      </c>
      <c r="G1747" s="124">
        <f>IF(D1747&gt;=20,5,IF(D1747&gt;=10,4,IF(D1747&gt;=5,3,IF(D1747&gt;=2,2,1))))</f>
        <v/>
      </c>
      <c r="H1747" s="124">
        <f>IF(E1747&gt;=5000,5,IF(E1747&gt;=2000,4,IF(E1747&gt;=800,3,IF(E1747&gt;=300,2,1))))</f>
        <v/>
      </c>
      <c r="I1747" s="122">
        <f>TEXT(F1747,"0")&amp;TEXT(G1747,"0")&amp;TEXT(H1747,"0")</f>
        <v/>
      </c>
      <c r="J1747" s="122">
        <f>IFERROR(XLOOKUP(I1747,'Segment Map'!A:A,'Segment Map'!B:B,"Need Attention"),"Need Attention")</f>
        <v/>
      </c>
      <c r="K1747" s="122">
        <f>IF(E1747&gt;=5000,"🏆 Platinum",IF(E1747&gt;=2000,"🥇 Gold",IF(E1747&gt;=800,"🥈 Silver","🥉 Bronze")))</f>
        <v/>
      </c>
      <c r="L1747" s="125" t="n">
        <v>40881</v>
      </c>
    </row>
    <row r="1748">
      <c r="A1748" s="126" t="n">
        <v>14722</v>
      </c>
      <c r="B1748" s="126" t="inlineStr">
        <is>
          <t>United Kingdom</t>
        </is>
      </c>
      <c r="C1748" s="126" t="n">
        <v>148</v>
      </c>
      <c r="D1748" s="126" t="n">
        <v>1</v>
      </c>
      <c r="E1748" s="127" t="n">
        <v>187.92</v>
      </c>
      <c r="F1748" s="128">
        <f>IF(C1748&lt;=30,5,IF(C1748&lt;=60,4,IF(C1748&lt;=120,3,IF(C1748&lt;=200,2,1))))</f>
        <v/>
      </c>
      <c r="G1748" s="128">
        <f>IF(D1748&gt;=20,5,IF(D1748&gt;=10,4,IF(D1748&gt;=5,3,IF(D1748&gt;=2,2,1))))</f>
        <v/>
      </c>
      <c r="H1748" s="128">
        <f>IF(E1748&gt;=5000,5,IF(E1748&gt;=2000,4,IF(E1748&gt;=800,3,IF(E1748&gt;=300,2,1))))</f>
        <v/>
      </c>
      <c r="I1748" s="126">
        <f>TEXT(F1748,"0")&amp;TEXT(G1748,"0")&amp;TEXT(H1748,"0")</f>
        <v/>
      </c>
      <c r="J1748" s="126">
        <f>IFERROR(XLOOKUP(I1748,'Segment Map'!A:A,'Segment Map'!B:B,"Need Attention"),"Need Attention")</f>
        <v/>
      </c>
      <c r="K1748" s="126">
        <f>IF(E1748&gt;=5000,"🏆 Platinum",IF(E1748&gt;=2000,"🥇 Gold",IF(E1748&gt;=800,"🥈 Silver","🥉 Bronze")))</f>
        <v/>
      </c>
      <c r="L1748" s="129" t="n">
        <v>40739</v>
      </c>
    </row>
    <row r="1749">
      <c r="A1749" s="122" t="n">
        <v>14723</v>
      </c>
      <c r="B1749" s="122" t="inlineStr">
        <is>
          <t>United Kingdom</t>
        </is>
      </c>
      <c r="C1749" s="122" t="n">
        <v>11</v>
      </c>
      <c r="D1749" s="122" t="n">
        <v>6</v>
      </c>
      <c r="E1749" s="123" t="n">
        <v>1158.3</v>
      </c>
      <c r="F1749" s="124">
        <f>IF(C1749&lt;=30,5,IF(C1749&lt;=60,4,IF(C1749&lt;=120,3,IF(C1749&lt;=200,2,1))))</f>
        <v/>
      </c>
      <c r="G1749" s="124">
        <f>IF(D1749&gt;=20,5,IF(D1749&gt;=10,4,IF(D1749&gt;=5,3,IF(D1749&gt;=2,2,1))))</f>
        <v/>
      </c>
      <c r="H1749" s="124">
        <f>IF(E1749&gt;=5000,5,IF(E1749&gt;=2000,4,IF(E1749&gt;=800,3,IF(E1749&gt;=300,2,1))))</f>
        <v/>
      </c>
      <c r="I1749" s="122">
        <f>TEXT(F1749,"0")&amp;TEXT(G1749,"0")&amp;TEXT(H1749,"0")</f>
        <v/>
      </c>
      <c r="J1749" s="122">
        <f>IFERROR(XLOOKUP(I1749,'Segment Map'!A:A,'Segment Map'!B:B,"Need Attention"),"Need Attention")</f>
        <v/>
      </c>
      <c r="K1749" s="122">
        <f>IF(E1749&gt;=5000,"🏆 Platinum",IF(E1749&gt;=2000,"🥇 Gold",IF(E1749&gt;=800,"🥈 Silver","🥉 Bronze")))</f>
        <v/>
      </c>
      <c r="L1749" s="125" t="n">
        <v>40876</v>
      </c>
    </row>
    <row r="1750">
      <c r="A1750" s="126" t="n">
        <v>14725</v>
      </c>
      <c r="B1750" s="126" t="inlineStr">
        <is>
          <t>United Kingdom</t>
        </is>
      </c>
      <c r="C1750" s="126" t="n">
        <v>25</v>
      </c>
      <c r="D1750" s="126" t="n">
        <v>1</v>
      </c>
      <c r="E1750" s="127" t="n">
        <v>718.08</v>
      </c>
      <c r="F1750" s="128">
        <f>IF(C1750&lt;=30,5,IF(C1750&lt;=60,4,IF(C1750&lt;=120,3,IF(C1750&lt;=200,2,1))))</f>
        <v/>
      </c>
      <c r="G1750" s="128">
        <f>IF(D1750&gt;=20,5,IF(D1750&gt;=10,4,IF(D1750&gt;=5,3,IF(D1750&gt;=2,2,1))))</f>
        <v/>
      </c>
      <c r="H1750" s="128">
        <f>IF(E1750&gt;=5000,5,IF(E1750&gt;=2000,4,IF(E1750&gt;=800,3,IF(E1750&gt;=300,2,1))))</f>
        <v/>
      </c>
      <c r="I1750" s="126">
        <f>TEXT(F1750,"0")&amp;TEXT(G1750,"0")&amp;TEXT(H1750,"0")</f>
        <v/>
      </c>
      <c r="J1750" s="126">
        <f>IFERROR(XLOOKUP(I1750,'Segment Map'!A:A,'Segment Map'!B:B,"Need Attention"),"Need Attention")</f>
        <v/>
      </c>
      <c r="K1750" s="126">
        <f>IF(E1750&gt;=5000,"🏆 Platinum",IF(E1750&gt;=2000,"🥇 Gold",IF(E1750&gt;=800,"🥈 Silver","🥉 Bronze")))</f>
        <v/>
      </c>
      <c r="L1750" s="129" t="n">
        <v>40862</v>
      </c>
    </row>
    <row r="1751">
      <c r="A1751" s="122" t="n">
        <v>14727</v>
      </c>
      <c r="B1751" s="122" t="inlineStr">
        <is>
          <t>United Kingdom</t>
        </is>
      </c>
      <c r="C1751" s="122" t="n">
        <v>275</v>
      </c>
      <c r="D1751" s="122" t="n">
        <v>1</v>
      </c>
      <c r="E1751" s="123" t="n">
        <v>268.58</v>
      </c>
      <c r="F1751" s="124">
        <f>IF(C1751&lt;=30,5,IF(C1751&lt;=60,4,IF(C1751&lt;=120,3,IF(C1751&lt;=200,2,1))))</f>
        <v/>
      </c>
      <c r="G1751" s="124">
        <f>IF(D1751&gt;=20,5,IF(D1751&gt;=10,4,IF(D1751&gt;=5,3,IF(D1751&gt;=2,2,1))))</f>
        <v/>
      </c>
      <c r="H1751" s="124">
        <f>IF(E1751&gt;=5000,5,IF(E1751&gt;=2000,4,IF(E1751&gt;=800,3,IF(E1751&gt;=300,2,1))))</f>
        <v/>
      </c>
      <c r="I1751" s="122">
        <f>TEXT(F1751,"0")&amp;TEXT(G1751,"0")&amp;TEXT(H1751,"0")</f>
        <v/>
      </c>
      <c r="J1751" s="122">
        <f>IFERROR(XLOOKUP(I1751,'Segment Map'!A:A,'Segment Map'!B:B,"Need Attention"),"Need Attention")</f>
        <v/>
      </c>
      <c r="K1751" s="122">
        <f>IF(E1751&gt;=5000,"🏆 Platinum",IF(E1751&gt;=2000,"🥇 Gold",IF(E1751&gt;=800,"🥈 Silver","🥉 Bronze")))</f>
        <v/>
      </c>
      <c r="L1751" s="125" t="n">
        <v>40612</v>
      </c>
    </row>
    <row r="1752">
      <c r="A1752" s="126" t="n">
        <v>14729</v>
      </c>
      <c r="B1752" s="126" t="inlineStr">
        <is>
          <t>United Kingdom</t>
        </is>
      </c>
      <c r="C1752" s="126" t="n">
        <v>374</v>
      </c>
      <c r="D1752" s="126" t="n">
        <v>1</v>
      </c>
      <c r="E1752" s="127" t="n">
        <v>313.49</v>
      </c>
      <c r="F1752" s="128">
        <f>IF(C1752&lt;=30,5,IF(C1752&lt;=60,4,IF(C1752&lt;=120,3,IF(C1752&lt;=200,2,1))))</f>
        <v/>
      </c>
      <c r="G1752" s="128">
        <f>IF(D1752&gt;=20,5,IF(D1752&gt;=10,4,IF(D1752&gt;=5,3,IF(D1752&gt;=2,2,1))))</f>
        <v/>
      </c>
      <c r="H1752" s="128">
        <f>IF(E1752&gt;=5000,5,IF(E1752&gt;=2000,4,IF(E1752&gt;=800,3,IF(E1752&gt;=300,2,1))))</f>
        <v/>
      </c>
      <c r="I1752" s="126">
        <f>TEXT(F1752,"0")&amp;TEXT(G1752,"0")&amp;TEXT(H1752,"0")</f>
        <v/>
      </c>
      <c r="J1752" s="126">
        <f>IFERROR(XLOOKUP(I1752,'Segment Map'!A:A,'Segment Map'!B:B,"Need Attention"),"Need Attention")</f>
        <v/>
      </c>
      <c r="K1752" s="126">
        <f>IF(E1752&gt;=5000,"🏆 Platinum",IF(E1752&gt;=2000,"🥇 Gold",IF(E1752&gt;=800,"🥈 Silver","🥉 Bronze")))</f>
        <v/>
      </c>
      <c r="L1752" s="129" t="n">
        <v>40513</v>
      </c>
    </row>
    <row r="1753">
      <c r="A1753" s="122" t="n">
        <v>14730</v>
      </c>
      <c r="B1753" s="122" t="inlineStr">
        <is>
          <t>United Kingdom</t>
        </is>
      </c>
      <c r="C1753" s="122" t="n">
        <v>2</v>
      </c>
      <c r="D1753" s="122" t="n">
        <v>8</v>
      </c>
      <c r="E1753" s="123" t="n">
        <v>2005.06</v>
      </c>
      <c r="F1753" s="124">
        <f>IF(C1753&lt;=30,5,IF(C1753&lt;=60,4,IF(C1753&lt;=120,3,IF(C1753&lt;=200,2,1))))</f>
        <v/>
      </c>
      <c r="G1753" s="124">
        <f>IF(D1753&gt;=20,5,IF(D1753&gt;=10,4,IF(D1753&gt;=5,3,IF(D1753&gt;=2,2,1))))</f>
        <v/>
      </c>
      <c r="H1753" s="124">
        <f>IF(E1753&gt;=5000,5,IF(E1753&gt;=2000,4,IF(E1753&gt;=800,3,IF(E1753&gt;=300,2,1))))</f>
        <v/>
      </c>
      <c r="I1753" s="122">
        <f>TEXT(F1753,"0")&amp;TEXT(G1753,"0")&amp;TEXT(H1753,"0")</f>
        <v/>
      </c>
      <c r="J1753" s="122">
        <f>IFERROR(XLOOKUP(I1753,'Segment Map'!A:A,'Segment Map'!B:B,"Need Attention"),"Need Attention")</f>
        <v/>
      </c>
      <c r="K1753" s="122">
        <f>IF(E1753&gt;=5000,"🏆 Platinum",IF(E1753&gt;=2000,"🥇 Gold",IF(E1753&gt;=800,"🥈 Silver","🥉 Bronze")))</f>
        <v/>
      </c>
      <c r="L1753" s="125" t="n">
        <v>40885</v>
      </c>
    </row>
    <row r="1754">
      <c r="A1754" s="126" t="n">
        <v>14731</v>
      </c>
      <c r="B1754" s="126" t="inlineStr">
        <is>
          <t>United Kingdom</t>
        </is>
      </c>
      <c r="C1754" s="126" t="n">
        <v>48</v>
      </c>
      <c r="D1754" s="126" t="n">
        <v>3</v>
      </c>
      <c r="E1754" s="127" t="n">
        <v>380.02</v>
      </c>
      <c r="F1754" s="128">
        <f>IF(C1754&lt;=30,5,IF(C1754&lt;=60,4,IF(C1754&lt;=120,3,IF(C1754&lt;=200,2,1))))</f>
        <v/>
      </c>
      <c r="G1754" s="128">
        <f>IF(D1754&gt;=20,5,IF(D1754&gt;=10,4,IF(D1754&gt;=5,3,IF(D1754&gt;=2,2,1))))</f>
        <v/>
      </c>
      <c r="H1754" s="128">
        <f>IF(E1754&gt;=5000,5,IF(E1754&gt;=2000,4,IF(E1754&gt;=800,3,IF(E1754&gt;=300,2,1))))</f>
        <v/>
      </c>
      <c r="I1754" s="126">
        <f>TEXT(F1754,"0")&amp;TEXT(G1754,"0")&amp;TEXT(H1754,"0")</f>
        <v/>
      </c>
      <c r="J1754" s="126">
        <f>IFERROR(XLOOKUP(I1754,'Segment Map'!A:A,'Segment Map'!B:B,"Need Attention"),"Need Attention")</f>
        <v/>
      </c>
      <c r="K1754" s="126">
        <f>IF(E1754&gt;=5000,"🏆 Platinum",IF(E1754&gt;=2000,"🥇 Gold",IF(E1754&gt;=800,"🥈 Silver","🥉 Bronze")))</f>
        <v/>
      </c>
      <c r="L1754" s="129" t="n">
        <v>40839</v>
      </c>
    </row>
    <row r="1755">
      <c r="A1755" s="122" t="n">
        <v>14732</v>
      </c>
      <c r="B1755" s="122" t="inlineStr">
        <is>
          <t>United Kingdom</t>
        </is>
      </c>
      <c r="C1755" s="122" t="n">
        <v>9</v>
      </c>
      <c r="D1755" s="122" t="n">
        <v>8</v>
      </c>
      <c r="E1755" s="123" t="n">
        <v>2702.49</v>
      </c>
      <c r="F1755" s="124">
        <f>IF(C1755&lt;=30,5,IF(C1755&lt;=60,4,IF(C1755&lt;=120,3,IF(C1755&lt;=200,2,1))))</f>
        <v/>
      </c>
      <c r="G1755" s="124">
        <f>IF(D1755&gt;=20,5,IF(D1755&gt;=10,4,IF(D1755&gt;=5,3,IF(D1755&gt;=2,2,1))))</f>
        <v/>
      </c>
      <c r="H1755" s="124">
        <f>IF(E1755&gt;=5000,5,IF(E1755&gt;=2000,4,IF(E1755&gt;=800,3,IF(E1755&gt;=300,2,1))))</f>
        <v/>
      </c>
      <c r="I1755" s="122">
        <f>TEXT(F1755,"0")&amp;TEXT(G1755,"0")&amp;TEXT(H1755,"0")</f>
        <v/>
      </c>
      <c r="J1755" s="122">
        <f>IFERROR(XLOOKUP(I1755,'Segment Map'!A:A,'Segment Map'!B:B,"Need Attention"),"Need Attention")</f>
        <v/>
      </c>
      <c r="K1755" s="122">
        <f>IF(E1755&gt;=5000,"🏆 Platinum",IF(E1755&gt;=2000,"🥇 Gold",IF(E1755&gt;=800,"🥈 Silver","🥉 Bronze")))</f>
        <v/>
      </c>
      <c r="L1755" s="125" t="n">
        <v>40878</v>
      </c>
    </row>
    <row r="1756">
      <c r="A1756" s="126" t="n">
        <v>14733</v>
      </c>
      <c r="B1756" s="126" t="inlineStr">
        <is>
          <t>United Kingdom</t>
        </is>
      </c>
      <c r="C1756" s="126" t="n">
        <v>17</v>
      </c>
      <c r="D1756" s="126" t="n">
        <v>12</v>
      </c>
      <c r="E1756" s="127" t="n">
        <v>9585.91</v>
      </c>
      <c r="F1756" s="128">
        <f>IF(C1756&lt;=30,5,IF(C1756&lt;=60,4,IF(C1756&lt;=120,3,IF(C1756&lt;=200,2,1))))</f>
        <v/>
      </c>
      <c r="G1756" s="128">
        <f>IF(D1756&gt;=20,5,IF(D1756&gt;=10,4,IF(D1756&gt;=5,3,IF(D1756&gt;=2,2,1))))</f>
        <v/>
      </c>
      <c r="H1756" s="128">
        <f>IF(E1756&gt;=5000,5,IF(E1756&gt;=2000,4,IF(E1756&gt;=800,3,IF(E1756&gt;=300,2,1))))</f>
        <v/>
      </c>
      <c r="I1756" s="126">
        <f>TEXT(F1756,"0")&amp;TEXT(G1756,"0")&amp;TEXT(H1756,"0")</f>
        <v/>
      </c>
      <c r="J1756" s="126">
        <f>IFERROR(XLOOKUP(I1756,'Segment Map'!A:A,'Segment Map'!B:B,"Need Attention"),"Need Attention")</f>
        <v/>
      </c>
      <c r="K1756" s="126">
        <f>IF(E1756&gt;=5000,"🏆 Platinum",IF(E1756&gt;=2000,"🥇 Gold",IF(E1756&gt;=800,"🥈 Silver","🥉 Bronze")))</f>
        <v/>
      </c>
      <c r="L1756" s="129" t="n">
        <v>40870</v>
      </c>
    </row>
    <row r="1757">
      <c r="A1757" s="122" t="n">
        <v>14735</v>
      </c>
      <c r="B1757" s="122" t="inlineStr">
        <is>
          <t>United Kingdom</t>
        </is>
      </c>
      <c r="C1757" s="122" t="n">
        <v>4</v>
      </c>
      <c r="D1757" s="122" t="n">
        <v>32</v>
      </c>
      <c r="E1757" s="123" t="n">
        <v>6065.69</v>
      </c>
      <c r="F1757" s="124">
        <f>IF(C1757&lt;=30,5,IF(C1757&lt;=60,4,IF(C1757&lt;=120,3,IF(C1757&lt;=200,2,1))))</f>
        <v/>
      </c>
      <c r="G1757" s="124">
        <f>IF(D1757&gt;=20,5,IF(D1757&gt;=10,4,IF(D1757&gt;=5,3,IF(D1757&gt;=2,2,1))))</f>
        <v/>
      </c>
      <c r="H1757" s="124">
        <f>IF(E1757&gt;=5000,5,IF(E1757&gt;=2000,4,IF(E1757&gt;=800,3,IF(E1757&gt;=300,2,1))))</f>
        <v/>
      </c>
      <c r="I1757" s="122">
        <f>TEXT(F1757,"0")&amp;TEXT(G1757,"0")&amp;TEXT(H1757,"0")</f>
        <v/>
      </c>
      <c r="J1757" s="122">
        <f>IFERROR(XLOOKUP(I1757,'Segment Map'!A:A,'Segment Map'!B:B,"Need Attention"),"Need Attention")</f>
        <v/>
      </c>
      <c r="K1757" s="122">
        <f>IF(E1757&gt;=5000,"🏆 Platinum",IF(E1757&gt;=2000,"🥇 Gold",IF(E1757&gt;=800,"🥈 Silver","🥉 Bronze")))</f>
        <v/>
      </c>
      <c r="L1757" s="125" t="n">
        <v>40883</v>
      </c>
    </row>
    <row r="1758">
      <c r="A1758" s="126" t="n">
        <v>14737</v>
      </c>
      <c r="B1758" s="126" t="inlineStr">
        <is>
          <t>United Kingdom</t>
        </is>
      </c>
      <c r="C1758" s="126" t="n">
        <v>4</v>
      </c>
      <c r="D1758" s="126" t="n">
        <v>3</v>
      </c>
      <c r="E1758" s="127" t="n">
        <v>1164.55</v>
      </c>
      <c r="F1758" s="128">
        <f>IF(C1758&lt;=30,5,IF(C1758&lt;=60,4,IF(C1758&lt;=120,3,IF(C1758&lt;=200,2,1))))</f>
        <v/>
      </c>
      <c r="G1758" s="128">
        <f>IF(D1758&gt;=20,5,IF(D1758&gt;=10,4,IF(D1758&gt;=5,3,IF(D1758&gt;=2,2,1))))</f>
        <v/>
      </c>
      <c r="H1758" s="128">
        <f>IF(E1758&gt;=5000,5,IF(E1758&gt;=2000,4,IF(E1758&gt;=800,3,IF(E1758&gt;=300,2,1))))</f>
        <v/>
      </c>
      <c r="I1758" s="126">
        <f>TEXT(F1758,"0")&amp;TEXT(G1758,"0")&amp;TEXT(H1758,"0")</f>
        <v/>
      </c>
      <c r="J1758" s="126">
        <f>IFERROR(XLOOKUP(I1758,'Segment Map'!A:A,'Segment Map'!B:B,"Need Attention"),"Need Attention")</f>
        <v/>
      </c>
      <c r="K1758" s="126">
        <f>IF(E1758&gt;=5000,"🏆 Platinum",IF(E1758&gt;=2000,"🥇 Gold",IF(E1758&gt;=800,"🥈 Silver","🥉 Bronze")))</f>
        <v/>
      </c>
      <c r="L1758" s="129" t="n">
        <v>40883</v>
      </c>
    </row>
    <row r="1759">
      <c r="A1759" s="122" t="n">
        <v>14738</v>
      </c>
      <c r="B1759" s="122" t="inlineStr">
        <is>
          <t>United Kingdom</t>
        </is>
      </c>
      <c r="C1759" s="122" t="n">
        <v>43</v>
      </c>
      <c r="D1759" s="122" t="n">
        <v>7</v>
      </c>
      <c r="E1759" s="123" t="n">
        <v>1314.45</v>
      </c>
      <c r="F1759" s="124">
        <f>IF(C1759&lt;=30,5,IF(C1759&lt;=60,4,IF(C1759&lt;=120,3,IF(C1759&lt;=200,2,1))))</f>
        <v/>
      </c>
      <c r="G1759" s="124">
        <f>IF(D1759&gt;=20,5,IF(D1759&gt;=10,4,IF(D1759&gt;=5,3,IF(D1759&gt;=2,2,1))))</f>
        <v/>
      </c>
      <c r="H1759" s="124">
        <f>IF(E1759&gt;=5000,5,IF(E1759&gt;=2000,4,IF(E1759&gt;=800,3,IF(E1759&gt;=300,2,1))))</f>
        <v/>
      </c>
      <c r="I1759" s="122">
        <f>TEXT(F1759,"0")&amp;TEXT(G1759,"0")&amp;TEXT(H1759,"0")</f>
        <v/>
      </c>
      <c r="J1759" s="122">
        <f>IFERROR(XLOOKUP(I1759,'Segment Map'!A:A,'Segment Map'!B:B,"Need Attention"),"Need Attention")</f>
        <v/>
      </c>
      <c r="K1759" s="122">
        <f>IF(E1759&gt;=5000,"🏆 Platinum",IF(E1759&gt;=2000,"🥇 Gold",IF(E1759&gt;=800,"🥈 Silver","🥉 Bronze")))</f>
        <v/>
      </c>
      <c r="L1759" s="125" t="n">
        <v>40844</v>
      </c>
    </row>
    <row r="1760">
      <c r="A1760" s="126" t="n">
        <v>14739</v>
      </c>
      <c r="B1760" s="126" t="inlineStr">
        <is>
          <t>United Kingdom</t>
        </is>
      </c>
      <c r="C1760" s="126" t="n">
        <v>5</v>
      </c>
      <c r="D1760" s="126" t="n">
        <v>7</v>
      </c>
      <c r="E1760" s="127" t="n">
        <v>3902.28</v>
      </c>
      <c r="F1760" s="128">
        <f>IF(C1760&lt;=30,5,IF(C1760&lt;=60,4,IF(C1760&lt;=120,3,IF(C1760&lt;=200,2,1))))</f>
        <v/>
      </c>
      <c r="G1760" s="128">
        <f>IF(D1760&gt;=20,5,IF(D1760&gt;=10,4,IF(D1760&gt;=5,3,IF(D1760&gt;=2,2,1))))</f>
        <v/>
      </c>
      <c r="H1760" s="128">
        <f>IF(E1760&gt;=5000,5,IF(E1760&gt;=2000,4,IF(E1760&gt;=800,3,IF(E1760&gt;=300,2,1))))</f>
        <v/>
      </c>
      <c r="I1760" s="126">
        <f>TEXT(F1760,"0")&amp;TEXT(G1760,"0")&amp;TEXT(H1760,"0")</f>
        <v/>
      </c>
      <c r="J1760" s="126">
        <f>IFERROR(XLOOKUP(I1760,'Segment Map'!A:A,'Segment Map'!B:B,"Need Attention"),"Need Attention")</f>
        <v/>
      </c>
      <c r="K1760" s="126">
        <f>IF(E1760&gt;=5000,"🏆 Platinum",IF(E1760&gt;=2000,"🥇 Gold",IF(E1760&gt;=800,"🥈 Silver","🥉 Bronze")))</f>
        <v/>
      </c>
      <c r="L1760" s="129" t="n">
        <v>40882</v>
      </c>
    </row>
    <row r="1761">
      <c r="A1761" s="122" t="n">
        <v>14740</v>
      </c>
      <c r="B1761" s="122" t="inlineStr">
        <is>
          <t>United Kingdom</t>
        </is>
      </c>
      <c r="C1761" s="122" t="n">
        <v>198</v>
      </c>
      <c r="D1761" s="122" t="n">
        <v>3</v>
      </c>
      <c r="E1761" s="123" t="n">
        <v>1448.21</v>
      </c>
      <c r="F1761" s="124">
        <f>IF(C1761&lt;=30,5,IF(C1761&lt;=60,4,IF(C1761&lt;=120,3,IF(C1761&lt;=200,2,1))))</f>
        <v/>
      </c>
      <c r="G1761" s="124">
        <f>IF(D1761&gt;=20,5,IF(D1761&gt;=10,4,IF(D1761&gt;=5,3,IF(D1761&gt;=2,2,1))))</f>
        <v/>
      </c>
      <c r="H1761" s="124">
        <f>IF(E1761&gt;=5000,5,IF(E1761&gt;=2000,4,IF(E1761&gt;=800,3,IF(E1761&gt;=300,2,1))))</f>
        <v/>
      </c>
      <c r="I1761" s="122">
        <f>TEXT(F1761,"0")&amp;TEXT(G1761,"0")&amp;TEXT(H1761,"0")</f>
        <v/>
      </c>
      <c r="J1761" s="122">
        <f>IFERROR(XLOOKUP(I1761,'Segment Map'!A:A,'Segment Map'!B:B,"Need Attention"),"Need Attention")</f>
        <v/>
      </c>
      <c r="K1761" s="122">
        <f>IF(E1761&gt;=5000,"🏆 Platinum",IF(E1761&gt;=2000,"🥇 Gold",IF(E1761&gt;=800,"🥈 Silver","🥉 Bronze")))</f>
        <v/>
      </c>
      <c r="L1761" s="125" t="n">
        <v>40689</v>
      </c>
    </row>
    <row r="1762">
      <c r="A1762" s="126" t="n">
        <v>14741</v>
      </c>
      <c r="B1762" s="126" t="inlineStr">
        <is>
          <t>United Kingdom</t>
        </is>
      </c>
      <c r="C1762" s="126" t="n">
        <v>12</v>
      </c>
      <c r="D1762" s="126" t="n">
        <v>6</v>
      </c>
      <c r="E1762" s="127" t="n">
        <v>1400.34</v>
      </c>
      <c r="F1762" s="128">
        <f>IF(C1762&lt;=30,5,IF(C1762&lt;=60,4,IF(C1762&lt;=120,3,IF(C1762&lt;=200,2,1))))</f>
        <v/>
      </c>
      <c r="G1762" s="128">
        <f>IF(D1762&gt;=20,5,IF(D1762&gt;=10,4,IF(D1762&gt;=5,3,IF(D1762&gt;=2,2,1))))</f>
        <v/>
      </c>
      <c r="H1762" s="128">
        <f>IF(E1762&gt;=5000,5,IF(E1762&gt;=2000,4,IF(E1762&gt;=800,3,IF(E1762&gt;=300,2,1))))</f>
        <v/>
      </c>
      <c r="I1762" s="126">
        <f>TEXT(F1762,"0")&amp;TEXT(G1762,"0")&amp;TEXT(H1762,"0")</f>
        <v/>
      </c>
      <c r="J1762" s="126">
        <f>IFERROR(XLOOKUP(I1762,'Segment Map'!A:A,'Segment Map'!B:B,"Need Attention"),"Need Attention")</f>
        <v/>
      </c>
      <c r="K1762" s="126">
        <f>IF(E1762&gt;=5000,"🏆 Platinum",IF(E1762&gt;=2000,"🥇 Gold",IF(E1762&gt;=800,"🥈 Silver","🥉 Bronze")))</f>
        <v/>
      </c>
      <c r="L1762" s="129" t="n">
        <v>40875</v>
      </c>
    </row>
    <row r="1763">
      <c r="A1763" s="122" t="n">
        <v>14744</v>
      </c>
      <c r="B1763" s="122" t="inlineStr">
        <is>
          <t>United Kingdom</t>
        </is>
      </c>
      <c r="C1763" s="122" t="n">
        <v>17</v>
      </c>
      <c r="D1763" s="122" t="n">
        <v>7</v>
      </c>
      <c r="E1763" s="123" t="n">
        <v>1099.98</v>
      </c>
      <c r="F1763" s="124">
        <f>IF(C1763&lt;=30,5,IF(C1763&lt;=60,4,IF(C1763&lt;=120,3,IF(C1763&lt;=200,2,1))))</f>
        <v/>
      </c>
      <c r="G1763" s="124">
        <f>IF(D1763&gt;=20,5,IF(D1763&gt;=10,4,IF(D1763&gt;=5,3,IF(D1763&gt;=2,2,1))))</f>
        <v/>
      </c>
      <c r="H1763" s="124">
        <f>IF(E1763&gt;=5000,5,IF(E1763&gt;=2000,4,IF(E1763&gt;=800,3,IF(E1763&gt;=300,2,1))))</f>
        <v/>
      </c>
      <c r="I1763" s="122">
        <f>TEXT(F1763,"0")&amp;TEXT(G1763,"0")&amp;TEXT(H1763,"0")</f>
        <v/>
      </c>
      <c r="J1763" s="122">
        <f>IFERROR(XLOOKUP(I1763,'Segment Map'!A:A,'Segment Map'!B:B,"Need Attention"),"Need Attention")</f>
        <v/>
      </c>
      <c r="K1763" s="122">
        <f>IF(E1763&gt;=5000,"🏆 Platinum",IF(E1763&gt;=2000,"🥇 Gold",IF(E1763&gt;=800,"🥈 Silver","🥉 Bronze")))</f>
        <v/>
      </c>
      <c r="L1763" s="125" t="n">
        <v>40870</v>
      </c>
    </row>
    <row r="1764">
      <c r="A1764" s="126" t="n">
        <v>14745</v>
      </c>
      <c r="B1764" s="126" t="inlineStr">
        <is>
          <t>United Kingdom</t>
        </is>
      </c>
      <c r="C1764" s="126" t="n">
        <v>113</v>
      </c>
      <c r="D1764" s="126" t="n">
        <v>5</v>
      </c>
      <c r="E1764" s="127" t="n">
        <v>1220.26</v>
      </c>
      <c r="F1764" s="128">
        <f>IF(C1764&lt;=30,5,IF(C1764&lt;=60,4,IF(C1764&lt;=120,3,IF(C1764&lt;=200,2,1))))</f>
        <v/>
      </c>
      <c r="G1764" s="128">
        <f>IF(D1764&gt;=20,5,IF(D1764&gt;=10,4,IF(D1764&gt;=5,3,IF(D1764&gt;=2,2,1))))</f>
        <v/>
      </c>
      <c r="H1764" s="128">
        <f>IF(E1764&gt;=5000,5,IF(E1764&gt;=2000,4,IF(E1764&gt;=800,3,IF(E1764&gt;=300,2,1))))</f>
        <v/>
      </c>
      <c r="I1764" s="126">
        <f>TEXT(F1764,"0")&amp;TEXT(G1764,"0")&amp;TEXT(H1764,"0")</f>
        <v/>
      </c>
      <c r="J1764" s="126">
        <f>IFERROR(XLOOKUP(I1764,'Segment Map'!A:A,'Segment Map'!B:B,"Need Attention"),"Need Attention")</f>
        <v/>
      </c>
      <c r="K1764" s="126">
        <f>IF(E1764&gt;=5000,"🏆 Platinum",IF(E1764&gt;=2000,"🥇 Gold",IF(E1764&gt;=800,"🥈 Silver","🥉 Bronze")))</f>
        <v/>
      </c>
      <c r="L1764" s="129" t="n">
        <v>40774</v>
      </c>
    </row>
    <row r="1765">
      <c r="A1765" s="122" t="n">
        <v>14747</v>
      </c>
      <c r="B1765" s="122" t="inlineStr">
        <is>
          <t>United Kingdom</t>
        </is>
      </c>
      <c r="C1765" s="122" t="n">
        <v>250</v>
      </c>
      <c r="D1765" s="122" t="n">
        <v>1</v>
      </c>
      <c r="E1765" s="123" t="n">
        <v>328.2</v>
      </c>
      <c r="F1765" s="124">
        <f>IF(C1765&lt;=30,5,IF(C1765&lt;=60,4,IF(C1765&lt;=120,3,IF(C1765&lt;=200,2,1))))</f>
        <v/>
      </c>
      <c r="G1765" s="124">
        <f>IF(D1765&gt;=20,5,IF(D1765&gt;=10,4,IF(D1765&gt;=5,3,IF(D1765&gt;=2,2,1))))</f>
        <v/>
      </c>
      <c r="H1765" s="124">
        <f>IF(E1765&gt;=5000,5,IF(E1765&gt;=2000,4,IF(E1765&gt;=800,3,IF(E1765&gt;=300,2,1))))</f>
        <v/>
      </c>
      <c r="I1765" s="122">
        <f>TEXT(F1765,"0")&amp;TEXT(G1765,"0")&amp;TEXT(H1765,"0")</f>
        <v/>
      </c>
      <c r="J1765" s="122">
        <f>IFERROR(XLOOKUP(I1765,'Segment Map'!A:A,'Segment Map'!B:B,"Need Attention"),"Need Attention")</f>
        <v/>
      </c>
      <c r="K1765" s="122">
        <f>IF(E1765&gt;=5000,"🏆 Platinum",IF(E1765&gt;=2000,"🥇 Gold",IF(E1765&gt;=800,"🥈 Silver","🥉 Bronze")))</f>
        <v/>
      </c>
      <c r="L1765" s="125" t="n">
        <v>40637</v>
      </c>
    </row>
    <row r="1766">
      <c r="A1766" s="126" t="n">
        <v>14748</v>
      </c>
      <c r="B1766" s="126" t="inlineStr">
        <is>
          <t>United Kingdom</t>
        </is>
      </c>
      <c r="C1766" s="126" t="n">
        <v>30</v>
      </c>
      <c r="D1766" s="126" t="n">
        <v>5</v>
      </c>
      <c r="E1766" s="127" t="n">
        <v>1415.75</v>
      </c>
      <c r="F1766" s="128">
        <f>IF(C1766&lt;=30,5,IF(C1766&lt;=60,4,IF(C1766&lt;=120,3,IF(C1766&lt;=200,2,1))))</f>
        <v/>
      </c>
      <c r="G1766" s="128">
        <f>IF(D1766&gt;=20,5,IF(D1766&gt;=10,4,IF(D1766&gt;=5,3,IF(D1766&gt;=2,2,1))))</f>
        <v/>
      </c>
      <c r="H1766" s="128">
        <f>IF(E1766&gt;=5000,5,IF(E1766&gt;=2000,4,IF(E1766&gt;=800,3,IF(E1766&gt;=300,2,1))))</f>
        <v/>
      </c>
      <c r="I1766" s="126">
        <f>TEXT(F1766,"0")&amp;TEXT(G1766,"0")&amp;TEXT(H1766,"0")</f>
        <v/>
      </c>
      <c r="J1766" s="126">
        <f>IFERROR(XLOOKUP(I1766,'Segment Map'!A:A,'Segment Map'!B:B,"Need Attention"),"Need Attention")</f>
        <v/>
      </c>
      <c r="K1766" s="126">
        <f>IF(E1766&gt;=5000,"🏆 Platinum",IF(E1766&gt;=2000,"🥇 Gold",IF(E1766&gt;=800,"🥈 Silver","🥉 Bronze")))</f>
        <v/>
      </c>
      <c r="L1766" s="129" t="n">
        <v>40857</v>
      </c>
    </row>
    <row r="1767">
      <c r="A1767" s="122" t="n">
        <v>14752</v>
      </c>
      <c r="B1767" s="122" t="inlineStr">
        <is>
          <t>United Kingdom</t>
        </is>
      </c>
      <c r="C1767" s="122" t="n">
        <v>44</v>
      </c>
      <c r="D1767" s="122" t="n">
        <v>1</v>
      </c>
      <c r="E1767" s="123" t="n">
        <v>389.64</v>
      </c>
      <c r="F1767" s="124">
        <f>IF(C1767&lt;=30,5,IF(C1767&lt;=60,4,IF(C1767&lt;=120,3,IF(C1767&lt;=200,2,1))))</f>
        <v/>
      </c>
      <c r="G1767" s="124">
        <f>IF(D1767&gt;=20,5,IF(D1767&gt;=10,4,IF(D1767&gt;=5,3,IF(D1767&gt;=2,2,1))))</f>
        <v/>
      </c>
      <c r="H1767" s="124">
        <f>IF(E1767&gt;=5000,5,IF(E1767&gt;=2000,4,IF(E1767&gt;=800,3,IF(E1767&gt;=300,2,1))))</f>
        <v/>
      </c>
      <c r="I1767" s="122">
        <f>TEXT(F1767,"0")&amp;TEXT(G1767,"0")&amp;TEXT(H1767,"0")</f>
        <v/>
      </c>
      <c r="J1767" s="122">
        <f>IFERROR(XLOOKUP(I1767,'Segment Map'!A:A,'Segment Map'!B:B,"Need Attention"),"Need Attention")</f>
        <v/>
      </c>
      <c r="K1767" s="122">
        <f>IF(E1767&gt;=5000,"🏆 Platinum",IF(E1767&gt;=2000,"🥇 Gold",IF(E1767&gt;=800,"🥈 Silver","🥉 Bronze")))</f>
        <v/>
      </c>
      <c r="L1767" s="125" t="n">
        <v>40843</v>
      </c>
    </row>
    <row r="1768">
      <c r="A1768" s="126" t="n">
        <v>14753</v>
      </c>
      <c r="B1768" s="126" t="inlineStr">
        <is>
          <t>United Kingdom</t>
        </is>
      </c>
      <c r="C1768" s="126" t="n">
        <v>88</v>
      </c>
      <c r="D1768" s="126" t="n">
        <v>1</v>
      </c>
      <c r="E1768" s="127" t="n">
        <v>563.15</v>
      </c>
      <c r="F1768" s="128">
        <f>IF(C1768&lt;=30,5,IF(C1768&lt;=60,4,IF(C1768&lt;=120,3,IF(C1768&lt;=200,2,1))))</f>
        <v/>
      </c>
      <c r="G1768" s="128">
        <f>IF(D1768&gt;=20,5,IF(D1768&gt;=10,4,IF(D1768&gt;=5,3,IF(D1768&gt;=2,2,1))))</f>
        <v/>
      </c>
      <c r="H1768" s="128">
        <f>IF(E1768&gt;=5000,5,IF(E1768&gt;=2000,4,IF(E1768&gt;=800,3,IF(E1768&gt;=300,2,1))))</f>
        <v/>
      </c>
      <c r="I1768" s="126">
        <f>TEXT(F1768,"0")&amp;TEXT(G1768,"0")&amp;TEXT(H1768,"0")</f>
        <v/>
      </c>
      <c r="J1768" s="126">
        <f>IFERROR(XLOOKUP(I1768,'Segment Map'!A:A,'Segment Map'!B:B,"Need Attention"),"Need Attention")</f>
        <v/>
      </c>
      <c r="K1768" s="126">
        <f>IF(E1768&gt;=5000,"🏆 Platinum",IF(E1768&gt;=2000,"🥇 Gold",IF(E1768&gt;=800,"🥈 Silver","🥉 Bronze")))</f>
        <v/>
      </c>
      <c r="L1768" s="129" t="n">
        <v>40799</v>
      </c>
    </row>
    <row r="1769">
      <c r="A1769" s="122" t="n">
        <v>14754</v>
      </c>
      <c r="B1769" s="122" t="inlineStr">
        <is>
          <t>United Kingdom</t>
        </is>
      </c>
      <c r="C1769" s="122" t="n">
        <v>45</v>
      </c>
      <c r="D1769" s="122" t="n">
        <v>2</v>
      </c>
      <c r="E1769" s="123" t="n">
        <v>638.05</v>
      </c>
      <c r="F1769" s="124">
        <f>IF(C1769&lt;=30,5,IF(C1769&lt;=60,4,IF(C1769&lt;=120,3,IF(C1769&lt;=200,2,1))))</f>
        <v/>
      </c>
      <c r="G1769" s="124">
        <f>IF(D1769&gt;=20,5,IF(D1769&gt;=10,4,IF(D1769&gt;=5,3,IF(D1769&gt;=2,2,1))))</f>
        <v/>
      </c>
      <c r="H1769" s="124">
        <f>IF(E1769&gt;=5000,5,IF(E1769&gt;=2000,4,IF(E1769&gt;=800,3,IF(E1769&gt;=300,2,1))))</f>
        <v/>
      </c>
      <c r="I1769" s="122">
        <f>TEXT(F1769,"0")&amp;TEXT(G1769,"0")&amp;TEXT(H1769,"0")</f>
        <v/>
      </c>
      <c r="J1769" s="122">
        <f>IFERROR(XLOOKUP(I1769,'Segment Map'!A:A,'Segment Map'!B:B,"Need Attention"),"Need Attention")</f>
        <v/>
      </c>
      <c r="K1769" s="122">
        <f>IF(E1769&gt;=5000,"🏆 Platinum",IF(E1769&gt;=2000,"🥇 Gold",IF(E1769&gt;=800,"🥈 Silver","🥉 Bronze")))</f>
        <v/>
      </c>
      <c r="L1769" s="125" t="n">
        <v>40842</v>
      </c>
    </row>
    <row r="1770">
      <c r="A1770" s="126" t="n">
        <v>14755</v>
      </c>
      <c r="B1770" s="126" t="inlineStr">
        <is>
          <t>United Kingdom</t>
        </is>
      </c>
      <c r="C1770" s="126" t="n">
        <v>10</v>
      </c>
      <c r="D1770" s="126" t="n">
        <v>11</v>
      </c>
      <c r="E1770" s="127" t="n">
        <v>5010.28</v>
      </c>
      <c r="F1770" s="128">
        <f>IF(C1770&lt;=30,5,IF(C1770&lt;=60,4,IF(C1770&lt;=120,3,IF(C1770&lt;=200,2,1))))</f>
        <v/>
      </c>
      <c r="G1770" s="128">
        <f>IF(D1770&gt;=20,5,IF(D1770&gt;=10,4,IF(D1770&gt;=5,3,IF(D1770&gt;=2,2,1))))</f>
        <v/>
      </c>
      <c r="H1770" s="128">
        <f>IF(E1770&gt;=5000,5,IF(E1770&gt;=2000,4,IF(E1770&gt;=800,3,IF(E1770&gt;=300,2,1))))</f>
        <v/>
      </c>
      <c r="I1770" s="126">
        <f>TEXT(F1770,"0")&amp;TEXT(G1770,"0")&amp;TEXT(H1770,"0")</f>
        <v/>
      </c>
      <c r="J1770" s="126">
        <f>IFERROR(XLOOKUP(I1770,'Segment Map'!A:A,'Segment Map'!B:B,"Need Attention"),"Need Attention")</f>
        <v/>
      </c>
      <c r="K1770" s="126">
        <f>IF(E1770&gt;=5000,"🏆 Platinum",IF(E1770&gt;=2000,"🥇 Gold",IF(E1770&gt;=800,"🥈 Silver","🥉 Bronze")))</f>
        <v/>
      </c>
      <c r="L1770" s="129" t="n">
        <v>40877</v>
      </c>
    </row>
    <row r="1771">
      <c r="A1771" s="122" t="n">
        <v>14756</v>
      </c>
      <c r="B1771" s="122" t="inlineStr">
        <is>
          <t>United Kingdom</t>
        </is>
      </c>
      <c r="C1771" s="122" t="n">
        <v>16</v>
      </c>
      <c r="D1771" s="122" t="n">
        <v>1</v>
      </c>
      <c r="E1771" s="123" t="n">
        <v>738.96</v>
      </c>
      <c r="F1771" s="124">
        <f>IF(C1771&lt;=30,5,IF(C1771&lt;=60,4,IF(C1771&lt;=120,3,IF(C1771&lt;=200,2,1))))</f>
        <v/>
      </c>
      <c r="G1771" s="124">
        <f>IF(D1771&gt;=20,5,IF(D1771&gt;=10,4,IF(D1771&gt;=5,3,IF(D1771&gt;=2,2,1))))</f>
        <v/>
      </c>
      <c r="H1771" s="124">
        <f>IF(E1771&gt;=5000,5,IF(E1771&gt;=2000,4,IF(E1771&gt;=800,3,IF(E1771&gt;=300,2,1))))</f>
        <v/>
      </c>
      <c r="I1771" s="122">
        <f>TEXT(F1771,"0")&amp;TEXT(G1771,"0")&amp;TEXT(H1771,"0")</f>
        <v/>
      </c>
      <c r="J1771" s="122">
        <f>IFERROR(XLOOKUP(I1771,'Segment Map'!A:A,'Segment Map'!B:B,"Need Attention"),"Need Attention")</f>
        <v/>
      </c>
      <c r="K1771" s="122">
        <f>IF(E1771&gt;=5000,"🏆 Platinum",IF(E1771&gt;=2000,"🥇 Gold",IF(E1771&gt;=800,"🥈 Silver","🥉 Bronze")))</f>
        <v/>
      </c>
      <c r="L1771" s="125" t="n">
        <v>40871</v>
      </c>
    </row>
    <row r="1772">
      <c r="A1772" s="126" t="n">
        <v>14757</v>
      </c>
      <c r="B1772" s="126" t="inlineStr">
        <is>
          <t>United Kingdom</t>
        </is>
      </c>
      <c r="C1772" s="126" t="n">
        <v>76</v>
      </c>
      <c r="D1772" s="126" t="n">
        <v>1</v>
      </c>
      <c r="E1772" s="127" t="n">
        <v>420.5</v>
      </c>
      <c r="F1772" s="128">
        <f>IF(C1772&lt;=30,5,IF(C1772&lt;=60,4,IF(C1772&lt;=120,3,IF(C1772&lt;=200,2,1))))</f>
        <v/>
      </c>
      <c r="G1772" s="128">
        <f>IF(D1772&gt;=20,5,IF(D1772&gt;=10,4,IF(D1772&gt;=5,3,IF(D1772&gt;=2,2,1))))</f>
        <v/>
      </c>
      <c r="H1772" s="128">
        <f>IF(E1772&gt;=5000,5,IF(E1772&gt;=2000,4,IF(E1772&gt;=800,3,IF(E1772&gt;=300,2,1))))</f>
        <v/>
      </c>
      <c r="I1772" s="126">
        <f>TEXT(F1772,"0")&amp;TEXT(G1772,"0")&amp;TEXT(H1772,"0")</f>
        <v/>
      </c>
      <c r="J1772" s="126">
        <f>IFERROR(XLOOKUP(I1772,'Segment Map'!A:A,'Segment Map'!B:B,"Need Attention"),"Need Attention")</f>
        <v/>
      </c>
      <c r="K1772" s="126">
        <f>IF(E1772&gt;=5000,"🏆 Platinum",IF(E1772&gt;=2000,"🥇 Gold",IF(E1772&gt;=800,"🥈 Silver","🥉 Bronze")))</f>
        <v/>
      </c>
      <c r="L1772" s="129" t="n">
        <v>40811</v>
      </c>
    </row>
    <row r="1773">
      <c r="A1773" s="122" t="n">
        <v>14758</v>
      </c>
      <c r="B1773" s="122" t="inlineStr">
        <is>
          <t>United Kingdom</t>
        </is>
      </c>
      <c r="C1773" s="122" t="n">
        <v>145</v>
      </c>
      <c r="D1773" s="122" t="n">
        <v>4</v>
      </c>
      <c r="E1773" s="123" t="n">
        <v>1484.06</v>
      </c>
      <c r="F1773" s="124">
        <f>IF(C1773&lt;=30,5,IF(C1773&lt;=60,4,IF(C1773&lt;=120,3,IF(C1773&lt;=200,2,1))))</f>
        <v/>
      </c>
      <c r="G1773" s="124">
        <f>IF(D1773&gt;=20,5,IF(D1773&gt;=10,4,IF(D1773&gt;=5,3,IF(D1773&gt;=2,2,1))))</f>
        <v/>
      </c>
      <c r="H1773" s="124">
        <f>IF(E1773&gt;=5000,5,IF(E1773&gt;=2000,4,IF(E1773&gt;=800,3,IF(E1773&gt;=300,2,1))))</f>
        <v/>
      </c>
      <c r="I1773" s="122">
        <f>TEXT(F1773,"0")&amp;TEXT(G1773,"0")&amp;TEXT(H1773,"0")</f>
        <v/>
      </c>
      <c r="J1773" s="122">
        <f>IFERROR(XLOOKUP(I1773,'Segment Map'!A:A,'Segment Map'!B:B,"Need Attention"),"Need Attention")</f>
        <v/>
      </c>
      <c r="K1773" s="122">
        <f>IF(E1773&gt;=5000,"🏆 Platinum",IF(E1773&gt;=2000,"🥇 Gold",IF(E1773&gt;=800,"🥈 Silver","🥉 Bronze")))</f>
        <v/>
      </c>
      <c r="L1773" s="125" t="n">
        <v>40742</v>
      </c>
    </row>
    <row r="1774">
      <c r="A1774" s="126" t="n">
        <v>14759</v>
      </c>
      <c r="B1774" s="126" t="inlineStr">
        <is>
          <t>United Kingdom</t>
        </is>
      </c>
      <c r="C1774" s="126" t="n">
        <v>5</v>
      </c>
      <c r="D1774" s="126" t="n">
        <v>3</v>
      </c>
      <c r="E1774" s="127" t="n">
        <v>1625.97</v>
      </c>
      <c r="F1774" s="128">
        <f>IF(C1774&lt;=30,5,IF(C1774&lt;=60,4,IF(C1774&lt;=120,3,IF(C1774&lt;=200,2,1))))</f>
        <v/>
      </c>
      <c r="G1774" s="128">
        <f>IF(D1774&gt;=20,5,IF(D1774&gt;=10,4,IF(D1774&gt;=5,3,IF(D1774&gt;=2,2,1))))</f>
        <v/>
      </c>
      <c r="H1774" s="128">
        <f>IF(E1774&gt;=5000,5,IF(E1774&gt;=2000,4,IF(E1774&gt;=800,3,IF(E1774&gt;=300,2,1))))</f>
        <v/>
      </c>
      <c r="I1774" s="126">
        <f>TEXT(F1774,"0")&amp;TEXT(G1774,"0")&amp;TEXT(H1774,"0")</f>
        <v/>
      </c>
      <c r="J1774" s="126">
        <f>IFERROR(XLOOKUP(I1774,'Segment Map'!A:A,'Segment Map'!B:B,"Need Attention"),"Need Attention")</f>
        <v/>
      </c>
      <c r="K1774" s="126">
        <f>IF(E1774&gt;=5000,"🏆 Platinum",IF(E1774&gt;=2000,"🥇 Gold",IF(E1774&gt;=800,"🥈 Silver","🥉 Bronze")))</f>
        <v/>
      </c>
      <c r="L1774" s="129" t="n">
        <v>40882</v>
      </c>
    </row>
    <row r="1775">
      <c r="A1775" s="122" t="n">
        <v>14760</v>
      </c>
      <c r="B1775" s="122" t="inlineStr">
        <is>
          <t>United Kingdom</t>
        </is>
      </c>
      <c r="C1775" s="122" t="n">
        <v>298</v>
      </c>
      <c r="D1775" s="122" t="n">
        <v>1</v>
      </c>
      <c r="E1775" s="123" t="n">
        <v>89.2</v>
      </c>
      <c r="F1775" s="124">
        <f>IF(C1775&lt;=30,5,IF(C1775&lt;=60,4,IF(C1775&lt;=120,3,IF(C1775&lt;=200,2,1))))</f>
        <v/>
      </c>
      <c r="G1775" s="124">
        <f>IF(D1775&gt;=20,5,IF(D1775&gt;=10,4,IF(D1775&gt;=5,3,IF(D1775&gt;=2,2,1))))</f>
        <v/>
      </c>
      <c r="H1775" s="124">
        <f>IF(E1775&gt;=5000,5,IF(E1775&gt;=2000,4,IF(E1775&gt;=800,3,IF(E1775&gt;=300,2,1))))</f>
        <v/>
      </c>
      <c r="I1775" s="122">
        <f>TEXT(F1775,"0")&amp;TEXT(G1775,"0")&amp;TEXT(H1775,"0")</f>
        <v/>
      </c>
      <c r="J1775" s="122">
        <f>IFERROR(XLOOKUP(I1775,'Segment Map'!A:A,'Segment Map'!B:B,"Need Attention"),"Need Attention")</f>
        <v/>
      </c>
      <c r="K1775" s="122">
        <f>IF(E1775&gt;=5000,"🏆 Platinum",IF(E1775&gt;=2000,"🥇 Gold",IF(E1775&gt;=800,"🥈 Silver","🥉 Bronze")))</f>
        <v/>
      </c>
      <c r="L1775" s="125" t="n">
        <v>40589</v>
      </c>
    </row>
    <row r="1776">
      <c r="A1776" s="126" t="n">
        <v>14761</v>
      </c>
      <c r="B1776" s="126" t="inlineStr">
        <is>
          <t>United Kingdom</t>
        </is>
      </c>
      <c r="C1776" s="126" t="n">
        <v>59</v>
      </c>
      <c r="D1776" s="126" t="n">
        <v>2</v>
      </c>
      <c r="E1776" s="127" t="n">
        <v>255.9</v>
      </c>
      <c r="F1776" s="128">
        <f>IF(C1776&lt;=30,5,IF(C1776&lt;=60,4,IF(C1776&lt;=120,3,IF(C1776&lt;=200,2,1))))</f>
        <v/>
      </c>
      <c r="G1776" s="128">
        <f>IF(D1776&gt;=20,5,IF(D1776&gt;=10,4,IF(D1776&gt;=5,3,IF(D1776&gt;=2,2,1))))</f>
        <v/>
      </c>
      <c r="H1776" s="128">
        <f>IF(E1776&gt;=5000,5,IF(E1776&gt;=2000,4,IF(E1776&gt;=800,3,IF(E1776&gt;=300,2,1))))</f>
        <v/>
      </c>
      <c r="I1776" s="126">
        <f>TEXT(F1776,"0")&amp;TEXT(G1776,"0")&amp;TEXT(H1776,"0")</f>
        <v/>
      </c>
      <c r="J1776" s="126">
        <f>IFERROR(XLOOKUP(I1776,'Segment Map'!A:A,'Segment Map'!B:B,"Need Attention"),"Need Attention")</f>
        <v/>
      </c>
      <c r="K1776" s="126">
        <f>IF(E1776&gt;=5000,"🏆 Platinum",IF(E1776&gt;=2000,"🥇 Gold",IF(E1776&gt;=800,"🥈 Silver","🥉 Bronze")))</f>
        <v/>
      </c>
      <c r="L1776" s="129" t="n">
        <v>40828</v>
      </c>
    </row>
    <row r="1777">
      <c r="A1777" s="122" t="n">
        <v>14762</v>
      </c>
      <c r="B1777" s="122" t="inlineStr">
        <is>
          <t>United Kingdom</t>
        </is>
      </c>
      <c r="C1777" s="122" t="n">
        <v>264</v>
      </c>
      <c r="D1777" s="122" t="n">
        <v>1</v>
      </c>
      <c r="E1777" s="123" t="n">
        <v>300.52</v>
      </c>
      <c r="F1777" s="124">
        <f>IF(C1777&lt;=30,5,IF(C1777&lt;=60,4,IF(C1777&lt;=120,3,IF(C1777&lt;=200,2,1))))</f>
        <v/>
      </c>
      <c r="G1777" s="124">
        <f>IF(D1777&gt;=20,5,IF(D1777&gt;=10,4,IF(D1777&gt;=5,3,IF(D1777&gt;=2,2,1))))</f>
        <v/>
      </c>
      <c r="H1777" s="124">
        <f>IF(E1777&gt;=5000,5,IF(E1777&gt;=2000,4,IF(E1777&gt;=800,3,IF(E1777&gt;=300,2,1))))</f>
        <v/>
      </c>
      <c r="I1777" s="122">
        <f>TEXT(F1777,"0")&amp;TEXT(G1777,"0")&amp;TEXT(H1777,"0")</f>
        <v/>
      </c>
      <c r="J1777" s="122">
        <f>IFERROR(XLOOKUP(I1777,'Segment Map'!A:A,'Segment Map'!B:B,"Need Attention"),"Need Attention")</f>
        <v/>
      </c>
      <c r="K1777" s="122">
        <f>IF(E1777&gt;=5000,"🏆 Platinum",IF(E1777&gt;=2000,"🥇 Gold",IF(E1777&gt;=800,"🥈 Silver","🥉 Bronze")))</f>
        <v/>
      </c>
      <c r="L1777" s="125" t="n">
        <v>40623</v>
      </c>
    </row>
    <row r="1778">
      <c r="A1778" s="126" t="n">
        <v>14764</v>
      </c>
      <c r="B1778" s="126" t="inlineStr">
        <is>
          <t>United Kingdom</t>
        </is>
      </c>
      <c r="C1778" s="126" t="n">
        <v>47</v>
      </c>
      <c r="D1778" s="126" t="n">
        <v>1</v>
      </c>
      <c r="E1778" s="127" t="n">
        <v>278.3</v>
      </c>
      <c r="F1778" s="128">
        <f>IF(C1778&lt;=30,5,IF(C1778&lt;=60,4,IF(C1778&lt;=120,3,IF(C1778&lt;=200,2,1))))</f>
        <v/>
      </c>
      <c r="G1778" s="128">
        <f>IF(D1778&gt;=20,5,IF(D1778&gt;=10,4,IF(D1778&gt;=5,3,IF(D1778&gt;=2,2,1))))</f>
        <v/>
      </c>
      <c r="H1778" s="128">
        <f>IF(E1778&gt;=5000,5,IF(E1778&gt;=2000,4,IF(E1778&gt;=800,3,IF(E1778&gt;=300,2,1))))</f>
        <v/>
      </c>
      <c r="I1778" s="126">
        <f>TEXT(F1778,"0")&amp;TEXT(G1778,"0")&amp;TEXT(H1778,"0")</f>
        <v/>
      </c>
      <c r="J1778" s="126">
        <f>IFERROR(XLOOKUP(I1778,'Segment Map'!A:A,'Segment Map'!B:B,"Need Attention"),"Need Attention")</f>
        <v/>
      </c>
      <c r="K1778" s="126">
        <f>IF(E1778&gt;=5000,"🏆 Platinum",IF(E1778&gt;=2000,"🥇 Gold",IF(E1778&gt;=800,"🥈 Silver","🥉 Bronze")))</f>
        <v/>
      </c>
      <c r="L1778" s="129" t="n">
        <v>40840</v>
      </c>
    </row>
    <row r="1779">
      <c r="A1779" s="122" t="n">
        <v>14765</v>
      </c>
      <c r="B1779" s="122" t="inlineStr">
        <is>
          <t>United Kingdom</t>
        </is>
      </c>
      <c r="C1779" s="122" t="n">
        <v>30</v>
      </c>
      <c r="D1779" s="122" t="n">
        <v>3</v>
      </c>
      <c r="E1779" s="123" t="n">
        <v>254.11</v>
      </c>
      <c r="F1779" s="124">
        <f>IF(C1779&lt;=30,5,IF(C1779&lt;=60,4,IF(C1779&lt;=120,3,IF(C1779&lt;=200,2,1))))</f>
        <v/>
      </c>
      <c r="G1779" s="124">
        <f>IF(D1779&gt;=20,5,IF(D1779&gt;=10,4,IF(D1779&gt;=5,3,IF(D1779&gt;=2,2,1))))</f>
        <v/>
      </c>
      <c r="H1779" s="124">
        <f>IF(E1779&gt;=5000,5,IF(E1779&gt;=2000,4,IF(E1779&gt;=800,3,IF(E1779&gt;=300,2,1))))</f>
        <v/>
      </c>
      <c r="I1779" s="122">
        <f>TEXT(F1779,"0")&amp;TEXT(G1779,"0")&amp;TEXT(H1779,"0")</f>
        <v/>
      </c>
      <c r="J1779" s="122">
        <f>IFERROR(XLOOKUP(I1779,'Segment Map'!A:A,'Segment Map'!B:B,"Need Attention"),"Need Attention")</f>
        <v/>
      </c>
      <c r="K1779" s="122">
        <f>IF(E1779&gt;=5000,"🏆 Platinum",IF(E1779&gt;=2000,"🥇 Gold",IF(E1779&gt;=800,"🥈 Silver","🥉 Bronze")))</f>
        <v/>
      </c>
      <c r="L1779" s="125" t="n">
        <v>40857</v>
      </c>
    </row>
    <row r="1780">
      <c r="A1780" s="126" t="n">
        <v>14766</v>
      </c>
      <c r="B1780" s="126" t="inlineStr">
        <is>
          <t>United Kingdom</t>
        </is>
      </c>
      <c r="C1780" s="126" t="n">
        <v>9</v>
      </c>
      <c r="D1780" s="126" t="n">
        <v>6</v>
      </c>
      <c r="E1780" s="127" t="n">
        <v>2473.37</v>
      </c>
      <c r="F1780" s="128">
        <f>IF(C1780&lt;=30,5,IF(C1780&lt;=60,4,IF(C1780&lt;=120,3,IF(C1780&lt;=200,2,1))))</f>
        <v/>
      </c>
      <c r="G1780" s="128">
        <f>IF(D1780&gt;=20,5,IF(D1780&gt;=10,4,IF(D1780&gt;=5,3,IF(D1780&gt;=2,2,1))))</f>
        <v/>
      </c>
      <c r="H1780" s="128">
        <f>IF(E1780&gt;=5000,5,IF(E1780&gt;=2000,4,IF(E1780&gt;=800,3,IF(E1780&gt;=300,2,1))))</f>
        <v/>
      </c>
      <c r="I1780" s="126">
        <f>TEXT(F1780,"0")&amp;TEXT(G1780,"0")&amp;TEXT(H1780,"0")</f>
        <v/>
      </c>
      <c r="J1780" s="126">
        <f>IFERROR(XLOOKUP(I1780,'Segment Map'!A:A,'Segment Map'!B:B,"Need Attention"),"Need Attention")</f>
        <v/>
      </c>
      <c r="K1780" s="126">
        <f>IF(E1780&gt;=5000,"🏆 Platinum",IF(E1780&gt;=2000,"🥇 Gold",IF(E1780&gt;=800,"🥈 Silver","🥉 Bronze")))</f>
        <v/>
      </c>
      <c r="L1780" s="129" t="n">
        <v>40878</v>
      </c>
    </row>
    <row r="1781">
      <c r="A1781" s="122" t="n">
        <v>14768</v>
      </c>
      <c r="B1781" s="122" t="inlineStr">
        <is>
          <t>United Kingdom</t>
        </is>
      </c>
      <c r="C1781" s="122" t="n">
        <v>18</v>
      </c>
      <c r="D1781" s="122" t="n">
        <v>2</v>
      </c>
      <c r="E1781" s="123" t="n">
        <v>192.6</v>
      </c>
      <c r="F1781" s="124">
        <f>IF(C1781&lt;=30,5,IF(C1781&lt;=60,4,IF(C1781&lt;=120,3,IF(C1781&lt;=200,2,1))))</f>
        <v/>
      </c>
      <c r="G1781" s="124">
        <f>IF(D1781&gt;=20,5,IF(D1781&gt;=10,4,IF(D1781&gt;=5,3,IF(D1781&gt;=2,2,1))))</f>
        <v/>
      </c>
      <c r="H1781" s="124">
        <f>IF(E1781&gt;=5000,5,IF(E1781&gt;=2000,4,IF(E1781&gt;=800,3,IF(E1781&gt;=300,2,1))))</f>
        <v/>
      </c>
      <c r="I1781" s="122">
        <f>TEXT(F1781,"0")&amp;TEXT(G1781,"0")&amp;TEXT(H1781,"0")</f>
        <v/>
      </c>
      <c r="J1781" s="122">
        <f>IFERROR(XLOOKUP(I1781,'Segment Map'!A:A,'Segment Map'!B:B,"Need Attention"),"Need Attention")</f>
        <v/>
      </c>
      <c r="K1781" s="122">
        <f>IF(E1781&gt;=5000,"🏆 Platinum",IF(E1781&gt;=2000,"🥇 Gold",IF(E1781&gt;=800,"🥈 Silver","🥉 Bronze")))</f>
        <v/>
      </c>
      <c r="L1781" s="125" t="n">
        <v>40869</v>
      </c>
    </row>
    <row r="1782">
      <c r="A1782" s="126" t="n">
        <v>14769</v>
      </c>
      <c r="B1782" s="126" t="inlineStr">
        <is>
          <t>United Kingdom</t>
        </is>
      </c>
      <c r="C1782" s="126" t="n">
        <v>3</v>
      </c>
      <c r="D1782" s="126" t="n">
        <v>8</v>
      </c>
      <c r="E1782" s="127" t="n">
        <v>10674.75</v>
      </c>
      <c r="F1782" s="128">
        <f>IF(C1782&lt;=30,5,IF(C1782&lt;=60,4,IF(C1782&lt;=120,3,IF(C1782&lt;=200,2,1))))</f>
        <v/>
      </c>
      <c r="G1782" s="128">
        <f>IF(D1782&gt;=20,5,IF(D1782&gt;=10,4,IF(D1782&gt;=5,3,IF(D1782&gt;=2,2,1))))</f>
        <v/>
      </c>
      <c r="H1782" s="128">
        <f>IF(E1782&gt;=5000,5,IF(E1782&gt;=2000,4,IF(E1782&gt;=800,3,IF(E1782&gt;=300,2,1))))</f>
        <v/>
      </c>
      <c r="I1782" s="126">
        <f>TEXT(F1782,"0")&amp;TEXT(G1782,"0")&amp;TEXT(H1782,"0")</f>
        <v/>
      </c>
      <c r="J1782" s="126">
        <f>IFERROR(XLOOKUP(I1782,'Segment Map'!A:A,'Segment Map'!B:B,"Need Attention"),"Need Attention")</f>
        <v/>
      </c>
      <c r="K1782" s="126">
        <f>IF(E1782&gt;=5000,"🏆 Platinum",IF(E1782&gt;=2000,"🥇 Gold",IF(E1782&gt;=800,"🥈 Silver","🥉 Bronze")))</f>
        <v/>
      </c>
      <c r="L1782" s="129" t="n">
        <v>40884</v>
      </c>
    </row>
    <row r="1783">
      <c r="A1783" s="122" t="n">
        <v>14770</v>
      </c>
      <c r="B1783" s="122" t="inlineStr">
        <is>
          <t>United Kingdom</t>
        </is>
      </c>
      <c r="C1783" s="122" t="n">
        <v>233</v>
      </c>
      <c r="D1783" s="122" t="n">
        <v>2</v>
      </c>
      <c r="E1783" s="123" t="n">
        <v>876.42</v>
      </c>
      <c r="F1783" s="124">
        <f>IF(C1783&lt;=30,5,IF(C1783&lt;=60,4,IF(C1783&lt;=120,3,IF(C1783&lt;=200,2,1))))</f>
        <v/>
      </c>
      <c r="G1783" s="124">
        <f>IF(D1783&gt;=20,5,IF(D1783&gt;=10,4,IF(D1783&gt;=5,3,IF(D1783&gt;=2,2,1))))</f>
        <v/>
      </c>
      <c r="H1783" s="124">
        <f>IF(E1783&gt;=5000,5,IF(E1783&gt;=2000,4,IF(E1783&gt;=800,3,IF(E1783&gt;=300,2,1))))</f>
        <v/>
      </c>
      <c r="I1783" s="122">
        <f>TEXT(F1783,"0")&amp;TEXT(G1783,"0")&amp;TEXT(H1783,"0")</f>
        <v/>
      </c>
      <c r="J1783" s="122">
        <f>IFERROR(XLOOKUP(I1783,'Segment Map'!A:A,'Segment Map'!B:B,"Need Attention"),"Need Attention")</f>
        <v/>
      </c>
      <c r="K1783" s="122">
        <f>IF(E1783&gt;=5000,"🏆 Platinum",IF(E1783&gt;=2000,"🥇 Gold",IF(E1783&gt;=800,"🥈 Silver","🥉 Bronze")))</f>
        <v/>
      </c>
      <c r="L1783" s="125" t="n">
        <v>40654</v>
      </c>
    </row>
    <row r="1784">
      <c r="A1784" s="126" t="n">
        <v>14772</v>
      </c>
      <c r="B1784" s="126" t="inlineStr">
        <is>
          <t>United Kingdom</t>
        </is>
      </c>
      <c r="C1784" s="126" t="n">
        <v>113</v>
      </c>
      <c r="D1784" s="126" t="n">
        <v>1</v>
      </c>
      <c r="E1784" s="127" t="n">
        <v>139.26</v>
      </c>
      <c r="F1784" s="128">
        <f>IF(C1784&lt;=30,5,IF(C1784&lt;=60,4,IF(C1784&lt;=120,3,IF(C1784&lt;=200,2,1))))</f>
        <v/>
      </c>
      <c r="G1784" s="128">
        <f>IF(D1784&gt;=20,5,IF(D1784&gt;=10,4,IF(D1784&gt;=5,3,IF(D1784&gt;=2,2,1))))</f>
        <v/>
      </c>
      <c r="H1784" s="128">
        <f>IF(E1784&gt;=5000,5,IF(E1784&gt;=2000,4,IF(E1784&gt;=800,3,IF(E1784&gt;=300,2,1))))</f>
        <v/>
      </c>
      <c r="I1784" s="126">
        <f>TEXT(F1784,"0")&amp;TEXT(G1784,"0")&amp;TEXT(H1784,"0")</f>
        <v/>
      </c>
      <c r="J1784" s="126">
        <f>IFERROR(XLOOKUP(I1784,'Segment Map'!A:A,'Segment Map'!B:B,"Need Attention"),"Need Attention")</f>
        <v/>
      </c>
      <c r="K1784" s="126">
        <f>IF(E1784&gt;=5000,"🏆 Platinum",IF(E1784&gt;=2000,"🥇 Gold",IF(E1784&gt;=800,"🥈 Silver","🥉 Bronze")))</f>
        <v/>
      </c>
      <c r="L1784" s="129" t="n">
        <v>40774</v>
      </c>
    </row>
    <row r="1785">
      <c r="A1785" s="122" t="n">
        <v>14775</v>
      </c>
      <c r="B1785" s="122" t="inlineStr">
        <is>
          <t>United Kingdom</t>
        </is>
      </c>
      <c r="C1785" s="122" t="n">
        <v>59</v>
      </c>
      <c r="D1785" s="122" t="n">
        <v>3</v>
      </c>
      <c r="E1785" s="123" t="n">
        <v>1011.9</v>
      </c>
      <c r="F1785" s="124">
        <f>IF(C1785&lt;=30,5,IF(C1785&lt;=60,4,IF(C1785&lt;=120,3,IF(C1785&lt;=200,2,1))))</f>
        <v/>
      </c>
      <c r="G1785" s="124">
        <f>IF(D1785&gt;=20,5,IF(D1785&gt;=10,4,IF(D1785&gt;=5,3,IF(D1785&gt;=2,2,1))))</f>
        <v/>
      </c>
      <c r="H1785" s="124">
        <f>IF(E1785&gt;=5000,5,IF(E1785&gt;=2000,4,IF(E1785&gt;=800,3,IF(E1785&gt;=300,2,1))))</f>
        <v/>
      </c>
      <c r="I1785" s="122">
        <f>TEXT(F1785,"0")&amp;TEXT(G1785,"0")&amp;TEXT(H1785,"0")</f>
        <v/>
      </c>
      <c r="J1785" s="122">
        <f>IFERROR(XLOOKUP(I1785,'Segment Map'!A:A,'Segment Map'!B:B,"Need Attention"),"Need Attention")</f>
        <v/>
      </c>
      <c r="K1785" s="122">
        <f>IF(E1785&gt;=5000,"🏆 Platinum",IF(E1785&gt;=2000,"🥇 Gold",IF(E1785&gt;=800,"🥈 Silver","🥉 Bronze")))</f>
        <v/>
      </c>
      <c r="L1785" s="125" t="n">
        <v>40828</v>
      </c>
    </row>
    <row r="1786">
      <c r="A1786" s="126" t="n">
        <v>14776</v>
      </c>
      <c r="B1786" s="126" t="inlineStr">
        <is>
          <t>United Kingdom</t>
        </is>
      </c>
      <c r="C1786" s="126" t="n">
        <v>52</v>
      </c>
      <c r="D1786" s="126" t="n">
        <v>11</v>
      </c>
      <c r="E1786" s="127" t="n">
        <v>2538.3</v>
      </c>
      <c r="F1786" s="128">
        <f>IF(C1786&lt;=30,5,IF(C1786&lt;=60,4,IF(C1786&lt;=120,3,IF(C1786&lt;=200,2,1))))</f>
        <v/>
      </c>
      <c r="G1786" s="128">
        <f>IF(D1786&gt;=20,5,IF(D1786&gt;=10,4,IF(D1786&gt;=5,3,IF(D1786&gt;=2,2,1))))</f>
        <v/>
      </c>
      <c r="H1786" s="128">
        <f>IF(E1786&gt;=5000,5,IF(E1786&gt;=2000,4,IF(E1786&gt;=800,3,IF(E1786&gt;=300,2,1))))</f>
        <v/>
      </c>
      <c r="I1786" s="126">
        <f>TEXT(F1786,"0")&amp;TEXT(G1786,"0")&amp;TEXT(H1786,"0")</f>
        <v/>
      </c>
      <c r="J1786" s="126">
        <f>IFERROR(XLOOKUP(I1786,'Segment Map'!A:A,'Segment Map'!B:B,"Need Attention"),"Need Attention")</f>
        <v/>
      </c>
      <c r="K1786" s="126">
        <f>IF(E1786&gt;=5000,"🏆 Platinum",IF(E1786&gt;=2000,"🥇 Gold",IF(E1786&gt;=800,"🥈 Silver","🥉 Bronze")))</f>
        <v/>
      </c>
      <c r="L1786" s="129" t="n">
        <v>40835</v>
      </c>
    </row>
    <row r="1787">
      <c r="A1787" s="122" t="n">
        <v>14778</v>
      </c>
      <c r="B1787" s="122" t="inlineStr">
        <is>
          <t>United Kingdom</t>
        </is>
      </c>
      <c r="C1787" s="122" t="n">
        <v>128</v>
      </c>
      <c r="D1787" s="122" t="n">
        <v>2</v>
      </c>
      <c r="E1787" s="123" t="n">
        <v>730.86</v>
      </c>
      <c r="F1787" s="124">
        <f>IF(C1787&lt;=30,5,IF(C1787&lt;=60,4,IF(C1787&lt;=120,3,IF(C1787&lt;=200,2,1))))</f>
        <v/>
      </c>
      <c r="G1787" s="124">
        <f>IF(D1787&gt;=20,5,IF(D1787&gt;=10,4,IF(D1787&gt;=5,3,IF(D1787&gt;=2,2,1))))</f>
        <v/>
      </c>
      <c r="H1787" s="124">
        <f>IF(E1787&gt;=5000,5,IF(E1787&gt;=2000,4,IF(E1787&gt;=800,3,IF(E1787&gt;=300,2,1))))</f>
        <v/>
      </c>
      <c r="I1787" s="122">
        <f>TEXT(F1787,"0")&amp;TEXT(G1787,"0")&amp;TEXT(H1787,"0")</f>
        <v/>
      </c>
      <c r="J1787" s="122">
        <f>IFERROR(XLOOKUP(I1787,'Segment Map'!A:A,'Segment Map'!B:B,"Need Attention"),"Need Attention")</f>
        <v/>
      </c>
      <c r="K1787" s="122">
        <f>IF(E1787&gt;=5000,"🏆 Platinum",IF(E1787&gt;=2000,"🥇 Gold",IF(E1787&gt;=800,"🥈 Silver","🥉 Bronze")))</f>
        <v/>
      </c>
      <c r="L1787" s="125" t="n">
        <v>40759</v>
      </c>
    </row>
    <row r="1788">
      <c r="A1788" s="126" t="n">
        <v>14779</v>
      </c>
      <c r="B1788" s="126" t="inlineStr">
        <is>
          <t>United Kingdom</t>
        </is>
      </c>
      <c r="C1788" s="126" t="n">
        <v>281</v>
      </c>
      <c r="D1788" s="126" t="n">
        <v>3</v>
      </c>
      <c r="E1788" s="127" t="n">
        <v>386.15</v>
      </c>
      <c r="F1788" s="128">
        <f>IF(C1788&lt;=30,5,IF(C1788&lt;=60,4,IF(C1788&lt;=120,3,IF(C1788&lt;=200,2,1))))</f>
        <v/>
      </c>
      <c r="G1788" s="128">
        <f>IF(D1788&gt;=20,5,IF(D1788&gt;=10,4,IF(D1788&gt;=5,3,IF(D1788&gt;=2,2,1))))</f>
        <v/>
      </c>
      <c r="H1788" s="128">
        <f>IF(E1788&gt;=5000,5,IF(E1788&gt;=2000,4,IF(E1788&gt;=800,3,IF(E1788&gt;=300,2,1))))</f>
        <v/>
      </c>
      <c r="I1788" s="126">
        <f>TEXT(F1788,"0")&amp;TEXT(G1788,"0")&amp;TEXT(H1788,"0")</f>
        <v/>
      </c>
      <c r="J1788" s="126">
        <f>IFERROR(XLOOKUP(I1788,'Segment Map'!A:A,'Segment Map'!B:B,"Need Attention"),"Need Attention")</f>
        <v/>
      </c>
      <c r="K1788" s="126">
        <f>IF(E1788&gt;=5000,"🏆 Platinum",IF(E1788&gt;=2000,"🥇 Gold",IF(E1788&gt;=800,"🥈 Silver","🥉 Bronze")))</f>
        <v/>
      </c>
      <c r="L1788" s="129" t="n">
        <v>40606</v>
      </c>
    </row>
    <row r="1789">
      <c r="A1789" s="122" t="n">
        <v>14780</v>
      </c>
      <c r="B1789" s="122" t="inlineStr">
        <is>
          <t>United Kingdom</t>
        </is>
      </c>
      <c r="C1789" s="122" t="n">
        <v>55</v>
      </c>
      <c r="D1789" s="122" t="n">
        <v>2</v>
      </c>
      <c r="E1789" s="123" t="n">
        <v>447.68</v>
      </c>
      <c r="F1789" s="124">
        <f>IF(C1789&lt;=30,5,IF(C1789&lt;=60,4,IF(C1789&lt;=120,3,IF(C1789&lt;=200,2,1))))</f>
        <v/>
      </c>
      <c r="G1789" s="124">
        <f>IF(D1789&gt;=20,5,IF(D1789&gt;=10,4,IF(D1789&gt;=5,3,IF(D1789&gt;=2,2,1))))</f>
        <v/>
      </c>
      <c r="H1789" s="124">
        <f>IF(E1789&gt;=5000,5,IF(E1789&gt;=2000,4,IF(E1789&gt;=800,3,IF(E1789&gt;=300,2,1))))</f>
        <v/>
      </c>
      <c r="I1789" s="122">
        <f>TEXT(F1789,"0")&amp;TEXT(G1789,"0")&amp;TEXT(H1789,"0")</f>
        <v/>
      </c>
      <c r="J1789" s="122">
        <f>IFERROR(XLOOKUP(I1789,'Segment Map'!A:A,'Segment Map'!B:B,"Need Attention"),"Need Attention")</f>
        <v/>
      </c>
      <c r="K1789" s="122">
        <f>IF(E1789&gt;=5000,"🏆 Platinum",IF(E1789&gt;=2000,"🥇 Gold",IF(E1789&gt;=800,"🥈 Silver","🥉 Bronze")))</f>
        <v/>
      </c>
      <c r="L1789" s="125" t="n">
        <v>40832</v>
      </c>
    </row>
    <row r="1790">
      <c r="A1790" s="126" t="n">
        <v>14782</v>
      </c>
      <c r="B1790" s="126" t="inlineStr">
        <is>
          <t>United Kingdom</t>
        </is>
      </c>
      <c r="C1790" s="126" t="n">
        <v>320</v>
      </c>
      <c r="D1790" s="126" t="n">
        <v>1</v>
      </c>
      <c r="E1790" s="127" t="n">
        <v>200.1</v>
      </c>
      <c r="F1790" s="128">
        <f>IF(C1790&lt;=30,5,IF(C1790&lt;=60,4,IF(C1790&lt;=120,3,IF(C1790&lt;=200,2,1))))</f>
        <v/>
      </c>
      <c r="G1790" s="128">
        <f>IF(D1790&gt;=20,5,IF(D1790&gt;=10,4,IF(D1790&gt;=5,3,IF(D1790&gt;=2,2,1))))</f>
        <v/>
      </c>
      <c r="H1790" s="128">
        <f>IF(E1790&gt;=5000,5,IF(E1790&gt;=2000,4,IF(E1790&gt;=800,3,IF(E1790&gt;=300,2,1))))</f>
        <v/>
      </c>
      <c r="I1790" s="126">
        <f>TEXT(F1790,"0")&amp;TEXT(G1790,"0")&amp;TEXT(H1790,"0")</f>
        <v/>
      </c>
      <c r="J1790" s="126">
        <f>IFERROR(XLOOKUP(I1790,'Segment Map'!A:A,'Segment Map'!B:B,"Need Attention"),"Need Attention")</f>
        <v/>
      </c>
      <c r="K1790" s="126">
        <f>IF(E1790&gt;=5000,"🏆 Platinum",IF(E1790&gt;=2000,"🥇 Gold",IF(E1790&gt;=800,"🥈 Silver","🥉 Bronze")))</f>
        <v/>
      </c>
      <c r="L1790" s="129" t="n">
        <v>40567</v>
      </c>
    </row>
    <row r="1791">
      <c r="A1791" s="122" t="n">
        <v>14784</v>
      </c>
      <c r="B1791" s="122" t="inlineStr">
        <is>
          <t>United Kingdom</t>
        </is>
      </c>
      <c r="C1791" s="122" t="n">
        <v>27</v>
      </c>
      <c r="D1791" s="122" t="n">
        <v>2</v>
      </c>
      <c r="E1791" s="123" t="n">
        <v>289.99</v>
      </c>
      <c r="F1791" s="124">
        <f>IF(C1791&lt;=30,5,IF(C1791&lt;=60,4,IF(C1791&lt;=120,3,IF(C1791&lt;=200,2,1))))</f>
        <v/>
      </c>
      <c r="G1791" s="124">
        <f>IF(D1791&gt;=20,5,IF(D1791&gt;=10,4,IF(D1791&gt;=5,3,IF(D1791&gt;=2,2,1))))</f>
        <v/>
      </c>
      <c r="H1791" s="124">
        <f>IF(E1791&gt;=5000,5,IF(E1791&gt;=2000,4,IF(E1791&gt;=800,3,IF(E1791&gt;=300,2,1))))</f>
        <v/>
      </c>
      <c r="I1791" s="122">
        <f>TEXT(F1791,"0")&amp;TEXT(G1791,"0")&amp;TEXT(H1791,"0")</f>
        <v/>
      </c>
      <c r="J1791" s="122">
        <f>IFERROR(XLOOKUP(I1791,'Segment Map'!A:A,'Segment Map'!B:B,"Need Attention"),"Need Attention")</f>
        <v/>
      </c>
      <c r="K1791" s="122">
        <f>IF(E1791&gt;=5000,"🏆 Platinum",IF(E1791&gt;=2000,"🥇 Gold",IF(E1791&gt;=800,"🥈 Silver","🥉 Bronze")))</f>
        <v/>
      </c>
      <c r="L1791" s="125" t="n">
        <v>40860</v>
      </c>
    </row>
    <row r="1792">
      <c r="A1792" s="126" t="n">
        <v>14785</v>
      </c>
      <c r="B1792" s="126" t="inlineStr">
        <is>
          <t>United Kingdom</t>
        </is>
      </c>
      <c r="C1792" s="126" t="n">
        <v>11</v>
      </c>
      <c r="D1792" s="126" t="n">
        <v>2</v>
      </c>
      <c r="E1792" s="127" t="n">
        <v>77.40000000000001</v>
      </c>
      <c r="F1792" s="128">
        <f>IF(C1792&lt;=30,5,IF(C1792&lt;=60,4,IF(C1792&lt;=120,3,IF(C1792&lt;=200,2,1))))</f>
        <v/>
      </c>
      <c r="G1792" s="128">
        <f>IF(D1792&gt;=20,5,IF(D1792&gt;=10,4,IF(D1792&gt;=5,3,IF(D1792&gt;=2,2,1))))</f>
        <v/>
      </c>
      <c r="H1792" s="128">
        <f>IF(E1792&gt;=5000,5,IF(E1792&gt;=2000,4,IF(E1792&gt;=800,3,IF(E1792&gt;=300,2,1))))</f>
        <v/>
      </c>
      <c r="I1792" s="126">
        <f>TEXT(F1792,"0")&amp;TEXT(G1792,"0")&amp;TEXT(H1792,"0")</f>
        <v/>
      </c>
      <c r="J1792" s="126">
        <f>IFERROR(XLOOKUP(I1792,'Segment Map'!A:A,'Segment Map'!B:B,"Need Attention"),"Need Attention")</f>
        <v/>
      </c>
      <c r="K1792" s="126">
        <f>IF(E1792&gt;=5000,"🏆 Platinum",IF(E1792&gt;=2000,"🥇 Gold",IF(E1792&gt;=800,"🥈 Silver","🥉 Bronze")))</f>
        <v/>
      </c>
      <c r="L1792" s="129" t="n">
        <v>40876</v>
      </c>
    </row>
    <row r="1793">
      <c r="A1793" s="122" t="n">
        <v>14788</v>
      </c>
      <c r="B1793" s="122" t="inlineStr">
        <is>
          <t>United Kingdom</t>
        </is>
      </c>
      <c r="C1793" s="122" t="n">
        <v>8</v>
      </c>
      <c r="D1793" s="122" t="n">
        <v>2</v>
      </c>
      <c r="E1793" s="123" t="n">
        <v>679.4400000000001</v>
      </c>
      <c r="F1793" s="124">
        <f>IF(C1793&lt;=30,5,IF(C1793&lt;=60,4,IF(C1793&lt;=120,3,IF(C1793&lt;=200,2,1))))</f>
        <v/>
      </c>
      <c r="G1793" s="124">
        <f>IF(D1793&gt;=20,5,IF(D1793&gt;=10,4,IF(D1793&gt;=5,3,IF(D1793&gt;=2,2,1))))</f>
        <v/>
      </c>
      <c r="H1793" s="124">
        <f>IF(E1793&gt;=5000,5,IF(E1793&gt;=2000,4,IF(E1793&gt;=800,3,IF(E1793&gt;=300,2,1))))</f>
        <v/>
      </c>
      <c r="I1793" s="122">
        <f>TEXT(F1793,"0")&amp;TEXT(G1793,"0")&amp;TEXT(H1793,"0")</f>
        <v/>
      </c>
      <c r="J1793" s="122">
        <f>IFERROR(XLOOKUP(I1793,'Segment Map'!A:A,'Segment Map'!B:B,"Need Attention"),"Need Attention")</f>
        <v/>
      </c>
      <c r="K1793" s="122">
        <f>IF(E1793&gt;=5000,"🏆 Platinum",IF(E1793&gt;=2000,"🥇 Gold",IF(E1793&gt;=800,"🥈 Silver","🥉 Bronze")))</f>
        <v/>
      </c>
      <c r="L1793" s="125" t="n">
        <v>40879</v>
      </c>
    </row>
    <row r="1794">
      <c r="A1794" s="126" t="n">
        <v>14789</v>
      </c>
      <c r="B1794" s="126" t="inlineStr">
        <is>
          <t>United Kingdom</t>
        </is>
      </c>
      <c r="C1794" s="126" t="n">
        <v>29</v>
      </c>
      <c r="D1794" s="126" t="n">
        <v>1</v>
      </c>
      <c r="E1794" s="127" t="n">
        <v>197.64</v>
      </c>
      <c r="F1794" s="128">
        <f>IF(C1794&lt;=30,5,IF(C1794&lt;=60,4,IF(C1794&lt;=120,3,IF(C1794&lt;=200,2,1))))</f>
        <v/>
      </c>
      <c r="G1794" s="128">
        <f>IF(D1794&gt;=20,5,IF(D1794&gt;=10,4,IF(D1794&gt;=5,3,IF(D1794&gt;=2,2,1))))</f>
        <v/>
      </c>
      <c r="H1794" s="128">
        <f>IF(E1794&gt;=5000,5,IF(E1794&gt;=2000,4,IF(E1794&gt;=800,3,IF(E1794&gt;=300,2,1))))</f>
        <v/>
      </c>
      <c r="I1794" s="126">
        <f>TEXT(F1794,"0")&amp;TEXT(G1794,"0")&amp;TEXT(H1794,"0")</f>
        <v/>
      </c>
      <c r="J1794" s="126">
        <f>IFERROR(XLOOKUP(I1794,'Segment Map'!A:A,'Segment Map'!B:B,"Need Attention"),"Need Attention")</f>
        <v/>
      </c>
      <c r="K1794" s="126">
        <f>IF(E1794&gt;=5000,"🏆 Platinum",IF(E1794&gt;=2000,"🥇 Gold",IF(E1794&gt;=800,"🥈 Silver","🥉 Bronze")))</f>
        <v/>
      </c>
      <c r="L1794" s="129" t="n">
        <v>40858</v>
      </c>
    </row>
    <row r="1795">
      <c r="A1795" s="122" t="n">
        <v>14790</v>
      </c>
      <c r="B1795" s="122" t="inlineStr">
        <is>
          <t>United Kingdom</t>
        </is>
      </c>
      <c r="C1795" s="122" t="n">
        <v>17</v>
      </c>
      <c r="D1795" s="122" t="n">
        <v>4</v>
      </c>
      <c r="E1795" s="123" t="n">
        <v>745.0599999999999</v>
      </c>
      <c r="F1795" s="124">
        <f>IF(C1795&lt;=30,5,IF(C1795&lt;=60,4,IF(C1795&lt;=120,3,IF(C1795&lt;=200,2,1))))</f>
        <v/>
      </c>
      <c r="G1795" s="124">
        <f>IF(D1795&gt;=20,5,IF(D1795&gt;=10,4,IF(D1795&gt;=5,3,IF(D1795&gt;=2,2,1))))</f>
        <v/>
      </c>
      <c r="H1795" s="124">
        <f>IF(E1795&gt;=5000,5,IF(E1795&gt;=2000,4,IF(E1795&gt;=800,3,IF(E1795&gt;=300,2,1))))</f>
        <v/>
      </c>
      <c r="I1795" s="122">
        <f>TEXT(F1795,"0")&amp;TEXT(G1795,"0")&amp;TEXT(H1795,"0")</f>
        <v/>
      </c>
      <c r="J1795" s="122">
        <f>IFERROR(XLOOKUP(I1795,'Segment Map'!A:A,'Segment Map'!B:B,"Need Attention"),"Need Attention")</f>
        <v/>
      </c>
      <c r="K1795" s="122">
        <f>IF(E1795&gt;=5000,"🏆 Platinum",IF(E1795&gt;=2000,"🥇 Gold",IF(E1795&gt;=800,"🥈 Silver","🥉 Bronze")))</f>
        <v/>
      </c>
      <c r="L1795" s="125" t="n">
        <v>40870</v>
      </c>
    </row>
    <row r="1796">
      <c r="A1796" s="126" t="n">
        <v>14792</v>
      </c>
      <c r="B1796" s="126" t="inlineStr">
        <is>
          <t>United Kingdom</t>
        </is>
      </c>
      <c r="C1796" s="126" t="n">
        <v>64</v>
      </c>
      <c r="D1796" s="126" t="n">
        <v>1</v>
      </c>
      <c r="E1796" s="127" t="n">
        <v>6.2</v>
      </c>
      <c r="F1796" s="128">
        <f>IF(C1796&lt;=30,5,IF(C1796&lt;=60,4,IF(C1796&lt;=120,3,IF(C1796&lt;=200,2,1))))</f>
        <v/>
      </c>
      <c r="G1796" s="128">
        <f>IF(D1796&gt;=20,5,IF(D1796&gt;=10,4,IF(D1796&gt;=5,3,IF(D1796&gt;=2,2,1))))</f>
        <v/>
      </c>
      <c r="H1796" s="128">
        <f>IF(E1796&gt;=5000,5,IF(E1796&gt;=2000,4,IF(E1796&gt;=800,3,IF(E1796&gt;=300,2,1))))</f>
        <v/>
      </c>
      <c r="I1796" s="126">
        <f>TEXT(F1796,"0")&amp;TEXT(G1796,"0")&amp;TEXT(H1796,"0")</f>
        <v/>
      </c>
      <c r="J1796" s="126">
        <f>IFERROR(XLOOKUP(I1796,'Segment Map'!A:A,'Segment Map'!B:B,"Need Attention"),"Need Attention")</f>
        <v/>
      </c>
      <c r="K1796" s="126">
        <f>IF(E1796&gt;=5000,"🏆 Platinum",IF(E1796&gt;=2000,"🥇 Gold",IF(E1796&gt;=800,"🥈 Silver","🥉 Bronze")))</f>
        <v/>
      </c>
      <c r="L1796" s="129" t="n">
        <v>40823</v>
      </c>
    </row>
    <row r="1797">
      <c r="A1797" s="122" t="n">
        <v>14793</v>
      </c>
      <c r="B1797" s="122" t="inlineStr">
        <is>
          <t>United Kingdom</t>
        </is>
      </c>
      <c r="C1797" s="122" t="n">
        <v>22</v>
      </c>
      <c r="D1797" s="122" t="n">
        <v>1</v>
      </c>
      <c r="E1797" s="123" t="n">
        <v>228.99</v>
      </c>
      <c r="F1797" s="124">
        <f>IF(C1797&lt;=30,5,IF(C1797&lt;=60,4,IF(C1797&lt;=120,3,IF(C1797&lt;=200,2,1))))</f>
        <v/>
      </c>
      <c r="G1797" s="124">
        <f>IF(D1797&gt;=20,5,IF(D1797&gt;=10,4,IF(D1797&gt;=5,3,IF(D1797&gt;=2,2,1))))</f>
        <v/>
      </c>
      <c r="H1797" s="124">
        <f>IF(E1797&gt;=5000,5,IF(E1797&gt;=2000,4,IF(E1797&gt;=800,3,IF(E1797&gt;=300,2,1))))</f>
        <v/>
      </c>
      <c r="I1797" s="122">
        <f>TEXT(F1797,"0")&amp;TEXT(G1797,"0")&amp;TEXT(H1797,"0")</f>
        <v/>
      </c>
      <c r="J1797" s="122">
        <f>IFERROR(XLOOKUP(I1797,'Segment Map'!A:A,'Segment Map'!B:B,"Need Attention"),"Need Attention")</f>
        <v/>
      </c>
      <c r="K1797" s="122">
        <f>IF(E1797&gt;=5000,"🏆 Platinum",IF(E1797&gt;=2000,"🥇 Gold",IF(E1797&gt;=800,"🥈 Silver","🥉 Bronze")))</f>
        <v/>
      </c>
      <c r="L1797" s="125" t="n">
        <v>40865</v>
      </c>
    </row>
    <row r="1798">
      <c r="A1798" s="126" t="n">
        <v>14794</v>
      </c>
      <c r="B1798" s="126" t="inlineStr">
        <is>
          <t>United Kingdom</t>
        </is>
      </c>
      <c r="C1798" s="126" t="n">
        <v>3</v>
      </c>
      <c r="D1798" s="126" t="n">
        <v>7</v>
      </c>
      <c r="E1798" s="127" t="n">
        <v>1319.91</v>
      </c>
      <c r="F1798" s="128">
        <f>IF(C1798&lt;=30,5,IF(C1798&lt;=60,4,IF(C1798&lt;=120,3,IF(C1798&lt;=200,2,1))))</f>
        <v/>
      </c>
      <c r="G1798" s="128">
        <f>IF(D1798&gt;=20,5,IF(D1798&gt;=10,4,IF(D1798&gt;=5,3,IF(D1798&gt;=2,2,1))))</f>
        <v/>
      </c>
      <c r="H1798" s="128">
        <f>IF(E1798&gt;=5000,5,IF(E1798&gt;=2000,4,IF(E1798&gt;=800,3,IF(E1798&gt;=300,2,1))))</f>
        <v/>
      </c>
      <c r="I1798" s="126">
        <f>TEXT(F1798,"0")&amp;TEXT(G1798,"0")&amp;TEXT(H1798,"0")</f>
        <v/>
      </c>
      <c r="J1798" s="126">
        <f>IFERROR(XLOOKUP(I1798,'Segment Map'!A:A,'Segment Map'!B:B,"Need Attention"),"Need Attention")</f>
        <v/>
      </c>
      <c r="K1798" s="126">
        <f>IF(E1798&gt;=5000,"🏆 Platinum",IF(E1798&gt;=2000,"🥇 Gold",IF(E1798&gt;=800,"🥈 Silver","🥉 Bronze")))</f>
        <v/>
      </c>
      <c r="L1798" s="129" t="n">
        <v>40884</v>
      </c>
    </row>
    <row r="1799">
      <c r="A1799" s="122" t="n">
        <v>14795</v>
      </c>
      <c r="B1799" s="122" t="inlineStr">
        <is>
          <t>United Kingdom</t>
        </is>
      </c>
      <c r="C1799" s="122" t="n">
        <v>167</v>
      </c>
      <c r="D1799" s="122" t="n">
        <v>1</v>
      </c>
      <c r="E1799" s="123" t="n">
        <v>131.45</v>
      </c>
      <c r="F1799" s="124">
        <f>IF(C1799&lt;=30,5,IF(C1799&lt;=60,4,IF(C1799&lt;=120,3,IF(C1799&lt;=200,2,1))))</f>
        <v/>
      </c>
      <c r="G1799" s="124">
        <f>IF(D1799&gt;=20,5,IF(D1799&gt;=10,4,IF(D1799&gt;=5,3,IF(D1799&gt;=2,2,1))))</f>
        <v/>
      </c>
      <c r="H1799" s="124">
        <f>IF(E1799&gt;=5000,5,IF(E1799&gt;=2000,4,IF(E1799&gt;=800,3,IF(E1799&gt;=300,2,1))))</f>
        <v/>
      </c>
      <c r="I1799" s="122">
        <f>TEXT(F1799,"0")&amp;TEXT(G1799,"0")&amp;TEXT(H1799,"0")</f>
        <v/>
      </c>
      <c r="J1799" s="122">
        <f>IFERROR(XLOOKUP(I1799,'Segment Map'!A:A,'Segment Map'!B:B,"Need Attention"),"Need Attention")</f>
        <v/>
      </c>
      <c r="K1799" s="122">
        <f>IF(E1799&gt;=5000,"🏆 Platinum",IF(E1799&gt;=2000,"🥇 Gold",IF(E1799&gt;=800,"🥈 Silver","🥉 Bronze")))</f>
        <v/>
      </c>
      <c r="L1799" s="125" t="n">
        <v>40720</v>
      </c>
    </row>
    <row r="1800">
      <c r="A1800" s="126" t="n">
        <v>14796</v>
      </c>
      <c r="B1800" s="126" t="inlineStr">
        <is>
          <t>United Kingdom</t>
        </is>
      </c>
      <c r="C1800" s="126" t="n">
        <v>2</v>
      </c>
      <c r="D1800" s="126" t="n">
        <v>17</v>
      </c>
      <c r="E1800" s="127" t="n">
        <v>8022.49</v>
      </c>
      <c r="F1800" s="128">
        <f>IF(C1800&lt;=30,5,IF(C1800&lt;=60,4,IF(C1800&lt;=120,3,IF(C1800&lt;=200,2,1))))</f>
        <v/>
      </c>
      <c r="G1800" s="128">
        <f>IF(D1800&gt;=20,5,IF(D1800&gt;=10,4,IF(D1800&gt;=5,3,IF(D1800&gt;=2,2,1))))</f>
        <v/>
      </c>
      <c r="H1800" s="128">
        <f>IF(E1800&gt;=5000,5,IF(E1800&gt;=2000,4,IF(E1800&gt;=800,3,IF(E1800&gt;=300,2,1))))</f>
        <v/>
      </c>
      <c r="I1800" s="126">
        <f>TEXT(F1800,"0")&amp;TEXT(G1800,"0")&amp;TEXT(H1800,"0")</f>
        <v/>
      </c>
      <c r="J1800" s="126">
        <f>IFERROR(XLOOKUP(I1800,'Segment Map'!A:A,'Segment Map'!B:B,"Need Attention"),"Need Attention")</f>
        <v/>
      </c>
      <c r="K1800" s="126">
        <f>IF(E1800&gt;=5000,"🏆 Platinum",IF(E1800&gt;=2000,"🥇 Gold",IF(E1800&gt;=800,"🥈 Silver","🥉 Bronze")))</f>
        <v/>
      </c>
      <c r="L1800" s="129" t="n">
        <v>40885</v>
      </c>
    </row>
    <row r="1801">
      <c r="A1801" s="122" t="n">
        <v>14798</v>
      </c>
      <c r="B1801" s="122" t="inlineStr">
        <is>
          <t>United Kingdom</t>
        </is>
      </c>
      <c r="C1801" s="122" t="n">
        <v>53</v>
      </c>
      <c r="D1801" s="122" t="n">
        <v>3</v>
      </c>
      <c r="E1801" s="123" t="n">
        <v>173.74</v>
      </c>
      <c r="F1801" s="124">
        <f>IF(C1801&lt;=30,5,IF(C1801&lt;=60,4,IF(C1801&lt;=120,3,IF(C1801&lt;=200,2,1))))</f>
        <v/>
      </c>
      <c r="G1801" s="124">
        <f>IF(D1801&gt;=20,5,IF(D1801&gt;=10,4,IF(D1801&gt;=5,3,IF(D1801&gt;=2,2,1))))</f>
        <v/>
      </c>
      <c r="H1801" s="124">
        <f>IF(E1801&gt;=5000,5,IF(E1801&gt;=2000,4,IF(E1801&gt;=800,3,IF(E1801&gt;=300,2,1))))</f>
        <v/>
      </c>
      <c r="I1801" s="122">
        <f>TEXT(F1801,"0")&amp;TEXT(G1801,"0")&amp;TEXT(H1801,"0")</f>
        <v/>
      </c>
      <c r="J1801" s="122">
        <f>IFERROR(XLOOKUP(I1801,'Segment Map'!A:A,'Segment Map'!B:B,"Need Attention"),"Need Attention")</f>
        <v/>
      </c>
      <c r="K1801" s="122">
        <f>IF(E1801&gt;=5000,"🏆 Platinum",IF(E1801&gt;=2000,"🥇 Gold",IF(E1801&gt;=800,"🥈 Silver","🥉 Bronze")))</f>
        <v/>
      </c>
      <c r="L1801" s="125" t="n">
        <v>40834</v>
      </c>
    </row>
    <row r="1802">
      <c r="A1802" s="126" t="n">
        <v>14799</v>
      </c>
      <c r="B1802" s="126" t="inlineStr">
        <is>
          <t>United Kingdom</t>
        </is>
      </c>
      <c r="C1802" s="126" t="n">
        <v>52</v>
      </c>
      <c r="D1802" s="126" t="n">
        <v>1</v>
      </c>
      <c r="E1802" s="127" t="n">
        <v>157.7</v>
      </c>
      <c r="F1802" s="128">
        <f>IF(C1802&lt;=30,5,IF(C1802&lt;=60,4,IF(C1802&lt;=120,3,IF(C1802&lt;=200,2,1))))</f>
        <v/>
      </c>
      <c r="G1802" s="128">
        <f>IF(D1802&gt;=20,5,IF(D1802&gt;=10,4,IF(D1802&gt;=5,3,IF(D1802&gt;=2,2,1))))</f>
        <v/>
      </c>
      <c r="H1802" s="128">
        <f>IF(E1802&gt;=5000,5,IF(E1802&gt;=2000,4,IF(E1802&gt;=800,3,IF(E1802&gt;=300,2,1))))</f>
        <v/>
      </c>
      <c r="I1802" s="126">
        <f>TEXT(F1802,"0")&amp;TEXT(G1802,"0")&amp;TEXT(H1802,"0")</f>
        <v/>
      </c>
      <c r="J1802" s="126">
        <f>IFERROR(XLOOKUP(I1802,'Segment Map'!A:A,'Segment Map'!B:B,"Need Attention"),"Need Attention")</f>
        <v/>
      </c>
      <c r="K1802" s="126">
        <f>IF(E1802&gt;=5000,"🏆 Platinum",IF(E1802&gt;=2000,"🥇 Gold",IF(E1802&gt;=800,"🥈 Silver","🥉 Bronze")))</f>
        <v/>
      </c>
      <c r="L1802" s="129" t="n">
        <v>40835</v>
      </c>
    </row>
    <row r="1803">
      <c r="A1803" s="122" t="n">
        <v>14800</v>
      </c>
      <c r="B1803" s="122" t="inlineStr">
        <is>
          <t>United Kingdom</t>
        </is>
      </c>
      <c r="C1803" s="122" t="n">
        <v>48</v>
      </c>
      <c r="D1803" s="122" t="n">
        <v>12</v>
      </c>
      <c r="E1803" s="123" t="n">
        <v>4339.74</v>
      </c>
      <c r="F1803" s="124">
        <f>IF(C1803&lt;=30,5,IF(C1803&lt;=60,4,IF(C1803&lt;=120,3,IF(C1803&lt;=200,2,1))))</f>
        <v/>
      </c>
      <c r="G1803" s="124">
        <f>IF(D1803&gt;=20,5,IF(D1803&gt;=10,4,IF(D1803&gt;=5,3,IF(D1803&gt;=2,2,1))))</f>
        <v/>
      </c>
      <c r="H1803" s="124">
        <f>IF(E1803&gt;=5000,5,IF(E1803&gt;=2000,4,IF(E1803&gt;=800,3,IF(E1803&gt;=300,2,1))))</f>
        <v/>
      </c>
      <c r="I1803" s="122">
        <f>TEXT(F1803,"0")&amp;TEXT(G1803,"0")&amp;TEXT(H1803,"0")</f>
        <v/>
      </c>
      <c r="J1803" s="122">
        <f>IFERROR(XLOOKUP(I1803,'Segment Map'!A:A,'Segment Map'!B:B,"Need Attention"),"Need Attention")</f>
        <v/>
      </c>
      <c r="K1803" s="122">
        <f>IF(E1803&gt;=5000,"🏆 Platinum",IF(E1803&gt;=2000,"🥇 Gold",IF(E1803&gt;=800,"🥈 Silver","🥉 Bronze")))</f>
        <v/>
      </c>
      <c r="L1803" s="125" t="n">
        <v>40839</v>
      </c>
    </row>
    <row r="1804">
      <c r="A1804" s="126" t="n">
        <v>14801</v>
      </c>
      <c r="B1804" s="126" t="inlineStr">
        <is>
          <t>United Kingdom</t>
        </is>
      </c>
      <c r="C1804" s="126" t="n">
        <v>62</v>
      </c>
      <c r="D1804" s="126" t="n">
        <v>1</v>
      </c>
      <c r="E1804" s="127" t="n">
        <v>193.14</v>
      </c>
      <c r="F1804" s="128">
        <f>IF(C1804&lt;=30,5,IF(C1804&lt;=60,4,IF(C1804&lt;=120,3,IF(C1804&lt;=200,2,1))))</f>
        <v/>
      </c>
      <c r="G1804" s="128">
        <f>IF(D1804&gt;=20,5,IF(D1804&gt;=10,4,IF(D1804&gt;=5,3,IF(D1804&gt;=2,2,1))))</f>
        <v/>
      </c>
      <c r="H1804" s="128">
        <f>IF(E1804&gt;=5000,5,IF(E1804&gt;=2000,4,IF(E1804&gt;=800,3,IF(E1804&gt;=300,2,1))))</f>
        <v/>
      </c>
      <c r="I1804" s="126">
        <f>TEXT(F1804,"0")&amp;TEXT(G1804,"0")&amp;TEXT(H1804,"0")</f>
        <v/>
      </c>
      <c r="J1804" s="126">
        <f>IFERROR(XLOOKUP(I1804,'Segment Map'!A:A,'Segment Map'!B:B,"Need Attention"),"Need Attention")</f>
        <v/>
      </c>
      <c r="K1804" s="126">
        <f>IF(E1804&gt;=5000,"🏆 Platinum",IF(E1804&gt;=2000,"🥇 Gold",IF(E1804&gt;=800,"🥈 Silver","🥉 Bronze")))</f>
        <v/>
      </c>
      <c r="L1804" s="129" t="n">
        <v>40825</v>
      </c>
    </row>
    <row r="1805">
      <c r="A1805" s="122" t="n">
        <v>14803</v>
      </c>
      <c r="B1805" s="122" t="inlineStr">
        <is>
          <t>United Kingdom</t>
        </is>
      </c>
      <c r="C1805" s="122" t="n">
        <v>163</v>
      </c>
      <c r="D1805" s="122" t="n">
        <v>3</v>
      </c>
      <c r="E1805" s="123" t="n">
        <v>845.55</v>
      </c>
      <c r="F1805" s="124">
        <f>IF(C1805&lt;=30,5,IF(C1805&lt;=60,4,IF(C1805&lt;=120,3,IF(C1805&lt;=200,2,1))))</f>
        <v/>
      </c>
      <c r="G1805" s="124">
        <f>IF(D1805&gt;=20,5,IF(D1805&gt;=10,4,IF(D1805&gt;=5,3,IF(D1805&gt;=2,2,1))))</f>
        <v/>
      </c>
      <c r="H1805" s="124">
        <f>IF(E1805&gt;=5000,5,IF(E1805&gt;=2000,4,IF(E1805&gt;=800,3,IF(E1805&gt;=300,2,1))))</f>
        <v/>
      </c>
      <c r="I1805" s="122">
        <f>TEXT(F1805,"0")&amp;TEXT(G1805,"0")&amp;TEXT(H1805,"0")</f>
        <v/>
      </c>
      <c r="J1805" s="122">
        <f>IFERROR(XLOOKUP(I1805,'Segment Map'!A:A,'Segment Map'!B:B,"Need Attention"),"Need Attention")</f>
        <v/>
      </c>
      <c r="K1805" s="122">
        <f>IF(E1805&gt;=5000,"🏆 Platinum",IF(E1805&gt;=2000,"🥇 Gold",IF(E1805&gt;=800,"🥈 Silver","🥉 Bronze")))</f>
        <v/>
      </c>
      <c r="L1805" s="125" t="n">
        <v>40724</v>
      </c>
    </row>
    <row r="1806">
      <c r="A1806" s="126" t="n">
        <v>14804</v>
      </c>
      <c r="B1806" s="126" t="inlineStr">
        <is>
          <t>United Kingdom</t>
        </is>
      </c>
      <c r="C1806" s="126" t="n">
        <v>9</v>
      </c>
      <c r="D1806" s="126" t="n">
        <v>1</v>
      </c>
      <c r="E1806" s="127" t="n">
        <v>353.27</v>
      </c>
      <c r="F1806" s="128">
        <f>IF(C1806&lt;=30,5,IF(C1806&lt;=60,4,IF(C1806&lt;=120,3,IF(C1806&lt;=200,2,1))))</f>
        <v/>
      </c>
      <c r="G1806" s="128">
        <f>IF(D1806&gt;=20,5,IF(D1806&gt;=10,4,IF(D1806&gt;=5,3,IF(D1806&gt;=2,2,1))))</f>
        <v/>
      </c>
      <c r="H1806" s="128">
        <f>IF(E1806&gt;=5000,5,IF(E1806&gt;=2000,4,IF(E1806&gt;=800,3,IF(E1806&gt;=300,2,1))))</f>
        <v/>
      </c>
      <c r="I1806" s="126">
        <f>TEXT(F1806,"0")&amp;TEXT(G1806,"0")&amp;TEXT(H1806,"0")</f>
        <v/>
      </c>
      <c r="J1806" s="126">
        <f>IFERROR(XLOOKUP(I1806,'Segment Map'!A:A,'Segment Map'!B:B,"Need Attention"),"Need Attention")</f>
        <v/>
      </c>
      <c r="K1806" s="126">
        <f>IF(E1806&gt;=5000,"🏆 Platinum",IF(E1806&gt;=2000,"🥇 Gold",IF(E1806&gt;=800,"🥈 Silver","🥉 Bronze")))</f>
        <v/>
      </c>
      <c r="L1806" s="129" t="n">
        <v>40878</v>
      </c>
    </row>
    <row r="1807">
      <c r="A1807" s="122" t="n">
        <v>14805</v>
      </c>
      <c r="B1807" s="122" t="inlineStr">
        <is>
          <t>United Kingdom</t>
        </is>
      </c>
      <c r="C1807" s="122" t="n">
        <v>16</v>
      </c>
      <c r="D1807" s="122" t="n">
        <v>4</v>
      </c>
      <c r="E1807" s="123" t="n">
        <v>554.65</v>
      </c>
      <c r="F1807" s="124">
        <f>IF(C1807&lt;=30,5,IF(C1807&lt;=60,4,IF(C1807&lt;=120,3,IF(C1807&lt;=200,2,1))))</f>
        <v/>
      </c>
      <c r="G1807" s="124">
        <f>IF(D1807&gt;=20,5,IF(D1807&gt;=10,4,IF(D1807&gt;=5,3,IF(D1807&gt;=2,2,1))))</f>
        <v/>
      </c>
      <c r="H1807" s="124">
        <f>IF(E1807&gt;=5000,5,IF(E1807&gt;=2000,4,IF(E1807&gt;=800,3,IF(E1807&gt;=300,2,1))))</f>
        <v/>
      </c>
      <c r="I1807" s="122">
        <f>TEXT(F1807,"0")&amp;TEXT(G1807,"0")&amp;TEXT(H1807,"0")</f>
        <v/>
      </c>
      <c r="J1807" s="122">
        <f>IFERROR(XLOOKUP(I1807,'Segment Map'!A:A,'Segment Map'!B:B,"Need Attention"),"Need Attention")</f>
        <v/>
      </c>
      <c r="K1807" s="122">
        <f>IF(E1807&gt;=5000,"🏆 Platinum",IF(E1807&gt;=2000,"🥇 Gold",IF(E1807&gt;=800,"🥈 Silver","🥉 Bronze")))</f>
        <v/>
      </c>
      <c r="L1807" s="125" t="n">
        <v>40871</v>
      </c>
    </row>
    <row r="1808">
      <c r="A1808" s="126" t="n">
        <v>14806</v>
      </c>
      <c r="B1808" s="126" t="inlineStr">
        <is>
          <t>United Kingdom</t>
        </is>
      </c>
      <c r="C1808" s="126" t="n">
        <v>76</v>
      </c>
      <c r="D1808" s="126" t="n">
        <v>1</v>
      </c>
      <c r="E1808" s="127" t="n">
        <v>193.39</v>
      </c>
      <c r="F1808" s="128">
        <f>IF(C1808&lt;=30,5,IF(C1808&lt;=60,4,IF(C1808&lt;=120,3,IF(C1808&lt;=200,2,1))))</f>
        <v/>
      </c>
      <c r="G1808" s="128">
        <f>IF(D1808&gt;=20,5,IF(D1808&gt;=10,4,IF(D1808&gt;=5,3,IF(D1808&gt;=2,2,1))))</f>
        <v/>
      </c>
      <c r="H1808" s="128">
        <f>IF(E1808&gt;=5000,5,IF(E1808&gt;=2000,4,IF(E1808&gt;=800,3,IF(E1808&gt;=300,2,1))))</f>
        <v/>
      </c>
      <c r="I1808" s="126">
        <f>TEXT(F1808,"0")&amp;TEXT(G1808,"0")&amp;TEXT(H1808,"0")</f>
        <v/>
      </c>
      <c r="J1808" s="126">
        <f>IFERROR(XLOOKUP(I1808,'Segment Map'!A:A,'Segment Map'!B:B,"Need Attention"),"Need Attention")</f>
        <v/>
      </c>
      <c r="K1808" s="126">
        <f>IF(E1808&gt;=5000,"🏆 Platinum",IF(E1808&gt;=2000,"🥇 Gold",IF(E1808&gt;=800,"🥈 Silver","🥉 Bronze")))</f>
        <v/>
      </c>
      <c r="L1808" s="129" t="n">
        <v>40811</v>
      </c>
    </row>
    <row r="1809">
      <c r="A1809" s="122" t="n">
        <v>14808</v>
      </c>
      <c r="B1809" s="122" t="inlineStr">
        <is>
          <t>United Kingdom</t>
        </is>
      </c>
      <c r="C1809" s="122" t="n">
        <v>40</v>
      </c>
      <c r="D1809" s="122" t="n">
        <v>8</v>
      </c>
      <c r="E1809" s="123" t="n">
        <v>2741.17</v>
      </c>
      <c r="F1809" s="124">
        <f>IF(C1809&lt;=30,5,IF(C1809&lt;=60,4,IF(C1809&lt;=120,3,IF(C1809&lt;=200,2,1))))</f>
        <v/>
      </c>
      <c r="G1809" s="124">
        <f>IF(D1809&gt;=20,5,IF(D1809&gt;=10,4,IF(D1809&gt;=5,3,IF(D1809&gt;=2,2,1))))</f>
        <v/>
      </c>
      <c r="H1809" s="124">
        <f>IF(E1809&gt;=5000,5,IF(E1809&gt;=2000,4,IF(E1809&gt;=800,3,IF(E1809&gt;=300,2,1))))</f>
        <v/>
      </c>
      <c r="I1809" s="122">
        <f>TEXT(F1809,"0")&amp;TEXT(G1809,"0")&amp;TEXT(H1809,"0")</f>
        <v/>
      </c>
      <c r="J1809" s="122">
        <f>IFERROR(XLOOKUP(I1809,'Segment Map'!A:A,'Segment Map'!B:B,"Need Attention"),"Need Attention")</f>
        <v/>
      </c>
      <c r="K1809" s="122">
        <f>IF(E1809&gt;=5000,"🏆 Platinum",IF(E1809&gt;=2000,"🥇 Gold",IF(E1809&gt;=800,"🥈 Silver","🥉 Bronze")))</f>
        <v/>
      </c>
      <c r="L1809" s="125" t="n">
        <v>40847</v>
      </c>
    </row>
    <row r="1810">
      <c r="A1810" s="126" t="n">
        <v>14810</v>
      </c>
      <c r="B1810" s="126" t="inlineStr">
        <is>
          <t>United Kingdom</t>
        </is>
      </c>
      <c r="C1810" s="126" t="n">
        <v>41</v>
      </c>
      <c r="D1810" s="126" t="n">
        <v>11</v>
      </c>
      <c r="E1810" s="127" t="n">
        <v>2087.88</v>
      </c>
      <c r="F1810" s="128">
        <f>IF(C1810&lt;=30,5,IF(C1810&lt;=60,4,IF(C1810&lt;=120,3,IF(C1810&lt;=200,2,1))))</f>
        <v/>
      </c>
      <c r="G1810" s="128">
        <f>IF(D1810&gt;=20,5,IF(D1810&gt;=10,4,IF(D1810&gt;=5,3,IF(D1810&gt;=2,2,1))))</f>
        <v/>
      </c>
      <c r="H1810" s="128">
        <f>IF(E1810&gt;=5000,5,IF(E1810&gt;=2000,4,IF(E1810&gt;=800,3,IF(E1810&gt;=300,2,1))))</f>
        <v/>
      </c>
      <c r="I1810" s="126">
        <f>TEXT(F1810,"0")&amp;TEXT(G1810,"0")&amp;TEXT(H1810,"0")</f>
        <v/>
      </c>
      <c r="J1810" s="126">
        <f>IFERROR(XLOOKUP(I1810,'Segment Map'!A:A,'Segment Map'!B:B,"Need Attention"),"Need Attention")</f>
        <v/>
      </c>
      <c r="K1810" s="126">
        <f>IF(E1810&gt;=5000,"🏆 Platinum",IF(E1810&gt;=2000,"🥇 Gold",IF(E1810&gt;=800,"🥈 Silver","🥉 Bronze")))</f>
        <v/>
      </c>
      <c r="L1810" s="129" t="n">
        <v>40846</v>
      </c>
    </row>
    <row r="1811">
      <c r="A1811" s="122" t="n">
        <v>14813</v>
      </c>
      <c r="B1811" s="122" t="inlineStr">
        <is>
          <t>United Kingdom</t>
        </is>
      </c>
      <c r="C1811" s="122" t="n">
        <v>370</v>
      </c>
      <c r="D1811" s="122" t="n">
        <v>2</v>
      </c>
      <c r="E1811" s="123" t="n">
        <v>155.43</v>
      </c>
      <c r="F1811" s="124">
        <f>IF(C1811&lt;=30,5,IF(C1811&lt;=60,4,IF(C1811&lt;=120,3,IF(C1811&lt;=200,2,1))))</f>
        <v/>
      </c>
      <c r="G1811" s="124">
        <f>IF(D1811&gt;=20,5,IF(D1811&gt;=10,4,IF(D1811&gt;=5,3,IF(D1811&gt;=2,2,1))))</f>
        <v/>
      </c>
      <c r="H1811" s="124">
        <f>IF(E1811&gt;=5000,5,IF(E1811&gt;=2000,4,IF(E1811&gt;=800,3,IF(E1811&gt;=300,2,1))))</f>
        <v/>
      </c>
      <c r="I1811" s="122">
        <f>TEXT(F1811,"0")&amp;TEXT(G1811,"0")&amp;TEXT(H1811,"0")</f>
        <v/>
      </c>
      <c r="J1811" s="122">
        <f>IFERROR(XLOOKUP(I1811,'Segment Map'!A:A,'Segment Map'!B:B,"Need Attention"),"Need Attention")</f>
        <v/>
      </c>
      <c r="K1811" s="122">
        <f>IF(E1811&gt;=5000,"🏆 Platinum",IF(E1811&gt;=2000,"🥇 Gold",IF(E1811&gt;=800,"🥈 Silver","🥉 Bronze")))</f>
        <v/>
      </c>
      <c r="L1811" s="125" t="n">
        <v>40517</v>
      </c>
    </row>
    <row r="1812">
      <c r="A1812" s="126" t="n">
        <v>14815</v>
      </c>
      <c r="B1812" s="126" t="inlineStr">
        <is>
          <t>United Kingdom</t>
        </is>
      </c>
      <c r="C1812" s="126" t="n">
        <v>37</v>
      </c>
      <c r="D1812" s="126" t="n">
        <v>2</v>
      </c>
      <c r="E1812" s="127" t="n">
        <v>778.5</v>
      </c>
      <c r="F1812" s="128">
        <f>IF(C1812&lt;=30,5,IF(C1812&lt;=60,4,IF(C1812&lt;=120,3,IF(C1812&lt;=200,2,1))))</f>
        <v/>
      </c>
      <c r="G1812" s="128">
        <f>IF(D1812&gt;=20,5,IF(D1812&gt;=10,4,IF(D1812&gt;=5,3,IF(D1812&gt;=2,2,1))))</f>
        <v/>
      </c>
      <c r="H1812" s="128">
        <f>IF(E1812&gt;=5000,5,IF(E1812&gt;=2000,4,IF(E1812&gt;=800,3,IF(E1812&gt;=300,2,1))))</f>
        <v/>
      </c>
      <c r="I1812" s="126">
        <f>TEXT(F1812,"0")&amp;TEXT(G1812,"0")&amp;TEXT(H1812,"0")</f>
        <v/>
      </c>
      <c r="J1812" s="126">
        <f>IFERROR(XLOOKUP(I1812,'Segment Map'!A:A,'Segment Map'!B:B,"Need Attention"),"Need Attention")</f>
        <v/>
      </c>
      <c r="K1812" s="126">
        <f>IF(E1812&gt;=5000,"🏆 Platinum",IF(E1812&gt;=2000,"🥇 Gold",IF(E1812&gt;=800,"🥈 Silver","🥉 Bronze")))</f>
        <v/>
      </c>
      <c r="L1812" s="129" t="n">
        <v>40850</v>
      </c>
    </row>
    <row r="1813">
      <c r="A1813" s="122" t="n">
        <v>14816</v>
      </c>
      <c r="B1813" s="122" t="inlineStr">
        <is>
          <t>United Kingdom</t>
        </is>
      </c>
      <c r="C1813" s="122" t="n">
        <v>198</v>
      </c>
      <c r="D1813" s="122" t="n">
        <v>1</v>
      </c>
      <c r="E1813" s="123" t="n">
        <v>271.85</v>
      </c>
      <c r="F1813" s="124">
        <f>IF(C1813&lt;=30,5,IF(C1813&lt;=60,4,IF(C1813&lt;=120,3,IF(C1813&lt;=200,2,1))))</f>
        <v/>
      </c>
      <c r="G1813" s="124">
        <f>IF(D1813&gt;=20,5,IF(D1813&gt;=10,4,IF(D1813&gt;=5,3,IF(D1813&gt;=2,2,1))))</f>
        <v/>
      </c>
      <c r="H1813" s="124">
        <f>IF(E1813&gt;=5000,5,IF(E1813&gt;=2000,4,IF(E1813&gt;=800,3,IF(E1813&gt;=300,2,1))))</f>
        <v/>
      </c>
      <c r="I1813" s="122">
        <f>TEXT(F1813,"0")&amp;TEXT(G1813,"0")&amp;TEXT(H1813,"0")</f>
        <v/>
      </c>
      <c r="J1813" s="122">
        <f>IFERROR(XLOOKUP(I1813,'Segment Map'!A:A,'Segment Map'!B:B,"Need Attention"),"Need Attention")</f>
        <v/>
      </c>
      <c r="K1813" s="122">
        <f>IF(E1813&gt;=5000,"🏆 Platinum",IF(E1813&gt;=2000,"🥇 Gold",IF(E1813&gt;=800,"🥈 Silver","🥉 Bronze")))</f>
        <v/>
      </c>
      <c r="L1813" s="125" t="n">
        <v>40689</v>
      </c>
    </row>
    <row r="1814">
      <c r="A1814" s="126" t="n">
        <v>14817</v>
      </c>
      <c r="B1814" s="126" t="inlineStr">
        <is>
          <t>United Kingdom</t>
        </is>
      </c>
      <c r="C1814" s="126" t="n">
        <v>201</v>
      </c>
      <c r="D1814" s="126" t="n">
        <v>2</v>
      </c>
      <c r="E1814" s="127" t="n">
        <v>1110.34</v>
      </c>
      <c r="F1814" s="128">
        <f>IF(C1814&lt;=30,5,IF(C1814&lt;=60,4,IF(C1814&lt;=120,3,IF(C1814&lt;=200,2,1))))</f>
        <v/>
      </c>
      <c r="G1814" s="128">
        <f>IF(D1814&gt;=20,5,IF(D1814&gt;=10,4,IF(D1814&gt;=5,3,IF(D1814&gt;=2,2,1))))</f>
        <v/>
      </c>
      <c r="H1814" s="128">
        <f>IF(E1814&gt;=5000,5,IF(E1814&gt;=2000,4,IF(E1814&gt;=800,3,IF(E1814&gt;=300,2,1))))</f>
        <v/>
      </c>
      <c r="I1814" s="126">
        <f>TEXT(F1814,"0")&amp;TEXT(G1814,"0")&amp;TEXT(H1814,"0")</f>
        <v/>
      </c>
      <c r="J1814" s="126">
        <f>IFERROR(XLOOKUP(I1814,'Segment Map'!A:A,'Segment Map'!B:B,"Need Attention"),"Need Attention")</f>
        <v/>
      </c>
      <c r="K1814" s="126">
        <f>IF(E1814&gt;=5000,"🏆 Platinum",IF(E1814&gt;=2000,"🥇 Gold",IF(E1814&gt;=800,"🥈 Silver","🥉 Bronze")))</f>
        <v/>
      </c>
      <c r="L1814" s="129" t="n">
        <v>40686</v>
      </c>
    </row>
    <row r="1815">
      <c r="A1815" s="122" t="n">
        <v>14818</v>
      </c>
      <c r="B1815" s="122" t="inlineStr">
        <is>
          <t>United Kingdom</t>
        </is>
      </c>
      <c r="C1815" s="122" t="n">
        <v>74</v>
      </c>
      <c r="D1815" s="122" t="n">
        <v>3</v>
      </c>
      <c r="E1815" s="123" t="n">
        <v>657.8</v>
      </c>
      <c r="F1815" s="124">
        <f>IF(C1815&lt;=30,5,IF(C1815&lt;=60,4,IF(C1815&lt;=120,3,IF(C1815&lt;=200,2,1))))</f>
        <v/>
      </c>
      <c r="G1815" s="124">
        <f>IF(D1815&gt;=20,5,IF(D1815&gt;=10,4,IF(D1815&gt;=5,3,IF(D1815&gt;=2,2,1))))</f>
        <v/>
      </c>
      <c r="H1815" s="124">
        <f>IF(E1815&gt;=5000,5,IF(E1815&gt;=2000,4,IF(E1815&gt;=800,3,IF(E1815&gt;=300,2,1))))</f>
        <v/>
      </c>
      <c r="I1815" s="122">
        <f>TEXT(F1815,"0")&amp;TEXT(G1815,"0")&amp;TEXT(H1815,"0")</f>
        <v/>
      </c>
      <c r="J1815" s="122">
        <f>IFERROR(XLOOKUP(I1815,'Segment Map'!A:A,'Segment Map'!B:B,"Need Attention"),"Need Attention")</f>
        <v/>
      </c>
      <c r="K1815" s="122">
        <f>IF(E1815&gt;=5000,"🏆 Platinum",IF(E1815&gt;=2000,"🥇 Gold",IF(E1815&gt;=800,"🥈 Silver","🥉 Bronze")))</f>
        <v/>
      </c>
      <c r="L1815" s="125" t="n">
        <v>40813</v>
      </c>
    </row>
    <row r="1816">
      <c r="A1816" s="126" t="n">
        <v>14819</v>
      </c>
      <c r="B1816" s="126" t="inlineStr">
        <is>
          <t>United Kingdom</t>
        </is>
      </c>
      <c r="C1816" s="126" t="n">
        <v>65</v>
      </c>
      <c r="D1816" s="126" t="n">
        <v>2</v>
      </c>
      <c r="E1816" s="127" t="n">
        <v>272.07</v>
      </c>
      <c r="F1816" s="128">
        <f>IF(C1816&lt;=30,5,IF(C1816&lt;=60,4,IF(C1816&lt;=120,3,IF(C1816&lt;=200,2,1))))</f>
        <v/>
      </c>
      <c r="G1816" s="128">
        <f>IF(D1816&gt;=20,5,IF(D1816&gt;=10,4,IF(D1816&gt;=5,3,IF(D1816&gt;=2,2,1))))</f>
        <v/>
      </c>
      <c r="H1816" s="128">
        <f>IF(E1816&gt;=5000,5,IF(E1816&gt;=2000,4,IF(E1816&gt;=800,3,IF(E1816&gt;=300,2,1))))</f>
        <v/>
      </c>
      <c r="I1816" s="126">
        <f>TEXT(F1816,"0")&amp;TEXT(G1816,"0")&amp;TEXT(H1816,"0")</f>
        <v/>
      </c>
      <c r="J1816" s="126">
        <f>IFERROR(XLOOKUP(I1816,'Segment Map'!A:A,'Segment Map'!B:B,"Need Attention"),"Need Attention")</f>
        <v/>
      </c>
      <c r="K1816" s="126">
        <f>IF(E1816&gt;=5000,"🏆 Platinum",IF(E1816&gt;=2000,"🥇 Gold",IF(E1816&gt;=800,"🥈 Silver","🥉 Bronze")))</f>
        <v/>
      </c>
      <c r="L1816" s="129" t="n">
        <v>40822</v>
      </c>
    </row>
    <row r="1817">
      <c r="A1817" s="122" t="n">
        <v>14820</v>
      </c>
      <c r="B1817" s="122" t="inlineStr">
        <is>
          <t>United Kingdom</t>
        </is>
      </c>
      <c r="C1817" s="122" t="n">
        <v>22</v>
      </c>
      <c r="D1817" s="122" t="n">
        <v>4</v>
      </c>
      <c r="E1817" s="123" t="n">
        <v>507.29</v>
      </c>
      <c r="F1817" s="124">
        <f>IF(C1817&lt;=30,5,IF(C1817&lt;=60,4,IF(C1817&lt;=120,3,IF(C1817&lt;=200,2,1))))</f>
        <v/>
      </c>
      <c r="G1817" s="124">
        <f>IF(D1817&gt;=20,5,IF(D1817&gt;=10,4,IF(D1817&gt;=5,3,IF(D1817&gt;=2,2,1))))</f>
        <v/>
      </c>
      <c r="H1817" s="124">
        <f>IF(E1817&gt;=5000,5,IF(E1817&gt;=2000,4,IF(E1817&gt;=800,3,IF(E1817&gt;=300,2,1))))</f>
        <v/>
      </c>
      <c r="I1817" s="122">
        <f>TEXT(F1817,"0")&amp;TEXT(G1817,"0")&amp;TEXT(H1817,"0")</f>
        <v/>
      </c>
      <c r="J1817" s="122">
        <f>IFERROR(XLOOKUP(I1817,'Segment Map'!A:A,'Segment Map'!B:B,"Need Attention"),"Need Attention")</f>
        <v/>
      </c>
      <c r="K1817" s="122">
        <f>IF(E1817&gt;=5000,"🏆 Platinum",IF(E1817&gt;=2000,"🥇 Gold",IF(E1817&gt;=800,"🥈 Silver","🥉 Bronze")))</f>
        <v/>
      </c>
      <c r="L1817" s="125" t="n">
        <v>40865</v>
      </c>
    </row>
    <row r="1818">
      <c r="A1818" s="126" t="n">
        <v>14821</v>
      </c>
      <c r="B1818" s="126" t="inlineStr">
        <is>
          <t>United Kingdom</t>
        </is>
      </c>
      <c r="C1818" s="126" t="n">
        <v>367</v>
      </c>
      <c r="D1818" s="126" t="n">
        <v>1</v>
      </c>
      <c r="E1818" s="127" t="n">
        <v>48.8</v>
      </c>
      <c r="F1818" s="128">
        <f>IF(C1818&lt;=30,5,IF(C1818&lt;=60,4,IF(C1818&lt;=120,3,IF(C1818&lt;=200,2,1))))</f>
        <v/>
      </c>
      <c r="G1818" s="128">
        <f>IF(D1818&gt;=20,5,IF(D1818&gt;=10,4,IF(D1818&gt;=5,3,IF(D1818&gt;=2,2,1))))</f>
        <v/>
      </c>
      <c r="H1818" s="128">
        <f>IF(E1818&gt;=5000,5,IF(E1818&gt;=2000,4,IF(E1818&gt;=800,3,IF(E1818&gt;=300,2,1))))</f>
        <v/>
      </c>
      <c r="I1818" s="126">
        <f>TEXT(F1818,"0")&amp;TEXT(G1818,"0")&amp;TEXT(H1818,"0")</f>
        <v/>
      </c>
      <c r="J1818" s="126">
        <f>IFERROR(XLOOKUP(I1818,'Segment Map'!A:A,'Segment Map'!B:B,"Need Attention"),"Need Attention")</f>
        <v/>
      </c>
      <c r="K1818" s="126">
        <f>IF(E1818&gt;=5000,"🏆 Platinum",IF(E1818&gt;=2000,"🥇 Gold",IF(E1818&gt;=800,"🥈 Silver","🥉 Bronze")))</f>
        <v/>
      </c>
      <c r="L1818" s="129" t="n">
        <v>40520</v>
      </c>
    </row>
    <row r="1819">
      <c r="A1819" s="122" t="n">
        <v>14823</v>
      </c>
      <c r="B1819" s="122" t="inlineStr">
        <is>
          <t>United Kingdom</t>
        </is>
      </c>
      <c r="C1819" s="122" t="n">
        <v>181</v>
      </c>
      <c r="D1819" s="122" t="n">
        <v>3</v>
      </c>
      <c r="E1819" s="123" t="n">
        <v>321.43</v>
      </c>
      <c r="F1819" s="124">
        <f>IF(C1819&lt;=30,5,IF(C1819&lt;=60,4,IF(C1819&lt;=120,3,IF(C1819&lt;=200,2,1))))</f>
        <v/>
      </c>
      <c r="G1819" s="124">
        <f>IF(D1819&gt;=20,5,IF(D1819&gt;=10,4,IF(D1819&gt;=5,3,IF(D1819&gt;=2,2,1))))</f>
        <v/>
      </c>
      <c r="H1819" s="124">
        <f>IF(E1819&gt;=5000,5,IF(E1819&gt;=2000,4,IF(E1819&gt;=800,3,IF(E1819&gt;=300,2,1))))</f>
        <v/>
      </c>
      <c r="I1819" s="122">
        <f>TEXT(F1819,"0")&amp;TEXT(G1819,"0")&amp;TEXT(H1819,"0")</f>
        <v/>
      </c>
      <c r="J1819" s="122">
        <f>IFERROR(XLOOKUP(I1819,'Segment Map'!A:A,'Segment Map'!B:B,"Need Attention"),"Need Attention")</f>
        <v/>
      </c>
      <c r="K1819" s="122">
        <f>IF(E1819&gt;=5000,"🏆 Platinum",IF(E1819&gt;=2000,"🥇 Gold",IF(E1819&gt;=800,"🥈 Silver","🥉 Bronze")))</f>
        <v/>
      </c>
      <c r="L1819" s="125" t="n">
        <v>40706</v>
      </c>
    </row>
    <row r="1820">
      <c r="A1820" s="126" t="n">
        <v>14824</v>
      </c>
      <c r="B1820" s="126" t="inlineStr">
        <is>
          <t>United Kingdom</t>
        </is>
      </c>
      <c r="C1820" s="126" t="n">
        <v>11</v>
      </c>
      <c r="D1820" s="126" t="n">
        <v>4</v>
      </c>
      <c r="E1820" s="127" t="n">
        <v>1127.71</v>
      </c>
      <c r="F1820" s="128">
        <f>IF(C1820&lt;=30,5,IF(C1820&lt;=60,4,IF(C1820&lt;=120,3,IF(C1820&lt;=200,2,1))))</f>
        <v/>
      </c>
      <c r="G1820" s="128">
        <f>IF(D1820&gt;=20,5,IF(D1820&gt;=10,4,IF(D1820&gt;=5,3,IF(D1820&gt;=2,2,1))))</f>
        <v/>
      </c>
      <c r="H1820" s="128">
        <f>IF(E1820&gt;=5000,5,IF(E1820&gt;=2000,4,IF(E1820&gt;=800,3,IF(E1820&gt;=300,2,1))))</f>
        <v/>
      </c>
      <c r="I1820" s="126">
        <f>TEXT(F1820,"0")&amp;TEXT(G1820,"0")&amp;TEXT(H1820,"0")</f>
        <v/>
      </c>
      <c r="J1820" s="126">
        <f>IFERROR(XLOOKUP(I1820,'Segment Map'!A:A,'Segment Map'!B:B,"Need Attention"),"Need Attention")</f>
        <v/>
      </c>
      <c r="K1820" s="126">
        <f>IF(E1820&gt;=5000,"🏆 Platinum",IF(E1820&gt;=2000,"🥇 Gold",IF(E1820&gt;=800,"🥈 Silver","🥉 Bronze")))</f>
        <v/>
      </c>
      <c r="L1820" s="129" t="n">
        <v>40876</v>
      </c>
    </row>
    <row r="1821">
      <c r="A1821" s="122" t="n">
        <v>14825</v>
      </c>
      <c r="B1821" s="122" t="inlineStr">
        <is>
          <t>United Kingdom</t>
        </is>
      </c>
      <c r="C1821" s="122" t="n">
        <v>4</v>
      </c>
      <c r="D1821" s="122" t="n">
        <v>12</v>
      </c>
      <c r="E1821" s="123" t="n">
        <v>2226.91</v>
      </c>
      <c r="F1821" s="124">
        <f>IF(C1821&lt;=30,5,IF(C1821&lt;=60,4,IF(C1821&lt;=120,3,IF(C1821&lt;=200,2,1))))</f>
        <v/>
      </c>
      <c r="G1821" s="124">
        <f>IF(D1821&gt;=20,5,IF(D1821&gt;=10,4,IF(D1821&gt;=5,3,IF(D1821&gt;=2,2,1))))</f>
        <v/>
      </c>
      <c r="H1821" s="124">
        <f>IF(E1821&gt;=5000,5,IF(E1821&gt;=2000,4,IF(E1821&gt;=800,3,IF(E1821&gt;=300,2,1))))</f>
        <v/>
      </c>
      <c r="I1821" s="122">
        <f>TEXT(F1821,"0")&amp;TEXT(G1821,"0")&amp;TEXT(H1821,"0")</f>
        <v/>
      </c>
      <c r="J1821" s="122">
        <f>IFERROR(XLOOKUP(I1821,'Segment Map'!A:A,'Segment Map'!B:B,"Need Attention"),"Need Attention")</f>
        <v/>
      </c>
      <c r="K1821" s="122">
        <f>IF(E1821&gt;=5000,"🏆 Platinum",IF(E1821&gt;=2000,"🥇 Gold",IF(E1821&gt;=800,"🥈 Silver","🥉 Bronze")))</f>
        <v/>
      </c>
      <c r="L1821" s="125" t="n">
        <v>40883</v>
      </c>
    </row>
    <row r="1822">
      <c r="A1822" s="126" t="n">
        <v>14828</v>
      </c>
      <c r="B1822" s="126" t="inlineStr">
        <is>
          <t>United Kingdom</t>
        </is>
      </c>
      <c r="C1822" s="126" t="n">
        <v>197</v>
      </c>
      <c r="D1822" s="126" t="n">
        <v>3</v>
      </c>
      <c r="E1822" s="127" t="n">
        <v>2139.76</v>
      </c>
      <c r="F1822" s="128">
        <f>IF(C1822&lt;=30,5,IF(C1822&lt;=60,4,IF(C1822&lt;=120,3,IF(C1822&lt;=200,2,1))))</f>
        <v/>
      </c>
      <c r="G1822" s="128">
        <f>IF(D1822&gt;=20,5,IF(D1822&gt;=10,4,IF(D1822&gt;=5,3,IF(D1822&gt;=2,2,1))))</f>
        <v/>
      </c>
      <c r="H1822" s="128">
        <f>IF(E1822&gt;=5000,5,IF(E1822&gt;=2000,4,IF(E1822&gt;=800,3,IF(E1822&gt;=300,2,1))))</f>
        <v/>
      </c>
      <c r="I1822" s="126">
        <f>TEXT(F1822,"0")&amp;TEXT(G1822,"0")&amp;TEXT(H1822,"0")</f>
        <v/>
      </c>
      <c r="J1822" s="126">
        <f>IFERROR(XLOOKUP(I1822,'Segment Map'!A:A,'Segment Map'!B:B,"Need Attention"),"Need Attention")</f>
        <v/>
      </c>
      <c r="K1822" s="126">
        <f>IF(E1822&gt;=5000,"🏆 Platinum",IF(E1822&gt;=2000,"🥇 Gold",IF(E1822&gt;=800,"🥈 Silver","🥉 Bronze")))</f>
        <v/>
      </c>
      <c r="L1822" s="129" t="n">
        <v>40690</v>
      </c>
    </row>
    <row r="1823">
      <c r="A1823" s="122" t="n">
        <v>14829</v>
      </c>
      <c r="B1823" s="122" t="inlineStr">
        <is>
          <t>United Kingdom</t>
        </is>
      </c>
      <c r="C1823" s="122" t="n">
        <v>30</v>
      </c>
      <c r="D1823" s="122" t="n">
        <v>4</v>
      </c>
      <c r="E1823" s="123" t="n">
        <v>697.55</v>
      </c>
      <c r="F1823" s="124">
        <f>IF(C1823&lt;=30,5,IF(C1823&lt;=60,4,IF(C1823&lt;=120,3,IF(C1823&lt;=200,2,1))))</f>
        <v/>
      </c>
      <c r="G1823" s="124">
        <f>IF(D1823&gt;=20,5,IF(D1823&gt;=10,4,IF(D1823&gt;=5,3,IF(D1823&gt;=2,2,1))))</f>
        <v/>
      </c>
      <c r="H1823" s="124">
        <f>IF(E1823&gt;=5000,5,IF(E1823&gt;=2000,4,IF(E1823&gt;=800,3,IF(E1823&gt;=300,2,1))))</f>
        <v/>
      </c>
      <c r="I1823" s="122">
        <f>TEXT(F1823,"0")&amp;TEXT(G1823,"0")&amp;TEXT(H1823,"0")</f>
        <v/>
      </c>
      <c r="J1823" s="122">
        <f>IFERROR(XLOOKUP(I1823,'Segment Map'!A:A,'Segment Map'!B:B,"Need Attention"),"Need Attention")</f>
        <v/>
      </c>
      <c r="K1823" s="122">
        <f>IF(E1823&gt;=5000,"🏆 Platinum",IF(E1823&gt;=2000,"🥇 Gold",IF(E1823&gt;=800,"🥈 Silver","🥉 Bronze")))</f>
        <v/>
      </c>
      <c r="L1823" s="125" t="n">
        <v>40857</v>
      </c>
    </row>
    <row r="1824">
      <c r="A1824" s="126" t="n">
        <v>14830</v>
      </c>
      <c r="B1824" s="126" t="inlineStr">
        <is>
          <t>United Kingdom</t>
        </is>
      </c>
      <c r="C1824" s="126" t="n">
        <v>54</v>
      </c>
      <c r="D1824" s="126" t="n">
        <v>1</v>
      </c>
      <c r="E1824" s="127" t="n">
        <v>197.13</v>
      </c>
      <c r="F1824" s="128">
        <f>IF(C1824&lt;=30,5,IF(C1824&lt;=60,4,IF(C1824&lt;=120,3,IF(C1824&lt;=200,2,1))))</f>
        <v/>
      </c>
      <c r="G1824" s="128">
        <f>IF(D1824&gt;=20,5,IF(D1824&gt;=10,4,IF(D1824&gt;=5,3,IF(D1824&gt;=2,2,1))))</f>
        <v/>
      </c>
      <c r="H1824" s="128">
        <f>IF(E1824&gt;=5000,5,IF(E1824&gt;=2000,4,IF(E1824&gt;=800,3,IF(E1824&gt;=300,2,1))))</f>
        <v/>
      </c>
      <c r="I1824" s="126">
        <f>TEXT(F1824,"0")&amp;TEXT(G1824,"0")&amp;TEXT(H1824,"0")</f>
        <v/>
      </c>
      <c r="J1824" s="126">
        <f>IFERROR(XLOOKUP(I1824,'Segment Map'!A:A,'Segment Map'!B:B,"Need Attention"),"Need Attention")</f>
        <v/>
      </c>
      <c r="K1824" s="126">
        <f>IF(E1824&gt;=5000,"🏆 Platinum",IF(E1824&gt;=2000,"🥇 Gold",IF(E1824&gt;=800,"🥈 Silver","🥉 Bronze")))</f>
        <v/>
      </c>
      <c r="L1824" s="129" t="n">
        <v>40833</v>
      </c>
    </row>
    <row r="1825">
      <c r="A1825" s="122" t="n">
        <v>14834</v>
      </c>
      <c r="B1825" s="122" t="inlineStr">
        <is>
          <t>United Kingdom</t>
        </is>
      </c>
      <c r="C1825" s="122" t="n">
        <v>18</v>
      </c>
      <c r="D1825" s="122" t="n">
        <v>6</v>
      </c>
      <c r="E1825" s="123" t="n">
        <v>1720.3</v>
      </c>
      <c r="F1825" s="124">
        <f>IF(C1825&lt;=30,5,IF(C1825&lt;=60,4,IF(C1825&lt;=120,3,IF(C1825&lt;=200,2,1))))</f>
        <v/>
      </c>
      <c r="G1825" s="124">
        <f>IF(D1825&gt;=20,5,IF(D1825&gt;=10,4,IF(D1825&gt;=5,3,IF(D1825&gt;=2,2,1))))</f>
        <v/>
      </c>
      <c r="H1825" s="124">
        <f>IF(E1825&gt;=5000,5,IF(E1825&gt;=2000,4,IF(E1825&gt;=800,3,IF(E1825&gt;=300,2,1))))</f>
        <v/>
      </c>
      <c r="I1825" s="122">
        <f>TEXT(F1825,"0")&amp;TEXT(G1825,"0")&amp;TEXT(H1825,"0")</f>
        <v/>
      </c>
      <c r="J1825" s="122">
        <f>IFERROR(XLOOKUP(I1825,'Segment Map'!A:A,'Segment Map'!B:B,"Need Attention"),"Need Attention")</f>
        <v/>
      </c>
      <c r="K1825" s="122">
        <f>IF(E1825&gt;=5000,"🏆 Platinum",IF(E1825&gt;=2000,"🥇 Gold",IF(E1825&gt;=800,"🥈 Silver","🥉 Bronze")))</f>
        <v/>
      </c>
      <c r="L1825" s="125" t="n">
        <v>40869</v>
      </c>
    </row>
    <row r="1826">
      <c r="A1826" s="126" t="n">
        <v>14836</v>
      </c>
      <c r="B1826" s="126" t="inlineStr">
        <is>
          <t>United Kingdom</t>
        </is>
      </c>
      <c r="C1826" s="126" t="n">
        <v>11</v>
      </c>
      <c r="D1826" s="126" t="n">
        <v>3</v>
      </c>
      <c r="E1826" s="127" t="n">
        <v>102.45</v>
      </c>
      <c r="F1826" s="128">
        <f>IF(C1826&lt;=30,5,IF(C1826&lt;=60,4,IF(C1826&lt;=120,3,IF(C1826&lt;=200,2,1))))</f>
        <v/>
      </c>
      <c r="G1826" s="128">
        <f>IF(D1826&gt;=20,5,IF(D1826&gt;=10,4,IF(D1826&gt;=5,3,IF(D1826&gt;=2,2,1))))</f>
        <v/>
      </c>
      <c r="H1826" s="128">
        <f>IF(E1826&gt;=5000,5,IF(E1826&gt;=2000,4,IF(E1826&gt;=800,3,IF(E1826&gt;=300,2,1))))</f>
        <v/>
      </c>
      <c r="I1826" s="126">
        <f>TEXT(F1826,"0")&amp;TEXT(G1826,"0")&amp;TEXT(H1826,"0")</f>
        <v/>
      </c>
      <c r="J1826" s="126">
        <f>IFERROR(XLOOKUP(I1826,'Segment Map'!A:A,'Segment Map'!B:B,"Need Attention"),"Need Attention")</f>
        <v/>
      </c>
      <c r="K1826" s="126">
        <f>IF(E1826&gt;=5000,"🏆 Platinum",IF(E1826&gt;=2000,"🥇 Gold",IF(E1826&gt;=800,"🥈 Silver","🥉 Bronze")))</f>
        <v/>
      </c>
      <c r="L1826" s="129" t="n">
        <v>40876</v>
      </c>
    </row>
    <row r="1827">
      <c r="A1827" s="122" t="n">
        <v>14837</v>
      </c>
      <c r="B1827" s="122" t="inlineStr">
        <is>
          <t>United Kingdom</t>
        </is>
      </c>
      <c r="C1827" s="122" t="n">
        <v>90</v>
      </c>
      <c r="D1827" s="122" t="n">
        <v>4</v>
      </c>
      <c r="E1827" s="123" t="n">
        <v>1649.5</v>
      </c>
      <c r="F1827" s="124">
        <f>IF(C1827&lt;=30,5,IF(C1827&lt;=60,4,IF(C1827&lt;=120,3,IF(C1827&lt;=200,2,1))))</f>
        <v/>
      </c>
      <c r="G1827" s="124">
        <f>IF(D1827&gt;=20,5,IF(D1827&gt;=10,4,IF(D1827&gt;=5,3,IF(D1827&gt;=2,2,1))))</f>
        <v/>
      </c>
      <c r="H1827" s="124">
        <f>IF(E1827&gt;=5000,5,IF(E1827&gt;=2000,4,IF(E1827&gt;=800,3,IF(E1827&gt;=300,2,1))))</f>
        <v/>
      </c>
      <c r="I1827" s="122">
        <f>TEXT(F1827,"0")&amp;TEXT(G1827,"0")&amp;TEXT(H1827,"0")</f>
        <v/>
      </c>
      <c r="J1827" s="122">
        <f>IFERROR(XLOOKUP(I1827,'Segment Map'!A:A,'Segment Map'!B:B,"Need Attention"),"Need Attention")</f>
        <v/>
      </c>
      <c r="K1827" s="122">
        <f>IF(E1827&gt;=5000,"🏆 Platinum",IF(E1827&gt;=2000,"🥇 Gold",IF(E1827&gt;=800,"🥈 Silver","🥉 Bronze")))</f>
        <v/>
      </c>
      <c r="L1827" s="125" t="n">
        <v>40797</v>
      </c>
    </row>
    <row r="1828">
      <c r="A1828" s="126" t="n">
        <v>14840</v>
      </c>
      <c r="B1828" s="126" t="inlineStr">
        <is>
          <t>United Kingdom</t>
        </is>
      </c>
      <c r="C1828" s="126" t="n">
        <v>268</v>
      </c>
      <c r="D1828" s="126" t="n">
        <v>1</v>
      </c>
      <c r="E1828" s="127" t="n">
        <v>62.85</v>
      </c>
      <c r="F1828" s="128">
        <f>IF(C1828&lt;=30,5,IF(C1828&lt;=60,4,IF(C1828&lt;=120,3,IF(C1828&lt;=200,2,1))))</f>
        <v/>
      </c>
      <c r="G1828" s="128">
        <f>IF(D1828&gt;=20,5,IF(D1828&gt;=10,4,IF(D1828&gt;=5,3,IF(D1828&gt;=2,2,1))))</f>
        <v/>
      </c>
      <c r="H1828" s="128">
        <f>IF(E1828&gt;=5000,5,IF(E1828&gt;=2000,4,IF(E1828&gt;=800,3,IF(E1828&gt;=300,2,1))))</f>
        <v/>
      </c>
      <c r="I1828" s="126">
        <f>TEXT(F1828,"0")&amp;TEXT(G1828,"0")&amp;TEXT(H1828,"0")</f>
        <v/>
      </c>
      <c r="J1828" s="126">
        <f>IFERROR(XLOOKUP(I1828,'Segment Map'!A:A,'Segment Map'!B:B,"Need Attention"),"Need Attention")</f>
        <v/>
      </c>
      <c r="K1828" s="126">
        <f>IF(E1828&gt;=5000,"🏆 Platinum",IF(E1828&gt;=2000,"🥇 Gold",IF(E1828&gt;=800,"🥈 Silver","🥉 Bronze")))</f>
        <v/>
      </c>
      <c r="L1828" s="129" t="n">
        <v>40619</v>
      </c>
    </row>
    <row r="1829">
      <c r="A1829" s="122" t="n">
        <v>14841</v>
      </c>
      <c r="B1829" s="122" t="inlineStr">
        <is>
          <t>United Kingdom</t>
        </is>
      </c>
      <c r="C1829" s="122" t="n">
        <v>54</v>
      </c>
      <c r="D1829" s="122" t="n">
        <v>6</v>
      </c>
      <c r="E1829" s="123" t="n">
        <v>3295.76</v>
      </c>
      <c r="F1829" s="124">
        <f>IF(C1829&lt;=30,5,IF(C1829&lt;=60,4,IF(C1829&lt;=120,3,IF(C1829&lt;=200,2,1))))</f>
        <v/>
      </c>
      <c r="G1829" s="124">
        <f>IF(D1829&gt;=20,5,IF(D1829&gt;=10,4,IF(D1829&gt;=5,3,IF(D1829&gt;=2,2,1))))</f>
        <v/>
      </c>
      <c r="H1829" s="124">
        <f>IF(E1829&gt;=5000,5,IF(E1829&gt;=2000,4,IF(E1829&gt;=800,3,IF(E1829&gt;=300,2,1))))</f>
        <v/>
      </c>
      <c r="I1829" s="122">
        <f>TEXT(F1829,"0")&amp;TEXT(G1829,"0")&amp;TEXT(H1829,"0")</f>
        <v/>
      </c>
      <c r="J1829" s="122">
        <f>IFERROR(XLOOKUP(I1829,'Segment Map'!A:A,'Segment Map'!B:B,"Need Attention"),"Need Attention")</f>
        <v/>
      </c>
      <c r="K1829" s="122">
        <f>IF(E1829&gt;=5000,"🏆 Platinum",IF(E1829&gt;=2000,"🥇 Gold",IF(E1829&gt;=800,"🥈 Silver","🥉 Bronze")))</f>
        <v/>
      </c>
      <c r="L1829" s="125" t="n">
        <v>40833</v>
      </c>
    </row>
    <row r="1830">
      <c r="A1830" s="126" t="n">
        <v>14842</v>
      </c>
      <c r="B1830" s="126" t="inlineStr">
        <is>
          <t>United Kingdom</t>
        </is>
      </c>
      <c r="C1830" s="126" t="n">
        <v>44</v>
      </c>
      <c r="D1830" s="126" t="n">
        <v>4</v>
      </c>
      <c r="E1830" s="127" t="n">
        <v>2824.69</v>
      </c>
      <c r="F1830" s="128">
        <f>IF(C1830&lt;=30,5,IF(C1830&lt;=60,4,IF(C1830&lt;=120,3,IF(C1830&lt;=200,2,1))))</f>
        <v/>
      </c>
      <c r="G1830" s="128">
        <f>IF(D1830&gt;=20,5,IF(D1830&gt;=10,4,IF(D1830&gt;=5,3,IF(D1830&gt;=2,2,1))))</f>
        <v/>
      </c>
      <c r="H1830" s="128">
        <f>IF(E1830&gt;=5000,5,IF(E1830&gt;=2000,4,IF(E1830&gt;=800,3,IF(E1830&gt;=300,2,1))))</f>
        <v/>
      </c>
      <c r="I1830" s="126">
        <f>TEXT(F1830,"0")&amp;TEXT(G1830,"0")&amp;TEXT(H1830,"0")</f>
        <v/>
      </c>
      <c r="J1830" s="126">
        <f>IFERROR(XLOOKUP(I1830,'Segment Map'!A:A,'Segment Map'!B:B,"Need Attention"),"Need Attention")</f>
        <v/>
      </c>
      <c r="K1830" s="126">
        <f>IF(E1830&gt;=5000,"🏆 Platinum",IF(E1830&gt;=2000,"🥇 Gold",IF(E1830&gt;=800,"🥈 Silver","🥉 Bronze")))</f>
        <v/>
      </c>
      <c r="L1830" s="129" t="n">
        <v>40843</v>
      </c>
    </row>
    <row r="1831">
      <c r="A1831" s="122" t="n">
        <v>14844</v>
      </c>
      <c r="B1831" s="122" t="inlineStr">
        <is>
          <t>United Kingdom</t>
        </is>
      </c>
      <c r="C1831" s="122" t="n">
        <v>64</v>
      </c>
      <c r="D1831" s="122" t="n">
        <v>4</v>
      </c>
      <c r="E1831" s="123" t="n">
        <v>3189.81</v>
      </c>
      <c r="F1831" s="124">
        <f>IF(C1831&lt;=30,5,IF(C1831&lt;=60,4,IF(C1831&lt;=120,3,IF(C1831&lt;=200,2,1))))</f>
        <v/>
      </c>
      <c r="G1831" s="124">
        <f>IF(D1831&gt;=20,5,IF(D1831&gt;=10,4,IF(D1831&gt;=5,3,IF(D1831&gt;=2,2,1))))</f>
        <v/>
      </c>
      <c r="H1831" s="124">
        <f>IF(E1831&gt;=5000,5,IF(E1831&gt;=2000,4,IF(E1831&gt;=800,3,IF(E1831&gt;=300,2,1))))</f>
        <v/>
      </c>
      <c r="I1831" s="122">
        <f>TEXT(F1831,"0")&amp;TEXT(G1831,"0")&amp;TEXT(H1831,"0")</f>
        <v/>
      </c>
      <c r="J1831" s="122">
        <f>IFERROR(XLOOKUP(I1831,'Segment Map'!A:A,'Segment Map'!B:B,"Need Attention"),"Need Attention")</f>
        <v/>
      </c>
      <c r="K1831" s="122">
        <f>IF(E1831&gt;=5000,"🏆 Platinum",IF(E1831&gt;=2000,"🥇 Gold",IF(E1831&gt;=800,"🥈 Silver","🥉 Bronze")))</f>
        <v/>
      </c>
      <c r="L1831" s="125" t="n">
        <v>40823</v>
      </c>
    </row>
    <row r="1832">
      <c r="A1832" s="126" t="n">
        <v>14847</v>
      </c>
      <c r="B1832" s="126" t="inlineStr">
        <is>
          <t>United Kingdom</t>
        </is>
      </c>
      <c r="C1832" s="126" t="n">
        <v>149</v>
      </c>
      <c r="D1832" s="126" t="n">
        <v>1</v>
      </c>
      <c r="E1832" s="127" t="n">
        <v>309.4</v>
      </c>
      <c r="F1832" s="128">
        <f>IF(C1832&lt;=30,5,IF(C1832&lt;=60,4,IF(C1832&lt;=120,3,IF(C1832&lt;=200,2,1))))</f>
        <v/>
      </c>
      <c r="G1832" s="128">
        <f>IF(D1832&gt;=20,5,IF(D1832&gt;=10,4,IF(D1832&gt;=5,3,IF(D1832&gt;=2,2,1))))</f>
        <v/>
      </c>
      <c r="H1832" s="128">
        <f>IF(E1832&gt;=5000,5,IF(E1832&gt;=2000,4,IF(E1832&gt;=800,3,IF(E1832&gt;=300,2,1))))</f>
        <v/>
      </c>
      <c r="I1832" s="126">
        <f>TEXT(F1832,"0")&amp;TEXT(G1832,"0")&amp;TEXT(H1832,"0")</f>
        <v/>
      </c>
      <c r="J1832" s="126">
        <f>IFERROR(XLOOKUP(I1832,'Segment Map'!A:A,'Segment Map'!B:B,"Need Attention"),"Need Attention")</f>
        <v/>
      </c>
      <c r="K1832" s="126">
        <f>IF(E1832&gt;=5000,"🏆 Platinum",IF(E1832&gt;=2000,"🥇 Gold",IF(E1832&gt;=800,"🥈 Silver","🥉 Bronze")))</f>
        <v/>
      </c>
      <c r="L1832" s="129" t="n">
        <v>40738</v>
      </c>
    </row>
    <row r="1833">
      <c r="A1833" s="122" t="n">
        <v>14849</v>
      </c>
      <c r="B1833" s="122" t="inlineStr">
        <is>
          <t>United Kingdom</t>
        </is>
      </c>
      <c r="C1833" s="122" t="n">
        <v>22</v>
      </c>
      <c r="D1833" s="122" t="n">
        <v>25</v>
      </c>
      <c r="E1833" s="123" t="n">
        <v>7930.54</v>
      </c>
      <c r="F1833" s="124">
        <f>IF(C1833&lt;=30,5,IF(C1833&lt;=60,4,IF(C1833&lt;=120,3,IF(C1833&lt;=200,2,1))))</f>
        <v/>
      </c>
      <c r="G1833" s="124">
        <f>IF(D1833&gt;=20,5,IF(D1833&gt;=10,4,IF(D1833&gt;=5,3,IF(D1833&gt;=2,2,1))))</f>
        <v/>
      </c>
      <c r="H1833" s="124">
        <f>IF(E1833&gt;=5000,5,IF(E1833&gt;=2000,4,IF(E1833&gt;=800,3,IF(E1833&gt;=300,2,1))))</f>
        <v/>
      </c>
      <c r="I1833" s="122">
        <f>TEXT(F1833,"0")&amp;TEXT(G1833,"0")&amp;TEXT(H1833,"0")</f>
        <v/>
      </c>
      <c r="J1833" s="122">
        <f>IFERROR(XLOOKUP(I1833,'Segment Map'!A:A,'Segment Map'!B:B,"Need Attention"),"Need Attention")</f>
        <v/>
      </c>
      <c r="K1833" s="122">
        <f>IF(E1833&gt;=5000,"🏆 Platinum",IF(E1833&gt;=2000,"🥇 Gold",IF(E1833&gt;=800,"🥈 Silver","🥉 Bronze")))</f>
        <v/>
      </c>
      <c r="L1833" s="125" t="n">
        <v>40865</v>
      </c>
    </row>
    <row r="1834">
      <c r="A1834" s="126" t="n">
        <v>14850</v>
      </c>
      <c r="B1834" s="126" t="inlineStr">
        <is>
          <t>United Kingdom</t>
        </is>
      </c>
      <c r="C1834" s="126" t="n">
        <v>312</v>
      </c>
      <c r="D1834" s="126" t="n">
        <v>1</v>
      </c>
      <c r="E1834" s="127" t="n">
        <v>325.75</v>
      </c>
      <c r="F1834" s="128">
        <f>IF(C1834&lt;=30,5,IF(C1834&lt;=60,4,IF(C1834&lt;=120,3,IF(C1834&lt;=200,2,1))))</f>
        <v/>
      </c>
      <c r="G1834" s="128">
        <f>IF(D1834&gt;=20,5,IF(D1834&gt;=10,4,IF(D1834&gt;=5,3,IF(D1834&gt;=2,2,1))))</f>
        <v/>
      </c>
      <c r="H1834" s="128">
        <f>IF(E1834&gt;=5000,5,IF(E1834&gt;=2000,4,IF(E1834&gt;=800,3,IF(E1834&gt;=300,2,1))))</f>
        <v/>
      </c>
      <c r="I1834" s="126">
        <f>TEXT(F1834,"0")&amp;TEXT(G1834,"0")&amp;TEXT(H1834,"0")</f>
        <v/>
      </c>
      <c r="J1834" s="126">
        <f>IFERROR(XLOOKUP(I1834,'Segment Map'!A:A,'Segment Map'!B:B,"Need Attention"),"Need Attention")</f>
        <v/>
      </c>
      <c r="K1834" s="126">
        <f>IF(E1834&gt;=5000,"🏆 Platinum",IF(E1834&gt;=2000,"🥇 Gold",IF(E1834&gt;=800,"🥈 Silver","🥉 Bronze")))</f>
        <v/>
      </c>
      <c r="L1834" s="129" t="n">
        <v>40575</v>
      </c>
    </row>
    <row r="1835">
      <c r="A1835" s="122" t="n">
        <v>14851</v>
      </c>
      <c r="B1835" s="122" t="inlineStr">
        <is>
          <t>United Kingdom</t>
        </is>
      </c>
      <c r="C1835" s="122" t="n">
        <v>24</v>
      </c>
      <c r="D1835" s="122" t="n">
        <v>2</v>
      </c>
      <c r="E1835" s="123" t="n">
        <v>511.35</v>
      </c>
      <c r="F1835" s="124">
        <f>IF(C1835&lt;=30,5,IF(C1835&lt;=60,4,IF(C1835&lt;=120,3,IF(C1835&lt;=200,2,1))))</f>
        <v/>
      </c>
      <c r="G1835" s="124">
        <f>IF(D1835&gt;=20,5,IF(D1835&gt;=10,4,IF(D1835&gt;=5,3,IF(D1835&gt;=2,2,1))))</f>
        <v/>
      </c>
      <c r="H1835" s="124">
        <f>IF(E1835&gt;=5000,5,IF(E1835&gt;=2000,4,IF(E1835&gt;=800,3,IF(E1835&gt;=300,2,1))))</f>
        <v/>
      </c>
      <c r="I1835" s="122">
        <f>TEXT(F1835,"0")&amp;TEXT(G1835,"0")&amp;TEXT(H1835,"0")</f>
        <v/>
      </c>
      <c r="J1835" s="122">
        <f>IFERROR(XLOOKUP(I1835,'Segment Map'!A:A,'Segment Map'!B:B,"Need Attention"),"Need Attention")</f>
        <v/>
      </c>
      <c r="K1835" s="122">
        <f>IF(E1835&gt;=5000,"🏆 Platinum",IF(E1835&gt;=2000,"🥇 Gold",IF(E1835&gt;=800,"🥈 Silver","🥉 Bronze")))</f>
        <v/>
      </c>
      <c r="L1835" s="125" t="n">
        <v>40863</v>
      </c>
    </row>
    <row r="1836">
      <c r="A1836" s="126" t="n">
        <v>14852</v>
      </c>
      <c r="B1836" s="126" t="inlineStr">
        <is>
          <t>United Kingdom</t>
        </is>
      </c>
      <c r="C1836" s="126" t="n">
        <v>59</v>
      </c>
      <c r="D1836" s="126" t="n">
        <v>6</v>
      </c>
      <c r="E1836" s="127" t="n">
        <v>2836.69</v>
      </c>
      <c r="F1836" s="128">
        <f>IF(C1836&lt;=30,5,IF(C1836&lt;=60,4,IF(C1836&lt;=120,3,IF(C1836&lt;=200,2,1))))</f>
        <v/>
      </c>
      <c r="G1836" s="128">
        <f>IF(D1836&gt;=20,5,IF(D1836&gt;=10,4,IF(D1836&gt;=5,3,IF(D1836&gt;=2,2,1))))</f>
        <v/>
      </c>
      <c r="H1836" s="128">
        <f>IF(E1836&gt;=5000,5,IF(E1836&gt;=2000,4,IF(E1836&gt;=800,3,IF(E1836&gt;=300,2,1))))</f>
        <v/>
      </c>
      <c r="I1836" s="126">
        <f>TEXT(F1836,"0")&amp;TEXT(G1836,"0")&amp;TEXT(H1836,"0")</f>
        <v/>
      </c>
      <c r="J1836" s="126">
        <f>IFERROR(XLOOKUP(I1836,'Segment Map'!A:A,'Segment Map'!B:B,"Need Attention"),"Need Attention")</f>
        <v/>
      </c>
      <c r="K1836" s="126">
        <f>IF(E1836&gt;=5000,"🏆 Platinum",IF(E1836&gt;=2000,"🥇 Gold",IF(E1836&gt;=800,"🥈 Silver","🥉 Bronze")))</f>
        <v/>
      </c>
      <c r="L1836" s="129" t="n">
        <v>40828</v>
      </c>
    </row>
    <row r="1837">
      <c r="A1837" s="122" t="n">
        <v>14853</v>
      </c>
      <c r="B1837" s="122" t="inlineStr">
        <is>
          <t>United Kingdom</t>
        </is>
      </c>
      <c r="C1837" s="122" t="n">
        <v>25</v>
      </c>
      <c r="D1837" s="122" t="n">
        <v>2</v>
      </c>
      <c r="E1837" s="123" t="n">
        <v>475.8</v>
      </c>
      <c r="F1837" s="124">
        <f>IF(C1837&lt;=30,5,IF(C1837&lt;=60,4,IF(C1837&lt;=120,3,IF(C1837&lt;=200,2,1))))</f>
        <v/>
      </c>
      <c r="G1837" s="124">
        <f>IF(D1837&gt;=20,5,IF(D1837&gt;=10,4,IF(D1837&gt;=5,3,IF(D1837&gt;=2,2,1))))</f>
        <v/>
      </c>
      <c r="H1837" s="124">
        <f>IF(E1837&gt;=5000,5,IF(E1837&gt;=2000,4,IF(E1837&gt;=800,3,IF(E1837&gt;=300,2,1))))</f>
        <v/>
      </c>
      <c r="I1837" s="122">
        <f>TEXT(F1837,"0")&amp;TEXT(G1837,"0")&amp;TEXT(H1837,"0")</f>
        <v/>
      </c>
      <c r="J1837" s="122">
        <f>IFERROR(XLOOKUP(I1837,'Segment Map'!A:A,'Segment Map'!B:B,"Need Attention"),"Need Attention")</f>
        <v/>
      </c>
      <c r="K1837" s="122">
        <f>IF(E1837&gt;=5000,"🏆 Platinum",IF(E1837&gt;=2000,"🥇 Gold",IF(E1837&gt;=800,"🥈 Silver","🥉 Bronze")))</f>
        <v/>
      </c>
      <c r="L1837" s="125" t="n">
        <v>40862</v>
      </c>
    </row>
    <row r="1838">
      <c r="A1838" s="126" t="n">
        <v>14854</v>
      </c>
      <c r="B1838" s="126" t="inlineStr">
        <is>
          <t>United Kingdom</t>
        </is>
      </c>
      <c r="C1838" s="126" t="n">
        <v>79</v>
      </c>
      <c r="D1838" s="126" t="n">
        <v>7</v>
      </c>
      <c r="E1838" s="127" t="n">
        <v>2759.83</v>
      </c>
      <c r="F1838" s="128">
        <f>IF(C1838&lt;=30,5,IF(C1838&lt;=60,4,IF(C1838&lt;=120,3,IF(C1838&lt;=200,2,1))))</f>
        <v/>
      </c>
      <c r="G1838" s="128">
        <f>IF(D1838&gt;=20,5,IF(D1838&gt;=10,4,IF(D1838&gt;=5,3,IF(D1838&gt;=2,2,1))))</f>
        <v/>
      </c>
      <c r="H1838" s="128">
        <f>IF(E1838&gt;=5000,5,IF(E1838&gt;=2000,4,IF(E1838&gt;=800,3,IF(E1838&gt;=300,2,1))))</f>
        <v/>
      </c>
      <c r="I1838" s="126">
        <f>TEXT(F1838,"0")&amp;TEXT(G1838,"0")&amp;TEXT(H1838,"0")</f>
        <v/>
      </c>
      <c r="J1838" s="126">
        <f>IFERROR(XLOOKUP(I1838,'Segment Map'!A:A,'Segment Map'!B:B,"Need Attention"),"Need Attention")</f>
        <v/>
      </c>
      <c r="K1838" s="126">
        <f>IF(E1838&gt;=5000,"🏆 Platinum",IF(E1838&gt;=2000,"🥇 Gold",IF(E1838&gt;=800,"🥈 Silver","🥉 Bronze")))</f>
        <v/>
      </c>
      <c r="L1838" s="129" t="n">
        <v>40808</v>
      </c>
    </row>
    <row r="1839">
      <c r="A1839" s="122" t="n">
        <v>14855</v>
      </c>
      <c r="B1839" s="122" t="inlineStr">
        <is>
          <t>United Kingdom</t>
        </is>
      </c>
      <c r="C1839" s="122" t="n">
        <v>120</v>
      </c>
      <c r="D1839" s="122" t="n">
        <v>2</v>
      </c>
      <c r="E1839" s="123" t="n">
        <v>645.65</v>
      </c>
      <c r="F1839" s="124">
        <f>IF(C1839&lt;=30,5,IF(C1839&lt;=60,4,IF(C1839&lt;=120,3,IF(C1839&lt;=200,2,1))))</f>
        <v/>
      </c>
      <c r="G1839" s="124">
        <f>IF(D1839&gt;=20,5,IF(D1839&gt;=10,4,IF(D1839&gt;=5,3,IF(D1839&gt;=2,2,1))))</f>
        <v/>
      </c>
      <c r="H1839" s="124">
        <f>IF(E1839&gt;=5000,5,IF(E1839&gt;=2000,4,IF(E1839&gt;=800,3,IF(E1839&gt;=300,2,1))))</f>
        <v/>
      </c>
      <c r="I1839" s="122">
        <f>TEXT(F1839,"0")&amp;TEXT(G1839,"0")&amp;TEXT(H1839,"0")</f>
        <v/>
      </c>
      <c r="J1839" s="122">
        <f>IFERROR(XLOOKUP(I1839,'Segment Map'!A:A,'Segment Map'!B:B,"Need Attention"),"Need Attention")</f>
        <v/>
      </c>
      <c r="K1839" s="122">
        <f>IF(E1839&gt;=5000,"🏆 Platinum",IF(E1839&gt;=2000,"🥇 Gold",IF(E1839&gt;=800,"🥈 Silver","🥉 Bronze")))</f>
        <v/>
      </c>
      <c r="L1839" s="125" t="n">
        <v>40767</v>
      </c>
    </row>
    <row r="1840">
      <c r="A1840" s="126" t="n">
        <v>14856</v>
      </c>
      <c r="B1840" s="126" t="inlineStr">
        <is>
          <t>United Kingdom</t>
        </is>
      </c>
      <c r="C1840" s="126" t="n">
        <v>37</v>
      </c>
      <c r="D1840" s="126" t="n">
        <v>3</v>
      </c>
      <c r="E1840" s="127" t="n">
        <v>1311.38</v>
      </c>
      <c r="F1840" s="128">
        <f>IF(C1840&lt;=30,5,IF(C1840&lt;=60,4,IF(C1840&lt;=120,3,IF(C1840&lt;=200,2,1))))</f>
        <v/>
      </c>
      <c r="G1840" s="128">
        <f>IF(D1840&gt;=20,5,IF(D1840&gt;=10,4,IF(D1840&gt;=5,3,IF(D1840&gt;=2,2,1))))</f>
        <v/>
      </c>
      <c r="H1840" s="128">
        <f>IF(E1840&gt;=5000,5,IF(E1840&gt;=2000,4,IF(E1840&gt;=800,3,IF(E1840&gt;=300,2,1))))</f>
        <v/>
      </c>
      <c r="I1840" s="126">
        <f>TEXT(F1840,"0")&amp;TEXT(G1840,"0")&amp;TEXT(H1840,"0")</f>
        <v/>
      </c>
      <c r="J1840" s="126">
        <f>IFERROR(XLOOKUP(I1840,'Segment Map'!A:A,'Segment Map'!B:B,"Need Attention"),"Need Attention")</f>
        <v/>
      </c>
      <c r="K1840" s="126">
        <f>IF(E1840&gt;=5000,"🏆 Platinum",IF(E1840&gt;=2000,"🥇 Gold",IF(E1840&gt;=800,"🥈 Silver","🥉 Bronze")))</f>
        <v/>
      </c>
      <c r="L1840" s="129" t="n">
        <v>40850</v>
      </c>
    </row>
    <row r="1841">
      <c r="A1841" s="122" t="n">
        <v>14857</v>
      </c>
      <c r="B1841" s="122" t="inlineStr">
        <is>
          <t>United Kingdom</t>
        </is>
      </c>
      <c r="C1841" s="122" t="n">
        <v>60</v>
      </c>
      <c r="D1841" s="122" t="n">
        <v>2</v>
      </c>
      <c r="E1841" s="123" t="n">
        <v>1173.12</v>
      </c>
      <c r="F1841" s="124">
        <f>IF(C1841&lt;=30,5,IF(C1841&lt;=60,4,IF(C1841&lt;=120,3,IF(C1841&lt;=200,2,1))))</f>
        <v/>
      </c>
      <c r="G1841" s="124">
        <f>IF(D1841&gt;=20,5,IF(D1841&gt;=10,4,IF(D1841&gt;=5,3,IF(D1841&gt;=2,2,1))))</f>
        <v/>
      </c>
      <c r="H1841" s="124">
        <f>IF(E1841&gt;=5000,5,IF(E1841&gt;=2000,4,IF(E1841&gt;=800,3,IF(E1841&gt;=300,2,1))))</f>
        <v/>
      </c>
      <c r="I1841" s="122">
        <f>TEXT(F1841,"0")&amp;TEXT(G1841,"0")&amp;TEXT(H1841,"0")</f>
        <v/>
      </c>
      <c r="J1841" s="122">
        <f>IFERROR(XLOOKUP(I1841,'Segment Map'!A:A,'Segment Map'!B:B,"Need Attention"),"Need Attention")</f>
        <v/>
      </c>
      <c r="K1841" s="122">
        <f>IF(E1841&gt;=5000,"🏆 Platinum",IF(E1841&gt;=2000,"🥇 Gold",IF(E1841&gt;=800,"🥈 Silver","🥉 Bronze")))</f>
        <v/>
      </c>
      <c r="L1841" s="125" t="n">
        <v>40827</v>
      </c>
    </row>
    <row r="1842">
      <c r="A1842" s="126" t="n">
        <v>14859</v>
      </c>
      <c r="B1842" s="126" t="inlineStr">
        <is>
          <t>United Kingdom</t>
        </is>
      </c>
      <c r="C1842" s="126" t="n">
        <v>13</v>
      </c>
      <c r="D1842" s="126" t="n">
        <v>4</v>
      </c>
      <c r="E1842" s="127" t="n">
        <v>1353.74</v>
      </c>
      <c r="F1842" s="128">
        <f>IF(C1842&lt;=30,5,IF(C1842&lt;=60,4,IF(C1842&lt;=120,3,IF(C1842&lt;=200,2,1))))</f>
        <v/>
      </c>
      <c r="G1842" s="128">
        <f>IF(D1842&gt;=20,5,IF(D1842&gt;=10,4,IF(D1842&gt;=5,3,IF(D1842&gt;=2,2,1))))</f>
        <v/>
      </c>
      <c r="H1842" s="128">
        <f>IF(E1842&gt;=5000,5,IF(E1842&gt;=2000,4,IF(E1842&gt;=800,3,IF(E1842&gt;=300,2,1))))</f>
        <v/>
      </c>
      <c r="I1842" s="126">
        <f>TEXT(F1842,"0")&amp;TEXT(G1842,"0")&amp;TEXT(H1842,"0")</f>
        <v/>
      </c>
      <c r="J1842" s="126">
        <f>IFERROR(XLOOKUP(I1842,'Segment Map'!A:A,'Segment Map'!B:B,"Need Attention"),"Need Attention")</f>
        <v/>
      </c>
      <c r="K1842" s="126">
        <f>IF(E1842&gt;=5000,"🏆 Platinum",IF(E1842&gt;=2000,"🥇 Gold",IF(E1842&gt;=800,"🥈 Silver","🥉 Bronze")))</f>
        <v/>
      </c>
      <c r="L1842" s="129" t="n">
        <v>40874</v>
      </c>
    </row>
    <row r="1843">
      <c r="A1843" s="122" t="n">
        <v>14860</v>
      </c>
      <c r="B1843" s="122" t="inlineStr">
        <is>
          <t>United Kingdom</t>
        </is>
      </c>
      <c r="C1843" s="122" t="n">
        <v>20</v>
      </c>
      <c r="D1843" s="122" t="n">
        <v>1</v>
      </c>
      <c r="E1843" s="123" t="n">
        <v>170.32</v>
      </c>
      <c r="F1843" s="124">
        <f>IF(C1843&lt;=30,5,IF(C1843&lt;=60,4,IF(C1843&lt;=120,3,IF(C1843&lt;=200,2,1))))</f>
        <v/>
      </c>
      <c r="G1843" s="124">
        <f>IF(D1843&gt;=20,5,IF(D1843&gt;=10,4,IF(D1843&gt;=5,3,IF(D1843&gt;=2,2,1))))</f>
        <v/>
      </c>
      <c r="H1843" s="124">
        <f>IF(E1843&gt;=5000,5,IF(E1843&gt;=2000,4,IF(E1843&gt;=800,3,IF(E1843&gt;=300,2,1))))</f>
        <v/>
      </c>
      <c r="I1843" s="122">
        <f>TEXT(F1843,"0")&amp;TEXT(G1843,"0")&amp;TEXT(H1843,"0")</f>
        <v/>
      </c>
      <c r="J1843" s="122">
        <f>IFERROR(XLOOKUP(I1843,'Segment Map'!A:A,'Segment Map'!B:B,"Need Attention"),"Need Attention")</f>
        <v/>
      </c>
      <c r="K1843" s="122">
        <f>IF(E1843&gt;=5000,"🏆 Platinum",IF(E1843&gt;=2000,"🥇 Gold",IF(E1843&gt;=800,"🥈 Silver","🥉 Bronze")))</f>
        <v/>
      </c>
      <c r="L1843" s="125" t="n">
        <v>40867</v>
      </c>
    </row>
    <row r="1844">
      <c r="A1844" s="126" t="n">
        <v>14861</v>
      </c>
      <c r="B1844" s="126" t="inlineStr">
        <is>
          <t>United Kingdom</t>
        </is>
      </c>
      <c r="C1844" s="126" t="n">
        <v>53</v>
      </c>
      <c r="D1844" s="126" t="n">
        <v>1</v>
      </c>
      <c r="E1844" s="127" t="n">
        <v>125.79</v>
      </c>
      <c r="F1844" s="128">
        <f>IF(C1844&lt;=30,5,IF(C1844&lt;=60,4,IF(C1844&lt;=120,3,IF(C1844&lt;=200,2,1))))</f>
        <v/>
      </c>
      <c r="G1844" s="128">
        <f>IF(D1844&gt;=20,5,IF(D1844&gt;=10,4,IF(D1844&gt;=5,3,IF(D1844&gt;=2,2,1))))</f>
        <v/>
      </c>
      <c r="H1844" s="128">
        <f>IF(E1844&gt;=5000,5,IF(E1844&gt;=2000,4,IF(E1844&gt;=800,3,IF(E1844&gt;=300,2,1))))</f>
        <v/>
      </c>
      <c r="I1844" s="126">
        <f>TEXT(F1844,"0")&amp;TEXT(G1844,"0")&amp;TEXT(H1844,"0")</f>
        <v/>
      </c>
      <c r="J1844" s="126">
        <f>IFERROR(XLOOKUP(I1844,'Segment Map'!A:A,'Segment Map'!B:B,"Need Attention"),"Need Attention")</f>
        <v/>
      </c>
      <c r="K1844" s="126">
        <f>IF(E1844&gt;=5000,"🏆 Platinum",IF(E1844&gt;=2000,"🥇 Gold",IF(E1844&gt;=800,"🥈 Silver","🥉 Bronze")))</f>
        <v/>
      </c>
      <c r="L1844" s="129" t="n">
        <v>40834</v>
      </c>
    </row>
    <row r="1845">
      <c r="A1845" s="122" t="n">
        <v>14862</v>
      </c>
      <c r="B1845" s="122" t="inlineStr">
        <is>
          <t>United Kingdom</t>
        </is>
      </c>
      <c r="C1845" s="122" t="n">
        <v>26</v>
      </c>
      <c r="D1845" s="122" t="n">
        <v>2</v>
      </c>
      <c r="E1845" s="123" t="n">
        <v>841.2</v>
      </c>
      <c r="F1845" s="124">
        <f>IF(C1845&lt;=30,5,IF(C1845&lt;=60,4,IF(C1845&lt;=120,3,IF(C1845&lt;=200,2,1))))</f>
        <v/>
      </c>
      <c r="G1845" s="124">
        <f>IF(D1845&gt;=20,5,IF(D1845&gt;=10,4,IF(D1845&gt;=5,3,IF(D1845&gt;=2,2,1))))</f>
        <v/>
      </c>
      <c r="H1845" s="124">
        <f>IF(E1845&gt;=5000,5,IF(E1845&gt;=2000,4,IF(E1845&gt;=800,3,IF(E1845&gt;=300,2,1))))</f>
        <v/>
      </c>
      <c r="I1845" s="122">
        <f>TEXT(F1845,"0")&amp;TEXT(G1845,"0")&amp;TEXT(H1845,"0")</f>
        <v/>
      </c>
      <c r="J1845" s="122">
        <f>IFERROR(XLOOKUP(I1845,'Segment Map'!A:A,'Segment Map'!B:B,"Need Attention"),"Need Attention")</f>
        <v/>
      </c>
      <c r="K1845" s="122">
        <f>IF(E1845&gt;=5000,"🏆 Platinum",IF(E1845&gt;=2000,"🥇 Gold",IF(E1845&gt;=800,"🥈 Silver","🥉 Bronze")))</f>
        <v/>
      </c>
      <c r="L1845" s="125" t="n">
        <v>40861</v>
      </c>
    </row>
    <row r="1846">
      <c r="A1846" s="126" t="n">
        <v>14863</v>
      </c>
      <c r="B1846" s="126" t="inlineStr">
        <is>
          <t>United Kingdom</t>
        </is>
      </c>
      <c r="C1846" s="126" t="n">
        <v>30</v>
      </c>
      <c r="D1846" s="126" t="n">
        <v>1</v>
      </c>
      <c r="E1846" s="127" t="n">
        <v>266.76</v>
      </c>
      <c r="F1846" s="128">
        <f>IF(C1846&lt;=30,5,IF(C1846&lt;=60,4,IF(C1846&lt;=120,3,IF(C1846&lt;=200,2,1))))</f>
        <v/>
      </c>
      <c r="G1846" s="128">
        <f>IF(D1846&gt;=20,5,IF(D1846&gt;=10,4,IF(D1846&gt;=5,3,IF(D1846&gt;=2,2,1))))</f>
        <v/>
      </c>
      <c r="H1846" s="128">
        <f>IF(E1846&gt;=5000,5,IF(E1846&gt;=2000,4,IF(E1846&gt;=800,3,IF(E1846&gt;=300,2,1))))</f>
        <v/>
      </c>
      <c r="I1846" s="126">
        <f>TEXT(F1846,"0")&amp;TEXT(G1846,"0")&amp;TEXT(H1846,"0")</f>
        <v/>
      </c>
      <c r="J1846" s="126">
        <f>IFERROR(XLOOKUP(I1846,'Segment Map'!A:A,'Segment Map'!B:B,"Need Attention"),"Need Attention")</f>
        <v/>
      </c>
      <c r="K1846" s="126">
        <f>IF(E1846&gt;=5000,"🏆 Platinum",IF(E1846&gt;=2000,"🥇 Gold",IF(E1846&gt;=800,"🥈 Silver","🥉 Bronze")))</f>
        <v/>
      </c>
      <c r="L1846" s="129" t="n">
        <v>40857</v>
      </c>
    </row>
    <row r="1847">
      <c r="A1847" s="122" t="n">
        <v>14865</v>
      </c>
      <c r="B1847" s="122" t="inlineStr">
        <is>
          <t>United Kingdom</t>
        </is>
      </c>
      <c r="C1847" s="122" t="n">
        <v>8</v>
      </c>
      <c r="D1847" s="122" t="n">
        <v>2</v>
      </c>
      <c r="E1847" s="123" t="n">
        <v>52.2</v>
      </c>
      <c r="F1847" s="124">
        <f>IF(C1847&lt;=30,5,IF(C1847&lt;=60,4,IF(C1847&lt;=120,3,IF(C1847&lt;=200,2,1))))</f>
        <v/>
      </c>
      <c r="G1847" s="124">
        <f>IF(D1847&gt;=20,5,IF(D1847&gt;=10,4,IF(D1847&gt;=5,3,IF(D1847&gt;=2,2,1))))</f>
        <v/>
      </c>
      <c r="H1847" s="124">
        <f>IF(E1847&gt;=5000,5,IF(E1847&gt;=2000,4,IF(E1847&gt;=800,3,IF(E1847&gt;=300,2,1))))</f>
        <v/>
      </c>
      <c r="I1847" s="122">
        <f>TEXT(F1847,"0")&amp;TEXT(G1847,"0")&amp;TEXT(H1847,"0")</f>
        <v/>
      </c>
      <c r="J1847" s="122">
        <f>IFERROR(XLOOKUP(I1847,'Segment Map'!A:A,'Segment Map'!B:B,"Need Attention"),"Need Attention")</f>
        <v/>
      </c>
      <c r="K1847" s="122">
        <f>IF(E1847&gt;=5000,"🏆 Platinum",IF(E1847&gt;=2000,"🥇 Gold",IF(E1847&gt;=800,"🥈 Silver","🥉 Bronze")))</f>
        <v/>
      </c>
      <c r="L1847" s="125" t="n">
        <v>40879</v>
      </c>
    </row>
    <row r="1848">
      <c r="A1848" s="126" t="n">
        <v>14866</v>
      </c>
      <c r="B1848" s="126" t="inlineStr">
        <is>
          <t>United Kingdom</t>
        </is>
      </c>
      <c r="C1848" s="126" t="n">
        <v>11</v>
      </c>
      <c r="D1848" s="126" t="n">
        <v>12</v>
      </c>
      <c r="E1848" s="127" t="n">
        <v>14389.9</v>
      </c>
      <c r="F1848" s="128">
        <f>IF(C1848&lt;=30,5,IF(C1848&lt;=60,4,IF(C1848&lt;=120,3,IF(C1848&lt;=200,2,1))))</f>
        <v/>
      </c>
      <c r="G1848" s="128">
        <f>IF(D1848&gt;=20,5,IF(D1848&gt;=10,4,IF(D1848&gt;=5,3,IF(D1848&gt;=2,2,1))))</f>
        <v/>
      </c>
      <c r="H1848" s="128">
        <f>IF(E1848&gt;=5000,5,IF(E1848&gt;=2000,4,IF(E1848&gt;=800,3,IF(E1848&gt;=300,2,1))))</f>
        <v/>
      </c>
      <c r="I1848" s="126">
        <f>TEXT(F1848,"0")&amp;TEXT(G1848,"0")&amp;TEXT(H1848,"0")</f>
        <v/>
      </c>
      <c r="J1848" s="126">
        <f>IFERROR(XLOOKUP(I1848,'Segment Map'!A:A,'Segment Map'!B:B,"Need Attention"),"Need Attention")</f>
        <v/>
      </c>
      <c r="K1848" s="126">
        <f>IF(E1848&gt;=5000,"🏆 Platinum",IF(E1848&gt;=2000,"🥇 Gold",IF(E1848&gt;=800,"🥈 Silver","🥉 Bronze")))</f>
        <v/>
      </c>
      <c r="L1848" s="129" t="n">
        <v>40876</v>
      </c>
    </row>
    <row r="1849">
      <c r="A1849" s="122" t="n">
        <v>14867</v>
      </c>
      <c r="B1849" s="122" t="inlineStr">
        <is>
          <t>United Kingdom</t>
        </is>
      </c>
      <c r="C1849" s="122" t="n">
        <v>186</v>
      </c>
      <c r="D1849" s="122" t="n">
        <v>3</v>
      </c>
      <c r="E1849" s="123" t="n">
        <v>710.28</v>
      </c>
      <c r="F1849" s="124">
        <f>IF(C1849&lt;=30,5,IF(C1849&lt;=60,4,IF(C1849&lt;=120,3,IF(C1849&lt;=200,2,1))))</f>
        <v/>
      </c>
      <c r="G1849" s="124">
        <f>IF(D1849&gt;=20,5,IF(D1849&gt;=10,4,IF(D1849&gt;=5,3,IF(D1849&gt;=2,2,1))))</f>
        <v/>
      </c>
      <c r="H1849" s="124">
        <f>IF(E1849&gt;=5000,5,IF(E1849&gt;=2000,4,IF(E1849&gt;=800,3,IF(E1849&gt;=300,2,1))))</f>
        <v/>
      </c>
      <c r="I1849" s="122">
        <f>TEXT(F1849,"0")&amp;TEXT(G1849,"0")&amp;TEXT(H1849,"0")</f>
        <v/>
      </c>
      <c r="J1849" s="122">
        <f>IFERROR(XLOOKUP(I1849,'Segment Map'!A:A,'Segment Map'!B:B,"Need Attention"),"Need Attention")</f>
        <v/>
      </c>
      <c r="K1849" s="122">
        <f>IF(E1849&gt;=5000,"🏆 Platinum",IF(E1849&gt;=2000,"🥇 Gold",IF(E1849&gt;=800,"🥈 Silver","🥉 Bronze")))</f>
        <v/>
      </c>
      <c r="L1849" s="125" t="n">
        <v>40701</v>
      </c>
    </row>
    <row r="1850">
      <c r="A1850" s="126" t="n">
        <v>14868</v>
      </c>
      <c r="B1850" s="126" t="inlineStr">
        <is>
          <t>United Kingdom</t>
        </is>
      </c>
      <c r="C1850" s="126" t="n">
        <v>4</v>
      </c>
      <c r="D1850" s="126" t="n">
        <v>8</v>
      </c>
      <c r="E1850" s="127" t="n">
        <v>2953.59</v>
      </c>
      <c r="F1850" s="128">
        <f>IF(C1850&lt;=30,5,IF(C1850&lt;=60,4,IF(C1850&lt;=120,3,IF(C1850&lt;=200,2,1))))</f>
        <v/>
      </c>
      <c r="G1850" s="128">
        <f>IF(D1850&gt;=20,5,IF(D1850&gt;=10,4,IF(D1850&gt;=5,3,IF(D1850&gt;=2,2,1))))</f>
        <v/>
      </c>
      <c r="H1850" s="128">
        <f>IF(E1850&gt;=5000,5,IF(E1850&gt;=2000,4,IF(E1850&gt;=800,3,IF(E1850&gt;=300,2,1))))</f>
        <v/>
      </c>
      <c r="I1850" s="126">
        <f>TEXT(F1850,"0")&amp;TEXT(G1850,"0")&amp;TEXT(H1850,"0")</f>
        <v/>
      </c>
      <c r="J1850" s="126">
        <f>IFERROR(XLOOKUP(I1850,'Segment Map'!A:A,'Segment Map'!B:B,"Need Attention"),"Need Attention")</f>
        <v/>
      </c>
      <c r="K1850" s="126">
        <f>IF(E1850&gt;=5000,"🏆 Platinum",IF(E1850&gt;=2000,"🥇 Gold",IF(E1850&gt;=800,"🥈 Silver","🥉 Bronze")))</f>
        <v/>
      </c>
      <c r="L1850" s="129" t="n">
        <v>40883</v>
      </c>
    </row>
    <row r="1851">
      <c r="A1851" s="122" t="n">
        <v>14869</v>
      </c>
      <c r="B1851" s="122" t="inlineStr">
        <is>
          <t>United Kingdom</t>
        </is>
      </c>
      <c r="C1851" s="122" t="n">
        <v>9</v>
      </c>
      <c r="D1851" s="122" t="n">
        <v>2</v>
      </c>
      <c r="E1851" s="123" t="n">
        <v>725.7</v>
      </c>
      <c r="F1851" s="124">
        <f>IF(C1851&lt;=30,5,IF(C1851&lt;=60,4,IF(C1851&lt;=120,3,IF(C1851&lt;=200,2,1))))</f>
        <v/>
      </c>
      <c r="G1851" s="124">
        <f>IF(D1851&gt;=20,5,IF(D1851&gt;=10,4,IF(D1851&gt;=5,3,IF(D1851&gt;=2,2,1))))</f>
        <v/>
      </c>
      <c r="H1851" s="124">
        <f>IF(E1851&gt;=5000,5,IF(E1851&gt;=2000,4,IF(E1851&gt;=800,3,IF(E1851&gt;=300,2,1))))</f>
        <v/>
      </c>
      <c r="I1851" s="122">
        <f>TEXT(F1851,"0")&amp;TEXT(G1851,"0")&amp;TEXT(H1851,"0")</f>
        <v/>
      </c>
      <c r="J1851" s="122">
        <f>IFERROR(XLOOKUP(I1851,'Segment Map'!A:A,'Segment Map'!B:B,"Need Attention"),"Need Attention")</f>
        <v/>
      </c>
      <c r="K1851" s="122">
        <f>IF(E1851&gt;=5000,"🏆 Platinum",IF(E1851&gt;=2000,"🥇 Gold",IF(E1851&gt;=800,"🥈 Silver","🥉 Bronze")))</f>
        <v/>
      </c>
      <c r="L1851" s="125" t="n">
        <v>40878</v>
      </c>
    </row>
    <row r="1852">
      <c r="A1852" s="126" t="n">
        <v>14870</v>
      </c>
      <c r="B1852" s="126" t="inlineStr">
        <is>
          <t>United Kingdom</t>
        </is>
      </c>
      <c r="C1852" s="126" t="n">
        <v>262</v>
      </c>
      <c r="D1852" s="126" t="n">
        <v>1</v>
      </c>
      <c r="E1852" s="127" t="n">
        <v>327.25</v>
      </c>
      <c r="F1852" s="128">
        <f>IF(C1852&lt;=30,5,IF(C1852&lt;=60,4,IF(C1852&lt;=120,3,IF(C1852&lt;=200,2,1))))</f>
        <v/>
      </c>
      <c r="G1852" s="128">
        <f>IF(D1852&gt;=20,5,IF(D1852&gt;=10,4,IF(D1852&gt;=5,3,IF(D1852&gt;=2,2,1))))</f>
        <v/>
      </c>
      <c r="H1852" s="128">
        <f>IF(E1852&gt;=5000,5,IF(E1852&gt;=2000,4,IF(E1852&gt;=800,3,IF(E1852&gt;=300,2,1))))</f>
        <v/>
      </c>
      <c r="I1852" s="126">
        <f>TEXT(F1852,"0")&amp;TEXT(G1852,"0")&amp;TEXT(H1852,"0")</f>
        <v/>
      </c>
      <c r="J1852" s="126">
        <f>IFERROR(XLOOKUP(I1852,'Segment Map'!A:A,'Segment Map'!B:B,"Need Attention"),"Need Attention")</f>
        <v/>
      </c>
      <c r="K1852" s="126">
        <f>IF(E1852&gt;=5000,"🏆 Platinum",IF(E1852&gt;=2000,"🥇 Gold",IF(E1852&gt;=800,"🥈 Silver","🥉 Bronze")))</f>
        <v/>
      </c>
      <c r="L1852" s="129" t="n">
        <v>40625</v>
      </c>
    </row>
    <row r="1853">
      <c r="A1853" s="122" t="n">
        <v>14871</v>
      </c>
      <c r="B1853" s="122" t="inlineStr">
        <is>
          <t>United Kingdom</t>
        </is>
      </c>
      <c r="C1853" s="122" t="n">
        <v>4</v>
      </c>
      <c r="D1853" s="122" t="n">
        <v>4</v>
      </c>
      <c r="E1853" s="123" t="n">
        <v>522.38</v>
      </c>
      <c r="F1853" s="124">
        <f>IF(C1853&lt;=30,5,IF(C1853&lt;=60,4,IF(C1853&lt;=120,3,IF(C1853&lt;=200,2,1))))</f>
        <v/>
      </c>
      <c r="G1853" s="124">
        <f>IF(D1853&gt;=20,5,IF(D1853&gt;=10,4,IF(D1853&gt;=5,3,IF(D1853&gt;=2,2,1))))</f>
        <v/>
      </c>
      <c r="H1853" s="124">
        <f>IF(E1853&gt;=5000,5,IF(E1853&gt;=2000,4,IF(E1853&gt;=800,3,IF(E1853&gt;=300,2,1))))</f>
        <v/>
      </c>
      <c r="I1853" s="122">
        <f>TEXT(F1853,"0")&amp;TEXT(G1853,"0")&amp;TEXT(H1853,"0")</f>
        <v/>
      </c>
      <c r="J1853" s="122">
        <f>IFERROR(XLOOKUP(I1853,'Segment Map'!A:A,'Segment Map'!B:B,"Need Attention"),"Need Attention")</f>
        <v/>
      </c>
      <c r="K1853" s="122">
        <f>IF(E1853&gt;=5000,"🏆 Platinum",IF(E1853&gt;=2000,"🥇 Gold",IF(E1853&gt;=800,"🥈 Silver","🥉 Bronze")))</f>
        <v/>
      </c>
      <c r="L1853" s="125" t="n">
        <v>40883</v>
      </c>
    </row>
    <row r="1854">
      <c r="A1854" s="126" t="n">
        <v>14873</v>
      </c>
      <c r="B1854" s="126" t="inlineStr">
        <is>
          <t>United Kingdom</t>
        </is>
      </c>
      <c r="C1854" s="126" t="n">
        <v>211</v>
      </c>
      <c r="D1854" s="126" t="n">
        <v>1</v>
      </c>
      <c r="E1854" s="127" t="n">
        <v>519.6799999999999</v>
      </c>
      <c r="F1854" s="128">
        <f>IF(C1854&lt;=30,5,IF(C1854&lt;=60,4,IF(C1854&lt;=120,3,IF(C1854&lt;=200,2,1))))</f>
        <v/>
      </c>
      <c r="G1854" s="128">
        <f>IF(D1854&gt;=20,5,IF(D1854&gt;=10,4,IF(D1854&gt;=5,3,IF(D1854&gt;=2,2,1))))</f>
        <v/>
      </c>
      <c r="H1854" s="128">
        <f>IF(E1854&gt;=5000,5,IF(E1854&gt;=2000,4,IF(E1854&gt;=800,3,IF(E1854&gt;=300,2,1))))</f>
        <v/>
      </c>
      <c r="I1854" s="126">
        <f>TEXT(F1854,"0")&amp;TEXT(G1854,"0")&amp;TEXT(H1854,"0")</f>
        <v/>
      </c>
      <c r="J1854" s="126">
        <f>IFERROR(XLOOKUP(I1854,'Segment Map'!A:A,'Segment Map'!B:B,"Need Attention"),"Need Attention")</f>
        <v/>
      </c>
      <c r="K1854" s="126">
        <f>IF(E1854&gt;=5000,"🏆 Platinum",IF(E1854&gt;=2000,"🥇 Gold",IF(E1854&gt;=800,"🥈 Silver","🥉 Bronze")))</f>
        <v/>
      </c>
      <c r="L1854" s="129" t="n">
        <v>40676</v>
      </c>
    </row>
    <row r="1855">
      <c r="A1855" s="122" t="n">
        <v>14875</v>
      </c>
      <c r="B1855" s="122" t="inlineStr">
        <is>
          <t>United Kingdom</t>
        </is>
      </c>
      <c r="C1855" s="122" t="n">
        <v>108</v>
      </c>
      <c r="D1855" s="122" t="n">
        <v>2</v>
      </c>
      <c r="E1855" s="123" t="n">
        <v>1465.32</v>
      </c>
      <c r="F1855" s="124">
        <f>IF(C1855&lt;=30,5,IF(C1855&lt;=60,4,IF(C1855&lt;=120,3,IF(C1855&lt;=200,2,1))))</f>
        <v/>
      </c>
      <c r="G1855" s="124">
        <f>IF(D1855&gt;=20,5,IF(D1855&gt;=10,4,IF(D1855&gt;=5,3,IF(D1855&gt;=2,2,1))))</f>
        <v/>
      </c>
      <c r="H1855" s="124">
        <f>IF(E1855&gt;=5000,5,IF(E1855&gt;=2000,4,IF(E1855&gt;=800,3,IF(E1855&gt;=300,2,1))))</f>
        <v/>
      </c>
      <c r="I1855" s="122">
        <f>TEXT(F1855,"0")&amp;TEXT(G1855,"0")&amp;TEXT(H1855,"0")</f>
        <v/>
      </c>
      <c r="J1855" s="122">
        <f>IFERROR(XLOOKUP(I1855,'Segment Map'!A:A,'Segment Map'!B:B,"Need Attention"),"Need Attention")</f>
        <v/>
      </c>
      <c r="K1855" s="122">
        <f>IF(E1855&gt;=5000,"🏆 Platinum",IF(E1855&gt;=2000,"🥇 Gold",IF(E1855&gt;=800,"🥈 Silver","🥉 Bronze")))</f>
        <v/>
      </c>
      <c r="L1855" s="125" t="n">
        <v>40779</v>
      </c>
    </row>
    <row r="1856">
      <c r="A1856" s="126" t="n">
        <v>14878</v>
      </c>
      <c r="B1856" s="126" t="inlineStr">
        <is>
          <t>United Kingdom</t>
        </is>
      </c>
      <c r="C1856" s="126" t="n">
        <v>13</v>
      </c>
      <c r="D1856" s="126" t="n">
        <v>9</v>
      </c>
      <c r="E1856" s="127" t="n">
        <v>1485.54</v>
      </c>
      <c r="F1856" s="128">
        <f>IF(C1856&lt;=30,5,IF(C1856&lt;=60,4,IF(C1856&lt;=120,3,IF(C1856&lt;=200,2,1))))</f>
        <v/>
      </c>
      <c r="G1856" s="128">
        <f>IF(D1856&gt;=20,5,IF(D1856&gt;=10,4,IF(D1856&gt;=5,3,IF(D1856&gt;=2,2,1))))</f>
        <v/>
      </c>
      <c r="H1856" s="128">
        <f>IF(E1856&gt;=5000,5,IF(E1856&gt;=2000,4,IF(E1856&gt;=800,3,IF(E1856&gt;=300,2,1))))</f>
        <v/>
      </c>
      <c r="I1856" s="126">
        <f>TEXT(F1856,"0")&amp;TEXT(G1856,"0")&amp;TEXT(H1856,"0")</f>
        <v/>
      </c>
      <c r="J1856" s="126">
        <f>IFERROR(XLOOKUP(I1856,'Segment Map'!A:A,'Segment Map'!B:B,"Need Attention"),"Need Attention")</f>
        <v/>
      </c>
      <c r="K1856" s="126">
        <f>IF(E1856&gt;=5000,"🏆 Platinum",IF(E1856&gt;=2000,"🥇 Gold",IF(E1856&gt;=800,"🥈 Silver","🥉 Bronze")))</f>
        <v/>
      </c>
      <c r="L1856" s="129" t="n">
        <v>40874</v>
      </c>
    </row>
    <row r="1857">
      <c r="A1857" s="122" t="n">
        <v>14880</v>
      </c>
      <c r="B1857" s="122" t="inlineStr">
        <is>
          <t>United Kingdom</t>
        </is>
      </c>
      <c r="C1857" s="122" t="n">
        <v>78</v>
      </c>
      <c r="D1857" s="122" t="n">
        <v>3</v>
      </c>
      <c r="E1857" s="123" t="n">
        <v>706.1900000000001</v>
      </c>
      <c r="F1857" s="124">
        <f>IF(C1857&lt;=30,5,IF(C1857&lt;=60,4,IF(C1857&lt;=120,3,IF(C1857&lt;=200,2,1))))</f>
        <v/>
      </c>
      <c r="G1857" s="124">
        <f>IF(D1857&gt;=20,5,IF(D1857&gt;=10,4,IF(D1857&gt;=5,3,IF(D1857&gt;=2,2,1))))</f>
        <v/>
      </c>
      <c r="H1857" s="124">
        <f>IF(E1857&gt;=5000,5,IF(E1857&gt;=2000,4,IF(E1857&gt;=800,3,IF(E1857&gt;=300,2,1))))</f>
        <v/>
      </c>
      <c r="I1857" s="122">
        <f>TEXT(F1857,"0")&amp;TEXT(G1857,"0")&amp;TEXT(H1857,"0")</f>
        <v/>
      </c>
      <c r="J1857" s="122">
        <f>IFERROR(XLOOKUP(I1857,'Segment Map'!A:A,'Segment Map'!B:B,"Need Attention"),"Need Attention")</f>
        <v/>
      </c>
      <c r="K1857" s="122">
        <f>IF(E1857&gt;=5000,"🏆 Platinum",IF(E1857&gt;=2000,"🥇 Gold",IF(E1857&gt;=800,"🥈 Silver","🥉 Bronze")))</f>
        <v/>
      </c>
      <c r="L1857" s="125" t="n">
        <v>40809</v>
      </c>
    </row>
    <row r="1858">
      <c r="A1858" s="126" t="n">
        <v>14881</v>
      </c>
      <c r="B1858" s="126" t="inlineStr">
        <is>
          <t>United Kingdom</t>
        </is>
      </c>
      <c r="C1858" s="126" t="n">
        <v>20</v>
      </c>
      <c r="D1858" s="126" t="n">
        <v>1</v>
      </c>
      <c r="E1858" s="127" t="n">
        <v>255.4</v>
      </c>
      <c r="F1858" s="128">
        <f>IF(C1858&lt;=30,5,IF(C1858&lt;=60,4,IF(C1858&lt;=120,3,IF(C1858&lt;=200,2,1))))</f>
        <v/>
      </c>
      <c r="G1858" s="128">
        <f>IF(D1858&gt;=20,5,IF(D1858&gt;=10,4,IF(D1858&gt;=5,3,IF(D1858&gt;=2,2,1))))</f>
        <v/>
      </c>
      <c r="H1858" s="128">
        <f>IF(E1858&gt;=5000,5,IF(E1858&gt;=2000,4,IF(E1858&gt;=800,3,IF(E1858&gt;=300,2,1))))</f>
        <v/>
      </c>
      <c r="I1858" s="126">
        <f>TEXT(F1858,"0")&amp;TEXT(G1858,"0")&amp;TEXT(H1858,"0")</f>
        <v/>
      </c>
      <c r="J1858" s="126">
        <f>IFERROR(XLOOKUP(I1858,'Segment Map'!A:A,'Segment Map'!B:B,"Need Attention"),"Need Attention")</f>
        <v/>
      </c>
      <c r="K1858" s="126">
        <f>IF(E1858&gt;=5000,"🏆 Platinum",IF(E1858&gt;=2000,"🥇 Gold",IF(E1858&gt;=800,"🥈 Silver","🥉 Bronze")))</f>
        <v/>
      </c>
      <c r="L1858" s="129" t="n">
        <v>40867</v>
      </c>
    </row>
    <row r="1859">
      <c r="A1859" s="122" t="n">
        <v>14882</v>
      </c>
      <c r="B1859" s="122" t="inlineStr">
        <is>
          <t>United Kingdom</t>
        </is>
      </c>
      <c r="C1859" s="122" t="n">
        <v>27</v>
      </c>
      <c r="D1859" s="122" t="n">
        <v>2</v>
      </c>
      <c r="E1859" s="123" t="n">
        <v>589.7</v>
      </c>
      <c r="F1859" s="124">
        <f>IF(C1859&lt;=30,5,IF(C1859&lt;=60,4,IF(C1859&lt;=120,3,IF(C1859&lt;=200,2,1))))</f>
        <v/>
      </c>
      <c r="G1859" s="124">
        <f>IF(D1859&gt;=20,5,IF(D1859&gt;=10,4,IF(D1859&gt;=5,3,IF(D1859&gt;=2,2,1))))</f>
        <v/>
      </c>
      <c r="H1859" s="124">
        <f>IF(E1859&gt;=5000,5,IF(E1859&gt;=2000,4,IF(E1859&gt;=800,3,IF(E1859&gt;=300,2,1))))</f>
        <v/>
      </c>
      <c r="I1859" s="122">
        <f>TEXT(F1859,"0")&amp;TEXT(G1859,"0")&amp;TEXT(H1859,"0")</f>
        <v/>
      </c>
      <c r="J1859" s="122">
        <f>IFERROR(XLOOKUP(I1859,'Segment Map'!A:A,'Segment Map'!B:B,"Need Attention"),"Need Attention")</f>
        <v/>
      </c>
      <c r="K1859" s="122">
        <f>IF(E1859&gt;=5000,"🏆 Platinum",IF(E1859&gt;=2000,"🥇 Gold",IF(E1859&gt;=800,"🥈 Silver","🥉 Bronze")))</f>
        <v/>
      </c>
      <c r="L1859" s="125" t="n">
        <v>40860</v>
      </c>
    </row>
    <row r="1860">
      <c r="A1860" s="126" t="n">
        <v>14883</v>
      </c>
      <c r="B1860" s="126" t="inlineStr">
        <is>
          <t>United Kingdom</t>
        </is>
      </c>
      <c r="C1860" s="126" t="n">
        <v>19</v>
      </c>
      <c r="D1860" s="126" t="n">
        <v>6</v>
      </c>
      <c r="E1860" s="127" t="n">
        <v>761.59</v>
      </c>
      <c r="F1860" s="128">
        <f>IF(C1860&lt;=30,5,IF(C1860&lt;=60,4,IF(C1860&lt;=120,3,IF(C1860&lt;=200,2,1))))</f>
        <v/>
      </c>
      <c r="G1860" s="128">
        <f>IF(D1860&gt;=20,5,IF(D1860&gt;=10,4,IF(D1860&gt;=5,3,IF(D1860&gt;=2,2,1))))</f>
        <v/>
      </c>
      <c r="H1860" s="128">
        <f>IF(E1860&gt;=5000,5,IF(E1860&gt;=2000,4,IF(E1860&gt;=800,3,IF(E1860&gt;=300,2,1))))</f>
        <v/>
      </c>
      <c r="I1860" s="126">
        <f>TEXT(F1860,"0")&amp;TEXT(G1860,"0")&amp;TEXT(H1860,"0")</f>
        <v/>
      </c>
      <c r="J1860" s="126">
        <f>IFERROR(XLOOKUP(I1860,'Segment Map'!A:A,'Segment Map'!B:B,"Need Attention"),"Need Attention")</f>
        <v/>
      </c>
      <c r="K1860" s="126">
        <f>IF(E1860&gt;=5000,"🏆 Platinum",IF(E1860&gt;=2000,"🥇 Gold",IF(E1860&gt;=800,"🥈 Silver","🥉 Bronze")))</f>
        <v/>
      </c>
      <c r="L1860" s="129" t="n">
        <v>40868</v>
      </c>
    </row>
    <row r="1861">
      <c r="A1861" s="122" t="n">
        <v>14885</v>
      </c>
      <c r="B1861" s="122" t="inlineStr">
        <is>
          <t>United Kingdom</t>
        </is>
      </c>
      <c r="C1861" s="122" t="n">
        <v>132</v>
      </c>
      <c r="D1861" s="122" t="n">
        <v>1</v>
      </c>
      <c r="E1861" s="123" t="n">
        <v>765.3200000000001</v>
      </c>
      <c r="F1861" s="124">
        <f>IF(C1861&lt;=30,5,IF(C1861&lt;=60,4,IF(C1861&lt;=120,3,IF(C1861&lt;=200,2,1))))</f>
        <v/>
      </c>
      <c r="G1861" s="124">
        <f>IF(D1861&gt;=20,5,IF(D1861&gt;=10,4,IF(D1861&gt;=5,3,IF(D1861&gt;=2,2,1))))</f>
        <v/>
      </c>
      <c r="H1861" s="124">
        <f>IF(E1861&gt;=5000,5,IF(E1861&gt;=2000,4,IF(E1861&gt;=800,3,IF(E1861&gt;=300,2,1))))</f>
        <v/>
      </c>
      <c r="I1861" s="122">
        <f>TEXT(F1861,"0")&amp;TEXT(G1861,"0")&amp;TEXT(H1861,"0")</f>
        <v/>
      </c>
      <c r="J1861" s="122">
        <f>IFERROR(XLOOKUP(I1861,'Segment Map'!A:A,'Segment Map'!B:B,"Need Attention"),"Need Attention")</f>
        <v/>
      </c>
      <c r="K1861" s="122">
        <f>IF(E1861&gt;=5000,"🏆 Platinum",IF(E1861&gt;=2000,"🥇 Gold",IF(E1861&gt;=800,"🥈 Silver","🥉 Bronze")))</f>
        <v/>
      </c>
      <c r="L1861" s="125" t="n">
        <v>40755</v>
      </c>
    </row>
    <row r="1862">
      <c r="A1862" s="126" t="n">
        <v>14886</v>
      </c>
      <c r="B1862" s="126" t="inlineStr">
        <is>
          <t>United Kingdom</t>
        </is>
      </c>
      <c r="C1862" s="126" t="n">
        <v>253</v>
      </c>
      <c r="D1862" s="126" t="n">
        <v>1</v>
      </c>
      <c r="E1862" s="127" t="n">
        <v>364.8</v>
      </c>
      <c r="F1862" s="128">
        <f>IF(C1862&lt;=30,5,IF(C1862&lt;=60,4,IF(C1862&lt;=120,3,IF(C1862&lt;=200,2,1))))</f>
        <v/>
      </c>
      <c r="G1862" s="128">
        <f>IF(D1862&gt;=20,5,IF(D1862&gt;=10,4,IF(D1862&gt;=5,3,IF(D1862&gt;=2,2,1))))</f>
        <v/>
      </c>
      <c r="H1862" s="128">
        <f>IF(E1862&gt;=5000,5,IF(E1862&gt;=2000,4,IF(E1862&gt;=800,3,IF(E1862&gt;=300,2,1))))</f>
        <v/>
      </c>
      <c r="I1862" s="126">
        <f>TEXT(F1862,"0")&amp;TEXT(G1862,"0")&amp;TEXT(H1862,"0")</f>
        <v/>
      </c>
      <c r="J1862" s="126">
        <f>IFERROR(XLOOKUP(I1862,'Segment Map'!A:A,'Segment Map'!B:B,"Need Attention"),"Need Attention")</f>
        <v/>
      </c>
      <c r="K1862" s="126">
        <f>IF(E1862&gt;=5000,"🏆 Platinum",IF(E1862&gt;=2000,"🥇 Gold",IF(E1862&gt;=800,"🥈 Silver","🥉 Bronze")))</f>
        <v/>
      </c>
      <c r="L1862" s="129" t="n">
        <v>40634</v>
      </c>
    </row>
    <row r="1863">
      <c r="A1863" s="122" t="n">
        <v>14887</v>
      </c>
      <c r="B1863" s="122" t="inlineStr">
        <is>
          <t>United Kingdom</t>
        </is>
      </c>
      <c r="C1863" s="122" t="n">
        <v>80</v>
      </c>
      <c r="D1863" s="122" t="n">
        <v>1</v>
      </c>
      <c r="E1863" s="123" t="n">
        <v>1862</v>
      </c>
      <c r="F1863" s="124">
        <f>IF(C1863&lt;=30,5,IF(C1863&lt;=60,4,IF(C1863&lt;=120,3,IF(C1863&lt;=200,2,1))))</f>
        <v/>
      </c>
      <c r="G1863" s="124">
        <f>IF(D1863&gt;=20,5,IF(D1863&gt;=10,4,IF(D1863&gt;=5,3,IF(D1863&gt;=2,2,1))))</f>
        <v/>
      </c>
      <c r="H1863" s="124">
        <f>IF(E1863&gt;=5000,5,IF(E1863&gt;=2000,4,IF(E1863&gt;=800,3,IF(E1863&gt;=300,2,1))))</f>
        <v/>
      </c>
      <c r="I1863" s="122">
        <f>TEXT(F1863,"0")&amp;TEXT(G1863,"0")&amp;TEXT(H1863,"0")</f>
        <v/>
      </c>
      <c r="J1863" s="122">
        <f>IFERROR(XLOOKUP(I1863,'Segment Map'!A:A,'Segment Map'!B:B,"Need Attention"),"Need Attention")</f>
        <v/>
      </c>
      <c r="K1863" s="122">
        <f>IF(E1863&gt;=5000,"🏆 Platinum",IF(E1863&gt;=2000,"🥇 Gold",IF(E1863&gt;=800,"🥈 Silver","🥉 Bronze")))</f>
        <v/>
      </c>
      <c r="L1863" s="125" t="n">
        <v>40807</v>
      </c>
    </row>
    <row r="1864">
      <c r="A1864" s="126" t="n">
        <v>14888</v>
      </c>
      <c r="B1864" s="126" t="inlineStr">
        <is>
          <t>United Kingdom</t>
        </is>
      </c>
      <c r="C1864" s="126" t="n">
        <v>208</v>
      </c>
      <c r="D1864" s="126" t="n">
        <v>1</v>
      </c>
      <c r="E1864" s="127" t="n">
        <v>369.2</v>
      </c>
      <c r="F1864" s="128">
        <f>IF(C1864&lt;=30,5,IF(C1864&lt;=60,4,IF(C1864&lt;=120,3,IF(C1864&lt;=200,2,1))))</f>
        <v/>
      </c>
      <c r="G1864" s="128">
        <f>IF(D1864&gt;=20,5,IF(D1864&gt;=10,4,IF(D1864&gt;=5,3,IF(D1864&gt;=2,2,1))))</f>
        <v/>
      </c>
      <c r="H1864" s="128">
        <f>IF(E1864&gt;=5000,5,IF(E1864&gt;=2000,4,IF(E1864&gt;=800,3,IF(E1864&gt;=300,2,1))))</f>
        <v/>
      </c>
      <c r="I1864" s="126">
        <f>TEXT(F1864,"0")&amp;TEXT(G1864,"0")&amp;TEXT(H1864,"0")</f>
        <v/>
      </c>
      <c r="J1864" s="126">
        <f>IFERROR(XLOOKUP(I1864,'Segment Map'!A:A,'Segment Map'!B:B,"Need Attention"),"Need Attention")</f>
        <v/>
      </c>
      <c r="K1864" s="126">
        <f>IF(E1864&gt;=5000,"🏆 Platinum",IF(E1864&gt;=2000,"🥇 Gold",IF(E1864&gt;=800,"🥈 Silver","🥉 Bronze")))</f>
        <v/>
      </c>
      <c r="L1864" s="129" t="n">
        <v>40679</v>
      </c>
    </row>
    <row r="1865">
      <c r="A1865" s="122" t="n">
        <v>14889</v>
      </c>
      <c r="B1865" s="122" t="inlineStr">
        <is>
          <t>United Kingdom</t>
        </is>
      </c>
      <c r="C1865" s="122" t="n">
        <v>337</v>
      </c>
      <c r="D1865" s="122" t="n">
        <v>1</v>
      </c>
      <c r="E1865" s="123" t="n">
        <v>135.9</v>
      </c>
      <c r="F1865" s="124">
        <f>IF(C1865&lt;=30,5,IF(C1865&lt;=60,4,IF(C1865&lt;=120,3,IF(C1865&lt;=200,2,1))))</f>
        <v/>
      </c>
      <c r="G1865" s="124">
        <f>IF(D1865&gt;=20,5,IF(D1865&gt;=10,4,IF(D1865&gt;=5,3,IF(D1865&gt;=2,2,1))))</f>
        <v/>
      </c>
      <c r="H1865" s="124">
        <f>IF(E1865&gt;=5000,5,IF(E1865&gt;=2000,4,IF(E1865&gt;=800,3,IF(E1865&gt;=300,2,1))))</f>
        <v/>
      </c>
      <c r="I1865" s="122">
        <f>TEXT(F1865,"0")&amp;TEXT(G1865,"0")&amp;TEXT(H1865,"0")</f>
        <v/>
      </c>
      <c r="J1865" s="122">
        <f>IFERROR(XLOOKUP(I1865,'Segment Map'!A:A,'Segment Map'!B:B,"Need Attention"),"Need Attention")</f>
        <v/>
      </c>
      <c r="K1865" s="122">
        <f>IF(E1865&gt;=5000,"🏆 Platinum",IF(E1865&gt;=2000,"🥇 Gold",IF(E1865&gt;=800,"🥈 Silver","🥉 Bronze")))</f>
        <v/>
      </c>
      <c r="L1865" s="125" t="n">
        <v>40550</v>
      </c>
    </row>
    <row r="1866">
      <c r="A1866" s="126" t="n">
        <v>14890</v>
      </c>
      <c r="B1866" s="126" t="inlineStr">
        <is>
          <t>United Kingdom</t>
        </is>
      </c>
      <c r="C1866" s="126" t="n">
        <v>254</v>
      </c>
      <c r="D1866" s="126" t="n">
        <v>1</v>
      </c>
      <c r="E1866" s="127" t="n">
        <v>125.65</v>
      </c>
      <c r="F1866" s="128">
        <f>IF(C1866&lt;=30,5,IF(C1866&lt;=60,4,IF(C1866&lt;=120,3,IF(C1866&lt;=200,2,1))))</f>
        <v/>
      </c>
      <c r="G1866" s="128">
        <f>IF(D1866&gt;=20,5,IF(D1866&gt;=10,4,IF(D1866&gt;=5,3,IF(D1866&gt;=2,2,1))))</f>
        <v/>
      </c>
      <c r="H1866" s="128">
        <f>IF(E1866&gt;=5000,5,IF(E1866&gt;=2000,4,IF(E1866&gt;=800,3,IF(E1866&gt;=300,2,1))))</f>
        <v/>
      </c>
      <c r="I1866" s="126">
        <f>TEXT(F1866,"0")&amp;TEXT(G1866,"0")&amp;TEXT(H1866,"0")</f>
        <v/>
      </c>
      <c r="J1866" s="126">
        <f>IFERROR(XLOOKUP(I1866,'Segment Map'!A:A,'Segment Map'!B:B,"Need Attention"),"Need Attention")</f>
        <v/>
      </c>
      <c r="K1866" s="126">
        <f>IF(E1866&gt;=5000,"🏆 Platinum",IF(E1866&gt;=2000,"🥇 Gold",IF(E1866&gt;=800,"🥈 Silver","🥉 Bronze")))</f>
        <v/>
      </c>
      <c r="L1866" s="129" t="n">
        <v>40633</v>
      </c>
    </row>
    <row r="1867">
      <c r="A1867" s="122" t="n">
        <v>14891</v>
      </c>
      <c r="B1867" s="122" t="inlineStr">
        <is>
          <t>United Kingdom</t>
        </is>
      </c>
      <c r="C1867" s="122" t="n">
        <v>149</v>
      </c>
      <c r="D1867" s="122" t="n">
        <v>2</v>
      </c>
      <c r="E1867" s="123" t="n">
        <v>554.38</v>
      </c>
      <c r="F1867" s="124">
        <f>IF(C1867&lt;=30,5,IF(C1867&lt;=60,4,IF(C1867&lt;=120,3,IF(C1867&lt;=200,2,1))))</f>
        <v/>
      </c>
      <c r="G1867" s="124">
        <f>IF(D1867&gt;=20,5,IF(D1867&gt;=10,4,IF(D1867&gt;=5,3,IF(D1867&gt;=2,2,1))))</f>
        <v/>
      </c>
      <c r="H1867" s="124">
        <f>IF(E1867&gt;=5000,5,IF(E1867&gt;=2000,4,IF(E1867&gt;=800,3,IF(E1867&gt;=300,2,1))))</f>
        <v/>
      </c>
      <c r="I1867" s="122">
        <f>TEXT(F1867,"0")&amp;TEXT(G1867,"0")&amp;TEXT(H1867,"0")</f>
        <v/>
      </c>
      <c r="J1867" s="122">
        <f>IFERROR(XLOOKUP(I1867,'Segment Map'!A:A,'Segment Map'!B:B,"Need Attention"),"Need Attention")</f>
        <v/>
      </c>
      <c r="K1867" s="122">
        <f>IF(E1867&gt;=5000,"🏆 Platinum",IF(E1867&gt;=2000,"🥇 Gold",IF(E1867&gt;=800,"🥈 Silver","🥉 Bronze")))</f>
        <v/>
      </c>
      <c r="L1867" s="125" t="n">
        <v>40738</v>
      </c>
    </row>
    <row r="1868">
      <c r="A1868" s="126" t="n">
        <v>14893</v>
      </c>
      <c r="B1868" s="126" t="inlineStr">
        <is>
          <t>United Kingdom</t>
        </is>
      </c>
      <c r="C1868" s="126" t="n">
        <v>10</v>
      </c>
      <c r="D1868" s="126" t="n">
        <v>2</v>
      </c>
      <c r="E1868" s="127" t="n">
        <v>1237.85</v>
      </c>
      <c r="F1868" s="128">
        <f>IF(C1868&lt;=30,5,IF(C1868&lt;=60,4,IF(C1868&lt;=120,3,IF(C1868&lt;=200,2,1))))</f>
        <v/>
      </c>
      <c r="G1868" s="128">
        <f>IF(D1868&gt;=20,5,IF(D1868&gt;=10,4,IF(D1868&gt;=5,3,IF(D1868&gt;=2,2,1))))</f>
        <v/>
      </c>
      <c r="H1868" s="128">
        <f>IF(E1868&gt;=5000,5,IF(E1868&gt;=2000,4,IF(E1868&gt;=800,3,IF(E1868&gt;=300,2,1))))</f>
        <v/>
      </c>
      <c r="I1868" s="126">
        <f>TEXT(F1868,"0")&amp;TEXT(G1868,"0")&amp;TEXT(H1868,"0")</f>
        <v/>
      </c>
      <c r="J1868" s="126">
        <f>IFERROR(XLOOKUP(I1868,'Segment Map'!A:A,'Segment Map'!B:B,"Need Attention"),"Need Attention")</f>
        <v/>
      </c>
      <c r="K1868" s="126">
        <f>IF(E1868&gt;=5000,"🏆 Platinum",IF(E1868&gt;=2000,"🥇 Gold",IF(E1868&gt;=800,"🥈 Silver","🥉 Bronze")))</f>
        <v/>
      </c>
      <c r="L1868" s="129" t="n">
        <v>40877</v>
      </c>
    </row>
    <row r="1869">
      <c r="A1869" s="122" t="n">
        <v>14894</v>
      </c>
      <c r="B1869" s="122" t="inlineStr">
        <is>
          <t>United Kingdom</t>
        </is>
      </c>
      <c r="C1869" s="122" t="n">
        <v>86</v>
      </c>
      <c r="D1869" s="122" t="n">
        <v>1</v>
      </c>
      <c r="E1869" s="123" t="n">
        <v>655.75</v>
      </c>
      <c r="F1869" s="124">
        <f>IF(C1869&lt;=30,5,IF(C1869&lt;=60,4,IF(C1869&lt;=120,3,IF(C1869&lt;=200,2,1))))</f>
        <v/>
      </c>
      <c r="G1869" s="124">
        <f>IF(D1869&gt;=20,5,IF(D1869&gt;=10,4,IF(D1869&gt;=5,3,IF(D1869&gt;=2,2,1))))</f>
        <v/>
      </c>
      <c r="H1869" s="124">
        <f>IF(E1869&gt;=5000,5,IF(E1869&gt;=2000,4,IF(E1869&gt;=800,3,IF(E1869&gt;=300,2,1))))</f>
        <v/>
      </c>
      <c r="I1869" s="122">
        <f>TEXT(F1869,"0")&amp;TEXT(G1869,"0")&amp;TEXT(H1869,"0")</f>
        <v/>
      </c>
      <c r="J1869" s="122">
        <f>IFERROR(XLOOKUP(I1869,'Segment Map'!A:A,'Segment Map'!B:B,"Need Attention"),"Need Attention")</f>
        <v/>
      </c>
      <c r="K1869" s="122">
        <f>IF(E1869&gt;=5000,"🏆 Platinum",IF(E1869&gt;=2000,"🥇 Gold",IF(E1869&gt;=800,"🥈 Silver","🥉 Bronze")))</f>
        <v/>
      </c>
      <c r="L1869" s="125" t="n">
        <v>40801</v>
      </c>
    </row>
    <row r="1870">
      <c r="A1870" s="126" t="n">
        <v>14895</v>
      </c>
      <c r="B1870" s="126" t="inlineStr">
        <is>
          <t>United Kingdom</t>
        </is>
      </c>
      <c r="C1870" s="126" t="n">
        <v>8</v>
      </c>
      <c r="D1870" s="126" t="n">
        <v>20</v>
      </c>
      <c r="E1870" s="127" t="n">
        <v>11138.71</v>
      </c>
      <c r="F1870" s="128">
        <f>IF(C1870&lt;=30,5,IF(C1870&lt;=60,4,IF(C1870&lt;=120,3,IF(C1870&lt;=200,2,1))))</f>
        <v/>
      </c>
      <c r="G1870" s="128">
        <f>IF(D1870&gt;=20,5,IF(D1870&gt;=10,4,IF(D1870&gt;=5,3,IF(D1870&gt;=2,2,1))))</f>
        <v/>
      </c>
      <c r="H1870" s="128">
        <f>IF(E1870&gt;=5000,5,IF(E1870&gt;=2000,4,IF(E1870&gt;=800,3,IF(E1870&gt;=300,2,1))))</f>
        <v/>
      </c>
      <c r="I1870" s="126">
        <f>TEXT(F1870,"0")&amp;TEXT(G1870,"0")&amp;TEXT(H1870,"0")</f>
        <v/>
      </c>
      <c r="J1870" s="126">
        <f>IFERROR(XLOOKUP(I1870,'Segment Map'!A:A,'Segment Map'!B:B,"Need Attention"),"Need Attention")</f>
        <v/>
      </c>
      <c r="K1870" s="126">
        <f>IF(E1870&gt;=5000,"🏆 Platinum",IF(E1870&gt;=2000,"🥇 Gold",IF(E1870&gt;=800,"🥈 Silver","🥉 Bronze")))</f>
        <v/>
      </c>
      <c r="L1870" s="129" t="n">
        <v>40879</v>
      </c>
    </row>
    <row r="1871">
      <c r="A1871" s="122" t="n">
        <v>14896</v>
      </c>
      <c r="B1871" s="122" t="inlineStr">
        <is>
          <t>United Kingdom</t>
        </is>
      </c>
      <c r="C1871" s="122" t="n">
        <v>205</v>
      </c>
      <c r="D1871" s="122" t="n">
        <v>2</v>
      </c>
      <c r="E1871" s="123" t="n">
        <v>468.77</v>
      </c>
      <c r="F1871" s="124">
        <f>IF(C1871&lt;=30,5,IF(C1871&lt;=60,4,IF(C1871&lt;=120,3,IF(C1871&lt;=200,2,1))))</f>
        <v/>
      </c>
      <c r="G1871" s="124">
        <f>IF(D1871&gt;=20,5,IF(D1871&gt;=10,4,IF(D1871&gt;=5,3,IF(D1871&gt;=2,2,1))))</f>
        <v/>
      </c>
      <c r="H1871" s="124">
        <f>IF(E1871&gt;=5000,5,IF(E1871&gt;=2000,4,IF(E1871&gt;=800,3,IF(E1871&gt;=300,2,1))))</f>
        <v/>
      </c>
      <c r="I1871" s="122">
        <f>TEXT(F1871,"0")&amp;TEXT(G1871,"0")&amp;TEXT(H1871,"0")</f>
        <v/>
      </c>
      <c r="J1871" s="122">
        <f>IFERROR(XLOOKUP(I1871,'Segment Map'!A:A,'Segment Map'!B:B,"Need Attention"),"Need Attention")</f>
        <v/>
      </c>
      <c r="K1871" s="122">
        <f>IF(E1871&gt;=5000,"🏆 Platinum",IF(E1871&gt;=2000,"🥇 Gold",IF(E1871&gt;=800,"🥈 Silver","🥉 Bronze")))</f>
        <v/>
      </c>
      <c r="L1871" s="125" t="n">
        <v>40682</v>
      </c>
    </row>
    <row r="1872">
      <c r="A1872" s="126" t="n">
        <v>14897</v>
      </c>
      <c r="B1872" s="126" t="inlineStr">
        <is>
          <t>United Kingdom</t>
        </is>
      </c>
      <c r="C1872" s="126" t="n">
        <v>8</v>
      </c>
      <c r="D1872" s="126" t="n">
        <v>4</v>
      </c>
      <c r="E1872" s="127" t="n">
        <v>1366.38</v>
      </c>
      <c r="F1872" s="128">
        <f>IF(C1872&lt;=30,5,IF(C1872&lt;=60,4,IF(C1872&lt;=120,3,IF(C1872&lt;=200,2,1))))</f>
        <v/>
      </c>
      <c r="G1872" s="128">
        <f>IF(D1872&gt;=20,5,IF(D1872&gt;=10,4,IF(D1872&gt;=5,3,IF(D1872&gt;=2,2,1))))</f>
        <v/>
      </c>
      <c r="H1872" s="128">
        <f>IF(E1872&gt;=5000,5,IF(E1872&gt;=2000,4,IF(E1872&gt;=800,3,IF(E1872&gt;=300,2,1))))</f>
        <v/>
      </c>
      <c r="I1872" s="126">
        <f>TEXT(F1872,"0")&amp;TEXT(G1872,"0")&amp;TEXT(H1872,"0")</f>
        <v/>
      </c>
      <c r="J1872" s="126">
        <f>IFERROR(XLOOKUP(I1872,'Segment Map'!A:A,'Segment Map'!B:B,"Need Attention"),"Need Attention")</f>
        <v/>
      </c>
      <c r="K1872" s="126">
        <f>IF(E1872&gt;=5000,"🏆 Platinum",IF(E1872&gt;=2000,"🥇 Gold",IF(E1872&gt;=800,"🥈 Silver","🥉 Bronze")))</f>
        <v/>
      </c>
      <c r="L1872" s="129" t="n">
        <v>40879</v>
      </c>
    </row>
    <row r="1873">
      <c r="A1873" s="122" t="n">
        <v>14898</v>
      </c>
      <c r="B1873" s="122" t="inlineStr">
        <is>
          <t>United Kingdom</t>
        </is>
      </c>
      <c r="C1873" s="122" t="n">
        <v>24</v>
      </c>
      <c r="D1873" s="122" t="n">
        <v>6</v>
      </c>
      <c r="E1873" s="123" t="n">
        <v>1303.52</v>
      </c>
      <c r="F1873" s="124">
        <f>IF(C1873&lt;=30,5,IF(C1873&lt;=60,4,IF(C1873&lt;=120,3,IF(C1873&lt;=200,2,1))))</f>
        <v/>
      </c>
      <c r="G1873" s="124">
        <f>IF(D1873&gt;=20,5,IF(D1873&gt;=10,4,IF(D1873&gt;=5,3,IF(D1873&gt;=2,2,1))))</f>
        <v/>
      </c>
      <c r="H1873" s="124">
        <f>IF(E1873&gt;=5000,5,IF(E1873&gt;=2000,4,IF(E1873&gt;=800,3,IF(E1873&gt;=300,2,1))))</f>
        <v/>
      </c>
      <c r="I1873" s="122">
        <f>TEXT(F1873,"0")&amp;TEXT(G1873,"0")&amp;TEXT(H1873,"0")</f>
        <v/>
      </c>
      <c r="J1873" s="122">
        <f>IFERROR(XLOOKUP(I1873,'Segment Map'!A:A,'Segment Map'!B:B,"Need Attention"),"Need Attention")</f>
        <v/>
      </c>
      <c r="K1873" s="122">
        <f>IF(E1873&gt;=5000,"🏆 Platinum",IF(E1873&gt;=2000,"🥇 Gold",IF(E1873&gt;=800,"🥈 Silver","🥉 Bronze")))</f>
        <v/>
      </c>
      <c r="L1873" s="125" t="n">
        <v>40863</v>
      </c>
    </row>
    <row r="1874">
      <c r="A1874" s="126" t="n">
        <v>14901</v>
      </c>
      <c r="B1874" s="126" t="inlineStr">
        <is>
          <t>United Kingdom</t>
        </is>
      </c>
      <c r="C1874" s="126" t="n">
        <v>12</v>
      </c>
      <c r="D1874" s="126" t="n">
        <v>9</v>
      </c>
      <c r="E1874" s="127" t="n">
        <v>1421.29</v>
      </c>
      <c r="F1874" s="128">
        <f>IF(C1874&lt;=30,5,IF(C1874&lt;=60,4,IF(C1874&lt;=120,3,IF(C1874&lt;=200,2,1))))</f>
        <v/>
      </c>
      <c r="G1874" s="128">
        <f>IF(D1874&gt;=20,5,IF(D1874&gt;=10,4,IF(D1874&gt;=5,3,IF(D1874&gt;=2,2,1))))</f>
        <v/>
      </c>
      <c r="H1874" s="128">
        <f>IF(E1874&gt;=5000,5,IF(E1874&gt;=2000,4,IF(E1874&gt;=800,3,IF(E1874&gt;=300,2,1))))</f>
        <v/>
      </c>
      <c r="I1874" s="126">
        <f>TEXT(F1874,"0")&amp;TEXT(G1874,"0")&amp;TEXT(H1874,"0")</f>
        <v/>
      </c>
      <c r="J1874" s="126">
        <f>IFERROR(XLOOKUP(I1874,'Segment Map'!A:A,'Segment Map'!B:B,"Need Attention"),"Need Attention")</f>
        <v/>
      </c>
      <c r="K1874" s="126">
        <f>IF(E1874&gt;=5000,"🏆 Platinum",IF(E1874&gt;=2000,"🥇 Gold",IF(E1874&gt;=800,"🥈 Silver","🥉 Bronze")))</f>
        <v/>
      </c>
      <c r="L1874" s="129" t="n">
        <v>40875</v>
      </c>
    </row>
    <row r="1875">
      <c r="A1875" s="122" t="n">
        <v>14902</v>
      </c>
      <c r="B1875" s="122" t="inlineStr">
        <is>
          <t>United Kingdom</t>
        </is>
      </c>
      <c r="C1875" s="122" t="n">
        <v>26</v>
      </c>
      <c r="D1875" s="122" t="n">
        <v>1</v>
      </c>
      <c r="E1875" s="123" t="n">
        <v>332.66</v>
      </c>
      <c r="F1875" s="124">
        <f>IF(C1875&lt;=30,5,IF(C1875&lt;=60,4,IF(C1875&lt;=120,3,IF(C1875&lt;=200,2,1))))</f>
        <v/>
      </c>
      <c r="G1875" s="124">
        <f>IF(D1875&gt;=20,5,IF(D1875&gt;=10,4,IF(D1875&gt;=5,3,IF(D1875&gt;=2,2,1))))</f>
        <v/>
      </c>
      <c r="H1875" s="124">
        <f>IF(E1875&gt;=5000,5,IF(E1875&gt;=2000,4,IF(E1875&gt;=800,3,IF(E1875&gt;=300,2,1))))</f>
        <v/>
      </c>
      <c r="I1875" s="122">
        <f>TEXT(F1875,"0")&amp;TEXT(G1875,"0")&amp;TEXT(H1875,"0")</f>
        <v/>
      </c>
      <c r="J1875" s="122">
        <f>IFERROR(XLOOKUP(I1875,'Segment Map'!A:A,'Segment Map'!B:B,"Need Attention"),"Need Attention")</f>
        <v/>
      </c>
      <c r="K1875" s="122">
        <f>IF(E1875&gt;=5000,"🏆 Platinum",IF(E1875&gt;=2000,"🥇 Gold",IF(E1875&gt;=800,"🥈 Silver","🥉 Bronze")))</f>
        <v/>
      </c>
      <c r="L1875" s="125" t="n">
        <v>40861</v>
      </c>
    </row>
    <row r="1876">
      <c r="A1876" s="126" t="n">
        <v>14903</v>
      </c>
      <c r="B1876" s="126" t="inlineStr">
        <is>
          <t>United Kingdom</t>
        </is>
      </c>
      <c r="C1876" s="126" t="n">
        <v>22</v>
      </c>
      <c r="D1876" s="126" t="n">
        <v>5</v>
      </c>
      <c r="E1876" s="127" t="n">
        <v>2810.63</v>
      </c>
      <c r="F1876" s="128">
        <f>IF(C1876&lt;=30,5,IF(C1876&lt;=60,4,IF(C1876&lt;=120,3,IF(C1876&lt;=200,2,1))))</f>
        <v/>
      </c>
      <c r="G1876" s="128">
        <f>IF(D1876&gt;=20,5,IF(D1876&gt;=10,4,IF(D1876&gt;=5,3,IF(D1876&gt;=2,2,1))))</f>
        <v/>
      </c>
      <c r="H1876" s="128">
        <f>IF(E1876&gt;=5000,5,IF(E1876&gt;=2000,4,IF(E1876&gt;=800,3,IF(E1876&gt;=300,2,1))))</f>
        <v/>
      </c>
      <c r="I1876" s="126">
        <f>TEXT(F1876,"0")&amp;TEXT(G1876,"0")&amp;TEXT(H1876,"0")</f>
        <v/>
      </c>
      <c r="J1876" s="126">
        <f>IFERROR(XLOOKUP(I1876,'Segment Map'!A:A,'Segment Map'!B:B,"Need Attention"),"Need Attention")</f>
        <v/>
      </c>
      <c r="K1876" s="126">
        <f>IF(E1876&gt;=5000,"🏆 Platinum",IF(E1876&gt;=2000,"🥇 Gold",IF(E1876&gt;=800,"🥈 Silver","🥉 Bronze")))</f>
        <v/>
      </c>
      <c r="L1876" s="129" t="n">
        <v>40865</v>
      </c>
    </row>
    <row r="1877">
      <c r="A1877" s="122" t="n">
        <v>14904</v>
      </c>
      <c r="B1877" s="122" t="inlineStr">
        <is>
          <t>United Kingdom</t>
        </is>
      </c>
      <c r="C1877" s="122" t="n">
        <v>3</v>
      </c>
      <c r="D1877" s="122" t="n">
        <v>2</v>
      </c>
      <c r="E1877" s="123" t="n">
        <v>1025.44</v>
      </c>
      <c r="F1877" s="124">
        <f>IF(C1877&lt;=30,5,IF(C1877&lt;=60,4,IF(C1877&lt;=120,3,IF(C1877&lt;=200,2,1))))</f>
        <v/>
      </c>
      <c r="G1877" s="124">
        <f>IF(D1877&gt;=20,5,IF(D1877&gt;=10,4,IF(D1877&gt;=5,3,IF(D1877&gt;=2,2,1))))</f>
        <v/>
      </c>
      <c r="H1877" s="124">
        <f>IF(E1877&gt;=5000,5,IF(E1877&gt;=2000,4,IF(E1877&gt;=800,3,IF(E1877&gt;=300,2,1))))</f>
        <v/>
      </c>
      <c r="I1877" s="122">
        <f>TEXT(F1877,"0")&amp;TEXT(G1877,"0")&amp;TEXT(H1877,"0")</f>
        <v/>
      </c>
      <c r="J1877" s="122">
        <f>IFERROR(XLOOKUP(I1877,'Segment Map'!A:A,'Segment Map'!B:B,"Need Attention"),"Need Attention")</f>
        <v/>
      </c>
      <c r="K1877" s="122">
        <f>IF(E1877&gt;=5000,"🏆 Platinum",IF(E1877&gt;=2000,"🥇 Gold",IF(E1877&gt;=800,"🥈 Silver","🥉 Bronze")))</f>
        <v/>
      </c>
      <c r="L1877" s="125" t="n">
        <v>40884</v>
      </c>
    </row>
    <row r="1878">
      <c r="A1878" s="126" t="n">
        <v>14905</v>
      </c>
      <c r="B1878" s="126" t="inlineStr">
        <is>
          <t>United Kingdom</t>
        </is>
      </c>
      <c r="C1878" s="126" t="n">
        <v>158</v>
      </c>
      <c r="D1878" s="126" t="n">
        <v>2</v>
      </c>
      <c r="E1878" s="127" t="n">
        <v>616.15</v>
      </c>
      <c r="F1878" s="128">
        <f>IF(C1878&lt;=30,5,IF(C1878&lt;=60,4,IF(C1878&lt;=120,3,IF(C1878&lt;=200,2,1))))</f>
        <v/>
      </c>
      <c r="G1878" s="128">
        <f>IF(D1878&gt;=20,5,IF(D1878&gt;=10,4,IF(D1878&gt;=5,3,IF(D1878&gt;=2,2,1))))</f>
        <v/>
      </c>
      <c r="H1878" s="128">
        <f>IF(E1878&gt;=5000,5,IF(E1878&gt;=2000,4,IF(E1878&gt;=800,3,IF(E1878&gt;=300,2,1))))</f>
        <v/>
      </c>
      <c r="I1878" s="126">
        <f>TEXT(F1878,"0")&amp;TEXT(G1878,"0")&amp;TEXT(H1878,"0")</f>
        <v/>
      </c>
      <c r="J1878" s="126">
        <f>IFERROR(XLOOKUP(I1878,'Segment Map'!A:A,'Segment Map'!B:B,"Need Attention"),"Need Attention")</f>
        <v/>
      </c>
      <c r="K1878" s="126">
        <f>IF(E1878&gt;=5000,"🏆 Platinum",IF(E1878&gt;=2000,"🥇 Gold",IF(E1878&gt;=800,"🥈 Silver","🥉 Bronze")))</f>
        <v/>
      </c>
      <c r="L1878" s="129" t="n">
        <v>40729</v>
      </c>
    </row>
    <row r="1879">
      <c r="A1879" s="122" t="n">
        <v>14907</v>
      </c>
      <c r="B1879" s="122" t="inlineStr">
        <is>
          <t>United Kingdom</t>
        </is>
      </c>
      <c r="C1879" s="122" t="n">
        <v>4</v>
      </c>
      <c r="D1879" s="122" t="n">
        <v>7</v>
      </c>
      <c r="E1879" s="123" t="n">
        <v>3501.1</v>
      </c>
      <c r="F1879" s="124">
        <f>IF(C1879&lt;=30,5,IF(C1879&lt;=60,4,IF(C1879&lt;=120,3,IF(C1879&lt;=200,2,1))))</f>
        <v/>
      </c>
      <c r="G1879" s="124">
        <f>IF(D1879&gt;=20,5,IF(D1879&gt;=10,4,IF(D1879&gt;=5,3,IF(D1879&gt;=2,2,1))))</f>
        <v/>
      </c>
      <c r="H1879" s="124">
        <f>IF(E1879&gt;=5000,5,IF(E1879&gt;=2000,4,IF(E1879&gt;=800,3,IF(E1879&gt;=300,2,1))))</f>
        <v/>
      </c>
      <c r="I1879" s="122">
        <f>TEXT(F1879,"0")&amp;TEXT(G1879,"0")&amp;TEXT(H1879,"0")</f>
        <v/>
      </c>
      <c r="J1879" s="122">
        <f>IFERROR(XLOOKUP(I1879,'Segment Map'!A:A,'Segment Map'!B:B,"Need Attention"),"Need Attention")</f>
        <v/>
      </c>
      <c r="K1879" s="122">
        <f>IF(E1879&gt;=5000,"🏆 Platinum",IF(E1879&gt;=2000,"🥇 Gold",IF(E1879&gt;=800,"🥈 Silver","🥉 Bronze")))</f>
        <v/>
      </c>
      <c r="L1879" s="125" t="n">
        <v>40883</v>
      </c>
    </row>
    <row r="1880">
      <c r="A1880" s="126" t="n">
        <v>14908</v>
      </c>
      <c r="B1880" s="126" t="inlineStr">
        <is>
          <t>United Kingdom</t>
        </is>
      </c>
      <c r="C1880" s="126" t="n">
        <v>75</v>
      </c>
      <c r="D1880" s="126" t="n">
        <v>1</v>
      </c>
      <c r="E1880" s="127" t="n">
        <v>277.8</v>
      </c>
      <c r="F1880" s="128">
        <f>IF(C1880&lt;=30,5,IF(C1880&lt;=60,4,IF(C1880&lt;=120,3,IF(C1880&lt;=200,2,1))))</f>
        <v/>
      </c>
      <c r="G1880" s="128">
        <f>IF(D1880&gt;=20,5,IF(D1880&gt;=10,4,IF(D1880&gt;=5,3,IF(D1880&gt;=2,2,1))))</f>
        <v/>
      </c>
      <c r="H1880" s="128">
        <f>IF(E1880&gt;=5000,5,IF(E1880&gt;=2000,4,IF(E1880&gt;=800,3,IF(E1880&gt;=300,2,1))))</f>
        <v/>
      </c>
      <c r="I1880" s="126">
        <f>TEXT(F1880,"0")&amp;TEXT(G1880,"0")&amp;TEXT(H1880,"0")</f>
        <v/>
      </c>
      <c r="J1880" s="126">
        <f>IFERROR(XLOOKUP(I1880,'Segment Map'!A:A,'Segment Map'!B:B,"Need Attention"),"Need Attention")</f>
        <v/>
      </c>
      <c r="K1880" s="126">
        <f>IF(E1880&gt;=5000,"🏆 Platinum",IF(E1880&gt;=2000,"🥇 Gold",IF(E1880&gt;=800,"🥈 Silver","🥉 Bronze")))</f>
        <v/>
      </c>
      <c r="L1880" s="129" t="n">
        <v>40812</v>
      </c>
    </row>
    <row r="1881">
      <c r="A1881" s="122" t="n">
        <v>14910</v>
      </c>
      <c r="B1881" s="122" t="inlineStr">
        <is>
          <t>United Kingdom</t>
        </is>
      </c>
      <c r="C1881" s="122" t="n">
        <v>3</v>
      </c>
      <c r="D1881" s="122" t="n">
        <v>4</v>
      </c>
      <c r="E1881" s="123" t="n">
        <v>434.35</v>
      </c>
      <c r="F1881" s="124">
        <f>IF(C1881&lt;=30,5,IF(C1881&lt;=60,4,IF(C1881&lt;=120,3,IF(C1881&lt;=200,2,1))))</f>
        <v/>
      </c>
      <c r="G1881" s="124">
        <f>IF(D1881&gt;=20,5,IF(D1881&gt;=10,4,IF(D1881&gt;=5,3,IF(D1881&gt;=2,2,1))))</f>
        <v/>
      </c>
      <c r="H1881" s="124">
        <f>IF(E1881&gt;=5000,5,IF(E1881&gt;=2000,4,IF(E1881&gt;=800,3,IF(E1881&gt;=300,2,1))))</f>
        <v/>
      </c>
      <c r="I1881" s="122">
        <f>TEXT(F1881,"0")&amp;TEXT(G1881,"0")&amp;TEXT(H1881,"0")</f>
        <v/>
      </c>
      <c r="J1881" s="122">
        <f>IFERROR(XLOOKUP(I1881,'Segment Map'!A:A,'Segment Map'!B:B,"Need Attention"),"Need Attention")</f>
        <v/>
      </c>
      <c r="K1881" s="122">
        <f>IF(E1881&gt;=5000,"🏆 Platinum",IF(E1881&gt;=2000,"🥇 Gold",IF(E1881&gt;=800,"🥈 Silver","🥉 Bronze")))</f>
        <v/>
      </c>
      <c r="L1881" s="125" t="n">
        <v>40884</v>
      </c>
    </row>
    <row r="1882">
      <c r="A1882" s="126" t="n">
        <v>14911</v>
      </c>
      <c r="B1882" s="126" t="inlineStr">
        <is>
          <t>EIRE</t>
        </is>
      </c>
      <c r="C1882" s="126" t="n">
        <v>2</v>
      </c>
      <c r="D1882" s="126" t="n">
        <v>201</v>
      </c>
      <c r="E1882" s="127" t="n">
        <v>143825.06</v>
      </c>
      <c r="F1882" s="128">
        <f>IF(C1882&lt;=30,5,IF(C1882&lt;=60,4,IF(C1882&lt;=120,3,IF(C1882&lt;=200,2,1))))</f>
        <v/>
      </c>
      <c r="G1882" s="128">
        <f>IF(D1882&gt;=20,5,IF(D1882&gt;=10,4,IF(D1882&gt;=5,3,IF(D1882&gt;=2,2,1))))</f>
        <v/>
      </c>
      <c r="H1882" s="128">
        <f>IF(E1882&gt;=5000,5,IF(E1882&gt;=2000,4,IF(E1882&gt;=800,3,IF(E1882&gt;=300,2,1))))</f>
        <v/>
      </c>
      <c r="I1882" s="126">
        <f>TEXT(F1882,"0")&amp;TEXT(G1882,"0")&amp;TEXT(H1882,"0")</f>
        <v/>
      </c>
      <c r="J1882" s="126">
        <f>IFERROR(XLOOKUP(I1882,'Segment Map'!A:A,'Segment Map'!B:B,"Need Attention"),"Need Attention")</f>
        <v/>
      </c>
      <c r="K1882" s="126">
        <f>IF(E1882&gt;=5000,"🏆 Platinum",IF(E1882&gt;=2000,"🥇 Gold",IF(E1882&gt;=800,"🥈 Silver","🥉 Bronze")))</f>
        <v/>
      </c>
      <c r="L1882" s="129" t="n">
        <v>40885</v>
      </c>
    </row>
    <row r="1883">
      <c r="A1883" s="122" t="n">
        <v>14912</v>
      </c>
      <c r="B1883" s="122" t="inlineStr">
        <is>
          <t>Italy</t>
        </is>
      </c>
      <c r="C1883" s="122" t="n">
        <v>17</v>
      </c>
      <c r="D1883" s="122" t="n">
        <v>2</v>
      </c>
      <c r="E1883" s="123" t="n">
        <v>867.85</v>
      </c>
      <c r="F1883" s="124">
        <f>IF(C1883&lt;=30,5,IF(C1883&lt;=60,4,IF(C1883&lt;=120,3,IF(C1883&lt;=200,2,1))))</f>
        <v/>
      </c>
      <c r="G1883" s="124">
        <f>IF(D1883&gt;=20,5,IF(D1883&gt;=10,4,IF(D1883&gt;=5,3,IF(D1883&gt;=2,2,1))))</f>
        <v/>
      </c>
      <c r="H1883" s="124">
        <f>IF(E1883&gt;=5000,5,IF(E1883&gt;=2000,4,IF(E1883&gt;=800,3,IF(E1883&gt;=300,2,1))))</f>
        <v/>
      </c>
      <c r="I1883" s="122">
        <f>TEXT(F1883,"0")&amp;TEXT(G1883,"0")&amp;TEXT(H1883,"0")</f>
        <v/>
      </c>
      <c r="J1883" s="122">
        <f>IFERROR(XLOOKUP(I1883,'Segment Map'!A:A,'Segment Map'!B:B,"Need Attention"),"Need Attention")</f>
        <v/>
      </c>
      <c r="K1883" s="122">
        <f>IF(E1883&gt;=5000,"🏆 Platinum",IF(E1883&gt;=2000,"🥇 Gold",IF(E1883&gt;=800,"🥈 Silver","🥉 Bronze")))</f>
        <v/>
      </c>
      <c r="L1883" s="125" t="n">
        <v>40870</v>
      </c>
    </row>
    <row r="1884">
      <c r="A1884" s="126" t="n">
        <v>14913</v>
      </c>
      <c r="B1884" s="126" t="inlineStr">
        <is>
          <t>United Kingdom</t>
        </is>
      </c>
      <c r="C1884" s="126" t="n">
        <v>36</v>
      </c>
      <c r="D1884" s="126" t="n">
        <v>4</v>
      </c>
      <c r="E1884" s="127" t="n">
        <v>1227.43</v>
      </c>
      <c r="F1884" s="128">
        <f>IF(C1884&lt;=30,5,IF(C1884&lt;=60,4,IF(C1884&lt;=120,3,IF(C1884&lt;=200,2,1))))</f>
        <v/>
      </c>
      <c r="G1884" s="128">
        <f>IF(D1884&gt;=20,5,IF(D1884&gt;=10,4,IF(D1884&gt;=5,3,IF(D1884&gt;=2,2,1))))</f>
        <v/>
      </c>
      <c r="H1884" s="128">
        <f>IF(E1884&gt;=5000,5,IF(E1884&gt;=2000,4,IF(E1884&gt;=800,3,IF(E1884&gt;=300,2,1))))</f>
        <v/>
      </c>
      <c r="I1884" s="126">
        <f>TEXT(F1884,"0")&amp;TEXT(G1884,"0")&amp;TEXT(H1884,"0")</f>
        <v/>
      </c>
      <c r="J1884" s="126">
        <f>IFERROR(XLOOKUP(I1884,'Segment Map'!A:A,'Segment Map'!B:B,"Need Attention"),"Need Attention")</f>
        <v/>
      </c>
      <c r="K1884" s="126">
        <f>IF(E1884&gt;=5000,"🏆 Platinum",IF(E1884&gt;=2000,"🥇 Gold",IF(E1884&gt;=800,"🥈 Silver","🥉 Bronze")))</f>
        <v/>
      </c>
      <c r="L1884" s="129" t="n">
        <v>40851</v>
      </c>
    </row>
    <row r="1885">
      <c r="A1885" s="122" t="n">
        <v>14915</v>
      </c>
      <c r="B1885" s="122" t="inlineStr">
        <is>
          <t>United Kingdom</t>
        </is>
      </c>
      <c r="C1885" s="122" t="n">
        <v>92</v>
      </c>
      <c r="D1885" s="122" t="n">
        <v>2</v>
      </c>
      <c r="E1885" s="123" t="n">
        <v>307.48</v>
      </c>
      <c r="F1885" s="124">
        <f>IF(C1885&lt;=30,5,IF(C1885&lt;=60,4,IF(C1885&lt;=120,3,IF(C1885&lt;=200,2,1))))</f>
        <v/>
      </c>
      <c r="G1885" s="124">
        <f>IF(D1885&gt;=20,5,IF(D1885&gt;=10,4,IF(D1885&gt;=5,3,IF(D1885&gt;=2,2,1))))</f>
        <v/>
      </c>
      <c r="H1885" s="124">
        <f>IF(E1885&gt;=5000,5,IF(E1885&gt;=2000,4,IF(E1885&gt;=800,3,IF(E1885&gt;=300,2,1))))</f>
        <v/>
      </c>
      <c r="I1885" s="122">
        <f>TEXT(F1885,"0")&amp;TEXT(G1885,"0")&amp;TEXT(H1885,"0")</f>
        <v/>
      </c>
      <c r="J1885" s="122">
        <f>IFERROR(XLOOKUP(I1885,'Segment Map'!A:A,'Segment Map'!B:B,"Need Attention"),"Need Attention")</f>
        <v/>
      </c>
      <c r="K1885" s="122">
        <f>IF(E1885&gt;=5000,"🏆 Platinum",IF(E1885&gt;=2000,"🥇 Gold",IF(E1885&gt;=800,"🥈 Silver","🥉 Bronze")))</f>
        <v/>
      </c>
      <c r="L1885" s="125" t="n">
        <v>40795</v>
      </c>
    </row>
    <row r="1886">
      <c r="A1886" s="126" t="n">
        <v>14916</v>
      </c>
      <c r="B1886" s="126" t="inlineStr">
        <is>
          <t>United Kingdom</t>
        </is>
      </c>
      <c r="C1886" s="126" t="n">
        <v>71</v>
      </c>
      <c r="D1886" s="126" t="n">
        <v>4</v>
      </c>
      <c r="E1886" s="127" t="n">
        <v>1268.98</v>
      </c>
      <c r="F1886" s="128">
        <f>IF(C1886&lt;=30,5,IF(C1886&lt;=60,4,IF(C1886&lt;=120,3,IF(C1886&lt;=200,2,1))))</f>
        <v/>
      </c>
      <c r="G1886" s="128">
        <f>IF(D1886&gt;=20,5,IF(D1886&gt;=10,4,IF(D1886&gt;=5,3,IF(D1886&gt;=2,2,1))))</f>
        <v/>
      </c>
      <c r="H1886" s="128">
        <f>IF(E1886&gt;=5000,5,IF(E1886&gt;=2000,4,IF(E1886&gt;=800,3,IF(E1886&gt;=300,2,1))))</f>
        <v/>
      </c>
      <c r="I1886" s="126">
        <f>TEXT(F1886,"0")&amp;TEXT(G1886,"0")&amp;TEXT(H1886,"0")</f>
        <v/>
      </c>
      <c r="J1886" s="126">
        <f>IFERROR(XLOOKUP(I1886,'Segment Map'!A:A,'Segment Map'!B:B,"Need Attention"),"Need Attention")</f>
        <v/>
      </c>
      <c r="K1886" s="126">
        <f>IF(E1886&gt;=5000,"🏆 Platinum",IF(E1886&gt;=2000,"🥇 Gold",IF(E1886&gt;=800,"🥈 Silver","🥉 Bronze")))</f>
        <v/>
      </c>
      <c r="L1886" s="129" t="n">
        <v>40816</v>
      </c>
    </row>
    <row r="1887">
      <c r="A1887" s="122" t="n">
        <v>14918</v>
      </c>
      <c r="B1887" s="122" t="inlineStr">
        <is>
          <t>United Kingdom</t>
        </is>
      </c>
      <c r="C1887" s="122" t="n">
        <v>116</v>
      </c>
      <c r="D1887" s="122" t="n">
        <v>2</v>
      </c>
      <c r="E1887" s="123" t="n">
        <v>1610.15</v>
      </c>
      <c r="F1887" s="124">
        <f>IF(C1887&lt;=30,5,IF(C1887&lt;=60,4,IF(C1887&lt;=120,3,IF(C1887&lt;=200,2,1))))</f>
        <v/>
      </c>
      <c r="G1887" s="124">
        <f>IF(D1887&gt;=20,5,IF(D1887&gt;=10,4,IF(D1887&gt;=5,3,IF(D1887&gt;=2,2,1))))</f>
        <v/>
      </c>
      <c r="H1887" s="124">
        <f>IF(E1887&gt;=5000,5,IF(E1887&gt;=2000,4,IF(E1887&gt;=800,3,IF(E1887&gt;=300,2,1))))</f>
        <v/>
      </c>
      <c r="I1887" s="122">
        <f>TEXT(F1887,"0")&amp;TEXT(G1887,"0")&amp;TEXT(H1887,"0")</f>
        <v/>
      </c>
      <c r="J1887" s="122">
        <f>IFERROR(XLOOKUP(I1887,'Segment Map'!A:A,'Segment Map'!B:B,"Need Attention"),"Need Attention")</f>
        <v/>
      </c>
      <c r="K1887" s="122">
        <f>IF(E1887&gt;=5000,"🏆 Platinum",IF(E1887&gt;=2000,"🥇 Gold",IF(E1887&gt;=800,"🥈 Silver","🥉 Bronze")))</f>
        <v/>
      </c>
      <c r="L1887" s="125" t="n">
        <v>40771</v>
      </c>
    </row>
    <row r="1888">
      <c r="A1888" s="126" t="n">
        <v>14920</v>
      </c>
      <c r="B1888" s="126" t="inlineStr">
        <is>
          <t>United Kingdom</t>
        </is>
      </c>
      <c r="C1888" s="126" t="n">
        <v>213</v>
      </c>
      <c r="D1888" s="126" t="n">
        <v>2</v>
      </c>
      <c r="E1888" s="127" t="n">
        <v>977.77</v>
      </c>
      <c r="F1888" s="128">
        <f>IF(C1888&lt;=30,5,IF(C1888&lt;=60,4,IF(C1888&lt;=120,3,IF(C1888&lt;=200,2,1))))</f>
        <v/>
      </c>
      <c r="G1888" s="128">
        <f>IF(D1888&gt;=20,5,IF(D1888&gt;=10,4,IF(D1888&gt;=5,3,IF(D1888&gt;=2,2,1))))</f>
        <v/>
      </c>
      <c r="H1888" s="128">
        <f>IF(E1888&gt;=5000,5,IF(E1888&gt;=2000,4,IF(E1888&gt;=800,3,IF(E1888&gt;=300,2,1))))</f>
        <v/>
      </c>
      <c r="I1888" s="126">
        <f>TEXT(F1888,"0")&amp;TEXT(G1888,"0")&amp;TEXT(H1888,"0")</f>
        <v/>
      </c>
      <c r="J1888" s="126">
        <f>IFERROR(XLOOKUP(I1888,'Segment Map'!A:A,'Segment Map'!B:B,"Need Attention"),"Need Attention")</f>
        <v/>
      </c>
      <c r="K1888" s="126">
        <f>IF(E1888&gt;=5000,"🏆 Platinum",IF(E1888&gt;=2000,"🥇 Gold",IF(E1888&gt;=800,"🥈 Silver","🥉 Bronze")))</f>
        <v/>
      </c>
      <c r="L1888" s="129" t="n">
        <v>40674</v>
      </c>
    </row>
    <row r="1889">
      <c r="A1889" s="122" t="n">
        <v>14921</v>
      </c>
      <c r="B1889" s="122" t="inlineStr">
        <is>
          <t>United Kingdom</t>
        </is>
      </c>
      <c r="C1889" s="122" t="n">
        <v>31</v>
      </c>
      <c r="D1889" s="122" t="n">
        <v>2</v>
      </c>
      <c r="E1889" s="123" t="n">
        <v>1316.07</v>
      </c>
      <c r="F1889" s="124">
        <f>IF(C1889&lt;=30,5,IF(C1889&lt;=60,4,IF(C1889&lt;=120,3,IF(C1889&lt;=200,2,1))))</f>
        <v/>
      </c>
      <c r="G1889" s="124">
        <f>IF(D1889&gt;=20,5,IF(D1889&gt;=10,4,IF(D1889&gt;=5,3,IF(D1889&gt;=2,2,1))))</f>
        <v/>
      </c>
      <c r="H1889" s="124">
        <f>IF(E1889&gt;=5000,5,IF(E1889&gt;=2000,4,IF(E1889&gt;=800,3,IF(E1889&gt;=300,2,1))))</f>
        <v/>
      </c>
      <c r="I1889" s="122">
        <f>TEXT(F1889,"0")&amp;TEXT(G1889,"0")&amp;TEXT(H1889,"0")</f>
        <v/>
      </c>
      <c r="J1889" s="122">
        <f>IFERROR(XLOOKUP(I1889,'Segment Map'!A:A,'Segment Map'!B:B,"Need Attention"),"Need Attention")</f>
        <v/>
      </c>
      <c r="K1889" s="122">
        <f>IF(E1889&gt;=5000,"🏆 Platinum",IF(E1889&gt;=2000,"🥇 Gold",IF(E1889&gt;=800,"🥈 Silver","🥉 Bronze")))</f>
        <v/>
      </c>
      <c r="L1889" s="125" t="n">
        <v>40856</v>
      </c>
    </row>
    <row r="1890">
      <c r="A1890" s="126" t="n">
        <v>14923</v>
      </c>
      <c r="B1890" s="126" t="inlineStr">
        <is>
          <t>United Kingdom</t>
        </is>
      </c>
      <c r="C1890" s="126" t="n">
        <v>51</v>
      </c>
      <c r="D1890" s="126" t="n">
        <v>1</v>
      </c>
      <c r="E1890" s="127" t="n">
        <v>749.1</v>
      </c>
      <c r="F1890" s="128">
        <f>IF(C1890&lt;=30,5,IF(C1890&lt;=60,4,IF(C1890&lt;=120,3,IF(C1890&lt;=200,2,1))))</f>
        <v/>
      </c>
      <c r="G1890" s="128">
        <f>IF(D1890&gt;=20,5,IF(D1890&gt;=10,4,IF(D1890&gt;=5,3,IF(D1890&gt;=2,2,1))))</f>
        <v/>
      </c>
      <c r="H1890" s="128">
        <f>IF(E1890&gt;=5000,5,IF(E1890&gt;=2000,4,IF(E1890&gt;=800,3,IF(E1890&gt;=300,2,1))))</f>
        <v/>
      </c>
      <c r="I1890" s="126">
        <f>TEXT(F1890,"0")&amp;TEXT(G1890,"0")&amp;TEXT(H1890,"0")</f>
        <v/>
      </c>
      <c r="J1890" s="126">
        <f>IFERROR(XLOOKUP(I1890,'Segment Map'!A:A,'Segment Map'!B:B,"Need Attention"),"Need Attention")</f>
        <v/>
      </c>
      <c r="K1890" s="126">
        <f>IF(E1890&gt;=5000,"🏆 Platinum",IF(E1890&gt;=2000,"🥇 Gold",IF(E1890&gt;=800,"🥈 Silver","🥉 Bronze")))</f>
        <v/>
      </c>
      <c r="L1890" s="129" t="n">
        <v>40836</v>
      </c>
    </row>
    <row r="1891">
      <c r="A1891" s="122" t="n">
        <v>14924</v>
      </c>
      <c r="B1891" s="122" t="inlineStr">
        <is>
          <t>United Kingdom</t>
        </is>
      </c>
      <c r="C1891" s="122" t="n">
        <v>246</v>
      </c>
      <c r="D1891" s="122" t="n">
        <v>1</v>
      </c>
      <c r="E1891" s="123" t="n">
        <v>310.05</v>
      </c>
      <c r="F1891" s="124">
        <f>IF(C1891&lt;=30,5,IF(C1891&lt;=60,4,IF(C1891&lt;=120,3,IF(C1891&lt;=200,2,1))))</f>
        <v/>
      </c>
      <c r="G1891" s="124">
        <f>IF(D1891&gt;=20,5,IF(D1891&gt;=10,4,IF(D1891&gt;=5,3,IF(D1891&gt;=2,2,1))))</f>
        <v/>
      </c>
      <c r="H1891" s="124">
        <f>IF(E1891&gt;=5000,5,IF(E1891&gt;=2000,4,IF(E1891&gt;=800,3,IF(E1891&gt;=300,2,1))))</f>
        <v/>
      </c>
      <c r="I1891" s="122">
        <f>TEXT(F1891,"0")&amp;TEXT(G1891,"0")&amp;TEXT(H1891,"0")</f>
        <v/>
      </c>
      <c r="J1891" s="122">
        <f>IFERROR(XLOOKUP(I1891,'Segment Map'!A:A,'Segment Map'!B:B,"Need Attention"),"Need Attention")</f>
        <v/>
      </c>
      <c r="K1891" s="122">
        <f>IF(E1891&gt;=5000,"🏆 Platinum",IF(E1891&gt;=2000,"🥇 Gold",IF(E1891&gt;=800,"🥈 Silver","🥉 Bronze")))</f>
        <v/>
      </c>
      <c r="L1891" s="125" t="n">
        <v>40641</v>
      </c>
    </row>
    <row r="1892">
      <c r="A1892" s="126" t="n">
        <v>14929</v>
      </c>
      <c r="B1892" s="126" t="inlineStr">
        <is>
          <t>United Kingdom</t>
        </is>
      </c>
      <c r="C1892" s="126" t="n">
        <v>33</v>
      </c>
      <c r="D1892" s="126" t="n">
        <v>1</v>
      </c>
      <c r="E1892" s="127" t="n">
        <v>223.88</v>
      </c>
      <c r="F1892" s="128">
        <f>IF(C1892&lt;=30,5,IF(C1892&lt;=60,4,IF(C1892&lt;=120,3,IF(C1892&lt;=200,2,1))))</f>
        <v/>
      </c>
      <c r="G1892" s="128">
        <f>IF(D1892&gt;=20,5,IF(D1892&gt;=10,4,IF(D1892&gt;=5,3,IF(D1892&gt;=2,2,1))))</f>
        <v/>
      </c>
      <c r="H1892" s="128">
        <f>IF(E1892&gt;=5000,5,IF(E1892&gt;=2000,4,IF(E1892&gt;=800,3,IF(E1892&gt;=300,2,1))))</f>
        <v/>
      </c>
      <c r="I1892" s="126">
        <f>TEXT(F1892,"0")&amp;TEXT(G1892,"0")&amp;TEXT(H1892,"0")</f>
        <v/>
      </c>
      <c r="J1892" s="126">
        <f>IFERROR(XLOOKUP(I1892,'Segment Map'!A:A,'Segment Map'!B:B,"Need Attention"),"Need Attention")</f>
        <v/>
      </c>
      <c r="K1892" s="126">
        <f>IF(E1892&gt;=5000,"🏆 Platinum",IF(E1892&gt;=2000,"🥇 Gold",IF(E1892&gt;=800,"🥈 Silver","🥉 Bronze")))</f>
        <v/>
      </c>
      <c r="L1892" s="129" t="n">
        <v>40854</v>
      </c>
    </row>
    <row r="1893">
      <c r="A1893" s="122" t="n">
        <v>14930</v>
      </c>
      <c r="B1893" s="122" t="inlineStr">
        <is>
          <t>Channel Islands</t>
        </is>
      </c>
      <c r="C1893" s="122" t="n">
        <v>109</v>
      </c>
      <c r="D1893" s="122" t="n">
        <v>3</v>
      </c>
      <c r="E1893" s="123" t="n">
        <v>2372.86</v>
      </c>
      <c r="F1893" s="124">
        <f>IF(C1893&lt;=30,5,IF(C1893&lt;=60,4,IF(C1893&lt;=120,3,IF(C1893&lt;=200,2,1))))</f>
        <v/>
      </c>
      <c r="G1893" s="124">
        <f>IF(D1893&gt;=20,5,IF(D1893&gt;=10,4,IF(D1893&gt;=5,3,IF(D1893&gt;=2,2,1))))</f>
        <v/>
      </c>
      <c r="H1893" s="124">
        <f>IF(E1893&gt;=5000,5,IF(E1893&gt;=2000,4,IF(E1893&gt;=800,3,IF(E1893&gt;=300,2,1))))</f>
        <v/>
      </c>
      <c r="I1893" s="122">
        <f>TEXT(F1893,"0")&amp;TEXT(G1893,"0")&amp;TEXT(H1893,"0")</f>
        <v/>
      </c>
      <c r="J1893" s="122">
        <f>IFERROR(XLOOKUP(I1893,'Segment Map'!A:A,'Segment Map'!B:B,"Need Attention"),"Need Attention")</f>
        <v/>
      </c>
      <c r="K1893" s="122">
        <f>IF(E1893&gt;=5000,"🏆 Platinum",IF(E1893&gt;=2000,"🥇 Gold",IF(E1893&gt;=800,"🥈 Silver","🥉 Bronze")))</f>
        <v/>
      </c>
      <c r="L1893" s="125" t="n">
        <v>40778</v>
      </c>
    </row>
    <row r="1894">
      <c r="A1894" s="126" t="n">
        <v>14931</v>
      </c>
      <c r="B1894" s="126" t="inlineStr">
        <is>
          <t>Channel Islands</t>
        </is>
      </c>
      <c r="C1894" s="126" t="n">
        <v>5</v>
      </c>
      <c r="D1894" s="126" t="n">
        <v>5</v>
      </c>
      <c r="E1894" s="127" t="n">
        <v>1257.68</v>
      </c>
      <c r="F1894" s="128">
        <f>IF(C1894&lt;=30,5,IF(C1894&lt;=60,4,IF(C1894&lt;=120,3,IF(C1894&lt;=200,2,1))))</f>
        <v/>
      </c>
      <c r="G1894" s="128">
        <f>IF(D1894&gt;=20,5,IF(D1894&gt;=10,4,IF(D1894&gt;=5,3,IF(D1894&gt;=2,2,1))))</f>
        <v/>
      </c>
      <c r="H1894" s="128">
        <f>IF(E1894&gt;=5000,5,IF(E1894&gt;=2000,4,IF(E1894&gt;=800,3,IF(E1894&gt;=300,2,1))))</f>
        <v/>
      </c>
      <c r="I1894" s="126">
        <f>TEXT(F1894,"0")&amp;TEXT(G1894,"0")&amp;TEXT(H1894,"0")</f>
        <v/>
      </c>
      <c r="J1894" s="126">
        <f>IFERROR(XLOOKUP(I1894,'Segment Map'!A:A,'Segment Map'!B:B,"Need Attention"),"Need Attention")</f>
        <v/>
      </c>
      <c r="K1894" s="126">
        <f>IF(E1894&gt;=5000,"🏆 Platinum",IF(E1894&gt;=2000,"🥇 Gold",IF(E1894&gt;=800,"🥈 Silver","🥉 Bronze")))</f>
        <v/>
      </c>
      <c r="L1894" s="129" t="n">
        <v>40882</v>
      </c>
    </row>
    <row r="1895">
      <c r="A1895" s="122" t="n">
        <v>14932</v>
      </c>
      <c r="B1895" s="122" t="inlineStr">
        <is>
          <t>Channel Islands</t>
        </is>
      </c>
      <c r="C1895" s="122" t="n">
        <v>366</v>
      </c>
      <c r="D1895" s="122" t="n">
        <v>1</v>
      </c>
      <c r="E1895" s="123" t="n">
        <v>363.53</v>
      </c>
      <c r="F1895" s="124">
        <f>IF(C1895&lt;=30,5,IF(C1895&lt;=60,4,IF(C1895&lt;=120,3,IF(C1895&lt;=200,2,1))))</f>
        <v/>
      </c>
      <c r="G1895" s="124">
        <f>IF(D1895&gt;=20,5,IF(D1895&gt;=10,4,IF(D1895&gt;=5,3,IF(D1895&gt;=2,2,1))))</f>
        <v/>
      </c>
      <c r="H1895" s="124">
        <f>IF(E1895&gt;=5000,5,IF(E1895&gt;=2000,4,IF(E1895&gt;=800,3,IF(E1895&gt;=300,2,1))))</f>
        <v/>
      </c>
      <c r="I1895" s="122">
        <f>TEXT(F1895,"0")&amp;TEXT(G1895,"0")&amp;TEXT(H1895,"0")</f>
        <v/>
      </c>
      <c r="J1895" s="122">
        <f>IFERROR(XLOOKUP(I1895,'Segment Map'!A:A,'Segment Map'!B:B,"Need Attention"),"Need Attention")</f>
        <v/>
      </c>
      <c r="K1895" s="122">
        <f>IF(E1895&gt;=5000,"🏆 Platinum",IF(E1895&gt;=2000,"🥇 Gold",IF(E1895&gt;=800,"🥈 Silver","🥉 Bronze")))</f>
        <v/>
      </c>
      <c r="L1895" s="125" t="n">
        <v>40521</v>
      </c>
    </row>
    <row r="1896">
      <c r="A1896" s="126" t="n">
        <v>14934</v>
      </c>
      <c r="B1896" s="126" t="inlineStr">
        <is>
          <t>Channel Islands</t>
        </is>
      </c>
      <c r="C1896" s="126" t="n">
        <v>82</v>
      </c>
      <c r="D1896" s="126" t="n">
        <v>2</v>
      </c>
      <c r="E1896" s="127" t="n">
        <v>1890.94</v>
      </c>
      <c r="F1896" s="128">
        <f>IF(C1896&lt;=30,5,IF(C1896&lt;=60,4,IF(C1896&lt;=120,3,IF(C1896&lt;=200,2,1))))</f>
        <v/>
      </c>
      <c r="G1896" s="128">
        <f>IF(D1896&gt;=20,5,IF(D1896&gt;=10,4,IF(D1896&gt;=5,3,IF(D1896&gt;=2,2,1))))</f>
        <v/>
      </c>
      <c r="H1896" s="128">
        <f>IF(E1896&gt;=5000,5,IF(E1896&gt;=2000,4,IF(E1896&gt;=800,3,IF(E1896&gt;=300,2,1))))</f>
        <v/>
      </c>
      <c r="I1896" s="126">
        <f>TEXT(F1896,"0")&amp;TEXT(G1896,"0")&amp;TEXT(H1896,"0")</f>
        <v/>
      </c>
      <c r="J1896" s="126">
        <f>IFERROR(XLOOKUP(I1896,'Segment Map'!A:A,'Segment Map'!B:B,"Need Attention"),"Need Attention")</f>
        <v/>
      </c>
      <c r="K1896" s="126">
        <f>IF(E1896&gt;=5000,"🏆 Platinum",IF(E1896&gt;=2000,"🥇 Gold",IF(E1896&gt;=800,"🥈 Silver","🥉 Bronze")))</f>
        <v/>
      </c>
      <c r="L1896" s="129" t="n">
        <v>40805</v>
      </c>
    </row>
    <row r="1897">
      <c r="A1897" s="122" t="n">
        <v>14935</v>
      </c>
      <c r="B1897" s="122" t="inlineStr">
        <is>
          <t>Channel Islands</t>
        </is>
      </c>
      <c r="C1897" s="122" t="n">
        <v>298</v>
      </c>
      <c r="D1897" s="122" t="n">
        <v>1</v>
      </c>
      <c r="E1897" s="123" t="n">
        <v>1784.71</v>
      </c>
      <c r="F1897" s="124">
        <f>IF(C1897&lt;=30,5,IF(C1897&lt;=60,4,IF(C1897&lt;=120,3,IF(C1897&lt;=200,2,1))))</f>
        <v/>
      </c>
      <c r="G1897" s="124">
        <f>IF(D1897&gt;=20,5,IF(D1897&gt;=10,4,IF(D1897&gt;=5,3,IF(D1897&gt;=2,2,1))))</f>
        <v/>
      </c>
      <c r="H1897" s="124">
        <f>IF(E1897&gt;=5000,5,IF(E1897&gt;=2000,4,IF(E1897&gt;=800,3,IF(E1897&gt;=300,2,1))))</f>
        <v/>
      </c>
      <c r="I1897" s="122">
        <f>TEXT(F1897,"0")&amp;TEXT(G1897,"0")&amp;TEXT(H1897,"0")</f>
        <v/>
      </c>
      <c r="J1897" s="122">
        <f>IFERROR(XLOOKUP(I1897,'Segment Map'!A:A,'Segment Map'!B:B,"Need Attention"),"Need Attention")</f>
        <v/>
      </c>
      <c r="K1897" s="122">
        <f>IF(E1897&gt;=5000,"🏆 Platinum",IF(E1897&gt;=2000,"🥇 Gold",IF(E1897&gt;=800,"🥈 Silver","🥉 Bronze")))</f>
        <v/>
      </c>
      <c r="L1897" s="125" t="n">
        <v>40589</v>
      </c>
    </row>
    <row r="1898">
      <c r="A1898" s="126" t="n">
        <v>14936</v>
      </c>
      <c r="B1898" s="126" t="inlineStr">
        <is>
          <t>Channel Islands</t>
        </is>
      </c>
      <c r="C1898" s="126" t="n">
        <v>34</v>
      </c>
      <c r="D1898" s="126" t="n">
        <v>8</v>
      </c>
      <c r="E1898" s="127" t="n">
        <v>8137.02</v>
      </c>
      <c r="F1898" s="128">
        <f>IF(C1898&lt;=30,5,IF(C1898&lt;=60,4,IF(C1898&lt;=120,3,IF(C1898&lt;=200,2,1))))</f>
        <v/>
      </c>
      <c r="G1898" s="128">
        <f>IF(D1898&gt;=20,5,IF(D1898&gt;=10,4,IF(D1898&gt;=5,3,IF(D1898&gt;=2,2,1))))</f>
        <v/>
      </c>
      <c r="H1898" s="128">
        <f>IF(E1898&gt;=5000,5,IF(E1898&gt;=2000,4,IF(E1898&gt;=800,3,IF(E1898&gt;=300,2,1))))</f>
        <v/>
      </c>
      <c r="I1898" s="126">
        <f>TEXT(F1898,"0")&amp;TEXT(G1898,"0")&amp;TEXT(H1898,"0")</f>
        <v/>
      </c>
      <c r="J1898" s="126">
        <f>IFERROR(XLOOKUP(I1898,'Segment Map'!A:A,'Segment Map'!B:B,"Need Attention"),"Need Attention")</f>
        <v/>
      </c>
      <c r="K1898" s="126">
        <f>IF(E1898&gt;=5000,"🏆 Platinum",IF(E1898&gt;=2000,"🥇 Gold",IF(E1898&gt;=800,"🥈 Silver","🥉 Bronze")))</f>
        <v/>
      </c>
      <c r="L1898" s="129" t="n">
        <v>40853</v>
      </c>
    </row>
    <row r="1899">
      <c r="A1899" s="122" t="n">
        <v>14937</v>
      </c>
      <c r="B1899" s="122" t="inlineStr">
        <is>
          <t>Channel Islands</t>
        </is>
      </c>
      <c r="C1899" s="122" t="n">
        <v>57</v>
      </c>
      <c r="D1899" s="122" t="n">
        <v>3</v>
      </c>
      <c r="E1899" s="123" t="n">
        <v>1621.88</v>
      </c>
      <c r="F1899" s="124">
        <f>IF(C1899&lt;=30,5,IF(C1899&lt;=60,4,IF(C1899&lt;=120,3,IF(C1899&lt;=200,2,1))))</f>
        <v/>
      </c>
      <c r="G1899" s="124">
        <f>IF(D1899&gt;=20,5,IF(D1899&gt;=10,4,IF(D1899&gt;=5,3,IF(D1899&gt;=2,2,1))))</f>
        <v/>
      </c>
      <c r="H1899" s="124">
        <f>IF(E1899&gt;=5000,5,IF(E1899&gt;=2000,4,IF(E1899&gt;=800,3,IF(E1899&gt;=300,2,1))))</f>
        <v/>
      </c>
      <c r="I1899" s="122">
        <f>TEXT(F1899,"0")&amp;TEXT(G1899,"0")&amp;TEXT(H1899,"0")</f>
        <v/>
      </c>
      <c r="J1899" s="122">
        <f>IFERROR(XLOOKUP(I1899,'Segment Map'!A:A,'Segment Map'!B:B,"Need Attention"),"Need Attention")</f>
        <v/>
      </c>
      <c r="K1899" s="122">
        <f>IF(E1899&gt;=5000,"🏆 Platinum",IF(E1899&gt;=2000,"🥇 Gold",IF(E1899&gt;=800,"🥈 Silver","🥉 Bronze")))</f>
        <v/>
      </c>
      <c r="L1899" s="125" t="n">
        <v>40830</v>
      </c>
    </row>
    <row r="1900">
      <c r="A1900" s="126" t="n">
        <v>14944</v>
      </c>
      <c r="B1900" s="126" t="inlineStr">
        <is>
          <t>United Kingdom</t>
        </is>
      </c>
      <c r="C1900" s="126" t="n">
        <v>30</v>
      </c>
      <c r="D1900" s="126" t="n">
        <v>12</v>
      </c>
      <c r="E1900" s="127" t="n">
        <v>5900.25</v>
      </c>
      <c r="F1900" s="128">
        <f>IF(C1900&lt;=30,5,IF(C1900&lt;=60,4,IF(C1900&lt;=120,3,IF(C1900&lt;=200,2,1))))</f>
        <v/>
      </c>
      <c r="G1900" s="128">
        <f>IF(D1900&gt;=20,5,IF(D1900&gt;=10,4,IF(D1900&gt;=5,3,IF(D1900&gt;=2,2,1))))</f>
        <v/>
      </c>
      <c r="H1900" s="128">
        <f>IF(E1900&gt;=5000,5,IF(E1900&gt;=2000,4,IF(E1900&gt;=800,3,IF(E1900&gt;=300,2,1))))</f>
        <v/>
      </c>
      <c r="I1900" s="126">
        <f>TEXT(F1900,"0")&amp;TEXT(G1900,"0")&amp;TEXT(H1900,"0")</f>
        <v/>
      </c>
      <c r="J1900" s="126">
        <f>IFERROR(XLOOKUP(I1900,'Segment Map'!A:A,'Segment Map'!B:B,"Need Attention"),"Need Attention")</f>
        <v/>
      </c>
      <c r="K1900" s="126">
        <f>IF(E1900&gt;=5000,"🏆 Platinum",IF(E1900&gt;=2000,"🥇 Gold",IF(E1900&gt;=800,"🥈 Silver","🥉 Bronze")))</f>
        <v/>
      </c>
      <c r="L1900" s="129" t="n">
        <v>40857</v>
      </c>
    </row>
    <row r="1901">
      <c r="A1901" s="122" t="n">
        <v>14946</v>
      </c>
      <c r="B1901" s="122" t="inlineStr">
        <is>
          <t>United Kingdom</t>
        </is>
      </c>
      <c r="C1901" s="122" t="n">
        <v>15</v>
      </c>
      <c r="D1901" s="122" t="n">
        <v>1</v>
      </c>
      <c r="E1901" s="123" t="n">
        <v>100.9</v>
      </c>
      <c r="F1901" s="124">
        <f>IF(C1901&lt;=30,5,IF(C1901&lt;=60,4,IF(C1901&lt;=120,3,IF(C1901&lt;=200,2,1))))</f>
        <v/>
      </c>
      <c r="G1901" s="124">
        <f>IF(D1901&gt;=20,5,IF(D1901&gt;=10,4,IF(D1901&gt;=5,3,IF(D1901&gt;=2,2,1))))</f>
        <v/>
      </c>
      <c r="H1901" s="124">
        <f>IF(E1901&gt;=5000,5,IF(E1901&gt;=2000,4,IF(E1901&gt;=800,3,IF(E1901&gt;=300,2,1))))</f>
        <v/>
      </c>
      <c r="I1901" s="122">
        <f>TEXT(F1901,"0")&amp;TEXT(G1901,"0")&amp;TEXT(H1901,"0")</f>
        <v/>
      </c>
      <c r="J1901" s="122">
        <f>IFERROR(XLOOKUP(I1901,'Segment Map'!A:A,'Segment Map'!B:B,"Need Attention"),"Need Attention")</f>
        <v/>
      </c>
      <c r="K1901" s="122">
        <f>IF(E1901&gt;=5000,"🏆 Platinum",IF(E1901&gt;=2000,"🥇 Gold",IF(E1901&gt;=800,"🥈 Silver","🥉 Bronze")))</f>
        <v/>
      </c>
      <c r="L1901" s="125" t="n">
        <v>40872</v>
      </c>
    </row>
    <row r="1902">
      <c r="A1902" s="126" t="n">
        <v>14947</v>
      </c>
      <c r="B1902" s="126" t="inlineStr">
        <is>
          <t>United Kingdom</t>
        </is>
      </c>
      <c r="C1902" s="126" t="n">
        <v>73</v>
      </c>
      <c r="D1902" s="126" t="n">
        <v>2</v>
      </c>
      <c r="E1902" s="127" t="n">
        <v>290.82</v>
      </c>
      <c r="F1902" s="128">
        <f>IF(C1902&lt;=30,5,IF(C1902&lt;=60,4,IF(C1902&lt;=120,3,IF(C1902&lt;=200,2,1))))</f>
        <v/>
      </c>
      <c r="G1902" s="128">
        <f>IF(D1902&gt;=20,5,IF(D1902&gt;=10,4,IF(D1902&gt;=5,3,IF(D1902&gt;=2,2,1))))</f>
        <v/>
      </c>
      <c r="H1902" s="128">
        <f>IF(E1902&gt;=5000,5,IF(E1902&gt;=2000,4,IF(E1902&gt;=800,3,IF(E1902&gt;=300,2,1))))</f>
        <v/>
      </c>
      <c r="I1902" s="126">
        <f>TEXT(F1902,"0")&amp;TEXT(G1902,"0")&amp;TEXT(H1902,"0")</f>
        <v/>
      </c>
      <c r="J1902" s="126">
        <f>IFERROR(XLOOKUP(I1902,'Segment Map'!A:A,'Segment Map'!B:B,"Need Attention"),"Need Attention")</f>
        <v/>
      </c>
      <c r="K1902" s="126">
        <f>IF(E1902&gt;=5000,"🏆 Platinum",IF(E1902&gt;=2000,"🥇 Gold",IF(E1902&gt;=800,"🥈 Silver","🥉 Bronze")))</f>
        <v/>
      </c>
      <c r="L1902" s="129" t="n">
        <v>40814</v>
      </c>
    </row>
    <row r="1903">
      <c r="A1903" s="122" t="n">
        <v>14948</v>
      </c>
      <c r="B1903" s="122" t="inlineStr">
        <is>
          <t>United Kingdom</t>
        </is>
      </c>
      <c r="C1903" s="122" t="n">
        <v>24</v>
      </c>
      <c r="D1903" s="122" t="n">
        <v>6</v>
      </c>
      <c r="E1903" s="123" t="n">
        <v>1101.97</v>
      </c>
      <c r="F1903" s="124">
        <f>IF(C1903&lt;=30,5,IF(C1903&lt;=60,4,IF(C1903&lt;=120,3,IF(C1903&lt;=200,2,1))))</f>
        <v/>
      </c>
      <c r="G1903" s="124">
        <f>IF(D1903&gt;=20,5,IF(D1903&gt;=10,4,IF(D1903&gt;=5,3,IF(D1903&gt;=2,2,1))))</f>
        <v/>
      </c>
      <c r="H1903" s="124">
        <f>IF(E1903&gt;=5000,5,IF(E1903&gt;=2000,4,IF(E1903&gt;=800,3,IF(E1903&gt;=300,2,1))))</f>
        <v/>
      </c>
      <c r="I1903" s="122">
        <f>TEXT(F1903,"0")&amp;TEXT(G1903,"0")&amp;TEXT(H1903,"0")</f>
        <v/>
      </c>
      <c r="J1903" s="122">
        <f>IFERROR(XLOOKUP(I1903,'Segment Map'!A:A,'Segment Map'!B:B,"Need Attention"),"Need Attention")</f>
        <v/>
      </c>
      <c r="K1903" s="122">
        <f>IF(E1903&gt;=5000,"🏆 Platinum",IF(E1903&gt;=2000,"🥇 Gold",IF(E1903&gt;=800,"🥈 Silver","🥉 Bronze")))</f>
        <v/>
      </c>
      <c r="L1903" s="125" t="n">
        <v>40863</v>
      </c>
    </row>
    <row r="1904">
      <c r="A1904" s="126" t="n">
        <v>14950</v>
      </c>
      <c r="B1904" s="126" t="inlineStr">
        <is>
          <t>United Kingdom</t>
        </is>
      </c>
      <c r="C1904" s="126" t="n">
        <v>20</v>
      </c>
      <c r="D1904" s="126" t="n">
        <v>1</v>
      </c>
      <c r="E1904" s="127" t="n">
        <v>371.2</v>
      </c>
      <c r="F1904" s="128">
        <f>IF(C1904&lt;=30,5,IF(C1904&lt;=60,4,IF(C1904&lt;=120,3,IF(C1904&lt;=200,2,1))))</f>
        <v/>
      </c>
      <c r="G1904" s="128">
        <f>IF(D1904&gt;=20,5,IF(D1904&gt;=10,4,IF(D1904&gt;=5,3,IF(D1904&gt;=2,2,1))))</f>
        <v/>
      </c>
      <c r="H1904" s="128">
        <f>IF(E1904&gt;=5000,5,IF(E1904&gt;=2000,4,IF(E1904&gt;=800,3,IF(E1904&gt;=300,2,1))))</f>
        <v/>
      </c>
      <c r="I1904" s="126">
        <f>TEXT(F1904,"0")&amp;TEXT(G1904,"0")&amp;TEXT(H1904,"0")</f>
        <v/>
      </c>
      <c r="J1904" s="126">
        <f>IFERROR(XLOOKUP(I1904,'Segment Map'!A:A,'Segment Map'!B:B,"Need Attention"),"Need Attention")</f>
        <v/>
      </c>
      <c r="K1904" s="126">
        <f>IF(E1904&gt;=5000,"🏆 Platinum",IF(E1904&gt;=2000,"🥇 Gold",IF(E1904&gt;=800,"🥈 Silver","🥉 Bronze")))</f>
        <v/>
      </c>
      <c r="L1904" s="129" t="n">
        <v>40867</v>
      </c>
    </row>
    <row r="1905">
      <c r="A1905" s="122" t="n">
        <v>14951</v>
      </c>
      <c r="B1905" s="122" t="inlineStr">
        <is>
          <t>United Kingdom</t>
        </is>
      </c>
      <c r="C1905" s="122" t="n">
        <v>80</v>
      </c>
      <c r="D1905" s="122" t="n">
        <v>1</v>
      </c>
      <c r="E1905" s="123" t="n">
        <v>311.69</v>
      </c>
      <c r="F1905" s="124">
        <f>IF(C1905&lt;=30,5,IF(C1905&lt;=60,4,IF(C1905&lt;=120,3,IF(C1905&lt;=200,2,1))))</f>
        <v/>
      </c>
      <c r="G1905" s="124">
        <f>IF(D1905&gt;=20,5,IF(D1905&gt;=10,4,IF(D1905&gt;=5,3,IF(D1905&gt;=2,2,1))))</f>
        <v/>
      </c>
      <c r="H1905" s="124">
        <f>IF(E1905&gt;=5000,5,IF(E1905&gt;=2000,4,IF(E1905&gt;=800,3,IF(E1905&gt;=300,2,1))))</f>
        <v/>
      </c>
      <c r="I1905" s="122">
        <f>TEXT(F1905,"0")&amp;TEXT(G1905,"0")&amp;TEXT(H1905,"0")</f>
        <v/>
      </c>
      <c r="J1905" s="122">
        <f>IFERROR(XLOOKUP(I1905,'Segment Map'!A:A,'Segment Map'!B:B,"Need Attention"),"Need Attention")</f>
        <v/>
      </c>
      <c r="K1905" s="122">
        <f>IF(E1905&gt;=5000,"🏆 Platinum",IF(E1905&gt;=2000,"🥇 Gold",IF(E1905&gt;=800,"🥈 Silver","🥉 Bronze")))</f>
        <v/>
      </c>
      <c r="L1905" s="125" t="n">
        <v>40807</v>
      </c>
    </row>
    <row r="1906">
      <c r="A1906" s="126" t="n">
        <v>14952</v>
      </c>
      <c r="B1906" s="126" t="inlineStr">
        <is>
          <t>United Kingdom</t>
        </is>
      </c>
      <c r="C1906" s="126" t="n">
        <v>60</v>
      </c>
      <c r="D1906" s="126" t="n">
        <v>11</v>
      </c>
      <c r="E1906" s="127" t="n">
        <v>8099.49</v>
      </c>
      <c r="F1906" s="128">
        <f>IF(C1906&lt;=30,5,IF(C1906&lt;=60,4,IF(C1906&lt;=120,3,IF(C1906&lt;=200,2,1))))</f>
        <v/>
      </c>
      <c r="G1906" s="128">
        <f>IF(D1906&gt;=20,5,IF(D1906&gt;=10,4,IF(D1906&gt;=5,3,IF(D1906&gt;=2,2,1))))</f>
        <v/>
      </c>
      <c r="H1906" s="128">
        <f>IF(E1906&gt;=5000,5,IF(E1906&gt;=2000,4,IF(E1906&gt;=800,3,IF(E1906&gt;=300,2,1))))</f>
        <v/>
      </c>
      <c r="I1906" s="126">
        <f>TEXT(F1906,"0")&amp;TEXT(G1906,"0")&amp;TEXT(H1906,"0")</f>
        <v/>
      </c>
      <c r="J1906" s="126">
        <f>IFERROR(XLOOKUP(I1906,'Segment Map'!A:A,'Segment Map'!B:B,"Need Attention"),"Need Attention")</f>
        <v/>
      </c>
      <c r="K1906" s="126">
        <f>IF(E1906&gt;=5000,"🏆 Platinum",IF(E1906&gt;=2000,"🥇 Gold",IF(E1906&gt;=800,"🥈 Silver","🥉 Bronze")))</f>
        <v/>
      </c>
      <c r="L1906" s="129" t="n">
        <v>40827</v>
      </c>
    </row>
    <row r="1907">
      <c r="A1907" s="122" t="n">
        <v>14953</v>
      </c>
      <c r="B1907" s="122" t="inlineStr">
        <is>
          <t>United Kingdom</t>
        </is>
      </c>
      <c r="C1907" s="122" t="n">
        <v>26</v>
      </c>
      <c r="D1907" s="122" t="n">
        <v>1</v>
      </c>
      <c r="E1907" s="123" t="n">
        <v>289.82</v>
      </c>
      <c r="F1907" s="124">
        <f>IF(C1907&lt;=30,5,IF(C1907&lt;=60,4,IF(C1907&lt;=120,3,IF(C1907&lt;=200,2,1))))</f>
        <v/>
      </c>
      <c r="G1907" s="124">
        <f>IF(D1907&gt;=20,5,IF(D1907&gt;=10,4,IF(D1907&gt;=5,3,IF(D1907&gt;=2,2,1))))</f>
        <v/>
      </c>
      <c r="H1907" s="124">
        <f>IF(E1907&gt;=5000,5,IF(E1907&gt;=2000,4,IF(E1907&gt;=800,3,IF(E1907&gt;=300,2,1))))</f>
        <v/>
      </c>
      <c r="I1907" s="122">
        <f>TEXT(F1907,"0")&amp;TEXT(G1907,"0")&amp;TEXT(H1907,"0")</f>
        <v/>
      </c>
      <c r="J1907" s="122">
        <f>IFERROR(XLOOKUP(I1907,'Segment Map'!A:A,'Segment Map'!B:B,"Need Attention"),"Need Attention")</f>
        <v/>
      </c>
      <c r="K1907" s="122">
        <f>IF(E1907&gt;=5000,"🏆 Platinum",IF(E1907&gt;=2000,"🥇 Gold",IF(E1907&gt;=800,"🥈 Silver","🥉 Bronze")))</f>
        <v/>
      </c>
      <c r="L1907" s="125" t="n">
        <v>40861</v>
      </c>
    </row>
    <row r="1908">
      <c r="A1908" s="126" t="n">
        <v>14954</v>
      </c>
      <c r="B1908" s="126" t="inlineStr">
        <is>
          <t>United Kingdom</t>
        </is>
      </c>
      <c r="C1908" s="126" t="n">
        <v>13</v>
      </c>
      <c r="D1908" s="126" t="n">
        <v>1</v>
      </c>
      <c r="E1908" s="127" t="n">
        <v>336.17</v>
      </c>
      <c r="F1908" s="128">
        <f>IF(C1908&lt;=30,5,IF(C1908&lt;=60,4,IF(C1908&lt;=120,3,IF(C1908&lt;=200,2,1))))</f>
        <v/>
      </c>
      <c r="G1908" s="128">
        <f>IF(D1908&gt;=20,5,IF(D1908&gt;=10,4,IF(D1908&gt;=5,3,IF(D1908&gt;=2,2,1))))</f>
        <v/>
      </c>
      <c r="H1908" s="128">
        <f>IF(E1908&gt;=5000,5,IF(E1908&gt;=2000,4,IF(E1908&gt;=800,3,IF(E1908&gt;=300,2,1))))</f>
        <v/>
      </c>
      <c r="I1908" s="126">
        <f>TEXT(F1908,"0")&amp;TEXT(G1908,"0")&amp;TEXT(H1908,"0")</f>
        <v/>
      </c>
      <c r="J1908" s="126">
        <f>IFERROR(XLOOKUP(I1908,'Segment Map'!A:A,'Segment Map'!B:B,"Need Attention"),"Need Attention")</f>
        <v/>
      </c>
      <c r="K1908" s="126">
        <f>IF(E1908&gt;=5000,"🏆 Platinum",IF(E1908&gt;=2000,"🥇 Gold",IF(E1908&gt;=800,"🥈 Silver","🥉 Bronze")))</f>
        <v/>
      </c>
      <c r="L1908" s="129" t="n">
        <v>40874</v>
      </c>
    </row>
    <row r="1909">
      <c r="A1909" s="122" t="n">
        <v>14957</v>
      </c>
      <c r="B1909" s="122" t="inlineStr">
        <is>
          <t>United Kingdom</t>
        </is>
      </c>
      <c r="C1909" s="122" t="n">
        <v>254</v>
      </c>
      <c r="D1909" s="122" t="n">
        <v>1</v>
      </c>
      <c r="E1909" s="123" t="n">
        <v>58.49</v>
      </c>
      <c r="F1909" s="124">
        <f>IF(C1909&lt;=30,5,IF(C1909&lt;=60,4,IF(C1909&lt;=120,3,IF(C1909&lt;=200,2,1))))</f>
        <v/>
      </c>
      <c r="G1909" s="124">
        <f>IF(D1909&gt;=20,5,IF(D1909&gt;=10,4,IF(D1909&gt;=5,3,IF(D1909&gt;=2,2,1))))</f>
        <v/>
      </c>
      <c r="H1909" s="124">
        <f>IF(E1909&gt;=5000,5,IF(E1909&gt;=2000,4,IF(E1909&gt;=800,3,IF(E1909&gt;=300,2,1))))</f>
        <v/>
      </c>
      <c r="I1909" s="122">
        <f>TEXT(F1909,"0")&amp;TEXT(G1909,"0")&amp;TEXT(H1909,"0")</f>
        <v/>
      </c>
      <c r="J1909" s="122">
        <f>IFERROR(XLOOKUP(I1909,'Segment Map'!A:A,'Segment Map'!B:B,"Need Attention"),"Need Attention")</f>
        <v/>
      </c>
      <c r="K1909" s="122">
        <f>IF(E1909&gt;=5000,"🏆 Platinum",IF(E1909&gt;=2000,"🥇 Gold",IF(E1909&gt;=800,"🥈 Silver","🥉 Bronze")))</f>
        <v/>
      </c>
      <c r="L1909" s="125" t="n">
        <v>40633</v>
      </c>
    </row>
    <row r="1910">
      <c r="A1910" s="126" t="n">
        <v>14958</v>
      </c>
      <c r="B1910" s="126" t="inlineStr">
        <is>
          <t>United Kingdom</t>
        </is>
      </c>
      <c r="C1910" s="126" t="n">
        <v>148</v>
      </c>
      <c r="D1910" s="126" t="n">
        <v>3</v>
      </c>
      <c r="E1910" s="127" t="n">
        <v>499.68</v>
      </c>
      <c r="F1910" s="128">
        <f>IF(C1910&lt;=30,5,IF(C1910&lt;=60,4,IF(C1910&lt;=120,3,IF(C1910&lt;=200,2,1))))</f>
        <v/>
      </c>
      <c r="G1910" s="128">
        <f>IF(D1910&gt;=20,5,IF(D1910&gt;=10,4,IF(D1910&gt;=5,3,IF(D1910&gt;=2,2,1))))</f>
        <v/>
      </c>
      <c r="H1910" s="128">
        <f>IF(E1910&gt;=5000,5,IF(E1910&gt;=2000,4,IF(E1910&gt;=800,3,IF(E1910&gt;=300,2,1))))</f>
        <v/>
      </c>
      <c r="I1910" s="126">
        <f>TEXT(F1910,"0")&amp;TEXT(G1910,"0")&amp;TEXT(H1910,"0")</f>
        <v/>
      </c>
      <c r="J1910" s="126">
        <f>IFERROR(XLOOKUP(I1910,'Segment Map'!A:A,'Segment Map'!B:B,"Need Attention"),"Need Attention")</f>
        <v/>
      </c>
      <c r="K1910" s="126">
        <f>IF(E1910&gt;=5000,"🏆 Platinum",IF(E1910&gt;=2000,"🥇 Gold",IF(E1910&gt;=800,"🥈 Silver","🥉 Bronze")))</f>
        <v/>
      </c>
      <c r="L1910" s="129" t="n">
        <v>40739</v>
      </c>
    </row>
    <row r="1911">
      <c r="A1911" s="122" t="n">
        <v>14959</v>
      </c>
      <c r="B1911" s="122" t="inlineStr">
        <is>
          <t>United Kingdom</t>
        </is>
      </c>
      <c r="C1911" s="122" t="n">
        <v>65</v>
      </c>
      <c r="D1911" s="122" t="n">
        <v>4</v>
      </c>
      <c r="E1911" s="123" t="n">
        <v>695.42</v>
      </c>
      <c r="F1911" s="124">
        <f>IF(C1911&lt;=30,5,IF(C1911&lt;=60,4,IF(C1911&lt;=120,3,IF(C1911&lt;=200,2,1))))</f>
        <v/>
      </c>
      <c r="G1911" s="124">
        <f>IF(D1911&gt;=20,5,IF(D1911&gt;=10,4,IF(D1911&gt;=5,3,IF(D1911&gt;=2,2,1))))</f>
        <v/>
      </c>
      <c r="H1911" s="124">
        <f>IF(E1911&gt;=5000,5,IF(E1911&gt;=2000,4,IF(E1911&gt;=800,3,IF(E1911&gt;=300,2,1))))</f>
        <v/>
      </c>
      <c r="I1911" s="122">
        <f>TEXT(F1911,"0")&amp;TEXT(G1911,"0")&amp;TEXT(H1911,"0")</f>
        <v/>
      </c>
      <c r="J1911" s="122">
        <f>IFERROR(XLOOKUP(I1911,'Segment Map'!A:A,'Segment Map'!B:B,"Need Attention"),"Need Attention")</f>
        <v/>
      </c>
      <c r="K1911" s="122">
        <f>IF(E1911&gt;=5000,"🏆 Platinum",IF(E1911&gt;=2000,"🥇 Gold",IF(E1911&gt;=800,"🥈 Silver","🥉 Bronze")))</f>
        <v/>
      </c>
      <c r="L1911" s="125" t="n">
        <v>40822</v>
      </c>
    </row>
    <row r="1912">
      <c r="A1912" s="126" t="n">
        <v>14960</v>
      </c>
      <c r="B1912" s="126" t="inlineStr">
        <is>
          <t>United Kingdom</t>
        </is>
      </c>
      <c r="C1912" s="126" t="n">
        <v>9</v>
      </c>
      <c r="D1912" s="126" t="n">
        <v>2</v>
      </c>
      <c r="E1912" s="127" t="n">
        <v>221.27</v>
      </c>
      <c r="F1912" s="128">
        <f>IF(C1912&lt;=30,5,IF(C1912&lt;=60,4,IF(C1912&lt;=120,3,IF(C1912&lt;=200,2,1))))</f>
        <v/>
      </c>
      <c r="G1912" s="128">
        <f>IF(D1912&gt;=20,5,IF(D1912&gt;=10,4,IF(D1912&gt;=5,3,IF(D1912&gt;=2,2,1))))</f>
        <v/>
      </c>
      <c r="H1912" s="128">
        <f>IF(E1912&gt;=5000,5,IF(E1912&gt;=2000,4,IF(E1912&gt;=800,3,IF(E1912&gt;=300,2,1))))</f>
        <v/>
      </c>
      <c r="I1912" s="126">
        <f>TEXT(F1912,"0")&amp;TEXT(G1912,"0")&amp;TEXT(H1912,"0")</f>
        <v/>
      </c>
      <c r="J1912" s="126">
        <f>IFERROR(XLOOKUP(I1912,'Segment Map'!A:A,'Segment Map'!B:B,"Need Attention"),"Need Attention")</f>
        <v/>
      </c>
      <c r="K1912" s="126">
        <f>IF(E1912&gt;=5000,"🏆 Platinum",IF(E1912&gt;=2000,"🥇 Gold",IF(E1912&gt;=800,"🥈 Silver","🥉 Bronze")))</f>
        <v/>
      </c>
      <c r="L1912" s="129" t="n">
        <v>40878</v>
      </c>
    </row>
    <row r="1913">
      <c r="A1913" s="122" t="n">
        <v>14961</v>
      </c>
      <c r="B1913" s="122" t="inlineStr">
        <is>
          <t>United Kingdom</t>
        </is>
      </c>
      <c r="C1913" s="122" t="n">
        <v>11</v>
      </c>
      <c r="D1913" s="122" t="n">
        <v>9</v>
      </c>
      <c r="E1913" s="123" t="n">
        <v>7044.68</v>
      </c>
      <c r="F1913" s="124">
        <f>IF(C1913&lt;=30,5,IF(C1913&lt;=60,4,IF(C1913&lt;=120,3,IF(C1913&lt;=200,2,1))))</f>
        <v/>
      </c>
      <c r="G1913" s="124">
        <f>IF(D1913&gt;=20,5,IF(D1913&gt;=10,4,IF(D1913&gt;=5,3,IF(D1913&gt;=2,2,1))))</f>
        <v/>
      </c>
      <c r="H1913" s="124">
        <f>IF(E1913&gt;=5000,5,IF(E1913&gt;=2000,4,IF(E1913&gt;=800,3,IF(E1913&gt;=300,2,1))))</f>
        <v/>
      </c>
      <c r="I1913" s="122">
        <f>TEXT(F1913,"0")&amp;TEXT(G1913,"0")&amp;TEXT(H1913,"0")</f>
        <v/>
      </c>
      <c r="J1913" s="122">
        <f>IFERROR(XLOOKUP(I1913,'Segment Map'!A:A,'Segment Map'!B:B,"Need Attention"),"Need Attention")</f>
        <v/>
      </c>
      <c r="K1913" s="122">
        <f>IF(E1913&gt;=5000,"🏆 Platinum",IF(E1913&gt;=2000,"🥇 Gold",IF(E1913&gt;=800,"🥈 Silver","🥉 Bronze")))</f>
        <v/>
      </c>
      <c r="L1913" s="125" t="n">
        <v>40876</v>
      </c>
    </row>
    <row r="1914">
      <c r="A1914" s="126" t="n">
        <v>14962</v>
      </c>
      <c r="B1914" s="126" t="inlineStr">
        <is>
          <t>United Kingdom</t>
        </is>
      </c>
      <c r="C1914" s="126" t="n">
        <v>271</v>
      </c>
      <c r="D1914" s="126" t="n">
        <v>1</v>
      </c>
      <c r="E1914" s="127" t="n">
        <v>126.7</v>
      </c>
      <c r="F1914" s="128">
        <f>IF(C1914&lt;=30,5,IF(C1914&lt;=60,4,IF(C1914&lt;=120,3,IF(C1914&lt;=200,2,1))))</f>
        <v/>
      </c>
      <c r="G1914" s="128">
        <f>IF(D1914&gt;=20,5,IF(D1914&gt;=10,4,IF(D1914&gt;=5,3,IF(D1914&gt;=2,2,1))))</f>
        <v/>
      </c>
      <c r="H1914" s="128">
        <f>IF(E1914&gt;=5000,5,IF(E1914&gt;=2000,4,IF(E1914&gt;=800,3,IF(E1914&gt;=300,2,1))))</f>
        <v/>
      </c>
      <c r="I1914" s="126">
        <f>TEXT(F1914,"0")&amp;TEXT(G1914,"0")&amp;TEXT(H1914,"0")</f>
        <v/>
      </c>
      <c r="J1914" s="126">
        <f>IFERROR(XLOOKUP(I1914,'Segment Map'!A:A,'Segment Map'!B:B,"Need Attention"),"Need Attention")</f>
        <v/>
      </c>
      <c r="K1914" s="126">
        <f>IF(E1914&gt;=5000,"🏆 Platinum",IF(E1914&gt;=2000,"🥇 Gold",IF(E1914&gt;=800,"🥈 Silver","🥉 Bronze")))</f>
        <v/>
      </c>
      <c r="L1914" s="129" t="n">
        <v>40616</v>
      </c>
    </row>
    <row r="1915">
      <c r="A1915" s="122" t="n">
        <v>14963</v>
      </c>
      <c r="B1915" s="122" t="inlineStr">
        <is>
          <t>United Kingdom</t>
        </is>
      </c>
      <c r="C1915" s="122" t="n">
        <v>10</v>
      </c>
      <c r="D1915" s="122" t="n">
        <v>5</v>
      </c>
      <c r="E1915" s="123" t="n">
        <v>1487.8</v>
      </c>
      <c r="F1915" s="124">
        <f>IF(C1915&lt;=30,5,IF(C1915&lt;=60,4,IF(C1915&lt;=120,3,IF(C1915&lt;=200,2,1))))</f>
        <v/>
      </c>
      <c r="G1915" s="124">
        <f>IF(D1915&gt;=20,5,IF(D1915&gt;=10,4,IF(D1915&gt;=5,3,IF(D1915&gt;=2,2,1))))</f>
        <v/>
      </c>
      <c r="H1915" s="124">
        <f>IF(E1915&gt;=5000,5,IF(E1915&gt;=2000,4,IF(E1915&gt;=800,3,IF(E1915&gt;=300,2,1))))</f>
        <v/>
      </c>
      <c r="I1915" s="122">
        <f>TEXT(F1915,"0")&amp;TEXT(G1915,"0")&amp;TEXT(H1915,"0")</f>
        <v/>
      </c>
      <c r="J1915" s="122">
        <f>IFERROR(XLOOKUP(I1915,'Segment Map'!A:A,'Segment Map'!B:B,"Need Attention"),"Need Attention")</f>
        <v/>
      </c>
      <c r="K1915" s="122">
        <f>IF(E1915&gt;=5000,"🏆 Platinum",IF(E1915&gt;=2000,"🥇 Gold",IF(E1915&gt;=800,"🥈 Silver","🥉 Bronze")))</f>
        <v/>
      </c>
      <c r="L1915" s="125" t="n">
        <v>40877</v>
      </c>
    </row>
    <row r="1916">
      <c r="A1916" s="126" t="n">
        <v>14964</v>
      </c>
      <c r="B1916" s="126" t="inlineStr">
        <is>
          <t>United Kingdom</t>
        </is>
      </c>
      <c r="C1916" s="126" t="n">
        <v>248</v>
      </c>
      <c r="D1916" s="126" t="n">
        <v>1</v>
      </c>
      <c r="E1916" s="127" t="n">
        <v>206.21</v>
      </c>
      <c r="F1916" s="128">
        <f>IF(C1916&lt;=30,5,IF(C1916&lt;=60,4,IF(C1916&lt;=120,3,IF(C1916&lt;=200,2,1))))</f>
        <v/>
      </c>
      <c r="G1916" s="128">
        <f>IF(D1916&gt;=20,5,IF(D1916&gt;=10,4,IF(D1916&gt;=5,3,IF(D1916&gt;=2,2,1))))</f>
        <v/>
      </c>
      <c r="H1916" s="128">
        <f>IF(E1916&gt;=5000,5,IF(E1916&gt;=2000,4,IF(E1916&gt;=800,3,IF(E1916&gt;=300,2,1))))</f>
        <v/>
      </c>
      <c r="I1916" s="126">
        <f>TEXT(F1916,"0")&amp;TEXT(G1916,"0")&amp;TEXT(H1916,"0")</f>
        <v/>
      </c>
      <c r="J1916" s="126">
        <f>IFERROR(XLOOKUP(I1916,'Segment Map'!A:A,'Segment Map'!B:B,"Need Attention"),"Need Attention")</f>
        <v/>
      </c>
      <c r="K1916" s="126">
        <f>IF(E1916&gt;=5000,"🏆 Platinum",IF(E1916&gt;=2000,"🥇 Gold",IF(E1916&gt;=800,"🥈 Silver","🥉 Bronze")))</f>
        <v/>
      </c>
      <c r="L1916" s="129" t="n">
        <v>40639</v>
      </c>
    </row>
    <row r="1917">
      <c r="A1917" s="122" t="n">
        <v>14965</v>
      </c>
      <c r="B1917" s="122" t="inlineStr">
        <is>
          <t>United Kingdom</t>
        </is>
      </c>
      <c r="C1917" s="122" t="n">
        <v>97</v>
      </c>
      <c r="D1917" s="122" t="n">
        <v>2</v>
      </c>
      <c r="E1917" s="123" t="n">
        <v>599</v>
      </c>
      <c r="F1917" s="124">
        <f>IF(C1917&lt;=30,5,IF(C1917&lt;=60,4,IF(C1917&lt;=120,3,IF(C1917&lt;=200,2,1))))</f>
        <v/>
      </c>
      <c r="G1917" s="124">
        <f>IF(D1917&gt;=20,5,IF(D1917&gt;=10,4,IF(D1917&gt;=5,3,IF(D1917&gt;=2,2,1))))</f>
        <v/>
      </c>
      <c r="H1917" s="124">
        <f>IF(E1917&gt;=5000,5,IF(E1917&gt;=2000,4,IF(E1917&gt;=800,3,IF(E1917&gt;=300,2,1))))</f>
        <v/>
      </c>
      <c r="I1917" s="122">
        <f>TEXT(F1917,"0")&amp;TEXT(G1917,"0")&amp;TEXT(H1917,"0")</f>
        <v/>
      </c>
      <c r="J1917" s="122">
        <f>IFERROR(XLOOKUP(I1917,'Segment Map'!A:A,'Segment Map'!B:B,"Need Attention"),"Need Attention")</f>
        <v/>
      </c>
      <c r="K1917" s="122">
        <f>IF(E1917&gt;=5000,"🏆 Platinum",IF(E1917&gt;=2000,"🥇 Gold",IF(E1917&gt;=800,"🥈 Silver","🥉 Bronze")))</f>
        <v/>
      </c>
      <c r="L1917" s="125" t="n">
        <v>40790</v>
      </c>
    </row>
    <row r="1918">
      <c r="A1918" s="126" t="n">
        <v>14966</v>
      </c>
      <c r="B1918" s="126" t="inlineStr">
        <is>
          <t>United Kingdom</t>
        </is>
      </c>
      <c r="C1918" s="126" t="n">
        <v>15</v>
      </c>
      <c r="D1918" s="126" t="n">
        <v>1</v>
      </c>
      <c r="E1918" s="127" t="n">
        <v>191.32</v>
      </c>
      <c r="F1918" s="128">
        <f>IF(C1918&lt;=30,5,IF(C1918&lt;=60,4,IF(C1918&lt;=120,3,IF(C1918&lt;=200,2,1))))</f>
        <v/>
      </c>
      <c r="G1918" s="128">
        <f>IF(D1918&gt;=20,5,IF(D1918&gt;=10,4,IF(D1918&gt;=5,3,IF(D1918&gt;=2,2,1))))</f>
        <v/>
      </c>
      <c r="H1918" s="128">
        <f>IF(E1918&gt;=5000,5,IF(E1918&gt;=2000,4,IF(E1918&gt;=800,3,IF(E1918&gt;=300,2,1))))</f>
        <v/>
      </c>
      <c r="I1918" s="126">
        <f>TEXT(F1918,"0")&amp;TEXT(G1918,"0")&amp;TEXT(H1918,"0")</f>
        <v/>
      </c>
      <c r="J1918" s="126">
        <f>IFERROR(XLOOKUP(I1918,'Segment Map'!A:A,'Segment Map'!B:B,"Need Attention"),"Need Attention")</f>
        <v/>
      </c>
      <c r="K1918" s="126">
        <f>IF(E1918&gt;=5000,"🏆 Platinum",IF(E1918&gt;=2000,"🥇 Gold",IF(E1918&gt;=800,"🥈 Silver","🥉 Bronze")))</f>
        <v/>
      </c>
      <c r="L1918" s="129" t="n">
        <v>40872</v>
      </c>
    </row>
    <row r="1919">
      <c r="A1919" s="122" t="n">
        <v>14967</v>
      </c>
      <c r="B1919" s="122" t="inlineStr">
        <is>
          <t>United Kingdom</t>
        </is>
      </c>
      <c r="C1919" s="122" t="n">
        <v>50</v>
      </c>
      <c r="D1919" s="122" t="n">
        <v>1</v>
      </c>
      <c r="E1919" s="123" t="n">
        <v>463.8</v>
      </c>
      <c r="F1919" s="124">
        <f>IF(C1919&lt;=30,5,IF(C1919&lt;=60,4,IF(C1919&lt;=120,3,IF(C1919&lt;=200,2,1))))</f>
        <v/>
      </c>
      <c r="G1919" s="124">
        <f>IF(D1919&gt;=20,5,IF(D1919&gt;=10,4,IF(D1919&gt;=5,3,IF(D1919&gt;=2,2,1))))</f>
        <v/>
      </c>
      <c r="H1919" s="124">
        <f>IF(E1919&gt;=5000,5,IF(E1919&gt;=2000,4,IF(E1919&gt;=800,3,IF(E1919&gt;=300,2,1))))</f>
        <v/>
      </c>
      <c r="I1919" s="122">
        <f>TEXT(F1919,"0")&amp;TEXT(G1919,"0")&amp;TEXT(H1919,"0")</f>
        <v/>
      </c>
      <c r="J1919" s="122">
        <f>IFERROR(XLOOKUP(I1919,'Segment Map'!A:A,'Segment Map'!B:B,"Need Attention"),"Need Attention")</f>
        <v/>
      </c>
      <c r="K1919" s="122">
        <f>IF(E1919&gt;=5000,"🏆 Platinum",IF(E1919&gt;=2000,"🥇 Gold",IF(E1919&gt;=800,"🥈 Silver","🥉 Bronze")))</f>
        <v/>
      </c>
      <c r="L1919" s="125" t="n">
        <v>40837</v>
      </c>
    </row>
    <row r="1920">
      <c r="A1920" s="126" t="n">
        <v>14968</v>
      </c>
      <c r="B1920" s="126" t="inlineStr">
        <is>
          <t>United Kingdom</t>
        </is>
      </c>
      <c r="C1920" s="126" t="n">
        <v>31</v>
      </c>
      <c r="D1920" s="126" t="n">
        <v>1</v>
      </c>
      <c r="E1920" s="127" t="n">
        <v>147.59</v>
      </c>
      <c r="F1920" s="128">
        <f>IF(C1920&lt;=30,5,IF(C1920&lt;=60,4,IF(C1920&lt;=120,3,IF(C1920&lt;=200,2,1))))</f>
        <v/>
      </c>
      <c r="G1920" s="128">
        <f>IF(D1920&gt;=20,5,IF(D1920&gt;=10,4,IF(D1920&gt;=5,3,IF(D1920&gt;=2,2,1))))</f>
        <v/>
      </c>
      <c r="H1920" s="128">
        <f>IF(E1920&gt;=5000,5,IF(E1920&gt;=2000,4,IF(E1920&gt;=800,3,IF(E1920&gt;=300,2,1))))</f>
        <v/>
      </c>
      <c r="I1920" s="126">
        <f>TEXT(F1920,"0")&amp;TEXT(G1920,"0")&amp;TEXT(H1920,"0")</f>
        <v/>
      </c>
      <c r="J1920" s="126">
        <f>IFERROR(XLOOKUP(I1920,'Segment Map'!A:A,'Segment Map'!B:B,"Need Attention"),"Need Attention")</f>
        <v/>
      </c>
      <c r="K1920" s="126">
        <f>IF(E1920&gt;=5000,"🏆 Platinum",IF(E1920&gt;=2000,"🥇 Gold",IF(E1920&gt;=800,"🥈 Silver","🥉 Bronze")))</f>
        <v/>
      </c>
      <c r="L1920" s="129" t="n">
        <v>40856</v>
      </c>
    </row>
    <row r="1921">
      <c r="A1921" s="122" t="n">
        <v>14970</v>
      </c>
      <c r="B1921" s="122" t="inlineStr">
        <is>
          <t>United Kingdom</t>
        </is>
      </c>
      <c r="C1921" s="122" t="n">
        <v>69</v>
      </c>
      <c r="D1921" s="122" t="n">
        <v>4</v>
      </c>
      <c r="E1921" s="123" t="n">
        <v>1592.06</v>
      </c>
      <c r="F1921" s="124">
        <f>IF(C1921&lt;=30,5,IF(C1921&lt;=60,4,IF(C1921&lt;=120,3,IF(C1921&lt;=200,2,1))))</f>
        <v/>
      </c>
      <c r="G1921" s="124">
        <f>IF(D1921&gt;=20,5,IF(D1921&gt;=10,4,IF(D1921&gt;=5,3,IF(D1921&gt;=2,2,1))))</f>
        <v/>
      </c>
      <c r="H1921" s="124">
        <f>IF(E1921&gt;=5000,5,IF(E1921&gt;=2000,4,IF(E1921&gt;=800,3,IF(E1921&gt;=300,2,1))))</f>
        <v/>
      </c>
      <c r="I1921" s="122">
        <f>TEXT(F1921,"0")&amp;TEXT(G1921,"0")&amp;TEXT(H1921,"0")</f>
        <v/>
      </c>
      <c r="J1921" s="122">
        <f>IFERROR(XLOOKUP(I1921,'Segment Map'!A:A,'Segment Map'!B:B,"Need Attention"),"Need Attention")</f>
        <v/>
      </c>
      <c r="K1921" s="122">
        <f>IF(E1921&gt;=5000,"🏆 Platinum",IF(E1921&gt;=2000,"🥇 Gold",IF(E1921&gt;=800,"🥈 Silver","🥉 Bronze")))</f>
        <v/>
      </c>
      <c r="L1921" s="125" t="n">
        <v>40818</v>
      </c>
    </row>
    <row r="1922">
      <c r="A1922" s="126" t="n">
        <v>14971</v>
      </c>
      <c r="B1922" s="126" t="inlineStr">
        <is>
          <t>United Kingdom</t>
        </is>
      </c>
      <c r="C1922" s="126" t="n">
        <v>36</v>
      </c>
      <c r="D1922" s="126" t="n">
        <v>3</v>
      </c>
      <c r="E1922" s="127" t="n">
        <v>1116.57</v>
      </c>
      <c r="F1922" s="128">
        <f>IF(C1922&lt;=30,5,IF(C1922&lt;=60,4,IF(C1922&lt;=120,3,IF(C1922&lt;=200,2,1))))</f>
        <v/>
      </c>
      <c r="G1922" s="128">
        <f>IF(D1922&gt;=20,5,IF(D1922&gt;=10,4,IF(D1922&gt;=5,3,IF(D1922&gt;=2,2,1))))</f>
        <v/>
      </c>
      <c r="H1922" s="128">
        <f>IF(E1922&gt;=5000,5,IF(E1922&gt;=2000,4,IF(E1922&gt;=800,3,IF(E1922&gt;=300,2,1))))</f>
        <v/>
      </c>
      <c r="I1922" s="126">
        <f>TEXT(F1922,"0")&amp;TEXT(G1922,"0")&amp;TEXT(H1922,"0")</f>
        <v/>
      </c>
      <c r="J1922" s="126">
        <f>IFERROR(XLOOKUP(I1922,'Segment Map'!A:A,'Segment Map'!B:B,"Need Attention"),"Need Attention")</f>
        <v/>
      </c>
      <c r="K1922" s="126">
        <f>IF(E1922&gt;=5000,"🏆 Platinum",IF(E1922&gt;=2000,"🥇 Gold",IF(E1922&gt;=800,"🥈 Silver","🥉 Bronze")))</f>
        <v/>
      </c>
      <c r="L1922" s="129" t="n">
        <v>40851</v>
      </c>
    </row>
    <row r="1923">
      <c r="A1923" s="122" t="n">
        <v>14972</v>
      </c>
      <c r="B1923" s="122" t="inlineStr">
        <is>
          <t>United Kingdom</t>
        </is>
      </c>
      <c r="C1923" s="122" t="n">
        <v>129</v>
      </c>
      <c r="D1923" s="122" t="n">
        <v>1</v>
      </c>
      <c r="E1923" s="123" t="n">
        <v>114.77</v>
      </c>
      <c r="F1923" s="124">
        <f>IF(C1923&lt;=30,5,IF(C1923&lt;=60,4,IF(C1923&lt;=120,3,IF(C1923&lt;=200,2,1))))</f>
        <v/>
      </c>
      <c r="G1923" s="124">
        <f>IF(D1923&gt;=20,5,IF(D1923&gt;=10,4,IF(D1923&gt;=5,3,IF(D1923&gt;=2,2,1))))</f>
        <v/>
      </c>
      <c r="H1923" s="124">
        <f>IF(E1923&gt;=5000,5,IF(E1923&gt;=2000,4,IF(E1923&gt;=800,3,IF(E1923&gt;=300,2,1))))</f>
        <v/>
      </c>
      <c r="I1923" s="122">
        <f>TEXT(F1923,"0")&amp;TEXT(G1923,"0")&amp;TEXT(H1923,"0")</f>
        <v/>
      </c>
      <c r="J1923" s="122">
        <f>IFERROR(XLOOKUP(I1923,'Segment Map'!A:A,'Segment Map'!B:B,"Need Attention"),"Need Attention")</f>
        <v/>
      </c>
      <c r="K1923" s="122">
        <f>IF(E1923&gt;=5000,"🏆 Platinum",IF(E1923&gt;=2000,"🥇 Gold",IF(E1923&gt;=800,"🥈 Silver","🥉 Bronze")))</f>
        <v/>
      </c>
      <c r="L1923" s="125" t="n">
        <v>40758</v>
      </c>
    </row>
    <row r="1924">
      <c r="A1924" s="126" t="n">
        <v>14973</v>
      </c>
      <c r="B1924" s="126" t="inlineStr">
        <is>
          <t>United Kingdom</t>
        </is>
      </c>
      <c r="C1924" s="126" t="n">
        <v>108</v>
      </c>
      <c r="D1924" s="126" t="n">
        <v>3</v>
      </c>
      <c r="E1924" s="127" t="n">
        <v>1314.45</v>
      </c>
      <c r="F1924" s="128">
        <f>IF(C1924&lt;=30,5,IF(C1924&lt;=60,4,IF(C1924&lt;=120,3,IF(C1924&lt;=200,2,1))))</f>
        <v/>
      </c>
      <c r="G1924" s="128">
        <f>IF(D1924&gt;=20,5,IF(D1924&gt;=10,4,IF(D1924&gt;=5,3,IF(D1924&gt;=2,2,1))))</f>
        <v/>
      </c>
      <c r="H1924" s="128">
        <f>IF(E1924&gt;=5000,5,IF(E1924&gt;=2000,4,IF(E1924&gt;=800,3,IF(E1924&gt;=300,2,1))))</f>
        <v/>
      </c>
      <c r="I1924" s="126">
        <f>TEXT(F1924,"0")&amp;TEXT(G1924,"0")&amp;TEXT(H1924,"0")</f>
        <v/>
      </c>
      <c r="J1924" s="126">
        <f>IFERROR(XLOOKUP(I1924,'Segment Map'!A:A,'Segment Map'!B:B,"Need Attention"),"Need Attention")</f>
        <v/>
      </c>
      <c r="K1924" s="126">
        <f>IF(E1924&gt;=5000,"🏆 Platinum",IF(E1924&gt;=2000,"🥇 Gold",IF(E1924&gt;=800,"🥈 Silver","🥉 Bronze")))</f>
        <v/>
      </c>
      <c r="L1924" s="129" t="n">
        <v>40779</v>
      </c>
    </row>
    <row r="1925">
      <c r="A1925" s="122" t="n">
        <v>14974</v>
      </c>
      <c r="B1925" s="122" t="inlineStr">
        <is>
          <t>United Kingdom</t>
        </is>
      </c>
      <c r="C1925" s="122" t="n">
        <v>38</v>
      </c>
      <c r="D1925" s="122" t="n">
        <v>1</v>
      </c>
      <c r="E1925" s="123" t="n">
        <v>114.39</v>
      </c>
      <c r="F1925" s="124">
        <f>IF(C1925&lt;=30,5,IF(C1925&lt;=60,4,IF(C1925&lt;=120,3,IF(C1925&lt;=200,2,1))))</f>
        <v/>
      </c>
      <c r="G1925" s="124">
        <f>IF(D1925&gt;=20,5,IF(D1925&gt;=10,4,IF(D1925&gt;=5,3,IF(D1925&gt;=2,2,1))))</f>
        <v/>
      </c>
      <c r="H1925" s="124">
        <f>IF(E1925&gt;=5000,5,IF(E1925&gt;=2000,4,IF(E1925&gt;=800,3,IF(E1925&gt;=300,2,1))))</f>
        <v/>
      </c>
      <c r="I1925" s="122">
        <f>TEXT(F1925,"0")&amp;TEXT(G1925,"0")&amp;TEXT(H1925,"0")</f>
        <v/>
      </c>
      <c r="J1925" s="122">
        <f>IFERROR(XLOOKUP(I1925,'Segment Map'!A:A,'Segment Map'!B:B,"Need Attention"),"Need Attention")</f>
        <v/>
      </c>
      <c r="K1925" s="122">
        <f>IF(E1925&gt;=5000,"🏆 Platinum",IF(E1925&gt;=2000,"🥇 Gold",IF(E1925&gt;=800,"🥈 Silver","🥉 Bronze")))</f>
        <v/>
      </c>
      <c r="L1925" s="125" t="n">
        <v>40849</v>
      </c>
    </row>
    <row r="1926">
      <c r="A1926" s="126" t="n">
        <v>14975</v>
      </c>
      <c r="B1926" s="126" t="inlineStr">
        <is>
          <t>United Kingdom</t>
        </is>
      </c>
      <c r="C1926" s="126" t="n">
        <v>58</v>
      </c>
      <c r="D1926" s="126" t="n">
        <v>1</v>
      </c>
      <c r="E1926" s="127" t="n">
        <v>279.94</v>
      </c>
      <c r="F1926" s="128">
        <f>IF(C1926&lt;=30,5,IF(C1926&lt;=60,4,IF(C1926&lt;=120,3,IF(C1926&lt;=200,2,1))))</f>
        <v/>
      </c>
      <c r="G1926" s="128">
        <f>IF(D1926&gt;=20,5,IF(D1926&gt;=10,4,IF(D1926&gt;=5,3,IF(D1926&gt;=2,2,1))))</f>
        <v/>
      </c>
      <c r="H1926" s="128">
        <f>IF(E1926&gt;=5000,5,IF(E1926&gt;=2000,4,IF(E1926&gt;=800,3,IF(E1926&gt;=300,2,1))))</f>
        <v/>
      </c>
      <c r="I1926" s="126">
        <f>TEXT(F1926,"0")&amp;TEXT(G1926,"0")&amp;TEXT(H1926,"0")</f>
        <v/>
      </c>
      <c r="J1926" s="126">
        <f>IFERROR(XLOOKUP(I1926,'Segment Map'!A:A,'Segment Map'!B:B,"Need Attention"),"Need Attention")</f>
        <v/>
      </c>
      <c r="K1926" s="126">
        <f>IF(E1926&gt;=5000,"🏆 Platinum",IF(E1926&gt;=2000,"🥇 Gold",IF(E1926&gt;=800,"🥈 Silver","🥉 Bronze")))</f>
        <v/>
      </c>
      <c r="L1926" s="129" t="n">
        <v>40829</v>
      </c>
    </row>
    <row r="1927">
      <c r="A1927" s="122" t="n">
        <v>14976</v>
      </c>
      <c r="B1927" s="122" t="inlineStr">
        <is>
          <t>United Kingdom</t>
        </is>
      </c>
      <c r="C1927" s="122" t="n">
        <v>58</v>
      </c>
      <c r="D1927" s="122" t="n">
        <v>7</v>
      </c>
      <c r="E1927" s="123" t="n">
        <v>790.86</v>
      </c>
      <c r="F1927" s="124">
        <f>IF(C1927&lt;=30,5,IF(C1927&lt;=60,4,IF(C1927&lt;=120,3,IF(C1927&lt;=200,2,1))))</f>
        <v/>
      </c>
      <c r="G1927" s="124">
        <f>IF(D1927&gt;=20,5,IF(D1927&gt;=10,4,IF(D1927&gt;=5,3,IF(D1927&gt;=2,2,1))))</f>
        <v/>
      </c>
      <c r="H1927" s="124">
        <f>IF(E1927&gt;=5000,5,IF(E1927&gt;=2000,4,IF(E1927&gt;=800,3,IF(E1927&gt;=300,2,1))))</f>
        <v/>
      </c>
      <c r="I1927" s="122">
        <f>TEXT(F1927,"0")&amp;TEXT(G1927,"0")&amp;TEXT(H1927,"0")</f>
        <v/>
      </c>
      <c r="J1927" s="122">
        <f>IFERROR(XLOOKUP(I1927,'Segment Map'!A:A,'Segment Map'!B:B,"Need Attention"),"Need Attention")</f>
        <v/>
      </c>
      <c r="K1927" s="122">
        <f>IF(E1927&gt;=5000,"🏆 Platinum",IF(E1927&gt;=2000,"🥇 Gold",IF(E1927&gt;=800,"🥈 Silver","🥉 Bronze")))</f>
        <v/>
      </c>
      <c r="L1927" s="125" t="n">
        <v>40829</v>
      </c>
    </row>
    <row r="1928">
      <c r="A1928" s="126" t="n">
        <v>14978</v>
      </c>
      <c r="B1928" s="126" t="inlineStr">
        <is>
          <t>United Kingdom</t>
        </is>
      </c>
      <c r="C1928" s="126" t="n">
        <v>73</v>
      </c>
      <c r="D1928" s="126" t="n">
        <v>5</v>
      </c>
      <c r="E1928" s="127" t="n">
        <v>1931.42</v>
      </c>
      <c r="F1928" s="128">
        <f>IF(C1928&lt;=30,5,IF(C1928&lt;=60,4,IF(C1928&lt;=120,3,IF(C1928&lt;=200,2,1))))</f>
        <v/>
      </c>
      <c r="G1928" s="128">
        <f>IF(D1928&gt;=20,5,IF(D1928&gt;=10,4,IF(D1928&gt;=5,3,IF(D1928&gt;=2,2,1))))</f>
        <v/>
      </c>
      <c r="H1928" s="128">
        <f>IF(E1928&gt;=5000,5,IF(E1928&gt;=2000,4,IF(E1928&gt;=800,3,IF(E1928&gt;=300,2,1))))</f>
        <v/>
      </c>
      <c r="I1928" s="126">
        <f>TEXT(F1928,"0")&amp;TEXT(G1928,"0")&amp;TEXT(H1928,"0")</f>
        <v/>
      </c>
      <c r="J1928" s="126">
        <f>IFERROR(XLOOKUP(I1928,'Segment Map'!A:A,'Segment Map'!B:B,"Need Attention"),"Need Attention")</f>
        <v/>
      </c>
      <c r="K1928" s="126">
        <f>IF(E1928&gt;=5000,"🏆 Platinum",IF(E1928&gt;=2000,"🥇 Gold",IF(E1928&gt;=800,"🥈 Silver","🥉 Bronze")))</f>
        <v/>
      </c>
      <c r="L1928" s="129" t="n">
        <v>40814</v>
      </c>
    </row>
    <row r="1929">
      <c r="A1929" s="122" t="n">
        <v>14981</v>
      </c>
      <c r="B1929" s="122" t="inlineStr">
        <is>
          <t>United Kingdom</t>
        </is>
      </c>
      <c r="C1929" s="122" t="n">
        <v>247</v>
      </c>
      <c r="D1929" s="122" t="n">
        <v>1</v>
      </c>
      <c r="E1929" s="123" t="n">
        <v>102.12</v>
      </c>
      <c r="F1929" s="124">
        <f>IF(C1929&lt;=30,5,IF(C1929&lt;=60,4,IF(C1929&lt;=120,3,IF(C1929&lt;=200,2,1))))</f>
        <v/>
      </c>
      <c r="G1929" s="124">
        <f>IF(D1929&gt;=20,5,IF(D1929&gt;=10,4,IF(D1929&gt;=5,3,IF(D1929&gt;=2,2,1))))</f>
        <v/>
      </c>
      <c r="H1929" s="124">
        <f>IF(E1929&gt;=5000,5,IF(E1929&gt;=2000,4,IF(E1929&gt;=800,3,IF(E1929&gt;=300,2,1))))</f>
        <v/>
      </c>
      <c r="I1929" s="122">
        <f>TEXT(F1929,"0")&amp;TEXT(G1929,"0")&amp;TEXT(H1929,"0")</f>
        <v/>
      </c>
      <c r="J1929" s="122">
        <f>IFERROR(XLOOKUP(I1929,'Segment Map'!A:A,'Segment Map'!B:B,"Need Attention"),"Need Attention")</f>
        <v/>
      </c>
      <c r="K1929" s="122">
        <f>IF(E1929&gt;=5000,"🏆 Platinum",IF(E1929&gt;=2000,"🥇 Gold",IF(E1929&gt;=800,"🥈 Silver","🥉 Bronze")))</f>
        <v/>
      </c>
      <c r="L1929" s="125" t="n">
        <v>40640</v>
      </c>
    </row>
    <row r="1930">
      <c r="A1930" s="126" t="n">
        <v>14984</v>
      </c>
      <c r="B1930" s="126" t="inlineStr">
        <is>
          <t>United Kingdom</t>
        </is>
      </c>
      <c r="C1930" s="126" t="n">
        <v>20</v>
      </c>
      <c r="D1930" s="126" t="n">
        <v>2</v>
      </c>
      <c r="E1930" s="127" t="n">
        <v>213.27</v>
      </c>
      <c r="F1930" s="128">
        <f>IF(C1930&lt;=30,5,IF(C1930&lt;=60,4,IF(C1930&lt;=120,3,IF(C1930&lt;=200,2,1))))</f>
        <v/>
      </c>
      <c r="G1930" s="128">
        <f>IF(D1930&gt;=20,5,IF(D1930&gt;=10,4,IF(D1930&gt;=5,3,IF(D1930&gt;=2,2,1))))</f>
        <v/>
      </c>
      <c r="H1930" s="128">
        <f>IF(E1930&gt;=5000,5,IF(E1930&gt;=2000,4,IF(E1930&gt;=800,3,IF(E1930&gt;=300,2,1))))</f>
        <v/>
      </c>
      <c r="I1930" s="126">
        <f>TEXT(F1930,"0")&amp;TEXT(G1930,"0")&amp;TEXT(H1930,"0")</f>
        <v/>
      </c>
      <c r="J1930" s="126">
        <f>IFERROR(XLOOKUP(I1930,'Segment Map'!A:A,'Segment Map'!B:B,"Need Attention"),"Need Attention")</f>
        <v/>
      </c>
      <c r="K1930" s="126">
        <f>IF(E1930&gt;=5000,"🏆 Platinum",IF(E1930&gt;=2000,"🥇 Gold",IF(E1930&gt;=800,"🥈 Silver","🥉 Bronze")))</f>
        <v/>
      </c>
      <c r="L1930" s="129" t="n">
        <v>40867</v>
      </c>
    </row>
    <row r="1931">
      <c r="A1931" s="122" t="n">
        <v>14985</v>
      </c>
      <c r="B1931" s="122" t="inlineStr">
        <is>
          <t>United Kingdom</t>
        </is>
      </c>
      <c r="C1931" s="122" t="n">
        <v>199</v>
      </c>
      <c r="D1931" s="122" t="n">
        <v>2</v>
      </c>
      <c r="E1931" s="123" t="n">
        <v>296.75</v>
      </c>
      <c r="F1931" s="124">
        <f>IF(C1931&lt;=30,5,IF(C1931&lt;=60,4,IF(C1931&lt;=120,3,IF(C1931&lt;=200,2,1))))</f>
        <v/>
      </c>
      <c r="G1931" s="124">
        <f>IF(D1931&gt;=20,5,IF(D1931&gt;=10,4,IF(D1931&gt;=5,3,IF(D1931&gt;=2,2,1))))</f>
        <v/>
      </c>
      <c r="H1931" s="124">
        <f>IF(E1931&gt;=5000,5,IF(E1931&gt;=2000,4,IF(E1931&gt;=800,3,IF(E1931&gt;=300,2,1))))</f>
        <v/>
      </c>
      <c r="I1931" s="122">
        <f>TEXT(F1931,"0")&amp;TEXT(G1931,"0")&amp;TEXT(H1931,"0")</f>
        <v/>
      </c>
      <c r="J1931" s="122">
        <f>IFERROR(XLOOKUP(I1931,'Segment Map'!A:A,'Segment Map'!B:B,"Need Attention"),"Need Attention")</f>
        <v/>
      </c>
      <c r="K1931" s="122">
        <f>IF(E1931&gt;=5000,"🏆 Platinum",IF(E1931&gt;=2000,"🥇 Gold",IF(E1931&gt;=800,"🥈 Silver","🥉 Bronze")))</f>
        <v/>
      </c>
      <c r="L1931" s="125" t="n">
        <v>40688</v>
      </c>
    </row>
    <row r="1932">
      <c r="A1932" s="126" t="n">
        <v>14987</v>
      </c>
      <c r="B1932" s="126" t="inlineStr">
        <is>
          <t>United Kingdom</t>
        </is>
      </c>
      <c r="C1932" s="126" t="n">
        <v>16</v>
      </c>
      <c r="D1932" s="126" t="n">
        <v>2</v>
      </c>
      <c r="E1932" s="127" t="n">
        <v>326.4</v>
      </c>
      <c r="F1932" s="128">
        <f>IF(C1932&lt;=30,5,IF(C1932&lt;=60,4,IF(C1932&lt;=120,3,IF(C1932&lt;=200,2,1))))</f>
        <v/>
      </c>
      <c r="G1932" s="128">
        <f>IF(D1932&gt;=20,5,IF(D1932&gt;=10,4,IF(D1932&gt;=5,3,IF(D1932&gt;=2,2,1))))</f>
        <v/>
      </c>
      <c r="H1932" s="128">
        <f>IF(E1932&gt;=5000,5,IF(E1932&gt;=2000,4,IF(E1932&gt;=800,3,IF(E1932&gt;=300,2,1))))</f>
        <v/>
      </c>
      <c r="I1932" s="126">
        <f>TEXT(F1932,"0")&amp;TEXT(G1932,"0")&amp;TEXT(H1932,"0")</f>
        <v/>
      </c>
      <c r="J1932" s="126">
        <f>IFERROR(XLOOKUP(I1932,'Segment Map'!A:A,'Segment Map'!B:B,"Need Attention"),"Need Attention")</f>
        <v/>
      </c>
      <c r="K1932" s="126">
        <f>IF(E1932&gt;=5000,"🏆 Platinum",IF(E1932&gt;=2000,"🥇 Gold",IF(E1932&gt;=800,"🥈 Silver","🥉 Bronze")))</f>
        <v/>
      </c>
      <c r="L1932" s="129" t="n">
        <v>40871</v>
      </c>
    </row>
    <row r="1933">
      <c r="A1933" s="122" t="n">
        <v>14988</v>
      </c>
      <c r="B1933" s="122" t="inlineStr">
        <is>
          <t>United Kingdom</t>
        </is>
      </c>
      <c r="C1933" s="122" t="n">
        <v>212</v>
      </c>
      <c r="D1933" s="122" t="n">
        <v>1</v>
      </c>
      <c r="E1933" s="123" t="n">
        <v>334.54</v>
      </c>
      <c r="F1933" s="124">
        <f>IF(C1933&lt;=30,5,IF(C1933&lt;=60,4,IF(C1933&lt;=120,3,IF(C1933&lt;=200,2,1))))</f>
        <v/>
      </c>
      <c r="G1933" s="124">
        <f>IF(D1933&gt;=20,5,IF(D1933&gt;=10,4,IF(D1933&gt;=5,3,IF(D1933&gt;=2,2,1))))</f>
        <v/>
      </c>
      <c r="H1933" s="124">
        <f>IF(E1933&gt;=5000,5,IF(E1933&gt;=2000,4,IF(E1933&gt;=800,3,IF(E1933&gt;=300,2,1))))</f>
        <v/>
      </c>
      <c r="I1933" s="122">
        <f>TEXT(F1933,"0")&amp;TEXT(G1933,"0")&amp;TEXT(H1933,"0")</f>
        <v/>
      </c>
      <c r="J1933" s="122">
        <f>IFERROR(XLOOKUP(I1933,'Segment Map'!A:A,'Segment Map'!B:B,"Need Attention"),"Need Attention")</f>
        <v/>
      </c>
      <c r="K1933" s="122">
        <f>IF(E1933&gt;=5000,"🏆 Platinum",IF(E1933&gt;=2000,"🥇 Gold",IF(E1933&gt;=800,"🥈 Silver","🥉 Bronze")))</f>
        <v/>
      </c>
      <c r="L1933" s="125" t="n">
        <v>40675</v>
      </c>
    </row>
    <row r="1934">
      <c r="A1934" s="126" t="n">
        <v>14995</v>
      </c>
      <c r="B1934" s="126" t="inlineStr">
        <is>
          <t>United Kingdom</t>
        </is>
      </c>
      <c r="C1934" s="126" t="n">
        <v>39</v>
      </c>
      <c r="D1934" s="126" t="n">
        <v>2</v>
      </c>
      <c r="E1934" s="127" t="n">
        <v>233.23</v>
      </c>
      <c r="F1934" s="128">
        <f>IF(C1934&lt;=30,5,IF(C1934&lt;=60,4,IF(C1934&lt;=120,3,IF(C1934&lt;=200,2,1))))</f>
        <v/>
      </c>
      <c r="G1934" s="128">
        <f>IF(D1934&gt;=20,5,IF(D1934&gt;=10,4,IF(D1934&gt;=5,3,IF(D1934&gt;=2,2,1))))</f>
        <v/>
      </c>
      <c r="H1934" s="128">
        <f>IF(E1934&gt;=5000,5,IF(E1934&gt;=2000,4,IF(E1934&gt;=800,3,IF(E1934&gt;=300,2,1))))</f>
        <v/>
      </c>
      <c r="I1934" s="126">
        <f>TEXT(F1934,"0")&amp;TEXT(G1934,"0")&amp;TEXT(H1934,"0")</f>
        <v/>
      </c>
      <c r="J1934" s="126">
        <f>IFERROR(XLOOKUP(I1934,'Segment Map'!A:A,'Segment Map'!B:B,"Need Attention"),"Need Attention")</f>
        <v/>
      </c>
      <c r="K1934" s="126">
        <f>IF(E1934&gt;=5000,"🏆 Platinum",IF(E1934&gt;=2000,"🥇 Gold",IF(E1934&gt;=800,"🥈 Silver","🥉 Bronze")))</f>
        <v/>
      </c>
      <c r="L1934" s="129" t="n">
        <v>40848</v>
      </c>
    </row>
    <row r="1935">
      <c r="A1935" s="122" t="n">
        <v>14997</v>
      </c>
      <c r="B1935" s="122" t="inlineStr">
        <is>
          <t>United Kingdom</t>
        </is>
      </c>
      <c r="C1935" s="122" t="n">
        <v>47</v>
      </c>
      <c r="D1935" s="122" t="n">
        <v>3</v>
      </c>
      <c r="E1935" s="123" t="n">
        <v>546.2</v>
      </c>
      <c r="F1935" s="124">
        <f>IF(C1935&lt;=30,5,IF(C1935&lt;=60,4,IF(C1935&lt;=120,3,IF(C1935&lt;=200,2,1))))</f>
        <v/>
      </c>
      <c r="G1935" s="124">
        <f>IF(D1935&gt;=20,5,IF(D1935&gt;=10,4,IF(D1935&gt;=5,3,IF(D1935&gt;=2,2,1))))</f>
        <v/>
      </c>
      <c r="H1935" s="124">
        <f>IF(E1935&gt;=5000,5,IF(E1935&gt;=2000,4,IF(E1935&gt;=800,3,IF(E1935&gt;=300,2,1))))</f>
        <v/>
      </c>
      <c r="I1935" s="122">
        <f>TEXT(F1935,"0")&amp;TEXT(G1935,"0")&amp;TEXT(H1935,"0")</f>
        <v/>
      </c>
      <c r="J1935" s="122">
        <f>IFERROR(XLOOKUP(I1935,'Segment Map'!A:A,'Segment Map'!B:B,"Need Attention"),"Need Attention")</f>
        <v/>
      </c>
      <c r="K1935" s="122">
        <f>IF(E1935&gt;=5000,"🏆 Platinum",IF(E1935&gt;=2000,"🥇 Gold",IF(E1935&gt;=800,"🥈 Silver","🥉 Bronze")))</f>
        <v/>
      </c>
      <c r="L1935" s="125" t="n">
        <v>40840</v>
      </c>
    </row>
    <row r="1936">
      <c r="A1936" s="126" t="n">
        <v>14998</v>
      </c>
      <c r="B1936" s="126" t="inlineStr">
        <is>
          <t>United Kingdom</t>
        </is>
      </c>
      <c r="C1936" s="126" t="n">
        <v>171</v>
      </c>
      <c r="D1936" s="126" t="n">
        <v>2</v>
      </c>
      <c r="E1936" s="127" t="n">
        <v>429.87</v>
      </c>
      <c r="F1936" s="128">
        <f>IF(C1936&lt;=30,5,IF(C1936&lt;=60,4,IF(C1936&lt;=120,3,IF(C1936&lt;=200,2,1))))</f>
        <v/>
      </c>
      <c r="G1936" s="128">
        <f>IF(D1936&gt;=20,5,IF(D1936&gt;=10,4,IF(D1936&gt;=5,3,IF(D1936&gt;=2,2,1))))</f>
        <v/>
      </c>
      <c r="H1936" s="128">
        <f>IF(E1936&gt;=5000,5,IF(E1936&gt;=2000,4,IF(E1936&gt;=800,3,IF(E1936&gt;=300,2,1))))</f>
        <v/>
      </c>
      <c r="I1936" s="126">
        <f>TEXT(F1936,"0")&amp;TEXT(G1936,"0")&amp;TEXT(H1936,"0")</f>
        <v/>
      </c>
      <c r="J1936" s="126">
        <f>IFERROR(XLOOKUP(I1936,'Segment Map'!A:A,'Segment Map'!B:B,"Need Attention"),"Need Attention")</f>
        <v/>
      </c>
      <c r="K1936" s="126">
        <f>IF(E1936&gt;=5000,"🏆 Platinum",IF(E1936&gt;=2000,"🥇 Gold",IF(E1936&gt;=800,"🥈 Silver","🥉 Bronze")))</f>
        <v/>
      </c>
      <c r="L1936" s="129" t="n">
        <v>40716</v>
      </c>
    </row>
    <row r="1937">
      <c r="A1937" s="122" t="n">
        <v>15000</v>
      </c>
      <c r="B1937" s="122" t="inlineStr">
        <is>
          <t>United Kingdom</t>
        </is>
      </c>
      <c r="C1937" s="122" t="n">
        <v>48</v>
      </c>
      <c r="D1937" s="122" t="n">
        <v>1</v>
      </c>
      <c r="E1937" s="123" t="n">
        <v>490.52</v>
      </c>
      <c r="F1937" s="124">
        <f>IF(C1937&lt;=30,5,IF(C1937&lt;=60,4,IF(C1937&lt;=120,3,IF(C1937&lt;=200,2,1))))</f>
        <v/>
      </c>
      <c r="G1937" s="124">
        <f>IF(D1937&gt;=20,5,IF(D1937&gt;=10,4,IF(D1937&gt;=5,3,IF(D1937&gt;=2,2,1))))</f>
        <v/>
      </c>
      <c r="H1937" s="124">
        <f>IF(E1937&gt;=5000,5,IF(E1937&gt;=2000,4,IF(E1937&gt;=800,3,IF(E1937&gt;=300,2,1))))</f>
        <v/>
      </c>
      <c r="I1937" s="122">
        <f>TEXT(F1937,"0")&amp;TEXT(G1937,"0")&amp;TEXT(H1937,"0")</f>
        <v/>
      </c>
      <c r="J1937" s="122">
        <f>IFERROR(XLOOKUP(I1937,'Segment Map'!A:A,'Segment Map'!B:B,"Need Attention"),"Need Attention")</f>
        <v/>
      </c>
      <c r="K1937" s="122">
        <f>IF(E1937&gt;=5000,"🏆 Platinum",IF(E1937&gt;=2000,"🥇 Gold",IF(E1937&gt;=800,"🥈 Silver","🥉 Bronze")))</f>
        <v/>
      </c>
      <c r="L1937" s="125" t="n">
        <v>40839</v>
      </c>
    </row>
    <row r="1938">
      <c r="A1938" s="126" t="n">
        <v>15002</v>
      </c>
      <c r="B1938" s="126" t="inlineStr">
        <is>
          <t>United Kingdom</t>
        </is>
      </c>
      <c r="C1938" s="126" t="n">
        <v>116</v>
      </c>
      <c r="D1938" s="126" t="n">
        <v>4</v>
      </c>
      <c r="E1938" s="127" t="n">
        <v>1641.76</v>
      </c>
      <c r="F1938" s="128">
        <f>IF(C1938&lt;=30,5,IF(C1938&lt;=60,4,IF(C1938&lt;=120,3,IF(C1938&lt;=200,2,1))))</f>
        <v/>
      </c>
      <c r="G1938" s="128">
        <f>IF(D1938&gt;=20,5,IF(D1938&gt;=10,4,IF(D1938&gt;=5,3,IF(D1938&gt;=2,2,1))))</f>
        <v/>
      </c>
      <c r="H1938" s="128">
        <f>IF(E1938&gt;=5000,5,IF(E1938&gt;=2000,4,IF(E1938&gt;=800,3,IF(E1938&gt;=300,2,1))))</f>
        <v/>
      </c>
      <c r="I1938" s="126">
        <f>TEXT(F1938,"0")&amp;TEXT(G1938,"0")&amp;TEXT(H1938,"0")</f>
        <v/>
      </c>
      <c r="J1938" s="126">
        <f>IFERROR(XLOOKUP(I1938,'Segment Map'!A:A,'Segment Map'!B:B,"Need Attention"),"Need Attention")</f>
        <v/>
      </c>
      <c r="K1938" s="126">
        <f>IF(E1938&gt;=5000,"🏆 Platinum",IF(E1938&gt;=2000,"🥇 Gold",IF(E1938&gt;=800,"🥈 Silver","🥉 Bronze")))</f>
        <v/>
      </c>
      <c r="L1938" s="129" t="n">
        <v>40771</v>
      </c>
    </row>
    <row r="1939">
      <c r="A1939" s="122" t="n">
        <v>15004</v>
      </c>
      <c r="B1939" s="122" t="inlineStr">
        <is>
          <t>United Kingdom</t>
        </is>
      </c>
      <c r="C1939" s="122" t="n">
        <v>148</v>
      </c>
      <c r="D1939" s="122" t="n">
        <v>1</v>
      </c>
      <c r="E1939" s="123" t="n">
        <v>1246.32</v>
      </c>
      <c r="F1939" s="124">
        <f>IF(C1939&lt;=30,5,IF(C1939&lt;=60,4,IF(C1939&lt;=120,3,IF(C1939&lt;=200,2,1))))</f>
        <v/>
      </c>
      <c r="G1939" s="124">
        <f>IF(D1939&gt;=20,5,IF(D1939&gt;=10,4,IF(D1939&gt;=5,3,IF(D1939&gt;=2,2,1))))</f>
        <v/>
      </c>
      <c r="H1939" s="124">
        <f>IF(E1939&gt;=5000,5,IF(E1939&gt;=2000,4,IF(E1939&gt;=800,3,IF(E1939&gt;=300,2,1))))</f>
        <v/>
      </c>
      <c r="I1939" s="122">
        <f>TEXT(F1939,"0")&amp;TEXT(G1939,"0")&amp;TEXT(H1939,"0")</f>
        <v/>
      </c>
      <c r="J1939" s="122">
        <f>IFERROR(XLOOKUP(I1939,'Segment Map'!A:A,'Segment Map'!B:B,"Need Attention"),"Need Attention")</f>
        <v/>
      </c>
      <c r="K1939" s="122">
        <f>IF(E1939&gt;=5000,"🏆 Platinum",IF(E1939&gt;=2000,"🥇 Gold",IF(E1939&gt;=800,"🥈 Silver","🥉 Bronze")))</f>
        <v/>
      </c>
      <c r="L1939" s="125" t="n">
        <v>40739</v>
      </c>
    </row>
    <row r="1940">
      <c r="A1940" s="126" t="n">
        <v>15005</v>
      </c>
      <c r="B1940" s="126" t="inlineStr">
        <is>
          <t>United Kingdom</t>
        </is>
      </c>
      <c r="C1940" s="126" t="n">
        <v>16</v>
      </c>
      <c r="D1940" s="126" t="n">
        <v>28</v>
      </c>
      <c r="E1940" s="127" t="n">
        <v>6316.57</v>
      </c>
      <c r="F1940" s="128">
        <f>IF(C1940&lt;=30,5,IF(C1940&lt;=60,4,IF(C1940&lt;=120,3,IF(C1940&lt;=200,2,1))))</f>
        <v/>
      </c>
      <c r="G1940" s="128">
        <f>IF(D1940&gt;=20,5,IF(D1940&gt;=10,4,IF(D1940&gt;=5,3,IF(D1940&gt;=2,2,1))))</f>
        <v/>
      </c>
      <c r="H1940" s="128">
        <f>IF(E1940&gt;=5000,5,IF(E1940&gt;=2000,4,IF(E1940&gt;=800,3,IF(E1940&gt;=300,2,1))))</f>
        <v/>
      </c>
      <c r="I1940" s="126">
        <f>TEXT(F1940,"0")&amp;TEXT(G1940,"0")&amp;TEXT(H1940,"0")</f>
        <v/>
      </c>
      <c r="J1940" s="126">
        <f>IFERROR(XLOOKUP(I1940,'Segment Map'!A:A,'Segment Map'!B:B,"Need Attention"),"Need Attention")</f>
        <v/>
      </c>
      <c r="K1940" s="126">
        <f>IF(E1940&gt;=5000,"🏆 Platinum",IF(E1940&gt;=2000,"🥇 Gold",IF(E1940&gt;=800,"🥈 Silver","🥉 Bronze")))</f>
        <v/>
      </c>
      <c r="L1940" s="129" t="n">
        <v>40871</v>
      </c>
    </row>
    <row r="1941">
      <c r="A1941" s="122" t="n">
        <v>15006</v>
      </c>
      <c r="B1941" s="122" t="inlineStr">
        <is>
          <t>United Kingdom</t>
        </is>
      </c>
      <c r="C1941" s="122" t="n">
        <v>52</v>
      </c>
      <c r="D1941" s="122" t="n">
        <v>1</v>
      </c>
      <c r="E1941" s="123" t="n">
        <v>502.09</v>
      </c>
      <c r="F1941" s="124">
        <f>IF(C1941&lt;=30,5,IF(C1941&lt;=60,4,IF(C1941&lt;=120,3,IF(C1941&lt;=200,2,1))))</f>
        <v/>
      </c>
      <c r="G1941" s="124">
        <f>IF(D1941&gt;=20,5,IF(D1941&gt;=10,4,IF(D1941&gt;=5,3,IF(D1941&gt;=2,2,1))))</f>
        <v/>
      </c>
      <c r="H1941" s="124">
        <f>IF(E1941&gt;=5000,5,IF(E1941&gt;=2000,4,IF(E1941&gt;=800,3,IF(E1941&gt;=300,2,1))))</f>
        <v/>
      </c>
      <c r="I1941" s="122">
        <f>TEXT(F1941,"0")&amp;TEXT(G1941,"0")&amp;TEXT(H1941,"0")</f>
        <v/>
      </c>
      <c r="J1941" s="122">
        <f>IFERROR(XLOOKUP(I1941,'Segment Map'!A:A,'Segment Map'!B:B,"Need Attention"),"Need Attention")</f>
        <v/>
      </c>
      <c r="K1941" s="122">
        <f>IF(E1941&gt;=5000,"🏆 Platinum",IF(E1941&gt;=2000,"🥇 Gold",IF(E1941&gt;=800,"🥈 Silver","🥉 Bronze")))</f>
        <v/>
      </c>
      <c r="L1941" s="125" t="n">
        <v>40835</v>
      </c>
    </row>
    <row r="1942">
      <c r="A1942" s="126" t="n">
        <v>15007</v>
      </c>
      <c r="B1942" s="126" t="inlineStr">
        <is>
          <t>United Kingdom</t>
        </is>
      </c>
      <c r="C1942" s="126" t="n">
        <v>160</v>
      </c>
      <c r="D1942" s="126" t="n">
        <v>1</v>
      </c>
      <c r="E1942" s="127" t="n">
        <v>156.91</v>
      </c>
      <c r="F1942" s="128">
        <f>IF(C1942&lt;=30,5,IF(C1942&lt;=60,4,IF(C1942&lt;=120,3,IF(C1942&lt;=200,2,1))))</f>
        <v/>
      </c>
      <c r="G1942" s="128">
        <f>IF(D1942&gt;=20,5,IF(D1942&gt;=10,4,IF(D1942&gt;=5,3,IF(D1942&gt;=2,2,1))))</f>
        <v/>
      </c>
      <c r="H1942" s="128">
        <f>IF(E1942&gt;=5000,5,IF(E1942&gt;=2000,4,IF(E1942&gt;=800,3,IF(E1942&gt;=300,2,1))))</f>
        <v/>
      </c>
      <c r="I1942" s="126">
        <f>TEXT(F1942,"0")&amp;TEXT(G1942,"0")&amp;TEXT(H1942,"0")</f>
        <v/>
      </c>
      <c r="J1942" s="126">
        <f>IFERROR(XLOOKUP(I1942,'Segment Map'!A:A,'Segment Map'!B:B,"Need Attention"),"Need Attention")</f>
        <v/>
      </c>
      <c r="K1942" s="126">
        <f>IF(E1942&gt;=5000,"🏆 Platinum",IF(E1942&gt;=2000,"🥇 Gold",IF(E1942&gt;=800,"🥈 Silver","🥉 Bronze")))</f>
        <v/>
      </c>
      <c r="L1942" s="129" t="n">
        <v>40727</v>
      </c>
    </row>
    <row r="1943">
      <c r="A1943" s="122" t="n">
        <v>15009</v>
      </c>
      <c r="B1943" s="122" t="inlineStr">
        <is>
          <t>United Kingdom</t>
        </is>
      </c>
      <c r="C1943" s="122" t="n">
        <v>13</v>
      </c>
      <c r="D1943" s="122" t="n">
        <v>3</v>
      </c>
      <c r="E1943" s="123" t="n">
        <v>1261.78</v>
      </c>
      <c r="F1943" s="124">
        <f>IF(C1943&lt;=30,5,IF(C1943&lt;=60,4,IF(C1943&lt;=120,3,IF(C1943&lt;=200,2,1))))</f>
        <v/>
      </c>
      <c r="G1943" s="124">
        <f>IF(D1943&gt;=20,5,IF(D1943&gt;=10,4,IF(D1943&gt;=5,3,IF(D1943&gt;=2,2,1))))</f>
        <v/>
      </c>
      <c r="H1943" s="124">
        <f>IF(E1943&gt;=5000,5,IF(E1943&gt;=2000,4,IF(E1943&gt;=800,3,IF(E1943&gt;=300,2,1))))</f>
        <v/>
      </c>
      <c r="I1943" s="122">
        <f>TEXT(F1943,"0")&amp;TEXT(G1943,"0")&amp;TEXT(H1943,"0")</f>
        <v/>
      </c>
      <c r="J1943" s="122">
        <f>IFERROR(XLOOKUP(I1943,'Segment Map'!A:A,'Segment Map'!B:B,"Need Attention"),"Need Attention")</f>
        <v/>
      </c>
      <c r="K1943" s="122">
        <f>IF(E1943&gt;=5000,"🏆 Platinum",IF(E1943&gt;=2000,"🥇 Gold",IF(E1943&gt;=800,"🥈 Silver","🥉 Bronze")))</f>
        <v/>
      </c>
      <c r="L1943" s="125" t="n">
        <v>40874</v>
      </c>
    </row>
    <row r="1944">
      <c r="A1944" s="126" t="n">
        <v>15010</v>
      </c>
      <c r="B1944" s="126" t="inlineStr">
        <is>
          <t>United Kingdom</t>
        </is>
      </c>
      <c r="C1944" s="126" t="n">
        <v>36</v>
      </c>
      <c r="D1944" s="126" t="n">
        <v>1</v>
      </c>
      <c r="E1944" s="127" t="n">
        <v>308.94</v>
      </c>
      <c r="F1944" s="128">
        <f>IF(C1944&lt;=30,5,IF(C1944&lt;=60,4,IF(C1944&lt;=120,3,IF(C1944&lt;=200,2,1))))</f>
        <v/>
      </c>
      <c r="G1944" s="128">
        <f>IF(D1944&gt;=20,5,IF(D1944&gt;=10,4,IF(D1944&gt;=5,3,IF(D1944&gt;=2,2,1))))</f>
        <v/>
      </c>
      <c r="H1944" s="128">
        <f>IF(E1944&gt;=5000,5,IF(E1944&gt;=2000,4,IF(E1944&gt;=800,3,IF(E1944&gt;=300,2,1))))</f>
        <v/>
      </c>
      <c r="I1944" s="126">
        <f>TEXT(F1944,"0")&amp;TEXT(G1944,"0")&amp;TEXT(H1944,"0")</f>
        <v/>
      </c>
      <c r="J1944" s="126">
        <f>IFERROR(XLOOKUP(I1944,'Segment Map'!A:A,'Segment Map'!B:B,"Need Attention"),"Need Attention")</f>
        <v/>
      </c>
      <c r="K1944" s="126">
        <f>IF(E1944&gt;=5000,"🏆 Platinum",IF(E1944&gt;=2000,"🥇 Gold",IF(E1944&gt;=800,"🥈 Silver","🥉 Bronze")))</f>
        <v/>
      </c>
      <c r="L1944" s="129" t="n">
        <v>40851</v>
      </c>
    </row>
    <row r="1945">
      <c r="A1945" s="122" t="n">
        <v>15012</v>
      </c>
      <c r="B1945" s="122" t="inlineStr">
        <is>
          <t>United Kingdom</t>
        </is>
      </c>
      <c r="C1945" s="122" t="n">
        <v>54</v>
      </c>
      <c r="D1945" s="122" t="n">
        <v>2</v>
      </c>
      <c r="E1945" s="123" t="n">
        <v>423.04</v>
      </c>
      <c r="F1945" s="124">
        <f>IF(C1945&lt;=30,5,IF(C1945&lt;=60,4,IF(C1945&lt;=120,3,IF(C1945&lt;=200,2,1))))</f>
        <v/>
      </c>
      <c r="G1945" s="124">
        <f>IF(D1945&gt;=20,5,IF(D1945&gt;=10,4,IF(D1945&gt;=5,3,IF(D1945&gt;=2,2,1))))</f>
        <v/>
      </c>
      <c r="H1945" s="124">
        <f>IF(E1945&gt;=5000,5,IF(E1945&gt;=2000,4,IF(E1945&gt;=800,3,IF(E1945&gt;=300,2,1))))</f>
        <v/>
      </c>
      <c r="I1945" s="122">
        <f>TEXT(F1945,"0")&amp;TEXT(G1945,"0")&amp;TEXT(H1945,"0")</f>
        <v/>
      </c>
      <c r="J1945" s="122">
        <f>IFERROR(XLOOKUP(I1945,'Segment Map'!A:A,'Segment Map'!B:B,"Need Attention"),"Need Attention")</f>
        <v/>
      </c>
      <c r="K1945" s="122">
        <f>IF(E1945&gt;=5000,"🏆 Platinum",IF(E1945&gt;=2000,"🥇 Gold",IF(E1945&gt;=800,"🥈 Silver","🥉 Bronze")))</f>
        <v/>
      </c>
      <c r="L1945" s="125" t="n">
        <v>40833</v>
      </c>
    </row>
    <row r="1946">
      <c r="A1946" s="126" t="n">
        <v>15014</v>
      </c>
      <c r="B1946" s="126" t="inlineStr">
        <is>
          <t>United Kingdom</t>
        </is>
      </c>
      <c r="C1946" s="126" t="n">
        <v>44</v>
      </c>
      <c r="D1946" s="126" t="n">
        <v>2</v>
      </c>
      <c r="E1946" s="127" t="n">
        <v>260.17</v>
      </c>
      <c r="F1946" s="128">
        <f>IF(C1946&lt;=30,5,IF(C1946&lt;=60,4,IF(C1946&lt;=120,3,IF(C1946&lt;=200,2,1))))</f>
        <v/>
      </c>
      <c r="G1946" s="128">
        <f>IF(D1946&gt;=20,5,IF(D1946&gt;=10,4,IF(D1946&gt;=5,3,IF(D1946&gt;=2,2,1))))</f>
        <v/>
      </c>
      <c r="H1946" s="128">
        <f>IF(E1946&gt;=5000,5,IF(E1946&gt;=2000,4,IF(E1946&gt;=800,3,IF(E1946&gt;=300,2,1))))</f>
        <v/>
      </c>
      <c r="I1946" s="126">
        <f>TEXT(F1946,"0")&amp;TEXT(G1946,"0")&amp;TEXT(H1946,"0")</f>
        <v/>
      </c>
      <c r="J1946" s="126">
        <f>IFERROR(XLOOKUP(I1946,'Segment Map'!A:A,'Segment Map'!B:B,"Need Attention"),"Need Attention")</f>
        <v/>
      </c>
      <c r="K1946" s="126">
        <f>IF(E1946&gt;=5000,"🏆 Platinum",IF(E1946&gt;=2000,"🥇 Gold",IF(E1946&gt;=800,"🥈 Silver","🥉 Bronze")))</f>
        <v/>
      </c>
      <c r="L1946" s="129" t="n">
        <v>40843</v>
      </c>
    </row>
    <row r="1947">
      <c r="A1947" s="122" t="n">
        <v>15016</v>
      </c>
      <c r="B1947" s="122" t="inlineStr">
        <is>
          <t>United Kingdom</t>
        </is>
      </c>
      <c r="C1947" s="122" t="n">
        <v>173</v>
      </c>
      <c r="D1947" s="122" t="n">
        <v>1</v>
      </c>
      <c r="E1947" s="123" t="n">
        <v>170.04</v>
      </c>
      <c r="F1947" s="124">
        <f>IF(C1947&lt;=30,5,IF(C1947&lt;=60,4,IF(C1947&lt;=120,3,IF(C1947&lt;=200,2,1))))</f>
        <v/>
      </c>
      <c r="G1947" s="124">
        <f>IF(D1947&gt;=20,5,IF(D1947&gt;=10,4,IF(D1947&gt;=5,3,IF(D1947&gt;=2,2,1))))</f>
        <v/>
      </c>
      <c r="H1947" s="124">
        <f>IF(E1947&gt;=5000,5,IF(E1947&gt;=2000,4,IF(E1947&gt;=800,3,IF(E1947&gt;=300,2,1))))</f>
        <v/>
      </c>
      <c r="I1947" s="122">
        <f>TEXT(F1947,"0")&amp;TEXT(G1947,"0")&amp;TEXT(H1947,"0")</f>
        <v/>
      </c>
      <c r="J1947" s="122">
        <f>IFERROR(XLOOKUP(I1947,'Segment Map'!A:A,'Segment Map'!B:B,"Need Attention"),"Need Attention")</f>
        <v/>
      </c>
      <c r="K1947" s="122">
        <f>IF(E1947&gt;=5000,"🏆 Platinum",IF(E1947&gt;=2000,"🥇 Gold",IF(E1947&gt;=800,"🥈 Silver","🥉 Bronze")))</f>
        <v/>
      </c>
      <c r="L1947" s="125" t="n">
        <v>40714</v>
      </c>
    </row>
    <row r="1948">
      <c r="A1948" s="126" t="n">
        <v>15017</v>
      </c>
      <c r="B1948" s="126" t="inlineStr">
        <is>
          <t>United Kingdom</t>
        </is>
      </c>
      <c r="C1948" s="126" t="n">
        <v>34</v>
      </c>
      <c r="D1948" s="126" t="n">
        <v>1</v>
      </c>
      <c r="E1948" s="127" t="n">
        <v>125.58</v>
      </c>
      <c r="F1948" s="128">
        <f>IF(C1948&lt;=30,5,IF(C1948&lt;=60,4,IF(C1948&lt;=120,3,IF(C1948&lt;=200,2,1))))</f>
        <v/>
      </c>
      <c r="G1948" s="128">
        <f>IF(D1948&gt;=20,5,IF(D1948&gt;=10,4,IF(D1948&gt;=5,3,IF(D1948&gt;=2,2,1))))</f>
        <v/>
      </c>
      <c r="H1948" s="128">
        <f>IF(E1948&gt;=5000,5,IF(E1948&gt;=2000,4,IF(E1948&gt;=800,3,IF(E1948&gt;=300,2,1))))</f>
        <v/>
      </c>
      <c r="I1948" s="126">
        <f>TEXT(F1948,"0")&amp;TEXT(G1948,"0")&amp;TEXT(H1948,"0")</f>
        <v/>
      </c>
      <c r="J1948" s="126">
        <f>IFERROR(XLOOKUP(I1948,'Segment Map'!A:A,'Segment Map'!B:B,"Need Attention"),"Need Attention")</f>
        <v/>
      </c>
      <c r="K1948" s="126">
        <f>IF(E1948&gt;=5000,"🏆 Platinum",IF(E1948&gt;=2000,"🥇 Gold",IF(E1948&gt;=800,"🥈 Silver","🥉 Bronze")))</f>
        <v/>
      </c>
      <c r="L1948" s="129" t="n">
        <v>40853</v>
      </c>
    </row>
    <row r="1949">
      <c r="A1949" s="122" t="n">
        <v>15018</v>
      </c>
      <c r="B1949" s="122" t="inlineStr">
        <is>
          <t>United Kingdom</t>
        </is>
      </c>
      <c r="C1949" s="122" t="n">
        <v>39</v>
      </c>
      <c r="D1949" s="122" t="n">
        <v>3</v>
      </c>
      <c r="E1949" s="123" t="n">
        <v>496.21</v>
      </c>
      <c r="F1949" s="124">
        <f>IF(C1949&lt;=30,5,IF(C1949&lt;=60,4,IF(C1949&lt;=120,3,IF(C1949&lt;=200,2,1))))</f>
        <v/>
      </c>
      <c r="G1949" s="124">
        <f>IF(D1949&gt;=20,5,IF(D1949&gt;=10,4,IF(D1949&gt;=5,3,IF(D1949&gt;=2,2,1))))</f>
        <v/>
      </c>
      <c r="H1949" s="124">
        <f>IF(E1949&gt;=5000,5,IF(E1949&gt;=2000,4,IF(E1949&gt;=800,3,IF(E1949&gt;=300,2,1))))</f>
        <v/>
      </c>
      <c r="I1949" s="122">
        <f>TEXT(F1949,"0")&amp;TEXT(G1949,"0")&amp;TEXT(H1949,"0")</f>
        <v/>
      </c>
      <c r="J1949" s="122">
        <f>IFERROR(XLOOKUP(I1949,'Segment Map'!A:A,'Segment Map'!B:B,"Need Attention"),"Need Attention")</f>
        <v/>
      </c>
      <c r="K1949" s="122">
        <f>IF(E1949&gt;=5000,"🏆 Platinum",IF(E1949&gt;=2000,"🥇 Gold",IF(E1949&gt;=800,"🥈 Silver","🥉 Bronze")))</f>
        <v/>
      </c>
      <c r="L1949" s="125" t="n">
        <v>40848</v>
      </c>
    </row>
    <row r="1950">
      <c r="A1950" s="126" t="n">
        <v>15019</v>
      </c>
      <c r="B1950" s="126" t="inlineStr">
        <is>
          <t>United Kingdom</t>
        </is>
      </c>
      <c r="C1950" s="126" t="n">
        <v>267</v>
      </c>
      <c r="D1950" s="126" t="n">
        <v>1</v>
      </c>
      <c r="E1950" s="127" t="n">
        <v>266</v>
      </c>
      <c r="F1950" s="128">
        <f>IF(C1950&lt;=30,5,IF(C1950&lt;=60,4,IF(C1950&lt;=120,3,IF(C1950&lt;=200,2,1))))</f>
        <v/>
      </c>
      <c r="G1950" s="128">
        <f>IF(D1950&gt;=20,5,IF(D1950&gt;=10,4,IF(D1950&gt;=5,3,IF(D1950&gt;=2,2,1))))</f>
        <v/>
      </c>
      <c r="H1950" s="128">
        <f>IF(E1950&gt;=5000,5,IF(E1950&gt;=2000,4,IF(E1950&gt;=800,3,IF(E1950&gt;=300,2,1))))</f>
        <v/>
      </c>
      <c r="I1950" s="126">
        <f>TEXT(F1950,"0")&amp;TEXT(G1950,"0")&amp;TEXT(H1950,"0")</f>
        <v/>
      </c>
      <c r="J1950" s="126">
        <f>IFERROR(XLOOKUP(I1950,'Segment Map'!A:A,'Segment Map'!B:B,"Need Attention"),"Need Attention")</f>
        <v/>
      </c>
      <c r="K1950" s="126">
        <f>IF(E1950&gt;=5000,"🏆 Platinum",IF(E1950&gt;=2000,"🥇 Gold",IF(E1950&gt;=800,"🥈 Silver","🥉 Bronze")))</f>
        <v/>
      </c>
      <c r="L1950" s="129" t="n">
        <v>40620</v>
      </c>
    </row>
    <row r="1951">
      <c r="A1951" s="122" t="n">
        <v>15021</v>
      </c>
      <c r="B1951" s="122" t="inlineStr">
        <is>
          <t>United Kingdom</t>
        </is>
      </c>
      <c r="C1951" s="122" t="n">
        <v>9</v>
      </c>
      <c r="D1951" s="122" t="n">
        <v>9</v>
      </c>
      <c r="E1951" s="123" t="n">
        <v>1914.82</v>
      </c>
      <c r="F1951" s="124">
        <f>IF(C1951&lt;=30,5,IF(C1951&lt;=60,4,IF(C1951&lt;=120,3,IF(C1951&lt;=200,2,1))))</f>
        <v/>
      </c>
      <c r="G1951" s="124">
        <f>IF(D1951&gt;=20,5,IF(D1951&gt;=10,4,IF(D1951&gt;=5,3,IF(D1951&gt;=2,2,1))))</f>
        <v/>
      </c>
      <c r="H1951" s="124">
        <f>IF(E1951&gt;=5000,5,IF(E1951&gt;=2000,4,IF(E1951&gt;=800,3,IF(E1951&gt;=300,2,1))))</f>
        <v/>
      </c>
      <c r="I1951" s="122">
        <f>TEXT(F1951,"0")&amp;TEXT(G1951,"0")&amp;TEXT(H1951,"0")</f>
        <v/>
      </c>
      <c r="J1951" s="122">
        <f>IFERROR(XLOOKUP(I1951,'Segment Map'!A:A,'Segment Map'!B:B,"Need Attention"),"Need Attention")</f>
        <v/>
      </c>
      <c r="K1951" s="122">
        <f>IF(E1951&gt;=5000,"🏆 Platinum",IF(E1951&gt;=2000,"🥇 Gold",IF(E1951&gt;=800,"🥈 Silver","🥉 Bronze")))</f>
        <v/>
      </c>
      <c r="L1951" s="125" t="n">
        <v>40878</v>
      </c>
    </row>
    <row r="1952">
      <c r="A1952" s="126" t="n">
        <v>15022</v>
      </c>
      <c r="B1952" s="126" t="inlineStr">
        <is>
          <t>United Kingdom</t>
        </is>
      </c>
      <c r="C1952" s="126" t="n">
        <v>12</v>
      </c>
      <c r="D1952" s="126" t="n">
        <v>4</v>
      </c>
      <c r="E1952" s="127" t="n">
        <v>905.04</v>
      </c>
      <c r="F1952" s="128">
        <f>IF(C1952&lt;=30,5,IF(C1952&lt;=60,4,IF(C1952&lt;=120,3,IF(C1952&lt;=200,2,1))))</f>
        <v/>
      </c>
      <c r="G1952" s="128">
        <f>IF(D1952&gt;=20,5,IF(D1952&gt;=10,4,IF(D1952&gt;=5,3,IF(D1952&gt;=2,2,1))))</f>
        <v/>
      </c>
      <c r="H1952" s="128">
        <f>IF(E1952&gt;=5000,5,IF(E1952&gt;=2000,4,IF(E1952&gt;=800,3,IF(E1952&gt;=300,2,1))))</f>
        <v/>
      </c>
      <c r="I1952" s="126">
        <f>TEXT(F1952,"0")&amp;TEXT(G1952,"0")&amp;TEXT(H1952,"0")</f>
        <v/>
      </c>
      <c r="J1952" s="126">
        <f>IFERROR(XLOOKUP(I1952,'Segment Map'!A:A,'Segment Map'!B:B,"Need Attention"),"Need Attention")</f>
        <v/>
      </c>
      <c r="K1952" s="126">
        <f>IF(E1952&gt;=5000,"🏆 Platinum",IF(E1952&gt;=2000,"🥇 Gold",IF(E1952&gt;=800,"🥈 Silver","🥉 Bronze")))</f>
        <v/>
      </c>
      <c r="L1952" s="129" t="n">
        <v>40875</v>
      </c>
    </row>
    <row r="1953">
      <c r="A1953" s="122" t="n">
        <v>15023</v>
      </c>
      <c r="B1953" s="122" t="inlineStr">
        <is>
          <t>United Kingdom</t>
        </is>
      </c>
      <c r="C1953" s="122" t="n">
        <v>4</v>
      </c>
      <c r="D1953" s="122" t="n">
        <v>11</v>
      </c>
      <c r="E1953" s="123" t="n">
        <v>6802.76</v>
      </c>
      <c r="F1953" s="124">
        <f>IF(C1953&lt;=30,5,IF(C1953&lt;=60,4,IF(C1953&lt;=120,3,IF(C1953&lt;=200,2,1))))</f>
        <v/>
      </c>
      <c r="G1953" s="124">
        <f>IF(D1953&gt;=20,5,IF(D1953&gt;=10,4,IF(D1953&gt;=5,3,IF(D1953&gt;=2,2,1))))</f>
        <v/>
      </c>
      <c r="H1953" s="124">
        <f>IF(E1953&gt;=5000,5,IF(E1953&gt;=2000,4,IF(E1953&gt;=800,3,IF(E1953&gt;=300,2,1))))</f>
        <v/>
      </c>
      <c r="I1953" s="122">
        <f>TEXT(F1953,"0")&amp;TEXT(G1953,"0")&amp;TEXT(H1953,"0")</f>
        <v/>
      </c>
      <c r="J1953" s="122">
        <f>IFERROR(XLOOKUP(I1953,'Segment Map'!A:A,'Segment Map'!B:B,"Need Attention"),"Need Attention")</f>
        <v/>
      </c>
      <c r="K1953" s="122">
        <f>IF(E1953&gt;=5000,"🏆 Platinum",IF(E1953&gt;=2000,"🥇 Gold",IF(E1953&gt;=800,"🥈 Silver","🥉 Bronze")))</f>
        <v/>
      </c>
      <c r="L1953" s="125" t="n">
        <v>40883</v>
      </c>
    </row>
    <row r="1954">
      <c r="A1954" s="126" t="n">
        <v>15024</v>
      </c>
      <c r="B1954" s="126" t="inlineStr">
        <is>
          <t>United Kingdom</t>
        </is>
      </c>
      <c r="C1954" s="126" t="n">
        <v>10</v>
      </c>
      <c r="D1954" s="126" t="n">
        <v>10</v>
      </c>
      <c r="E1954" s="127" t="n">
        <v>1661.33</v>
      </c>
      <c r="F1954" s="128">
        <f>IF(C1954&lt;=30,5,IF(C1954&lt;=60,4,IF(C1954&lt;=120,3,IF(C1954&lt;=200,2,1))))</f>
        <v/>
      </c>
      <c r="G1954" s="128">
        <f>IF(D1954&gt;=20,5,IF(D1954&gt;=10,4,IF(D1954&gt;=5,3,IF(D1954&gt;=2,2,1))))</f>
        <v/>
      </c>
      <c r="H1954" s="128">
        <f>IF(E1954&gt;=5000,5,IF(E1954&gt;=2000,4,IF(E1954&gt;=800,3,IF(E1954&gt;=300,2,1))))</f>
        <v/>
      </c>
      <c r="I1954" s="126">
        <f>TEXT(F1954,"0")&amp;TEXT(G1954,"0")&amp;TEXT(H1954,"0")</f>
        <v/>
      </c>
      <c r="J1954" s="126">
        <f>IFERROR(XLOOKUP(I1954,'Segment Map'!A:A,'Segment Map'!B:B,"Need Attention"),"Need Attention")</f>
        <v/>
      </c>
      <c r="K1954" s="126">
        <f>IF(E1954&gt;=5000,"🏆 Platinum",IF(E1954&gt;=2000,"🥇 Gold",IF(E1954&gt;=800,"🥈 Silver","🥉 Bronze")))</f>
        <v/>
      </c>
      <c r="L1954" s="129" t="n">
        <v>40877</v>
      </c>
    </row>
    <row r="1955">
      <c r="A1955" s="122" t="n">
        <v>15025</v>
      </c>
      <c r="B1955" s="122" t="inlineStr">
        <is>
          <t>United Kingdom</t>
        </is>
      </c>
      <c r="C1955" s="122" t="n">
        <v>34</v>
      </c>
      <c r="D1955" s="122" t="n">
        <v>1</v>
      </c>
      <c r="E1955" s="123" t="n">
        <v>377.01</v>
      </c>
      <c r="F1955" s="124">
        <f>IF(C1955&lt;=30,5,IF(C1955&lt;=60,4,IF(C1955&lt;=120,3,IF(C1955&lt;=200,2,1))))</f>
        <v/>
      </c>
      <c r="G1955" s="124">
        <f>IF(D1955&gt;=20,5,IF(D1955&gt;=10,4,IF(D1955&gt;=5,3,IF(D1955&gt;=2,2,1))))</f>
        <v/>
      </c>
      <c r="H1955" s="124">
        <f>IF(E1955&gt;=5000,5,IF(E1955&gt;=2000,4,IF(E1955&gt;=800,3,IF(E1955&gt;=300,2,1))))</f>
        <v/>
      </c>
      <c r="I1955" s="122">
        <f>TEXT(F1955,"0")&amp;TEXT(G1955,"0")&amp;TEXT(H1955,"0")</f>
        <v/>
      </c>
      <c r="J1955" s="122">
        <f>IFERROR(XLOOKUP(I1955,'Segment Map'!A:A,'Segment Map'!B:B,"Need Attention"),"Need Attention")</f>
        <v/>
      </c>
      <c r="K1955" s="122">
        <f>IF(E1955&gt;=5000,"🏆 Platinum",IF(E1955&gt;=2000,"🥇 Gold",IF(E1955&gt;=800,"🥈 Silver","🥉 Bronze")))</f>
        <v/>
      </c>
      <c r="L1955" s="125" t="n">
        <v>40853</v>
      </c>
    </row>
    <row r="1956">
      <c r="A1956" s="126" t="n">
        <v>15026</v>
      </c>
      <c r="B1956" s="126" t="inlineStr">
        <is>
          <t>United Kingdom</t>
        </is>
      </c>
      <c r="C1956" s="126" t="n">
        <v>81</v>
      </c>
      <c r="D1956" s="126" t="n">
        <v>3</v>
      </c>
      <c r="E1956" s="127" t="n">
        <v>469</v>
      </c>
      <c r="F1956" s="128">
        <f>IF(C1956&lt;=30,5,IF(C1956&lt;=60,4,IF(C1956&lt;=120,3,IF(C1956&lt;=200,2,1))))</f>
        <v/>
      </c>
      <c r="G1956" s="128">
        <f>IF(D1956&gt;=20,5,IF(D1956&gt;=10,4,IF(D1956&gt;=5,3,IF(D1956&gt;=2,2,1))))</f>
        <v/>
      </c>
      <c r="H1956" s="128">
        <f>IF(E1956&gt;=5000,5,IF(E1956&gt;=2000,4,IF(E1956&gt;=800,3,IF(E1956&gt;=300,2,1))))</f>
        <v/>
      </c>
      <c r="I1956" s="126">
        <f>TEXT(F1956,"0")&amp;TEXT(G1956,"0")&amp;TEXT(H1956,"0")</f>
        <v/>
      </c>
      <c r="J1956" s="126">
        <f>IFERROR(XLOOKUP(I1956,'Segment Map'!A:A,'Segment Map'!B:B,"Need Attention"),"Need Attention")</f>
        <v/>
      </c>
      <c r="K1956" s="126">
        <f>IF(E1956&gt;=5000,"🏆 Platinum",IF(E1956&gt;=2000,"🥇 Gold",IF(E1956&gt;=800,"🥈 Silver","🥉 Bronze")))</f>
        <v/>
      </c>
      <c r="L1956" s="129" t="n">
        <v>40806</v>
      </c>
    </row>
    <row r="1957">
      <c r="A1957" s="122" t="n">
        <v>15027</v>
      </c>
      <c r="B1957" s="122" t="inlineStr">
        <is>
          <t>United Kingdom</t>
        </is>
      </c>
      <c r="C1957" s="122" t="n">
        <v>31</v>
      </c>
      <c r="D1957" s="122" t="n">
        <v>4</v>
      </c>
      <c r="E1957" s="123" t="n">
        <v>1066.15</v>
      </c>
      <c r="F1957" s="124">
        <f>IF(C1957&lt;=30,5,IF(C1957&lt;=60,4,IF(C1957&lt;=120,3,IF(C1957&lt;=200,2,1))))</f>
        <v/>
      </c>
      <c r="G1957" s="124">
        <f>IF(D1957&gt;=20,5,IF(D1957&gt;=10,4,IF(D1957&gt;=5,3,IF(D1957&gt;=2,2,1))))</f>
        <v/>
      </c>
      <c r="H1957" s="124">
        <f>IF(E1957&gt;=5000,5,IF(E1957&gt;=2000,4,IF(E1957&gt;=800,3,IF(E1957&gt;=300,2,1))))</f>
        <v/>
      </c>
      <c r="I1957" s="122">
        <f>TEXT(F1957,"0")&amp;TEXT(G1957,"0")&amp;TEXT(H1957,"0")</f>
        <v/>
      </c>
      <c r="J1957" s="122">
        <f>IFERROR(XLOOKUP(I1957,'Segment Map'!A:A,'Segment Map'!B:B,"Need Attention"),"Need Attention")</f>
        <v/>
      </c>
      <c r="K1957" s="122">
        <f>IF(E1957&gt;=5000,"🏆 Platinum",IF(E1957&gt;=2000,"🥇 Gold",IF(E1957&gt;=800,"🥈 Silver","🥉 Bronze")))</f>
        <v/>
      </c>
      <c r="L1957" s="125" t="n">
        <v>40856</v>
      </c>
    </row>
    <row r="1958">
      <c r="A1958" s="126" t="n">
        <v>15028</v>
      </c>
      <c r="B1958" s="126" t="inlineStr">
        <is>
          <t>United Kingdom</t>
        </is>
      </c>
      <c r="C1958" s="126" t="n">
        <v>9</v>
      </c>
      <c r="D1958" s="126" t="n">
        <v>4</v>
      </c>
      <c r="E1958" s="127" t="n">
        <v>627.13</v>
      </c>
      <c r="F1958" s="128">
        <f>IF(C1958&lt;=30,5,IF(C1958&lt;=60,4,IF(C1958&lt;=120,3,IF(C1958&lt;=200,2,1))))</f>
        <v/>
      </c>
      <c r="G1958" s="128">
        <f>IF(D1958&gt;=20,5,IF(D1958&gt;=10,4,IF(D1958&gt;=5,3,IF(D1958&gt;=2,2,1))))</f>
        <v/>
      </c>
      <c r="H1958" s="128">
        <f>IF(E1958&gt;=5000,5,IF(E1958&gt;=2000,4,IF(E1958&gt;=800,3,IF(E1958&gt;=300,2,1))))</f>
        <v/>
      </c>
      <c r="I1958" s="126">
        <f>TEXT(F1958,"0")&amp;TEXT(G1958,"0")&amp;TEXT(H1958,"0")</f>
        <v/>
      </c>
      <c r="J1958" s="126">
        <f>IFERROR(XLOOKUP(I1958,'Segment Map'!A:A,'Segment Map'!B:B,"Need Attention"),"Need Attention")</f>
        <v/>
      </c>
      <c r="K1958" s="126">
        <f>IF(E1958&gt;=5000,"🏆 Platinum",IF(E1958&gt;=2000,"🥇 Gold",IF(E1958&gt;=800,"🥈 Silver","🥉 Bronze")))</f>
        <v/>
      </c>
      <c r="L1958" s="129" t="n">
        <v>40878</v>
      </c>
    </row>
    <row r="1959">
      <c r="A1959" s="122" t="n">
        <v>15030</v>
      </c>
      <c r="B1959" s="122" t="inlineStr">
        <is>
          <t>United Kingdom</t>
        </is>
      </c>
      <c r="C1959" s="122" t="n">
        <v>72</v>
      </c>
      <c r="D1959" s="122" t="n">
        <v>2</v>
      </c>
      <c r="E1959" s="123" t="n">
        <v>518.28</v>
      </c>
      <c r="F1959" s="124">
        <f>IF(C1959&lt;=30,5,IF(C1959&lt;=60,4,IF(C1959&lt;=120,3,IF(C1959&lt;=200,2,1))))</f>
        <v/>
      </c>
      <c r="G1959" s="124">
        <f>IF(D1959&gt;=20,5,IF(D1959&gt;=10,4,IF(D1959&gt;=5,3,IF(D1959&gt;=2,2,1))))</f>
        <v/>
      </c>
      <c r="H1959" s="124">
        <f>IF(E1959&gt;=5000,5,IF(E1959&gt;=2000,4,IF(E1959&gt;=800,3,IF(E1959&gt;=300,2,1))))</f>
        <v/>
      </c>
      <c r="I1959" s="122">
        <f>TEXT(F1959,"0")&amp;TEXT(G1959,"0")&amp;TEXT(H1959,"0")</f>
        <v/>
      </c>
      <c r="J1959" s="122">
        <f>IFERROR(XLOOKUP(I1959,'Segment Map'!A:A,'Segment Map'!B:B,"Need Attention"),"Need Attention")</f>
        <v/>
      </c>
      <c r="K1959" s="122">
        <f>IF(E1959&gt;=5000,"🏆 Platinum",IF(E1959&gt;=2000,"🥇 Gold",IF(E1959&gt;=800,"🥈 Silver","🥉 Bronze")))</f>
        <v/>
      </c>
      <c r="L1959" s="125" t="n">
        <v>40815</v>
      </c>
    </row>
    <row r="1960">
      <c r="A1960" s="126" t="n">
        <v>15031</v>
      </c>
      <c r="B1960" s="126" t="inlineStr">
        <is>
          <t>United Kingdom</t>
        </is>
      </c>
      <c r="C1960" s="126" t="n">
        <v>5</v>
      </c>
      <c r="D1960" s="126" t="n">
        <v>4</v>
      </c>
      <c r="E1960" s="127" t="n">
        <v>668.14</v>
      </c>
      <c r="F1960" s="128">
        <f>IF(C1960&lt;=30,5,IF(C1960&lt;=60,4,IF(C1960&lt;=120,3,IF(C1960&lt;=200,2,1))))</f>
        <v/>
      </c>
      <c r="G1960" s="128">
        <f>IF(D1960&gt;=20,5,IF(D1960&gt;=10,4,IF(D1960&gt;=5,3,IF(D1960&gt;=2,2,1))))</f>
        <v/>
      </c>
      <c r="H1960" s="128">
        <f>IF(E1960&gt;=5000,5,IF(E1960&gt;=2000,4,IF(E1960&gt;=800,3,IF(E1960&gt;=300,2,1))))</f>
        <v/>
      </c>
      <c r="I1960" s="126">
        <f>TEXT(F1960,"0")&amp;TEXT(G1960,"0")&amp;TEXT(H1960,"0")</f>
        <v/>
      </c>
      <c r="J1960" s="126">
        <f>IFERROR(XLOOKUP(I1960,'Segment Map'!A:A,'Segment Map'!B:B,"Need Attention"),"Need Attention")</f>
        <v/>
      </c>
      <c r="K1960" s="126">
        <f>IF(E1960&gt;=5000,"🏆 Platinum",IF(E1960&gt;=2000,"🥇 Gold",IF(E1960&gt;=800,"🥈 Silver","🥉 Bronze")))</f>
        <v/>
      </c>
      <c r="L1960" s="129" t="n">
        <v>40882</v>
      </c>
    </row>
    <row r="1961">
      <c r="A1961" s="122" t="n">
        <v>15032</v>
      </c>
      <c r="B1961" s="122" t="inlineStr">
        <is>
          <t>United Kingdom</t>
        </is>
      </c>
      <c r="C1961" s="122" t="n">
        <v>257</v>
      </c>
      <c r="D1961" s="122" t="n">
        <v>3</v>
      </c>
      <c r="E1961" s="123" t="n">
        <v>4959.1</v>
      </c>
      <c r="F1961" s="124">
        <f>IF(C1961&lt;=30,5,IF(C1961&lt;=60,4,IF(C1961&lt;=120,3,IF(C1961&lt;=200,2,1))))</f>
        <v/>
      </c>
      <c r="G1961" s="124">
        <f>IF(D1961&gt;=20,5,IF(D1961&gt;=10,4,IF(D1961&gt;=5,3,IF(D1961&gt;=2,2,1))))</f>
        <v/>
      </c>
      <c r="H1961" s="124">
        <f>IF(E1961&gt;=5000,5,IF(E1961&gt;=2000,4,IF(E1961&gt;=800,3,IF(E1961&gt;=300,2,1))))</f>
        <v/>
      </c>
      <c r="I1961" s="122">
        <f>TEXT(F1961,"0")&amp;TEXT(G1961,"0")&amp;TEXT(H1961,"0")</f>
        <v/>
      </c>
      <c r="J1961" s="122">
        <f>IFERROR(XLOOKUP(I1961,'Segment Map'!A:A,'Segment Map'!B:B,"Need Attention"),"Need Attention")</f>
        <v/>
      </c>
      <c r="K1961" s="122">
        <f>IF(E1961&gt;=5000,"🏆 Platinum",IF(E1961&gt;=2000,"🥇 Gold",IF(E1961&gt;=800,"🥈 Silver","🥉 Bronze")))</f>
        <v/>
      </c>
      <c r="L1961" s="125" t="n">
        <v>40630</v>
      </c>
    </row>
    <row r="1962">
      <c r="A1962" s="126" t="n">
        <v>15033</v>
      </c>
      <c r="B1962" s="126" t="inlineStr">
        <is>
          <t>United Kingdom</t>
        </is>
      </c>
      <c r="C1962" s="126" t="n">
        <v>5</v>
      </c>
      <c r="D1962" s="126" t="n">
        <v>10</v>
      </c>
      <c r="E1962" s="127" t="n">
        <v>2586.67</v>
      </c>
      <c r="F1962" s="128">
        <f>IF(C1962&lt;=30,5,IF(C1962&lt;=60,4,IF(C1962&lt;=120,3,IF(C1962&lt;=200,2,1))))</f>
        <v/>
      </c>
      <c r="G1962" s="128">
        <f>IF(D1962&gt;=20,5,IF(D1962&gt;=10,4,IF(D1962&gt;=5,3,IF(D1962&gt;=2,2,1))))</f>
        <v/>
      </c>
      <c r="H1962" s="128">
        <f>IF(E1962&gt;=5000,5,IF(E1962&gt;=2000,4,IF(E1962&gt;=800,3,IF(E1962&gt;=300,2,1))))</f>
        <v/>
      </c>
      <c r="I1962" s="126">
        <f>TEXT(F1962,"0")&amp;TEXT(G1962,"0")&amp;TEXT(H1962,"0")</f>
        <v/>
      </c>
      <c r="J1962" s="126">
        <f>IFERROR(XLOOKUP(I1962,'Segment Map'!A:A,'Segment Map'!B:B,"Need Attention"),"Need Attention")</f>
        <v/>
      </c>
      <c r="K1962" s="126">
        <f>IF(E1962&gt;=5000,"🏆 Platinum",IF(E1962&gt;=2000,"🥇 Gold",IF(E1962&gt;=800,"🥈 Silver","🥉 Bronze")))</f>
        <v/>
      </c>
      <c r="L1962" s="129" t="n">
        <v>40882</v>
      </c>
    </row>
    <row r="1963">
      <c r="A1963" s="122" t="n">
        <v>15034</v>
      </c>
      <c r="B1963" s="122" t="inlineStr">
        <is>
          <t>United Kingdom</t>
        </is>
      </c>
      <c r="C1963" s="122" t="n">
        <v>16</v>
      </c>
      <c r="D1963" s="122" t="n">
        <v>8</v>
      </c>
      <c r="E1963" s="123" t="n">
        <v>4308.61</v>
      </c>
      <c r="F1963" s="124">
        <f>IF(C1963&lt;=30,5,IF(C1963&lt;=60,4,IF(C1963&lt;=120,3,IF(C1963&lt;=200,2,1))))</f>
        <v/>
      </c>
      <c r="G1963" s="124">
        <f>IF(D1963&gt;=20,5,IF(D1963&gt;=10,4,IF(D1963&gt;=5,3,IF(D1963&gt;=2,2,1))))</f>
        <v/>
      </c>
      <c r="H1963" s="124">
        <f>IF(E1963&gt;=5000,5,IF(E1963&gt;=2000,4,IF(E1963&gt;=800,3,IF(E1963&gt;=300,2,1))))</f>
        <v/>
      </c>
      <c r="I1963" s="122">
        <f>TEXT(F1963,"0")&amp;TEXT(G1963,"0")&amp;TEXT(H1963,"0")</f>
        <v/>
      </c>
      <c r="J1963" s="122">
        <f>IFERROR(XLOOKUP(I1963,'Segment Map'!A:A,'Segment Map'!B:B,"Need Attention"),"Need Attention")</f>
        <v/>
      </c>
      <c r="K1963" s="122">
        <f>IF(E1963&gt;=5000,"🏆 Platinum",IF(E1963&gt;=2000,"🥇 Gold",IF(E1963&gt;=800,"🥈 Silver","🥉 Bronze")))</f>
        <v/>
      </c>
      <c r="L1963" s="125" t="n">
        <v>40871</v>
      </c>
    </row>
    <row r="1964">
      <c r="A1964" s="126" t="n">
        <v>15035</v>
      </c>
      <c r="B1964" s="126" t="inlineStr">
        <is>
          <t>United Kingdom</t>
        </is>
      </c>
      <c r="C1964" s="126" t="n">
        <v>90</v>
      </c>
      <c r="D1964" s="126" t="n">
        <v>1</v>
      </c>
      <c r="E1964" s="127" t="n">
        <v>252.73</v>
      </c>
      <c r="F1964" s="128">
        <f>IF(C1964&lt;=30,5,IF(C1964&lt;=60,4,IF(C1964&lt;=120,3,IF(C1964&lt;=200,2,1))))</f>
        <v/>
      </c>
      <c r="G1964" s="128">
        <f>IF(D1964&gt;=20,5,IF(D1964&gt;=10,4,IF(D1964&gt;=5,3,IF(D1964&gt;=2,2,1))))</f>
        <v/>
      </c>
      <c r="H1964" s="128">
        <f>IF(E1964&gt;=5000,5,IF(E1964&gt;=2000,4,IF(E1964&gt;=800,3,IF(E1964&gt;=300,2,1))))</f>
        <v/>
      </c>
      <c r="I1964" s="126">
        <f>TEXT(F1964,"0")&amp;TEXT(G1964,"0")&amp;TEXT(H1964,"0")</f>
        <v/>
      </c>
      <c r="J1964" s="126">
        <f>IFERROR(XLOOKUP(I1964,'Segment Map'!A:A,'Segment Map'!B:B,"Need Attention"),"Need Attention")</f>
        <v/>
      </c>
      <c r="K1964" s="126">
        <f>IF(E1964&gt;=5000,"🏆 Platinum",IF(E1964&gt;=2000,"🥇 Gold",IF(E1964&gt;=800,"🥈 Silver","🥉 Bronze")))</f>
        <v/>
      </c>
      <c r="L1964" s="129" t="n">
        <v>40797</v>
      </c>
    </row>
    <row r="1965">
      <c r="A1965" s="122" t="n">
        <v>15036</v>
      </c>
      <c r="B1965" s="122" t="inlineStr">
        <is>
          <t>United Kingdom</t>
        </is>
      </c>
      <c r="C1965" s="122" t="n">
        <v>73</v>
      </c>
      <c r="D1965" s="122" t="n">
        <v>3</v>
      </c>
      <c r="E1965" s="123" t="n">
        <v>465.55</v>
      </c>
      <c r="F1965" s="124">
        <f>IF(C1965&lt;=30,5,IF(C1965&lt;=60,4,IF(C1965&lt;=120,3,IF(C1965&lt;=200,2,1))))</f>
        <v/>
      </c>
      <c r="G1965" s="124">
        <f>IF(D1965&gt;=20,5,IF(D1965&gt;=10,4,IF(D1965&gt;=5,3,IF(D1965&gt;=2,2,1))))</f>
        <v/>
      </c>
      <c r="H1965" s="124">
        <f>IF(E1965&gt;=5000,5,IF(E1965&gt;=2000,4,IF(E1965&gt;=800,3,IF(E1965&gt;=300,2,1))))</f>
        <v/>
      </c>
      <c r="I1965" s="122">
        <f>TEXT(F1965,"0")&amp;TEXT(G1965,"0")&amp;TEXT(H1965,"0")</f>
        <v/>
      </c>
      <c r="J1965" s="122">
        <f>IFERROR(XLOOKUP(I1965,'Segment Map'!A:A,'Segment Map'!B:B,"Need Attention"),"Need Attention")</f>
        <v/>
      </c>
      <c r="K1965" s="122">
        <f>IF(E1965&gt;=5000,"🏆 Platinum",IF(E1965&gt;=2000,"🥇 Gold",IF(E1965&gt;=800,"🥈 Silver","🥉 Bronze")))</f>
        <v/>
      </c>
      <c r="L1965" s="125" t="n">
        <v>40814</v>
      </c>
    </row>
    <row r="1966">
      <c r="A1966" s="126" t="n">
        <v>15038</v>
      </c>
      <c r="B1966" s="126" t="inlineStr">
        <is>
          <t>United Kingdom</t>
        </is>
      </c>
      <c r="C1966" s="126" t="n">
        <v>59</v>
      </c>
      <c r="D1966" s="126" t="n">
        <v>6</v>
      </c>
      <c r="E1966" s="127" t="n">
        <v>705.49</v>
      </c>
      <c r="F1966" s="128">
        <f>IF(C1966&lt;=30,5,IF(C1966&lt;=60,4,IF(C1966&lt;=120,3,IF(C1966&lt;=200,2,1))))</f>
        <v/>
      </c>
      <c r="G1966" s="128">
        <f>IF(D1966&gt;=20,5,IF(D1966&gt;=10,4,IF(D1966&gt;=5,3,IF(D1966&gt;=2,2,1))))</f>
        <v/>
      </c>
      <c r="H1966" s="128">
        <f>IF(E1966&gt;=5000,5,IF(E1966&gt;=2000,4,IF(E1966&gt;=800,3,IF(E1966&gt;=300,2,1))))</f>
        <v/>
      </c>
      <c r="I1966" s="126">
        <f>TEXT(F1966,"0")&amp;TEXT(G1966,"0")&amp;TEXT(H1966,"0")</f>
        <v/>
      </c>
      <c r="J1966" s="126">
        <f>IFERROR(XLOOKUP(I1966,'Segment Map'!A:A,'Segment Map'!B:B,"Need Attention"),"Need Attention")</f>
        <v/>
      </c>
      <c r="K1966" s="126">
        <f>IF(E1966&gt;=5000,"🏆 Platinum",IF(E1966&gt;=2000,"🥇 Gold",IF(E1966&gt;=800,"🥈 Silver","🥉 Bronze")))</f>
        <v/>
      </c>
      <c r="L1966" s="129" t="n">
        <v>40828</v>
      </c>
    </row>
    <row r="1967">
      <c r="A1967" s="122" t="n">
        <v>15039</v>
      </c>
      <c r="B1967" s="122" t="inlineStr">
        <is>
          <t>United Kingdom</t>
        </is>
      </c>
      <c r="C1967" s="122" t="n">
        <v>10</v>
      </c>
      <c r="D1967" s="122" t="n">
        <v>47</v>
      </c>
      <c r="E1967" s="123" t="n">
        <v>19914.44</v>
      </c>
      <c r="F1967" s="124">
        <f>IF(C1967&lt;=30,5,IF(C1967&lt;=60,4,IF(C1967&lt;=120,3,IF(C1967&lt;=200,2,1))))</f>
        <v/>
      </c>
      <c r="G1967" s="124">
        <f>IF(D1967&gt;=20,5,IF(D1967&gt;=10,4,IF(D1967&gt;=5,3,IF(D1967&gt;=2,2,1))))</f>
        <v/>
      </c>
      <c r="H1967" s="124">
        <f>IF(E1967&gt;=5000,5,IF(E1967&gt;=2000,4,IF(E1967&gt;=800,3,IF(E1967&gt;=300,2,1))))</f>
        <v/>
      </c>
      <c r="I1967" s="122">
        <f>TEXT(F1967,"0")&amp;TEXT(G1967,"0")&amp;TEXT(H1967,"0")</f>
        <v/>
      </c>
      <c r="J1967" s="122">
        <f>IFERROR(XLOOKUP(I1967,'Segment Map'!A:A,'Segment Map'!B:B,"Need Attention"),"Need Attention")</f>
        <v/>
      </c>
      <c r="K1967" s="122">
        <f>IF(E1967&gt;=5000,"🏆 Platinum",IF(E1967&gt;=2000,"🥇 Gold",IF(E1967&gt;=800,"🥈 Silver","🥉 Bronze")))</f>
        <v/>
      </c>
      <c r="L1967" s="125" t="n">
        <v>40877</v>
      </c>
    </row>
    <row r="1968">
      <c r="A1968" s="126" t="n">
        <v>15041</v>
      </c>
      <c r="B1968" s="126" t="inlineStr">
        <is>
          <t>United Kingdom</t>
        </is>
      </c>
      <c r="C1968" s="126" t="n">
        <v>171</v>
      </c>
      <c r="D1968" s="126" t="n">
        <v>1</v>
      </c>
      <c r="E1968" s="127" t="n">
        <v>180.35</v>
      </c>
      <c r="F1968" s="128">
        <f>IF(C1968&lt;=30,5,IF(C1968&lt;=60,4,IF(C1968&lt;=120,3,IF(C1968&lt;=200,2,1))))</f>
        <v/>
      </c>
      <c r="G1968" s="128">
        <f>IF(D1968&gt;=20,5,IF(D1968&gt;=10,4,IF(D1968&gt;=5,3,IF(D1968&gt;=2,2,1))))</f>
        <v/>
      </c>
      <c r="H1968" s="128">
        <f>IF(E1968&gt;=5000,5,IF(E1968&gt;=2000,4,IF(E1968&gt;=800,3,IF(E1968&gt;=300,2,1))))</f>
        <v/>
      </c>
      <c r="I1968" s="126">
        <f>TEXT(F1968,"0")&amp;TEXT(G1968,"0")&amp;TEXT(H1968,"0")</f>
        <v/>
      </c>
      <c r="J1968" s="126">
        <f>IFERROR(XLOOKUP(I1968,'Segment Map'!A:A,'Segment Map'!B:B,"Need Attention"),"Need Attention")</f>
        <v/>
      </c>
      <c r="K1968" s="126">
        <f>IF(E1968&gt;=5000,"🏆 Platinum",IF(E1968&gt;=2000,"🥇 Gold",IF(E1968&gt;=800,"🥈 Silver","🥉 Bronze")))</f>
        <v/>
      </c>
      <c r="L1968" s="129" t="n">
        <v>40716</v>
      </c>
    </row>
    <row r="1969">
      <c r="A1969" s="122" t="n">
        <v>15042</v>
      </c>
      <c r="B1969" s="122" t="inlineStr">
        <is>
          <t>United Kingdom</t>
        </is>
      </c>
      <c r="C1969" s="122" t="n">
        <v>200</v>
      </c>
      <c r="D1969" s="122" t="n">
        <v>1</v>
      </c>
      <c r="E1969" s="123" t="n">
        <v>135.93</v>
      </c>
      <c r="F1969" s="124">
        <f>IF(C1969&lt;=30,5,IF(C1969&lt;=60,4,IF(C1969&lt;=120,3,IF(C1969&lt;=200,2,1))))</f>
        <v/>
      </c>
      <c r="G1969" s="124">
        <f>IF(D1969&gt;=20,5,IF(D1969&gt;=10,4,IF(D1969&gt;=5,3,IF(D1969&gt;=2,2,1))))</f>
        <v/>
      </c>
      <c r="H1969" s="124">
        <f>IF(E1969&gt;=5000,5,IF(E1969&gt;=2000,4,IF(E1969&gt;=800,3,IF(E1969&gt;=300,2,1))))</f>
        <v/>
      </c>
      <c r="I1969" s="122">
        <f>TEXT(F1969,"0")&amp;TEXT(G1969,"0")&amp;TEXT(H1969,"0")</f>
        <v/>
      </c>
      <c r="J1969" s="122">
        <f>IFERROR(XLOOKUP(I1969,'Segment Map'!A:A,'Segment Map'!B:B,"Need Attention"),"Need Attention")</f>
        <v/>
      </c>
      <c r="K1969" s="122">
        <f>IF(E1969&gt;=5000,"🏆 Platinum",IF(E1969&gt;=2000,"🥇 Gold",IF(E1969&gt;=800,"🥈 Silver","🥉 Bronze")))</f>
        <v/>
      </c>
      <c r="L1969" s="125" t="n">
        <v>40687</v>
      </c>
    </row>
    <row r="1970">
      <c r="A1970" s="126" t="n">
        <v>15043</v>
      </c>
      <c r="B1970" s="126" t="inlineStr">
        <is>
          <t>United Kingdom</t>
        </is>
      </c>
      <c r="C1970" s="126" t="n">
        <v>32</v>
      </c>
      <c r="D1970" s="126" t="n">
        <v>1</v>
      </c>
      <c r="E1970" s="127" t="n">
        <v>537</v>
      </c>
      <c r="F1970" s="128">
        <f>IF(C1970&lt;=30,5,IF(C1970&lt;=60,4,IF(C1970&lt;=120,3,IF(C1970&lt;=200,2,1))))</f>
        <v/>
      </c>
      <c r="G1970" s="128">
        <f>IF(D1970&gt;=20,5,IF(D1970&gt;=10,4,IF(D1970&gt;=5,3,IF(D1970&gt;=2,2,1))))</f>
        <v/>
      </c>
      <c r="H1970" s="128">
        <f>IF(E1970&gt;=5000,5,IF(E1970&gt;=2000,4,IF(E1970&gt;=800,3,IF(E1970&gt;=300,2,1))))</f>
        <v/>
      </c>
      <c r="I1970" s="126">
        <f>TEXT(F1970,"0")&amp;TEXT(G1970,"0")&amp;TEXT(H1970,"0")</f>
        <v/>
      </c>
      <c r="J1970" s="126">
        <f>IFERROR(XLOOKUP(I1970,'Segment Map'!A:A,'Segment Map'!B:B,"Need Attention"),"Need Attention")</f>
        <v/>
      </c>
      <c r="K1970" s="126">
        <f>IF(E1970&gt;=5000,"🏆 Platinum",IF(E1970&gt;=2000,"🥇 Gold",IF(E1970&gt;=800,"🥈 Silver","🥉 Bronze")))</f>
        <v/>
      </c>
      <c r="L1970" s="129" t="n">
        <v>40855</v>
      </c>
    </row>
    <row r="1971">
      <c r="A1971" s="122" t="n">
        <v>15044</v>
      </c>
      <c r="B1971" s="122" t="inlineStr">
        <is>
          <t>United Kingdom</t>
        </is>
      </c>
      <c r="C1971" s="122" t="n">
        <v>20</v>
      </c>
      <c r="D1971" s="122" t="n">
        <v>17</v>
      </c>
      <c r="E1971" s="123" t="n">
        <v>7700.23</v>
      </c>
      <c r="F1971" s="124">
        <f>IF(C1971&lt;=30,5,IF(C1971&lt;=60,4,IF(C1971&lt;=120,3,IF(C1971&lt;=200,2,1))))</f>
        <v/>
      </c>
      <c r="G1971" s="124">
        <f>IF(D1971&gt;=20,5,IF(D1971&gt;=10,4,IF(D1971&gt;=5,3,IF(D1971&gt;=2,2,1))))</f>
        <v/>
      </c>
      <c r="H1971" s="124">
        <f>IF(E1971&gt;=5000,5,IF(E1971&gt;=2000,4,IF(E1971&gt;=800,3,IF(E1971&gt;=300,2,1))))</f>
        <v/>
      </c>
      <c r="I1971" s="122">
        <f>TEXT(F1971,"0")&amp;TEXT(G1971,"0")&amp;TEXT(H1971,"0")</f>
        <v/>
      </c>
      <c r="J1971" s="122">
        <f>IFERROR(XLOOKUP(I1971,'Segment Map'!A:A,'Segment Map'!B:B,"Need Attention"),"Need Attention")</f>
        <v/>
      </c>
      <c r="K1971" s="122">
        <f>IF(E1971&gt;=5000,"🏆 Platinum",IF(E1971&gt;=2000,"🥇 Gold",IF(E1971&gt;=800,"🥈 Silver","🥉 Bronze")))</f>
        <v/>
      </c>
      <c r="L1971" s="125" t="n">
        <v>40867</v>
      </c>
    </row>
    <row r="1972">
      <c r="A1972" s="126" t="n">
        <v>15045</v>
      </c>
      <c r="B1972" s="126" t="inlineStr">
        <is>
          <t>United Kingdom</t>
        </is>
      </c>
      <c r="C1972" s="126" t="n">
        <v>152</v>
      </c>
      <c r="D1972" s="126" t="n">
        <v>2</v>
      </c>
      <c r="E1972" s="127" t="n">
        <v>735.66</v>
      </c>
      <c r="F1972" s="128">
        <f>IF(C1972&lt;=30,5,IF(C1972&lt;=60,4,IF(C1972&lt;=120,3,IF(C1972&lt;=200,2,1))))</f>
        <v/>
      </c>
      <c r="G1972" s="128">
        <f>IF(D1972&gt;=20,5,IF(D1972&gt;=10,4,IF(D1972&gt;=5,3,IF(D1972&gt;=2,2,1))))</f>
        <v/>
      </c>
      <c r="H1972" s="128">
        <f>IF(E1972&gt;=5000,5,IF(E1972&gt;=2000,4,IF(E1972&gt;=800,3,IF(E1972&gt;=300,2,1))))</f>
        <v/>
      </c>
      <c r="I1972" s="126">
        <f>TEXT(F1972,"0")&amp;TEXT(G1972,"0")&amp;TEXT(H1972,"0")</f>
        <v/>
      </c>
      <c r="J1972" s="126">
        <f>IFERROR(XLOOKUP(I1972,'Segment Map'!A:A,'Segment Map'!B:B,"Need Attention"),"Need Attention")</f>
        <v/>
      </c>
      <c r="K1972" s="126">
        <f>IF(E1972&gt;=5000,"🏆 Platinum",IF(E1972&gt;=2000,"🥇 Gold",IF(E1972&gt;=800,"🥈 Silver","🥉 Bronze")))</f>
        <v/>
      </c>
      <c r="L1972" s="129" t="n">
        <v>40735</v>
      </c>
    </row>
    <row r="1973">
      <c r="A1973" s="122" t="n">
        <v>15046</v>
      </c>
      <c r="B1973" s="122" t="inlineStr">
        <is>
          <t>United Kingdom</t>
        </is>
      </c>
      <c r="C1973" s="122" t="n">
        <v>10</v>
      </c>
      <c r="D1973" s="122" t="n">
        <v>15</v>
      </c>
      <c r="E1973" s="123" t="n">
        <v>5213.77</v>
      </c>
      <c r="F1973" s="124">
        <f>IF(C1973&lt;=30,5,IF(C1973&lt;=60,4,IF(C1973&lt;=120,3,IF(C1973&lt;=200,2,1))))</f>
        <v/>
      </c>
      <c r="G1973" s="124">
        <f>IF(D1973&gt;=20,5,IF(D1973&gt;=10,4,IF(D1973&gt;=5,3,IF(D1973&gt;=2,2,1))))</f>
        <v/>
      </c>
      <c r="H1973" s="124">
        <f>IF(E1973&gt;=5000,5,IF(E1973&gt;=2000,4,IF(E1973&gt;=800,3,IF(E1973&gt;=300,2,1))))</f>
        <v/>
      </c>
      <c r="I1973" s="122">
        <f>TEXT(F1973,"0")&amp;TEXT(G1973,"0")&amp;TEXT(H1973,"0")</f>
        <v/>
      </c>
      <c r="J1973" s="122">
        <f>IFERROR(XLOOKUP(I1973,'Segment Map'!A:A,'Segment Map'!B:B,"Need Attention"),"Need Attention")</f>
        <v/>
      </c>
      <c r="K1973" s="122">
        <f>IF(E1973&gt;=5000,"🏆 Platinum",IF(E1973&gt;=2000,"🥇 Gold",IF(E1973&gt;=800,"🥈 Silver","🥉 Bronze")))</f>
        <v/>
      </c>
      <c r="L1973" s="125" t="n">
        <v>40877</v>
      </c>
    </row>
    <row r="1974">
      <c r="A1974" s="126" t="n">
        <v>15047</v>
      </c>
      <c r="B1974" s="126" t="inlineStr">
        <is>
          <t>United Kingdom</t>
        </is>
      </c>
      <c r="C1974" s="126" t="n">
        <v>270</v>
      </c>
      <c r="D1974" s="126" t="n">
        <v>1</v>
      </c>
      <c r="E1974" s="127" t="n">
        <v>343.62</v>
      </c>
      <c r="F1974" s="128">
        <f>IF(C1974&lt;=30,5,IF(C1974&lt;=60,4,IF(C1974&lt;=120,3,IF(C1974&lt;=200,2,1))))</f>
        <v/>
      </c>
      <c r="G1974" s="128">
        <f>IF(D1974&gt;=20,5,IF(D1974&gt;=10,4,IF(D1974&gt;=5,3,IF(D1974&gt;=2,2,1))))</f>
        <v/>
      </c>
      <c r="H1974" s="128">
        <f>IF(E1974&gt;=5000,5,IF(E1974&gt;=2000,4,IF(E1974&gt;=800,3,IF(E1974&gt;=300,2,1))))</f>
        <v/>
      </c>
      <c r="I1974" s="126">
        <f>TEXT(F1974,"0")&amp;TEXT(G1974,"0")&amp;TEXT(H1974,"0")</f>
        <v/>
      </c>
      <c r="J1974" s="126">
        <f>IFERROR(XLOOKUP(I1974,'Segment Map'!A:A,'Segment Map'!B:B,"Need Attention"),"Need Attention")</f>
        <v/>
      </c>
      <c r="K1974" s="126">
        <f>IF(E1974&gt;=5000,"🏆 Platinum",IF(E1974&gt;=2000,"🥇 Gold",IF(E1974&gt;=800,"🥈 Silver","🥉 Bronze")))</f>
        <v/>
      </c>
      <c r="L1974" s="129" t="n">
        <v>40617</v>
      </c>
    </row>
    <row r="1975">
      <c r="A1975" s="122" t="n">
        <v>15048</v>
      </c>
      <c r="B1975" s="122" t="inlineStr">
        <is>
          <t>United Kingdom</t>
        </is>
      </c>
      <c r="C1975" s="122" t="n">
        <v>66</v>
      </c>
      <c r="D1975" s="122" t="n">
        <v>4</v>
      </c>
      <c r="E1975" s="123" t="n">
        <v>384.05</v>
      </c>
      <c r="F1975" s="124">
        <f>IF(C1975&lt;=30,5,IF(C1975&lt;=60,4,IF(C1975&lt;=120,3,IF(C1975&lt;=200,2,1))))</f>
        <v/>
      </c>
      <c r="G1975" s="124">
        <f>IF(D1975&gt;=20,5,IF(D1975&gt;=10,4,IF(D1975&gt;=5,3,IF(D1975&gt;=2,2,1))))</f>
        <v/>
      </c>
      <c r="H1975" s="124">
        <f>IF(E1975&gt;=5000,5,IF(E1975&gt;=2000,4,IF(E1975&gt;=800,3,IF(E1975&gt;=300,2,1))))</f>
        <v/>
      </c>
      <c r="I1975" s="122">
        <f>TEXT(F1975,"0")&amp;TEXT(G1975,"0")&amp;TEXT(H1975,"0")</f>
        <v/>
      </c>
      <c r="J1975" s="122">
        <f>IFERROR(XLOOKUP(I1975,'Segment Map'!A:A,'Segment Map'!B:B,"Need Attention"),"Need Attention")</f>
        <v/>
      </c>
      <c r="K1975" s="122">
        <f>IF(E1975&gt;=5000,"🏆 Platinum",IF(E1975&gt;=2000,"🥇 Gold",IF(E1975&gt;=800,"🥈 Silver","🥉 Bronze")))</f>
        <v/>
      </c>
      <c r="L1975" s="125" t="n">
        <v>40821</v>
      </c>
    </row>
    <row r="1976">
      <c r="A1976" s="126" t="n">
        <v>15049</v>
      </c>
      <c r="B1976" s="126" t="inlineStr">
        <is>
          <t>United Kingdom</t>
        </is>
      </c>
      <c r="C1976" s="126" t="n">
        <v>274</v>
      </c>
      <c r="D1976" s="126" t="n">
        <v>1</v>
      </c>
      <c r="E1976" s="127" t="n">
        <v>121.17</v>
      </c>
      <c r="F1976" s="128">
        <f>IF(C1976&lt;=30,5,IF(C1976&lt;=60,4,IF(C1976&lt;=120,3,IF(C1976&lt;=200,2,1))))</f>
        <v/>
      </c>
      <c r="G1976" s="128">
        <f>IF(D1976&gt;=20,5,IF(D1976&gt;=10,4,IF(D1976&gt;=5,3,IF(D1976&gt;=2,2,1))))</f>
        <v/>
      </c>
      <c r="H1976" s="128">
        <f>IF(E1976&gt;=5000,5,IF(E1976&gt;=2000,4,IF(E1976&gt;=800,3,IF(E1976&gt;=300,2,1))))</f>
        <v/>
      </c>
      <c r="I1976" s="126">
        <f>TEXT(F1976,"0")&amp;TEXT(G1976,"0")&amp;TEXT(H1976,"0")</f>
        <v/>
      </c>
      <c r="J1976" s="126">
        <f>IFERROR(XLOOKUP(I1976,'Segment Map'!A:A,'Segment Map'!B:B,"Need Attention"),"Need Attention")</f>
        <v/>
      </c>
      <c r="K1976" s="126">
        <f>IF(E1976&gt;=5000,"🏆 Platinum",IF(E1976&gt;=2000,"🥇 Gold",IF(E1976&gt;=800,"🥈 Silver","🥉 Bronze")))</f>
        <v/>
      </c>
      <c r="L1976" s="129" t="n">
        <v>40613</v>
      </c>
    </row>
    <row r="1977">
      <c r="A1977" s="122" t="n">
        <v>15050</v>
      </c>
      <c r="B1977" s="122" t="inlineStr">
        <is>
          <t>United Kingdom</t>
        </is>
      </c>
      <c r="C1977" s="122" t="n">
        <v>26</v>
      </c>
      <c r="D1977" s="122" t="n">
        <v>3</v>
      </c>
      <c r="E1977" s="123" t="n">
        <v>1782.09</v>
      </c>
      <c r="F1977" s="124">
        <f>IF(C1977&lt;=30,5,IF(C1977&lt;=60,4,IF(C1977&lt;=120,3,IF(C1977&lt;=200,2,1))))</f>
        <v/>
      </c>
      <c r="G1977" s="124">
        <f>IF(D1977&gt;=20,5,IF(D1977&gt;=10,4,IF(D1977&gt;=5,3,IF(D1977&gt;=2,2,1))))</f>
        <v/>
      </c>
      <c r="H1977" s="124">
        <f>IF(E1977&gt;=5000,5,IF(E1977&gt;=2000,4,IF(E1977&gt;=800,3,IF(E1977&gt;=300,2,1))))</f>
        <v/>
      </c>
      <c r="I1977" s="122">
        <f>TEXT(F1977,"0")&amp;TEXT(G1977,"0")&amp;TEXT(H1977,"0")</f>
        <v/>
      </c>
      <c r="J1977" s="122">
        <f>IFERROR(XLOOKUP(I1977,'Segment Map'!A:A,'Segment Map'!B:B,"Need Attention"),"Need Attention")</f>
        <v/>
      </c>
      <c r="K1977" s="122">
        <f>IF(E1977&gt;=5000,"🏆 Platinum",IF(E1977&gt;=2000,"🥇 Gold",IF(E1977&gt;=800,"🥈 Silver","🥉 Bronze")))</f>
        <v/>
      </c>
      <c r="L1977" s="125" t="n">
        <v>40861</v>
      </c>
    </row>
    <row r="1978">
      <c r="A1978" s="126" t="n">
        <v>15051</v>
      </c>
      <c r="B1978" s="126" t="inlineStr">
        <is>
          <t>United Kingdom</t>
        </is>
      </c>
      <c r="C1978" s="126" t="n">
        <v>24</v>
      </c>
      <c r="D1978" s="126" t="n">
        <v>3</v>
      </c>
      <c r="E1978" s="127" t="n">
        <v>1391.61</v>
      </c>
      <c r="F1978" s="128">
        <f>IF(C1978&lt;=30,5,IF(C1978&lt;=60,4,IF(C1978&lt;=120,3,IF(C1978&lt;=200,2,1))))</f>
        <v/>
      </c>
      <c r="G1978" s="128">
        <f>IF(D1978&gt;=20,5,IF(D1978&gt;=10,4,IF(D1978&gt;=5,3,IF(D1978&gt;=2,2,1))))</f>
        <v/>
      </c>
      <c r="H1978" s="128">
        <f>IF(E1978&gt;=5000,5,IF(E1978&gt;=2000,4,IF(E1978&gt;=800,3,IF(E1978&gt;=300,2,1))))</f>
        <v/>
      </c>
      <c r="I1978" s="126">
        <f>TEXT(F1978,"0")&amp;TEXT(G1978,"0")&amp;TEXT(H1978,"0")</f>
        <v/>
      </c>
      <c r="J1978" s="126">
        <f>IFERROR(XLOOKUP(I1978,'Segment Map'!A:A,'Segment Map'!B:B,"Need Attention"),"Need Attention")</f>
        <v/>
      </c>
      <c r="K1978" s="126">
        <f>IF(E1978&gt;=5000,"🏆 Platinum",IF(E1978&gt;=2000,"🥇 Gold",IF(E1978&gt;=800,"🥈 Silver","🥉 Bronze")))</f>
        <v/>
      </c>
      <c r="L1978" s="129" t="n">
        <v>40863</v>
      </c>
    </row>
    <row r="1979">
      <c r="A1979" s="122" t="n">
        <v>15052</v>
      </c>
      <c r="B1979" s="122" t="inlineStr">
        <is>
          <t>United Kingdom</t>
        </is>
      </c>
      <c r="C1979" s="122" t="n">
        <v>320</v>
      </c>
      <c r="D1979" s="122" t="n">
        <v>1</v>
      </c>
      <c r="E1979" s="123" t="n">
        <v>215.78</v>
      </c>
      <c r="F1979" s="124">
        <f>IF(C1979&lt;=30,5,IF(C1979&lt;=60,4,IF(C1979&lt;=120,3,IF(C1979&lt;=200,2,1))))</f>
        <v/>
      </c>
      <c r="G1979" s="124">
        <f>IF(D1979&gt;=20,5,IF(D1979&gt;=10,4,IF(D1979&gt;=5,3,IF(D1979&gt;=2,2,1))))</f>
        <v/>
      </c>
      <c r="H1979" s="124">
        <f>IF(E1979&gt;=5000,5,IF(E1979&gt;=2000,4,IF(E1979&gt;=800,3,IF(E1979&gt;=300,2,1))))</f>
        <v/>
      </c>
      <c r="I1979" s="122">
        <f>TEXT(F1979,"0")&amp;TEXT(G1979,"0")&amp;TEXT(H1979,"0")</f>
        <v/>
      </c>
      <c r="J1979" s="122">
        <f>IFERROR(XLOOKUP(I1979,'Segment Map'!A:A,'Segment Map'!B:B,"Need Attention"),"Need Attention")</f>
        <v/>
      </c>
      <c r="K1979" s="122">
        <f>IF(E1979&gt;=5000,"🏆 Platinum",IF(E1979&gt;=2000,"🥇 Gold",IF(E1979&gt;=800,"🥈 Silver","🥉 Bronze")))</f>
        <v/>
      </c>
      <c r="L1979" s="125" t="n">
        <v>40567</v>
      </c>
    </row>
    <row r="1980">
      <c r="A1980" s="126" t="n">
        <v>15053</v>
      </c>
      <c r="B1980" s="126" t="inlineStr">
        <is>
          <t>United Kingdom</t>
        </is>
      </c>
      <c r="C1980" s="126" t="n">
        <v>5</v>
      </c>
      <c r="D1980" s="126" t="n">
        <v>3</v>
      </c>
      <c r="E1980" s="127" t="n">
        <v>697.79</v>
      </c>
      <c r="F1980" s="128">
        <f>IF(C1980&lt;=30,5,IF(C1980&lt;=60,4,IF(C1980&lt;=120,3,IF(C1980&lt;=200,2,1))))</f>
        <v/>
      </c>
      <c r="G1980" s="128">
        <f>IF(D1980&gt;=20,5,IF(D1980&gt;=10,4,IF(D1980&gt;=5,3,IF(D1980&gt;=2,2,1))))</f>
        <v/>
      </c>
      <c r="H1980" s="128">
        <f>IF(E1980&gt;=5000,5,IF(E1980&gt;=2000,4,IF(E1980&gt;=800,3,IF(E1980&gt;=300,2,1))))</f>
        <v/>
      </c>
      <c r="I1980" s="126">
        <f>TEXT(F1980,"0")&amp;TEXT(G1980,"0")&amp;TEXT(H1980,"0")</f>
        <v/>
      </c>
      <c r="J1980" s="126">
        <f>IFERROR(XLOOKUP(I1980,'Segment Map'!A:A,'Segment Map'!B:B,"Need Attention"),"Need Attention")</f>
        <v/>
      </c>
      <c r="K1980" s="126">
        <f>IF(E1980&gt;=5000,"🏆 Platinum",IF(E1980&gt;=2000,"🥇 Gold",IF(E1980&gt;=800,"🥈 Silver","🥉 Bronze")))</f>
        <v/>
      </c>
      <c r="L1980" s="129" t="n">
        <v>40882</v>
      </c>
    </row>
    <row r="1981">
      <c r="A1981" s="122" t="n">
        <v>15054</v>
      </c>
      <c r="B1981" s="122" t="inlineStr">
        <is>
          <t>United Kingdom</t>
        </is>
      </c>
      <c r="C1981" s="122" t="n">
        <v>13</v>
      </c>
      <c r="D1981" s="122" t="n">
        <v>2</v>
      </c>
      <c r="E1981" s="123" t="n">
        <v>302.1</v>
      </c>
      <c r="F1981" s="124">
        <f>IF(C1981&lt;=30,5,IF(C1981&lt;=60,4,IF(C1981&lt;=120,3,IF(C1981&lt;=200,2,1))))</f>
        <v/>
      </c>
      <c r="G1981" s="124">
        <f>IF(D1981&gt;=20,5,IF(D1981&gt;=10,4,IF(D1981&gt;=5,3,IF(D1981&gt;=2,2,1))))</f>
        <v/>
      </c>
      <c r="H1981" s="124">
        <f>IF(E1981&gt;=5000,5,IF(E1981&gt;=2000,4,IF(E1981&gt;=800,3,IF(E1981&gt;=300,2,1))))</f>
        <v/>
      </c>
      <c r="I1981" s="122">
        <f>TEXT(F1981,"0")&amp;TEXT(G1981,"0")&amp;TEXT(H1981,"0")</f>
        <v/>
      </c>
      <c r="J1981" s="122">
        <f>IFERROR(XLOOKUP(I1981,'Segment Map'!A:A,'Segment Map'!B:B,"Need Attention"),"Need Attention")</f>
        <v/>
      </c>
      <c r="K1981" s="122">
        <f>IF(E1981&gt;=5000,"🏆 Platinum",IF(E1981&gt;=2000,"🥇 Gold",IF(E1981&gt;=800,"🥈 Silver","🥉 Bronze")))</f>
        <v/>
      </c>
      <c r="L1981" s="125" t="n">
        <v>40874</v>
      </c>
    </row>
    <row r="1982">
      <c r="A1982" s="126" t="n">
        <v>15057</v>
      </c>
      <c r="B1982" s="126" t="inlineStr">
        <is>
          <t>United Kingdom</t>
        </is>
      </c>
      <c r="C1982" s="126" t="n">
        <v>276</v>
      </c>
      <c r="D1982" s="126" t="n">
        <v>2</v>
      </c>
      <c r="E1982" s="127" t="n">
        <v>1489.5</v>
      </c>
      <c r="F1982" s="128">
        <f>IF(C1982&lt;=30,5,IF(C1982&lt;=60,4,IF(C1982&lt;=120,3,IF(C1982&lt;=200,2,1))))</f>
        <v/>
      </c>
      <c r="G1982" s="128">
        <f>IF(D1982&gt;=20,5,IF(D1982&gt;=10,4,IF(D1982&gt;=5,3,IF(D1982&gt;=2,2,1))))</f>
        <v/>
      </c>
      <c r="H1982" s="128">
        <f>IF(E1982&gt;=5000,5,IF(E1982&gt;=2000,4,IF(E1982&gt;=800,3,IF(E1982&gt;=300,2,1))))</f>
        <v/>
      </c>
      <c r="I1982" s="126">
        <f>TEXT(F1982,"0")&amp;TEXT(G1982,"0")&amp;TEXT(H1982,"0")</f>
        <v/>
      </c>
      <c r="J1982" s="126">
        <f>IFERROR(XLOOKUP(I1982,'Segment Map'!A:A,'Segment Map'!B:B,"Need Attention"),"Need Attention")</f>
        <v/>
      </c>
      <c r="K1982" s="126">
        <f>IF(E1982&gt;=5000,"🏆 Platinum",IF(E1982&gt;=2000,"🥇 Gold",IF(E1982&gt;=800,"🥈 Silver","🥉 Bronze")))</f>
        <v/>
      </c>
      <c r="L1982" s="129" t="n">
        <v>40611</v>
      </c>
    </row>
    <row r="1983">
      <c r="A1983" s="122" t="n">
        <v>15058</v>
      </c>
      <c r="B1983" s="122" t="inlineStr">
        <is>
          <t>United Kingdom</t>
        </is>
      </c>
      <c r="C1983" s="122" t="n">
        <v>26</v>
      </c>
      <c r="D1983" s="122" t="n">
        <v>11</v>
      </c>
      <c r="E1983" s="123" t="n">
        <v>2124.99</v>
      </c>
      <c r="F1983" s="124">
        <f>IF(C1983&lt;=30,5,IF(C1983&lt;=60,4,IF(C1983&lt;=120,3,IF(C1983&lt;=200,2,1))))</f>
        <v/>
      </c>
      <c r="G1983" s="124">
        <f>IF(D1983&gt;=20,5,IF(D1983&gt;=10,4,IF(D1983&gt;=5,3,IF(D1983&gt;=2,2,1))))</f>
        <v/>
      </c>
      <c r="H1983" s="124">
        <f>IF(E1983&gt;=5000,5,IF(E1983&gt;=2000,4,IF(E1983&gt;=800,3,IF(E1983&gt;=300,2,1))))</f>
        <v/>
      </c>
      <c r="I1983" s="122">
        <f>TEXT(F1983,"0")&amp;TEXT(G1983,"0")&amp;TEXT(H1983,"0")</f>
        <v/>
      </c>
      <c r="J1983" s="122">
        <f>IFERROR(XLOOKUP(I1983,'Segment Map'!A:A,'Segment Map'!B:B,"Need Attention"),"Need Attention")</f>
        <v/>
      </c>
      <c r="K1983" s="122">
        <f>IF(E1983&gt;=5000,"🏆 Platinum",IF(E1983&gt;=2000,"🥇 Gold",IF(E1983&gt;=800,"🥈 Silver","🥉 Bronze")))</f>
        <v/>
      </c>
      <c r="L1983" s="125" t="n">
        <v>40861</v>
      </c>
    </row>
    <row r="1984">
      <c r="A1984" s="126" t="n">
        <v>15059</v>
      </c>
      <c r="B1984" s="126" t="inlineStr">
        <is>
          <t>United Kingdom</t>
        </is>
      </c>
      <c r="C1984" s="126" t="n">
        <v>41</v>
      </c>
      <c r="D1984" s="126" t="n">
        <v>9</v>
      </c>
      <c r="E1984" s="127" t="n">
        <v>1337.72</v>
      </c>
      <c r="F1984" s="128">
        <f>IF(C1984&lt;=30,5,IF(C1984&lt;=60,4,IF(C1984&lt;=120,3,IF(C1984&lt;=200,2,1))))</f>
        <v/>
      </c>
      <c r="G1984" s="128">
        <f>IF(D1984&gt;=20,5,IF(D1984&gt;=10,4,IF(D1984&gt;=5,3,IF(D1984&gt;=2,2,1))))</f>
        <v/>
      </c>
      <c r="H1984" s="128">
        <f>IF(E1984&gt;=5000,5,IF(E1984&gt;=2000,4,IF(E1984&gt;=800,3,IF(E1984&gt;=300,2,1))))</f>
        <v/>
      </c>
      <c r="I1984" s="126">
        <f>TEXT(F1984,"0")&amp;TEXT(G1984,"0")&amp;TEXT(H1984,"0")</f>
        <v/>
      </c>
      <c r="J1984" s="126">
        <f>IFERROR(XLOOKUP(I1984,'Segment Map'!A:A,'Segment Map'!B:B,"Need Attention"),"Need Attention")</f>
        <v/>
      </c>
      <c r="K1984" s="126">
        <f>IF(E1984&gt;=5000,"🏆 Platinum",IF(E1984&gt;=2000,"🥇 Gold",IF(E1984&gt;=800,"🥈 Silver","🥉 Bronze")))</f>
        <v/>
      </c>
      <c r="L1984" s="129" t="n">
        <v>40846</v>
      </c>
    </row>
    <row r="1985">
      <c r="A1985" s="122" t="n">
        <v>15060</v>
      </c>
      <c r="B1985" s="122" t="inlineStr">
        <is>
          <t>United Kingdom</t>
        </is>
      </c>
      <c r="C1985" s="122" t="n">
        <v>9</v>
      </c>
      <c r="D1985" s="122" t="n">
        <v>4</v>
      </c>
      <c r="E1985" s="123" t="n">
        <v>303.09</v>
      </c>
      <c r="F1985" s="124">
        <f>IF(C1985&lt;=30,5,IF(C1985&lt;=60,4,IF(C1985&lt;=120,3,IF(C1985&lt;=200,2,1))))</f>
        <v/>
      </c>
      <c r="G1985" s="124">
        <f>IF(D1985&gt;=20,5,IF(D1985&gt;=10,4,IF(D1985&gt;=5,3,IF(D1985&gt;=2,2,1))))</f>
        <v/>
      </c>
      <c r="H1985" s="124">
        <f>IF(E1985&gt;=5000,5,IF(E1985&gt;=2000,4,IF(E1985&gt;=800,3,IF(E1985&gt;=300,2,1))))</f>
        <v/>
      </c>
      <c r="I1985" s="122">
        <f>TEXT(F1985,"0")&amp;TEXT(G1985,"0")&amp;TEXT(H1985,"0")</f>
        <v/>
      </c>
      <c r="J1985" s="122">
        <f>IFERROR(XLOOKUP(I1985,'Segment Map'!A:A,'Segment Map'!B:B,"Need Attention"),"Need Attention")</f>
        <v/>
      </c>
      <c r="K1985" s="122">
        <f>IF(E1985&gt;=5000,"🏆 Platinum",IF(E1985&gt;=2000,"🥇 Gold",IF(E1985&gt;=800,"🥈 Silver","🥉 Bronze")))</f>
        <v/>
      </c>
      <c r="L1985" s="125" t="n">
        <v>40878</v>
      </c>
    </row>
    <row r="1986">
      <c r="A1986" s="126" t="n">
        <v>15061</v>
      </c>
      <c r="B1986" s="126" t="inlineStr">
        <is>
          <t>United Kingdom</t>
        </is>
      </c>
      <c r="C1986" s="126" t="n">
        <v>4</v>
      </c>
      <c r="D1986" s="126" t="n">
        <v>48</v>
      </c>
      <c r="E1986" s="127" t="n">
        <v>54534.14</v>
      </c>
      <c r="F1986" s="128">
        <f>IF(C1986&lt;=30,5,IF(C1986&lt;=60,4,IF(C1986&lt;=120,3,IF(C1986&lt;=200,2,1))))</f>
        <v/>
      </c>
      <c r="G1986" s="128">
        <f>IF(D1986&gt;=20,5,IF(D1986&gt;=10,4,IF(D1986&gt;=5,3,IF(D1986&gt;=2,2,1))))</f>
        <v/>
      </c>
      <c r="H1986" s="128">
        <f>IF(E1986&gt;=5000,5,IF(E1986&gt;=2000,4,IF(E1986&gt;=800,3,IF(E1986&gt;=300,2,1))))</f>
        <v/>
      </c>
      <c r="I1986" s="126">
        <f>TEXT(F1986,"0")&amp;TEXT(G1986,"0")&amp;TEXT(H1986,"0")</f>
        <v/>
      </c>
      <c r="J1986" s="126">
        <f>IFERROR(XLOOKUP(I1986,'Segment Map'!A:A,'Segment Map'!B:B,"Need Attention"),"Need Attention")</f>
        <v/>
      </c>
      <c r="K1986" s="126">
        <f>IF(E1986&gt;=5000,"🏆 Platinum",IF(E1986&gt;=2000,"🥇 Gold",IF(E1986&gt;=800,"🥈 Silver","🥉 Bronze")))</f>
        <v/>
      </c>
      <c r="L1986" s="129" t="n">
        <v>40883</v>
      </c>
    </row>
    <row r="1987">
      <c r="A1987" s="122" t="n">
        <v>15062</v>
      </c>
      <c r="B1987" s="122" t="inlineStr">
        <is>
          <t>United Kingdom</t>
        </is>
      </c>
      <c r="C1987" s="122" t="n">
        <v>72</v>
      </c>
      <c r="D1987" s="122" t="n">
        <v>4</v>
      </c>
      <c r="E1987" s="123" t="n">
        <v>987.86</v>
      </c>
      <c r="F1987" s="124">
        <f>IF(C1987&lt;=30,5,IF(C1987&lt;=60,4,IF(C1987&lt;=120,3,IF(C1987&lt;=200,2,1))))</f>
        <v/>
      </c>
      <c r="G1987" s="124">
        <f>IF(D1987&gt;=20,5,IF(D1987&gt;=10,4,IF(D1987&gt;=5,3,IF(D1987&gt;=2,2,1))))</f>
        <v/>
      </c>
      <c r="H1987" s="124">
        <f>IF(E1987&gt;=5000,5,IF(E1987&gt;=2000,4,IF(E1987&gt;=800,3,IF(E1987&gt;=300,2,1))))</f>
        <v/>
      </c>
      <c r="I1987" s="122">
        <f>TEXT(F1987,"0")&amp;TEXT(G1987,"0")&amp;TEXT(H1987,"0")</f>
        <v/>
      </c>
      <c r="J1987" s="122">
        <f>IFERROR(XLOOKUP(I1987,'Segment Map'!A:A,'Segment Map'!B:B,"Need Attention"),"Need Attention")</f>
        <v/>
      </c>
      <c r="K1987" s="122">
        <f>IF(E1987&gt;=5000,"🏆 Platinum",IF(E1987&gt;=2000,"🥇 Gold",IF(E1987&gt;=800,"🥈 Silver","🥉 Bronze")))</f>
        <v/>
      </c>
      <c r="L1987" s="125" t="n">
        <v>40815</v>
      </c>
    </row>
    <row r="1988">
      <c r="A1988" s="126" t="n">
        <v>15063</v>
      </c>
      <c r="B1988" s="126" t="inlineStr">
        <is>
          <t>United Kingdom</t>
        </is>
      </c>
      <c r="C1988" s="126" t="n">
        <v>214</v>
      </c>
      <c r="D1988" s="126" t="n">
        <v>1</v>
      </c>
      <c r="E1988" s="127" t="n">
        <v>370.8</v>
      </c>
      <c r="F1988" s="128">
        <f>IF(C1988&lt;=30,5,IF(C1988&lt;=60,4,IF(C1988&lt;=120,3,IF(C1988&lt;=200,2,1))))</f>
        <v/>
      </c>
      <c r="G1988" s="128">
        <f>IF(D1988&gt;=20,5,IF(D1988&gt;=10,4,IF(D1988&gt;=5,3,IF(D1988&gt;=2,2,1))))</f>
        <v/>
      </c>
      <c r="H1988" s="128">
        <f>IF(E1988&gt;=5000,5,IF(E1988&gt;=2000,4,IF(E1988&gt;=800,3,IF(E1988&gt;=300,2,1))))</f>
        <v/>
      </c>
      <c r="I1988" s="126">
        <f>TEXT(F1988,"0")&amp;TEXT(G1988,"0")&amp;TEXT(H1988,"0")</f>
        <v/>
      </c>
      <c r="J1988" s="126">
        <f>IFERROR(XLOOKUP(I1988,'Segment Map'!A:A,'Segment Map'!B:B,"Need Attention"),"Need Attention")</f>
        <v/>
      </c>
      <c r="K1988" s="126">
        <f>IF(E1988&gt;=5000,"🏆 Platinum",IF(E1988&gt;=2000,"🥇 Gold",IF(E1988&gt;=800,"🥈 Silver","🥉 Bronze")))</f>
        <v/>
      </c>
      <c r="L1988" s="129" t="n">
        <v>40673</v>
      </c>
    </row>
    <row r="1989">
      <c r="A1989" s="122" t="n">
        <v>15065</v>
      </c>
      <c r="B1989" s="122" t="inlineStr">
        <is>
          <t>United Kingdom</t>
        </is>
      </c>
      <c r="C1989" s="122" t="n">
        <v>38</v>
      </c>
      <c r="D1989" s="122" t="n">
        <v>4</v>
      </c>
      <c r="E1989" s="123" t="n">
        <v>3158.13</v>
      </c>
      <c r="F1989" s="124">
        <f>IF(C1989&lt;=30,5,IF(C1989&lt;=60,4,IF(C1989&lt;=120,3,IF(C1989&lt;=200,2,1))))</f>
        <v/>
      </c>
      <c r="G1989" s="124">
        <f>IF(D1989&gt;=20,5,IF(D1989&gt;=10,4,IF(D1989&gt;=5,3,IF(D1989&gt;=2,2,1))))</f>
        <v/>
      </c>
      <c r="H1989" s="124">
        <f>IF(E1989&gt;=5000,5,IF(E1989&gt;=2000,4,IF(E1989&gt;=800,3,IF(E1989&gt;=300,2,1))))</f>
        <v/>
      </c>
      <c r="I1989" s="122">
        <f>TEXT(F1989,"0")&amp;TEXT(G1989,"0")&amp;TEXT(H1989,"0")</f>
        <v/>
      </c>
      <c r="J1989" s="122">
        <f>IFERROR(XLOOKUP(I1989,'Segment Map'!A:A,'Segment Map'!B:B,"Need Attention"),"Need Attention")</f>
        <v/>
      </c>
      <c r="K1989" s="122">
        <f>IF(E1989&gt;=5000,"🏆 Platinum",IF(E1989&gt;=2000,"🥇 Gold",IF(E1989&gt;=800,"🥈 Silver","🥉 Bronze")))</f>
        <v/>
      </c>
      <c r="L1989" s="125" t="n">
        <v>40849</v>
      </c>
    </row>
    <row r="1990">
      <c r="A1990" s="126" t="n">
        <v>15066</v>
      </c>
      <c r="B1990" s="126" t="inlineStr">
        <is>
          <t>United Kingdom</t>
        </is>
      </c>
      <c r="C1990" s="126" t="n">
        <v>54</v>
      </c>
      <c r="D1990" s="126" t="n">
        <v>1</v>
      </c>
      <c r="E1990" s="127" t="n">
        <v>893.59</v>
      </c>
      <c r="F1990" s="128">
        <f>IF(C1990&lt;=30,5,IF(C1990&lt;=60,4,IF(C1990&lt;=120,3,IF(C1990&lt;=200,2,1))))</f>
        <v/>
      </c>
      <c r="G1990" s="128">
        <f>IF(D1990&gt;=20,5,IF(D1990&gt;=10,4,IF(D1990&gt;=5,3,IF(D1990&gt;=2,2,1))))</f>
        <v/>
      </c>
      <c r="H1990" s="128">
        <f>IF(E1990&gt;=5000,5,IF(E1990&gt;=2000,4,IF(E1990&gt;=800,3,IF(E1990&gt;=300,2,1))))</f>
        <v/>
      </c>
      <c r="I1990" s="126">
        <f>TEXT(F1990,"0")&amp;TEXT(G1990,"0")&amp;TEXT(H1990,"0")</f>
        <v/>
      </c>
      <c r="J1990" s="126">
        <f>IFERROR(XLOOKUP(I1990,'Segment Map'!A:A,'Segment Map'!B:B,"Need Attention"),"Need Attention")</f>
        <v/>
      </c>
      <c r="K1990" s="126">
        <f>IF(E1990&gt;=5000,"🏆 Platinum",IF(E1990&gt;=2000,"🥇 Gold",IF(E1990&gt;=800,"🥈 Silver","🥉 Bronze")))</f>
        <v/>
      </c>
      <c r="L1990" s="129" t="n">
        <v>40833</v>
      </c>
    </row>
    <row r="1991">
      <c r="A1991" s="122" t="n">
        <v>15067</v>
      </c>
      <c r="B1991" s="122" t="inlineStr">
        <is>
          <t>United Kingdom</t>
        </is>
      </c>
      <c r="C1991" s="122" t="n">
        <v>79</v>
      </c>
      <c r="D1991" s="122" t="n">
        <v>3</v>
      </c>
      <c r="E1991" s="123" t="n">
        <v>1744.76</v>
      </c>
      <c r="F1991" s="124">
        <f>IF(C1991&lt;=30,5,IF(C1991&lt;=60,4,IF(C1991&lt;=120,3,IF(C1991&lt;=200,2,1))))</f>
        <v/>
      </c>
      <c r="G1991" s="124">
        <f>IF(D1991&gt;=20,5,IF(D1991&gt;=10,4,IF(D1991&gt;=5,3,IF(D1991&gt;=2,2,1))))</f>
        <v/>
      </c>
      <c r="H1991" s="124">
        <f>IF(E1991&gt;=5000,5,IF(E1991&gt;=2000,4,IF(E1991&gt;=800,3,IF(E1991&gt;=300,2,1))))</f>
        <v/>
      </c>
      <c r="I1991" s="122">
        <f>TEXT(F1991,"0")&amp;TEXT(G1991,"0")&amp;TEXT(H1991,"0")</f>
        <v/>
      </c>
      <c r="J1991" s="122">
        <f>IFERROR(XLOOKUP(I1991,'Segment Map'!A:A,'Segment Map'!B:B,"Need Attention"),"Need Attention")</f>
        <v/>
      </c>
      <c r="K1991" s="122">
        <f>IF(E1991&gt;=5000,"🏆 Platinum",IF(E1991&gt;=2000,"🥇 Gold",IF(E1991&gt;=800,"🥈 Silver","🥉 Bronze")))</f>
        <v/>
      </c>
      <c r="L1991" s="125" t="n">
        <v>40808</v>
      </c>
    </row>
    <row r="1992">
      <c r="A1992" s="126" t="n">
        <v>15068</v>
      </c>
      <c r="B1992" s="126" t="inlineStr">
        <is>
          <t>United Kingdom</t>
        </is>
      </c>
      <c r="C1992" s="126" t="n">
        <v>47</v>
      </c>
      <c r="D1992" s="126" t="n">
        <v>2</v>
      </c>
      <c r="E1992" s="127" t="n">
        <v>553.36</v>
      </c>
      <c r="F1992" s="128">
        <f>IF(C1992&lt;=30,5,IF(C1992&lt;=60,4,IF(C1992&lt;=120,3,IF(C1992&lt;=200,2,1))))</f>
        <v/>
      </c>
      <c r="G1992" s="128">
        <f>IF(D1992&gt;=20,5,IF(D1992&gt;=10,4,IF(D1992&gt;=5,3,IF(D1992&gt;=2,2,1))))</f>
        <v/>
      </c>
      <c r="H1992" s="128">
        <f>IF(E1992&gt;=5000,5,IF(E1992&gt;=2000,4,IF(E1992&gt;=800,3,IF(E1992&gt;=300,2,1))))</f>
        <v/>
      </c>
      <c r="I1992" s="126">
        <f>TEXT(F1992,"0")&amp;TEXT(G1992,"0")&amp;TEXT(H1992,"0")</f>
        <v/>
      </c>
      <c r="J1992" s="126">
        <f>IFERROR(XLOOKUP(I1992,'Segment Map'!A:A,'Segment Map'!B:B,"Need Attention"),"Need Attention")</f>
        <v/>
      </c>
      <c r="K1992" s="126">
        <f>IF(E1992&gt;=5000,"🏆 Platinum",IF(E1992&gt;=2000,"🥇 Gold",IF(E1992&gt;=800,"🥈 Silver","🥉 Bronze")))</f>
        <v/>
      </c>
      <c r="L1992" s="129" t="n">
        <v>40840</v>
      </c>
    </row>
    <row r="1993">
      <c r="A1993" s="122" t="n">
        <v>15069</v>
      </c>
      <c r="B1993" s="122" t="inlineStr">
        <is>
          <t>United Kingdom</t>
        </is>
      </c>
      <c r="C1993" s="122" t="n">
        <v>180</v>
      </c>
      <c r="D1993" s="122" t="n">
        <v>1</v>
      </c>
      <c r="E1993" s="123" t="n">
        <v>1109.53</v>
      </c>
      <c r="F1993" s="124">
        <f>IF(C1993&lt;=30,5,IF(C1993&lt;=60,4,IF(C1993&lt;=120,3,IF(C1993&lt;=200,2,1))))</f>
        <v/>
      </c>
      <c r="G1993" s="124">
        <f>IF(D1993&gt;=20,5,IF(D1993&gt;=10,4,IF(D1993&gt;=5,3,IF(D1993&gt;=2,2,1))))</f>
        <v/>
      </c>
      <c r="H1993" s="124">
        <f>IF(E1993&gt;=5000,5,IF(E1993&gt;=2000,4,IF(E1993&gt;=800,3,IF(E1993&gt;=300,2,1))))</f>
        <v/>
      </c>
      <c r="I1993" s="122">
        <f>TEXT(F1993,"0")&amp;TEXT(G1993,"0")&amp;TEXT(H1993,"0")</f>
        <v/>
      </c>
      <c r="J1993" s="122">
        <f>IFERROR(XLOOKUP(I1993,'Segment Map'!A:A,'Segment Map'!B:B,"Need Attention"),"Need Attention")</f>
        <v/>
      </c>
      <c r="K1993" s="122">
        <f>IF(E1993&gt;=5000,"🏆 Platinum",IF(E1993&gt;=2000,"🥇 Gold",IF(E1993&gt;=800,"🥈 Silver","🥉 Bronze")))</f>
        <v/>
      </c>
      <c r="L1993" s="125" t="n">
        <v>40707</v>
      </c>
    </row>
    <row r="1994">
      <c r="A1994" s="126" t="n">
        <v>15070</v>
      </c>
      <c r="B1994" s="126" t="inlineStr">
        <is>
          <t>United Kingdom</t>
        </is>
      </c>
      <c r="C1994" s="126" t="n">
        <v>373</v>
      </c>
      <c r="D1994" s="126" t="n">
        <v>1</v>
      </c>
      <c r="E1994" s="127" t="n">
        <v>106.2</v>
      </c>
      <c r="F1994" s="128">
        <f>IF(C1994&lt;=30,5,IF(C1994&lt;=60,4,IF(C1994&lt;=120,3,IF(C1994&lt;=200,2,1))))</f>
        <v/>
      </c>
      <c r="G1994" s="128">
        <f>IF(D1994&gt;=20,5,IF(D1994&gt;=10,4,IF(D1994&gt;=5,3,IF(D1994&gt;=2,2,1))))</f>
        <v/>
      </c>
      <c r="H1994" s="128">
        <f>IF(E1994&gt;=5000,5,IF(E1994&gt;=2000,4,IF(E1994&gt;=800,3,IF(E1994&gt;=300,2,1))))</f>
        <v/>
      </c>
      <c r="I1994" s="126">
        <f>TEXT(F1994,"0")&amp;TEXT(G1994,"0")&amp;TEXT(H1994,"0")</f>
        <v/>
      </c>
      <c r="J1994" s="126">
        <f>IFERROR(XLOOKUP(I1994,'Segment Map'!A:A,'Segment Map'!B:B,"Need Attention"),"Need Attention")</f>
        <v/>
      </c>
      <c r="K1994" s="126">
        <f>IF(E1994&gt;=5000,"🏆 Platinum",IF(E1994&gt;=2000,"🥇 Gold",IF(E1994&gt;=800,"🥈 Silver","🥉 Bronze")))</f>
        <v/>
      </c>
      <c r="L1994" s="129" t="n">
        <v>40514</v>
      </c>
    </row>
    <row r="1995">
      <c r="A1995" s="122" t="n">
        <v>15071</v>
      </c>
      <c r="B1995" s="122" t="inlineStr">
        <is>
          <t>United Kingdom</t>
        </is>
      </c>
      <c r="C1995" s="122" t="n">
        <v>94</v>
      </c>
      <c r="D1995" s="122" t="n">
        <v>2</v>
      </c>
      <c r="E1995" s="123" t="n">
        <v>982.0700000000001</v>
      </c>
      <c r="F1995" s="124">
        <f>IF(C1995&lt;=30,5,IF(C1995&lt;=60,4,IF(C1995&lt;=120,3,IF(C1995&lt;=200,2,1))))</f>
        <v/>
      </c>
      <c r="G1995" s="124">
        <f>IF(D1995&gt;=20,5,IF(D1995&gt;=10,4,IF(D1995&gt;=5,3,IF(D1995&gt;=2,2,1))))</f>
        <v/>
      </c>
      <c r="H1995" s="124">
        <f>IF(E1995&gt;=5000,5,IF(E1995&gt;=2000,4,IF(E1995&gt;=800,3,IF(E1995&gt;=300,2,1))))</f>
        <v/>
      </c>
      <c r="I1995" s="122">
        <f>TEXT(F1995,"0")&amp;TEXT(G1995,"0")&amp;TEXT(H1995,"0")</f>
        <v/>
      </c>
      <c r="J1995" s="122">
        <f>IFERROR(XLOOKUP(I1995,'Segment Map'!A:A,'Segment Map'!B:B,"Need Attention"),"Need Attention")</f>
        <v/>
      </c>
      <c r="K1995" s="122">
        <f>IF(E1995&gt;=5000,"🏆 Platinum",IF(E1995&gt;=2000,"🥇 Gold",IF(E1995&gt;=800,"🥈 Silver","🥉 Bronze")))</f>
        <v/>
      </c>
      <c r="L1995" s="125" t="n">
        <v>40793</v>
      </c>
    </row>
    <row r="1996">
      <c r="A1996" s="126" t="n">
        <v>15073</v>
      </c>
      <c r="B1996" s="126" t="inlineStr">
        <is>
          <t>United Kingdom</t>
        </is>
      </c>
      <c r="C1996" s="126" t="n">
        <v>10</v>
      </c>
      <c r="D1996" s="126" t="n">
        <v>3</v>
      </c>
      <c r="E1996" s="127" t="n">
        <v>1043.41</v>
      </c>
      <c r="F1996" s="128">
        <f>IF(C1996&lt;=30,5,IF(C1996&lt;=60,4,IF(C1996&lt;=120,3,IF(C1996&lt;=200,2,1))))</f>
        <v/>
      </c>
      <c r="G1996" s="128">
        <f>IF(D1996&gt;=20,5,IF(D1996&gt;=10,4,IF(D1996&gt;=5,3,IF(D1996&gt;=2,2,1))))</f>
        <v/>
      </c>
      <c r="H1996" s="128">
        <f>IF(E1996&gt;=5000,5,IF(E1996&gt;=2000,4,IF(E1996&gt;=800,3,IF(E1996&gt;=300,2,1))))</f>
        <v/>
      </c>
      <c r="I1996" s="126">
        <f>TEXT(F1996,"0")&amp;TEXT(G1996,"0")&amp;TEXT(H1996,"0")</f>
        <v/>
      </c>
      <c r="J1996" s="126">
        <f>IFERROR(XLOOKUP(I1996,'Segment Map'!A:A,'Segment Map'!B:B,"Need Attention"),"Need Attention")</f>
        <v/>
      </c>
      <c r="K1996" s="126">
        <f>IF(E1996&gt;=5000,"🏆 Platinum",IF(E1996&gt;=2000,"🥇 Gold",IF(E1996&gt;=800,"🥈 Silver","🥉 Bronze")))</f>
        <v/>
      </c>
      <c r="L1996" s="129" t="n">
        <v>40877</v>
      </c>
    </row>
    <row r="1997">
      <c r="A1997" s="122" t="n">
        <v>15074</v>
      </c>
      <c r="B1997" s="122" t="inlineStr">
        <is>
          <t>United Kingdom</t>
        </is>
      </c>
      <c r="C1997" s="122" t="n">
        <v>106</v>
      </c>
      <c r="D1997" s="122" t="n">
        <v>1</v>
      </c>
      <c r="E1997" s="123" t="n">
        <v>748.87</v>
      </c>
      <c r="F1997" s="124">
        <f>IF(C1997&lt;=30,5,IF(C1997&lt;=60,4,IF(C1997&lt;=120,3,IF(C1997&lt;=200,2,1))))</f>
        <v/>
      </c>
      <c r="G1997" s="124">
        <f>IF(D1997&gt;=20,5,IF(D1997&gt;=10,4,IF(D1997&gt;=5,3,IF(D1997&gt;=2,2,1))))</f>
        <v/>
      </c>
      <c r="H1997" s="124">
        <f>IF(E1997&gt;=5000,5,IF(E1997&gt;=2000,4,IF(E1997&gt;=800,3,IF(E1997&gt;=300,2,1))))</f>
        <v/>
      </c>
      <c r="I1997" s="122">
        <f>TEXT(F1997,"0")&amp;TEXT(G1997,"0")&amp;TEXT(H1997,"0")</f>
        <v/>
      </c>
      <c r="J1997" s="122">
        <f>IFERROR(XLOOKUP(I1997,'Segment Map'!A:A,'Segment Map'!B:B,"Need Attention"),"Need Attention")</f>
        <v/>
      </c>
      <c r="K1997" s="122">
        <f>IF(E1997&gt;=5000,"🏆 Platinum",IF(E1997&gt;=2000,"🥇 Gold",IF(E1997&gt;=800,"🥈 Silver","🥉 Bronze")))</f>
        <v/>
      </c>
      <c r="L1997" s="125" t="n">
        <v>40781</v>
      </c>
    </row>
    <row r="1998">
      <c r="A1998" s="126" t="n">
        <v>15075</v>
      </c>
      <c r="B1998" s="126" t="inlineStr">
        <is>
          <t>United Kingdom</t>
        </is>
      </c>
      <c r="C1998" s="126" t="n">
        <v>78</v>
      </c>
      <c r="D1998" s="126" t="n">
        <v>1</v>
      </c>
      <c r="E1998" s="127" t="n">
        <v>773.03</v>
      </c>
      <c r="F1998" s="128">
        <f>IF(C1998&lt;=30,5,IF(C1998&lt;=60,4,IF(C1998&lt;=120,3,IF(C1998&lt;=200,2,1))))</f>
        <v/>
      </c>
      <c r="G1998" s="128">
        <f>IF(D1998&gt;=20,5,IF(D1998&gt;=10,4,IF(D1998&gt;=5,3,IF(D1998&gt;=2,2,1))))</f>
        <v/>
      </c>
      <c r="H1998" s="128">
        <f>IF(E1998&gt;=5000,5,IF(E1998&gt;=2000,4,IF(E1998&gt;=800,3,IF(E1998&gt;=300,2,1))))</f>
        <v/>
      </c>
      <c r="I1998" s="126">
        <f>TEXT(F1998,"0")&amp;TEXT(G1998,"0")&amp;TEXT(H1998,"0")</f>
        <v/>
      </c>
      <c r="J1998" s="126">
        <f>IFERROR(XLOOKUP(I1998,'Segment Map'!A:A,'Segment Map'!B:B,"Need Attention"),"Need Attention")</f>
        <v/>
      </c>
      <c r="K1998" s="126">
        <f>IF(E1998&gt;=5000,"🏆 Platinum",IF(E1998&gt;=2000,"🥇 Gold",IF(E1998&gt;=800,"🥈 Silver","🥉 Bronze")))</f>
        <v/>
      </c>
      <c r="L1998" s="129" t="n">
        <v>40809</v>
      </c>
    </row>
    <row r="1999">
      <c r="A1999" s="122" t="n">
        <v>15076</v>
      </c>
      <c r="B1999" s="122" t="inlineStr">
        <is>
          <t>United Kingdom</t>
        </is>
      </c>
      <c r="C1999" s="122" t="n">
        <v>173</v>
      </c>
      <c r="D1999" s="122" t="n">
        <v>1</v>
      </c>
      <c r="E1999" s="123" t="n">
        <v>880.85</v>
      </c>
      <c r="F1999" s="124">
        <f>IF(C1999&lt;=30,5,IF(C1999&lt;=60,4,IF(C1999&lt;=120,3,IF(C1999&lt;=200,2,1))))</f>
        <v/>
      </c>
      <c r="G1999" s="124">
        <f>IF(D1999&gt;=20,5,IF(D1999&gt;=10,4,IF(D1999&gt;=5,3,IF(D1999&gt;=2,2,1))))</f>
        <v/>
      </c>
      <c r="H1999" s="124">
        <f>IF(E1999&gt;=5000,5,IF(E1999&gt;=2000,4,IF(E1999&gt;=800,3,IF(E1999&gt;=300,2,1))))</f>
        <v/>
      </c>
      <c r="I1999" s="122">
        <f>TEXT(F1999,"0")&amp;TEXT(G1999,"0")&amp;TEXT(H1999,"0")</f>
        <v/>
      </c>
      <c r="J1999" s="122">
        <f>IFERROR(XLOOKUP(I1999,'Segment Map'!A:A,'Segment Map'!B:B,"Need Attention"),"Need Attention")</f>
        <v/>
      </c>
      <c r="K1999" s="122">
        <f>IF(E1999&gt;=5000,"🏆 Platinum",IF(E1999&gt;=2000,"🥇 Gold",IF(E1999&gt;=800,"🥈 Silver","🥉 Bronze")))</f>
        <v/>
      </c>
      <c r="L1999" s="125" t="n">
        <v>40714</v>
      </c>
    </row>
    <row r="2000">
      <c r="A2000" s="126" t="n">
        <v>15078</v>
      </c>
      <c r="B2000" s="126" t="inlineStr">
        <is>
          <t>United Kingdom</t>
        </is>
      </c>
      <c r="C2000" s="126" t="n">
        <v>8</v>
      </c>
      <c r="D2000" s="126" t="n">
        <v>32</v>
      </c>
      <c r="E2000" s="127" t="n">
        <v>9743.110000000001</v>
      </c>
      <c r="F2000" s="128">
        <f>IF(C2000&lt;=30,5,IF(C2000&lt;=60,4,IF(C2000&lt;=120,3,IF(C2000&lt;=200,2,1))))</f>
        <v/>
      </c>
      <c r="G2000" s="128">
        <f>IF(D2000&gt;=20,5,IF(D2000&gt;=10,4,IF(D2000&gt;=5,3,IF(D2000&gt;=2,2,1))))</f>
        <v/>
      </c>
      <c r="H2000" s="128">
        <f>IF(E2000&gt;=5000,5,IF(E2000&gt;=2000,4,IF(E2000&gt;=800,3,IF(E2000&gt;=300,2,1))))</f>
        <v/>
      </c>
      <c r="I2000" s="126">
        <f>TEXT(F2000,"0")&amp;TEXT(G2000,"0")&amp;TEXT(H2000,"0")</f>
        <v/>
      </c>
      <c r="J2000" s="126">
        <f>IFERROR(XLOOKUP(I2000,'Segment Map'!A:A,'Segment Map'!B:B,"Need Attention"),"Need Attention")</f>
        <v/>
      </c>
      <c r="K2000" s="126">
        <f>IF(E2000&gt;=5000,"🏆 Platinum",IF(E2000&gt;=2000,"🥇 Gold",IF(E2000&gt;=800,"🥈 Silver","🥉 Bronze")))</f>
        <v/>
      </c>
      <c r="L2000" s="129" t="n">
        <v>40879</v>
      </c>
    </row>
    <row r="2001">
      <c r="A2001" s="122" t="n">
        <v>15079</v>
      </c>
      <c r="B2001" s="122" t="inlineStr">
        <is>
          <t>United Kingdom</t>
        </is>
      </c>
      <c r="C2001" s="122" t="n">
        <v>213</v>
      </c>
      <c r="D2001" s="122" t="n">
        <v>4</v>
      </c>
      <c r="E2001" s="123" t="n">
        <v>895.61</v>
      </c>
      <c r="F2001" s="124">
        <f>IF(C2001&lt;=30,5,IF(C2001&lt;=60,4,IF(C2001&lt;=120,3,IF(C2001&lt;=200,2,1))))</f>
        <v/>
      </c>
      <c r="G2001" s="124">
        <f>IF(D2001&gt;=20,5,IF(D2001&gt;=10,4,IF(D2001&gt;=5,3,IF(D2001&gt;=2,2,1))))</f>
        <v/>
      </c>
      <c r="H2001" s="124">
        <f>IF(E2001&gt;=5000,5,IF(E2001&gt;=2000,4,IF(E2001&gt;=800,3,IF(E2001&gt;=300,2,1))))</f>
        <v/>
      </c>
      <c r="I2001" s="122">
        <f>TEXT(F2001,"0")&amp;TEXT(G2001,"0")&amp;TEXT(H2001,"0")</f>
        <v/>
      </c>
      <c r="J2001" s="122">
        <f>IFERROR(XLOOKUP(I2001,'Segment Map'!A:A,'Segment Map'!B:B,"Need Attention"),"Need Attention")</f>
        <v/>
      </c>
      <c r="K2001" s="122">
        <f>IF(E2001&gt;=5000,"🏆 Platinum",IF(E2001&gt;=2000,"🥇 Gold",IF(E2001&gt;=800,"🥈 Silver","🥉 Bronze")))</f>
        <v/>
      </c>
      <c r="L2001" s="125" t="n">
        <v>40674</v>
      </c>
    </row>
    <row r="2002">
      <c r="A2002" s="126" t="n">
        <v>15081</v>
      </c>
      <c r="B2002" s="126" t="inlineStr">
        <is>
          <t>United Kingdom</t>
        </is>
      </c>
      <c r="C2002" s="126" t="n">
        <v>23</v>
      </c>
      <c r="D2002" s="126" t="n">
        <v>5</v>
      </c>
      <c r="E2002" s="127" t="n">
        <v>504.8</v>
      </c>
      <c r="F2002" s="128">
        <f>IF(C2002&lt;=30,5,IF(C2002&lt;=60,4,IF(C2002&lt;=120,3,IF(C2002&lt;=200,2,1))))</f>
        <v/>
      </c>
      <c r="G2002" s="128">
        <f>IF(D2002&gt;=20,5,IF(D2002&gt;=10,4,IF(D2002&gt;=5,3,IF(D2002&gt;=2,2,1))))</f>
        <v/>
      </c>
      <c r="H2002" s="128">
        <f>IF(E2002&gt;=5000,5,IF(E2002&gt;=2000,4,IF(E2002&gt;=800,3,IF(E2002&gt;=300,2,1))))</f>
        <v/>
      </c>
      <c r="I2002" s="126">
        <f>TEXT(F2002,"0")&amp;TEXT(G2002,"0")&amp;TEXT(H2002,"0")</f>
        <v/>
      </c>
      <c r="J2002" s="126">
        <f>IFERROR(XLOOKUP(I2002,'Segment Map'!A:A,'Segment Map'!B:B,"Need Attention"),"Need Attention")</f>
        <v/>
      </c>
      <c r="K2002" s="126">
        <f>IF(E2002&gt;=5000,"🏆 Platinum",IF(E2002&gt;=2000,"🥇 Gold",IF(E2002&gt;=800,"🥈 Silver","🥉 Bronze")))</f>
        <v/>
      </c>
      <c r="L2002" s="129" t="n">
        <v>40864</v>
      </c>
    </row>
    <row r="2003">
      <c r="A2003" s="122" t="n">
        <v>15083</v>
      </c>
      <c r="B2003" s="122" t="inlineStr">
        <is>
          <t>United Kingdom</t>
        </is>
      </c>
      <c r="C2003" s="122" t="n">
        <v>257</v>
      </c>
      <c r="D2003" s="122" t="n">
        <v>1</v>
      </c>
      <c r="E2003" s="123" t="n">
        <v>88.2</v>
      </c>
      <c r="F2003" s="124">
        <f>IF(C2003&lt;=30,5,IF(C2003&lt;=60,4,IF(C2003&lt;=120,3,IF(C2003&lt;=200,2,1))))</f>
        <v/>
      </c>
      <c r="G2003" s="124">
        <f>IF(D2003&gt;=20,5,IF(D2003&gt;=10,4,IF(D2003&gt;=5,3,IF(D2003&gt;=2,2,1))))</f>
        <v/>
      </c>
      <c r="H2003" s="124">
        <f>IF(E2003&gt;=5000,5,IF(E2003&gt;=2000,4,IF(E2003&gt;=800,3,IF(E2003&gt;=300,2,1))))</f>
        <v/>
      </c>
      <c r="I2003" s="122">
        <f>TEXT(F2003,"0")&amp;TEXT(G2003,"0")&amp;TEXT(H2003,"0")</f>
        <v/>
      </c>
      <c r="J2003" s="122">
        <f>IFERROR(XLOOKUP(I2003,'Segment Map'!A:A,'Segment Map'!B:B,"Need Attention"),"Need Attention")</f>
        <v/>
      </c>
      <c r="K2003" s="122">
        <f>IF(E2003&gt;=5000,"🏆 Platinum",IF(E2003&gt;=2000,"🥇 Gold",IF(E2003&gt;=800,"🥈 Silver","🥉 Bronze")))</f>
        <v/>
      </c>
      <c r="L2003" s="125" t="n">
        <v>40630</v>
      </c>
    </row>
    <row r="2004">
      <c r="A2004" s="126" t="n">
        <v>15087</v>
      </c>
      <c r="B2004" s="126" t="inlineStr">
        <is>
          <t>United Kingdom</t>
        </is>
      </c>
      <c r="C2004" s="126" t="n">
        <v>282</v>
      </c>
      <c r="D2004" s="126" t="n">
        <v>1</v>
      </c>
      <c r="E2004" s="127" t="n">
        <v>306.94</v>
      </c>
      <c r="F2004" s="128">
        <f>IF(C2004&lt;=30,5,IF(C2004&lt;=60,4,IF(C2004&lt;=120,3,IF(C2004&lt;=200,2,1))))</f>
        <v/>
      </c>
      <c r="G2004" s="128">
        <f>IF(D2004&gt;=20,5,IF(D2004&gt;=10,4,IF(D2004&gt;=5,3,IF(D2004&gt;=2,2,1))))</f>
        <v/>
      </c>
      <c r="H2004" s="128">
        <f>IF(E2004&gt;=5000,5,IF(E2004&gt;=2000,4,IF(E2004&gt;=800,3,IF(E2004&gt;=300,2,1))))</f>
        <v/>
      </c>
      <c r="I2004" s="126">
        <f>TEXT(F2004,"0")&amp;TEXT(G2004,"0")&amp;TEXT(H2004,"0")</f>
        <v/>
      </c>
      <c r="J2004" s="126">
        <f>IFERROR(XLOOKUP(I2004,'Segment Map'!A:A,'Segment Map'!B:B,"Need Attention"),"Need Attention")</f>
        <v/>
      </c>
      <c r="K2004" s="126">
        <f>IF(E2004&gt;=5000,"🏆 Platinum",IF(E2004&gt;=2000,"🥇 Gold",IF(E2004&gt;=800,"🥈 Silver","🥉 Bronze")))</f>
        <v/>
      </c>
      <c r="L2004" s="129" t="n">
        <v>40605</v>
      </c>
    </row>
    <row r="2005">
      <c r="A2005" s="122" t="n">
        <v>15088</v>
      </c>
      <c r="B2005" s="122" t="inlineStr">
        <is>
          <t>United Kingdom</t>
        </is>
      </c>
      <c r="C2005" s="122" t="n">
        <v>22</v>
      </c>
      <c r="D2005" s="122" t="n">
        <v>2</v>
      </c>
      <c r="E2005" s="123" t="n">
        <v>1160.07</v>
      </c>
      <c r="F2005" s="124">
        <f>IF(C2005&lt;=30,5,IF(C2005&lt;=60,4,IF(C2005&lt;=120,3,IF(C2005&lt;=200,2,1))))</f>
        <v/>
      </c>
      <c r="G2005" s="124">
        <f>IF(D2005&gt;=20,5,IF(D2005&gt;=10,4,IF(D2005&gt;=5,3,IF(D2005&gt;=2,2,1))))</f>
        <v/>
      </c>
      <c r="H2005" s="124">
        <f>IF(E2005&gt;=5000,5,IF(E2005&gt;=2000,4,IF(E2005&gt;=800,3,IF(E2005&gt;=300,2,1))))</f>
        <v/>
      </c>
      <c r="I2005" s="122">
        <f>TEXT(F2005,"0")&amp;TEXT(G2005,"0")&amp;TEXT(H2005,"0")</f>
        <v/>
      </c>
      <c r="J2005" s="122">
        <f>IFERROR(XLOOKUP(I2005,'Segment Map'!A:A,'Segment Map'!B:B,"Need Attention"),"Need Attention")</f>
        <v/>
      </c>
      <c r="K2005" s="122">
        <f>IF(E2005&gt;=5000,"🏆 Platinum",IF(E2005&gt;=2000,"🥇 Gold",IF(E2005&gt;=800,"🥈 Silver","🥉 Bronze")))</f>
        <v/>
      </c>
      <c r="L2005" s="125" t="n">
        <v>40865</v>
      </c>
    </row>
    <row r="2006">
      <c r="A2006" s="126" t="n">
        <v>15089</v>
      </c>
      <c r="B2006" s="126" t="inlineStr">
        <is>
          <t>United Kingdom</t>
        </is>
      </c>
      <c r="C2006" s="126" t="n">
        <v>11</v>
      </c>
      <c r="D2006" s="126" t="n">
        <v>6</v>
      </c>
      <c r="E2006" s="127" t="n">
        <v>2420.84</v>
      </c>
      <c r="F2006" s="128">
        <f>IF(C2006&lt;=30,5,IF(C2006&lt;=60,4,IF(C2006&lt;=120,3,IF(C2006&lt;=200,2,1))))</f>
        <v/>
      </c>
      <c r="G2006" s="128">
        <f>IF(D2006&gt;=20,5,IF(D2006&gt;=10,4,IF(D2006&gt;=5,3,IF(D2006&gt;=2,2,1))))</f>
        <v/>
      </c>
      <c r="H2006" s="128">
        <f>IF(E2006&gt;=5000,5,IF(E2006&gt;=2000,4,IF(E2006&gt;=800,3,IF(E2006&gt;=300,2,1))))</f>
        <v/>
      </c>
      <c r="I2006" s="126">
        <f>TEXT(F2006,"0")&amp;TEXT(G2006,"0")&amp;TEXT(H2006,"0")</f>
        <v/>
      </c>
      <c r="J2006" s="126">
        <f>IFERROR(XLOOKUP(I2006,'Segment Map'!A:A,'Segment Map'!B:B,"Need Attention"),"Need Attention")</f>
        <v/>
      </c>
      <c r="K2006" s="126">
        <f>IF(E2006&gt;=5000,"🏆 Platinum",IF(E2006&gt;=2000,"🥇 Gold",IF(E2006&gt;=800,"🥈 Silver","🥉 Bronze")))</f>
        <v/>
      </c>
      <c r="L2006" s="129" t="n">
        <v>40876</v>
      </c>
    </row>
    <row r="2007">
      <c r="A2007" s="122" t="n">
        <v>15090</v>
      </c>
      <c r="B2007" s="122" t="inlineStr">
        <is>
          <t>United Kingdom</t>
        </is>
      </c>
      <c r="C2007" s="122" t="n">
        <v>309</v>
      </c>
      <c r="D2007" s="122" t="n">
        <v>1</v>
      </c>
      <c r="E2007" s="123" t="n">
        <v>381.32</v>
      </c>
      <c r="F2007" s="124">
        <f>IF(C2007&lt;=30,5,IF(C2007&lt;=60,4,IF(C2007&lt;=120,3,IF(C2007&lt;=200,2,1))))</f>
        <v/>
      </c>
      <c r="G2007" s="124">
        <f>IF(D2007&gt;=20,5,IF(D2007&gt;=10,4,IF(D2007&gt;=5,3,IF(D2007&gt;=2,2,1))))</f>
        <v/>
      </c>
      <c r="H2007" s="124">
        <f>IF(E2007&gt;=5000,5,IF(E2007&gt;=2000,4,IF(E2007&gt;=800,3,IF(E2007&gt;=300,2,1))))</f>
        <v/>
      </c>
      <c r="I2007" s="122">
        <f>TEXT(F2007,"0")&amp;TEXT(G2007,"0")&amp;TEXT(H2007,"0")</f>
        <v/>
      </c>
      <c r="J2007" s="122">
        <f>IFERROR(XLOOKUP(I2007,'Segment Map'!A:A,'Segment Map'!B:B,"Need Attention"),"Need Attention")</f>
        <v/>
      </c>
      <c r="K2007" s="122">
        <f>IF(E2007&gt;=5000,"🏆 Platinum",IF(E2007&gt;=2000,"🥇 Gold",IF(E2007&gt;=800,"🥈 Silver","🥉 Bronze")))</f>
        <v/>
      </c>
      <c r="L2007" s="125" t="n">
        <v>40578</v>
      </c>
    </row>
    <row r="2008">
      <c r="A2008" s="126" t="n">
        <v>15091</v>
      </c>
      <c r="B2008" s="126" t="inlineStr">
        <is>
          <t>United Kingdom</t>
        </is>
      </c>
      <c r="C2008" s="126" t="n">
        <v>68</v>
      </c>
      <c r="D2008" s="126" t="n">
        <v>1</v>
      </c>
      <c r="E2008" s="127" t="n">
        <v>480.71</v>
      </c>
      <c r="F2008" s="128">
        <f>IF(C2008&lt;=30,5,IF(C2008&lt;=60,4,IF(C2008&lt;=120,3,IF(C2008&lt;=200,2,1))))</f>
        <v/>
      </c>
      <c r="G2008" s="128">
        <f>IF(D2008&gt;=20,5,IF(D2008&gt;=10,4,IF(D2008&gt;=5,3,IF(D2008&gt;=2,2,1))))</f>
        <v/>
      </c>
      <c r="H2008" s="128">
        <f>IF(E2008&gt;=5000,5,IF(E2008&gt;=2000,4,IF(E2008&gt;=800,3,IF(E2008&gt;=300,2,1))))</f>
        <v/>
      </c>
      <c r="I2008" s="126">
        <f>TEXT(F2008,"0")&amp;TEXT(G2008,"0")&amp;TEXT(H2008,"0")</f>
        <v/>
      </c>
      <c r="J2008" s="126">
        <f>IFERROR(XLOOKUP(I2008,'Segment Map'!A:A,'Segment Map'!B:B,"Need Attention"),"Need Attention")</f>
        <v/>
      </c>
      <c r="K2008" s="126">
        <f>IF(E2008&gt;=5000,"🏆 Platinum",IF(E2008&gt;=2000,"🥇 Gold",IF(E2008&gt;=800,"🥈 Silver","🥉 Bronze")))</f>
        <v/>
      </c>
      <c r="L2008" s="129" t="n">
        <v>40819</v>
      </c>
    </row>
    <row r="2009">
      <c r="A2009" s="122" t="n">
        <v>15092</v>
      </c>
      <c r="B2009" s="122" t="inlineStr">
        <is>
          <t>United Kingdom</t>
        </is>
      </c>
      <c r="C2009" s="122" t="n">
        <v>216</v>
      </c>
      <c r="D2009" s="122" t="n">
        <v>2</v>
      </c>
      <c r="E2009" s="123" t="n">
        <v>457.81</v>
      </c>
      <c r="F2009" s="124">
        <f>IF(C2009&lt;=30,5,IF(C2009&lt;=60,4,IF(C2009&lt;=120,3,IF(C2009&lt;=200,2,1))))</f>
        <v/>
      </c>
      <c r="G2009" s="124">
        <f>IF(D2009&gt;=20,5,IF(D2009&gt;=10,4,IF(D2009&gt;=5,3,IF(D2009&gt;=2,2,1))))</f>
        <v/>
      </c>
      <c r="H2009" s="124">
        <f>IF(E2009&gt;=5000,5,IF(E2009&gt;=2000,4,IF(E2009&gt;=800,3,IF(E2009&gt;=300,2,1))))</f>
        <v/>
      </c>
      <c r="I2009" s="122">
        <f>TEXT(F2009,"0")&amp;TEXT(G2009,"0")&amp;TEXT(H2009,"0")</f>
        <v/>
      </c>
      <c r="J2009" s="122">
        <f>IFERROR(XLOOKUP(I2009,'Segment Map'!A:A,'Segment Map'!B:B,"Need Attention"),"Need Attention")</f>
        <v/>
      </c>
      <c r="K2009" s="122">
        <f>IF(E2009&gt;=5000,"🏆 Platinum",IF(E2009&gt;=2000,"🥇 Gold",IF(E2009&gt;=800,"🥈 Silver","🥉 Bronze")))</f>
        <v/>
      </c>
      <c r="L2009" s="125" t="n">
        <v>40671</v>
      </c>
    </row>
    <row r="2010">
      <c r="A2010" s="126" t="n">
        <v>15093</v>
      </c>
      <c r="B2010" s="126" t="inlineStr">
        <is>
          <t>United Kingdom</t>
        </is>
      </c>
      <c r="C2010" s="126" t="n">
        <v>19</v>
      </c>
      <c r="D2010" s="126" t="n">
        <v>6</v>
      </c>
      <c r="E2010" s="127" t="n">
        <v>4597.02</v>
      </c>
      <c r="F2010" s="128">
        <f>IF(C2010&lt;=30,5,IF(C2010&lt;=60,4,IF(C2010&lt;=120,3,IF(C2010&lt;=200,2,1))))</f>
        <v/>
      </c>
      <c r="G2010" s="128">
        <f>IF(D2010&gt;=20,5,IF(D2010&gt;=10,4,IF(D2010&gt;=5,3,IF(D2010&gt;=2,2,1))))</f>
        <v/>
      </c>
      <c r="H2010" s="128">
        <f>IF(E2010&gt;=5000,5,IF(E2010&gt;=2000,4,IF(E2010&gt;=800,3,IF(E2010&gt;=300,2,1))))</f>
        <v/>
      </c>
      <c r="I2010" s="126">
        <f>TEXT(F2010,"0")&amp;TEXT(G2010,"0")&amp;TEXT(H2010,"0")</f>
        <v/>
      </c>
      <c r="J2010" s="126">
        <f>IFERROR(XLOOKUP(I2010,'Segment Map'!A:A,'Segment Map'!B:B,"Need Attention"),"Need Attention")</f>
        <v/>
      </c>
      <c r="K2010" s="126">
        <f>IF(E2010&gt;=5000,"🏆 Platinum",IF(E2010&gt;=2000,"🥇 Gold",IF(E2010&gt;=800,"🥈 Silver","🥉 Bronze")))</f>
        <v/>
      </c>
      <c r="L2010" s="129" t="n">
        <v>40868</v>
      </c>
    </row>
    <row r="2011">
      <c r="A2011" s="122" t="n">
        <v>15095</v>
      </c>
      <c r="B2011" s="122" t="inlineStr">
        <is>
          <t>United Kingdom</t>
        </is>
      </c>
      <c r="C2011" s="122" t="n">
        <v>104</v>
      </c>
      <c r="D2011" s="122" t="n">
        <v>4</v>
      </c>
      <c r="E2011" s="123" t="n">
        <v>1370.6</v>
      </c>
      <c r="F2011" s="124">
        <f>IF(C2011&lt;=30,5,IF(C2011&lt;=60,4,IF(C2011&lt;=120,3,IF(C2011&lt;=200,2,1))))</f>
        <v/>
      </c>
      <c r="G2011" s="124">
        <f>IF(D2011&gt;=20,5,IF(D2011&gt;=10,4,IF(D2011&gt;=5,3,IF(D2011&gt;=2,2,1))))</f>
        <v/>
      </c>
      <c r="H2011" s="124">
        <f>IF(E2011&gt;=5000,5,IF(E2011&gt;=2000,4,IF(E2011&gt;=800,3,IF(E2011&gt;=300,2,1))))</f>
        <v/>
      </c>
      <c r="I2011" s="122">
        <f>TEXT(F2011,"0")&amp;TEXT(G2011,"0")&amp;TEXT(H2011,"0")</f>
        <v/>
      </c>
      <c r="J2011" s="122">
        <f>IFERROR(XLOOKUP(I2011,'Segment Map'!A:A,'Segment Map'!B:B,"Need Attention"),"Need Attention")</f>
        <v/>
      </c>
      <c r="K2011" s="122">
        <f>IF(E2011&gt;=5000,"🏆 Platinum",IF(E2011&gt;=2000,"🥇 Gold",IF(E2011&gt;=800,"🥈 Silver","🥉 Bronze")))</f>
        <v/>
      </c>
      <c r="L2011" s="125" t="n">
        <v>40783</v>
      </c>
    </row>
    <row r="2012">
      <c r="A2012" s="126" t="n">
        <v>15096</v>
      </c>
      <c r="B2012" s="126" t="inlineStr">
        <is>
          <t>United Kingdom</t>
        </is>
      </c>
      <c r="C2012" s="126" t="n">
        <v>43</v>
      </c>
      <c r="D2012" s="126" t="n">
        <v>1</v>
      </c>
      <c r="E2012" s="127" t="n">
        <v>219.39</v>
      </c>
      <c r="F2012" s="128">
        <f>IF(C2012&lt;=30,5,IF(C2012&lt;=60,4,IF(C2012&lt;=120,3,IF(C2012&lt;=200,2,1))))</f>
        <v/>
      </c>
      <c r="G2012" s="128">
        <f>IF(D2012&gt;=20,5,IF(D2012&gt;=10,4,IF(D2012&gt;=5,3,IF(D2012&gt;=2,2,1))))</f>
        <v/>
      </c>
      <c r="H2012" s="128">
        <f>IF(E2012&gt;=5000,5,IF(E2012&gt;=2000,4,IF(E2012&gt;=800,3,IF(E2012&gt;=300,2,1))))</f>
        <v/>
      </c>
      <c r="I2012" s="126">
        <f>TEXT(F2012,"0")&amp;TEXT(G2012,"0")&amp;TEXT(H2012,"0")</f>
        <v/>
      </c>
      <c r="J2012" s="126">
        <f>IFERROR(XLOOKUP(I2012,'Segment Map'!A:A,'Segment Map'!B:B,"Need Attention"),"Need Attention")</f>
        <v/>
      </c>
      <c r="K2012" s="126">
        <f>IF(E2012&gt;=5000,"🏆 Platinum",IF(E2012&gt;=2000,"🥇 Gold",IF(E2012&gt;=800,"🥈 Silver","🥉 Bronze")))</f>
        <v/>
      </c>
      <c r="L2012" s="129" t="n">
        <v>40844</v>
      </c>
    </row>
    <row r="2013">
      <c r="A2013" s="122" t="n">
        <v>15097</v>
      </c>
      <c r="B2013" s="122" t="inlineStr">
        <is>
          <t>United Kingdom</t>
        </is>
      </c>
      <c r="C2013" s="122" t="n">
        <v>5</v>
      </c>
      <c r="D2013" s="122" t="n">
        <v>1</v>
      </c>
      <c r="E2013" s="123" t="n">
        <v>248.08</v>
      </c>
      <c r="F2013" s="124">
        <f>IF(C2013&lt;=30,5,IF(C2013&lt;=60,4,IF(C2013&lt;=120,3,IF(C2013&lt;=200,2,1))))</f>
        <v/>
      </c>
      <c r="G2013" s="124">
        <f>IF(D2013&gt;=20,5,IF(D2013&gt;=10,4,IF(D2013&gt;=5,3,IF(D2013&gt;=2,2,1))))</f>
        <v/>
      </c>
      <c r="H2013" s="124">
        <f>IF(E2013&gt;=5000,5,IF(E2013&gt;=2000,4,IF(E2013&gt;=800,3,IF(E2013&gt;=300,2,1))))</f>
        <v/>
      </c>
      <c r="I2013" s="122">
        <f>TEXT(F2013,"0")&amp;TEXT(G2013,"0")&amp;TEXT(H2013,"0")</f>
        <v/>
      </c>
      <c r="J2013" s="122">
        <f>IFERROR(XLOOKUP(I2013,'Segment Map'!A:A,'Segment Map'!B:B,"Need Attention"),"Need Attention")</f>
        <v/>
      </c>
      <c r="K2013" s="122">
        <f>IF(E2013&gt;=5000,"🏆 Platinum",IF(E2013&gt;=2000,"🥇 Gold",IF(E2013&gt;=800,"🥈 Silver","🥉 Bronze")))</f>
        <v/>
      </c>
      <c r="L2013" s="125" t="n">
        <v>40882</v>
      </c>
    </row>
    <row r="2014">
      <c r="A2014" s="126" t="n">
        <v>15098</v>
      </c>
      <c r="B2014" s="126" t="inlineStr">
        <is>
          <t>United Kingdom</t>
        </is>
      </c>
      <c r="C2014" s="126" t="n">
        <v>183</v>
      </c>
      <c r="D2014" s="126" t="n">
        <v>3</v>
      </c>
      <c r="E2014" s="127" t="n">
        <v>39916.5</v>
      </c>
      <c r="F2014" s="128">
        <f>IF(C2014&lt;=30,5,IF(C2014&lt;=60,4,IF(C2014&lt;=120,3,IF(C2014&lt;=200,2,1))))</f>
        <v/>
      </c>
      <c r="G2014" s="128">
        <f>IF(D2014&gt;=20,5,IF(D2014&gt;=10,4,IF(D2014&gt;=5,3,IF(D2014&gt;=2,2,1))))</f>
        <v/>
      </c>
      <c r="H2014" s="128">
        <f>IF(E2014&gt;=5000,5,IF(E2014&gt;=2000,4,IF(E2014&gt;=800,3,IF(E2014&gt;=300,2,1))))</f>
        <v/>
      </c>
      <c r="I2014" s="126">
        <f>TEXT(F2014,"0")&amp;TEXT(G2014,"0")&amp;TEXT(H2014,"0")</f>
        <v/>
      </c>
      <c r="J2014" s="126">
        <f>IFERROR(XLOOKUP(I2014,'Segment Map'!A:A,'Segment Map'!B:B,"Need Attention"),"Need Attention")</f>
        <v/>
      </c>
      <c r="K2014" s="126">
        <f>IF(E2014&gt;=5000,"🏆 Platinum",IF(E2014&gt;=2000,"🥇 Gold",IF(E2014&gt;=800,"🥈 Silver","🥉 Bronze")))</f>
        <v/>
      </c>
      <c r="L2014" s="129" t="n">
        <v>40704</v>
      </c>
    </row>
    <row r="2015">
      <c r="A2015" s="122" t="n">
        <v>15099</v>
      </c>
      <c r="B2015" s="122" t="inlineStr">
        <is>
          <t>United Kingdom</t>
        </is>
      </c>
      <c r="C2015" s="122" t="n">
        <v>85</v>
      </c>
      <c r="D2015" s="122" t="n">
        <v>1</v>
      </c>
      <c r="E2015" s="123" t="n">
        <v>410.48</v>
      </c>
      <c r="F2015" s="124">
        <f>IF(C2015&lt;=30,5,IF(C2015&lt;=60,4,IF(C2015&lt;=120,3,IF(C2015&lt;=200,2,1))))</f>
        <v/>
      </c>
      <c r="G2015" s="124">
        <f>IF(D2015&gt;=20,5,IF(D2015&gt;=10,4,IF(D2015&gt;=5,3,IF(D2015&gt;=2,2,1))))</f>
        <v/>
      </c>
      <c r="H2015" s="124">
        <f>IF(E2015&gt;=5000,5,IF(E2015&gt;=2000,4,IF(E2015&gt;=800,3,IF(E2015&gt;=300,2,1))))</f>
        <v/>
      </c>
      <c r="I2015" s="122">
        <f>TEXT(F2015,"0")&amp;TEXT(G2015,"0")&amp;TEXT(H2015,"0")</f>
        <v/>
      </c>
      <c r="J2015" s="122">
        <f>IFERROR(XLOOKUP(I2015,'Segment Map'!A:A,'Segment Map'!B:B,"Need Attention"),"Need Attention")</f>
        <v/>
      </c>
      <c r="K2015" s="122">
        <f>IF(E2015&gt;=5000,"🏆 Platinum",IF(E2015&gt;=2000,"🥇 Gold",IF(E2015&gt;=800,"🥈 Silver","🥉 Bronze")))</f>
        <v/>
      </c>
      <c r="L2015" s="125" t="n">
        <v>40802</v>
      </c>
    </row>
    <row r="2016">
      <c r="A2016" s="126" t="n">
        <v>15100</v>
      </c>
      <c r="B2016" s="126" t="inlineStr">
        <is>
          <t>United Kingdom</t>
        </is>
      </c>
      <c r="C2016" s="126" t="n">
        <v>334</v>
      </c>
      <c r="D2016" s="126" t="n">
        <v>3</v>
      </c>
      <c r="E2016" s="127" t="n">
        <v>876</v>
      </c>
      <c r="F2016" s="128">
        <f>IF(C2016&lt;=30,5,IF(C2016&lt;=60,4,IF(C2016&lt;=120,3,IF(C2016&lt;=200,2,1))))</f>
        <v/>
      </c>
      <c r="G2016" s="128">
        <f>IF(D2016&gt;=20,5,IF(D2016&gt;=10,4,IF(D2016&gt;=5,3,IF(D2016&gt;=2,2,1))))</f>
        <v/>
      </c>
      <c r="H2016" s="128">
        <f>IF(E2016&gt;=5000,5,IF(E2016&gt;=2000,4,IF(E2016&gt;=800,3,IF(E2016&gt;=300,2,1))))</f>
        <v/>
      </c>
      <c r="I2016" s="126">
        <f>TEXT(F2016,"0")&amp;TEXT(G2016,"0")&amp;TEXT(H2016,"0")</f>
        <v/>
      </c>
      <c r="J2016" s="126">
        <f>IFERROR(XLOOKUP(I2016,'Segment Map'!A:A,'Segment Map'!B:B,"Need Attention"),"Need Attention")</f>
        <v/>
      </c>
      <c r="K2016" s="126">
        <f>IF(E2016&gt;=5000,"🏆 Platinum",IF(E2016&gt;=2000,"🥇 Gold",IF(E2016&gt;=800,"🥈 Silver","🥉 Bronze")))</f>
        <v/>
      </c>
      <c r="L2016" s="129" t="n">
        <v>40553</v>
      </c>
    </row>
    <row r="2017">
      <c r="A2017" s="122" t="n">
        <v>15101</v>
      </c>
      <c r="B2017" s="122" t="inlineStr">
        <is>
          <t>United Kingdom</t>
        </is>
      </c>
      <c r="C2017" s="122" t="n">
        <v>9</v>
      </c>
      <c r="D2017" s="122" t="n">
        <v>2</v>
      </c>
      <c r="E2017" s="123" t="n">
        <v>317.53</v>
      </c>
      <c r="F2017" s="124">
        <f>IF(C2017&lt;=30,5,IF(C2017&lt;=60,4,IF(C2017&lt;=120,3,IF(C2017&lt;=200,2,1))))</f>
        <v/>
      </c>
      <c r="G2017" s="124">
        <f>IF(D2017&gt;=20,5,IF(D2017&gt;=10,4,IF(D2017&gt;=5,3,IF(D2017&gt;=2,2,1))))</f>
        <v/>
      </c>
      <c r="H2017" s="124">
        <f>IF(E2017&gt;=5000,5,IF(E2017&gt;=2000,4,IF(E2017&gt;=800,3,IF(E2017&gt;=300,2,1))))</f>
        <v/>
      </c>
      <c r="I2017" s="122">
        <f>TEXT(F2017,"0")&amp;TEXT(G2017,"0")&amp;TEXT(H2017,"0")</f>
        <v/>
      </c>
      <c r="J2017" s="122">
        <f>IFERROR(XLOOKUP(I2017,'Segment Map'!A:A,'Segment Map'!B:B,"Need Attention"),"Need Attention")</f>
        <v/>
      </c>
      <c r="K2017" s="122">
        <f>IF(E2017&gt;=5000,"🏆 Platinum",IF(E2017&gt;=2000,"🥇 Gold",IF(E2017&gt;=800,"🥈 Silver","🥉 Bronze")))</f>
        <v/>
      </c>
      <c r="L2017" s="125" t="n">
        <v>40878</v>
      </c>
    </row>
    <row r="2018">
      <c r="A2018" s="126" t="n">
        <v>15103</v>
      </c>
      <c r="B2018" s="126" t="inlineStr">
        <is>
          <t>United Kingdom</t>
        </is>
      </c>
      <c r="C2018" s="126" t="n">
        <v>32</v>
      </c>
      <c r="D2018" s="126" t="n">
        <v>2</v>
      </c>
      <c r="E2018" s="127" t="n">
        <v>703.36</v>
      </c>
      <c r="F2018" s="128">
        <f>IF(C2018&lt;=30,5,IF(C2018&lt;=60,4,IF(C2018&lt;=120,3,IF(C2018&lt;=200,2,1))))</f>
        <v/>
      </c>
      <c r="G2018" s="128">
        <f>IF(D2018&gt;=20,5,IF(D2018&gt;=10,4,IF(D2018&gt;=5,3,IF(D2018&gt;=2,2,1))))</f>
        <v/>
      </c>
      <c r="H2018" s="128">
        <f>IF(E2018&gt;=5000,5,IF(E2018&gt;=2000,4,IF(E2018&gt;=800,3,IF(E2018&gt;=300,2,1))))</f>
        <v/>
      </c>
      <c r="I2018" s="126">
        <f>TEXT(F2018,"0")&amp;TEXT(G2018,"0")&amp;TEXT(H2018,"0")</f>
        <v/>
      </c>
      <c r="J2018" s="126">
        <f>IFERROR(XLOOKUP(I2018,'Segment Map'!A:A,'Segment Map'!B:B,"Need Attention"),"Need Attention")</f>
        <v/>
      </c>
      <c r="K2018" s="126">
        <f>IF(E2018&gt;=5000,"🏆 Platinum",IF(E2018&gt;=2000,"🥇 Gold",IF(E2018&gt;=800,"🥈 Silver","🥉 Bronze")))</f>
        <v/>
      </c>
      <c r="L2018" s="129" t="n">
        <v>40855</v>
      </c>
    </row>
    <row r="2019">
      <c r="A2019" s="122" t="n">
        <v>15104</v>
      </c>
      <c r="B2019" s="122" t="inlineStr">
        <is>
          <t>United Kingdom</t>
        </is>
      </c>
      <c r="C2019" s="122" t="n">
        <v>197</v>
      </c>
      <c r="D2019" s="122" t="n">
        <v>2</v>
      </c>
      <c r="E2019" s="123" t="n">
        <v>1027.44</v>
      </c>
      <c r="F2019" s="124">
        <f>IF(C2019&lt;=30,5,IF(C2019&lt;=60,4,IF(C2019&lt;=120,3,IF(C2019&lt;=200,2,1))))</f>
        <v/>
      </c>
      <c r="G2019" s="124">
        <f>IF(D2019&gt;=20,5,IF(D2019&gt;=10,4,IF(D2019&gt;=5,3,IF(D2019&gt;=2,2,1))))</f>
        <v/>
      </c>
      <c r="H2019" s="124">
        <f>IF(E2019&gt;=5000,5,IF(E2019&gt;=2000,4,IF(E2019&gt;=800,3,IF(E2019&gt;=300,2,1))))</f>
        <v/>
      </c>
      <c r="I2019" s="122">
        <f>TEXT(F2019,"0")&amp;TEXT(G2019,"0")&amp;TEXT(H2019,"0")</f>
        <v/>
      </c>
      <c r="J2019" s="122">
        <f>IFERROR(XLOOKUP(I2019,'Segment Map'!A:A,'Segment Map'!B:B,"Need Attention"),"Need Attention")</f>
        <v/>
      </c>
      <c r="K2019" s="122">
        <f>IF(E2019&gt;=5000,"🏆 Platinum",IF(E2019&gt;=2000,"🥇 Gold",IF(E2019&gt;=800,"🥈 Silver","🥉 Bronze")))</f>
        <v/>
      </c>
      <c r="L2019" s="125" t="n">
        <v>40690</v>
      </c>
    </row>
    <row r="2020">
      <c r="A2020" s="126" t="n">
        <v>15105</v>
      </c>
      <c r="B2020" s="126" t="inlineStr">
        <is>
          <t>United Kingdom</t>
        </is>
      </c>
      <c r="C2020" s="126" t="n">
        <v>19</v>
      </c>
      <c r="D2020" s="126" t="n">
        <v>7</v>
      </c>
      <c r="E2020" s="127" t="n">
        <v>2298.93</v>
      </c>
      <c r="F2020" s="128">
        <f>IF(C2020&lt;=30,5,IF(C2020&lt;=60,4,IF(C2020&lt;=120,3,IF(C2020&lt;=200,2,1))))</f>
        <v/>
      </c>
      <c r="G2020" s="128">
        <f>IF(D2020&gt;=20,5,IF(D2020&gt;=10,4,IF(D2020&gt;=5,3,IF(D2020&gt;=2,2,1))))</f>
        <v/>
      </c>
      <c r="H2020" s="128">
        <f>IF(E2020&gt;=5000,5,IF(E2020&gt;=2000,4,IF(E2020&gt;=800,3,IF(E2020&gt;=300,2,1))))</f>
        <v/>
      </c>
      <c r="I2020" s="126">
        <f>TEXT(F2020,"0")&amp;TEXT(G2020,"0")&amp;TEXT(H2020,"0")</f>
        <v/>
      </c>
      <c r="J2020" s="126">
        <f>IFERROR(XLOOKUP(I2020,'Segment Map'!A:A,'Segment Map'!B:B,"Need Attention"),"Need Attention")</f>
        <v/>
      </c>
      <c r="K2020" s="126">
        <f>IF(E2020&gt;=5000,"🏆 Platinum",IF(E2020&gt;=2000,"🥇 Gold",IF(E2020&gt;=800,"🥈 Silver","🥉 Bronze")))</f>
        <v/>
      </c>
      <c r="L2020" s="129" t="n">
        <v>40868</v>
      </c>
    </row>
    <row r="2021">
      <c r="A2021" s="122" t="n">
        <v>15106</v>
      </c>
      <c r="B2021" s="122" t="inlineStr">
        <is>
          <t>United Kingdom</t>
        </is>
      </c>
      <c r="C2021" s="122" t="n">
        <v>18</v>
      </c>
      <c r="D2021" s="122" t="n">
        <v>5</v>
      </c>
      <c r="E2021" s="123" t="n">
        <v>1422.52</v>
      </c>
      <c r="F2021" s="124">
        <f>IF(C2021&lt;=30,5,IF(C2021&lt;=60,4,IF(C2021&lt;=120,3,IF(C2021&lt;=200,2,1))))</f>
        <v/>
      </c>
      <c r="G2021" s="124">
        <f>IF(D2021&gt;=20,5,IF(D2021&gt;=10,4,IF(D2021&gt;=5,3,IF(D2021&gt;=2,2,1))))</f>
        <v/>
      </c>
      <c r="H2021" s="124">
        <f>IF(E2021&gt;=5000,5,IF(E2021&gt;=2000,4,IF(E2021&gt;=800,3,IF(E2021&gt;=300,2,1))))</f>
        <v/>
      </c>
      <c r="I2021" s="122">
        <f>TEXT(F2021,"0")&amp;TEXT(G2021,"0")&amp;TEXT(H2021,"0")</f>
        <v/>
      </c>
      <c r="J2021" s="122">
        <f>IFERROR(XLOOKUP(I2021,'Segment Map'!A:A,'Segment Map'!B:B,"Need Attention"),"Need Attention")</f>
        <v/>
      </c>
      <c r="K2021" s="122">
        <f>IF(E2021&gt;=5000,"🏆 Platinum",IF(E2021&gt;=2000,"🥇 Gold",IF(E2021&gt;=800,"🥈 Silver","🥉 Bronze")))</f>
        <v/>
      </c>
      <c r="L2021" s="125" t="n">
        <v>40869</v>
      </c>
    </row>
    <row r="2022">
      <c r="A2022" s="126" t="n">
        <v>15107</v>
      </c>
      <c r="B2022" s="126" t="inlineStr">
        <is>
          <t>United Kingdom</t>
        </is>
      </c>
      <c r="C2022" s="126" t="n">
        <v>312</v>
      </c>
      <c r="D2022" s="126" t="n">
        <v>6</v>
      </c>
      <c r="E2022" s="127" t="n">
        <v>319.5</v>
      </c>
      <c r="F2022" s="128">
        <f>IF(C2022&lt;=30,5,IF(C2022&lt;=60,4,IF(C2022&lt;=120,3,IF(C2022&lt;=200,2,1))))</f>
        <v/>
      </c>
      <c r="G2022" s="128">
        <f>IF(D2022&gt;=20,5,IF(D2022&gt;=10,4,IF(D2022&gt;=5,3,IF(D2022&gt;=2,2,1))))</f>
        <v/>
      </c>
      <c r="H2022" s="128">
        <f>IF(E2022&gt;=5000,5,IF(E2022&gt;=2000,4,IF(E2022&gt;=800,3,IF(E2022&gt;=300,2,1))))</f>
        <v/>
      </c>
      <c r="I2022" s="126">
        <f>TEXT(F2022,"0")&amp;TEXT(G2022,"0")&amp;TEXT(H2022,"0")</f>
        <v/>
      </c>
      <c r="J2022" s="126">
        <f>IFERROR(XLOOKUP(I2022,'Segment Map'!A:A,'Segment Map'!B:B,"Need Attention"),"Need Attention")</f>
        <v/>
      </c>
      <c r="K2022" s="126">
        <f>IF(E2022&gt;=5000,"🏆 Platinum",IF(E2022&gt;=2000,"🥇 Gold",IF(E2022&gt;=800,"🥈 Silver","🥉 Bronze")))</f>
        <v/>
      </c>
      <c r="L2022" s="129" t="n">
        <v>40575</v>
      </c>
    </row>
    <row r="2023">
      <c r="A2023" s="122" t="n">
        <v>15108</v>
      </c>
      <c r="B2023" s="122" t="inlineStr">
        <is>
          <t>European Community</t>
        </is>
      </c>
      <c r="C2023" s="122" t="n">
        <v>142</v>
      </c>
      <c r="D2023" s="122" t="n">
        <v>4</v>
      </c>
      <c r="E2023" s="123" t="n">
        <v>1300.25</v>
      </c>
      <c r="F2023" s="124">
        <f>IF(C2023&lt;=30,5,IF(C2023&lt;=60,4,IF(C2023&lt;=120,3,IF(C2023&lt;=200,2,1))))</f>
        <v/>
      </c>
      <c r="G2023" s="124">
        <f>IF(D2023&gt;=20,5,IF(D2023&gt;=10,4,IF(D2023&gt;=5,3,IF(D2023&gt;=2,2,1))))</f>
        <v/>
      </c>
      <c r="H2023" s="124">
        <f>IF(E2023&gt;=5000,5,IF(E2023&gt;=2000,4,IF(E2023&gt;=800,3,IF(E2023&gt;=300,2,1))))</f>
        <v/>
      </c>
      <c r="I2023" s="122">
        <f>TEXT(F2023,"0")&amp;TEXT(G2023,"0")&amp;TEXT(H2023,"0")</f>
        <v/>
      </c>
      <c r="J2023" s="122">
        <f>IFERROR(XLOOKUP(I2023,'Segment Map'!A:A,'Segment Map'!B:B,"Need Attention"),"Need Attention")</f>
        <v/>
      </c>
      <c r="K2023" s="122">
        <f>IF(E2023&gt;=5000,"🏆 Platinum",IF(E2023&gt;=2000,"🥇 Gold",IF(E2023&gt;=800,"🥈 Silver","🥉 Bronze")))</f>
        <v/>
      </c>
      <c r="L2023" s="125" t="n">
        <v>40745</v>
      </c>
    </row>
    <row r="2024">
      <c r="A2024" s="126" t="n">
        <v>15109</v>
      </c>
      <c r="B2024" s="126" t="inlineStr">
        <is>
          <t>United Kingdom</t>
        </is>
      </c>
      <c r="C2024" s="126" t="n">
        <v>246</v>
      </c>
      <c r="D2024" s="126" t="n">
        <v>1</v>
      </c>
      <c r="E2024" s="127" t="n">
        <v>484.95</v>
      </c>
      <c r="F2024" s="128">
        <f>IF(C2024&lt;=30,5,IF(C2024&lt;=60,4,IF(C2024&lt;=120,3,IF(C2024&lt;=200,2,1))))</f>
        <v/>
      </c>
      <c r="G2024" s="128">
        <f>IF(D2024&gt;=20,5,IF(D2024&gt;=10,4,IF(D2024&gt;=5,3,IF(D2024&gt;=2,2,1))))</f>
        <v/>
      </c>
      <c r="H2024" s="128">
        <f>IF(E2024&gt;=5000,5,IF(E2024&gt;=2000,4,IF(E2024&gt;=800,3,IF(E2024&gt;=300,2,1))))</f>
        <v/>
      </c>
      <c r="I2024" s="126">
        <f>TEXT(F2024,"0")&amp;TEXT(G2024,"0")&amp;TEXT(H2024,"0")</f>
        <v/>
      </c>
      <c r="J2024" s="126">
        <f>IFERROR(XLOOKUP(I2024,'Segment Map'!A:A,'Segment Map'!B:B,"Need Attention"),"Need Attention")</f>
        <v/>
      </c>
      <c r="K2024" s="126">
        <f>IF(E2024&gt;=5000,"🏆 Platinum",IF(E2024&gt;=2000,"🥇 Gold",IF(E2024&gt;=800,"🥈 Silver","🥉 Bronze")))</f>
        <v/>
      </c>
      <c r="L2024" s="129" t="n">
        <v>40641</v>
      </c>
    </row>
    <row r="2025">
      <c r="A2025" s="122" t="n">
        <v>15110</v>
      </c>
      <c r="B2025" s="122" t="inlineStr">
        <is>
          <t>United Kingdom</t>
        </is>
      </c>
      <c r="C2025" s="122" t="n">
        <v>24</v>
      </c>
      <c r="D2025" s="122" t="n">
        <v>4</v>
      </c>
      <c r="E2025" s="123" t="n">
        <v>996.1</v>
      </c>
      <c r="F2025" s="124">
        <f>IF(C2025&lt;=30,5,IF(C2025&lt;=60,4,IF(C2025&lt;=120,3,IF(C2025&lt;=200,2,1))))</f>
        <v/>
      </c>
      <c r="G2025" s="124">
        <f>IF(D2025&gt;=20,5,IF(D2025&gt;=10,4,IF(D2025&gt;=5,3,IF(D2025&gt;=2,2,1))))</f>
        <v/>
      </c>
      <c r="H2025" s="124">
        <f>IF(E2025&gt;=5000,5,IF(E2025&gt;=2000,4,IF(E2025&gt;=800,3,IF(E2025&gt;=300,2,1))))</f>
        <v/>
      </c>
      <c r="I2025" s="122">
        <f>TEXT(F2025,"0")&amp;TEXT(G2025,"0")&amp;TEXT(H2025,"0")</f>
        <v/>
      </c>
      <c r="J2025" s="122">
        <f>IFERROR(XLOOKUP(I2025,'Segment Map'!A:A,'Segment Map'!B:B,"Need Attention"),"Need Attention")</f>
        <v/>
      </c>
      <c r="K2025" s="122">
        <f>IF(E2025&gt;=5000,"🏆 Platinum",IF(E2025&gt;=2000,"🥇 Gold",IF(E2025&gt;=800,"🥈 Silver","🥉 Bronze")))</f>
        <v/>
      </c>
      <c r="L2025" s="125" t="n">
        <v>40863</v>
      </c>
    </row>
    <row r="2026">
      <c r="A2026" s="126" t="n">
        <v>15111</v>
      </c>
      <c r="B2026" s="126" t="inlineStr">
        <is>
          <t>United Kingdom</t>
        </is>
      </c>
      <c r="C2026" s="126" t="n">
        <v>30</v>
      </c>
      <c r="D2026" s="126" t="n">
        <v>3</v>
      </c>
      <c r="E2026" s="127" t="n">
        <v>1567.48</v>
      </c>
      <c r="F2026" s="128">
        <f>IF(C2026&lt;=30,5,IF(C2026&lt;=60,4,IF(C2026&lt;=120,3,IF(C2026&lt;=200,2,1))))</f>
        <v/>
      </c>
      <c r="G2026" s="128">
        <f>IF(D2026&gt;=20,5,IF(D2026&gt;=10,4,IF(D2026&gt;=5,3,IF(D2026&gt;=2,2,1))))</f>
        <v/>
      </c>
      <c r="H2026" s="128">
        <f>IF(E2026&gt;=5000,5,IF(E2026&gt;=2000,4,IF(E2026&gt;=800,3,IF(E2026&gt;=300,2,1))))</f>
        <v/>
      </c>
      <c r="I2026" s="126">
        <f>TEXT(F2026,"0")&amp;TEXT(G2026,"0")&amp;TEXT(H2026,"0")</f>
        <v/>
      </c>
      <c r="J2026" s="126">
        <f>IFERROR(XLOOKUP(I2026,'Segment Map'!A:A,'Segment Map'!B:B,"Need Attention"),"Need Attention")</f>
        <v/>
      </c>
      <c r="K2026" s="126">
        <f>IF(E2026&gt;=5000,"🏆 Platinum",IF(E2026&gt;=2000,"🥇 Gold",IF(E2026&gt;=800,"🥈 Silver","🥉 Bronze")))</f>
        <v/>
      </c>
      <c r="L2026" s="129" t="n">
        <v>40857</v>
      </c>
    </row>
    <row r="2027">
      <c r="A2027" s="122" t="n">
        <v>15113</v>
      </c>
      <c r="B2027" s="122" t="inlineStr">
        <is>
          <t>United Kingdom</t>
        </is>
      </c>
      <c r="C2027" s="122" t="n">
        <v>10</v>
      </c>
      <c r="D2027" s="122" t="n">
        <v>3</v>
      </c>
      <c r="E2027" s="123" t="n">
        <v>3609.33</v>
      </c>
      <c r="F2027" s="124">
        <f>IF(C2027&lt;=30,5,IF(C2027&lt;=60,4,IF(C2027&lt;=120,3,IF(C2027&lt;=200,2,1))))</f>
        <v/>
      </c>
      <c r="G2027" s="124">
        <f>IF(D2027&gt;=20,5,IF(D2027&gt;=10,4,IF(D2027&gt;=5,3,IF(D2027&gt;=2,2,1))))</f>
        <v/>
      </c>
      <c r="H2027" s="124">
        <f>IF(E2027&gt;=5000,5,IF(E2027&gt;=2000,4,IF(E2027&gt;=800,3,IF(E2027&gt;=300,2,1))))</f>
        <v/>
      </c>
      <c r="I2027" s="122">
        <f>TEXT(F2027,"0")&amp;TEXT(G2027,"0")&amp;TEXT(H2027,"0")</f>
        <v/>
      </c>
      <c r="J2027" s="122">
        <f>IFERROR(XLOOKUP(I2027,'Segment Map'!A:A,'Segment Map'!B:B,"Need Attention"),"Need Attention")</f>
        <v/>
      </c>
      <c r="K2027" s="122">
        <f>IF(E2027&gt;=5000,"🏆 Platinum",IF(E2027&gt;=2000,"🥇 Gold",IF(E2027&gt;=800,"🥈 Silver","🥉 Bronze")))</f>
        <v/>
      </c>
      <c r="L2027" s="125" t="n">
        <v>40877</v>
      </c>
    </row>
    <row r="2028">
      <c r="A2028" s="126" t="n">
        <v>15114</v>
      </c>
      <c r="B2028" s="126" t="inlineStr">
        <is>
          <t>United Kingdom</t>
        </is>
      </c>
      <c r="C2028" s="126" t="n">
        <v>31</v>
      </c>
      <c r="D2028" s="126" t="n">
        <v>10</v>
      </c>
      <c r="E2028" s="127" t="n">
        <v>2760.56</v>
      </c>
      <c r="F2028" s="128">
        <f>IF(C2028&lt;=30,5,IF(C2028&lt;=60,4,IF(C2028&lt;=120,3,IF(C2028&lt;=200,2,1))))</f>
        <v/>
      </c>
      <c r="G2028" s="128">
        <f>IF(D2028&gt;=20,5,IF(D2028&gt;=10,4,IF(D2028&gt;=5,3,IF(D2028&gt;=2,2,1))))</f>
        <v/>
      </c>
      <c r="H2028" s="128">
        <f>IF(E2028&gt;=5000,5,IF(E2028&gt;=2000,4,IF(E2028&gt;=800,3,IF(E2028&gt;=300,2,1))))</f>
        <v/>
      </c>
      <c r="I2028" s="126">
        <f>TEXT(F2028,"0")&amp;TEXT(G2028,"0")&amp;TEXT(H2028,"0")</f>
        <v/>
      </c>
      <c r="J2028" s="126">
        <f>IFERROR(XLOOKUP(I2028,'Segment Map'!A:A,'Segment Map'!B:B,"Need Attention"),"Need Attention")</f>
        <v/>
      </c>
      <c r="K2028" s="126">
        <f>IF(E2028&gt;=5000,"🏆 Platinum",IF(E2028&gt;=2000,"🥇 Gold",IF(E2028&gt;=800,"🥈 Silver","🥉 Bronze")))</f>
        <v/>
      </c>
      <c r="L2028" s="129" t="n">
        <v>40856</v>
      </c>
    </row>
    <row r="2029">
      <c r="A2029" s="122" t="n">
        <v>15115</v>
      </c>
      <c r="B2029" s="122" t="inlineStr">
        <is>
          <t>United Kingdom</t>
        </is>
      </c>
      <c r="C2029" s="122" t="n">
        <v>19</v>
      </c>
      <c r="D2029" s="122" t="n">
        <v>1</v>
      </c>
      <c r="E2029" s="123" t="n">
        <v>340.11</v>
      </c>
      <c r="F2029" s="124">
        <f>IF(C2029&lt;=30,5,IF(C2029&lt;=60,4,IF(C2029&lt;=120,3,IF(C2029&lt;=200,2,1))))</f>
        <v/>
      </c>
      <c r="G2029" s="124">
        <f>IF(D2029&gt;=20,5,IF(D2029&gt;=10,4,IF(D2029&gt;=5,3,IF(D2029&gt;=2,2,1))))</f>
        <v/>
      </c>
      <c r="H2029" s="124">
        <f>IF(E2029&gt;=5000,5,IF(E2029&gt;=2000,4,IF(E2029&gt;=800,3,IF(E2029&gt;=300,2,1))))</f>
        <v/>
      </c>
      <c r="I2029" s="122">
        <f>TEXT(F2029,"0")&amp;TEXT(G2029,"0")&amp;TEXT(H2029,"0")</f>
        <v/>
      </c>
      <c r="J2029" s="122">
        <f>IFERROR(XLOOKUP(I2029,'Segment Map'!A:A,'Segment Map'!B:B,"Need Attention"),"Need Attention")</f>
        <v/>
      </c>
      <c r="K2029" s="122">
        <f>IF(E2029&gt;=5000,"🏆 Platinum",IF(E2029&gt;=2000,"🥇 Gold",IF(E2029&gt;=800,"🥈 Silver","🥉 Bronze")))</f>
        <v/>
      </c>
      <c r="L2029" s="125" t="n">
        <v>40868</v>
      </c>
    </row>
    <row r="2030">
      <c r="A2030" s="126" t="n">
        <v>15116</v>
      </c>
      <c r="B2030" s="126" t="inlineStr">
        <is>
          <t>United Kingdom</t>
        </is>
      </c>
      <c r="C2030" s="126" t="n">
        <v>18</v>
      </c>
      <c r="D2030" s="126" t="n">
        <v>4</v>
      </c>
      <c r="E2030" s="127" t="n">
        <v>1352.75</v>
      </c>
      <c r="F2030" s="128">
        <f>IF(C2030&lt;=30,5,IF(C2030&lt;=60,4,IF(C2030&lt;=120,3,IF(C2030&lt;=200,2,1))))</f>
        <v/>
      </c>
      <c r="G2030" s="128">
        <f>IF(D2030&gt;=20,5,IF(D2030&gt;=10,4,IF(D2030&gt;=5,3,IF(D2030&gt;=2,2,1))))</f>
        <v/>
      </c>
      <c r="H2030" s="128">
        <f>IF(E2030&gt;=5000,5,IF(E2030&gt;=2000,4,IF(E2030&gt;=800,3,IF(E2030&gt;=300,2,1))))</f>
        <v/>
      </c>
      <c r="I2030" s="126">
        <f>TEXT(F2030,"0")&amp;TEXT(G2030,"0")&amp;TEXT(H2030,"0")</f>
        <v/>
      </c>
      <c r="J2030" s="126">
        <f>IFERROR(XLOOKUP(I2030,'Segment Map'!A:A,'Segment Map'!B:B,"Need Attention"),"Need Attention")</f>
        <v/>
      </c>
      <c r="K2030" s="126">
        <f>IF(E2030&gt;=5000,"🏆 Platinum",IF(E2030&gt;=2000,"🥇 Gold",IF(E2030&gt;=800,"🥈 Silver","🥉 Bronze")))</f>
        <v/>
      </c>
      <c r="L2030" s="129" t="n">
        <v>40869</v>
      </c>
    </row>
    <row r="2031">
      <c r="A2031" s="122" t="n">
        <v>15117</v>
      </c>
      <c r="B2031" s="122" t="inlineStr">
        <is>
          <t>United Kingdom</t>
        </is>
      </c>
      <c r="C2031" s="122" t="n">
        <v>15</v>
      </c>
      <c r="D2031" s="122" t="n">
        <v>5</v>
      </c>
      <c r="E2031" s="123" t="n">
        <v>1551.78</v>
      </c>
      <c r="F2031" s="124">
        <f>IF(C2031&lt;=30,5,IF(C2031&lt;=60,4,IF(C2031&lt;=120,3,IF(C2031&lt;=200,2,1))))</f>
        <v/>
      </c>
      <c r="G2031" s="124">
        <f>IF(D2031&gt;=20,5,IF(D2031&gt;=10,4,IF(D2031&gt;=5,3,IF(D2031&gt;=2,2,1))))</f>
        <v/>
      </c>
      <c r="H2031" s="124">
        <f>IF(E2031&gt;=5000,5,IF(E2031&gt;=2000,4,IF(E2031&gt;=800,3,IF(E2031&gt;=300,2,1))))</f>
        <v/>
      </c>
      <c r="I2031" s="122">
        <f>TEXT(F2031,"0")&amp;TEXT(G2031,"0")&amp;TEXT(H2031,"0")</f>
        <v/>
      </c>
      <c r="J2031" s="122">
        <f>IFERROR(XLOOKUP(I2031,'Segment Map'!A:A,'Segment Map'!B:B,"Need Attention"),"Need Attention")</f>
        <v/>
      </c>
      <c r="K2031" s="122">
        <f>IF(E2031&gt;=5000,"🏆 Platinum",IF(E2031&gt;=2000,"🥇 Gold",IF(E2031&gt;=800,"🥈 Silver","🥉 Bronze")))</f>
        <v/>
      </c>
      <c r="L2031" s="125" t="n">
        <v>40872</v>
      </c>
    </row>
    <row r="2032">
      <c r="A2032" s="126" t="n">
        <v>15118</v>
      </c>
      <c r="B2032" s="126" t="inlineStr">
        <is>
          <t>United Kingdom</t>
        </is>
      </c>
      <c r="C2032" s="126" t="n">
        <v>135</v>
      </c>
      <c r="D2032" s="126" t="n">
        <v>1</v>
      </c>
      <c r="E2032" s="127" t="n">
        <v>244.8</v>
      </c>
      <c r="F2032" s="128">
        <f>IF(C2032&lt;=30,5,IF(C2032&lt;=60,4,IF(C2032&lt;=120,3,IF(C2032&lt;=200,2,1))))</f>
        <v/>
      </c>
      <c r="G2032" s="128">
        <f>IF(D2032&gt;=20,5,IF(D2032&gt;=10,4,IF(D2032&gt;=5,3,IF(D2032&gt;=2,2,1))))</f>
        <v/>
      </c>
      <c r="H2032" s="128">
        <f>IF(E2032&gt;=5000,5,IF(E2032&gt;=2000,4,IF(E2032&gt;=800,3,IF(E2032&gt;=300,2,1))))</f>
        <v/>
      </c>
      <c r="I2032" s="126">
        <f>TEXT(F2032,"0")&amp;TEXT(G2032,"0")&amp;TEXT(H2032,"0")</f>
        <v/>
      </c>
      <c r="J2032" s="126">
        <f>IFERROR(XLOOKUP(I2032,'Segment Map'!A:A,'Segment Map'!B:B,"Need Attention"),"Need Attention")</f>
        <v/>
      </c>
      <c r="K2032" s="126">
        <f>IF(E2032&gt;=5000,"🏆 Platinum",IF(E2032&gt;=2000,"🥇 Gold",IF(E2032&gt;=800,"🥈 Silver","🥉 Bronze")))</f>
        <v/>
      </c>
      <c r="L2032" s="129" t="n">
        <v>40752</v>
      </c>
    </row>
    <row r="2033">
      <c r="A2033" s="122" t="n">
        <v>15119</v>
      </c>
      <c r="B2033" s="122" t="inlineStr">
        <is>
          <t>United Kingdom</t>
        </is>
      </c>
      <c r="C2033" s="122" t="n">
        <v>246</v>
      </c>
      <c r="D2033" s="122" t="n">
        <v>1</v>
      </c>
      <c r="E2033" s="123" t="n">
        <v>266.4</v>
      </c>
      <c r="F2033" s="124">
        <f>IF(C2033&lt;=30,5,IF(C2033&lt;=60,4,IF(C2033&lt;=120,3,IF(C2033&lt;=200,2,1))))</f>
        <v/>
      </c>
      <c r="G2033" s="124">
        <f>IF(D2033&gt;=20,5,IF(D2033&gt;=10,4,IF(D2033&gt;=5,3,IF(D2033&gt;=2,2,1))))</f>
        <v/>
      </c>
      <c r="H2033" s="124">
        <f>IF(E2033&gt;=5000,5,IF(E2033&gt;=2000,4,IF(E2033&gt;=800,3,IF(E2033&gt;=300,2,1))))</f>
        <v/>
      </c>
      <c r="I2033" s="122">
        <f>TEXT(F2033,"0")&amp;TEXT(G2033,"0")&amp;TEXT(H2033,"0")</f>
        <v/>
      </c>
      <c r="J2033" s="122">
        <f>IFERROR(XLOOKUP(I2033,'Segment Map'!A:A,'Segment Map'!B:B,"Need Attention"),"Need Attention")</f>
        <v/>
      </c>
      <c r="K2033" s="122">
        <f>IF(E2033&gt;=5000,"🏆 Platinum",IF(E2033&gt;=2000,"🥇 Gold",IF(E2033&gt;=800,"🥈 Silver","🥉 Bronze")))</f>
        <v/>
      </c>
      <c r="L2033" s="125" t="n">
        <v>40641</v>
      </c>
    </row>
    <row r="2034">
      <c r="A2034" s="126" t="n">
        <v>15120</v>
      </c>
      <c r="B2034" s="126" t="inlineStr">
        <is>
          <t>United Kingdom</t>
        </is>
      </c>
      <c r="C2034" s="126" t="n">
        <v>134</v>
      </c>
      <c r="D2034" s="126" t="n">
        <v>1</v>
      </c>
      <c r="E2034" s="127" t="n">
        <v>358.82</v>
      </c>
      <c r="F2034" s="128">
        <f>IF(C2034&lt;=30,5,IF(C2034&lt;=60,4,IF(C2034&lt;=120,3,IF(C2034&lt;=200,2,1))))</f>
        <v/>
      </c>
      <c r="G2034" s="128">
        <f>IF(D2034&gt;=20,5,IF(D2034&gt;=10,4,IF(D2034&gt;=5,3,IF(D2034&gt;=2,2,1))))</f>
        <v/>
      </c>
      <c r="H2034" s="128">
        <f>IF(E2034&gt;=5000,5,IF(E2034&gt;=2000,4,IF(E2034&gt;=800,3,IF(E2034&gt;=300,2,1))))</f>
        <v/>
      </c>
      <c r="I2034" s="126">
        <f>TEXT(F2034,"0")&amp;TEXT(G2034,"0")&amp;TEXT(H2034,"0")</f>
        <v/>
      </c>
      <c r="J2034" s="126">
        <f>IFERROR(XLOOKUP(I2034,'Segment Map'!A:A,'Segment Map'!B:B,"Need Attention"),"Need Attention")</f>
        <v/>
      </c>
      <c r="K2034" s="126">
        <f>IF(E2034&gt;=5000,"🏆 Platinum",IF(E2034&gt;=2000,"🥇 Gold",IF(E2034&gt;=800,"🥈 Silver","🥉 Bronze")))</f>
        <v/>
      </c>
      <c r="L2034" s="129" t="n">
        <v>40753</v>
      </c>
    </row>
    <row r="2035">
      <c r="A2035" s="122" t="n">
        <v>15121</v>
      </c>
      <c r="B2035" s="122" t="inlineStr">
        <is>
          <t>United Kingdom</t>
        </is>
      </c>
      <c r="C2035" s="122" t="n">
        <v>51</v>
      </c>
      <c r="D2035" s="122" t="n">
        <v>2</v>
      </c>
      <c r="E2035" s="123" t="n">
        <v>457.72</v>
      </c>
      <c r="F2035" s="124">
        <f>IF(C2035&lt;=30,5,IF(C2035&lt;=60,4,IF(C2035&lt;=120,3,IF(C2035&lt;=200,2,1))))</f>
        <v/>
      </c>
      <c r="G2035" s="124">
        <f>IF(D2035&gt;=20,5,IF(D2035&gt;=10,4,IF(D2035&gt;=5,3,IF(D2035&gt;=2,2,1))))</f>
        <v/>
      </c>
      <c r="H2035" s="124">
        <f>IF(E2035&gt;=5000,5,IF(E2035&gt;=2000,4,IF(E2035&gt;=800,3,IF(E2035&gt;=300,2,1))))</f>
        <v/>
      </c>
      <c r="I2035" s="122">
        <f>TEXT(F2035,"0")&amp;TEXT(G2035,"0")&amp;TEXT(H2035,"0")</f>
        <v/>
      </c>
      <c r="J2035" s="122">
        <f>IFERROR(XLOOKUP(I2035,'Segment Map'!A:A,'Segment Map'!B:B,"Need Attention"),"Need Attention")</f>
        <v/>
      </c>
      <c r="K2035" s="122">
        <f>IF(E2035&gt;=5000,"🏆 Platinum",IF(E2035&gt;=2000,"🥇 Gold",IF(E2035&gt;=800,"🥈 Silver","🥉 Bronze")))</f>
        <v/>
      </c>
      <c r="L2035" s="125" t="n">
        <v>40836</v>
      </c>
    </row>
    <row r="2036">
      <c r="A2036" s="126" t="n">
        <v>15122</v>
      </c>
      <c r="B2036" s="126" t="inlineStr">
        <is>
          <t>United Kingdom</t>
        </is>
      </c>
      <c r="C2036" s="126" t="n">
        <v>115</v>
      </c>
      <c r="D2036" s="126" t="n">
        <v>3</v>
      </c>
      <c r="E2036" s="127" t="n">
        <v>1633.78</v>
      </c>
      <c r="F2036" s="128">
        <f>IF(C2036&lt;=30,5,IF(C2036&lt;=60,4,IF(C2036&lt;=120,3,IF(C2036&lt;=200,2,1))))</f>
        <v/>
      </c>
      <c r="G2036" s="128">
        <f>IF(D2036&gt;=20,5,IF(D2036&gt;=10,4,IF(D2036&gt;=5,3,IF(D2036&gt;=2,2,1))))</f>
        <v/>
      </c>
      <c r="H2036" s="128">
        <f>IF(E2036&gt;=5000,5,IF(E2036&gt;=2000,4,IF(E2036&gt;=800,3,IF(E2036&gt;=300,2,1))))</f>
        <v/>
      </c>
      <c r="I2036" s="126">
        <f>TEXT(F2036,"0")&amp;TEXT(G2036,"0")&amp;TEXT(H2036,"0")</f>
        <v/>
      </c>
      <c r="J2036" s="126">
        <f>IFERROR(XLOOKUP(I2036,'Segment Map'!A:A,'Segment Map'!B:B,"Need Attention"),"Need Attention")</f>
        <v/>
      </c>
      <c r="K2036" s="126">
        <f>IF(E2036&gt;=5000,"🏆 Platinum",IF(E2036&gt;=2000,"🥇 Gold",IF(E2036&gt;=800,"🥈 Silver","🥉 Bronze")))</f>
        <v/>
      </c>
      <c r="L2036" s="129" t="n">
        <v>40772</v>
      </c>
    </row>
    <row r="2037">
      <c r="A2037" s="122" t="n">
        <v>15123</v>
      </c>
      <c r="B2037" s="122" t="inlineStr">
        <is>
          <t>United Kingdom</t>
        </is>
      </c>
      <c r="C2037" s="122" t="n">
        <v>8</v>
      </c>
      <c r="D2037" s="122" t="n">
        <v>2</v>
      </c>
      <c r="E2037" s="123" t="n">
        <v>2199.31</v>
      </c>
      <c r="F2037" s="124">
        <f>IF(C2037&lt;=30,5,IF(C2037&lt;=60,4,IF(C2037&lt;=120,3,IF(C2037&lt;=200,2,1))))</f>
        <v/>
      </c>
      <c r="G2037" s="124">
        <f>IF(D2037&gt;=20,5,IF(D2037&gt;=10,4,IF(D2037&gt;=5,3,IF(D2037&gt;=2,2,1))))</f>
        <v/>
      </c>
      <c r="H2037" s="124">
        <f>IF(E2037&gt;=5000,5,IF(E2037&gt;=2000,4,IF(E2037&gt;=800,3,IF(E2037&gt;=300,2,1))))</f>
        <v/>
      </c>
      <c r="I2037" s="122">
        <f>TEXT(F2037,"0")&amp;TEXT(G2037,"0")&amp;TEXT(H2037,"0")</f>
        <v/>
      </c>
      <c r="J2037" s="122">
        <f>IFERROR(XLOOKUP(I2037,'Segment Map'!A:A,'Segment Map'!B:B,"Need Attention"),"Need Attention")</f>
        <v/>
      </c>
      <c r="K2037" s="122">
        <f>IF(E2037&gt;=5000,"🏆 Platinum",IF(E2037&gt;=2000,"🥇 Gold",IF(E2037&gt;=800,"🥈 Silver","🥉 Bronze")))</f>
        <v/>
      </c>
      <c r="L2037" s="125" t="n">
        <v>40879</v>
      </c>
    </row>
    <row r="2038">
      <c r="A2038" s="126" t="n">
        <v>15124</v>
      </c>
      <c r="B2038" s="126" t="inlineStr">
        <is>
          <t>United Kingdom</t>
        </is>
      </c>
      <c r="C2038" s="126" t="n">
        <v>23</v>
      </c>
      <c r="D2038" s="126" t="n">
        <v>2</v>
      </c>
      <c r="E2038" s="127" t="n">
        <v>184.19</v>
      </c>
      <c r="F2038" s="128">
        <f>IF(C2038&lt;=30,5,IF(C2038&lt;=60,4,IF(C2038&lt;=120,3,IF(C2038&lt;=200,2,1))))</f>
        <v/>
      </c>
      <c r="G2038" s="128">
        <f>IF(D2038&gt;=20,5,IF(D2038&gt;=10,4,IF(D2038&gt;=5,3,IF(D2038&gt;=2,2,1))))</f>
        <v/>
      </c>
      <c r="H2038" s="128">
        <f>IF(E2038&gt;=5000,5,IF(E2038&gt;=2000,4,IF(E2038&gt;=800,3,IF(E2038&gt;=300,2,1))))</f>
        <v/>
      </c>
      <c r="I2038" s="126">
        <f>TEXT(F2038,"0")&amp;TEXT(G2038,"0")&amp;TEXT(H2038,"0")</f>
        <v/>
      </c>
      <c r="J2038" s="126">
        <f>IFERROR(XLOOKUP(I2038,'Segment Map'!A:A,'Segment Map'!B:B,"Need Attention"),"Need Attention")</f>
        <v/>
      </c>
      <c r="K2038" s="126">
        <f>IF(E2038&gt;=5000,"🏆 Platinum",IF(E2038&gt;=2000,"🥇 Gold",IF(E2038&gt;=800,"🥈 Silver","🥉 Bronze")))</f>
        <v/>
      </c>
      <c r="L2038" s="129" t="n">
        <v>40864</v>
      </c>
    </row>
    <row r="2039">
      <c r="A2039" s="122" t="n">
        <v>15125</v>
      </c>
      <c r="B2039" s="122" t="inlineStr">
        <is>
          <t>United Kingdom</t>
        </is>
      </c>
      <c r="C2039" s="122" t="n">
        <v>26</v>
      </c>
      <c r="D2039" s="122" t="n">
        <v>15</v>
      </c>
      <c r="E2039" s="123" t="n">
        <v>11528.48</v>
      </c>
      <c r="F2039" s="124">
        <f>IF(C2039&lt;=30,5,IF(C2039&lt;=60,4,IF(C2039&lt;=120,3,IF(C2039&lt;=200,2,1))))</f>
        <v/>
      </c>
      <c r="G2039" s="124">
        <f>IF(D2039&gt;=20,5,IF(D2039&gt;=10,4,IF(D2039&gt;=5,3,IF(D2039&gt;=2,2,1))))</f>
        <v/>
      </c>
      <c r="H2039" s="124">
        <f>IF(E2039&gt;=5000,5,IF(E2039&gt;=2000,4,IF(E2039&gt;=800,3,IF(E2039&gt;=300,2,1))))</f>
        <v/>
      </c>
      <c r="I2039" s="122">
        <f>TEXT(F2039,"0")&amp;TEXT(G2039,"0")&amp;TEXT(H2039,"0")</f>
        <v/>
      </c>
      <c r="J2039" s="122">
        <f>IFERROR(XLOOKUP(I2039,'Segment Map'!A:A,'Segment Map'!B:B,"Need Attention"),"Need Attention")</f>
        <v/>
      </c>
      <c r="K2039" s="122">
        <f>IF(E2039&gt;=5000,"🏆 Platinum",IF(E2039&gt;=2000,"🥇 Gold",IF(E2039&gt;=800,"🥈 Silver","🥉 Bronze")))</f>
        <v/>
      </c>
      <c r="L2039" s="125" t="n">
        <v>40861</v>
      </c>
    </row>
    <row r="2040">
      <c r="A2040" s="126" t="n">
        <v>15127</v>
      </c>
      <c r="B2040" s="126" t="inlineStr">
        <is>
          <t>United Kingdom</t>
        </is>
      </c>
      <c r="C2040" s="126" t="n">
        <v>66</v>
      </c>
      <c r="D2040" s="126" t="n">
        <v>1</v>
      </c>
      <c r="E2040" s="127" t="n">
        <v>406.53</v>
      </c>
      <c r="F2040" s="128">
        <f>IF(C2040&lt;=30,5,IF(C2040&lt;=60,4,IF(C2040&lt;=120,3,IF(C2040&lt;=200,2,1))))</f>
        <v/>
      </c>
      <c r="G2040" s="128">
        <f>IF(D2040&gt;=20,5,IF(D2040&gt;=10,4,IF(D2040&gt;=5,3,IF(D2040&gt;=2,2,1))))</f>
        <v/>
      </c>
      <c r="H2040" s="128">
        <f>IF(E2040&gt;=5000,5,IF(E2040&gt;=2000,4,IF(E2040&gt;=800,3,IF(E2040&gt;=300,2,1))))</f>
        <v/>
      </c>
      <c r="I2040" s="126">
        <f>TEXT(F2040,"0")&amp;TEXT(G2040,"0")&amp;TEXT(H2040,"0")</f>
        <v/>
      </c>
      <c r="J2040" s="126">
        <f>IFERROR(XLOOKUP(I2040,'Segment Map'!A:A,'Segment Map'!B:B,"Need Attention"),"Need Attention")</f>
        <v/>
      </c>
      <c r="K2040" s="126">
        <f>IF(E2040&gt;=5000,"🏆 Platinum",IF(E2040&gt;=2000,"🥇 Gold",IF(E2040&gt;=800,"🥈 Silver","🥉 Bronze")))</f>
        <v/>
      </c>
      <c r="L2040" s="129" t="n">
        <v>40821</v>
      </c>
    </row>
    <row r="2041">
      <c r="A2041" s="122" t="n">
        <v>15128</v>
      </c>
      <c r="B2041" s="122" t="inlineStr">
        <is>
          <t>United Kingdom</t>
        </is>
      </c>
      <c r="C2041" s="122" t="n">
        <v>61</v>
      </c>
      <c r="D2041" s="122" t="n">
        <v>4</v>
      </c>
      <c r="E2041" s="123" t="n">
        <v>1471</v>
      </c>
      <c r="F2041" s="124">
        <f>IF(C2041&lt;=30,5,IF(C2041&lt;=60,4,IF(C2041&lt;=120,3,IF(C2041&lt;=200,2,1))))</f>
        <v/>
      </c>
      <c r="G2041" s="124">
        <f>IF(D2041&gt;=20,5,IF(D2041&gt;=10,4,IF(D2041&gt;=5,3,IF(D2041&gt;=2,2,1))))</f>
        <v/>
      </c>
      <c r="H2041" s="124">
        <f>IF(E2041&gt;=5000,5,IF(E2041&gt;=2000,4,IF(E2041&gt;=800,3,IF(E2041&gt;=300,2,1))))</f>
        <v/>
      </c>
      <c r="I2041" s="122">
        <f>TEXT(F2041,"0")&amp;TEXT(G2041,"0")&amp;TEXT(H2041,"0")</f>
        <v/>
      </c>
      <c r="J2041" s="122">
        <f>IFERROR(XLOOKUP(I2041,'Segment Map'!A:A,'Segment Map'!B:B,"Need Attention"),"Need Attention")</f>
        <v/>
      </c>
      <c r="K2041" s="122">
        <f>IF(E2041&gt;=5000,"🏆 Platinum",IF(E2041&gt;=2000,"🥇 Gold",IF(E2041&gt;=800,"🥈 Silver","🥉 Bronze")))</f>
        <v/>
      </c>
      <c r="L2041" s="125" t="n">
        <v>40826</v>
      </c>
    </row>
    <row r="2042">
      <c r="A2042" s="126" t="n">
        <v>15129</v>
      </c>
      <c r="B2042" s="126" t="inlineStr">
        <is>
          <t>United Kingdom</t>
        </is>
      </c>
      <c r="C2042" s="126" t="n">
        <v>51</v>
      </c>
      <c r="D2042" s="126" t="n">
        <v>11</v>
      </c>
      <c r="E2042" s="127" t="n">
        <v>3447.4</v>
      </c>
      <c r="F2042" s="128">
        <f>IF(C2042&lt;=30,5,IF(C2042&lt;=60,4,IF(C2042&lt;=120,3,IF(C2042&lt;=200,2,1))))</f>
        <v/>
      </c>
      <c r="G2042" s="128">
        <f>IF(D2042&gt;=20,5,IF(D2042&gt;=10,4,IF(D2042&gt;=5,3,IF(D2042&gt;=2,2,1))))</f>
        <v/>
      </c>
      <c r="H2042" s="128">
        <f>IF(E2042&gt;=5000,5,IF(E2042&gt;=2000,4,IF(E2042&gt;=800,3,IF(E2042&gt;=300,2,1))))</f>
        <v/>
      </c>
      <c r="I2042" s="126">
        <f>TEXT(F2042,"0")&amp;TEXT(G2042,"0")&amp;TEXT(H2042,"0")</f>
        <v/>
      </c>
      <c r="J2042" s="126">
        <f>IFERROR(XLOOKUP(I2042,'Segment Map'!A:A,'Segment Map'!B:B,"Need Attention"),"Need Attention")</f>
        <v/>
      </c>
      <c r="K2042" s="126">
        <f>IF(E2042&gt;=5000,"🏆 Platinum",IF(E2042&gt;=2000,"🥇 Gold",IF(E2042&gt;=800,"🥈 Silver","🥉 Bronze")))</f>
        <v/>
      </c>
      <c r="L2042" s="129" t="n">
        <v>40836</v>
      </c>
    </row>
    <row r="2043">
      <c r="A2043" s="122" t="n">
        <v>15130</v>
      </c>
      <c r="B2043" s="122" t="inlineStr">
        <is>
          <t>United Kingdom</t>
        </is>
      </c>
      <c r="C2043" s="122" t="n">
        <v>170</v>
      </c>
      <c r="D2043" s="122" t="n">
        <v>1</v>
      </c>
      <c r="E2043" s="123" t="n">
        <v>330.11</v>
      </c>
      <c r="F2043" s="124">
        <f>IF(C2043&lt;=30,5,IF(C2043&lt;=60,4,IF(C2043&lt;=120,3,IF(C2043&lt;=200,2,1))))</f>
        <v/>
      </c>
      <c r="G2043" s="124">
        <f>IF(D2043&gt;=20,5,IF(D2043&gt;=10,4,IF(D2043&gt;=5,3,IF(D2043&gt;=2,2,1))))</f>
        <v/>
      </c>
      <c r="H2043" s="124">
        <f>IF(E2043&gt;=5000,5,IF(E2043&gt;=2000,4,IF(E2043&gt;=800,3,IF(E2043&gt;=300,2,1))))</f>
        <v/>
      </c>
      <c r="I2043" s="122">
        <f>TEXT(F2043,"0")&amp;TEXT(G2043,"0")&amp;TEXT(H2043,"0")</f>
        <v/>
      </c>
      <c r="J2043" s="122">
        <f>IFERROR(XLOOKUP(I2043,'Segment Map'!A:A,'Segment Map'!B:B,"Need Attention"),"Need Attention")</f>
        <v/>
      </c>
      <c r="K2043" s="122">
        <f>IF(E2043&gt;=5000,"🏆 Platinum",IF(E2043&gt;=2000,"🥇 Gold",IF(E2043&gt;=800,"🥈 Silver","🥉 Bronze")))</f>
        <v/>
      </c>
      <c r="L2043" s="125" t="n">
        <v>40717</v>
      </c>
    </row>
    <row r="2044">
      <c r="A2044" s="126" t="n">
        <v>15132</v>
      </c>
      <c r="B2044" s="126" t="inlineStr">
        <is>
          <t>United Kingdom</t>
        </is>
      </c>
      <c r="C2044" s="126" t="n">
        <v>19</v>
      </c>
      <c r="D2044" s="126" t="n">
        <v>5</v>
      </c>
      <c r="E2044" s="127" t="n">
        <v>977.9299999999999</v>
      </c>
      <c r="F2044" s="128">
        <f>IF(C2044&lt;=30,5,IF(C2044&lt;=60,4,IF(C2044&lt;=120,3,IF(C2044&lt;=200,2,1))))</f>
        <v/>
      </c>
      <c r="G2044" s="128">
        <f>IF(D2044&gt;=20,5,IF(D2044&gt;=10,4,IF(D2044&gt;=5,3,IF(D2044&gt;=2,2,1))))</f>
        <v/>
      </c>
      <c r="H2044" s="128">
        <f>IF(E2044&gt;=5000,5,IF(E2044&gt;=2000,4,IF(E2044&gt;=800,3,IF(E2044&gt;=300,2,1))))</f>
        <v/>
      </c>
      <c r="I2044" s="126">
        <f>TEXT(F2044,"0")&amp;TEXT(G2044,"0")&amp;TEXT(H2044,"0")</f>
        <v/>
      </c>
      <c r="J2044" s="126">
        <f>IFERROR(XLOOKUP(I2044,'Segment Map'!A:A,'Segment Map'!B:B,"Need Attention"),"Need Attention")</f>
        <v/>
      </c>
      <c r="K2044" s="126">
        <f>IF(E2044&gt;=5000,"🏆 Platinum",IF(E2044&gt;=2000,"🥇 Gold",IF(E2044&gt;=800,"🥈 Silver","🥉 Bronze")))</f>
        <v/>
      </c>
      <c r="L2044" s="129" t="n">
        <v>40868</v>
      </c>
    </row>
    <row r="2045">
      <c r="A2045" s="122" t="n">
        <v>15133</v>
      </c>
      <c r="B2045" s="122" t="inlineStr">
        <is>
          <t>United Kingdom</t>
        </is>
      </c>
      <c r="C2045" s="122" t="n">
        <v>128</v>
      </c>
      <c r="D2045" s="122" t="n">
        <v>3</v>
      </c>
      <c r="E2045" s="123" t="n">
        <v>982.42</v>
      </c>
      <c r="F2045" s="124">
        <f>IF(C2045&lt;=30,5,IF(C2045&lt;=60,4,IF(C2045&lt;=120,3,IF(C2045&lt;=200,2,1))))</f>
        <v/>
      </c>
      <c r="G2045" s="124">
        <f>IF(D2045&gt;=20,5,IF(D2045&gt;=10,4,IF(D2045&gt;=5,3,IF(D2045&gt;=2,2,1))))</f>
        <v/>
      </c>
      <c r="H2045" s="124">
        <f>IF(E2045&gt;=5000,5,IF(E2045&gt;=2000,4,IF(E2045&gt;=800,3,IF(E2045&gt;=300,2,1))))</f>
        <v/>
      </c>
      <c r="I2045" s="122">
        <f>TEXT(F2045,"0")&amp;TEXT(G2045,"0")&amp;TEXT(H2045,"0")</f>
        <v/>
      </c>
      <c r="J2045" s="122">
        <f>IFERROR(XLOOKUP(I2045,'Segment Map'!A:A,'Segment Map'!B:B,"Need Attention"),"Need Attention")</f>
        <v/>
      </c>
      <c r="K2045" s="122">
        <f>IF(E2045&gt;=5000,"🏆 Platinum",IF(E2045&gt;=2000,"🥇 Gold",IF(E2045&gt;=800,"🥈 Silver","🥉 Bronze")))</f>
        <v/>
      </c>
      <c r="L2045" s="125" t="n">
        <v>40759</v>
      </c>
    </row>
    <row r="2046">
      <c r="A2046" s="126" t="n">
        <v>15134</v>
      </c>
      <c r="B2046" s="126" t="inlineStr">
        <is>
          <t>United Kingdom</t>
        </is>
      </c>
      <c r="C2046" s="126" t="n">
        <v>15</v>
      </c>
      <c r="D2046" s="126" t="n">
        <v>8</v>
      </c>
      <c r="E2046" s="127" t="n">
        <v>1387.99</v>
      </c>
      <c r="F2046" s="128">
        <f>IF(C2046&lt;=30,5,IF(C2046&lt;=60,4,IF(C2046&lt;=120,3,IF(C2046&lt;=200,2,1))))</f>
        <v/>
      </c>
      <c r="G2046" s="128">
        <f>IF(D2046&gt;=20,5,IF(D2046&gt;=10,4,IF(D2046&gt;=5,3,IF(D2046&gt;=2,2,1))))</f>
        <v/>
      </c>
      <c r="H2046" s="128">
        <f>IF(E2046&gt;=5000,5,IF(E2046&gt;=2000,4,IF(E2046&gt;=800,3,IF(E2046&gt;=300,2,1))))</f>
        <v/>
      </c>
      <c r="I2046" s="126">
        <f>TEXT(F2046,"0")&amp;TEXT(G2046,"0")&amp;TEXT(H2046,"0")</f>
        <v/>
      </c>
      <c r="J2046" s="126">
        <f>IFERROR(XLOOKUP(I2046,'Segment Map'!A:A,'Segment Map'!B:B,"Need Attention"),"Need Attention")</f>
        <v/>
      </c>
      <c r="K2046" s="126">
        <f>IF(E2046&gt;=5000,"🏆 Platinum",IF(E2046&gt;=2000,"🥇 Gold",IF(E2046&gt;=800,"🥈 Silver","🥉 Bronze")))</f>
        <v/>
      </c>
      <c r="L2046" s="129" t="n">
        <v>40872</v>
      </c>
    </row>
    <row r="2047">
      <c r="A2047" s="122" t="n">
        <v>15135</v>
      </c>
      <c r="B2047" s="122" t="inlineStr">
        <is>
          <t>United Kingdom</t>
        </is>
      </c>
      <c r="C2047" s="122" t="n">
        <v>240</v>
      </c>
      <c r="D2047" s="122" t="n">
        <v>1</v>
      </c>
      <c r="E2047" s="123" t="n">
        <v>139.05</v>
      </c>
      <c r="F2047" s="124">
        <f>IF(C2047&lt;=30,5,IF(C2047&lt;=60,4,IF(C2047&lt;=120,3,IF(C2047&lt;=200,2,1))))</f>
        <v/>
      </c>
      <c r="G2047" s="124">
        <f>IF(D2047&gt;=20,5,IF(D2047&gt;=10,4,IF(D2047&gt;=5,3,IF(D2047&gt;=2,2,1))))</f>
        <v/>
      </c>
      <c r="H2047" s="124">
        <f>IF(E2047&gt;=5000,5,IF(E2047&gt;=2000,4,IF(E2047&gt;=800,3,IF(E2047&gt;=300,2,1))))</f>
        <v/>
      </c>
      <c r="I2047" s="122">
        <f>TEXT(F2047,"0")&amp;TEXT(G2047,"0")&amp;TEXT(H2047,"0")</f>
        <v/>
      </c>
      <c r="J2047" s="122">
        <f>IFERROR(XLOOKUP(I2047,'Segment Map'!A:A,'Segment Map'!B:B,"Need Attention"),"Need Attention")</f>
        <v/>
      </c>
      <c r="K2047" s="122">
        <f>IF(E2047&gt;=5000,"🏆 Platinum",IF(E2047&gt;=2000,"🥇 Gold",IF(E2047&gt;=800,"🥈 Silver","🥉 Bronze")))</f>
        <v/>
      </c>
      <c r="L2047" s="125" t="n">
        <v>40647</v>
      </c>
    </row>
    <row r="2048">
      <c r="A2048" s="126" t="n">
        <v>15136</v>
      </c>
      <c r="B2048" s="126" t="inlineStr">
        <is>
          <t>United Kingdom</t>
        </is>
      </c>
      <c r="C2048" s="126" t="n">
        <v>3</v>
      </c>
      <c r="D2048" s="126" t="n">
        <v>4</v>
      </c>
      <c r="E2048" s="127" t="n">
        <v>1286.7</v>
      </c>
      <c r="F2048" s="128">
        <f>IF(C2048&lt;=30,5,IF(C2048&lt;=60,4,IF(C2048&lt;=120,3,IF(C2048&lt;=200,2,1))))</f>
        <v/>
      </c>
      <c r="G2048" s="128">
        <f>IF(D2048&gt;=20,5,IF(D2048&gt;=10,4,IF(D2048&gt;=5,3,IF(D2048&gt;=2,2,1))))</f>
        <v/>
      </c>
      <c r="H2048" s="128">
        <f>IF(E2048&gt;=5000,5,IF(E2048&gt;=2000,4,IF(E2048&gt;=800,3,IF(E2048&gt;=300,2,1))))</f>
        <v/>
      </c>
      <c r="I2048" s="126">
        <f>TEXT(F2048,"0")&amp;TEXT(G2048,"0")&amp;TEXT(H2048,"0")</f>
        <v/>
      </c>
      <c r="J2048" s="126">
        <f>IFERROR(XLOOKUP(I2048,'Segment Map'!A:A,'Segment Map'!B:B,"Need Attention"),"Need Attention")</f>
        <v/>
      </c>
      <c r="K2048" s="126">
        <f>IF(E2048&gt;=5000,"🏆 Platinum",IF(E2048&gt;=2000,"🥇 Gold",IF(E2048&gt;=800,"🥈 Silver","🥉 Bronze")))</f>
        <v/>
      </c>
      <c r="L2048" s="129" t="n">
        <v>40884</v>
      </c>
    </row>
    <row r="2049">
      <c r="A2049" s="122" t="n">
        <v>15139</v>
      </c>
      <c r="B2049" s="122" t="inlineStr">
        <is>
          <t>United Kingdom</t>
        </is>
      </c>
      <c r="C2049" s="122" t="n">
        <v>240</v>
      </c>
      <c r="D2049" s="122" t="n">
        <v>2</v>
      </c>
      <c r="E2049" s="123" t="n">
        <v>178.96</v>
      </c>
      <c r="F2049" s="124">
        <f>IF(C2049&lt;=30,5,IF(C2049&lt;=60,4,IF(C2049&lt;=120,3,IF(C2049&lt;=200,2,1))))</f>
        <v/>
      </c>
      <c r="G2049" s="124">
        <f>IF(D2049&gt;=20,5,IF(D2049&gt;=10,4,IF(D2049&gt;=5,3,IF(D2049&gt;=2,2,1))))</f>
        <v/>
      </c>
      <c r="H2049" s="124">
        <f>IF(E2049&gt;=5000,5,IF(E2049&gt;=2000,4,IF(E2049&gt;=800,3,IF(E2049&gt;=300,2,1))))</f>
        <v/>
      </c>
      <c r="I2049" s="122">
        <f>TEXT(F2049,"0")&amp;TEXT(G2049,"0")&amp;TEXT(H2049,"0")</f>
        <v/>
      </c>
      <c r="J2049" s="122">
        <f>IFERROR(XLOOKUP(I2049,'Segment Map'!A:A,'Segment Map'!B:B,"Need Attention"),"Need Attention")</f>
        <v/>
      </c>
      <c r="K2049" s="122">
        <f>IF(E2049&gt;=5000,"🏆 Platinum",IF(E2049&gt;=2000,"🥇 Gold",IF(E2049&gt;=800,"🥈 Silver","🥉 Bronze")))</f>
        <v/>
      </c>
      <c r="L2049" s="125" t="n">
        <v>40647</v>
      </c>
    </row>
    <row r="2050">
      <c r="A2050" s="126" t="n">
        <v>15140</v>
      </c>
      <c r="B2050" s="126" t="inlineStr">
        <is>
          <t>United Kingdom</t>
        </is>
      </c>
      <c r="C2050" s="126" t="n">
        <v>53</v>
      </c>
      <c r="D2050" s="126" t="n">
        <v>7</v>
      </c>
      <c r="E2050" s="127" t="n">
        <v>2354.25</v>
      </c>
      <c r="F2050" s="128">
        <f>IF(C2050&lt;=30,5,IF(C2050&lt;=60,4,IF(C2050&lt;=120,3,IF(C2050&lt;=200,2,1))))</f>
        <v/>
      </c>
      <c r="G2050" s="128">
        <f>IF(D2050&gt;=20,5,IF(D2050&gt;=10,4,IF(D2050&gt;=5,3,IF(D2050&gt;=2,2,1))))</f>
        <v/>
      </c>
      <c r="H2050" s="128">
        <f>IF(E2050&gt;=5000,5,IF(E2050&gt;=2000,4,IF(E2050&gt;=800,3,IF(E2050&gt;=300,2,1))))</f>
        <v/>
      </c>
      <c r="I2050" s="126">
        <f>TEXT(F2050,"0")&amp;TEXT(G2050,"0")&amp;TEXT(H2050,"0")</f>
        <v/>
      </c>
      <c r="J2050" s="126">
        <f>IFERROR(XLOOKUP(I2050,'Segment Map'!A:A,'Segment Map'!B:B,"Need Attention"),"Need Attention")</f>
        <v/>
      </c>
      <c r="K2050" s="126">
        <f>IF(E2050&gt;=5000,"🏆 Platinum",IF(E2050&gt;=2000,"🥇 Gold",IF(E2050&gt;=800,"🥈 Silver","🥉 Bronze")))</f>
        <v/>
      </c>
      <c r="L2050" s="129" t="n">
        <v>40834</v>
      </c>
    </row>
    <row r="2051">
      <c r="A2051" s="122" t="n">
        <v>15142</v>
      </c>
      <c r="B2051" s="122" t="inlineStr">
        <is>
          <t>United Kingdom</t>
        </is>
      </c>
      <c r="C2051" s="122" t="n">
        <v>47</v>
      </c>
      <c r="D2051" s="122" t="n">
        <v>1</v>
      </c>
      <c r="E2051" s="123" t="n">
        <v>498.74</v>
      </c>
      <c r="F2051" s="124">
        <f>IF(C2051&lt;=30,5,IF(C2051&lt;=60,4,IF(C2051&lt;=120,3,IF(C2051&lt;=200,2,1))))</f>
        <v/>
      </c>
      <c r="G2051" s="124">
        <f>IF(D2051&gt;=20,5,IF(D2051&gt;=10,4,IF(D2051&gt;=5,3,IF(D2051&gt;=2,2,1))))</f>
        <v/>
      </c>
      <c r="H2051" s="124">
        <f>IF(E2051&gt;=5000,5,IF(E2051&gt;=2000,4,IF(E2051&gt;=800,3,IF(E2051&gt;=300,2,1))))</f>
        <v/>
      </c>
      <c r="I2051" s="122">
        <f>TEXT(F2051,"0")&amp;TEXT(G2051,"0")&amp;TEXT(H2051,"0")</f>
        <v/>
      </c>
      <c r="J2051" s="122">
        <f>IFERROR(XLOOKUP(I2051,'Segment Map'!A:A,'Segment Map'!B:B,"Need Attention"),"Need Attention")</f>
        <v/>
      </c>
      <c r="K2051" s="122">
        <f>IF(E2051&gt;=5000,"🏆 Platinum",IF(E2051&gt;=2000,"🥇 Gold",IF(E2051&gt;=800,"🥈 Silver","🥉 Bronze")))</f>
        <v/>
      </c>
      <c r="L2051" s="125" t="n">
        <v>40840</v>
      </c>
    </row>
    <row r="2052">
      <c r="A2052" s="126" t="n">
        <v>15143</v>
      </c>
      <c r="B2052" s="126" t="inlineStr">
        <is>
          <t>United Kingdom</t>
        </is>
      </c>
      <c r="C2052" s="126" t="n">
        <v>226</v>
      </c>
      <c r="D2052" s="126" t="n">
        <v>1</v>
      </c>
      <c r="E2052" s="127" t="n">
        <v>259.45</v>
      </c>
      <c r="F2052" s="128">
        <f>IF(C2052&lt;=30,5,IF(C2052&lt;=60,4,IF(C2052&lt;=120,3,IF(C2052&lt;=200,2,1))))</f>
        <v/>
      </c>
      <c r="G2052" s="128">
        <f>IF(D2052&gt;=20,5,IF(D2052&gt;=10,4,IF(D2052&gt;=5,3,IF(D2052&gt;=2,2,1))))</f>
        <v/>
      </c>
      <c r="H2052" s="128">
        <f>IF(E2052&gt;=5000,5,IF(E2052&gt;=2000,4,IF(E2052&gt;=800,3,IF(E2052&gt;=300,2,1))))</f>
        <v/>
      </c>
      <c r="I2052" s="126">
        <f>TEXT(F2052,"0")&amp;TEXT(G2052,"0")&amp;TEXT(H2052,"0")</f>
        <v/>
      </c>
      <c r="J2052" s="126">
        <f>IFERROR(XLOOKUP(I2052,'Segment Map'!A:A,'Segment Map'!B:B,"Need Attention"),"Need Attention")</f>
        <v/>
      </c>
      <c r="K2052" s="126">
        <f>IF(E2052&gt;=5000,"🏆 Platinum",IF(E2052&gt;=2000,"🥇 Gold",IF(E2052&gt;=800,"🥈 Silver","🥉 Bronze")))</f>
        <v/>
      </c>
      <c r="L2052" s="129" t="n">
        <v>40661</v>
      </c>
    </row>
    <row r="2053">
      <c r="A2053" s="122" t="n">
        <v>15144</v>
      </c>
      <c r="B2053" s="122" t="inlineStr">
        <is>
          <t>United Kingdom</t>
        </is>
      </c>
      <c r="C2053" s="122" t="n">
        <v>9</v>
      </c>
      <c r="D2053" s="122" t="n">
        <v>17</v>
      </c>
      <c r="E2053" s="123" t="n">
        <v>6580.44</v>
      </c>
      <c r="F2053" s="124">
        <f>IF(C2053&lt;=30,5,IF(C2053&lt;=60,4,IF(C2053&lt;=120,3,IF(C2053&lt;=200,2,1))))</f>
        <v/>
      </c>
      <c r="G2053" s="124">
        <f>IF(D2053&gt;=20,5,IF(D2053&gt;=10,4,IF(D2053&gt;=5,3,IF(D2053&gt;=2,2,1))))</f>
        <v/>
      </c>
      <c r="H2053" s="124">
        <f>IF(E2053&gt;=5000,5,IF(E2053&gt;=2000,4,IF(E2053&gt;=800,3,IF(E2053&gt;=300,2,1))))</f>
        <v/>
      </c>
      <c r="I2053" s="122">
        <f>TEXT(F2053,"0")&amp;TEXT(G2053,"0")&amp;TEXT(H2053,"0")</f>
        <v/>
      </c>
      <c r="J2053" s="122">
        <f>IFERROR(XLOOKUP(I2053,'Segment Map'!A:A,'Segment Map'!B:B,"Need Attention"),"Need Attention")</f>
        <v/>
      </c>
      <c r="K2053" s="122">
        <f>IF(E2053&gt;=5000,"🏆 Platinum",IF(E2053&gt;=2000,"🥇 Gold",IF(E2053&gt;=800,"🥈 Silver","🥉 Bronze")))</f>
        <v/>
      </c>
      <c r="L2053" s="125" t="n">
        <v>40878</v>
      </c>
    </row>
    <row r="2054">
      <c r="A2054" s="126" t="n">
        <v>15145</v>
      </c>
      <c r="B2054" s="126" t="inlineStr">
        <is>
          <t>United Kingdom</t>
        </is>
      </c>
      <c r="C2054" s="126" t="n">
        <v>5</v>
      </c>
      <c r="D2054" s="126" t="n">
        <v>4</v>
      </c>
      <c r="E2054" s="127" t="n">
        <v>1194.73</v>
      </c>
      <c r="F2054" s="128">
        <f>IF(C2054&lt;=30,5,IF(C2054&lt;=60,4,IF(C2054&lt;=120,3,IF(C2054&lt;=200,2,1))))</f>
        <v/>
      </c>
      <c r="G2054" s="128">
        <f>IF(D2054&gt;=20,5,IF(D2054&gt;=10,4,IF(D2054&gt;=5,3,IF(D2054&gt;=2,2,1))))</f>
        <v/>
      </c>
      <c r="H2054" s="128">
        <f>IF(E2054&gt;=5000,5,IF(E2054&gt;=2000,4,IF(E2054&gt;=800,3,IF(E2054&gt;=300,2,1))))</f>
        <v/>
      </c>
      <c r="I2054" s="126">
        <f>TEXT(F2054,"0")&amp;TEXT(G2054,"0")&amp;TEXT(H2054,"0")</f>
        <v/>
      </c>
      <c r="J2054" s="126">
        <f>IFERROR(XLOOKUP(I2054,'Segment Map'!A:A,'Segment Map'!B:B,"Need Attention"),"Need Attention")</f>
        <v/>
      </c>
      <c r="K2054" s="126">
        <f>IF(E2054&gt;=5000,"🏆 Platinum",IF(E2054&gt;=2000,"🥇 Gold",IF(E2054&gt;=800,"🥈 Silver","🥉 Bronze")))</f>
        <v/>
      </c>
      <c r="L2054" s="129" t="n">
        <v>40882</v>
      </c>
    </row>
    <row r="2055">
      <c r="A2055" s="122" t="n">
        <v>15146</v>
      </c>
      <c r="B2055" s="122" t="inlineStr">
        <is>
          <t>United Kingdom</t>
        </is>
      </c>
      <c r="C2055" s="122" t="n">
        <v>165</v>
      </c>
      <c r="D2055" s="122" t="n">
        <v>2</v>
      </c>
      <c r="E2055" s="123" t="n">
        <v>1327.16</v>
      </c>
      <c r="F2055" s="124">
        <f>IF(C2055&lt;=30,5,IF(C2055&lt;=60,4,IF(C2055&lt;=120,3,IF(C2055&lt;=200,2,1))))</f>
        <v/>
      </c>
      <c r="G2055" s="124">
        <f>IF(D2055&gt;=20,5,IF(D2055&gt;=10,4,IF(D2055&gt;=5,3,IF(D2055&gt;=2,2,1))))</f>
        <v/>
      </c>
      <c r="H2055" s="124">
        <f>IF(E2055&gt;=5000,5,IF(E2055&gt;=2000,4,IF(E2055&gt;=800,3,IF(E2055&gt;=300,2,1))))</f>
        <v/>
      </c>
      <c r="I2055" s="122">
        <f>TEXT(F2055,"0")&amp;TEXT(G2055,"0")&amp;TEXT(H2055,"0")</f>
        <v/>
      </c>
      <c r="J2055" s="122">
        <f>IFERROR(XLOOKUP(I2055,'Segment Map'!A:A,'Segment Map'!B:B,"Need Attention"),"Need Attention")</f>
        <v/>
      </c>
      <c r="K2055" s="122">
        <f>IF(E2055&gt;=5000,"🏆 Platinum",IF(E2055&gt;=2000,"🥇 Gold",IF(E2055&gt;=800,"🥈 Silver","🥉 Bronze")))</f>
        <v/>
      </c>
      <c r="L2055" s="125" t="n">
        <v>40722</v>
      </c>
    </row>
    <row r="2056">
      <c r="A2056" s="126" t="n">
        <v>15147</v>
      </c>
      <c r="B2056" s="126" t="inlineStr">
        <is>
          <t>United Kingdom</t>
        </is>
      </c>
      <c r="C2056" s="126" t="n">
        <v>241</v>
      </c>
      <c r="D2056" s="126" t="n">
        <v>1</v>
      </c>
      <c r="E2056" s="127" t="n">
        <v>623.5</v>
      </c>
      <c r="F2056" s="128">
        <f>IF(C2056&lt;=30,5,IF(C2056&lt;=60,4,IF(C2056&lt;=120,3,IF(C2056&lt;=200,2,1))))</f>
        <v/>
      </c>
      <c r="G2056" s="128">
        <f>IF(D2056&gt;=20,5,IF(D2056&gt;=10,4,IF(D2056&gt;=5,3,IF(D2056&gt;=2,2,1))))</f>
        <v/>
      </c>
      <c r="H2056" s="128">
        <f>IF(E2056&gt;=5000,5,IF(E2056&gt;=2000,4,IF(E2056&gt;=800,3,IF(E2056&gt;=300,2,1))))</f>
        <v/>
      </c>
      <c r="I2056" s="126">
        <f>TEXT(F2056,"0")&amp;TEXT(G2056,"0")&amp;TEXT(H2056,"0")</f>
        <v/>
      </c>
      <c r="J2056" s="126">
        <f>IFERROR(XLOOKUP(I2056,'Segment Map'!A:A,'Segment Map'!B:B,"Need Attention"),"Need Attention")</f>
        <v/>
      </c>
      <c r="K2056" s="126">
        <f>IF(E2056&gt;=5000,"🏆 Platinum",IF(E2056&gt;=2000,"🥇 Gold",IF(E2056&gt;=800,"🥈 Silver","🥉 Bronze")))</f>
        <v/>
      </c>
      <c r="L2056" s="129" t="n">
        <v>40646</v>
      </c>
    </row>
    <row r="2057">
      <c r="A2057" s="122" t="n">
        <v>15148</v>
      </c>
      <c r="B2057" s="122" t="inlineStr">
        <is>
          <t>United Kingdom</t>
        </is>
      </c>
      <c r="C2057" s="122" t="n">
        <v>11</v>
      </c>
      <c r="D2057" s="122" t="n">
        <v>1</v>
      </c>
      <c r="E2057" s="123" t="n">
        <v>301.29</v>
      </c>
      <c r="F2057" s="124">
        <f>IF(C2057&lt;=30,5,IF(C2057&lt;=60,4,IF(C2057&lt;=120,3,IF(C2057&lt;=200,2,1))))</f>
        <v/>
      </c>
      <c r="G2057" s="124">
        <f>IF(D2057&gt;=20,5,IF(D2057&gt;=10,4,IF(D2057&gt;=5,3,IF(D2057&gt;=2,2,1))))</f>
        <v/>
      </c>
      <c r="H2057" s="124">
        <f>IF(E2057&gt;=5000,5,IF(E2057&gt;=2000,4,IF(E2057&gt;=800,3,IF(E2057&gt;=300,2,1))))</f>
        <v/>
      </c>
      <c r="I2057" s="122">
        <f>TEXT(F2057,"0")&amp;TEXT(G2057,"0")&amp;TEXT(H2057,"0")</f>
        <v/>
      </c>
      <c r="J2057" s="122">
        <f>IFERROR(XLOOKUP(I2057,'Segment Map'!A:A,'Segment Map'!B:B,"Need Attention"),"Need Attention")</f>
        <v/>
      </c>
      <c r="K2057" s="122">
        <f>IF(E2057&gt;=5000,"🏆 Platinum",IF(E2057&gt;=2000,"🥇 Gold",IF(E2057&gt;=800,"🥈 Silver","🥉 Bronze")))</f>
        <v/>
      </c>
      <c r="L2057" s="125" t="n">
        <v>40876</v>
      </c>
    </row>
    <row r="2058">
      <c r="A2058" s="126" t="n">
        <v>15149</v>
      </c>
      <c r="B2058" s="126" t="inlineStr">
        <is>
          <t>United Kingdom</t>
        </is>
      </c>
      <c r="C2058" s="126" t="n">
        <v>134</v>
      </c>
      <c r="D2058" s="126" t="n">
        <v>1</v>
      </c>
      <c r="E2058" s="127" t="n">
        <v>520.8</v>
      </c>
      <c r="F2058" s="128">
        <f>IF(C2058&lt;=30,5,IF(C2058&lt;=60,4,IF(C2058&lt;=120,3,IF(C2058&lt;=200,2,1))))</f>
        <v/>
      </c>
      <c r="G2058" s="128">
        <f>IF(D2058&gt;=20,5,IF(D2058&gt;=10,4,IF(D2058&gt;=5,3,IF(D2058&gt;=2,2,1))))</f>
        <v/>
      </c>
      <c r="H2058" s="128">
        <f>IF(E2058&gt;=5000,5,IF(E2058&gt;=2000,4,IF(E2058&gt;=800,3,IF(E2058&gt;=300,2,1))))</f>
        <v/>
      </c>
      <c r="I2058" s="126">
        <f>TEXT(F2058,"0")&amp;TEXT(G2058,"0")&amp;TEXT(H2058,"0")</f>
        <v/>
      </c>
      <c r="J2058" s="126">
        <f>IFERROR(XLOOKUP(I2058,'Segment Map'!A:A,'Segment Map'!B:B,"Need Attention"),"Need Attention")</f>
        <v/>
      </c>
      <c r="K2058" s="126">
        <f>IF(E2058&gt;=5000,"🏆 Platinum",IF(E2058&gt;=2000,"🥇 Gold",IF(E2058&gt;=800,"🥈 Silver","🥉 Bronze")))</f>
        <v/>
      </c>
      <c r="L2058" s="129" t="n">
        <v>40753</v>
      </c>
    </row>
    <row r="2059">
      <c r="A2059" s="122" t="n">
        <v>15150</v>
      </c>
      <c r="B2059" s="122" t="inlineStr">
        <is>
          <t>United Kingdom</t>
        </is>
      </c>
      <c r="C2059" s="122" t="n">
        <v>18</v>
      </c>
      <c r="D2059" s="122" t="n">
        <v>10</v>
      </c>
      <c r="E2059" s="123" t="n">
        <v>5314.47</v>
      </c>
      <c r="F2059" s="124">
        <f>IF(C2059&lt;=30,5,IF(C2059&lt;=60,4,IF(C2059&lt;=120,3,IF(C2059&lt;=200,2,1))))</f>
        <v/>
      </c>
      <c r="G2059" s="124">
        <f>IF(D2059&gt;=20,5,IF(D2059&gt;=10,4,IF(D2059&gt;=5,3,IF(D2059&gt;=2,2,1))))</f>
        <v/>
      </c>
      <c r="H2059" s="124">
        <f>IF(E2059&gt;=5000,5,IF(E2059&gt;=2000,4,IF(E2059&gt;=800,3,IF(E2059&gt;=300,2,1))))</f>
        <v/>
      </c>
      <c r="I2059" s="122">
        <f>TEXT(F2059,"0")&amp;TEXT(G2059,"0")&amp;TEXT(H2059,"0")</f>
        <v/>
      </c>
      <c r="J2059" s="122">
        <f>IFERROR(XLOOKUP(I2059,'Segment Map'!A:A,'Segment Map'!B:B,"Need Attention"),"Need Attention")</f>
        <v/>
      </c>
      <c r="K2059" s="122">
        <f>IF(E2059&gt;=5000,"🏆 Platinum",IF(E2059&gt;=2000,"🥇 Gold",IF(E2059&gt;=800,"🥈 Silver","🥉 Bronze")))</f>
        <v/>
      </c>
      <c r="L2059" s="125" t="n">
        <v>40869</v>
      </c>
    </row>
    <row r="2060">
      <c r="A2060" s="126" t="n">
        <v>15152</v>
      </c>
      <c r="B2060" s="126" t="inlineStr">
        <is>
          <t>United Kingdom</t>
        </is>
      </c>
      <c r="C2060" s="126" t="n">
        <v>10</v>
      </c>
      <c r="D2060" s="126" t="n">
        <v>13</v>
      </c>
      <c r="E2060" s="127" t="n">
        <v>4745.69</v>
      </c>
      <c r="F2060" s="128">
        <f>IF(C2060&lt;=30,5,IF(C2060&lt;=60,4,IF(C2060&lt;=120,3,IF(C2060&lt;=200,2,1))))</f>
        <v/>
      </c>
      <c r="G2060" s="128">
        <f>IF(D2060&gt;=20,5,IF(D2060&gt;=10,4,IF(D2060&gt;=5,3,IF(D2060&gt;=2,2,1))))</f>
        <v/>
      </c>
      <c r="H2060" s="128">
        <f>IF(E2060&gt;=5000,5,IF(E2060&gt;=2000,4,IF(E2060&gt;=800,3,IF(E2060&gt;=300,2,1))))</f>
        <v/>
      </c>
      <c r="I2060" s="126">
        <f>TEXT(F2060,"0")&amp;TEXT(G2060,"0")&amp;TEXT(H2060,"0")</f>
        <v/>
      </c>
      <c r="J2060" s="126">
        <f>IFERROR(XLOOKUP(I2060,'Segment Map'!A:A,'Segment Map'!B:B,"Need Attention"),"Need Attention")</f>
        <v/>
      </c>
      <c r="K2060" s="126">
        <f>IF(E2060&gt;=5000,"🏆 Platinum",IF(E2060&gt;=2000,"🥇 Gold",IF(E2060&gt;=800,"🥈 Silver","🥉 Bronze")))</f>
        <v/>
      </c>
      <c r="L2060" s="129" t="n">
        <v>40877</v>
      </c>
    </row>
    <row r="2061">
      <c r="A2061" s="122" t="n">
        <v>15153</v>
      </c>
      <c r="B2061" s="122" t="inlineStr">
        <is>
          <t>United Kingdom</t>
        </is>
      </c>
      <c r="C2061" s="122" t="n">
        <v>32</v>
      </c>
      <c r="D2061" s="122" t="n">
        <v>1</v>
      </c>
      <c r="E2061" s="123" t="n">
        <v>329.25</v>
      </c>
      <c r="F2061" s="124">
        <f>IF(C2061&lt;=30,5,IF(C2061&lt;=60,4,IF(C2061&lt;=120,3,IF(C2061&lt;=200,2,1))))</f>
        <v/>
      </c>
      <c r="G2061" s="124">
        <f>IF(D2061&gt;=20,5,IF(D2061&gt;=10,4,IF(D2061&gt;=5,3,IF(D2061&gt;=2,2,1))))</f>
        <v/>
      </c>
      <c r="H2061" s="124">
        <f>IF(E2061&gt;=5000,5,IF(E2061&gt;=2000,4,IF(E2061&gt;=800,3,IF(E2061&gt;=300,2,1))))</f>
        <v/>
      </c>
      <c r="I2061" s="122">
        <f>TEXT(F2061,"0")&amp;TEXT(G2061,"0")&amp;TEXT(H2061,"0")</f>
        <v/>
      </c>
      <c r="J2061" s="122">
        <f>IFERROR(XLOOKUP(I2061,'Segment Map'!A:A,'Segment Map'!B:B,"Need Attention"),"Need Attention")</f>
        <v/>
      </c>
      <c r="K2061" s="122">
        <f>IF(E2061&gt;=5000,"🏆 Platinum",IF(E2061&gt;=2000,"🥇 Gold",IF(E2061&gt;=800,"🥈 Silver","🥉 Bronze")))</f>
        <v/>
      </c>
      <c r="L2061" s="125" t="n">
        <v>40855</v>
      </c>
    </row>
    <row r="2062">
      <c r="A2062" s="126" t="n">
        <v>15154</v>
      </c>
      <c r="B2062" s="126" t="inlineStr">
        <is>
          <t>United Kingdom</t>
        </is>
      </c>
      <c r="C2062" s="126" t="n">
        <v>76</v>
      </c>
      <c r="D2062" s="126" t="n">
        <v>1</v>
      </c>
      <c r="E2062" s="127" t="n">
        <v>296.42</v>
      </c>
      <c r="F2062" s="128">
        <f>IF(C2062&lt;=30,5,IF(C2062&lt;=60,4,IF(C2062&lt;=120,3,IF(C2062&lt;=200,2,1))))</f>
        <v/>
      </c>
      <c r="G2062" s="128">
        <f>IF(D2062&gt;=20,5,IF(D2062&gt;=10,4,IF(D2062&gt;=5,3,IF(D2062&gt;=2,2,1))))</f>
        <v/>
      </c>
      <c r="H2062" s="128">
        <f>IF(E2062&gt;=5000,5,IF(E2062&gt;=2000,4,IF(E2062&gt;=800,3,IF(E2062&gt;=300,2,1))))</f>
        <v/>
      </c>
      <c r="I2062" s="126">
        <f>TEXT(F2062,"0")&amp;TEXT(G2062,"0")&amp;TEXT(H2062,"0")</f>
        <v/>
      </c>
      <c r="J2062" s="126">
        <f>IFERROR(XLOOKUP(I2062,'Segment Map'!A:A,'Segment Map'!B:B,"Need Attention"),"Need Attention")</f>
        <v/>
      </c>
      <c r="K2062" s="126">
        <f>IF(E2062&gt;=5000,"🏆 Platinum",IF(E2062&gt;=2000,"🥇 Gold",IF(E2062&gt;=800,"🥈 Silver","🥉 Bronze")))</f>
        <v/>
      </c>
      <c r="L2062" s="129" t="n">
        <v>40811</v>
      </c>
    </row>
    <row r="2063">
      <c r="A2063" s="122" t="n">
        <v>15156</v>
      </c>
      <c r="B2063" s="122" t="inlineStr">
        <is>
          <t>United Kingdom</t>
        </is>
      </c>
      <c r="C2063" s="122" t="n">
        <v>2</v>
      </c>
      <c r="D2063" s="122" t="n">
        <v>3</v>
      </c>
      <c r="E2063" s="123" t="n">
        <v>961.49</v>
      </c>
      <c r="F2063" s="124">
        <f>IF(C2063&lt;=30,5,IF(C2063&lt;=60,4,IF(C2063&lt;=120,3,IF(C2063&lt;=200,2,1))))</f>
        <v/>
      </c>
      <c r="G2063" s="124">
        <f>IF(D2063&gt;=20,5,IF(D2063&gt;=10,4,IF(D2063&gt;=5,3,IF(D2063&gt;=2,2,1))))</f>
        <v/>
      </c>
      <c r="H2063" s="124">
        <f>IF(E2063&gt;=5000,5,IF(E2063&gt;=2000,4,IF(E2063&gt;=800,3,IF(E2063&gt;=300,2,1))))</f>
        <v/>
      </c>
      <c r="I2063" s="122">
        <f>TEXT(F2063,"0")&amp;TEXT(G2063,"0")&amp;TEXT(H2063,"0")</f>
        <v/>
      </c>
      <c r="J2063" s="122">
        <f>IFERROR(XLOOKUP(I2063,'Segment Map'!A:A,'Segment Map'!B:B,"Need Attention"),"Need Attention")</f>
        <v/>
      </c>
      <c r="K2063" s="122">
        <f>IF(E2063&gt;=5000,"🏆 Platinum",IF(E2063&gt;=2000,"🥇 Gold",IF(E2063&gt;=800,"🥈 Silver","🥉 Bronze")))</f>
        <v/>
      </c>
      <c r="L2063" s="125" t="n">
        <v>40885</v>
      </c>
    </row>
    <row r="2064">
      <c r="A2064" s="126" t="n">
        <v>15157</v>
      </c>
      <c r="B2064" s="126" t="inlineStr">
        <is>
          <t>United Kingdom</t>
        </is>
      </c>
      <c r="C2064" s="126" t="n">
        <v>4</v>
      </c>
      <c r="D2064" s="126" t="n">
        <v>3</v>
      </c>
      <c r="E2064" s="127" t="n">
        <v>1936.07</v>
      </c>
      <c r="F2064" s="128">
        <f>IF(C2064&lt;=30,5,IF(C2064&lt;=60,4,IF(C2064&lt;=120,3,IF(C2064&lt;=200,2,1))))</f>
        <v/>
      </c>
      <c r="G2064" s="128">
        <f>IF(D2064&gt;=20,5,IF(D2064&gt;=10,4,IF(D2064&gt;=5,3,IF(D2064&gt;=2,2,1))))</f>
        <v/>
      </c>
      <c r="H2064" s="128">
        <f>IF(E2064&gt;=5000,5,IF(E2064&gt;=2000,4,IF(E2064&gt;=800,3,IF(E2064&gt;=300,2,1))))</f>
        <v/>
      </c>
      <c r="I2064" s="126">
        <f>TEXT(F2064,"0")&amp;TEXT(G2064,"0")&amp;TEXT(H2064,"0")</f>
        <v/>
      </c>
      <c r="J2064" s="126">
        <f>IFERROR(XLOOKUP(I2064,'Segment Map'!A:A,'Segment Map'!B:B,"Need Attention"),"Need Attention")</f>
        <v/>
      </c>
      <c r="K2064" s="126">
        <f>IF(E2064&gt;=5000,"🏆 Platinum",IF(E2064&gt;=2000,"🥇 Gold",IF(E2064&gt;=800,"🥈 Silver","🥉 Bronze")))</f>
        <v/>
      </c>
      <c r="L2064" s="129" t="n">
        <v>40883</v>
      </c>
    </row>
    <row r="2065">
      <c r="A2065" s="122" t="n">
        <v>15158</v>
      </c>
      <c r="B2065" s="122" t="inlineStr">
        <is>
          <t>United Kingdom</t>
        </is>
      </c>
      <c r="C2065" s="122" t="n">
        <v>46</v>
      </c>
      <c r="D2065" s="122" t="n">
        <v>1</v>
      </c>
      <c r="E2065" s="123" t="n">
        <v>401.4</v>
      </c>
      <c r="F2065" s="124">
        <f>IF(C2065&lt;=30,5,IF(C2065&lt;=60,4,IF(C2065&lt;=120,3,IF(C2065&lt;=200,2,1))))</f>
        <v/>
      </c>
      <c r="G2065" s="124">
        <f>IF(D2065&gt;=20,5,IF(D2065&gt;=10,4,IF(D2065&gt;=5,3,IF(D2065&gt;=2,2,1))))</f>
        <v/>
      </c>
      <c r="H2065" s="124">
        <f>IF(E2065&gt;=5000,5,IF(E2065&gt;=2000,4,IF(E2065&gt;=800,3,IF(E2065&gt;=300,2,1))))</f>
        <v/>
      </c>
      <c r="I2065" s="122">
        <f>TEXT(F2065,"0")&amp;TEXT(G2065,"0")&amp;TEXT(H2065,"0")</f>
        <v/>
      </c>
      <c r="J2065" s="122">
        <f>IFERROR(XLOOKUP(I2065,'Segment Map'!A:A,'Segment Map'!B:B,"Need Attention"),"Need Attention")</f>
        <v/>
      </c>
      <c r="K2065" s="122">
        <f>IF(E2065&gt;=5000,"🏆 Platinum",IF(E2065&gt;=2000,"🥇 Gold",IF(E2065&gt;=800,"🥈 Silver","🥉 Bronze")))</f>
        <v/>
      </c>
      <c r="L2065" s="125" t="n">
        <v>40841</v>
      </c>
    </row>
    <row r="2066">
      <c r="A2066" s="126" t="n">
        <v>15159</v>
      </c>
      <c r="B2066" s="126" t="inlineStr">
        <is>
          <t>United Kingdom</t>
        </is>
      </c>
      <c r="C2066" s="126" t="n">
        <v>2</v>
      </c>
      <c r="D2066" s="126" t="n">
        <v>30</v>
      </c>
      <c r="E2066" s="127" t="n">
        <v>18641.01</v>
      </c>
      <c r="F2066" s="128">
        <f>IF(C2066&lt;=30,5,IF(C2066&lt;=60,4,IF(C2066&lt;=120,3,IF(C2066&lt;=200,2,1))))</f>
        <v/>
      </c>
      <c r="G2066" s="128">
        <f>IF(D2066&gt;=20,5,IF(D2066&gt;=10,4,IF(D2066&gt;=5,3,IF(D2066&gt;=2,2,1))))</f>
        <v/>
      </c>
      <c r="H2066" s="128">
        <f>IF(E2066&gt;=5000,5,IF(E2066&gt;=2000,4,IF(E2066&gt;=800,3,IF(E2066&gt;=300,2,1))))</f>
        <v/>
      </c>
      <c r="I2066" s="126">
        <f>TEXT(F2066,"0")&amp;TEXT(G2066,"0")&amp;TEXT(H2066,"0")</f>
        <v/>
      </c>
      <c r="J2066" s="126">
        <f>IFERROR(XLOOKUP(I2066,'Segment Map'!A:A,'Segment Map'!B:B,"Need Attention"),"Need Attention")</f>
        <v/>
      </c>
      <c r="K2066" s="126">
        <f>IF(E2066&gt;=5000,"🏆 Platinum",IF(E2066&gt;=2000,"🥇 Gold",IF(E2066&gt;=800,"🥈 Silver","🥉 Bronze")))</f>
        <v/>
      </c>
      <c r="L2066" s="129" t="n">
        <v>40885</v>
      </c>
    </row>
    <row r="2067">
      <c r="A2067" s="122" t="n">
        <v>15160</v>
      </c>
      <c r="B2067" s="122" t="inlineStr">
        <is>
          <t>United Kingdom</t>
        </is>
      </c>
      <c r="C2067" s="122" t="n">
        <v>358</v>
      </c>
      <c r="D2067" s="122" t="n">
        <v>1</v>
      </c>
      <c r="E2067" s="123" t="n">
        <v>158.16</v>
      </c>
      <c r="F2067" s="124">
        <f>IF(C2067&lt;=30,5,IF(C2067&lt;=60,4,IF(C2067&lt;=120,3,IF(C2067&lt;=200,2,1))))</f>
        <v/>
      </c>
      <c r="G2067" s="124">
        <f>IF(D2067&gt;=20,5,IF(D2067&gt;=10,4,IF(D2067&gt;=5,3,IF(D2067&gt;=2,2,1))))</f>
        <v/>
      </c>
      <c r="H2067" s="124">
        <f>IF(E2067&gt;=5000,5,IF(E2067&gt;=2000,4,IF(E2067&gt;=800,3,IF(E2067&gt;=300,2,1))))</f>
        <v/>
      </c>
      <c r="I2067" s="122">
        <f>TEXT(F2067,"0")&amp;TEXT(G2067,"0")&amp;TEXT(H2067,"0")</f>
        <v/>
      </c>
      <c r="J2067" s="122">
        <f>IFERROR(XLOOKUP(I2067,'Segment Map'!A:A,'Segment Map'!B:B,"Need Attention"),"Need Attention")</f>
        <v/>
      </c>
      <c r="K2067" s="122">
        <f>IF(E2067&gt;=5000,"🏆 Platinum",IF(E2067&gt;=2000,"🥇 Gold",IF(E2067&gt;=800,"🥈 Silver","🥉 Bronze")))</f>
        <v/>
      </c>
      <c r="L2067" s="125" t="n">
        <v>40529</v>
      </c>
    </row>
    <row r="2068">
      <c r="A2068" s="126" t="n">
        <v>15163</v>
      </c>
      <c r="B2068" s="126" t="inlineStr">
        <is>
          <t>United Kingdom</t>
        </is>
      </c>
      <c r="C2068" s="126" t="n">
        <v>19</v>
      </c>
      <c r="D2068" s="126" t="n">
        <v>2</v>
      </c>
      <c r="E2068" s="127" t="n">
        <v>304.47</v>
      </c>
      <c r="F2068" s="128">
        <f>IF(C2068&lt;=30,5,IF(C2068&lt;=60,4,IF(C2068&lt;=120,3,IF(C2068&lt;=200,2,1))))</f>
        <v/>
      </c>
      <c r="G2068" s="128">
        <f>IF(D2068&gt;=20,5,IF(D2068&gt;=10,4,IF(D2068&gt;=5,3,IF(D2068&gt;=2,2,1))))</f>
        <v/>
      </c>
      <c r="H2068" s="128">
        <f>IF(E2068&gt;=5000,5,IF(E2068&gt;=2000,4,IF(E2068&gt;=800,3,IF(E2068&gt;=300,2,1))))</f>
        <v/>
      </c>
      <c r="I2068" s="126">
        <f>TEXT(F2068,"0")&amp;TEXT(G2068,"0")&amp;TEXT(H2068,"0")</f>
        <v/>
      </c>
      <c r="J2068" s="126">
        <f>IFERROR(XLOOKUP(I2068,'Segment Map'!A:A,'Segment Map'!B:B,"Need Attention"),"Need Attention")</f>
        <v/>
      </c>
      <c r="K2068" s="126">
        <f>IF(E2068&gt;=5000,"🏆 Platinum",IF(E2068&gt;=2000,"🥇 Gold",IF(E2068&gt;=800,"🥈 Silver","🥉 Bronze")))</f>
        <v/>
      </c>
      <c r="L2068" s="129" t="n">
        <v>40868</v>
      </c>
    </row>
    <row r="2069">
      <c r="A2069" s="122" t="n">
        <v>15164</v>
      </c>
      <c r="B2069" s="122" t="inlineStr">
        <is>
          <t>United Kingdom</t>
        </is>
      </c>
      <c r="C2069" s="122" t="n">
        <v>69</v>
      </c>
      <c r="D2069" s="122" t="n">
        <v>3</v>
      </c>
      <c r="E2069" s="123" t="n">
        <v>843.05</v>
      </c>
      <c r="F2069" s="124">
        <f>IF(C2069&lt;=30,5,IF(C2069&lt;=60,4,IF(C2069&lt;=120,3,IF(C2069&lt;=200,2,1))))</f>
        <v/>
      </c>
      <c r="G2069" s="124">
        <f>IF(D2069&gt;=20,5,IF(D2069&gt;=10,4,IF(D2069&gt;=5,3,IF(D2069&gt;=2,2,1))))</f>
        <v/>
      </c>
      <c r="H2069" s="124">
        <f>IF(E2069&gt;=5000,5,IF(E2069&gt;=2000,4,IF(E2069&gt;=800,3,IF(E2069&gt;=300,2,1))))</f>
        <v/>
      </c>
      <c r="I2069" s="122">
        <f>TEXT(F2069,"0")&amp;TEXT(G2069,"0")&amp;TEXT(H2069,"0")</f>
        <v/>
      </c>
      <c r="J2069" s="122">
        <f>IFERROR(XLOOKUP(I2069,'Segment Map'!A:A,'Segment Map'!B:B,"Need Attention"),"Need Attention")</f>
        <v/>
      </c>
      <c r="K2069" s="122">
        <f>IF(E2069&gt;=5000,"🏆 Platinum",IF(E2069&gt;=2000,"🥇 Gold",IF(E2069&gt;=800,"🥈 Silver","🥉 Bronze")))</f>
        <v/>
      </c>
      <c r="L2069" s="125" t="n">
        <v>40818</v>
      </c>
    </row>
    <row r="2070">
      <c r="A2070" s="126" t="n">
        <v>15165</v>
      </c>
      <c r="B2070" s="126" t="inlineStr">
        <is>
          <t>United Kingdom</t>
        </is>
      </c>
      <c r="C2070" s="126" t="n">
        <v>374</v>
      </c>
      <c r="D2070" s="126" t="n">
        <v>1</v>
      </c>
      <c r="E2070" s="127" t="n">
        <v>487.75</v>
      </c>
      <c r="F2070" s="128">
        <f>IF(C2070&lt;=30,5,IF(C2070&lt;=60,4,IF(C2070&lt;=120,3,IF(C2070&lt;=200,2,1))))</f>
        <v/>
      </c>
      <c r="G2070" s="128">
        <f>IF(D2070&gt;=20,5,IF(D2070&gt;=10,4,IF(D2070&gt;=5,3,IF(D2070&gt;=2,2,1))))</f>
        <v/>
      </c>
      <c r="H2070" s="128">
        <f>IF(E2070&gt;=5000,5,IF(E2070&gt;=2000,4,IF(E2070&gt;=800,3,IF(E2070&gt;=300,2,1))))</f>
        <v/>
      </c>
      <c r="I2070" s="126">
        <f>TEXT(F2070,"0")&amp;TEXT(G2070,"0")&amp;TEXT(H2070,"0")</f>
        <v/>
      </c>
      <c r="J2070" s="126">
        <f>IFERROR(XLOOKUP(I2070,'Segment Map'!A:A,'Segment Map'!B:B,"Need Attention"),"Need Attention")</f>
        <v/>
      </c>
      <c r="K2070" s="126">
        <f>IF(E2070&gt;=5000,"🏆 Platinum",IF(E2070&gt;=2000,"🥇 Gold",IF(E2070&gt;=800,"🥈 Silver","🥉 Bronze")))</f>
        <v/>
      </c>
      <c r="L2070" s="129" t="n">
        <v>40513</v>
      </c>
    </row>
    <row r="2071">
      <c r="A2071" s="122" t="n">
        <v>15167</v>
      </c>
      <c r="B2071" s="122" t="inlineStr">
        <is>
          <t>United Kingdom</t>
        </is>
      </c>
      <c r="C2071" s="122" t="n">
        <v>321</v>
      </c>
      <c r="D2071" s="122" t="n">
        <v>1</v>
      </c>
      <c r="E2071" s="123" t="n">
        <v>163</v>
      </c>
      <c r="F2071" s="124">
        <f>IF(C2071&lt;=30,5,IF(C2071&lt;=60,4,IF(C2071&lt;=120,3,IF(C2071&lt;=200,2,1))))</f>
        <v/>
      </c>
      <c r="G2071" s="124">
        <f>IF(D2071&gt;=20,5,IF(D2071&gt;=10,4,IF(D2071&gt;=5,3,IF(D2071&gt;=2,2,1))))</f>
        <v/>
      </c>
      <c r="H2071" s="124">
        <f>IF(E2071&gt;=5000,5,IF(E2071&gt;=2000,4,IF(E2071&gt;=800,3,IF(E2071&gt;=300,2,1))))</f>
        <v/>
      </c>
      <c r="I2071" s="122">
        <f>TEXT(F2071,"0")&amp;TEXT(G2071,"0")&amp;TEXT(H2071,"0")</f>
        <v/>
      </c>
      <c r="J2071" s="122">
        <f>IFERROR(XLOOKUP(I2071,'Segment Map'!A:A,'Segment Map'!B:B,"Need Attention"),"Need Attention")</f>
        <v/>
      </c>
      <c r="K2071" s="122">
        <f>IF(E2071&gt;=5000,"🏆 Platinum",IF(E2071&gt;=2000,"🥇 Gold",IF(E2071&gt;=800,"🥈 Silver","🥉 Bronze")))</f>
        <v/>
      </c>
      <c r="L2071" s="125" t="n">
        <v>40566</v>
      </c>
    </row>
    <row r="2072">
      <c r="A2072" s="126" t="n">
        <v>15168</v>
      </c>
      <c r="B2072" s="126" t="inlineStr">
        <is>
          <t>United Kingdom</t>
        </is>
      </c>
      <c r="C2072" s="126" t="n">
        <v>26</v>
      </c>
      <c r="D2072" s="126" t="n">
        <v>1</v>
      </c>
      <c r="E2072" s="127" t="n">
        <v>106.56</v>
      </c>
      <c r="F2072" s="128">
        <f>IF(C2072&lt;=30,5,IF(C2072&lt;=60,4,IF(C2072&lt;=120,3,IF(C2072&lt;=200,2,1))))</f>
        <v/>
      </c>
      <c r="G2072" s="128">
        <f>IF(D2072&gt;=20,5,IF(D2072&gt;=10,4,IF(D2072&gt;=5,3,IF(D2072&gt;=2,2,1))))</f>
        <v/>
      </c>
      <c r="H2072" s="128">
        <f>IF(E2072&gt;=5000,5,IF(E2072&gt;=2000,4,IF(E2072&gt;=800,3,IF(E2072&gt;=300,2,1))))</f>
        <v/>
      </c>
      <c r="I2072" s="126">
        <f>TEXT(F2072,"0")&amp;TEXT(G2072,"0")&amp;TEXT(H2072,"0")</f>
        <v/>
      </c>
      <c r="J2072" s="126">
        <f>IFERROR(XLOOKUP(I2072,'Segment Map'!A:A,'Segment Map'!B:B,"Need Attention"),"Need Attention")</f>
        <v/>
      </c>
      <c r="K2072" s="126">
        <f>IF(E2072&gt;=5000,"🏆 Platinum",IF(E2072&gt;=2000,"🥇 Gold",IF(E2072&gt;=800,"🥈 Silver","🥉 Bronze")))</f>
        <v/>
      </c>
      <c r="L2072" s="129" t="n">
        <v>40861</v>
      </c>
    </row>
    <row r="2073">
      <c r="A2073" s="122" t="n">
        <v>15171</v>
      </c>
      <c r="B2073" s="122" t="inlineStr">
        <is>
          <t>United Kingdom</t>
        </is>
      </c>
      <c r="C2073" s="122" t="n">
        <v>332</v>
      </c>
      <c r="D2073" s="122" t="n">
        <v>1</v>
      </c>
      <c r="E2073" s="123" t="n">
        <v>1289.5</v>
      </c>
      <c r="F2073" s="124">
        <f>IF(C2073&lt;=30,5,IF(C2073&lt;=60,4,IF(C2073&lt;=120,3,IF(C2073&lt;=200,2,1))))</f>
        <v/>
      </c>
      <c r="G2073" s="124">
        <f>IF(D2073&gt;=20,5,IF(D2073&gt;=10,4,IF(D2073&gt;=5,3,IF(D2073&gt;=2,2,1))))</f>
        <v/>
      </c>
      <c r="H2073" s="124">
        <f>IF(E2073&gt;=5000,5,IF(E2073&gt;=2000,4,IF(E2073&gt;=800,3,IF(E2073&gt;=300,2,1))))</f>
        <v/>
      </c>
      <c r="I2073" s="122">
        <f>TEXT(F2073,"0")&amp;TEXT(G2073,"0")&amp;TEXT(H2073,"0")</f>
        <v/>
      </c>
      <c r="J2073" s="122">
        <f>IFERROR(XLOOKUP(I2073,'Segment Map'!A:A,'Segment Map'!B:B,"Need Attention"),"Need Attention")</f>
        <v/>
      </c>
      <c r="K2073" s="122">
        <f>IF(E2073&gt;=5000,"🏆 Platinum",IF(E2073&gt;=2000,"🥇 Gold",IF(E2073&gt;=800,"🥈 Silver","🥉 Bronze")))</f>
        <v/>
      </c>
      <c r="L2073" s="125" t="n">
        <v>40555</v>
      </c>
    </row>
    <row r="2074">
      <c r="A2074" s="126" t="n">
        <v>15172</v>
      </c>
      <c r="B2074" s="126" t="inlineStr">
        <is>
          <t>United Kingdom</t>
        </is>
      </c>
      <c r="C2074" s="126" t="n">
        <v>9</v>
      </c>
      <c r="D2074" s="126" t="n">
        <v>5</v>
      </c>
      <c r="E2074" s="127" t="n">
        <v>1624.05</v>
      </c>
      <c r="F2074" s="128">
        <f>IF(C2074&lt;=30,5,IF(C2074&lt;=60,4,IF(C2074&lt;=120,3,IF(C2074&lt;=200,2,1))))</f>
        <v/>
      </c>
      <c r="G2074" s="128">
        <f>IF(D2074&gt;=20,5,IF(D2074&gt;=10,4,IF(D2074&gt;=5,3,IF(D2074&gt;=2,2,1))))</f>
        <v/>
      </c>
      <c r="H2074" s="128">
        <f>IF(E2074&gt;=5000,5,IF(E2074&gt;=2000,4,IF(E2074&gt;=800,3,IF(E2074&gt;=300,2,1))))</f>
        <v/>
      </c>
      <c r="I2074" s="126">
        <f>TEXT(F2074,"0")&amp;TEXT(G2074,"0")&amp;TEXT(H2074,"0")</f>
        <v/>
      </c>
      <c r="J2074" s="126">
        <f>IFERROR(XLOOKUP(I2074,'Segment Map'!A:A,'Segment Map'!B:B,"Need Attention"),"Need Attention")</f>
        <v/>
      </c>
      <c r="K2074" s="126">
        <f>IF(E2074&gt;=5000,"🏆 Platinum",IF(E2074&gt;=2000,"🥇 Gold",IF(E2074&gt;=800,"🥈 Silver","🥉 Bronze")))</f>
        <v/>
      </c>
      <c r="L2074" s="129" t="n">
        <v>40878</v>
      </c>
    </row>
    <row r="2075">
      <c r="A2075" s="122" t="n">
        <v>15174</v>
      </c>
      <c r="B2075" s="122" t="inlineStr">
        <is>
          <t>United Kingdom</t>
        </is>
      </c>
      <c r="C2075" s="122" t="n">
        <v>323</v>
      </c>
      <c r="D2075" s="122" t="n">
        <v>1</v>
      </c>
      <c r="E2075" s="123" t="n">
        <v>135.75</v>
      </c>
      <c r="F2075" s="124">
        <f>IF(C2075&lt;=30,5,IF(C2075&lt;=60,4,IF(C2075&lt;=120,3,IF(C2075&lt;=200,2,1))))</f>
        <v/>
      </c>
      <c r="G2075" s="124">
        <f>IF(D2075&gt;=20,5,IF(D2075&gt;=10,4,IF(D2075&gt;=5,3,IF(D2075&gt;=2,2,1))))</f>
        <v/>
      </c>
      <c r="H2075" s="124">
        <f>IF(E2075&gt;=5000,5,IF(E2075&gt;=2000,4,IF(E2075&gt;=800,3,IF(E2075&gt;=300,2,1))))</f>
        <v/>
      </c>
      <c r="I2075" s="122">
        <f>TEXT(F2075,"0")&amp;TEXT(G2075,"0")&amp;TEXT(H2075,"0")</f>
        <v/>
      </c>
      <c r="J2075" s="122">
        <f>IFERROR(XLOOKUP(I2075,'Segment Map'!A:A,'Segment Map'!B:B,"Need Attention"),"Need Attention")</f>
        <v/>
      </c>
      <c r="K2075" s="122">
        <f>IF(E2075&gt;=5000,"🏆 Platinum",IF(E2075&gt;=2000,"🥇 Gold",IF(E2075&gt;=800,"🥈 Silver","🥉 Bronze")))</f>
        <v/>
      </c>
      <c r="L2075" s="125" t="n">
        <v>40564</v>
      </c>
    </row>
    <row r="2076">
      <c r="A2076" s="126" t="n">
        <v>15175</v>
      </c>
      <c r="B2076" s="126" t="inlineStr">
        <is>
          <t>United Kingdom</t>
        </is>
      </c>
      <c r="C2076" s="126" t="n">
        <v>72</v>
      </c>
      <c r="D2076" s="126" t="n">
        <v>1</v>
      </c>
      <c r="E2076" s="127" t="n">
        <v>224.14</v>
      </c>
      <c r="F2076" s="128">
        <f>IF(C2076&lt;=30,5,IF(C2076&lt;=60,4,IF(C2076&lt;=120,3,IF(C2076&lt;=200,2,1))))</f>
        <v/>
      </c>
      <c r="G2076" s="128">
        <f>IF(D2076&gt;=20,5,IF(D2076&gt;=10,4,IF(D2076&gt;=5,3,IF(D2076&gt;=2,2,1))))</f>
        <v/>
      </c>
      <c r="H2076" s="128">
        <f>IF(E2076&gt;=5000,5,IF(E2076&gt;=2000,4,IF(E2076&gt;=800,3,IF(E2076&gt;=300,2,1))))</f>
        <v/>
      </c>
      <c r="I2076" s="126">
        <f>TEXT(F2076,"0")&amp;TEXT(G2076,"0")&amp;TEXT(H2076,"0")</f>
        <v/>
      </c>
      <c r="J2076" s="126">
        <f>IFERROR(XLOOKUP(I2076,'Segment Map'!A:A,'Segment Map'!B:B,"Need Attention"),"Need Attention")</f>
        <v/>
      </c>
      <c r="K2076" s="126">
        <f>IF(E2076&gt;=5000,"🏆 Platinum",IF(E2076&gt;=2000,"🥇 Gold",IF(E2076&gt;=800,"🥈 Silver","🥉 Bronze")))</f>
        <v/>
      </c>
      <c r="L2076" s="129" t="n">
        <v>40815</v>
      </c>
    </row>
    <row r="2077">
      <c r="A2077" s="122" t="n">
        <v>15178</v>
      </c>
      <c r="B2077" s="122" t="inlineStr">
        <is>
          <t>United Kingdom</t>
        </is>
      </c>
      <c r="C2077" s="122" t="n">
        <v>261</v>
      </c>
      <c r="D2077" s="122" t="n">
        <v>1</v>
      </c>
      <c r="E2077" s="123" t="n">
        <v>40.5</v>
      </c>
      <c r="F2077" s="124">
        <f>IF(C2077&lt;=30,5,IF(C2077&lt;=60,4,IF(C2077&lt;=120,3,IF(C2077&lt;=200,2,1))))</f>
        <v/>
      </c>
      <c r="G2077" s="124">
        <f>IF(D2077&gt;=20,5,IF(D2077&gt;=10,4,IF(D2077&gt;=5,3,IF(D2077&gt;=2,2,1))))</f>
        <v/>
      </c>
      <c r="H2077" s="124">
        <f>IF(E2077&gt;=5000,5,IF(E2077&gt;=2000,4,IF(E2077&gt;=800,3,IF(E2077&gt;=300,2,1))))</f>
        <v/>
      </c>
      <c r="I2077" s="122">
        <f>TEXT(F2077,"0")&amp;TEXT(G2077,"0")&amp;TEXT(H2077,"0")</f>
        <v/>
      </c>
      <c r="J2077" s="122">
        <f>IFERROR(XLOOKUP(I2077,'Segment Map'!A:A,'Segment Map'!B:B,"Need Attention"),"Need Attention")</f>
        <v/>
      </c>
      <c r="K2077" s="122">
        <f>IF(E2077&gt;=5000,"🏆 Platinum",IF(E2077&gt;=2000,"🥇 Gold",IF(E2077&gt;=800,"🥈 Silver","🥉 Bronze")))</f>
        <v/>
      </c>
      <c r="L2077" s="125" t="n">
        <v>40626</v>
      </c>
    </row>
    <row r="2078">
      <c r="A2078" s="126" t="n">
        <v>15179</v>
      </c>
      <c r="B2078" s="126" t="inlineStr">
        <is>
          <t>United Kingdom</t>
        </is>
      </c>
      <c r="C2078" s="126" t="n">
        <v>19</v>
      </c>
      <c r="D2078" s="126" t="n">
        <v>5</v>
      </c>
      <c r="E2078" s="127" t="n">
        <v>2206.95</v>
      </c>
      <c r="F2078" s="128">
        <f>IF(C2078&lt;=30,5,IF(C2078&lt;=60,4,IF(C2078&lt;=120,3,IF(C2078&lt;=200,2,1))))</f>
        <v/>
      </c>
      <c r="G2078" s="128">
        <f>IF(D2078&gt;=20,5,IF(D2078&gt;=10,4,IF(D2078&gt;=5,3,IF(D2078&gt;=2,2,1))))</f>
        <v/>
      </c>
      <c r="H2078" s="128">
        <f>IF(E2078&gt;=5000,5,IF(E2078&gt;=2000,4,IF(E2078&gt;=800,3,IF(E2078&gt;=300,2,1))))</f>
        <v/>
      </c>
      <c r="I2078" s="126">
        <f>TEXT(F2078,"0")&amp;TEXT(G2078,"0")&amp;TEXT(H2078,"0")</f>
        <v/>
      </c>
      <c r="J2078" s="126">
        <f>IFERROR(XLOOKUP(I2078,'Segment Map'!A:A,'Segment Map'!B:B,"Need Attention"),"Need Attention")</f>
        <v/>
      </c>
      <c r="K2078" s="126">
        <f>IF(E2078&gt;=5000,"🏆 Platinum",IF(E2078&gt;=2000,"🥇 Gold",IF(E2078&gt;=800,"🥈 Silver","🥉 Bronze")))</f>
        <v/>
      </c>
      <c r="L2078" s="129" t="n">
        <v>40868</v>
      </c>
    </row>
    <row r="2079">
      <c r="A2079" s="122" t="n">
        <v>15180</v>
      </c>
      <c r="B2079" s="122" t="inlineStr">
        <is>
          <t>United Kingdom</t>
        </is>
      </c>
      <c r="C2079" s="122" t="n">
        <v>368</v>
      </c>
      <c r="D2079" s="122" t="n">
        <v>1</v>
      </c>
      <c r="E2079" s="123" t="n">
        <v>87.5</v>
      </c>
      <c r="F2079" s="124">
        <f>IF(C2079&lt;=30,5,IF(C2079&lt;=60,4,IF(C2079&lt;=120,3,IF(C2079&lt;=200,2,1))))</f>
        <v/>
      </c>
      <c r="G2079" s="124">
        <f>IF(D2079&gt;=20,5,IF(D2079&gt;=10,4,IF(D2079&gt;=5,3,IF(D2079&gt;=2,2,1))))</f>
        <v/>
      </c>
      <c r="H2079" s="124">
        <f>IF(E2079&gt;=5000,5,IF(E2079&gt;=2000,4,IF(E2079&gt;=800,3,IF(E2079&gt;=300,2,1))))</f>
        <v/>
      </c>
      <c r="I2079" s="122">
        <f>TEXT(F2079,"0")&amp;TEXT(G2079,"0")&amp;TEXT(H2079,"0")</f>
        <v/>
      </c>
      <c r="J2079" s="122">
        <f>IFERROR(XLOOKUP(I2079,'Segment Map'!A:A,'Segment Map'!B:B,"Need Attention"),"Need Attention")</f>
        <v/>
      </c>
      <c r="K2079" s="122">
        <f>IF(E2079&gt;=5000,"🏆 Platinum",IF(E2079&gt;=2000,"🥇 Gold",IF(E2079&gt;=800,"🥈 Silver","🥉 Bronze")))</f>
        <v/>
      </c>
      <c r="L2079" s="125" t="n">
        <v>40519</v>
      </c>
    </row>
    <row r="2080">
      <c r="A2080" s="126" t="n">
        <v>15181</v>
      </c>
      <c r="B2080" s="126" t="inlineStr">
        <is>
          <t>United Kingdom</t>
        </is>
      </c>
      <c r="C2080" s="126" t="n">
        <v>67</v>
      </c>
      <c r="D2080" s="126" t="n">
        <v>3</v>
      </c>
      <c r="E2080" s="127" t="n">
        <v>689.48</v>
      </c>
      <c r="F2080" s="128">
        <f>IF(C2080&lt;=30,5,IF(C2080&lt;=60,4,IF(C2080&lt;=120,3,IF(C2080&lt;=200,2,1))))</f>
        <v/>
      </c>
      <c r="G2080" s="128">
        <f>IF(D2080&gt;=20,5,IF(D2080&gt;=10,4,IF(D2080&gt;=5,3,IF(D2080&gt;=2,2,1))))</f>
        <v/>
      </c>
      <c r="H2080" s="128">
        <f>IF(E2080&gt;=5000,5,IF(E2080&gt;=2000,4,IF(E2080&gt;=800,3,IF(E2080&gt;=300,2,1))))</f>
        <v/>
      </c>
      <c r="I2080" s="126">
        <f>TEXT(F2080,"0")&amp;TEXT(G2080,"0")&amp;TEXT(H2080,"0")</f>
        <v/>
      </c>
      <c r="J2080" s="126">
        <f>IFERROR(XLOOKUP(I2080,'Segment Map'!A:A,'Segment Map'!B:B,"Need Attention"),"Need Attention")</f>
        <v/>
      </c>
      <c r="K2080" s="126">
        <f>IF(E2080&gt;=5000,"🏆 Platinum",IF(E2080&gt;=2000,"🥇 Gold",IF(E2080&gt;=800,"🥈 Silver","🥉 Bronze")))</f>
        <v/>
      </c>
      <c r="L2080" s="129" t="n">
        <v>40820</v>
      </c>
    </row>
    <row r="2081">
      <c r="A2081" s="122" t="n">
        <v>15182</v>
      </c>
      <c r="B2081" s="122" t="inlineStr">
        <is>
          <t>United Kingdom</t>
        </is>
      </c>
      <c r="C2081" s="122" t="n">
        <v>155</v>
      </c>
      <c r="D2081" s="122" t="n">
        <v>2</v>
      </c>
      <c r="E2081" s="123" t="n">
        <v>622.85</v>
      </c>
      <c r="F2081" s="124">
        <f>IF(C2081&lt;=30,5,IF(C2081&lt;=60,4,IF(C2081&lt;=120,3,IF(C2081&lt;=200,2,1))))</f>
        <v/>
      </c>
      <c r="G2081" s="124">
        <f>IF(D2081&gt;=20,5,IF(D2081&gt;=10,4,IF(D2081&gt;=5,3,IF(D2081&gt;=2,2,1))))</f>
        <v/>
      </c>
      <c r="H2081" s="124">
        <f>IF(E2081&gt;=5000,5,IF(E2081&gt;=2000,4,IF(E2081&gt;=800,3,IF(E2081&gt;=300,2,1))))</f>
        <v/>
      </c>
      <c r="I2081" s="122">
        <f>TEXT(F2081,"0")&amp;TEXT(G2081,"0")&amp;TEXT(H2081,"0")</f>
        <v/>
      </c>
      <c r="J2081" s="122">
        <f>IFERROR(XLOOKUP(I2081,'Segment Map'!A:A,'Segment Map'!B:B,"Need Attention"),"Need Attention")</f>
        <v/>
      </c>
      <c r="K2081" s="122">
        <f>IF(E2081&gt;=5000,"🏆 Platinum",IF(E2081&gt;=2000,"🥇 Gold",IF(E2081&gt;=800,"🥈 Silver","🥉 Bronze")))</f>
        <v/>
      </c>
      <c r="L2081" s="125" t="n">
        <v>40732</v>
      </c>
    </row>
    <row r="2082">
      <c r="A2082" s="126" t="n">
        <v>15184</v>
      </c>
      <c r="B2082" s="126" t="inlineStr">
        <is>
          <t>United Kingdom</t>
        </is>
      </c>
      <c r="C2082" s="126" t="n">
        <v>30</v>
      </c>
      <c r="D2082" s="126" t="n">
        <v>2</v>
      </c>
      <c r="E2082" s="127" t="n">
        <v>406.76</v>
      </c>
      <c r="F2082" s="128">
        <f>IF(C2082&lt;=30,5,IF(C2082&lt;=60,4,IF(C2082&lt;=120,3,IF(C2082&lt;=200,2,1))))</f>
        <v/>
      </c>
      <c r="G2082" s="128">
        <f>IF(D2082&gt;=20,5,IF(D2082&gt;=10,4,IF(D2082&gt;=5,3,IF(D2082&gt;=2,2,1))))</f>
        <v/>
      </c>
      <c r="H2082" s="128">
        <f>IF(E2082&gt;=5000,5,IF(E2082&gt;=2000,4,IF(E2082&gt;=800,3,IF(E2082&gt;=300,2,1))))</f>
        <v/>
      </c>
      <c r="I2082" s="126">
        <f>TEXT(F2082,"0")&amp;TEXT(G2082,"0")&amp;TEXT(H2082,"0")</f>
        <v/>
      </c>
      <c r="J2082" s="126">
        <f>IFERROR(XLOOKUP(I2082,'Segment Map'!A:A,'Segment Map'!B:B,"Need Attention"),"Need Attention")</f>
        <v/>
      </c>
      <c r="K2082" s="126">
        <f>IF(E2082&gt;=5000,"🏆 Platinum",IF(E2082&gt;=2000,"🥇 Gold",IF(E2082&gt;=800,"🥈 Silver","🥉 Bronze")))</f>
        <v/>
      </c>
      <c r="L2082" s="129" t="n">
        <v>40857</v>
      </c>
    </row>
    <row r="2083">
      <c r="A2083" s="122" t="n">
        <v>15185</v>
      </c>
      <c r="B2083" s="122" t="inlineStr">
        <is>
          <t>United Kingdom</t>
        </is>
      </c>
      <c r="C2083" s="122" t="n">
        <v>71</v>
      </c>
      <c r="D2083" s="122" t="n">
        <v>1</v>
      </c>
      <c r="E2083" s="123" t="n">
        <v>310.62</v>
      </c>
      <c r="F2083" s="124">
        <f>IF(C2083&lt;=30,5,IF(C2083&lt;=60,4,IF(C2083&lt;=120,3,IF(C2083&lt;=200,2,1))))</f>
        <v/>
      </c>
      <c r="G2083" s="124">
        <f>IF(D2083&gt;=20,5,IF(D2083&gt;=10,4,IF(D2083&gt;=5,3,IF(D2083&gt;=2,2,1))))</f>
        <v/>
      </c>
      <c r="H2083" s="124">
        <f>IF(E2083&gt;=5000,5,IF(E2083&gt;=2000,4,IF(E2083&gt;=800,3,IF(E2083&gt;=300,2,1))))</f>
        <v/>
      </c>
      <c r="I2083" s="122">
        <f>TEXT(F2083,"0")&amp;TEXT(G2083,"0")&amp;TEXT(H2083,"0")</f>
        <v/>
      </c>
      <c r="J2083" s="122">
        <f>IFERROR(XLOOKUP(I2083,'Segment Map'!A:A,'Segment Map'!B:B,"Need Attention"),"Need Attention")</f>
        <v/>
      </c>
      <c r="K2083" s="122">
        <f>IF(E2083&gt;=5000,"🏆 Platinum",IF(E2083&gt;=2000,"🥇 Gold",IF(E2083&gt;=800,"🥈 Silver","🥉 Bronze")))</f>
        <v/>
      </c>
      <c r="L2083" s="125" t="n">
        <v>40816</v>
      </c>
    </row>
    <row r="2084">
      <c r="A2084" s="126" t="n">
        <v>15186</v>
      </c>
      <c r="B2084" s="126" t="inlineStr">
        <is>
          <t>United Kingdom</t>
        </is>
      </c>
      <c r="C2084" s="126" t="n">
        <v>15</v>
      </c>
      <c r="D2084" s="126" t="n">
        <v>2</v>
      </c>
      <c r="E2084" s="127" t="n">
        <v>411.41</v>
      </c>
      <c r="F2084" s="128">
        <f>IF(C2084&lt;=30,5,IF(C2084&lt;=60,4,IF(C2084&lt;=120,3,IF(C2084&lt;=200,2,1))))</f>
        <v/>
      </c>
      <c r="G2084" s="128">
        <f>IF(D2084&gt;=20,5,IF(D2084&gt;=10,4,IF(D2084&gt;=5,3,IF(D2084&gt;=2,2,1))))</f>
        <v/>
      </c>
      <c r="H2084" s="128">
        <f>IF(E2084&gt;=5000,5,IF(E2084&gt;=2000,4,IF(E2084&gt;=800,3,IF(E2084&gt;=300,2,1))))</f>
        <v/>
      </c>
      <c r="I2084" s="126">
        <f>TEXT(F2084,"0")&amp;TEXT(G2084,"0")&amp;TEXT(H2084,"0")</f>
        <v/>
      </c>
      <c r="J2084" s="126">
        <f>IFERROR(XLOOKUP(I2084,'Segment Map'!A:A,'Segment Map'!B:B,"Need Attention"),"Need Attention")</f>
        <v/>
      </c>
      <c r="K2084" s="126">
        <f>IF(E2084&gt;=5000,"🏆 Platinum",IF(E2084&gt;=2000,"🥇 Gold",IF(E2084&gt;=800,"🥈 Silver","🥉 Bronze")))</f>
        <v/>
      </c>
      <c r="L2084" s="129" t="n">
        <v>40872</v>
      </c>
    </row>
    <row r="2085">
      <c r="A2085" s="122" t="n">
        <v>15187</v>
      </c>
      <c r="B2085" s="122" t="inlineStr">
        <is>
          <t>United Kingdom</t>
        </is>
      </c>
      <c r="C2085" s="122" t="n">
        <v>2</v>
      </c>
      <c r="D2085" s="122" t="n">
        <v>16</v>
      </c>
      <c r="E2085" s="123" t="n">
        <v>4777.18</v>
      </c>
      <c r="F2085" s="124">
        <f>IF(C2085&lt;=30,5,IF(C2085&lt;=60,4,IF(C2085&lt;=120,3,IF(C2085&lt;=200,2,1))))</f>
        <v/>
      </c>
      <c r="G2085" s="124">
        <f>IF(D2085&gt;=20,5,IF(D2085&gt;=10,4,IF(D2085&gt;=5,3,IF(D2085&gt;=2,2,1))))</f>
        <v/>
      </c>
      <c r="H2085" s="124">
        <f>IF(E2085&gt;=5000,5,IF(E2085&gt;=2000,4,IF(E2085&gt;=800,3,IF(E2085&gt;=300,2,1))))</f>
        <v/>
      </c>
      <c r="I2085" s="122">
        <f>TEXT(F2085,"0")&amp;TEXT(G2085,"0")&amp;TEXT(H2085,"0")</f>
        <v/>
      </c>
      <c r="J2085" s="122">
        <f>IFERROR(XLOOKUP(I2085,'Segment Map'!A:A,'Segment Map'!B:B,"Need Attention"),"Need Attention")</f>
        <v/>
      </c>
      <c r="K2085" s="122">
        <f>IF(E2085&gt;=5000,"🏆 Platinum",IF(E2085&gt;=2000,"🥇 Gold",IF(E2085&gt;=800,"🥈 Silver","🥉 Bronze")))</f>
        <v/>
      </c>
      <c r="L2085" s="125" t="n">
        <v>40885</v>
      </c>
    </row>
    <row r="2086">
      <c r="A2086" s="126" t="n">
        <v>15189</v>
      </c>
      <c r="B2086" s="126" t="inlineStr">
        <is>
          <t>United Kingdom</t>
        </is>
      </c>
      <c r="C2086" s="126" t="n">
        <v>2</v>
      </c>
      <c r="D2086" s="126" t="n">
        <v>41</v>
      </c>
      <c r="E2086" s="127" t="n">
        <v>16225.39</v>
      </c>
      <c r="F2086" s="128">
        <f>IF(C2086&lt;=30,5,IF(C2086&lt;=60,4,IF(C2086&lt;=120,3,IF(C2086&lt;=200,2,1))))</f>
        <v/>
      </c>
      <c r="G2086" s="128">
        <f>IF(D2086&gt;=20,5,IF(D2086&gt;=10,4,IF(D2086&gt;=5,3,IF(D2086&gt;=2,2,1))))</f>
        <v/>
      </c>
      <c r="H2086" s="128">
        <f>IF(E2086&gt;=5000,5,IF(E2086&gt;=2000,4,IF(E2086&gt;=800,3,IF(E2086&gt;=300,2,1))))</f>
        <v/>
      </c>
      <c r="I2086" s="126">
        <f>TEXT(F2086,"0")&amp;TEXT(G2086,"0")&amp;TEXT(H2086,"0")</f>
        <v/>
      </c>
      <c r="J2086" s="126">
        <f>IFERROR(XLOOKUP(I2086,'Segment Map'!A:A,'Segment Map'!B:B,"Need Attention"),"Need Attention")</f>
        <v/>
      </c>
      <c r="K2086" s="126">
        <f>IF(E2086&gt;=5000,"🏆 Platinum",IF(E2086&gt;=2000,"🥇 Gold",IF(E2086&gt;=800,"🥈 Silver","🥉 Bronze")))</f>
        <v/>
      </c>
      <c r="L2086" s="129" t="n">
        <v>40885</v>
      </c>
    </row>
    <row r="2087">
      <c r="A2087" s="122" t="n">
        <v>15192</v>
      </c>
      <c r="B2087" s="122" t="inlineStr">
        <is>
          <t>United Kingdom</t>
        </is>
      </c>
      <c r="C2087" s="122" t="n">
        <v>120</v>
      </c>
      <c r="D2087" s="122" t="n">
        <v>3</v>
      </c>
      <c r="E2087" s="123" t="n">
        <v>1044.32</v>
      </c>
      <c r="F2087" s="124">
        <f>IF(C2087&lt;=30,5,IF(C2087&lt;=60,4,IF(C2087&lt;=120,3,IF(C2087&lt;=200,2,1))))</f>
        <v/>
      </c>
      <c r="G2087" s="124">
        <f>IF(D2087&gt;=20,5,IF(D2087&gt;=10,4,IF(D2087&gt;=5,3,IF(D2087&gt;=2,2,1))))</f>
        <v/>
      </c>
      <c r="H2087" s="124">
        <f>IF(E2087&gt;=5000,5,IF(E2087&gt;=2000,4,IF(E2087&gt;=800,3,IF(E2087&gt;=300,2,1))))</f>
        <v/>
      </c>
      <c r="I2087" s="122">
        <f>TEXT(F2087,"0")&amp;TEXT(G2087,"0")&amp;TEXT(H2087,"0")</f>
        <v/>
      </c>
      <c r="J2087" s="122">
        <f>IFERROR(XLOOKUP(I2087,'Segment Map'!A:A,'Segment Map'!B:B,"Need Attention"),"Need Attention")</f>
        <v/>
      </c>
      <c r="K2087" s="122">
        <f>IF(E2087&gt;=5000,"🏆 Platinum",IF(E2087&gt;=2000,"🥇 Gold",IF(E2087&gt;=800,"🥈 Silver","🥉 Bronze")))</f>
        <v/>
      </c>
      <c r="L2087" s="125" t="n">
        <v>40767</v>
      </c>
    </row>
    <row r="2088">
      <c r="A2088" s="126" t="n">
        <v>15193</v>
      </c>
      <c r="B2088" s="126" t="inlineStr">
        <is>
          <t>United Kingdom</t>
        </is>
      </c>
      <c r="C2088" s="126" t="n">
        <v>61</v>
      </c>
      <c r="D2088" s="126" t="n">
        <v>1</v>
      </c>
      <c r="E2088" s="127" t="n">
        <v>499.32</v>
      </c>
      <c r="F2088" s="128">
        <f>IF(C2088&lt;=30,5,IF(C2088&lt;=60,4,IF(C2088&lt;=120,3,IF(C2088&lt;=200,2,1))))</f>
        <v/>
      </c>
      <c r="G2088" s="128">
        <f>IF(D2088&gt;=20,5,IF(D2088&gt;=10,4,IF(D2088&gt;=5,3,IF(D2088&gt;=2,2,1))))</f>
        <v/>
      </c>
      <c r="H2088" s="128">
        <f>IF(E2088&gt;=5000,5,IF(E2088&gt;=2000,4,IF(E2088&gt;=800,3,IF(E2088&gt;=300,2,1))))</f>
        <v/>
      </c>
      <c r="I2088" s="126">
        <f>TEXT(F2088,"0")&amp;TEXT(G2088,"0")&amp;TEXT(H2088,"0")</f>
        <v/>
      </c>
      <c r="J2088" s="126">
        <f>IFERROR(XLOOKUP(I2088,'Segment Map'!A:A,'Segment Map'!B:B,"Need Attention"),"Need Attention")</f>
        <v/>
      </c>
      <c r="K2088" s="126">
        <f>IF(E2088&gt;=5000,"🏆 Platinum",IF(E2088&gt;=2000,"🥇 Gold",IF(E2088&gt;=800,"🥈 Silver","🥉 Bronze")))</f>
        <v/>
      </c>
      <c r="L2088" s="129" t="n">
        <v>40826</v>
      </c>
    </row>
    <row r="2089">
      <c r="A2089" s="122" t="n">
        <v>15194</v>
      </c>
      <c r="B2089" s="122" t="inlineStr">
        <is>
          <t>United Kingdom</t>
        </is>
      </c>
      <c r="C2089" s="122" t="n">
        <v>4</v>
      </c>
      <c r="D2089" s="122" t="n">
        <v>15</v>
      </c>
      <c r="E2089" s="123" t="n">
        <v>7616.53</v>
      </c>
      <c r="F2089" s="124">
        <f>IF(C2089&lt;=30,5,IF(C2089&lt;=60,4,IF(C2089&lt;=120,3,IF(C2089&lt;=200,2,1))))</f>
        <v/>
      </c>
      <c r="G2089" s="124">
        <f>IF(D2089&gt;=20,5,IF(D2089&gt;=10,4,IF(D2089&gt;=5,3,IF(D2089&gt;=2,2,1))))</f>
        <v/>
      </c>
      <c r="H2089" s="124">
        <f>IF(E2089&gt;=5000,5,IF(E2089&gt;=2000,4,IF(E2089&gt;=800,3,IF(E2089&gt;=300,2,1))))</f>
        <v/>
      </c>
      <c r="I2089" s="122">
        <f>TEXT(F2089,"0")&amp;TEXT(G2089,"0")&amp;TEXT(H2089,"0")</f>
        <v/>
      </c>
      <c r="J2089" s="122">
        <f>IFERROR(XLOOKUP(I2089,'Segment Map'!A:A,'Segment Map'!B:B,"Need Attention"),"Need Attention")</f>
        <v/>
      </c>
      <c r="K2089" s="122">
        <f>IF(E2089&gt;=5000,"🏆 Platinum",IF(E2089&gt;=2000,"🥇 Gold",IF(E2089&gt;=800,"🥈 Silver","🥉 Bronze")))</f>
        <v/>
      </c>
      <c r="L2089" s="125" t="n">
        <v>40883</v>
      </c>
    </row>
    <row r="2090">
      <c r="A2090" s="126" t="n">
        <v>15195</v>
      </c>
      <c r="B2090" s="126" t="inlineStr">
        <is>
          <t>United Kingdom</t>
        </is>
      </c>
      <c r="C2090" s="126" t="n">
        <v>3</v>
      </c>
      <c r="D2090" s="126" t="n">
        <v>1</v>
      </c>
      <c r="E2090" s="127" t="n">
        <v>3861</v>
      </c>
      <c r="F2090" s="128">
        <f>IF(C2090&lt;=30,5,IF(C2090&lt;=60,4,IF(C2090&lt;=120,3,IF(C2090&lt;=200,2,1))))</f>
        <v/>
      </c>
      <c r="G2090" s="128">
        <f>IF(D2090&gt;=20,5,IF(D2090&gt;=10,4,IF(D2090&gt;=5,3,IF(D2090&gt;=2,2,1))))</f>
        <v/>
      </c>
      <c r="H2090" s="128">
        <f>IF(E2090&gt;=5000,5,IF(E2090&gt;=2000,4,IF(E2090&gt;=800,3,IF(E2090&gt;=300,2,1))))</f>
        <v/>
      </c>
      <c r="I2090" s="126">
        <f>TEXT(F2090,"0")&amp;TEXT(G2090,"0")&amp;TEXT(H2090,"0")</f>
        <v/>
      </c>
      <c r="J2090" s="126">
        <f>IFERROR(XLOOKUP(I2090,'Segment Map'!A:A,'Segment Map'!B:B,"Need Attention"),"Need Attention")</f>
        <v/>
      </c>
      <c r="K2090" s="126">
        <f>IF(E2090&gt;=5000,"🏆 Platinum",IF(E2090&gt;=2000,"🥇 Gold",IF(E2090&gt;=800,"🥈 Silver","🥉 Bronze")))</f>
        <v/>
      </c>
      <c r="L2090" s="129" t="n">
        <v>40884</v>
      </c>
    </row>
    <row r="2091">
      <c r="A2091" s="122" t="n">
        <v>15197</v>
      </c>
      <c r="B2091" s="122" t="inlineStr">
        <is>
          <t>United Kingdom</t>
        </is>
      </c>
      <c r="C2091" s="122" t="n">
        <v>11</v>
      </c>
      <c r="D2091" s="122" t="n">
        <v>3</v>
      </c>
      <c r="E2091" s="123" t="n">
        <v>1079.61</v>
      </c>
      <c r="F2091" s="124">
        <f>IF(C2091&lt;=30,5,IF(C2091&lt;=60,4,IF(C2091&lt;=120,3,IF(C2091&lt;=200,2,1))))</f>
        <v/>
      </c>
      <c r="G2091" s="124">
        <f>IF(D2091&gt;=20,5,IF(D2091&gt;=10,4,IF(D2091&gt;=5,3,IF(D2091&gt;=2,2,1))))</f>
        <v/>
      </c>
      <c r="H2091" s="124">
        <f>IF(E2091&gt;=5000,5,IF(E2091&gt;=2000,4,IF(E2091&gt;=800,3,IF(E2091&gt;=300,2,1))))</f>
        <v/>
      </c>
      <c r="I2091" s="122">
        <f>TEXT(F2091,"0")&amp;TEXT(G2091,"0")&amp;TEXT(H2091,"0")</f>
        <v/>
      </c>
      <c r="J2091" s="122">
        <f>IFERROR(XLOOKUP(I2091,'Segment Map'!A:A,'Segment Map'!B:B,"Need Attention"),"Need Attention")</f>
        <v/>
      </c>
      <c r="K2091" s="122">
        <f>IF(E2091&gt;=5000,"🏆 Platinum",IF(E2091&gt;=2000,"🥇 Gold",IF(E2091&gt;=800,"🥈 Silver","🥉 Bronze")))</f>
        <v/>
      </c>
      <c r="L2091" s="125" t="n">
        <v>40876</v>
      </c>
    </row>
    <row r="2092">
      <c r="A2092" s="126" t="n">
        <v>15198</v>
      </c>
      <c r="B2092" s="126" t="inlineStr">
        <is>
          <t>United Kingdom</t>
        </is>
      </c>
      <c r="C2092" s="126" t="n">
        <v>93</v>
      </c>
      <c r="D2092" s="126" t="n">
        <v>2</v>
      </c>
      <c r="E2092" s="127" t="n">
        <v>193.64</v>
      </c>
      <c r="F2092" s="128">
        <f>IF(C2092&lt;=30,5,IF(C2092&lt;=60,4,IF(C2092&lt;=120,3,IF(C2092&lt;=200,2,1))))</f>
        <v/>
      </c>
      <c r="G2092" s="128">
        <f>IF(D2092&gt;=20,5,IF(D2092&gt;=10,4,IF(D2092&gt;=5,3,IF(D2092&gt;=2,2,1))))</f>
        <v/>
      </c>
      <c r="H2092" s="128">
        <f>IF(E2092&gt;=5000,5,IF(E2092&gt;=2000,4,IF(E2092&gt;=800,3,IF(E2092&gt;=300,2,1))))</f>
        <v/>
      </c>
      <c r="I2092" s="126">
        <f>TEXT(F2092,"0")&amp;TEXT(G2092,"0")&amp;TEXT(H2092,"0")</f>
        <v/>
      </c>
      <c r="J2092" s="126">
        <f>IFERROR(XLOOKUP(I2092,'Segment Map'!A:A,'Segment Map'!B:B,"Need Attention"),"Need Attention")</f>
        <v/>
      </c>
      <c r="K2092" s="126">
        <f>IF(E2092&gt;=5000,"🏆 Platinum",IF(E2092&gt;=2000,"🥇 Gold",IF(E2092&gt;=800,"🥈 Silver","🥉 Bronze")))</f>
        <v/>
      </c>
      <c r="L2092" s="129" t="n">
        <v>40794</v>
      </c>
    </row>
    <row r="2093">
      <c r="A2093" s="122" t="n">
        <v>15199</v>
      </c>
      <c r="B2093" s="122" t="inlineStr">
        <is>
          <t>United Kingdom</t>
        </is>
      </c>
      <c r="C2093" s="122" t="n">
        <v>60</v>
      </c>
      <c r="D2093" s="122" t="n">
        <v>4</v>
      </c>
      <c r="E2093" s="123" t="n">
        <v>1268.7</v>
      </c>
      <c r="F2093" s="124">
        <f>IF(C2093&lt;=30,5,IF(C2093&lt;=60,4,IF(C2093&lt;=120,3,IF(C2093&lt;=200,2,1))))</f>
        <v/>
      </c>
      <c r="G2093" s="124">
        <f>IF(D2093&gt;=20,5,IF(D2093&gt;=10,4,IF(D2093&gt;=5,3,IF(D2093&gt;=2,2,1))))</f>
        <v/>
      </c>
      <c r="H2093" s="124">
        <f>IF(E2093&gt;=5000,5,IF(E2093&gt;=2000,4,IF(E2093&gt;=800,3,IF(E2093&gt;=300,2,1))))</f>
        <v/>
      </c>
      <c r="I2093" s="122">
        <f>TEXT(F2093,"0")&amp;TEXT(G2093,"0")&amp;TEXT(H2093,"0")</f>
        <v/>
      </c>
      <c r="J2093" s="122">
        <f>IFERROR(XLOOKUP(I2093,'Segment Map'!A:A,'Segment Map'!B:B,"Need Attention"),"Need Attention")</f>
        <v/>
      </c>
      <c r="K2093" s="122">
        <f>IF(E2093&gt;=5000,"🏆 Platinum",IF(E2093&gt;=2000,"🥇 Gold",IF(E2093&gt;=800,"🥈 Silver","🥉 Bronze")))</f>
        <v/>
      </c>
      <c r="L2093" s="125" t="n">
        <v>40827</v>
      </c>
    </row>
    <row r="2094">
      <c r="A2094" s="126" t="n">
        <v>15201</v>
      </c>
      <c r="B2094" s="126" t="inlineStr">
        <is>
          <t>United Kingdom</t>
        </is>
      </c>
      <c r="C2094" s="126" t="n">
        <v>88</v>
      </c>
      <c r="D2094" s="126" t="n">
        <v>5</v>
      </c>
      <c r="E2094" s="127" t="n">
        <v>1236.54</v>
      </c>
      <c r="F2094" s="128">
        <f>IF(C2094&lt;=30,5,IF(C2094&lt;=60,4,IF(C2094&lt;=120,3,IF(C2094&lt;=200,2,1))))</f>
        <v/>
      </c>
      <c r="G2094" s="128">
        <f>IF(D2094&gt;=20,5,IF(D2094&gt;=10,4,IF(D2094&gt;=5,3,IF(D2094&gt;=2,2,1))))</f>
        <v/>
      </c>
      <c r="H2094" s="128">
        <f>IF(E2094&gt;=5000,5,IF(E2094&gt;=2000,4,IF(E2094&gt;=800,3,IF(E2094&gt;=300,2,1))))</f>
        <v/>
      </c>
      <c r="I2094" s="126">
        <f>TEXT(F2094,"0")&amp;TEXT(G2094,"0")&amp;TEXT(H2094,"0")</f>
        <v/>
      </c>
      <c r="J2094" s="126">
        <f>IFERROR(XLOOKUP(I2094,'Segment Map'!A:A,'Segment Map'!B:B,"Need Attention"),"Need Attention")</f>
        <v/>
      </c>
      <c r="K2094" s="126">
        <f>IF(E2094&gt;=5000,"🏆 Platinum",IF(E2094&gt;=2000,"🥇 Gold",IF(E2094&gt;=800,"🥈 Silver","🥉 Bronze")))</f>
        <v/>
      </c>
      <c r="L2094" s="129" t="n">
        <v>40799</v>
      </c>
    </row>
    <row r="2095">
      <c r="A2095" s="122" t="n">
        <v>15203</v>
      </c>
      <c r="B2095" s="122" t="inlineStr">
        <is>
          <t>United Kingdom</t>
        </is>
      </c>
      <c r="C2095" s="122" t="n">
        <v>26</v>
      </c>
      <c r="D2095" s="122" t="n">
        <v>6</v>
      </c>
      <c r="E2095" s="123" t="n">
        <v>1827.8</v>
      </c>
      <c r="F2095" s="124">
        <f>IF(C2095&lt;=30,5,IF(C2095&lt;=60,4,IF(C2095&lt;=120,3,IF(C2095&lt;=200,2,1))))</f>
        <v/>
      </c>
      <c r="G2095" s="124">
        <f>IF(D2095&gt;=20,5,IF(D2095&gt;=10,4,IF(D2095&gt;=5,3,IF(D2095&gt;=2,2,1))))</f>
        <v/>
      </c>
      <c r="H2095" s="124">
        <f>IF(E2095&gt;=5000,5,IF(E2095&gt;=2000,4,IF(E2095&gt;=800,3,IF(E2095&gt;=300,2,1))))</f>
        <v/>
      </c>
      <c r="I2095" s="122">
        <f>TEXT(F2095,"0")&amp;TEXT(G2095,"0")&amp;TEXT(H2095,"0")</f>
        <v/>
      </c>
      <c r="J2095" s="122">
        <f>IFERROR(XLOOKUP(I2095,'Segment Map'!A:A,'Segment Map'!B:B,"Need Attention"),"Need Attention")</f>
        <v/>
      </c>
      <c r="K2095" s="122">
        <f>IF(E2095&gt;=5000,"🏆 Platinum",IF(E2095&gt;=2000,"🥇 Gold",IF(E2095&gt;=800,"🥈 Silver","🥉 Bronze")))</f>
        <v/>
      </c>
      <c r="L2095" s="125" t="n">
        <v>40861</v>
      </c>
    </row>
    <row r="2096">
      <c r="A2096" s="126" t="n">
        <v>15204</v>
      </c>
      <c r="B2096" s="126" t="inlineStr">
        <is>
          <t>United Kingdom</t>
        </is>
      </c>
      <c r="C2096" s="126" t="n">
        <v>358</v>
      </c>
      <c r="D2096" s="126" t="n">
        <v>1</v>
      </c>
      <c r="E2096" s="127" t="n">
        <v>316.58</v>
      </c>
      <c r="F2096" s="128">
        <f>IF(C2096&lt;=30,5,IF(C2096&lt;=60,4,IF(C2096&lt;=120,3,IF(C2096&lt;=200,2,1))))</f>
        <v/>
      </c>
      <c r="G2096" s="128">
        <f>IF(D2096&gt;=20,5,IF(D2096&gt;=10,4,IF(D2096&gt;=5,3,IF(D2096&gt;=2,2,1))))</f>
        <v/>
      </c>
      <c r="H2096" s="128">
        <f>IF(E2096&gt;=5000,5,IF(E2096&gt;=2000,4,IF(E2096&gt;=800,3,IF(E2096&gt;=300,2,1))))</f>
        <v/>
      </c>
      <c r="I2096" s="126">
        <f>TEXT(F2096,"0")&amp;TEXT(G2096,"0")&amp;TEXT(H2096,"0")</f>
        <v/>
      </c>
      <c r="J2096" s="126">
        <f>IFERROR(XLOOKUP(I2096,'Segment Map'!A:A,'Segment Map'!B:B,"Need Attention"),"Need Attention")</f>
        <v/>
      </c>
      <c r="K2096" s="126">
        <f>IF(E2096&gt;=5000,"🏆 Platinum",IF(E2096&gt;=2000,"🥇 Gold",IF(E2096&gt;=800,"🥈 Silver","🥉 Bronze")))</f>
        <v/>
      </c>
      <c r="L2096" s="129" t="n">
        <v>40529</v>
      </c>
    </row>
    <row r="2097">
      <c r="A2097" s="122" t="n">
        <v>15205</v>
      </c>
      <c r="B2097" s="122" t="inlineStr">
        <is>
          <t>United Kingdom</t>
        </is>
      </c>
      <c r="C2097" s="122" t="n">
        <v>86</v>
      </c>
      <c r="D2097" s="122" t="n">
        <v>2</v>
      </c>
      <c r="E2097" s="123" t="n">
        <v>653.24</v>
      </c>
      <c r="F2097" s="124">
        <f>IF(C2097&lt;=30,5,IF(C2097&lt;=60,4,IF(C2097&lt;=120,3,IF(C2097&lt;=200,2,1))))</f>
        <v/>
      </c>
      <c r="G2097" s="124">
        <f>IF(D2097&gt;=20,5,IF(D2097&gt;=10,4,IF(D2097&gt;=5,3,IF(D2097&gt;=2,2,1))))</f>
        <v/>
      </c>
      <c r="H2097" s="124">
        <f>IF(E2097&gt;=5000,5,IF(E2097&gt;=2000,4,IF(E2097&gt;=800,3,IF(E2097&gt;=300,2,1))))</f>
        <v/>
      </c>
      <c r="I2097" s="122">
        <f>TEXT(F2097,"0")&amp;TEXT(G2097,"0")&amp;TEXT(H2097,"0")</f>
        <v/>
      </c>
      <c r="J2097" s="122">
        <f>IFERROR(XLOOKUP(I2097,'Segment Map'!A:A,'Segment Map'!B:B,"Need Attention"),"Need Attention")</f>
        <v/>
      </c>
      <c r="K2097" s="122">
        <f>IF(E2097&gt;=5000,"🏆 Platinum",IF(E2097&gt;=2000,"🥇 Gold",IF(E2097&gt;=800,"🥈 Silver","🥉 Bronze")))</f>
        <v/>
      </c>
      <c r="L2097" s="125" t="n">
        <v>40801</v>
      </c>
    </row>
    <row r="2098">
      <c r="A2098" s="126" t="n">
        <v>15206</v>
      </c>
      <c r="B2098" s="126" t="inlineStr">
        <is>
          <t>United Kingdom</t>
        </is>
      </c>
      <c r="C2098" s="126" t="n">
        <v>11</v>
      </c>
      <c r="D2098" s="126" t="n">
        <v>4</v>
      </c>
      <c r="E2098" s="127" t="n">
        <v>420.3</v>
      </c>
      <c r="F2098" s="128">
        <f>IF(C2098&lt;=30,5,IF(C2098&lt;=60,4,IF(C2098&lt;=120,3,IF(C2098&lt;=200,2,1))))</f>
        <v/>
      </c>
      <c r="G2098" s="128">
        <f>IF(D2098&gt;=20,5,IF(D2098&gt;=10,4,IF(D2098&gt;=5,3,IF(D2098&gt;=2,2,1))))</f>
        <v/>
      </c>
      <c r="H2098" s="128">
        <f>IF(E2098&gt;=5000,5,IF(E2098&gt;=2000,4,IF(E2098&gt;=800,3,IF(E2098&gt;=300,2,1))))</f>
        <v/>
      </c>
      <c r="I2098" s="126">
        <f>TEXT(F2098,"0")&amp;TEXT(G2098,"0")&amp;TEXT(H2098,"0")</f>
        <v/>
      </c>
      <c r="J2098" s="126">
        <f>IFERROR(XLOOKUP(I2098,'Segment Map'!A:A,'Segment Map'!B:B,"Need Attention"),"Need Attention")</f>
        <v/>
      </c>
      <c r="K2098" s="126">
        <f>IF(E2098&gt;=5000,"🏆 Platinum",IF(E2098&gt;=2000,"🥇 Gold",IF(E2098&gt;=800,"🥈 Silver","🥉 Bronze")))</f>
        <v/>
      </c>
      <c r="L2098" s="129" t="n">
        <v>40876</v>
      </c>
    </row>
    <row r="2099">
      <c r="A2099" s="122" t="n">
        <v>15208</v>
      </c>
      <c r="B2099" s="122" t="inlineStr">
        <is>
          <t>United Kingdom</t>
        </is>
      </c>
      <c r="C2099" s="122" t="n">
        <v>2</v>
      </c>
      <c r="D2099" s="122" t="n">
        <v>5</v>
      </c>
      <c r="E2099" s="123" t="n">
        <v>870.12</v>
      </c>
      <c r="F2099" s="124">
        <f>IF(C2099&lt;=30,5,IF(C2099&lt;=60,4,IF(C2099&lt;=120,3,IF(C2099&lt;=200,2,1))))</f>
        <v/>
      </c>
      <c r="G2099" s="124">
        <f>IF(D2099&gt;=20,5,IF(D2099&gt;=10,4,IF(D2099&gt;=5,3,IF(D2099&gt;=2,2,1))))</f>
        <v/>
      </c>
      <c r="H2099" s="124">
        <f>IF(E2099&gt;=5000,5,IF(E2099&gt;=2000,4,IF(E2099&gt;=800,3,IF(E2099&gt;=300,2,1))))</f>
        <v/>
      </c>
      <c r="I2099" s="122">
        <f>TEXT(F2099,"0")&amp;TEXT(G2099,"0")&amp;TEXT(H2099,"0")</f>
        <v/>
      </c>
      <c r="J2099" s="122">
        <f>IFERROR(XLOOKUP(I2099,'Segment Map'!A:A,'Segment Map'!B:B,"Need Attention"),"Need Attention")</f>
        <v/>
      </c>
      <c r="K2099" s="122">
        <f>IF(E2099&gt;=5000,"🏆 Platinum",IF(E2099&gt;=2000,"🥇 Gold",IF(E2099&gt;=800,"🥈 Silver","🥉 Bronze")))</f>
        <v/>
      </c>
      <c r="L2099" s="125" t="n">
        <v>40885</v>
      </c>
    </row>
    <row r="2100">
      <c r="A2100" s="126" t="n">
        <v>15210</v>
      </c>
      <c r="B2100" s="126" t="inlineStr">
        <is>
          <t>United Kingdom</t>
        </is>
      </c>
      <c r="C2100" s="126" t="n">
        <v>226</v>
      </c>
      <c r="D2100" s="126" t="n">
        <v>1</v>
      </c>
      <c r="E2100" s="127" t="n">
        <v>331.18</v>
      </c>
      <c r="F2100" s="128">
        <f>IF(C2100&lt;=30,5,IF(C2100&lt;=60,4,IF(C2100&lt;=120,3,IF(C2100&lt;=200,2,1))))</f>
        <v/>
      </c>
      <c r="G2100" s="128">
        <f>IF(D2100&gt;=20,5,IF(D2100&gt;=10,4,IF(D2100&gt;=5,3,IF(D2100&gt;=2,2,1))))</f>
        <v/>
      </c>
      <c r="H2100" s="128">
        <f>IF(E2100&gt;=5000,5,IF(E2100&gt;=2000,4,IF(E2100&gt;=800,3,IF(E2100&gt;=300,2,1))))</f>
        <v/>
      </c>
      <c r="I2100" s="126">
        <f>TEXT(F2100,"0")&amp;TEXT(G2100,"0")&amp;TEXT(H2100,"0")</f>
        <v/>
      </c>
      <c r="J2100" s="126">
        <f>IFERROR(XLOOKUP(I2100,'Segment Map'!A:A,'Segment Map'!B:B,"Need Attention"),"Need Attention")</f>
        <v/>
      </c>
      <c r="K2100" s="126">
        <f>IF(E2100&gt;=5000,"🏆 Platinum",IF(E2100&gt;=2000,"🥇 Gold",IF(E2100&gt;=800,"🥈 Silver","🥉 Bronze")))</f>
        <v/>
      </c>
      <c r="L2100" s="129" t="n">
        <v>40661</v>
      </c>
    </row>
    <row r="2101">
      <c r="A2101" s="122" t="n">
        <v>15211</v>
      </c>
      <c r="B2101" s="122" t="inlineStr">
        <is>
          <t>United Kingdom</t>
        </is>
      </c>
      <c r="C2101" s="122" t="n">
        <v>61</v>
      </c>
      <c r="D2101" s="122" t="n">
        <v>2</v>
      </c>
      <c r="E2101" s="123" t="n">
        <v>894.41</v>
      </c>
      <c r="F2101" s="124">
        <f>IF(C2101&lt;=30,5,IF(C2101&lt;=60,4,IF(C2101&lt;=120,3,IF(C2101&lt;=200,2,1))))</f>
        <v/>
      </c>
      <c r="G2101" s="124">
        <f>IF(D2101&gt;=20,5,IF(D2101&gt;=10,4,IF(D2101&gt;=5,3,IF(D2101&gt;=2,2,1))))</f>
        <v/>
      </c>
      <c r="H2101" s="124">
        <f>IF(E2101&gt;=5000,5,IF(E2101&gt;=2000,4,IF(E2101&gt;=800,3,IF(E2101&gt;=300,2,1))))</f>
        <v/>
      </c>
      <c r="I2101" s="122">
        <f>TEXT(F2101,"0")&amp;TEXT(G2101,"0")&amp;TEXT(H2101,"0")</f>
        <v/>
      </c>
      <c r="J2101" s="122">
        <f>IFERROR(XLOOKUP(I2101,'Segment Map'!A:A,'Segment Map'!B:B,"Need Attention"),"Need Attention")</f>
        <v/>
      </c>
      <c r="K2101" s="122">
        <f>IF(E2101&gt;=5000,"🏆 Platinum",IF(E2101&gt;=2000,"🥇 Gold",IF(E2101&gt;=800,"🥈 Silver","🥉 Bronze")))</f>
        <v/>
      </c>
      <c r="L2101" s="125" t="n">
        <v>40826</v>
      </c>
    </row>
    <row r="2102">
      <c r="A2102" s="126" t="n">
        <v>15212</v>
      </c>
      <c r="B2102" s="126" t="inlineStr">
        <is>
          <t>United Kingdom</t>
        </is>
      </c>
      <c r="C2102" s="126" t="n">
        <v>242</v>
      </c>
      <c r="D2102" s="126" t="n">
        <v>1</v>
      </c>
      <c r="E2102" s="127" t="n">
        <v>101.8</v>
      </c>
      <c r="F2102" s="128">
        <f>IF(C2102&lt;=30,5,IF(C2102&lt;=60,4,IF(C2102&lt;=120,3,IF(C2102&lt;=200,2,1))))</f>
        <v/>
      </c>
      <c r="G2102" s="128">
        <f>IF(D2102&gt;=20,5,IF(D2102&gt;=10,4,IF(D2102&gt;=5,3,IF(D2102&gt;=2,2,1))))</f>
        <v/>
      </c>
      <c r="H2102" s="128">
        <f>IF(E2102&gt;=5000,5,IF(E2102&gt;=2000,4,IF(E2102&gt;=800,3,IF(E2102&gt;=300,2,1))))</f>
        <v/>
      </c>
      <c r="I2102" s="126">
        <f>TEXT(F2102,"0")&amp;TEXT(G2102,"0")&amp;TEXT(H2102,"0")</f>
        <v/>
      </c>
      <c r="J2102" s="126">
        <f>IFERROR(XLOOKUP(I2102,'Segment Map'!A:A,'Segment Map'!B:B,"Need Attention"),"Need Attention")</f>
        <v/>
      </c>
      <c r="K2102" s="126">
        <f>IF(E2102&gt;=5000,"🏆 Platinum",IF(E2102&gt;=2000,"🥇 Gold",IF(E2102&gt;=800,"🥈 Silver","🥉 Bronze")))</f>
        <v/>
      </c>
      <c r="L2102" s="129" t="n">
        <v>40645</v>
      </c>
    </row>
    <row r="2103">
      <c r="A2103" s="122" t="n">
        <v>15213</v>
      </c>
      <c r="B2103" s="122" t="inlineStr">
        <is>
          <t>United Kingdom</t>
        </is>
      </c>
      <c r="C2103" s="122" t="n">
        <v>319</v>
      </c>
      <c r="D2103" s="122" t="n">
        <v>2</v>
      </c>
      <c r="E2103" s="123" t="n">
        <v>328.35</v>
      </c>
      <c r="F2103" s="124">
        <f>IF(C2103&lt;=30,5,IF(C2103&lt;=60,4,IF(C2103&lt;=120,3,IF(C2103&lt;=200,2,1))))</f>
        <v/>
      </c>
      <c r="G2103" s="124">
        <f>IF(D2103&gt;=20,5,IF(D2103&gt;=10,4,IF(D2103&gt;=5,3,IF(D2103&gt;=2,2,1))))</f>
        <v/>
      </c>
      <c r="H2103" s="124">
        <f>IF(E2103&gt;=5000,5,IF(E2103&gt;=2000,4,IF(E2103&gt;=800,3,IF(E2103&gt;=300,2,1))))</f>
        <v/>
      </c>
      <c r="I2103" s="122">
        <f>TEXT(F2103,"0")&amp;TEXT(G2103,"0")&amp;TEXT(H2103,"0")</f>
        <v/>
      </c>
      <c r="J2103" s="122">
        <f>IFERROR(XLOOKUP(I2103,'Segment Map'!A:A,'Segment Map'!B:B,"Need Attention"),"Need Attention")</f>
        <v/>
      </c>
      <c r="K2103" s="122">
        <f>IF(E2103&gt;=5000,"🏆 Platinum",IF(E2103&gt;=2000,"🥇 Gold",IF(E2103&gt;=800,"🥈 Silver","🥉 Bronze")))</f>
        <v/>
      </c>
      <c r="L2103" s="125" t="n">
        <v>40568</v>
      </c>
    </row>
    <row r="2104">
      <c r="A2104" s="126" t="n">
        <v>15214</v>
      </c>
      <c r="B2104" s="126" t="inlineStr">
        <is>
          <t>United Kingdom</t>
        </is>
      </c>
      <c r="C2104" s="126" t="n">
        <v>2</v>
      </c>
      <c r="D2104" s="126" t="n">
        <v>8</v>
      </c>
      <c r="E2104" s="127" t="n">
        <v>1661.44</v>
      </c>
      <c r="F2104" s="128">
        <f>IF(C2104&lt;=30,5,IF(C2104&lt;=60,4,IF(C2104&lt;=120,3,IF(C2104&lt;=200,2,1))))</f>
        <v/>
      </c>
      <c r="G2104" s="128">
        <f>IF(D2104&gt;=20,5,IF(D2104&gt;=10,4,IF(D2104&gt;=5,3,IF(D2104&gt;=2,2,1))))</f>
        <v/>
      </c>
      <c r="H2104" s="128">
        <f>IF(E2104&gt;=5000,5,IF(E2104&gt;=2000,4,IF(E2104&gt;=800,3,IF(E2104&gt;=300,2,1))))</f>
        <v/>
      </c>
      <c r="I2104" s="126">
        <f>TEXT(F2104,"0")&amp;TEXT(G2104,"0")&amp;TEXT(H2104,"0")</f>
        <v/>
      </c>
      <c r="J2104" s="126">
        <f>IFERROR(XLOOKUP(I2104,'Segment Map'!A:A,'Segment Map'!B:B,"Need Attention"),"Need Attention")</f>
        <v/>
      </c>
      <c r="K2104" s="126">
        <f>IF(E2104&gt;=5000,"🏆 Platinum",IF(E2104&gt;=2000,"🥇 Gold",IF(E2104&gt;=800,"🥈 Silver","🥉 Bronze")))</f>
        <v/>
      </c>
      <c r="L2104" s="129" t="n">
        <v>40885</v>
      </c>
    </row>
    <row r="2105">
      <c r="A2105" s="122" t="n">
        <v>15215</v>
      </c>
      <c r="B2105" s="122" t="inlineStr">
        <is>
          <t>United Kingdom</t>
        </is>
      </c>
      <c r="C2105" s="122" t="n">
        <v>47</v>
      </c>
      <c r="D2105" s="122" t="n">
        <v>3</v>
      </c>
      <c r="E2105" s="123" t="n">
        <v>734.9400000000001</v>
      </c>
      <c r="F2105" s="124">
        <f>IF(C2105&lt;=30,5,IF(C2105&lt;=60,4,IF(C2105&lt;=120,3,IF(C2105&lt;=200,2,1))))</f>
        <v/>
      </c>
      <c r="G2105" s="124">
        <f>IF(D2105&gt;=20,5,IF(D2105&gt;=10,4,IF(D2105&gt;=5,3,IF(D2105&gt;=2,2,1))))</f>
        <v/>
      </c>
      <c r="H2105" s="124">
        <f>IF(E2105&gt;=5000,5,IF(E2105&gt;=2000,4,IF(E2105&gt;=800,3,IF(E2105&gt;=300,2,1))))</f>
        <v/>
      </c>
      <c r="I2105" s="122">
        <f>TEXT(F2105,"0")&amp;TEXT(G2105,"0")&amp;TEXT(H2105,"0")</f>
        <v/>
      </c>
      <c r="J2105" s="122">
        <f>IFERROR(XLOOKUP(I2105,'Segment Map'!A:A,'Segment Map'!B:B,"Need Attention"),"Need Attention")</f>
        <v/>
      </c>
      <c r="K2105" s="122">
        <f>IF(E2105&gt;=5000,"🏆 Platinum",IF(E2105&gt;=2000,"🥇 Gold",IF(E2105&gt;=800,"🥈 Silver","🥉 Bronze")))</f>
        <v/>
      </c>
      <c r="L2105" s="125" t="n">
        <v>40840</v>
      </c>
    </row>
    <row r="2106">
      <c r="A2106" s="126" t="n">
        <v>15216</v>
      </c>
      <c r="B2106" s="126" t="inlineStr">
        <is>
          <t>United Kingdom</t>
        </is>
      </c>
      <c r="C2106" s="126" t="n">
        <v>88</v>
      </c>
      <c r="D2106" s="126" t="n">
        <v>1</v>
      </c>
      <c r="E2106" s="127" t="n">
        <v>96.59999999999999</v>
      </c>
      <c r="F2106" s="128">
        <f>IF(C2106&lt;=30,5,IF(C2106&lt;=60,4,IF(C2106&lt;=120,3,IF(C2106&lt;=200,2,1))))</f>
        <v/>
      </c>
      <c r="G2106" s="128">
        <f>IF(D2106&gt;=20,5,IF(D2106&gt;=10,4,IF(D2106&gt;=5,3,IF(D2106&gt;=2,2,1))))</f>
        <v/>
      </c>
      <c r="H2106" s="128">
        <f>IF(E2106&gt;=5000,5,IF(E2106&gt;=2000,4,IF(E2106&gt;=800,3,IF(E2106&gt;=300,2,1))))</f>
        <v/>
      </c>
      <c r="I2106" s="126">
        <f>TEXT(F2106,"0")&amp;TEXT(G2106,"0")&amp;TEXT(H2106,"0")</f>
        <v/>
      </c>
      <c r="J2106" s="126">
        <f>IFERROR(XLOOKUP(I2106,'Segment Map'!A:A,'Segment Map'!B:B,"Need Attention"),"Need Attention")</f>
        <v/>
      </c>
      <c r="K2106" s="126">
        <f>IF(E2106&gt;=5000,"🏆 Platinum",IF(E2106&gt;=2000,"🥇 Gold",IF(E2106&gt;=800,"🥈 Silver","🥉 Bronze")))</f>
        <v/>
      </c>
      <c r="L2106" s="129" t="n">
        <v>40799</v>
      </c>
    </row>
    <row r="2107">
      <c r="A2107" s="122" t="n">
        <v>15218</v>
      </c>
      <c r="B2107" s="122" t="inlineStr">
        <is>
          <t>United Kingdom</t>
        </is>
      </c>
      <c r="C2107" s="122" t="n">
        <v>11</v>
      </c>
      <c r="D2107" s="122" t="n">
        <v>11</v>
      </c>
      <c r="E2107" s="123" t="n">
        <v>5756.89</v>
      </c>
      <c r="F2107" s="124">
        <f>IF(C2107&lt;=30,5,IF(C2107&lt;=60,4,IF(C2107&lt;=120,3,IF(C2107&lt;=200,2,1))))</f>
        <v/>
      </c>
      <c r="G2107" s="124">
        <f>IF(D2107&gt;=20,5,IF(D2107&gt;=10,4,IF(D2107&gt;=5,3,IF(D2107&gt;=2,2,1))))</f>
        <v/>
      </c>
      <c r="H2107" s="124">
        <f>IF(E2107&gt;=5000,5,IF(E2107&gt;=2000,4,IF(E2107&gt;=800,3,IF(E2107&gt;=300,2,1))))</f>
        <v/>
      </c>
      <c r="I2107" s="122">
        <f>TEXT(F2107,"0")&amp;TEXT(G2107,"0")&amp;TEXT(H2107,"0")</f>
        <v/>
      </c>
      <c r="J2107" s="122">
        <f>IFERROR(XLOOKUP(I2107,'Segment Map'!A:A,'Segment Map'!B:B,"Need Attention"),"Need Attention")</f>
        <v/>
      </c>
      <c r="K2107" s="122">
        <f>IF(E2107&gt;=5000,"🏆 Platinum",IF(E2107&gt;=2000,"🥇 Gold",IF(E2107&gt;=800,"🥈 Silver","🥉 Bronze")))</f>
        <v/>
      </c>
      <c r="L2107" s="125" t="n">
        <v>40876</v>
      </c>
    </row>
    <row r="2108">
      <c r="A2108" s="126" t="n">
        <v>15219</v>
      </c>
      <c r="B2108" s="126" t="inlineStr">
        <is>
          <t>United Kingdom</t>
        </is>
      </c>
      <c r="C2108" s="126" t="n">
        <v>177</v>
      </c>
      <c r="D2108" s="126" t="n">
        <v>1</v>
      </c>
      <c r="E2108" s="127" t="n">
        <v>305.75</v>
      </c>
      <c r="F2108" s="128">
        <f>IF(C2108&lt;=30,5,IF(C2108&lt;=60,4,IF(C2108&lt;=120,3,IF(C2108&lt;=200,2,1))))</f>
        <v/>
      </c>
      <c r="G2108" s="128">
        <f>IF(D2108&gt;=20,5,IF(D2108&gt;=10,4,IF(D2108&gt;=5,3,IF(D2108&gt;=2,2,1))))</f>
        <v/>
      </c>
      <c r="H2108" s="128">
        <f>IF(E2108&gt;=5000,5,IF(E2108&gt;=2000,4,IF(E2108&gt;=800,3,IF(E2108&gt;=300,2,1))))</f>
        <v/>
      </c>
      <c r="I2108" s="126">
        <f>TEXT(F2108,"0")&amp;TEXT(G2108,"0")&amp;TEXT(H2108,"0")</f>
        <v/>
      </c>
      <c r="J2108" s="126">
        <f>IFERROR(XLOOKUP(I2108,'Segment Map'!A:A,'Segment Map'!B:B,"Need Attention"),"Need Attention")</f>
        <v/>
      </c>
      <c r="K2108" s="126">
        <f>IF(E2108&gt;=5000,"🏆 Platinum",IF(E2108&gt;=2000,"🥇 Gold",IF(E2108&gt;=800,"🥈 Silver","🥉 Bronze")))</f>
        <v/>
      </c>
      <c r="L2108" s="129" t="n">
        <v>40710</v>
      </c>
    </row>
    <row r="2109">
      <c r="A2109" s="122" t="n">
        <v>15220</v>
      </c>
      <c r="B2109" s="122" t="inlineStr">
        <is>
          <t>United Kingdom</t>
        </is>
      </c>
      <c r="C2109" s="122" t="n">
        <v>52</v>
      </c>
      <c r="D2109" s="122" t="n">
        <v>6</v>
      </c>
      <c r="E2109" s="123" t="n">
        <v>1778.96</v>
      </c>
      <c r="F2109" s="124">
        <f>IF(C2109&lt;=30,5,IF(C2109&lt;=60,4,IF(C2109&lt;=120,3,IF(C2109&lt;=200,2,1))))</f>
        <v/>
      </c>
      <c r="G2109" s="124">
        <f>IF(D2109&gt;=20,5,IF(D2109&gt;=10,4,IF(D2109&gt;=5,3,IF(D2109&gt;=2,2,1))))</f>
        <v/>
      </c>
      <c r="H2109" s="124">
        <f>IF(E2109&gt;=5000,5,IF(E2109&gt;=2000,4,IF(E2109&gt;=800,3,IF(E2109&gt;=300,2,1))))</f>
        <v/>
      </c>
      <c r="I2109" s="122">
        <f>TEXT(F2109,"0")&amp;TEXT(G2109,"0")&amp;TEXT(H2109,"0")</f>
        <v/>
      </c>
      <c r="J2109" s="122">
        <f>IFERROR(XLOOKUP(I2109,'Segment Map'!A:A,'Segment Map'!B:B,"Need Attention"),"Need Attention")</f>
        <v/>
      </c>
      <c r="K2109" s="122">
        <f>IF(E2109&gt;=5000,"🏆 Platinum",IF(E2109&gt;=2000,"🥇 Gold",IF(E2109&gt;=800,"🥈 Silver","🥉 Bronze")))</f>
        <v/>
      </c>
      <c r="L2109" s="125" t="n">
        <v>40835</v>
      </c>
    </row>
    <row r="2110">
      <c r="A2110" s="126" t="n">
        <v>15221</v>
      </c>
      <c r="B2110" s="126" t="inlineStr">
        <is>
          <t>United Kingdom</t>
        </is>
      </c>
      <c r="C2110" s="126" t="n">
        <v>367</v>
      </c>
      <c r="D2110" s="126" t="n">
        <v>1</v>
      </c>
      <c r="E2110" s="127" t="n">
        <v>403.25</v>
      </c>
      <c r="F2110" s="128">
        <f>IF(C2110&lt;=30,5,IF(C2110&lt;=60,4,IF(C2110&lt;=120,3,IF(C2110&lt;=200,2,1))))</f>
        <v/>
      </c>
      <c r="G2110" s="128">
        <f>IF(D2110&gt;=20,5,IF(D2110&gt;=10,4,IF(D2110&gt;=5,3,IF(D2110&gt;=2,2,1))))</f>
        <v/>
      </c>
      <c r="H2110" s="128">
        <f>IF(E2110&gt;=5000,5,IF(E2110&gt;=2000,4,IF(E2110&gt;=800,3,IF(E2110&gt;=300,2,1))))</f>
        <v/>
      </c>
      <c r="I2110" s="126">
        <f>TEXT(F2110,"0")&amp;TEXT(G2110,"0")&amp;TEXT(H2110,"0")</f>
        <v/>
      </c>
      <c r="J2110" s="126">
        <f>IFERROR(XLOOKUP(I2110,'Segment Map'!A:A,'Segment Map'!B:B,"Need Attention"),"Need Attention")</f>
        <v/>
      </c>
      <c r="K2110" s="126">
        <f>IF(E2110&gt;=5000,"🏆 Platinum",IF(E2110&gt;=2000,"🥇 Gold",IF(E2110&gt;=800,"🥈 Silver","🥉 Bronze")))</f>
        <v/>
      </c>
      <c r="L2110" s="129" t="n">
        <v>40520</v>
      </c>
    </row>
    <row r="2111">
      <c r="A2111" s="122" t="n">
        <v>15222</v>
      </c>
      <c r="B2111" s="122" t="inlineStr">
        <is>
          <t>United Kingdom</t>
        </is>
      </c>
      <c r="C2111" s="122" t="n">
        <v>319</v>
      </c>
      <c r="D2111" s="122" t="n">
        <v>1</v>
      </c>
      <c r="E2111" s="123" t="n">
        <v>585</v>
      </c>
      <c r="F2111" s="124">
        <f>IF(C2111&lt;=30,5,IF(C2111&lt;=60,4,IF(C2111&lt;=120,3,IF(C2111&lt;=200,2,1))))</f>
        <v/>
      </c>
      <c r="G2111" s="124">
        <f>IF(D2111&gt;=20,5,IF(D2111&gt;=10,4,IF(D2111&gt;=5,3,IF(D2111&gt;=2,2,1))))</f>
        <v/>
      </c>
      <c r="H2111" s="124">
        <f>IF(E2111&gt;=5000,5,IF(E2111&gt;=2000,4,IF(E2111&gt;=800,3,IF(E2111&gt;=300,2,1))))</f>
        <v/>
      </c>
      <c r="I2111" s="122">
        <f>TEXT(F2111,"0")&amp;TEXT(G2111,"0")&amp;TEXT(H2111,"0")</f>
        <v/>
      </c>
      <c r="J2111" s="122">
        <f>IFERROR(XLOOKUP(I2111,'Segment Map'!A:A,'Segment Map'!B:B,"Need Attention"),"Need Attention")</f>
        <v/>
      </c>
      <c r="K2111" s="122">
        <f>IF(E2111&gt;=5000,"🏆 Platinum",IF(E2111&gt;=2000,"🥇 Gold",IF(E2111&gt;=800,"🥈 Silver","🥉 Bronze")))</f>
        <v/>
      </c>
      <c r="L2111" s="125" t="n">
        <v>40568</v>
      </c>
    </row>
    <row r="2112">
      <c r="A2112" s="126" t="n">
        <v>15223</v>
      </c>
      <c r="B2112" s="126" t="inlineStr">
        <is>
          <t>United Kingdom</t>
        </is>
      </c>
      <c r="C2112" s="126" t="n">
        <v>226</v>
      </c>
      <c r="D2112" s="126" t="n">
        <v>2</v>
      </c>
      <c r="E2112" s="127" t="n">
        <v>755.75</v>
      </c>
      <c r="F2112" s="128">
        <f>IF(C2112&lt;=30,5,IF(C2112&lt;=60,4,IF(C2112&lt;=120,3,IF(C2112&lt;=200,2,1))))</f>
        <v/>
      </c>
      <c r="G2112" s="128">
        <f>IF(D2112&gt;=20,5,IF(D2112&gt;=10,4,IF(D2112&gt;=5,3,IF(D2112&gt;=2,2,1))))</f>
        <v/>
      </c>
      <c r="H2112" s="128">
        <f>IF(E2112&gt;=5000,5,IF(E2112&gt;=2000,4,IF(E2112&gt;=800,3,IF(E2112&gt;=300,2,1))))</f>
        <v/>
      </c>
      <c r="I2112" s="126">
        <f>TEXT(F2112,"0")&amp;TEXT(G2112,"0")&amp;TEXT(H2112,"0")</f>
        <v/>
      </c>
      <c r="J2112" s="126">
        <f>IFERROR(XLOOKUP(I2112,'Segment Map'!A:A,'Segment Map'!B:B,"Need Attention"),"Need Attention")</f>
        <v/>
      </c>
      <c r="K2112" s="126">
        <f>IF(E2112&gt;=5000,"🏆 Platinum",IF(E2112&gt;=2000,"🥇 Gold",IF(E2112&gt;=800,"🥈 Silver","🥉 Bronze")))</f>
        <v/>
      </c>
      <c r="L2112" s="129" t="n">
        <v>40661</v>
      </c>
    </row>
    <row r="2113">
      <c r="A2113" s="122" t="n">
        <v>15224</v>
      </c>
      <c r="B2113" s="122" t="inlineStr">
        <is>
          <t>United Kingdom</t>
        </is>
      </c>
      <c r="C2113" s="122" t="n">
        <v>359</v>
      </c>
      <c r="D2113" s="122" t="n">
        <v>2</v>
      </c>
      <c r="E2113" s="123" t="n">
        <v>322.08</v>
      </c>
      <c r="F2113" s="124">
        <f>IF(C2113&lt;=30,5,IF(C2113&lt;=60,4,IF(C2113&lt;=120,3,IF(C2113&lt;=200,2,1))))</f>
        <v/>
      </c>
      <c r="G2113" s="124">
        <f>IF(D2113&gt;=20,5,IF(D2113&gt;=10,4,IF(D2113&gt;=5,3,IF(D2113&gt;=2,2,1))))</f>
        <v/>
      </c>
      <c r="H2113" s="124">
        <f>IF(E2113&gt;=5000,5,IF(E2113&gt;=2000,4,IF(E2113&gt;=800,3,IF(E2113&gt;=300,2,1))))</f>
        <v/>
      </c>
      <c r="I2113" s="122">
        <f>TEXT(F2113,"0")&amp;TEXT(G2113,"0")&amp;TEXT(H2113,"0")</f>
        <v/>
      </c>
      <c r="J2113" s="122">
        <f>IFERROR(XLOOKUP(I2113,'Segment Map'!A:A,'Segment Map'!B:B,"Need Attention"),"Need Attention")</f>
        <v/>
      </c>
      <c r="K2113" s="122">
        <f>IF(E2113&gt;=5000,"🏆 Platinum",IF(E2113&gt;=2000,"🥇 Gold",IF(E2113&gt;=800,"🥈 Silver","🥉 Bronze")))</f>
        <v/>
      </c>
      <c r="L2113" s="125" t="n">
        <v>40528</v>
      </c>
    </row>
    <row r="2114">
      <c r="A2114" s="126" t="n">
        <v>15225</v>
      </c>
      <c r="B2114" s="126" t="inlineStr">
        <is>
          <t>United Kingdom</t>
        </is>
      </c>
      <c r="C2114" s="126" t="n">
        <v>235</v>
      </c>
      <c r="D2114" s="126" t="n">
        <v>1</v>
      </c>
      <c r="E2114" s="127" t="n">
        <v>409.4</v>
      </c>
      <c r="F2114" s="128">
        <f>IF(C2114&lt;=30,5,IF(C2114&lt;=60,4,IF(C2114&lt;=120,3,IF(C2114&lt;=200,2,1))))</f>
        <v/>
      </c>
      <c r="G2114" s="128">
        <f>IF(D2114&gt;=20,5,IF(D2114&gt;=10,4,IF(D2114&gt;=5,3,IF(D2114&gt;=2,2,1))))</f>
        <v/>
      </c>
      <c r="H2114" s="128">
        <f>IF(E2114&gt;=5000,5,IF(E2114&gt;=2000,4,IF(E2114&gt;=800,3,IF(E2114&gt;=300,2,1))))</f>
        <v/>
      </c>
      <c r="I2114" s="126">
        <f>TEXT(F2114,"0")&amp;TEXT(G2114,"0")&amp;TEXT(H2114,"0")</f>
        <v/>
      </c>
      <c r="J2114" s="126">
        <f>IFERROR(XLOOKUP(I2114,'Segment Map'!A:A,'Segment Map'!B:B,"Need Attention"),"Need Attention")</f>
        <v/>
      </c>
      <c r="K2114" s="126">
        <f>IF(E2114&gt;=5000,"🏆 Platinum",IF(E2114&gt;=2000,"🥇 Gold",IF(E2114&gt;=800,"🥈 Silver","🥉 Bronze")))</f>
        <v/>
      </c>
      <c r="L2114" s="129" t="n">
        <v>40652</v>
      </c>
    </row>
    <row r="2115">
      <c r="A2115" s="122" t="n">
        <v>15226</v>
      </c>
      <c r="B2115" s="122" t="inlineStr">
        <is>
          <t>United Kingdom</t>
        </is>
      </c>
      <c r="C2115" s="122" t="n">
        <v>311</v>
      </c>
      <c r="D2115" s="122" t="n">
        <v>1</v>
      </c>
      <c r="E2115" s="123" t="n">
        <v>154.41</v>
      </c>
      <c r="F2115" s="124">
        <f>IF(C2115&lt;=30,5,IF(C2115&lt;=60,4,IF(C2115&lt;=120,3,IF(C2115&lt;=200,2,1))))</f>
        <v/>
      </c>
      <c r="G2115" s="124">
        <f>IF(D2115&gt;=20,5,IF(D2115&gt;=10,4,IF(D2115&gt;=5,3,IF(D2115&gt;=2,2,1))))</f>
        <v/>
      </c>
      <c r="H2115" s="124">
        <f>IF(E2115&gt;=5000,5,IF(E2115&gt;=2000,4,IF(E2115&gt;=800,3,IF(E2115&gt;=300,2,1))))</f>
        <v/>
      </c>
      <c r="I2115" s="122">
        <f>TEXT(F2115,"0")&amp;TEXT(G2115,"0")&amp;TEXT(H2115,"0")</f>
        <v/>
      </c>
      <c r="J2115" s="122">
        <f>IFERROR(XLOOKUP(I2115,'Segment Map'!A:A,'Segment Map'!B:B,"Need Attention"),"Need Attention")</f>
        <v/>
      </c>
      <c r="K2115" s="122">
        <f>IF(E2115&gt;=5000,"🏆 Platinum",IF(E2115&gt;=2000,"🥇 Gold",IF(E2115&gt;=800,"🥈 Silver","🥉 Bronze")))</f>
        <v/>
      </c>
      <c r="L2115" s="125" t="n">
        <v>40576</v>
      </c>
    </row>
    <row r="2116">
      <c r="A2116" s="126" t="n">
        <v>15227</v>
      </c>
      <c r="B2116" s="126" t="inlineStr">
        <is>
          <t>United Kingdom</t>
        </is>
      </c>
      <c r="C2116" s="126" t="n">
        <v>37</v>
      </c>
      <c r="D2116" s="126" t="n">
        <v>5</v>
      </c>
      <c r="E2116" s="127" t="n">
        <v>1219.4</v>
      </c>
      <c r="F2116" s="128">
        <f>IF(C2116&lt;=30,5,IF(C2116&lt;=60,4,IF(C2116&lt;=120,3,IF(C2116&lt;=200,2,1))))</f>
        <v/>
      </c>
      <c r="G2116" s="128">
        <f>IF(D2116&gt;=20,5,IF(D2116&gt;=10,4,IF(D2116&gt;=5,3,IF(D2116&gt;=2,2,1))))</f>
        <v/>
      </c>
      <c r="H2116" s="128">
        <f>IF(E2116&gt;=5000,5,IF(E2116&gt;=2000,4,IF(E2116&gt;=800,3,IF(E2116&gt;=300,2,1))))</f>
        <v/>
      </c>
      <c r="I2116" s="126">
        <f>TEXT(F2116,"0")&amp;TEXT(G2116,"0")&amp;TEXT(H2116,"0")</f>
        <v/>
      </c>
      <c r="J2116" s="126">
        <f>IFERROR(XLOOKUP(I2116,'Segment Map'!A:A,'Segment Map'!B:B,"Need Attention"),"Need Attention")</f>
        <v/>
      </c>
      <c r="K2116" s="126">
        <f>IF(E2116&gt;=5000,"🏆 Platinum",IF(E2116&gt;=2000,"🥇 Gold",IF(E2116&gt;=800,"🥈 Silver","🥉 Bronze")))</f>
        <v/>
      </c>
      <c r="L2116" s="129" t="n">
        <v>40850</v>
      </c>
    </row>
    <row r="2117">
      <c r="A2117" s="122" t="n">
        <v>15228</v>
      </c>
      <c r="B2117" s="122" t="inlineStr">
        <is>
          <t>United Kingdom</t>
        </is>
      </c>
      <c r="C2117" s="122" t="n">
        <v>67</v>
      </c>
      <c r="D2117" s="122" t="n">
        <v>4</v>
      </c>
      <c r="E2117" s="123" t="n">
        <v>3386.71</v>
      </c>
      <c r="F2117" s="124">
        <f>IF(C2117&lt;=30,5,IF(C2117&lt;=60,4,IF(C2117&lt;=120,3,IF(C2117&lt;=200,2,1))))</f>
        <v/>
      </c>
      <c r="G2117" s="124">
        <f>IF(D2117&gt;=20,5,IF(D2117&gt;=10,4,IF(D2117&gt;=5,3,IF(D2117&gt;=2,2,1))))</f>
        <v/>
      </c>
      <c r="H2117" s="124">
        <f>IF(E2117&gt;=5000,5,IF(E2117&gt;=2000,4,IF(E2117&gt;=800,3,IF(E2117&gt;=300,2,1))))</f>
        <v/>
      </c>
      <c r="I2117" s="122">
        <f>TEXT(F2117,"0")&amp;TEXT(G2117,"0")&amp;TEXT(H2117,"0")</f>
        <v/>
      </c>
      <c r="J2117" s="122">
        <f>IFERROR(XLOOKUP(I2117,'Segment Map'!A:A,'Segment Map'!B:B,"Need Attention"),"Need Attention")</f>
        <v/>
      </c>
      <c r="K2117" s="122">
        <f>IF(E2117&gt;=5000,"🏆 Platinum",IF(E2117&gt;=2000,"🥇 Gold",IF(E2117&gt;=800,"🥈 Silver","🥉 Bronze")))</f>
        <v/>
      </c>
      <c r="L2117" s="125" t="n">
        <v>40820</v>
      </c>
    </row>
    <row r="2118">
      <c r="A2118" s="126" t="n">
        <v>15230</v>
      </c>
      <c r="B2118" s="126" t="inlineStr">
        <is>
          <t>United Kingdom</t>
        </is>
      </c>
      <c r="C2118" s="126" t="n">
        <v>240</v>
      </c>
      <c r="D2118" s="126" t="n">
        <v>2</v>
      </c>
      <c r="E2118" s="127" t="n">
        <v>429.6</v>
      </c>
      <c r="F2118" s="128">
        <f>IF(C2118&lt;=30,5,IF(C2118&lt;=60,4,IF(C2118&lt;=120,3,IF(C2118&lt;=200,2,1))))</f>
        <v/>
      </c>
      <c r="G2118" s="128">
        <f>IF(D2118&gt;=20,5,IF(D2118&gt;=10,4,IF(D2118&gt;=5,3,IF(D2118&gt;=2,2,1))))</f>
        <v/>
      </c>
      <c r="H2118" s="128">
        <f>IF(E2118&gt;=5000,5,IF(E2118&gt;=2000,4,IF(E2118&gt;=800,3,IF(E2118&gt;=300,2,1))))</f>
        <v/>
      </c>
      <c r="I2118" s="126">
        <f>TEXT(F2118,"0")&amp;TEXT(G2118,"0")&amp;TEXT(H2118,"0")</f>
        <v/>
      </c>
      <c r="J2118" s="126">
        <f>IFERROR(XLOOKUP(I2118,'Segment Map'!A:A,'Segment Map'!B:B,"Need Attention"),"Need Attention")</f>
        <v/>
      </c>
      <c r="K2118" s="126">
        <f>IF(E2118&gt;=5000,"🏆 Platinum",IF(E2118&gt;=2000,"🥇 Gold",IF(E2118&gt;=800,"🥈 Silver","🥉 Bronze")))</f>
        <v/>
      </c>
      <c r="L2118" s="129" t="n">
        <v>40647</v>
      </c>
    </row>
    <row r="2119">
      <c r="A2119" s="122" t="n">
        <v>15232</v>
      </c>
      <c r="B2119" s="122" t="inlineStr">
        <is>
          <t>United Kingdom</t>
        </is>
      </c>
      <c r="C2119" s="122" t="n">
        <v>114</v>
      </c>
      <c r="D2119" s="122" t="n">
        <v>2</v>
      </c>
      <c r="E2119" s="123" t="n">
        <v>612.0599999999999</v>
      </c>
      <c r="F2119" s="124">
        <f>IF(C2119&lt;=30,5,IF(C2119&lt;=60,4,IF(C2119&lt;=120,3,IF(C2119&lt;=200,2,1))))</f>
        <v/>
      </c>
      <c r="G2119" s="124">
        <f>IF(D2119&gt;=20,5,IF(D2119&gt;=10,4,IF(D2119&gt;=5,3,IF(D2119&gt;=2,2,1))))</f>
        <v/>
      </c>
      <c r="H2119" s="124">
        <f>IF(E2119&gt;=5000,5,IF(E2119&gt;=2000,4,IF(E2119&gt;=800,3,IF(E2119&gt;=300,2,1))))</f>
        <v/>
      </c>
      <c r="I2119" s="122">
        <f>TEXT(F2119,"0")&amp;TEXT(G2119,"0")&amp;TEXT(H2119,"0")</f>
        <v/>
      </c>
      <c r="J2119" s="122">
        <f>IFERROR(XLOOKUP(I2119,'Segment Map'!A:A,'Segment Map'!B:B,"Need Attention"),"Need Attention")</f>
        <v/>
      </c>
      <c r="K2119" s="122">
        <f>IF(E2119&gt;=5000,"🏆 Platinum",IF(E2119&gt;=2000,"🥇 Gold",IF(E2119&gt;=800,"🥈 Silver","🥉 Bronze")))</f>
        <v/>
      </c>
      <c r="L2119" s="125" t="n">
        <v>40773</v>
      </c>
    </row>
    <row r="2120">
      <c r="A2120" s="126" t="n">
        <v>15234</v>
      </c>
      <c r="B2120" s="126" t="inlineStr">
        <is>
          <t>United Kingdom</t>
        </is>
      </c>
      <c r="C2120" s="126" t="n">
        <v>277</v>
      </c>
      <c r="D2120" s="126" t="n">
        <v>1</v>
      </c>
      <c r="E2120" s="127" t="n">
        <v>197</v>
      </c>
      <c r="F2120" s="128">
        <f>IF(C2120&lt;=30,5,IF(C2120&lt;=60,4,IF(C2120&lt;=120,3,IF(C2120&lt;=200,2,1))))</f>
        <v/>
      </c>
      <c r="G2120" s="128">
        <f>IF(D2120&gt;=20,5,IF(D2120&gt;=10,4,IF(D2120&gt;=5,3,IF(D2120&gt;=2,2,1))))</f>
        <v/>
      </c>
      <c r="H2120" s="128">
        <f>IF(E2120&gt;=5000,5,IF(E2120&gt;=2000,4,IF(E2120&gt;=800,3,IF(E2120&gt;=300,2,1))))</f>
        <v/>
      </c>
      <c r="I2120" s="126">
        <f>TEXT(F2120,"0")&amp;TEXT(G2120,"0")&amp;TEXT(H2120,"0")</f>
        <v/>
      </c>
      <c r="J2120" s="126">
        <f>IFERROR(XLOOKUP(I2120,'Segment Map'!A:A,'Segment Map'!B:B,"Need Attention"),"Need Attention")</f>
        <v/>
      </c>
      <c r="K2120" s="126">
        <f>IF(E2120&gt;=5000,"🏆 Platinum",IF(E2120&gt;=2000,"🥇 Gold",IF(E2120&gt;=800,"🥈 Silver","🥉 Bronze")))</f>
        <v/>
      </c>
      <c r="L2120" s="129" t="n">
        <v>40610</v>
      </c>
    </row>
    <row r="2121">
      <c r="A2121" s="122" t="n">
        <v>15235</v>
      </c>
      <c r="B2121" s="122" t="inlineStr">
        <is>
          <t>United Kingdom</t>
        </is>
      </c>
      <c r="C2121" s="122" t="n">
        <v>218</v>
      </c>
      <c r="D2121" s="122" t="n">
        <v>12</v>
      </c>
      <c r="E2121" s="123" t="n">
        <v>2247.51</v>
      </c>
      <c r="F2121" s="124">
        <f>IF(C2121&lt;=30,5,IF(C2121&lt;=60,4,IF(C2121&lt;=120,3,IF(C2121&lt;=200,2,1))))</f>
        <v/>
      </c>
      <c r="G2121" s="124">
        <f>IF(D2121&gt;=20,5,IF(D2121&gt;=10,4,IF(D2121&gt;=5,3,IF(D2121&gt;=2,2,1))))</f>
        <v/>
      </c>
      <c r="H2121" s="124">
        <f>IF(E2121&gt;=5000,5,IF(E2121&gt;=2000,4,IF(E2121&gt;=800,3,IF(E2121&gt;=300,2,1))))</f>
        <v/>
      </c>
      <c r="I2121" s="122">
        <f>TEXT(F2121,"0")&amp;TEXT(G2121,"0")&amp;TEXT(H2121,"0")</f>
        <v/>
      </c>
      <c r="J2121" s="122">
        <f>IFERROR(XLOOKUP(I2121,'Segment Map'!A:A,'Segment Map'!B:B,"Need Attention"),"Need Attention")</f>
        <v/>
      </c>
      <c r="K2121" s="122">
        <f>IF(E2121&gt;=5000,"🏆 Platinum",IF(E2121&gt;=2000,"🥇 Gold",IF(E2121&gt;=800,"🥈 Silver","🥉 Bronze")))</f>
        <v/>
      </c>
      <c r="L2121" s="125" t="n">
        <v>40669</v>
      </c>
    </row>
    <row r="2122">
      <c r="A2122" s="126" t="n">
        <v>15236</v>
      </c>
      <c r="B2122" s="126" t="inlineStr">
        <is>
          <t>United Kingdom</t>
        </is>
      </c>
      <c r="C2122" s="126" t="n">
        <v>299</v>
      </c>
      <c r="D2122" s="126" t="n">
        <v>1</v>
      </c>
      <c r="E2122" s="127" t="n">
        <v>321.05</v>
      </c>
      <c r="F2122" s="128">
        <f>IF(C2122&lt;=30,5,IF(C2122&lt;=60,4,IF(C2122&lt;=120,3,IF(C2122&lt;=200,2,1))))</f>
        <v/>
      </c>
      <c r="G2122" s="128">
        <f>IF(D2122&gt;=20,5,IF(D2122&gt;=10,4,IF(D2122&gt;=5,3,IF(D2122&gt;=2,2,1))))</f>
        <v/>
      </c>
      <c r="H2122" s="128">
        <f>IF(E2122&gt;=5000,5,IF(E2122&gt;=2000,4,IF(E2122&gt;=800,3,IF(E2122&gt;=300,2,1))))</f>
        <v/>
      </c>
      <c r="I2122" s="126">
        <f>TEXT(F2122,"0")&amp;TEXT(G2122,"0")&amp;TEXT(H2122,"0")</f>
        <v/>
      </c>
      <c r="J2122" s="126">
        <f>IFERROR(XLOOKUP(I2122,'Segment Map'!A:A,'Segment Map'!B:B,"Need Attention"),"Need Attention")</f>
        <v/>
      </c>
      <c r="K2122" s="126">
        <f>IF(E2122&gt;=5000,"🏆 Platinum",IF(E2122&gt;=2000,"🥇 Gold",IF(E2122&gt;=800,"🥈 Silver","🥉 Bronze")))</f>
        <v/>
      </c>
      <c r="L2122" s="129" t="n">
        <v>40588</v>
      </c>
    </row>
    <row r="2123">
      <c r="A2123" s="122" t="n">
        <v>15237</v>
      </c>
      <c r="B2123" s="122" t="inlineStr">
        <is>
          <t>United Kingdom</t>
        </is>
      </c>
      <c r="C2123" s="122" t="n">
        <v>2</v>
      </c>
      <c r="D2123" s="122" t="n">
        <v>4</v>
      </c>
      <c r="E2123" s="123" t="n">
        <v>1412.32</v>
      </c>
      <c r="F2123" s="124">
        <f>IF(C2123&lt;=30,5,IF(C2123&lt;=60,4,IF(C2123&lt;=120,3,IF(C2123&lt;=200,2,1))))</f>
        <v/>
      </c>
      <c r="G2123" s="124">
        <f>IF(D2123&gt;=20,5,IF(D2123&gt;=10,4,IF(D2123&gt;=5,3,IF(D2123&gt;=2,2,1))))</f>
        <v/>
      </c>
      <c r="H2123" s="124">
        <f>IF(E2123&gt;=5000,5,IF(E2123&gt;=2000,4,IF(E2123&gt;=800,3,IF(E2123&gt;=300,2,1))))</f>
        <v/>
      </c>
      <c r="I2123" s="122">
        <f>TEXT(F2123,"0")&amp;TEXT(G2123,"0")&amp;TEXT(H2123,"0")</f>
        <v/>
      </c>
      <c r="J2123" s="122">
        <f>IFERROR(XLOOKUP(I2123,'Segment Map'!A:A,'Segment Map'!B:B,"Need Attention"),"Need Attention")</f>
        <v/>
      </c>
      <c r="K2123" s="122">
        <f>IF(E2123&gt;=5000,"🏆 Platinum",IF(E2123&gt;=2000,"🥇 Gold",IF(E2123&gt;=800,"🥈 Silver","🥉 Bronze")))</f>
        <v/>
      </c>
      <c r="L2123" s="125" t="n">
        <v>40885</v>
      </c>
    </row>
    <row r="2124">
      <c r="A2124" s="126" t="n">
        <v>15238</v>
      </c>
      <c r="B2124" s="126" t="inlineStr">
        <is>
          <t>United Kingdom</t>
        </is>
      </c>
      <c r="C2124" s="126" t="n">
        <v>30</v>
      </c>
      <c r="D2124" s="126" t="n">
        <v>3</v>
      </c>
      <c r="E2124" s="127" t="n">
        <v>1071.99</v>
      </c>
      <c r="F2124" s="128">
        <f>IF(C2124&lt;=30,5,IF(C2124&lt;=60,4,IF(C2124&lt;=120,3,IF(C2124&lt;=200,2,1))))</f>
        <v/>
      </c>
      <c r="G2124" s="128">
        <f>IF(D2124&gt;=20,5,IF(D2124&gt;=10,4,IF(D2124&gt;=5,3,IF(D2124&gt;=2,2,1))))</f>
        <v/>
      </c>
      <c r="H2124" s="128">
        <f>IF(E2124&gt;=5000,5,IF(E2124&gt;=2000,4,IF(E2124&gt;=800,3,IF(E2124&gt;=300,2,1))))</f>
        <v/>
      </c>
      <c r="I2124" s="126">
        <f>TEXT(F2124,"0")&amp;TEXT(G2124,"0")&amp;TEXT(H2124,"0")</f>
        <v/>
      </c>
      <c r="J2124" s="126">
        <f>IFERROR(XLOOKUP(I2124,'Segment Map'!A:A,'Segment Map'!B:B,"Need Attention"),"Need Attention")</f>
        <v/>
      </c>
      <c r="K2124" s="126">
        <f>IF(E2124&gt;=5000,"🏆 Platinum",IF(E2124&gt;=2000,"🥇 Gold",IF(E2124&gt;=800,"🥈 Silver","🥉 Bronze")))</f>
        <v/>
      </c>
      <c r="L2124" s="129" t="n">
        <v>40857</v>
      </c>
    </row>
    <row r="2125">
      <c r="A2125" s="122" t="n">
        <v>15239</v>
      </c>
      <c r="B2125" s="122" t="inlineStr">
        <is>
          <t>United Kingdom</t>
        </is>
      </c>
      <c r="C2125" s="122" t="n">
        <v>11</v>
      </c>
      <c r="D2125" s="122" t="n">
        <v>2</v>
      </c>
      <c r="E2125" s="123" t="n">
        <v>780.59</v>
      </c>
      <c r="F2125" s="124">
        <f>IF(C2125&lt;=30,5,IF(C2125&lt;=60,4,IF(C2125&lt;=120,3,IF(C2125&lt;=200,2,1))))</f>
        <v/>
      </c>
      <c r="G2125" s="124">
        <f>IF(D2125&gt;=20,5,IF(D2125&gt;=10,4,IF(D2125&gt;=5,3,IF(D2125&gt;=2,2,1))))</f>
        <v/>
      </c>
      <c r="H2125" s="124">
        <f>IF(E2125&gt;=5000,5,IF(E2125&gt;=2000,4,IF(E2125&gt;=800,3,IF(E2125&gt;=300,2,1))))</f>
        <v/>
      </c>
      <c r="I2125" s="122">
        <f>TEXT(F2125,"0")&amp;TEXT(G2125,"0")&amp;TEXT(H2125,"0")</f>
        <v/>
      </c>
      <c r="J2125" s="122">
        <f>IFERROR(XLOOKUP(I2125,'Segment Map'!A:A,'Segment Map'!B:B,"Need Attention"),"Need Attention")</f>
        <v/>
      </c>
      <c r="K2125" s="122">
        <f>IF(E2125&gt;=5000,"🏆 Platinum",IF(E2125&gt;=2000,"🥇 Gold",IF(E2125&gt;=800,"🥈 Silver","🥉 Bronze")))</f>
        <v/>
      </c>
      <c r="L2125" s="125" t="n">
        <v>40876</v>
      </c>
    </row>
    <row r="2126">
      <c r="A2126" s="126" t="n">
        <v>15240</v>
      </c>
      <c r="B2126" s="126" t="inlineStr">
        <is>
          <t>United Kingdom</t>
        </is>
      </c>
      <c r="C2126" s="126" t="n">
        <v>45</v>
      </c>
      <c r="D2126" s="126" t="n">
        <v>5</v>
      </c>
      <c r="E2126" s="127" t="n">
        <v>1706.57</v>
      </c>
      <c r="F2126" s="128">
        <f>IF(C2126&lt;=30,5,IF(C2126&lt;=60,4,IF(C2126&lt;=120,3,IF(C2126&lt;=200,2,1))))</f>
        <v/>
      </c>
      <c r="G2126" s="128">
        <f>IF(D2126&gt;=20,5,IF(D2126&gt;=10,4,IF(D2126&gt;=5,3,IF(D2126&gt;=2,2,1))))</f>
        <v/>
      </c>
      <c r="H2126" s="128">
        <f>IF(E2126&gt;=5000,5,IF(E2126&gt;=2000,4,IF(E2126&gt;=800,3,IF(E2126&gt;=300,2,1))))</f>
        <v/>
      </c>
      <c r="I2126" s="126">
        <f>TEXT(F2126,"0")&amp;TEXT(G2126,"0")&amp;TEXT(H2126,"0")</f>
        <v/>
      </c>
      <c r="J2126" s="126">
        <f>IFERROR(XLOOKUP(I2126,'Segment Map'!A:A,'Segment Map'!B:B,"Need Attention"),"Need Attention")</f>
        <v/>
      </c>
      <c r="K2126" s="126">
        <f>IF(E2126&gt;=5000,"🏆 Platinum",IF(E2126&gt;=2000,"🥇 Gold",IF(E2126&gt;=800,"🥈 Silver","🥉 Bronze")))</f>
        <v/>
      </c>
      <c r="L2126" s="129" t="n">
        <v>40842</v>
      </c>
    </row>
    <row r="2127">
      <c r="A2127" s="122" t="n">
        <v>15241</v>
      </c>
      <c r="B2127" s="122" t="inlineStr">
        <is>
          <t>United Kingdom</t>
        </is>
      </c>
      <c r="C2127" s="122" t="n">
        <v>67</v>
      </c>
      <c r="D2127" s="122" t="n">
        <v>8</v>
      </c>
      <c r="E2127" s="123" t="n">
        <v>1756.44</v>
      </c>
      <c r="F2127" s="124">
        <f>IF(C2127&lt;=30,5,IF(C2127&lt;=60,4,IF(C2127&lt;=120,3,IF(C2127&lt;=200,2,1))))</f>
        <v/>
      </c>
      <c r="G2127" s="124">
        <f>IF(D2127&gt;=20,5,IF(D2127&gt;=10,4,IF(D2127&gt;=5,3,IF(D2127&gt;=2,2,1))))</f>
        <v/>
      </c>
      <c r="H2127" s="124">
        <f>IF(E2127&gt;=5000,5,IF(E2127&gt;=2000,4,IF(E2127&gt;=800,3,IF(E2127&gt;=300,2,1))))</f>
        <v/>
      </c>
      <c r="I2127" s="122">
        <f>TEXT(F2127,"0")&amp;TEXT(G2127,"0")&amp;TEXT(H2127,"0")</f>
        <v/>
      </c>
      <c r="J2127" s="122">
        <f>IFERROR(XLOOKUP(I2127,'Segment Map'!A:A,'Segment Map'!B:B,"Need Attention"),"Need Attention")</f>
        <v/>
      </c>
      <c r="K2127" s="122">
        <f>IF(E2127&gt;=5000,"🏆 Platinum",IF(E2127&gt;=2000,"🥇 Gold",IF(E2127&gt;=800,"🥈 Silver","🥉 Bronze")))</f>
        <v/>
      </c>
      <c r="L2127" s="125" t="n">
        <v>40820</v>
      </c>
    </row>
    <row r="2128">
      <c r="A2128" s="126" t="n">
        <v>15243</v>
      </c>
      <c r="B2128" s="126" t="inlineStr">
        <is>
          <t>United Kingdom</t>
        </is>
      </c>
      <c r="C2128" s="126" t="n">
        <v>75</v>
      </c>
      <c r="D2128" s="126" t="n">
        <v>1</v>
      </c>
      <c r="E2128" s="127" t="n">
        <v>316.68</v>
      </c>
      <c r="F2128" s="128">
        <f>IF(C2128&lt;=30,5,IF(C2128&lt;=60,4,IF(C2128&lt;=120,3,IF(C2128&lt;=200,2,1))))</f>
        <v/>
      </c>
      <c r="G2128" s="128">
        <f>IF(D2128&gt;=20,5,IF(D2128&gt;=10,4,IF(D2128&gt;=5,3,IF(D2128&gt;=2,2,1))))</f>
        <v/>
      </c>
      <c r="H2128" s="128">
        <f>IF(E2128&gt;=5000,5,IF(E2128&gt;=2000,4,IF(E2128&gt;=800,3,IF(E2128&gt;=300,2,1))))</f>
        <v/>
      </c>
      <c r="I2128" s="126">
        <f>TEXT(F2128,"0")&amp;TEXT(G2128,"0")&amp;TEXT(H2128,"0")</f>
        <v/>
      </c>
      <c r="J2128" s="126">
        <f>IFERROR(XLOOKUP(I2128,'Segment Map'!A:A,'Segment Map'!B:B,"Need Attention"),"Need Attention")</f>
        <v/>
      </c>
      <c r="K2128" s="126">
        <f>IF(E2128&gt;=5000,"🏆 Platinum",IF(E2128&gt;=2000,"🥇 Gold",IF(E2128&gt;=800,"🥈 Silver","🥉 Bronze")))</f>
        <v/>
      </c>
      <c r="L2128" s="129" t="n">
        <v>40812</v>
      </c>
    </row>
    <row r="2129">
      <c r="A2129" s="122" t="n">
        <v>15244</v>
      </c>
      <c r="B2129" s="122" t="inlineStr">
        <is>
          <t>United Kingdom</t>
        </is>
      </c>
      <c r="C2129" s="122" t="n">
        <v>66</v>
      </c>
      <c r="D2129" s="122" t="n">
        <v>2</v>
      </c>
      <c r="E2129" s="123" t="n">
        <v>631.5700000000001</v>
      </c>
      <c r="F2129" s="124">
        <f>IF(C2129&lt;=30,5,IF(C2129&lt;=60,4,IF(C2129&lt;=120,3,IF(C2129&lt;=200,2,1))))</f>
        <v/>
      </c>
      <c r="G2129" s="124">
        <f>IF(D2129&gt;=20,5,IF(D2129&gt;=10,4,IF(D2129&gt;=5,3,IF(D2129&gt;=2,2,1))))</f>
        <v/>
      </c>
      <c r="H2129" s="124">
        <f>IF(E2129&gt;=5000,5,IF(E2129&gt;=2000,4,IF(E2129&gt;=800,3,IF(E2129&gt;=300,2,1))))</f>
        <v/>
      </c>
      <c r="I2129" s="122">
        <f>TEXT(F2129,"0")&amp;TEXT(G2129,"0")&amp;TEXT(H2129,"0")</f>
        <v/>
      </c>
      <c r="J2129" s="122">
        <f>IFERROR(XLOOKUP(I2129,'Segment Map'!A:A,'Segment Map'!B:B,"Need Attention"),"Need Attention")</f>
        <v/>
      </c>
      <c r="K2129" s="122">
        <f>IF(E2129&gt;=5000,"🏆 Platinum",IF(E2129&gt;=2000,"🥇 Gold",IF(E2129&gt;=800,"🥈 Silver","🥉 Bronze")))</f>
        <v/>
      </c>
      <c r="L2129" s="125" t="n">
        <v>40821</v>
      </c>
    </row>
    <row r="2130">
      <c r="A2130" s="126" t="n">
        <v>15245</v>
      </c>
      <c r="B2130" s="126" t="inlineStr">
        <is>
          <t>United Kingdom</t>
        </is>
      </c>
      <c r="C2130" s="126" t="n">
        <v>135</v>
      </c>
      <c r="D2130" s="126" t="n">
        <v>3</v>
      </c>
      <c r="E2130" s="127" t="n">
        <v>2515.84</v>
      </c>
      <c r="F2130" s="128">
        <f>IF(C2130&lt;=30,5,IF(C2130&lt;=60,4,IF(C2130&lt;=120,3,IF(C2130&lt;=200,2,1))))</f>
        <v/>
      </c>
      <c r="G2130" s="128">
        <f>IF(D2130&gt;=20,5,IF(D2130&gt;=10,4,IF(D2130&gt;=5,3,IF(D2130&gt;=2,2,1))))</f>
        <v/>
      </c>
      <c r="H2130" s="128">
        <f>IF(E2130&gt;=5000,5,IF(E2130&gt;=2000,4,IF(E2130&gt;=800,3,IF(E2130&gt;=300,2,1))))</f>
        <v/>
      </c>
      <c r="I2130" s="126">
        <f>TEXT(F2130,"0")&amp;TEXT(G2130,"0")&amp;TEXT(H2130,"0")</f>
        <v/>
      </c>
      <c r="J2130" s="126">
        <f>IFERROR(XLOOKUP(I2130,'Segment Map'!A:A,'Segment Map'!B:B,"Need Attention"),"Need Attention")</f>
        <v/>
      </c>
      <c r="K2130" s="126">
        <f>IF(E2130&gt;=5000,"🏆 Platinum",IF(E2130&gt;=2000,"🥇 Gold",IF(E2130&gt;=800,"🥈 Silver","🥉 Bronze")))</f>
        <v/>
      </c>
      <c r="L2130" s="129" t="n">
        <v>40752</v>
      </c>
    </row>
    <row r="2131">
      <c r="A2131" s="122" t="n">
        <v>15246</v>
      </c>
      <c r="B2131" s="122" t="inlineStr">
        <is>
          <t>United Kingdom</t>
        </is>
      </c>
      <c r="C2131" s="122" t="n">
        <v>239</v>
      </c>
      <c r="D2131" s="122" t="n">
        <v>2</v>
      </c>
      <c r="E2131" s="123" t="n">
        <v>514.15</v>
      </c>
      <c r="F2131" s="124">
        <f>IF(C2131&lt;=30,5,IF(C2131&lt;=60,4,IF(C2131&lt;=120,3,IF(C2131&lt;=200,2,1))))</f>
        <v/>
      </c>
      <c r="G2131" s="124">
        <f>IF(D2131&gt;=20,5,IF(D2131&gt;=10,4,IF(D2131&gt;=5,3,IF(D2131&gt;=2,2,1))))</f>
        <v/>
      </c>
      <c r="H2131" s="124">
        <f>IF(E2131&gt;=5000,5,IF(E2131&gt;=2000,4,IF(E2131&gt;=800,3,IF(E2131&gt;=300,2,1))))</f>
        <v/>
      </c>
      <c r="I2131" s="122">
        <f>TEXT(F2131,"0")&amp;TEXT(G2131,"0")&amp;TEXT(H2131,"0")</f>
        <v/>
      </c>
      <c r="J2131" s="122">
        <f>IFERROR(XLOOKUP(I2131,'Segment Map'!A:A,'Segment Map'!B:B,"Need Attention"),"Need Attention")</f>
        <v/>
      </c>
      <c r="K2131" s="122">
        <f>IF(E2131&gt;=5000,"🏆 Platinum",IF(E2131&gt;=2000,"🥇 Gold",IF(E2131&gt;=800,"🥈 Silver","🥉 Bronze")))</f>
        <v/>
      </c>
      <c r="L2131" s="125" t="n">
        <v>40648</v>
      </c>
    </row>
    <row r="2132">
      <c r="A2132" s="126" t="n">
        <v>15247</v>
      </c>
      <c r="B2132" s="126" t="inlineStr">
        <is>
          <t>United Kingdom</t>
        </is>
      </c>
      <c r="C2132" s="126" t="n">
        <v>123</v>
      </c>
      <c r="D2132" s="126" t="n">
        <v>1</v>
      </c>
      <c r="E2132" s="127" t="n">
        <v>356</v>
      </c>
      <c r="F2132" s="128">
        <f>IF(C2132&lt;=30,5,IF(C2132&lt;=60,4,IF(C2132&lt;=120,3,IF(C2132&lt;=200,2,1))))</f>
        <v/>
      </c>
      <c r="G2132" s="128">
        <f>IF(D2132&gt;=20,5,IF(D2132&gt;=10,4,IF(D2132&gt;=5,3,IF(D2132&gt;=2,2,1))))</f>
        <v/>
      </c>
      <c r="H2132" s="128">
        <f>IF(E2132&gt;=5000,5,IF(E2132&gt;=2000,4,IF(E2132&gt;=800,3,IF(E2132&gt;=300,2,1))))</f>
        <v/>
      </c>
      <c r="I2132" s="126">
        <f>TEXT(F2132,"0")&amp;TEXT(G2132,"0")&amp;TEXT(H2132,"0")</f>
        <v/>
      </c>
      <c r="J2132" s="126">
        <f>IFERROR(XLOOKUP(I2132,'Segment Map'!A:A,'Segment Map'!B:B,"Need Attention"),"Need Attention")</f>
        <v/>
      </c>
      <c r="K2132" s="126">
        <f>IF(E2132&gt;=5000,"🏆 Platinum",IF(E2132&gt;=2000,"🥇 Gold",IF(E2132&gt;=800,"🥈 Silver","🥉 Bronze")))</f>
        <v/>
      </c>
      <c r="L2132" s="129" t="n">
        <v>40764</v>
      </c>
    </row>
    <row r="2133">
      <c r="A2133" s="122" t="n">
        <v>15249</v>
      </c>
      <c r="B2133" s="122" t="inlineStr">
        <is>
          <t>United Kingdom</t>
        </is>
      </c>
      <c r="C2133" s="122" t="n">
        <v>32</v>
      </c>
      <c r="D2133" s="122" t="n">
        <v>13</v>
      </c>
      <c r="E2133" s="123" t="n">
        <v>6688.46</v>
      </c>
      <c r="F2133" s="124">
        <f>IF(C2133&lt;=30,5,IF(C2133&lt;=60,4,IF(C2133&lt;=120,3,IF(C2133&lt;=200,2,1))))</f>
        <v/>
      </c>
      <c r="G2133" s="124">
        <f>IF(D2133&gt;=20,5,IF(D2133&gt;=10,4,IF(D2133&gt;=5,3,IF(D2133&gt;=2,2,1))))</f>
        <v/>
      </c>
      <c r="H2133" s="124">
        <f>IF(E2133&gt;=5000,5,IF(E2133&gt;=2000,4,IF(E2133&gt;=800,3,IF(E2133&gt;=300,2,1))))</f>
        <v/>
      </c>
      <c r="I2133" s="122">
        <f>TEXT(F2133,"0")&amp;TEXT(G2133,"0")&amp;TEXT(H2133,"0")</f>
        <v/>
      </c>
      <c r="J2133" s="122">
        <f>IFERROR(XLOOKUP(I2133,'Segment Map'!A:A,'Segment Map'!B:B,"Need Attention"),"Need Attention")</f>
        <v/>
      </c>
      <c r="K2133" s="122">
        <f>IF(E2133&gt;=5000,"🏆 Platinum",IF(E2133&gt;=2000,"🥇 Gold",IF(E2133&gt;=800,"🥈 Silver","🥉 Bronze")))</f>
        <v/>
      </c>
      <c r="L2133" s="125" t="n">
        <v>40855</v>
      </c>
    </row>
    <row r="2134">
      <c r="A2134" s="126" t="n">
        <v>15251</v>
      </c>
      <c r="B2134" s="126" t="inlineStr">
        <is>
          <t>United Kingdom</t>
        </is>
      </c>
      <c r="C2134" s="126" t="n">
        <v>10</v>
      </c>
      <c r="D2134" s="126" t="n">
        <v>11</v>
      </c>
      <c r="E2134" s="127" t="n">
        <v>10484.99</v>
      </c>
      <c r="F2134" s="128">
        <f>IF(C2134&lt;=30,5,IF(C2134&lt;=60,4,IF(C2134&lt;=120,3,IF(C2134&lt;=200,2,1))))</f>
        <v/>
      </c>
      <c r="G2134" s="128">
        <f>IF(D2134&gt;=20,5,IF(D2134&gt;=10,4,IF(D2134&gt;=5,3,IF(D2134&gt;=2,2,1))))</f>
        <v/>
      </c>
      <c r="H2134" s="128">
        <f>IF(E2134&gt;=5000,5,IF(E2134&gt;=2000,4,IF(E2134&gt;=800,3,IF(E2134&gt;=300,2,1))))</f>
        <v/>
      </c>
      <c r="I2134" s="126">
        <f>TEXT(F2134,"0")&amp;TEXT(G2134,"0")&amp;TEXT(H2134,"0")</f>
        <v/>
      </c>
      <c r="J2134" s="126">
        <f>IFERROR(XLOOKUP(I2134,'Segment Map'!A:A,'Segment Map'!B:B,"Need Attention"),"Need Attention")</f>
        <v/>
      </c>
      <c r="K2134" s="126">
        <f>IF(E2134&gt;=5000,"🏆 Platinum",IF(E2134&gt;=2000,"🥇 Gold",IF(E2134&gt;=800,"🥈 Silver","🥉 Bronze")))</f>
        <v/>
      </c>
      <c r="L2134" s="129" t="n">
        <v>40877</v>
      </c>
    </row>
    <row r="2135">
      <c r="A2135" s="122" t="n">
        <v>15252</v>
      </c>
      <c r="B2135" s="122" t="inlineStr">
        <is>
          <t>United Kingdom</t>
        </is>
      </c>
      <c r="C2135" s="122" t="n">
        <v>37</v>
      </c>
      <c r="D2135" s="122" t="n">
        <v>2</v>
      </c>
      <c r="E2135" s="123" t="n">
        <v>740.78</v>
      </c>
      <c r="F2135" s="124">
        <f>IF(C2135&lt;=30,5,IF(C2135&lt;=60,4,IF(C2135&lt;=120,3,IF(C2135&lt;=200,2,1))))</f>
        <v/>
      </c>
      <c r="G2135" s="124">
        <f>IF(D2135&gt;=20,5,IF(D2135&gt;=10,4,IF(D2135&gt;=5,3,IF(D2135&gt;=2,2,1))))</f>
        <v/>
      </c>
      <c r="H2135" s="124">
        <f>IF(E2135&gt;=5000,5,IF(E2135&gt;=2000,4,IF(E2135&gt;=800,3,IF(E2135&gt;=300,2,1))))</f>
        <v/>
      </c>
      <c r="I2135" s="122">
        <f>TEXT(F2135,"0")&amp;TEXT(G2135,"0")&amp;TEXT(H2135,"0")</f>
        <v/>
      </c>
      <c r="J2135" s="122">
        <f>IFERROR(XLOOKUP(I2135,'Segment Map'!A:A,'Segment Map'!B:B,"Need Attention"),"Need Attention")</f>
        <v/>
      </c>
      <c r="K2135" s="122">
        <f>IF(E2135&gt;=5000,"🏆 Platinum",IF(E2135&gt;=2000,"🥇 Gold",IF(E2135&gt;=800,"🥈 Silver","🥉 Bronze")))</f>
        <v/>
      </c>
      <c r="L2135" s="125" t="n">
        <v>40850</v>
      </c>
    </row>
    <row r="2136">
      <c r="A2136" s="126" t="n">
        <v>15253</v>
      </c>
      <c r="B2136" s="126" t="inlineStr">
        <is>
          <t>United Kingdom</t>
        </is>
      </c>
      <c r="C2136" s="126" t="n">
        <v>17</v>
      </c>
      <c r="D2136" s="126" t="n">
        <v>5</v>
      </c>
      <c r="E2136" s="127" t="n">
        <v>918.2</v>
      </c>
      <c r="F2136" s="128">
        <f>IF(C2136&lt;=30,5,IF(C2136&lt;=60,4,IF(C2136&lt;=120,3,IF(C2136&lt;=200,2,1))))</f>
        <v/>
      </c>
      <c r="G2136" s="128">
        <f>IF(D2136&gt;=20,5,IF(D2136&gt;=10,4,IF(D2136&gt;=5,3,IF(D2136&gt;=2,2,1))))</f>
        <v/>
      </c>
      <c r="H2136" s="128">
        <f>IF(E2136&gt;=5000,5,IF(E2136&gt;=2000,4,IF(E2136&gt;=800,3,IF(E2136&gt;=300,2,1))))</f>
        <v/>
      </c>
      <c r="I2136" s="126">
        <f>TEXT(F2136,"0")&amp;TEXT(G2136,"0")&amp;TEXT(H2136,"0")</f>
        <v/>
      </c>
      <c r="J2136" s="126">
        <f>IFERROR(XLOOKUP(I2136,'Segment Map'!A:A,'Segment Map'!B:B,"Need Attention"),"Need Attention")</f>
        <v/>
      </c>
      <c r="K2136" s="126">
        <f>IF(E2136&gt;=5000,"🏆 Platinum",IF(E2136&gt;=2000,"🥇 Gold",IF(E2136&gt;=800,"🥈 Silver","🥉 Bronze")))</f>
        <v/>
      </c>
      <c r="L2136" s="129" t="n">
        <v>40870</v>
      </c>
    </row>
    <row r="2137">
      <c r="A2137" s="122" t="n">
        <v>15254</v>
      </c>
      <c r="B2137" s="122" t="inlineStr">
        <is>
          <t>United Kingdom</t>
        </is>
      </c>
      <c r="C2137" s="122" t="n">
        <v>128</v>
      </c>
      <c r="D2137" s="122" t="n">
        <v>1</v>
      </c>
      <c r="E2137" s="123" t="n">
        <v>300.36</v>
      </c>
      <c r="F2137" s="124">
        <f>IF(C2137&lt;=30,5,IF(C2137&lt;=60,4,IF(C2137&lt;=120,3,IF(C2137&lt;=200,2,1))))</f>
        <v/>
      </c>
      <c r="G2137" s="124">
        <f>IF(D2137&gt;=20,5,IF(D2137&gt;=10,4,IF(D2137&gt;=5,3,IF(D2137&gt;=2,2,1))))</f>
        <v/>
      </c>
      <c r="H2137" s="124">
        <f>IF(E2137&gt;=5000,5,IF(E2137&gt;=2000,4,IF(E2137&gt;=800,3,IF(E2137&gt;=300,2,1))))</f>
        <v/>
      </c>
      <c r="I2137" s="122">
        <f>TEXT(F2137,"0")&amp;TEXT(G2137,"0")&amp;TEXT(H2137,"0")</f>
        <v/>
      </c>
      <c r="J2137" s="122">
        <f>IFERROR(XLOOKUP(I2137,'Segment Map'!A:A,'Segment Map'!B:B,"Need Attention"),"Need Attention")</f>
        <v/>
      </c>
      <c r="K2137" s="122">
        <f>IF(E2137&gt;=5000,"🏆 Platinum",IF(E2137&gt;=2000,"🥇 Gold",IF(E2137&gt;=800,"🥈 Silver","🥉 Bronze")))</f>
        <v/>
      </c>
      <c r="L2137" s="125" t="n">
        <v>40759</v>
      </c>
    </row>
    <row r="2138">
      <c r="A2138" s="126" t="n">
        <v>15255</v>
      </c>
      <c r="B2138" s="126" t="inlineStr">
        <is>
          <t>United Kingdom</t>
        </is>
      </c>
      <c r="C2138" s="126" t="n">
        <v>67</v>
      </c>
      <c r="D2138" s="126" t="n">
        <v>1</v>
      </c>
      <c r="E2138" s="127" t="n">
        <v>890.85</v>
      </c>
      <c r="F2138" s="128">
        <f>IF(C2138&lt;=30,5,IF(C2138&lt;=60,4,IF(C2138&lt;=120,3,IF(C2138&lt;=200,2,1))))</f>
        <v/>
      </c>
      <c r="G2138" s="128">
        <f>IF(D2138&gt;=20,5,IF(D2138&gt;=10,4,IF(D2138&gt;=5,3,IF(D2138&gt;=2,2,1))))</f>
        <v/>
      </c>
      <c r="H2138" s="128">
        <f>IF(E2138&gt;=5000,5,IF(E2138&gt;=2000,4,IF(E2138&gt;=800,3,IF(E2138&gt;=300,2,1))))</f>
        <v/>
      </c>
      <c r="I2138" s="126">
        <f>TEXT(F2138,"0")&amp;TEXT(G2138,"0")&amp;TEXT(H2138,"0")</f>
        <v/>
      </c>
      <c r="J2138" s="126">
        <f>IFERROR(XLOOKUP(I2138,'Segment Map'!A:A,'Segment Map'!B:B,"Need Attention"),"Need Attention")</f>
        <v/>
      </c>
      <c r="K2138" s="126">
        <f>IF(E2138&gt;=5000,"🏆 Platinum",IF(E2138&gt;=2000,"🥇 Gold",IF(E2138&gt;=800,"🥈 Silver","🥉 Bronze")))</f>
        <v/>
      </c>
      <c r="L2138" s="129" t="n">
        <v>40820</v>
      </c>
    </row>
    <row r="2139">
      <c r="A2139" s="122" t="n">
        <v>15256</v>
      </c>
      <c r="B2139" s="122" t="inlineStr">
        <is>
          <t>United Kingdom</t>
        </is>
      </c>
      <c r="C2139" s="122" t="n">
        <v>149</v>
      </c>
      <c r="D2139" s="122" t="n">
        <v>1</v>
      </c>
      <c r="E2139" s="123" t="n">
        <v>98.45</v>
      </c>
      <c r="F2139" s="124">
        <f>IF(C2139&lt;=30,5,IF(C2139&lt;=60,4,IF(C2139&lt;=120,3,IF(C2139&lt;=200,2,1))))</f>
        <v/>
      </c>
      <c r="G2139" s="124">
        <f>IF(D2139&gt;=20,5,IF(D2139&gt;=10,4,IF(D2139&gt;=5,3,IF(D2139&gt;=2,2,1))))</f>
        <v/>
      </c>
      <c r="H2139" s="124">
        <f>IF(E2139&gt;=5000,5,IF(E2139&gt;=2000,4,IF(E2139&gt;=800,3,IF(E2139&gt;=300,2,1))))</f>
        <v/>
      </c>
      <c r="I2139" s="122">
        <f>TEXT(F2139,"0")&amp;TEXT(G2139,"0")&amp;TEXT(H2139,"0")</f>
        <v/>
      </c>
      <c r="J2139" s="122">
        <f>IFERROR(XLOOKUP(I2139,'Segment Map'!A:A,'Segment Map'!B:B,"Need Attention"),"Need Attention")</f>
        <v/>
      </c>
      <c r="K2139" s="122">
        <f>IF(E2139&gt;=5000,"🏆 Platinum",IF(E2139&gt;=2000,"🥇 Gold",IF(E2139&gt;=800,"🥈 Silver","🥉 Bronze")))</f>
        <v/>
      </c>
      <c r="L2139" s="125" t="n">
        <v>40738</v>
      </c>
    </row>
    <row r="2140">
      <c r="A2140" s="126" t="n">
        <v>15257</v>
      </c>
      <c r="B2140" s="126" t="inlineStr">
        <is>
          <t>United Kingdom</t>
        </is>
      </c>
      <c r="C2140" s="126" t="n">
        <v>284</v>
      </c>
      <c r="D2140" s="126" t="n">
        <v>1</v>
      </c>
      <c r="E2140" s="127" t="n">
        <v>317.15</v>
      </c>
      <c r="F2140" s="128">
        <f>IF(C2140&lt;=30,5,IF(C2140&lt;=60,4,IF(C2140&lt;=120,3,IF(C2140&lt;=200,2,1))))</f>
        <v/>
      </c>
      <c r="G2140" s="128">
        <f>IF(D2140&gt;=20,5,IF(D2140&gt;=10,4,IF(D2140&gt;=5,3,IF(D2140&gt;=2,2,1))))</f>
        <v/>
      </c>
      <c r="H2140" s="128">
        <f>IF(E2140&gt;=5000,5,IF(E2140&gt;=2000,4,IF(E2140&gt;=800,3,IF(E2140&gt;=300,2,1))))</f>
        <v/>
      </c>
      <c r="I2140" s="126">
        <f>TEXT(F2140,"0")&amp;TEXT(G2140,"0")&amp;TEXT(H2140,"0")</f>
        <v/>
      </c>
      <c r="J2140" s="126">
        <f>IFERROR(XLOOKUP(I2140,'Segment Map'!A:A,'Segment Map'!B:B,"Need Attention"),"Need Attention")</f>
        <v/>
      </c>
      <c r="K2140" s="126">
        <f>IF(E2140&gt;=5000,"🏆 Platinum",IF(E2140&gt;=2000,"🥇 Gold",IF(E2140&gt;=800,"🥈 Silver","🥉 Bronze")))</f>
        <v/>
      </c>
      <c r="L2140" s="129" t="n">
        <v>40603</v>
      </c>
    </row>
    <row r="2141">
      <c r="A2141" s="122" t="n">
        <v>15258</v>
      </c>
      <c r="B2141" s="122" t="inlineStr">
        <is>
          <t>United Kingdom</t>
        </is>
      </c>
      <c r="C2141" s="122" t="n">
        <v>169</v>
      </c>
      <c r="D2141" s="122" t="n">
        <v>2</v>
      </c>
      <c r="E2141" s="123" t="n">
        <v>623.16</v>
      </c>
      <c r="F2141" s="124">
        <f>IF(C2141&lt;=30,5,IF(C2141&lt;=60,4,IF(C2141&lt;=120,3,IF(C2141&lt;=200,2,1))))</f>
        <v/>
      </c>
      <c r="G2141" s="124">
        <f>IF(D2141&gt;=20,5,IF(D2141&gt;=10,4,IF(D2141&gt;=5,3,IF(D2141&gt;=2,2,1))))</f>
        <v/>
      </c>
      <c r="H2141" s="124">
        <f>IF(E2141&gt;=5000,5,IF(E2141&gt;=2000,4,IF(E2141&gt;=800,3,IF(E2141&gt;=300,2,1))))</f>
        <v/>
      </c>
      <c r="I2141" s="122">
        <f>TEXT(F2141,"0")&amp;TEXT(G2141,"0")&amp;TEXT(H2141,"0")</f>
        <v/>
      </c>
      <c r="J2141" s="122">
        <f>IFERROR(XLOOKUP(I2141,'Segment Map'!A:A,'Segment Map'!B:B,"Need Attention"),"Need Attention")</f>
        <v/>
      </c>
      <c r="K2141" s="122">
        <f>IF(E2141&gt;=5000,"🏆 Platinum",IF(E2141&gt;=2000,"🥇 Gold",IF(E2141&gt;=800,"🥈 Silver","🥉 Bronze")))</f>
        <v/>
      </c>
      <c r="L2141" s="125" t="n">
        <v>40718</v>
      </c>
    </row>
    <row r="2142">
      <c r="A2142" s="126" t="n">
        <v>15260</v>
      </c>
      <c r="B2142" s="126" t="inlineStr">
        <is>
          <t>United Kingdom</t>
        </is>
      </c>
      <c r="C2142" s="126" t="n">
        <v>101</v>
      </c>
      <c r="D2142" s="126" t="n">
        <v>7</v>
      </c>
      <c r="E2142" s="127" t="n">
        <v>1810.77</v>
      </c>
      <c r="F2142" s="128">
        <f>IF(C2142&lt;=30,5,IF(C2142&lt;=60,4,IF(C2142&lt;=120,3,IF(C2142&lt;=200,2,1))))</f>
        <v/>
      </c>
      <c r="G2142" s="128">
        <f>IF(D2142&gt;=20,5,IF(D2142&gt;=10,4,IF(D2142&gt;=5,3,IF(D2142&gt;=2,2,1))))</f>
        <v/>
      </c>
      <c r="H2142" s="128">
        <f>IF(E2142&gt;=5000,5,IF(E2142&gt;=2000,4,IF(E2142&gt;=800,3,IF(E2142&gt;=300,2,1))))</f>
        <v/>
      </c>
      <c r="I2142" s="126">
        <f>TEXT(F2142,"0")&amp;TEXT(G2142,"0")&amp;TEXT(H2142,"0")</f>
        <v/>
      </c>
      <c r="J2142" s="126">
        <f>IFERROR(XLOOKUP(I2142,'Segment Map'!A:A,'Segment Map'!B:B,"Need Attention"),"Need Attention")</f>
        <v/>
      </c>
      <c r="K2142" s="126">
        <f>IF(E2142&gt;=5000,"🏆 Platinum",IF(E2142&gt;=2000,"🥇 Gold",IF(E2142&gt;=800,"🥈 Silver","🥉 Bronze")))</f>
        <v/>
      </c>
      <c r="L2142" s="129" t="n">
        <v>40786</v>
      </c>
    </row>
    <row r="2143">
      <c r="A2143" s="122" t="n">
        <v>15261</v>
      </c>
      <c r="B2143" s="122" t="inlineStr">
        <is>
          <t>United Kingdom</t>
        </is>
      </c>
      <c r="C2143" s="122" t="n">
        <v>136</v>
      </c>
      <c r="D2143" s="122" t="n">
        <v>1</v>
      </c>
      <c r="E2143" s="123" t="n">
        <v>254.82</v>
      </c>
      <c r="F2143" s="124">
        <f>IF(C2143&lt;=30,5,IF(C2143&lt;=60,4,IF(C2143&lt;=120,3,IF(C2143&lt;=200,2,1))))</f>
        <v/>
      </c>
      <c r="G2143" s="124">
        <f>IF(D2143&gt;=20,5,IF(D2143&gt;=10,4,IF(D2143&gt;=5,3,IF(D2143&gt;=2,2,1))))</f>
        <v/>
      </c>
      <c r="H2143" s="124">
        <f>IF(E2143&gt;=5000,5,IF(E2143&gt;=2000,4,IF(E2143&gt;=800,3,IF(E2143&gt;=300,2,1))))</f>
        <v/>
      </c>
      <c r="I2143" s="122">
        <f>TEXT(F2143,"0")&amp;TEXT(G2143,"0")&amp;TEXT(H2143,"0")</f>
        <v/>
      </c>
      <c r="J2143" s="122">
        <f>IFERROR(XLOOKUP(I2143,'Segment Map'!A:A,'Segment Map'!B:B,"Need Attention"),"Need Attention")</f>
        <v/>
      </c>
      <c r="K2143" s="122">
        <f>IF(E2143&gt;=5000,"🏆 Platinum",IF(E2143&gt;=2000,"🥇 Gold",IF(E2143&gt;=800,"🥈 Silver","🥉 Bronze")))</f>
        <v/>
      </c>
      <c r="L2143" s="125" t="n">
        <v>40751</v>
      </c>
    </row>
    <row r="2144">
      <c r="A2144" s="126" t="n">
        <v>15262</v>
      </c>
      <c r="B2144" s="126" t="inlineStr">
        <is>
          <t>United Kingdom</t>
        </is>
      </c>
      <c r="C2144" s="126" t="n">
        <v>324</v>
      </c>
      <c r="D2144" s="126" t="n">
        <v>1</v>
      </c>
      <c r="E2144" s="127" t="n">
        <v>178.95</v>
      </c>
      <c r="F2144" s="128">
        <f>IF(C2144&lt;=30,5,IF(C2144&lt;=60,4,IF(C2144&lt;=120,3,IF(C2144&lt;=200,2,1))))</f>
        <v/>
      </c>
      <c r="G2144" s="128">
        <f>IF(D2144&gt;=20,5,IF(D2144&gt;=10,4,IF(D2144&gt;=5,3,IF(D2144&gt;=2,2,1))))</f>
        <v/>
      </c>
      <c r="H2144" s="128">
        <f>IF(E2144&gt;=5000,5,IF(E2144&gt;=2000,4,IF(E2144&gt;=800,3,IF(E2144&gt;=300,2,1))))</f>
        <v/>
      </c>
      <c r="I2144" s="126">
        <f>TEXT(F2144,"0")&amp;TEXT(G2144,"0")&amp;TEXT(H2144,"0")</f>
        <v/>
      </c>
      <c r="J2144" s="126">
        <f>IFERROR(XLOOKUP(I2144,'Segment Map'!A:A,'Segment Map'!B:B,"Need Attention"),"Need Attention")</f>
        <v/>
      </c>
      <c r="K2144" s="126">
        <f>IF(E2144&gt;=5000,"🏆 Platinum",IF(E2144&gt;=2000,"🥇 Gold",IF(E2144&gt;=800,"🥈 Silver","🥉 Bronze")))</f>
        <v/>
      </c>
      <c r="L2144" s="129" t="n">
        <v>40563</v>
      </c>
    </row>
    <row r="2145">
      <c r="A2145" s="122" t="n">
        <v>15263</v>
      </c>
      <c r="B2145" s="122" t="inlineStr">
        <is>
          <t>United Kingdom</t>
        </is>
      </c>
      <c r="C2145" s="122" t="n">
        <v>107</v>
      </c>
      <c r="D2145" s="122" t="n">
        <v>1</v>
      </c>
      <c r="E2145" s="123" t="n">
        <v>156.51</v>
      </c>
      <c r="F2145" s="124">
        <f>IF(C2145&lt;=30,5,IF(C2145&lt;=60,4,IF(C2145&lt;=120,3,IF(C2145&lt;=200,2,1))))</f>
        <v/>
      </c>
      <c r="G2145" s="124">
        <f>IF(D2145&gt;=20,5,IF(D2145&gt;=10,4,IF(D2145&gt;=5,3,IF(D2145&gt;=2,2,1))))</f>
        <v/>
      </c>
      <c r="H2145" s="124">
        <f>IF(E2145&gt;=5000,5,IF(E2145&gt;=2000,4,IF(E2145&gt;=800,3,IF(E2145&gt;=300,2,1))))</f>
        <v/>
      </c>
      <c r="I2145" s="122">
        <f>TEXT(F2145,"0")&amp;TEXT(G2145,"0")&amp;TEXT(H2145,"0")</f>
        <v/>
      </c>
      <c r="J2145" s="122">
        <f>IFERROR(XLOOKUP(I2145,'Segment Map'!A:A,'Segment Map'!B:B,"Need Attention"),"Need Attention")</f>
        <v/>
      </c>
      <c r="K2145" s="122">
        <f>IF(E2145&gt;=5000,"🏆 Platinum",IF(E2145&gt;=2000,"🥇 Gold",IF(E2145&gt;=800,"🥈 Silver","🥉 Bronze")))</f>
        <v/>
      </c>
      <c r="L2145" s="125" t="n">
        <v>40780</v>
      </c>
    </row>
    <row r="2146">
      <c r="A2146" s="126" t="n">
        <v>15264</v>
      </c>
      <c r="B2146" s="126" t="inlineStr">
        <is>
          <t>United Kingdom</t>
        </is>
      </c>
      <c r="C2146" s="126" t="n">
        <v>65</v>
      </c>
      <c r="D2146" s="126" t="n">
        <v>1</v>
      </c>
      <c r="E2146" s="127" t="n">
        <v>393.74</v>
      </c>
      <c r="F2146" s="128">
        <f>IF(C2146&lt;=30,5,IF(C2146&lt;=60,4,IF(C2146&lt;=120,3,IF(C2146&lt;=200,2,1))))</f>
        <v/>
      </c>
      <c r="G2146" s="128">
        <f>IF(D2146&gt;=20,5,IF(D2146&gt;=10,4,IF(D2146&gt;=5,3,IF(D2146&gt;=2,2,1))))</f>
        <v/>
      </c>
      <c r="H2146" s="128">
        <f>IF(E2146&gt;=5000,5,IF(E2146&gt;=2000,4,IF(E2146&gt;=800,3,IF(E2146&gt;=300,2,1))))</f>
        <v/>
      </c>
      <c r="I2146" s="126">
        <f>TEXT(F2146,"0")&amp;TEXT(G2146,"0")&amp;TEXT(H2146,"0")</f>
        <v/>
      </c>
      <c r="J2146" s="126">
        <f>IFERROR(XLOOKUP(I2146,'Segment Map'!A:A,'Segment Map'!B:B,"Need Attention"),"Need Attention")</f>
        <v/>
      </c>
      <c r="K2146" s="126">
        <f>IF(E2146&gt;=5000,"🏆 Platinum",IF(E2146&gt;=2000,"🥇 Gold",IF(E2146&gt;=800,"🥈 Silver","🥉 Bronze")))</f>
        <v/>
      </c>
      <c r="L2146" s="129" t="n">
        <v>40822</v>
      </c>
    </row>
    <row r="2147">
      <c r="A2147" s="122" t="n">
        <v>15265</v>
      </c>
      <c r="B2147" s="122" t="inlineStr">
        <is>
          <t>United Kingdom</t>
        </is>
      </c>
      <c r="C2147" s="122" t="n">
        <v>152</v>
      </c>
      <c r="D2147" s="122" t="n">
        <v>2</v>
      </c>
      <c r="E2147" s="123" t="n">
        <v>1506.12</v>
      </c>
      <c r="F2147" s="124">
        <f>IF(C2147&lt;=30,5,IF(C2147&lt;=60,4,IF(C2147&lt;=120,3,IF(C2147&lt;=200,2,1))))</f>
        <v/>
      </c>
      <c r="G2147" s="124">
        <f>IF(D2147&gt;=20,5,IF(D2147&gt;=10,4,IF(D2147&gt;=5,3,IF(D2147&gt;=2,2,1))))</f>
        <v/>
      </c>
      <c r="H2147" s="124">
        <f>IF(E2147&gt;=5000,5,IF(E2147&gt;=2000,4,IF(E2147&gt;=800,3,IF(E2147&gt;=300,2,1))))</f>
        <v/>
      </c>
      <c r="I2147" s="122">
        <f>TEXT(F2147,"0")&amp;TEXT(G2147,"0")&amp;TEXT(H2147,"0")</f>
        <v/>
      </c>
      <c r="J2147" s="122">
        <f>IFERROR(XLOOKUP(I2147,'Segment Map'!A:A,'Segment Map'!B:B,"Need Attention"),"Need Attention")</f>
        <v/>
      </c>
      <c r="K2147" s="122">
        <f>IF(E2147&gt;=5000,"🏆 Platinum",IF(E2147&gt;=2000,"🥇 Gold",IF(E2147&gt;=800,"🥈 Silver","🥉 Bronze")))</f>
        <v/>
      </c>
      <c r="L2147" s="125" t="n">
        <v>40735</v>
      </c>
    </row>
    <row r="2148">
      <c r="A2148" s="126" t="n">
        <v>15266</v>
      </c>
      <c r="B2148" s="126" t="inlineStr">
        <is>
          <t>United Kingdom</t>
        </is>
      </c>
      <c r="C2148" s="126" t="n">
        <v>339</v>
      </c>
      <c r="D2148" s="126" t="n">
        <v>1</v>
      </c>
      <c r="E2148" s="127" t="n">
        <v>119.3</v>
      </c>
      <c r="F2148" s="128">
        <f>IF(C2148&lt;=30,5,IF(C2148&lt;=60,4,IF(C2148&lt;=120,3,IF(C2148&lt;=200,2,1))))</f>
        <v/>
      </c>
      <c r="G2148" s="128">
        <f>IF(D2148&gt;=20,5,IF(D2148&gt;=10,4,IF(D2148&gt;=5,3,IF(D2148&gt;=2,2,1))))</f>
        <v/>
      </c>
      <c r="H2148" s="128">
        <f>IF(E2148&gt;=5000,5,IF(E2148&gt;=2000,4,IF(E2148&gt;=800,3,IF(E2148&gt;=300,2,1))))</f>
        <v/>
      </c>
      <c r="I2148" s="126">
        <f>TEXT(F2148,"0")&amp;TEXT(G2148,"0")&amp;TEXT(H2148,"0")</f>
        <v/>
      </c>
      <c r="J2148" s="126">
        <f>IFERROR(XLOOKUP(I2148,'Segment Map'!A:A,'Segment Map'!B:B,"Need Attention"),"Need Attention")</f>
        <v/>
      </c>
      <c r="K2148" s="126">
        <f>IF(E2148&gt;=5000,"🏆 Platinum",IF(E2148&gt;=2000,"🥇 Gold",IF(E2148&gt;=800,"🥈 Silver","🥉 Bronze")))</f>
        <v/>
      </c>
      <c r="L2148" s="129" t="n">
        <v>40548</v>
      </c>
    </row>
    <row r="2149">
      <c r="A2149" s="122" t="n">
        <v>15267</v>
      </c>
      <c r="B2149" s="122" t="inlineStr">
        <is>
          <t>United Kingdom</t>
        </is>
      </c>
      <c r="C2149" s="122" t="n">
        <v>23</v>
      </c>
      <c r="D2149" s="122" t="n">
        <v>5</v>
      </c>
      <c r="E2149" s="123" t="n">
        <v>1717.36</v>
      </c>
      <c r="F2149" s="124">
        <f>IF(C2149&lt;=30,5,IF(C2149&lt;=60,4,IF(C2149&lt;=120,3,IF(C2149&lt;=200,2,1))))</f>
        <v/>
      </c>
      <c r="G2149" s="124">
        <f>IF(D2149&gt;=20,5,IF(D2149&gt;=10,4,IF(D2149&gt;=5,3,IF(D2149&gt;=2,2,1))))</f>
        <v/>
      </c>
      <c r="H2149" s="124">
        <f>IF(E2149&gt;=5000,5,IF(E2149&gt;=2000,4,IF(E2149&gt;=800,3,IF(E2149&gt;=300,2,1))))</f>
        <v/>
      </c>
      <c r="I2149" s="122">
        <f>TEXT(F2149,"0")&amp;TEXT(G2149,"0")&amp;TEXT(H2149,"0")</f>
        <v/>
      </c>
      <c r="J2149" s="122">
        <f>IFERROR(XLOOKUP(I2149,'Segment Map'!A:A,'Segment Map'!B:B,"Need Attention"),"Need Attention")</f>
        <v/>
      </c>
      <c r="K2149" s="122">
        <f>IF(E2149&gt;=5000,"🏆 Platinum",IF(E2149&gt;=2000,"🥇 Gold",IF(E2149&gt;=800,"🥈 Silver","🥉 Bronze")))</f>
        <v/>
      </c>
      <c r="L2149" s="125" t="n">
        <v>40864</v>
      </c>
    </row>
    <row r="2150">
      <c r="A2150" s="126" t="n">
        <v>15269</v>
      </c>
      <c r="B2150" s="126" t="inlineStr">
        <is>
          <t>United Kingdom</t>
        </is>
      </c>
      <c r="C2150" s="126" t="n">
        <v>24</v>
      </c>
      <c r="D2150" s="126" t="n">
        <v>1</v>
      </c>
      <c r="E2150" s="127" t="n">
        <v>408.8</v>
      </c>
      <c r="F2150" s="128">
        <f>IF(C2150&lt;=30,5,IF(C2150&lt;=60,4,IF(C2150&lt;=120,3,IF(C2150&lt;=200,2,1))))</f>
        <v/>
      </c>
      <c r="G2150" s="128">
        <f>IF(D2150&gt;=20,5,IF(D2150&gt;=10,4,IF(D2150&gt;=5,3,IF(D2150&gt;=2,2,1))))</f>
        <v/>
      </c>
      <c r="H2150" s="128">
        <f>IF(E2150&gt;=5000,5,IF(E2150&gt;=2000,4,IF(E2150&gt;=800,3,IF(E2150&gt;=300,2,1))))</f>
        <v/>
      </c>
      <c r="I2150" s="126">
        <f>TEXT(F2150,"0")&amp;TEXT(G2150,"0")&amp;TEXT(H2150,"0")</f>
        <v/>
      </c>
      <c r="J2150" s="126">
        <f>IFERROR(XLOOKUP(I2150,'Segment Map'!A:A,'Segment Map'!B:B,"Need Attention"),"Need Attention")</f>
        <v/>
      </c>
      <c r="K2150" s="126">
        <f>IF(E2150&gt;=5000,"🏆 Platinum",IF(E2150&gt;=2000,"🥇 Gold",IF(E2150&gt;=800,"🥈 Silver","🥉 Bronze")))</f>
        <v/>
      </c>
      <c r="L2150" s="129" t="n">
        <v>40863</v>
      </c>
    </row>
    <row r="2151">
      <c r="A2151" s="122" t="n">
        <v>15270</v>
      </c>
      <c r="B2151" s="122" t="inlineStr">
        <is>
          <t>United Kingdom</t>
        </is>
      </c>
      <c r="C2151" s="122" t="n">
        <v>16</v>
      </c>
      <c r="D2151" s="122" t="n">
        <v>7</v>
      </c>
      <c r="E2151" s="123" t="n">
        <v>2379.49</v>
      </c>
      <c r="F2151" s="124">
        <f>IF(C2151&lt;=30,5,IF(C2151&lt;=60,4,IF(C2151&lt;=120,3,IF(C2151&lt;=200,2,1))))</f>
        <v/>
      </c>
      <c r="G2151" s="124">
        <f>IF(D2151&gt;=20,5,IF(D2151&gt;=10,4,IF(D2151&gt;=5,3,IF(D2151&gt;=2,2,1))))</f>
        <v/>
      </c>
      <c r="H2151" s="124">
        <f>IF(E2151&gt;=5000,5,IF(E2151&gt;=2000,4,IF(E2151&gt;=800,3,IF(E2151&gt;=300,2,1))))</f>
        <v/>
      </c>
      <c r="I2151" s="122">
        <f>TEXT(F2151,"0")&amp;TEXT(G2151,"0")&amp;TEXT(H2151,"0")</f>
        <v/>
      </c>
      <c r="J2151" s="122">
        <f>IFERROR(XLOOKUP(I2151,'Segment Map'!A:A,'Segment Map'!B:B,"Need Attention"),"Need Attention")</f>
        <v/>
      </c>
      <c r="K2151" s="122">
        <f>IF(E2151&gt;=5000,"🏆 Platinum",IF(E2151&gt;=2000,"🥇 Gold",IF(E2151&gt;=800,"🥈 Silver","🥉 Bronze")))</f>
        <v/>
      </c>
      <c r="L2151" s="125" t="n">
        <v>40871</v>
      </c>
    </row>
    <row r="2152">
      <c r="A2152" s="126" t="n">
        <v>15271</v>
      </c>
      <c r="B2152" s="126" t="inlineStr">
        <is>
          <t>United Kingdom</t>
        </is>
      </c>
      <c r="C2152" s="126" t="n">
        <v>8</v>
      </c>
      <c r="D2152" s="126" t="n">
        <v>15</v>
      </c>
      <c r="E2152" s="127" t="n">
        <v>2507.07</v>
      </c>
      <c r="F2152" s="128">
        <f>IF(C2152&lt;=30,5,IF(C2152&lt;=60,4,IF(C2152&lt;=120,3,IF(C2152&lt;=200,2,1))))</f>
        <v/>
      </c>
      <c r="G2152" s="128">
        <f>IF(D2152&gt;=20,5,IF(D2152&gt;=10,4,IF(D2152&gt;=5,3,IF(D2152&gt;=2,2,1))))</f>
        <v/>
      </c>
      <c r="H2152" s="128">
        <f>IF(E2152&gt;=5000,5,IF(E2152&gt;=2000,4,IF(E2152&gt;=800,3,IF(E2152&gt;=300,2,1))))</f>
        <v/>
      </c>
      <c r="I2152" s="126">
        <f>TEXT(F2152,"0")&amp;TEXT(G2152,"0")&amp;TEXT(H2152,"0")</f>
        <v/>
      </c>
      <c r="J2152" s="126">
        <f>IFERROR(XLOOKUP(I2152,'Segment Map'!A:A,'Segment Map'!B:B,"Need Attention"),"Need Attention")</f>
        <v/>
      </c>
      <c r="K2152" s="126">
        <f>IF(E2152&gt;=5000,"🏆 Platinum",IF(E2152&gt;=2000,"🥇 Gold",IF(E2152&gt;=800,"🥈 Silver","🥉 Bronze")))</f>
        <v/>
      </c>
      <c r="L2152" s="129" t="n">
        <v>40879</v>
      </c>
    </row>
    <row r="2153">
      <c r="A2153" s="122" t="n">
        <v>15272</v>
      </c>
      <c r="B2153" s="122" t="inlineStr">
        <is>
          <t>United Kingdom</t>
        </is>
      </c>
      <c r="C2153" s="122" t="n">
        <v>58</v>
      </c>
      <c r="D2153" s="122" t="n">
        <v>2</v>
      </c>
      <c r="E2153" s="123" t="n">
        <v>721.9400000000001</v>
      </c>
      <c r="F2153" s="124">
        <f>IF(C2153&lt;=30,5,IF(C2153&lt;=60,4,IF(C2153&lt;=120,3,IF(C2153&lt;=200,2,1))))</f>
        <v/>
      </c>
      <c r="G2153" s="124">
        <f>IF(D2153&gt;=20,5,IF(D2153&gt;=10,4,IF(D2153&gt;=5,3,IF(D2153&gt;=2,2,1))))</f>
        <v/>
      </c>
      <c r="H2153" s="124">
        <f>IF(E2153&gt;=5000,5,IF(E2153&gt;=2000,4,IF(E2153&gt;=800,3,IF(E2153&gt;=300,2,1))))</f>
        <v/>
      </c>
      <c r="I2153" s="122">
        <f>TEXT(F2153,"0")&amp;TEXT(G2153,"0")&amp;TEXT(H2153,"0")</f>
        <v/>
      </c>
      <c r="J2153" s="122">
        <f>IFERROR(XLOOKUP(I2153,'Segment Map'!A:A,'Segment Map'!B:B,"Need Attention"),"Need Attention")</f>
        <v/>
      </c>
      <c r="K2153" s="122">
        <f>IF(E2153&gt;=5000,"🏆 Platinum",IF(E2153&gt;=2000,"🥇 Gold",IF(E2153&gt;=800,"🥈 Silver","🥉 Bronze")))</f>
        <v/>
      </c>
      <c r="L2153" s="125" t="n">
        <v>40829</v>
      </c>
    </row>
    <row r="2154">
      <c r="A2154" s="126" t="n">
        <v>15274</v>
      </c>
      <c r="B2154" s="126" t="inlineStr">
        <is>
          <t>United Kingdom</t>
        </is>
      </c>
      <c r="C2154" s="126" t="n">
        <v>5</v>
      </c>
      <c r="D2154" s="126" t="n">
        <v>2</v>
      </c>
      <c r="E2154" s="127" t="n">
        <v>716.5700000000001</v>
      </c>
      <c r="F2154" s="128">
        <f>IF(C2154&lt;=30,5,IF(C2154&lt;=60,4,IF(C2154&lt;=120,3,IF(C2154&lt;=200,2,1))))</f>
        <v/>
      </c>
      <c r="G2154" s="128">
        <f>IF(D2154&gt;=20,5,IF(D2154&gt;=10,4,IF(D2154&gt;=5,3,IF(D2154&gt;=2,2,1))))</f>
        <v/>
      </c>
      <c r="H2154" s="128">
        <f>IF(E2154&gt;=5000,5,IF(E2154&gt;=2000,4,IF(E2154&gt;=800,3,IF(E2154&gt;=300,2,1))))</f>
        <v/>
      </c>
      <c r="I2154" s="126">
        <f>TEXT(F2154,"0")&amp;TEXT(G2154,"0")&amp;TEXT(H2154,"0")</f>
        <v/>
      </c>
      <c r="J2154" s="126">
        <f>IFERROR(XLOOKUP(I2154,'Segment Map'!A:A,'Segment Map'!B:B,"Need Attention"),"Need Attention")</f>
        <v/>
      </c>
      <c r="K2154" s="126">
        <f>IF(E2154&gt;=5000,"🏆 Platinum",IF(E2154&gt;=2000,"🥇 Gold",IF(E2154&gt;=800,"🥈 Silver","🥉 Bronze")))</f>
        <v/>
      </c>
      <c r="L2154" s="129" t="n">
        <v>40882</v>
      </c>
    </row>
    <row r="2155">
      <c r="A2155" s="122" t="n">
        <v>15275</v>
      </c>
      <c r="B2155" s="122" t="inlineStr">
        <is>
          <t>United Kingdom</t>
        </is>
      </c>
      <c r="C2155" s="122" t="n">
        <v>38</v>
      </c>
      <c r="D2155" s="122" t="n">
        <v>1</v>
      </c>
      <c r="E2155" s="123" t="n">
        <v>615.14</v>
      </c>
      <c r="F2155" s="124">
        <f>IF(C2155&lt;=30,5,IF(C2155&lt;=60,4,IF(C2155&lt;=120,3,IF(C2155&lt;=200,2,1))))</f>
        <v/>
      </c>
      <c r="G2155" s="124">
        <f>IF(D2155&gt;=20,5,IF(D2155&gt;=10,4,IF(D2155&gt;=5,3,IF(D2155&gt;=2,2,1))))</f>
        <v/>
      </c>
      <c r="H2155" s="124">
        <f>IF(E2155&gt;=5000,5,IF(E2155&gt;=2000,4,IF(E2155&gt;=800,3,IF(E2155&gt;=300,2,1))))</f>
        <v/>
      </c>
      <c r="I2155" s="122">
        <f>TEXT(F2155,"0")&amp;TEXT(G2155,"0")&amp;TEXT(H2155,"0")</f>
        <v/>
      </c>
      <c r="J2155" s="122">
        <f>IFERROR(XLOOKUP(I2155,'Segment Map'!A:A,'Segment Map'!B:B,"Need Attention"),"Need Attention")</f>
        <v/>
      </c>
      <c r="K2155" s="122">
        <f>IF(E2155&gt;=5000,"🏆 Platinum",IF(E2155&gt;=2000,"🥇 Gold",IF(E2155&gt;=800,"🥈 Silver","🥉 Bronze")))</f>
        <v/>
      </c>
      <c r="L2155" s="125" t="n">
        <v>40849</v>
      </c>
    </row>
    <row r="2156">
      <c r="A2156" s="126" t="n">
        <v>15276</v>
      </c>
      <c r="B2156" s="126" t="inlineStr">
        <is>
          <t>United Kingdom</t>
        </is>
      </c>
      <c r="C2156" s="126" t="n">
        <v>67</v>
      </c>
      <c r="D2156" s="126" t="n">
        <v>1</v>
      </c>
      <c r="E2156" s="127" t="n">
        <v>135.31</v>
      </c>
      <c r="F2156" s="128">
        <f>IF(C2156&lt;=30,5,IF(C2156&lt;=60,4,IF(C2156&lt;=120,3,IF(C2156&lt;=200,2,1))))</f>
        <v/>
      </c>
      <c r="G2156" s="128">
        <f>IF(D2156&gt;=20,5,IF(D2156&gt;=10,4,IF(D2156&gt;=5,3,IF(D2156&gt;=2,2,1))))</f>
        <v/>
      </c>
      <c r="H2156" s="128">
        <f>IF(E2156&gt;=5000,5,IF(E2156&gt;=2000,4,IF(E2156&gt;=800,3,IF(E2156&gt;=300,2,1))))</f>
        <v/>
      </c>
      <c r="I2156" s="126">
        <f>TEXT(F2156,"0")&amp;TEXT(G2156,"0")&amp;TEXT(H2156,"0")</f>
        <v/>
      </c>
      <c r="J2156" s="126">
        <f>IFERROR(XLOOKUP(I2156,'Segment Map'!A:A,'Segment Map'!B:B,"Need Attention"),"Need Attention")</f>
        <v/>
      </c>
      <c r="K2156" s="126">
        <f>IF(E2156&gt;=5000,"🏆 Platinum",IF(E2156&gt;=2000,"🥇 Gold",IF(E2156&gt;=800,"🥈 Silver","🥉 Bronze")))</f>
        <v/>
      </c>
      <c r="L2156" s="129" t="n">
        <v>40820</v>
      </c>
    </row>
    <row r="2157">
      <c r="A2157" s="122" t="n">
        <v>15277</v>
      </c>
      <c r="B2157" s="122" t="inlineStr">
        <is>
          <t>United Kingdom</t>
        </is>
      </c>
      <c r="C2157" s="122" t="n">
        <v>47</v>
      </c>
      <c r="D2157" s="122" t="n">
        <v>1</v>
      </c>
      <c r="E2157" s="123" t="n">
        <v>255.9</v>
      </c>
      <c r="F2157" s="124">
        <f>IF(C2157&lt;=30,5,IF(C2157&lt;=60,4,IF(C2157&lt;=120,3,IF(C2157&lt;=200,2,1))))</f>
        <v/>
      </c>
      <c r="G2157" s="124">
        <f>IF(D2157&gt;=20,5,IF(D2157&gt;=10,4,IF(D2157&gt;=5,3,IF(D2157&gt;=2,2,1))))</f>
        <v/>
      </c>
      <c r="H2157" s="124">
        <f>IF(E2157&gt;=5000,5,IF(E2157&gt;=2000,4,IF(E2157&gt;=800,3,IF(E2157&gt;=300,2,1))))</f>
        <v/>
      </c>
      <c r="I2157" s="122">
        <f>TEXT(F2157,"0")&amp;TEXT(G2157,"0")&amp;TEXT(H2157,"0")</f>
        <v/>
      </c>
      <c r="J2157" s="122">
        <f>IFERROR(XLOOKUP(I2157,'Segment Map'!A:A,'Segment Map'!B:B,"Need Attention"),"Need Attention")</f>
        <v/>
      </c>
      <c r="K2157" s="122">
        <f>IF(E2157&gt;=5000,"🏆 Platinum",IF(E2157&gt;=2000,"🥇 Gold",IF(E2157&gt;=800,"🥈 Silver","🥉 Bronze")))</f>
        <v/>
      </c>
      <c r="L2157" s="125" t="n">
        <v>40840</v>
      </c>
    </row>
    <row r="2158">
      <c r="A2158" s="126" t="n">
        <v>15279</v>
      </c>
      <c r="B2158" s="126" t="inlineStr">
        <is>
          <t>United Kingdom</t>
        </is>
      </c>
      <c r="C2158" s="126" t="n">
        <v>355</v>
      </c>
      <c r="D2158" s="126" t="n">
        <v>1</v>
      </c>
      <c r="E2158" s="127" t="n">
        <v>290.51</v>
      </c>
      <c r="F2158" s="128">
        <f>IF(C2158&lt;=30,5,IF(C2158&lt;=60,4,IF(C2158&lt;=120,3,IF(C2158&lt;=200,2,1))))</f>
        <v/>
      </c>
      <c r="G2158" s="128">
        <f>IF(D2158&gt;=20,5,IF(D2158&gt;=10,4,IF(D2158&gt;=5,3,IF(D2158&gt;=2,2,1))))</f>
        <v/>
      </c>
      <c r="H2158" s="128">
        <f>IF(E2158&gt;=5000,5,IF(E2158&gt;=2000,4,IF(E2158&gt;=800,3,IF(E2158&gt;=300,2,1))))</f>
        <v/>
      </c>
      <c r="I2158" s="126">
        <f>TEXT(F2158,"0")&amp;TEXT(G2158,"0")&amp;TEXT(H2158,"0")</f>
        <v/>
      </c>
      <c r="J2158" s="126">
        <f>IFERROR(XLOOKUP(I2158,'Segment Map'!A:A,'Segment Map'!B:B,"Need Attention"),"Need Attention")</f>
        <v/>
      </c>
      <c r="K2158" s="126">
        <f>IF(E2158&gt;=5000,"🏆 Platinum",IF(E2158&gt;=2000,"🥇 Gold",IF(E2158&gt;=800,"🥈 Silver","🥉 Bronze")))</f>
        <v/>
      </c>
      <c r="L2158" s="129" t="n">
        <v>40532</v>
      </c>
    </row>
    <row r="2159">
      <c r="A2159" s="122" t="n">
        <v>15280</v>
      </c>
      <c r="B2159" s="122" t="inlineStr">
        <is>
          <t>United Kingdom</t>
        </is>
      </c>
      <c r="C2159" s="122" t="n">
        <v>173</v>
      </c>
      <c r="D2159" s="122" t="n">
        <v>1</v>
      </c>
      <c r="E2159" s="123" t="n">
        <v>113.12</v>
      </c>
      <c r="F2159" s="124">
        <f>IF(C2159&lt;=30,5,IF(C2159&lt;=60,4,IF(C2159&lt;=120,3,IF(C2159&lt;=200,2,1))))</f>
        <v/>
      </c>
      <c r="G2159" s="124">
        <f>IF(D2159&gt;=20,5,IF(D2159&gt;=10,4,IF(D2159&gt;=5,3,IF(D2159&gt;=2,2,1))))</f>
        <v/>
      </c>
      <c r="H2159" s="124">
        <f>IF(E2159&gt;=5000,5,IF(E2159&gt;=2000,4,IF(E2159&gt;=800,3,IF(E2159&gt;=300,2,1))))</f>
        <v/>
      </c>
      <c r="I2159" s="122">
        <f>TEXT(F2159,"0")&amp;TEXT(G2159,"0")&amp;TEXT(H2159,"0")</f>
        <v/>
      </c>
      <c r="J2159" s="122">
        <f>IFERROR(XLOOKUP(I2159,'Segment Map'!A:A,'Segment Map'!B:B,"Need Attention"),"Need Attention")</f>
        <v/>
      </c>
      <c r="K2159" s="122">
        <f>IF(E2159&gt;=5000,"🏆 Platinum",IF(E2159&gt;=2000,"🥇 Gold",IF(E2159&gt;=800,"🥈 Silver","🥉 Bronze")))</f>
        <v/>
      </c>
      <c r="L2159" s="125" t="n">
        <v>40714</v>
      </c>
    </row>
    <row r="2160">
      <c r="A2160" s="126" t="n">
        <v>15281</v>
      </c>
      <c r="B2160" s="126" t="inlineStr">
        <is>
          <t>United Kingdom</t>
        </is>
      </c>
      <c r="C2160" s="126" t="n">
        <v>59</v>
      </c>
      <c r="D2160" s="126" t="n">
        <v>9</v>
      </c>
      <c r="E2160" s="127" t="n">
        <v>2332.15</v>
      </c>
      <c r="F2160" s="128">
        <f>IF(C2160&lt;=30,5,IF(C2160&lt;=60,4,IF(C2160&lt;=120,3,IF(C2160&lt;=200,2,1))))</f>
        <v/>
      </c>
      <c r="G2160" s="128">
        <f>IF(D2160&gt;=20,5,IF(D2160&gt;=10,4,IF(D2160&gt;=5,3,IF(D2160&gt;=2,2,1))))</f>
        <v/>
      </c>
      <c r="H2160" s="128">
        <f>IF(E2160&gt;=5000,5,IF(E2160&gt;=2000,4,IF(E2160&gt;=800,3,IF(E2160&gt;=300,2,1))))</f>
        <v/>
      </c>
      <c r="I2160" s="126">
        <f>TEXT(F2160,"0")&amp;TEXT(G2160,"0")&amp;TEXT(H2160,"0")</f>
        <v/>
      </c>
      <c r="J2160" s="126">
        <f>IFERROR(XLOOKUP(I2160,'Segment Map'!A:A,'Segment Map'!B:B,"Need Attention"),"Need Attention")</f>
        <v/>
      </c>
      <c r="K2160" s="126">
        <f>IF(E2160&gt;=5000,"🏆 Platinum",IF(E2160&gt;=2000,"🥇 Gold",IF(E2160&gt;=800,"🥈 Silver","🥉 Bronze")))</f>
        <v/>
      </c>
      <c r="L2160" s="129" t="n">
        <v>40828</v>
      </c>
    </row>
    <row r="2161">
      <c r="A2161" s="122" t="n">
        <v>15286</v>
      </c>
      <c r="B2161" s="122" t="inlineStr">
        <is>
          <t>United Kingdom</t>
        </is>
      </c>
      <c r="C2161" s="122" t="n">
        <v>50</v>
      </c>
      <c r="D2161" s="122" t="n">
        <v>1</v>
      </c>
      <c r="E2161" s="123" t="n">
        <v>240.55</v>
      </c>
      <c r="F2161" s="124">
        <f>IF(C2161&lt;=30,5,IF(C2161&lt;=60,4,IF(C2161&lt;=120,3,IF(C2161&lt;=200,2,1))))</f>
        <v/>
      </c>
      <c r="G2161" s="124">
        <f>IF(D2161&gt;=20,5,IF(D2161&gt;=10,4,IF(D2161&gt;=5,3,IF(D2161&gt;=2,2,1))))</f>
        <v/>
      </c>
      <c r="H2161" s="124">
        <f>IF(E2161&gt;=5000,5,IF(E2161&gt;=2000,4,IF(E2161&gt;=800,3,IF(E2161&gt;=300,2,1))))</f>
        <v/>
      </c>
      <c r="I2161" s="122">
        <f>TEXT(F2161,"0")&amp;TEXT(G2161,"0")&amp;TEXT(H2161,"0")</f>
        <v/>
      </c>
      <c r="J2161" s="122">
        <f>IFERROR(XLOOKUP(I2161,'Segment Map'!A:A,'Segment Map'!B:B,"Need Attention"),"Need Attention")</f>
        <v/>
      </c>
      <c r="K2161" s="122">
        <f>IF(E2161&gt;=5000,"🏆 Platinum",IF(E2161&gt;=2000,"🥇 Gold",IF(E2161&gt;=800,"🥈 Silver","🥉 Bronze")))</f>
        <v/>
      </c>
      <c r="L2161" s="125" t="n">
        <v>40837</v>
      </c>
    </row>
    <row r="2162">
      <c r="A2162" s="126" t="n">
        <v>15287</v>
      </c>
      <c r="B2162" s="126" t="inlineStr">
        <is>
          <t>United Kingdom</t>
        </is>
      </c>
      <c r="C2162" s="126" t="n">
        <v>23</v>
      </c>
      <c r="D2162" s="126" t="n">
        <v>2</v>
      </c>
      <c r="E2162" s="127" t="n">
        <v>486.69</v>
      </c>
      <c r="F2162" s="128">
        <f>IF(C2162&lt;=30,5,IF(C2162&lt;=60,4,IF(C2162&lt;=120,3,IF(C2162&lt;=200,2,1))))</f>
        <v/>
      </c>
      <c r="G2162" s="128">
        <f>IF(D2162&gt;=20,5,IF(D2162&gt;=10,4,IF(D2162&gt;=5,3,IF(D2162&gt;=2,2,1))))</f>
        <v/>
      </c>
      <c r="H2162" s="128">
        <f>IF(E2162&gt;=5000,5,IF(E2162&gt;=2000,4,IF(E2162&gt;=800,3,IF(E2162&gt;=300,2,1))))</f>
        <v/>
      </c>
      <c r="I2162" s="126">
        <f>TEXT(F2162,"0")&amp;TEXT(G2162,"0")&amp;TEXT(H2162,"0")</f>
        <v/>
      </c>
      <c r="J2162" s="126">
        <f>IFERROR(XLOOKUP(I2162,'Segment Map'!A:A,'Segment Map'!B:B,"Need Attention"),"Need Attention")</f>
        <v/>
      </c>
      <c r="K2162" s="126">
        <f>IF(E2162&gt;=5000,"🏆 Platinum",IF(E2162&gt;=2000,"🥇 Gold",IF(E2162&gt;=800,"🥈 Silver","🥉 Bronze")))</f>
        <v/>
      </c>
      <c r="L2162" s="129" t="n">
        <v>40864</v>
      </c>
    </row>
    <row r="2163">
      <c r="A2163" s="122" t="n">
        <v>15288</v>
      </c>
      <c r="B2163" s="122" t="inlineStr">
        <is>
          <t>United Kingdom</t>
        </is>
      </c>
      <c r="C2163" s="122" t="n">
        <v>44</v>
      </c>
      <c r="D2163" s="122" t="n">
        <v>5</v>
      </c>
      <c r="E2163" s="123" t="n">
        <v>2306.52</v>
      </c>
      <c r="F2163" s="124">
        <f>IF(C2163&lt;=30,5,IF(C2163&lt;=60,4,IF(C2163&lt;=120,3,IF(C2163&lt;=200,2,1))))</f>
        <v/>
      </c>
      <c r="G2163" s="124">
        <f>IF(D2163&gt;=20,5,IF(D2163&gt;=10,4,IF(D2163&gt;=5,3,IF(D2163&gt;=2,2,1))))</f>
        <v/>
      </c>
      <c r="H2163" s="124">
        <f>IF(E2163&gt;=5000,5,IF(E2163&gt;=2000,4,IF(E2163&gt;=800,3,IF(E2163&gt;=300,2,1))))</f>
        <v/>
      </c>
      <c r="I2163" s="122">
        <f>TEXT(F2163,"0")&amp;TEXT(G2163,"0")&amp;TEXT(H2163,"0")</f>
        <v/>
      </c>
      <c r="J2163" s="122">
        <f>IFERROR(XLOOKUP(I2163,'Segment Map'!A:A,'Segment Map'!B:B,"Need Attention"),"Need Attention")</f>
        <v/>
      </c>
      <c r="K2163" s="122">
        <f>IF(E2163&gt;=5000,"🏆 Platinum",IF(E2163&gt;=2000,"🥇 Gold",IF(E2163&gt;=800,"🥈 Silver","🥉 Bronze")))</f>
        <v/>
      </c>
      <c r="L2163" s="125" t="n">
        <v>40843</v>
      </c>
    </row>
    <row r="2164">
      <c r="A2164" s="126" t="n">
        <v>15289</v>
      </c>
      <c r="B2164" s="126" t="inlineStr">
        <is>
          <t>United Kingdom</t>
        </is>
      </c>
      <c r="C2164" s="126" t="n">
        <v>30</v>
      </c>
      <c r="D2164" s="126" t="n">
        <v>3</v>
      </c>
      <c r="E2164" s="127" t="n">
        <v>939.78</v>
      </c>
      <c r="F2164" s="128">
        <f>IF(C2164&lt;=30,5,IF(C2164&lt;=60,4,IF(C2164&lt;=120,3,IF(C2164&lt;=200,2,1))))</f>
        <v/>
      </c>
      <c r="G2164" s="128">
        <f>IF(D2164&gt;=20,5,IF(D2164&gt;=10,4,IF(D2164&gt;=5,3,IF(D2164&gt;=2,2,1))))</f>
        <v/>
      </c>
      <c r="H2164" s="128">
        <f>IF(E2164&gt;=5000,5,IF(E2164&gt;=2000,4,IF(E2164&gt;=800,3,IF(E2164&gt;=300,2,1))))</f>
        <v/>
      </c>
      <c r="I2164" s="126">
        <f>TEXT(F2164,"0")&amp;TEXT(G2164,"0")&amp;TEXT(H2164,"0")</f>
        <v/>
      </c>
      <c r="J2164" s="126">
        <f>IFERROR(XLOOKUP(I2164,'Segment Map'!A:A,'Segment Map'!B:B,"Need Attention"),"Need Attention")</f>
        <v/>
      </c>
      <c r="K2164" s="126">
        <f>IF(E2164&gt;=5000,"🏆 Platinum",IF(E2164&gt;=2000,"🥇 Gold",IF(E2164&gt;=800,"🥈 Silver","🥉 Bronze")))</f>
        <v/>
      </c>
      <c r="L2164" s="129" t="n">
        <v>40857</v>
      </c>
    </row>
    <row r="2165">
      <c r="A2165" s="122" t="n">
        <v>15290</v>
      </c>
      <c r="B2165" s="122" t="inlineStr">
        <is>
          <t>United Kingdom</t>
        </is>
      </c>
      <c r="C2165" s="122" t="n">
        <v>5</v>
      </c>
      <c r="D2165" s="122" t="n">
        <v>18</v>
      </c>
      <c r="E2165" s="123" t="n">
        <v>7943.22</v>
      </c>
      <c r="F2165" s="124">
        <f>IF(C2165&lt;=30,5,IF(C2165&lt;=60,4,IF(C2165&lt;=120,3,IF(C2165&lt;=200,2,1))))</f>
        <v/>
      </c>
      <c r="G2165" s="124">
        <f>IF(D2165&gt;=20,5,IF(D2165&gt;=10,4,IF(D2165&gt;=5,3,IF(D2165&gt;=2,2,1))))</f>
        <v/>
      </c>
      <c r="H2165" s="124">
        <f>IF(E2165&gt;=5000,5,IF(E2165&gt;=2000,4,IF(E2165&gt;=800,3,IF(E2165&gt;=300,2,1))))</f>
        <v/>
      </c>
      <c r="I2165" s="122">
        <f>TEXT(F2165,"0")&amp;TEXT(G2165,"0")&amp;TEXT(H2165,"0")</f>
        <v/>
      </c>
      <c r="J2165" s="122">
        <f>IFERROR(XLOOKUP(I2165,'Segment Map'!A:A,'Segment Map'!B:B,"Need Attention"),"Need Attention")</f>
        <v/>
      </c>
      <c r="K2165" s="122">
        <f>IF(E2165&gt;=5000,"🏆 Platinum",IF(E2165&gt;=2000,"🥇 Gold",IF(E2165&gt;=800,"🥈 Silver","🥉 Bronze")))</f>
        <v/>
      </c>
      <c r="L2165" s="125" t="n">
        <v>40882</v>
      </c>
    </row>
    <row r="2166">
      <c r="A2166" s="126" t="n">
        <v>15291</v>
      </c>
      <c r="B2166" s="126" t="inlineStr">
        <is>
          <t>United Kingdom</t>
        </is>
      </c>
      <c r="C2166" s="126" t="n">
        <v>26</v>
      </c>
      <c r="D2166" s="126" t="n">
        <v>15</v>
      </c>
      <c r="E2166" s="127" t="n">
        <v>4668.3</v>
      </c>
      <c r="F2166" s="128">
        <f>IF(C2166&lt;=30,5,IF(C2166&lt;=60,4,IF(C2166&lt;=120,3,IF(C2166&lt;=200,2,1))))</f>
        <v/>
      </c>
      <c r="G2166" s="128">
        <f>IF(D2166&gt;=20,5,IF(D2166&gt;=10,4,IF(D2166&gt;=5,3,IF(D2166&gt;=2,2,1))))</f>
        <v/>
      </c>
      <c r="H2166" s="128">
        <f>IF(E2166&gt;=5000,5,IF(E2166&gt;=2000,4,IF(E2166&gt;=800,3,IF(E2166&gt;=300,2,1))))</f>
        <v/>
      </c>
      <c r="I2166" s="126">
        <f>TEXT(F2166,"0")&amp;TEXT(G2166,"0")&amp;TEXT(H2166,"0")</f>
        <v/>
      </c>
      <c r="J2166" s="126">
        <f>IFERROR(XLOOKUP(I2166,'Segment Map'!A:A,'Segment Map'!B:B,"Need Attention"),"Need Attention")</f>
        <v/>
      </c>
      <c r="K2166" s="126">
        <f>IF(E2166&gt;=5000,"🏆 Platinum",IF(E2166&gt;=2000,"🥇 Gold",IF(E2166&gt;=800,"🥈 Silver","🥉 Bronze")))</f>
        <v/>
      </c>
      <c r="L2166" s="129" t="n">
        <v>40861</v>
      </c>
    </row>
    <row r="2167">
      <c r="A2167" s="122" t="n">
        <v>15292</v>
      </c>
      <c r="B2167" s="122" t="inlineStr">
        <is>
          <t>United Kingdom</t>
        </is>
      </c>
      <c r="C2167" s="122" t="n">
        <v>202</v>
      </c>
      <c r="D2167" s="122" t="n">
        <v>1</v>
      </c>
      <c r="E2167" s="123" t="n">
        <v>180.94</v>
      </c>
      <c r="F2167" s="124">
        <f>IF(C2167&lt;=30,5,IF(C2167&lt;=60,4,IF(C2167&lt;=120,3,IF(C2167&lt;=200,2,1))))</f>
        <v/>
      </c>
      <c r="G2167" s="124">
        <f>IF(D2167&gt;=20,5,IF(D2167&gt;=10,4,IF(D2167&gt;=5,3,IF(D2167&gt;=2,2,1))))</f>
        <v/>
      </c>
      <c r="H2167" s="124">
        <f>IF(E2167&gt;=5000,5,IF(E2167&gt;=2000,4,IF(E2167&gt;=800,3,IF(E2167&gt;=300,2,1))))</f>
        <v/>
      </c>
      <c r="I2167" s="122">
        <f>TEXT(F2167,"0")&amp;TEXT(G2167,"0")&amp;TEXT(H2167,"0")</f>
        <v/>
      </c>
      <c r="J2167" s="122">
        <f>IFERROR(XLOOKUP(I2167,'Segment Map'!A:A,'Segment Map'!B:B,"Need Attention"),"Need Attention")</f>
        <v/>
      </c>
      <c r="K2167" s="122">
        <f>IF(E2167&gt;=5000,"🏆 Platinum",IF(E2167&gt;=2000,"🥇 Gold",IF(E2167&gt;=800,"🥈 Silver","🥉 Bronze")))</f>
        <v/>
      </c>
      <c r="L2167" s="125" t="n">
        <v>40685</v>
      </c>
    </row>
    <row r="2168">
      <c r="A2168" s="126" t="n">
        <v>15296</v>
      </c>
      <c r="B2168" s="126" t="inlineStr">
        <is>
          <t>United Kingdom</t>
        </is>
      </c>
      <c r="C2168" s="126" t="n">
        <v>51</v>
      </c>
      <c r="D2168" s="126" t="n">
        <v>6</v>
      </c>
      <c r="E2168" s="127" t="n">
        <v>3672.86</v>
      </c>
      <c r="F2168" s="128">
        <f>IF(C2168&lt;=30,5,IF(C2168&lt;=60,4,IF(C2168&lt;=120,3,IF(C2168&lt;=200,2,1))))</f>
        <v/>
      </c>
      <c r="G2168" s="128">
        <f>IF(D2168&gt;=20,5,IF(D2168&gt;=10,4,IF(D2168&gt;=5,3,IF(D2168&gt;=2,2,1))))</f>
        <v/>
      </c>
      <c r="H2168" s="128">
        <f>IF(E2168&gt;=5000,5,IF(E2168&gt;=2000,4,IF(E2168&gt;=800,3,IF(E2168&gt;=300,2,1))))</f>
        <v/>
      </c>
      <c r="I2168" s="126">
        <f>TEXT(F2168,"0")&amp;TEXT(G2168,"0")&amp;TEXT(H2168,"0")</f>
        <v/>
      </c>
      <c r="J2168" s="126">
        <f>IFERROR(XLOOKUP(I2168,'Segment Map'!A:A,'Segment Map'!B:B,"Need Attention"),"Need Attention")</f>
        <v/>
      </c>
      <c r="K2168" s="126">
        <f>IF(E2168&gt;=5000,"🏆 Platinum",IF(E2168&gt;=2000,"🥇 Gold",IF(E2168&gt;=800,"🥈 Silver","🥉 Bronze")))</f>
        <v/>
      </c>
      <c r="L2168" s="129" t="n">
        <v>40836</v>
      </c>
    </row>
    <row r="2169">
      <c r="A2169" s="122" t="n">
        <v>15297</v>
      </c>
      <c r="B2169" s="122" t="inlineStr">
        <is>
          <t>United Kingdom</t>
        </is>
      </c>
      <c r="C2169" s="122" t="n">
        <v>11</v>
      </c>
      <c r="D2169" s="122" t="n">
        <v>3</v>
      </c>
      <c r="E2169" s="123" t="n">
        <v>641.9400000000001</v>
      </c>
      <c r="F2169" s="124">
        <f>IF(C2169&lt;=30,5,IF(C2169&lt;=60,4,IF(C2169&lt;=120,3,IF(C2169&lt;=200,2,1))))</f>
        <v/>
      </c>
      <c r="G2169" s="124">
        <f>IF(D2169&gt;=20,5,IF(D2169&gt;=10,4,IF(D2169&gt;=5,3,IF(D2169&gt;=2,2,1))))</f>
        <v/>
      </c>
      <c r="H2169" s="124">
        <f>IF(E2169&gt;=5000,5,IF(E2169&gt;=2000,4,IF(E2169&gt;=800,3,IF(E2169&gt;=300,2,1))))</f>
        <v/>
      </c>
      <c r="I2169" s="122">
        <f>TEXT(F2169,"0")&amp;TEXT(G2169,"0")&amp;TEXT(H2169,"0")</f>
        <v/>
      </c>
      <c r="J2169" s="122">
        <f>IFERROR(XLOOKUP(I2169,'Segment Map'!A:A,'Segment Map'!B:B,"Need Attention"),"Need Attention")</f>
        <v/>
      </c>
      <c r="K2169" s="122">
        <f>IF(E2169&gt;=5000,"🏆 Platinum",IF(E2169&gt;=2000,"🥇 Gold",IF(E2169&gt;=800,"🥈 Silver","🥉 Bronze")))</f>
        <v/>
      </c>
      <c r="L2169" s="125" t="n">
        <v>40876</v>
      </c>
    </row>
    <row r="2170">
      <c r="A2170" s="126" t="n">
        <v>15298</v>
      </c>
      <c r="B2170" s="126" t="inlineStr">
        <is>
          <t>United Kingdom</t>
        </is>
      </c>
      <c r="C2170" s="126" t="n">
        <v>3</v>
      </c>
      <c r="D2170" s="126" t="n">
        <v>12</v>
      </c>
      <c r="E2170" s="127" t="n">
        <v>4799.9</v>
      </c>
      <c r="F2170" s="128">
        <f>IF(C2170&lt;=30,5,IF(C2170&lt;=60,4,IF(C2170&lt;=120,3,IF(C2170&lt;=200,2,1))))</f>
        <v/>
      </c>
      <c r="G2170" s="128">
        <f>IF(D2170&gt;=20,5,IF(D2170&gt;=10,4,IF(D2170&gt;=5,3,IF(D2170&gt;=2,2,1))))</f>
        <v/>
      </c>
      <c r="H2170" s="128">
        <f>IF(E2170&gt;=5000,5,IF(E2170&gt;=2000,4,IF(E2170&gt;=800,3,IF(E2170&gt;=300,2,1))))</f>
        <v/>
      </c>
      <c r="I2170" s="126">
        <f>TEXT(F2170,"0")&amp;TEXT(G2170,"0")&amp;TEXT(H2170,"0")</f>
        <v/>
      </c>
      <c r="J2170" s="126">
        <f>IFERROR(XLOOKUP(I2170,'Segment Map'!A:A,'Segment Map'!B:B,"Need Attention"),"Need Attention")</f>
        <v/>
      </c>
      <c r="K2170" s="126">
        <f>IF(E2170&gt;=5000,"🏆 Platinum",IF(E2170&gt;=2000,"🥇 Gold",IF(E2170&gt;=800,"🥈 Silver","🥉 Bronze")))</f>
        <v/>
      </c>
      <c r="L2170" s="129" t="n">
        <v>40884</v>
      </c>
    </row>
    <row r="2171">
      <c r="A2171" s="122" t="n">
        <v>15299</v>
      </c>
      <c r="B2171" s="122" t="inlineStr">
        <is>
          <t>United Kingdom</t>
        </is>
      </c>
      <c r="C2171" s="122" t="n">
        <v>68</v>
      </c>
      <c r="D2171" s="122" t="n">
        <v>7</v>
      </c>
      <c r="E2171" s="123" t="n">
        <v>4507.01</v>
      </c>
      <c r="F2171" s="124">
        <f>IF(C2171&lt;=30,5,IF(C2171&lt;=60,4,IF(C2171&lt;=120,3,IF(C2171&lt;=200,2,1))))</f>
        <v/>
      </c>
      <c r="G2171" s="124">
        <f>IF(D2171&gt;=20,5,IF(D2171&gt;=10,4,IF(D2171&gt;=5,3,IF(D2171&gt;=2,2,1))))</f>
        <v/>
      </c>
      <c r="H2171" s="124">
        <f>IF(E2171&gt;=5000,5,IF(E2171&gt;=2000,4,IF(E2171&gt;=800,3,IF(E2171&gt;=300,2,1))))</f>
        <v/>
      </c>
      <c r="I2171" s="122">
        <f>TEXT(F2171,"0")&amp;TEXT(G2171,"0")&amp;TEXT(H2171,"0")</f>
        <v/>
      </c>
      <c r="J2171" s="122">
        <f>IFERROR(XLOOKUP(I2171,'Segment Map'!A:A,'Segment Map'!B:B,"Need Attention"),"Need Attention")</f>
        <v/>
      </c>
      <c r="K2171" s="122">
        <f>IF(E2171&gt;=5000,"🏆 Platinum",IF(E2171&gt;=2000,"🥇 Gold",IF(E2171&gt;=800,"🥈 Silver","🥉 Bronze")))</f>
        <v/>
      </c>
      <c r="L2171" s="125" t="n">
        <v>40819</v>
      </c>
    </row>
    <row r="2172">
      <c r="A2172" s="126" t="n">
        <v>15300</v>
      </c>
      <c r="B2172" s="126" t="inlineStr">
        <is>
          <t>United Kingdom</t>
        </is>
      </c>
      <c r="C2172" s="126" t="n">
        <v>65</v>
      </c>
      <c r="D2172" s="126" t="n">
        <v>1</v>
      </c>
      <c r="E2172" s="127" t="n">
        <v>496.44</v>
      </c>
      <c r="F2172" s="128">
        <f>IF(C2172&lt;=30,5,IF(C2172&lt;=60,4,IF(C2172&lt;=120,3,IF(C2172&lt;=200,2,1))))</f>
        <v/>
      </c>
      <c r="G2172" s="128">
        <f>IF(D2172&gt;=20,5,IF(D2172&gt;=10,4,IF(D2172&gt;=5,3,IF(D2172&gt;=2,2,1))))</f>
        <v/>
      </c>
      <c r="H2172" s="128">
        <f>IF(E2172&gt;=5000,5,IF(E2172&gt;=2000,4,IF(E2172&gt;=800,3,IF(E2172&gt;=300,2,1))))</f>
        <v/>
      </c>
      <c r="I2172" s="126">
        <f>TEXT(F2172,"0")&amp;TEXT(G2172,"0")&amp;TEXT(H2172,"0")</f>
        <v/>
      </c>
      <c r="J2172" s="126">
        <f>IFERROR(XLOOKUP(I2172,'Segment Map'!A:A,'Segment Map'!B:B,"Need Attention"),"Need Attention")</f>
        <v/>
      </c>
      <c r="K2172" s="126">
        <f>IF(E2172&gt;=5000,"🏆 Platinum",IF(E2172&gt;=2000,"🥇 Gold",IF(E2172&gt;=800,"🥈 Silver","🥉 Bronze")))</f>
        <v/>
      </c>
      <c r="L2172" s="129" t="n">
        <v>40822</v>
      </c>
    </row>
    <row r="2173">
      <c r="A2173" s="122" t="n">
        <v>15301</v>
      </c>
      <c r="B2173" s="122" t="inlineStr">
        <is>
          <t>United Kingdom</t>
        </is>
      </c>
      <c r="C2173" s="122" t="n">
        <v>51</v>
      </c>
      <c r="D2173" s="122" t="n">
        <v>12</v>
      </c>
      <c r="E2173" s="123" t="n">
        <v>5070.35</v>
      </c>
      <c r="F2173" s="124">
        <f>IF(C2173&lt;=30,5,IF(C2173&lt;=60,4,IF(C2173&lt;=120,3,IF(C2173&lt;=200,2,1))))</f>
        <v/>
      </c>
      <c r="G2173" s="124">
        <f>IF(D2173&gt;=20,5,IF(D2173&gt;=10,4,IF(D2173&gt;=5,3,IF(D2173&gt;=2,2,1))))</f>
        <v/>
      </c>
      <c r="H2173" s="124">
        <f>IF(E2173&gt;=5000,5,IF(E2173&gt;=2000,4,IF(E2173&gt;=800,3,IF(E2173&gt;=300,2,1))))</f>
        <v/>
      </c>
      <c r="I2173" s="122">
        <f>TEXT(F2173,"0")&amp;TEXT(G2173,"0")&amp;TEXT(H2173,"0")</f>
        <v/>
      </c>
      <c r="J2173" s="122">
        <f>IFERROR(XLOOKUP(I2173,'Segment Map'!A:A,'Segment Map'!B:B,"Need Attention"),"Need Attention")</f>
        <v/>
      </c>
      <c r="K2173" s="122">
        <f>IF(E2173&gt;=5000,"🏆 Platinum",IF(E2173&gt;=2000,"🥇 Gold",IF(E2173&gt;=800,"🥈 Silver","🥉 Bronze")))</f>
        <v/>
      </c>
      <c r="L2173" s="125" t="n">
        <v>40836</v>
      </c>
    </row>
    <row r="2174">
      <c r="A2174" s="126" t="n">
        <v>15303</v>
      </c>
      <c r="B2174" s="126" t="inlineStr">
        <is>
          <t>United Kingdom</t>
        </is>
      </c>
      <c r="C2174" s="126" t="n">
        <v>291</v>
      </c>
      <c r="D2174" s="126" t="n">
        <v>1</v>
      </c>
      <c r="E2174" s="127" t="n">
        <v>574.02</v>
      </c>
      <c r="F2174" s="128">
        <f>IF(C2174&lt;=30,5,IF(C2174&lt;=60,4,IF(C2174&lt;=120,3,IF(C2174&lt;=200,2,1))))</f>
        <v/>
      </c>
      <c r="G2174" s="128">
        <f>IF(D2174&gt;=20,5,IF(D2174&gt;=10,4,IF(D2174&gt;=5,3,IF(D2174&gt;=2,2,1))))</f>
        <v/>
      </c>
      <c r="H2174" s="128">
        <f>IF(E2174&gt;=5000,5,IF(E2174&gt;=2000,4,IF(E2174&gt;=800,3,IF(E2174&gt;=300,2,1))))</f>
        <v/>
      </c>
      <c r="I2174" s="126">
        <f>TEXT(F2174,"0")&amp;TEXT(G2174,"0")&amp;TEXT(H2174,"0")</f>
        <v/>
      </c>
      <c r="J2174" s="126">
        <f>IFERROR(XLOOKUP(I2174,'Segment Map'!A:A,'Segment Map'!B:B,"Need Attention"),"Need Attention")</f>
        <v/>
      </c>
      <c r="K2174" s="126">
        <f>IF(E2174&gt;=5000,"🏆 Platinum",IF(E2174&gt;=2000,"🥇 Gold",IF(E2174&gt;=800,"🥈 Silver","🥉 Bronze")))</f>
        <v/>
      </c>
      <c r="L2174" s="129" t="n">
        <v>40596</v>
      </c>
    </row>
    <row r="2175">
      <c r="A2175" s="122" t="n">
        <v>15304</v>
      </c>
      <c r="B2175" s="122" t="inlineStr">
        <is>
          <t>United Kingdom</t>
        </is>
      </c>
      <c r="C2175" s="122" t="n">
        <v>61</v>
      </c>
      <c r="D2175" s="122" t="n">
        <v>8</v>
      </c>
      <c r="E2175" s="123" t="n">
        <v>694.4</v>
      </c>
      <c r="F2175" s="124">
        <f>IF(C2175&lt;=30,5,IF(C2175&lt;=60,4,IF(C2175&lt;=120,3,IF(C2175&lt;=200,2,1))))</f>
        <v/>
      </c>
      <c r="G2175" s="124">
        <f>IF(D2175&gt;=20,5,IF(D2175&gt;=10,4,IF(D2175&gt;=5,3,IF(D2175&gt;=2,2,1))))</f>
        <v/>
      </c>
      <c r="H2175" s="124">
        <f>IF(E2175&gt;=5000,5,IF(E2175&gt;=2000,4,IF(E2175&gt;=800,3,IF(E2175&gt;=300,2,1))))</f>
        <v/>
      </c>
      <c r="I2175" s="122">
        <f>TEXT(F2175,"0")&amp;TEXT(G2175,"0")&amp;TEXT(H2175,"0")</f>
        <v/>
      </c>
      <c r="J2175" s="122">
        <f>IFERROR(XLOOKUP(I2175,'Segment Map'!A:A,'Segment Map'!B:B,"Need Attention"),"Need Attention")</f>
        <v/>
      </c>
      <c r="K2175" s="122">
        <f>IF(E2175&gt;=5000,"🏆 Platinum",IF(E2175&gt;=2000,"🥇 Gold",IF(E2175&gt;=800,"🥈 Silver","🥉 Bronze")))</f>
        <v/>
      </c>
      <c r="L2175" s="125" t="n">
        <v>40826</v>
      </c>
    </row>
    <row r="2176">
      <c r="A2176" s="126" t="n">
        <v>15306</v>
      </c>
      <c r="B2176" s="126" t="inlineStr">
        <is>
          <t>United Kingdom</t>
        </is>
      </c>
      <c r="C2176" s="126" t="n">
        <v>65</v>
      </c>
      <c r="D2176" s="126" t="n">
        <v>3</v>
      </c>
      <c r="E2176" s="127" t="n">
        <v>1174.35</v>
      </c>
      <c r="F2176" s="128">
        <f>IF(C2176&lt;=30,5,IF(C2176&lt;=60,4,IF(C2176&lt;=120,3,IF(C2176&lt;=200,2,1))))</f>
        <v/>
      </c>
      <c r="G2176" s="128">
        <f>IF(D2176&gt;=20,5,IF(D2176&gt;=10,4,IF(D2176&gt;=5,3,IF(D2176&gt;=2,2,1))))</f>
        <v/>
      </c>
      <c r="H2176" s="128">
        <f>IF(E2176&gt;=5000,5,IF(E2176&gt;=2000,4,IF(E2176&gt;=800,3,IF(E2176&gt;=300,2,1))))</f>
        <v/>
      </c>
      <c r="I2176" s="126">
        <f>TEXT(F2176,"0")&amp;TEXT(G2176,"0")&amp;TEXT(H2176,"0")</f>
        <v/>
      </c>
      <c r="J2176" s="126">
        <f>IFERROR(XLOOKUP(I2176,'Segment Map'!A:A,'Segment Map'!B:B,"Need Attention"),"Need Attention")</f>
        <v/>
      </c>
      <c r="K2176" s="126">
        <f>IF(E2176&gt;=5000,"🏆 Platinum",IF(E2176&gt;=2000,"🥇 Gold",IF(E2176&gt;=800,"🥈 Silver","🥉 Bronze")))</f>
        <v/>
      </c>
      <c r="L2176" s="129" t="n">
        <v>40822</v>
      </c>
    </row>
    <row r="2177">
      <c r="A2177" s="122" t="n">
        <v>15307</v>
      </c>
      <c r="B2177" s="122" t="inlineStr">
        <is>
          <t>United Kingdom</t>
        </is>
      </c>
      <c r="C2177" s="122" t="n">
        <v>96</v>
      </c>
      <c r="D2177" s="122" t="n">
        <v>1</v>
      </c>
      <c r="E2177" s="123" t="n">
        <v>205.3</v>
      </c>
      <c r="F2177" s="124">
        <f>IF(C2177&lt;=30,5,IF(C2177&lt;=60,4,IF(C2177&lt;=120,3,IF(C2177&lt;=200,2,1))))</f>
        <v/>
      </c>
      <c r="G2177" s="124">
        <f>IF(D2177&gt;=20,5,IF(D2177&gt;=10,4,IF(D2177&gt;=5,3,IF(D2177&gt;=2,2,1))))</f>
        <v/>
      </c>
      <c r="H2177" s="124">
        <f>IF(E2177&gt;=5000,5,IF(E2177&gt;=2000,4,IF(E2177&gt;=800,3,IF(E2177&gt;=300,2,1))))</f>
        <v/>
      </c>
      <c r="I2177" s="122">
        <f>TEXT(F2177,"0")&amp;TEXT(G2177,"0")&amp;TEXT(H2177,"0")</f>
        <v/>
      </c>
      <c r="J2177" s="122">
        <f>IFERROR(XLOOKUP(I2177,'Segment Map'!A:A,'Segment Map'!B:B,"Need Attention"),"Need Attention")</f>
        <v/>
      </c>
      <c r="K2177" s="122">
        <f>IF(E2177&gt;=5000,"🏆 Platinum",IF(E2177&gt;=2000,"🥇 Gold",IF(E2177&gt;=800,"🥈 Silver","🥉 Bronze")))</f>
        <v/>
      </c>
      <c r="L2177" s="125" t="n">
        <v>40791</v>
      </c>
    </row>
    <row r="2178">
      <c r="A2178" s="126" t="n">
        <v>15308</v>
      </c>
      <c r="B2178" s="126" t="inlineStr">
        <is>
          <t>United Kingdom</t>
        </is>
      </c>
      <c r="C2178" s="126" t="n">
        <v>275</v>
      </c>
      <c r="D2178" s="126" t="n">
        <v>1</v>
      </c>
      <c r="E2178" s="127" t="n">
        <v>310.47</v>
      </c>
      <c r="F2178" s="128">
        <f>IF(C2178&lt;=30,5,IF(C2178&lt;=60,4,IF(C2178&lt;=120,3,IF(C2178&lt;=200,2,1))))</f>
        <v/>
      </c>
      <c r="G2178" s="128">
        <f>IF(D2178&gt;=20,5,IF(D2178&gt;=10,4,IF(D2178&gt;=5,3,IF(D2178&gt;=2,2,1))))</f>
        <v/>
      </c>
      <c r="H2178" s="128">
        <f>IF(E2178&gt;=5000,5,IF(E2178&gt;=2000,4,IF(E2178&gt;=800,3,IF(E2178&gt;=300,2,1))))</f>
        <v/>
      </c>
      <c r="I2178" s="126">
        <f>TEXT(F2178,"0")&amp;TEXT(G2178,"0")&amp;TEXT(H2178,"0")</f>
        <v/>
      </c>
      <c r="J2178" s="126">
        <f>IFERROR(XLOOKUP(I2178,'Segment Map'!A:A,'Segment Map'!B:B,"Need Attention"),"Need Attention")</f>
        <v/>
      </c>
      <c r="K2178" s="126">
        <f>IF(E2178&gt;=5000,"🏆 Platinum",IF(E2178&gt;=2000,"🥇 Gold",IF(E2178&gt;=800,"🥈 Silver","🥉 Bronze")))</f>
        <v/>
      </c>
      <c r="L2178" s="129" t="n">
        <v>40612</v>
      </c>
    </row>
    <row r="2179">
      <c r="A2179" s="122" t="n">
        <v>15311</v>
      </c>
      <c r="B2179" s="122" t="inlineStr">
        <is>
          <t>United Kingdom</t>
        </is>
      </c>
      <c r="C2179" s="122" t="n">
        <v>1</v>
      </c>
      <c r="D2179" s="122" t="n">
        <v>91</v>
      </c>
      <c r="E2179" s="123" t="n">
        <v>60767.9</v>
      </c>
      <c r="F2179" s="124">
        <f>IF(C2179&lt;=30,5,IF(C2179&lt;=60,4,IF(C2179&lt;=120,3,IF(C2179&lt;=200,2,1))))</f>
        <v/>
      </c>
      <c r="G2179" s="124">
        <f>IF(D2179&gt;=20,5,IF(D2179&gt;=10,4,IF(D2179&gt;=5,3,IF(D2179&gt;=2,2,1))))</f>
        <v/>
      </c>
      <c r="H2179" s="124">
        <f>IF(E2179&gt;=5000,5,IF(E2179&gt;=2000,4,IF(E2179&gt;=800,3,IF(E2179&gt;=300,2,1))))</f>
        <v/>
      </c>
      <c r="I2179" s="122">
        <f>TEXT(F2179,"0")&amp;TEXT(G2179,"0")&amp;TEXT(H2179,"0")</f>
        <v/>
      </c>
      <c r="J2179" s="122">
        <f>IFERROR(XLOOKUP(I2179,'Segment Map'!A:A,'Segment Map'!B:B,"Need Attention"),"Need Attention")</f>
        <v/>
      </c>
      <c r="K2179" s="122">
        <f>IF(E2179&gt;=5000,"🏆 Platinum",IF(E2179&gt;=2000,"🥇 Gold",IF(E2179&gt;=800,"🥈 Silver","🥉 Bronze")))</f>
        <v/>
      </c>
      <c r="L2179" s="125" t="n">
        <v>40886</v>
      </c>
    </row>
    <row r="2180">
      <c r="A2180" s="126" t="n">
        <v>15312</v>
      </c>
      <c r="B2180" s="126" t="inlineStr">
        <is>
          <t>United Kingdom</t>
        </is>
      </c>
      <c r="C2180" s="126" t="n">
        <v>76</v>
      </c>
      <c r="D2180" s="126" t="n">
        <v>4</v>
      </c>
      <c r="E2180" s="127" t="n">
        <v>924.85</v>
      </c>
      <c r="F2180" s="128">
        <f>IF(C2180&lt;=30,5,IF(C2180&lt;=60,4,IF(C2180&lt;=120,3,IF(C2180&lt;=200,2,1))))</f>
        <v/>
      </c>
      <c r="G2180" s="128">
        <f>IF(D2180&gt;=20,5,IF(D2180&gt;=10,4,IF(D2180&gt;=5,3,IF(D2180&gt;=2,2,1))))</f>
        <v/>
      </c>
      <c r="H2180" s="128">
        <f>IF(E2180&gt;=5000,5,IF(E2180&gt;=2000,4,IF(E2180&gt;=800,3,IF(E2180&gt;=300,2,1))))</f>
        <v/>
      </c>
      <c r="I2180" s="126">
        <f>TEXT(F2180,"0")&amp;TEXT(G2180,"0")&amp;TEXT(H2180,"0")</f>
        <v/>
      </c>
      <c r="J2180" s="126">
        <f>IFERROR(XLOOKUP(I2180,'Segment Map'!A:A,'Segment Map'!B:B,"Need Attention"),"Need Attention")</f>
        <v/>
      </c>
      <c r="K2180" s="126">
        <f>IF(E2180&gt;=5000,"🏆 Platinum",IF(E2180&gt;=2000,"🥇 Gold",IF(E2180&gt;=800,"🥈 Silver","🥉 Bronze")))</f>
        <v/>
      </c>
      <c r="L2180" s="129" t="n">
        <v>40811</v>
      </c>
    </row>
    <row r="2181">
      <c r="A2181" s="122" t="n">
        <v>15313</v>
      </c>
      <c r="B2181" s="122" t="inlineStr">
        <is>
          <t>United Kingdom</t>
        </is>
      </c>
      <c r="C2181" s="122" t="n">
        <v>111</v>
      </c>
      <c r="D2181" s="122" t="n">
        <v>1</v>
      </c>
      <c r="E2181" s="123" t="n">
        <v>52</v>
      </c>
      <c r="F2181" s="124">
        <f>IF(C2181&lt;=30,5,IF(C2181&lt;=60,4,IF(C2181&lt;=120,3,IF(C2181&lt;=200,2,1))))</f>
        <v/>
      </c>
      <c r="G2181" s="124">
        <f>IF(D2181&gt;=20,5,IF(D2181&gt;=10,4,IF(D2181&gt;=5,3,IF(D2181&gt;=2,2,1))))</f>
        <v/>
      </c>
      <c r="H2181" s="124">
        <f>IF(E2181&gt;=5000,5,IF(E2181&gt;=2000,4,IF(E2181&gt;=800,3,IF(E2181&gt;=300,2,1))))</f>
        <v/>
      </c>
      <c r="I2181" s="122">
        <f>TEXT(F2181,"0")&amp;TEXT(G2181,"0")&amp;TEXT(H2181,"0")</f>
        <v/>
      </c>
      <c r="J2181" s="122">
        <f>IFERROR(XLOOKUP(I2181,'Segment Map'!A:A,'Segment Map'!B:B,"Need Attention"),"Need Attention")</f>
        <v/>
      </c>
      <c r="K2181" s="122">
        <f>IF(E2181&gt;=5000,"🏆 Platinum",IF(E2181&gt;=2000,"🥇 Gold",IF(E2181&gt;=800,"🥈 Silver","🥉 Bronze")))</f>
        <v/>
      </c>
      <c r="L2181" s="125" t="n">
        <v>40776</v>
      </c>
    </row>
    <row r="2182">
      <c r="A2182" s="126" t="n">
        <v>15314</v>
      </c>
      <c r="B2182" s="126" t="inlineStr">
        <is>
          <t>United Kingdom</t>
        </is>
      </c>
      <c r="C2182" s="126" t="n">
        <v>200</v>
      </c>
      <c r="D2182" s="126" t="n">
        <v>1</v>
      </c>
      <c r="E2182" s="127" t="n">
        <v>327.97</v>
      </c>
      <c r="F2182" s="128">
        <f>IF(C2182&lt;=30,5,IF(C2182&lt;=60,4,IF(C2182&lt;=120,3,IF(C2182&lt;=200,2,1))))</f>
        <v/>
      </c>
      <c r="G2182" s="128">
        <f>IF(D2182&gt;=20,5,IF(D2182&gt;=10,4,IF(D2182&gt;=5,3,IF(D2182&gt;=2,2,1))))</f>
        <v/>
      </c>
      <c r="H2182" s="128">
        <f>IF(E2182&gt;=5000,5,IF(E2182&gt;=2000,4,IF(E2182&gt;=800,3,IF(E2182&gt;=300,2,1))))</f>
        <v/>
      </c>
      <c r="I2182" s="126">
        <f>TEXT(F2182,"0")&amp;TEXT(G2182,"0")&amp;TEXT(H2182,"0")</f>
        <v/>
      </c>
      <c r="J2182" s="126">
        <f>IFERROR(XLOOKUP(I2182,'Segment Map'!A:A,'Segment Map'!B:B,"Need Attention"),"Need Attention")</f>
        <v/>
      </c>
      <c r="K2182" s="126">
        <f>IF(E2182&gt;=5000,"🏆 Platinum",IF(E2182&gt;=2000,"🥇 Gold",IF(E2182&gt;=800,"🥈 Silver","🥉 Bronze")))</f>
        <v/>
      </c>
      <c r="L2182" s="129" t="n">
        <v>40687</v>
      </c>
    </row>
    <row r="2183">
      <c r="A2183" s="122" t="n">
        <v>15315</v>
      </c>
      <c r="B2183" s="122" t="inlineStr">
        <is>
          <t>United Kingdom</t>
        </is>
      </c>
      <c r="C2183" s="122" t="n">
        <v>65</v>
      </c>
      <c r="D2183" s="122" t="n">
        <v>2</v>
      </c>
      <c r="E2183" s="123" t="n">
        <v>570.5</v>
      </c>
      <c r="F2183" s="124">
        <f>IF(C2183&lt;=30,5,IF(C2183&lt;=60,4,IF(C2183&lt;=120,3,IF(C2183&lt;=200,2,1))))</f>
        <v/>
      </c>
      <c r="G2183" s="124">
        <f>IF(D2183&gt;=20,5,IF(D2183&gt;=10,4,IF(D2183&gt;=5,3,IF(D2183&gt;=2,2,1))))</f>
        <v/>
      </c>
      <c r="H2183" s="124">
        <f>IF(E2183&gt;=5000,5,IF(E2183&gt;=2000,4,IF(E2183&gt;=800,3,IF(E2183&gt;=300,2,1))))</f>
        <v/>
      </c>
      <c r="I2183" s="122">
        <f>TEXT(F2183,"0")&amp;TEXT(G2183,"0")&amp;TEXT(H2183,"0")</f>
        <v/>
      </c>
      <c r="J2183" s="122">
        <f>IFERROR(XLOOKUP(I2183,'Segment Map'!A:A,'Segment Map'!B:B,"Need Attention"),"Need Attention")</f>
        <v/>
      </c>
      <c r="K2183" s="122">
        <f>IF(E2183&gt;=5000,"🏆 Platinum",IF(E2183&gt;=2000,"🥇 Gold",IF(E2183&gt;=800,"🥈 Silver","🥉 Bronze")))</f>
        <v/>
      </c>
      <c r="L2183" s="125" t="n">
        <v>40822</v>
      </c>
    </row>
    <row r="2184">
      <c r="A2184" s="126" t="n">
        <v>15316</v>
      </c>
      <c r="B2184" s="126" t="inlineStr">
        <is>
          <t>United Kingdom</t>
        </is>
      </c>
      <c r="C2184" s="126" t="n">
        <v>327</v>
      </c>
      <c r="D2184" s="126" t="n">
        <v>1</v>
      </c>
      <c r="E2184" s="127" t="n">
        <v>165</v>
      </c>
      <c r="F2184" s="128">
        <f>IF(C2184&lt;=30,5,IF(C2184&lt;=60,4,IF(C2184&lt;=120,3,IF(C2184&lt;=200,2,1))))</f>
        <v/>
      </c>
      <c r="G2184" s="128">
        <f>IF(D2184&gt;=20,5,IF(D2184&gt;=10,4,IF(D2184&gt;=5,3,IF(D2184&gt;=2,2,1))))</f>
        <v/>
      </c>
      <c r="H2184" s="128">
        <f>IF(E2184&gt;=5000,5,IF(E2184&gt;=2000,4,IF(E2184&gt;=800,3,IF(E2184&gt;=300,2,1))))</f>
        <v/>
      </c>
      <c r="I2184" s="126">
        <f>TEXT(F2184,"0")&amp;TEXT(G2184,"0")&amp;TEXT(H2184,"0")</f>
        <v/>
      </c>
      <c r="J2184" s="126">
        <f>IFERROR(XLOOKUP(I2184,'Segment Map'!A:A,'Segment Map'!B:B,"Need Attention"),"Need Attention")</f>
        <v/>
      </c>
      <c r="K2184" s="126">
        <f>IF(E2184&gt;=5000,"🏆 Platinum",IF(E2184&gt;=2000,"🥇 Gold",IF(E2184&gt;=800,"🥈 Silver","🥉 Bronze")))</f>
        <v/>
      </c>
      <c r="L2184" s="129" t="n">
        <v>40560</v>
      </c>
    </row>
    <row r="2185">
      <c r="A2185" s="122" t="n">
        <v>15318</v>
      </c>
      <c r="B2185" s="122" t="inlineStr">
        <is>
          <t>United Kingdom</t>
        </is>
      </c>
      <c r="C2185" s="122" t="n">
        <v>4</v>
      </c>
      <c r="D2185" s="122" t="n">
        <v>1</v>
      </c>
      <c r="E2185" s="123" t="n">
        <v>312.62</v>
      </c>
      <c r="F2185" s="124">
        <f>IF(C2185&lt;=30,5,IF(C2185&lt;=60,4,IF(C2185&lt;=120,3,IF(C2185&lt;=200,2,1))))</f>
        <v/>
      </c>
      <c r="G2185" s="124">
        <f>IF(D2185&gt;=20,5,IF(D2185&gt;=10,4,IF(D2185&gt;=5,3,IF(D2185&gt;=2,2,1))))</f>
        <v/>
      </c>
      <c r="H2185" s="124">
        <f>IF(E2185&gt;=5000,5,IF(E2185&gt;=2000,4,IF(E2185&gt;=800,3,IF(E2185&gt;=300,2,1))))</f>
        <v/>
      </c>
      <c r="I2185" s="122">
        <f>TEXT(F2185,"0")&amp;TEXT(G2185,"0")&amp;TEXT(H2185,"0")</f>
        <v/>
      </c>
      <c r="J2185" s="122">
        <f>IFERROR(XLOOKUP(I2185,'Segment Map'!A:A,'Segment Map'!B:B,"Need Attention"),"Need Attention")</f>
        <v/>
      </c>
      <c r="K2185" s="122">
        <f>IF(E2185&gt;=5000,"🏆 Platinum",IF(E2185&gt;=2000,"🥇 Gold",IF(E2185&gt;=800,"🥈 Silver","🥉 Bronze")))</f>
        <v/>
      </c>
      <c r="L2185" s="125" t="n">
        <v>40883</v>
      </c>
    </row>
    <row r="2186">
      <c r="A2186" s="126" t="n">
        <v>15319</v>
      </c>
      <c r="B2186" s="126" t="inlineStr">
        <is>
          <t>United Kingdom</t>
        </is>
      </c>
      <c r="C2186" s="126" t="n">
        <v>284</v>
      </c>
      <c r="D2186" s="126" t="n">
        <v>1</v>
      </c>
      <c r="E2186" s="127" t="n">
        <v>204.5</v>
      </c>
      <c r="F2186" s="128">
        <f>IF(C2186&lt;=30,5,IF(C2186&lt;=60,4,IF(C2186&lt;=120,3,IF(C2186&lt;=200,2,1))))</f>
        <v/>
      </c>
      <c r="G2186" s="128">
        <f>IF(D2186&gt;=20,5,IF(D2186&gt;=10,4,IF(D2186&gt;=5,3,IF(D2186&gt;=2,2,1))))</f>
        <v/>
      </c>
      <c r="H2186" s="128">
        <f>IF(E2186&gt;=5000,5,IF(E2186&gt;=2000,4,IF(E2186&gt;=800,3,IF(E2186&gt;=300,2,1))))</f>
        <v/>
      </c>
      <c r="I2186" s="126">
        <f>TEXT(F2186,"0")&amp;TEXT(G2186,"0")&amp;TEXT(H2186,"0")</f>
        <v/>
      </c>
      <c r="J2186" s="126">
        <f>IFERROR(XLOOKUP(I2186,'Segment Map'!A:A,'Segment Map'!B:B,"Need Attention"),"Need Attention")</f>
        <v/>
      </c>
      <c r="K2186" s="126">
        <f>IF(E2186&gt;=5000,"🏆 Platinum",IF(E2186&gt;=2000,"🥇 Gold",IF(E2186&gt;=800,"🥈 Silver","🥉 Bronze")))</f>
        <v/>
      </c>
      <c r="L2186" s="129" t="n">
        <v>40603</v>
      </c>
    </row>
    <row r="2187">
      <c r="A2187" s="122" t="n">
        <v>15320</v>
      </c>
      <c r="B2187" s="122" t="inlineStr">
        <is>
          <t>United Kingdom</t>
        </is>
      </c>
      <c r="C2187" s="122" t="n">
        <v>45</v>
      </c>
      <c r="D2187" s="122" t="n">
        <v>1</v>
      </c>
      <c r="E2187" s="123" t="n">
        <v>267.13</v>
      </c>
      <c r="F2187" s="124">
        <f>IF(C2187&lt;=30,5,IF(C2187&lt;=60,4,IF(C2187&lt;=120,3,IF(C2187&lt;=200,2,1))))</f>
        <v/>
      </c>
      <c r="G2187" s="124">
        <f>IF(D2187&gt;=20,5,IF(D2187&gt;=10,4,IF(D2187&gt;=5,3,IF(D2187&gt;=2,2,1))))</f>
        <v/>
      </c>
      <c r="H2187" s="124">
        <f>IF(E2187&gt;=5000,5,IF(E2187&gt;=2000,4,IF(E2187&gt;=800,3,IF(E2187&gt;=300,2,1))))</f>
        <v/>
      </c>
      <c r="I2187" s="122">
        <f>TEXT(F2187,"0")&amp;TEXT(G2187,"0")&amp;TEXT(H2187,"0")</f>
        <v/>
      </c>
      <c r="J2187" s="122">
        <f>IFERROR(XLOOKUP(I2187,'Segment Map'!A:A,'Segment Map'!B:B,"Need Attention"),"Need Attention")</f>
        <v/>
      </c>
      <c r="K2187" s="122">
        <f>IF(E2187&gt;=5000,"🏆 Platinum",IF(E2187&gt;=2000,"🥇 Gold",IF(E2187&gt;=800,"🥈 Silver","🥉 Bronze")))</f>
        <v/>
      </c>
      <c r="L2187" s="125" t="n">
        <v>40842</v>
      </c>
    </row>
    <row r="2188">
      <c r="A2188" s="126" t="n">
        <v>15321</v>
      </c>
      <c r="B2188" s="126" t="inlineStr">
        <is>
          <t>United Kingdom</t>
        </is>
      </c>
      <c r="C2188" s="126" t="n">
        <v>71</v>
      </c>
      <c r="D2188" s="126" t="n">
        <v>3</v>
      </c>
      <c r="E2188" s="127" t="n">
        <v>2748.31</v>
      </c>
      <c r="F2188" s="128">
        <f>IF(C2188&lt;=30,5,IF(C2188&lt;=60,4,IF(C2188&lt;=120,3,IF(C2188&lt;=200,2,1))))</f>
        <v/>
      </c>
      <c r="G2188" s="128">
        <f>IF(D2188&gt;=20,5,IF(D2188&gt;=10,4,IF(D2188&gt;=5,3,IF(D2188&gt;=2,2,1))))</f>
        <v/>
      </c>
      <c r="H2188" s="128">
        <f>IF(E2188&gt;=5000,5,IF(E2188&gt;=2000,4,IF(E2188&gt;=800,3,IF(E2188&gt;=300,2,1))))</f>
        <v/>
      </c>
      <c r="I2188" s="126">
        <f>TEXT(F2188,"0")&amp;TEXT(G2188,"0")&amp;TEXT(H2188,"0")</f>
        <v/>
      </c>
      <c r="J2188" s="126">
        <f>IFERROR(XLOOKUP(I2188,'Segment Map'!A:A,'Segment Map'!B:B,"Need Attention"),"Need Attention")</f>
        <v/>
      </c>
      <c r="K2188" s="126">
        <f>IF(E2188&gt;=5000,"🏆 Platinum",IF(E2188&gt;=2000,"🥇 Gold",IF(E2188&gt;=800,"🥈 Silver","🥉 Bronze")))</f>
        <v/>
      </c>
      <c r="L2188" s="129" t="n">
        <v>40816</v>
      </c>
    </row>
    <row r="2189">
      <c r="A2189" s="122" t="n">
        <v>15322</v>
      </c>
      <c r="B2189" s="122" t="inlineStr">
        <is>
          <t>United Kingdom</t>
        </is>
      </c>
      <c r="C2189" s="122" t="n">
        <v>86</v>
      </c>
      <c r="D2189" s="122" t="n">
        <v>1</v>
      </c>
      <c r="E2189" s="123" t="n">
        <v>679.6799999999999</v>
      </c>
      <c r="F2189" s="124">
        <f>IF(C2189&lt;=30,5,IF(C2189&lt;=60,4,IF(C2189&lt;=120,3,IF(C2189&lt;=200,2,1))))</f>
        <v/>
      </c>
      <c r="G2189" s="124">
        <f>IF(D2189&gt;=20,5,IF(D2189&gt;=10,4,IF(D2189&gt;=5,3,IF(D2189&gt;=2,2,1))))</f>
        <v/>
      </c>
      <c r="H2189" s="124">
        <f>IF(E2189&gt;=5000,5,IF(E2189&gt;=2000,4,IF(E2189&gt;=800,3,IF(E2189&gt;=300,2,1))))</f>
        <v/>
      </c>
      <c r="I2189" s="122">
        <f>TEXT(F2189,"0")&amp;TEXT(G2189,"0")&amp;TEXT(H2189,"0")</f>
        <v/>
      </c>
      <c r="J2189" s="122">
        <f>IFERROR(XLOOKUP(I2189,'Segment Map'!A:A,'Segment Map'!B:B,"Need Attention"),"Need Attention")</f>
        <v/>
      </c>
      <c r="K2189" s="122">
        <f>IF(E2189&gt;=5000,"🏆 Platinum",IF(E2189&gt;=2000,"🥇 Gold",IF(E2189&gt;=800,"🥈 Silver","🥉 Bronze")))</f>
        <v/>
      </c>
      <c r="L2189" s="125" t="n">
        <v>40801</v>
      </c>
    </row>
    <row r="2190">
      <c r="A2190" s="126" t="n">
        <v>15325</v>
      </c>
      <c r="B2190" s="126" t="inlineStr">
        <is>
          <t>United Kingdom</t>
        </is>
      </c>
      <c r="C2190" s="126" t="n">
        <v>104</v>
      </c>
      <c r="D2190" s="126" t="n">
        <v>1</v>
      </c>
      <c r="E2190" s="127" t="n">
        <v>162.29</v>
      </c>
      <c r="F2190" s="128">
        <f>IF(C2190&lt;=30,5,IF(C2190&lt;=60,4,IF(C2190&lt;=120,3,IF(C2190&lt;=200,2,1))))</f>
        <v/>
      </c>
      <c r="G2190" s="128">
        <f>IF(D2190&gt;=20,5,IF(D2190&gt;=10,4,IF(D2190&gt;=5,3,IF(D2190&gt;=2,2,1))))</f>
        <v/>
      </c>
      <c r="H2190" s="128">
        <f>IF(E2190&gt;=5000,5,IF(E2190&gt;=2000,4,IF(E2190&gt;=800,3,IF(E2190&gt;=300,2,1))))</f>
        <v/>
      </c>
      <c r="I2190" s="126">
        <f>TEXT(F2190,"0")&amp;TEXT(G2190,"0")&amp;TEXT(H2190,"0")</f>
        <v/>
      </c>
      <c r="J2190" s="126">
        <f>IFERROR(XLOOKUP(I2190,'Segment Map'!A:A,'Segment Map'!B:B,"Need Attention"),"Need Attention")</f>
        <v/>
      </c>
      <c r="K2190" s="126">
        <f>IF(E2190&gt;=5000,"🏆 Platinum",IF(E2190&gt;=2000,"🥇 Gold",IF(E2190&gt;=800,"🥈 Silver","🥉 Bronze")))</f>
        <v/>
      </c>
      <c r="L2190" s="129" t="n">
        <v>40783</v>
      </c>
    </row>
    <row r="2191">
      <c r="A2191" s="122" t="n">
        <v>15326</v>
      </c>
      <c r="B2191" s="122" t="inlineStr">
        <is>
          <t>United Kingdom</t>
        </is>
      </c>
      <c r="C2191" s="122" t="n">
        <v>334</v>
      </c>
      <c r="D2191" s="122" t="n">
        <v>1</v>
      </c>
      <c r="E2191" s="123" t="n">
        <v>311.71</v>
      </c>
      <c r="F2191" s="124">
        <f>IF(C2191&lt;=30,5,IF(C2191&lt;=60,4,IF(C2191&lt;=120,3,IF(C2191&lt;=200,2,1))))</f>
        <v/>
      </c>
      <c r="G2191" s="124">
        <f>IF(D2191&gt;=20,5,IF(D2191&gt;=10,4,IF(D2191&gt;=5,3,IF(D2191&gt;=2,2,1))))</f>
        <v/>
      </c>
      <c r="H2191" s="124">
        <f>IF(E2191&gt;=5000,5,IF(E2191&gt;=2000,4,IF(E2191&gt;=800,3,IF(E2191&gt;=300,2,1))))</f>
        <v/>
      </c>
      <c r="I2191" s="122">
        <f>TEXT(F2191,"0")&amp;TEXT(G2191,"0")&amp;TEXT(H2191,"0")</f>
        <v/>
      </c>
      <c r="J2191" s="122">
        <f>IFERROR(XLOOKUP(I2191,'Segment Map'!A:A,'Segment Map'!B:B,"Need Attention"),"Need Attention")</f>
        <v/>
      </c>
      <c r="K2191" s="122">
        <f>IF(E2191&gt;=5000,"🏆 Platinum",IF(E2191&gt;=2000,"🥇 Gold",IF(E2191&gt;=800,"🥈 Silver","🥉 Bronze")))</f>
        <v/>
      </c>
      <c r="L2191" s="125" t="n">
        <v>40553</v>
      </c>
    </row>
    <row r="2192">
      <c r="A2192" s="126" t="n">
        <v>15327</v>
      </c>
      <c r="B2192" s="126" t="inlineStr">
        <is>
          <t>United Kingdom</t>
        </is>
      </c>
      <c r="C2192" s="126" t="n">
        <v>53</v>
      </c>
      <c r="D2192" s="126" t="n">
        <v>1</v>
      </c>
      <c r="E2192" s="127" t="n">
        <v>208.75</v>
      </c>
      <c r="F2192" s="128">
        <f>IF(C2192&lt;=30,5,IF(C2192&lt;=60,4,IF(C2192&lt;=120,3,IF(C2192&lt;=200,2,1))))</f>
        <v/>
      </c>
      <c r="G2192" s="128">
        <f>IF(D2192&gt;=20,5,IF(D2192&gt;=10,4,IF(D2192&gt;=5,3,IF(D2192&gt;=2,2,1))))</f>
        <v/>
      </c>
      <c r="H2192" s="128">
        <f>IF(E2192&gt;=5000,5,IF(E2192&gt;=2000,4,IF(E2192&gt;=800,3,IF(E2192&gt;=300,2,1))))</f>
        <v/>
      </c>
      <c r="I2192" s="126">
        <f>TEXT(F2192,"0")&amp;TEXT(G2192,"0")&amp;TEXT(H2192,"0")</f>
        <v/>
      </c>
      <c r="J2192" s="126">
        <f>IFERROR(XLOOKUP(I2192,'Segment Map'!A:A,'Segment Map'!B:B,"Need Attention"),"Need Attention")</f>
        <v/>
      </c>
      <c r="K2192" s="126">
        <f>IF(E2192&gt;=5000,"🏆 Platinum",IF(E2192&gt;=2000,"🥇 Gold",IF(E2192&gt;=800,"🥈 Silver","🥉 Bronze")))</f>
        <v/>
      </c>
      <c r="L2192" s="129" t="n">
        <v>40834</v>
      </c>
    </row>
    <row r="2193">
      <c r="A2193" s="122" t="n">
        <v>15329</v>
      </c>
      <c r="B2193" s="122" t="inlineStr">
        <is>
          <t>United Kingdom</t>
        </is>
      </c>
      <c r="C2193" s="122" t="n">
        <v>40</v>
      </c>
      <c r="D2193" s="122" t="n">
        <v>3</v>
      </c>
      <c r="E2193" s="123" t="n">
        <v>1049.7</v>
      </c>
      <c r="F2193" s="124">
        <f>IF(C2193&lt;=30,5,IF(C2193&lt;=60,4,IF(C2193&lt;=120,3,IF(C2193&lt;=200,2,1))))</f>
        <v/>
      </c>
      <c r="G2193" s="124">
        <f>IF(D2193&gt;=20,5,IF(D2193&gt;=10,4,IF(D2193&gt;=5,3,IF(D2193&gt;=2,2,1))))</f>
        <v/>
      </c>
      <c r="H2193" s="124">
        <f>IF(E2193&gt;=5000,5,IF(E2193&gt;=2000,4,IF(E2193&gt;=800,3,IF(E2193&gt;=300,2,1))))</f>
        <v/>
      </c>
      <c r="I2193" s="122">
        <f>TEXT(F2193,"0")&amp;TEXT(G2193,"0")&amp;TEXT(H2193,"0")</f>
        <v/>
      </c>
      <c r="J2193" s="122">
        <f>IFERROR(XLOOKUP(I2193,'Segment Map'!A:A,'Segment Map'!B:B,"Need Attention"),"Need Attention")</f>
        <v/>
      </c>
      <c r="K2193" s="122">
        <f>IF(E2193&gt;=5000,"🏆 Platinum",IF(E2193&gt;=2000,"🥇 Gold",IF(E2193&gt;=800,"🥈 Silver","🥉 Bronze")))</f>
        <v/>
      </c>
      <c r="L2193" s="125" t="n">
        <v>40847</v>
      </c>
    </row>
    <row r="2194">
      <c r="A2194" s="126" t="n">
        <v>15330</v>
      </c>
      <c r="B2194" s="126" t="inlineStr">
        <is>
          <t>United Kingdom</t>
        </is>
      </c>
      <c r="C2194" s="126" t="n">
        <v>33</v>
      </c>
      <c r="D2194" s="126" t="n">
        <v>2</v>
      </c>
      <c r="E2194" s="127" t="n">
        <v>714.96</v>
      </c>
      <c r="F2194" s="128">
        <f>IF(C2194&lt;=30,5,IF(C2194&lt;=60,4,IF(C2194&lt;=120,3,IF(C2194&lt;=200,2,1))))</f>
        <v/>
      </c>
      <c r="G2194" s="128">
        <f>IF(D2194&gt;=20,5,IF(D2194&gt;=10,4,IF(D2194&gt;=5,3,IF(D2194&gt;=2,2,1))))</f>
        <v/>
      </c>
      <c r="H2194" s="128">
        <f>IF(E2194&gt;=5000,5,IF(E2194&gt;=2000,4,IF(E2194&gt;=800,3,IF(E2194&gt;=300,2,1))))</f>
        <v/>
      </c>
      <c r="I2194" s="126">
        <f>TEXT(F2194,"0")&amp;TEXT(G2194,"0")&amp;TEXT(H2194,"0")</f>
        <v/>
      </c>
      <c r="J2194" s="126">
        <f>IFERROR(XLOOKUP(I2194,'Segment Map'!A:A,'Segment Map'!B:B,"Need Attention"),"Need Attention")</f>
        <v/>
      </c>
      <c r="K2194" s="126">
        <f>IF(E2194&gt;=5000,"🏆 Platinum",IF(E2194&gt;=2000,"🥇 Gold",IF(E2194&gt;=800,"🥈 Silver","🥉 Bronze")))</f>
        <v/>
      </c>
      <c r="L2194" s="129" t="n">
        <v>40854</v>
      </c>
    </row>
    <row r="2195">
      <c r="A2195" s="122" t="n">
        <v>15332</v>
      </c>
      <c r="B2195" s="122" t="inlineStr">
        <is>
          <t>Lithuania</t>
        </is>
      </c>
      <c r="C2195" s="122" t="n">
        <v>367</v>
      </c>
      <c r="D2195" s="122" t="n">
        <v>4</v>
      </c>
      <c r="E2195" s="123" t="n">
        <v>1661.06</v>
      </c>
      <c r="F2195" s="124">
        <f>IF(C2195&lt;=30,5,IF(C2195&lt;=60,4,IF(C2195&lt;=120,3,IF(C2195&lt;=200,2,1))))</f>
        <v/>
      </c>
      <c r="G2195" s="124">
        <f>IF(D2195&gt;=20,5,IF(D2195&gt;=10,4,IF(D2195&gt;=5,3,IF(D2195&gt;=2,2,1))))</f>
        <v/>
      </c>
      <c r="H2195" s="124">
        <f>IF(E2195&gt;=5000,5,IF(E2195&gt;=2000,4,IF(E2195&gt;=800,3,IF(E2195&gt;=300,2,1))))</f>
        <v/>
      </c>
      <c r="I2195" s="122">
        <f>TEXT(F2195,"0")&amp;TEXT(G2195,"0")&amp;TEXT(H2195,"0")</f>
        <v/>
      </c>
      <c r="J2195" s="122">
        <f>IFERROR(XLOOKUP(I2195,'Segment Map'!A:A,'Segment Map'!B:B,"Need Attention"),"Need Attention")</f>
        <v/>
      </c>
      <c r="K2195" s="122">
        <f>IF(E2195&gt;=5000,"🏆 Platinum",IF(E2195&gt;=2000,"🥇 Gold",IF(E2195&gt;=800,"🥈 Silver","🥉 Bronze")))</f>
        <v/>
      </c>
      <c r="L2195" s="125" t="n">
        <v>40520</v>
      </c>
    </row>
    <row r="2196">
      <c r="A2196" s="126" t="n">
        <v>15333</v>
      </c>
      <c r="B2196" s="126" t="inlineStr">
        <is>
          <t>United Kingdom</t>
        </is>
      </c>
      <c r="C2196" s="126" t="n">
        <v>209</v>
      </c>
      <c r="D2196" s="126" t="n">
        <v>1</v>
      </c>
      <c r="E2196" s="127" t="n">
        <v>1028.56</v>
      </c>
      <c r="F2196" s="128">
        <f>IF(C2196&lt;=30,5,IF(C2196&lt;=60,4,IF(C2196&lt;=120,3,IF(C2196&lt;=200,2,1))))</f>
        <v/>
      </c>
      <c r="G2196" s="128">
        <f>IF(D2196&gt;=20,5,IF(D2196&gt;=10,4,IF(D2196&gt;=5,3,IF(D2196&gt;=2,2,1))))</f>
        <v/>
      </c>
      <c r="H2196" s="128">
        <f>IF(E2196&gt;=5000,5,IF(E2196&gt;=2000,4,IF(E2196&gt;=800,3,IF(E2196&gt;=300,2,1))))</f>
        <v/>
      </c>
      <c r="I2196" s="126">
        <f>TEXT(F2196,"0")&amp;TEXT(G2196,"0")&amp;TEXT(H2196,"0")</f>
        <v/>
      </c>
      <c r="J2196" s="126">
        <f>IFERROR(XLOOKUP(I2196,'Segment Map'!A:A,'Segment Map'!B:B,"Need Attention"),"Need Attention")</f>
        <v/>
      </c>
      <c r="K2196" s="126">
        <f>IF(E2196&gt;=5000,"🏆 Platinum",IF(E2196&gt;=2000,"🥇 Gold",IF(E2196&gt;=800,"🥈 Silver","🥉 Bronze")))</f>
        <v/>
      </c>
      <c r="L2196" s="129" t="n">
        <v>40678</v>
      </c>
    </row>
    <row r="2197">
      <c r="A2197" s="122" t="n">
        <v>15334</v>
      </c>
      <c r="B2197" s="122" t="inlineStr">
        <is>
          <t>United Kingdom</t>
        </is>
      </c>
      <c r="C2197" s="122" t="n">
        <v>157</v>
      </c>
      <c r="D2197" s="122" t="n">
        <v>3</v>
      </c>
      <c r="E2197" s="123" t="n">
        <v>351.67</v>
      </c>
      <c r="F2197" s="124">
        <f>IF(C2197&lt;=30,5,IF(C2197&lt;=60,4,IF(C2197&lt;=120,3,IF(C2197&lt;=200,2,1))))</f>
        <v/>
      </c>
      <c r="G2197" s="124">
        <f>IF(D2197&gt;=20,5,IF(D2197&gt;=10,4,IF(D2197&gt;=5,3,IF(D2197&gt;=2,2,1))))</f>
        <v/>
      </c>
      <c r="H2197" s="124">
        <f>IF(E2197&gt;=5000,5,IF(E2197&gt;=2000,4,IF(E2197&gt;=800,3,IF(E2197&gt;=300,2,1))))</f>
        <v/>
      </c>
      <c r="I2197" s="122">
        <f>TEXT(F2197,"0")&amp;TEXT(G2197,"0")&amp;TEXT(H2197,"0")</f>
        <v/>
      </c>
      <c r="J2197" s="122">
        <f>IFERROR(XLOOKUP(I2197,'Segment Map'!A:A,'Segment Map'!B:B,"Need Attention"),"Need Attention")</f>
        <v/>
      </c>
      <c r="K2197" s="122">
        <f>IF(E2197&gt;=5000,"🏆 Platinum",IF(E2197&gt;=2000,"🥇 Gold",IF(E2197&gt;=800,"🥈 Silver","🥉 Bronze")))</f>
        <v/>
      </c>
      <c r="L2197" s="125" t="n">
        <v>40730</v>
      </c>
    </row>
    <row r="2198">
      <c r="A2198" s="126" t="n">
        <v>15335</v>
      </c>
      <c r="B2198" s="126" t="inlineStr">
        <is>
          <t>United Kingdom</t>
        </is>
      </c>
      <c r="C2198" s="126" t="n">
        <v>54</v>
      </c>
      <c r="D2198" s="126" t="n">
        <v>1</v>
      </c>
      <c r="E2198" s="127" t="n">
        <v>173.97</v>
      </c>
      <c r="F2198" s="128">
        <f>IF(C2198&lt;=30,5,IF(C2198&lt;=60,4,IF(C2198&lt;=120,3,IF(C2198&lt;=200,2,1))))</f>
        <v/>
      </c>
      <c r="G2198" s="128">
        <f>IF(D2198&gt;=20,5,IF(D2198&gt;=10,4,IF(D2198&gt;=5,3,IF(D2198&gt;=2,2,1))))</f>
        <v/>
      </c>
      <c r="H2198" s="128">
        <f>IF(E2198&gt;=5000,5,IF(E2198&gt;=2000,4,IF(E2198&gt;=800,3,IF(E2198&gt;=300,2,1))))</f>
        <v/>
      </c>
      <c r="I2198" s="126">
        <f>TEXT(F2198,"0")&amp;TEXT(G2198,"0")&amp;TEXT(H2198,"0")</f>
        <v/>
      </c>
      <c r="J2198" s="126">
        <f>IFERROR(XLOOKUP(I2198,'Segment Map'!A:A,'Segment Map'!B:B,"Need Attention"),"Need Attention")</f>
        <v/>
      </c>
      <c r="K2198" s="126">
        <f>IF(E2198&gt;=5000,"🏆 Platinum",IF(E2198&gt;=2000,"🥇 Gold",IF(E2198&gt;=800,"🥈 Silver","🥉 Bronze")))</f>
        <v/>
      </c>
      <c r="L2198" s="129" t="n">
        <v>40833</v>
      </c>
    </row>
    <row r="2199">
      <c r="A2199" s="122" t="n">
        <v>15339</v>
      </c>
      <c r="B2199" s="122" t="inlineStr">
        <is>
          <t>United Kingdom</t>
        </is>
      </c>
      <c r="C2199" s="122" t="n">
        <v>67</v>
      </c>
      <c r="D2199" s="122" t="n">
        <v>2</v>
      </c>
      <c r="E2199" s="123" t="n">
        <v>574.0700000000001</v>
      </c>
      <c r="F2199" s="124">
        <f>IF(C2199&lt;=30,5,IF(C2199&lt;=60,4,IF(C2199&lt;=120,3,IF(C2199&lt;=200,2,1))))</f>
        <v/>
      </c>
      <c r="G2199" s="124">
        <f>IF(D2199&gt;=20,5,IF(D2199&gt;=10,4,IF(D2199&gt;=5,3,IF(D2199&gt;=2,2,1))))</f>
        <v/>
      </c>
      <c r="H2199" s="124">
        <f>IF(E2199&gt;=5000,5,IF(E2199&gt;=2000,4,IF(E2199&gt;=800,3,IF(E2199&gt;=300,2,1))))</f>
        <v/>
      </c>
      <c r="I2199" s="122">
        <f>TEXT(F2199,"0")&amp;TEXT(G2199,"0")&amp;TEXT(H2199,"0")</f>
        <v/>
      </c>
      <c r="J2199" s="122">
        <f>IFERROR(XLOOKUP(I2199,'Segment Map'!A:A,'Segment Map'!B:B,"Need Attention"),"Need Attention")</f>
        <v/>
      </c>
      <c r="K2199" s="122">
        <f>IF(E2199&gt;=5000,"🏆 Platinum",IF(E2199&gt;=2000,"🥇 Gold",IF(E2199&gt;=800,"🥈 Silver","🥉 Bronze")))</f>
        <v/>
      </c>
      <c r="L2199" s="125" t="n">
        <v>40820</v>
      </c>
    </row>
    <row r="2200">
      <c r="A2200" s="126" t="n">
        <v>15341</v>
      </c>
      <c r="B2200" s="126" t="inlineStr">
        <is>
          <t>United Kingdom</t>
        </is>
      </c>
      <c r="C2200" s="126" t="n">
        <v>81</v>
      </c>
      <c r="D2200" s="126" t="n">
        <v>1</v>
      </c>
      <c r="E2200" s="127" t="n">
        <v>2020.52</v>
      </c>
      <c r="F2200" s="128">
        <f>IF(C2200&lt;=30,5,IF(C2200&lt;=60,4,IF(C2200&lt;=120,3,IF(C2200&lt;=200,2,1))))</f>
        <v/>
      </c>
      <c r="G2200" s="128">
        <f>IF(D2200&gt;=20,5,IF(D2200&gt;=10,4,IF(D2200&gt;=5,3,IF(D2200&gt;=2,2,1))))</f>
        <v/>
      </c>
      <c r="H2200" s="128">
        <f>IF(E2200&gt;=5000,5,IF(E2200&gt;=2000,4,IF(E2200&gt;=800,3,IF(E2200&gt;=300,2,1))))</f>
        <v/>
      </c>
      <c r="I2200" s="126">
        <f>TEXT(F2200,"0")&amp;TEXT(G2200,"0")&amp;TEXT(H2200,"0")</f>
        <v/>
      </c>
      <c r="J2200" s="126">
        <f>IFERROR(XLOOKUP(I2200,'Segment Map'!A:A,'Segment Map'!B:B,"Need Attention"),"Need Attention")</f>
        <v/>
      </c>
      <c r="K2200" s="126">
        <f>IF(E2200&gt;=5000,"🏆 Platinum",IF(E2200&gt;=2000,"🥇 Gold",IF(E2200&gt;=800,"🥈 Silver","🥉 Bronze")))</f>
        <v/>
      </c>
      <c r="L2200" s="129" t="n">
        <v>40806</v>
      </c>
    </row>
    <row r="2201">
      <c r="A2201" s="122" t="n">
        <v>15342</v>
      </c>
      <c r="B2201" s="122" t="inlineStr">
        <is>
          <t>United Kingdom</t>
        </is>
      </c>
      <c r="C2201" s="122" t="n">
        <v>130</v>
      </c>
      <c r="D2201" s="122" t="n">
        <v>1</v>
      </c>
      <c r="E2201" s="123" t="n">
        <v>406.09</v>
      </c>
      <c r="F2201" s="124">
        <f>IF(C2201&lt;=30,5,IF(C2201&lt;=60,4,IF(C2201&lt;=120,3,IF(C2201&lt;=200,2,1))))</f>
        <v/>
      </c>
      <c r="G2201" s="124">
        <f>IF(D2201&gt;=20,5,IF(D2201&gt;=10,4,IF(D2201&gt;=5,3,IF(D2201&gt;=2,2,1))))</f>
        <v/>
      </c>
      <c r="H2201" s="124">
        <f>IF(E2201&gt;=5000,5,IF(E2201&gt;=2000,4,IF(E2201&gt;=800,3,IF(E2201&gt;=300,2,1))))</f>
        <v/>
      </c>
      <c r="I2201" s="122">
        <f>TEXT(F2201,"0")&amp;TEXT(G2201,"0")&amp;TEXT(H2201,"0")</f>
        <v/>
      </c>
      <c r="J2201" s="122">
        <f>IFERROR(XLOOKUP(I2201,'Segment Map'!A:A,'Segment Map'!B:B,"Need Attention"),"Need Attention")</f>
        <v/>
      </c>
      <c r="K2201" s="122">
        <f>IF(E2201&gt;=5000,"🏆 Platinum",IF(E2201&gt;=2000,"🥇 Gold",IF(E2201&gt;=800,"🥈 Silver","🥉 Bronze")))</f>
        <v/>
      </c>
      <c r="L2201" s="125" t="n">
        <v>40757</v>
      </c>
    </row>
    <row r="2202">
      <c r="A2202" s="126" t="n">
        <v>15343</v>
      </c>
      <c r="B2202" s="126" t="inlineStr">
        <is>
          <t>United Kingdom</t>
        </is>
      </c>
      <c r="C2202" s="126" t="n">
        <v>88</v>
      </c>
      <c r="D2202" s="126" t="n">
        <v>1</v>
      </c>
      <c r="E2202" s="127" t="n">
        <v>364.5</v>
      </c>
      <c r="F2202" s="128">
        <f>IF(C2202&lt;=30,5,IF(C2202&lt;=60,4,IF(C2202&lt;=120,3,IF(C2202&lt;=200,2,1))))</f>
        <v/>
      </c>
      <c r="G2202" s="128">
        <f>IF(D2202&gt;=20,5,IF(D2202&gt;=10,4,IF(D2202&gt;=5,3,IF(D2202&gt;=2,2,1))))</f>
        <v/>
      </c>
      <c r="H2202" s="128">
        <f>IF(E2202&gt;=5000,5,IF(E2202&gt;=2000,4,IF(E2202&gt;=800,3,IF(E2202&gt;=300,2,1))))</f>
        <v/>
      </c>
      <c r="I2202" s="126">
        <f>TEXT(F2202,"0")&amp;TEXT(G2202,"0")&amp;TEXT(H2202,"0")</f>
        <v/>
      </c>
      <c r="J2202" s="126">
        <f>IFERROR(XLOOKUP(I2202,'Segment Map'!A:A,'Segment Map'!B:B,"Need Attention"),"Need Attention")</f>
        <v/>
      </c>
      <c r="K2202" s="126">
        <f>IF(E2202&gt;=5000,"🏆 Platinum",IF(E2202&gt;=2000,"🥇 Gold",IF(E2202&gt;=800,"🥈 Silver","🥉 Bronze")))</f>
        <v/>
      </c>
      <c r="L2202" s="129" t="n">
        <v>40799</v>
      </c>
    </row>
    <row r="2203">
      <c r="A2203" s="122" t="n">
        <v>15344</v>
      </c>
      <c r="B2203" s="122" t="inlineStr">
        <is>
          <t>United Kingdom</t>
        </is>
      </c>
      <c r="C2203" s="122" t="n">
        <v>1</v>
      </c>
      <c r="D2203" s="122" t="n">
        <v>3</v>
      </c>
      <c r="E2203" s="123" t="n">
        <v>563.9400000000001</v>
      </c>
      <c r="F2203" s="124">
        <f>IF(C2203&lt;=30,5,IF(C2203&lt;=60,4,IF(C2203&lt;=120,3,IF(C2203&lt;=200,2,1))))</f>
        <v/>
      </c>
      <c r="G2203" s="124">
        <f>IF(D2203&gt;=20,5,IF(D2203&gt;=10,4,IF(D2203&gt;=5,3,IF(D2203&gt;=2,2,1))))</f>
        <v/>
      </c>
      <c r="H2203" s="124">
        <f>IF(E2203&gt;=5000,5,IF(E2203&gt;=2000,4,IF(E2203&gt;=800,3,IF(E2203&gt;=300,2,1))))</f>
        <v/>
      </c>
      <c r="I2203" s="122">
        <f>TEXT(F2203,"0")&amp;TEXT(G2203,"0")&amp;TEXT(H2203,"0")</f>
        <v/>
      </c>
      <c r="J2203" s="122">
        <f>IFERROR(XLOOKUP(I2203,'Segment Map'!A:A,'Segment Map'!B:B,"Need Attention"),"Need Attention")</f>
        <v/>
      </c>
      <c r="K2203" s="122">
        <f>IF(E2203&gt;=5000,"🏆 Platinum",IF(E2203&gt;=2000,"🥇 Gold",IF(E2203&gt;=800,"🥈 Silver","🥉 Bronze")))</f>
        <v/>
      </c>
      <c r="L2203" s="125" t="n">
        <v>40886</v>
      </c>
    </row>
    <row r="2204">
      <c r="A2204" s="126" t="n">
        <v>15345</v>
      </c>
      <c r="B2204" s="126" t="inlineStr">
        <is>
          <t>United Kingdom</t>
        </is>
      </c>
      <c r="C2204" s="126" t="n">
        <v>46</v>
      </c>
      <c r="D2204" s="126" t="n">
        <v>1</v>
      </c>
      <c r="E2204" s="127" t="n">
        <v>393.54</v>
      </c>
      <c r="F2204" s="128">
        <f>IF(C2204&lt;=30,5,IF(C2204&lt;=60,4,IF(C2204&lt;=120,3,IF(C2204&lt;=200,2,1))))</f>
        <v/>
      </c>
      <c r="G2204" s="128">
        <f>IF(D2204&gt;=20,5,IF(D2204&gt;=10,4,IF(D2204&gt;=5,3,IF(D2204&gt;=2,2,1))))</f>
        <v/>
      </c>
      <c r="H2204" s="128">
        <f>IF(E2204&gt;=5000,5,IF(E2204&gt;=2000,4,IF(E2204&gt;=800,3,IF(E2204&gt;=300,2,1))))</f>
        <v/>
      </c>
      <c r="I2204" s="126">
        <f>TEXT(F2204,"0")&amp;TEXT(G2204,"0")&amp;TEXT(H2204,"0")</f>
        <v/>
      </c>
      <c r="J2204" s="126">
        <f>IFERROR(XLOOKUP(I2204,'Segment Map'!A:A,'Segment Map'!B:B,"Need Attention"),"Need Attention")</f>
        <v/>
      </c>
      <c r="K2204" s="126">
        <f>IF(E2204&gt;=5000,"🏆 Platinum",IF(E2204&gt;=2000,"🥇 Gold",IF(E2204&gt;=800,"🥈 Silver","🥉 Bronze")))</f>
        <v/>
      </c>
      <c r="L2204" s="129" t="n">
        <v>40841</v>
      </c>
    </row>
    <row r="2205">
      <c r="A2205" s="122" t="n">
        <v>15346</v>
      </c>
      <c r="B2205" s="122" t="inlineStr">
        <is>
          <t>United Kingdom</t>
        </is>
      </c>
      <c r="C2205" s="122" t="n">
        <v>333</v>
      </c>
      <c r="D2205" s="122" t="n">
        <v>1</v>
      </c>
      <c r="E2205" s="123" t="n">
        <v>252.42</v>
      </c>
      <c r="F2205" s="124">
        <f>IF(C2205&lt;=30,5,IF(C2205&lt;=60,4,IF(C2205&lt;=120,3,IF(C2205&lt;=200,2,1))))</f>
        <v/>
      </c>
      <c r="G2205" s="124">
        <f>IF(D2205&gt;=20,5,IF(D2205&gt;=10,4,IF(D2205&gt;=5,3,IF(D2205&gt;=2,2,1))))</f>
        <v/>
      </c>
      <c r="H2205" s="124">
        <f>IF(E2205&gt;=5000,5,IF(E2205&gt;=2000,4,IF(E2205&gt;=800,3,IF(E2205&gt;=300,2,1))))</f>
        <v/>
      </c>
      <c r="I2205" s="122">
        <f>TEXT(F2205,"0")&amp;TEXT(G2205,"0")&amp;TEXT(H2205,"0")</f>
        <v/>
      </c>
      <c r="J2205" s="122">
        <f>IFERROR(XLOOKUP(I2205,'Segment Map'!A:A,'Segment Map'!B:B,"Need Attention"),"Need Attention")</f>
        <v/>
      </c>
      <c r="K2205" s="122">
        <f>IF(E2205&gt;=5000,"🏆 Platinum",IF(E2205&gt;=2000,"🥇 Gold",IF(E2205&gt;=800,"🥈 Silver","🥉 Bronze")))</f>
        <v/>
      </c>
      <c r="L2205" s="125" t="n">
        <v>40554</v>
      </c>
    </row>
    <row r="2206">
      <c r="A2206" s="126" t="n">
        <v>15347</v>
      </c>
      <c r="B2206" s="126" t="inlineStr">
        <is>
          <t>United Kingdom</t>
        </is>
      </c>
      <c r="C2206" s="126" t="n">
        <v>367</v>
      </c>
      <c r="D2206" s="126" t="n">
        <v>1</v>
      </c>
      <c r="E2206" s="127" t="n">
        <v>201.6</v>
      </c>
      <c r="F2206" s="128">
        <f>IF(C2206&lt;=30,5,IF(C2206&lt;=60,4,IF(C2206&lt;=120,3,IF(C2206&lt;=200,2,1))))</f>
        <v/>
      </c>
      <c r="G2206" s="128">
        <f>IF(D2206&gt;=20,5,IF(D2206&gt;=10,4,IF(D2206&gt;=5,3,IF(D2206&gt;=2,2,1))))</f>
        <v/>
      </c>
      <c r="H2206" s="128">
        <f>IF(E2206&gt;=5000,5,IF(E2206&gt;=2000,4,IF(E2206&gt;=800,3,IF(E2206&gt;=300,2,1))))</f>
        <v/>
      </c>
      <c r="I2206" s="126">
        <f>TEXT(F2206,"0")&amp;TEXT(G2206,"0")&amp;TEXT(H2206,"0")</f>
        <v/>
      </c>
      <c r="J2206" s="126">
        <f>IFERROR(XLOOKUP(I2206,'Segment Map'!A:A,'Segment Map'!B:B,"Need Attention"),"Need Attention")</f>
        <v/>
      </c>
      <c r="K2206" s="126">
        <f>IF(E2206&gt;=5000,"🏆 Platinum",IF(E2206&gt;=2000,"🥇 Gold",IF(E2206&gt;=800,"🥈 Silver","🥉 Bronze")))</f>
        <v/>
      </c>
      <c r="L2206" s="129" t="n">
        <v>40520</v>
      </c>
    </row>
    <row r="2207">
      <c r="A2207" s="122" t="n">
        <v>15348</v>
      </c>
      <c r="B2207" s="122" t="inlineStr">
        <is>
          <t>United Kingdom</t>
        </is>
      </c>
      <c r="C2207" s="122" t="n">
        <v>73</v>
      </c>
      <c r="D2207" s="122" t="n">
        <v>1</v>
      </c>
      <c r="E2207" s="123" t="n">
        <v>158.04</v>
      </c>
      <c r="F2207" s="124">
        <f>IF(C2207&lt;=30,5,IF(C2207&lt;=60,4,IF(C2207&lt;=120,3,IF(C2207&lt;=200,2,1))))</f>
        <v/>
      </c>
      <c r="G2207" s="124">
        <f>IF(D2207&gt;=20,5,IF(D2207&gt;=10,4,IF(D2207&gt;=5,3,IF(D2207&gt;=2,2,1))))</f>
        <v/>
      </c>
      <c r="H2207" s="124">
        <f>IF(E2207&gt;=5000,5,IF(E2207&gt;=2000,4,IF(E2207&gt;=800,3,IF(E2207&gt;=300,2,1))))</f>
        <v/>
      </c>
      <c r="I2207" s="122">
        <f>TEXT(F2207,"0")&amp;TEXT(G2207,"0")&amp;TEXT(H2207,"0")</f>
        <v/>
      </c>
      <c r="J2207" s="122">
        <f>IFERROR(XLOOKUP(I2207,'Segment Map'!A:A,'Segment Map'!B:B,"Need Attention"),"Need Attention")</f>
        <v/>
      </c>
      <c r="K2207" s="122">
        <f>IF(E2207&gt;=5000,"🏆 Platinum",IF(E2207&gt;=2000,"🥇 Gold",IF(E2207&gt;=800,"🥈 Silver","🥉 Bronze")))</f>
        <v/>
      </c>
      <c r="L2207" s="125" t="n">
        <v>40814</v>
      </c>
    </row>
    <row r="2208">
      <c r="A2208" s="126" t="n">
        <v>15349</v>
      </c>
      <c r="B2208" s="126" t="inlineStr">
        <is>
          <t>United Kingdom</t>
        </is>
      </c>
      <c r="C2208" s="126" t="n">
        <v>159</v>
      </c>
      <c r="D2208" s="126" t="n">
        <v>2</v>
      </c>
      <c r="E2208" s="127" t="n">
        <v>473.81</v>
      </c>
      <c r="F2208" s="128">
        <f>IF(C2208&lt;=30,5,IF(C2208&lt;=60,4,IF(C2208&lt;=120,3,IF(C2208&lt;=200,2,1))))</f>
        <v/>
      </c>
      <c r="G2208" s="128">
        <f>IF(D2208&gt;=20,5,IF(D2208&gt;=10,4,IF(D2208&gt;=5,3,IF(D2208&gt;=2,2,1))))</f>
        <v/>
      </c>
      <c r="H2208" s="128">
        <f>IF(E2208&gt;=5000,5,IF(E2208&gt;=2000,4,IF(E2208&gt;=800,3,IF(E2208&gt;=300,2,1))))</f>
        <v/>
      </c>
      <c r="I2208" s="126">
        <f>TEXT(F2208,"0")&amp;TEXT(G2208,"0")&amp;TEXT(H2208,"0")</f>
        <v/>
      </c>
      <c r="J2208" s="126">
        <f>IFERROR(XLOOKUP(I2208,'Segment Map'!A:A,'Segment Map'!B:B,"Need Attention"),"Need Attention")</f>
        <v/>
      </c>
      <c r="K2208" s="126">
        <f>IF(E2208&gt;=5000,"🏆 Platinum",IF(E2208&gt;=2000,"🥇 Gold",IF(E2208&gt;=800,"🥈 Silver","🥉 Bronze")))</f>
        <v/>
      </c>
      <c r="L2208" s="129" t="n">
        <v>40728</v>
      </c>
    </row>
    <row r="2209">
      <c r="A2209" s="122" t="n">
        <v>15350</v>
      </c>
      <c r="B2209" s="122" t="inlineStr">
        <is>
          <t>United Kingdom</t>
        </is>
      </c>
      <c r="C2209" s="122" t="n">
        <v>374</v>
      </c>
      <c r="D2209" s="122" t="n">
        <v>1</v>
      </c>
      <c r="E2209" s="123" t="n">
        <v>115.65</v>
      </c>
      <c r="F2209" s="124">
        <f>IF(C2209&lt;=30,5,IF(C2209&lt;=60,4,IF(C2209&lt;=120,3,IF(C2209&lt;=200,2,1))))</f>
        <v/>
      </c>
      <c r="G2209" s="124">
        <f>IF(D2209&gt;=20,5,IF(D2209&gt;=10,4,IF(D2209&gt;=5,3,IF(D2209&gt;=2,2,1))))</f>
        <v/>
      </c>
      <c r="H2209" s="124">
        <f>IF(E2209&gt;=5000,5,IF(E2209&gt;=2000,4,IF(E2209&gt;=800,3,IF(E2209&gt;=300,2,1))))</f>
        <v/>
      </c>
      <c r="I2209" s="122">
        <f>TEXT(F2209,"0")&amp;TEXT(G2209,"0")&amp;TEXT(H2209,"0")</f>
        <v/>
      </c>
      <c r="J2209" s="122">
        <f>IFERROR(XLOOKUP(I2209,'Segment Map'!A:A,'Segment Map'!B:B,"Need Attention"),"Need Attention")</f>
        <v/>
      </c>
      <c r="K2209" s="122">
        <f>IF(E2209&gt;=5000,"🏆 Platinum",IF(E2209&gt;=2000,"🥇 Gold",IF(E2209&gt;=800,"🥈 Silver","🥉 Bronze")))</f>
        <v/>
      </c>
      <c r="L2209" s="125" t="n">
        <v>40513</v>
      </c>
    </row>
    <row r="2210">
      <c r="A2210" s="126" t="n">
        <v>15351</v>
      </c>
      <c r="B2210" s="126" t="inlineStr">
        <is>
          <t>United Kingdom</t>
        </is>
      </c>
      <c r="C2210" s="126" t="n">
        <v>13</v>
      </c>
      <c r="D2210" s="126" t="n">
        <v>7</v>
      </c>
      <c r="E2210" s="127" t="n">
        <v>1960.11</v>
      </c>
      <c r="F2210" s="128">
        <f>IF(C2210&lt;=30,5,IF(C2210&lt;=60,4,IF(C2210&lt;=120,3,IF(C2210&lt;=200,2,1))))</f>
        <v/>
      </c>
      <c r="G2210" s="128">
        <f>IF(D2210&gt;=20,5,IF(D2210&gt;=10,4,IF(D2210&gt;=5,3,IF(D2210&gt;=2,2,1))))</f>
        <v/>
      </c>
      <c r="H2210" s="128">
        <f>IF(E2210&gt;=5000,5,IF(E2210&gt;=2000,4,IF(E2210&gt;=800,3,IF(E2210&gt;=300,2,1))))</f>
        <v/>
      </c>
      <c r="I2210" s="126">
        <f>TEXT(F2210,"0")&amp;TEXT(G2210,"0")&amp;TEXT(H2210,"0")</f>
        <v/>
      </c>
      <c r="J2210" s="126">
        <f>IFERROR(XLOOKUP(I2210,'Segment Map'!A:A,'Segment Map'!B:B,"Need Attention"),"Need Attention")</f>
        <v/>
      </c>
      <c r="K2210" s="126">
        <f>IF(E2210&gt;=5000,"🏆 Platinum",IF(E2210&gt;=2000,"🥇 Gold",IF(E2210&gt;=800,"🥈 Silver","🥉 Bronze")))</f>
        <v/>
      </c>
      <c r="L2210" s="129" t="n">
        <v>40874</v>
      </c>
    </row>
    <row r="2211">
      <c r="A2211" s="122" t="n">
        <v>15353</v>
      </c>
      <c r="B2211" s="122" t="inlineStr">
        <is>
          <t>United Kingdom</t>
        </is>
      </c>
      <c r="C2211" s="122" t="n">
        <v>255</v>
      </c>
      <c r="D2211" s="122" t="n">
        <v>2</v>
      </c>
      <c r="E2211" s="123" t="n">
        <v>777.02</v>
      </c>
      <c r="F2211" s="124">
        <f>IF(C2211&lt;=30,5,IF(C2211&lt;=60,4,IF(C2211&lt;=120,3,IF(C2211&lt;=200,2,1))))</f>
        <v/>
      </c>
      <c r="G2211" s="124">
        <f>IF(D2211&gt;=20,5,IF(D2211&gt;=10,4,IF(D2211&gt;=5,3,IF(D2211&gt;=2,2,1))))</f>
        <v/>
      </c>
      <c r="H2211" s="124">
        <f>IF(E2211&gt;=5000,5,IF(E2211&gt;=2000,4,IF(E2211&gt;=800,3,IF(E2211&gt;=300,2,1))))</f>
        <v/>
      </c>
      <c r="I2211" s="122">
        <f>TEXT(F2211,"0")&amp;TEXT(G2211,"0")&amp;TEXT(H2211,"0")</f>
        <v/>
      </c>
      <c r="J2211" s="122">
        <f>IFERROR(XLOOKUP(I2211,'Segment Map'!A:A,'Segment Map'!B:B,"Need Attention"),"Need Attention")</f>
        <v/>
      </c>
      <c r="K2211" s="122">
        <f>IF(E2211&gt;=5000,"🏆 Platinum",IF(E2211&gt;=2000,"🥇 Gold",IF(E2211&gt;=800,"🥈 Silver","🥉 Bronze")))</f>
        <v/>
      </c>
      <c r="L2211" s="125" t="n">
        <v>40632</v>
      </c>
    </row>
    <row r="2212">
      <c r="A2212" s="126" t="n">
        <v>15355</v>
      </c>
      <c r="B2212" s="126" t="inlineStr">
        <is>
          <t>United Kingdom</t>
        </is>
      </c>
      <c r="C2212" s="126" t="n">
        <v>30</v>
      </c>
      <c r="D2212" s="126" t="n">
        <v>2</v>
      </c>
      <c r="E2212" s="127" t="n">
        <v>277.05</v>
      </c>
      <c r="F2212" s="128">
        <f>IF(C2212&lt;=30,5,IF(C2212&lt;=60,4,IF(C2212&lt;=120,3,IF(C2212&lt;=200,2,1))))</f>
        <v/>
      </c>
      <c r="G2212" s="128">
        <f>IF(D2212&gt;=20,5,IF(D2212&gt;=10,4,IF(D2212&gt;=5,3,IF(D2212&gt;=2,2,1))))</f>
        <v/>
      </c>
      <c r="H2212" s="128">
        <f>IF(E2212&gt;=5000,5,IF(E2212&gt;=2000,4,IF(E2212&gt;=800,3,IF(E2212&gt;=300,2,1))))</f>
        <v/>
      </c>
      <c r="I2212" s="126">
        <f>TEXT(F2212,"0")&amp;TEXT(G2212,"0")&amp;TEXT(H2212,"0")</f>
        <v/>
      </c>
      <c r="J2212" s="126">
        <f>IFERROR(XLOOKUP(I2212,'Segment Map'!A:A,'Segment Map'!B:B,"Need Attention"),"Need Attention")</f>
        <v/>
      </c>
      <c r="K2212" s="126">
        <f>IF(E2212&gt;=5000,"🏆 Platinum",IF(E2212&gt;=2000,"🥇 Gold",IF(E2212&gt;=800,"🥈 Silver","🥉 Bronze")))</f>
        <v/>
      </c>
      <c r="L2212" s="129" t="n">
        <v>40857</v>
      </c>
    </row>
    <row r="2213">
      <c r="A2213" s="122" t="n">
        <v>15356</v>
      </c>
      <c r="B2213" s="122" t="inlineStr">
        <is>
          <t>United Kingdom</t>
        </is>
      </c>
      <c r="C2213" s="122" t="n">
        <v>32</v>
      </c>
      <c r="D2213" s="122" t="n">
        <v>10</v>
      </c>
      <c r="E2213" s="123" t="n">
        <v>2766.5</v>
      </c>
      <c r="F2213" s="124">
        <f>IF(C2213&lt;=30,5,IF(C2213&lt;=60,4,IF(C2213&lt;=120,3,IF(C2213&lt;=200,2,1))))</f>
        <v/>
      </c>
      <c r="G2213" s="124">
        <f>IF(D2213&gt;=20,5,IF(D2213&gt;=10,4,IF(D2213&gt;=5,3,IF(D2213&gt;=2,2,1))))</f>
        <v/>
      </c>
      <c r="H2213" s="124">
        <f>IF(E2213&gt;=5000,5,IF(E2213&gt;=2000,4,IF(E2213&gt;=800,3,IF(E2213&gt;=300,2,1))))</f>
        <v/>
      </c>
      <c r="I2213" s="122">
        <f>TEXT(F2213,"0")&amp;TEXT(G2213,"0")&amp;TEXT(H2213,"0")</f>
        <v/>
      </c>
      <c r="J2213" s="122">
        <f>IFERROR(XLOOKUP(I2213,'Segment Map'!A:A,'Segment Map'!B:B,"Need Attention"),"Need Attention")</f>
        <v/>
      </c>
      <c r="K2213" s="122">
        <f>IF(E2213&gt;=5000,"🏆 Platinum",IF(E2213&gt;=2000,"🥇 Gold",IF(E2213&gt;=800,"🥈 Silver","🥉 Bronze")))</f>
        <v/>
      </c>
      <c r="L2213" s="125" t="n">
        <v>40855</v>
      </c>
    </row>
    <row r="2214">
      <c r="A2214" s="126" t="n">
        <v>15358</v>
      </c>
      <c r="B2214" s="126" t="inlineStr">
        <is>
          <t>United Kingdom</t>
        </is>
      </c>
      <c r="C2214" s="126" t="n">
        <v>5</v>
      </c>
      <c r="D2214" s="126" t="n">
        <v>22</v>
      </c>
      <c r="E2214" s="127" t="n">
        <v>8347.200000000001</v>
      </c>
      <c r="F2214" s="128">
        <f>IF(C2214&lt;=30,5,IF(C2214&lt;=60,4,IF(C2214&lt;=120,3,IF(C2214&lt;=200,2,1))))</f>
        <v/>
      </c>
      <c r="G2214" s="128">
        <f>IF(D2214&gt;=20,5,IF(D2214&gt;=10,4,IF(D2214&gt;=5,3,IF(D2214&gt;=2,2,1))))</f>
        <v/>
      </c>
      <c r="H2214" s="128">
        <f>IF(E2214&gt;=5000,5,IF(E2214&gt;=2000,4,IF(E2214&gt;=800,3,IF(E2214&gt;=300,2,1))))</f>
        <v/>
      </c>
      <c r="I2214" s="126">
        <f>TEXT(F2214,"0")&amp;TEXT(G2214,"0")&amp;TEXT(H2214,"0")</f>
        <v/>
      </c>
      <c r="J2214" s="126">
        <f>IFERROR(XLOOKUP(I2214,'Segment Map'!A:A,'Segment Map'!B:B,"Need Attention"),"Need Attention")</f>
        <v/>
      </c>
      <c r="K2214" s="126">
        <f>IF(E2214&gt;=5000,"🏆 Platinum",IF(E2214&gt;=2000,"🥇 Gold",IF(E2214&gt;=800,"🥈 Silver","🥉 Bronze")))</f>
        <v/>
      </c>
      <c r="L2214" s="129" t="n">
        <v>40882</v>
      </c>
    </row>
    <row r="2215">
      <c r="A2215" s="122" t="n">
        <v>15360</v>
      </c>
      <c r="B2215" s="122" t="inlineStr">
        <is>
          <t>United Kingdom</t>
        </is>
      </c>
      <c r="C2215" s="122" t="n">
        <v>40</v>
      </c>
      <c r="D2215" s="122" t="n">
        <v>1</v>
      </c>
      <c r="E2215" s="123" t="n">
        <v>427.93</v>
      </c>
      <c r="F2215" s="124">
        <f>IF(C2215&lt;=30,5,IF(C2215&lt;=60,4,IF(C2215&lt;=120,3,IF(C2215&lt;=200,2,1))))</f>
        <v/>
      </c>
      <c r="G2215" s="124">
        <f>IF(D2215&gt;=20,5,IF(D2215&gt;=10,4,IF(D2215&gt;=5,3,IF(D2215&gt;=2,2,1))))</f>
        <v/>
      </c>
      <c r="H2215" s="124">
        <f>IF(E2215&gt;=5000,5,IF(E2215&gt;=2000,4,IF(E2215&gt;=800,3,IF(E2215&gt;=300,2,1))))</f>
        <v/>
      </c>
      <c r="I2215" s="122">
        <f>TEXT(F2215,"0")&amp;TEXT(G2215,"0")&amp;TEXT(H2215,"0")</f>
        <v/>
      </c>
      <c r="J2215" s="122">
        <f>IFERROR(XLOOKUP(I2215,'Segment Map'!A:A,'Segment Map'!B:B,"Need Attention"),"Need Attention")</f>
        <v/>
      </c>
      <c r="K2215" s="122">
        <f>IF(E2215&gt;=5000,"🏆 Platinum",IF(E2215&gt;=2000,"🥇 Gold",IF(E2215&gt;=800,"🥈 Silver","🥉 Bronze")))</f>
        <v/>
      </c>
      <c r="L2215" s="125" t="n">
        <v>40847</v>
      </c>
    </row>
    <row r="2216">
      <c r="A2216" s="126" t="n">
        <v>15361</v>
      </c>
      <c r="B2216" s="126" t="inlineStr">
        <is>
          <t>United Kingdom</t>
        </is>
      </c>
      <c r="C2216" s="126" t="n">
        <v>362</v>
      </c>
      <c r="D2216" s="126" t="n">
        <v>1</v>
      </c>
      <c r="E2216" s="127" t="n">
        <v>418.92</v>
      </c>
      <c r="F2216" s="128">
        <f>IF(C2216&lt;=30,5,IF(C2216&lt;=60,4,IF(C2216&lt;=120,3,IF(C2216&lt;=200,2,1))))</f>
        <v/>
      </c>
      <c r="G2216" s="128">
        <f>IF(D2216&gt;=20,5,IF(D2216&gt;=10,4,IF(D2216&gt;=5,3,IF(D2216&gt;=2,2,1))))</f>
        <v/>
      </c>
      <c r="H2216" s="128">
        <f>IF(E2216&gt;=5000,5,IF(E2216&gt;=2000,4,IF(E2216&gt;=800,3,IF(E2216&gt;=300,2,1))))</f>
        <v/>
      </c>
      <c r="I2216" s="126">
        <f>TEXT(F2216,"0")&amp;TEXT(G2216,"0")&amp;TEXT(H2216,"0")</f>
        <v/>
      </c>
      <c r="J2216" s="126">
        <f>IFERROR(XLOOKUP(I2216,'Segment Map'!A:A,'Segment Map'!B:B,"Need Attention"),"Need Attention")</f>
        <v/>
      </c>
      <c r="K2216" s="126">
        <f>IF(E2216&gt;=5000,"🏆 Platinum",IF(E2216&gt;=2000,"🥇 Gold",IF(E2216&gt;=800,"🥈 Silver","🥉 Bronze")))</f>
        <v/>
      </c>
      <c r="L2216" s="129" t="n">
        <v>40525</v>
      </c>
    </row>
    <row r="2217">
      <c r="A2217" s="122" t="n">
        <v>15363</v>
      </c>
      <c r="B2217" s="122" t="inlineStr">
        <is>
          <t>United Kingdom</t>
        </is>
      </c>
      <c r="C2217" s="122" t="n">
        <v>373</v>
      </c>
      <c r="D2217" s="122" t="n">
        <v>1</v>
      </c>
      <c r="E2217" s="123" t="n">
        <v>326</v>
      </c>
      <c r="F2217" s="124">
        <f>IF(C2217&lt;=30,5,IF(C2217&lt;=60,4,IF(C2217&lt;=120,3,IF(C2217&lt;=200,2,1))))</f>
        <v/>
      </c>
      <c r="G2217" s="124">
        <f>IF(D2217&gt;=20,5,IF(D2217&gt;=10,4,IF(D2217&gt;=5,3,IF(D2217&gt;=2,2,1))))</f>
        <v/>
      </c>
      <c r="H2217" s="124">
        <f>IF(E2217&gt;=5000,5,IF(E2217&gt;=2000,4,IF(E2217&gt;=800,3,IF(E2217&gt;=300,2,1))))</f>
        <v/>
      </c>
      <c r="I2217" s="122">
        <f>TEXT(F2217,"0")&amp;TEXT(G2217,"0")&amp;TEXT(H2217,"0")</f>
        <v/>
      </c>
      <c r="J2217" s="122">
        <f>IFERROR(XLOOKUP(I2217,'Segment Map'!A:A,'Segment Map'!B:B,"Need Attention"),"Need Attention")</f>
        <v/>
      </c>
      <c r="K2217" s="122">
        <f>IF(E2217&gt;=5000,"🏆 Platinum",IF(E2217&gt;=2000,"🥇 Gold",IF(E2217&gt;=800,"🥈 Silver","🥉 Bronze")))</f>
        <v/>
      </c>
      <c r="L2217" s="125" t="n">
        <v>40514</v>
      </c>
    </row>
    <row r="2218">
      <c r="A2218" s="126" t="n">
        <v>15364</v>
      </c>
      <c r="B2218" s="126" t="inlineStr">
        <is>
          <t>United Kingdom</t>
        </is>
      </c>
      <c r="C2218" s="126" t="n">
        <v>96</v>
      </c>
      <c r="D2218" s="126" t="n">
        <v>2</v>
      </c>
      <c r="E2218" s="127" t="n">
        <v>913.1900000000001</v>
      </c>
      <c r="F2218" s="128">
        <f>IF(C2218&lt;=30,5,IF(C2218&lt;=60,4,IF(C2218&lt;=120,3,IF(C2218&lt;=200,2,1))))</f>
        <v/>
      </c>
      <c r="G2218" s="128">
        <f>IF(D2218&gt;=20,5,IF(D2218&gt;=10,4,IF(D2218&gt;=5,3,IF(D2218&gt;=2,2,1))))</f>
        <v/>
      </c>
      <c r="H2218" s="128">
        <f>IF(E2218&gt;=5000,5,IF(E2218&gt;=2000,4,IF(E2218&gt;=800,3,IF(E2218&gt;=300,2,1))))</f>
        <v/>
      </c>
      <c r="I2218" s="126">
        <f>TEXT(F2218,"0")&amp;TEXT(G2218,"0")&amp;TEXT(H2218,"0")</f>
        <v/>
      </c>
      <c r="J2218" s="126">
        <f>IFERROR(XLOOKUP(I2218,'Segment Map'!A:A,'Segment Map'!B:B,"Need Attention"),"Need Attention")</f>
        <v/>
      </c>
      <c r="K2218" s="126">
        <f>IF(E2218&gt;=5000,"🏆 Platinum",IF(E2218&gt;=2000,"🥇 Gold",IF(E2218&gt;=800,"🥈 Silver","🥉 Bronze")))</f>
        <v/>
      </c>
      <c r="L2218" s="129" t="n">
        <v>40791</v>
      </c>
    </row>
    <row r="2219">
      <c r="A2219" s="122" t="n">
        <v>15365</v>
      </c>
      <c r="B2219" s="122" t="inlineStr">
        <is>
          <t>United Kingdom</t>
        </is>
      </c>
      <c r="C2219" s="122" t="n">
        <v>26</v>
      </c>
      <c r="D2219" s="122" t="n">
        <v>7</v>
      </c>
      <c r="E2219" s="123" t="n">
        <v>2314.32</v>
      </c>
      <c r="F2219" s="124">
        <f>IF(C2219&lt;=30,5,IF(C2219&lt;=60,4,IF(C2219&lt;=120,3,IF(C2219&lt;=200,2,1))))</f>
        <v/>
      </c>
      <c r="G2219" s="124">
        <f>IF(D2219&gt;=20,5,IF(D2219&gt;=10,4,IF(D2219&gt;=5,3,IF(D2219&gt;=2,2,1))))</f>
        <v/>
      </c>
      <c r="H2219" s="124">
        <f>IF(E2219&gt;=5000,5,IF(E2219&gt;=2000,4,IF(E2219&gt;=800,3,IF(E2219&gt;=300,2,1))))</f>
        <v/>
      </c>
      <c r="I2219" s="122">
        <f>TEXT(F2219,"0")&amp;TEXT(G2219,"0")&amp;TEXT(H2219,"0")</f>
        <v/>
      </c>
      <c r="J2219" s="122">
        <f>IFERROR(XLOOKUP(I2219,'Segment Map'!A:A,'Segment Map'!B:B,"Need Attention"),"Need Attention")</f>
        <v/>
      </c>
      <c r="K2219" s="122">
        <f>IF(E2219&gt;=5000,"🏆 Platinum",IF(E2219&gt;=2000,"🥇 Gold",IF(E2219&gt;=800,"🥈 Silver","🥉 Bronze")))</f>
        <v/>
      </c>
      <c r="L2219" s="125" t="n">
        <v>40861</v>
      </c>
    </row>
    <row r="2220">
      <c r="A2220" s="126" t="n">
        <v>15366</v>
      </c>
      <c r="B2220" s="126" t="inlineStr">
        <is>
          <t>United Kingdom</t>
        </is>
      </c>
      <c r="C2220" s="126" t="n">
        <v>76</v>
      </c>
      <c r="D2220" s="126" t="n">
        <v>2</v>
      </c>
      <c r="E2220" s="127" t="n">
        <v>602.51</v>
      </c>
      <c r="F2220" s="128">
        <f>IF(C2220&lt;=30,5,IF(C2220&lt;=60,4,IF(C2220&lt;=120,3,IF(C2220&lt;=200,2,1))))</f>
        <v/>
      </c>
      <c r="G2220" s="128">
        <f>IF(D2220&gt;=20,5,IF(D2220&gt;=10,4,IF(D2220&gt;=5,3,IF(D2220&gt;=2,2,1))))</f>
        <v/>
      </c>
      <c r="H2220" s="128">
        <f>IF(E2220&gt;=5000,5,IF(E2220&gt;=2000,4,IF(E2220&gt;=800,3,IF(E2220&gt;=300,2,1))))</f>
        <v/>
      </c>
      <c r="I2220" s="126">
        <f>TEXT(F2220,"0")&amp;TEXT(G2220,"0")&amp;TEXT(H2220,"0")</f>
        <v/>
      </c>
      <c r="J2220" s="126">
        <f>IFERROR(XLOOKUP(I2220,'Segment Map'!A:A,'Segment Map'!B:B,"Need Attention"),"Need Attention")</f>
        <v/>
      </c>
      <c r="K2220" s="126">
        <f>IF(E2220&gt;=5000,"🏆 Platinum",IF(E2220&gt;=2000,"🥇 Gold",IF(E2220&gt;=800,"🥈 Silver","🥉 Bronze")))</f>
        <v/>
      </c>
      <c r="L2220" s="129" t="n">
        <v>40811</v>
      </c>
    </row>
    <row r="2221">
      <c r="A2221" s="122" t="n">
        <v>15367</v>
      </c>
      <c r="B2221" s="122" t="inlineStr">
        <is>
          <t>United Kingdom</t>
        </is>
      </c>
      <c r="C2221" s="122" t="n">
        <v>58</v>
      </c>
      <c r="D2221" s="122" t="n">
        <v>4</v>
      </c>
      <c r="E2221" s="123" t="n">
        <v>1877.59</v>
      </c>
      <c r="F2221" s="124">
        <f>IF(C2221&lt;=30,5,IF(C2221&lt;=60,4,IF(C2221&lt;=120,3,IF(C2221&lt;=200,2,1))))</f>
        <v/>
      </c>
      <c r="G2221" s="124">
        <f>IF(D2221&gt;=20,5,IF(D2221&gt;=10,4,IF(D2221&gt;=5,3,IF(D2221&gt;=2,2,1))))</f>
        <v/>
      </c>
      <c r="H2221" s="124">
        <f>IF(E2221&gt;=5000,5,IF(E2221&gt;=2000,4,IF(E2221&gt;=800,3,IF(E2221&gt;=300,2,1))))</f>
        <v/>
      </c>
      <c r="I2221" s="122">
        <f>TEXT(F2221,"0")&amp;TEXT(G2221,"0")&amp;TEXT(H2221,"0")</f>
        <v/>
      </c>
      <c r="J2221" s="122">
        <f>IFERROR(XLOOKUP(I2221,'Segment Map'!A:A,'Segment Map'!B:B,"Need Attention"),"Need Attention")</f>
        <v/>
      </c>
      <c r="K2221" s="122">
        <f>IF(E2221&gt;=5000,"🏆 Platinum",IF(E2221&gt;=2000,"🥇 Gold",IF(E2221&gt;=800,"🥈 Silver","🥉 Bronze")))</f>
        <v/>
      </c>
      <c r="L2221" s="125" t="n">
        <v>40829</v>
      </c>
    </row>
    <row r="2222">
      <c r="A2222" s="126" t="n">
        <v>15368</v>
      </c>
      <c r="B2222" s="126" t="inlineStr">
        <is>
          <t>United Kingdom</t>
        </is>
      </c>
      <c r="C2222" s="126" t="n">
        <v>22</v>
      </c>
      <c r="D2222" s="126" t="n">
        <v>1</v>
      </c>
      <c r="E2222" s="127" t="n">
        <v>446.94</v>
      </c>
      <c r="F2222" s="128">
        <f>IF(C2222&lt;=30,5,IF(C2222&lt;=60,4,IF(C2222&lt;=120,3,IF(C2222&lt;=200,2,1))))</f>
        <v/>
      </c>
      <c r="G2222" s="128">
        <f>IF(D2222&gt;=20,5,IF(D2222&gt;=10,4,IF(D2222&gt;=5,3,IF(D2222&gt;=2,2,1))))</f>
        <v/>
      </c>
      <c r="H2222" s="128">
        <f>IF(E2222&gt;=5000,5,IF(E2222&gt;=2000,4,IF(E2222&gt;=800,3,IF(E2222&gt;=300,2,1))))</f>
        <v/>
      </c>
      <c r="I2222" s="126">
        <f>TEXT(F2222,"0")&amp;TEXT(G2222,"0")&amp;TEXT(H2222,"0")</f>
        <v/>
      </c>
      <c r="J2222" s="126">
        <f>IFERROR(XLOOKUP(I2222,'Segment Map'!A:A,'Segment Map'!B:B,"Need Attention"),"Need Attention")</f>
        <v/>
      </c>
      <c r="K2222" s="126">
        <f>IF(E2222&gt;=5000,"🏆 Platinum",IF(E2222&gt;=2000,"🥇 Gold",IF(E2222&gt;=800,"🥈 Silver","🥉 Bronze")))</f>
        <v/>
      </c>
      <c r="L2222" s="129" t="n">
        <v>40865</v>
      </c>
    </row>
    <row r="2223">
      <c r="A2223" s="122" t="n">
        <v>15370</v>
      </c>
      <c r="B2223" s="122" t="inlineStr">
        <is>
          <t>United Kingdom</t>
        </is>
      </c>
      <c r="C2223" s="122" t="n">
        <v>41</v>
      </c>
      <c r="D2223" s="122" t="n">
        <v>7</v>
      </c>
      <c r="E2223" s="123" t="n">
        <v>2386.05</v>
      </c>
      <c r="F2223" s="124">
        <f>IF(C2223&lt;=30,5,IF(C2223&lt;=60,4,IF(C2223&lt;=120,3,IF(C2223&lt;=200,2,1))))</f>
        <v/>
      </c>
      <c r="G2223" s="124">
        <f>IF(D2223&gt;=20,5,IF(D2223&gt;=10,4,IF(D2223&gt;=5,3,IF(D2223&gt;=2,2,1))))</f>
        <v/>
      </c>
      <c r="H2223" s="124">
        <f>IF(E2223&gt;=5000,5,IF(E2223&gt;=2000,4,IF(E2223&gt;=800,3,IF(E2223&gt;=300,2,1))))</f>
        <v/>
      </c>
      <c r="I2223" s="122">
        <f>TEXT(F2223,"0")&amp;TEXT(G2223,"0")&amp;TEXT(H2223,"0")</f>
        <v/>
      </c>
      <c r="J2223" s="122">
        <f>IFERROR(XLOOKUP(I2223,'Segment Map'!A:A,'Segment Map'!B:B,"Need Attention"),"Need Attention")</f>
        <v/>
      </c>
      <c r="K2223" s="122">
        <f>IF(E2223&gt;=5000,"🏆 Platinum",IF(E2223&gt;=2000,"🥇 Gold",IF(E2223&gt;=800,"🥈 Silver","🥉 Bronze")))</f>
        <v/>
      </c>
      <c r="L2223" s="125" t="n">
        <v>40846</v>
      </c>
    </row>
    <row r="2224">
      <c r="A2224" s="126" t="n">
        <v>15372</v>
      </c>
      <c r="B2224" s="126" t="inlineStr">
        <is>
          <t>United Kingdom</t>
        </is>
      </c>
      <c r="C2224" s="126" t="n">
        <v>138</v>
      </c>
      <c r="D2224" s="126" t="n">
        <v>1</v>
      </c>
      <c r="E2224" s="127" t="n">
        <v>2007.4</v>
      </c>
      <c r="F2224" s="128">
        <f>IF(C2224&lt;=30,5,IF(C2224&lt;=60,4,IF(C2224&lt;=120,3,IF(C2224&lt;=200,2,1))))</f>
        <v/>
      </c>
      <c r="G2224" s="128">
        <f>IF(D2224&gt;=20,5,IF(D2224&gt;=10,4,IF(D2224&gt;=5,3,IF(D2224&gt;=2,2,1))))</f>
        <v/>
      </c>
      <c r="H2224" s="128">
        <f>IF(E2224&gt;=5000,5,IF(E2224&gt;=2000,4,IF(E2224&gt;=800,3,IF(E2224&gt;=300,2,1))))</f>
        <v/>
      </c>
      <c r="I2224" s="126">
        <f>TEXT(F2224,"0")&amp;TEXT(G2224,"0")&amp;TEXT(H2224,"0")</f>
        <v/>
      </c>
      <c r="J2224" s="126">
        <f>IFERROR(XLOOKUP(I2224,'Segment Map'!A:A,'Segment Map'!B:B,"Need Attention"),"Need Attention")</f>
        <v/>
      </c>
      <c r="K2224" s="126">
        <f>IF(E2224&gt;=5000,"🏆 Platinum",IF(E2224&gt;=2000,"🥇 Gold",IF(E2224&gt;=800,"🥈 Silver","🥉 Bronze")))</f>
        <v/>
      </c>
      <c r="L2224" s="129" t="n">
        <v>40749</v>
      </c>
    </row>
    <row r="2225">
      <c r="A2225" s="122" t="n">
        <v>15373</v>
      </c>
      <c r="B2225" s="122" t="inlineStr">
        <is>
          <t>United Kingdom</t>
        </is>
      </c>
      <c r="C2225" s="122" t="n">
        <v>9</v>
      </c>
      <c r="D2225" s="122" t="n">
        <v>12</v>
      </c>
      <c r="E2225" s="123" t="n">
        <v>2415.91</v>
      </c>
      <c r="F2225" s="124">
        <f>IF(C2225&lt;=30,5,IF(C2225&lt;=60,4,IF(C2225&lt;=120,3,IF(C2225&lt;=200,2,1))))</f>
        <v/>
      </c>
      <c r="G2225" s="124">
        <f>IF(D2225&gt;=20,5,IF(D2225&gt;=10,4,IF(D2225&gt;=5,3,IF(D2225&gt;=2,2,1))))</f>
        <v/>
      </c>
      <c r="H2225" s="124">
        <f>IF(E2225&gt;=5000,5,IF(E2225&gt;=2000,4,IF(E2225&gt;=800,3,IF(E2225&gt;=300,2,1))))</f>
        <v/>
      </c>
      <c r="I2225" s="122">
        <f>TEXT(F2225,"0")&amp;TEXT(G2225,"0")&amp;TEXT(H2225,"0")</f>
        <v/>
      </c>
      <c r="J2225" s="122">
        <f>IFERROR(XLOOKUP(I2225,'Segment Map'!A:A,'Segment Map'!B:B,"Need Attention"),"Need Attention")</f>
        <v/>
      </c>
      <c r="K2225" s="122">
        <f>IF(E2225&gt;=5000,"🏆 Platinum",IF(E2225&gt;=2000,"🥇 Gold",IF(E2225&gt;=800,"🥈 Silver","🥉 Bronze")))</f>
        <v/>
      </c>
      <c r="L2225" s="125" t="n">
        <v>40878</v>
      </c>
    </row>
    <row r="2226">
      <c r="A2226" s="126" t="n">
        <v>15374</v>
      </c>
      <c r="B2226" s="126" t="inlineStr">
        <is>
          <t>United Kingdom</t>
        </is>
      </c>
      <c r="C2226" s="126" t="n">
        <v>129</v>
      </c>
      <c r="D2226" s="126" t="n">
        <v>1</v>
      </c>
      <c r="E2226" s="127" t="n">
        <v>168</v>
      </c>
      <c r="F2226" s="128">
        <f>IF(C2226&lt;=30,5,IF(C2226&lt;=60,4,IF(C2226&lt;=120,3,IF(C2226&lt;=200,2,1))))</f>
        <v/>
      </c>
      <c r="G2226" s="128">
        <f>IF(D2226&gt;=20,5,IF(D2226&gt;=10,4,IF(D2226&gt;=5,3,IF(D2226&gt;=2,2,1))))</f>
        <v/>
      </c>
      <c r="H2226" s="128">
        <f>IF(E2226&gt;=5000,5,IF(E2226&gt;=2000,4,IF(E2226&gt;=800,3,IF(E2226&gt;=300,2,1))))</f>
        <v/>
      </c>
      <c r="I2226" s="126">
        <f>TEXT(F2226,"0")&amp;TEXT(G2226,"0")&amp;TEXT(H2226,"0")</f>
        <v/>
      </c>
      <c r="J2226" s="126">
        <f>IFERROR(XLOOKUP(I2226,'Segment Map'!A:A,'Segment Map'!B:B,"Need Attention"),"Need Attention")</f>
        <v/>
      </c>
      <c r="K2226" s="126">
        <f>IF(E2226&gt;=5000,"🏆 Platinum",IF(E2226&gt;=2000,"🥇 Gold",IF(E2226&gt;=800,"🥈 Silver","🥉 Bronze")))</f>
        <v/>
      </c>
      <c r="L2226" s="129" t="n">
        <v>40758</v>
      </c>
    </row>
    <row r="2227">
      <c r="A2227" s="122" t="n">
        <v>15376</v>
      </c>
      <c r="B2227" s="122" t="inlineStr">
        <is>
          <t>United Kingdom</t>
        </is>
      </c>
      <c r="C2227" s="122" t="n">
        <v>41</v>
      </c>
      <c r="D2227" s="122" t="n">
        <v>3</v>
      </c>
      <c r="E2227" s="123" t="n">
        <v>1233.36</v>
      </c>
      <c r="F2227" s="124">
        <f>IF(C2227&lt;=30,5,IF(C2227&lt;=60,4,IF(C2227&lt;=120,3,IF(C2227&lt;=200,2,1))))</f>
        <v/>
      </c>
      <c r="G2227" s="124">
        <f>IF(D2227&gt;=20,5,IF(D2227&gt;=10,4,IF(D2227&gt;=5,3,IF(D2227&gt;=2,2,1))))</f>
        <v/>
      </c>
      <c r="H2227" s="124">
        <f>IF(E2227&gt;=5000,5,IF(E2227&gt;=2000,4,IF(E2227&gt;=800,3,IF(E2227&gt;=300,2,1))))</f>
        <v/>
      </c>
      <c r="I2227" s="122">
        <f>TEXT(F2227,"0")&amp;TEXT(G2227,"0")&amp;TEXT(H2227,"0")</f>
        <v/>
      </c>
      <c r="J2227" s="122">
        <f>IFERROR(XLOOKUP(I2227,'Segment Map'!A:A,'Segment Map'!B:B,"Need Attention"),"Need Attention")</f>
        <v/>
      </c>
      <c r="K2227" s="122">
        <f>IF(E2227&gt;=5000,"🏆 Platinum",IF(E2227&gt;=2000,"🥇 Gold",IF(E2227&gt;=800,"🥈 Silver","🥉 Bronze")))</f>
        <v/>
      </c>
      <c r="L2227" s="125" t="n">
        <v>40846</v>
      </c>
    </row>
    <row r="2228">
      <c r="A2228" s="126" t="n">
        <v>15379</v>
      </c>
      <c r="B2228" s="126" t="inlineStr">
        <is>
          <t>United Kingdom</t>
        </is>
      </c>
      <c r="C2228" s="126" t="n">
        <v>170</v>
      </c>
      <c r="D2228" s="126" t="n">
        <v>7</v>
      </c>
      <c r="E2228" s="127" t="n">
        <v>3703.29</v>
      </c>
      <c r="F2228" s="128">
        <f>IF(C2228&lt;=30,5,IF(C2228&lt;=60,4,IF(C2228&lt;=120,3,IF(C2228&lt;=200,2,1))))</f>
        <v/>
      </c>
      <c r="G2228" s="128">
        <f>IF(D2228&gt;=20,5,IF(D2228&gt;=10,4,IF(D2228&gt;=5,3,IF(D2228&gt;=2,2,1))))</f>
        <v/>
      </c>
      <c r="H2228" s="128">
        <f>IF(E2228&gt;=5000,5,IF(E2228&gt;=2000,4,IF(E2228&gt;=800,3,IF(E2228&gt;=300,2,1))))</f>
        <v/>
      </c>
      <c r="I2228" s="126">
        <f>TEXT(F2228,"0")&amp;TEXT(G2228,"0")&amp;TEXT(H2228,"0")</f>
        <v/>
      </c>
      <c r="J2228" s="126">
        <f>IFERROR(XLOOKUP(I2228,'Segment Map'!A:A,'Segment Map'!B:B,"Need Attention"),"Need Attention")</f>
        <v/>
      </c>
      <c r="K2228" s="126">
        <f>IF(E2228&gt;=5000,"🏆 Platinum",IF(E2228&gt;=2000,"🥇 Gold",IF(E2228&gt;=800,"🥈 Silver","🥉 Bronze")))</f>
        <v/>
      </c>
      <c r="L2228" s="129" t="n">
        <v>40717</v>
      </c>
    </row>
    <row r="2229">
      <c r="A2229" s="122" t="n">
        <v>15380</v>
      </c>
      <c r="B2229" s="122" t="inlineStr">
        <is>
          <t>United Kingdom</t>
        </is>
      </c>
      <c r="C2229" s="122" t="n">
        <v>9</v>
      </c>
      <c r="D2229" s="122" t="n">
        <v>5</v>
      </c>
      <c r="E2229" s="123" t="n">
        <v>1690.26</v>
      </c>
      <c r="F2229" s="124">
        <f>IF(C2229&lt;=30,5,IF(C2229&lt;=60,4,IF(C2229&lt;=120,3,IF(C2229&lt;=200,2,1))))</f>
        <v/>
      </c>
      <c r="G2229" s="124">
        <f>IF(D2229&gt;=20,5,IF(D2229&gt;=10,4,IF(D2229&gt;=5,3,IF(D2229&gt;=2,2,1))))</f>
        <v/>
      </c>
      <c r="H2229" s="124">
        <f>IF(E2229&gt;=5000,5,IF(E2229&gt;=2000,4,IF(E2229&gt;=800,3,IF(E2229&gt;=300,2,1))))</f>
        <v/>
      </c>
      <c r="I2229" s="122">
        <f>TEXT(F2229,"0")&amp;TEXT(G2229,"0")&amp;TEXT(H2229,"0")</f>
        <v/>
      </c>
      <c r="J2229" s="122">
        <f>IFERROR(XLOOKUP(I2229,'Segment Map'!A:A,'Segment Map'!B:B,"Need Attention"),"Need Attention")</f>
        <v/>
      </c>
      <c r="K2229" s="122">
        <f>IF(E2229&gt;=5000,"🏆 Platinum",IF(E2229&gt;=2000,"🥇 Gold",IF(E2229&gt;=800,"🥈 Silver","🥉 Bronze")))</f>
        <v/>
      </c>
      <c r="L2229" s="125" t="n">
        <v>40878</v>
      </c>
    </row>
    <row r="2230">
      <c r="A2230" s="126" t="n">
        <v>15381</v>
      </c>
      <c r="B2230" s="126" t="inlineStr">
        <is>
          <t>United Kingdom</t>
        </is>
      </c>
      <c r="C2230" s="126" t="n">
        <v>214</v>
      </c>
      <c r="D2230" s="126" t="n">
        <v>2</v>
      </c>
      <c r="E2230" s="127" t="n">
        <v>596.85</v>
      </c>
      <c r="F2230" s="128">
        <f>IF(C2230&lt;=30,5,IF(C2230&lt;=60,4,IF(C2230&lt;=120,3,IF(C2230&lt;=200,2,1))))</f>
        <v/>
      </c>
      <c r="G2230" s="128">
        <f>IF(D2230&gt;=20,5,IF(D2230&gt;=10,4,IF(D2230&gt;=5,3,IF(D2230&gt;=2,2,1))))</f>
        <v/>
      </c>
      <c r="H2230" s="128">
        <f>IF(E2230&gt;=5000,5,IF(E2230&gt;=2000,4,IF(E2230&gt;=800,3,IF(E2230&gt;=300,2,1))))</f>
        <v/>
      </c>
      <c r="I2230" s="126">
        <f>TEXT(F2230,"0")&amp;TEXT(G2230,"0")&amp;TEXT(H2230,"0")</f>
        <v/>
      </c>
      <c r="J2230" s="126">
        <f>IFERROR(XLOOKUP(I2230,'Segment Map'!A:A,'Segment Map'!B:B,"Need Attention"),"Need Attention")</f>
        <v/>
      </c>
      <c r="K2230" s="126">
        <f>IF(E2230&gt;=5000,"🏆 Platinum",IF(E2230&gt;=2000,"🥇 Gold",IF(E2230&gt;=800,"🥈 Silver","🥉 Bronze")))</f>
        <v/>
      </c>
      <c r="L2230" s="129" t="n">
        <v>40673</v>
      </c>
    </row>
    <row r="2231">
      <c r="A2231" s="122" t="n">
        <v>15382</v>
      </c>
      <c r="B2231" s="122" t="inlineStr">
        <is>
          <t>United Kingdom</t>
        </is>
      </c>
      <c r="C2231" s="122" t="n">
        <v>15</v>
      </c>
      <c r="D2231" s="122" t="n">
        <v>6</v>
      </c>
      <c r="E2231" s="123" t="n">
        <v>5955.71</v>
      </c>
      <c r="F2231" s="124">
        <f>IF(C2231&lt;=30,5,IF(C2231&lt;=60,4,IF(C2231&lt;=120,3,IF(C2231&lt;=200,2,1))))</f>
        <v/>
      </c>
      <c r="G2231" s="124">
        <f>IF(D2231&gt;=20,5,IF(D2231&gt;=10,4,IF(D2231&gt;=5,3,IF(D2231&gt;=2,2,1))))</f>
        <v/>
      </c>
      <c r="H2231" s="124">
        <f>IF(E2231&gt;=5000,5,IF(E2231&gt;=2000,4,IF(E2231&gt;=800,3,IF(E2231&gt;=300,2,1))))</f>
        <v/>
      </c>
      <c r="I2231" s="122">
        <f>TEXT(F2231,"0")&amp;TEXT(G2231,"0")&amp;TEXT(H2231,"0")</f>
        <v/>
      </c>
      <c r="J2231" s="122">
        <f>IFERROR(XLOOKUP(I2231,'Segment Map'!A:A,'Segment Map'!B:B,"Need Attention"),"Need Attention")</f>
        <v/>
      </c>
      <c r="K2231" s="122">
        <f>IF(E2231&gt;=5000,"🏆 Platinum",IF(E2231&gt;=2000,"🥇 Gold",IF(E2231&gt;=800,"🥈 Silver","🥉 Bronze")))</f>
        <v/>
      </c>
      <c r="L2231" s="125" t="n">
        <v>40872</v>
      </c>
    </row>
    <row r="2232">
      <c r="A2232" s="126" t="n">
        <v>15384</v>
      </c>
      <c r="B2232" s="126" t="inlineStr">
        <is>
          <t>United Kingdom</t>
        </is>
      </c>
      <c r="C2232" s="126" t="n">
        <v>170</v>
      </c>
      <c r="D2232" s="126" t="n">
        <v>2</v>
      </c>
      <c r="E2232" s="127" t="n">
        <v>642.41</v>
      </c>
      <c r="F2232" s="128">
        <f>IF(C2232&lt;=30,5,IF(C2232&lt;=60,4,IF(C2232&lt;=120,3,IF(C2232&lt;=200,2,1))))</f>
        <v/>
      </c>
      <c r="G2232" s="128">
        <f>IF(D2232&gt;=20,5,IF(D2232&gt;=10,4,IF(D2232&gt;=5,3,IF(D2232&gt;=2,2,1))))</f>
        <v/>
      </c>
      <c r="H2232" s="128">
        <f>IF(E2232&gt;=5000,5,IF(E2232&gt;=2000,4,IF(E2232&gt;=800,3,IF(E2232&gt;=300,2,1))))</f>
        <v/>
      </c>
      <c r="I2232" s="126">
        <f>TEXT(F2232,"0")&amp;TEXT(G2232,"0")&amp;TEXT(H2232,"0")</f>
        <v/>
      </c>
      <c r="J2232" s="126">
        <f>IFERROR(XLOOKUP(I2232,'Segment Map'!A:A,'Segment Map'!B:B,"Need Attention"),"Need Attention")</f>
        <v/>
      </c>
      <c r="K2232" s="126">
        <f>IF(E2232&gt;=5000,"🏆 Platinum",IF(E2232&gt;=2000,"🥇 Gold",IF(E2232&gt;=800,"🥈 Silver","🥉 Bronze")))</f>
        <v/>
      </c>
      <c r="L2232" s="129" t="n">
        <v>40717</v>
      </c>
    </row>
    <row r="2233">
      <c r="A2233" s="122" t="n">
        <v>15385</v>
      </c>
      <c r="B2233" s="122" t="inlineStr">
        <is>
          <t>United Kingdom</t>
        </is>
      </c>
      <c r="C2233" s="122" t="n">
        <v>41</v>
      </c>
      <c r="D2233" s="122" t="n">
        <v>1</v>
      </c>
      <c r="E2233" s="123" t="n">
        <v>316.88</v>
      </c>
      <c r="F2233" s="124">
        <f>IF(C2233&lt;=30,5,IF(C2233&lt;=60,4,IF(C2233&lt;=120,3,IF(C2233&lt;=200,2,1))))</f>
        <v/>
      </c>
      <c r="G2233" s="124">
        <f>IF(D2233&gt;=20,5,IF(D2233&gt;=10,4,IF(D2233&gt;=5,3,IF(D2233&gt;=2,2,1))))</f>
        <v/>
      </c>
      <c r="H2233" s="124">
        <f>IF(E2233&gt;=5000,5,IF(E2233&gt;=2000,4,IF(E2233&gt;=800,3,IF(E2233&gt;=300,2,1))))</f>
        <v/>
      </c>
      <c r="I2233" s="122">
        <f>TEXT(F2233,"0")&amp;TEXT(G2233,"0")&amp;TEXT(H2233,"0")</f>
        <v/>
      </c>
      <c r="J2233" s="122">
        <f>IFERROR(XLOOKUP(I2233,'Segment Map'!A:A,'Segment Map'!B:B,"Need Attention"),"Need Attention")</f>
        <v/>
      </c>
      <c r="K2233" s="122">
        <f>IF(E2233&gt;=5000,"🏆 Platinum",IF(E2233&gt;=2000,"🥇 Gold",IF(E2233&gt;=800,"🥈 Silver","🥉 Bronze")))</f>
        <v/>
      </c>
      <c r="L2233" s="125" t="n">
        <v>40846</v>
      </c>
    </row>
    <row r="2234">
      <c r="A2234" s="126" t="n">
        <v>15386</v>
      </c>
      <c r="B2234" s="126" t="inlineStr">
        <is>
          <t>United Kingdom</t>
        </is>
      </c>
      <c r="C2234" s="126" t="n">
        <v>187</v>
      </c>
      <c r="D2234" s="126" t="n">
        <v>1</v>
      </c>
      <c r="E2234" s="127" t="n">
        <v>394.14</v>
      </c>
      <c r="F2234" s="128">
        <f>IF(C2234&lt;=30,5,IF(C2234&lt;=60,4,IF(C2234&lt;=120,3,IF(C2234&lt;=200,2,1))))</f>
        <v/>
      </c>
      <c r="G2234" s="128">
        <f>IF(D2234&gt;=20,5,IF(D2234&gt;=10,4,IF(D2234&gt;=5,3,IF(D2234&gt;=2,2,1))))</f>
        <v/>
      </c>
      <c r="H2234" s="128">
        <f>IF(E2234&gt;=5000,5,IF(E2234&gt;=2000,4,IF(E2234&gt;=800,3,IF(E2234&gt;=300,2,1))))</f>
        <v/>
      </c>
      <c r="I2234" s="126">
        <f>TEXT(F2234,"0")&amp;TEXT(G2234,"0")&amp;TEXT(H2234,"0")</f>
        <v/>
      </c>
      <c r="J2234" s="126">
        <f>IFERROR(XLOOKUP(I2234,'Segment Map'!A:A,'Segment Map'!B:B,"Need Attention"),"Need Attention")</f>
        <v/>
      </c>
      <c r="K2234" s="126">
        <f>IF(E2234&gt;=5000,"🏆 Platinum",IF(E2234&gt;=2000,"🥇 Gold",IF(E2234&gt;=800,"🥈 Silver","🥉 Bronze")))</f>
        <v/>
      </c>
      <c r="L2234" s="129" t="n">
        <v>40700</v>
      </c>
    </row>
    <row r="2235">
      <c r="A2235" s="122" t="n">
        <v>15388</v>
      </c>
      <c r="B2235" s="122" t="inlineStr">
        <is>
          <t>Canada</t>
        </is>
      </c>
      <c r="C2235" s="122" t="n">
        <v>271</v>
      </c>
      <c r="D2235" s="122" t="n">
        <v>1</v>
      </c>
      <c r="E2235" s="123" t="n">
        <v>140.54</v>
      </c>
      <c r="F2235" s="124">
        <f>IF(C2235&lt;=30,5,IF(C2235&lt;=60,4,IF(C2235&lt;=120,3,IF(C2235&lt;=200,2,1))))</f>
        <v/>
      </c>
      <c r="G2235" s="124">
        <f>IF(D2235&gt;=20,5,IF(D2235&gt;=10,4,IF(D2235&gt;=5,3,IF(D2235&gt;=2,2,1))))</f>
        <v/>
      </c>
      <c r="H2235" s="124">
        <f>IF(E2235&gt;=5000,5,IF(E2235&gt;=2000,4,IF(E2235&gt;=800,3,IF(E2235&gt;=300,2,1))))</f>
        <v/>
      </c>
      <c r="I2235" s="122">
        <f>TEXT(F2235,"0")&amp;TEXT(G2235,"0")&amp;TEXT(H2235,"0")</f>
        <v/>
      </c>
      <c r="J2235" s="122">
        <f>IFERROR(XLOOKUP(I2235,'Segment Map'!A:A,'Segment Map'!B:B,"Need Attention"),"Need Attention")</f>
        <v/>
      </c>
      <c r="K2235" s="122">
        <f>IF(E2235&gt;=5000,"🏆 Platinum",IF(E2235&gt;=2000,"🥇 Gold",IF(E2235&gt;=800,"🥈 Silver","🥉 Bronze")))</f>
        <v/>
      </c>
      <c r="L2235" s="125" t="n">
        <v>40616</v>
      </c>
    </row>
    <row r="2236">
      <c r="A2236" s="126" t="n">
        <v>15389</v>
      </c>
      <c r="B2236" s="126" t="inlineStr">
        <is>
          <t>United Kingdom</t>
        </is>
      </c>
      <c r="C2236" s="126" t="n">
        <v>173</v>
      </c>
      <c r="D2236" s="126" t="n">
        <v>1</v>
      </c>
      <c r="E2236" s="127" t="n">
        <v>500</v>
      </c>
      <c r="F2236" s="128">
        <f>IF(C2236&lt;=30,5,IF(C2236&lt;=60,4,IF(C2236&lt;=120,3,IF(C2236&lt;=200,2,1))))</f>
        <v/>
      </c>
      <c r="G2236" s="128">
        <f>IF(D2236&gt;=20,5,IF(D2236&gt;=10,4,IF(D2236&gt;=5,3,IF(D2236&gt;=2,2,1))))</f>
        <v/>
      </c>
      <c r="H2236" s="128">
        <f>IF(E2236&gt;=5000,5,IF(E2236&gt;=2000,4,IF(E2236&gt;=800,3,IF(E2236&gt;=300,2,1))))</f>
        <v/>
      </c>
      <c r="I2236" s="126">
        <f>TEXT(F2236,"0")&amp;TEXT(G2236,"0")&amp;TEXT(H2236,"0")</f>
        <v/>
      </c>
      <c r="J2236" s="126">
        <f>IFERROR(XLOOKUP(I2236,'Segment Map'!A:A,'Segment Map'!B:B,"Need Attention"),"Need Attention")</f>
        <v/>
      </c>
      <c r="K2236" s="126">
        <f>IF(E2236&gt;=5000,"🏆 Platinum",IF(E2236&gt;=2000,"🥇 Gold",IF(E2236&gt;=800,"🥈 Silver","🥉 Bronze")))</f>
        <v/>
      </c>
      <c r="L2236" s="129" t="n">
        <v>40714</v>
      </c>
    </row>
    <row r="2237">
      <c r="A2237" s="122" t="n">
        <v>15392</v>
      </c>
      <c r="B2237" s="122" t="inlineStr">
        <is>
          <t>United Kingdom</t>
        </is>
      </c>
      <c r="C2237" s="122" t="n">
        <v>5</v>
      </c>
      <c r="D2237" s="122" t="n">
        <v>4</v>
      </c>
      <c r="E2237" s="123" t="n">
        <v>1535.53</v>
      </c>
      <c r="F2237" s="124">
        <f>IF(C2237&lt;=30,5,IF(C2237&lt;=60,4,IF(C2237&lt;=120,3,IF(C2237&lt;=200,2,1))))</f>
        <v/>
      </c>
      <c r="G2237" s="124">
        <f>IF(D2237&gt;=20,5,IF(D2237&gt;=10,4,IF(D2237&gt;=5,3,IF(D2237&gt;=2,2,1))))</f>
        <v/>
      </c>
      <c r="H2237" s="124">
        <f>IF(E2237&gt;=5000,5,IF(E2237&gt;=2000,4,IF(E2237&gt;=800,3,IF(E2237&gt;=300,2,1))))</f>
        <v/>
      </c>
      <c r="I2237" s="122">
        <f>TEXT(F2237,"0")&amp;TEXT(G2237,"0")&amp;TEXT(H2237,"0")</f>
        <v/>
      </c>
      <c r="J2237" s="122">
        <f>IFERROR(XLOOKUP(I2237,'Segment Map'!A:A,'Segment Map'!B:B,"Need Attention"),"Need Attention")</f>
        <v/>
      </c>
      <c r="K2237" s="122">
        <f>IF(E2237&gt;=5000,"🏆 Platinum",IF(E2237&gt;=2000,"🥇 Gold",IF(E2237&gt;=800,"🥈 Silver","🥉 Bronze")))</f>
        <v/>
      </c>
      <c r="L2237" s="125" t="n">
        <v>40882</v>
      </c>
    </row>
    <row r="2238">
      <c r="A2238" s="126" t="n">
        <v>15393</v>
      </c>
      <c r="B2238" s="126" t="inlineStr">
        <is>
          <t>United Kingdom</t>
        </is>
      </c>
      <c r="C2238" s="126" t="n">
        <v>17</v>
      </c>
      <c r="D2238" s="126" t="n">
        <v>2</v>
      </c>
      <c r="E2238" s="127" t="n">
        <v>231.86</v>
      </c>
      <c r="F2238" s="128">
        <f>IF(C2238&lt;=30,5,IF(C2238&lt;=60,4,IF(C2238&lt;=120,3,IF(C2238&lt;=200,2,1))))</f>
        <v/>
      </c>
      <c r="G2238" s="128">
        <f>IF(D2238&gt;=20,5,IF(D2238&gt;=10,4,IF(D2238&gt;=5,3,IF(D2238&gt;=2,2,1))))</f>
        <v/>
      </c>
      <c r="H2238" s="128">
        <f>IF(E2238&gt;=5000,5,IF(E2238&gt;=2000,4,IF(E2238&gt;=800,3,IF(E2238&gt;=300,2,1))))</f>
        <v/>
      </c>
      <c r="I2238" s="126">
        <f>TEXT(F2238,"0")&amp;TEXT(G2238,"0")&amp;TEXT(H2238,"0")</f>
        <v/>
      </c>
      <c r="J2238" s="126">
        <f>IFERROR(XLOOKUP(I2238,'Segment Map'!A:A,'Segment Map'!B:B,"Need Attention"),"Need Attention")</f>
        <v/>
      </c>
      <c r="K2238" s="126">
        <f>IF(E2238&gt;=5000,"🏆 Platinum",IF(E2238&gt;=2000,"🥇 Gold",IF(E2238&gt;=800,"🥈 Silver","🥉 Bronze")))</f>
        <v/>
      </c>
      <c r="L2238" s="129" t="n">
        <v>40870</v>
      </c>
    </row>
    <row r="2239">
      <c r="A2239" s="122" t="n">
        <v>15394</v>
      </c>
      <c r="B2239" s="122" t="inlineStr">
        <is>
          <t>United Kingdom</t>
        </is>
      </c>
      <c r="C2239" s="122" t="n">
        <v>10</v>
      </c>
      <c r="D2239" s="122" t="n">
        <v>4</v>
      </c>
      <c r="E2239" s="123" t="n">
        <v>2183.54</v>
      </c>
      <c r="F2239" s="124">
        <f>IF(C2239&lt;=30,5,IF(C2239&lt;=60,4,IF(C2239&lt;=120,3,IF(C2239&lt;=200,2,1))))</f>
        <v/>
      </c>
      <c r="G2239" s="124">
        <f>IF(D2239&gt;=20,5,IF(D2239&gt;=10,4,IF(D2239&gt;=5,3,IF(D2239&gt;=2,2,1))))</f>
        <v/>
      </c>
      <c r="H2239" s="124">
        <f>IF(E2239&gt;=5000,5,IF(E2239&gt;=2000,4,IF(E2239&gt;=800,3,IF(E2239&gt;=300,2,1))))</f>
        <v/>
      </c>
      <c r="I2239" s="122">
        <f>TEXT(F2239,"0")&amp;TEXT(G2239,"0")&amp;TEXT(H2239,"0")</f>
        <v/>
      </c>
      <c r="J2239" s="122">
        <f>IFERROR(XLOOKUP(I2239,'Segment Map'!A:A,'Segment Map'!B:B,"Need Attention"),"Need Attention")</f>
        <v/>
      </c>
      <c r="K2239" s="122">
        <f>IF(E2239&gt;=5000,"🏆 Platinum",IF(E2239&gt;=2000,"🥇 Gold",IF(E2239&gt;=800,"🥈 Silver","🥉 Bronze")))</f>
        <v/>
      </c>
      <c r="L2239" s="125" t="n">
        <v>40877</v>
      </c>
    </row>
    <row r="2240">
      <c r="A2240" s="126" t="n">
        <v>15395</v>
      </c>
      <c r="B2240" s="126" t="inlineStr">
        <is>
          <t>United Kingdom</t>
        </is>
      </c>
      <c r="C2240" s="126" t="n">
        <v>326</v>
      </c>
      <c r="D2240" s="126" t="n">
        <v>1</v>
      </c>
      <c r="E2240" s="127" t="n">
        <v>107.45</v>
      </c>
      <c r="F2240" s="128">
        <f>IF(C2240&lt;=30,5,IF(C2240&lt;=60,4,IF(C2240&lt;=120,3,IF(C2240&lt;=200,2,1))))</f>
        <v/>
      </c>
      <c r="G2240" s="128">
        <f>IF(D2240&gt;=20,5,IF(D2240&gt;=10,4,IF(D2240&gt;=5,3,IF(D2240&gt;=2,2,1))))</f>
        <v/>
      </c>
      <c r="H2240" s="128">
        <f>IF(E2240&gt;=5000,5,IF(E2240&gt;=2000,4,IF(E2240&gt;=800,3,IF(E2240&gt;=300,2,1))))</f>
        <v/>
      </c>
      <c r="I2240" s="126">
        <f>TEXT(F2240,"0")&amp;TEXT(G2240,"0")&amp;TEXT(H2240,"0")</f>
        <v/>
      </c>
      <c r="J2240" s="126">
        <f>IFERROR(XLOOKUP(I2240,'Segment Map'!A:A,'Segment Map'!B:B,"Need Attention"),"Need Attention")</f>
        <v/>
      </c>
      <c r="K2240" s="126">
        <f>IF(E2240&gt;=5000,"🏆 Platinum",IF(E2240&gt;=2000,"🥇 Gold",IF(E2240&gt;=800,"🥈 Silver","🥉 Bronze")))</f>
        <v/>
      </c>
      <c r="L2240" s="129" t="n">
        <v>40561</v>
      </c>
    </row>
    <row r="2241">
      <c r="A2241" s="122" t="n">
        <v>15396</v>
      </c>
      <c r="B2241" s="122" t="inlineStr">
        <is>
          <t>United Kingdom</t>
        </is>
      </c>
      <c r="C2241" s="122" t="n">
        <v>113</v>
      </c>
      <c r="D2241" s="122" t="n">
        <v>1</v>
      </c>
      <c r="E2241" s="123" t="n">
        <v>288.18</v>
      </c>
      <c r="F2241" s="124">
        <f>IF(C2241&lt;=30,5,IF(C2241&lt;=60,4,IF(C2241&lt;=120,3,IF(C2241&lt;=200,2,1))))</f>
        <v/>
      </c>
      <c r="G2241" s="124">
        <f>IF(D2241&gt;=20,5,IF(D2241&gt;=10,4,IF(D2241&gt;=5,3,IF(D2241&gt;=2,2,1))))</f>
        <v/>
      </c>
      <c r="H2241" s="124">
        <f>IF(E2241&gt;=5000,5,IF(E2241&gt;=2000,4,IF(E2241&gt;=800,3,IF(E2241&gt;=300,2,1))))</f>
        <v/>
      </c>
      <c r="I2241" s="122">
        <f>TEXT(F2241,"0")&amp;TEXT(G2241,"0")&amp;TEXT(H2241,"0")</f>
        <v/>
      </c>
      <c r="J2241" s="122">
        <f>IFERROR(XLOOKUP(I2241,'Segment Map'!A:A,'Segment Map'!B:B,"Need Attention"),"Need Attention")</f>
        <v/>
      </c>
      <c r="K2241" s="122">
        <f>IF(E2241&gt;=5000,"🏆 Platinum",IF(E2241&gt;=2000,"🥇 Gold",IF(E2241&gt;=800,"🥈 Silver","🥉 Bronze")))</f>
        <v/>
      </c>
      <c r="L2241" s="125" t="n">
        <v>40774</v>
      </c>
    </row>
    <row r="2242">
      <c r="A2242" s="126" t="n">
        <v>15397</v>
      </c>
      <c r="B2242" s="126" t="inlineStr">
        <is>
          <t>United Kingdom</t>
        </is>
      </c>
      <c r="C2242" s="126" t="n">
        <v>290</v>
      </c>
      <c r="D2242" s="126" t="n">
        <v>1</v>
      </c>
      <c r="E2242" s="127" t="n">
        <v>94</v>
      </c>
      <c r="F2242" s="128">
        <f>IF(C2242&lt;=30,5,IF(C2242&lt;=60,4,IF(C2242&lt;=120,3,IF(C2242&lt;=200,2,1))))</f>
        <v/>
      </c>
      <c r="G2242" s="128">
        <f>IF(D2242&gt;=20,5,IF(D2242&gt;=10,4,IF(D2242&gt;=5,3,IF(D2242&gt;=2,2,1))))</f>
        <v/>
      </c>
      <c r="H2242" s="128">
        <f>IF(E2242&gt;=5000,5,IF(E2242&gt;=2000,4,IF(E2242&gt;=800,3,IF(E2242&gt;=300,2,1))))</f>
        <v/>
      </c>
      <c r="I2242" s="126">
        <f>TEXT(F2242,"0")&amp;TEXT(G2242,"0")&amp;TEXT(H2242,"0")</f>
        <v/>
      </c>
      <c r="J2242" s="126">
        <f>IFERROR(XLOOKUP(I2242,'Segment Map'!A:A,'Segment Map'!B:B,"Need Attention"),"Need Attention")</f>
        <v/>
      </c>
      <c r="K2242" s="126">
        <f>IF(E2242&gt;=5000,"🏆 Platinum",IF(E2242&gt;=2000,"🥇 Gold",IF(E2242&gt;=800,"🥈 Silver","🥉 Bronze")))</f>
        <v/>
      </c>
      <c r="L2242" s="129" t="n">
        <v>40597</v>
      </c>
    </row>
    <row r="2243">
      <c r="A2243" s="122" t="n">
        <v>15398</v>
      </c>
      <c r="B2243" s="122" t="inlineStr">
        <is>
          <t>United Kingdom</t>
        </is>
      </c>
      <c r="C2243" s="122" t="n">
        <v>17</v>
      </c>
      <c r="D2243" s="122" t="n">
        <v>2</v>
      </c>
      <c r="E2243" s="123" t="n">
        <v>1345.53</v>
      </c>
      <c r="F2243" s="124">
        <f>IF(C2243&lt;=30,5,IF(C2243&lt;=60,4,IF(C2243&lt;=120,3,IF(C2243&lt;=200,2,1))))</f>
        <v/>
      </c>
      <c r="G2243" s="124">
        <f>IF(D2243&gt;=20,5,IF(D2243&gt;=10,4,IF(D2243&gt;=5,3,IF(D2243&gt;=2,2,1))))</f>
        <v/>
      </c>
      <c r="H2243" s="124">
        <f>IF(E2243&gt;=5000,5,IF(E2243&gt;=2000,4,IF(E2243&gt;=800,3,IF(E2243&gt;=300,2,1))))</f>
        <v/>
      </c>
      <c r="I2243" s="122">
        <f>TEXT(F2243,"0")&amp;TEXT(G2243,"0")&amp;TEXT(H2243,"0")</f>
        <v/>
      </c>
      <c r="J2243" s="122">
        <f>IFERROR(XLOOKUP(I2243,'Segment Map'!A:A,'Segment Map'!B:B,"Need Attention"),"Need Attention")</f>
        <v/>
      </c>
      <c r="K2243" s="122">
        <f>IF(E2243&gt;=5000,"🏆 Platinum",IF(E2243&gt;=2000,"🥇 Gold",IF(E2243&gt;=800,"🥈 Silver","🥉 Bronze")))</f>
        <v/>
      </c>
      <c r="L2243" s="125" t="n">
        <v>40870</v>
      </c>
    </row>
    <row r="2244">
      <c r="A2244" s="126" t="n">
        <v>15399</v>
      </c>
      <c r="B2244" s="126" t="inlineStr">
        <is>
          <t>United Kingdom</t>
        </is>
      </c>
      <c r="C2244" s="126" t="n">
        <v>2</v>
      </c>
      <c r="D2244" s="126" t="n">
        <v>3</v>
      </c>
      <c r="E2244" s="127" t="n">
        <v>815.77</v>
      </c>
      <c r="F2244" s="128">
        <f>IF(C2244&lt;=30,5,IF(C2244&lt;=60,4,IF(C2244&lt;=120,3,IF(C2244&lt;=200,2,1))))</f>
        <v/>
      </c>
      <c r="G2244" s="128">
        <f>IF(D2244&gt;=20,5,IF(D2244&gt;=10,4,IF(D2244&gt;=5,3,IF(D2244&gt;=2,2,1))))</f>
        <v/>
      </c>
      <c r="H2244" s="128">
        <f>IF(E2244&gt;=5000,5,IF(E2244&gt;=2000,4,IF(E2244&gt;=800,3,IF(E2244&gt;=300,2,1))))</f>
        <v/>
      </c>
      <c r="I2244" s="126">
        <f>TEXT(F2244,"0")&amp;TEXT(G2244,"0")&amp;TEXT(H2244,"0")</f>
        <v/>
      </c>
      <c r="J2244" s="126">
        <f>IFERROR(XLOOKUP(I2244,'Segment Map'!A:A,'Segment Map'!B:B,"Need Attention"),"Need Attention")</f>
        <v/>
      </c>
      <c r="K2244" s="126">
        <f>IF(E2244&gt;=5000,"🏆 Platinum",IF(E2244&gt;=2000,"🥇 Gold",IF(E2244&gt;=800,"🥈 Silver","🥉 Bronze")))</f>
        <v/>
      </c>
      <c r="L2244" s="129" t="n">
        <v>40885</v>
      </c>
    </row>
    <row r="2245">
      <c r="A2245" s="122" t="n">
        <v>15400</v>
      </c>
      <c r="B2245" s="122" t="inlineStr">
        <is>
          <t>United Kingdom</t>
        </is>
      </c>
      <c r="C2245" s="122" t="n">
        <v>93</v>
      </c>
      <c r="D2245" s="122" t="n">
        <v>5</v>
      </c>
      <c r="E2245" s="123" t="n">
        <v>716.2</v>
      </c>
      <c r="F2245" s="124">
        <f>IF(C2245&lt;=30,5,IF(C2245&lt;=60,4,IF(C2245&lt;=120,3,IF(C2245&lt;=200,2,1))))</f>
        <v/>
      </c>
      <c r="G2245" s="124">
        <f>IF(D2245&gt;=20,5,IF(D2245&gt;=10,4,IF(D2245&gt;=5,3,IF(D2245&gt;=2,2,1))))</f>
        <v/>
      </c>
      <c r="H2245" s="124">
        <f>IF(E2245&gt;=5000,5,IF(E2245&gt;=2000,4,IF(E2245&gt;=800,3,IF(E2245&gt;=300,2,1))))</f>
        <v/>
      </c>
      <c r="I2245" s="122">
        <f>TEXT(F2245,"0")&amp;TEXT(G2245,"0")&amp;TEXT(H2245,"0")</f>
        <v/>
      </c>
      <c r="J2245" s="122">
        <f>IFERROR(XLOOKUP(I2245,'Segment Map'!A:A,'Segment Map'!B:B,"Need Attention"),"Need Attention")</f>
        <v/>
      </c>
      <c r="K2245" s="122">
        <f>IF(E2245&gt;=5000,"🏆 Platinum",IF(E2245&gt;=2000,"🥇 Gold",IF(E2245&gt;=800,"🥈 Silver","🥉 Bronze")))</f>
        <v/>
      </c>
      <c r="L2245" s="125" t="n">
        <v>40794</v>
      </c>
    </row>
    <row r="2246">
      <c r="A2246" s="126" t="n">
        <v>15402</v>
      </c>
      <c r="B2246" s="126" t="inlineStr">
        <is>
          <t>United Kingdom</t>
        </is>
      </c>
      <c r="C2246" s="126" t="n">
        <v>149</v>
      </c>
      <c r="D2246" s="126" t="n">
        <v>2</v>
      </c>
      <c r="E2246" s="127" t="n">
        <v>626.77</v>
      </c>
      <c r="F2246" s="128">
        <f>IF(C2246&lt;=30,5,IF(C2246&lt;=60,4,IF(C2246&lt;=120,3,IF(C2246&lt;=200,2,1))))</f>
        <v/>
      </c>
      <c r="G2246" s="128">
        <f>IF(D2246&gt;=20,5,IF(D2246&gt;=10,4,IF(D2246&gt;=5,3,IF(D2246&gt;=2,2,1))))</f>
        <v/>
      </c>
      <c r="H2246" s="128">
        <f>IF(E2246&gt;=5000,5,IF(E2246&gt;=2000,4,IF(E2246&gt;=800,3,IF(E2246&gt;=300,2,1))))</f>
        <v/>
      </c>
      <c r="I2246" s="126">
        <f>TEXT(F2246,"0")&amp;TEXT(G2246,"0")&amp;TEXT(H2246,"0")</f>
        <v/>
      </c>
      <c r="J2246" s="126">
        <f>IFERROR(XLOOKUP(I2246,'Segment Map'!A:A,'Segment Map'!B:B,"Need Attention"),"Need Attention")</f>
        <v/>
      </c>
      <c r="K2246" s="126">
        <f>IF(E2246&gt;=5000,"🏆 Platinum",IF(E2246&gt;=2000,"🥇 Gold",IF(E2246&gt;=800,"🥈 Silver","🥉 Bronze")))</f>
        <v/>
      </c>
      <c r="L2246" s="129" t="n">
        <v>40738</v>
      </c>
    </row>
    <row r="2247">
      <c r="A2247" s="122" t="n">
        <v>15405</v>
      </c>
      <c r="B2247" s="122" t="inlineStr">
        <is>
          <t>United Kingdom</t>
        </is>
      </c>
      <c r="C2247" s="122" t="n">
        <v>190</v>
      </c>
      <c r="D2247" s="122" t="n">
        <v>1</v>
      </c>
      <c r="E2247" s="123" t="n">
        <v>349.1</v>
      </c>
      <c r="F2247" s="124">
        <f>IF(C2247&lt;=30,5,IF(C2247&lt;=60,4,IF(C2247&lt;=120,3,IF(C2247&lt;=200,2,1))))</f>
        <v/>
      </c>
      <c r="G2247" s="124">
        <f>IF(D2247&gt;=20,5,IF(D2247&gt;=10,4,IF(D2247&gt;=5,3,IF(D2247&gt;=2,2,1))))</f>
        <v/>
      </c>
      <c r="H2247" s="124">
        <f>IF(E2247&gt;=5000,5,IF(E2247&gt;=2000,4,IF(E2247&gt;=800,3,IF(E2247&gt;=300,2,1))))</f>
        <v/>
      </c>
      <c r="I2247" s="122">
        <f>TEXT(F2247,"0")&amp;TEXT(G2247,"0")&amp;TEXT(H2247,"0")</f>
        <v/>
      </c>
      <c r="J2247" s="122">
        <f>IFERROR(XLOOKUP(I2247,'Segment Map'!A:A,'Segment Map'!B:B,"Need Attention"),"Need Attention")</f>
        <v/>
      </c>
      <c r="K2247" s="122">
        <f>IF(E2247&gt;=5000,"🏆 Platinum",IF(E2247&gt;=2000,"🥇 Gold",IF(E2247&gt;=800,"🥈 Silver","🥉 Bronze")))</f>
        <v/>
      </c>
      <c r="L2247" s="125" t="n">
        <v>40697</v>
      </c>
    </row>
    <row r="2248">
      <c r="A2248" s="126" t="n">
        <v>15406</v>
      </c>
      <c r="B2248" s="126" t="inlineStr">
        <is>
          <t>United Kingdom</t>
        </is>
      </c>
      <c r="C2248" s="126" t="n">
        <v>32</v>
      </c>
      <c r="D2248" s="126" t="n">
        <v>2</v>
      </c>
      <c r="E2248" s="127" t="n">
        <v>510.71</v>
      </c>
      <c r="F2248" s="128">
        <f>IF(C2248&lt;=30,5,IF(C2248&lt;=60,4,IF(C2248&lt;=120,3,IF(C2248&lt;=200,2,1))))</f>
        <v/>
      </c>
      <c r="G2248" s="128">
        <f>IF(D2248&gt;=20,5,IF(D2248&gt;=10,4,IF(D2248&gt;=5,3,IF(D2248&gt;=2,2,1))))</f>
        <v/>
      </c>
      <c r="H2248" s="128">
        <f>IF(E2248&gt;=5000,5,IF(E2248&gt;=2000,4,IF(E2248&gt;=800,3,IF(E2248&gt;=300,2,1))))</f>
        <v/>
      </c>
      <c r="I2248" s="126">
        <f>TEXT(F2248,"0")&amp;TEXT(G2248,"0")&amp;TEXT(H2248,"0")</f>
        <v/>
      </c>
      <c r="J2248" s="126">
        <f>IFERROR(XLOOKUP(I2248,'Segment Map'!A:A,'Segment Map'!B:B,"Need Attention"),"Need Attention")</f>
        <v/>
      </c>
      <c r="K2248" s="126">
        <f>IF(E2248&gt;=5000,"🏆 Platinum",IF(E2248&gt;=2000,"🥇 Gold",IF(E2248&gt;=800,"🥈 Silver","🥉 Bronze")))</f>
        <v/>
      </c>
      <c r="L2248" s="129" t="n">
        <v>40855</v>
      </c>
    </row>
    <row r="2249">
      <c r="A2249" s="122" t="n">
        <v>15407</v>
      </c>
      <c r="B2249" s="122" t="inlineStr">
        <is>
          <t>United Kingdom</t>
        </is>
      </c>
      <c r="C2249" s="122" t="n">
        <v>34</v>
      </c>
      <c r="D2249" s="122" t="n">
        <v>4</v>
      </c>
      <c r="E2249" s="123" t="n">
        <v>1056.44</v>
      </c>
      <c r="F2249" s="124">
        <f>IF(C2249&lt;=30,5,IF(C2249&lt;=60,4,IF(C2249&lt;=120,3,IF(C2249&lt;=200,2,1))))</f>
        <v/>
      </c>
      <c r="G2249" s="124">
        <f>IF(D2249&gt;=20,5,IF(D2249&gt;=10,4,IF(D2249&gt;=5,3,IF(D2249&gt;=2,2,1))))</f>
        <v/>
      </c>
      <c r="H2249" s="124">
        <f>IF(E2249&gt;=5000,5,IF(E2249&gt;=2000,4,IF(E2249&gt;=800,3,IF(E2249&gt;=300,2,1))))</f>
        <v/>
      </c>
      <c r="I2249" s="122">
        <f>TEXT(F2249,"0")&amp;TEXT(G2249,"0")&amp;TEXT(H2249,"0")</f>
        <v/>
      </c>
      <c r="J2249" s="122">
        <f>IFERROR(XLOOKUP(I2249,'Segment Map'!A:A,'Segment Map'!B:B,"Need Attention"),"Need Attention")</f>
        <v/>
      </c>
      <c r="K2249" s="122">
        <f>IF(E2249&gt;=5000,"🏆 Platinum",IF(E2249&gt;=2000,"🥇 Gold",IF(E2249&gt;=800,"🥈 Silver","🥉 Bronze")))</f>
        <v/>
      </c>
      <c r="L2249" s="125" t="n">
        <v>40853</v>
      </c>
    </row>
    <row r="2250">
      <c r="A2250" s="126" t="n">
        <v>15408</v>
      </c>
      <c r="B2250" s="126" t="inlineStr">
        <is>
          <t>United Kingdom</t>
        </is>
      </c>
      <c r="C2250" s="126" t="n">
        <v>265</v>
      </c>
      <c r="D2250" s="126" t="n">
        <v>1</v>
      </c>
      <c r="E2250" s="127" t="n">
        <v>267.18</v>
      </c>
      <c r="F2250" s="128">
        <f>IF(C2250&lt;=30,5,IF(C2250&lt;=60,4,IF(C2250&lt;=120,3,IF(C2250&lt;=200,2,1))))</f>
        <v/>
      </c>
      <c r="G2250" s="128">
        <f>IF(D2250&gt;=20,5,IF(D2250&gt;=10,4,IF(D2250&gt;=5,3,IF(D2250&gt;=2,2,1))))</f>
        <v/>
      </c>
      <c r="H2250" s="128">
        <f>IF(E2250&gt;=5000,5,IF(E2250&gt;=2000,4,IF(E2250&gt;=800,3,IF(E2250&gt;=300,2,1))))</f>
        <v/>
      </c>
      <c r="I2250" s="126">
        <f>TEXT(F2250,"0")&amp;TEXT(G2250,"0")&amp;TEXT(H2250,"0")</f>
        <v/>
      </c>
      <c r="J2250" s="126">
        <f>IFERROR(XLOOKUP(I2250,'Segment Map'!A:A,'Segment Map'!B:B,"Need Attention"),"Need Attention")</f>
        <v/>
      </c>
      <c r="K2250" s="126">
        <f>IF(E2250&gt;=5000,"🏆 Platinum",IF(E2250&gt;=2000,"🥇 Gold",IF(E2250&gt;=800,"🥈 Silver","🥉 Bronze")))</f>
        <v/>
      </c>
      <c r="L2250" s="129" t="n">
        <v>40622</v>
      </c>
    </row>
    <row r="2251">
      <c r="A2251" s="122" t="n">
        <v>15410</v>
      </c>
      <c r="B2251" s="122" t="inlineStr">
        <is>
          <t>United Kingdom</t>
        </is>
      </c>
      <c r="C2251" s="122" t="n">
        <v>85</v>
      </c>
      <c r="D2251" s="122" t="n">
        <v>8</v>
      </c>
      <c r="E2251" s="123" t="n">
        <v>3450.84</v>
      </c>
      <c r="F2251" s="124">
        <f>IF(C2251&lt;=30,5,IF(C2251&lt;=60,4,IF(C2251&lt;=120,3,IF(C2251&lt;=200,2,1))))</f>
        <v/>
      </c>
      <c r="G2251" s="124">
        <f>IF(D2251&gt;=20,5,IF(D2251&gt;=10,4,IF(D2251&gt;=5,3,IF(D2251&gt;=2,2,1))))</f>
        <v/>
      </c>
      <c r="H2251" s="124">
        <f>IF(E2251&gt;=5000,5,IF(E2251&gt;=2000,4,IF(E2251&gt;=800,3,IF(E2251&gt;=300,2,1))))</f>
        <v/>
      </c>
      <c r="I2251" s="122">
        <f>TEXT(F2251,"0")&amp;TEXT(G2251,"0")&amp;TEXT(H2251,"0")</f>
        <v/>
      </c>
      <c r="J2251" s="122">
        <f>IFERROR(XLOOKUP(I2251,'Segment Map'!A:A,'Segment Map'!B:B,"Need Attention"),"Need Attention")</f>
        <v/>
      </c>
      <c r="K2251" s="122">
        <f>IF(E2251&gt;=5000,"🏆 Platinum",IF(E2251&gt;=2000,"🥇 Gold",IF(E2251&gt;=800,"🥈 Silver","🥉 Bronze")))</f>
        <v/>
      </c>
      <c r="L2251" s="125" t="n">
        <v>40802</v>
      </c>
    </row>
    <row r="2252">
      <c r="A2252" s="126" t="n">
        <v>15411</v>
      </c>
      <c r="B2252" s="126" t="inlineStr">
        <is>
          <t>United Kingdom</t>
        </is>
      </c>
      <c r="C2252" s="126" t="n">
        <v>27</v>
      </c>
      <c r="D2252" s="126" t="n">
        <v>4</v>
      </c>
      <c r="E2252" s="127" t="n">
        <v>1358.88</v>
      </c>
      <c r="F2252" s="128">
        <f>IF(C2252&lt;=30,5,IF(C2252&lt;=60,4,IF(C2252&lt;=120,3,IF(C2252&lt;=200,2,1))))</f>
        <v/>
      </c>
      <c r="G2252" s="128">
        <f>IF(D2252&gt;=20,5,IF(D2252&gt;=10,4,IF(D2252&gt;=5,3,IF(D2252&gt;=2,2,1))))</f>
        <v/>
      </c>
      <c r="H2252" s="128">
        <f>IF(E2252&gt;=5000,5,IF(E2252&gt;=2000,4,IF(E2252&gt;=800,3,IF(E2252&gt;=300,2,1))))</f>
        <v/>
      </c>
      <c r="I2252" s="126">
        <f>TEXT(F2252,"0")&amp;TEXT(G2252,"0")&amp;TEXT(H2252,"0")</f>
        <v/>
      </c>
      <c r="J2252" s="126">
        <f>IFERROR(XLOOKUP(I2252,'Segment Map'!A:A,'Segment Map'!B:B,"Need Attention"),"Need Attention")</f>
        <v/>
      </c>
      <c r="K2252" s="126">
        <f>IF(E2252&gt;=5000,"🏆 Platinum",IF(E2252&gt;=2000,"🥇 Gold",IF(E2252&gt;=800,"🥈 Silver","🥉 Bronze")))</f>
        <v/>
      </c>
      <c r="L2252" s="129" t="n">
        <v>40860</v>
      </c>
    </row>
    <row r="2253">
      <c r="A2253" s="122" t="n">
        <v>15412</v>
      </c>
      <c r="B2253" s="122" t="inlineStr">
        <is>
          <t>United Kingdom</t>
        </is>
      </c>
      <c r="C2253" s="122" t="n">
        <v>172</v>
      </c>
      <c r="D2253" s="122" t="n">
        <v>1</v>
      </c>
      <c r="E2253" s="123" t="n">
        <v>190.53</v>
      </c>
      <c r="F2253" s="124">
        <f>IF(C2253&lt;=30,5,IF(C2253&lt;=60,4,IF(C2253&lt;=120,3,IF(C2253&lt;=200,2,1))))</f>
        <v/>
      </c>
      <c r="G2253" s="124">
        <f>IF(D2253&gt;=20,5,IF(D2253&gt;=10,4,IF(D2253&gt;=5,3,IF(D2253&gt;=2,2,1))))</f>
        <v/>
      </c>
      <c r="H2253" s="124">
        <f>IF(E2253&gt;=5000,5,IF(E2253&gt;=2000,4,IF(E2253&gt;=800,3,IF(E2253&gt;=300,2,1))))</f>
        <v/>
      </c>
      <c r="I2253" s="122">
        <f>TEXT(F2253,"0")&amp;TEXT(G2253,"0")&amp;TEXT(H2253,"0")</f>
        <v/>
      </c>
      <c r="J2253" s="122">
        <f>IFERROR(XLOOKUP(I2253,'Segment Map'!A:A,'Segment Map'!B:B,"Need Attention"),"Need Attention")</f>
        <v/>
      </c>
      <c r="K2253" s="122">
        <f>IF(E2253&gt;=5000,"🏆 Platinum",IF(E2253&gt;=2000,"🥇 Gold",IF(E2253&gt;=800,"🥈 Silver","🥉 Bronze")))</f>
        <v/>
      </c>
      <c r="L2253" s="125" t="n">
        <v>40715</v>
      </c>
    </row>
    <row r="2254">
      <c r="A2254" s="126" t="n">
        <v>15414</v>
      </c>
      <c r="B2254" s="126" t="inlineStr">
        <is>
          <t>United Kingdom</t>
        </is>
      </c>
      <c r="C2254" s="126" t="n">
        <v>10</v>
      </c>
      <c r="D2254" s="126" t="n">
        <v>3</v>
      </c>
      <c r="E2254" s="127" t="n">
        <v>774.9</v>
      </c>
      <c r="F2254" s="128">
        <f>IF(C2254&lt;=30,5,IF(C2254&lt;=60,4,IF(C2254&lt;=120,3,IF(C2254&lt;=200,2,1))))</f>
        <v/>
      </c>
      <c r="G2254" s="128">
        <f>IF(D2254&gt;=20,5,IF(D2254&gt;=10,4,IF(D2254&gt;=5,3,IF(D2254&gt;=2,2,1))))</f>
        <v/>
      </c>
      <c r="H2254" s="128">
        <f>IF(E2254&gt;=5000,5,IF(E2254&gt;=2000,4,IF(E2254&gt;=800,3,IF(E2254&gt;=300,2,1))))</f>
        <v/>
      </c>
      <c r="I2254" s="126">
        <f>TEXT(F2254,"0")&amp;TEXT(G2254,"0")&amp;TEXT(H2254,"0")</f>
        <v/>
      </c>
      <c r="J2254" s="126">
        <f>IFERROR(XLOOKUP(I2254,'Segment Map'!A:A,'Segment Map'!B:B,"Need Attention"),"Need Attention")</f>
        <v/>
      </c>
      <c r="K2254" s="126">
        <f>IF(E2254&gt;=5000,"🏆 Platinum",IF(E2254&gt;=2000,"🥇 Gold",IF(E2254&gt;=800,"🥈 Silver","🥉 Bronze")))</f>
        <v/>
      </c>
      <c r="L2254" s="129" t="n">
        <v>40877</v>
      </c>
    </row>
    <row r="2255">
      <c r="A2255" s="122" t="n">
        <v>15415</v>
      </c>
      <c r="B2255" s="122" t="inlineStr">
        <is>
          <t>United Kingdom</t>
        </is>
      </c>
      <c r="C2255" s="122" t="n">
        <v>314</v>
      </c>
      <c r="D2255" s="122" t="n">
        <v>1</v>
      </c>
      <c r="E2255" s="123" t="n">
        <v>572.8099999999999</v>
      </c>
      <c r="F2255" s="124">
        <f>IF(C2255&lt;=30,5,IF(C2255&lt;=60,4,IF(C2255&lt;=120,3,IF(C2255&lt;=200,2,1))))</f>
        <v/>
      </c>
      <c r="G2255" s="124">
        <f>IF(D2255&gt;=20,5,IF(D2255&gt;=10,4,IF(D2255&gt;=5,3,IF(D2255&gt;=2,2,1))))</f>
        <v/>
      </c>
      <c r="H2255" s="124">
        <f>IF(E2255&gt;=5000,5,IF(E2255&gt;=2000,4,IF(E2255&gt;=800,3,IF(E2255&gt;=300,2,1))))</f>
        <v/>
      </c>
      <c r="I2255" s="122">
        <f>TEXT(F2255,"0")&amp;TEXT(G2255,"0")&amp;TEXT(H2255,"0")</f>
        <v/>
      </c>
      <c r="J2255" s="122">
        <f>IFERROR(XLOOKUP(I2255,'Segment Map'!A:A,'Segment Map'!B:B,"Need Attention"),"Need Attention")</f>
        <v/>
      </c>
      <c r="K2255" s="122">
        <f>IF(E2255&gt;=5000,"🏆 Platinum",IF(E2255&gt;=2000,"🥇 Gold",IF(E2255&gt;=800,"🥈 Silver","🥉 Bronze")))</f>
        <v/>
      </c>
      <c r="L2255" s="125" t="n">
        <v>40573</v>
      </c>
    </row>
    <row r="2256">
      <c r="A2256" s="126" t="n">
        <v>15416</v>
      </c>
      <c r="B2256" s="126" t="inlineStr">
        <is>
          <t>United Kingdom</t>
        </is>
      </c>
      <c r="C2256" s="126" t="n">
        <v>65</v>
      </c>
      <c r="D2256" s="126" t="n">
        <v>4</v>
      </c>
      <c r="E2256" s="127" t="n">
        <v>3984.32</v>
      </c>
      <c r="F2256" s="128">
        <f>IF(C2256&lt;=30,5,IF(C2256&lt;=60,4,IF(C2256&lt;=120,3,IF(C2256&lt;=200,2,1))))</f>
        <v/>
      </c>
      <c r="G2256" s="128">
        <f>IF(D2256&gt;=20,5,IF(D2256&gt;=10,4,IF(D2256&gt;=5,3,IF(D2256&gt;=2,2,1))))</f>
        <v/>
      </c>
      <c r="H2256" s="128">
        <f>IF(E2256&gt;=5000,5,IF(E2256&gt;=2000,4,IF(E2256&gt;=800,3,IF(E2256&gt;=300,2,1))))</f>
        <v/>
      </c>
      <c r="I2256" s="126">
        <f>TEXT(F2256,"0")&amp;TEXT(G2256,"0")&amp;TEXT(H2256,"0")</f>
        <v/>
      </c>
      <c r="J2256" s="126">
        <f>IFERROR(XLOOKUP(I2256,'Segment Map'!A:A,'Segment Map'!B:B,"Need Attention"),"Need Attention")</f>
        <v/>
      </c>
      <c r="K2256" s="126">
        <f>IF(E2256&gt;=5000,"🏆 Platinum",IF(E2256&gt;=2000,"🥇 Gold",IF(E2256&gt;=800,"🥈 Silver","🥉 Bronze")))</f>
        <v/>
      </c>
      <c r="L2256" s="129" t="n">
        <v>40822</v>
      </c>
    </row>
    <row r="2257">
      <c r="A2257" s="122" t="n">
        <v>15417</v>
      </c>
      <c r="B2257" s="122" t="inlineStr">
        <is>
          <t>United Kingdom</t>
        </is>
      </c>
      <c r="C2257" s="122" t="n">
        <v>86</v>
      </c>
      <c r="D2257" s="122" t="n">
        <v>1</v>
      </c>
      <c r="E2257" s="123" t="n">
        <v>508.8</v>
      </c>
      <c r="F2257" s="124">
        <f>IF(C2257&lt;=30,5,IF(C2257&lt;=60,4,IF(C2257&lt;=120,3,IF(C2257&lt;=200,2,1))))</f>
        <v/>
      </c>
      <c r="G2257" s="124">
        <f>IF(D2257&gt;=20,5,IF(D2257&gt;=10,4,IF(D2257&gt;=5,3,IF(D2257&gt;=2,2,1))))</f>
        <v/>
      </c>
      <c r="H2257" s="124">
        <f>IF(E2257&gt;=5000,5,IF(E2257&gt;=2000,4,IF(E2257&gt;=800,3,IF(E2257&gt;=300,2,1))))</f>
        <v/>
      </c>
      <c r="I2257" s="122">
        <f>TEXT(F2257,"0")&amp;TEXT(G2257,"0")&amp;TEXT(H2257,"0")</f>
        <v/>
      </c>
      <c r="J2257" s="122">
        <f>IFERROR(XLOOKUP(I2257,'Segment Map'!A:A,'Segment Map'!B:B,"Need Attention"),"Need Attention")</f>
        <v/>
      </c>
      <c r="K2257" s="122">
        <f>IF(E2257&gt;=5000,"🏆 Platinum",IF(E2257&gt;=2000,"🥇 Gold",IF(E2257&gt;=800,"🥈 Silver","🥉 Bronze")))</f>
        <v/>
      </c>
      <c r="L2257" s="125" t="n">
        <v>40801</v>
      </c>
    </row>
    <row r="2258">
      <c r="A2258" s="126" t="n">
        <v>15419</v>
      </c>
      <c r="B2258" s="126" t="inlineStr">
        <is>
          <t>United Kingdom</t>
        </is>
      </c>
      <c r="C2258" s="126" t="n">
        <v>25</v>
      </c>
      <c r="D2258" s="126" t="n">
        <v>1</v>
      </c>
      <c r="E2258" s="127" t="n">
        <v>135.86</v>
      </c>
      <c r="F2258" s="128">
        <f>IF(C2258&lt;=30,5,IF(C2258&lt;=60,4,IF(C2258&lt;=120,3,IF(C2258&lt;=200,2,1))))</f>
        <v/>
      </c>
      <c r="G2258" s="128">
        <f>IF(D2258&gt;=20,5,IF(D2258&gt;=10,4,IF(D2258&gt;=5,3,IF(D2258&gt;=2,2,1))))</f>
        <v/>
      </c>
      <c r="H2258" s="128">
        <f>IF(E2258&gt;=5000,5,IF(E2258&gt;=2000,4,IF(E2258&gt;=800,3,IF(E2258&gt;=300,2,1))))</f>
        <v/>
      </c>
      <c r="I2258" s="126">
        <f>TEXT(F2258,"0")&amp;TEXT(G2258,"0")&amp;TEXT(H2258,"0")</f>
        <v/>
      </c>
      <c r="J2258" s="126">
        <f>IFERROR(XLOOKUP(I2258,'Segment Map'!A:A,'Segment Map'!B:B,"Need Attention"),"Need Attention")</f>
        <v/>
      </c>
      <c r="K2258" s="126">
        <f>IF(E2258&gt;=5000,"🏆 Platinum",IF(E2258&gt;=2000,"🥇 Gold",IF(E2258&gt;=800,"🥈 Silver","🥉 Bronze")))</f>
        <v/>
      </c>
      <c r="L2258" s="129" t="n">
        <v>40862</v>
      </c>
    </row>
    <row r="2259">
      <c r="A2259" s="122" t="n">
        <v>15421</v>
      </c>
      <c r="B2259" s="122" t="inlineStr">
        <is>
          <t>United Kingdom</t>
        </is>
      </c>
      <c r="C2259" s="122" t="n">
        <v>59</v>
      </c>
      <c r="D2259" s="122" t="n">
        <v>4</v>
      </c>
      <c r="E2259" s="123" t="n">
        <v>950.36</v>
      </c>
      <c r="F2259" s="124">
        <f>IF(C2259&lt;=30,5,IF(C2259&lt;=60,4,IF(C2259&lt;=120,3,IF(C2259&lt;=200,2,1))))</f>
        <v/>
      </c>
      <c r="G2259" s="124">
        <f>IF(D2259&gt;=20,5,IF(D2259&gt;=10,4,IF(D2259&gt;=5,3,IF(D2259&gt;=2,2,1))))</f>
        <v/>
      </c>
      <c r="H2259" s="124">
        <f>IF(E2259&gt;=5000,5,IF(E2259&gt;=2000,4,IF(E2259&gt;=800,3,IF(E2259&gt;=300,2,1))))</f>
        <v/>
      </c>
      <c r="I2259" s="122">
        <f>TEXT(F2259,"0")&amp;TEXT(G2259,"0")&amp;TEXT(H2259,"0")</f>
        <v/>
      </c>
      <c r="J2259" s="122">
        <f>IFERROR(XLOOKUP(I2259,'Segment Map'!A:A,'Segment Map'!B:B,"Need Attention"),"Need Attention")</f>
        <v/>
      </c>
      <c r="K2259" s="122">
        <f>IF(E2259&gt;=5000,"🏆 Platinum",IF(E2259&gt;=2000,"🥇 Gold",IF(E2259&gt;=800,"🥈 Silver","🥉 Bronze")))</f>
        <v/>
      </c>
      <c r="L2259" s="125" t="n">
        <v>40828</v>
      </c>
    </row>
    <row r="2260">
      <c r="A2260" s="126" t="n">
        <v>15422</v>
      </c>
      <c r="B2260" s="126" t="inlineStr">
        <is>
          <t>United Kingdom</t>
        </is>
      </c>
      <c r="C2260" s="126" t="n">
        <v>324</v>
      </c>
      <c r="D2260" s="126" t="n">
        <v>2</v>
      </c>
      <c r="E2260" s="127" t="n">
        <v>97.7</v>
      </c>
      <c r="F2260" s="128">
        <f>IF(C2260&lt;=30,5,IF(C2260&lt;=60,4,IF(C2260&lt;=120,3,IF(C2260&lt;=200,2,1))))</f>
        <v/>
      </c>
      <c r="G2260" s="128">
        <f>IF(D2260&gt;=20,5,IF(D2260&gt;=10,4,IF(D2260&gt;=5,3,IF(D2260&gt;=2,2,1))))</f>
        <v/>
      </c>
      <c r="H2260" s="128">
        <f>IF(E2260&gt;=5000,5,IF(E2260&gt;=2000,4,IF(E2260&gt;=800,3,IF(E2260&gt;=300,2,1))))</f>
        <v/>
      </c>
      <c r="I2260" s="126">
        <f>TEXT(F2260,"0")&amp;TEXT(G2260,"0")&amp;TEXT(H2260,"0")</f>
        <v/>
      </c>
      <c r="J2260" s="126">
        <f>IFERROR(XLOOKUP(I2260,'Segment Map'!A:A,'Segment Map'!B:B,"Need Attention"),"Need Attention")</f>
        <v/>
      </c>
      <c r="K2260" s="126">
        <f>IF(E2260&gt;=5000,"🏆 Platinum",IF(E2260&gt;=2000,"🥇 Gold",IF(E2260&gt;=800,"🥈 Silver","🥉 Bronze")))</f>
        <v/>
      </c>
      <c r="L2260" s="129" t="n">
        <v>40563</v>
      </c>
    </row>
    <row r="2261">
      <c r="A2261" s="122" t="n">
        <v>15423</v>
      </c>
      <c r="B2261" s="122" t="inlineStr">
        <is>
          <t>United Kingdom</t>
        </is>
      </c>
      <c r="C2261" s="122" t="n">
        <v>39</v>
      </c>
      <c r="D2261" s="122" t="n">
        <v>1</v>
      </c>
      <c r="E2261" s="123" t="n">
        <v>43.5</v>
      </c>
      <c r="F2261" s="124">
        <f>IF(C2261&lt;=30,5,IF(C2261&lt;=60,4,IF(C2261&lt;=120,3,IF(C2261&lt;=200,2,1))))</f>
        <v/>
      </c>
      <c r="G2261" s="124">
        <f>IF(D2261&gt;=20,5,IF(D2261&gt;=10,4,IF(D2261&gt;=5,3,IF(D2261&gt;=2,2,1))))</f>
        <v/>
      </c>
      <c r="H2261" s="124">
        <f>IF(E2261&gt;=5000,5,IF(E2261&gt;=2000,4,IF(E2261&gt;=800,3,IF(E2261&gt;=300,2,1))))</f>
        <v/>
      </c>
      <c r="I2261" s="122">
        <f>TEXT(F2261,"0")&amp;TEXT(G2261,"0")&amp;TEXT(H2261,"0")</f>
        <v/>
      </c>
      <c r="J2261" s="122">
        <f>IFERROR(XLOOKUP(I2261,'Segment Map'!A:A,'Segment Map'!B:B,"Need Attention"),"Need Attention")</f>
        <v/>
      </c>
      <c r="K2261" s="122">
        <f>IF(E2261&gt;=5000,"🏆 Platinum",IF(E2261&gt;=2000,"🥇 Gold",IF(E2261&gt;=800,"🥈 Silver","🥉 Bronze")))</f>
        <v/>
      </c>
      <c r="L2261" s="125" t="n">
        <v>40848</v>
      </c>
    </row>
    <row r="2262">
      <c r="A2262" s="126" t="n">
        <v>15424</v>
      </c>
      <c r="B2262" s="126" t="inlineStr">
        <is>
          <t>United Kingdom</t>
        </is>
      </c>
      <c r="C2262" s="126" t="n">
        <v>255</v>
      </c>
      <c r="D2262" s="126" t="n">
        <v>2</v>
      </c>
      <c r="E2262" s="127" t="n">
        <v>383.34</v>
      </c>
      <c r="F2262" s="128">
        <f>IF(C2262&lt;=30,5,IF(C2262&lt;=60,4,IF(C2262&lt;=120,3,IF(C2262&lt;=200,2,1))))</f>
        <v/>
      </c>
      <c r="G2262" s="128">
        <f>IF(D2262&gt;=20,5,IF(D2262&gt;=10,4,IF(D2262&gt;=5,3,IF(D2262&gt;=2,2,1))))</f>
        <v/>
      </c>
      <c r="H2262" s="128">
        <f>IF(E2262&gt;=5000,5,IF(E2262&gt;=2000,4,IF(E2262&gt;=800,3,IF(E2262&gt;=300,2,1))))</f>
        <v/>
      </c>
      <c r="I2262" s="126">
        <f>TEXT(F2262,"0")&amp;TEXT(G2262,"0")&amp;TEXT(H2262,"0")</f>
        <v/>
      </c>
      <c r="J2262" s="126">
        <f>IFERROR(XLOOKUP(I2262,'Segment Map'!A:A,'Segment Map'!B:B,"Need Attention"),"Need Attention")</f>
        <v/>
      </c>
      <c r="K2262" s="126">
        <f>IF(E2262&gt;=5000,"🏆 Platinum",IF(E2262&gt;=2000,"🥇 Gold",IF(E2262&gt;=800,"🥈 Silver","🥉 Bronze")))</f>
        <v/>
      </c>
      <c r="L2262" s="129" t="n">
        <v>40632</v>
      </c>
    </row>
    <row r="2263">
      <c r="A2263" s="122" t="n">
        <v>15426</v>
      </c>
      <c r="B2263" s="122" t="inlineStr">
        <is>
          <t>United Kingdom</t>
        </is>
      </c>
      <c r="C2263" s="122" t="n">
        <v>20</v>
      </c>
      <c r="D2263" s="122" t="n">
        <v>5</v>
      </c>
      <c r="E2263" s="123" t="n">
        <v>1447.39</v>
      </c>
      <c r="F2263" s="124">
        <f>IF(C2263&lt;=30,5,IF(C2263&lt;=60,4,IF(C2263&lt;=120,3,IF(C2263&lt;=200,2,1))))</f>
        <v/>
      </c>
      <c r="G2263" s="124">
        <f>IF(D2263&gt;=20,5,IF(D2263&gt;=10,4,IF(D2263&gt;=5,3,IF(D2263&gt;=2,2,1))))</f>
        <v/>
      </c>
      <c r="H2263" s="124">
        <f>IF(E2263&gt;=5000,5,IF(E2263&gt;=2000,4,IF(E2263&gt;=800,3,IF(E2263&gt;=300,2,1))))</f>
        <v/>
      </c>
      <c r="I2263" s="122">
        <f>TEXT(F2263,"0")&amp;TEXT(G2263,"0")&amp;TEXT(H2263,"0")</f>
        <v/>
      </c>
      <c r="J2263" s="122">
        <f>IFERROR(XLOOKUP(I2263,'Segment Map'!A:A,'Segment Map'!B:B,"Need Attention"),"Need Attention")</f>
        <v/>
      </c>
      <c r="K2263" s="122">
        <f>IF(E2263&gt;=5000,"🏆 Platinum",IF(E2263&gt;=2000,"🥇 Gold",IF(E2263&gt;=800,"🥈 Silver","🥉 Bronze")))</f>
        <v/>
      </c>
      <c r="L2263" s="125" t="n">
        <v>40867</v>
      </c>
    </row>
    <row r="2264">
      <c r="A2264" s="126" t="n">
        <v>15427</v>
      </c>
      <c r="B2264" s="126" t="inlineStr">
        <is>
          <t>United Kingdom</t>
        </is>
      </c>
      <c r="C2264" s="126" t="n">
        <v>34</v>
      </c>
      <c r="D2264" s="126" t="n">
        <v>3</v>
      </c>
      <c r="E2264" s="127" t="n">
        <v>1483.14</v>
      </c>
      <c r="F2264" s="128">
        <f>IF(C2264&lt;=30,5,IF(C2264&lt;=60,4,IF(C2264&lt;=120,3,IF(C2264&lt;=200,2,1))))</f>
        <v/>
      </c>
      <c r="G2264" s="128">
        <f>IF(D2264&gt;=20,5,IF(D2264&gt;=10,4,IF(D2264&gt;=5,3,IF(D2264&gt;=2,2,1))))</f>
        <v/>
      </c>
      <c r="H2264" s="128">
        <f>IF(E2264&gt;=5000,5,IF(E2264&gt;=2000,4,IF(E2264&gt;=800,3,IF(E2264&gt;=300,2,1))))</f>
        <v/>
      </c>
      <c r="I2264" s="126">
        <f>TEXT(F2264,"0")&amp;TEXT(G2264,"0")&amp;TEXT(H2264,"0")</f>
        <v/>
      </c>
      <c r="J2264" s="126">
        <f>IFERROR(XLOOKUP(I2264,'Segment Map'!A:A,'Segment Map'!B:B,"Need Attention"),"Need Attention")</f>
        <v/>
      </c>
      <c r="K2264" s="126">
        <f>IF(E2264&gt;=5000,"🏆 Platinum",IF(E2264&gt;=2000,"🥇 Gold",IF(E2264&gt;=800,"🥈 Silver","🥉 Bronze")))</f>
        <v/>
      </c>
      <c r="L2264" s="129" t="n">
        <v>40853</v>
      </c>
    </row>
    <row r="2265">
      <c r="A2265" s="122" t="n">
        <v>15428</v>
      </c>
      <c r="B2265" s="122" t="inlineStr">
        <is>
          <t>United Kingdom</t>
        </is>
      </c>
      <c r="C2265" s="122" t="n">
        <v>16</v>
      </c>
      <c r="D2265" s="122" t="n">
        <v>1</v>
      </c>
      <c r="E2265" s="123" t="n">
        <v>93.78</v>
      </c>
      <c r="F2265" s="124">
        <f>IF(C2265&lt;=30,5,IF(C2265&lt;=60,4,IF(C2265&lt;=120,3,IF(C2265&lt;=200,2,1))))</f>
        <v/>
      </c>
      <c r="G2265" s="124">
        <f>IF(D2265&gt;=20,5,IF(D2265&gt;=10,4,IF(D2265&gt;=5,3,IF(D2265&gt;=2,2,1))))</f>
        <v/>
      </c>
      <c r="H2265" s="124">
        <f>IF(E2265&gt;=5000,5,IF(E2265&gt;=2000,4,IF(E2265&gt;=800,3,IF(E2265&gt;=300,2,1))))</f>
        <v/>
      </c>
      <c r="I2265" s="122">
        <f>TEXT(F2265,"0")&amp;TEXT(G2265,"0")&amp;TEXT(H2265,"0")</f>
        <v/>
      </c>
      <c r="J2265" s="122">
        <f>IFERROR(XLOOKUP(I2265,'Segment Map'!A:A,'Segment Map'!B:B,"Need Attention"),"Need Attention")</f>
        <v/>
      </c>
      <c r="K2265" s="122">
        <f>IF(E2265&gt;=5000,"🏆 Platinum",IF(E2265&gt;=2000,"🥇 Gold",IF(E2265&gt;=800,"🥈 Silver","🥉 Bronze")))</f>
        <v/>
      </c>
      <c r="L2265" s="125" t="n">
        <v>40871</v>
      </c>
    </row>
    <row r="2266">
      <c r="A2266" s="126" t="n">
        <v>15429</v>
      </c>
      <c r="B2266" s="126" t="inlineStr">
        <is>
          <t>United Kingdom</t>
        </is>
      </c>
      <c r="C2266" s="126" t="n">
        <v>27</v>
      </c>
      <c r="D2266" s="126" t="n">
        <v>2</v>
      </c>
      <c r="E2266" s="127" t="n">
        <v>397.35</v>
      </c>
      <c r="F2266" s="128">
        <f>IF(C2266&lt;=30,5,IF(C2266&lt;=60,4,IF(C2266&lt;=120,3,IF(C2266&lt;=200,2,1))))</f>
        <v/>
      </c>
      <c r="G2266" s="128">
        <f>IF(D2266&gt;=20,5,IF(D2266&gt;=10,4,IF(D2266&gt;=5,3,IF(D2266&gt;=2,2,1))))</f>
        <v/>
      </c>
      <c r="H2266" s="128">
        <f>IF(E2266&gt;=5000,5,IF(E2266&gt;=2000,4,IF(E2266&gt;=800,3,IF(E2266&gt;=300,2,1))))</f>
        <v/>
      </c>
      <c r="I2266" s="126">
        <f>TEXT(F2266,"0")&amp;TEXT(G2266,"0")&amp;TEXT(H2266,"0")</f>
        <v/>
      </c>
      <c r="J2266" s="126">
        <f>IFERROR(XLOOKUP(I2266,'Segment Map'!A:A,'Segment Map'!B:B,"Need Attention"),"Need Attention")</f>
        <v/>
      </c>
      <c r="K2266" s="126">
        <f>IF(E2266&gt;=5000,"🏆 Platinum",IF(E2266&gt;=2000,"🥇 Gold",IF(E2266&gt;=800,"🥈 Silver","🥉 Bronze")))</f>
        <v/>
      </c>
      <c r="L2266" s="129" t="n">
        <v>40860</v>
      </c>
    </row>
    <row r="2267">
      <c r="A2267" s="122" t="n">
        <v>15432</v>
      </c>
      <c r="B2267" s="122" t="inlineStr">
        <is>
          <t>United Kingdom</t>
        </is>
      </c>
      <c r="C2267" s="122" t="n">
        <v>24</v>
      </c>
      <c r="D2267" s="122" t="n">
        <v>1</v>
      </c>
      <c r="E2267" s="123" t="n">
        <v>171.19</v>
      </c>
      <c r="F2267" s="124">
        <f>IF(C2267&lt;=30,5,IF(C2267&lt;=60,4,IF(C2267&lt;=120,3,IF(C2267&lt;=200,2,1))))</f>
        <v/>
      </c>
      <c r="G2267" s="124">
        <f>IF(D2267&gt;=20,5,IF(D2267&gt;=10,4,IF(D2267&gt;=5,3,IF(D2267&gt;=2,2,1))))</f>
        <v/>
      </c>
      <c r="H2267" s="124">
        <f>IF(E2267&gt;=5000,5,IF(E2267&gt;=2000,4,IF(E2267&gt;=800,3,IF(E2267&gt;=300,2,1))))</f>
        <v/>
      </c>
      <c r="I2267" s="122">
        <f>TEXT(F2267,"0")&amp;TEXT(G2267,"0")&amp;TEXT(H2267,"0")</f>
        <v/>
      </c>
      <c r="J2267" s="122">
        <f>IFERROR(XLOOKUP(I2267,'Segment Map'!A:A,'Segment Map'!B:B,"Need Attention"),"Need Attention")</f>
        <v/>
      </c>
      <c r="K2267" s="122">
        <f>IF(E2267&gt;=5000,"🏆 Platinum",IF(E2267&gt;=2000,"🥇 Gold",IF(E2267&gt;=800,"🥈 Silver","🥉 Bronze")))</f>
        <v/>
      </c>
      <c r="L2267" s="125" t="n">
        <v>40863</v>
      </c>
    </row>
    <row r="2268">
      <c r="A2268" s="126" t="n">
        <v>15433</v>
      </c>
      <c r="B2268" s="126" t="inlineStr">
        <is>
          <t>United Kingdom</t>
        </is>
      </c>
      <c r="C2268" s="126" t="n">
        <v>214</v>
      </c>
      <c r="D2268" s="126" t="n">
        <v>2</v>
      </c>
      <c r="E2268" s="127" t="n">
        <v>533.3</v>
      </c>
      <c r="F2268" s="128">
        <f>IF(C2268&lt;=30,5,IF(C2268&lt;=60,4,IF(C2268&lt;=120,3,IF(C2268&lt;=200,2,1))))</f>
        <v/>
      </c>
      <c r="G2268" s="128">
        <f>IF(D2268&gt;=20,5,IF(D2268&gt;=10,4,IF(D2268&gt;=5,3,IF(D2268&gt;=2,2,1))))</f>
        <v/>
      </c>
      <c r="H2268" s="128">
        <f>IF(E2268&gt;=5000,5,IF(E2268&gt;=2000,4,IF(E2268&gt;=800,3,IF(E2268&gt;=300,2,1))))</f>
        <v/>
      </c>
      <c r="I2268" s="126">
        <f>TEXT(F2268,"0")&amp;TEXT(G2268,"0")&amp;TEXT(H2268,"0")</f>
        <v/>
      </c>
      <c r="J2268" s="126">
        <f>IFERROR(XLOOKUP(I2268,'Segment Map'!A:A,'Segment Map'!B:B,"Need Attention"),"Need Attention")</f>
        <v/>
      </c>
      <c r="K2268" s="126">
        <f>IF(E2268&gt;=5000,"🏆 Platinum",IF(E2268&gt;=2000,"🥇 Gold",IF(E2268&gt;=800,"🥈 Silver","🥉 Bronze")))</f>
        <v/>
      </c>
      <c r="L2268" s="129" t="n">
        <v>40673</v>
      </c>
    </row>
    <row r="2269">
      <c r="A2269" s="122" t="n">
        <v>15434</v>
      </c>
      <c r="B2269" s="122" t="inlineStr">
        <is>
          <t>United Kingdom</t>
        </is>
      </c>
      <c r="C2269" s="122" t="n">
        <v>9</v>
      </c>
      <c r="D2269" s="122" t="n">
        <v>5</v>
      </c>
      <c r="E2269" s="123" t="n">
        <v>1041.48</v>
      </c>
      <c r="F2269" s="124">
        <f>IF(C2269&lt;=30,5,IF(C2269&lt;=60,4,IF(C2269&lt;=120,3,IF(C2269&lt;=200,2,1))))</f>
        <v/>
      </c>
      <c r="G2269" s="124">
        <f>IF(D2269&gt;=20,5,IF(D2269&gt;=10,4,IF(D2269&gt;=5,3,IF(D2269&gt;=2,2,1))))</f>
        <v/>
      </c>
      <c r="H2269" s="124">
        <f>IF(E2269&gt;=5000,5,IF(E2269&gt;=2000,4,IF(E2269&gt;=800,3,IF(E2269&gt;=300,2,1))))</f>
        <v/>
      </c>
      <c r="I2269" s="122">
        <f>TEXT(F2269,"0")&amp;TEXT(G2269,"0")&amp;TEXT(H2269,"0")</f>
        <v/>
      </c>
      <c r="J2269" s="122">
        <f>IFERROR(XLOOKUP(I2269,'Segment Map'!A:A,'Segment Map'!B:B,"Need Attention"),"Need Attention")</f>
        <v/>
      </c>
      <c r="K2269" s="122">
        <f>IF(E2269&gt;=5000,"🏆 Platinum",IF(E2269&gt;=2000,"🥇 Gold",IF(E2269&gt;=800,"🥈 Silver","🥉 Bronze")))</f>
        <v/>
      </c>
      <c r="L2269" s="125" t="n">
        <v>40878</v>
      </c>
    </row>
    <row r="2270">
      <c r="A2270" s="126" t="n">
        <v>15435</v>
      </c>
      <c r="B2270" s="126" t="inlineStr">
        <is>
          <t>United Kingdom</t>
        </is>
      </c>
      <c r="C2270" s="126" t="n">
        <v>23</v>
      </c>
      <c r="D2270" s="126" t="n">
        <v>1</v>
      </c>
      <c r="E2270" s="127" t="n">
        <v>149.29</v>
      </c>
      <c r="F2270" s="128">
        <f>IF(C2270&lt;=30,5,IF(C2270&lt;=60,4,IF(C2270&lt;=120,3,IF(C2270&lt;=200,2,1))))</f>
        <v/>
      </c>
      <c r="G2270" s="128">
        <f>IF(D2270&gt;=20,5,IF(D2270&gt;=10,4,IF(D2270&gt;=5,3,IF(D2270&gt;=2,2,1))))</f>
        <v/>
      </c>
      <c r="H2270" s="128">
        <f>IF(E2270&gt;=5000,5,IF(E2270&gt;=2000,4,IF(E2270&gt;=800,3,IF(E2270&gt;=300,2,1))))</f>
        <v/>
      </c>
      <c r="I2270" s="126">
        <f>TEXT(F2270,"0")&amp;TEXT(G2270,"0")&amp;TEXT(H2270,"0")</f>
        <v/>
      </c>
      <c r="J2270" s="126">
        <f>IFERROR(XLOOKUP(I2270,'Segment Map'!A:A,'Segment Map'!B:B,"Need Attention"),"Need Attention")</f>
        <v/>
      </c>
      <c r="K2270" s="126">
        <f>IF(E2270&gt;=5000,"🏆 Platinum",IF(E2270&gt;=2000,"🥇 Gold",IF(E2270&gt;=800,"🥈 Silver","🥉 Bronze")))</f>
        <v/>
      </c>
      <c r="L2270" s="129" t="n">
        <v>40864</v>
      </c>
    </row>
    <row r="2271">
      <c r="A2271" s="122" t="n">
        <v>15436</v>
      </c>
      <c r="B2271" s="122" t="inlineStr">
        <is>
          <t>United Kingdom</t>
        </is>
      </c>
      <c r="C2271" s="122" t="n">
        <v>13</v>
      </c>
      <c r="D2271" s="122" t="n">
        <v>3</v>
      </c>
      <c r="E2271" s="123" t="n">
        <v>1122.53</v>
      </c>
      <c r="F2271" s="124">
        <f>IF(C2271&lt;=30,5,IF(C2271&lt;=60,4,IF(C2271&lt;=120,3,IF(C2271&lt;=200,2,1))))</f>
        <v/>
      </c>
      <c r="G2271" s="124">
        <f>IF(D2271&gt;=20,5,IF(D2271&gt;=10,4,IF(D2271&gt;=5,3,IF(D2271&gt;=2,2,1))))</f>
        <v/>
      </c>
      <c r="H2271" s="124">
        <f>IF(E2271&gt;=5000,5,IF(E2271&gt;=2000,4,IF(E2271&gt;=800,3,IF(E2271&gt;=300,2,1))))</f>
        <v/>
      </c>
      <c r="I2271" s="122">
        <f>TEXT(F2271,"0")&amp;TEXT(G2271,"0")&amp;TEXT(H2271,"0")</f>
        <v/>
      </c>
      <c r="J2271" s="122">
        <f>IFERROR(XLOOKUP(I2271,'Segment Map'!A:A,'Segment Map'!B:B,"Need Attention"),"Need Attention")</f>
        <v/>
      </c>
      <c r="K2271" s="122">
        <f>IF(E2271&gt;=5000,"🏆 Platinum",IF(E2271&gt;=2000,"🥇 Gold",IF(E2271&gt;=800,"🥈 Silver","🥉 Bronze")))</f>
        <v/>
      </c>
      <c r="L2271" s="125" t="n">
        <v>40874</v>
      </c>
    </row>
    <row r="2272">
      <c r="A2272" s="126" t="n">
        <v>15437</v>
      </c>
      <c r="B2272" s="126" t="inlineStr">
        <is>
          <t>United Kingdom</t>
        </is>
      </c>
      <c r="C2272" s="126" t="n">
        <v>263</v>
      </c>
      <c r="D2272" s="126" t="n">
        <v>1</v>
      </c>
      <c r="E2272" s="127" t="n">
        <v>200.16</v>
      </c>
      <c r="F2272" s="128">
        <f>IF(C2272&lt;=30,5,IF(C2272&lt;=60,4,IF(C2272&lt;=120,3,IF(C2272&lt;=200,2,1))))</f>
        <v/>
      </c>
      <c r="G2272" s="128">
        <f>IF(D2272&gt;=20,5,IF(D2272&gt;=10,4,IF(D2272&gt;=5,3,IF(D2272&gt;=2,2,1))))</f>
        <v/>
      </c>
      <c r="H2272" s="128">
        <f>IF(E2272&gt;=5000,5,IF(E2272&gt;=2000,4,IF(E2272&gt;=800,3,IF(E2272&gt;=300,2,1))))</f>
        <v/>
      </c>
      <c r="I2272" s="126">
        <f>TEXT(F2272,"0")&amp;TEXT(G2272,"0")&amp;TEXT(H2272,"0")</f>
        <v/>
      </c>
      <c r="J2272" s="126">
        <f>IFERROR(XLOOKUP(I2272,'Segment Map'!A:A,'Segment Map'!B:B,"Need Attention"),"Need Attention")</f>
        <v/>
      </c>
      <c r="K2272" s="126">
        <f>IF(E2272&gt;=5000,"🏆 Platinum",IF(E2272&gt;=2000,"🥇 Gold",IF(E2272&gt;=800,"🥈 Silver","🥉 Bronze")))</f>
        <v/>
      </c>
      <c r="L2272" s="129" t="n">
        <v>40624</v>
      </c>
    </row>
    <row r="2273">
      <c r="A2273" s="122" t="n">
        <v>15438</v>
      </c>
      <c r="B2273" s="122" t="inlineStr">
        <is>
          <t>United Kingdom</t>
        </is>
      </c>
      <c r="C2273" s="122" t="n">
        <v>132</v>
      </c>
      <c r="D2273" s="122" t="n">
        <v>1</v>
      </c>
      <c r="E2273" s="123" t="n">
        <v>156.58</v>
      </c>
      <c r="F2273" s="124">
        <f>IF(C2273&lt;=30,5,IF(C2273&lt;=60,4,IF(C2273&lt;=120,3,IF(C2273&lt;=200,2,1))))</f>
        <v/>
      </c>
      <c r="G2273" s="124">
        <f>IF(D2273&gt;=20,5,IF(D2273&gt;=10,4,IF(D2273&gt;=5,3,IF(D2273&gt;=2,2,1))))</f>
        <v/>
      </c>
      <c r="H2273" s="124">
        <f>IF(E2273&gt;=5000,5,IF(E2273&gt;=2000,4,IF(E2273&gt;=800,3,IF(E2273&gt;=300,2,1))))</f>
        <v/>
      </c>
      <c r="I2273" s="122">
        <f>TEXT(F2273,"0")&amp;TEXT(G2273,"0")&amp;TEXT(H2273,"0")</f>
        <v/>
      </c>
      <c r="J2273" s="122">
        <f>IFERROR(XLOOKUP(I2273,'Segment Map'!A:A,'Segment Map'!B:B,"Need Attention"),"Need Attention")</f>
        <v/>
      </c>
      <c r="K2273" s="122">
        <f>IF(E2273&gt;=5000,"🏆 Platinum",IF(E2273&gt;=2000,"🥇 Gold",IF(E2273&gt;=800,"🥈 Silver","🥉 Bronze")))</f>
        <v/>
      </c>
      <c r="L2273" s="125" t="n">
        <v>40755</v>
      </c>
    </row>
    <row r="2274">
      <c r="A2274" s="126" t="n">
        <v>15440</v>
      </c>
      <c r="B2274" s="126" t="inlineStr">
        <is>
          <t>United Kingdom</t>
        </is>
      </c>
      <c r="C2274" s="126" t="n">
        <v>55</v>
      </c>
      <c r="D2274" s="126" t="n">
        <v>3</v>
      </c>
      <c r="E2274" s="127" t="n">
        <v>383.68</v>
      </c>
      <c r="F2274" s="128">
        <f>IF(C2274&lt;=30,5,IF(C2274&lt;=60,4,IF(C2274&lt;=120,3,IF(C2274&lt;=200,2,1))))</f>
        <v/>
      </c>
      <c r="G2274" s="128">
        <f>IF(D2274&gt;=20,5,IF(D2274&gt;=10,4,IF(D2274&gt;=5,3,IF(D2274&gt;=2,2,1))))</f>
        <v/>
      </c>
      <c r="H2274" s="128">
        <f>IF(E2274&gt;=5000,5,IF(E2274&gt;=2000,4,IF(E2274&gt;=800,3,IF(E2274&gt;=300,2,1))))</f>
        <v/>
      </c>
      <c r="I2274" s="126">
        <f>TEXT(F2274,"0")&amp;TEXT(G2274,"0")&amp;TEXT(H2274,"0")</f>
        <v/>
      </c>
      <c r="J2274" s="126">
        <f>IFERROR(XLOOKUP(I2274,'Segment Map'!A:A,'Segment Map'!B:B,"Need Attention"),"Need Attention")</f>
        <v/>
      </c>
      <c r="K2274" s="126">
        <f>IF(E2274&gt;=5000,"🏆 Platinum",IF(E2274&gt;=2000,"🥇 Gold",IF(E2274&gt;=800,"🥈 Silver","🥉 Bronze")))</f>
        <v/>
      </c>
      <c r="L2274" s="129" t="n">
        <v>40832</v>
      </c>
    </row>
    <row r="2275">
      <c r="A2275" s="122" t="n">
        <v>15442</v>
      </c>
      <c r="B2275" s="122" t="inlineStr">
        <is>
          <t>United Kingdom</t>
        </is>
      </c>
      <c r="C2275" s="122" t="n">
        <v>249</v>
      </c>
      <c r="D2275" s="122" t="n">
        <v>1</v>
      </c>
      <c r="E2275" s="123" t="n">
        <v>594</v>
      </c>
      <c r="F2275" s="124">
        <f>IF(C2275&lt;=30,5,IF(C2275&lt;=60,4,IF(C2275&lt;=120,3,IF(C2275&lt;=200,2,1))))</f>
        <v/>
      </c>
      <c r="G2275" s="124">
        <f>IF(D2275&gt;=20,5,IF(D2275&gt;=10,4,IF(D2275&gt;=5,3,IF(D2275&gt;=2,2,1))))</f>
        <v/>
      </c>
      <c r="H2275" s="124">
        <f>IF(E2275&gt;=5000,5,IF(E2275&gt;=2000,4,IF(E2275&gt;=800,3,IF(E2275&gt;=300,2,1))))</f>
        <v/>
      </c>
      <c r="I2275" s="122">
        <f>TEXT(F2275,"0")&amp;TEXT(G2275,"0")&amp;TEXT(H2275,"0")</f>
        <v/>
      </c>
      <c r="J2275" s="122">
        <f>IFERROR(XLOOKUP(I2275,'Segment Map'!A:A,'Segment Map'!B:B,"Need Attention"),"Need Attention")</f>
        <v/>
      </c>
      <c r="K2275" s="122">
        <f>IF(E2275&gt;=5000,"🏆 Platinum",IF(E2275&gt;=2000,"🥇 Gold",IF(E2275&gt;=800,"🥈 Silver","🥉 Bronze")))</f>
        <v/>
      </c>
      <c r="L2275" s="125" t="n">
        <v>40638</v>
      </c>
    </row>
    <row r="2276">
      <c r="A2276" s="126" t="n">
        <v>15443</v>
      </c>
      <c r="B2276" s="126" t="inlineStr">
        <is>
          <t>United Kingdom</t>
        </is>
      </c>
      <c r="C2276" s="126" t="n">
        <v>2</v>
      </c>
      <c r="D2276" s="126" t="n">
        <v>7</v>
      </c>
      <c r="E2276" s="127" t="n">
        <v>3236.91</v>
      </c>
      <c r="F2276" s="128">
        <f>IF(C2276&lt;=30,5,IF(C2276&lt;=60,4,IF(C2276&lt;=120,3,IF(C2276&lt;=200,2,1))))</f>
        <v/>
      </c>
      <c r="G2276" s="128">
        <f>IF(D2276&gt;=20,5,IF(D2276&gt;=10,4,IF(D2276&gt;=5,3,IF(D2276&gt;=2,2,1))))</f>
        <v/>
      </c>
      <c r="H2276" s="128">
        <f>IF(E2276&gt;=5000,5,IF(E2276&gt;=2000,4,IF(E2276&gt;=800,3,IF(E2276&gt;=300,2,1))))</f>
        <v/>
      </c>
      <c r="I2276" s="126">
        <f>TEXT(F2276,"0")&amp;TEXT(G2276,"0")&amp;TEXT(H2276,"0")</f>
        <v/>
      </c>
      <c r="J2276" s="126">
        <f>IFERROR(XLOOKUP(I2276,'Segment Map'!A:A,'Segment Map'!B:B,"Need Attention"),"Need Attention")</f>
        <v/>
      </c>
      <c r="K2276" s="126">
        <f>IF(E2276&gt;=5000,"🏆 Platinum",IF(E2276&gt;=2000,"🥇 Gold",IF(E2276&gt;=800,"🥈 Silver","🥉 Bronze")))</f>
        <v/>
      </c>
      <c r="L2276" s="129" t="n">
        <v>40885</v>
      </c>
    </row>
    <row r="2277">
      <c r="A2277" s="122" t="n">
        <v>15444</v>
      </c>
      <c r="B2277" s="122" t="inlineStr">
        <is>
          <t>United Kingdom</t>
        </is>
      </c>
      <c r="C2277" s="122" t="n">
        <v>10</v>
      </c>
      <c r="D2277" s="122" t="n">
        <v>2</v>
      </c>
      <c r="E2277" s="123" t="n">
        <v>1418.26</v>
      </c>
      <c r="F2277" s="124">
        <f>IF(C2277&lt;=30,5,IF(C2277&lt;=60,4,IF(C2277&lt;=120,3,IF(C2277&lt;=200,2,1))))</f>
        <v/>
      </c>
      <c r="G2277" s="124">
        <f>IF(D2277&gt;=20,5,IF(D2277&gt;=10,4,IF(D2277&gt;=5,3,IF(D2277&gt;=2,2,1))))</f>
        <v/>
      </c>
      <c r="H2277" s="124">
        <f>IF(E2277&gt;=5000,5,IF(E2277&gt;=2000,4,IF(E2277&gt;=800,3,IF(E2277&gt;=300,2,1))))</f>
        <v/>
      </c>
      <c r="I2277" s="122">
        <f>TEXT(F2277,"0")&amp;TEXT(G2277,"0")&amp;TEXT(H2277,"0")</f>
        <v/>
      </c>
      <c r="J2277" s="122">
        <f>IFERROR(XLOOKUP(I2277,'Segment Map'!A:A,'Segment Map'!B:B,"Need Attention"),"Need Attention")</f>
        <v/>
      </c>
      <c r="K2277" s="122">
        <f>IF(E2277&gt;=5000,"🏆 Platinum",IF(E2277&gt;=2000,"🥇 Gold",IF(E2277&gt;=800,"🥈 Silver","🥉 Bronze")))</f>
        <v/>
      </c>
      <c r="L2277" s="125" t="n">
        <v>40877</v>
      </c>
    </row>
    <row r="2278">
      <c r="A2278" s="126" t="n">
        <v>15445</v>
      </c>
      <c r="B2278" s="126" t="inlineStr">
        <is>
          <t>United Kingdom</t>
        </is>
      </c>
      <c r="C2278" s="126" t="n">
        <v>265</v>
      </c>
      <c r="D2278" s="126" t="n">
        <v>1</v>
      </c>
      <c r="E2278" s="127" t="n">
        <v>113.5</v>
      </c>
      <c r="F2278" s="128">
        <f>IF(C2278&lt;=30,5,IF(C2278&lt;=60,4,IF(C2278&lt;=120,3,IF(C2278&lt;=200,2,1))))</f>
        <v/>
      </c>
      <c r="G2278" s="128">
        <f>IF(D2278&gt;=20,5,IF(D2278&gt;=10,4,IF(D2278&gt;=5,3,IF(D2278&gt;=2,2,1))))</f>
        <v/>
      </c>
      <c r="H2278" s="128">
        <f>IF(E2278&gt;=5000,5,IF(E2278&gt;=2000,4,IF(E2278&gt;=800,3,IF(E2278&gt;=300,2,1))))</f>
        <v/>
      </c>
      <c r="I2278" s="126">
        <f>TEXT(F2278,"0")&amp;TEXT(G2278,"0")&amp;TEXT(H2278,"0")</f>
        <v/>
      </c>
      <c r="J2278" s="126">
        <f>IFERROR(XLOOKUP(I2278,'Segment Map'!A:A,'Segment Map'!B:B,"Need Attention"),"Need Attention")</f>
        <v/>
      </c>
      <c r="K2278" s="126">
        <f>IF(E2278&gt;=5000,"🏆 Platinum",IF(E2278&gt;=2000,"🥇 Gold",IF(E2278&gt;=800,"🥈 Silver","🥉 Bronze")))</f>
        <v/>
      </c>
      <c r="L2278" s="129" t="n">
        <v>40622</v>
      </c>
    </row>
    <row r="2279">
      <c r="A2279" s="122" t="n">
        <v>15447</v>
      </c>
      <c r="B2279" s="122" t="inlineStr">
        <is>
          <t>United Kingdom</t>
        </is>
      </c>
      <c r="C2279" s="122" t="n">
        <v>331</v>
      </c>
      <c r="D2279" s="122" t="n">
        <v>1</v>
      </c>
      <c r="E2279" s="123" t="n">
        <v>155.17</v>
      </c>
      <c r="F2279" s="124">
        <f>IF(C2279&lt;=30,5,IF(C2279&lt;=60,4,IF(C2279&lt;=120,3,IF(C2279&lt;=200,2,1))))</f>
        <v/>
      </c>
      <c r="G2279" s="124">
        <f>IF(D2279&gt;=20,5,IF(D2279&gt;=10,4,IF(D2279&gt;=5,3,IF(D2279&gt;=2,2,1))))</f>
        <v/>
      </c>
      <c r="H2279" s="124">
        <f>IF(E2279&gt;=5000,5,IF(E2279&gt;=2000,4,IF(E2279&gt;=800,3,IF(E2279&gt;=300,2,1))))</f>
        <v/>
      </c>
      <c r="I2279" s="122">
        <f>TEXT(F2279,"0")&amp;TEXT(G2279,"0")&amp;TEXT(H2279,"0")</f>
        <v/>
      </c>
      <c r="J2279" s="122">
        <f>IFERROR(XLOOKUP(I2279,'Segment Map'!A:A,'Segment Map'!B:B,"Need Attention"),"Need Attention")</f>
        <v/>
      </c>
      <c r="K2279" s="122">
        <f>IF(E2279&gt;=5000,"🏆 Platinum",IF(E2279&gt;=2000,"🥇 Gold",IF(E2279&gt;=800,"🥈 Silver","🥉 Bronze")))</f>
        <v/>
      </c>
      <c r="L2279" s="125" t="n">
        <v>40556</v>
      </c>
    </row>
    <row r="2280">
      <c r="A2280" s="126" t="n">
        <v>15448</v>
      </c>
      <c r="B2280" s="126" t="inlineStr">
        <is>
          <t>United Kingdom</t>
        </is>
      </c>
      <c r="C2280" s="126" t="n">
        <v>313</v>
      </c>
      <c r="D2280" s="126" t="n">
        <v>1</v>
      </c>
      <c r="E2280" s="127" t="n">
        <v>494.64</v>
      </c>
      <c r="F2280" s="128">
        <f>IF(C2280&lt;=30,5,IF(C2280&lt;=60,4,IF(C2280&lt;=120,3,IF(C2280&lt;=200,2,1))))</f>
        <v/>
      </c>
      <c r="G2280" s="128">
        <f>IF(D2280&gt;=20,5,IF(D2280&gt;=10,4,IF(D2280&gt;=5,3,IF(D2280&gt;=2,2,1))))</f>
        <v/>
      </c>
      <c r="H2280" s="128">
        <f>IF(E2280&gt;=5000,5,IF(E2280&gt;=2000,4,IF(E2280&gt;=800,3,IF(E2280&gt;=300,2,1))))</f>
        <v/>
      </c>
      <c r="I2280" s="126">
        <f>TEXT(F2280,"0")&amp;TEXT(G2280,"0")&amp;TEXT(H2280,"0")</f>
        <v/>
      </c>
      <c r="J2280" s="126">
        <f>IFERROR(XLOOKUP(I2280,'Segment Map'!A:A,'Segment Map'!B:B,"Need Attention"),"Need Attention")</f>
        <v/>
      </c>
      <c r="K2280" s="126">
        <f>IF(E2280&gt;=5000,"🏆 Platinum",IF(E2280&gt;=2000,"🥇 Gold",IF(E2280&gt;=800,"🥈 Silver","🥉 Bronze")))</f>
        <v/>
      </c>
      <c r="L2280" s="129" t="n">
        <v>40574</v>
      </c>
    </row>
    <row r="2281">
      <c r="A2281" s="122" t="n">
        <v>15449</v>
      </c>
      <c r="B2281" s="122" t="inlineStr">
        <is>
          <t>United Kingdom</t>
        </is>
      </c>
      <c r="C2281" s="122" t="n">
        <v>27</v>
      </c>
      <c r="D2281" s="122" t="n">
        <v>3</v>
      </c>
      <c r="E2281" s="123" t="n">
        <v>974.52</v>
      </c>
      <c r="F2281" s="124">
        <f>IF(C2281&lt;=30,5,IF(C2281&lt;=60,4,IF(C2281&lt;=120,3,IF(C2281&lt;=200,2,1))))</f>
        <v/>
      </c>
      <c r="G2281" s="124">
        <f>IF(D2281&gt;=20,5,IF(D2281&gt;=10,4,IF(D2281&gt;=5,3,IF(D2281&gt;=2,2,1))))</f>
        <v/>
      </c>
      <c r="H2281" s="124">
        <f>IF(E2281&gt;=5000,5,IF(E2281&gt;=2000,4,IF(E2281&gt;=800,3,IF(E2281&gt;=300,2,1))))</f>
        <v/>
      </c>
      <c r="I2281" s="122">
        <f>TEXT(F2281,"0")&amp;TEXT(G2281,"0")&amp;TEXT(H2281,"0")</f>
        <v/>
      </c>
      <c r="J2281" s="122">
        <f>IFERROR(XLOOKUP(I2281,'Segment Map'!A:A,'Segment Map'!B:B,"Need Attention"),"Need Attention")</f>
        <v/>
      </c>
      <c r="K2281" s="122">
        <f>IF(E2281&gt;=5000,"🏆 Platinum",IF(E2281&gt;=2000,"🥇 Gold",IF(E2281&gt;=800,"🥈 Silver","🥉 Bronze")))</f>
        <v/>
      </c>
      <c r="L2281" s="125" t="n">
        <v>40860</v>
      </c>
    </row>
    <row r="2282">
      <c r="A2282" s="126" t="n">
        <v>15450</v>
      </c>
      <c r="B2282" s="126" t="inlineStr">
        <is>
          <t>United Kingdom</t>
        </is>
      </c>
      <c r="C2282" s="126" t="n">
        <v>31</v>
      </c>
      <c r="D2282" s="126" t="n">
        <v>1</v>
      </c>
      <c r="E2282" s="127" t="n">
        <v>429.84</v>
      </c>
      <c r="F2282" s="128">
        <f>IF(C2282&lt;=30,5,IF(C2282&lt;=60,4,IF(C2282&lt;=120,3,IF(C2282&lt;=200,2,1))))</f>
        <v/>
      </c>
      <c r="G2282" s="128">
        <f>IF(D2282&gt;=20,5,IF(D2282&gt;=10,4,IF(D2282&gt;=5,3,IF(D2282&gt;=2,2,1))))</f>
        <v/>
      </c>
      <c r="H2282" s="128">
        <f>IF(E2282&gt;=5000,5,IF(E2282&gt;=2000,4,IF(E2282&gt;=800,3,IF(E2282&gt;=300,2,1))))</f>
        <v/>
      </c>
      <c r="I2282" s="126">
        <f>TEXT(F2282,"0")&amp;TEXT(G2282,"0")&amp;TEXT(H2282,"0")</f>
        <v/>
      </c>
      <c r="J2282" s="126">
        <f>IFERROR(XLOOKUP(I2282,'Segment Map'!A:A,'Segment Map'!B:B,"Need Attention"),"Need Attention")</f>
        <v/>
      </c>
      <c r="K2282" s="126">
        <f>IF(E2282&gt;=5000,"🏆 Platinum",IF(E2282&gt;=2000,"🥇 Gold",IF(E2282&gt;=800,"🥈 Silver","🥉 Bronze")))</f>
        <v/>
      </c>
      <c r="L2282" s="129" t="n">
        <v>40856</v>
      </c>
    </row>
    <row r="2283">
      <c r="A2283" s="122" t="n">
        <v>15452</v>
      </c>
      <c r="B2283" s="122" t="inlineStr">
        <is>
          <t>United Kingdom</t>
        </is>
      </c>
      <c r="C2283" s="122" t="n">
        <v>30</v>
      </c>
      <c r="D2283" s="122" t="n">
        <v>3</v>
      </c>
      <c r="E2283" s="123" t="n">
        <v>538.73</v>
      </c>
      <c r="F2283" s="124">
        <f>IF(C2283&lt;=30,5,IF(C2283&lt;=60,4,IF(C2283&lt;=120,3,IF(C2283&lt;=200,2,1))))</f>
        <v/>
      </c>
      <c r="G2283" s="124">
        <f>IF(D2283&gt;=20,5,IF(D2283&gt;=10,4,IF(D2283&gt;=5,3,IF(D2283&gt;=2,2,1))))</f>
        <v/>
      </c>
      <c r="H2283" s="124">
        <f>IF(E2283&gt;=5000,5,IF(E2283&gt;=2000,4,IF(E2283&gt;=800,3,IF(E2283&gt;=300,2,1))))</f>
        <v/>
      </c>
      <c r="I2283" s="122">
        <f>TEXT(F2283,"0")&amp;TEXT(G2283,"0")&amp;TEXT(H2283,"0")</f>
        <v/>
      </c>
      <c r="J2283" s="122">
        <f>IFERROR(XLOOKUP(I2283,'Segment Map'!A:A,'Segment Map'!B:B,"Need Attention"),"Need Attention")</f>
        <v/>
      </c>
      <c r="K2283" s="122">
        <f>IF(E2283&gt;=5000,"🏆 Platinum",IF(E2283&gt;=2000,"🥇 Gold",IF(E2283&gt;=800,"🥈 Silver","🥉 Bronze")))</f>
        <v/>
      </c>
      <c r="L2283" s="125" t="n">
        <v>40857</v>
      </c>
    </row>
    <row r="2284">
      <c r="A2284" s="126" t="n">
        <v>15453</v>
      </c>
      <c r="B2284" s="126" t="inlineStr">
        <is>
          <t>United Kingdom</t>
        </is>
      </c>
      <c r="C2284" s="126" t="n">
        <v>2</v>
      </c>
      <c r="D2284" s="126" t="n">
        <v>7</v>
      </c>
      <c r="E2284" s="127" t="n">
        <v>1388.37</v>
      </c>
      <c r="F2284" s="128">
        <f>IF(C2284&lt;=30,5,IF(C2284&lt;=60,4,IF(C2284&lt;=120,3,IF(C2284&lt;=200,2,1))))</f>
        <v/>
      </c>
      <c r="G2284" s="128">
        <f>IF(D2284&gt;=20,5,IF(D2284&gt;=10,4,IF(D2284&gt;=5,3,IF(D2284&gt;=2,2,1))))</f>
        <v/>
      </c>
      <c r="H2284" s="128">
        <f>IF(E2284&gt;=5000,5,IF(E2284&gt;=2000,4,IF(E2284&gt;=800,3,IF(E2284&gt;=300,2,1))))</f>
        <v/>
      </c>
      <c r="I2284" s="126">
        <f>TEXT(F2284,"0")&amp;TEXT(G2284,"0")&amp;TEXT(H2284,"0")</f>
        <v/>
      </c>
      <c r="J2284" s="126">
        <f>IFERROR(XLOOKUP(I2284,'Segment Map'!A:A,'Segment Map'!B:B,"Need Attention"),"Need Attention")</f>
        <v/>
      </c>
      <c r="K2284" s="126">
        <f>IF(E2284&gt;=5000,"🏆 Platinum",IF(E2284&gt;=2000,"🥇 Gold",IF(E2284&gt;=800,"🥈 Silver","🥉 Bronze")))</f>
        <v/>
      </c>
      <c r="L2284" s="129" t="n">
        <v>40885</v>
      </c>
    </row>
    <row r="2285">
      <c r="A2285" s="122" t="n">
        <v>15454</v>
      </c>
      <c r="B2285" s="122" t="inlineStr">
        <is>
          <t>United Kingdom</t>
        </is>
      </c>
      <c r="C2285" s="122" t="n">
        <v>363</v>
      </c>
      <c r="D2285" s="122" t="n">
        <v>1</v>
      </c>
      <c r="E2285" s="123" t="n">
        <v>179.1</v>
      </c>
      <c r="F2285" s="124">
        <f>IF(C2285&lt;=30,5,IF(C2285&lt;=60,4,IF(C2285&lt;=120,3,IF(C2285&lt;=200,2,1))))</f>
        <v/>
      </c>
      <c r="G2285" s="124">
        <f>IF(D2285&gt;=20,5,IF(D2285&gt;=10,4,IF(D2285&gt;=5,3,IF(D2285&gt;=2,2,1))))</f>
        <v/>
      </c>
      <c r="H2285" s="124">
        <f>IF(E2285&gt;=5000,5,IF(E2285&gt;=2000,4,IF(E2285&gt;=800,3,IF(E2285&gt;=300,2,1))))</f>
        <v/>
      </c>
      <c r="I2285" s="122">
        <f>TEXT(F2285,"0")&amp;TEXT(G2285,"0")&amp;TEXT(H2285,"0")</f>
        <v/>
      </c>
      <c r="J2285" s="122">
        <f>IFERROR(XLOOKUP(I2285,'Segment Map'!A:A,'Segment Map'!B:B,"Need Attention"),"Need Attention")</f>
        <v/>
      </c>
      <c r="K2285" s="122">
        <f>IF(E2285&gt;=5000,"🏆 Platinum",IF(E2285&gt;=2000,"🥇 Gold",IF(E2285&gt;=800,"🥈 Silver","🥉 Bronze")))</f>
        <v/>
      </c>
      <c r="L2285" s="125" t="n">
        <v>40524</v>
      </c>
    </row>
    <row r="2286">
      <c r="A2286" s="126" t="n">
        <v>15456</v>
      </c>
      <c r="B2286" s="126" t="inlineStr">
        <is>
          <t>United Kingdom</t>
        </is>
      </c>
      <c r="C2286" s="126" t="n">
        <v>284</v>
      </c>
      <c r="D2286" s="126" t="n">
        <v>3</v>
      </c>
      <c r="E2286" s="127" t="n">
        <v>447.22</v>
      </c>
      <c r="F2286" s="128">
        <f>IF(C2286&lt;=30,5,IF(C2286&lt;=60,4,IF(C2286&lt;=120,3,IF(C2286&lt;=200,2,1))))</f>
        <v/>
      </c>
      <c r="G2286" s="128">
        <f>IF(D2286&gt;=20,5,IF(D2286&gt;=10,4,IF(D2286&gt;=5,3,IF(D2286&gt;=2,2,1))))</f>
        <v/>
      </c>
      <c r="H2286" s="128">
        <f>IF(E2286&gt;=5000,5,IF(E2286&gt;=2000,4,IF(E2286&gt;=800,3,IF(E2286&gt;=300,2,1))))</f>
        <v/>
      </c>
      <c r="I2286" s="126">
        <f>TEXT(F2286,"0")&amp;TEXT(G2286,"0")&amp;TEXT(H2286,"0")</f>
        <v/>
      </c>
      <c r="J2286" s="126">
        <f>IFERROR(XLOOKUP(I2286,'Segment Map'!A:A,'Segment Map'!B:B,"Need Attention"),"Need Attention")</f>
        <v/>
      </c>
      <c r="K2286" s="126">
        <f>IF(E2286&gt;=5000,"🏆 Platinum",IF(E2286&gt;=2000,"🥇 Gold",IF(E2286&gt;=800,"🥈 Silver","🥉 Bronze")))</f>
        <v/>
      </c>
      <c r="L2286" s="129" t="n">
        <v>40603</v>
      </c>
    </row>
    <row r="2287">
      <c r="A2287" s="122" t="n">
        <v>15457</v>
      </c>
      <c r="B2287" s="122" t="inlineStr">
        <is>
          <t>United Kingdom</t>
        </is>
      </c>
      <c r="C2287" s="122" t="n">
        <v>263</v>
      </c>
      <c r="D2287" s="122" t="n">
        <v>1</v>
      </c>
      <c r="E2287" s="123" t="n">
        <v>237.07</v>
      </c>
      <c r="F2287" s="124">
        <f>IF(C2287&lt;=30,5,IF(C2287&lt;=60,4,IF(C2287&lt;=120,3,IF(C2287&lt;=200,2,1))))</f>
        <v/>
      </c>
      <c r="G2287" s="124">
        <f>IF(D2287&gt;=20,5,IF(D2287&gt;=10,4,IF(D2287&gt;=5,3,IF(D2287&gt;=2,2,1))))</f>
        <v/>
      </c>
      <c r="H2287" s="124">
        <f>IF(E2287&gt;=5000,5,IF(E2287&gt;=2000,4,IF(E2287&gt;=800,3,IF(E2287&gt;=300,2,1))))</f>
        <v/>
      </c>
      <c r="I2287" s="122">
        <f>TEXT(F2287,"0")&amp;TEXT(G2287,"0")&amp;TEXT(H2287,"0")</f>
        <v/>
      </c>
      <c r="J2287" s="122">
        <f>IFERROR(XLOOKUP(I2287,'Segment Map'!A:A,'Segment Map'!B:B,"Need Attention"),"Need Attention")</f>
        <v/>
      </c>
      <c r="K2287" s="122">
        <f>IF(E2287&gt;=5000,"🏆 Platinum",IF(E2287&gt;=2000,"🥇 Gold",IF(E2287&gt;=800,"🥈 Silver","🥉 Bronze")))</f>
        <v/>
      </c>
      <c r="L2287" s="125" t="n">
        <v>40624</v>
      </c>
    </row>
    <row r="2288">
      <c r="A2288" s="126" t="n">
        <v>15458</v>
      </c>
      <c r="B2288" s="126" t="inlineStr">
        <is>
          <t>United Kingdom</t>
        </is>
      </c>
      <c r="C2288" s="126" t="n">
        <v>26</v>
      </c>
      <c r="D2288" s="126" t="n">
        <v>1</v>
      </c>
      <c r="E2288" s="127" t="n">
        <v>161.64</v>
      </c>
      <c r="F2288" s="128">
        <f>IF(C2288&lt;=30,5,IF(C2288&lt;=60,4,IF(C2288&lt;=120,3,IF(C2288&lt;=200,2,1))))</f>
        <v/>
      </c>
      <c r="G2288" s="128">
        <f>IF(D2288&gt;=20,5,IF(D2288&gt;=10,4,IF(D2288&gt;=5,3,IF(D2288&gt;=2,2,1))))</f>
        <v/>
      </c>
      <c r="H2288" s="128">
        <f>IF(E2288&gt;=5000,5,IF(E2288&gt;=2000,4,IF(E2288&gt;=800,3,IF(E2288&gt;=300,2,1))))</f>
        <v/>
      </c>
      <c r="I2288" s="126">
        <f>TEXT(F2288,"0")&amp;TEXT(G2288,"0")&amp;TEXT(H2288,"0")</f>
        <v/>
      </c>
      <c r="J2288" s="126">
        <f>IFERROR(XLOOKUP(I2288,'Segment Map'!A:A,'Segment Map'!B:B,"Need Attention"),"Need Attention")</f>
        <v/>
      </c>
      <c r="K2288" s="126">
        <f>IF(E2288&gt;=5000,"🏆 Platinum",IF(E2288&gt;=2000,"🥇 Gold",IF(E2288&gt;=800,"🥈 Silver","🥉 Bronze")))</f>
        <v/>
      </c>
      <c r="L2288" s="129" t="n">
        <v>40861</v>
      </c>
    </row>
    <row r="2289">
      <c r="A2289" s="122" t="n">
        <v>15460</v>
      </c>
      <c r="B2289" s="122" t="inlineStr">
        <is>
          <t>United Kingdom</t>
        </is>
      </c>
      <c r="C2289" s="122" t="n">
        <v>355</v>
      </c>
      <c r="D2289" s="122" t="n">
        <v>1</v>
      </c>
      <c r="E2289" s="123" t="n">
        <v>216.76</v>
      </c>
      <c r="F2289" s="124">
        <f>IF(C2289&lt;=30,5,IF(C2289&lt;=60,4,IF(C2289&lt;=120,3,IF(C2289&lt;=200,2,1))))</f>
        <v/>
      </c>
      <c r="G2289" s="124">
        <f>IF(D2289&gt;=20,5,IF(D2289&gt;=10,4,IF(D2289&gt;=5,3,IF(D2289&gt;=2,2,1))))</f>
        <v/>
      </c>
      <c r="H2289" s="124">
        <f>IF(E2289&gt;=5000,5,IF(E2289&gt;=2000,4,IF(E2289&gt;=800,3,IF(E2289&gt;=300,2,1))))</f>
        <v/>
      </c>
      <c r="I2289" s="122">
        <f>TEXT(F2289,"0")&amp;TEXT(G2289,"0")&amp;TEXT(H2289,"0")</f>
        <v/>
      </c>
      <c r="J2289" s="122">
        <f>IFERROR(XLOOKUP(I2289,'Segment Map'!A:A,'Segment Map'!B:B,"Need Attention"),"Need Attention")</f>
        <v/>
      </c>
      <c r="K2289" s="122">
        <f>IF(E2289&gt;=5000,"🏆 Platinum",IF(E2289&gt;=2000,"🥇 Gold",IF(E2289&gt;=800,"🥈 Silver","🥉 Bronze")))</f>
        <v/>
      </c>
      <c r="L2289" s="125" t="n">
        <v>40532</v>
      </c>
    </row>
    <row r="2290">
      <c r="A2290" s="126" t="n">
        <v>15462</v>
      </c>
      <c r="B2290" s="126" t="inlineStr">
        <is>
          <t>United Kingdom</t>
        </is>
      </c>
      <c r="C2290" s="126" t="n">
        <v>95</v>
      </c>
      <c r="D2290" s="126" t="n">
        <v>3</v>
      </c>
      <c r="E2290" s="127" t="n">
        <v>234.6</v>
      </c>
      <c r="F2290" s="128">
        <f>IF(C2290&lt;=30,5,IF(C2290&lt;=60,4,IF(C2290&lt;=120,3,IF(C2290&lt;=200,2,1))))</f>
        <v/>
      </c>
      <c r="G2290" s="128">
        <f>IF(D2290&gt;=20,5,IF(D2290&gt;=10,4,IF(D2290&gt;=5,3,IF(D2290&gt;=2,2,1))))</f>
        <v/>
      </c>
      <c r="H2290" s="128">
        <f>IF(E2290&gt;=5000,5,IF(E2290&gt;=2000,4,IF(E2290&gt;=800,3,IF(E2290&gt;=300,2,1))))</f>
        <v/>
      </c>
      <c r="I2290" s="126">
        <f>TEXT(F2290,"0")&amp;TEXT(G2290,"0")&amp;TEXT(H2290,"0")</f>
        <v/>
      </c>
      <c r="J2290" s="126">
        <f>IFERROR(XLOOKUP(I2290,'Segment Map'!A:A,'Segment Map'!B:B,"Need Attention"),"Need Attention")</f>
        <v/>
      </c>
      <c r="K2290" s="126">
        <f>IF(E2290&gt;=5000,"🏆 Platinum",IF(E2290&gt;=2000,"🥇 Gold",IF(E2290&gt;=800,"🥈 Silver","🥉 Bronze")))</f>
        <v/>
      </c>
      <c r="L2290" s="129" t="n">
        <v>40792</v>
      </c>
    </row>
    <row r="2291">
      <c r="A2291" s="122" t="n">
        <v>15463</v>
      </c>
      <c r="B2291" s="122" t="inlineStr">
        <is>
          <t>United Kingdom</t>
        </is>
      </c>
      <c r="C2291" s="122" t="n">
        <v>30</v>
      </c>
      <c r="D2291" s="122" t="n">
        <v>1</v>
      </c>
      <c r="E2291" s="123" t="n">
        <v>126.14</v>
      </c>
      <c r="F2291" s="124">
        <f>IF(C2291&lt;=30,5,IF(C2291&lt;=60,4,IF(C2291&lt;=120,3,IF(C2291&lt;=200,2,1))))</f>
        <v/>
      </c>
      <c r="G2291" s="124">
        <f>IF(D2291&gt;=20,5,IF(D2291&gt;=10,4,IF(D2291&gt;=5,3,IF(D2291&gt;=2,2,1))))</f>
        <v/>
      </c>
      <c r="H2291" s="124">
        <f>IF(E2291&gt;=5000,5,IF(E2291&gt;=2000,4,IF(E2291&gt;=800,3,IF(E2291&gt;=300,2,1))))</f>
        <v/>
      </c>
      <c r="I2291" s="122">
        <f>TEXT(F2291,"0")&amp;TEXT(G2291,"0")&amp;TEXT(H2291,"0")</f>
        <v/>
      </c>
      <c r="J2291" s="122">
        <f>IFERROR(XLOOKUP(I2291,'Segment Map'!A:A,'Segment Map'!B:B,"Need Attention"),"Need Attention")</f>
        <v/>
      </c>
      <c r="K2291" s="122">
        <f>IF(E2291&gt;=5000,"🏆 Platinum",IF(E2291&gt;=2000,"🥇 Gold",IF(E2291&gt;=800,"🥈 Silver","🥉 Bronze")))</f>
        <v/>
      </c>
      <c r="L2291" s="125" t="n">
        <v>40857</v>
      </c>
    </row>
    <row r="2292">
      <c r="A2292" s="126" t="n">
        <v>15464</v>
      </c>
      <c r="B2292" s="126" t="inlineStr">
        <is>
          <t>United Kingdom</t>
        </is>
      </c>
      <c r="C2292" s="126" t="n">
        <v>339</v>
      </c>
      <c r="D2292" s="126" t="n">
        <v>1</v>
      </c>
      <c r="E2292" s="127" t="n">
        <v>1048.85</v>
      </c>
      <c r="F2292" s="128">
        <f>IF(C2292&lt;=30,5,IF(C2292&lt;=60,4,IF(C2292&lt;=120,3,IF(C2292&lt;=200,2,1))))</f>
        <v/>
      </c>
      <c r="G2292" s="128">
        <f>IF(D2292&gt;=20,5,IF(D2292&gt;=10,4,IF(D2292&gt;=5,3,IF(D2292&gt;=2,2,1))))</f>
        <v/>
      </c>
      <c r="H2292" s="128">
        <f>IF(E2292&gt;=5000,5,IF(E2292&gt;=2000,4,IF(E2292&gt;=800,3,IF(E2292&gt;=300,2,1))))</f>
        <v/>
      </c>
      <c r="I2292" s="126">
        <f>TEXT(F2292,"0")&amp;TEXT(G2292,"0")&amp;TEXT(H2292,"0")</f>
        <v/>
      </c>
      <c r="J2292" s="126">
        <f>IFERROR(XLOOKUP(I2292,'Segment Map'!A:A,'Segment Map'!B:B,"Need Attention"),"Need Attention")</f>
        <v/>
      </c>
      <c r="K2292" s="126">
        <f>IF(E2292&gt;=5000,"🏆 Platinum",IF(E2292&gt;=2000,"🥇 Gold",IF(E2292&gt;=800,"🥈 Silver","🥉 Bronze")))</f>
        <v/>
      </c>
      <c r="L2292" s="129" t="n">
        <v>40548</v>
      </c>
    </row>
    <row r="2293">
      <c r="A2293" s="122" t="n">
        <v>15465</v>
      </c>
      <c r="B2293" s="122" t="inlineStr">
        <is>
          <t>United Kingdom</t>
        </is>
      </c>
      <c r="C2293" s="122" t="n">
        <v>20</v>
      </c>
      <c r="D2293" s="122" t="n">
        <v>18</v>
      </c>
      <c r="E2293" s="123" t="n">
        <v>7354.62</v>
      </c>
      <c r="F2293" s="124">
        <f>IF(C2293&lt;=30,5,IF(C2293&lt;=60,4,IF(C2293&lt;=120,3,IF(C2293&lt;=200,2,1))))</f>
        <v/>
      </c>
      <c r="G2293" s="124">
        <f>IF(D2293&gt;=20,5,IF(D2293&gt;=10,4,IF(D2293&gt;=5,3,IF(D2293&gt;=2,2,1))))</f>
        <v/>
      </c>
      <c r="H2293" s="124">
        <f>IF(E2293&gt;=5000,5,IF(E2293&gt;=2000,4,IF(E2293&gt;=800,3,IF(E2293&gt;=300,2,1))))</f>
        <v/>
      </c>
      <c r="I2293" s="122">
        <f>TEXT(F2293,"0")&amp;TEXT(G2293,"0")&amp;TEXT(H2293,"0")</f>
        <v/>
      </c>
      <c r="J2293" s="122">
        <f>IFERROR(XLOOKUP(I2293,'Segment Map'!A:A,'Segment Map'!B:B,"Need Attention"),"Need Attention")</f>
        <v/>
      </c>
      <c r="K2293" s="122">
        <f>IF(E2293&gt;=5000,"🏆 Platinum",IF(E2293&gt;=2000,"🥇 Gold",IF(E2293&gt;=800,"🥈 Silver","🥉 Bronze")))</f>
        <v/>
      </c>
      <c r="L2293" s="125" t="n">
        <v>40867</v>
      </c>
    </row>
    <row r="2294">
      <c r="A2294" s="126" t="n">
        <v>15466</v>
      </c>
      <c r="B2294" s="126" t="inlineStr">
        <is>
          <t>United Kingdom</t>
        </is>
      </c>
      <c r="C2294" s="126" t="n">
        <v>86</v>
      </c>
      <c r="D2294" s="126" t="n">
        <v>1</v>
      </c>
      <c r="E2294" s="127" t="n">
        <v>334.53</v>
      </c>
      <c r="F2294" s="128">
        <f>IF(C2294&lt;=30,5,IF(C2294&lt;=60,4,IF(C2294&lt;=120,3,IF(C2294&lt;=200,2,1))))</f>
        <v/>
      </c>
      <c r="G2294" s="128">
        <f>IF(D2294&gt;=20,5,IF(D2294&gt;=10,4,IF(D2294&gt;=5,3,IF(D2294&gt;=2,2,1))))</f>
        <v/>
      </c>
      <c r="H2294" s="128">
        <f>IF(E2294&gt;=5000,5,IF(E2294&gt;=2000,4,IF(E2294&gt;=800,3,IF(E2294&gt;=300,2,1))))</f>
        <v/>
      </c>
      <c r="I2294" s="126">
        <f>TEXT(F2294,"0")&amp;TEXT(G2294,"0")&amp;TEXT(H2294,"0")</f>
        <v/>
      </c>
      <c r="J2294" s="126">
        <f>IFERROR(XLOOKUP(I2294,'Segment Map'!A:A,'Segment Map'!B:B,"Need Attention"),"Need Attention")</f>
        <v/>
      </c>
      <c r="K2294" s="126">
        <f>IF(E2294&gt;=5000,"🏆 Platinum",IF(E2294&gt;=2000,"🥇 Gold",IF(E2294&gt;=800,"🥈 Silver","🥉 Bronze")))</f>
        <v/>
      </c>
      <c r="L2294" s="129" t="n">
        <v>40801</v>
      </c>
    </row>
    <row r="2295">
      <c r="A2295" s="122" t="n">
        <v>15467</v>
      </c>
      <c r="B2295" s="122" t="inlineStr">
        <is>
          <t>United Kingdom</t>
        </is>
      </c>
      <c r="C2295" s="122" t="n">
        <v>10</v>
      </c>
      <c r="D2295" s="122" t="n">
        <v>3</v>
      </c>
      <c r="E2295" s="123" t="n">
        <v>524.88</v>
      </c>
      <c r="F2295" s="124">
        <f>IF(C2295&lt;=30,5,IF(C2295&lt;=60,4,IF(C2295&lt;=120,3,IF(C2295&lt;=200,2,1))))</f>
        <v/>
      </c>
      <c r="G2295" s="124">
        <f>IF(D2295&gt;=20,5,IF(D2295&gt;=10,4,IF(D2295&gt;=5,3,IF(D2295&gt;=2,2,1))))</f>
        <v/>
      </c>
      <c r="H2295" s="124">
        <f>IF(E2295&gt;=5000,5,IF(E2295&gt;=2000,4,IF(E2295&gt;=800,3,IF(E2295&gt;=300,2,1))))</f>
        <v/>
      </c>
      <c r="I2295" s="122">
        <f>TEXT(F2295,"0")&amp;TEXT(G2295,"0")&amp;TEXT(H2295,"0")</f>
        <v/>
      </c>
      <c r="J2295" s="122">
        <f>IFERROR(XLOOKUP(I2295,'Segment Map'!A:A,'Segment Map'!B:B,"Need Attention"),"Need Attention")</f>
        <v/>
      </c>
      <c r="K2295" s="122">
        <f>IF(E2295&gt;=5000,"🏆 Platinum",IF(E2295&gt;=2000,"🥇 Gold",IF(E2295&gt;=800,"🥈 Silver","🥉 Bronze")))</f>
        <v/>
      </c>
      <c r="L2295" s="125" t="n">
        <v>40877</v>
      </c>
    </row>
    <row r="2296">
      <c r="A2296" s="126" t="n">
        <v>15468</v>
      </c>
      <c r="B2296" s="126" t="inlineStr">
        <is>
          <t>United Kingdom</t>
        </is>
      </c>
      <c r="C2296" s="126" t="n">
        <v>52</v>
      </c>
      <c r="D2296" s="126" t="n">
        <v>2</v>
      </c>
      <c r="E2296" s="127" t="n">
        <v>467.51</v>
      </c>
      <c r="F2296" s="128">
        <f>IF(C2296&lt;=30,5,IF(C2296&lt;=60,4,IF(C2296&lt;=120,3,IF(C2296&lt;=200,2,1))))</f>
        <v/>
      </c>
      <c r="G2296" s="128">
        <f>IF(D2296&gt;=20,5,IF(D2296&gt;=10,4,IF(D2296&gt;=5,3,IF(D2296&gt;=2,2,1))))</f>
        <v/>
      </c>
      <c r="H2296" s="128">
        <f>IF(E2296&gt;=5000,5,IF(E2296&gt;=2000,4,IF(E2296&gt;=800,3,IF(E2296&gt;=300,2,1))))</f>
        <v/>
      </c>
      <c r="I2296" s="126">
        <f>TEXT(F2296,"0")&amp;TEXT(G2296,"0")&amp;TEXT(H2296,"0")</f>
        <v/>
      </c>
      <c r="J2296" s="126">
        <f>IFERROR(XLOOKUP(I2296,'Segment Map'!A:A,'Segment Map'!B:B,"Need Attention"),"Need Attention")</f>
        <v/>
      </c>
      <c r="K2296" s="126">
        <f>IF(E2296&gt;=5000,"🏆 Platinum",IF(E2296&gt;=2000,"🥇 Gold",IF(E2296&gt;=800,"🥈 Silver","🥉 Bronze")))</f>
        <v/>
      </c>
      <c r="L2296" s="129" t="n">
        <v>40835</v>
      </c>
    </row>
    <row r="2297">
      <c r="A2297" s="122" t="n">
        <v>15469</v>
      </c>
      <c r="B2297" s="122" t="inlineStr">
        <is>
          <t>United Kingdom</t>
        </is>
      </c>
      <c r="C2297" s="122" t="n">
        <v>51</v>
      </c>
      <c r="D2297" s="122" t="n">
        <v>2</v>
      </c>
      <c r="E2297" s="123" t="n">
        <v>538.55</v>
      </c>
      <c r="F2297" s="124">
        <f>IF(C2297&lt;=30,5,IF(C2297&lt;=60,4,IF(C2297&lt;=120,3,IF(C2297&lt;=200,2,1))))</f>
        <v/>
      </c>
      <c r="G2297" s="124">
        <f>IF(D2297&gt;=20,5,IF(D2297&gt;=10,4,IF(D2297&gt;=5,3,IF(D2297&gt;=2,2,1))))</f>
        <v/>
      </c>
      <c r="H2297" s="124">
        <f>IF(E2297&gt;=5000,5,IF(E2297&gt;=2000,4,IF(E2297&gt;=800,3,IF(E2297&gt;=300,2,1))))</f>
        <v/>
      </c>
      <c r="I2297" s="122">
        <f>TEXT(F2297,"0")&amp;TEXT(G2297,"0")&amp;TEXT(H2297,"0")</f>
        <v/>
      </c>
      <c r="J2297" s="122">
        <f>IFERROR(XLOOKUP(I2297,'Segment Map'!A:A,'Segment Map'!B:B,"Need Attention"),"Need Attention")</f>
        <v/>
      </c>
      <c r="K2297" s="122">
        <f>IF(E2297&gt;=5000,"🏆 Platinum",IF(E2297&gt;=2000,"🥇 Gold",IF(E2297&gt;=800,"🥈 Silver","🥉 Bronze")))</f>
        <v/>
      </c>
      <c r="L2297" s="125" t="n">
        <v>40836</v>
      </c>
    </row>
    <row r="2298">
      <c r="A2298" s="126" t="n">
        <v>15471</v>
      </c>
      <c r="B2298" s="126" t="inlineStr">
        <is>
          <t>United Kingdom</t>
        </is>
      </c>
      <c r="C2298" s="126" t="n">
        <v>3</v>
      </c>
      <c r="D2298" s="126" t="n">
        <v>1</v>
      </c>
      <c r="E2298" s="127" t="n">
        <v>469.48</v>
      </c>
      <c r="F2298" s="128">
        <f>IF(C2298&lt;=30,5,IF(C2298&lt;=60,4,IF(C2298&lt;=120,3,IF(C2298&lt;=200,2,1))))</f>
        <v/>
      </c>
      <c r="G2298" s="128">
        <f>IF(D2298&gt;=20,5,IF(D2298&gt;=10,4,IF(D2298&gt;=5,3,IF(D2298&gt;=2,2,1))))</f>
        <v/>
      </c>
      <c r="H2298" s="128">
        <f>IF(E2298&gt;=5000,5,IF(E2298&gt;=2000,4,IF(E2298&gt;=800,3,IF(E2298&gt;=300,2,1))))</f>
        <v/>
      </c>
      <c r="I2298" s="126">
        <f>TEXT(F2298,"0")&amp;TEXT(G2298,"0")&amp;TEXT(H2298,"0")</f>
        <v/>
      </c>
      <c r="J2298" s="126">
        <f>IFERROR(XLOOKUP(I2298,'Segment Map'!A:A,'Segment Map'!B:B,"Need Attention"),"Need Attention")</f>
        <v/>
      </c>
      <c r="K2298" s="126">
        <f>IF(E2298&gt;=5000,"🏆 Platinum",IF(E2298&gt;=2000,"🥇 Gold",IF(E2298&gt;=800,"🥈 Silver","🥉 Bronze")))</f>
        <v/>
      </c>
      <c r="L2298" s="129" t="n">
        <v>40884</v>
      </c>
    </row>
    <row r="2299">
      <c r="A2299" s="122" t="n">
        <v>15472</v>
      </c>
      <c r="B2299" s="122" t="inlineStr">
        <is>
          <t>United Kingdom</t>
        </is>
      </c>
      <c r="C2299" s="122" t="n">
        <v>114</v>
      </c>
      <c r="D2299" s="122" t="n">
        <v>1</v>
      </c>
      <c r="E2299" s="123" t="n">
        <v>371.56</v>
      </c>
      <c r="F2299" s="124">
        <f>IF(C2299&lt;=30,5,IF(C2299&lt;=60,4,IF(C2299&lt;=120,3,IF(C2299&lt;=200,2,1))))</f>
        <v/>
      </c>
      <c r="G2299" s="124">
        <f>IF(D2299&gt;=20,5,IF(D2299&gt;=10,4,IF(D2299&gt;=5,3,IF(D2299&gt;=2,2,1))))</f>
        <v/>
      </c>
      <c r="H2299" s="124">
        <f>IF(E2299&gt;=5000,5,IF(E2299&gt;=2000,4,IF(E2299&gt;=800,3,IF(E2299&gt;=300,2,1))))</f>
        <v/>
      </c>
      <c r="I2299" s="122">
        <f>TEXT(F2299,"0")&amp;TEXT(G2299,"0")&amp;TEXT(H2299,"0")</f>
        <v/>
      </c>
      <c r="J2299" s="122">
        <f>IFERROR(XLOOKUP(I2299,'Segment Map'!A:A,'Segment Map'!B:B,"Need Attention"),"Need Attention")</f>
        <v/>
      </c>
      <c r="K2299" s="122">
        <f>IF(E2299&gt;=5000,"🏆 Platinum",IF(E2299&gt;=2000,"🥇 Gold",IF(E2299&gt;=800,"🥈 Silver","🥉 Bronze")))</f>
        <v/>
      </c>
      <c r="L2299" s="125" t="n">
        <v>40773</v>
      </c>
    </row>
    <row r="2300">
      <c r="A2300" s="126" t="n">
        <v>15473</v>
      </c>
      <c r="B2300" s="126" t="inlineStr">
        <is>
          <t>United Kingdom</t>
        </is>
      </c>
      <c r="C2300" s="126" t="n">
        <v>15</v>
      </c>
      <c r="D2300" s="126" t="n">
        <v>7</v>
      </c>
      <c r="E2300" s="127" t="n">
        <v>1771.2</v>
      </c>
      <c r="F2300" s="128">
        <f>IF(C2300&lt;=30,5,IF(C2300&lt;=60,4,IF(C2300&lt;=120,3,IF(C2300&lt;=200,2,1))))</f>
        <v/>
      </c>
      <c r="G2300" s="128">
        <f>IF(D2300&gt;=20,5,IF(D2300&gt;=10,4,IF(D2300&gt;=5,3,IF(D2300&gt;=2,2,1))))</f>
        <v/>
      </c>
      <c r="H2300" s="128">
        <f>IF(E2300&gt;=5000,5,IF(E2300&gt;=2000,4,IF(E2300&gt;=800,3,IF(E2300&gt;=300,2,1))))</f>
        <v/>
      </c>
      <c r="I2300" s="126">
        <f>TEXT(F2300,"0")&amp;TEXT(G2300,"0")&amp;TEXT(H2300,"0")</f>
        <v/>
      </c>
      <c r="J2300" s="126">
        <f>IFERROR(XLOOKUP(I2300,'Segment Map'!A:A,'Segment Map'!B:B,"Need Attention"),"Need Attention")</f>
        <v/>
      </c>
      <c r="K2300" s="126">
        <f>IF(E2300&gt;=5000,"🏆 Platinum",IF(E2300&gt;=2000,"🥇 Gold",IF(E2300&gt;=800,"🥈 Silver","🥉 Bronze")))</f>
        <v/>
      </c>
      <c r="L2300" s="129" t="n">
        <v>40872</v>
      </c>
    </row>
    <row r="2301">
      <c r="A2301" s="122" t="n">
        <v>15475</v>
      </c>
      <c r="B2301" s="122" t="inlineStr">
        <is>
          <t>United Kingdom</t>
        </is>
      </c>
      <c r="C2301" s="122" t="n">
        <v>78</v>
      </c>
      <c r="D2301" s="122" t="n">
        <v>1</v>
      </c>
      <c r="E2301" s="123" t="n">
        <v>454.11</v>
      </c>
      <c r="F2301" s="124">
        <f>IF(C2301&lt;=30,5,IF(C2301&lt;=60,4,IF(C2301&lt;=120,3,IF(C2301&lt;=200,2,1))))</f>
        <v/>
      </c>
      <c r="G2301" s="124">
        <f>IF(D2301&gt;=20,5,IF(D2301&gt;=10,4,IF(D2301&gt;=5,3,IF(D2301&gt;=2,2,1))))</f>
        <v/>
      </c>
      <c r="H2301" s="124">
        <f>IF(E2301&gt;=5000,5,IF(E2301&gt;=2000,4,IF(E2301&gt;=800,3,IF(E2301&gt;=300,2,1))))</f>
        <v/>
      </c>
      <c r="I2301" s="122">
        <f>TEXT(F2301,"0")&amp;TEXT(G2301,"0")&amp;TEXT(H2301,"0")</f>
        <v/>
      </c>
      <c r="J2301" s="122">
        <f>IFERROR(XLOOKUP(I2301,'Segment Map'!A:A,'Segment Map'!B:B,"Need Attention"),"Need Attention")</f>
        <v/>
      </c>
      <c r="K2301" s="122">
        <f>IF(E2301&gt;=5000,"🏆 Platinum",IF(E2301&gt;=2000,"🥇 Gold",IF(E2301&gt;=800,"🥈 Silver","🥉 Bronze")))</f>
        <v/>
      </c>
      <c r="L2301" s="125" t="n">
        <v>40809</v>
      </c>
    </row>
    <row r="2302">
      <c r="A2302" s="126" t="n">
        <v>15478</v>
      </c>
      <c r="B2302" s="126" t="inlineStr">
        <is>
          <t>United Kingdom</t>
        </is>
      </c>
      <c r="C2302" s="126" t="n">
        <v>41</v>
      </c>
      <c r="D2302" s="126" t="n">
        <v>2</v>
      </c>
      <c r="E2302" s="127" t="n">
        <v>1441.42</v>
      </c>
      <c r="F2302" s="128">
        <f>IF(C2302&lt;=30,5,IF(C2302&lt;=60,4,IF(C2302&lt;=120,3,IF(C2302&lt;=200,2,1))))</f>
        <v/>
      </c>
      <c r="G2302" s="128">
        <f>IF(D2302&gt;=20,5,IF(D2302&gt;=10,4,IF(D2302&gt;=5,3,IF(D2302&gt;=2,2,1))))</f>
        <v/>
      </c>
      <c r="H2302" s="128">
        <f>IF(E2302&gt;=5000,5,IF(E2302&gt;=2000,4,IF(E2302&gt;=800,3,IF(E2302&gt;=300,2,1))))</f>
        <v/>
      </c>
      <c r="I2302" s="126">
        <f>TEXT(F2302,"0")&amp;TEXT(G2302,"0")&amp;TEXT(H2302,"0")</f>
        <v/>
      </c>
      <c r="J2302" s="126">
        <f>IFERROR(XLOOKUP(I2302,'Segment Map'!A:A,'Segment Map'!B:B,"Need Attention"),"Need Attention")</f>
        <v/>
      </c>
      <c r="K2302" s="126">
        <f>IF(E2302&gt;=5000,"🏆 Platinum",IF(E2302&gt;=2000,"🥇 Gold",IF(E2302&gt;=800,"🥈 Silver","🥉 Bronze")))</f>
        <v/>
      </c>
      <c r="L2302" s="129" t="n">
        <v>40846</v>
      </c>
    </row>
    <row r="2303">
      <c r="A2303" s="122" t="n">
        <v>15480</v>
      </c>
      <c r="B2303" s="122" t="inlineStr">
        <is>
          <t>Malta</t>
        </is>
      </c>
      <c r="C2303" s="122" t="n">
        <v>117</v>
      </c>
      <c r="D2303" s="122" t="n">
        <v>1</v>
      </c>
      <c r="E2303" s="123" t="n">
        <v>905.5</v>
      </c>
      <c r="F2303" s="124">
        <f>IF(C2303&lt;=30,5,IF(C2303&lt;=60,4,IF(C2303&lt;=120,3,IF(C2303&lt;=200,2,1))))</f>
        <v/>
      </c>
      <c r="G2303" s="124">
        <f>IF(D2303&gt;=20,5,IF(D2303&gt;=10,4,IF(D2303&gt;=5,3,IF(D2303&gt;=2,2,1))))</f>
        <v/>
      </c>
      <c r="H2303" s="124">
        <f>IF(E2303&gt;=5000,5,IF(E2303&gt;=2000,4,IF(E2303&gt;=800,3,IF(E2303&gt;=300,2,1))))</f>
        <v/>
      </c>
      <c r="I2303" s="122">
        <f>TEXT(F2303,"0")&amp;TEXT(G2303,"0")&amp;TEXT(H2303,"0")</f>
        <v/>
      </c>
      <c r="J2303" s="122">
        <f>IFERROR(XLOOKUP(I2303,'Segment Map'!A:A,'Segment Map'!B:B,"Need Attention"),"Need Attention")</f>
        <v/>
      </c>
      <c r="K2303" s="122">
        <f>IF(E2303&gt;=5000,"🏆 Platinum",IF(E2303&gt;=2000,"🥇 Gold",IF(E2303&gt;=800,"🥈 Silver","🥉 Bronze")))</f>
        <v/>
      </c>
      <c r="L2303" s="125" t="n">
        <v>40770</v>
      </c>
    </row>
    <row r="2304">
      <c r="A2304" s="126" t="n">
        <v>15482</v>
      </c>
      <c r="B2304" s="126" t="inlineStr">
        <is>
          <t>United Kingdom</t>
        </is>
      </c>
      <c r="C2304" s="126" t="n">
        <v>16</v>
      </c>
      <c r="D2304" s="126" t="n">
        <v>12</v>
      </c>
      <c r="E2304" s="127" t="n">
        <v>11054.96</v>
      </c>
      <c r="F2304" s="128">
        <f>IF(C2304&lt;=30,5,IF(C2304&lt;=60,4,IF(C2304&lt;=120,3,IF(C2304&lt;=200,2,1))))</f>
        <v/>
      </c>
      <c r="G2304" s="128">
        <f>IF(D2304&gt;=20,5,IF(D2304&gt;=10,4,IF(D2304&gt;=5,3,IF(D2304&gt;=2,2,1))))</f>
        <v/>
      </c>
      <c r="H2304" s="128">
        <f>IF(E2304&gt;=5000,5,IF(E2304&gt;=2000,4,IF(E2304&gt;=800,3,IF(E2304&gt;=300,2,1))))</f>
        <v/>
      </c>
      <c r="I2304" s="126">
        <f>TEXT(F2304,"0")&amp;TEXT(G2304,"0")&amp;TEXT(H2304,"0")</f>
        <v/>
      </c>
      <c r="J2304" s="126">
        <f>IFERROR(XLOOKUP(I2304,'Segment Map'!A:A,'Segment Map'!B:B,"Need Attention"),"Need Attention")</f>
        <v/>
      </c>
      <c r="K2304" s="126">
        <f>IF(E2304&gt;=5000,"🏆 Platinum",IF(E2304&gt;=2000,"🥇 Gold",IF(E2304&gt;=800,"🥈 Silver","🥉 Bronze")))</f>
        <v/>
      </c>
      <c r="L2304" s="129" t="n">
        <v>40871</v>
      </c>
    </row>
    <row r="2305">
      <c r="A2305" s="122" t="n">
        <v>15483</v>
      </c>
      <c r="B2305" s="122" t="inlineStr">
        <is>
          <t>United Kingdom</t>
        </is>
      </c>
      <c r="C2305" s="122" t="n">
        <v>162</v>
      </c>
      <c r="D2305" s="122" t="n">
        <v>4</v>
      </c>
      <c r="E2305" s="123" t="n">
        <v>233.81</v>
      </c>
      <c r="F2305" s="124">
        <f>IF(C2305&lt;=30,5,IF(C2305&lt;=60,4,IF(C2305&lt;=120,3,IF(C2305&lt;=200,2,1))))</f>
        <v/>
      </c>
      <c r="G2305" s="124">
        <f>IF(D2305&gt;=20,5,IF(D2305&gt;=10,4,IF(D2305&gt;=5,3,IF(D2305&gt;=2,2,1))))</f>
        <v/>
      </c>
      <c r="H2305" s="124">
        <f>IF(E2305&gt;=5000,5,IF(E2305&gt;=2000,4,IF(E2305&gt;=800,3,IF(E2305&gt;=300,2,1))))</f>
        <v/>
      </c>
      <c r="I2305" s="122">
        <f>TEXT(F2305,"0")&amp;TEXT(G2305,"0")&amp;TEXT(H2305,"0")</f>
        <v/>
      </c>
      <c r="J2305" s="122">
        <f>IFERROR(XLOOKUP(I2305,'Segment Map'!A:A,'Segment Map'!B:B,"Need Attention"),"Need Attention")</f>
        <v/>
      </c>
      <c r="K2305" s="122">
        <f>IF(E2305&gt;=5000,"🏆 Platinum",IF(E2305&gt;=2000,"🥇 Gold",IF(E2305&gt;=800,"🥈 Silver","🥉 Bronze")))</f>
        <v/>
      </c>
      <c r="L2305" s="125" t="n">
        <v>40725</v>
      </c>
    </row>
    <row r="2306">
      <c r="A2306" s="126" t="n">
        <v>15484</v>
      </c>
      <c r="B2306" s="126" t="inlineStr">
        <is>
          <t>United Kingdom</t>
        </is>
      </c>
      <c r="C2306" s="126" t="n">
        <v>2</v>
      </c>
      <c r="D2306" s="126" t="n">
        <v>4</v>
      </c>
      <c r="E2306" s="127" t="n">
        <v>3594.31</v>
      </c>
      <c r="F2306" s="128">
        <f>IF(C2306&lt;=30,5,IF(C2306&lt;=60,4,IF(C2306&lt;=120,3,IF(C2306&lt;=200,2,1))))</f>
        <v/>
      </c>
      <c r="G2306" s="128">
        <f>IF(D2306&gt;=20,5,IF(D2306&gt;=10,4,IF(D2306&gt;=5,3,IF(D2306&gt;=2,2,1))))</f>
        <v/>
      </c>
      <c r="H2306" s="128">
        <f>IF(E2306&gt;=5000,5,IF(E2306&gt;=2000,4,IF(E2306&gt;=800,3,IF(E2306&gt;=300,2,1))))</f>
        <v/>
      </c>
      <c r="I2306" s="126">
        <f>TEXT(F2306,"0")&amp;TEXT(G2306,"0")&amp;TEXT(H2306,"0")</f>
        <v/>
      </c>
      <c r="J2306" s="126">
        <f>IFERROR(XLOOKUP(I2306,'Segment Map'!A:A,'Segment Map'!B:B,"Need Attention"),"Need Attention")</f>
        <v/>
      </c>
      <c r="K2306" s="126">
        <f>IF(E2306&gt;=5000,"🏆 Platinum",IF(E2306&gt;=2000,"🥇 Gold",IF(E2306&gt;=800,"🥈 Silver","🥉 Bronze")))</f>
        <v/>
      </c>
      <c r="L2306" s="129" t="n">
        <v>40885</v>
      </c>
    </row>
    <row r="2307">
      <c r="A2307" s="122" t="n">
        <v>15485</v>
      </c>
      <c r="B2307" s="122" t="inlineStr">
        <is>
          <t>United Kingdom</t>
        </is>
      </c>
      <c r="C2307" s="122" t="n">
        <v>31</v>
      </c>
      <c r="D2307" s="122" t="n">
        <v>3</v>
      </c>
      <c r="E2307" s="123" t="n">
        <v>2575</v>
      </c>
      <c r="F2307" s="124">
        <f>IF(C2307&lt;=30,5,IF(C2307&lt;=60,4,IF(C2307&lt;=120,3,IF(C2307&lt;=200,2,1))))</f>
        <v/>
      </c>
      <c r="G2307" s="124">
        <f>IF(D2307&gt;=20,5,IF(D2307&gt;=10,4,IF(D2307&gt;=5,3,IF(D2307&gt;=2,2,1))))</f>
        <v/>
      </c>
      <c r="H2307" s="124">
        <f>IF(E2307&gt;=5000,5,IF(E2307&gt;=2000,4,IF(E2307&gt;=800,3,IF(E2307&gt;=300,2,1))))</f>
        <v/>
      </c>
      <c r="I2307" s="122">
        <f>TEXT(F2307,"0")&amp;TEXT(G2307,"0")&amp;TEXT(H2307,"0")</f>
        <v/>
      </c>
      <c r="J2307" s="122">
        <f>IFERROR(XLOOKUP(I2307,'Segment Map'!A:A,'Segment Map'!B:B,"Need Attention"),"Need Attention")</f>
        <v/>
      </c>
      <c r="K2307" s="122">
        <f>IF(E2307&gt;=5000,"🏆 Platinum",IF(E2307&gt;=2000,"🥇 Gold",IF(E2307&gt;=800,"🥈 Silver","🥉 Bronze")))</f>
        <v/>
      </c>
      <c r="L2307" s="125" t="n">
        <v>40856</v>
      </c>
    </row>
    <row r="2308">
      <c r="A2308" s="126" t="n">
        <v>15488</v>
      </c>
      <c r="B2308" s="126" t="inlineStr">
        <is>
          <t>United Kingdom</t>
        </is>
      </c>
      <c r="C2308" s="126" t="n">
        <v>93</v>
      </c>
      <c r="D2308" s="126" t="n">
        <v>1</v>
      </c>
      <c r="E2308" s="127" t="n">
        <v>91.31999999999999</v>
      </c>
      <c r="F2308" s="128">
        <f>IF(C2308&lt;=30,5,IF(C2308&lt;=60,4,IF(C2308&lt;=120,3,IF(C2308&lt;=200,2,1))))</f>
        <v/>
      </c>
      <c r="G2308" s="128">
        <f>IF(D2308&gt;=20,5,IF(D2308&gt;=10,4,IF(D2308&gt;=5,3,IF(D2308&gt;=2,2,1))))</f>
        <v/>
      </c>
      <c r="H2308" s="128">
        <f>IF(E2308&gt;=5000,5,IF(E2308&gt;=2000,4,IF(E2308&gt;=800,3,IF(E2308&gt;=300,2,1))))</f>
        <v/>
      </c>
      <c r="I2308" s="126">
        <f>TEXT(F2308,"0")&amp;TEXT(G2308,"0")&amp;TEXT(H2308,"0")</f>
        <v/>
      </c>
      <c r="J2308" s="126">
        <f>IFERROR(XLOOKUP(I2308,'Segment Map'!A:A,'Segment Map'!B:B,"Need Attention"),"Need Attention")</f>
        <v/>
      </c>
      <c r="K2308" s="126">
        <f>IF(E2308&gt;=5000,"🏆 Platinum",IF(E2308&gt;=2000,"🥇 Gold",IF(E2308&gt;=800,"🥈 Silver","🥉 Bronze")))</f>
        <v/>
      </c>
      <c r="L2308" s="129" t="n">
        <v>40794</v>
      </c>
    </row>
    <row r="2309">
      <c r="A2309" s="122" t="n">
        <v>15489</v>
      </c>
      <c r="B2309" s="122" t="inlineStr">
        <is>
          <t>United Kingdom</t>
        </is>
      </c>
      <c r="C2309" s="122" t="n">
        <v>23</v>
      </c>
      <c r="D2309" s="122" t="n">
        <v>3</v>
      </c>
      <c r="E2309" s="123" t="n">
        <v>1134.28</v>
      </c>
      <c r="F2309" s="124">
        <f>IF(C2309&lt;=30,5,IF(C2309&lt;=60,4,IF(C2309&lt;=120,3,IF(C2309&lt;=200,2,1))))</f>
        <v/>
      </c>
      <c r="G2309" s="124">
        <f>IF(D2309&gt;=20,5,IF(D2309&gt;=10,4,IF(D2309&gt;=5,3,IF(D2309&gt;=2,2,1))))</f>
        <v/>
      </c>
      <c r="H2309" s="124">
        <f>IF(E2309&gt;=5000,5,IF(E2309&gt;=2000,4,IF(E2309&gt;=800,3,IF(E2309&gt;=300,2,1))))</f>
        <v/>
      </c>
      <c r="I2309" s="122">
        <f>TEXT(F2309,"0")&amp;TEXT(G2309,"0")&amp;TEXT(H2309,"0")</f>
        <v/>
      </c>
      <c r="J2309" s="122">
        <f>IFERROR(XLOOKUP(I2309,'Segment Map'!A:A,'Segment Map'!B:B,"Need Attention"),"Need Attention")</f>
        <v/>
      </c>
      <c r="K2309" s="122">
        <f>IF(E2309&gt;=5000,"🏆 Platinum",IF(E2309&gt;=2000,"🥇 Gold",IF(E2309&gt;=800,"🥈 Silver","🥉 Bronze")))</f>
        <v/>
      </c>
      <c r="L2309" s="125" t="n">
        <v>40864</v>
      </c>
    </row>
    <row r="2310">
      <c r="A2310" s="126" t="n">
        <v>15491</v>
      </c>
      <c r="B2310" s="126" t="inlineStr">
        <is>
          <t>United Kingdom</t>
        </is>
      </c>
      <c r="C2310" s="126" t="n">
        <v>96</v>
      </c>
      <c r="D2310" s="126" t="n">
        <v>6</v>
      </c>
      <c r="E2310" s="127" t="n">
        <v>3100.09</v>
      </c>
      <c r="F2310" s="128">
        <f>IF(C2310&lt;=30,5,IF(C2310&lt;=60,4,IF(C2310&lt;=120,3,IF(C2310&lt;=200,2,1))))</f>
        <v/>
      </c>
      <c r="G2310" s="128">
        <f>IF(D2310&gt;=20,5,IF(D2310&gt;=10,4,IF(D2310&gt;=5,3,IF(D2310&gt;=2,2,1))))</f>
        <v/>
      </c>
      <c r="H2310" s="128">
        <f>IF(E2310&gt;=5000,5,IF(E2310&gt;=2000,4,IF(E2310&gt;=800,3,IF(E2310&gt;=300,2,1))))</f>
        <v/>
      </c>
      <c r="I2310" s="126">
        <f>TEXT(F2310,"0")&amp;TEXT(G2310,"0")&amp;TEXT(H2310,"0")</f>
        <v/>
      </c>
      <c r="J2310" s="126">
        <f>IFERROR(XLOOKUP(I2310,'Segment Map'!A:A,'Segment Map'!B:B,"Need Attention"),"Need Attention")</f>
        <v/>
      </c>
      <c r="K2310" s="126">
        <f>IF(E2310&gt;=5000,"🏆 Platinum",IF(E2310&gt;=2000,"🥇 Gold",IF(E2310&gt;=800,"🥈 Silver","🥉 Bronze")))</f>
        <v/>
      </c>
      <c r="L2310" s="129" t="n">
        <v>40791</v>
      </c>
    </row>
    <row r="2311">
      <c r="A2311" s="122" t="n">
        <v>15492</v>
      </c>
      <c r="B2311" s="122" t="inlineStr">
        <is>
          <t>United Kingdom</t>
        </is>
      </c>
      <c r="C2311" s="122" t="n">
        <v>29</v>
      </c>
      <c r="D2311" s="122" t="n">
        <v>2</v>
      </c>
      <c r="E2311" s="123" t="n">
        <v>659.46</v>
      </c>
      <c r="F2311" s="124">
        <f>IF(C2311&lt;=30,5,IF(C2311&lt;=60,4,IF(C2311&lt;=120,3,IF(C2311&lt;=200,2,1))))</f>
        <v/>
      </c>
      <c r="G2311" s="124">
        <f>IF(D2311&gt;=20,5,IF(D2311&gt;=10,4,IF(D2311&gt;=5,3,IF(D2311&gt;=2,2,1))))</f>
        <v/>
      </c>
      <c r="H2311" s="124">
        <f>IF(E2311&gt;=5000,5,IF(E2311&gt;=2000,4,IF(E2311&gt;=800,3,IF(E2311&gt;=300,2,1))))</f>
        <v/>
      </c>
      <c r="I2311" s="122">
        <f>TEXT(F2311,"0")&amp;TEXT(G2311,"0")&amp;TEXT(H2311,"0")</f>
        <v/>
      </c>
      <c r="J2311" s="122">
        <f>IFERROR(XLOOKUP(I2311,'Segment Map'!A:A,'Segment Map'!B:B,"Need Attention"),"Need Attention")</f>
        <v/>
      </c>
      <c r="K2311" s="122">
        <f>IF(E2311&gt;=5000,"🏆 Platinum",IF(E2311&gt;=2000,"🥇 Gold",IF(E2311&gt;=800,"🥈 Silver","🥉 Bronze")))</f>
        <v/>
      </c>
      <c r="L2311" s="125" t="n">
        <v>40858</v>
      </c>
    </row>
    <row r="2312">
      <c r="A2312" s="126" t="n">
        <v>15493</v>
      </c>
      <c r="B2312" s="126" t="inlineStr">
        <is>
          <t>United Kingdom</t>
        </is>
      </c>
      <c r="C2312" s="126" t="n">
        <v>33</v>
      </c>
      <c r="D2312" s="126" t="n">
        <v>5</v>
      </c>
      <c r="E2312" s="127" t="n">
        <v>2001.8</v>
      </c>
      <c r="F2312" s="128">
        <f>IF(C2312&lt;=30,5,IF(C2312&lt;=60,4,IF(C2312&lt;=120,3,IF(C2312&lt;=200,2,1))))</f>
        <v/>
      </c>
      <c r="G2312" s="128">
        <f>IF(D2312&gt;=20,5,IF(D2312&gt;=10,4,IF(D2312&gt;=5,3,IF(D2312&gt;=2,2,1))))</f>
        <v/>
      </c>
      <c r="H2312" s="128">
        <f>IF(E2312&gt;=5000,5,IF(E2312&gt;=2000,4,IF(E2312&gt;=800,3,IF(E2312&gt;=300,2,1))))</f>
        <v/>
      </c>
      <c r="I2312" s="126">
        <f>TEXT(F2312,"0")&amp;TEXT(G2312,"0")&amp;TEXT(H2312,"0")</f>
        <v/>
      </c>
      <c r="J2312" s="126">
        <f>IFERROR(XLOOKUP(I2312,'Segment Map'!A:A,'Segment Map'!B:B,"Need Attention"),"Need Attention")</f>
        <v/>
      </c>
      <c r="K2312" s="126">
        <f>IF(E2312&gt;=5000,"🏆 Platinum",IF(E2312&gt;=2000,"🥇 Gold",IF(E2312&gt;=800,"🥈 Silver","🥉 Bronze")))</f>
        <v/>
      </c>
      <c r="L2312" s="129" t="n">
        <v>40854</v>
      </c>
    </row>
    <row r="2313">
      <c r="A2313" s="122" t="n">
        <v>15494</v>
      </c>
      <c r="B2313" s="122" t="inlineStr">
        <is>
          <t>United Kingdom</t>
        </is>
      </c>
      <c r="C2313" s="122" t="n">
        <v>22</v>
      </c>
      <c r="D2313" s="122" t="n">
        <v>2</v>
      </c>
      <c r="E2313" s="123" t="n">
        <v>1299.23</v>
      </c>
      <c r="F2313" s="124">
        <f>IF(C2313&lt;=30,5,IF(C2313&lt;=60,4,IF(C2313&lt;=120,3,IF(C2313&lt;=200,2,1))))</f>
        <v/>
      </c>
      <c r="G2313" s="124">
        <f>IF(D2313&gt;=20,5,IF(D2313&gt;=10,4,IF(D2313&gt;=5,3,IF(D2313&gt;=2,2,1))))</f>
        <v/>
      </c>
      <c r="H2313" s="124">
        <f>IF(E2313&gt;=5000,5,IF(E2313&gt;=2000,4,IF(E2313&gt;=800,3,IF(E2313&gt;=300,2,1))))</f>
        <v/>
      </c>
      <c r="I2313" s="122">
        <f>TEXT(F2313,"0")&amp;TEXT(G2313,"0")&amp;TEXT(H2313,"0")</f>
        <v/>
      </c>
      <c r="J2313" s="122">
        <f>IFERROR(XLOOKUP(I2313,'Segment Map'!A:A,'Segment Map'!B:B,"Need Attention"),"Need Attention")</f>
        <v/>
      </c>
      <c r="K2313" s="122">
        <f>IF(E2313&gt;=5000,"🏆 Platinum",IF(E2313&gt;=2000,"🥇 Gold",IF(E2313&gt;=800,"🥈 Silver","🥉 Bronze")))</f>
        <v/>
      </c>
      <c r="L2313" s="125" t="n">
        <v>40865</v>
      </c>
    </row>
    <row r="2314">
      <c r="A2314" s="126" t="n">
        <v>15497</v>
      </c>
      <c r="B2314" s="126" t="inlineStr">
        <is>
          <t>United Kingdom</t>
        </is>
      </c>
      <c r="C2314" s="126" t="n">
        <v>18</v>
      </c>
      <c r="D2314" s="126" t="n">
        <v>2</v>
      </c>
      <c r="E2314" s="127" t="n">
        <v>1262.2</v>
      </c>
      <c r="F2314" s="128">
        <f>IF(C2314&lt;=30,5,IF(C2314&lt;=60,4,IF(C2314&lt;=120,3,IF(C2314&lt;=200,2,1))))</f>
        <v/>
      </c>
      <c r="G2314" s="128">
        <f>IF(D2314&gt;=20,5,IF(D2314&gt;=10,4,IF(D2314&gt;=5,3,IF(D2314&gt;=2,2,1))))</f>
        <v/>
      </c>
      <c r="H2314" s="128">
        <f>IF(E2314&gt;=5000,5,IF(E2314&gt;=2000,4,IF(E2314&gt;=800,3,IF(E2314&gt;=300,2,1))))</f>
        <v/>
      </c>
      <c r="I2314" s="126">
        <f>TEXT(F2314,"0")&amp;TEXT(G2314,"0")&amp;TEXT(H2314,"0")</f>
        <v/>
      </c>
      <c r="J2314" s="126">
        <f>IFERROR(XLOOKUP(I2314,'Segment Map'!A:A,'Segment Map'!B:B,"Need Attention"),"Need Attention")</f>
        <v/>
      </c>
      <c r="K2314" s="126">
        <f>IF(E2314&gt;=5000,"🏆 Platinum",IF(E2314&gt;=2000,"🥇 Gold",IF(E2314&gt;=800,"🥈 Silver","🥉 Bronze")))</f>
        <v/>
      </c>
      <c r="L2314" s="129" t="n">
        <v>40869</v>
      </c>
    </row>
    <row r="2315">
      <c r="A2315" s="122" t="n">
        <v>15498</v>
      </c>
      <c r="B2315" s="122" t="inlineStr">
        <is>
          <t>United Kingdom</t>
        </is>
      </c>
      <c r="C2315" s="122" t="n">
        <v>3</v>
      </c>
      <c r="D2315" s="122" t="n">
        <v>27</v>
      </c>
      <c r="E2315" s="123" t="n">
        <v>13316.4</v>
      </c>
      <c r="F2315" s="124">
        <f>IF(C2315&lt;=30,5,IF(C2315&lt;=60,4,IF(C2315&lt;=120,3,IF(C2315&lt;=200,2,1))))</f>
        <v/>
      </c>
      <c r="G2315" s="124">
        <f>IF(D2315&gt;=20,5,IF(D2315&gt;=10,4,IF(D2315&gt;=5,3,IF(D2315&gt;=2,2,1))))</f>
        <v/>
      </c>
      <c r="H2315" s="124">
        <f>IF(E2315&gt;=5000,5,IF(E2315&gt;=2000,4,IF(E2315&gt;=800,3,IF(E2315&gt;=300,2,1))))</f>
        <v/>
      </c>
      <c r="I2315" s="122">
        <f>TEXT(F2315,"0")&amp;TEXT(G2315,"0")&amp;TEXT(H2315,"0")</f>
        <v/>
      </c>
      <c r="J2315" s="122">
        <f>IFERROR(XLOOKUP(I2315,'Segment Map'!A:A,'Segment Map'!B:B,"Need Attention"),"Need Attention")</f>
        <v/>
      </c>
      <c r="K2315" s="122">
        <f>IF(E2315&gt;=5000,"🏆 Platinum",IF(E2315&gt;=2000,"🥇 Gold",IF(E2315&gt;=800,"🥈 Silver","🥉 Bronze")))</f>
        <v/>
      </c>
      <c r="L2315" s="125" t="n">
        <v>40884</v>
      </c>
    </row>
    <row r="2316">
      <c r="A2316" s="126" t="n">
        <v>15500</v>
      </c>
      <c r="B2316" s="126" t="inlineStr">
        <is>
          <t>United Kingdom</t>
        </is>
      </c>
      <c r="C2316" s="126" t="n">
        <v>9</v>
      </c>
      <c r="D2316" s="126" t="n">
        <v>4</v>
      </c>
      <c r="E2316" s="127" t="n">
        <v>1131.56</v>
      </c>
      <c r="F2316" s="128">
        <f>IF(C2316&lt;=30,5,IF(C2316&lt;=60,4,IF(C2316&lt;=120,3,IF(C2316&lt;=200,2,1))))</f>
        <v/>
      </c>
      <c r="G2316" s="128">
        <f>IF(D2316&gt;=20,5,IF(D2316&gt;=10,4,IF(D2316&gt;=5,3,IF(D2316&gt;=2,2,1))))</f>
        <v/>
      </c>
      <c r="H2316" s="128">
        <f>IF(E2316&gt;=5000,5,IF(E2316&gt;=2000,4,IF(E2316&gt;=800,3,IF(E2316&gt;=300,2,1))))</f>
        <v/>
      </c>
      <c r="I2316" s="126">
        <f>TEXT(F2316,"0")&amp;TEXT(G2316,"0")&amp;TEXT(H2316,"0")</f>
        <v/>
      </c>
      <c r="J2316" s="126">
        <f>IFERROR(XLOOKUP(I2316,'Segment Map'!A:A,'Segment Map'!B:B,"Need Attention"),"Need Attention")</f>
        <v/>
      </c>
      <c r="K2316" s="126">
        <f>IF(E2316&gt;=5000,"🏆 Platinum",IF(E2316&gt;=2000,"🥇 Gold",IF(E2316&gt;=800,"🥈 Silver","🥉 Bronze")))</f>
        <v/>
      </c>
      <c r="L2316" s="129" t="n">
        <v>40878</v>
      </c>
    </row>
    <row r="2317">
      <c r="A2317" s="122" t="n">
        <v>15502</v>
      </c>
      <c r="B2317" s="122" t="inlineStr">
        <is>
          <t>United Kingdom</t>
        </is>
      </c>
      <c r="C2317" s="122" t="n">
        <v>16</v>
      </c>
      <c r="D2317" s="122" t="n">
        <v>12</v>
      </c>
      <c r="E2317" s="123" t="n">
        <v>10384.93</v>
      </c>
      <c r="F2317" s="124">
        <f>IF(C2317&lt;=30,5,IF(C2317&lt;=60,4,IF(C2317&lt;=120,3,IF(C2317&lt;=200,2,1))))</f>
        <v/>
      </c>
      <c r="G2317" s="124">
        <f>IF(D2317&gt;=20,5,IF(D2317&gt;=10,4,IF(D2317&gt;=5,3,IF(D2317&gt;=2,2,1))))</f>
        <v/>
      </c>
      <c r="H2317" s="124">
        <f>IF(E2317&gt;=5000,5,IF(E2317&gt;=2000,4,IF(E2317&gt;=800,3,IF(E2317&gt;=300,2,1))))</f>
        <v/>
      </c>
      <c r="I2317" s="122">
        <f>TEXT(F2317,"0")&amp;TEXT(G2317,"0")&amp;TEXT(H2317,"0")</f>
        <v/>
      </c>
      <c r="J2317" s="122">
        <f>IFERROR(XLOOKUP(I2317,'Segment Map'!A:A,'Segment Map'!B:B,"Need Attention"),"Need Attention")</f>
        <v/>
      </c>
      <c r="K2317" s="122">
        <f>IF(E2317&gt;=5000,"🏆 Platinum",IF(E2317&gt;=2000,"🥇 Gold",IF(E2317&gt;=800,"🥈 Silver","🥉 Bronze")))</f>
        <v/>
      </c>
      <c r="L2317" s="125" t="n">
        <v>40871</v>
      </c>
    </row>
    <row r="2318">
      <c r="A2318" s="126" t="n">
        <v>15503</v>
      </c>
      <c r="B2318" s="126" t="inlineStr">
        <is>
          <t>United Kingdom</t>
        </is>
      </c>
      <c r="C2318" s="126" t="n">
        <v>363</v>
      </c>
      <c r="D2318" s="126" t="n">
        <v>1</v>
      </c>
      <c r="E2318" s="127" t="n">
        <v>147.09</v>
      </c>
      <c r="F2318" s="128">
        <f>IF(C2318&lt;=30,5,IF(C2318&lt;=60,4,IF(C2318&lt;=120,3,IF(C2318&lt;=200,2,1))))</f>
        <v/>
      </c>
      <c r="G2318" s="128">
        <f>IF(D2318&gt;=20,5,IF(D2318&gt;=10,4,IF(D2318&gt;=5,3,IF(D2318&gt;=2,2,1))))</f>
        <v/>
      </c>
      <c r="H2318" s="128">
        <f>IF(E2318&gt;=5000,5,IF(E2318&gt;=2000,4,IF(E2318&gt;=800,3,IF(E2318&gt;=300,2,1))))</f>
        <v/>
      </c>
      <c r="I2318" s="126">
        <f>TEXT(F2318,"0")&amp;TEXT(G2318,"0")&amp;TEXT(H2318,"0")</f>
        <v/>
      </c>
      <c r="J2318" s="126">
        <f>IFERROR(XLOOKUP(I2318,'Segment Map'!A:A,'Segment Map'!B:B,"Need Attention"),"Need Attention")</f>
        <v/>
      </c>
      <c r="K2318" s="126">
        <f>IF(E2318&gt;=5000,"🏆 Platinum",IF(E2318&gt;=2000,"🥇 Gold",IF(E2318&gt;=800,"🥈 Silver","🥉 Bronze")))</f>
        <v/>
      </c>
      <c r="L2318" s="129" t="n">
        <v>40524</v>
      </c>
    </row>
    <row r="2319">
      <c r="A2319" s="122" t="n">
        <v>15504</v>
      </c>
      <c r="B2319" s="122" t="inlineStr">
        <is>
          <t>United Kingdom</t>
        </is>
      </c>
      <c r="C2319" s="122" t="n">
        <v>82</v>
      </c>
      <c r="D2319" s="122" t="n">
        <v>1</v>
      </c>
      <c r="E2319" s="123" t="n">
        <v>52.83</v>
      </c>
      <c r="F2319" s="124">
        <f>IF(C2319&lt;=30,5,IF(C2319&lt;=60,4,IF(C2319&lt;=120,3,IF(C2319&lt;=200,2,1))))</f>
        <v/>
      </c>
      <c r="G2319" s="124">
        <f>IF(D2319&gt;=20,5,IF(D2319&gt;=10,4,IF(D2319&gt;=5,3,IF(D2319&gt;=2,2,1))))</f>
        <v/>
      </c>
      <c r="H2319" s="124">
        <f>IF(E2319&gt;=5000,5,IF(E2319&gt;=2000,4,IF(E2319&gt;=800,3,IF(E2319&gt;=300,2,1))))</f>
        <v/>
      </c>
      <c r="I2319" s="122">
        <f>TEXT(F2319,"0")&amp;TEXT(G2319,"0")&amp;TEXT(H2319,"0")</f>
        <v/>
      </c>
      <c r="J2319" s="122">
        <f>IFERROR(XLOOKUP(I2319,'Segment Map'!A:A,'Segment Map'!B:B,"Need Attention"),"Need Attention")</f>
        <v/>
      </c>
      <c r="K2319" s="122">
        <f>IF(E2319&gt;=5000,"🏆 Platinum",IF(E2319&gt;=2000,"🥇 Gold",IF(E2319&gt;=800,"🥈 Silver","🥉 Bronze")))</f>
        <v/>
      </c>
      <c r="L2319" s="125" t="n">
        <v>40805</v>
      </c>
    </row>
    <row r="2320">
      <c r="A2320" s="126" t="n">
        <v>15505</v>
      </c>
      <c r="B2320" s="126" t="inlineStr">
        <is>
          <t>United Kingdom</t>
        </is>
      </c>
      <c r="C2320" s="126" t="n">
        <v>53</v>
      </c>
      <c r="D2320" s="126" t="n">
        <v>5</v>
      </c>
      <c r="E2320" s="127" t="n">
        <v>3610.96</v>
      </c>
      <c r="F2320" s="128">
        <f>IF(C2320&lt;=30,5,IF(C2320&lt;=60,4,IF(C2320&lt;=120,3,IF(C2320&lt;=200,2,1))))</f>
        <v/>
      </c>
      <c r="G2320" s="128">
        <f>IF(D2320&gt;=20,5,IF(D2320&gt;=10,4,IF(D2320&gt;=5,3,IF(D2320&gt;=2,2,1))))</f>
        <v/>
      </c>
      <c r="H2320" s="128">
        <f>IF(E2320&gt;=5000,5,IF(E2320&gt;=2000,4,IF(E2320&gt;=800,3,IF(E2320&gt;=300,2,1))))</f>
        <v/>
      </c>
      <c r="I2320" s="126">
        <f>TEXT(F2320,"0")&amp;TEXT(G2320,"0")&amp;TEXT(H2320,"0")</f>
        <v/>
      </c>
      <c r="J2320" s="126">
        <f>IFERROR(XLOOKUP(I2320,'Segment Map'!A:A,'Segment Map'!B:B,"Need Attention"),"Need Attention")</f>
        <v/>
      </c>
      <c r="K2320" s="126">
        <f>IF(E2320&gt;=5000,"🏆 Platinum",IF(E2320&gt;=2000,"🥇 Gold",IF(E2320&gt;=800,"🥈 Silver","🥉 Bronze")))</f>
        <v/>
      </c>
      <c r="L2320" s="129" t="n">
        <v>40834</v>
      </c>
    </row>
    <row r="2321">
      <c r="A2321" s="122" t="n">
        <v>15506</v>
      </c>
      <c r="B2321" s="122" t="inlineStr">
        <is>
          <t>United Kingdom</t>
        </is>
      </c>
      <c r="C2321" s="122" t="n">
        <v>23</v>
      </c>
      <c r="D2321" s="122" t="n">
        <v>3</v>
      </c>
      <c r="E2321" s="123" t="n">
        <v>979.26</v>
      </c>
      <c r="F2321" s="124">
        <f>IF(C2321&lt;=30,5,IF(C2321&lt;=60,4,IF(C2321&lt;=120,3,IF(C2321&lt;=200,2,1))))</f>
        <v/>
      </c>
      <c r="G2321" s="124">
        <f>IF(D2321&gt;=20,5,IF(D2321&gt;=10,4,IF(D2321&gt;=5,3,IF(D2321&gt;=2,2,1))))</f>
        <v/>
      </c>
      <c r="H2321" s="124">
        <f>IF(E2321&gt;=5000,5,IF(E2321&gt;=2000,4,IF(E2321&gt;=800,3,IF(E2321&gt;=300,2,1))))</f>
        <v/>
      </c>
      <c r="I2321" s="122">
        <f>TEXT(F2321,"0")&amp;TEXT(G2321,"0")&amp;TEXT(H2321,"0")</f>
        <v/>
      </c>
      <c r="J2321" s="122">
        <f>IFERROR(XLOOKUP(I2321,'Segment Map'!A:A,'Segment Map'!B:B,"Need Attention"),"Need Attention")</f>
        <v/>
      </c>
      <c r="K2321" s="122">
        <f>IF(E2321&gt;=5000,"🏆 Platinum",IF(E2321&gt;=2000,"🥇 Gold",IF(E2321&gt;=800,"🥈 Silver","🥉 Bronze")))</f>
        <v/>
      </c>
      <c r="L2321" s="125" t="n">
        <v>40864</v>
      </c>
    </row>
    <row r="2322">
      <c r="A2322" s="126" t="n">
        <v>15507</v>
      </c>
      <c r="B2322" s="126" t="inlineStr">
        <is>
          <t>United Kingdom</t>
        </is>
      </c>
      <c r="C2322" s="126" t="n">
        <v>172</v>
      </c>
      <c r="D2322" s="126" t="n">
        <v>1</v>
      </c>
      <c r="E2322" s="127" t="n">
        <v>492.36</v>
      </c>
      <c r="F2322" s="128">
        <f>IF(C2322&lt;=30,5,IF(C2322&lt;=60,4,IF(C2322&lt;=120,3,IF(C2322&lt;=200,2,1))))</f>
        <v/>
      </c>
      <c r="G2322" s="128">
        <f>IF(D2322&gt;=20,5,IF(D2322&gt;=10,4,IF(D2322&gt;=5,3,IF(D2322&gt;=2,2,1))))</f>
        <v/>
      </c>
      <c r="H2322" s="128">
        <f>IF(E2322&gt;=5000,5,IF(E2322&gt;=2000,4,IF(E2322&gt;=800,3,IF(E2322&gt;=300,2,1))))</f>
        <v/>
      </c>
      <c r="I2322" s="126">
        <f>TEXT(F2322,"0")&amp;TEXT(G2322,"0")&amp;TEXT(H2322,"0")</f>
        <v/>
      </c>
      <c r="J2322" s="126">
        <f>IFERROR(XLOOKUP(I2322,'Segment Map'!A:A,'Segment Map'!B:B,"Need Attention"),"Need Attention")</f>
        <v/>
      </c>
      <c r="K2322" s="126">
        <f>IF(E2322&gt;=5000,"🏆 Platinum",IF(E2322&gt;=2000,"🥇 Gold",IF(E2322&gt;=800,"🥈 Silver","🥉 Bronze")))</f>
        <v/>
      </c>
      <c r="L2322" s="129" t="n">
        <v>40715</v>
      </c>
    </row>
    <row r="2323">
      <c r="A2323" s="122" t="n">
        <v>15508</v>
      </c>
      <c r="B2323" s="122" t="inlineStr">
        <is>
          <t>United Kingdom</t>
        </is>
      </c>
      <c r="C2323" s="122" t="n">
        <v>190</v>
      </c>
      <c r="D2323" s="122" t="n">
        <v>6</v>
      </c>
      <c r="E2323" s="123" t="n">
        <v>1000.27</v>
      </c>
      <c r="F2323" s="124">
        <f>IF(C2323&lt;=30,5,IF(C2323&lt;=60,4,IF(C2323&lt;=120,3,IF(C2323&lt;=200,2,1))))</f>
        <v/>
      </c>
      <c r="G2323" s="124">
        <f>IF(D2323&gt;=20,5,IF(D2323&gt;=10,4,IF(D2323&gt;=5,3,IF(D2323&gt;=2,2,1))))</f>
        <v/>
      </c>
      <c r="H2323" s="124">
        <f>IF(E2323&gt;=5000,5,IF(E2323&gt;=2000,4,IF(E2323&gt;=800,3,IF(E2323&gt;=300,2,1))))</f>
        <v/>
      </c>
      <c r="I2323" s="122">
        <f>TEXT(F2323,"0")&amp;TEXT(G2323,"0")&amp;TEXT(H2323,"0")</f>
        <v/>
      </c>
      <c r="J2323" s="122">
        <f>IFERROR(XLOOKUP(I2323,'Segment Map'!A:A,'Segment Map'!B:B,"Need Attention"),"Need Attention")</f>
        <v/>
      </c>
      <c r="K2323" s="122">
        <f>IF(E2323&gt;=5000,"🏆 Platinum",IF(E2323&gt;=2000,"🥇 Gold",IF(E2323&gt;=800,"🥈 Silver","🥉 Bronze")))</f>
        <v/>
      </c>
      <c r="L2323" s="125" t="n">
        <v>40697</v>
      </c>
    </row>
    <row r="2324">
      <c r="A2324" s="126" t="n">
        <v>15510</v>
      </c>
      <c r="B2324" s="126" t="inlineStr">
        <is>
          <t>United Kingdom</t>
        </is>
      </c>
      <c r="C2324" s="126" t="n">
        <v>331</v>
      </c>
      <c r="D2324" s="126" t="n">
        <v>1</v>
      </c>
      <c r="E2324" s="127" t="n">
        <v>250</v>
      </c>
      <c r="F2324" s="128">
        <f>IF(C2324&lt;=30,5,IF(C2324&lt;=60,4,IF(C2324&lt;=120,3,IF(C2324&lt;=200,2,1))))</f>
        <v/>
      </c>
      <c r="G2324" s="128">
        <f>IF(D2324&gt;=20,5,IF(D2324&gt;=10,4,IF(D2324&gt;=5,3,IF(D2324&gt;=2,2,1))))</f>
        <v/>
      </c>
      <c r="H2324" s="128">
        <f>IF(E2324&gt;=5000,5,IF(E2324&gt;=2000,4,IF(E2324&gt;=800,3,IF(E2324&gt;=300,2,1))))</f>
        <v/>
      </c>
      <c r="I2324" s="126">
        <f>TEXT(F2324,"0")&amp;TEXT(G2324,"0")&amp;TEXT(H2324,"0")</f>
        <v/>
      </c>
      <c r="J2324" s="126">
        <f>IFERROR(XLOOKUP(I2324,'Segment Map'!A:A,'Segment Map'!B:B,"Need Attention"),"Need Attention")</f>
        <v/>
      </c>
      <c r="K2324" s="126">
        <f>IF(E2324&gt;=5000,"🏆 Platinum",IF(E2324&gt;=2000,"🥇 Gold",IF(E2324&gt;=800,"🥈 Silver","🥉 Bronze")))</f>
        <v/>
      </c>
      <c r="L2324" s="129" t="n">
        <v>40556</v>
      </c>
    </row>
    <row r="2325">
      <c r="A2325" s="122" t="n">
        <v>15511</v>
      </c>
      <c r="B2325" s="122" t="inlineStr">
        <is>
          <t>United Kingdom</t>
        </is>
      </c>
      <c r="C2325" s="122" t="n">
        <v>12</v>
      </c>
      <c r="D2325" s="122" t="n">
        <v>5</v>
      </c>
      <c r="E2325" s="123" t="n">
        <v>909.23</v>
      </c>
      <c r="F2325" s="124">
        <f>IF(C2325&lt;=30,5,IF(C2325&lt;=60,4,IF(C2325&lt;=120,3,IF(C2325&lt;=200,2,1))))</f>
        <v/>
      </c>
      <c r="G2325" s="124">
        <f>IF(D2325&gt;=20,5,IF(D2325&gt;=10,4,IF(D2325&gt;=5,3,IF(D2325&gt;=2,2,1))))</f>
        <v/>
      </c>
      <c r="H2325" s="124">
        <f>IF(E2325&gt;=5000,5,IF(E2325&gt;=2000,4,IF(E2325&gt;=800,3,IF(E2325&gt;=300,2,1))))</f>
        <v/>
      </c>
      <c r="I2325" s="122">
        <f>TEXT(F2325,"0")&amp;TEXT(G2325,"0")&amp;TEXT(H2325,"0")</f>
        <v/>
      </c>
      <c r="J2325" s="122">
        <f>IFERROR(XLOOKUP(I2325,'Segment Map'!A:A,'Segment Map'!B:B,"Need Attention"),"Need Attention")</f>
        <v/>
      </c>
      <c r="K2325" s="122">
        <f>IF(E2325&gt;=5000,"🏆 Platinum",IF(E2325&gt;=2000,"🥇 Gold",IF(E2325&gt;=800,"🥈 Silver","🥉 Bronze")))</f>
        <v/>
      </c>
      <c r="L2325" s="125" t="n">
        <v>40875</v>
      </c>
    </row>
    <row r="2326">
      <c r="A2326" s="126" t="n">
        <v>15512</v>
      </c>
      <c r="B2326" s="126" t="inlineStr">
        <is>
          <t>United Kingdom</t>
        </is>
      </c>
      <c r="C2326" s="126" t="n">
        <v>156</v>
      </c>
      <c r="D2326" s="126" t="n">
        <v>2</v>
      </c>
      <c r="E2326" s="127" t="n">
        <v>121</v>
      </c>
      <c r="F2326" s="128">
        <f>IF(C2326&lt;=30,5,IF(C2326&lt;=60,4,IF(C2326&lt;=120,3,IF(C2326&lt;=200,2,1))))</f>
        <v/>
      </c>
      <c r="G2326" s="128">
        <f>IF(D2326&gt;=20,5,IF(D2326&gt;=10,4,IF(D2326&gt;=5,3,IF(D2326&gt;=2,2,1))))</f>
        <v/>
      </c>
      <c r="H2326" s="128">
        <f>IF(E2326&gt;=5000,5,IF(E2326&gt;=2000,4,IF(E2326&gt;=800,3,IF(E2326&gt;=300,2,1))))</f>
        <v/>
      </c>
      <c r="I2326" s="126">
        <f>TEXT(F2326,"0")&amp;TEXT(G2326,"0")&amp;TEXT(H2326,"0")</f>
        <v/>
      </c>
      <c r="J2326" s="126">
        <f>IFERROR(XLOOKUP(I2326,'Segment Map'!A:A,'Segment Map'!B:B,"Need Attention"),"Need Attention")</f>
        <v/>
      </c>
      <c r="K2326" s="126">
        <f>IF(E2326&gt;=5000,"🏆 Platinum",IF(E2326&gt;=2000,"🥇 Gold",IF(E2326&gt;=800,"🥈 Silver","🥉 Bronze")))</f>
        <v/>
      </c>
      <c r="L2326" s="129" t="n">
        <v>40731</v>
      </c>
    </row>
    <row r="2327">
      <c r="A2327" s="122" t="n">
        <v>15513</v>
      </c>
      <c r="B2327" s="122" t="inlineStr">
        <is>
          <t>United Kingdom</t>
        </is>
      </c>
      <c r="C2327" s="122" t="n">
        <v>34</v>
      </c>
      <c r="D2327" s="122" t="n">
        <v>19</v>
      </c>
      <c r="E2327" s="123" t="n">
        <v>14758.22</v>
      </c>
      <c r="F2327" s="124">
        <f>IF(C2327&lt;=30,5,IF(C2327&lt;=60,4,IF(C2327&lt;=120,3,IF(C2327&lt;=200,2,1))))</f>
        <v/>
      </c>
      <c r="G2327" s="124">
        <f>IF(D2327&gt;=20,5,IF(D2327&gt;=10,4,IF(D2327&gt;=5,3,IF(D2327&gt;=2,2,1))))</f>
        <v/>
      </c>
      <c r="H2327" s="124">
        <f>IF(E2327&gt;=5000,5,IF(E2327&gt;=2000,4,IF(E2327&gt;=800,3,IF(E2327&gt;=300,2,1))))</f>
        <v/>
      </c>
      <c r="I2327" s="122">
        <f>TEXT(F2327,"0")&amp;TEXT(G2327,"0")&amp;TEXT(H2327,"0")</f>
        <v/>
      </c>
      <c r="J2327" s="122">
        <f>IFERROR(XLOOKUP(I2327,'Segment Map'!A:A,'Segment Map'!B:B,"Need Attention"),"Need Attention")</f>
        <v/>
      </c>
      <c r="K2327" s="122">
        <f>IF(E2327&gt;=5000,"🏆 Platinum",IF(E2327&gt;=2000,"🥇 Gold",IF(E2327&gt;=800,"🥈 Silver","🥉 Bronze")))</f>
        <v/>
      </c>
      <c r="L2327" s="125" t="n">
        <v>40853</v>
      </c>
    </row>
    <row r="2328">
      <c r="A2328" s="126" t="n">
        <v>15514</v>
      </c>
      <c r="B2328" s="126" t="inlineStr">
        <is>
          <t>United Kingdom</t>
        </is>
      </c>
      <c r="C2328" s="126" t="n">
        <v>13</v>
      </c>
      <c r="D2328" s="126" t="n">
        <v>11</v>
      </c>
      <c r="E2328" s="127" t="n">
        <v>4139.46</v>
      </c>
      <c r="F2328" s="128">
        <f>IF(C2328&lt;=30,5,IF(C2328&lt;=60,4,IF(C2328&lt;=120,3,IF(C2328&lt;=200,2,1))))</f>
        <v/>
      </c>
      <c r="G2328" s="128">
        <f>IF(D2328&gt;=20,5,IF(D2328&gt;=10,4,IF(D2328&gt;=5,3,IF(D2328&gt;=2,2,1))))</f>
        <v/>
      </c>
      <c r="H2328" s="128">
        <f>IF(E2328&gt;=5000,5,IF(E2328&gt;=2000,4,IF(E2328&gt;=800,3,IF(E2328&gt;=300,2,1))))</f>
        <v/>
      </c>
      <c r="I2328" s="126">
        <f>TEXT(F2328,"0")&amp;TEXT(G2328,"0")&amp;TEXT(H2328,"0")</f>
        <v/>
      </c>
      <c r="J2328" s="126">
        <f>IFERROR(XLOOKUP(I2328,'Segment Map'!A:A,'Segment Map'!B:B,"Need Attention"),"Need Attention")</f>
        <v/>
      </c>
      <c r="K2328" s="126">
        <f>IF(E2328&gt;=5000,"🏆 Platinum",IF(E2328&gt;=2000,"🥇 Gold",IF(E2328&gt;=800,"🥈 Silver","🥉 Bronze")))</f>
        <v/>
      </c>
      <c r="L2328" s="129" t="n">
        <v>40874</v>
      </c>
    </row>
    <row r="2329">
      <c r="A2329" s="122" t="n">
        <v>15516</v>
      </c>
      <c r="B2329" s="122" t="inlineStr">
        <is>
          <t>United Kingdom</t>
        </is>
      </c>
      <c r="C2329" s="122" t="n">
        <v>45</v>
      </c>
      <c r="D2329" s="122" t="n">
        <v>3</v>
      </c>
      <c r="E2329" s="123" t="n">
        <v>62.43</v>
      </c>
      <c r="F2329" s="124">
        <f>IF(C2329&lt;=30,5,IF(C2329&lt;=60,4,IF(C2329&lt;=120,3,IF(C2329&lt;=200,2,1))))</f>
        <v/>
      </c>
      <c r="G2329" s="124">
        <f>IF(D2329&gt;=20,5,IF(D2329&gt;=10,4,IF(D2329&gt;=5,3,IF(D2329&gt;=2,2,1))))</f>
        <v/>
      </c>
      <c r="H2329" s="124">
        <f>IF(E2329&gt;=5000,5,IF(E2329&gt;=2000,4,IF(E2329&gt;=800,3,IF(E2329&gt;=300,2,1))))</f>
        <v/>
      </c>
      <c r="I2329" s="122">
        <f>TEXT(F2329,"0")&amp;TEXT(G2329,"0")&amp;TEXT(H2329,"0")</f>
        <v/>
      </c>
      <c r="J2329" s="122">
        <f>IFERROR(XLOOKUP(I2329,'Segment Map'!A:A,'Segment Map'!B:B,"Need Attention"),"Need Attention")</f>
        <v/>
      </c>
      <c r="K2329" s="122">
        <f>IF(E2329&gt;=5000,"🏆 Platinum",IF(E2329&gt;=2000,"🥇 Gold",IF(E2329&gt;=800,"🥈 Silver","🥉 Bronze")))</f>
        <v/>
      </c>
      <c r="L2329" s="125" t="n">
        <v>40842</v>
      </c>
    </row>
    <row r="2330">
      <c r="A2330" s="126" t="n">
        <v>15517</v>
      </c>
      <c r="B2330" s="126" t="inlineStr">
        <is>
          <t>United Kingdom</t>
        </is>
      </c>
      <c r="C2330" s="126" t="n">
        <v>234</v>
      </c>
      <c r="D2330" s="126" t="n">
        <v>1</v>
      </c>
      <c r="E2330" s="127" t="n">
        <v>267.03</v>
      </c>
      <c r="F2330" s="128">
        <f>IF(C2330&lt;=30,5,IF(C2330&lt;=60,4,IF(C2330&lt;=120,3,IF(C2330&lt;=200,2,1))))</f>
        <v/>
      </c>
      <c r="G2330" s="128">
        <f>IF(D2330&gt;=20,5,IF(D2330&gt;=10,4,IF(D2330&gt;=5,3,IF(D2330&gt;=2,2,1))))</f>
        <v/>
      </c>
      <c r="H2330" s="128">
        <f>IF(E2330&gt;=5000,5,IF(E2330&gt;=2000,4,IF(E2330&gt;=800,3,IF(E2330&gt;=300,2,1))))</f>
        <v/>
      </c>
      <c r="I2330" s="126">
        <f>TEXT(F2330,"0")&amp;TEXT(G2330,"0")&amp;TEXT(H2330,"0")</f>
        <v/>
      </c>
      <c r="J2330" s="126">
        <f>IFERROR(XLOOKUP(I2330,'Segment Map'!A:A,'Segment Map'!B:B,"Need Attention"),"Need Attention")</f>
        <v/>
      </c>
      <c r="K2330" s="126">
        <f>IF(E2330&gt;=5000,"🏆 Platinum",IF(E2330&gt;=2000,"🥇 Gold",IF(E2330&gt;=800,"🥈 Silver","🥉 Bronze")))</f>
        <v/>
      </c>
      <c r="L2330" s="129" t="n">
        <v>40653</v>
      </c>
    </row>
    <row r="2331">
      <c r="A2331" s="122" t="n">
        <v>15518</v>
      </c>
      <c r="B2331" s="122" t="inlineStr">
        <is>
          <t>United Kingdom</t>
        </is>
      </c>
      <c r="C2331" s="122" t="n">
        <v>65</v>
      </c>
      <c r="D2331" s="122" t="n">
        <v>8</v>
      </c>
      <c r="E2331" s="123" t="n">
        <v>1942.45</v>
      </c>
      <c r="F2331" s="124">
        <f>IF(C2331&lt;=30,5,IF(C2331&lt;=60,4,IF(C2331&lt;=120,3,IF(C2331&lt;=200,2,1))))</f>
        <v/>
      </c>
      <c r="G2331" s="124">
        <f>IF(D2331&gt;=20,5,IF(D2331&gt;=10,4,IF(D2331&gt;=5,3,IF(D2331&gt;=2,2,1))))</f>
        <v/>
      </c>
      <c r="H2331" s="124">
        <f>IF(E2331&gt;=5000,5,IF(E2331&gt;=2000,4,IF(E2331&gt;=800,3,IF(E2331&gt;=300,2,1))))</f>
        <v/>
      </c>
      <c r="I2331" s="122">
        <f>TEXT(F2331,"0")&amp;TEXT(G2331,"0")&amp;TEXT(H2331,"0")</f>
        <v/>
      </c>
      <c r="J2331" s="122">
        <f>IFERROR(XLOOKUP(I2331,'Segment Map'!A:A,'Segment Map'!B:B,"Need Attention"),"Need Attention")</f>
        <v/>
      </c>
      <c r="K2331" s="122">
        <f>IF(E2331&gt;=5000,"🏆 Platinum",IF(E2331&gt;=2000,"🥇 Gold",IF(E2331&gt;=800,"🥈 Silver","🥉 Bronze")))</f>
        <v/>
      </c>
      <c r="L2331" s="125" t="n">
        <v>40822</v>
      </c>
    </row>
    <row r="2332">
      <c r="A2332" s="126" t="n">
        <v>15520</v>
      </c>
      <c r="B2332" s="126" t="inlineStr">
        <is>
          <t>United Kingdom</t>
        </is>
      </c>
      <c r="C2332" s="126" t="n">
        <v>2</v>
      </c>
      <c r="D2332" s="126" t="n">
        <v>1</v>
      </c>
      <c r="E2332" s="127" t="n">
        <v>343.5</v>
      </c>
      <c r="F2332" s="128">
        <f>IF(C2332&lt;=30,5,IF(C2332&lt;=60,4,IF(C2332&lt;=120,3,IF(C2332&lt;=200,2,1))))</f>
        <v/>
      </c>
      <c r="G2332" s="128">
        <f>IF(D2332&gt;=20,5,IF(D2332&gt;=10,4,IF(D2332&gt;=5,3,IF(D2332&gt;=2,2,1))))</f>
        <v/>
      </c>
      <c r="H2332" s="128">
        <f>IF(E2332&gt;=5000,5,IF(E2332&gt;=2000,4,IF(E2332&gt;=800,3,IF(E2332&gt;=300,2,1))))</f>
        <v/>
      </c>
      <c r="I2332" s="126">
        <f>TEXT(F2332,"0")&amp;TEXT(G2332,"0")&amp;TEXT(H2332,"0")</f>
        <v/>
      </c>
      <c r="J2332" s="126">
        <f>IFERROR(XLOOKUP(I2332,'Segment Map'!A:A,'Segment Map'!B:B,"Need Attention"),"Need Attention")</f>
        <v/>
      </c>
      <c r="K2332" s="126">
        <f>IF(E2332&gt;=5000,"🏆 Platinum",IF(E2332&gt;=2000,"🥇 Gold",IF(E2332&gt;=800,"🥈 Silver","🥉 Bronze")))</f>
        <v/>
      </c>
      <c r="L2332" s="129" t="n">
        <v>40885</v>
      </c>
    </row>
    <row r="2333">
      <c r="A2333" s="122" t="n">
        <v>15521</v>
      </c>
      <c r="B2333" s="122" t="inlineStr">
        <is>
          <t>United Kingdom</t>
        </is>
      </c>
      <c r="C2333" s="122" t="n">
        <v>41</v>
      </c>
      <c r="D2333" s="122" t="n">
        <v>8</v>
      </c>
      <c r="E2333" s="123" t="n">
        <v>3000.2</v>
      </c>
      <c r="F2333" s="124">
        <f>IF(C2333&lt;=30,5,IF(C2333&lt;=60,4,IF(C2333&lt;=120,3,IF(C2333&lt;=200,2,1))))</f>
        <v/>
      </c>
      <c r="G2333" s="124">
        <f>IF(D2333&gt;=20,5,IF(D2333&gt;=10,4,IF(D2333&gt;=5,3,IF(D2333&gt;=2,2,1))))</f>
        <v/>
      </c>
      <c r="H2333" s="124">
        <f>IF(E2333&gt;=5000,5,IF(E2333&gt;=2000,4,IF(E2333&gt;=800,3,IF(E2333&gt;=300,2,1))))</f>
        <v/>
      </c>
      <c r="I2333" s="122">
        <f>TEXT(F2333,"0")&amp;TEXT(G2333,"0")&amp;TEXT(H2333,"0")</f>
        <v/>
      </c>
      <c r="J2333" s="122">
        <f>IFERROR(XLOOKUP(I2333,'Segment Map'!A:A,'Segment Map'!B:B,"Need Attention"),"Need Attention")</f>
        <v/>
      </c>
      <c r="K2333" s="122">
        <f>IF(E2333&gt;=5000,"🏆 Platinum",IF(E2333&gt;=2000,"🥇 Gold",IF(E2333&gt;=800,"🥈 Silver","🥉 Bronze")))</f>
        <v/>
      </c>
      <c r="L2333" s="125" t="n">
        <v>40846</v>
      </c>
    </row>
    <row r="2334">
      <c r="A2334" s="126" t="n">
        <v>15522</v>
      </c>
      <c r="B2334" s="126" t="inlineStr">
        <is>
          <t>United Kingdom</t>
        </is>
      </c>
      <c r="C2334" s="126" t="n">
        <v>33</v>
      </c>
      <c r="D2334" s="126" t="n">
        <v>2</v>
      </c>
      <c r="E2334" s="127" t="n">
        <v>398.84</v>
      </c>
      <c r="F2334" s="128">
        <f>IF(C2334&lt;=30,5,IF(C2334&lt;=60,4,IF(C2334&lt;=120,3,IF(C2334&lt;=200,2,1))))</f>
        <v/>
      </c>
      <c r="G2334" s="128">
        <f>IF(D2334&gt;=20,5,IF(D2334&gt;=10,4,IF(D2334&gt;=5,3,IF(D2334&gt;=2,2,1))))</f>
        <v/>
      </c>
      <c r="H2334" s="128">
        <f>IF(E2334&gt;=5000,5,IF(E2334&gt;=2000,4,IF(E2334&gt;=800,3,IF(E2334&gt;=300,2,1))))</f>
        <v/>
      </c>
      <c r="I2334" s="126">
        <f>TEXT(F2334,"0")&amp;TEXT(G2334,"0")&amp;TEXT(H2334,"0")</f>
        <v/>
      </c>
      <c r="J2334" s="126">
        <f>IFERROR(XLOOKUP(I2334,'Segment Map'!A:A,'Segment Map'!B:B,"Need Attention"),"Need Attention")</f>
        <v/>
      </c>
      <c r="K2334" s="126">
        <f>IF(E2334&gt;=5000,"🏆 Platinum",IF(E2334&gt;=2000,"🥇 Gold",IF(E2334&gt;=800,"🥈 Silver","🥉 Bronze")))</f>
        <v/>
      </c>
      <c r="L2334" s="129" t="n">
        <v>40854</v>
      </c>
    </row>
    <row r="2335">
      <c r="A2335" s="122" t="n">
        <v>15523</v>
      </c>
      <c r="B2335" s="122" t="inlineStr">
        <is>
          <t>United Kingdom</t>
        </is>
      </c>
      <c r="C2335" s="122" t="n">
        <v>85</v>
      </c>
      <c r="D2335" s="122" t="n">
        <v>1</v>
      </c>
      <c r="E2335" s="123" t="n">
        <v>412.01</v>
      </c>
      <c r="F2335" s="124">
        <f>IF(C2335&lt;=30,5,IF(C2335&lt;=60,4,IF(C2335&lt;=120,3,IF(C2335&lt;=200,2,1))))</f>
        <v/>
      </c>
      <c r="G2335" s="124">
        <f>IF(D2335&gt;=20,5,IF(D2335&gt;=10,4,IF(D2335&gt;=5,3,IF(D2335&gt;=2,2,1))))</f>
        <v/>
      </c>
      <c r="H2335" s="124">
        <f>IF(E2335&gt;=5000,5,IF(E2335&gt;=2000,4,IF(E2335&gt;=800,3,IF(E2335&gt;=300,2,1))))</f>
        <v/>
      </c>
      <c r="I2335" s="122">
        <f>TEXT(F2335,"0")&amp;TEXT(G2335,"0")&amp;TEXT(H2335,"0")</f>
        <v/>
      </c>
      <c r="J2335" s="122">
        <f>IFERROR(XLOOKUP(I2335,'Segment Map'!A:A,'Segment Map'!B:B,"Need Attention"),"Need Attention")</f>
        <v/>
      </c>
      <c r="K2335" s="122">
        <f>IF(E2335&gt;=5000,"🏆 Platinum",IF(E2335&gt;=2000,"🥇 Gold",IF(E2335&gt;=800,"🥈 Silver","🥉 Bronze")))</f>
        <v/>
      </c>
      <c r="L2335" s="125" t="n">
        <v>40802</v>
      </c>
    </row>
    <row r="2336">
      <c r="A2336" s="126" t="n">
        <v>15524</v>
      </c>
      <c r="B2336" s="126" t="inlineStr">
        <is>
          <t>United Kingdom</t>
        </is>
      </c>
      <c r="C2336" s="126" t="n">
        <v>25</v>
      </c>
      <c r="D2336" s="126" t="n">
        <v>1</v>
      </c>
      <c r="E2336" s="127" t="n">
        <v>440</v>
      </c>
      <c r="F2336" s="128">
        <f>IF(C2336&lt;=30,5,IF(C2336&lt;=60,4,IF(C2336&lt;=120,3,IF(C2336&lt;=200,2,1))))</f>
        <v/>
      </c>
      <c r="G2336" s="128">
        <f>IF(D2336&gt;=20,5,IF(D2336&gt;=10,4,IF(D2336&gt;=5,3,IF(D2336&gt;=2,2,1))))</f>
        <v/>
      </c>
      <c r="H2336" s="128">
        <f>IF(E2336&gt;=5000,5,IF(E2336&gt;=2000,4,IF(E2336&gt;=800,3,IF(E2336&gt;=300,2,1))))</f>
        <v/>
      </c>
      <c r="I2336" s="126">
        <f>TEXT(F2336,"0")&amp;TEXT(G2336,"0")&amp;TEXT(H2336,"0")</f>
        <v/>
      </c>
      <c r="J2336" s="126">
        <f>IFERROR(XLOOKUP(I2336,'Segment Map'!A:A,'Segment Map'!B:B,"Need Attention"),"Need Attention")</f>
        <v/>
      </c>
      <c r="K2336" s="126">
        <f>IF(E2336&gt;=5000,"🏆 Platinum",IF(E2336&gt;=2000,"🥇 Gold",IF(E2336&gt;=800,"🥈 Silver","🥉 Bronze")))</f>
        <v/>
      </c>
      <c r="L2336" s="129" t="n">
        <v>40862</v>
      </c>
    </row>
    <row r="2337">
      <c r="A2337" s="122" t="n">
        <v>15525</v>
      </c>
      <c r="B2337" s="122" t="inlineStr">
        <is>
          <t>United Kingdom</t>
        </is>
      </c>
      <c r="C2337" s="122" t="n">
        <v>3</v>
      </c>
      <c r="D2337" s="122" t="n">
        <v>3</v>
      </c>
      <c r="E2337" s="123" t="n">
        <v>825.92</v>
      </c>
      <c r="F2337" s="124">
        <f>IF(C2337&lt;=30,5,IF(C2337&lt;=60,4,IF(C2337&lt;=120,3,IF(C2337&lt;=200,2,1))))</f>
        <v/>
      </c>
      <c r="G2337" s="124">
        <f>IF(D2337&gt;=20,5,IF(D2337&gt;=10,4,IF(D2337&gt;=5,3,IF(D2337&gt;=2,2,1))))</f>
        <v/>
      </c>
      <c r="H2337" s="124">
        <f>IF(E2337&gt;=5000,5,IF(E2337&gt;=2000,4,IF(E2337&gt;=800,3,IF(E2337&gt;=300,2,1))))</f>
        <v/>
      </c>
      <c r="I2337" s="122">
        <f>TEXT(F2337,"0")&amp;TEXT(G2337,"0")&amp;TEXT(H2337,"0")</f>
        <v/>
      </c>
      <c r="J2337" s="122">
        <f>IFERROR(XLOOKUP(I2337,'Segment Map'!A:A,'Segment Map'!B:B,"Need Attention"),"Need Attention")</f>
        <v/>
      </c>
      <c r="K2337" s="122">
        <f>IF(E2337&gt;=5000,"🏆 Platinum",IF(E2337&gt;=2000,"🥇 Gold",IF(E2337&gt;=800,"🥈 Silver","🥉 Bronze")))</f>
        <v/>
      </c>
      <c r="L2337" s="125" t="n">
        <v>40884</v>
      </c>
    </row>
    <row r="2338">
      <c r="A2338" s="126" t="n">
        <v>15526</v>
      </c>
      <c r="B2338" s="126" t="inlineStr">
        <is>
          <t>United Kingdom</t>
        </is>
      </c>
      <c r="C2338" s="126" t="n">
        <v>34</v>
      </c>
      <c r="D2338" s="126" t="n">
        <v>2</v>
      </c>
      <c r="E2338" s="127" t="n">
        <v>148.44</v>
      </c>
      <c r="F2338" s="128">
        <f>IF(C2338&lt;=30,5,IF(C2338&lt;=60,4,IF(C2338&lt;=120,3,IF(C2338&lt;=200,2,1))))</f>
        <v/>
      </c>
      <c r="G2338" s="128">
        <f>IF(D2338&gt;=20,5,IF(D2338&gt;=10,4,IF(D2338&gt;=5,3,IF(D2338&gt;=2,2,1))))</f>
        <v/>
      </c>
      <c r="H2338" s="128">
        <f>IF(E2338&gt;=5000,5,IF(E2338&gt;=2000,4,IF(E2338&gt;=800,3,IF(E2338&gt;=300,2,1))))</f>
        <v/>
      </c>
      <c r="I2338" s="126">
        <f>TEXT(F2338,"0")&amp;TEXT(G2338,"0")&amp;TEXT(H2338,"0")</f>
        <v/>
      </c>
      <c r="J2338" s="126">
        <f>IFERROR(XLOOKUP(I2338,'Segment Map'!A:A,'Segment Map'!B:B,"Need Attention"),"Need Attention")</f>
        <v/>
      </c>
      <c r="K2338" s="126">
        <f>IF(E2338&gt;=5000,"🏆 Platinum",IF(E2338&gt;=2000,"🥇 Gold",IF(E2338&gt;=800,"🥈 Silver","🥉 Bronze")))</f>
        <v/>
      </c>
      <c r="L2338" s="129" t="n">
        <v>40853</v>
      </c>
    </row>
    <row r="2339">
      <c r="A2339" s="122" t="n">
        <v>15527</v>
      </c>
      <c r="B2339" s="122" t="inlineStr">
        <is>
          <t>United Kingdom</t>
        </is>
      </c>
      <c r="C2339" s="122" t="n">
        <v>19</v>
      </c>
      <c r="D2339" s="122" t="n">
        <v>8</v>
      </c>
      <c r="E2339" s="123" t="n">
        <v>2429.78</v>
      </c>
      <c r="F2339" s="124">
        <f>IF(C2339&lt;=30,5,IF(C2339&lt;=60,4,IF(C2339&lt;=120,3,IF(C2339&lt;=200,2,1))))</f>
        <v/>
      </c>
      <c r="G2339" s="124">
        <f>IF(D2339&gt;=20,5,IF(D2339&gt;=10,4,IF(D2339&gt;=5,3,IF(D2339&gt;=2,2,1))))</f>
        <v/>
      </c>
      <c r="H2339" s="124">
        <f>IF(E2339&gt;=5000,5,IF(E2339&gt;=2000,4,IF(E2339&gt;=800,3,IF(E2339&gt;=300,2,1))))</f>
        <v/>
      </c>
      <c r="I2339" s="122">
        <f>TEXT(F2339,"0")&amp;TEXT(G2339,"0")&amp;TEXT(H2339,"0")</f>
        <v/>
      </c>
      <c r="J2339" s="122">
        <f>IFERROR(XLOOKUP(I2339,'Segment Map'!A:A,'Segment Map'!B:B,"Need Attention"),"Need Attention")</f>
        <v/>
      </c>
      <c r="K2339" s="122">
        <f>IF(E2339&gt;=5000,"🏆 Platinum",IF(E2339&gt;=2000,"🥇 Gold",IF(E2339&gt;=800,"🥈 Silver","🥉 Bronze")))</f>
        <v/>
      </c>
      <c r="L2339" s="125" t="n">
        <v>40868</v>
      </c>
    </row>
    <row r="2340">
      <c r="A2340" s="126" t="n">
        <v>15528</v>
      </c>
      <c r="B2340" s="126" t="inlineStr">
        <is>
          <t>United Kingdom</t>
        </is>
      </c>
      <c r="C2340" s="126" t="n">
        <v>255</v>
      </c>
      <c r="D2340" s="126" t="n">
        <v>1</v>
      </c>
      <c r="E2340" s="127" t="n">
        <v>229.33</v>
      </c>
      <c r="F2340" s="128">
        <f>IF(C2340&lt;=30,5,IF(C2340&lt;=60,4,IF(C2340&lt;=120,3,IF(C2340&lt;=200,2,1))))</f>
        <v/>
      </c>
      <c r="G2340" s="128">
        <f>IF(D2340&gt;=20,5,IF(D2340&gt;=10,4,IF(D2340&gt;=5,3,IF(D2340&gt;=2,2,1))))</f>
        <v/>
      </c>
      <c r="H2340" s="128">
        <f>IF(E2340&gt;=5000,5,IF(E2340&gt;=2000,4,IF(E2340&gt;=800,3,IF(E2340&gt;=300,2,1))))</f>
        <v/>
      </c>
      <c r="I2340" s="126">
        <f>TEXT(F2340,"0")&amp;TEXT(G2340,"0")&amp;TEXT(H2340,"0")</f>
        <v/>
      </c>
      <c r="J2340" s="126">
        <f>IFERROR(XLOOKUP(I2340,'Segment Map'!A:A,'Segment Map'!B:B,"Need Attention"),"Need Attention")</f>
        <v/>
      </c>
      <c r="K2340" s="126">
        <f>IF(E2340&gt;=5000,"🏆 Platinum",IF(E2340&gt;=2000,"🥇 Gold",IF(E2340&gt;=800,"🥈 Silver","🥉 Bronze")))</f>
        <v/>
      </c>
      <c r="L2340" s="129" t="n">
        <v>40632</v>
      </c>
    </row>
    <row r="2341">
      <c r="A2341" s="122" t="n">
        <v>15529</v>
      </c>
      <c r="B2341" s="122" t="inlineStr">
        <is>
          <t>United Kingdom</t>
        </is>
      </c>
      <c r="C2341" s="122" t="n">
        <v>23</v>
      </c>
      <c r="D2341" s="122" t="n">
        <v>11</v>
      </c>
      <c r="E2341" s="123" t="n">
        <v>3995.23</v>
      </c>
      <c r="F2341" s="124">
        <f>IF(C2341&lt;=30,5,IF(C2341&lt;=60,4,IF(C2341&lt;=120,3,IF(C2341&lt;=200,2,1))))</f>
        <v/>
      </c>
      <c r="G2341" s="124">
        <f>IF(D2341&gt;=20,5,IF(D2341&gt;=10,4,IF(D2341&gt;=5,3,IF(D2341&gt;=2,2,1))))</f>
        <v/>
      </c>
      <c r="H2341" s="124">
        <f>IF(E2341&gt;=5000,5,IF(E2341&gt;=2000,4,IF(E2341&gt;=800,3,IF(E2341&gt;=300,2,1))))</f>
        <v/>
      </c>
      <c r="I2341" s="122">
        <f>TEXT(F2341,"0")&amp;TEXT(G2341,"0")&amp;TEXT(H2341,"0")</f>
        <v/>
      </c>
      <c r="J2341" s="122">
        <f>IFERROR(XLOOKUP(I2341,'Segment Map'!A:A,'Segment Map'!B:B,"Need Attention"),"Need Attention")</f>
        <v/>
      </c>
      <c r="K2341" s="122">
        <f>IF(E2341&gt;=5000,"🏆 Platinum",IF(E2341&gt;=2000,"🥇 Gold",IF(E2341&gt;=800,"🥈 Silver","🥉 Bronze")))</f>
        <v/>
      </c>
      <c r="L2341" s="125" t="n">
        <v>40864</v>
      </c>
    </row>
    <row r="2342">
      <c r="A2342" s="126" t="n">
        <v>15530</v>
      </c>
      <c r="B2342" s="126" t="inlineStr">
        <is>
          <t>United Kingdom</t>
        </is>
      </c>
      <c r="C2342" s="126" t="n">
        <v>22</v>
      </c>
      <c r="D2342" s="126" t="n">
        <v>4</v>
      </c>
      <c r="E2342" s="127" t="n">
        <v>1502.35</v>
      </c>
      <c r="F2342" s="128">
        <f>IF(C2342&lt;=30,5,IF(C2342&lt;=60,4,IF(C2342&lt;=120,3,IF(C2342&lt;=200,2,1))))</f>
        <v/>
      </c>
      <c r="G2342" s="128">
        <f>IF(D2342&gt;=20,5,IF(D2342&gt;=10,4,IF(D2342&gt;=5,3,IF(D2342&gt;=2,2,1))))</f>
        <v/>
      </c>
      <c r="H2342" s="128">
        <f>IF(E2342&gt;=5000,5,IF(E2342&gt;=2000,4,IF(E2342&gt;=800,3,IF(E2342&gt;=300,2,1))))</f>
        <v/>
      </c>
      <c r="I2342" s="126">
        <f>TEXT(F2342,"0")&amp;TEXT(G2342,"0")&amp;TEXT(H2342,"0")</f>
        <v/>
      </c>
      <c r="J2342" s="126">
        <f>IFERROR(XLOOKUP(I2342,'Segment Map'!A:A,'Segment Map'!B:B,"Need Attention"),"Need Attention")</f>
        <v/>
      </c>
      <c r="K2342" s="126">
        <f>IF(E2342&gt;=5000,"🏆 Platinum",IF(E2342&gt;=2000,"🥇 Gold",IF(E2342&gt;=800,"🥈 Silver","🥉 Bronze")))</f>
        <v/>
      </c>
      <c r="L2342" s="129" t="n">
        <v>40865</v>
      </c>
    </row>
    <row r="2343">
      <c r="A2343" s="122" t="n">
        <v>15531</v>
      </c>
      <c r="B2343" s="122" t="inlineStr">
        <is>
          <t>United Kingdom</t>
        </is>
      </c>
      <c r="C2343" s="122" t="n">
        <v>9</v>
      </c>
      <c r="D2343" s="122" t="n">
        <v>2</v>
      </c>
      <c r="E2343" s="123" t="n">
        <v>2007.44</v>
      </c>
      <c r="F2343" s="124">
        <f>IF(C2343&lt;=30,5,IF(C2343&lt;=60,4,IF(C2343&lt;=120,3,IF(C2343&lt;=200,2,1))))</f>
        <v/>
      </c>
      <c r="G2343" s="124">
        <f>IF(D2343&gt;=20,5,IF(D2343&gt;=10,4,IF(D2343&gt;=5,3,IF(D2343&gt;=2,2,1))))</f>
        <v/>
      </c>
      <c r="H2343" s="124">
        <f>IF(E2343&gt;=5000,5,IF(E2343&gt;=2000,4,IF(E2343&gt;=800,3,IF(E2343&gt;=300,2,1))))</f>
        <v/>
      </c>
      <c r="I2343" s="122">
        <f>TEXT(F2343,"0")&amp;TEXT(G2343,"0")&amp;TEXT(H2343,"0")</f>
        <v/>
      </c>
      <c r="J2343" s="122">
        <f>IFERROR(XLOOKUP(I2343,'Segment Map'!A:A,'Segment Map'!B:B,"Need Attention"),"Need Attention")</f>
        <v/>
      </c>
      <c r="K2343" s="122">
        <f>IF(E2343&gt;=5000,"🏆 Platinum",IF(E2343&gt;=2000,"🥇 Gold",IF(E2343&gt;=800,"🥈 Silver","🥉 Bronze")))</f>
        <v/>
      </c>
      <c r="L2343" s="125" t="n">
        <v>40878</v>
      </c>
    </row>
    <row r="2344">
      <c r="A2344" s="126" t="n">
        <v>15532</v>
      </c>
      <c r="B2344" s="126" t="inlineStr">
        <is>
          <t>United Kingdom</t>
        </is>
      </c>
      <c r="C2344" s="126" t="n">
        <v>26</v>
      </c>
      <c r="D2344" s="126" t="n">
        <v>4</v>
      </c>
      <c r="E2344" s="127" t="n">
        <v>1580.93</v>
      </c>
      <c r="F2344" s="128">
        <f>IF(C2344&lt;=30,5,IF(C2344&lt;=60,4,IF(C2344&lt;=120,3,IF(C2344&lt;=200,2,1))))</f>
        <v/>
      </c>
      <c r="G2344" s="128">
        <f>IF(D2344&gt;=20,5,IF(D2344&gt;=10,4,IF(D2344&gt;=5,3,IF(D2344&gt;=2,2,1))))</f>
        <v/>
      </c>
      <c r="H2344" s="128">
        <f>IF(E2344&gt;=5000,5,IF(E2344&gt;=2000,4,IF(E2344&gt;=800,3,IF(E2344&gt;=300,2,1))))</f>
        <v/>
      </c>
      <c r="I2344" s="126">
        <f>TEXT(F2344,"0")&amp;TEXT(G2344,"0")&amp;TEXT(H2344,"0")</f>
        <v/>
      </c>
      <c r="J2344" s="126">
        <f>IFERROR(XLOOKUP(I2344,'Segment Map'!A:A,'Segment Map'!B:B,"Need Attention"),"Need Attention")</f>
        <v/>
      </c>
      <c r="K2344" s="126">
        <f>IF(E2344&gt;=5000,"🏆 Platinum",IF(E2344&gt;=2000,"🥇 Gold",IF(E2344&gt;=800,"🥈 Silver","🥉 Bronze")))</f>
        <v/>
      </c>
      <c r="L2344" s="129" t="n">
        <v>40861</v>
      </c>
    </row>
    <row r="2345">
      <c r="A2345" s="122" t="n">
        <v>15533</v>
      </c>
      <c r="B2345" s="122" t="inlineStr">
        <is>
          <t>United Kingdom</t>
        </is>
      </c>
      <c r="C2345" s="122" t="n">
        <v>20</v>
      </c>
      <c r="D2345" s="122" t="n">
        <v>3</v>
      </c>
      <c r="E2345" s="123" t="n">
        <v>807.5700000000001</v>
      </c>
      <c r="F2345" s="124">
        <f>IF(C2345&lt;=30,5,IF(C2345&lt;=60,4,IF(C2345&lt;=120,3,IF(C2345&lt;=200,2,1))))</f>
        <v/>
      </c>
      <c r="G2345" s="124">
        <f>IF(D2345&gt;=20,5,IF(D2345&gt;=10,4,IF(D2345&gt;=5,3,IF(D2345&gt;=2,2,1))))</f>
        <v/>
      </c>
      <c r="H2345" s="124">
        <f>IF(E2345&gt;=5000,5,IF(E2345&gt;=2000,4,IF(E2345&gt;=800,3,IF(E2345&gt;=300,2,1))))</f>
        <v/>
      </c>
      <c r="I2345" s="122">
        <f>TEXT(F2345,"0")&amp;TEXT(G2345,"0")&amp;TEXT(H2345,"0")</f>
        <v/>
      </c>
      <c r="J2345" s="122">
        <f>IFERROR(XLOOKUP(I2345,'Segment Map'!A:A,'Segment Map'!B:B,"Need Attention"),"Need Attention")</f>
        <v/>
      </c>
      <c r="K2345" s="122">
        <f>IF(E2345&gt;=5000,"🏆 Platinum",IF(E2345&gt;=2000,"🥇 Gold",IF(E2345&gt;=800,"🥈 Silver","🥉 Bronze")))</f>
        <v/>
      </c>
      <c r="L2345" s="125" t="n">
        <v>40867</v>
      </c>
    </row>
    <row r="2346">
      <c r="A2346" s="126" t="n">
        <v>15535</v>
      </c>
      <c r="B2346" s="126" t="inlineStr">
        <is>
          <t>United Kingdom</t>
        </is>
      </c>
      <c r="C2346" s="126" t="n">
        <v>174</v>
      </c>
      <c r="D2346" s="126" t="n">
        <v>4</v>
      </c>
      <c r="E2346" s="127" t="n">
        <v>536.4</v>
      </c>
      <c r="F2346" s="128">
        <f>IF(C2346&lt;=30,5,IF(C2346&lt;=60,4,IF(C2346&lt;=120,3,IF(C2346&lt;=200,2,1))))</f>
        <v/>
      </c>
      <c r="G2346" s="128">
        <f>IF(D2346&gt;=20,5,IF(D2346&gt;=10,4,IF(D2346&gt;=5,3,IF(D2346&gt;=2,2,1))))</f>
        <v/>
      </c>
      <c r="H2346" s="128">
        <f>IF(E2346&gt;=5000,5,IF(E2346&gt;=2000,4,IF(E2346&gt;=800,3,IF(E2346&gt;=300,2,1))))</f>
        <v/>
      </c>
      <c r="I2346" s="126">
        <f>TEXT(F2346,"0")&amp;TEXT(G2346,"0")&amp;TEXT(H2346,"0")</f>
        <v/>
      </c>
      <c r="J2346" s="126">
        <f>IFERROR(XLOOKUP(I2346,'Segment Map'!A:A,'Segment Map'!B:B,"Need Attention"),"Need Attention")</f>
        <v/>
      </c>
      <c r="K2346" s="126">
        <f>IF(E2346&gt;=5000,"🏆 Platinum",IF(E2346&gt;=2000,"🥇 Gold",IF(E2346&gt;=800,"🥈 Silver","🥉 Bronze")))</f>
        <v/>
      </c>
      <c r="L2346" s="129" t="n">
        <v>40713</v>
      </c>
    </row>
    <row r="2347">
      <c r="A2347" s="122" t="n">
        <v>15537</v>
      </c>
      <c r="B2347" s="122" t="inlineStr">
        <is>
          <t>United Kingdom</t>
        </is>
      </c>
      <c r="C2347" s="122" t="n">
        <v>164</v>
      </c>
      <c r="D2347" s="122" t="n">
        <v>1</v>
      </c>
      <c r="E2347" s="123" t="n">
        <v>110.92</v>
      </c>
      <c r="F2347" s="124">
        <f>IF(C2347&lt;=30,5,IF(C2347&lt;=60,4,IF(C2347&lt;=120,3,IF(C2347&lt;=200,2,1))))</f>
        <v/>
      </c>
      <c r="G2347" s="124">
        <f>IF(D2347&gt;=20,5,IF(D2347&gt;=10,4,IF(D2347&gt;=5,3,IF(D2347&gt;=2,2,1))))</f>
        <v/>
      </c>
      <c r="H2347" s="124">
        <f>IF(E2347&gt;=5000,5,IF(E2347&gt;=2000,4,IF(E2347&gt;=800,3,IF(E2347&gt;=300,2,1))))</f>
        <v/>
      </c>
      <c r="I2347" s="122">
        <f>TEXT(F2347,"0")&amp;TEXT(G2347,"0")&amp;TEXT(H2347,"0")</f>
        <v/>
      </c>
      <c r="J2347" s="122">
        <f>IFERROR(XLOOKUP(I2347,'Segment Map'!A:A,'Segment Map'!B:B,"Need Attention"),"Need Attention")</f>
        <v/>
      </c>
      <c r="K2347" s="122">
        <f>IF(E2347&gt;=5000,"🏆 Platinum",IF(E2347&gt;=2000,"🥇 Gold",IF(E2347&gt;=800,"🥈 Silver","🥉 Bronze")))</f>
        <v/>
      </c>
      <c r="L2347" s="125" t="n">
        <v>40723</v>
      </c>
    </row>
    <row r="2348">
      <c r="A2348" s="126" t="n">
        <v>15539</v>
      </c>
      <c r="B2348" s="126" t="inlineStr">
        <is>
          <t>United Kingdom</t>
        </is>
      </c>
      <c r="C2348" s="126" t="n">
        <v>8</v>
      </c>
      <c r="D2348" s="126" t="n">
        <v>1</v>
      </c>
      <c r="E2348" s="127" t="n">
        <v>538.46</v>
      </c>
      <c r="F2348" s="128">
        <f>IF(C2348&lt;=30,5,IF(C2348&lt;=60,4,IF(C2348&lt;=120,3,IF(C2348&lt;=200,2,1))))</f>
        <v/>
      </c>
      <c r="G2348" s="128">
        <f>IF(D2348&gt;=20,5,IF(D2348&gt;=10,4,IF(D2348&gt;=5,3,IF(D2348&gt;=2,2,1))))</f>
        <v/>
      </c>
      <c r="H2348" s="128">
        <f>IF(E2348&gt;=5000,5,IF(E2348&gt;=2000,4,IF(E2348&gt;=800,3,IF(E2348&gt;=300,2,1))))</f>
        <v/>
      </c>
      <c r="I2348" s="126">
        <f>TEXT(F2348,"0")&amp;TEXT(G2348,"0")&amp;TEXT(H2348,"0")</f>
        <v/>
      </c>
      <c r="J2348" s="126">
        <f>IFERROR(XLOOKUP(I2348,'Segment Map'!A:A,'Segment Map'!B:B,"Need Attention"),"Need Attention")</f>
        <v/>
      </c>
      <c r="K2348" s="126">
        <f>IF(E2348&gt;=5000,"🏆 Platinum",IF(E2348&gt;=2000,"🥇 Gold",IF(E2348&gt;=800,"🥈 Silver","🥉 Bronze")))</f>
        <v/>
      </c>
      <c r="L2348" s="129" t="n">
        <v>40879</v>
      </c>
    </row>
    <row r="2349">
      <c r="A2349" s="122" t="n">
        <v>15540</v>
      </c>
      <c r="B2349" s="122" t="inlineStr">
        <is>
          <t>United Kingdom</t>
        </is>
      </c>
      <c r="C2349" s="122" t="n">
        <v>12</v>
      </c>
      <c r="D2349" s="122" t="n">
        <v>1</v>
      </c>
      <c r="E2349" s="123" t="n">
        <v>213.3</v>
      </c>
      <c r="F2349" s="124">
        <f>IF(C2349&lt;=30,5,IF(C2349&lt;=60,4,IF(C2349&lt;=120,3,IF(C2349&lt;=200,2,1))))</f>
        <v/>
      </c>
      <c r="G2349" s="124">
        <f>IF(D2349&gt;=20,5,IF(D2349&gt;=10,4,IF(D2349&gt;=5,3,IF(D2349&gt;=2,2,1))))</f>
        <v/>
      </c>
      <c r="H2349" s="124">
        <f>IF(E2349&gt;=5000,5,IF(E2349&gt;=2000,4,IF(E2349&gt;=800,3,IF(E2349&gt;=300,2,1))))</f>
        <v/>
      </c>
      <c r="I2349" s="122">
        <f>TEXT(F2349,"0")&amp;TEXT(G2349,"0")&amp;TEXT(H2349,"0")</f>
        <v/>
      </c>
      <c r="J2349" s="122">
        <f>IFERROR(XLOOKUP(I2349,'Segment Map'!A:A,'Segment Map'!B:B,"Need Attention"),"Need Attention")</f>
        <v/>
      </c>
      <c r="K2349" s="122">
        <f>IF(E2349&gt;=5000,"🏆 Platinum",IF(E2349&gt;=2000,"🥇 Gold",IF(E2349&gt;=800,"🥈 Silver","🥉 Bronze")))</f>
        <v/>
      </c>
      <c r="L2349" s="125" t="n">
        <v>40875</v>
      </c>
    </row>
    <row r="2350">
      <c r="A2350" s="126" t="n">
        <v>15541</v>
      </c>
      <c r="B2350" s="126" t="inlineStr">
        <is>
          <t>United Kingdom</t>
        </is>
      </c>
      <c r="C2350" s="126" t="n">
        <v>115</v>
      </c>
      <c r="D2350" s="126" t="n">
        <v>1</v>
      </c>
      <c r="E2350" s="127" t="n">
        <v>85.13</v>
      </c>
      <c r="F2350" s="128">
        <f>IF(C2350&lt;=30,5,IF(C2350&lt;=60,4,IF(C2350&lt;=120,3,IF(C2350&lt;=200,2,1))))</f>
        <v/>
      </c>
      <c r="G2350" s="128">
        <f>IF(D2350&gt;=20,5,IF(D2350&gt;=10,4,IF(D2350&gt;=5,3,IF(D2350&gt;=2,2,1))))</f>
        <v/>
      </c>
      <c r="H2350" s="128">
        <f>IF(E2350&gt;=5000,5,IF(E2350&gt;=2000,4,IF(E2350&gt;=800,3,IF(E2350&gt;=300,2,1))))</f>
        <v/>
      </c>
      <c r="I2350" s="126">
        <f>TEXT(F2350,"0")&amp;TEXT(G2350,"0")&amp;TEXT(H2350,"0")</f>
        <v/>
      </c>
      <c r="J2350" s="126">
        <f>IFERROR(XLOOKUP(I2350,'Segment Map'!A:A,'Segment Map'!B:B,"Need Attention"),"Need Attention")</f>
        <v/>
      </c>
      <c r="K2350" s="126">
        <f>IF(E2350&gt;=5000,"🏆 Platinum",IF(E2350&gt;=2000,"🥇 Gold",IF(E2350&gt;=800,"🥈 Silver","🥉 Bronze")))</f>
        <v/>
      </c>
      <c r="L2350" s="129" t="n">
        <v>40772</v>
      </c>
    </row>
    <row r="2351">
      <c r="A2351" s="122" t="n">
        <v>15543</v>
      </c>
      <c r="B2351" s="122" t="inlineStr">
        <is>
          <t>United Kingdom</t>
        </is>
      </c>
      <c r="C2351" s="122" t="n">
        <v>289</v>
      </c>
      <c r="D2351" s="122" t="n">
        <v>1</v>
      </c>
      <c r="E2351" s="123" t="n">
        <v>127.86</v>
      </c>
      <c r="F2351" s="124">
        <f>IF(C2351&lt;=30,5,IF(C2351&lt;=60,4,IF(C2351&lt;=120,3,IF(C2351&lt;=200,2,1))))</f>
        <v/>
      </c>
      <c r="G2351" s="124">
        <f>IF(D2351&gt;=20,5,IF(D2351&gt;=10,4,IF(D2351&gt;=5,3,IF(D2351&gt;=2,2,1))))</f>
        <v/>
      </c>
      <c r="H2351" s="124">
        <f>IF(E2351&gt;=5000,5,IF(E2351&gt;=2000,4,IF(E2351&gt;=800,3,IF(E2351&gt;=300,2,1))))</f>
        <v/>
      </c>
      <c r="I2351" s="122">
        <f>TEXT(F2351,"0")&amp;TEXT(G2351,"0")&amp;TEXT(H2351,"0")</f>
        <v/>
      </c>
      <c r="J2351" s="122">
        <f>IFERROR(XLOOKUP(I2351,'Segment Map'!A:A,'Segment Map'!B:B,"Need Attention"),"Need Attention")</f>
        <v/>
      </c>
      <c r="K2351" s="122">
        <f>IF(E2351&gt;=5000,"🏆 Platinum",IF(E2351&gt;=2000,"🥇 Gold",IF(E2351&gt;=800,"🥈 Silver","🥉 Bronze")))</f>
        <v/>
      </c>
      <c r="L2351" s="125" t="n">
        <v>40598</v>
      </c>
    </row>
    <row r="2352">
      <c r="A2352" s="126" t="n">
        <v>15544</v>
      </c>
      <c r="B2352" s="126" t="inlineStr">
        <is>
          <t>United Kingdom</t>
        </is>
      </c>
      <c r="C2352" s="126" t="n">
        <v>10</v>
      </c>
      <c r="D2352" s="126" t="n">
        <v>9</v>
      </c>
      <c r="E2352" s="127" t="n">
        <v>3546.71</v>
      </c>
      <c r="F2352" s="128">
        <f>IF(C2352&lt;=30,5,IF(C2352&lt;=60,4,IF(C2352&lt;=120,3,IF(C2352&lt;=200,2,1))))</f>
        <v/>
      </c>
      <c r="G2352" s="128">
        <f>IF(D2352&gt;=20,5,IF(D2352&gt;=10,4,IF(D2352&gt;=5,3,IF(D2352&gt;=2,2,1))))</f>
        <v/>
      </c>
      <c r="H2352" s="128">
        <f>IF(E2352&gt;=5000,5,IF(E2352&gt;=2000,4,IF(E2352&gt;=800,3,IF(E2352&gt;=300,2,1))))</f>
        <v/>
      </c>
      <c r="I2352" s="126">
        <f>TEXT(F2352,"0")&amp;TEXT(G2352,"0")&amp;TEXT(H2352,"0")</f>
        <v/>
      </c>
      <c r="J2352" s="126">
        <f>IFERROR(XLOOKUP(I2352,'Segment Map'!A:A,'Segment Map'!B:B,"Need Attention"),"Need Attention")</f>
        <v/>
      </c>
      <c r="K2352" s="126">
        <f>IF(E2352&gt;=5000,"🏆 Platinum",IF(E2352&gt;=2000,"🥇 Gold",IF(E2352&gt;=800,"🥈 Silver","🥉 Bronze")))</f>
        <v/>
      </c>
      <c r="L2352" s="129" t="n">
        <v>40877</v>
      </c>
    </row>
    <row r="2353">
      <c r="A2353" s="122" t="n">
        <v>15545</v>
      </c>
      <c r="B2353" s="122" t="inlineStr">
        <is>
          <t>United Kingdom</t>
        </is>
      </c>
      <c r="C2353" s="122" t="n">
        <v>55</v>
      </c>
      <c r="D2353" s="122" t="n">
        <v>2</v>
      </c>
      <c r="E2353" s="123" t="n">
        <v>292.72</v>
      </c>
      <c r="F2353" s="124">
        <f>IF(C2353&lt;=30,5,IF(C2353&lt;=60,4,IF(C2353&lt;=120,3,IF(C2353&lt;=200,2,1))))</f>
        <v/>
      </c>
      <c r="G2353" s="124">
        <f>IF(D2353&gt;=20,5,IF(D2353&gt;=10,4,IF(D2353&gt;=5,3,IF(D2353&gt;=2,2,1))))</f>
        <v/>
      </c>
      <c r="H2353" s="124">
        <f>IF(E2353&gt;=5000,5,IF(E2353&gt;=2000,4,IF(E2353&gt;=800,3,IF(E2353&gt;=300,2,1))))</f>
        <v/>
      </c>
      <c r="I2353" s="122">
        <f>TEXT(F2353,"0")&amp;TEXT(G2353,"0")&amp;TEXT(H2353,"0")</f>
        <v/>
      </c>
      <c r="J2353" s="122">
        <f>IFERROR(XLOOKUP(I2353,'Segment Map'!A:A,'Segment Map'!B:B,"Need Attention"),"Need Attention")</f>
        <v/>
      </c>
      <c r="K2353" s="122">
        <f>IF(E2353&gt;=5000,"🏆 Platinum",IF(E2353&gt;=2000,"🥇 Gold",IF(E2353&gt;=800,"🥈 Silver","🥉 Bronze")))</f>
        <v/>
      </c>
      <c r="L2353" s="125" t="n">
        <v>40832</v>
      </c>
    </row>
    <row r="2354">
      <c r="A2354" s="126" t="n">
        <v>15547</v>
      </c>
      <c r="B2354" s="126" t="inlineStr">
        <is>
          <t>United Kingdom</t>
        </is>
      </c>
      <c r="C2354" s="126" t="n">
        <v>8</v>
      </c>
      <c r="D2354" s="126" t="n">
        <v>14</v>
      </c>
      <c r="E2354" s="127" t="n">
        <v>4954.84</v>
      </c>
      <c r="F2354" s="128">
        <f>IF(C2354&lt;=30,5,IF(C2354&lt;=60,4,IF(C2354&lt;=120,3,IF(C2354&lt;=200,2,1))))</f>
        <v/>
      </c>
      <c r="G2354" s="128">
        <f>IF(D2354&gt;=20,5,IF(D2354&gt;=10,4,IF(D2354&gt;=5,3,IF(D2354&gt;=2,2,1))))</f>
        <v/>
      </c>
      <c r="H2354" s="128">
        <f>IF(E2354&gt;=5000,5,IF(E2354&gt;=2000,4,IF(E2354&gt;=800,3,IF(E2354&gt;=300,2,1))))</f>
        <v/>
      </c>
      <c r="I2354" s="126">
        <f>TEXT(F2354,"0")&amp;TEXT(G2354,"0")&amp;TEXT(H2354,"0")</f>
        <v/>
      </c>
      <c r="J2354" s="126">
        <f>IFERROR(XLOOKUP(I2354,'Segment Map'!A:A,'Segment Map'!B:B,"Need Attention"),"Need Attention")</f>
        <v/>
      </c>
      <c r="K2354" s="126">
        <f>IF(E2354&gt;=5000,"🏆 Platinum",IF(E2354&gt;=2000,"🥇 Gold",IF(E2354&gt;=800,"🥈 Silver","🥉 Bronze")))</f>
        <v/>
      </c>
      <c r="L2354" s="129" t="n">
        <v>40879</v>
      </c>
    </row>
    <row r="2355">
      <c r="A2355" s="122" t="n">
        <v>15549</v>
      </c>
      <c r="B2355" s="122" t="inlineStr">
        <is>
          <t>United Kingdom</t>
        </is>
      </c>
      <c r="C2355" s="122" t="n">
        <v>78</v>
      </c>
      <c r="D2355" s="122" t="n">
        <v>3</v>
      </c>
      <c r="E2355" s="123" t="n">
        <v>1693.26</v>
      </c>
      <c r="F2355" s="124">
        <f>IF(C2355&lt;=30,5,IF(C2355&lt;=60,4,IF(C2355&lt;=120,3,IF(C2355&lt;=200,2,1))))</f>
        <v/>
      </c>
      <c r="G2355" s="124">
        <f>IF(D2355&gt;=20,5,IF(D2355&gt;=10,4,IF(D2355&gt;=5,3,IF(D2355&gt;=2,2,1))))</f>
        <v/>
      </c>
      <c r="H2355" s="124">
        <f>IF(E2355&gt;=5000,5,IF(E2355&gt;=2000,4,IF(E2355&gt;=800,3,IF(E2355&gt;=300,2,1))))</f>
        <v/>
      </c>
      <c r="I2355" s="122">
        <f>TEXT(F2355,"0")&amp;TEXT(G2355,"0")&amp;TEXT(H2355,"0")</f>
        <v/>
      </c>
      <c r="J2355" s="122">
        <f>IFERROR(XLOOKUP(I2355,'Segment Map'!A:A,'Segment Map'!B:B,"Need Attention"),"Need Attention")</f>
        <v/>
      </c>
      <c r="K2355" s="122">
        <f>IF(E2355&gt;=5000,"🏆 Platinum",IF(E2355&gt;=2000,"🥇 Gold",IF(E2355&gt;=800,"🥈 Silver","🥉 Bronze")))</f>
        <v/>
      </c>
      <c r="L2355" s="125" t="n">
        <v>40809</v>
      </c>
    </row>
    <row r="2356">
      <c r="A2356" s="126" t="n">
        <v>15550</v>
      </c>
      <c r="B2356" s="126" t="inlineStr">
        <is>
          <t>United Kingdom</t>
        </is>
      </c>
      <c r="C2356" s="126" t="n">
        <v>5</v>
      </c>
      <c r="D2356" s="126" t="n">
        <v>4</v>
      </c>
      <c r="E2356" s="127" t="n">
        <v>575.63</v>
      </c>
      <c r="F2356" s="128">
        <f>IF(C2356&lt;=30,5,IF(C2356&lt;=60,4,IF(C2356&lt;=120,3,IF(C2356&lt;=200,2,1))))</f>
        <v/>
      </c>
      <c r="G2356" s="128">
        <f>IF(D2356&gt;=20,5,IF(D2356&gt;=10,4,IF(D2356&gt;=5,3,IF(D2356&gt;=2,2,1))))</f>
        <v/>
      </c>
      <c r="H2356" s="128">
        <f>IF(E2356&gt;=5000,5,IF(E2356&gt;=2000,4,IF(E2356&gt;=800,3,IF(E2356&gt;=300,2,1))))</f>
        <v/>
      </c>
      <c r="I2356" s="126">
        <f>TEXT(F2356,"0")&amp;TEXT(G2356,"0")&amp;TEXT(H2356,"0")</f>
        <v/>
      </c>
      <c r="J2356" s="126">
        <f>IFERROR(XLOOKUP(I2356,'Segment Map'!A:A,'Segment Map'!B:B,"Need Attention"),"Need Attention")</f>
        <v/>
      </c>
      <c r="K2356" s="126">
        <f>IF(E2356&gt;=5000,"🏆 Platinum",IF(E2356&gt;=2000,"🥇 Gold",IF(E2356&gt;=800,"🥈 Silver","🥉 Bronze")))</f>
        <v/>
      </c>
      <c r="L2356" s="129" t="n">
        <v>40882</v>
      </c>
    </row>
    <row r="2357">
      <c r="A2357" s="122" t="n">
        <v>15551</v>
      </c>
      <c r="B2357" s="122" t="inlineStr">
        <is>
          <t>United Kingdom</t>
        </is>
      </c>
      <c r="C2357" s="122" t="n">
        <v>37</v>
      </c>
      <c r="D2357" s="122" t="n">
        <v>1</v>
      </c>
      <c r="E2357" s="123" t="n">
        <v>436.06</v>
      </c>
      <c r="F2357" s="124">
        <f>IF(C2357&lt;=30,5,IF(C2357&lt;=60,4,IF(C2357&lt;=120,3,IF(C2357&lt;=200,2,1))))</f>
        <v/>
      </c>
      <c r="G2357" s="124">
        <f>IF(D2357&gt;=20,5,IF(D2357&gt;=10,4,IF(D2357&gt;=5,3,IF(D2357&gt;=2,2,1))))</f>
        <v/>
      </c>
      <c r="H2357" s="124">
        <f>IF(E2357&gt;=5000,5,IF(E2357&gt;=2000,4,IF(E2357&gt;=800,3,IF(E2357&gt;=300,2,1))))</f>
        <v/>
      </c>
      <c r="I2357" s="122">
        <f>TEXT(F2357,"0")&amp;TEXT(G2357,"0")&amp;TEXT(H2357,"0")</f>
        <v/>
      </c>
      <c r="J2357" s="122">
        <f>IFERROR(XLOOKUP(I2357,'Segment Map'!A:A,'Segment Map'!B:B,"Need Attention"),"Need Attention")</f>
        <v/>
      </c>
      <c r="K2357" s="122">
        <f>IF(E2357&gt;=5000,"🏆 Platinum",IF(E2357&gt;=2000,"🥇 Gold",IF(E2357&gt;=800,"🥈 Silver","🥉 Bronze")))</f>
        <v/>
      </c>
      <c r="L2357" s="125" t="n">
        <v>40850</v>
      </c>
    </row>
    <row r="2358">
      <c r="A2358" s="126" t="n">
        <v>15552</v>
      </c>
      <c r="B2358" s="126" t="inlineStr">
        <is>
          <t>United Kingdom</t>
        </is>
      </c>
      <c r="C2358" s="126" t="n">
        <v>218</v>
      </c>
      <c r="D2358" s="126" t="n">
        <v>1</v>
      </c>
      <c r="E2358" s="127" t="n">
        <v>90.12</v>
      </c>
      <c r="F2358" s="128">
        <f>IF(C2358&lt;=30,5,IF(C2358&lt;=60,4,IF(C2358&lt;=120,3,IF(C2358&lt;=200,2,1))))</f>
        <v/>
      </c>
      <c r="G2358" s="128">
        <f>IF(D2358&gt;=20,5,IF(D2358&gt;=10,4,IF(D2358&gt;=5,3,IF(D2358&gt;=2,2,1))))</f>
        <v/>
      </c>
      <c r="H2358" s="128">
        <f>IF(E2358&gt;=5000,5,IF(E2358&gt;=2000,4,IF(E2358&gt;=800,3,IF(E2358&gt;=300,2,1))))</f>
        <v/>
      </c>
      <c r="I2358" s="126">
        <f>TEXT(F2358,"0")&amp;TEXT(G2358,"0")&amp;TEXT(H2358,"0")</f>
        <v/>
      </c>
      <c r="J2358" s="126">
        <f>IFERROR(XLOOKUP(I2358,'Segment Map'!A:A,'Segment Map'!B:B,"Need Attention"),"Need Attention")</f>
        <v/>
      </c>
      <c r="K2358" s="126">
        <f>IF(E2358&gt;=5000,"🏆 Platinum",IF(E2358&gt;=2000,"🥇 Gold",IF(E2358&gt;=800,"🥈 Silver","🥉 Bronze")))</f>
        <v/>
      </c>
      <c r="L2358" s="129" t="n">
        <v>40669</v>
      </c>
    </row>
    <row r="2359">
      <c r="A2359" s="122" t="n">
        <v>15553</v>
      </c>
      <c r="B2359" s="122" t="inlineStr">
        <is>
          <t>United Kingdom</t>
        </is>
      </c>
      <c r="C2359" s="122" t="n">
        <v>61</v>
      </c>
      <c r="D2359" s="122" t="n">
        <v>1</v>
      </c>
      <c r="E2359" s="123" t="n">
        <v>437.23</v>
      </c>
      <c r="F2359" s="124">
        <f>IF(C2359&lt;=30,5,IF(C2359&lt;=60,4,IF(C2359&lt;=120,3,IF(C2359&lt;=200,2,1))))</f>
        <v/>
      </c>
      <c r="G2359" s="124">
        <f>IF(D2359&gt;=20,5,IF(D2359&gt;=10,4,IF(D2359&gt;=5,3,IF(D2359&gt;=2,2,1))))</f>
        <v/>
      </c>
      <c r="H2359" s="124">
        <f>IF(E2359&gt;=5000,5,IF(E2359&gt;=2000,4,IF(E2359&gt;=800,3,IF(E2359&gt;=300,2,1))))</f>
        <v/>
      </c>
      <c r="I2359" s="122">
        <f>TEXT(F2359,"0")&amp;TEXT(G2359,"0")&amp;TEXT(H2359,"0")</f>
        <v/>
      </c>
      <c r="J2359" s="122">
        <f>IFERROR(XLOOKUP(I2359,'Segment Map'!A:A,'Segment Map'!B:B,"Need Attention"),"Need Attention")</f>
        <v/>
      </c>
      <c r="K2359" s="122">
        <f>IF(E2359&gt;=5000,"🏆 Platinum",IF(E2359&gt;=2000,"🥇 Gold",IF(E2359&gt;=800,"🥈 Silver","🥉 Bronze")))</f>
        <v/>
      </c>
      <c r="L2359" s="125" t="n">
        <v>40826</v>
      </c>
    </row>
    <row r="2360">
      <c r="A2360" s="126" t="n">
        <v>15554</v>
      </c>
      <c r="B2360" s="126" t="inlineStr">
        <is>
          <t>United Kingdom</t>
        </is>
      </c>
      <c r="C2360" s="126" t="n">
        <v>278</v>
      </c>
      <c r="D2360" s="126" t="n">
        <v>1</v>
      </c>
      <c r="E2360" s="127" t="n">
        <v>217.2</v>
      </c>
      <c r="F2360" s="128">
        <f>IF(C2360&lt;=30,5,IF(C2360&lt;=60,4,IF(C2360&lt;=120,3,IF(C2360&lt;=200,2,1))))</f>
        <v/>
      </c>
      <c r="G2360" s="128">
        <f>IF(D2360&gt;=20,5,IF(D2360&gt;=10,4,IF(D2360&gt;=5,3,IF(D2360&gt;=2,2,1))))</f>
        <v/>
      </c>
      <c r="H2360" s="128">
        <f>IF(E2360&gt;=5000,5,IF(E2360&gt;=2000,4,IF(E2360&gt;=800,3,IF(E2360&gt;=300,2,1))))</f>
        <v/>
      </c>
      <c r="I2360" s="126">
        <f>TEXT(F2360,"0")&amp;TEXT(G2360,"0")&amp;TEXT(H2360,"0")</f>
        <v/>
      </c>
      <c r="J2360" s="126">
        <f>IFERROR(XLOOKUP(I2360,'Segment Map'!A:A,'Segment Map'!B:B,"Need Attention"),"Need Attention")</f>
        <v/>
      </c>
      <c r="K2360" s="126">
        <f>IF(E2360&gt;=5000,"🏆 Platinum",IF(E2360&gt;=2000,"🥇 Gold",IF(E2360&gt;=800,"🥈 Silver","🥉 Bronze")))</f>
        <v/>
      </c>
      <c r="L2360" s="129" t="n">
        <v>40609</v>
      </c>
    </row>
    <row r="2361">
      <c r="A2361" s="122" t="n">
        <v>15555</v>
      </c>
      <c r="B2361" s="122" t="inlineStr">
        <is>
          <t>United Kingdom</t>
        </is>
      </c>
      <c r="C2361" s="122" t="n">
        <v>13</v>
      </c>
      <c r="D2361" s="122" t="n">
        <v>16</v>
      </c>
      <c r="E2361" s="123" t="n">
        <v>4805.17</v>
      </c>
      <c r="F2361" s="124">
        <f>IF(C2361&lt;=30,5,IF(C2361&lt;=60,4,IF(C2361&lt;=120,3,IF(C2361&lt;=200,2,1))))</f>
        <v/>
      </c>
      <c r="G2361" s="124">
        <f>IF(D2361&gt;=20,5,IF(D2361&gt;=10,4,IF(D2361&gt;=5,3,IF(D2361&gt;=2,2,1))))</f>
        <v/>
      </c>
      <c r="H2361" s="124">
        <f>IF(E2361&gt;=5000,5,IF(E2361&gt;=2000,4,IF(E2361&gt;=800,3,IF(E2361&gt;=300,2,1))))</f>
        <v/>
      </c>
      <c r="I2361" s="122">
        <f>TEXT(F2361,"0")&amp;TEXT(G2361,"0")&amp;TEXT(H2361,"0")</f>
        <v/>
      </c>
      <c r="J2361" s="122">
        <f>IFERROR(XLOOKUP(I2361,'Segment Map'!A:A,'Segment Map'!B:B,"Need Attention"),"Need Attention")</f>
        <v/>
      </c>
      <c r="K2361" s="122">
        <f>IF(E2361&gt;=5000,"🏆 Platinum",IF(E2361&gt;=2000,"🥇 Gold",IF(E2361&gt;=800,"🥈 Silver","🥉 Bronze")))</f>
        <v/>
      </c>
      <c r="L2361" s="125" t="n">
        <v>40874</v>
      </c>
    </row>
    <row r="2362">
      <c r="A2362" s="126" t="n">
        <v>15556</v>
      </c>
      <c r="B2362" s="126" t="inlineStr">
        <is>
          <t>United Kingdom</t>
        </is>
      </c>
      <c r="C2362" s="126" t="n">
        <v>25</v>
      </c>
      <c r="D2362" s="126" t="n">
        <v>1</v>
      </c>
      <c r="E2362" s="127" t="n">
        <v>279.77</v>
      </c>
      <c r="F2362" s="128">
        <f>IF(C2362&lt;=30,5,IF(C2362&lt;=60,4,IF(C2362&lt;=120,3,IF(C2362&lt;=200,2,1))))</f>
        <v/>
      </c>
      <c r="G2362" s="128">
        <f>IF(D2362&gt;=20,5,IF(D2362&gt;=10,4,IF(D2362&gt;=5,3,IF(D2362&gt;=2,2,1))))</f>
        <v/>
      </c>
      <c r="H2362" s="128">
        <f>IF(E2362&gt;=5000,5,IF(E2362&gt;=2000,4,IF(E2362&gt;=800,3,IF(E2362&gt;=300,2,1))))</f>
        <v/>
      </c>
      <c r="I2362" s="126">
        <f>TEXT(F2362,"0")&amp;TEXT(G2362,"0")&amp;TEXT(H2362,"0")</f>
        <v/>
      </c>
      <c r="J2362" s="126">
        <f>IFERROR(XLOOKUP(I2362,'Segment Map'!A:A,'Segment Map'!B:B,"Need Attention"),"Need Attention")</f>
        <v/>
      </c>
      <c r="K2362" s="126">
        <f>IF(E2362&gt;=5000,"🏆 Platinum",IF(E2362&gt;=2000,"🥇 Gold",IF(E2362&gt;=800,"🥈 Silver","🥉 Bronze")))</f>
        <v/>
      </c>
      <c r="L2362" s="129" t="n">
        <v>40862</v>
      </c>
    </row>
    <row r="2363">
      <c r="A2363" s="122" t="n">
        <v>15557</v>
      </c>
      <c r="B2363" s="122" t="inlineStr">
        <is>
          <t>United Kingdom</t>
        </is>
      </c>
      <c r="C2363" s="122" t="n">
        <v>29</v>
      </c>
      <c r="D2363" s="122" t="n">
        <v>1</v>
      </c>
      <c r="E2363" s="123" t="n">
        <v>473.65</v>
      </c>
      <c r="F2363" s="124">
        <f>IF(C2363&lt;=30,5,IF(C2363&lt;=60,4,IF(C2363&lt;=120,3,IF(C2363&lt;=200,2,1))))</f>
        <v/>
      </c>
      <c r="G2363" s="124">
        <f>IF(D2363&gt;=20,5,IF(D2363&gt;=10,4,IF(D2363&gt;=5,3,IF(D2363&gt;=2,2,1))))</f>
        <v/>
      </c>
      <c r="H2363" s="124">
        <f>IF(E2363&gt;=5000,5,IF(E2363&gt;=2000,4,IF(E2363&gt;=800,3,IF(E2363&gt;=300,2,1))))</f>
        <v/>
      </c>
      <c r="I2363" s="122">
        <f>TEXT(F2363,"0")&amp;TEXT(G2363,"0")&amp;TEXT(H2363,"0")</f>
        <v/>
      </c>
      <c r="J2363" s="122">
        <f>IFERROR(XLOOKUP(I2363,'Segment Map'!A:A,'Segment Map'!B:B,"Need Attention"),"Need Attention")</f>
        <v/>
      </c>
      <c r="K2363" s="122">
        <f>IF(E2363&gt;=5000,"🏆 Platinum",IF(E2363&gt;=2000,"🥇 Gold",IF(E2363&gt;=800,"🥈 Silver","🥉 Bronze")))</f>
        <v/>
      </c>
      <c r="L2363" s="125" t="n">
        <v>40858</v>
      </c>
    </row>
    <row r="2364">
      <c r="A2364" s="126" t="n">
        <v>15561</v>
      </c>
      <c r="B2364" s="126" t="inlineStr">
        <is>
          <t>United Kingdom</t>
        </is>
      </c>
      <c r="C2364" s="126" t="n">
        <v>12</v>
      </c>
      <c r="D2364" s="126" t="n">
        <v>4</v>
      </c>
      <c r="E2364" s="127" t="n">
        <v>800.59</v>
      </c>
      <c r="F2364" s="128">
        <f>IF(C2364&lt;=30,5,IF(C2364&lt;=60,4,IF(C2364&lt;=120,3,IF(C2364&lt;=200,2,1))))</f>
        <v/>
      </c>
      <c r="G2364" s="128">
        <f>IF(D2364&gt;=20,5,IF(D2364&gt;=10,4,IF(D2364&gt;=5,3,IF(D2364&gt;=2,2,1))))</f>
        <v/>
      </c>
      <c r="H2364" s="128">
        <f>IF(E2364&gt;=5000,5,IF(E2364&gt;=2000,4,IF(E2364&gt;=800,3,IF(E2364&gt;=300,2,1))))</f>
        <v/>
      </c>
      <c r="I2364" s="126">
        <f>TEXT(F2364,"0")&amp;TEXT(G2364,"0")&amp;TEXT(H2364,"0")</f>
        <v/>
      </c>
      <c r="J2364" s="126">
        <f>IFERROR(XLOOKUP(I2364,'Segment Map'!A:A,'Segment Map'!B:B,"Need Attention"),"Need Attention")</f>
        <v/>
      </c>
      <c r="K2364" s="126">
        <f>IF(E2364&gt;=5000,"🏆 Platinum",IF(E2364&gt;=2000,"🥇 Gold",IF(E2364&gt;=800,"🥈 Silver","🥉 Bronze")))</f>
        <v/>
      </c>
      <c r="L2364" s="129" t="n">
        <v>40875</v>
      </c>
    </row>
    <row r="2365">
      <c r="A2365" s="122" t="n">
        <v>15562</v>
      </c>
      <c r="B2365" s="122" t="inlineStr">
        <is>
          <t>United Kingdom</t>
        </is>
      </c>
      <c r="C2365" s="122" t="n">
        <v>352</v>
      </c>
      <c r="D2365" s="122" t="n">
        <v>1</v>
      </c>
      <c r="E2365" s="123" t="n">
        <v>134.55</v>
      </c>
      <c r="F2365" s="124">
        <f>IF(C2365&lt;=30,5,IF(C2365&lt;=60,4,IF(C2365&lt;=120,3,IF(C2365&lt;=200,2,1))))</f>
        <v/>
      </c>
      <c r="G2365" s="124">
        <f>IF(D2365&gt;=20,5,IF(D2365&gt;=10,4,IF(D2365&gt;=5,3,IF(D2365&gt;=2,2,1))))</f>
        <v/>
      </c>
      <c r="H2365" s="124">
        <f>IF(E2365&gt;=5000,5,IF(E2365&gt;=2000,4,IF(E2365&gt;=800,3,IF(E2365&gt;=300,2,1))))</f>
        <v/>
      </c>
      <c r="I2365" s="122">
        <f>TEXT(F2365,"0")&amp;TEXT(G2365,"0")&amp;TEXT(H2365,"0")</f>
        <v/>
      </c>
      <c r="J2365" s="122">
        <f>IFERROR(XLOOKUP(I2365,'Segment Map'!A:A,'Segment Map'!B:B,"Need Attention"),"Need Attention")</f>
        <v/>
      </c>
      <c r="K2365" s="122">
        <f>IF(E2365&gt;=5000,"🏆 Platinum",IF(E2365&gt;=2000,"🥇 Gold",IF(E2365&gt;=800,"🥈 Silver","🥉 Bronze")))</f>
        <v/>
      </c>
      <c r="L2365" s="125" t="n">
        <v>40535</v>
      </c>
    </row>
    <row r="2366">
      <c r="A2366" s="126" t="n">
        <v>15563</v>
      </c>
      <c r="B2366" s="126" t="inlineStr">
        <is>
          <t>United Kingdom</t>
        </is>
      </c>
      <c r="C2366" s="126" t="n">
        <v>23</v>
      </c>
      <c r="D2366" s="126" t="n">
        <v>4</v>
      </c>
      <c r="E2366" s="127" t="n">
        <v>1400.44</v>
      </c>
      <c r="F2366" s="128">
        <f>IF(C2366&lt;=30,5,IF(C2366&lt;=60,4,IF(C2366&lt;=120,3,IF(C2366&lt;=200,2,1))))</f>
        <v/>
      </c>
      <c r="G2366" s="128">
        <f>IF(D2366&gt;=20,5,IF(D2366&gt;=10,4,IF(D2366&gt;=5,3,IF(D2366&gt;=2,2,1))))</f>
        <v/>
      </c>
      <c r="H2366" s="128">
        <f>IF(E2366&gt;=5000,5,IF(E2366&gt;=2000,4,IF(E2366&gt;=800,3,IF(E2366&gt;=300,2,1))))</f>
        <v/>
      </c>
      <c r="I2366" s="126">
        <f>TEXT(F2366,"0")&amp;TEXT(G2366,"0")&amp;TEXT(H2366,"0")</f>
        <v/>
      </c>
      <c r="J2366" s="126">
        <f>IFERROR(XLOOKUP(I2366,'Segment Map'!A:A,'Segment Map'!B:B,"Need Attention"),"Need Attention")</f>
        <v/>
      </c>
      <c r="K2366" s="126">
        <f>IF(E2366&gt;=5000,"🏆 Platinum",IF(E2366&gt;=2000,"🥇 Gold",IF(E2366&gt;=800,"🥈 Silver","🥉 Bronze")))</f>
        <v/>
      </c>
      <c r="L2366" s="129" t="n">
        <v>40864</v>
      </c>
    </row>
    <row r="2367">
      <c r="A2367" s="122" t="n">
        <v>15565</v>
      </c>
      <c r="B2367" s="122" t="inlineStr">
        <is>
          <t>United Kingdom</t>
        </is>
      </c>
      <c r="C2367" s="122" t="n">
        <v>51</v>
      </c>
      <c r="D2367" s="122" t="n">
        <v>2</v>
      </c>
      <c r="E2367" s="123" t="n">
        <v>173.16</v>
      </c>
      <c r="F2367" s="124">
        <f>IF(C2367&lt;=30,5,IF(C2367&lt;=60,4,IF(C2367&lt;=120,3,IF(C2367&lt;=200,2,1))))</f>
        <v/>
      </c>
      <c r="G2367" s="124">
        <f>IF(D2367&gt;=20,5,IF(D2367&gt;=10,4,IF(D2367&gt;=5,3,IF(D2367&gt;=2,2,1))))</f>
        <v/>
      </c>
      <c r="H2367" s="124">
        <f>IF(E2367&gt;=5000,5,IF(E2367&gt;=2000,4,IF(E2367&gt;=800,3,IF(E2367&gt;=300,2,1))))</f>
        <v/>
      </c>
      <c r="I2367" s="122">
        <f>TEXT(F2367,"0")&amp;TEXT(G2367,"0")&amp;TEXT(H2367,"0")</f>
        <v/>
      </c>
      <c r="J2367" s="122">
        <f>IFERROR(XLOOKUP(I2367,'Segment Map'!A:A,'Segment Map'!B:B,"Need Attention"),"Need Attention")</f>
        <v/>
      </c>
      <c r="K2367" s="122">
        <f>IF(E2367&gt;=5000,"🏆 Platinum",IF(E2367&gt;=2000,"🥇 Gold",IF(E2367&gt;=800,"🥈 Silver","🥉 Bronze")))</f>
        <v/>
      </c>
      <c r="L2367" s="125" t="n">
        <v>40836</v>
      </c>
    </row>
    <row r="2368">
      <c r="A2368" s="126" t="n">
        <v>15567</v>
      </c>
      <c r="B2368" s="126" t="inlineStr">
        <is>
          <t>United Kingdom</t>
        </is>
      </c>
      <c r="C2368" s="126" t="n">
        <v>19</v>
      </c>
      <c r="D2368" s="126" t="n">
        <v>1</v>
      </c>
      <c r="E2368" s="127" t="n">
        <v>186.01</v>
      </c>
      <c r="F2368" s="128">
        <f>IF(C2368&lt;=30,5,IF(C2368&lt;=60,4,IF(C2368&lt;=120,3,IF(C2368&lt;=200,2,1))))</f>
        <v/>
      </c>
      <c r="G2368" s="128">
        <f>IF(D2368&gt;=20,5,IF(D2368&gt;=10,4,IF(D2368&gt;=5,3,IF(D2368&gt;=2,2,1))))</f>
        <v/>
      </c>
      <c r="H2368" s="128">
        <f>IF(E2368&gt;=5000,5,IF(E2368&gt;=2000,4,IF(E2368&gt;=800,3,IF(E2368&gt;=300,2,1))))</f>
        <v/>
      </c>
      <c r="I2368" s="126">
        <f>TEXT(F2368,"0")&amp;TEXT(G2368,"0")&amp;TEXT(H2368,"0")</f>
        <v/>
      </c>
      <c r="J2368" s="126">
        <f>IFERROR(XLOOKUP(I2368,'Segment Map'!A:A,'Segment Map'!B:B,"Need Attention"),"Need Attention")</f>
        <v/>
      </c>
      <c r="K2368" s="126">
        <f>IF(E2368&gt;=5000,"🏆 Platinum",IF(E2368&gt;=2000,"🥇 Gold",IF(E2368&gt;=800,"🥈 Silver","🥉 Bronze")))</f>
        <v/>
      </c>
      <c r="L2368" s="129" t="n">
        <v>40868</v>
      </c>
    </row>
    <row r="2369">
      <c r="A2369" s="122" t="n">
        <v>15568</v>
      </c>
      <c r="B2369" s="122" t="inlineStr">
        <is>
          <t>United Kingdom</t>
        </is>
      </c>
      <c r="C2369" s="122" t="n">
        <v>3</v>
      </c>
      <c r="D2369" s="122" t="n">
        <v>3</v>
      </c>
      <c r="E2369" s="123" t="n">
        <v>758.29</v>
      </c>
      <c r="F2369" s="124">
        <f>IF(C2369&lt;=30,5,IF(C2369&lt;=60,4,IF(C2369&lt;=120,3,IF(C2369&lt;=200,2,1))))</f>
        <v/>
      </c>
      <c r="G2369" s="124">
        <f>IF(D2369&gt;=20,5,IF(D2369&gt;=10,4,IF(D2369&gt;=5,3,IF(D2369&gt;=2,2,1))))</f>
        <v/>
      </c>
      <c r="H2369" s="124">
        <f>IF(E2369&gt;=5000,5,IF(E2369&gt;=2000,4,IF(E2369&gt;=800,3,IF(E2369&gt;=300,2,1))))</f>
        <v/>
      </c>
      <c r="I2369" s="122">
        <f>TEXT(F2369,"0")&amp;TEXT(G2369,"0")&amp;TEXT(H2369,"0")</f>
        <v/>
      </c>
      <c r="J2369" s="122">
        <f>IFERROR(XLOOKUP(I2369,'Segment Map'!A:A,'Segment Map'!B:B,"Need Attention"),"Need Attention")</f>
        <v/>
      </c>
      <c r="K2369" s="122">
        <f>IF(E2369&gt;=5000,"🏆 Platinum",IF(E2369&gt;=2000,"🥇 Gold",IF(E2369&gt;=800,"🥈 Silver","🥉 Bronze")))</f>
        <v/>
      </c>
      <c r="L2369" s="125" t="n">
        <v>40884</v>
      </c>
    </row>
    <row r="2370">
      <c r="A2370" s="126" t="n">
        <v>15569</v>
      </c>
      <c r="B2370" s="126" t="inlineStr">
        <is>
          <t>United Kingdom</t>
        </is>
      </c>
      <c r="C2370" s="126" t="n">
        <v>104</v>
      </c>
      <c r="D2370" s="126" t="n">
        <v>5</v>
      </c>
      <c r="E2370" s="127" t="n">
        <v>1375.71</v>
      </c>
      <c r="F2370" s="128">
        <f>IF(C2370&lt;=30,5,IF(C2370&lt;=60,4,IF(C2370&lt;=120,3,IF(C2370&lt;=200,2,1))))</f>
        <v/>
      </c>
      <c r="G2370" s="128">
        <f>IF(D2370&gt;=20,5,IF(D2370&gt;=10,4,IF(D2370&gt;=5,3,IF(D2370&gt;=2,2,1))))</f>
        <v/>
      </c>
      <c r="H2370" s="128">
        <f>IF(E2370&gt;=5000,5,IF(E2370&gt;=2000,4,IF(E2370&gt;=800,3,IF(E2370&gt;=300,2,1))))</f>
        <v/>
      </c>
      <c r="I2370" s="126">
        <f>TEXT(F2370,"0")&amp;TEXT(G2370,"0")&amp;TEXT(H2370,"0")</f>
        <v/>
      </c>
      <c r="J2370" s="126">
        <f>IFERROR(XLOOKUP(I2370,'Segment Map'!A:A,'Segment Map'!B:B,"Need Attention"),"Need Attention")</f>
        <v/>
      </c>
      <c r="K2370" s="126">
        <f>IF(E2370&gt;=5000,"🏆 Platinum",IF(E2370&gt;=2000,"🥇 Gold",IF(E2370&gt;=800,"🥈 Silver","🥉 Bronze")))</f>
        <v/>
      </c>
      <c r="L2370" s="129" t="n">
        <v>40783</v>
      </c>
    </row>
    <row r="2371">
      <c r="A2371" s="122" t="n">
        <v>15570</v>
      </c>
      <c r="B2371" s="122" t="inlineStr">
        <is>
          <t>United Kingdom</t>
        </is>
      </c>
      <c r="C2371" s="122" t="n">
        <v>8</v>
      </c>
      <c r="D2371" s="122" t="n">
        <v>12</v>
      </c>
      <c r="E2371" s="123" t="n">
        <v>4165.52</v>
      </c>
      <c r="F2371" s="124">
        <f>IF(C2371&lt;=30,5,IF(C2371&lt;=60,4,IF(C2371&lt;=120,3,IF(C2371&lt;=200,2,1))))</f>
        <v/>
      </c>
      <c r="G2371" s="124">
        <f>IF(D2371&gt;=20,5,IF(D2371&gt;=10,4,IF(D2371&gt;=5,3,IF(D2371&gt;=2,2,1))))</f>
        <v/>
      </c>
      <c r="H2371" s="124">
        <f>IF(E2371&gt;=5000,5,IF(E2371&gt;=2000,4,IF(E2371&gt;=800,3,IF(E2371&gt;=300,2,1))))</f>
        <v/>
      </c>
      <c r="I2371" s="122">
        <f>TEXT(F2371,"0")&amp;TEXT(G2371,"0")&amp;TEXT(H2371,"0")</f>
        <v/>
      </c>
      <c r="J2371" s="122">
        <f>IFERROR(XLOOKUP(I2371,'Segment Map'!A:A,'Segment Map'!B:B,"Need Attention"),"Need Attention")</f>
        <v/>
      </c>
      <c r="K2371" s="122">
        <f>IF(E2371&gt;=5000,"🏆 Platinum",IF(E2371&gt;=2000,"🥇 Gold",IF(E2371&gt;=800,"🥈 Silver","🥉 Bronze")))</f>
        <v/>
      </c>
      <c r="L2371" s="125" t="n">
        <v>40879</v>
      </c>
    </row>
    <row r="2372">
      <c r="A2372" s="126" t="n">
        <v>15571</v>
      </c>
      <c r="B2372" s="126" t="inlineStr">
        <is>
          <t>United Kingdom</t>
        </is>
      </c>
      <c r="C2372" s="126" t="n">
        <v>12</v>
      </c>
      <c r="D2372" s="126" t="n">
        <v>4</v>
      </c>
      <c r="E2372" s="127" t="n">
        <v>650.4299999999999</v>
      </c>
      <c r="F2372" s="128">
        <f>IF(C2372&lt;=30,5,IF(C2372&lt;=60,4,IF(C2372&lt;=120,3,IF(C2372&lt;=200,2,1))))</f>
        <v/>
      </c>
      <c r="G2372" s="128">
        <f>IF(D2372&gt;=20,5,IF(D2372&gt;=10,4,IF(D2372&gt;=5,3,IF(D2372&gt;=2,2,1))))</f>
        <v/>
      </c>
      <c r="H2372" s="128">
        <f>IF(E2372&gt;=5000,5,IF(E2372&gt;=2000,4,IF(E2372&gt;=800,3,IF(E2372&gt;=300,2,1))))</f>
        <v/>
      </c>
      <c r="I2372" s="126">
        <f>TEXT(F2372,"0")&amp;TEXT(G2372,"0")&amp;TEXT(H2372,"0")</f>
        <v/>
      </c>
      <c r="J2372" s="126">
        <f>IFERROR(XLOOKUP(I2372,'Segment Map'!A:A,'Segment Map'!B:B,"Need Attention"),"Need Attention")</f>
        <v/>
      </c>
      <c r="K2372" s="126">
        <f>IF(E2372&gt;=5000,"🏆 Platinum",IF(E2372&gt;=2000,"🥇 Gold",IF(E2372&gt;=800,"🥈 Silver","🥉 Bronze")))</f>
        <v/>
      </c>
      <c r="L2372" s="129" t="n">
        <v>40875</v>
      </c>
    </row>
    <row r="2373">
      <c r="A2373" s="122" t="n">
        <v>15572</v>
      </c>
      <c r="B2373" s="122" t="inlineStr">
        <is>
          <t>United Kingdom</t>
        </is>
      </c>
      <c r="C2373" s="122" t="n">
        <v>5</v>
      </c>
      <c r="D2373" s="122" t="n">
        <v>7</v>
      </c>
      <c r="E2373" s="123" t="n">
        <v>2552.86</v>
      </c>
      <c r="F2373" s="124">
        <f>IF(C2373&lt;=30,5,IF(C2373&lt;=60,4,IF(C2373&lt;=120,3,IF(C2373&lt;=200,2,1))))</f>
        <v/>
      </c>
      <c r="G2373" s="124">
        <f>IF(D2373&gt;=20,5,IF(D2373&gt;=10,4,IF(D2373&gt;=5,3,IF(D2373&gt;=2,2,1))))</f>
        <v/>
      </c>
      <c r="H2373" s="124">
        <f>IF(E2373&gt;=5000,5,IF(E2373&gt;=2000,4,IF(E2373&gt;=800,3,IF(E2373&gt;=300,2,1))))</f>
        <v/>
      </c>
      <c r="I2373" s="122">
        <f>TEXT(F2373,"0")&amp;TEXT(G2373,"0")&amp;TEXT(H2373,"0")</f>
        <v/>
      </c>
      <c r="J2373" s="122">
        <f>IFERROR(XLOOKUP(I2373,'Segment Map'!A:A,'Segment Map'!B:B,"Need Attention"),"Need Attention")</f>
        <v/>
      </c>
      <c r="K2373" s="122">
        <f>IF(E2373&gt;=5000,"🏆 Platinum",IF(E2373&gt;=2000,"🥇 Gold",IF(E2373&gt;=800,"🥈 Silver","🥉 Bronze")))</f>
        <v/>
      </c>
      <c r="L2373" s="125" t="n">
        <v>40882</v>
      </c>
    </row>
    <row r="2374">
      <c r="A2374" s="126" t="n">
        <v>15573</v>
      </c>
      <c r="B2374" s="126" t="inlineStr">
        <is>
          <t>United Kingdom</t>
        </is>
      </c>
      <c r="C2374" s="126" t="n">
        <v>32</v>
      </c>
      <c r="D2374" s="126" t="n">
        <v>2</v>
      </c>
      <c r="E2374" s="127" t="n">
        <v>607.45</v>
      </c>
      <c r="F2374" s="128">
        <f>IF(C2374&lt;=30,5,IF(C2374&lt;=60,4,IF(C2374&lt;=120,3,IF(C2374&lt;=200,2,1))))</f>
        <v/>
      </c>
      <c r="G2374" s="128">
        <f>IF(D2374&gt;=20,5,IF(D2374&gt;=10,4,IF(D2374&gt;=5,3,IF(D2374&gt;=2,2,1))))</f>
        <v/>
      </c>
      <c r="H2374" s="128">
        <f>IF(E2374&gt;=5000,5,IF(E2374&gt;=2000,4,IF(E2374&gt;=800,3,IF(E2374&gt;=300,2,1))))</f>
        <v/>
      </c>
      <c r="I2374" s="126">
        <f>TEXT(F2374,"0")&amp;TEXT(G2374,"0")&amp;TEXT(H2374,"0")</f>
        <v/>
      </c>
      <c r="J2374" s="126">
        <f>IFERROR(XLOOKUP(I2374,'Segment Map'!A:A,'Segment Map'!B:B,"Need Attention"),"Need Attention")</f>
        <v/>
      </c>
      <c r="K2374" s="126">
        <f>IF(E2374&gt;=5000,"🏆 Platinum",IF(E2374&gt;=2000,"🥇 Gold",IF(E2374&gt;=800,"🥈 Silver","🥉 Bronze")))</f>
        <v/>
      </c>
      <c r="L2374" s="129" t="n">
        <v>40855</v>
      </c>
    </row>
    <row r="2375">
      <c r="A2375" s="122" t="n">
        <v>15574</v>
      </c>
      <c r="B2375" s="122" t="inlineStr">
        <is>
          <t>United Kingdom</t>
        </is>
      </c>
      <c r="C2375" s="122" t="n">
        <v>178</v>
      </c>
      <c r="D2375" s="122" t="n">
        <v>4</v>
      </c>
      <c r="E2375" s="123" t="n">
        <v>702.25</v>
      </c>
      <c r="F2375" s="124">
        <f>IF(C2375&lt;=30,5,IF(C2375&lt;=60,4,IF(C2375&lt;=120,3,IF(C2375&lt;=200,2,1))))</f>
        <v/>
      </c>
      <c r="G2375" s="124">
        <f>IF(D2375&gt;=20,5,IF(D2375&gt;=10,4,IF(D2375&gt;=5,3,IF(D2375&gt;=2,2,1))))</f>
        <v/>
      </c>
      <c r="H2375" s="124">
        <f>IF(E2375&gt;=5000,5,IF(E2375&gt;=2000,4,IF(E2375&gt;=800,3,IF(E2375&gt;=300,2,1))))</f>
        <v/>
      </c>
      <c r="I2375" s="122">
        <f>TEXT(F2375,"0")&amp;TEXT(G2375,"0")&amp;TEXT(H2375,"0")</f>
        <v/>
      </c>
      <c r="J2375" s="122">
        <f>IFERROR(XLOOKUP(I2375,'Segment Map'!A:A,'Segment Map'!B:B,"Need Attention"),"Need Attention")</f>
        <v/>
      </c>
      <c r="K2375" s="122">
        <f>IF(E2375&gt;=5000,"🏆 Platinum",IF(E2375&gt;=2000,"🥇 Gold",IF(E2375&gt;=800,"🥈 Silver","🥉 Bronze")))</f>
        <v/>
      </c>
      <c r="L2375" s="125" t="n">
        <v>40709</v>
      </c>
    </row>
    <row r="2376">
      <c r="A2376" s="126" t="n">
        <v>15576</v>
      </c>
      <c r="B2376" s="126" t="inlineStr">
        <is>
          <t>United Kingdom</t>
        </is>
      </c>
      <c r="C2376" s="126" t="n">
        <v>38</v>
      </c>
      <c r="D2376" s="126" t="n">
        <v>1</v>
      </c>
      <c r="E2376" s="127" t="n">
        <v>940.67</v>
      </c>
      <c r="F2376" s="128">
        <f>IF(C2376&lt;=30,5,IF(C2376&lt;=60,4,IF(C2376&lt;=120,3,IF(C2376&lt;=200,2,1))))</f>
        <v/>
      </c>
      <c r="G2376" s="128">
        <f>IF(D2376&gt;=20,5,IF(D2376&gt;=10,4,IF(D2376&gt;=5,3,IF(D2376&gt;=2,2,1))))</f>
        <v/>
      </c>
      <c r="H2376" s="128">
        <f>IF(E2376&gt;=5000,5,IF(E2376&gt;=2000,4,IF(E2376&gt;=800,3,IF(E2376&gt;=300,2,1))))</f>
        <v/>
      </c>
      <c r="I2376" s="126">
        <f>TEXT(F2376,"0")&amp;TEXT(G2376,"0")&amp;TEXT(H2376,"0")</f>
        <v/>
      </c>
      <c r="J2376" s="126">
        <f>IFERROR(XLOOKUP(I2376,'Segment Map'!A:A,'Segment Map'!B:B,"Need Attention"),"Need Attention")</f>
        <v/>
      </c>
      <c r="K2376" s="126">
        <f>IF(E2376&gt;=5000,"🏆 Platinum",IF(E2376&gt;=2000,"🥇 Gold",IF(E2376&gt;=800,"🥈 Silver","🥉 Bronze")))</f>
        <v/>
      </c>
      <c r="L2376" s="129" t="n">
        <v>40849</v>
      </c>
    </row>
    <row r="2377">
      <c r="A2377" s="122" t="n">
        <v>15577</v>
      </c>
      <c r="B2377" s="122" t="inlineStr">
        <is>
          <t>United Kingdom</t>
        </is>
      </c>
      <c r="C2377" s="122" t="n">
        <v>152</v>
      </c>
      <c r="D2377" s="122" t="n">
        <v>3</v>
      </c>
      <c r="E2377" s="123" t="n">
        <v>258.88</v>
      </c>
      <c r="F2377" s="124">
        <f>IF(C2377&lt;=30,5,IF(C2377&lt;=60,4,IF(C2377&lt;=120,3,IF(C2377&lt;=200,2,1))))</f>
        <v/>
      </c>
      <c r="G2377" s="124">
        <f>IF(D2377&gt;=20,5,IF(D2377&gt;=10,4,IF(D2377&gt;=5,3,IF(D2377&gt;=2,2,1))))</f>
        <v/>
      </c>
      <c r="H2377" s="124">
        <f>IF(E2377&gt;=5000,5,IF(E2377&gt;=2000,4,IF(E2377&gt;=800,3,IF(E2377&gt;=300,2,1))))</f>
        <v/>
      </c>
      <c r="I2377" s="122">
        <f>TEXT(F2377,"0")&amp;TEXT(G2377,"0")&amp;TEXT(H2377,"0")</f>
        <v/>
      </c>
      <c r="J2377" s="122">
        <f>IFERROR(XLOOKUP(I2377,'Segment Map'!A:A,'Segment Map'!B:B,"Need Attention"),"Need Attention")</f>
        <v/>
      </c>
      <c r="K2377" s="122">
        <f>IF(E2377&gt;=5000,"🏆 Platinum",IF(E2377&gt;=2000,"🥇 Gold",IF(E2377&gt;=800,"🥈 Silver","🥉 Bronze")))</f>
        <v/>
      </c>
      <c r="L2377" s="125" t="n">
        <v>40735</v>
      </c>
    </row>
    <row r="2378">
      <c r="A2378" s="126" t="n">
        <v>15578</v>
      </c>
      <c r="B2378" s="126" t="inlineStr">
        <is>
          <t>United Kingdom</t>
        </is>
      </c>
      <c r="C2378" s="126" t="n">
        <v>163</v>
      </c>
      <c r="D2378" s="126" t="n">
        <v>1</v>
      </c>
      <c r="E2378" s="127" t="n">
        <v>127.1</v>
      </c>
      <c r="F2378" s="128">
        <f>IF(C2378&lt;=30,5,IF(C2378&lt;=60,4,IF(C2378&lt;=120,3,IF(C2378&lt;=200,2,1))))</f>
        <v/>
      </c>
      <c r="G2378" s="128">
        <f>IF(D2378&gt;=20,5,IF(D2378&gt;=10,4,IF(D2378&gt;=5,3,IF(D2378&gt;=2,2,1))))</f>
        <v/>
      </c>
      <c r="H2378" s="128">
        <f>IF(E2378&gt;=5000,5,IF(E2378&gt;=2000,4,IF(E2378&gt;=800,3,IF(E2378&gt;=300,2,1))))</f>
        <v/>
      </c>
      <c r="I2378" s="126">
        <f>TEXT(F2378,"0")&amp;TEXT(G2378,"0")&amp;TEXT(H2378,"0")</f>
        <v/>
      </c>
      <c r="J2378" s="126">
        <f>IFERROR(XLOOKUP(I2378,'Segment Map'!A:A,'Segment Map'!B:B,"Need Attention"),"Need Attention")</f>
        <v/>
      </c>
      <c r="K2378" s="126">
        <f>IF(E2378&gt;=5000,"🏆 Platinum",IF(E2378&gt;=2000,"🥇 Gold",IF(E2378&gt;=800,"🥈 Silver","🥉 Bronze")))</f>
        <v/>
      </c>
      <c r="L2378" s="129" t="n">
        <v>40724</v>
      </c>
    </row>
    <row r="2379">
      <c r="A2379" s="122" t="n">
        <v>15579</v>
      </c>
      <c r="B2379" s="122" t="inlineStr">
        <is>
          <t>United Kingdom</t>
        </is>
      </c>
      <c r="C2379" s="122" t="n">
        <v>69</v>
      </c>
      <c r="D2379" s="122" t="n">
        <v>2</v>
      </c>
      <c r="E2379" s="123" t="n">
        <v>348.6</v>
      </c>
      <c r="F2379" s="124">
        <f>IF(C2379&lt;=30,5,IF(C2379&lt;=60,4,IF(C2379&lt;=120,3,IF(C2379&lt;=200,2,1))))</f>
        <v/>
      </c>
      <c r="G2379" s="124">
        <f>IF(D2379&gt;=20,5,IF(D2379&gt;=10,4,IF(D2379&gt;=5,3,IF(D2379&gt;=2,2,1))))</f>
        <v/>
      </c>
      <c r="H2379" s="124">
        <f>IF(E2379&gt;=5000,5,IF(E2379&gt;=2000,4,IF(E2379&gt;=800,3,IF(E2379&gt;=300,2,1))))</f>
        <v/>
      </c>
      <c r="I2379" s="122">
        <f>TEXT(F2379,"0")&amp;TEXT(G2379,"0")&amp;TEXT(H2379,"0")</f>
        <v/>
      </c>
      <c r="J2379" s="122">
        <f>IFERROR(XLOOKUP(I2379,'Segment Map'!A:A,'Segment Map'!B:B,"Need Attention"),"Need Attention")</f>
        <v/>
      </c>
      <c r="K2379" s="122">
        <f>IF(E2379&gt;=5000,"🏆 Platinum",IF(E2379&gt;=2000,"🥇 Gold",IF(E2379&gt;=800,"🥈 Silver","🥉 Bronze")))</f>
        <v/>
      </c>
      <c r="L2379" s="125" t="n">
        <v>40818</v>
      </c>
    </row>
    <row r="2380">
      <c r="A2380" s="126" t="n">
        <v>15581</v>
      </c>
      <c r="B2380" s="126" t="inlineStr">
        <is>
          <t>United Kingdom</t>
        </is>
      </c>
      <c r="C2380" s="126" t="n">
        <v>121</v>
      </c>
      <c r="D2380" s="126" t="n">
        <v>13</v>
      </c>
      <c r="E2380" s="127" t="n">
        <v>3679.97</v>
      </c>
      <c r="F2380" s="128">
        <f>IF(C2380&lt;=30,5,IF(C2380&lt;=60,4,IF(C2380&lt;=120,3,IF(C2380&lt;=200,2,1))))</f>
        <v/>
      </c>
      <c r="G2380" s="128">
        <f>IF(D2380&gt;=20,5,IF(D2380&gt;=10,4,IF(D2380&gt;=5,3,IF(D2380&gt;=2,2,1))))</f>
        <v/>
      </c>
      <c r="H2380" s="128">
        <f>IF(E2380&gt;=5000,5,IF(E2380&gt;=2000,4,IF(E2380&gt;=800,3,IF(E2380&gt;=300,2,1))))</f>
        <v/>
      </c>
      <c r="I2380" s="126">
        <f>TEXT(F2380,"0")&amp;TEXT(G2380,"0")&amp;TEXT(H2380,"0")</f>
        <v/>
      </c>
      <c r="J2380" s="126">
        <f>IFERROR(XLOOKUP(I2380,'Segment Map'!A:A,'Segment Map'!B:B,"Need Attention"),"Need Attention")</f>
        <v/>
      </c>
      <c r="K2380" s="126">
        <f>IF(E2380&gt;=5000,"🏆 Platinum",IF(E2380&gt;=2000,"🥇 Gold",IF(E2380&gt;=800,"🥈 Silver","🥉 Bronze")))</f>
        <v/>
      </c>
      <c r="L2380" s="129" t="n">
        <v>40766</v>
      </c>
    </row>
    <row r="2381">
      <c r="A2381" s="122" t="n">
        <v>15582</v>
      </c>
      <c r="B2381" s="122" t="inlineStr">
        <is>
          <t>United Kingdom</t>
        </is>
      </c>
      <c r="C2381" s="122" t="n">
        <v>25</v>
      </c>
      <c r="D2381" s="122" t="n">
        <v>3</v>
      </c>
      <c r="E2381" s="123" t="n">
        <v>682.91</v>
      </c>
      <c r="F2381" s="124">
        <f>IF(C2381&lt;=30,5,IF(C2381&lt;=60,4,IF(C2381&lt;=120,3,IF(C2381&lt;=200,2,1))))</f>
        <v/>
      </c>
      <c r="G2381" s="124">
        <f>IF(D2381&gt;=20,5,IF(D2381&gt;=10,4,IF(D2381&gt;=5,3,IF(D2381&gt;=2,2,1))))</f>
        <v/>
      </c>
      <c r="H2381" s="124">
        <f>IF(E2381&gt;=5000,5,IF(E2381&gt;=2000,4,IF(E2381&gt;=800,3,IF(E2381&gt;=300,2,1))))</f>
        <v/>
      </c>
      <c r="I2381" s="122">
        <f>TEXT(F2381,"0")&amp;TEXT(G2381,"0")&amp;TEXT(H2381,"0")</f>
        <v/>
      </c>
      <c r="J2381" s="122">
        <f>IFERROR(XLOOKUP(I2381,'Segment Map'!A:A,'Segment Map'!B:B,"Need Attention"),"Need Attention")</f>
        <v/>
      </c>
      <c r="K2381" s="122">
        <f>IF(E2381&gt;=5000,"🏆 Platinum",IF(E2381&gt;=2000,"🥇 Gold",IF(E2381&gt;=800,"🥈 Silver","🥉 Bronze")))</f>
        <v/>
      </c>
      <c r="L2381" s="125" t="n">
        <v>40862</v>
      </c>
    </row>
    <row r="2382">
      <c r="A2382" s="126" t="n">
        <v>15584</v>
      </c>
      <c r="B2382" s="126" t="inlineStr">
        <is>
          <t>United Kingdom</t>
        </is>
      </c>
      <c r="C2382" s="126" t="n">
        <v>24</v>
      </c>
      <c r="D2382" s="126" t="n">
        <v>4</v>
      </c>
      <c r="E2382" s="127" t="n">
        <v>725.11</v>
      </c>
      <c r="F2382" s="128">
        <f>IF(C2382&lt;=30,5,IF(C2382&lt;=60,4,IF(C2382&lt;=120,3,IF(C2382&lt;=200,2,1))))</f>
        <v/>
      </c>
      <c r="G2382" s="128">
        <f>IF(D2382&gt;=20,5,IF(D2382&gt;=10,4,IF(D2382&gt;=5,3,IF(D2382&gt;=2,2,1))))</f>
        <v/>
      </c>
      <c r="H2382" s="128">
        <f>IF(E2382&gt;=5000,5,IF(E2382&gt;=2000,4,IF(E2382&gt;=800,3,IF(E2382&gt;=300,2,1))))</f>
        <v/>
      </c>
      <c r="I2382" s="126">
        <f>TEXT(F2382,"0")&amp;TEXT(G2382,"0")&amp;TEXT(H2382,"0")</f>
        <v/>
      </c>
      <c r="J2382" s="126">
        <f>IFERROR(XLOOKUP(I2382,'Segment Map'!A:A,'Segment Map'!B:B,"Need Attention"),"Need Attention")</f>
        <v/>
      </c>
      <c r="K2382" s="126">
        <f>IF(E2382&gt;=5000,"🏆 Platinum",IF(E2382&gt;=2000,"🥇 Gold",IF(E2382&gt;=800,"🥈 Silver","🥉 Bronze")))</f>
        <v/>
      </c>
      <c r="L2382" s="129" t="n">
        <v>40863</v>
      </c>
    </row>
    <row r="2383">
      <c r="A2383" s="122" t="n">
        <v>15585</v>
      </c>
      <c r="B2383" s="122" t="inlineStr">
        <is>
          <t>United Kingdom</t>
        </is>
      </c>
      <c r="C2383" s="122" t="n">
        <v>177</v>
      </c>
      <c r="D2383" s="122" t="n">
        <v>1</v>
      </c>
      <c r="E2383" s="123" t="n">
        <v>455.3</v>
      </c>
      <c r="F2383" s="124">
        <f>IF(C2383&lt;=30,5,IF(C2383&lt;=60,4,IF(C2383&lt;=120,3,IF(C2383&lt;=200,2,1))))</f>
        <v/>
      </c>
      <c r="G2383" s="124">
        <f>IF(D2383&gt;=20,5,IF(D2383&gt;=10,4,IF(D2383&gt;=5,3,IF(D2383&gt;=2,2,1))))</f>
        <v/>
      </c>
      <c r="H2383" s="124">
        <f>IF(E2383&gt;=5000,5,IF(E2383&gt;=2000,4,IF(E2383&gt;=800,3,IF(E2383&gt;=300,2,1))))</f>
        <v/>
      </c>
      <c r="I2383" s="122">
        <f>TEXT(F2383,"0")&amp;TEXT(G2383,"0")&amp;TEXT(H2383,"0")</f>
        <v/>
      </c>
      <c r="J2383" s="122">
        <f>IFERROR(XLOOKUP(I2383,'Segment Map'!A:A,'Segment Map'!B:B,"Need Attention"),"Need Attention")</f>
        <v/>
      </c>
      <c r="K2383" s="122">
        <f>IF(E2383&gt;=5000,"🏆 Platinum",IF(E2383&gt;=2000,"🥇 Gold",IF(E2383&gt;=800,"🥈 Silver","🥉 Bronze")))</f>
        <v/>
      </c>
      <c r="L2383" s="125" t="n">
        <v>40710</v>
      </c>
    </row>
    <row r="2384">
      <c r="A2384" s="126" t="n">
        <v>15587</v>
      </c>
      <c r="B2384" s="126" t="inlineStr">
        <is>
          <t>United Kingdom</t>
        </is>
      </c>
      <c r="C2384" s="126" t="n">
        <v>51</v>
      </c>
      <c r="D2384" s="126" t="n">
        <v>4</v>
      </c>
      <c r="E2384" s="127" t="n">
        <v>913.6799999999999</v>
      </c>
      <c r="F2384" s="128">
        <f>IF(C2384&lt;=30,5,IF(C2384&lt;=60,4,IF(C2384&lt;=120,3,IF(C2384&lt;=200,2,1))))</f>
        <v/>
      </c>
      <c r="G2384" s="128">
        <f>IF(D2384&gt;=20,5,IF(D2384&gt;=10,4,IF(D2384&gt;=5,3,IF(D2384&gt;=2,2,1))))</f>
        <v/>
      </c>
      <c r="H2384" s="128">
        <f>IF(E2384&gt;=5000,5,IF(E2384&gt;=2000,4,IF(E2384&gt;=800,3,IF(E2384&gt;=300,2,1))))</f>
        <v/>
      </c>
      <c r="I2384" s="126">
        <f>TEXT(F2384,"0")&amp;TEXT(G2384,"0")&amp;TEXT(H2384,"0")</f>
        <v/>
      </c>
      <c r="J2384" s="126">
        <f>IFERROR(XLOOKUP(I2384,'Segment Map'!A:A,'Segment Map'!B:B,"Need Attention"),"Need Attention")</f>
        <v/>
      </c>
      <c r="K2384" s="126">
        <f>IF(E2384&gt;=5000,"🏆 Platinum",IF(E2384&gt;=2000,"🥇 Gold",IF(E2384&gt;=800,"🥈 Silver","🥉 Bronze")))</f>
        <v/>
      </c>
      <c r="L2384" s="129" t="n">
        <v>40836</v>
      </c>
    </row>
    <row r="2385">
      <c r="A2385" s="122" t="n">
        <v>15589</v>
      </c>
      <c r="B2385" s="122" t="inlineStr">
        <is>
          <t>United Kingdom</t>
        </is>
      </c>
      <c r="C2385" s="122" t="n">
        <v>256</v>
      </c>
      <c r="D2385" s="122" t="n">
        <v>3</v>
      </c>
      <c r="E2385" s="123" t="n">
        <v>478.53</v>
      </c>
      <c r="F2385" s="124">
        <f>IF(C2385&lt;=30,5,IF(C2385&lt;=60,4,IF(C2385&lt;=120,3,IF(C2385&lt;=200,2,1))))</f>
        <v/>
      </c>
      <c r="G2385" s="124">
        <f>IF(D2385&gt;=20,5,IF(D2385&gt;=10,4,IF(D2385&gt;=5,3,IF(D2385&gt;=2,2,1))))</f>
        <v/>
      </c>
      <c r="H2385" s="124">
        <f>IF(E2385&gt;=5000,5,IF(E2385&gt;=2000,4,IF(E2385&gt;=800,3,IF(E2385&gt;=300,2,1))))</f>
        <v/>
      </c>
      <c r="I2385" s="122">
        <f>TEXT(F2385,"0")&amp;TEXT(G2385,"0")&amp;TEXT(H2385,"0")</f>
        <v/>
      </c>
      <c r="J2385" s="122">
        <f>IFERROR(XLOOKUP(I2385,'Segment Map'!A:A,'Segment Map'!B:B,"Need Attention"),"Need Attention")</f>
        <v/>
      </c>
      <c r="K2385" s="122">
        <f>IF(E2385&gt;=5000,"🏆 Platinum",IF(E2385&gt;=2000,"🥇 Gold",IF(E2385&gt;=800,"🥈 Silver","🥉 Bronze")))</f>
        <v/>
      </c>
      <c r="L2385" s="125" t="n">
        <v>40631</v>
      </c>
    </row>
    <row r="2386">
      <c r="A2386" s="126" t="n">
        <v>15592</v>
      </c>
      <c r="B2386" s="126" t="inlineStr">
        <is>
          <t>United Kingdom</t>
        </is>
      </c>
      <c r="C2386" s="126" t="n">
        <v>47</v>
      </c>
      <c r="D2386" s="126" t="n">
        <v>1</v>
      </c>
      <c r="E2386" s="127" t="n">
        <v>388.58</v>
      </c>
      <c r="F2386" s="128">
        <f>IF(C2386&lt;=30,5,IF(C2386&lt;=60,4,IF(C2386&lt;=120,3,IF(C2386&lt;=200,2,1))))</f>
        <v/>
      </c>
      <c r="G2386" s="128">
        <f>IF(D2386&gt;=20,5,IF(D2386&gt;=10,4,IF(D2386&gt;=5,3,IF(D2386&gt;=2,2,1))))</f>
        <v/>
      </c>
      <c r="H2386" s="128">
        <f>IF(E2386&gt;=5000,5,IF(E2386&gt;=2000,4,IF(E2386&gt;=800,3,IF(E2386&gt;=300,2,1))))</f>
        <v/>
      </c>
      <c r="I2386" s="126">
        <f>TEXT(F2386,"0")&amp;TEXT(G2386,"0")&amp;TEXT(H2386,"0")</f>
        <v/>
      </c>
      <c r="J2386" s="126">
        <f>IFERROR(XLOOKUP(I2386,'Segment Map'!A:A,'Segment Map'!B:B,"Need Attention"),"Need Attention")</f>
        <v/>
      </c>
      <c r="K2386" s="126">
        <f>IF(E2386&gt;=5000,"🏆 Platinum",IF(E2386&gt;=2000,"🥇 Gold",IF(E2386&gt;=800,"🥈 Silver","🥉 Bronze")))</f>
        <v/>
      </c>
      <c r="L2386" s="129" t="n">
        <v>40840</v>
      </c>
    </row>
    <row r="2387">
      <c r="A2387" s="122" t="n">
        <v>15593</v>
      </c>
      <c r="B2387" s="122" t="inlineStr">
        <is>
          <t>United Kingdom</t>
        </is>
      </c>
      <c r="C2387" s="122" t="n">
        <v>71</v>
      </c>
      <c r="D2387" s="122" t="n">
        <v>1</v>
      </c>
      <c r="E2387" s="123" t="n">
        <v>199.8</v>
      </c>
      <c r="F2387" s="124">
        <f>IF(C2387&lt;=30,5,IF(C2387&lt;=60,4,IF(C2387&lt;=120,3,IF(C2387&lt;=200,2,1))))</f>
        <v/>
      </c>
      <c r="G2387" s="124">
        <f>IF(D2387&gt;=20,5,IF(D2387&gt;=10,4,IF(D2387&gt;=5,3,IF(D2387&gt;=2,2,1))))</f>
        <v/>
      </c>
      <c r="H2387" s="124">
        <f>IF(E2387&gt;=5000,5,IF(E2387&gt;=2000,4,IF(E2387&gt;=800,3,IF(E2387&gt;=300,2,1))))</f>
        <v/>
      </c>
      <c r="I2387" s="122">
        <f>TEXT(F2387,"0")&amp;TEXT(G2387,"0")&amp;TEXT(H2387,"0")</f>
        <v/>
      </c>
      <c r="J2387" s="122">
        <f>IFERROR(XLOOKUP(I2387,'Segment Map'!A:A,'Segment Map'!B:B,"Need Attention"),"Need Attention")</f>
        <v/>
      </c>
      <c r="K2387" s="122">
        <f>IF(E2387&gt;=5000,"🏆 Platinum",IF(E2387&gt;=2000,"🥇 Gold",IF(E2387&gt;=800,"🥈 Silver","🥉 Bronze")))</f>
        <v/>
      </c>
      <c r="L2387" s="125" t="n">
        <v>40816</v>
      </c>
    </row>
    <row r="2388">
      <c r="A2388" s="126" t="n">
        <v>15594</v>
      </c>
      <c r="B2388" s="126" t="inlineStr">
        <is>
          <t>United Kingdom</t>
        </is>
      </c>
      <c r="C2388" s="126" t="n">
        <v>16</v>
      </c>
      <c r="D2388" s="126" t="n">
        <v>5</v>
      </c>
      <c r="E2388" s="127" t="n">
        <v>1771.78</v>
      </c>
      <c r="F2388" s="128">
        <f>IF(C2388&lt;=30,5,IF(C2388&lt;=60,4,IF(C2388&lt;=120,3,IF(C2388&lt;=200,2,1))))</f>
        <v/>
      </c>
      <c r="G2388" s="128">
        <f>IF(D2388&gt;=20,5,IF(D2388&gt;=10,4,IF(D2388&gt;=5,3,IF(D2388&gt;=2,2,1))))</f>
        <v/>
      </c>
      <c r="H2388" s="128">
        <f>IF(E2388&gt;=5000,5,IF(E2388&gt;=2000,4,IF(E2388&gt;=800,3,IF(E2388&gt;=300,2,1))))</f>
        <v/>
      </c>
      <c r="I2388" s="126">
        <f>TEXT(F2388,"0")&amp;TEXT(G2388,"0")&amp;TEXT(H2388,"0")</f>
        <v/>
      </c>
      <c r="J2388" s="126">
        <f>IFERROR(XLOOKUP(I2388,'Segment Map'!A:A,'Segment Map'!B:B,"Need Attention"),"Need Attention")</f>
        <v/>
      </c>
      <c r="K2388" s="126">
        <f>IF(E2388&gt;=5000,"🏆 Platinum",IF(E2388&gt;=2000,"🥇 Gold",IF(E2388&gt;=800,"🥈 Silver","🥉 Bronze")))</f>
        <v/>
      </c>
      <c r="L2388" s="129" t="n">
        <v>40871</v>
      </c>
    </row>
    <row r="2389">
      <c r="A2389" s="122" t="n">
        <v>15596</v>
      </c>
      <c r="B2389" s="122" t="inlineStr">
        <is>
          <t>United Kingdom</t>
        </is>
      </c>
      <c r="C2389" s="122" t="n">
        <v>101</v>
      </c>
      <c r="D2389" s="122" t="n">
        <v>5</v>
      </c>
      <c r="E2389" s="123" t="n">
        <v>1406.59</v>
      </c>
      <c r="F2389" s="124">
        <f>IF(C2389&lt;=30,5,IF(C2389&lt;=60,4,IF(C2389&lt;=120,3,IF(C2389&lt;=200,2,1))))</f>
        <v/>
      </c>
      <c r="G2389" s="124">
        <f>IF(D2389&gt;=20,5,IF(D2389&gt;=10,4,IF(D2389&gt;=5,3,IF(D2389&gt;=2,2,1))))</f>
        <v/>
      </c>
      <c r="H2389" s="124">
        <f>IF(E2389&gt;=5000,5,IF(E2389&gt;=2000,4,IF(E2389&gt;=800,3,IF(E2389&gt;=300,2,1))))</f>
        <v/>
      </c>
      <c r="I2389" s="122">
        <f>TEXT(F2389,"0")&amp;TEXT(G2389,"0")&amp;TEXT(H2389,"0")</f>
        <v/>
      </c>
      <c r="J2389" s="122">
        <f>IFERROR(XLOOKUP(I2389,'Segment Map'!A:A,'Segment Map'!B:B,"Need Attention"),"Need Attention")</f>
        <v/>
      </c>
      <c r="K2389" s="122">
        <f>IF(E2389&gt;=5000,"🏆 Platinum",IF(E2389&gt;=2000,"🥇 Gold",IF(E2389&gt;=800,"🥈 Silver","🥉 Bronze")))</f>
        <v/>
      </c>
      <c r="L2389" s="125" t="n">
        <v>40786</v>
      </c>
    </row>
    <row r="2390">
      <c r="A2390" s="126" t="n">
        <v>15597</v>
      </c>
      <c r="B2390" s="126" t="inlineStr">
        <is>
          <t>United Kingdom</t>
        </is>
      </c>
      <c r="C2390" s="126" t="n">
        <v>36</v>
      </c>
      <c r="D2390" s="126" t="n">
        <v>1</v>
      </c>
      <c r="E2390" s="127" t="n">
        <v>324.57</v>
      </c>
      <c r="F2390" s="128">
        <f>IF(C2390&lt;=30,5,IF(C2390&lt;=60,4,IF(C2390&lt;=120,3,IF(C2390&lt;=200,2,1))))</f>
        <v/>
      </c>
      <c r="G2390" s="128">
        <f>IF(D2390&gt;=20,5,IF(D2390&gt;=10,4,IF(D2390&gt;=5,3,IF(D2390&gt;=2,2,1))))</f>
        <v/>
      </c>
      <c r="H2390" s="128">
        <f>IF(E2390&gt;=5000,5,IF(E2390&gt;=2000,4,IF(E2390&gt;=800,3,IF(E2390&gt;=300,2,1))))</f>
        <v/>
      </c>
      <c r="I2390" s="126">
        <f>TEXT(F2390,"0")&amp;TEXT(G2390,"0")&amp;TEXT(H2390,"0")</f>
        <v/>
      </c>
      <c r="J2390" s="126">
        <f>IFERROR(XLOOKUP(I2390,'Segment Map'!A:A,'Segment Map'!B:B,"Need Attention"),"Need Attention")</f>
        <v/>
      </c>
      <c r="K2390" s="126">
        <f>IF(E2390&gt;=5000,"🏆 Platinum",IF(E2390&gt;=2000,"🥇 Gold",IF(E2390&gt;=800,"🥈 Silver","🥉 Bronze")))</f>
        <v/>
      </c>
      <c r="L2390" s="129" t="n">
        <v>40851</v>
      </c>
    </row>
    <row r="2391">
      <c r="A2391" s="122" t="n">
        <v>15598</v>
      </c>
      <c r="B2391" s="122" t="inlineStr">
        <is>
          <t>United Kingdom</t>
        </is>
      </c>
      <c r="C2391" s="122" t="n">
        <v>54</v>
      </c>
      <c r="D2391" s="122" t="n">
        <v>1</v>
      </c>
      <c r="E2391" s="123" t="n">
        <v>240.68</v>
      </c>
      <c r="F2391" s="124">
        <f>IF(C2391&lt;=30,5,IF(C2391&lt;=60,4,IF(C2391&lt;=120,3,IF(C2391&lt;=200,2,1))))</f>
        <v/>
      </c>
      <c r="G2391" s="124">
        <f>IF(D2391&gt;=20,5,IF(D2391&gt;=10,4,IF(D2391&gt;=5,3,IF(D2391&gt;=2,2,1))))</f>
        <v/>
      </c>
      <c r="H2391" s="124">
        <f>IF(E2391&gt;=5000,5,IF(E2391&gt;=2000,4,IF(E2391&gt;=800,3,IF(E2391&gt;=300,2,1))))</f>
        <v/>
      </c>
      <c r="I2391" s="122">
        <f>TEXT(F2391,"0")&amp;TEXT(G2391,"0")&amp;TEXT(H2391,"0")</f>
        <v/>
      </c>
      <c r="J2391" s="122">
        <f>IFERROR(XLOOKUP(I2391,'Segment Map'!A:A,'Segment Map'!B:B,"Need Attention"),"Need Attention")</f>
        <v/>
      </c>
      <c r="K2391" s="122">
        <f>IF(E2391&gt;=5000,"🏆 Platinum",IF(E2391&gt;=2000,"🥇 Gold",IF(E2391&gt;=800,"🥈 Silver","🥉 Bronze")))</f>
        <v/>
      </c>
      <c r="L2391" s="125" t="n">
        <v>40833</v>
      </c>
    </row>
    <row r="2392">
      <c r="A2392" s="126" t="n">
        <v>15599</v>
      </c>
      <c r="B2392" s="126" t="inlineStr">
        <is>
          <t>United Kingdom</t>
        </is>
      </c>
      <c r="C2392" s="126" t="n">
        <v>27</v>
      </c>
      <c r="D2392" s="126" t="n">
        <v>2</v>
      </c>
      <c r="E2392" s="127" t="n">
        <v>761.74</v>
      </c>
      <c r="F2392" s="128">
        <f>IF(C2392&lt;=30,5,IF(C2392&lt;=60,4,IF(C2392&lt;=120,3,IF(C2392&lt;=200,2,1))))</f>
        <v/>
      </c>
      <c r="G2392" s="128">
        <f>IF(D2392&gt;=20,5,IF(D2392&gt;=10,4,IF(D2392&gt;=5,3,IF(D2392&gt;=2,2,1))))</f>
        <v/>
      </c>
      <c r="H2392" s="128">
        <f>IF(E2392&gt;=5000,5,IF(E2392&gt;=2000,4,IF(E2392&gt;=800,3,IF(E2392&gt;=300,2,1))))</f>
        <v/>
      </c>
      <c r="I2392" s="126">
        <f>TEXT(F2392,"0")&amp;TEXT(G2392,"0")&amp;TEXT(H2392,"0")</f>
        <v/>
      </c>
      <c r="J2392" s="126">
        <f>IFERROR(XLOOKUP(I2392,'Segment Map'!A:A,'Segment Map'!B:B,"Need Attention"),"Need Attention")</f>
        <v/>
      </c>
      <c r="K2392" s="126">
        <f>IF(E2392&gt;=5000,"🏆 Platinum",IF(E2392&gt;=2000,"🥇 Gold",IF(E2392&gt;=800,"🥈 Silver","🥉 Bronze")))</f>
        <v/>
      </c>
      <c r="L2392" s="129" t="n">
        <v>40860</v>
      </c>
    </row>
    <row r="2393">
      <c r="A2393" s="122" t="n">
        <v>15601</v>
      </c>
      <c r="B2393" s="122" t="inlineStr">
        <is>
          <t>United Kingdom</t>
        </is>
      </c>
      <c r="C2393" s="122" t="n">
        <v>12</v>
      </c>
      <c r="D2393" s="122" t="n">
        <v>14</v>
      </c>
      <c r="E2393" s="123" t="n">
        <v>6776.56</v>
      </c>
      <c r="F2393" s="124">
        <f>IF(C2393&lt;=30,5,IF(C2393&lt;=60,4,IF(C2393&lt;=120,3,IF(C2393&lt;=200,2,1))))</f>
        <v/>
      </c>
      <c r="G2393" s="124">
        <f>IF(D2393&gt;=20,5,IF(D2393&gt;=10,4,IF(D2393&gt;=5,3,IF(D2393&gt;=2,2,1))))</f>
        <v/>
      </c>
      <c r="H2393" s="124">
        <f>IF(E2393&gt;=5000,5,IF(E2393&gt;=2000,4,IF(E2393&gt;=800,3,IF(E2393&gt;=300,2,1))))</f>
        <v/>
      </c>
      <c r="I2393" s="122">
        <f>TEXT(F2393,"0")&amp;TEXT(G2393,"0")&amp;TEXT(H2393,"0")</f>
        <v/>
      </c>
      <c r="J2393" s="122">
        <f>IFERROR(XLOOKUP(I2393,'Segment Map'!A:A,'Segment Map'!B:B,"Need Attention"),"Need Attention")</f>
        <v/>
      </c>
      <c r="K2393" s="122">
        <f>IF(E2393&gt;=5000,"🏆 Platinum",IF(E2393&gt;=2000,"🥇 Gold",IF(E2393&gt;=800,"🥈 Silver","🥉 Bronze")))</f>
        <v/>
      </c>
      <c r="L2393" s="125" t="n">
        <v>40875</v>
      </c>
    </row>
    <row r="2394">
      <c r="A2394" s="126" t="n">
        <v>15602</v>
      </c>
      <c r="B2394" s="126" t="inlineStr">
        <is>
          <t>United Kingdom</t>
        </is>
      </c>
      <c r="C2394" s="126" t="n">
        <v>9</v>
      </c>
      <c r="D2394" s="126" t="n">
        <v>9</v>
      </c>
      <c r="E2394" s="127" t="n">
        <v>1297.87</v>
      </c>
      <c r="F2394" s="128">
        <f>IF(C2394&lt;=30,5,IF(C2394&lt;=60,4,IF(C2394&lt;=120,3,IF(C2394&lt;=200,2,1))))</f>
        <v/>
      </c>
      <c r="G2394" s="128">
        <f>IF(D2394&gt;=20,5,IF(D2394&gt;=10,4,IF(D2394&gt;=5,3,IF(D2394&gt;=2,2,1))))</f>
        <v/>
      </c>
      <c r="H2394" s="128">
        <f>IF(E2394&gt;=5000,5,IF(E2394&gt;=2000,4,IF(E2394&gt;=800,3,IF(E2394&gt;=300,2,1))))</f>
        <v/>
      </c>
      <c r="I2394" s="126">
        <f>TEXT(F2394,"0")&amp;TEXT(G2394,"0")&amp;TEXT(H2394,"0")</f>
        <v/>
      </c>
      <c r="J2394" s="126">
        <f>IFERROR(XLOOKUP(I2394,'Segment Map'!A:A,'Segment Map'!B:B,"Need Attention"),"Need Attention")</f>
        <v/>
      </c>
      <c r="K2394" s="126">
        <f>IF(E2394&gt;=5000,"🏆 Platinum",IF(E2394&gt;=2000,"🥇 Gold",IF(E2394&gt;=800,"🥈 Silver","🥉 Bronze")))</f>
        <v/>
      </c>
      <c r="L2394" s="129" t="n">
        <v>40878</v>
      </c>
    </row>
    <row r="2395">
      <c r="A2395" s="122" t="n">
        <v>15603</v>
      </c>
      <c r="B2395" s="122" t="inlineStr">
        <is>
          <t>United Kingdom</t>
        </is>
      </c>
      <c r="C2395" s="122" t="n">
        <v>79</v>
      </c>
      <c r="D2395" s="122" t="n">
        <v>1</v>
      </c>
      <c r="E2395" s="123" t="n">
        <v>48.48</v>
      </c>
      <c r="F2395" s="124">
        <f>IF(C2395&lt;=30,5,IF(C2395&lt;=60,4,IF(C2395&lt;=120,3,IF(C2395&lt;=200,2,1))))</f>
        <v/>
      </c>
      <c r="G2395" s="124">
        <f>IF(D2395&gt;=20,5,IF(D2395&gt;=10,4,IF(D2395&gt;=5,3,IF(D2395&gt;=2,2,1))))</f>
        <v/>
      </c>
      <c r="H2395" s="124">
        <f>IF(E2395&gt;=5000,5,IF(E2395&gt;=2000,4,IF(E2395&gt;=800,3,IF(E2395&gt;=300,2,1))))</f>
        <v/>
      </c>
      <c r="I2395" s="122">
        <f>TEXT(F2395,"0")&amp;TEXT(G2395,"0")&amp;TEXT(H2395,"0")</f>
        <v/>
      </c>
      <c r="J2395" s="122">
        <f>IFERROR(XLOOKUP(I2395,'Segment Map'!A:A,'Segment Map'!B:B,"Need Attention"),"Need Attention")</f>
        <v/>
      </c>
      <c r="K2395" s="122">
        <f>IF(E2395&gt;=5000,"🏆 Platinum",IF(E2395&gt;=2000,"🥇 Gold",IF(E2395&gt;=800,"🥈 Silver","🥉 Bronze")))</f>
        <v/>
      </c>
      <c r="L2395" s="125" t="n">
        <v>40808</v>
      </c>
    </row>
    <row r="2396">
      <c r="A2396" s="126" t="n">
        <v>15604</v>
      </c>
      <c r="B2396" s="126" t="inlineStr">
        <is>
          <t>United Kingdom</t>
        </is>
      </c>
      <c r="C2396" s="126" t="n">
        <v>53</v>
      </c>
      <c r="D2396" s="126" t="n">
        <v>1</v>
      </c>
      <c r="E2396" s="127" t="n">
        <v>216.39</v>
      </c>
      <c r="F2396" s="128">
        <f>IF(C2396&lt;=30,5,IF(C2396&lt;=60,4,IF(C2396&lt;=120,3,IF(C2396&lt;=200,2,1))))</f>
        <v/>
      </c>
      <c r="G2396" s="128">
        <f>IF(D2396&gt;=20,5,IF(D2396&gt;=10,4,IF(D2396&gt;=5,3,IF(D2396&gt;=2,2,1))))</f>
        <v/>
      </c>
      <c r="H2396" s="128">
        <f>IF(E2396&gt;=5000,5,IF(E2396&gt;=2000,4,IF(E2396&gt;=800,3,IF(E2396&gt;=300,2,1))))</f>
        <v/>
      </c>
      <c r="I2396" s="126">
        <f>TEXT(F2396,"0")&amp;TEXT(G2396,"0")&amp;TEXT(H2396,"0")</f>
        <v/>
      </c>
      <c r="J2396" s="126">
        <f>IFERROR(XLOOKUP(I2396,'Segment Map'!A:A,'Segment Map'!B:B,"Need Attention"),"Need Attention")</f>
        <v/>
      </c>
      <c r="K2396" s="126">
        <f>IF(E2396&gt;=5000,"🏆 Platinum",IF(E2396&gt;=2000,"🥇 Gold",IF(E2396&gt;=800,"🥈 Silver","🥉 Bronze")))</f>
        <v/>
      </c>
      <c r="L2396" s="129" t="n">
        <v>40834</v>
      </c>
    </row>
    <row r="2397">
      <c r="A2397" s="122" t="n">
        <v>15605</v>
      </c>
      <c r="B2397" s="122" t="inlineStr">
        <is>
          <t>United Kingdom</t>
        </is>
      </c>
      <c r="C2397" s="122" t="n">
        <v>37</v>
      </c>
      <c r="D2397" s="122" t="n">
        <v>5</v>
      </c>
      <c r="E2397" s="123" t="n">
        <v>1198.23</v>
      </c>
      <c r="F2397" s="124">
        <f>IF(C2397&lt;=30,5,IF(C2397&lt;=60,4,IF(C2397&lt;=120,3,IF(C2397&lt;=200,2,1))))</f>
        <v/>
      </c>
      <c r="G2397" s="124">
        <f>IF(D2397&gt;=20,5,IF(D2397&gt;=10,4,IF(D2397&gt;=5,3,IF(D2397&gt;=2,2,1))))</f>
        <v/>
      </c>
      <c r="H2397" s="124">
        <f>IF(E2397&gt;=5000,5,IF(E2397&gt;=2000,4,IF(E2397&gt;=800,3,IF(E2397&gt;=300,2,1))))</f>
        <v/>
      </c>
      <c r="I2397" s="122">
        <f>TEXT(F2397,"0")&amp;TEXT(G2397,"0")&amp;TEXT(H2397,"0")</f>
        <v/>
      </c>
      <c r="J2397" s="122">
        <f>IFERROR(XLOOKUP(I2397,'Segment Map'!A:A,'Segment Map'!B:B,"Need Attention"),"Need Attention")</f>
        <v/>
      </c>
      <c r="K2397" s="122">
        <f>IF(E2397&gt;=5000,"🏆 Platinum",IF(E2397&gt;=2000,"🥇 Gold",IF(E2397&gt;=800,"🥈 Silver","🥉 Bronze")))</f>
        <v/>
      </c>
      <c r="L2397" s="125" t="n">
        <v>40850</v>
      </c>
    </row>
    <row r="2398">
      <c r="A2398" s="126" t="n">
        <v>15606</v>
      </c>
      <c r="B2398" s="126" t="inlineStr">
        <is>
          <t>United Kingdom</t>
        </is>
      </c>
      <c r="C2398" s="126" t="n">
        <v>62</v>
      </c>
      <c r="D2398" s="126" t="n">
        <v>9</v>
      </c>
      <c r="E2398" s="127" t="n">
        <v>2920.16</v>
      </c>
      <c r="F2398" s="128">
        <f>IF(C2398&lt;=30,5,IF(C2398&lt;=60,4,IF(C2398&lt;=120,3,IF(C2398&lt;=200,2,1))))</f>
        <v/>
      </c>
      <c r="G2398" s="128">
        <f>IF(D2398&gt;=20,5,IF(D2398&gt;=10,4,IF(D2398&gt;=5,3,IF(D2398&gt;=2,2,1))))</f>
        <v/>
      </c>
      <c r="H2398" s="128">
        <f>IF(E2398&gt;=5000,5,IF(E2398&gt;=2000,4,IF(E2398&gt;=800,3,IF(E2398&gt;=300,2,1))))</f>
        <v/>
      </c>
      <c r="I2398" s="126">
        <f>TEXT(F2398,"0")&amp;TEXT(G2398,"0")&amp;TEXT(H2398,"0")</f>
        <v/>
      </c>
      <c r="J2398" s="126">
        <f>IFERROR(XLOOKUP(I2398,'Segment Map'!A:A,'Segment Map'!B:B,"Need Attention"),"Need Attention")</f>
        <v/>
      </c>
      <c r="K2398" s="126">
        <f>IF(E2398&gt;=5000,"🏆 Platinum",IF(E2398&gt;=2000,"🥇 Gold",IF(E2398&gt;=800,"🥈 Silver","🥉 Bronze")))</f>
        <v/>
      </c>
      <c r="L2398" s="129" t="n">
        <v>40825</v>
      </c>
    </row>
    <row r="2399">
      <c r="A2399" s="122" t="n">
        <v>15607</v>
      </c>
      <c r="B2399" s="122" t="inlineStr">
        <is>
          <t>United Kingdom</t>
        </is>
      </c>
      <c r="C2399" s="122" t="n">
        <v>337</v>
      </c>
      <c r="D2399" s="122" t="n">
        <v>1</v>
      </c>
      <c r="E2399" s="123" t="n">
        <v>104.76</v>
      </c>
      <c r="F2399" s="124">
        <f>IF(C2399&lt;=30,5,IF(C2399&lt;=60,4,IF(C2399&lt;=120,3,IF(C2399&lt;=200,2,1))))</f>
        <v/>
      </c>
      <c r="G2399" s="124">
        <f>IF(D2399&gt;=20,5,IF(D2399&gt;=10,4,IF(D2399&gt;=5,3,IF(D2399&gt;=2,2,1))))</f>
        <v/>
      </c>
      <c r="H2399" s="124">
        <f>IF(E2399&gt;=5000,5,IF(E2399&gt;=2000,4,IF(E2399&gt;=800,3,IF(E2399&gt;=300,2,1))))</f>
        <v/>
      </c>
      <c r="I2399" s="122">
        <f>TEXT(F2399,"0")&amp;TEXT(G2399,"0")&amp;TEXT(H2399,"0")</f>
        <v/>
      </c>
      <c r="J2399" s="122">
        <f>IFERROR(XLOOKUP(I2399,'Segment Map'!A:A,'Segment Map'!B:B,"Need Attention"),"Need Attention")</f>
        <v/>
      </c>
      <c r="K2399" s="122">
        <f>IF(E2399&gt;=5000,"🏆 Platinum",IF(E2399&gt;=2000,"🥇 Gold",IF(E2399&gt;=800,"🥈 Silver","🥉 Bronze")))</f>
        <v/>
      </c>
      <c r="L2399" s="125" t="n">
        <v>40550</v>
      </c>
    </row>
    <row r="2400">
      <c r="A2400" s="126" t="n">
        <v>15608</v>
      </c>
      <c r="B2400" s="126" t="inlineStr">
        <is>
          <t>United Kingdom</t>
        </is>
      </c>
      <c r="C2400" s="126" t="n">
        <v>29</v>
      </c>
      <c r="D2400" s="126" t="n">
        <v>4</v>
      </c>
      <c r="E2400" s="127" t="n">
        <v>1093.68</v>
      </c>
      <c r="F2400" s="128">
        <f>IF(C2400&lt;=30,5,IF(C2400&lt;=60,4,IF(C2400&lt;=120,3,IF(C2400&lt;=200,2,1))))</f>
        <v/>
      </c>
      <c r="G2400" s="128">
        <f>IF(D2400&gt;=20,5,IF(D2400&gt;=10,4,IF(D2400&gt;=5,3,IF(D2400&gt;=2,2,1))))</f>
        <v/>
      </c>
      <c r="H2400" s="128">
        <f>IF(E2400&gt;=5000,5,IF(E2400&gt;=2000,4,IF(E2400&gt;=800,3,IF(E2400&gt;=300,2,1))))</f>
        <v/>
      </c>
      <c r="I2400" s="126">
        <f>TEXT(F2400,"0")&amp;TEXT(G2400,"0")&amp;TEXT(H2400,"0")</f>
        <v/>
      </c>
      <c r="J2400" s="126">
        <f>IFERROR(XLOOKUP(I2400,'Segment Map'!A:A,'Segment Map'!B:B,"Need Attention"),"Need Attention")</f>
        <v/>
      </c>
      <c r="K2400" s="126">
        <f>IF(E2400&gt;=5000,"🏆 Platinum",IF(E2400&gt;=2000,"🥇 Gold",IF(E2400&gt;=800,"🥈 Silver","🥉 Bronze")))</f>
        <v/>
      </c>
      <c r="L2400" s="129" t="n">
        <v>40858</v>
      </c>
    </row>
    <row r="2401">
      <c r="A2401" s="122" t="n">
        <v>15609</v>
      </c>
      <c r="B2401" s="122" t="inlineStr">
        <is>
          <t>United Kingdom</t>
        </is>
      </c>
      <c r="C2401" s="122" t="n">
        <v>185</v>
      </c>
      <c r="D2401" s="122" t="n">
        <v>1</v>
      </c>
      <c r="E2401" s="123" t="n">
        <v>298.48</v>
      </c>
      <c r="F2401" s="124">
        <f>IF(C2401&lt;=30,5,IF(C2401&lt;=60,4,IF(C2401&lt;=120,3,IF(C2401&lt;=200,2,1))))</f>
        <v/>
      </c>
      <c r="G2401" s="124">
        <f>IF(D2401&gt;=20,5,IF(D2401&gt;=10,4,IF(D2401&gt;=5,3,IF(D2401&gt;=2,2,1))))</f>
        <v/>
      </c>
      <c r="H2401" s="124">
        <f>IF(E2401&gt;=5000,5,IF(E2401&gt;=2000,4,IF(E2401&gt;=800,3,IF(E2401&gt;=300,2,1))))</f>
        <v/>
      </c>
      <c r="I2401" s="122">
        <f>TEXT(F2401,"0")&amp;TEXT(G2401,"0")&amp;TEXT(H2401,"0")</f>
        <v/>
      </c>
      <c r="J2401" s="122">
        <f>IFERROR(XLOOKUP(I2401,'Segment Map'!A:A,'Segment Map'!B:B,"Need Attention"),"Need Attention")</f>
        <v/>
      </c>
      <c r="K2401" s="122">
        <f>IF(E2401&gt;=5000,"🏆 Platinum",IF(E2401&gt;=2000,"🥇 Gold",IF(E2401&gt;=800,"🥈 Silver","🥉 Bronze")))</f>
        <v/>
      </c>
      <c r="L2401" s="125" t="n">
        <v>40702</v>
      </c>
    </row>
    <row r="2402">
      <c r="A2402" s="126" t="n">
        <v>15610</v>
      </c>
      <c r="B2402" s="126" t="inlineStr">
        <is>
          <t>United Kingdom</t>
        </is>
      </c>
      <c r="C2402" s="126" t="n">
        <v>52</v>
      </c>
      <c r="D2402" s="126" t="n">
        <v>1</v>
      </c>
      <c r="E2402" s="127" t="n">
        <v>112.46</v>
      </c>
      <c r="F2402" s="128">
        <f>IF(C2402&lt;=30,5,IF(C2402&lt;=60,4,IF(C2402&lt;=120,3,IF(C2402&lt;=200,2,1))))</f>
        <v/>
      </c>
      <c r="G2402" s="128">
        <f>IF(D2402&gt;=20,5,IF(D2402&gt;=10,4,IF(D2402&gt;=5,3,IF(D2402&gt;=2,2,1))))</f>
        <v/>
      </c>
      <c r="H2402" s="128">
        <f>IF(E2402&gt;=5000,5,IF(E2402&gt;=2000,4,IF(E2402&gt;=800,3,IF(E2402&gt;=300,2,1))))</f>
        <v/>
      </c>
      <c r="I2402" s="126">
        <f>TEXT(F2402,"0")&amp;TEXT(G2402,"0")&amp;TEXT(H2402,"0")</f>
        <v/>
      </c>
      <c r="J2402" s="126">
        <f>IFERROR(XLOOKUP(I2402,'Segment Map'!A:A,'Segment Map'!B:B,"Need Attention"),"Need Attention")</f>
        <v/>
      </c>
      <c r="K2402" s="126">
        <f>IF(E2402&gt;=5000,"🏆 Platinum",IF(E2402&gt;=2000,"🥇 Gold",IF(E2402&gt;=800,"🥈 Silver","🥉 Bronze")))</f>
        <v/>
      </c>
      <c r="L2402" s="129" t="n">
        <v>40835</v>
      </c>
    </row>
    <row r="2403">
      <c r="A2403" s="122" t="n">
        <v>15611</v>
      </c>
      <c r="B2403" s="122" t="inlineStr">
        <is>
          <t>United Kingdom</t>
        </is>
      </c>
      <c r="C2403" s="122" t="n">
        <v>10</v>
      </c>
      <c r="D2403" s="122" t="n">
        <v>13</v>
      </c>
      <c r="E2403" s="123" t="n">
        <v>1591.45</v>
      </c>
      <c r="F2403" s="124">
        <f>IF(C2403&lt;=30,5,IF(C2403&lt;=60,4,IF(C2403&lt;=120,3,IF(C2403&lt;=200,2,1))))</f>
        <v/>
      </c>
      <c r="G2403" s="124">
        <f>IF(D2403&gt;=20,5,IF(D2403&gt;=10,4,IF(D2403&gt;=5,3,IF(D2403&gt;=2,2,1))))</f>
        <v/>
      </c>
      <c r="H2403" s="124">
        <f>IF(E2403&gt;=5000,5,IF(E2403&gt;=2000,4,IF(E2403&gt;=800,3,IF(E2403&gt;=300,2,1))))</f>
        <v/>
      </c>
      <c r="I2403" s="122">
        <f>TEXT(F2403,"0")&amp;TEXT(G2403,"0")&amp;TEXT(H2403,"0")</f>
        <v/>
      </c>
      <c r="J2403" s="122">
        <f>IFERROR(XLOOKUP(I2403,'Segment Map'!A:A,'Segment Map'!B:B,"Need Attention"),"Need Attention")</f>
        <v/>
      </c>
      <c r="K2403" s="122">
        <f>IF(E2403&gt;=5000,"🏆 Platinum",IF(E2403&gt;=2000,"🥇 Gold",IF(E2403&gt;=800,"🥈 Silver","🥉 Bronze")))</f>
        <v/>
      </c>
      <c r="L2403" s="125" t="n">
        <v>40877</v>
      </c>
    </row>
    <row r="2404">
      <c r="A2404" s="126" t="n">
        <v>15612</v>
      </c>
      <c r="B2404" s="126" t="inlineStr">
        <is>
          <t>United Kingdom</t>
        </is>
      </c>
      <c r="C2404" s="126" t="n">
        <v>37</v>
      </c>
      <c r="D2404" s="126" t="n">
        <v>2</v>
      </c>
      <c r="E2404" s="127" t="n">
        <v>195.15</v>
      </c>
      <c r="F2404" s="128">
        <f>IF(C2404&lt;=30,5,IF(C2404&lt;=60,4,IF(C2404&lt;=120,3,IF(C2404&lt;=200,2,1))))</f>
        <v/>
      </c>
      <c r="G2404" s="128">
        <f>IF(D2404&gt;=20,5,IF(D2404&gt;=10,4,IF(D2404&gt;=5,3,IF(D2404&gt;=2,2,1))))</f>
        <v/>
      </c>
      <c r="H2404" s="128">
        <f>IF(E2404&gt;=5000,5,IF(E2404&gt;=2000,4,IF(E2404&gt;=800,3,IF(E2404&gt;=300,2,1))))</f>
        <v/>
      </c>
      <c r="I2404" s="126">
        <f>TEXT(F2404,"0")&amp;TEXT(G2404,"0")&amp;TEXT(H2404,"0")</f>
        <v/>
      </c>
      <c r="J2404" s="126">
        <f>IFERROR(XLOOKUP(I2404,'Segment Map'!A:A,'Segment Map'!B:B,"Need Attention"),"Need Attention")</f>
        <v/>
      </c>
      <c r="K2404" s="126">
        <f>IF(E2404&gt;=5000,"🏆 Platinum",IF(E2404&gt;=2000,"🥇 Gold",IF(E2404&gt;=800,"🥈 Silver","🥉 Bronze")))</f>
        <v/>
      </c>
      <c r="L2404" s="129" t="n">
        <v>40850</v>
      </c>
    </row>
    <row r="2405">
      <c r="A2405" s="122" t="n">
        <v>15615</v>
      </c>
      <c r="B2405" s="122" t="inlineStr">
        <is>
          <t>United Kingdom</t>
        </is>
      </c>
      <c r="C2405" s="122" t="n">
        <v>11</v>
      </c>
      <c r="D2405" s="122" t="n">
        <v>23</v>
      </c>
      <c r="E2405" s="123" t="n">
        <v>10399.74</v>
      </c>
      <c r="F2405" s="124">
        <f>IF(C2405&lt;=30,5,IF(C2405&lt;=60,4,IF(C2405&lt;=120,3,IF(C2405&lt;=200,2,1))))</f>
        <v/>
      </c>
      <c r="G2405" s="124">
        <f>IF(D2405&gt;=20,5,IF(D2405&gt;=10,4,IF(D2405&gt;=5,3,IF(D2405&gt;=2,2,1))))</f>
        <v/>
      </c>
      <c r="H2405" s="124">
        <f>IF(E2405&gt;=5000,5,IF(E2405&gt;=2000,4,IF(E2405&gt;=800,3,IF(E2405&gt;=300,2,1))))</f>
        <v/>
      </c>
      <c r="I2405" s="122">
        <f>TEXT(F2405,"0")&amp;TEXT(G2405,"0")&amp;TEXT(H2405,"0")</f>
        <v/>
      </c>
      <c r="J2405" s="122">
        <f>IFERROR(XLOOKUP(I2405,'Segment Map'!A:A,'Segment Map'!B:B,"Need Attention"),"Need Attention")</f>
        <v/>
      </c>
      <c r="K2405" s="122">
        <f>IF(E2405&gt;=5000,"🏆 Platinum",IF(E2405&gt;=2000,"🥇 Gold",IF(E2405&gt;=800,"🥈 Silver","🥉 Bronze")))</f>
        <v/>
      </c>
      <c r="L2405" s="125" t="n">
        <v>40876</v>
      </c>
    </row>
    <row r="2406">
      <c r="A2406" s="126" t="n">
        <v>15618</v>
      </c>
      <c r="B2406" s="126" t="inlineStr">
        <is>
          <t>United Kingdom</t>
        </is>
      </c>
      <c r="C2406" s="126" t="n">
        <v>33</v>
      </c>
      <c r="D2406" s="126" t="n">
        <v>4</v>
      </c>
      <c r="E2406" s="127" t="n">
        <v>776.85</v>
      </c>
      <c r="F2406" s="128">
        <f>IF(C2406&lt;=30,5,IF(C2406&lt;=60,4,IF(C2406&lt;=120,3,IF(C2406&lt;=200,2,1))))</f>
        <v/>
      </c>
      <c r="G2406" s="128">
        <f>IF(D2406&gt;=20,5,IF(D2406&gt;=10,4,IF(D2406&gt;=5,3,IF(D2406&gt;=2,2,1))))</f>
        <v/>
      </c>
      <c r="H2406" s="128">
        <f>IF(E2406&gt;=5000,5,IF(E2406&gt;=2000,4,IF(E2406&gt;=800,3,IF(E2406&gt;=300,2,1))))</f>
        <v/>
      </c>
      <c r="I2406" s="126">
        <f>TEXT(F2406,"0")&amp;TEXT(G2406,"0")&amp;TEXT(H2406,"0")</f>
        <v/>
      </c>
      <c r="J2406" s="126">
        <f>IFERROR(XLOOKUP(I2406,'Segment Map'!A:A,'Segment Map'!B:B,"Need Attention"),"Need Attention")</f>
        <v/>
      </c>
      <c r="K2406" s="126">
        <f>IF(E2406&gt;=5000,"🏆 Platinum",IF(E2406&gt;=2000,"🥇 Gold",IF(E2406&gt;=800,"🥈 Silver","🥉 Bronze")))</f>
        <v/>
      </c>
      <c r="L2406" s="129" t="n">
        <v>40854</v>
      </c>
    </row>
    <row r="2407">
      <c r="A2407" s="122" t="n">
        <v>15619</v>
      </c>
      <c r="B2407" s="122" t="inlineStr">
        <is>
          <t>United Kingdom</t>
        </is>
      </c>
      <c r="C2407" s="122" t="n">
        <v>11</v>
      </c>
      <c r="D2407" s="122" t="n">
        <v>1</v>
      </c>
      <c r="E2407" s="123" t="n">
        <v>336.4</v>
      </c>
      <c r="F2407" s="124">
        <f>IF(C2407&lt;=30,5,IF(C2407&lt;=60,4,IF(C2407&lt;=120,3,IF(C2407&lt;=200,2,1))))</f>
        <v/>
      </c>
      <c r="G2407" s="124">
        <f>IF(D2407&gt;=20,5,IF(D2407&gt;=10,4,IF(D2407&gt;=5,3,IF(D2407&gt;=2,2,1))))</f>
        <v/>
      </c>
      <c r="H2407" s="124">
        <f>IF(E2407&gt;=5000,5,IF(E2407&gt;=2000,4,IF(E2407&gt;=800,3,IF(E2407&gt;=300,2,1))))</f>
        <v/>
      </c>
      <c r="I2407" s="122">
        <f>TEXT(F2407,"0")&amp;TEXT(G2407,"0")&amp;TEXT(H2407,"0")</f>
        <v/>
      </c>
      <c r="J2407" s="122">
        <f>IFERROR(XLOOKUP(I2407,'Segment Map'!A:A,'Segment Map'!B:B,"Need Attention"),"Need Attention")</f>
        <v/>
      </c>
      <c r="K2407" s="122">
        <f>IF(E2407&gt;=5000,"🏆 Platinum",IF(E2407&gt;=2000,"🥇 Gold",IF(E2407&gt;=800,"🥈 Silver","🥉 Bronze")))</f>
        <v/>
      </c>
      <c r="L2407" s="125" t="n">
        <v>40876</v>
      </c>
    </row>
    <row r="2408">
      <c r="A2408" s="126" t="n">
        <v>15620</v>
      </c>
      <c r="B2408" s="126" t="inlineStr">
        <is>
          <t>United Kingdom</t>
        </is>
      </c>
      <c r="C2408" s="126" t="n">
        <v>57</v>
      </c>
      <c r="D2408" s="126" t="n">
        <v>3</v>
      </c>
      <c r="E2408" s="127" t="n">
        <v>1553.18</v>
      </c>
      <c r="F2408" s="128">
        <f>IF(C2408&lt;=30,5,IF(C2408&lt;=60,4,IF(C2408&lt;=120,3,IF(C2408&lt;=200,2,1))))</f>
        <v/>
      </c>
      <c r="G2408" s="128">
        <f>IF(D2408&gt;=20,5,IF(D2408&gt;=10,4,IF(D2408&gt;=5,3,IF(D2408&gt;=2,2,1))))</f>
        <v/>
      </c>
      <c r="H2408" s="128">
        <f>IF(E2408&gt;=5000,5,IF(E2408&gt;=2000,4,IF(E2408&gt;=800,3,IF(E2408&gt;=300,2,1))))</f>
        <v/>
      </c>
      <c r="I2408" s="126">
        <f>TEXT(F2408,"0")&amp;TEXT(G2408,"0")&amp;TEXT(H2408,"0")</f>
        <v/>
      </c>
      <c r="J2408" s="126">
        <f>IFERROR(XLOOKUP(I2408,'Segment Map'!A:A,'Segment Map'!B:B,"Need Attention"),"Need Attention")</f>
        <v/>
      </c>
      <c r="K2408" s="126">
        <f>IF(E2408&gt;=5000,"🏆 Platinum",IF(E2408&gt;=2000,"🥇 Gold",IF(E2408&gt;=800,"🥈 Silver","🥉 Bronze")))</f>
        <v/>
      </c>
      <c r="L2408" s="129" t="n">
        <v>40830</v>
      </c>
    </row>
    <row r="2409">
      <c r="A2409" s="122" t="n">
        <v>15621</v>
      </c>
      <c r="B2409" s="122" t="inlineStr">
        <is>
          <t>United Kingdom</t>
        </is>
      </c>
      <c r="C2409" s="122" t="n">
        <v>5</v>
      </c>
      <c r="D2409" s="122" t="n">
        <v>4</v>
      </c>
      <c r="E2409" s="123" t="n">
        <v>1293.03</v>
      </c>
      <c r="F2409" s="124">
        <f>IF(C2409&lt;=30,5,IF(C2409&lt;=60,4,IF(C2409&lt;=120,3,IF(C2409&lt;=200,2,1))))</f>
        <v/>
      </c>
      <c r="G2409" s="124">
        <f>IF(D2409&gt;=20,5,IF(D2409&gt;=10,4,IF(D2409&gt;=5,3,IF(D2409&gt;=2,2,1))))</f>
        <v/>
      </c>
      <c r="H2409" s="124">
        <f>IF(E2409&gt;=5000,5,IF(E2409&gt;=2000,4,IF(E2409&gt;=800,3,IF(E2409&gt;=300,2,1))))</f>
        <v/>
      </c>
      <c r="I2409" s="122">
        <f>TEXT(F2409,"0")&amp;TEXT(G2409,"0")&amp;TEXT(H2409,"0")</f>
        <v/>
      </c>
      <c r="J2409" s="122">
        <f>IFERROR(XLOOKUP(I2409,'Segment Map'!A:A,'Segment Map'!B:B,"Need Attention"),"Need Attention")</f>
        <v/>
      </c>
      <c r="K2409" s="122">
        <f>IF(E2409&gt;=5000,"🏆 Platinum",IF(E2409&gt;=2000,"🥇 Gold",IF(E2409&gt;=800,"🥈 Silver","🥉 Bronze")))</f>
        <v/>
      </c>
      <c r="L2409" s="125" t="n">
        <v>40882</v>
      </c>
    </row>
    <row r="2410">
      <c r="A2410" s="126" t="n">
        <v>15622</v>
      </c>
      <c r="B2410" s="126" t="inlineStr">
        <is>
          <t>United Kingdom</t>
        </is>
      </c>
      <c r="C2410" s="126" t="n">
        <v>44</v>
      </c>
      <c r="D2410" s="126" t="n">
        <v>9</v>
      </c>
      <c r="E2410" s="127" t="n">
        <v>3709.56</v>
      </c>
      <c r="F2410" s="128">
        <f>IF(C2410&lt;=30,5,IF(C2410&lt;=60,4,IF(C2410&lt;=120,3,IF(C2410&lt;=200,2,1))))</f>
        <v/>
      </c>
      <c r="G2410" s="128">
        <f>IF(D2410&gt;=20,5,IF(D2410&gt;=10,4,IF(D2410&gt;=5,3,IF(D2410&gt;=2,2,1))))</f>
        <v/>
      </c>
      <c r="H2410" s="128">
        <f>IF(E2410&gt;=5000,5,IF(E2410&gt;=2000,4,IF(E2410&gt;=800,3,IF(E2410&gt;=300,2,1))))</f>
        <v/>
      </c>
      <c r="I2410" s="126">
        <f>TEXT(F2410,"0")&amp;TEXT(G2410,"0")&amp;TEXT(H2410,"0")</f>
        <v/>
      </c>
      <c r="J2410" s="126">
        <f>IFERROR(XLOOKUP(I2410,'Segment Map'!A:A,'Segment Map'!B:B,"Need Attention"),"Need Attention")</f>
        <v/>
      </c>
      <c r="K2410" s="126">
        <f>IF(E2410&gt;=5000,"🏆 Platinum",IF(E2410&gt;=2000,"🥇 Gold",IF(E2410&gt;=800,"🥈 Silver","🥉 Bronze")))</f>
        <v/>
      </c>
      <c r="L2410" s="129" t="n">
        <v>40843</v>
      </c>
    </row>
    <row r="2411">
      <c r="A2411" s="122" t="n">
        <v>15623</v>
      </c>
      <c r="B2411" s="122" t="inlineStr">
        <is>
          <t>United Kingdom</t>
        </is>
      </c>
      <c r="C2411" s="122" t="n">
        <v>142</v>
      </c>
      <c r="D2411" s="122" t="n">
        <v>1</v>
      </c>
      <c r="E2411" s="123" t="n">
        <v>301.03</v>
      </c>
      <c r="F2411" s="124">
        <f>IF(C2411&lt;=30,5,IF(C2411&lt;=60,4,IF(C2411&lt;=120,3,IF(C2411&lt;=200,2,1))))</f>
        <v/>
      </c>
      <c r="G2411" s="124">
        <f>IF(D2411&gt;=20,5,IF(D2411&gt;=10,4,IF(D2411&gt;=5,3,IF(D2411&gt;=2,2,1))))</f>
        <v/>
      </c>
      <c r="H2411" s="124">
        <f>IF(E2411&gt;=5000,5,IF(E2411&gt;=2000,4,IF(E2411&gt;=800,3,IF(E2411&gt;=300,2,1))))</f>
        <v/>
      </c>
      <c r="I2411" s="122">
        <f>TEXT(F2411,"0")&amp;TEXT(G2411,"0")&amp;TEXT(H2411,"0")</f>
        <v/>
      </c>
      <c r="J2411" s="122">
        <f>IFERROR(XLOOKUP(I2411,'Segment Map'!A:A,'Segment Map'!B:B,"Need Attention"),"Need Attention")</f>
        <v/>
      </c>
      <c r="K2411" s="122">
        <f>IF(E2411&gt;=5000,"🏆 Platinum",IF(E2411&gt;=2000,"🥇 Gold",IF(E2411&gt;=800,"🥈 Silver","🥉 Bronze")))</f>
        <v/>
      </c>
      <c r="L2411" s="125" t="n">
        <v>40745</v>
      </c>
    </row>
    <row r="2412">
      <c r="A2412" s="126" t="n">
        <v>15624</v>
      </c>
      <c r="B2412" s="126" t="inlineStr">
        <is>
          <t>United Kingdom</t>
        </is>
      </c>
      <c r="C2412" s="126" t="n">
        <v>117</v>
      </c>
      <c r="D2412" s="126" t="n">
        <v>4</v>
      </c>
      <c r="E2412" s="127" t="n">
        <v>588.13</v>
      </c>
      <c r="F2412" s="128">
        <f>IF(C2412&lt;=30,5,IF(C2412&lt;=60,4,IF(C2412&lt;=120,3,IF(C2412&lt;=200,2,1))))</f>
        <v/>
      </c>
      <c r="G2412" s="128">
        <f>IF(D2412&gt;=20,5,IF(D2412&gt;=10,4,IF(D2412&gt;=5,3,IF(D2412&gt;=2,2,1))))</f>
        <v/>
      </c>
      <c r="H2412" s="128">
        <f>IF(E2412&gt;=5000,5,IF(E2412&gt;=2000,4,IF(E2412&gt;=800,3,IF(E2412&gt;=300,2,1))))</f>
        <v/>
      </c>
      <c r="I2412" s="126">
        <f>TEXT(F2412,"0")&amp;TEXT(G2412,"0")&amp;TEXT(H2412,"0")</f>
        <v/>
      </c>
      <c r="J2412" s="126">
        <f>IFERROR(XLOOKUP(I2412,'Segment Map'!A:A,'Segment Map'!B:B,"Need Attention"),"Need Attention")</f>
        <v/>
      </c>
      <c r="K2412" s="126">
        <f>IF(E2412&gt;=5000,"🏆 Platinum",IF(E2412&gt;=2000,"🥇 Gold",IF(E2412&gt;=800,"🥈 Silver","🥉 Bronze")))</f>
        <v/>
      </c>
      <c r="L2412" s="129" t="n">
        <v>40770</v>
      </c>
    </row>
    <row r="2413">
      <c r="A2413" s="122" t="n">
        <v>15625</v>
      </c>
      <c r="B2413" s="122" t="inlineStr">
        <is>
          <t>United Kingdom</t>
        </is>
      </c>
      <c r="C2413" s="122" t="n">
        <v>104</v>
      </c>
      <c r="D2413" s="122" t="n">
        <v>4</v>
      </c>
      <c r="E2413" s="123" t="n">
        <v>1534.26</v>
      </c>
      <c r="F2413" s="124">
        <f>IF(C2413&lt;=30,5,IF(C2413&lt;=60,4,IF(C2413&lt;=120,3,IF(C2413&lt;=200,2,1))))</f>
        <v/>
      </c>
      <c r="G2413" s="124">
        <f>IF(D2413&gt;=20,5,IF(D2413&gt;=10,4,IF(D2413&gt;=5,3,IF(D2413&gt;=2,2,1))))</f>
        <v/>
      </c>
      <c r="H2413" s="124">
        <f>IF(E2413&gt;=5000,5,IF(E2413&gt;=2000,4,IF(E2413&gt;=800,3,IF(E2413&gt;=300,2,1))))</f>
        <v/>
      </c>
      <c r="I2413" s="122">
        <f>TEXT(F2413,"0")&amp;TEXT(G2413,"0")&amp;TEXT(H2413,"0")</f>
        <v/>
      </c>
      <c r="J2413" s="122">
        <f>IFERROR(XLOOKUP(I2413,'Segment Map'!A:A,'Segment Map'!B:B,"Need Attention"),"Need Attention")</f>
        <v/>
      </c>
      <c r="K2413" s="122">
        <f>IF(E2413&gt;=5000,"🏆 Platinum",IF(E2413&gt;=2000,"🥇 Gold",IF(E2413&gt;=800,"🥈 Silver","🥉 Bronze")))</f>
        <v/>
      </c>
      <c r="L2413" s="125" t="n">
        <v>40783</v>
      </c>
    </row>
    <row r="2414">
      <c r="A2414" s="126" t="n">
        <v>15626</v>
      </c>
      <c r="B2414" s="126" t="inlineStr">
        <is>
          <t>United Kingdom</t>
        </is>
      </c>
      <c r="C2414" s="126" t="n">
        <v>75</v>
      </c>
      <c r="D2414" s="126" t="n">
        <v>2</v>
      </c>
      <c r="E2414" s="127" t="n">
        <v>675.8</v>
      </c>
      <c r="F2414" s="128">
        <f>IF(C2414&lt;=30,5,IF(C2414&lt;=60,4,IF(C2414&lt;=120,3,IF(C2414&lt;=200,2,1))))</f>
        <v/>
      </c>
      <c r="G2414" s="128">
        <f>IF(D2414&gt;=20,5,IF(D2414&gt;=10,4,IF(D2414&gt;=5,3,IF(D2414&gt;=2,2,1))))</f>
        <v/>
      </c>
      <c r="H2414" s="128">
        <f>IF(E2414&gt;=5000,5,IF(E2414&gt;=2000,4,IF(E2414&gt;=800,3,IF(E2414&gt;=300,2,1))))</f>
        <v/>
      </c>
      <c r="I2414" s="126">
        <f>TEXT(F2414,"0")&amp;TEXT(G2414,"0")&amp;TEXT(H2414,"0")</f>
        <v/>
      </c>
      <c r="J2414" s="126">
        <f>IFERROR(XLOOKUP(I2414,'Segment Map'!A:A,'Segment Map'!B:B,"Need Attention"),"Need Attention")</f>
        <v/>
      </c>
      <c r="K2414" s="126">
        <f>IF(E2414&gt;=5000,"🏆 Platinum",IF(E2414&gt;=2000,"🥇 Gold",IF(E2414&gt;=800,"🥈 Silver","🥉 Bronze")))</f>
        <v/>
      </c>
      <c r="L2414" s="129" t="n">
        <v>40812</v>
      </c>
    </row>
    <row r="2415">
      <c r="A2415" s="122" t="n">
        <v>15628</v>
      </c>
      <c r="B2415" s="122" t="inlineStr">
        <is>
          <t>United Kingdom</t>
        </is>
      </c>
      <c r="C2415" s="122" t="n">
        <v>5</v>
      </c>
      <c r="D2415" s="122" t="n">
        <v>9</v>
      </c>
      <c r="E2415" s="123" t="n">
        <v>2870.24</v>
      </c>
      <c r="F2415" s="124">
        <f>IF(C2415&lt;=30,5,IF(C2415&lt;=60,4,IF(C2415&lt;=120,3,IF(C2415&lt;=200,2,1))))</f>
        <v/>
      </c>
      <c r="G2415" s="124">
        <f>IF(D2415&gt;=20,5,IF(D2415&gt;=10,4,IF(D2415&gt;=5,3,IF(D2415&gt;=2,2,1))))</f>
        <v/>
      </c>
      <c r="H2415" s="124">
        <f>IF(E2415&gt;=5000,5,IF(E2415&gt;=2000,4,IF(E2415&gt;=800,3,IF(E2415&gt;=300,2,1))))</f>
        <v/>
      </c>
      <c r="I2415" s="122">
        <f>TEXT(F2415,"0")&amp;TEXT(G2415,"0")&amp;TEXT(H2415,"0")</f>
        <v/>
      </c>
      <c r="J2415" s="122">
        <f>IFERROR(XLOOKUP(I2415,'Segment Map'!A:A,'Segment Map'!B:B,"Need Attention"),"Need Attention")</f>
        <v/>
      </c>
      <c r="K2415" s="122">
        <f>IF(E2415&gt;=5000,"🏆 Platinum",IF(E2415&gt;=2000,"🥇 Gold",IF(E2415&gt;=800,"🥈 Silver","🥉 Bronze")))</f>
        <v/>
      </c>
      <c r="L2415" s="125" t="n">
        <v>40882</v>
      </c>
    </row>
    <row r="2416">
      <c r="A2416" s="126" t="n">
        <v>15630</v>
      </c>
      <c r="B2416" s="126" t="inlineStr">
        <is>
          <t>United Kingdom</t>
        </is>
      </c>
      <c r="C2416" s="126" t="n">
        <v>46</v>
      </c>
      <c r="D2416" s="126" t="n">
        <v>2</v>
      </c>
      <c r="E2416" s="127" t="n">
        <v>1186.35</v>
      </c>
      <c r="F2416" s="128">
        <f>IF(C2416&lt;=30,5,IF(C2416&lt;=60,4,IF(C2416&lt;=120,3,IF(C2416&lt;=200,2,1))))</f>
        <v/>
      </c>
      <c r="G2416" s="128">
        <f>IF(D2416&gt;=20,5,IF(D2416&gt;=10,4,IF(D2416&gt;=5,3,IF(D2416&gt;=2,2,1))))</f>
        <v/>
      </c>
      <c r="H2416" s="128">
        <f>IF(E2416&gt;=5000,5,IF(E2416&gt;=2000,4,IF(E2416&gt;=800,3,IF(E2416&gt;=300,2,1))))</f>
        <v/>
      </c>
      <c r="I2416" s="126">
        <f>TEXT(F2416,"0")&amp;TEXT(G2416,"0")&amp;TEXT(H2416,"0")</f>
        <v/>
      </c>
      <c r="J2416" s="126">
        <f>IFERROR(XLOOKUP(I2416,'Segment Map'!A:A,'Segment Map'!B:B,"Need Attention"),"Need Attention")</f>
        <v/>
      </c>
      <c r="K2416" s="126">
        <f>IF(E2416&gt;=5000,"🏆 Platinum",IF(E2416&gt;=2000,"🥇 Gold",IF(E2416&gt;=800,"🥈 Silver","🥉 Bronze")))</f>
        <v/>
      </c>
      <c r="L2416" s="129" t="n">
        <v>40841</v>
      </c>
    </row>
    <row r="2417">
      <c r="A2417" s="122" t="n">
        <v>15632</v>
      </c>
      <c r="B2417" s="122" t="inlineStr">
        <is>
          <t>United Kingdom</t>
        </is>
      </c>
      <c r="C2417" s="122" t="n">
        <v>16</v>
      </c>
      <c r="D2417" s="122" t="n">
        <v>8</v>
      </c>
      <c r="E2417" s="123" t="n">
        <v>3285.31</v>
      </c>
      <c r="F2417" s="124">
        <f>IF(C2417&lt;=30,5,IF(C2417&lt;=60,4,IF(C2417&lt;=120,3,IF(C2417&lt;=200,2,1))))</f>
        <v/>
      </c>
      <c r="G2417" s="124">
        <f>IF(D2417&gt;=20,5,IF(D2417&gt;=10,4,IF(D2417&gt;=5,3,IF(D2417&gt;=2,2,1))))</f>
        <v/>
      </c>
      <c r="H2417" s="124">
        <f>IF(E2417&gt;=5000,5,IF(E2417&gt;=2000,4,IF(E2417&gt;=800,3,IF(E2417&gt;=300,2,1))))</f>
        <v/>
      </c>
      <c r="I2417" s="122">
        <f>TEXT(F2417,"0")&amp;TEXT(G2417,"0")&amp;TEXT(H2417,"0")</f>
        <v/>
      </c>
      <c r="J2417" s="122">
        <f>IFERROR(XLOOKUP(I2417,'Segment Map'!A:A,'Segment Map'!B:B,"Need Attention"),"Need Attention")</f>
        <v/>
      </c>
      <c r="K2417" s="122">
        <f>IF(E2417&gt;=5000,"🏆 Platinum",IF(E2417&gt;=2000,"🥇 Gold",IF(E2417&gt;=800,"🥈 Silver","🥉 Bronze")))</f>
        <v/>
      </c>
      <c r="L2417" s="125" t="n">
        <v>40871</v>
      </c>
    </row>
    <row r="2418">
      <c r="A2418" s="126" t="n">
        <v>15634</v>
      </c>
      <c r="B2418" s="126" t="inlineStr">
        <is>
          <t>United Kingdom</t>
        </is>
      </c>
      <c r="C2418" s="126" t="n">
        <v>18</v>
      </c>
      <c r="D2418" s="126" t="n">
        <v>1</v>
      </c>
      <c r="E2418" s="127" t="n">
        <v>243.55</v>
      </c>
      <c r="F2418" s="128">
        <f>IF(C2418&lt;=30,5,IF(C2418&lt;=60,4,IF(C2418&lt;=120,3,IF(C2418&lt;=200,2,1))))</f>
        <v/>
      </c>
      <c r="G2418" s="128">
        <f>IF(D2418&gt;=20,5,IF(D2418&gt;=10,4,IF(D2418&gt;=5,3,IF(D2418&gt;=2,2,1))))</f>
        <v/>
      </c>
      <c r="H2418" s="128">
        <f>IF(E2418&gt;=5000,5,IF(E2418&gt;=2000,4,IF(E2418&gt;=800,3,IF(E2418&gt;=300,2,1))))</f>
        <v/>
      </c>
      <c r="I2418" s="126">
        <f>TEXT(F2418,"0")&amp;TEXT(G2418,"0")&amp;TEXT(H2418,"0")</f>
        <v/>
      </c>
      <c r="J2418" s="126">
        <f>IFERROR(XLOOKUP(I2418,'Segment Map'!A:A,'Segment Map'!B:B,"Need Attention"),"Need Attention")</f>
        <v/>
      </c>
      <c r="K2418" s="126">
        <f>IF(E2418&gt;=5000,"🏆 Platinum",IF(E2418&gt;=2000,"🥇 Gold",IF(E2418&gt;=800,"🥈 Silver","🥉 Bronze")))</f>
        <v/>
      </c>
      <c r="L2418" s="129" t="n">
        <v>40869</v>
      </c>
    </row>
    <row r="2419">
      <c r="A2419" s="122" t="n">
        <v>15636</v>
      </c>
      <c r="B2419" s="122" t="inlineStr">
        <is>
          <t>United Kingdom</t>
        </is>
      </c>
      <c r="C2419" s="122" t="n">
        <v>90</v>
      </c>
      <c r="D2419" s="122" t="n">
        <v>2</v>
      </c>
      <c r="E2419" s="123" t="n">
        <v>724.76</v>
      </c>
      <c r="F2419" s="124">
        <f>IF(C2419&lt;=30,5,IF(C2419&lt;=60,4,IF(C2419&lt;=120,3,IF(C2419&lt;=200,2,1))))</f>
        <v/>
      </c>
      <c r="G2419" s="124">
        <f>IF(D2419&gt;=20,5,IF(D2419&gt;=10,4,IF(D2419&gt;=5,3,IF(D2419&gt;=2,2,1))))</f>
        <v/>
      </c>
      <c r="H2419" s="124">
        <f>IF(E2419&gt;=5000,5,IF(E2419&gt;=2000,4,IF(E2419&gt;=800,3,IF(E2419&gt;=300,2,1))))</f>
        <v/>
      </c>
      <c r="I2419" s="122">
        <f>TEXT(F2419,"0")&amp;TEXT(G2419,"0")&amp;TEXT(H2419,"0")</f>
        <v/>
      </c>
      <c r="J2419" s="122">
        <f>IFERROR(XLOOKUP(I2419,'Segment Map'!A:A,'Segment Map'!B:B,"Need Attention"),"Need Attention")</f>
        <v/>
      </c>
      <c r="K2419" s="122">
        <f>IF(E2419&gt;=5000,"🏆 Platinum",IF(E2419&gt;=2000,"🥇 Gold",IF(E2419&gt;=800,"🥈 Silver","🥉 Bronze")))</f>
        <v/>
      </c>
      <c r="L2419" s="125" t="n">
        <v>40797</v>
      </c>
    </row>
    <row r="2420">
      <c r="A2420" s="126" t="n">
        <v>15637</v>
      </c>
      <c r="B2420" s="126" t="inlineStr">
        <is>
          <t>United Kingdom</t>
        </is>
      </c>
      <c r="C2420" s="126" t="n">
        <v>53</v>
      </c>
      <c r="D2420" s="126" t="n">
        <v>1</v>
      </c>
      <c r="E2420" s="127" t="n">
        <v>223.36</v>
      </c>
      <c r="F2420" s="128">
        <f>IF(C2420&lt;=30,5,IF(C2420&lt;=60,4,IF(C2420&lt;=120,3,IF(C2420&lt;=200,2,1))))</f>
        <v/>
      </c>
      <c r="G2420" s="128">
        <f>IF(D2420&gt;=20,5,IF(D2420&gt;=10,4,IF(D2420&gt;=5,3,IF(D2420&gt;=2,2,1))))</f>
        <v/>
      </c>
      <c r="H2420" s="128">
        <f>IF(E2420&gt;=5000,5,IF(E2420&gt;=2000,4,IF(E2420&gt;=800,3,IF(E2420&gt;=300,2,1))))</f>
        <v/>
      </c>
      <c r="I2420" s="126">
        <f>TEXT(F2420,"0")&amp;TEXT(G2420,"0")&amp;TEXT(H2420,"0")</f>
        <v/>
      </c>
      <c r="J2420" s="126">
        <f>IFERROR(XLOOKUP(I2420,'Segment Map'!A:A,'Segment Map'!B:B,"Need Attention"),"Need Attention")</f>
        <v/>
      </c>
      <c r="K2420" s="126">
        <f>IF(E2420&gt;=5000,"🏆 Platinum",IF(E2420&gt;=2000,"🥇 Gold",IF(E2420&gt;=800,"🥈 Silver","🥉 Bronze")))</f>
        <v/>
      </c>
      <c r="L2420" s="129" t="n">
        <v>40834</v>
      </c>
    </row>
    <row r="2421">
      <c r="A2421" s="122" t="n">
        <v>15639</v>
      </c>
      <c r="B2421" s="122" t="inlineStr">
        <is>
          <t>United Kingdom</t>
        </is>
      </c>
      <c r="C2421" s="122" t="n">
        <v>135</v>
      </c>
      <c r="D2421" s="122" t="n">
        <v>1</v>
      </c>
      <c r="E2421" s="123" t="n">
        <v>425.32</v>
      </c>
      <c r="F2421" s="124">
        <f>IF(C2421&lt;=30,5,IF(C2421&lt;=60,4,IF(C2421&lt;=120,3,IF(C2421&lt;=200,2,1))))</f>
        <v/>
      </c>
      <c r="G2421" s="124">
        <f>IF(D2421&gt;=20,5,IF(D2421&gt;=10,4,IF(D2421&gt;=5,3,IF(D2421&gt;=2,2,1))))</f>
        <v/>
      </c>
      <c r="H2421" s="124">
        <f>IF(E2421&gt;=5000,5,IF(E2421&gt;=2000,4,IF(E2421&gt;=800,3,IF(E2421&gt;=300,2,1))))</f>
        <v/>
      </c>
      <c r="I2421" s="122">
        <f>TEXT(F2421,"0")&amp;TEXT(G2421,"0")&amp;TEXT(H2421,"0")</f>
        <v/>
      </c>
      <c r="J2421" s="122">
        <f>IFERROR(XLOOKUP(I2421,'Segment Map'!A:A,'Segment Map'!B:B,"Need Attention"),"Need Attention")</f>
        <v/>
      </c>
      <c r="K2421" s="122">
        <f>IF(E2421&gt;=5000,"🏆 Platinum",IF(E2421&gt;=2000,"🥇 Gold",IF(E2421&gt;=800,"🥈 Silver","🥉 Bronze")))</f>
        <v/>
      </c>
      <c r="L2421" s="125" t="n">
        <v>40752</v>
      </c>
    </row>
    <row r="2422">
      <c r="A2422" s="126" t="n">
        <v>15640</v>
      </c>
      <c r="B2422" s="126" t="inlineStr">
        <is>
          <t>United Kingdom</t>
        </is>
      </c>
      <c r="C2422" s="126" t="n">
        <v>5</v>
      </c>
      <c r="D2422" s="126" t="n">
        <v>15</v>
      </c>
      <c r="E2422" s="127" t="n">
        <v>12515.66</v>
      </c>
      <c r="F2422" s="128">
        <f>IF(C2422&lt;=30,5,IF(C2422&lt;=60,4,IF(C2422&lt;=120,3,IF(C2422&lt;=200,2,1))))</f>
        <v/>
      </c>
      <c r="G2422" s="128">
        <f>IF(D2422&gt;=20,5,IF(D2422&gt;=10,4,IF(D2422&gt;=5,3,IF(D2422&gt;=2,2,1))))</f>
        <v/>
      </c>
      <c r="H2422" s="128">
        <f>IF(E2422&gt;=5000,5,IF(E2422&gt;=2000,4,IF(E2422&gt;=800,3,IF(E2422&gt;=300,2,1))))</f>
        <v/>
      </c>
      <c r="I2422" s="126">
        <f>TEXT(F2422,"0")&amp;TEXT(G2422,"0")&amp;TEXT(H2422,"0")</f>
        <v/>
      </c>
      <c r="J2422" s="126">
        <f>IFERROR(XLOOKUP(I2422,'Segment Map'!A:A,'Segment Map'!B:B,"Need Attention"),"Need Attention")</f>
        <v/>
      </c>
      <c r="K2422" s="126">
        <f>IF(E2422&gt;=5000,"🏆 Platinum",IF(E2422&gt;=2000,"🥇 Gold",IF(E2422&gt;=800,"🥈 Silver","🥉 Bronze")))</f>
        <v/>
      </c>
      <c r="L2422" s="129" t="n">
        <v>40882</v>
      </c>
    </row>
    <row r="2423">
      <c r="A2423" s="122" t="n">
        <v>15641</v>
      </c>
      <c r="B2423" s="122" t="inlineStr">
        <is>
          <t>United Kingdom</t>
        </is>
      </c>
      <c r="C2423" s="122" t="n">
        <v>106</v>
      </c>
      <c r="D2423" s="122" t="n">
        <v>4</v>
      </c>
      <c r="E2423" s="123" t="n">
        <v>1887.2</v>
      </c>
      <c r="F2423" s="124">
        <f>IF(C2423&lt;=30,5,IF(C2423&lt;=60,4,IF(C2423&lt;=120,3,IF(C2423&lt;=200,2,1))))</f>
        <v/>
      </c>
      <c r="G2423" s="124">
        <f>IF(D2423&gt;=20,5,IF(D2423&gt;=10,4,IF(D2423&gt;=5,3,IF(D2423&gt;=2,2,1))))</f>
        <v/>
      </c>
      <c r="H2423" s="124">
        <f>IF(E2423&gt;=5000,5,IF(E2423&gt;=2000,4,IF(E2423&gt;=800,3,IF(E2423&gt;=300,2,1))))</f>
        <v/>
      </c>
      <c r="I2423" s="122">
        <f>TEXT(F2423,"0")&amp;TEXT(G2423,"0")&amp;TEXT(H2423,"0")</f>
        <v/>
      </c>
      <c r="J2423" s="122">
        <f>IFERROR(XLOOKUP(I2423,'Segment Map'!A:A,'Segment Map'!B:B,"Need Attention"),"Need Attention")</f>
        <v/>
      </c>
      <c r="K2423" s="122">
        <f>IF(E2423&gt;=5000,"🏆 Platinum",IF(E2423&gt;=2000,"🥇 Gold",IF(E2423&gt;=800,"🥈 Silver","🥉 Bronze")))</f>
        <v/>
      </c>
      <c r="L2423" s="125" t="n">
        <v>40781</v>
      </c>
    </row>
    <row r="2424">
      <c r="A2424" s="126" t="n">
        <v>15643</v>
      </c>
      <c r="B2424" s="126" t="inlineStr">
        <is>
          <t>United Kingdom</t>
        </is>
      </c>
      <c r="C2424" s="126" t="n">
        <v>192</v>
      </c>
      <c r="D2424" s="126" t="n">
        <v>3</v>
      </c>
      <c r="E2424" s="127" t="n">
        <v>664</v>
      </c>
      <c r="F2424" s="128">
        <f>IF(C2424&lt;=30,5,IF(C2424&lt;=60,4,IF(C2424&lt;=120,3,IF(C2424&lt;=200,2,1))))</f>
        <v/>
      </c>
      <c r="G2424" s="128">
        <f>IF(D2424&gt;=20,5,IF(D2424&gt;=10,4,IF(D2424&gt;=5,3,IF(D2424&gt;=2,2,1))))</f>
        <v/>
      </c>
      <c r="H2424" s="128">
        <f>IF(E2424&gt;=5000,5,IF(E2424&gt;=2000,4,IF(E2424&gt;=800,3,IF(E2424&gt;=300,2,1))))</f>
        <v/>
      </c>
      <c r="I2424" s="126">
        <f>TEXT(F2424,"0")&amp;TEXT(G2424,"0")&amp;TEXT(H2424,"0")</f>
        <v/>
      </c>
      <c r="J2424" s="126">
        <f>IFERROR(XLOOKUP(I2424,'Segment Map'!A:A,'Segment Map'!B:B,"Need Attention"),"Need Attention")</f>
        <v/>
      </c>
      <c r="K2424" s="126">
        <f>IF(E2424&gt;=5000,"🏆 Platinum",IF(E2424&gt;=2000,"🥇 Gold",IF(E2424&gt;=800,"🥈 Silver","🥉 Bronze")))</f>
        <v/>
      </c>
      <c r="L2424" s="129" t="n">
        <v>40695</v>
      </c>
    </row>
    <row r="2425">
      <c r="A2425" s="122" t="n">
        <v>15644</v>
      </c>
      <c r="B2425" s="122" t="inlineStr">
        <is>
          <t>United Kingdom</t>
        </is>
      </c>
      <c r="C2425" s="122" t="n">
        <v>167</v>
      </c>
      <c r="D2425" s="122" t="n">
        <v>4</v>
      </c>
      <c r="E2425" s="123" t="n">
        <v>813</v>
      </c>
      <c r="F2425" s="124">
        <f>IF(C2425&lt;=30,5,IF(C2425&lt;=60,4,IF(C2425&lt;=120,3,IF(C2425&lt;=200,2,1))))</f>
        <v/>
      </c>
      <c r="G2425" s="124">
        <f>IF(D2425&gt;=20,5,IF(D2425&gt;=10,4,IF(D2425&gt;=5,3,IF(D2425&gt;=2,2,1))))</f>
        <v/>
      </c>
      <c r="H2425" s="124">
        <f>IF(E2425&gt;=5000,5,IF(E2425&gt;=2000,4,IF(E2425&gt;=800,3,IF(E2425&gt;=300,2,1))))</f>
        <v/>
      </c>
      <c r="I2425" s="122">
        <f>TEXT(F2425,"0")&amp;TEXT(G2425,"0")&amp;TEXT(H2425,"0")</f>
        <v/>
      </c>
      <c r="J2425" s="122">
        <f>IFERROR(XLOOKUP(I2425,'Segment Map'!A:A,'Segment Map'!B:B,"Need Attention"),"Need Attention")</f>
        <v/>
      </c>
      <c r="K2425" s="122">
        <f>IF(E2425&gt;=5000,"🏆 Platinum",IF(E2425&gt;=2000,"🥇 Gold",IF(E2425&gt;=800,"🥈 Silver","🥉 Bronze")))</f>
        <v/>
      </c>
      <c r="L2425" s="125" t="n">
        <v>40720</v>
      </c>
    </row>
    <row r="2426">
      <c r="A2426" s="126" t="n">
        <v>15645</v>
      </c>
      <c r="B2426" s="126" t="inlineStr">
        <is>
          <t>United Kingdom</t>
        </is>
      </c>
      <c r="C2426" s="126" t="n">
        <v>19</v>
      </c>
      <c r="D2426" s="126" t="n">
        <v>1</v>
      </c>
      <c r="E2426" s="127" t="n">
        <v>612.01</v>
      </c>
      <c r="F2426" s="128">
        <f>IF(C2426&lt;=30,5,IF(C2426&lt;=60,4,IF(C2426&lt;=120,3,IF(C2426&lt;=200,2,1))))</f>
        <v/>
      </c>
      <c r="G2426" s="128">
        <f>IF(D2426&gt;=20,5,IF(D2426&gt;=10,4,IF(D2426&gt;=5,3,IF(D2426&gt;=2,2,1))))</f>
        <v/>
      </c>
      <c r="H2426" s="128">
        <f>IF(E2426&gt;=5000,5,IF(E2426&gt;=2000,4,IF(E2426&gt;=800,3,IF(E2426&gt;=300,2,1))))</f>
        <v/>
      </c>
      <c r="I2426" s="126">
        <f>TEXT(F2426,"0")&amp;TEXT(G2426,"0")&amp;TEXT(H2426,"0")</f>
        <v/>
      </c>
      <c r="J2426" s="126">
        <f>IFERROR(XLOOKUP(I2426,'Segment Map'!A:A,'Segment Map'!B:B,"Need Attention"),"Need Attention")</f>
        <v/>
      </c>
      <c r="K2426" s="126">
        <f>IF(E2426&gt;=5000,"🏆 Platinum",IF(E2426&gt;=2000,"🥇 Gold",IF(E2426&gt;=800,"🥈 Silver","🥉 Bronze")))</f>
        <v/>
      </c>
      <c r="L2426" s="129" t="n">
        <v>40868</v>
      </c>
    </row>
    <row r="2427">
      <c r="A2427" s="122" t="n">
        <v>15646</v>
      </c>
      <c r="B2427" s="122" t="inlineStr">
        <is>
          <t>United Kingdom</t>
        </is>
      </c>
      <c r="C2427" s="122" t="n">
        <v>158</v>
      </c>
      <c r="D2427" s="122" t="n">
        <v>3</v>
      </c>
      <c r="E2427" s="123" t="n">
        <v>447.64</v>
      </c>
      <c r="F2427" s="124">
        <f>IF(C2427&lt;=30,5,IF(C2427&lt;=60,4,IF(C2427&lt;=120,3,IF(C2427&lt;=200,2,1))))</f>
        <v/>
      </c>
      <c r="G2427" s="124">
        <f>IF(D2427&gt;=20,5,IF(D2427&gt;=10,4,IF(D2427&gt;=5,3,IF(D2427&gt;=2,2,1))))</f>
        <v/>
      </c>
      <c r="H2427" s="124">
        <f>IF(E2427&gt;=5000,5,IF(E2427&gt;=2000,4,IF(E2427&gt;=800,3,IF(E2427&gt;=300,2,1))))</f>
        <v/>
      </c>
      <c r="I2427" s="122">
        <f>TEXT(F2427,"0")&amp;TEXT(G2427,"0")&amp;TEXT(H2427,"0")</f>
        <v/>
      </c>
      <c r="J2427" s="122">
        <f>IFERROR(XLOOKUP(I2427,'Segment Map'!A:A,'Segment Map'!B:B,"Need Attention"),"Need Attention")</f>
        <v/>
      </c>
      <c r="K2427" s="122">
        <f>IF(E2427&gt;=5000,"🏆 Platinum",IF(E2427&gt;=2000,"🥇 Gold",IF(E2427&gt;=800,"🥈 Silver","🥉 Bronze")))</f>
        <v/>
      </c>
      <c r="L2427" s="125" t="n">
        <v>40729</v>
      </c>
    </row>
    <row r="2428">
      <c r="A2428" s="126" t="n">
        <v>15648</v>
      </c>
      <c r="B2428" s="126" t="inlineStr">
        <is>
          <t>United Kingdom</t>
        </is>
      </c>
      <c r="C2428" s="126" t="n">
        <v>205</v>
      </c>
      <c r="D2428" s="126" t="n">
        <v>2</v>
      </c>
      <c r="E2428" s="127" t="n">
        <v>657.35</v>
      </c>
      <c r="F2428" s="128">
        <f>IF(C2428&lt;=30,5,IF(C2428&lt;=60,4,IF(C2428&lt;=120,3,IF(C2428&lt;=200,2,1))))</f>
        <v/>
      </c>
      <c r="G2428" s="128">
        <f>IF(D2428&gt;=20,5,IF(D2428&gt;=10,4,IF(D2428&gt;=5,3,IF(D2428&gt;=2,2,1))))</f>
        <v/>
      </c>
      <c r="H2428" s="128">
        <f>IF(E2428&gt;=5000,5,IF(E2428&gt;=2000,4,IF(E2428&gt;=800,3,IF(E2428&gt;=300,2,1))))</f>
        <v/>
      </c>
      <c r="I2428" s="126">
        <f>TEXT(F2428,"0")&amp;TEXT(G2428,"0")&amp;TEXT(H2428,"0")</f>
        <v/>
      </c>
      <c r="J2428" s="126">
        <f>IFERROR(XLOOKUP(I2428,'Segment Map'!A:A,'Segment Map'!B:B,"Need Attention"),"Need Attention")</f>
        <v/>
      </c>
      <c r="K2428" s="126">
        <f>IF(E2428&gt;=5000,"🏆 Platinum",IF(E2428&gt;=2000,"🥇 Gold",IF(E2428&gt;=800,"🥈 Silver","🥉 Bronze")))</f>
        <v/>
      </c>
      <c r="L2428" s="129" t="n">
        <v>40682</v>
      </c>
    </row>
    <row r="2429">
      <c r="A2429" s="122" t="n">
        <v>15649</v>
      </c>
      <c r="B2429" s="122" t="inlineStr">
        <is>
          <t>United Kingdom</t>
        </is>
      </c>
      <c r="C2429" s="122" t="n">
        <v>337</v>
      </c>
      <c r="D2429" s="122" t="n">
        <v>2</v>
      </c>
      <c r="E2429" s="123" t="n">
        <v>816</v>
      </c>
      <c r="F2429" s="124">
        <f>IF(C2429&lt;=30,5,IF(C2429&lt;=60,4,IF(C2429&lt;=120,3,IF(C2429&lt;=200,2,1))))</f>
        <v/>
      </c>
      <c r="G2429" s="124">
        <f>IF(D2429&gt;=20,5,IF(D2429&gt;=10,4,IF(D2429&gt;=5,3,IF(D2429&gt;=2,2,1))))</f>
        <v/>
      </c>
      <c r="H2429" s="124">
        <f>IF(E2429&gt;=5000,5,IF(E2429&gt;=2000,4,IF(E2429&gt;=800,3,IF(E2429&gt;=300,2,1))))</f>
        <v/>
      </c>
      <c r="I2429" s="122">
        <f>TEXT(F2429,"0")&amp;TEXT(G2429,"0")&amp;TEXT(H2429,"0")</f>
        <v/>
      </c>
      <c r="J2429" s="122">
        <f>IFERROR(XLOOKUP(I2429,'Segment Map'!A:A,'Segment Map'!B:B,"Need Attention"),"Need Attention")</f>
        <v/>
      </c>
      <c r="K2429" s="122">
        <f>IF(E2429&gt;=5000,"🏆 Platinum",IF(E2429&gt;=2000,"🥇 Gold",IF(E2429&gt;=800,"🥈 Silver","🥉 Bronze")))</f>
        <v/>
      </c>
      <c r="L2429" s="125" t="n">
        <v>40550</v>
      </c>
    </row>
    <row r="2430">
      <c r="A2430" s="126" t="n">
        <v>15651</v>
      </c>
      <c r="B2430" s="126" t="inlineStr">
        <is>
          <t>United Kingdom</t>
        </is>
      </c>
      <c r="C2430" s="126" t="n">
        <v>37</v>
      </c>
      <c r="D2430" s="126" t="n">
        <v>3</v>
      </c>
      <c r="E2430" s="127" t="n">
        <v>646.3</v>
      </c>
      <c r="F2430" s="128">
        <f>IF(C2430&lt;=30,5,IF(C2430&lt;=60,4,IF(C2430&lt;=120,3,IF(C2430&lt;=200,2,1))))</f>
        <v/>
      </c>
      <c r="G2430" s="128">
        <f>IF(D2430&gt;=20,5,IF(D2430&gt;=10,4,IF(D2430&gt;=5,3,IF(D2430&gt;=2,2,1))))</f>
        <v/>
      </c>
      <c r="H2430" s="128">
        <f>IF(E2430&gt;=5000,5,IF(E2430&gt;=2000,4,IF(E2430&gt;=800,3,IF(E2430&gt;=300,2,1))))</f>
        <v/>
      </c>
      <c r="I2430" s="126">
        <f>TEXT(F2430,"0")&amp;TEXT(G2430,"0")&amp;TEXT(H2430,"0")</f>
        <v/>
      </c>
      <c r="J2430" s="126">
        <f>IFERROR(XLOOKUP(I2430,'Segment Map'!A:A,'Segment Map'!B:B,"Need Attention"),"Need Attention")</f>
        <v/>
      </c>
      <c r="K2430" s="126">
        <f>IF(E2430&gt;=5000,"🏆 Platinum",IF(E2430&gt;=2000,"🥇 Gold",IF(E2430&gt;=800,"🥈 Silver","🥉 Bronze")))</f>
        <v/>
      </c>
      <c r="L2430" s="129" t="n">
        <v>40850</v>
      </c>
    </row>
    <row r="2431">
      <c r="A2431" s="122" t="n">
        <v>15652</v>
      </c>
      <c r="B2431" s="122" t="inlineStr">
        <is>
          <t>United Kingdom</t>
        </is>
      </c>
      <c r="C2431" s="122" t="n">
        <v>92</v>
      </c>
      <c r="D2431" s="122" t="n">
        <v>1</v>
      </c>
      <c r="E2431" s="123" t="n">
        <v>337.74</v>
      </c>
      <c r="F2431" s="124">
        <f>IF(C2431&lt;=30,5,IF(C2431&lt;=60,4,IF(C2431&lt;=120,3,IF(C2431&lt;=200,2,1))))</f>
        <v/>
      </c>
      <c r="G2431" s="124">
        <f>IF(D2431&gt;=20,5,IF(D2431&gt;=10,4,IF(D2431&gt;=5,3,IF(D2431&gt;=2,2,1))))</f>
        <v/>
      </c>
      <c r="H2431" s="124">
        <f>IF(E2431&gt;=5000,5,IF(E2431&gt;=2000,4,IF(E2431&gt;=800,3,IF(E2431&gt;=300,2,1))))</f>
        <v/>
      </c>
      <c r="I2431" s="122">
        <f>TEXT(F2431,"0")&amp;TEXT(G2431,"0")&amp;TEXT(H2431,"0")</f>
        <v/>
      </c>
      <c r="J2431" s="122">
        <f>IFERROR(XLOOKUP(I2431,'Segment Map'!A:A,'Segment Map'!B:B,"Need Attention"),"Need Attention")</f>
        <v/>
      </c>
      <c r="K2431" s="122">
        <f>IF(E2431&gt;=5000,"🏆 Platinum",IF(E2431&gt;=2000,"🥇 Gold",IF(E2431&gt;=800,"🥈 Silver","🥉 Bronze")))</f>
        <v/>
      </c>
      <c r="L2431" s="125" t="n">
        <v>40795</v>
      </c>
    </row>
    <row r="2432">
      <c r="A2432" s="126" t="n">
        <v>15653</v>
      </c>
      <c r="B2432" s="126" t="inlineStr">
        <is>
          <t>United Kingdom</t>
        </is>
      </c>
      <c r="C2432" s="126" t="n">
        <v>93</v>
      </c>
      <c r="D2432" s="126" t="n">
        <v>2</v>
      </c>
      <c r="E2432" s="127" t="n">
        <v>877.4400000000001</v>
      </c>
      <c r="F2432" s="128">
        <f>IF(C2432&lt;=30,5,IF(C2432&lt;=60,4,IF(C2432&lt;=120,3,IF(C2432&lt;=200,2,1))))</f>
        <v/>
      </c>
      <c r="G2432" s="128">
        <f>IF(D2432&gt;=20,5,IF(D2432&gt;=10,4,IF(D2432&gt;=5,3,IF(D2432&gt;=2,2,1))))</f>
        <v/>
      </c>
      <c r="H2432" s="128">
        <f>IF(E2432&gt;=5000,5,IF(E2432&gt;=2000,4,IF(E2432&gt;=800,3,IF(E2432&gt;=300,2,1))))</f>
        <v/>
      </c>
      <c r="I2432" s="126">
        <f>TEXT(F2432,"0")&amp;TEXT(G2432,"0")&amp;TEXT(H2432,"0")</f>
        <v/>
      </c>
      <c r="J2432" s="126">
        <f>IFERROR(XLOOKUP(I2432,'Segment Map'!A:A,'Segment Map'!B:B,"Need Attention"),"Need Attention")</f>
        <v/>
      </c>
      <c r="K2432" s="126">
        <f>IF(E2432&gt;=5000,"🏆 Platinum",IF(E2432&gt;=2000,"🥇 Gold",IF(E2432&gt;=800,"🥈 Silver","🥉 Bronze")))</f>
        <v/>
      </c>
      <c r="L2432" s="129" t="n">
        <v>40794</v>
      </c>
    </row>
    <row r="2433">
      <c r="A2433" s="122" t="n">
        <v>15654</v>
      </c>
      <c r="B2433" s="122" t="inlineStr">
        <is>
          <t>United Kingdom</t>
        </is>
      </c>
      <c r="C2433" s="122" t="n">
        <v>10</v>
      </c>
      <c r="D2433" s="122" t="n">
        <v>2</v>
      </c>
      <c r="E2433" s="123" t="n">
        <v>922.53</v>
      </c>
      <c r="F2433" s="124">
        <f>IF(C2433&lt;=30,5,IF(C2433&lt;=60,4,IF(C2433&lt;=120,3,IF(C2433&lt;=200,2,1))))</f>
        <v/>
      </c>
      <c r="G2433" s="124">
        <f>IF(D2433&gt;=20,5,IF(D2433&gt;=10,4,IF(D2433&gt;=5,3,IF(D2433&gt;=2,2,1))))</f>
        <v/>
      </c>
      <c r="H2433" s="124">
        <f>IF(E2433&gt;=5000,5,IF(E2433&gt;=2000,4,IF(E2433&gt;=800,3,IF(E2433&gt;=300,2,1))))</f>
        <v/>
      </c>
      <c r="I2433" s="122">
        <f>TEXT(F2433,"0")&amp;TEXT(G2433,"0")&amp;TEXT(H2433,"0")</f>
        <v/>
      </c>
      <c r="J2433" s="122">
        <f>IFERROR(XLOOKUP(I2433,'Segment Map'!A:A,'Segment Map'!B:B,"Need Attention"),"Need Attention")</f>
        <v/>
      </c>
      <c r="K2433" s="122">
        <f>IF(E2433&gt;=5000,"🏆 Platinum",IF(E2433&gt;=2000,"🥇 Gold",IF(E2433&gt;=800,"🥈 Silver","🥉 Bronze")))</f>
        <v/>
      </c>
      <c r="L2433" s="125" t="n">
        <v>40877</v>
      </c>
    </row>
    <row r="2434">
      <c r="A2434" s="126" t="n">
        <v>15655</v>
      </c>
      <c r="B2434" s="126" t="inlineStr">
        <is>
          <t>United Kingdom</t>
        </is>
      </c>
      <c r="C2434" s="126" t="n">
        <v>244</v>
      </c>
      <c r="D2434" s="126" t="n">
        <v>1</v>
      </c>
      <c r="E2434" s="127" t="n">
        <v>560.67</v>
      </c>
      <c r="F2434" s="128">
        <f>IF(C2434&lt;=30,5,IF(C2434&lt;=60,4,IF(C2434&lt;=120,3,IF(C2434&lt;=200,2,1))))</f>
        <v/>
      </c>
      <c r="G2434" s="128">
        <f>IF(D2434&gt;=20,5,IF(D2434&gt;=10,4,IF(D2434&gt;=5,3,IF(D2434&gt;=2,2,1))))</f>
        <v/>
      </c>
      <c r="H2434" s="128">
        <f>IF(E2434&gt;=5000,5,IF(E2434&gt;=2000,4,IF(E2434&gt;=800,3,IF(E2434&gt;=300,2,1))))</f>
        <v/>
      </c>
      <c r="I2434" s="126">
        <f>TEXT(F2434,"0")&amp;TEXT(G2434,"0")&amp;TEXT(H2434,"0")</f>
        <v/>
      </c>
      <c r="J2434" s="126">
        <f>IFERROR(XLOOKUP(I2434,'Segment Map'!A:A,'Segment Map'!B:B,"Need Attention"),"Need Attention")</f>
        <v/>
      </c>
      <c r="K2434" s="126">
        <f>IF(E2434&gt;=5000,"🏆 Platinum",IF(E2434&gt;=2000,"🥇 Gold",IF(E2434&gt;=800,"🥈 Silver","🥉 Bronze")))</f>
        <v/>
      </c>
      <c r="L2434" s="129" t="n">
        <v>40643</v>
      </c>
    </row>
    <row r="2435">
      <c r="A2435" s="122" t="n">
        <v>15656</v>
      </c>
      <c r="B2435" s="122" t="inlineStr">
        <is>
          <t>United Kingdom</t>
        </is>
      </c>
      <c r="C2435" s="122" t="n">
        <v>46</v>
      </c>
      <c r="D2435" s="122" t="n">
        <v>4</v>
      </c>
      <c r="E2435" s="123" t="n">
        <v>748.5</v>
      </c>
      <c r="F2435" s="124">
        <f>IF(C2435&lt;=30,5,IF(C2435&lt;=60,4,IF(C2435&lt;=120,3,IF(C2435&lt;=200,2,1))))</f>
        <v/>
      </c>
      <c r="G2435" s="124">
        <f>IF(D2435&gt;=20,5,IF(D2435&gt;=10,4,IF(D2435&gt;=5,3,IF(D2435&gt;=2,2,1))))</f>
        <v/>
      </c>
      <c r="H2435" s="124">
        <f>IF(E2435&gt;=5000,5,IF(E2435&gt;=2000,4,IF(E2435&gt;=800,3,IF(E2435&gt;=300,2,1))))</f>
        <v/>
      </c>
      <c r="I2435" s="122">
        <f>TEXT(F2435,"0")&amp;TEXT(G2435,"0")&amp;TEXT(H2435,"0")</f>
        <v/>
      </c>
      <c r="J2435" s="122">
        <f>IFERROR(XLOOKUP(I2435,'Segment Map'!A:A,'Segment Map'!B:B,"Need Attention"),"Need Attention")</f>
        <v/>
      </c>
      <c r="K2435" s="122">
        <f>IF(E2435&gt;=5000,"🏆 Platinum",IF(E2435&gt;=2000,"🥇 Gold",IF(E2435&gt;=800,"🥈 Silver","🥉 Bronze")))</f>
        <v/>
      </c>
      <c r="L2435" s="125" t="n">
        <v>40841</v>
      </c>
    </row>
    <row r="2436">
      <c r="A2436" s="126" t="n">
        <v>15657</v>
      </c>
      <c r="B2436" s="126" t="inlineStr">
        <is>
          <t>United Kingdom</t>
        </is>
      </c>
      <c r="C2436" s="126" t="n">
        <v>23</v>
      </c>
      <c r="D2436" s="126" t="n">
        <v>1</v>
      </c>
      <c r="E2436" s="127" t="n">
        <v>30</v>
      </c>
      <c r="F2436" s="128">
        <f>IF(C2436&lt;=30,5,IF(C2436&lt;=60,4,IF(C2436&lt;=120,3,IF(C2436&lt;=200,2,1))))</f>
        <v/>
      </c>
      <c r="G2436" s="128">
        <f>IF(D2436&gt;=20,5,IF(D2436&gt;=10,4,IF(D2436&gt;=5,3,IF(D2436&gt;=2,2,1))))</f>
        <v/>
      </c>
      <c r="H2436" s="128">
        <f>IF(E2436&gt;=5000,5,IF(E2436&gt;=2000,4,IF(E2436&gt;=800,3,IF(E2436&gt;=300,2,1))))</f>
        <v/>
      </c>
      <c r="I2436" s="126">
        <f>TEXT(F2436,"0")&amp;TEXT(G2436,"0")&amp;TEXT(H2436,"0")</f>
        <v/>
      </c>
      <c r="J2436" s="126">
        <f>IFERROR(XLOOKUP(I2436,'Segment Map'!A:A,'Segment Map'!B:B,"Need Attention"),"Need Attention")</f>
        <v/>
      </c>
      <c r="K2436" s="126">
        <f>IF(E2436&gt;=5000,"🏆 Platinum",IF(E2436&gt;=2000,"🥇 Gold",IF(E2436&gt;=800,"🥈 Silver","🥉 Bronze")))</f>
        <v/>
      </c>
      <c r="L2436" s="129" t="n">
        <v>40864</v>
      </c>
    </row>
    <row r="2437">
      <c r="A2437" s="122" t="n">
        <v>15658</v>
      </c>
      <c r="B2437" s="122" t="inlineStr">
        <is>
          <t>United Kingdom</t>
        </is>
      </c>
      <c r="C2437" s="122" t="n">
        <v>191</v>
      </c>
      <c r="D2437" s="122" t="n">
        <v>5</v>
      </c>
      <c r="E2437" s="123" t="n">
        <v>1024.1</v>
      </c>
      <c r="F2437" s="124">
        <f>IF(C2437&lt;=30,5,IF(C2437&lt;=60,4,IF(C2437&lt;=120,3,IF(C2437&lt;=200,2,1))))</f>
        <v/>
      </c>
      <c r="G2437" s="124">
        <f>IF(D2437&gt;=20,5,IF(D2437&gt;=10,4,IF(D2437&gt;=5,3,IF(D2437&gt;=2,2,1))))</f>
        <v/>
      </c>
      <c r="H2437" s="124">
        <f>IF(E2437&gt;=5000,5,IF(E2437&gt;=2000,4,IF(E2437&gt;=800,3,IF(E2437&gt;=300,2,1))))</f>
        <v/>
      </c>
      <c r="I2437" s="122">
        <f>TEXT(F2437,"0")&amp;TEXT(G2437,"0")&amp;TEXT(H2437,"0")</f>
        <v/>
      </c>
      <c r="J2437" s="122">
        <f>IFERROR(XLOOKUP(I2437,'Segment Map'!A:A,'Segment Map'!B:B,"Need Attention"),"Need Attention")</f>
        <v/>
      </c>
      <c r="K2437" s="122">
        <f>IF(E2437&gt;=5000,"🏆 Platinum",IF(E2437&gt;=2000,"🥇 Gold",IF(E2437&gt;=800,"🥈 Silver","🥉 Bronze")))</f>
        <v/>
      </c>
      <c r="L2437" s="125" t="n">
        <v>40696</v>
      </c>
    </row>
    <row r="2438">
      <c r="A2438" s="126" t="n">
        <v>15659</v>
      </c>
      <c r="B2438" s="126" t="inlineStr">
        <is>
          <t>United Kingdom</t>
        </is>
      </c>
      <c r="C2438" s="126" t="n">
        <v>44</v>
      </c>
      <c r="D2438" s="126" t="n">
        <v>1</v>
      </c>
      <c r="E2438" s="127" t="n">
        <v>306.45</v>
      </c>
      <c r="F2438" s="128">
        <f>IF(C2438&lt;=30,5,IF(C2438&lt;=60,4,IF(C2438&lt;=120,3,IF(C2438&lt;=200,2,1))))</f>
        <v/>
      </c>
      <c r="G2438" s="128">
        <f>IF(D2438&gt;=20,5,IF(D2438&gt;=10,4,IF(D2438&gt;=5,3,IF(D2438&gt;=2,2,1))))</f>
        <v/>
      </c>
      <c r="H2438" s="128">
        <f>IF(E2438&gt;=5000,5,IF(E2438&gt;=2000,4,IF(E2438&gt;=800,3,IF(E2438&gt;=300,2,1))))</f>
        <v/>
      </c>
      <c r="I2438" s="126">
        <f>TEXT(F2438,"0")&amp;TEXT(G2438,"0")&amp;TEXT(H2438,"0")</f>
        <v/>
      </c>
      <c r="J2438" s="126">
        <f>IFERROR(XLOOKUP(I2438,'Segment Map'!A:A,'Segment Map'!B:B,"Need Attention"),"Need Attention")</f>
        <v/>
      </c>
      <c r="K2438" s="126">
        <f>IF(E2438&gt;=5000,"🏆 Platinum",IF(E2438&gt;=2000,"🥇 Gold",IF(E2438&gt;=800,"🥈 Silver","🥉 Bronze")))</f>
        <v/>
      </c>
      <c r="L2438" s="129" t="n">
        <v>40843</v>
      </c>
    </row>
    <row r="2439">
      <c r="A2439" s="122" t="n">
        <v>15660</v>
      </c>
      <c r="B2439" s="122" t="inlineStr">
        <is>
          <t>United Kingdom</t>
        </is>
      </c>
      <c r="C2439" s="122" t="n">
        <v>26</v>
      </c>
      <c r="D2439" s="122" t="n">
        <v>9</v>
      </c>
      <c r="E2439" s="123" t="n">
        <v>1600.86</v>
      </c>
      <c r="F2439" s="124">
        <f>IF(C2439&lt;=30,5,IF(C2439&lt;=60,4,IF(C2439&lt;=120,3,IF(C2439&lt;=200,2,1))))</f>
        <v/>
      </c>
      <c r="G2439" s="124">
        <f>IF(D2439&gt;=20,5,IF(D2439&gt;=10,4,IF(D2439&gt;=5,3,IF(D2439&gt;=2,2,1))))</f>
        <v/>
      </c>
      <c r="H2439" s="124">
        <f>IF(E2439&gt;=5000,5,IF(E2439&gt;=2000,4,IF(E2439&gt;=800,3,IF(E2439&gt;=300,2,1))))</f>
        <v/>
      </c>
      <c r="I2439" s="122">
        <f>TEXT(F2439,"0")&amp;TEXT(G2439,"0")&amp;TEXT(H2439,"0")</f>
        <v/>
      </c>
      <c r="J2439" s="122">
        <f>IFERROR(XLOOKUP(I2439,'Segment Map'!A:A,'Segment Map'!B:B,"Need Attention"),"Need Attention")</f>
        <v/>
      </c>
      <c r="K2439" s="122">
        <f>IF(E2439&gt;=5000,"🏆 Platinum",IF(E2439&gt;=2000,"🥇 Gold",IF(E2439&gt;=800,"🥈 Silver","🥉 Bronze")))</f>
        <v/>
      </c>
      <c r="L2439" s="125" t="n">
        <v>40861</v>
      </c>
    </row>
    <row r="2440">
      <c r="A2440" s="126" t="n">
        <v>15661</v>
      </c>
      <c r="B2440" s="126" t="inlineStr">
        <is>
          <t>United Kingdom</t>
        </is>
      </c>
      <c r="C2440" s="126" t="n">
        <v>318</v>
      </c>
      <c r="D2440" s="126" t="n">
        <v>2</v>
      </c>
      <c r="E2440" s="127" t="n">
        <v>309.8</v>
      </c>
      <c r="F2440" s="128">
        <f>IF(C2440&lt;=30,5,IF(C2440&lt;=60,4,IF(C2440&lt;=120,3,IF(C2440&lt;=200,2,1))))</f>
        <v/>
      </c>
      <c r="G2440" s="128">
        <f>IF(D2440&gt;=20,5,IF(D2440&gt;=10,4,IF(D2440&gt;=5,3,IF(D2440&gt;=2,2,1))))</f>
        <v/>
      </c>
      <c r="H2440" s="128">
        <f>IF(E2440&gt;=5000,5,IF(E2440&gt;=2000,4,IF(E2440&gt;=800,3,IF(E2440&gt;=300,2,1))))</f>
        <v/>
      </c>
      <c r="I2440" s="126">
        <f>TEXT(F2440,"0")&amp;TEXT(G2440,"0")&amp;TEXT(H2440,"0")</f>
        <v/>
      </c>
      <c r="J2440" s="126">
        <f>IFERROR(XLOOKUP(I2440,'Segment Map'!A:A,'Segment Map'!B:B,"Need Attention"),"Need Attention")</f>
        <v/>
      </c>
      <c r="K2440" s="126">
        <f>IF(E2440&gt;=5000,"🏆 Platinum",IF(E2440&gt;=2000,"🥇 Gold",IF(E2440&gt;=800,"🥈 Silver","🥉 Bronze")))</f>
        <v/>
      </c>
      <c r="L2440" s="129" t="n">
        <v>40569</v>
      </c>
    </row>
    <row r="2441">
      <c r="A2441" s="122" t="n">
        <v>15663</v>
      </c>
      <c r="B2441" s="122" t="inlineStr">
        <is>
          <t>United Kingdom</t>
        </is>
      </c>
      <c r="C2441" s="122" t="n">
        <v>107</v>
      </c>
      <c r="D2441" s="122" t="n">
        <v>1</v>
      </c>
      <c r="E2441" s="123" t="n">
        <v>138.14</v>
      </c>
      <c r="F2441" s="124">
        <f>IF(C2441&lt;=30,5,IF(C2441&lt;=60,4,IF(C2441&lt;=120,3,IF(C2441&lt;=200,2,1))))</f>
        <v/>
      </c>
      <c r="G2441" s="124">
        <f>IF(D2441&gt;=20,5,IF(D2441&gt;=10,4,IF(D2441&gt;=5,3,IF(D2441&gt;=2,2,1))))</f>
        <v/>
      </c>
      <c r="H2441" s="124">
        <f>IF(E2441&gt;=5000,5,IF(E2441&gt;=2000,4,IF(E2441&gt;=800,3,IF(E2441&gt;=300,2,1))))</f>
        <v/>
      </c>
      <c r="I2441" s="122">
        <f>TEXT(F2441,"0")&amp;TEXT(G2441,"0")&amp;TEXT(H2441,"0")</f>
        <v/>
      </c>
      <c r="J2441" s="122">
        <f>IFERROR(XLOOKUP(I2441,'Segment Map'!A:A,'Segment Map'!B:B,"Need Attention"),"Need Attention")</f>
        <v/>
      </c>
      <c r="K2441" s="122">
        <f>IF(E2441&gt;=5000,"🏆 Platinum",IF(E2441&gt;=2000,"🥇 Gold",IF(E2441&gt;=800,"🥈 Silver","🥉 Bronze")))</f>
        <v/>
      </c>
      <c r="L2441" s="125" t="n">
        <v>40780</v>
      </c>
    </row>
    <row r="2442">
      <c r="A2442" s="126" t="n">
        <v>15664</v>
      </c>
      <c r="B2442" s="126" t="inlineStr">
        <is>
          <t>United Kingdom</t>
        </is>
      </c>
      <c r="C2442" s="126" t="n">
        <v>51</v>
      </c>
      <c r="D2442" s="126" t="n">
        <v>1</v>
      </c>
      <c r="E2442" s="127" t="n">
        <v>386.43</v>
      </c>
      <c r="F2442" s="128">
        <f>IF(C2442&lt;=30,5,IF(C2442&lt;=60,4,IF(C2442&lt;=120,3,IF(C2442&lt;=200,2,1))))</f>
        <v/>
      </c>
      <c r="G2442" s="128">
        <f>IF(D2442&gt;=20,5,IF(D2442&gt;=10,4,IF(D2442&gt;=5,3,IF(D2442&gt;=2,2,1))))</f>
        <v/>
      </c>
      <c r="H2442" s="128">
        <f>IF(E2442&gt;=5000,5,IF(E2442&gt;=2000,4,IF(E2442&gt;=800,3,IF(E2442&gt;=300,2,1))))</f>
        <v/>
      </c>
      <c r="I2442" s="126">
        <f>TEXT(F2442,"0")&amp;TEXT(G2442,"0")&amp;TEXT(H2442,"0")</f>
        <v/>
      </c>
      <c r="J2442" s="126">
        <f>IFERROR(XLOOKUP(I2442,'Segment Map'!A:A,'Segment Map'!B:B,"Need Attention"),"Need Attention")</f>
        <v/>
      </c>
      <c r="K2442" s="126">
        <f>IF(E2442&gt;=5000,"🏆 Platinum",IF(E2442&gt;=2000,"🥇 Gold",IF(E2442&gt;=800,"🥈 Silver","🥉 Bronze")))</f>
        <v/>
      </c>
      <c r="L2442" s="129" t="n">
        <v>40836</v>
      </c>
    </row>
    <row r="2443">
      <c r="A2443" s="122" t="n">
        <v>15665</v>
      </c>
      <c r="B2443" s="122" t="inlineStr">
        <is>
          <t>United Kingdom</t>
        </is>
      </c>
      <c r="C2443" s="122" t="n">
        <v>169</v>
      </c>
      <c r="D2443" s="122" t="n">
        <v>2</v>
      </c>
      <c r="E2443" s="123" t="n">
        <v>2242.01</v>
      </c>
      <c r="F2443" s="124">
        <f>IF(C2443&lt;=30,5,IF(C2443&lt;=60,4,IF(C2443&lt;=120,3,IF(C2443&lt;=200,2,1))))</f>
        <v/>
      </c>
      <c r="G2443" s="124">
        <f>IF(D2443&gt;=20,5,IF(D2443&gt;=10,4,IF(D2443&gt;=5,3,IF(D2443&gt;=2,2,1))))</f>
        <v/>
      </c>
      <c r="H2443" s="124">
        <f>IF(E2443&gt;=5000,5,IF(E2443&gt;=2000,4,IF(E2443&gt;=800,3,IF(E2443&gt;=300,2,1))))</f>
        <v/>
      </c>
      <c r="I2443" s="122">
        <f>TEXT(F2443,"0")&amp;TEXT(G2443,"0")&amp;TEXT(H2443,"0")</f>
        <v/>
      </c>
      <c r="J2443" s="122">
        <f>IFERROR(XLOOKUP(I2443,'Segment Map'!A:A,'Segment Map'!B:B,"Need Attention"),"Need Attention")</f>
        <v/>
      </c>
      <c r="K2443" s="122">
        <f>IF(E2443&gt;=5000,"🏆 Platinum",IF(E2443&gt;=2000,"🥇 Gold",IF(E2443&gt;=800,"🥈 Silver","🥉 Bronze")))</f>
        <v/>
      </c>
      <c r="L2443" s="125" t="n">
        <v>40718</v>
      </c>
    </row>
    <row r="2444">
      <c r="A2444" s="126" t="n">
        <v>15667</v>
      </c>
      <c r="B2444" s="126" t="inlineStr">
        <is>
          <t>United Kingdom</t>
        </is>
      </c>
      <c r="C2444" s="126" t="n">
        <v>40</v>
      </c>
      <c r="D2444" s="126" t="n">
        <v>1</v>
      </c>
      <c r="E2444" s="127" t="n">
        <v>301.32</v>
      </c>
      <c r="F2444" s="128">
        <f>IF(C2444&lt;=30,5,IF(C2444&lt;=60,4,IF(C2444&lt;=120,3,IF(C2444&lt;=200,2,1))))</f>
        <v/>
      </c>
      <c r="G2444" s="128">
        <f>IF(D2444&gt;=20,5,IF(D2444&gt;=10,4,IF(D2444&gt;=5,3,IF(D2444&gt;=2,2,1))))</f>
        <v/>
      </c>
      <c r="H2444" s="128">
        <f>IF(E2444&gt;=5000,5,IF(E2444&gt;=2000,4,IF(E2444&gt;=800,3,IF(E2444&gt;=300,2,1))))</f>
        <v/>
      </c>
      <c r="I2444" s="126">
        <f>TEXT(F2444,"0")&amp;TEXT(G2444,"0")&amp;TEXT(H2444,"0")</f>
        <v/>
      </c>
      <c r="J2444" s="126">
        <f>IFERROR(XLOOKUP(I2444,'Segment Map'!A:A,'Segment Map'!B:B,"Need Attention"),"Need Attention")</f>
        <v/>
      </c>
      <c r="K2444" s="126">
        <f>IF(E2444&gt;=5000,"🏆 Platinum",IF(E2444&gt;=2000,"🥇 Gold",IF(E2444&gt;=800,"🥈 Silver","🥉 Bronze")))</f>
        <v/>
      </c>
      <c r="L2444" s="129" t="n">
        <v>40847</v>
      </c>
    </row>
    <row r="2445">
      <c r="A2445" s="122" t="n">
        <v>15668</v>
      </c>
      <c r="B2445" s="122" t="inlineStr">
        <is>
          <t>United Kingdom</t>
        </is>
      </c>
      <c r="C2445" s="122" t="n">
        <v>218</v>
      </c>
      <c r="D2445" s="122" t="n">
        <v>1</v>
      </c>
      <c r="E2445" s="123" t="n">
        <v>76.31999999999999</v>
      </c>
      <c r="F2445" s="124">
        <f>IF(C2445&lt;=30,5,IF(C2445&lt;=60,4,IF(C2445&lt;=120,3,IF(C2445&lt;=200,2,1))))</f>
        <v/>
      </c>
      <c r="G2445" s="124">
        <f>IF(D2445&gt;=20,5,IF(D2445&gt;=10,4,IF(D2445&gt;=5,3,IF(D2445&gt;=2,2,1))))</f>
        <v/>
      </c>
      <c r="H2445" s="124">
        <f>IF(E2445&gt;=5000,5,IF(E2445&gt;=2000,4,IF(E2445&gt;=800,3,IF(E2445&gt;=300,2,1))))</f>
        <v/>
      </c>
      <c r="I2445" s="122">
        <f>TEXT(F2445,"0")&amp;TEXT(G2445,"0")&amp;TEXT(H2445,"0")</f>
        <v/>
      </c>
      <c r="J2445" s="122">
        <f>IFERROR(XLOOKUP(I2445,'Segment Map'!A:A,'Segment Map'!B:B,"Need Attention"),"Need Attention")</f>
        <v/>
      </c>
      <c r="K2445" s="122">
        <f>IF(E2445&gt;=5000,"🏆 Platinum",IF(E2445&gt;=2000,"🥇 Gold",IF(E2445&gt;=800,"🥈 Silver","🥉 Bronze")))</f>
        <v/>
      </c>
      <c r="L2445" s="125" t="n">
        <v>40669</v>
      </c>
    </row>
    <row r="2446">
      <c r="A2446" s="126" t="n">
        <v>15669</v>
      </c>
      <c r="B2446" s="126" t="inlineStr">
        <is>
          <t>United Kingdom</t>
        </is>
      </c>
      <c r="C2446" s="126" t="n">
        <v>41</v>
      </c>
      <c r="D2446" s="126" t="n">
        <v>4</v>
      </c>
      <c r="E2446" s="127" t="n">
        <v>684.34</v>
      </c>
      <c r="F2446" s="128">
        <f>IF(C2446&lt;=30,5,IF(C2446&lt;=60,4,IF(C2446&lt;=120,3,IF(C2446&lt;=200,2,1))))</f>
        <v/>
      </c>
      <c r="G2446" s="128">
        <f>IF(D2446&gt;=20,5,IF(D2446&gt;=10,4,IF(D2446&gt;=5,3,IF(D2446&gt;=2,2,1))))</f>
        <v/>
      </c>
      <c r="H2446" s="128">
        <f>IF(E2446&gt;=5000,5,IF(E2446&gt;=2000,4,IF(E2446&gt;=800,3,IF(E2446&gt;=300,2,1))))</f>
        <v/>
      </c>
      <c r="I2446" s="126">
        <f>TEXT(F2446,"0")&amp;TEXT(G2446,"0")&amp;TEXT(H2446,"0")</f>
        <v/>
      </c>
      <c r="J2446" s="126">
        <f>IFERROR(XLOOKUP(I2446,'Segment Map'!A:A,'Segment Map'!B:B,"Need Attention"),"Need Attention")</f>
        <v/>
      </c>
      <c r="K2446" s="126">
        <f>IF(E2446&gt;=5000,"🏆 Platinum",IF(E2446&gt;=2000,"🥇 Gold",IF(E2446&gt;=800,"🥈 Silver","🥉 Bronze")))</f>
        <v/>
      </c>
      <c r="L2446" s="129" t="n">
        <v>40846</v>
      </c>
    </row>
    <row r="2447">
      <c r="A2447" s="122" t="n">
        <v>15670</v>
      </c>
      <c r="B2447" s="122" t="inlineStr">
        <is>
          <t>United Kingdom</t>
        </is>
      </c>
      <c r="C2447" s="122" t="n">
        <v>297</v>
      </c>
      <c r="D2447" s="122" t="n">
        <v>1</v>
      </c>
      <c r="E2447" s="123" t="n">
        <v>173.05</v>
      </c>
      <c r="F2447" s="124">
        <f>IF(C2447&lt;=30,5,IF(C2447&lt;=60,4,IF(C2447&lt;=120,3,IF(C2447&lt;=200,2,1))))</f>
        <v/>
      </c>
      <c r="G2447" s="124">
        <f>IF(D2447&gt;=20,5,IF(D2447&gt;=10,4,IF(D2447&gt;=5,3,IF(D2447&gt;=2,2,1))))</f>
        <v/>
      </c>
      <c r="H2447" s="124">
        <f>IF(E2447&gt;=5000,5,IF(E2447&gt;=2000,4,IF(E2447&gt;=800,3,IF(E2447&gt;=300,2,1))))</f>
        <v/>
      </c>
      <c r="I2447" s="122">
        <f>TEXT(F2447,"0")&amp;TEXT(G2447,"0")&amp;TEXT(H2447,"0")</f>
        <v/>
      </c>
      <c r="J2447" s="122">
        <f>IFERROR(XLOOKUP(I2447,'Segment Map'!A:A,'Segment Map'!B:B,"Need Attention"),"Need Attention")</f>
        <v/>
      </c>
      <c r="K2447" s="122">
        <f>IF(E2447&gt;=5000,"🏆 Platinum",IF(E2447&gt;=2000,"🥇 Gold",IF(E2447&gt;=800,"🥈 Silver","🥉 Bronze")))</f>
        <v/>
      </c>
      <c r="L2447" s="125" t="n">
        <v>40590</v>
      </c>
    </row>
    <row r="2448">
      <c r="A2448" s="126" t="n">
        <v>15671</v>
      </c>
      <c r="B2448" s="126" t="inlineStr">
        <is>
          <t>United Kingdom</t>
        </is>
      </c>
      <c r="C2448" s="126" t="n">
        <v>19</v>
      </c>
      <c r="D2448" s="126" t="n">
        <v>7</v>
      </c>
      <c r="E2448" s="127" t="n">
        <v>2657.13</v>
      </c>
      <c r="F2448" s="128">
        <f>IF(C2448&lt;=30,5,IF(C2448&lt;=60,4,IF(C2448&lt;=120,3,IF(C2448&lt;=200,2,1))))</f>
        <v/>
      </c>
      <c r="G2448" s="128">
        <f>IF(D2448&gt;=20,5,IF(D2448&gt;=10,4,IF(D2448&gt;=5,3,IF(D2448&gt;=2,2,1))))</f>
        <v/>
      </c>
      <c r="H2448" s="128">
        <f>IF(E2448&gt;=5000,5,IF(E2448&gt;=2000,4,IF(E2448&gt;=800,3,IF(E2448&gt;=300,2,1))))</f>
        <v/>
      </c>
      <c r="I2448" s="126">
        <f>TEXT(F2448,"0")&amp;TEXT(G2448,"0")&amp;TEXT(H2448,"0")</f>
        <v/>
      </c>
      <c r="J2448" s="126">
        <f>IFERROR(XLOOKUP(I2448,'Segment Map'!A:A,'Segment Map'!B:B,"Need Attention"),"Need Attention")</f>
        <v/>
      </c>
      <c r="K2448" s="126">
        <f>IF(E2448&gt;=5000,"🏆 Platinum",IF(E2448&gt;=2000,"🥇 Gold",IF(E2448&gt;=800,"🥈 Silver","🥉 Bronze")))</f>
        <v/>
      </c>
      <c r="L2448" s="129" t="n">
        <v>40868</v>
      </c>
    </row>
    <row r="2449">
      <c r="A2449" s="122" t="n">
        <v>15673</v>
      </c>
      <c r="B2449" s="122" t="inlineStr">
        <is>
          <t>United Kingdom</t>
        </is>
      </c>
      <c r="C2449" s="122" t="n">
        <v>89</v>
      </c>
      <c r="D2449" s="122" t="n">
        <v>4</v>
      </c>
      <c r="E2449" s="123" t="n">
        <v>2881.02</v>
      </c>
      <c r="F2449" s="124">
        <f>IF(C2449&lt;=30,5,IF(C2449&lt;=60,4,IF(C2449&lt;=120,3,IF(C2449&lt;=200,2,1))))</f>
        <v/>
      </c>
      <c r="G2449" s="124">
        <f>IF(D2449&gt;=20,5,IF(D2449&gt;=10,4,IF(D2449&gt;=5,3,IF(D2449&gt;=2,2,1))))</f>
        <v/>
      </c>
      <c r="H2449" s="124">
        <f>IF(E2449&gt;=5000,5,IF(E2449&gt;=2000,4,IF(E2449&gt;=800,3,IF(E2449&gt;=300,2,1))))</f>
        <v/>
      </c>
      <c r="I2449" s="122">
        <f>TEXT(F2449,"0")&amp;TEXT(G2449,"0")&amp;TEXT(H2449,"0")</f>
        <v/>
      </c>
      <c r="J2449" s="122">
        <f>IFERROR(XLOOKUP(I2449,'Segment Map'!A:A,'Segment Map'!B:B,"Need Attention"),"Need Attention")</f>
        <v/>
      </c>
      <c r="K2449" s="122">
        <f>IF(E2449&gt;=5000,"🏆 Platinum",IF(E2449&gt;=2000,"🥇 Gold",IF(E2449&gt;=800,"🥈 Silver","🥉 Bronze")))</f>
        <v/>
      </c>
      <c r="L2449" s="125" t="n">
        <v>40798</v>
      </c>
    </row>
    <row r="2450">
      <c r="A2450" s="126" t="n">
        <v>15674</v>
      </c>
      <c r="B2450" s="126" t="inlineStr">
        <is>
          <t>United Kingdom</t>
        </is>
      </c>
      <c r="C2450" s="126" t="n">
        <v>74</v>
      </c>
      <c r="D2450" s="126" t="n">
        <v>5</v>
      </c>
      <c r="E2450" s="127" t="n">
        <v>2446.6</v>
      </c>
      <c r="F2450" s="128">
        <f>IF(C2450&lt;=30,5,IF(C2450&lt;=60,4,IF(C2450&lt;=120,3,IF(C2450&lt;=200,2,1))))</f>
        <v/>
      </c>
      <c r="G2450" s="128">
        <f>IF(D2450&gt;=20,5,IF(D2450&gt;=10,4,IF(D2450&gt;=5,3,IF(D2450&gt;=2,2,1))))</f>
        <v/>
      </c>
      <c r="H2450" s="128">
        <f>IF(E2450&gt;=5000,5,IF(E2450&gt;=2000,4,IF(E2450&gt;=800,3,IF(E2450&gt;=300,2,1))))</f>
        <v/>
      </c>
      <c r="I2450" s="126">
        <f>TEXT(F2450,"0")&amp;TEXT(G2450,"0")&amp;TEXT(H2450,"0")</f>
        <v/>
      </c>
      <c r="J2450" s="126">
        <f>IFERROR(XLOOKUP(I2450,'Segment Map'!A:A,'Segment Map'!B:B,"Need Attention"),"Need Attention")</f>
        <v/>
      </c>
      <c r="K2450" s="126">
        <f>IF(E2450&gt;=5000,"🏆 Platinum",IF(E2450&gt;=2000,"🥇 Gold",IF(E2450&gt;=800,"🥈 Silver","🥉 Bronze")))</f>
        <v/>
      </c>
      <c r="L2450" s="129" t="n">
        <v>40813</v>
      </c>
    </row>
    <row r="2451">
      <c r="A2451" s="122" t="n">
        <v>15675</v>
      </c>
      <c r="B2451" s="122" t="inlineStr">
        <is>
          <t>United Kingdom</t>
        </is>
      </c>
      <c r="C2451" s="122" t="n">
        <v>82</v>
      </c>
      <c r="D2451" s="122" t="n">
        <v>3</v>
      </c>
      <c r="E2451" s="123" t="n">
        <v>323.69</v>
      </c>
      <c r="F2451" s="124">
        <f>IF(C2451&lt;=30,5,IF(C2451&lt;=60,4,IF(C2451&lt;=120,3,IF(C2451&lt;=200,2,1))))</f>
        <v/>
      </c>
      <c r="G2451" s="124">
        <f>IF(D2451&gt;=20,5,IF(D2451&gt;=10,4,IF(D2451&gt;=5,3,IF(D2451&gt;=2,2,1))))</f>
        <v/>
      </c>
      <c r="H2451" s="124">
        <f>IF(E2451&gt;=5000,5,IF(E2451&gt;=2000,4,IF(E2451&gt;=800,3,IF(E2451&gt;=300,2,1))))</f>
        <v/>
      </c>
      <c r="I2451" s="122">
        <f>TEXT(F2451,"0")&amp;TEXT(G2451,"0")&amp;TEXT(H2451,"0")</f>
        <v/>
      </c>
      <c r="J2451" s="122">
        <f>IFERROR(XLOOKUP(I2451,'Segment Map'!A:A,'Segment Map'!B:B,"Need Attention"),"Need Attention")</f>
        <v/>
      </c>
      <c r="K2451" s="122">
        <f>IF(E2451&gt;=5000,"🏆 Platinum",IF(E2451&gt;=2000,"🥇 Gold",IF(E2451&gt;=800,"🥈 Silver","🥉 Bronze")))</f>
        <v/>
      </c>
      <c r="L2451" s="125" t="n">
        <v>40805</v>
      </c>
    </row>
    <row r="2452">
      <c r="A2452" s="126" t="n">
        <v>15676</v>
      </c>
      <c r="B2452" s="126" t="inlineStr">
        <is>
          <t>United Kingdom</t>
        </is>
      </c>
      <c r="C2452" s="126" t="n">
        <v>19</v>
      </c>
      <c r="D2452" s="126" t="n">
        <v>3</v>
      </c>
      <c r="E2452" s="127" t="n">
        <v>3435.76</v>
      </c>
      <c r="F2452" s="128">
        <f>IF(C2452&lt;=30,5,IF(C2452&lt;=60,4,IF(C2452&lt;=120,3,IF(C2452&lt;=200,2,1))))</f>
        <v/>
      </c>
      <c r="G2452" s="128">
        <f>IF(D2452&gt;=20,5,IF(D2452&gt;=10,4,IF(D2452&gt;=5,3,IF(D2452&gt;=2,2,1))))</f>
        <v/>
      </c>
      <c r="H2452" s="128">
        <f>IF(E2452&gt;=5000,5,IF(E2452&gt;=2000,4,IF(E2452&gt;=800,3,IF(E2452&gt;=300,2,1))))</f>
        <v/>
      </c>
      <c r="I2452" s="126">
        <f>TEXT(F2452,"0")&amp;TEXT(G2452,"0")&amp;TEXT(H2452,"0")</f>
        <v/>
      </c>
      <c r="J2452" s="126">
        <f>IFERROR(XLOOKUP(I2452,'Segment Map'!A:A,'Segment Map'!B:B,"Need Attention"),"Need Attention")</f>
        <v/>
      </c>
      <c r="K2452" s="126">
        <f>IF(E2452&gt;=5000,"🏆 Platinum",IF(E2452&gt;=2000,"🥇 Gold",IF(E2452&gt;=800,"🥈 Silver","🥉 Bronze")))</f>
        <v/>
      </c>
      <c r="L2452" s="129" t="n">
        <v>40868</v>
      </c>
    </row>
    <row r="2453">
      <c r="A2453" s="122" t="n">
        <v>15677</v>
      </c>
      <c r="B2453" s="122" t="inlineStr">
        <is>
          <t>United Kingdom</t>
        </is>
      </c>
      <c r="C2453" s="122" t="n">
        <v>50</v>
      </c>
      <c r="D2453" s="122" t="n">
        <v>1</v>
      </c>
      <c r="E2453" s="123" t="n">
        <v>657.23</v>
      </c>
      <c r="F2453" s="124">
        <f>IF(C2453&lt;=30,5,IF(C2453&lt;=60,4,IF(C2453&lt;=120,3,IF(C2453&lt;=200,2,1))))</f>
        <v/>
      </c>
      <c r="G2453" s="124">
        <f>IF(D2453&gt;=20,5,IF(D2453&gt;=10,4,IF(D2453&gt;=5,3,IF(D2453&gt;=2,2,1))))</f>
        <v/>
      </c>
      <c r="H2453" s="124">
        <f>IF(E2453&gt;=5000,5,IF(E2453&gt;=2000,4,IF(E2453&gt;=800,3,IF(E2453&gt;=300,2,1))))</f>
        <v/>
      </c>
      <c r="I2453" s="122">
        <f>TEXT(F2453,"0")&amp;TEXT(G2453,"0")&amp;TEXT(H2453,"0")</f>
        <v/>
      </c>
      <c r="J2453" s="122">
        <f>IFERROR(XLOOKUP(I2453,'Segment Map'!A:A,'Segment Map'!B:B,"Need Attention"),"Need Attention")</f>
        <v/>
      </c>
      <c r="K2453" s="122">
        <f>IF(E2453&gt;=5000,"🏆 Platinum",IF(E2453&gt;=2000,"🥇 Gold",IF(E2453&gt;=800,"🥈 Silver","🥉 Bronze")))</f>
        <v/>
      </c>
      <c r="L2453" s="125" t="n">
        <v>40837</v>
      </c>
    </row>
    <row r="2454">
      <c r="A2454" s="126" t="n">
        <v>15678</v>
      </c>
      <c r="B2454" s="126" t="inlineStr">
        <is>
          <t>United Kingdom</t>
        </is>
      </c>
      <c r="C2454" s="126" t="n">
        <v>53</v>
      </c>
      <c r="D2454" s="126" t="n">
        <v>1</v>
      </c>
      <c r="E2454" s="127" t="n">
        <v>352.7</v>
      </c>
      <c r="F2454" s="128">
        <f>IF(C2454&lt;=30,5,IF(C2454&lt;=60,4,IF(C2454&lt;=120,3,IF(C2454&lt;=200,2,1))))</f>
        <v/>
      </c>
      <c r="G2454" s="128">
        <f>IF(D2454&gt;=20,5,IF(D2454&gt;=10,4,IF(D2454&gt;=5,3,IF(D2454&gt;=2,2,1))))</f>
        <v/>
      </c>
      <c r="H2454" s="128">
        <f>IF(E2454&gt;=5000,5,IF(E2454&gt;=2000,4,IF(E2454&gt;=800,3,IF(E2454&gt;=300,2,1))))</f>
        <v/>
      </c>
      <c r="I2454" s="126">
        <f>TEXT(F2454,"0")&amp;TEXT(G2454,"0")&amp;TEXT(H2454,"0")</f>
        <v/>
      </c>
      <c r="J2454" s="126">
        <f>IFERROR(XLOOKUP(I2454,'Segment Map'!A:A,'Segment Map'!B:B,"Need Attention"),"Need Attention")</f>
        <v/>
      </c>
      <c r="K2454" s="126">
        <f>IF(E2454&gt;=5000,"🏆 Platinum",IF(E2454&gt;=2000,"🥇 Gold",IF(E2454&gt;=800,"🥈 Silver","🥉 Bronze")))</f>
        <v/>
      </c>
      <c r="L2454" s="129" t="n">
        <v>40834</v>
      </c>
    </row>
    <row r="2455">
      <c r="A2455" s="122" t="n">
        <v>15679</v>
      </c>
      <c r="B2455" s="122" t="inlineStr">
        <is>
          <t>United Kingdom</t>
        </is>
      </c>
      <c r="C2455" s="122" t="n">
        <v>25</v>
      </c>
      <c r="D2455" s="122" t="n">
        <v>4</v>
      </c>
      <c r="E2455" s="123" t="n">
        <v>781.28</v>
      </c>
      <c r="F2455" s="124">
        <f>IF(C2455&lt;=30,5,IF(C2455&lt;=60,4,IF(C2455&lt;=120,3,IF(C2455&lt;=200,2,1))))</f>
        <v/>
      </c>
      <c r="G2455" s="124">
        <f>IF(D2455&gt;=20,5,IF(D2455&gt;=10,4,IF(D2455&gt;=5,3,IF(D2455&gt;=2,2,1))))</f>
        <v/>
      </c>
      <c r="H2455" s="124">
        <f>IF(E2455&gt;=5000,5,IF(E2455&gt;=2000,4,IF(E2455&gt;=800,3,IF(E2455&gt;=300,2,1))))</f>
        <v/>
      </c>
      <c r="I2455" s="122">
        <f>TEXT(F2455,"0")&amp;TEXT(G2455,"0")&amp;TEXT(H2455,"0")</f>
        <v/>
      </c>
      <c r="J2455" s="122">
        <f>IFERROR(XLOOKUP(I2455,'Segment Map'!A:A,'Segment Map'!B:B,"Need Attention"),"Need Attention")</f>
        <v/>
      </c>
      <c r="K2455" s="122">
        <f>IF(E2455&gt;=5000,"🏆 Platinum",IF(E2455&gt;=2000,"🥇 Gold",IF(E2455&gt;=800,"🥈 Silver","🥉 Bronze")))</f>
        <v/>
      </c>
      <c r="L2455" s="125" t="n">
        <v>40862</v>
      </c>
    </row>
    <row r="2456">
      <c r="A2456" s="126" t="n">
        <v>15680</v>
      </c>
      <c r="B2456" s="126" t="inlineStr">
        <is>
          <t>United Kingdom</t>
        </is>
      </c>
      <c r="C2456" s="126" t="n">
        <v>10</v>
      </c>
      <c r="D2456" s="126" t="n">
        <v>3</v>
      </c>
      <c r="E2456" s="127" t="n">
        <v>1333.68</v>
      </c>
      <c r="F2456" s="128">
        <f>IF(C2456&lt;=30,5,IF(C2456&lt;=60,4,IF(C2456&lt;=120,3,IF(C2456&lt;=200,2,1))))</f>
        <v/>
      </c>
      <c r="G2456" s="128">
        <f>IF(D2456&gt;=20,5,IF(D2456&gt;=10,4,IF(D2456&gt;=5,3,IF(D2456&gt;=2,2,1))))</f>
        <v/>
      </c>
      <c r="H2456" s="128">
        <f>IF(E2456&gt;=5000,5,IF(E2456&gt;=2000,4,IF(E2456&gt;=800,3,IF(E2456&gt;=300,2,1))))</f>
        <v/>
      </c>
      <c r="I2456" s="126">
        <f>TEXT(F2456,"0")&amp;TEXT(G2456,"0")&amp;TEXT(H2456,"0")</f>
        <v/>
      </c>
      <c r="J2456" s="126">
        <f>IFERROR(XLOOKUP(I2456,'Segment Map'!A:A,'Segment Map'!B:B,"Need Attention"),"Need Attention")</f>
        <v/>
      </c>
      <c r="K2456" s="126">
        <f>IF(E2456&gt;=5000,"🏆 Platinum",IF(E2456&gt;=2000,"🥇 Gold",IF(E2456&gt;=800,"🥈 Silver","🥉 Bronze")))</f>
        <v/>
      </c>
      <c r="L2456" s="129" t="n">
        <v>40877</v>
      </c>
    </row>
    <row r="2457">
      <c r="A2457" s="122" t="n">
        <v>15681</v>
      </c>
      <c r="B2457" s="122" t="inlineStr">
        <is>
          <t>United Kingdom</t>
        </is>
      </c>
      <c r="C2457" s="122" t="n">
        <v>26</v>
      </c>
      <c r="D2457" s="122" t="n">
        <v>5</v>
      </c>
      <c r="E2457" s="123" t="n">
        <v>1426.16</v>
      </c>
      <c r="F2457" s="124">
        <f>IF(C2457&lt;=30,5,IF(C2457&lt;=60,4,IF(C2457&lt;=120,3,IF(C2457&lt;=200,2,1))))</f>
        <v/>
      </c>
      <c r="G2457" s="124">
        <f>IF(D2457&gt;=20,5,IF(D2457&gt;=10,4,IF(D2457&gt;=5,3,IF(D2457&gt;=2,2,1))))</f>
        <v/>
      </c>
      <c r="H2457" s="124">
        <f>IF(E2457&gt;=5000,5,IF(E2457&gt;=2000,4,IF(E2457&gt;=800,3,IF(E2457&gt;=300,2,1))))</f>
        <v/>
      </c>
      <c r="I2457" s="122">
        <f>TEXT(F2457,"0")&amp;TEXT(G2457,"0")&amp;TEXT(H2457,"0")</f>
        <v/>
      </c>
      <c r="J2457" s="122">
        <f>IFERROR(XLOOKUP(I2457,'Segment Map'!A:A,'Segment Map'!B:B,"Need Attention"),"Need Attention")</f>
        <v/>
      </c>
      <c r="K2457" s="122">
        <f>IF(E2457&gt;=5000,"🏆 Platinum",IF(E2457&gt;=2000,"🥇 Gold",IF(E2457&gt;=800,"🥈 Silver","🥉 Bronze")))</f>
        <v/>
      </c>
      <c r="L2457" s="125" t="n">
        <v>40861</v>
      </c>
    </row>
    <row r="2458">
      <c r="A2458" s="126" t="n">
        <v>15683</v>
      </c>
      <c r="B2458" s="126" t="inlineStr">
        <is>
          <t>United Kingdom</t>
        </is>
      </c>
      <c r="C2458" s="126" t="n">
        <v>118</v>
      </c>
      <c r="D2458" s="126" t="n">
        <v>1</v>
      </c>
      <c r="E2458" s="127" t="n">
        <v>193.75</v>
      </c>
      <c r="F2458" s="128">
        <f>IF(C2458&lt;=30,5,IF(C2458&lt;=60,4,IF(C2458&lt;=120,3,IF(C2458&lt;=200,2,1))))</f>
        <v/>
      </c>
      <c r="G2458" s="128">
        <f>IF(D2458&gt;=20,5,IF(D2458&gt;=10,4,IF(D2458&gt;=5,3,IF(D2458&gt;=2,2,1))))</f>
        <v/>
      </c>
      <c r="H2458" s="128">
        <f>IF(E2458&gt;=5000,5,IF(E2458&gt;=2000,4,IF(E2458&gt;=800,3,IF(E2458&gt;=300,2,1))))</f>
        <v/>
      </c>
      <c r="I2458" s="126">
        <f>TEXT(F2458,"0")&amp;TEXT(G2458,"0")&amp;TEXT(H2458,"0")</f>
        <v/>
      </c>
      <c r="J2458" s="126">
        <f>IFERROR(XLOOKUP(I2458,'Segment Map'!A:A,'Segment Map'!B:B,"Need Attention"),"Need Attention")</f>
        <v/>
      </c>
      <c r="K2458" s="126">
        <f>IF(E2458&gt;=5000,"🏆 Platinum",IF(E2458&gt;=2000,"🥇 Gold",IF(E2458&gt;=800,"🥈 Silver","🥉 Bronze")))</f>
        <v/>
      </c>
      <c r="L2458" s="129" t="n">
        <v>40769</v>
      </c>
    </row>
    <row r="2459">
      <c r="A2459" s="122" t="n">
        <v>15687</v>
      </c>
      <c r="B2459" s="122" t="inlineStr">
        <is>
          <t>United Kingdom</t>
        </is>
      </c>
      <c r="C2459" s="122" t="n">
        <v>9</v>
      </c>
      <c r="D2459" s="122" t="n">
        <v>9</v>
      </c>
      <c r="E2459" s="123" t="n">
        <v>2993.1</v>
      </c>
      <c r="F2459" s="124">
        <f>IF(C2459&lt;=30,5,IF(C2459&lt;=60,4,IF(C2459&lt;=120,3,IF(C2459&lt;=200,2,1))))</f>
        <v/>
      </c>
      <c r="G2459" s="124">
        <f>IF(D2459&gt;=20,5,IF(D2459&gt;=10,4,IF(D2459&gt;=5,3,IF(D2459&gt;=2,2,1))))</f>
        <v/>
      </c>
      <c r="H2459" s="124">
        <f>IF(E2459&gt;=5000,5,IF(E2459&gt;=2000,4,IF(E2459&gt;=800,3,IF(E2459&gt;=300,2,1))))</f>
        <v/>
      </c>
      <c r="I2459" s="122">
        <f>TEXT(F2459,"0")&amp;TEXT(G2459,"0")&amp;TEXT(H2459,"0")</f>
        <v/>
      </c>
      <c r="J2459" s="122">
        <f>IFERROR(XLOOKUP(I2459,'Segment Map'!A:A,'Segment Map'!B:B,"Need Attention"),"Need Attention")</f>
        <v/>
      </c>
      <c r="K2459" s="122">
        <f>IF(E2459&gt;=5000,"🏆 Platinum",IF(E2459&gt;=2000,"🥇 Gold",IF(E2459&gt;=800,"🥈 Silver","🥉 Bronze")))</f>
        <v/>
      </c>
      <c r="L2459" s="125" t="n">
        <v>40878</v>
      </c>
    </row>
    <row r="2460">
      <c r="A2460" s="126" t="n">
        <v>15689</v>
      </c>
      <c r="B2460" s="126" t="inlineStr">
        <is>
          <t>United Kingdom</t>
        </is>
      </c>
      <c r="C2460" s="126" t="n">
        <v>120</v>
      </c>
      <c r="D2460" s="126" t="n">
        <v>2</v>
      </c>
      <c r="E2460" s="127" t="n">
        <v>254.1</v>
      </c>
      <c r="F2460" s="128">
        <f>IF(C2460&lt;=30,5,IF(C2460&lt;=60,4,IF(C2460&lt;=120,3,IF(C2460&lt;=200,2,1))))</f>
        <v/>
      </c>
      <c r="G2460" s="128">
        <f>IF(D2460&gt;=20,5,IF(D2460&gt;=10,4,IF(D2460&gt;=5,3,IF(D2460&gt;=2,2,1))))</f>
        <v/>
      </c>
      <c r="H2460" s="128">
        <f>IF(E2460&gt;=5000,5,IF(E2460&gt;=2000,4,IF(E2460&gt;=800,3,IF(E2460&gt;=300,2,1))))</f>
        <v/>
      </c>
      <c r="I2460" s="126">
        <f>TEXT(F2460,"0")&amp;TEXT(G2460,"0")&amp;TEXT(H2460,"0")</f>
        <v/>
      </c>
      <c r="J2460" s="126">
        <f>IFERROR(XLOOKUP(I2460,'Segment Map'!A:A,'Segment Map'!B:B,"Need Attention"),"Need Attention")</f>
        <v/>
      </c>
      <c r="K2460" s="126">
        <f>IF(E2460&gt;=5000,"🏆 Platinum",IF(E2460&gt;=2000,"🥇 Gold",IF(E2460&gt;=800,"🥈 Silver","🥉 Bronze")))</f>
        <v/>
      </c>
      <c r="L2460" s="129" t="n">
        <v>40767</v>
      </c>
    </row>
    <row r="2461">
      <c r="A2461" s="122" t="n">
        <v>15690</v>
      </c>
      <c r="B2461" s="122" t="inlineStr">
        <is>
          <t>United Kingdom</t>
        </is>
      </c>
      <c r="C2461" s="122" t="n">
        <v>5</v>
      </c>
      <c r="D2461" s="122" t="n">
        <v>2</v>
      </c>
      <c r="E2461" s="123" t="n">
        <v>239.76</v>
      </c>
      <c r="F2461" s="124">
        <f>IF(C2461&lt;=30,5,IF(C2461&lt;=60,4,IF(C2461&lt;=120,3,IF(C2461&lt;=200,2,1))))</f>
        <v/>
      </c>
      <c r="G2461" s="124">
        <f>IF(D2461&gt;=20,5,IF(D2461&gt;=10,4,IF(D2461&gt;=5,3,IF(D2461&gt;=2,2,1))))</f>
        <v/>
      </c>
      <c r="H2461" s="124">
        <f>IF(E2461&gt;=5000,5,IF(E2461&gt;=2000,4,IF(E2461&gt;=800,3,IF(E2461&gt;=300,2,1))))</f>
        <v/>
      </c>
      <c r="I2461" s="122">
        <f>TEXT(F2461,"0")&amp;TEXT(G2461,"0")&amp;TEXT(H2461,"0")</f>
        <v/>
      </c>
      <c r="J2461" s="122">
        <f>IFERROR(XLOOKUP(I2461,'Segment Map'!A:A,'Segment Map'!B:B,"Need Attention"),"Need Attention")</f>
        <v/>
      </c>
      <c r="K2461" s="122">
        <f>IF(E2461&gt;=5000,"🏆 Platinum",IF(E2461&gt;=2000,"🥇 Gold",IF(E2461&gt;=800,"🥈 Silver","🥉 Bronze")))</f>
        <v/>
      </c>
      <c r="L2461" s="125" t="n">
        <v>40882</v>
      </c>
    </row>
    <row r="2462">
      <c r="A2462" s="126" t="n">
        <v>15691</v>
      </c>
      <c r="B2462" s="126" t="inlineStr">
        <is>
          <t>United Kingdom</t>
        </is>
      </c>
      <c r="C2462" s="126" t="n">
        <v>253</v>
      </c>
      <c r="D2462" s="126" t="n">
        <v>1</v>
      </c>
      <c r="E2462" s="127" t="n">
        <v>136.8</v>
      </c>
      <c r="F2462" s="128">
        <f>IF(C2462&lt;=30,5,IF(C2462&lt;=60,4,IF(C2462&lt;=120,3,IF(C2462&lt;=200,2,1))))</f>
        <v/>
      </c>
      <c r="G2462" s="128">
        <f>IF(D2462&gt;=20,5,IF(D2462&gt;=10,4,IF(D2462&gt;=5,3,IF(D2462&gt;=2,2,1))))</f>
        <v/>
      </c>
      <c r="H2462" s="128">
        <f>IF(E2462&gt;=5000,5,IF(E2462&gt;=2000,4,IF(E2462&gt;=800,3,IF(E2462&gt;=300,2,1))))</f>
        <v/>
      </c>
      <c r="I2462" s="126">
        <f>TEXT(F2462,"0")&amp;TEXT(G2462,"0")&amp;TEXT(H2462,"0")</f>
        <v/>
      </c>
      <c r="J2462" s="126">
        <f>IFERROR(XLOOKUP(I2462,'Segment Map'!A:A,'Segment Map'!B:B,"Need Attention"),"Need Attention")</f>
        <v/>
      </c>
      <c r="K2462" s="126">
        <f>IF(E2462&gt;=5000,"🏆 Platinum",IF(E2462&gt;=2000,"🥇 Gold",IF(E2462&gt;=800,"🥈 Silver","🥉 Bronze")))</f>
        <v/>
      </c>
      <c r="L2462" s="129" t="n">
        <v>40634</v>
      </c>
    </row>
    <row r="2463">
      <c r="A2463" s="122" t="n">
        <v>15692</v>
      </c>
      <c r="B2463" s="122" t="inlineStr">
        <is>
          <t>United Kingdom</t>
        </is>
      </c>
      <c r="C2463" s="122" t="n">
        <v>29</v>
      </c>
      <c r="D2463" s="122" t="n">
        <v>1</v>
      </c>
      <c r="E2463" s="123" t="n">
        <v>191.04</v>
      </c>
      <c r="F2463" s="124">
        <f>IF(C2463&lt;=30,5,IF(C2463&lt;=60,4,IF(C2463&lt;=120,3,IF(C2463&lt;=200,2,1))))</f>
        <v/>
      </c>
      <c r="G2463" s="124">
        <f>IF(D2463&gt;=20,5,IF(D2463&gt;=10,4,IF(D2463&gt;=5,3,IF(D2463&gt;=2,2,1))))</f>
        <v/>
      </c>
      <c r="H2463" s="124">
        <f>IF(E2463&gt;=5000,5,IF(E2463&gt;=2000,4,IF(E2463&gt;=800,3,IF(E2463&gt;=300,2,1))))</f>
        <v/>
      </c>
      <c r="I2463" s="122">
        <f>TEXT(F2463,"0")&amp;TEXT(G2463,"0")&amp;TEXT(H2463,"0")</f>
        <v/>
      </c>
      <c r="J2463" s="122">
        <f>IFERROR(XLOOKUP(I2463,'Segment Map'!A:A,'Segment Map'!B:B,"Need Attention"),"Need Attention")</f>
        <v/>
      </c>
      <c r="K2463" s="122">
        <f>IF(E2463&gt;=5000,"🏆 Platinum",IF(E2463&gt;=2000,"🥇 Gold",IF(E2463&gt;=800,"🥈 Silver","🥉 Bronze")))</f>
        <v/>
      </c>
      <c r="L2463" s="125" t="n">
        <v>40858</v>
      </c>
    </row>
    <row r="2464">
      <c r="A2464" s="126" t="n">
        <v>15694</v>
      </c>
      <c r="B2464" s="126" t="inlineStr">
        <is>
          <t>United Kingdom</t>
        </is>
      </c>
      <c r="C2464" s="126" t="n">
        <v>1</v>
      </c>
      <c r="D2464" s="126" t="n">
        <v>14</v>
      </c>
      <c r="E2464" s="127" t="n">
        <v>6479.4</v>
      </c>
      <c r="F2464" s="128">
        <f>IF(C2464&lt;=30,5,IF(C2464&lt;=60,4,IF(C2464&lt;=120,3,IF(C2464&lt;=200,2,1))))</f>
        <v/>
      </c>
      <c r="G2464" s="128">
        <f>IF(D2464&gt;=20,5,IF(D2464&gt;=10,4,IF(D2464&gt;=5,3,IF(D2464&gt;=2,2,1))))</f>
        <v/>
      </c>
      <c r="H2464" s="128">
        <f>IF(E2464&gt;=5000,5,IF(E2464&gt;=2000,4,IF(E2464&gt;=800,3,IF(E2464&gt;=300,2,1))))</f>
        <v/>
      </c>
      <c r="I2464" s="126">
        <f>TEXT(F2464,"0")&amp;TEXT(G2464,"0")&amp;TEXT(H2464,"0")</f>
        <v/>
      </c>
      <c r="J2464" s="126">
        <f>IFERROR(XLOOKUP(I2464,'Segment Map'!A:A,'Segment Map'!B:B,"Need Attention"),"Need Attention")</f>
        <v/>
      </c>
      <c r="K2464" s="126">
        <f>IF(E2464&gt;=5000,"🏆 Platinum",IF(E2464&gt;=2000,"🥇 Gold",IF(E2464&gt;=800,"🥈 Silver","🥉 Bronze")))</f>
        <v/>
      </c>
      <c r="L2464" s="129" t="n">
        <v>40886</v>
      </c>
    </row>
    <row r="2465">
      <c r="A2465" s="122" t="n">
        <v>15695</v>
      </c>
      <c r="B2465" s="122" t="inlineStr">
        <is>
          <t>United Kingdom</t>
        </is>
      </c>
      <c r="C2465" s="122" t="n">
        <v>267</v>
      </c>
      <c r="D2465" s="122" t="n">
        <v>2</v>
      </c>
      <c r="E2465" s="123" t="n">
        <v>409.98</v>
      </c>
      <c r="F2465" s="124">
        <f>IF(C2465&lt;=30,5,IF(C2465&lt;=60,4,IF(C2465&lt;=120,3,IF(C2465&lt;=200,2,1))))</f>
        <v/>
      </c>
      <c r="G2465" s="124">
        <f>IF(D2465&gt;=20,5,IF(D2465&gt;=10,4,IF(D2465&gt;=5,3,IF(D2465&gt;=2,2,1))))</f>
        <v/>
      </c>
      <c r="H2465" s="124">
        <f>IF(E2465&gt;=5000,5,IF(E2465&gt;=2000,4,IF(E2465&gt;=800,3,IF(E2465&gt;=300,2,1))))</f>
        <v/>
      </c>
      <c r="I2465" s="122">
        <f>TEXT(F2465,"0")&amp;TEXT(G2465,"0")&amp;TEXT(H2465,"0")</f>
        <v/>
      </c>
      <c r="J2465" s="122">
        <f>IFERROR(XLOOKUP(I2465,'Segment Map'!A:A,'Segment Map'!B:B,"Need Attention"),"Need Attention")</f>
        <v/>
      </c>
      <c r="K2465" s="122">
        <f>IF(E2465&gt;=5000,"🏆 Platinum",IF(E2465&gt;=2000,"🥇 Gold",IF(E2465&gt;=800,"🥈 Silver","🥉 Bronze")))</f>
        <v/>
      </c>
      <c r="L2465" s="125" t="n">
        <v>40620</v>
      </c>
    </row>
    <row r="2466">
      <c r="A2466" s="126" t="n">
        <v>15696</v>
      </c>
      <c r="B2466" s="126" t="inlineStr">
        <is>
          <t>United Kingdom</t>
        </is>
      </c>
      <c r="C2466" s="126" t="n">
        <v>34</v>
      </c>
      <c r="D2466" s="126" t="n">
        <v>8</v>
      </c>
      <c r="E2466" s="127" t="n">
        <v>2736.46</v>
      </c>
      <c r="F2466" s="128">
        <f>IF(C2466&lt;=30,5,IF(C2466&lt;=60,4,IF(C2466&lt;=120,3,IF(C2466&lt;=200,2,1))))</f>
        <v/>
      </c>
      <c r="G2466" s="128">
        <f>IF(D2466&gt;=20,5,IF(D2466&gt;=10,4,IF(D2466&gt;=5,3,IF(D2466&gt;=2,2,1))))</f>
        <v/>
      </c>
      <c r="H2466" s="128">
        <f>IF(E2466&gt;=5000,5,IF(E2466&gt;=2000,4,IF(E2466&gt;=800,3,IF(E2466&gt;=300,2,1))))</f>
        <v/>
      </c>
      <c r="I2466" s="126">
        <f>TEXT(F2466,"0")&amp;TEXT(G2466,"0")&amp;TEXT(H2466,"0")</f>
        <v/>
      </c>
      <c r="J2466" s="126">
        <f>IFERROR(XLOOKUP(I2466,'Segment Map'!A:A,'Segment Map'!B:B,"Need Attention"),"Need Attention")</f>
        <v/>
      </c>
      <c r="K2466" s="126">
        <f>IF(E2466&gt;=5000,"🏆 Platinum",IF(E2466&gt;=2000,"🥇 Gold",IF(E2466&gt;=800,"🥈 Silver","🥉 Bronze")))</f>
        <v/>
      </c>
      <c r="L2466" s="129" t="n">
        <v>40853</v>
      </c>
    </row>
    <row r="2467">
      <c r="A2467" s="122" t="n">
        <v>15699</v>
      </c>
      <c r="B2467" s="122" t="inlineStr">
        <is>
          <t>United Kingdom</t>
        </is>
      </c>
      <c r="C2467" s="122" t="n">
        <v>18</v>
      </c>
      <c r="D2467" s="122" t="n">
        <v>1</v>
      </c>
      <c r="E2467" s="123" t="n">
        <v>309.65</v>
      </c>
      <c r="F2467" s="124">
        <f>IF(C2467&lt;=30,5,IF(C2467&lt;=60,4,IF(C2467&lt;=120,3,IF(C2467&lt;=200,2,1))))</f>
        <v/>
      </c>
      <c r="G2467" s="124">
        <f>IF(D2467&gt;=20,5,IF(D2467&gt;=10,4,IF(D2467&gt;=5,3,IF(D2467&gt;=2,2,1))))</f>
        <v/>
      </c>
      <c r="H2467" s="124">
        <f>IF(E2467&gt;=5000,5,IF(E2467&gt;=2000,4,IF(E2467&gt;=800,3,IF(E2467&gt;=300,2,1))))</f>
        <v/>
      </c>
      <c r="I2467" s="122">
        <f>TEXT(F2467,"0")&amp;TEXT(G2467,"0")&amp;TEXT(H2467,"0")</f>
        <v/>
      </c>
      <c r="J2467" s="122">
        <f>IFERROR(XLOOKUP(I2467,'Segment Map'!A:A,'Segment Map'!B:B,"Need Attention"),"Need Attention")</f>
        <v/>
      </c>
      <c r="K2467" s="122">
        <f>IF(E2467&gt;=5000,"🏆 Platinum",IF(E2467&gt;=2000,"🥇 Gold",IF(E2467&gt;=800,"🥈 Silver","🥉 Bronze")))</f>
        <v/>
      </c>
      <c r="L2467" s="125" t="n">
        <v>40869</v>
      </c>
    </row>
    <row r="2468">
      <c r="A2468" s="126" t="n">
        <v>15700</v>
      </c>
      <c r="B2468" s="126" t="inlineStr">
        <is>
          <t>United Kingdom</t>
        </is>
      </c>
      <c r="C2468" s="126" t="n">
        <v>173</v>
      </c>
      <c r="D2468" s="126" t="n">
        <v>2</v>
      </c>
      <c r="E2468" s="127" t="n">
        <v>696.6799999999999</v>
      </c>
      <c r="F2468" s="128">
        <f>IF(C2468&lt;=30,5,IF(C2468&lt;=60,4,IF(C2468&lt;=120,3,IF(C2468&lt;=200,2,1))))</f>
        <v/>
      </c>
      <c r="G2468" s="128">
        <f>IF(D2468&gt;=20,5,IF(D2468&gt;=10,4,IF(D2468&gt;=5,3,IF(D2468&gt;=2,2,1))))</f>
        <v/>
      </c>
      <c r="H2468" s="128">
        <f>IF(E2468&gt;=5000,5,IF(E2468&gt;=2000,4,IF(E2468&gt;=800,3,IF(E2468&gt;=300,2,1))))</f>
        <v/>
      </c>
      <c r="I2468" s="126">
        <f>TEXT(F2468,"0")&amp;TEXT(G2468,"0")&amp;TEXT(H2468,"0")</f>
        <v/>
      </c>
      <c r="J2468" s="126">
        <f>IFERROR(XLOOKUP(I2468,'Segment Map'!A:A,'Segment Map'!B:B,"Need Attention"),"Need Attention")</f>
        <v/>
      </c>
      <c r="K2468" s="126">
        <f>IF(E2468&gt;=5000,"🏆 Platinum",IF(E2468&gt;=2000,"🥇 Gold",IF(E2468&gt;=800,"🥈 Silver","🥉 Bronze")))</f>
        <v/>
      </c>
      <c r="L2468" s="129" t="n">
        <v>40714</v>
      </c>
    </row>
    <row r="2469">
      <c r="A2469" s="122" t="n">
        <v>15701</v>
      </c>
      <c r="B2469" s="122" t="inlineStr">
        <is>
          <t>United Kingdom</t>
        </is>
      </c>
      <c r="C2469" s="122" t="n">
        <v>3</v>
      </c>
      <c r="D2469" s="122" t="n">
        <v>4</v>
      </c>
      <c r="E2469" s="123" t="n">
        <v>1542.14</v>
      </c>
      <c r="F2469" s="124">
        <f>IF(C2469&lt;=30,5,IF(C2469&lt;=60,4,IF(C2469&lt;=120,3,IF(C2469&lt;=200,2,1))))</f>
        <v/>
      </c>
      <c r="G2469" s="124">
        <f>IF(D2469&gt;=20,5,IF(D2469&gt;=10,4,IF(D2469&gt;=5,3,IF(D2469&gt;=2,2,1))))</f>
        <v/>
      </c>
      <c r="H2469" s="124">
        <f>IF(E2469&gt;=5000,5,IF(E2469&gt;=2000,4,IF(E2469&gt;=800,3,IF(E2469&gt;=300,2,1))))</f>
        <v/>
      </c>
      <c r="I2469" s="122">
        <f>TEXT(F2469,"0")&amp;TEXT(G2469,"0")&amp;TEXT(H2469,"0")</f>
        <v/>
      </c>
      <c r="J2469" s="122">
        <f>IFERROR(XLOOKUP(I2469,'Segment Map'!A:A,'Segment Map'!B:B,"Need Attention"),"Need Attention")</f>
        <v/>
      </c>
      <c r="K2469" s="122">
        <f>IF(E2469&gt;=5000,"🏆 Platinum",IF(E2469&gt;=2000,"🥇 Gold",IF(E2469&gt;=800,"🥈 Silver","🥉 Bronze")))</f>
        <v/>
      </c>
      <c r="L2469" s="125" t="n">
        <v>40884</v>
      </c>
    </row>
    <row r="2470">
      <c r="A2470" s="126" t="n">
        <v>15703</v>
      </c>
      <c r="B2470" s="126" t="inlineStr">
        <is>
          <t>United Kingdom</t>
        </is>
      </c>
      <c r="C2470" s="126" t="n">
        <v>265</v>
      </c>
      <c r="D2470" s="126" t="n">
        <v>1</v>
      </c>
      <c r="E2470" s="127" t="n">
        <v>211.5</v>
      </c>
      <c r="F2470" s="128">
        <f>IF(C2470&lt;=30,5,IF(C2470&lt;=60,4,IF(C2470&lt;=120,3,IF(C2470&lt;=200,2,1))))</f>
        <v/>
      </c>
      <c r="G2470" s="128">
        <f>IF(D2470&gt;=20,5,IF(D2470&gt;=10,4,IF(D2470&gt;=5,3,IF(D2470&gt;=2,2,1))))</f>
        <v/>
      </c>
      <c r="H2470" s="128">
        <f>IF(E2470&gt;=5000,5,IF(E2470&gt;=2000,4,IF(E2470&gt;=800,3,IF(E2470&gt;=300,2,1))))</f>
        <v/>
      </c>
      <c r="I2470" s="126">
        <f>TEXT(F2470,"0")&amp;TEXT(G2470,"0")&amp;TEXT(H2470,"0")</f>
        <v/>
      </c>
      <c r="J2470" s="126">
        <f>IFERROR(XLOOKUP(I2470,'Segment Map'!A:A,'Segment Map'!B:B,"Need Attention"),"Need Attention")</f>
        <v/>
      </c>
      <c r="K2470" s="126">
        <f>IF(E2470&gt;=5000,"🏆 Platinum",IF(E2470&gt;=2000,"🥇 Gold",IF(E2470&gt;=800,"🥈 Silver","🥉 Bronze")))</f>
        <v/>
      </c>
      <c r="L2470" s="129" t="n">
        <v>40622</v>
      </c>
    </row>
    <row r="2471">
      <c r="A2471" s="122" t="n">
        <v>15704</v>
      </c>
      <c r="B2471" s="122" t="inlineStr">
        <is>
          <t>United Kingdom</t>
        </is>
      </c>
      <c r="C2471" s="122" t="n">
        <v>141</v>
      </c>
      <c r="D2471" s="122" t="n">
        <v>4</v>
      </c>
      <c r="E2471" s="123" t="n">
        <v>2293.62</v>
      </c>
      <c r="F2471" s="124">
        <f>IF(C2471&lt;=30,5,IF(C2471&lt;=60,4,IF(C2471&lt;=120,3,IF(C2471&lt;=200,2,1))))</f>
        <v/>
      </c>
      <c r="G2471" s="124">
        <f>IF(D2471&gt;=20,5,IF(D2471&gt;=10,4,IF(D2471&gt;=5,3,IF(D2471&gt;=2,2,1))))</f>
        <v/>
      </c>
      <c r="H2471" s="124">
        <f>IF(E2471&gt;=5000,5,IF(E2471&gt;=2000,4,IF(E2471&gt;=800,3,IF(E2471&gt;=300,2,1))))</f>
        <v/>
      </c>
      <c r="I2471" s="122">
        <f>TEXT(F2471,"0")&amp;TEXT(G2471,"0")&amp;TEXT(H2471,"0")</f>
        <v/>
      </c>
      <c r="J2471" s="122">
        <f>IFERROR(XLOOKUP(I2471,'Segment Map'!A:A,'Segment Map'!B:B,"Need Attention"),"Need Attention")</f>
        <v/>
      </c>
      <c r="K2471" s="122">
        <f>IF(E2471&gt;=5000,"🏆 Platinum",IF(E2471&gt;=2000,"🥇 Gold",IF(E2471&gt;=800,"🥈 Silver","🥉 Bronze")))</f>
        <v/>
      </c>
      <c r="L2471" s="125" t="n">
        <v>40746</v>
      </c>
    </row>
    <row r="2472">
      <c r="A2472" s="126" t="n">
        <v>15705</v>
      </c>
      <c r="B2472" s="126" t="inlineStr">
        <is>
          <t>United Kingdom</t>
        </is>
      </c>
      <c r="C2472" s="126" t="n">
        <v>202</v>
      </c>
      <c r="D2472" s="126" t="n">
        <v>1</v>
      </c>
      <c r="E2472" s="127" t="n">
        <v>143.1</v>
      </c>
      <c r="F2472" s="128">
        <f>IF(C2472&lt;=30,5,IF(C2472&lt;=60,4,IF(C2472&lt;=120,3,IF(C2472&lt;=200,2,1))))</f>
        <v/>
      </c>
      <c r="G2472" s="128">
        <f>IF(D2472&gt;=20,5,IF(D2472&gt;=10,4,IF(D2472&gt;=5,3,IF(D2472&gt;=2,2,1))))</f>
        <v/>
      </c>
      <c r="H2472" s="128">
        <f>IF(E2472&gt;=5000,5,IF(E2472&gt;=2000,4,IF(E2472&gt;=800,3,IF(E2472&gt;=300,2,1))))</f>
        <v/>
      </c>
      <c r="I2472" s="126">
        <f>TEXT(F2472,"0")&amp;TEXT(G2472,"0")&amp;TEXT(H2472,"0")</f>
        <v/>
      </c>
      <c r="J2472" s="126">
        <f>IFERROR(XLOOKUP(I2472,'Segment Map'!A:A,'Segment Map'!B:B,"Need Attention"),"Need Attention")</f>
        <v/>
      </c>
      <c r="K2472" s="126">
        <f>IF(E2472&gt;=5000,"🏆 Platinum",IF(E2472&gt;=2000,"🥇 Gold",IF(E2472&gt;=800,"🥈 Silver","🥉 Bronze")))</f>
        <v/>
      </c>
      <c r="L2472" s="129" t="n">
        <v>40685</v>
      </c>
    </row>
    <row r="2473">
      <c r="A2473" s="122" t="n">
        <v>15706</v>
      </c>
      <c r="B2473" s="122" t="inlineStr">
        <is>
          <t>United Kingdom</t>
        </is>
      </c>
      <c r="C2473" s="122" t="n">
        <v>64</v>
      </c>
      <c r="D2473" s="122" t="n">
        <v>4</v>
      </c>
      <c r="E2473" s="123" t="n">
        <v>1060.56</v>
      </c>
      <c r="F2473" s="124">
        <f>IF(C2473&lt;=30,5,IF(C2473&lt;=60,4,IF(C2473&lt;=120,3,IF(C2473&lt;=200,2,1))))</f>
        <v/>
      </c>
      <c r="G2473" s="124">
        <f>IF(D2473&gt;=20,5,IF(D2473&gt;=10,4,IF(D2473&gt;=5,3,IF(D2473&gt;=2,2,1))))</f>
        <v/>
      </c>
      <c r="H2473" s="124">
        <f>IF(E2473&gt;=5000,5,IF(E2473&gt;=2000,4,IF(E2473&gt;=800,3,IF(E2473&gt;=300,2,1))))</f>
        <v/>
      </c>
      <c r="I2473" s="122">
        <f>TEXT(F2473,"0")&amp;TEXT(G2473,"0")&amp;TEXT(H2473,"0")</f>
        <v/>
      </c>
      <c r="J2473" s="122">
        <f>IFERROR(XLOOKUP(I2473,'Segment Map'!A:A,'Segment Map'!B:B,"Need Attention"),"Need Attention")</f>
        <v/>
      </c>
      <c r="K2473" s="122">
        <f>IF(E2473&gt;=5000,"🏆 Platinum",IF(E2473&gt;=2000,"🥇 Gold",IF(E2473&gt;=800,"🥈 Silver","🥉 Bronze")))</f>
        <v/>
      </c>
      <c r="L2473" s="125" t="n">
        <v>40823</v>
      </c>
    </row>
    <row r="2474">
      <c r="A2474" s="126" t="n">
        <v>15707</v>
      </c>
      <c r="B2474" s="126" t="inlineStr">
        <is>
          <t>United Kingdom</t>
        </is>
      </c>
      <c r="C2474" s="126" t="n">
        <v>36</v>
      </c>
      <c r="D2474" s="126" t="n">
        <v>4</v>
      </c>
      <c r="E2474" s="127" t="n">
        <v>945.58</v>
      </c>
      <c r="F2474" s="128">
        <f>IF(C2474&lt;=30,5,IF(C2474&lt;=60,4,IF(C2474&lt;=120,3,IF(C2474&lt;=200,2,1))))</f>
        <v/>
      </c>
      <c r="G2474" s="128">
        <f>IF(D2474&gt;=20,5,IF(D2474&gt;=10,4,IF(D2474&gt;=5,3,IF(D2474&gt;=2,2,1))))</f>
        <v/>
      </c>
      <c r="H2474" s="128">
        <f>IF(E2474&gt;=5000,5,IF(E2474&gt;=2000,4,IF(E2474&gt;=800,3,IF(E2474&gt;=300,2,1))))</f>
        <v/>
      </c>
      <c r="I2474" s="126">
        <f>TEXT(F2474,"0")&amp;TEXT(G2474,"0")&amp;TEXT(H2474,"0")</f>
        <v/>
      </c>
      <c r="J2474" s="126">
        <f>IFERROR(XLOOKUP(I2474,'Segment Map'!A:A,'Segment Map'!B:B,"Need Attention"),"Need Attention")</f>
        <v/>
      </c>
      <c r="K2474" s="126">
        <f>IF(E2474&gt;=5000,"🏆 Platinum",IF(E2474&gt;=2000,"🥇 Gold",IF(E2474&gt;=800,"🥈 Silver","🥉 Bronze")))</f>
        <v/>
      </c>
      <c r="L2474" s="129" t="n">
        <v>40851</v>
      </c>
    </row>
    <row r="2475">
      <c r="A2475" s="122" t="n">
        <v>15708</v>
      </c>
      <c r="B2475" s="122" t="inlineStr">
        <is>
          <t>United Kingdom</t>
        </is>
      </c>
      <c r="C2475" s="122" t="n">
        <v>41</v>
      </c>
      <c r="D2475" s="122" t="n">
        <v>7</v>
      </c>
      <c r="E2475" s="123" t="n">
        <v>3364.24</v>
      </c>
      <c r="F2475" s="124">
        <f>IF(C2475&lt;=30,5,IF(C2475&lt;=60,4,IF(C2475&lt;=120,3,IF(C2475&lt;=200,2,1))))</f>
        <v/>
      </c>
      <c r="G2475" s="124">
        <f>IF(D2475&gt;=20,5,IF(D2475&gt;=10,4,IF(D2475&gt;=5,3,IF(D2475&gt;=2,2,1))))</f>
        <v/>
      </c>
      <c r="H2475" s="124">
        <f>IF(E2475&gt;=5000,5,IF(E2475&gt;=2000,4,IF(E2475&gt;=800,3,IF(E2475&gt;=300,2,1))))</f>
        <v/>
      </c>
      <c r="I2475" s="122">
        <f>TEXT(F2475,"0")&amp;TEXT(G2475,"0")&amp;TEXT(H2475,"0")</f>
        <v/>
      </c>
      <c r="J2475" s="122">
        <f>IFERROR(XLOOKUP(I2475,'Segment Map'!A:A,'Segment Map'!B:B,"Need Attention"),"Need Attention")</f>
        <v/>
      </c>
      <c r="K2475" s="122">
        <f>IF(E2475&gt;=5000,"🏆 Platinum",IF(E2475&gt;=2000,"🥇 Gold",IF(E2475&gt;=800,"🥈 Silver","🥉 Bronze")))</f>
        <v/>
      </c>
      <c r="L2475" s="125" t="n">
        <v>40846</v>
      </c>
    </row>
    <row r="2476">
      <c r="A2476" s="126" t="n">
        <v>15709</v>
      </c>
      <c r="B2476" s="126" t="inlineStr">
        <is>
          <t>United Kingdom</t>
        </is>
      </c>
      <c r="C2476" s="126" t="n">
        <v>284</v>
      </c>
      <c r="D2476" s="126" t="n">
        <v>1</v>
      </c>
      <c r="E2476" s="127" t="n">
        <v>133.25</v>
      </c>
      <c r="F2476" s="128">
        <f>IF(C2476&lt;=30,5,IF(C2476&lt;=60,4,IF(C2476&lt;=120,3,IF(C2476&lt;=200,2,1))))</f>
        <v/>
      </c>
      <c r="G2476" s="128">
        <f>IF(D2476&gt;=20,5,IF(D2476&gt;=10,4,IF(D2476&gt;=5,3,IF(D2476&gt;=2,2,1))))</f>
        <v/>
      </c>
      <c r="H2476" s="128">
        <f>IF(E2476&gt;=5000,5,IF(E2476&gt;=2000,4,IF(E2476&gt;=800,3,IF(E2476&gt;=300,2,1))))</f>
        <v/>
      </c>
      <c r="I2476" s="126">
        <f>TEXT(F2476,"0")&amp;TEXT(G2476,"0")&amp;TEXT(H2476,"0")</f>
        <v/>
      </c>
      <c r="J2476" s="126">
        <f>IFERROR(XLOOKUP(I2476,'Segment Map'!A:A,'Segment Map'!B:B,"Need Attention"),"Need Attention")</f>
        <v/>
      </c>
      <c r="K2476" s="126">
        <f>IF(E2476&gt;=5000,"🏆 Platinum",IF(E2476&gt;=2000,"🥇 Gold",IF(E2476&gt;=800,"🥈 Silver","🥉 Bronze")))</f>
        <v/>
      </c>
      <c r="L2476" s="129" t="n">
        <v>40603</v>
      </c>
    </row>
    <row r="2477">
      <c r="A2477" s="122" t="n">
        <v>15712</v>
      </c>
      <c r="B2477" s="122" t="inlineStr">
        <is>
          <t>United Kingdom</t>
        </is>
      </c>
      <c r="C2477" s="122" t="n">
        <v>10</v>
      </c>
      <c r="D2477" s="122" t="n">
        <v>5</v>
      </c>
      <c r="E2477" s="123" t="n">
        <v>1072.36</v>
      </c>
      <c r="F2477" s="124">
        <f>IF(C2477&lt;=30,5,IF(C2477&lt;=60,4,IF(C2477&lt;=120,3,IF(C2477&lt;=200,2,1))))</f>
        <v/>
      </c>
      <c r="G2477" s="124">
        <f>IF(D2477&gt;=20,5,IF(D2477&gt;=10,4,IF(D2477&gt;=5,3,IF(D2477&gt;=2,2,1))))</f>
        <v/>
      </c>
      <c r="H2477" s="124">
        <f>IF(E2477&gt;=5000,5,IF(E2477&gt;=2000,4,IF(E2477&gt;=800,3,IF(E2477&gt;=300,2,1))))</f>
        <v/>
      </c>
      <c r="I2477" s="122">
        <f>TEXT(F2477,"0")&amp;TEXT(G2477,"0")&amp;TEXT(H2477,"0")</f>
        <v/>
      </c>
      <c r="J2477" s="122">
        <f>IFERROR(XLOOKUP(I2477,'Segment Map'!A:A,'Segment Map'!B:B,"Need Attention"),"Need Attention")</f>
        <v/>
      </c>
      <c r="K2477" s="122">
        <f>IF(E2477&gt;=5000,"🏆 Platinum",IF(E2477&gt;=2000,"🥇 Gold",IF(E2477&gt;=800,"🥈 Silver","🥉 Bronze")))</f>
        <v/>
      </c>
      <c r="L2477" s="125" t="n">
        <v>40877</v>
      </c>
    </row>
    <row r="2478">
      <c r="A2478" s="126" t="n">
        <v>15713</v>
      </c>
      <c r="B2478" s="126" t="inlineStr">
        <is>
          <t>United Kingdom</t>
        </is>
      </c>
      <c r="C2478" s="126" t="n">
        <v>144</v>
      </c>
      <c r="D2478" s="126" t="n">
        <v>2</v>
      </c>
      <c r="E2478" s="127" t="n">
        <v>356.7</v>
      </c>
      <c r="F2478" s="128">
        <f>IF(C2478&lt;=30,5,IF(C2478&lt;=60,4,IF(C2478&lt;=120,3,IF(C2478&lt;=200,2,1))))</f>
        <v/>
      </c>
      <c r="G2478" s="128">
        <f>IF(D2478&gt;=20,5,IF(D2478&gt;=10,4,IF(D2478&gt;=5,3,IF(D2478&gt;=2,2,1))))</f>
        <v/>
      </c>
      <c r="H2478" s="128">
        <f>IF(E2478&gt;=5000,5,IF(E2478&gt;=2000,4,IF(E2478&gt;=800,3,IF(E2478&gt;=300,2,1))))</f>
        <v/>
      </c>
      <c r="I2478" s="126">
        <f>TEXT(F2478,"0")&amp;TEXT(G2478,"0")&amp;TEXT(H2478,"0")</f>
        <v/>
      </c>
      <c r="J2478" s="126">
        <f>IFERROR(XLOOKUP(I2478,'Segment Map'!A:A,'Segment Map'!B:B,"Need Attention"),"Need Attention")</f>
        <v/>
      </c>
      <c r="K2478" s="126">
        <f>IF(E2478&gt;=5000,"🏆 Platinum",IF(E2478&gt;=2000,"🥇 Gold",IF(E2478&gt;=800,"🥈 Silver","🥉 Bronze")))</f>
        <v/>
      </c>
      <c r="L2478" s="129" t="n">
        <v>40743</v>
      </c>
    </row>
    <row r="2479">
      <c r="A2479" s="122" t="n">
        <v>15714</v>
      </c>
      <c r="B2479" s="122" t="inlineStr">
        <is>
          <t>United Kingdom</t>
        </is>
      </c>
      <c r="C2479" s="122" t="n">
        <v>12</v>
      </c>
      <c r="D2479" s="122" t="n">
        <v>2</v>
      </c>
      <c r="E2479" s="123" t="n">
        <v>330.88</v>
      </c>
      <c r="F2479" s="124">
        <f>IF(C2479&lt;=30,5,IF(C2479&lt;=60,4,IF(C2479&lt;=120,3,IF(C2479&lt;=200,2,1))))</f>
        <v/>
      </c>
      <c r="G2479" s="124">
        <f>IF(D2479&gt;=20,5,IF(D2479&gt;=10,4,IF(D2479&gt;=5,3,IF(D2479&gt;=2,2,1))))</f>
        <v/>
      </c>
      <c r="H2479" s="124">
        <f>IF(E2479&gt;=5000,5,IF(E2479&gt;=2000,4,IF(E2479&gt;=800,3,IF(E2479&gt;=300,2,1))))</f>
        <v/>
      </c>
      <c r="I2479" s="122">
        <f>TEXT(F2479,"0")&amp;TEXT(G2479,"0")&amp;TEXT(H2479,"0")</f>
        <v/>
      </c>
      <c r="J2479" s="122">
        <f>IFERROR(XLOOKUP(I2479,'Segment Map'!A:A,'Segment Map'!B:B,"Need Attention"),"Need Attention")</f>
        <v/>
      </c>
      <c r="K2479" s="122">
        <f>IF(E2479&gt;=5000,"🏆 Platinum",IF(E2479&gt;=2000,"🥇 Gold",IF(E2479&gt;=800,"🥈 Silver","🥉 Bronze")))</f>
        <v/>
      </c>
      <c r="L2479" s="125" t="n">
        <v>40875</v>
      </c>
    </row>
    <row r="2480">
      <c r="A2480" s="126" t="n">
        <v>15716</v>
      </c>
      <c r="B2480" s="126" t="inlineStr">
        <is>
          <t>United Kingdom</t>
        </is>
      </c>
      <c r="C2480" s="126" t="n">
        <v>146</v>
      </c>
      <c r="D2480" s="126" t="n">
        <v>4</v>
      </c>
      <c r="E2480" s="127" t="n">
        <v>1118.81</v>
      </c>
      <c r="F2480" s="128">
        <f>IF(C2480&lt;=30,5,IF(C2480&lt;=60,4,IF(C2480&lt;=120,3,IF(C2480&lt;=200,2,1))))</f>
        <v/>
      </c>
      <c r="G2480" s="128">
        <f>IF(D2480&gt;=20,5,IF(D2480&gt;=10,4,IF(D2480&gt;=5,3,IF(D2480&gt;=2,2,1))))</f>
        <v/>
      </c>
      <c r="H2480" s="128">
        <f>IF(E2480&gt;=5000,5,IF(E2480&gt;=2000,4,IF(E2480&gt;=800,3,IF(E2480&gt;=300,2,1))))</f>
        <v/>
      </c>
      <c r="I2480" s="126">
        <f>TEXT(F2480,"0")&amp;TEXT(G2480,"0")&amp;TEXT(H2480,"0")</f>
        <v/>
      </c>
      <c r="J2480" s="126">
        <f>IFERROR(XLOOKUP(I2480,'Segment Map'!A:A,'Segment Map'!B:B,"Need Attention"),"Need Attention")</f>
        <v/>
      </c>
      <c r="K2480" s="126">
        <f>IF(E2480&gt;=5000,"🏆 Platinum",IF(E2480&gt;=2000,"🥇 Gold",IF(E2480&gt;=800,"🥈 Silver","🥉 Bronze")))</f>
        <v/>
      </c>
      <c r="L2480" s="129" t="n">
        <v>40741</v>
      </c>
    </row>
    <row r="2481">
      <c r="A2481" s="122" t="n">
        <v>15717</v>
      </c>
      <c r="B2481" s="122" t="inlineStr">
        <is>
          <t>United Kingdom</t>
        </is>
      </c>
      <c r="C2481" s="122" t="n">
        <v>235</v>
      </c>
      <c r="D2481" s="122" t="n">
        <v>1</v>
      </c>
      <c r="E2481" s="123" t="n">
        <v>150.3</v>
      </c>
      <c r="F2481" s="124">
        <f>IF(C2481&lt;=30,5,IF(C2481&lt;=60,4,IF(C2481&lt;=120,3,IF(C2481&lt;=200,2,1))))</f>
        <v/>
      </c>
      <c r="G2481" s="124">
        <f>IF(D2481&gt;=20,5,IF(D2481&gt;=10,4,IF(D2481&gt;=5,3,IF(D2481&gt;=2,2,1))))</f>
        <v/>
      </c>
      <c r="H2481" s="124">
        <f>IF(E2481&gt;=5000,5,IF(E2481&gt;=2000,4,IF(E2481&gt;=800,3,IF(E2481&gt;=300,2,1))))</f>
        <v/>
      </c>
      <c r="I2481" s="122">
        <f>TEXT(F2481,"0")&amp;TEXT(G2481,"0")&amp;TEXT(H2481,"0")</f>
        <v/>
      </c>
      <c r="J2481" s="122">
        <f>IFERROR(XLOOKUP(I2481,'Segment Map'!A:A,'Segment Map'!B:B,"Need Attention"),"Need Attention")</f>
        <v/>
      </c>
      <c r="K2481" s="122">
        <f>IF(E2481&gt;=5000,"🏆 Platinum",IF(E2481&gt;=2000,"🥇 Gold",IF(E2481&gt;=800,"🥈 Silver","🥉 Bronze")))</f>
        <v/>
      </c>
      <c r="L2481" s="125" t="n">
        <v>40652</v>
      </c>
    </row>
    <row r="2482">
      <c r="A2482" s="126" t="n">
        <v>15719</v>
      </c>
      <c r="B2482" s="126" t="inlineStr">
        <is>
          <t>United Kingdom</t>
        </is>
      </c>
      <c r="C2482" s="126" t="n">
        <v>33</v>
      </c>
      <c r="D2482" s="126" t="n">
        <v>13</v>
      </c>
      <c r="E2482" s="127" t="n">
        <v>5045.61</v>
      </c>
      <c r="F2482" s="128">
        <f>IF(C2482&lt;=30,5,IF(C2482&lt;=60,4,IF(C2482&lt;=120,3,IF(C2482&lt;=200,2,1))))</f>
        <v/>
      </c>
      <c r="G2482" s="128">
        <f>IF(D2482&gt;=20,5,IF(D2482&gt;=10,4,IF(D2482&gt;=5,3,IF(D2482&gt;=2,2,1))))</f>
        <v/>
      </c>
      <c r="H2482" s="128">
        <f>IF(E2482&gt;=5000,5,IF(E2482&gt;=2000,4,IF(E2482&gt;=800,3,IF(E2482&gt;=300,2,1))))</f>
        <v/>
      </c>
      <c r="I2482" s="126">
        <f>TEXT(F2482,"0")&amp;TEXT(G2482,"0")&amp;TEXT(H2482,"0")</f>
        <v/>
      </c>
      <c r="J2482" s="126">
        <f>IFERROR(XLOOKUP(I2482,'Segment Map'!A:A,'Segment Map'!B:B,"Need Attention"),"Need Attention")</f>
        <v/>
      </c>
      <c r="K2482" s="126">
        <f>IF(E2482&gt;=5000,"🏆 Platinum",IF(E2482&gt;=2000,"🥇 Gold",IF(E2482&gt;=800,"🥈 Silver","🥉 Bronze")))</f>
        <v/>
      </c>
      <c r="L2482" s="129" t="n">
        <v>40854</v>
      </c>
    </row>
    <row r="2483">
      <c r="A2483" s="122" t="n">
        <v>15720</v>
      </c>
      <c r="B2483" s="122" t="inlineStr">
        <is>
          <t>United Kingdom</t>
        </is>
      </c>
      <c r="C2483" s="122" t="n">
        <v>25</v>
      </c>
      <c r="D2483" s="122" t="n">
        <v>1</v>
      </c>
      <c r="E2483" s="123" t="n">
        <v>598.73</v>
      </c>
      <c r="F2483" s="124">
        <f>IF(C2483&lt;=30,5,IF(C2483&lt;=60,4,IF(C2483&lt;=120,3,IF(C2483&lt;=200,2,1))))</f>
        <v/>
      </c>
      <c r="G2483" s="124">
        <f>IF(D2483&gt;=20,5,IF(D2483&gt;=10,4,IF(D2483&gt;=5,3,IF(D2483&gt;=2,2,1))))</f>
        <v/>
      </c>
      <c r="H2483" s="124">
        <f>IF(E2483&gt;=5000,5,IF(E2483&gt;=2000,4,IF(E2483&gt;=800,3,IF(E2483&gt;=300,2,1))))</f>
        <v/>
      </c>
      <c r="I2483" s="122">
        <f>TEXT(F2483,"0")&amp;TEXT(G2483,"0")&amp;TEXT(H2483,"0")</f>
        <v/>
      </c>
      <c r="J2483" s="122">
        <f>IFERROR(XLOOKUP(I2483,'Segment Map'!A:A,'Segment Map'!B:B,"Need Attention"),"Need Attention")</f>
        <v/>
      </c>
      <c r="K2483" s="122">
        <f>IF(E2483&gt;=5000,"🏆 Platinum",IF(E2483&gt;=2000,"🥇 Gold",IF(E2483&gt;=800,"🥈 Silver","🥉 Bronze")))</f>
        <v/>
      </c>
      <c r="L2483" s="125" t="n">
        <v>40862</v>
      </c>
    </row>
    <row r="2484">
      <c r="A2484" s="126" t="n">
        <v>15721</v>
      </c>
      <c r="B2484" s="126" t="inlineStr">
        <is>
          <t>United Kingdom</t>
        </is>
      </c>
      <c r="C2484" s="126" t="n">
        <v>12</v>
      </c>
      <c r="D2484" s="126" t="n">
        <v>1</v>
      </c>
      <c r="E2484" s="127" t="n">
        <v>507.08</v>
      </c>
      <c r="F2484" s="128">
        <f>IF(C2484&lt;=30,5,IF(C2484&lt;=60,4,IF(C2484&lt;=120,3,IF(C2484&lt;=200,2,1))))</f>
        <v/>
      </c>
      <c r="G2484" s="128">
        <f>IF(D2484&gt;=20,5,IF(D2484&gt;=10,4,IF(D2484&gt;=5,3,IF(D2484&gt;=2,2,1))))</f>
        <v/>
      </c>
      <c r="H2484" s="128">
        <f>IF(E2484&gt;=5000,5,IF(E2484&gt;=2000,4,IF(E2484&gt;=800,3,IF(E2484&gt;=300,2,1))))</f>
        <v/>
      </c>
      <c r="I2484" s="126">
        <f>TEXT(F2484,"0")&amp;TEXT(G2484,"0")&amp;TEXT(H2484,"0")</f>
        <v/>
      </c>
      <c r="J2484" s="126">
        <f>IFERROR(XLOOKUP(I2484,'Segment Map'!A:A,'Segment Map'!B:B,"Need Attention"),"Need Attention")</f>
        <v/>
      </c>
      <c r="K2484" s="126">
        <f>IF(E2484&gt;=5000,"🏆 Platinum",IF(E2484&gt;=2000,"🥇 Gold",IF(E2484&gt;=800,"🥈 Silver","🥉 Bronze")))</f>
        <v/>
      </c>
      <c r="L2484" s="129" t="n">
        <v>40875</v>
      </c>
    </row>
    <row r="2485">
      <c r="A2485" s="122" t="n">
        <v>15722</v>
      </c>
      <c r="B2485" s="122" t="inlineStr">
        <is>
          <t>United Kingdom</t>
        </is>
      </c>
      <c r="C2485" s="122" t="n">
        <v>36</v>
      </c>
      <c r="D2485" s="122" t="n">
        <v>5</v>
      </c>
      <c r="E2485" s="123" t="n">
        <v>2222.56</v>
      </c>
      <c r="F2485" s="124">
        <f>IF(C2485&lt;=30,5,IF(C2485&lt;=60,4,IF(C2485&lt;=120,3,IF(C2485&lt;=200,2,1))))</f>
        <v/>
      </c>
      <c r="G2485" s="124">
        <f>IF(D2485&gt;=20,5,IF(D2485&gt;=10,4,IF(D2485&gt;=5,3,IF(D2485&gt;=2,2,1))))</f>
        <v/>
      </c>
      <c r="H2485" s="124">
        <f>IF(E2485&gt;=5000,5,IF(E2485&gt;=2000,4,IF(E2485&gt;=800,3,IF(E2485&gt;=300,2,1))))</f>
        <v/>
      </c>
      <c r="I2485" s="122">
        <f>TEXT(F2485,"0")&amp;TEXT(G2485,"0")&amp;TEXT(H2485,"0")</f>
        <v/>
      </c>
      <c r="J2485" s="122">
        <f>IFERROR(XLOOKUP(I2485,'Segment Map'!A:A,'Segment Map'!B:B,"Need Attention"),"Need Attention")</f>
        <v/>
      </c>
      <c r="K2485" s="122">
        <f>IF(E2485&gt;=5000,"🏆 Platinum",IF(E2485&gt;=2000,"🥇 Gold",IF(E2485&gt;=800,"🥈 Silver","🥉 Bronze")))</f>
        <v/>
      </c>
      <c r="L2485" s="125" t="n">
        <v>40851</v>
      </c>
    </row>
    <row r="2486">
      <c r="A2486" s="126" t="n">
        <v>15723</v>
      </c>
      <c r="B2486" s="126" t="inlineStr">
        <is>
          <t>United Kingdom</t>
        </is>
      </c>
      <c r="C2486" s="126" t="n">
        <v>365</v>
      </c>
      <c r="D2486" s="126" t="n">
        <v>1</v>
      </c>
      <c r="E2486" s="127" t="n">
        <v>203.1</v>
      </c>
      <c r="F2486" s="128">
        <f>IF(C2486&lt;=30,5,IF(C2486&lt;=60,4,IF(C2486&lt;=120,3,IF(C2486&lt;=200,2,1))))</f>
        <v/>
      </c>
      <c r="G2486" s="128">
        <f>IF(D2486&gt;=20,5,IF(D2486&gt;=10,4,IF(D2486&gt;=5,3,IF(D2486&gt;=2,2,1))))</f>
        <v/>
      </c>
      <c r="H2486" s="128">
        <f>IF(E2486&gt;=5000,5,IF(E2486&gt;=2000,4,IF(E2486&gt;=800,3,IF(E2486&gt;=300,2,1))))</f>
        <v/>
      </c>
      <c r="I2486" s="126">
        <f>TEXT(F2486,"0")&amp;TEXT(G2486,"0")&amp;TEXT(H2486,"0")</f>
        <v/>
      </c>
      <c r="J2486" s="126">
        <f>IFERROR(XLOOKUP(I2486,'Segment Map'!A:A,'Segment Map'!B:B,"Need Attention"),"Need Attention")</f>
        <v/>
      </c>
      <c r="K2486" s="126">
        <f>IF(E2486&gt;=5000,"🏆 Platinum",IF(E2486&gt;=2000,"🥇 Gold",IF(E2486&gt;=800,"🥈 Silver","🥉 Bronze")))</f>
        <v/>
      </c>
      <c r="L2486" s="129" t="n">
        <v>40522</v>
      </c>
    </row>
    <row r="2487">
      <c r="A2487" s="122" t="n">
        <v>15724</v>
      </c>
      <c r="B2487" s="122" t="inlineStr">
        <is>
          <t>United Kingdom</t>
        </is>
      </c>
      <c r="C2487" s="122" t="n">
        <v>202</v>
      </c>
      <c r="D2487" s="122" t="n">
        <v>2</v>
      </c>
      <c r="E2487" s="123" t="n">
        <v>218.25</v>
      </c>
      <c r="F2487" s="124">
        <f>IF(C2487&lt;=30,5,IF(C2487&lt;=60,4,IF(C2487&lt;=120,3,IF(C2487&lt;=200,2,1))))</f>
        <v/>
      </c>
      <c r="G2487" s="124">
        <f>IF(D2487&gt;=20,5,IF(D2487&gt;=10,4,IF(D2487&gt;=5,3,IF(D2487&gt;=2,2,1))))</f>
        <v/>
      </c>
      <c r="H2487" s="124">
        <f>IF(E2487&gt;=5000,5,IF(E2487&gt;=2000,4,IF(E2487&gt;=800,3,IF(E2487&gt;=300,2,1))))</f>
        <v/>
      </c>
      <c r="I2487" s="122">
        <f>TEXT(F2487,"0")&amp;TEXT(G2487,"0")&amp;TEXT(H2487,"0")</f>
        <v/>
      </c>
      <c r="J2487" s="122">
        <f>IFERROR(XLOOKUP(I2487,'Segment Map'!A:A,'Segment Map'!B:B,"Need Attention"),"Need Attention")</f>
        <v/>
      </c>
      <c r="K2487" s="122">
        <f>IF(E2487&gt;=5000,"🏆 Platinum",IF(E2487&gt;=2000,"🥇 Gold",IF(E2487&gt;=800,"🥈 Silver","🥉 Bronze")))</f>
        <v/>
      </c>
      <c r="L2487" s="125" t="n">
        <v>40685</v>
      </c>
    </row>
    <row r="2488">
      <c r="A2488" s="126" t="n">
        <v>15725</v>
      </c>
      <c r="B2488" s="126" t="inlineStr">
        <is>
          <t>United Kingdom</t>
        </is>
      </c>
      <c r="C2488" s="126" t="n">
        <v>16</v>
      </c>
      <c r="D2488" s="126" t="n">
        <v>1</v>
      </c>
      <c r="E2488" s="127" t="n">
        <v>415.25</v>
      </c>
      <c r="F2488" s="128">
        <f>IF(C2488&lt;=30,5,IF(C2488&lt;=60,4,IF(C2488&lt;=120,3,IF(C2488&lt;=200,2,1))))</f>
        <v/>
      </c>
      <c r="G2488" s="128">
        <f>IF(D2488&gt;=20,5,IF(D2488&gt;=10,4,IF(D2488&gt;=5,3,IF(D2488&gt;=2,2,1))))</f>
        <v/>
      </c>
      <c r="H2488" s="128">
        <f>IF(E2488&gt;=5000,5,IF(E2488&gt;=2000,4,IF(E2488&gt;=800,3,IF(E2488&gt;=300,2,1))))</f>
        <v/>
      </c>
      <c r="I2488" s="126">
        <f>TEXT(F2488,"0")&amp;TEXT(G2488,"0")&amp;TEXT(H2488,"0")</f>
        <v/>
      </c>
      <c r="J2488" s="126">
        <f>IFERROR(XLOOKUP(I2488,'Segment Map'!A:A,'Segment Map'!B:B,"Need Attention"),"Need Attention")</f>
        <v/>
      </c>
      <c r="K2488" s="126">
        <f>IF(E2488&gt;=5000,"🏆 Platinum",IF(E2488&gt;=2000,"🥇 Gold",IF(E2488&gt;=800,"🥈 Silver","🥉 Bronze")))</f>
        <v/>
      </c>
      <c r="L2488" s="129" t="n">
        <v>40871</v>
      </c>
    </row>
    <row r="2489">
      <c r="A2489" s="122" t="n">
        <v>15727</v>
      </c>
      <c r="B2489" s="122" t="inlineStr">
        <is>
          <t>United Kingdom</t>
        </is>
      </c>
      <c r="C2489" s="122" t="n">
        <v>17</v>
      </c>
      <c r="D2489" s="122" t="n">
        <v>7</v>
      </c>
      <c r="E2489" s="123" t="n">
        <v>5178.96</v>
      </c>
      <c r="F2489" s="124">
        <f>IF(C2489&lt;=30,5,IF(C2489&lt;=60,4,IF(C2489&lt;=120,3,IF(C2489&lt;=200,2,1))))</f>
        <v/>
      </c>
      <c r="G2489" s="124">
        <f>IF(D2489&gt;=20,5,IF(D2489&gt;=10,4,IF(D2489&gt;=5,3,IF(D2489&gt;=2,2,1))))</f>
        <v/>
      </c>
      <c r="H2489" s="124">
        <f>IF(E2489&gt;=5000,5,IF(E2489&gt;=2000,4,IF(E2489&gt;=800,3,IF(E2489&gt;=300,2,1))))</f>
        <v/>
      </c>
      <c r="I2489" s="122">
        <f>TEXT(F2489,"0")&amp;TEXT(G2489,"0")&amp;TEXT(H2489,"0")</f>
        <v/>
      </c>
      <c r="J2489" s="122">
        <f>IFERROR(XLOOKUP(I2489,'Segment Map'!A:A,'Segment Map'!B:B,"Need Attention"),"Need Attention")</f>
        <v/>
      </c>
      <c r="K2489" s="122">
        <f>IF(E2489&gt;=5000,"🏆 Platinum",IF(E2489&gt;=2000,"🥇 Gold",IF(E2489&gt;=800,"🥈 Silver","🥉 Bronze")))</f>
        <v/>
      </c>
      <c r="L2489" s="125" t="n">
        <v>40870</v>
      </c>
    </row>
    <row r="2490">
      <c r="A2490" s="126" t="n">
        <v>15729</v>
      </c>
      <c r="B2490" s="126" t="inlineStr">
        <is>
          <t>United Kingdom</t>
        </is>
      </c>
      <c r="C2490" s="126" t="n">
        <v>213</v>
      </c>
      <c r="D2490" s="126" t="n">
        <v>1</v>
      </c>
      <c r="E2490" s="127" t="n">
        <v>85</v>
      </c>
      <c r="F2490" s="128">
        <f>IF(C2490&lt;=30,5,IF(C2490&lt;=60,4,IF(C2490&lt;=120,3,IF(C2490&lt;=200,2,1))))</f>
        <v/>
      </c>
      <c r="G2490" s="128">
        <f>IF(D2490&gt;=20,5,IF(D2490&gt;=10,4,IF(D2490&gt;=5,3,IF(D2490&gt;=2,2,1))))</f>
        <v/>
      </c>
      <c r="H2490" s="128">
        <f>IF(E2490&gt;=5000,5,IF(E2490&gt;=2000,4,IF(E2490&gt;=800,3,IF(E2490&gt;=300,2,1))))</f>
        <v/>
      </c>
      <c r="I2490" s="126">
        <f>TEXT(F2490,"0")&amp;TEXT(G2490,"0")&amp;TEXT(H2490,"0")</f>
        <v/>
      </c>
      <c r="J2490" s="126">
        <f>IFERROR(XLOOKUP(I2490,'Segment Map'!A:A,'Segment Map'!B:B,"Need Attention"),"Need Attention")</f>
        <v/>
      </c>
      <c r="K2490" s="126">
        <f>IF(E2490&gt;=5000,"🏆 Platinum",IF(E2490&gt;=2000,"🥇 Gold",IF(E2490&gt;=800,"🥈 Silver","🥉 Bronze")))</f>
        <v/>
      </c>
      <c r="L2490" s="129" t="n">
        <v>40674</v>
      </c>
    </row>
    <row r="2491">
      <c r="A2491" s="122" t="n">
        <v>15730</v>
      </c>
      <c r="B2491" s="122" t="inlineStr">
        <is>
          <t>United Kingdom</t>
        </is>
      </c>
      <c r="C2491" s="122" t="n">
        <v>66</v>
      </c>
      <c r="D2491" s="122" t="n">
        <v>3</v>
      </c>
      <c r="E2491" s="123" t="n">
        <v>1120.88</v>
      </c>
      <c r="F2491" s="124">
        <f>IF(C2491&lt;=30,5,IF(C2491&lt;=60,4,IF(C2491&lt;=120,3,IF(C2491&lt;=200,2,1))))</f>
        <v/>
      </c>
      <c r="G2491" s="124">
        <f>IF(D2491&gt;=20,5,IF(D2491&gt;=10,4,IF(D2491&gt;=5,3,IF(D2491&gt;=2,2,1))))</f>
        <v/>
      </c>
      <c r="H2491" s="124">
        <f>IF(E2491&gt;=5000,5,IF(E2491&gt;=2000,4,IF(E2491&gt;=800,3,IF(E2491&gt;=300,2,1))))</f>
        <v/>
      </c>
      <c r="I2491" s="122">
        <f>TEXT(F2491,"0")&amp;TEXT(G2491,"0")&amp;TEXT(H2491,"0")</f>
        <v/>
      </c>
      <c r="J2491" s="122">
        <f>IFERROR(XLOOKUP(I2491,'Segment Map'!A:A,'Segment Map'!B:B,"Need Attention"),"Need Attention")</f>
        <v/>
      </c>
      <c r="K2491" s="122">
        <f>IF(E2491&gt;=5000,"🏆 Platinum",IF(E2491&gt;=2000,"🥇 Gold",IF(E2491&gt;=800,"🥈 Silver","🥉 Bronze")))</f>
        <v/>
      </c>
      <c r="L2491" s="125" t="n">
        <v>40821</v>
      </c>
    </row>
    <row r="2492">
      <c r="A2492" s="126" t="n">
        <v>15732</v>
      </c>
      <c r="B2492" s="126" t="inlineStr">
        <is>
          <t>United Kingdom</t>
        </is>
      </c>
      <c r="C2492" s="126" t="n">
        <v>213</v>
      </c>
      <c r="D2492" s="126" t="n">
        <v>2</v>
      </c>
      <c r="E2492" s="127" t="n">
        <v>294.12</v>
      </c>
      <c r="F2492" s="128">
        <f>IF(C2492&lt;=30,5,IF(C2492&lt;=60,4,IF(C2492&lt;=120,3,IF(C2492&lt;=200,2,1))))</f>
        <v/>
      </c>
      <c r="G2492" s="128">
        <f>IF(D2492&gt;=20,5,IF(D2492&gt;=10,4,IF(D2492&gt;=5,3,IF(D2492&gt;=2,2,1))))</f>
        <v/>
      </c>
      <c r="H2492" s="128">
        <f>IF(E2492&gt;=5000,5,IF(E2492&gt;=2000,4,IF(E2492&gt;=800,3,IF(E2492&gt;=300,2,1))))</f>
        <v/>
      </c>
      <c r="I2492" s="126">
        <f>TEXT(F2492,"0")&amp;TEXT(G2492,"0")&amp;TEXT(H2492,"0")</f>
        <v/>
      </c>
      <c r="J2492" s="126">
        <f>IFERROR(XLOOKUP(I2492,'Segment Map'!A:A,'Segment Map'!B:B,"Need Attention"),"Need Attention")</f>
        <v/>
      </c>
      <c r="K2492" s="126">
        <f>IF(E2492&gt;=5000,"🏆 Platinum",IF(E2492&gt;=2000,"🥇 Gold",IF(E2492&gt;=800,"🥈 Silver","🥉 Bronze")))</f>
        <v/>
      </c>
      <c r="L2492" s="129" t="n">
        <v>40674</v>
      </c>
    </row>
    <row r="2493">
      <c r="A2493" s="122" t="n">
        <v>15733</v>
      </c>
      <c r="B2493" s="122" t="inlineStr">
        <is>
          <t>United Kingdom</t>
        </is>
      </c>
      <c r="C2493" s="122" t="n">
        <v>283</v>
      </c>
      <c r="D2493" s="122" t="n">
        <v>1</v>
      </c>
      <c r="E2493" s="123" t="n">
        <v>162.3</v>
      </c>
      <c r="F2493" s="124">
        <f>IF(C2493&lt;=30,5,IF(C2493&lt;=60,4,IF(C2493&lt;=120,3,IF(C2493&lt;=200,2,1))))</f>
        <v/>
      </c>
      <c r="G2493" s="124">
        <f>IF(D2493&gt;=20,5,IF(D2493&gt;=10,4,IF(D2493&gt;=5,3,IF(D2493&gt;=2,2,1))))</f>
        <v/>
      </c>
      <c r="H2493" s="124">
        <f>IF(E2493&gt;=5000,5,IF(E2493&gt;=2000,4,IF(E2493&gt;=800,3,IF(E2493&gt;=300,2,1))))</f>
        <v/>
      </c>
      <c r="I2493" s="122">
        <f>TEXT(F2493,"0")&amp;TEXT(G2493,"0")&amp;TEXT(H2493,"0")</f>
        <v/>
      </c>
      <c r="J2493" s="122">
        <f>IFERROR(XLOOKUP(I2493,'Segment Map'!A:A,'Segment Map'!B:B,"Need Attention"),"Need Attention")</f>
        <v/>
      </c>
      <c r="K2493" s="122">
        <f>IF(E2493&gt;=5000,"🏆 Platinum",IF(E2493&gt;=2000,"🥇 Gold",IF(E2493&gt;=800,"🥈 Silver","🥉 Bronze")))</f>
        <v/>
      </c>
      <c r="L2493" s="125" t="n">
        <v>40604</v>
      </c>
    </row>
    <row r="2494">
      <c r="A2494" s="126" t="n">
        <v>15734</v>
      </c>
      <c r="B2494" s="126" t="inlineStr">
        <is>
          <t>United Kingdom</t>
        </is>
      </c>
      <c r="C2494" s="126" t="n">
        <v>115</v>
      </c>
      <c r="D2494" s="126" t="n">
        <v>2</v>
      </c>
      <c r="E2494" s="127" t="n">
        <v>1339.45</v>
      </c>
      <c r="F2494" s="128">
        <f>IF(C2494&lt;=30,5,IF(C2494&lt;=60,4,IF(C2494&lt;=120,3,IF(C2494&lt;=200,2,1))))</f>
        <v/>
      </c>
      <c r="G2494" s="128">
        <f>IF(D2494&gt;=20,5,IF(D2494&gt;=10,4,IF(D2494&gt;=5,3,IF(D2494&gt;=2,2,1))))</f>
        <v/>
      </c>
      <c r="H2494" s="128">
        <f>IF(E2494&gt;=5000,5,IF(E2494&gt;=2000,4,IF(E2494&gt;=800,3,IF(E2494&gt;=300,2,1))))</f>
        <v/>
      </c>
      <c r="I2494" s="126">
        <f>TEXT(F2494,"0")&amp;TEXT(G2494,"0")&amp;TEXT(H2494,"0")</f>
        <v/>
      </c>
      <c r="J2494" s="126">
        <f>IFERROR(XLOOKUP(I2494,'Segment Map'!A:A,'Segment Map'!B:B,"Need Attention"),"Need Attention")</f>
        <v/>
      </c>
      <c r="K2494" s="126">
        <f>IF(E2494&gt;=5000,"🏆 Platinum",IF(E2494&gt;=2000,"🥇 Gold",IF(E2494&gt;=800,"🥈 Silver","🥉 Bronze")))</f>
        <v/>
      </c>
      <c r="L2494" s="129" t="n">
        <v>40772</v>
      </c>
    </row>
    <row r="2495">
      <c r="A2495" s="122" t="n">
        <v>15737</v>
      </c>
      <c r="B2495" s="122" t="inlineStr">
        <is>
          <t>United Kingdom</t>
        </is>
      </c>
      <c r="C2495" s="122" t="n">
        <v>15</v>
      </c>
      <c r="D2495" s="122" t="n">
        <v>8</v>
      </c>
      <c r="E2495" s="123" t="n">
        <v>1205.12</v>
      </c>
      <c r="F2495" s="124">
        <f>IF(C2495&lt;=30,5,IF(C2495&lt;=60,4,IF(C2495&lt;=120,3,IF(C2495&lt;=200,2,1))))</f>
        <v/>
      </c>
      <c r="G2495" s="124">
        <f>IF(D2495&gt;=20,5,IF(D2495&gt;=10,4,IF(D2495&gt;=5,3,IF(D2495&gt;=2,2,1))))</f>
        <v/>
      </c>
      <c r="H2495" s="124">
        <f>IF(E2495&gt;=5000,5,IF(E2495&gt;=2000,4,IF(E2495&gt;=800,3,IF(E2495&gt;=300,2,1))))</f>
        <v/>
      </c>
      <c r="I2495" s="122">
        <f>TEXT(F2495,"0")&amp;TEXT(G2495,"0")&amp;TEXT(H2495,"0")</f>
        <v/>
      </c>
      <c r="J2495" s="122">
        <f>IFERROR(XLOOKUP(I2495,'Segment Map'!A:A,'Segment Map'!B:B,"Need Attention"),"Need Attention")</f>
        <v/>
      </c>
      <c r="K2495" s="122">
        <f>IF(E2495&gt;=5000,"🏆 Platinum",IF(E2495&gt;=2000,"🥇 Gold",IF(E2495&gt;=800,"🥈 Silver","🥉 Bronze")))</f>
        <v/>
      </c>
      <c r="L2495" s="125" t="n">
        <v>40872</v>
      </c>
    </row>
    <row r="2496">
      <c r="A2496" s="126" t="n">
        <v>15738</v>
      </c>
      <c r="B2496" s="126" t="inlineStr">
        <is>
          <t>United Kingdom</t>
        </is>
      </c>
      <c r="C2496" s="126" t="n">
        <v>19</v>
      </c>
      <c r="D2496" s="126" t="n">
        <v>16</v>
      </c>
      <c r="E2496" s="127" t="n">
        <v>4812.42</v>
      </c>
      <c r="F2496" s="128">
        <f>IF(C2496&lt;=30,5,IF(C2496&lt;=60,4,IF(C2496&lt;=120,3,IF(C2496&lt;=200,2,1))))</f>
        <v/>
      </c>
      <c r="G2496" s="128">
        <f>IF(D2496&gt;=20,5,IF(D2496&gt;=10,4,IF(D2496&gt;=5,3,IF(D2496&gt;=2,2,1))))</f>
        <v/>
      </c>
      <c r="H2496" s="128">
        <f>IF(E2496&gt;=5000,5,IF(E2496&gt;=2000,4,IF(E2496&gt;=800,3,IF(E2496&gt;=300,2,1))))</f>
        <v/>
      </c>
      <c r="I2496" s="126">
        <f>TEXT(F2496,"0")&amp;TEXT(G2496,"0")&amp;TEXT(H2496,"0")</f>
        <v/>
      </c>
      <c r="J2496" s="126">
        <f>IFERROR(XLOOKUP(I2496,'Segment Map'!A:A,'Segment Map'!B:B,"Need Attention"),"Need Attention")</f>
        <v/>
      </c>
      <c r="K2496" s="126">
        <f>IF(E2496&gt;=5000,"🏆 Platinum",IF(E2496&gt;=2000,"🥇 Gold",IF(E2496&gt;=800,"🥈 Silver","🥉 Bronze")))</f>
        <v/>
      </c>
      <c r="L2496" s="129" t="n">
        <v>40868</v>
      </c>
    </row>
    <row r="2497">
      <c r="A2497" s="122" t="n">
        <v>15739</v>
      </c>
      <c r="B2497" s="122" t="inlineStr">
        <is>
          <t>United Kingdom</t>
        </is>
      </c>
      <c r="C2497" s="122" t="n">
        <v>67</v>
      </c>
      <c r="D2497" s="122" t="n">
        <v>1</v>
      </c>
      <c r="E2497" s="123" t="n">
        <v>449.12</v>
      </c>
      <c r="F2497" s="124">
        <f>IF(C2497&lt;=30,5,IF(C2497&lt;=60,4,IF(C2497&lt;=120,3,IF(C2497&lt;=200,2,1))))</f>
        <v/>
      </c>
      <c r="G2497" s="124">
        <f>IF(D2497&gt;=20,5,IF(D2497&gt;=10,4,IF(D2497&gt;=5,3,IF(D2497&gt;=2,2,1))))</f>
        <v/>
      </c>
      <c r="H2497" s="124">
        <f>IF(E2497&gt;=5000,5,IF(E2497&gt;=2000,4,IF(E2497&gt;=800,3,IF(E2497&gt;=300,2,1))))</f>
        <v/>
      </c>
      <c r="I2497" s="122">
        <f>TEXT(F2497,"0")&amp;TEXT(G2497,"0")&amp;TEXT(H2497,"0")</f>
        <v/>
      </c>
      <c r="J2497" s="122">
        <f>IFERROR(XLOOKUP(I2497,'Segment Map'!A:A,'Segment Map'!B:B,"Need Attention"),"Need Attention")</f>
        <v/>
      </c>
      <c r="K2497" s="122">
        <f>IF(E2497&gt;=5000,"🏆 Platinum",IF(E2497&gt;=2000,"🥇 Gold",IF(E2497&gt;=800,"🥈 Silver","🥉 Bronze")))</f>
        <v/>
      </c>
      <c r="L2497" s="125" t="n">
        <v>40820</v>
      </c>
    </row>
    <row r="2498">
      <c r="A2498" s="126" t="n">
        <v>15740</v>
      </c>
      <c r="B2498" s="126" t="inlineStr">
        <is>
          <t>United Kingdom</t>
        </is>
      </c>
      <c r="C2498" s="126" t="n">
        <v>50</v>
      </c>
      <c r="D2498" s="126" t="n">
        <v>1</v>
      </c>
      <c r="E2498" s="127" t="n">
        <v>154.88</v>
      </c>
      <c r="F2498" s="128">
        <f>IF(C2498&lt;=30,5,IF(C2498&lt;=60,4,IF(C2498&lt;=120,3,IF(C2498&lt;=200,2,1))))</f>
        <v/>
      </c>
      <c r="G2498" s="128">
        <f>IF(D2498&gt;=20,5,IF(D2498&gt;=10,4,IF(D2498&gt;=5,3,IF(D2498&gt;=2,2,1))))</f>
        <v/>
      </c>
      <c r="H2498" s="128">
        <f>IF(E2498&gt;=5000,5,IF(E2498&gt;=2000,4,IF(E2498&gt;=800,3,IF(E2498&gt;=300,2,1))))</f>
        <v/>
      </c>
      <c r="I2498" s="126">
        <f>TEXT(F2498,"0")&amp;TEXT(G2498,"0")&amp;TEXT(H2498,"0")</f>
        <v/>
      </c>
      <c r="J2498" s="126">
        <f>IFERROR(XLOOKUP(I2498,'Segment Map'!A:A,'Segment Map'!B:B,"Need Attention"),"Need Attention")</f>
        <v/>
      </c>
      <c r="K2498" s="126">
        <f>IF(E2498&gt;=5000,"🏆 Platinum",IF(E2498&gt;=2000,"🥇 Gold",IF(E2498&gt;=800,"🥈 Silver","🥉 Bronze")))</f>
        <v/>
      </c>
      <c r="L2498" s="129" t="n">
        <v>40837</v>
      </c>
    </row>
    <row r="2499">
      <c r="A2499" s="122" t="n">
        <v>15743</v>
      </c>
      <c r="B2499" s="122" t="inlineStr">
        <is>
          <t>United Kingdom</t>
        </is>
      </c>
      <c r="C2499" s="122" t="n">
        <v>17</v>
      </c>
      <c r="D2499" s="122" t="n">
        <v>4</v>
      </c>
      <c r="E2499" s="123" t="n">
        <v>784.46</v>
      </c>
      <c r="F2499" s="124">
        <f>IF(C2499&lt;=30,5,IF(C2499&lt;=60,4,IF(C2499&lt;=120,3,IF(C2499&lt;=200,2,1))))</f>
        <v/>
      </c>
      <c r="G2499" s="124">
        <f>IF(D2499&gt;=20,5,IF(D2499&gt;=10,4,IF(D2499&gt;=5,3,IF(D2499&gt;=2,2,1))))</f>
        <v/>
      </c>
      <c r="H2499" s="124">
        <f>IF(E2499&gt;=5000,5,IF(E2499&gt;=2000,4,IF(E2499&gt;=800,3,IF(E2499&gt;=300,2,1))))</f>
        <v/>
      </c>
      <c r="I2499" s="122">
        <f>TEXT(F2499,"0")&amp;TEXT(G2499,"0")&amp;TEXT(H2499,"0")</f>
        <v/>
      </c>
      <c r="J2499" s="122">
        <f>IFERROR(XLOOKUP(I2499,'Segment Map'!A:A,'Segment Map'!B:B,"Need Attention"),"Need Attention")</f>
        <v/>
      </c>
      <c r="K2499" s="122">
        <f>IF(E2499&gt;=5000,"🏆 Platinum",IF(E2499&gt;=2000,"🥇 Gold",IF(E2499&gt;=800,"🥈 Silver","🥉 Bronze")))</f>
        <v/>
      </c>
      <c r="L2499" s="125" t="n">
        <v>40870</v>
      </c>
    </row>
    <row r="2500">
      <c r="A2500" s="126" t="n">
        <v>15744</v>
      </c>
      <c r="B2500" s="126" t="inlineStr">
        <is>
          <t>United Kingdom</t>
        </is>
      </c>
      <c r="C2500" s="126" t="n">
        <v>78</v>
      </c>
      <c r="D2500" s="126" t="n">
        <v>1</v>
      </c>
      <c r="E2500" s="127" t="n">
        <v>34.8</v>
      </c>
      <c r="F2500" s="128">
        <f>IF(C2500&lt;=30,5,IF(C2500&lt;=60,4,IF(C2500&lt;=120,3,IF(C2500&lt;=200,2,1))))</f>
        <v/>
      </c>
      <c r="G2500" s="128">
        <f>IF(D2500&gt;=20,5,IF(D2500&gt;=10,4,IF(D2500&gt;=5,3,IF(D2500&gt;=2,2,1))))</f>
        <v/>
      </c>
      <c r="H2500" s="128">
        <f>IF(E2500&gt;=5000,5,IF(E2500&gt;=2000,4,IF(E2500&gt;=800,3,IF(E2500&gt;=300,2,1))))</f>
        <v/>
      </c>
      <c r="I2500" s="126">
        <f>TEXT(F2500,"0")&amp;TEXT(G2500,"0")&amp;TEXT(H2500,"0")</f>
        <v/>
      </c>
      <c r="J2500" s="126">
        <f>IFERROR(XLOOKUP(I2500,'Segment Map'!A:A,'Segment Map'!B:B,"Need Attention"),"Need Attention")</f>
        <v/>
      </c>
      <c r="K2500" s="126">
        <f>IF(E2500&gt;=5000,"🏆 Platinum",IF(E2500&gt;=2000,"🥇 Gold",IF(E2500&gt;=800,"🥈 Silver","🥉 Bronze")))</f>
        <v/>
      </c>
      <c r="L2500" s="129" t="n">
        <v>40809</v>
      </c>
    </row>
    <row r="2501">
      <c r="A2501" s="122" t="n">
        <v>15745</v>
      </c>
      <c r="B2501" s="122" t="inlineStr">
        <is>
          <t>United Kingdom</t>
        </is>
      </c>
      <c r="C2501" s="122" t="n">
        <v>20</v>
      </c>
      <c r="D2501" s="122" t="n">
        <v>4</v>
      </c>
      <c r="E2501" s="123" t="n">
        <v>1094.59</v>
      </c>
      <c r="F2501" s="124">
        <f>IF(C2501&lt;=30,5,IF(C2501&lt;=60,4,IF(C2501&lt;=120,3,IF(C2501&lt;=200,2,1))))</f>
        <v/>
      </c>
      <c r="G2501" s="124">
        <f>IF(D2501&gt;=20,5,IF(D2501&gt;=10,4,IF(D2501&gt;=5,3,IF(D2501&gt;=2,2,1))))</f>
        <v/>
      </c>
      <c r="H2501" s="124">
        <f>IF(E2501&gt;=5000,5,IF(E2501&gt;=2000,4,IF(E2501&gt;=800,3,IF(E2501&gt;=300,2,1))))</f>
        <v/>
      </c>
      <c r="I2501" s="122">
        <f>TEXT(F2501,"0")&amp;TEXT(G2501,"0")&amp;TEXT(H2501,"0")</f>
        <v/>
      </c>
      <c r="J2501" s="122">
        <f>IFERROR(XLOOKUP(I2501,'Segment Map'!A:A,'Segment Map'!B:B,"Need Attention"),"Need Attention")</f>
        <v/>
      </c>
      <c r="K2501" s="122">
        <f>IF(E2501&gt;=5000,"🏆 Platinum",IF(E2501&gt;=2000,"🥇 Gold",IF(E2501&gt;=800,"🥈 Silver","🥉 Bronze")))</f>
        <v/>
      </c>
      <c r="L2501" s="125" t="n">
        <v>40867</v>
      </c>
    </row>
    <row r="2502">
      <c r="A2502" s="126" t="n">
        <v>15746</v>
      </c>
      <c r="B2502" s="126" t="inlineStr">
        <is>
          <t>United Kingdom</t>
        </is>
      </c>
      <c r="C2502" s="126" t="n">
        <v>135</v>
      </c>
      <c r="D2502" s="126" t="n">
        <v>1</v>
      </c>
      <c r="E2502" s="127" t="n">
        <v>196.88</v>
      </c>
      <c r="F2502" s="128">
        <f>IF(C2502&lt;=30,5,IF(C2502&lt;=60,4,IF(C2502&lt;=120,3,IF(C2502&lt;=200,2,1))))</f>
        <v/>
      </c>
      <c r="G2502" s="128">
        <f>IF(D2502&gt;=20,5,IF(D2502&gt;=10,4,IF(D2502&gt;=5,3,IF(D2502&gt;=2,2,1))))</f>
        <v/>
      </c>
      <c r="H2502" s="128">
        <f>IF(E2502&gt;=5000,5,IF(E2502&gt;=2000,4,IF(E2502&gt;=800,3,IF(E2502&gt;=300,2,1))))</f>
        <v/>
      </c>
      <c r="I2502" s="126">
        <f>TEXT(F2502,"0")&amp;TEXT(G2502,"0")&amp;TEXT(H2502,"0")</f>
        <v/>
      </c>
      <c r="J2502" s="126">
        <f>IFERROR(XLOOKUP(I2502,'Segment Map'!A:A,'Segment Map'!B:B,"Need Attention"),"Need Attention")</f>
        <v/>
      </c>
      <c r="K2502" s="126">
        <f>IF(E2502&gt;=5000,"🏆 Platinum",IF(E2502&gt;=2000,"🥇 Gold",IF(E2502&gt;=800,"🥈 Silver","🥉 Bronze")))</f>
        <v/>
      </c>
      <c r="L2502" s="129" t="n">
        <v>40752</v>
      </c>
    </row>
    <row r="2503">
      <c r="A2503" s="122" t="n">
        <v>15747</v>
      </c>
      <c r="B2503" s="122" t="inlineStr">
        <is>
          <t>United Kingdom</t>
        </is>
      </c>
      <c r="C2503" s="122" t="n">
        <v>13</v>
      </c>
      <c r="D2503" s="122" t="n">
        <v>3</v>
      </c>
      <c r="E2503" s="123" t="n">
        <v>974.04</v>
      </c>
      <c r="F2503" s="124">
        <f>IF(C2503&lt;=30,5,IF(C2503&lt;=60,4,IF(C2503&lt;=120,3,IF(C2503&lt;=200,2,1))))</f>
        <v/>
      </c>
      <c r="G2503" s="124">
        <f>IF(D2503&gt;=20,5,IF(D2503&gt;=10,4,IF(D2503&gt;=5,3,IF(D2503&gt;=2,2,1))))</f>
        <v/>
      </c>
      <c r="H2503" s="124">
        <f>IF(E2503&gt;=5000,5,IF(E2503&gt;=2000,4,IF(E2503&gt;=800,3,IF(E2503&gt;=300,2,1))))</f>
        <v/>
      </c>
      <c r="I2503" s="122">
        <f>TEXT(F2503,"0")&amp;TEXT(G2503,"0")&amp;TEXT(H2503,"0")</f>
        <v/>
      </c>
      <c r="J2503" s="122">
        <f>IFERROR(XLOOKUP(I2503,'Segment Map'!A:A,'Segment Map'!B:B,"Need Attention"),"Need Attention")</f>
        <v/>
      </c>
      <c r="K2503" s="122">
        <f>IF(E2503&gt;=5000,"🏆 Platinum",IF(E2503&gt;=2000,"🥇 Gold",IF(E2503&gt;=800,"🥈 Silver","🥉 Bronze")))</f>
        <v/>
      </c>
      <c r="L2503" s="125" t="n">
        <v>40874</v>
      </c>
    </row>
    <row r="2504">
      <c r="A2504" s="126" t="n">
        <v>15748</v>
      </c>
      <c r="B2504" s="126" t="inlineStr">
        <is>
          <t>United Kingdom</t>
        </is>
      </c>
      <c r="C2504" s="126" t="n">
        <v>41</v>
      </c>
      <c r="D2504" s="126" t="n">
        <v>1</v>
      </c>
      <c r="E2504" s="127" t="n">
        <v>149.31</v>
      </c>
      <c r="F2504" s="128">
        <f>IF(C2504&lt;=30,5,IF(C2504&lt;=60,4,IF(C2504&lt;=120,3,IF(C2504&lt;=200,2,1))))</f>
        <v/>
      </c>
      <c r="G2504" s="128">
        <f>IF(D2504&gt;=20,5,IF(D2504&gt;=10,4,IF(D2504&gt;=5,3,IF(D2504&gt;=2,2,1))))</f>
        <v/>
      </c>
      <c r="H2504" s="128">
        <f>IF(E2504&gt;=5000,5,IF(E2504&gt;=2000,4,IF(E2504&gt;=800,3,IF(E2504&gt;=300,2,1))))</f>
        <v/>
      </c>
      <c r="I2504" s="126">
        <f>TEXT(F2504,"0")&amp;TEXT(G2504,"0")&amp;TEXT(H2504,"0")</f>
        <v/>
      </c>
      <c r="J2504" s="126">
        <f>IFERROR(XLOOKUP(I2504,'Segment Map'!A:A,'Segment Map'!B:B,"Need Attention"),"Need Attention")</f>
        <v/>
      </c>
      <c r="K2504" s="126">
        <f>IF(E2504&gt;=5000,"🏆 Platinum",IF(E2504&gt;=2000,"🥇 Gold",IF(E2504&gt;=800,"🥈 Silver","🥉 Bronze")))</f>
        <v/>
      </c>
      <c r="L2504" s="129" t="n">
        <v>40846</v>
      </c>
    </row>
    <row r="2505">
      <c r="A2505" s="122" t="n">
        <v>15749</v>
      </c>
      <c r="B2505" s="122" t="inlineStr">
        <is>
          <t>United Kingdom</t>
        </is>
      </c>
      <c r="C2505" s="122" t="n">
        <v>236</v>
      </c>
      <c r="D2505" s="122" t="n">
        <v>3</v>
      </c>
      <c r="E2505" s="123" t="n">
        <v>44534.3</v>
      </c>
      <c r="F2505" s="124">
        <f>IF(C2505&lt;=30,5,IF(C2505&lt;=60,4,IF(C2505&lt;=120,3,IF(C2505&lt;=200,2,1))))</f>
        <v/>
      </c>
      <c r="G2505" s="124">
        <f>IF(D2505&gt;=20,5,IF(D2505&gt;=10,4,IF(D2505&gt;=5,3,IF(D2505&gt;=2,2,1))))</f>
        <v/>
      </c>
      <c r="H2505" s="124">
        <f>IF(E2505&gt;=5000,5,IF(E2505&gt;=2000,4,IF(E2505&gt;=800,3,IF(E2505&gt;=300,2,1))))</f>
        <v/>
      </c>
      <c r="I2505" s="122">
        <f>TEXT(F2505,"0")&amp;TEXT(G2505,"0")&amp;TEXT(H2505,"0")</f>
        <v/>
      </c>
      <c r="J2505" s="122">
        <f>IFERROR(XLOOKUP(I2505,'Segment Map'!A:A,'Segment Map'!B:B,"Need Attention"),"Need Attention")</f>
        <v/>
      </c>
      <c r="K2505" s="122">
        <f>IF(E2505&gt;=5000,"🏆 Platinum",IF(E2505&gt;=2000,"🥇 Gold",IF(E2505&gt;=800,"🥈 Silver","🥉 Bronze")))</f>
        <v/>
      </c>
      <c r="L2505" s="125" t="n">
        <v>40651</v>
      </c>
    </row>
    <row r="2506">
      <c r="A2506" s="126" t="n">
        <v>15750</v>
      </c>
      <c r="B2506" s="126" t="inlineStr">
        <is>
          <t>United Kingdom</t>
        </is>
      </c>
      <c r="C2506" s="126" t="n">
        <v>3</v>
      </c>
      <c r="D2506" s="126" t="n">
        <v>8</v>
      </c>
      <c r="E2506" s="127" t="n">
        <v>2465.48</v>
      </c>
      <c r="F2506" s="128">
        <f>IF(C2506&lt;=30,5,IF(C2506&lt;=60,4,IF(C2506&lt;=120,3,IF(C2506&lt;=200,2,1))))</f>
        <v/>
      </c>
      <c r="G2506" s="128">
        <f>IF(D2506&gt;=20,5,IF(D2506&gt;=10,4,IF(D2506&gt;=5,3,IF(D2506&gt;=2,2,1))))</f>
        <v/>
      </c>
      <c r="H2506" s="128">
        <f>IF(E2506&gt;=5000,5,IF(E2506&gt;=2000,4,IF(E2506&gt;=800,3,IF(E2506&gt;=300,2,1))))</f>
        <v/>
      </c>
      <c r="I2506" s="126">
        <f>TEXT(F2506,"0")&amp;TEXT(G2506,"0")&amp;TEXT(H2506,"0")</f>
        <v/>
      </c>
      <c r="J2506" s="126">
        <f>IFERROR(XLOOKUP(I2506,'Segment Map'!A:A,'Segment Map'!B:B,"Need Attention"),"Need Attention")</f>
        <v/>
      </c>
      <c r="K2506" s="126">
        <f>IF(E2506&gt;=5000,"🏆 Platinum",IF(E2506&gt;=2000,"🥇 Gold",IF(E2506&gt;=800,"🥈 Silver","🥉 Bronze")))</f>
        <v/>
      </c>
      <c r="L2506" s="129" t="n">
        <v>40884</v>
      </c>
    </row>
    <row r="2507">
      <c r="A2507" s="122" t="n">
        <v>15752</v>
      </c>
      <c r="B2507" s="122" t="inlineStr">
        <is>
          <t>United Kingdom</t>
        </is>
      </c>
      <c r="C2507" s="122" t="n">
        <v>40</v>
      </c>
      <c r="D2507" s="122" t="n">
        <v>7</v>
      </c>
      <c r="E2507" s="123" t="n">
        <v>2637.38</v>
      </c>
      <c r="F2507" s="124">
        <f>IF(C2507&lt;=30,5,IF(C2507&lt;=60,4,IF(C2507&lt;=120,3,IF(C2507&lt;=200,2,1))))</f>
        <v/>
      </c>
      <c r="G2507" s="124">
        <f>IF(D2507&gt;=20,5,IF(D2507&gt;=10,4,IF(D2507&gt;=5,3,IF(D2507&gt;=2,2,1))))</f>
        <v/>
      </c>
      <c r="H2507" s="124">
        <f>IF(E2507&gt;=5000,5,IF(E2507&gt;=2000,4,IF(E2507&gt;=800,3,IF(E2507&gt;=300,2,1))))</f>
        <v/>
      </c>
      <c r="I2507" s="122">
        <f>TEXT(F2507,"0")&amp;TEXT(G2507,"0")&amp;TEXT(H2507,"0")</f>
        <v/>
      </c>
      <c r="J2507" s="122">
        <f>IFERROR(XLOOKUP(I2507,'Segment Map'!A:A,'Segment Map'!B:B,"Need Attention"),"Need Attention")</f>
        <v/>
      </c>
      <c r="K2507" s="122">
        <f>IF(E2507&gt;=5000,"🏆 Platinum",IF(E2507&gt;=2000,"🥇 Gold",IF(E2507&gt;=800,"🥈 Silver","🥉 Bronze")))</f>
        <v/>
      </c>
      <c r="L2507" s="125" t="n">
        <v>40847</v>
      </c>
    </row>
    <row r="2508">
      <c r="A2508" s="126" t="n">
        <v>15753</v>
      </c>
      <c r="B2508" s="126" t="inlineStr">
        <is>
          <t>United Kingdom</t>
        </is>
      </c>
      <c r="C2508" s="126" t="n">
        <v>305</v>
      </c>
      <c r="D2508" s="126" t="n">
        <v>1</v>
      </c>
      <c r="E2508" s="127" t="n">
        <v>79.2</v>
      </c>
      <c r="F2508" s="128">
        <f>IF(C2508&lt;=30,5,IF(C2508&lt;=60,4,IF(C2508&lt;=120,3,IF(C2508&lt;=200,2,1))))</f>
        <v/>
      </c>
      <c r="G2508" s="128">
        <f>IF(D2508&gt;=20,5,IF(D2508&gt;=10,4,IF(D2508&gt;=5,3,IF(D2508&gt;=2,2,1))))</f>
        <v/>
      </c>
      <c r="H2508" s="128">
        <f>IF(E2508&gt;=5000,5,IF(E2508&gt;=2000,4,IF(E2508&gt;=800,3,IF(E2508&gt;=300,2,1))))</f>
        <v/>
      </c>
      <c r="I2508" s="126">
        <f>TEXT(F2508,"0")&amp;TEXT(G2508,"0")&amp;TEXT(H2508,"0")</f>
        <v/>
      </c>
      <c r="J2508" s="126">
        <f>IFERROR(XLOOKUP(I2508,'Segment Map'!A:A,'Segment Map'!B:B,"Need Attention"),"Need Attention")</f>
        <v/>
      </c>
      <c r="K2508" s="126">
        <f>IF(E2508&gt;=5000,"🏆 Platinum",IF(E2508&gt;=2000,"🥇 Gold",IF(E2508&gt;=800,"🥈 Silver","🥉 Bronze")))</f>
        <v/>
      </c>
      <c r="L2508" s="129" t="n">
        <v>40582</v>
      </c>
    </row>
    <row r="2509">
      <c r="A2509" s="122" t="n">
        <v>15754</v>
      </c>
      <c r="B2509" s="122" t="inlineStr">
        <is>
          <t>United Kingdom</t>
        </is>
      </c>
      <c r="C2509" s="122" t="n">
        <v>52</v>
      </c>
      <c r="D2509" s="122" t="n">
        <v>3</v>
      </c>
      <c r="E2509" s="123" t="n">
        <v>458.57</v>
      </c>
      <c r="F2509" s="124">
        <f>IF(C2509&lt;=30,5,IF(C2509&lt;=60,4,IF(C2509&lt;=120,3,IF(C2509&lt;=200,2,1))))</f>
        <v/>
      </c>
      <c r="G2509" s="124">
        <f>IF(D2509&gt;=20,5,IF(D2509&gt;=10,4,IF(D2509&gt;=5,3,IF(D2509&gt;=2,2,1))))</f>
        <v/>
      </c>
      <c r="H2509" s="124">
        <f>IF(E2509&gt;=5000,5,IF(E2509&gt;=2000,4,IF(E2509&gt;=800,3,IF(E2509&gt;=300,2,1))))</f>
        <v/>
      </c>
      <c r="I2509" s="122">
        <f>TEXT(F2509,"0")&amp;TEXT(G2509,"0")&amp;TEXT(H2509,"0")</f>
        <v/>
      </c>
      <c r="J2509" s="122">
        <f>IFERROR(XLOOKUP(I2509,'Segment Map'!A:A,'Segment Map'!B:B,"Need Attention"),"Need Attention")</f>
        <v/>
      </c>
      <c r="K2509" s="122">
        <f>IF(E2509&gt;=5000,"🏆 Platinum",IF(E2509&gt;=2000,"🥇 Gold",IF(E2509&gt;=800,"🥈 Silver","🥉 Bronze")))</f>
        <v/>
      </c>
      <c r="L2509" s="125" t="n">
        <v>40835</v>
      </c>
    </row>
    <row r="2510">
      <c r="A2510" s="126" t="n">
        <v>15755</v>
      </c>
      <c r="B2510" s="126" t="inlineStr">
        <is>
          <t>United Kingdom</t>
        </is>
      </c>
      <c r="C2510" s="126" t="n">
        <v>11</v>
      </c>
      <c r="D2510" s="126" t="n">
        <v>6</v>
      </c>
      <c r="E2510" s="127" t="n">
        <v>2364.25</v>
      </c>
      <c r="F2510" s="128">
        <f>IF(C2510&lt;=30,5,IF(C2510&lt;=60,4,IF(C2510&lt;=120,3,IF(C2510&lt;=200,2,1))))</f>
        <v/>
      </c>
      <c r="G2510" s="128">
        <f>IF(D2510&gt;=20,5,IF(D2510&gt;=10,4,IF(D2510&gt;=5,3,IF(D2510&gt;=2,2,1))))</f>
        <v/>
      </c>
      <c r="H2510" s="128">
        <f>IF(E2510&gt;=5000,5,IF(E2510&gt;=2000,4,IF(E2510&gt;=800,3,IF(E2510&gt;=300,2,1))))</f>
        <v/>
      </c>
      <c r="I2510" s="126">
        <f>TEXT(F2510,"0")&amp;TEXT(G2510,"0")&amp;TEXT(H2510,"0")</f>
        <v/>
      </c>
      <c r="J2510" s="126">
        <f>IFERROR(XLOOKUP(I2510,'Segment Map'!A:A,'Segment Map'!B:B,"Need Attention"),"Need Attention")</f>
        <v/>
      </c>
      <c r="K2510" s="126">
        <f>IF(E2510&gt;=5000,"🏆 Platinum",IF(E2510&gt;=2000,"🥇 Gold",IF(E2510&gt;=800,"🥈 Silver","🥉 Bronze")))</f>
        <v/>
      </c>
      <c r="L2510" s="129" t="n">
        <v>40876</v>
      </c>
    </row>
    <row r="2511">
      <c r="A2511" s="122" t="n">
        <v>15756</v>
      </c>
      <c r="B2511" s="122" t="inlineStr">
        <is>
          <t>United Kingdom</t>
        </is>
      </c>
      <c r="C2511" s="122" t="n">
        <v>62</v>
      </c>
      <c r="D2511" s="122" t="n">
        <v>4</v>
      </c>
      <c r="E2511" s="123" t="n">
        <v>532.96</v>
      </c>
      <c r="F2511" s="124">
        <f>IF(C2511&lt;=30,5,IF(C2511&lt;=60,4,IF(C2511&lt;=120,3,IF(C2511&lt;=200,2,1))))</f>
        <v/>
      </c>
      <c r="G2511" s="124">
        <f>IF(D2511&gt;=20,5,IF(D2511&gt;=10,4,IF(D2511&gt;=5,3,IF(D2511&gt;=2,2,1))))</f>
        <v/>
      </c>
      <c r="H2511" s="124">
        <f>IF(E2511&gt;=5000,5,IF(E2511&gt;=2000,4,IF(E2511&gt;=800,3,IF(E2511&gt;=300,2,1))))</f>
        <v/>
      </c>
      <c r="I2511" s="122">
        <f>TEXT(F2511,"0")&amp;TEXT(G2511,"0")&amp;TEXT(H2511,"0")</f>
        <v/>
      </c>
      <c r="J2511" s="122">
        <f>IFERROR(XLOOKUP(I2511,'Segment Map'!A:A,'Segment Map'!B:B,"Need Attention"),"Need Attention")</f>
        <v/>
      </c>
      <c r="K2511" s="122">
        <f>IF(E2511&gt;=5000,"🏆 Platinum",IF(E2511&gt;=2000,"🥇 Gold",IF(E2511&gt;=800,"🥈 Silver","🥉 Bronze")))</f>
        <v/>
      </c>
      <c r="L2511" s="125" t="n">
        <v>40825</v>
      </c>
    </row>
    <row r="2512">
      <c r="A2512" s="126" t="n">
        <v>15757</v>
      </c>
      <c r="B2512" s="126" t="inlineStr">
        <is>
          <t>United Kingdom</t>
        </is>
      </c>
      <c r="C2512" s="126" t="n">
        <v>66</v>
      </c>
      <c r="D2512" s="126" t="n">
        <v>2</v>
      </c>
      <c r="E2512" s="127" t="n">
        <v>714.42</v>
      </c>
      <c r="F2512" s="128">
        <f>IF(C2512&lt;=30,5,IF(C2512&lt;=60,4,IF(C2512&lt;=120,3,IF(C2512&lt;=200,2,1))))</f>
        <v/>
      </c>
      <c r="G2512" s="128">
        <f>IF(D2512&gt;=20,5,IF(D2512&gt;=10,4,IF(D2512&gt;=5,3,IF(D2512&gt;=2,2,1))))</f>
        <v/>
      </c>
      <c r="H2512" s="128">
        <f>IF(E2512&gt;=5000,5,IF(E2512&gt;=2000,4,IF(E2512&gt;=800,3,IF(E2512&gt;=300,2,1))))</f>
        <v/>
      </c>
      <c r="I2512" s="126">
        <f>TEXT(F2512,"0")&amp;TEXT(G2512,"0")&amp;TEXT(H2512,"0")</f>
        <v/>
      </c>
      <c r="J2512" s="126">
        <f>IFERROR(XLOOKUP(I2512,'Segment Map'!A:A,'Segment Map'!B:B,"Need Attention"),"Need Attention")</f>
        <v/>
      </c>
      <c r="K2512" s="126">
        <f>IF(E2512&gt;=5000,"🏆 Platinum",IF(E2512&gt;=2000,"🥇 Gold",IF(E2512&gt;=800,"🥈 Silver","🥉 Bronze")))</f>
        <v/>
      </c>
      <c r="L2512" s="129" t="n">
        <v>40821</v>
      </c>
    </row>
    <row r="2513">
      <c r="A2513" s="122" t="n">
        <v>15758</v>
      </c>
      <c r="B2513" s="122" t="inlineStr">
        <is>
          <t>United Kingdom</t>
        </is>
      </c>
      <c r="C2513" s="122" t="n">
        <v>25</v>
      </c>
      <c r="D2513" s="122" t="n">
        <v>1</v>
      </c>
      <c r="E2513" s="123" t="n">
        <v>205.25</v>
      </c>
      <c r="F2513" s="124">
        <f>IF(C2513&lt;=30,5,IF(C2513&lt;=60,4,IF(C2513&lt;=120,3,IF(C2513&lt;=200,2,1))))</f>
        <v/>
      </c>
      <c r="G2513" s="124">
        <f>IF(D2513&gt;=20,5,IF(D2513&gt;=10,4,IF(D2513&gt;=5,3,IF(D2513&gt;=2,2,1))))</f>
        <v/>
      </c>
      <c r="H2513" s="124">
        <f>IF(E2513&gt;=5000,5,IF(E2513&gt;=2000,4,IF(E2513&gt;=800,3,IF(E2513&gt;=300,2,1))))</f>
        <v/>
      </c>
      <c r="I2513" s="122">
        <f>TEXT(F2513,"0")&amp;TEXT(G2513,"0")&amp;TEXT(H2513,"0")</f>
        <v/>
      </c>
      <c r="J2513" s="122">
        <f>IFERROR(XLOOKUP(I2513,'Segment Map'!A:A,'Segment Map'!B:B,"Need Attention"),"Need Attention")</f>
        <v/>
      </c>
      <c r="K2513" s="122">
        <f>IF(E2513&gt;=5000,"🏆 Platinum",IF(E2513&gt;=2000,"🥇 Gold",IF(E2513&gt;=800,"🥈 Silver","🥉 Bronze")))</f>
        <v/>
      </c>
      <c r="L2513" s="125" t="n">
        <v>40862</v>
      </c>
    </row>
    <row r="2514">
      <c r="A2514" s="126" t="n">
        <v>15759</v>
      </c>
      <c r="B2514" s="126" t="inlineStr">
        <is>
          <t>United Kingdom</t>
        </is>
      </c>
      <c r="C2514" s="126" t="n">
        <v>219</v>
      </c>
      <c r="D2514" s="126" t="n">
        <v>3</v>
      </c>
      <c r="E2514" s="127" t="n">
        <v>253.04</v>
      </c>
      <c r="F2514" s="128">
        <f>IF(C2514&lt;=30,5,IF(C2514&lt;=60,4,IF(C2514&lt;=120,3,IF(C2514&lt;=200,2,1))))</f>
        <v/>
      </c>
      <c r="G2514" s="128">
        <f>IF(D2514&gt;=20,5,IF(D2514&gt;=10,4,IF(D2514&gt;=5,3,IF(D2514&gt;=2,2,1))))</f>
        <v/>
      </c>
      <c r="H2514" s="128">
        <f>IF(E2514&gt;=5000,5,IF(E2514&gt;=2000,4,IF(E2514&gt;=800,3,IF(E2514&gt;=300,2,1))))</f>
        <v/>
      </c>
      <c r="I2514" s="126">
        <f>TEXT(F2514,"0")&amp;TEXT(G2514,"0")&amp;TEXT(H2514,"0")</f>
        <v/>
      </c>
      <c r="J2514" s="126">
        <f>IFERROR(XLOOKUP(I2514,'Segment Map'!A:A,'Segment Map'!B:B,"Need Attention"),"Need Attention")</f>
        <v/>
      </c>
      <c r="K2514" s="126">
        <f>IF(E2514&gt;=5000,"🏆 Platinum",IF(E2514&gt;=2000,"🥇 Gold",IF(E2514&gt;=800,"🥈 Silver","🥉 Bronze")))</f>
        <v/>
      </c>
      <c r="L2514" s="129" t="n">
        <v>40668</v>
      </c>
    </row>
    <row r="2515">
      <c r="A2515" s="122" t="n">
        <v>15762</v>
      </c>
      <c r="B2515" s="122" t="inlineStr">
        <is>
          <t>United Kingdom</t>
        </is>
      </c>
      <c r="C2515" s="122" t="n">
        <v>66</v>
      </c>
      <c r="D2515" s="122" t="n">
        <v>2</v>
      </c>
      <c r="E2515" s="123" t="n">
        <v>583.75</v>
      </c>
      <c r="F2515" s="124">
        <f>IF(C2515&lt;=30,5,IF(C2515&lt;=60,4,IF(C2515&lt;=120,3,IF(C2515&lt;=200,2,1))))</f>
        <v/>
      </c>
      <c r="G2515" s="124">
        <f>IF(D2515&gt;=20,5,IF(D2515&gt;=10,4,IF(D2515&gt;=5,3,IF(D2515&gt;=2,2,1))))</f>
        <v/>
      </c>
      <c r="H2515" s="124">
        <f>IF(E2515&gt;=5000,5,IF(E2515&gt;=2000,4,IF(E2515&gt;=800,3,IF(E2515&gt;=300,2,1))))</f>
        <v/>
      </c>
      <c r="I2515" s="122">
        <f>TEXT(F2515,"0")&amp;TEXT(G2515,"0")&amp;TEXT(H2515,"0")</f>
        <v/>
      </c>
      <c r="J2515" s="122">
        <f>IFERROR(XLOOKUP(I2515,'Segment Map'!A:A,'Segment Map'!B:B,"Need Attention"),"Need Attention")</f>
        <v/>
      </c>
      <c r="K2515" s="122">
        <f>IF(E2515&gt;=5000,"🏆 Platinum",IF(E2515&gt;=2000,"🥇 Gold",IF(E2515&gt;=800,"🥈 Silver","🥉 Bronze")))</f>
        <v/>
      </c>
      <c r="L2515" s="125" t="n">
        <v>40821</v>
      </c>
    </row>
    <row r="2516">
      <c r="A2516" s="126" t="n">
        <v>15763</v>
      </c>
      <c r="B2516" s="126" t="inlineStr">
        <is>
          <t>United Kingdom</t>
        </is>
      </c>
      <c r="C2516" s="126" t="n">
        <v>32</v>
      </c>
      <c r="D2516" s="126" t="n">
        <v>2</v>
      </c>
      <c r="E2516" s="127" t="n">
        <v>1086.92</v>
      </c>
      <c r="F2516" s="128">
        <f>IF(C2516&lt;=30,5,IF(C2516&lt;=60,4,IF(C2516&lt;=120,3,IF(C2516&lt;=200,2,1))))</f>
        <v/>
      </c>
      <c r="G2516" s="128">
        <f>IF(D2516&gt;=20,5,IF(D2516&gt;=10,4,IF(D2516&gt;=5,3,IF(D2516&gt;=2,2,1))))</f>
        <v/>
      </c>
      <c r="H2516" s="128">
        <f>IF(E2516&gt;=5000,5,IF(E2516&gt;=2000,4,IF(E2516&gt;=800,3,IF(E2516&gt;=300,2,1))))</f>
        <v/>
      </c>
      <c r="I2516" s="126">
        <f>TEXT(F2516,"0")&amp;TEXT(G2516,"0")&amp;TEXT(H2516,"0")</f>
        <v/>
      </c>
      <c r="J2516" s="126">
        <f>IFERROR(XLOOKUP(I2516,'Segment Map'!A:A,'Segment Map'!B:B,"Need Attention"),"Need Attention")</f>
        <v/>
      </c>
      <c r="K2516" s="126">
        <f>IF(E2516&gt;=5000,"🏆 Platinum",IF(E2516&gt;=2000,"🥇 Gold",IF(E2516&gt;=800,"🥈 Silver","🥉 Bronze")))</f>
        <v/>
      </c>
      <c r="L2516" s="129" t="n">
        <v>40855</v>
      </c>
    </row>
    <row r="2517">
      <c r="A2517" s="122" t="n">
        <v>15764</v>
      </c>
      <c r="B2517" s="122" t="inlineStr">
        <is>
          <t>United Kingdom</t>
        </is>
      </c>
      <c r="C2517" s="122" t="n">
        <v>89</v>
      </c>
      <c r="D2517" s="122" t="n">
        <v>6</v>
      </c>
      <c r="E2517" s="123" t="n">
        <v>3279.97</v>
      </c>
      <c r="F2517" s="124">
        <f>IF(C2517&lt;=30,5,IF(C2517&lt;=60,4,IF(C2517&lt;=120,3,IF(C2517&lt;=200,2,1))))</f>
        <v/>
      </c>
      <c r="G2517" s="124">
        <f>IF(D2517&gt;=20,5,IF(D2517&gt;=10,4,IF(D2517&gt;=5,3,IF(D2517&gt;=2,2,1))))</f>
        <v/>
      </c>
      <c r="H2517" s="124">
        <f>IF(E2517&gt;=5000,5,IF(E2517&gt;=2000,4,IF(E2517&gt;=800,3,IF(E2517&gt;=300,2,1))))</f>
        <v/>
      </c>
      <c r="I2517" s="122">
        <f>TEXT(F2517,"0")&amp;TEXT(G2517,"0")&amp;TEXT(H2517,"0")</f>
        <v/>
      </c>
      <c r="J2517" s="122">
        <f>IFERROR(XLOOKUP(I2517,'Segment Map'!A:A,'Segment Map'!B:B,"Need Attention"),"Need Attention")</f>
        <v/>
      </c>
      <c r="K2517" s="122">
        <f>IF(E2517&gt;=5000,"🏆 Platinum",IF(E2517&gt;=2000,"🥇 Gold",IF(E2517&gt;=800,"🥈 Silver","🥉 Bronze")))</f>
        <v/>
      </c>
      <c r="L2517" s="125" t="n">
        <v>40798</v>
      </c>
    </row>
    <row r="2518">
      <c r="A2518" s="126" t="n">
        <v>15766</v>
      </c>
      <c r="B2518" s="126" t="inlineStr">
        <is>
          <t>United Kingdom</t>
        </is>
      </c>
      <c r="C2518" s="126" t="n">
        <v>65</v>
      </c>
      <c r="D2518" s="126" t="n">
        <v>1</v>
      </c>
      <c r="E2518" s="127" t="n">
        <v>315.06</v>
      </c>
      <c r="F2518" s="128">
        <f>IF(C2518&lt;=30,5,IF(C2518&lt;=60,4,IF(C2518&lt;=120,3,IF(C2518&lt;=200,2,1))))</f>
        <v/>
      </c>
      <c r="G2518" s="128">
        <f>IF(D2518&gt;=20,5,IF(D2518&gt;=10,4,IF(D2518&gt;=5,3,IF(D2518&gt;=2,2,1))))</f>
        <v/>
      </c>
      <c r="H2518" s="128">
        <f>IF(E2518&gt;=5000,5,IF(E2518&gt;=2000,4,IF(E2518&gt;=800,3,IF(E2518&gt;=300,2,1))))</f>
        <v/>
      </c>
      <c r="I2518" s="126">
        <f>TEXT(F2518,"0")&amp;TEXT(G2518,"0")&amp;TEXT(H2518,"0")</f>
        <v/>
      </c>
      <c r="J2518" s="126">
        <f>IFERROR(XLOOKUP(I2518,'Segment Map'!A:A,'Segment Map'!B:B,"Need Attention"),"Need Attention")</f>
        <v/>
      </c>
      <c r="K2518" s="126">
        <f>IF(E2518&gt;=5000,"🏆 Platinum",IF(E2518&gt;=2000,"🥇 Gold",IF(E2518&gt;=800,"🥈 Silver","🥉 Bronze")))</f>
        <v/>
      </c>
      <c r="L2518" s="129" t="n">
        <v>40822</v>
      </c>
    </row>
    <row r="2519">
      <c r="A2519" s="122" t="n">
        <v>15768</v>
      </c>
      <c r="B2519" s="122" t="inlineStr">
        <is>
          <t>United Kingdom</t>
        </is>
      </c>
      <c r="C2519" s="122" t="n">
        <v>116</v>
      </c>
      <c r="D2519" s="122" t="n">
        <v>3</v>
      </c>
      <c r="E2519" s="123" t="n">
        <v>621.83</v>
      </c>
      <c r="F2519" s="124">
        <f>IF(C2519&lt;=30,5,IF(C2519&lt;=60,4,IF(C2519&lt;=120,3,IF(C2519&lt;=200,2,1))))</f>
        <v/>
      </c>
      <c r="G2519" s="124">
        <f>IF(D2519&gt;=20,5,IF(D2519&gt;=10,4,IF(D2519&gt;=5,3,IF(D2519&gt;=2,2,1))))</f>
        <v/>
      </c>
      <c r="H2519" s="124">
        <f>IF(E2519&gt;=5000,5,IF(E2519&gt;=2000,4,IF(E2519&gt;=800,3,IF(E2519&gt;=300,2,1))))</f>
        <v/>
      </c>
      <c r="I2519" s="122">
        <f>TEXT(F2519,"0")&amp;TEXT(G2519,"0")&amp;TEXT(H2519,"0")</f>
        <v/>
      </c>
      <c r="J2519" s="122">
        <f>IFERROR(XLOOKUP(I2519,'Segment Map'!A:A,'Segment Map'!B:B,"Need Attention"),"Need Attention")</f>
        <v/>
      </c>
      <c r="K2519" s="122">
        <f>IF(E2519&gt;=5000,"🏆 Platinum",IF(E2519&gt;=2000,"🥇 Gold",IF(E2519&gt;=800,"🥈 Silver","🥉 Bronze")))</f>
        <v/>
      </c>
      <c r="L2519" s="125" t="n">
        <v>40771</v>
      </c>
    </row>
    <row r="2520">
      <c r="A2520" s="126" t="n">
        <v>15769</v>
      </c>
      <c r="B2520" s="126" t="inlineStr">
        <is>
          <t>United Kingdom</t>
        </is>
      </c>
      <c r="C2520" s="126" t="n">
        <v>8</v>
      </c>
      <c r="D2520" s="126" t="n">
        <v>26</v>
      </c>
      <c r="E2520" s="127" t="n">
        <v>56252.72</v>
      </c>
      <c r="F2520" s="128">
        <f>IF(C2520&lt;=30,5,IF(C2520&lt;=60,4,IF(C2520&lt;=120,3,IF(C2520&lt;=200,2,1))))</f>
        <v/>
      </c>
      <c r="G2520" s="128">
        <f>IF(D2520&gt;=20,5,IF(D2520&gt;=10,4,IF(D2520&gt;=5,3,IF(D2520&gt;=2,2,1))))</f>
        <v/>
      </c>
      <c r="H2520" s="128">
        <f>IF(E2520&gt;=5000,5,IF(E2520&gt;=2000,4,IF(E2520&gt;=800,3,IF(E2520&gt;=300,2,1))))</f>
        <v/>
      </c>
      <c r="I2520" s="126">
        <f>TEXT(F2520,"0")&amp;TEXT(G2520,"0")&amp;TEXT(H2520,"0")</f>
        <v/>
      </c>
      <c r="J2520" s="126">
        <f>IFERROR(XLOOKUP(I2520,'Segment Map'!A:A,'Segment Map'!B:B,"Need Attention"),"Need Attention")</f>
        <v/>
      </c>
      <c r="K2520" s="126">
        <f>IF(E2520&gt;=5000,"🏆 Platinum",IF(E2520&gt;=2000,"🥇 Gold",IF(E2520&gt;=800,"🥈 Silver","🥉 Bronze")))</f>
        <v/>
      </c>
      <c r="L2520" s="129" t="n">
        <v>40879</v>
      </c>
    </row>
    <row r="2521">
      <c r="A2521" s="122" t="n">
        <v>15773</v>
      </c>
      <c r="B2521" s="122" t="inlineStr">
        <is>
          <t>United Kingdom</t>
        </is>
      </c>
      <c r="C2521" s="122" t="n">
        <v>6</v>
      </c>
      <c r="D2521" s="122" t="n">
        <v>1</v>
      </c>
      <c r="E2521" s="123" t="n">
        <v>635.6799999999999</v>
      </c>
      <c r="F2521" s="124">
        <f>IF(C2521&lt;=30,5,IF(C2521&lt;=60,4,IF(C2521&lt;=120,3,IF(C2521&lt;=200,2,1))))</f>
        <v/>
      </c>
      <c r="G2521" s="124">
        <f>IF(D2521&gt;=20,5,IF(D2521&gt;=10,4,IF(D2521&gt;=5,3,IF(D2521&gt;=2,2,1))))</f>
        <v/>
      </c>
      <c r="H2521" s="124">
        <f>IF(E2521&gt;=5000,5,IF(E2521&gt;=2000,4,IF(E2521&gt;=800,3,IF(E2521&gt;=300,2,1))))</f>
        <v/>
      </c>
      <c r="I2521" s="122">
        <f>TEXT(F2521,"0")&amp;TEXT(G2521,"0")&amp;TEXT(H2521,"0")</f>
        <v/>
      </c>
      <c r="J2521" s="122">
        <f>IFERROR(XLOOKUP(I2521,'Segment Map'!A:A,'Segment Map'!B:B,"Need Attention"),"Need Attention")</f>
        <v/>
      </c>
      <c r="K2521" s="122">
        <f>IF(E2521&gt;=5000,"🏆 Platinum",IF(E2521&gt;=2000,"🥇 Gold",IF(E2521&gt;=800,"🥈 Silver","🥉 Bronze")))</f>
        <v/>
      </c>
      <c r="L2521" s="125" t="n">
        <v>40881</v>
      </c>
    </row>
    <row r="2522">
      <c r="A2522" s="126" t="n">
        <v>15774</v>
      </c>
      <c r="B2522" s="126" t="inlineStr">
        <is>
          <t>United Kingdom</t>
        </is>
      </c>
      <c r="C2522" s="126" t="n">
        <v>69</v>
      </c>
      <c r="D2522" s="126" t="n">
        <v>1</v>
      </c>
      <c r="E2522" s="127" t="n">
        <v>270.8</v>
      </c>
      <c r="F2522" s="128">
        <f>IF(C2522&lt;=30,5,IF(C2522&lt;=60,4,IF(C2522&lt;=120,3,IF(C2522&lt;=200,2,1))))</f>
        <v/>
      </c>
      <c r="G2522" s="128">
        <f>IF(D2522&gt;=20,5,IF(D2522&gt;=10,4,IF(D2522&gt;=5,3,IF(D2522&gt;=2,2,1))))</f>
        <v/>
      </c>
      <c r="H2522" s="128">
        <f>IF(E2522&gt;=5000,5,IF(E2522&gt;=2000,4,IF(E2522&gt;=800,3,IF(E2522&gt;=300,2,1))))</f>
        <v/>
      </c>
      <c r="I2522" s="126">
        <f>TEXT(F2522,"0")&amp;TEXT(G2522,"0")&amp;TEXT(H2522,"0")</f>
        <v/>
      </c>
      <c r="J2522" s="126">
        <f>IFERROR(XLOOKUP(I2522,'Segment Map'!A:A,'Segment Map'!B:B,"Need Attention"),"Need Attention")</f>
        <v/>
      </c>
      <c r="K2522" s="126">
        <f>IF(E2522&gt;=5000,"🏆 Platinum",IF(E2522&gt;=2000,"🥇 Gold",IF(E2522&gt;=800,"🥈 Silver","🥉 Bronze")))</f>
        <v/>
      </c>
      <c r="L2522" s="129" t="n">
        <v>40818</v>
      </c>
    </row>
    <row r="2523">
      <c r="A2523" s="122" t="n">
        <v>15775</v>
      </c>
      <c r="B2523" s="122" t="inlineStr">
        <is>
          <t>United Kingdom</t>
        </is>
      </c>
      <c r="C2523" s="122" t="n">
        <v>246</v>
      </c>
      <c r="D2523" s="122" t="n">
        <v>1</v>
      </c>
      <c r="E2523" s="123" t="n">
        <v>104.9</v>
      </c>
      <c r="F2523" s="124">
        <f>IF(C2523&lt;=30,5,IF(C2523&lt;=60,4,IF(C2523&lt;=120,3,IF(C2523&lt;=200,2,1))))</f>
        <v/>
      </c>
      <c r="G2523" s="124">
        <f>IF(D2523&gt;=20,5,IF(D2523&gt;=10,4,IF(D2523&gt;=5,3,IF(D2523&gt;=2,2,1))))</f>
        <v/>
      </c>
      <c r="H2523" s="124">
        <f>IF(E2523&gt;=5000,5,IF(E2523&gt;=2000,4,IF(E2523&gt;=800,3,IF(E2523&gt;=300,2,1))))</f>
        <v/>
      </c>
      <c r="I2523" s="122">
        <f>TEXT(F2523,"0")&amp;TEXT(G2523,"0")&amp;TEXT(H2523,"0")</f>
        <v/>
      </c>
      <c r="J2523" s="122">
        <f>IFERROR(XLOOKUP(I2523,'Segment Map'!A:A,'Segment Map'!B:B,"Need Attention"),"Need Attention")</f>
        <v/>
      </c>
      <c r="K2523" s="122">
        <f>IF(E2523&gt;=5000,"🏆 Platinum",IF(E2523&gt;=2000,"🥇 Gold",IF(E2523&gt;=800,"🥈 Silver","🥉 Bronze")))</f>
        <v/>
      </c>
      <c r="L2523" s="125" t="n">
        <v>40641</v>
      </c>
    </row>
    <row r="2524">
      <c r="A2524" s="126" t="n">
        <v>15776</v>
      </c>
      <c r="B2524" s="126" t="inlineStr">
        <is>
          <t>United Kingdom</t>
        </is>
      </c>
      <c r="C2524" s="126" t="n">
        <v>134</v>
      </c>
      <c r="D2524" s="126" t="n">
        <v>1</v>
      </c>
      <c r="E2524" s="127" t="n">
        <v>241.62</v>
      </c>
      <c r="F2524" s="128">
        <f>IF(C2524&lt;=30,5,IF(C2524&lt;=60,4,IF(C2524&lt;=120,3,IF(C2524&lt;=200,2,1))))</f>
        <v/>
      </c>
      <c r="G2524" s="128">
        <f>IF(D2524&gt;=20,5,IF(D2524&gt;=10,4,IF(D2524&gt;=5,3,IF(D2524&gt;=2,2,1))))</f>
        <v/>
      </c>
      <c r="H2524" s="128">
        <f>IF(E2524&gt;=5000,5,IF(E2524&gt;=2000,4,IF(E2524&gt;=800,3,IF(E2524&gt;=300,2,1))))</f>
        <v/>
      </c>
      <c r="I2524" s="126">
        <f>TEXT(F2524,"0")&amp;TEXT(G2524,"0")&amp;TEXT(H2524,"0")</f>
        <v/>
      </c>
      <c r="J2524" s="126">
        <f>IFERROR(XLOOKUP(I2524,'Segment Map'!A:A,'Segment Map'!B:B,"Need Attention"),"Need Attention")</f>
        <v/>
      </c>
      <c r="K2524" s="126">
        <f>IF(E2524&gt;=5000,"🏆 Platinum",IF(E2524&gt;=2000,"🥇 Gold",IF(E2524&gt;=800,"🥈 Silver","🥉 Bronze")))</f>
        <v/>
      </c>
      <c r="L2524" s="129" t="n">
        <v>40753</v>
      </c>
    </row>
    <row r="2525">
      <c r="A2525" s="122" t="n">
        <v>15777</v>
      </c>
      <c r="B2525" s="122" t="inlineStr">
        <is>
          <t>United Kingdom</t>
        </is>
      </c>
      <c r="C2525" s="122" t="n">
        <v>242</v>
      </c>
      <c r="D2525" s="122" t="n">
        <v>4</v>
      </c>
      <c r="E2525" s="123" t="n">
        <v>1047.11</v>
      </c>
      <c r="F2525" s="124">
        <f>IF(C2525&lt;=30,5,IF(C2525&lt;=60,4,IF(C2525&lt;=120,3,IF(C2525&lt;=200,2,1))))</f>
        <v/>
      </c>
      <c r="G2525" s="124">
        <f>IF(D2525&gt;=20,5,IF(D2525&gt;=10,4,IF(D2525&gt;=5,3,IF(D2525&gt;=2,2,1))))</f>
        <v/>
      </c>
      <c r="H2525" s="124">
        <f>IF(E2525&gt;=5000,5,IF(E2525&gt;=2000,4,IF(E2525&gt;=800,3,IF(E2525&gt;=300,2,1))))</f>
        <v/>
      </c>
      <c r="I2525" s="122">
        <f>TEXT(F2525,"0")&amp;TEXT(G2525,"0")&amp;TEXT(H2525,"0")</f>
        <v/>
      </c>
      <c r="J2525" s="122">
        <f>IFERROR(XLOOKUP(I2525,'Segment Map'!A:A,'Segment Map'!B:B,"Need Attention"),"Need Attention")</f>
        <v/>
      </c>
      <c r="K2525" s="122">
        <f>IF(E2525&gt;=5000,"🏆 Platinum",IF(E2525&gt;=2000,"🥇 Gold",IF(E2525&gt;=800,"🥈 Silver","🥉 Bronze")))</f>
        <v/>
      </c>
      <c r="L2525" s="125" t="n">
        <v>40645</v>
      </c>
    </row>
    <row r="2526">
      <c r="A2526" s="126" t="n">
        <v>15780</v>
      </c>
      <c r="B2526" s="126" t="inlineStr">
        <is>
          <t>United Kingdom</t>
        </is>
      </c>
      <c r="C2526" s="126" t="n">
        <v>184</v>
      </c>
      <c r="D2526" s="126" t="n">
        <v>3</v>
      </c>
      <c r="E2526" s="127" t="n">
        <v>475.28</v>
      </c>
      <c r="F2526" s="128">
        <f>IF(C2526&lt;=30,5,IF(C2526&lt;=60,4,IF(C2526&lt;=120,3,IF(C2526&lt;=200,2,1))))</f>
        <v/>
      </c>
      <c r="G2526" s="128">
        <f>IF(D2526&gt;=20,5,IF(D2526&gt;=10,4,IF(D2526&gt;=5,3,IF(D2526&gt;=2,2,1))))</f>
        <v/>
      </c>
      <c r="H2526" s="128">
        <f>IF(E2526&gt;=5000,5,IF(E2526&gt;=2000,4,IF(E2526&gt;=800,3,IF(E2526&gt;=300,2,1))))</f>
        <v/>
      </c>
      <c r="I2526" s="126">
        <f>TEXT(F2526,"0")&amp;TEXT(G2526,"0")&amp;TEXT(H2526,"0")</f>
        <v/>
      </c>
      <c r="J2526" s="126">
        <f>IFERROR(XLOOKUP(I2526,'Segment Map'!A:A,'Segment Map'!B:B,"Need Attention"),"Need Attention")</f>
        <v/>
      </c>
      <c r="K2526" s="126">
        <f>IF(E2526&gt;=5000,"🏆 Platinum",IF(E2526&gt;=2000,"🥇 Gold",IF(E2526&gt;=800,"🥈 Silver","🥉 Bronze")))</f>
        <v/>
      </c>
      <c r="L2526" s="129" t="n">
        <v>40703</v>
      </c>
    </row>
    <row r="2527">
      <c r="A2527" s="122" t="n">
        <v>15781</v>
      </c>
      <c r="B2527" s="122" t="inlineStr">
        <is>
          <t>United Kingdom</t>
        </is>
      </c>
      <c r="C2527" s="122" t="n">
        <v>26</v>
      </c>
      <c r="D2527" s="122" t="n">
        <v>3</v>
      </c>
      <c r="E2527" s="123" t="n">
        <v>345.46</v>
      </c>
      <c r="F2527" s="124">
        <f>IF(C2527&lt;=30,5,IF(C2527&lt;=60,4,IF(C2527&lt;=120,3,IF(C2527&lt;=200,2,1))))</f>
        <v/>
      </c>
      <c r="G2527" s="124">
        <f>IF(D2527&gt;=20,5,IF(D2527&gt;=10,4,IF(D2527&gt;=5,3,IF(D2527&gt;=2,2,1))))</f>
        <v/>
      </c>
      <c r="H2527" s="124">
        <f>IF(E2527&gt;=5000,5,IF(E2527&gt;=2000,4,IF(E2527&gt;=800,3,IF(E2527&gt;=300,2,1))))</f>
        <v/>
      </c>
      <c r="I2527" s="122">
        <f>TEXT(F2527,"0")&amp;TEXT(G2527,"0")&amp;TEXT(H2527,"0")</f>
        <v/>
      </c>
      <c r="J2527" s="122">
        <f>IFERROR(XLOOKUP(I2527,'Segment Map'!A:A,'Segment Map'!B:B,"Need Attention"),"Need Attention")</f>
        <v/>
      </c>
      <c r="K2527" s="122">
        <f>IF(E2527&gt;=5000,"🏆 Platinum",IF(E2527&gt;=2000,"🥇 Gold",IF(E2527&gt;=800,"🥈 Silver","🥉 Bronze")))</f>
        <v/>
      </c>
      <c r="L2527" s="125" t="n">
        <v>40861</v>
      </c>
    </row>
    <row r="2528">
      <c r="A2528" s="126" t="n">
        <v>15782</v>
      </c>
      <c r="B2528" s="126" t="inlineStr">
        <is>
          <t>United Kingdom</t>
        </is>
      </c>
      <c r="C2528" s="126" t="n">
        <v>10</v>
      </c>
      <c r="D2528" s="126" t="n">
        <v>3</v>
      </c>
      <c r="E2528" s="127" t="n">
        <v>2614.74</v>
      </c>
      <c r="F2528" s="128">
        <f>IF(C2528&lt;=30,5,IF(C2528&lt;=60,4,IF(C2528&lt;=120,3,IF(C2528&lt;=200,2,1))))</f>
        <v/>
      </c>
      <c r="G2528" s="128">
        <f>IF(D2528&gt;=20,5,IF(D2528&gt;=10,4,IF(D2528&gt;=5,3,IF(D2528&gt;=2,2,1))))</f>
        <v/>
      </c>
      <c r="H2528" s="128">
        <f>IF(E2528&gt;=5000,5,IF(E2528&gt;=2000,4,IF(E2528&gt;=800,3,IF(E2528&gt;=300,2,1))))</f>
        <v/>
      </c>
      <c r="I2528" s="126">
        <f>TEXT(F2528,"0")&amp;TEXT(G2528,"0")&amp;TEXT(H2528,"0")</f>
        <v/>
      </c>
      <c r="J2528" s="126">
        <f>IFERROR(XLOOKUP(I2528,'Segment Map'!A:A,'Segment Map'!B:B,"Need Attention"),"Need Attention")</f>
        <v/>
      </c>
      <c r="K2528" s="126">
        <f>IF(E2528&gt;=5000,"🏆 Platinum",IF(E2528&gt;=2000,"🥇 Gold",IF(E2528&gt;=800,"🥈 Silver","🥉 Bronze")))</f>
        <v/>
      </c>
      <c r="L2528" s="129" t="n">
        <v>40877</v>
      </c>
    </row>
    <row r="2529">
      <c r="A2529" s="122" t="n">
        <v>15783</v>
      </c>
      <c r="B2529" s="122" t="inlineStr">
        <is>
          <t>United Kingdom</t>
        </is>
      </c>
      <c r="C2529" s="122" t="n">
        <v>11</v>
      </c>
      <c r="D2529" s="122" t="n">
        <v>1</v>
      </c>
      <c r="E2529" s="123" t="n">
        <v>246.3</v>
      </c>
      <c r="F2529" s="124">
        <f>IF(C2529&lt;=30,5,IF(C2529&lt;=60,4,IF(C2529&lt;=120,3,IF(C2529&lt;=200,2,1))))</f>
        <v/>
      </c>
      <c r="G2529" s="124">
        <f>IF(D2529&gt;=20,5,IF(D2529&gt;=10,4,IF(D2529&gt;=5,3,IF(D2529&gt;=2,2,1))))</f>
        <v/>
      </c>
      <c r="H2529" s="124">
        <f>IF(E2529&gt;=5000,5,IF(E2529&gt;=2000,4,IF(E2529&gt;=800,3,IF(E2529&gt;=300,2,1))))</f>
        <v/>
      </c>
      <c r="I2529" s="122">
        <f>TEXT(F2529,"0")&amp;TEXT(G2529,"0")&amp;TEXT(H2529,"0")</f>
        <v/>
      </c>
      <c r="J2529" s="122">
        <f>IFERROR(XLOOKUP(I2529,'Segment Map'!A:A,'Segment Map'!B:B,"Need Attention"),"Need Attention")</f>
        <v/>
      </c>
      <c r="K2529" s="122">
        <f>IF(E2529&gt;=5000,"🏆 Platinum",IF(E2529&gt;=2000,"🥇 Gold",IF(E2529&gt;=800,"🥈 Silver","🥉 Bronze")))</f>
        <v/>
      </c>
      <c r="L2529" s="125" t="n">
        <v>40876</v>
      </c>
    </row>
    <row r="2530">
      <c r="A2530" s="126" t="n">
        <v>15785</v>
      </c>
      <c r="B2530" s="126" t="inlineStr">
        <is>
          <t>United Kingdom</t>
        </is>
      </c>
      <c r="C2530" s="126" t="n">
        <v>33</v>
      </c>
      <c r="D2530" s="126" t="n">
        <v>5</v>
      </c>
      <c r="E2530" s="127" t="n">
        <v>2328.97</v>
      </c>
      <c r="F2530" s="128">
        <f>IF(C2530&lt;=30,5,IF(C2530&lt;=60,4,IF(C2530&lt;=120,3,IF(C2530&lt;=200,2,1))))</f>
        <v/>
      </c>
      <c r="G2530" s="128">
        <f>IF(D2530&gt;=20,5,IF(D2530&gt;=10,4,IF(D2530&gt;=5,3,IF(D2530&gt;=2,2,1))))</f>
        <v/>
      </c>
      <c r="H2530" s="128">
        <f>IF(E2530&gt;=5000,5,IF(E2530&gt;=2000,4,IF(E2530&gt;=800,3,IF(E2530&gt;=300,2,1))))</f>
        <v/>
      </c>
      <c r="I2530" s="126">
        <f>TEXT(F2530,"0")&amp;TEXT(G2530,"0")&amp;TEXT(H2530,"0")</f>
        <v/>
      </c>
      <c r="J2530" s="126">
        <f>IFERROR(XLOOKUP(I2530,'Segment Map'!A:A,'Segment Map'!B:B,"Need Attention"),"Need Attention")</f>
        <v/>
      </c>
      <c r="K2530" s="126">
        <f>IF(E2530&gt;=5000,"🏆 Platinum",IF(E2530&gt;=2000,"🥇 Gold",IF(E2530&gt;=800,"🥈 Silver","🥉 Bronze")))</f>
        <v/>
      </c>
      <c r="L2530" s="129" t="n">
        <v>40854</v>
      </c>
    </row>
    <row r="2531">
      <c r="A2531" s="122" t="n">
        <v>15786</v>
      </c>
      <c r="B2531" s="122" t="inlineStr">
        <is>
          <t>United Kingdom</t>
        </is>
      </c>
      <c r="C2531" s="122" t="n">
        <v>47</v>
      </c>
      <c r="D2531" s="122" t="n">
        <v>3</v>
      </c>
      <c r="E2531" s="123" t="n">
        <v>4932.2</v>
      </c>
      <c r="F2531" s="124">
        <f>IF(C2531&lt;=30,5,IF(C2531&lt;=60,4,IF(C2531&lt;=120,3,IF(C2531&lt;=200,2,1))))</f>
        <v/>
      </c>
      <c r="G2531" s="124">
        <f>IF(D2531&gt;=20,5,IF(D2531&gt;=10,4,IF(D2531&gt;=5,3,IF(D2531&gt;=2,2,1))))</f>
        <v/>
      </c>
      <c r="H2531" s="124">
        <f>IF(E2531&gt;=5000,5,IF(E2531&gt;=2000,4,IF(E2531&gt;=800,3,IF(E2531&gt;=300,2,1))))</f>
        <v/>
      </c>
      <c r="I2531" s="122">
        <f>TEXT(F2531,"0")&amp;TEXT(G2531,"0")&amp;TEXT(H2531,"0")</f>
        <v/>
      </c>
      <c r="J2531" s="122">
        <f>IFERROR(XLOOKUP(I2531,'Segment Map'!A:A,'Segment Map'!B:B,"Need Attention"),"Need Attention")</f>
        <v/>
      </c>
      <c r="K2531" s="122">
        <f>IF(E2531&gt;=5000,"🏆 Platinum",IF(E2531&gt;=2000,"🥇 Gold",IF(E2531&gt;=800,"🥈 Silver","🥉 Bronze")))</f>
        <v/>
      </c>
      <c r="L2531" s="125" t="n">
        <v>40840</v>
      </c>
    </row>
    <row r="2532">
      <c r="A2532" s="126" t="n">
        <v>15787</v>
      </c>
      <c r="B2532" s="126" t="inlineStr">
        <is>
          <t>United Kingdom</t>
        </is>
      </c>
      <c r="C2532" s="126" t="n">
        <v>27</v>
      </c>
      <c r="D2532" s="126" t="n">
        <v>3</v>
      </c>
      <c r="E2532" s="127" t="n">
        <v>948.05</v>
      </c>
      <c r="F2532" s="128">
        <f>IF(C2532&lt;=30,5,IF(C2532&lt;=60,4,IF(C2532&lt;=120,3,IF(C2532&lt;=200,2,1))))</f>
        <v/>
      </c>
      <c r="G2532" s="128">
        <f>IF(D2532&gt;=20,5,IF(D2532&gt;=10,4,IF(D2532&gt;=5,3,IF(D2532&gt;=2,2,1))))</f>
        <v/>
      </c>
      <c r="H2532" s="128">
        <f>IF(E2532&gt;=5000,5,IF(E2532&gt;=2000,4,IF(E2532&gt;=800,3,IF(E2532&gt;=300,2,1))))</f>
        <v/>
      </c>
      <c r="I2532" s="126">
        <f>TEXT(F2532,"0")&amp;TEXT(G2532,"0")&amp;TEXT(H2532,"0")</f>
        <v/>
      </c>
      <c r="J2532" s="126">
        <f>IFERROR(XLOOKUP(I2532,'Segment Map'!A:A,'Segment Map'!B:B,"Need Attention"),"Need Attention")</f>
        <v/>
      </c>
      <c r="K2532" s="126">
        <f>IF(E2532&gt;=5000,"🏆 Platinum",IF(E2532&gt;=2000,"🥇 Gold",IF(E2532&gt;=800,"🥈 Silver","🥉 Bronze")))</f>
        <v/>
      </c>
      <c r="L2532" s="129" t="n">
        <v>40860</v>
      </c>
    </row>
    <row r="2533">
      <c r="A2533" s="122" t="n">
        <v>15789</v>
      </c>
      <c r="B2533" s="122" t="inlineStr">
        <is>
          <t>United Kingdom</t>
        </is>
      </c>
      <c r="C2533" s="122" t="n">
        <v>359</v>
      </c>
      <c r="D2533" s="122" t="n">
        <v>1</v>
      </c>
      <c r="E2533" s="123" t="n">
        <v>351.3</v>
      </c>
      <c r="F2533" s="124">
        <f>IF(C2533&lt;=30,5,IF(C2533&lt;=60,4,IF(C2533&lt;=120,3,IF(C2533&lt;=200,2,1))))</f>
        <v/>
      </c>
      <c r="G2533" s="124">
        <f>IF(D2533&gt;=20,5,IF(D2533&gt;=10,4,IF(D2533&gt;=5,3,IF(D2533&gt;=2,2,1))))</f>
        <v/>
      </c>
      <c r="H2533" s="124">
        <f>IF(E2533&gt;=5000,5,IF(E2533&gt;=2000,4,IF(E2533&gt;=800,3,IF(E2533&gt;=300,2,1))))</f>
        <v/>
      </c>
      <c r="I2533" s="122">
        <f>TEXT(F2533,"0")&amp;TEXT(G2533,"0")&amp;TEXT(H2533,"0")</f>
        <v/>
      </c>
      <c r="J2533" s="122">
        <f>IFERROR(XLOOKUP(I2533,'Segment Map'!A:A,'Segment Map'!B:B,"Need Attention"),"Need Attention")</f>
        <v/>
      </c>
      <c r="K2533" s="122">
        <f>IF(E2533&gt;=5000,"🏆 Platinum",IF(E2533&gt;=2000,"🥇 Gold",IF(E2533&gt;=800,"🥈 Silver","🥉 Bronze")))</f>
        <v/>
      </c>
      <c r="L2533" s="125" t="n">
        <v>40528</v>
      </c>
    </row>
    <row r="2534">
      <c r="A2534" s="126" t="n">
        <v>15790</v>
      </c>
      <c r="B2534" s="126" t="inlineStr">
        <is>
          <t>United Kingdom</t>
        </is>
      </c>
      <c r="C2534" s="126" t="n">
        <v>11</v>
      </c>
      <c r="D2534" s="126" t="n">
        <v>1</v>
      </c>
      <c r="E2534" s="127" t="n">
        <v>220.85</v>
      </c>
      <c r="F2534" s="128">
        <f>IF(C2534&lt;=30,5,IF(C2534&lt;=60,4,IF(C2534&lt;=120,3,IF(C2534&lt;=200,2,1))))</f>
        <v/>
      </c>
      <c r="G2534" s="128">
        <f>IF(D2534&gt;=20,5,IF(D2534&gt;=10,4,IF(D2534&gt;=5,3,IF(D2534&gt;=2,2,1))))</f>
        <v/>
      </c>
      <c r="H2534" s="128">
        <f>IF(E2534&gt;=5000,5,IF(E2534&gt;=2000,4,IF(E2534&gt;=800,3,IF(E2534&gt;=300,2,1))))</f>
        <v/>
      </c>
      <c r="I2534" s="126">
        <f>TEXT(F2534,"0")&amp;TEXT(G2534,"0")&amp;TEXT(H2534,"0")</f>
        <v/>
      </c>
      <c r="J2534" s="126">
        <f>IFERROR(XLOOKUP(I2534,'Segment Map'!A:A,'Segment Map'!B:B,"Need Attention"),"Need Attention")</f>
        <v/>
      </c>
      <c r="K2534" s="126">
        <f>IF(E2534&gt;=5000,"🏆 Platinum",IF(E2534&gt;=2000,"🥇 Gold",IF(E2534&gt;=800,"🥈 Silver","🥉 Bronze")))</f>
        <v/>
      </c>
      <c r="L2534" s="129" t="n">
        <v>40876</v>
      </c>
    </row>
    <row r="2535">
      <c r="A2535" s="122" t="n">
        <v>15791</v>
      </c>
      <c r="B2535" s="122" t="inlineStr">
        <is>
          <t>United Kingdom</t>
        </is>
      </c>
      <c r="C2535" s="122" t="n">
        <v>44</v>
      </c>
      <c r="D2535" s="122" t="n">
        <v>2</v>
      </c>
      <c r="E2535" s="123" t="n">
        <v>1612.69</v>
      </c>
      <c r="F2535" s="124">
        <f>IF(C2535&lt;=30,5,IF(C2535&lt;=60,4,IF(C2535&lt;=120,3,IF(C2535&lt;=200,2,1))))</f>
        <v/>
      </c>
      <c r="G2535" s="124">
        <f>IF(D2535&gt;=20,5,IF(D2535&gt;=10,4,IF(D2535&gt;=5,3,IF(D2535&gt;=2,2,1))))</f>
        <v/>
      </c>
      <c r="H2535" s="124">
        <f>IF(E2535&gt;=5000,5,IF(E2535&gt;=2000,4,IF(E2535&gt;=800,3,IF(E2535&gt;=300,2,1))))</f>
        <v/>
      </c>
      <c r="I2535" s="122">
        <f>TEXT(F2535,"0")&amp;TEXT(G2535,"0")&amp;TEXT(H2535,"0")</f>
        <v/>
      </c>
      <c r="J2535" s="122">
        <f>IFERROR(XLOOKUP(I2535,'Segment Map'!A:A,'Segment Map'!B:B,"Need Attention"),"Need Attention")</f>
        <v/>
      </c>
      <c r="K2535" s="122">
        <f>IF(E2535&gt;=5000,"🏆 Platinum",IF(E2535&gt;=2000,"🥇 Gold",IF(E2535&gt;=800,"🥈 Silver","🥉 Bronze")))</f>
        <v/>
      </c>
      <c r="L2535" s="125" t="n">
        <v>40843</v>
      </c>
    </row>
    <row r="2536">
      <c r="A2536" s="126" t="n">
        <v>15793</v>
      </c>
      <c r="B2536" s="126" t="inlineStr">
        <is>
          <t>United Kingdom</t>
        </is>
      </c>
      <c r="C2536" s="126" t="n">
        <v>15</v>
      </c>
      <c r="D2536" s="126" t="n">
        <v>3</v>
      </c>
      <c r="E2536" s="127" t="n">
        <v>965.61</v>
      </c>
      <c r="F2536" s="128">
        <f>IF(C2536&lt;=30,5,IF(C2536&lt;=60,4,IF(C2536&lt;=120,3,IF(C2536&lt;=200,2,1))))</f>
        <v/>
      </c>
      <c r="G2536" s="128">
        <f>IF(D2536&gt;=20,5,IF(D2536&gt;=10,4,IF(D2536&gt;=5,3,IF(D2536&gt;=2,2,1))))</f>
        <v/>
      </c>
      <c r="H2536" s="128">
        <f>IF(E2536&gt;=5000,5,IF(E2536&gt;=2000,4,IF(E2536&gt;=800,3,IF(E2536&gt;=300,2,1))))</f>
        <v/>
      </c>
      <c r="I2536" s="126">
        <f>TEXT(F2536,"0")&amp;TEXT(G2536,"0")&amp;TEXT(H2536,"0")</f>
        <v/>
      </c>
      <c r="J2536" s="126">
        <f>IFERROR(XLOOKUP(I2536,'Segment Map'!A:A,'Segment Map'!B:B,"Need Attention"),"Need Attention")</f>
        <v/>
      </c>
      <c r="K2536" s="126">
        <f>IF(E2536&gt;=5000,"🏆 Platinum",IF(E2536&gt;=2000,"🥇 Gold",IF(E2536&gt;=800,"🥈 Silver","🥉 Bronze")))</f>
        <v/>
      </c>
      <c r="L2536" s="129" t="n">
        <v>40872</v>
      </c>
    </row>
    <row r="2537">
      <c r="A2537" s="122" t="n">
        <v>15795</v>
      </c>
      <c r="B2537" s="122" t="inlineStr">
        <is>
          <t>United Kingdom</t>
        </is>
      </c>
      <c r="C2537" s="122" t="n">
        <v>150</v>
      </c>
      <c r="D2537" s="122" t="n">
        <v>1</v>
      </c>
      <c r="E2537" s="123" t="n">
        <v>610.01</v>
      </c>
      <c r="F2537" s="124">
        <f>IF(C2537&lt;=30,5,IF(C2537&lt;=60,4,IF(C2537&lt;=120,3,IF(C2537&lt;=200,2,1))))</f>
        <v/>
      </c>
      <c r="G2537" s="124">
        <f>IF(D2537&gt;=20,5,IF(D2537&gt;=10,4,IF(D2537&gt;=5,3,IF(D2537&gt;=2,2,1))))</f>
        <v/>
      </c>
      <c r="H2537" s="124">
        <f>IF(E2537&gt;=5000,5,IF(E2537&gt;=2000,4,IF(E2537&gt;=800,3,IF(E2537&gt;=300,2,1))))</f>
        <v/>
      </c>
      <c r="I2537" s="122">
        <f>TEXT(F2537,"0")&amp;TEXT(G2537,"0")&amp;TEXT(H2537,"0")</f>
        <v/>
      </c>
      <c r="J2537" s="122">
        <f>IFERROR(XLOOKUP(I2537,'Segment Map'!A:A,'Segment Map'!B:B,"Need Attention"),"Need Attention")</f>
        <v/>
      </c>
      <c r="K2537" s="122">
        <f>IF(E2537&gt;=5000,"🏆 Platinum",IF(E2537&gt;=2000,"🥇 Gold",IF(E2537&gt;=800,"🥈 Silver","🥉 Bronze")))</f>
        <v/>
      </c>
      <c r="L2537" s="125" t="n">
        <v>40737</v>
      </c>
    </row>
    <row r="2538">
      <c r="A2538" s="126" t="n">
        <v>15796</v>
      </c>
      <c r="B2538" s="126" t="inlineStr">
        <is>
          <t>United Kingdom</t>
        </is>
      </c>
      <c r="C2538" s="126" t="n">
        <v>2</v>
      </c>
      <c r="D2538" s="126" t="n">
        <v>8</v>
      </c>
      <c r="E2538" s="127" t="n">
        <v>2711.56</v>
      </c>
      <c r="F2538" s="128">
        <f>IF(C2538&lt;=30,5,IF(C2538&lt;=60,4,IF(C2538&lt;=120,3,IF(C2538&lt;=200,2,1))))</f>
        <v/>
      </c>
      <c r="G2538" s="128">
        <f>IF(D2538&gt;=20,5,IF(D2538&gt;=10,4,IF(D2538&gt;=5,3,IF(D2538&gt;=2,2,1))))</f>
        <v/>
      </c>
      <c r="H2538" s="128">
        <f>IF(E2538&gt;=5000,5,IF(E2538&gt;=2000,4,IF(E2538&gt;=800,3,IF(E2538&gt;=300,2,1))))</f>
        <v/>
      </c>
      <c r="I2538" s="126">
        <f>TEXT(F2538,"0")&amp;TEXT(G2538,"0")&amp;TEXT(H2538,"0")</f>
        <v/>
      </c>
      <c r="J2538" s="126">
        <f>IFERROR(XLOOKUP(I2538,'Segment Map'!A:A,'Segment Map'!B:B,"Need Attention"),"Need Attention")</f>
        <v/>
      </c>
      <c r="K2538" s="126">
        <f>IF(E2538&gt;=5000,"🏆 Platinum",IF(E2538&gt;=2000,"🥇 Gold",IF(E2538&gt;=800,"🥈 Silver","🥉 Bronze")))</f>
        <v/>
      </c>
      <c r="L2538" s="129" t="n">
        <v>40885</v>
      </c>
    </row>
    <row r="2539">
      <c r="A2539" s="122" t="n">
        <v>15797</v>
      </c>
      <c r="B2539" s="122" t="inlineStr">
        <is>
          <t>United Kingdom</t>
        </is>
      </c>
      <c r="C2539" s="122" t="n">
        <v>114</v>
      </c>
      <c r="D2539" s="122" t="n">
        <v>4</v>
      </c>
      <c r="E2539" s="123" t="n">
        <v>2207.4</v>
      </c>
      <c r="F2539" s="124">
        <f>IF(C2539&lt;=30,5,IF(C2539&lt;=60,4,IF(C2539&lt;=120,3,IF(C2539&lt;=200,2,1))))</f>
        <v/>
      </c>
      <c r="G2539" s="124">
        <f>IF(D2539&gt;=20,5,IF(D2539&gt;=10,4,IF(D2539&gt;=5,3,IF(D2539&gt;=2,2,1))))</f>
        <v/>
      </c>
      <c r="H2539" s="124">
        <f>IF(E2539&gt;=5000,5,IF(E2539&gt;=2000,4,IF(E2539&gt;=800,3,IF(E2539&gt;=300,2,1))))</f>
        <v/>
      </c>
      <c r="I2539" s="122">
        <f>TEXT(F2539,"0")&amp;TEXT(G2539,"0")&amp;TEXT(H2539,"0")</f>
        <v/>
      </c>
      <c r="J2539" s="122">
        <f>IFERROR(XLOOKUP(I2539,'Segment Map'!A:A,'Segment Map'!B:B,"Need Attention"),"Need Attention")</f>
        <v/>
      </c>
      <c r="K2539" s="122">
        <f>IF(E2539&gt;=5000,"🏆 Platinum",IF(E2539&gt;=2000,"🥇 Gold",IF(E2539&gt;=800,"🥈 Silver","🥉 Bronze")))</f>
        <v/>
      </c>
      <c r="L2539" s="125" t="n">
        <v>40773</v>
      </c>
    </row>
    <row r="2540">
      <c r="A2540" s="126" t="n">
        <v>15799</v>
      </c>
      <c r="B2540" s="126" t="inlineStr">
        <is>
          <t>United Kingdom</t>
        </is>
      </c>
      <c r="C2540" s="126" t="n">
        <v>76</v>
      </c>
      <c r="D2540" s="126" t="n">
        <v>3</v>
      </c>
      <c r="E2540" s="127" t="n">
        <v>884.14</v>
      </c>
      <c r="F2540" s="128">
        <f>IF(C2540&lt;=30,5,IF(C2540&lt;=60,4,IF(C2540&lt;=120,3,IF(C2540&lt;=200,2,1))))</f>
        <v/>
      </c>
      <c r="G2540" s="128">
        <f>IF(D2540&gt;=20,5,IF(D2540&gt;=10,4,IF(D2540&gt;=5,3,IF(D2540&gt;=2,2,1))))</f>
        <v/>
      </c>
      <c r="H2540" s="128">
        <f>IF(E2540&gt;=5000,5,IF(E2540&gt;=2000,4,IF(E2540&gt;=800,3,IF(E2540&gt;=300,2,1))))</f>
        <v/>
      </c>
      <c r="I2540" s="126">
        <f>TEXT(F2540,"0")&amp;TEXT(G2540,"0")&amp;TEXT(H2540,"0")</f>
        <v/>
      </c>
      <c r="J2540" s="126">
        <f>IFERROR(XLOOKUP(I2540,'Segment Map'!A:A,'Segment Map'!B:B,"Need Attention"),"Need Attention")</f>
        <v/>
      </c>
      <c r="K2540" s="126">
        <f>IF(E2540&gt;=5000,"🏆 Platinum",IF(E2540&gt;=2000,"🥇 Gold",IF(E2540&gt;=800,"🥈 Silver","🥉 Bronze")))</f>
        <v/>
      </c>
      <c r="L2540" s="129" t="n">
        <v>40811</v>
      </c>
    </row>
    <row r="2541">
      <c r="A2541" s="122" t="n">
        <v>15800</v>
      </c>
      <c r="B2541" s="122" t="inlineStr">
        <is>
          <t>United Kingdom</t>
        </is>
      </c>
      <c r="C2541" s="122" t="n">
        <v>108</v>
      </c>
      <c r="D2541" s="122" t="n">
        <v>2</v>
      </c>
      <c r="E2541" s="123" t="n">
        <v>699.08</v>
      </c>
      <c r="F2541" s="124">
        <f>IF(C2541&lt;=30,5,IF(C2541&lt;=60,4,IF(C2541&lt;=120,3,IF(C2541&lt;=200,2,1))))</f>
        <v/>
      </c>
      <c r="G2541" s="124">
        <f>IF(D2541&gt;=20,5,IF(D2541&gt;=10,4,IF(D2541&gt;=5,3,IF(D2541&gt;=2,2,1))))</f>
        <v/>
      </c>
      <c r="H2541" s="124">
        <f>IF(E2541&gt;=5000,5,IF(E2541&gt;=2000,4,IF(E2541&gt;=800,3,IF(E2541&gt;=300,2,1))))</f>
        <v/>
      </c>
      <c r="I2541" s="122">
        <f>TEXT(F2541,"0")&amp;TEXT(G2541,"0")&amp;TEXT(H2541,"0")</f>
        <v/>
      </c>
      <c r="J2541" s="122">
        <f>IFERROR(XLOOKUP(I2541,'Segment Map'!A:A,'Segment Map'!B:B,"Need Attention"),"Need Attention")</f>
        <v/>
      </c>
      <c r="K2541" s="122">
        <f>IF(E2541&gt;=5000,"🏆 Platinum",IF(E2541&gt;=2000,"🥇 Gold",IF(E2541&gt;=800,"🥈 Silver","🥉 Bronze")))</f>
        <v/>
      </c>
      <c r="L2541" s="125" t="n">
        <v>40779</v>
      </c>
    </row>
    <row r="2542">
      <c r="A2542" s="126" t="n">
        <v>15801</v>
      </c>
      <c r="B2542" s="126" t="inlineStr">
        <is>
          <t>United Kingdom</t>
        </is>
      </c>
      <c r="C2542" s="126" t="n">
        <v>47</v>
      </c>
      <c r="D2542" s="126" t="n">
        <v>3</v>
      </c>
      <c r="E2542" s="127" t="n">
        <v>1063.95</v>
      </c>
      <c r="F2542" s="128">
        <f>IF(C2542&lt;=30,5,IF(C2542&lt;=60,4,IF(C2542&lt;=120,3,IF(C2542&lt;=200,2,1))))</f>
        <v/>
      </c>
      <c r="G2542" s="128">
        <f>IF(D2542&gt;=20,5,IF(D2542&gt;=10,4,IF(D2542&gt;=5,3,IF(D2542&gt;=2,2,1))))</f>
        <v/>
      </c>
      <c r="H2542" s="128">
        <f>IF(E2542&gt;=5000,5,IF(E2542&gt;=2000,4,IF(E2542&gt;=800,3,IF(E2542&gt;=300,2,1))))</f>
        <v/>
      </c>
      <c r="I2542" s="126">
        <f>TEXT(F2542,"0")&amp;TEXT(G2542,"0")&amp;TEXT(H2542,"0")</f>
        <v/>
      </c>
      <c r="J2542" s="126">
        <f>IFERROR(XLOOKUP(I2542,'Segment Map'!A:A,'Segment Map'!B:B,"Need Attention"),"Need Attention")</f>
        <v/>
      </c>
      <c r="K2542" s="126">
        <f>IF(E2542&gt;=5000,"🏆 Platinum",IF(E2542&gt;=2000,"🥇 Gold",IF(E2542&gt;=800,"🥈 Silver","🥉 Bronze")))</f>
        <v/>
      </c>
      <c r="L2542" s="129" t="n">
        <v>40840</v>
      </c>
    </row>
    <row r="2543">
      <c r="A2543" s="122" t="n">
        <v>15802</v>
      </c>
      <c r="B2543" s="122" t="inlineStr">
        <is>
          <t>United Kingdom</t>
        </is>
      </c>
      <c r="C2543" s="122" t="n">
        <v>143</v>
      </c>
      <c r="D2543" s="122" t="n">
        <v>1</v>
      </c>
      <c r="E2543" s="123" t="n">
        <v>451.42</v>
      </c>
      <c r="F2543" s="124">
        <f>IF(C2543&lt;=30,5,IF(C2543&lt;=60,4,IF(C2543&lt;=120,3,IF(C2543&lt;=200,2,1))))</f>
        <v/>
      </c>
      <c r="G2543" s="124">
        <f>IF(D2543&gt;=20,5,IF(D2543&gt;=10,4,IF(D2543&gt;=5,3,IF(D2543&gt;=2,2,1))))</f>
        <v/>
      </c>
      <c r="H2543" s="124">
        <f>IF(E2543&gt;=5000,5,IF(E2543&gt;=2000,4,IF(E2543&gt;=800,3,IF(E2543&gt;=300,2,1))))</f>
        <v/>
      </c>
      <c r="I2543" s="122">
        <f>TEXT(F2543,"0")&amp;TEXT(G2543,"0")&amp;TEXT(H2543,"0")</f>
        <v/>
      </c>
      <c r="J2543" s="122">
        <f>IFERROR(XLOOKUP(I2543,'Segment Map'!A:A,'Segment Map'!B:B,"Need Attention"),"Need Attention")</f>
        <v/>
      </c>
      <c r="K2543" s="122">
        <f>IF(E2543&gt;=5000,"🏆 Platinum",IF(E2543&gt;=2000,"🥇 Gold",IF(E2543&gt;=800,"🥈 Silver","🥉 Bronze")))</f>
        <v/>
      </c>
      <c r="L2543" s="125" t="n">
        <v>40744</v>
      </c>
    </row>
    <row r="2544">
      <c r="A2544" s="126" t="n">
        <v>15803</v>
      </c>
      <c r="B2544" s="126" t="inlineStr">
        <is>
          <t>United Kingdom</t>
        </is>
      </c>
      <c r="C2544" s="126" t="n">
        <v>52</v>
      </c>
      <c r="D2544" s="126" t="n">
        <v>1</v>
      </c>
      <c r="E2544" s="127" t="n">
        <v>415.82</v>
      </c>
      <c r="F2544" s="128">
        <f>IF(C2544&lt;=30,5,IF(C2544&lt;=60,4,IF(C2544&lt;=120,3,IF(C2544&lt;=200,2,1))))</f>
        <v/>
      </c>
      <c r="G2544" s="128">
        <f>IF(D2544&gt;=20,5,IF(D2544&gt;=10,4,IF(D2544&gt;=5,3,IF(D2544&gt;=2,2,1))))</f>
        <v/>
      </c>
      <c r="H2544" s="128">
        <f>IF(E2544&gt;=5000,5,IF(E2544&gt;=2000,4,IF(E2544&gt;=800,3,IF(E2544&gt;=300,2,1))))</f>
        <v/>
      </c>
      <c r="I2544" s="126">
        <f>TEXT(F2544,"0")&amp;TEXT(G2544,"0")&amp;TEXT(H2544,"0")</f>
        <v/>
      </c>
      <c r="J2544" s="126">
        <f>IFERROR(XLOOKUP(I2544,'Segment Map'!A:A,'Segment Map'!B:B,"Need Attention"),"Need Attention")</f>
        <v/>
      </c>
      <c r="K2544" s="126">
        <f>IF(E2544&gt;=5000,"🏆 Platinum",IF(E2544&gt;=2000,"🥇 Gold",IF(E2544&gt;=800,"🥈 Silver","🥉 Bronze")))</f>
        <v/>
      </c>
      <c r="L2544" s="129" t="n">
        <v>40835</v>
      </c>
    </row>
    <row r="2545">
      <c r="A2545" s="122" t="n">
        <v>15804</v>
      </c>
      <c r="B2545" s="122" t="inlineStr">
        <is>
          <t>United Kingdom</t>
        </is>
      </c>
      <c r="C2545" s="122" t="n">
        <v>1</v>
      </c>
      <c r="D2545" s="122" t="n">
        <v>13</v>
      </c>
      <c r="E2545" s="123" t="n">
        <v>4206.39</v>
      </c>
      <c r="F2545" s="124">
        <f>IF(C2545&lt;=30,5,IF(C2545&lt;=60,4,IF(C2545&lt;=120,3,IF(C2545&lt;=200,2,1))))</f>
        <v/>
      </c>
      <c r="G2545" s="124">
        <f>IF(D2545&gt;=20,5,IF(D2545&gt;=10,4,IF(D2545&gt;=5,3,IF(D2545&gt;=2,2,1))))</f>
        <v/>
      </c>
      <c r="H2545" s="124">
        <f>IF(E2545&gt;=5000,5,IF(E2545&gt;=2000,4,IF(E2545&gt;=800,3,IF(E2545&gt;=300,2,1))))</f>
        <v/>
      </c>
      <c r="I2545" s="122">
        <f>TEXT(F2545,"0")&amp;TEXT(G2545,"0")&amp;TEXT(H2545,"0")</f>
        <v/>
      </c>
      <c r="J2545" s="122">
        <f>IFERROR(XLOOKUP(I2545,'Segment Map'!A:A,'Segment Map'!B:B,"Need Attention"),"Need Attention")</f>
        <v/>
      </c>
      <c r="K2545" s="122">
        <f>IF(E2545&gt;=5000,"🏆 Platinum",IF(E2545&gt;=2000,"🥇 Gold",IF(E2545&gt;=800,"🥈 Silver","🥉 Bronze")))</f>
        <v/>
      </c>
      <c r="L2545" s="125" t="n">
        <v>40886</v>
      </c>
    </row>
    <row r="2546">
      <c r="A2546" s="126" t="n">
        <v>15805</v>
      </c>
      <c r="B2546" s="126" t="inlineStr">
        <is>
          <t>United Kingdom</t>
        </is>
      </c>
      <c r="C2546" s="126" t="n">
        <v>24</v>
      </c>
      <c r="D2546" s="126" t="n">
        <v>17</v>
      </c>
      <c r="E2546" s="127" t="n">
        <v>5528.48</v>
      </c>
      <c r="F2546" s="128">
        <f>IF(C2546&lt;=30,5,IF(C2546&lt;=60,4,IF(C2546&lt;=120,3,IF(C2546&lt;=200,2,1))))</f>
        <v/>
      </c>
      <c r="G2546" s="128">
        <f>IF(D2546&gt;=20,5,IF(D2546&gt;=10,4,IF(D2546&gt;=5,3,IF(D2546&gt;=2,2,1))))</f>
        <v/>
      </c>
      <c r="H2546" s="128">
        <f>IF(E2546&gt;=5000,5,IF(E2546&gt;=2000,4,IF(E2546&gt;=800,3,IF(E2546&gt;=300,2,1))))</f>
        <v/>
      </c>
      <c r="I2546" s="126">
        <f>TEXT(F2546,"0")&amp;TEXT(G2546,"0")&amp;TEXT(H2546,"0")</f>
        <v/>
      </c>
      <c r="J2546" s="126">
        <f>IFERROR(XLOOKUP(I2546,'Segment Map'!A:A,'Segment Map'!B:B,"Need Attention"),"Need Attention")</f>
        <v/>
      </c>
      <c r="K2546" s="126">
        <f>IF(E2546&gt;=5000,"🏆 Platinum",IF(E2546&gt;=2000,"🥇 Gold",IF(E2546&gt;=800,"🥈 Silver","🥉 Bronze")))</f>
        <v/>
      </c>
      <c r="L2546" s="129" t="n">
        <v>40863</v>
      </c>
    </row>
    <row r="2547">
      <c r="A2547" s="122" t="n">
        <v>15806</v>
      </c>
      <c r="B2547" s="122" t="inlineStr">
        <is>
          <t>United Kingdom</t>
        </is>
      </c>
      <c r="C2547" s="122" t="n">
        <v>47</v>
      </c>
      <c r="D2547" s="122" t="n">
        <v>3</v>
      </c>
      <c r="E2547" s="123" t="n">
        <v>784.58</v>
      </c>
      <c r="F2547" s="124">
        <f>IF(C2547&lt;=30,5,IF(C2547&lt;=60,4,IF(C2547&lt;=120,3,IF(C2547&lt;=200,2,1))))</f>
        <v/>
      </c>
      <c r="G2547" s="124">
        <f>IF(D2547&gt;=20,5,IF(D2547&gt;=10,4,IF(D2547&gt;=5,3,IF(D2547&gt;=2,2,1))))</f>
        <v/>
      </c>
      <c r="H2547" s="124">
        <f>IF(E2547&gt;=5000,5,IF(E2547&gt;=2000,4,IF(E2547&gt;=800,3,IF(E2547&gt;=300,2,1))))</f>
        <v/>
      </c>
      <c r="I2547" s="122">
        <f>TEXT(F2547,"0")&amp;TEXT(G2547,"0")&amp;TEXT(H2547,"0")</f>
        <v/>
      </c>
      <c r="J2547" s="122">
        <f>IFERROR(XLOOKUP(I2547,'Segment Map'!A:A,'Segment Map'!B:B,"Need Attention"),"Need Attention")</f>
        <v/>
      </c>
      <c r="K2547" s="122">
        <f>IF(E2547&gt;=5000,"🏆 Platinum",IF(E2547&gt;=2000,"🥇 Gold",IF(E2547&gt;=800,"🥈 Silver","🥉 Bronze")))</f>
        <v/>
      </c>
      <c r="L2547" s="125" t="n">
        <v>40840</v>
      </c>
    </row>
    <row r="2548">
      <c r="A2548" s="126" t="n">
        <v>15807</v>
      </c>
      <c r="B2548" s="126" t="inlineStr">
        <is>
          <t>United Kingdom</t>
        </is>
      </c>
      <c r="C2548" s="126" t="n">
        <v>51</v>
      </c>
      <c r="D2548" s="126" t="n">
        <v>3</v>
      </c>
      <c r="E2548" s="127" t="n">
        <v>903.9</v>
      </c>
      <c r="F2548" s="128">
        <f>IF(C2548&lt;=30,5,IF(C2548&lt;=60,4,IF(C2548&lt;=120,3,IF(C2548&lt;=200,2,1))))</f>
        <v/>
      </c>
      <c r="G2548" s="128">
        <f>IF(D2548&gt;=20,5,IF(D2548&gt;=10,4,IF(D2548&gt;=5,3,IF(D2548&gt;=2,2,1))))</f>
        <v/>
      </c>
      <c r="H2548" s="128">
        <f>IF(E2548&gt;=5000,5,IF(E2548&gt;=2000,4,IF(E2548&gt;=800,3,IF(E2548&gt;=300,2,1))))</f>
        <v/>
      </c>
      <c r="I2548" s="126">
        <f>TEXT(F2548,"0")&amp;TEXT(G2548,"0")&amp;TEXT(H2548,"0")</f>
        <v/>
      </c>
      <c r="J2548" s="126">
        <f>IFERROR(XLOOKUP(I2548,'Segment Map'!A:A,'Segment Map'!B:B,"Need Attention"),"Need Attention")</f>
        <v/>
      </c>
      <c r="K2548" s="126">
        <f>IF(E2548&gt;=5000,"🏆 Platinum",IF(E2548&gt;=2000,"🥇 Gold",IF(E2548&gt;=800,"🥈 Silver","🥉 Bronze")))</f>
        <v/>
      </c>
      <c r="L2548" s="129" t="n">
        <v>40836</v>
      </c>
    </row>
    <row r="2549">
      <c r="A2549" s="122" t="n">
        <v>15808</v>
      </c>
      <c r="B2549" s="122" t="inlineStr">
        <is>
          <t>United Kingdom</t>
        </is>
      </c>
      <c r="C2549" s="122" t="n">
        <v>307</v>
      </c>
      <c r="D2549" s="122" t="n">
        <v>4</v>
      </c>
      <c r="E2549" s="123" t="n">
        <v>3734.97</v>
      </c>
      <c r="F2549" s="124">
        <f>IF(C2549&lt;=30,5,IF(C2549&lt;=60,4,IF(C2549&lt;=120,3,IF(C2549&lt;=200,2,1))))</f>
        <v/>
      </c>
      <c r="G2549" s="124">
        <f>IF(D2549&gt;=20,5,IF(D2549&gt;=10,4,IF(D2549&gt;=5,3,IF(D2549&gt;=2,2,1))))</f>
        <v/>
      </c>
      <c r="H2549" s="124">
        <f>IF(E2549&gt;=5000,5,IF(E2549&gt;=2000,4,IF(E2549&gt;=800,3,IF(E2549&gt;=300,2,1))))</f>
        <v/>
      </c>
      <c r="I2549" s="122">
        <f>TEXT(F2549,"0")&amp;TEXT(G2549,"0")&amp;TEXT(H2549,"0")</f>
        <v/>
      </c>
      <c r="J2549" s="122">
        <f>IFERROR(XLOOKUP(I2549,'Segment Map'!A:A,'Segment Map'!B:B,"Need Attention"),"Need Attention")</f>
        <v/>
      </c>
      <c r="K2549" s="122">
        <f>IF(E2549&gt;=5000,"🏆 Platinum",IF(E2549&gt;=2000,"🥇 Gold",IF(E2549&gt;=800,"🥈 Silver","🥉 Bronze")))</f>
        <v/>
      </c>
      <c r="L2549" s="125" t="n">
        <v>40580</v>
      </c>
    </row>
    <row r="2550">
      <c r="A2550" s="126" t="n">
        <v>15809</v>
      </c>
      <c r="B2550" s="126" t="inlineStr">
        <is>
          <t>United Kingdom</t>
        </is>
      </c>
      <c r="C2550" s="126" t="n">
        <v>37</v>
      </c>
      <c r="D2550" s="126" t="n">
        <v>5</v>
      </c>
      <c r="E2550" s="127" t="n">
        <v>515.77</v>
      </c>
      <c r="F2550" s="128">
        <f>IF(C2550&lt;=30,5,IF(C2550&lt;=60,4,IF(C2550&lt;=120,3,IF(C2550&lt;=200,2,1))))</f>
        <v/>
      </c>
      <c r="G2550" s="128">
        <f>IF(D2550&gt;=20,5,IF(D2550&gt;=10,4,IF(D2550&gt;=5,3,IF(D2550&gt;=2,2,1))))</f>
        <v/>
      </c>
      <c r="H2550" s="128">
        <f>IF(E2550&gt;=5000,5,IF(E2550&gt;=2000,4,IF(E2550&gt;=800,3,IF(E2550&gt;=300,2,1))))</f>
        <v/>
      </c>
      <c r="I2550" s="126">
        <f>TEXT(F2550,"0")&amp;TEXT(G2550,"0")&amp;TEXT(H2550,"0")</f>
        <v/>
      </c>
      <c r="J2550" s="126">
        <f>IFERROR(XLOOKUP(I2550,'Segment Map'!A:A,'Segment Map'!B:B,"Need Attention"),"Need Attention")</f>
        <v/>
      </c>
      <c r="K2550" s="126">
        <f>IF(E2550&gt;=5000,"🏆 Platinum",IF(E2550&gt;=2000,"🥇 Gold",IF(E2550&gt;=800,"🥈 Silver","🥉 Bronze")))</f>
        <v/>
      </c>
      <c r="L2550" s="129" t="n">
        <v>40850</v>
      </c>
    </row>
    <row r="2551">
      <c r="A2551" s="122" t="n">
        <v>15810</v>
      </c>
      <c r="B2551" s="122" t="inlineStr">
        <is>
          <t>United Kingdom</t>
        </is>
      </c>
      <c r="C2551" s="122" t="n">
        <v>79</v>
      </c>
      <c r="D2551" s="122" t="n">
        <v>4</v>
      </c>
      <c r="E2551" s="123" t="n">
        <v>1391.98</v>
      </c>
      <c r="F2551" s="124">
        <f>IF(C2551&lt;=30,5,IF(C2551&lt;=60,4,IF(C2551&lt;=120,3,IF(C2551&lt;=200,2,1))))</f>
        <v/>
      </c>
      <c r="G2551" s="124">
        <f>IF(D2551&gt;=20,5,IF(D2551&gt;=10,4,IF(D2551&gt;=5,3,IF(D2551&gt;=2,2,1))))</f>
        <v/>
      </c>
      <c r="H2551" s="124">
        <f>IF(E2551&gt;=5000,5,IF(E2551&gt;=2000,4,IF(E2551&gt;=800,3,IF(E2551&gt;=300,2,1))))</f>
        <v/>
      </c>
      <c r="I2551" s="122">
        <f>TEXT(F2551,"0")&amp;TEXT(G2551,"0")&amp;TEXT(H2551,"0")</f>
        <v/>
      </c>
      <c r="J2551" s="122">
        <f>IFERROR(XLOOKUP(I2551,'Segment Map'!A:A,'Segment Map'!B:B,"Need Attention"),"Need Attention")</f>
        <v/>
      </c>
      <c r="K2551" s="122">
        <f>IF(E2551&gt;=5000,"🏆 Platinum",IF(E2551&gt;=2000,"🥇 Gold",IF(E2551&gt;=800,"🥈 Silver","🥉 Bronze")))</f>
        <v/>
      </c>
      <c r="L2551" s="125" t="n">
        <v>40808</v>
      </c>
    </row>
    <row r="2552">
      <c r="A2552" s="126" t="n">
        <v>15811</v>
      </c>
      <c r="B2552" s="126" t="inlineStr">
        <is>
          <t>United Kingdom</t>
        </is>
      </c>
      <c r="C2552" s="126" t="n">
        <v>23</v>
      </c>
      <c r="D2552" s="126" t="n">
        <v>6</v>
      </c>
      <c r="E2552" s="127" t="n">
        <v>2218.62</v>
      </c>
      <c r="F2552" s="128">
        <f>IF(C2552&lt;=30,5,IF(C2552&lt;=60,4,IF(C2552&lt;=120,3,IF(C2552&lt;=200,2,1))))</f>
        <v/>
      </c>
      <c r="G2552" s="128">
        <f>IF(D2552&gt;=20,5,IF(D2552&gt;=10,4,IF(D2552&gt;=5,3,IF(D2552&gt;=2,2,1))))</f>
        <v/>
      </c>
      <c r="H2552" s="128">
        <f>IF(E2552&gt;=5000,5,IF(E2552&gt;=2000,4,IF(E2552&gt;=800,3,IF(E2552&gt;=300,2,1))))</f>
        <v/>
      </c>
      <c r="I2552" s="126">
        <f>TEXT(F2552,"0")&amp;TEXT(G2552,"0")&amp;TEXT(H2552,"0")</f>
        <v/>
      </c>
      <c r="J2552" s="126">
        <f>IFERROR(XLOOKUP(I2552,'Segment Map'!A:A,'Segment Map'!B:B,"Need Attention"),"Need Attention")</f>
        <v/>
      </c>
      <c r="K2552" s="126">
        <f>IF(E2552&gt;=5000,"🏆 Platinum",IF(E2552&gt;=2000,"🥇 Gold",IF(E2552&gt;=800,"🥈 Silver","🥉 Bronze")))</f>
        <v/>
      </c>
      <c r="L2552" s="129" t="n">
        <v>40864</v>
      </c>
    </row>
    <row r="2553">
      <c r="A2553" s="122" t="n">
        <v>15812</v>
      </c>
      <c r="B2553" s="122" t="inlineStr">
        <is>
          <t>United Kingdom</t>
        </is>
      </c>
      <c r="C2553" s="122" t="n">
        <v>108</v>
      </c>
      <c r="D2553" s="122" t="n">
        <v>5</v>
      </c>
      <c r="E2553" s="123" t="n">
        <v>1801.14</v>
      </c>
      <c r="F2553" s="124">
        <f>IF(C2553&lt;=30,5,IF(C2553&lt;=60,4,IF(C2553&lt;=120,3,IF(C2553&lt;=200,2,1))))</f>
        <v/>
      </c>
      <c r="G2553" s="124">
        <f>IF(D2553&gt;=20,5,IF(D2553&gt;=10,4,IF(D2553&gt;=5,3,IF(D2553&gt;=2,2,1))))</f>
        <v/>
      </c>
      <c r="H2553" s="124">
        <f>IF(E2553&gt;=5000,5,IF(E2553&gt;=2000,4,IF(E2553&gt;=800,3,IF(E2553&gt;=300,2,1))))</f>
        <v/>
      </c>
      <c r="I2553" s="122">
        <f>TEXT(F2553,"0")&amp;TEXT(G2553,"0")&amp;TEXT(H2553,"0")</f>
        <v/>
      </c>
      <c r="J2553" s="122">
        <f>IFERROR(XLOOKUP(I2553,'Segment Map'!A:A,'Segment Map'!B:B,"Need Attention"),"Need Attention")</f>
        <v/>
      </c>
      <c r="K2553" s="122">
        <f>IF(E2553&gt;=5000,"🏆 Platinum",IF(E2553&gt;=2000,"🥇 Gold",IF(E2553&gt;=800,"🥈 Silver","🥉 Bronze")))</f>
        <v/>
      </c>
      <c r="L2553" s="125" t="n">
        <v>40779</v>
      </c>
    </row>
    <row r="2554">
      <c r="A2554" s="126" t="n">
        <v>15813</v>
      </c>
      <c r="B2554" s="126" t="inlineStr">
        <is>
          <t>United Kingdom</t>
        </is>
      </c>
      <c r="C2554" s="126" t="n">
        <v>208</v>
      </c>
      <c r="D2554" s="126" t="n">
        <v>2</v>
      </c>
      <c r="E2554" s="127" t="n">
        <v>1303.91</v>
      </c>
      <c r="F2554" s="128">
        <f>IF(C2554&lt;=30,5,IF(C2554&lt;=60,4,IF(C2554&lt;=120,3,IF(C2554&lt;=200,2,1))))</f>
        <v/>
      </c>
      <c r="G2554" s="128">
        <f>IF(D2554&gt;=20,5,IF(D2554&gt;=10,4,IF(D2554&gt;=5,3,IF(D2554&gt;=2,2,1))))</f>
        <v/>
      </c>
      <c r="H2554" s="128">
        <f>IF(E2554&gt;=5000,5,IF(E2554&gt;=2000,4,IF(E2554&gt;=800,3,IF(E2554&gt;=300,2,1))))</f>
        <v/>
      </c>
      <c r="I2554" s="126">
        <f>TEXT(F2554,"0")&amp;TEXT(G2554,"0")&amp;TEXT(H2554,"0")</f>
        <v/>
      </c>
      <c r="J2554" s="126">
        <f>IFERROR(XLOOKUP(I2554,'Segment Map'!A:A,'Segment Map'!B:B,"Need Attention"),"Need Attention")</f>
        <v/>
      </c>
      <c r="K2554" s="126">
        <f>IF(E2554&gt;=5000,"🏆 Platinum",IF(E2554&gt;=2000,"🥇 Gold",IF(E2554&gt;=800,"🥈 Silver","🥉 Bronze")))</f>
        <v/>
      </c>
      <c r="L2554" s="129" t="n">
        <v>40679</v>
      </c>
    </row>
    <row r="2555">
      <c r="A2555" s="122" t="n">
        <v>15814</v>
      </c>
      <c r="B2555" s="122" t="inlineStr">
        <is>
          <t>United Kingdom</t>
        </is>
      </c>
      <c r="C2555" s="122" t="n">
        <v>17</v>
      </c>
      <c r="D2555" s="122" t="n">
        <v>4</v>
      </c>
      <c r="E2555" s="123" t="n">
        <v>1945.33</v>
      </c>
      <c r="F2555" s="124">
        <f>IF(C2555&lt;=30,5,IF(C2555&lt;=60,4,IF(C2555&lt;=120,3,IF(C2555&lt;=200,2,1))))</f>
        <v/>
      </c>
      <c r="G2555" s="124">
        <f>IF(D2555&gt;=20,5,IF(D2555&gt;=10,4,IF(D2555&gt;=5,3,IF(D2555&gt;=2,2,1))))</f>
        <v/>
      </c>
      <c r="H2555" s="124">
        <f>IF(E2555&gt;=5000,5,IF(E2555&gt;=2000,4,IF(E2555&gt;=800,3,IF(E2555&gt;=300,2,1))))</f>
        <v/>
      </c>
      <c r="I2555" s="122">
        <f>TEXT(F2555,"0")&amp;TEXT(G2555,"0")&amp;TEXT(H2555,"0")</f>
        <v/>
      </c>
      <c r="J2555" s="122">
        <f>IFERROR(XLOOKUP(I2555,'Segment Map'!A:A,'Segment Map'!B:B,"Need Attention"),"Need Attention")</f>
        <v/>
      </c>
      <c r="K2555" s="122">
        <f>IF(E2555&gt;=5000,"🏆 Platinum",IF(E2555&gt;=2000,"🥇 Gold",IF(E2555&gt;=800,"🥈 Silver","🥉 Bronze")))</f>
        <v/>
      </c>
      <c r="L2555" s="125" t="n">
        <v>40870</v>
      </c>
    </row>
    <row r="2556">
      <c r="A2556" s="126" t="n">
        <v>15815</v>
      </c>
      <c r="B2556" s="126" t="inlineStr">
        <is>
          <t>United Kingdom</t>
        </is>
      </c>
      <c r="C2556" s="126" t="n">
        <v>64</v>
      </c>
      <c r="D2556" s="126" t="n">
        <v>5</v>
      </c>
      <c r="E2556" s="127" t="n">
        <v>2100.6</v>
      </c>
      <c r="F2556" s="128">
        <f>IF(C2556&lt;=30,5,IF(C2556&lt;=60,4,IF(C2556&lt;=120,3,IF(C2556&lt;=200,2,1))))</f>
        <v/>
      </c>
      <c r="G2556" s="128">
        <f>IF(D2556&gt;=20,5,IF(D2556&gt;=10,4,IF(D2556&gt;=5,3,IF(D2556&gt;=2,2,1))))</f>
        <v/>
      </c>
      <c r="H2556" s="128">
        <f>IF(E2556&gt;=5000,5,IF(E2556&gt;=2000,4,IF(E2556&gt;=800,3,IF(E2556&gt;=300,2,1))))</f>
        <v/>
      </c>
      <c r="I2556" s="126">
        <f>TEXT(F2556,"0")&amp;TEXT(G2556,"0")&amp;TEXT(H2556,"0")</f>
        <v/>
      </c>
      <c r="J2556" s="126">
        <f>IFERROR(XLOOKUP(I2556,'Segment Map'!A:A,'Segment Map'!B:B,"Need Attention"),"Need Attention")</f>
        <v/>
      </c>
      <c r="K2556" s="126">
        <f>IF(E2556&gt;=5000,"🏆 Platinum",IF(E2556&gt;=2000,"🥇 Gold",IF(E2556&gt;=800,"🥈 Silver","🥉 Bronze")))</f>
        <v/>
      </c>
      <c r="L2556" s="129" t="n">
        <v>40823</v>
      </c>
    </row>
    <row r="2557">
      <c r="A2557" s="122" t="n">
        <v>15819</v>
      </c>
      <c r="B2557" s="122" t="inlineStr">
        <is>
          <t>United Kingdom</t>
        </is>
      </c>
      <c r="C2557" s="122" t="n">
        <v>50</v>
      </c>
      <c r="D2557" s="122" t="n">
        <v>4</v>
      </c>
      <c r="E2557" s="123" t="n">
        <v>1905.45</v>
      </c>
      <c r="F2557" s="124">
        <f>IF(C2557&lt;=30,5,IF(C2557&lt;=60,4,IF(C2557&lt;=120,3,IF(C2557&lt;=200,2,1))))</f>
        <v/>
      </c>
      <c r="G2557" s="124">
        <f>IF(D2557&gt;=20,5,IF(D2557&gt;=10,4,IF(D2557&gt;=5,3,IF(D2557&gt;=2,2,1))))</f>
        <v/>
      </c>
      <c r="H2557" s="124">
        <f>IF(E2557&gt;=5000,5,IF(E2557&gt;=2000,4,IF(E2557&gt;=800,3,IF(E2557&gt;=300,2,1))))</f>
        <v/>
      </c>
      <c r="I2557" s="122">
        <f>TEXT(F2557,"0")&amp;TEXT(G2557,"0")&amp;TEXT(H2557,"0")</f>
        <v/>
      </c>
      <c r="J2557" s="122">
        <f>IFERROR(XLOOKUP(I2557,'Segment Map'!A:A,'Segment Map'!B:B,"Need Attention"),"Need Attention")</f>
        <v/>
      </c>
      <c r="K2557" s="122">
        <f>IF(E2557&gt;=5000,"🏆 Platinum",IF(E2557&gt;=2000,"🥇 Gold",IF(E2557&gt;=800,"🥈 Silver","🥉 Bronze")))</f>
        <v/>
      </c>
      <c r="L2557" s="125" t="n">
        <v>40837</v>
      </c>
    </row>
    <row r="2558">
      <c r="A2558" s="126" t="n">
        <v>15820</v>
      </c>
      <c r="B2558" s="126" t="inlineStr">
        <is>
          <t>United Kingdom</t>
        </is>
      </c>
      <c r="C2558" s="126" t="n">
        <v>320</v>
      </c>
      <c r="D2558" s="126" t="n">
        <v>1</v>
      </c>
      <c r="E2558" s="127" t="n">
        <v>206.98</v>
      </c>
      <c r="F2558" s="128">
        <f>IF(C2558&lt;=30,5,IF(C2558&lt;=60,4,IF(C2558&lt;=120,3,IF(C2558&lt;=200,2,1))))</f>
        <v/>
      </c>
      <c r="G2558" s="128">
        <f>IF(D2558&gt;=20,5,IF(D2558&gt;=10,4,IF(D2558&gt;=5,3,IF(D2558&gt;=2,2,1))))</f>
        <v/>
      </c>
      <c r="H2558" s="128">
        <f>IF(E2558&gt;=5000,5,IF(E2558&gt;=2000,4,IF(E2558&gt;=800,3,IF(E2558&gt;=300,2,1))))</f>
        <v/>
      </c>
      <c r="I2558" s="126">
        <f>TEXT(F2558,"0")&amp;TEXT(G2558,"0")&amp;TEXT(H2558,"0")</f>
        <v/>
      </c>
      <c r="J2558" s="126">
        <f>IFERROR(XLOOKUP(I2558,'Segment Map'!A:A,'Segment Map'!B:B,"Need Attention"),"Need Attention")</f>
        <v/>
      </c>
      <c r="K2558" s="126">
        <f>IF(E2558&gt;=5000,"🏆 Platinum",IF(E2558&gt;=2000,"🥇 Gold",IF(E2558&gt;=800,"🥈 Silver","🥉 Bronze")))</f>
        <v/>
      </c>
      <c r="L2558" s="129" t="n">
        <v>40567</v>
      </c>
    </row>
    <row r="2559">
      <c r="A2559" s="122" t="n">
        <v>15821</v>
      </c>
      <c r="B2559" s="122" t="inlineStr">
        <is>
          <t>United Kingdom</t>
        </is>
      </c>
      <c r="C2559" s="122" t="n">
        <v>45</v>
      </c>
      <c r="D2559" s="122" t="n">
        <v>2</v>
      </c>
      <c r="E2559" s="123" t="n">
        <v>570.96</v>
      </c>
      <c r="F2559" s="124">
        <f>IF(C2559&lt;=30,5,IF(C2559&lt;=60,4,IF(C2559&lt;=120,3,IF(C2559&lt;=200,2,1))))</f>
        <v/>
      </c>
      <c r="G2559" s="124">
        <f>IF(D2559&gt;=20,5,IF(D2559&gt;=10,4,IF(D2559&gt;=5,3,IF(D2559&gt;=2,2,1))))</f>
        <v/>
      </c>
      <c r="H2559" s="124">
        <f>IF(E2559&gt;=5000,5,IF(E2559&gt;=2000,4,IF(E2559&gt;=800,3,IF(E2559&gt;=300,2,1))))</f>
        <v/>
      </c>
      <c r="I2559" s="122">
        <f>TEXT(F2559,"0")&amp;TEXT(G2559,"0")&amp;TEXT(H2559,"0")</f>
        <v/>
      </c>
      <c r="J2559" s="122">
        <f>IFERROR(XLOOKUP(I2559,'Segment Map'!A:A,'Segment Map'!B:B,"Need Attention"),"Need Attention")</f>
        <v/>
      </c>
      <c r="K2559" s="122">
        <f>IF(E2559&gt;=5000,"🏆 Platinum",IF(E2559&gt;=2000,"🥇 Gold",IF(E2559&gt;=800,"🥈 Silver","🥉 Bronze")))</f>
        <v/>
      </c>
      <c r="L2559" s="125" t="n">
        <v>40842</v>
      </c>
    </row>
    <row r="2560">
      <c r="A2560" s="126" t="n">
        <v>15822</v>
      </c>
      <c r="B2560" s="126" t="inlineStr">
        <is>
          <t>United Kingdom</t>
        </is>
      </c>
      <c r="C2560" s="126" t="n">
        <v>4</v>
      </c>
      <c r="D2560" s="126" t="n">
        <v>2</v>
      </c>
      <c r="E2560" s="127" t="n">
        <v>885.47</v>
      </c>
      <c r="F2560" s="128">
        <f>IF(C2560&lt;=30,5,IF(C2560&lt;=60,4,IF(C2560&lt;=120,3,IF(C2560&lt;=200,2,1))))</f>
        <v/>
      </c>
      <c r="G2560" s="128">
        <f>IF(D2560&gt;=20,5,IF(D2560&gt;=10,4,IF(D2560&gt;=5,3,IF(D2560&gt;=2,2,1))))</f>
        <v/>
      </c>
      <c r="H2560" s="128">
        <f>IF(E2560&gt;=5000,5,IF(E2560&gt;=2000,4,IF(E2560&gt;=800,3,IF(E2560&gt;=300,2,1))))</f>
        <v/>
      </c>
      <c r="I2560" s="126">
        <f>TEXT(F2560,"0")&amp;TEXT(G2560,"0")&amp;TEXT(H2560,"0")</f>
        <v/>
      </c>
      <c r="J2560" s="126">
        <f>IFERROR(XLOOKUP(I2560,'Segment Map'!A:A,'Segment Map'!B:B,"Need Attention"),"Need Attention")</f>
        <v/>
      </c>
      <c r="K2560" s="126">
        <f>IF(E2560&gt;=5000,"🏆 Platinum",IF(E2560&gt;=2000,"🥇 Gold",IF(E2560&gt;=800,"🥈 Silver","🥉 Bronze")))</f>
        <v/>
      </c>
      <c r="L2560" s="129" t="n">
        <v>40883</v>
      </c>
    </row>
    <row r="2561">
      <c r="A2561" s="122" t="n">
        <v>15823</v>
      </c>
      <c r="B2561" s="122" t="inlineStr">
        <is>
          <t>United Kingdom</t>
        </is>
      </c>
      <c r="C2561" s="122" t="n">
        <v>373</v>
      </c>
      <c r="D2561" s="122" t="n">
        <v>1</v>
      </c>
      <c r="E2561" s="123" t="n">
        <v>15</v>
      </c>
      <c r="F2561" s="124">
        <f>IF(C2561&lt;=30,5,IF(C2561&lt;=60,4,IF(C2561&lt;=120,3,IF(C2561&lt;=200,2,1))))</f>
        <v/>
      </c>
      <c r="G2561" s="124">
        <f>IF(D2561&gt;=20,5,IF(D2561&gt;=10,4,IF(D2561&gt;=5,3,IF(D2561&gt;=2,2,1))))</f>
        <v/>
      </c>
      <c r="H2561" s="124">
        <f>IF(E2561&gt;=5000,5,IF(E2561&gt;=2000,4,IF(E2561&gt;=800,3,IF(E2561&gt;=300,2,1))))</f>
        <v/>
      </c>
      <c r="I2561" s="122">
        <f>TEXT(F2561,"0")&amp;TEXT(G2561,"0")&amp;TEXT(H2561,"0")</f>
        <v/>
      </c>
      <c r="J2561" s="122">
        <f>IFERROR(XLOOKUP(I2561,'Segment Map'!A:A,'Segment Map'!B:B,"Need Attention"),"Need Attention")</f>
        <v/>
      </c>
      <c r="K2561" s="122">
        <f>IF(E2561&gt;=5000,"🏆 Platinum",IF(E2561&gt;=2000,"🥇 Gold",IF(E2561&gt;=800,"🥈 Silver","🥉 Bronze")))</f>
        <v/>
      </c>
      <c r="L2561" s="125" t="n">
        <v>40514</v>
      </c>
    </row>
    <row r="2562">
      <c r="A2562" s="126" t="n">
        <v>15825</v>
      </c>
      <c r="B2562" s="126" t="inlineStr">
        <is>
          <t>United Kingdom</t>
        </is>
      </c>
      <c r="C2562" s="126" t="n">
        <v>173</v>
      </c>
      <c r="D2562" s="126" t="n">
        <v>1</v>
      </c>
      <c r="E2562" s="127" t="n">
        <v>532.9400000000001</v>
      </c>
      <c r="F2562" s="128">
        <f>IF(C2562&lt;=30,5,IF(C2562&lt;=60,4,IF(C2562&lt;=120,3,IF(C2562&lt;=200,2,1))))</f>
        <v/>
      </c>
      <c r="G2562" s="128">
        <f>IF(D2562&gt;=20,5,IF(D2562&gt;=10,4,IF(D2562&gt;=5,3,IF(D2562&gt;=2,2,1))))</f>
        <v/>
      </c>
      <c r="H2562" s="128">
        <f>IF(E2562&gt;=5000,5,IF(E2562&gt;=2000,4,IF(E2562&gt;=800,3,IF(E2562&gt;=300,2,1))))</f>
        <v/>
      </c>
      <c r="I2562" s="126">
        <f>TEXT(F2562,"0")&amp;TEXT(G2562,"0")&amp;TEXT(H2562,"0")</f>
        <v/>
      </c>
      <c r="J2562" s="126">
        <f>IFERROR(XLOOKUP(I2562,'Segment Map'!A:A,'Segment Map'!B:B,"Need Attention"),"Need Attention")</f>
        <v/>
      </c>
      <c r="K2562" s="126">
        <f>IF(E2562&gt;=5000,"🏆 Platinum",IF(E2562&gt;=2000,"🥇 Gold",IF(E2562&gt;=800,"🥈 Silver","🥉 Bronze")))</f>
        <v/>
      </c>
      <c r="L2562" s="129" t="n">
        <v>40714</v>
      </c>
    </row>
    <row r="2563">
      <c r="A2563" s="122" t="n">
        <v>15826</v>
      </c>
      <c r="B2563" s="122" t="inlineStr">
        <is>
          <t>United Kingdom</t>
        </is>
      </c>
      <c r="C2563" s="122" t="n">
        <v>57</v>
      </c>
      <c r="D2563" s="122" t="n">
        <v>3</v>
      </c>
      <c r="E2563" s="123" t="n">
        <v>1654.31</v>
      </c>
      <c r="F2563" s="124">
        <f>IF(C2563&lt;=30,5,IF(C2563&lt;=60,4,IF(C2563&lt;=120,3,IF(C2563&lt;=200,2,1))))</f>
        <v/>
      </c>
      <c r="G2563" s="124">
        <f>IF(D2563&gt;=20,5,IF(D2563&gt;=10,4,IF(D2563&gt;=5,3,IF(D2563&gt;=2,2,1))))</f>
        <v/>
      </c>
      <c r="H2563" s="124">
        <f>IF(E2563&gt;=5000,5,IF(E2563&gt;=2000,4,IF(E2563&gt;=800,3,IF(E2563&gt;=300,2,1))))</f>
        <v/>
      </c>
      <c r="I2563" s="122">
        <f>TEXT(F2563,"0")&amp;TEXT(G2563,"0")&amp;TEXT(H2563,"0")</f>
        <v/>
      </c>
      <c r="J2563" s="122">
        <f>IFERROR(XLOOKUP(I2563,'Segment Map'!A:A,'Segment Map'!B:B,"Need Attention"),"Need Attention")</f>
        <v/>
      </c>
      <c r="K2563" s="122">
        <f>IF(E2563&gt;=5000,"🏆 Platinum",IF(E2563&gt;=2000,"🥇 Gold",IF(E2563&gt;=800,"🥈 Silver","🥉 Bronze")))</f>
        <v/>
      </c>
      <c r="L2563" s="125" t="n">
        <v>40830</v>
      </c>
    </row>
    <row r="2564">
      <c r="A2564" s="126" t="n">
        <v>15827</v>
      </c>
      <c r="B2564" s="126" t="inlineStr">
        <is>
          <t>United Kingdom</t>
        </is>
      </c>
      <c r="C2564" s="126" t="n">
        <v>74</v>
      </c>
      <c r="D2564" s="126" t="n">
        <v>14</v>
      </c>
      <c r="E2564" s="127" t="n">
        <v>1836.09</v>
      </c>
      <c r="F2564" s="128">
        <f>IF(C2564&lt;=30,5,IF(C2564&lt;=60,4,IF(C2564&lt;=120,3,IF(C2564&lt;=200,2,1))))</f>
        <v/>
      </c>
      <c r="G2564" s="128">
        <f>IF(D2564&gt;=20,5,IF(D2564&gt;=10,4,IF(D2564&gt;=5,3,IF(D2564&gt;=2,2,1))))</f>
        <v/>
      </c>
      <c r="H2564" s="128">
        <f>IF(E2564&gt;=5000,5,IF(E2564&gt;=2000,4,IF(E2564&gt;=800,3,IF(E2564&gt;=300,2,1))))</f>
        <v/>
      </c>
      <c r="I2564" s="126">
        <f>TEXT(F2564,"0")&amp;TEXT(G2564,"0")&amp;TEXT(H2564,"0")</f>
        <v/>
      </c>
      <c r="J2564" s="126">
        <f>IFERROR(XLOOKUP(I2564,'Segment Map'!A:A,'Segment Map'!B:B,"Need Attention"),"Need Attention")</f>
        <v/>
      </c>
      <c r="K2564" s="126">
        <f>IF(E2564&gt;=5000,"🏆 Platinum",IF(E2564&gt;=2000,"🥇 Gold",IF(E2564&gt;=800,"🥈 Silver","🥉 Bronze")))</f>
        <v/>
      </c>
      <c r="L2564" s="129" t="n">
        <v>40813</v>
      </c>
    </row>
    <row r="2565">
      <c r="A2565" s="122" t="n">
        <v>15829</v>
      </c>
      <c r="B2565" s="122" t="inlineStr">
        <is>
          <t>United Kingdom</t>
        </is>
      </c>
      <c r="C2565" s="122" t="n">
        <v>100</v>
      </c>
      <c r="D2565" s="122" t="n">
        <v>2</v>
      </c>
      <c r="E2565" s="123" t="n">
        <v>636.14</v>
      </c>
      <c r="F2565" s="124">
        <f>IF(C2565&lt;=30,5,IF(C2565&lt;=60,4,IF(C2565&lt;=120,3,IF(C2565&lt;=200,2,1))))</f>
        <v/>
      </c>
      <c r="G2565" s="124">
        <f>IF(D2565&gt;=20,5,IF(D2565&gt;=10,4,IF(D2565&gt;=5,3,IF(D2565&gt;=2,2,1))))</f>
        <v/>
      </c>
      <c r="H2565" s="124">
        <f>IF(E2565&gt;=5000,5,IF(E2565&gt;=2000,4,IF(E2565&gt;=800,3,IF(E2565&gt;=300,2,1))))</f>
        <v/>
      </c>
      <c r="I2565" s="122">
        <f>TEXT(F2565,"0")&amp;TEXT(G2565,"0")&amp;TEXT(H2565,"0")</f>
        <v/>
      </c>
      <c r="J2565" s="122">
        <f>IFERROR(XLOOKUP(I2565,'Segment Map'!A:A,'Segment Map'!B:B,"Need Attention"),"Need Attention")</f>
        <v/>
      </c>
      <c r="K2565" s="122">
        <f>IF(E2565&gt;=5000,"🏆 Platinum",IF(E2565&gt;=2000,"🥇 Gold",IF(E2565&gt;=800,"🥈 Silver","🥉 Bronze")))</f>
        <v/>
      </c>
      <c r="L2565" s="125" t="n">
        <v>40787</v>
      </c>
    </row>
    <row r="2566">
      <c r="A2566" s="126" t="n">
        <v>15830</v>
      </c>
      <c r="B2566" s="126" t="inlineStr">
        <is>
          <t>United Kingdom</t>
        </is>
      </c>
      <c r="C2566" s="126" t="n">
        <v>38</v>
      </c>
      <c r="D2566" s="126" t="n">
        <v>1</v>
      </c>
      <c r="E2566" s="127" t="n">
        <v>576</v>
      </c>
      <c r="F2566" s="128">
        <f>IF(C2566&lt;=30,5,IF(C2566&lt;=60,4,IF(C2566&lt;=120,3,IF(C2566&lt;=200,2,1))))</f>
        <v/>
      </c>
      <c r="G2566" s="128">
        <f>IF(D2566&gt;=20,5,IF(D2566&gt;=10,4,IF(D2566&gt;=5,3,IF(D2566&gt;=2,2,1))))</f>
        <v/>
      </c>
      <c r="H2566" s="128">
        <f>IF(E2566&gt;=5000,5,IF(E2566&gt;=2000,4,IF(E2566&gt;=800,3,IF(E2566&gt;=300,2,1))))</f>
        <v/>
      </c>
      <c r="I2566" s="126">
        <f>TEXT(F2566,"0")&amp;TEXT(G2566,"0")&amp;TEXT(H2566,"0")</f>
        <v/>
      </c>
      <c r="J2566" s="126">
        <f>IFERROR(XLOOKUP(I2566,'Segment Map'!A:A,'Segment Map'!B:B,"Need Attention"),"Need Attention")</f>
        <v/>
      </c>
      <c r="K2566" s="126">
        <f>IF(E2566&gt;=5000,"🏆 Platinum",IF(E2566&gt;=2000,"🥇 Gold",IF(E2566&gt;=800,"🥈 Silver","🥉 Bronze")))</f>
        <v/>
      </c>
      <c r="L2566" s="129" t="n">
        <v>40849</v>
      </c>
    </row>
    <row r="2567">
      <c r="A2567" s="122" t="n">
        <v>15831</v>
      </c>
      <c r="B2567" s="122" t="inlineStr">
        <is>
          <t>United Kingdom</t>
        </is>
      </c>
      <c r="C2567" s="122" t="n">
        <v>59</v>
      </c>
      <c r="D2567" s="122" t="n">
        <v>3</v>
      </c>
      <c r="E2567" s="123" t="n">
        <v>801.76</v>
      </c>
      <c r="F2567" s="124">
        <f>IF(C2567&lt;=30,5,IF(C2567&lt;=60,4,IF(C2567&lt;=120,3,IF(C2567&lt;=200,2,1))))</f>
        <v/>
      </c>
      <c r="G2567" s="124">
        <f>IF(D2567&gt;=20,5,IF(D2567&gt;=10,4,IF(D2567&gt;=5,3,IF(D2567&gt;=2,2,1))))</f>
        <v/>
      </c>
      <c r="H2567" s="124">
        <f>IF(E2567&gt;=5000,5,IF(E2567&gt;=2000,4,IF(E2567&gt;=800,3,IF(E2567&gt;=300,2,1))))</f>
        <v/>
      </c>
      <c r="I2567" s="122">
        <f>TEXT(F2567,"0")&amp;TEXT(G2567,"0")&amp;TEXT(H2567,"0")</f>
        <v/>
      </c>
      <c r="J2567" s="122">
        <f>IFERROR(XLOOKUP(I2567,'Segment Map'!A:A,'Segment Map'!B:B,"Need Attention"),"Need Attention")</f>
        <v/>
      </c>
      <c r="K2567" s="122">
        <f>IF(E2567&gt;=5000,"🏆 Platinum",IF(E2567&gt;=2000,"🥇 Gold",IF(E2567&gt;=800,"🥈 Silver","🥉 Bronze")))</f>
        <v/>
      </c>
      <c r="L2567" s="125" t="n">
        <v>40828</v>
      </c>
    </row>
    <row r="2568">
      <c r="A2568" s="126" t="n">
        <v>15832</v>
      </c>
      <c r="B2568" s="126" t="inlineStr">
        <is>
          <t>United Kingdom</t>
        </is>
      </c>
      <c r="C2568" s="126" t="n">
        <v>255</v>
      </c>
      <c r="D2568" s="126" t="n">
        <v>1</v>
      </c>
      <c r="E2568" s="127" t="n">
        <v>836.79</v>
      </c>
      <c r="F2568" s="128">
        <f>IF(C2568&lt;=30,5,IF(C2568&lt;=60,4,IF(C2568&lt;=120,3,IF(C2568&lt;=200,2,1))))</f>
        <v/>
      </c>
      <c r="G2568" s="128">
        <f>IF(D2568&gt;=20,5,IF(D2568&gt;=10,4,IF(D2568&gt;=5,3,IF(D2568&gt;=2,2,1))))</f>
        <v/>
      </c>
      <c r="H2568" s="128">
        <f>IF(E2568&gt;=5000,5,IF(E2568&gt;=2000,4,IF(E2568&gt;=800,3,IF(E2568&gt;=300,2,1))))</f>
        <v/>
      </c>
      <c r="I2568" s="126">
        <f>TEXT(F2568,"0")&amp;TEXT(G2568,"0")&amp;TEXT(H2568,"0")</f>
        <v/>
      </c>
      <c r="J2568" s="126">
        <f>IFERROR(XLOOKUP(I2568,'Segment Map'!A:A,'Segment Map'!B:B,"Need Attention"),"Need Attention")</f>
        <v/>
      </c>
      <c r="K2568" s="126">
        <f>IF(E2568&gt;=5000,"🏆 Platinum",IF(E2568&gt;=2000,"🥇 Gold",IF(E2568&gt;=800,"🥈 Silver","🥉 Bronze")))</f>
        <v/>
      </c>
      <c r="L2568" s="129" t="n">
        <v>40632</v>
      </c>
    </row>
    <row r="2569">
      <c r="A2569" s="122" t="n">
        <v>15834</v>
      </c>
      <c r="B2569" s="122" t="inlineStr">
        <is>
          <t>United Kingdom</t>
        </is>
      </c>
      <c r="C2569" s="122" t="n">
        <v>71</v>
      </c>
      <c r="D2569" s="122" t="n">
        <v>4</v>
      </c>
      <c r="E2569" s="123" t="n">
        <v>2233.75</v>
      </c>
      <c r="F2569" s="124">
        <f>IF(C2569&lt;=30,5,IF(C2569&lt;=60,4,IF(C2569&lt;=120,3,IF(C2569&lt;=200,2,1))))</f>
        <v/>
      </c>
      <c r="G2569" s="124">
        <f>IF(D2569&gt;=20,5,IF(D2569&gt;=10,4,IF(D2569&gt;=5,3,IF(D2569&gt;=2,2,1))))</f>
        <v/>
      </c>
      <c r="H2569" s="124">
        <f>IF(E2569&gt;=5000,5,IF(E2569&gt;=2000,4,IF(E2569&gt;=800,3,IF(E2569&gt;=300,2,1))))</f>
        <v/>
      </c>
      <c r="I2569" s="122">
        <f>TEXT(F2569,"0")&amp;TEXT(G2569,"0")&amp;TEXT(H2569,"0")</f>
        <v/>
      </c>
      <c r="J2569" s="122">
        <f>IFERROR(XLOOKUP(I2569,'Segment Map'!A:A,'Segment Map'!B:B,"Need Attention"),"Need Attention")</f>
        <v/>
      </c>
      <c r="K2569" s="122">
        <f>IF(E2569&gt;=5000,"🏆 Platinum",IF(E2569&gt;=2000,"🥇 Gold",IF(E2569&gt;=800,"🥈 Silver","🥉 Bronze")))</f>
        <v/>
      </c>
      <c r="L2569" s="125" t="n">
        <v>40816</v>
      </c>
    </row>
    <row r="2570">
      <c r="A2570" s="126" t="n">
        <v>15835</v>
      </c>
      <c r="B2570" s="126" t="inlineStr">
        <is>
          <t>United Kingdom</t>
        </is>
      </c>
      <c r="C2570" s="126" t="n">
        <v>45</v>
      </c>
      <c r="D2570" s="126" t="n">
        <v>4</v>
      </c>
      <c r="E2570" s="127" t="n">
        <v>954.09</v>
      </c>
      <c r="F2570" s="128">
        <f>IF(C2570&lt;=30,5,IF(C2570&lt;=60,4,IF(C2570&lt;=120,3,IF(C2570&lt;=200,2,1))))</f>
        <v/>
      </c>
      <c r="G2570" s="128">
        <f>IF(D2570&gt;=20,5,IF(D2570&gt;=10,4,IF(D2570&gt;=5,3,IF(D2570&gt;=2,2,1))))</f>
        <v/>
      </c>
      <c r="H2570" s="128">
        <f>IF(E2570&gt;=5000,5,IF(E2570&gt;=2000,4,IF(E2570&gt;=800,3,IF(E2570&gt;=300,2,1))))</f>
        <v/>
      </c>
      <c r="I2570" s="126">
        <f>TEXT(F2570,"0")&amp;TEXT(G2570,"0")&amp;TEXT(H2570,"0")</f>
        <v/>
      </c>
      <c r="J2570" s="126">
        <f>IFERROR(XLOOKUP(I2570,'Segment Map'!A:A,'Segment Map'!B:B,"Need Attention"),"Need Attention")</f>
        <v/>
      </c>
      <c r="K2570" s="126">
        <f>IF(E2570&gt;=5000,"🏆 Platinum",IF(E2570&gt;=2000,"🥇 Gold",IF(E2570&gt;=800,"🥈 Silver","🥉 Bronze")))</f>
        <v/>
      </c>
      <c r="L2570" s="129" t="n">
        <v>40842</v>
      </c>
    </row>
    <row r="2571">
      <c r="A2571" s="122" t="n">
        <v>15836</v>
      </c>
      <c r="B2571" s="122" t="inlineStr">
        <is>
          <t>United Kingdom</t>
        </is>
      </c>
      <c r="C2571" s="122" t="n">
        <v>51</v>
      </c>
      <c r="D2571" s="122" t="n">
        <v>1</v>
      </c>
      <c r="E2571" s="123" t="n">
        <v>137.37</v>
      </c>
      <c r="F2571" s="124">
        <f>IF(C2571&lt;=30,5,IF(C2571&lt;=60,4,IF(C2571&lt;=120,3,IF(C2571&lt;=200,2,1))))</f>
        <v/>
      </c>
      <c r="G2571" s="124">
        <f>IF(D2571&gt;=20,5,IF(D2571&gt;=10,4,IF(D2571&gt;=5,3,IF(D2571&gt;=2,2,1))))</f>
        <v/>
      </c>
      <c r="H2571" s="124">
        <f>IF(E2571&gt;=5000,5,IF(E2571&gt;=2000,4,IF(E2571&gt;=800,3,IF(E2571&gt;=300,2,1))))</f>
        <v/>
      </c>
      <c r="I2571" s="122">
        <f>TEXT(F2571,"0")&amp;TEXT(G2571,"0")&amp;TEXT(H2571,"0")</f>
        <v/>
      </c>
      <c r="J2571" s="122">
        <f>IFERROR(XLOOKUP(I2571,'Segment Map'!A:A,'Segment Map'!B:B,"Need Attention"),"Need Attention")</f>
        <v/>
      </c>
      <c r="K2571" s="122">
        <f>IF(E2571&gt;=5000,"🏆 Platinum",IF(E2571&gt;=2000,"🥇 Gold",IF(E2571&gt;=800,"🥈 Silver","🥉 Bronze")))</f>
        <v/>
      </c>
      <c r="L2571" s="125" t="n">
        <v>40836</v>
      </c>
    </row>
    <row r="2572">
      <c r="A2572" s="126" t="n">
        <v>15837</v>
      </c>
      <c r="B2572" s="126" t="inlineStr">
        <is>
          <t>United Kingdom</t>
        </is>
      </c>
      <c r="C2572" s="126" t="n">
        <v>65</v>
      </c>
      <c r="D2572" s="126" t="n">
        <v>1</v>
      </c>
      <c r="E2572" s="127" t="n">
        <v>391.98</v>
      </c>
      <c r="F2572" s="128">
        <f>IF(C2572&lt;=30,5,IF(C2572&lt;=60,4,IF(C2572&lt;=120,3,IF(C2572&lt;=200,2,1))))</f>
        <v/>
      </c>
      <c r="G2572" s="128">
        <f>IF(D2572&gt;=20,5,IF(D2572&gt;=10,4,IF(D2572&gt;=5,3,IF(D2572&gt;=2,2,1))))</f>
        <v/>
      </c>
      <c r="H2572" s="128">
        <f>IF(E2572&gt;=5000,5,IF(E2572&gt;=2000,4,IF(E2572&gt;=800,3,IF(E2572&gt;=300,2,1))))</f>
        <v/>
      </c>
      <c r="I2572" s="126">
        <f>TEXT(F2572,"0")&amp;TEXT(G2572,"0")&amp;TEXT(H2572,"0")</f>
        <v/>
      </c>
      <c r="J2572" s="126">
        <f>IFERROR(XLOOKUP(I2572,'Segment Map'!A:A,'Segment Map'!B:B,"Need Attention"),"Need Attention")</f>
        <v/>
      </c>
      <c r="K2572" s="126">
        <f>IF(E2572&gt;=5000,"🏆 Platinum",IF(E2572&gt;=2000,"🥇 Gold",IF(E2572&gt;=800,"🥈 Silver","🥉 Bronze")))</f>
        <v/>
      </c>
      <c r="L2572" s="129" t="n">
        <v>40822</v>
      </c>
    </row>
    <row r="2573">
      <c r="A2573" s="122" t="n">
        <v>15838</v>
      </c>
      <c r="B2573" s="122" t="inlineStr">
        <is>
          <t>United Kingdom</t>
        </is>
      </c>
      <c r="C2573" s="122" t="n">
        <v>12</v>
      </c>
      <c r="D2573" s="122" t="n">
        <v>19</v>
      </c>
      <c r="E2573" s="123" t="n">
        <v>33643.08</v>
      </c>
      <c r="F2573" s="124">
        <f>IF(C2573&lt;=30,5,IF(C2573&lt;=60,4,IF(C2573&lt;=120,3,IF(C2573&lt;=200,2,1))))</f>
        <v/>
      </c>
      <c r="G2573" s="124">
        <f>IF(D2573&gt;=20,5,IF(D2573&gt;=10,4,IF(D2573&gt;=5,3,IF(D2573&gt;=2,2,1))))</f>
        <v/>
      </c>
      <c r="H2573" s="124">
        <f>IF(E2573&gt;=5000,5,IF(E2573&gt;=2000,4,IF(E2573&gt;=800,3,IF(E2573&gt;=300,2,1))))</f>
        <v/>
      </c>
      <c r="I2573" s="122">
        <f>TEXT(F2573,"0")&amp;TEXT(G2573,"0")&amp;TEXT(H2573,"0")</f>
        <v/>
      </c>
      <c r="J2573" s="122">
        <f>IFERROR(XLOOKUP(I2573,'Segment Map'!A:A,'Segment Map'!B:B,"Need Attention"),"Need Attention")</f>
        <v/>
      </c>
      <c r="K2573" s="122">
        <f>IF(E2573&gt;=5000,"🏆 Platinum",IF(E2573&gt;=2000,"🥇 Gold",IF(E2573&gt;=800,"🥈 Silver","🥉 Bronze")))</f>
        <v/>
      </c>
      <c r="L2573" s="125" t="n">
        <v>40875</v>
      </c>
    </row>
    <row r="2574">
      <c r="A2574" s="126" t="n">
        <v>15839</v>
      </c>
      <c r="B2574" s="126" t="inlineStr">
        <is>
          <t>United Kingdom</t>
        </is>
      </c>
      <c r="C2574" s="126" t="n">
        <v>34</v>
      </c>
      <c r="D2574" s="126" t="n">
        <v>3</v>
      </c>
      <c r="E2574" s="127" t="n">
        <v>1048.49</v>
      </c>
      <c r="F2574" s="128">
        <f>IF(C2574&lt;=30,5,IF(C2574&lt;=60,4,IF(C2574&lt;=120,3,IF(C2574&lt;=200,2,1))))</f>
        <v/>
      </c>
      <c r="G2574" s="128">
        <f>IF(D2574&gt;=20,5,IF(D2574&gt;=10,4,IF(D2574&gt;=5,3,IF(D2574&gt;=2,2,1))))</f>
        <v/>
      </c>
      <c r="H2574" s="128">
        <f>IF(E2574&gt;=5000,5,IF(E2574&gt;=2000,4,IF(E2574&gt;=800,3,IF(E2574&gt;=300,2,1))))</f>
        <v/>
      </c>
      <c r="I2574" s="126">
        <f>TEXT(F2574,"0")&amp;TEXT(G2574,"0")&amp;TEXT(H2574,"0")</f>
        <v/>
      </c>
      <c r="J2574" s="126">
        <f>IFERROR(XLOOKUP(I2574,'Segment Map'!A:A,'Segment Map'!B:B,"Need Attention"),"Need Attention")</f>
        <v/>
      </c>
      <c r="K2574" s="126">
        <f>IF(E2574&gt;=5000,"🏆 Platinum",IF(E2574&gt;=2000,"🥇 Gold",IF(E2574&gt;=800,"🥈 Silver","🥉 Bronze")))</f>
        <v/>
      </c>
      <c r="L2574" s="129" t="n">
        <v>40853</v>
      </c>
    </row>
    <row r="2575">
      <c r="A2575" s="122" t="n">
        <v>15840</v>
      </c>
      <c r="B2575" s="122" t="inlineStr">
        <is>
          <t>United Kingdom</t>
        </is>
      </c>
      <c r="C2575" s="122" t="n">
        <v>59</v>
      </c>
      <c r="D2575" s="122" t="n">
        <v>2</v>
      </c>
      <c r="E2575" s="123" t="n">
        <v>355.56</v>
      </c>
      <c r="F2575" s="124">
        <f>IF(C2575&lt;=30,5,IF(C2575&lt;=60,4,IF(C2575&lt;=120,3,IF(C2575&lt;=200,2,1))))</f>
        <v/>
      </c>
      <c r="G2575" s="124">
        <f>IF(D2575&gt;=20,5,IF(D2575&gt;=10,4,IF(D2575&gt;=5,3,IF(D2575&gt;=2,2,1))))</f>
        <v/>
      </c>
      <c r="H2575" s="124">
        <f>IF(E2575&gt;=5000,5,IF(E2575&gt;=2000,4,IF(E2575&gt;=800,3,IF(E2575&gt;=300,2,1))))</f>
        <v/>
      </c>
      <c r="I2575" s="122">
        <f>TEXT(F2575,"0")&amp;TEXT(G2575,"0")&amp;TEXT(H2575,"0")</f>
        <v/>
      </c>
      <c r="J2575" s="122">
        <f>IFERROR(XLOOKUP(I2575,'Segment Map'!A:A,'Segment Map'!B:B,"Need Attention"),"Need Attention")</f>
        <v/>
      </c>
      <c r="K2575" s="122">
        <f>IF(E2575&gt;=5000,"🏆 Platinum",IF(E2575&gt;=2000,"🥇 Gold",IF(E2575&gt;=800,"🥈 Silver","🥉 Bronze")))</f>
        <v/>
      </c>
      <c r="L2575" s="125" t="n">
        <v>40828</v>
      </c>
    </row>
    <row r="2576">
      <c r="A2576" s="126" t="n">
        <v>15841</v>
      </c>
      <c r="B2576" s="126" t="inlineStr">
        <is>
          <t>United Kingdom</t>
        </is>
      </c>
      <c r="C2576" s="126" t="n">
        <v>73</v>
      </c>
      <c r="D2576" s="126" t="n">
        <v>4</v>
      </c>
      <c r="E2576" s="127" t="n">
        <v>1224.06</v>
      </c>
      <c r="F2576" s="128">
        <f>IF(C2576&lt;=30,5,IF(C2576&lt;=60,4,IF(C2576&lt;=120,3,IF(C2576&lt;=200,2,1))))</f>
        <v/>
      </c>
      <c r="G2576" s="128">
        <f>IF(D2576&gt;=20,5,IF(D2576&gt;=10,4,IF(D2576&gt;=5,3,IF(D2576&gt;=2,2,1))))</f>
        <v/>
      </c>
      <c r="H2576" s="128">
        <f>IF(E2576&gt;=5000,5,IF(E2576&gt;=2000,4,IF(E2576&gt;=800,3,IF(E2576&gt;=300,2,1))))</f>
        <v/>
      </c>
      <c r="I2576" s="126">
        <f>TEXT(F2576,"0")&amp;TEXT(G2576,"0")&amp;TEXT(H2576,"0")</f>
        <v/>
      </c>
      <c r="J2576" s="126">
        <f>IFERROR(XLOOKUP(I2576,'Segment Map'!A:A,'Segment Map'!B:B,"Need Attention"),"Need Attention")</f>
        <v/>
      </c>
      <c r="K2576" s="126">
        <f>IF(E2576&gt;=5000,"🏆 Platinum",IF(E2576&gt;=2000,"🥇 Gold",IF(E2576&gt;=800,"🥈 Silver","🥉 Bronze")))</f>
        <v/>
      </c>
      <c r="L2576" s="129" t="n">
        <v>40814</v>
      </c>
    </row>
    <row r="2577">
      <c r="A2577" s="122" t="n">
        <v>15843</v>
      </c>
      <c r="B2577" s="122" t="inlineStr">
        <is>
          <t>United Kingdom</t>
        </is>
      </c>
      <c r="C2577" s="122" t="n">
        <v>304</v>
      </c>
      <c r="D2577" s="122" t="n">
        <v>1</v>
      </c>
      <c r="E2577" s="123" t="n">
        <v>118.95</v>
      </c>
      <c r="F2577" s="124">
        <f>IF(C2577&lt;=30,5,IF(C2577&lt;=60,4,IF(C2577&lt;=120,3,IF(C2577&lt;=200,2,1))))</f>
        <v/>
      </c>
      <c r="G2577" s="124">
        <f>IF(D2577&gt;=20,5,IF(D2577&gt;=10,4,IF(D2577&gt;=5,3,IF(D2577&gt;=2,2,1))))</f>
        <v/>
      </c>
      <c r="H2577" s="124">
        <f>IF(E2577&gt;=5000,5,IF(E2577&gt;=2000,4,IF(E2577&gt;=800,3,IF(E2577&gt;=300,2,1))))</f>
        <v/>
      </c>
      <c r="I2577" s="122">
        <f>TEXT(F2577,"0")&amp;TEXT(G2577,"0")&amp;TEXT(H2577,"0")</f>
        <v/>
      </c>
      <c r="J2577" s="122">
        <f>IFERROR(XLOOKUP(I2577,'Segment Map'!A:A,'Segment Map'!B:B,"Need Attention"),"Need Attention")</f>
        <v/>
      </c>
      <c r="K2577" s="122">
        <f>IF(E2577&gt;=5000,"🏆 Platinum",IF(E2577&gt;=2000,"🥇 Gold",IF(E2577&gt;=800,"🥈 Silver","🥉 Bronze")))</f>
        <v/>
      </c>
      <c r="L2577" s="125" t="n">
        <v>40583</v>
      </c>
    </row>
    <row r="2578">
      <c r="A2578" s="126" t="n">
        <v>15844</v>
      </c>
      <c r="B2578" s="126" t="inlineStr">
        <is>
          <t>United Kingdom</t>
        </is>
      </c>
      <c r="C2578" s="126" t="n">
        <v>47</v>
      </c>
      <c r="D2578" s="126" t="n">
        <v>1</v>
      </c>
      <c r="E2578" s="127" t="n">
        <v>130.74</v>
      </c>
      <c r="F2578" s="128">
        <f>IF(C2578&lt;=30,5,IF(C2578&lt;=60,4,IF(C2578&lt;=120,3,IF(C2578&lt;=200,2,1))))</f>
        <v/>
      </c>
      <c r="G2578" s="128">
        <f>IF(D2578&gt;=20,5,IF(D2578&gt;=10,4,IF(D2578&gt;=5,3,IF(D2578&gt;=2,2,1))))</f>
        <v/>
      </c>
      <c r="H2578" s="128">
        <f>IF(E2578&gt;=5000,5,IF(E2578&gt;=2000,4,IF(E2578&gt;=800,3,IF(E2578&gt;=300,2,1))))</f>
        <v/>
      </c>
      <c r="I2578" s="126">
        <f>TEXT(F2578,"0")&amp;TEXT(G2578,"0")&amp;TEXT(H2578,"0")</f>
        <v/>
      </c>
      <c r="J2578" s="126">
        <f>IFERROR(XLOOKUP(I2578,'Segment Map'!A:A,'Segment Map'!B:B,"Need Attention"),"Need Attention")</f>
        <v/>
      </c>
      <c r="K2578" s="126">
        <f>IF(E2578&gt;=5000,"🏆 Platinum",IF(E2578&gt;=2000,"🥇 Gold",IF(E2578&gt;=800,"🥈 Silver","🥉 Bronze")))</f>
        <v/>
      </c>
      <c r="L2578" s="129" t="n">
        <v>40840</v>
      </c>
    </row>
    <row r="2579">
      <c r="A2579" s="122" t="n">
        <v>15845</v>
      </c>
      <c r="B2579" s="122" t="inlineStr">
        <is>
          <t>United Kingdom</t>
        </is>
      </c>
      <c r="C2579" s="122" t="n">
        <v>18</v>
      </c>
      <c r="D2579" s="122" t="n">
        <v>8</v>
      </c>
      <c r="E2579" s="123" t="n">
        <v>3711.77</v>
      </c>
      <c r="F2579" s="124">
        <f>IF(C2579&lt;=30,5,IF(C2579&lt;=60,4,IF(C2579&lt;=120,3,IF(C2579&lt;=200,2,1))))</f>
        <v/>
      </c>
      <c r="G2579" s="124">
        <f>IF(D2579&gt;=20,5,IF(D2579&gt;=10,4,IF(D2579&gt;=5,3,IF(D2579&gt;=2,2,1))))</f>
        <v/>
      </c>
      <c r="H2579" s="124">
        <f>IF(E2579&gt;=5000,5,IF(E2579&gt;=2000,4,IF(E2579&gt;=800,3,IF(E2579&gt;=300,2,1))))</f>
        <v/>
      </c>
      <c r="I2579" s="122">
        <f>TEXT(F2579,"0")&amp;TEXT(G2579,"0")&amp;TEXT(H2579,"0")</f>
        <v/>
      </c>
      <c r="J2579" s="122">
        <f>IFERROR(XLOOKUP(I2579,'Segment Map'!A:A,'Segment Map'!B:B,"Need Attention"),"Need Attention")</f>
        <v/>
      </c>
      <c r="K2579" s="122">
        <f>IF(E2579&gt;=5000,"🏆 Platinum",IF(E2579&gt;=2000,"🥇 Gold",IF(E2579&gt;=800,"🥈 Silver","🥉 Bronze")))</f>
        <v/>
      </c>
      <c r="L2579" s="125" t="n">
        <v>40869</v>
      </c>
    </row>
    <row r="2580">
      <c r="A2580" s="126" t="n">
        <v>15847</v>
      </c>
      <c r="B2580" s="126" t="inlineStr">
        <is>
          <t>United Kingdom</t>
        </is>
      </c>
      <c r="C2580" s="126" t="n">
        <v>39</v>
      </c>
      <c r="D2580" s="126" t="n">
        <v>2</v>
      </c>
      <c r="E2580" s="127" t="n">
        <v>389.27</v>
      </c>
      <c r="F2580" s="128">
        <f>IF(C2580&lt;=30,5,IF(C2580&lt;=60,4,IF(C2580&lt;=120,3,IF(C2580&lt;=200,2,1))))</f>
        <v/>
      </c>
      <c r="G2580" s="128">
        <f>IF(D2580&gt;=20,5,IF(D2580&gt;=10,4,IF(D2580&gt;=5,3,IF(D2580&gt;=2,2,1))))</f>
        <v/>
      </c>
      <c r="H2580" s="128">
        <f>IF(E2580&gt;=5000,5,IF(E2580&gt;=2000,4,IF(E2580&gt;=800,3,IF(E2580&gt;=300,2,1))))</f>
        <v/>
      </c>
      <c r="I2580" s="126">
        <f>TEXT(F2580,"0")&amp;TEXT(G2580,"0")&amp;TEXT(H2580,"0")</f>
        <v/>
      </c>
      <c r="J2580" s="126">
        <f>IFERROR(XLOOKUP(I2580,'Segment Map'!A:A,'Segment Map'!B:B,"Need Attention"),"Need Attention")</f>
        <v/>
      </c>
      <c r="K2580" s="126">
        <f>IF(E2580&gt;=5000,"🏆 Platinum",IF(E2580&gt;=2000,"🥇 Gold",IF(E2580&gt;=800,"🥈 Silver","🥉 Bronze")))</f>
        <v/>
      </c>
      <c r="L2580" s="129" t="n">
        <v>40848</v>
      </c>
    </row>
    <row r="2581">
      <c r="A2581" s="122" t="n">
        <v>15850</v>
      </c>
      <c r="B2581" s="122" t="inlineStr">
        <is>
          <t>United Kingdom</t>
        </is>
      </c>
      <c r="C2581" s="122" t="n">
        <v>20</v>
      </c>
      <c r="D2581" s="122" t="n">
        <v>2</v>
      </c>
      <c r="E2581" s="123" t="n">
        <v>238.85</v>
      </c>
      <c r="F2581" s="124">
        <f>IF(C2581&lt;=30,5,IF(C2581&lt;=60,4,IF(C2581&lt;=120,3,IF(C2581&lt;=200,2,1))))</f>
        <v/>
      </c>
      <c r="G2581" s="124">
        <f>IF(D2581&gt;=20,5,IF(D2581&gt;=10,4,IF(D2581&gt;=5,3,IF(D2581&gt;=2,2,1))))</f>
        <v/>
      </c>
      <c r="H2581" s="124">
        <f>IF(E2581&gt;=5000,5,IF(E2581&gt;=2000,4,IF(E2581&gt;=800,3,IF(E2581&gt;=300,2,1))))</f>
        <v/>
      </c>
      <c r="I2581" s="122">
        <f>TEXT(F2581,"0")&amp;TEXT(G2581,"0")&amp;TEXT(H2581,"0")</f>
        <v/>
      </c>
      <c r="J2581" s="122">
        <f>IFERROR(XLOOKUP(I2581,'Segment Map'!A:A,'Segment Map'!B:B,"Need Attention"),"Need Attention")</f>
        <v/>
      </c>
      <c r="K2581" s="122">
        <f>IF(E2581&gt;=5000,"🏆 Platinum",IF(E2581&gt;=2000,"🥇 Gold",IF(E2581&gt;=800,"🥈 Silver","🥉 Bronze")))</f>
        <v/>
      </c>
      <c r="L2581" s="125" t="n">
        <v>40867</v>
      </c>
    </row>
    <row r="2582">
      <c r="A2582" s="126" t="n">
        <v>15852</v>
      </c>
      <c r="B2582" s="126" t="inlineStr">
        <is>
          <t>United Kingdom</t>
        </is>
      </c>
      <c r="C2582" s="126" t="n">
        <v>187</v>
      </c>
      <c r="D2582" s="126" t="n">
        <v>2</v>
      </c>
      <c r="E2582" s="127" t="n">
        <v>160.71</v>
      </c>
      <c r="F2582" s="128">
        <f>IF(C2582&lt;=30,5,IF(C2582&lt;=60,4,IF(C2582&lt;=120,3,IF(C2582&lt;=200,2,1))))</f>
        <v/>
      </c>
      <c r="G2582" s="128">
        <f>IF(D2582&gt;=20,5,IF(D2582&gt;=10,4,IF(D2582&gt;=5,3,IF(D2582&gt;=2,2,1))))</f>
        <v/>
      </c>
      <c r="H2582" s="128">
        <f>IF(E2582&gt;=5000,5,IF(E2582&gt;=2000,4,IF(E2582&gt;=800,3,IF(E2582&gt;=300,2,1))))</f>
        <v/>
      </c>
      <c r="I2582" s="126">
        <f>TEXT(F2582,"0")&amp;TEXT(G2582,"0")&amp;TEXT(H2582,"0")</f>
        <v/>
      </c>
      <c r="J2582" s="126">
        <f>IFERROR(XLOOKUP(I2582,'Segment Map'!A:A,'Segment Map'!B:B,"Need Attention"),"Need Attention")</f>
        <v/>
      </c>
      <c r="K2582" s="126">
        <f>IF(E2582&gt;=5000,"🏆 Platinum",IF(E2582&gt;=2000,"🥇 Gold",IF(E2582&gt;=800,"🥈 Silver","🥉 Bronze")))</f>
        <v/>
      </c>
      <c r="L2582" s="129" t="n">
        <v>40700</v>
      </c>
    </row>
    <row r="2583">
      <c r="A2583" s="122" t="n">
        <v>15853</v>
      </c>
      <c r="B2583" s="122" t="inlineStr">
        <is>
          <t>United Kingdom</t>
        </is>
      </c>
      <c r="C2583" s="122" t="n">
        <v>52</v>
      </c>
      <c r="D2583" s="122" t="n">
        <v>1</v>
      </c>
      <c r="E2583" s="123" t="n">
        <v>110.8</v>
      </c>
      <c r="F2583" s="124">
        <f>IF(C2583&lt;=30,5,IF(C2583&lt;=60,4,IF(C2583&lt;=120,3,IF(C2583&lt;=200,2,1))))</f>
        <v/>
      </c>
      <c r="G2583" s="124">
        <f>IF(D2583&gt;=20,5,IF(D2583&gt;=10,4,IF(D2583&gt;=5,3,IF(D2583&gt;=2,2,1))))</f>
        <v/>
      </c>
      <c r="H2583" s="124">
        <f>IF(E2583&gt;=5000,5,IF(E2583&gt;=2000,4,IF(E2583&gt;=800,3,IF(E2583&gt;=300,2,1))))</f>
        <v/>
      </c>
      <c r="I2583" s="122">
        <f>TEXT(F2583,"0")&amp;TEXT(G2583,"0")&amp;TEXT(H2583,"0")</f>
        <v/>
      </c>
      <c r="J2583" s="122">
        <f>IFERROR(XLOOKUP(I2583,'Segment Map'!A:A,'Segment Map'!B:B,"Need Attention"),"Need Attention")</f>
        <v/>
      </c>
      <c r="K2583" s="122">
        <f>IF(E2583&gt;=5000,"🏆 Platinum",IF(E2583&gt;=2000,"🥇 Gold",IF(E2583&gt;=800,"🥈 Silver","🥉 Bronze")))</f>
        <v/>
      </c>
      <c r="L2583" s="125" t="n">
        <v>40835</v>
      </c>
    </row>
    <row r="2584">
      <c r="A2584" s="126" t="n">
        <v>15854</v>
      </c>
      <c r="B2584" s="126" t="inlineStr">
        <is>
          <t>United Kingdom</t>
        </is>
      </c>
      <c r="C2584" s="126" t="n">
        <v>5</v>
      </c>
      <c r="D2584" s="126" t="n">
        <v>12</v>
      </c>
      <c r="E2584" s="127" t="n">
        <v>2974.65</v>
      </c>
      <c r="F2584" s="128">
        <f>IF(C2584&lt;=30,5,IF(C2584&lt;=60,4,IF(C2584&lt;=120,3,IF(C2584&lt;=200,2,1))))</f>
        <v/>
      </c>
      <c r="G2584" s="128">
        <f>IF(D2584&gt;=20,5,IF(D2584&gt;=10,4,IF(D2584&gt;=5,3,IF(D2584&gt;=2,2,1))))</f>
        <v/>
      </c>
      <c r="H2584" s="128">
        <f>IF(E2584&gt;=5000,5,IF(E2584&gt;=2000,4,IF(E2584&gt;=800,3,IF(E2584&gt;=300,2,1))))</f>
        <v/>
      </c>
      <c r="I2584" s="126">
        <f>TEXT(F2584,"0")&amp;TEXT(G2584,"0")&amp;TEXT(H2584,"0")</f>
        <v/>
      </c>
      <c r="J2584" s="126">
        <f>IFERROR(XLOOKUP(I2584,'Segment Map'!A:A,'Segment Map'!B:B,"Need Attention"),"Need Attention")</f>
        <v/>
      </c>
      <c r="K2584" s="126">
        <f>IF(E2584&gt;=5000,"🏆 Platinum",IF(E2584&gt;=2000,"🥇 Gold",IF(E2584&gt;=800,"🥈 Silver","🥉 Bronze")))</f>
        <v/>
      </c>
      <c r="L2584" s="129" t="n">
        <v>40882</v>
      </c>
    </row>
    <row r="2585">
      <c r="A2585" s="122" t="n">
        <v>15855</v>
      </c>
      <c r="B2585" s="122" t="inlineStr">
        <is>
          <t>United Kingdom</t>
        </is>
      </c>
      <c r="C2585" s="122" t="n">
        <v>137</v>
      </c>
      <c r="D2585" s="122" t="n">
        <v>5</v>
      </c>
      <c r="E2585" s="123" t="n">
        <v>712.24</v>
      </c>
      <c r="F2585" s="124">
        <f>IF(C2585&lt;=30,5,IF(C2585&lt;=60,4,IF(C2585&lt;=120,3,IF(C2585&lt;=200,2,1))))</f>
        <v/>
      </c>
      <c r="G2585" s="124">
        <f>IF(D2585&gt;=20,5,IF(D2585&gt;=10,4,IF(D2585&gt;=5,3,IF(D2585&gt;=2,2,1))))</f>
        <v/>
      </c>
      <c r="H2585" s="124">
        <f>IF(E2585&gt;=5000,5,IF(E2585&gt;=2000,4,IF(E2585&gt;=800,3,IF(E2585&gt;=300,2,1))))</f>
        <v/>
      </c>
      <c r="I2585" s="122">
        <f>TEXT(F2585,"0")&amp;TEXT(G2585,"0")&amp;TEXT(H2585,"0")</f>
        <v/>
      </c>
      <c r="J2585" s="122">
        <f>IFERROR(XLOOKUP(I2585,'Segment Map'!A:A,'Segment Map'!B:B,"Need Attention"),"Need Attention")</f>
        <v/>
      </c>
      <c r="K2585" s="122">
        <f>IF(E2585&gt;=5000,"🏆 Platinum",IF(E2585&gt;=2000,"🥇 Gold",IF(E2585&gt;=800,"🥈 Silver","🥉 Bronze")))</f>
        <v/>
      </c>
      <c r="L2585" s="125" t="n">
        <v>40750</v>
      </c>
    </row>
    <row r="2586">
      <c r="A2586" s="126" t="n">
        <v>15856</v>
      </c>
      <c r="B2586" s="126" t="inlineStr">
        <is>
          <t>United Kingdom</t>
        </is>
      </c>
      <c r="C2586" s="126" t="n">
        <v>5</v>
      </c>
      <c r="D2586" s="126" t="n">
        <v>27</v>
      </c>
      <c r="E2586" s="127" t="n">
        <v>16387.57</v>
      </c>
      <c r="F2586" s="128">
        <f>IF(C2586&lt;=30,5,IF(C2586&lt;=60,4,IF(C2586&lt;=120,3,IF(C2586&lt;=200,2,1))))</f>
        <v/>
      </c>
      <c r="G2586" s="128">
        <f>IF(D2586&gt;=20,5,IF(D2586&gt;=10,4,IF(D2586&gt;=5,3,IF(D2586&gt;=2,2,1))))</f>
        <v/>
      </c>
      <c r="H2586" s="128">
        <f>IF(E2586&gt;=5000,5,IF(E2586&gt;=2000,4,IF(E2586&gt;=800,3,IF(E2586&gt;=300,2,1))))</f>
        <v/>
      </c>
      <c r="I2586" s="126">
        <f>TEXT(F2586,"0")&amp;TEXT(G2586,"0")&amp;TEXT(H2586,"0")</f>
        <v/>
      </c>
      <c r="J2586" s="126">
        <f>IFERROR(XLOOKUP(I2586,'Segment Map'!A:A,'Segment Map'!B:B,"Need Attention"),"Need Attention")</f>
        <v/>
      </c>
      <c r="K2586" s="126">
        <f>IF(E2586&gt;=5000,"🏆 Platinum",IF(E2586&gt;=2000,"🥇 Gold",IF(E2586&gt;=800,"🥈 Silver","🥉 Bronze")))</f>
        <v/>
      </c>
      <c r="L2586" s="129" t="n">
        <v>40882</v>
      </c>
    </row>
    <row r="2587">
      <c r="A2587" s="122" t="n">
        <v>15857</v>
      </c>
      <c r="B2587" s="122" t="inlineStr">
        <is>
          <t>United Kingdom</t>
        </is>
      </c>
      <c r="C2587" s="122" t="n">
        <v>19</v>
      </c>
      <c r="D2587" s="122" t="n">
        <v>1</v>
      </c>
      <c r="E2587" s="123" t="n">
        <v>297</v>
      </c>
      <c r="F2587" s="124">
        <f>IF(C2587&lt;=30,5,IF(C2587&lt;=60,4,IF(C2587&lt;=120,3,IF(C2587&lt;=200,2,1))))</f>
        <v/>
      </c>
      <c r="G2587" s="124">
        <f>IF(D2587&gt;=20,5,IF(D2587&gt;=10,4,IF(D2587&gt;=5,3,IF(D2587&gt;=2,2,1))))</f>
        <v/>
      </c>
      <c r="H2587" s="124">
        <f>IF(E2587&gt;=5000,5,IF(E2587&gt;=2000,4,IF(E2587&gt;=800,3,IF(E2587&gt;=300,2,1))))</f>
        <v/>
      </c>
      <c r="I2587" s="122">
        <f>TEXT(F2587,"0")&amp;TEXT(G2587,"0")&amp;TEXT(H2587,"0")</f>
        <v/>
      </c>
      <c r="J2587" s="122">
        <f>IFERROR(XLOOKUP(I2587,'Segment Map'!A:A,'Segment Map'!B:B,"Need Attention"),"Need Attention")</f>
        <v/>
      </c>
      <c r="K2587" s="122">
        <f>IF(E2587&gt;=5000,"🏆 Platinum",IF(E2587&gt;=2000,"🥇 Gold",IF(E2587&gt;=800,"🥈 Silver","🥉 Bronze")))</f>
        <v/>
      </c>
      <c r="L2587" s="125" t="n">
        <v>40868</v>
      </c>
    </row>
    <row r="2588">
      <c r="A2588" s="126" t="n">
        <v>15858</v>
      </c>
      <c r="B2588" s="126" t="inlineStr">
        <is>
          <t>United Kingdom</t>
        </is>
      </c>
      <c r="C2588" s="126" t="n">
        <v>16</v>
      </c>
      <c r="D2588" s="126" t="n">
        <v>5</v>
      </c>
      <c r="E2588" s="127" t="n">
        <v>1438.85</v>
      </c>
      <c r="F2588" s="128">
        <f>IF(C2588&lt;=30,5,IF(C2588&lt;=60,4,IF(C2588&lt;=120,3,IF(C2588&lt;=200,2,1))))</f>
        <v/>
      </c>
      <c r="G2588" s="128">
        <f>IF(D2588&gt;=20,5,IF(D2588&gt;=10,4,IF(D2588&gt;=5,3,IF(D2588&gt;=2,2,1))))</f>
        <v/>
      </c>
      <c r="H2588" s="128">
        <f>IF(E2588&gt;=5000,5,IF(E2588&gt;=2000,4,IF(E2588&gt;=800,3,IF(E2588&gt;=300,2,1))))</f>
        <v/>
      </c>
      <c r="I2588" s="126">
        <f>TEXT(F2588,"0")&amp;TEXT(G2588,"0")&amp;TEXT(H2588,"0")</f>
        <v/>
      </c>
      <c r="J2588" s="126">
        <f>IFERROR(XLOOKUP(I2588,'Segment Map'!A:A,'Segment Map'!B:B,"Need Attention"),"Need Attention")</f>
        <v/>
      </c>
      <c r="K2588" s="126">
        <f>IF(E2588&gt;=5000,"🏆 Platinum",IF(E2588&gt;=2000,"🥇 Gold",IF(E2588&gt;=800,"🥈 Silver","🥉 Bronze")))</f>
        <v/>
      </c>
      <c r="L2588" s="129" t="n">
        <v>40871</v>
      </c>
    </row>
    <row r="2589">
      <c r="A2589" s="122" t="n">
        <v>15860</v>
      </c>
      <c r="B2589" s="122" t="inlineStr">
        <is>
          <t>United Kingdom</t>
        </is>
      </c>
      <c r="C2589" s="122" t="n">
        <v>41</v>
      </c>
      <c r="D2589" s="122" t="n">
        <v>8</v>
      </c>
      <c r="E2589" s="123" t="n">
        <v>977.21</v>
      </c>
      <c r="F2589" s="124">
        <f>IF(C2589&lt;=30,5,IF(C2589&lt;=60,4,IF(C2589&lt;=120,3,IF(C2589&lt;=200,2,1))))</f>
        <v/>
      </c>
      <c r="G2589" s="124">
        <f>IF(D2589&gt;=20,5,IF(D2589&gt;=10,4,IF(D2589&gt;=5,3,IF(D2589&gt;=2,2,1))))</f>
        <v/>
      </c>
      <c r="H2589" s="124">
        <f>IF(E2589&gt;=5000,5,IF(E2589&gt;=2000,4,IF(E2589&gt;=800,3,IF(E2589&gt;=300,2,1))))</f>
        <v/>
      </c>
      <c r="I2589" s="122">
        <f>TEXT(F2589,"0")&amp;TEXT(G2589,"0")&amp;TEXT(H2589,"0")</f>
        <v/>
      </c>
      <c r="J2589" s="122">
        <f>IFERROR(XLOOKUP(I2589,'Segment Map'!A:A,'Segment Map'!B:B,"Need Attention"),"Need Attention")</f>
        <v/>
      </c>
      <c r="K2589" s="122">
        <f>IF(E2589&gt;=5000,"🏆 Platinum",IF(E2589&gt;=2000,"🥇 Gold",IF(E2589&gt;=800,"🥈 Silver","🥉 Bronze")))</f>
        <v/>
      </c>
      <c r="L2589" s="125" t="n">
        <v>40846</v>
      </c>
    </row>
    <row r="2590">
      <c r="A2590" s="126" t="n">
        <v>15861</v>
      </c>
      <c r="B2590" s="126" t="inlineStr">
        <is>
          <t>United Kingdom</t>
        </is>
      </c>
      <c r="C2590" s="126" t="n">
        <v>13</v>
      </c>
      <c r="D2590" s="126" t="n">
        <v>8</v>
      </c>
      <c r="E2590" s="127" t="n">
        <v>3165.36</v>
      </c>
      <c r="F2590" s="128">
        <f>IF(C2590&lt;=30,5,IF(C2590&lt;=60,4,IF(C2590&lt;=120,3,IF(C2590&lt;=200,2,1))))</f>
        <v/>
      </c>
      <c r="G2590" s="128">
        <f>IF(D2590&gt;=20,5,IF(D2590&gt;=10,4,IF(D2590&gt;=5,3,IF(D2590&gt;=2,2,1))))</f>
        <v/>
      </c>
      <c r="H2590" s="128">
        <f>IF(E2590&gt;=5000,5,IF(E2590&gt;=2000,4,IF(E2590&gt;=800,3,IF(E2590&gt;=300,2,1))))</f>
        <v/>
      </c>
      <c r="I2590" s="126">
        <f>TEXT(F2590,"0")&amp;TEXT(G2590,"0")&amp;TEXT(H2590,"0")</f>
        <v/>
      </c>
      <c r="J2590" s="126">
        <f>IFERROR(XLOOKUP(I2590,'Segment Map'!A:A,'Segment Map'!B:B,"Need Attention"),"Need Attention")</f>
        <v/>
      </c>
      <c r="K2590" s="126">
        <f>IF(E2590&gt;=5000,"🏆 Platinum",IF(E2590&gt;=2000,"🥇 Gold",IF(E2590&gt;=800,"🥈 Silver","🥉 Bronze")))</f>
        <v/>
      </c>
      <c r="L2590" s="129" t="n">
        <v>40874</v>
      </c>
    </row>
    <row r="2591">
      <c r="A2591" s="122" t="n">
        <v>15862</v>
      </c>
      <c r="B2591" s="122" t="inlineStr">
        <is>
          <t>United Kingdom</t>
        </is>
      </c>
      <c r="C2591" s="122" t="n">
        <v>9</v>
      </c>
      <c r="D2591" s="122" t="n">
        <v>4</v>
      </c>
      <c r="E2591" s="123" t="n">
        <v>832.88</v>
      </c>
      <c r="F2591" s="124">
        <f>IF(C2591&lt;=30,5,IF(C2591&lt;=60,4,IF(C2591&lt;=120,3,IF(C2591&lt;=200,2,1))))</f>
        <v/>
      </c>
      <c r="G2591" s="124">
        <f>IF(D2591&gt;=20,5,IF(D2591&gt;=10,4,IF(D2591&gt;=5,3,IF(D2591&gt;=2,2,1))))</f>
        <v/>
      </c>
      <c r="H2591" s="124">
        <f>IF(E2591&gt;=5000,5,IF(E2591&gt;=2000,4,IF(E2591&gt;=800,3,IF(E2591&gt;=300,2,1))))</f>
        <v/>
      </c>
      <c r="I2591" s="122">
        <f>TEXT(F2591,"0")&amp;TEXT(G2591,"0")&amp;TEXT(H2591,"0")</f>
        <v/>
      </c>
      <c r="J2591" s="122">
        <f>IFERROR(XLOOKUP(I2591,'Segment Map'!A:A,'Segment Map'!B:B,"Need Attention"),"Need Attention")</f>
        <v/>
      </c>
      <c r="K2591" s="122">
        <f>IF(E2591&gt;=5000,"🏆 Platinum",IF(E2591&gt;=2000,"🥇 Gold",IF(E2591&gt;=800,"🥈 Silver","🥉 Bronze")))</f>
        <v/>
      </c>
      <c r="L2591" s="125" t="n">
        <v>40878</v>
      </c>
    </row>
    <row r="2592">
      <c r="A2592" s="126" t="n">
        <v>15863</v>
      </c>
      <c r="B2592" s="126" t="inlineStr">
        <is>
          <t>United Kingdom</t>
        </is>
      </c>
      <c r="C2592" s="126" t="n">
        <v>26</v>
      </c>
      <c r="D2592" s="126" t="n">
        <v>2</v>
      </c>
      <c r="E2592" s="127" t="n">
        <v>68.84</v>
      </c>
      <c r="F2592" s="128">
        <f>IF(C2592&lt;=30,5,IF(C2592&lt;=60,4,IF(C2592&lt;=120,3,IF(C2592&lt;=200,2,1))))</f>
        <v/>
      </c>
      <c r="G2592" s="128">
        <f>IF(D2592&gt;=20,5,IF(D2592&gt;=10,4,IF(D2592&gt;=5,3,IF(D2592&gt;=2,2,1))))</f>
        <v/>
      </c>
      <c r="H2592" s="128">
        <f>IF(E2592&gt;=5000,5,IF(E2592&gt;=2000,4,IF(E2592&gt;=800,3,IF(E2592&gt;=300,2,1))))</f>
        <v/>
      </c>
      <c r="I2592" s="126">
        <f>TEXT(F2592,"0")&amp;TEXT(G2592,"0")&amp;TEXT(H2592,"0")</f>
        <v/>
      </c>
      <c r="J2592" s="126">
        <f>IFERROR(XLOOKUP(I2592,'Segment Map'!A:A,'Segment Map'!B:B,"Need Attention"),"Need Attention")</f>
        <v/>
      </c>
      <c r="K2592" s="126">
        <f>IF(E2592&gt;=5000,"🏆 Platinum",IF(E2592&gt;=2000,"🥇 Gold",IF(E2592&gt;=800,"🥈 Silver","🥉 Bronze")))</f>
        <v/>
      </c>
      <c r="L2592" s="129" t="n">
        <v>40861</v>
      </c>
    </row>
    <row r="2593">
      <c r="A2593" s="122" t="n">
        <v>15864</v>
      </c>
      <c r="B2593" s="122" t="inlineStr">
        <is>
          <t>United Kingdom</t>
        </is>
      </c>
      <c r="C2593" s="122" t="n">
        <v>23</v>
      </c>
      <c r="D2593" s="122" t="n">
        <v>6</v>
      </c>
      <c r="E2593" s="123" t="n">
        <v>1936.32</v>
      </c>
      <c r="F2593" s="124">
        <f>IF(C2593&lt;=30,5,IF(C2593&lt;=60,4,IF(C2593&lt;=120,3,IF(C2593&lt;=200,2,1))))</f>
        <v/>
      </c>
      <c r="G2593" s="124">
        <f>IF(D2593&gt;=20,5,IF(D2593&gt;=10,4,IF(D2593&gt;=5,3,IF(D2593&gt;=2,2,1))))</f>
        <v/>
      </c>
      <c r="H2593" s="124">
        <f>IF(E2593&gt;=5000,5,IF(E2593&gt;=2000,4,IF(E2593&gt;=800,3,IF(E2593&gt;=300,2,1))))</f>
        <v/>
      </c>
      <c r="I2593" s="122">
        <f>TEXT(F2593,"0")&amp;TEXT(G2593,"0")&amp;TEXT(H2593,"0")</f>
        <v/>
      </c>
      <c r="J2593" s="122">
        <f>IFERROR(XLOOKUP(I2593,'Segment Map'!A:A,'Segment Map'!B:B,"Need Attention"),"Need Attention")</f>
        <v/>
      </c>
      <c r="K2593" s="122">
        <f>IF(E2593&gt;=5000,"🏆 Platinum",IF(E2593&gt;=2000,"🥇 Gold",IF(E2593&gt;=800,"🥈 Silver","🥉 Bronze")))</f>
        <v/>
      </c>
      <c r="L2593" s="125" t="n">
        <v>40864</v>
      </c>
    </row>
    <row r="2594">
      <c r="A2594" s="126" t="n">
        <v>15865</v>
      </c>
      <c r="B2594" s="126" t="inlineStr">
        <is>
          <t>United Kingdom</t>
        </is>
      </c>
      <c r="C2594" s="126" t="n">
        <v>41</v>
      </c>
      <c r="D2594" s="126" t="n">
        <v>3</v>
      </c>
      <c r="E2594" s="127" t="n">
        <v>895.13</v>
      </c>
      <c r="F2594" s="128">
        <f>IF(C2594&lt;=30,5,IF(C2594&lt;=60,4,IF(C2594&lt;=120,3,IF(C2594&lt;=200,2,1))))</f>
        <v/>
      </c>
      <c r="G2594" s="128">
        <f>IF(D2594&gt;=20,5,IF(D2594&gt;=10,4,IF(D2594&gt;=5,3,IF(D2594&gt;=2,2,1))))</f>
        <v/>
      </c>
      <c r="H2594" s="128">
        <f>IF(E2594&gt;=5000,5,IF(E2594&gt;=2000,4,IF(E2594&gt;=800,3,IF(E2594&gt;=300,2,1))))</f>
        <v/>
      </c>
      <c r="I2594" s="126">
        <f>TEXT(F2594,"0")&amp;TEXT(G2594,"0")&amp;TEXT(H2594,"0")</f>
        <v/>
      </c>
      <c r="J2594" s="126">
        <f>IFERROR(XLOOKUP(I2594,'Segment Map'!A:A,'Segment Map'!B:B,"Need Attention"),"Need Attention")</f>
        <v/>
      </c>
      <c r="K2594" s="126">
        <f>IF(E2594&gt;=5000,"🏆 Platinum",IF(E2594&gt;=2000,"🥇 Gold",IF(E2594&gt;=800,"🥈 Silver","🥉 Bronze")))</f>
        <v/>
      </c>
      <c r="L2594" s="129" t="n">
        <v>40846</v>
      </c>
    </row>
    <row r="2595">
      <c r="A2595" s="122" t="n">
        <v>15866</v>
      </c>
      <c r="B2595" s="122" t="inlineStr">
        <is>
          <t>United Kingdom</t>
        </is>
      </c>
      <c r="C2595" s="122" t="n">
        <v>102</v>
      </c>
      <c r="D2595" s="122" t="n">
        <v>1</v>
      </c>
      <c r="E2595" s="123" t="n">
        <v>230.53</v>
      </c>
      <c r="F2595" s="124">
        <f>IF(C2595&lt;=30,5,IF(C2595&lt;=60,4,IF(C2595&lt;=120,3,IF(C2595&lt;=200,2,1))))</f>
        <v/>
      </c>
      <c r="G2595" s="124">
        <f>IF(D2595&gt;=20,5,IF(D2595&gt;=10,4,IF(D2595&gt;=5,3,IF(D2595&gt;=2,2,1))))</f>
        <v/>
      </c>
      <c r="H2595" s="124">
        <f>IF(E2595&gt;=5000,5,IF(E2595&gt;=2000,4,IF(E2595&gt;=800,3,IF(E2595&gt;=300,2,1))))</f>
        <v/>
      </c>
      <c r="I2595" s="122">
        <f>TEXT(F2595,"0")&amp;TEXT(G2595,"0")&amp;TEXT(H2595,"0")</f>
        <v/>
      </c>
      <c r="J2595" s="122">
        <f>IFERROR(XLOOKUP(I2595,'Segment Map'!A:A,'Segment Map'!B:B,"Need Attention"),"Need Attention")</f>
        <v/>
      </c>
      <c r="K2595" s="122">
        <f>IF(E2595&gt;=5000,"🏆 Platinum",IF(E2595&gt;=2000,"🥇 Gold",IF(E2595&gt;=800,"🥈 Silver","🥉 Bronze")))</f>
        <v/>
      </c>
      <c r="L2595" s="125" t="n">
        <v>40785</v>
      </c>
    </row>
    <row r="2596">
      <c r="A2596" s="126" t="n">
        <v>15867</v>
      </c>
      <c r="B2596" s="126" t="inlineStr">
        <is>
          <t>United Kingdom</t>
        </is>
      </c>
      <c r="C2596" s="126" t="n">
        <v>6</v>
      </c>
      <c r="D2596" s="126" t="n">
        <v>15</v>
      </c>
      <c r="E2596" s="127" t="n">
        <v>3812.64</v>
      </c>
      <c r="F2596" s="128">
        <f>IF(C2596&lt;=30,5,IF(C2596&lt;=60,4,IF(C2596&lt;=120,3,IF(C2596&lt;=200,2,1))))</f>
        <v/>
      </c>
      <c r="G2596" s="128">
        <f>IF(D2596&gt;=20,5,IF(D2596&gt;=10,4,IF(D2596&gt;=5,3,IF(D2596&gt;=2,2,1))))</f>
        <v/>
      </c>
      <c r="H2596" s="128">
        <f>IF(E2596&gt;=5000,5,IF(E2596&gt;=2000,4,IF(E2596&gt;=800,3,IF(E2596&gt;=300,2,1))))</f>
        <v/>
      </c>
      <c r="I2596" s="126">
        <f>TEXT(F2596,"0")&amp;TEXT(G2596,"0")&amp;TEXT(H2596,"0")</f>
        <v/>
      </c>
      <c r="J2596" s="126">
        <f>IFERROR(XLOOKUP(I2596,'Segment Map'!A:A,'Segment Map'!B:B,"Need Attention"),"Need Attention")</f>
        <v/>
      </c>
      <c r="K2596" s="126">
        <f>IF(E2596&gt;=5000,"🏆 Platinum",IF(E2596&gt;=2000,"🥇 Gold",IF(E2596&gt;=800,"🥈 Silver","🥉 Bronze")))</f>
        <v/>
      </c>
      <c r="L2596" s="129" t="n">
        <v>40881</v>
      </c>
    </row>
    <row r="2597">
      <c r="A2597" s="122" t="n">
        <v>15869</v>
      </c>
      <c r="B2597" s="122" t="inlineStr">
        <is>
          <t>United Kingdom</t>
        </is>
      </c>
      <c r="C2597" s="122" t="n">
        <v>278</v>
      </c>
      <c r="D2597" s="122" t="n">
        <v>2</v>
      </c>
      <c r="E2597" s="123" t="n">
        <v>149.64</v>
      </c>
      <c r="F2597" s="124">
        <f>IF(C2597&lt;=30,5,IF(C2597&lt;=60,4,IF(C2597&lt;=120,3,IF(C2597&lt;=200,2,1))))</f>
        <v/>
      </c>
      <c r="G2597" s="124">
        <f>IF(D2597&gt;=20,5,IF(D2597&gt;=10,4,IF(D2597&gt;=5,3,IF(D2597&gt;=2,2,1))))</f>
        <v/>
      </c>
      <c r="H2597" s="124">
        <f>IF(E2597&gt;=5000,5,IF(E2597&gt;=2000,4,IF(E2597&gt;=800,3,IF(E2597&gt;=300,2,1))))</f>
        <v/>
      </c>
      <c r="I2597" s="122">
        <f>TEXT(F2597,"0")&amp;TEXT(G2597,"0")&amp;TEXT(H2597,"0")</f>
        <v/>
      </c>
      <c r="J2597" s="122">
        <f>IFERROR(XLOOKUP(I2597,'Segment Map'!A:A,'Segment Map'!B:B,"Need Attention"),"Need Attention")</f>
        <v/>
      </c>
      <c r="K2597" s="122">
        <f>IF(E2597&gt;=5000,"🏆 Platinum",IF(E2597&gt;=2000,"🥇 Gold",IF(E2597&gt;=800,"🥈 Silver","🥉 Bronze")))</f>
        <v/>
      </c>
      <c r="L2597" s="125" t="n">
        <v>40609</v>
      </c>
    </row>
    <row r="2598">
      <c r="A2598" s="126" t="n">
        <v>15870</v>
      </c>
      <c r="B2598" s="126" t="inlineStr">
        <is>
          <t>United Kingdom</t>
        </is>
      </c>
      <c r="C2598" s="126" t="n">
        <v>33</v>
      </c>
      <c r="D2598" s="126" t="n">
        <v>1</v>
      </c>
      <c r="E2598" s="127" t="n">
        <v>354.09</v>
      </c>
      <c r="F2598" s="128">
        <f>IF(C2598&lt;=30,5,IF(C2598&lt;=60,4,IF(C2598&lt;=120,3,IF(C2598&lt;=200,2,1))))</f>
        <v/>
      </c>
      <c r="G2598" s="128">
        <f>IF(D2598&gt;=20,5,IF(D2598&gt;=10,4,IF(D2598&gt;=5,3,IF(D2598&gt;=2,2,1))))</f>
        <v/>
      </c>
      <c r="H2598" s="128">
        <f>IF(E2598&gt;=5000,5,IF(E2598&gt;=2000,4,IF(E2598&gt;=800,3,IF(E2598&gt;=300,2,1))))</f>
        <v/>
      </c>
      <c r="I2598" s="126">
        <f>TEXT(F2598,"0")&amp;TEXT(G2598,"0")&amp;TEXT(H2598,"0")</f>
        <v/>
      </c>
      <c r="J2598" s="126">
        <f>IFERROR(XLOOKUP(I2598,'Segment Map'!A:A,'Segment Map'!B:B,"Need Attention"),"Need Attention")</f>
        <v/>
      </c>
      <c r="K2598" s="126">
        <f>IF(E2598&gt;=5000,"🏆 Platinum",IF(E2598&gt;=2000,"🥇 Gold",IF(E2598&gt;=800,"🥈 Silver","🥉 Bronze")))</f>
        <v/>
      </c>
      <c r="L2598" s="129" t="n">
        <v>40854</v>
      </c>
    </row>
    <row r="2599">
      <c r="A2599" s="122" t="n">
        <v>15872</v>
      </c>
      <c r="B2599" s="122" t="inlineStr">
        <is>
          <t>United Kingdom</t>
        </is>
      </c>
      <c r="C2599" s="122" t="n">
        <v>15</v>
      </c>
      <c r="D2599" s="122" t="n">
        <v>2</v>
      </c>
      <c r="E2599" s="123" t="n">
        <v>360.93</v>
      </c>
      <c r="F2599" s="124">
        <f>IF(C2599&lt;=30,5,IF(C2599&lt;=60,4,IF(C2599&lt;=120,3,IF(C2599&lt;=200,2,1))))</f>
        <v/>
      </c>
      <c r="G2599" s="124">
        <f>IF(D2599&gt;=20,5,IF(D2599&gt;=10,4,IF(D2599&gt;=5,3,IF(D2599&gt;=2,2,1))))</f>
        <v/>
      </c>
      <c r="H2599" s="124">
        <f>IF(E2599&gt;=5000,5,IF(E2599&gt;=2000,4,IF(E2599&gt;=800,3,IF(E2599&gt;=300,2,1))))</f>
        <v/>
      </c>
      <c r="I2599" s="122">
        <f>TEXT(F2599,"0")&amp;TEXT(G2599,"0")&amp;TEXT(H2599,"0")</f>
        <v/>
      </c>
      <c r="J2599" s="122">
        <f>IFERROR(XLOOKUP(I2599,'Segment Map'!A:A,'Segment Map'!B:B,"Need Attention"),"Need Attention")</f>
        <v/>
      </c>
      <c r="K2599" s="122">
        <f>IF(E2599&gt;=5000,"🏆 Platinum",IF(E2599&gt;=2000,"🥇 Gold",IF(E2599&gt;=800,"🥈 Silver","🥉 Bronze")))</f>
        <v/>
      </c>
      <c r="L2599" s="125" t="n">
        <v>40872</v>
      </c>
    </row>
    <row r="2600">
      <c r="A2600" s="126" t="n">
        <v>15874</v>
      </c>
      <c r="B2600" s="126" t="inlineStr">
        <is>
          <t>United Kingdom</t>
        </is>
      </c>
      <c r="C2600" s="126" t="n">
        <v>64</v>
      </c>
      <c r="D2600" s="126" t="n">
        <v>7</v>
      </c>
      <c r="E2600" s="127" t="n">
        <v>4405.88</v>
      </c>
      <c r="F2600" s="128">
        <f>IF(C2600&lt;=30,5,IF(C2600&lt;=60,4,IF(C2600&lt;=120,3,IF(C2600&lt;=200,2,1))))</f>
        <v/>
      </c>
      <c r="G2600" s="128">
        <f>IF(D2600&gt;=20,5,IF(D2600&gt;=10,4,IF(D2600&gt;=5,3,IF(D2600&gt;=2,2,1))))</f>
        <v/>
      </c>
      <c r="H2600" s="128">
        <f>IF(E2600&gt;=5000,5,IF(E2600&gt;=2000,4,IF(E2600&gt;=800,3,IF(E2600&gt;=300,2,1))))</f>
        <v/>
      </c>
      <c r="I2600" s="126">
        <f>TEXT(F2600,"0")&amp;TEXT(G2600,"0")&amp;TEXT(H2600,"0")</f>
        <v/>
      </c>
      <c r="J2600" s="126">
        <f>IFERROR(XLOOKUP(I2600,'Segment Map'!A:A,'Segment Map'!B:B,"Need Attention"),"Need Attention")</f>
        <v/>
      </c>
      <c r="K2600" s="126">
        <f>IF(E2600&gt;=5000,"🏆 Platinum",IF(E2600&gt;=2000,"🥇 Gold",IF(E2600&gt;=800,"🥈 Silver","🥉 Bronze")))</f>
        <v/>
      </c>
      <c r="L2600" s="129" t="n">
        <v>40823</v>
      </c>
    </row>
    <row r="2601">
      <c r="A2601" s="122" t="n">
        <v>15877</v>
      </c>
      <c r="B2601" s="122" t="inlineStr">
        <is>
          <t>United Kingdom</t>
        </is>
      </c>
      <c r="C2601" s="122" t="n">
        <v>2</v>
      </c>
      <c r="D2601" s="122" t="n">
        <v>2</v>
      </c>
      <c r="E2601" s="123" t="n">
        <v>493.28</v>
      </c>
      <c r="F2601" s="124">
        <f>IF(C2601&lt;=30,5,IF(C2601&lt;=60,4,IF(C2601&lt;=120,3,IF(C2601&lt;=200,2,1))))</f>
        <v/>
      </c>
      <c r="G2601" s="124">
        <f>IF(D2601&gt;=20,5,IF(D2601&gt;=10,4,IF(D2601&gt;=5,3,IF(D2601&gt;=2,2,1))))</f>
        <v/>
      </c>
      <c r="H2601" s="124">
        <f>IF(E2601&gt;=5000,5,IF(E2601&gt;=2000,4,IF(E2601&gt;=800,3,IF(E2601&gt;=300,2,1))))</f>
        <v/>
      </c>
      <c r="I2601" s="122">
        <f>TEXT(F2601,"0")&amp;TEXT(G2601,"0")&amp;TEXT(H2601,"0")</f>
        <v/>
      </c>
      <c r="J2601" s="122">
        <f>IFERROR(XLOOKUP(I2601,'Segment Map'!A:A,'Segment Map'!B:B,"Need Attention"),"Need Attention")</f>
        <v/>
      </c>
      <c r="K2601" s="122">
        <f>IF(E2601&gt;=5000,"🏆 Platinum",IF(E2601&gt;=2000,"🥇 Gold",IF(E2601&gt;=800,"🥈 Silver","🥉 Bronze")))</f>
        <v/>
      </c>
      <c r="L2601" s="125" t="n">
        <v>40885</v>
      </c>
    </row>
    <row r="2602">
      <c r="A2602" s="126" t="n">
        <v>15880</v>
      </c>
      <c r="B2602" s="126" t="inlineStr">
        <is>
          <t>United Kingdom</t>
        </is>
      </c>
      <c r="C2602" s="126" t="n">
        <v>370</v>
      </c>
      <c r="D2602" s="126" t="n">
        <v>1</v>
      </c>
      <c r="E2602" s="127" t="n">
        <v>343.28</v>
      </c>
      <c r="F2602" s="128">
        <f>IF(C2602&lt;=30,5,IF(C2602&lt;=60,4,IF(C2602&lt;=120,3,IF(C2602&lt;=200,2,1))))</f>
        <v/>
      </c>
      <c r="G2602" s="128">
        <f>IF(D2602&gt;=20,5,IF(D2602&gt;=10,4,IF(D2602&gt;=5,3,IF(D2602&gt;=2,2,1))))</f>
        <v/>
      </c>
      <c r="H2602" s="128">
        <f>IF(E2602&gt;=5000,5,IF(E2602&gt;=2000,4,IF(E2602&gt;=800,3,IF(E2602&gt;=300,2,1))))</f>
        <v/>
      </c>
      <c r="I2602" s="126">
        <f>TEXT(F2602,"0")&amp;TEXT(G2602,"0")&amp;TEXT(H2602,"0")</f>
        <v/>
      </c>
      <c r="J2602" s="126">
        <f>IFERROR(XLOOKUP(I2602,'Segment Map'!A:A,'Segment Map'!B:B,"Need Attention"),"Need Attention")</f>
        <v/>
      </c>
      <c r="K2602" s="126">
        <f>IF(E2602&gt;=5000,"🏆 Platinum",IF(E2602&gt;=2000,"🥇 Gold",IF(E2602&gt;=800,"🥈 Silver","🥉 Bronze")))</f>
        <v/>
      </c>
      <c r="L2602" s="129" t="n">
        <v>40517</v>
      </c>
    </row>
    <row r="2603">
      <c r="A2603" s="122" t="n">
        <v>15881</v>
      </c>
      <c r="B2603" s="122" t="inlineStr">
        <is>
          <t>United Kingdom</t>
        </is>
      </c>
      <c r="C2603" s="122" t="n">
        <v>313</v>
      </c>
      <c r="D2603" s="122" t="n">
        <v>5</v>
      </c>
      <c r="E2603" s="123" t="n">
        <v>501.39</v>
      </c>
      <c r="F2603" s="124">
        <f>IF(C2603&lt;=30,5,IF(C2603&lt;=60,4,IF(C2603&lt;=120,3,IF(C2603&lt;=200,2,1))))</f>
        <v/>
      </c>
      <c r="G2603" s="124">
        <f>IF(D2603&gt;=20,5,IF(D2603&gt;=10,4,IF(D2603&gt;=5,3,IF(D2603&gt;=2,2,1))))</f>
        <v/>
      </c>
      <c r="H2603" s="124">
        <f>IF(E2603&gt;=5000,5,IF(E2603&gt;=2000,4,IF(E2603&gt;=800,3,IF(E2603&gt;=300,2,1))))</f>
        <v/>
      </c>
      <c r="I2603" s="122">
        <f>TEXT(F2603,"0")&amp;TEXT(G2603,"0")&amp;TEXT(H2603,"0")</f>
        <v/>
      </c>
      <c r="J2603" s="122">
        <f>IFERROR(XLOOKUP(I2603,'Segment Map'!A:A,'Segment Map'!B:B,"Need Attention"),"Need Attention")</f>
        <v/>
      </c>
      <c r="K2603" s="122">
        <f>IF(E2603&gt;=5000,"🏆 Platinum",IF(E2603&gt;=2000,"🥇 Gold",IF(E2603&gt;=800,"🥈 Silver","🥉 Bronze")))</f>
        <v/>
      </c>
      <c r="L2603" s="125" t="n">
        <v>40574</v>
      </c>
    </row>
    <row r="2604">
      <c r="A2604" s="126" t="n">
        <v>15882</v>
      </c>
      <c r="B2604" s="126" t="inlineStr">
        <is>
          <t>United Kingdom</t>
        </is>
      </c>
      <c r="C2604" s="126" t="n">
        <v>199</v>
      </c>
      <c r="D2604" s="126" t="n">
        <v>4</v>
      </c>
      <c r="E2604" s="127" t="n">
        <v>516.36</v>
      </c>
      <c r="F2604" s="128">
        <f>IF(C2604&lt;=30,5,IF(C2604&lt;=60,4,IF(C2604&lt;=120,3,IF(C2604&lt;=200,2,1))))</f>
        <v/>
      </c>
      <c r="G2604" s="128">
        <f>IF(D2604&gt;=20,5,IF(D2604&gt;=10,4,IF(D2604&gt;=5,3,IF(D2604&gt;=2,2,1))))</f>
        <v/>
      </c>
      <c r="H2604" s="128">
        <f>IF(E2604&gt;=5000,5,IF(E2604&gt;=2000,4,IF(E2604&gt;=800,3,IF(E2604&gt;=300,2,1))))</f>
        <v/>
      </c>
      <c r="I2604" s="126">
        <f>TEXT(F2604,"0")&amp;TEXT(G2604,"0")&amp;TEXT(H2604,"0")</f>
        <v/>
      </c>
      <c r="J2604" s="126">
        <f>IFERROR(XLOOKUP(I2604,'Segment Map'!A:A,'Segment Map'!B:B,"Need Attention"),"Need Attention")</f>
        <v/>
      </c>
      <c r="K2604" s="126">
        <f>IF(E2604&gt;=5000,"🏆 Platinum",IF(E2604&gt;=2000,"🥇 Gold",IF(E2604&gt;=800,"🥈 Silver","🥉 Bronze")))</f>
        <v/>
      </c>
      <c r="L2604" s="129" t="n">
        <v>40688</v>
      </c>
    </row>
    <row r="2605">
      <c r="A2605" s="122" t="n">
        <v>15883</v>
      </c>
      <c r="B2605" s="122" t="inlineStr">
        <is>
          <t>United Kingdom</t>
        </is>
      </c>
      <c r="C2605" s="122" t="n">
        <v>3</v>
      </c>
      <c r="D2605" s="122" t="n">
        <v>2</v>
      </c>
      <c r="E2605" s="123" t="n">
        <v>396.48</v>
      </c>
      <c r="F2605" s="124">
        <f>IF(C2605&lt;=30,5,IF(C2605&lt;=60,4,IF(C2605&lt;=120,3,IF(C2605&lt;=200,2,1))))</f>
        <v/>
      </c>
      <c r="G2605" s="124">
        <f>IF(D2605&gt;=20,5,IF(D2605&gt;=10,4,IF(D2605&gt;=5,3,IF(D2605&gt;=2,2,1))))</f>
        <v/>
      </c>
      <c r="H2605" s="124">
        <f>IF(E2605&gt;=5000,5,IF(E2605&gt;=2000,4,IF(E2605&gt;=800,3,IF(E2605&gt;=300,2,1))))</f>
        <v/>
      </c>
      <c r="I2605" s="122">
        <f>TEXT(F2605,"0")&amp;TEXT(G2605,"0")&amp;TEXT(H2605,"0")</f>
        <v/>
      </c>
      <c r="J2605" s="122">
        <f>IFERROR(XLOOKUP(I2605,'Segment Map'!A:A,'Segment Map'!B:B,"Need Attention"),"Need Attention")</f>
        <v/>
      </c>
      <c r="K2605" s="122">
        <f>IF(E2605&gt;=5000,"🏆 Platinum",IF(E2605&gt;=2000,"🥇 Gold",IF(E2605&gt;=800,"🥈 Silver","🥉 Bronze")))</f>
        <v/>
      </c>
      <c r="L2605" s="125" t="n">
        <v>40884</v>
      </c>
    </row>
    <row r="2606">
      <c r="A2606" s="126" t="n">
        <v>15885</v>
      </c>
      <c r="B2606" s="126" t="inlineStr">
        <is>
          <t>United Kingdom</t>
        </is>
      </c>
      <c r="C2606" s="126" t="n">
        <v>93</v>
      </c>
      <c r="D2606" s="126" t="n">
        <v>3</v>
      </c>
      <c r="E2606" s="127" t="n">
        <v>379.35</v>
      </c>
      <c r="F2606" s="128">
        <f>IF(C2606&lt;=30,5,IF(C2606&lt;=60,4,IF(C2606&lt;=120,3,IF(C2606&lt;=200,2,1))))</f>
        <v/>
      </c>
      <c r="G2606" s="128">
        <f>IF(D2606&gt;=20,5,IF(D2606&gt;=10,4,IF(D2606&gt;=5,3,IF(D2606&gt;=2,2,1))))</f>
        <v/>
      </c>
      <c r="H2606" s="128">
        <f>IF(E2606&gt;=5000,5,IF(E2606&gt;=2000,4,IF(E2606&gt;=800,3,IF(E2606&gt;=300,2,1))))</f>
        <v/>
      </c>
      <c r="I2606" s="126">
        <f>TEXT(F2606,"0")&amp;TEXT(G2606,"0")&amp;TEXT(H2606,"0")</f>
        <v/>
      </c>
      <c r="J2606" s="126">
        <f>IFERROR(XLOOKUP(I2606,'Segment Map'!A:A,'Segment Map'!B:B,"Need Attention"),"Need Attention")</f>
        <v/>
      </c>
      <c r="K2606" s="126">
        <f>IF(E2606&gt;=5000,"🏆 Platinum",IF(E2606&gt;=2000,"🥇 Gold",IF(E2606&gt;=800,"🥈 Silver","🥉 Bronze")))</f>
        <v/>
      </c>
      <c r="L2606" s="129" t="n">
        <v>40794</v>
      </c>
    </row>
    <row r="2607">
      <c r="A2607" s="122" t="n">
        <v>15886</v>
      </c>
      <c r="B2607" s="122" t="inlineStr">
        <is>
          <t>United Kingdom</t>
        </is>
      </c>
      <c r="C2607" s="122" t="n">
        <v>61</v>
      </c>
      <c r="D2607" s="122" t="n">
        <v>1</v>
      </c>
      <c r="E2607" s="123" t="n">
        <v>181.09</v>
      </c>
      <c r="F2607" s="124">
        <f>IF(C2607&lt;=30,5,IF(C2607&lt;=60,4,IF(C2607&lt;=120,3,IF(C2607&lt;=200,2,1))))</f>
        <v/>
      </c>
      <c r="G2607" s="124">
        <f>IF(D2607&gt;=20,5,IF(D2607&gt;=10,4,IF(D2607&gt;=5,3,IF(D2607&gt;=2,2,1))))</f>
        <v/>
      </c>
      <c r="H2607" s="124">
        <f>IF(E2607&gt;=5000,5,IF(E2607&gt;=2000,4,IF(E2607&gt;=800,3,IF(E2607&gt;=300,2,1))))</f>
        <v/>
      </c>
      <c r="I2607" s="122">
        <f>TEXT(F2607,"0")&amp;TEXT(G2607,"0")&amp;TEXT(H2607,"0")</f>
        <v/>
      </c>
      <c r="J2607" s="122">
        <f>IFERROR(XLOOKUP(I2607,'Segment Map'!A:A,'Segment Map'!B:B,"Need Attention"),"Need Attention")</f>
        <v/>
      </c>
      <c r="K2607" s="122">
        <f>IF(E2607&gt;=5000,"🏆 Platinum",IF(E2607&gt;=2000,"🥇 Gold",IF(E2607&gt;=800,"🥈 Silver","🥉 Bronze")))</f>
        <v/>
      </c>
      <c r="L2607" s="125" t="n">
        <v>40826</v>
      </c>
    </row>
    <row r="2608">
      <c r="A2608" s="126" t="n">
        <v>15888</v>
      </c>
      <c r="B2608" s="126" t="inlineStr">
        <is>
          <t>United Kingdom</t>
        </is>
      </c>
      <c r="C2608" s="126" t="n">
        <v>81</v>
      </c>
      <c r="D2608" s="126" t="n">
        <v>1</v>
      </c>
      <c r="E2608" s="127" t="n">
        <v>168.31</v>
      </c>
      <c r="F2608" s="128">
        <f>IF(C2608&lt;=30,5,IF(C2608&lt;=60,4,IF(C2608&lt;=120,3,IF(C2608&lt;=200,2,1))))</f>
        <v/>
      </c>
      <c r="G2608" s="128">
        <f>IF(D2608&gt;=20,5,IF(D2608&gt;=10,4,IF(D2608&gt;=5,3,IF(D2608&gt;=2,2,1))))</f>
        <v/>
      </c>
      <c r="H2608" s="128">
        <f>IF(E2608&gt;=5000,5,IF(E2608&gt;=2000,4,IF(E2608&gt;=800,3,IF(E2608&gt;=300,2,1))))</f>
        <v/>
      </c>
      <c r="I2608" s="126">
        <f>TEXT(F2608,"0")&amp;TEXT(G2608,"0")&amp;TEXT(H2608,"0")</f>
        <v/>
      </c>
      <c r="J2608" s="126">
        <f>IFERROR(XLOOKUP(I2608,'Segment Map'!A:A,'Segment Map'!B:B,"Need Attention"),"Need Attention")</f>
        <v/>
      </c>
      <c r="K2608" s="126">
        <f>IF(E2608&gt;=5000,"🏆 Platinum",IF(E2608&gt;=2000,"🥇 Gold",IF(E2608&gt;=800,"🥈 Silver","🥉 Bronze")))</f>
        <v/>
      </c>
      <c r="L2608" s="129" t="n">
        <v>40806</v>
      </c>
    </row>
    <row r="2609">
      <c r="A2609" s="122" t="n">
        <v>15889</v>
      </c>
      <c r="B2609" s="122" t="inlineStr">
        <is>
          <t>United Kingdom</t>
        </is>
      </c>
      <c r="C2609" s="122" t="n">
        <v>157</v>
      </c>
      <c r="D2609" s="122" t="n">
        <v>2</v>
      </c>
      <c r="E2609" s="123" t="n">
        <v>446.87</v>
      </c>
      <c r="F2609" s="124">
        <f>IF(C2609&lt;=30,5,IF(C2609&lt;=60,4,IF(C2609&lt;=120,3,IF(C2609&lt;=200,2,1))))</f>
        <v/>
      </c>
      <c r="G2609" s="124">
        <f>IF(D2609&gt;=20,5,IF(D2609&gt;=10,4,IF(D2609&gt;=5,3,IF(D2609&gt;=2,2,1))))</f>
        <v/>
      </c>
      <c r="H2609" s="124">
        <f>IF(E2609&gt;=5000,5,IF(E2609&gt;=2000,4,IF(E2609&gt;=800,3,IF(E2609&gt;=300,2,1))))</f>
        <v/>
      </c>
      <c r="I2609" s="122">
        <f>TEXT(F2609,"0")&amp;TEXT(G2609,"0")&amp;TEXT(H2609,"0")</f>
        <v/>
      </c>
      <c r="J2609" s="122">
        <f>IFERROR(XLOOKUP(I2609,'Segment Map'!A:A,'Segment Map'!B:B,"Need Attention"),"Need Attention")</f>
        <v/>
      </c>
      <c r="K2609" s="122">
        <f>IF(E2609&gt;=5000,"🏆 Platinum",IF(E2609&gt;=2000,"🥇 Gold",IF(E2609&gt;=800,"🥈 Silver","🥉 Bronze")))</f>
        <v/>
      </c>
      <c r="L2609" s="125" t="n">
        <v>40730</v>
      </c>
    </row>
    <row r="2610">
      <c r="A2610" s="126" t="n">
        <v>15891</v>
      </c>
      <c r="B2610" s="126" t="inlineStr">
        <is>
          <t>United Kingdom</t>
        </is>
      </c>
      <c r="C2610" s="126" t="n">
        <v>227</v>
      </c>
      <c r="D2610" s="126" t="n">
        <v>1</v>
      </c>
      <c r="E2610" s="127" t="n">
        <v>524.52</v>
      </c>
      <c r="F2610" s="128">
        <f>IF(C2610&lt;=30,5,IF(C2610&lt;=60,4,IF(C2610&lt;=120,3,IF(C2610&lt;=200,2,1))))</f>
        <v/>
      </c>
      <c r="G2610" s="128">
        <f>IF(D2610&gt;=20,5,IF(D2610&gt;=10,4,IF(D2610&gt;=5,3,IF(D2610&gt;=2,2,1))))</f>
        <v/>
      </c>
      <c r="H2610" s="128">
        <f>IF(E2610&gt;=5000,5,IF(E2610&gt;=2000,4,IF(E2610&gt;=800,3,IF(E2610&gt;=300,2,1))))</f>
        <v/>
      </c>
      <c r="I2610" s="126">
        <f>TEXT(F2610,"0")&amp;TEXT(G2610,"0")&amp;TEXT(H2610,"0")</f>
        <v/>
      </c>
      <c r="J2610" s="126">
        <f>IFERROR(XLOOKUP(I2610,'Segment Map'!A:A,'Segment Map'!B:B,"Need Attention"),"Need Attention")</f>
        <v/>
      </c>
      <c r="K2610" s="126">
        <f>IF(E2610&gt;=5000,"🏆 Platinum",IF(E2610&gt;=2000,"🥇 Gold",IF(E2610&gt;=800,"🥈 Silver","🥉 Bronze")))</f>
        <v/>
      </c>
      <c r="L2610" s="129" t="n">
        <v>40660</v>
      </c>
    </row>
    <row r="2611">
      <c r="A2611" s="122" t="n">
        <v>15894</v>
      </c>
      <c r="B2611" s="122" t="inlineStr">
        <is>
          <t>United Kingdom</t>
        </is>
      </c>
      <c r="C2611" s="122" t="n">
        <v>254</v>
      </c>
      <c r="D2611" s="122" t="n">
        <v>2</v>
      </c>
      <c r="E2611" s="123" t="n">
        <v>263.55</v>
      </c>
      <c r="F2611" s="124">
        <f>IF(C2611&lt;=30,5,IF(C2611&lt;=60,4,IF(C2611&lt;=120,3,IF(C2611&lt;=200,2,1))))</f>
        <v/>
      </c>
      <c r="G2611" s="124">
        <f>IF(D2611&gt;=20,5,IF(D2611&gt;=10,4,IF(D2611&gt;=5,3,IF(D2611&gt;=2,2,1))))</f>
        <v/>
      </c>
      <c r="H2611" s="124">
        <f>IF(E2611&gt;=5000,5,IF(E2611&gt;=2000,4,IF(E2611&gt;=800,3,IF(E2611&gt;=300,2,1))))</f>
        <v/>
      </c>
      <c r="I2611" s="122">
        <f>TEXT(F2611,"0")&amp;TEXT(G2611,"0")&amp;TEXT(H2611,"0")</f>
        <v/>
      </c>
      <c r="J2611" s="122">
        <f>IFERROR(XLOOKUP(I2611,'Segment Map'!A:A,'Segment Map'!B:B,"Need Attention"),"Need Attention")</f>
        <v/>
      </c>
      <c r="K2611" s="122">
        <f>IF(E2611&gt;=5000,"🏆 Platinum",IF(E2611&gt;=2000,"🥇 Gold",IF(E2611&gt;=800,"🥈 Silver","🥉 Bronze")))</f>
        <v/>
      </c>
      <c r="L2611" s="125" t="n">
        <v>40633</v>
      </c>
    </row>
    <row r="2612">
      <c r="A2612" s="126" t="n">
        <v>15895</v>
      </c>
      <c r="B2612" s="126" t="inlineStr">
        <is>
          <t>United Kingdom</t>
        </is>
      </c>
      <c r="C2612" s="126" t="n">
        <v>150</v>
      </c>
      <c r="D2612" s="126" t="n">
        <v>1</v>
      </c>
      <c r="E2612" s="127" t="n">
        <v>179.17</v>
      </c>
      <c r="F2612" s="128">
        <f>IF(C2612&lt;=30,5,IF(C2612&lt;=60,4,IF(C2612&lt;=120,3,IF(C2612&lt;=200,2,1))))</f>
        <v/>
      </c>
      <c r="G2612" s="128">
        <f>IF(D2612&gt;=20,5,IF(D2612&gt;=10,4,IF(D2612&gt;=5,3,IF(D2612&gt;=2,2,1))))</f>
        <v/>
      </c>
      <c r="H2612" s="128">
        <f>IF(E2612&gt;=5000,5,IF(E2612&gt;=2000,4,IF(E2612&gt;=800,3,IF(E2612&gt;=300,2,1))))</f>
        <v/>
      </c>
      <c r="I2612" s="126">
        <f>TEXT(F2612,"0")&amp;TEXT(G2612,"0")&amp;TEXT(H2612,"0")</f>
        <v/>
      </c>
      <c r="J2612" s="126">
        <f>IFERROR(XLOOKUP(I2612,'Segment Map'!A:A,'Segment Map'!B:B,"Need Attention"),"Need Attention")</f>
        <v/>
      </c>
      <c r="K2612" s="126">
        <f>IF(E2612&gt;=5000,"🏆 Platinum",IF(E2612&gt;=2000,"🥇 Gold",IF(E2612&gt;=800,"🥈 Silver","🥉 Bronze")))</f>
        <v/>
      </c>
      <c r="L2612" s="129" t="n">
        <v>40737</v>
      </c>
    </row>
    <row r="2613">
      <c r="A2613" s="122" t="n">
        <v>15897</v>
      </c>
      <c r="B2613" s="122" t="inlineStr">
        <is>
          <t>United Kingdom</t>
        </is>
      </c>
      <c r="C2613" s="122" t="n">
        <v>195</v>
      </c>
      <c r="D2613" s="122" t="n">
        <v>2</v>
      </c>
      <c r="E2613" s="123" t="n">
        <v>222.05</v>
      </c>
      <c r="F2613" s="124">
        <f>IF(C2613&lt;=30,5,IF(C2613&lt;=60,4,IF(C2613&lt;=120,3,IF(C2613&lt;=200,2,1))))</f>
        <v/>
      </c>
      <c r="G2613" s="124">
        <f>IF(D2613&gt;=20,5,IF(D2613&gt;=10,4,IF(D2613&gt;=5,3,IF(D2613&gt;=2,2,1))))</f>
        <v/>
      </c>
      <c r="H2613" s="124">
        <f>IF(E2613&gt;=5000,5,IF(E2613&gt;=2000,4,IF(E2613&gt;=800,3,IF(E2613&gt;=300,2,1))))</f>
        <v/>
      </c>
      <c r="I2613" s="122">
        <f>TEXT(F2613,"0")&amp;TEXT(G2613,"0")&amp;TEXT(H2613,"0")</f>
        <v/>
      </c>
      <c r="J2613" s="122">
        <f>IFERROR(XLOOKUP(I2613,'Segment Map'!A:A,'Segment Map'!B:B,"Need Attention"),"Need Attention")</f>
        <v/>
      </c>
      <c r="K2613" s="122">
        <f>IF(E2613&gt;=5000,"🏆 Platinum",IF(E2613&gt;=2000,"🥇 Gold",IF(E2613&gt;=800,"🥈 Silver","🥉 Bronze")))</f>
        <v/>
      </c>
      <c r="L2613" s="125" t="n">
        <v>40692</v>
      </c>
    </row>
    <row r="2614">
      <c r="A2614" s="126" t="n">
        <v>15898</v>
      </c>
      <c r="B2614" s="126" t="inlineStr">
        <is>
          <t>United Kingdom</t>
        </is>
      </c>
      <c r="C2614" s="126" t="n">
        <v>2</v>
      </c>
      <c r="D2614" s="126" t="n">
        <v>5</v>
      </c>
      <c r="E2614" s="127" t="n">
        <v>1388.88</v>
      </c>
      <c r="F2614" s="128">
        <f>IF(C2614&lt;=30,5,IF(C2614&lt;=60,4,IF(C2614&lt;=120,3,IF(C2614&lt;=200,2,1))))</f>
        <v/>
      </c>
      <c r="G2614" s="128">
        <f>IF(D2614&gt;=20,5,IF(D2614&gt;=10,4,IF(D2614&gt;=5,3,IF(D2614&gt;=2,2,1))))</f>
        <v/>
      </c>
      <c r="H2614" s="128">
        <f>IF(E2614&gt;=5000,5,IF(E2614&gt;=2000,4,IF(E2614&gt;=800,3,IF(E2614&gt;=300,2,1))))</f>
        <v/>
      </c>
      <c r="I2614" s="126">
        <f>TEXT(F2614,"0")&amp;TEXT(G2614,"0")&amp;TEXT(H2614,"0")</f>
        <v/>
      </c>
      <c r="J2614" s="126">
        <f>IFERROR(XLOOKUP(I2614,'Segment Map'!A:A,'Segment Map'!B:B,"Need Attention"),"Need Attention")</f>
        <v/>
      </c>
      <c r="K2614" s="126">
        <f>IF(E2614&gt;=5000,"🏆 Platinum",IF(E2614&gt;=2000,"🥇 Gold",IF(E2614&gt;=800,"🥈 Silver","🥉 Bronze")))</f>
        <v/>
      </c>
      <c r="L2614" s="129" t="n">
        <v>40885</v>
      </c>
    </row>
    <row r="2615">
      <c r="A2615" s="122" t="n">
        <v>15899</v>
      </c>
      <c r="B2615" s="122" t="inlineStr">
        <is>
          <t>United Kingdom</t>
        </is>
      </c>
      <c r="C2615" s="122" t="n">
        <v>369</v>
      </c>
      <c r="D2615" s="122" t="n">
        <v>1</v>
      </c>
      <c r="E2615" s="123" t="n">
        <v>56.25</v>
      </c>
      <c r="F2615" s="124">
        <f>IF(C2615&lt;=30,5,IF(C2615&lt;=60,4,IF(C2615&lt;=120,3,IF(C2615&lt;=200,2,1))))</f>
        <v/>
      </c>
      <c r="G2615" s="124">
        <f>IF(D2615&gt;=20,5,IF(D2615&gt;=10,4,IF(D2615&gt;=5,3,IF(D2615&gt;=2,2,1))))</f>
        <v/>
      </c>
      <c r="H2615" s="124">
        <f>IF(E2615&gt;=5000,5,IF(E2615&gt;=2000,4,IF(E2615&gt;=800,3,IF(E2615&gt;=300,2,1))))</f>
        <v/>
      </c>
      <c r="I2615" s="122">
        <f>TEXT(F2615,"0")&amp;TEXT(G2615,"0")&amp;TEXT(H2615,"0")</f>
        <v/>
      </c>
      <c r="J2615" s="122">
        <f>IFERROR(XLOOKUP(I2615,'Segment Map'!A:A,'Segment Map'!B:B,"Need Attention"),"Need Attention")</f>
        <v/>
      </c>
      <c r="K2615" s="122">
        <f>IF(E2615&gt;=5000,"🏆 Platinum",IF(E2615&gt;=2000,"🥇 Gold",IF(E2615&gt;=800,"🥈 Silver","🥉 Bronze")))</f>
        <v/>
      </c>
      <c r="L2615" s="125" t="n">
        <v>40518</v>
      </c>
    </row>
    <row r="2616">
      <c r="A2616" s="126" t="n">
        <v>15900</v>
      </c>
      <c r="B2616" s="126" t="inlineStr">
        <is>
          <t>United Kingdom</t>
        </is>
      </c>
      <c r="C2616" s="126" t="n">
        <v>24</v>
      </c>
      <c r="D2616" s="126" t="n">
        <v>1</v>
      </c>
      <c r="E2616" s="127" t="n">
        <v>351.11</v>
      </c>
      <c r="F2616" s="128">
        <f>IF(C2616&lt;=30,5,IF(C2616&lt;=60,4,IF(C2616&lt;=120,3,IF(C2616&lt;=200,2,1))))</f>
        <v/>
      </c>
      <c r="G2616" s="128">
        <f>IF(D2616&gt;=20,5,IF(D2616&gt;=10,4,IF(D2616&gt;=5,3,IF(D2616&gt;=2,2,1))))</f>
        <v/>
      </c>
      <c r="H2616" s="128">
        <f>IF(E2616&gt;=5000,5,IF(E2616&gt;=2000,4,IF(E2616&gt;=800,3,IF(E2616&gt;=300,2,1))))</f>
        <v/>
      </c>
      <c r="I2616" s="126">
        <f>TEXT(F2616,"0")&amp;TEXT(G2616,"0")&amp;TEXT(H2616,"0")</f>
        <v/>
      </c>
      <c r="J2616" s="126">
        <f>IFERROR(XLOOKUP(I2616,'Segment Map'!A:A,'Segment Map'!B:B,"Need Attention"),"Need Attention")</f>
        <v/>
      </c>
      <c r="K2616" s="126">
        <f>IF(E2616&gt;=5000,"🏆 Platinum",IF(E2616&gt;=2000,"🥇 Gold",IF(E2616&gt;=800,"🥈 Silver","🥉 Bronze")))</f>
        <v/>
      </c>
      <c r="L2616" s="129" t="n">
        <v>40863</v>
      </c>
    </row>
    <row r="2617">
      <c r="A2617" s="122" t="n">
        <v>15901</v>
      </c>
      <c r="B2617" s="122" t="inlineStr">
        <is>
          <t>United Kingdom</t>
        </is>
      </c>
      <c r="C2617" s="122" t="n">
        <v>17</v>
      </c>
      <c r="D2617" s="122" t="n">
        <v>3</v>
      </c>
      <c r="E2617" s="123" t="n">
        <v>363.88</v>
      </c>
      <c r="F2617" s="124">
        <f>IF(C2617&lt;=30,5,IF(C2617&lt;=60,4,IF(C2617&lt;=120,3,IF(C2617&lt;=200,2,1))))</f>
        <v/>
      </c>
      <c r="G2617" s="124">
        <f>IF(D2617&gt;=20,5,IF(D2617&gt;=10,4,IF(D2617&gt;=5,3,IF(D2617&gt;=2,2,1))))</f>
        <v/>
      </c>
      <c r="H2617" s="124">
        <f>IF(E2617&gt;=5000,5,IF(E2617&gt;=2000,4,IF(E2617&gt;=800,3,IF(E2617&gt;=300,2,1))))</f>
        <v/>
      </c>
      <c r="I2617" s="122">
        <f>TEXT(F2617,"0")&amp;TEXT(G2617,"0")&amp;TEXT(H2617,"0")</f>
        <v/>
      </c>
      <c r="J2617" s="122">
        <f>IFERROR(XLOOKUP(I2617,'Segment Map'!A:A,'Segment Map'!B:B,"Need Attention"),"Need Attention")</f>
        <v/>
      </c>
      <c r="K2617" s="122">
        <f>IF(E2617&gt;=5000,"🏆 Platinum",IF(E2617&gt;=2000,"🥇 Gold",IF(E2617&gt;=800,"🥈 Silver","🥉 Bronze")))</f>
        <v/>
      </c>
      <c r="L2617" s="125" t="n">
        <v>40870</v>
      </c>
    </row>
    <row r="2618">
      <c r="A2618" s="126" t="n">
        <v>15903</v>
      </c>
      <c r="B2618" s="126" t="inlineStr">
        <is>
          <t>United Kingdom</t>
        </is>
      </c>
      <c r="C2618" s="126" t="n">
        <v>10</v>
      </c>
      <c r="D2618" s="126" t="n">
        <v>7</v>
      </c>
      <c r="E2618" s="127" t="n">
        <v>5126.76</v>
      </c>
      <c r="F2618" s="128">
        <f>IF(C2618&lt;=30,5,IF(C2618&lt;=60,4,IF(C2618&lt;=120,3,IF(C2618&lt;=200,2,1))))</f>
        <v/>
      </c>
      <c r="G2618" s="128">
        <f>IF(D2618&gt;=20,5,IF(D2618&gt;=10,4,IF(D2618&gt;=5,3,IF(D2618&gt;=2,2,1))))</f>
        <v/>
      </c>
      <c r="H2618" s="128">
        <f>IF(E2618&gt;=5000,5,IF(E2618&gt;=2000,4,IF(E2618&gt;=800,3,IF(E2618&gt;=300,2,1))))</f>
        <v/>
      </c>
      <c r="I2618" s="126">
        <f>TEXT(F2618,"0")&amp;TEXT(G2618,"0")&amp;TEXT(H2618,"0")</f>
        <v/>
      </c>
      <c r="J2618" s="126">
        <f>IFERROR(XLOOKUP(I2618,'Segment Map'!A:A,'Segment Map'!B:B,"Need Attention"),"Need Attention")</f>
        <v/>
      </c>
      <c r="K2618" s="126">
        <f>IF(E2618&gt;=5000,"🏆 Platinum",IF(E2618&gt;=2000,"🥇 Gold",IF(E2618&gt;=800,"🥈 Silver","🥉 Bronze")))</f>
        <v/>
      </c>
      <c r="L2618" s="129" t="n">
        <v>40877</v>
      </c>
    </row>
    <row r="2619">
      <c r="A2619" s="122" t="n">
        <v>15904</v>
      </c>
      <c r="B2619" s="122" t="inlineStr">
        <is>
          <t>United Kingdom</t>
        </is>
      </c>
      <c r="C2619" s="122" t="n">
        <v>9</v>
      </c>
      <c r="D2619" s="122" t="n">
        <v>1</v>
      </c>
      <c r="E2619" s="123" t="n">
        <v>164.68</v>
      </c>
      <c r="F2619" s="124">
        <f>IF(C2619&lt;=30,5,IF(C2619&lt;=60,4,IF(C2619&lt;=120,3,IF(C2619&lt;=200,2,1))))</f>
        <v/>
      </c>
      <c r="G2619" s="124">
        <f>IF(D2619&gt;=20,5,IF(D2619&gt;=10,4,IF(D2619&gt;=5,3,IF(D2619&gt;=2,2,1))))</f>
        <v/>
      </c>
      <c r="H2619" s="124">
        <f>IF(E2619&gt;=5000,5,IF(E2619&gt;=2000,4,IF(E2619&gt;=800,3,IF(E2619&gt;=300,2,1))))</f>
        <v/>
      </c>
      <c r="I2619" s="122">
        <f>TEXT(F2619,"0")&amp;TEXT(G2619,"0")&amp;TEXT(H2619,"0")</f>
        <v/>
      </c>
      <c r="J2619" s="122">
        <f>IFERROR(XLOOKUP(I2619,'Segment Map'!A:A,'Segment Map'!B:B,"Need Attention"),"Need Attention")</f>
        <v/>
      </c>
      <c r="K2619" s="122">
        <f>IF(E2619&gt;=5000,"🏆 Platinum",IF(E2619&gt;=2000,"🥇 Gold",IF(E2619&gt;=800,"🥈 Silver","🥉 Bronze")))</f>
        <v/>
      </c>
      <c r="L2619" s="125" t="n">
        <v>40878</v>
      </c>
    </row>
    <row r="2620">
      <c r="A2620" s="126" t="n">
        <v>15906</v>
      </c>
      <c r="B2620" s="126" t="inlineStr">
        <is>
          <t>United Kingdom</t>
        </is>
      </c>
      <c r="C2620" s="126" t="n">
        <v>20</v>
      </c>
      <c r="D2620" s="126" t="n">
        <v>7</v>
      </c>
      <c r="E2620" s="127" t="n">
        <v>1567.69</v>
      </c>
      <c r="F2620" s="128">
        <f>IF(C2620&lt;=30,5,IF(C2620&lt;=60,4,IF(C2620&lt;=120,3,IF(C2620&lt;=200,2,1))))</f>
        <v/>
      </c>
      <c r="G2620" s="128">
        <f>IF(D2620&gt;=20,5,IF(D2620&gt;=10,4,IF(D2620&gt;=5,3,IF(D2620&gt;=2,2,1))))</f>
        <v/>
      </c>
      <c r="H2620" s="128">
        <f>IF(E2620&gt;=5000,5,IF(E2620&gt;=2000,4,IF(E2620&gt;=800,3,IF(E2620&gt;=300,2,1))))</f>
        <v/>
      </c>
      <c r="I2620" s="126">
        <f>TEXT(F2620,"0")&amp;TEXT(G2620,"0")&amp;TEXT(H2620,"0")</f>
        <v/>
      </c>
      <c r="J2620" s="126">
        <f>IFERROR(XLOOKUP(I2620,'Segment Map'!A:A,'Segment Map'!B:B,"Need Attention"),"Need Attention")</f>
        <v/>
      </c>
      <c r="K2620" s="126">
        <f>IF(E2620&gt;=5000,"🏆 Platinum",IF(E2620&gt;=2000,"🥇 Gold",IF(E2620&gt;=800,"🥈 Silver","🥉 Bronze")))</f>
        <v/>
      </c>
      <c r="L2620" s="129" t="n">
        <v>40867</v>
      </c>
    </row>
    <row r="2621">
      <c r="A2621" s="122" t="n">
        <v>15907</v>
      </c>
      <c r="B2621" s="122" t="inlineStr">
        <is>
          <t>United Kingdom</t>
        </is>
      </c>
      <c r="C2621" s="122" t="n">
        <v>4</v>
      </c>
      <c r="D2621" s="122" t="n">
        <v>3</v>
      </c>
      <c r="E2621" s="123" t="n">
        <v>967.45</v>
      </c>
      <c r="F2621" s="124">
        <f>IF(C2621&lt;=30,5,IF(C2621&lt;=60,4,IF(C2621&lt;=120,3,IF(C2621&lt;=200,2,1))))</f>
        <v/>
      </c>
      <c r="G2621" s="124">
        <f>IF(D2621&gt;=20,5,IF(D2621&gt;=10,4,IF(D2621&gt;=5,3,IF(D2621&gt;=2,2,1))))</f>
        <v/>
      </c>
      <c r="H2621" s="124">
        <f>IF(E2621&gt;=5000,5,IF(E2621&gt;=2000,4,IF(E2621&gt;=800,3,IF(E2621&gt;=300,2,1))))</f>
        <v/>
      </c>
      <c r="I2621" s="122">
        <f>TEXT(F2621,"0")&amp;TEXT(G2621,"0")&amp;TEXT(H2621,"0")</f>
        <v/>
      </c>
      <c r="J2621" s="122">
        <f>IFERROR(XLOOKUP(I2621,'Segment Map'!A:A,'Segment Map'!B:B,"Need Attention"),"Need Attention")</f>
        <v/>
      </c>
      <c r="K2621" s="122">
        <f>IF(E2621&gt;=5000,"🏆 Platinum",IF(E2621&gt;=2000,"🥇 Gold",IF(E2621&gt;=800,"🥈 Silver","🥉 Bronze")))</f>
        <v/>
      </c>
      <c r="L2621" s="125" t="n">
        <v>40883</v>
      </c>
    </row>
    <row r="2622">
      <c r="A2622" s="126" t="n">
        <v>15909</v>
      </c>
      <c r="B2622" s="126" t="inlineStr">
        <is>
          <t>United Kingdom</t>
        </is>
      </c>
      <c r="C2622" s="126" t="n">
        <v>174</v>
      </c>
      <c r="D2622" s="126" t="n">
        <v>1</v>
      </c>
      <c r="E2622" s="127" t="n">
        <v>191.94</v>
      </c>
      <c r="F2622" s="128">
        <f>IF(C2622&lt;=30,5,IF(C2622&lt;=60,4,IF(C2622&lt;=120,3,IF(C2622&lt;=200,2,1))))</f>
        <v/>
      </c>
      <c r="G2622" s="128">
        <f>IF(D2622&gt;=20,5,IF(D2622&gt;=10,4,IF(D2622&gt;=5,3,IF(D2622&gt;=2,2,1))))</f>
        <v/>
      </c>
      <c r="H2622" s="128">
        <f>IF(E2622&gt;=5000,5,IF(E2622&gt;=2000,4,IF(E2622&gt;=800,3,IF(E2622&gt;=300,2,1))))</f>
        <v/>
      </c>
      <c r="I2622" s="126">
        <f>TEXT(F2622,"0")&amp;TEXT(G2622,"0")&amp;TEXT(H2622,"0")</f>
        <v/>
      </c>
      <c r="J2622" s="126">
        <f>IFERROR(XLOOKUP(I2622,'Segment Map'!A:A,'Segment Map'!B:B,"Need Attention"),"Need Attention")</f>
        <v/>
      </c>
      <c r="K2622" s="126">
        <f>IF(E2622&gt;=5000,"🏆 Platinum",IF(E2622&gt;=2000,"🥇 Gold",IF(E2622&gt;=800,"🥈 Silver","🥉 Bronze")))</f>
        <v/>
      </c>
      <c r="L2622" s="129" t="n">
        <v>40713</v>
      </c>
    </row>
    <row r="2623">
      <c r="A2623" s="122" t="n">
        <v>15910</v>
      </c>
      <c r="B2623" s="122" t="inlineStr">
        <is>
          <t>United Kingdom</t>
        </is>
      </c>
      <c r="C2623" s="122" t="n">
        <v>1</v>
      </c>
      <c r="D2623" s="122" t="n">
        <v>8</v>
      </c>
      <c r="E2623" s="123" t="n">
        <v>1232.18</v>
      </c>
      <c r="F2623" s="124">
        <f>IF(C2623&lt;=30,5,IF(C2623&lt;=60,4,IF(C2623&lt;=120,3,IF(C2623&lt;=200,2,1))))</f>
        <v/>
      </c>
      <c r="G2623" s="124">
        <f>IF(D2623&gt;=20,5,IF(D2623&gt;=10,4,IF(D2623&gt;=5,3,IF(D2623&gt;=2,2,1))))</f>
        <v/>
      </c>
      <c r="H2623" s="124">
        <f>IF(E2623&gt;=5000,5,IF(E2623&gt;=2000,4,IF(E2623&gt;=800,3,IF(E2623&gt;=300,2,1))))</f>
        <v/>
      </c>
      <c r="I2623" s="122">
        <f>TEXT(F2623,"0")&amp;TEXT(G2623,"0")&amp;TEXT(H2623,"0")</f>
        <v/>
      </c>
      <c r="J2623" s="122">
        <f>IFERROR(XLOOKUP(I2623,'Segment Map'!A:A,'Segment Map'!B:B,"Need Attention"),"Need Attention")</f>
        <v/>
      </c>
      <c r="K2623" s="122">
        <f>IF(E2623&gt;=5000,"🏆 Platinum",IF(E2623&gt;=2000,"🥇 Gold",IF(E2623&gt;=800,"🥈 Silver","🥉 Bronze")))</f>
        <v/>
      </c>
      <c r="L2623" s="125" t="n">
        <v>40886</v>
      </c>
    </row>
    <row r="2624">
      <c r="A2624" s="126" t="n">
        <v>15912</v>
      </c>
      <c r="B2624" s="126" t="inlineStr">
        <is>
          <t>United Kingdom</t>
        </is>
      </c>
      <c r="C2624" s="126" t="n">
        <v>179</v>
      </c>
      <c r="D2624" s="126" t="n">
        <v>2</v>
      </c>
      <c r="E2624" s="127" t="n">
        <v>264.62</v>
      </c>
      <c r="F2624" s="128">
        <f>IF(C2624&lt;=30,5,IF(C2624&lt;=60,4,IF(C2624&lt;=120,3,IF(C2624&lt;=200,2,1))))</f>
        <v/>
      </c>
      <c r="G2624" s="128">
        <f>IF(D2624&gt;=20,5,IF(D2624&gt;=10,4,IF(D2624&gt;=5,3,IF(D2624&gt;=2,2,1))))</f>
        <v/>
      </c>
      <c r="H2624" s="128">
        <f>IF(E2624&gt;=5000,5,IF(E2624&gt;=2000,4,IF(E2624&gt;=800,3,IF(E2624&gt;=300,2,1))))</f>
        <v/>
      </c>
      <c r="I2624" s="126">
        <f>TEXT(F2624,"0")&amp;TEXT(G2624,"0")&amp;TEXT(H2624,"0")</f>
        <v/>
      </c>
      <c r="J2624" s="126">
        <f>IFERROR(XLOOKUP(I2624,'Segment Map'!A:A,'Segment Map'!B:B,"Need Attention"),"Need Attention")</f>
        <v/>
      </c>
      <c r="K2624" s="126">
        <f>IF(E2624&gt;=5000,"🏆 Platinum",IF(E2624&gt;=2000,"🥇 Gold",IF(E2624&gt;=800,"🥈 Silver","🥉 Bronze")))</f>
        <v/>
      </c>
      <c r="L2624" s="129" t="n">
        <v>40708</v>
      </c>
    </row>
    <row r="2625">
      <c r="A2625" s="122" t="n">
        <v>15916</v>
      </c>
      <c r="B2625" s="122" t="inlineStr">
        <is>
          <t>United Kingdom</t>
        </is>
      </c>
      <c r="C2625" s="122" t="n">
        <v>17</v>
      </c>
      <c r="D2625" s="122" t="n">
        <v>8</v>
      </c>
      <c r="E2625" s="123" t="n">
        <v>1528.09</v>
      </c>
      <c r="F2625" s="124">
        <f>IF(C2625&lt;=30,5,IF(C2625&lt;=60,4,IF(C2625&lt;=120,3,IF(C2625&lt;=200,2,1))))</f>
        <v/>
      </c>
      <c r="G2625" s="124">
        <f>IF(D2625&gt;=20,5,IF(D2625&gt;=10,4,IF(D2625&gt;=5,3,IF(D2625&gt;=2,2,1))))</f>
        <v/>
      </c>
      <c r="H2625" s="124">
        <f>IF(E2625&gt;=5000,5,IF(E2625&gt;=2000,4,IF(E2625&gt;=800,3,IF(E2625&gt;=300,2,1))))</f>
        <v/>
      </c>
      <c r="I2625" s="122">
        <f>TEXT(F2625,"0")&amp;TEXT(G2625,"0")&amp;TEXT(H2625,"0")</f>
        <v/>
      </c>
      <c r="J2625" s="122">
        <f>IFERROR(XLOOKUP(I2625,'Segment Map'!A:A,'Segment Map'!B:B,"Need Attention"),"Need Attention")</f>
        <v/>
      </c>
      <c r="K2625" s="122">
        <f>IF(E2625&gt;=5000,"🏆 Platinum",IF(E2625&gt;=2000,"🥇 Gold",IF(E2625&gt;=800,"🥈 Silver","🥉 Bronze")))</f>
        <v/>
      </c>
      <c r="L2625" s="125" t="n">
        <v>40870</v>
      </c>
    </row>
    <row r="2626">
      <c r="A2626" s="126" t="n">
        <v>15917</v>
      </c>
      <c r="B2626" s="126" t="inlineStr">
        <is>
          <t>United Kingdom</t>
        </is>
      </c>
      <c r="C2626" s="126" t="n">
        <v>248</v>
      </c>
      <c r="D2626" s="126" t="n">
        <v>1</v>
      </c>
      <c r="E2626" s="127" t="n">
        <v>123.1</v>
      </c>
      <c r="F2626" s="128">
        <f>IF(C2626&lt;=30,5,IF(C2626&lt;=60,4,IF(C2626&lt;=120,3,IF(C2626&lt;=200,2,1))))</f>
        <v/>
      </c>
      <c r="G2626" s="128">
        <f>IF(D2626&gt;=20,5,IF(D2626&gt;=10,4,IF(D2626&gt;=5,3,IF(D2626&gt;=2,2,1))))</f>
        <v/>
      </c>
      <c r="H2626" s="128">
        <f>IF(E2626&gt;=5000,5,IF(E2626&gt;=2000,4,IF(E2626&gt;=800,3,IF(E2626&gt;=300,2,1))))</f>
        <v/>
      </c>
      <c r="I2626" s="126">
        <f>TEXT(F2626,"0")&amp;TEXT(G2626,"0")&amp;TEXT(H2626,"0")</f>
        <v/>
      </c>
      <c r="J2626" s="126">
        <f>IFERROR(XLOOKUP(I2626,'Segment Map'!A:A,'Segment Map'!B:B,"Need Attention"),"Need Attention")</f>
        <v/>
      </c>
      <c r="K2626" s="126">
        <f>IF(E2626&gt;=5000,"🏆 Platinum",IF(E2626&gt;=2000,"🥇 Gold",IF(E2626&gt;=800,"🥈 Silver","🥉 Bronze")))</f>
        <v/>
      </c>
      <c r="L2626" s="129" t="n">
        <v>40639</v>
      </c>
    </row>
    <row r="2627">
      <c r="A2627" s="122" t="n">
        <v>15918</v>
      </c>
      <c r="B2627" s="122" t="inlineStr">
        <is>
          <t>United Kingdom</t>
        </is>
      </c>
      <c r="C2627" s="122" t="n">
        <v>191</v>
      </c>
      <c r="D2627" s="122" t="n">
        <v>2</v>
      </c>
      <c r="E2627" s="123" t="n">
        <v>334.23</v>
      </c>
      <c r="F2627" s="124">
        <f>IF(C2627&lt;=30,5,IF(C2627&lt;=60,4,IF(C2627&lt;=120,3,IF(C2627&lt;=200,2,1))))</f>
        <v/>
      </c>
      <c r="G2627" s="124">
        <f>IF(D2627&gt;=20,5,IF(D2627&gt;=10,4,IF(D2627&gt;=5,3,IF(D2627&gt;=2,2,1))))</f>
        <v/>
      </c>
      <c r="H2627" s="124">
        <f>IF(E2627&gt;=5000,5,IF(E2627&gt;=2000,4,IF(E2627&gt;=800,3,IF(E2627&gt;=300,2,1))))</f>
        <v/>
      </c>
      <c r="I2627" s="122">
        <f>TEXT(F2627,"0")&amp;TEXT(G2627,"0")&amp;TEXT(H2627,"0")</f>
        <v/>
      </c>
      <c r="J2627" s="122">
        <f>IFERROR(XLOOKUP(I2627,'Segment Map'!A:A,'Segment Map'!B:B,"Need Attention"),"Need Attention")</f>
        <v/>
      </c>
      <c r="K2627" s="122">
        <f>IF(E2627&gt;=5000,"🏆 Platinum",IF(E2627&gt;=2000,"🥇 Gold",IF(E2627&gt;=800,"🥈 Silver","🥉 Bronze")))</f>
        <v/>
      </c>
      <c r="L2627" s="125" t="n">
        <v>40696</v>
      </c>
    </row>
    <row r="2628">
      <c r="A2628" s="126" t="n">
        <v>15919</v>
      </c>
      <c r="B2628" s="126" t="inlineStr">
        <is>
          <t>United Kingdom</t>
        </is>
      </c>
      <c r="C2628" s="126" t="n">
        <v>20</v>
      </c>
      <c r="D2628" s="126" t="n">
        <v>2</v>
      </c>
      <c r="E2628" s="127" t="n">
        <v>639.89</v>
      </c>
      <c r="F2628" s="128">
        <f>IF(C2628&lt;=30,5,IF(C2628&lt;=60,4,IF(C2628&lt;=120,3,IF(C2628&lt;=200,2,1))))</f>
        <v/>
      </c>
      <c r="G2628" s="128">
        <f>IF(D2628&gt;=20,5,IF(D2628&gt;=10,4,IF(D2628&gt;=5,3,IF(D2628&gt;=2,2,1))))</f>
        <v/>
      </c>
      <c r="H2628" s="128">
        <f>IF(E2628&gt;=5000,5,IF(E2628&gt;=2000,4,IF(E2628&gt;=800,3,IF(E2628&gt;=300,2,1))))</f>
        <v/>
      </c>
      <c r="I2628" s="126">
        <f>TEXT(F2628,"0")&amp;TEXT(G2628,"0")&amp;TEXT(H2628,"0")</f>
        <v/>
      </c>
      <c r="J2628" s="126">
        <f>IFERROR(XLOOKUP(I2628,'Segment Map'!A:A,'Segment Map'!B:B,"Need Attention"),"Need Attention")</f>
        <v/>
      </c>
      <c r="K2628" s="126">
        <f>IF(E2628&gt;=5000,"🏆 Platinum",IF(E2628&gt;=2000,"🥇 Gold",IF(E2628&gt;=800,"🥈 Silver","🥉 Bronze")))</f>
        <v/>
      </c>
      <c r="L2628" s="129" t="n">
        <v>40867</v>
      </c>
    </row>
    <row r="2629">
      <c r="A2629" s="122" t="n">
        <v>15920</v>
      </c>
      <c r="B2629" s="122" t="inlineStr">
        <is>
          <t>United Kingdom</t>
        </is>
      </c>
      <c r="C2629" s="122" t="n">
        <v>155</v>
      </c>
      <c r="D2629" s="122" t="n">
        <v>4</v>
      </c>
      <c r="E2629" s="123" t="n">
        <v>167.5</v>
      </c>
      <c r="F2629" s="124">
        <f>IF(C2629&lt;=30,5,IF(C2629&lt;=60,4,IF(C2629&lt;=120,3,IF(C2629&lt;=200,2,1))))</f>
        <v/>
      </c>
      <c r="G2629" s="124">
        <f>IF(D2629&gt;=20,5,IF(D2629&gt;=10,4,IF(D2629&gt;=5,3,IF(D2629&gt;=2,2,1))))</f>
        <v/>
      </c>
      <c r="H2629" s="124">
        <f>IF(E2629&gt;=5000,5,IF(E2629&gt;=2000,4,IF(E2629&gt;=800,3,IF(E2629&gt;=300,2,1))))</f>
        <v/>
      </c>
      <c r="I2629" s="122">
        <f>TEXT(F2629,"0")&amp;TEXT(G2629,"0")&amp;TEXT(H2629,"0")</f>
        <v/>
      </c>
      <c r="J2629" s="122">
        <f>IFERROR(XLOOKUP(I2629,'Segment Map'!A:A,'Segment Map'!B:B,"Need Attention"),"Need Attention")</f>
        <v/>
      </c>
      <c r="K2629" s="122">
        <f>IF(E2629&gt;=5000,"🏆 Platinum",IF(E2629&gt;=2000,"🥇 Gold",IF(E2629&gt;=800,"🥈 Silver","🥉 Bronze")))</f>
        <v/>
      </c>
      <c r="L2629" s="125" t="n">
        <v>40732</v>
      </c>
    </row>
    <row r="2630">
      <c r="A2630" s="126" t="n">
        <v>15921</v>
      </c>
      <c r="B2630" s="126" t="inlineStr">
        <is>
          <t>United Kingdom</t>
        </is>
      </c>
      <c r="C2630" s="126" t="n">
        <v>173</v>
      </c>
      <c r="D2630" s="126" t="n">
        <v>1</v>
      </c>
      <c r="E2630" s="127" t="n">
        <v>336.03</v>
      </c>
      <c r="F2630" s="128">
        <f>IF(C2630&lt;=30,5,IF(C2630&lt;=60,4,IF(C2630&lt;=120,3,IF(C2630&lt;=200,2,1))))</f>
        <v/>
      </c>
      <c r="G2630" s="128">
        <f>IF(D2630&gt;=20,5,IF(D2630&gt;=10,4,IF(D2630&gt;=5,3,IF(D2630&gt;=2,2,1))))</f>
        <v/>
      </c>
      <c r="H2630" s="128">
        <f>IF(E2630&gt;=5000,5,IF(E2630&gt;=2000,4,IF(E2630&gt;=800,3,IF(E2630&gt;=300,2,1))))</f>
        <v/>
      </c>
      <c r="I2630" s="126">
        <f>TEXT(F2630,"0")&amp;TEXT(G2630,"0")&amp;TEXT(H2630,"0")</f>
        <v/>
      </c>
      <c r="J2630" s="126">
        <f>IFERROR(XLOOKUP(I2630,'Segment Map'!A:A,'Segment Map'!B:B,"Need Attention"),"Need Attention")</f>
        <v/>
      </c>
      <c r="K2630" s="126">
        <f>IF(E2630&gt;=5000,"🏆 Platinum",IF(E2630&gt;=2000,"🥇 Gold",IF(E2630&gt;=800,"🥈 Silver","🥉 Bronze")))</f>
        <v/>
      </c>
      <c r="L2630" s="129" t="n">
        <v>40714</v>
      </c>
    </row>
    <row r="2631">
      <c r="A2631" s="122" t="n">
        <v>15922</v>
      </c>
      <c r="B2631" s="122" t="inlineStr">
        <is>
          <t>United Kingdom</t>
        </is>
      </c>
      <c r="C2631" s="122" t="n">
        <v>374</v>
      </c>
      <c r="D2631" s="122" t="n">
        <v>1</v>
      </c>
      <c r="E2631" s="123" t="n">
        <v>369.5</v>
      </c>
      <c r="F2631" s="124">
        <f>IF(C2631&lt;=30,5,IF(C2631&lt;=60,4,IF(C2631&lt;=120,3,IF(C2631&lt;=200,2,1))))</f>
        <v/>
      </c>
      <c r="G2631" s="124">
        <f>IF(D2631&gt;=20,5,IF(D2631&gt;=10,4,IF(D2631&gt;=5,3,IF(D2631&gt;=2,2,1))))</f>
        <v/>
      </c>
      <c r="H2631" s="124">
        <f>IF(E2631&gt;=5000,5,IF(E2631&gt;=2000,4,IF(E2631&gt;=800,3,IF(E2631&gt;=300,2,1))))</f>
        <v/>
      </c>
      <c r="I2631" s="122">
        <f>TEXT(F2631,"0")&amp;TEXT(G2631,"0")&amp;TEXT(H2631,"0")</f>
        <v/>
      </c>
      <c r="J2631" s="122">
        <f>IFERROR(XLOOKUP(I2631,'Segment Map'!A:A,'Segment Map'!B:B,"Need Attention"),"Need Attention")</f>
        <v/>
      </c>
      <c r="K2631" s="122">
        <f>IF(E2631&gt;=5000,"🏆 Platinum",IF(E2631&gt;=2000,"🥇 Gold",IF(E2631&gt;=800,"🥈 Silver","🥉 Bronze")))</f>
        <v/>
      </c>
      <c r="L2631" s="125" t="n">
        <v>40513</v>
      </c>
    </row>
    <row r="2632">
      <c r="A2632" s="126" t="n">
        <v>15923</v>
      </c>
      <c r="B2632" s="126" t="inlineStr">
        <is>
          <t>United Kingdom</t>
        </is>
      </c>
      <c r="C2632" s="126" t="n">
        <v>373</v>
      </c>
      <c r="D2632" s="126" t="n">
        <v>1</v>
      </c>
      <c r="E2632" s="127" t="n">
        <v>127.08</v>
      </c>
      <c r="F2632" s="128">
        <f>IF(C2632&lt;=30,5,IF(C2632&lt;=60,4,IF(C2632&lt;=120,3,IF(C2632&lt;=200,2,1))))</f>
        <v/>
      </c>
      <c r="G2632" s="128">
        <f>IF(D2632&gt;=20,5,IF(D2632&gt;=10,4,IF(D2632&gt;=5,3,IF(D2632&gt;=2,2,1))))</f>
        <v/>
      </c>
      <c r="H2632" s="128">
        <f>IF(E2632&gt;=5000,5,IF(E2632&gt;=2000,4,IF(E2632&gt;=800,3,IF(E2632&gt;=300,2,1))))</f>
        <v/>
      </c>
      <c r="I2632" s="126">
        <f>TEXT(F2632,"0")&amp;TEXT(G2632,"0")&amp;TEXT(H2632,"0")</f>
        <v/>
      </c>
      <c r="J2632" s="126">
        <f>IFERROR(XLOOKUP(I2632,'Segment Map'!A:A,'Segment Map'!B:B,"Need Attention"),"Need Attention")</f>
        <v/>
      </c>
      <c r="K2632" s="126">
        <f>IF(E2632&gt;=5000,"🏆 Platinum",IF(E2632&gt;=2000,"🥇 Gold",IF(E2632&gt;=800,"🥈 Silver","🥉 Bronze")))</f>
        <v/>
      </c>
      <c r="L2632" s="129" t="n">
        <v>40514</v>
      </c>
    </row>
    <row r="2633">
      <c r="A2633" s="122" t="n">
        <v>15925</v>
      </c>
      <c r="B2633" s="122" t="inlineStr">
        <is>
          <t>United Kingdom</t>
        </is>
      </c>
      <c r="C2633" s="122" t="n">
        <v>195</v>
      </c>
      <c r="D2633" s="122" t="n">
        <v>1</v>
      </c>
      <c r="E2633" s="123" t="n">
        <v>207.15</v>
      </c>
      <c r="F2633" s="124">
        <f>IF(C2633&lt;=30,5,IF(C2633&lt;=60,4,IF(C2633&lt;=120,3,IF(C2633&lt;=200,2,1))))</f>
        <v/>
      </c>
      <c r="G2633" s="124">
        <f>IF(D2633&gt;=20,5,IF(D2633&gt;=10,4,IF(D2633&gt;=5,3,IF(D2633&gt;=2,2,1))))</f>
        <v/>
      </c>
      <c r="H2633" s="124">
        <f>IF(E2633&gt;=5000,5,IF(E2633&gt;=2000,4,IF(E2633&gt;=800,3,IF(E2633&gt;=300,2,1))))</f>
        <v/>
      </c>
      <c r="I2633" s="122">
        <f>TEXT(F2633,"0")&amp;TEXT(G2633,"0")&amp;TEXT(H2633,"0")</f>
        <v/>
      </c>
      <c r="J2633" s="122">
        <f>IFERROR(XLOOKUP(I2633,'Segment Map'!A:A,'Segment Map'!B:B,"Need Attention"),"Need Attention")</f>
        <v/>
      </c>
      <c r="K2633" s="122">
        <f>IF(E2633&gt;=5000,"🏆 Platinum",IF(E2633&gt;=2000,"🥇 Gold",IF(E2633&gt;=800,"🥈 Silver","🥉 Bronze")))</f>
        <v/>
      </c>
      <c r="L2633" s="125" t="n">
        <v>40692</v>
      </c>
    </row>
    <row r="2634">
      <c r="A2634" s="126" t="n">
        <v>15930</v>
      </c>
      <c r="B2634" s="126" t="inlineStr">
        <is>
          <t>United Kingdom</t>
        </is>
      </c>
      <c r="C2634" s="126" t="n">
        <v>68</v>
      </c>
      <c r="D2634" s="126" t="n">
        <v>1</v>
      </c>
      <c r="E2634" s="127" t="n">
        <v>426.63</v>
      </c>
      <c r="F2634" s="128">
        <f>IF(C2634&lt;=30,5,IF(C2634&lt;=60,4,IF(C2634&lt;=120,3,IF(C2634&lt;=200,2,1))))</f>
        <v/>
      </c>
      <c r="G2634" s="128">
        <f>IF(D2634&gt;=20,5,IF(D2634&gt;=10,4,IF(D2634&gt;=5,3,IF(D2634&gt;=2,2,1))))</f>
        <v/>
      </c>
      <c r="H2634" s="128">
        <f>IF(E2634&gt;=5000,5,IF(E2634&gt;=2000,4,IF(E2634&gt;=800,3,IF(E2634&gt;=300,2,1))))</f>
        <v/>
      </c>
      <c r="I2634" s="126">
        <f>TEXT(F2634,"0")&amp;TEXT(G2634,"0")&amp;TEXT(H2634,"0")</f>
        <v/>
      </c>
      <c r="J2634" s="126">
        <f>IFERROR(XLOOKUP(I2634,'Segment Map'!A:A,'Segment Map'!B:B,"Need Attention"),"Need Attention")</f>
        <v/>
      </c>
      <c r="K2634" s="126">
        <f>IF(E2634&gt;=5000,"🏆 Platinum",IF(E2634&gt;=2000,"🥇 Gold",IF(E2634&gt;=800,"🥈 Silver","🥉 Bronze")))</f>
        <v/>
      </c>
      <c r="L2634" s="129" t="n">
        <v>40819</v>
      </c>
    </row>
    <row r="2635">
      <c r="A2635" s="122" t="n">
        <v>15932</v>
      </c>
      <c r="B2635" s="122" t="inlineStr">
        <is>
          <t>United Kingdom</t>
        </is>
      </c>
      <c r="C2635" s="122" t="n">
        <v>5</v>
      </c>
      <c r="D2635" s="122" t="n">
        <v>8</v>
      </c>
      <c r="E2635" s="123" t="n">
        <v>2495.87</v>
      </c>
      <c r="F2635" s="124">
        <f>IF(C2635&lt;=30,5,IF(C2635&lt;=60,4,IF(C2635&lt;=120,3,IF(C2635&lt;=200,2,1))))</f>
        <v/>
      </c>
      <c r="G2635" s="124">
        <f>IF(D2635&gt;=20,5,IF(D2635&gt;=10,4,IF(D2635&gt;=5,3,IF(D2635&gt;=2,2,1))))</f>
        <v/>
      </c>
      <c r="H2635" s="124">
        <f>IF(E2635&gt;=5000,5,IF(E2635&gt;=2000,4,IF(E2635&gt;=800,3,IF(E2635&gt;=300,2,1))))</f>
        <v/>
      </c>
      <c r="I2635" s="122">
        <f>TEXT(F2635,"0")&amp;TEXT(G2635,"0")&amp;TEXT(H2635,"0")</f>
        <v/>
      </c>
      <c r="J2635" s="122">
        <f>IFERROR(XLOOKUP(I2635,'Segment Map'!A:A,'Segment Map'!B:B,"Need Attention"),"Need Attention")</f>
        <v/>
      </c>
      <c r="K2635" s="122">
        <f>IF(E2635&gt;=5000,"🏆 Platinum",IF(E2635&gt;=2000,"🥇 Gold",IF(E2635&gt;=800,"🥈 Silver","🥉 Bronze")))</f>
        <v/>
      </c>
      <c r="L2635" s="125" t="n">
        <v>40882</v>
      </c>
    </row>
    <row r="2636">
      <c r="A2636" s="126" t="n">
        <v>15933</v>
      </c>
      <c r="B2636" s="126" t="inlineStr">
        <is>
          <t>United Kingdom</t>
        </is>
      </c>
      <c r="C2636" s="126" t="n">
        <v>22</v>
      </c>
      <c r="D2636" s="126" t="n">
        <v>3</v>
      </c>
      <c r="E2636" s="127" t="n">
        <v>1107.46</v>
      </c>
      <c r="F2636" s="128">
        <f>IF(C2636&lt;=30,5,IF(C2636&lt;=60,4,IF(C2636&lt;=120,3,IF(C2636&lt;=200,2,1))))</f>
        <v/>
      </c>
      <c r="G2636" s="128">
        <f>IF(D2636&gt;=20,5,IF(D2636&gt;=10,4,IF(D2636&gt;=5,3,IF(D2636&gt;=2,2,1))))</f>
        <v/>
      </c>
      <c r="H2636" s="128">
        <f>IF(E2636&gt;=5000,5,IF(E2636&gt;=2000,4,IF(E2636&gt;=800,3,IF(E2636&gt;=300,2,1))))</f>
        <v/>
      </c>
      <c r="I2636" s="126">
        <f>TEXT(F2636,"0")&amp;TEXT(G2636,"0")&amp;TEXT(H2636,"0")</f>
        <v/>
      </c>
      <c r="J2636" s="126">
        <f>IFERROR(XLOOKUP(I2636,'Segment Map'!A:A,'Segment Map'!B:B,"Need Attention"),"Need Attention")</f>
        <v/>
      </c>
      <c r="K2636" s="126">
        <f>IF(E2636&gt;=5000,"🏆 Platinum",IF(E2636&gt;=2000,"🥇 Gold",IF(E2636&gt;=800,"🥈 Silver","🥉 Bronze")))</f>
        <v/>
      </c>
      <c r="L2636" s="129" t="n">
        <v>40865</v>
      </c>
    </row>
    <row r="2637">
      <c r="A2637" s="122" t="n">
        <v>15935</v>
      </c>
      <c r="B2637" s="122" t="inlineStr">
        <is>
          <t>United Kingdom</t>
        </is>
      </c>
      <c r="C2637" s="122" t="n">
        <v>240</v>
      </c>
      <c r="D2637" s="122" t="n">
        <v>2</v>
      </c>
      <c r="E2637" s="123" t="n">
        <v>416.86</v>
      </c>
      <c r="F2637" s="124">
        <f>IF(C2637&lt;=30,5,IF(C2637&lt;=60,4,IF(C2637&lt;=120,3,IF(C2637&lt;=200,2,1))))</f>
        <v/>
      </c>
      <c r="G2637" s="124">
        <f>IF(D2637&gt;=20,5,IF(D2637&gt;=10,4,IF(D2637&gt;=5,3,IF(D2637&gt;=2,2,1))))</f>
        <v/>
      </c>
      <c r="H2637" s="124">
        <f>IF(E2637&gt;=5000,5,IF(E2637&gt;=2000,4,IF(E2637&gt;=800,3,IF(E2637&gt;=300,2,1))))</f>
        <v/>
      </c>
      <c r="I2637" s="122">
        <f>TEXT(F2637,"0")&amp;TEXT(G2637,"0")&amp;TEXT(H2637,"0")</f>
        <v/>
      </c>
      <c r="J2637" s="122">
        <f>IFERROR(XLOOKUP(I2637,'Segment Map'!A:A,'Segment Map'!B:B,"Need Attention"),"Need Attention")</f>
        <v/>
      </c>
      <c r="K2637" s="122">
        <f>IF(E2637&gt;=5000,"🏆 Platinum",IF(E2637&gt;=2000,"🥇 Gold",IF(E2637&gt;=800,"🥈 Silver","🥉 Bronze")))</f>
        <v/>
      </c>
      <c r="L2637" s="125" t="n">
        <v>40647</v>
      </c>
    </row>
    <row r="2638">
      <c r="A2638" s="126" t="n">
        <v>15937</v>
      </c>
      <c r="B2638" s="126" t="inlineStr">
        <is>
          <t>United Kingdom</t>
        </is>
      </c>
      <c r="C2638" s="126" t="n">
        <v>65</v>
      </c>
      <c r="D2638" s="126" t="n">
        <v>1</v>
      </c>
      <c r="E2638" s="127" t="n">
        <v>145.35</v>
      </c>
      <c r="F2638" s="128">
        <f>IF(C2638&lt;=30,5,IF(C2638&lt;=60,4,IF(C2638&lt;=120,3,IF(C2638&lt;=200,2,1))))</f>
        <v/>
      </c>
      <c r="G2638" s="128">
        <f>IF(D2638&gt;=20,5,IF(D2638&gt;=10,4,IF(D2638&gt;=5,3,IF(D2638&gt;=2,2,1))))</f>
        <v/>
      </c>
      <c r="H2638" s="128">
        <f>IF(E2638&gt;=5000,5,IF(E2638&gt;=2000,4,IF(E2638&gt;=800,3,IF(E2638&gt;=300,2,1))))</f>
        <v/>
      </c>
      <c r="I2638" s="126">
        <f>TEXT(F2638,"0")&amp;TEXT(G2638,"0")&amp;TEXT(H2638,"0")</f>
        <v/>
      </c>
      <c r="J2638" s="126">
        <f>IFERROR(XLOOKUP(I2638,'Segment Map'!A:A,'Segment Map'!B:B,"Need Attention"),"Need Attention")</f>
        <v/>
      </c>
      <c r="K2638" s="126">
        <f>IF(E2638&gt;=5000,"🏆 Platinum",IF(E2638&gt;=2000,"🥇 Gold",IF(E2638&gt;=800,"🥈 Silver","🥉 Bronze")))</f>
        <v/>
      </c>
      <c r="L2638" s="129" t="n">
        <v>40822</v>
      </c>
    </row>
    <row r="2639">
      <c r="A2639" s="122" t="n">
        <v>15938</v>
      </c>
      <c r="B2639" s="122" t="inlineStr">
        <is>
          <t>United Kingdom</t>
        </is>
      </c>
      <c r="C2639" s="122" t="n">
        <v>113</v>
      </c>
      <c r="D2639" s="122" t="n">
        <v>5</v>
      </c>
      <c r="E2639" s="123" t="n">
        <v>404.58</v>
      </c>
      <c r="F2639" s="124">
        <f>IF(C2639&lt;=30,5,IF(C2639&lt;=60,4,IF(C2639&lt;=120,3,IF(C2639&lt;=200,2,1))))</f>
        <v/>
      </c>
      <c r="G2639" s="124">
        <f>IF(D2639&gt;=20,5,IF(D2639&gt;=10,4,IF(D2639&gt;=5,3,IF(D2639&gt;=2,2,1))))</f>
        <v/>
      </c>
      <c r="H2639" s="124">
        <f>IF(E2639&gt;=5000,5,IF(E2639&gt;=2000,4,IF(E2639&gt;=800,3,IF(E2639&gt;=300,2,1))))</f>
        <v/>
      </c>
      <c r="I2639" s="122">
        <f>TEXT(F2639,"0")&amp;TEXT(G2639,"0")&amp;TEXT(H2639,"0")</f>
        <v/>
      </c>
      <c r="J2639" s="122">
        <f>IFERROR(XLOOKUP(I2639,'Segment Map'!A:A,'Segment Map'!B:B,"Need Attention"),"Need Attention")</f>
        <v/>
      </c>
      <c r="K2639" s="122">
        <f>IF(E2639&gt;=5000,"🏆 Platinum",IF(E2639&gt;=2000,"🥇 Gold",IF(E2639&gt;=800,"🥈 Silver","🥉 Bronze")))</f>
        <v/>
      </c>
      <c r="L2639" s="125" t="n">
        <v>40774</v>
      </c>
    </row>
    <row r="2640">
      <c r="A2640" s="126" t="n">
        <v>15939</v>
      </c>
      <c r="B2640" s="126" t="inlineStr">
        <is>
          <t>United Kingdom</t>
        </is>
      </c>
      <c r="C2640" s="126" t="n">
        <v>90</v>
      </c>
      <c r="D2640" s="126" t="n">
        <v>15</v>
      </c>
      <c r="E2640" s="127" t="n">
        <v>6115.01</v>
      </c>
      <c r="F2640" s="128">
        <f>IF(C2640&lt;=30,5,IF(C2640&lt;=60,4,IF(C2640&lt;=120,3,IF(C2640&lt;=200,2,1))))</f>
        <v/>
      </c>
      <c r="G2640" s="128">
        <f>IF(D2640&gt;=20,5,IF(D2640&gt;=10,4,IF(D2640&gt;=5,3,IF(D2640&gt;=2,2,1))))</f>
        <v/>
      </c>
      <c r="H2640" s="128">
        <f>IF(E2640&gt;=5000,5,IF(E2640&gt;=2000,4,IF(E2640&gt;=800,3,IF(E2640&gt;=300,2,1))))</f>
        <v/>
      </c>
      <c r="I2640" s="126">
        <f>TEXT(F2640,"0")&amp;TEXT(G2640,"0")&amp;TEXT(H2640,"0")</f>
        <v/>
      </c>
      <c r="J2640" s="126">
        <f>IFERROR(XLOOKUP(I2640,'Segment Map'!A:A,'Segment Map'!B:B,"Need Attention"),"Need Attention")</f>
        <v/>
      </c>
      <c r="K2640" s="126">
        <f>IF(E2640&gt;=5000,"🏆 Platinum",IF(E2640&gt;=2000,"🥇 Gold",IF(E2640&gt;=800,"🥈 Silver","🥉 Bronze")))</f>
        <v/>
      </c>
      <c r="L2640" s="129" t="n">
        <v>40797</v>
      </c>
    </row>
    <row r="2641">
      <c r="A2641" s="122" t="n">
        <v>15940</v>
      </c>
      <c r="B2641" s="122" t="inlineStr">
        <is>
          <t>United Kingdom</t>
        </is>
      </c>
      <c r="C2641" s="122" t="n">
        <v>312</v>
      </c>
      <c r="D2641" s="122" t="n">
        <v>1</v>
      </c>
      <c r="E2641" s="123" t="n">
        <v>35.8</v>
      </c>
      <c r="F2641" s="124">
        <f>IF(C2641&lt;=30,5,IF(C2641&lt;=60,4,IF(C2641&lt;=120,3,IF(C2641&lt;=200,2,1))))</f>
        <v/>
      </c>
      <c r="G2641" s="124">
        <f>IF(D2641&gt;=20,5,IF(D2641&gt;=10,4,IF(D2641&gt;=5,3,IF(D2641&gt;=2,2,1))))</f>
        <v/>
      </c>
      <c r="H2641" s="124">
        <f>IF(E2641&gt;=5000,5,IF(E2641&gt;=2000,4,IF(E2641&gt;=800,3,IF(E2641&gt;=300,2,1))))</f>
        <v/>
      </c>
      <c r="I2641" s="122">
        <f>TEXT(F2641,"0")&amp;TEXT(G2641,"0")&amp;TEXT(H2641,"0")</f>
        <v/>
      </c>
      <c r="J2641" s="122">
        <f>IFERROR(XLOOKUP(I2641,'Segment Map'!A:A,'Segment Map'!B:B,"Need Attention"),"Need Attention")</f>
        <v/>
      </c>
      <c r="K2641" s="122">
        <f>IF(E2641&gt;=5000,"🏆 Platinum",IF(E2641&gt;=2000,"🥇 Gold",IF(E2641&gt;=800,"🥈 Silver","🥉 Bronze")))</f>
        <v/>
      </c>
      <c r="L2641" s="125" t="n">
        <v>40575</v>
      </c>
    </row>
    <row r="2642">
      <c r="A2642" s="126" t="n">
        <v>15942</v>
      </c>
      <c r="B2642" s="126" t="inlineStr">
        <is>
          <t>United Kingdom</t>
        </is>
      </c>
      <c r="C2642" s="126" t="n">
        <v>134</v>
      </c>
      <c r="D2642" s="126" t="n">
        <v>1</v>
      </c>
      <c r="E2642" s="127" t="n">
        <v>337.44</v>
      </c>
      <c r="F2642" s="128">
        <f>IF(C2642&lt;=30,5,IF(C2642&lt;=60,4,IF(C2642&lt;=120,3,IF(C2642&lt;=200,2,1))))</f>
        <v/>
      </c>
      <c r="G2642" s="128">
        <f>IF(D2642&gt;=20,5,IF(D2642&gt;=10,4,IF(D2642&gt;=5,3,IF(D2642&gt;=2,2,1))))</f>
        <v/>
      </c>
      <c r="H2642" s="128">
        <f>IF(E2642&gt;=5000,5,IF(E2642&gt;=2000,4,IF(E2642&gt;=800,3,IF(E2642&gt;=300,2,1))))</f>
        <v/>
      </c>
      <c r="I2642" s="126">
        <f>TEXT(F2642,"0")&amp;TEXT(G2642,"0")&amp;TEXT(H2642,"0")</f>
        <v/>
      </c>
      <c r="J2642" s="126">
        <f>IFERROR(XLOOKUP(I2642,'Segment Map'!A:A,'Segment Map'!B:B,"Need Attention"),"Need Attention")</f>
        <v/>
      </c>
      <c r="K2642" s="126">
        <f>IF(E2642&gt;=5000,"🏆 Platinum",IF(E2642&gt;=2000,"🥇 Gold",IF(E2642&gt;=800,"🥈 Silver","🥉 Bronze")))</f>
        <v/>
      </c>
      <c r="L2642" s="129" t="n">
        <v>40753</v>
      </c>
    </row>
    <row r="2643">
      <c r="A2643" s="122" t="n">
        <v>15944</v>
      </c>
      <c r="B2643" s="122" t="inlineStr">
        <is>
          <t>United Kingdom</t>
        </is>
      </c>
      <c r="C2643" s="122" t="n">
        <v>277</v>
      </c>
      <c r="D2643" s="122" t="n">
        <v>1</v>
      </c>
      <c r="E2643" s="123" t="n">
        <v>325.1</v>
      </c>
      <c r="F2643" s="124">
        <f>IF(C2643&lt;=30,5,IF(C2643&lt;=60,4,IF(C2643&lt;=120,3,IF(C2643&lt;=200,2,1))))</f>
        <v/>
      </c>
      <c r="G2643" s="124">
        <f>IF(D2643&gt;=20,5,IF(D2643&gt;=10,4,IF(D2643&gt;=5,3,IF(D2643&gt;=2,2,1))))</f>
        <v/>
      </c>
      <c r="H2643" s="124">
        <f>IF(E2643&gt;=5000,5,IF(E2643&gt;=2000,4,IF(E2643&gt;=800,3,IF(E2643&gt;=300,2,1))))</f>
        <v/>
      </c>
      <c r="I2643" s="122">
        <f>TEXT(F2643,"0")&amp;TEXT(G2643,"0")&amp;TEXT(H2643,"0")</f>
        <v/>
      </c>
      <c r="J2643" s="122">
        <f>IFERROR(XLOOKUP(I2643,'Segment Map'!A:A,'Segment Map'!B:B,"Need Attention"),"Need Attention")</f>
        <v/>
      </c>
      <c r="K2643" s="122">
        <f>IF(E2643&gt;=5000,"🏆 Platinum",IF(E2643&gt;=2000,"🥇 Gold",IF(E2643&gt;=800,"🥈 Silver","🥉 Bronze")))</f>
        <v/>
      </c>
      <c r="L2643" s="125" t="n">
        <v>40610</v>
      </c>
    </row>
    <row r="2644">
      <c r="A2644" s="126" t="n">
        <v>15945</v>
      </c>
      <c r="B2644" s="126" t="inlineStr">
        <is>
          <t>United Kingdom</t>
        </is>
      </c>
      <c r="C2644" s="126" t="n">
        <v>366</v>
      </c>
      <c r="D2644" s="126" t="n">
        <v>1</v>
      </c>
      <c r="E2644" s="127" t="n">
        <v>181</v>
      </c>
      <c r="F2644" s="128">
        <f>IF(C2644&lt;=30,5,IF(C2644&lt;=60,4,IF(C2644&lt;=120,3,IF(C2644&lt;=200,2,1))))</f>
        <v/>
      </c>
      <c r="G2644" s="128">
        <f>IF(D2644&gt;=20,5,IF(D2644&gt;=10,4,IF(D2644&gt;=5,3,IF(D2644&gt;=2,2,1))))</f>
        <v/>
      </c>
      <c r="H2644" s="128">
        <f>IF(E2644&gt;=5000,5,IF(E2644&gt;=2000,4,IF(E2644&gt;=800,3,IF(E2644&gt;=300,2,1))))</f>
        <v/>
      </c>
      <c r="I2644" s="126">
        <f>TEXT(F2644,"0")&amp;TEXT(G2644,"0")&amp;TEXT(H2644,"0")</f>
        <v/>
      </c>
      <c r="J2644" s="126">
        <f>IFERROR(XLOOKUP(I2644,'Segment Map'!A:A,'Segment Map'!B:B,"Need Attention"),"Need Attention")</f>
        <v/>
      </c>
      <c r="K2644" s="126">
        <f>IF(E2644&gt;=5000,"🏆 Platinum",IF(E2644&gt;=2000,"🥇 Gold",IF(E2644&gt;=800,"🥈 Silver","🥉 Bronze")))</f>
        <v/>
      </c>
      <c r="L2644" s="129" t="n">
        <v>40521</v>
      </c>
    </row>
    <row r="2645">
      <c r="A2645" s="122" t="n">
        <v>15947</v>
      </c>
      <c r="B2645" s="122" t="inlineStr">
        <is>
          <t>United Kingdom</t>
        </is>
      </c>
      <c r="C2645" s="122" t="n">
        <v>83</v>
      </c>
      <c r="D2645" s="122" t="n">
        <v>1</v>
      </c>
      <c r="E2645" s="123" t="n">
        <v>1708.24</v>
      </c>
      <c r="F2645" s="124">
        <f>IF(C2645&lt;=30,5,IF(C2645&lt;=60,4,IF(C2645&lt;=120,3,IF(C2645&lt;=200,2,1))))</f>
        <v/>
      </c>
      <c r="G2645" s="124">
        <f>IF(D2645&gt;=20,5,IF(D2645&gt;=10,4,IF(D2645&gt;=5,3,IF(D2645&gt;=2,2,1))))</f>
        <v/>
      </c>
      <c r="H2645" s="124">
        <f>IF(E2645&gt;=5000,5,IF(E2645&gt;=2000,4,IF(E2645&gt;=800,3,IF(E2645&gt;=300,2,1))))</f>
        <v/>
      </c>
      <c r="I2645" s="122">
        <f>TEXT(F2645,"0")&amp;TEXT(G2645,"0")&amp;TEXT(H2645,"0")</f>
        <v/>
      </c>
      <c r="J2645" s="122">
        <f>IFERROR(XLOOKUP(I2645,'Segment Map'!A:A,'Segment Map'!B:B,"Need Attention"),"Need Attention")</f>
        <v/>
      </c>
      <c r="K2645" s="122">
        <f>IF(E2645&gt;=5000,"🏆 Platinum",IF(E2645&gt;=2000,"🥇 Gold",IF(E2645&gt;=800,"🥈 Silver","🥉 Bronze")))</f>
        <v/>
      </c>
      <c r="L2645" s="125" t="n">
        <v>40804</v>
      </c>
    </row>
    <row r="2646">
      <c r="A2646" s="126" t="n">
        <v>15948</v>
      </c>
      <c r="B2646" s="126" t="inlineStr">
        <is>
          <t>United Kingdom</t>
        </is>
      </c>
      <c r="C2646" s="126" t="n">
        <v>9</v>
      </c>
      <c r="D2646" s="126" t="n">
        <v>2</v>
      </c>
      <c r="E2646" s="127" t="n">
        <v>955.24</v>
      </c>
      <c r="F2646" s="128">
        <f>IF(C2646&lt;=30,5,IF(C2646&lt;=60,4,IF(C2646&lt;=120,3,IF(C2646&lt;=200,2,1))))</f>
        <v/>
      </c>
      <c r="G2646" s="128">
        <f>IF(D2646&gt;=20,5,IF(D2646&gt;=10,4,IF(D2646&gt;=5,3,IF(D2646&gt;=2,2,1))))</f>
        <v/>
      </c>
      <c r="H2646" s="128">
        <f>IF(E2646&gt;=5000,5,IF(E2646&gt;=2000,4,IF(E2646&gt;=800,3,IF(E2646&gt;=300,2,1))))</f>
        <v/>
      </c>
      <c r="I2646" s="126">
        <f>TEXT(F2646,"0")&amp;TEXT(G2646,"0")&amp;TEXT(H2646,"0")</f>
        <v/>
      </c>
      <c r="J2646" s="126">
        <f>IFERROR(XLOOKUP(I2646,'Segment Map'!A:A,'Segment Map'!B:B,"Need Attention"),"Need Attention")</f>
        <v/>
      </c>
      <c r="K2646" s="126">
        <f>IF(E2646&gt;=5000,"🏆 Platinum",IF(E2646&gt;=2000,"🥇 Gold",IF(E2646&gt;=800,"🥈 Silver","🥉 Bronze")))</f>
        <v/>
      </c>
      <c r="L2646" s="129" t="n">
        <v>40878</v>
      </c>
    </row>
    <row r="2647">
      <c r="A2647" s="122" t="n">
        <v>15949</v>
      </c>
      <c r="B2647" s="122" t="inlineStr">
        <is>
          <t>United Kingdom</t>
        </is>
      </c>
      <c r="C2647" s="122" t="n">
        <v>17</v>
      </c>
      <c r="D2647" s="122" t="n">
        <v>2</v>
      </c>
      <c r="E2647" s="123" t="n">
        <v>364.72</v>
      </c>
      <c r="F2647" s="124">
        <f>IF(C2647&lt;=30,5,IF(C2647&lt;=60,4,IF(C2647&lt;=120,3,IF(C2647&lt;=200,2,1))))</f>
        <v/>
      </c>
      <c r="G2647" s="124">
        <f>IF(D2647&gt;=20,5,IF(D2647&gt;=10,4,IF(D2647&gt;=5,3,IF(D2647&gt;=2,2,1))))</f>
        <v/>
      </c>
      <c r="H2647" s="124">
        <f>IF(E2647&gt;=5000,5,IF(E2647&gt;=2000,4,IF(E2647&gt;=800,3,IF(E2647&gt;=300,2,1))))</f>
        <v/>
      </c>
      <c r="I2647" s="122">
        <f>TEXT(F2647,"0")&amp;TEXT(G2647,"0")&amp;TEXT(H2647,"0")</f>
        <v/>
      </c>
      <c r="J2647" s="122">
        <f>IFERROR(XLOOKUP(I2647,'Segment Map'!A:A,'Segment Map'!B:B,"Need Attention"),"Need Attention")</f>
        <v/>
      </c>
      <c r="K2647" s="122">
        <f>IF(E2647&gt;=5000,"🏆 Platinum",IF(E2647&gt;=2000,"🥇 Gold",IF(E2647&gt;=800,"🥈 Silver","🥉 Bronze")))</f>
        <v/>
      </c>
      <c r="L2647" s="125" t="n">
        <v>40870</v>
      </c>
    </row>
    <row r="2648">
      <c r="A2648" s="126" t="n">
        <v>15950</v>
      </c>
      <c r="B2648" s="126" t="inlineStr">
        <is>
          <t>United Kingdom</t>
        </is>
      </c>
      <c r="C2648" s="126" t="n">
        <v>32</v>
      </c>
      <c r="D2648" s="126" t="n">
        <v>4</v>
      </c>
      <c r="E2648" s="127" t="n">
        <v>1765.51</v>
      </c>
      <c r="F2648" s="128">
        <f>IF(C2648&lt;=30,5,IF(C2648&lt;=60,4,IF(C2648&lt;=120,3,IF(C2648&lt;=200,2,1))))</f>
        <v/>
      </c>
      <c r="G2648" s="128">
        <f>IF(D2648&gt;=20,5,IF(D2648&gt;=10,4,IF(D2648&gt;=5,3,IF(D2648&gt;=2,2,1))))</f>
        <v/>
      </c>
      <c r="H2648" s="128">
        <f>IF(E2648&gt;=5000,5,IF(E2648&gt;=2000,4,IF(E2648&gt;=800,3,IF(E2648&gt;=300,2,1))))</f>
        <v/>
      </c>
      <c r="I2648" s="126">
        <f>TEXT(F2648,"0")&amp;TEXT(G2648,"0")&amp;TEXT(H2648,"0")</f>
        <v/>
      </c>
      <c r="J2648" s="126">
        <f>IFERROR(XLOOKUP(I2648,'Segment Map'!A:A,'Segment Map'!B:B,"Need Attention"),"Need Attention")</f>
        <v/>
      </c>
      <c r="K2648" s="126">
        <f>IF(E2648&gt;=5000,"🏆 Platinum",IF(E2648&gt;=2000,"🥇 Gold",IF(E2648&gt;=800,"🥈 Silver","🥉 Bronze")))</f>
        <v/>
      </c>
      <c r="L2648" s="129" t="n">
        <v>40855</v>
      </c>
    </row>
    <row r="2649">
      <c r="A2649" s="122" t="n">
        <v>15951</v>
      </c>
      <c r="B2649" s="122" t="inlineStr">
        <is>
          <t>United Kingdom</t>
        </is>
      </c>
      <c r="C2649" s="122" t="n">
        <v>9</v>
      </c>
      <c r="D2649" s="122" t="n">
        <v>2</v>
      </c>
      <c r="E2649" s="123" t="n">
        <v>708.22</v>
      </c>
      <c r="F2649" s="124">
        <f>IF(C2649&lt;=30,5,IF(C2649&lt;=60,4,IF(C2649&lt;=120,3,IF(C2649&lt;=200,2,1))))</f>
        <v/>
      </c>
      <c r="G2649" s="124">
        <f>IF(D2649&gt;=20,5,IF(D2649&gt;=10,4,IF(D2649&gt;=5,3,IF(D2649&gt;=2,2,1))))</f>
        <v/>
      </c>
      <c r="H2649" s="124">
        <f>IF(E2649&gt;=5000,5,IF(E2649&gt;=2000,4,IF(E2649&gt;=800,3,IF(E2649&gt;=300,2,1))))</f>
        <v/>
      </c>
      <c r="I2649" s="122">
        <f>TEXT(F2649,"0")&amp;TEXT(G2649,"0")&amp;TEXT(H2649,"0")</f>
        <v/>
      </c>
      <c r="J2649" s="122">
        <f>IFERROR(XLOOKUP(I2649,'Segment Map'!A:A,'Segment Map'!B:B,"Need Attention"),"Need Attention")</f>
        <v/>
      </c>
      <c r="K2649" s="122">
        <f>IF(E2649&gt;=5000,"🏆 Platinum",IF(E2649&gt;=2000,"🥇 Gold",IF(E2649&gt;=800,"🥈 Silver","🥉 Bronze")))</f>
        <v/>
      </c>
      <c r="L2649" s="125" t="n">
        <v>40878</v>
      </c>
    </row>
    <row r="2650">
      <c r="A2650" s="126" t="n">
        <v>15952</v>
      </c>
      <c r="B2650" s="126" t="inlineStr">
        <is>
          <t>United Kingdom</t>
        </is>
      </c>
      <c r="C2650" s="126" t="n">
        <v>34</v>
      </c>
      <c r="D2650" s="126" t="n">
        <v>4</v>
      </c>
      <c r="E2650" s="127" t="n">
        <v>806.5700000000001</v>
      </c>
      <c r="F2650" s="128">
        <f>IF(C2650&lt;=30,5,IF(C2650&lt;=60,4,IF(C2650&lt;=120,3,IF(C2650&lt;=200,2,1))))</f>
        <v/>
      </c>
      <c r="G2650" s="128">
        <f>IF(D2650&gt;=20,5,IF(D2650&gt;=10,4,IF(D2650&gt;=5,3,IF(D2650&gt;=2,2,1))))</f>
        <v/>
      </c>
      <c r="H2650" s="128">
        <f>IF(E2650&gt;=5000,5,IF(E2650&gt;=2000,4,IF(E2650&gt;=800,3,IF(E2650&gt;=300,2,1))))</f>
        <v/>
      </c>
      <c r="I2650" s="126">
        <f>TEXT(F2650,"0")&amp;TEXT(G2650,"0")&amp;TEXT(H2650,"0")</f>
        <v/>
      </c>
      <c r="J2650" s="126">
        <f>IFERROR(XLOOKUP(I2650,'Segment Map'!A:A,'Segment Map'!B:B,"Need Attention"),"Need Attention")</f>
        <v/>
      </c>
      <c r="K2650" s="126">
        <f>IF(E2650&gt;=5000,"🏆 Platinum",IF(E2650&gt;=2000,"🥇 Gold",IF(E2650&gt;=800,"🥈 Silver","🥉 Bronze")))</f>
        <v/>
      </c>
      <c r="L2650" s="129" t="n">
        <v>40853</v>
      </c>
    </row>
    <row r="2651">
      <c r="A2651" s="122" t="n">
        <v>15953</v>
      </c>
      <c r="B2651" s="122" t="inlineStr">
        <is>
          <t>United Kingdom</t>
        </is>
      </c>
      <c r="C2651" s="122" t="n">
        <v>16</v>
      </c>
      <c r="D2651" s="122" t="n">
        <v>8</v>
      </c>
      <c r="E2651" s="123" t="n">
        <v>1659.38</v>
      </c>
      <c r="F2651" s="124">
        <f>IF(C2651&lt;=30,5,IF(C2651&lt;=60,4,IF(C2651&lt;=120,3,IF(C2651&lt;=200,2,1))))</f>
        <v/>
      </c>
      <c r="G2651" s="124">
        <f>IF(D2651&gt;=20,5,IF(D2651&gt;=10,4,IF(D2651&gt;=5,3,IF(D2651&gt;=2,2,1))))</f>
        <v/>
      </c>
      <c r="H2651" s="124">
        <f>IF(E2651&gt;=5000,5,IF(E2651&gt;=2000,4,IF(E2651&gt;=800,3,IF(E2651&gt;=300,2,1))))</f>
        <v/>
      </c>
      <c r="I2651" s="122">
        <f>TEXT(F2651,"0")&amp;TEXT(G2651,"0")&amp;TEXT(H2651,"0")</f>
        <v/>
      </c>
      <c r="J2651" s="122">
        <f>IFERROR(XLOOKUP(I2651,'Segment Map'!A:A,'Segment Map'!B:B,"Need Attention"),"Need Attention")</f>
        <v/>
      </c>
      <c r="K2651" s="122">
        <f>IF(E2651&gt;=5000,"🏆 Platinum",IF(E2651&gt;=2000,"🥇 Gold",IF(E2651&gt;=800,"🥈 Silver","🥉 Bronze")))</f>
        <v/>
      </c>
      <c r="L2651" s="125" t="n">
        <v>40871</v>
      </c>
    </row>
    <row r="2652">
      <c r="A2652" s="126" t="n">
        <v>15955</v>
      </c>
      <c r="B2652" s="126" t="inlineStr">
        <is>
          <t>United Kingdom</t>
        </is>
      </c>
      <c r="C2652" s="126" t="n">
        <v>25</v>
      </c>
      <c r="D2652" s="126" t="n">
        <v>14</v>
      </c>
      <c r="E2652" s="127" t="n">
        <v>4416.26</v>
      </c>
      <c r="F2652" s="128">
        <f>IF(C2652&lt;=30,5,IF(C2652&lt;=60,4,IF(C2652&lt;=120,3,IF(C2652&lt;=200,2,1))))</f>
        <v/>
      </c>
      <c r="G2652" s="128">
        <f>IF(D2652&gt;=20,5,IF(D2652&gt;=10,4,IF(D2652&gt;=5,3,IF(D2652&gt;=2,2,1))))</f>
        <v/>
      </c>
      <c r="H2652" s="128">
        <f>IF(E2652&gt;=5000,5,IF(E2652&gt;=2000,4,IF(E2652&gt;=800,3,IF(E2652&gt;=300,2,1))))</f>
        <v/>
      </c>
      <c r="I2652" s="126">
        <f>TEXT(F2652,"0")&amp;TEXT(G2652,"0")&amp;TEXT(H2652,"0")</f>
        <v/>
      </c>
      <c r="J2652" s="126">
        <f>IFERROR(XLOOKUP(I2652,'Segment Map'!A:A,'Segment Map'!B:B,"Need Attention"),"Need Attention")</f>
        <v/>
      </c>
      <c r="K2652" s="126">
        <f>IF(E2652&gt;=5000,"🏆 Platinum",IF(E2652&gt;=2000,"🥇 Gold",IF(E2652&gt;=800,"🥈 Silver","🥉 Bronze")))</f>
        <v/>
      </c>
      <c r="L2652" s="129" t="n">
        <v>40862</v>
      </c>
    </row>
    <row r="2653">
      <c r="A2653" s="122" t="n">
        <v>15957</v>
      </c>
      <c r="B2653" s="122" t="inlineStr">
        <is>
          <t>United Kingdom</t>
        </is>
      </c>
      <c r="C2653" s="122" t="n">
        <v>32</v>
      </c>
      <c r="D2653" s="122" t="n">
        <v>1</v>
      </c>
      <c r="E2653" s="123" t="n">
        <v>428.89</v>
      </c>
      <c r="F2653" s="124">
        <f>IF(C2653&lt;=30,5,IF(C2653&lt;=60,4,IF(C2653&lt;=120,3,IF(C2653&lt;=200,2,1))))</f>
        <v/>
      </c>
      <c r="G2653" s="124">
        <f>IF(D2653&gt;=20,5,IF(D2653&gt;=10,4,IF(D2653&gt;=5,3,IF(D2653&gt;=2,2,1))))</f>
        <v/>
      </c>
      <c r="H2653" s="124">
        <f>IF(E2653&gt;=5000,5,IF(E2653&gt;=2000,4,IF(E2653&gt;=800,3,IF(E2653&gt;=300,2,1))))</f>
        <v/>
      </c>
      <c r="I2653" s="122">
        <f>TEXT(F2653,"0")&amp;TEXT(G2653,"0")&amp;TEXT(H2653,"0")</f>
        <v/>
      </c>
      <c r="J2653" s="122">
        <f>IFERROR(XLOOKUP(I2653,'Segment Map'!A:A,'Segment Map'!B:B,"Need Attention"),"Need Attention")</f>
        <v/>
      </c>
      <c r="K2653" s="122">
        <f>IF(E2653&gt;=5000,"🏆 Platinum",IF(E2653&gt;=2000,"🥇 Gold",IF(E2653&gt;=800,"🥈 Silver","🥉 Bronze")))</f>
        <v/>
      </c>
      <c r="L2653" s="125" t="n">
        <v>40855</v>
      </c>
    </row>
    <row r="2654">
      <c r="A2654" s="126" t="n">
        <v>15958</v>
      </c>
      <c r="B2654" s="126" t="inlineStr">
        <is>
          <t>United Kingdom</t>
        </is>
      </c>
      <c r="C2654" s="126" t="n">
        <v>75</v>
      </c>
      <c r="D2654" s="126" t="n">
        <v>1</v>
      </c>
      <c r="E2654" s="127" t="n">
        <v>104.35</v>
      </c>
      <c r="F2654" s="128">
        <f>IF(C2654&lt;=30,5,IF(C2654&lt;=60,4,IF(C2654&lt;=120,3,IF(C2654&lt;=200,2,1))))</f>
        <v/>
      </c>
      <c r="G2654" s="128">
        <f>IF(D2654&gt;=20,5,IF(D2654&gt;=10,4,IF(D2654&gt;=5,3,IF(D2654&gt;=2,2,1))))</f>
        <v/>
      </c>
      <c r="H2654" s="128">
        <f>IF(E2654&gt;=5000,5,IF(E2654&gt;=2000,4,IF(E2654&gt;=800,3,IF(E2654&gt;=300,2,1))))</f>
        <v/>
      </c>
      <c r="I2654" s="126">
        <f>TEXT(F2654,"0")&amp;TEXT(G2654,"0")&amp;TEXT(H2654,"0")</f>
        <v/>
      </c>
      <c r="J2654" s="126">
        <f>IFERROR(XLOOKUP(I2654,'Segment Map'!A:A,'Segment Map'!B:B,"Need Attention"),"Need Attention")</f>
        <v/>
      </c>
      <c r="K2654" s="126">
        <f>IF(E2654&gt;=5000,"🏆 Platinum",IF(E2654&gt;=2000,"🥇 Gold",IF(E2654&gt;=800,"🥈 Silver","🥉 Bronze")))</f>
        <v/>
      </c>
      <c r="L2654" s="129" t="n">
        <v>40812</v>
      </c>
    </row>
    <row r="2655">
      <c r="A2655" s="122" t="n">
        <v>15963</v>
      </c>
      <c r="B2655" s="122" t="inlineStr">
        <is>
          <t>United Kingdom</t>
        </is>
      </c>
      <c r="C2655" s="122" t="n">
        <v>20</v>
      </c>
      <c r="D2655" s="122" t="n">
        <v>2</v>
      </c>
      <c r="E2655" s="123" t="n">
        <v>470.76</v>
      </c>
      <c r="F2655" s="124">
        <f>IF(C2655&lt;=30,5,IF(C2655&lt;=60,4,IF(C2655&lt;=120,3,IF(C2655&lt;=200,2,1))))</f>
        <v/>
      </c>
      <c r="G2655" s="124">
        <f>IF(D2655&gt;=20,5,IF(D2655&gt;=10,4,IF(D2655&gt;=5,3,IF(D2655&gt;=2,2,1))))</f>
        <v/>
      </c>
      <c r="H2655" s="124">
        <f>IF(E2655&gt;=5000,5,IF(E2655&gt;=2000,4,IF(E2655&gt;=800,3,IF(E2655&gt;=300,2,1))))</f>
        <v/>
      </c>
      <c r="I2655" s="122">
        <f>TEXT(F2655,"0")&amp;TEXT(G2655,"0")&amp;TEXT(H2655,"0")</f>
        <v/>
      </c>
      <c r="J2655" s="122">
        <f>IFERROR(XLOOKUP(I2655,'Segment Map'!A:A,'Segment Map'!B:B,"Need Attention"),"Need Attention")</f>
        <v/>
      </c>
      <c r="K2655" s="122">
        <f>IF(E2655&gt;=5000,"🏆 Platinum",IF(E2655&gt;=2000,"🥇 Gold",IF(E2655&gt;=800,"🥈 Silver","🥉 Bronze")))</f>
        <v/>
      </c>
      <c r="L2655" s="125" t="n">
        <v>40867</v>
      </c>
    </row>
    <row r="2656">
      <c r="A2656" s="126" t="n">
        <v>15965</v>
      </c>
      <c r="B2656" s="126" t="inlineStr">
        <is>
          <t>United Kingdom</t>
        </is>
      </c>
      <c r="C2656" s="126" t="n">
        <v>18</v>
      </c>
      <c r="D2656" s="126" t="n">
        <v>4</v>
      </c>
      <c r="E2656" s="127" t="n">
        <v>845.64</v>
      </c>
      <c r="F2656" s="128">
        <f>IF(C2656&lt;=30,5,IF(C2656&lt;=60,4,IF(C2656&lt;=120,3,IF(C2656&lt;=200,2,1))))</f>
        <v/>
      </c>
      <c r="G2656" s="128">
        <f>IF(D2656&gt;=20,5,IF(D2656&gt;=10,4,IF(D2656&gt;=5,3,IF(D2656&gt;=2,2,1))))</f>
        <v/>
      </c>
      <c r="H2656" s="128">
        <f>IF(E2656&gt;=5000,5,IF(E2656&gt;=2000,4,IF(E2656&gt;=800,3,IF(E2656&gt;=300,2,1))))</f>
        <v/>
      </c>
      <c r="I2656" s="126">
        <f>TEXT(F2656,"0")&amp;TEXT(G2656,"0")&amp;TEXT(H2656,"0")</f>
        <v/>
      </c>
      <c r="J2656" s="126">
        <f>IFERROR(XLOOKUP(I2656,'Segment Map'!A:A,'Segment Map'!B:B,"Need Attention"),"Need Attention")</f>
        <v/>
      </c>
      <c r="K2656" s="126">
        <f>IF(E2656&gt;=5000,"🏆 Platinum",IF(E2656&gt;=2000,"🥇 Gold",IF(E2656&gt;=800,"🥈 Silver","🥉 Bronze")))</f>
        <v/>
      </c>
      <c r="L2656" s="129" t="n">
        <v>40869</v>
      </c>
    </row>
    <row r="2657">
      <c r="A2657" s="122" t="n">
        <v>15967</v>
      </c>
      <c r="B2657" s="122" t="inlineStr">
        <is>
          <t>United Kingdom</t>
        </is>
      </c>
      <c r="C2657" s="122" t="n">
        <v>24</v>
      </c>
      <c r="D2657" s="122" t="n">
        <v>2</v>
      </c>
      <c r="E2657" s="123" t="n">
        <v>418.83</v>
      </c>
      <c r="F2657" s="124">
        <f>IF(C2657&lt;=30,5,IF(C2657&lt;=60,4,IF(C2657&lt;=120,3,IF(C2657&lt;=200,2,1))))</f>
        <v/>
      </c>
      <c r="G2657" s="124">
        <f>IF(D2657&gt;=20,5,IF(D2657&gt;=10,4,IF(D2657&gt;=5,3,IF(D2657&gt;=2,2,1))))</f>
        <v/>
      </c>
      <c r="H2657" s="124">
        <f>IF(E2657&gt;=5000,5,IF(E2657&gt;=2000,4,IF(E2657&gt;=800,3,IF(E2657&gt;=300,2,1))))</f>
        <v/>
      </c>
      <c r="I2657" s="122">
        <f>TEXT(F2657,"0")&amp;TEXT(G2657,"0")&amp;TEXT(H2657,"0")</f>
        <v/>
      </c>
      <c r="J2657" s="122">
        <f>IFERROR(XLOOKUP(I2657,'Segment Map'!A:A,'Segment Map'!B:B,"Need Attention"),"Need Attention")</f>
        <v/>
      </c>
      <c r="K2657" s="122">
        <f>IF(E2657&gt;=5000,"🏆 Platinum",IF(E2657&gt;=2000,"🥇 Gold",IF(E2657&gt;=800,"🥈 Silver","🥉 Bronze")))</f>
        <v/>
      </c>
      <c r="L2657" s="125" t="n">
        <v>40863</v>
      </c>
    </row>
    <row r="2658">
      <c r="A2658" s="126" t="n">
        <v>15969</v>
      </c>
      <c r="B2658" s="126" t="inlineStr">
        <is>
          <t>United Kingdom</t>
        </is>
      </c>
      <c r="C2658" s="126" t="n">
        <v>3</v>
      </c>
      <c r="D2658" s="126" t="n">
        <v>3</v>
      </c>
      <c r="E2658" s="127" t="n">
        <v>666.1</v>
      </c>
      <c r="F2658" s="128">
        <f>IF(C2658&lt;=30,5,IF(C2658&lt;=60,4,IF(C2658&lt;=120,3,IF(C2658&lt;=200,2,1))))</f>
        <v/>
      </c>
      <c r="G2658" s="128">
        <f>IF(D2658&gt;=20,5,IF(D2658&gt;=10,4,IF(D2658&gt;=5,3,IF(D2658&gt;=2,2,1))))</f>
        <v/>
      </c>
      <c r="H2658" s="128">
        <f>IF(E2658&gt;=5000,5,IF(E2658&gt;=2000,4,IF(E2658&gt;=800,3,IF(E2658&gt;=300,2,1))))</f>
        <v/>
      </c>
      <c r="I2658" s="126">
        <f>TEXT(F2658,"0")&amp;TEXT(G2658,"0")&amp;TEXT(H2658,"0")</f>
        <v/>
      </c>
      <c r="J2658" s="126">
        <f>IFERROR(XLOOKUP(I2658,'Segment Map'!A:A,'Segment Map'!B:B,"Need Attention"),"Need Attention")</f>
        <v/>
      </c>
      <c r="K2658" s="126">
        <f>IF(E2658&gt;=5000,"🏆 Platinum",IF(E2658&gt;=2000,"🥇 Gold",IF(E2658&gt;=800,"🥈 Silver","🥉 Bronze")))</f>
        <v/>
      </c>
      <c r="L2658" s="129" t="n">
        <v>40884</v>
      </c>
    </row>
    <row r="2659">
      <c r="A2659" s="122" t="n">
        <v>15970</v>
      </c>
      <c r="B2659" s="122" t="inlineStr">
        <is>
          <t>United Kingdom</t>
        </is>
      </c>
      <c r="C2659" s="122" t="n">
        <v>304</v>
      </c>
      <c r="D2659" s="122" t="n">
        <v>1</v>
      </c>
      <c r="E2659" s="123" t="n">
        <v>314.1</v>
      </c>
      <c r="F2659" s="124">
        <f>IF(C2659&lt;=30,5,IF(C2659&lt;=60,4,IF(C2659&lt;=120,3,IF(C2659&lt;=200,2,1))))</f>
        <v/>
      </c>
      <c r="G2659" s="124">
        <f>IF(D2659&gt;=20,5,IF(D2659&gt;=10,4,IF(D2659&gt;=5,3,IF(D2659&gt;=2,2,1))))</f>
        <v/>
      </c>
      <c r="H2659" s="124">
        <f>IF(E2659&gt;=5000,5,IF(E2659&gt;=2000,4,IF(E2659&gt;=800,3,IF(E2659&gt;=300,2,1))))</f>
        <v/>
      </c>
      <c r="I2659" s="122">
        <f>TEXT(F2659,"0")&amp;TEXT(G2659,"0")&amp;TEXT(H2659,"0")</f>
        <v/>
      </c>
      <c r="J2659" s="122">
        <f>IFERROR(XLOOKUP(I2659,'Segment Map'!A:A,'Segment Map'!B:B,"Need Attention"),"Need Attention")</f>
        <v/>
      </c>
      <c r="K2659" s="122">
        <f>IF(E2659&gt;=5000,"🏆 Platinum",IF(E2659&gt;=2000,"🥇 Gold",IF(E2659&gt;=800,"🥈 Silver","🥉 Bronze")))</f>
        <v/>
      </c>
      <c r="L2659" s="125" t="n">
        <v>40583</v>
      </c>
    </row>
    <row r="2660">
      <c r="A2660" s="126" t="n">
        <v>15971</v>
      </c>
      <c r="B2660" s="126" t="inlineStr">
        <is>
          <t>United Kingdom</t>
        </is>
      </c>
      <c r="C2660" s="126" t="n">
        <v>18</v>
      </c>
      <c r="D2660" s="126" t="n">
        <v>12</v>
      </c>
      <c r="E2660" s="127" t="n">
        <v>4199.85</v>
      </c>
      <c r="F2660" s="128">
        <f>IF(C2660&lt;=30,5,IF(C2660&lt;=60,4,IF(C2660&lt;=120,3,IF(C2660&lt;=200,2,1))))</f>
        <v/>
      </c>
      <c r="G2660" s="128">
        <f>IF(D2660&gt;=20,5,IF(D2660&gt;=10,4,IF(D2660&gt;=5,3,IF(D2660&gt;=2,2,1))))</f>
        <v/>
      </c>
      <c r="H2660" s="128">
        <f>IF(E2660&gt;=5000,5,IF(E2660&gt;=2000,4,IF(E2660&gt;=800,3,IF(E2660&gt;=300,2,1))))</f>
        <v/>
      </c>
      <c r="I2660" s="126">
        <f>TEXT(F2660,"0")&amp;TEXT(G2660,"0")&amp;TEXT(H2660,"0")</f>
        <v/>
      </c>
      <c r="J2660" s="126">
        <f>IFERROR(XLOOKUP(I2660,'Segment Map'!A:A,'Segment Map'!B:B,"Need Attention"),"Need Attention")</f>
        <v/>
      </c>
      <c r="K2660" s="126">
        <f>IF(E2660&gt;=5000,"🏆 Platinum",IF(E2660&gt;=2000,"🥇 Gold",IF(E2660&gt;=800,"🥈 Silver","🥉 Bronze")))</f>
        <v/>
      </c>
      <c r="L2660" s="129" t="n">
        <v>40869</v>
      </c>
    </row>
    <row r="2661">
      <c r="A2661" s="122" t="n">
        <v>15973</v>
      </c>
      <c r="B2661" s="122" t="inlineStr">
        <is>
          <t>United Kingdom</t>
        </is>
      </c>
      <c r="C2661" s="122" t="n">
        <v>367</v>
      </c>
      <c r="D2661" s="122" t="n">
        <v>1</v>
      </c>
      <c r="E2661" s="123" t="n">
        <v>307.82</v>
      </c>
      <c r="F2661" s="124">
        <f>IF(C2661&lt;=30,5,IF(C2661&lt;=60,4,IF(C2661&lt;=120,3,IF(C2661&lt;=200,2,1))))</f>
        <v/>
      </c>
      <c r="G2661" s="124">
        <f>IF(D2661&gt;=20,5,IF(D2661&gt;=10,4,IF(D2661&gt;=5,3,IF(D2661&gt;=2,2,1))))</f>
        <v/>
      </c>
      <c r="H2661" s="124">
        <f>IF(E2661&gt;=5000,5,IF(E2661&gt;=2000,4,IF(E2661&gt;=800,3,IF(E2661&gt;=300,2,1))))</f>
        <v/>
      </c>
      <c r="I2661" s="122">
        <f>TEXT(F2661,"0")&amp;TEXT(G2661,"0")&amp;TEXT(H2661,"0")</f>
        <v/>
      </c>
      <c r="J2661" s="122">
        <f>IFERROR(XLOOKUP(I2661,'Segment Map'!A:A,'Segment Map'!B:B,"Need Attention"),"Need Attention")</f>
        <v/>
      </c>
      <c r="K2661" s="122">
        <f>IF(E2661&gt;=5000,"🏆 Platinum",IF(E2661&gt;=2000,"🥇 Gold",IF(E2661&gt;=800,"🥈 Silver","🥉 Bronze")))</f>
        <v/>
      </c>
      <c r="L2661" s="125" t="n">
        <v>40520</v>
      </c>
    </row>
    <row r="2662">
      <c r="A2662" s="126" t="n">
        <v>15974</v>
      </c>
      <c r="B2662" s="126" t="inlineStr">
        <is>
          <t>United Kingdom</t>
        </is>
      </c>
      <c r="C2662" s="126" t="n">
        <v>40</v>
      </c>
      <c r="D2662" s="126" t="n">
        <v>7</v>
      </c>
      <c r="E2662" s="127" t="n">
        <v>3442.15</v>
      </c>
      <c r="F2662" s="128">
        <f>IF(C2662&lt;=30,5,IF(C2662&lt;=60,4,IF(C2662&lt;=120,3,IF(C2662&lt;=200,2,1))))</f>
        <v/>
      </c>
      <c r="G2662" s="128">
        <f>IF(D2662&gt;=20,5,IF(D2662&gt;=10,4,IF(D2662&gt;=5,3,IF(D2662&gt;=2,2,1))))</f>
        <v/>
      </c>
      <c r="H2662" s="128">
        <f>IF(E2662&gt;=5000,5,IF(E2662&gt;=2000,4,IF(E2662&gt;=800,3,IF(E2662&gt;=300,2,1))))</f>
        <v/>
      </c>
      <c r="I2662" s="126">
        <f>TEXT(F2662,"0")&amp;TEXT(G2662,"0")&amp;TEXT(H2662,"0")</f>
        <v/>
      </c>
      <c r="J2662" s="126">
        <f>IFERROR(XLOOKUP(I2662,'Segment Map'!A:A,'Segment Map'!B:B,"Need Attention"),"Need Attention")</f>
        <v/>
      </c>
      <c r="K2662" s="126">
        <f>IF(E2662&gt;=5000,"🏆 Platinum",IF(E2662&gt;=2000,"🥇 Gold",IF(E2662&gt;=800,"🥈 Silver","🥉 Bronze")))</f>
        <v/>
      </c>
      <c r="L2662" s="129" t="n">
        <v>40847</v>
      </c>
    </row>
    <row r="2663">
      <c r="A2663" s="122" t="n">
        <v>15975</v>
      </c>
      <c r="B2663" s="122" t="inlineStr">
        <is>
          <t>United Kingdom</t>
        </is>
      </c>
      <c r="C2663" s="122" t="n">
        <v>85</v>
      </c>
      <c r="D2663" s="122" t="n">
        <v>1</v>
      </c>
      <c r="E2663" s="123" t="n">
        <v>371.01</v>
      </c>
      <c r="F2663" s="124">
        <f>IF(C2663&lt;=30,5,IF(C2663&lt;=60,4,IF(C2663&lt;=120,3,IF(C2663&lt;=200,2,1))))</f>
        <v/>
      </c>
      <c r="G2663" s="124">
        <f>IF(D2663&gt;=20,5,IF(D2663&gt;=10,4,IF(D2663&gt;=5,3,IF(D2663&gt;=2,2,1))))</f>
        <v/>
      </c>
      <c r="H2663" s="124">
        <f>IF(E2663&gt;=5000,5,IF(E2663&gt;=2000,4,IF(E2663&gt;=800,3,IF(E2663&gt;=300,2,1))))</f>
        <v/>
      </c>
      <c r="I2663" s="122">
        <f>TEXT(F2663,"0")&amp;TEXT(G2663,"0")&amp;TEXT(H2663,"0")</f>
        <v/>
      </c>
      <c r="J2663" s="122">
        <f>IFERROR(XLOOKUP(I2663,'Segment Map'!A:A,'Segment Map'!B:B,"Need Attention"),"Need Attention")</f>
        <v/>
      </c>
      <c r="K2663" s="122">
        <f>IF(E2663&gt;=5000,"🏆 Platinum",IF(E2663&gt;=2000,"🥇 Gold",IF(E2663&gt;=800,"🥈 Silver","🥉 Bronze")))</f>
        <v/>
      </c>
      <c r="L2663" s="125" t="n">
        <v>40802</v>
      </c>
    </row>
    <row r="2664">
      <c r="A2664" s="126" t="n">
        <v>15976</v>
      </c>
      <c r="B2664" s="126" t="inlineStr">
        <is>
          <t>United Kingdom</t>
        </is>
      </c>
      <c r="C2664" s="126" t="n">
        <v>166</v>
      </c>
      <c r="D2664" s="126" t="n">
        <v>2</v>
      </c>
      <c r="E2664" s="127" t="n">
        <v>430.94</v>
      </c>
      <c r="F2664" s="128">
        <f>IF(C2664&lt;=30,5,IF(C2664&lt;=60,4,IF(C2664&lt;=120,3,IF(C2664&lt;=200,2,1))))</f>
        <v/>
      </c>
      <c r="G2664" s="128">
        <f>IF(D2664&gt;=20,5,IF(D2664&gt;=10,4,IF(D2664&gt;=5,3,IF(D2664&gt;=2,2,1))))</f>
        <v/>
      </c>
      <c r="H2664" s="128">
        <f>IF(E2664&gt;=5000,5,IF(E2664&gt;=2000,4,IF(E2664&gt;=800,3,IF(E2664&gt;=300,2,1))))</f>
        <v/>
      </c>
      <c r="I2664" s="126">
        <f>TEXT(F2664,"0")&amp;TEXT(G2664,"0")&amp;TEXT(H2664,"0")</f>
        <v/>
      </c>
      <c r="J2664" s="126">
        <f>IFERROR(XLOOKUP(I2664,'Segment Map'!A:A,'Segment Map'!B:B,"Need Attention"),"Need Attention")</f>
        <v/>
      </c>
      <c r="K2664" s="126">
        <f>IF(E2664&gt;=5000,"🏆 Platinum",IF(E2664&gt;=2000,"🥇 Gold",IF(E2664&gt;=800,"🥈 Silver","🥉 Bronze")))</f>
        <v/>
      </c>
      <c r="L2664" s="129" t="n">
        <v>40721</v>
      </c>
    </row>
    <row r="2665">
      <c r="A2665" s="122" t="n">
        <v>15977</v>
      </c>
      <c r="B2665" s="122" t="inlineStr">
        <is>
          <t>United Kingdom</t>
        </is>
      </c>
      <c r="C2665" s="122" t="n">
        <v>18</v>
      </c>
      <c r="D2665" s="122" t="n">
        <v>2</v>
      </c>
      <c r="E2665" s="123" t="n">
        <v>1054.73</v>
      </c>
      <c r="F2665" s="124">
        <f>IF(C2665&lt;=30,5,IF(C2665&lt;=60,4,IF(C2665&lt;=120,3,IF(C2665&lt;=200,2,1))))</f>
        <v/>
      </c>
      <c r="G2665" s="124">
        <f>IF(D2665&gt;=20,5,IF(D2665&gt;=10,4,IF(D2665&gt;=5,3,IF(D2665&gt;=2,2,1))))</f>
        <v/>
      </c>
      <c r="H2665" s="124">
        <f>IF(E2665&gt;=5000,5,IF(E2665&gt;=2000,4,IF(E2665&gt;=800,3,IF(E2665&gt;=300,2,1))))</f>
        <v/>
      </c>
      <c r="I2665" s="122">
        <f>TEXT(F2665,"0")&amp;TEXT(G2665,"0")&amp;TEXT(H2665,"0")</f>
        <v/>
      </c>
      <c r="J2665" s="122">
        <f>IFERROR(XLOOKUP(I2665,'Segment Map'!A:A,'Segment Map'!B:B,"Need Attention"),"Need Attention")</f>
        <v/>
      </c>
      <c r="K2665" s="122">
        <f>IF(E2665&gt;=5000,"🏆 Platinum",IF(E2665&gt;=2000,"🥇 Gold",IF(E2665&gt;=800,"🥈 Silver","🥉 Bronze")))</f>
        <v/>
      </c>
      <c r="L2665" s="125" t="n">
        <v>40869</v>
      </c>
    </row>
    <row r="2666">
      <c r="A2666" s="126" t="n">
        <v>15978</v>
      </c>
      <c r="B2666" s="126" t="inlineStr">
        <is>
          <t>United Kingdom</t>
        </is>
      </c>
      <c r="C2666" s="126" t="n">
        <v>78</v>
      </c>
      <c r="D2666" s="126" t="n">
        <v>1</v>
      </c>
      <c r="E2666" s="127" t="n">
        <v>1098.78</v>
      </c>
      <c r="F2666" s="128">
        <f>IF(C2666&lt;=30,5,IF(C2666&lt;=60,4,IF(C2666&lt;=120,3,IF(C2666&lt;=200,2,1))))</f>
        <v/>
      </c>
      <c r="G2666" s="128">
        <f>IF(D2666&gt;=20,5,IF(D2666&gt;=10,4,IF(D2666&gt;=5,3,IF(D2666&gt;=2,2,1))))</f>
        <v/>
      </c>
      <c r="H2666" s="128">
        <f>IF(E2666&gt;=5000,5,IF(E2666&gt;=2000,4,IF(E2666&gt;=800,3,IF(E2666&gt;=300,2,1))))</f>
        <v/>
      </c>
      <c r="I2666" s="126">
        <f>TEXT(F2666,"0")&amp;TEXT(G2666,"0")&amp;TEXT(H2666,"0")</f>
        <v/>
      </c>
      <c r="J2666" s="126">
        <f>IFERROR(XLOOKUP(I2666,'Segment Map'!A:A,'Segment Map'!B:B,"Need Attention"),"Need Attention")</f>
        <v/>
      </c>
      <c r="K2666" s="126">
        <f>IF(E2666&gt;=5000,"🏆 Platinum",IF(E2666&gt;=2000,"🥇 Gold",IF(E2666&gt;=800,"🥈 Silver","🥉 Bronze")))</f>
        <v/>
      </c>
      <c r="L2666" s="129" t="n">
        <v>40809</v>
      </c>
    </row>
    <row r="2667">
      <c r="A2667" s="122" t="n">
        <v>15980</v>
      </c>
      <c r="B2667" s="122" t="inlineStr">
        <is>
          <t>United Kingdom</t>
        </is>
      </c>
      <c r="C2667" s="122" t="n">
        <v>89</v>
      </c>
      <c r="D2667" s="122" t="n">
        <v>3</v>
      </c>
      <c r="E2667" s="123" t="n">
        <v>2398.86</v>
      </c>
      <c r="F2667" s="124">
        <f>IF(C2667&lt;=30,5,IF(C2667&lt;=60,4,IF(C2667&lt;=120,3,IF(C2667&lt;=200,2,1))))</f>
        <v/>
      </c>
      <c r="G2667" s="124">
        <f>IF(D2667&gt;=20,5,IF(D2667&gt;=10,4,IF(D2667&gt;=5,3,IF(D2667&gt;=2,2,1))))</f>
        <v/>
      </c>
      <c r="H2667" s="124">
        <f>IF(E2667&gt;=5000,5,IF(E2667&gt;=2000,4,IF(E2667&gt;=800,3,IF(E2667&gt;=300,2,1))))</f>
        <v/>
      </c>
      <c r="I2667" s="122">
        <f>TEXT(F2667,"0")&amp;TEXT(G2667,"0")&amp;TEXT(H2667,"0")</f>
        <v/>
      </c>
      <c r="J2667" s="122">
        <f>IFERROR(XLOOKUP(I2667,'Segment Map'!A:A,'Segment Map'!B:B,"Need Attention"),"Need Attention")</f>
        <v/>
      </c>
      <c r="K2667" s="122">
        <f>IF(E2667&gt;=5000,"🏆 Platinum",IF(E2667&gt;=2000,"🥇 Gold",IF(E2667&gt;=800,"🥈 Silver","🥉 Bronze")))</f>
        <v/>
      </c>
      <c r="L2667" s="125" t="n">
        <v>40798</v>
      </c>
    </row>
    <row r="2668">
      <c r="A2668" s="126" t="n">
        <v>15981</v>
      </c>
      <c r="B2668" s="126" t="inlineStr">
        <is>
          <t>United Kingdom</t>
        </is>
      </c>
      <c r="C2668" s="126" t="n">
        <v>25</v>
      </c>
      <c r="D2668" s="126" t="n">
        <v>8</v>
      </c>
      <c r="E2668" s="127" t="n">
        <v>3408.48</v>
      </c>
      <c r="F2668" s="128">
        <f>IF(C2668&lt;=30,5,IF(C2668&lt;=60,4,IF(C2668&lt;=120,3,IF(C2668&lt;=200,2,1))))</f>
        <v/>
      </c>
      <c r="G2668" s="128">
        <f>IF(D2668&gt;=20,5,IF(D2668&gt;=10,4,IF(D2668&gt;=5,3,IF(D2668&gt;=2,2,1))))</f>
        <v/>
      </c>
      <c r="H2668" s="128">
        <f>IF(E2668&gt;=5000,5,IF(E2668&gt;=2000,4,IF(E2668&gt;=800,3,IF(E2668&gt;=300,2,1))))</f>
        <v/>
      </c>
      <c r="I2668" s="126">
        <f>TEXT(F2668,"0")&amp;TEXT(G2668,"0")&amp;TEXT(H2668,"0")</f>
        <v/>
      </c>
      <c r="J2668" s="126">
        <f>IFERROR(XLOOKUP(I2668,'Segment Map'!A:A,'Segment Map'!B:B,"Need Attention"),"Need Attention")</f>
        <v/>
      </c>
      <c r="K2668" s="126">
        <f>IF(E2668&gt;=5000,"🏆 Platinum",IF(E2668&gt;=2000,"🥇 Gold",IF(E2668&gt;=800,"🥈 Silver","🥉 Bronze")))</f>
        <v/>
      </c>
      <c r="L2668" s="129" t="n">
        <v>40862</v>
      </c>
    </row>
    <row r="2669">
      <c r="A2669" s="122" t="n">
        <v>15983</v>
      </c>
      <c r="B2669" s="122" t="inlineStr">
        <is>
          <t>United Kingdom</t>
        </is>
      </c>
      <c r="C2669" s="122" t="n">
        <v>23</v>
      </c>
      <c r="D2669" s="122" t="n">
        <v>4</v>
      </c>
      <c r="E2669" s="123" t="n">
        <v>1475.02</v>
      </c>
      <c r="F2669" s="124">
        <f>IF(C2669&lt;=30,5,IF(C2669&lt;=60,4,IF(C2669&lt;=120,3,IF(C2669&lt;=200,2,1))))</f>
        <v/>
      </c>
      <c r="G2669" s="124">
        <f>IF(D2669&gt;=20,5,IF(D2669&gt;=10,4,IF(D2669&gt;=5,3,IF(D2669&gt;=2,2,1))))</f>
        <v/>
      </c>
      <c r="H2669" s="124">
        <f>IF(E2669&gt;=5000,5,IF(E2669&gt;=2000,4,IF(E2669&gt;=800,3,IF(E2669&gt;=300,2,1))))</f>
        <v/>
      </c>
      <c r="I2669" s="122">
        <f>TEXT(F2669,"0")&amp;TEXT(G2669,"0")&amp;TEXT(H2669,"0")</f>
        <v/>
      </c>
      <c r="J2669" s="122">
        <f>IFERROR(XLOOKUP(I2669,'Segment Map'!A:A,'Segment Map'!B:B,"Need Attention"),"Need Attention")</f>
        <v/>
      </c>
      <c r="K2669" s="122">
        <f>IF(E2669&gt;=5000,"🏆 Platinum",IF(E2669&gt;=2000,"🥇 Gold",IF(E2669&gt;=800,"🥈 Silver","🥉 Bronze")))</f>
        <v/>
      </c>
      <c r="L2669" s="125" t="n">
        <v>40864</v>
      </c>
    </row>
    <row r="2670">
      <c r="A2670" s="126" t="n">
        <v>15984</v>
      </c>
      <c r="B2670" s="126" t="inlineStr">
        <is>
          <t>United Kingdom</t>
        </is>
      </c>
      <c r="C2670" s="126" t="n">
        <v>3</v>
      </c>
      <c r="D2670" s="126" t="n">
        <v>10</v>
      </c>
      <c r="E2670" s="127" t="n">
        <v>2837.67</v>
      </c>
      <c r="F2670" s="128">
        <f>IF(C2670&lt;=30,5,IF(C2670&lt;=60,4,IF(C2670&lt;=120,3,IF(C2670&lt;=200,2,1))))</f>
        <v/>
      </c>
      <c r="G2670" s="128">
        <f>IF(D2670&gt;=20,5,IF(D2670&gt;=10,4,IF(D2670&gt;=5,3,IF(D2670&gt;=2,2,1))))</f>
        <v/>
      </c>
      <c r="H2670" s="128">
        <f>IF(E2670&gt;=5000,5,IF(E2670&gt;=2000,4,IF(E2670&gt;=800,3,IF(E2670&gt;=300,2,1))))</f>
        <v/>
      </c>
      <c r="I2670" s="126">
        <f>TEXT(F2670,"0")&amp;TEXT(G2670,"0")&amp;TEXT(H2670,"0")</f>
        <v/>
      </c>
      <c r="J2670" s="126">
        <f>IFERROR(XLOOKUP(I2670,'Segment Map'!A:A,'Segment Map'!B:B,"Need Attention"),"Need Attention")</f>
        <v/>
      </c>
      <c r="K2670" s="126">
        <f>IF(E2670&gt;=5000,"🏆 Platinum",IF(E2670&gt;=2000,"🥇 Gold",IF(E2670&gt;=800,"🥈 Silver","🥉 Bronze")))</f>
        <v/>
      </c>
      <c r="L2670" s="129" t="n">
        <v>40884</v>
      </c>
    </row>
    <row r="2671">
      <c r="A2671" s="122" t="n">
        <v>15985</v>
      </c>
      <c r="B2671" s="122" t="inlineStr">
        <is>
          <t>United Kingdom</t>
        </is>
      </c>
      <c r="C2671" s="122" t="n">
        <v>124</v>
      </c>
      <c r="D2671" s="122" t="n">
        <v>2</v>
      </c>
      <c r="E2671" s="123" t="n">
        <v>1142.42</v>
      </c>
      <c r="F2671" s="124">
        <f>IF(C2671&lt;=30,5,IF(C2671&lt;=60,4,IF(C2671&lt;=120,3,IF(C2671&lt;=200,2,1))))</f>
        <v/>
      </c>
      <c r="G2671" s="124">
        <f>IF(D2671&gt;=20,5,IF(D2671&gt;=10,4,IF(D2671&gt;=5,3,IF(D2671&gt;=2,2,1))))</f>
        <v/>
      </c>
      <c r="H2671" s="124">
        <f>IF(E2671&gt;=5000,5,IF(E2671&gt;=2000,4,IF(E2671&gt;=800,3,IF(E2671&gt;=300,2,1))))</f>
        <v/>
      </c>
      <c r="I2671" s="122">
        <f>TEXT(F2671,"0")&amp;TEXT(G2671,"0")&amp;TEXT(H2671,"0")</f>
        <v/>
      </c>
      <c r="J2671" s="122">
        <f>IFERROR(XLOOKUP(I2671,'Segment Map'!A:A,'Segment Map'!B:B,"Need Attention"),"Need Attention")</f>
        <v/>
      </c>
      <c r="K2671" s="122">
        <f>IF(E2671&gt;=5000,"🏆 Platinum",IF(E2671&gt;=2000,"🥇 Gold",IF(E2671&gt;=800,"🥈 Silver","🥉 Bronze")))</f>
        <v/>
      </c>
      <c r="L2671" s="125" t="n">
        <v>40763</v>
      </c>
    </row>
    <row r="2672">
      <c r="A2672" s="126" t="n">
        <v>15986</v>
      </c>
      <c r="B2672" s="126" t="inlineStr">
        <is>
          <t>United Kingdom</t>
        </is>
      </c>
      <c r="C2672" s="126" t="n">
        <v>31</v>
      </c>
      <c r="D2672" s="126" t="n">
        <v>1</v>
      </c>
      <c r="E2672" s="127" t="n">
        <v>168.12</v>
      </c>
      <c r="F2672" s="128">
        <f>IF(C2672&lt;=30,5,IF(C2672&lt;=60,4,IF(C2672&lt;=120,3,IF(C2672&lt;=200,2,1))))</f>
        <v/>
      </c>
      <c r="G2672" s="128">
        <f>IF(D2672&gt;=20,5,IF(D2672&gt;=10,4,IF(D2672&gt;=5,3,IF(D2672&gt;=2,2,1))))</f>
        <v/>
      </c>
      <c r="H2672" s="128">
        <f>IF(E2672&gt;=5000,5,IF(E2672&gt;=2000,4,IF(E2672&gt;=800,3,IF(E2672&gt;=300,2,1))))</f>
        <v/>
      </c>
      <c r="I2672" s="126">
        <f>TEXT(F2672,"0")&amp;TEXT(G2672,"0")&amp;TEXT(H2672,"0")</f>
        <v/>
      </c>
      <c r="J2672" s="126">
        <f>IFERROR(XLOOKUP(I2672,'Segment Map'!A:A,'Segment Map'!B:B,"Need Attention"),"Need Attention")</f>
        <v/>
      </c>
      <c r="K2672" s="126">
        <f>IF(E2672&gt;=5000,"🏆 Platinum",IF(E2672&gt;=2000,"🥇 Gold",IF(E2672&gt;=800,"🥈 Silver","🥉 Bronze")))</f>
        <v/>
      </c>
      <c r="L2672" s="129" t="n">
        <v>40856</v>
      </c>
    </row>
    <row r="2673">
      <c r="A2673" s="122" t="n">
        <v>15987</v>
      </c>
      <c r="B2673" s="122" t="inlineStr">
        <is>
          <t>United Kingdom</t>
        </is>
      </c>
      <c r="C2673" s="122" t="n">
        <v>13</v>
      </c>
      <c r="D2673" s="122" t="n">
        <v>7</v>
      </c>
      <c r="E2673" s="123" t="n">
        <v>1451.28</v>
      </c>
      <c r="F2673" s="124">
        <f>IF(C2673&lt;=30,5,IF(C2673&lt;=60,4,IF(C2673&lt;=120,3,IF(C2673&lt;=200,2,1))))</f>
        <v/>
      </c>
      <c r="G2673" s="124">
        <f>IF(D2673&gt;=20,5,IF(D2673&gt;=10,4,IF(D2673&gt;=5,3,IF(D2673&gt;=2,2,1))))</f>
        <v/>
      </c>
      <c r="H2673" s="124">
        <f>IF(E2673&gt;=5000,5,IF(E2673&gt;=2000,4,IF(E2673&gt;=800,3,IF(E2673&gt;=300,2,1))))</f>
        <v/>
      </c>
      <c r="I2673" s="122">
        <f>TEXT(F2673,"0")&amp;TEXT(G2673,"0")&amp;TEXT(H2673,"0")</f>
        <v/>
      </c>
      <c r="J2673" s="122">
        <f>IFERROR(XLOOKUP(I2673,'Segment Map'!A:A,'Segment Map'!B:B,"Need Attention"),"Need Attention")</f>
        <v/>
      </c>
      <c r="K2673" s="122">
        <f>IF(E2673&gt;=5000,"🏆 Platinum",IF(E2673&gt;=2000,"🥇 Gold",IF(E2673&gt;=800,"🥈 Silver","🥉 Bronze")))</f>
        <v/>
      </c>
      <c r="L2673" s="125" t="n">
        <v>40874</v>
      </c>
    </row>
    <row r="2674">
      <c r="A2674" s="126" t="n">
        <v>15988</v>
      </c>
      <c r="B2674" s="126" t="inlineStr">
        <is>
          <t>United Kingdom</t>
        </is>
      </c>
      <c r="C2674" s="126" t="n">
        <v>20</v>
      </c>
      <c r="D2674" s="126" t="n">
        <v>1</v>
      </c>
      <c r="E2674" s="127" t="n">
        <v>158.03</v>
      </c>
      <c r="F2674" s="128">
        <f>IF(C2674&lt;=30,5,IF(C2674&lt;=60,4,IF(C2674&lt;=120,3,IF(C2674&lt;=200,2,1))))</f>
        <v/>
      </c>
      <c r="G2674" s="128">
        <f>IF(D2674&gt;=20,5,IF(D2674&gt;=10,4,IF(D2674&gt;=5,3,IF(D2674&gt;=2,2,1))))</f>
        <v/>
      </c>
      <c r="H2674" s="128">
        <f>IF(E2674&gt;=5000,5,IF(E2674&gt;=2000,4,IF(E2674&gt;=800,3,IF(E2674&gt;=300,2,1))))</f>
        <v/>
      </c>
      <c r="I2674" s="126">
        <f>TEXT(F2674,"0")&amp;TEXT(G2674,"0")&amp;TEXT(H2674,"0")</f>
        <v/>
      </c>
      <c r="J2674" s="126">
        <f>IFERROR(XLOOKUP(I2674,'Segment Map'!A:A,'Segment Map'!B:B,"Need Attention"),"Need Attention")</f>
        <v/>
      </c>
      <c r="K2674" s="126">
        <f>IF(E2674&gt;=5000,"🏆 Platinum",IF(E2674&gt;=2000,"🥇 Gold",IF(E2674&gt;=800,"🥈 Silver","🥉 Bronze")))</f>
        <v/>
      </c>
      <c r="L2674" s="129" t="n">
        <v>40867</v>
      </c>
    </row>
    <row r="2675">
      <c r="A2675" s="122" t="n">
        <v>15990</v>
      </c>
      <c r="B2675" s="122" t="inlineStr">
        <is>
          <t>United Kingdom</t>
        </is>
      </c>
      <c r="C2675" s="122" t="n">
        <v>45</v>
      </c>
      <c r="D2675" s="122" t="n">
        <v>2</v>
      </c>
      <c r="E2675" s="123" t="n">
        <v>792.11</v>
      </c>
      <c r="F2675" s="124">
        <f>IF(C2675&lt;=30,5,IF(C2675&lt;=60,4,IF(C2675&lt;=120,3,IF(C2675&lt;=200,2,1))))</f>
        <v/>
      </c>
      <c r="G2675" s="124">
        <f>IF(D2675&gt;=20,5,IF(D2675&gt;=10,4,IF(D2675&gt;=5,3,IF(D2675&gt;=2,2,1))))</f>
        <v/>
      </c>
      <c r="H2675" s="124">
        <f>IF(E2675&gt;=5000,5,IF(E2675&gt;=2000,4,IF(E2675&gt;=800,3,IF(E2675&gt;=300,2,1))))</f>
        <v/>
      </c>
      <c r="I2675" s="122">
        <f>TEXT(F2675,"0")&amp;TEXT(G2675,"0")&amp;TEXT(H2675,"0")</f>
        <v/>
      </c>
      <c r="J2675" s="122">
        <f>IFERROR(XLOOKUP(I2675,'Segment Map'!A:A,'Segment Map'!B:B,"Need Attention"),"Need Attention")</f>
        <v/>
      </c>
      <c r="K2675" s="122">
        <f>IF(E2675&gt;=5000,"🏆 Platinum",IF(E2675&gt;=2000,"🥇 Gold",IF(E2675&gt;=800,"🥈 Silver","🥉 Bronze")))</f>
        <v/>
      </c>
      <c r="L2675" s="125" t="n">
        <v>40842</v>
      </c>
    </row>
    <row r="2676">
      <c r="A2676" s="126" t="n">
        <v>15992</v>
      </c>
      <c r="B2676" s="126" t="inlineStr">
        <is>
          <t>United Kingdom</t>
        </is>
      </c>
      <c r="C2676" s="126" t="n">
        <v>4</v>
      </c>
      <c r="D2676" s="126" t="n">
        <v>1</v>
      </c>
      <c r="E2676" s="127" t="n">
        <v>41.99</v>
      </c>
      <c r="F2676" s="128">
        <f>IF(C2676&lt;=30,5,IF(C2676&lt;=60,4,IF(C2676&lt;=120,3,IF(C2676&lt;=200,2,1))))</f>
        <v/>
      </c>
      <c r="G2676" s="128">
        <f>IF(D2676&gt;=20,5,IF(D2676&gt;=10,4,IF(D2676&gt;=5,3,IF(D2676&gt;=2,2,1))))</f>
        <v/>
      </c>
      <c r="H2676" s="128">
        <f>IF(E2676&gt;=5000,5,IF(E2676&gt;=2000,4,IF(E2676&gt;=800,3,IF(E2676&gt;=300,2,1))))</f>
        <v/>
      </c>
      <c r="I2676" s="126">
        <f>TEXT(F2676,"0")&amp;TEXT(G2676,"0")&amp;TEXT(H2676,"0")</f>
        <v/>
      </c>
      <c r="J2676" s="126">
        <f>IFERROR(XLOOKUP(I2676,'Segment Map'!A:A,'Segment Map'!B:B,"Need Attention"),"Need Attention")</f>
        <v/>
      </c>
      <c r="K2676" s="126">
        <f>IF(E2676&gt;=5000,"🏆 Platinum",IF(E2676&gt;=2000,"🥇 Gold",IF(E2676&gt;=800,"🥈 Silver","🥉 Bronze")))</f>
        <v/>
      </c>
      <c r="L2676" s="129" t="n">
        <v>40883</v>
      </c>
    </row>
    <row r="2677">
      <c r="A2677" s="122" t="n">
        <v>15993</v>
      </c>
      <c r="B2677" s="122" t="inlineStr">
        <is>
          <t>United Kingdom</t>
        </is>
      </c>
      <c r="C2677" s="122" t="n">
        <v>9</v>
      </c>
      <c r="D2677" s="122" t="n">
        <v>7</v>
      </c>
      <c r="E2677" s="123" t="n">
        <v>2797.57</v>
      </c>
      <c r="F2677" s="124">
        <f>IF(C2677&lt;=30,5,IF(C2677&lt;=60,4,IF(C2677&lt;=120,3,IF(C2677&lt;=200,2,1))))</f>
        <v/>
      </c>
      <c r="G2677" s="124">
        <f>IF(D2677&gt;=20,5,IF(D2677&gt;=10,4,IF(D2677&gt;=5,3,IF(D2677&gt;=2,2,1))))</f>
        <v/>
      </c>
      <c r="H2677" s="124">
        <f>IF(E2677&gt;=5000,5,IF(E2677&gt;=2000,4,IF(E2677&gt;=800,3,IF(E2677&gt;=300,2,1))))</f>
        <v/>
      </c>
      <c r="I2677" s="122">
        <f>TEXT(F2677,"0")&amp;TEXT(G2677,"0")&amp;TEXT(H2677,"0")</f>
        <v/>
      </c>
      <c r="J2677" s="122">
        <f>IFERROR(XLOOKUP(I2677,'Segment Map'!A:A,'Segment Map'!B:B,"Need Attention"),"Need Attention")</f>
        <v/>
      </c>
      <c r="K2677" s="122">
        <f>IF(E2677&gt;=5000,"🏆 Platinum",IF(E2677&gt;=2000,"🥇 Gold",IF(E2677&gt;=800,"🥈 Silver","🥉 Bronze")))</f>
        <v/>
      </c>
      <c r="L2677" s="125" t="n">
        <v>40878</v>
      </c>
    </row>
    <row r="2678">
      <c r="A2678" s="126" t="n">
        <v>15994</v>
      </c>
      <c r="B2678" s="126" t="inlineStr">
        <is>
          <t>United Kingdom</t>
        </is>
      </c>
      <c r="C2678" s="126" t="n">
        <v>55</v>
      </c>
      <c r="D2678" s="126" t="n">
        <v>1</v>
      </c>
      <c r="E2678" s="127" t="n">
        <v>427.07</v>
      </c>
      <c r="F2678" s="128">
        <f>IF(C2678&lt;=30,5,IF(C2678&lt;=60,4,IF(C2678&lt;=120,3,IF(C2678&lt;=200,2,1))))</f>
        <v/>
      </c>
      <c r="G2678" s="128">
        <f>IF(D2678&gt;=20,5,IF(D2678&gt;=10,4,IF(D2678&gt;=5,3,IF(D2678&gt;=2,2,1))))</f>
        <v/>
      </c>
      <c r="H2678" s="128">
        <f>IF(E2678&gt;=5000,5,IF(E2678&gt;=2000,4,IF(E2678&gt;=800,3,IF(E2678&gt;=300,2,1))))</f>
        <v/>
      </c>
      <c r="I2678" s="126">
        <f>TEXT(F2678,"0")&amp;TEXT(G2678,"0")&amp;TEXT(H2678,"0")</f>
        <v/>
      </c>
      <c r="J2678" s="126">
        <f>IFERROR(XLOOKUP(I2678,'Segment Map'!A:A,'Segment Map'!B:B,"Need Attention"),"Need Attention")</f>
        <v/>
      </c>
      <c r="K2678" s="126">
        <f>IF(E2678&gt;=5000,"🏆 Platinum",IF(E2678&gt;=2000,"🥇 Gold",IF(E2678&gt;=800,"🥈 Silver","🥉 Bronze")))</f>
        <v/>
      </c>
      <c r="L2678" s="129" t="n">
        <v>40832</v>
      </c>
    </row>
    <row r="2679">
      <c r="A2679" s="122" t="n">
        <v>15996</v>
      </c>
      <c r="B2679" s="122" t="inlineStr">
        <is>
          <t>United Kingdom</t>
        </is>
      </c>
      <c r="C2679" s="122" t="n">
        <v>89</v>
      </c>
      <c r="D2679" s="122" t="n">
        <v>6</v>
      </c>
      <c r="E2679" s="123" t="n">
        <v>1060.68</v>
      </c>
      <c r="F2679" s="124">
        <f>IF(C2679&lt;=30,5,IF(C2679&lt;=60,4,IF(C2679&lt;=120,3,IF(C2679&lt;=200,2,1))))</f>
        <v/>
      </c>
      <c r="G2679" s="124">
        <f>IF(D2679&gt;=20,5,IF(D2679&gt;=10,4,IF(D2679&gt;=5,3,IF(D2679&gt;=2,2,1))))</f>
        <v/>
      </c>
      <c r="H2679" s="124">
        <f>IF(E2679&gt;=5000,5,IF(E2679&gt;=2000,4,IF(E2679&gt;=800,3,IF(E2679&gt;=300,2,1))))</f>
        <v/>
      </c>
      <c r="I2679" s="122">
        <f>TEXT(F2679,"0")&amp;TEXT(G2679,"0")&amp;TEXT(H2679,"0")</f>
        <v/>
      </c>
      <c r="J2679" s="122">
        <f>IFERROR(XLOOKUP(I2679,'Segment Map'!A:A,'Segment Map'!B:B,"Need Attention"),"Need Attention")</f>
        <v/>
      </c>
      <c r="K2679" s="122">
        <f>IF(E2679&gt;=5000,"🏆 Platinum",IF(E2679&gt;=2000,"🥇 Gold",IF(E2679&gt;=800,"🥈 Silver","🥉 Bronze")))</f>
        <v/>
      </c>
      <c r="L2679" s="125" t="n">
        <v>40798</v>
      </c>
    </row>
    <row r="2680">
      <c r="A2680" s="126" t="n">
        <v>15998</v>
      </c>
      <c r="B2680" s="126" t="inlineStr">
        <is>
          <t>United Kingdom</t>
        </is>
      </c>
      <c r="C2680" s="126" t="n">
        <v>37</v>
      </c>
      <c r="D2680" s="126" t="n">
        <v>5</v>
      </c>
      <c r="E2680" s="127" t="n">
        <v>3089.97</v>
      </c>
      <c r="F2680" s="128">
        <f>IF(C2680&lt;=30,5,IF(C2680&lt;=60,4,IF(C2680&lt;=120,3,IF(C2680&lt;=200,2,1))))</f>
        <v/>
      </c>
      <c r="G2680" s="128">
        <f>IF(D2680&gt;=20,5,IF(D2680&gt;=10,4,IF(D2680&gt;=5,3,IF(D2680&gt;=2,2,1))))</f>
        <v/>
      </c>
      <c r="H2680" s="128">
        <f>IF(E2680&gt;=5000,5,IF(E2680&gt;=2000,4,IF(E2680&gt;=800,3,IF(E2680&gt;=300,2,1))))</f>
        <v/>
      </c>
      <c r="I2680" s="126">
        <f>TEXT(F2680,"0")&amp;TEXT(G2680,"0")&amp;TEXT(H2680,"0")</f>
        <v/>
      </c>
      <c r="J2680" s="126">
        <f>IFERROR(XLOOKUP(I2680,'Segment Map'!A:A,'Segment Map'!B:B,"Need Attention"),"Need Attention")</f>
        <v/>
      </c>
      <c r="K2680" s="126">
        <f>IF(E2680&gt;=5000,"🏆 Platinum",IF(E2680&gt;=2000,"🥇 Gold",IF(E2680&gt;=800,"🥈 Silver","🥉 Bronze")))</f>
        <v/>
      </c>
      <c r="L2680" s="129" t="n">
        <v>40850</v>
      </c>
    </row>
    <row r="2681">
      <c r="A2681" s="122" t="n">
        <v>16000</v>
      </c>
      <c r="B2681" s="122" t="inlineStr">
        <is>
          <t>United Kingdom</t>
        </is>
      </c>
      <c r="C2681" s="122" t="n">
        <v>3</v>
      </c>
      <c r="D2681" s="122" t="n">
        <v>3</v>
      </c>
      <c r="E2681" s="123" t="n">
        <v>12393.7</v>
      </c>
      <c r="F2681" s="124">
        <f>IF(C2681&lt;=30,5,IF(C2681&lt;=60,4,IF(C2681&lt;=120,3,IF(C2681&lt;=200,2,1))))</f>
        <v/>
      </c>
      <c r="G2681" s="124">
        <f>IF(D2681&gt;=20,5,IF(D2681&gt;=10,4,IF(D2681&gt;=5,3,IF(D2681&gt;=2,2,1))))</f>
        <v/>
      </c>
      <c r="H2681" s="124">
        <f>IF(E2681&gt;=5000,5,IF(E2681&gt;=2000,4,IF(E2681&gt;=800,3,IF(E2681&gt;=300,2,1))))</f>
        <v/>
      </c>
      <c r="I2681" s="122">
        <f>TEXT(F2681,"0")&amp;TEXT(G2681,"0")&amp;TEXT(H2681,"0")</f>
        <v/>
      </c>
      <c r="J2681" s="122">
        <f>IFERROR(XLOOKUP(I2681,'Segment Map'!A:A,'Segment Map'!B:B,"Need Attention"),"Need Attention")</f>
        <v/>
      </c>
      <c r="K2681" s="122">
        <f>IF(E2681&gt;=5000,"🏆 Platinum",IF(E2681&gt;=2000,"🥇 Gold",IF(E2681&gt;=800,"🥈 Silver","🥉 Bronze")))</f>
        <v/>
      </c>
      <c r="L2681" s="125" t="n">
        <v>40884</v>
      </c>
    </row>
    <row r="2682">
      <c r="A2682" s="126" t="n">
        <v>16003</v>
      </c>
      <c r="B2682" s="126" t="inlineStr">
        <is>
          <t>United Kingdom</t>
        </is>
      </c>
      <c r="C2682" s="126" t="n">
        <v>30</v>
      </c>
      <c r="D2682" s="126" t="n">
        <v>5</v>
      </c>
      <c r="E2682" s="127" t="n">
        <v>2735.37</v>
      </c>
      <c r="F2682" s="128">
        <f>IF(C2682&lt;=30,5,IF(C2682&lt;=60,4,IF(C2682&lt;=120,3,IF(C2682&lt;=200,2,1))))</f>
        <v/>
      </c>
      <c r="G2682" s="128">
        <f>IF(D2682&gt;=20,5,IF(D2682&gt;=10,4,IF(D2682&gt;=5,3,IF(D2682&gt;=2,2,1))))</f>
        <v/>
      </c>
      <c r="H2682" s="128">
        <f>IF(E2682&gt;=5000,5,IF(E2682&gt;=2000,4,IF(E2682&gt;=800,3,IF(E2682&gt;=300,2,1))))</f>
        <v/>
      </c>
      <c r="I2682" s="126">
        <f>TEXT(F2682,"0")&amp;TEXT(G2682,"0")&amp;TEXT(H2682,"0")</f>
        <v/>
      </c>
      <c r="J2682" s="126">
        <f>IFERROR(XLOOKUP(I2682,'Segment Map'!A:A,'Segment Map'!B:B,"Need Attention"),"Need Attention")</f>
        <v/>
      </c>
      <c r="K2682" s="126">
        <f>IF(E2682&gt;=5000,"🏆 Platinum",IF(E2682&gt;=2000,"🥇 Gold",IF(E2682&gt;=800,"🥈 Silver","🥉 Bronze")))</f>
        <v/>
      </c>
      <c r="L2682" s="129" t="n">
        <v>40857</v>
      </c>
    </row>
    <row r="2683">
      <c r="A2683" s="122" t="n">
        <v>16005</v>
      </c>
      <c r="B2683" s="122" t="inlineStr">
        <is>
          <t>United Kingdom</t>
        </is>
      </c>
      <c r="C2683" s="122" t="n">
        <v>13</v>
      </c>
      <c r="D2683" s="122" t="n">
        <v>4</v>
      </c>
      <c r="E2683" s="123" t="n">
        <v>615.39</v>
      </c>
      <c r="F2683" s="124">
        <f>IF(C2683&lt;=30,5,IF(C2683&lt;=60,4,IF(C2683&lt;=120,3,IF(C2683&lt;=200,2,1))))</f>
        <v/>
      </c>
      <c r="G2683" s="124">
        <f>IF(D2683&gt;=20,5,IF(D2683&gt;=10,4,IF(D2683&gt;=5,3,IF(D2683&gt;=2,2,1))))</f>
        <v/>
      </c>
      <c r="H2683" s="124">
        <f>IF(E2683&gt;=5000,5,IF(E2683&gt;=2000,4,IF(E2683&gt;=800,3,IF(E2683&gt;=300,2,1))))</f>
        <v/>
      </c>
      <c r="I2683" s="122">
        <f>TEXT(F2683,"0")&amp;TEXT(G2683,"0")&amp;TEXT(H2683,"0")</f>
        <v/>
      </c>
      <c r="J2683" s="122">
        <f>IFERROR(XLOOKUP(I2683,'Segment Map'!A:A,'Segment Map'!B:B,"Need Attention"),"Need Attention")</f>
        <v/>
      </c>
      <c r="K2683" s="122">
        <f>IF(E2683&gt;=5000,"🏆 Platinum",IF(E2683&gt;=2000,"🥇 Gold",IF(E2683&gt;=800,"🥈 Silver","🥉 Bronze")))</f>
        <v/>
      </c>
      <c r="L2683" s="125" t="n">
        <v>40874</v>
      </c>
    </row>
    <row r="2684">
      <c r="A2684" s="126" t="n">
        <v>16006</v>
      </c>
      <c r="B2684" s="126" t="inlineStr">
        <is>
          <t>United Kingdom</t>
        </is>
      </c>
      <c r="C2684" s="126" t="n">
        <v>212</v>
      </c>
      <c r="D2684" s="126" t="n">
        <v>1</v>
      </c>
      <c r="E2684" s="127" t="n">
        <v>101.4</v>
      </c>
      <c r="F2684" s="128">
        <f>IF(C2684&lt;=30,5,IF(C2684&lt;=60,4,IF(C2684&lt;=120,3,IF(C2684&lt;=200,2,1))))</f>
        <v/>
      </c>
      <c r="G2684" s="128">
        <f>IF(D2684&gt;=20,5,IF(D2684&gt;=10,4,IF(D2684&gt;=5,3,IF(D2684&gt;=2,2,1))))</f>
        <v/>
      </c>
      <c r="H2684" s="128">
        <f>IF(E2684&gt;=5000,5,IF(E2684&gt;=2000,4,IF(E2684&gt;=800,3,IF(E2684&gt;=300,2,1))))</f>
        <v/>
      </c>
      <c r="I2684" s="126">
        <f>TEXT(F2684,"0")&amp;TEXT(G2684,"0")&amp;TEXT(H2684,"0")</f>
        <v/>
      </c>
      <c r="J2684" s="126">
        <f>IFERROR(XLOOKUP(I2684,'Segment Map'!A:A,'Segment Map'!B:B,"Need Attention"),"Need Attention")</f>
        <v/>
      </c>
      <c r="K2684" s="126">
        <f>IF(E2684&gt;=5000,"🏆 Platinum",IF(E2684&gt;=2000,"🥇 Gold",IF(E2684&gt;=800,"🥈 Silver","🥉 Bronze")))</f>
        <v/>
      </c>
      <c r="L2684" s="129" t="n">
        <v>40675</v>
      </c>
    </row>
    <row r="2685">
      <c r="A2685" s="122" t="n">
        <v>16007</v>
      </c>
      <c r="B2685" s="122" t="inlineStr">
        <is>
          <t>United Kingdom</t>
        </is>
      </c>
      <c r="C2685" s="122" t="n">
        <v>48</v>
      </c>
      <c r="D2685" s="122" t="n">
        <v>4</v>
      </c>
      <c r="E2685" s="123" t="n">
        <v>1701.94</v>
      </c>
      <c r="F2685" s="124">
        <f>IF(C2685&lt;=30,5,IF(C2685&lt;=60,4,IF(C2685&lt;=120,3,IF(C2685&lt;=200,2,1))))</f>
        <v/>
      </c>
      <c r="G2685" s="124">
        <f>IF(D2685&gt;=20,5,IF(D2685&gt;=10,4,IF(D2685&gt;=5,3,IF(D2685&gt;=2,2,1))))</f>
        <v/>
      </c>
      <c r="H2685" s="124">
        <f>IF(E2685&gt;=5000,5,IF(E2685&gt;=2000,4,IF(E2685&gt;=800,3,IF(E2685&gt;=300,2,1))))</f>
        <v/>
      </c>
      <c r="I2685" s="122">
        <f>TEXT(F2685,"0")&amp;TEXT(G2685,"0")&amp;TEXT(H2685,"0")</f>
        <v/>
      </c>
      <c r="J2685" s="122">
        <f>IFERROR(XLOOKUP(I2685,'Segment Map'!A:A,'Segment Map'!B:B,"Need Attention"),"Need Attention")</f>
        <v/>
      </c>
      <c r="K2685" s="122">
        <f>IF(E2685&gt;=5000,"🏆 Platinum",IF(E2685&gt;=2000,"🥇 Gold",IF(E2685&gt;=800,"🥈 Silver","🥉 Bronze")))</f>
        <v/>
      </c>
      <c r="L2685" s="125" t="n">
        <v>40839</v>
      </c>
    </row>
    <row r="2686">
      <c r="A2686" s="126" t="n">
        <v>16008</v>
      </c>
      <c r="B2686" s="126" t="inlineStr">
        <is>
          <t>United Kingdom</t>
        </is>
      </c>
      <c r="C2686" s="126" t="n">
        <v>24</v>
      </c>
      <c r="D2686" s="126" t="n">
        <v>3</v>
      </c>
      <c r="E2686" s="127" t="n">
        <v>478.78</v>
      </c>
      <c r="F2686" s="128">
        <f>IF(C2686&lt;=30,5,IF(C2686&lt;=60,4,IF(C2686&lt;=120,3,IF(C2686&lt;=200,2,1))))</f>
        <v/>
      </c>
      <c r="G2686" s="128">
        <f>IF(D2686&gt;=20,5,IF(D2686&gt;=10,4,IF(D2686&gt;=5,3,IF(D2686&gt;=2,2,1))))</f>
        <v/>
      </c>
      <c r="H2686" s="128">
        <f>IF(E2686&gt;=5000,5,IF(E2686&gt;=2000,4,IF(E2686&gt;=800,3,IF(E2686&gt;=300,2,1))))</f>
        <v/>
      </c>
      <c r="I2686" s="126">
        <f>TEXT(F2686,"0")&amp;TEXT(G2686,"0")&amp;TEXT(H2686,"0")</f>
        <v/>
      </c>
      <c r="J2686" s="126">
        <f>IFERROR(XLOOKUP(I2686,'Segment Map'!A:A,'Segment Map'!B:B,"Need Attention"),"Need Attention")</f>
        <v/>
      </c>
      <c r="K2686" s="126">
        <f>IF(E2686&gt;=5000,"🏆 Platinum",IF(E2686&gt;=2000,"🥇 Gold",IF(E2686&gt;=800,"🥈 Silver","🥉 Bronze")))</f>
        <v/>
      </c>
      <c r="L2686" s="129" t="n">
        <v>40863</v>
      </c>
    </row>
    <row r="2687">
      <c r="A2687" s="122" t="n">
        <v>16009</v>
      </c>
      <c r="B2687" s="122" t="inlineStr">
        <is>
          <t>United Kingdom</t>
        </is>
      </c>
      <c r="C2687" s="122" t="n">
        <v>23</v>
      </c>
      <c r="D2687" s="122" t="n">
        <v>4</v>
      </c>
      <c r="E2687" s="123" t="n">
        <v>992.71</v>
      </c>
      <c r="F2687" s="124">
        <f>IF(C2687&lt;=30,5,IF(C2687&lt;=60,4,IF(C2687&lt;=120,3,IF(C2687&lt;=200,2,1))))</f>
        <v/>
      </c>
      <c r="G2687" s="124">
        <f>IF(D2687&gt;=20,5,IF(D2687&gt;=10,4,IF(D2687&gt;=5,3,IF(D2687&gt;=2,2,1))))</f>
        <v/>
      </c>
      <c r="H2687" s="124">
        <f>IF(E2687&gt;=5000,5,IF(E2687&gt;=2000,4,IF(E2687&gt;=800,3,IF(E2687&gt;=300,2,1))))</f>
        <v/>
      </c>
      <c r="I2687" s="122">
        <f>TEXT(F2687,"0")&amp;TEXT(G2687,"0")&amp;TEXT(H2687,"0")</f>
        <v/>
      </c>
      <c r="J2687" s="122">
        <f>IFERROR(XLOOKUP(I2687,'Segment Map'!A:A,'Segment Map'!B:B,"Need Attention"),"Need Attention")</f>
        <v/>
      </c>
      <c r="K2687" s="122">
        <f>IF(E2687&gt;=5000,"🏆 Platinum",IF(E2687&gt;=2000,"🥇 Gold",IF(E2687&gt;=800,"🥈 Silver","🥉 Bronze")))</f>
        <v/>
      </c>
      <c r="L2687" s="125" t="n">
        <v>40864</v>
      </c>
    </row>
    <row r="2688">
      <c r="A2688" s="126" t="n">
        <v>16010</v>
      </c>
      <c r="B2688" s="126" t="inlineStr">
        <is>
          <t>United Kingdom</t>
        </is>
      </c>
      <c r="C2688" s="126" t="n">
        <v>246</v>
      </c>
      <c r="D2688" s="126" t="n">
        <v>3</v>
      </c>
      <c r="E2688" s="127" t="n">
        <v>407.5</v>
      </c>
      <c r="F2688" s="128">
        <f>IF(C2688&lt;=30,5,IF(C2688&lt;=60,4,IF(C2688&lt;=120,3,IF(C2688&lt;=200,2,1))))</f>
        <v/>
      </c>
      <c r="G2688" s="128">
        <f>IF(D2688&gt;=20,5,IF(D2688&gt;=10,4,IF(D2688&gt;=5,3,IF(D2688&gt;=2,2,1))))</f>
        <v/>
      </c>
      <c r="H2688" s="128">
        <f>IF(E2688&gt;=5000,5,IF(E2688&gt;=2000,4,IF(E2688&gt;=800,3,IF(E2688&gt;=300,2,1))))</f>
        <v/>
      </c>
      <c r="I2688" s="126">
        <f>TEXT(F2688,"0")&amp;TEXT(G2688,"0")&amp;TEXT(H2688,"0")</f>
        <v/>
      </c>
      <c r="J2688" s="126">
        <f>IFERROR(XLOOKUP(I2688,'Segment Map'!A:A,'Segment Map'!B:B,"Need Attention"),"Need Attention")</f>
        <v/>
      </c>
      <c r="K2688" s="126">
        <f>IF(E2688&gt;=5000,"🏆 Platinum",IF(E2688&gt;=2000,"🥇 Gold",IF(E2688&gt;=800,"🥈 Silver","🥉 Bronze")))</f>
        <v/>
      </c>
      <c r="L2688" s="129" t="n">
        <v>40641</v>
      </c>
    </row>
    <row r="2689">
      <c r="A2689" s="122" t="n">
        <v>16011</v>
      </c>
      <c r="B2689" s="122" t="inlineStr">
        <is>
          <t>United Kingdom</t>
        </is>
      </c>
      <c r="C2689" s="122" t="n">
        <v>9</v>
      </c>
      <c r="D2689" s="122" t="n">
        <v>16</v>
      </c>
      <c r="E2689" s="123" t="n">
        <v>3362.71</v>
      </c>
      <c r="F2689" s="124">
        <f>IF(C2689&lt;=30,5,IF(C2689&lt;=60,4,IF(C2689&lt;=120,3,IF(C2689&lt;=200,2,1))))</f>
        <v/>
      </c>
      <c r="G2689" s="124">
        <f>IF(D2689&gt;=20,5,IF(D2689&gt;=10,4,IF(D2689&gt;=5,3,IF(D2689&gt;=2,2,1))))</f>
        <v/>
      </c>
      <c r="H2689" s="124">
        <f>IF(E2689&gt;=5000,5,IF(E2689&gt;=2000,4,IF(E2689&gt;=800,3,IF(E2689&gt;=300,2,1))))</f>
        <v/>
      </c>
      <c r="I2689" s="122">
        <f>TEXT(F2689,"0")&amp;TEXT(G2689,"0")&amp;TEXT(H2689,"0")</f>
        <v/>
      </c>
      <c r="J2689" s="122">
        <f>IFERROR(XLOOKUP(I2689,'Segment Map'!A:A,'Segment Map'!B:B,"Need Attention"),"Need Attention")</f>
        <v/>
      </c>
      <c r="K2689" s="122">
        <f>IF(E2689&gt;=5000,"🏆 Platinum",IF(E2689&gt;=2000,"🥇 Gold",IF(E2689&gt;=800,"🥈 Silver","🥉 Bronze")))</f>
        <v/>
      </c>
      <c r="L2689" s="125" t="n">
        <v>40878</v>
      </c>
    </row>
    <row r="2690">
      <c r="A2690" s="126" t="n">
        <v>16012</v>
      </c>
      <c r="B2690" s="126" t="inlineStr">
        <is>
          <t>United Kingdom</t>
        </is>
      </c>
      <c r="C2690" s="126" t="n">
        <v>36</v>
      </c>
      <c r="D2690" s="126" t="n">
        <v>3</v>
      </c>
      <c r="E2690" s="127" t="n">
        <v>1415.29</v>
      </c>
      <c r="F2690" s="128">
        <f>IF(C2690&lt;=30,5,IF(C2690&lt;=60,4,IF(C2690&lt;=120,3,IF(C2690&lt;=200,2,1))))</f>
        <v/>
      </c>
      <c r="G2690" s="128">
        <f>IF(D2690&gt;=20,5,IF(D2690&gt;=10,4,IF(D2690&gt;=5,3,IF(D2690&gt;=2,2,1))))</f>
        <v/>
      </c>
      <c r="H2690" s="128">
        <f>IF(E2690&gt;=5000,5,IF(E2690&gt;=2000,4,IF(E2690&gt;=800,3,IF(E2690&gt;=300,2,1))))</f>
        <v/>
      </c>
      <c r="I2690" s="126">
        <f>TEXT(F2690,"0")&amp;TEXT(G2690,"0")&amp;TEXT(H2690,"0")</f>
        <v/>
      </c>
      <c r="J2690" s="126">
        <f>IFERROR(XLOOKUP(I2690,'Segment Map'!A:A,'Segment Map'!B:B,"Need Attention"),"Need Attention")</f>
        <v/>
      </c>
      <c r="K2690" s="126">
        <f>IF(E2690&gt;=5000,"🏆 Platinum",IF(E2690&gt;=2000,"🥇 Gold",IF(E2690&gt;=800,"🥈 Silver","🥉 Bronze")))</f>
        <v/>
      </c>
      <c r="L2690" s="129" t="n">
        <v>40851</v>
      </c>
    </row>
    <row r="2691">
      <c r="A2691" s="122" t="n">
        <v>16013</v>
      </c>
      <c r="B2691" s="122" t="inlineStr">
        <is>
          <t>United Kingdom</t>
        </is>
      </c>
      <c r="C2691" s="122" t="n">
        <v>4</v>
      </c>
      <c r="D2691" s="122" t="n">
        <v>47</v>
      </c>
      <c r="E2691" s="123" t="n">
        <v>37130.6</v>
      </c>
      <c r="F2691" s="124">
        <f>IF(C2691&lt;=30,5,IF(C2691&lt;=60,4,IF(C2691&lt;=120,3,IF(C2691&lt;=200,2,1))))</f>
        <v/>
      </c>
      <c r="G2691" s="124">
        <f>IF(D2691&gt;=20,5,IF(D2691&gt;=10,4,IF(D2691&gt;=5,3,IF(D2691&gt;=2,2,1))))</f>
        <v/>
      </c>
      <c r="H2691" s="124">
        <f>IF(E2691&gt;=5000,5,IF(E2691&gt;=2000,4,IF(E2691&gt;=800,3,IF(E2691&gt;=300,2,1))))</f>
        <v/>
      </c>
      <c r="I2691" s="122">
        <f>TEXT(F2691,"0")&amp;TEXT(G2691,"0")&amp;TEXT(H2691,"0")</f>
        <v/>
      </c>
      <c r="J2691" s="122">
        <f>IFERROR(XLOOKUP(I2691,'Segment Map'!A:A,'Segment Map'!B:B,"Need Attention"),"Need Attention")</f>
        <v/>
      </c>
      <c r="K2691" s="122">
        <f>IF(E2691&gt;=5000,"🏆 Platinum",IF(E2691&gt;=2000,"🥇 Gold",IF(E2691&gt;=800,"🥈 Silver","🥉 Bronze")))</f>
        <v/>
      </c>
      <c r="L2691" s="125" t="n">
        <v>40883</v>
      </c>
    </row>
    <row r="2692">
      <c r="A2692" s="126" t="n">
        <v>16014</v>
      </c>
      <c r="B2692" s="126" t="inlineStr">
        <is>
          <t>United Kingdom</t>
        </is>
      </c>
      <c r="C2692" s="126" t="n">
        <v>38</v>
      </c>
      <c r="D2692" s="126" t="n">
        <v>3</v>
      </c>
      <c r="E2692" s="127" t="n">
        <v>662.38</v>
      </c>
      <c r="F2692" s="128">
        <f>IF(C2692&lt;=30,5,IF(C2692&lt;=60,4,IF(C2692&lt;=120,3,IF(C2692&lt;=200,2,1))))</f>
        <v/>
      </c>
      <c r="G2692" s="128">
        <f>IF(D2692&gt;=20,5,IF(D2692&gt;=10,4,IF(D2692&gt;=5,3,IF(D2692&gt;=2,2,1))))</f>
        <v/>
      </c>
      <c r="H2692" s="128">
        <f>IF(E2692&gt;=5000,5,IF(E2692&gt;=2000,4,IF(E2692&gt;=800,3,IF(E2692&gt;=300,2,1))))</f>
        <v/>
      </c>
      <c r="I2692" s="126">
        <f>TEXT(F2692,"0")&amp;TEXT(G2692,"0")&amp;TEXT(H2692,"0")</f>
        <v/>
      </c>
      <c r="J2692" s="126">
        <f>IFERROR(XLOOKUP(I2692,'Segment Map'!A:A,'Segment Map'!B:B,"Need Attention"),"Need Attention")</f>
        <v/>
      </c>
      <c r="K2692" s="126">
        <f>IF(E2692&gt;=5000,"🏆 Platinum",IF(E2692&gt;=2000,"🥇 Gold",IF(E2692&gt;=800,"🥈 Silver","🥉 Bronze")))</f>
        <v/>
      </c>
      <c r="L2692" s="129" t="n">
        <v>40849</v>
      </c>
    </row>
    <row r="2693">
      <c r="A2693" s="122" t="n">
        <v>16015</v>
      </c>
      <c r="B2693" s="122" t="inlineStr">
        <is>
          <t>United Kingdom</t>
        </is>
      </c>
      <c r="C2693" s="122" t="n">
        <v>4</v>
      </c>
      <c r="D2693" s="122" t="n">
        <v>3</v>
      </c>
      <c r="E2693" s="123" t="n">
        <v>705.39</v>
      </c>
      <c r="F2693" s="124">
        <f>IF(C2693&lt;=30,5,IF(C2693&lt;=60,4,IF(C2693&lt;=120,3,IF(C2693&lt;=200,2,1))))</f>
        <v/>
      </c>
      <c r="G2693" s="124">
        <f>IF(D2693&gt;=20,5,IF(D2693&gt;=10,4,IF(D2693&gt;=5,3,IF(D2693&gt;=2,2,1))))</f>
        <v/>
      </c>
      <c r="H2693" s="124">
        <f>IF(E2693&gt;=5000,5,IF(E2693&gt;=2000,4,IF(E2693&gt;=800,3,IF(E2693&gt;=300,2,1))))</f>
        <v/>
      </c>
      <c r="I2693" s="122">
        <f>TEXT(F2693,"0")&amp;TEXT(G2693,"0")&amp;TEXT(H2693,"0")</f>
        <v/>
      </c>
      <c r="J2693" s="122">
        <f>IFERROR(XLOOKUP(I2693,'Segment Map'!A:A,'Segment Map'!B:B,"Need Attention"),"Need Attention")</f>
        <v/>
      </c>
      <c r="K2693" s="122">
        <f>IF(E2693&gt;=5000,"🏆 Platinum",IF(E2693&gt;=2000,"🥇 Gold",IF(E2693&gt;=800,"🥈 Silver","🥉 Bronze")))</f>
        <v/>
      </c>
      <c r="L2693" s="125" t="n">
        <v>40883</v>
      </c>
    </row>
    <row r="2694">
      <c r="A2694" s="126" t="n">
        <v>16016</v>
      </c>
      <c r="B2694" s="126" t="inlineStr">
        <is>
          <t>United Kingdom</t>
        </is>
      </c>
      <c r="C2694" s="126" t="n">
        <v>4</v>
      </c>
      <c r="D2694" s="126" t="n">
        <v>8</v>
      </c>
      <c r="E2694" s="127" t="n">
        <v>1508.76</v>
      </c>
      <c r="F2694" s="128">
        <f>IF(C2694&lt;=30,5,IF(C2694&lt;=60,4,IF(C2694&lt;=120,3,IF(C2694&lt;=200,2,1))))</f>
        <v/>
      </c>
      <c r="G2694" s="128">
        <f>IF(D2694&gt;=20,5,IF(D2694&gt;=10,4,IF(D2694&gt;=5,3,IF(D2694&gt;=2,2,1))))</f>
        <v/>
      </c>
      <c r="H2694" s="128">
        <f>IF(E2694&gt;=5000,5,IF(E2694&gt;=2000,4,IF(E2694&gt;=800,3,IF(E2694&gt;=300,2,1))))</f>
        <v/>
      </c>
      <c r="I2694" s="126">
        <f>TEXT(F2694,"0")&amp;TEXT(G2694,"0")&amp;TEXT(H2694,"0")</f>
        <v/>
      </c>
      <c r="J2694" s="126">
        <f>IFERROR(XLOOKUP(I2694,'Segment Map'!A:A,'Segment Map'!B:B,"Need Attention"),"Need Attention")</f>
        <v/>
      </c>
      <c r="K2694" s="126">
        <f>IF(E2694&gt;=5000,"🏆 Platinum",IF(E2694&gt;=2000,"🥇 Gold",IF(E2694&gt;=800,"🥈 Silver","🥉 Bronze")))</f>
        <v/>
      </c>
      <c r="L2694" s="129" t="n">
        <v>40883</v>
      </c>
    </row>
    <row r="2695">
      <c r="A2695" s="122" t="n">
        <v>16017</v>
      </c>
      <c r="B2695" s="122" t="inlineStr">
        <is>
          <t>United Kingdom</t>
        </is>
      </c>
      <c r="C2695" s="122" t="n">
        <v>48</v>
      </c>
      <c r="D2695" s="122" t="n">
        <v>1</v>
      </c>
      <c r="E2695" s="123" t="n">
        <v>211.88</v>
      </c>
      <c r="F2695" s="124">
        <f>IF(C2695&lt;=30,5,IF(C2695&lt;=60,4,IF(C2695&lt;=120,3,IF(C2695&lt;=200,2,1))))</f>
        <v/>
      </c>
      <c r="G2695" s="124">
        <f>IF(D2695&gt;=20,5,IF(D2695&gt;=10,4,IF(D2695&gt;=5,3,IF(D2695&gt;=2,2,1))))</f>
        <v/>
      </c>
      <c r="H2695" s="124">
        <f>IF(E2695&gt;=5000,5,IF(E2695&gt;=2000,4,IF(E2695&gt;=800,3,IF(E2695&gt;=300,2,1))))</f>
        <v/>
      </c>
      <c r="I2695" s="122">
        <f>TEXT(F2695,"0")&amp;TEXT(G2695,"0")&amp;TEXT(H2695,"0")</f>
        <v/>
      </c>
      <c r="J2695" s="122">
        <f>IFERROR(XLOOKUP(I2695,'Segment Map'!A:A,'Segment Map'!B:B,"Need Attention"),"Need Attention")</f>
        <v/>
      </c>
      <c r="K2695" s="122">
        <f>IF(E2695&gt;=5000,"🏆 Platinum",IF(E2695&gt;=2000,"🥇 Gold",IF(E2695&gt;=800,"🥈 Silver","🥉 Bronze")))</f>
        <v/>
      </c>
      <c r="L2695" s="125" t="n">
        <v>40839</v>
      </c>
    </row>
    <row r="2696">
      <c r="A2696" s="126" t="n">
        <v>16018</v>
      </c>
      <c r="B2696" s="126" t="inlineStr">
        <is>
          <t>United Kingdom</t>
        </is>
      </c>
      <c r="C2696" s="126" t="n">
        <v>40</v>
      </c>
      <c r="D2696" s="126" t="n">
        <v>2</v>
      </c>
      <c r="E2696" s="127" t="n">
        <v>408.9</v>
      </c>
      <c r="F2696" s="128">
        <f>IF(C2696&lt;=30,5,IF(C2696&lt;=60,4,IF(C2696&lt;=120,3,IF(C2696&lt;=200,2,1))))</f>
        <v/>
      </c>
      <c r="G2696" s="128">
        <f>IF(D2696&gt;=20,5,IF(D2696&gt;=10,4,IF(D2696&gt;=5,3,IF(D2696&gt;=2,2,1))))</f>
        <v/>
      </c>
      <c r="H2696" s="128">
        <f>IF(E2696&gt;=5000,5,IF(E2696&gt;=2000,4,IF(E2696&gt;=800,3,IF(E2696&gt;=300,2,1))))</f>
        <v/>
      </c>
      <c r="I2696" s="126">
        <f>TEXT(F2696,"0")&amp;TEXT(G2696,"0")&amp;TEXT(H2696,"0")</f>
        <v/>
      </c>
      <c r="J2696" s="126">
        <f>IFERROR(XLOOKUP(I2696,'Segment Map'!A:A,'Segment Map'!B:B,"Need Attention"),"Need Attention")</f>
        <v/>
      </c>
      <c r="K2696" s="126">
        <f>IF(E2696&gt;=5000,"🏆 Platinum",IF(E2696&gt;=2000,"🥇 Gold",IF(E2696&gt;=800,"🥈 Silver","🥉 Bronze")))</f>
        <v/>
      </c>
      <c r="L2696" s="129" t="n">
        <v>40847</v>
      </c>
    </row>
    <row r="2697">
      <c r="A2697" s="122" t="n">
        <v>16019</v>
      </c>
      <c r="B2697" s="122" t="inlineStr">
        <is>
          <t>United Kingdom</t>
        </is>
      </c>
      <c r="C2697" s="122" t="n">
        <v>47</v>
      </c>
      <c r="D2697" s="122" t="n">
        <v>9</v>
      </c>
      <c r="E2697" s="123" t="n">
        <v>3786.24</v>
      </c>
      <c r="F2697" s="124">
        <f>IF(C2697&lt;=30,5,IF(C2697&lt;=60,4,IF(C2697&lt;=120,3,IF(C2697&lt;=200,2,1))))</f>
        <v/>
      </c>
      <c r="G2697" s="124">
        <f>IF(D2697&gt;=20,5,IF(D2697&gt;=10,4,IF(D2697&gt;=5,3,IF(D2697&gt;=2,2,1))))</f>
        <v/>
      </c>
      <c r="H2697" s="124">
        <f>IF(E2697&gt;=5000,5,IF(E2697&gt;=2000,4,IF(E2697&gt;=800,3,IF(E2697&gt;=300,2,1))))</f>
        <v/>
      </c>
      <c r="I2697" s="122">
        <f>TEXT(F2697,"0")&amp;TEXT(G2697,"0")&amp;TEXT(H2697,"0")</f>
        <v/>
      </c>
      <c r="J2697" s="122">
        <f>IFERROR(XLOOKUP(I2697,'Segment Map'!A:A,'Segment Map'!B:B,"Need Attention"),"Need Attention")</f>
        <v/>
      </c>
      <c r="K2697" s="122">
        <f>IF(E2697&gt;=5000,"🏆 Platinum",IF(E2697&gt;=2000,"🥇 Gold",IF(E2697&gt;=800,"🥈 Silver","🥉 Bronze")))</f>
        <v/>
      </c>
      <c r="L2697" s="125" t="n">
        <v>40840</v>
      </c>
    </row>
    <row r="2698">
      <c r="A2698" s="126" t="n">
        <v>16020</v>
      </c>
      <c r="B2698" s="126" t="inlineStr">
        <is>
          <t>United Kingdom</t>
        </is>
      </c>
      <c r="C2698" s="126" t="n">
        <v>17</v>
      </c>
      <c r="D2698" s="126" t="n">
        <v>3</v>
      </c>
      <c r="E2698" s="127" t="n">
        <v>851.01</v>
      </c>
      <c r="F2698" s="128">
        <f>IF(C2698&lt;=30,5,IF(C2698&lt;=60,4,IF(C2698&lt;=120,3,IF(C2698&lt;=200,2,1))))</f>
        <v/>
      </c>
      <c r="G2698" s="128">
        <f>IF(D2698&gt;=20,5,IF(D2698&gt;=10,4,IF(D2698&gt;=5,3,IF(D2698&gt;=2,2,1))))</f>
        <v/>
      </c>
      <c r="H2698" s="128">
        <f>IF(E2698&gt;=5000,5,IF(E2698&gt;=2000,4,IF(E2698&gt;=800,3,IF(E2698&gt;=300,2,1))))</f>
        <v/>
      </c>
      <c r="I2698" s="126">
        <f>TEXT(F2698,"0")&amp;TEXT(G2698,"0")&amp;TEXT(H2698,"0")</f>
        <v/>
      </c>
      <c r="J2698" s="126">
        <f>IFERROR(XLOOKUP(I2698,'Segment Map'!A:A,'Segment Map'!B:B,"Need Attention"),"Need Attention")</f>
        <v/>
      </c>
      <c r="K2698" s="126">
        <f>IF(E2698&gt;=5000,"🏆 Platinum",IF(E2698&gt;=2000,"🥇 Gold",IF(E2698&gt;=800,"🥈 Silver","🥉 Bronze")))</f>
        <v/>
      </c>
      <c r="L2698" s="129" t="n">
        <v>40870</v>
      </c>
    </row>
    <row r="2699">
      <c r="A2699" s="122" t="n">
        <v>16022</v>
      </c>
      <c r="B2699" s="122" t="inlineStr">
        <is>
          <t>United Kingdom</t>
        </is>
      </c>
      <c r="C2699" s="122" t="n">
        <v>261</v>
      </c>
      <c r="D2699" s="122" t="n">
        <v>1</v>
      </c>
      <c r="E2699" s="123" t="n">
        <v>628.28</v>
      </c>
      <c r="F2699" s="124">
        <f>IF(C2699&lt;=30,5,IF(C2699&lt;=60,4,IF(C2699&lt;=120,3,IF(C2699&lt;=200,2,1))))</f>
        <v/>
      </c>
      <c r="G2699" s="124">
        <f>IF(D2699&gt;=20,5,IF(D2699&gt;=10,4,IF(D2699&gt;=5,3,IF(D2699&gt;=2,2,1))))</f>
        <v/>
      </c>
      <c r="H2699" s="124">
        <f>IF(E2699&gt;=5000,5,IF(E2699&gt;=2000,4,IF(E2699&gt;=800,3,IF(E2699&gt;=300,2,1))))</f>
        <v/>
      </c>
      <c r="I2699" s="122">
        <f>TEXT(F2699,"0")&amp;TEXT(G2699,"0")&amp;TEXT(H2699,"0")</f>
        <v/>
      </c>
      <c r="J2699" s="122">
        <f>IFERROR(XLOOKUP(I2699,'Segment Map'!A:A,'Segment Map'!B:B,"Need Attention"),"Need Attention")</f>
        <v/>
      </c>
      <c r="K2699" s="122">
        <f>IF(E2699&gt;=5000,"🏆 Platinum",IF(E2699&gt;=2000,"🥇 Gold",IF(E2699&gt;=800,"🥈 Silver","🥉 Bronze")))</f>
        <v/>
      </c>
      <c r="L2699" s="125" t="n">
        <v>40626</v>
      </c>
    </row>
    <row r="2700">
      <c r="A2700" s="126" t="n">
        <v>16023</v>
      </c>
      <c r="B2700" s="126" t="inlineStr">
        <is>
          <t>United Kingdom</t>
        </is>
      </c>
      <c r="C2700" s="126" t="n">
        <v>47</v>
      </c>
      <c r="D2700" s="126" t="n">
        <v>3</v>
      </c>
      <c r="E2700" s="127" t="n">
        <v>719.8099999999999</v>
      </c>
      <c r="F2700" s="128">
        <f>IF(C2700&lt;=30,5,IF(C2700&lt;=60,4,IF(C2700&lt;=120,3,IF(C2700&lt;=200,2,1))))</f>
        <v/>
      </c>
      <c r="G2700" s="128">
        <f>IF(D2700&gt;=20,5,IF(D2700&gt;=10,4,IF(D2700&gt;=5,3,IF(D2700&gt;=2,2,1))))</f>
        <v/>
      </c>
      <c r="H2700" s="128">
        <f>IF(E2700&gt;=5000,5,IF(E2700&gt;=2000,4,IF(E2700&gt;=800,3,IF(E2700&gt;=300,2,1))))</f>
        <v/>
      </c>
      <c r="I2700" s="126">
        <f>TEXT(F2700,"0")&amp;TEXT(G2700,"0")&amp;TEXT(H2700,"0")</f>
        <v/>
      </c>
      <c r="J2700" s="126">
        <f>IFERROR(XLOOKUP(I2700,'Segment Map'!A:A,'Segment Map'!B:B,"Need Attention"),"Need Attention")</f>
        <v/>
      </c>
      <c r="K2700" s="126">
        <f>IF(E2700&gt;=5000,"🏆 Platinum",IF(E2700&gt;=2000,"🥇 Gold",IF(E2700&gt;=800,"🥈 Silver","🥉 Bronze")))</f>
        <v/>
      </c>
      <c r="L2700" s="129" t="n">
        <v>40840</v>
      </c>
    </row>
    <row r="2701">
      <c r="A2701" s="122" t="n">
        <v>16024</v>
      </c>
      <c r="B2701" s="122" t="inlineStr">
        <is>
          <t>United Kingdom</t>
        </is>
      </c>
      <c r="C2701" s="122" t="n">
        <v>13</v>
      </c>
      <c r="D2701" s="122" t="n">
        <v>1</v>
      </c>
      <c r="E2701" s="123" t="n">
        <v>251.24</v>
      </c>
      <c r="F2701" s="124">
        <f>IF(C2701&lt;=30,5,IF(C2701&lt;=60,4,IF(C2701&lt;=120,3,IF(C2701&lt;=200,2,1))))</f>
        <v/>
      </c>
      <c r="G2701" s="124">
        <f>IF(D2701&gt;=20,5,IF(D2701&gt;=10,4,IF(D2701&gt;=5,3,IF(D2701&gt;=2,2,1))))</f>
        <v/>
      </c>
      <c r="H2701" s="124">
        <f>IF(E2701&gt;=5000,5,IF(E2701&gt;=2000,4,IF(E2701&gt;=800,3,IF(E2701&gt;=300,2,1))))</f>
        <v/>
      </c>
      <c r="I2701" s="122">
        <f>TEXT(F2701,"0")&amp;TEXT(G2701,"0")&amp;TEXT(H2701,"0")</f>
        <v/>
      </c>
      <c r="J2701" s="122">
        <f>IFERROR(XLOOKUP(I2701,'Segment Map'!A:A,'Segment Map'!B:B,"Need Attention"),"Need Attention")</f>
        <v/>
      </c>
      <c r="K2701" s="122">
        <f>IF(E2701&gt;=5000,"🏆 Platinum",IF(E2701&gt;=2000,"🥇 Gold",IF(E2701&gt;=800,"🥈 Silver","🥉 Bronze")))</f>
        <v/>
      </c>
      <c r="L2701" s="125" t="n">
        <v>40874</v>
      </c>
    </row>
    <row r="2702">
      <c r="A2702" s="126" t="n">
        <v>16025</v>
      </c>
      <c r="B2702" s="126" t="inlineStr">
        <is>
          <t>United Kingdom</t>
        </is>
      </c>
      <c r="C2702" s="126" t="n">
        <v>30</v>
      </c>
      <c r="D2702" s="126" t="n">
        <v>1</v>
      </c>
      <c r="E2702" s="127" t="n">
        <v>439.66</v>
      </c>
      <c r="F2702" s="128">
        <f>IF(C2702&lt;=30,5,IF(C2702&lt;=60,4,IF(C2702&lt;=120,3,IF(C2702&lt;=200,2,1))))</f>
        <v/>
      </c>
      <c r="G2702" s="128">
        <f>IF(D2702&gt;=20,5,IF(D2702&gt;=10,4,IF(D2702&gt;=5,3,IF(D2702&gt;=2,2,1))))</f>
        <v/>
      </c>
      <c r="H2702" s="128">
        <f>IF(E2702&gt;=5000,5,IF(E2702&gt;=2000,4,IF(E2702&gt;=800,3,IF(E2702&gt;=300,2,1))))</f>
        <v/>
      </c>
      <c r="I2702" s="126">
        <f>TEXT(F2702,"0")&amp;TEXT(G2702,"0")&amp;TEXT(H2702,"0")</f>
        <v/>
      </c>
      <c r="J2702" s="126">
        <f>IFERROR(XLOOKUP(I2702,'Segment Map'!A:A,'Segment Map'!B:B,"Need Attention"),"Need Attention")</f>
        <v/>
      </c>
      <c r="K2702" s="126">
        <f>IF(E2702&gt;=5000,"🏆 Platinum",IF(E2702&gt;=2000,"🥇 Gold",IF(E2702&gt;=800,"🥈 Silver","🥉 Bronze")))</f>
        <v/>
      </c>
      <c r="L2702" s="129" t="n">
        <v>40857</v>
      </c>
    </row>
    <row r="2703">
      <c r="A2703" s="122" t="n">
        <v>16026</v>
      </c>
      <c r="B2703" s="122" t="inlineStr">
        <is>
          <t>United Kingdom</t>
        </is>
      </c>
      <c r="C2703" s="122" t="n">
        <v>44</v>
      </c>
      <c r="D2703" s="122" t="n">
        <v>1</v>
      </c>
      <c r="E2703" s="123" t="n">
        <v>236.09</v>
      </c>
      <c r="F2703" s="124">
        <f>IF(C2703&lt;=30,5,IF(C2703&lt;=60,4,IF(C2703&lt;=120,3,IF(C2703&lt;=200,2,1))))</f>
        <v/>
      </c>
      <c r="G2703" s="124">
        <f>IF(D2703&gt;=20,5,IF(D2703&gt;=10,4,IF(D2703&gt;=5,3,IF(D2703&gt;=2,2,1))))</f>
        <v/>
      </c>
      <c r="H2703" s="124">
        <f>IF(E2703&gt;=5000,5,IF(E2703&gt;=2000,4,IF(E2703&gt;=800,3,IF(E2703&gt;=300,2,1))))</f>
        <v/>
      </c>
      <c r="I2703" s="122">
        <f>TEXT(F2703,"0")&amp;TEXT(G2703,"0")&amp;TEXT(H2703,"0")</f>
        <v/>
      </c>
      <c r="J2703" s="122">
        <f>IFERROR(XLOOKUP(I2703,'Segment Map'!A:A,'Segment Map'!B:B,"Need Attention"),"Need Attention")</f>
        <v/>
      </c>
      <c r="K2703" s="122">
        <f>IF(E2703&gt;=5000,"🏆 Platinum",IF(E2703&gt;=2000,"🥇 Gold",IF(E2703&gt;=800,"🥈 Silver","🥉 Bronze")))</f>
        <v/>
      </c>
      <c r="L2703" s="125" t="n">
        <v>40843</v>
      </c>
    </row>
    <row r="2704">
      <c r="A2704" s="126" t="n">
        <v>16027</v>
      </c>
      <c r="B2704" s="126" t="inlineStr">
        <is>
          <t>United Kingdom</t>
        </is>
      </c>
      <c r="C2704" s="126" t="n">
        <v>92</v>
      </c>
      <c r="D2704" s="126" t="n">
        <v>6</v>
      </c>
      <c r="E2704" s="127" t="n">
        <v>934.62</v>
      </c>
      <c r="F2704" s="128">
        <f>IF(C2704&lt;=30,5,IF(C2704&lt;=60,4,IF(C2704&lt;=120,3,IF(C2704&lt;=200,2,1))))</f>
        <v/>
      </c>
      <c r="G2704" s="128">
        <f>IF(D2704&gt;=20,5,IF(D2704&gt;=10,4,IF(D2704&gt;=5,3,IF(D2704&gt;=2,2,1))))</f>
        <v/>
      </c>
      <c r="H2704" s="128">
        <f>IF(E2704&gt;=5000,5,IF(E2704&gt;=2000,4,IF(E2704&gt;=800,3,IF(E2704&gt;=300,2,1))))</f>
        <v/>
      </c>
      <c r="I2704" s="126">
        <f>TEXT(F2704,"0")&amp;TEXT(G2704,"0")&amp;TEXT(H2704,"0")</f>
        <v/>
      </c>
      <c r="J2704" s="126">
        <f>IFERROR(XLOOKUP(I2704,'Segment Map'!A:A,'Segment Map'!B:B,"Need Attention"),"Need Attention")</f>
        <v/>
      </c>
      <c r="K2704" s="126">
        <f>IF(E2704&gt;=5000,"🏆 Platinum",IF(E2704&gt;=2000,"🥇 Gold",IF(E2704&gt;=800,"🥈 Silver","🥉 Bronze")))</f>
        <v/>
      </c>
      <c r="L2704" s="129" t="n">
        <v>40795</v>
      </c>
    </row>
    <row r="2705">
      <c r="A2705" s="122" t="n">
        <v>16029</v>
      </c>
      <c r="B2705" s="122" t="inlineStr">
        <is>
          <t>United Kingdom</t>
        </is>
      </c>
      <c r="C2705" s="122" t="n">
        <v>39</v>
      </c>
      <c r="D2705" s="122" t="n">
        <v>63</v>
      </c>
      <c r="E2705" s="123" t="n">
        <v>81024.84</v>
      </c>
      <c r="F2705" s="124">
        <f>IF(C2705&lt;=30,5,IF(C2705&lt;=60,4,IF(C2705&lt;=120,3,IF(C2705&lt;=200,2,1))))</f>
        <v/>
      </c>
      <c r="G2705" s="124">
        <f>IF(D2705&gt;=20,5,IF(D2705&gt;=10,4,IF(D2705&gt;=5,3,IF(D2705&gt;=2,2,1))))</f>
        <v/>
      </c>
      <c r="H2705" s="124">
        <f>IF(E2705&gt;=5000,5,IF(E2705&gt;=2000,4,IF(E2705&gt;=800,3,IF(E2705&gt;=300,2,1))))</f>
        <v/>
      </c>
      <c r="I2705" s="122">
        <f>TEXT(F2705,"0")&amp;TEXT(G2705,"0")&amp;TEXT(H2705,"0")</f>
        <v/>
      </c>
      <c r="J2705" s="122">
        <f>IFERROR(XLOOKUP(I2705,'Segment Map'!A:A,'Segment Map'!B:B,"Need Attention"),"Need Attention")</f>
        <v/>
      </c>
      <c r="K2705" s="122">
        <f>IF(E2705&gt;=5000,"🏆 Platinum",IF(E2705&gt;=2000,"🥇 Gold",IF(E2705&gt;=800,"🥈 Silver","🥉 Bronze")))</f>
        <v/>
      </c>
      <c r="L2705" s="125" t="n">
        <v>40848</v>
      </c>
    </row>
    <row r="2706">
      <c r="A2706" s="126" t="n">
        <v>16030</v>
      </c>
      <c r="B2706" s="126" t="inlineStr">
        <is>
          <t>United Kingdom</t>
        </is>
      </c>
      <c r="C2706" s="126" t="n">
        <v>310</v>
      </c>
      <c r="D2706" s="126" t="n">
        <v>1</v>
      </c>
      <c r="E2706" s="127" t="n">
        <v>331.24</v>
      </c>
      <c r="F2706" s="128">
        <f>IF(C2706&lt;=30,5,IF(C2706&lt;=60,4,IF(C2706&lt;=120,3,IF(C2706&lt;=200,2,1))))</f>
        <v/>
      </c>
      <c r="G2706" s="128">
        <f>IF(D2706&gt;=20,5,IF(D2706&gt;=10,4,IF(D2706&gt;=5,3,IF(D2706&gt;=2,2,1))))</f>
        <v/>
      </c>
      <c r="H2706" s="128">
        <f>IF(E2706&gt;=5000,5,IF(E2706&gt;=2000,4,IF(E2706&gt;=800,3,IF(E2706&gt;=300,2,1))))</f>
        <v/>
      </c>
      <c r="I2706" s="126">
        <f>TEXT(F2706,"0")&amp;TEXT(G2706,"0")&amp;TEXT(H2706,"0")</f>
        <v/>
      </c>
      <c r="J2706" s="126">
        <f>IFERROR(XLOOKUP(I2706,'Segment Map'!A:A,'Segment Map'!B:B,"Need Attention"),"Need Attention")</f>
        <v/>
      </c>
      <c r="K2706" s="126">
        <f>IF(E2706&gt;=5000,"🏆 Platinum",IF(E2706&gt;=2000,"🥇 Gold",IF(E2706&gt;=800,"🥈 Silver","🥉 Bronze")))</f>
        <v/>
      </c>
      <c r="L2706" s="129" t="n">
        <v>40577</v>
      </c>
    </row>
    <row r="2707">
      <c r="A2707" s="122" t="n">
        <v>16031</v>
      </c>
      <c r="B2707" s="122" t="inlineStr">
        <is>
          <t>United Kingdom</t>
        </is>
      </c>
      <c r="C2707" s="122" t="n">
        <v>93</v>
      </c>
      <c r="D2707" s="122" t="n">
        <v>2</v>
      </c>
      <c r="E2707" s="123" t="n">
        <v>548.9400000000001</v>
      </c>
      <c r="F2707" s="124">
        <f>IF(C2707&lt;=30,5,IF(C2707&lt;=60,4,IF(C2707&lt;=120,3,IF(C2707&lt;=200,2,1))))</f>
        <v/>
      </c>
      <c r="G2707" s="124">
        <f>IF(D2707&gt;=20,5,IF(D2707&gt;=10,4,IF(D2707&gt;=5,3,IF(D2707&gt;=2,2,1))))</f>
        <v/>
      </c>
      <c r="H2707" s="124">
        <f>IF(E2707&gt;=5000,5,IF(E2707&gt;=2000,4,IF(E2707&gt;=800,3,IF(E2707&gt;=300,2,1))))</f>
        <v/>
      </c>
      <c r="I2707" s="122">
        <f>TEXT(F2707,"0")&amp;TEXT(G2707,"0")&amp;TEXT(H2707,"0")</f>
        <v/>
      </c>
      <c r="J2707" s="122">
        <f>IFERROR(XLOOKUP(I2707,'Segment Map'!A:A,'Segment Map'!B:B,"Need Attention"),"Need Attention")</f>
        <v/>
      </c>
      <c r="K2707" s="122">
        <f>IF(E2707&gt;=5000,"🏆 Platinum",IF(E2707&gt;=2000,"🥇 Gold",IF(E2707&gt;=800,"🥈 Silver","🥉 Bronze")))</f>
        <v/>
      </c>
      <c r="L2707" s="125" t="n">
        <v>40794</v>
      </c>
    </row>
    <row r="2708">
      <c r="A2708" s="126" t="n">
        <v>16033</v>
      </c>
      <c r="B2708" s="126" t="inlineStr">
        <is>
          <t>United Kingdom</t>
        </is>
      </c>
      <c r="C2708" s="126" t="n">
        <v>6</v>
      </c>
      <c r="D2708" s="126" t="n">
        <v>20</v>
      </c>
      <c r="E2708" s="127" t="n">
        <v>8816.4</v>
      </c>
      <c r="F2708" s="128">
        <f>IF(C2708&lt;=30,5,IF(C2708&lt;=60,4,IF(C2708&lt;=120,3,IF(C2708&lt;=200,2,1))))</f>
        <v/>
      </c>
      <c r="G2708" s="128">
        <f>IF(D2708&gt;=20,5,IF(D2708&gt;=10,4,IF(D2708&gt;=5,3,IF(D2708&gt;=2,2,1))))</f>
        <v/>
      </c>
      <c r="H2708" s="128">
        <f>IF(E2708&gt;=5000,5,IF(E2708&gt;=2000,4,IF(E2708&gt;=800,3,IF(E2708&gt;=300,2,1))))</f>
        <v/>
      </c>
      <c r="I2708" s="126">
        <f>TEXT(F2708,"0")&amp;TEXT(G2708,"0")&amp;TEXT(H2708,"0")</f>
        <v/>
      </c>
      <c r="J2708" s="126">
        <f>IFERROR(XLOOKUP(I2708,'Segment Map'!A:A,'Segment Map'!B:B,"Need Attention"),"Need Attention")</f>
        <v/>
      </c>
      <c r="K2708" s="126">
        <f>IF(E2708&gt;=5000,"🏆 Platinum",IF(E2708&gt;=2000,"🥇 Gold",IF(E2708&gt;=800,"🥈 Silver","🥉 Bronze")))</f>
        <v/>
      </c>
      <c r="L2708" s="129" t="n">
        <v>40881</v>
      </c>
    </row>
    <row r="2709">
      <c r="A2709" s="122" t="n">
        <v>16034</v>
      </c>
      <c r="B2709" s="122" t="inlineStr">
        <is>
          <t>United Kingdom</t>
        </is>
      </c>
      <c r="C2709" s="122" t="n">
        <v>197</v>
      </c>
      <c r="D2709" s="122" t="n">
        <v>3</v>
      </c>
      <c r="E2709" s="123" t="n">
        <v>437.7</v>
      </c>
      <c r="F2709" s="124">
        <f>IF(C2709&lt;=30,5,IF(C2709&lt;=60,4,IF(C2709&lt;=120,3,IF(C2709&lt;=200,2,1))))</f>
        <v/>
      </c>
      <c r="G2709" s="124">
        <f>IF(D2709&gt;=20,5,IF(D2709&gt;=10,4,IF(D2709&gt;=5,3,IF(D2709&gt;=2,2,1))))</f>
        <v/>
      </c>
      <c r="H2709" s="124">
        <f>IF(E2709&gt;=5000,5,IF(E2709&gt;=2000,4,IF(E2709&gt;=800,3,IF(E2709&gt;=300,2,1))))</f>
        <v/>
      </c>
      <c r="I2709" s="122">
        <f>TEXT(F2709,"0")&amp;TEXT(G2709,"0")&amp;TEXT(H2709,"0")</f>
        <v/>
      </c>
      <c r="J2709" s="122">
        <f>IFERROR(XLOOKUP(I2709,'Segment Map'!A:A,'Segment Map'!B:B,"Need Attention"),"Need Attention")</f>
        <v/>
      </c>
      <c r="K2709" s="122">
        <f>IF(E2709&gt;=5000,"🏆 Platinum",IF(E2709&gt;=2000,"🥇 Gold",IF(E2709&gt;=800,"🥈 Silver","🥉 Bronze")))</f>
        <v/>
      </c>
      <c r="L2709" s="125" t="n">
        <v>40690</v>
      </c>
    </row>
    <row r="2710">
      <c r="A2710" s="126" t="n">
        <v>16036</v>
      </c>
      <c r="B2710" s="126" t="inlineStr">
        <is>
          <t>United Kingdom</t>
        </is>
      </c>
      <c r="C2710" s="126" t="n">
        <v>88</v>
      </c>
      <c r="D2710" s="126" t="n">
        <v>2</v>
      </c>
      <c r="E2710" s="127" t="n">
        <v>758.92</v>
      </c>
      <c r="F2710" s="128">
        <f>IF(C2710&lt;=30,5,IF(C2710&lt;=60,4,IF(C2710&lt;=120,3,IF(C2710&lt;=200,2,1))))</f>
        <v/>
      </c>
      <c r="G2710" s="128">
        <f>IF(D2710&gt;=20,5,IF(D2710&gt;=10,4,IF(D2710&gt;=5,3,IF(D2710&gt;=2,2,1))))</f>
        <v/>
      </c>
      <c r="H2710" s="128">
        <f>IF(E2710&gt;=5000,5,IF(E2710&gt;=2000,4,IF(E2710&gt;=800,3,IF(E2710&gt;=300,2,1))))</f>
        <v/>
      </c>
      <c r="I2710" s="126">
        <f>TEXT(F2710,"0")&amp;TEXT(G2710,"0")&amp;TEXT(H2710,"0")</f>
        <v/>
      </c>
      <c r="J2710" s="126">
        <f>IFERROR(XLOOKUP(I2710,'Segment Map'!A:A,'Segment Map'!B:B,"Need Attention"),"Need Attention")</f>
        <v/>
      </c>
      <c r="K2710" s="126">
        <f>IF(E2710&gt;=5000,"🏆 Platinum",IF(E2710&gt;=2000,"🥇 Gold",IF(E2710&gt;=800,"🥈 Silver","🥉 Bronze")))</f>
        <v/>
      </c>
      <c r="L2710" s="129" t="n">
        <v>40799</v>
      </c>
    </row>
    <row r="2711">
      <c r="A2711" s="122" t="n">
        <v>16037</v>
      </c>
      <c r="B2711" s="122" t="inlineStr">
        <is>
          <t>United Kingdom</t>
        </is>
      </c>
      <c r="C2711" s="122" t="n">
        <v>270</v>
      </c>
      <c r="D2711" s="122" t="n">
        <v>3</v>
      </c>
      <c r="E2711" s="123" t="n">
        <v>855.02</v>
      </c>
      <c r="F2711" s="124">
        <f>IF(C2711&lt;=30,5,IF(C2711&lt;=60,4,IF(C2711&lt;=120,3,IF(C2711&lt;=200,2,1))))</f>
        <v/>
      </c>
      <c r="G2711" s="124">
        <f>IF(D2711&gt;=20,5,IF(D2711&gt;=10,4,IF(D2711&gt;=5,3,IF(D2711&gt;=2,2,1))))</f>
        <v/>
      </c>
      <c r="H2711" s="124">
        <f>IF(E2711&gt;=5000,5,IF(E2711&gt;=2000,4,IF(E2711&gt;=800,3,IF(E2711&gt;=300,2,1))))</f>
        <v/>
      </c>
      <c r="I2711" s="122">
        <f>TEXT(F2711,"0")&amp;TEXT(G2711,"0")&amp;TEXT(H2711,"0")</f>
        <v/>
      </c>
      <c r="J2711" s="122">
        <f>IFERROR(XLOOKUP(I2711,'Segment Map'!A:A,'Segment Map'!B:B,"Need Attention"),"Need Attention")</f>
        <v/>
      </c>
      <c r="K2711" s="122">
        <f>IF(E2711&gt;=5000,"🏆 Platinum",IF(E2711&gt;=2000,"🥇 Gold",IF(E2711&gt;=800,"🥈 Silver","🥉 Bronze")))</f>
        <v/>
      </c>
      <c r="L2711" s="125" t="n">
        <v>40617</v>
      </c>
    </row>
    <row r="2712">
      <c r="A2712" s="126" t="n">
        <v>16038</v>
      </c>
      <c r="B2712" s="126" t="inlineStr">
        <is>
          <t>United Kingdom</t>
        </is>
      </c>
      <c r="C2712" s="126" t="n">
        <v>8</v>
      </c>
      <c r="D2712" s="126" t="n">
        <v>3</v>
      </c>
      <c r="E2712" s="127" t="n">
        <v>471.78</v>
      </c>
      <c r="F2712" s="128">
        <f>IF(C2712&lt;=30,5,IF(C2712&lt;=60,4,IF(C2712&lt;=120,3,IF(C2712&lt;=200,2,1))))</f>
        <v/>
      </c>
      <c r="G2712" s="128">
        <f>IF(D2712&gt;=20,5,IF(D2712&gt;=10,4,IF(D2712&gt;=5,3,IF(D2712&gt;=2,2,1))))</f>
        <v/>
      </c>
      <c r="H2712" s="128">
        <f>IF(E2712&gt;=5000,5,IF(E2712&gt;=2000,4,IF(E2712&gt;=800,3,IF(E2712&gt;=300,2,1))))</f>
        <v/>
      </c>
      <c r="I2712" s="126">
        <f>TEXT(F2712,"0")&amp;TEXT(G2712,"0")&amp;TEXT(H2712,"0")</f>
        <v/>
      </c>
      <c r="J2712" s="126">
        <f>IFERROR(XLOOKUP(I2712,'Segment Map'!A:A,'Segment Map'!B:B,"Need Attention"),"Need Attention")</f>
        <v/>
      </c>
      <c r="K2712" s="126">
        <f>IF(E2712&gt;=5000,"🏆 Platinum",IF(E2712&gt;=2000,"🥇 Gold",IF(E2712&gt;=800,"🥈 Silver","🥉 Bronze")))</f>
        <v/>
      </c>
      <c r="L2712" s="129" t="n">
        <v>40879</v>
      </c>
    </row>
    <row r="2713">
      <c r="A2713" s="122" t="n">
        <v>16040</v>
      </c>
      <c r="B2713" s="122" t="inlineStr">
        <is>
          <t>United Kingdom</t>
        </is>
      </c>
      <c r="C2713" s="122" t="n">
        <v>66</v>
      </c>
      <c r="D2713" s="122" t="n">
        <v>3</v>
      </c>
      <c r="E2713" s="123" t="n">
        <v>1313.55</v>
      </c>
      <c r="F2713" s="124">
        <f>IF(C2713&lt;=30,5,IF(C2713&lt;=60,4,IF(C2713&lt;=120,3,IF(C2713&lt;=200,2,1))))</f>
        <v/>
      </c>
      <c r="G2713" s="124">
        <f>IF(D2713&gt;=20,5,IF(D2713&gt;=10,4,IF(D2713&gt;=5,3,IF(D2713&gt;=2,2,1))))</f>
        <v/>
      </c>
      <c r="H2713" s="124">
        <f>IF(E2713&gt;=5000,5,IF(E2713&gt;=2000,4,IF(E2713&gt;=800,3,IF(E2713&gt;=300,2,1))))</f>
        <v/>
      </c>
      <c r="I2713" s="122">
        <f>TEXT(F2713,"0")&amp;TEXT(G2713,"0")&amp;TEXT(H2713,"0")</f>
        <v/>
      </c>
      <c r="J2713" s="122">
        <f>IFERROR(XLOOKUP(I2713,'Segment Map'!A:A,'Segment Map'!B:B,"Need Attention"),"Need Attention")</f>
        <v/>
      </c>
      <c r="K2713" s="122">
        <f>IF(E2713&gt;=5000,"🏆 Platinum",IF(E2713&gt;=2000,"🥇 Gold",IF(E2713&gt;=800,"🥈 Silver","🥉 Bronze")))</f>
        <v/>
      </c>
      <c r="L2713" s="125" t="n">
        <v>40821</v>
      </c>
    </row>
    <row r="2714">
      <c r="A2714" s="126" t="n">
        <v>16041</v>
      </c>
      <c r="B2714" s="126" t="inlineStr">
        <is>
          <t>United Kingdom</t>
        </is>
      </c>
      <c r="C2714" s="126" t="n">
        <v>31</v>
      </c>
      <c r="D2714" s="126" t="n">
        <v>3</v>
      </c>
      <c r="E2714" s="127" t="n">
        <v>3166.4</v>
      </c>
      <c r="F2714" s="128">
        <f>IF(C2714&lt;=30,5,IF(C2714&lt;=60,4,IF(C2714&lt;=120,3,IF(C2714&lt;=200,2,1))))</f>
        <v/>
      </c>
      <c r="G2714" s="128">
        <f>IF(D2714&gt;=20,5,IF(D2714&gt;=10,4,IF(D2714&gt;=5,3,IF(D2714&gt;=2,2,1))))</f>
        <v/>
      </c>
      <c r="H2714" s="128">
        <f>IF(E2714&gt;=5000,5,IF(E2714&gt;=2000,4,IF(E2714&gt;=800,3,IF(E2714&gt;=300,2,1))))</f>
        <v/>
      </c>
      <c r="I2714" s="126">
        <f>TEXT(F2714,"0")&amp;TEXT(G2714,"0")&amp;TEXT(H2714,"0")</f>
        <v/>
      </c>
      <c r="J2714" s="126">
        <f>IFERROR(XLOOKUP(I2714,'Segment Map'!A:A,'Segment Map'!B:B,"Need Attention"),"Need Attention")</f>
        <v/>
      </c>
      <c r="K2714" s="126">
        <f>IF(E2714&gt;=5000,"🏆 Platinum",IF(E2714&gt;=2000,"🥇 Gold",IF(E2714&gt;=800,"🥈 Silver","🥉 Bronze")))</f>
        <v/>
      </c>
      <c r="L2714" s="129" t="n">
        <v>40856</v>
      </c>
    </row>
    <row r="2715">
      <c r="A2715" s="122" t="n">
        <v>16042</v>
      </c>
      <c r="B2715" s="122" t="inlineStr">
        <is>
          <t>United Kingdom</t>
        </is>
      </c>
      <c r="C2715" s="122" t="n">
        <v>23</v>
      </c>
      <c r="D2715" s="122" t="n">
        <v>5</v>
      </c>
      <c r="E2715" s="123" t="n">
        <v>1197.27</v>
      </c>
      <c r="F2715" s="124">
        <f>IF(C2715&lt;=30,5,IF(C2715&lt;=60,4,IF(C2715&lt;=120,3,IF(C2715&lt;=200,2,1))))</f>
        <v/>
      </c>
      <c r="G2715" s="124">
        <f>IF(D2715&gt;=20,5,IF(D2715&gt;=10,4,IF(D2715&gt;=5,3,IF(D2715&gt;=2,2,1))))</f>
        <v/>
      </c>
      <c r="H2715" s="124">
        <f>IF(E2715&gt;=5000,5,IF(E2715&gt;=2000,4,IF(E2715&gt;=800,3,IF(E2715&gt;=300,2,1))))</f>
        <v/>
      </c>
      <c r="I2715" s="122">
        <f>TEXT(F2715,"0")&amp;TEXT(G2715,"0")&amp;TEXT(H2715,"0")</f>
        <v/>
      </c>
      <c r="J2715" s="122">
        <f>IFERROR(XLOOKUP(I2715,'Segment Map'!A:A,'Segment Map'!B:B,"Need Attention"),"Need Attention")</f>
        <v/>
      </c>
      <c r="K2715" s="122">
        <f>IF(E2715&gt;=5000,"🏆 Platinum",IF(E2715&gt;=2000,"🥇 Gold",IF(E2715&gt;=800,"🥈 Silver","🥉 Bronze")))</f>
        <v/>
      </c>
      <c r="L2715" s="125" t="n">
        <v>40864</v>
      </c>
    </row>
    <row r="2716">
      <c r="A2716" s="126" t="n">
        <v>16043</v>
      </c>
      <c r="B2716" s="126" t="inlineStr">
        <is>
          <t>United Kingdom</t>
        </is>
      </c>
      <c r="C2716" s="126" t="n">
        <v>38</v>
      </c>
      <c r="D2716" s="126" t="n">
        <v>4</v>
      </c>
      <c r="E2716" s="127" t="n">
        <v>773.99</v>
      </c>
      <c r="F2716" s="128">
        <f>IF(C2716&lt;=30,5,IF(C2716&lt;=60,4,IF(C2716&lt;=120,3,IF(C2716&lt;=200,2,1))))</f>
        <v/>
      </c>
      <c r="G2716" s="128">
        <f>IF(D2716&gt;=20,5,IF(D2716&gt;=10,4,IF(D2716&gt;=5,3,IF(D2716&gt;=2,2,1))))</f>
        <v/>
      </c>
      <c r="H2716" s="128">
        <f>IF(E2716&gt;=5000,5,IF(E2716&gt;=2000,4,IF(E2716&gt;=800,3,IF(E2716&gt;=300,2,1))))</f>
        <v/>
      </c>
      <c r="I2716" s="126">
        <f>TEXT(F2716,"0")&amp;TEXT(G2716,"0")&amp;TEXT(H2716,"0")</f>
        <v/>
      </c>
      <c r="J2716" s="126">
        <f>IFERROR(XLOOKUP(I2716,'Segment Map'!A:A,'Segment Map'!B:B,"Need Attention"),"Need Attention")</f>
        <v/>
      </c>
      <c r="K2716" s="126">
        <f>IF(E2716&gt;=5000,"🏆 Platinum",IF(E2716&gt;=2000,"🥇 Gold",IF(E2716&gt;=800,"🥈 Silver","🥉 Bronze")))</f>
        <v/>
      </c>
      <c r="L2716" s="129" t="n">
        <v>40849</v>
      </c>
    </row>
    <row r="2717">
      <c r="A2717" s="122" t="n">
        <v>16045</v>
      </c>
      <c r="B2717" s="122" t="inlineStr">
        <is>
          <t>United Kingdom</t>
        </is>
      </c>
      <c r="C2717" s="122" t="n">
        <v>120</v>
      </c>
      <c r="D2717" s="122" t="n">
        <v>4</v>
      </c>
      <c r="E2717" s="123" t="n">
        <v>1340.7</v>
      </c>
      <c r="F2717" s="124">
        <f>IF(C2717&lt;=30,5,IF(C2717&lt;=60,4,IF(C2717&lt;=120,3,IF(C2717&lt;=200,2,1))))</f>
        <v/>
      </c>
      <c r="G2717" s="124">
        <f>IF(D2717&gt;=20,5,IF(D2717&gt;=10,4,IF(D2717&gt;=5,3,IF(D2717&gt;=2,2,1))))</f>
        <v/>
      </c>
      <c r="H2717" s="124">
        <f>IF(E2717&gt;=5000,5,IF(E2717&gt;=2000,4,IF(E2717&gt;=800,3,IF(E2717&gt;=300,2,1))))</f>
        <v/>
      </c>
      <c r="I2717" s="122">
        <f>TEXT(F2717,"0")&amp;TEXT(G2717,"0")&amp;TEXT(H2717,"0")</f>
        <v/>
      </c>
      <c r="J2717" s="122">
        <f>IFERROR(XLOOKUP(I2717,'Segment Map'!A:A,'Segment Map'!B:B,"Need Attention"),"Need Attention")</f>
        <v/>
      </c>
      <c r="K2717" s="122">
        <f>IF(E2717&gt;=5000,"🏆 Platinum",IF(E2717&gt;=2000,"🥇 Gold",IF(E2717&gt;=800,"🥈 Silver","🥉 Bronze")))</f>
        <v/>
      </c>
      <c r="L2717" s="125" t="n">
        <v>40767</v>
      </c>
    </row>
    <row r="2718">
      <c r="A2718" s="126" t="n">
        <v>16048</v>
      </c>
      <c r="B2718" s="126" t="inlineStr">
        <is>
          <t>United Kingdom</t>
        </is>
      </c>
      <c r="C2718" s="126" t="n">
        <v>374</v>
      </c>
      <c r="D2718" s="126" t="n">
        <v>2</v>
      </c>
      <c r="E2718" s="127" t="n">
        <v>256.44</v>
      </c>
      <c r="F2718" s="128">
        <f>IF(C2718&lt;=30,5,IF(C2718&lt;=60,4,IF(C2718&lt;=120,3,IF(C2718&lt;=200,2,1))))</f>
        <v/>
      </c>
      <c r="G2718" s="128">
        <f>IF(D2718&gt;=20,5,IF(D2718&gt;=10,4,IF(D2718&gt;=5,3,IF(D2718&gt;=2,2,1))))</f>
        <v/>
      </c>
      <c r="H2718" s="128">
        <f>IF(E2718&gt;=5000,5,IF(E2718&gt;=2000,4,IF(E2718&gt;=800,3,IF(E2718&gt;=300,2,1))))</f>
        <v/>
      </c>
      <c r="I2718" s="126">
        <f>TEXT(F2718,"0")&amp;TEXT(G2718,"0")&amp;TEXT(H2718,"0")</f>
        <v/>
      </c>
      <c r="J2718" s="126">
        <f>IFERROR(XLOOKUP(I2718,'Segment Map'!A:A,'Segment Map'!B:B,"Need Attention"),"Need Attention")</f>
        <v/>
      </c>
      <c r="K2718" s="126">
        <f>IF(E2718&gt;=5000,"🏆 Platinum",IF(E2718&gt;=2000,"🥇 Gold",IF(E2718&gt;=800,"🥈 Silver","🥉 Bronze")))</f>
        <v/>
      </c>
      <c r="L2718" s="129" t="n">
        <v>40513</v>
      </c>
    </row>
    <row r="2719">
      <c r="A2719" s="122" t="n">
        <v>16049</v>
      </c>
      <c r="B2719" s="122" t="inlineStr">
        <is>
          <t>United Kingdom</t>
        </is>
      </c>
      <c r="C2719" s="122" t="n">
        <v>41</v>
      </c>
      <c r="D2719" s="122" t="n">
        <v>3</v>
      </c>
      <c r="E2719" s="123" t="n">
        <v>1111.79</v>
      </c>
      <c r="F2719" s="124">
        <f>IF(C2719&lt;=30,5,IF(C2719&lt;=60,4,IF(C2719&lt;=120,3,IF(C2719&lt;=200,2,1))))</f>
        <v/>
      </c>
      <c r="G2719" s="124">
        <f>IF(D2719&gt;=20,5,IF(D2719&gt;=10,4,IF(D2719&gt;=5,3,IF(D2719&gt;=2,2,1))))</f>
        <v/>
      </c>
      <c r="H2719" s="124">
        <f>IF(E2719&gt;=5000,5,IF(E2719&gt;=2000,4,IF(E2719&gt;=800,3,IF(E2719&gt;=300,2,1))))</f>
        <v/>
      </c>
      <c r="I2719" s="122">
        <f>TEXT(F2719,"0")&amp;TEXT(G2719,"0")&amp;TEXT(H2719,"0")</f>
        <v/>
      </c>
      <c r="J2719" s="122">
        <f>IFERROR(XLOOKUP(I2719,'Segment Map'!A:A,'Segment Map'!B:B,"Need Attention"),"Need Attention")</f>
        <v/>
      </c>
      <c r="K2719" s="122">
        <f>IF(E2719&gt;=5000,"🏆 Platinum",IF(E2719&gt;=2000,"🥇 Gold",IF(E2719&gt;=800,"🥈 Silver","🥉 Bronze")))</f>
        <v/>
      </c>
      <c r="L2719" s="125" t="n">
        <v>40846</v>
      </c>
    </row>
    <row r="2720">
      <c r="A2720" s="126" t="n">
        <v>16050</v>
      </c>
      <c r="B2720" s="126" t="inlineStr">
        <is>
          <t>United Kingdom</t>
        </is>
      </c>
      <c r="C2720" s="126" t="n">
        <v>174</v>
      </c>
      <c r="D2720" s="126" t="n">
        <v>1</v>
      </c>
      <c r="E2720" s="127" t="n">
        <v>137.9</v>
      </c>
      <c r="F2720" s="128">
        <f>IF(C2720&lt;=30,5,IF(C2720&lt;=60,4,IF(C2720&lt;=120,3,IF(C2720&lt;=200,2,1))))</f>
        <v/>
      </c>
      <c r="G2720" s="128">
        <f>IF(D2720&gt;=20,5,IF(D2720&gt;=10,4,IF(D2720&gt;=5,3,IF(D2720&gt;=2,2,1))))</f>
        <v/>
      </c>
      <c r="H2720" s="128">
        <f>IF(E2720&gt;=5000,5,IF(E2720&gt;=2000,4,IF(E2720&gt;=800,3,IF(E2720&gt;=300,2,1))))</f>
        <v/>
      </c>
      <c r="I2720" s="126">
        <f>TEXT(F2720,"0")&amp;TEXT(G2720,"0")&amp;TEXT(H2720,"0")</f>
        <v/>
      </c>
      <c r="J2720" s="126">
        <f>IFERROR(XLOOKUP(I2720,'Segment Map'!A:A,'Segment Map'!B:B,"Need Attention"),"Need Attention")</f>
        <v/>
      </c>
      <c r="K2720" s="126">
        <f>IF(E2720&gt;=5000,"🏆 Platinum",IF(E2720&gt;=2000,"🥇 Gold",IF(E2720&gt;=800,"🥈 Silver","🥉 Bronze")))</f>
        <v/>
      </c>
      <c r="L2720" s="129" t="n">
        <v>40713</v>
      </c>
    </row>
    <row r="2721">
      <c r="A2721" s="122" t="n">
        <v>16052</v>
      </c>
      <c r="B2721" s="122" t="inlineStr">
        <is>
          <t>United Kingdom</t>
        </is>
      </c>
      <c r="C2721" s="122" t="n">
        <v>55</v>
      </c>
      <c r="D2721" s="122" t="n">
        <v>1</v>
      </c>
      <c r="E2721" s="123" t="n">
        <v>362.06</v>
      </c>
      <c r="F2721" s="124">
        <f>IF(C2721&lt;=30,5,IF(C2721&lt;=60,4,IF(C2721&lt;=120,3,IF(C2721&lt;=200,2,1))))</f>
        <v/>
      </c>
      <c r="G2721" s="124">
        <f>IF(D2721&gt;=20,5,IF(D2721&gt;=10,4,IF(D2721&gt;=5,3,IF(D2721&gt;=2,2,1))))</f>
        <v/>
      </c>
      <c r="H2721" s="124">
        <f>IF(E2721&gt;=5000,5,IF(E2721&gt;=2000,4,IF(E2721&gt;=800,3,IF(E2721&gt;=300,2,1))))</f>
        <v/>
      </c>
      <c r="I2721" s="122">
        <f>TEXT(F2721,"0")&amp;TEXT(G2721,"0")&amp;TEXT(H2721,"0")</f>
        <v/>
      </c>
      <c r="J2721" s="122">
        <f>IFERROR(XLOOKUP(I2721,'Segment Map'!A:A,'Segment Map'!B:B,"Need Attention"),"Need Attention")</f>
        <v/>
      </c>
      <c r="K2721" s="122">
        <f>IF(E2721&gt;=5000,"🏆 Platinum",IF(E2721&gt;=2000,"🥇 Gold",IF(E2721&gt;=800,"🥈 Silver","🥉 Bronze")))</f>
        <v/>
      </c>
      <c r="L2721" s="125" t="n">
        <v>40832</v>
      </c>
    </row>
    <row r="2722">
      <c r="A2722" s="126" t="n">
        <v>16053</v>
      </c>
      <c r="B2722" s="126" t="inlineStr">
        <is>
          <t>United Kingdom</t>
        </is>
      </c>
      <c r="C2722" s="126" t="n">
        <v>33</v>
      </c>
      <c r="D2722" s="126" t="n">
        <v>2</v>
      </c>
      <c r="E2722" s="127" t="n">
        <v>1511.95</v>
      </c>
      <c r="F2722" s="128">
        <f>IF(C2722&lt;=30,5,IF(C2722&lt;=60,4,IF(C2722&lt;=120,3,IF(C2722&lt;=200,2,1))))</f>
        <v/>
      </c>
      <c r="G2722" s="128">
        <f>IF(D2722&gt;=20,5,IF(D2722&gt;=10,4,IF(D2722&gt;=5,3,IF(D2722&gt;=2,2,1))))</f>
        <v/>
      </c>
      <c r="H2722" s="128">
        <f>IF(E2722&gt;=5000,5,IF(E2722&gt;=2000,4,IF(E2722&gt;=800,3,IF(E2722&gt;=300,2,1))))</f>
        <v/>
      </c>
      <c r="I2722" s="126">
        <f>TEXT(F2722,"0")&amp;TEXT(G2722,"0")&amp;TEXT(H2722,"0")</f>
        <v/>
      </c>
      <c r="J2722" s="126">
        <f>IFERROR(XLOOKUP(I2722,'Segment Map'!A:A,'Segment Map'!B:B,"Need Attention"),"Need Attention")</f>
        <v/>
      </c>
      <c r="K2722" s="126">
        <f>IF(E2722&gt;=5000,"🏆 Platinum",IF(E2722&gt;=2000,"🥇 Gold",IF(E2722&gt;=800,"🥈 Silver","🥉 Bronze")))</f>
        <v/>
      </c>
      <c r="L2722" s="129" t="n">
        <v>40854</v>
      </c>
    </row>
    <row r="2723">
      <c r="A2723" s="122" t="n">
        <v>16054</v>
      </c>
      <c r="B2723" s="122" t="inlineStr">
        <is>
          <t>United Kingdom</t>
        </is>
      </c>
      <c r="C2723" s="122" t="n">
        <v>146</v>
      </c>
      <c r="D2723" s="122" t="n">
        <v>1</v>
      </c>
      <c r="E2723" s="123" t="n">
        <v>783.9</v>
      </c>
      <c r="F2723" s="124">
        <f>IF(C2723&lt;=30,5,IF(C2723&lt;=60,4,IF(C2723&lt;=120,3,IF(C2723&lt;=200,2,1))))</f>
        <v/>
      </c>
      <c r="G2723" s="124">
        <f>IF(D2723&gt;=20,5,IF(D2723&gt;=10,4,IF(D2723&gt;=5,3,IF(D2723&gt;=2,2,1))))</f>
        <v/>
      </c>
      <c r="H2723" s="124">
        <f>IF(E2723&gt;=5000,5,IF(E2723&gt;=2000,4,IF(E2723&gt;=800,3,IF(E2723&gt;=300,2,1))))</f>
        <v/>
      </c>
      <c r="I2723" s="122">
        <f>TEXT(F2723,"0")&amp;TEXT(G2723,"0")&amp;TEXT(H2723,"0")</f>
        <v/>
      </c>
      <c r="J2723" s="122">
        <f>IFERROR(XLOOKUP(I2723,'Segment Map'!A:A,'Segment Map'!B:B,"Need Attention"),"Need Attention")</f>
        <v/>
      </c>
      <c r="K2723" s="122">
        <f>IF(E2723&gt;=5000,"🏆 Platinum",IF(E2723&gt;=2000,"🥇 Gold",IF(E2723&gt;=800,"🥈 Silver","🥉 Bronze")))</f>
        <v/>
      </c>
      <c r="L2723" s="125" t="n">
        <v>40741</v>
      </c>
    </row>
    <row r="2724">
      <c r="A2724" s="126" t="n">
        <v>16055</v>
      </c>
      <c r="B2724" s="126" t="inlineStr">
        <is>
          <t>United Kingdom</t>
        </is>
      </c>
      <c r="C2724" s="126" t="n">
        <v>221</v>
      </c>
      <c r="D2724" s="126" t="n">
        <v>1</v>
      </c>
      <c r="E2724" s="127" t="n">
        <v>134.8</v>
      </c>
      <c r="F2724" s="128">
        <f>IF(C2724&lt;=30,5,IF(C2724&lt;=60,4,IF(C2724&lt;=120,3,IF(C2724&lt;=200,2,1))))</f>
        <v/>
      </c>
      <c r="G2724" s="128">
        <f>IF(D2724&gt;=20,5,IF(D2724&gt;=10,4,IF(D2724&gt;=5,3,IF(D2724&gt;=2,2,1))))</f>
        <v/>
      </c>
      <c r="H2724" s="128">
        <f>IF(E2724&gt;=5000,5,IF(E2724&gt;=2000,4,IF(E2724&gt;=800,3,IF(E2724&gt;=300,2,1))))</f>
        <v/>
      </c>
      <c r="I2724" s="126">
        <f>TEXT(F2724,"0")&amp;TEXT(G2724,"0")&amp;TEXT(H2724,"0")</f>
        <v/>
      </c>
      <c r="J2724" s="126">
        <f>IFERROR(XLOOKUP(I2724,'Segment Map'!A:A,'Segment Map'!B:B,"Need Attention"),"Need Attention")</f>
        <v/>
      </c>
      <c r="K2724" s="126">
        <f>IF(E2724&gt;=5000,"🏆 Platinum",IF(E2724&gt;=2000,"🥇 Gold",IF(E2724&gt;=800,"🥈 Silver","🥉 Bronze")))</f>
        <v/>
      </c>
      <c r="L2724" s="129" t="n">
        <v>40666</v>
      </c>
    </row>
    <row r="2725">
      <c r="A2725" s="122" t="n">
        <v>16056</v>
      </c>
      <c r="B2725" s="122" t="inlineStr">
        <is>
          <t>United Kingdom</t>
        </is>
      </c>
      <c r="C2725" s="122" t="n">
        <v>46</v>
      </c>
      <c r="D2725" s="122" t="n">
        <v>1</v>
      </c>
      <c r="E2725" s="123" t="n">
        <v>664.85</v>
      </c>
      <c r="F2725" s="124">
        <f>IF(C2725&lt;=30,5,IF(C2725&lt;=60,4,IF(C2725&lt;=120,3,IF(C2725&lt;=200,2,1))))</f>
        <v/>
      </c>
      <c r="G2725" s="124">
        <f>IF(D2725&gt;=20,5,IF(D2725&gt;=10,4,IF(D2725&gt;=5,3,IF(D2725&gt;=2,2,1))))</f>
        <v/>
      </c>
      <c r="H2725" s="124">
        <f>IF(E2725&gt;=5000,5,IF(E2725&gt;=2000,4,IF(E2725&gt;=800,3,IF(E2725&gt;=300,2,1))))</f>
        <v/>
      </c>
      <c r="I2725" s="122">
        <f>TEXT(F2725,"0")&amp;TEXT(G2725,"0")&amp;TEXT(H2725,"0")</f>
        <v/>
      </c>
      <c r="J2725" s="122">
        <f>IFERROR(XLOOKUP(I2725,'Segment Map'!A:A,'Segment Map'!B:B,"Need Attention"),"Need Attention")</f>
        <v/>
      </c>
      <c r="K2725" s="122">
        <f>IF(E2725&gt;=5000,"🏆 Platinum",IF(E2725&gt;=2000,"🥇 Gold",IF(E2725&gt;=800,"🥈 Silver","🥉 Bronze")))</f>
        <v/>
      </c>
      <c r="L2725" s="125" t="n">
        <v>40841</v>
      </c>
    </row>
    <row r="2726">
      <c r="A2726" s="126" t="n">
        <v>16057</v>
      </c>
      <c r="B2726" s="126" t="inlineStr">
        <is>
          <t>United Kingdom</t>
        </is>
      </c>
      <c r="C2726" s="126" t="n">
        <v>17</v>
      </c>
      <c r="D2726" s="126" t="n">
        <v>7</v>
      </c>
      <c r="E2726" s="127" t="n">
        <v>2263.12</v>
      </c>
      <c r="F2726" s="128">
        <f>IF(C2726&lt;=30,5,IF(C2726&lt;=60,4,IF(C2726&lt;=120,3,IF(C2726&lt;=200,2,1))))</f>
        <v/>
      </c>
      <c r="G2726" s="128">
        <f>IF(D2726&gt;=20,5,IF(D2726&gt;=10,4,IF(D2726&gt;=5,3,IF(D2726&gt;=2,2,1))))</f>
        <v/>
      </c>
      <c r="H2726" s="128">
        <f>IF(E2726&gt;=5000,5,IF(E2726&gt;=2000,4,IF(E2726&gt;=800,3,IF(E2726&gt;=300,2,1))))</f>
        <v/>
      </c>
      <c r="I2726" s="126">
        <f>TEXT(F2726,"0")&amp;TEXT(G2726,"0")&amp;TEXT(H2726,"0")</f>
        <v/>
      </c>
      <c r="J2726" s="126">
        <f>IFERROR(XLOOKUP(I2726,'Segment Map'!A:A,'Segment Map'!B:B,"Need Attention"),"Need Attention")</f>
        <v/>
      </c>
      <c r="K2726" s="126">
        <f>IF(E2726&gt;=5000,"🏆 Platinum",IF(E2726&gt;=2000,"🥇 Gold",IF(E2726&gt;=800,"🥈 Silver","🥉 Bronze")))</f>
        <v/>
      </c>
      <c r="L2726" s="129" t="n">
        <v>40870</v>
      </c>
    </row>
    <row r="2727">
      <c r="A2727" s="122" t="n">
        <v>16059</v>
      </c>
      <c r="B2727" s="122" t="inlineStr">
        <is>
          <t>United Kingdom</t>
        </is>
      </c>
      <c r="C2727" s="122" t="n">
        <v>66</v>
      </c>
      <c r="D2727" s="122" t="n">
        <v>6</v>
      </c>
      <c r="E2727" s="123" t="n">
        <v>1459.86</v>
      </c>
      <c r="F2727" s="124">
        <f>IF(C2727&lt;=30,5,IF(C2727&lt;=60,4,IF(C2727&lt;=120,3,IF(C2727&lt;=200,2,1))))</f>
        <v/>
      </c>
      <c r="G2727" s="124">
        <f>IF(D2727&gt;=20,5,IF(D2727&gt;=10,4,IF(D2727&gt;=5,3,IF(D2727&gt;=2,2,1))))</f>
        <v/>
      </c>
      <c r="H2727" s="124">
        <f>IF(E2727&gt;=5000,5,IF(E2727&gt;=2000,4,IF(E2727&gt;=800,3,IF(E2727&gt;=300,2,1))))</f>
        <v/>
      </c>
      <c r="I2727" s="122">
        <f>TEXT(F2727,"0")&amp;TEXT(G2727,"0")&amp;TEXT(H2727,"0")</f>
        <v/>
      </c>
      <c r="J2727" s="122">
        <f>IFERROR(XLOOKUP(I2727,'Segment Map'!A:A,'Segment Map'!B:B,"Need Attention"),"Need Attention")</f>
        <v/>
      </c>
      <c r="K2727" s="122">
        <f>IF(E2727&gt;=5000,"🏆 Platinum",IF(E2727&gt;=2000,"🥇 Gold",IF(E2727&gt;=800,"🥈 Silver","🥉 Bronze")))</f>
        <v/>
      </c>
      <c r="L2727" s="125" t="n">
        <v>40821</v>
      </c>
    </row>
    <row r="2728">
      <c r="A2728" s="126" t="n">
        <v>16062</v>
      </c>
      <c r="B2728" s="126" t="inlineStr">
        <is>
          <t>United Kingdom</t>
        </is>
      </c>
      <c r="C2728" s="126" t="n">
        <v>10</v>
      </c>
      <c r="D2728" s="126" t="n">
        <v>4</v>
      </c>
      <c r="E2728" s="127" t="n">
        <v>1153.62</v>
      </c>
      <c r="F2728" s="128">
        <f>IF(C2728&lt;=30,5,IF(C2728&lt;=60,4,IF(C2728&lt;=120,3,IF(C2728&lt;=200,2,1))))</f>
        <v/>
      </c>
      <c r="G2728" s="128">
        <f>IF(D2728&gt;=20,5,IF(D2728&gt;=10,4,IF(D2728&gt;=5,3,IF(D2728&gt;=2,2,1))))</f>
        <v/>
      </c>
      <c r="H2728" s="128">
        <f>IF(E2728&gt;=5000,5,IF(E2728&gt;=2000,4,IF(E2728&gt;=800,3,IF(E2728&gt;=300,2,1))))</f>
        <v/>
      </c>
      <c r="I2728" s="126">
        <f>TEXT(F2728,"0")&amp;TEXT(G2728,"0")&amp;TEXT(H2728,"0")</f>
        <v/>
      </c>
      <c r="J2728" s="126">
        <f>IFERROR(XLOOKUP(I2728,'Segment Map'!A:A,'Segment Map'!B:B,"Need Attention"),"Need Attention")</f>
        <v/>
      </c>
      <c r="K2728" s="126">
        <f>IF(E2728&gt;=5000,"🏆 Platinum",IF(E2728&gt;=2000,"🥇 Gold",IF(E2728&gt;=800,"🥈 Silver","🥉 Bronze")))</f>
        <v/>
      </c>
      <c r="L2728" s="129" t="n">
        <v>40877</v>
      </c>
    </row>
    <row r="2729">
      <c r="A2729" s="122" t="n">
        <v>16063</v>
      </c>
      <c r="B2729" s="122" t="inlineStr">
        <is>
          <t>United Kingdom</t>
        </is>
      </c>
      <c r="C2729" s="122" t="n">
        <v>261</v>
      </c>
      <c r="D2729" s="122" t="n">
        <v>1</v>
      </c>
      <c r="E2729" s="123" t="n">
        <v>335.32</v>
      </c>
      <c r="F2729" s="124">
        <f>IF(C2729&lt;=30,5,IF(C2729&lt;=60,4,IF(C2729&lt;=120,3,IF(C2729&lt;=200,2,1))))</f>
        <v/>
      </c>
      <c r="G2729" s="124">
        <f>IF(D2729&gt;=20,5,IF(D2729&gt;=10,4,IF(D2729&gt;=5,3,IF(D2729&gt;=2,2,1))))</f>
        <v/>
      </c>
      <c r="H2729" s="124">
        <f>IF(E2729&gt;=5000,5,IF(E2729&gt;=2000,4,IF(E2729&gt;=800,3,IF(E2729&gt;=300,2,1))))</f>
        <v/>
      </c>
      <c r="I2729" s="122">
        <f>TEXT(F2729,"0")&amp;TEXT(G2729,"0")&amp;TEXT(H2729,"0")</f>
        <v/>
      </c>
      <c r="J2729" s="122">
        <f>IFERROR(XLOOKUP(I2729,'Segment Map'!A:A,'Segment Map'!B:B,"Need Attention"),"Need Attention")</f>
        <v/>
      </c>
      <c r="K2729" s="122">
        <f>IF(E2729&gt;=5000,"🏆 Platinum",IF(E2729&gt;=2000,"🥇 Gold",IF(E2729&gt;=800,"🥈 Silver","🥉 Bronze")))</f>
        <v/>
      </c>
      <c r="L2729" s="125" t="n">
        <v>40626</v>
      </c>
    </row>
    <row r="2730">
      <c r="A2730" s="126" t="n">
        <v>16065</v>
      </c>
      <c r="B2730" s="126" t="inlineStr">
        <is>
          <t>United Kingdom</t>
        </is>
      </c>
      <c r="C2730" s="126" t="n">
        <v>366</v>
      </c>
      <c r="D2730" s="126" t="n">
        <v>1</v>
      </c>
      <c r="E2730" s="127" t="n">
        <v>372.09</v>
      </c>
      <c r="F2730" s="128">
        <f>IF(C2730&lt;=30,5,IF(C2730&lt;=60,4,IF(C2730&lt;=120,3,IF(C2730&lt;=200,2,1))))</f>
        <v/>
      </c>
      <c r="G2730" s="128">
        <f>IF(D2730&gt;=20,5,IF(D2730&gt;=10,4,IF(D2730&gt;=5,3,IF(D2730&gt;=2,2,1))))</f>
        <v/>
      </c>
      <c r="H2730" s="128">
        <f>IF(E2730&gt;=5000,5,IF(E2730&gt;=2000,4,IF(E2730&gt;=800,3,IF(E2730&gt;=300,2,1))))</f>
        <v/>
      </c>
      <c r="I2730" s="126">
        <f>TEXT(F2730,"0")&amp;TEXT(G2730,"0")&amp;TEXT(H2730,"0")</f>
        <v/>
      </c>
      <c r="J2730" s="126">
        <f>IFERROR(XLOOKUP(I2730,'Segment Map'!A:A,'Segment Map'!B:B,"Need Attention"),"Need Attention")</f>
        <v/>
      </c>
      <c r="K2730" s="126">
        <f>IF(E2730&gt;=5000,"🏆 Platinum",IF(E2730&gt;=2000,"🥇 Gold",IF(E2730&gt;=800,"🥈 Silver","🥉 Bronze")))</f>
        <v/>
      </c>
      <c r="L2730" s="129" t="n">
        <v>40521</v>
      </c>
    </row>
    <row r="2731">
      <c r="A2731" s="122" t="n">
        <v>16066</v>
      </c>
      <c r="B2731" s="122" t="inlineStr">
        <is>
          <t>United Kingdom</t>
        </is>
      </c>
      <c r="C2731" s="122" t="n">
        <v>17</v>
      </c>
      <c r="D2731" s="122" t="n">
        <v>5</v>
      </c>
      <c r="E2731" s="123" t="n">
        <v>1521.87</v>
      </c>
      <c r="F2731" s="124">
        <f>IF(C2731&lt;=30,5,IF(C2731&lt;=60,4,IF(C2731&lt;=120,3,IF(C2731&lt;=200,2,1))))</f>
        <v/>
      </c>
      <c r="G2731" s="124">
        <f>IF(D2731&gt;=20,5,IF(D2731&gt;=10,4,IF(D2731&gt;=5,3,IF(D2731&gt;=2,2,1))))</f>
        <v/>
      </c>
      <c r="H2731" s="124">
        <f>IF(E2731&gt;=5000,5,IF(E2731&gt;=2000,4,IF(E2731&gt;=800,3,IF(E2731&gt;=300,2,1))))</f>
        <v/>
      </c>
      <c r="I2731" s="122">
        <f>TEXT(F2731,"0")&amp;TEXT(G2731,"0")&amp;TEXT(H2731,"0")</f>
        <v/>
      </c>
      <c r="J2731" s="122">
        <f>IFERROR(XLOOKUP(I2731,'Segment Map'!A:A,'Segment Map'!B:B,"Need Attention"),"Need Attention")</f>
        <v/>
      </c>
      <c r="K2731" s="122">
        <f>IF(E2731&gt;=5000,"🏆 Platinum",IF(E2731&gt;=2000,"🥇 Gold",IF(E2731&gt;=800,"🥈 Silver","🥉 Bronze")))</f>
        <v/>
      </c>
      <c r="L2731" s="125" t="n">
        <v>40870</v>
      </c>
    </row>
    <row r="2732">
      <c r="A2732" s="126" t="n">
        <v>16070</v>
      </c>
      <c r="B2732" s="126" t="inlineStr">
        <is>
          <t>United Kingdom</t>
        </is>
      </c>
      <c r="C2732" s="126" t="n">
        <v>23</v>
      </c>
      <c r="D2732" s="126" t="n">
        <v>2</v>
      </c>
      <c r="E2732" s="127" t="n">
        <v>852.15</v>
      </c>
      <c r="F2732" s="128">
        <f>IF(C2732&lt;=30,5,IF(C2732&lt;=60,4,IF(C2732&lt;=120,3,IF(C2732&lt;=200,2,1))))</f>
        <v/>
      </c>
      <c r="G2732" s="128">
        <f>IF(D2732&gt;=20,5,IF(D2732&gt;=10,4,IF(D2732&gt;=5,3,IF(D2732&gt;=2,2,1))))</f>
        <v/>
      </c>
      <c r="H2732" s="128">
        <f>IF(E2732&gt;=5000,5,IF(E2732&gt;=2000,4,IF(E2732&gt;=800,3,IF(E2732&gt;=300,2,1))))</f>
        <v/>
      </c>
      <c r="I2732" s="126">
        <f>TEXT(F2732,"0")&amp;TEXT(G2732,"0")&amp;TEXT(H2732,"0")</f>
        <v/>
      </c>
      <c r="J2732" s="126">
        <f>IFERROR(XLOOKUP(I2732,'Segment Map'!A:A,'Segment Map'!B:B,"Need Attention"),"Need Attention")</f>
        <v/>
      </c>
      <c r="K2732" s="126">
        <f>IF(E2732&gt;=5000,"🏆 Platinum",IF(E2732&gt;=2000,"🥇 Gold",IF(E2732&gt;=800,"🥈 Silver","🥉 Bronze")))</f>
        <v/>
      </c>
      <c r="L2732" s="129" t="n">
        <v>40864</v>
      </c>
    </row>
    <row r="2733">
      <c r="A2733" s="122" t="n">
        <v>16071</v>
      </c>
      <c r="B2733" s="122" t="inlineStr">
        <is>
          <t>United Kingdom</t>
        </is>
      </c>
      <c r="C2733" s="122" t="n">
        <v>45</v>
      </c>
      <c r="D2733" s="122" t="n">
        <v>1</v>
      </c>
      <c r="E2733" s="123" t="n">
        <v>326.24</v>
      </c>
      <c r="F2733" s="124">
        <f>IF(C2733&lt;=30,5,IF(C2733&lt;=60,4,IF(C2733&lt;=120,3,IF(C2733&lt;=200,2,1))))</f>
        <v/>
      </c>
      <c r="G2733" s="124">
        <f>IF(D2733&gt;=20,5,IF(D2733&gt;=10,4,IF(D2733&gt;=5,3,IF(D2733&gt;=2,2,1))))</f>
        <v/>
      </c>
      <c r="H2733" s="124">
        <f>IF(E2733&gt;=5000,5,IF(E2733&gt;=2000,4,IF(E2733&gt;=800,3,IF(E2733&gt;=300,2,1))))</f>
        <v/>
      </c>
      <c r="I2733" s="122">
        <f>TEXT(F2733,"0")&amp;TEXT(G2733,"0")&amp;TEXT(H2733,"0")</f>
        <v/>
      </c>
      <c r="J2733" s="122">
        <f>IFERROR(XLOOKUP(I2733,'Segment Map'!A:A,'Segment Map'!B:B,"Need Attention"),"Need Attention")</f>
        <v/>
      </c>
      <c r="K2733" s="122">
        <f>IF(E2733&gt;=5000,"🏆 Platinum",IF(E2733&gt;=2000,"🥇 Gold",IF(E2733&gt;=800,"🥈 Silver","🥉 Bronze")))</f>
        <v/>
      </c>
      <c r="L2733" s="125" t="n">
        <v>40842</v>
      </c>
    </row>
    <row r="2734">
      <c r="A2734" s="126" t="n">
        <v>16072</v>
      </c>
      <c r="B2734" s="126" t="inlineStr">
        <is>
          <t>United Kingdom</t>
        </is>
      </c>
      <c r="C2734" s="126" t="n">
        <v>289</v>
      </c>
      <c r="D2734" s="126" t="n">
        <v>1</v>
      </c>
      <c r="E2734" s="127" t="n">
        <v>584.3200000000001</v>
      </c>
      <c r="F2734" s="128">
        <f>IF(C2734&lt;=30,5,IF(C2734&lt;=60,4,IF(C2734&lt;=120,3,IF(C2734&lt;=200,2,1))))</f>
        <v/>
      </c>
      <c r="G2734" s="128">
        <f>IF(D2734&gt;=20,5,IF(D2734&gt;=10,4,IF(D2734&gt;=5,3,IF(D2734&gt;=2,2,1))))</f>
        <v/>
      </c>
      <c r="H2734" s="128">
        <f>IF(E2734&gt;=5000,5,IF(E2734&gt;=2000,4,IF(E2734&gt;=800,3,IF(E2734&gt;=300,2,1))))</f>
        <v/>
      </c>
      <c r="I2734" s="126">
        <f>TEXT(F2734,"0")&amp;TEXT(G2734,"0")&amp;TEXT(H2734,"0")</f>
        <v/>
      </c>
      <c r="J2734" s="126">
        <f>IFERROR(XLOOKUP(I2734,'Segment Map'!A:A,'Segment Map'!B:B,"Need Attention"),"Need Attention")</f>
        <v/>
      </c>
      <c r="K2734" s="126">
        <f>IF(E2734&gt;=5000,"🏆 Platinum",IF(E2734&gt;=2000,"🥇 Gold",IF(E2734&gt;=800,"🥈 Silver","🥉 Bronze")))</f>
        <v/>
      </c>
      <c r="L2734" s="129" t="n">
        <v>40598</v>
      </c>
    </row>
    <row r="2735">
      <c r="A2735" s="122" t="n">
        <v>16073</v>
      </c>
      <c r="B2735" s="122" t="inlineStr">
        <is>
          <t>United Kingdom</t>
        </is>
      </c>
      <c r="C2735" s="122" t="n">
        <v>298</v>
      </c>
      <c r="D2735" s="122" t="n">
        <v>1</v>
      </c>
      <c r="E2735" s="123" t="n">
        <v>122.4</v>
      </c>
      <c r="F2735" s="124">
        <f>IF(C2735&lt;=30,5,IF(C2735&lt;=60,4,IF(C2735&lt;=120,3,IF(C2735&lt;=200,2,1))))</f>
        <v/>
      </c>
      <c r="G2735" s="124">
        <f>IF(D2735&gt;=20,5,IF(D2735&gt;=10,4,IF(D2735&gt;=5,3,IF(D2735&gt;=2,2,1))))</f>
        <v/>
      </c>
      <c r="H2735" s="124">
        <f>IF(E2735&gt;=5000,5,IF(E2735&gt;=2000,4,IF(E2735&gt;=800,3,IF(E2735&gt;=300,2,1))))</f>
        <v/>
      </c>
      <c r="I2735" s="122">
        <f>TEXT(F2735,"0")&amp;TEXT(G2735,"0")&amp;TEXT(H2735,"0")</f>
        <v/>
      </c>
      <c r="J2735" s="122">
        <f>IFERROR(XLOOKUP(I2735,'Segment Map'!A:A,'Segment Map'!B:B,"Need Attention"),"Need Attention")</f>
        <v/>
      </c>
      <c r="K2735" s="122">
        <f>IF(E2735&gt;=5000,"🏆 Platinum",IF(E2735&gt;=2000,"🥇 Gold",IF(E2735&gt;=800,"🥈 Silver","🥉 Bronze")))</f>
        <v/>
      </c>
      <c r="L2735" s="125" t="n">
        <v>40589</v>
      </c>
    </row>
    <row r="2736">
      <c r="A2736" s="126" t="n">
        <v>16076</v>
      </c>
      <c r="B2736" s="126" t="inlineStr">
        <is>
          <t>United Kingdom</t>
        </is>
      </c>
      <c r="C2736" s="126" t="n">
        <v>4</v>
      </c>
      <c r="D2736" s="126" t="n">
        <v>10</v>
      </c>
      <c r="E2736" s="127" t="n">
        <v>2234.73</v>
      </c>
      <c r="F2736" s="128">
        <f>IF(C2736&lt;=30,5,IF(C2736&lt;=60,4,IF(C2736&lt;=120,3,IF(C2736&lt;=200,2,1))))</f>
        <v/>
      </c>
      <c r="G2736" s="128">
        <f>IF(D2736&gt;=20,5,IF(D2736&gt;=10,4,IF(D2736&gt;=5,3,IF(D2736&gt;=2,2,1))))</f>
        <v/>
      </c>
      <c r="H2736" s="128">
        <f>IF(E2736&gt;=5000,5,IF(E2736&gt;=2000,4,IF(E2736&gt;=800,3,IF(E2736&gt;=300,2,1))))</f>
        <v/>
      </c>
      <c r="I2736" s="126">
        <f>TEXT(F2736,"0")&amp;TEXT(G2736,"0")&amp;TEXT(H2736,"0")</f>
        <v/>
      </c>
      <c r="J2736" s="126">
        <f>IFERROR(XLOOKUP(I2736,'Segment Map'!A:A,'Segment Map'!B:B,"Need Attention"),"Need Attention")</f>
        <v/>
      </c>
      <c r="K2736" s="126">
        <f>IF(E2736&gt;=5000,"🏆 Platinum",IF(E2736&gt;=2000,"🥇 Gold",IF(E2736&gt;=800,"🥈 Silver","🥉 Bronze")))</f>
        <v/>
      </c>
      <c r="L2736" s="129" t="n">
        <v>40883</v>
      </c>
    </row>
    <row r="2737">
      <c r="A2737" s="122" t="n">
        <v>16078</v>
      </c>
      <c r="B2737" s="122" t="inlineStr">
        <is>
          <t>United Kingdom</t>
        </is>
      </c>
      <c r="C2737" s="122" t="n">
        <v>284</v>
      </c>
      <c r="D2737" s="122" t="n">
        <v>1</v>
      </c>
      <c r="E2737" s="123" t="n">
        <v>79.2</v>
      </c>
      <c r="F2737" s="124">
        <f>IF(C2737&lt;=30,5,IF(C2737&lt;=60,4,IF(C2737&lt;=120,3,IF(C2737&lt;=200,2,1))))</f>
        <v/>
      </c>
      <c r="G2737" s="124">
        <f>IF(D2737&gt;=20,5,IF(D2737&gt;=10,4,IF(D2737&gt;=5,3,IF(D2737&gt;=2,2,1))))</f>
        <v/>
      </c>
      <c r="H2737" s="124">
        <f>IF(E2737&gt;=5000,5,IF(E2737&gt;=2000,4,IF(E2737&gt;=800,3,IF(E2737&gt;=300,2,1))))</f>
        <v/>
      </c>
      <c r="I2737" s="122">
        <f>TEXT(F2737,"0")&amp;TEXT(G2737,"0")&amp;TEXT(H2737,"0")</f>
        <v/>
      </c>
      <c r="J2737" s="122">
        <f>IFERROR(XLOOKUP(I2737,'Segment Map'!A:A,'Segment Map'!B:B,"Need Attention"),"Need Attention")</f>
        <v/>
      </c>
      <c r="K2737" s="122">
        <f>IF(E2737&gt;=5000,"🏆 Platinum",IF(E2737&gt;=2000,"🥇 Gold",IF(E2737&gt;=800,"🥈 Silver","🥉 Bronze")))</f>
        <v/>
      </c>
      <c r="L2737" s="125" t="n">
        <v>40603</v>
      </c>
    </row>
    <row r="2738">
      <c r="A2738" s="126" t="n">
        <v>16079</v>
      </c>
      <c r="B2738" s="126" t="inlineStr">
        <is>
          <t>United Kingdom</t>
        </is>
      </c>
      <c r="C2738" s="126" t="n">
        <v>17</v>
      </c>
      <c r="D2738" s="126" t="n">
        <v>3</v>
      </c>
      <c r="E2738" s="127" t="n">
        <v>1352</v>
      </c>
      <c r="F2738" s="128">
        <f>IF(C2738&lt;=30,5,IF(C2738&lt;=60,4,IF(C2738&lt;=120,3,IF(C2738&lt;=200,2,1))))</f>
        <v/>
      </c>
      <c r="G2738" s="128">
        <f>IF(D2738&gt;=20,5,IF(D2738&gt;=10,4,IF(D2738&gt;=5,3,IF(D2738&gt;=2,2,1))))</f>
        <v/>
      </c>
      <c r="H2738" s="128">
        <f>IF(E2738&gt;=5000,5,IF(E2738&gt;=2000,4,IF(E2738&gt;=800,3,IF(E2738&gt;=300,2,1))))</f>
        <v/>
      </c>
      <c r="I2738" s="126">
        <f>TEXT(F2738,"0")&amp;TEXT(G2738,"0")&amp;TEXT(H2738,"0")</f>
        <v/>
      </c>
      <c r="J2738" s="126">
        <f>IFERROR(XLOOKUP(I2738,'Segment Map'!A:A,'Segment Map'!B:B,"Need Attention"),"Need Attention")</f>
        <v/>
      </c>
      <c r="K2738" s="126">
        <f>IF(E2738&gt;=5000,"🏆 Platinum",IF(E2738&gt;=2000,"🥇 Gold",IF(E2738&gt;=800,"🥈 Silver","🥉 Bronze")))</f>
        <v/>
      </c>
      <c r="L2738" s="129" t="n">
        <v>40870</v>
      </c>
    </row>
    <row r="2739">
      <c r="A2739" s="122" t="n">
        <v>16080</v>
      </c>
      <c r="B2739" s="122" t="inlineStr">
        <is>
          <t>United Kingdom</t>
        </is>
      </c>
      <c r="C2739" s="122" t="n">
        <v>82</v>
      </c>
      <c r="D2739" s="122" t="n">
        <v>2</v>
      </c>
      <c r="E2739" s="123" t="n">
        <v>217.16</v>
      </c>
      <c r="F2739" s="124">
        <f>IF(C2739&lt;=30,5,IF(C2739&lt;=60,4,IF(C2739&lt;=120,3,IF(C2739&lt;=200,2,1))))</f>
        <v/>
      </c>
      <c r="G2739" s="124">
        <f>IF(D2739&gt;=20,5,IF(D2739&gt;=10,4,IF(D2739&gt;=5,3,IF(D2739&gt;=2,2,1))))</f>
        <v/>
      </c>
      <c r="H2739" s="124">
        <f>IF(E2739&gt;=5000,5,IF(E2739&gt;=2000,4,IF(E2739&gt;=800,3,IF(E2739&gt;=300,2,1))))</f>
        <v/>
      </c>
      <c r="I2739" s="122">
        <f>TEXT(F2739,"0")&amp;TEXT(G2739,"0")&amp;TEXT(H2739,"0")</f>
        <v/>
      </c>
      <c r="J2739" s="122">
        <f>IFERROR(XLOOKUP(I2739,'Segment Map'!A:A,'Segment Map'!B:B,"Need Attention"),"Need Attention")</f>
        <v/>
      </c>
      <c r="K2739" s="122">
        <f>IF(E2739&gt;=5000,"🏆 Platinum",IF(E2739&gt;=2000,"🥇 Gold",IF(E2739&gt;=800,"🥈 Silver","🥉 Bronze")))</f>
        <v/>
      </c>
      <c r="L2739" s="125" t="n">
        <v>40805</v>
      </c>
    </row>
    <row r="2740">
      <c r="A2740" s="126" t="n">
        <v>16081</v>
      </c>
      <c r="B2740" s="126" t="inlineStr">
        <is>
          <t>United Kingdom</t>
        </is>
      </c>
      <c r="C2740" s="126" t="n">
        <v>57</v>
      </c>
      <c r="D2740" s="126" t="n">
        <v>5</v>
      </c>
      <c r="E2740" s="127" t="n">
        <v>2806.9</v>
      </c>
      <c r="F2740" s="128">
        <f>IF(C2740&lt;=30,5,IF(C2740&lt;=60,4,IF(C2740&lt;=120,3,IF(C2740&lt;=200,2,1))))</f>
        <v/>
      </c>
      <c r="G2740" s="128">
        <f>IF(D2740&gt;=20,5,IF(D2740&gt;=10,4,IF(D2740&gt;=5,3,IF(D2740&gt;=2,2,1))))</f>
        <v/>
      </c>
      <c r="H2740" s="128">
        <f>IF(E2740&gt;=5000,5,IF(E2740&gt;=2000,4,IF(E2740&gt;=800,3,IF(E2740&gt;=300,2,1))))</f>
        <v/>
      </c>
      <c r="I2740" s="126">
        <f>TEXT(F2740,"0")&amp;TEXT(G2740,"0")&amp;TEXT(H2740,"0")</f>
        <v/>
      </c>
      <c r="J2740" s="126">
        <f>IFERROR(XLOOKUP(I2740,'Segment Map'!A:A,'Segment Map'!B:B,"Need Attention"),"Need Attention")</f>
        <v/>
      </c>
      <c r="K2740" s="126">
        <f>IF(E2740&gt;=5000,"🏆 Platinum",IF(E2740&gt;=2000,"🥇 Gold",IF(E2740&gt;=800,"🥈 Silver","🥉 Bronze")))</f>
        <v/>
      </c>
      <c r="L2740" s="129" t="n">
        <v>40830</v>
      </c>
    </row>
    <row r="2741">
      <c r="A2741" s="122" t="n">
        <v>16083</v>
      </c>
      <c r="B2741" s="122" t="inlineStr">
        <is>
          <t>United Kingdom</t>
        </is>
      </c>
      <c r="C2741" s="122" t="n">
        <v>101</v>
      </c>
      <c r="D2741" s="122" t="n">
        <v>2</v>
      </c>
      <c r="E2741" s="123" t="n">
        <v>1317.62</v>
      </c>
      <c r="F2741" s="124">
        <f>IF(C2741&lt;=30,5,IF(C2741&lt;=60,4,IF(C2741&lt;=120,3,IF(C2741&lt;=200,2,1))))</f>
        <v/>
      </c>
      <c r="G2741" s="124">
        <f>IF(D2741&gt;=20,5,IF(D2741&gt;=10,4,IF(D2741&gt;=5,3,IF(D2741&gt;=2,2,1))))</f>
        <v/>
      </c>
      <c r="H2741" s="124">
        <f>IF(E2741&gt;=5000,5,IF(E2741&gt;=2000,4,IF(E2741&gt;=800,3,IF(E2741&gt;=300,2,1))))</f>
        <v/>
      </c>
      <c r="I2741" s="122">
        <f>TEXT(F2741,"0")&amp;TEXT(G2741,"0")&amp;TEXT(H2741,"0")</f>
        <v/>
      </c>
      <c r="J2741" s="122">
        <f>IFERROR(XLOOKUP(I2741,'Segment Map'!A:A,'Segment Map'!B:B,"Need Attention"),"Need Attention")</f>
        <v/>
      </c>
      <c r="K2741" s="122">
        <f>IF(E2741&gt;=5000,"🏆 Platinum",IF(E2741&gt;=2000,"🥇 Gold",IF(E2741&gt;=800,"🥈 Silver","🥉 Bronze")))</f>
        <v/>
      </c>
      <c r="L2741" s="125" t="n">
        <v>40786</v>
      </c>
    </row>
    <row r="2742">
      <c r="A2742" s="126" t="n">
        <v>16084</v>
      </c>
      <c r="B2742" s="126" t="inlineStr">
        <is>
          <t>United Kingdom</t>
        </is>
      </c>
      <c r="C2742" s="126" t="n">
        <v>300</v>
      </c>
      <c r="D2742" s="126" t="n">
        <v>1</v>
      </c>
      <c r="E2742" s="127" t="n">
        <v>436.18</v>
      </c>
      <c r="F2742" s="128">
        <f>IF(C2742&lt;=30,5,IF(C2742&lt;=60,4,IF(C2742&lt;=120,3,IF(C2742&lt;=200,2,1))))</f>
        <v/>
      </c>
      <c r="G2742" s="128">
        <f>IF(D2742&gt;=20,5,IF(D2742&gt;=10,4,IF(D2742&gt;=5,3,IF(D2742&gt;=2,2,1))))</f>
        <v/>
      </c>
      <c r="H2742" s="128">
        <f>IF(E2742&gt;=5000,5,IF(E2742&gt;=2000,4,IF(E2742&gt;=800,3,IF(E2742&gt;=300,2,1))))</f>
        <v/>
      </c>
      <c r="I2742" s="126">
        <f>TEXT(F2742,"0")&amp;TEXT(G2742,"0")&amp;TEXT(H2742,"0")</f>
        <v/>
      </c>
      <c r="J2742" s="126">
        <f>IFERROR(XLOOKUP(I2742,'Segment Map'!A:A,'Segment Map'!B:B,"Need Attention"),"Need Attention")</f>
        <v/>
      </c>
      <c r="K2742" s="126">
        <f>IF(E2742&gt;=5000,"🏆 Platinum",IF(E2742&gt;=2000,"🥇 Gold",IF(E2742&gt;=800,"🥈 Silver","🥉 Bronze")))</f>
        <v/>
      </c>
      <c r="L2742" s="129" t="n">
        <v>40587</v>
      </c>
    </row>
    <row r="2743">
      <c r="A2743" s="122" t="n">
        <v>16085</v>
      </c>
      <c r="B2743" s="122" t="inlineStr">
        <is>
          <t>United Kingdom</t>
        </is>
      </c>
      <c r="C2743" s="122" t="n">
        <v>24</v>
      </c>
      <c r="D2743" s="122" t="n">
        <v>5</v>
      </c>
      <c r="E2743" s="123" t="n">
        <v>981.51</v>
      </c>
      <c r="F2743" s="124">
        <f>IF(C2743&lt;=30,5,IF(C2743&lt;=60,4,IF(C2743&lt;=120,3,IF(C2743&lt;=200,2,1))))</f>
        <v/>
      </c>
      <c r="G2743" s="124">
        <f>IF(D2743&gt;=20,5,IF(D2743&gt;=10,4,IF(D2743&gt;=5,3,IF(D2743&gt;=2,2,1))))</f>
        <v/>
      </c>
      <c r="H2743" s="124">
        <f>IF(E2743&gt;=5000,5,IF(E2743&gt;=2000,4,IF(E2743&gt;=800,3,IF(E2743&gt;=300,2,1))))</f>
        <v/>
      </c>
      <c r="I2743" s="122">
        <f>TEXT(F2743,"0")&amp;TEXT(G2743,"0")&amp;TEXT(H2743,"0")</f>
        <v/>
      </c>
      <c r="J2743" s="122">
        <f>IFERROR(XLOOKUP(I2743,'Segment Map'!A:A,'Segment Map'!B:B,"Need Attention"),"Need Attention")</f>
        <v/>
      </c>
      <c r="K2743" s="122">
        <f>IF(E2743&gt;=5000,"🏆 Platinum",IF(E2743&gt;=2000,"🥇 Gold",IF(E2743&gt;=800,"🥈 Silver","🥉 Bronze")))</f>
        <v/>
      </c>
      <c r="L2743" s="125" t="n">
        <v>40863</v>
      </c>
    </row>
    <row r="2744">
      <c r="A2744" s="126" t="n">
        <v>16086</v>
      </c>
      <c r="B2744" s="126" t="inlineStr">
        <is>
          <t>United Kingdom</t>
        </is>
      </c>
      <c r="C2744" s="126" t="n">
        <v>60</v>
      </c>
      <c r="D2744" s="126" t="n">
        <v>5</v>
      </c>
      <c r="E2744" s="127" t="n">
        <v>1121.39</v>
      </c>
      <c r="F2744" s="128">
        <f>IF(C2744&lt;=30,5,IF(C2744&lt;=60,4,IF(C2744&lt;=120,3,IF(C2744&lt;=200,2,1))))</f>
        <v/>
      </c>
      <c r="G2744" s="128">
        <f>IF(D2744&gt;=20,5,IF(D2744&gt;=10,4,IF(D2744&gt;=5,3,IF(D2744&gt;=2,2,1))))</f>
        <v/>
      </c>
      <c r="H2744" s="128">
        <f>IF(E2744&gt;=5000,5,IF(E2744&gt;=2000,4,IF(E2744&gt;=800,3,IF(E2744&gt;=300,2,1))))</f>
        <v/>
      </c>
      <c r="I2744" s="126">
        <f>TEXT(F2744,"0")&amp;TEXT(G2744,"0")&amp;TEXT(H2744,"0")</f>
        <v/>
      </c>
      <c r="J2744" s="126">
        <f>IFERROR(XLOOKUP(I2744,'Segment Map'!A:A,'Segment Map'!B:B,"Need Attention"),"Need Attention")</f>
        <v/>
      </c>
      <c r="K2744" s="126">
        <f>IF(E2744&gt;=5000,"🏆 Platinum",IF(E2744&gt;=2000,"🥇 Gold",IF(E2744&gt;=800,"🥈 Silver","🥉 Bronze")))</f>
        <v/>
      </c>
      <c r="L2744" s="129" t="n">
        <v>40827</v>
      </c>
    </row>
    <row r="2745">
      <c r="A2745" s="122" t="n">
        <v>16091</v>
      </c>
      <c r="B2745" s="122" t="inlineStr">
        <is>
          <t>United Kingdom</t>
        </is>
      </c>
      <c r="C2745" s="122" t="n">
        <v>155</v>
      </c>
      <c r="D2745" s="122" t="n">
        <v>2</v>
      </c>
      <c r="E2745" s="123" t="n">
        <v>315.06</v>
      </c>
      <c r="F2745" s="124">
        <f>IF(C2745&lt;=30,5,IF(C2745&lt;=60,4,IF(C2745&lt;=120,3,IF(C2745&lt;=200,2,1))))</f>
        <v/>
      </c>
      <c r="G2745" s="124">
        <f>IF(D2745&gt;=20,5,IF(D2745&gt;=10,4,IF(D2745&gt;=5,3,IF(D2745&gt;=2,2,1))))</f>
        <v/>
      </c>
      <c r="H2745" s="124">
        <f>IF(E2745&gt;=5000,5,IF(E2745&gt;=2000,4,IF(E2745&gt;=800,3,IF(E2745&gt;=300,2,1))))</f>
        <v/>
      </c>
      <c r="I2745" s="122">
        <f>TEXT(F2745,"0")&amp;TEXT(G2745,"0")&amp;TEXT(H2745,"0")</f>
        <v/>
      </c>
      <c r="J2745" s="122">
        <f>IFERROR(XLOOKUP(I2745,'Segment Map'!A:A,'Segment Map'!B:B,"Need Attention"),"Need Attention")</f>
        <v/>
      </c>
      <c r="K2745" s="122">
        <f>IF(E2745&gt;=5000,"🏆 Platinum",IF(E2745&gt;=2000,"🥇 Gold",IF(E2745&gt;=800,"🥈 Silver","🥉 Bronze")))</f>
        <v/>
      </c>
      <c r="L2745" s="125" t="n">
        <v>40732</v>
      </c>
    </row>
    <row r="2746">
      <c r="A2746" s="126" t="n">
        <v>16092</v>
      </c>
      <c r="B2746" s="126" t="inlineStr">
        <is>
          <t>United Kingdom</t>
        </is>
      </c>
      <c r="C2746" s="126" t="n">
        <v>115</v>
      </c>
      <c r="D2746" s="126" t="n">
        <v>3</v>
      </c>
      <c r="E2746" s="127" t="n">
        <v>817.86</v>
      </c>
      <c r="F2746" s="128">
        <f>IF(C2746&lt;=30,5,IF(C2746&lt;=60,4,IF(C2746&lt;=120,3,IF(C2746&lt;=200,2,1))))</f>
        <v/>
      </c>
      <c r="G2746" s="128">
        <f>IF(D2746&gt;=20,5,IF(D2746&gt;=10,4,IF(D2746&gt;=5,3,IF(D2746&gt;=2,2,1))))</f>
        <v/>
      </c>
      <c r="H2746" s="128">
        <f>IF(E2746&gt;=5000,5,IF(E2746&gt;=2000,4,IF(E2746&gt;=800,3,IF(E2746&gt;=300,2,1))))</f>
        <v/>
      </c>
      <c r="I2746" s="126">
        <f>TEXT(F2746,"0")&amp;TEXT(G2746,"0")&amp;TEXT(H2746,"0")</f>
        <v/>
      </c>
      <c r="J2746" s="126">
        <f>IFERROR(XLOOKUP(I2746,'Segment Map'!A:A,'Segment Map'!B:B,"Need Attention"),"Need Attention")</f>
        <v/>
      </c>
      <c r="K2746" s="126">
        <f>IF(E2746&gt;=5000,"🏆 Platinum",IF(E2746&gt;=2000,"🥇 Gold",IF(E2746&gt;=800,"🥈 Silver","🥉 Bronze")))</f>
        <v/>
      </c>
      <c r="L2746" s="129" t="n">
        <v>40772</v>
      </c>
    </row>
    <row r="2747">
      <c r="A2747" s="122" t="n">
        <v>16093</v>
      </c>
      <c r="B2747" s="122" t="inlineStr">
        <is>
          <t>United Kingdom</t>
        </is>
      </c>
      <c r="C2747" s="122" t="n">
        <v>107</v>
      </c>
      <c r="D2747" s="122" t="n">
        <v>1</v>
      </c>
      <c r="E2747" s="123" t="n">
        <v>17</v>
      </c>
      <c r="F2747" s="124">
        <f>IF(C2747&lt;=30,5,IF(C2747&lt;=60,4,IF(C2747&lt;=120,3,IF(C2747&lt;=200,2,1))))</f>
        <v/>
      </c>
      <c r="G2747" s="124">
        <f>IF(D2747&gt;=20,5,IF(D2747&gt;=10,4,IF(D2747&gt;=5,3,IF(D2747&gt;=2,2,1))))</f>
        <v/>
      </c>
      <c r="H2747" s="124">
        <f>IF(E2747&gt;=5000,5,IF(E2747&gt;=2000,4,IF(E2747&gt;=800,3,IF(E2747&gt;=300,2,1))))</f>
        <v/>
      </c>
      <c r="I2747" s="122">
        <f>TEXT(F2747,"0")&amp;TEXT(G2747,"0")&amp;TEXT(H2747,"0")</f>
        <v/>
      </c>
      <c r="J2747" s="122">
        <f>IFERROR(XLOOKUP(I2747,'Segment Map'!A:A,'Segment Map'!B:B,"Need Attention"),"Need Attention")</f>
        <v/>
      </c>
      <c r="K2747" s="122">
        <f>IF(E2747&gt;=5000,"🏆 Platinum",IF(E2747&gt;=2000,"🥇 Gold",IF(E2747&gt;=800,"🥈 Silver","🥉 Bronze")))</f>
        <v/>
      </c>
      <c r="L2747" s="125" t="n">
        <v>40780</v>
      </c>
    </row>
    <row r="2748">
      <c r="A2748" s="126" t="n">
        <v>16094</v>
      </c>
      <c r="B2748" s="126" t="inlineStr">
        <is>
          <t>United Kingdom</t>
        </is>
      </c>
      <c r="C2748" s="126" t="n">
        <v>12</v>
      </c>
      <c r="D2748" s="126" t="n">
        <v>4</v>
      </c>
      <c r="E2748" s="127" t="n">
        <v>1078.23</v>
      </c>
      <c r="F2748" s="128">
        <f>IF(C2748&lt;=30,5,IF(C2748&lt;=60,4,IF(C2748&lt;=120,3,IF(C2748&lt;=200,2,1))))</f>
        <v/>
      </c>
      <c r="G2748" s="128">
        <f>IF(D2748&gt;=20,5,IF(D2748&gt;=10,4,IF(D2748&gt;=5,3,IF(D2748&gt;=2,2,1))))</f>
        <v/>
      </c>
      <c r="H2748" s="128">
        <f>IF(E2748&gt;=5000,5,IF(E2748&gt;=2000,4,IF(E2748&gt;=800,3,IF(E2748&gt;=300,2,1))))</f>
        <v/>
      </c>
      <c r="I2748" s="126">
        <f>TEXT(F2748,"0")&amp;TEXT(G2748,"0")&amp;TEXT(H2748,"0")</f>
        <v/>
      </c>
      <c r="J2748" s="126">
        <f>IFERROR(XLOOKUP(I2748,'Segment Map'!A:A,'Segment Map'!B:B,"Need Attention"),"Need Attention")</f>
        <v/>
      </c>
      <c r="K2748" s="126">
        <f>IF(E2748&gt;=5000,"🏆 Platinum",IF(E2748&gt;=2000,"🥇 Gold",IF(E2748&gt;=800,"🥈 Silver","🥉 Bronze")))</f>
        <v/>
      </c>
      <c r="L2748" s="129" t="n">
        <v>40875</v>
      </c>
    </row>
    <row r="2749">
      <c r="A2749" s="122" t="n">
        <v>16096</v>
      </c>
      <c r="B2749" s="122" t="inlineStr">
        <is>
          <t>United Kingdom</t>
        </is>
      </c>
      <c r="C2749" s="122" t="n">
        <v>265</v>
      </c>
      <c r="D2749" s="122" t="n">
        <v>1</v>
      </c>
      <c r="E2749" s="123" t="n">
        <v>320.62</v>
      </c>
      <c r="F2749" s="124">
        <f>IF(C2749&lt;=30,5,IF(C2749&lt;=60,4,IF(C2749&lt;=120,3,IF(C2749&lt;=200,2,1))))</f>
        <v/>
      </c>
      <c r="G2749" s="124">
        <f>IF(D2749&gt;=20,5,IF(D2749&gt;=10,4,IF(D2749&gt;=5,3,IF(D2749&gt;=2,2,1))))</f>
        <v/>
      </c>
      <c r="H2749" s="124">
        <f>IF(E2749&gt;=5000,5,IF(E2749&gt;=2000,4,IF(E2749&gt;=800,3,IF(E2749&gt;=300,2,1))))</f>
        <v/>
      </c>
      <c r="I2749" s="122">
        <f>TEXT(F2749,"0")&amp;TEXT(G2749,"0")&amp;TEXT(H2749,"0")</f>
        <v/>
      </c>
      <c r="J2749" s="122">
        <f>IFERROR(XLOOKUP(I2749,'Segment Map'!A:A,'Segment Map'!B:B,"Need Attention"),"Need Attention")</f>
        <v/>
      </c>
      <c r="K2749" s="122">
        <f>IF(E2749&gt;=5000,"🏆 Platinum",IF(E2749&gt;=2000,"🥇 Gold",IF(E2749&gt;=800,"🥈 Silver","🥉 Bronze")))</f>
        <v/>
      </c>
      <c r="L2749" s="125" t="n">
        <v>40622</v>
      </c>
    </row>
    <row r="2750">
      <c r="A2750" s="126" t="n">
        <v>16097</v>
      </c>
      <c r="B2750" s="126" t="inlineStr">
        <is>
          <t>United Kingdom</t>
        </is>
      </c>
      <c r="C2750" s="126" t="n">
        <v>241</v>
      </c>
      <c r="D2750" s="126" t="n">
        <v>1</v>
      </c>
      <c r="E2750" s="127" t="n">
        <v>185.05</v>
      </c>
      <c r="F2750" s="128">
        <f>IF(C2750&lt;=30,5,IF(C2750&lt;=60,4,IF(C2750&lt;=120,3,IF(C2750&lt;=200,2,1))))</f>
        <v/>
      </c>
      <c r="G2750" s="128">
        <f>IF(D2750&gt;=20,5,IF(D2750&gt;=10,4,IF(D2750&gt;=5,3,IF(D2750&gt;=2,2,1))))</f>
        <v/>
      </c>
      <c r="H2750" s="128">
        <f>IF(E2750&gt;=5000,5,IF(E2750&gt;=2000,4,IF(E2750&gt;=800,3,IF(E2750&gt;=300,2,1))))</f>
        <v/>
      </c>
      <c r="I2750" s="126">
        <f>TEXT(F2750,"0")&amp;TEXT(G2750,"0")&amp;TEXT(H2750,"0")</f>
        <v/>
      </c>
      <c r="J2750" s="126">
        <f>IFERROR(XLOOKUP(I2750,'Segment Map'!A:A,'Segment Map'!B:B,"Need Attention"),"Need Attention")</f>
        <v/>
      </c>
      <c r="K2750" s="126">
        <f>IF(E2750&gt;=5000,"🏆 Platinum",IF(E2750&gt;=2000,"🥇 Gold",IF(E2750&gt;=800,"🥈 Silver","🥉 Bronze")))</f>
        <v/>
      </c>
      <c r="L2750" s="129" t="n">
        <v>40646</v>
      </c>
    </row>
    <row r="2751">
      <c r="A2751" s="122" t="n">
        <v>16098</v>
      </c>
      <c r="B2751" s="122" t="inlineStr">
        <is>
          <t>United Kingdom</t>
        </is>
      </c>
      <c r="C2751" s="122" t="n">
        <v>88</v>
      </c>
      <c r="D2751" s="122" t="n">
        <v>7</v>
      </c>
      <c r="E2751" s="123" t="n">
        <v>2005.63</v>
      </c>
      <c r="F2751" s="124">
        <f>IF(C2751&lt;=30,5,IF(C2751&lt;=60,4,IF(C2751&lt;=120,3,IF(C2751&lt;=200,2,1))))</f>
        <v/>
      </c>
      <c r="G2751" s="124">
        <f>IF(D2751&gt;=20,5,IF(D2751&gt;=10,4,IF(D2751&gt;=5,3,IF(D2751&gt;=2,2,1))))</f>
        <v/>
      </c>
      <c r="H2751" s="124">
        <f>IF(E2751&gt;=5000,5,IF(E2751&gt;=2000,4,IF(E2751&gt;=800,3,IF(E2751&gt;=300,2,1))))</f>
        <v/>
      </c>
      <c r="I2751" s="122">
        <f>TEXT(F2751,"0")&amp;TEXT(G2751,"0")&amp;TEXT(H2751,"0")</f>
        <v/>
      </c>
      <c r="J2751" s="122">
        <f>IFERROR(XLOOKUP(I2751,'Segment Map'!A:A,'Segment Map'!B:B,"Need Attention"),"Need Attention")</f>
        <v/>
      </c>
      <c r="K2751" s="122">
        <f>IF(E2751&gt;=5000,"🏆 Platinum",IF(E2751&gt;=2000,"🥇 Gold",IF(E2751&gt;=800,"🥈 Silver","🥉 Bronze")))</f>
        <v/>
      </c>
      <c r="L2751" s="125" t="n">
        <v>40799</v>
      </c>
    </row>
    <row r="2752">
      <c r="A2752" s="126" t="n">
        <v>16099</v>
      </c>
      <c r="B2752" s="126" t="inlineStr">
        <is>
          <t>United Kingdom</t>
        </is>
      </c>
      <c r="C2752" s="126" t="n">
        <v>51</v>
      </c>
      <c r="D2752" s="126" t="n">
        <v>3</v>
      </c>
      <c r="E2752" s="127" t="n">
        <v>731.9</v>
      </c>
      <c r="F2752" s="128">
        <f>IF(C2752&lt;=30,5,IF(C2752&lt;=60,4,IF(C2752&lt;=120,3,IF(C2752&lt;=200,2,1))))</f>
        <v/>
      </c>
      <c r="G2752" s="128">
        <f>IF(D2752&gt;=20,5,IF(D2752&gt;=10,4,IF(D2752&gt;=5,3,IF(D2752&gt;=2,2,1))))</f>
        <v/>
      </c>
      <c r="H2752" s="128">
        <f>IF(E2752&gt;=5000,5,IF(E2752&gt;=2000,4,IF(E2752&gt;=800,3,IF(E2752&gt;=300,2,1))))</f>
        <v/>
      </c>
      <c r="I2752" s="126">
        <f>TEXT(F2752,"0")&amp;TEXT(G2752,"0")&amp;TEXT(H2752,"0")</f>
        <v/>
      </c>
      <c r="J2752" s="126">
        <f>IFERROR(XLOOKUP(I2752,'Segment Map'!A:A,'Segment Map'!B:B,"Need Attention"),"Need Attention")</f>
        <v/>
      </c>
      <c r="K2752" s="126">
        <f>IF(E2752&gt;=5000,"🏆 Platinum",IF(E2752&gt;=2000,"🥇 Gold",IF(E2752&gt;=800,"🥈 Silver","🥉 Bronze")))</f>
        <v/>
      </c>
      <c r="L2752" s="129" t="n">
        <v>40836</v>
      </c>
    </row>
    <row r="2753">
      <c r="A2753" s="122" t="n">
        <v>16101</v>
      </c>
      <c r="B2753" s="122" t="inlineStr">
        <is>
          <t>United Kingdom</t>
        </is>
      </c>
      <c r="C2753" s="122" t="n">
        <v>71</v>
      </c>
      <c r="D2753" s="122" t="n">
        <v>1</v>
      </c>
      <c r="E2753" s="123" t="n">
        <v>1290.7</v>
      </c>
      <c r="F2753" s="124">
        <f>IF(C2753&lt;=30,5,IF(C2753&lt;=60,4,IF(C2753&lt;=120,3,IF(C2753&lt;=200,2,1))))</f>
        <v/>
      </c>
      <c r="G2753" s="124">
        <f>IF(D2753&gt;=20,5,IF(D2753&gt;=10,4,IF(D2753&gt;=5,3,IF(D2753&gt;=2,2,1))))</f>
        <v/>
      </c>
      <c r="H2753" s="124">
        <f>IF(E2753&gt;=5000,5,IF(E2753&gt;=2000,4,IF(E2753&gt;=800,3,IF(E2753&gt;=300,2,1))))</f>
        <v/>
      </c>
      <c r="I2753" s="122">
        <f>TEXT(F2753,"0")&amp;TEXT(G2753,"0")&amp;TEXT(H2753,"0")</f>
        <v/>
      </c>
      <c r="J2753" s="122">
        <f>IFERROR(XLOOKUP(I2753,'Segment Map'!A:A,'Segment Map'!B:B,"Need Attention"),"Need Attention")</f>
        <v/>
      </c>
      <c r="K2753" s="122">
        <f>IF(E2753&gt;=5000,"🏆 Platinum",IF(E2753&gt;=2000,"🥇 Gold",IF(E2753&gt;=800,"🥈 Silver","🥉 Bronze")))</f>
        <v/>
      </c>
      <c r="L2753" s="125" t="n">
        <v>40816</v>
      </c>
    </row>
    <row r="2754">
      <c r="A2754" s="126" t="n">
        <v>16102</v>
      </c>
      <c r="B2754" s="126" t="inlineStr">
        <is>
          <t>United Kingdom</t>
        </is>
      </c>
      <c r="C2754" s="126" t="n">
        <v>43</v>
      </c>
      <c r="D2754" s="126" t="n">
        <v>3</v>
      </c>
      <c r="E2754" s="127" t="n">
        <v>1842.14</v>
      </c>
      <c r="F2754" s="128">
        <f>IF(C2754&lt;=30,5,IF(C2754&lt;=60,4,IF(C2754&lt;=120,3,IF(C2754&lt;=200,2,1))))</f>
        <v/>
      </c>
      <c r="G2754" s="128">
        <f>IF(D2754&gt;=20,5,IF(D2754&gt;=10,4,IF(D2754&gt;=5,3,IF(D2754&gt;=2,2,1))))</f>
        <v/>
      </c>
      <c r="H2754" s="128">
        <f>IF(E2754&gt;=5000,5,IF(E2754&gt;=2000,4,IF(E2754&gt;=800,3,IF(E2754&gt;=300,2,1))))</f>
        <v/>
      </c>
      <c r="I2754" s="126">
        <f>TEXT(F2754,"0")&amp;TEXT(G2754,"0")&amp;TEXT(H2754,"0")</f>
        <v/>
      </c>
      <c r="J2754" s="126">
        <f>IFERROR(XLOOKUP(I2754,'Segment Map'!A:A,'Segment Map'!B:B,"Need Attention"),"Need Attention")</f>
        <v/>
      </c>
      <c r="K2754" s="126">
        <f>IF(E2754&gt;=5000,"🏆 Platinum",IF(E2754&gt;=2000,"🥇 Gold",IF(E2754&gt;=800,"🥈 Silver","🥉 Bronze")))</f>
        <v/>
      </c>
      <c r="L2754" s="129" t="n">
        <v>40844</v>
      </c>
    </row>
    <row r="2755">
      <c r="A2755" s="122" t="n">
        <v>16103</v>
      </c>
      <c r="B2755" s="122" t="inlineStr">
        <is>
          <t>United Kingdom</t>
        </is>
      </c>
      <c r="C2755" s="122" t="n">
        <v>8</v>
      </c>
      <c r="D2755" s="122" t="n">
        <v>6</v>
      </c>
      <c r="E2755" s="123" t="n">
        <v>1429.64</v>
      </c>
      <c r="F2755" s="124">
        <f>IF(C2755&lt;=30,5,IF(C2755&lt;=60,4,IF(C2755&lt;=120,3,IF(C2755&lt;=200,2,1))))</f>
        <v/>
      </c>
      <c r="G2755" s="124">
        <f>IF(D2755&gt;=20,5,IF(D2755&gt;=10,4,IF(D2755&gt;=5,3,IF(D2755&gt;=2,2,1))))</f>
        <v/>
      </c>
      <c r="H2755" s="124">
        <f>IF(E2755&gt;=5000,5,IF(E2755&gt;=2000,4,IF(E2755&gt;=800,3,IF(E2755&gt;=300,2,1))))</f>
        <v/>
      </c>
      <c r="I2755" s="122">
        <f>TEXT(F2755,"0")&amp;TEXT(G2755,"0")&amp;TEXT(H2755,"0")</f>
        <v/>
      </c>
      <c r="J2755" s="122">
        <f>IFERROR(XLOOKUP(I2755,'Segment Map'!A:A,'Segment Map'!B:B,"Need Attention"),"Need Attention")</f>
        <v/>
      </c>
      <c r="K2755" s="122">
        <f>IF(E2755&gt;=5000,"🏆 Platinum",IF(E2755&gt;=2000,"🥇 Gold",IF(E2755&gt;=800,"🥈 Silver","🥉 Bronze")))</f>
        <v/>
      </c>
      <c r="L2755" s="125" t="n">
        <v>40879</v>
      </c>
    </row>
    <row r="2756">
      <c r="A2756" s="126" t="n">
        <v>16104</v>
      </c>
      <c r="B2756" s="126" t="inlineStr">
        <is>
          <t>United Kingdom</t>
        </is>
      </c>
      <c r="C2756" s="126" t="n">
        <v>62</v>
      </c>
      <c r="D2756" s="126" t="n">
        <v>1</v>
      </c>
      <c r="E2756" s="127" t="n">
        <v>302.36</v>
      </c>
      <c r="F2756" s="128">
        <f>IF(C2756&lt;=30,5,IF(C2756&lt;=60,4,IF(C2756&lt;=120,3,IF(C2756&lt;=200,2,1))))</f>
        <v/>
      </c>
      <c r="G2756" s="128">
        <f>IF(D2756&gt;=20,5,IF(D2756&gt;=10,4,IF(D2756&gt;=5,3,IF(D2756&gt;=2,2,1))))</f>
        <v/>
      </c>
      <c r="H2756" s="128">
        <f>IF(E2756&gt;=5000,5,IF(E2756&gt;=2000,4,IF(E2756&gt;=800,3,IF(E2756&gt;=300,2,1))))</f>
        <v/>
      </c>
      <c r="I2756" s="126">
        <f>TEXT(F2756,"0")&amp;TEXT(G2756,"0")&amp;TEXT(H2756,"0")</f>
        <v/>
      </c>
      <c r="J2756" s="126">
        <f>IFERROR(XLOOKUP(I2756,'Segment Map'!A:A,'Segment Map'!B:B,"Need Attention"),"Need Attention")</f>
        <v/>
      </c>
      <c r="K2756" s="126">
        <f>IF(E2756&gt;=5000,"🏆 Platinum",IF(E2756&gt;=2000,"🥇 Gold",IF(E2756&gt;=800,"🥈 Silver","🥉 Bronze")))</f>
        <v/>
      </c>
      <c r="L2756" s="129" t="n">
        <v>40825</v>
      </c>
    </row>
    <row r="2757">
      <c r="A2757" s="122" t="n">
        <v>16105</v>
      </c>
      <c r="B2757" s="122" t="inlineStr">
        <is>
          <t>United Kingdom</t>
        </is>
      </c>
      <c r="C2757" s="122" t="n">
        <v>249</v>
      </c>
      <c r="D2757" s="122" t="n">
        <v>1</v>
      </c>
      <c r="E2757" s="123" t="n">
        <v>336.96</v>
      </c>
      <c r="F2757" s="124">
        <f>IF(C2757&lt;=30,5,IF(C2757&lt;=60,4,IF(C2757&lt;=120,3,IF(C2757&lt;=200,2,1))))</f>
        <v/>
      </c>
      <c r="G2757" s="124">
        <f>IF(D2757&gt;=20,5,IF(D2757&gt;=10,4,IF(D2757&gt;=5,3,IF(D2757&gt;=2,2,1))))</f>
        <v/>
      </c>
      <c r="H2757" s="124">
        <f>IF(E2757&gt;=5000,5,IF(E2757&gt;=2000,4,IF(E2757&gt;=800,3,IF(E2757&gt;=300,2,1))))</f>
        <v/>
      </c>
      <c r="I2757" s="122">
        <f>TEXT(F2757,"0")&amp;TEXT(G2757,"0")&amp;TEXT(H2757,"0")</f>
        <v/>
      </c>
      <c r="J2757" s="122">
        <f>IFERROR(XLOOKUP(I2757,'Segment Map'!A:A,'Segment Map'!B:B,"Need Attention"),"Need Attention")</f>
        <v/>
      </c>
      <c r="K2757" s="122">
        <f>IF(E2757&gt;=5000,"🏆 Platinum",IF(E2757&gt;=2000,"🥇 Gold",IF(E2757&gt;=800,"🥈 Silver","🥉 Bronze")))</f>
        <v/>
      </c>
      <c r="L2757" s="125" t="n">
        <v>40638</v>
      </c>
    </row>
    <row r="2758">
      <c r="A2758" s="126" t="n">
        <v>16106</v>
      </c>
      <c r="B2758" s="126" t="inlineStr">
        <is>
          <t>United Kingdom</t>
        </is>
      </c>
      <c r="C2758" s="126" t="n">
        <v>66</v>
      </c>
      <c r="D2758" s="126" t="n">
        <v>1</v>
      </c>
      <c r="E2758" s="127" t="n">
        <v>108.38</v>
      </c>
      <c r="F2758" s="128">
        <f>IF(C2758&lt;=30,5,IF(C2758&lt;=60,4,IF(C2758&lt;=120,3,IF(C2758&lt;=200,2,1))))</f>
        <v/>
      </c>
      <c r="G2758" s="128">
        <f>IF(D2758&gt;=20,5,IF(D2758&gt;=10,4,IF(D2758&gt;=5,3,IF(D2758&gt;=2,2,1))))</f>
        <v/>
      </c>
      <c r="H2758" s="128">
        <f>IF(E2758&gt;=5000,5,IF(E2758&gt;=2000,4,IF(E2758&gt;=800,3,IF(E2758&gt;=300,2,1))))</f>
        <v/>
      </c>
      <c r="I2758" s="126">
        <f>TEXT(F2758,"0")&amp;TEXT(G2758,"0")&amp;TEXT(H2758,"0")</f>
        <v/>
      </c>
      <c r="J2758" s="126">
        <f>IFERROR(XLOOKUP(I2758,'Segment Map'!A:A,'Segment Map'!B:B,"Need Attention"),"Need Attention")</f>
        <v/>
      </c>
      <c r="K2758" s="126">
        <f>IF(E2758&gt;=5000,"🏆 Platinum",IF(E2758&gt;=2000,"🥇 Gold",IF(E2758&gt;=800,"🥈 Silver","🥉 Bronze")))</f>
        <v/>
      </c>
      <c r="L2758" s="129" t="n">
        <v>40821</v>
      </c>
    </row>
    <row r="2759">
      <c r="A2759" s="122" t="n">
        <v>16107</v>
      </c>
      <c r="B2759" s="122" t="inlineStr">
        <is>
          <t>United Kingdom</t>
        </is>
      </c>
      <c r="C2759" s="122" t="n">
        <v>18</v>
      </c>
      <c r="D2759" s="122" t="n">
        <v>7</v>
      </c>
      <c r="E2759" s="123" t="n">
        <v>3204.16</v>
      </c>
      <c r="F2759" s="124">
        <f>IF(C2759&lt;=30,5,IF(C2759&lt;=60,4,IF(C2759&lt;=120,3,IF(C2759&lt;=200,2,1))))</f>
        <v/>
      </c>
      <c r="G2759" s="124">
        <f>IF(D2759&gt;=20,5,IF(D2759&gt;=10,4,IF(D2759&gt;=5,3,IF(D2759&gt;=2,2,1))))</f>
        <v/>
      </c>
      <c r="H2759" s="124">
        <f>IF(E2759&gt;=5000,5,IF(E2759&gt;=2000,4,IF(E2759&gt;=800,3,IF(E2759&gt;=300,2,1))))</f>
        <v/>
      </c>
      <c r="I2759" s="122">
        <f>TEXT(F2759,"0")&amp;TEXT(G2759,"0")&amp;TEXT(H2759,"0")</f>
        <v/>
      </c>
      <c r="J2759" s="122">
        <f>IFERROR(XLOOKUP(I2759,'Segment Map'!A:A,'Segment Map'!B:B,"Need Attention"),"Need Attention")</f>
        <v/>
      </c>
      <c r="K2759" s="122">
        <f>IF(E2759&gt;=5000,"🏆 Platinum",IF(E2759&gt;=2000,"🥇 Gold",IF(E2759&gt;=800,"🥈 Silver","🥉 Bronze")))</f>
        <v/>
      </c>
      <c r="L2759" s="125" t="n">
        <v>40869</v>
      </c>
    </row>
    <row r="2760">
      <c r="A2760" s="126" t="n">
        <v>16108</v>
      </c>
      <c r="B2760" s="126" t="inlineStr">
        <is>
          <t>United Kingdom</t>
        </is>
      </c>
      <c r="C2760" s="126" t="n">
        <v>85</v>
      </c>
      <c r="D2760" s="126" t="n">
        <v>1</v>
      </c>
      <c r="E2760" s="127" t="n">
        <v>842.5</v>
      </c>
      <c r="F2760" s="128">
        <f>IF(C2760&lt;=30,5,IF(C2760&lt;=60,4,IF(C2760&lt;=120,3,IF(C2760&lt;=200,2,1))))</f>
        <v/>
      </c>
      <c r="G2760" s="128">
        <f>IF(D2760&gt;=20,5,IF(D2760&gt;=10,4,IF(D2760&gt;=5,3,IF(D2760&gt;=2,2,1))))</f>
        <v/>
      </c>
      <c r="H2760" s="128">
        <f>IF(E2760&gt;=5000,5,IF(E2760&gt;=2000,4,IF(E2760&gt;=800,3,IF(E2760&gt;=300,2,1))))</f>
        <v/>
      </c>
      <c r="I2760" s="126">
        <f>TEXT(F2760,"0")&amp;TEXT(G2760,"0")&amp;TEXT(H2760,"0")</f>
        <v/>
      </c>
      <c r="J2760" s="126">
        <f>IFERROR(XLOOKUP(I2760,'Segment Map'!A:A,'Segment Map'!B:B,"Need Attention"),"Need Attention")</f>
        <v/>
      </c>
      <c r="K2760" s="126">
        <f>IF(E2760&gt;=5000,"🏆 Platinum",IF(E2760&gt;=2000,"🥇 Gold",IF(E2760&gt;=800,"🥈 Silver","🥉 Bronze")))</f>
        <v/>
      </c>
      <c r="L2760" s="129" t="n">
        <v>40802</v>
      </c>
    </row>
    <row r="2761">
      <c r="A2761" s="122" t="n">
        <v>16109</v>
      </c>
      <c r="B2761" s="122" t="inlineStr">
        <is>
          <t>United Kingdom</t>
        </is>
      </c>
      <c r="C2761" s="122" t="n">
        <v>219</v>
      </c>
      <c r="D2761" s="122" t="n">
        <v>2</v>
      </c>
      <c r="E2761" s="123" t="n">
        <v>611.88</v>
      </c>
      <c r="F2761" s="124">
        <f>IF(C2761&lt;=30,5,IF(C2761&lt;=60,4,IF(C2761&lt;=120,3,IF(C2761&lt;=200,2,1))))</f>
        <v/>
      </c>
      <c r="G2761" s="124">
        <f>IF(D2761&gt;=20,5,IF(D2761&gt;=10,4,IF(D2761&gt;=5,3,IF(D2761&gt;=2,2,1))))</f>
        <v/>
      </c>
      <c r="H2761" s="124">
        <f>IF(E2761&gt;=5000,5,IF(E2761&gt;=2000,4,IF(E2761&gt;=800,3,IF(E2761&gt;=300,2,1))))</f>
        <v/>
      </c>
      <c r="I2761" s="122">
        <f>TEXT(F2761,"0")&amp;TEXT(G2761,"0")&amp;TEXT(H2761,"0")</f>
        <v/>
      </c>
      <c r="J2761" s="122">
        <f>IFERROR(XLOOKUP(I2761,'Segment Map'!A:A,'Segment Map'!B:B,"Need Attention"),"Need Attention")</f>
        <v/>
      </c>
      <c r="K2761" s="122">
        <f>IF(E2761&gt;=5000,"🏆 Platinum",IF(E2761&gt;=2000,"🥇 Gold",IF(E2761&gt;=800,"🥈 Silver","🥉 Bronze")))</f>
        <v/>
      </c>
      <c r="L2761" s="125" t="n">
        <v>40668</v>
      </c>
    </row>
    <row r="2762">
      <c r="A2762" s="126" t="n">
        <v>16110</v>
      </c>
      <c r="B2762" s="126" t="inlineStr">
        <is>
          <t>United Kingdom</t>
        </is>
      </c>
      <c r="C2762" s="126" t="n">
        <v>46</v>
      </c>
      <c r="D2762" s="126" t="n">
        <v>3</v>
      </c>
      <c r="E2762" s="127" t="n">
        <v>1337.48</v>
      </c>
      <c r="F2762" s="128">
        <f>IF(C2762&lt;=30,5,IF(C2762&lt;=60,4,IF(C2762&lt;=120,3,IF(C2762&lt;=200,2,1))))</f>
        <v/>
      </c>
      <c r="G2762" s="128">
        <f>IF(D2762&gt;=20,5,IF(D2762&gt;=10,4,IF(D2762&gt;=5,3,IF(D2762&gt;=2,2,1))))</f>
        <v/>
      </c>
      <c r="H2762" s="128">
        <f>IF(E2762&gt;=5000,5,IF(E2762&gt;=2000,4,IF(E2762&gt;=800,3,IF(E2762&gt;=300,2,1))))</f>
        <v/>
      </c>
      <c r="I2762" s="126">
        <f>TEXT(F2762,"0")&amp;TEXT(G2762,"0")&amp;TEXT(H2762,"0")</f>
        <v/>
      </c>
      <c r="J2762" s="126">
        <f>IFERROR(XLOOKUP(I2762,'Segment Map'!A:A,'Segment Map'!B:B,"Need Attention"),"Need Attention")</f>
        <v/>
      </c>
      <c r="K2762" s="126">
        <f>IF(E2762&gt;=5000,"🏆 Platinum",IF(E2762&gt;=2000,"🥇 Gold",IF(E2762&gt;=800,"🥈 Silver","🥉 Bronze")))</f>
        <v/>
      </c>
      <c r="L2762" s="129" t="n">
        <v>40841</v>
      </c>
    </row>
    <row r="2763">
      <c r="A2763" s="122" t="n">
        <v>16112</v>
      </c>
      <c r="B2763" s="122" t="inlineStr">
        <is>
          <t>United Kingdom</t>
        </is>
      </c>
      <c r="C2763" s="122" t="n">
        <v>144</v>
      </c>
      <c r="D2763" s="122" t="n">
        <v>4</v>
      </c>
      <c r="E2763" s="123" t="n">
        <v>195.74</v>
      </c>
      <c r="F2763" s="124">
        <f>IF(C2763&lt;=30,5,IF(C2763&lt;=60,4,IF(C2763&lt;=120,3,IF(C2763&lt;=200,2,1))))</f>
        <v/>
      </c>
      <c r="G2763" s="124">
        <f>IF(D2763&gt;=20,5,IF(D2763&gt;=10,4,IF(D2763&gt;=5,3,IF(D2763&gt;=2,2,1))))</f>
        <v/>
      </c>
      <c r="H2763" s="124">
        <f>IF(E2763&gt;=5000,5,IF(E2763&gt;=2000,4,IF(E2763&gt;=800,3,IF(E2763&gt;=300,2,1))))</f>
        <v/>
      </c>
      <c r="I2763" s="122">
        <f>TEXT(F2763,"0")&amp;TEXT(G2763,"0")&amp;TEXT(H2763,"0")</f>
        <v/>
      </c>
      <c r="J2763" s="122">
        <f>IFERROR(XLOOKUP(I2763,'Segment Map'!A:A,'Segment Map'!B:B,"Need Attention"),"Need Attention")</f>
        <v/>
      </c>
      <c r="K2763" s="122">
        <f>IF(E2763&gt;=5000,"🏆 Platinum",IF(E2763&gt;=2000,"🥇 Gold",IF(E2763&gt;=800,"🥈 Silver","🥉 Bronze")))</f>
        <v/>
      </c>
      <c r="L2763" s="125" t="n">
        <v>40743</v>
      </c>
    </row>
    <row r="2764">
      <c r="A2764" s="126" t="n">
        <v>16113</v>
      </c>
      <c r="B2764" s="126" t="inlineStr">
        <is>
          <t>United Kingdom</t>
        </is>
      </c>
      <c r="C2764" s="126" t="n">
        <v>184</v>
      </c>
      <c r="D2764" s="126" t="n">
        <v>1</v>
      </c>
      <c r="E2764" s="127" t="n">
        <v>161.38</v>
      </c>
      <c r="F2764" s="128">
        <f>IF(C2764&lt;=30,5,IF(C2764&lt;=60,4,IF(C2764&lt;=120,3,IF(C2764&lt;=200,2,1))))</f>
        <v/>
      </c>
      <c r="G2764" s="128">
        <f>IF(D2764&gt;=20,5,IF(D2764&gt;=10,4,IF(D2764&gt;=5,3,IF(D2764&gt;=2,2,1))))</f>
        <v/>
      </c>
      <c r="H2764" s="128">
        <f>IF(E2764&gt;=5000,5,IF(E2764&gt;=2000,4,IF(E2764&gt;=800,3,IF(E2764&gt;=300,2,1))))</f>
        <v/>
      </c>
      <c r="I2764" s="126">
        <f>TEXT(F2764,"0")&amp;TEXT(G2764,"0")&amp;TEXT(H2764,"0")</f>
        <v/>
      </c>
      <c r="J2764" s="126">
        <f>IFERROR(XLOOKUP(I2764,'Segment Map'!A:A,'Segment Map'!B:B,"Need Attention"),"Need Attention")</f>
        <v/>
      </c>
      <c r="K2764" s="126">
        <f>IF(E2764&gt;=5000,"🏆 Platinum",IF(E2764&gt;=2000,"🥇 Gold",IF(E2764&gt;=800,"🥈 Silver","🥉 Bronze")))</f>
        <v/>
      </c>
      <c r="L2764" s="129" t="n">
        <v>40703</v>
      </c>
    </row>
    <row r="2765">
      <c r="A2765" s="122" t="n">
        <v>16114</v>
      </c>
      <c r="B2765" s="122" t="inlineStr">
        <is>
          <t>United Kingdom</t>
        </is>
      </c>
      <c r="C2765" s="122" t="n">
        <v>171</v>
      </c>
      <c r="D2765" s="122" t="n">
        <v>1</v>
      </c>
      <c r="E2765" s="123" t="n">
        <v>135.75</v>
      </c>
      <c r="F2765" s="124">
        <f>IF(C2765&lt;=30,5,IF(C2765&lt;=60,4,IF(C2765&lt;=120,3,IF(C2765&lt;=200,2,1))))</f>
        <v/>
      </c>
      <c r="G2765" s="124">
        <f>IF(D2765&gt;=20,5,IF(D2765&gt;=10,4,IF(D2765&gt;=5,3,IF(D2765&gt;=2,2,1))))</f>
        <v/>
      </c>
      <c r="H2765" s="124">
        <f>IF(E2765&gt;=5000,5,IF(E2765&gt;=2000,4,IF(E2765&gt;=800,3,IF(E2765&gt;=300,2,1))))</f>
        <v/>
      </c>
      <c r="I2765" s="122">
        <f>TEXT(F2765,"0")&amp;TEXT(G2765,"0")&amp;TEXT(H2765,"0")</f>
        <v/>
      </c>
      <c r="J2765" s="122">
        <f>IFERROR(XLOOKUP(I2765,'Segment Map'!A:A,'Segment Map'!B:B,"Need Attention"),"Need Attention")</f>
        <v/>
      </c>
      <c r="K2765" s="122">
        <f>IF(E2765&gt;=5000,"🏆 Platinum",IF(E2765&gt;=2000,"🥇 Gold",IF(E2765&gt;=800,"🥈 Silver","🥉 Bronze")))</f>
        <v/>
      </c>
      <c r="L2765" s="125" t="n">
        <v>40716</v>
      </c>
    </row>
    <row r="2766">
      <c r="A2766" s="126" t="n">
        <v>16115</v>
      </c>
      <c r="B2766" s="126" t="inlineStr">
        <is>
          <t>United Kingdom</t>
        </is>
      </c>
      <c r="C2766" s="126" t="n">
        <v>10</v>
      </c>
      <c r="D2766" s="126" t="n">
        <v>8</v>
      </c>
      <c r="E2766" s="127" t="n">
        <v>1667.97</v>
      </c>
      <c r="F2766" s="128">
        <f>IF(C2766&lt;=30,5,IF(C2766&lt;=60,4,IF(C2766&lt;=120,3,IF(C2766&lt;=200,2,1))))</f>
        <v/>
      </c>
      <c r="G2766" s="128">
        <f>IF(D2766&gt;=20,5,IF(D2766&gt;=10,4,IF(D2766&gt;=5,3,IF(D2766&gt;=2,2,1))))</f>
        <v/>
      </c>
      <c r="H2766" s="128">
        <f>IF(E2766&gt;=5000,5,IF(E2766&gt;=2000,4,IF(E2766&gt;=800,3,IF(E2766&gt;=300,2,1))))</f>
        <v/>
      </c>
      <c r="I2766" s="126">
        <f>TEXT(F2766,"0")&amp;TEXT(G2766,"0")&amp;TEXT(H2766,"0")</f>
        <v/>
      </c>
      <c r="J2766" s="126">
        <f>IFERROR(XLOOKUP(I2766,'Segment Map'!A:A,'Segment Map'!B:B,"Need Attention"),"Need Attention")</f>
        <v/>
      </c>
      <c r="K2766" s="126">
        <f>IF(E2766&gt;=5000,"🏆 Platinum",IF(E2766&gt;=2000,"🥇 Gold",IF(E2766&gt;=800,"🥈 Silver","🥉 Bronze")))</f>
        <v/>
      </c>
      <c r="L2766" s="129" t="n">
        <v>40877</v>
      </c>
    </row>
    <row r="2767">
      <c r="A2767" s="122" t="n">
        <v>16116</v>
      </c>
      <c r="B2767" s="122" t="inlineStr">
        <is>
          <t>United Kingdom</t>
        </is>
      </c>
      <c r="C2767" s="122" t="n">
        <v>212</v>
      </c>
      <c r="D2767" s="122" t="n">
        <v>1</v>
      </c>
      <c r="E2767" s="123" t="n">
        <v>612.78</v>
      </c>
      <c r="F2767" s="124">
        <f>IF(C2767&lt;=30,5,IF(C2767&lt;=60,4,IF(C2767&lt;=120,3,IF(C2767&lt;=200,2,1))))</f>
        <v/>
      </c>
      <c r="G2767" s="124">
        <f>IF(D2767&gt;=20,5,IF(D2767&gt;=10,4,IF(D2767&gt;=5,3,IF(D2767&gt;=2,2,1))))</f>
        <v/>
      </c>
      <c r="H2767" s="124">
        <f>IF(E2767&gt;=5000,5,IF(E2767&gt;=2000,4,IF(E2767&gt;=800,3,IF(E2767&gt;=300,2,1))))</f>
        <v/>
      </c>
      <c r="I2767" s="122">
        <f>TEXT(F2767,"0")&amp;TEXT(G2767,"0")&amp;TEXT(H2767,"0")</f>
        <v/>
      </c>
      <c r="J2767" s="122">
        <f>IFERROR(XLOOKUP(I2767,'Segment Map'!A:A,'Segment Map'!B:B,"Need Attention"),"Need Attention")</f>
        <v/>
      </c>
      <c r="K2767" s="122">
        <f>IF(E2767&gt;=5000,"🏆 Platinum",IF(E2767&gt;=2000,"🥇 Gold",IF(E2767&gt;=800,"🥈 Silver","🥉 Bronze")))</f>
        <v/>
      </c>
      <c r="L2767" s="125" t="n">
        <v>40675</v>
      </c>
    </row>
    <row r="2768">
      <c r="A2768" s="126" t="n">
        <v>16117</v>
      </c>
      <c r="B2768" s="126" t="inlineStr">
        <is>
          <t>United Kingdom</t>
        </is>
      </c>
      <c r="C2768" s="126" t="n">
        <v>190</v>
      </c>
      <c r="D2768" s="126" t="n">
        <v>1</v>
      </c>
      <c r="E2768" s="127" t="n">
        <v>232.21</v>
      </c>
      <c r="F2768" s="128">
        <f>IF(C2768&lt;=30,5,IF(C2768&lt;=60,4,IF(C2768&lt;=120,3,IF(C2768&lt;=200,2,1))))</f>
        <v/>
      </c>
      <c r="G2768" s="128">
        <f>IF(D2768&gt;=20,5,IF(D2768&gt;=10,4,IF(D2768&gt;=5,3,IF(D2768&gt;=2,2,1))))</f>
        <v/>
      </c>
      <c r="H2768" s="128">
        <f>IF(E2768&gt;=5000,5,IF(E2768&gt;=2000,4,IF(E2768&gt;=800,3,IF(E2768&gt;=300,2,1))))</f>
        <v/>
      </c>
      <c r="I2768" s="126">
        <f>TEXT(F2768,"0")&amp;TEXT(G2768,"0")&amp;TEXT(H2768,"0")</f>
        <v/>
      </c>
      <c r="J2768" s="126">
        <f>IFERROR(XLOOKUP(I2768,'Segment Map'!A:A,'Segment Map'!B:B,"Need Attention"),"Need Attention")</f>
        <v/>
      </c>
      <c r="K2768" s="126">
        <f>IF(E2768&gt;=5000,"🏆 Platinum",IF(E2768&gt;=2000,"🥇 Gold",IF(E2768&gt;=800,"🥈 Silver","🥉 Bronze")))</f>
        <v/>
      </c>
      <c r="L2768" s="129" t="n">
        <v>40697</v>
      </c>
    </row>
    <row r="2769">
      <c r="A2769" s="122" t="n">
        <v>16119</v>
      </c>
      <c r="B2769" s="122" t="inlineStr">
        <is>
          <t>United Kingdom</t>
        </is>
      </c>
      <c r="C2769" s="122" t="n">
        <v>9</v>
      </c>
      <c r="D2769" s="122" t="n">
        <v>2</v>
      </c>
      <c r="E2769" s="123" t="n">
        <v>423.36</v>
      </c>
      <c r="F2769" s="124">
        <f>IF(C2769&lt;=30,5,IF(C2769&lt;=60,4,IF(C2769&lt;=120,3,IF(C2769&lt;=200,2,1))))</f>
        <v/>
      </c>
      <c r="G2769" s="124">
        <f>IF(D2769&gt;=20,5,IF(D2769&gt;=10,4,IF(D2769&gt;=5,3,IF(D2769&gt;=2,2,1))))</f>
        <v/>
      </c>
      <c r="H2769" s="124">
        <f>IF(E2769&gt;=5000,5,IF(E2769&gt;=2000,4,IF(E2769&gt;=800,3,IF(E2769&gt;=300,2,1))))</f>
        <v/>
      </c>
      <c r="I2769" s="122">
        <f>TEXT(F2769,"0")&amp;TEXT(G2769,"0")&amp;TEXT(H2769,"0")</f>
        <v/>
      </c>
      <c r="J2769" s="122">
        <f>IFERROR(XLOOKUP(I2769,'Segment Map'!A:A,'Segment Map'!B:B,"Need Attention"),"Need Attention")</f>
        <v/>
      </c>
      <c r="K2769" s="122">
        <f>IF(E2769&gt;=5000,"🏆 Platinum",IF(E2769&gt;=2000,"🥇 Gold",IF(E2769&gt;=800,"🥈 Silver","🥉 Bronze")))</f>
        <v/>
      </c>
      <c r="L2769" s="125" t="n">
        <v>40878</v>
      </c>
    </row>
    <row r="2770">
      <c r="A2770" s="126" t="n">
        <v>16120</v>
      </c>
      <c r="B2770" s="126" t="inlineStr">
        <is>
          <t>United Kingdom</t>
        </is>
      </c>
      <c r="C2770" s="126" t="n">
        <v>60</v>
      </c>
      <c r="D2770" s="126" t="n">
        <v>4</v>
      </c>
      <c r="E2770" s="127" t="n">
        <v>1309.14</v>
      </c>
      <c r="F2770" s="128">
        <f>IF(C2770&lt;=30,5,IF(C2770&lt;=60,4,IF(C2770&lt;=120,3,IF(C2770&lt;=200,2,1))))</f>
        <v/>
      </c>
      <c r="G2770" s="128">
        <f>IF(D2770&gt;=20,5,IF(D2770&gt;=10,4,IF(D2770&gt;=5,3,IF(D2770&gt;=2,2,1))))</f>
        <v/>
      </c>
      <c r="H2770" s="128">
        <f>IF(E2770&gt;=5000,5,IF(E2770&gt;=2000,4,IF(E2770&gt;=800,3,IF(E2770&gt;=300,2,1))))</f>
        <v/>
      </c>
      <c r="I2770" s="126">
        <f>TEXT(F2770,"0")&amp;TEXT(G2770,"0")&amp;TEXT(H2770,"0")</f>
        <v/>
      </c>
      <c r="J2770" s="126">
        <f>IFERROR(XLOOKUP(I2770,'Segment Map'!A:A,'Segment Map'!B:B,"Need Attention"),"Need Attention")</f>
        <v/>
      </c>
      <c r="K2770" s="126">
        <f>IF(E2770&gt;=5000,"🏆 Platinum",IF(E2770&gt;=2000,"🥇 Gold",IF(E2770&gt;=800,"🥈 Silver","🥉 Bronze")))</f>
        <v/>
      </c>
      <c r="L2770" s="129" t="n">
        <v>40827</v>
      </c>
    </row>
    <row r="2771">
      <c r="A2771" s="122" t="n">
        <v>16121</v>
      </c>
      <c r="B2771" s="122" t="inlineStr">
        <is>
          <t>United Kingdom</t>
        </is>
      </c>
      <c r="C2771" s="122" t="n">
        <v>58</v>
      </c>
      <c r="D2771" s="122" t="n">
        <v>2</v>
      </c>
      <c r="E2771" s="123" t="n">
        <v>867.11</v>
      </c>
      <c r="F2771" s="124">
        <f>IF(C2771&lt;=30,5,IF(C2771&lt;=60,4,IF(C2771&lt;=120,3,IF(C2771&lt;=200,2,1))))</f>
        <v/>
      </c>
      <c r="G2771" s="124">
        <f>IF(D2771&gt;=20,5,IF(D2771&gt;=10,4,IF(D2771&gt;=5,3,IF(D2771&gt;=2,2,1))))</f>
        <v/>
      </c>
      <c r="H2771" s="124">
        <f>IF(E2771&gt;=5000,5,IF(E2771&gt;=2000,4,IF(E2771&gt;=800,3,IF(E2771&gt;=300,2,1))))</f>
        <v/>
      </c>
      <c r="I2771" s="122">
        <f>TEXT(F2771,"0")&amp;TEXT(G2771,"0")&amp;TEXT(H2771,"0")</f>
        <v/>
      </c>
      <c r="J2771" s="122">
        <f>IFERROR(XLOOKUP(I2771,'Segment Map'!A:A,'Segment Map'!B:B,"Need Attention"),"Need Attention")</f>
        <v/>
      </c>
      <c r="K2771" s="122">
        <f>IF(E2771&gt;=5000,"🏆 Platinum",IF(E2771&gt;=2000,"🥇 Gold",IF(E2771&gt;=800,"🥈 Silver","🥉 Bronze")))</f>
        <v/>
      </c>
      <c r="L2771" s="125" t="n">
        <v>40829</v>
      </c>
    </row>
    <row r="2772">
      <c r="A2772" s="126" t="n">
        <v>16122</v>
      </c>
      <c r="B2772" s="126" t="inlineStr">
        <is>
          <t>United Kingdom</t>
        </is>
      </c>
      <c r="C2772" s="126" t="n">
        <v>74</v>
      </c>
      <c r="D2772" s="126" t="n">
        <v>4</v>
      </c>
      <c r="E2772" s="127" t="n">
        <v>684.42</v>
      </c>
      <c r="F2772" s="128">
        <f>IF(C2772&lt;=30,5,IF(C2772&lt;=60,4,IF(C2772&lt;=120,3,IF(C2772&lt;=200,2,1))))</f>
        <v/>
      </c>
      <c r="G2772" s="128">
        <f>IF(D2772&gt;=20,5,IF(D2772&gt;=10,4,IF(D2772&gt;=5,3,IF(D2772&gt;=2,2,1))))</f>
        <v/>
      </c>
      <c r="H2772" s="128">
        <f>IF(E2772&gt;=5000,5,IF(E2772&gt;=2000,4,IF(E2772&gt;=800,3,IF(E2772&gt;=300,2,1))))</f>
        <v/>
      </c>
      <c r="I2772" s="126">
        <f>TEXT(F2772,"0")&amp;TEXT(G2772,"0")&amp;TEXT(H2772,"0")</f>
        <v/>
      </c>
      <c r="J2772" s="126">
        <f>IFERROR(XLOOKUP(I2772,'Segment Map'!A:A,'Segment Map'!B:B,"Need Attention"),"Need Attention")</f>
        <v/>
      </c>
      <c r="K2772" s="126">
        <f>IF(E2772&gt;=5000,"🏆 Platinum",IF(E2772&gt;=2000,"🥇 Gold",IF(E2772&gt;=800,"🥈 Silver","🥉 Bronze")))</f>
        <v/>
      </c>
      <c r="L2772" s="129" t="n">
        <v>40813</v>
      </c>
    </row>
    <row r="2773">
      <c r="A2773" s="122" t="n">
        <v>16123</v>
      </c>
      <c r="B2773" s="122" t="inlineStr">
        <is>
          <t>United Kingdom</t>
        </is>
      </c>
      <c r="C2773" s="122" t="n">
        <v>52</v>
      </c>
      <c r="D2773" s="122" t="n">
        <v>1</v>
      </c>
      <c r="E2773" s="123" t="n">
        <v>307.78</v>
      </c>
      <c r="F2773" s="124">
        <f>IF(C2773&lt;=30,5,IF(C2773&lt;=60,4,IF(C2773&lt;=120,3,IF(C2773&lt;=200,2,1))))</f>
        <v/>
      </c>
      <c r="G2773" s="124">
        <f>IF(D2773&gt;=20,5,IF(D2773&gt;=10,4,IF(D2773&gt;=5,3,IF(D2773&gt;=2,2,1))))</f>
        <v/>
      </c>
      <c r="H2773" s="124">
        <f>IF(E2773&gt;=5000,5,IF(E2773&gt;=2000,4,IF(E2773&gt;=800,3,IF(E2773&gt;=300,2,1))))</f>
        <v/>
      </c>
      <c r="I2773" s="122">
        <f>TEXT(F2773,"0")&amp;TEXT(G2773,"0")&amp;TEXT(H2773,"0")</f>
        <v/>
      </c>
      <c r="J2773" s="122">
        <f>IFERROR(XLOOKUP(I2773,'Segment Map'!A:A,'Segment Map'!B:B,"Need Attention"),"Need Attention")</f>
        <v/>
      </c>
      <c r="K2773" s="122">
        <f>IF(E2773&gt;=5000,"🏆 Platinum",IF(E2773&gt;=2000,"🥇 Gold",IF(E2773&gt;=800,"🥈 Silver","🥉 Bronze")))</f>
        <v/>
      </c>
      <c r="L2773" s="125" t="n">
        <v>40835</v>
      </c>
    </row>
    <row r="2774">
      <c r="A2774" s="126" t="n">
        <v>16124</v>
      </c>
      <c r="B2774" s="126" t="inlineStr">
        <is>
          <t>United Kingdom</t>
        </is>
      </c>
      <c r="C2774" s="126" t="n">
        <v>318</v>
      </c>
      <c r="D2774" s="126" t="n">
        <v>1</v>
      </c>
      <c r="E2774" s="127" t="n">
        <v>249</v>
      </c>
      <c r="F2774" s="128">
        <f>IF(C2774&lt;=30,5,IF(C2774&lt;=60,4,IF(C2774&lt;=120,3,IF(C2774&lt;=200,2,1))))</f>
        <v/>
      </c>
      <c r="G2774" s="128">
        <f>IF(D2774&gt;=20,5,IF(D2774&gt;=10,4,IF(D2774&gt;=5,3,IF(D2774&gt;=2,2,1))))</f>
        <v/>
      </c>
      <c r="H2774" s="128">
        <f>IF(E2774&gt;=5000,5,IF(E2774&gt;=2000,4,IF(E2774&gt;=800,3,IF(E2774&gt;=300,2,1))))</f>
        <v/>
      </c>
      <c r="I2774" s="126">
        <f>TEXT(F2774,"0")&amp;TEXT(G2774,"0")&amp;TEXT(H2774,"0")</f>
        <v/>
      </c>
      <c r="J2774" s="126">
        <f>IFERROR(XLOOKUP(I2774,'Segment Map'!A:A,'Segment Map'!B:B,"Need Attention"),"Need Attention")</f>
        <v/>
      </c>
      <c r="K2774" s="126">
        <f>IF(E2774&gt;=5000,"🏆 Platinum",IF(E2774&gt;=2000,"🥇 Gold",IF(E2774&gt;=800,"🥈 Silver","🥉 Bronze")))</f>
        <v/>
      </c>
      <c r="L2774" s="129" t="n">
        <v>40569</v>
      </c>
    </row>
    <row r="2775">
      <c r="A2775" s="122" t="n">
        <v>16125</v>
      </c>
      <c r="B2775" s="122" t="inlineStr">
        <is>
          <t>United Kingdom</t>
        </is>
      </c>
      <c r="C2775" s="122" t="n">
        <v>368</v>
      </c>
      <c r="D2775" s="122" t="n">
        <v>1</v>
      </c>
      <c r="E2775" s="123" t="n">
        <v>289.35</v>
      </c>
      <c r="F2775" s="124">
        <f>IF(C2775&lt;=30,5,IF(C2775&lt;=60,4,IF(C2775&lt;=120,3,IF(C2775&lt;=200,2,1))))</f>
        <v/>
      </c>
      <c r="G2775" s="124">
        <f>IF(D2775&gt;=20,5,IF(D2775&gt;=10,4,IF(D2775&gt;=5,3,IF(D2775&gt;=2,2,1))))</f>
        <v/>
      </c>
      <c r="H2775" s="124">
        <f>IF(E2775&gt;=5000,5,IF(E2775&gt;=2000,4,IF(E2775&gt;=800,3,IF(E2775&gt;=300,2,1))))</f>
        <v/>
      </c>
      <c r="I2775" s="122">
        <f>TEXT(F2775,"0")&amp;TEXT(G2775,"0")&amp;TEXT(H2775,"0")</f>
        <v/>
      </c>
      <c r="J2775" s="122">
        <f>IFERROR(XLOOKUP(I2775,'Segment Map'!A:A,'Segment Map'!B:B,"Need Attention"),"Need Attention")</f>
        <v/>
      </c>
      <c r="K2775" s="122">
        <f>IF(E2775&gt;=5000,"🏆 Platinum",IF(E2775&gt;=2000,"🥇 Gold",IF(E2775&gt;=800,"🥈 Silver","🥉 Bronze")))</f>
        <v/>
      </c>
      <c r="L2775" s="125" t="n">
        <v>40519</v>
      </c>
    </row>
    <row r="2776">
      <c r="A2776" s="126" t="n">
        <v>16126</v>
      </c>
      <c r="B2776" s="126" t="inlineStr">
        <is>
          <t>United Kingdom</t>
        </is>
      </c>
      <c r="C2776" s="126" t="n">
        <v>30</v>
      </c>
      <c r="D2776" s="126" t="n">
        <v>4</v>
      </c>
      <c r="E2776" s="127" t="n">
        <v>6287.77</v>
      </c>
      <c r="F2776" s="128">
        <f>IF(C2776&lt;=30,5,IF(C2776&lt;=60,4,IF(C2776&lt;=120,3,IF(C2776&lt;=200,2,1))))</f>
        <v/>
      </c>
      <c r="G2776" s="128">
        <f>IF(D2776&gt;=20,5,IF(D2776&gt;=10,4,IF(D2776&gt;=5,3,IF(D2776&gt;=2,2,1))))</f>
        <v/>
      </c>
      <c r="H2776" s="128">
        <f>IF(E2776&gt;=5000,5,IF(E2776&gt;=2000,4,IF(E2776&gt;=800,3,IF(E2776&gt;=300,2,1))))</f>
        <v/>
      </c>
      <c r="I2776" s="126">
        <f>TEXT(F2776,"0")&amp;TEXT(G2776,"0")&amp;TEXT(H2776,"0")</f>
        <v/>
      </c>
      <c r="J2776" s="126">
        <f>IFERROR(XLOOKUP(I2776,'Segment Map'!A:A,'Segment Map'!B:B,"Need Attention"),"Need Attention")</f>
        <v/>
      </c>
      <c r="K2776" s="126">
        <f>IF(E2776&gt;=5000,"🏆 Platinum",IF(E2776&gt;=2000,"🥇 Gold",IF(E2776&gt;=800,"🥈 Silver","🥉 Bronze")))</f>
        <v/>
      </c>
      <c r="L2776" s="129" t="n">
        <v>40857</v>
      </c>
    </row>
    <row r="2777">
      <c r="A2777" s="122" t="n">
        <v>16127</v>
      </c>
      <c r="B2777" s="122" t="inlineStr">
        <is>
          <t>United Kingdom</t>
        </is>
      </c>
      <c r="C2777" s="122" t="n">
        <v>40</v>
      </c>
      <c r="D2777" s="122" t="n">
        <v>1</v>
      </c>
      <c r="E2777" s="123" t="n">
        <v>656.25</v>
      </c>
      <c r="F2777" s="124">
        <f>IF(C2777&lt;=30,5,IF(C2777&lt;=60,4,IF(C2777&lt;=120,3,IF(C2777&lt;=200,2,1))))</f>
        <v/>
      </c>
      <c r="G2777" s="124">
        <f>IF(D2777&gt;=20,5,IF(D2777&gt;=10,4,IF(D2777&gt;=5,3,IF(D2777&gt;=2,2,1))))</f>
        <v/>
      </c>
      <c r="H2777" s="124">
        <f>IF(E2777&gt;=5000,5,IF(E2777&gt;=2000,4,IF(E2777&gt;=800,3,IF(E2777&gt;=300,2,1))))</f>
        <v/>
      </c>
      <c r="I2777" s="122">
        <f>TEXT(F2777,"0")&amp;TEXT(G2777,"0")&amp;TEXT(H2777,"0")</f>
        <v/>
      </c>
      <c r="J2777" s="122">
        <f>IFERROR(XLOOKUP(I2777,'Segment Map'!A:A,'Segment Map'!B:B,"Need Attention"),"Need Attention")</f>
        <v/>
      </c>
      <c r="K2777" s="122">
        <f>IF(E2777&gt;=5000,"🏆 Platinum",IF(E2777&gt;=2000,"🥇 Gold",IF(E2777&gt;=800,"🥈 Silver","🥉 Bronze")))</f>
        <v/>
      </c>
      <c r="L2777" s="125" t="n">
        <v>40847</v>
      </c>
    </row>
    <row r="2778">
      <c r="A2778" s="126" t="n">
        <v>16128</v>
      </c>
      <c r="B2778" s="126" t="inlineStr">
        <is>
          <t>United Kingdom</t>
        </is>
      </c>
      <c r="C2778" s="126" t="n">
        <v>18</v>
      </c>
      <c r="D2778" s="126" t="n">
        <v>5</v>
      </c>
      <c r="E2778" s="127" t="n">
        <v>1880.22</v>
      </c>
      <c r="F2778" s="128">
        <f>IF(C2778&lt;=30,5,IF(C2778&lt;=60,4,IF(C2778&lt;=120,3,IF(C2778&lt;=200,2,1))))</f>
        <v/>
      </c>
      <c r="G2778" s="128">
        <f>IF(D2778&gt;=20,5,IF(D2778&gt;=10,4,IF(D2778&gt;=5,3,IF(D2778&gt;=2,2,1))))</f>
        <v/>
      </c>
      <c r="H2778" s="128">
        <f>IF(E2778&gt;=5000,5,IF(E2778&gt;=2000,4,IF(E2778&gt;=800,3,IF(E2778&gt;=300,2,1))))</f>
        <v/>
      </c>
      <c r="I2778" s="126">
        <f>TEXT(F2778,"0")&amp;TEXT(G2778,"0")&amp;TEXT(H2778,"0")</f>
        <v/>
      </c>
      <c r="J2778" s="126">
        <f>IFERROR(XLOOKUP(I2778,'Segment Map'!A:A,'Segment Map'!B:B,"Need Attention"),"Need Attention")</f>
        <v/>
      </c>
      <c r="K2778" s="126">
        <f>IF(E2778&gt;=5000,"🏆 Platinum",IF(E2778&gt;=2000,"🥇 Gold",IF(E2778&gt;=800,"🥈 Silver","🥉 Bronze")))</f>
        <v/>
      </c>
      <c r="L2778" s="129" t="n">
        <v>40869</v>
      </c>
    </row>
    <row r="2779">
      <c r="A2779" s="122" t="n">
        <v>16131</v>
      </c>
      <c r="B2779" s="122" t="inlineStr">
        <is>
          <t>United Kingdom</t>
        </is>
      </c>
      <c r="C2779" s="122" t="n">
        <v>52</v>
      </c>
      <c r="D2779" s="122" t="n">
        <v>6</v>
      </c>
      <c r="E2779" s="123" t="n">
        <v>3506.54</v>
      </c>
      <c r="F2779" s="124">
        <f>IF(C2779&lt;=30,5,IF(C2779&lt;=60,4,IF(C2779&lt;=120,3,IF(C2779&lt;=200,2,1))))</f>
        <v/>
      </c>
      <c r="G2779" s="124">
        <f>IF(D2779&gt;=20,5,IF(D2779&gt;=10,4,IF(D2779&gt;=5,3,IF(D2779&gt;=2,2,1))))</f>
        <v/>
      </c>
      <c r="H2779" s="124">
        <f>IF(E2779&gt;=5000,5,IF(E2779&gt;=2000,4,IF(E2779&gt;=800,3,IF(E2779&gt;=300,2,1))))</f>
        <v/>
      </c>
      <c r="I2779" s="122">
        <f>TEXT(F2779,"0")&amp;TEXT(G2779,"0")&amp;TEXT(H2779,"0")</f>
        <v/>
      </c>
      <c r="J2779" s="122">
        <f>IFERROR(XLOOKUP(I2779,'Segment Map'!A:A,'Segment Map'!B:B,"Need Attention"),"Need Attention")</f>
        <v/>
      </c>
      <c r="K2779" s="122">
        <f>IF(E2779&gt;=5000,"🏆 Platinum",IF(E2779&gt;=2000,"🥇 Gold",IF(E2779&gt;=800,"🥈 Silver","🥉 Bronze")))</f>
        <v/>
      </c>
      <c r="L2779" s="125" t="n">
        <v>40835</v>
      </c>
    </row>
    <row r="2780">
      <c r="A2780" s="126" t="n">
        <v>16133</v>
      </c>
      <c r="B2780" s="126" t="inlineStr">
        <is>
          <t>United Kingdom</t>
        </is>
      </c>
      <c r="C2780" s="126" t="n">
        <v>4</v>
      </c>
      <c r="D2780" s="126" t="n">
        <v>33</v>
      </c>
      <c r="E2780" s="127" t="n">
        <v>14589.04</v>
      </c>
      <c r="F2780" s="128">
        <f>IF(C2780&lt;=30,5,IF(C2780&lt;=60,4,IF(C2780&lt;=120,3,IF(C2780&lt;=200,2,1))))</f>
        <v/>
      </c>
      <c r="G2780" s="128">
        <f>IF(D2780&gt;=20,5,IF(D2780&gt;=10,4,IF(D2780&gt;=5,3,IF(D2780&gt;=2,2,1))))</f>
        <v/>
      </c>
      <c r="H2780" s="128">
        <f>IF(E2780&gt;=5000,5,IF(E2780&gt;=2000,4,IF(E2780&gt;=800,3,IF(E2780&gt;=300,2,1))))</f>
        <v/>
      </c>
      <c r="I2780" s="126">
        <f>TEXT(F2780,"0")&amp;TEXT(G2780,"0")&amp;TEXT(H2780,"0")</f>
        <v/>
      </c>
      <c r="J2780" s="126">
        <f>IFERROR(XLOOKUP(I2780,'Segment Map'!A:A,'Segment Map'!B:B,"Need Attention"),"Need Attention")</f>
        <v/>
      </c>
      <c r="K2780" s="126">
        <f>IF(E2780&gt;=5000,"🏆 Platinum",IF(E2780&gt;=2000,"🥇 Gold",IF(E2780&gt;=800,"🥈 Silver","🥉 Bronze")))</f>
        <v/>
      </c>
      <c r="L2780" s="129" t="n">
        <v>40883</v>
      </c>
    </row>
    <row r="2781">
      <c r="A2781" s="122" t="n">
        <v>16134</v>
      </c>
      <c r="B2781" s="122" t="inlineStr">
        <is>
          <t>United Kingdom</t>
        </is>
      </c>
      <c r="C2781" s="122" t="n">
        <v>22</v>
      </c>
      <c r="D2781" s="122" t="n">
        <v>2</v>
      </c>
      <c r="E2781" s="123" t="n">
        <v>618.09</v>
      </c>
      <c r="F2781" s="124">
        <f>IF(C2781&lt;=30,5,IF(C2781&lt;=60,4,IF(C2781&lt;=120,3,IF(C2781&lt;=200,2,1))))</f>
        <v/>
      </c>
      <c r="G2781" s="124">
        <f>IF(D2781&gt;=20,5,IF(D2781&gt;=10,4,IF(D2781&gt;=5,3,IF(D2781&gt;=2,2,1))))</f>
        <v/>
      </c>
      <c r="H2781" s="124">
        <f>IF(E2781&gt;=5000,5,IF(E2781&gt;=2000,4,IF(E2781&gt;=800,3,IF(E2781&gt;=300,2,1))))</f>
        <v/>
      </c>
      <c r="I2781" s="122">
        <f>TEXT(F2781,"0")&amp;TEXT(G2781,"0")&amp;TEXT(H2781,"0")</f>
        <v/>
      </c>
      <c r="J2781" s="122">
        <f>IFERROR(XLOOKUP(I2781,'Segment Map'!A:A,'Segment Map'!B:B,"Need Attention"),"Need Attention")</f>
        <v/>
      </c>
      <c r="K2781" s="122">
        <f>IF(E2781&gt;=5000,"🏆 Platinum",IF(E2781&gt;=2000,"🥇 Gold",IF(E2781&gt;=800,"🥈 Silver","🥉 Bronze")))</f>
        <v/>
      </c>
      <c r="L2781" s="125" t="n">
        <v>40865</v>
      </c>
    </row>
    <row r="2782">
      <c r="A2782" s="126" t="n">
        <v>16135</v>
      </c>
      <c r="B2782" s="126" t="inlineStr">
        <is>
          <t>United Kingdom</t>
        </is>
      </c>
      <c r="C2782" s="126" t="n">
        <v>263</v>
      </c>
      <c r="D2782" s="126" t="n">
        <v>1</v>
      </c>
      <c r="E2782" s="127" t="n">
        <v>517.55</v>
      </c>
      <c r="F2782" s="128">
        <f>IF(C2782&lt;=30,5,IF(C2782&lt;=60,4,IF(C2782&lt;=120,3,IF(C2782&lt;=200,2,1))))</f>
        <v/>
      </c>
      <c r="G2782" s="128">
        <f>IF(D2782&gt;=20,5,IF(D2782&gt;=10,4,IF(D2782&gt;=5,3,IF(D2782&gt;=2,2,1))))</f>
        <v/>
      </c>
      <c r="H2782" s="128">
        <f>IF(E2782&gt;=5000,5,IF(E2782&gt;=2000,4,IF(E2782&gt;=800,3,IF(E2782&gt;=300,2,1))))</f>
        <v/>
      </c>
      <c r="I2782" s="126">
        <f>TEXT(F2782,"0")&amp;TEXT(G2782,"0")&amp;TEXT(H2782,"0")</f>
        <v/>
      </c>
      <c r="J2782" s="126">
        <f>IFERROR(XLOOKUP(I2782,'Segment Map'!A:A,'Segment Map'!B:B,"Need Attention"),"Need Attention")</f>
        <v/>
      </c>
      <c r="K2782" s="126">
        <f>IF(E2782&gt;=5000,"🏆 Platinum",IF(E2782&gt;=2000,"🥇 Gold",IF(E2782&gt;=800,"🥈 Silver","🥉 Bronze")))</f>
        <v/>
      </c>
      <c r="L2782" s="129" t="n">
        <v>40624</v>
      </c>
    </row>
    <row r="2783">
      <c r="A2783" s="122" t="n">
        <v>16136</v>
      </c>
      <c r="B2783" s="122" t="inlineStr">
        <is>
          <t>United Kingdom</t>
        </is>
      </c>
      <c r="C2783" s="122" t="n">
        <v>60</v>
      </c>
      <c r="D2783" s="122" t="n">
        <v>3</v>
      </c>
      <c r="E2783" s="123" t="n">
        <v>709.38</v>
      </c>
      <c r="F2783" s="124">
        <f>IF(C2783&lt;=30,5,IF(C2783&lt;=60,4,IF(C2783&lt;=120,3,IF(C2783&lt;=200,2,1))))</f>
        <v/>
      </c>
      <c r="G2783" s="124">
        <f>IF(D2783&gt;=20,5,IF(D2783&gt;=10,4,IF(D2783&gt;=5,3,IF(D2783&gt;=2,2,1))))</f>
        <v/>
      </c>
      <c r="H2783" s="124">
        <f>IF(E2783&gt;=5000,5,IF(E2783&gt;=2000,4,IF(E2783&gt;=800,3,IF(E2783&gt;=300,2,1))))</f>
        <v/>
      </c>
      <c r="I2783" s="122">
        <f>TEXT(F2783,"0")&amp;TEXT(G2783,"0")&amp;TEXT(H2783,"0")</f>
        <v/>
      </c>
      <c r="J2783" s="122">
        <f>IFERROR(XLOOKUP(I2783,'Segment Map'!A:A,'Segment Map'!B:B,"Need Attention"),"Need Attention")</f>
        <v/>
      </c>
      <c r="K2783" s="122">
        <f>IF(E2783&gt;=5000,"🏆 Platinum",IF(E2783&gt;=2000,"🥇 Gold",IF(E2783&gt;=800,"🥈 Silver","🥉 Bronze")))</f>
        <v/>
      </c>
      <c r="L2783" s="125" t="n">
        <v>40827</v>
      </c>
    </row>
    <row r="2784">
      <c r="A2784" s="126" t="n">
        <v>16139</v>
      </c>
      <c r="B2784" s="126" t="inlineStr">
        <is>
          <t>United Kingdom</t>
        </is>
      </c>
      <c r="C2784" s="126" t="n">
        <v>19</v>
      </c>
      <c r="D2784" s="126" t="n">
        <v>3</v>
      </c>
      <c r="E2784" s="127" t="n">
        <v>635.41</v>
      </c>
      <c r="F2784" s="128">
        <f>IF(C2784&lt;=30,5,IF(C2784&lt;=60,4,IF(C2784&lt;=120,3,IF(C2784&lt;=200,2,1))))</f>
        <v/>
      </c>
      <c r="G2784" s="128">
        <f>IF(D2784&gt;=20,5,IF(D2784&gt;=10,4,IF(D2784&gt;=5,3,IF(D2784&gt;=2,2,1))))</f>
        <v/>
      </c>
      <c r="H2784" s="128">
        <f>IF(E2784&gt;=5000,5,IF(E2784&gt;=2000,4,IF(E2784&gt;=800,3,IF(E2784&gt;=300,2,1))))</f>
        <v/>
      </c>
      <c r="I2784" s="126">
        <f>TEXT(F2784,"0")&amp;TEXT(G2784,"0")&amp;TEXT(H2784,"0")</f>
        <v/>
      </c>
      <c r="J2784" s="126">
        <f>IFERROR(XLOOKUP(I2784,'Segment Map'!A:A,'Segment Map'!B:B,"Need Attention"),"Need Attention")</f>
        <v/>
      </c>
      <c r="K2784" s="126">
        <f>IF(E2784&gt;=5000,"🏆 Platinum",IF(E2784&gt;=2000,"🥇 Gold",IF(E2784&gt;=800,"🥈 Silver","🥉 Bronze")))</f>
        <v/>
      </c>
      <c r="L2784" s="129" t="n">
        <v>40868</v>
      </c>
    </row>
    <row r="2785">
      <c r="A2785" s="122" t="n">
        <v>16140</v>
      </c>
      <c r="B2785" s="122" t="inlineStr">
        <is>
          <t>United Kingdom</t>
        </is>
      </c>
      <c r="C2785" s="122" t="n">
        <v>66</v>
      </c>
      <c r="D2785" s="122" t="n">
        <v>2</v>
      </c>
      <c r="E2785" s="123" t="n">
        <v>725.1799999999999</v>
      </c>
      <c r="F2785" s="124">
        <f>IF(C2785&lt;=30,5,IF(C2785&lt;=60,4,IF(C2785&lt;=120,3,IF(C2785&lt;=200,2,1))))</f>
        <v/>
      </c>
      <c r="G2785" s="124">
        <f>IF(D2785&gt;=20,5,IF(D2785&gt;=10,4,IF(D2785&gt;=5,3,IF(D2785&gt;=2,2,1))))</f>
        <v/>
      </c>
      <c r="H2785" s="124">
        <f>IF(E2785&gt;=5000,5,IF(E2785&gt;=2000,4,IF(E2785&gt;=800,3,IF(E2785&gt;=300,2,1))))</f>
        <v/>
      </c>
      <c r="I2785" s="122">
        <f>TEXT(F2785,"0")&amp;TEXT(G2785,"0")&amp;TEXT(H2785,"0")</f>
        <v/>
      </c>
      <c r="J2785" s="122">
        <f>IFERROR(XLOOKUP(I2785,'Segment Map'!A:A,'Segment Map'!B:B,"Need Attention"),"Need Attention")</f>
        <v/>
      </c>
      <c r="K2785" s="122">
        <f>IF(E2785&gt;=5000,"🏆 Platinum",IF(E2785&gt;=2000,"🥇 Gold",IF(E2785&gt;=800,"🥈 Silver","🥉 Bronze")))</f>
        <v/>
      </c>
      <c r="L2785" s="125" t="n">
        <v>40821</v>
      </c>
    </row>
    <row r="2786">
      <c r="A2786" s="126" t="n">
        <v>16141</v>
      </c>
      <c r="B2786" s="126" t="inlineStr">
        <is>
          <t>United Kingdom</t>
        </is>
      </c>
      <c r="C2786" s="126" t="n">
        <v>89</v>
      </c>
      <c r="D2786" s="126" t="n">
        <v>1</v>
      </c>
      <c r="E2786" s="127" t="n">
        <v>620.4</v>
      </c>
      <c r="F2786" s="128">
        <f>IF(C2786&lt;=30,5,IF(C2786&lt;=60,4,IF(C2786&lt;=120,3,IF(C2786&lt;=200,2,1))))</f>
        <v/>
      </c>
      <c r="G2786" s="128">
        <f>IF(D2786&gt;=20,5,IF(D2786&gt;=10,4,IF(D2786&gt;=5,3,IF(D2786&gt;=2,2,1))))</f>
        <v/>
      </c>
      <c r="H2786" s="128">
        <f>IF(E2786&gt;=5000,5,IF(E2786&gt;=2000,4,IF(E2786&gt;=800,3,IF(E2786&gt;=300,2,1))))</f>
        <v/>
      </c>
      <c r="I2786" s="126">
        <f>TEXT(F2786,"0")&amp;TEXT(G2786,"0")&amp;TEXT(H2786,"0")</f>
        <v/>
      </c>
      <c r="J2786" s="126">
        <f>IFERROR(XLOOKUP(I2786,'Segment Map'!A:A,'Segment Map'!B:B,"Need Attention"),"Need Attention")</f>
        <v/>
      </c>
      <c r="K2786" s="126">
        <f>IF(E2786&gt;=5000,"🏆 Platinum",IF(E2786&gt;=2000,"🥇 Gold",IF(E2786&gt;=800,"🥈 Silver","🥉 Bronze")))</f>
        <v/>
      </c>
      <c r="L2786" s="129" t="n">
        <v>40798</v>
      </c>
    </row>
    <row r="2787">
      <c r="A2787" s="122" t="n">
        <v>16142</v>
      </c>
      <c r="B2787" s="122" t="inlineStr">
        <is>
          <t>United Kingdom</t>
        </is>
      </c>
      <c r="C2787" s="122" t="n">
        <v>250</v>
      </c>
      <c r="D2787" s="122" t="n">
        <v>1</v>
      </c>
      <c r="E2787" s="123" t="n">
        <v>535.34</v>
      </c>
      <c r="F2787" s="124">
        <f>IF(C2787&lt;=30,5,IF(C2787&lt;=60,4,IF(C2787&lt;=120,3,IF(C2787&lt;=200,2,1))))</f>
        <v/>
      </c>
      <c r="G2787" s="124">
        <f>IF(D2787&gt;=20,5,IF(D2787&gt;=10,4,IF(D2787&gt;=5,3,IF(D2787&gt;=2,2,1))))</f>
        <v/>
      </c>
      <c r="H2787" s="124">
        <f>IF(E2787&gt;=5000,5,IF(E2787&gt;=2000,4,IF(E2787&gt;=800,3,IF(E2787&gt;=300,2,1))))</f>
        <v/>
      </c>
      <c r="I2787" s="122">
        <f>TEXT(F2787,"0")&amp;TEXT(G2787,"0")&amp;TEXT(H2787,"0")</f>
        <v/>
      </c>
      <c r="J2787" s="122">
        <f>IFERROR(XLOOKUP(I2787,'Segment Map'!A:A,'Segment Map'!B:B,"Need Attention"),"Need Attention")</f>
        <v/>
      </c>
      <c r="K2787" s="122">
        <f>IF(E2787&gt;=5000,"🏆 Platinum",IF(E2787&gt;=2000,"🥇 Gold",IF(E2787&gt;=800,"🥈 Silver","🥉 Bronze")))</f>
        <v/>
      </c>
      <c r="L2787" s="125" t="n">
        <v>40637</v>
      </c>
    </row>
    <row r="2788">
      <c r="A2788" s="126" t="n">
        <v>16143</v>
      </c>
      <c r="B2788" s="126" t="inlineStr">
        <is>
          <t>United Kingdom</t>
        </is>
      </c>
      <c r="C2788" s="126" t="n">
        <v>4</v>
      </c>
      <c r="D2788" s="126" t="n">
        <v>6</v>
      </c>
      <c r="E2788" s="127" t="n">
        <v>2424.94</v>
      </c>
      <c r="F2788" s="128">
        <f>IF(C2788&lt;=30,5,IF(C2788&lt;=60,4,IF(C2788&lt;=120,3,IF(C2788&lt;=200,2,1))))</f>
        <v/>
      </c>
      <c r="G2788" s="128">
        <f>IF(D2788&gt;=20,5,IF(D2788&gt;=10,4,IF(D2788&gt;=5,3,IF(D2788&gt;=2,2,1))))</f>
        <v/>
      </c>
      <c r="H2788" s="128">
        <f>IF(E2788&gt;=5000,5,IF(E2788&gt;=2000,4,IF(E2788&gt;=800,3,IF(E2788&gt;=300,2,1))))</f>
        <v/>
      </c>
      <c r="I2788" s="126">
        <f>TEXT(F2788,"0")&amp;TEXT(G2788,"0")&amp;TEXT(H2788,"0")</f>
        <v/>
      </c>
      <c r="J2788" s="126">
        <f>IFERROR(XLOOKUP(I2788,'Segment Map'!A:A,'Segment Map'!B:B,"Need Attention"),"Need Attention")</f>
        <v/>
      </c>
      <c r="K2788" s="126">
        <f>IF(E2788&gt;=5000,"🏆 Platinum",IF(E2788&gt;=2000,"🥇 Gold",IF(E2788&gt;=800,"🥈 Silver","🥉 Bronze")))</f>
        <v/>
      </c>
      <c r="L2788" s="129" t="n">
        <v>40883</v>
      </c>
    </row>
    <row r="2789">
      <c r="A2789" s="122" t="n">
        <v>16144</v>
      </c>
      <c r="B2789" s="122" t="inlineStr">
        <is>
          <t>United Kingdom</t>
        </is>
      </c>
      <c r="C2789" s="122" t="n">
        <v>247</v>
      </c>
      <c r="D2789" s="122" t="n">
        <v>1</v>
      </c>
      <c r="E2789" s="123" t="n">
        <v>175.2</v>
      </c>
      <c r="F2789" s="124">
        <f>IF(C2789&lt;=30,5,IF(C2789&lt;=60,4,IF(C2789&lt;=120,3,IF(C2789&lt;=200,2,1))))</f>
        <v/>
      </c>
      <c r="G2789" s="124">
        <f>IF(D2789&gt;=20,5,IF(D2789&gt;=10,4,IF(D2789&gt;=5,3,IF(D2789&gt;=2,2,1))))</f>
        <v/>
      </c>
      <c r="H2789" s="124">
        <f>IF(E2789&gt;=5000,5,IF(E2789&gt;=2000,4,IF(E2789&gt;=800,3,IF(E2789&gt;=300,2,1))))</f>
        <v/>
      </c>
      <c r="I2789" s="122">
        <f>TEXT(F2789,"0")&amp;TEXT(G2789,"0")&amp;TEXT(H2789,"0")</f>
        <v/>
      </c>
      <c r="J2789" s="122">
        <f>IFERROR(XLOOKUP(I2789,'Segment Map'!A:A,'Segment Map'!B:B,"Need Attention"),"Need Attention")</f>
        <v/>
      </c>
      <c r="K2789" s="122">
        <f>IF(E2789&gt;=5000,"🏆 Platinum",IF(E2789&gt;=2000,"🥇 Gold",IF(E2789&gt;=800,"🥈 Silver","🥉 Bronze")))</f>
        <v/>
      </c>
      <c r="L2789" s="125" t="n">
        <v>40640</v>
      </c>
    </row>
    <row r="2790">
      <c r="A2790" s="126" t="n">
        <v>16145</v>
      </c>
      <c r="B2790" s="126" t="inlineStr">
        <is>
          <t>United Kingdom</t>
        </is>
      </c>
      <c r="C2790" s="126" t="n">
        <v>9</v>
      </c>
      <c r="D2790" s="126" t="n">
        <v>11</v>
      </c>
      <c r="E2790" s="127" t="n">
        <v>3799.49</v>
      </c>
      <c r="F2790" s="128">
        <f>IF(C2790&lt;=30,5,IF(C2790&lt;=60,4,IF(C2790&lt;=120,3,IF(C2790&lt;=200,2,1))))</f>
        <v/>
      </c>
      <c r="G2790" s="128">
        <f>IF(D2790&gt;=20,5,IF(D2790&gt;=10,4,IF(D2790&gt;=5,3,IF(D2790&gt;=2,2,1))))</f>
        <v/>
      </c>
      <c r="H2790" s="128">
        <f>IF(E2790&gt;=5000,5,IF(E2790&gt;=2000,4,IF(E2790&gt;=800,3,IF(E2790&gt;=300,2,1))))</f>
        <v/>
      </c>
      <c r="I2790" s="126">
        <f>TEXT(F2790,"0")&amp;TEXT(G2790,"0")&amp;TEXT(H2790,"0")</f>
        <v/>
      </c>
      <c r="J2790" s="126">
        <f>IFERROR(XLOOKUP(I2790,'Segment Map'!A:A,'Segment Map'!B:B,"Need Attention"),"Need Attention")</f>
        <v/>
      </c>
      <c r="K2790" s="126">
        <f>IF(E2790&gt;=5000,"🏆 Platinum",IF(E2790&gt;=2000,"🥇 Gold",IF(E2790&gt;=800,"🥈 Silver","🥉 Bronze")))</f>
        <v/>
      </c>
      <c r="L2790" s="129" t="n">
        <v>40878</v>
      </c>
    </row>
    <row r="2791">
      <c r="A2791" s="122" t="n">
        <v>16146</v>
      </c>
      <c r="B2791" s="122" t="inlineStr">
        <is>
          <t>United Kingdom</t>
        </is>
      </c>
      <c r="C2791" s="122" t="n">
        <v>158</v>
      </c>
      <c r="D2791" s="122" t="n">
        <v>3</v>
      </c>
      <c r="E2791" s="123" t="n">
        <v>734.13</v>
      </c>
      <c r="F2791" s="124">
        <f>IF(C2791&lt;=30,5,IF(C2791&lt;=60,4,IF(C2791&lt;=120,3,IF(C2791&lt;=200,2,1))))</f>
        <v/>
      </c>
      <c r="G2791" s="124">
        <f>IF(D2791&gt;=20,5,IF(D2791&gt;=10,4,IF(D2791&gt;=5,3,IF(D2791&gt;=2,2,1))))</f>
        <v/>
      </c>
      <c r="H2791" s="124">
        <f>IF(E2791&gt;=5000,5,IF(E2791&gt;=2000,4,IF(E2791&gt;=800,3,IF(E2791&gt;=300,2,1))))</f>
        <v/>
      </c>
      <c r="I2791" s="122">
        <f>TEXT(F2791,"0")&amp;TEXT(G2791,"0")&amp;TEXT(H2791,"0")</f>
        <v/>
      </c>
      <c r="J2791" s="122">
        <f>IFERROR(XLOOKUP(I2791,'Segment Map'!A:A,'Segment Map'!B:B,"Need Attention"),"Need Attention")</f>
        <v/>
      </c>
      <c r="K2791" s="122">
        <f>IF(E2791&gt;=5000,"🏆 Platinum",IF(E2791&gt;=2000,"🥇 Gold",IF(E2791&gt;=800,"🥈 Silver","🥉 Bronze")))</f>
        <v/>
      </c>
      <c r="L2791" s="125" t="n">
        <v>40729</v>
      </c>
    </row>
    <row r="2792">
      <c r="A2792" s="126" t="n">
        <v>16147</v>
      </c>
      <c r="B2792" s="126" t="inlineStr">
        <is>
          <t>United Kingdom</t>
        </is>
      </c>
      <c r="C2792" s="126" t="n">
        <v>134</v>
      </c>
      <c r="D2792" s="126" t="n">
        <v>1</v>
      </c>
      <c r="E2792" s="127" t="n">
        <v>375</v>
      </c>
      <c r="F2792" s="128">
        <f>IF(C2792&lt;=30,5,IF(C2792&lt;=60,4,IF(C2792&lt;=120,3,IF(C2792&lt;=200,2,1))))</f>
        <v/>
      </c>
      <c r="G2792" s="128">
        <f>IF(D2792&gt;=20,5,IF(D2792&gt;=10,4,IF(D2792&gt;=5,3,IF(D2792&gt;=2,2,1))))</f>
        <v/>
      </c>
      <c r="H2792" s="128">
        <f>IF(E2792&gt;=5000,5,IF(E2792&gt;=2000,4,IF(E2792&gt;=800,3,IF(E2792&gt;=300,2,1))))</f>
        <v/>
      </c>
      <c r="I2792" s="126">
        <f>TEXT(F2792,"0")&amp;TEXT(G2792,"0")&amp;TEXT(H2792,"0")</f>
        <v/>
      </c>
      <c r="J2792" s="126">
        <f>IFERROR(XLOOKUP(I2792,'Segment Map'!A:A,'Segment Map'!B:B,"Need Attention"),"Need Attention")</f>
        <v/>
      </c>
      <c r="K2792" s="126">
        <f>IF(E2792&gt;=5000,"🏆 Platinum",IF(E2792&gt;=2000,"🥇 Gold",IF(E2792&gt;=800,"🥈 Silver","🥉 Bronze")))</f>
        <v/>
      </c>
      <c r="L2792" s="129" t="n">
        <v>40753</v>
      </c>
    </row>
    <row r="2793">
      <c r="A2793" s="122" t="n">
        <v>16148</v>
      </c>
      <c r="B2793" s="122" t="inlineStr">
        <is>
          <t>United Kingdom</t>
        </is>
      </c>
      <c r="C2793" s="122" t="n">
        <v>297</v>
      </c>
      <c r="D2793" s="122" t="n">
        <v>1</v>
      </c>
      <c r="E2793" s="123" t="n">
        <v>76.31999999999999</v>
      </c>
      <c r="F2793" s="124">
        <f>IF(C2793&lt;=30,5,IF(C2793&lt;=60,4,IF(C2793&lt;=120,3,IF(C2793&lt;=200,2,1))))</f>
        <v/>
      </c>
      <c r="G2793" s="124">
        <f>IF(D2793&gt;=20,5,IF(D2793&gt;=10,4,IF(D2793&gt;=5,3,IF(D2793&gt;=2,2,1))))</f>
        <v/>
      </c>
      <c r="H2793" s="124">
        <f>IF(E2793&gt;=5000,5,IF(E2793&gt;=2000,4,IF(E2793&gt;=800,3,IF(E2793&gt;=300,2,1))))</f>
        <v/>
      </c>
      <c r="I2793" s="122">
        <f>TEXT(F2793,"0")&amp;TEXT(G2793,"0")&amp;TEXT(H2793,"0")</f>
        <v/>
      </c>
      <c r="J2793" s="122">
        <f>IFERROR(XLOOKUP(I2793,'Segment Map'!A:A,'Segment Map'!B:B,"Need Attention"),"Need Attention")</f>
        <v/>
      </c>
      <c r="K2793" s="122">
        <f>IF(E2793&gt;=5000,"🏆 Platinum",IF(E2793&gt;=2000,"🥇 Gold",IF(E2793&gt;=800,"🥈 Silver","🥉 Bronze")))</f>
        <v/>
      </c>
      <c r="L2793" s="125" t="n">
        <v>40590</v>
      </c>
    </row>
    <row r="2794">
      <c r="A2794" s="126" t="n">
        <v>16149</v>
      </c>
      <c r="B2794" s="126" t="inlineStr">
        <is>
          <t>United Kingdom</t>
        </is>
      </c>
      <c r="C2794" s="126" t="n">
        <v>5</v>
      </c>
      <c r="D2794" s="126" t="n">
        <v>2</v>
      </c>
      <c r="E2794" s="127" t="n">
        <v>280.52</v>
      </c>
      <c r="F2794" s="128">
        <f>IF(C2794&lt;=30,5,IF(C2794&lt;=60,4,IF(C2794&lt;=120,3,IF(C2794&lt;=200,2,1))))</f>
        <v/>
      </c>
      <c r="G2794" s="128">
        <f>IF(D2794&gt;=20,5,IF(D2794&gt;=10,4,IF(D2794&gt;=5,3,IF(D2794&gt;=2,2,1))))</f>
        <v/>
      </c>
      <c r="H2794" s="128">
        <f>IF(E2794&gt;=5000,5,IF(E2794&gt;=2000,4,IF(E2794&gt;=800,3,IF(E2794&gt;=300,2,1))))</f>
        <v/>
      </c>
      <c r="I2794" s="126">
        <f>TEXT(F2794,"0")&amp;TEXT(G2794,"0")&amp;TEXT(H2794,"0")</f>
        <v/>
      </c>
      <c r="J2794" s="126">
        <f>IFERROR(XLOOKUP(I2794,'Segment Map'!A:A,'Segment Map'!B:B,"Need Attention"),"Need Attention")</f>
        <v/>
      </c>
      <c r="K2794" s="126">
        <f>IF(E2794&gt;=5000,"🏆 Platinum",IF(E2794&gt;=2000,"🥇 Gold",IF(E2794&gt;=800,"🥈 Silver","🥉 Bronze")))</f>
        <v/>
      </c>
      <c r="L2794" s="129" t="n">
        <v>40882</v>
      </c>
    </row>
    <row r="2795">
      <c r="A2795" s="122" t="n">
        <v>16150</v>
      </c>
      <c r="B2795" s="122" t="inlineStr">
        <is>
          <t>United Kingdom</t>
        </is>
      </c>
      <c r="C2795" s="122" t="n">
        <v>43</v>
      </c>
      <c r="D2795" s="122" t="n">
        <v>5</v>
      </c>
      <c r="E2795" s="123" t="n">
        <v>2053.02</v>
      </c>
      <c r="F2795" s="124">
        <f>IF(C2795&lt;=30,5,IF(C2795&lt;=60,4,IF(C2795&lt;=120,3,IF(C2795&lt;=200,2,1))))</f>
        <v/>
      </c>
      <c r="G2795" s="124">
        <f>IF(D2795&gt;=20,5,IF(D2795&gt;=10,4,IF(D2795&gt;=5,3,IF(D2795&gt;=2,2,1))))</f>
        <v/>
      </c>
      <c r="H2795" s="124">
        <f>IF(E2795&gt;=5000,5,IF(E2795&gt;=2000,4,IF(E2795&gt;=800,3,IF(E2795&gt;=300,2,1))))</f>
        <v/>
      </c>
      <c r="I2795" s="122">
        <f>TEXT(F2795,"0")&amp;TEXT(G2795,"0")&amp;TEXT(H2795,"0")</f>
        <v/>
      </c>
      <c r="J2795" s="122">
        <f>IFERROR(XLOOKUP(I2795,'Segment Map'!A:A,'Segment Map'!B:B,"Need Attention"),"Need Attention")</f>
        <v/>
      </c>
      <c r="K2795" s="122">
        <f>IF(E2795&gt;=5000,"🏆 Platinum",IF(E2795&gt;=2000,"🥇 Gold",IF(E2795&gt;=800,"🥈 Silver","🥉 Bronze")))</f>
        <v/>
      </c>
      <c r="L2795" s="125" t="n">
        <v>40844</v>
      </c>
    </row>
    <row r="2796">
      <c r="A2796" s="126" t="n">
        <v>16152</v>
      </c>
      <c r="B2796" s="126" t="inlineStr">
        <is>
          <t>United Kingdom</t>
        </is>
      </c>
      <c r="C2796" s="126" t="n">
        <v>269</v>
      </c>
      <c r="D2796" s="126" t="n">
        <v>1</v>
      </c>
      <c r="E2796" s="127" t="n">
        <v>1829.04</v>
      </c>
      <c r="F2796" s="128">
        <f>IF(C2796&lt;=30,5,IF(C2796&lt;=60,4,IF(C2796&lt;=120,3,IF(C2796&lt;=200,2,1))))</f>
        <v/>
      </c>
      <c r="G2796" s="128">
        <f>IF(D2796&gt;=20,5,IF(D2796&gt;=10,4,IF(D2796&gt;=5,3,IF(D2796&gt;=2,2,1))))</f>
        <v/>
      </c>
      <c r="H2796" s="128">
        <f>IF(E2796&gt;=5000,5,IF(E2796&gt;=2000,4,IF(E2796&gt;=800,3,IF(E2796&gt;=300,2,1))))</f>
        <v/>
      </c>
      <c r="I2796" s="126">
        <f>TEXT(F2796,"0")&amp;TEXT(G2796,"0")&amp;TEXT(H2796,"0")</f>
        <v/>
      </c>
      <c r="J2796" s="126">
        <f>IFERROR(XLOOKUP(I2796,'Segment Map'!A:A,'Segment Map'!B:B,"Need Attention"),"Need Attention")</f>
        <v/>
      </c>
      <c r="K2796" s="126">
        <f>IF(E2796&gt;=5000,"🏆 Platinum",IF(E2796&gt;=2000,"🥇 Gold",IF(E2796&gt;=800,"🥈 Silver","🥉 Bronze")))</f>
        <v/>
      </c>
      <c r="L2796" s="129" t="n">
        <v>40618</v>
      </c>
    </row>
    <row r="2797">
      <c r="A2797" s="122" t="n">
        <v>16153</v>
      </c>
      <c r="B2797" s="122" t="inlineStr">
        <is>
          <t>United Kingdom</t>
        </is>
      </c>
      <c r="C2797" s="122" t="n">
        <v>50</v>
      </c>
      <c r="D2797" s="122" t="n">
        <v>5</v>
      </c>
      <c r="E2797" s="123" t="n">
        <v>1824.23</v>
      </c>
      <c r="F2797" s="124">
        <f>IF(C2797&lt;=30,5,IF(C2797&lt;=60,4,IF(C2797&lt;=120,3,IF(C2797&lt;=200,2,1))))</f>
        <v/>
      </c>
      <c r="G2797" s="124">
        <f>IF(D2797&gt;=20,5,IF(D2797&gt;=10,4,IF(D2797&gt;=5,3,IF(D2797&gt;=2,2,1))))</f>
        <v/>
      </c>
      <c r="H2797" s="124">
        <f>IF(E2797&gt;=5000,5,IF(E2797&gt;=2000,4,IF(E2797&gt;=800,3,IF(E2797&gt;=300,2,1))))</f>
        <v/>
      </c>
      <c r="I2797" s="122">
        <f>TEXT(F2797,"0")&amp;TEXT(G2797,"0")&amp;TEXT(H2797,"0")</f>
        <v/>
      </c>
      <c r="J2797" s="122">
        <f>IFERROR(XLOOKUP(I2797,'Segment Map'!A:A,'Segment Map'!B:B,"Need Attention"),"Need Attention")</f>
        <v/>
      </c>
      <c r="K2797" s="122">
        <f>IF(E2797&gt;=5000,"🏆 Platinum",IF(E2797&gt;=2000,"🥇 Gold",IF(E2797&gt;=800,"🥈 Silver","🥉 Bronze")))</f>
        <v/>
      </c>
      <c r="L2797" s="125" t="n">
        <v>40837</v>
      </c>
    </row>
    <row r="2798">
      <c r="A2798" s="126" t="n">
        <v>16156</v>
      </c>
      <c r="B2798" s="126" t="inlineStr">
        <is>
          <t>United Kingdom</t>
        </is>
      </c>
      <c r="C2798" s="126" t="n">
        <v>9</v>
      </c>
      <c r="D2798" s="126" t="n">
        <v>9</v>
      </c>
      <c r="E2798" s="127" t="n">
        <v>3122.04</v>
      </c>
      <c r="F2798" s="128">
        <f>IF(C2798&lt;=30,5,IF(C2798&lt;=60,4,IF(C2798&lt;=120,3,IF(C2798&lt;=200,2,1))))</f>
        <v/>
      </c>
      <c r="G2798" s="128">
        <f>IF(D2798&gt;=20,5,IF(D2798&gt;=10,4,IF(D2798&gt;=5,3,IF(D2798&gt;=2,2,1))))</f>
        <v/>
      </c>
      <c r="H2798" s="128">
        <f>IF(E2798&gt;=5000,5,IF(E2798&gt;=2000,4,IF(E2798&gt;=800,3,IF(E2798&gt;=300,2,1))))</f>
        <v/>
      </c>
      <c r="I2798" s="126">
        <f>TEXT(F2798,"0")&amp;TEXT(G2798,"0")&amp;TEXT(H2798,"0")</f>
        <v/>
      </c>
      <c r="J2798" s="126">
        <f>IFERROR(XLOOKUP(I2798,'Segment Map'!A:A,'Segment Map'!B:B,"Need Attention"),"Need Attention")</f>
        <v/>
      </c>
      <c r="K2798" s="126">
        <f>IF(E2798&gt;=5000,"🏆 Platinum",IF(E2798&gt;=2000,"🥇 Gold",IF(E2798&gt;=800,"🥈 Silver","🥉 Bronze")))</f>
        <v/>
      </c>
      <c r="L2798" s="129" t="n">
        <v>40878</v>
      </c>
    </row>
    <row r="2799">
      <c r="A2799" s="122" t="n">
        <v>16157</v>
      </c>
      <c r="B2799" s="122" t="inlineStr">
        <is>
          <t>United Kingdom</t>
        </is>
      </c>
      <c r="C2799" s="122" t="n">
        <v>16</v>
      </c>
      <c r="D2799" s="122" t="n">
        <v>3</v>
      </c>
      <c r="E2799" s="123" t="n">
        <v>656.6900000000001</v>
      </c>
      <c r="F2799" s="124">
        <f>IF(C2799&lt;=30,5,IF(C2799&lt;=60,4,IF(C2799&lt;=120,3,IF(C2799&lt;=200,2,1))))</f>
        <v/>
      </c>
      <c r="G2799" s="124">
        <f>IF(D2799&gt;=20,5,IF(D2799&gt;=10,4,IF(D2799&gt;=5,3,IF(D2799&gt;=2,2,1))))</f>
        <v/>
      </c>
      <c r="H2799" s="124">
        <f>IF(E2799&gt;=5000,5,IF(E2799&gt;=2000,4,IF(E2799&gt;=800,3,IF(E2799&gt;=300,2,1))))</f>
        <v/>
      </c>
      <c r="I2799" s="122">
        <f>TEXT(F2799,"0")&amp;TEXT(G2799,"0")&amp;TEXT(H2799,"0")</f>
        <v/>
      </c>
      <c r="J2799" s="122">
        <f>IFERROR(XLOOKUP(I2799,'Segment Map'!A:A,'Segment Map'!B:B,"Need Attention"),"Need Attention")</f>
        <v/>
      </c>
      <c r="K2799" s="122">
        <f>IF(E2799&gt;=5000,"🏆 Platinum",IF(E2799&gt;=2000,"🥇 Gold",IF(E2799&gt;=800,"🥈 Silver","🥉 Bronze")))</f>
        <v/>
      </c>
      <c r="L2799" s="125" t="n">
        <v>40871</v>
      </c>
    </row>
    <row r="2800">
      <c r="A2800" s="126" t="n">
        <v>16159</v>
      </c>
      <c r="B2800" s="126" t="inlineStr">
        <is>
          <t>United Kingdom</t>
        </is>
      </c>
      <c r="C2800" s="126" t="n">
        <v>282</v>
      </c>
      <c r="D2800" s="126" t="n">
        <v>1</v>
      </c>
      <c r="E2800" s="127" t="n">
        <v>348.2</v>
      </c>
      <c r="F2800" s="128">
        <f>IF(C2800&lt;=30,5,IF(C2800&lt;=60,4,IF(C2800&lt;=120,3,IF(C2800&lt;=200,2,1))))</f>
        <v/>
      </c>
      <c r="G2800" s="128">
        <f>IF(D2800&gt;=20,5,IF(D2800&gt;=10,4,IF(D2800&gt;=5,3,IF(D2800&gt;=2,2,1))))</f>
        <v/>
      </c>
      <c r="H2800" s="128">
        <f>IF(E2800&gt;=5000,5,IF(E2800&gt;=2000,4,IF(E2800&gt;=800,3,IF(E2800&gt;=300,2,1))))</f>
        <v/>
      </c>
      <c r="I2800" s="126">
        <f>TEXT(F2800,"0")&amp;TEXT(G2800,"0")&amp;TEXT(H2800,"0")</f>
        <v/>
      </c>
      <c r="J2800" s="126">
        <f>IFERROR(XLOOKUP(I2800,'Segment Map'!A:A,'Segment Map'!B:B,"Need Attention"),"Need Attention")</f>
        <v/>
      </c>
      <c r="K2800" s="126">
        <f>IF(E2800&gt;=5000,"🏆 Platinum",IF(E2800&gt;=2000,"🥇 Gold",IF(E2800&gt;=800,"🥈 Silver","🥉 Bronze")))</f>
        <v/>
      </c>
      <c r="L2800" s="129" t="n">
        <v>40605</v>
      </c>
    </row>
    <row r="2801">
      <c r="A2801" s="122" t="n">
        <v>16160</v>
      </c>
      <c r="B2801" s="122" t="inlineStr">
        <is>
          <t>United Kingdom</t>
        </is>
      </c>
      <c r="C2801" s="122" t="n">
        <v>66</v>
      </c>
      <c r="D2801" s="122" t="n">
        <v>2</v>
      </c>
      <c r="E2801" s="123" t="n">
        <v>1025.44</v>
      </c>
      <c r="F2801" s="124">
        <f>IF(C2801&lt;=30,5,IF(C2801&lt;=60,4,IF(C2801&lt;=120,3,IF(C2801&lt;=200,2,1))))</f>
        <v/>
      </c>
      <c r="G2801" s="124">
        <f>IF(D2801&gt;=20,5,IF(D2801&gt;=10,4,IF(D2801&gt;=5,3,IF(D2801&gt;=2,2,1))))</f>
        <v/>
      </c>
      <c r="H2801" s="124">
        <f>IF(E2801&gt;=5000,5,IF(E2801&gt;=2000,4,IF(E2801&gt;=800,3,IF(E2801&gt;=300,2,1))))</f>
        <v/>
      </c>
      <c r="I2801" s="122">
        <f>TEXT(F2801,"0")&amp;TEXT(G2801,"0")&amp;TEXT(H2801,"0")</f>
        <v/>
      </c>
      <c r="J2801" s="122">
        <f>IFERROR(XLOOKUP(I2801,'Segment Map'!A:A,'Segment Map'!B:B,"Need Attention"),"Need Attention")</f>
        <v/>
      </c>
      <c r="K2801" s="122">
        <f>IF(E2801&gt;=5000,"🏆 Platinum",IF(E2801&gt;=2000,"🥇 Gold",IF(E2801&gt;=800,"🥈 Silver","🥉 Bronze")))</f>
        <v/>
      </c>
      <c r="L2801" s="125" t="n">
        <v>40821</v>
      </c>
    </row>
    <row r="2802">
      <c r="A2802" s="126" t="n">
        <v>16161</v>
      </c>
      <c r="B2802" s="126" t="inlineStr">
        <is>
          <t>United Kingdom</t>
        </is>
      </c>
      <c r="C2802" s="126" t="n">
        <v>2</v>
      </c>
      <c r="D2802" s="126" t="n">
        <v>19</v>
      </c>
      <c r="E2802" s="127" t="n">
        <v>5575.56</v>
      </c>
      <c r="F2802" s="128">
        <f>IF(C2802&lt;=30,5,IF(C2802&lt;=60,4,IF(C2802&lt;=120,3,IF(C2802&lt;=200,2,1))))</f>
        <v/>
      </c>
      <c r="G2802" s="128">
        <f>IF(D2802&gt;=20,5,IF(D2802&gt;=10,4,IF(D2802&gt;=5,3,IF(D2802&gt;=2,2,1))))</f>
        <v/>
      </c>
      <c r="H2802" s="128">
        <f>IF(E2802&gt;=5000,5,IF(E2802&gt;=2000,4,IF(E2802&gt;=800,3,IF(E2802&gt;=300,2,1))))</f>
        <v/>
      </c>
      <c r="I2802" s="126">
        <f>TEXT(F2802,"0")&amp;TEXT(G2802,"0")&amp;TEXT(H2802,"0")</f>
        <v/>
      </c>
      <c r="J2802" s="126">
        <f>IFERROR(XLOOKUP(I2802,'Segment Map'!A:A,'Segment Map'!B:B,"Need Attention"),"Need Attention")</f>
        <v/>
      </c>
      <c r="K2802" s="126">
        <f>IF(E2802&gt;=5000,"🏆 Platinum",IF(E2802&gt;=2000,"🥇 Gold",IF(E2802&gt;=800,"🥈 Silver","🥉 Bronze")))</f>
        <v/>
      </c>
      <c r="L2802" s="129" t="n">
        <v>40885</v>
      </c>
    </row>
    <row r="2803">
      <c r="A2803" s="122" t="n">
        <v>16162</v>
      </c>
      <c r="B2803" s="122" t="inlineStr">
        <is>
          <t>United Kingdom</t>
        </is>
      </c>
      <c r="C2803" s="122" t="n">
        <v>253</v>
      </c>
      <c r="D2803" s="122" t="n">
        <v>1</v>
      </c>
      <c r="E2803" s="123" t="n">
        <v>37.4</v>
      </c>
      <c r="F2803" s="124">
        <f>IF(C2803&lt;=30,5,IF(C2803&lt;=60,4,IF(C2803&lt;=120,3,IF(C2803&lt;=200,2,1))))</f>
        <v/>
      </c>
      <c r="G2803" s="124">
        <f>IF(D2803&gt;=20,5,IF(D2803&gt;=10,4,IF(D2803&gt;=5,3,IF(D2803&gt;=2,2,1))))</f>
        <v/>
      </c>
      <c r="H2803" s="124">
        <f>IF(E2803&gt;=5000,5,IF(E2803&gt;=2000,4,IF(E2803&gt;=800,3,IF(E2803&gt;=300,2,1))))</f>
        <v/>
      </c>
      <c r="I2803" s="122">
        <f>TEXT(F2803,"0")&amp;TEXT(G2803,"0")&amp;TEXT(H2803,"0")</f>
        <v/>
      </c>
      <c r="J2803" s="122">
        <f>IFERROR(XLOOKUP(I2803,'Segment Map'!A:A,'Segment Map'!B:B,"Need Attention"),"Need Attention")</f>
        <v/>
      </c>
      <c r="K2803" s="122">
        <f>IF(E2803&gt;=5000,"🏆 Platinum",IF(E2803&gt;=2000,"🥇 Gold",IF(E2803&gt;=800,"🥈 Silver","🥉 Bronze")))</f>
        <v/>
      </c>
      <c r="L2803" s="125" t="n">
        <v>40634</v>
      </c>
    </row>
    <row r="2804">
      <c r="A2804" s="126" t="n">
        <v>16163</v>
      </c>
      <c r="B2804" s="126" t="inlineStr">
        <is>
          <t>United Kingdom</t>
        </is>
      </c>
      <c r="C2804" s="126" t="n">
        <v>233</v>
      </c>
      <c r="D2804" s="126" t="n">
        <v>2</v>
      </c>
      <c r="E2804" s="127" t="n">
        <v>856.6</v>
      </c>
      <c r="F2804" s="128">
        <f>IF(C2804&lt;=30,5,IF(C2804&lt;=60,4,IF(C2804&lt;=120,3,IF(C2804&lt;=200,2,1))))</f>
        <v/>
      </c>
      <c r="G2804" s="128">
        <f>IF(D2804&gt;=20,5,IF(D2804&gt;=10,4,IF(D2804&gt;=5,3,IF(D2804&gt;=2,2,1))))</f>
        <v/>
      </c>
      <c r="H2804" s="128">
        <f>IF(E2804&gt;=5000,5,IF(E2804&gt;=2000,4,IF(E2804&gt;=800,3,IF(E2804&gt;=300,2,1))))</f>
        <v/>
      </c>
      <c r="I2804" s="126">
        <f>TEXT(F2804,"0")&amp;TEXT(G2804,"0")&amp;TEXT(H2804,"0")</f>
        <v/>
      </c>
      <c r="J2804" s="126">
        <f>IFERROR(XLOOKUP(I2804,'Segment Map'!A:A,'Segment Map'!B:B,"Need Attention"),"Need Attention")</f>
        <v/>
      </c>
      <c r="K2804" s="126">
        <f>IF(E2804&gt;=5000,"🏆 Platinum",IF(E2804&gt;=2000,"🥇 Gold",IF(E2804&gt;=800,"🥈 Silver","🥉 Bronze")))</f>
        <v/>
      </c>
      <c r="L2804" s="129" t="n">
        <v>40654</v>
      </c>
    </row>
    <row r="2805">
      <c r="A2805" s="122" t="n">
        <v>16164</v>
      </c>
      <c r="B2805" s="122" t="inlineStr">
        <is>
          <t>United Kingdom</t>
        </is>
      </c>
      <c r="C2805" s="122" t="n">
        <v>18</v>
      </c>
      <c r="D2805" s="122" t="n">
        <v>3</v>
      </c>
      <c r="E2805" s="123" t="n">
        <v>822.48</v>
      </c>
      <c r="F2805" s="124">
        <f>IF(C2805&lt;=30,5,IF(C2805&lt;=60,4,IF(C2805&lt;=120,3,IF(C2805&lt;=200,2,1))))</f>
        <v/>
      </c>
      <c r="G2805" s="124">
        <f>IF(D2805&gt;=20,5,IF(D2805&gt;=10,4,IF(D2805&gt;=5,3,IF(D2805&gt;=2,2,1))))</f>
        <v/>
      </c>
      <c r="H2805" s="124">
        <f>IF(E2805&gt;=5000,5,IF(E2805&gt;=2000,4,IF(E2805&gt;=800,3,IF(E2805&gt;=300,2,1))))</f>
        <v/>
      </c>
      <c r="I2805" s="122">
        <f>TEXT(F2805,"0")&amp;TEXT(G2805,"0")&amp;TEXT(H2805,"0")</f>
        <v/>
      </c>
      <c r="J2805" s="122">
        <f>IFERROR(XLOOKUP(I2805,'Segment Map'!A:A,'Segment Map'!B:B,"Need Attention"),"Need Attention")</f>
        <v/>
      </c>
      <c r="K2805" s="122">
        <f>IF(E2805&gt;=5000,"🏆 Platinum",IF(E2805&gt;=2000,"🥇 Gold",IF(E2805&gt;=800,"🥈 Silver","🥉 Bronze")))</f>
        <v/>
      </c>
      <c r="L2805" s="125" t="n">
        <v>40869</v>
      </c>
    </row>
    <row r="2806">
      <c r="A2806" s="126" t="n">
        <v>16168</v>
      </c>
      <c r="B2806" s="126" t="inlineStr">
        <is>
          <t>United Kingdom</t>
        </is>
      </c>
      <c r="C2806" s="126" t="n">
        <v>11</v>
      </c>
      <c r="D2806" s="126" t="n">
        <v>27</v>
      </c>
      <c r="E2806" s="127" t="n">
        <v>3787.6</v>
      </c>
      <c r="F2806" s="128">
        <f>IF(C2806&lt;=30,5,IF(C2806&lt;=60,4,IF(C2806&lt;=120,3,IF(C2806&lt;=200,2,1))))</f>
        <v/>
      </c>
      <c r="G2806" s="128">
        <f>IF(D2806&gt;=20,5,IF(D2806&gt;=10,4,IF(D2806&gt;=5,3,IF(D2806&gt;=2,2,1))))</f>
        <v/>
      </c>
      <c r="H2806" s="128">
        <f>IF(E2806&gt;=5000,5,IF(E2806&gt;=2000,4,IF(E2806&gt;=800,3,IF(E2806&gt;=300,2,1))))</f>
        <v/>
      </c>
      <c r="I2806" s="126">
        <f>TEXT(F2806,"0")&amp;TEXT(G2806,"0")&amp;TEXT(H2806,"0")</f>
        <v/>
      </c>
      <c r="J2806" s="126">
        <f>IFERROR(XLOOKUP(I2806,'Segment Map'!A:A,'Segment Map'!B:B,"Need Attention"),"Need Attention")</f>
        <v/>
      </c>
      <c r="K2806" s="126">
        <f>IF(E2806&gt;=5000,"🏆 Platinum",IF(E2806&gt;=2000,"🥇 Gold",IF(E2806&gt;=800,"🥈 Silver","🥉 Bronze")))</f>
        <v/>
      </c>
      <c r="L2806" s="129" t="n">
        <v>40876</v>
      </c>
    </row>
    <row r="2807">
      <c r="A2807" s="122" t="n">
        <v>16169</v>
      </c>
      <c r="B2807" s="122" t="inlineStr">
        <is>
          <t>United Kingdom</t>
        </is>
      </c>
      <c r="C2807" s="122" t="n">
        <v>9</v>
      </c>
      <c r="D2807" s="122" t="n">
        <v>4</v>
      </c>
      <c r="E2807" s="123" t="n">
        <v>1822.97</v>
      </c>
      <c r="F2807" s="124">
        <f>IF(C2807&lt;=30,5,IF(C2807&lt;=60,4,IF(C2807&lt;=120,3,IF(C2807&lt;=200,2,1))))</f>
        <v/>
      </c>
      <c r="G2807" s="124">
        <f>IF(D2807&gt;=20,5,IF(D2807&gt;=10,4,IF(D2807&gt;=5,3,IF(D2807&gt;=2,2,1))))</f>
        <v/>
      </c>
      <c r="H2807" s="124">
        <f>IF(E2807&gt;=5000,5,IF(E2807&gt;=2000,4,IF(E2807&gt;=800,3,IF(E2807&gt;=300,2,1))))</f>
        <v/>
      </c>
      <c r="I2807" s="122">
        <f>TEXT(F2807,"0")&amp;TEXT(G2807,"0")&amp;TEXT(H2807,"0")</f>
        <v/>
      </c>
      <c r="J2807" s="122">
        <f>IFERROR(XLOOKUP(I2807,'Segment Map'!A:A,'Segment Map'!B:B,"Need Attention"),"Need Attention")</f>
        <v/>
      </c>
      <c r="K2807" s="122">
        <f>IF(E2807&gt;=5000,"🏆 Platinum",IF(E2807&gt;=2000,"🥇 Gold",IF(E2807&gt;=800,"🥈 Silver","🥉 Bronze")))</f>
        <v/>
      </c>
      <c r="L2807" s="125" t="n">
        <v>40878</v>
      </c>
    </row>
    <row r="2808">
      <c r="A2808" s="126" t="n">
        <v>16170</v>
      </c>
      <c r="B2808" s="126" t="inlineStr">
        <is>
          <t>United Kingdom</t>
        </is>
      </c>
      <c r="C2808" s="126" t="n">
        <v>51</v>
      </c>
      <c r="D2808" s="126" t="n">
        <v>6</v>
      </c>
      <c r="E2808" s="127" t="n">
        <v>1885.05</v>
      </c>
      <c r="F2808" s="128">
        <f>IF(C2808&lt;=30,5,IF(C2808&lt;=60,4,IF(C2808&lt;=120,3,IF(C2808&lt;=200,2,1))))</f>
        <v/>
      </c>
      <c r="G2808" s="128">
        <f>IF(D2808&gt;=20,5,IF(D2808&gt;=10,4,IF(D2808&gt;=5,3,IF(D2808&gt;=2,2,1))))</f>
        <v/>
      </c>
      <c r="H2808" s="128">
        <f>IF(E2808&gt;=5000,5,IF(E2808&gt;=2000,4,IF(E2808&gt;=800,3,IF(E2808&gt;=300,2,1))))</f>
        <v/>
      </c>
      <c r="I2808" s="126">
        <f>TEXT(F2808,"0")&amp;TEXT(G2808,"0")&amp;TEXT(H2808,"0")</f>
        <v/>
      </c>
      <c r="J2808" s="126">
        <f>IFERROR(XLOOKUP(I2808,'Segment Map'!A:A,'Segment Map'!B:B,"Need Attention"),"Need Attention")</f>
        <v/>
      </c>
      <c r="K2808" s="126">
        <f>IF(E2808&gt;=5000,"🏆 Platinum",IF(E2808&gt;=2000,"🥇 Gold",IF(E2808&gt;=800,"🥈 Silver","🥉 Bronze")))</f>
        <v/>
      </c>
      <c r="L2808" s="129" t="n">
        <v>40836</v>
      </c>
    </row>
    <row r="2809">
      <c r="A2809" s="122" t="n">
        <v>16171</v>
      </c>
      <c r="B2809" s="122" t="inlineStr">
        <is>
          <t>United Kingdom</t>
        </is>
      </c>
      <c r="C2809" s="122" t="n">
        <v>60</v>
      </c>
      <c r="D2809" s="122" t="n">
        <v>1</v>
      </c>
      <c r="E2809" s="123" t="n">
        <v>73.2</v>
      </c>
      <c r="F2809" s="124">
        <f>IF(C2809&lt;=30,5,IF(C2809&lt;=60,4,IF(C2809&lt;=120,3,IF(C2809&lt;=200,2,1))))</f>
        <v/>
      </c>
      <c r="G2809" s="124">
        <f>IF(D2809&gt;=20,5,IF(D2809&gt;=10,4,IF(D2809&gt;=5,3,IF(D2809&gt;=2,2,1))))</f>
        <v/>
      </c>
      <c r="H2809" s="124">
        <f>IF(E2809&gt;=5000,5,IF(E2809&gt;=2000,4,IF(E2809&gt;=800,3,IF(E2809&gt;=300,2,1))))</f>
        <v/>
      </c>
      <c r="I2809" s="122">
        <f>TEXT(F2809,"0")&amp;TEXT(G2809,"0")&amp;TEXT(H2809,"0")</f>
        <v/>
      </c>
      <c r="J2809" s="122">
        <f>IFERROR(XLOOKUP(I2809,'Segment Map'!A:A,'Segment Map'!B:B,"Need Attention"),"Need Attention")</f>
        <v/>
      </c>
      <c r="K2809" s="122">
        <f>IF(E2809&gt;=5000,"🏆 Platinum",IF(E2809&gt;=2000,"🥇 Gold",IF(E2809&gt;=800,"🥈 Silver","🥉 Bronze")))</f>
        <v/>
      </c>
      <c r="L2809" s="125" t="n">
        <v>40827</v>
      </c>
    </row>
    <row r="2810">
      <c r="A2810" s="126" t="n">
        <v>16172</v>
      </c>
      <c r="B2810" s="126" t="inlineStr">
        <is>
          <t>United Kingdom</t>
        </is>
      </c>
      <c r="C2810" s="126" t="n">
        <v>96</v>
      </c>
      <c r="D2810" s="126" t="n">
        <v>5</v>
      </c>
      <c r="E2810" s="127" t="n">
        <v>1140.21</v>
      </c>
      <c r="F2810" s="128">
        <f>IF(C2810&lt;=30,5,IF(C2810&lt;=60,4,IF(C2810&lt;=120,3,IF(C2810&lt;=200,2,1))))</f>
        <v/>
      </c>
      <c r="G2810" s="128">
        <f>IF(D2810&gt;=20,5,IF(D2810&gt;=10,4,IF(D2810&gt;=5,3,IF(D2810&gt;=2,2,1))))</f>
        <v/>
      </c>
      <c r="H2810" s="128">
        <f>IF(E2810&gt;=5000,5,IF(E2810&gt;=2000,4,IF(E2810&gt;=800,3,IF(E2810&gt;=300,2,1))))</f>
        <v/>
      </c>
      <c r="I2810" s="126">
        <f>TEXT(F2810,"0")&amp;TEXT(G2810,"0")&amp;TEXT(H2810,"0")</f>
        <v/>
      </c>
      <c r="J2810" s="126">
        <f>IFERROR(XLOOKUP(I2810,'Segment Map'!A:A,'Segment Map'!B:B,"Need Attention"),"Need Attention")</f>
        <v/>
      </c>
      <c r="K2810" s="126">
        <f>IF(E2810&gt;=5000,"🏆 Platinum",IF(E2810&gt;=2000,"🥇 Gold",IF(E2810&gt;=800,"🥈 Silver","🥉 Bronze")))</f>
        <v/>
      </c>
      <c r="L2810" s="129" t="n">
        <v>40791</v>
      </c>
    </row>
    <row r="2811">
      <c r="A2811" s="122" t="n">
        <v>16173</v>
      </c>
      <c r="B2811" s="122" t="inlineStr">
        <is>
          <t>United Kingdom</t>
        </is>
      </c>
      <c r="C2811" s="122" t="n">
        <v>16</v>
      </c>
      <c r="D2811" s="122" t="n">
        <v>6</v>
      </c>
      <c r="E2811" s="123" t="n">
        <v>1418.32</v>
      </c>
      <c r="F2811" s="124">
        <f>IF(C2811&lt;=30,5,IF(C2811&lt;=60,4,IF(C2811&lt;=120,3,IF(C2811&lt;=200,2,1))))</f>
        <v/>
      </c>
      <c r="G2811" s="124">
        <f>IF(D2811&gt;=20,5,IF(D2811&gt;=10,4,IF(D2811&gt;=5,3,IF(D2811&gt;=2,2,1))))</f>
        <v/>
      </c>
      <c r="H2811" s="124">
        <f>IF(E2811&gt;=5000,5,IF(E2811&gt;=2000,4,IF(E2811&gt;=800,3,IF(E2811&gt;=300,2,1))))</f>
        <v/>
      </c>
      <c r="I2811" s="122">
        <f>TEXT(F2811,"0")&amp;TEXT(G2811,"0")&amp;TEXT(H2811,"0")</f>
        <v/>
      </c>
      <c r="J2811" s="122">
        <f>IFERROR(XLOOKUP(I2811,'Segment Map'!A:A,'Segment Map'!B:B,"Need Attention"),"Need Attention")</f>
        <v/>
      </c>
      <c r="K2811" s="122">
        <f>IF(E2811&gt;=5000,"🏆 Platinum",IF(E2811&gt;=2000,"🥇 Gold",IF(E2811&gt;=800,"🥈 Silver","🥉 Bronze")))</f>
        <v/>
      </c>
      <c r="L2811" s="125" t="n">
        <v>40871</v>
      </c>
    </row>
    <row r="2812">
      <c r="A2812" s="126" t="n">
        <v>16174</v>
      </c>
      <c r="B2812" s="126" t="inlineStr">
        <is>
          <t>United Kingdom</t>
        </is>
      </c>
      <c r="C2812" s="126" t="n">
        <v>127</v>
      </c>
      <c r="D2812" s="126" t="n">
        <v>3</v>
      </c>
      <c r="E2812" s="127" t="n">
        <v>1009.55</v>
      </c>
      <c r="F2812" s="128">
        <f>IF(C2812&lt;=30,5,IF(C2812&lt;=60,4,IF(C2812&lt;=120,3,IF(C2812&lt;=200,2,1))))</f>
        <v/>
      </c>
      <c r="G2812" s="128">
        <f>IF(D2812&gt;=20,5,IF(D2812&gt;=10,4,IF(D2812&gt;=5,3,IF(D2812&gt;=2,2,1))))</f>
        <v/>
      </c>
      <c r="H2812" s="128">
        <f>IF(E2812&gt;=5000,5,IF(E2812&gt;=2000,4,IF(E2812&gt;=800,3,IF(E2812&gt;=300,2,1))))</f>
        <v/>
      </c>
      <c r="I2812" s="126">
        <f>TEXT(F2812,"0")&amp;TEXT(G2812,"0")&amp;TEXT(H2812,"0")</f>
        <v/>
      </c>
      <c r="J2812" s="126">
        <f>IFERROR(XLOOKUP(I2812,'Segment Map'!A:A,'Segment Map'!B:B,"Need Attention"),"Need Attention")</f>
        <v/>
      </c>
      <c r="K2812" s="126">
        <f>IF(E2812&gt;=5000,"🏆 Platinum",IF(E2812&gt;=2000,"🥇 Gold",IF(E2812&gt;=800,"🥈 Silver","🥉 Bronze")))</f>
        <v/>
      </c>
      <c r="L2812" s="129" t="n">
        <v>40760</v>
      </c>
    </row>
    <row r="2813">
      <c r="A2813" s="122" t="n">
        <v>16175</v>
      </c>
      <c r="B2813" s="122" t="inlineStr">
        <is>
          <t>United Kingdom</t>
        </is>
      </c>
      <c r="C2813" s="122" t="n">
        <v>95</v>
      </c>
      <c r="D2813" s="122" t="n">
        <v>4</v>
      </c>
      <c r="E2813" s="123" t="n">
        <v>1037.59</v>
      </c>
      <c r="F2813" s="124">
        <f>IF(C2813&lt;=30,5,IF(C2813&lt;=60,4,IF(C2813&lt;=120,3,IF(C2813&lt;=200,2,1))))</f>
        <v/>
      </c>
      <c r="G2813" s="124">
        <f>IF(D2813&gt;=20,5,IF(D2813&gt;=10,4,IF(D2813&gt;=5,3,IF(D2813&gt;=2,2,1))))</f>
        <v/>
      </c>
      <c r="H2813" s="124">
        <f>IF(E2813&gt;=5000,5,IF(E2813&gt;=2000,4,IF(E2813&gt;=800,3,IF(E2813&gt;=300,2,1))))</f>
        <v/>
      </c>
      <c r="I2813" s="122">
        <f>TEXT(F2813,"0")&amp;TEXT(G2813,"0")&amp;TEXT(H2813,"0")</f>
        <v/>
      </c>
      <c r="J2813" s="122">
        <f>IFERROR(XLOOKUP(I2813,'Segment Map'!A:A,'Segment Map'!B:B,"Need Attention"),"Need Attention")</f>
        <v/>
      </c>
      <c r="K2813" s="122">
        <f>IF(E2813&gt;=5000,"🏆 Platinum",IF(E2813&gt;=2000,"🥇 Gold",IF(E2813&gt;=800,"🥈 Silver","🥉 Bronze")))</f>
        <v/>
      </c>
      <c r="L2813" s="125" t="n">
        <v>40792</v>
      </c>
    </row>
    <row r="2814">
      <c r="A2814" s="126" t="n">
        <v>16177</v>
      </c>
      <c r="B2814" s="126" t="inlineStr">
        <is>
          <t>United Kingdom</t>
        </is>
      </c>
      <c r="C2814" s="126" t="n">
        <v>51</v>
      </c>
      <c r="D2814" s="126" t="n">
        <v>1</v>
      </c>
      <c r="E2814" s="127" t="n">
        <v>331.95</v>
      </c>
      <c r="F2814" s="128">
        <f>IF(C2814&lt;=30,5,IF(C2814&lt;=60,4,IF(C2814&lt;=120,3,IF(C2814&lt;=200,2,1))))</f>
        <v/>
      </c>
      <c r="G2814" s="128">
        <f>IF(D2814&gt;=20,5,IF(D2814&gt;=10,4,IF(D2814&gt;=5,3,IF(D2814&gt;=2,2,1))))</f>
        <v/>
      </c>
      <c r="H2814" s="128">
        <f>IF(E2814&gt;=5000,5,IF(E2814&gt;=2000,4,IF(E2814&gt;=800,3,IF(E2814&gt;=300,2,1))))</f>
        <v/>
      </c>
      <c r="I2814" s="126">
        <f>TEXT(F2814,"0")&amp;TEXT(G2814,"0")&amp;TEXT(H2814,"0")</f>
        <v/>
      </c>
      <c r="J2814" s="126">
        <f>IFERROR(XLOOKUP(I2814,'Segment Map'!A:A,'Segment Map'!B:B,"Need Attention"),"Need Attention")</f>
        <v/>
      </c>
      <c r="K2814" s="126">
        <f>IF(E2814&gt;=5000,"🏆 Platinum",IF(E2814&gt;=2000,"🥇 Gold",IF(E2814&gt;=800,"🥈 Silver","🥉 Bronze")))</f>
        <v/>
      </c>
      <c r="L2814" s="129" t="n">
        <v>40836</v>
      </c>
    </row>
    <row r="2815">
      <c r="A2815" s="122" t="n">
        <v>16178</v>
      </c>
      <c r="B2815" s="122" t="inlineStr">
        <is>
          <t>United Kingdom</t>
        </is>
      </c>
      <c r="C2815" s="122" t="n">
        <v>139</v>
      </c>
      <c r="D2815" s="122" t="n">
        <v>1</v>
      </c>
      <c r="E2815" s="123" t="n">
        <v>197.9</v>
      </c>
      <c r="F2815" s="124">
        <f>IF(C2815&lt;=30,5,IF(C2815&lt;=60,4,IF(C2815&lt;=120,3,IF(C2815&lt;=200,2,1))))</f>
        <v/>
      </c>
      <c r="G2815" s="124">
        <f>IF(D2815&gt;=20,5,IF(D2815&gt;=10,4,IF(D2815&gt;=5,3,IF(D2815&gt;=2,2,1))))</f>
        <v/>
      </c>
      <c r="H2815" s="124">
        <f>IF(E2815&gt;=5000,5,IF(E2815&gt;=2000,4,IF(E2815&gt;=800,3,IF(E2815&gt;=300,2,1))))</f>
        <v/>
      </c>
      <c r="I2815" s="122">
        <f>TEXT(F2815,"0")&amp;TEXT(G2815,"0")&amp;TEXT(H2815,"0")</f>
        <v/>
      </c>
      <c r="J2815" s="122">
        <f>IFERROR(XLOOKUP(I2815,'Segment Map'!A:A,'Segment Map'!B:B,"Need Attention"),"Need Attention")</f>
        <v/>
      </c>
      <c r="K2815" s="122">
        <f>IF(E2815&gt;=5000,"🏆 Platinum",IF(E2815&gt;=2000,"🥇 Gold",IF(E2815&gt;=800,"🥈 Silver","🥉 Bronze")))</f>
        <v/>
      </c>
      <c r="L2815" s="125" t="n">
        <v>40748</v>
      </c>
    </row>
    <row r="2816">
      <c r="A2816" s="126" t="n">
        <v>16179</v>
      </c>
      <c r="B2816" s="126" t="inlineStr">
        <is>
          <t>United Kingdom</t>
        </is>
      </c>
      <c r="C2816" s="126" t="n">
        <v>61</v>
      </c>
      <c r="D2816" s="126" t="n">
        <v>1</v>
      </c>
      <c r="E2816" s="127" t="n">
        <v>215.83</v>
      </c>
      <c r="F2816" s="128">
        <f>IF(C2816&lt;=30,5,IF(C2816&lt;=60,4,IF(C2816&lt;=120,3,IF(C2816&lt;=200,2,1))))</f>
        <v/>
      </c>
      <c r="G2816" s="128">
        <f>IF(D2816&gt;=20,5,IF(D2816&gt;=10,4,IF(D2816&gt;=5,3,IF(D2816&gt;=2,2,1))))</f>
        <v/>
      </c>
      <c r="H2816" s="128">
        <f>IF(E2816&gt;=5000,5,IF(E2816&gt;=2000,4,IF(E2816&gt;=800,3,IF(E2816&gt;=300,2,1))))</f>
        <v/>
      </c>
      <c r="I2816" s="126">
        <f>TEXT(F2816,"0")&amp;TEXT(G2816,"0")&amp;TEXT(H2816,"0")</f>
        <v/>
      </c>
      <c r="J2816" s="126">
        <f>IFERROR(XLOOKUP(I2816,'Segment Map'!A:A,'Segment Map'!B:B,"Need Attention"),"Need Attention")</f>
        <v/>
      </c>
      <c r="K2816" s="126">
        <f>IF(E2816&gt;=5000,"🏆 Platinum",IF(E2816&gt;=2000,"🥇 Gold",IF(E2816&gt;=800,"🥈 Silver","🥉 Bronze")))</f>
        <v/>
      </c>
      <c r="L2816" s="129" t="n">
        <v>40826</v>
      </c>
    </row>
    <row r="2817">
      <c r="A2817" s="122" t="n">
        <v>16180</v>
      </c>
      <c r="B2817" s="122" t="inlineStr">
        <is>
          <t>United Kingdom</t>
        </is>
      </c>
      <c r="C2817" s="122" t="n">
        <v>101</v>
      </c>
      <c r="D2817" s="122" t="n">
        <v>8</v>
      </c>
      <c r="E2817" s="123" t="n">
        <v>10254.18</v>
      </c>
      <c r="F2817" s="124">
        <f>IF(C2817&lt;=30,5,IF(C2817&lt;=60,4,IF(C2817&lt;=120,3,IF(C2817&lt;=200,2,1))))</f>
        <v/>
      </c>
      <c r="G2817" s="124">
        <f>IF(D2817&gt;=20,5,IF(D2817&gt;=10,4,IF(D2817&gt;=5,3,IF(D2817&gt;=2,2,1))))</f>
        <v/>
      </c>
      <c r="H2817" s="124">
        <f>IF(E2817&gt;=5000,5,IF(E2817&gt;=2000,4,IF(E2817&gt;=800,3,IF(E2817&gt;=300,2,1))))</f>
        <v/>
      </c>
      <c r="I2817" s="122">
        <f>TEXT(F2817,"0")&amp;TEXT(G2817,"0")&amp;TEXT(H2817,"0")</f>
        <v/>
      </c>
      <c r="J2817" s="122">
        <f>IFERROR(XLOOKUP(I2817,'Segment Map'!A:A,'Segment Map'!B:B,"Need Attention"),"Need Attention")</f>
        <v/>
      </c>
      <c r="K2817" s="122">
        <f>IF(E2817&gt;=5000,"🏆 Platinum",IF(E2817&gt;=2000,"🥇 Gold",IF(E2817&gt;=800,"🥈 Silver","🥉 Bronze")))</f>
        <v/>
      </c>
      <c r="L2817" s="125" t="n">
        <v>40786</v>
      </c>
    </row>
    <row r="2818">
      <c r="A2818" s="126" t="n">
        <v>16181</v>
      </c>
      <c r="B2818" s="126" t="inlineStr">
        <is>
          <t>United Kingdom</t>
        </is>
      </c>
      <c r="C2818" s="126" t="n">
        <v>74</v>
      </c>
      <c r="D2818" s="126" t="n">
        <v>1</v>
      </c>
      <c r="E2818" s="127" t="n">
        <v>305.54</v>
      </c>
      <c r="F2818" s="128">
        <f>IF(C2818&lt;=30,5,IF(C2818&lt;=60,4,IF(C2818&lt;=120,3,IF(C2818&lt;=200,2,1))))</f>
        <v/>
      </c>
      <c r="G2818" s="128">
        <f>IF(D2818&gt;=20,5,IF(D2818&gt;=10,4,IF(D2818&gt;=5,3,IF(D2818&gt;=2,2,1))))</f>
        <v/>
      </c>
      <c r="H2818" s="128">
        <f>IF(E2818&gt;=5000,5,IF(E2818&gt;=2000,4,IF(E2818&gt;=800,3,IF(E2818&gt;=300,2,1))))</f>
        <v/>
      </c>
      <c r="I2818" s="126">
        <f>TEXT(F2818,"0")&amp;TEXT(G2818,"0")&amp;TEXT(H2818,"0")</f>
        <v/>
      </c>
      <c r="J2818" s="126">
        <f>IFERROR(XLOOKUP(I2818,'Segment Map'!A:A,'Segment Map'!B:B,"Need Attention"),"Need Attention")</f>
        <v/>
      </c>
      <c r="K2818" s="126">
        <f>IF(E2818&gt;=5000,"🏆 Platinum",IF(E2818&gt;=2000,"🥇 Gold",IF(E2818&gt;=800,"🥈 Silver","🥉 Bronze")))</f>
        <v/>
      </c>
      <c r="L2818" s="129" t="n">
        <v>40813</v>
      </c>
    </row>
    <row r="2819">
      <c r="A2819" s="122" t="n">
        <v>16182</v>
      </c>
      <c r="B2819" s="122" t="inlineStr">
        <is>
          <t>United Kingdom</t>
        </is>
      </c>
      <c r="C2819" s="122" t="n">
        <v>73</v>
      </c>
      <c r="D2819" s="122" t="n">
        <v>4</v>
      </c>
      <c r="E2819" s="123" t="n">
        <v>6617.65</v>
      </c>
      <c r="F2819" s="124">
        <f>IF(C2819&lt;=30,5,IF(C2819&lt;=60,4,IF(C2819&lt;=120,3,IF(C2819&lt;=200,2,1))))</f>
        <v/>
      </c>
      <c r="G2819" s="124">
        <f>IF(D2819&gt;=20,5,IF(D2819&gt;=10,4,IF(D2819&gt;=5,3,IF(D2819&gt;=2,2,1))))</f>
        <v/>
      </c>
      <c r="H2819" s="124">
        <f>IF(E2819&gt;=5000,5,IF(E2819&gt;=2000,4,IF(E2819&gt;=800,3,IF(E2819&gt;=300,2,1))))</f>
        <v/>
      </c>
      <c r="I2819" s="122">
        <f>TEXT(F2819,"0")&amp;TEXT(G2819,"0")&amp;TEXT(H2819,"0")</f>
        <v/>
      </c>
      <c r="J2819" s="122">
        <f>IFERROR(XLOOKUP(I2819,'Segment Map'!A:A,'Segment Map'!B:B,"Need Attention"),"Need Attention")</f>
        <v/>
      </c>
      <c r="K2819" s="122">
        <f>IF(E2819&gt;=5000,"🏆 Platinum",IF(E2819&gt;=2000,"🥇 Gold",IF(E2819&gt;=800,"🥈 Silver","🥉 Bronze")))</f>
        <v/>
      </c>
      <c r="L2819" s="125" t="n">
        <v>40814</v>
      </c>
    </row>
    <row r="2820">
      <c r="A2820" s="126" t="n">
        <v>16183</v>
      </c>
      <c r="B2820" s="126" t="inlineStr">
        <is>
          <t>United Kingdom</t>
        </is>
      </c>
      <c r="C2820" s="126" t="n">
        <v>68</v>
      </c>
      <c r="D2820" s="126" t="n">
        <v>1</v>
      </c>
      <c r="E2820" s="127" t="n">
        <v>338.71</v>
      </c>
      <c r="F2820" s="128">
        <f>IF(C2820&lt;=30,5,IF(C2820&lt;=60,4,IF(C2820&lt;=120,3,IF(C2820&lt;=200,2,1))))</f>
        <v/>
      </c>
      <c r="G2820" s="128">
        <f>IF(D2820&gt;=20,5,IF(D2820&gt;=10,4,IF(D2820&gt;=5,3,IF(D2820&gt;=2,2,1))))</f>
        <v/>
      </c>
      <c r="H2820" s="128">
        <f>IF(E2820&gt;=5000,5,IF(E2820&gt;=2000,4,IF(E2820&gt;=800,3,IF(E2820&gt;=300,2,1))))</f>
        <v/>
      </c>
      <c r="I2820" s="126">
        <f>TEXT(F2820,"0")&amp;TEXT(G2820,"0")&amp;TEXT(H2820,"0")</f>
        <v/>
      </c>
      <c r="J2820" s="126">
        <f>IFERROR(XLOOKUP(I2820,'Segment Map'!A:A,'Segment Map'!B:B,"Need Attention"),"Need Attention")</f>
        <v/>
      </c>
      <c r="K2820" s="126">
        <f>IF(E2820&gt;=5000,"🏆 Platinum",IF(E2820&gt;=2000,"🥇 Gold",IF(E2820&gt;=800,"🥈 Silver","🥉 Bronze")))</f>
        <v/>
      </c>
      <c r="L2820" s="129" t="n">
        <v>40819</v>
      </c>
    </row>
    <row r="2821">
      <c r="A2821" s="122" t="n">
        <v>16184</v>
      </c>
      <c r="B2821" s="122" t="inlineStr">
        <is>
          <t>United Kingdom</t>
        </is>
      </c>
      <c r="C2821" s="122" t="n">
        <v>65</v>
      </c>
      <c r="D2821" s="122" t="n">
        <v>6</v>
      </c>
      <c r="E2821" s="123" t="n">
        <v>1158.79</v>
      </c>
      <c r="F2821" s="124">
        <f>IF(C2821&lt;=30,5,IF(C2821&lt;=60,4,IF(C2821&lt;=120,3,IF(C2821&lt;=200,2,1))))</f>
        <v/>
      </c>
      <c r="G2821" s="124">
        <f>IF(D2821&gt;=20,5,IF(D2821&gt;=10,4,IF(D2821&gt;=5,3,IF(D2821&gt;=2,2,1))))</f>
        <v/>
      </c>
      <c r="H2821" s="124">
        <f>IF(E2821&gt;=5000,5,IF(E2821&gt;=2000,4,IF(E2821&gt;=800,3,IF(E2821&gt;=300,2,1))))</f>
        <v/>
      </c>
      <c r="I2821" s="122">
        <f>TEXT(F2821,"0")&amp;TEXT(G2821,"0")&amp;TEXT(H2821,"0")</f>
        <v/>
      </c>
      <c r="J2821" s="122">
        <f>IFERROR(XLOOKUP(I2821,'Segment Map'!A:A,'Segment Map'!B:B,"Need Attention"),"Need Attention")</f>
        <v/>
      </c>
      <c r="K2821" s="122">
        <f>IF(E2821&gt;=5000,"🏆 Platinum",IF(E2821&gt;=2000,"🥇 Gold",IF(E2821&gt;=800,"🥈 Silver","🥉 Bronze")))</f>
        <v/>
      </c>
      <c r="L2821" s="125" t="n">
        <v>40822</v>
      </c>
    </row>
    <row r="2822">
      <c r="A2822" s="126" t="n">
        <v>16185</v>
      </c>
      <c r="B2822" s="126" t="inlineStr">
        <is>
          <t>United Kingdom</t>
        </is>
      </c>
      <c r="C2822" s="126" t="n">
        <v>17</v>
      </c>
      <c r="D2822" s="126" t="n">
        <v>2</v>
      </c>
      <c r="E2822" s="127" t="n">
        <v>529.41</v>
      </c>
      <c r="F2822" s="128">
        <f>IF(C2822&lt;=30,5,IF(C2822&lt;=60,4,IF(C2822&lt;=120,3,IF(C2822&lt;=200,2,1))))</f>
        <v/>
      </c>
      <c r="G2822" s="128">
        <f>IF(D2822&gt;=20,5,IF(D2822&gt;=10,4,IF(D2822&gt;=5,3,IF(D2822&gt;=2,2,1))))</f>
        <v/>
      </c>
      <c r="H2822" s="128">
        <f>IF(E2822&gt;=5000,5,IF(E2822&gt;=2000,4,IF(E2822&gt;=800,3,IF(E2822&gt;=300,2,1))))</f>
        <v/>
      </c>
      <c r="I2822" s="126">
        <f>TEXT(F2822,"0")&amp;TEXT(G2822,"0")&amp;TEXT(H2822,"0")</f>
        <v/>
      </c>
      <c r="J2822" s="126">
        <f>IFERROR(XLOOKUP(I2822,'Segment Map'!A:A,'Segment Map'!B:B,"Need Attention"),"Need Attention")</f>
        <v/>
      </c>
      <c r="K2822" s="126">
        <f>IF(E2822&gt;=5000,"🏆 Platinum",IF(E2822&gt;=2000,"🥇 Gold",IF(E2822&gt;=800,"🥈 Silver","🥉 Bronze")))</f>
        <v/>
      </c>
      <c r="L2822" s="129" t="n">
        <v>40870</v>
      </c>
    </row>
    <row r="2823">
      <c r="A2823" s="122" t="n">
        <v>16186</v>
      </c>
      <c r="B2823" s="122" t="inlineStr">
        <is>
          <t>United Kingdom</t>
        </is>
      </c>
      <c r="C2823" s="122" t="n">
        <v>23</v>
      </c>
      <c r="D2823" s="122" t="n">
        <v>12</v>
      </c>
      <c r="E2823" s="123" t="n">
        <v>4006.94</v>
      </c>
      <c r="F2823" s="124">
        <f>IF(C2823&lt;=30,5,IF(C2823&lt;=60,4,IF(C2823&lt;=120,3,IF(C2823&lt;=200,2,1))))</f>
        <v/>
      </c>
      <c r="G2823" s="124">
        <f>IF(D2823&gt;=20,5,IF(D2823&gt;=10,4,IF(D2823&gt;=5,3,IF(D2823&gt;=2,2,1))))</f>
        <v/>
      </c>
      <c r="H2823" s="124">
        <f>IF(E2823&gt;=5000,5,IF(E2823&gt;=2000,4,IF(E2823&gt;=800,3,IF(E2823&gt;=300,2,1))))</f>
        <v/>
      </c>
      <c r="I2823" s="122">
        <f>TEXT(F2823,"0")&amp;TEXT(G2823,"0")&amp;TEXT(H2823,"0")</f>
        <v/>
      </c>
      <c r="J2823" s="122">
        <f>IFERROR(XLOOKUP(I2823,'Segment Map'!A:A,'Segment Map'!B:B,"Need Attention"),"Need Attention")</f>
        <v/>
      </c>
      <c r="K2823" s="122">
        <f>IF(E2823&gt;=5000,"🏆 Platinum",IF(E2823&gt;=2000,"🥇 Gold",IF(E2823&gt;=800,"🥈 Silver","🥉 Bronze")))</f>
        <v/>
      </c>
      <c r="L2823" s="125" t="n">
        <v>40864</v>
      </c>
    </row>
    <row r="2824">
      <c r="A2824" s="126" t="n">
        <v>16187</v>
      </c>
      <c r="B2824" s="126" t="inlineStr">
        <is>
          <t>United Kingdom</t>
        </is>
      </c>
      <c r="C2824" s="126" t="n">
        <v>32</v>
      </c>
      <c r="D2824" s="126" t="n">
        <v>15</v>
      </c>
      <c r="E2824" s="127" t="n">
        <v>6911.44</v>
      </c>
      <c r="F2824" s="128">
        <f>IF(C2824&lt;=30,5,IF(C2824&lt;=60,4,IF(C2824&lt;=120,3,IF(C2824&lt;=200,2,1))))</f>
        <v/>
      </c>
      <c r="G2824" s="128">
        <f>IF(D2824&gt;=20,5,IF(D2824&gt;=10,4,IF(D2824&gt;=5,3,IF(D2824&gt;=2,2,1))))</f>
        <v/>
      </c>
      <c r="H2824" s="128">
        <f>IF(E2824&gt;=5000,5,IF(E2824&gt;=2000,4,IF(E2824&gt;=800,3,IF(E2824&gt;=300,2,1))))</f>
        <v/>
      </c>
      <c r="I2824" s="126">
        <f>TEXT(F2824,"0")&amp;TEXT(G2824,"0")&amp;TEXT(H2824,"0")</f>
        <v/>
      </c>
      <c r="J2824" s="126">
        <f>IFERROR(XLOOKUP(I2824,'Segment Map'!A:A,'Segment Map'!B:B,"Need Attention"),"Need Attention")</f>
        <v/>
      </c>
      <c r="K2824" s="126">
        <f>IF(E2824&gt;=5000,"🏆 Platinum",IF(E2824&gt;=2000,"🥇 Gold",IF(E2824&gt;=800,"🥈 Silver","🥉 Bronze")))</f>
        <v/>
      </c>
      <c r="L2824" s="129" t="n">
        <v>40855</v>
      </c>
    </row>
    <row r="2825">
      <c r="A2825" s="122" t="n">
        <v>16188</v>
      </c>
      <c r="B2825" s="122" t="inlineStr">
        <is>
          <t>United Kingdom</t>
        </is>
      </c>
      <c r="C2825" s="122" t="n">
        <v>45</v>
      </c>
      <c r="D2825" s="122" t="n">
        <v>4</v>
      </c>
      <c r="E2825" s="123" t="n">
        <v>981.86</v>
      </c>
      <c r="F2825" s="124">
        <f>IF(C2825&lt;=30,5,IF(C2825&lt;=60,4,IF(C2825&lt;=120,3,IF(C2825&lt;=200,2,1))))</f>
        <v/>
      </c>
      <c r="G2825" s="124">
        <f>IF(D2825&gt;=20,5,IF(D2825&gt;=10,4,IF(D2825&gt;=5,3,IF(D2825&gt;=2,2,1))))</f>
        <v/>
      </c>
      <c r="H2825" s="124">
        <f>IF(E2825&gt;=5000,5,IF(E2825&gt;=2000,4,IF(E2825&gt;=800,3,IF(E2825&gt;=300,2,1))))</f>
        <v/>
      </c>
      <c r="I2825" s="122">
        <f>TEXT(F2825,"0")&amp;TEXT(G2825,"0")&amp;TEXT(H2825,"0")</f>
        <v/>
      </c>
      <c r="J2825" s="122">
        <f>IFERROR(XLOOKUP(I2825,'Segment Map'!A:A,'Segment Map'!B:B,"Need Attention"),"Need Attention")</f>
        <v/>
      </c>
      <c r="K2825" s="122">
        <f>IF(E2825&gt;=5000,"🏆 Platinum",IF(E2825&gt;=2000,"🥇 Gold",IF(E2825&gt;=800,"🥈 Silver","🥉 Bronze")))</f>
        <v/>
      </c>
      <c r="L2825" s="125" t="n">
        <v>40842</v>
      </c>
    </row>
    <row r="2826">
      <c r="A2826" s="126" t="n">
        <v>16189</v>
      </c>
      <c r="B2826" s="126" t="inlineStr">
        <is>
          <t>United Kingdom</t>
        </is>
      </c>
      <c r="C2826" s="126" t="n">
        <v>16</v>
      </c>
      <c r="D2826" s="126" t="n">
        <v>2</v>
      </c>
      <c r="E2826" s="127" t="n">
        <v>215.48</v>
      </c>
      <c r="F2826" s="128">
        <f>IF(C2826&lt;=30,5,IF(C2826&lt;=60,4,IF(C2826&lt;=120,3,IF(C2826&lt;=200,2,1))))</f>
        <v/>
      </c>
      <c r="G2826" s="128">
        <f>IF(D2826&gt;=20,5,IF(D2826&gt;=10,4,IF(D2826&gt;=5,3,IF(D2826&gt;=2,2,1))))</f>
        <v/>
      </c>
      <c r="H2826" s="128">
        <f>IF(E2826&gt;=5000,5,IF(E2826&gt;=2000,4,IF(E2826&gt;=800,3,IF(E2826&gt;=300,2,1))))</f>
        <v/>
      </c>
      <c r="I2826" s="126">
        <f>TEXT(F2826,"0")&amp;TEXT(G2826,"0")&amp;TEXT(H2826,"0")</f>
        <v/>
      </c>
      <c r="J2826" s="126">
        <f>IFERROR(XLOOKUP(I2826,'Segment Map'!A:A,'Segment Map'!B:B,"Need Attention"),"Need Attention")</f>
        <v/>
      </c>
      <c r="K2826" s="126">
        <f>IF(E2826&gt;=5000,"🏆 Platinum",IF(E2826&gt;=2000,"🥇 Gold",IF(E2826&gt;=800,"🥈 Silver","🥉 Bronze")))</f>
        <v/>
      </c>
      <c r="L2826" s="129" t="n">
        <v>40871</v>
      </c>
    </row>
    <row r="2827">
      <c r="A2827" s="122" t="n">
        <v>16190</v>
      </c>
      <c r="B2827" s="122" t="inlineStr">
        <is>
          <t>United Kingdom</t>
        </is>
      </c>
      <c r="C2827" s="122" t="n">
        <v>41</v>
      </c>
      <c r="D2827" s="122" t="n">
        <v>1</v>
      </c>
      <c r="E2827" s="123" t="n">
        <v>215.08</v>
      </c>
      <c r="F2827" s="124">
        <f>IF(C2827&lt;=30,5,IF(C2827&lt;=60,4,IF(C2827&lt;=120,3,IF(C2827&lt;=200,2,1))))</f>
        <v/>
      </c>
      <c r="G2827" s="124">
        <f>IF(D2827&gt;=20,5,IF(D2827&gt;=10,4,IF(D2827&gt;=5,3,IF(D2827&gt;=2,2,1))))</f>
        <v/>
      </c>
      <c r="H2827" s="124">
        <f>IF(E2827&gt;=5000,5,IF(E2827&gt;=2000,4,IF(E2827&gt;=800,3,IF(E2827&gt;=300,2,1))))</f>
        <v/>
      </c>
      <c r="I2827" s="122">
        <f>TEXT(F2827,"0")&amp;TEXT(G2827,"0")&amp;TEXT(H2827,"0")</f>
        <v/>
      </c>
      <c r="J2827" s="122">
        <f>IFERROR(XLOOKUP(I2827,'Segment Map'!A:A,'Segment Map'!B:B,"Need Attention"),"Need Attention")</f>
        <v/>
      </c>
      <c r="K2827" s="122">
        <f>IF(E2827&gt;=5000,"🏆 Platinum",IF(E2827&gt;=2000,"🥇 Gold",IF(E2827&gt;=800,"🥈 Silver","🥉 Bronze")))</f>
        <v/>
      </c>
      <c r="L2827" s="125" t="n">
        <v>40846</v>
      </c>
    </row>
    <row r="2828">
      <c r="A2828" s="126" t="n">
        <v>16191</v>
      </c>
      <c r="B2828" s="126" t="inlineStr">
        <is>
          <t>United Kingdom</t>
        </is>
      </c>
      <c r="C2828" s="126" t="n">
        <v>3</v>
      </c>
      <c r="D2828" s="126" t="n">
        <v>13</v>
      </c>
      <c r="E2828" s="127" t="n">
        <v>5180.52</v>
      </c>
      <c r="F2828" s="128">
        <f>IF(C2828&lt;=30,5,IF(C2828&lt;=60,4,IF(C2828&lt;=120,3,IF(C2828&lt;=200,2,1))))</f>
        <v/>
      </c>
      <c r="G2828" s="128">
        <f>IF(D2828&gt;=20,5,IF(D2828&gt;=10,4,IF(D2828&gt;=5,3,IF(D2828&gt;=2,2,1))))</f>
        <v/>
      </c>
      <c r="H2828" s="128">
        <f>IF(E2828&gt;=5000,5,IF(E2828&gt;=2000,4,IF(E2828&gt;=800,3,IF(E2828&gt;=300,2,1))))</f>
        <v/>
      </c>
      <c r="I2828" s="126">
        <f>TEXT(F2828,"0")&amp;TEXT(G2828,"0")&amp;TEXT(H2828,"0")</f>
        <v/>
      </c>
      <c r="J2828" s="126">
        <f>IFERROR(XLOOKUP(I2828,'Segment Map'!A:A,'Segment Map'!B:B,"Need Attention"),"Need Attention")</f>
        <v/>
      </c>
      <c r="K2828" s="126">
        <f>IF(E2828&gt;=5000,"🏆 Platinum",IF(E2828&gt;=2000,"🥇 Gold",IF(E2828&gt;=800,"🥈 Silver","🥉 Bronze")))</f>
        <v/>
      </c>
      <c r="L2828" s="129" t="n">
        <v>40884</v>
      </c>
    </row>
    <row r="2829">
      <c r="A2829" s="122" t="n">
        <v>16193</v>
      </c>
      <c r="B2829" s="122" t="inlineStr">
        <is>
          <t>United Kingdom</t>
        </is>
      </c>
      <c r="C2829" s="122" t="n">
        <v>237</v>
      </c>
      <c r="D2829" s="122" t="n">
        <v>1</v>
      </c>
      <c r="E2829" s="123" t="n">
        <v>314.45</v>
      </c>
      <c r="F2829" s="124">
        <f>IF(C2829&lt;=30,5,IF(C2829&lt;=60,4,IF(C2829&lt;=120,3,IF(C2829&lt;=200,2,1))))</f>
        <v/>
      </c>
      <c r="G2829" s="124">
        <f>IF(D2829&gt;=20,5,IF(D2829&gt;=10,4,IF(D2829&gt;=5,3,IF(D2829&gt;=2,2,1))))</f>
        <v/>
      </c>
      <c r="H2829" s="124">
        <f>IF(E2829&gt;=5000,5,IF(E2829&gt;=2000,4,IF(E2829&gt;=800,3,IF(E2829&gt;=300,2,1))))</f>
        <v/>
      </c>
      <c r="I2829" s="122">
        <f>TEXT(F2829,"0")&amp;TEXT(G2829,"0")&amp;TEXT(H2829,"0")</f>
        <v/>
      </c>
      <c r="J2829" s="122">
        <f>IFERROR(XLOOKUP(I2829,'Segment Map'!A:A,'Segment Map'!B:B,"Need Attention"),"Need Attention")</f>
        <v/>
      </c>
      <c r="K2829" s="122">
        <f>IF(E2829&gt;=5000,"🏆 Platinum",IF(E2829&gt;=2000,"🥇 Gold",IF(E2829&gt;=800,"🥈 Silver","🥉 Bronze")))</f>
        <v/>
      </c>
      <c r="L2829" s="125" t="n">
        <v>40650</v>
      </c>
    </row>
    <row r="2830">
      <c r="A2830" s="126" t="n">
        <v>16198</v>
      </c>
      <c r="B2830" s="126" t="inlineStr">
        <is>
          <t>United Kingdom</t>
        </is>
      </c>
      <c r="C2830" s="126" t="n">
        <v>76</v>
      </c>
      <c r="D2830" s="126" t="n">
        <v>1</v>
      </c>
      <c r="E2830" s="127" t="n">
        <v>400.68</v>
      </c>
      <c r="F2830" s="128">
        <f>IF(C2830&lt;=30,5,IF(C2830&lt;=60,4,IF(C2830&lt;=120,3,IF(C2830&lt;=200,2,1))))</f>
        <v/>
      </c>
      <c r="G2830" s="128">
        <f>IF(D2830&gt;=20,5,IF(D2830&gt;=10,4,IF(D2830&gt;=5,3,IF(D2830&gt;=2,2,1))))</f>
        <v/>
      </c>
      <c r="H2830" s="128">
        <f>IF(E2830&gt;=5000,5,IF(E2830&gt;=2000,4,IF(E2830&gt;=800,3,IF(E2830&gt;=300,2,1))))</f>
        <v/>
      </c>
      <c r="I2830" s="126">
        <f>TEXT(F2830,"0")&amp;TEXT(G2830,"0")&amp;TEXT(H2830,"0")</f>
        <v/>
      </c>
      <c r="J2830" s="126">
        <f>IFERROR(XLOOKUP(I2830,'Segment Map'!A:A,'Segment Map'!B:B,"Need Attention"),"Need Attention")</f>
        <v/>
      </c>
      <c r="K2830" s="126">
        <f>IF(E2830&gt;=5000,"🏆 Platinum",IF(E2830&gt;=2000,"🥇 Gold",IF(E2830&gt;=800,"🥈 Silver","🥉 Bronze")))</f>
        <v/>
      </c>
      <c r="L2830" s="129" t="n">
        <v>40811</v>
      </c>
    </row>
    <row r="2831">
      <c r="A2831" s="122" t="n">
        <v>16200</v>
      </c>
      <c r="B2831" s="122" t="inlineStr">
        <is>
          <t>United Kingdom</t>
        </is>
      </c>
      <c r="C2831" s="122" t="n">
        <v>5</v>
      </c>
      <c r="D2831" s="122" t="n">
        <v>2</v>
      </c>
      <c r="E2831" s="123" t="n">
        <v>1080.62</v>
      </c>
      <c r="F2831" s="124">
        <f>IF(C2831&lt;=30,5,IF(C2831&lt;=60,4,IF(C2831&lt;=120,3,IF(C2831&lt;=200,2,1))))</f>
        <v/>
      </c>
      <c r="G2831" s="124">
        <f>IF(D2831&gt;=20,5,IF(D2831&gt;=10,4,IF(D2831&gt;=5,3,IF(D2831&gt;=2,2,1))))</f>
        <v/>
      </c>
      <c r="H2831" s="124">
        <f>IF(E2831&gt;=5000,5,IF(E2831&gt;=2000,4,IF(E2831&gt;=800,3,IF(E2831&gt;=300,2,1))))</f>
        <v/>
      </c>
      <c r="I2831" s="122">
        <f>TEXT(F2831,"0")&amp;TEXT(G2831,"0")&amp;TEXT(H2831,"0")</f>
        <v/>
      </c>
      <c r="J2831" s="122">
        <f>IFERROR(XLOOKUP(I2831,'Segment Map'!A:A,'Segment Map'!B:B,"Need Attention"),"Need Attention")</f>
        <v/>
      </c>
      <c r="K2831" s="122">
        <f>IF(E2831&gt;=5000,"🏆 Platinum",IF(E2831&gt;=2000,"🥇 Gold",IF(E2831&gt;=800,"🥈 Silver","🥉 Bronze")))</f>
        <v/>
      </c>
      <c r="L2831" s="125" t="n">
        <v>40882</v>
      </c>
    </row>
    <row r="2832">
      <c r="A2832" s="126" t="n">
        <v>16201</v>
      </c>
      <c r="B2832" s="126" t="inlineStr">
        <is>
          <t>United Kingdom</t>
        </is>
      </c>
      <c r="C2832" s="126" t="n">
        <v>4</v>
      </c>
      <c r="D2832" s="126" t="n">
        <v>4</v>
      </c>
      <c r="E2832" s="127" t="n">
        <v>1863.47</v>
      </c>
      <c r="F2832" s="128">
        <f>IF(C2832&lt;=30,5,IF(C2832&lt;=60,4,IF(C2832&lt;=120,3,IF(C2832&lt;=200,2,1))))</f>
        <v/>
      </c>
      <c r="G2832" s="128">
        <f>IF(D2832&gt;=20,5,IF(D2832&gt;=10,4,IF(D2832&gt;=5,3,IF(D2832&gt;=2,2,1))))</f>
        <v/>
      </c>
      <c r="H2832" s="128">
        <f>IF(E2832&gt;=5000,5,IF(E2832&gt;=2000,4,IF(E2832&gt;=800,3,IF(E2832&gt;=300,2,1))))</f>
        <v/>
      </c>
      <c r="I2832" s="126">
        <f>TEXT(F2832,"0")&amp;TEXT(G2832,"0")&amp;TEXT(H2832,"0")</f>
        <v/>
      </c>
      <c r="J2832" s="126">
        <f>IFERROR(XLOOKUP(I2832,'Segment Map'!A:A,'Segment Map'!B:B,"Need Attention"),"Need Attention")</f>
        <v/>
      </c>
      <c r="K2832" s="126">
        <f>IF(E2832&gt;=5000,"🏆 Platinum",IF(E2832&gt;=2000,"🥇 Gold",IF(E2832&gt;=800,"🥈 Silver","🥉 Bronze")))</f>
        <v/>
      </c>
      <c r="L2832" s="129" t="n">
        <v>40883</v>
      </c>
    </row>
    <row r="2833">
      <c r="A2833" s="122" t="n">
        <v>16202</v>
      </c>
      <c r="B2833" s="122" t="inlineStr">
        <is>
          <t>United Kingdom</t>
        </is>
      </c>
      <c r="C2833" s="122" t="n">
        <v>361</v>
      </c>
      <c r="D2833" s="122" t="n">
        <v>1</v>
      </c>
      <c r="E2833" s="123" t="n">
        <v>365.27</v>
      </c>
      <c r="F2833" s="124">
        <f>IF(C2833&lt;=30,5,IF(C2833&lt;=60,4,IF(C2833&lt;=120,3,IF(C2833&lt;=200,2,1))))</f>
        <v/>
      </c>
      <c r="G2833" s="124">
        <f>IF(D2833&gt;=20,5,IF(D2833&gt;=10,4,IF(D2833&gt;=5,3,IF(D2833&gt;=2,2,1))))</f>
        <v/>
      </c>
      <c r="H2833" s="124">
        <f>IF(E2833&gt;=5000,5,IF(E2833&gt;=2000,4,IF(E2833&gt;=800,3,IF(E2833&gt;=300,2,1))))</f>
        <v/>
      </c>
      <c r="I2833" s="122">
        <f>TEXT(F2833,"0")&amp;TEXT(G2833,"0")&amp;TEXT(H2833,"0")</f>
        <v/>
      </c>
      <c r="J2833" s="122">
        <f>IFERROR(XLOOKUP(I2833,'Segment Map'!A:A,'Segment Map'!B:B,"Need Attention"),"Need Attention")</f>
        <v/>
      </c>
      <c r="K2833" s="122">
        <f>IF(E2833&gt;=5000,"🏆 Platinum",IF(E2833&gt;=2000,"🥇 Gold",IF(E2833&gt;=800,"🥈 Silver","🥉 Bronze")))</f>
        <v/>
      </c>
      <c r="L2833" s="125" t="n">
        <v>40526</v>
      </c>
    </row>
    <row r="2834">
      <c r="A2834" s="126" t="n">
        <v>16203</v>
      </c>
      <c r="B2834" s="126" t="inlineStr">
        <is>
          <t>United Kingdom</t>
        </is>
      </c>
      <c r="C2834" s="126" t="n">
        <v>59</v>
      </c>
      <c r="D2834" s="126" t="n">
        <v>4</v>
      </c>
      <c r="E2834" s="127" t="n">
        <v>592.9</v>
      </c>
      <c r="F2834" s="128">
        <f>IF(C2834&lt;=30,5,IF(C2834&lt;=60,4,IF(C2834&lt;=120,3,IF(C2834&lt;=200,2,1))))</f>
        <v/>
      </c>
      <c r="G2834" s="128">
        <f>IF(D2834&gt;=20,5,IF(D2834&gt;=10,4,IF(D2834&gt;=5,3,IF(D2834&gt;=2,2,1))))</f>
        <v/>
      </c>
      <c r="H2834" s="128">
        <f>IF(E2834&gt;=5000,5,IF(E2834&gt;=2000,4,IF(E2834&gt;=800,3,IF(E2834&gt;=300,2,1))))</f>
        <v/>
      </c>
      <c r="I2834" s="126">
        <f>TEXT(F2834,"0")&amp;TEXT(G2834,"0")&amp;TEXT(H2834,"0")</f>
        <v/>
      </c>
      <c r="J2834" s="126">
        <f>IFERROR(XLOOKUP(I2834,'Segment Map'!A:A,'Segment Map'!B:B,"Need Attention"),"Need Attention")</f>
        <v/>
      </c>
      <c r="K2834" s="126">
        <f>IF(E2834&gt;=5000,"🏆 Platinum",IF(E2834&gt;=2000,"🥇 Gold",IF(E2834&gt;=800,"🥈 Silver","🥉 Bronze")))</f>
        <v/>
      </c>
      <c r="L2834" s="129" t="n">
        <v>40828</v>
      </c>
    </row>
    <row r="2835">
      <c r="A2835" s="122" t="n">
        <v>16204</v>
      </c>
      <c r="B2835" s="122" t="inlineStr">
        <is>
          <t>United Kingdom</t>
        </is>
      </c>
      <c r="C2835" s="122" t="n">
        <v>24</v>
      </c>
      <c r="D2835" s="122" t="n">
        <v>1</v>
      </c>
      <c r="E2835" s="123" t="n">
        <v>405.71</v>
      </c>
      <c r="F2835" s="124">
        <f>IF(C2835&lt;=30,5,IF(C2835&lt;=60,4,IF(C2835&lt;=120,3,IF(C2835&lt;=200,2,1))))</f>
        <v/>
      </c>
      <c r="G2835" s="124">
        <f>IF(D2835&gt;=20,5,IF(D2835&gt;=10,4,IF(D2835&gt;=5,3,IF(D2835&gt;=2,2,1))))</f>
        <v/>
      </c>
      <c r="H2835" s="124">
        <f>IF(E2835&gt;=5000,5,IF(E2835&gt;=2000,4,IF(E2835&gt;=800,3,IF(E2835&gt;=300,2,1))))</f>
        <v/>
      </c>
      <c r="I2835" s="122">
        <f>TEXT(F2835,"0")&amp;TEXT(G2835,"0")&amp;TEXT(H2835,"0")</f>
        <v/>
      </c>
      <c r="J2835" s="122">
        <f>IFERROR(XLOOKUP(I2835,'Segment Map'!A:A,'Segment Map'!B:B,"Need Attention"),"Need Attention")</f>
        <v/>
      </c>
      <c r="K2835" s="122">
        <f>IF(E2835&gt;=5000,"🏆 Platinum",IF(E2835&gt;=2000,"🥇 Gold",IF(E2835&gt;=800,"🥈 Silver","🥉 Bronze")))</f>
        <v/>
      </c>
      <c r="L2835" s="125" t="n">
        <v>40863</v>
      </c>
    </row>
    <row r="2836">
      <c r="A2836" s="126" t="n">
        <v>16205</v>
      </c>
      <c r="B2836" s="126" t="inlineStr">
        <is>
          <t>United Kingdom</t>
        </is>
      </c>
      <c r="C2836" s="126" t="n">
        <v>31</v>
      </c>
      <c r="D2836" s="126" t="n">
        <v>4</v>
      </c>
      <c r="E2836" s="127" t="n">
        <v>761.38</v>
      </c>
      <c r="F2836" s="128">
        <f>IF(C2836&lt;=30,5,IF(C2836&lt;=60,4,IF(C2836&lt;=120,3,IF(C2836&lt;=200,2,1))))</f>
        <v/>
      </c>
      <c r="G2836" s="128">
        <f>IF(D2836&gt;=20,5,IF(D2836&gt;=10,4,IF(D2836&gt;=5,3,IF(D2836&gt;=2,2,1))))</f>
        <v/>
      </c>
      <c r="H2836" s="128">
        <f>IF(E2836&gt;=5000,5,IF(E2836&gt;=2000,4,IF(E2836&gt;=800,3,IF(E2836&gt;=300,2,1))))</f>
        <v/>
      </c>
      <c r="I2836" s="126">
        <f>TEXT(F2836,"0")&amp;TEXT(G2836,"0")&amp;TEXT(H2836,"0")</f>
        <v/>
      </c>
      <c r="J2836" s="126">
        <f>IFERROR(XLOOKUP(I2836,'Segment Map'!A:A,'Segment Map'!B:B,"Need Attention"),"Need Attention")</f>
        <v/>
      </c>
      <c r="K2836" s="126">
        <f>IF(E2836&gt;=5000,"🏆 Platinum",IF(E2836&gt;=2000,"🥇 Gold",IF(E2836&gt;=800,"🥈 Silver","🥉 Bronze")))</f>
        <v/>
      </c>
      <c r="L2836" s="129" t="n">
        <v>40856</v>
      </c>
    </row>
    <row r="2837">
      <c r="A2837" s="122" t="n">
        <v>16206</v>
      </c>
      <c r="B2837" s="122" t="inlineStr">
        <is>
          <t>United Kingdom</t>
        </is>
      </c>
      <c r="C2837" s="122" t="n">
        <v>55</v>
      </c>
      <c r="D2837" s="122" t="n">
        <v>4</v>
      </c>
      <c r="E2837" s="123" t="n">
        <v>537.0599999999999</v>
      </c>
      <c r="F2837" s="124">
        <f>IF(C2837&lt;=30,5,IF(C2837&lt;=60,4,IF(C2837&lt;=120,3,IF(C2837&lt;=200,2,1))))</f>
        <v/>
      </c>
      <c r="G2837" s="124">
        <f>IF(D2837&gt;=20,5,IF(D2837&gt;=10,4,IF(D2837&gt;=5,3,IF(D2837&gt;=2,2,1))))</f>
        <v/>
      </c>
      <c r="H2837" s="124">
        <f>IF(E2837&gt;=5000,5,IF(E2837&gt;=2000,4,IF(E2837&gt;=800,3,IF(E2837&gt;=300,2,1))))</f>
        <v/>
      </c>
      <c r="I2837" s="122">
        <f>TEXT(F2837,"0")&amp;TEXT(G2837,"0")&amp;TEXT(H2837,"0")</f>
        <v/>
      </c>
      <c r="J2837" s="122">
        <f>IFERROR(XLOOKUP(I2837,'Segment Map'!A:A,'Segment Map'!B:B,"Need Attention"),"Need Attention")</f>
        <v/>
      </c>
      <c r="K2837" s="122">
        <f>IF(E2837&gt;=5000,"🏆 Platinum",IF(E2837&gt;=2000,"🥇 Gold",IF(E2837&gt;=800,"🥈 Silver","🥉 Bronze")))</f>
        <v/>
      </c>
      <c r="L2837" s="125" t="n">
        <v>40832</v>
      </c>
    </row>
    <row r="2838">
      <c r="A2838" s="126" t="n">
        <v>16207</v>
      </c>
      <c r="B2838" s="126" t="inlineStr">
        <is>
          <t>United Kingdom</t>
        </is>
      </c>
      <c r="C2838" s="126" t="n">
        <v>26</v>
      </c>
      <c r="D2838" s="126" t="n">
        <v>1</v>
      </c>
      <c r="E2838" s="127" t="n">
        <v>394.38</v>
      </c>
      <c r="F2838" s="128">
        <f>IF(C2838&lt;=30,5,IF(C2838&lt;=60,4,IF(C2838&lt;=120,3,IF(C2838&lt;=200,2,1))))</f>
        <v/>
      </c>
      <c r="G2838" s="128">
        <f>IF(D2838&gt;=20,5,IF(D2838&gt;=10,4,IF(D2838&gt;=5,3,IF(D2838&gt;=2,2,1))))</f>
        <v/>
      </c>
      <c r="H2838" s="128">
        <f>IF(E2838&gt;=5000,5,IF(E2838&gt;=2000,4,IF(E2838&gt;=800,3,IF(E2838&gt;=300,2,1))))</f>
        <v/>
      </c>
      <c r="I2838" s="126">
        <f>TEXT(F2838,"0")&amp;TEXT(G2838,"0")&amp;TEXT(H2838,"0")</f>
        <v/>
      </c>
      <c r="J2838" s="126">
        <f>IFERROR(XLOOKUP(I2838,'Segment Map'!A:A,'Segment Map'!B:B,"Need Attention"),"Need Attention")</f>
        <v/>
      </c>
      <c r="K2838" s="126">
        <f>IF(E2838&gt;=5000,"🏆 Platinum",IF(E2838&gt;=2000,"🥇 Gold",IF(E2838&gt;=800,"🥈 Silver","🥉 Bronze")))</f>
        <v/>
      </c>
      <c r="L2838" s="129" t="n">
        <v>40861</v>
      </c>
    </row>
    <row r="2839">
      <c r="A2839" s="122" t="n">
        <v>16208</v>
      </c>
      <c r="B2839" s="122" t="inlineStr">
        <is>
          <t>United Kingdom</t>
        </is>
      </c>
      <c r="C2839" s="122" t="n">
        <v>45</v>
      </c>
      <c r="D2839" s="122" t="n">
        <v>2</v>
      </c>
      <c r="E2839" s="123" t="n">
        <v>664.26</v>
      </c>
      <c r="F2839" s="124">
        <f>IF(C2839&lt;=30,5,IF(C2839&lt;=60,4,IF(C2839&lt;=120,3,IF(C2839&lt;=200,2,1))))</f>
        <v/>
      </c>
      <c r="G2839" s="124">
        <f>IF(D2839&gt;=20,5,IF(D2839&gt;=10,4,IF(D2839&gt;=5,3,IF(D2839&gt;=2,2,1))))</f>
        <v/>
      </c>
      <c r="H2839" s="124">
        <f>IF(E2839&gt;=5000,5,IF(E2839&gt;=2000,4,IF(E2839&gt;=800,3,IF(E2839&gt;=300,2,1))))</f>
        <v/>
      </c>
      <c r="I2839" s="122">
        <f>TEXT(F2839,"0")&amp;TEXT(G2839,"0")&amp;TEXT(H2839,"0")</f>
        <v/>
      </c>
      <c r="J2839" s="122">
        <f>IFERROR(XLOOKUP(I2839,'Segment Map'!A:A,'Segment Map'!B:B,"Need Attention"),"Need Attention")</f>
        <v/>
      </c>
      <c r="K2839" s="122">
        <f>IF(E2839&gt;=5000,"🏆 Platinum",IF(E2839&gt;=2000,"🥇 Gold",IF(E2839&gt;=800,"🥈 Silver","🥉 Bronze")))</f>
        <v/>
      </c>
      <c r="L2839" s="125" t="n">
        <v>40842</v>
      </c>
    </row>
    <row r="2840">
      <c r="A2840" s="126" t="n">
        <v>16209</v>
      </c>
      <c r="B2840" s="126" t="inlineStr">
        <is>
          <t>United Kingdom</t>
        </is>
      </c>
      <c r="C2840" s="126" t="n">
        <v>89</v>
      </c>
      <c r="D2840" s="126" t="n">
        <v>5</v>
      </c>
      <c r="E2840" s="127" t="n">
        <v>2262.62</v>
      </c>
      <c r="F2840" s="128">
        <f>IF(C2840&lt;=30,5,IF(C2840&lt;=60,4,IF(C2840&lt;=120,3,IF(C2840&lt;=200,2,1))))</f>
        <v/>
      </c>
      <c r="G2840" s="128">
        <f>IF(D2840&gt;=20,5,IF(D2840&gt;=10,4,IF(D2840&gt;=5,3,IF(D2840&gt;=2,2,1))))</f>
        <v/>
      </c>
      <c r="H2840" s="128">
        <f>IF(E2840&gt;=5000,5,IF(E2840&gt;=2000,4,IF(E2840&gt;=800,3,IF(E2840&gt;=300,2,1))))</f>
        <v/>
      </c>
      <c r="I2840" s="126">
        <f>TEXT(F2840,"0")&amp;TEXT(G2840,"0")&amp;TEXT(H2840,"0")</f>
        <v/>
      </c>
      <c r="J2840" s="126">
        <f>IFERROR(XLOOKUP(I2840,'Segment Map'!A:A,'Segment Map'!B:B,"Need Attention"),"Need Attention")</f>
        <v/>
      </c>
      <c r="K2840" s="126">
        <f>IF(E2840&gt;=5000,"🏆 Platinum",IF(E2840&gt;=2000,"🥇 Gold",IF(E2840&gt;=800,"🥈 Silver","🥉 Bronze")))</f>
        <v/>
      </c>
      <c r="L2840" s="129" t="n">
        <v>40798</v>
      </c>
    </row>
    <row r="2841">
      <c r="A2841" s="122" t="n">
        <v>16210</v>
      </c>
      <c r="B2841" s="122" t="inlineStr">
        <is>
          <t>United Kingdom</t>
        </is>
      </c>
      <c r="C2841" s="122" t="n">
        <v>2</v>
      </c>
      <c r="D2841" s="122" t="n">
        <v>18</v>
      </c>
      <c r="E2841" s="123" t="n">
        <v>21086.3</v>
      </c>
      <c r="F2841" s="124">
        <f>IF(C2841&lt;=30,5,IF(C2841&lt;=60,4,IF(C2841&lt;=120,3,IF(C2841&lt;=200,2,1))))</f>
        <v/>
      </c>
      <c r="G2841" s="124">
        <f>IF(D2841&gt;=20,5,IF(D2841&gt;=10,4,IF(D2841&gt;=5,3,IF(D2841&gt;=2,2,1))))</f>
        <v/>
      </c>
      <c r="H2841" s="124">
        <f>IF(E2841&gt;=5000,5,IF(E2841&gt;=2000,4,IF(E2841&gt;=800,3,IF(E2841&gt;=300,2,1))))</f>
        <v/>
      </c>
      <c r="I2841" s="122">
        <f>TEXT(F2841,"0")&amp;TEXT(G2841,"0")&amp;TEXT(H2841,"0")</f>
        <v/>
      </c>
      <c r="J2841" s="122">
        <f>IFERROR(XLOOKUP(I2841,'Segment Map'!A:A,'Segment Map'!B:B,"Need Attention"),"Need Attention")</f>
        <v/>
      </c>
      <c r="K2841" s="122">
        <f>IF(E2841&gt;=5000,"🏆 Platinum",IF(E2841&gt;=2000,"🥇 Gold",IF(E2841&gt;=800,"🥈 Silver","🥉 Bronze")))</f>
        <v/>
      </c>
      <c r="L2841" s="125" t="n">
        <v>40885</v>
      </c>
    </row>
    <row r="2842">
      <c r="A2842" s="126" t="n">
        <v>16211</v>
      </c>
      <c r="B2842" s="126" t="inlineStr">
        <is>
          <t>United Kingdom</t>
        </is>
      </c>
      <c r="C2842" s="126" t="n">
        <v>89</v>
      </c>
      <c r="D2842" s="126" t="n">
        <v>1</v>
      </c>
      <c r="E2842" s="127" t="n">
        <v>547.02</v>
      </c>
      <c r="F2842" s="128">
        <f>IF(C2842&lt;=30,5,IF(C2842&lt;=60,4,IF(C2842&lt;=120,3,IF(C2842&lt;=200,2,1))))</f>
        <v/>
      </c>
      <c r="G2842" s="128">
        <f>IF(D2842&gt;=20,5,IF(D2842&gt;=10,4,IF(D2842&gt;=5,3,IF(D2842&gt;=2,2,1))))</f>
        <v/>
      </c>
      <c r="H2842" s="128">
        <f>IF(E2842&gt;=5000,5,IF(E2842&gt;=2000,4,IF(E2842&gt;=800,3,IF(E2842&gt;=300,2,1))))</f>
        <v/>
      </c>
      <c r="I2842" s="126">
        <f>TEXT(F2842,"0")&amp;TEXT(G2842,"0")&amp;TEXT(H2842,"0")</f>
        <v/>
      </c>
      <c r="J2842" s="126">
        <f>IFERROR(XLOOKUP(I2842,'Segment Map'!A:A,'Segment Map'!B:B,"Need Attention"),"Need Attention")</f>
        <v/>
      </c>
      <c r="K2842" s="126">
        <f>IF(E2842&gt;=5000,"🏆 Platinum",IF(E2842&gt;=2000,"🥇 Gold",IF(E2842&gt;=800,"🥈 Silver","🥉 Bronze")))</f>
        <v/>
      </c>
      <c r="L2842" s="129" t="n">
        <v>40798</v>
      </c>
    </row>
    <row r="2843">
      <c r="A2843" s="122" t="n">
        <v>16212</v>
      </c>
      <c r="B2843" s="122" t="inlineStr">
        <is>
          <t>United Kingdom</t>
        </is>
      </c>
      <c r="C2843" s="122" t="n">
        <v>20</v>
      </c>
      <c r="D2843" s="122" t="n">
        <v>2</v>
      </c>
      <c r="E2843" s="123" t="n">
        <v>690.34</v>
      </c>
      <c r="F2843" s="124">
        <f>IF(C2843&lt;=30,5,IF(C2843&lt;=60,4,IF(C2843&lt;=120,3,IF(C2843&lt;=200,2,1))))</f>
        <v/>
      </c>
      <c r="G2843" s="124">
        <f>IF(D2843&gt;=20,5,IF(D2843&gt;=10,4,IF(D2843&gt;=5,3,IF(D2843&gt;=2,2,1))))</f>
        <v/>
      </c>
      <c r="H2843" s="124">
        <f>IF(E2843&gt;=5000,5,IF(E2843&gt;=2000,4,IF(E2843&gt;=800,3,IF(E2843&gt;=300,2,1))))</f>
        <v/>
      </c>
      <c r="I2843" s="122">
        <f>TEXT(F2843,"0")&amp;TEXT(G2843,"0")&amp;TEXT(H2843,"0")</f>
        <v/>
      </c>
      <c r="J2843" s="122">
        <f>IFERROR(XLOOKUP(I2843,'Segment Map'!A:A,'Segment Map'!B:B,"Need Attention"),"Need Attention")</f>
        <v/>
      </c>
      <c r="K2843" s="122">
        <f>IF(E2843&gt;=5000,"🏆 Platinum",IF(E2843&gt;=2000,"🥇 Gold",IF(E2843&gt;=800,"🥈 Silver","🥉 Bronze")))</f>
        <v/>
      </c>
      <c r="L2843" s="125" t="n">
        <v>40867</v>
      </c>
    </row>
    <row r="2844">
      <c r="A2844" s="126" t="n">
        <v>16213</v>
      </c>
      <c r="B2844" s="126" t="inlineStr">
        <is>
          <t>United Kingdom</t>
        </is>
      </c>
      <c r="C2844" s="126" t="n">
        <v>79</v>
      </c>
      <c r="D2844" s="126" t="n">
        <v>1</v>
      </c>
      <c r="E2844" s="127" t="n">
        <v>159</v>
      </c>
      <c r="F2844" s="128">
        <f>IF(C2844&lt;=30,5,IF(C2844&lt;=60,4,IF(C2844&lt;=120,3,IF(C2844&lt;=200,2,1))))</f>
        <v/>
      </c>
      <c r="G2844" s="128">
        <f>IF(D2844&gt;=20,5,IF(D2844&gt;=10,4,IF(D2844&gt;=5,3,IF(D2844&gt;=2,2,1))))</f>
        <v/>
      </c>
      <c r="H2844" s="128">
        <f>IF(E2844&gt;=5000,5,IF(E2844&gt;=2000,4,IF(E2844&gt;=800,3,IF(E2844&gt;=300,2,1))))</f>
        <v/>
      </c>
      <c r="I2844" s="126">
        <f>TEXT(F2844,"0")&amp;TEXT(G2844,"0")&amp;TEXT(H2844,"0")</f>
        <v/>
      </c>
      <c r="J2844" s="126">
        <f>IFERROR(XLOOKUP(I2844,'Segment Map'!A:A,'Segment Map'!B:B,"Need Attention"),"Need Attention")</f>
        <v/>
      </c>
      <c r="K2844" s="126">
        <f>IF(E2844&gt;=5000,"🏆 Platinum",IF(E2844&gt;=2000,"🥇 Gold",IF(E2844&gt;=800,"🥈 Silver","🥉 Bronze")))</f>
        <v/>
      </c>
      <c r="L2844" s="129" t="n">
        <v>40808</v>
      </c>
    </row>
    <row r="2845">
      <c r="A2845" s="122" t="n">
        <v>16214</v>
      </c>
      <c r="B2845" s="122" t="inlineStr">
        <is>
          <t>United Kingdom</t>
        </is>
      </c>
      <c r="C2845" s="122" t="n">
        <v>171</v>
      </c>
      <c r="D2845" s="122" t="n">
        <v>3</v>
      </c>
      <c r="E2845" s="123" t="n">
        <v>1062.75</v>
      </c>
      <c r="F2845" s="124">
        <f>IF(C2845&lt;=30,5,IF(C2845&lt;=60,4,IF(C2845&lt;=120,3,IF(C2845&lt;=200,2,1))))</f>
        <v/>
      </c>
      <c r="G2845" s="124">
        <f>IF(D2845&gt;=20,5,IF(D2845&gt;=10,4,IF(D2845&gt;=5,3,IF(D2845&gt;=2,2,1))))</f>
        <v/>
      </c>
      <c r="H2845" s="124">
        <f>IF(E2845&gt;=5000,5,IF(E2845&gt;=2000,4,IF(E2845&gt;=800,3,IF(E2845&gt;=300,2,1))))</f>
        <v/>
      </c>
      <c r="I2845" s="122">
        <f>TEXT(F2845,"0")&amp;TEXT(G2845,"0")&amp;TEXT(H2845,"0")</f>
        <v/>
      </c>
      <c r="J2845" s="122">
        <f>IFERROR(XLOOKUP(I2845,'Segment Map'!A:A,'Segment Map'!B:B,"Need Attention"),"Need Attention")</f>
        <v/>
      </c>
      <c r="K2845" s="122">
        <f>IF(E2845&gt;=5000,"🏆 Platinum",IF(E2845&gt;=2000,"🥇 Gold",IF(E2845&gt;=800,"🥈 Silver","🥉 Bronze")))</f>
        <v/>
      </c>
      <c r="L2845" s="125" t="n">
        <v>40716</v>
      </c>
    </row>
    <row r="2846">
      <c r="A2846" s="126" t="n">
        <v>16215</v>
      </c>
      <c r="B2846" s="126" t="inlineStr">
        <is>
          <t>United Kingdom</t>
        </is>
      </c>
      <c r="C2846" s="126" t="n">
        <v>81</v>
      </c>
      <c r="D2846" s="126" t="n">
        <v>1</v>
      </c>
      <c r="E2846" s="127" t="n">
        <v>242.35</v>
      </c>
      <c r="F2846" s="128">
        <f>IF(C2846&lt;=30,5,IF(C2846&lt;=60,4,IF(C2846&lt;=120,3,IF(C2846&lt;=200,2,1))))</f>
        <v/>
      </c>
      <c r="G2846" s="128">
        <f>IF(D2846&gt;=20,5,IF(D2846&gt;=10,4,IF(D2846&gt;=5,3,IF(D2846&gt;=2,2,1))))</f>
        <v/>
      </c>
      <c r="H2846" s="128">
        <f>IF(E2846&gt;=5000,5,IF(E2846&gt;=2000,4,IF(E2846&gt;=800,3,IF(E2846&gt;=300,2,1))))</f>
        <v/>
      </c>
      <c r="I2846" s="126">
        <f>TEXT(F2846,"0")&amp;TEXT(G2846,"0")&amp;TEXT(H2846,"0")</f>
        <v/>
      </c>
      <c r="J2846" s="126">
        <f>IFERROR(XLOOKUP(I2846,'Segment Map'!A:A,'Segment Map'!B:B,"Need Attention"),"Need Attention")</f>
        <v/>
      </c>
      <c r="K2846" s="126">
        <f>IF(E2846&gt;=5000,"🏆 Platinum",IF(E2846&gt;=2000,"🥇 Gold",IF(E2846&gt;=800,"🥈 Silver","🥉 Bronze")))</f>
        <v/>
      </c>
      <c r="L2846" s="129" t="n">
        <v>40806</v>
      </c>
    </row>
    <row r="2847">
      <c r="A2847" s="122" t="n">
        <v>16216</v>
      </c>
      <c r="B2847" s="122" t="inlineStr">
        <is>
          <t>United Kingdom</t>
        </is>
      </c>
      <c r="C2847" s="122" t="n">
        <v>268</v>
      </c>
      <c r="D2847" s="122" t="n">
        <v>1</v>
      </c>
      <c r="E2847" s="123" t="n">
        <v>914.9299999999999</v>
      </c>
      <c r="F2847" s="124">
        <f>IF(C2847&lt;=30,5,IF(C2847&lt;=60,4,IF(C2847&lt;=120,3,IF(C2847&lt;=200,2,1))))</f>
        <v/>
      </c>
      <c r="G2847" s="124">
        <f>IF(D2847&gt;=20,5,IF(D2847&gt;=10,4,IF(D2847&gt;=5,3,IF(D2847&gt;=2,2,1))))</f>
        <v/>
      </c>
      <c r="H2847" s="124">
        <f>IF(E2847&gt;=5000,5,IF(E2847&gt;=2000,4,IF(E2847&gt;=800,3,IF(E2847&gt;=300,2,1))))</f>
        <v/>
      </c>
      <c r="I2847" s="122">
        <f>TEXT(F2847,"0")&amp;TEXT(G2847,"0")&amp;TEXT(H2847,"0")</f>
        <v/>
      </c>
      <c r="J2847" s="122">
        <f>IFERROR(XLOOKUP(I2847,'Segment Map'!A:A,'Segment Map'!B:B,"Need Attention"),"Need Attention")</f>
        <v/>
      </c>
      <c r="K2847" s="122">
        <f>IF(E2847&gt;=5000,"🏆 Platinum",IF(E2847&gt;=2000,"🥇 Gold",IF(E2847&gt;=800,"🥈 Silver","🥉 Bronze")))</f>
        <v/>
      </c>
      <c r="L2847" s="125" t="n">
        <v>40619</v>
      </c>
    </row>
    <row r="2848">
      <c r="A2848" s="126" t="n">
        <v>16217</v>
      </c>
      <c r="B2848" s="126" t="inlineStr">
        <is>
          <t>United Kingdom</t>
        </is>
      </c>
      <c r="C2848" s="126" t="n">
        <v>236</v>
      </c>
      <c r="D2848" s="126" t="n">
        <v>2</v>
      </c>
      <c r="E2848" s="127" t="n">
        <v>304.25</v>
      </c>
      <c r="F2848" s="128">
        <f>IF(C2848&lt;=30,5,IF(C2848&lt;=60,4,IF(C2848&lt;=120,3,IF(C2848&lt;=200,2,1))))</f>
        <v/>
      </c>
      <c r="G2848" s="128">
        <f>IF(D2848&gt;=20,5,IF(D2848&gt;=10,4,IF(D2848&gt;=5,3,IF(D2848&gt;=2,2,1))))</f>
        <v/>
      </c>
      <c r="H2848" s="128">
        <f>IF(E2848&gt;=5000,5,IF(E2848&gt;=2000,4,IF(E2848&gt;=800,3,IF(E2848&gt;=300,2,1))))</f>
        <v/>
      </c>
      <c r="I2848" s="126">
        <f>TEXT(F2848,"0")&amp;TEXT(G2848,"0")&amp;TEXT(H2848,"0")</f>
        <v/>
      </c>
      <c r="J2848" s="126">
        <f>IFERROR(XLOOKUP(I2848,'Segment Map'!A:A,'Segment Map'!B:B,"Need Attention"),"Need Attention")</f>
        <v/>
      </c>
      <c r="K2848" s="126">
        <f>IF(E2848&gt;=5000,"🏆 Platinum",IF(E2848&gt;=2000,"🥇 Gold",IF(E2848&gt;=800,"🥈 Silver","🥉 Bronze")))</f>
        <v/>
      </c>
      <c r="L2848" s="129" t="n">
        <v>40651</v>
      </c>
    </row>
    <row r="2849">
      <c r="A2849" s="122" t="n">
        <v>16218</v>
      </c>
      <c r="B2849" s="122" t="inlineStr">
        <is>
          <t>United Kingdom</t>
        </is>
      </c>
      <c r="C2849" s="122" t="n">
        <v>30</v>
      </c>
      <c r="D2849" s="122" t="n">
        <v>7</v>
      </c>
      <c r="E2849" s="123" t="n">
        <v>3084.68</v>
      </c>
      <c r="F2849" s="124">
        <f>IF(C2849&lt;=30,5,IF(C2849&lt;=60,4,IF(C2849&lt;=120,3,IF(C2849&lt;=200,2,1))))</f>
        <v/>
      </c>
      <c r="G2849" s="124">
        <f>IF(D2849&gt;=20,5,IF(D2849&gt;=10,4,IF(D2849&gt;=5,3,IF(D2849&gt;=2,2,1))))</f>
        <v/>
      </c>
      <c r="H2849" s="124">
        <f>IF(E2849&gt;=5000,5,IF(E2849&gt;=2000,4,IF(E2849&gt;=800,3,IF(E2849&gt;=300,2,1))))</f>
        <v/>
      </c>
      <c r="I2849" s="122">
        <f>TEXT(F2849,"0")&amp;TEXT(G2849,"0")&amp;TEXT(H2849,"0")</f>
        <v/>
      </c>
      <c r="J2849" s="122">
        <f>IFERROR(XLOOKUP(I2849,'Segment Map'!A:A,'Segment Map'!B:B,"Need Attention"),"Need Attention")</f>
        <v/>
      </c>
      <c r="K2849" s="122">
        <f>IF(E2849&gt;=5000,"🏆 Platinum",IF(E2849&gt;=2000,"🥇 Gold",IF(E2849&gt;=800,"🥈 Silver","🥉 Bronze")))</f>
        <v/>
      </c>
      <c r="L2849" s="125" t="n">
        <v>40857</v>
      </c>
    </row>
    <row r="2850">
      <c r="A2850" s="126" t="n">
        <v>16221</v>
      </c>
      <c r="B2850" s="126" t="inlineStr">
        <is>
          <t>United Kingdom</t>
        </is>
      </c>
      <c r="C2850" s="126" t="n">
        <v>37</v>
      </c>
      <c r="D2850" s="126" t="n">
        <v>3</v>
      </c>
      <c r="E2850" s="127" t="n">
        <v>864.86</v>
      </c>
      <c r="F2850" s="128">
        <f>IF(C2850&lt;=30,5,IF(C2850&lt;=60,4,IF(C2850&lt;=120,3,IF(C2850&lt;=200,2,1))))</f>
        <v/>
      </c>
      <c r="G2850" s="128">
        <f>IF(D2850&gt;=20,5,IF(D2850&gt;=10,4,IF(D2850&gt;=5,3,IF(D2850&gt;=2,2,1))))</f>
        <v/>
      </c>
      <c r="H2850" s="128">
        <f>IF(E2850&gt;=5000,5,IF(E2850&gt;=2000,4,IF(E2850&gt;=800,3,IF(E2850&gt;=300,2,1))))</f>
        <v/>
      </c>
      <c r="I2850" s="126">
        <f>TEXT(F2850,"0")&amp;TEXT(G2850,"0")&amp;TEXT(H2850,"0")</f>
        <v/>
      </c>
      <c r="J2850" s="126">
        <f>IFERROR(XLOOKUP(I2850,'Segment Map'!A:A,'Segment Map'!B:B,"Need Attention"),"Need Attention")</f>
        <v/>
      </c>
      <c r="K2850" s="126">
        <f>IF(E2850&gt;=5000,"🏆 Platinum",IF(E2850&gt;=2000,"🥇 Gold",IF(E2850&gt;=800,"🥈 Silver","🥉 Bronze")))</f>
        <v/>
      </c>
      <c r="L2850" s="129" t="n">
        <v>40850</v>
      </c>
    </row>
    <row r="2851">
      <c r="A2851" s="122" t="n">
        <v>16222</v>
      </c>
      <c r="B2851" s="122" t="inlineStr">
        <is>
          <t>United Kingdom</t>
        </is>
      </c>
      <c r="C2851" s="122" t="n">
        <v>319</v>
      </c>
      <c r="D2851" s="122" t="n">
        <v>1</v>
      </c>
      <c r="E2851" s="123" t="n">
        <v>846.72</v>
      </c>
      <c r="F2851" s="124">
        <f>IF(C2851&lt;=30,5,IF(C2851&lt;=60,4,IF(C2851&lt;=120,3,IF(C2851&lt;=200,2,1))))</f>
        <v/>
      </c>
      <c r="G2851" s="124">
        <f>IF(D2851&gt;=20,5,IF(D2851&gt;=10,4,IF(D2851&gt;=5,3,IF(D2851&gt;=2,2,1))))</f>
        <v/>
      </c>
      <c r="H2851" s="124">
        <f>IF(E2851&gt;=5000,5,IF(E2851&gt;=2000,4,IF(E2851&gt;=800,3,IF(E2851&gt;=300,2,1))))</f>
        <v/>
      </c>
      <c r="I2851" s="122">
        <f>TEXT(F2851,"0")&amp;TEXT(G2851,"0")&amp;TEXT(H2851,"0")</f>
        <v/>
      </c>
      <c r="J2851" s="122">
        <f>IFERROR(XLOOKUP(I2851,'Segment Map'!A:A,'Segment Map'!B:B,"Need Attention"),"Need Attention")</f>
        <v/>
      </c>
      <c r="K2851" s="122">
        <f>IF(E2851&gt;=5000,"🏆 Platinum",IF(E2851&gt;=2000,"🥇 Gold",IF(E2851&gt;=800,"🥈 Silver","🥉 Bronze")))</f>
        <v/>
      </c>
      <c r="L2851" s="125" t="n">
        <v>40568</v>
      </c>
    </row>
    <row r="2852">
      <c r="A2852" s="126" t="n">
        <v>16224</v>
      </c>
      <c r="B2852" s="126" t="inlineStr">
        <is>
          <t>United Kingdom</t>
        </is>
      </c>
      <c r="C2852" s="126" t="n">
        <v>58</v>
      </c>
      <c r="D2852" s="126" t="n">
        <v>4</v>
      </c>
      <c r="E2852" s="127" t="n">
        <v>1295.3</v>
      </c>
      <c r="F2852" s="128">
        <f>IF(C2852&lt;=30,5,IF(C2852&lt;=60,4,IF(C2852&lt;=120,3,IF(C2852&lt;=200,2,1))))</f>
        <v/>
      </c>
      <c r="G2852" s="128">
        <f>IF(D2852&gt;=20,5,IF(D2852&gt;=10,4,IF(D2852&gt;=5,3,IF(D2852&gt;=2,2,1))))</f>
        <v/>
      </c>
      <c r="H2852" s="128">
        <f>IF(E2852&gt;=5000,5,IF(E2852&gt;=2000,4,IF(E2852&gt;=800,3,IF(E2852&gt;=300,2,1))))</f>
        <v/>
      </c>
      <c r="I2852" s="126">
        <f>TEXT(F2852,"0")&amp;TEXT(G2852,"0")&amp;TEXT(H2852,"0")</f>
        <v/>
      </c>
      <c r="J2852" s="126">
        <f>IFERROR(XLOOKUP(I2852,'Segment Map'!A:A,'Segment Map'!B:B,"Need Attention"),"Need Attention")</f>
        <v/>
      </c>
      <c r="K2852" s="126">
        <f>IF(E2852&gt;=5000,"🏆 Platinum",IF(E2852&gt;=2000,"🥇 Gold",IF(E2852&gt;=800,"🥈 Silver","🥉 Bronze")))</f>
        <v/>
      </c>
      <c r="L2852" s="129" t="n">
        <v>40829</v>
      </c>
    </row>
    <row r="2853">
      <c r="A2853" s="122" t="n">
        <v>16225</v>
      </c>
      <c r="B2853" s="122" t="inlineStr">
        <is>
          <t>United Kingdom</t>
        </is>
      </c>
      <c r="C2853" s="122" t="n">
        <v>45</v>
      </c>
      <c r="D2853" s="122" t="n">
        <v>5</v>
      </c>
      <c r="E2853" s="123" t="n">
        <v>1096.32</v>
      </c>
      <c r="F2853" s="124">
        <f>IF(C2853&lt;=30,5,IF(C2853&lt;=60,4,IF(C2853&lt;=120,3,IF(C2853&lt;=200,2,1))))</f>
        <v/>
      </c>
      <c r="G2853" s="124">
        <f>IF(D2853&gt;=20,5,IF(D2853&gt;=10,4,IF(D2853&gt;=5,3,IF(D2853&gt;=2,2,1))))</f>
        <v/>
      </c>
      <c r="H2853" s="124">
        <f>IF(E2853&gt;=5000,5,IF(E2853&gt;=2000,4,IF(E2853&gt;=800,3,IF(E2853&gt;=300,2,1))))</f>
        <v/>
      </c>
      <c r="I2853" s="122">
        <f>TEXT(F2853,"0")&amp;TEXT(G2853,"0")&amp;TEXT(H2853,"0")</f>
        <v/>
      </c>
      <c r="J2853" s="122">
        <f>IFERROR(XLOOKUP(I2853,'Segment Map'!A:A,'Segment Map'!B:B,"Need Attention"),"Need Attention")</f>
        <v/>
      </c>
      <c r="K2853" s="122">
        <f>IF(E2853&gt;=5000,"🏆 Platinum",IF(E2853&gt;=2000,"🥇 Gold",IF(E2853&gt;=800,"🥈 Silver","🥉 Bronze")))</f>
        <v/>
      </c>
      <c r="L2853" s="125" t="n">
        <v>40842</v>
      </c>
    </row>
    <row r="2854">
      <c r="A2854" s="126" t="n">
        <v>16226</v>
      </c>
      <c r="B2854" s="126" t="inlineStr">
        <is>
          <t>United Kingdom</t>
        </is>
      </c>
      <c r="C2854" s="126" t="n">
        <v>204</v>
      </c>
      <c r="D2854" s="126" t="n">
        <v>3</v>
      </c>
      <c r="E2854" s="127" t="n">
        <v>255.12</v>
      </c>
      <c r="F2854" s="128">
        <f>IF(C2854&lt;=30,5,IF(C2854&lt;=60,4,IF(C2854&lt;=120,3,IF(C2854&lt;=200,2,1))))</f>
        <v/>
      </c>
      <c r="G2854" s="128">
        <f>IF(D2854&gt;=20,5,IF(D2854&gt;=10,4,IF(D2854&gt;=5,3,IF(D2854&gt;=2,2,1))))</f>
        <v/>
      </c>
      <c r="H2854" s="128">
        <f>IF(E2854&gt;=5000,5,IF(E2854&gt;=2000,4,IF(E2854&gt;=800,3,IF(E2854&gt;=300,2,1))))</f>
        <v/>
      </c>
      <c r="I2854" s="126">
        <f>TEXT(F2854,"0")&amp;TEXT(G2854,"0")&amp;TEXT(H2854,"0")</f>
        <v/>
      </c>
      <c r="J2854" s="126">
        <f>IFERROR(XLOOKUP(I2854,'Segment Map'!A:A,'Segment Map'!B:B,"Need Attention"),"Need Attention")</f>
        <v/>
      </c>
      <c r="K2854" s="126">
        <f>IF(E2854&gt;=5000,"🏆 Platinum",IF(E2854&gt;=2000,"🥇 Gold",IF(E2854&gt;=800,"🥈 Silver","🥉 Bronze")))</f>
        <v/>
      </c>
      <c r="L2854" s="129" t="n">
        <v>40683</v>
      </c>
    </row>
    <row r="2855">
      <c r="A2855" s="122" t="n">
        <v>16227</v>
      </c>
      <c r="B2855" s="122" t="inlineStr">
        <is>
          <t>United Kingdom</t>
        </is>
      </c>
      <c r="C2855" s="122" t="n">
        <v>226</v>
      </c>
      <c r="D2855" s="122" t="n">
        <v>1</v>
      </c>
      <c r="E2855" s="123" t="n">
        <v>314.22</v>
      </c>
      <c r="F2855" s="124">
        <f>IF(C2855&lt;=30,5,IF(C2855&lt;=60,4,IF(C2855&lt;=120,3,IF(C2855&lt;=200,2,1))))</f>
        <v/>
      </c>
      <c r="G2855" s="124">
        <f>IF(D2855&gt;=20,5,IF(D2855&gt;=10,4,IF(D2855&gt;=5,3,IF(D2855&gt;=2,2,1))))</f>
        <v/>
      </c>
      <c r="H2855" s="124">
        <f>IF(E2855&gt;=5000,5,IF(E2855&gt;=2000,4,IF(E2855&gt;=800,3,IF(E2855&gt;=300,2,1))))</f>
        <v/>
      </c>
      <c r="I2855" s="122">
        <f>TEXT(F2855,"0")&amp;TEXT(G2855,"0")&amp;TEXT(H2855,"0")</f>
        <v/>
      </c>
      <c r="J2855" s="122">
        <f>IFERROR(XLOOKUP(I2855,'Segment Map'!A:A,'Segment Map'!B:B,"Need Attention"),"Need Attention")</f>
        <v/>
      </c>
      <c r="K2855" s="122">
        <f>IF(E2855&gt;=5000,"🏆 Platinum",IF(E2855&gt;=2000,"🥇 Gold",IF(E2855&gt;=800,"🥈 Silver","🥉 Bronze")))</f>
        <v/>
      </c>
      <c r="L2855" s="125" t="n">
        <v>40661</v>
      </c>
    </row>
    <row r="2856">
      <c r="A2856" s="126" t="n">
        <v>16229</v>
      </c>
      <c r="B2856" s="126" t="inlineStr">
        <is>
          <t>United Kingdom</t>
        </is>
      </c>
      <c r="C2856" s="126" t="n">
        <v>88</v>
      </c>
      <c r="D2856" s="126" t="n">
        <v>2</v>
      </c>
      <c r="E2856" s="127" t="n">
        <v>1010.6</v>
      </c>
      <c r="F2856" s="128">
        <f>IF(C2856&lt;=30,5,IF(C2856&lt;=60,4,IF(C2856&lt;=120,3,IF(C2856&lt;=200,2,1))))</f>
        <v/>
      </c>
      <c r="G2856" s="128">
        <f>IF(D2856&gt;=20,5,IF(D2856&gt;=10,4,IF(D2856&gt;=5,3,IF(D2856&gt;=2,2,1))))</f>
        <v/>
      </c>
      <c r="H2856" s="128">
        <f>IF(E2856&gt;=5000,5,IF(E2856&gt;=2000,4,IF(E2856&gt;=800,3,IF(E2856&gt;=300,2,1))))</f>
        <v/>
      </c>
      <c r="I2856" s="126">
        <f>TEXT(F2856,"0")&amp;TEXT(G2856,"0")&amp;TEXT(H2856,"0")</f>
        <v/>
      </c>
      <c r="J2856" s="126">
        <f>IFERROR(XLOOKUP(I2856,'Segment Map'!A:A,'Segment Map'!B:B,"Need Attention"),"Need Attention")</f>
        <v/>
      </c>
      <c r="K2856" s="126">
        <f>IF(E2856&gt;=5000,"🏆 Platinum",IF(E2856&gt;=2000,"🥇 Gold",IF(E2856&gt;=800,"🥈 Silver","🥉 Bronze")))</f>
        <v/>
      </c>
      <c r="L2856" s="129" t="n">
        <v>40799</v>
      </c>
    </row>
    <row r="2857">
      <c r="A2857" s="122" t="n">
        <v>16230</v>
      </c>
      <c r="B2857" s="122" t="inlineStr">
        <is>
          <t>United Kingdom</t>
        </is>
      </c>
      <c r="C2857" s="122" t="n">
        <v>190</v>
      </c>
      <c r="D2857" s="122" t="n">
        <v>2</v>
      </c>
      <c r="E2857" s="123" t="n">
        <v>542.03</v>
      </c>
      <c r="F2857" s="124">
        <f>IF(C2857&lt;=30,5,IF(C2857&lt;=60,4,IF(C2857&lt;=120,3,IF(C2857&lt;=200,2,1))))</f>
        <v/>
      </c>
      <c r="G2857" s="124">
        <f>IF(D2857&gt;=20,5,IF(D2857&gt;=10,4,IF(D2857&gt;=5,3,IF(D2857&gt;=2,2,1))))</f>
        <v/>
      </c>
      <c r="H2857" s="124">
        <f>IF(E2857&gt;=5000,5,IF(E2857&gt;=2000,4,IF(E2857&gt;=800,3,IF(E2857&gt;=300,2,1))))</f>
        <v/>
      </c>
      <c r="I2857" s="122">
        <f>TEXT(F2857,"0")&amp;TEXT(G2857,"0")&amp;TEXT(H2857,"0")</f>
        <v/>
      </c>
      <c r="J2857" s="122">
        <f>IFERROR(XLOOKUP(I2857,'Segment Map'!A:A,'Segment Map'!B:B,"Need Attention"),"Need Attention")</f>
        <v/>
      </c>
      <c r="K2857" s="122">
        <f>IF(E2857&gt;=5000,"🏆 Platinum",IF(E2857&gt;=2000,"🥇 Gold",IF(E2857&gt;=800,"🥈 Silver","🥉 Bronze")))</f>
        <v/>
      </c>
      <c r="L2857" s="125" t="n">
        <v>40697</v>
      </c>
    </row>
    <row r="2858">
      <c r="A2858" s="126" t="n">
        <v>16232</v>
      </c>
      <c r="B2858" s="126" t="inlineStr">
        <is>
          <t>United Kingdom</t>
        </is>
      </c>
      <c r="C2858" s="126" t="n">
        <v>44</v>
      </c>
      <c r="D2858" s="126" t="n">
        <v>4</v>
      </c>
      <c r="E2858" s="127" t="n">
        <v>990.88</v>
      </c>
      <c r="F2858" s="128">
        <f>IF(C2858&lt;=30,5,IF(C2858&lt;=60,4,IF(C2858&lt;=120,3,IF(C2858&lt;=200,2,1))))</f>
        <v/>
      </c>
      <c r="G2858" s="128">
        <f>IF(D2858&gt;=20,5,IF(D2858&gt;=10,4,IF(D2858&gt;=5,3,IF(D2858&gt;=2,2,1))))</f>
        <v/>
      </c>
      <c r="H2858" s="128">
        <f>IF(E2858&gt;=5000,5,IF(E2858&gt;=2000,4,IF(E2858&gt;=800,3,IF(E2858&gt;=300,2,1))))</f>
        <v/>
      </c>
      <c r="I2858" s="126">
        <f>TEXT(F2858,"0")&amp;TEXT(G2858,"0")&amp;TEXT(H2858,"0")</f>
        <v/>
      </c>
      <c r="J2858" s="126">
        <f>IFERROR(XLOOKUP(I2858,'Segment Map'!A:A,'Segment Map'!B:B,"Need Attention"),"Need Attention")</f>
        <v/>
      </c>
      <c r="K2858" s="126">
        <f>IF(E2858&gt;=5000,"🏆 Platinum",IF(E2858&gt;=2000,"🥇 Gold",IF(E2858&gt;=800,"🥈 Silver","🥉 Bronze")))</f>
        <v/>
      </c>
      <c r="L2858" s="129" t="n">
        <v>40843</v>
      </c>
    </row>
    <row r="2859">
      <c r="A2859" s="122" t="n">
        <v>16233</v>
      </c>
      <c r="B2859" s="122" t="inlineStr">
        <is>
          <t>United Kingdom</t>
        </is>
      </c>
      <c r="C2859" s="122" t="n">
        <v>72</v>
      </c>
      <c r="D2859" s="122" t="n">
        <v>3</v>
      </c>
      <c r="E2859" s="123" t="n">
        <v>536.6799999999999</v>
      </c>
      <c r="F2859" s="124">
        <f>IF(C2859&lt;=30,5,IF(C2859&lt;=60,4,IF(C2859&lt;=120,3,IF(C2859&lt;=200,2,1))))</f>
        <v/>
      </c>
      <c r="G2859" s="124">
        <f>IF(D2859&gt;=20,5,IF(D2859&gt;=10,4,IF(D2859&gt;=5,3,IF(D2859&gt;=2,2,1))))</f>
        <v/>
      </c>
      <c r="H2859" s="124">
        <f>IF(E2859&gt;=5000,5,IF(E2859&gt;=2000,4,IF(E2859&gt;=800,3,IF(E2859&gt;=300,2,1))))</f>
        <v/>
      </c>
      <c r="I2859" s="122">
        <f>TEXT(F2859,"0")&amp;TEXT(G2859,"0")&amp;TEXT(H2859,"0")</f>
        <v/>
      </c>
      <c r="J2859" s="122">
        <f>IFERROR(XLOOKUP(I2859,'Segment Map'!A:A,'Segment Map'!B:B,"Need Attention"),"Need Attention")</f>
        <v/>
      </c>
      <c r="K2859" s="122">
        <f>IF(E2859&gt;=5000,"🏆 Platinum",IF(E2859&gt;=2000,"🥇 Gold",IF(E2859&gt;=800,"🥈 Silver","🥉 Bronze")))</f>
        <v/>
      </c>
      <c r="L2859" s="125" t="n">
        <v>40815</v>
      </c>
    </row>
    <row r="2860">
      <c r="A2860" s="126" t="n">
        <v>16235</v>
      </c>
      <c r="B2860" s="126" t="inlineStr">
        <is>
          <t>United Kingdom</t>
        </is>
      </c>
      <c r="C2860" s="126" t="n">
        <v>41</v>
      </c>
      <c r="D2860" s="126" t="n">
        <v>5</v>
      </c>
      <c r="E2860" s="127" t="n">
        <v>867.3099999999999</v>
      </c>
      <c r="F2860" s="128">
        <f>IF(C2860&lt;=30,5,IF(C2860&lt;=60,4,IF(C2860&lt;=120,3,IF(C2860&lt;=200,2,1))))</f>
        <v/>
      </c>
      <c r="G2860" s="128">
        <f>IF(D2860&gt;=20,5,IF(D2860&gt;=10,4,IF(D2860&gt;=5,3,IF(D2860&gt;=2,2,1))))</f>
        <v/>
      </c>
      <c r="H2860" s="128">
        <f>IF(E2860&gt;=5000,5,IF(E2860&gt;=2000,4,IF(E2860&gt;=800,3,IF(E2860&gt;=300,2,1))))</f>
        <v/>
      </c>
      <c r="I2860" s="126">
        <f>TEXT(F2860,"0")&amp;TEXT(G2860,"0")&amp;TEXT(H2860,"0")</f>
        <v/>
      </c>
      <c r="J2860" s="126">
        <f>IFERROR(XLOOKUP(I2860,'Segment Map'!A:A,'Segment Map'!B:B,"Need Attention"),"Need Attention")</f>
        <v/>
      </c>
      <c r="K2860" s="126">
        <f>IF(E2860&gt;=5000,"🏆 Platinum",IF(E2860&gt;=2000,"🥇 Gold",IF(E2860&gt;=800,"🥈 Silver","🥉 Bronze")))</f>
        <v/>
      </c>
      <c r="L2860" s="129" t="n">
        <v>40846</v>
      </c>
    </row>
    <row r="2861">
      <c r="A2861" s="122" t="n">
        <v>16236</v>
      </c>
      <c r="B2861" s="122" t="inlineStr">
        <is>
          <t>United Kingdom</t>
        </is>
      </c>
      <c r="C2861" s="122" t="n">
        <v>79</v>
      </c>
      <c r="D2861" s="122" t="n">
        <v>1</v>
      </c>
      <c r="E2861" s="123" t="n">
        <v>432.2</v>
      </c>
      <c r="F2861" s="124">
        <f>IF(C2861&lt;=30,5,IF(C2861&lt;=60,4,IF(C2861&lt;=120,3,IF(C2861&lt;=200,2,1))))</f>
        <v/>
      </c>
      <c r="G2861" s="124">
        <f>IF(D2861&gt;=20,5,IF(D2861&gt;=10,4,IF(D2861&gt;=5,3,IF(D2861&gt;=2,2,1))))</f>
        <v/>
      </c>
      <c r="H2861" s="124">
        <f>IF(E2861&gt;=5000,5,IF(E2861&gt;=2000,4,IF(E2861&gt;=800,3,IF(E2861&gt;=300,2,1))))</f>
        <v/>
      </c>
      <c r="I2861" s="122">
        <f>TEXT(F2861,"0")&amp;TEXT(G2861,"0")&amp;TEXT(H2861,"0")</f>
        <v/>
      </c>
      <c r="J2861" s="122">
        <f>IFERROR(XLOOKUP(I2861,'Segment Map'!A:A,'Segment Map'!B:B,"Need Attention"),"Need Attention")</f>
        <v/>
      </c>
      <c r="K2861" s="122">
        <f>IF(E2861&gt;=5000,"🏆 Platinum",IF(E2861&gt;=2000,"🥇 Gold",IF(E2861&gt;=800,"🥈 Silver","🥉 Bronze")))</f>
        <v/>
      </c>
      <c r="L2861" s="125" t="n">
        <v>40808</v>
      </c>
    </row>
    <row r="2862">
      <c r="A2862" s="126" t="n">
        <v>16239</v>
      </c>
      <c r="B2862" s="126" t="inlineStr">
        <is>
          <t>United Kingdom</t>
        </is>
      </c>
      <c r="C2862" s="126" t="n">
        <v>57</v>
      </c>
      <c r="D2862" s="126" t="n">
        <v>2</v>
      </c>
      <c r="E2862" s="127" t="n">
        <v>414.2</v>
      </c>
      <c r="F2862" s="128">
        <f>IF(C2862&lt;=30,5,IF(C2862&lt;=60,4,IF(C2862&lt;=120,3,IF(C2862&lt;=200,2,1))))</f>
        <v/>
      </c>
      <c r="G2862" s="128">
        <f>IF(D2862&gt;=20,5,IF(D2862&gt;=10,4,IF(D2862&gt;=5,3,IF(D2862&gt;=2,2,1))))</f>
        <v/>
      </c>
      <c r="H2862" s="128">
        <f>IF(E2862&gt;=5000,5,IF(E2862&gt;=2000,4,IF(E2862&gt;=800,3,IF(E2862&gt;=300,2,1))))</f>
        <v/>
      </c>
      <c r="I2862" s="126">
        <f>TEXT(F2862,"0")&amp;TEXT(G2862,"0")&amp;TEXT(H2862,"0")</f>
        <v/>
      </c>
      <c r="J2862" s="126">
        <f>IFERROR(XLOOKUP(I2862,'Segment Map'!A:A,'Segment Map'!B:B,"Need Attention"),"Need Attention")</f>
        <v/>
      </c>
      <c r="K2862" s="126">
        <f>IF(E2862&gt;=5000,"🏆 Platinum",IF(E2862&gt;=2000,"🥇 Gold",IF(E2862&gt;=800,"🥈 Silver","🥉 Bronze")))</f>
        <v/>
      </c>
      <c r="L2862" s="129" t="n">
        <v>40830</v>
      </c>
    </row>
    <row r="2863">
      <c r="A2863" s="122" t="n">
        <v>16240</v>
      </c>
      <c r="B2863" s="122" t="inlineStr">
        <is>
          <t>United Kingdom</t>
        </is>
      </c>
      <c r="C2863" s="122" t="n">
        <v>25</v>
      </c>
      <c r="D2863" s="122" t="n">
        <v>2</v>
      </c>
      <c r="E2863" s="123" t="n">
        <v>3718.8</v>
      </c>
      <c r="F2863" s="124">
        <f>IF(C2863&lt;=30,5,IF(C2863&lt;=60,4,IF(C2863&lt;=120,3,IF(C2863&lt;=200,2,1))))</f>
        <v/>
      </c>
      <c r="G2863" s="124">
        <f>IF(D2863&gt;=20,5,IF(D2863&gt;=10,4,IF(D2863&gt;=5,3,IF(D2863&gt;=2,2,1))))</f>
        <v/>
      </c>
      <c r="H2863" s="124">
        <f>IF(E2863&gt;=5000,5,IF(E2863&gt;=2000,4,IF(E2863&gt;=800,3,IF(E2863&gt;=300,2,1))))</f>
        <v/>
      </c>
      <c r="I2863" s="122">
        <f>TEXT(F2863,"0")&amp;TEXT(G2863,"0")&amp;TEXT(H2863,"0")</f>
        <v/>
      </c>
      <c r="J2863" s="122">
        <f>IFERROR(XLOOKUP(I2863,'Segment Map'!A:A,'Segment Map'!B:B,"Need Attention"),"Need Attention")</f>
        <v/>
      </c>
      <c r="K2863" s="122">
        <f>IF(E2863&gt;=5000,"🏆 Platinum",IF(E2863&gt;=2000,"🥇 Gold",IF(E2863&gt;=800,"🥈 Silver","🥉 Bronze")))</f>
        <v/>
      </c>
      <c r="L2863" s="125" t="n">
        <v>40862</v>
      </c>
    </row>
    <row r="2864">
      <c r="A2864" s="126" t="n">
        <v>16241</v>
      </c>
      <c r="B2864" s="126" t="inlineStr">
        <is>
          <t>United Kingdom</t>
        </is>
      </c>
      <c r="C2864" s="126" t="n">
        <v>10</v>
      </c>
      <c r="D2864" s="126" t="n">
        <v>13</v>
      </c>
      <c r="E2864" s="127" t="n">
        <v>2607.87</v>
      </c>
      <c r="F2864" s="128">
        <f>IF(C2864&lt;=30,5,IF(C2864&lt;=60,4,IF(C2864&lt;=120,3,IF(C2864&lt;=200,2,1))))</f>
        <v/>
      </c>
      <c r="G2864" s="128">
        <f>IF(D2864&gt;=20,5,IF(D2864&gt;=10,4,IF(D2864&gt;=5,3,IF(D2864&gt;=2,2,1))))</f>
        <v/>
      </c>
      <c r="H2864" s="128">
        <f>IF(E2864&gt;=5000,5,IF(E2864&gt;=2000,4,IF(E2864&gt;=800,3,IF(E2864&gt;=300,2,1))))</f>
        <v/>
      </c>
      <c r="I2864" s="126">
        <f>TEXT(F2864,"0")&amp;TEXT(G2864,"0")&amp;TEXT(H2864,"0")</f>
        <v/>
      </c>
      <c r="J2864" s="126">
        <f>IFERROR(XLOOKUP(I2864,'Segment Map'!A:A,'Segment Map'!B:B,"Need Attention"),"Need Attention")</f>
        <v/>
      </c>
      <c r="K2864" s="126">
        <f>IF(E2864&gt;=5000,"🏆 Platinum",IF(E2864&gt;=2000,"🥇 Gold",IF(E2864&gt;=800,"🥈 Silver","🥉 Bronze")))</f>
        <v/>
      </c>
      <c r="L2864" s="129" t="n">
        <v>40877</v>
      </c>
    </row>
    <row r="2865">
      <c r="A2865" s="122" t="n">
        <v>16242</v>
      </c>
      <c r="B2865" s="122" t="inlineStr">
        <is>
          <t>United Kingdom</t>
        </is>
      </c>
      <c r="C2865" s="122" t="n">
        <v>9</v>
      </c>
      <c r="D2865" s="122" t="n">
        <v>7</v>
      </c>
      <c r="E2865" s="123" t="n">
        <v>3603.21</v>
      </c>
      <c r="F2865" s="124">
        <f>IF(C2865&lt;=30,5,IF(C2865&lt;=60,4,IF(C2865&lt;=120,3,IF(C2865&lt;=200,2,1))))</f>
        <v/>
      </c>
      <c r="G2865" s="124">
        <f>IF(D2865&gt;=20,5,IF(D2865&gt;=10,4,IF(D2865&gt;=5,3,IF(D2865&gt;=2,2,1))))</f>
        <v/>
      </c>
      <c r="H2865" s="124">
        <f>IF(E2865&gt;=5000,5,IF(E2865&gt;=2000,4,IF(E2865&gt;=800,3,IF(E2865&gt;=300,2,1))))</f>
        <v/>
      </c>
      <c r="I2865" s="122">
        <f>TEXT(F2865,"0")&amp;TEXT(G2865,"0")&amp;TEXT(H2865,"0")</f>
        <v/>
      </c>
      <c r="J2865" s="122">
        <f>IFERROR(XLOOKUP(I2865,'Segment Map'!A:A,'Segment Map'!B:B,"Need Attention"),"Need Attention")</f>
        <v/>
      </c>
      <c r="K2865" s="122">
        <f>IF(E2865&gt;=5000,"🏆 Platinum",IF(E2865&gt;=2000,"🥇 Gold",IF(E2865&gt;=800,"🥈 Silver","🥉 Bronze")))</f>
        <v/>
      </c>
      <c r="L2865" s="125" t="n">
        <v>40878</v>
      </c>
    </row>
    <row r="2866">
      <c r="A2866" s="126" t="n">
        <v>16243</v>
      </c>
      <c r="B2866" s="126" t="inlineStr">
        <is>
          <t>United Kingdom</t>
        </is>
      </c>
      <c r="C2866" s="126" t="n">
        <v>34</v>
      </c>
      <c r="D2866" s="126" t="n">
        <v>2</v>
      </c>
      <c r="E2866" s="127" t="n">
        <v>409.1</v>
      </c>
      <c r="F2866" s="128">
        <f>IF(C2866&lt;=30,5,IF(C2866&lt;=60,4,IF(C2866&lt;=120,3,IF(C2866&lt;=200,2,1))))</f>
        <v/>
      </c>
      <c r="G2866" s="128">
        <f>IF(D2866&gt;=20,5,IF(D2866&gt;=10,4,IF(D2866&gt;=5,3,IF(D2866&gt;=2,2,1))))</f>
        <v/>
      </c>
      <c r="H2866" s="128">
        <f>IF(E2866&gt;=5000,5,IF(E2866&gt;=2000,4,IF(E2866&gt;=800,3,IF(E2866&gt;=300,2,1))))</f>
        <v/>
      </c>
      <c r="I2866" s="126">
        <f>TEXT(F2866,"0")&amp;TEXT(G2866,"0")&amp;TEXT(H2866,"0")</f>
        <v/>
      </c>
      <c r="J2866" s="126">
        <f>IFERROR(XLOOKUP(I2866,'Segment Map'!A:A,'Segment Map'!B:B,"Need Attention"),"Need Attention")</f>
        <v/>
      </c>
      <c r="K2866" s="126">
        <f>IF(E2866&gt;=5000,"🏆 Platinum",IF(E2866&gt;=2000,"🥇 Gold",IF(E2866&gt;=800,"🥈 Silver","🥉 Bronze")))</f>
        <v/>
      </c>
      <c r="L2866" s="129" t="n">
        <v>40853</v>
      </c>
    </row>
    <row r="2867">
      <c r="A2867" s="122" t="n">
        <v>16244</v>
      </c>
      <c r="B2867" s="122" t="inlineStr">
        <is>
          <t>United Kingdom</t>
        </is>
      </c>
      <c r="C2867" s="122" t="n">
        <v>212</v>
      </c>
      <c r="D2867" s="122" t="n">
        <v>2</v>
      </c>
      <c r="E2867" s="123" t="n">
        <v>1522.75</v>
      </c>
      <c r="F2867" s="124">
        <f>IF(C2867&lt;=30,5,IF(C2867&lt;=60,4,IF(C2867&lt;=120,3,IF(C2867&lt;=200,2,1))))</f>
        <v/>
      </c>
      <c r="G2867" s="124">
        <f>IF(D2867&gt;=20,5,IF(D2867&gt;=10,4,IF(D2867&gt;=5,3,IF(D2867&gt;=2,2,1))))</f>
        <v/>
      </c>
      <c r="H2867" s="124">
        <f>IF(E2867&gt;=5000,5,IF(E2867&gt;=2000,4,IF(E2867&gt;=800,3,IF(E2867&gt;=300,2,1))))</f>
        <v/>
      </c>
      <c r="I2867" s="122">
        <f>TEXT(F2867,"0")&amp;TEXT(G2867,"0")&amp;TEXT(H2867,"0")</f>
        <v/>
      </c>
      <c r="J2867" s="122">
        <f>IFERROR(XLOOKUP(I2867,'Segment Map'!A:A,'Segment Map'!B:B,"Need Attention"),"Need Attention")</f>
        <v/>
      </c>
      <c r="K2867" s="122">
        <f>IF(E2867&gt;=5000,"🏆 Platinum",IF(E2867&gt;=2000,"🥇 Gold",IF(E2867&gt;=800,"🥈 Silver","🥉 Bronze")))</f>
        <v/>
      </c>
      <c r="L2867" s="125" t="n">
        <v>40675</v>
      </c>
    </row>
    <row r="2868">
      <c r="A2868" s="126" t="n">
        <v>16245</v>
      </c>
      <c r="B2868" s="126" t="inlineStr">
        <is>
          <t>United Kingdom</t>
        </is>
      </c>
      <c r="C2868" s="126" t="n">
        <v>24</v>
      </c>
      <c r="D2868" s="126" t="n">
        <v>3</v>
      </c>
      <c r="E2868" s="127" t="n">
        <v>1413.66</v>
      </c>
      <c r="F2868" s="128">
        <f>IF(C2868&lt;=30,5,IF(C2868&lt;=60,4,IF(C2868&lt;=120,3,IF(C2868&lt;=200,2,1))))</f>
        <v/>
      </c>
      <c r="G2868" s="128">
        <f>IF(D2868&gt;=20,5,IF(D2868&gt;=10,4,IF(D2868&gt;=5,3,IF(D2868&gt;=2,2,1))))</f>
        <v/>
      </c>
      <c r="H2868" s="128">
        <f>IF(E2868&gt;=5000,5,IF(E2868&gt;=2000,4,IF(E2868&gt;=800,3,IF(E2868&gt;=300,2,1))))</f>
        <v/>
      </c>
      <c r="I2868" s="126">
        <f>TEXT(F2868,"0")&amp;TEXT(G2868,"0")&amp;TEXT(H2868,"0")</f>
        <v/>
      </c>
      <c r="J2868" s="126">
        <f>IFERROR(XLOOKUP(I2868,'Segment Map'!A:A,'Segment Map'!B:B,"Need Attention"),"Need Attention")</f>
        <v/>
      </c>
      <c r="K2868" s="126">
        <f>IF(E2868&gt;=5000,"🏆 Platinum",IF(E2868&gt;=2000,"🥇 Gold",IF(E2868&gt;=800,"🥈 Silver","🥉 Bronze")))</f>
        <v/>
      </c>
      <c r="L2868" s="129" t="n">
        <v>40863</v>
      </c>
    </row>
    <row r="2869">
      <c r="A2869" s="122" t="n">
        <v>16247</v>
      </c>
      <c r="B2869" s="122" t="inlineStr">
        <is>
          <t>United Kingdom</t>
        </is>
      </c>
      <c r="C2869" s="122" t="n">
        <v>171</v>
      </c>
      <c r="D2869" s="122" t="n">
        <v>1</v>
      </c>
      <c r="E2869" s="123" t="n">
        <v>114.56</v>
      </c>
      <c r="F2869" s="124">
        <f>IF(C2869&lt;=30,5,IF(C2869&lt;=60,4,IF(C2869&lt;=120,3,IF(C2869&lt;=200,2,1))))</f>
        <v/>
      </c>
      <c r="G2869" s="124">
        <f>IF(D2869&gt;=20,5,IF(D2869&gt;=10,4,IF(D2869&gt;=5,3,IF(D2869&gt;=2,2,1))))</f>
        <v/>
      </c>
      <c r="H2869" s="124">
        <f>IF(E2869&gt;=5000,5,IF(E2869&gt;=2000,4,IF(E2869&gt;=800,3,IF(E2869&gt;=300,2,1))))</f>
        <v/>
      </c>
      <c r="I2869" s="122">
        <f>TEXT(F2869,"0")&amp;TEXT(G2869,"0")&amp;TEXT(H2869,"0")</f>
        <v/>
      </c>
      <c r="J2869" s="122">
        <f>IFERROR(XLOOKUP(I2869,'Segment Map'!A:A,'Segment Map'!B:B,"Need Attention"),"Need Attention")</f>
        <v/>
      </c>
      <c r="K2869" s="122">
        <f>IF(E2869&gt;=5000,"🏆 Platinum",IF(E2869&gt;=2000,"🥇 Gold",IF(E2869&gt;=800,"🥈 Silver","🥉 Bronze")))</f>
        <v/>
      </c>
      <c r="L2869" s="125" t="n">
        <v>40716</v>
      </c>
    </row>
    <row r="2870">
      <c r="A2870" s="126" t="n">
        <v>16248</v>
      </c>
      <c r="B2870" s="126" t="inlineStr">
        <is>
          <t>United Kingdom</t>
        </is>
      </c>
      <c r="C2870" s="126" t="n">
        <v>62</v>
      </c>
      <c r="D2870" s="126" t="n">
        <v>1</v>
      </c>
      <c r="E2870" s="127" t="n">
        <v>152.94</v>
      </c>
      <c r="F2870" s="128">
        <f>IF(C2870&lt;=30,5,IF(C2870&lt;=60,4,IF(C2870&lt;=120,3,IF(C2870&lt;=200,2,1))))</f>
        <v/>
      </c>
      <c r="G2870" s="128">
        <f>IF(D2870&gt;=20,5,IF(D2870&gt;=10,4,IF(D2870&gt;=5,3,IF(D2870&gt;=2,2,1))))</f>
        <v/>
      </c>
      <c r="H2870" s="128">
        <f>IF(E2870&gt;=5000,5,IF(E2870&gt;=2000,4,IF(E2870&gt;=800,3,IF(E2870&gt;=300,2,1))))</f>
        <v/>
      </c>
      <c r="I2870" s="126">
        <f>TEXT(F2870,"0")&amp;TEXT(G2870,"0")&amp;TEXT(H2870,"0")</f>
        <v/>
      </c>
      <c r="J2870" s="126">
        <f>IFERROR(XLOOKUP(I2870,'Segment Map'!A:A,'Segment Map'!B:B,"Need Attention"),"Need Attention")</f>
        <v/>
      </c>
      <c r="K2870" s="126">
        <f>IF(E2870&gt;=5000,"🏆 Platinum",IF(E2870&gt;=2000,"🥇 Gold",IF(E2870&gt;=800,"🥈 Silver","🥉 Bronze")))</f>
        <v/>
      </c>
      <c r="L2870" s="129" t="n">
        <v>40825</v>
      </c>
    </row>
    <row r="2871">
      <c r="A2871" s="122" t="n">
        <v>16249</v>
      </c>
      <c r="B2871" s="122" t="inlineStr">
        <is>
          <t>United Kingdom</t>
        </is>
      </c>
      <c r="C2871" s="122" t="n">
        <v>53</v>
      </c>
      <c r="D2871" s="122" t="n">
        <v>5</v>
      </c>
      <c r="E2871" s="123" t="n">
        <v>1800.07</v>
      </c>
      <c r="F2871" s="124">
        <f>IF(C2871&lt;=30,5,IF(C2871&lt;=60,4,IF(C2871&lt;=120,3,IF(C2871&lt;=200,2,1))))</f>
        <v/>
      </c>
      <c r="G2871" s="124">
        <f>IF(D2871&gt;=20,5,IF(D2871&gt;=10,4,IF(D2871&gt;=5,3,IF(D2871&gt;=2,2,1))))</f>
        <v/>
      </c>
      <c r="H2871" s="124">
        <f>IF(E2871&gt;=5000,5,IF(E2871&gt;=2000,4,IF(E2871&gt;=800,3,IF(E2871&gt;=300,2,1))))</f>
        <v/>
      </c>
      <c r="I2871" s="122">
        <f>TEXT(F2871,"0")&amp;TEXT(G2871,"0")&amp;TEXT(H2871,"0")</f>
        <v/>
      </c>
      <c r="J2871" s="122">
        <f>IFERROR(XLOOKUP(I2871,'Segment Map'!A:A,'Segment Map'!B:B,"Need Attention"),"Need Attention")</f>
        <v/>
      </c>
      <c r="K2871" s="122">
        <f>IF(E2871&gt;=5000,"🏆 Platinum",IF(E2871&gt;=2000,"🥇 Gold",IF(E2871&gt;=800,"🥈 Silver","🥉 Bronze")))</f>
        <v/>
      </c>
      <c r="L2871" s="125" t="n">
        <v>40834</v>
      </c>
    </row>
    <row r="2872">
      <c r="A2872" s="126" t="n">
        <v>16250</v>
      </c>
      <c r="B2872" s="126" t="inlineStr">
        <is>
          <t>United Kingdom</t>
        </is>
      </c>
      <c r="C2872" s="126" t="n">
        <v>262</v>
      </c>
      <c r="D2872" s="126" t="n">
        <v>2</v>
      </c>
      <c r="E2872" s="127" t="n">
        <v>389.44</v>
      </c>
      <c r="F2872" s="128">
        <f>IF(C2872&lt;=30,5,IF(C2872&lt;=60,4,IF(C2872&lt;=120,3,IF(C2872&lt;=200,2,1))))</f>
        <v/>
      </c>
      <c r="G2872" s="128">
        <f>IF(D2872&gt;=20,5,IF(D2872&gt;=10,4,IF(D2872&gt;=5,3,IF(D2872&gt;=2,2,1))))</f>
        <v/>
      </c>
      <c r="H2872" s="128">
        <f>IF(E2872&gt;=5000,5,IF(E2872&gt;=2000,4,IF(E2872&gt;=800,3,IF(E2872&gt;=300,2,1))))</f>
        <v/>
      </c>
      <c r="I2872" s="126">
        <f>TEXT(F2872,"0")&amp;TEXT(G2872,"0")&amp;TEXT(H2872,"0")</f>
        <v/>
      </c>
      <c r="J2872" s="126">
        <f>IFERROR(XLOOKUP(I2872,'Segment Map'!A:A,'Segment Map'!B:B,"Need Attention"),"Need Attention")</f>
        <v/>
      </c>
      <c r="K2872" s="126">
        <f>IF(E2872&gt;=5000,"🏆 Platinum",IF(E2872&gt;=2000,"🥇 Gold",IF(E2872&gt;=800,"🥈 Silver","🥉 Bronze")))</f>
        <v/>
      </c>
      <c r="L2872" s="129" t="n">
        <v>40625</v>
      </c>
    </row>
    <row r="2873">
      <c r="A2873" s="122" t="n">
        <v>16253</v>
      </c>
      <c r="B2873" s="122" t="inlineStr">
        <is>
          <t>United Kingdom</t>
        </is>
      </c>
      <c r="C2873" s="122" t="n">
        <v>67</v>
      </c>
      <c r="D2873" s="122" t="n">
        <v>2</v>
      </c>
      <c r="E2873" s="123" t="n">
        <v>3683.86</v>
      </c>
      <c r="F2873" s="124">
        <f>IF(C2873&lt;=30,5,IF(C2873&lt;=60,4,IF(C2873&lt;=120,3,IF(C2873&lt;=200,2,1))))</f>
        <v/>
      </c>
      <c r="G2873" s="124">
        <f>IF(D2873&gt;=20,5,IF(D2873&gt;=10,4,IF(D2873&gt;=5,3,IF(D2873&gt;=2,2,1))))</f>
        <v/>
      </c>
      <c r="H2873" s="124">
        <f>IF(E2873&gt;=5000,5,IF(E2873&gt;=2000,4,IF(E2873&gt;=800,3,IF(E2873&gt;=300,2,1))))</f>
        <v/>
      </c>
      <c r="I2873" s="122">
        <f>TEXT(F2873,"0")&amp;TEXT(G2873,"0")&amp;TEXT(H2873,"0")</f>
        <v/>
      </c>
      <c r="J2873" s="122">
        <f>IFERROR(XLOOKUP(I2873,'Segment Map'!A:A,'Segment Map'!B:B,"Need Attention"),"Need Attention")</f>
        <v/>
      </c>
      <c r="K2873" s="122">
        <f>IF(E2873&gt;=5000,"🏆 Platinum",IF(E2873&gt;=2000,"🥇 Gold",IF(E2873&gt;=800,"🥈 Silver","🥉 Bronze")))</f>
        <v/>
      </c>
      <c r="L2873" s="125" t="n">
        <v>40820</v>
      </c>
    </row>
    <row r="2874">
      <c r="A2874" s="126" t="n">
        <v>16255</v>
      </c>
      <c r="B2874" s="126" t="inlineStr">
        <is>
          <t>United Kingdom</t>
        </is>
      </c>
      <c r="C2874" s="126" t="n">
        <v>17</v>
      </c>
      <c r="D2874" s="126" t="n">
        <v>8</v>
      </c>
      <c r="E2874" s="127" t="n">
        <v>2619.91</v>
      </c>
      <c r="F2874" s="128">
        <f>IF(C2874&lt;=30,5,IF(C2874&lt;=60,4,IF(C2874&lt;=120,3,IF(C2874&lt;=200,2,1))))</f>
        <v/>
      </c>
      <c r="G2874" s="128">
        <f>IF(D2874&gt;=20,5,IF(D2874&gt;=10,4,IF(D2874&gt;=5,3,IF(D2874&gt;=2,2,1))))</f>
        <v/>
      </c>
      <c r="H2874" s="128">
        <f>IF(E2874&gt;=5000,5,IF(E2874&gt;=2000,4,IF(E2874&gt;=800,3,IF(E2874&gt;=300,2,1))))</f>
        <v/>
      </c>
      <c r="I2874" s="126">
        <f>TEXT(F2874,"0")&amp;TEXT(G2874,"0")&amp;TEXT(H2874,"0")</f>
        <v/>
      </c>
      <c r="J2874" s="126">
        <f>IFERROR(XLOOKUP(I2874,'Segment Map'!A:A,'Segment Map'!B:B,"Need Attention"),"Need Attention")</f>
        <v/>
      </c>
      <c r="K2874" s="126">
        <f>IF(E2874&gt;=5000,"🏆 Platinum",IF(E2874&gt;=2000,"🥇 Gold",IF(E2874&gt;=800,"🥈 Silver","🥉 Bronze")))</f>
        <v/>
      </c>
      <c r="L2874" s="129" t="n">
        <v>40870</v>
      </c>
    </row>
    <row r="2875">
      <c r="A2875" s="122" t="n">
        <v>16256</v>
      </c>
      <c r="B2875" s="122" t="inlineStr">
        <is>
          <t>United Kingdom</t>
        </is>
      </c>
      <c r="C2875" s="122" t="n">
        <v>267</v>
      </c>
      <c r="D2875" s="122" t="n">
        <v>1</v>
      </c>
      <c r="E2875" s="123" t="n">
        <v>752.4299999999999</v>
      </c>
      <c r="F2875" s="124">
        <f>IF(C2875&lt;=30,5,IF(C2875&lt;=60,4,IF(C2875&lt;=120,3,IF(C2875&lt;=200,2,1))))</f>
        <v/>
      </c>
      <c r="G2875" s="124">
        <f>IF(D2875&gt;=20,5,IF(D2875&gt;=10,4,IF(D2875&gt;=5,3,IF(D2875&gt;=2,2,1))))</f>
        <v/>
      </c>
      <c r="H2875" s="124">
        <f>IF(E2875&gt;=5000,5,IF(E2875&gt;=2000,4,IF(E2875&gt;=800,3,IF(E2875&gt;=300,2,1))))</f>
        <v/>
      </c>
      <c r="I2875" s="122">
        <f>TEXT(F2875,"0")&amp;TEXT(G2875,"0")&amp;TEXT(H2875,"0")</f>
        <v/>
      </c>
      <c r="J2875" s="122">
        <f>IFERROR(XLOOKUP(I2875,'Segment Map'!A:A,'Segment Map'!B:B,"Need Attention"),"Need Attention")</f>
        <v/>
      </c>
      <c r="K2875" s="122">
        <f>IF(E2875&gt;=5000,"🏆 Platinum",IF(E2875&gt;=2000,"🥇 Gold",IF(E2875&gt;=800,"🥈 Silver","🥉 Bronze")))</f>
        <v/>
      </c>
      <c r="L2875" s="125" t="n">
        <v>40620</v>
      </c>
    </row>
    <row r="2876">
      <c r="A2876" s="126" t="n">
        <v>16257</v>
      </c>
      <c r="B2876" s="126" t="inlineStr">
        <is>
          <t>United Kingdom</t>
        </is>
      </c>
      <c r="C2876" s="126" t="n">
        <v>177</v>
      </c>
      <c r="D2876" s="126" t="n">
        <v>1</v>
      </c>
      <c r="E2876" s="127" t="n">
        <v>46.95</v>
      </c>
      <c r="F2876" s="128">
        <f>IF(C2876&lt;=30,5,IF(C2876&lt;=60,4,IF(C2876&lt;=120,3,IF(C2876&lt;=200,2,1))))</f>
        <v/>
      </c>
      <c r="G2876" s="128">
        <f>IF(D2876&gt;=20,5,IF(D2876&gt;=10,4,IF(D2876&gt;=5,3,IF(D2876&gt;=2,2,1))))</f>
        <v/>
      </c>
      <c r="H2876" s="128">
        <f>IF(E2876&gt;=5000,5,IF(E2876&gt;=2000,4,IF(E2876&gt;=800,3,IF(E2876&gt;=300,2,1))))</f>
        <v/>
      </c>
      <c r="I2876" s="126">
        <f>TEXT(F2876,"0")&amp;TEXT(G2876,"0")&amp;TEXT(H2876,"0")</f>
        <v/>
      </c>
      <c r="J2876" s="126">
        <f>IFERROR(XLOOKUP(I2876,'Segment Map'!A:A,'Segment Map'!B:B,"Need Attention"),"Need Attention")</f>
        <v/>
      </c>
      <c r="K2876" s="126">
        <f>IF(E2876&gt;=5000,"🏆 Platinum",IF(E2876&gt;=2000,"🥇 Gold",IF(E2876&gt;=800,"🥈 Silver","🥉 Bronze")))</f>
        <v/>
      </c>
      <c r="L2876" s="129" t="n">
        <v>40710</v>
      </c>
    </row>
    <row r="2877">
      <c r="A2877" s="122" t="n">
        <v>16258</v>
      </c>
      <c r="B2877" s="122" t="inlineStr">
        <is>
          <t>United Kingdom</t>
        </is>
      </c>
      <c r="C2877" s="122" t="n">
        <v>46</v>
      </c>
      <c r="D2877" s="122" t="n">
        <v>5</v>
      </c>
      <c r="E2877" s="123" t="n">
        <v>5203.51</v>
      </c>
      <c r="F2877" s="124">
        <f>IF(C2877&lt;=30,5,IF(C2877&lt;=60,4,IF(C2877&lt;=120,3,IF(C2877&lt;=200,2,1))))</f>
        <v/>
      </c>
      <c r="G2877" s="124">
        <f>IF(D2877&gt;=20,5,IF(D2877&gt;=10,4,IF(D2877&gt;=5,3,IF(D2877&gt;=2,2,1))))</f>
        <v/>
      </c>
      <c r="H2877" s="124">
        <f>IF(E2877&gt;=5000,5,IF(E2877&gt;=2000,4,IF(E2877&gt;=800,3,IF(E2877&gt;=300,2,1))))</f>
        <v/>
      </c>
      <c r="I2877" s="122">
        <f>TEXT(F2877,"0")&amp;TEXT(G2877,"0")&amp;TEXT(H2877,"0")</f>
        <v/>
      </c>
      <c r="J2877" s="122">
        <f>IFERROR(XLOOKUP(I2877,'Segment Map'!A:A,'Segment Map'!B:B,"Need Attention"),"Need Attention")</f>
        <v/>
      </c>
      <c r="K2877" s="122">
        <f>IF(E2877&gt;=5000,"🏆 Platinum",IF(E2877&gt;=2000,"🥇 Gold",IF(E2877&gt;=800,"🥈 Silver","🥉 Bronze")))</f>
        <v/>
      </c>
      <c r="L2877" s="125" t="n">
        <v>40841</v>
      </c>
    </row>
    <row r="2878">
      <c r="A2878" s="126" t="n">
        <v>16260</v>
      </c>
      <c r="B2878" s="126" t="inlineStr">
        <is>
          <t>United Kingdom</t>
        </is>
      </c>
      <c r="C2878" s="126" t="n">
        <v>51</v>
      </c>
      <c r="D2878" s="126" t="n">
        <v>1</v>
      </c>
      <c r="E2878" s="127" t="n">
        <v>1035.45</v>
      </c>
      <c r="F2878" s="128">
        <f>IF(C2878&lt;=30,5,IF(C2878&lt;=60,4,IF(C2878&lt;=120,3,IF(C2878&lt;=200,2,1))))</f>
        <v/>
      </c>
      <c r="G2878" s="128">
        <f>IF(D2878&gt;=20,5,IF(D2878&gt;=10,4,IF(D2878&gt;=5,3,IF(D2878&gt;=2,2,1))))</f>
        <v/>
      </c>
      <c r="H2878" s="128">
        <f>IF(E2878&gt;=5000,5,IF(E2878&gt;=2000,4,IF(E2878&gt;=800,3,IF(E2878&gt;=300,2,1))))</f>
        <v/>
      </c>
      <c r="I2878" s="126">
        <f>TEXT(F2878,"0")&amp;TEXT(G2878,"0")&amp;TEXT(H2878,"0")</f>
        <v/>
      </c>
      <c r="J2878" s="126">
        <f>IFERROR(XLOOKUP(I2878,'Segment Map'!A:A,'Segment Map'!B:B,"Need Attention"),"Need Attention")</f>
        <v/>
      </c>
      <c r="K2878" s="126">
        <f>IF(E2878&gt;=5000,"🏆 Platinum",IF(E2878&gt;=2000,"🥇 Gold",IF(E2878&gt;=800,"🥈 Silver","🥉 Bronze")))</f>
        <v/>
      </c>
      <c r="L2878" s="129" t="n">
        <v>40836</v>
      </c>
    </row>
    <row r="2879">
      <c r="A2879" s="122" t="n">
        <v>16261</v>
      </c>
      <c r="B2879" s="122" t="inlineStr">
        <is>
          <t>United Kingdom</t>
        </is>
      </c>
      <c r="C2879" s="122" t="n">
        <v>18</v>
      </c>
      <c r="D2879" s="122" t="n">
        <v>4</v>
      </c>
      <c r="E2879" s="123" t="n">
        <v>746.83</v>
      </c>
      <c r="F2879" s="124">
        <f>IF(C2879&lt;=30,5,IF(C2879&lt;=60,4,IF(C2879&lt;=120,3,IF(C2879&lt;=200,2,1))))</f>
        <v/>
      </c>
      <c r="G2879" s="124">
        <f>IF(D2879&gt;=20,5,IF(D2879&gt;=10,4,IF(D2879&gt;=5,3,IF(D2879&gt;=2,2,1))))</f>
        <v/>
      </c>
      <c r="H2879" s="124">
        <f>IF(E2879&gt;=5000,5,IF(E2879&gt;=2000,4,IF(E2879&gt;=800,3,IF(E2879&gt;=300,2,1))))</f>
        <v/>
      </c>
      <c r="I2879" s="122">
        <f>TEXT(F2879,"0")&amp;TEXT(G2879,"0")&amp;TEXT(H2879,"0")</f>
        <v/>
      </c>
      <c r="J2879" s="122">
        <f>IFERROR(XLOOKUP(I2879,'Segment Map'!A:A,'Segment Map'!B:B,"Need Attention"),"Need Attention")</f>
        <v/>
      </c>
      <c r="K2879" s="122">
        <f>IF(E2879&gt;=5000,"🏆 Platinum",IF(E2879&gt;=2000,"🥇 Gold",IF(E2879&gt;=800,"🥈 Silver","🥉 Bronze")))</f>
        <v/>
      </c>
      <c r="L2879" s="125" t="n">
        <v>40869</v>
      </c>
    </row>
    <row r="2880">
      <c r="A2880" s="126" t="n">
        <v>16265</v>
      </c>
      <c r="B2880" s="126" t="inlineStr">
        <is>
          <t>United Kingdom</t>
        </is>
      </c>
      <c r="C2880" s="126" t="n">
        <v>10</v>
      </c>
      <c r="D2880" s="126" t="n">
        <v>9</v>
      </c>
      <c r="E2880" s="127" t="n">
        <v>5447</v>
      </c>
      <c r="F2880" s="128">
        <f>IF(C2880&lt;=30,5,IF(C2880&lt;=60,4,IF(C2880&lt;=120,3,IF(C2880&lt;=200,2,1))))</f>
        <v/>
      </c>
      <c r="G2880" s="128">
        <f>IF(D2880&gt;=20,5,IF(D2880&gt;=10,4,IF(D2880&gt;=5,3,IF(D2880&gt;=2,2,1))))</f>
        <v/>
      </c>
      <c r="H2880" s="128">
        <f>IF(E2880&gt;=5000,5,IF(E2880&gt;=2000,4,IF(E2880&gt;=800,3,IF(E2880&gt;=300,2,1))))</f>
        <v/>
      </c>
      <c r="I2880" s="126">
        <f>TEXT(F2880,"0")&amp;TEXT(G2880,"0")&amp;TEXT(H2880,"0")</f>
        <v/>
      </c>
      <c r="J2880" s="126">
        <f>IFERROR(XLOOKUP(I2880,'Segment Map'!A:A,'Segment Map'!B:B,"Need Attention"),"Need Attention")</f>
        <v/>
      </c>
      <c r="K2880" s="126">
        <f>IF(E2880&gt;=5000,"🏆 Platinum",IF(E2880&gt;=2000,"🥇 Gold",IF(E2880&gt;=800,"🥈 Silver","🥉 Bronze")))</f>
        <v/>
      </c>
      <c r="L2880" s="129" t="n">
        <v>40877</v>
      </c>
    </row>
    <row r="2881">
      <c r="A2881" s="122" t="n">
        <v>16266</v>
      </c>
      <c r="B2881" s="122" t="inlineStr">
        <is>
          <t>United Kingdom</t>
        </is>
      </c>
      <c r="C2881" s="122" t="n">
        <v>74</v>
      </c>
      <c r="D2881" s="122" t="n">
        <v>7</v>
      </c>
      <c r="E2881" s="123" t="n">
        <v>861.89</v>
      </c>
      <c r="F2881" s="124">
        <f>IF(C2881&lt;=30,5,IF(C2881&lt;=60,4,IF(C2881&lt;=120,3,IF(C2881&lt;=200,2,1))))</f>
        <v/>
      </c>
      <c r="G2881" s="124">
        <f>IF(D2881&gt;=20,5,IF(D2881&gt;=10,4,IF(D2881&gt;=5,3,IF(D2881&gt;=2,2,1))))</f>
        <v/>
      </c>
      <c r="H2881" s="124">
        <f>IF(E2881&gt;=5000,5,IF(E2881&gt;=2000,4,IF(E2881&gt;=800,3,IF(E2881&gt;=300,2,1))))</f>
        <v/>
      </c>
      <c r="I2881" s="122">
        <f>TEXT(F2881,"0")&amp;TEXT(G2881,"0")&amp;TEXT(H2881,"0")</f>
        <v/>
      </c>
      <c r="J2881" s="122">
        <f>IFERROR(XLOOKUP(I2881,'Segment Map'!A:A,'Segment Map'!B:B,"Need Attention"),"Need Attention")</f>
        <v/>
      </c>
      <c r="K2881" s="122">
        <f>IF(E2881&gt;=5000,"🏆 Platinum",IF(E2881&gt;=2000,"🥇 Gold",IF(E2881&gt;=800,"🥈 Silver","🥉 Bronze")))</f>
        <v/>
      </c>
      <c r="L2881" s="125" t="n">
        <v>40813</v>
      </c>
    </row>
    <row r="2882">
      <c r="A2882" s="126" t="n">
        <v>16268</v>
      </c>
      <c r="B2882" s="126" t="inlineStr">
        <is>
          <t>United Kingdom</t>
        </is>
      </c>
      <c r="C2882" s="126" t="n">
        <v>72</v>
      </c>
      <c r="D2882" s="126" t="n">
        <v>2</v>
      </c>
      <c r="E2882" s="127" t="n">
        <v>667.65</v>
      </c>
      <c r="F2882" s="128">
        <f>IF(C2882&lt;=30,5,IF(C2882&lt;=60,4,IF(C2882&lt;=120,3,IF(C2882&lt;=200,2,1))))</f>
        <v/>
      </c>
      <c r="G2882" s="128">
        <f>IF(D2882&gt;=20,5,IF(D2882&gt;=10,4,IF(D2882&gt;=5,3,IF(D2882&gt;=2,2,1))))</f>
        <v/>
      </c>
      <c r="H2882" s="128">
        <f>IF(E2882&gt;=5000,5,IF(E2882&gt;=2000,4,IF(E2882&gt;=800,3,IF(E2882&gt;=300,2,1))))</f>
        <v/>
      </c>
      <c r="I2882" s="126">
        <f>TEXT(F2882,"0")&amp;TEXT(G2882,"0")&amp;TEXT(H2882,"0")</f>
        <v/>
      </c>
      <c r="J2882" s="126">
        <f>IFERROR(XLOOKUP(I2882,'Segment Map'!A:A,'Segment Map'!B:B,"Need Attention"),"Need Attention")</f>
        <v/>
      </c>
      <c r="K2882" s="126">
        <f>IF(E2882&gt;=5000,"🏆 Platinum",IF(E2882&gt;=2000,"🥇 Gold",IF(E2882&gt;=800,"🥈 Silver","🥉 Bronze")))</f>
        <v/>
      </c>
      <c r="L2882" s="129" t="n">
        <v>40815</v>
      </c>
    </row>
    <row r="2883">
      <c r="A2883" s="122" t="n">
        <v>16270</v>
      </c>
      <c r="B2883" s="122" t="inlineStr">
        <is>
          <t>United Kingdom</t>
        </is>
      </c>
      <c r="C2883" s="122" t="n">
        <v>354</v>
      </c>
      <c r="D2883" s="122" t="n">
        <v>1</v>
      </c>
      <c r="E2883" s="123" t="n">
        <v>1141.24</v>
      </c>
      <c r="F2883" s="124">
        <f>IF(C2883&lt;=30,5,IF(C2883&lt;=60,4,IF(C2883&lt;=120,3,IF(C2883&lt;=200,2,1))))</f>
        <v/>
      </c>
      <c r="G2883" s="124">
        <f>IF(D2883&gt;=20,5,IF(D2883&gt;=10,4,IF(D2883&gt;=5,3,IF(D2883&gt;=2,2,1))))</f>
        <v/>
      </c>
      <c r="H2883" s="124">
        <f>IF(E2883&gt;=5000,5,IF(E2883&gt;=2000,4,IF(E2883&gt;=800,3,IF(E2883&gt;=300,2,1))))</f>
        <v/>
      </c>
      <c r="I2883" s="122">
        <f>TEXT(F2883,"0")&amp;TEXT(G2883,"0")&amp;TEXT(H2883,"0")</f>
        <v/>
      </c>
      <c r="J2883" s="122">
        <f>IFERROR(XLOOKUP(I2883,'Segment Map'!A:A,'Segment Map'!B:B,"Need Attention"),"Need Attention")</f>
        <v/>
      </c>
      <c r="K2883" s="122">
        <f>IF(E2883&gt;=5000,"🏆 Platinum",IF(E2883&gt;=2000,"🥇 Gold",IF(E2883&gt;=800,"🥈 Silver","🥉 Bronze")))</f>
        <v/>
      </c>
      <c r="L2883" s="125" t="n">
        <v>40533</v>
      </c>
    </row>
    <row r="2884">
      <c r="A2884" s="126" t="n">
        <v>16271</v>
      </c>
      <c r="B2884" s="126" t="inlineStr">
        <is>
          <t>United Kingdom</t>
        </is>
      </c>
      <c r="C2884" s="126" t="n">
        <v>3</v>
      </c>
      <c r="D2884" s="126" t="n">
        <v>5</v>
      </c>
      <c r="E2884" s="127" t="n">
        <v>1429.24</v>
      </c>
      <c r="F2884" s="128">
        <f>IF(C2884&lt;=30,5,IF(C2884&lt;=60,4,IF(C2884&lt;=120,3,IF(C2884&lt;=200,2,1))))</f>
        <v/>
      </c>
      <c r="G2884" s="128">
        <f>IF(D2884&gt;=20,5,IF(D2884&gt;=10,4,IF(D2884&gt;=5,3,IF(D2884&gt;=2,2,1))))</f>
        <v/>
      </c>
      <c r="H2884" s="128">
        <f>IF(E2884&gt;=5000,5,IF(E2884&gt;=2000,4,IF(E2884&gt;=800,3,IF(E2884&gt;=300,2,1))))</f>
        <v/>
      </c>
      <c r="I2884" s="126">
        <f>TEXT(F2884,"0")&amp;TEXT(G2884,"0")&amp;TEXT(H2884,"0")</f>
        <v/>
      </c>
      <c r="J2884" s="126">
        <f>IFERROR(XLOOKUP(I2884,'Segment Map'!A:A,'Segment Map'!B:B,"Need Attention"),"Need Attention")</f>
        <v/>
      </c>
      <c r="K2884" s="126">
        <f>IF(E2884&gt;=5000,"🏆 Platinum",IF(E2884&gt;=2000,"🥇 Gold",IF(E2884&gt;=800,"🥈 Silver","🥉 Bronze")))</f>
        <v/>
      </c>
      <c r="L2884" s="129" t="n">
        <v>40884</v>
      </c>
    </row>
    <row r="2885">
      <c r="A2885" s="122" t="n">
        <v>16272</v>
      </c>
      <c r="B2885" s="122" t="inlineStr">
        <is>
          <t>United Kingdom</t>
        </is>
      </c>
      <c r="C2885" s="122" t="n">
        <v>117</v>
      </c>
      <c r="D2885" s="122" t="n">
        <v>1</v>
      </c>
      <c r="E2885" s="123" t="n">
        <v>411.7</v>
      </c>
      <c r="F2885" s="124">
        <f>IF(C2885&lt;=30,5,IF(C2885&lt;=60,4,IF(C2885&lt;=120,3,IF(C2885&lt;=200,2,1))))</f>
        <v/>
      </c>
      <c r="G2885" s="124">
        <f>IF(D2885&gt;=20,5,IF(D2885&gt;=10,4,IF(D2885&gt;=5,3,IF(D2885&gt;=2,2,1))))</f>
        <v/>
      </c>
      <c r="H2885" s="124">
        <f>IF(E2885&gt;=5000,5,IF(E2885&gt;=2000,4,IF(E2885&gt;=800,3,IF(E2885&gt;=300,2,1))))</f>
        <v/>
      </c>
      <c r="I2885" s="122">
        <f>TEXT(F2885,"0")&amp;TEXT(G2885,"0")&amp;TEXT(H2885,"0")</f>
        <v/>
      </c>
      <c r="J2885" s="122">
        <f>IFERROR(XLOOKUP(I2885,'Segment Map'!A:A,'Segment Map'!B:B,"Need Attention"),"Need Attention")</f>
        <v/>
      </c>
      <c r="K2885" s="122">
        <f>IF(E2885&gt;=5000,"🏆 Platinum",IF(E2885&gt;=2000,"🥇 Gold",IF(E2885&gt;=800,"🥈 Silver","🥉 Bronze")))</f>
        <v/>
      </c>
      <c r="L2885" s="125" t="n">
        <v>40770</v>
      </c>
    </row>
    <row r="2886">
      <c r="A2886" s="126" t="n">
        <v>16274</v>
      </c>
      <c r="B2886" s="126" t="inlineStr">
        <is>
          <t>United Kingdom</t>
        </is>
      </c>
      <c r="C2886" s="126" t="n">
        <v>374</v>
      </c>
      <c r="D2886" s="126" t="n">
        <v>1</v>
      </c>
      <c r="E2886" s="127" t="n">
        <v>357.95</v>
      </c>
      <c r="F2886" s="128">
        <f>IF(C2886&lt;=30,5,IF(C2886&lt;=60,4,IF(C2886&lt;=120,3,IF(C2886&lt;=200,2,1))))</f>
        <v/>
      </c>
      <c r="G2886" s="128">
        <f>IF(D2886&gt;=20,5,IF(D2886&gt;=10,4,IF(D2886&gt;=5,3,IF(D2886&gt;=2,2,1))))</f>
        <v/>
      </c>
      <c r="H2886" s="128">
        <f>IF(E2886&gt;=5000,5,IF(E2886&gt;=2000,4,IF(E2886&gt;=800,3,IF(E2886&gt;=300,2,1))))</f>
        <v/>
      </c>
      <c r="I2886" s="126">
        <f>TEXT(F2886,"0")&amp;TEXT(G2886,"0")&amp;TEXT(H2886,"0")</f>
        <v/>
      </c>
      <c r="J2886" s="126">
        <f>IFERROR(XLOOKUP(I2886,'Segment Map'!A:A,'Segment Map'!B:B,"Need Attention"),"Need Attention")</f>
        <v/>
      </c>
      <c r="K2886" s="126">
        <f>IF(E2886&gt;=5000,"🏆 Platinum",IF(E2886&gt;=2000,"🥇 Gold",IF(E2886&gt;=800,"🥈 Silver","🥉 Bronze")))</f>
        <v/>
      </c>
      <c r="L2886" s="129" t="n">
        <v>40513</v>
      </c>
    </row>
    <row r="2887">
      <c r="A2887" s="122" t="n">
        <v>16275</v>
      </c>
      <c r="B2887" s="122" t="inlineStr">
        <is>
          <t>United Kingdom</t>
        </is>
      </c>
      <c r="C2887" s="122" t="n">
        <v>197</v>
      </c>
      <c r="D2887" s="122" t="n">
        <v>1</v>
      </c>
      <c r="E2887" s="123" t="n">
        <v>559.87</v>
      </c>
      <c r="F2887" s="124">
        <f>IF(C2887&lt;=30,5,IF(C2887&lt;=60,4,IF(C2887&lt;=120,3,IF(C2887&lt;=200,2,1))))</f>
        <v/>
      </c>
      <c r="G2887" s="124">
        <f>IF(D2887&gt;=20,5,IF(D2887&gt;=10,4,IF(D2887&gt;=5,3,IF(D2887&gt;=2,2,1))))</f>
        <v/>
      </c>
      <c r="H2887" s="124">
        <f>IF(E2887&gt;=5000,5,IF(E2887&gt;=2000,4,IF(E2887&gt;=800,3,IF(E2887&gt;=300,2,1))))</f>
        <v/>
      </c>
      <c r="I2887" s="122">
        <f>TEXT(F2887,"0")&amp;TEXT(G2887,"0")&amp;TEXT(H2887,"0")</f>
        <v/>
      </c>
      <c r="J2887" s="122">
        <f>IFERROR(XLOOKUP(I2887,'Segment Map'!A:A,'Segment Map'!B:B,"Need Attention"),"Need Attention")</f>
        <v/>
      </c>
      <c r="K2887" s="122">
        <f>IF(E2887&gt;=5000,"🏆 Platinum",IF(E2887&gt;=2000,"🥇 Gold",IF(E2887&gt;=800,"🥈 Silver","🥉 Bronze")))</f>
        <v/>
      </c>
      <c r="L2887" s="125" t="n">
        <v>40690</v>
      </c>
    </row>
    <row r="2888">
      <c r="A2888" s="126" t="n">
        <v>16276</v>
      </c>
      <c r="B2888" s="126" t="inlineStr">
        <is>
          <t>United Kingdom</t>
        </is>
      </c>
      <c r="C2888" s="126" t="n">
        <v>177</v>
      </c>
      <c r="D2888" s="126" t="n">
        <v>1</v>
      </c>
      <c r="E2888" s="127" t="n">
        <v>810.6</v>
      </c>
      <c r="F2888" s="128">
        <f>IF(C2888&lt;=30,5,IF(C2888&lt;=60,4,IF(C2888&lt;=120,3,IF(C2888&lt;=200,2,1))))</f>
        <v/>
      </c>
      <c r="G2888" s="128">
        <f>IF(D2888&gt;=20,5,IF(D2888&gt;=10,4,IF(D2888&gt;=5,3,IF(D2888&gt;=2,2,1))))</f>
        <v/>
      </c>
      <c r="H2888" s="128">
        <f>IF(E2888&gt;=5000,5,IF(E2888&gt;=2000,4,IF(E2888&gt;=800,3,IF(E2888&gt;=300,2,1))))</f>
        <v/>
      </c>
      <c r="I2888" s="126">
        <f>TEXT(F2888,"0")&amp;TEXT(G2888,"0")&amp;TEXT(H2888,"0")</f>
        <v/>
      </c>
      <c r="J2888" s="126">
        <f>IFERROR(XLOOKUP(I2888,'Segment Map'!A:A,'Segment Map'!B:B,"Need Attention"),"Need Attention")</f>
        <v/>
      </c>
      <c r="K2888" s="126">
        <f>IF(E2888&gt;=5000,"🏆 Platinum",IF(E2888&gt;=2000,"🥇 Gold",IF(E2888&gt;=800,"🥈 Silver","🥉 Bronze")))</f>
        <v/>
      </c>
      <c r="L2888" s="129" t="n">
        <v>40710</v>
      </c>
    </row>
    <row r="2889">
      <c r="A2889" s="122" t="n">
        <v>16278</v>
      </c>
      <c r="B2889" s="122" t="inlineStr">
        <is>
          <t>United Kingdom</t>
        </is>
      </c>
      <c r="C2889" s="122" t="n">
        <v>101</v>
      </c>
      <c r="D2889" s="122" t="n">
        <v>1</v>
      </c>
      <c r="E2889" s="123" t="n">
        <v>566.38</v>
      </c>
      <c r="F2889" s="124">
        <f>IF(C2889&lt;=30,5,IF(C2889&lt;=60,4,IF(C2889&lt;=120,3,IF(C2889&lt;=200,2,1))))</f>
        <v/>
      </c>
      <c r="G2889" s="124">
        <f>IF(D2889&gt;=20,5,IF(D2889&gt;=10,4,IF(D2889&gt;=5,3,IF(D2889&gt;=2,2,1))))</f>
        <v/>
      </c>
      <c r="H2889" s="124">
        <f>IF(E2889&gt;=5000,5,IF(E2889&gt;=2000,4,IF(E2889&gt;=800,3,IF(E2889&gt;=300,2,1))))</f>
        <v/>
      </c>
      <c r="I2889" s="122">
        <f>TEXT(F2889,"0")&amp;TEXT(G2889,"0")&amp;TEXT(H2889,"0")</f>
        <v/>
      </c>
      <c r="J2889" s="122">
        <f>IFERROR(XLOOKUP(I2889,'Segment Map'!A:A,'Segment Map'!B:B,"Need Attention"),"Need Attention")</f>
        <v/>
      </c>
      <c r="K2889" s="122">
        <f>IF(E2889&gt;=5000,"🏆 Platinum",IF(E2889&gt;=2000,"🥇 Gold",IF(E2889&gt;=800,"🥈 Silver","🥉 Bronze")))</f>
        <v/>
      </c>
      <c r="L2889" s="125" t="n">
        <v>40786</v>
      </c>
    </row>
    <row r="2890">
      <c r="A2890" s="126" t="n">
        <v>16279</v>
      </c>
      <c r="B2890" s="126" t="inlineStr">
        <is>
          <t>United Kingdom</t>
        </is>
      </c>
      <c r="C2890" s="126" t="n">
        <v>22</v>
      </c>
      <c r="D2890" s="126" t="n">
        <v>3</v>
      </c>
      <c r="E2890" s="127" t="n">
        <v>1509.58</v>
      </c>
      <c r="F2890" s="128">
        <f>IF(C2890&lt;=30,5,IF(C2890&lt;=60,4,IF(C2890&lt;=120,3,IF(C2890&lt;=200,2,1))))</f>
        <v/>
      </c>
      <c r="G2890" s="128">
        <f>IF(D2890&gt;=20,5,IF(D2890&gt;=10,4,IF(D2890&gt;=5,3,IF(D2890&gt;=2,2,1))))</f>
        <v/>
      </c>
      <c r="H2890" s="128">
        <f>IF(E2890&gt;=5000,5,IF(E2890&gt;=2000,4,IF(E2890&gt;=800,3,IF(E2890&gt;=300,2,1))))</f>
        <v/>
      </c>
      <c r="I2890" s="126">
        <f>TEXT(F2890,"0")&amp;TEXT(G2890,"0")&amp;TEXT(H2890,"0")</f>
        <v/>
      </c>
      <c r="J2890" s="126">
        <f>IFERROR(XLOOKUP(I2890,'Segment Map'!A:A,'Segment Map'!B:B,"Need Attention"),"Need Attention")</f>
        <v/>
      </c>
      <c r="K2890" s="126">
        <f>IF(E2890&gt;=5000,"🏆 Platinum",IF(E2890&gt;=2000,"🥇 Gold",IF(E2890&gt;=800,"🥈 Silver","🥉 Bronze")))</f>
        <v/>
      </c>
      <c r="L2890" s="129" t="n">
        <v>40865</v>
      </c>
    </row>
    <row r="2891">
      <c r="A2891" s="122" t="n">
        <v>16281</v>
      </c>
      <c r="B2891" s="122" t="inlineStr">
        <is>
          <t>United Kingdom</t>
        </is>
      </c>
      <c r="C2891" s="122" t="n">
        <v>73</v>
      </c>
      <c r="D2891" s="122" t="n">
        <v>1</v>
      </c>
      <c r="E2891" s="123" t="n">
        <v>2062.06</v>
      </c>
      <c r="F2891" s="124">
        <f>IF(C2891&lt;=30,5,IF(C2891&lt;=60,4,IF(C2891&lt;=120,3,IF(C2891&lt;=200,2,1))))</f>
        <v/>
      </c>
      <c r="G2891" s="124">
        <f>IF(D2891&gt;=20,5,IF(D2891&gt;=10,4,IF(D2891&gt;=5,3,IF(D2891&gt;=2,2,1))))</f>
        <v/>
      </c>
      <c r="H2891" s="124">
        <f>IF(E2891&gt;=5000,5,IF(E2891&gt;=2000,4,IF(E2891&gt;=800,3,IF(E2891&gt;=300,2,1))))</f>
        <v/>
      </c>
      <c r="I2891" s="122">
        <f>TEXT(F2891,"0")&amp;TEXT(G2891,"0")&amp;TEXT(H2891,"0")</f>
        <v/>
      </c>
      <c r="J2891" s="122">
        <f>IFERROR(XLOOKUP(I2891,'Segment Map'!A:A,'Segment Map'!B:B,"Need Attention"),"Need Attention")</f>
        <v/>
      </c>
      <c r="K2891" s="122">
        <f>IF(E2891&gt;=5000,"🏆 Platinum",IF(E2891&gt;=2000,"🥇 Gold",IF(E2891&gt;=800,"🥈 Silver","🥉 Bronze")))</f>
        <v/>
      </c>
      <c r="L2891" s="125" t="n">
        <v>40814</v>
      </c>
    </row>
    <row r="2892">
      <c r="A2892" s="126" t="n">
        <v>16282</v>
      </c>
      <c r="B2892" s="126" t="inlineStr">
        <is>
          <t>United Kingdom</t>
        </is>
      </c>
      <c r="C2892" s="126" t="n">
        <v>340</v>
      </c>
      <c r="D2892" s="126" t="n">
        <v>1</v>
      </c>
      <c r="E2892" s="127" t="n">
        <v>168.3</v>
      </c>
      <c r="F2892" s="128">
        <f>IF(C2892&lt;=30,5,IF(C2892&lt;=60,4,IF(C2892&lt;=120,3,IF(C2892&lt;=200,2,1))))</f>
        <v/>
      </c>
      <c r="G2892" s="128">
        <f>IF(D2892&gt;=20,5,IF(D2892&gt;=10,4,IF(D2892&gt;=5,3,IF(D2892&gt;=2,2,1))))</f>
        <v/>
      </c>
      <c r="H2892" s="128">
        <f>IF(E2892&gt;=5000,5,IF(E2892&gt;=2000,4,IF(E2892&gt;=800,3,IF(E2892&gt;=300,2,1))))</f>
        <v/>
      </c>
      <c r="I2892" s="126">
        <f>TEXT(F2892,"0")&amp;TEXT(G2892,"0")&amp;TEXT(H2892,"0")</f>
        <v/>
      </c>
      <c r="J2892" s="126">
        <f>IFERROR(XLOOKUP(I2892,'Segment Map'!A:A,'Segment Map'!B:B,"Need Attention"),"Need Attention")</f>
        <v/>
      </c>
      <c r="K2892" s="126">
        <f>IF(E2892&gt;=5000,"🏆 Platinum",IF(E2892&gt;=2000,"🥇 Gold",IF(E2892&gt;=800,"🥈 Silver","🥉 Bronze")))</f>
        <v/>
      </c>
      <c r="L2892" s="129" t="n">
        <v>40547</v>
      </c>
    </row>
    <row r="2893">
      <c r="A2893" s="122" t="n">
        <v>16283</v>
      </c>
      <c r="B2893" s="122" t="inlineStr">
        <is>
          <t>United Kingdom</t>
        </is>
      </c>
      <c r="C2893" s="122" t="n">
        <v>6</v>
      </c>
      <c r="D2893" s="122" t="n">
        <v>5</v>
      </c>
      <c r="E2893" s="123" t="n">
        <v>1570.81</v>
      </c>
      <c r="F2893" s="124">
        <f>IF(C2893&lt;=30,5,IF(C2893&lt;=60,4,IF(C2893&lt;=120,3,IF(C2893&lt;=200,2,1))))</f>
        <v/>
      </c>
      <c r="G2893" s="124">
        <f>IF(D2893&gt;=20,5,IF(D2893&gt;=10,4,IF(D2893&gt;=5,3,IF(D2893&gt;=2,2,1))))</f>
        <v/>
      </c>
      <c r="H2893" s="124">
        <f>IF(E2893&gt;=5000,5,IF(E2893&gt;=2000,4,IF(E2893&gt;=800,3,IF(E2893&gt;=300,2,1))))</f>
        <v/>
      </c>
      <c r="I2893" s="122">
        <f>TEXT(F2893,"0")&amp;TEXT(G2893,"0")&amp;TEXT(H2893,"0")</f>
        <v/>
      </c>
      <c r="J2893" s="122">
        <f>IFERROR(XLOOKUP(I2893,'Segment Map'!A:A,'Segment Map'!B:B,"Need Attention"),"Need Attention")</f>
        <v/>
      </c>
      <c r="K2893" s="122">
        <f>IF(E2893&gt;=5000,"🏆 Platinum",IF(E2893&gt;=2000,"🥇 Gold",IF(E2893&gt;=800,"🥈 Silver","🥉 Bronze")))</f>
        <v/>
      </c>
      <c r="L2893" s="125" t="n">
        <v>40881</v>
      </c>
    </row>
    <row r="2894">
      <c r="A2894" s="126" t="n">
        <v>16284</v>
      </c>
      <c r="B2894" s="126" t="inlineStr">
        <is>
          <t>United Kingdom</t>
        </is>
      </c>
      <c r="C2894" s="126" t="n">
        <v>32</v>
      </c>
      <c r="D2894" s="126" t="n">
        <v>2</v>
      </c>
      <c r="E2894" s="127" t="n">
        <v>823.97</v>
      </c>
      <c r="F2894" s="128">
        <f>IF(C2894&lt;=30,5,IF(C2894&lt;=60,4,IF(C2894&lt;=120,3,IF(C2894&lt;=200,2,1))))</f>
        <v/>
      </c>
      <c r="G2894" s="128">
        <f>IF(D2894&gt;=20,5,IF(D2894&gt;=10,4,IF(D2894&gt;=5,3,IF(D2894&gt;=2,2,1))))</f>
        <v/>
      </c>
      <c r="H2894" s="128">
        <f>IF(E2894&gt;=5000,5,IF(E2894&gt;=2000,4,IF(E2894&gt;=800,3,IF(E2894&gt;=300,2,1))))</f>
        <v/>
      </c>
      <c r="I2894" s="126">
        <f>TEXT(F2894,"0")&amp;TEXT(G2894,"0")&amp;TEXT(H2894,"0")</f>
        <v/>
      </c>
      <c r="J2894" s="126">
        <f>IFERROR(XLOOKUP(I2894,'Segment Map'!A:A,'Segment Map'!B:B,"Need Attention"),"Need Attention")</f>
        <v/>
      </c>
      <c r="K2894" s="126">
        <f>IF(E2894&gt;=5000,"🏆 Platinum",IF(E2894&gt;=2000,"🥇 Gold",IF(E2894&gt;=800,"🥈 Silver","🥉 Bronze")))</f>
        <v/>
      </c>
      <c r="L2894" s="129" t="n">
        <v>40855</v>
      </c>
    </row>
    <row r="2895">
      <c r="A2895" s="122" t="n">
        <v>16287</v>
      </c>
      <c r="B2895" s="122" t="inlineStr">
        <is>
          <t>United Kingdom</t>
        </is>
      </c>
      <c r="C2895" s="122" t="n">
        <v>170</v>
      </c>
      <c r="D2895" s="122" t="n">
        <v>1</v>
      </c>
      <c r="E2895" s="123" t="n">
        <v>142.5</v>
      </c>
      <c r="F2895" s="124">
        <f>IF(C2895&lt;=30,5,IF(C2895&lt;=60,4,IF(C2895&lt;=120,3,IF(C2895&lt;=200,2,1))))</f>
        <v/>
      </c>
      <c r="G2895" s="124">
        <f>IF(D2895&gt;=20,5,IF(D2895&gt;=10,4,IF(D2895&gt;=5,3,IF(D2895&gt;=2,2,1))))</f>
        <v/>
      </c>
      <c r="H2895" s="124">
        <f>IF(E2895&gt;=5000,5,IF(E2895&gt;=2000,4,IF(E2895&gt;=800,3,IF(E2895&gt;=300,2,1))))</f>
        <v/>
      </c>
      <c r="I2895" s="122">
        <f>TEXT(F2895,"0")&amp;TEXT(G2895,"0")&amp;TEXT(H2895,"0")</f>
        <v/>
      </c>
      <c r="J2895" s="122">
        <f>IFERROR(XLOOKUP(I2895,'Segment Map'!A:A,'Segment Map'!B:B,"Need Attention"),"Need Attention")</f>
        <v/>
      </c>
      <c r="K2895" s="122">
        <f>IF(E2895&gt;=5000,"🏆 Platinum",IF(E2895&gt;=2000,"🥇 Gold",IF(E2895&gt;=800,"🥈 Silver","🥉 Bronze")))</f>
        <v/>
      </c>
      <c r="L2895" s="125" t="n">
        <v>40717</v>
      </c>
    </row>
    <row r="2896">
      <c r="A2896" s="126" t="n">
        <v>16292</v>
      </c>
      <c r="B2896" s="126" t="inlineStr">
        <is>
          <t>United Kingdom</t>
        </is>
      </c>
      <c r="C2896" s="126" t="n">
        <v>122</v>
      </c>
      <c r="D2896" s="126" t="n">
        <v>1</v>
      </c>
      <c r="E2896" s="127" t="n">
        <v>302.25</v>
      </c>
      <c r="F2896" s="128">
        <f>IF(C2896&lt;=30,5,IF(C2896&lt;=60,4,IF(C2896&lt;=120,3,IF(C2896&lt;=200,2,1))))</f>
        <v/>
      </c>
      <c r="G2896" s="128">
        <f>IF(D2896&gt;=20,5,IF(D2896&gt;=10,4,IF(D2896&gt;=5,3,IF(D2896&gt;=2,2,1))))</f>
        <v/>
      </c>
      <c r="H2896" s="128">
        <f>IF(E2896&gt;=5000,5,IF(E2896&gt;=2000,4,IF(E2896&gt;=800,3,IF(E2896&gt;=300,2,1))))</f>
        <v/>
      </c>
      <c r="I2896" s="126">
        <f>TEXT(F2896,"0")&amp;TEXT(G2896,"0")&amp;TEXT(H2896,"0")</f>
        <v/>
      </c>
      <c r="J2896" s="126">
        <f>IFERROR(XLOOKUP(I2896,'Segment Map'!A:A,'Segment Map'!B:B,"Need Attention"),"Need Attention")</f>
        <v/>
      </c>
      <c r="K2896" s="126">
        <f>IF(E2896&gt;=5000,"🏆 Platinum",IF(E2896&gt;=2000,"🥇 Gold",IF(E2896&gt;=800,"🥈 Silver","🥉 Bronze")))</f>
        <v/>
      </c>
      <c r="L2896" s="129" t="n">
        <v>40765</v>
      </c>
    </row>
    <row r="2897">
      <c r="A2897" s="122" t="n">
        <v>16293</v>
      </c>
      <c r="B2897" s="122" t="inlineStr">
        <is>
          <t>United Kingdom</t>
        </is>
      </c>
      <c r="C2897" s="122" t="n">
        <v>22</v>
      </c>
      <c r="D2897" s="122" t="n">
        <v>10</v>
      </c>
      <c r="E2897" s="123" t="n">
        <v>2248.99</v>
      </c>
      <c r="F2897" s="124">
        <f>IF(C2897&lt;=30,5,IF(C2897&lt;=60,4,IF(C2897&lt;=120,3,IF(C2897&lt;=200,2,1))))</f>
        <v/>
      </c>
      <c r="G2897" s="124">
        <f>IF(D2897&gt;=20,5,IF(D2897&gt;=10,4,IF(D2897&gt;=5,3,IF(D2897&gt;=2,2,1))))</f>
        <v/>
      </c>
      <c r="H2897" s="124">
        <f>IF(E2897&gt;=5000,5,IF(E2897&gt;=2000,4,IF(E2897&gt;=800,3,IF(E2897&gt;=300,2,1))))</f>
        <v/>
      </c>
      <c r="I2897" s="122">
        <f>TEXT(F2897,"0")&amp;TEXT(G2897,"0")&amp;TEXT(H2897,"0")</f>
        <v/>
      </c>
      <c r="J2897" s="122">
        <f>IFERROR(XLOOKUP(I2897,'Segment Map'!A:A,'Segment Map'!B:B,"Need Attention"),"Need Attention")</f>
        <v/>
      </c>
      <c r="K2897" s="122">
        <f>IF(E2897&gt;=5000,"🏆 Platinum",IF(E2897&gt;=2000,"🥇 Gold",IF(E2897&gt;=800,"🥈 Silver","🥉 Bronze")))</f>
        <v/>
      </c>
      <c r="L2897" s="125" t="n">
        <v>40865</v>
      </c>
    </row>
    <row r="2898">
      <c r="A2898" s="126" t="n">
        <v>16295</v>
      </c>
      <c r="B2898" s="126" t="inlineStr">
        <is>
          <t>United Kingdom</t>
        </is>
      </c>
      <c r="C2898" s="126" t="n">
        <v>10</v>
      </c>
      <c r="D2898" s="126" t="n">
        <v>4</v>
      </c>
      <c r="E2898" s="127" t="n">
        <v>1328.55</v>
      </c>
      <c r="F2898" s="128">
        <f>IF(C2898&lt;=30,5,IF(C2898&lt;=60,4,IF(C2898&lt;=120,3,IF(C2898&lt;=200,2,1))))</f>
        <v/>
      </c>
      <c r="G2898" s="128">
        <f>IF(D2898&gt;=20,5,IF(D2898&gt;=10,4,IF(D2898&gt;=5,3,IF(D2898&gt;=2,2,1))))</f>
        <v/>
      </c>
      <c r="H2898" s="128">
        <f>IF(E2898&gt;=5000,5,IF(E2898&gt;=2000,4,IF(E2898&gt;=800,3,IF(E2898&gt;=300,2,1))))</f>
        <v/>
      </c>
      <c r="I2898" s="126">
        <f>TEXT(F2898,"0")&amp;TEXT(G2898,"0")&amp;TEXT(H2898,"0")</f>
        <v/>
      </c>
      <c r="J2898" s="126">
        <f>IFERROR(XLOOKUP(I2898,'Segment Map'!A:A,'Segment Map'!B:B,"Need Attention"),"Need Attention")</f>
        <v/>
      </c>
      <c r="K2898" s="126">
        <f>IF(E2898&gt;=5000,"🏆 Platinum",IF(E2898&gt;=2000,"🥇 Gold",IF(E2898&gt;=800,"🥈 Silver","🥉 Bronze")))</f>
        <v/>
      </c>
      <c r="L2898" s="129" t="n">
        <v>40877</v>
      </c>
    </row>
    <row r="2899">
      <c r="A2899" s="122" t="n">
        <v>16297</v>
      </c>
      <c r="B2899" s="122" t="inlineStr">
        <is>
          <t>United Kingdom</t>
        </is>
      </c>
      <c r="C2899" s="122" t="n">
        <v>269</v>
      </c>
      <c r="D2899" s="122" t="n">
        <v>1</v>
      </c>
      <c r="E2899" s="123" t="n">
        <v>301.9</v>
      </c>
      <c r="F2899" s="124">
        <f>IF(C2899&lt;=30,5,IF(C2899&lt;=60,4,IF(C2899&lt;=120,3,IF(C2899&lt;=200,2,1))))</f>
        <v/>
      </c>
      <c r="G2899" s="124">
        <f>IF(D2899&gt;=20,5,IF(D2899&gt;=10,4,IF(D2899&gt;=5,3,IF(D2899&gt;=2,2,1))))</f>
        <v/>
      </c>
      <c r="H2899" s="124">
        <f>IF(E2899&gt;=5000,5,IF(E2899&gt;=2000,4,IF(E2899&gt;=800,3,IF(E2899&gt;=300,2,1))))</f>
        <v/>
      </c>
      <c r="I2899" s="122">
        <f>TEXT(F2899,"0")&amp;TEXT(G2899,"0")&amp;TEXT(H2899,"0")</f>
        <v/>
      </c>
      <c r="J2899" s="122">
        <f>IFERROR(XLOOKUP(I2899,'Segment Map'!A:A,'Segment Map'!B:B,"Need Attention"),"Need Attention")</f>
        <v/>
      </c>
      <c r="K2899" s="122">
        <f>IF(E2899&gt;=5000,"🏆 Platinum",IF(E2899&gt;=2000,"🥇 Gold",IF(E2899&gt;=800,"🥈 Silver","🥉 Bronze")))</f>
        <v/>
      </c>
      <c r="L2899" s="125" t="n">
        <v>40618</v>
      </c>
    </row>
    <row r="2900">
      <c r="A2900" s="126" t="n">
        <v>16298</v>
      </c>
      <c r="B2900" s="126" t="inlineStr">
        <is>
          <t>United Kingdom</t>
        </is>
      </c>
      <c r="C2900" s="126" t="n">
        <v>23</v>
      </c>
      <c r="D2900" s="126" t="n">
        <v>3</v>
      </c>
      <c r="E2900" s="127" t="n">
        <v>598.2</v>
      </c>
      <c r="F2900" s="128">
        <f>IF(C2900&lt;=30,5,IF(C2900&lt;=60,4,IF(C2900&lt;=120,3,IF(C2900&lt;=200,2,1))))</f>
        <v/>
      </c>
      <c r="G2900" s="128">
        <f>IF(D2900&gt;=20,5,IF(D2900&gt;=10,4,IF(D2900&gt;=5,3,IF(D2900&gt;=2,2,1))))</f>
        <v/>
      </c>
      <c r="H2900" s="128">
        <f>IF(E2900&gt;=5000,5,IF(E2900&gt;=2000,4,IF(E2900&gt;=800,3,IF(E2900&gt;=300,2,1))))</f>
        <v/>
      </c>
      <c r="I2900" s="126">
        <f>TEXT(F2900,"0")&amp;TEXT(G2900,"0")&amp;TEXT(H2900,"0")</f>
        <v/>
      </c>
      <c r="J2900" s="126">
        <f>IFERROR(XLOOKUP(I2900,'Segment Map'!A:A,'Segment Map'!B:B,"Need Attention"),"Need Attention")</f>
        <v/>
      </c>
      <c r="K2900" s="126">
        <f>IF(E2900&gt;=5000,"🏆 Platinum",IF(E2900&gt;=2000,"🥇 Gold",IF(E2900&gt;=800,"🥈 Silver","🥉 Bronze")))</f>
        <v/>
      </c>
      <c r="L2900" s="129" t="n">
        <v>40864</v>
      </c>
    </row>
    <row r="2901">
      <c r="A2901" s="122" t="n">
        <v>16302</v>
      </c>
      <c r="B2901" s="122" t="inlineStr">
        <is>
          <t>United Kingdom</t>
        </is>
      </c>
      <c r="C2901" s="122" t="n">
        <v>127</v>
      </c>
      <c r="D2901" s="122" t="n">
        <v>1</v>
      </c>
      <c r="E2901" s="123" t="n">
        <v>233.22</v>
      </c>
      <c r="F2901" s="124">
        <f>IF(C2901&lt;=30,5,IF(C2901&lt;=60,4,IF(C2901&lt;=120,3,IF(C2901&lt;=200,2,1))))</f>
        <v/>
      </c>
      <c r="G2901" s="124">
        <f>IF(D2901&gt;=20,5,IF(D2901&gt;=10,4,IF(D2901&gt;=5,3,IF(D2901&gt;=2,2,1))))</f>
        <v/>
      </c>
      <c r="H2901" s="124">
        <f>IF(E2901&gt;=5000,5,IF(E2901&gt;=2000,4,IF(E2901&gt;=800,3,IF(E2901&gt;=300,2,1))))</f>
        <v/>
      </c>
      <c r="I2901" s="122">
        <f>TEXT(F2901,"0")&amp;TEXT(G2901,"0")&amp;TEXT(H2901,"0")</f>
        <v/>
      </c>
      <c r="J2901" s="122">
        <f>IFERROR(XLOOKUP(I2901,'Segment Map'!A:A,'Segment Map'!B:B,"Need Attention"),"Need Attention")</f>
        <v/>
      </c>
      <c r="K2901" s="122">
        <f>IF(E2901&gt;=5000,"🏆 Platinum",IF(E2901&gt;=2000,"🥇 Gold",IF(E2901&gt;=800,"🥈 Silver","🥉 Bronze")))</f>
        <v/>
      </c>
      <c r="L2901" s="125" t="n">
        <v>40760</v>
      </c>
    </row>
    <row r="2902">
      <c r="A2902" s="126" t="n">
        <v>16303</v>
      </c>
      <c r="B2902" s="126" t="inlineStr">
        <is>
          <t>United Kingdom</t>
        </is>
      </c>
      <c r="C2902" s="126" t="n">
        <v>26</v>
      </c>
      <c r="D2902" s="126" t="n">
        <v>3</v>
      </c>
      <c r="E2902" s="127" t="n">
        <v>5360.63</v>
      </c>
      <c r="F2902" s="128">
        <f>IF(C2902&lt;=30,5,IF(C2902&lt;=60,4,IF(C2902&lt;=120,3,IF(C2902&lt;=200,2,1))))</f>
        <v/>
      </c>
      <c r="G2902" s="128">
        <f>IF(D2902&gt;=20,5,IF(D2902&gt;=10,4,IF(D2902&gt;=5,3,IF(D2902&gt;=2,2,1))))</f>
        <v/>
      </c>
      <c r="H2902" s="128">
        <f>IF(E2902&gt;=5000,5,IF(E2902&gt;=2000,4,IF(E2902&gt;=800,3,IF(E2902&gt;=300,2,1))))</f>
        <v/>
      </c>
      <c r="I2902" s="126">
        <f>TEXT(F2902,"0")&amp;TEXT(G2902,"0")&amp;TEXT(H2902,"0")</f>
        <v/>
      </c>
      <c r="J2902" s="126">
        <f>IFERROR(XLOOKUP(I2902,'Segment Map'!A:A,'Segment Map'!B:B,"Need Attention"),"Need Attention")</f>
        <v/>
      </c>
      <c r="K2902" s="126">
        <f>IF(E2902&gt;=5000,"🏆 Platinum",IF(E2902&gt;=2000,"🥇 Gold",IF(E2902&gt;=800,"🥈 Silver","🥉 Bronze")))</f>
        <v/>
      </c>
      <c r="L2902" s="129" t="n">
        <v>40861</v>
      </c>
    </row>
    <row r="2903">
      <c r="A2903" s="122" t="n">
        <v>16305</v>
      </c>
      <c r="B2903" s="122" t="inlineStr">
        <is>
          <t>United Kingdom</t>
        </is>
      </c>
      <c r="C2903" s="122" t="n">
        <v>139</v>
      </c>
      <c r="D2903" s="122" t="n">
        <v>1</v>
      </c>
      <c r="E2903" s="123" t="n">
        <v>361.22</v>
      </c>
      <c r="F2903" s="124">
        <f>IF(C2903&lt;=30,5,IF(C2903&lt;=60,4,IF(C2903&lt;=120,3,IF(C2903&lt;=200,2,1))))</f>
        <v/>
      </c>
      <c r="G2903" s="124">
        <f>IF(D2903&gt;=20,5,IF(D2903&gt;=10,4,IF(D2903&gt;=5,3,IF(D2903&gt;=2,2,1))))</f>
        <v/>
      </c>
      <c r="H2903" s="124">
        <f>IF(E2903&gt;=5000,5,IF(E2903&gt;=2000,4,IF(E2903&gt;=800,3,IF(E2903&gt;=300,2,1))))</f>
        <v/>
      </c>
      <c r="I2903" s="122">
        <f>TEXT(F2903,"0")&amp;TEXT(G2903,"0")&amp;TEXT(H2903,"0")</f>
        <v/>
      </c>
      <c r="J2903" s="122">
        <f>IFERROR(XLOOKUP(I2903,'Segment Map'!A:A,'Segment Map'!B:B,"Need Attention"),"Need Attention")</f>
        <v/>
      </c>
      <c r="K2903" s="122">
        <f>IF(E2903&gt;=5000,"🏆 Platinum",IF(E2903&gt;=2000,"🥇 Gold",IF(E2903&gt;=800,"🥈 Silver","🥉 Bronze")))</f>
        <v/>
      </c>
      <c r="L2903" s="125" t="n">
        <v>40748</v>
      </c>
    </row>
    <row r="2904">
      <c r="A2904" s="126" t="n">
        <v>16306</v>
      </c>
      <c r="B2904" s="126" t="inlineStr">
        <is>
          <t>United Kingdom</t>
        </is>
      </c>
      <c r="C2904" s="126" t="n">
        <v>214</v>
      </c>
      <c r="D2904" s="126" t="n">
        <v>6</v>
      </c>
      <c r="E2904" s="127" t="n">
        <v>632.27</v>
      </c>
      <c r="F2904" s="128">
        <f>IF(C2904&lt;=30,5,IF(C2904&lt;=60,4,IF(C2904&lt;=120,3,IF(C2904&lt;=200,2,1))))</f>
        <v/>
      </c>
      <c r="G2904" s="128">
        <f>IF(D2904&gt;=20,5,IF(D2904&gt;=10,4,IF(D2904&gt;=5,3,IF(D2904&gt;=2,2,1))))</f>
        <v/>
      </c>
      <c r="H2904" s="128">
        <f>IF(E2904&gt;=5000,5,IF(E2904&gt;=2000,4,IF(E2904&gt;=800,3,IF(E2904&gt;=300,2,1))))</f>
        <v/>
      </c>
      <c r="I2904" s="126">
        <f>TEXT(F2904,"0")&amp;TEXT(G2904,"0")&amp;TEXT(H2904,"0")</f>
        <v/>
      </c>
      <c r="J2904" s="126">
        <f>IFERROR(XLOOKUP(I2904,'Segment Map'!A:A,'Segment Map'!B:B,"Need Attention"),"Need Attention")</f>
        <v/>
      </c>
      <c r="K2904" s="126">
        <f>IF(E2904&gt;=5000,"🏆 Platinum",IF(E2904&gt;=2000,"🥇 Gold",IF(E2904&gt;=800,"🥈 Silver","🥉 Bronze")))</f>
        <v/>
      </c>
      <c r="L2904" s="129" t="n">
        <v>40673</v>
      </c>
    </row>
    <row r="2905">
      <c r="A2905" s="122" t="n">
        <v>16308</v>
      </c>
      <c r="B2905" s="122" t="inlineStr">
        <is>
          <t>United Kingdom</t>
        </is>
      </c>
      <c r="C2905" s="122" t="n">
        <v>38</v>
      </c>
      <c r="D2905" s="122" t="n">
        <v>4</v>
      </c>
      <c r="E2905" s="123" t="n">
        <v>2560</v>
      </c>
      <c r="F2905" s="124">
        <f>IF(C2905&lt;=30,5,IF(C2905&lt;=60,4,IF(C2905&lt;=120,3,IF(C2905&lt;=200,2,1))))</f>
        <v/>
      </c>
      <c r="G2905" s="124">
        <f>IF(D2905&gt;=20,5,IF(D2905&gt;=10,4,IF(D2905&gt;=5,3,IF(D2905&gt;=2,2,1))))</f>
        <v/>
      </c>
      <c r="H2905" s="124">
        <f>IF(E2905&gt;=5000,5,IF(E2905&gt;=2000,4,IF(E2905&gt;=800,3,IF(E2905&gt;=300,2,1))))</f>
        <v/>
      </c>
      <c r="I2905" s="122">
        <f>TEXT(F2905,"0")&amp;TEXT(G2905,"0")&amp;TEXT(H2905,"0")</f>
        <v/>
      </c>
      <c r="J2905" s="122">
        <f>IFERROR(XLOOKUP(I2905,'Segment Map'!A:A,'Segment Map'!B:B,"Need Attention"),"Need Attention")</f>
        <v/>
      </c>
      <c r="K2905" s="122">
        <f>IF(E2905&gt;=5000,"🏆 Platinum",IF(E2905&gt;=2000,"🥇 Gold",IF(E2905&gt;=800,"🥈 Silver","🥉 Bronze")))</f>
        <v/>
      </c>
      <c r="L2905" s="125" t="n">
        <v>40849</v>
      </c>
    </row>
    <row r="2906">
      <c r="A2906" s="126" t="n">
        <v>16309</v>
      </c>
      <c r="B2906" s="126" t="inlineStr">
        <is>
          <t>United Kingdom</t>
        </is>
      </c>
      <c r="C2906" s="126" t="n">
        <v>107</v>
      </c>
      <c r="D2906" s="126" t="n">
        <v>2</v>
      </c>
      <c r="E2906" s="127" t="n">
        <v>706.5700000000001</v>
      </c>
      <c r="F2906" s="128">
        <f>IF(C2906&lt;=30,5,IF(C2906&lt;=60,4,IF(C2906&lt;=120,3,IF(C2906&lt;=200,2,1))))</f>
        <v/>
      </c>
      <c r="G2906" s="128">
        <f>IF(D2906&gt;=20,5,IF(D2906&gt;=10,4,IF(D2906&gt;=5,3,IF(D2906&gt;=2,2,1))))</f>
        <v/>
      </c>
      <c r="H2906" s="128">
        <f>IF(E2906&gt;=5000,5,IF(E2906&gt;=2000,4,IF(E2906&gt;=800,3,IF(E2906&gt;=300,2,1))))</f>
        <v/>
      </c>
      <c r="I2906" s="126">
        <f>TEXT(F2906,"0")&amp;TEXT(G2906,"0")&amp;TEXT(H2906,"0")</f>
        <v/>
      </c>
      <c r="J2906" s="126">
        <f>IFERROR(XLOOKUP(I2906,'Segment Map'!A:A,'Segment Map'!B:B,"Need Attention"),"Need Attention")</f>
        <v/>
      </c>
      <c r="K2906" s="126">
        <f>IF(E2906&gt;=5000,"🏆 Platinum",IF(E2906&gt;=2000,"🥇 Gold",IF(E2906&gt;=800,"🥈 Silver","🥉 Bronze")))</f>
        <v/>
      </c>
      <c r="L2906" s="129" t="n">
        <v>40780</v>
      </c>
    </row>
    <row r="2907">
      <c r="A2907" s="122" t="n">
        <v>16311</v>
      </c>
      <c r="B2907" s="122" t="inlineStr">
        <is>
          <t>United Kingdom</t>
        </is>
      </c>
      <c r="C2907" s="122" t="n">
        <v>18</v>
      </c>
      <c r="D2907" s="122" t="n">
        <v>2</v>
      </c>
      <c r="E2907" s="123" t="n">
        <v>616.26</v>
      </c>
      <c r="F2907" s="124">
        <f>IF(C2907&lt;=30,5,IF(C2907&lt;=60,4,IF(C2907&lt;=120,3,IF(C2907&lt;=200,2,1))))</f>
        <v/>
      </c>
      <c r="G2907" s="124">
        <f>IF(D2907&gt;=20,5,IF(D2907&gt;=10,4,IF(D2907&gt;=5,3,IF(D2907&gt;=2,2,1))))</f>
        <v/>
      </c>
      <c r="H2907" s="124">
        <f>IF(E2907&gt;=5000,5,IF(E2907&gt;=2000,4,IF(E2907&gt;=800,3,IF(E2907&gt;=300,2,1))))</f>
        <v/>
      </c>
      <c r="I2907" s="122">
        <f>TEXT(F2907,"0")&amp;TEXT(G2907,"0")&amp;TEXT(H2907,"0")</f>
        <v/>
      </c>
      <c r="J2907" s="122">
        <f>IFERROR(XLOOKUP(I2907,'Segment Map'!A:A,'Segment Map'!B:B,"Need Attention"),"Need Attention")</f>
        <v/>
      </c>
      <c r="K2907" s="122">
        <f>IF(E2907&gt;=5000,"🏆 Platinum",IF(E2907&gt;=2000,"🥇 Gold",IF(E2907&gt;=800,"🥈 Silver","🥉 Bronze")))</f>
        <v/>
      </c>
      <c r="L2907" s="125" t="n">
        <v>40869</v>
      </c>
    </row>
    <row r="2908">
      <c r="A2908" s="126" t="n">
        <v>16313</v>
      </c>
      <c r="B2908" s="126" t="inlineStr">
        <is>
          <t>United Kingdom</t>
        </is>
      </c>
      <c r="C2908" s="126" t="n">
        <v>4</v>
      </c>
      <c r="D2908" s="126" t="n">
        <v>2</v>
      </c>
      <c r="E2908" s="127" t="n">
        <v>274.15</v>
      </c>
      <c r="F2908" s="128">
        <f>IF(C2908&lt;=30,5,IF(C2908&lt;=60,4,IF(C2908&lt;=120,3,IF(C2908&lt;=200,2,1))))</f>
        <v/>
      </c>
      <c r="G2908" s="128">
        <f>IF(D2908&gt;=20,5,IF(D2908&gt;=10,4,IF(D2908&gt;=5,3,IF(D2908&gt;=2,2,1))))</f>
        <v/>
      </c>
      <c r="H2908" s="128">
        <f>IF(E2908&gt;=5000,5,IF(E2908&gt;=2000,4,IF(E2908&gt;=800,3,IF(E2908&gt;=300,2,1))))</f>
        <v/>
      </c>
      <c r="I2908" s="126">
        <f>TEXT(F2908,"0")&amp;TEXT(G2908,"0")&amp;TEXT(H2908,"0")</f>
        <v/>
      </c>
      <c r="J2908" s="126">
        <f>IFERROR(XLOOKUP(I2908,'Segment Map'!A:A,'Segment Map'!B:B,"Need Attention"),"Need Attention")</f>
        <v/>
      </c>
      <c r="K2908" s="126">
        <f>IF(E2908&gt;=5000,"🏆 Platinum",IF(E2908&gt;=2000,"🥇 Gold",IF(E2908&gt;=800,"🥈 Silver","🥉 Bronze")))</f>
        <v/>
      </c>
      <c r="L2908" s="129" t="n">
        <v>40883</v>
      </c>
    </row>
    <row r="2909">
      <c r="A2909" s="122" t="n">
        <v>16315</v>
      </c>
      <c r="B2909" s="122" t="inlineStr">
        <is>
          <t>United Kingdom</t>
        </is>
      </c>
      <c r="C2909" s="122" t="n">
        <v>331</v>
      </c>
      <c r="D2909" s="122" t="n">
        <v>1</v>
      </c>
      <c r="E2909" s="123" t="n">
        <v>226.37</v>
      </c>
      <c r="F2909" s="124">
        <f>IF(C2909&lt;=30,5,IF(C2909&lt;=60,4,IF(C2909&lt;=120,3,IF(C2909&lt;=200,2,1))))</f>
        <v/>
      </c>
      <c r="G2909" s="124">
        <f>IF(D2909&gt;=20,5,IF(D2909&gt;=10,4,IF(D2909&gt;=5,3,IF(D2909&gt;=2,2,1))))</f>
        <v/>
      </c>
      <c r="H2909" s="124">
        <f>IF(E2909&gt;=5000,5,IF(E2909&gt;=2000,4,IF(E2909&gt;=800,3,IF(E2909&gt;=300,2,1))))</f>
        <v/>
      </c>
      <c r="I2909" s="122">
        <f>TEXT(F2909,"0")&amp;TEXT(G2909,"0")&amp;TEXT(H2909,"0")</f>
        <v/>
      </c>
      <c r="J2909" s="122">
        <f>IFERROR(XLOOKUP(I2909,'Segment Map'!A:A,'Segment Map'!B:B,"Need Attention"),"Need Attention")</f>
        <v/>
      </c>
      <c r="K2909" s="122">
        <f>IF(E2909&gt;=5000,"🏆 Platinum",IF(E2909&gt;=2000,"🥇 Gold",IF(E2909&gt;=800,"🥈 Silver","🥉 Bronze")))</f>
        <v/>
      </c>
      <c r="L2909" s="125" t="n">
        <v>40556</v>
      </c>
    </row>
    <row r="2910">
      <c r="A2910" s="126" t="n">
        <v>16316</v>
      </c>
      <c r="B2910" s="126" t="inlineStr">
        <is>
          <t>United Kingdom</t>
        </is>
      </c>
      <c r="C2910" s="126" t="n">
        <v>65</v>
      </c>
      <c r="D2910" s="126" t="n">
        <v>8</v>
      </c>
      <c r="E2910" s="127" t="n">
        <v>2938.91</v>
      </c>
      <c r="F2910" s="128">
        <f>IF(C2910&lt;=30,5,IF(C2910&lt;=60,4,IF(C2910&lt;=120,3,IF(C2910&lt;=200,2,1))))</f>
        <v/>
      </c>
      <c r="G2910" s="128">
        <f>IF(D2910&gt;=20,5,IF(D2910&gt;=10,4,IF(D2910&gt;=5,3,IF(D2910&gt;=2,2,1))))</f>
        <v/>
      </c>
      <c r="H2910" s="128">
        <f>IF(E2910&gt;=5000,5,IF(E2910&gt;=2000,4,IF(E2910&gt;=800,3,IF(E2910&gt;=300,2,1))))</f>
        <v/>
      </c>
      <c r="I2910" s="126">
        <f>TEXT(F2910,"0")&amp;TEXT(G2910,"0")&amp;TEXT(H2910,"0")</f>
        <v/>
      </c>
      <c r="J2910" s="126">
        <f>IFERROR(XLOOKUP(I2910,'Segment Map'!A:A,'Segment Map'!B:B,"Need Attention"),"Need Attention")</f>
        <v/>
      </c>
      <c r="K2910" s="126">
        <f>IF(E2910&gt;=5000,"🏆 Platinum",IF(E2910&gt;=2000,"🥇 Gold",IF(E2910&gt;=800,"🥈 Silver","🥉 Bronze")))</f>
        <v/>
      </c>
      <c r="L2910" s="129" t="n">
        <v>40822</v>
      </c>
    </row>
    <row r="2911">
      <c r="A2911" s="122" t="n">
        <v>16317</v>
      </c>
      <c r="B2911" s="122" t="inlineStr">
        <is>
          <t>United Kingdom</t>
        </is>
      </c>
      <c r="C2911" s="122" t="n">
        <v>120</v>
      </c>
      <c r="D2911" s="122" t="n">
        <v>3</v>
      </c>
      <c r="E2911" s="123" t="n">
        <v>1341.65</v>
      </c>
      <c r="F2911" s="124">
        <f>IF(C2911&lt;=30,5,IF(C2911&lt;=60,4,IF(C2911&lt;=120,3,IF(C2911&lt;=200,2,1))))</f>
        <v/>
      </c>
      <c r="G2911" s="124">
        <f>IF(D2911&gt;=20,5,IF(D2911&gt;=10,4,IF(D2911&gt;=5,3,IF(D2911&gt;=2,2,1))))</f>
        <v/>
      </c>
      <c r="H2911" s="124">
        <f>IF(E2911&gt;=5000,5,IF(E2911&gt;=2000,4,IF(E2911&gt;=800,3,IF(E2911&gt;=300,2,1))))</f>
        <v/>
      </c>
      <c r="I2911" s="122">
        <f>TEXT(F2911,"0")&amp;TEXT(G2911,"0")&amp;TEXT(H2911,"0")</f>
        <v/>
      </c>
      <c r="J2911" s="122">
        <f>IFERROR(XLOOKUP(I2911,'Segment Map'!A:A,'Segment Map'!B:B,"Need Attention"),"Need Attention")</f>
        <v/>
      </c>
      <c r="K2911" s="122">
        <f>IF(E2911&gt;=5000,"🏆 Platinum",IF(E2911&gt;=2000,"🥇 Gold",IF(E2911&gt;=800,"🥈 Silver","🥉 Bronze")))</f>
        <v/>
      </c>
      <c r="L2911" s="125" t="n">
        <v>40767</v>
      </c>
    </row>
    <row r="2912">
      <c r="A2912" s="126" t="n">
        <v>16318</v>
      </c>
      <c r="B2912" s="126" t="inlineStr">
        <is>
          <t>United Kingdom</t>
        </is>
      </c>
      <c r="C2912" s="126" t="n">
        <v>36</v>
      </c>
      <c r="D2912" s="126" t="n">
        <v>1</v>
      </c>
      <c r="E2912" s="127" t="n">
        <v>328.15</v>
      </c>
      <c r="F2912" s="128">
        <f>IF(C2912&lt;=30,5,IF(C2912&lt;=60,4,IF(C2912&lt;=120,3,IF(C2912&lt;=200,2,1))))</f>
        <v/>
      </c>
      <c r="G2912" s="128">
        <f>IF(D2912&gt;=20,5,IF(D2912&gt;=10,4,IF(D2912&gt;=5,3,IF(D2912&gt;=2,2,1))))</f>
        <v/>
      </c>
      <c r="H2912" s="128">
        <f>IF(E2912&gt;=5000,5,IF(E2912&gt;=2000,4,IF(E2912&gt;=800,3,IF(E2912&gt;=300,2,1))))</f>
        <v/>
      </c>
      <c r="I2912" s="126">
        <f>TEXT(F2912,"0")&amp;TEXT(G2912,"0")&amp;TEXT(H2912,"0")</f>
        <v/>
      </c>
      <c r="J2912" s="126">
        <f>IFERROR(XLOOKUP(I2912,'Segment Map'!A:A,'Segment Map'!B:B,"Need Attention"),"Need Attention")</f>
        <v/>
      </c>
      <c r="K2912" s="126">
        <f>IF(E2912&gt;=5000,"🏆 Platinum",IF(E2912&gt;=2000,"🥇 Gold",IF(E2912&gt;=800,"🥈 Silver","🥉 Bronze")))</f>
        <v/>
      </c>
      <c r="L2912" s="129" t="n">
        <v>40851</v>
      </c>
    </row>
    <row r="2913">
      <c r="A2913" s="122" t="n">
        <v>16319</v>
      </c>
      <c r="B2913" s="122" t="inlineStr">
        <is>
          <t>United Kingdom</t>
        </is>
      </c>
      <c r="C2913" s="122" t="n">
        <v>218</v>
      </c>
      <c r="D2913" s="122" t="n">
        <v>1</v>
      </c>
      <c r="E2913" s="123" t="n">
        <v>404.4</v>
      </c>
      <c r="F2913" s="124">
        <f>IF(C2913&lt;=30,5,IF(C2913&lt;=60,4,IF(C2913&lt;=120,3,IF(C2913&lt;=200,2,1))))</f>
        <v/>
      </c>
      <c r="G2913" s="124">
        <f>IF(D2913&gt;=20,5,IF(D2913&gt;=10,4,IF(D2913&gt;=5,3,IF(D2913&gt;=2,2,1))))</f>
        <v/>
      </c>
      <c r="H2913" s="124">
        <f>IF(E2913&gt;=5000,5,IF(E2913&gt;=2000,4,IF(E2913&gt;=800,3,IF(E2913&gt;=300,2,1))))</f>
        <v/>
      </c>
      <c r="I2913" s="122">
        <f>TEXT(F2913,"0")&amp;TEXT(G2913,"0")&amp;TEXT(H2913,"0")</f>
        <v/>
      </c>
      <c r="J2913" s="122">
        <f>IFERROR(XLOOKUP(I2913,'Segment Map'!A:A,'Segment Map'!B:B,"Need Attention"),"Need Attention")</f>
        <v/>
      </c>
      <c r="K2913" s="122">
        <f>IF(E2913&gt;=5000,"🏆 Platinum",IF(E2913&gt;=2000,"🥇 Gold",IF(E2913&gt;=800,"🥈 Silver","🥉 Bronze")))</f>
        <v/>
      </c>
      <c r="L2913" s="125" t="n">
        <v>40669</v>
      </c>
    </row>
    <row r="2914">
      <c r="A2914" s="126" t="n">
        <v>16320</v>
      </c>
      <c r="B2914" s="126" t="inlineStr">
        <is>
          <t>Unspecified</t>
        </is>
      </c>
      <c r="C2914" s="126" t="n">
        <v>173</v>
      </c>
      <c r="D2914" s="126" t="n">
        <v>2</v>
      </c>
      <c r="E2914" s="127" t="n">
        <v>1038.46</v>
      </c>
      <c r="F2914" s="128">
        <f>IF(C2914&lt;=30,5,IF(C2914&lt;=60,4,IF(C2914&lt;=120,3,IF(C2914&lt;=200,2,1))))</f>
        <v/>
      </c>
      <c r="G2914" s="128">
        <f>IF(D2914&gt;=20,5,IF(D2914&gt;=10,4,IF(D2914&gt;=5,3,IF(D2914&gt;=2,2,1))))</f>
        <v/>
      </c>
      <c r="H2914" s="128">
        <f>IF(E2914&gt;=5000,5,IF(E2914&gt;=2000,4,IF(E2914&gt;=800,3,IF(E2914&gt;=300,2,1))))</f>
        <v/>
      </c>
      <c r="I2914" s="126">
        <f>TEXT(F2914,"0")&amp;TEXT(G2914,"0")&amp;TEXT(H2914,"0")</f>
        <v/>
      </c>
      <c r="J2914" s="126">
        <f>IFERROR(XLOOKUP(I2914,'Segment Map'!A:A,'Segment Map'!B:B,"Need Attention"),"Need Attention")</f>
        <v/>
      </c>
      <c r="K2914" s="126">
        <f>IF(E2914&gt;=5000,"🏆 Platinum",IF(E2914&gt;=2000,"🥇 Gold",IF(E2914&gt;=800,"🥈 Silver","🥉 Bronze")))</f>
        <v/>
      </c>
      <c r="L2914" s="129" t="n">
        <v>40714</v>
      </c>
    </row>
    <row r="2915">
      <c r="A2915" s="122" t="n">
        <v>16321</v>
      </c>
      <c r="B2915" s="122" t="inlineStr">
        <is>
          <t>Australia</t>
        </is>
      </c>
      <c r="C2915" s="122" t="n">
        <v>73</v>
      </c>
      <c r="D2915" s="122" t="n">
        <v>5</v>
      </c>
      <c r="E2915" s="123" t="n">
        <v>373.65</v>
      </c>
      <c r="F2915" s="124">
        <f>IF(C2915&lt;=30,5,IF(C2915&lt;=60,4,IF(C2915&lt;=120,3,IF(C2915&lt;=200,2,1))))</f>
        <v/>
      </c>
      <c r="G2915" s="124">
        <f>IF(D2915&gt;=20,5,IF(D2915&gt;=10,4,IF(D2915&gt;=5,3,IF(D2915&gt;=2,2,1))))</f>
        <v/>
      </c>
      <c r="H2915" s="124">
        <f>IF(E2915&gt;=5000,5,IF(E2915&gt;=2000,4,IF(E2915&gt;=800,3,IF(E2915&gt;=300,2,1))))</f>
        <v/>
      </c>
      <c r="I2915" s="122">
        <f>TEXT(F2915,"0")&amp;TEXT(G2915,"0")&amp;TEXT(H2915,"0")</f>
        <v/>
      </c>
      <c r="J2915" s="122">
        <f>IFERROR(XLOOKUP(I2915,'Segment Map'!A:A,'Segment Map'!B:B,"Need Attention"),"Need Attention")</f>
        <v/>
      </c>
      <c r="K2915" s="122">
        <f>IF(E2915&gt;=5000,"🏆 Platinum",IF(E2915&gt;=2000,"🥇 Gold",IF(E2915&gt;=800,"🥈 Silver","🥉 Bronze")))</f>
        <v/>
      </c>
      <c r="L2915" s="125" t="n">
        <v>40814</v>
      </c>
    </row>
    <row r="2916">
      <c r="A2916" s="126" t="n">
        <v>16322</v>
      </c>
      <c r="B2916" s="126" t="inlineStr">
        <is>
          <t>United Kingdom</t>
        </is>
      </c>
      <c r="C2916" s="126" t="n">
        <v>2</v>
      </c>
      <c r="D2916" s="126" t="n">
        <v>2</v>
      </c>
      <c r="E2916" s="127" t="n">
        <v>326.75</v>
      </c>
      <c r="F2916" s="128">
        <f>IF(C2916&lt;=30,5,IF(C2916&lt;=60,4,IF(C2916&lt;=120,3,IF(C2916&lt;=200,2,1))))</f>
        <v/>
      </c>
      <c r="G2916" s="128">
        <f>IF(D2916&gt;=20,5,IF(D2916&gt;=10,4,IF(D2916&gt;=5,3,IF(D2916&gt;=2,2,1))))</f>
        <v/>
      </c>
      <c r="H2916" s="128">
        <f>IF(E2916&gt;=5000,5,IF(E2916&gt;=2000,4,IF(E2916&gt;=800,3,IF(E2916&gt;=300,2,1))))</f>
        <v/>
      </c>
      <c r="I2916" s="126">
        <f>TEXT(F2916,"0")&amp;TEXT(G2916,"0")&amp;TEXT(H2916,"0")</f>
        <v/>
      </c>
      <c r="J2916" s="126">
        <f>IFERROR(XLOOKUP(I2916,'Segment Map'!A:A,'Segment Map'!B:B,"Need Attention"),"Need Attention")</f>
        <v/>
      </c>
      <c r="K2916" s="126">
        <f>IF(E2916&gt;=5000,"🏆 Platinum",IF(E2916&gt;=2000,"🥇 Gold",IF(E2916&gt;=800,"🥈 Silver","🥉 Bronze")))</f>
        <v/>
      </c>
      <c r="L2916" s="129" t="n">
        <v>40885</v>
      </c>
    </row>
    <row r="2917">
      <c r="A2917" s="122" t="n">
        <v>16323</v>
      </c>
      <c r="B2917" s="122" t="inlineStr">
        <is>
          <t>United Kingdom</t>
        </is>
      </c>
      <c r="C2917" s="122" t="n">
        <v>197</v>
      </c>
      <c r="D2917" s="122" t="n">
        <v>1</v>
      </c>
      <c r="E2917" s="123" t="n">
        <v>207.5</v>
      </c>
      <c r="F2917" s="124">
        <f>IF(C2917&lt;=30,5,IF(C2917&lt;=60,4,IF(C2917&lt;=120,3,IF(C2917&lt;=200,2,1))))</f>
        <v/>
      </c>
      <c r="G2917" s="124">
        <f>IF(D2917&gt;=20,5,IF(D2917&gt;=10,4,IF(D2917&gt;=5,3,IF(D2917&gt;=2,2,1))))</f>
        <v/>
      </c>
      <c r="H2917" s="124">
        <f>IF(E2917&gt;=5000,5,IF(E2917&gt;=2000,4,IF(E2917&gt;=800,3,IF(E2917&gt;=300,2,1))))</f>
        <v/>
      </c>
      <c r="I2917" s="122">
        <f>TEXT(F2917,"0")&amp;TEXT(G2917,"0")&amp;TEXT(H2917,"0")</f>
        <v/>
      </c>
      <c r="J2917" s="122">
        <f>IFERROR(XLOOKUP(I2917,'Segment Map'!A:A,'Segment Map'!B:B,"Need Attention"),"Need Attention")</f>
        <v/>
      </c>
      <c r="K2917" s="122">
        <f>IF(E2917&gt;=5000,"🏆 Platinum",IF(E2917&gt;=2000,"🥇 Gold",IF(E2917&gt;=800,"🥈 Silver","🥉 Bronze")))</f>
        <v/>
      </c>
      <c r="L2917" s="125" t="n">
        <v>40690</v>
      </c>
    </row>
    <row r="2918">
      <c r="A2918" s="126" t="n">
        <v>16324</v>
      </c>
      <c r="B2918" s="126" t="inlineStr">
        <is>
          <t>United Kingdom</t>
        </is>
      </c>
      <c r="C2918" s="126" t="n">
        <v>129</v>
      </c>
      <c r="D2918" s="126" t="n">
        <v>3</v>
      </c>
      <c r="E2918" s="127" t="n">
        <v>428.68</v>
      </c>
      <c r="F2918" s="128">
        <f>IF(C2918&lt;=30,5,IF(C2918&lt;=60,4,IF(C2918&lt;=120,3,IF(C2918&lt;=200,2,1))))</f>
        <v/>
      </c>
      <c r="G2918" s="128">
        <f>IF(D2918&gt;=20,5,IF(D2918&gt;=10,4,IF(D2918&gt;=5,3,IF(D2918&gt;=2,2,1))))</f>
        <v/>
      </c>
      <c r="H2918" s="128">
        <f>IF(E2918&gt;=5000,5,IF(E2918&gt;=2000,4,IF(E2918&gt;=800,3,IF(E2918&gt;=300,2,1))))</f>
        <v/>
      </c>
      <c r="I2918" s="126">
        <f>TEXT(F2918,"0")&amp;TEXT(G2918,"0")&amp;TEXT(H2918,"0")</f>
        <v/>
      </c>
      <c r="J2918" s="126">
        <f>IFERROR(XLOOKUP(I2918,'Segment Map'!A:A,'Segment Map'!B:B,"Need Attention"),"Need Attention")</f>
        <v/>
      </c>
      <c r="K2918" s="126">
        <f>IF(E2918&gt;=5000,"🏆 Platinum",IF(E2918&gt;=2000,"🥇 Gold",IF(E2918&gt;=800,"🥈 Silver","🥉 Bronze")))</f>
        <v/>
      </c>
      <c r="L2918" s="129" t="n">
        <v>40758</v>
      </c>
    </row>
    <row r="2919">
      <c r="A2919" s="122" t="n">
        <v>16325</v>
      </c>
      <c r="B2919" s="122" t="inlineStr">
        <is>
          <t>United Kingdom</t>
        </is>
      </c>
      <c r="C2919" s="122" t="n">
        <v>47</v>
      </c>
      <c r="D2919" s="122" t="n">
        <v>3</v>
      </c>
      <c r="E2919" s="123" t="n">
        <v>594.24</v>
      </c>
      <c r="F2919" s="124">
        <f>IF(C2919&lt;=30,5,IF(C2919&lt;=60,4,IF(C2919&lt;=120,3,IF(C2919&lt;=200,2,1))))</f>
        <v/>
      </c>
      <c r="G2919" s="124">
        <f>IF(D2919&gt;=20,5,IF(D2919&gt;=10,4,IF(D2919&gt;=5,3,IF(D2919&gt;=2,2,1))))</f>
        <v/>
      </c>
      <c r="H2919" s="124">
        <f>IF(E2919&gt;=5000,5,IF(E2919&gt;=2000,4,IF(E2919&gt;=800,3,IF(E2919&gt;=300,2,1))))</f>
        <v/>
      </c>
      <c r="I2919" s="122">
        <f>TEXT(F2919,"0")&amp;TEXT(G2919,"0")&amp;TEXT(H2919,"0")</f>
        <v/>
      </c>
      <c r="J2919" s="122">
        <f>IFERROR(XLOOKUP(I2919,'Segment Map'!A:A,'Segment Map'!B:B,"Need Attention"),"Need Attention")</f>
        <v/>
      </c>
      <c r="K2919" s="122">
        <f>IF(E2919&gt;=5000,"🏆 Platinum",IF(E2919&gt;=2000,"🥇 Gold",IF(E2919&gt;=800,"🥈 Silver","🥉 Bronze")))</f>
        <v/>
      </c>
      <c r="L2919" s="125" t="n">
        <v>40840</v>
      </c>
    </row>
    <row r="2920">
      <c r="A2920" s="126" t="n">
        <v>16326</v>
      </c>
      <c r="B2920" s="126" t="inlineStr">
        <is>
          <t>United Kingdom</t>
        </is>
      </c>
      <c r="C2920" s="126" t="n">
        <v>6</v>
      </c>
      <c r="D2920" s="126" t="n">
        <v>14</v>
      </c>
      <c r="E2920" s="127" t="n">
        <v>3110.96</v>
      </c>
      <c r="F2920" s="128">
        <f>IF(C2920&lt;=30,5,IF(C2920&lt;=60,4,IF(C2920&lt;=120,3,IF(C2920&lt;=200,2,1))))</f>
        <v/>
      </c>
      <c r="G2920" s="128">
        <f>IF(D2920&gt;=20,5,IF(D2920&gt;=10,4,IF(D2920&gt;=5,3,IF(D2920&gt;=2,2,1))))</f>
        <v/>
      </c>
      <c r="H2920" s="128">
        <f>IF(E2920&gt;=5000,5,IF(E2920&gt;=2000,4,IF(E2920&gt;=800,3,IF(E2920&gt;=300,2,1))))</f>
        <v/>
      </c>
      <c r="I2920" s="126">
        <f>TEXT(F2920,"0")&amp;TEXT(G2920,"0")&amp;TEXT(H2920,"0")</f>
        <v/>
      </c>
      <c r="J2920" s="126">
        <f>IFERROR(XLOOKUP(I2920,'Segment Map'!A:A,'Segment Map'!B:B,"Need Attention"),"Need Attention")</f>
        <v/>
      </c>
      <c r="K2920" s="126">
        <f>IF(E2920&gt;=5000,"🏆 Platinum",IF(E2920&gt;=2000,"🥇 Gold",IF(E2920&gt;=800,"🥈 Silver","🥉 Bronze")))</f>
        <v/>
      </c>
      <c r="L2920" s="129" t="n">
        <v>40881</v>
      </c>
    </row>
    <row r="2921">
      <c r="A2921" s="122" t="n">
        <v>16327</v>
      </c>
      <c r="B2921" s="122" t="inlineStr">
        <is>
          <t>United Kingdom</t>
        </is>
      </c>
      <c r="C2921" s="122" t="n">
        <v>15</v>
      </c>
      <c r="D2921" s="122" t="n">
        <v>6</v>
      </c>
      <c r="E2921" s="123" t="n">
        <v>3844.22</v>
      </c>
      <c r="F2921" s="124">
        <f>IF(C2921&lt;=30,5,IF(C2921&lt;=60,4,IF(C2921&lt;=120,3,IF(C2921&lt;=200,2,1))))</f>
        <v/>
      </c>
      <c r="G2921" s="124">
        <f>IF(D2921&gt;=20,5,IF(D2921&gt;=10,4,IF(D2921&gt;=5,3,IF(D2921&gt;=2,2,1))))</f>
        <v/>
      </c>
      <c r="H2921" s="124">
        <f>IF(E2921&gt;=5000,5,IF(E2921&gt;=2000,4,IF(E2921&gt;=800,3,IF(E2921&gt;=300,2,1))))</f>
        <v/>
      </c>
      <c r="I2921" s="122">
        <f>TEXT(F2921,"0")&amp;TEXT(G2921,"0")&amp;TEXT(H2921,"0")</f>
        <v/>
      </c>
      <c r="J2921" s="122">
        <f>IFERROR(XLOOKUP(I2921,'Segment Map'!A:A,'Segment Map'!B:B,"Need Attention"),"Need Attention")</f>
        <v/>
      </c>
      <c r="K2921" s="122">
        <f>IF(E2921&gt;=5000,"🏆 Platinum",IF(E2921&gt;=2000,"🥇 Gold",IF(E2921&gt;=800,"🥈 Silver","🥉 Bronze")))</f>
        <v/>
      </c>
      <c r="L2921" s="125" t="n">
        <v>40872</v>
      </c>
    </row>
    <row r="2922">
      <c r="A2922" s="126" t="n">
        <v>16330</v>
      </c>
      <c r="B2922" s="126" t="inlineStr">
        <is>
          <t>United Kingdom</t>
        </is>
      </c>
      <c r="C2922" s="126" t="n">
        <v>18</v>
      </c>
      <c r="D2922" s="126" t="n">
        <v>3</v>
      </c>
      <c r="E2922" s="127" t="n">
        <v>251.91</v>
      </c>
      <c r="F2922" s="128">
        <f>IF(C2922&lt;=30,5,IF(C2922&lt;=60,4,IF(C2922&lt;=120,3,IF(C2922&lt;=200,2,1))))</f>
        <v/>
      </c>
      <c r="G2922" s="128">
        <f>IF(D2922&gt;=20,5,IF(D2922&gt;=10,4,IF(D2922&gt;=5,3,IF(D2922&gt;=2,2,1))))</f>
        <v/>
      </c>
      <c r="H2922" s="128">
        <f>IF(E2922&gt;=5000,5,IF(E2922&gt;=2000,4,IF(E2922&gt;=800,3,IF(E2922&gt;=300,2,1))))</f>
        <v/>
      </c>
      <c r="I2922" s="126">
        <f>TEXT(F2922,"0")&amp;TEXT(G2922,"0")&amp;TEXT(H2922,"0")</f>
        <v/>
      </c>
      <c r="J2922" s="126">
        <f>IFERROR(XLOOKUP(I2922,'Segment Map'!A:A,'Segment Map'!B:B,"Need Attention"),"Need Attention")</f>
        <v/>
      </c>
      <c r="K2922" s="126">
        <f>IF(E2922&gt;=5000,"🏆 Platinum",IF(E2922&gt;=2000,"🥇 Gold",IF(E2922&gt;=800,"🥈 Silver","🥉 Bronze")))</f>
        <v/>
      </c>
      <c r="L2922" s="129" t="n">
        <v>40869</v>
      </c>
    </row>
    <row r="2923">
      <c r="A2923" s="122" t="n">
        <v>16332</v>
      </c>
      <c r="B2923" s="122" t="inlineStr">
        <is>
          <t>United Kingdom</t>
        </is>
      </c>
      <c r="C2923" s="122" t="n">
        <v>29</v>
      </c>
      <c r="D2923" s="122" t="n">
        <v>7</v>
      </c>
      <c r="E2923" s="123" t="n">
        <v>1593.2</v>
      </c>
      <c r="F2923" s="124">
        <f>IF(C2923&lt;=30,5,IF(C2923&lt;=60,4,IF(C2923&lt;=120,3,IF(C2923&lt;=200,2,1))))</f>
        <v/>
      </c>
      <c r="G2923" s="124">
        <f>IF(D2923&gt;=20,5,IF(D2923&gt;=10,4,IF(D2923&gt;=5,3,IF(D2923&gt;=2,2,1))))</f>
        <v/>
      </c>
      <c r="H2923" s="124">
        <f>IF(E2923&gt;=5000,5,IF(E2923&gt;=2000,4,IF(E2923&gt;=800,3,IF(E2923&gt;=300,2,1))))</f>
        <v/>
      </c>
      <c r="I2923" s="122">
        <f>TEXT(F2923,"0")&amp;TEXT(G2923,"0")&amp;TEXT(H2923,"0")</f>
        <v/>
      </c>
      <c r="J2923" s="122">
        <f>IFERROR(XLOOKUP(I2923,'Segment Map'!A:A,'Segment Map'!B:B,"Need Attention"),"Need Attention")</f>
        <v/>
      </c>
      <c r="K2923" s="122">
        <f>IF(E2923&gt;=5000,"🏆 Platinum",IF(E2923&gt;=2000,"🥇 Gold",IF(E2923&gt;=800,"🥈 Silver","🥉 Bronze")))</f>
        <v/>
      </c>
      <c r="L2923" s="125" t="n">
        <v>40858</v>
      </c>
    </row>
    <row r="2924">
      <c r="A2924" s="126" t="n">
        <v>16333</v>
      </c>
      <c r="B2924" s="126" t="inlineStr">
        <is>
          <t>United Kingdom</t>
        </is>
      </c>
      <c r="C2924" s="126" t="n">
        <v>8</v>
      </c>
      <c r="D2924" s="126" t="n">
        <v>22</v>
      </c>
      <c r="E2924" s="127" t="n">
        <v>26626.8</v>
      </c>
      <c r="F2924" s="128">
        <f>IF(C2924&lt;=30,5,IF(C2924&lt;=60,4,IF(C2924&lt;=120,3,IF(C2924&lt;=200,2,1))))</f>
        <v/>
      </c>
      <c r="G2924" s="128">
        <f>IF(D2924&gt;=20,5,IF(D2924&gt;=10,4,IF(D2924&gt;=5,3,IF(D2924&gt;=2,2,1))))</f>
        <v/>
      </c>
      <c r="H2924" s="128">
        <f>IF(E2924&gt;=5000,5,IF(E2924&gt;=2000,4,IF(E2924&gt;=800,3,IF(E2924&gt;=300,2,1))))</f>
        <v/>
      </c>
      <c r="I2924" s="126">
        <f>TEXT(F2924,"0")&amp;TEXT(G2924,"0")&amp;TEXT(H2924,"0")</f>
        <v/>
      </c>
      <c r="J2924" s="126">
        <f>IFERROR(XLOOKUP(I2924,'Segment Map'!A:A,'Segment Map'!B:B,"Need Attention"),"Need Attention")</f>
        <v/>
      </c>
      <c r="K2924" s="126">
        <f>IF(E2924&gt;=5000,"🏆 Platinum",IF(E2924&gt;=2000,"🥇 Gold",IF(E2924&gt;=800,"🥈 Silver","🥉 Bronze")))</f>
        <v/>
      </c>
      <c r="L2924" s="129" t="n">
        <v>40879</v>
      </c>
    </row>
    <row r="2925">
      <c r="A2925" s="122" t="n">
        <v>16337</v>
      </c>
      <c r="B2925" s="122" t="inlineStr">
        <is>
          <t>United Kingdom</t>
        </is>
      </c>
      <c r="C2925" s="122" t="n">
        <v>37</v>
      </c>
      <c r="D2925" s="122" t="n">
        <v>1</v>
      </c>
      <c r="E2925" s="123" t="n">
        <v>151.05</v>
      </c>
      <c r="F2925" s="124">
        <f>IF(C2925&lt;=30,5,IF(C2925&lt;=60,4,IF(C2925&lt;=120,3,IF(C2925&lt;=200,2,1))))</f>
        <v/>
      </c>
      <c r="G2925" s="124">
        <f>IF(D2925&gt;=20,5,IF(D2925&gt;=10,4,IF(D2925&gt;=5,3,IF(D2925&gt;=2,2,1))))</f>
        <v/>
      </c>
      <c r="H2925" s="124">
        <f>IF(E2925&gt;=5000,5,IF(E2925&gt;=2000,4,IF(E2925&gt;=800,3,IF(E2925&gt;=300,2,1))))</f>
        <v/>
      </c>
      <c r="I2925" s="122">
        <f>TEXT(F2925,"0")&amp;TEXT(G2925,"0")&amp;TEXT(H2925,"0")</f>
        <v/>
      </c>
      <c r="J2925" s="122">
        <f>IFERROR(XLOOKUP(I2925,'Segment Map'!A:A,'Segment Map'!B:B,"Need Attention"),"Need Attention")</f>
        <v/>
      </c>
      <c r="K2925" s="122">
        <f>IF(E2925&gt;=5000,"🏆 Platinum",IF(E2925&gt;=2000,"🥇 Gold",IF(E2925&gt;=800,"🥈 Silver","🥉 Bronze")))</f>
        <v/>
      </c>
      <c r="L2925" s="125" t="n">
        <v>40850</v>
      </c>
    </row>
    <row r="2926">
      <c r="A2926" s="126" t="n">
        <v>16338</v>
      </c>
      <c r="B2926" s="126" t="inlineStr">
        <is>
          <t>United Kingdom</t>
        </is>
      </c>
      <c r="C2926" s="126" t="n">
        <v>158</v>
      </c>
      <c r="D2926" s="126" t="n">
        <v>1</v>
      </c>
      <c r="E2926" s="127" t="n">
        <v>214.8</v>
      </c>
      <c r="F2926" s="128">
        <f>IF(C2926&lt;=30,5,IF(C2926&lt;=60,4,IF(C2926&lt;=120,3,IF(C2926&lt;=200,2,1))))</f>
        <v/>
      </c>
      <c r="G2926" s="128">
        <f>IF(D2926&gt;=20,5,IF(D2926&gt;=10,4,IF(D2926&gt;=5,3,IF(D2926&gt;=2,2,1))))</f>
        <v/>
      </c>
      <c r="H2926" s="128">
        <f>IF(E2926&gt;=5000,5,IF(E2926&gt;=2000,4,IF(E2926&gt;=800,3,IF(E2926&gt;=300,2,1))))</f>
        <v/>
      </c>
      <c r="I2926" s="126">
        <f>TEXT(F2926,"0")&amp;TEXT(G2926,"0")&amp;TEXT(H2926,"0")</f>
        <v/>
      </c>
      <c r="J2926" s="126">
        <f>IFERROR(XLOOKUP(I2926,'Segment Map'!A:A,'Segment Map'!B:B,"Need Attention"),"Need Attention")</f>
        <v/>
      </c>
      <c r="K2926" s="126">
        <f>IF(E2926&gt;=5000,"🏆 Platinum",IF(E2926&gt;=2000,"🥇 Gold",IF(E2926&gt;=800,"🥈 Silver","🥉 Bronze")))</f>
        <v/>
      </c>
      <c r="L2926" s="129" t="n">
        <v>40729</v>
      </c>
    </row>
    <row r="2927">
      <c r="A2927" s="122" t="n">
        <v>16339</v>
      </c>
      <c r="B2927" s="122" t="inlineStr">
        <is>
          <t>United Kingdom</t>
        </is>
      </c>
      <c r="C2927" s="122" t="n">
        <v>285</v>
      </c>
      <c r="D2927" s="122" t="n">
        <v>1</v>
      </c>
      <c r="E2927" s="123" t="n">
        <v>109.95</v>
      </c>
      <c r="F2927" s="124">
        <f>IF(C2927&lt;=30,5,IF(C2927&lt;=60,4,IF(C2927&lt;=120,3,IF(C2927&lt;=200,2,1))))</f>
        <v/>
      </c>
      <c r="G2927" s="124">
        <f>IF(D2927&gt;=20,5,IF(D2927&gt;=10,4,IF(D2927&gt;=5,3,IF(D2927&gt;=2,2,1))))</f>
        <v/>
      </c>
      <c r="H2927" s="124">
        <f>IF(E2927&gt;=5000,5,IF(E2927&gt;=2000,4,IF(E2927&gt;=800,3,IF(E2927&gt;=300,2,1))))</f>
        <v/>
      </c>
      <c r="I2927" s="122">
        <f>TEXT(F2927,"0")&amp;TEXT(G2927,"0")&amp;TEXT(H2927,"0")</f>
        <v/>
      </c>
      <c r="J2927" s="122">
        <f>IFERROR(XLOOKUP(I2927,'Segment Map'!A:A,'Segment Map'!B:B,"Need Attention"),"Need Attention")</f>
        <v/>
      </c>
      <c r="K2927" s="122">
        <f>IF(E2927&gt;=5000,"🏆 Platinum",IF(E2927&gt;=2000,"🥇 Gold",IF(E2927&gt;=800,"🥈 Silver","🥉 Bronze")))</f>
        <v/>
      </c>
      <c r="L2927" s="125" t="n">
        <v>40602</v>
      </c>
    </row>
    <row r="2928">
      <c r="A2928" s="126" t="n">
        <v>16340</v>
      </c>
      <c r="B2928" s="126" t="inlineStr">
        <is>
          <t>United Kingdom</t>
        </is>
      </c>
      <c r="C2928" s="126" t="n">
        <v>108</v>
      </c>
      <c r="D2928" s="126" t="n">
        <v>1</v>
      </c>
      <c r="E2928" s="127" t="n">
        <v>549.0700000000001</v>
      </c>
      <c r="F2928" s="128">
        <f>IF(C2928&lt;=30,5,IF(C2928&lt;=60,4,IF(C2928&lt;=120,3,IF(C2928&lt;=200,2,1))))</f>
        <v/>
      </c>
      <c r="G2928" s="128">
        <f>IF(D2928&gt;=20,5,IF(D2928&gt;=10,4,IF(D2928&gt;=5,3,IF(D2928&gt;=2,2,1))))</f>
        <v/>
      </c>
      <c r="H2928" s="128">
        <f>IF(E2928&gt;=5000,5,IF(E2928&gt;=2000,4,IF(E2928&gt;=800,3,IF(E2928&gt;=300,2,1))))</f>
        <v/>
      </c>
      <c r="I2928" s="126">
        <f>TEXT(F2928,"0")&amp;TEXT(G2928,"0")&amp;TEXT(H2928,"0")</f>
        <v/>
      </c>
      <c r="J2928" s="126">
        <f>IFERROR(XLOOKUP(I2928,'Segment Map'!A:A,'Segment Map'!B:B,"Need Attention"),"Need Attention")</f>
        <v/>
      </c>
      <c r="K2928" s="126">
        <f>IF(E2928&gt;=5000,"🏆 Platinum",IF(E2928&gt;=2000,"🥇 Gold",IF(E2928&gt;=800,"🥈 Silver","🥉 Bronze")))</f>
        <v/>
      </c>
      <c r="L2928" s="129" t="n">
        <v>40779</v>
      </c>
    </row>
    <row r="2929">
      <c r="A2929" s="122" t="n">
        <v>16341</v>
      </c>
      <c r="B2929" s="122" t="inlineStr">
        <is>
          <t>United Kingdom</t>
        </is>
      </c>
      <c r="C2929" s="122" t="n">
        <v>25</v>
      </c>
      <c r="D2929" s="122" t="n">
        <v>4</v>
      </c>
      <c r="E2929" s="123" t="n">
        <v>1971.87</v>
      </c>
      <c r="F2929" s="124">
        <f>IF(C2929&lt;=30,5,IF(C2929&lt;=60,4,IF(C2929&lt;=120,3,IF(C2929&lt;=200,2,1))))</f>
        <v/>
      </c>
      <c r="G2929" s="124">
        <f>IF(D2929&gt;=20,5,IF(D2929&gt;=10,4,IF(D2929&gt;=5,3,IF(D2929&gt;=2,2,1))))</f>
        <v/>
      </c>
      <c r="H2929" s="124">
        <f>IF(E2929&gt;=5000,5,IF(E2929&gt;=2000,4,IF(E2929&gt;=800,3,IF(E2929&gt;=300,2,1))))</f>
        <v/>
      </c>
      <c r="I2929" s="122">
        <f>TEXT(F2929,"0")&amp;TEXT(G2929,"0")&amp;TEXT(H2929,"0")</f>
        <v/>
      </c>
      <c r="J2929" s="122">
        <f>IFERROR(XLOOKUP(I2929,'Segment Map'!A:A,'Segment Map'!B:B,"Need Attention"),"Need Attention")</f>
        <v/>
      </c>
      <c r="K2929" s="122">
        <f>IF(E2929&gt;=5000,"🏆 Platinum",IF(E2929&gt;=2000,"🥇 Gold",IF(E2929&gt;=800,"🥈 Silver","🥉 Bronze")))</f>
        <v/>
      </c>
      <c r="L2929" s="125" t="n">
        <v>40862</v>
      </c>
    </row>
    <row r="2930">
      <c r="A2930" s="126" t="n">
        <v>16342</v>
      </c>
      <c r="B2930" s="126" t="inlineStr">
        <is>
          <t>United Kingdom</t>
        </is>
      </c>
      <c r="C2930" s="126" t="n">
        <v>76</v>
      </c>
      <c r="D2930" s="126" t="n">
        <v>4</v>
      </c>
      <c r="E2930" s="127" t="n">
        <v>322.41</v>
      </c>
      <c r="F2930" s="128">
        <f>IF(C2930&lt;=30,5,IF(C2930&lt;=60,4,IF(C2930&lt;=120,3,IF(C2930&lt;=200,2,1))))</f>
        <v/>
      </c>
      <c r="G2930" s="128">
        <f>IF(D2930&gt;=20,5,IF(D2930&gt;=10,4,IF(D2930&gt;=5,3,IF(D2930&gt;=2,2,1))))</f>
        <v/>
      </c>
      <c r="H2930" s="128">
        <f>IF(E2930&gt;=5000,5,IF(E2930&gt;=2000,4,IF(E2930&gt;=800,3,IF(E2930&gt;=300,2,1))))</f>
        <v/>
      </c>
      <c r="I2930" s="126">
        <f>TEXT(F2930,"0")&amp;TEXT(G2930,"0")&amp;TEXT(H2930,"0")</f>
        <v/>
      </c>
      <c r="J2930" s="126">
        <f>IFERROR(XLOOKUP(I2930,'Segment Map'!A:A,'Segment Map'!B:B,"Need Attention"),"Need Attention")</f>
        <v/>
      </c>
      <c r="K2930" s="126">
        <f>IF(E2930&gt;=5000,"🏆 Platinum",IF(E2930&gt;=2000,"🥇 Gold",IF(E2930&gt;=800,"🥈 Silver","🥉 Bronze")))</f>
        <v/>
      </c>
      <c r="L2930" s="129" t="n">
        <v>40811</v>
      </c>
    </row>
    <row r="2931">
      <c r="A2931" s="122" t="n">
        <v>16343</v>
      </c>
      <c r="B2931" s="122" t="inlineStr">
        <is>
          <t>United Kingdom</t>
        </is>
      </c>
      <c r="C2931" s="122" t="n">
        <v>17</v>
      </c>
      <c r="D2931" s="122" t="n">
        <v>2</v>
      </c>
      <c r="E2931" s="123" t="n">
        <v>370.48</v>
      </c>
      <c r="F2931" s="124">
        <f>IF(C2931&lt;=30,5,IF(C2931&lt;=60,4,IF(C2931&lt;=120,3,IF(C2931&lt;=200,2,1))))</f>
        <v/>
      </c>
      <c r="G2931" s="124">
        <f>IF(D2931&gt;=20,5,IF(D2931&gt;=10,4,IF(D2931&gt;=5,3,IF(D2931&gt;=2,2,1))))</f>
        <v/>
      </c>
      <c r="H2931" s="124">
        <f>IF(E2931&gt;=5000,5,IF(E2931&gt;=2000,4,IF(E2931&gt;=800,3,IF(E2931&gt;=300,2,1))))</f>
        <v/>
      </c>
      <c r="I2931" s="122">
        <f>TEXT(F2931,"0")&amp;TEXT(G2931,"0")&amp;TEXT(H2931,"0")</f>
        <v/>
      </c>
      <c r="J2931" s="122">
        <f>IFERROR(XLOOKUP(I2931,'Segment Map'!A:A,'Segment Map'!B:B,"Need Attention"),"Need Attention")</f>
        <v/>
      </c>
      <c r="K2931" s="122">
        <f>IF(E2931&gt;=5000,"🏆 Platinum",IF(E2931&gt;=2000,"🥇 Gold",IF(E2931&gt;=800,"🥈 Silver","🥉 Bronze")))</f>
        <v/>
      </c>
      <c r="L2931" s="125" t="n">
        <v>40870</v>
      </c>
    </row>
    <row r="2932">
      <c r="A2932" s="126" t="n">
        <v>16344</v>
      </c>
      <c r="B2932" s="126" t="inlineStr">
        <is>
          <t>United Kingdom</t>
        </is>
      </c>
      <c r="C2932" s="126" t="n">
        <v>159</v>
      </c>
      <c r="D2932" s="126" t="n">
        <v>1</v>
      </c>
      <c r="E2932" s="127" t="n">
        <v>101.1</v>
      </c>
      <c r="F2932" s="128">
        <f>IF(C2932&lt;=30,5,IF(C2932&lt;=60,4,IF(C2932&lt;=120,3,IF(C2932&lt;=200,2,1))))</f>
        <v/>
      </c>
      <c r="G2932" s="128">
        <f>IF(D2932&gt;=20,5,IF(D2932&gt;=10,4,IF(D2932&gt;=5,3,IF(D2932&gt;=2,2,1))))</f>
        <v/>
      </c>
      <c r="H2932" s="128">
        <f>IF(E2932&gt;=5000,5,IF(E2932&gt;=2000,4,IF(E2932&gt;=800,3,IF(E2932&gt;=300,2,1))))</f>
        <v/>
      </c>
      <c r="I2932" s="126">
        <f>TEXT(F2932,"0")&amp;TEXT(G2932,"0")&amp;TEXT(H2932,"0")</f>
        <v/>
      </c>
      <c r="J2932" s="126">
        <f>IFERROR(XLOOKUP(I2932,'Segment Map'!A:A,'Segment Map'!B:B,"Need Attention"),"Need Attention")</f>
        <v/>
      </c>
      <c r="K2932" s="126">
        <f>IF(E2932&gt;=5000,"🏆 Platinum",IF(E2932&gt;=2000,"🥇 Gold",IF(E2932&gt;=800,"🥈 Silver","🥉 Bronze")))</f>
        <v/>
      </c>
      <c r="L2932" s="129" t="n">
        <v>40728</v>
      </c>
    </row>
    <row r="2933">
      <c r="A2933" s="122" t="n">
        <v>16345</v>
      </c>
      <c r="B2933" s="122" t="inlineStr">
        <is>
          <t>United Kingdom</t>
        </is>
      </c>
      <c r="C2933" s="122" t="n">
        <v>45</v>
      </c>
      <c r="D2933" s="122" t="n">
        <v>1</v>
      </c>
      <c r="E2933" s="123" t="n">
        <v>575.41</v>
      </c>
      <c r="F2933" s="124">
        <f>IF(C2933&lt;=30,5,IF(C2933&lt;=60,4,IF(C2933&lt;=120,3,IF(C2933&lt;=200,2,1))))</f>
        <v/>
      </c>
      <c r="G2933" s="124">
        <f>IF(D2933&gt;=20,5,IF(D2933&gt;=10,4,IF(D2933&gt;=5,3,IF(D2933&gt;=2,2,1))))</f>
        <v/>
      </c>
      <c r="H2933" s="124">
        <f>IF(E2933&gt;=5000,5,IF(E2933&gt;=2000,4,IF(E2933&gt;=800,3,IF(E2933&gt;=300,2,1))))</f>
        <v/>
      </c>
      <c r="I2933" s="122">
        <f>TEXT(F2933,"0")&amp;TEXT(G2933,"0")&amp;TEXT(H2933,"0")</f>
        <v/>
      </c>
      <c r="J2933" s="122">
        <f>IFERROR(XLOOKUP(I2933,'Segment Map'!A:A,'Segment Map'!B:B,"Need Attention"),"Need Attention")</f>
        <v/>
      </c>
      <c r="K2933" s="122">
        <f>IF(E2933&gt;=5000,"🏆 Platinum",IF(E2933&gt;=2000,"🥇 Gold",IF(E2933&gt;=800,"🥈 Silver","🥉 Bronze")))</f>
        <v/>
      </c>
      <c r="L2933" s="125" t="n">
        <v>40842</v>
      </c>
    </row>
    <row r="2934">
      <c r="A2934" s="126" t="n">
        <v>16347</v>
      </c>
      <c r="B2934" s="126" t="inlineStr">
        <is>
          <t>United Kingdom</t>
        </is>
      </c>
      <c r="C2934" s="126" t="n">
        <v>12</v>
      </c>
      <c r="D2934" s="126" t="n">
        <v>2</v>
      </c>
      <c r="E2934" s="127" t="n">
        <v>887.65</v>
      </c>
      <c r="F2934" s="128">
        <f>IF(C2934&lt;=30,5,IF(C2934&lt;=60,4,IF(C2934&lt;=120,3,IF(C2934&lt;=200,2,1))))</f>
        <v/>
      </c>
      <c r="G2934" s="128">
        <f>IF(D2934&gt;=20,5,IF(D2934&gt;=10,4,IF(D2934&gt;=5,3,IF(D2934&gt;=2,2,1))))</f>
        <v/>
      </c>
      <c r="H2934" s="128">
        <f>IF(E2934&gt;=5000,5,IF(E2934&gt;=2000,4,IF(E2934&gt;=800,3,IF(E2934&gt;=300,2,1))))</f>
        <v/>
      </c>
      <c r="I2934" s="126">
        <f>TEXT(F2934,"0")&amp;TEXT(G2934,"0")&amp;TEXT(H2934,"0")</f>
        <v/>
      </c>
      <c r="J2934" s="126">
        <f>IFERROR(XLOOKUP(I2934,'Segment Map'!A:A,'Segment Map'!B:B,"Need Attention"),"Need Attention")</f>
        <v/>
      </c>
      <c r="K2934" s="126">
        <f>IF(E2934&gt;=5000,"🏆 Platinum",IF(E2934&gt;=2000,"🥇 Gold",IF(E2934&gt;=800,"🥈 Silver","🥉 Bronze")))</f>
        <v/>
      </c>
      <c r="L2934" s="129" t="n">
        <v>40875</v>
      </c>
    </row>
    <row r="2935">
      <c r="A2935" s="122" t="n">
        <v>16348</v>
      </c>
      <c r="B2935" s="122" t="inlineStr">
        <is>
          <t>United Kingdom</t>
        </is>
      </c>
      <c r="C2935" s="122" t="n">
        <v>33</v>
      </c>
      <c r="D2935" s="122" t="n">
        <v>7</v>
      </c>
      <c r="E2935" s="123" t="n">
        <v>1469.45</v>
      </c>
      <c r="F2935" s="124">
        <f>IF(C2935&lt;=30,5,IF(C2935&lt;=60,4,IF(C2935&lt;=120,3,IF(C2935&lt;=200,2,1))))</f>
        <v/>
      </c>
      <c r="G2935" s="124">
        <f>IF(D2935&gt;=20,5,IF(D2935&gt;=10,4,IF(D2935&gt;=5,3,IF(D2935&gt;=2,2,1))))</f>
        <v/>
      </c>
      <c r="H2935" s="124">
        <f>IF(E2935&gt;=5000,5,IF(E2935&gt;=2000,4,IF(E2935&gt;=800,3,IF(E2935&gt;=300,2,1))))</f>
        <v/>
      </c>
      <c r="I2935" s="122">
        <f>TEXT(F2935,"0")&amp;TEXT(G2935,"0")&amp;TEXT(H2935,"0")</f>
        <v/>
      </c>
      <c r="J2935" s="122">
        <f>IFERROR(XLOOKUP(I2935,'Segment Map'!A:A,'Segment Map'!B:B,"Need Attention"),"Need Attention")</f>
        <v/>
      </c>
      <c r="K2935" s="122">
        <f>IF(E2935&gt;=5000,"🏆 Platinum",IF(E2935&gt;=2000,"🥇 Gold",IF(E2935&gt;=800,"🥈 Silver","🥉 Bronze")))</f>
        <v/>
      </c>
      <c r="L2935" s="125" t="n">
        <v>40854</v>
      </c>
    </row>
    <row r="2936">
      <c r="A2936" s="126" t="n">
        <v>16349</v>
      </c>
      <c r="B2936" s="126" t="inlineStr">
        <is>
          <t>United Kingdom</t>
        </is>
      </c>
      <c r="C2936" s="126" t="n">
        <v>291</v>
      </c>
      <c r="D2936" s="126" t="n">
        <v>1</v>
      </c>
      <c r="E2936" s="127" t="n">
        <v>53.5</v>
      </c>
      <c r="F2936" s="128">
        <f>IF(C2936&lt;=30,5,IF(C2936&lt;=60,4,IF(C2936&lt;=120,3,IF(C2936&lt;=200,2,1))))</f>
        <v/>
      </c>
      <c r="G2936" s="128">
        <f>IF(D2936&gt;=20,5,IF(D2936&gt;=10,4,IF(D2936&gt;=5,3,IF(D2936&gt;=2,2,1))))</f>
        <v/>
      </c>
      <c r="H2936" s="128">
        <f>IF(E2936&gt;=5000,5,IF(E2936&gt;=2000,4,IF(E2936&gt;=800,3,IF(E2936&gt;=300,2,1))))</f>
        <v/>
      </c>
      <c r="I2936" s="126">
        <f>TEXT(F2936,"0")&amp;TEXT(G2936,"0")&amp;TEXT(H2936,"0")</f>
        <v/>
      </c>
      <c r="J2936" s="126">
        <f>IFERROR(XLOOKUP(I2936,'Segment Map'!A:A,'Segment Map'!B:B,"Need Attention"),"Need Attention")</f>
        <v/>
      </c>
      <c r="K2936" s="126">
        <f>IF(E2936&gt;=5000,"🏆 Platinum",IF(E2936&gt;=2000,"🥇 Gold",IF(E2936&gt;=800,"🥈 Silver","🥉 Bronze")))</f>
        <v/>
      </c>
      <c r="L2936" s="129" t="n">
        <v>40596</v>
      </c>
    </row>
    <row r="2937">
      <c r="A2937" s="122" t="n">
        <v>16350</v>
      </c>
      <c r="B2937" s="122" t="inlineStr">
        <is>
          <t>United Kingdom</t>
        </is>
      </c>
      <c r="C2937" s="122" t="n">
        <v>22</v>
      </c>
      <c r="D2937" s="122" t="n">
        <v>4</v>
      </c>
      <c r="E2937" s="123" t="n">
        <v>1116.47</v>
      </c>
      <c r="F2937" s="124">
        <f>IF(C2937&lt;=30,5,IF(C2937&lt;=60,4,IF(C2937&lt;=120,3,IF(C2937&lt;=200,2,1))))</f>
        <v/>
      </c>
      <c r="G2937" s="124">
        <f>IF(D2937&gt;=20,5,IF(D2937&gt;=10,4,IF(D2937&gt;=5,3,IF(D2937&gt;=2,2,1))))</f>
        <v/>
      </c>
      <c r="H2937" s="124">
        <f>IF(E2937&gt;=5000,5,IF(E2937&gt;=2000,4,IF(E2937&gt;=800,3,IF(E2937&gt;=300,2,1))))</f>
        <v/>
      </c>
      <c r="I2937" s="122">
        <f>TEXT(F2937,"0")&amp;TEXT(G2937,"0")&amp;TEXT(H2937,"0")</f>
        <v/>
      </c>
      <c r="J2937" s="122">
        <f>IFERROR(XLOOKUP(I2937,'Segment Map'!A:A,'Segment Map'!B:B,"Need Attention"),"Need Attention")</f>
        <v/>
      </c>
      <c r="K2937" s="122">
        <f>IF(E2937&gt;=5000,"🏆 Platinum",IF(E2937&gt;=2000,"🥇 Gold",IF(E2937&gt;=800,"🥈 Silver","🥉 Bronze")))</f>
        <v/>
      </c>
      <c r="L2937" s="125" t="n">
        <v>40865</v>
      </c>
    </row>
    <row r="2938">
      <c r="A2938" s="126" t="n">
        <v>16351</v>
      </c>
      <c r="B2938" s="126" t="inlineStr">
        <is>
          <t>United Kingdom</t>
        </is>
      </c>
      <c r="C2938" s="126" t="n">
        <v>333</v>
      </c>
      <c r="D2938" s="126" t="n">
        <v>1</v>
      </c>
      <c r="E2938" s="127" t="n">
        <v>153.9</v>
      </c>
      <c r="F2938" s="128">
        <f>IF(C2938&lt;=30,5,IF(C2938&lt;=60,4,IF(C2938&lt;=120,3,IF(C2938&lt;=200,2,1))))</f>
        <v/>
      </c>
      <c r="G2938" s="128">
        <f>IF(D2938&gt;=20,5,IF(D2938&gt;=10,4,IF(D2938&gt;=5,3,IF(D2938&gt;=2,2,1))))</f>
        <v/>
      </c>
      <c r="H2938" s="128">
        <f>IF(E2938&gt;=5000,5,IF(E2938&gt;=2000,4,IF(E2938&gt;=800,3,IF(E2938&gt;=300,2,1))))</f>
        <v/>
      </c>
      <c r="I2938" s="126">
        <f>TEXT(F2938,"0")&amp;TEXT(G2938,"0")&amp;TEXT(H2938,"0")</f>
        <v/>
      </c>
      <c r="J2938" s="126">
        <f>IFERROR(XLOOKUP(I2938,'Segment Map'!A:A,'Segment Map'!B:B,"Need Attention"),"Need Attention")</f>
        <v/>
      </c>
      <c r="K2938" s="126">
        <f>IF(E2938&gt;=5000,"🏆 Platinum",IF(E2938&gt;=2000,"🥇 Gold",IF(E2938&gt;=800,"🥈 Silver","🥉 Bronze")))</f>
        <v/>
      </c>
      <c r="L2938" s="129" t="n">
        <v>40554</v>
      </c>
    </row>
    <row r="2939">
      <c r="A2939" s="122" t="n">
        <v>16352</v>
      </c>
      <c r="B2939" s="122" t="inlineStr">
        <is>
          <t>United Kingdom</t>
        </is>
      </c>
      <c r="C2939" s="122" t="n">
        <v>18</v>
      </c>
      <c r="D2939" s="122" t="n">
        <v>2</v>
      </c>
      <c r="E2939" s="123" t="n">
        <v>494.44</v>
      </c>
      <c r="F2939" s="124">
        <f>IF(C2939&lt;=30,5,IF(C2939&lt;=60,4,IF(C2939&lt;=120,3,IF(C2939&lt;=200,2,1))))</f>
        <v/>
      </c>
      <c r="G2939" s="124">
        <f>IF(D2939&gt;=20,5,IF(D2939&gt;=10,4,IF(D2939&gt;=5,3,IF(D2939&gt;=2,2,1))))</f>
        <v/>
      </c>
      <c r="H2939" s="124">
        <f>IF(E2939&gt;=5000,5,IF(E2939&gt;=2000,4,IF(E2939&gt;=800,3,IF(E2939&gt;=300,2,1))))</f>
        <v/>
      </c>
      <c r="I2939" s="122">
        <f>TEXT(F2939,"0")&amp;TEXT(G2939,"0")&amp;TEXT(H2939,"0")</f>
        <v/>
      </c>
      <c r="J2939" s="122">
        <f>IFERROR(XLOOKUP(I2939,'Segment Map'!A:A,'Segment Map'!B:B,"Need Attention"),"Need Attention")</f>
        <v/>
      </c>
      <c r="K2939" s="122">
        <f>IF(E2939&gt;=5000,"🏆 Platinum",IF(E2939&gt;=2000,"🥇 Gold",IF(E2939&gt;=800,"🥈 Silver","🥉 Bronze")))</f>
        <v/>
      </c>
      <c r="L2939" s="125" t="n">
        <v>40869</v>
      </c>
    </row>
    <row r="2940">
      <c r="A2940" s="126" t="n">
        <v>16353</v>
      </c>
      <c r="B2940" s="126" t="inlineStr">
        <is>
          <t>United Kingdom</t>
        </is>
      </c>
      <c r="C2940" s="126" t="n">
        <v>4</v>
      </c>
      <c r="D2940" s="126" t="n">
        <v>23</v>
      </c>
      <c r="E2940" s="127" t="n">
        <v>6675.71</v>
      </c>
      <c r="F2940" s="128">
        <f>IF(C2940&lt;=30,5,IF(C2940&lt;=60,4,IF(C2940&lt;=120,3,IF(C2940&lt;=200,2,1))))</f>
        <v/>
      </c>
      <c r="G2940" s="128">
        <f>IF(D2940&gt;=20,5,IF(D2940&gt;=10,4,IF(D2940&gt;=5,3,IF(D2940&gt;=2,2,1))))</f>
        <v/>
      </c>
      <c r="H2940" s="128">
        <f>IF(E2940&gt;=5000,5,IF(E2940&gt;=2000,4,IF(E2940&gt;=800,3,IF(E2940&gt;=300,2,1))))</f>
        <v/>
      </c>
      <c r="I2940" s="126">
        <f>TEXT(F2940,"0")&amp;TEXT(G2940,"0")&amp;TEXT(H2940,"0")</f>
        <v/>
      </c>
      <c r="J2940" s="126">
        <f>IFERROR(XLOOKUP(I2940,'Segment Map'!A:A,'Segment Map'!B:B,"Need Attention"),"Need Attention")</f>
        <v/>
      </c>
      <c r="K2940" s="126">
        <f>IF(E2940&gt;=5000,"🏆 Platinum",IF(E2940&gt;=2000,"🥇 Gold",IF(E2940&gt;=800,"🥈 Silver","🥉 Bronze")))</f>
        <v/>
      </c>
      <c r="L2940" s="129" t="n">
        <v>40883</v>
      </c>
    </row>
    <row r="2941">
      <c r="A2941" s="122" t="n">
        <v>16354</v>
      </c>
      <c r="B2941" s="122" t="inlineStr">
        <is>
          <t>United Kingdom</t>
        </is>
      </c>
      <c r="C2941" s="122" t="n">
        <v>64</v>
      </c>
      <c r="D2941" s="122" t="n">
        <v>2</v>
      </c>
      <c r="E2941" s="123" t="n">
        <v>395.8</v>
      </c>
      <c r="F2941" s="124">
        <f>IF(C2941&lt;=30,5,IF(C2941&lt;=60,4,IF(C2941&lt;=120,3,IF(C2941&lt;=200,2,1))))</f>
        <v/>
      </c>
      <c r="G2941" s="124">
        <f>IF(D2941&gt;=20,5,IF(D2941&gt;=10,4,IF(D2941&gt;=5,3,IF(D2941&gt;=2,2,1))))</f>
        <v/>
      </c>
      <c r="H2941" s="124">
        <f>IF(E2941&gt;=5000,5,IF(E2941&gt;=2000,4,IF(E2941&gt;=800,3,IF(E2941&gt;=300,2,1))))</f>
        <v/>
      </c>
      <c r="I2941" s="122">
        <f>TEXT(F2941,"0")&amp;TEXT(G2941,"0")&amp;TEXT(H2941,"0")</f>
        <v/>
      </c>
      <c r="J2941" s="122">
        <f>IFERROR(XLOOKUP(I2941,'Segment Map'!A:A,'Segment Map'!B:B,"Need Attention"),"Need Attention")</f>
        <v/>
      </c>
      <c r="K2941" s="122">
        <f>IF(E2941&gt;=5000,"🏆 Platinum",IF(E2941&gt;=2000,"🥇 Gold",IF(E2941&gt;=800,"🥈 Silver","🥉 Bronze")))</f>
        <v/>
      </c>
      <c r="L2941" s="125" t="n">
        <v>40823</v>
      </c>
    </row>
    <row r="2942">
      <c r="A2942" s="126" t="n">
        <v>16356</v>
      </c>
      <c r="B2942" s="126" t="inlineStr">
        <is>
          <t>United Kingdom</t>
        </is>
      </c>
      <c r="C2942" s="126" t="n">
        <v>198</v>
      </c>
      <c r="D2942" s="126" t="n">
        <v>3</v>
      </c>
      <c r="E2942" s="127" t="n">
        <v>211.77</v>
      </c>
      <c r="F2942" s="128">
        <f>IF(C2942&lt;=30,5,IF(C2942&lt;=60,4,IF(C2942&lt;=120,3,IF(C2942&lt;=200,2,1))))</f>
        <v/>
      </c>
      <c r="G2942" s="128">
        <f>IF(D2942&gt;=20,5,IF(D2942&gt;=10,4,IF(D2942&gt;=5,3,IF(D2942&gt;=2,2,1))))</f>
        <v/>
      </c>
      <c r="H2942" s="128">
        <f>IF(E2942&gt;=5000,5,IF(E2942&gt;=2000,4,IF(E2942&gt;=800,3,IF(E2942&gt;=300,2,1))))</f>
        <v/>
      </c>
      <c r="I2942" s="126">
        <f>TEXT(F2942,"0")&amp;TEXT(G2942,"0")&amp;TEXT(H2942,"0")</f>
        <v/>
      </c>
      <c r="J2942" s="126">
        <f>IFERROR(XLOOKUP(I2942,'Segment Map'!A:A,'Segment Map'!B:B,"Need Attention"),"Need Attention")</f>
        <v/>
      </c>
      <c r="K2942" s="126">
        <f>IF(E2942&gt;=5000,"🏆 Platinum",IF(E2942&gt;=2000,"🥇 Gold",IF(E2942&gt;=800,"🥈 Silver","🥉 Bronze")))</f>
        <v/>
      </c>
      <c r="L2942" s="129" t="n">
        <v>40689</v>
      </c>
    </row>
    <row r="2943">
      <c r="A2943" s="122" t="n">
        <v>16357</v>
      </c>
      <c r="B2943" s="122" t="inlineStr">
        <is>
          <t>United Kingdom</t>
        </is>
      </c>
      <c r="C2943" s="122" t="n">
        <v>34</v>
      </c>
      <c r="D2943" s="122" t="n">
        <v>3</v>
      </c>
      <c r="E2943" s="123" t="n">
        <v>658.88</v>
      </c>
      <c r="F2943" s="124">
        <f>IF(C2943&lt;=30,5,IF(C2943&lt;=60,4,IF(C2943&lt;=120,3,IF(C2943&lt;=200,2,1))))</f>
        <v/>
      </c>
      <c r="G2943" s="124">
        <f>IF(D2943&gt;=20,5,IF(D2943&gt;=10,4,IF(D2943&gt;=5,3,IF(D2943&gt;=2,2,1))))</f>
        <v/>
      </c>
      <c r="H2943" s="124">
        <f>IF(E2943&gt;=5000,5,IF(E2943&gt;=2000,4,IF(E2943&gt;=800,3,IF(E2943&gt;=300,2,1))))</f>
        <v/>
      </c>
      <c r="I2943" s="122">
        <f>TEXT(F2943,"0")&amp;TEXT(G2943,"0")&amp;TEXT(H2943,"0")</f>
        <v/>
      </c>
      <c r="J2943" s="122">
        <f>IFERROR(XLOOKUP(I2943,'Segment Map'!A:A,'Segment Map'!B:B,"Need Attention"),"Need Attention")</f>
        <v/>
      </c>
      <c r="K2943" s="122">
        <f>IF(E2943&gt;=5000,"🏆 Platinum",IF(E2943&gt;=2000,"🥇 Gold",IF(E2943&gt;=800,"🥈 Silver","🥉 Bronze")))</f>
        <v/>
      </c>
      <c r="L2943" s="125" t="n">
        <v>40853</v>
      </c>
    </row>
    <row r="2944">
      <c r="A2944" s="126" t="n">
        <v>16358</v>
      </c>
      <c r="B2944" s="126" t="inlineStr">
        <is>
          <t>United Kingdom</t>
        </is>
      </c>
      <c r="C2944" s="126" t="n">
        <v>2</v>
      </c>
      <c r="D2944" s="126" t="n">
        <v>4</v>
      </c>
      <c r="E2944" s="127" t="n">
        <v>2027.5</v>
      </c>
      <c r="F2944" s="128">
        <f>IF(C2944&lt;=30,5,IF(C2944&lt;=60,4,IF(C2944&lt;=120,3,IF(C2944&lt;=200,2,1))))</f>
        <v/>
      </c>
      <c r="G2944" s="128">
        <f>IF(D2944&gt;=20,5,IF(D2944&gt;=10,4,IF(D2944&gt;=5,3,IF(D2944&gt;=2,2,1))))</f>
        <v/>
      </c>
      <c r="H2944" s="128">
        <f>IF(E2944&gt;=5000,5,IF(E2944&gt;=2000,4,IF(E2944&gt;=800,3,IF(E2944&gt;=300,2,1))))</f>
        <v/>
      </c>
      <c r="I2944" s="126">
        <f>TEXT(F2944,"0")&amp;TEXT(G2944,"0")&amp;TEXT(H2944,"0")</f>
        <v/>
      </c>
      <c r="J2944" s="126">
        <f>IFERROR(XLOOKUP(I2944,'Segment Map'!A:A,'Segment Map'!B:B,"Need Attention"),"Need Attention")</f>
        <v/>
      </c>
      <c r="K2944" s="126">
        <f>IF(E2944&gt;=5000,"🏆 Platinum",IF(E2944&gt;=2000,"🥇 Gold",IF(E2944&gt;=800,"🥈 Silver","🥉 Bronze")))</f>
        <v/>
      </c>
      <c r="L2944" s="129" t="n">
        <v>40885</v>
      </c>
    </row>
    <row r="2945">
      <c r="A2945" s="122" t="n">
        <v>16359</v>
      </c>
      <c r="B2945" s="122" t="inlineStr">
        <is>
          <t>United Kingdom</t>
        </is>
      </c>
      <c r="C2945" s="122" t="n">
        <v>8</v>
      </c>
      <c r="D2945" s="122" t="n">
        <v>9</v>
      </c>
      <c r="E2945" s="123" t="n">
        <v>1750.92</v>
      </c>
      <c r="F2945" s="124">
        <f>IF(C2945&lt;=30,5,IF(C2945&lt;=60,4,IF(C2945&lt;=120,3,IF(C2945&lt;=200,2,1))))</f>
        <v/>
      </c>
      <c r="G2945" s="124">
        <f>IF(D2945&gt;=20,5,IF(D2945&gt;=10,4,IF(D2945&gt;=5,3,IF(D2945&gt;=2,2,1))))</f>
        <v/>
      </c>
      <c r="H2945" s="124">
        <f>IF(E2945&gt;=5000,5,IF(E2945&gt;=2000,4,IF(E2945&gt;=800,3,IF(E2945&gt;=300,2,1))))</f>
        <v/>
      </c>
      <c r="I2945" s="122">
        <f>TEXT(F2945,"0")&amp;TEXT(G2945,"0")&amp;TEXT(H2945,"0")</f>
        <v/>
      </c>
      <c r="J2945" s="122">
        <f>IFERROR(XLOOKUP(I2945,'Segment Map'!A:A,'Segment Map'!B:B,"Need Attention"),"Need Attention")</f>
        <v/>
      </c>
      <c r="K2945" s="122">
        <f>IF(E2945&gt;=5000,"🏆 Platinum",IF(E2945&gt;=2000,"🥇 Gold",IF(E2945&gt;=800,"🥈 Silver","🥉 Bronze")))</f>
        <v/>
      </c>
      <c r="L2945" s="125" t="n">
        <v>40879</v>
      </c>
    </row>
    <row r="2946">
      <c r="A2946" s="126" t="n">
        <v>16360</v>
      </c>
      <c r="B2946" s="126" t="inlineStr">
        <is>
          <t>United Kingdom</t>
        </is>
      </c>
      <c r="C2946" s="126" t="n">
        <v>5</v>
      </c>
      <c r="D2946" s="126" t="n">
        <v>6</v>
      </c>
      <c r="E2946" s="127" t="n">
        <v>3512.53</v>
      </c>
      <c r="F2946" s="128">
        <f>IF(C2946&lt;=30,5,IF(C2946&lt;=60,4,IF(C2946&lt;=120,3,IF(C2946&lt;=200,2,1))))</f>
        <v/>
      </c>
      <c r="G2946" s="128">
        <f>IF(D2946&gt;=20,5,IF(D2946&gt;=10,4,IF(D2946&gt;=5,3,IF(D2946&gt;=2,2,1))))</f>
        <v/>
      </c>
      <c r="H2946" s="128">
        <f>IF(E2946&gt;=5000,5,IF(E2946&gt;=2000,4,IF(E2946&gt;=800,3,IF(E2946&gt;=300,2,1))))</f>
        <v/>
      </c>
      <c r="I2946" s="126">
        <f>TEXT(F2946,"0")&amp;TEXT(G2946,"0")&amp;TEXT(H2946,"0")</f>
        <v/>
      </c>
      <c r="J2946" s="126">
        <f>IFERROR(XLOOKUP(I2946,'Segment Map'!A:A,'Segment Map'!B:B,"Need Attention"),"Need Attention")</f>
        <v/>
      </c>
      <c r="K2946" s="126">
        <f>IF(E2946&gt;=5000,"🏆 Platinum",IF(E2946&gt;=2000,"🥇 Gold",IF(E2946&gt;=800,"🥈 Silver","🥉 Bronze")))</f>
        <v/>
      </c>
      <c r="L2946" s="129" t="n">
        <v>40882</v>
      </c>
    </row>
    <row r="2947">
      <c r="A2947" s="122" t="n">
        <v>16361</v>
      </c>
      <c r="B2947" s="122" t="inlineStr">
        <is>
          <t>United Kingdom</t>
        </is>
      </c>
      <c r="C2947" s="122" t="n">
        <v>10</v>
      </c>
      <c r="D2947" s="122" t="n">
        <v>4</v>
      </c>
      <c r="E2947" s="123" t="n">
        <v>896.66</v>
      </c>
      <c r="F2947" s="124">
        <f>IF(C2947&lt;=30,5,IF(C2947&lt;=60,4,IF(C2947&lt;=120,3,IF(C2947&lt;=200,2,1))))</f>
        <v/>
      </c>
      <c r="G2947" s="124">
        <f>IF(D2947&gt;=20,5,IF(D2947&gt;=10,4,IF(D2947&gt;=5,3,IF(D2947&gt;=2,2,1))))</f>
        <v/>
      </c>
      <c r="H2947" s="124">
        <f>IF(E2947&gt;=5000,5,IF(E2947&gt;=2000,4,IF(E2947&gt;=800,3,IF(E2947&gt;=300,2,1))))</f>
        <v/>
      </c>
      <c r="I2947" s="122">
        <f>TEXT(F2947,"0")&amp;TEXT(G2947,"0")&amp;TEXT(H2947,"0")</f>
        <v/>
      </c>
      <c r="J2947" s="122">
        <f>IFERROR(XLOOKUP(I2947,'Segment Map'!A:A,'Segment Map'!B:B,"Need Attention"),"Need Attention")</f>
        <v/>
      </c>
      <c r="K2947" s="122">
        <f>IF(E2947&gt;=5000,"🏆 Platinum",IF(E2947&gt;=2000,"🥇 Gold",IF(E2947&gt;=800,"🥈 Silver","🥉 Bronze")))</f>
        <v/>
      </c>
      <c r="L2947" s="125" t="n">
        <v>40877</v>
      </c>
    </row>
    <row r="2948">
      <c r="A2948" s="126" t="n">
        <v>16362</v>
      </c>
      <c r="B2948" s="126" t="inlineStr">
        <is>
          <t>United Kingdom</t>
        </is>
      </c>
      <c r="C2948" s="126" t="n">
        <v>33</v>
      </c>
      <c r="D2948" s="126" t="n">
        <v>5</v>
      </c>
      <c r="E2948" s="127" t="n">
        <v>734.77</v>
      </c>
      <c r="F2948" s="128">
        <f>IF(C2948&lt;=30,5,IF(C2948&lt;=60,4,IF(C2948&lt;=120,3,IF(C2948&lt;=200,2,1))))</f>
        <v/>
      </c>
      <c r="G2948" s="128">
        <f>IF(D2948&gt;=20,5,IF(D2948&gt;=10,4,IF(D2948&gt;=5,3,IF(D2948&gt;=2,2,1))))</f>
        <v/>
      </c>
      <c r="H2948" s="128">
        <f>IF(E2948&gt;=5000,5,IF(E2948&gt;=2000,4,IF(E2948&gt;=800,3,IF(E2948&gt;=300,2,1))))</f>
        <v/>
      </c>
      <c r="I2948" s="126">
        <f>TEXT(F2948,"0")&amp;TEXT(G2948,"0")&amp;TEXT(H2948,"0")</f>
        <v/>
      </c>
      <c r="J2948" s="126">
        <f>IFERROR(XLOOKUP(I2948,'Segment Map'!A:A,'Segment Map'!B:B,"Need Attention"),"Need Attention")</f>
        <v/>
      </c>
      <c r="K2948" s="126">
        <f>IF(E2948&gt;=5000,"🏆 Platinum",IF(E2948&gt;=2000,"🥇 Gold",IF(E2948&gt;=800,"🥈 Silver","🥉 Bronze")))</f>
        <v/>
      </c>
      <c r="L2948" s="129" t="n">
        <v>40854</v>
      </c>
    </row>
    <row r="2949">
      <c r="A2949" s="122" t="n">
        <v>16363</v>
      </c>
      <c r="B2949" s="122" t="inlineStr">
        <is>
          <t>United Kingdom</t>
        </is>
      </c>
      <c r="C2949" s="122" t="n">
        <v>54</v>
      </c>
      <c r="D2949" s="122" t="n">
        <v>1</v>
      </c>
      <c r="E2949" s="123" t="n">
        <v>109.36</v>
      </c>
      <c r="F2949" s="124">
        <f>IF(C2949&lt;=30,5,IF(C2949&lt;=60,4,IF(C2949&lt;=120,3,IF(C2949&lt;=200,2,1))))</f>
        <v/>
      </c>
      <c r="G2949" s="124">
        <f>IF(D2949&gt;=20,5,IF(D2949&gt;=10,4,IF(D2949&gt;=5,3,IF(D2949&gt;=2,2,1))))</f>
        <v/>
      </c>
      <c r="H2949" s="124">
        <f>IF(E2949&gt;=5000,5,IF(E2949&gt;=2000,4,IF(E2949&gt;=800,3,IF(E2949&gt;=300,2,1))))</f>
        <v/>
      </c>
      <c r="I2949" s="122">
        <f>TEXT(F2949,"0")&amp;TEXT(G2949,"0")&amp;TEXT(H2949,"0")</f>
        <v/>
      </c>
      <c r="J2949" s="122">
        <f>IFERROR(XLOOKUP(I2949,'Segment Map'!A:A,'Segment Map'!B:B,"Need Attention"),"Need Attention")</f>
        <v/>
      </c>
      <c r="K2949" s="122">
        <f>IF(E2949&gt;=5000,"🏆 Platinum",IF(E2949&gt;=2000,"🥇 Gold",IF(E2949&gt;=800,"🥈 Silver","🥉 Bronze")))</f>
        <v/>
      </c>
      <c r="L2949" s="125" t="n">
        <v>40833</v>
      </c>
    </row>
    <row r="2950">
      <c r="A2950" s="126" t="n">
        <v>16364</v>
      </c>
      <c r="B2950" s="126" t="inlineStr">
        <is>
          <t>United Kingdom</t>
        </is>
      </c>
      <c r="C2950" s="126" t="n">
        <v>12</v>
      </c>
      <c r="D2950" s="126" t="n">
        <v>2</v>
      </c>
      <c r="E2950" s="127" t="n">
        <v>707.04</v>
      </c>
      <c r="F2950" s="128">
        <f>IF(C2950&lt;=30,5,IF(C2950&lt;=60,4,IF(C2950&lt;=120,3,IF(C2950&lt;=200,2,1))))</f>
        <v/>
      </c>
      <c r="G2950" s="128">
        <f>IF(D2950&gt;=20,5,IF(D2950&gt;=10,4,IF(D2950&gt;=5,3,IF(D2950&gt;=2,2,1))))</f>
        <v/>
      </c>
      <c r="H2950" s="128">
        <f>IF(E2950&gt;=5000,5,IF(E2950&gt;=2000,4,IF(E2950&gt;=800,3,IF(E2950&gt;=300,2,1))))</f>
        <v/>
      </c>
      <c r="I2950" s="126">
        <f>TEXT(F2950,"0")&amp;TEXT(G2950,"0")&amp;TEXT(H2950,"0")</f>
        <v/>
      </c>
      <c r="J2950" s="126">
        <f>IFERROR(XLOOKUP(I2950,'Segment Map'!A:A,'Segment Map'!B:B,"Need Attention"),"Need Attention")</f>
        <v/>
      </c>
      <c r="K2950" s="126">
        <f>IF(E2950&gt;=5000,"🏆 Platinum",IF(E2950&gt;=2000,"🥇 Gold",IF(E2950&gt;=800,"🥈 Silver","🥉 Bronze")))</f>
        <v/>
      </c>
      <c r="L2950" s="129" t="n">
        <v>40875</v>
      </c>
    </row>
    <row r="2951">
      <c r="A2951" s="122" t="n">
        <v>16365</v>
      </c>
      <c r="B2951" s="122" t="inlineStr">
        <is>
          <t>United Kingdom</t>
        </is>
      </c>
      <c r="C2951" s="122" t="n">
        <v>18</v>
      </c>
      <c r="D2951" s="122" t="n">
        <v>9</v>
      </c>
      <c r="E2951" s="123" t="n">
        <v>1540.42</v>
      </c>
      <c r="F2951" s="124">
        <f>IF(C2951&lt;=30,5,IF(C2951&lt;=60,4,IF(C2951&lt;=120,3,IF(C2951&lt;=200,2,1))))</f>
        <v/>
      </c>
      <c r="G2951" s="124">
        <f>IF(D2951&gt;=20,5,IF(D2951&gt;=10,4,IF(D2951&gt;=5,3,IF(D2951&gt;=2,2,1))))</f>
        <v/>
      </c>
      <c r="H2951" s="124">
        <f>IF(E2951&gt;=5000,5,IF(E2951&gt;=2000,4,IF(E2951&gt;=800,3,IF(E2951&gt;=300,2,1))))</f>
        <v/>
      </c>
      <c r="I2951" s="122">
        <f>TEXT(F2951,"0")&amp;TEXT(G2951,"0")&amp;TEXT(H2951,"0")</f>
        <v/>
      </c>
      <c r="J2951" s="122">
        <f>IFERROR(XLOOKUP(I2951,'Segment Map'!A:A,'Segment Map'!B:B,"Need Attention"),"Need Attention")</f>
        <v/>
      </c>
      <c r="K2951" s="122">
        <f>IF(E2951&gt;=5000,"🏆 Platinum",IF(E2951&gt;=2000,"🥇 Gold",IF(E2951&gt;=800,"🥈 Silver","🥉 Bronze")))</f>
        <v/>
      </c>
      <c r="L2951" s="125" t="n">
        <v>40869</v>
      </c>
    </row>
    <row r="2952">
      <c r="A2952" s="126" t="n">
        <v>16366</v>
      </c>
      <c r="B2952" s="126" t="inlineStr">
        <is>
          <t>United Kingdom</t>
        </is>
      </c>
      <c r="C2952" s="126" t="n">
        <v>19</v>
      </c>
      <c r="D2952" s="126" t="n">
        <v>1</v>
      </c>
      <c r="E2952" s="127" t="n">
        <v>327.3</v>
      </c>
      <c r="F2952" s="128">
        <f>IF(C2952&lt;=30,5,IF(C2952&lt;=60,4,IF(C2952&lt;=120,3,IF(C2952&lt;=200,2,1))))</f>
        <v/>
      </c>
      <c r="G2952" s="128">
        <f>IF(D2952&gt;=20,5,IF(D2952&gt;=10,4,IF(D2952&gt;=5,3,IF(D2952&gt;=2,2,1))))</f>
        <v/>
      </c>
      <c r="H2952" s="128">
        <f>IF(E2952&gt;=5000,5,IF(E2952&gt;=2000,4,IF(E2952&gt;=800,3,IF(E2952&gt;=300,2,1))))</f>
        <v/>
      </c>
      <c r="I2952" s="126">
        <f>TEXT(F2952,"0")&amp;TEXT(G2952,"0")&amp;TEXT(H2952,"0")</f>
        <v/>
      </c>
      <c r="J2952" s="126">
        <f>IFERROR(XLOOKUP(I2952,'Segment Map'!A:A,'Segment Map'!B:B,"Need Attention"),"Need Attention")</f>
        <v/>
      </c>
      <c r="K2952" s="126">
        <f>IF(E2952&gt;=5000,"🏆 Platinum",IF(E2952&gt;=2000,"🥇 Gold",IF(E2952&gt;=800,"🥈 Silver","🥉 Bronze")))</f>
        <v/>
      </c>
      <c r="L2952" s="129" t="n">
        <v>40868</v>
      </c>
    </row>
    <row r="2953">
      <c r="A2953" s="122" t="n">
        <v>16367</v>
      </c>
      <c r="B2953" s="122" t="inlineStr">
        <is>
          <t>United Kingdom</t>
        </is>
      </c>
      <c r="C2953" s="122" t="n">
        <v>38</v>
      </c>
      <c r="D2953" s="122" t="n">
        <v>2</v>
      </c>
      <c r="E2953" s="123" t="n">
        <v>804.49</v>
      </c>
      <c r="F2953" s="124">
        <f>IF(C2953&lt;=30,5,IF(C2953&lt;=60,4,IF(C2953&lt;=120,3,IF(C2953&lt;=200,2,1))))</f>
        <v/>
      </c>
      <c r="G2953" s="124">
        <f>IF(D2953&gt;=20,5,IF(D2953&gt;=10,4,IF(D2953&gt;=5,3,IF(D2953&gt;=2,2,1))))</f>
        <v/>
      </c>
      <c r="H2953" s="124">
        <f>IF(E2953&gt;=5000,5,IF(E2953&gt;=2000,4,IF(E2953&gt;=800,3,IF(E2953&gt;=300,2,1))))</f>
        <v/>
      </c>
      <c r="I2953" s="122">
        <f>TEXT(F2953,"0")&amp;TEXT(G2953,"0")&amp;TEXT(H2953,"0")</f>
        <v/>
      </c>
      <c r="J2953" s="122">
        <f>IFERROR(XLOOKUP(I2953,'Segment Map'!A:A,'Segment Map'!B:B,"Need Attention"),"Need Attention")</f>
        <v/>
      </c>
      <c r="K2953" s="122">
        <f>IF(E2953&gt;=5000,"🏆 Platinum",IF(E2953&gt;=2000,"🥇 Gold",IF(E2953&gt;=800,"🥈 Silver","🥉 Bronze")))</f>
        <v/>
      </c>
      <c r="L2953" s="125" t="n">
        <v>40849</v>
      </c>
    </row>
    <row r="2954">
      <c r="A2954" s="126" t="n">
        <v>16368</v>
      </c>
      <c r="B2954" s="126" t="inlineStr">
        <is>
          <t>United Kingdom</t>
        </is>
      </c>
      <c r="C2954" s="126" t="n">
        <v>3</v>
      </c>
      <c r="D2954" s="126" t="n">
        <v>2</v>
      </c>
      <c r="E2954" s="127" t="n">
        <v>497.43</v>
      </c>
      <c r="F2954" s="128">
        <f>IF(C2954&lt;=30,5,IF(C2954&lt;=60,4,IF(C2954&lt;=120,3,IF(C2954&lt;=200,2,1))))</f>
        <v/>
      </c>
      <c r="G2954" s="128">
        <f>IF(D2954&gt;=20,5,IF(D2954&gt;=10,4,IF(D2954&gt;=5,3,IF(D2954&gt;=2,2,1))))</f>
        <v/>
      </c>
      <c r="H2954" s="128">
        <f>IF(E2954&gt;=5000,5,IF(E2954&gt;=2000,4,IF(E2954&gt;=800,3,IF(E2954&gt;=300,2,1))))</f>
        <v/>
      </c>
      <c r="I2954" s="126">
        <f>TEXT(F2954,"0")&amp;TEXT(G2954,"0")&amp;TEXT(H2954,"0")</f>
        <v/>
      </c>
      <c r="J2954" s="126">
        <f>IFERROR(XLOOKUP(I2954,'Segment Map'!A:A,'Segment Map'!B:B,"Need Attention"),"Need Attention")</f>
        <v/>
      </c>
      <c r="K2954" s="126">
        <f>IF(E2954&gt;=5000,"🏆 Platinum",IF(E2954&gt;=2000,"🥇 Gold",IF(E2954&gt;=800,"🥈 Silver","🥉 Bronze")))</f>
        <v/>
      </c>
      <c r="L2954" s="129" t="n">
        <v>40884</v>
      </c>
    </row>
    <row r="2955">
      <c r="A2955" s="122" t="n">
        <v>16369</v>
      </c>
      <c r="B2955" s="122" t="inlineStr">
        <is>
          <t>United Kingdom</t>
        </is>
      </c>
      <c r="C2955" s="122" t="n">
        <v>19</v>
      </c>
      <c r="D2955" s="122" t="n">
        <v>3</v>
      </c>
      <c r="E2955" s="123" t="n">
        <v>1553.66</v>
      </c>
      <c r="F2955" s="124">
        <f>IF(C2955&lt;=30,5,IF(C2955&lt;=60,4,IF(C2955&lt;=120,3,IF(C2955&lt;=200,2,1))))</f>
        <v/>
      </c>
      <c r="G2955" s="124">
        <f>IF(D2955&gt;=20,5,IF(D2955&gt;=10,4,IF(D2955&gt;=5,3,IF(D2955&gt;=2,2,1))))</f>
        <v/>
      </c>
      <c r="H2955" s="124">
        <f>IF(E2955&gt;=5000,5,IF(E2955&gt;=2000,4,IF(E2955&gt;=800,3,IF(E2955&gt;=300,2,1))))</f>
        <v/>
      </c>
      <c r="I2955" s="122">
        <f>TEXT(F2955,"0")&amp;TEXT(G2955,"0")&amp;TEXT(H2955,"0")</f>
        <v/>
      </c>
      <c r="J2955" s="122">
        <f>IFERROR(XLOOKUP(I2955,'Segment Map'!A:A,'Segment Map'!B:B,"Need Attention"),"Need Attention")</f>
        <v/>
      </c>
      <c r="K2955" s="122">
        <f>IF(E2955&gt;=5000,"🏆 Platinum",IF(E2955&gt;=2000,"🥇 Gold",IF(E2955&gt;=800,"🥈 Silver","🥉 Bronze")))</f>
        <v/>
      </c>
      <c r="L2955" s="125" t="n">
        <v>40868</v>
      </c>
    </row>
    <row r="2956">
      <c r="A2956" s="126" t="n">
        <v>16370</v>
      </c>
      <c r="B2956" s="126" t="inlineStr">
        <is>
          <t>United Kingdom</t>
        </is>
      </c>
      <c r="C2956" s="126" t="n">
        <v>83</v>
      </c>
      <c r="D2956" s="126" t="n">
        <v>4</v>
      </c>
      <c r="E2956" s="127" t="n">
        <v>1320.56</v>
      </c>
      <c r="F2956" s="128">
        <f>IF(C2956&lt;=30,5,IF(C2956&lt;=60,4,IF(C2956&lt;=120,3,IF(C2956&lt;=200,2,1))))</f>
        <v/>
      </c>
      <c r="G2956" s="128">
        <f>IF(D2956&gt;=20,5,IF(D2956&gt;=10,4,IF(D2956&gt;=5,3,IF(D2956&gt;=2,2,1))))</f>
        <v/>
      </c>
      <c r="H2956" s="128">
        <f>IF(E2956&gt;=5000,5,IF(E2956&gt;=2000,4,IF(E2956&gt;=800,3,IF(E2956&gt;=300,2,1))))</f>
        <v/>
      </c>
      <c r="I2956" s="126">
        <f>TEXT(F2956,"0")&amp;TEXT(G2956,"0")&amp;TEXT(H2956,"0")</f>
        <v/>
      </c>
      <c r="J2956" s="126">
        <f>IFERROR(XLOOKUP(I2956,'Segment Map'!A:A,'Segment Map'!B:B,"Need Attention"),"Need Attention")</f>
        <v/>
      </c>
      <c r="K2956" s="126">
        <f>IF(E2956&gt;=5000,"🏆 Platinum",IF(E2956&gt;=2000,"🥇 Gold",IF(E2956&gt;=800,"🥈 Silver","🥉 Bronze")))</f>
        <v/>
      </c>
      <c r="L2956" s="129" t="n">
        <v>40804</v>
      </c>
    </row>
    <row r="2957">
      <c r="A2957" s="122" t="n">
        <v>16372</v>
      </c>
      <c r="B2957" s="122" t="inlineStr">
        <is>
          <t>United Kingdom</t>
        </is>
      </c>
      <c r="C2957" s="122" t="n">
        <v>34</v>
      </c>
      <c r="D2957" s="122" t="n">
        <v>2</v>
      </c>
      <c r="E2957" s="123" t="n">
        <v>367.93</v>
      </c>
      <c r="F2957" s="124">
        <f>IF(C2957&lt;=30,5,IF(C2957&lt;=60,4,IF(C2957&lt;=120,3,IF(C2957&lt;=200,2,1))))</f>
        <v/>
      </c>
      <c r="G2957" s="124">
        <f>IF(D2957&gt;=20,5,IF(D2957&gt;=10,4,IF(D2957&gt;=5,3,IF(D2957&gt;=2,2,1))))</f>
        <v/>
      </c>
      <c r="H2957" s="124">
        <f>IF(E2957&gt;=5000,5,IF(E2957&gt;=2000,4,IF(E2957&gt;=800,3,IF(E2957&gt;=300,2,1))))</f>
        <v/>
      </c>
      <c r="I2957" s="122">
        <f>TEXT(F2957,"0")&amp;TEXT(G2957,"0")&amp;TEXT(H2957,"0")</f>
        <v/>
      </c>
      <c r="J2957" s="122">
        <f>IFERROR(XLOOKUP(I2957,'Segment Map'!A:A,'Segment Map'!B:B,"Need Attention"),"Need Attention")</f>
        <v/>
      </c>
      <c r="K2957" s="122">
        <f>IF(E2957&gt;=5000,"🏆 Platinum",IF(E2957&gt;=2000,"🥇 Gold",IF(E2957&gt;=800,"🥈 Silver","🥉 Bronze")))</f>
        <v/>
      </c>
      <c r="L2957" s="125" t="n">
        <v>40853</v>
      </c>
    </row>
    <row r="2958">
      <c r="A2958" s="126" t="n">
        <v>16374</v>
      </c>
      <c r="B2958" s="126" t="inlineStr">
        <is>
          <t>United Kingdom</t>
        </is>
      </c>
      <c r="C2958" s="126" t="n">
        <v>67</v>
      </c>
      <c r="D2958" s="126" t="n">
        <v>2</v>
      </c>
      <c r="E2958" s="127" t="n">
        <v>473.03</v>
      </c>
      <c r="F2958" s="128">
        <f>IF(C2958&lt;=30,5,IF(C2958&lt;=60,4,IF(C2958&lt;=120,3,IF(C2958&lt;=200,2,1))))</f>
        <v/>
      </c>
      <c r="G2958" s="128">
        <f>IF(D2958&gt;=20,5,IF(D2958&gt;=10,4,IF(D2958&gt;=5,3,IF(D2958&gt;=2,2,1))))</f>
        <v/>
      </c>
      <c r="H2958" s="128">
        <f>IF(E2958&gt;=5000,5,IF(E2958&gt;=2000,4,IF(E2958&gt;=800,3,IF(E2958&gt;=300,2,1))))</f>
        <v/>
      </c>
      <c r="I2958" s="126">
        <f>TEXT(F2958,"0")&amp;TEXT(G2958,"0")&amp;TEXT(H2958,"0")</f>
        <v/>
      </c>
      <c r="J2958" s="126">
        <f>IFERROR(XLOOKUP(I2958,'Segment Map'!A:A,'Segment Map'!B:B,"Need Attention"),"Need Attention")</f>
        <v/>
      </c>
      <c r="K2958" s="126">
        <f>IF(E2958&gt;=5000,"🏆 Platinum",IF(E2958&gt;=2000,"🥇 Gold",IF(E2958&gt;=800,"🥈 Silver","🥉 Bronze")))</f>
        <v/>
      </c>
      <c r="L2958" s="129" t="n">
        <v>40820</v>
      </c>
    </row>
    <row r="2959">
      <c r="A2959" s="122" t="n">
        <v>16376</v>
      </c>
      <c r="B2959" s="122" t="inlineStr">
        <is>
          <t>United Kingdom</t>
        </is>
      </c>
      <c r="C2959" s="122" t="n">
        <v>9</v>
      </c>
      <c r="D2959" s="122" t="n">
        <v>2</v>
      </c>
      <c r="E2959" s="123" t="n">
        <v>987.01</v>
      </c>
      <c r="F2959" s="124">
        <f>IF(C2959&lt;=30,5,IF(C2959&lt;=60,4,IF(C2959&lt;=120,3,IF(C2959&lt;=200,2,1))))</f>
        <v/>
      </c>
      <c r="G2959" s="124">
        <f>IF(D2959&gt;=20,5,IF(D2959&gt;=10,4,IF(D2959&gt;=5,3,IF(D2959&gt;=2,2,1))))</f>
        <v/>
      </c>
      <c r="H2959" s="124">
        <f>IF(E2959&gt;=5000,5,IF(E2959&gt;=2000,4,IF(E2959&gt;=800,3,IF(E2959&gt;=300,2,1))))</f>
        <v/>
      </c>
      <c r="I2959" s="122">
        <f>TEXT(F2959,"0")&amp;TEXT(G2959,"0")&amp;TEXT(H2959,"0")</f>
        <v/>
      </c>
      <c r="J2959" s="122">
        <f>IFERROR(XLOOKUP(I2959,'Segment Map'!A:A,'Segment Map'!B:B,"Need Attention"),"Need Attention")</f>
        <v/>
      </c>
      <c r="K2959" s="122">
        <f>IF(E2959&gt;=5000,"🏆 Platinum",IF(E2959&gt;=2000,"🥇 Gold",IF(E2959&gt;=800,"🥈 Silver","🥉 Bronze")))</f>
        <v/>
      </c>
      <c r="L2959" s="125" t="n">
        <v>40878</v>
      </c>
    </row>
    <row r="2960">
      <c r="A2960" s="126" t="n">
        <v>16377</v>
      </c>
      <c r="B2960" s="126" t="inlineStr">
        <is>
          <t>United Kingdom</t>
        </is>
      </c>
      <c r="C2960" s="126" t="n">
        <v>268</v>
      </c>
      <c r="D2960" s="126" t="n">
        <v>1</v>
      </c>
      <c r="E2960" s="127" t="n">
        <v>676.2</v>
      </c>
      <c r="F2960" s="128">
        <f>IF(C2960&lt;=30,5,IF(C2960&lt;=60,4,IF(C2960&lt;=120,3,IF(C2960&lt;=200,2,1))))</f>
        <v/>
      </c>
      <c r="G2960" s="128">
        <f>IF(D2960&gt;=20,5,IF(D2960&gt;=10,4,IF(D2960&gt;=5,3,IF(D2960&gt;=2,2,1))))</f>
        <v/>
      </c>
      <c r="H2960" s="128">
        <f>IF(E2960&gt;=5000,5,IF(E2960&gt;=2000,4,IF(E2960&gt;=800,3,IF(E2960&gt;=300,2,1))))</f>
        <v/>
      </c>
      <c r="I2960" s="126">
        <f>TEXT(F2960,"0")&amp;TEXT(G2960,"0")&amp;TEXT(H2960,"0")</f>
        <v/>
      </c>
      <c r="J2960" s="126">
        <f>IFERROR(XLOOKUP(I2960,'Segment Map'!A:A,'Segment Map'!B:B,"Need Attention"),"Need Attention")</f>
        <v/>
      </c>
      <c r="K2960" s="126">
        <f>IF(E2960&gt;=5000,"🏆 Platinum",IF(E2960&gt;=2000,"🥇 Gold",IF(E2960&gt;=800,"🥈 Silver","🥉 Bronze")))</f>
        <v/>
      </c>
      <c r="L2960" s="129" t="n">
        <v>40619</v>
      </c>
    </row>
    <row r="2961">
      <c r="A2961" s="122" t="n">
        <v>16378</v>
      </c>
      <c r="B2961" s="122" t="inlineStr">
        <is>
          <t>United Kingdom</t>
        </is>
      </c>
      <c r="C2961" s="122" t="n">
        <v>248</v>
      </c>
      <c r="D2961" s="122" t="n">
        <v>3</v>
      </c>
      <c r="E2961" s="123" t="n">
        <v>362.95</v>
      </c>
      <c r="F2961" s="124">
        <f>IF(C2961&lt;=30,5,IF(C2961&lt;=60,4,IF(C2961&lt;=120,3,IF(C2961&lt;=200,2,1))))</f>
        <v/>
      </c>
      <c r="G2961" s="124">
        <f>IF(D2961&gt;=20,5,IF(D2961&gt;=10,4,IF(D2961&gt;=5,3,IF(D2961&gt;=2,2,1))))</f>
        <v/>
      </c>
      <c r="H2961" s="124">
        <f>IF(E2961&gt;=5000,5,IF(E2961&gt;=2000,4,IF(E2961&gt;=800,3,IF(E2961&gt;=300,2,1))))</f>
        <v/>
      </c>
      <c r="I2961" s="122">
        <f>TEXT(F2961,"0")&amp;TEXT(G2961,"0")&amp;TEXT(H2961,"0")</f>
        <v/>
      </c>
      <c r="J2961" s="122">
        <f>IFERROR(XLOOKUP(I2961,'Segment Map'!A:A,'Segment Map'!B:B,"Need Attention"),"Need Attention")</f>
        <v/>
      </c>
      <c r="K2961" s="122">
        <f>IF(E2961&gt;=5000,"🏆 Platinum",IF(E2961&gt;=2000,"🥇 Gold",IF(E2961&gt;=800,"🥈 Silver","🥉 Bronze")))</f>
        <v/>
      </c>
      <c r="L2961" s="125" t="n">
        <v>40639</v>
      </c>
    </row>
    <row r="2962">
      <c r="A2962" s="126" t="n">
        <v>16379</v>
      </c>
      <c r="B2962" s="126" t="inlineStr">
        <is>
          <t>United Kingdom</t>
        </is>
      </c>
      <c r="C2962" s="126" t="n">
        <v>5</v>
      </c>
      <c r="D2962" s="126" t="n">
        <v>4</v>
      </c>
      <c r="E2962" s="127" t="n">
        <v>2157.4</v>
      </c>
      <c r="F2962" s="128">
        <f>IF(C2962&lt;=30,5,IF(C2962&lt;=60,4,IF(C2962&lt;=120,3,IF(C2962&lt;=200,2,1))))</f>
        <v/>
      </c>
      <c r="G2962" s="128">
        <f>IF(D2962&gt;=20,5,IF(D2962&gt;=10,4,IF(D2962&gt;=5,3,IF(D2962&gt;=2,2,1))))</f>
        <v/>
      </c>
      <c r="H2962" s="128">
        <f>IF(E2962&gt;=5000,5,IF(E2962&gt;=2000,4,IF(E2962&gt;=800,3,IF(E2962&gt;=300,2,1))))</f>
        <v/>
      </c>
      <c r="I2962" s="126">
        <f>TEXT(F2962,"0")&amp;TEXT(G2962,"0")&amp;TEXT(H2962,"0")</f>
        <v/>
      </c>
      <c r="J2962" s="126">
        <f>IFERROR(XLOOKUP(I2962,'Segment Map'!A:A,'Segment Map'!B:B,"Need Attention"),"Need Attention")</f>
        <v/>
      </c>
      <c r="K2962" s="126">
        <f>IF(E2962&gt;=5000,"🏆 Platinum",IF(E2962&gt;=2000,"🥇 Gold",IF(E2962&gt;=800,"🥈 Silver","🥉 Bronze")))</f>
        <v/>
      </c>
      <c r="L2962" s="129" t="n">
        <v>40882</v>
      </c>
    </row>
    <row r="2963">
      <c r="A2963" s="122" t="n">
        <v>16380</v>
      </c>
      <c r="B2963" s="122" t="inlineStr">
        <is>
          <t>United Kingdom</t>
        </is>
      </c>
      <c r="C2963" s="122" t="n">
        <v>62</v>
      </c>
      <c r="D2963" s="122" t="n">
        <v>1</v>
      </c>
      <c r="E2963" s="123" t="n">
        <v>1780.59</v>
      </c>
      <c r="F2963" s="124">
        <f>IF(C2963&lt;=30,5,IF(C2963&lt;=60,4,IF(C2963&lt;=120,3,IF(C2963&lt;=200,2,1))))</f>
        <v/>
      </c>
      <c r="G2963" s="124">
        <f>IF(D2963&gt;=20,5,IF(D2963&gt;=10,4,IF(D2963&gt;=5,3,IF(D2963&gt;=2,2,1))))</f>
        <v/>
      </c>
      <c r="H2963" s="124">
        <f>IF(E2963&gt;=5000,5,IF(E2963&gt;=2000,4,IF(E2963&gt;=800,3,IF(E2963&gt;=300,2,1))))</f>
        <v/>
      </c>
      <c r="I2963" s="122">
        <f>TEXT(F2963,"0")&amp;TEXT(G2963,"0")&amp;TEXT(H2963,"0")</f>
        <v/>
      </c>
      <c r="J2963" s="122">
        <f>IFERROR(XLOOKUP(I2963,'Segment Map'!A:A,'Segment Map'!B:B,"Need Attention"),"Need Attention")</f>
        <v/>
      </c>
      <c r="K2963" s="122">
        <f>IF(E2963&gt;=5000,"🏆 Platinum",IF(E2963&gt;=2000,"🥇 Gold",IF(E2963&gt;=800,"🥈 Silver","🥉 Bronze")))</f>
        <v/>
      </c>
      <c r="L2963" s="125" t="n">
        <v>40825</v>
      </c>
    </row>
    <row r="2964">
      <c r="A2964" s="126" t="n">
        <v>16383</v>
      </c>
      <c r="B2964" s="126" t="inlineStr">
        <is>
          <t>United Kingdom</t>
        </is>
      </c>
      <c r="C2964" s="126" t="n">
        <v>75</v>
      </c>
      <c r="D2964" s="126" t="n">
        <v>2</v>
      </c>
      <c r="E2964" s="127" t="n">
        <v>668.36</v>
      </c>
      <c r="F2964" s="128">
        <f>IF(C2964&lt;=30,5,IF(C2964&lt;=60,4,IF(C2964&lt;=120,3,IF(C2964&lt;=200,2,1))))</f>
        <v/>
      </c>
      <c r="G2964" s="128">
        <f>IF(D2964&gt;=20,5,IF(D2964&gt;=10,4,IF(D2964&gt;=5,3,IF(D2964&gt;=2,2,1))))</f>
        <v/>
      </c>
      <c r="H2964" s="128">
        <f>IF(E2964&gt;=5000,5,IF(E2964&gt;=2000,4,IF(E2964&gt;=800,3,IF(E2964&gt;=300,2,1))))</f>
        <v/>
      </c>
      <c r="I2964" s="126">
        <f>TEXT(F2964,"0")&amp;TEXT(G2964,"0")&amp;TEXT(H2964,"0")</f>
        <v/>
      </c>
      <c r="J2964" s="126">
        <f>IFERROR(XLOOKUP(I2964,'Segment Map'!A:A,'Segment Map'!B:B,"Need Attention"),"Need Attention")</f>
        <v/>
      </c>
      <c r="K2964" s="126">
        <f>IF(E2964&gt;=5000,"🏆 Platinum",IF(E2964&gt;=2000,"🥇 Gold",IF(E2964&gt;=800,"🥈 Silver","🥉 Bronze")))</f>
        <v/>
      </c>
      <c r="L2964" s="129" t="n">
        <v>40812</v>
      </c>
    </row>
    <row r="2965">
      <c r="A2965" s="122" t="n">
        <v>16384</v>
      </c>
      <c r="B2965" s="122" t="inlineStr">
        <is>
          <t>United Kingdom</t>
        </is>
      </c>
      <c r="C2965" s="122" t="n">
        <v>90</v>
      </c>
      <c r="D2965" s="122" t="n">
        <v>2</v>
      </c>
      <c r="E2965" s="123" t="n">
        <v>584.5</v>
      </c>
      <c r="F2965" s="124">
        <f>IF(C2965&lt;=30,5,IF(C2965&lt;=60,4,IF(C2965&lt;=120,3,IF(C2965&lt;=200,2,1))))</f>
        <v/>
      </c>
      <c r="G2965" s="124">
        <f>IF(D2965&gt;=20,5,IF(D2965&gt;=10,4,IF(D2965&gt;=5,3,IF(D2965&gt;=2,2,1))))</f>
        <v/>
      </c>
      <c r="H2965" s="124">
        <f>IF(E2965&gt;=5000,5,IF(E2965&gt;=2000,4,IF(E2965&gt;=800,3,IF(E2965&gt;=300,2,1))))</f>
        <v/>
      </c>
      <c r="I2965" s="122">
        <f>TEXT(F2965,"0")&amp;TEXT(G2965,"0")&amp;TEXT(H2965,"0")</f>
        <v/>
      </c>
      <c r="J2965" s="122">
        <f>IFERROR(XLOOKUP(I2965,'Segment Map'!A:A,'Segment Map'!B:B,"Need Attention"),"Need Attention")</f>
        <v/>
      </c>
      <c r="K2965" s="122">
        <f>IF(E2965&gt;=5000,"🏆 Platinum",IF(E2965&gt;=2000,"🥇 Gold",IF(E2965&gt;=800,"🥈 Silver","🥉 Bronze")))</f>
        <v/>
      </c>
      <c r="L2965" s="125" t="n">
        <v>40797</v>
      </c>
    </row>
    <row r="2966">
      <c r="A2966" s="126" t="n">
        <v>16385</v>
      </c>
      <c r="B2966" s="126" t="inlineStr">
        <is>
          <t>United Kingdom</t>
        </is>
      </c>
      <c r="C2966" s="126" t="n">
        <v>61</v>
      </c>
      <c r="D2966" s="126" t="n">
        <v>3</v>
      </c>
      <c r="E2966" s="127" t="n">
        <v>555.89</v>
      </c>
      <c r="F2966" s="128">
        <f>IF(C2966&lt;=30,5,IF(C2966&lt;=60,4,IF(C2966&lt;=120,3,IF(C2966&lt;=200,2,1))))</f>
        <v/>
      </c>
      <c r="G2966" s="128">
        <f>IF(D2966&gt;=20,5,IF(D2966&gt;=10,4,IF(D2966&gt;=5,3,IF(D2966&gt;=2,2,1))))</f>
        <v/>
      </c>
      <c r="H2966" s="128">
        <f>IF(E2966&gt;=5000,5,IF(E2966&gt;=2000,4,IF(E2966&gt;=800,3,IF(E2966&gt;=300,2,1))))</f>
        <v/>
      </c>
      <c r="I2966" s="126">
        <f>TEXT(F2966,"0")&amp;TEXT(G2966,"0")&amp;TEXT(H2966,"0")</f>
        <v/>
      </c>
      <c r="J2966" s="126">
        <f>IFERROR(XLOOKUP(I2966,'Segment Map'!A:A,'Segment Map'!B:B,"Need Attention"),"Need Attention")</f>
        <v/>
      </c>
      <c r="K2966" s="126">
        <f>IF(E2966&gt;=5000,"🏆 Platinum",IF(E2966&gt;=2000,"🥇 Gold",IF(E2966&gt;=800,"🥈 Silver","🥉 Bronze")))</f>
        <v/>
      </c>
      <c r="L2966" s="129" t="n">
        <v>40826</v>
      </c>
    </row>
    <row r="2967">
      <c r="A2967" s="122" t="n">
        <v>16386</v>
      </c>
      <c r="B2967" s="122" t="inlineStr">
        <is>
          <t>United Kingdom</t>
        </is>
      </c>
      <c r="C2967" s="122" t="n">
        <v>29</v>
      </c>
      <c r="D2967" s="122" t="n">
        <v>2</v>
      </c>
      <c r="E2967" s="123" t="n">
        <v>317.2</v>
      </c>
      <c r="F2967" s="124">
        <f>IF(C2967&lt;=30,5,IF(C2967&lt;=60,4,IF(C2967&lt;=120,3,IF(C2967&lt;=200,2,1))))</f>
        <v/>
      </c>
      <c r="G2967" s="124">
        <f>IF(D2967&gt;=20,5,IF(D2967&gt;=10,4,IF(D2967&gt;=5,3,IF(D2967&gt;=2,2,1))))</f>
        <v/>
      </c>
      <c r="H2967" s="124">
        <f>IF(E2967&gt;=5000,5,IF(E2967&gt;=2000,4,IF(E2967&gt;=800,3,IF(E2967&gt;=300,2,1))))</f>
        <v/>
      </c>
      <c r="I2967" s="122">
        <f>TEXT(F2967,"0")&amp;TEXT(G2967,"0")&amp;TEXT(H2967,"0")</f>
        <v/>
      </c>
      <c r="J2967" s="122">
        <f>IFERROR(XLOOKUP(I2967,'Segment Map'!A:A,'Segment Map'!B:B,"Need Attention"),"Need Attention")</f>
        <v/>
      </c>
      <c r="K2967" s="122">
        <f>IF(E2967&gt;=5000,"🏆 Platinum",IF(E2967&gt;=2000,"🥇 Gold",IF(E2967&gt;=800,"🥈 Silver","🥉 Bronze")))</f>
        <v/>
      </c>
      <c r="L2967" s="125" t="n">
        <v>40858</v>
      </c>
    </row>
    <row r="2968">
      <c r="A2968" s="126" t="n">
        <v>16387</v>
      </c>
      <c r="B2968" s="126" t="inlineStr">
        <is>
          <t>United Kingdom</t>
        </is>
      </c>
      <c r="C2968" s="126" t="n">
        <v>323</v>
      </c>
      <c r="D2968" s="126" t="n">
        <v>1</v>
      </c>
      <c r="E2968" s="127" t="n">
        <v>94.36</v>
      </c>
      <c r="F2968" s="128">
        <f>IF(C2968&lt;=30,5,IF(C2968&lt;=60,4,IF(C2968&lt;=120,3,IF(C2968&lt;=200,2,1))))</f>
        <v/>
      </c>
      <c r="G2968" s="128">
        <f>IF(D2968&gt;=20,5,IF(D2968&gt;=10,4,IF(D2968&gt;=5,3,IF(D2968&gt;=2,2,1))))</f>
        <v/>
      </c>
      <c r="H2968" s="128">
        <f>IF(E2968&gt;=5000,5,IF(E2968&gt;=2000,4,IF(E2968&gt;=800,3,IF(E2968&gt;=300,2,1))))</f>
        <v/>
      </c>
      <c r="I2968" s="126">
        <f>TEXT(F2968,"0")&amp;TEXT(G2968,"0")&amp;TEXT(H2968,"0")</f>
        <v/>
      </c>
      <c r="J2968" s="126">
        <f>IFERROR(XLOOKUP(I2968,'Segment Map'!A:A,'Segment Map'!B:B,"Need Attention"),"Need Attention")</f>
        <v/>
      </c>
      <c r="K2968" s="126">
        <f>IF(E2968&gt;=5000,"🏆 Platinum",IF(E2968&gt;=2000,"🥇 Gold",IF(E2968&gt;=800,"🥈 Silver","🥉 Bronze")))</f>
        <v/>
      </c>
      <c r="L2968" s="129" t="n">
        <v>40564</v>
      </c>
    </row>
    <row r="2969">
      <c r="A2969" s="122" t="n">
        <v>16389</v>
      </c>
      <c r="B2969" s="122" t="inlineStr">
        <is>
          <t>United Kingdom</t>
        </is>
      </c>
      <c r="C2969" s="122" t="n">
        <v>54</v>
      </c>
      <c r="D2969" s="122" t="n">
        <v>4</v>
      </c>
      <c r="E2969" s="123" t="n">
        <v>1382.07</v>
      </c>
      <c r="F2969" s="124">
        <f>IF(C2969&lt;=30,5,IF(C2969&lt;=60,4,IF(C2969&lt;=120,3,IF(C2969&lt;=200,2,1))))</f>
        <v/>
      </c>
      <c r="G2969" s="124">
        <f>IF(D2969&gt;=20,5,IF(D2969&gt;=10,4,IF(D2969&gt;=5,3,IF(D2969&gt;=2,2,1))))</f>
        <v/>
      </c>
      <c r="H2969" s="124">
        <f>IF(E2969&gt;=5000,5,IF(E2969&gt;=2000,4,IF(E2969&gt;=800,3,IF(E2969&gt;=300,2,1))))</f>
        <v/>
      </c>
      <c r="I2969" s="122">
        <f>TEXT(F2969,"0")&amp;TEXT(G2969,"0")&amp;TEXT(H2969,"0")</f>
        <v/>
      </c>
      <c r="J2969" s="122">
        <f>IFERROR(XLOOKUP(I2969,'Segment Map'!A:A,'Segment Map'!B:B,"Need Attention"),"Need Attention")</f>
        <v/>
      </c>
      <c r="K2969" s="122">
        <f>IF(E2969&gt;=5000,"🏆 Platinum",IF(E2969&gt;=2000,"🥇 Gold",IF(E2969&gt;=800,"🥈 Silver","🥉 Bronze")))</f>
        <v/>
      </c>
      <c r="L2969" s="125" t="n">
        <v>40833</v>
      </c>
    </row>
    <row r="2970">
      <c r="A2970" s="126" t="n">
        <v>16392</v>
      </c>
      <c r="B2970" s="126" t="inlineStr">
        <is>
          <t>United Kingdom</t>
        </is>
      </c>
      <c r="C2970" s="126" t="n">
        <v>270</v>
      </c>
      <c r="D2970" s="126" t="n">
        <v>1</v>
      </c>
      <c r="E2970" s="127" t="n">
        <v>221.19</v>
      </c>
      <c r="F2970" s="128">
        <f>IF(C2970&lt;=30,5,IF(C2970&lt;=60,4,IF(C2970&lt;=120,3,IF(C2970&lt;=200,2,1))))</f>
        <v/>
      </c>
      <c r="G2970" s="128">
        <f>IF(D2970&gt;=20,5,IF(D2970&gt;=10,4,IF(D2970&gt;=5,3,IF(D2970&gt;=2,2,1))))</f>
        <v/>
      </c>
      <c r="H2970" s="128">
        <f>IF(E2970&gt;=5000,5,IF(E2970&gt;=2000,4,IF(E2970&gt;=800,3,IF(E2970&gt;=300,2,1))))</f>
        <v/>
      </c>
      <c r="I2970" s="126">
        <f>TEXT(F2970,"0")&amp;TEXT(G2970,"0")&amp;TEXT(H2970,"0")</f>
        <v/>
      </c>
      <c r="J2970" s="126">
        <f>IFERROR(XLOOKUP(I2970,'Segment Map'!A:A,'Segment Map'!B:B,"Need Attention"),"Need Attention")</f>
        <v/>
      </c>
      <c r="K2970" s="126">
        <f>IF(E2970&gt;=5000,"🏆 Platinum",IF(E2970&gt;=2000,"🥇 Gold",IF(E2970&gt;=800,"🥈 Silver","🥉 Bronze")))</f>
        <v/>
      </c>
      <c r="L2970" s="129" t="n">
        <v>40617</v>
      </c>
    </row>
    <row r="2971">
      <c r="A2971" s="122" t="n">
        <v>16393</v>
      </c>
      <c r="B2971" s="122" t="inlineStr">
        <is>
          <t>United Kingdom</t>
        </is>
      </c>
      <c r="C2971" s="122" t="n">
        <v>3</v>
      </c>
      <c r="D2971" s="122" t="n">
        <v>13</v>
      </c>
      <c r="E2971" s="123" t="n">
        <v>3046.21</v>
      </c>
      <c r="F2971" s="124">
        <f>IF(C2971&lt;=30,5,IF(C2971&lt;=60,4,IF(C2971&lt;=120,3,IF(C2971&lt;=200,2,1))))</f>
        <v/>
      </c>
      <c r="G2971" s="124">
        <f>IF(D2971&gt;=20,5,IF(D2971&gt;=10,4,IF(D2971&gt;=5,3,IF(D2971&gt;=2,2,1))))</f>
        <v/>
      </c>
      <c r="H2971" s="124">
        <f>IF(E2971&gt;=5000,5,IF(E2971&gt;=2000,4,IF(E2971&gt;=800,3,IF(E2971&gt;=300,2,1))))</f>
        <v/>
      </c>
      <c r="I2971" s="122">
        <f>TEXT(F2971,"0")&amp;TEXT(G2971,"0")&amp;TEXT(H2971,"0")</f>
        <v/>
      </c>
      <c r="J2971" s="122">
        <f>IFERROR(XLOOKUP(I2971,'Segment Map'!A:A,'Segment Map'!B:B,"Need Attention"),"Need Attention")</f>
        <v/>
      </c>
      <c r="K2971" s="122">
        <f>IF(E2971&gt;=5000,"🏆 Platinum",IF(E2971&gt;=2000,"🥇 Gold",IF(E2971&gt;=800,"🥈 Silver","🥉 Bronze")))</f>
        <v/>
      </c>
      <c r="L2971" s="125" t="n">
        <v>40884</v>
      </c>
    </row>
    <row r="2972">
      <c r="A2972" s="126" t="n">
        <v>16394</v>
      </c>
      <c r="B2972" s="126" t="inlineStr">
        <is>
          <t>United Kingdom</t>
        </is>
      </c>
      <c r="C2972" s="126" t="n">
        <v>57</v>
      </c>
      <c r="D2972" s="126" t="n">
        <v>5</v>
      </c>
      <c r="E2972" s="127" t="n">
        <v>1555.34</v>
      </c>
      <c r="F2972" s="128">
        <f>IF(C2972&lt;=30,5,IF(C2972&lt;=60,4,IF(C2972&lt;=120,3,IF(C2972&lt;=200,2,1))))</f>
        <v/>
      </c>
      <c r="G2972" s="128">
        <f>IF(D2972&gt;=20,5,IF(D2972&gt;=10,4,IF(D2972&gt;=5,3,IF(D2972&gt;=2,2,1))))</f>
        <v/>
      </c>
      <c r="H2972" s="128">
        <f>IF(E2972&gt;=5000,5,IF(E2972&gt;=2000,4,IF(E2972&gt;=800,3,IF(E2972&gt;=300,2,1))))</f>
        <v/>
      </c>
      <c r="I2972" s="126">
        <f>TEXT(F2972,"0")&amp;TEXT(G2972,"0")&amp;TEXT(H2972,"0")</f>
        <v/>
      </c>
      <c r="J2972" s="126">
        <f>IFERROR(XLOOKUP(I2972,'Segment Map'!A:A,'Segment Map'!B:B,"Need Attention"),"Need Attention")</f>
        <v/>
      </c>
      <c r="K2972" s="126">
        <f>IF(E2972&gt;=5000,"🏆 Platinum",IF(E2972&gt;=2000,"🥇 Gold",IF(E2972&gt;=800,"🥈 Silver","🥉 Bronze")))</f>
        <v/>
      </c>
      <c r="L2972" s="129" t="n">
        <v>40830</v>
      </c>
    </row>
    <row r="2973">
      <c r="A2973" s="122" t="n">
        <v>16395</v>
      </c>
      <c r="B2973" s="122" t="inlineStr">
        <is>
          <t>United Kingdom</t>
        </is>
      </c>
      <c r="C2973" s="122" t="n">
        <v>61</v>
      </c>
      <c r="D2973" s="122" t="n">
        <v>5</v>
      </c>
      <c r="E2973" s="123" t="n">
        <v>1486.9</v>
      </c>
      <c r="F2973" s="124">
        <f>IF(C2973&lt;=30,5,IF(C2973&lt;=60,4,IF(C2973&lt;=120,3,IF(C2973&lt;=200,2,1))))</f>
        <v/>
      </c>
      <c r="G2973" s="124">
        <f>IF(D2973&gt;=20,5,IF(D2973&gt;=10,4,IF(D2973&gt;=5,3,IF(D2973&gt;=2,2,1))))</f>
        <v/>
      </c>
      <c r="H2973" s="124">
        <f>IF(E2973&gt;=5000,5,IF(E2973&gt;=2000,4,IF(E2973&gt;=800,3,IF(E2973&gt;=300,2,1))))</f>
        <v/>
      </c>
      <c r="I2973" s="122">
        <f>TEXT(F2973,"0")&amp;TEXT(G2973,"0")&amp;TEXT(H2973,"0")</f>
        <v/>
      </c>
      <c r="J2973" s="122">
        <f>IFERROR(XLOOKUP(I2973,'Segment Map'!A:A,'Segment Map'!B:B,"Need Attention"),"Need Attention")</f>
        <v/>
      </c>
      <c r="K2973" s="122">
        <f>IF(E2973&gt;=5000,"🏆 Platinum",IF(E2973&gt;=2000,"🥇 Gold",IF(E2973&gt;=800,"🥈 Silver","🥉 Bronze")))</f>
        <v/>
      </c>
      <c r="L2973" s="125" t="n">
        <v>40826</v>
      </c>
    </row>
    <row r="2974">
      <c r="A2974" s="126" t="n">
        <v>16398</v>
      </c>
      <c r="B2974" s="126" t="inlineStr">
        <is>
          <t>United Kingdom</t>
        </is>
      </c>
      <c r="C2974" s="126" t="n">
        <v>155</v>
      </c>
      <c r="D2974" s="126" t="n">
        <v>2</v>
      </c>
      <c r="E2974" s="127" t="n">
        <v>1705.8</v>
      </c>
      <c r="F2974" s="128">
        <f>IF(C2974&lt;=30,5,IF(C2974&lt;=60,4,IF(C2974&lt;=120,3,IF(C2974&lt;=200,2,1))))</f>
        <v/>
      </c>
      <c r="G2974" s="128">
        <f>IF(D2974&gt;=20,5,IF(D2974&gt;=10,4,IF(D2974&gt;=5,3,IF(D2974&gt;=2,2,1))))</f>
        <v/>
      </c>
      <c r="H2974" s="128">
        <f>IF(E2974&gt;=5000,5,IF(E2974&gt;=2000,4,IF(E2974&gt;=800,3,IF(E2974&gt;=300,2,1))))</f>
        <v/>
      </c>
      <c r="I2974" s="126">
        <f>TEXT(F2974,"0")&amp;TEXT(G2974,"0")&amp;TEXT(H2974,"0")</f>
        <v/>
      </c>
      <c r="J2974" s="126">
        <f>IFERROR(XLOOKUP(I2974,'Segment Map'!A:A,'Segment Map'!B:B,"Need Attention"),"Need Attention")</f>
        <v/>
      </c>
      <c r="K2974" s="126">
        <f>IF(E2974&gt;=5000,"🏆 Platinum",IF(E2974&gt;=2000,"🥇 Gold",IF(E2974&gt;=800,"🥈 Silver","🥉 Bronze")))</f>
        <v/>
      </c>
      <c r="L2974" s="129" t="n">
        <v>40732</v>
      </c>
    </row>
    <row r="2975">
      <c r="A2975" s="122" t="n">
        <v>16399</v>
      </c>
      <c r="B2975" s="122" t="inlineStr">
        <is>
          <t>United Kingdom</t>
        </is>
      </c>
      <c r="C2975" s="122" t="n">
        <v>20</v>
      </c>
      <c r="D2975" s="122" t="n">
        <v>2</v>
      </c>
      <c r="E2975" s="123" t="n">
        <v>408.57</v>
      </c>
      <c r="F2975" s="124">
        <f>IF(C2975&lt;=30,5,IF(C2975&lt;=60,4,IF(C2975&lt;=120,3,IF(C2975&lt;=200,2,1))))</f>
        <v/>
      </c>
      <c r="G2975" s="124">
        <f>IF(D2975&gt;=20,5,IF(D2975&gt;=10,4,IF(D2975&gt;=5,3,IF(D2975&gt;=2,2,1))))</f>
        <v/>
      </c>
      <c r="H2975" s="124">
        <f>IF(E2975&gt;=5000,5,IF(E2975&gt;=2000,4,IF(E2975&gt;=800,3,IF(E2975&gt;=300,2,1))))</f>
        <v/>
      </c>
      <c r="I2975" s="122">
        <f>TEXT(F2975,"0")&amp;TEXT(G2975,"0")&amp;TEXT(H2975,"0")</f>
        <v/>
      </c>
      <c r="J2975" s="122">
        <f>IFERROR(XLOOKUP(I2975,'Segment Map'!A:A,'Segment Map'!B:B,"Need Attention"),"Need Attention")</f>
        <v/>
      </c>
      <c r="K2975" s="122">
        <f>IF(E2975&gt;=5000,"🏆 Platinum",IF(E2975&gt;=2000,"🥇 Gold",IF(E2975&gt;=800,"🥈 Silver","🥉 Bronze")))</f>
        <v/>
      </c>
      <c r="L2975" s="125" t="n">
        <v>40867</v>
      </c>
    </row>
    <row r="2976">
      <c r="A2976" s="126" t="n">
        <v>16400</v>
      </c>
      <c r="B2976" s="126" t="inlineStr">
        <is>
          <t>United Kingdom</t>
        </is>
      </c>
      <c r="C2976" s="126" t="n">
        <v>95</v>
      </c>
      <c r="D2976" s="126" t="n">
        <v>1</v>
      </c>
      <c r="E2976" s="127" t="n">
        <v>303.93</v>
      </c>
      <c r="F2976" s="128">
        <f>IF(C2976&lt;=30,5,IF(C2976&lt;=60,4,IF(C2976&lt;=120,3,IF(C2976&lt;=200,2,1))))</f>
        <v/>
      </c>
      <c r="G2976" s="128">
        <f>IF(D2976&gt;=20,5,IF(D2976&gt;=10,4,IF(D2976&gt;=5,3,IF(D2976&gt;=2,2,1))))</f>
        <v/>
      </c>
      <c r="H2976" s="128">
        <f>IF(E2976&gt;=5000,5,IF(E2976&gt;=2000,4,IF(E2976&gt;=800,3,IF(E2976&gt;=300,2,1))))</f>
        <v/>
      </c>
      <c r="I2976" s="126">
        <f>TEXT(F2976,"0")&amp;TEXT(G2976,"0")&amp;TEXT(H2976,"0")</f>
        <v/>
      </c>
      <c r="J2976" s="126">
        <f>IFERROR(XLOOKUP(I2976,'Segment Map'!A:A,'Segment Map'!B:B,"Need Attention"),"Need Attention")</f>
        <v/>
      </c>
      <c r="K2976" s="126">
        <f>IF(E2976&gt;=5000,"🏆 Platinum",IF(E2976&gt;=2000,"🥇 Gold",IF(E2976&gt;=800,"🥈 Silver","🥉 Bronze")))</f>
        <v/>
      </c>
      <c r="L2976" s="129" t="n">
        <v>40792</v>
      </c>
    </row>
    <row r="2977">
      <c r="A2977" s="122" t="n">
        <v>16401</v>
      </c>
      <c r="B2977" s="122" t="inlineStr">
        <is>
          <t>United Kingdom</t>
        </is>
      </c>
      <c r="C2977" s="122" t="n">
        <v>2</v>
      </c>
      <c r="D2977" s="122" t="n">
        <v>12</v>
      </c>
      <c r="E2977" s="123" t="n">
        <v>4098.32</v>
      </c>
      <c r="F2977" s="124">
        <f>IF(C2977&lt;=30,5,IF(C2977&lt;=60,4,IF(C2977&lt;=120,3,IF(C2977&lt;=200,2,1))))</f>
        <v/>
      </c>
      <c r="G2977" s="124">
        <f>IF(D2977&gt;=20,5,IF(D2977&gt;=10,4,IF(D2977&gt;=5,3,IF(D2977&gt;=2,2,1))))</f>
        <v/>
      </c>
      <c r="H2977" s="124">
        <f>IF(E2977&gt;=5000,5,IF(E2977&gt;=2000,4,IF(E2977&gt;=800,3,IF(E2977&gt;=300,2,1))))</f>
        <v/>
      </c>
      <c r="I2977" s="122">
        <f>TEXT(F2977,"0")&amp;TEXT(G2977,"0")&amp;TEXT(H2977,"0")</f>
        <v/>
      </c>
      <c r="J2977" s="122">
        <f>IFERROR(XLOOKUP(I2977,'Segment Map'!A:A,'Segment Map'!B:B,"Need Attention"),"Need Attention")</f>
        <v/>
      </c>
      <c r="K2977" s="122">
        <f>IF(E2977&gt;=5000,"🏆 Platinum",IF(E2977&gt;=2000,"🥇 Gold",IF(E2977&gt;=800,"🥈 Silver","🥉 Bronze")))</f>
        <v/>
      </c>
      <c r="L2977" s="125" t="n">
        <v>40885</v>
      </c>
    </row>
    <row r="2978">
      <c r="A2978" s="126" t="n">
        <v>16402</v>
      </c>
      <c r="B2978" s="126" t="inlineStr">
        <is>
          <t>United Kingdom</t>
        </is>
      </c>
      <c r="C2978" s="126" t="n">
        <v>265</v>
      </c>
      <c r="D2978" s="126" t="n">
        <v>2</v>
      </c>
      <c r="E2978" s="127" t="n">
        <v>299.6</v>
      </c>
      <c r="F2978" s="128">
        <f>IF(C2978&lt;=30,5,IF(C2978&lt;=60,4,IF(C2978&lt;=120,3,IF(C2978&lt;=200,2,1))))</f>
        <v/>
      </c>
      <c r="G2978" s="128">
        <f>IF(D2978&gt;=20,5,IF(D2978&gt;=10,4,IF(D2978&gt;=5,3,IF(D2978&gt;=2,2,1))))</f>
        <v/>
      </c>
      <c r="H2978" s="128">
        <f>IF(E2978&gt;=5000,5,IF(E2978&gt;=2000,4,IF(E2978&gt;=800,3,IF(E2978&gt;=300,2,1))))</f>
        <v/>
      </c>
      <c r="I2978" s="126">
        <f>TEXT(F2978,"0")&amp;TEXT(G2978,"0")&amp;TEXT(H2978,"0")</f>
        <v/>
      </c>
      <c r="J2978" s="126">
        <f>IFERROR(XLOOKUP(I2978,'Segment Map'!A:A,'Segment Map'!B:B,"Need Attention"),"Need Attention")</f>
        <v/>
      </c>
      <c r="K2978" s="126">
        <f>IF(E2978&gt;=5000,"🏆 Platinum",IF(E2978&gt;=2000,"🥇 Gold",IF(E2978&gt;=800,"🥈 Silver","🥉 Bronze")))</f>
        <v/>
      </c>
      <c r="L2978" s="129" t="n">
        <v>40622</v>
      </c>
    </row>
    <row r="2979">
      <c r="A2979" s="122" t="n">
        <v>16403</v>
      </c>
      <c r="B2979" s="122" t="inlineStr">
        <is>
          <t>United Kingdom</t>
        </is>
      </c>
      <c r="C2979" s="122" t="n">
        <v>313</v>
      </c>
      <c r="D2979" s="122" t="n">
        <v>1</v>
      </c>
      <c r="E2979" s="123" t="n">
        <v>177.5</v>
      </c>
      <c r="F2979" s="124">
        <f>IF(C2979&lt;=30,5,IF(C2979&lt;=60,4,IF(C2979&lt;=120,3,IF(C2979&lt;=200,2,1))))</f>
        <v/>
      </c>
      <c r="G2979" s="124">
        <f>IF(D2979&gt;=20,5,IF(D2979&gt;=10,4,IF(D2979&gt;=5,3,IF(D2979&gt;=2,2,1))))</f>
        <v/>
      </c>
      <c r="H2979" s="124">
        <f>IF(E2979&gt;=5000,5,IF(E2979&gt;=2000,4,IF(E2979&gt;=800,3,IF(E2979&gt;=300,2,1))))</f>
        <v/>
      </c>
      <c r="I2979" s="122">
        <f>TEXT(F2979,"0")&amp;TEXT(G2979,"0")&amp;TEXT(H2979,"0")</f>
        <v/>
      </c>
      <c r="J2979" s="122">
        <f>IFERROR(XLOOKUP(I2979,'Segment Map'!A:A,'Segment Map'!B:B,"Need Attention"),"Need Attention")</f>
        <v/>
      </c>
      <c r="K2979" s="122">
        <f>IF(E2979&gt;=5000,"🏆 Platinum",IF(E2979&gt;=2000,"🥇 Gold",IF(E2979&gt;=800,"🥈 Silver","🥉 Bronze")))</f>
        <v/>
      </c>
      <c r="L2979" s="125" t="n">
        <v>40574</v>
      </c>
    </row>
    <row r="2980">
      <c r="A2980" s="126" t="n">
        <v>16404</v>
      </c>
      <c r="B2980" s="126" t="inlineStr">
        <is>
          <t>United Kingdom</t>
        </is>
      </c>
      <c r="C2980" s="126" t="n">
        <v>71</v>
      </c>
      <c r="D2980" s="126" t="n">
        <v>1</v>
      </c>
      <c r="E2980" s="127" t="n">
        <v>443.05</v>
      </c>
      <c r="F2980" s="128">
        <f>IF(C2980&lt;=30,5,IF(C2980&lt;=60,4,IF(C2980&lt;=120,3,IF(C2980&lt;=200,2,1))))</f>
        <v/>
      </c>
      <c r="G2980" s="128">
        <f>IF(D2980&gt;=20,5,IF(D2980&gt;=10,4,IF(D2980&gt;=5,3,IF(D2980&gt;=2,2,1))))</f>
        <v/>
      </c>
      <c r="H2980" s="128">
        <f>IF(E2980&gt;=5000,5,IF(E2980&gt;=2000,4,IF(E2980&gt;=800,3,IF(E2980&gt;=300,2,1))))</f>
        <v/>
      </c>
      <c r="I2980" s="126">
        <f>TEXT(F2980,"0")&amp;TEXT(G2980,"0")&amp;TEXT(H2980,"0")</f>
        <v/>
      </c>
      <c r="J2980" s="126">
        <f>IFERROR(XLOOKUP(I2980,'Segment Map'!A:A,'Segment Map'!B:B,"Need Attention"),"Need Attention")</f>
        <v/>
      </c>
      <c r="K2980" s="126">
        <f>IF(E2980&gt;=5000,"🏆 Platinum",IF(E2980&gt;=2000,"🥇 Gold",IF(E2980&gt;=800,"🥈 Silver","🥉 Bronze")))</f>
        <v/>
      </c>
      <c r="L2980" s="129" t="n">
        <v>40816</v>
      </c>
    </row>
    <row r="2981">
      <c r="A2981" s="122" t="n">
        <v>16405</v>
      </c>
      <c r="B2981" s="122" t="inlineStr">
        <is>
          <t>United Kingdom</t>
        </is>
      </c>
      <c r="C2981" s="122" t="n">
        <v>303</v>
      </c>
      <c r="D2981" s="122" t="n">
        <v>2</v>
      </c>
      <c r="E2981" s="123" t="n">
        <v>167.25</v>
      </c>
      <c r="F2981" s="124">
        <f>IF(C2981&lt;=30,5,IF(C2981&lt;=60,4,IF(C2981&lt;=120,3,IF(C2981&lt;=200,2,1))))</f>
        <v/>
      </c>
      <c r="G2981" s="124">
        <f>IF(D2981&gt;=20,5,IF(D2981&gt;=10,4,IF(D2981&gt;=5,3,IF(D2981&gt;=2,2,1))))</f>
        <v/>
      </c>
      <c r="H2981" s="124">
        <f>IF(E2981&gt;=5000,5,IF(E2981&gt;=2000,4,IF(E2981&gt;=800,3,IF(E2981&gt;=300,2,1))))</f>
        <v/>
      </c>
      <c r="I2981" s="122">
        <f>TEXT(F2981,"0")&amp;TEXT(G2981,"0")&amp;TEXT(H2981,"0")</f>
        <v/>
      </c>
      <c r="J2981" s="122">
        <f>IFERROR(XLOOKUP(I2981,'Segment Map'!A:A,'Segment Map'!B:B,"Need Attention"),"Need Attention")</f>
        <v/>
      </c>
      <c r="K2981" s="122">
        <f>IF(E2981&gt;=5000,"🏆 Platinum",IF(E2981&gt;=2000,"🥇 Gold",IF(E2981&gt;=800,"🥈 Silver","🥉 Bronze")))</f>
        <v/>
      </c>
      <c r="L2981" s="125" t="n">
        <v>40584</v>
      </c>
    </row>
    <row r="2982">
      <c r="A2982" s="126" t="n">
        <v>16406</v>
      </c>
      <c r="B2982" s="126" t="inlineStr">
        <is>
          <t>United Kingdom</t>
        </is>
      </c>
      <c r="C2982" s="126" t="n">
        <v>19</v>
      </c>
      <c r="D2982" s="126" t="n">
        <v>1</v>
      </c>
      <c r="E2982" s="127" t="n">
        <v>163.07</v>
      </c>
      <c r="F2982" s="128">
        <f>IF(C2982&lt;=30,5,IF(C2982&lt;=60,4,IF(C2982&lt;=120,3,IF(C2982&lt;=200,2,1))))</f>
        <v/>
      </c>
      <c r="G2982" s="128">
        <f>IF(D2982&gt;=20,5,IF(D2982&gt;=10,4,IF(D2982&gt;=5,3,IF(D2982&gt;=2,2,1))))</f>
        <v/>
      </c>
      <c r="H2982" s="128">
        <f>IF(E2982&gt;=5000,5,IF(E2982&gt;=2000,4,IF(E2982&gt;=800,3,IF(E2982&gt;=300,2,1))))</f>
        <v/>
      </c>
      <c r="I2982" s="126">
        <f>TEXT(F2982,"0")&amp;TEXT(G2982,"0")&amp;TEXT(H2982,"0")</f>
        <v/>
      </c>
      <c r="J2982" s="126">
        <f>IFERROR(XLOOKUP(I2982,'Segment Map'!A:A,'Segment Map'!B:B,"Need Attention"),"Need Attention")</f>
        <v/>
      </c>
      <c r="K2982" s="126">
        <f>IF(E2982&gt;=5000,"🏆 Platinum",IF(E2982&gt;=2000,"🥇 Gold",IF(E2982&gt;=800,"🥈 Silver","🥉 Bronze")))</f>
        <v/>
      </c>
      <c r="L2982" s="129" t="n">
        <v>40868</v>
      </c>
    </row>
    <row r="2983">
      <c r="A2983" s="122" t="n">
        <v>16407</v>
      </c>
      <c r="B2983" s="122" t="inlineStr">
        <is>
          <t>United Kingdom</t>
        </is>
      </c>
      <c r="C2983" s="122" t="n">
        <v>13</v>
      </c>
      <c r="D2983" s="122" t="n">
        <v>10</v>
      </c>
      <c r="E2983" s="123" t="n">
        <v>2126.93</v>
      </c>
      <c r="F2983" s="124">
        <f>IF(C2983&lt;=30,5,IF(C2983&lt;=60,4,IF(C2983&lt;=120,3,IF(C2983&lt;=200,2,1))))</f>
        <v/>
      </c>
      <c r="G2983" s="124">
        <f>IF(D2983&gt;=20,5,IF(D2983&gt;=10,4,IF(D2983&gt;=5,3,IF(D2983&gt;=2,2,1))))</f>
        <v/>
      </c>
      <c r="H2983" s="124">
        <f>IF(E2983&gt;=5000,5,IF(E2983&gt;=2000,4,IF(E2983&gt;=800,3,IF(E2983&gt;=300,2,1))))</f>
        <v/>
      </c>
      <c r="I2983" s="122">
        <f>TEXT(F2983,"0")&amp;TEXT(G2983,"0")&amp;TEXT(H2983,"0")</f>
        <v/>
      </c>
      <c r="J2983" s="122">
        <f>IFERROR(XLOOKUP(I2983,'Segment Map'!A:A,'Segment Map'!B:B,"Need Attention"),"Need Attention")</f>
        <v/>
      </c>
      <c r="K2983" s="122">
        <f>IF(E2983&gt;=5000,"🏆 Platinum",IF(E2983&gt;=2000,"🥇 Gold",IF(E2983&gt;=800,"🥈 Silver","🥉 Bronze")))</f>
        <v/>
      </c>
      <c r="L2983" s="125" t="n">
        <v>40874</v>
      </c>
    </row>
    <row r="2984">
      <c r="A2984" s="126" t="n">
        <v>16409</v>
      </c>
      <c r="B2984" s="126" t="inlineStr">
        <is>
          <t>United Kingdom</t>
        </is>
      </c>
      <c r="C2984" s="126" t="n">
        <v>37</v>
      </c>
      <c r="D2984" s="126" t="n">
        <v>5</v>
      </c>
      <c r="E2984" s="127" t="n">
        <v>2028.88</v>
      </c>
      <c r="F2984" s="128">
        <f>IF(C2984&lt;=30,5,IF(C2984&lt;=60,4,IF(C2984&lt;=120,3,IF(C2984&lt;=200,2,1))))</f>
        <v/>
      </c>
      <c r="G2984" s="128">
        <f>IF(D2984&gt;=20,5,IF(D2984&gt;=10,4,IF(D2984&gt;=5,3,IF(D2984&gt;=2,2,1))))</f>
        <v/>
      </c>
      <c r="H2984" s="128">
        <f>IF(E2984&gt;=5000,5,IF(E2984&gt;=2000,4,IF(E2984&gt;=800,3,IF(E2984&gt;=300,2,1))))</f>
        <v/>
      </c>
      <c r="I2984" s="126">
        <f>TEXT(F2984,"0")&amp;TEXT(G2984,"0")&amp;TEXT(H2984,"0")</f>
        <v/>
      </c>
      <c r="J2984" s="126">
        <f>IFERROR(XLOOKUP(I2984,'Segment Map'!A:A,'Segment Map'!B:B,"Need Attention"),"Need Attention")</f>
        <v/>
      </c>
      <c r="K2984" s="126">
        <f>IF(E2984&gt;=5000,"🏆 Platinum",IF(E2984&gt;=2000,"🥇 Gold",IF(E2984&gt;=800,"🥈 Silver","🥉 Bronze")))</f>
        <v/>
      </c>
      <c r="L2984" s="129" t="n">
        <v>40850</v>
      </c>
    </row>
    <row r="2985">
      <c r="A2985" s="122" t="n">
        <v>16411</v>
      </c>
      <c r="B2985" s="122" t="inlineStr">
        <is>
          <t>United Kingdom</t>
        </is>
      </c>
      <c r="C2985" s="122" t="n">
        <v>20</v>
      </c>
      <c r="D2985" s="122" t="n">
        <v>2</v>
      </c>
      <c r="E2985" s="123" t="n">
        <v>214.65</v>
      </c>
      <c r="F2985" s="124">
        <f>IF(C2985&lt;=30,5,IF(C2985&lt;=60,4,IF(C2985&lt;=120,3,IF(C2985&lt;=200,2,1))))</f>
        <v/>
      </c>
      <c r="G2985" s="124">
        <f>IF(D2985&gt;=20,5,IF(D2985&gt;=10,4,IF(D2985&gt;=5,3,IF(D2985&gt;=2,2,1))))</f>
        <v/>
      </c>
      <c r="H2985" s="124">
        <f>IF(E2985&gt;=5000,5,IF(E2985&gt;=2000,4,IF(E2985&gt;=800,3,IF(E2985&gt;=300,2,1))))</f>
        <v/>
      </c>
      <c r="I2985" s="122">
        <f>TEXT(F2985,"0")&amp;TEXT(G2985,"0")&amp;TEXT(H2985,"0")</f>
        <v/>
      </c>
      <c r="J2985" s="122">
        <f>IFERROR(XLOOKUP(I2985,'Segment Map'!A:A,'Segment Map'!B:B,"Need Attention"),"Need Attention")</f>
        <v/>
      </c>
      <c r="K2985" s="122">
        <f>IF(E2985&gt;=5000,"🏆 Platinum",IF(E2985&gt;=2000,"🥇 Gold",IF(E2985&gt;=800,"🥈 Silver","🥉 Bronze")))</f>
        <v/>
      </c>
      <c r="L2985" s="125" t="n">
        <v>40867</v>
      </c>
    </row>
    <row r="2986">
      <c r="A2986" s="126" t="n">
        <v>16412</v>
      </c>
      <c r="B2986" s="126" t="inlineStr">
        <is>
          <t>United Kingdom</t>
        </is>
      </c>
      <c r="C2986" s="126" t="n">
        <v>54</v>
      </c>
      <c r="D2986" s="126" t="n">
        <v>1</v>
      </c>
      <c r="E2986" s="127" t="n">
        <v>151.83</v>
      </c>
      <c r="F2986" s="128">
        <f>IF(C2986&lt;=30,5,IF(C2986&lt;=60,4,IF(C2986&lt;=120,3,IF(C2986&lt;=200,2,1))))</f>
        <v/>
      </c>
      <c r="G2986" s="128">
        <f>IF(D2986&gt;=20,5,IF(D2986&gt;=10,4,IF(D2986&gt;=5,3,IF(D2986&gt;=2,2,1))))</f>
        <v/>
      </c>
      <c r="H2986" s="128">
        <f>IF(E2986&gt;=5000,5,IF(E2986&gt;=2000,4,IF(E2986&gt;=800,3,IF(E2986&gt;=300,2,1))))</f>
        <v/>
      </c>
      <c r="I2986" s="126">
        <f>TEXT(F2986,"0")&amp;TEXT(G2986,"0")&amp;TEXT(H2986,"0")</f>
        <v/>
      </c>
      <c r="J2986" s="126">
        <f>IFERROR(XLOOKUP(I2986,'Segment Map'!A:A,'Segment Map'!B:B,"Need Attention"),"Need Attention")</f>
        <v/>
      </c>
      <c r="K2986" s="126">
        <f>IF(E2986&gt;=5000,"🏆 Platinum",IF(E2986&gt;=2000,"🥇 Gold",IF(E2986&gt;=800,"🥈 Silver","🥉 Bronze")))</f>
        <v/>
      </c>
      <c r="L2986" s="129" t="n">
        <v>40833</v>
      </c>
    </row>
    <row r="2987">
      <c r="A2987" s="122" t="n">
        <v>16413</v>
      </c>
      <c r="B2987" s="122" t="inlineStr">
        <is>
          <t>United Kingdom</t>
        </is>
      </c>
      <c r="C2987" s="122" t="n">
        <v>57</v>
      </c>
      <c r="D2987" s="122" t="n">
        <v>1</v>
      </c>
      <c r="E2987" s="123" t="n">
        <v>262.2</v>
      </c>
      <c r="F2987" s="124">
        <f>IF(C2987&lt;=30,5,IF(C2987&lt;=60,4,IF(C2987&lt;=120,3,IF(C2987&lt;=200,2,1))))</f>
        <v/>
      </c>
      <c r="G2987" s="124">
        <f>IF(D2987&gt;=20,5,IF(D2987&gt;=10,4,IF(D2987&gt;=5,3,IF(D2987&gt;=2,2,1))))</f>
        <v/>
      </c>
      <c r="H2987" s="124">
        <f>IF(E2987&gt;=5000,5,IF(E2987&gt;=2000,4,IF(E2987&gt;=800,3,IF(E2987&gt;=300,2,1))))</f>
        <v/>
      </c>
      <c r="I2987" s="122">
        <f>TEXT(F2987,"0")&amp;TEXT(G2987,"0")&amp;TEXT(H2987,"0")</f>
        <v/>
      </c>
      <c r="J2987" s="122">
        <f>IFERROR(XLOOKUP(I2987,'Segment Map'!A:A,'Segment Map'!B:B,"Need Attention"),"Need Attention")</f>
        <v/>
      </c>
      <c r="K2987" s="122">
        <f>IF(E2987&gt;=5000,"🏆 Platinum",IF(E2987&gt;=2000,"🥇 Gold",IF(E2987&gt;=800,"🥈 Silver","🥉 Bronze")))</f>
        <v/>
      </c>
      <c r="L2987" s="125" t="n">
        <v>40830</v>
      </c>
    </row>
    <row r="2988">
      <c r="A2988" s="126" t="n">
        <v>16414</v>
      </c>
      <c r="B2988" s="126" t="inlineStr">
        <is>
          <t>United Kingdom</t>
        </is>
      </c>
      <c r="C2988" s="126" t="n">
        <v>22</v>
      </c>
      <c r="D2988" s="126" t="n">
        <v>2</v>
      </c>
      <c r="E2988" s="127" t="n">
        <v>126.25</v>
      </c>
      <c r="F2988" s="128">
        <f>IF(C2988&lt;=30,5,IF(C2988&lt;=60,4,IF(C2988&lt;=120,3,IF(C2988&lt;=200,2,1))))</f>
        <v/>
      </c>
      <c r="G2988" s="128">
        <f>IF(D2988&gt;=20,5,IF(D2988&gt;=10,4,IF(D2988&gt;=5,3,IF(D2988&gt;=2,2,1))))</f>
        <v/>
      </c>
      <c r="H2988" s="128">
        <f>IF(E2988&gt;=5000,5,IF(E2988&gt;=2000,4,IF(E2988&gt;=800,3,IF(E2988&gt;=300,2,1))))</f>
        <v/>
      </c>
      <c r="I2988" s="126">
        <f>TEXT(F2988,"0")&amp;TEXT(G2988,"0")&amp;TEXT(H2988,"0")</f>
        <v/>
      </c>
      <c r="J2988" s="126">
        <f>IFERROR(XLOOKUP(I2988,'Segment Map'!A:A,'Segment Map'!B:B,"Need Attention"),"Need Attention")</f>
        <v/>
      </c>
      <c r="K2988" s="126">
        <f>IF(E2988&gt;=5000,"🏆 Platinum",IF(E2988&gt;=2000,"🥇 Gold",IF(E2988&gt;=800,"🥈 Silver","🥉 Bronze")))</f>
        <v/>
      </c>
      <c r="L2988" s="129" t="n">
        <v>40865</v>
      </c>
    </row>
    <row r="2989">
      <c r="A2989" s="122" t="n">
        <v>16415</v>
      </c>
      <c r="B2989" s="122" t="inlineStr">
        <is>
          <t>United Kingdom</t>
        </is>
      </c>
      <c r="C2989" s="122" t="n">
        <v>45</v>
      </c>
      <c r="D2989" s="122" t="n">
        <v>1</v>
      </c>
      <c r="E2989" s="123" t="n">
        <v>210.35</v>
      </c>
      <c r="F2989" s="124">
        <f>IF(C2989&lt;=30,5,IF(C2989&lt;=60,4,IF(C2989&lt;=120,3,IF(C2989&lt;=200,2,1))))</f>
        <v/>
      </c>
      <c r="G2989" s="124">
        <f>IF(D2989&gt;=20,5,IF(D2989&gt;=10,4,IF(D2989&gt;=5,3,IF(D2989&gt;=2,2,1))))</f>
        <v/>
      </c>
      <c r="H2989" s="124">
        <f>IF(E2989&gt;=5000,5,IF(E2989&gt;=2000,4,IF(E2989&gt;=800,3,IF(E2989&gt;=300,2,1))))</f>
        <v/>
      </c>
      <c r="I2989" s="122">
        <f>TEXT(F2989,"0")&amp;TEXT(G2989,"0")&amp;TEXT(H2989,"0")</f>
        <v/>
      </c>
      <c r="J2989" s="122">
        <f>IFERROR(XLOOKUP(I2989,'Segment Map'!A:A,'Segment Map'!B:B,"Need Attention"),"Need Attention")</f>
        <v/>
      </c>
      <c r="K2989" s="122">
        <f>IF(E2989&gt;=5000,"🏆 Platinum",IF(E2989&gt;=2000,"🥇 Gold",IF(E2989&gt;=800,"🥈 Silver","🥉 Bronze")))</f>
        <v/>
      </c>
      <c r="L2989" s="125" t="n">
        <v>40842</v>
      </c>
    </row>
    <row r="2990">
      <c r="A2990" s="126" t="n">
        <v>16416</v>
      </c>
      <c r="B2990" s="126" t="inlineStr">
        <is>
          <t>United Kingdom</t>
        </is>
      </c>
      <c r="C2990" s="126" t="n">
        <v>27</v>
      </c>
      <c r="D2990" s="126" t="n">
        <v>3</v>
      </c>
      <c r="E2990" s="127" t="n">
        <v>1051.4</v>
      </c>
      <c r="F2990" s="128">
        <f>IF(C2990&lt;=30,5,IF(C2990&lt;=60,4,IF(C2990&lt;=120,3,IF(C2990&lt;=200,2,1))))</f>
        <v/>
      </c>
      <c r="G2990" s="128">
        <f>IF(D2990&gt;=20,5,IF(D2990&gt;=10,4,IF(D2990&gt;=5,3,IF(D2990&gt;=2,2,1))))</f>
        <v/>
      </c>
      <c r="H2990" s="128">
        <f>IF(E2990&gt;=5000,5,IF(E2990&gt;=2000,4,IF(E2990&gt;=800,3,IF(E2990&gt;=300,2,1))))</f>
        <v/>
      </c>
      <c r="I2990" s="126">
        <f>TEXT(F2990,"0")&amp;TEXT(G2990,"0")&amp;TEXT(H2990,"0")</f>
        <v/>
      </c>
      <c r="J2990" s="126">
        <f>IFERROR(XLOOKUP(I2990,'Segment Map'!A:A,'Segment Map'!B:B,"Need Attention"),"Need Attention")</f>
        <v/>
      </c>
      <c r="K2990" s="126">
        <f>IF(E2990&gt;=5000,"🏆 Platinum",IF(E2990&gt;=2000,"🥇 Gold",IF(E2990&gt;=800,"🥈 Silver","🥉 Bronze")))</f>
        <v/>
      </c>
      <c r="L2990" s="129" t="n">
        <v>40860</v>
      </c>
    </row>
    <row r="2991">
      <c r="A2991" s="122" t="n">
        <v>16418</v>
      </c>
      <c r="B2991" s="122" t="inlineStr">
        <is>
          <t>United Kingdom</t>
        </is>
      </c>
      <c r="C2991" s="122" t="n">
        <v>45</v>
      </c>
      <c r="D2991" s="122" t="n">
        <v>3</v>
      </c>
      <c r="E2991" s="123" t="n">
        <v>675.27</v>
      </c>
      <c r="F2991" s="124">
        <f>IF(C2991&lt;=30,5,IF(C2991&lt;=60,4,IF(C2991&lt;=120,3,IF(C2991&lt;=200,2,1))))</f>
        <v/>
      </c>
      <c r="G2991" s="124">
        <f>IF(D2991&gt;=20,5,IF(D2991&gt;=10,4,IF(D2991&gt;=5,3,IF(D2991&gt;=2,2,1))))</f>
        <v/>
      </c>
      <c r="H2991" s="124">
        <f>IF(E2991&gt;=5000,5,IF(E2991&gt;=2000,4,IF(E2991&gt;=800,3,IF(E2991&gt;=300,2,1))))</f>
        <v/>
      </c>
      <c r="I2991" s="122">
        <f>TEXT(F2991,"0")&amp;TEXT(G2991,"0")&amp;TEXT(H2991,"0")</f>
        <v/>
      </c>
      <c r="J2991" s="122">
        <f>IFERROR(XLOOKUP(I2991,'Segment Map'!A:A,'Segment Map'!B:B,"Need Attention"),"Need Attention")</f>
        <v/>
      </c>
      <c r="K2991" s="122">
        <f>IF(E2991&gt;=5000,"🏆 Platinum",IF(E2991&gt;=2000,"🥇 Gold",IF(E2991&gt;=800,"🥈 Silver","🥉 Bronze")))</f>
        <v/>
      </c>
      <c r="L2991" s="125" t="n">
        <v>40842</v>
      </c>
    </row>
    <row r="2992">
      <c r="A2992" s="126" t="n">
        <v>16419</v>
      </c>
      <c r="B2992" s="126" t="inlineStr">
        <is>
          <t>United Kingdom</t>
        </is>
      </c>
      <c r="C2992" s="126" t="n">
        <v>113</v>
      </c>
      <c r="D2992" s="126" t="n">
        <v>6</v>
      </c>
      <c r="E2992" s="127" t="n">
        <v>972.23</v>
      </c>
      <c r="F2992" s="128">
        <f>IF(C2992&lt;=30,5,IF(C2992&lt;=60,4,IF(C2992&lt;=120,3,IF(C2992&lt;=200,2,1))))</f>
        <v/>
      </c>
      <c r="G2992" s="128">
        <f>IF(D2992&gt;=20,5,IF(D2992&gt;=10,4,IF(D2992&gt;=5,3,IF(D2992&gt;=2,2,1))))</f>
        <v/>
      </c>
      <c r="H2992" s="128">
        <f>IF(E2992&gt;=5000,5,IF(E2992&gt;=2000,4,IF(E2992&gt;=800,3,IF(E2992&gt;=300,2,1))))</f>
        <v/>
      </c>
      <c r="I2992" s="126">
        <f>TEXT(F2992,"0")&amp;TEXT(G2992,"0")&amp;TEXT(H2992,"0")</f>
        <v/>
      </c>
      <c r="J2992" s="126">
        <f>IFERROR(XLOOKUP(I2992,'Segment Map'!A:A,'Segment Map'!B:B,"Need Attention"),"Need Attention")</f>
        <v/>
      </c>
      <c r="K2992" s="126">
        <f>IF(E2992&gt;=5000,"🏆 Platinum",IF(E2992&gt;=2000,"🥇 Gold",IF(E2992&gt;=800,"🥈 Silver","🥉 Bronze")))</f>
        <v/>
      </c>
      <c r="L2992" s="129" t="n">
        <v>40774</v>
      </c>
    </row>
    <row r="2993">
      <c r="A2993" s="122" t="n">
        <v>16422</v>
      </c>
      <c r="B2993" s="122" t="inlineStr">
        <is>
          <t>United Kingdom</t>
        </is>
      </c>
      <c r="C2993" s="122" t="n">
        <v>18</v>
      </c>
      <c r="D2993" s="122" t="n">
        <v>51</v>
      </c>
      <c r="E2993" s="123" t="n">
        <v>34684.4</v>
      </c>
      <c r="F2993" s="124">
        <f>IF(C2993&lt;=30,5,IF(C2993&lt;=60,4,IF(C2993&lt;=120,3,IF(C2993&lt;=200,2,1))))</f>
        <v/>
      </c>
      <c r="G2993" s="124">
        <f>IF(D2993&gt;=20,5,IF(D2993&gt;=10,4,IF(D2993&gt;=5,3,IF(D2993&gt;=2,2,1))))</f>
        <v/>
      </c>
      <c r="H2993" s="124">
        <f>IF(E2993&gt;=5000,5,IF(E2993&gt;=2000,4,IF(E2993&gt;=800,3,IF(E2993&gt;=300,2,1))))</f>
        <v/>
      </c>
      <c r="I2993" s="122">
        <f>TEXT(F2993,"0")&amp;TEXT(G2993,"0")&amp;TEXT(H2993,"0")</f>
        <v/>
      </c>
      <c r="J2993" s="122">
        <f>IFERROR(XLOOKUP(I2993,'Segment Map'!A:A,'Segment Map'!B:B,"Need Attention"),"Need Attention")</f>
        <v/>
      </c>
      <c r="K2993" s="122">
        <f>IF(E2993&gt;=5000,"🏆 Platinum",IF(E2993&gt;=2000,"🥇 Gold",IF(E2993&gt;=800,"🥈 Silver","🥉 Bronze")))</f>
        <v/>
      </c>
      <c r="L2993" s="125" t="n">
        <v>40869</v>
      </c>
    </row>
    <row r="2994">
      <c r="A2994" s="126" t="n">
        <v>16423</v>
      </c>
      <c r="B2994" s="126" t="inlineStr">
        <is>
          <t>United Kingdom</t>
        </is>
      </c>
      <c r="C2994" s="126" t="n">
        <v>25</v>
      </c>
      <c r="D2994" s="126" t="n">
        <v>1</v>
      </c>
      <c r="E2994" s="127" t="n">
        <v>346.12</v>
      </c>
      <c r="F2994" s="128">
        <f>IF(C2994&lt;=30,5,IF(C2994&lt;=60,4,IF(C2994&lt;=120,3,IF(C2994&lt;=200,2,1))))</f>
        <v/>
      </c>
      <c r="G2994" s="128">
        <f>IF(D2994&gt;=20,5,IF(D2994&gt;=10,4,IF(D2994&gt;=5,3,IF(D2994&gt;=2,2,1))))</f>
        <v/>
      </c>
      <c r="H2994" s="128">
        <f>IF(E2994&gt;=5000,5,IF(E2994&gt;=2000,4,IF(E2994&gt;=800,3,IF(E2994&gt;=300,2,1))))</f>
        <v/>
      </c>
      <c r="I2994" s="126">
        <f>TEXT(F2994,"0")&amp;TEXT(G2994,"0")&amp;TEXT(H2994,"0")</f>
        <v/>
      </c>
      <c r="J2994" s="126">
        <f>IFERROR(XLOOKUP(I2994,'Segment Map'!A:A,'Segment Map'!B:B,"Need Attention"),"Need Attention")</f>
        <v/>
      </c>
      <c r="K2994" s="126">
        <f>IF(E2994&gt;=5000,"🏆 Platinum",IF(E2994&gt;=2000,"🥇 Gold",IF(E2994&gt;=800,"🥈 Silver","🥉 Bronze")))</f>
        <v/>
      </c>
      <c r="L2994" s="129" t="n">
        <v>40862</v>
      </c>
    </row>
    <row r="2995">
      <c r="A2995" s="122" t="n">
        <v>16424</v>
      </c>
      <c r="B2995" s="122" t="inlineStr">
        <is>
          <t>United Kingdom</t>
        </is>
      </c>
      <c r="C2995" s="122" t="n">
        <v>192</v>
      </c>
      <c r="D2995" s="122" t="n">
        <v>1</v>
      </c>
      <c r="E2995" s="123" t="n">
        <v>133.56</v>
      </c>
      <c r="F2995" s="124">
        <f>IF(C2995&lt;=30,5,IF(C2995&lt;=60,4,IF(C2995&lt;=120,3,IF(C2995&lt;=200,2,1))))</f>
        <v/>
      </c>
      <c r="G2995" s="124">
        <f>IF(D2995&gt;=20,5,IF(D2995&gt;=10,4,IF(D2995&gt;=5,3,IF(D2995&gt;=2,2,1))))</f>
        <v/>
      </c>
      <c r="H2995" s="124">
        <f>IF(E2995&gt;=5000,5,IF(E2995&gt;=2000,4,IF(E2995&gt;=800,3,IF(E2995&gt;=300,2,1))))</f>
        <v/>
      </c>
      <c r="I2995" s="122">
        <f>TEXT(F2995,"0")&amp;TEXT(G2995,"0")&amp;TEXT(H2995,"0")</f>
        <v/>
      </c>
      <c r="J2995" s="122">
        <f>IFERROR(XLOOKUP(I2995,'Segment Map'!A:A,'Segment Map'!B:B,"Need Attention"),"Need Attention")</f>
        <v/>
      </c>
      <c r="K2995" s="122">
        <f>IF(E2995&gt;=5000,"🏆 Platinum",IF(E2995&gt;=2000,"🥇 Gold",IF(E2995&gt;=800,"🥈 Silver","🥉 Bronze")))</f>
        <v/>
      </c>
      <c r="L2995" s="125" t="n">
        <v>40695</v>
      </c>
    </row>
    <row r="2996">
      <c r="A2996" s="126" t="n">
        <v>16425</v>
      </c>
      <c r="B2996" s="126" t="inlineStr">
        <is>
          <t>United Kingdom</t>
        </is>
      </c>
      <c r="C2996" s="126" t="n">
        <v>303</v>
      </c>
      <c r="D2996" s="126" t="n">
        <v>1</v>
      </c>
      <c r="E2996" s="127" t="n">
        <v>302.7</v>
      </c>
      <c r="F2996" s="128">
        <f>IF(C2996&lt;=30,5,IF(C2996&lt;=60,4,IF(C2996&lt;=120,3,IF(C2996&lt;=200,2,1))))</f>
        <v/>
      </c>
      <c r="G2996" s="128">
        <f>IF(D2996&gt;=20,5,IF(D2996&gt;=10,4,IF(D2996&gt;=5,3,IF(D2996&gt;=2,2,1))))</f>
        <v/>
      </c>
      <c r="H2996" s="128">
        <f>IF(E2996&gt;=5000,5,IF(E2996&gt;=2000,4,IF(E2996&gt;=800,3,IF(E2996&gt;=300,2,1))))</f>
        <v/>
      </c>
      <c r="I2996" s="126">
        <f>TEXT(F2996,"0")&amp;TEXT(G2996,"0")&amp;TEXT(H2996,"0")</f>
        <v/>
      </c>
      <c r="J2996" s="126">
        <f>IFERROR(XLOOKUP(I2996,'Segment Map'!A:A,'Segment Map'!B:B,"Need Attention"),"Need Attention")</f>
        <v/>
      </c>
      <c r="K2996" s="126">
        <f>IF(E2996&gt;=5000,"🏆 Platinum",IF(E2996&gt;=2000,"🥇 Gold",IF(E2996&gt;=800,"🥈 Silver","🥉 Bronze")))</f>
        <v/>
      </c>
      <c r="L2996" s="129" t="n">
        <v>40584</v>
      </c>
    </row>
    <row r="2997">
      <c r="A2997" s="122" t="n">
        <v>16426</v>
      </c>
      <c r="B2997" s="122" t="inlineStr">
        <is>
          <t>United Kingdom</t>
        </is>
      </c>
      <c r="C2997" s="122" t="n">
        <v>3</v>
      </c>
      <c r="D2997" s="122" t="n">
        <v>10</v>
      </c>
      <c r="E2997" s="123" t="n">
        <v>1908.25</v>
      </c>
      <c r="F2997" s="124">
        <f>IF(C2997&lt;=30,5,IF(C2997&lt;=60,4,IF(C2997&lt;=120,3,IF(C2997&lt;=200,2,1))))</f>
        <v/>
      </c>
      <c r="G2997" s="124">
        <f>IF(D2997&gt;=20,5,IF(D2997&gt;=10,4,IF(D2997&gt;=5,3,IF(D2997&gt;=2,2,1))))</f>
        <v/>
      </c>
      <c r="H2997" s="124">
        <f>IF(E2997&gt;=5000,5,IF(E2997&gt;=2000,4,IF(E2997&gt;=800,3,IF(E2997&gt;=300,2,1))))</f>
        <v/>
      </c>
      <c r="I2997" s="122">
        <f>TEXT(F2997,"0")&amp;TEXT(G2997,"0")&amp;TEXT(H2997,"0")</f>
        <v/>
      </c>
      <c r="J2997" s="122">
        <f>IFERROR(XLOOKUP(I2997,'Segment Map'!A:A,'Segment Map'!B:B,"Need Attention"),"Need Attention")</f>
        <v/>
      </c>
      <c r="K2997" s="122">
        <f>IF(E2997&gt;=5000,"🏆 Platinum",IF(E2997&gt;=2000,"🥇 Gold",IF(E2997&gt;=800,"🥈 Silver","🥉 Bronze")))</f>
        <v/>
      </c>
      <c r="L2997" s="125" t="n">
        <v>40884</v>
      </c>
    </row>
    <row r="2998">
      <c r="A2998" s="126" t="n">
        <v>16427</v>
      </c>
      <c r="B2998" s="126" t="inlineStr">
        <is>
          <t>United Kingdom</t>
        </is>
      </c>
      <c r="C2998" s="126" t="n">
        <v>264</v>
      </c>
      <c r="D2998" s="126" t="n">
        <v>2</v>
      </c>
      <c r="E2998" s="127" t="n">
        <v>241.06</v>
      </c>
      <c r="F2998" s="128">
        <f>IF(C2998&lt;=30,5,IF(C2998&lt;=60,4,IF(C2998&lt;=120,3,IF(C2998&lt;=200,2,1))))</f>
        <v/>
      </c>
      <c r="G2998" s="128">
        <f>IF(D2998&gt;=20,5,IF(D2998&gt;=10,4,IF(D2998&gt;=5,3,IF(D2998&gt;=2,2,1))))</f>
        <v/>
      </c>
      <c r="H2998" s="128">
        <f>IF(E2998&gt;=5000,5,IF(E2998&gt;=2000,4,IF(E2998&gt;=800,3,IF(E2998&gt;=300,2,1))))</f>
        <v/>
      </c>
      <c r="I2998" s="126">
        <f>TEXT(F2998,"0")&amp;TEXT(G2998,"0")&amp;TEXT(H2998,"0")</f>
        <v/>
      </c>
      <c r="J2998" s="126">
        <f>IFERROR(XLOOKUP(I2998,'Segment Map'!A:A,'Segment Map'!B:B,"Need Attention"),"Need Attention")</f>
        <v/>
      </c>
      <c r="K2998" s="126">
        <f>IF(E2998&gt;=5000,"🏆 Platinum",IF(E2998&gt;=2000,"🥇 Gold",IF(E2998&gt;=800,"🥈 Silver","🥉 Bronze")))</f>
        <v/>
      </c>
      <c r="L2998" s="129" t="n">
        <v>40623</v>
      </c>
    </row>
    <row r="2999">
      <c r="A2999" s="122" t="n">
        <v>16429</v>
      </c>
      <c r="B2999" s="122" t="inlineStr">
        <is>
          <t>United Kingdom</t>
        </is>
      </c>
      <c r="C2999" s="122" t="n">
        <v>107</v>
      </c>
      <c r="D2999" s="122" t="n">
        <v>1</v>
      </c>
      <c r="E2999" s="123" t="n">
        <v>284.55</v>
      </c>
      <c r="F2999" s="124">
        <f>IF(C2999&lt;=30,5,IF(C2999&lt;=60,4,IF(C2999&lt;=120,3,IF(C2999&lt;=200,2,1))))</f>
        <v/>
      </c>
      <c r="G2999" s="124">
        <f>IF(D2999&gt;=20,5,IF(D2999&gt;=10,4,IF(D2999&gt;=5,3,IF(D2999&gt;=2,2,1))))</f>
        <v/>
      </c>
      <c r="H2999" s="124">
        <f>IF(E2999&gt;=5000,5,IF(E2999&gt;=2000,4,IF(E2999&gt;=800,3,IF(E2999&gt;=300,2,1))))</f>
        <v/>
      </c>
      <c r="I2999" s="122">
        <f>TEXT(F2999,"0")&amp;TEXT(G2999,"0")&amp;TEXT(H2999,"0")</f>
        <v/>
      </c>
      <c r="J2999" s="122">
        <f>IFERROR(XLOOKUP(I2999,'Segment Map'!A:A,'Segment Map'!B:B,"Need Attention"),"Need Attention")</f>
        <v/>
      </c>
      <c r="K2999" s="122">
        <f>IF(E2999&gt;=5000,"🏆 Platinum",IF(E2999&gt;=2000,"🥇 Gold",IF(E2999&gt;=800,"🥈 Silver","🥉 Bronze")))</f>
        <v/>
      </c>
      <c r="L2999" s="125" t="n">
        <v>40780</v>
      </c>
    </row>
    <row r="3000">
      <c r="A3000" s="126" t="n">
        <v>16430</v>
      </c>
      <c r="B3000" s="126" t="inlineStr">
        <is>
          <t>United Kingdom</t>
        </is>
      </c>
      <c r="C3000" s="126" t="n">
        <v>58</v>
      </c>
      <c r="D3000" s="126" t="n">
        <v>1</v>
      </c>
      <c r="E3000" s="127" t="n">
        <v>300.85</v>
      </c>
      <c r="F3000" s="128">
        <f>IF(C3000&lt;=30,5,IF(C3000&lt;=60,4,IF(C3000&lt;=120,3,IF(C3000&lt;=200,2,1))))</f>
        <v/>
      </c>
      <c r="G3000" s="128">
        <f>IF(D3000&gt;=20,5,IF(D3000&gt;=10,4,IF(D3000&gt;=5,3,IF(D3000&gt;=2,2,1))))</f>
        <v/>
      </c>
      <c r="H3000" s="128">
        <f>IF(E3000&gt;=5000,5,IF(E3000&gt;=2000,4,IF(E3000&gt;=800,3,IF(E3000&gt;=300,2,1))))</f>
        <v/>
      </c>
      <c r="I3000" s="126">
        <f>TEXT(F3000,"0")&amp;TEXT(G3000,"0")&amp;TEXT(H3000,"0")</f>
        <v/>
      </c>
      <c r="J3000" s="126">
        <f>IFERROR(XLOOKUP(I3000,'Segment Map'!A:A,'Segment Map'!B:B,"Need Attention"),"Need Attention")</f>
        <v/>
      </c>
      <c r="K3000" s="126">
        <f>IF(E3000&gt;=5000,"🏆 Platinum",IF(E3000&gt;=2000,"🥇 Gold",IF(E3000&gt;=800,"🥈 Silver","🥉 Bronze")))</f>
        <v/>
      </c>
      <c r="L3000" s="129" t="n">
        <v>40829</v>
      </c>
    </row>
    <row r="3001">
      <c r="A3001" s="122" t="n">
        <v>16431</v>
      </c>
      <c r="B3001" s="122" t="inlineStr">
        <is>
          <t>United Kingdom</t>
        </is>
      </c>
      <c r="C3001" s="122" t="n">
        <v>214</v>
      </c>
      <c r="D3001" s="122" t="n">
        <v>3</v>
      </c>
      <c r="E3001" s="123" t="n">
        <v>642.8099999999999</v>
      </c>
      <c r="F3001" s="124">
        <f>IF(C3001&lt;=30,5,IF(C3001&lt;=60,4,IF(C3001&lt;=120,3,IF(C3001&lt;=200,2,1))))</f>
        <v/>
      </c>
      <c r="G3001" s="124">
        <f>IF(D3001&gt;=20,5,IF(D3001&gt;=10,4,IF(D3001&gt;=5,3,IF(D3001&gt;=2,2,1))))</f>
        <v/>
      </c>
      <c r="H3001" s="124">
        <f>IF(E3001&gt;=5000,5,IF(E3001&gt;=2000,4,IF(E3001&gt;=800,3,IF(E3001&gt;=300,2,1))))</f>
        <v/>
      </c>
      <c r="I3001" s="122">
        <f>TEXT(F3001,"0")&amp;TEXT(G3001,"0")&amp;TEXT(H3001,"0")</f>
        <v/>
      </c>
      <c r="J3001" s="122">
        <f>IFERROR(XLOOKUP(I3001,'Segment Map'!A:A,'Segment Map'!B:B,"Need Attention"),"Need Attention")</f>
        <v/>
      </c>
      <c r="K3001" s="122">
        <f>IF(E3001&gt;=5000,"🏆 Platinum",IF(E3001&gt;=2000,"🥇 Gold",IF(E3001&gt;=800,"🥈 Silver","🥉 Bronze")))</f>
        <v/>
      </c>
      <c r="L3001" s="125" t="n">
        <v>40673</v>
      </c>
    </row>
    <row r="3002">
      <c r="A3002" s="126" t="n">
        <v>16432</v>
      </c>
      <c r="B3002" s="126" t="inlineStr">
        <is>
          <t>United Kingdom</t>
        </is>
      </c>
      <c r="C3002" s="126" t="n">
        <v>65</v>
      </c>
      <c r="D3002" s="126" t="n">
        <v>1</v>
      </c>
      <c r="E3002" s="127" t="n">
        <v>287.4</v>
      </c>
      <c r="F3002" s="128">
        <f>IF(C3002&lt;=30,5,IF(C3002&lt;=60,4,IF(C3002&lt;=120,3,IF(C3002&lt;=200,2,1))))</f>
        <v/>
      </c>
      <c r="G3002" s="128">
        <f>IF(D3002&gt;=20,5,IF(D3002&gt;=10,4,IF(D3002&gt;=5,3,IF(D3002&gt;=2,2,1))))</f>
        <v/>
      </c>
      <c r="H3002" s="128">
        <f>IF(E3002&gt;=5000,5,IF(E3002&gt;=2000,4,IF(E3002&gt;=800,3,IF(E3002&gt;=300,2,1))))</f>
        <v/>
      </c>
      <c r="I3002" s="126">
        <f>TEXT(F3002,"0")&amp;TEXT(G3002,"0")&amp;TEXT(H3002,"0")</f>
        <v/>
      </c>
      <c r="J3002" s="126">
        <f>IFERROR(XLOOKUP(I3002,'Segment Map'!A:A,'Segment Map'!B:B,"Need Attention"),"Need Attention")</f>
        <v/>
      </c>
      <c r="K3002" s="126">
        <f>IF(E3002&gt;=5000,"🏆 Platinum",IF(E3002&gt;=2000,"🥇 Gold",IF(E3002&gt;=800,"🥈 Silver","🥉 Bronze")))</f>
        <v/>
      </c>
      <c r="L3002" s="129" t="n">
        <v>40822</v>
      </c>
    </row>
    <row r="3003">
      <c r="A3003" s="122" t="n">
        <v>16433</v>
      </c>
      <c r="B3003" s="122" t="inlineStr">
        <is>
          <t>United Kingdom</t>
        </is>
      </c>
      <c r="C3003" s="122" t="n">
        <v>29</v>
      </c>
      <c r="D3003" s="122" t="n">
        <v>1</v>
      </c>
      <c r="E3003" s="123" t="n">
        <v>184.26</v>
      </c>
      <c r="F3003" s="124">
        <f>IF(C3003&lt;=30,5,IF(C3003&lt;=60,4,IF(C3003&lt;=120,3,IF(C3003&lt;=200,2,1))))</f>
        <v/>
      </c>
      <c r="G3003" s="124">
        <f>IF(D3003&gt;=20,5,IF(D3003&gt;=10,4,IF(D3003&gt;=5,3,IF(D3003&gt;=2,2,1))))</f>
        <v/>
      </c>
      <c r="H3003" s="124">
        <f>IF(E3003&gt;=5000,5,IF(E3003&gt;=2000,4,IF(E3003&gt;=800,3,IF(E3003&gt;=300,2,1))))</f>
        <v/>
      </c>
      <c r="I3003" s="122">
        <f>TEXT(F3003,"0")&amp;TEXT(G3003,"0")&amp;TEXT(H3003,"0")</f>
        <v/>
      </c>
      <c r="J3003" s="122">
        <f>IFERROR(XLOOKUP(I3003,'Segment Map'!A:A,'Segment Map'!B:B,"Need Attention"),"Need Attention")</f>
        <v/>
      </c>
      <c r="K3003" s="122">
        <f>IF(E3003&gt;=5000,"🏆 Platinum",IF(E3003&gt;=2000,"🥇 Gold",IF(E3003&gt;=800,"🥈 Silver","🥉 Bronze")))</f>
        <v/>
      </c>
      <c r="L3003" s="125" t="n">
        <v>40858</v>
      </c>
    </row>
    <row r="3004">
      <c r="A3004" s="126" t="n">
        <v>16434</v>
      </c>
      <c r="B3004" s="126" t="inlineStr">
        <is>
          <t>United Kingdom</t>
        </is>
      </c>
      <c r="C3004" s="126" t="n">
        <v>30</v>
      </c>
      <c r="D3004" s="126" t="n">
        <v>7</v>
      </c>
      <c r="E3004" s="127" t="n">
        <v>1522.25</v>
      </c>
      <c r="F3004" s="128">
        <f>IF(C3004&lt;=30,5,IF(C3004&lt;=60,4,IF(C3004&lt;=120,3,IF(C3004&lt;=200,2,1))))</f>
        <v/>
      </c>
      <c r="G3004" s="128">
        <f>IF(D3004&gt;=20,5,IF(D3004&gt;=10,4,IF(D3004&gt;=5,3,IF(D3004&gt;=2,2,1))))</f>
        <v/>
      </c>
      <c r="H3004" s="128">
        <f>IF(E3004&gt;=5000,5,IF(E3004&gt;=2000,4,IF(E3004&gt;=800,3,IF(E3004&gt;=300,2,1))))</f>
        <v/>
      </c>
      <c r="I3004" s="126">
        <f>TEXT(F3004,"0")&amp;TEXT(G3004,"0")&amp;TEXT(H3004,"0")</f>
        <v/>
      </c>
      <c r="J3004" s="126">
        <f>IFERROR(XLOOKUP(I3004,'Segment Map'!A:A,'Segment Map'!B:B,"Need Attention"),"Need Attention")</f>
        <v/>
      </c>
      <c r="K3004" s="126">
        <f>IF(E3004&gt;=5000,"🏆 Platinum",IF(E3004&gt;=2000,"🥇 Gold",IF(E3004&gt;=800,"🥈 Silver","🥉 Bronze")))</f>
        <v/>
      </c>
      <c r="L3004" s="129" t="n">
        <v>40857</v>
      </c>
    </row>
    <row r="3005">
      <c r="A3005" s="122" t="n">
        <v>16438</v>
      </c>
      <c r="B3005" s="122" t="inlineStr">
        <is>
          <t>United Kingdom</t>
        </is>
      </c>
      <c r="C3005" s="122" t="n">
        <v>6</v>
      </c>
      <c r="D3005" s="122" t="n">
        <v>5</v>
      </c>
      <c r="E3005" s="123" t="n">
        <v>798.35</v>
      </c>
      <c r="F3005" s="124">
        <f>IF(C3005&lt;=30,5,IF(C3005&lt;=60,4,IF(C3005&lt;=120,3,IF(C3005&lt;=200,2,1))))</f>
        <v/>
      </c>
      <c r="G3005" s="124">
        <f>IF(D3005&gt;=20,5,IF(D3005&gt;=10,4,IF(D3005&gt;=5,3,IF(D3005&gt;=2,2,1))))</f>
        <v/>
      </c>
      <c r="H3005" s="124">
        <f>IF(E3005&gt;=5000,5,IF(E3005&gt;=2000,4,IF(E3005&gt;=800,3,IF(E3005&gt;=300,2,1))))</f>
        <v/>
      </c>
      <c r="I3005" s="122">
        <f>TEXT(F3005,"0")&amp;TEXT(G3005,"0")&amp;TEXT(H3005,"0")</f>
        <v/>
      </c>
      <c r="J3005" s="122">
        <f>IFERROR(XLOOKUP(I3005,'Segment Map'!A:A,'Segment Map'!B:B,"Need Attention"),"Need Attention")</f>
        <v/>
      </c>
      <c r="K3005" s="122">
        <f>IF(E3005&gt;=5000,"🏆 Platinum",IF(E3005&gt;=2000,"🥇 Gold",IF(E3005&gt;=800,"🥈 Silver","🥉 Bronze")))</f>
        <v/>
      </c>
      <c r="L3005" s="125" t="n">
        <v>40881</v>
      </c>
    </row>
    <row r="3006">
      <c r="A3006" s="126" t="n">
        <v>16440</v>
      </c>
      <c r="B3006" s="126" t="inlineStr">
        <is>
          <t>United Kingdom</t>
        </is>
      </c>
      <c r="C3006" s="126" t="n">
        <v>8</v>
      </c>
      <c r="D3006" s="126" t="n">
        <v>5</v>
      </c>
      <c r="E3006" s="127" t="n">
        <v>3640.67</v>
      </c>
      <c r="F3006" s="128">
        <f>IF(C3006&lt;=30,5,IF(C3006&lt;=60,4,IF(C3006&lt;=120,3,IF(C3006&lt;=200,2,1))))</f>
        <v/>
      </c>
      <c r="G3006" s="128">
        <f>IF(D3006&gt;=20,5,IF(D3006&gt;=10,4,IF(D3006&gt;=5,3,IF(D3006&gt;=2,2,1))))</f>
        <v/>
      </c>
      <c r="H3006" s="128">
        <f>IF(E3006&gt;=5000,5,IF(E3006&gt;=2000,4,IF(E3006&gt;=800,3,IF(E3006&gt;=300,2,1))))</f>
        <v/>
      </c>
      <c r="I3006" s="126">
        <f>TEXT(F3006,"0")&amp;TEXT(G3006,"0")&amp;TEXT(H3006,"0")</f>
        <v/>
      </c>
      <c r="J3006" s="126">
        <f>IFERROR(XLOOKUP(I3006,'Segment Map'!A:A,'Segment Map'!B:B,"Need Attention"),"Need Attention")</f>
        <v/>
      </c>
      <c r="K3006" s="126">
        <f>IF(E3006&gt;=5000,"🏆 Platinum",IF(E3006&gt;=2000,"🥇 Gold",IF(E3006&gt;=800,"🥈 Silver","🥉 Bronze")))</f>
        <v/>
      </c>
      <c r="L3006" s="129" t="n">
        <v>40879</v>
      </c>
    </row>
    <row r="3007">
      <c r="A3007" s="122" t="n">
        <v>16441</v>
      </c>
      <c r="B3007" s="122" t="inlineStr">
        <is>
          <t>United Kingdom</t>
        </is>
      </c>
      <c r="C3007" s="122" t="n">
        <v>68</v>
      </c>
      <c r="D3007" s="122" t="n">
        <v>2</v>
      </c>
      <c r="E3007" s="123" t="n">
        <v>381.2</v>
      </c>
      <c r="F3007" s="124">
        <f>IF(C3007&lt;=30,5,IF(C3007&lt;=60,4,IF(C3007&lt;=120,3,IF(C3007&lt;=200,2,1))))</f>
        <v/>
      </c>
      <c r="G3007" s="124">
        <f>IF(D3007&gt;=20,5,IF(D3007&gt;=10,4,IF(D3007&gt;=5,3,IF(D3007&gt;=2,2,1))))</f>
        <v/>
      </c>
      <c r="H3007" s="124">
        <f>IF(E3007&gt;=5000,5,IF(E3007&gt;=2000,4,IF(E3007&gt;=800,3,IF(E3007&gt;=300,2,1))))</f>
        <v/>
      </c>
      <c r="I3007" s="122">
        <f>TEXT(F3007,"0")&amp;TEXT(G3007,"0")&amp;TEXT(H3007,"0")</f>
        <v/>
      </c>
      <c r="J3007" s="122">
        <f>IFERROR(XLOOKUP(I3007,'Segment Map'!A:A,'Segment Map'!B:B,"Need Attention"),"Need Attention")</f>
        <v/>
      </c>
      <c r="K3007" s="122">
        <f>IF(E3007&gt;=5000,"🏆 Platinum",IF(E3007&gt;=2000,"🥇 Gold",IF(E3007&gt;=800,"🥈 Silver","🥉 Bronze")))</f>
        <v/>
      </c>
      <c r="L3007" s="125" t="n">
        <v>40819</v>
      </c>
    </row>
    <row r="3008">
      <c r="A3008" s="126" t="n">
        <v>16442</v>
      </c>
      <c r="B3008" s="126" t="inlineStr">
        <is>
          <t>United Kingdom</t>
        </is>
      </c>
      <c r="C3008" s="126" t="n">
        <v>2</v>
      </c>
      <c r="D3008" s="126" t="n">
        <v>3</v>
      </c>
      <c r="E3008" s="127" t="n">
        <v>616.79</v>
      </c>
      <c r="F3008" s="128">
        <f>IF(C3008&lt;=30,5,IF(C3008&lt;=60,4,IF(C3008&lt;=120,3,IF(C3008&lt;=200,2,1))))</f>
        <v/>
      </c>
      <c r="G3008" s="128">
        <f>IF(D3008&gt;=20,5,IF(D3008&gt;=10,4,IF(D3008&gt;=5,3,IF(D3008&gt;=2,2,1))))</f>
        <v/>
      </c>
      <c r="H3008" s="128">
        <f>IF(E3008&gt;=5000,5,IF(E3008&gt;=2000,4,IF(E3008&gt;=800,3,IF(E3008&gt;=300,2,1))))</f>
        <v/>
      </c>
      <c r="I3008" s="126">
        <f>TEXT(F3008,"0")&amp;TEXT(G3008,"0")&amp;TEXT(H3008,"0")</f>
        <v/>
      </c>
      <c r="J3008" s="126">
        <f>IFERROR(XLOOKUP(I3008,'Segment Map'!A:A,'Segment Map'!B:B,"Need Attention"),"Need Attention")</f>
        <v/>
      </c>
      <c r="K3008" s="126">
        <f>IF(E3008&gt;=5000,"🏆 Platinum",IF(E3008&gt;=2000,"🥇 Gold",IF(E3008&gt;=800,"🥈 Silver","🥉 Bronze")))</f>
        <v/>
      </c>
      <c r="L3008" s="129" t="n">
        <v>40885</v>
      </c>
    </row>
    <row r="3009">
      <c r="A3009" s="122" t="n">
        <v>16444</v>
      </c>
      <c r="B3009" s="122" t="inlineStr">
        <is>
          <t>United Kingdom</t>
        </is>
      </c>
      <c r="C3009" s="122" t="n">
        <v>47</v>
      </c>
      <c r="D3009" s="122" t="n">
        <v>4</v>
      </c>
      <c r="E3009" s="123" t="n">
        <v>654.67</v>
      </c>
      <c r="F3009" s="124">
        <f>IF(C3009&lt;=30,5,IF(C3009&lt;=60,4,IF(C3009&lt;=120,3,IF(C3009&lt;=200,2,1))))</f>
        <v/>
      </c>
      <c r="G3009" s="124">
        <f>IF(D3009&gt;=20,5,IF(D3009&gt;=10,4,IF(D3009&gt;=5,3,IF(D3009&gt;=2,2,1))))</f>
        <v/>
      </c>
      <c r="H3009" s="124">
        <f>IF(E3009&gt;=5000,5,IF(E3009&gt;=2000,4,IF(E3009&gt;=800,3,IF(E3009&gt;=300,2,1))))</f>
        <v/>
      </c>
      <c r="I3009" s="122">
        <f>TEXT(F3009,"0")&amp;TEXT(G3009,"0")&amp;TEXT(H3009,"0")</f>
        <v/>
      </c>
      <c r="J3009" s="122">
        <f>IFERROR(XLOOKUP(I3009,'Segment Map'!A:A,'Segment Map'!B:B,"Need Attention"),"Need Attention")</f>
        <v/>
      </c>
      <c r="K3009" s="122">
        <f>IF(E3009&gt;=5000,"🏆 Platinum",IF(E3009&gt;=2000,"🥇 Gold",IF(E3009&gt;=800,"🥈 Silver","🥉 Bronze")))</f>
        <v/>
      </c>
      <c r="L3009" s="125" t="n">
        <v>40840</v>
      </c>
    </row>
    <row r="3010">
      <c r="A3010" s="126" t="n">
        <v>16445</v>
      </c>
      <c r="B3010" s="126" t="inlineStr">
        <is>
          <t>United Kingdom</t>
        </is>
      </c>
      <c r="C3010" s="126" t="n">
        <v>34</v>
      </c>
      <c r="D3010" s="126" t="n">
        <v>1</v>
      </c>
      <c r="E3010" s="127" t="n">
        <v>230.51</v>
      </c>
      <c r="F3010" s="128">
        <f>IF(C3010&lt;=30,5,IF(C3010&lt;=60,4,IF(C3010&lt;=120,3,IF(C3010&lt;=200,2,1))))</f>
        <v/>
      </c>
      <c r="G3010" s="128">
        <f>IF(D3010&gt;=20,5,IF(D3010&gt;=10,4,IF(D3010&gt;=5,3,IF(D3010&gt;=2,2,1))))</f>
        <v/>
      </c>
      <c r="H3010" s="128">
        <f>IF(E3010&gt;=5000,5,IF(E3010&gt;=2000,4,IF(E3010&gt;=800,3,IF(E3010&gt;=300,2,1))))</f>
        <v/>
      </c>
      <c r="I3010" s="126">
        <f>TEXT(F3010,"0")&amp;TEXT(G3010,"0")&amp;TEXT(H3010,"0")</f>
        <v/>
      </c>
      <c r="J3010" s="126">
        <f>IFERROR(XLOOKUP(I3010,'Segment Map'!A:A,'Segment Map'!B:B,"Need Attention"),"Need Attention")</f>
        <v/>
      </c>
      <c r="K3010" s="126">
        <f>IF(E3010&gt;=5000,"🏆 Platinum",IF(E3010&gt;=2000,"🥇 Gold",IF(E3010&gt;=800,"🥈 Silver","🥉 Bronze")))</f>
        <v/>
      </c>
      <c r="L3010" s="129" t="n">
        <v>40853</v>
      </c>
    </row>
    <row r="3011">
      <c r="A3011" s="122" t="n">
        <v>16446</v>
      </c>
      <c r="B3011" s="122" t="inlineStr">
        <is>
          <t>United Kingdom</t>
        </is>
      </c>
      <c r="C3011" s="122" t="n">
        <v>1</v>
      </c>
      <c r="D3011" s="122" t="n">
        <v>2</v>
      </c>
      <c r="E3011" s="123" t="n">
        <v>168472.5</v>
      </c>
      <c r="F3011" s="124">
        <f>IF(C3011&lt;=30,5,IF(C3011&lt;=60,4,IF(C3011&lt;=120,3,IF(C3011&lt;=200,2,1))))</f>
        <v/>
      </c>
      <c r="G3011" s="124">
        <f>IF(D3011&gt;=20,5,IF(D3011&gt;=10,4,IF(D3011&gt;=5,3,IF(D3011&gt;=2,2,1))))</f>
        <v/>
      </c>
      <c r="H3011" s="124">
        <f>IF(E3011&gt;=5000,5,IF(E3011&gt;=2000,4,IF(E3011&gt;=800,3,IF(E3011&gt;=300,2,1))))</f>
        <v/>
      </c>
      <c r="I3011" s="122">
        <f>TEXT(F3011,"0")&amp;TEXT(G3011,"0")&amp;TEXT(H3011,"0")</f>
        <v/>
      </c>
      <c r="J3011" s="122">
        <f>IFERROR(XLOOKUP(I3011,'Segment Map'!A:A,'Segment Map'!B:B,"Need Attention"),"Need Attention")</f>
        <v/>
      </c>
      <c r="K3011" s="122">
        <f>IF(E3011&gt;=5000,"🏆 Platinum",IF(E3011&gt;=2000,"🥇 Gold",IF(E3011&gt;=800,"🥈 Silver","🥉 Bronze")))</f>
        <v/>
      </c>
      <c r="L3011" s="125" t="n">
        <v>40886</v>
      </c>
    </row>
    <row r="3012">
      <c r="A3012" s="126" t="n">
        <v>16447</v>
      </c>
      <c r="B3012" s="126" t="inlineStr">
        <is>
          <t>United Kingdom</t>
        </is>
      </c>
      <c r="C3012" s="126" t="n">
        <v>136</v>
      </c>
      <c r="D3012" s="126" t="n">
        <v>1</v>
      </c>
      <c r="E3012" s="127" t="n">
        <v>259.01</v>
      </c>
      <c r="F3012" s="128">
        <f>IF(C3012&lt;=30,5,IF(C3012&lt;=60,4,IF(C3012&lt;=120,3,IF(C3012&lt;=200,2,1))))</f>
        <v/>
      </c>
      <c r="G3012" s="128">
        <f>IF(D3012&gt;=20,5,IF(D3012&gt;=10,4,IF(D3012&gt;=5,3,IF(D3012&gt;=2,2,1))))</f>
        <v/>
      </c>
      <c r="H3012" s="128">
        <f>IF(E3012&gt;=5000,5,IF(E3012&gt;=2000,4,IF(E3012&gt;=800,3,IF(E3012&gt;=300,2,1))))</f>
        <v/>
      </c>
      <c r="I3012" s="126">
        <f>TEXT(F3012,"0")&amp;TEXT(G3012,"0")&amp;TEXT(H3012,"0")</f>
        <v/>
      </c>
      <c r="J3012" s="126">
        <f>IFERROR(XLOOKUP(I3012,'Segment Map'!A:A,'Segment Map'!B:B,"Need Attention"),"Need Attention")</f>
        <v/>
      </c>
      <c r="K3012" s="126">
        <f>IF(E3012&gt;=5000,"🏆 Platinum",IF(E3012&gt;=2000,"🥇 Gold",IF(E3012&gt;=800,"🥈 Silver","🥉 Bronze")))</f>
        <v/>
      </c>
      <c r="L3012" s="129" t="n">
        <v>40751</v>
      </c>
    </row>
    <row r="3013">
      <c r="A3013" s="122" t="n">
        <v>16448</v>
      </c>
      <c r="B3013" s="122" t="inlineStr">
        <is>
          <t>United Kingdom</t>
        </is>
      </c>
      <c r="C3013" s="122" t="n">
        <v>199</v>
      </c>
      <c r="D3013" s="122" t="n">
        <v>1</v>
      </c>
      <c r="E3013" s="123" t="n">
        <v>188.89</v>
      </c>
      <c r="F3013" s="124">
        <f>IF(C3013&lt;=30,5,IF(C3013&lt;=60,4,IF(C3013&lt;=120,3,IF(C3013&lt;=200,2,1))))</f>
        <v/>
      </c>
      <c r="G3013" s="124">
        <f>IF(D3013&gt;=20,5,IF(D3013&gt;=10,4,IF(D3013&gt;=5,3,IF(D3013&gt;=2,2,1))))</f>
        <v/>
      </c>
      <c r="H3013" s="124">
        <f>IF(E3013&gt;=5000,5,IF(E3013&gt;=2000,4,IF(E3013&gt;=800,3,IF(E3013&gt;=300,2,1))))</f>
        <v/>
      </c>
      <c r="I3013" s="122">
        <f>TEXT(F3013,"0")&amp;TEXT(G3013,"0")&amp;TEXT(H3013,"0")</f>
        <v/>
      </c>
      <c r="J3013" s="122">
        <f>IFERROR(XLOOKUP(I3013,'Segment Map'!A:A,'Segment Map'!B:B,"Need Attention"),"Need Attention")</f>
        <v/>
      </c>
      <c r="K3013" s="122">
        <f>IF(E3013&gt;=5000,"🏆 Platinum",IF(E3013&gt;=2000,"🥇 Gold",IF(E3013&gt;=800,"🥈 Silver","🥉 Bronze")))</f>
        <v/>
      </c>
      <c r="L3013" s="125" t="n">
        <v>40688</v>
      </c>
    </row>
    <row r="3014">
      <c r="A3014" s="126" t="n">
        <v>16449</v>
      </c>
      <c r="B3014" s="126" t="inlineStr">
        <is>
          <t>United Kingdom</t>
        </is>
      </c>
      <c r="C3014" s="126" t="n">
        <v>198</v>
      </c>
      <c r="D3014" s="126" t="n">
        <v>2</v>
      </c>
      <c r="E3014" s="127" t="n">
        <v>707.6900000000001</v>
      </c>
      <c r="F3014" s="128">
        <f>IF(C3014&lt;=30,5,IF(C3014&lt;=60,4,IF(C3014&lt;=120,3,IF(C3014&lt;=200,2,1))))</f>
        <v/>
      </c>
      <c r="G3014" s="128">
        <f>IF(D3014&gt;=20,5,IF(D3014&gt;=10,4,IF(D3014&gt;=5,3,IF(D3014&gt;=2,2,1))))</f>
        <v/>
      </c>
      <c r="H3014" s="128">
        <f>IF(E3014&gt;=5000,5,IF(E3014&gt;=2000,4,IF(E3014&gt;=800,3,IF(E3014&gt;=300,2,1))))</f>
        <v/>
      </c>
      <c r="I3014" s="126">
        <f>TEXT(F3014,"0")&amp;TEXT(G3014,"0")&amp;TEXT(H3014,"0")</f>
        <v/>
      </c>
      <c r="J3014" s="126">
        <f>IFERROR(XLOOKUP(I3014,'Segment Map'!A:A,'Segment Map'!B:B,"Need Attention"),"Need Attention")</f>
        <v/>
      </c>
      <c r="K3014" s="126">
        <f>IF(E3014&gt;=5000,"🏆 Platinum",IF(E3014&gt;=2000,"🥇 Gold",IF(E3014&gt;=800,"🥈 Silver","🥉 Bronze")))</f>
        <v/>
      </c>
      <c r="L3014" s="129" t="n">
        <v>40689</v>
      </c>
    </row>
    <row r="3015">
      <c r="A3015" s="122" t="n">
        <v>16450</v>
      </c>
      <c r="B3015" s="122" t="inlineStr">
        <is>
          <t>United Kingdom</t>
        </is>
      </c>
      <c r="C3015" s="122" t="n">
        <v>150</v>
      </c>
      <c r="D3015" s="122" t="n">
        <v>1</v>
      </c>
      <c r="E3015" s="123" t="n">
        <v>311.92</v>
      </c>
      <c r="F3015" s="124">
        <f>IF(C3015&lt;=30,5,IF(C3015&lt;=60,4,IF(C3015&lt;=120,3,IF(C3015&lt;=200,2,1))))</f>
        <v/>
      </c>
      <c r="G3015" s="124">
        <f>IF(D3015&gt;=20,5,IF(D3015&gt;=10,4,IF(D3015&gt;=5,3,IF(D3015&gt;=2,2,1))))</f>
        <v/>
      </c>
      <c r="H3015" s="124">
        <f>IF(E3015&gt;=5000,5,IF(E3015&gt;=2000,4,IF(E3015&gt;=800,3,IF(E3015&gt;=300,2,1))))</f>
        <v/>
      </c>
      <c r="I3015" s="122">
        <f>TEXT(F3015,"0")&amp;TEXT(G3015,"0")&amp;TEXT(H3015,"0")</f>
        <v/>
      </c>
      <c r="J3015" s="122">
        <f>IFERROR(XLOOKUP(I3015,'Segment Map'!A:A,'Segment Map'!B:B,"Need Attention"),"Need Attention")</f>
        <v/>
      </c>
      <c r="K3015" s="122">
        <f>IF(E3015&gt;=5000,"🏆 Platinum",IF(E3015&gt;=2000,"🥇 Gold",IF(E3015&gt;=800,"🥈 Silver","🥉 Bronze")))</f>
        <v/>
      </c>
      <c r="L3015" s="125" t="n">
        <v>40737</v>
      </c>
    </row>
    <row r="3016">
      <c r="A3016" s="126" t="n">
        <v>16451</v>
      </c>
      <c r="B3016" s="126" t="inlineStr">
        <is>
          <t>United Kingdom</t>
        </is>
      </c>
      <c r="C3016" s="126" t="n">
        <v>88</v>
      </c>
      <c r="D3016" s="126" t="n">
        <v>1</v>
      </c>
      <c r="E3016" s="127" t="n">
        <v>266.97</v>
      </c>
      <c r="F3016" s="128">
        <f>IF(C3016&lt;=30,5,IF(C3016&lt;=60,4,IF(C3016&lt;=120,3,IF(C3016&lt;=200,2,1))))</f>
        <v/>
      </c>
      <c r="G3016" s="128">
        <f>IF(D3016&gt;=20,5,IF(D3016&gt;=10,4,IF(D3016&gt;=5,3,IF(D3016&gt;=2,2,1))))</f>
        <v/>
      </c>
      <c r="H3016" s="128">
        <f>IF(E3016&gt;=5000,5,IF(E3016&gt;=2000,4,IF(E3016&gt;=800,3,IF(E3016&gt;=300,2,1))))</f>
        <v/>
      </c>
      <c r="I3016" s="126">
        <f>TEXT(F3016,"0")&amp;TEXT(G3016,"0")&amp;TEXT(H3016,"0")</f>
        <v/>
      </c>
      <c r="J3016" s="126">
        <f>IFERROR(XLOOKUP(I3016,'Segment Map'!A:A,'Segment Map'!B:B,"Need Attention"),"Need Attention")</f>
        <v/>
      </c>
      <c r="K3016" s="126">
        <f>IF(E3016&gt;=5000,"🏆 Platinum",IF(E3016&gt;=2000,"🥇 Gold",IF(E3016&gt;=800,"🥈 Silver","🥉 Bronze")))</f>
        <v/>
      </c>
      <c r="L3016" s="129" t="n">
        <v>40799</v>
      </c>
    </row>
    <row r="3017">
      <c r="A3017" s="122" t="n">
        <v>16454</v>
      </c>
      <c r="B3017" s="122" t="inlineStr">
        <is>
          <t>United Kingdom</t>
        </is>
      </c>
      <c r="C3017" s="122" t="n">
        <v>45</v>
      </c>
      <c r="D3017" s="122" t="n">
        <v>2</v>
      </c>
      <c r="E3017" s="123" t="n">
        <v>6.9</v>
      </c>
      <c r="F3017" s="124">
        <f>IF(C3017&lt;=30,5,IF(C3017&lt;=60,4,IF(C3017&lt;=120,3,IF(C3017&lt;=200,2,1))))</f>
        <v/>
      </c>
      <c r="G3017" s="124">
        <f>IF(D3017&gt;=20,5,IF(D3017&gt;=10,4,IF(D3017&gt;=5,3,IF(D3017&gt;=2,2,1))))</f>
        <v/>
      </c>
      <c r="H3017" s="124">
        <f>IF(E3017&gt;=5000,5,IF(E3017&gt;=2000,4,IF(E3017&gt;=800,3,IF(E3017&gt;=300,2,1))))</f>
        <v/>
      </c>
      <c r="I3017" s="122">
        <f>TEXT(F3017,"0")&amp;TEXT(G3017,"0")&amp;TEXT(H3017,"0")</f>
        <v/>
      </c>
      <c r="J3017" s="122">
        <f>IFERROR(XLOOKUP(I3017,'Segment Map'!A:A,'Segment Map'!B:B,"Need Attention"),"Need Attention")</f>
        <v/>
      </c>
      <c r="K3017" s="122">
        <f>IF(E3017&gt;=5000,"🏆 Platinum",IF(E3017&gt;=2000,"🥇 Gold",IF(E3017&gt;=800,"🥈 Silver","🥉 Bronze")))</f>
        <v/>
      </c>
      <c r="L3017" s="125" t="n">
        <v>40842</v>
      </c>
    </row>
    <row r="3018">
      <c r="A3018" s="126" t="n">
        <v>16455</v>
      </c>
      <c r="B3018" s="126" t="inlineStr">
        <is>
          <t>United Kingdom</t>
        </is>
      </c>
      <c r="C3018" s="126" t="n">
        <v>64</v>
      </c>
      <c r="D3018" s="126" t="n">
        <v>7</v>
      </c>
      <c r="E3018" s="127" t="n">
        <v>1841.18</v>
      </c>
      <c r="F3018" s="128">
        <f>IF(C3018&lt;=30,5,IF(C3018&lt;=60,4,IF(C3018&lt;=120,3,IF(C3018&lt;=200,2,1))))</f>
        <v/>
      </c>
      <c r="G3018" s="128">
        <f>IF(D3018&gt;=20,5,IF(D3018&gt;=10,4,IF(D3018&gt;=5,3,IF(D3018&gt;=2,2,1))))</f>
        <v/>
      </c>
      <c r="H3018" s="128">
        <f>IF(E3018&gt;=5000,5,IF(E3018&gt;=2000,4,IF(E3018&gt;=800,3,IF(E3018&gt;=300,2,1))))</f>
        <v/>
      </c>
      <c r="I3018" s="126">
        <f>TEXT(F3018,"0")&amp;TEXT(G3018,"0")&amp;TEXT(H3018,"0")</f>
        <v/>
      </c>
      <c r="J3018" s="126">
        <f>IFERROR(XLOOKUP(I3018,'Segment Map'!A:A,'Segment Map'!B:B,"Need Attention"),"Need Attention")</f>
        <v/>
      </c>
      <c r="K3018" s="126">
        <f>IF(E3018&gt;=5000,"🏆 Platinum",IF(E3018&gt;=2000,"🥇 Gold",IF(E3018&gt;=800,"🥈 Silver","🥉 Bronze")))</f>
        <v/>
      </c>
      <c r="L3018" s="129" t="n">
        <v>40823</v>
      </c>
    </row>
    <row r="3019">
      <c r="A3019" s="122" t="n">
        <v>16456</v>
      </c>
      <c r="B3019" s="122" t="inlineStr">
        <is>
          <t>United Kingdom</t>
        </is>
      </c>
      <c r="C3019" s="122" t="n">
        <v>100</v>
      </c>
      <c r="D3019" s="122" t="n">
        <v>5</v>
      </c>
      <c r="E3019" s="123" t="n">
        <v>2158.37</v>
      </c>
      <c r="F3019" s="124">
        <f>IF(C3019&lt;=30,5,IF(C3019&lt;=60,4,IF(C3019&lt;=120,3,IF(C3019&lt;=200,2,1))))</f>
        <v/>
      </c>
      <c r="G3019" s="124">
        <f>IF(D3019&gt;=20,5,IF(D3019&gt;=10,4,IF(D3019&gt;=5,3,IF(D3019&gt;=2,2,1))))</f>
        <v/>
      </c>
      <c r="H3019" s="124">
        <f>IF(E3019&gt;=5000,5,IF(E3019&gt;=2000,4,IF(E3019&gt;=800,3,IF(E3019&gt;=300,2,1))))</f>
        <v/>
      </c>
      <c r="I3019" s="122">
        <f>TEXT(F3019,"0")&amp;TEXT(G3019,"0")&amp;TEXT(H3019,"0")</f>
        <v/>
      </c>
      <c r="J3019" s="122">
        <f>IFERROR(XLOOKUP(I3019,'Segment Map'!A:A,'Segment Map'!B:B,"Need Attention"),"Need Attention")</f>
        <v/>
      </c>
      <c r="K3019" s="122">
        <f>IF(E3019&gt;=5000,"🏆 Platinum",IF(E3019&gt;=2000,"🥇 Gold",IF(E3019&gt;=800,"🥈 Silver","🥉 Bronze")))</f>
        <v/>
      </c>
      <c r="L3019" s="125" t="n">
        <v>40787</v>
      </c>
    </row>
    <row r="3020">
      <c r="A3020" s="126" t="n">
        <v>16457</v>
      </c>
      <c r="B3020" s="126" t="inlineStr">
        <is>
          <t>United Kingdom</t>
        </is>
      </c>
      <c r="C3020" s="126" t="n">
        <v>219</v>
      </c>
      <c r="D3020" s="126" t="n">
        <v>1</v>
      </c>
      <c r="E3020" s="127" t="n">
        <v>208.36</v>
      </c>
      <c r="F3020" s="128">
        <f>IF(C3020&lt;=30,5,IF(C3020&lt;=60,4,IF(C3020&lt;=120,3,IF(C3020&lt;=200,2,1))))</f>
        <v/>
      </c>
      <c r="G3020" s="128">
        <f>IF(D3020&gt;=20,5,IF(D3020&gt;=10,4,IF(D3020&gt;=5,3,IF(D3020&gt;=2,2,1))))</f>
        <v/>
      </c>
      <c r="H3020" s="128">
        <f>IF(E3020&gt;=5000,5,IF(E3020&gt;=2000,4,IF(E3020&gt;=800,3,IF(E3020&gt;=300,2,1))))</f>
        <v/>
      </c>
      <c r="I3020" s="126">
        <f>TEXT(F3020,"0")&amp;TEXT(G3020,"0")&amp;TEXT(H3020,"0")</f>
        <v/>
      </c>
      <c r="J3020" s="126">
        <f>IFERROR(XLOOKUP(I3020,'Segment Map'!A:A,'Segment Map'!B:B,"Need Attention"),"Need Attention")</f>
        <v/>
      </c>
      <c r="K3020" s="126">
        <f>IF(E3020&gt;=5000,"🏆 Platinum",IF(E3020&gt;=2000,"🥇 Gold",IF(E3020&gt;=800,"🥈 Silver","🥉 Bronze")))</f>
        <v/>
      </c>
      <c r="L3020" s="129" t="n">
        <v>40668</v>
      </c>
    </row>
    <row r="3021">
      <c r="A3021" s="122" t="n">
        <v>16458</v>
      </c>
      <c r="B3021" s="122" t="inlineStr">
        <is>
          <t>United Kingdom</t>
        </is>
      </c>
      <c r="C3021" s="122" t="n">
        <v>3</v>
      </c>
      <c r="D3021" s="122" t="n">
        <v>18</v>
      </c>
      <c r="E3021" s="123" t="n">
        <v>3482.74</v>
      </c>
      <c r="F3021" s="124">
        <f>IF(C3021&lt;=30,5,IF(C3021&lt;=60,4,IF(C3021&lt;=120,3,IF(C3021&lt;=200,2,1))))</f>
        <v/>
      </c>
      <c r="G3021" s="124">
        <f>IF(D3021&gt;=20,5,IF(D3021&gt;=10,4,IF(D3021&gt;=5,3,IF(D3021&gt;=2,2,1))))</f>
        <v/>
      </c>
      <c r="H3021" s="124">
        <f>IF(E3021&gt;=5000,5,IF(E3021&gt;=2000,4,IF(E3021&gt;=800,3,IF(E3021&gt;=300,2,1))))</f>
        <v/>
      </c>
      <c r="I3021" s="122">
        <f>TEXT(F3021,"0")&amp;TEXT(G3021,"0")&amp;TEXT(H3021,"0")</f>
        <v/>
      </c>
      <c r="J3021" s="122">
        <f>IFERROR(XLOOKUP(I3021,'Segment Map'!A:A,'Segment Map'!B:B,"Need Attention"),"Need Attention")</f>
        <v/>
      </c>
      <c r="K3021" s="122">
        <f>IF(E3021&gt;=5000,"🏆 Platinum",IF(E3021&gt;=2000,"🥇 Gold",IF(E3021&gt;=800,"🥈 Silver","🥉 Bronze")))</f>
        <v/>
      </c>
      <c r="L3021" s="125" t="n">
        <v>40884</v>
      </c>
    </row>
    <row r="3022">
      <c r="A3022" s="126" t="n">
        <v>16460</v>
      </c>
      <c r="B3022" s="126" t="inlineStr">
        <is>
          <t>United Kingdom</t>
        </is>
      </c>
      <c r="C3022" s="126" t="n">
        <v>29</v>
      </c>
      <c r="D3022" s="126" t="n">
        <v>3</v>
      </c>
      <c r="E3022" s="127" t="n">
        <v>814.72</v>
      </c>
      <c r="F3022" s="128">
        <f>IF(C3022&lt;=30,5,IF(C3022&lt;=60,4,IF(C3022&lt;=120,3,IF(C3022&lt;=200,2,1))))</f>
        <v/>
      </c>
      <c r="G3022" s="128">
        <f>IF(D3022&gt;=20,5,IF(D3022&gt;=10,4,IF(D3022&gt;=5,3,IF(D3022&gt;=2,2,1))))</f>
        <v/>
      </c>
      <c r="H3022" s="128">
        <f>IF(E3022&gt;=5000,5,IF(E3022&gt;=2000,4,IF(E3022&gt;=800,3,IF(E3022&gt;=300,2,1))))</f>
        <v/>
      </c>
      <c r="I3022" s="126">
        <f>TEXT(F3022,"0")&amp;TEXT(G3022,"0")&amp;TEXT(H3022,"0")</f>
        <v/>
      </c>
      <c r="J3022" s="126">
        <f>IFERROR(XLOOKUP(I3022,'Segment Map'!A:A,'Segment Map'!B:B,"Need Attention"),"Need Attention")</f>
        <v/>
      </c>
      <c r="K3022" s="126">
        <f>IF(E3022&gt;=5000,"🏆 Platinum",IF(E3022&gt;=2000,"🥇 Gold",IF(E3022&gt;=800,"🥈 Silver","🥉 Bronze")))</f>
        <v/>
      </c>
      <c r="L3022" s="129" t="n">
        <v>40858</v>
      </c>
    </row>
    <row r="3023">
      <c r="A3023" s="122" t="n">
        <v>16461</v>
      </c>
      <c r="B3023" s="122" t="inlineStr">
        <is>
          <t>United Kingdom</t>
        </is>
      </c>
      <c r="C3023" s="122" t="n">
        <v>178</v>
      </c>
      <c r="D3023" s="122" t="n">
        <v>1</v>
      </c>
      <c r="E3023" s="123" t="n">
        <v>151.42</v>
      </c>
      <c r="F3023" s="124">
        <f>IF(C3023&lt;=30,5,IF(C3023&lt;=60,4,IF(C3023&lt;=120,3,IF(C3023&lt;=200,2,1))))</f>
        <v/>
      </c>
      <c r="G3023" s="124">
        <f>IF(D3023&gt;=20,5,IF(D3023&gt;=10,4,IF(D3023&gt;=5,3,IF(D3023&gt;=2,2,1))))</f>
        <v/>
      </c>
      <c r="H3023" s="124">
        <f>IF(E3023&gt;=5000,5,IF(E3023&gt;=2000,4,IF(E3023&gt;=800,3,IF(E3023&gt;=300,2,1))))</f>
        <v/>
      </c>
      <c r="I3023" s="122">
        <f>TEXT(F3023,"0")&amp;TEXT(G3023,"0")&amp;TEXT(H3023,"0")</f>
        <v/>
      </c>
      <c r="J3023" s="122">
        <f>IFERROR(XLOOKUP(I3023,'Segment Map'!A:A,'Segment Map'!B:B,"Need Attention"),"Need Attention")</f>
        <v/>
      </c>
      <c r="K3023" s="122">
        <f>IF(E3023&gt;=5000,"🏆 Platinum",IF(E3023&gt;=2000,"🥇 Gold",IF(E3023&gt;=800,"🥈 Silver","🥉 Bronze")))</f>
        <v/>
      </c>
      <c r="L3023" s="125" t="n">
        <v>40709</v>
      </c>
    </row>
    <row r="3024">
      <c r="A3024" s="126" t="n">
        <v>16462</v>
      </c>
      <c r="B3024" s="126" t="inlineStr">
        <is>
          <t>United Kingdom</t>
        </is>
      </c>
      <c r="C3024" s="126" t="n">
        <v>74</v>
      </c>
      <c r="D3024" s="126" t="n">
        <v>3</v>
      </c>
      <c r="E3024" s="127" t="n">
        <v>136</v>
      </c>
      <c r="F3024" s="128">
        <f>IF(C3024&lt;=30,5,IF(C3024&lt;=60,4,IF(C3024&lt;=120,3,IF(C3024&lt;=200,2,1))))</f>
        <v/>
      </c>
      <c r="G3024" s="128">
        <f>IF(D3024&gt;=20,5,IF(D3024&gt;=10,4,IF(D3024&gt;=5,3,IF(D3024&gt;=2,2,1))))</f>
        <v/>
      </c>
      <c r="H3024" s="128">
        <f>IF(E3024&gt;=5000,5,IF(E3024&gt;=2000,4,IF(E3024&gt;=800,3,IF(E3024&gt;=300,2,1))))</f>
        <v/>
      </c>
      <c r="I3024" s="126">
        <f>TEXT(F3024,"0")&amp;TEXT(G3024,"0")&amp;TEXT(H3024,"0")</f>
        <v/>
      </c>
      <c r="J3024" s="126">
        <f>IFERROR(XLOOKUP(I3024,'Segment Map'!A:A,'Segment Map'!B:B,"Need Attention"),"Need Attention")</f>
        <v/>
      </c>
      <c r="K3024" s="126">
        <f>IF(E3024&gt;=5000,"🏆 Platinum",IF(E3024&gt;=2000,"🥇 Gold",IF(E3024&gt;=800,"🥈 Silver","🥉 Bronze")))</f>
        <v/>
      </c>
      <c r="L3024" s="129" t="n">
        <v>40813</v>
      </c>
    </row>
    <row r="3025">
      <c r="A3025" s="122" t="n">
        <v>16463</v>
      </c>
      <c r="B3025" s="122" t="inlineStr">
        <is>
          <t>United Kingdom</t>
        </is>
      </c>
      <c r="C3025" s="122" t="n">
        <v>22</v>
      </c>
      <c r="D3025" s="122" t="n">
        <v>4</v>
      </c>
      <c r="E3025" s="123" t="n">
        <v>1422.4</v>
      </c>
      <c r="F3025" s="124">
        <f>IF(C3025&lt;=30,5,IF(C3025&lt;=60,4,IF(C3025&lt;=120,3,IF(C3025&lt;=200,2,1))))</f>
        <v/>
      </c>
      <c r="G3025" s="124">
        <f>IF(D3025&gt;=20,5,IF(D3025&gt;=10,4,IF(D3025&gt;=5,3,IF(D3025&gt;=2,2,1))))</f>
        <v/>
      </c>
      <c r="H3025" s="124">
        <f>IF(E3025&gt;=5000,5,IF(E3025&gt;=2000,4,IF(E3025&gt;=800,3,IF(E3025&gt;=300,2,1))))</f>
        <v/>
      </c>
      <c r="I3025" s="122">
        <f>TEXT(F3025,"0")&amp;TEXT(G3025,"0")&amp;TEXT(H3025,"0")</f>
        <v/>
      </c>
      <c r="J3025" s="122">
        <f>IFERROR(XLOOKUP(I3025,'Segment Map'!A:A,'Segment Map'!B:B,"Need Attention"),"Need Attention")</f>
        <v/>
      </c>
      <c r="K3025" s="122">
        <f>IF(E3025&gt;=5000,"🏆 Platinum",IF(E3025&gt;=2000,"🥇 Gold",IF(E3025&gt;=800,"🥈 Silver","🥉 Bronze")))</f>
        <v/>
      </c>
      <c r="L3025" s="125" t="n">
        <v>40865</v>
      </c>
    </row>
    <row r="3026">
      <c r="A3026" s="126" t="n">
        <v>16464</v>
      </c>
      <c r="B3026" s="126" t="inlineStr">
        <is>
          <t>United Kingdom</t>
        </is>
      </c>
      <c r="C3026" s="126" t="n">
        <v>20</v>
      </c>
      <c r="D3026" s="126" t="n">
        <v>3</v>
      </c>
      <c r="E3026" s="127" t="n">
        <v>1314.68</v>
      </c>
      <c r="F3026" s="128">
        <f>IF(C3026&lt;=30,5,IF(C3026&lt;=60,4,IF(C3026&lt;=120,3,IF(C3026&lt;=200,2,1))))</f>
        <v/>
      </c>
      <c r="G3026" s="128">
        <f>IF(D3026&gt;=20,5,IF(D3026&gt;=10,4,IF(D3026&gt;=5,3,IF(D3026&gt;=2,2,1))))</f>
        <v/>
      </c>
      <c r="H3026" s="128">
        <f>IF(E3026&gt;=5000,5,IF(E3026&gt;=2000,4,IF(E3026&gt;=800,3,IF(E3026&gt;=300,2,1))))</f>
        <v/>
      </c>
      <c r="I3026" s="126">
        <f>TEXT(F3026,"0")&amp;TEXT(G3026,"0")&amp;TEXT(H3026,"0")</f>
        <v/>
      </c>
      <c r="J3026" s="126">
        <f>IFERROR(XLOOKUP(I3026,'Segment Map'!A:A,'Segment Map'!B:B,"Need Attention"),"Need Attention")</f>
        <v/>
      </c>
      <c r="K3026" s="126">
        <f>IF(E3026&gt;=5000,"🏆 Platinum",IF(E3026&gt;=2000,"🥇 Gold",IF(E3026&gt;=800,"🥈 Silver","🥉 Bronze")))</f>
        <v/>
      </c>
      <c r="L3026" s="129" t="n">
        <v>40867</v>
      </c>
    </row>
    <row r="3027">
      <c r="A3027" s="122" t="n">
        <v>16466</v>
      </c>
      <c r="B3027" s="122" t="inlineStr">
        <is>
          <t>United Kingdom</t>
        </is>
      </c>
      <c r="C3027" s="122" t="n">
        <v>34</v>
      </c>
      <c r="D3027" s="122" t="n">
        <v>7</v>
      </c>
      <c r="E3027" s="123" t="n">
        <v>1603.46</v>
      </c>
      <c r="F3027" s="124">
        <f>IF(C3027&lt;=30,5,IF(C3027&lt;=60,4,IF(C3027&lt;=120,3,IF(C3027&lt;=200,2,1))))</f>
        <v/>
      </c>
      <c r="G3027" s="124">
        <f>IF(D3027&gt;=20,5,IF(D3027&gt;=10,4,IF(D3027&gt;=5,3,IF(D3027&gt;=2,2,1))))</f>
        <v/>
      </c>
      <c r="H3027" s="124">
        <f>IF(E3027&gt;=5000,5,IF(E3027&gt;=2000,4,IF(E3027&gt;=800,3,IF(E3027&gt;=300,2,1))))</f>
        <v/>
      </c>
      <c r="I3027" s="122">
        <f>TEXT(F3027,"0")&amp;TEXT(G3027,"0")&amp;TEXT(H3027,"0")</f>
        <v/>
      </c>
      <c r="J3027" s="122">
        <f>IFERROR(XLOOKUP(I3027,'Segment Map'!A:A,'Segment Map'!B:B,"Need Attention"),"Need Attention")</f>
        <v/>
      </c>
      <c r="K3027" s="122">
        <f>IF(E3027&gt;=5000,"🏆 Platinum",IF(E3027&gt;=2000,"🥇 Gold",IF(E3027&gt;=800,"🥈 Silver","🥉 Bronze")))</f>
        <v/>
      </c>
      <c r="L3027" s="125" t="n">
        <v>40853</v>
      </c>
    </row>
    <row r="3028">
      <c r="A3028" s="126" t="n">
        <v>16468</v>
      </c>
      <c r="B3028" s="126" t="inlineStr">
        <is>
          <t>United Kingdom</t>
        </is>
      </c>
      <c r="C3028" s="126" t="n">
        <v>75</v>
      </c>
      <c r="D3028" s="126" t="n">
        <v>1</v>
      </c>
      <c r="E3028" s="127" t="n">
        <v>74.90000000000001</v>
      </c>
      <c r="F3028" s="128">
        <f>IF(C3028&lt;=30,5,IF(C3028&lt;=60,4,IF(C3028&lt;=120,3,IF(C3028&lt;=200,2,1))))</f>
        <v/>
      </c>
      <c r="G3028" s="128">
        <f>IF(D3028&gt;=20,5,IF(D3028&gt;=10,4,IF(D3028&gt;=5,3,IF(D3028&gt;=2,2,1))))</f>
        <v/>
      </c>
      <c r="H3028" s="128">
        <f>IF(E3028&gt;=5000,5,IF(E3028&gt;=2000,4,IF(E3028&gt;=800,3,IF(E3028&gt;=300,2,1))))</f>
        <v/>
      </c>
      <c r="I3028" s="126">
        <f>TEXT(F3028,"0")&amp;TEXT(G3028,"0")&amp;TEXT(H3028,"0")</f>
        <v/>
      </c>
      <c r="J3028" s="126">
        <f>IFERROR(XLOOKUP(I3028,'Segment Map'!A:A,'Segment Map'!B:B,"Need Attention"),"Need Attention")</f>
        <v/>
      </c>
      <c r="K3028" s="126">
        <f>IF(E3028&gt;=5000,"🏆 Platinum",IF(E3028&gt;=2000,"🥇 Gold",IF(E3028&gt;=800,"🥈 Silver","🥉 Bronze")))</f>
        <v/>
      </c>
      <c r="L3028" s="129" t="n">
        <v>40812</v>
      </c>
    </row>
    <row r="3029">
      <c r="A3029" s="122" t="n">
        <v>16469</v>
      </c>
      <c r="B3029" s="122" t="inlineStr">
        <is>
          <t>United Kingdom</t>
        </is>
      </c>
      <c r="C3029" s="122" t="n">
        <v>24</v>
      </c>
      <c r="D3029" s="122" t="n">
        <v>4</v>
      </c>
      <c r="E3029" s="123" t="n">
        <v>650.4299999999999</v>
      </c>
      <c r="F3029" s="124">
        <f>IF(C3029&lt;=30,5,IF(C3029&lt;=60,4,IF(C3029&lt;=120,3,IF(C3029&lt;=200,2,1))))</f>
        <v/>
      </c>
      <c r="G3029" s="124">
        <f>IF(D3029&gt;=20,5,IF(D3029&gt;=10,4,IF(D3029&gt;=5,3,IF(D3029&gt;=2,2,1))))</f>
        <v/>
      </c>
      <c r="H3029" s="124">
        <f>IF(E3029&gt;=5000,5,IF(E3029&gt;=2000,4,IF(E3029&gt;=800,3,IF(E3029&gt;=300,2,1))))</f>
        <v/>
      </c>
      <c r="I3029" s="122">
        <f>TEXT(F3029,"0")&amp;TEXT(G3029,"0")&amp;TEXT(H3029,"0")</f>
        <v/>
      </c>
      <c r="J3029" s="122">
        <f>IFERROR(XLOOKUP(I3029,'Segment Map'!A:A,'Segment Map'!B:B,"Need Attention"),"Need Attention")</f>
        <v/>
      </c>
      <c r="K3029" s="122">
        <f>IF(E3029&gt;=5000,"🏆 Platinum",IF(E3029&gt;=2000,"🥇 Gold",IF(E3029&gt;=800,"🥈 Silver","🥉 Bronze")))</f>
        <v/>
      </c>
      <c r="L3029" s="125" t="n">
        <v>40863</v>
      </c>
    </row>
    <row r="3030">
      <c r="A3030" s="126" t="n">
        <v>16470</v>
      </c>
      <c r="B3030" s="126" t="inlineStr">
        <is>
          <t>United Kingdom</t>
        </is>
      </c>
      <c r="C3030" s="126" t="n">
        <v>52</v>
      </c>
      <c r="D3030" s="126" t="n">
        <v>4</v>
      </c>
      <c r="E3030" s="127" t="n">
        <v>762.39</v>
      </c>
      <c r="F3030" s="128">
        <f>IF(C3030&lt;=30,5,IF(C3030&lt;=60,4,IF(C3030&lt;=120,3,IF(C3030&lt;=200,2,1))))</f>
        <v/>
      </c>
      <c r="G3030" s="128">
        <f>IF(D3030&gt;=20,5,IF(D3030&gt;=10,4,IF(D3030&gt;=5,3,IF(D3030&gt;=2,2,1))))</f>
        <v/>
      </c>
      <c r="H3030" s="128">
        <f>IF(E3030&gt;=5000,5,IF(E3030&gt;=2000,4,IF(E3030&gt;=800,3,IF(E3030&gt;=300,2,1))))</f>
        <v/>
      </c>
      <c r="I3030" s="126">
        <f>TEXT(F3030,"0")&amp;TEXT(G3030,"0")&amp;TEXT(H3030,"0")</f>
        <v/>
      </c>
      <c r="J3030" s="126">
        <f>IFERROR(XLOOKUP(I3030,'Segment Map'!A:A,'Segment Map'!B:B,"Need Attention"),"Need Attention")</f>
        <v/>
      </c>
      <c r="K3030" s="126">
        <f>IF(E3030&gt;=5000,"🏆 Platinum",IF(E3030&gt;=2000,"🥇 Gold",IF(E3030&gt;=800,"🥈 Silver","🥉 Bronze")))</f>
        <v/>
      </c>
      <c r="L3030" s="129" t="n">
        <v>40835</v>
      </c>
    </row>
    <row r="3031">
      <c r="A3031" s="122" t="n">
        <v>16471</v>
      </c>
      <c r="B3031" s="122" t="inlineStr">
        <is>
          <t>United Kingdom</t>
        </is>
      </c>
      <c r="C3031" s="122" t="n">
        <v>275</v>
      </c>
      <c r="D3031" s="122" t="n">
        <v>1</v>
      </c>
      <c r="E3031" s="123" t="n">
        <v>223.95</v>
      </c>
      <c r="F3031" s="124">
        <f>IF(C3031&lt;=30,5,IF(C3031&lt;=60,4,IF(C3031&lt;=120,3,IF(C3031&lt;=200,2,1))))</f>
        <v/>
      </c>
      <c r="G3031" s="124">
        <f>IF(D3031&gt;=20,5,IF(D3031&gt;=10,4,IF(D3031&gt;=5,3,IF(D3031&gt;=2,2,1))))</f>
        <v/>
      </c>
      <c r="H3031" s="124">
        <f>IF(E3031&gt;=5000,5,IF(E3031&gt;=2000,4,IF(E3031&gt;=800,3,IF(E3031&gt;=300,2,1))))</f>
        <v/>
      </c>
      <c r="I3031" s="122">
        <f>TEXT(F3031,"0")&amp;TEXT(G3031,"0")&amp;TEXT(H3031,"0")</f>
        <v/>
      </c>
      <c r="J3031" s="122">
        <f>IFERROR(XLOOKUP(I3031,'Segment Map'!A:A,'Segment Map'!B:B,"Need Attention"),"Need Attention")</f>
        <v/>
      </c>
      <c r="K3031" s="122">
        <f>IF(E3031&gt;=5000,"🏆 Platinum",IF(E3031&gt;=2000,"🥇 Gold",IF(E3031&gt;=800,"🥈 Silver","🥉 Bronze")))</f>
        <v/>
      </c>
      <c r="L3031" s="125" t="n">
        <v>40612</v>
      </c>
    </row>
    <row r="3032">
      <c r="A3032" s="126" t="n">
        <v>16473</v>
      </c>
      <c r="B3032" s="126" t="inlineStr">
        <is>
          <t>United Kingdom</t>
        </is>
      </c>
      <c r="C3032" s="126" t="n">
        <v>165</v>
      </c>
      <c r="D3032" s="126" t="n">
        <v>3</v>
      </c>
      <c r="E3032" s="127" t="n">
        <v>316.11</v>
      </c>
      <c r="F3032" s="128">
        <f>IF(C3032&lt;=30,5,IF(C3032&lt;=60,4,IF(C3032&lt;=120,3,IF(C3032&lt;=200,2,1))))</f>
        <v/>
      </c>
      <c r="G3032" s="128">
        <f>IF(D3032&gt;=20,5,IF(D3032&gt;=10,4,IF(D3032&gt;=5,3,IF(D3032&gt;=2,2,1))))</f>
        <v/>
      </c>
      <c r="H3032" s="128">
        <f>IF(E3032&gt;=5000,5,IF(E3032&gt;=2000,4,IF(E3032&gt;=800,3,IF(E3032&gt;=300,2,1))))</f>
        <v/>
      </c>
      <c r="I3032" s="126">
        <f>TEXT(F3032,"0")&amp;TEXT(G3032,"0")&amp;TEXT(H3032,"0")</f>
        <v/>
      </c>
      <c r="J3032" s="126">
        <f>IFERROR(XLOOKUP(I3032,'Segment Map'!A:A,'Segment Map'!B:B,"Need Attention"),"Need Attention")</f>
        <v/>
      </c>
      <c r="K3032" s="126">
        <f>IF(E3032&gt;=5000,"🏆 Platinum",IF(E3032&gt;=2000,"🥇 Gold",IF(E3032&gt;=800,"🥈 Silver","🥉 Bronze")))</f>
        <v/>
      </c>
      <c r="L3032" s="129" t="n">
        <v>40722</v>
      </c>
    </row>
    <row r="3033">
      <c r="A3033" s="122" t="n">
        <v>16474</v>
      </c>
      <c r="B3033" s="122" t="inlineStr">
        <is>
          <t>United Kingdom</t>
        </is>
      </c>
      <c r="C3033" s="122" t="n">
        <v>8</v>
      </c>
      <c r="D3033" s="122" t="n">
        <v>7</v>
      </c>
      <c r="E3033" s="123" t="n">
        <v>1871.5</v>
      </c>
      <c r="F3033" s="124">
        <f>IF(C3033&lt;=30,5,IF(C3033&lt;=60,4,IF(C3033&lt;=120,3,IF(C3033&lt;=200,2,1))))</f>
        <v/>
      </c>
      <c r="G3033" s="124">
        <f>IF(D3033&gt;=20,5,IF(D3033&gt;=10,4,IF(D3033&gt;=5,3,IF(D3033&gt;=2,2,1))))</f>
        <v/>
      </c>
      <c r="H3033" s="124">
        <f>IF(E3033&gt;=5000,5,IF(E3033&gt;=2000,4,IF(E3033&gt;=800,3,IF(E3033&gt;=300,2,1))))</f>
        <v/>
      </c>
      <c r="I3033" s="122">
        <f>TEXT(F3033,"0")&amp;TEXT(G3033,"0")&amp;TEXT(H3033,"0")</f>
        <v/>
      </c>
      <c r="J3033" s="122">
        <f>IFERROR(XLOOKUP(I3033,'Segment Map'!A:A,'Segment Map'!B:B,"Need Attention"),"Need Attention")</f>
        <v/>
      </c>
      <c r="K3033" s="122">
        <f>IF(E3033&gt;=5000,"🏆 Platinum",IF(E3033&gt;=2000,"🥇 Gold",IF(E3033&gt;=800,"🥈 Silver","🥉 Bronze")))</f>
        <v/>
      </c>
      <c r="L3033" s="125" t="n">
        <v>40879</v>
      </c>
    </row>
    <row r="3034">
      <c r="A3034" s="126" t="n">
        <v>16475</v>
      </c>
      <c r="B3034" s="126" t="inlineStr">
        <is>
          <t>United Kingdom</t>
        </is>
      </c>
      <c r="C3034" s="126" t="n">
        <v>89</v>
      </c>
      <c r="D3034" s="126" t="n">
        <v>4</v>
      </c>
      <c r="E3034" s="127" t="n">
        <v>544.3</v>
      </c>
      <c r="F3034" s="128">
        <f>IF(C3034&lt;=30,5,IF(C3034&lt;=60,4,IF(C3034&lt;=120,3,IF(C3034&lt;=200,2,1))))</f>
        <v/>
      </c>
      <c r="G3034" s="128">
        <f>IF(D3034&gt;=20,5,IF(D3034&gt;=10,4,IF(D3034&gt;=5,3,IF(D3034&gt;=2,2,1))))</f>
        <v/>
      </c>
      <c r="H3034" s="128">
        <f>IF(E3034&gt;=5000,5,IF(E3034&gt;=2000,4,IF(E3034&gt;=800,3,IF(E3034&gt;=300,2,1))))</f>
        <v/>
      </c>
      <c r="I3034" s="126">
        <f>TEXT(F3034,"0")&amp;TEXT(G3034,"0")&amp;TEXT(H3034,"0")</f>
        <v/>
      </c>
      <c r="J3034" s="126">
        <f>IFERROR(XLOOKUP(I3034,'Segment Map'!A:A,'Segment Map'!B:B,"Need Attention"),"Need Attention")</f>
        <v/>
      </c>
      <c r="K3034" s="126">
        <f>IF(E3034&gt;=5000,"🏆 Platinum",IF(E3034&gt;=2000,"🥇 Gold",IF(E3034&gt;=800,"🥈 Silver","🥉 Bronze")))</f>
        <v/>
      </c>
      <c r="L3034" s="129" t="n">
        <v>40798</v>
      </c>
    </row>
    <row r="3035">
      <c r="A3035" s="122" t="n">
        <v>16477</v>
      </c>
      <c r="B3035" s="122" t="inlineStr">
        <is>
          <t>United Kingdom</t>
        </is>
      </c>
      <c r="C3035" s="122" t="n">
        <v>64</v>
      </c>
      <c r="D3035" s="122" t="n">
        <v>7</v>
      </c>
      <c r="E3035" s="123" t="n">
        <v>2494.46</v>
      </c>
      <c r="F3035" s="124">
        <f>IF(C3035&lt;=30,5,IF(C3035&lt;=60,4,IF(C3035&lt;=120,3,IF(C3035&lt;=200,2,1))))</f>
        <v/>
      </c>
      <c r="G3035" s="124">
        <f>IF(D3035&gt;=20,5,IF(D3035&gt;=10,4,IF(D3035&gt;=5,3,IF(D3035&gt;=2,2,1))))</f>
        <v/>
      </c>
      <c r="H3035" s="124">
        <f>IF(E3035&gt;=5000,5,IF(E3035&gt;=2000,4,IF(E3035&gt;=800,3,IF(E3035&gt;=300,2,1))))</f>
        <v/>
      </c>
      <c r="I3035" s="122">
        <f>TEXT(F3035,"0")&amp;TEXT(G3035,"0")&amp;TEXT(H3035,"0")</f>
        <v/>
      </c>
      <c r="J3035" s="122">
        <f>IFERROR(XLOOKUP(I3035,'Segment Map'!A:A,'Segment Map'!B:B,"Need Attention"),"Need Attention")</f>
        <v/>
      </c>
      <c r="K3035" s="122">
        <f>IF(E3035&gt;=5000,"🏆 Platinum",IF(E3035&gt;=2000,"🥇 Gold",IF(E3035&gt;=800,"🥈 Silver","🥉 Bronze")))</f>
        <v/>
      </c>
      <c r="L3035" s="125" t="n">
        <v>40823</v>
      </c>
    </row>
    <row r="3036">
      <c r="A3036" s="126" t="n">
        <v>16478</v>
      </c>
      <c r="B3036" s="126" t="inlineStr">
        <is>
          <t>United Kingdom</t>
        </is>
      </c>
      <c r="C3036" s="126" t="n">
        <v>26</v>
      </c>
      <c r="D3036" s="126" t="n">
        <v>3</v>
      </c>
      <c r="E3036" s="127" t="n">
        <v>331</v>
      </c>
      <c r="F3036" s="128">
        <f>IF(C3036&lt;=30,5,IF(C3036&lt;=60,4,IF(C3036&lt;=120,3,IF(C3036&lt;=200,2,1))))</f>
        <v/>
      </c>
      <c r="G3036" s="128">
        <f>IF(D3036&gt;=20,5,IF(D3036&gt;=10,4,IF(D3036&gt;=5,3,IF(D3036&gt;=2,2,1))))</f>
        <v/>
      </c>
      <c r="H3036" s="128">
        <f>IF(E3036&gt;=5000,5,IF(E3036&gt;=2000,4,IF(E3036&gt;=800,3,IF(E3036&gt;=300,2,1))))</f>
        <v/>
      </c>
      <c r="I3036" s="126">
        <f>TEXT(F3036,"0")&amp;TEXT(G3036,"0")&amp;TEXT(H3036,"0")</f>
        <v/>
      </c>
      <c r="J3036" s="126">
        <f>IFERROR(XLOOKUP(I3036,'Segment Map'!A:A,'Segment Map'!B:B,"Need Attention"),"Need Attention")</f>
        <v/>
      </c>
      <c r="K3036" s="126">
        <f>IF(E3036&gt;=5000,"🏆 Platinum",IF(E3036&gt;=2000,"🥇 Gold",IF(E3036&gt;=800,"🥈 Silver","🥉 Bronze")))</f>
        <v/>
      </c>
      <c r="L3036" s="129" t="n">
        <v>40861</v>
      </c>
    </row>
    <row r="3037">
      <c r="A3037" s="122" t="n">
        <v>16479</v>
      </c>
      <c r="B3037" s="122" t="inlineStr">
        <is>
          <t>United Kingdom</t>
        </is>
      </c>
      <c r="C3037" s="122" t="n">
        <v>11</v>
      </c>
      <c r="D3037" s="122" t="n">
        <v>2</v>
      </c>
      <c r="E3037" s="123" t="n">
        <v>300.83</v>
      </c>
      <c r="F3037" s="124">
        <f>IF(C3037&lt;=30,5,IF(C3037&lt;=60,4,IF(C3037&lt;=120,3,IF(C3037&lt;=200,2,1))))</f>
        <v/>
      </c>
      <c r="G3037" s="124">
        <f>IF(D3037&gt;=20,5,IF(D3037&gt;=10,4,IF(D3037&gt;=5,3,IF(D3037&gt;=2,2,1))))</f>
        <v/>
      </c>
      <c r="H3037" s="124">
        <f>IF(E3037&gt;=5000,5,IF(E3037&gt;=2000,4,IF(E3037&gt;=800,3,IF(E3037&gt;=300,2,1))))</f>
        <v/>
      </c>
      <c r="I3037" s="122">
        <f>TEXT(F3037,"0")&amp;TEXT(G3037,"0")&amp;TEXT(H3037,"0")</f>
        <v/>
      </c>
      <c r="J3037" s="122">
        <f>IFERROR(XLOOKUP(I3037,'Segment Map'!A:A,'Segment Map'!B:B,"Need Attention"),"Need Attention")</f>
        <v/>
      </c>
      <c r="K3037" s="122">
        <f>IF(E3037&gt;=5000,"🏆 Platinum",IF(E3037&gt;=2000,"🥇 Gold",IF(E3037&gt;=800,"🥈 Silver","🥉 Bronze")))</f>
        <v/>
      </c>
      <c r="L3037" s="125" t="n">
        <v>40876</v>
      </c>
    </row>
    <row r="3038">
      <c r="A3038" s="126" t="n">
        <v>16480</v>
      </c>
      <c r="B3038" s="126" t="inlineStr">
        <is>
          <t>United Kingdom</t>
        </is>
      </c>
      <c r="C3038" s="126" t="n">
        <v>76</v>
      </c>
      <c r="D3038" s="126" t="n">
        <v>1</v>
      </c>
      <c r="E3038" s="127" t="n">
        <v>769.29</v>
      </c>
      <c r="F3038" s="128">
        <f>IF(C3038&lt;=30,5,IF(C3038&lt;=60,4,IF(C3038&lt;=120,3,IF(C3038&lt;=200,2,1))))</f>
        <v/>
      </c>
      <c r="G3038" s="128">
        <f>IF(D3038&gt;=20,5,IF(D3038&gt;=10,4,IF(D3038&gt;=5,3,IF(D3038&gt;=2,2,1))))</f>
        <v/>
      </c>
      <c r="H3038" s="128">
        <f>IF(E3038&gt;=5000,5,IF(E3038&gt;=2000,4,IF(E3038&gt;=800,3,IF(E3038&gt;=300,2,1))))</f>
        <v/>
      </c>
      <c r="I3038" s="126">
        <f>TEXT(F3038,"0")&amp;TEXT(G3038,"0")&amp;TEXT(H3038,"0")</f>
        <v/>
      </c>
      <c r="J3038" s="126">
        <f>IFERROR(XLOOKUP(I3038,'Segment Map'!A:A,'Segment Map'!B:B,"Need Attention"),"Need Attention")</f>
        <v/>
      </c>
      <c r="K3038" s="126">
        <f>IF(E3038&gt;=5000,"🏆 Platinum",IF(E3038&gt;=2000,"🥇 Gold",IF(E3038&gt;=800,"🥈 Silver","🥉 Bronze")))</f>
        <v/>
      </c>
      <c r="L3038" s="129" t="n">
        <v>40811</v>
      </c>
    </row>
    <row r="3039">
      <c r="A3039" s="122" t="n">
        <v>16482</v>
      </c>
      <c r="B3039" s="122" t="inlineStr">
        <is>
          <t>United Kingdom</t>
        </is>
      </c>
      <c r="C3039" s="122" t="n">
        <v>16</v>
      </c>
      <c r="D3039" s="122" t="n">
        <v>1</v>
      </c>
      <c r="E3039" s="123" t="n">
        <v>220.62</v>
      </c>
      <c r="F3039" s="124">
        <f>IF(C3039&lt;=30,5,IF(C3039&lt;=60,4,IF(C3039&lt;=120,3,IF(C3039&lt;=200,2,1))))</f>
        <v/>
      </c>
      <c r="G3039" s="124">
        <f>IF(D3039&gt;=20,5,IF(D3039&gt;=10,4,IF(D3039&gt;=5,3,IF(D3039&gt;=2,2,1))))</f>
        <v/>
      </c>
      <c r="H3039" s="124">
        <f>IF(E3039&gt;=5000,5,IF(E3039&gt;=2000,4,IF(E3039&gt;=800,3,IF(E3039&gt;=300,2,1))))</f>
        <v/>
      </c>
      <c r="I3039" s="122">
        <f>TEXT(F3039,"0")&amp;TEXT(G3039,"0")&amp;TEXT(H3039,"0")</f>
        <v/>
      </c>
      <c r="J3039" s="122">
        <f>IFERROR(XLOOKUP(I3039,'Segment Map'!A:A,'Segment Map'!B:B,"Need Attention"),"Need Attention")</f>
        <v/>
      </c>
      <c r="K3039" s="122">
        <f>IF(E3039&gt;=5000,"🏆 Platinum",IF(E3039&gt;=2000,"🥇 Gold",IF(E3039&gt;=800,"🥈 Silver","🥉 Bronze")))</f>
        <v/>
      </c>
      <c r="L3039" s="125" t="n">
        <v>40871</v>
      </c>
    </row>
    <row r="3040">
      <c r="A3040" s="126" t="n">
        <v>16483</v>
      </c>
      <c r="B3040" s="126" t="inlineStr">
        <is>
          <t>United Kingdom</t>
        </is>
      </c>
      <c r="C3040" s="126" t="n">
        <v>193</v>
      </c>
      <c r="D3040" s="126" t="n">
        <v>1</v>
      </c>
      <c r="E3040" s="127" t="n">
        <v>139.35</v>
      </c>
      <c r="F3040" s="128">
        <f>IF(C3040&lt;=30,5,IF(C3040&lt;=60,4,IF(C3040&lt;=120,3,IF(C3040&lt;=200,2,1))))</f>
        <v/>
      </c>
      <c r="G3040" s="128">
        <f>IF(D3040&gt;=20,5,IF(D3040&gt;=10,4,IF(D3040&gt;=5,3,IF(D3040&gt;=2,2,1))))</f>
        <v/>
      </c>
      <c r="H3040" s="128">
        <f>IF(E3040&gt;=5000,5,IF(E3040&gt;=2000,4,IF(E3040&gt;=800,3,IF(E3040&gt;=300,2,1))))</f>
        <v/>
      </c>
      <c r="I3040" s="126">
        <f>TEXT(F3040,"0")&amp;TEXT(G3040,"0")&amp;TEXT(H3040,"0")</f>
        <v/>
      </c>
      <c r="J3040" s="126">
        <f>IFERROR(XLOOKUP(I3040,'Segment Map'!A:A,'Segment Map'!B:B,"Need Attention"),"Need Attention")</f>
        <v/>
      </c>
      <c r="K3040" s="126">
        <f>IF(E3040&gt;=5000,"🏆 Platinum",IF(E3040&gt;=2000,"🥇 Gold",IF(E3040&gt;=800,"🥈 Silver","🥉 Bronze")))</f>
        <v/>
      </c>
      <c r="L3040" s="129" t="n">
        <v>40694</v>
      </c>
    </row>
    <row r="3041">
      <c r="A3041" s="122" t="n">
        <v>16484</v>
      </c>
      <c r="B3041" s="122" t="inlineStr">
        <is>
          <t>United Kingdom</t>
        </is>
      </c>
      <c r="C3041" s="122" t="n">
        <v>174</v>
      </c>
      <c r="D3041" s="122" t="n">
        <v>2</v>
      </c>
      <c r="E3041" s="123" t="n">
        <v>404.3</v>
      </c>
      <c r="F3041" s="124">
        <f>IF(C3041&lt;=30,5,IF(C3041&lt;=60,4,IF(C3041&lt;=120,3,IF(C3041&lt;=200,2,1))))</f>
        <v/>
      </c>
      <c r="G3041" s="124">
        <f>IF(D3041&gt;=20,5,IF(D3041&gt;=10,4,IF(D3041&gt;=5,3,IF(D3041&gt;=2,2,1))))</f>
        <v/>
      </c>
      <c r="H3041" s="124">
        <f>IF(E3041&gt;=5000,5,IF(E3041&gt;=2000,4,IF(E3041&gt;=800,3,IF(E3041&gt;=300,2,1))))</f>
        <v/>
      </c>
      <c r="I3041" s="122">
        <f>TEXT(F3041,"0")&amp;TEXT(G3041,"0")&amp;TEXT(H3041,"0")</f>
        <v/>
      </c>
      <c r="J3041" s="122">
        <f>IFERROR(XLOOKUP(I3041,'Segment Map'!A:A,'Segment Map'!B:B,"Need Attention"),"Need Attention")</f>
        <v/>
      </c>
      <c r="K3041" s="122">
        <f>IF(E3041&gt;=5000,"🏆 Platinum",IF(E3041&gt;=2000,"🥇 Gold",IF(E3041&gt;=800,"🥈 Silver","🥉 Bronze")))</f>
        <v/>
      </c>
      <c r="L3041" s="125" t="n">
        <v>40713</v>
      </c>
    </row>
    <row r="3042">
      <c r="A3042" s="126" t="n">
        <v>16485</v>
      </c>
      <c r="B3042" s="126" t="inlineStr">
        <is>
          <t>United Kingdom</t>
        </is>
      </c>
      <c r="C3042" s="126" t="n">
        <v>78</v>
      </c>
      <c r="D3042" s="126" t="n">
        <v>1</v>
      </c>
      <c r="E3042" s="127" t="n">
        <v>363.65</v>
      </c>
      <c r="F3042" s="128">
        <f>IF(C3042&lt;=30,5,IF(C3042&lt;=60,4,IF(C3042&lt;=120,3,IF(C3042&lt;=200,2,1))))</f>
        <v/>
      </c>
      <c r="G3042" s="128">
        <f>IF(D3042&gt;=20,5,IF(D3042&gt;=10,4,IF(D3042&gt;=5,3,IF(D3042&gt;=2,2,1))))</f>
        <v/>
      </c>
      <c r="H3042" s="128">
        <f>IF(E3042&gt;=5000,5,IF(E3042&gt;=2000,4,IF(E3042&gt;=800,3,IF(E3042&gt;=300,2,1))))</f>
        <v/>
      </c>
      <c r="I3042" s="126">
        <f>TEXT(F3042,"0")&amp;TEXT(G3042,"0")&amp;TEXT(H3042,"0")</f>
        <v/>
      </c>
      <c r="J3042" s="126">
        <f>IFERROR(XLOOKUP(I3042,'Segment Map'!A:A,'Segment Map'!B:B,"Need Attention"),"Need Attention")</f>
        <v/>
      </c>
      <c r="K3042" s="126">
        <f>IF(E3042&gt;=5000,"🏆 Platinum",IF(E3042&gt;=2000,"🥇 Gold",IF(E3042&gt;=800,"🥈 Silver","🥉 Bronze")))</f>
        <v/>
      </c>
      <c r="L3042" s="129" t="n">
        <v>40809</v>
      </c>
    </row>
    <row r="3043">
      <c r="A3043" s="122" t="n">
        <v>16488</v>
      </c>
      <c r="B3043" s="122" t="inlineStr">
        <is>
          <t>United Kingdom</t>
        </is>
      </c>
      <c r="C3043" s="122" t="n">
        <v>34</v>
      </c>
      <c r="D3043" s="122" t="n">
        <v>3</v>
      </c>
      <c r="E3043" s="123" t="n">
        <v>498.8</v>
      </c>
      <c r="F3043" s="124">
        <f>IF(C3043&lt;=30,5,IF(C3043&lt;=60,4,IF(C3043&lt;=120,3,IF(C3043&lt;=200,2,1))))</f>
        <v/>
      </c>
      <c r="G3043" s="124">
        <f>IF(D3043&gt;=20,5,IF(D3043&gt;=10,4,IF(D3043&gt;=5,3,IF(D3043&gt;=2,2,1))))</f>
        <v/>
      </c>
      <c r="H3043" s="124">
        <f>IF(E3043&gt;=5000,5,IF(E3043&gt;=2000,4,IF(E3043&gt;=800,3,IF(E3043&gt;=300,2,1))))</f>
        <v/>
      </c>
      <c r="I3043" s="122">
        <f>TEXT(F3043,"0")&amp;TEXT(G3043,"0")&amp;TEXT(H3043,"0")</f>
        <v/>
      </c>
      <c r="J3043" s="122">
        <f>IFERROR(XLOOKUP(I3043,'Segment Map'!A:A,'Segment Map'!B:B,"Need Attention"),"Need Attention")</f>
        <v/>
      </c>
      <c r="K3043" s="122">
        <f>IF(E3043&gt;=5000,"🏆 Platinum",IF(E3043&gt;=2000,"🥇 Gold",IF(E3043&gt;=800,"🥈 Silver","🥉 Bronze")))</f>
        <v/>
      </c>
      <c r="L3043" s="125" t="n">
        <v>40853</v>
      </c>
    </row>
    <row r="3044">
      <c r="A3044" s="126" t="n">
        <v>16491</v>
      </c>
      <c r="B3044" s="126" t="inlineStr">
        <is>
          <t>United Kingdom</t>
        </is>
      </c>
      <c r="C3044" s="126" t="n">
        <v>47</v>
      </c>
      <c r="D3044" s="126" t="n">
        <v>1</v>
      </c>
      <c r="E3044" s="127" t="n">
        <v>731.5</v>
      </c>
      <c r="F3044" s="128">
        <f>IF(C3044&lt;=30,5,IF(C3044&lt;=60,4,IF(C3044&lt;=120,3,IF(C3044&lt;=200,2,1))))</f>
        <v/>
      </c>
      <c r="G3044" s="128">
        <f>IF(D3044&gt;=20,5,IF(D3044&gt;=10,4,IF(D3044&gt;=5,3,IF(D3044&gt;=2,2,1))))</f>
        <v/>
      </c>
      <c r="H3044" s="128">
        <f>IF(E3044&gt;=5000,5,IF(E3044&gt;=2000,4,IF(E3044&gt;=800,3,IF(E3044&gt;=300,2,1))))</f>
        <v/>
      </c>
      <c r="I3044" s="126">
        <f>TEXT(F3044,"0")&amp;TEXT(G3044,"0")&amp;TEXT(H3044,"0")</f>
        <v/>
      </c>
      <c r="J3044" s="126">
        <f>IFERROR(XLOOKUP(I3044,'Segment Map'!A:A,'Segment Map'!B:B,"Need Attention"),"Need Attention")</f>
        <v/>
      </c>
      <c r="K3044" s="126">
        <f>IF(E3044&gt;=5000,"🏆 Platinum",IF(E3044&gt;=2000,"🥇 Gold",IF(E3044&gt;=800,"🥈 Silver","🥉 Bronze")))</f>
        <v/>
      </c>
      <c r="L3044" s="129" t="n">
        <v>40840</v>
      </c>
    </row>
    <row r="3045">
      <c r="A3045" s="122" t="n">
        <v>16493</v>
      </c>
      <c r="B3045" s="122" t="inlineStr">
        <is>
          <t>United Kingdom</t>
        </is>
      </c>
      <c r="C3045" s="122" t="n">
        <v>80</v>
      </c>
      <c r="D3045" s="122" t="n">
        <v>4</v>
      </c>
      <c r="E3045" s="123" t="n">
        <v>1351.63</v>
      </c>
      <c r="F3045" s="124">
        <f>IF(C3045&lt;=30,5,IF(C3045&lt;=60,4,IF(C3045&lt;=120,3,IF(C3045&lt;=200,2,1))))</f>
        <v/>
      </c>
      <c r="G3045" s="124">
        <f>IF(D3045&gt;=20,5,IF(D3045&gt;=10,4,IF(D3045&gt;=5,3,IF(D3045&gt;=2,2,1))))</f>
        <v/>
      </c>
      <c r="H3045" s="124">
        <f>IF(E3045&gt;=5000,5,IF(E3045&gt;=2000,4,IF(E3045&gt;=800,3,IF(E3045&gt;=300,2,1))))</f>
        <v/>
      </c>
      <c r="I3045" s="122">
        <f>TEXT(F3045,"0")&amp;TEXT(G3045,"0")&amp;TEXT(H3045,"0")</f>
        <v/>
      </c>
      <c r="J3045" s="122">
        <f>IFERROR(XLOOKUP(I3045,'Segment Map'!A:A,'Segment Map'!B:B,"Need Attention"),"Need Attention")</f>
        <v/>
      </c>
      <c r="K3045" s="122">
        <f>IF(E3045&gt;=5000,"🏆 Platinum",IF(E3045&gt;=2000,"🥇 Gold",IF(E3045&gt;=800,"🥈 Silver","🥉 Bronze")))</f>
        <v/>
      </c>
      <c r="L3045" s="125" t="n">
        <v>40807</v>
      </c>
    </row>
    <row r="3046">
      <c r="A3046" s="126" t="n">
        <v>16494</v>
      </c>
      <c r="B3046" s="126" t="inlineStr">
        <is>
          <t>United Kingdom</t>
        </is>
      </c>
      <c r="C3046" s="126" t="n">
        <v>297</v>
      </c>
      <c r="D3046" s="126" t="n">
        <v>1</v>
      </c>
      <c r="E3046" s="127" t="n">
        <v>826.53</v>
      </c>
      <c r="F3046" s="128">
        <f>IF(C3046&lt;=30,5,IF(C3046&lt;=60,4,IF(C3046&lt;=120,3,IF(C3046&lt;=200,2,1))))</f>
        <v/>
      </c>
      <c r="G3046" s="128">
        <f>IF(D3046&gt;=20,5,IF(D3046&gt;=10,4,IF(D3046&gt;=5,3,IF(D3046&gt;=2,2,1))))</f>
        <v/>
      </c>
      <c r="H3046" s="128">
        <f>IF(E3046&gt;=5000,5,IF(E3046&gt;=2000,4,IF(E3046&gt;=800,3,IF(E3046&gt;=300,2,1))))</f>
        <v/>
      </c>
      <c r="I3046" s="126">
        <f>TEXT(F3046,"0")&amp;TEXT(G3046,"0")&amp;TEXT(H3046,"0")</f>
        <v/>
      </c>
      <c r="J3046" s="126">
        <f>IFERROR(XLOOKUP(I3046,'Segment Map'!A:A,'Segment Map'!B:B,"Need Attention"),"Need Attention")</f>
        <v/>
      </c>
      <c r="K3046" s="126">
        <f>IF(E3046&gt;=5000,"🏆 Platinum",IF(E3046&gt;=2000,"🥇 Gold",IF(E3046&gt;=800,"🥈 Silver","🥉 Bronze")))</f>
        <v/>
      </c>
      <c r="L3046" s="129" t="n">
        <v>40590</v>
      </c>
    </row>
    <row r="3047">
      <c r="A3047" s="122" t="n">
        <v>16495</v>
      </c>
      <c r="B3047" s="122" t="inlineStr">
        <is>
          <t>United Kingdom</t>
        </is>
      </c>
      <c r="C3047" s="122" t="n">
        <v>4</v>
      </c>
      <c r="D3047" s="122" t="n">
        <v>3</v>
      </c>
      <c r="E3047" s="123" t="n">
        <v>684.41</v>
      </c>
      <c r="F3047" s="124">
        <f>IF(C3047&lt;=30,5,IF(C3047&lt;=60,4,IF(C3047&lt;=120,3,IF(C3047&lt;=200,2,1))))</f>
        <v/>
      </c>
      <c r="G3047" s="124">
        <f>IF(D3047&gt;=20,5,IF(D3047&gt;=10,4,IF(D3047&gt;=5,3,IF(D3047&gt;=2,2,1))))</f>
        <v/>
      </c>
      <c r="H3047" s="124">
        <f>IF(E3047&gt;=5000,5,IF(E3047&gt;=2000,4,IF(E3047&gt;=800,3,IF(E3047&gt;=300,2,1))))</f>
        <v/>
      </c>
      <c r="I3047" s="122">
        <f>TEXT(F3047,"0")&amp;TEXT(G3047,"0")&amp;TEXT(H3047,"0")</f>
        <v/>
      </c>
      <c r="J3047" s="122">
        <f>IFERROR(XLOOKUP(I3047,'Segment Map'!A:A,'Segment Map'!B:B,"Need Attention"),"Need Attention")</f>
        <v/>
      </c>
      <c r="K3047" s="122">
        <f>IF(E3047&gt;=5000,"🏆 Platinum",IF(E3047&gt;=2000,"🥇 Gold",IF(E3047&gt;=800,"🥈 Silver","🥉 Bronze")))</f>
        <v/>
      </c>
      <c r="L3047" s="125" t="n">
        <v>40883</v>
      </c>
    </row>
    <row r="3048">
      <c r="A3048" s="126" t="n">
        <v>16496</v>
      </c>
      <c r="B3048" s="126" t="inlineStr">
        <is>
          <t>United Kingdom</t>
        </is>
      </c>
      <c r="C3048" s="126" t="n">
        <v>9</v>
      </c>
      <c r="D3048" s="126" t="n">
        <v>3</v>
      </c>
      <c r="E3048" s="127" t="n">
        <v>1599.52</v>
      </c>
      <c r="F3048" s="128">
        <f>IF(C3048&lt;=30,5,IF(C3048&lt;=60,4,IF(C3048&lt;=120,3,IF(C3048&lt;=200,2,1))))</f>
        <v/>
      </c>
      <c r="G3048" s="128">
        <f>IF(D3048&gt;=20,5,IF(D3048&gt;=10,4,IF(D3048&gt;=5,3,IF(D3048&gt;=2,2,1))))</f>
        <v/>
      </c>
      <c r="H3048" s="128">
        <f>IF(E3048&gt;=5000,5,IF(E3048&gt;=2000,4,IF(E3048&gt;=800,3,IF(E3048&gt;=300,2,1))))</f>
        <v/>
      </c>
      <c r="I3048" s="126">
        <f>TEXT(F3048,"0")&amp;TEXT(G3048,"0")&amp;TEXT(H3048,"0")</f>
        <v/>
      </c>
      <c r="J3048" s="126">
        <f>IFERROR(XLOOKUP(I3048,'Segment Map'!A:A,'Segment Map'!B:B,"Need Attention"),"Need Attention")</f>
        <v/>
      </c>
      <c r="K3048" s="126">
        <f>IF(E3048&gt;=5000,"🏆 Platinum",IF(E3048&gt;=2000,"🥇 Gold",IF(E3048&gt;=800,"🥈 Silver","🥉 Bronze")))</f>
        <v/>
      </c>
      <c r="L3048" s="129" t="n">
        <v>40878</v>
      </c>
    </row>
    <row r="3049">
      <c r="A3049" s="122" t="n">
        <v>16497</v>
      </c>
      <c r="B3049" s="122" t="inlineStr">
        <is>
          <t>United Kingdom</t>
        </is>
      </c>
      <c r="C3049" s="122" t="n">
        <v>50</v>
      </c>
      <c r="D3049" s="122" t="n">
        <v>6</v>
      </c>
      <c r="E3049" s="123" t="n">
        <v>2965.69</v>
      </c>
      <c r="F3049" s="124">
        <f>IF(C3049&lt;=30,5,IF(C3049&lt;=60,4,IF(C3049&lt;=120,3,IF(C3049&lt;=200,2,1))))</f>
        <v/>
      </c>
      <c r="G3049" s="124">
        <f>IF(D3049&gt;=20,5,IF(D3049&gt;=10,4,IF(D3049&gt;=5,3,IF(D3049&gt;=2,2,1))))</f>
        <v/>
      </c>
      <c r="H3049" s="124">
        <f>IF(E3049&gt;=5000,5,IF(E3049&gt;=2000,4,IF(E3049&gt;=800,3,IF(E3049&gt;=300,2,1))))</f>
        <v/>
      </c>
      <c r="I3049" s="122">
        <f>TEXT(F3049,"0")&amp;TEXT(G3049,"0")&amp;TEXT(H3049,"0")</f>
        <v/>
      </c>
      <c r="J3049" s="122">
        <f>IFERROR(XLOOKUP(I3049,'Segment Map'!A:A,'Segment Map'!B:B,"Need Attention"),"Need Attention")</f>
        <v/>
      </c>
      <c r="K3049" s="122">
        <f>IF(E3049&gt;=5000,"🏆 Platinum",IF(E3049&gt;=2000,"🥇 Gold",IF(E3049&gt;=800,"🥈 Silver","🥉 Bronze")))</f>
        <v/>
      </c>
      <c r="L3049" s="125" t="n">
        <v>40837</v>
      </c>
    </row>
    <row r="3050">
      <c r="A3050" s="126" t="n">
        <v>16498</v>
      </c>
      <c r="B3050" s="126" t="inlineStr">
        <is>
          <t>United Kingdom</t>
        </is>
      </c>
      <c r="C3050" s="126" t="n">
        <v>162</v>
      </c>
      <c r="D3050" s="126" t="n">
        <v>2</v>
      </c>
      <c r="E3050" s="127" t="n">
        <v>100.97</v>
      </c>
      <c r="F3050" s="128">
        <f>IF(C3050&lt;=30,5,IF(C3050&lt;=60,4,IF(C3050&lt;=120,3,IF(C3050&lt;=200,2,1))))</f>
        <v/>
      </c>
      <c r="G3050" s="128">
        <f>IF(D3050&gt;=20,5,IF(D3050&gt;=10,4,IF(D3050&gt;=5,3,IF(D3050&gt;=2,2,1))))</f>
        <v/>
      </c>
      <c r="H3050" s="128">
        <f>IF(E3050&gt;=5000,5,IF(E3050&gt;=2000,4,IF(E3050&gt;=800,3,IF(E3050&gt;=300,2,1))))</f>
        <v/>
      </c>
      <c r="I3050" s="126">
        <f>TEXT(F3050,"0")&amp;TEXT(G3050,"0")&amp;TEXT(H3050,"0")</f>
        <v/>
      </c>
      <c r="J3050" s="126">
        <f>IFERROR(XLOOKUP(I3050,'Segment Map'!A:A,'Segment Map'!B:B,"Need Attention"),"Need Attention")</f>
        <v/>
      </c>
      <c r="K3050" s="126">
        <f>IF(E3050&gt;=5000,"🏆 Platinum",IF(E3050&gt;=2000,"🥇 Gold",IF(E3050&gt;=800,"🥈 Silver","🥉 Bronze")))</f>
        <v/>
      </c>
      <c r="L3050" s="129" t="n">
        <v>40725</v>
      </c>
    </row>
    <row r="3051">
      <c r="A3051" s="122" t="n">
        <v>16499</v>
      </c>
      <c r="B3051" s="122" t="inlineStr">
        <is>
          <t>United Kingdom</t>
        </is>
      </c>
      <c r="C3051" s="122" t="n">
        <v>361</v>
      </c>
      <c r="D3051" s="122" t="n">
        <v>2</v>
      </c>
      <c r="E3051" s="123" t="n">
        <v>365.45</v>
      </c>
      <c r="F3051" s="124">
        <f>IF(C3051&lt;=30,5,IF(C3051&lt;=60,4,IF(C3051&lt;=120,3,IF(C3051&lt;=200,2,1))))</f>
        <v/>
      </c>
      <c r="G3051" s="124">
        <f>IF(D3051&gt;=20,5,IF(D3051&gt;=10,4,IF(D3051&gt;=5,3,IF(D3051&gt;=2,2,1))))</f>
        <v/>
      </c>
      <c r="H3051" s="124">
        <f>IF(E3051&gt;=5000,5,IF(E3051&gt;=2000,4,IF(E3051&gt;=800,3,IF(E3051&gt;=300,2,1))))</f>
        <v/>
      </c>
      <c r="I3051" s="122">
        <f>TEXT(F3051,"0")&amp;TEXT(G3051,"0")&amp;TEXT(H3051,"0")</f>
        <v/>
      </c>
      <c r="J3051" s="122">
        <f>IFERROR(XLOOKUP(I3051,'Segment Map'!A:A,'Segment Map'!B:B,"Need Attention"),"Need Attention")</f>
        <v/>
      </c>
      <c r="K3051" s="122">
        <f>IF(E3051&gt;=5000,"🏆 Platinum",IF(E3051&gt;=2000,"🥇 Gold",IF(E3051&gt;=800,"🥈 Silver","🥉 Bronze")))</f>
        <v/>
      </c>
      <c r="L3051" s="125" t="n">
        <v>40526</v>
      </c>
    </row>
    <row r="3052">
      <c r="A3052" s="126" t="n">
        <v>16500</v>
      </c>
      <c r="B3052" s="126" t="inlineStr">
        <is>
          <t>United Kingdom</t>
        </is>
      </c>
      <c r="C3052" s="126" t="n">
        <v>5</v>
      </c>
      <c r="D3052" s="126" t="n">
        <v>6</v>
      </c>
      <c r="E3052" s="127" t="n">
        <v>400.86</v>
      </c>
      <c r="F3052" s="128">
        <f>IF(C3052&lt;=30,5,IF(C3052&lt;=60,4,IF(C3052&lt;=120,3,IF(C3052&lt;=200,2,1))))</f>
        <v/>
      </c>
      <c r="G3052" s="128">
        <f>IF(D3052&gt;=20,5,IF(D3052&gt;=10,4,IF(D3052&gt;=5,3,IF(D3052&gt;=2,2,1))))</f>
        <v/>
      </c>
      <c r="H3052" s="128">
        <f>IF(E3052&gt;=5000,5,IF(E3052&gt;=2000,4,IF(E3052&gt;=800,3,IF(E3052&gt;=300,2,1))))</f>
        <v/>
      </c>
      <c r="I3052" s="126">
        <f>TEXT(F3052,"0")&amp;TEXT(G3052,"0")&amp;TEXT(H3052,"0")</f>
        <v/>
      </c>
      <c r="J3052" s="126">
        <f>IFERROR(XLOOKUP(I3052,'Segment Map'!A:A,'Segment Map'!B:B,"Need Attention"),"Need Attention")</f>
        <v/>
      </c>
      <c r="K3052" s="126">
        <f>IF(E3052&gt;=5000,"🏆 Platinum",IF(E3052&gt;=2000,"🥇 Gold",IF(E3052&gt;=800,"🥈 Silver","🥉 Bronze")))</f>
        <v/>
      </c>
      <c r="L3052" s="129" t="n">
        <v>40882</v>
      </c>
    </row>
    <row r="3053">
      <c r="A3053" s="122" t="n">
        <v>16503</v>
      </c>
      <c r="B3053" s="122" t="inlineStr">
        <is>
          <t>United Kingdom</t>
        </is>
      </c>
      <c r="C3053" s="122" t="n">
        <v>107</v>
      </c>
      <c r="D3053" s="122" t="n">
        <v>4</v>
      </c>
      <c r="E3053" s="123" t="n">
        <v>1431.93</v>
      </c>
      <c r="F3053" s="124">
        <f>IF(C3053&lt;=30,5,IF(C3053&lt;=60,4,IF(C3053&lt;=120,3,IF(C3053&lt;=200,2,1))))</f>
        <v/>
      </c>
      <c r="G3053" s="124">
        <f>IF(D3053&gt;=20,5,IF(D3053&gt;=10,4,IF(D3053&gt;=5,3,IF(D3053&gt;=2,2,1))))</f>
        <v/>
      </c>
      <c r="H3053" s="124">
        <f>IF(E3053&gt;=5000,5,IF(E3053&gt;=2000,4,IF(E3053&gt;=800,3,IF(E3053&gt;=300,2,1))))</f>
        <v/>
      </c>
      <c r="I3053" s="122">
        <f>TEXT(F3053,"0")&amp;TEXT(G3053,"0")&amp;TEXT(H3053,"0")</f>
        <v/>
      </c>
      <c r="J3053" s="122">
        <f>IFERROR(XLOOKUP(I3053,'Segment Map'!A:A,'Segment Map'!B:B,"Need Attention"),"Need Attention")</f>
        <v/>
      </c>
      <c r="K3053" s="122">
        <f>IF(E3053&gt;=5000,"🏆 Platinum",IF(E3053&gt;=2000,"🥇 Gold",IF(E3053&gt;=800,"🥈 Silver","🥉 Bronze")))</f>
        <v/>
      </c>
      <c r="L3053" s="125" t="n">
        <v>40780</v>
      </c>
    </row>
    <row r="3054">
      <c r="A3054" s="126" t="n">
        <v>16504</v>
      </c>
      <c r="B3054" s="126" t="inlineStr">
        <is>
          <t>United Kingdom</t>
        </is>
      </c>
      <c r="C3054" s="126" t="n">
        <v>26</v>
      </c>
      <c r="D3054" s="126" t="n">
        <v>1</v>
      </c>
      <c r="E3054" s="127" t="n">
        <v>484.38</v>
      </c>
      <c r="F3054" s="128">
        <f>IF(C3054&lt;=30,5,IF(C3054&lt;=60,4,IF(C3054&lt;=120,3,IF(C3054&lt;=200,2,1))))</f>
        <v/>
      </c>
      <c r="G3054" s="128">
        <f>IF(D3054&gt;=20,5,IF(D3054&gt;=10,4,IF(D3054&gt;=5,3,IF(D3054&gt;=2,2,1))))</f>
        <v/>
      </c>
      <c r="H3054" s="128">
        <f>IF(E3054&gt;=5000,5,IF(E3054&gt;=2000,4,IF(E3054&gt;=800,3,IF(E3054&gt;=300,2,1))))</f>
        <v/>
      </c>
      <c r="I3054" s="126">
        <f>TEXT(F3054,"0")&amp;TEXT(G3054,"0")&amp;TEXT(H3054,"0")</f>
        <v/>
      </c>
      <c r="J3054" s="126">
        <f>IFERROR(XLOOKUP(I3054,'Segment Map'!A:A,'Segment Map'!B:B,"Need Attention"),"Need Attention")</f>
        <v/>
      </c>
      <c r="K3054" s="126">
        <f>IF(E3054&gt;=5000,"🏆 Platinum",IF(E3054&gt;=2000,"🥇 Gold",IF(E3054&gt;=800,"🥈 Silver","🥉 Bronze")))</f>
        <v/>
      </c>
      <c r="L3054" s="129" t="n">
        <v>40861</v>
      </c>
    </row>
    <row r="3055">
      <c r="A3055" s="122" t="n">
        <v>16505</v>
      </c>
      <c r="B3055" s="122" t="inlineStr">
        <is>
          <t>United Kingdom</t>
        </is>
      </c>
      <c r="C3055" s="122" t="n">
        <v>32</v>
      </c>
      <c r="D3055" s="122" t="n">
        <v>1</v>
      </c>
      <c r="E3055" s="123" t="n">
        <v>777.6</v>
      </c>
      <c r="F3055" s="124">
        <f>IF(C3055&lt;=30,5,IF(C3055&lt;=60,4,IF(C3055&lt;=120,3,IF(C3055&lt;=200,2,1))))</f>
        <v/>
      </c>
      <c r="G3055" s="124">
        <f>IF(D3055&gt;=20,5,IF(D3055&gt;=10,4,IF(D3055&gt;=5,3,IF(D3055&gt;=2,2,1))))</f>
        <v/>
      </c>
      <c r="H3055" s="124">
        <f>IF(E3055&gt;=5000,5,IF(E3055&gt;=2000,4,IF(E3055&gt;=800,3,IF(E3055&gt;=300,2,1))))</f>
        <v/>
      </c>
      <c r="I3055" s="122">
        <f>TEXT(F3055,"0")&amp;TEXT(G3055,"0")&amp;TEXT(H3055,"0")</f>
        <v/>
      </c>
      <c r="J3055" s="122">
        <f>IFERROR(XLOOKUP(I3055,'Segment Map'!A:A,'Segment Map'!B:B,"Need Attention"),"Need Attention")</f>
        <v/>
      </c>
      <c r="K3055" s="122">
        <f>IF(E3055&gt;=5000,"🏆 Platinum",IF(E3055&gt;=2000,"🥇 Gold",IF(E3055&gt;=800,"🥈 Silver","🥉 Bronze")))</f>
        <v/>
      </c>
      <c r="L3055" s="125" t="n">
        <v>40855</v>
      </c>
    </row>
    <row r="3056">
      <c r="A3056" s="126" t="n">
        <v>16506</v>
      </c>
      <c r="B3056" s="126" t="inlineStr">
        <is>
          <t>United Kingdom</t>
        </is>
      </c>
      <c r="C3056" s="126" t="n">
        <v>20</v>
      </c>
      <c r="D3056" s="126" t="n">
        <v>2</v>
      </c>
      <c r="E3056" s="127" t="n">
        <v>90.3</v>
      </c>
      <c r="F3056" s="128">
        <f>IF(C3056&lt;=30,5,IF(C3056&lt;=60,4,IF(C3056&lt;=120,3,IF(C3056&lt;=200,2,1))))</f>
        <v/>
      </c>
      <c r="G3056" s="128">
        <f>IF(D3056&gt;=20,5,IF(D3056&gt;=10,4,IF(D3056&gt;=5,3,IF(D3056&gt;=2,2,1))))</f>
        <v/>
      </c>
      <c r="H3056" s="128">
        <f>IF(E3056&gt;=5000,5,IF(E3056&gt;=2000,4,IF(E3056&gt;=800,3,IF(E3056&gt;=300,2,1))))</f>
        <v/>
      </c>
      <c r="I3056" s="126">
        <f>TEXT(F3056,"0")&amp;TEXT(G3056,"0")&amp;TEXT(H3056,"0")</f>
        <v/>
      </c>
      <c r="J3056" s="126">
        <f>IFERROR(XLOOKUP(I3056,'Segment Map'!A:A,'Segment Map'!B:B,"Need Attention"),"Need Attention")</f>
        <v/>
      </c>
      <c r="K3056" s="126">
        <f>IF(E3056&gt;=5000,"🏆 Platinum",IF(E3056&gt;=2000,"🥇 Gold",IF(E3056&gt;=800,"🥈 Silver","🥉 Bronze")))</f>
        <v/>
      </c>
      <c r="L3056" s="129" t="n">
        <v>40867</v>
      </c>
    </row>
    <row r="3057">
      <c r="A3057" s="122" t="n">
        <v>16509</v>
      </c>
      <c r="B3057" s="122" t="inlineStr">
        <is>
          <t>United Kingdom</t>
        </is>
      </c>
      <c r="C3057" s="122" t="n">
        <v>297</v>
      </c>
      <c r="D3057" s="122" t="n">
        <v>1</v>
      </c>
      <c r="E3057" s="123" t="n">
        <v>363.7</v>
      </c>
      <c r="F3057" s="124">
        <f>IF(C3057&lt;=30,5,IF(C3057&lt;=60,4,IF(C3057&lt;=120,3,IF(C3057&lt;=200,2,1))))</f>
        <v/>
      </c>
      <c r="G3057" s="124">
        <f>IF(D3057&gt;=20,5,IF(D3057&gt;=10,4,IF(D3057&gt;=5,3,IF(D3057&gt;=2,2,1))))</f>
        <v/>
      </c>
      <c r="H3057" s="124">
        <f>IF(E3057&gt;=5000,5,IF(E3057&gt;=2000,4,IF(E3057&gt;=800,3,IF(E3057&gt;=300,2,1))))</f>
        <v/>
      </c>
      <c r="I3057" s="122">
        <f>TEXT(F3057,"0")&amp;TEXT(G3057,"0")&amp;TEXT(H3057,"0")</f>
        <v/>
      </c>
      <c r="J3057" s="122">
        <f>IFERROR(XLOOKUP(I3057,'Segment Map'!A:A,'Segment Map'!B:B,"Need Attention"),"Need Attention")</f>
        <v/>
      </c>
      <c r="K3057" s="122">
        <f>IF(E3057&gt;=5000,"🏆 Platinum",IF(E3057&gt;=2000,"🥇 Gold",IF(E3057&gt;=800,"🥈 Silver","🥉 Bronze")))</f>
        <v/>
      </c>
      <c r="L3057" s="125" t="n">
        <v>40590</v>
      </c>
    </row>
    <row r="3058">
      <c r="A3058" s="126" t="n">
        <v>16510</v>
      </c>
      <c r="B3058" s="126" t="inlineStr">
        <is>
          <t>United Kingdom</t>
        </is>
      </c>
      <c r="C3058" s="126" t="n">
        <v>373</v>
      </c>
      <c r="D3058" s="126" t="n">
        <v>1</v>
      </c>
      <c r="E3058" s="127" t="n">
        <v>248.1</v>
      </c>
      <c r="F3058" s="128">
        <f>IF(C3058&lt;=30,5,IF(C3058&lt;=60,4,IF(C3058&lt;=120,3,IF(C3058&lt;=200,2,1))))</f>
        <v/>
      </c>
      <c r="G3058" s="128">
        <f>IF(D3058&gt;=20,5,IF(D3058&gt;=10,4,IF(D3058&gt;=5,3,IF(D3058&gt;=2,2,1))))</f>
        <v/>
      </c>
      <c r="H3058" s="128">
        <f>IF(E3058&gt;=5000,5,IF(E3058&gt;=2000,4,IF(E3058&gt;=800,3,IF(E3058&gt;=300,2,1))))</f>
        <v/>
      </c>
      <c r="I3058" s="126">
        <f>TEXT(F3058,"0")&amp;TEXT(G3058,"0")&amp;TEXT(H3058,"0")</f>
        <v/>
      </c>
      <c r="J3058" s="126">
        <f>IFERROR(XLOOKUP(I3058,'Segment Map'!A:A,'Segment Map'!B:B,"Need Attention"),"Need Attention")</f>
        <v/>
      </c>
      <c r="K3058" s="126">
        <f>IF(E3058&gt;=5000,"🏆 Platinum",IF(E3058&gt;=2000,"🥇 Gold",IF(E3058&gt;=800,"🥈 Silver","🥉 Bronze")))</f>
        <v/>
      </c>
      <c r="L3058" s="129" t="n">
        <v>40514</v>
      </c>
    </row>
    <row r="3059">
      <c r="A3059" s="122" t="n">
        <v>16511</v>
      </c>
      <c r="B3059" s="122" t="inlineStr">
        <is>
          <t>United Kingdom</t>
        </is>
      </c>
      <c r="C3059" s="122" t="n">
        <v>22</v>
      </c>
      <c r="D3059" s="122" t="n">
        <v>3</v>
      </c>
      <c r="E3059" s="123" t="n">
        <v>950.26</v>
      </c>
      <c r="F3059" s="124">
        <f>IF(C3059&lt;=30,5,IF(C3059&lt;=60,4,IF(C3059&lt;=120,3,IF(C3059&lt;=200,2,1))))</f>
        <v/>
      </c>
      <c r="G3059" s="124">
        <f>IF(D3059&gt;=20,5,IF(D3059&gt;=10,4,IF(D3059&gt;=5,3,IF(D3059&gt;=2,2,1))))</f>
        <v/>
      </c>
      <c r="H3059" s="124">
        <f>IF(E3059&gt;=5000,5,IF(E3059&gt;=2000,4,IF(E3059&gt;=800,3,IF(E3059&gt;=300,2,1))))</f>
        <v/>
      </c>
      <c r="I3059" s="122">
        <f>TEXT(F3059,"0")&amp;TEXT(G3059,"0")&amp;TEXT(H3059,"0")</f>
        <v/>
      </c>
      <c r="J3059" s="122">
        <f>IFERROR(XLOOKUP(I3059,'Segment Map'!A:A,'Segment Map'!B:B,"Need Attention"),"Need Attention")</f>
        <v/>
      </c>
      <c r="K3059" s="122">
        <f>IF(E3059&gt;=5000,"🏆 Platinum",IF(E3059&gt;=2000,"🥇 Gold",IF(E3059&gt;=800,"🥈 Silver","🥉 Bronze")))</f>
        <v/>
      </c>
      <c r="L3059" s="125" t="n">
        <v>40865</v>
      </c>
    </row>
    <row r="3060">
      <c r="A3060" s="126" t="n">
        <v>16513</v>
      </c>
      <c r="B3060" s="126" t="inlineStr">
        <is>
          <t>United Kingdom</t>
        </is>
      </c>
      <c r="C3060" s="126" t="n">
        <v>5</v>
      </c>
      <c r="D3060" s="126" t="n">
        <v>4</v>
      </c>
      <c r="E3060" s="127" t="n">
        <v>874.59</v>
      </c>
      <c r="F3060" s="128">
        <f>IF(C3060&lt;=30,5,IF(C3060&lt;=60,4,IF(C3060&lt;=120,3,IF(C3060&lt;=200,2,1))))</f>
        <v/>
      </c>
      <c r="G3060" s="128">
        <f>IF(D3060&gt;=20,5,IF(D3060&gt;=10,4,IF(D3060&gt;=5,3,IF(D3060&gt;=2,2,1))))</f>
        <v/>
      </c>
      <c r="H3060" s="128">
        <f>IF(E3060&gt;=5000,5,IF(E3060&gt;=2000,4,IF(E3060&gt;=800,3,IF(E3060&gt;=300,2,1))))</f>
        <v/>
      </c>
      <c r="I3060" s="126">
        <f>TEXT(F3060,"0")&amp;TEXT(G3060,"0")&amp;TEXT(H3060,"0")</f>
        <v/>
      </c>
      <c r="J3060" s="126">
        <f>IFERROR(XLOOKUP(I3060,'Segment Map'!A:A,'Segment Map'!B:B,"Need Attention"),"Need Attention")</f>
        <v/>
      </c>
      <c r="K3060" s="126">
        <f>IF(E3060&gt;=5000,"🏆 Platinum",IF(E3060&gt;=2000,"🥇 Gold",IF(E3060&gt;=800,"🥈 Silver","🥉 Bronze")))</f>
        <v/>
      </c>
      <c r="L3060" s="129" t="n">
        <v>40882</v>
      </c>
    </row>
    <row r="3061">
      <c r="A3061" s="122" t="n">
        <v>16515</v>
      </c>
      <c r="B3061" s="122" t="inlineStr">
        <is>
          <t>United Kingdom</t>
        </is>
      </c>
      <c r="C3061" s="122" t="n">
        <v>53</v>
      </c>
      <c r="D3061" s="122" t="n">
        <v>5</v>
      </c>
      <c r="E3061" s="123" t="n">
        <v>1627.13</v>
      </c>
      <c r="F3061" s="124">
        <f>IF(C3061&lt;=30,5,IF(C3061&lt;=60,4,IF(C3061&lt;=120,3,IF(C3061&lt;=200,2,1))))</f>
        <v/>
      </c>
      <c r="G3061" s="124">
        <f>IF(D3061&gt;=20,5,IF(D3061&gt;=10,4,IF(D3061&gt;=5,3,IF(D3061&gt;=2,2,1))))</f>
        <v/>
      </c>
      <c r="H3061" s="124">
        <f>IF(E3061&gt;=5000,5,IF(E3061&gt;=2000,4,IF(E3061&gt;=800,3,IF(E3061&gt;=300,2,1))))</f>
        <v/>
      </c>
      <c r="I3061" s="122">
        <f>TEXT(F3061,"0")&amp;TEXT(G3061,"0")&amp;TEXT(H3061,"0")</f>
        <v/>
      </c>
      <c r="J3061" s="122">
        <f>IFERROR(XLOOKUP(I3061,'Segment Map'!A:A,'Segment Map'!B:B,"Need Attention"),"Need Attention")</f>
        <v/>
      </c>
      <c r="K3061" s="122">
        <f>IF(E3061&gt;=5000,"🏆 Platinum",IF(E3061&gt;=2000,"🥇 Gold",IF(E3061&gt;=800,"🥈 Silver","🥉 Bronze")))</f>
        <v/>
      </c>
      <c r="L3061" s="125" t="n">
        <v>40834</v>
      </c>
    </row>
    <row r="3062">
      <c r="A3062" s="126" t="n">
        <v>16516</v>
      </c>
      <c r="B3062" s="126" t="inlineStr">
        <is>
          <t>United Kingdom</t>
        </is>
      </c>
      <c r="C3062" s="126" t="n">
        <v>31</v>
      </c>
      <c r="D3062" s="126" t="n">
        <v>1</v>
      </c>
      <c r="E3062" s="127" t="n">
        <v>101.7</v>
      </c>
      <c r="F3062" s="128">
        <f>IF(C3062&lt;=30,5,IF(C3062&lt;=60,4,IF(C3062&lt;=120,3,IF(C3062&lt;=200,2,1))))</f>
        <v/>
      </c>
      <c r="G3062" s="128">
        <f>IF(D3062&gt;=20,5,IF(D3062&gt;=10,4,IF(D3062&gt;=5,3,IF(D3062&gt;=2,2,1))))</f>
        <v/>
      </c>
      <c r="H3062" s="128">
        <f>IF(E3062&gt;=5000,5,IF(E3062&gt;=2000,4,IF(E3062&gt;=800,3,IF(E3062&gt;=300,2,1))))</f>
        <v/>
      </c>
      <c r="I3062" s="126">
        <f>TEXT(F3062,"0")&amp;TEXT(G3062,"0")&amp;TEXT(H3062,"0")</f>
        <v/>
      </c>
      <c r="J3062" s="126">
        <f>IFERROR(XLOOKUP(I3062,'Segment Map'!A:A,'Segment Map'!B:B,"Need Attention"),"Need Attention")</f>
        <v/>
      </c>
      <c r="K3062" s="126">
        <f>IF(E3062&gt;=5000,"🏆 Platinum",IF(E3062&gt;=2000,"🥇 Gold",IF(E3062&gt;=800,"🥈 Silver","🥉 Bronze")))</f>
        <v/>
      </c>
      <c r="L3062" s="129" t="n">
        <v>40856</v>
      </c>
    </row>
    <row r="3063">
      <c r="A3063" s="122" t="n">
        <v>16517</v>
      </c>
      <c r="B3063" s="122" t="inlineStr">
        <is>
          <t>United Kingdom</t>
        </is>
      </c>
      <c r="C3063" s="122" t="n">
        <v>278</v>
      </c>
      <c r="D3063" s="122" t="n">
        <v>1</v>
      </c>
      <c r="E3063" s="123" t="n">
        <v>162.7</v>
      </c>
      <c r="F3063" s="124">
        <f>IF(C3063&lt;=30,5,IF(C3063&lt;=60,4,IF(C3063&lt;=120,3,IF(C3063&lt;=200,2,1))))</f>
        <v/>
      </c>
      <c r="G3063" s="124">
        <f>IF(D3063&gt;=20,5,IF(D3063&gt;=10,4,IF(D3063&gt;=5,3,IF(D3063&gt;=2,2,1))))</f>
        <v/>
      </c>
      <c r="H3063" s="124">
        <f>IF(E3063&gt;=5000,5,IF(E3063&gt;=2000,4,IF(E3063&gt;=800,3,IF(E3063&gt;=300,2,1))))</f>
        <v/>
      </c>
      <c r="I3063" s="122">
        <f>TEXT(F3063,"0")&amp;TEXT(G3063,"0")&amp;TEXT(H3063,"0")</f>
        <v/>
      </c>
      <c r="J3063" s="122">
        <f>IFERROR(XLOOKUP(I3063,'Segment Map'!A:A,'Segment Map'!B:B,"Need Attention"),"Need Attention")</f>
        <v/>
      </c>
      <c r="K3063" s="122">
        <f>IF(E3063&gt;=5000,"🏆 Platinum",IF(E3063&gt;=2000,"🥇 Gold",IF(E3063&gt;=800,"🥈 Silver","🥉 Bronze")))</f>
        <v/>
      </c>
      <c r="L3063" s="125" t="n">
        <v>40609</v>
      </c>
    </row>
    <row r="3064">
      <c r="A3064" s="126" t="n">
        <v>16518</v>
      </c>
      <c r="B3064" s="126" t="inlineStr">
        <is>
          <t>United Kingdom</t>
        </is>
      </c>
      <c r="C3064" s="126" t="n">
        <v>62</v>
      </c>
      <c r="D3064" s="126" t="n">
        <v>2</v>
      </c>
      <c r="E3064" s="127" t="n">
        <v>484.32</v>
      </c>
      <c r="F3064" s="128">
        <f>IF(C3064&lt;=30,5,IF(C3064&lt;=60,4,IF(C3064&lt;=120,3,IF(C3064&lt;=200,2,1))))</f>
        <v/>
      </c>
      <c r="G3064" s="128">
        <f>IF(D3064&gt;=20,5,IF(D3064&gt;=10,4,IF(D3064&gt;=5,3,IF(D3064&gt;=2,2,1))))</f>
        <v/>
      </c>
      <c r="H3064" s="128">
        <f>IF(E3064&gt;=5000,5,IF(E3064&gt;=2000,4,IF(E3064&gt;=800,3,IF(E3064&gt;=300,2,1))))</f>
        <v/>
      </c>
      <c r="I3064" s="126">
        <f>TEXT(F3064,"0")&amp;TEXT(G3064,"0")&amp;TEXT(H3064,"0")</f>
        <v/>
      </c>
      <c r="J3064" s="126">
        <f>IFERROR(XLOOKUP(I3064,'Segment Map'!A:A,'Segment Map'!B:B,"Need Attention"),"Need Attention")</f>
        <v/>
      </c>
      <c r="K3064" s="126">
        <f>IF(E3064&gt;=5000,"🏆 Platinum",IF(E3064&gt;=2000,"🥇 Gold",IF(E3064&gt;=800,"🥈 Silver","🥉 Bronze")))</f>
        <v/>
      </c>
      <c r="L3064" s="129" t="n">
        <v>40825</v>
      </c>
    </row>
    <row r="3065">
      <c r="A3065" s="122" t="n">
        <v>16519</v>
      </c>
      <c r="B3065" s="122" t="inlineStr">
        <is>
          <t>United Kingdom</t>
        </is>
      </c>
      <c r="C3065" s="122" t="n">
        <v>26</v>
      </c>
      <c r="D3065" s="122" t="n">
        <v>2</v>
      </c>
      <c r="E3065" s="123" t="n">
        <v>215.08</v>
      </c>
      <c r="F3065" s="124">
        <f>IF(C3065&lt;=30,5,IF(C3065&lt;=60,4,IF(C3065&lt;=120,3,IF(C3065&lt;=200,2,1))))</f>
        <v/>
      </c>
      <c r="G3065" s="124">
        <f>IF(D3065&gt;=20,5,IF(D3065&gt;=10,4,IF(D3065&gt;=5,3,IF(D3065&gt;=2,2,1))))</f>
        <v/>
      </c>
      <c r="H3065" s="124">
        <f>IF(E3065&gt;=5000,5,IF(E3065&gt;=2000,4,IF(E3065&gt;=800,3,IF(E3065&gt;=300,2,1))))</f>
        <v/>
      </c>
      <c r="I3065" s="122">
        <f>TEXT(F3065,"0")&amp;TEXT(G3065,"0")&amp;TEXT(H3065,"0")</f>
        <v/>
      </c>
      <c r="J3065" s="122">
        <f>IFERROR(XLOOKUP(I3065,'Segment Map'!A:A,'Segment Map'!B:B,"Need Attention"),"Need Attention")</f>
        <v/>
      </c>
      <c r="K3065" s="122">
        <f>IF(E3065&gt;=5000,"🏆 Platinum",IF(E3065&gt;=2000,"🥇 Gold",IF(E3065&gt;=800,"🥈 Silver","🥉 Bronze")))</f>
        <v/>
      </c>
      <c r="L3065" s="125" t="n">
        <v>40861</v>
      </c>
    </row>
    <row r="3066">
      <c r="A3066" s="126" t="n">
        <v>16520</v>
      </c>
      <c r="B3066" s="126" t="inlineStr">
        <is>
          <t>United Kingdom</t>
        </is>
      </c>
      <c r="C3066" s="126" t="n">
        <v>187</v>
      </c>
      <c r="D3066" s="126" t="n">
        <v>3</v>
      </c>
      <c r="E3066" s="127" t="n">
        <v>1046.57</v>
      </c>
      <c r="F3066" s="128">
        <f>IF(C3066&lt;=30,5,IF(C3066&lt;=60,4,IF(C3066&lt;=120,3,IF(C3066&lt;=200,2,1))))</f>
        <v/>
      </c>
      <c r="G3066" s="128">
        <f>IF(D3066&gt;=20,5,IF(D3066&gt;=10,4,IF(D3066&gt;=5,3,IF(D3066&gt;=2,2,1))))</f>
        <v/>
      </c>
      <c r="H3066" s="128">
        <f>IF(E3066&gt;=5000,5,IF(E3066&gt;=2000,4,IF(E3066&gt;=800,3,IF(E3066&gt;=300,2,1))))</f>
        <v/>
      </c>
      <c r="I3066" s="126">
        <f>TEXT(F3066,"0")&amp;TEXT(G3066,"0")&amp;TEXT(H3066,"0")</f>
        <v/>
      </c>
      <c r="J3066" s="126">
        <f>IFERROR(XLOOKUP(I3066,'Segment Map'!A:A,'Segment Map'!B:B,"Need Attention"),"Need Attention")</f>
        <v/>
      </c>
      <c r="K3066" s="126">
        <f>IF(E3066&gt;=5000,"🏆 Platinum",IF(E3066&gt;=2000,"🥇 Gold",IF(E3066&gt;=800,"🥈 Silver","🥉 Bronze")))</f>
        <v/>
      </c>
      <c r="L3066" s="129" t="n">
        <v>40700</v>
      </c>
    </row>
    <row r="3067">
      <c r="A3067" s="122" t="n">
        <v>16523</v>
      </c>
      <c r="B3067" s="122" t="inlineStr">
        <is>
          <t>United Kingdom</t>
        </is>
      </c>
      <c r="C3067" s="122" t="n">
        <v>2</v>
      </c>
      <c r="D3067" s="122" t="n">
        <v>21</v>
      </c>
      <c r="E3067" s="123" t="n">
        <v>9418.469999999999</v>
      </c>
      <c r="F3067" s="124">
        <f>IF(C3067&lt;=30,5,IF(C3067&lt;=60,4,IF(C3067&lt;=120,3,IF(C3067&lt;=200,2,1))))</f>
        <v/>
      </c>
      <c r="G3067" s="124">
        <f>IF(D3067&gt;=20,5,IF(D3067&gt;=10,4,IF(D3067&gt;=5,3,IF(D3067&gt;=2,2,1))))</f>
        <v/>
      </c>
      <c r="H3067" s="124">
        <f>IF(E3067&gt;=5000,5,IF(E3067&gt;=2000,4,IF(E3067&gt;=800,3,IF(E3067&gt;=300,2,1))))</f>
        <v/>
      </c>
      <c r="I3067" s="122">
        <f>TEXT(F3067,"0")&amp;TEXT(G3067,"0")&amp;TEXT(H3067,"0")</f>
        <v/>
      </c>
      <c r="J3067" s="122">
        <f>IFERROR(XLOOKUP(I3067,'Segment Map'!A:A,'Segment Map'!B:B,"Need Attention"),"Need Attention")</f>
        <v/>
      </c>
      <c r="K3067" s="122">
        <f>IF(E3067&gt;=5000,"🏆 Platinum",IF(E3067&gt;=2000,"🥇 Gold",IF(E3067&gt;=800,"🥈 Silver","🥉 Bronze")))</f>
        <v/>
      </c>
      <c r="L3067" s="125" t="n">
        <v>40885</v>
      </c>
    </row>
    <row r="3068">
      <c r="A3068" s="126" t="n">
        <v>16525</v>
      </c>
      <c r="B3068" s="126" t="inlineStr">
        <is>
          <t>United Kingdom</t>
        </is>
      </c>
      <c r="C3068" s="126" t="n">
        <v>3</v>
      </c>
      <c r="D3068" s="126" t="n">
        <v>26</v>
      </c>
      <c r="E3068" s="127" t="n">
        <v>13027.45</v>
      </c>
      <c r="F3068" s="128">
        <f>IF(C3068&lt;=30,5,IF(C3068&lt;=60,4,IF(C3068&lt;=120,3,IF(C3068&lt;=200,2,1))))</f>
        <v/>
      </c>
      <c r="G3068" s="128">
        <f>IF(D3068&gt;=20,5,IF(D3068&gt;=10,4,IF(D3068&gt;=5,3,IF(D3068&gt;=2,2,1))))</f>
        <v/>
      </c>
      <c r="H3068" s="128">
        <f>IF(E3068&gt;=5000,5,IF(E3068&gt;=2000,4,IF(E3068&gt;=800,3,IF(E3068&gt;=300,2,1))))</f>
        <v/>
      </c>
      <c r="I3068" s="126">
        <f>TEXT(F3068,"0")&amp;TEXT(G3068,"0")&amp;TEXT(H3068,"0")</f>
        <v/>
      </c>
      <c r="J3068" s="126">
        <f>IFERROR(XLOOKUP(I3068,'Segment Map'!A:A,'Segment Map'!B:B,"Need Attention"),"Need Attention")</f>
        <v/>
      </c>
      <c r="K3068" s="126">
        <f>IF(E3068&gt;=5000,"🏆 Platinum",IF(E3068&gt;=2000,"🥇 Gold",IF(E3068&gt;=800,"🥈 Silver","🥉 Bronze")))</f>
        <v/>
      </c>
      <c r="L3068" s="129" t="n">
        <v>40884</v>
      </c>
    </row>
    <row r="3069">
      <c r="A3069" s="122" t="n">
        <v>16526</v>
      </c>
      <c r="B3069" s="122" t="inlineStr">
        <is>
          <t>United Kingdom</t>
        </is>
      </c>
      <c r="C3069" s="122" t="n">
        <v>172</v>
      </c>
      <c r="D3069" s="122" t="n">
        <v>1</v>
      </c>
      <c r="E3069" s="123" t="n">
        <v>290.36</v>
      </c>
      <c r="F3069" s="124">
        <f>IF(C3069&lt;=30,5,IF(C3069&lt;=60,4,IF(C3069&lt;=120,3,IF(C3069&lt;=200,2,1))))</f>
        <v/>
      </c>
      <c r="G3069" s="124">
        <f>IF(D3069&gt;=20,5,IF(D3069&gt;=10,4,IF(D3069&gt;=5,3,IF(D3069&gt;=2,2,1))))</f>
        <v/>
      </c>
      <c r="H3069" s="124">
        <f>IF(E3069&gt;=5000,5,IF(E3069&gt;=2000,4,IF(E3069&gt;=800,3,IF(E3069&gt;=300,2,1))))</f>
        <v/>
      </c>
      <c r="I3069" s="122">
        <f>TEXT(F3069,"0")&amp;TEXT(G3069,"0")&amp;TEXT(H3069,"0")</f>
        <v/>
      </c>
      <c r="J3069" s="122">
        <f>IFERROR(XLOOKUP(I3069,'Segment Map'!A:A,'Segment Map'!B:B,"Need Attention"),"Need Attention")</f>
        <v/>
      </c>
      <c r="K3069" s="122">
        <f>IF(E3069&gt;=5000,"🏆 Platinum",IF(E3069&gt;=2000,"🥇 Gold",IF(E3069&gt;=800,"🥈 Silver","🥉 Bronze")))</f>
        <v/>
      </c>
      <c r="L3069" s="125" t="n">
        <v>40715</v>
      </c>
    </row>
    <row r="3070">
      <c r="A3070" s="126" t="n">
        <v>16527</v>
      </c>
      <c r="B3070" s="126" t="inlineStr">
        <is>
          <t>United Kingdom</t>
        </is>
      </c>
      <c r="C3070" s="126" t="n">
        <v>82</v>
      </c>
      <c r="D3070" s="126" t="n">
        <v>1</v>
      </c>
      <c r="E3070" s="127" t="n">
        <v>228.06</v>
      </c>
      <c r="F3070" s="128">
        <f>IF(C3070&lt;=30,5,IF(C3070&lt;=60,4,IF(C3070&lt;=120,3,IF(C3070&lt;=200,2,1))))</f>
        <v/>
      </c>
      <c r="G3070" s="128">
        <f>IF(D3070&gt;=20,5,IF(D3070&gt;=10,4,IF(D3070&gt;=5,3,IF(D3070&gt;=2,2,1))))</f>
        <v/>
      </c>
      <c r="H3070" s="128">
        <f>IF(E3070&gt;=5000,5,IF(E3070&gt;=2000,4,IF(E3070&gt;=800,3,IF(E3070&gt;=300,2,1))))</f>
        <v/>
      </c>
      <c r="I3070" s="126">
        <f>TEXT(F3070,"0")&amp;TEXT(G3070,"0")&amp;TEXT(H3070,"0")</f>
        <v/>
      </c>
      <c r="J3070" s="126">
        <f>IFERROR(XLOOKUP(I3070,'Segment Map'!A:A,'Segment Map'!B:B,"Need Attention"),"Need Attention")</f>
        <v/>
      </c>
      <c r="K3070" s="126">
        <f>IF(E3070&gt;=5000,"🏆 Platinum",IF(E3070&gt;=2000,"🥇 Gold",IF(E3070&gt;=800,"🥈 Silver","🥉 Bronze")))</f>
        <v/>
      </c>
      <c r="L3070" s="129" t="n">
        <v>40805</v>
      </c>
    </row>
    <row r="3071">
      <c r="A3071" s="122" t="n">
        <v>16528</v>
      </c>
      <c r="B3071" s="122" t="inlineStr">
        <is>
          <t>United Kingdom</t>
        </is>
      </c>
      <c r="C3071" s="122" t="n">
        <v>4</v>
      </c>
      <c r="D3071" s="122" t="n">
        <v>1</v>
      </c>
      <c r="E3071" s="123" t="n">
        <v>244.41</v>
      </c>
      <c r="F3071" s="124">
        <f>IF(C3071&lt;=30,5,IF(C3071&lt;=60,4,IF(C3071&lt;=120,3,IF(C3071&lt;=200,2,1))))</f>
        <v/>
      </c>
      <c r="G3071" s="124">
        <f>IF(D3071&gt;=20,5,IF(D3071&gt;=10,4,IF(D3071&gt;=5,3,IF(D3071&gt;=2,2,1))))</f>
        <v/>
      </c>
      <c r="H3071" s="124">
        <f>IF(E3071&gt;=5000,5,IF(E3071&gt;=2000,4,IF(E3071&gt;=800,3,IF(E3071&gt;=300,2,1))))</f>
        <v/>
      </c>
      <c r="I3071" s="122">
        <f>TEXT(F3071,"0")&amp;TEXT(G3071,"0")&amp;TEXT(H3071,"0")</f>
        <v/>
      </c>
      <c r="J3071" s="122">
        <f>IFERROR(XLOOKUP(I3071,'Segment Map'!A:A,'Segment Map'!B:B,"Need Attention"),"Need Attention")</f>
        <v/>
      </c>
      <c r="K3071" s="122">
        <f>IF(E3071&gt;=5000,"🏆 Platinum",IF(E3071&gt;=2000,"🥇 Gold",IF(E3071&gt;=800,"🥈 Silver","🥉 Bronze")))</f>
        <v/>
      </c>
      <c r="L3071" s="125" t="n">
        <v>40883</v>
      </c>
    </row>
    <row r="3072">
      <c r="A3072" s="126" t="n">
        <v>16529</v>
      </c>
      <c r="B3072" s="126" t="inlineStr">
        <is>
          <t>United Kingdom</t>
        </is>
      </c>
      <c r="C3072" s="126" t="n">
        <v>191</v>
      </c>
      <c r="D3072" s="126" t="n">
        <v>1</v>
      </c>
      <c r="E3072" s="127" t="n">
        <v>455.25</v>
      </c>
      <c r="F3072" s="128">
        <f>IF(C3072&lt;=30,5,IF(C3072&lt;=60,4,IF(C3072&lt;=120,3,IF(C3072&lt;=200,2,1))))</f>
        <v/>
      </c>
      <c r="G3072" s="128">
        <f>IF(D3072&gt;=20,5,IF(D3072&gt;=10,4,IF(D3072&gt;=5,3,IF(D3072&gt;=2,2,1))))</f>
        <v/>
      </c>
      <c r="H3072" s="128">
        <f>IF(E3072&gt;=5000,5,IF(E3072&gt;=2000,4,IF(E3072&gt;=800,3,IF(E3072&gt;=300,2,1))))</f>
        <v/>
      </c>
      <c r="I3072" s="126">
        <f>TEXT(F3072,"0")&amp;TEXT(G3072,"0")&amp;TEXT(H3072,"0")</f>
        <v/>
      </c>
      <c r="J3072" s="126">
        <f>IFERROR(XLOOKUP(I3072,'Segment Map'!A:A,'Segment Map'!B:B,"Need Attention"),"Need Attention")</f>
        <v/>
      </c>
      <c r="K3072" s="126">
        <f>IF(E3072&gt;=5000,"🏆 Platinum",IF(E3072&gt;=2000,"🥇 Gold",IF(E3072&gt;=800,"🥈 Silver","🥉 Bronze")))</f>
        <v/>
      </c>
      <c r="L3072" s="129" t="n">
        <v>40696</v>
      </c>
    </row>
    <row r="3073">
      <c r="A3073" s="122" t="n">
        <v>16531</v>
      </c>
      <c r="B3073" s="122" t="inlineStr">
        <is>
          <t>United Kingdom</t>
        </is>
      </c>
      <c r="C3073" s="122" t="n">
        <v>23</v>
      </c>
      <c r="D3073" s="122" t="n">
        <v>7</v>
      </c>
      <c r="E3073" s="123" t="n">
        <v>1244.59</v>
      </c>
      <c r="F3073" s="124">
        <f>IF(C3073&lt;=30,5,IF(C3073&lt;=60,4,IF(C3073&lt;=120,3,IF(C3073&lt;=200,2,1))))</f>
        <v/>
      </c>
      <c r="G3073" s="124">
        <f>IF(D3073&gt;=20,5,IF(D3073&gt;=10,4,IF(D3073&gt;=5,3,IF(D3073&gt;=2,2,1))))</f>
        <v/>
      </c>
      <c r="H3073" s="124">
        <f>IF(E3073&gt;=5000,5,IF(E3073&gt;=2000,4,IF(E3073&gt;=800,3,IF(E3073&gt;=300,2,1))))</f>
        <v/>
      </c>
      <c r="I3073" s="122">
        <f>TEXT(F3073,"0")&amp;TEXT(G3073,"0")&amp;TEXT(H3073,"0")</f>
        <v/>
      </c>
      <c r="J3073" s="122">
        <f>IFERROR(XLOOKUP(I3073,'Segment Map'!A:A,'Segment Map'!B:B,"Need Attention"),"Need Attention")</f>
        <v/>
      </c>
      <c r="K3073" s="122">
        <f>IF(E3073&gt;=5000,"🏆 Platinum",IF(E3073&gt;=2000,"🥇 Gold",IF(E3073&gt;=800,"🥈 Silver","🥉 Bronze")))</f>
        <v/>
      </c>
      <c r="L3073" s="125" t="n">
        <v>40864</v>
      </c>
    </row>
    <row r="3074">
      <c r="A3074" s="126" t="n">
        <v>16532</v>
      </c>
      <c r="B3074" s="126" t="inlineStr">
        <is>
          <t>United Kingdom</t>
        </is>
      </c>
      <c r="C3074" s="126" t="n">
        <v>18</v>
      </c>
      <c r="D3074" s="126" t="n">
        <v>3</v>
      </c>
      <c r="E3074" s="127" t="n">
        <v>6748.8</v>
      </c>
      <c r="F3074" s="128">
        <f>IF(C3074&lt;=30,5,IF(C3074&lt;=60,4,IF(C3074&lt;=120,3,IF(C3074&lt;=200,2,1))))</f>
        <v/>
      </c>
      <c r="G3074" s="128">
        <f>IF(D3074&gt;=20,5,IF(D3074&gt;=10,4,IF(D3074&gt;=5,3,IF(D3074&gt;=2,2,1))))</f>
        <v/>
      </c>
      <c r="H3074" s="128">
        <f>IF(E3074&gt;=5000,5,IF(E3074&gt;=2000,4,IF(E3074&gt;=800,3,IF(E3074&gt;=300,2,1))))</f>
        <v/>
      </c>
      <c r="I3074" s="126">
        <f>TEXT(F3074,"0")&amp;TEXT(G3074,"0")&amp;TEXT(H3074,"0")</f>
        <v/>
      </c>
      <c r="J3074" s="126">
        <f>IFERROR(XLOOKUP(I3074,'Segment Map'!A:A,'Segment Map'!B:B,"Need Attention"),"Need Attention")</f>
        <v/>
      </c>
      <c r="K3074" s="126">
        <f>IF(E3074&gt;=5000,"🏆 Platinum",IF(E3074&gt;=2000,"🥇 Gold",IF(E3074&gt;=800,"🥈 Silver","🥉 Bronze")))</f>
        <v/>
      </c>
      <c r="L3074" s="129" t="n">
        <v>40869</v>
      </c>
    </row>
    <row r="3075">
      <c r="A3075" s="122" t="n">
        <v>16533</v>
      </c>
      <c r="B3075" s="122" t="inlineStr">
        <is>
          <t>United Kingdom</t>
        </is>
      </c>
      <c r="C3075" s="122" t="n">
        <v>20</v>
      </c>
      <c r="D3075" s="122" t="n">
        <v>3</v>
      </c>
      <c r="E3075" s="123" t="n">
        <v>1095.56</v>
      </c>
      <c r="F3075" s="124">
        <f>IF(C3075&lt;=30,5,IF(C3075&lt;=60,4,IF(C3075&lt;=120,3,IF(C3075&lt;=200,2,1))))</f>
        <v/>
      </c>
      <c r="G3075" s="124">
        <f>IF(D3075&gt;=20,5,IF(D3075&gt;=10,4,IF(D3075&gt;=5,3,IF(D3075&gt;=2,2,1))))</f>
        <v/>
      </c>
      <c r="H3075" s="124">
        <f>IF(E3075&gt;=5000,5,IF(E3075&gt;=2000,4,IF(E3075&gt;=800,3,IF(E3075&gt;=300,2,1))))</f>
        <v/>
      </c>
      <c r="I3075" s="122">
        <f>TEXT(F3075,"0")&amp;TEXT(G3075,"0")&amp;TEXT(H3075,"0")</f>
        <v/>
      </c>
      <c r="J3075" s="122">
        <f>IFERROR(XLOOKUP(I3075,'Segment Map'!A:A,'Segment Map'!B:B,"Need Attention"),"Need Attention")</f>
        <v/>
      </c>
      <c r="K3075" s="122">
        <f>IF(E3075&gt;=5000,"🏆 Platinum",IF(E3075&gt;=2000,"🥇 Gold",IF(E3075&gt;=800,"🥈 Silver","🥉 Bronze")))</f>
        <v/>
      </c>
      <c r="L3075" s="125" t="n">
        <v>40867</v>
      </c>
    </row>
    <row r="3076">
      <c r="A3076" s="126" t="n">
        <v>16535</v>
      </c>
      <c r="B3076" s="126" t="inlineStr">
        <is>
          <t>United Kingdom</t>
        </is>
      </c>
      <c r="C3076" s="126" t="n">
        <v>6</v>
      </c>
      <c r="D3076" s="126" t="n">
        <v>1</v>
      </c>
      <c r="E3076" s="127" t="n">
        <v>593.75</v>
      </c>
      <c r="F3076" s="128">
        <f>IF(C3076&lt;=30,5,IF(C3076&lt;=60,4,IF(C3076&lt;=120,3,IF(C3076&lt;=200,2,1))))</f>
        <v/>
      </c>
      <c r="G3076" s="128">
        <f>IF(D3076&gt;=20,5,IF(D3076&gt;=10,4,IF(D3076&gt;=5,3,IF(D3076&gt;=2,2,1))))</f>
        <v/>
      </c>
      <c r="H3076" s="128">
        <f>IF(E3076&gt;=5000,5,IF(E3076&gt;=2000,4,IF(E3076&gt;=800,3,IF(E3076&gt;=300,2,1))))</f>
        <v/>
      </c>
      <c r="I3076" s="126">
        <f>TEXT(F3076,"0")&amp;TEXT(G3076,"0")&amp;TEXT(H3076,"0")</f>
        <v/>
      </c>
      <c r="J3076" s="126">
        <f>IFERROR(XLOOKUP(I3076,'Segment Map'!A:A,'Segment Map'!B:B,"Need Attention"),"Need Attention")</f>
        <v/>
      </c>
      <c r="K3076" s="126">
        <f>IF(E3076&gt;=5000,"🏆 Platinum",IF(E3076&gt;=2000,"🥇 Gold",IF(E3076&gt;=800,"🥈 Silver","🥉 Bronze")))</f>
        <v/>
      </c>
      <c r="L3076" s="129" t="n">
        <v>40881</v>
      </c>
    </row>
    <row r="3077">
      <c r="A3077" s="122" t="n">
        <v>16536</v>
      </c>
      <c r="B3077" s="122" t="inlineStr">
        <is>
          <t>United Kingdom</t>
        </is>
      </c>
      <c r="C3077" s="122" t="n">
        <v>111</v>
      </c>
      <c r="D3077" s="122" t="n">
        <v>1</v>
      </c>
      <c r="E3077" s="123" t="n">
        <v>548.97</v>
      </c>
      <c r="F3077" s="124">
        <f>IF(C3077&lt;=30,5,IF(C3077&lt;=60,4,IF(C3077&lt;=120,3,IF(C3077&lt;=200,2,1))))</f>
        <v/>
      </c>
      <c r="G3077" s="124">
        <f>IF(D3077&gt;=20,5,IF(D3077&gt;=10,4,IF(D3077&gt;=5,3,IF(D3077&gt;=2,2,1))))</f>
        <v/>
      </c>
      <c r="H3077" s="124">
        <f>IF(E3077&gt;=5000,5,IF(E3077&gt;=2000,4,IF(E3077&gt;=800,3,IF(E3077&gt;=300,2,1))))</f>
        <v/>
      </c>
      <c r="I3077" s="122">
        <f>TEXT(F3077,"0")&amp;TEXT(G3077,"0")&amp;TEXT(H3077,"0")</f>
        <v/>
      </c>
      <c r="J3077" s="122">
        <f>IFERROR(XLOOKUP(I3077,'Segment Map'!A:A,'Segment Map'!B:B,"Need Attention"),"Need Attention")</f>
        <v/>
      </c>
      <c r="K3077" s="122">
        <f>IF(E3077&gt;=5000,"🏆 Platinum",IF(E3077&gt;=2000,"🥇 Gold",IF(E3077&gt;=800,"🥈 Silver","🥉 Bronze")))</f>
        <v/>
      </c>
      <c r="L3077" s="125" t="n">
        <v>40776</v>
      </c>
    </row>
    <row r="3078">
      <c r="A3078" s="126" t="n">
        <v>16539</v>
      </c>
      <c r="B3078" s="126" t="inlineStr">
        <is>
          <t>United Kingdom</t>
        </is>
      </c>
      <c r="C3078" s="126" t="n">
        <v>3</v>
      </c>
      <c r="D3078" s="126" t="n">
        <v>4</v>
      </c>
      <c r="E3078" s="127" t="n">
        <v>1388.81</v>
      </c>
      <c r="F3078" s="128">
        <f>IF(C3078&lt;=30,5,IF(C3078&lt;=60,4,IF(C3078&lt;=120,3,IF(C3078&lt;=200,2,1))))</f>
        <v/>
      </c>
      <c r="G3078" s="128">
        <f>IF(D3078&gt;=20,5,IF(D3078&gt;=10,4,IF(D3078&gt;=5,3,IF(D3078&gt;=2,2,1))))</f>
        <v/>
      </c>
      <c r="H3078" s="128">
        <f>IF(E3078&gt;=5000,5,IF(E3078&gt;=2000,4,IF(E3078&gt;=800,3,IF(E3078&gt;=300,2,1))))</f>
        <v/>
      </c>
      <c r="I3078" s="126">
        <f>TEXT(F3078,"0")&amp;TEXT(G3078,"0")&amp;TEXT(H3078,"0")</f>
        <v/>
      </c>
      <c r="J3078" s="126">
        <f>IFERROR(XLOOKUP(I3078,'Segment Map'!A:A,'Segment Map'!B:B,"Need Attention"),"Need Attention")</f>
        <v/>
      </c>
      <c r="K3078" s="126">
        <f>IF(E3078&gt;=5000,"🏆 Platinum",IF(E3078&gt;=2000,"🥇 Gold",IF(E3078&gt;=800,"🥈 Silver","🥉 Bronze")))</f>
        <v/>
      </c>
      <c r="L3078" s="129" t="n">
        <v>40884</v>
      </c>
    </row>
    <row r="3079">
      <c r="A3079" s="122" t="n">
        <v>16542</v>
      </c>
      <c r="B3079" s="122" t="inlineStr">
        <is>
          <t>United Kingdom</t>
        </is>
      </c>
      <c r="C3079" s="122" t="n">
        <v>54</v>
      </c>
      <c r="D3079" s="122" t="n">
        <v>1</v>
      </c>
      <c r="E3079" s="123" t="n">
        <v>119.62</v>
      </c>
      <c r="F3079" s="124">
        <f>IF(C3079&lt;=30,5,IF(C3079&lt;=60,4,IF(C3079&lt;=120,3,IF(C3079&lt;=200,2,1))))</f>
        <v/>
      </c>
      <c r="G3079" s="124">
        <f>IF(D3079&gt;=20,5,IF(D3079&gt;=10,4,IF(D3079&gt;=5,3,IF(D3079&gt;=2,2,1))))</f>
        <v/>
      </c>
      <c r="H3079" s="124">
        <f>IF(E3079&gt;=5000,5,IF(E3079&gt;=2000,4,IF(E3079&gt;=800,3,IF(E3079&gt;=300,2,1))))</f>
        <v/>
      </c>
      <c r="I3079" s="122">
        <f>TEXT(F3079,"0")&amp;TEXT(G3079,"0")&amp;TEXT(H3079,"0")</f>
        <v/>
      </c>
      <c r="J3079" s="122">
        <f>IFERROR(XLOOKUP(I3079,'Segment Map'!A:A,'Segment Map'!B:B,"Need Attention"),"Need Attention")</f>
        <v/>
      </c>
      <c r="K3079" s="122">
        <f>IF(E3079&gt;=5000,"🏆 Platinum",IF(E3079&gt;=2000,"🥇 Gold",IF(E3079&gt;=800,"🥈 Silver","🥉 Bronze")))</f>
        <v/>
      </c>
      <c r="L3079" s="125" t="n">
        <v>40833</v>
      </c>
    </row>
    <row r="3080">
      <c r="A3080" s="126" t="n">
        <v>16545</v>
      </c>
      <c r="B3080" s="126" t="inlineStr">
        <is>
          <t>United Kingdom</t>
        </is>
      </c>
      <c r="C3080" s="126" t="n">
        <v>165</v>
      </c>
      <c r="D3080" s="126" t="n">
        <v>1</v>
      </c>
      <c r="E3080" s="127" t="n">
        <v>339.3</v>
      </c>
      <c r="F3080" s="128">
        <f>IF(C3080&lt;=30,5,IF(C3080&lt;=60,4,IF(C3080&lt;=120,3,IF(C3080&lt;=200,2,1))))</f>
        <v/>
      </c>
      <c r="G3080" s="128">
        <f>IF(D3080&gt;=20,5,IF(D3080&gt;=10,4,IF(D3080&gt;=5,3,IF(D3080&gt;=2,2,1))))</f>
        <v/>
      </c>
      <c r="H3080" s="128">
        <f>IF(E3080&gt;=5000,5,IF(E3080&gt;=2000,4,IF(E3080&gt;=800,3,IF(E3080&gt;=300,2,1))))</f>
        <v/>
      </c>
      <c r="I3080" s="126">
        <f>TEXT(F3080,"0")&amp;TEXT(G3080,"0")&amp;TEXT(H3080,"0")</f>
        <v/>
      </c>
      <c r="J3080" s="126">
        <f>IFERROR(XLOOKUP(I3080,'Segment Map'!A:A,'Segment Map'!B:B,"Need Attention"),"Need Attention")</f>
        <v/>
      </c>
      <c r="K3080" s="126">
        <f>IF(E3080&gt;=5000,"🏆 Platinum",IF(E3080&gt;=2000,"🥇 Gold",IF(E3080&gt;=800,"🥈 Silver","🥉 Bronze")))</f>
        <v/>
      </c>
      <c r="L3080" s="129" t="n">
        <v>40722</v>
      </c>
    </row>
    <row r="3081">
      <c r="A3081" s="122" t="n">
        <v>16546</v>
      </c>
      <c r="B3081" s="122" t="inlineStr">
        <is>
          <t>United Kingdom</t>
        </is>
      </c>
      <c r="C3081" s="122" t="n">
        <v>291</v>
      </c>
      <c r="D3081" s="122" t="n">
        <v>2</v>
      </c>
      <c r="E3081" s="123" t="n">
        <v>787.15</v>
      </c>
      <c r="F3081" s="124">
        <f>IF(C3081&lt;=30,5,IF(C3081&lt;=60,4,IF(C3081&lt;=120,3,IF(C3081&lt;=200,2,1))))</f>
        <v/>
      </c>
      <c r="G3081" s="124">
        <f>IF(D3081&gt;=20,5,IF(D3081&gt;=10,4,IF(D3081&gt;=5,3,IF(D3081&gt;=2,2,1))))</f>
        <v/>
      </c>
      <c r="H3081" s="124">
        <f>IF(E3081&gt;=5000,5,IF(E3081&gt;=2000,4,IF(E3081&gt;=800,3,IF(E3081&gt;=300,2,1))))</f>
        <v/>
      </c>
      <c r="I3081" s="122">
        <f>TEXT(F3081,"0")&amp;TEXT(G3081,"0")&amp;TEXT(H3081,"0")</f>
        <v/>
      </c>
      <c r="J3081" s="122">
        <f>IFERROR(XLOOKUP(I3081,'Segment Map'!A:A,'Segment Map'!B:B,"Need Attention"),"Need Attention")</f>
        <v/>
      </c>
      <c r="K3081" s="122">
        <f>IF(E3081&gt;=5000,"🏆 Platinum",IF(E3081&gt;=2000,"🥇 Gold",IF(E3081&gt;=800,"🥈 Silver","🥉 Bronze")))</f>
        <v/>
      </c>
      <c r="L3081" s="125" t="n">
        <v>40596</v>
      </c>
    </row>
    <row r="3082">
      <c r="A3082" s="126" t="n">
        <v>16549</v>
      </c>
      <c r="B3082" s="126" t="inlineStr">
        <is>
          <t>United Kingdom</t>
        </is>
      </c>
      <c r="C3082" s="126" t="n">
        <v>11</v>
      </c>
      <c r="D3082" s="126" t="n">
        <v>10</v>
      </c>
      <c r="E3082" s="127" t="n">
        <v>4154.64</v>
      </c>
      <c r="F3082" s="128">
        <f>IF(C3082&lt;=30,5,IF(C3082&lt;=60,4,IF(C3082&lt;=120,3,IF(C3082&lt;=200,2,1))))</f>
        <v/>
      </c>
      <c r="G3082" s="128">
        <f>IF(D3082&gt;=20,5,IF(D3082&gt;=10,4,IF(D3082&gt;=5,3,IF(D3082&gt;=2,2,1))))</f>
        <v/>
      </c>
      <c r="H3082" s="128">
        <f>IF(E3082&gt;=5000,5,IF(E3082&gt;=2000,4,IF(E3082&gt;=800,3,IF(E3082&gt;=300,2,1))))</f>
        <v/>
      </c>
      <c r="I3082" s="126">
        <f>TEXT(F3082,"0")&amp;TEXT(G3082,"0")&amp;TEXT(H3082,"0")</f>
        <v/>
      </c>
      <c r="J3082" s="126">
        <f>IFERROR(XLOOKUP(I3082,'Segment Map'!A:A,'Segment Map'!B:B,"Need Attention"),"Need Attention")</f>
        <v/>
      </c>
      <c r="K3082" s="126">
        <f>IF(E3082&gt;=5000,"🏆 Platinum",IF(E3082&gt;=2000,"🥇 Gold",IF(E3082&gt;=800,"🥈 Silver","🥉 Bronze")))</f>
        <v/>
      </c>
      <c r="L3082" s="129" t="n">
        <v>40876</v>
      </c>
    </row>
    <row r="3083">
      <c r="A3083" s="122" t="n">
        <v>16550</v>
      </c>
      <c r="B3083" s="122" t="inlineStr">
        <is>
          <t>United Kingdom</t>
        </is>
      </c>
      <c r="C3083" s="122" t="n">
        <v>109</v>
      </c>
      <c r="D3083" s="122" t="n">
        <v>5</v>
      </c>
      <c r="E3083" s="123" t="n">
        <v>2298.97</v>
      </c>
      <c r="F3083" s="124">
        <f>IF(C3083&lt;=30,5,IF(C3083&lt;=60,4,IF(C3083&lt;=120,3,IF(C3083&lt;=200,2,1))))</f>
        <v/>
      </c>
      <c r="G3083" s="124">
        <f>IF(D3083&gt;=20,5,IF(D3083&gt;=10,4,IF(D3083&gt;=5,3,IF(D3083&gt;=2,2,1))))</f>
        <v/>
      </c>
      <c r="H3083" s="124">
        <f>IF(E3083&gt;=5000,5,IF(E3083&gt;=2000,4,IF(E3083&gt;=800,3,IF(E3083&gt;=300,2,1))))</f>
        <v/>
      </c>
      <c r="I3083" s="122">
        <f>TEXT(F3083,"0")&amp;TEXT(G3083,"0")&amp;TEXT(H3083,"0")</f>
        <v/>
      </c>
      <c r="J3083" s="122">
        <f>IFERROR(XLOOKUP(I3083,'Segment Map'!A:A,'Segment Map'!B:B,"Need Attention"),"Need Attention")</f>
        <v/>
      </c>
      <c r="K3083" s="122">
        <f>IF(E3083&gt;=5000,"🏆 Platinum",IF(E3083&gt;=2000,"🥇 Gold",IF(E3083&gt;=800,"🥈 Silver","🥉 Bronze")))</f>
        <v/>
      </c>
      <c r="L3083" s="125" t="n">
        <v>40778</v>
      </c>
    </row>
    <row r="3084">
      <c r="A3084" s="126" t="n">
        <v>16551</v>
      </c>
      <c r="B3084" s="126" t="inlineStr">
        <is>
          <t>United Kingdom</t>
        </is>
      </c>
      <c r="C3084" s="126" t="n">
        <v>96</v>
      </c>
      <c r="D3084" s="126" t="n">
        <v>3</v>
      </c>
      <c r="E3084" s="127" t="n">
        <v>922.12</v>
      </c>
      <c r="F3084" s="128">
        <f>IF(C3084&lt;=30,5,IF(C3084&lt;=60,4,IF(C3084&lt;=120,3,IF(C3084&lt;=200,2,1))))</f>
        <v/>
      </c>
      <c r="G3084" s="128">
        <f>IF(D3084&gt;=20,5,IF(D3084&gt;=10,4,IF(D3084&gt;=5,3,IF(D3084&gt;=2,2,1))))</f>
        <v/>
      </c>
      <c r="H3084" s="128">
        <f>IF(E3084&gt;=5000,5,IF(E3084&gt;=2000,4,IF(E3084&gt;=800,3,IF(E3084&gt;=300,2,1))))</f>
        <v/>
      </c>
      <c r="I3084" s="126">
        <f>TEXT(F3084,"0")&amp;TEXT(G3084,"0")&amp;TEXT(H3084,"0")</f>
        <v/>
      </c>
      <c r="J3084" s="126">
        <f>IFERROR(XLOOKUP(I3084,'Segment Map'!A:A,'Segment Map'!B:B,"Need Attention"),"Need Attention")</f>
        <v/>
      </c>
      <c r="K3084" s="126">
        <f>IF(E3084&gt;=5000,"🏆 Platinum",IF(E3084&gt;=2000,"🥇 Gold",IF(E3084&gt;=800,"🥈 Silver","🥉 Bronze")))</f>
        <v/>
      </c>
      <c r="L3084" s="129" t="n">
        <v>40791</v>
      </c>
    </row>
    <row r="3085">
      <c r="A3085" s="122" t="n">
        <v>16552</v>
      </c>
      <c r="B3085" s="122" t="inlineStr">
        <is>
          <t>United Kingdom</t>
        </is>
      </c>
      <c r="C3085" s="122" t="n">
        <v>243</v>
      </c>
      <c r="D3085" s="122" t="n">
        <v>2</v>
      </c>
      <c r="E3085" s="123" t="n">
        <v>379.73</v>
      </c>
      <c r="F3085" s="124">
        <f>IF(C3085&lt;=30,5,IF(C3085&lt;=60,4,IF(C3085&lt;=120,3,IF(C3085&lt;=200,2,1))))</f>
        <v/>
      </c>
      <c r="G3085" s="124">
        <f>IF(D3085&gt;=20,5,IF(D3085&gt;=10,4,IF(D3085&gt;=5,3,IF(D3085&gt;=2,2,1))))</f>
        <v/>
      </c>
      <c r="H3085" s="124">
        <f>IF(E3085&gt;=5000,5,IF(E3085&gt;=2000,4,IF(E3085&gt;=800,3,IF(E3085&gt;=300,2,1))))</f>
        <v/>
      </c>
      <c r="I3085" s="122">
        <f>TEXT(F3085,"0")&amp;TEXT(G3085,"0")&amp;TEXT(H3085,"0")</f>
        <v/>
      </c>
      <c r="J3085" s="122">
        <f>IFERROR(XLOOKUP(I3085,'Segment Map'!A:A,'Segment Map'!B:B,"Need Attention"),"Need Attention")</f>
        <v/>
      </c>
      <c r="K3085" s="122">
        <f>IF(E3085&gt;=5000,"🏆 Platinum",IF(E3085&gt;=2000,"🥇 Gold",IF(E3085&gt;=800,"🥈 Silver","🥉 Bronze")))</f>
        <v/>
      </c>
      <c r="L3085" s="125" t="n">
        <v>40644</v>
      </c>
    </row>
    <row r="3086">
      <c r="A3086" s="126" t="n">
        <v>16553</v>
      </c>
      <c r="B3086" s="126" t="inlineStr">
        <is>
          <t>United Kingdom</t>
        </is>
      </c>
      <c r="C3086" s="126" t="n">
        <v>164</v>
      </c>
      <c r="D3086" s="126" t="n">
        <v>12</v>
      </c>
      <c r="E3086" s="127" t="n">
        <v>5719.82</v>
      </c>
      <c r="F3086" s="128">
        <f>IF(C3086&lt;=30,5,IF(C3086&lt;=60,4,IF(C3086&lt;=120,3,IF(C3086&lt;=200,2,1))))</f>
        <v/>
      </c>
      <c r="G3086" s="128">
        <f>IF(D3086&gt;=20,5,IF(D3086&gt;=10,4,IF(D3086&gt;=5,3,IF(D3086&gt;=2,2,1))))</f>
        <v/>
      </c>
      <c r="H3086" s="128">
        <f>IF(E3086&gt;=5000,5,IF(E3086&gt;=2000,4,IF(E3086&gt;=800,3,IF(E3086&gt;=300,2,1))))</f>
        <v/>
      </c>
      <c r="I3086" s="126">
        <f>TEXT(F3086,"0")&amp;TEXT(G3086,"0")&amp;TEXT(H3086,"0")</f>
        <v/>
      </c>
      <c r="J3086" s="126">
        <f>IFERROR(XLOOKUP(I3086,'Segment Map'!A:A,'Segment Map'!B:B,"Need Attention"),"Need Attention")</f>
        <v/>
      </c>
      <c r="K3086" s="126">
        <f>IF(E3086&gt;=5000,"🏆 Platinum",IF(E3086&gt;=2000,"🥇 Gold",IF(E3086&gt;=800,"🥈 Silver","🥉 Bronze")))</f>
        <v/>
      </c>
      <c r="L3086" s="129" t="n">
        <v>40723</v>
      </c>
    </row>
    <row r="3087">
      <c r="A3087" s="122" t="n">
        <v>16554</v>
      </c>
      <c r="B3087" s="122" t="inlineStr">
        <is>
          <t>United Kingdom</t>
        </is>
      </c>
      <c r="C3087" s="122" t="n">
        <v>43</v>
      </c>
      <c r="D3087" s="122" t="n">
        <v>3</v>
      </c>
      <c r="E3087" s="123" t="n">
        <v>837.1</v>
      </c>
      <c r="F3087" s="124">
        <f>IF(C3087&lt;=30,5,IF(C3087&lt;=60,4,IF(C3087&lt;=120,3,IF(C3087&lt;=200,2,1))))</f>
        <v/>
      </c>
      <c r="G3087" s="124">
        <f>IF(D3087&gt;=20,5,IF(D3087&gt;=10,4,IF(D3087&gt;=5,3,IF(D3087&gt;=2,2,1))))</f>
        <v/>
      </c>
      <c r="H3087" s="124">
        <f>IF(E3087&gt;=5000,5,IF(E3087&gt;=2000,4,IF(E3087&gt;=800,3,IF(E3087&gt;=300,2,1))))</f>
        <v/>
      </c>
      <c r="I3087" s="122">
        <f>TEXT(F3087,"0")&amp;TEXT(G3087,"0")&amp;TEXT(H3087,"0")</f>
        <v/>
      </c>
      <c r="J3087" s="122">
        <f>IFERROR(XLOOKUP(I3087,'Segment Map'!A:A,'Segment Map'!B:B,"Need Attention"),"Need Attention")</f>
        <v/>
      </c>
      <c r="K3087" s="122">
        <f>IF(E3087&gt;=5000,"🏆 Platinum",IF(E3087&gt;=2000,"🥇 Gold",IF(E3087&gt;=800,"🥈 Silver","🥉 Bronze")))</f>
        <v/>
      </c>
      <c r="L3087" s="125" t="n">
        <v>40844</v>
      </c>
    </row>
    <row r="3088">
      <c r="A3088" s="126" t="n">
        <v>16555</v>
      </c>
      <c r="B3088" s="126" t="inlineStr">
        <is>
          <t>United Kingdom</t>
        </is>
      </c>
      <c r="C3088" s="126" t="n">
        <v>36</v>
      </c>
      <c r="D3088" s="126" t="n">
        <v>2</v>
      </c>
      <c r="E3088" s="127" t="n">
        <v>285.89</v>
      </c>
      <c r="F3088" s="128">
        <f>IF(C3088&lt;=30,5,IF(C3088&lt;=60,4,IF(C3088&lt;=120,3,IF(C3088&lt;=200,2,1))))</f>
        <v/>
      </c>
      <c r="G3088" s="128">
        <f>IF(D3088&gt;=20,5,IF(D3088&gt;=10,4,IF(D3088&gt;=5,3,IF(D3088&gt;=2,2,1))))</f>
        <v/>
      </c>
      <c r="H3088" s="128">
        <f>IF(E3088&gt;=5000,5,IF(E3088&gt;=2000,4,IF(E3088&gt;=800,3,IF(E3088&gt;=300,2,1))))</f>
        <v/>
      </c>
      <c r="I3088" s="126">
        <f>TEXT(F3088,"0")&amp;TEXT(G3088,"0")&amp;TEXT(H3088,"0")</f>
        <v/>
      </c>
      <c r="J3088" s="126">
        <f>IFERROR(XLOOKUP(I3088,'Segment Map'!A:A,'Segment Map'!B:B,"Need Attention"),"Need Attention")</f>
        <v/>
      </c>
      <c r="K3088" s="126">
        <f>IF(E3088&gt;=5000,"🏆 Platinum",IF(E3088&gt;=2000,"🥇 Gold",IF(E3088&gt;=800,"🥈 Silver","🥉 Bronze")))</f>
        <v/>
      </c>
      <c r="L3088" s="129" t="n">
        <v>40851</v>
      </c>
    </row>
    <row r="3089">
      <c r="A3089" s="122" t="n">
        <v>16556</v>
      </c>
      <c r="B3089" s="122" t="inlineStr">
        <is>
          <t>United Kingdom</t>
        </is>
      </c>
      <c r="C3089" s="122" t="n">
        <v>67</v>
      </c>
      <c r="D3089" s="122" t="n">
        <v>7</v>
      </c>
      <c r="E3089" s="123" t="n">
        <v>3313.79</v>
      </c>
      <c r="F3089" s="124">
        <f>IF(C3089&lt;=30,5,IF(C3089&lt;=60,4,IF(C3089&lt;=120,3,IF(C3089&lt;=200,2,1))))</f>
        <v/>
      </c>
      <c r="G3089" s="124">
        <f>IF(D3089&gt;=20,5,IF(D3089&gt;=10,4,IF(D3089&gt;=5,3,IF(D3089&gt;=2,2,1))))</f>
        <v/>
      </c>
      <c r="H3089" s="124">
        <f>IF(E3089&gt;=5000,5,IF(E3089&gt;=2000,4,IF(E3089&gt;=800,3,IF(E3089&gt;=300,2,1))))</f>
        <v/>
      </c>
      <c r="I3089" s="122">
        <f>TEXT(F3089,"0")&amp;TEXT(G3089,"0")&amp;TEXT(H3089,"0")</f>
        <v/>
      </c>
      <c r="J3089" s="122">
        <f>IFERROR(XLOOKUP(I3089,'Segment Map'!A:A,'Segment Map'!B:B,"Need Attention"),"Need Attention")</f>
        <v/>
      </c>
      <c r="K3089" s="122">
        <f>IF(E3089&gt;=5000,"🏆 Platinum",IF(E3089&gt;=2000,"🥇 Gold",IF(E3089&gt;=800,"🥈 Silver","🥉 Bronze")))</f>
        <v/>
      </c>
      <c r="L3089" s="125" t="n">
        <v>40820</v>
      </c>
    </row>
    <row r="3090">
      <c r="A3090" s="126" t="n">
        <v>16557</v>
      </c>
      <c r="B3090" s="126" t="inlineStr">
        <is>
          <t>United Kingdom</t>
        </is>
      </c>
      <c r="C3090" s="126" t="n">
        <v>25</v>
      </c>
      <c r="D3090" s="126" t="n">
        <v>2</v>
      </c>
      <c r="E3090" s="127" t="n">
        <v>281.85</v>
      </c>
      <c r="F3090" s="128">
        <f>IF(C3090&lt;=30,5,IF(C3090&lt;=60,4,IF(C3090&lt;=120,3,IF(C3090&lt;=200,2,1))))</f>
        <v/>
      </c>
      <c r="G3090" s="128">
        <f>IF(D3090&gt;=20,5,IF(D3090&gt;=10,4,IF(D3090&gt;=5,3,IF(D3090&gt;=2,2,1))))</f>
        <v/>
      </c>
      <c r="H3090" s="128">
        <f>IF(E3090&gt;=5000,5,IF(E3090&gt;=2000,4,IF(E3090&gt;=800,3,IF(E3090&gt;=300,2,1))))</f>
        <v/>
      </c>
      <c r="I3090" s="126">
        <f>TEXT(F3090,"0")&amp;TEXT(G3090,"0")&amp;TEXT(H3090,"0")</f>
        <v/>
      </c>
      <c r="J3090" s="126">
        <f>IFERROR(XLOOKUP(I3090,'Segment Map'!A:A,'Segment Map'!B:B,"Need Attention"),"Need Attention")</f>
        <v/>
      </c>
      <c r="K3090" s="126">
        <f>IF(E3090&gt;=5000,"🏆 Platinum",IF(E3090&gt;=2000,"🥇 Gold",IF(E3090&gt;=800,"🥈 Silver","🥉 Bronze")))</f>
        <v/>
      </c>
      <c r="L3090" s="129" t="n">
        <v>40862</v>
      </c>
    </row>
    <row r="3091">
      <c r="A3091" s="122" t="n">
        <v>16558</v>
      </c>
      <c r="B3091" s="122" t="inlineStr">
        <is>
          <t>United Kingdom</t>
        </is>
      </c>
      <c r="C3091" s="122" t="n">
        <v>1</v>
      </c>
      <c r="D3091" s="122" t="n">
        <v>20</v>
      </c>
      <c r="E3091" s="123" t="n">
        <v>8338.49</v>
      </c>
      <c r="F3091" s="124">
        <f>IF(C3091&lt;=30,5,IF(C3091&lt;=60,4,IF(C3091&lt;=120,3,IF(C3091&lt;=200,2,1))))</f>
        <v/>
      </c>
      <c r="G3091" s="124">
        <f>IF(D3091&gt;=20,5,IF(D3091&gt;=10,4,IF(D3091&gt;=5,3,IF(D3091&gt;=2,2,1))))</f>
        <v/>
      </c>
      <c r="H3091" s="124">
        <f>IF(E3091&gt;=5000,5,IF(E3091&gt;=2000,4,IF(E3091&gt;=800,3,IF(E3091&gt;=300,2,1))))</f>
        <v/>
      </c>
      <c r="I3091" s="122">
        <f>TEXT(F3091,"0")&amp;TEXT(G3091,"0")&amp;TEXT(H3091,"0")</f>
        <v/>
      </c>
      <c r="J3091" s="122">
        <f>IFERROR(XLOOKUP(I3091,'Segment Map'!A:A,'Segment Map'!B:B,"Need Attention"),"Need Attention")</f>
        <v/>
      </c>
      <c r="K3091" s="122">
        <f>IF(E3091&gt;=5000,"🏆 Platinum",IF(E3091&gt;=2000,"🥇 Gold",IF(E3091&gt;=800,"🥈 Silver","🥉 Bronze")))</f>
        <v/>
      </c>
      <c r="L3091" s="125" t="n">
        <v>40886</v>
      </c>
    </row>
    <row r="3092">
      <c r="A3092" s="126" t="n">
        <v>16560</v>
      </c>
      <c r="B3092" s="126" t="inlineStr">
        <is>
          <t>United Kingdom</t>
        </is>
      </c>
      <c r="C3092" s="126" t="n">
        <v>27</v>
      </c>
      <c r="D3092" s="126" t="n">
        <v>2</v>
      </c>
      <c r="E3092" s="127" t="n">
        <v>841.41</v>
      </c>
      <c r="F3092" s="128">
        <f>IF(C3092&lt;=30,5,IF(C3092&lt;=60,4,IF(C3092&lt;=120,3,IF(C3092&lt;=200,2,1))))</f>
        <v/>
      </c>
      <c r="G3092" s="128">
        <f>IF(D3092&gt;=20,5,IF(D3092&gt;=10,4,IF(D3092&gt;=5,3,IF(D3092&gt;=2,2,1))))</f>
        <v/>
      </c>
      <c r="H3092" s="128">
        <f>IF(E3092&gt;=5000,5,IF(E3092&gt;=2000,4,IF(E3092&gt;=800,3,IF(E3092&gt;=300,2,1))))</f>
        <v/>
      </c>
      <c r="I3092" s="126">
        <f>TEXT(F3092,"0")&amp;TEXT(G3092,"0")&amp;TEXT(H3092,"0")</f>
        <v/>
      </c>
      <c r="J3092" s="126">
        <f>IFERROR(XLOOKUP(I3092,'Segment Map'!A:A,'Segment Map'!B:B,"Need Attention"),"Need Attention")</f>
        <v/>
      </c>
      <c r="K3092" s="126">
        <f>IF(E3092&gt;=5000,"🏆 Platinum",IF(E3092&gt;=2000,"🥇 Gold",IF(E3092&gt;=800,"🥈 Silver","🥉 Bronze")))</f>
        <v/>
      </c>
      <c r="L3092" s="129" t="n">
        <v>40860</v>
      </c>
    </row>
    <row r="3093">
      <c r="A3093" s="122" t="n">
        <v>16561</v>
      </c>
      <c r="B3093" s="122" t="inlineStr">
        <is>
          <t>United Kingdom</t>
        </is>
      </c>
      <c r="C3093" s="122" t="n">
        <v>6</v>
      </c>
      <c r="D3093" s="122" t="n">
        <v>2</v>
      </c>
      <c r="E3093" s="123" t="n">
        <v>511.12</v>
      </c>
      <c r="F3093" s="124">
        <f>IF(C3093&lt;=30,5,IF(C3093&lt;=60,4,IF(C3093&lt;=120,3,IF(C3093&lt;=200,2,1))))</f>
        <v/>
      </c>
      <c r="G3093" s="124">
        <f>IF(D3093&gt;=20,5,IF(D3093&gt;=10,4,IF(D3093&gt;=5,3,IF(D3093&gt;=2,2,1))))</f>
        <v/>
      </c>
      <c r="H3093" s="124">
        <f>IF(E3093&gt;=5000,5,IF(E3093&gt;=2000,4,IF(E3093&gt;=800,3,IF(E3093&gt;=300,2,1))))</f>
        <v/>
      </c>
      <c r="I3093" s="122">
        <f>TEXT(F3093,"0")&amp;TEXT(G3093,"0")&amp;TEXT(H3093,"0")</f>
        <v/>
      </c>
      <c r="J3093" s="122">
        <f>IFERROR(XLOOKUP(I3093,'Segment Map'!A:A,'Segment Map'!B:B,"Need Attention"),"Need Attention")</f>
        <v/>
      </c>
      <c r="K3093" s="122">
        <f>IF(E3093&gt;=5000,"🏆 Platinum",IF(E3093&gt;=2000,"🥇 Gold",IF(E3093&gt;=800,"🥈 Silver","🥉 Bronze")))</f>
        <v/>
      </c>
      <c r="L3093" s="125" t="n">
        <v>40881</v>
      </c>
    </row>
    <row r="3094">
      <c r="A3094" s="126" t="n">
        <v>16563</v>
      </c>
      <c r="B3094" s="126" t="inlineStr">
        <is>
          <t>United Kingdom</t>
        </is>
      </c>
      <c r="C3094" s="126" t="n">
        <v>54</v>
      </c>
      <c r="D3094" s="126" t="n">
        <v>1</v>
      </c>
      <c r="E3094" s="127" t="n">
        <v>1077.74</v>
      </c>
      <c r="F3094" s="128">
        <f>IF(C3094&lt;=30,5,IF(C3094&lt;=60,4,IF(C3094&lt;=120,3,IF(C3094&lt;=200,2,1))))</f>
        <v/>
      </c>
      <c r="G3094" s="128">
        <f>IF(D3094&gt;=20,5,IF(D3094&gt;=10,4,IF(D3094&gt;=5,3,IF(D3094&gt;=2,2,1))))</f>
        <v/>
      </c>
      <c r="H3094" s="128">
        <f>IF(E3094&gt;=5000,5,IF(E3094&gt;=2000,4,IF(E3094&gt;=800,3,IF(E3094&gt;=300,2,1))))</f>
        <v/>
      </c>
      <c r="I3094" s="126">
        <f>TEXT(F3094,"0")&amp;TEXT(G3094,"0")&amp;TEXT(H3094,"0")</f>
        <v/>
      </c>
      <c r="J3094" s="126">
        <f>IFERROR(XLOOKUP(I3094,'Segment Map'!A:A,'Segment Map'!B:B,"Need Attention"),"Need Attention")</f>
        <v/>
      </c>
      <c r="K3094" s="126">
        <f>IF(E3094&gt;=5000,"🏆 Platinum",IF(E3094&gt;=2000,"🥇 Gold",IF(E3094&gt;=800,"🥈 Silver","🥉 Bronze")))</f>
        <v/>
      </c>
      <c r="L3094" s="129" t="n">
        <v>40833</v>
      </c>
    </row>
    <row r="3095">
      <c r="A3095" s="122" t="n">
        <v>16565</v>
      </c>
      <c r="B3095" s="122" t="inlineStr">
        <is>
          <t>United Kingdom</t>
        </is>
      </c>
      <c r="C3095" s="122" t="n">
        <v>365</v>
      </c>
      <c r="D3095" s="122" t="n">
        <v>1</v>
      </c>
      <c r="E3095" s="123" t="n">
        <v>173.7</v>
      </c>
      <c r="F3095" s="124">
        <f>IF(C3095&lt;=30,5,IF(C3095&lt;=60,4,IF(C3095&lt;=120,3,IF(C3095&lt;=200,2,1))))</f>
        <v/>
      </c>
      <c r="G3095" s="124">
        <f>IF(D3095&gt;=20,5,IF(D3095&gt;=10,4,IF(D3095&gt;=5,3,IF(D3095&gt;=2,2,1))))</f>
        <v/>
      </c>
      <c r="H3095" s="124">
        <f>IF(E3095&gt;=5000,5,IF(E3095&gt;=2000,4,IF(E3095&gt;=800,3,IF(E3095&gt;=300,2,1))))</f>
        <v/>
      </c>
      <c r="I3095" s="122">
        <f>TEXT(F3095,"0")&amp;TEXT(G3095,"0")&amp;TEXT(H3095,"0")</f>
        <v/>
      </c>
      <c r="J3095" s="122">
        <f>IFERROR(XLOOKUP(I3095,'Segment Map'!A:A,'Segment Map'!B:B,"Need Attention"),"Need Attention")</f>
        <v/>
      </c>
      <c r="K3095" s="122">
        <f>IF(E3095&gt;=5000,"🏆 Platinum",IF(E3095&gt;=2000,"🥇 Gold",IF(E3095&gt;=800,"🥈 Silver","🥉 Bronze")))</f>
        <v/>
      </c>
      <c r="L3095" s="125" t="n">
        <v>40522</v>
      </c>
    </row>
    <row r="3096">
      <c r="A3096" s="126" t="n">
        <v>16566</v>
      </c>
      <c r="B3096" s="126" t="inlineStr">
        <is>
          <t>United Kingdom</t>
        </is>
      </c>
      <c r="C3096" s="126" t="n">
        <v>16</v>
      </c>
      <c r="D3096" s="126" t="n">
        <v>5</v>
      </c>
      <c r="E3096" s="127" t="n">
        <v>614.66</v>
      </c>
      <c r="F3096" s="128">
        <f>IF(C3096&lt;=30,5,IF(C3096&lt;=60,4,IF(C3096&lt;=120,3,IF(C3096&lt;=200,2,1))))</f>
        <v/>
      </c>
      <c r="G3096" s="128">
        <f>IF(D3096&gt;=20,5,IF(D3096&gt;=10,4,IF(D3096&gt;=5,3,IF(D3096&gt;=2,2,1))))</f>
        <v/>
      </c>
      <c r="H3096" s="128">
        <f>IF(E3096&gt;=5000,5,IF(E3096&gt;=2000,4,IF(E3096&gt;=800,3,IF(E3096&gt;=300,2,1))))</f>
        <v/>
      </c>
      <c r="I3096" s="126">
        <f>TEXT(F3096,"0")&amp;TEXT(G3096,"0")&amp;TEXT(H3096,"0")</f>
        <v/>
      </c>
      <c r="J3096" s="126">
        <f>IFERROR(XLOOKUP(I3096,'Segment Map'!A:A,'Segment Map'!B:B,"Need Attention"),"Need Attention")</f>
        <v/>
      </c>
      <c r="K3096" s="126">
        <f>IF(E3096&gt;=5000,"🏆 Platinum",IF(E3096&gt;=2000,"🥇 Gold",IF(E3096&gt;=800,"🥈 Silver","🥉 Bronze")))</f>
        <v/>
      </c>
      <c r="L3096" s="129" t="n">
        <v>40871</v>
      </c>
    </row>
    <row r="3097">
      <c r="A3097" s="122" t="n">
        <v>16567</v>
      </c>
      <c r="B3097" s="122" t="inlineStr">
        <is>
          <t>United Kingdom</t>
        </is>
      </c>
      <c r="C3097" s="122" t="n">
        <v>195</v>
      </c>
      <c r="D3097" s="122" t="n">
        <v>2</v>
      </c>
      <c r="E3097" s="123" t="n">
        <v>865.6</v>
      </c>
      <c r="F3097" s="124">
        <f>IF(C3097&lt;=30,5,IF(C3097&lt;=60,4,IF(C3097&lt;=120,3,IF(C3097&lt;=200,2,1))))</f>
        <v/>
      </c>
      <c r="G3097" s="124">
        <f>IF(D3097&gt;=20,5,IF(D3097&gt;=10,4,IF(D3097&gt;=5,3,IF(D3097&gt;=2,2,1))))</f>
        <v/>
      </c>
      <c r="H3097" s="124">
        <f>IF(E3097&gt;=5000,5,IF(E3097&gt;=2000,4,IF(E3097&gt;=800,3,IF(E3097&gt;=300,2,1))))</f>
        <v/>
      </c>
      <c r="I3097" s="122">
        <f>TEXT(F3097,"0")&amp;TEXT(G3097,"0")&amp;TEXT(H3097,"0")</f>
        <v/>
      </c>
      <c r="J3097" s="122">
        <f>IFERROR(XLOOKUP(I3097,'Segment Map'!A:A,'Segment Map'!B:B,"Need Attention"),"Need Attention")</f>
        <v/>
      </c>
      <c r="K3097" s="122">
        <f>IF(E3097&gt;=5000,"🏆 Platinum",IF(E3097&gt;=2000,"🥇 Gold",IF(E3097&gt;=800,"🥈 Silver","🥉 Bronze")))</f>
        <v/>
      </c>
      <c r="L3097" s="125" t="n">
        <v>40692</v>
      </c>
    </row>
    <row r="3098">
      <c r="A3098" s="126" t="n">
        <v>16569</v>
      </c>
      <c r="B3098" s="126" t="inlineStr">
        <is>
          <t>United Kingdom</t>
        </is>
      </c>
      <c r="C3098" s="126" t="n">
        <v>4</v>
      </c>
      <c r="D3098" s="126" t="n">
        <v>1</v>
      </c>
      <c r="E3098" s="127" t="n">
        <v>124.2</v>
      </c>
      <c r="F3098" s="128">
        <f>IF(C3098&lt;=30,5,IF(C3098&lt;=60,4,IF(C3098&lt;=120,3,IF(C3098&lt;=200,2,1))))</f>
        <v/>
      </c>
      <c r="G3098" s="128">
        <f>IF(D3098&gt;=20,5,IF(D3098&gt;=10,4,IF(D3098&gt;=5,3,IF(D3098&gt;=2,2,1))))</f>
        <v/>
      </c>
      <c r="H3098" s="128">
        <f>IF(E3098&gt;=5000,5,IF(E3098&gt;=2000,4,IF(E3098&gt;=800,3,IF(E3098&gt;=300,2,1))))</f>
        <v/>
      </c>
      <c r="I3098" s="126">
        <f>TEXT(F3098,"0")&amp;TEXT(G3098,"0")&amp;TEXT(H3098,"0")</f>
        <v/>
      </c>
      <c r="J3098" s="126">
        <f>IFERROR(XLOOKUP(I3098,'Segment Map'!A:A,'Segment Map'!B:B,"Need Attention"),"Need Attention")</f>
        <v/>
      </c>
      <c r="K3098" s="126">
        <f>IF(E3098&gt;=5000,"🏆 Platinum",IF(E3098&gt;=2000,"🥇 Gold",IF(E3098&gt;=800,"🥈 Silver","🥉 Bronze")))</f>
        <v/>
      </c>
      <c r="L3098" s="129" t="n">
        <v>40883</v>
      </c>
    </row>
    <row r="3099">
      <c r="A3099" s="122" t="n">
        <v>16570</v>
      </c>
      <c r="B3099" s="122" t="inlineStr">
        <is>
          <t>United Kingdom</t>
        </is>
      </c>
      <c r="C3099" s="122" t="n">
        <v>16</v>
      </c>
      <c r="D3099" s="122" t="n">
        <v>10</v>
      </c>
      <c r="E3099" s="123" t="n">
        <v>3738.4</v>
      </c>
      <c r="F3099" s="124">
        <f>IF(C3099&lt;=30,5,IF(C3099&lt;=60,4,IF(C3099&lt;=120,3,IF(C3099&lt;=200,2,1))))</f>
        <v/>
      </c>
      <c r="G3099" s="124">
        <f>IF(D3099&gt;=20,5,IF(D3099&gt;=10,4,IF(D3099&gt;=5,3,IF(D3099&gt;=2,2,1))))</f>
        <v/>
      </c>
      <c r="H3099" s="124">
        <f>IF(E3099&gt;=5000,5,IF(E3099&gt;=2000,4,IF(E3099&gt;=800,3,IF(E3099&gt;=300,2,1))))</f>
        <v/>
      </c>
      <c r="I3099" s="122">
        <f>TEXT(F3099,"0")&amp;TEXT(G3099,"0")&amp;TEXT(H3099,"0")</f>
        <v/>
      </c>
      <c r="J3099" s="122">
        <f>IFERROR(XLOOKUP(I3099,'Segment Map'!A:A,'Segment Map'!B:B,"Need Attention"),"Need Attention")</f>
        <v/>
      </c>
      <c r="K3099" s="122">
        <f>IF(E3099&gt;=5000,"🏆 Platinum",IF(E3099&gt;=2000,"🥇 Gold",IF(E3099&gt;=800,"🥈 Silver","🥉 Bronze")))</f>
        <v/>
      </c>
      <c r="L3099" s="125" t="n">
        <v>40871</v>
      </c>
    </row>
    <row r="3100">
      <c r="A3100" s="126" t="n">
        <v>16571</v>
      </c>
      <c r="B3100" s="126" t="inlineStr">
        <is>
          <t>United Kingdom</t>
        </is>
      </c>
      <c r="C3100" s="126" t="n">
        <v>27</v>
      </c>
      <c r="D3100" s="126" t="n">
        <v>3</v>
      </c>
      <c r="E3100" s="127" t="n">
        <v>1421.69</v>
      </c>
      <c r="F3100" s="128">
        <f>IF(C3100&lt;=30,5,IF(C3100&lt;=60,4,IF(C3100&lt;=120,3,IF(C3100&lt;=200,2,1))))</f>
        <v/>
      </c>
      <c r="G3100" s="128">
        <f>IF(D3100&gt;=20,5,IF(D3100&gt;=10,4,IF(D3100&gt;=5,3,IF(D3100&gt;=2,2,1))))</f>
        <v/>
      </c>
      <c r="H3100" s="128">
        <f>IF(E3100&gt;=5000,5,IF(E3100&gt;=2000,4,IF(E3100&gt;=800,3,IF(E3100&gt;=300,2,1))))</f>
        <v/>
      </c>
      <c r="I3100" s="126">
        <f>TEXT(F3100,"0")&amp;TEXT(G3100,"0")&amp;TEXT(H3100,"0")</f>
        <v/>
      </c>
      <c r="J3100" s="126">
        <f>IFERROR(XLOOKUP(I3100,'Segment Map'!A:A,'Segment Map'!B:B,"Need Attention"),"Need Attention")</f>
        <v/>
      </c>
      <c r="K3100" s="126">
        <f>IF(E3100&gt;=5000,"🏆 Platinum",IF(E3100&gt;=2000,"🥇 Gold",IF(E3100&gt;=800,"🥈 Silver","🥉 Bronze")))</f>
        <v/>
      </c>
      <c r="L3100" s="129" t="n">
        <v>40860</v>
      </c>
    </row>
    <row r="3101">
      <c r="A3101" s="122" t="n">
        <v>16572</v>
      </c>
      <c r="B3101" s="122" t="inlineStr">
        <is>
          <t>United Kingdom</t>
        </is>
      </c>
      <c r="C3101" s="122" t="n">
        <v>128</v>
      </c>
      <c r="D3101" s="122" t="n">
        <v>3</v>
      </c>
      <c r="E3101" s="123" t="n">
        <v>1009.6</v>
      </c>
      <c r="F3101" s="124">
        <f>IF(C3101&lt;=30,5,IF(C3101&lt;=60,4,IF(C3101&lt;=120,3,IF(C3101&lt;=200,2,1))))</f>
        <v/>
      </c>
      <c r="G3101" s="124">
        <f>IF(D3101&gt;=20,5,IF(D3101&gt;=10,4,IF(D3101&gt;=5,3,IF(D3101&gt;=2,2,1))))</f>
        <v/>
      </c>
      <c r="H3101" s="124">
        <f>IF(E3101&gt;=5000,5,IF(E3101&gt;=2000,4,IF(E3101&gt;=800,3,IF(E3101&gt;=300,2,1))))</f>
        <v/>
      </c>
      <c r="I3101" s="122">
        <f>TEXT(F3101,"0")&amp;TEXT(G3101,"0")&amp;TEXT(H3101,"0")</f>
        <v/>
      </c>
      <c r="J3101" s="122">
        <f>IFERROR(XLOOKUP(I3101,'Segment Map'!A:A,'Segment Map'!B:B,"Need Attention"),"Need Attention")</f>
        <v/>
      </c>
      <c r="K3101" s="122">
        <f>IF(E3101&gt;=5000,"🏆 Platinum",IF(E3101&gt;=2000,"🥇 Gold",IF(E3101&gt;=800,"🥈 Silver","🥉 Bronze")))</f>
        <v/>
      </c>
      <c r="L3101" s="125" t="n">
        <v>40759</v>
      </c>
    </row>
    <row r="3102">
      <c r="A3102" s="126" t="n">
        <v>16573</v>
      </c>
      <c r="B3102" s="126" t="inlineStr">
        <is>
          <t>United Kingdom</t>
        </is>
      </c>
      <c r="C3102" s="126" t="n">
        <v>85</v>
      </c>
      <c r="D3102" s="126" t="n">
        <v>2</v>
      </c>
      <c r="E3102" s="127" t="n">
        <v>663.61</v>
      </c>
      <c r="F3102" s="128">
        <f>IF(C3102&lt;=30,5,IF(C3102&lt;=60,4,IF(C3102&lt;=120,3,IF(C3102&lt;=200,2,1))))</f>
        <v/>
      </c>
      <c r="G3102" s="128">
        <f>IF(D3102&gt;=20,5,IF(D3102&gt;=10,4,IF(D3102&gt;=5,3,IF(D3102&gt;=2,2,1))))</f>
        <v/>
      </c>
      <c r="H3102" s="128">
        <f>IF(E3102&gt;=5000,5,IF(E3102&gt;=2000,4,IF(E3102&gt;=800,3,IF(E3102&gt;=300,2,1))))</f>
        <v/>
      </c>
      <c r="I3102" s="126">
        <f>TEXT(F3102,"0")&amp;TEXT(G3102,"0")&amp;TEXT(H3102,"0")</f>
        <v/>
      </c>
      <c r="J3102" s="126">
        <f>IFERROR(XLOOKUP(I3102,'Segment Map'!A:A,'Segment Map'!B:B,"Need Attention"),"Need Attention")</f>
        <v/>
      </c>
      <c r="K3102" s="126">
        <f>IF(E3102&gt;=5000,"🏆 Platinum",IF(E3102&gt;=2000,"🥇 Gold",IF(E3102&gt;=800,"🥈 Silver","🥉 Bronze")))</f>
        <v/>
      </c>
      <c r="L3102" s="129" t="n">
        <v>40802</v>
      </c>
    </row>
    <row r="3103">
      <c r="A3103" s="122" t="n">
        <v>16574</v>
      </c>
      <c r="B3103" s="122" t="inlineStr">
        <is>
          <t>United Kingdom</t>
        </is>
      </c>
      <c r="C3103" s="122" t="n">
        <v>72</v>
      </c>
      <c r="D3103" s="122" t="n">
        <v>1</v>
      </c>
      <c r="E3103" s="123" t="n">
        <v>451.44</v>
      </c>
      <c r="F3103" s="124">
        <f>IF(C3103&lt;=30,5,IF(C3103&lt;=60,4,IF(C3103&lt;=120,3,IF(C3103&lt;=200,2,1))))</f>
        <v/>
      </c>
      <c r="G3103" s="124">
        <f>IF(D3103&gt;=20,5,IF(D3103&gt;=10,4,IF(D3103&gt;=5,3,IF(D3103&gt;=2,2,1))))</f>
        <v/>
      </c>
      <c r="H3103" s="124">
        <f>IF(E3103&gt;=5000,5,IF(E3103&gt;=2000,4,IF(E3103&gt;=800,3,IF(E3103&gt;=300,2,1))))</f>
        <v/>
      </c>
      <c r="I3103" s="122">
        <f>TEXT(F3103,"0")&amp;TEXT(G3103,"0")&amp;TEXT(H3103,"0")</f>
        <v/>
      </c>
      <c r="J3103" s="122">
        <f>IFERROR(XLOOKUP(I3103,'Segment Map'!A:A,'Segment Map'!B:B,"Need Attention"),"Need Attention")</f>
        <v/>
      </c>
      <c r="K3103" s="122">
        <f>IF(E3103&gt;=5000,"🏆 Platinum",IF(E3103&gt;=2000,"🥇 Gold",IF(E3103&gt;=800,"🥈 Silver","🥉 Bronze")))</f>
        <v/>
      </c>
      <c r="L3103" s="125" t="n">
        <v>40815</v>
      </c>
    </row>
    <row r="3104">
      <c r="A3104" s="126" t="n">
        <v>16581</v>
      </c>
      <c r="B3104" s="126" t="inlineStr">
        <is>
          <t>United Kingdom</t>
        </is>
      </c>
      <c r="C3104" s="126" t="n">
        <v>183</v>
      </c>
      <c r="D3104" s="126" t="n">
        <v>1</v>
      </c>
      <c r="E3104" s="127" t="n">
        <v>105.84</v>
      </c>
      <c r="F3104" s="128">
        <f>IF(C3104&lt;=30,5,IF(C3104&lt;=60,4,IF(C3104&lt;=120,3,IF(C3104&lt;=200,2,1))))</f>
        <v/>
      </c>
      <c r="G3104" s="128">
        <f>IF(D3104&gt;=20,5,IF(D3104&gt;=10,4,IF(D3104&gt;=5,3,IF(D3104&gt;=2,2,1))))</f>
        <v/>
      </c>
      <c r="H3104" s="128">
        <f>IF(E3104&gt;=5000,5,IF(E3104&gt;=2000,4,IF(E3104&gt;=800,3,IF(E3104&gt;=300,2,1))))</f>
        <v/>
      </c>
      <c r="I3104" s="126">
        <f>TEXT(F3104,"0")&amp;TEXT(G3104,"0")&amp;TEXT(H3104,"0")</f>
        <v/>
      </c>
      <c r="J3104" s="126">
        <f>IFERROR(XLOOKUP(I3104,'Segment Map'!A:A,'Segment Map'!B:B,"Need Attention"),"Need Attention")</f>
        <v/>
      </c>
      <c r="K3104" s="126">
        <f>IF(E3104&gt;=5000,"🏆 Platinum",IF(E3104&gt;=2000,"🥇 Gold",IF(E3104&gt;=800,"🥈 Silver","🥉 Bronze")))</f>
        <v/>
      </c>
      <c r="L3104" s="129" t="n">
        <v>40704</v>
      </c>
    </row>
    <row r="3105">
      <c r="A3105" s="122" t="n">
        <v>16582</v>
      </c>
      <c r="B3105" s="122" t="inlineStr">
        <is>
          <t>United Kingdom</t>
        </is>
      </c>
      <c r="C3105" s="122" t="n">
        <v>114</v>
      </c>
      <c r="D3105" s="122" t="n">
        <v>1</v>
      </c>
      <c r="E3105" s="123" t="n">
        <v>313.62</v>
      </c>
      <c r="F3105" s="124">
        <f>IF(C3105&lt;=30,5,IF(C3105&lt;=60,4,IF(C3105&lt;=120,3,IF(C3105&lt;=200,2,1))))</f>
        <v/>
      </c>
      <c r="G3105" s="124">
        <f>IF(D3105&gt;=20,5,IF(D3105&gt;=10,4,IF(D3105&gt;=5,3,IF(D3105&gt;=2,2,1))))</f>
        <v/>
      </c>
      <c r="H3105" s="124">
        <f>IF(E3105&gt;=5000,5,IF(E3105&gt;=2000,4,IF(E3105&gt;=800,3,IF(E3105&gt;=300,2,1))))</f>
        <v/>
      </c>
      <c r="I3105" s="122">
        <f>TEXT(F3105,"0")&amp;TEXT(G3105,"0")&amp;TEXT(H3105,"0")</f>
        <v/>
      </c>
      <c r="J3105" s="122">
        <f>IFERROR(XLOOKUP(I3105,'Segment Map'!A:A,'Segment Map'!B:B,"Need Attention"),"Need Attention")</f>
        <v/>
      </c>
      <c r="K3105" s="122">
        <f>IF(E3105&gt;=5000,"🏆 Platinum",IF(E3105&gt;=2000,"🥇 Gold",IF(E3105&gt;=800,"🥈 Silver","🥉 Bronze")))</f>
        <v/>
      </c>
      <c r="L3105" s="125" t="n">
        <v>40773</v>
      </c>
    </row>
    <row r="3106">
      <c r="A3106" s="126" t="n">
        <v>16583</v>
      </c>
      <c r="B3106" s="126" t="inlineStr">
        <is>
          <t>United Kingdom</t>
        </is>
      </c>
      <c r="C3106" s="126" t="n">
        <v>374</v>
      </c>
      <c r="D3106" s="126" t="n">
        <v>1</v>
      </c>
      <c r="E3106" s="127" t="n">
        <v>233.45</v>
      </c>
      <c r="F3106" s="128">
        <f>IF(C3106&lt;=30,5,IF(C3106&lt;=60,4,IF(C3106&lt;=120,3,IF(C3106&lt;=200,2,1))))</f>
        <v/>
      </c>
      <c r="G3106" s="128">
        <f>IF(D3106&gt;=20,5,IF(D3106&gt;=10,4,IF(D3106&gt;=5,3,IF(D3106&gt;=2,2,1))))</f>
        <v/>
      </c>
      <c r="H3106" s="128">
        <f>IF(E3106&gt;=5000,5,IF(E3106&gt;=2000,4,IF(E3106&gt;=800,3,IF(E3106&gt;=300,2,1))))</f>
        <v/>
      </c>
      <c r="I3106" s="126">
        <f>TEXT(F3106,"0")&amp;TEXT(G3106,"0")&amp;TEXT(H3106,"0")</f>
        <v/>
      </c>
      <c r="J3106" s="126">
        <f>IFERROR(XLOOKUP(I3106,'Segment Map'!A:A,'Segment Map'!B:B,"Need Attention"),"Need Attention")</f>
        <v/>
      </c>
      <c r="K3106" s="126">
        <f>IF(E3106&gt;=5000,"🏆 Platinum",IF(E3106&gt;=2000,"🥇 Gold",IF(E3106&gt;=800,"🥈 Silver","🥉 Bronze")))</f>
        <v/>
      </c>
      <c r="L3106" s="129" t="n">
        <v>40513</v>
      </c>
    </row>
    <row r="3107">
      <c r="A3107" s="122" t="n">
        <v>16584</v>
      </c>
      <c r="B3107" s="122" t="inlineStr">
        <is>
          <t>United Kingdom</t>
        </is>
      </c>
      <c r="C3107" s="122" t="n">
        <v>81</v>
      </c>
      <c r="D3107" s="122" t="n">
        <v>2</v>
      </c>
      <c r="E3107" s="123" t="n">
        <v>936.08</v>
      </c>
      <c r="F3107" s="124">
        <f>IF(C3107&lt;=30,5,IF(C3107&lt;=60,4,IF(C3107&lt;=120,3,IF(C3107&lt;=200,2,1))))</f>
        <v/>
      </c>
      <c r="G3107" s="124">
        <f>IF(D3107&gt;=20,5,IF(D3107&gt;=10,4,IF(D3107&gt;=5,3,IF(D3107&gt;=2,2,1))))</f>
        <v/>
      </c>
      <c r="H3107" s="124">
        <f>IF(E3107&gt;=5000,5,IF(E3107&gt;=2000,4,IF(E3107&gt;=800,3,IF(E3107&gt;=300,2,1))))</f>
        <v/>
      </c>
      <c r="I3107" s="122">
        <f>TEXT(F3107,"0")&amp;TEXT(G3107,"0")&amp;TEXT(H3107,"0")</f>
        <v/>
      </c>
      <c r="J3107" s="122">
        <f>IFERROR(XLOOKUP(I3107,'Segment Map'!A:A,'Segment Map'!B:B,"Need Attention"),"Need Attention")</f>
        <v/>
      </c>
      <c r="K3107" s="122">
        <f>IF(E3107&gt;=5000,"🏆 Platinum",IF(E3107&gt;=2000,"🥇 Gold",IF(E3107&gt;=800,"🥈 Silver","🥉 Bronze")))</f>
        <v/>
      </c>
      <c r="L3107" s="125" t="n">
        <v>40806</v>
      </c>
    </row>
    <row r="3108">
      <c r="A3108" s="126" t="n">
        <v>16586</v>
      </c>
      <c r="B3108" s="126" t="inlineStr">
        <is>
          <t>United Kingdom</t>
        </is>
      </c>
      <c r="C3108" s="126" t="n">
        <v>249</v>
      </c>
      <c r="D3108" s="126" t="n">
        <v>1</v>
      </c>
      <c r="E3108" s="127" t="n">
        <v>463.95</v>
      </c>
      <c r="F3108" s="128">
        <f>IF(C3108&lt;=30,5,IF(C3108&lt;=60,4,IF(C3108&lt;=120,3,IF(C3108&lt;=200,2,1))))</f>
        <v/>
      </c>
      <c r="G3108" s="128">
        <f>IF(D3108&gt;=20,5,IF(D3108&gt;=10,4,IF(D3108&gt;=5,3,IF(D3108&gt;=2,2,1))))</f>
        <v/>
      </c>
      <c r="H3108" s="128">
        <f>IF(E3108&gt;=5000,5,IF(E3108&gt;=2000,4,IF(E3108&gt;=800,3,IF(E3108&gt;=300,2,1))))</f>
        <v/>
      </c>
      <c r="I3108" s="126">
        <f>TEXT(F3108,"0")&amp;TEXT(G3108,"0")&amp;TEXT(H3108,"0")</f>
        <v/>
      </c>
      <c r="J3108" s="126">
        <f>IFERROR(XLOOKUP(I3108,'Segment Map'!A:A,'Segment Map'!B:B,"Need Attention"),"Need Attention")</f>
        <v/>
      </c>
      <c r="K3108" s="126">
        <f>IF(E3108&gt;=5000,"🏆 Platinum",IF(E3108&gt;=2000,"🥇 Gold",IF(E3108&gt;=800,"🥈 Silver","🥉 Bronze")))</f>
        <v/>
      </c>
      <c r="L3108" s="129" t="n">
        <v>40638</v>
      </c>
    </row>
    <row r="3109">
      <c r="A3109" s="122" t="n">
        <v>16587</v>
      </c>
      <c r="B3109" s="122" t="inlineStr">
        <is>
          <t>United Kingdom</t>
        </is>
      </c>
      <c r="C3109" s="122" t="n">
        <v>233</v>
      </c>
      <c r="D3109" s="122" t="n">
        <v>1</v>
      </c>
      <c r="E3109" s="123" t="n">
        <v>225.15</v>
      </c>
      <c r="F3109" s="124">
        <f>IF(C3109&lt;=30,5,IF(C3109&lt;=60,4,IF(C3109&lt;=120,3,IF(C3109&lt;=200,2,1))))</f>
        <v/>
      </c>
      <c r="G3109" s="124">
        <f>IF(D3109&gt;=20,5,IF(D3109&gt;=10,4,IF(D3109&gt;=5,3,IF(D3109&gt;=2,2,1))))</f>
        <v/>
      </c>
      <c r="H3109" s="124">
        <f>IF(E3109&gt;=5000,5,IF(E3109&gt;=2000,4,IF(E3109&gt;=800,3,IF(E3109&gt;=300,2,1))))</f>
        <v/>
      </c>
      <c r="I3109" s="122">
        <f>TEXT(F3109,"0")&amp;TEXT(G3109,"0")&amp;TEXT(H3109,"0")</f>
        <v/>
      </c>
      <c r="J3109" s="122">
        <f>IFERROR(XLOOKUP(I3109,'Segment Map'!A:A,'Segment Map'!B:B,"Need Attention"),"Need Attention")</f>
        <v/>
      </c>
      <c r="K3109" s="122">
        <f>IF(E3109&gt;=5000,"🏆 Platinum",IF(E3109&gt;=2000,"🥇 Gold",IF(E3109&gt;=800,"🥈 Silver","🥉 Bronze")))</f>
        <v/>
      </c>
      <c r="L3109" s="125" t="n">
        <v>40654</v>
      </c>
    </row>
    <row r="3110">
      <c r="A3110" s="126" t="n">
        <v>16589</v>
      </c>
      <c r="B3110" s="126" t="inlineStr">
        <is>
          <t>United Kingdom</t>
        </is>
      </c>
      <c r="C3110" s="126" t="n">
        <v>72</v>
      </c>
      <c r="D3110" s="126" t="n">
        <v>3</v>
      </c>
      <c r="E3110" s="127" t="n">
        <v>459.24</v>
      </c>
      <c r="F3110" s="128">
        <f>IF(C3110&lt;=30,5,IF(C3110&lt;=60,4,IF(C3110&lt;=120,3,IF(C3110&lt;=200,2,1))))</f>
        <v/>
      </c>
      <c r="G3110" s="128">
        <f>IF(D3110&gt;=20,5,IF(D3110&gt;=10,4,IF(D3110&gt;=5,3,IF(D3110&gt;=2,2,1))))</f>
        <v/>
      </c>
      <c r="H3110" s="128">
        <f>IF(E3110&gt;=5000,5,IF(E3110&gt;=2000,4,IF(E3110&gt;=800,3,IF(E3110&gt;=300,2,1))))</f>
        <v/>
      </c>
      <c r="I3110" s="126">
        <f>TEXT(F3110,"0")&amp;TEXT(G3110,"0")&amp;TEXT(H3110,"0")</f>
        <v/>
      </c>
      <c r="J3110" s="126">
        <f>IFERROR(XLOOKUP(I3110,'Segment Map'!A:A,'Segment Map'!B:B,"Need Attention"),"Need Attention")</f>
        <v/>
      </c>
      <c r="K3110" s="126">
        <f>IF(E3110&gt;=5000,"🏆 Platinum",IF(E3110&gt;=2000,"🥇 Gold",IF(E3110&gt;=800,"🥈 Silver","🥉 Bronze")))</f>
        <v/>
      </c>
      <c r="L3110" s="129" t="n">
        <v>40815</v>
      </c>
    </row>
    <row r="3111">
      <c r="A3111" s="122" t="n">
        <v>16591</v>
      </c>
      <c r="B3111" s="122" t="inlineStr">
        <is>
          <t>United Kingdom</t>
        </is>
      </c>
      <c r="C3111" s="122" t="n">
        <v>69</v>
      </c>
      <c r="D3111" s="122" t="n">
        <v>1</v>
      </c>
      <c r="E3111" s="123" t="n">
        <v>213.5</v>
      </c>
      <c r="F3111" s="124">
        <f>IF(C3111&lt;=30,5,IF(C3111&lt;=60,4,IF(C3111&lt;=120,3,IF(C3111&lt;=200,2,1))))</f>
        <v/>
      </c>
      <c r="G3111" s="124">
        <f>IF(D3111&gt;=20,5,IF(D3111&gt;=10,4,IF(D3111&gt;=5,3,IF(D3111&gt;=2,2,1))))</f>
        <v/>
      </c>
      <c r="H3111" s="124">
        <f>IF(E3111&gt;=5000,5,IF(E3111&gt;=2000,4,IF(E3111&gt;=800,3,IF(E3111&gt;=300,2,1))))</f>
        <v/>
      </c>
      <c r="I3111" s="122">
        <f>TEXT(F3111,"0")&amp;TEXT(G3111,"0")&amp;TEXT(H3111,"0")</f>
        <v/>
      </c>
      <c r="J3111" s="122">
        <f>IFERROR(XLOOKUP(I3111,'Segment Map'!A:A,'Segment Map'!B:B,"Need Attention"),"Need Attention")</f>
        <v/>
      </c>
      <c r="K3111" s="122">
        <f>IF(E3111&gt;=5000,"🏆 Platinum",IF(E3111&gt;=2000,"🥇 Gold",IF(E3111&gt;=800,"🥈 Silver","🥉 Bronze")))</f>
        <v/>
      </c>
      <c r="L3111" s="125" t="n">
        <v>40818</v>
      </c>
    </row>
    <row r="3112">
      <c r="A3112" s="126" t="n">
        <v>16592</v>
      </c>
      <c r="B3112" s="126" t="inlineStr">
        <is>
          <t>United Kingdom</t>
        </is>
      </c>
      <c r="C3112" s="126" t="n">
        <v>5</v>
      </c>
      <c r="D3112" s="126" t="n">
        <v>16</v>
      </c>
      <c r="E3112" s="127" t="n">
        <v>4113.68</v>
      </c>
      <c r="F3112" s="128">
        <f>IF(C3112&lt;=30,5,IF(C3112&lt;=60,4,IF(C3112&lt;=120,3,IF(C3112&lt;=200,2,1))))</f>
        <v/>
      </c>
      <c r="G3112" s="128">
        <f>IF(D3112&gt;=20,5,IF(D3112&gt;=10,4,IF(D3112&gt;=5,3,IF(D3112&gt;=2,2,1))))</f>
        <v/>
      </c>
      <c r="H3112" s="128">
        <f>IF(E3112&gt;=5000,5,IF(E3112&gt;=2000,4,IF(E3112&gt;=800,3,IF(E3112&gt;=300,2,1))))</f>
        <v/>
      </c>
      <c r="I3112" s="126">
        <f>TEXT(F3112,"0")&amp;TEXT(G3112,"0")&amp;TEXT(H3112,"0")</f>
        <v/>
      </c>
      <c r="J3112" s="126">
        <f>IFERROR(XLOOKUP(I3112,'Segment Map'!A:A,'Segment Map'!B:B,"Need Attention"),"Need Attention")</f>
        <v/>
      </c>
      <c r="K3112" s="126">
        <f>IF(E3112&gt;=5000,"🏆 Platinum",IF(E3112&gt;=2000,"🥇 Gold",IF(E3112&gt;=800,"🥈 Silver","🥉 Bronze")))</f>
        <v/>
      </c>
      <c r="L3112" s="129" t="n">
        <v>40882</v>
      </c>
    </row>
    <row r="3113">
      <c r="A3113" s="122" t="n">
        <v>16593</v>
      </c>
      <c r="B3113" s="122" t="inlineStr">
        <is>
          <t>United Kingdom</t>
        </is>
      </c>
      <c r="C3113" s="122" t="n">
        <v>51</v>
      </c>
      <c r="D3113" s="122" t="n">
        <v>3</v>
      </c>
      <c r="E3113" s="123" t="n">
        <v>330.03</v>
      </c>
      <c r="F3113" s="124">
        <f>IF(C3113&lt;=30,5,IF(C3113&lt;=60,4,IF(C3113&lt;=120,3,IF(C3113&lt;=200,2,1))))</f>
        <v/>
      </c>
      <c r="G3113" s="124">
        <f>IF(D3113&gt;=20,5,IF(D3113&gt;=10,4,IF(D3113&gt;=5,3,IF(D3113&gt;=2,2,1))))</f>
        <v/>
      </c>
      <c r="H3113" s="124">
        <f>IF(E3113&gt;=5000,5,IF(E3113&gt;=2000,4,IF(E3113&gt;=800,3,IF(E3113&gt;=300,2,1))))</f>
        <v/>
      </c>
      <c r="I3113" s="122">
        <f>TEXT(F3113,"0")&amp;TEXT(G3113,"0")&amp;TEXT(H3113,"0")</f>
        <v/>
      </c>
      <c r="J3113" s="122">
        <f>IFERROR(XLOOKUP(I3113,'Segment Map'!A:A,'Segment Map'!B:B,"Need Attention"),"Need Attention")</f>
        <v/>
      </c>
      <c r="K3113" s="122">
        <f>IF(E3113&gt;=5000,"🏆 Platinum",IF(E3113&gt;=2000,"🥇 Gold",IF(E3113&gt;=800,"🥈 Silver","🥉 Bronze")))</f>
        <v/>
      </c>
      <c r="L3113" s="125" t="n">
        <v>40836</v>
      </c>
    </row>
    <row r="3114">
      <c r="A3114" s="126" t="n">
        <v>16594</v>
      </c>
      <c r="B3114" s="126" t="inlineStr">
        <is>
          <t>United Kingdom</t>
        </is>
      </c>
      <c r="C3114" s="126" t="n">
        <v>76</v>
      </c>
      <c r="D3114" s="126" t="n">
        <v>1</v>
      </c>
      <c r="E3114" s="127" t="n">
        <v>181.09</v>
      </c>
      <c r="F3114" s="128">
        <f>IF(C3114&lt;=30,5,IF(C3114&lt;=60,4,IF(C3114&lt;=120,3,IF(C3114&lt;=200,2,1))))</f>
        <v/>
      </c>
      <c r="G3114" s="128">
        <f>IF(D3114&gt;=20,5,IF(D3114&gt;=10,4,IF(D3114&gt;=5,3,IF(D3114&gt;=2,2,1))))</f>
        <v/>
      </c>
      <c r="H3114" s="128">
        <f>IF(E3114&gt;=5000,5,IF(E3114&gt;=2000,4,IF(E3114&gt;=800,3,IF(E3114&gt;=300,2,1))))</f>
        <v/>
      </c>
      <c r="I3114" s="126">
        <f>TEXT(F3114,"0")&amp;TEXT(G3114,"0")&amp;TEXT(H3114,"0")</f>
        <v/>
      </c>
      <c r="J3114" s="126">
        <f>IFERROR(XLOOKUP(I3114,'Segment Map'!A:A,'Segment Map'!B:B,"Need Attention"),"Need Attention")</f>
        <v/>
      </c>
      <c r="K3114" s="126">
        <f>IF(E3114&gt;=5000,"🏆 Platinum",IF(E3114&gt;=2000,"🥇 Gold",IF(E3114&gt;=800,"🥈 Silver","🥉 Bronze")))</f>
        <v/>
      </c>
      <c r="L3114" s="129" t="n">
        <v>40811</v>
      </c>
    </row>
    <row r="3115">
      <c r="A3115" s="122" t="n">
        <v>16595</v>
      </c>
      <c r="B3115" s="122" t="inlineStr">
        <is>
          <t>United Kingdom</t>
        </is>
      </c>
      <c r="C3115" s="122" t="n">
        <v>62</v>
      </c>
      <c r="D3115" s="122" t="n">
        <v>1</v>
      </c>
      <c r="E3115" s="123" t="n">
        <v>360.16</v>
      </c>
      <c r="F3115" s="124">
        <f>IF(C3115&lt;=30,5,IF(C3115&lt;=60,4,IF(C3115&lt;=120,3,IF(C3115&lt;=200,2,1))))</f>
        <v/>
      </c>
      <c r="G3115" s="124">
        <f>IF(D3115&gt;=20,5,IF(D3115&gt;=10,4,IF(D3115&gt;=5,3,IF(D3115&gt;=2,2,1))))</f>
        <v/>
      </c>
      <c r="H3115" s="124">
        <f>IF(E3115&gt;=5000,5,IF(E3115&gt;=2000,4,IF(E3115&gt;=800,3,IF(E3115&gt;=300,2,1))))</f>
        <v/>
      </c>
      <c r="I3115" s="122">
        <f>TEXT(F3115,"0")&amp;TEXT(G3115,"0")&amp;TEXT(H3115,"0")</f>
        <v/>
      </c>
      <c r="J3115" s="122">
        <f>IFERROR(XLOOKUP(I3115,'Segment Map'!A:A,'Segment Map'!B:B,"Need Attention"),"Need Attention")</f>
        <v/>
      </c>
      <c r="K3115" s="122">
        <f>IF(E3115&gt;=5000,"🏆 Platinum",IF(E3115&gt;=2000,"🥇 Gold",IF(E3115&gt;=800,"🥈 Silver","🥉 Bronze")))</f>
        <v/>
      </c>
      <c r="L3115" s="125" t="n">
        <v>40825</v>
      </c>
    </row>
    <row r="3116">
      <c r="A3116" s="126" t="n">
        <v>16596</v>
      </c>
      <c r="B3116" s="126" t="inlineStr">
        <is>
          <t>United Kingdom</t>
        </is>
      </c>
      <c r="C3116" s="126" t="n">
        <v>16</v>
      </c>
      <c r="D3116" s="126" t="n">
        <v>2</v>
      </c>
      <c r="E3116" s="127" t="n">
        <v>250.15</v>
      </c>
      <c r="F3116" s="128">
        <f>IF(C3116&lt;=30,5,IF(C3116&lt;=60,4,IF(C3116&lt;=120,3,IF(C3116&lt;=200,2,1))))</f>
        <v/>
      </c>
      <c r="G3116" s="128">
        <f>IF(D3116&gt;=20,5,IF(D3116&gt;=10,4,IF(D3116&gt;=5,3,IF(D3116&gt;=2,2,1))))</f>
        <v/>
      </c>
      <c r="H3116" s="128">
        <f>IF(E3116&gt;=5000,5,IF(E3116&gt;=2000,4,IF(E3116&gt;=800,3,IF(E3116&gt;=300,2,1))))</f>
        <v/>
      </c>
      <c r="I3116" s="126">
        <f>TEXT(F3116,"0")&amp;TEXT(G3116,"0")&amp;TEXT(H3116,"0")</f>
        <v/>
      </c>
      <c r="J3116" s="126">
        <f>IFERROR(XLOOKUP(I3116,'Segment Map'!A:A,'Segment Map'!B:B,"Need Attention"),"Need Attention")</f>
        <v/>
      </c>
      <c r="K3116" s="126">
        <f>IF(E3116&gt;=5000,"🏆 Platinum",IF(E3116&gt;=2000,"🥇 Gold",IF(E3116&gt;=800,"🥈 Silver","🥉 Bronze")))</f>
        <v/>
      </c>
      <c r="L3116" s="129" t="n">
        <v>40871</v>
      </c>
    </row>
    <row r="3117">
      <c r="A3117" s="122" t="n">
        <v>16597</v>
      </c>
      <c r="B3117" s="122" t="inlineStr">
        <is>
          <t>United Kingdom</t>
        </is>
      </c>
      <c r="C3117" s="122" t="n">
        <v>5</v>
      </c>
      <c r="D3117" s="122" t="n">
        <v>1</v>
      </c>
      <c r="E3117" s="123" t="n">
        <v>90.04000000000001</v>
      </c>
      <c r="F3117" s="124">
        <f>IF(C3117&lt;=30,5,IF(C3117&lt;=60,4,IF(C3117&lt;=120,3,IF(C3117&lt;=200,2,1))))</f>
        <v/>
      </c>
      <c r="G3117" s="124">
        <f>IF(D3117&gt;=20,5,IF(D3117&gt;=10,4,IF(D3117&gt;=5,3,IF(D3117&gt;=2,2,1))))</f>
        <v/>
      </c>
      <c r="H3117" s="124">
        <f>IF(E3117&gt;=5000,5,IF(E3117&gt;=2000,4,IF(E3117&gt;=800,3,IF(E3117&gt;=300,2,1))))</f>
        <v/>
      </c>
      <c r="I3117" s="122">
        <f>TEXT(F3117,"0")&amp;TEXT(G3117,"0")&amp;TEXT(H3117,"0")</f>
        <v/>
      </c>
      <c r="J3117" s="122">
        <f>IFERROR(XLOOKUP(I3117,'Segment Map'!A:A,'Segment Map'!B:B,"Need Attention"),"Need Attention")</f>
        <v/>
      </c>
      <c r="K3117" s="122">
        <f>IF(E3117&gt;=5000,"🏆 Platinum",IF(E3117&gt;=2000,"🥇 Gold",IF(E3117&gt;=800,"🥈 Silver","🥉 Bronze")))</f>
        <v/>
      </c>
      <c r="L3117" s="125" t="n">
        <v>40882</v>
      </c>
    </row>
    <row r="3118">
      <c r="A3118" s="126" t="n">
        <v>16598</v>
      </c>
      <c r="B3118" s="126" t="inlineStr">
        <is>
          <t>United Kingdom</t>
        </is>
      </c>
      <c r="C3118" s="126" t="n">
        <v>286</v>
      </c>
      <c r="D3118" s="126" t="n">
        <v>1</v>
      </c>
      <c r="E3118" s="127" t="n">
        <v>145.05</v>
      </c>
      <c r="F3118" s="128">
        <f>IF(C3118&lt;=30,5,IF(C3118&lt;=60,4,IF(C3118&lt;=120,3,IF(C3118&lt;=200,2,1))))</f>
        <v/>
      </c>
      <c r="G3118" s="128">
        <f>IF(D3118&gt;=20,5,IF(D3118&gt;=10,4,IF(D3118&gt;=5,3,IF(D3118&gt;=2,2,1))))</f>
        <v/>
      </c>
      <c r="H3118" s="128">
        <f>IF(E3118&gt;=5000,5,IF(E3118&gt;=2000,4,IF(E3118&gt;=800,3,IF(E3118&gt;=300,2,1))))</f>
        <v/>
      </c>
      <c r="I3118" s="126">
        <f>TEXT(F3118,"0")&amp;TEXT(G3118,"0")&amp;TEXT(H3118,"0")</f>
        <v/>
      </c>
      <c r="J3118" s="126">
        <f>IFERROR(XLOOKUP(I3118,'Segment Map'!A:A,'Segment Map'!B:B,"Need Attention"),"Need Attention")</f>
        <v/>
      </c>
      <c r="K3118" s="126">
        <f>IF(E3118&gt;=5000,"🏆 Platinum",IF(E3118&gt;=2000,"🥇 Gold",IF(E3118&gt;=800,"🥈 Silver","🥉 Bronze")))</f>
        <v/>
      </c>
      <c r="L3118" s="129" t="n">
        <v>40601</v>
      </c>
    </row>
    <row r="3119">
      <c r="A3119" s="122" t="n">
        <v>16600</v>
      </c>
      <c r="B3119" s="122" t="inlineStr">
        <is>
          <t>United Kingdom</t>
        </is>
      </c>
      <c r="C3119" s="122" t="n">
        <v>5</v>
      </c>
      <c r="D3119" s="122" t="n">
        <v>6</v>
      </c>
      <c r="E3119" s="123" t="n">
        <v>813.52</v>
      </c>
      <c r="F3119" s="124">
        <f>IF(C3119&lt;=30,5,IF(C3119&lt;=60,4,IF(C3119&lt;=120,3,IF(C3119&lt;=200,2,1))))</f>
        <v/>
      </c>
      <c r="G3119" s="124">
        <f>IF(D3119&gt;=20,5,IF(D3119&gt;=10,4,IF(D3119&gt;=5,3,IF(D3119&gt;=2,2,1))))</f>
        <v/>
      </c>
      <c r="H3119" s="124">
        <f>IF(E3119&gt;=5000,5,IF(E3119&gt;=2000,4,IF(E3119&gt;=800,3,IF(E3119&gt;=300,2,1))))</f>
        <v/>
      </c>
      <c r="I3119" s="122">
        <f>TEXT(F3119,"0")&amp;TEXT(G3119,"0")&amp;TEXT(H3119,"0")</f>
        <v/>
      </c>
      <c r="J3119" s="122">
        <f>IFERROR(XLOOKUP(I3119,'Segment Map'!A:A,'Segment Map'!B:B,"Need Attention"),"Need Attention")</f>
        <v/>
      </c>
      <c r="K3119" s="122">
        <f>IF(E3119&gt;=5000,"🏆 Platinum",IF(E3119&gt;=2000,"🥇 Gold",IF(E3119&gt;=800,"🥈 Silver","🥉 Bronze")))</f>
        <v/>
      </c>
      <c r="L3119" s="125" t="n">
        <v>40882</v>
      </c>
    </row>
    <row r="3120">
      <c r="A3120" s="126" t="n">
        <v>16601</v>
      </c>
      <c r="B3120" s="126" t="inlineStr">
        <is>
          <t>United Kingdom</t>
        </is>
      </c>
      <c r="C3120" s="126" t="n">
        <v>41</v>
      </c>
      <c r="D3120" s="126" t="n">
        <v>1</v>
      </c>
      <c r="E3120" s="127" t="n">
        <v>244.8</v>
      </c>
      <c r="F3120" s="128">
        <f>IF(C3120&lt;=30,5,IF(C3120&lt;=60,4,IF(C3120&lt;=120,3,IF(C3120&lt;=200,2,1))))</f>
        <v/>
      </c>
      <c r="G3120" s="128">
        <f>IF(D3120&gt;=20,5,IF(D3120&gt;=10,4,IF(D3120&gt;=5,3,IF(D3120&gt;=2,2,1))))</f>
        <v/>
      </c>
      <c r="H3120" s="128">
        <f>IF(E3120&gt;=5000,5,IF(E3120&gt;=2000,4,IF(E3120&gt;=800,3,IF(E3120&gt;=300,2,1))))</f>
        <v/>
      </c>
      <c r="I3120" s="126">
        <f>TEXT(F3120,"0")&amp;TEXT(G3120,"0")&amp;TEXT(H3120,"0")</f>
        <v/>
      </c>
      <c r="J3120" s="126">
        <f>IFERROR(XLOOKUP(I3120,'Segment Map'!A:A,'Segment Map'!B:B,"Need Attention"),"Need Attention")</f>
        <v/>
      </c>
      <c r="K3120" s="126">
        <f>IF(E3120&gt;=5000,"🏆 Platinum",IF(E3120&gt;=2000,"🥇 Gold",IF(E3120&gt;=800,"🥈 Silver","🥉 Bronze")))</f>
        <v/>
      </c>
      <c r="L3120" s="129" t="n">
        <v>40846</v>
      </c>
    </row>
    <row r="3121">
      <c r="A3121" s="122" t="n">
        <v>16602</v>
      </c>
      <c r="B3121" s="122" t="inlineStr">
        <is>
          <t>United Kingdom</t>
        </is>
      </c>
      <c r="C3121" s="122" t="n">
        <v>37</v>
      </c>
      <c r="D3121" s="122" t="n">
        <v>1</v>
      </c>
      <c r="E3121" s="123" t="n">
        <v>528.08</v>
      </c>
      <c r="F3121" s="124">
        <f>IF(C3121&lt;=30,5,IF(C3121&lt;=60,4,IF(C3121&lt;=120,3,IF(C3121&lt;=200,2,1))))</f>
        <v/>
      </c>
      <c r="G3121" s="124">
        <f>IF(D3121&gt;=20,5,IF(D3121&gt;=10,4,IF(D3121&gt;=5,3,IF(D3121&gt;=2,2,1))))</f>
        <v/>
      </c>
      <c r="H3121" s="124">
        <f>IF(E3121&gt;=5000,5,IF(E3121&gt;=2000,4,IF(E3121&gt;=800,3,IF(E3121&gt;=300,2,1))))</f>
        <v/>
      </c>
      <c r="I3121" s="122">
        <f>TEXT(F3121,"0")&amp;TEXT(G3121,"0")&amp;TEXT(H3121,"0")</f>
        <v/>
      </c>
      <c r="J3121" s="122">
        <f>IFERROR(XLOOKUP(I3121,'Segment Map'!A:A,'Segment Map'!B:B,"Need Attention"),"Need Attention")</f>
        <v/>
      </c>
      <c r="K3121" s="122">
        <f>IF(E3121&gt;=5000,"🏆 Platinum",IF(E3121&gt;=2000,"🥇 Gold",IF(E3121&gt;=800,"🥈 Silver","🥉 Bronze")))</f>
        <v/>
      </c>
      <c r="L3121" s="125" t="n">
        <v>40850</v>
      </c>
    </row>
    <row r="3122">
      <c r="A3122" s="126" t="n">
        <v>16603</v>
      </c>
      <c r="B3122" s="126" t="inlineStr">
        <is>
          <t>United Kingdom</t>
        </is>
      </c>
      <c r="C3122" s="126" t="n">
        <v>75</v>
      </c>
      <c r="D3122" s="126" t="n">
        <v>2</v>
      </c>
      <c r="E3122" s="127" t="n">
        <v>482.47</v>
      </c>
      <c r="F3122" s="128">
        <f>IF(C3122&lt;=30,5,IF(C3122&lt;=60,4,IF(C3122&lt;=120,3,IF(C3122&lt;=200,2,1))))</f>
        <v/>
      </c>
      <c r="G3122" s="128">
        <f>IF(D3122&gt;=20,5,IF(D3122&gt;=10,4,IF(D3122&gt;=5,3,IF(D3122&gt;=2,2,1))))</f>
        <v/>
      </c>
      <c r="H3122" s="128">
        <f>IF(E3122&gt;=5000,5,IF(E3122&gt;=2000,4,IF(E3122&gt;=800,3,IF(E3122&gt;=300,2,1))))</f>
        <v/>
      </c>
      <c r="I3122" s="126">
        <f>TEXT(F3122,"0")&amp;TEXT(G3122,"0")&amp;TEXT(H3122,"0")</f>
        <v/>
      </c>
      <c r="J3122" s="126">
        <f>IFERROR(XLOOKUP(I3122,'Segment Map'!A:A,'Segment Map'!B:B,"Need Attention"),"Need Attention")</f>
        <v/>
      </c>
      <c r="K3122" s="126">
        <f>IF(E3122&gt;=5000,"🏆 Platinum",IF(E3122&gt;=2000,"🥇 Gold",IF(E3122&gt;=800,"🥈 Silver","🥉 Bronze")))</f>
        <v/>
      </c>
      <c r="L3122" s="129" t="n">
        <v>40812</v>
      </c>
    </row>
    <row r="3123">
      <c r="A3123" s="122" t="n">
        <v>16607</v>
      </c>
      <c r="B3123" s="122" t="inlineStr">
        <is>
          <t>United Kingdom</t>
        </is>
      </c>
      <c r="C3123" s="122" t="n">
        <v>18</v>
      </c>
      <c r="D3123" s="122" t="n">
        <v>14</v>
      </c>
      <c r="E3123" s="123" t="n">
        <v>3347.71</v>
      </c>
      <c r="F3123" s="124">
        <f>IF(C3123&lt;=30,5,IF(C3123&lt;=60,4,IF(C3123&lt;=120,3,IF(C3123&lt;=200,2,1))))</f>
        <v/>
      </c>
      <c r="G3123" s="124">
        <f>IF(D3123&gt;=20,5,IF(D3123&gt;=10,4,IF(D3123&gt;=5,3,IF(D3123&gt;=2,2,1))))</f>
        <v/>
      </c>
      <c r="H3123" s="124">
        <f>IF(E3123&gt;=5000,5,IF(E3123&gt;=2000,4,IF(E3123&gt;=800,3,IF(E3123&gt;=300,2,1))))</f>
        <v/>
      </c>
      <c r="I3123" s="122">
        <f>TEXT(F3123,"0")&amp;TEXT(G3123,"0")&amp;TEXT(H3123,"0")</f>
        <v/>
      </c>
      <c r="J3123" s="122">
        <f>IFERROR(XLOOKUP(I3123,'Segment Map'!A:A,'Segment Map'!B:B,"Need Attention"),"Need Attention")</f>
        <v/>
      </c>
      <c r="K3123" s="122">
        <f>IF(E3123&gt;=5000,"🏆 Platinum",IF(E3123&gt;=2000,"🥇 Gold",IF(E3123&gt;=800,"🥈 Silver","🥉 Bronze")))</f>
        <v/>
      </c>
      <c r="L3123" s="125" t="n">
        <v>40869</v>
      </c>
    </row>
    <row r="3124">
      <c r="A3124" s="126" t="n">
        <v>16609</v>
      </c>
      <c r="B3124" s="126" t="inlineStr">
        <is>
          <t>United Kingdom</t>
        </is>
      </c>
      <c r="C3124" s="126" t="n">
        <v>16</v>
      </c>
      <c r="D3124" s="126" t="n">
        <v>7</v>
      </c>
      <c r="E3124" s="127" t="n">
        <v>5493.46</v>
      </c>
      <c r="F3124" s="128">
        <f>IF(C3124&lt;=30,5,IF(C3124&lt;=60,4,IF(C3124&lt;=120,3,IF(C3124&lt;=200,2,1))))</f>
        <v/>
      </c>
      <c r="G3124" s="128">
        <f>IF(D3124&gt;=20,5,IF(D3124&gt;=10,4,IF(D3124&gt;=5,3,IF(D3124&gt;=2,2,1))))</f>
        <v/>
      </c>
      <c r="H3124" s="128">
        <f>IF(E3124&gt;=5000,5,IF(E3124&gt;=2000,4,IF(E3124&gt;=800,3,IF(E3124&gt;=300,2,1))))</f>
        <v/>
      </c>
      <c r="I3124" s="126">
        <f>TEXT(F3124,"0")&amp;TEXT(G3124,"0")&amp;TEXT(H3124,"0")</f>
        <v/>
      </c>
      <c r="J3124" s="126">
        <f>IFERROR(XLOOKUP(I3124,'Segment Map'!A:A,'Segment Map'!B:B,"Need Attention"),"Need Attention")</f>
        <v/>
      </c>
      <c r="K3124" s="126">
        <f>IF(E3124&gt;=5000,"🏆 Platinum",IF(E3124&gt;=2000,"🥇 Gold",IF(E3124&gt;=800,"🥈 Silver","🥉 Bronze")))</f>
        <v/>
      </c>
      <c r="L3124" s="129" t="n">
        <v>40871</v>
      </c>
    </row>
    <row r="3125">
      <c r="A3125" s="122" t="n">
        <v>16610</v>
      </c>
      <c r="B3125" s="122" t="inlineStr">
        <is>
          <t>United Kingdom</t>
        </is>
      </c>
      <c r="C3125" s="122" t="n">
        <v>220</v>
      </c>
      <c r="D3125" s="122" t="n">
        <v>1</v>
      </c>
      <c r="E3125" s="123" t="n">
        <v>75.66</v>
      </c>
      <c r="F3125" s="124">
        <f>IF(C3125&lt;=30,5,IF(C3125&lt;=60,4,IF(C3125&lt;=120,3,IF(C3125&lt;=200,2,1))))</f>
        <v/>
      </c>
      <c r="G3125" s="124">
        <f>IF(D3125&gt;=20,5,IF(D3125&gt;=10,4,IF(D3125&gt;=5,3,IF(D3125&gt;=2,2,1))))</f>
        <v/>
      </c>
      <c r="H3125" s="124">
        <f>IF(E3125&gt;=5000,5,IF(E3125&gt;=2000,4,IF(E3125&gt;=800,3,IF(E3125&gt;=300,2,1))))</f>
        <v/>
      </c>
      <c r="I3125" s="122">
        <f>TEXT(F3125,"0")&amp;TEXT(G3125,"0")&amp;TEXT(H3125,"0")</f>
        <v/>
      </c>
      <c r="J3125" s="122">
        <f>IFERROR(XLOOKUP(I3125,'Segment Map'!A:A,'Segment Map'!B:B,"Need Attention"),"Need Attention")</f>
        <v/>
      </c>
      <c r="K3125" s="122">
        <f>IF(E3125&gt;=5000,"🏆 Platinum",IF(E3125&gt;=2000,"🥇 Gold",IF(E3125&gt;=800,"🥈 Silver","🥉 Bronze")))</f>
        <v/>
      </c>
      <c r="L3125" s="125" t="n">
        <v>40667</v>
      </c>
    </row>
    <row r="3126">
      <c r="A3126" s="126" t="n">
        <v>16611</v>
      </c>
      <c r="B3126" s="126" t="inlineStr">
        <is>
          <t>United Kingdom</t>
        </is>
      </c>
      <c r="C3126" s="126" t="n">
        <v>187</v>
      </c>
      <c r="D3126" s="126" t="n">
        <v>1</v>
      </c>
      <c r="E3126" s="127" t="n">
        <v>129.49</v>
      </c>
      <c r="F3126" s="128">
        <f>IF(C3126&lt;=30,5,IF(C3126&lt;=60,4,IF(C3126&lt;=120,3,IF(C3126&lt;=200,2,1))))</f>
        <v/>
      </c>
      <c r="G3126" s="128">
        <f>IF(D3126&gt;=20,5,IF(D3126&gt;=10,4,IF(D3126&gt;=5,3,IF(D3126&gt;=2,2,1))))</f>
        <v/>
      </c>
      <c r="H3126" s="128">
        <f>IF(E3126&gt;=5000,5,IF(E3126&gt;=2000,4,IF(E3126&gt;=800,3,IF(E3126&gt;=300,2,1))))</f>
        <v/>
      </c>
      <c r="I3126" s="126">
        <f>TEXT(F3126,"0")&amp;TEXT(G3126,"0")&amp;TEXT(H3126,"0")</f>
        <v/>
      </c>
      <c r="J3126" s="126">
        <f>IFERROR(XLOOKUP(I3126,'Segment Map'!A:A,'Segment Map'!B:B,"Need Attention"),"Need Attention")</f>
        <v/>
      </c>
      <c r="K3126" s="126">
        <f>IF(E3126&gt;=5000,"🏆 Platinum",IF(E3126&gt;=2000,"🥇 Gold",IF(E3126&gt;=800,"🥈 Silver","🥉 Bronze")))</f>
        <v/>
      </c>
      <c r="L3126" s="129" t="n">
        <v>40700</v>
      </c>
    </row>
    <row r="3127">
      <c r="A3127" s="122" t="n">
        <v>16612</v>
      </c>
      <c r="B3127" s="122" t="inlineStr">
        <is>
          <t>United Kingdom</t>
        </is>
      </c>
      <c r="C3127" s="122" t="n">
        <v>33</v>
      </c>
      <c r="D3127" s="122" t="n">
        <v>4</v>
      </c>
      <c r="E3127" s="123" t="n">
        <v>1187.66</v>
      </c>
      <c r="F3127" s="124">
        <f>IF(C3127&lt;=30,5,IF(C3127&lt;=60,4,IF(C3127&lt;=120,3,IF(C3127&lt;=200,2,1))))</f>
        <v/>
      </c>
      <c r="G3127" s="124">
        <f>IF(D3127&gt;=20,5,IF(D3127&gt;=10,4,IF(D3127&gt;=5,3,IF(D3127&gt;=2,2,1))))</f>
        <v/>
      </c>
      <c r="H3127" s="124">
        <f>IF(E3127&gt;=5000,5,IF(E3127&gt;=2000,4,IF(E3127&gt;=800,3,IF(E3127&gt;=300,2,1))))</f>
        <v/>
      </c>
      <c r="I3127" s="122">
        <f>TEXT(F3127,"0")&amp;TEXT(G3127,"0")&amp;TEXT(H3127,"0")</f>
        <v/>
      </c>
      <c r="J3127" s="122">
        <f>IFERROR(XLOOKUP(I3127,'Segment Map'!A:A,'Segment Map'!B:B,"Need Attention"),"Need Attention")</f>
        <v/>
      </c>
      <c r="K3127" s="122">
        <f>IF(E3127&gt;=5000,"🏆 Platinum",IF(E3127&gt;=2000,"🥇 Gold",IF(E3127&gt;=800,"🥈 Silver","🥉 Bronze")))</f>
        <v/>
      </c>
      <c r="L3127" s="125" t="n">
        <v>40854</v>
      </c>
    </row>
    <row r="3128">
      <c r="A3128" s="126" t="n">
        <v>16613</v>
      </c>
      <c r="B3128" s="126" t="inlineStr">
        <is>
          <t>United Kingdom</t>
        </is>
      </c>
      <c r="C3128" s="126" t="n">
        <v>71</v>
      </c>
      <c r="D3128" s="126" t="n">
        <v>1</v>
      </c>
      <c r="E3128" s="127" t="n">
        <v>618.59</v>
      </c>
      <c r="F3128" s="128">
        <f>IF(C3128&lt;=30,5,IF(C3128&lt;=60,4,IF(C3128&lt;=120,3,IF(C3128&lt;=200,2,1))))</f>
        <v/>
      </c>
      <c r="G3128" s="128">
        <f>IF(D3128&gt;=20,5,IF(D3128&gt;=10,4,IF(D3128&gt;=5,3,IF(D3128&gt;=2,2,1))))</f>
        <v/>
      </c>
      <c r="H3128" s="128">
        <f>IF(E3128&gt;=5000,5,IF(E3128&gt;=2000,4,IF(E3128&gt;=800,3,IF(E3128&gt;=300,2,1))))</f>
        <v/>
      </c>
      <c r="I3128" s="126">
        <f>TEXT(F3128,"0")&amp;TEXT(G3128,"0")&amp;TEXT(H3128,"0")</f>
        <v/>
      </c>
      <c r="J3128" s="126">
        <f>IFERROR(XLOOKUP(I3128,'Segment Map'!A:A,'Segment Map'!B:B,"Need Attention"),"Need Attention")</f>
        <v/>
      </c>
      <c r="K3128" s="126">
        <f>IF(E3128&gt;=5000,"🏆 Platinum",IF(E3128&gt;=2000,"🥇 Gold",IF(E3128&gt;=800,"🥈 Silver","🥉 Bronze")))</f>
        <v/>
      </c>
      <c r="L3128" s="129" t="n">
        <v>40816</v>
      </c>
    </row>
    <row r="3129">
      <c r="A3129" s="122" t="n">
        <v>16614</v>
      </c>
      <c r="B3129" s="122" t="inlineStr">
        <is>
          <t>United Kingdom</t>
        </is>
      </c>
      <c r="C3129" s="122" t="n">
        <v>183</v>
      </c>
      <c r="D3129" s="122" t="n">
        <v>1</v>
      </c>
      <c r="E3129" s="123" t="n">
        <v>506.19</v>
      </c>
      <c r="F3129" s="124">
        <f>IF(C3129&lt;=30,5,IF(C3129&lt;=60,4,IF(C3129&lt;=120,3,IF(C3129&lt;=200,2,1))))</f>
        <v/>
      </c>
      <c r="G3129" s="124">
        <f>IF(D3129&gt;=20,5,IF(D3129&gt;=10,4,IF(D3129&gt;=5,3,IF(D3129&gt;=2,2,1))))</f>
        <v/>
      </c>
      <c r="H3129" s="124">
        <f>IF(E3129&gt;=5000,5,IF(E3129&gt;=2000,4,IF(E3129&gt;=800,3,IF(E3129&gt;=300,2,1))))</f>
        <v/>
      </c>
      <c r="I3129" s="122">
        <f>TEXT(F3129,"0")&amp;TEXT(G3129,"0")&amp;TEXT(H3129,"0")</f>
        <v/>
      </c>
      <c r="J3129" s="122">
        <f>IFERROR(XLOOKUP(I3129,'Segment Map'!A:A,'Segment Map'!B:B,"Need Attention"),"Need Attention")</f>
        <v/>
      </c>
      <c r="K3129" s="122">
        <f>IF(E3129&gt;=5000,"🏆 Platinum",IF(E3129&gt;=2000,"🥇 Gold",IF(E3129&gt;=800,"🥈 Silver","🥉 Bronze")))</f>
        <v/>
      </c>
      <c r="L3129" s="125" t="n">
        <v>40704</v>
      </c>
    </row>
    <row r="3130">
      <c r="A3130" s="126" t="n">
        <v>16616</v>
      </c>
      <c r="B3130" s="126" t="inlineStr">
        <is>
          <t>United Kingdom</t>
        </is>
      </c>
      <c r="C3130" s="126" t="n">
        <v>16</v>
      </c>
      <c r="D3130" s="126" t="n">
        <v>2</v>
      </c>
      <c r="E3130" s="127" t="n">
        <v>500.42</v>
      </c>
      <c r="F3130" s="128">
        <f>IF(C3130&lt;=30,5,IF(C3130&lt;=60,4,IF(C3130&lt;=120,3,IF(C3130&lt;=200,2,1))))</f>
        <v/>
      </c>
      <c r="G3130" s="128">
        <f>IF(D3130&gt;=20,5,IF(D3130&gt;=10,4,IF(D3130&gt;=5,3,IF(D3130&gt;=2,2,1))))</f>
        <v/>
      </c>
      <c r="H3130" s="128">
        <f>IF(E3130&gt;=5000,5,IF(E3130&gt;=2000,4,IF(E3130&gt;=800,3,IF(E3130&gt;=300,2,1))))</f>
        <v/>
      </c>
      <c r="I3130" s="126">
        <f>TEXT(F3130,"0")&amp;TEXT(G3130,"0")&amp;TEXT(H3130,"0")</f>
        <v/>
      </c>
      <c r="J3130" s="126">
        <f>IFERROR(XLOOKUP(I3130,'Segment Map'!A:A,'Segment Map'!B:B,"Need Attention"),"Need Attention")</f>
        <v/>
      </c>
      <c r="K3130" s="126">
        <f>IF(E3130&gt;=5000,"🏆 Platinum",IF(E3130&gt;=2000,"🥇 Gold",IF(E3130&gt;=800,"🥈 Silver","🥉 Bronze")))</f>
        <v/>
      </c>
      <c r="L3130" s="129" t="n">
        <v>40871</v>
      </c>
    </row>
    <row r="3131">
      <c r="A3131" s="122" t="n">
        <v>16617</v>
      </c>
      <c r="B3131" s="122" t="inlineStr">
        <is>
          <t>United Kingdom</t>
        </is>
      </c>
      <c r="C3131" s="122" t="n">
        <v>236</v>
      </c>
      <c r="D3131" s="122" t="n">
        <v>1</v>
      </c>
      <c r="E3131" s="123" t="n">
        <v>151.85</v>
      </c>
      <c r="F3131" s="124">
        <f>IF(C3131&lt;=30,5,IF(C3131&lt;=60,4,IF(C3131&lt;=120,3,IF(C3131&lt;=200,2,1))))</f>
        <v/>
      </c>
      <c r="G3131" s="124">
        <f>IF(D3131&gt;=20,5,IF(D3131&gt;=10,4,IF(D3131&gt;=5,3,IF(D3131&gt;=2,2,1))))</f>
        <v/>
      </c>
      <c r="H3131" s="124">
        <f>IF(E3131&gt;=5000,5,IF(E3131&gt;=2000,4,IF(E3131&gt;=800,3,IF(E3131&gt;=300,2,1))))</f>
        <v/>
      </c>
      <c r="I3131" s="122">
        <f>TEXT(F3131,"0")&amp;TEXT(G3131,"0")&amp;TEXT(H3131,"0")</f>
        <v/>
      </c>
      <c r="J3131" s="122">
        <f>IFERROR(XLOOKUP(I3131,'Segment Map'!A:A,'Segment Map'!B:B,"Need Attention"),"Need Attention")</f>
        <v/>
      </c>
      <c r="K3131" s="122">
        <f>IF(E3131&gt;=5000,"🏆 Platinum",IF(E3131&gt;=2000,"🥇 Gold",IF(E3131&gt;=800,"🥈 Silver","🥉 Bronze")))</f>
        <v/>
      </c>
      <c r="L3131" s="125" t="n">
        <v>40651</v>
      </c>
    </row>
    <row r="3132">
      <c r="A3132" s="126" t="n">
        <v>16618</v>
      </c>
      <c r="B3132" s="126" t="inlineStr">
        <is>
          <t>United Kingdom</t>
        </is>
      </c>
      <c r="C3132" s="126" t="n">
        <v>32</v>
      </c>
      <c r="D3132" s="126" t="n">
        <v>5</v>
      </c>
      <c r="E3132" s="127" t="n">
        <v>2647.59</v>
      </c>
      <c r="F3132" s="128">
        <f>IF(C3132&lt;=30,5,IF(C3132&lt;=60,4,IF(C3132&lt;=120,3,IF(C3132&lt;=200,2,1))))</f>
        <v/>
      </c>
      <c r="G3132" s="128">
        <f>IF(D3132&gt;=20,5,IF(D3132&gt;=10,4,IF(D3132&gt;=5,3,IF(D3132&gt;=2,2,1))))</f>
        <v/>
      </c>
      <c r="H3132" s="128">
        <f>IF(E3132&gt;=5000,5,IF(E3132&gt;=2000,4,IF(E3132&gt;=800,3,IF(E3132&gt;=300,2,1))))</f>
        <v/>
      </c>
      <c r="I3132" s="126">
        <f>TEXT(F3132,"0")&amp;TEXT(G3132,"0")&amp;TEXT(H3132,"0")</f>
        <v/>
      </c>
      <c r="J3132" s="126">
        <f>IFERROR(XLOOKUP(I3132,'Segment Map'!A:A,'Segment Map'!B:B,"Need Attention"),"Need Attention")</f>
        <v/>
      </c>
      <c r="K3132" s="126">
        <f>IF(E3132&gt;=5000,"🏆 Platinum",IF(E3132&gt;=2000,"🥇 Gold",IF(E3132&gt;=800,"🥈 Silver","🥉 Bronze")))</f>
        <v/>
      </c>
      <c r="L3132" s="129" t="n">
        <v>40855</v>
      </c>
    </row>
    <row r="3133">
      <c r="A3133" s="122" t="n">
        <v>16619</v>
      </c>
      <c r="B3133" s="122" t="inlineStr">
        <is>
          <t>United Kingdom</t>
        </is>
      </c>
      <c r="C3133" s="122" t="n">
        <v>264</v>
      </c>
      <c r="D3133" s="122" t="n">
        <v>1</v>
      </c>
      <c r="E3133" s="123" t="n">
        <v>226.21</v>
      </c>
      <c r="F3133" s="124">
        <f>IF(C3133&lt;=30,5,IF(C3133&lt;=60,4,IF(C3133&lt;=120,3,IF(C3133&lt;=200,2,1))))</f>
        <v/>
      </c>
      <c r="G3133" s="124">
        <f>IF(D3133&gt;=20,5,IF(D3133&gt;=10,4,IF(D3133&gt;=5,3,IF(D3133&gt;=2,2,1))))</f>
        <v/>
      </c>
      <c r="H3133" s="124">
        <f>IF(E3133&gt;=5000,5,IF(E3133&gt;=2000,4,IF(E3133&gt;=800,3,IF(E3133&gt;=300,2,1))))</f>
        <v/>
      </c>
      <c r="I3133" s="122">
        <f>TEXT(F3133,"0")&amp;TEXT(G3133,"0")&amp;TEXT(H3133,"0")</f>
        <v/>
      </c>
      <c r="J3133" s="122">
        <f>IFERROR(XLOOKUP(I3133,'Segment Map'!A:A,'Segment Map'!B:B,"Need Attention"),"Need Attention")</f>
        <v/>
      </c>
      <c r="K3133" s="122">
        <f>IF(E3133&gt;=5000,"🏆 Platinum",IF(E3133&gt;=2000,"🥇 Gold",IF(E3133&gt;=800,"🥈 Silver","🥉 Bronze")))</f>
        <v/>
      </c>
      <c r="L3133" s="125" t="n">
        <v>40623</v>
      </c>
    </row>
    <row r="3134">
      <c r="A3134" s="126" t="n">
        <v>16620</v>
      </c>
      <c r="B3134" s="126" t="inlineStr">
        <is>
          <t>United Kingdom</t>
        </is>
      </c>
      <c r="C3134" s="126" t="n">
        <v>4</v>
      </c>
      <c r="D3134" s="126" t="n">
        <v>2</v>
      </c>
      <c r="E3134" s="127" t="n">
        <v>178.96</v>
      </c>
      <c r="F3134" s="128">
        <f>IF(C3134&lt;=30,5,IF(C3134&lt;=60,4,IF(C3134&lt;=120,3,IF(C3134&lt;=200,2,1))))</f>
        <v/>
      </c>
      <c r="G3134" s="128">
        <f>IF(D3134&gt;=20,5,IF(D3134&gt;=10,4,IF(D3134&gt;=5,3,IF(D3134&gt;=2,2,1))))</f>
        <v/>
      </c>
      <c r="H3134" s="128">
        <f>IF(E3134&gt;=5000,5,IF(E3134&gt;=2000,4,IF(E3134&gt;=800,3,IF(E3134&gt;=300,2,1))))</f>
        <v/>
      </c>
      <c r="I3134" s="126">
        <f>TEXT(F3134,"0")&amp;TEXT(G3134,"0")&amp;TEXT(H3134,"0")</f>
        <v/>
      </c>
      <c r="J3134" s="126">
        <f>IFERROR(XLOOKUP(I3134,'Segment Map'!A:A,'Segment Map'!B:B,"Need Attention"),"Need Attention")</f>
        <v/>
      </c>
      <c r="K3134" s="126">
        <f>IF(E3134&gt;=5000,"🏆 Platinum",IF(E3134&gt;=2000,"🥇 Gold",IF(E3134&gt;=800,"🥈 Silver","🥉 Bronze")))</f>
        <v/>
      </c>
      <c r="L3134" s="129" t="n">
        <v>40883</v>
      </c>
    </row>
    <row r="3135">
      <c r="A3135" s="122" t="n">
        <v>16621</v>
      </c>
      <c r="B3135" s="122" t="inlineStr">
        <is>
          <t>United Kingdom</t>
        </is>
      </c>
      <c r="C3135" s="122" t="n">
        <v>52</v>
      </c>
      <c r="D3135" s="122" t="n">
        <v>4</v>
      </c>
      <c r="E3135" s="123" t="n">
        <v>813.48</v>
      </c>
      <c r="F3135" s="124">
        <f>IF(C3135&lt;=30,5,IF(C3135&lt;=60,4,IF(C3135&lt;=120,3,IF(C3135&lt;=200,2,1))))</f>
        <v/>
      </c>
      <c r="G3135" s="124">
        <f>IF(D3135&gt;=20,5,IF(D3135&gt;=10,4,IF(D3135&gt;=5,3,IF(D3135&gt;=2,2,1))))</f>
        <v/>
      </c>
      <c r="H3135" s="124">
        <f>IF(E3135&gt;=5000,5,IF(E3135&gt;=2000,4,IF(E3135&gt;=800,3,IF(E3135&gt;=300,2,1))))</f>
        <v/>
      </c>
      <c r="I3135" s="122">
        <f>TEXT(F3135,"0")&amp;TEXT(G3135,"0")&amp;TEXT(H3135,"0")</f>
        <v/>
      </c>
      <c r="J3135" s="122">
        <f>IFERROR(XLOOKUP(I3135,'Segment Map'!A:A,'Segment Map'!B:B,"Need Attention"),"Need Attention")</f>
        <v/>
      </c>
      <c r="K3135" s="122">
        <f>IF(E3135&gt;=5000,"🏆 Platinum",IF(E3135&gt;=2000,"🥇 Gold",IF(E3135&gt;=800,"🥈 Silver","🥉 Bronze")))</f>
        <v/>
      </c>
      <c r="L3135" s="125" t="n">
        <v>40835</v>
      </c>
    </row>
    <row r="3136">
      <c r="A3136" s="126" t="n">
        <v>16623</v>
      </c>
      <c r="B3136" s="126" t="inlineStr">
        <is>
          <t>United Kingdom</t>
        </is>
      </c>
      <c r="C3136" s="126" t="n">
        <v>246</v>
      </c>
      <c r="D3136" s="126" t="n">
        <v>1</v>
      </c>
      <c r="E3136" s="127" t="n">
        <v>129.45</v>
      </c>
      <c r="F3136" s="128">
        <f>IF(C3136&lt;=30,5,IF(C3136&lt;=60,4,IF(C3136&lt;=120,3,IF(C3136&lt;=200,2,1))))</f>
        <v/>
      </c>
      <c r="G3136" s="128">
        <f>IF(D3136&gt;=20,5,IF(D3136&gt;=10,4,IF(D3136&gt;=5,3,IF(D3136&gt;=2,2,1))))</f>
        <v/>
      </c>
      <c r="H3136" s="128">
        <f>IF(E3136&gt;=5000,5,IF(E3136&gt;=2000,4,IF(E3136&gt;=800,3,IF(E3136&gt;=300,2,1))))</f>
        <v/>
      </c>
      <c r="I3136" s="126">
        <f>TEXT(F3136,"0")&amp;TEXT(G3136,"0")&amp;TEXT(H3136,"0")</f>
        <v/>
      </c>
      <c r="J3136" s="126">
        <f>IFERROR(XLOOKUP(I3136,'Segment Map'!A:A,'Segment Map'!B:B,"Need Attention"),"Need Attention")</f>
        <v/>
      </c>
      <c r="K3136" s="126">
        <f>IF(E3136&gt;=5000,"🏆 Platinum",IF(E3136&gt;=2000,"🥇 Gold",IF(E3136&gt;=800,"🥈 Silver","🥉 Bronze")))</f>
        <v/>
      </c>
      <c r="L3136" s="129" t="n">
        <v>40641</v>
      </c>
    </row>
    <row r="3137">
      <c r="A3137" s="122" t="n">
        <v>16624</v>
      </c>
      <c r="B3137" s="122" t="inlineStr">
        <is>
          <t>United Kingdom</t>
        </is>
      </c>
      <c r="C3137" s="122" t="n">
        <v>81</v>
      </c>
      <c r="D3137" s="122" t="n">
        <v>2</v>
      </c>
      <c r="E3137" s="123" t="n">
        <v>810.5700000000001</v>
      </c>
      <c r="F3137" s="124">
        <f>IF(C3137&lt;=30,5,IF(C3137&lt;=60,4,IF(C3137&lt;=120,3,IF(C3137&lt;=200,2,1))))</f>
        <v/>
      </c>
      <c r="G3137" s="124">
        <f>IF(D3137&gt;=20,5,IF(D3137&gt;=10,4,IF(D3137&gt;=5,3,IF(D3137&gt;=2,2,1))))</f>
        <v/>
      </c>
      <c r="H3137" s="124">
        <f>IF(E3137&gt;=5000,5,IF(E3137&gt;=2000,4,IF(E3137&gt;=800,3,IF(E3137&gt;=300,2,1))))</f>
        <v/>
      </c>
      <c r="I3137" s="122">
        <f>TEXT(F3137,"0")&amp;TEXT(G3137,"0")&amp;TEXT(H3137,"0")</f>
        <v/>
      </c>
      <c r="J3137" s="122">
        <f>IFERROR(XLOOKUP(I3137,'Segment Map'!A:A,'Segment Map'!B:B,"Need Attention"),"Need Attention")</f>
        <v/>
      </c>
      <c r="K3137" s="122">
        <f>IF(E3137&gt;=5000,"🏆 Platinum",IF(E3137&gt;=2000,"🥇 Gold",IF(E3137&gt;=800,"🥈 Silver","🥉 Bronze")))</f>
        <v/>
      </c>
      <c r="L3137" s="125" t="n">
        <v>40806</v>
      </c>
    </row>
    <row r="3138">
      <c r="A3138" s="126" t="n">
        <v>16625</v>
      </c>
      <c r="B3138" s="126" t="inlineStr">
        <is>
          <t>United Kingdom</t>
        </is>
      </c>
      <c r="C3138" s="126" t="n">
        <v>275</v>
      </c>
      <c r="D3138" s="126" t="n">
        <v>1</v>
      </c>
      <c r="E3138" s="127" t="n">
        <v>333.08</v>
      </c>
      <c r="F3138" s="128">
        <f>IF(C3138&lt;=30,5,IF(C3138&lt;=60,4,IF(C3138&lt;=120,3,IF(C3138&lt;=200,2,1))))</f>
        <v/>
      </c>
      <c r="G3138" s="128">
        <f>IF(D3138&gt;=20,5,IF(D3138&gt;=10,4,IF(D3138&gt;=5,3,IF(D3138&gt;=2,2,1))))</f>
        <v/>
      </c>
      <c r="H3138" s="128">
        <f>IF(E3138&gt;=5000,5,IF(E3138&gt;=2000,4,IF(E3138&gt;=800,3,IF(E3138&gt;=300,2,1))))</f>
        <v/>
      </c>
      <c r="I3138" s="126">
        <f>TEXT(F3138,"0")&amp;TEXT(G3138,"0")&amp;TEXT(H3138,"0")</f>
        <v/>
      </c>
      <c r="J3138" s="126">
        <f>IFERROR(XLOOKUP(I3138,'Segment Map'!A:A,'Segment Map'!B:B,"Need Attention"),"Need Attention")</f>
        <v/>
      </c>
      <c r="K3138" s="126">
        <f>IF(E3138&gt;=5000,"🏆 Platinum",IF(E3138&gt;=2000,"🥇 Gold",IF(E3138&gt;=800,"🥈 Silver","🥉 Bronze")))</f>
        <v/>
      </c>
      <c r="L3138" s="129" t="n">
        <v>40612</v>
      </c>
    </row>
    <row r="3139">
      <c r="A3139" s="122" t="n">
        <v>16626</v>
      </c>
      <c r="B3139" s="122" t="inlineStr">
        <is>
          <t>United Kingdom</t>
        </is>
      </c>
      <c r="C3139" s="122" t="n">
        <v>1</v>
      </c>
      <c r="D3139" s="122" t="n">
        <v>17</v>
      </c>
      <c r="E3139" s="123" t="n">
        <v>4413.1</v>
      </c>
      <c r="F3139" s="124">
        <f>IF(C3139&lt;=30,5,IF(C3139&lt;=60,4,IF(C3139&lt;=120,3,IF(C3139&lt;=200,2,1))))</f>
        <v/>
      </c>
      <c r="G3139" s="124">
        <f>IF(D3139&gt;=20,5,IF(D3139&gt;=10,4,IF(D3139&gt;=5,3,IF(D3139&gt;=2,2,1))))</f>
        <v/>
      </c>
      <c r="H3139" s="124">
        <f>IF(E3139&gt;=5000,5,IF(E3139&gt;=2000,4,IF(E3139&gt;=800,3,IF(E3139&gt;=300,2,1))))</f>
        <v/>
      </c>
      <c r="I3139" s="122">
        <f>TEXT(F3139,"0")&amp;TEXT(G3139,"0")&amp;TEXT(H3139,"0")</f>
        <v/>
      </c>
      <c r="J3139" s="122">
        <f>IFERROR(XLOOKUP(I3139,'Segment Map'!A:A,'Segment Map'!B:B,"Need Attention"),"Need Attention")</f>
        <v/>
      </c>
      <c r="K3139" s="122">
        <f>IF(E3139&gt;=5000,"🏆 Platinum",IF(E3139&gt;=2000,"🥇 Gold",IF(E3139&gt;=800,"🥈 Silver","🥉 Bronze")))</f>
        <v/>
      </c>
      <c r="L3139" s="125" t="n">
        <v>40886</v>
      </c>
    </row>
    <row r="3140">
      <c r="A3140" s="126" t="n">
        <v>16627</v>
      </c>
      <c r="B3140" s="126" t="inlineStr">
        <is>
          <t>United Kingdom</t>
        </is>
      </c>
      <c r="C3140" s="126" t="n">
        <v>80</v>
      </c>
      <c r="D3140" s="126" t="n">
        <v>1</v>
      </c>
      <c r="E3140" s="127" t="n">
        <v>322.8</v>
      </c>
      <c r="F3140" s="128">
        <f>IF(C3140&lt;=30,5,IF(C3140&lt;=60,4,IF(C3140&lt;=120,3,IF(C3140&lt;=200,2,1))))</f>
        <v/>
      </c>
      <c r="G3140" s="128">
        <f>IF(D3140&gt;=20,5,IF(D3140&gt;=10,4,IF(D3140&gt;=5,3,IF(D3140&gt;=2,2,1))))</f>
        <v/>
      </c>
      <c r="H3140" s="128">
        <f>IF(E3140&gt;=5000,5,IF(E3140&gt;=2000,4,IF(E3140&gt;=800,3,IF(E3140&gt;=300,2,1))))</f>
        <v/>
      </c>
      <c r="I3140" s="126">
        <f>TEXT(F3140,"0")&amp;TEXT(G3140,"0")&amp;TEXT(H3140,"0")</f>
        <v/>
      </c>
      <c r="J3140" s="126">
        <f>IFERROR(XLOOKUP(I3140,'Segment Map'!A:A,'Segment Map'!B:B,"Need Attention"),"Need Attention")</f>
        <v/>
      </c>
      <c r="K3140" s="126">
        <f>IF(E3140&gt;=5000,"🏆 Platinum",IF(E3140&gt;=2000,"🥇 Gold",IF(E3140&gt;=800,"🥈 Silver","🥉 Bronze")))</f>
        <v/>
      </c>
      <c r="L3140" s="129" t="n">
        <v>40807</v>
      </c>
    </row>
    <row r="3141">
      <c r="A3141" s="122" t="n">
        <v>16628</v>
      </c>
      <c r="B3141" s="122" t="inlineStr">
        <is>
          <t>United Kingdom</t>
        </is>
      </c>
      <c r="C3141" s="122" t="n">
        <v>30</v>
      </c>
      <c r="D3141" s="122" t="n">
        <v>5</v>
      </c>
      <c r="E3141" s="123" t="n">
        <v>2188.05</v>
      </c>
      <c r="F3141" s="124">
        <f>IF(C3141&lt;=30,5,IF(C3141&lt;=60,4,IF(C3141&lt;=120,3,IF(C3141&lt;=200,2,1))))</f>
        <v/>
      </c>
      <c r="G3141" s="124">
        <f>IF(D3141&gt;=20,5,IF(D3141&gt;=10,4,IF(D3141&gt;=5,3,IF(D3141&gt;=2,2,1))))</f>
        <v/>
      </c>
      <c r="H3141" s="124">
        <f>IF(E3141&gt;=5000,5,IF(E3141&gt;=2000,4,IF(E3141&gt;=800,3,IF(E3141&gt;=300,2,1))))</f>
        <v/>
      </c>
      <c r="I3141" s="122">
        <f>TEXT(F3141,"0")&amp;TEXT(G3141,"0")&amp;TEXT(H3141,"0")</f>
        <v/>
      </c>
      <c r="J3141" s="122">
        <f>IFERROR(XLOOKUP(I3141,'Segment Map'!A:A,'Segment Map'!B:B,"Need Attention"),"Need Attention")</f>
        <v/>
      </c>
      <c r="K3141" s="122">
        <f>IF(E3141&gt;=5000,"🏆 Platinum",IF(E3141&gt;=2000,"🥇 Gold",IF(E3141&gt;=800,"🥈 Silver","🥉 Bronze")))</f>
        <v/>
      </c>
      <c r="L3141" s="125" t="n">
        <v>40857</v>
      </c>
    </row>
    <row r="3142">
      <c r="A3142" s="126" t="n">
        <v>16629</v>
      </c>
      <c r="B3142" s="126" t="inlineStr">
        <is>
          <t>United Kingdom</t>
        </is>
      </c>
      <c r="C3142" s="126" t="n">
        <v>74</v>
      </c>
      <c r="D3142" s="126" t="n">
        <v>2</v>
      </c>
      <c r="E3142" s="127" t="n">
        <v>417.73</v>
      </c>
      <c r="F3142" s="128">
        <f>IF(C3142&lt;=30,5,IF(C3142&lt;=60,4,IF(C3142&lt;=120,3,IF(C3142&lt;=200,2,1))))</f>
        <v/>
      </c>
      <c r="G3142" s="128">
        <f>IF(D3142&gt;=20,5,IF(D3142&gt;=10,4,IF(D3142&gt;=5,3,IF(D3142&gt;=2,2,1))))</f>
        <v/>
      </c>
      <c r="H3142" s="128">
        <f>IF(E3142&gt;=5000,5,IF(E3142&gt;=2000,4,IF(E3142&gt;=800,3,IF(E3142&gt;=300,2,1))))</f>
        <v/>
      </c>
      <c r="I3142" s="126">
        <f>TEXT(F3142,"0")&amp;TEXT(G3142,"0")&amp;TEXT(H3142,"0")</f>
        <v/>
      </c>
      <c r="J3142" s="126">
        <f>IFERROR(XLOOKUP(I3142,'Segment Map'!A:A,'Segment Map'!B:B,"Need Attention"),"Need Attention")</f>
        <v/>
      </c>
      <c r="K3142" s="126">
        <f>IF(E3142&gt;=5000,"🏆 Platinum",IF(E3142&gt;=2000,"🥇 Gold",IF(E3142&gt;=800,"🥈 Silver","🥉 Bronze")))</f>
        <v/>
      </c>
      <c r="L3142" s="129" t="n">
        <v>40813</v>
      </c>
    </row>
    <row r="3143">
      <c r="A3143" s="122" t="n">
        <v>16633</v>
      </c>
      <c r="B3143" s="122" t="inlineStr">
        <is>
          <t>United Kingdom</t>
        </is>
      </c>
      <c r="C3143" s="122" t="n">
        <v>18</v>
      </c>
      <c r="D3143" s="122" t="n">
        <v>6</v>
      </c>
      <c r="E3143" s="123" t="n">
        <v>2883.1</v>
      </c>
      <c r="F3143" s="124">
        <f>IF(C3143&lt;=30,5,IF(C3143&lt;=60,4,IF(C3143&lt;=120,3,IF(C3143&lt;=200,2,1))))</f>
        <v/>
      </c>
      <c r="G3143" s="124">
        <f>IF(D3143&gt;=20,5,IF(D3143&gt;=10,4,IF(D3143&gt;=5,3,IF(D3143&gt;=2,2,1))))</f>
        <v/>
      </c>
      <c r="H3143" s="124">
        <f>IF(E3143&gt;=5000,5,IF(E3143&gt;=2000,4,IF(E3143&gt;=800,3,IF(E3143&gt;=300,2,1))))</f>
        <v/>
      </c>
      <c r="I3143" s="122">
        <f>TEXT(F3143,"0")&amp;TEXT(G3143,"0")&amp;TEXT(H3143,"0")</f>
        <v/>
      </c>
      <c r="J3143" s="122">
        <f>IFERROR(XLOOKUP(I3143,'Segment Map'!A:A,'Segment Map'!B:B,"Need Attention"),"Need Attention")</f>
        <v/>
      </c>
      <c r="K3143" s="122">
        <f>IF(E3143&gt;=5000,"🏆 Platinum",IF(E3143&gt;=2000,"🥇 Gold",IF(E3143&gt;=800,"🥈 Silver","🥉 Bronze")))</f>
        <v/>
      </c>
      <c r="L3143" s="125" t="n">
        <v>40869</v>
      </c>
    </row>
    <row r="3144">
      <c r="A3144" s="126" t="n">
        <v>16634</v>
      </c>
      <c r="B3144" s="126" t="inlineStr">
        <is>
          <t>United Kingdom</t>
        </is>
      </c>
      <c r="C3144" s="126" t="n">
        <v>223</v>
      </c>
      <c r="D3144" s="126" t="n">
        <v>2</v>
      </c>
      <c r="E3144" s="127" t="n">
        <v>217.9</v>
      </c>
      <c r="F3144" s="128">
        <f>IF(C3144&lt;=30,5,IF(C3144&lt;=60,4,IF(C3144&lt;=120,3,IF(C3144&lt;=200,2,1))))</f>
        <v/>
      </c>
      <c r="G3144" s="128">
        <f>IF(D3144&gt;=20,5,IF(D3144&gt;=10,4,IF(D3144&gt;=5,3,IF(D3144&gt;=2,2,1))))</f>
        <v/>
      </c>
      <c r="H3144" s="128">
        <f>IF(E3144&gt;=5000,5,IF(E3144&gt;=2000,4,IF(E3144&gt;=800,3,IF(E3144&gt;=300,2,1))))</f>
        <v/>
      </c>
      <c r="I3144" s="126">
        <f>TEXT(F3144,"0")&amp;TEXT(G3144,"0")&amp;TEXT(H3144,"0")</f>
        <v/>
      </c>
      <c r="J3144" s="126">
        <f>IFERROR(XLOOKUP(I3144,'Segment Map'!A:A,'Segment Map'!B:B,"Need Attention"),"Need Attention")</f>
        <v/>
      </c>
      <c r="K3144" s="126">
        <f>IF(E3144&gt;=5000,"🏆 Platinum",IF(E3144&gt;=2000,"🥇 Gold",IF(E3144&gt;=800,"🥈 Silver","🥉 Bronze")))</f>
        <v/>
      </c>
      <c r="L3144" s="129" t="n">
        <v>40664</v>
      </c>
    </row>
    <row r="3145">
      <c r="A3145" s="122" t="n">
        <v>16637</v>
      </c>
      <c r="B3145" s="122" t="inlineStr">
        <is>
          <t>United Kingdom</t>
        </is>
      </c>
      <c r="C3145" s="122" t="n">
        <v>33</v>
      </c>
      <c r="D3145" s="122" t="n">
        <v>4</v>
      </c>
      <c r="E3145" s="123" t="n">
        <v>1154.47</v>
      </c>
      <c r="F3145" s="124">
        <f>IF(C3145&lt;=30,5,IF(C3145&lt;=60,4,IF(C3145&lt;=120,3,IF(C3145&lt;=200,2,1))))</f>
        <v/>
      </c>
      <c r="G3145" s="124">
        <f>IF(D3145&gt;=20,5,IF(D3145&gt;=10,4,IF(D3145&gt;=5,3,IF(D3145&gt;=2,2,1))))</f>
        <v/>
      </c>
      <c r="H3145" s="124">
        <f>IF(E3145&gt;=5000,5,IF(E3145&gt;=2000,4,IF(E3145&gt;=800,3,IF(E3145&gt;=300,2,1))))</f>
        <v/>
      </c>
      <c r="I3145" s="122">
        <f>TEXT(F3145,"0")&amp;TEXT(G3145,"0")&amp;TEXT(H3145,"0")</f>
        <v/>
      </c>
      <c r="J3145" s="122">
        <f>IFERROR(XLOOKUP(I3145,'Segment Map'!A:A,'Segment Map'!B:B,"Need Attention"),"Need Attention")</f>
        <v/>
      </c>
      <c r="K3145" s="122">
        <f>IF(E3145&gt;=5000,"🏆 Platinum",IF(E3145&gt;=2000,"🥇 Gold",IF(E3145&gt;=800,"🥈 Silver","🥉 Bronze")))</f>
        <v/>
      </c>
      <c r="L3145" s="125" t="n">
        <v>40854</v>
      </c>
    </row>
    <row r="3146">
      <c r="A3146" s="126" t="n">
        <v>16638</v>
      </c>
      <c r="B3146" s="126" t="inlineStr">
        <is>
          <t>United Kingdom</t>
        </is>
      </c>
      <c r="C3146" s="126" t="n">
        <v>23</v>
      </c>
      <c r="D3146" s="126" t="n">
        <v>10</v>
      </c>
      <c r="E3146" s="127" t="n">
        <v>1680.72</v>
      </c>
      <c r="F3146" s="128">
        <f>IF(C3146&lt;=30,5,IF(C3146&lt;=60,4,IF(C3146&lt;=120,3,IF(C3146&lt;=200,2,1))))</f>
        <v/>
      </c>
      <c r="G3146" s="128">
        <f>IF(D3146&gt;=20,5,IF(D3146&gt;=10,4,IF(D3146&gt;=5,3,IF(D3146&gt;=2,2,1))))</f>
        <v/>
      </c>
      <c r="H3146" s="128">
        <f>IF(E3146&gt;=5000,5,IF(E3146&gt;=2000,4,IF(E3146&gt;=800,3,IF(E3146&gt;=300,2,1))))</f>
        <v/>
      </c>
      <c r="I3146" s="126">
        <f>TEXT(F3146,"0")&amp;TEXT(G3146,"0")&amp;TEXT(H3146,"0")</f>
        <v/>
      </c>
      <c r="J3146" s="126">
        <f>IFERROR(XLOOKUP(I3146,'Segment Map'!A:A,'Segment Map'!B:B,"Need Attention"),"Need Attention")</f>
        <v/>
      </c>
      <c r="K3146" s="126">
        <f>IF(E3146&gt;=5000,"🏆 Platinum",IF(E3146&gt;=2000,"🥇 Gold",IF(E3146&gt;=800,"🥈 Silver","🥉 Bronze")))</f>
        <v/>
      </c>
      <c r="L3146" s="129" t="n">
        <v>40864</v>
      </c>
    </row>
    <row r="3147">
      <c r="A3147" s="122" t="n">
        <v>16639</v>
      </c>
      <c r="B3147" s="122" t="inlineStr">
        <is>
          <t>United Kingdom</t>
        </is>
      </c>
      <c r="C3147" s="122" t="n">
        <v>32</v>
      </c>
      <c r="D3147" s="122" t="n">
        <v>3</v>
      </c>
      <c r="E3147" s="123" t="n">
        <v>1257.51</v>
      </c>
      <c r="F3147" s="124">
        <f>IF(C3147&lt;=30,5,IF(C3147&lt;=60,4,IF(C3147&lt;=120,3,IF(C3147&lt;=200,2,1))))</f>
        <v/>
      </c>
      <c r="G3147" s="124">
        <f>IF(D3147&gt;=20,5,IF(D3147&gt;=10,4,IF(D3147&gt;=5,3,IF(D3147&gt;=2,2,1))))</f>
        <v/>
      </c>
      <c r="H3147" s="124">
        <f>IF(E3147&gt;=5000,5,IF(E3147&gt;=2000,4,IF(E3147&gt;=800,3,IF(E3147&gt;=300,2,1))))</f>
        <v/>
      </c>
      <c r="I3147" s="122">
        <f>TEXT(F3147,"0")&amp;TEXT(G3147,"0")&amp;TEXT(H3147,"0")</f>
        <v/>
      </c>
      <c r="J3147" s="122">
        <f>IFERROR(XLOOKUP(I3147,'Segment Map'!A:A,'Segment Map'!B:B,"Need Attention"),"Need Attention")</f>
        <v/>
      </c>
      <c r="K3147" s="122">
        <f>IF(E3147&gt;=5000,"🏆 Platinum",IF(E3147&gt;=2000,"🥇 Gold",IF(E3147&gt;=800,"🥈 Silver","🥉 Bronze")))</f>
        <v/>
      </c>
      <c r="L3147" s="125" t="n">
        <v>40855</v>
      </c>
    </row>
    <row r="3148">
      <c r="A3148" s="126" t="n">
        <v>16641</v>
      </c>
      <c r="B3148" s="126" t="inlineStr">
        <is>
          <t>United Kingdom</t>
        </is>
      </c>
      <c r="C3148" s="126" t="n">
        <v>106</v>
      </c>
      <c r="D3148" s="126" t="n">
        <v>1</v>
      </c>
      <c r="E3148" s="127" t="n">
        <v>231.1</v>
      </c>
      <c r="F3148" s="128">
        <f>IF(C3148&lt;=30,5,IF(C3148&lt;=60,4,IF(C3148&lt;=120,3,IF(C3148&lt;=200,2,1))))</f>
        <v/>
      </c>
      <c r="G3148" s="128">
        <f>IF(D3148&gt;=20,5,IF(D3148&gt;=10,4,IF(D3148&gt;=5,3,IF(D3148&gt;=2,2,1))))</f>
        <v/>
      </c>
      <c r="H3148" s="128">
        <f>IF(E3148&gt;=5000,5,IF(E3148&gt;=2000,4,IF(E3148&gt;=800,3,IF(E3148&gt;=300,2,1))))</f>
        <v/>
      </c>
      <c r="I3148" s="126">
        <f>TEXT(F3148,"0")&amp;TEXT(G3148,"0")&amp;TEXT(H3148,"0")</f>
        <v/>
      </c>
      <c r="J3148" s="126">
        <f>IFERROR(XLOOKUP(I3148,'Segment Map'!A:A,'Segment Map'!B:B,"Need Attention"),"Need Attention")</f>
        <v/>
      </c>
      <c r="K3148" s="126">
        <f>IF(E3148&gt;=5000,"🏆 Platinum",IF(E3148&gt;=2000,"🥇 Gold",IF(E3148&gt;=800,"🥈 Silver","🥉 Bronze")))</f>
        <v/>
      </c>
      <c r="L3148" s="129" t="n">
        <v>40781</v>
      </c>
    </row>
    <row r="3149">
      <c r="A3149" s="122" t="n">
        <v>16642</v>
      </c>
      <c r="B3149" s="122" t="inlineStr">
        <is>
          <t>United Kingdom</t>
        </is>
      </c>
      <c r="C3149" s="122" t="n">
        <v>5</v>
      </c>
      <c r="D3149" s="122" t="n">
        <v>2</v>
      </c>
      <c r="E3149" s="123" t="n">
        <v>688.33</v>
      </c>
      <c r="F3149" s="124">
        <f>IF(C3149&lt;=30,5,IF(C3149&lt;=60,4,IF(C3149&lt;=120,3,IF(C3149&lt;=200,2,1))))</f>
        <v/>
      </c>
      <c r="G3149" s="124">
        <f>IF(D3149&gt;=20,5,IF(D3149&gt;=10,4,IF(D3149&gt;=5,3,IF(D3149&gt;=2,2,1))))</f>
        <v/>
      </c>
      <c r="H3149" s="124">
        <f>IF(E3149&gt;=5000,5,IF(E3149&gt;=2000,4,IF(E3149&gt;=800,3,IF(E3149&gt;=300,2,1))))</f>
        <v/>
      </c>
      <c r="I3149" s="122">
        <f>TEXT(F3149,"0")&amp;TEXT(G3149,"0")&amp;TEXT(H3149,"0")</f>
        <v/>
      </c>
      <c r="J3149" s="122">
        <f>IFERROR(XLOOKUP(I3149,'Segment Map'!A:A,'Segment Map'!B:B,"Need Attention"),"Need Attention")</f>
        <v/>
      </c>
      <c r="K3149" s="122">
        <f>IF(E3149&gt;=5000,"🏆 Platinum",IF(E3149&gt;=2000,"🥇 Gold",IF(E3149&gt;=800,"🥈 Silver","🥉 Bronze")))</f>
        <v/>
      </c>
      <c r="L3149" s="125" t="n">
        <v>40882</v>
      </c>
    </row>
    <row r="3150">
      <c r="A3150" s="126" t="n">
        <v>16643</v>
      </c>
      <c r="B3150" s="126" t="inlineStr">
        <is>
          <t>United Kingdom</t>
        </is>
      </c>
      <c r="C3150" s="126" t="n">
        <v>246</v>
      </c>
      <c r="D3150" s="126" t="n">
        <v>1</v>
      </c>
      <c r="E3150" s="127" t="n">
        <v>487.51</v>
      </c>
      <c r="F3150" s="128">
        <f>IF(C3150&lt;=30,5,IF(C3150&lt;=60,4,IF(C3150&lt;=120,3,IF(C3150&lt;=200,2,1))))</f>
        <v/>
      </c>
      <c r="G3150" s="128">
        <f>IF(D3150&gt;=20,5,IF(D3150&gt;=10,4,IF(D3150&gt;=5,3,IF(D3150&gt;=2,2,1))))</f>
        <v/>
      </c>
      <c r="H3150" s="128">
        <f>IF(E3150&gt;=5000,5,IF(E3150&gt;=2000,4,IF(E3150&gt;=800,3,IF(E3150&gt;=300,2,1))))</f>
        <v/>
      </c>
      <c r="I3150" s="126">
        <f>TEXT(F3150,"0")&amp;TEXT(G3150,"0")&amp;TEXT(H3150,"0")</f>
        <v/>
      </c>
      <c r="J3150" s="126">
        <f>IFERROR(XLOOKUP(I3150,'Segment Map'!A:A,'Segment Map'!B:B,"Need Attention"),"Need Attention")</f>
        <v/>
      </c>
      <c r="K3150" s="126">
        <f>IF(E3150&gt;=5000,"🏆 Platinum",IF(E3150&gt;=2000,"🥇 Gold",IF(E3150&gt;=800,"🥈 Silver","🥉 Bronze")))</f>
        <v/>
      </c>
      <c r="L3150" s="129" t="n">
        <v>40641</v>
      </c>
    </row>
    <row r="3151">
      <c r="A3151" s="122" t="n">
        <v>16644</v>
      </c>
      <c r="B3151" s="122" t="inlineStr">
        <is>
          <t>United Kingdom</t>
        </is>
      </c>
      <c r="C3151" s="122" t="n">
        <v>178</v>
      </c>
      <c r="D3151" s="122" t="n">
        <v>2</v>
      </c>
      <c r="E3151" s="123" t="n">
        <v>833.78</v>
      </c>
      <c r="F3151" s="124">
        <f>IF(C3151&lt;=30,5,IF(C3151&lt;=60,4,IF(C3151&lt;=120,3,IF(C3151&lt;=200,2,1))))</f>
        <v/>
      </c>
      <c r="G3151" s="124">
        <f>IF(D3151&gt;=20,5,IF(D3151&gt;=10,4,IF(D3151&gt;=5,3,IF(D3151&gt;=2,2,1))))</f>
        <v/>
      </c>
      <c r="H3151" s="124">
        <f>IF(E3151&gt;=5000,5,IF(E3151&gt;=2000,4,IF(E3151&gt;=800,3,IF(E3151&gt;=300,2,1))))</f>
        <v/>
      </c>
      <c r="I3151" s="122">
        <f>TEXT(F3151,"0")&amp;TEXT(G3151,"0")&amp;TEXT(H3151,"0")</f>
        <v/>
      </c>
      <c r="J3151" s="122">
        <f>IFERROR(XLOOKUP(I3151,'Segment Map'!A:A,'Segment Map'!B:B,"Need Attention"),"Need Attention")</f>
        <v/>
      </c>
      <c r="K3151" s="122">
        <f>IF(E3151&gt;=5000,"🏆 Platinum",IF(E3151&gt;=2000,"🥇 Gold",IF(E3151&gt;=800,"🥈 Silver","🥉 Bronze")))</f>
        <v/>
      </c>
      <c r="L3151" s="125" t="n">
        <v>40709</v>
      </c>
    </row>
    <row r="3152">
      <c r="A3152" s="126" t="n">
        <v>16647</v>
      </c>
      <c r="B3152" s="126" t="inlineStr">
        <is>
          <t>United Kingdom</t>
        </is>
      </c>
      <c r="C3152" s="126" t="n">
        <v>170</v>
      </c>
      <c r="D3152" s="126" t="n">
        <v>2</v>
      </c>
      <c r="E3152" s="127" t="n">
        <v>214.06</v>
      </c>
      <c r="F3152" s="128">
        <f>IF(C3152&lt;=30,5,IF(C3152&lt;=60,4,IF(C3152&lt;=120,3,IF(C3152&lt;=200,2,1))))</f>
        <v/>
      </c>
      <c r="G3152" s="128">
        <f>IF(D3152&gt;=20,5,IF(D3152&gt;=10,4,IF(D3152&gt;=5,3,IF(D3152&gt;=2,2,1))))</f>
        <v/>
      </c>
      <c r="H3152" s="128">
        <f>IF(E3152&gt;=5000,5,IF(E3152&gt;=2000,4,IF(E3152&gt;=800,3,IF(E3152&gt;=300,2,1))))</f>
        <v/>
      </c>
      <c r="I3152" s="126">
        <f>TEXT(F3152,"0")&amp;TEXT(G3152,"0")&amp;TEXT(H3152,"0")</f>
        <v/>
      </c>
      <c r="J3152" s="126">
        <f>IFERROR(XLOOKUP(I3152,'Segment Map'!A:A,'Segment Map'!B:B,"Need Attention"),"Need Attention")</f>
        <v/>
      </c>
      <c r="K3152" s="126">
        <f>IF(E3152&gt;=5000,"🏆 Platinum",IF(E3152&gt;=2000,"🥇 Gold",IF(E3152&gt;=800,"🥈 Silver","🥉 Bronze")))</f>
        <v/>
      </c>
      <c r="L3152" s="129" t="n">
        <v>40717</v>
      </c>
    </row>
    <row r="3153">
      <c r="A3153" s="122" t="n">
        <v>16648</v>
      </c>
      <c r="B3153" s="122" t="inlineStr">
        <is>
          <t>United Kingdom</t>
        </is>
      </c>
      <c r="C3153" s="122" t="n">
        <v>43</v>
      </c>
      <c r="D3153" s="122" t="n">
        <v>1</v>
      </c>
      <c r="E3153" s="123" t="n">
        <v>290.66</v>
      </c>
      <c r="F3153" s="124">
        <f>IF(C3153&lt;=30,5,IF(C3153&lt;=60,4,IF(C3153&lt;=120,3,IF(C3153&lt;=200,2,1))))</f>
        <v/>
      </c>
      <c r="G3153" s="124">
        <f>IF(D3153&gt;=20,5,IF(D3153&gt;=10,4,IF(D3153&gt;=5,3,IF(D3153&gt;=2,2,1))))</f>
        <v/>
      </c>
      <c r="H3153" s="124">
        <f>IF(E3153&gt;=5000,5,IF(E3153&gt;=2000,4,IF(E3153&gt;=800,3,IF(E3153&gt;=300,2,1))))</f>
        <v/>
      </c>
      <c r="I3153" s="122">
        <f>TEXT(F3153,"0")&amp;TEXT(G3153,"0")&amp;TEXT(H3153,"0")</f>
        <v/>
      </c>
      <c r="J3153" s="122">
        <f>IFERROR(XLOOKUP(I3153,'Segment Map'!A:A,'Segment Map'!B:B,"Need Attention"),"Need Attention")</f>
        <v/>
      </c>
      <c r="K3153" s="122">
        <f>IF(E3153&gt;=5000,"🏆 Platinum",IF(E3153&gt;=2000,"🥇 Gold",IF(E3153&gt;=800,"🥈 Silver","🥉 Bronze")))</f>
        <v/>
      </c>
      <c r="L3153" s="125" t="n">
        <v>40844</v>
      </c>
    </row>
    <row r="3154">
      <c r="A3154" s="126" t="n">
        <v>16650</v>
      </c>
      <c r="B3154" s="126" t="inlineStr">
        <is>
          <t>United Kingdom</t>
        </is>
      </c>
      <c r="C3154" s="126" t="n">
        <v>72</v>
      </c>
      <c r="D3154" s="126" t="n">
        <v>1</v>
      </c>
      <c r="E3154" s="127" t="n">
        <v>518.42</v>
      </c>
      <c r="F3154" s="128">
        <f>IF(C3154&lt;=30,5,IF(C3154&lt;=60,4,IF(C3154&lt;=120,3,IF(C3154&lt;=200,2,1))))</f>
        <v/>
      </c>
      <c r="G3154" s="128">
        <f>IF(D3154&gt;=20,5,IF(D3154&gt;=10,4,IF(D3154&gt;=5,3,IF(D3154&gt;=2,2,1))))</f>
        <v/>
      </c>
      <c r="H3154" s="128">
        <f>IF(E3154&gt;=5000,5,IF(E3154&gt;=2000,4,IF(E3154&gt;=800,3,IF(E3154&gt;=300,2,1))))</f>
        <v/>
      </c>
      <c r="I3154" s="126">
        <f>TEXT(F3154,"0")&amp;TEXT(G3154,"0")&amp;TEXT(H3154,"0")</f>
        <v/>
      </c>
      <c r="J3154" s="126">
        <f>IFERROR(XLOOKUP(I3154,'Segment Map'!A:A,'Segment Map'!B:B,"Need Attention"),"Need Attention")</f>
        <v/>
      </c>
      <c r="K3154" s="126">
        <f>IF(E3154&gt;=5000,"🏆 Platinum",IF(E3154&gt;=2000,"🥇 Gold",IF(E3154&gt;=800,"🥈 Silver","🥉 Bronze")))</f>
        <v/>
      </c>
      <c r="L3154" s="129" t="n">
        <v>40815</v>
      </c>
    </row>
    <row r="3155">
      <c r="A3155" s="122" t="n">
        <v>16652</v>
      </c>
      <c r="B3155" s="122" t="inlineStr">
        <is>
          <t>United Kingdom</t>
        </is>
      </c>
      <c r="C3155" s="122" t="n">
        <v>59</v>
      </c>
      <c r="D3155" s="122" t="n">
        <v>7</v>
      </c>
      <c r="E3155" s="123" t="n">
        <v>6773.97</v>
      </c>
      <c r="F3155" s="124">
        <f>IF(C3155&lt;=30,5,IF(C3155&lt;=60,4,IF(C3155&lt;=120,3,IF(C3155&lt;=200,2,1))))</f>
        <v/>
      </c>
      <c r="G3155" s="124">
        <f>IF(D3155&gt;=20,5,IF(D3155&gt;=10,4,IF(D3155&gt;=5,3,IF(D3155&gt;=2,2,1))))</f>
        <v/>
      </c>
      <c r="H3155" s="124">
        <f>IF(E3155&gt;=5000,5,IF(E3155&gt;=2000,4,IF(E3155&gt;=800,3,IF(E3155&gt;=300,2,1))))</f>
        <v/>
      </c>
      <c r="I3155" s="122">
        <f>TEXT(F3155,"0")&amp;TEXT(G3155,"0")&amp;TEXT(H3155,"0")</f>
        <v/>
      </c>
      <c r="J3155" s="122">
        <f>IFERROR(XLOOKUP(I3155,'Segment Map'!A:A,'Segment Map'!B:B,"Need Attention"),"Need Attention")</f>
        <v/>
      </c>
      <c r="K3155" s="122">
        <f>IF(E3155&gt;=5000,"🏆 Platinum",IF(E3155&gt;=2000,"🥇 Gold",IF(E3155&gt;=800,"🥈 Silver","🥉 Bronze")))</f>
        <v/>
      </c>
      <c r="L3155" s="125" t="n">
        <v>40828</v>
      </c>
    </row>
    <row r="3156">
      <c r="A3156" s="126" t="n">
        <v>16653</v>
      </c>
      <c r="B3156" s="126" t="inlineStr">
        <is>
          <t>United Kingdom</t>
        </is>
      </c>
      <c r="C3156" s="126" t="n">
        <v>17</v>
      </c>
      <c r="D3156" s="126" t="n">
        <v>2</v>
      </c>
      <c r="E3156" s="127" t="n">
        <v>1212.66</v>
      </c>
      <c r="F3156" s="128">
        <f>IF(C3156&lt;=30,5,IF(C3156&lt;=60,4,IF(C3156&lt;=120,3,IF(C3156&lt;=200,2,1))))</f>
        <v/>
      </c>
      <c r="G3156" s="128">
        <f>IF(D3156&gt;=20,5,IF(D3156&gt;=10,4,IF(D3156&gt;=5,3,IF(D3156&gt;=2,2,1))))</f>
        <v/>
      </c>
      <c r="H3156" s="128">
        <f>IF(E3156&gt;=5000,5,IF(E3156&gt;=2000,4,IF(E3156&gt;=800,3,IF(E3156&gt;=300,2,1))))</f>
        <v/>
      </c>
      <c r="I3156" s="126">
        <f>TEXT(F3156,"0")&amp;TEXT(G3156,"0")&amp;TEXT(H3156,"0")</f>
        <v/>
      </c>
      <c r="J3156" s="126">
        <f>IFERROR(XLOOKUP(I3156,'Segment Map'!A:A,'Segment Map'!B:B,"Need Attention"),"Need Attention")</f>
        <v/>
      </c>
      <c r="K3156" s="126">
        <f>IF(E3156&gt;=5000,"🏆 Platinum",IF(E3156&gt;=2000,"🥇 Gold",IF(E3156&gt;=800,"🥈 Silver","🥉 Bronze")))</f>
        <v/>
      </c>
      <c r="L3156" s="129" t="n">
        <v>40870</v>
      </c>
    </row>
    <row r="3157">
      <c r="A3157" s="122" t="n">
        <v>16654</v>
      </c>
      <c r="B3157" s="122" t="inlineStr">
        <is>
          <t>United Kingdom</t>
        </is>
      </c>
      <c r="C3157" s="122" t="n">
        <v>142</v>
      </c>
      <c r="D3157" s="122" t="n">
        <v>4</v>
      </c>
      <c r="E3157" s="123" t="n">
        <v>601.27</v>
      </c>
      <c r="F3157" s="124">
        <f>IF(C3157&lt;=30,5,IF(C3157&lt;=60,4,IF(C3157&lt;=120,3,IF(C3157&lt;=200,2,1))))</f>
        <v/>
      </c>
      <c r="G3157" s="124">
        <f>IF(D3157&gt;=20,5,IF(D3157&gt;=10,4,IF(D3157&gt;=5,3,IF(D3157&gt;=2,2,1))))</f>
        <v/>
      </c>
      <c r="H3157" s="124">
        <f>IF(E3157&gt;=5000,5,IF(E3157&gt;=2000,4,IF(E3157&gt;=800,3,IF(E3157&gt;=300,2,1))))</f>
        <v/>
      </c>
      <c r="I3157" s="122">
        <f>TEXT(F3157,"0")&amp;TEXT(G3157,"0")&amp;TEXT(H3157,"0")</f>
        <v/>
      </c>
      <c r="J3157" s="122">
        <f>IFERROR(XLOOKUP(I3157,'Segment Map'!A:A,'Segment Map'!B:B,"Need Attention"),"Need Attention")</f>
        <v/>
      </c>
      <c r="K3157" s="122">
        <f>IF(E3157&gt;=5000,"🏆 Platinum",IF(E3157&gt;=2000,"🥇 Gold",IF(E3157&gt;=800,"🥈 Silver","🥉 Bronze")))</f>
        <v/>
      </c>
      <c r="L3157" s="125" t="n">
        <v>40745</v>
      </c>
    </row>
    <row r="3158">
      <c r="A3158" s="126" t="n">
        <v>16655</v>
      </c>
      <c r="B3158" s="126" t="inlineStr">
        <is>
          <t>United Kingdom</t>
        </is>
      </c>
      <c r="C3158" s="126" t="n">
        <v>18</v>
      </c>
      <c r="D3158" s="126" t="n">
        <v>6</v>
      </c>
      <c r="E3158" s="127" t="n">
        <v>3794.52</v>
      </c>
      <c r="F3158" s="128">
        <f>IF(C3158&lt;=30,5,IF(C3158&lt;=60,4,IF(C3158&lt;=120,3,IF(C3158&lt;=200,2,1))))</f>
        <v/>
      </c>
      <c r="G3158" s="128">
        <f>IF(D3158&gt;=20,5,IF(D3158&gt;=10,4,IF(D3158&gt;=5,3,IF(D3158&gt;=2,2,1))))</f>
        <v/>
      </c>
      <c r="H3158" s="128">
        <f>IF(E3158&gt;=5000,5,IF(E3158&gt;=2000,4,IF(E3158&gt;=800,3,IF(E3158&gt;=300,2,1))))</f>
        <v/>
      </c>
      <c r="I3158" s="126">
        <f>TEXT(F3158,"0")&amp;TEXT(G3158,"0")&amp;TEXT(H3158,"0")</f>
        <v/>
      </c>
      <c r="J3158" s="126">
        <f>IFERROR(XLOOKUP(I3158,'Segment Map'!A:A,'Segment Map'!B:B,"Need Attention"),"Need Attention")</f>
        <v/>
      </c>
      <c r="K3158" s="126">
        <f>IF(E3158&gt;=5000,"🏆 Platinum",IF(E3158&gt;=2000,"🥇 Gold",IF(E3158&gt;=800,"🥈 Silver","🥉 Bronze")))</f>
        <v/>
      </c>
      <c r="L3158" s="129" t="n">
        <v>40869</v>
      </c>
    </row>
    <row r="3159">
      <c r="A3159" s="122" t="n">
        <v>16656</v>
      </c>
      <c r="B3159" s="122" t="inlineStr">
        <is>
          <t>United Kingdom</t>
        </is>
      </c>
      <c r="C3159" s="122" t="n">
        <v>23</v>
      </c>
      <c r="D3159" s="122" t="n">
        <v>15</v>
      </c>
      <c r="E3159" s="123" t="n">
        <v>8625.799999999999</v>
      </c>
      <c r="F3159" s="124">
        <f>IF(C3159&lt;=30,5,IF(C3159&lt;=60,4,IF(C3159&lt;=120,3,IF(C3159&lt;=200,2,1))))</f>
        <v/>
      </c>
      <c r="G3159" s="124">
        <f>IF(D3159&gt;=20,5,IF(D3159&gt;=10,4,IF(D3159&gt;=5,3,IF(D3159&gt;=2,2,1))))</f>
        <v/>
      </c>
      <c r="H3159" s="124">
        <f>IF(E3159&gt;=5000,5,IF(E3159&gt;=2000,4,IF(E3159&gt;=800,3,IF(E3159&gt;=300,2,1))))</f>
        <v/>
      </c>
      <c r="I3159" s="122">
        <f>TEXT(F3159,"0")&amp;TEXT(G3159,"0")&amp;TEXT(H3159,"0")</f>
        <v/>
      </c>
      <c r="J3159" s="122">
        <f>IFERROR(XLOOKUP(I3159,'Segment Map'!A:A,'Segment Map'!B:B,"Need Attention"),"Need Attention")</f>
        <v/>
      </c>
      <c r="K3159" s="122">
        <f>IF(E3159&gt;=5000,"🏆 Platinum",IF(E3159&gt;=2000,"🥇 Gold",IF(E3159&gt;=800,"🥈 Silver","🥉 Bronze")))</f>
        <v/>
      </c>
      <c r="L3159" s="125" t="n">
        <v>40864</v>
      </c>
    </row>
    <row r="3160">
      <c r="A3160" s="126" t="n">
        <v>16657</v>
      </c>
      <c r="B3160" s="126" t="inlineStr">
        <is>
          <t>United Kingdom</t>
        </is>
      </c>
      <c r="C3160" s="126" t="n">
        <v>10</v>
      </c>
      <c r="D3160" s="126" t="n">
        <v>4</v>
      </c>
      <c r="E3160" s="127" t="n">
        <v>933.62</v>
      </c>
      <c r="F3160" s="128">
        <f>IF(C3160&lt;=30,5,IF(C3160&lt;=60,4,IF(C3160&lt;=120,3,IF(C3160&lt;=200,2,1))))</f>
        <v/>
      </c>
      <c r="G3160" s="128">
        <f>IF(D3160&gt;=20,5,IF(D3160&gt;=10,4,IF(D3160&gt;=5,3,IF(D3160&gt;=2,2,1))))</f>
        <v/>
      </c>
      <c r="H3160" s="128">
        <f>IF(E3160&gt;=5000,5,IF(E3160&gt;=2000,4,IF(E3160&gt;=800,3,IF(E3160&gt;=300,2,1))))</f>
        <v/>
      </c>
      <c r="I3160" s="126">
        <f>TEXT(F3160,"0")&amp;TEXT(G3160,"0")&amp;TEXT(H3160,"0")</f>
        <v/>
      </c>
      <c r="J3160" s="126">
        <f>IFERROR(XLOOKUP(I3160,'Segment Map'!A:A,'Segment Map'!B:B,"Need Attention"),"Need Attention")</f>
        <v/>
      </c>
      <c r="K3160" s="126">
        <f>IF(E3160&gt;=5000,"🏆 Platinum",IF(E3160&gt;=2000,"🥇 Gold",IF(E3160&gt;=800,"🥈 Silver","🥉 Bronze")))</f>
        <v/>
      </c>
      <c r="L3160" s="129" t="n">
        <v>40877</v>
      </c>
    </row>
    <row r="3161">
      <c r="A3161" s="122" t="n">
        <v>16658</v>
      </c>
      <c r="B3161" s="122" t="inlineStr">
        <is>
          <t>United Kingdom</t>
        </is>
      </c>
      <c r="C3161" s="122" t="n">
        <v>369</v>
      </c>
      <c r="D3161" s="122" t="n">
        <v>1</v>
      </c>
      <c r="E3161" s="123" t="n">
        <v>123.24</v>
      </c>
      <c r="F3161" s="124">
        <f>IF(C3161&lt;=30,5,IF(C3161&lt;=60,4,IF(C3161&lt;=120,3,IF(C3161&lt;=200,2,1))))</f>
        <v/>
      </c>
      <c r="G3161" s="124">
        <f>IF(D3161&gt;=20,5,IF(D3161&gt;=10,4,IF(D3161&gt;=5,3,IF(D3161&gt;=2,2,1))))</f>
        <v/>
      </c>
      <c r="H3161" s="124">
        <f>IF(E3161&gt;=5000,5,IF(E3161&gt;=2000,4,IF(E3161&gt;=800,3,IF(E3161&gt;=300,2,1))))</f>
        <v/>
      </c>
      <c r="I3161" s="122">
        <f>TEXT(F3161,"0")&amp;TEXT(G3161,"0")&amp;TEXT(H3161,"0")</f>
        <v/>
      </c>
      <c r="J3161" s="122">
        <f>IFERROR(XLOOKUP(I3161,'Segment Map'!A:A,'Segment Map'!B:B,"Need Attention"),"Need Attention")</f>
        <v/>
      </c>
      <c r="K3161" s="122">
        <f>IF(E3161&gt;=5000,"🏆 Platinum",IF(E3161&gt;=2000,"🥇 Gold",IF(E3161&gt;=800,"🥈 Silver","🥉 Bronze")))</f>
        <v/>
      </c>
      <c r="L3161" s="125" t="n">
        <v>40518</v>
      </c>
    </row>
    <row r="3162">
      <c r="A3162" s="126" t="n">
        <v>16659</v>
      </c>
      <c r="B3162" s="126" t="inlineStr">
        <is>
          <t>United Kingdom</t>
        </is>
      </c>
      <c r="C3162" s="126" t="n">
        <v>190</v>
      </c>
      <c r="D3162" s="126" t="n">
        <v>1</v>
      </c>
      <c r="E3162" s="127" t="n">
        <v>39.12</v>
      </c>
      <c r="F3162" s="128">
        <f>IF(C3162&lt;=30,5,IF(C3162&lt;=60,4,IF(C3162&lt;=120,3,IF(C3162&lt;=200,2,1))))</f>
        <v/>
      </c>
      <c r="G3162" s="128">
        <f>IF(D3162&gt;=20,5,IF(D3162&gt;=10,4,IF(D3162&gt;=5,3,IF(D3162&gt;=2,2,1))))</f>
        <v/>
      </c>
      <c r="H3162" s="128">
        <f>IF(E3162&gt;=5000,5,IF(E3162&gt;=2000,4,IF(E3162&gt;=800,3,IF(E3162&gt;=300,2,1))))</f>
        <v/>
      </c>
      <c r="I3162" s="126">
        <f>TEXT(F3162,"0")&amp;TEXT(G3162,"0")&amp;TEXT(H3162,"0")</f>
        <v/>
      </c>
      <c r="J3162" s="126">
        <f>IFERROR(XLOOKUP(I3162,'Segment Map'!A:A,'Segment Map'!B:B,"Need Attention"),"Need Attention")</f>
        <v/>
      </c>
      <c r="K3162" s="126">
        <f>IF(E3162&gt;=5000,"🏆 Platinum",IF(E3162&gt;=2000,"🥇 Gold",IF(E3162&gt;=800,"🥈 Silver","🥉 Bronze")))</f>
        <v/>
      </c>
      <c r="L3162" s="129" t="n">
        <v>40697</v>
      </c>
    </row>
    <row r="3163">
      <c r="A3163" s="122" t="n">
        <v>16660</v>
      </c>
      <c r="B3163" s="122" t="inlineStr">
        <is>
          <t>United Kingdom</t>
        </is>
      </c>
      <c r="C3163" s="122" t="n">
        <v>17</v>
      </c>
      <c r="D3163" s="122" t="n">
        <v>4</v>
      </c>
      <c r="E3163" s="123" t="n">
        <v>1267.65</v>
      </c>
      <c r="F3163" s="124">
        <f>IF(C3163&lt;=30,5,IF(C3163&lt;=60,4,IF(C3163&lt;=120,3,IF(C3163&lt;=200,2,1))))</f>
        <v/>
      </c>
      <c r="G3163" s="124">
        <f>IF(D3163&gt;=20,5,IF(D3163&gt;=10,4,IF(D3163&gt;=5,3,IF(D3163&gt;=2,2,1))))</f>
        <v/>
      </c>
      <c r="H3163" s="124">
        <f>IF(E3163&gt;=5000,5,IF(E3163&gt;=2000,4,IF(E3163&gt;=800,3,IF(E3163&gt;=300,2,1))))</f>
        <v/>
      </c>
      <c r="I3163" s="122">
        <f>TEXT(F3163,"0")&amp;TEXT(G3163,"0")&amp;TEXT(H3163,"0")</f>
        <v/>
      </c>
      <c r="J3163" s="122">
        <f>IFERROR(XLOOKUP(I3163,'Segment Map'!A:A,'Segment Map'!B:B,"Need Attention"),"Need Attention")</f>
        <v/>
      </c>
      <c r="K3163" s="122">
        <f>IF(E3163&gt;=5000,"🏆 Platinum",IF(E3163&gt;=2000,"🥇 Gold",IF(E3163&gt;=800,"🥈 Silver","🥉 Bronze")))</f>
        <v/>
      </c>
      <c r="L3163" s="125" t="n">
        <v>40870</v>
      </c>
    </row>
    <row r="3164">
      <c r="A3164" s="126" t="n">
        <v>16665</v>
      </c>
      <c r="B3164" s="126" t="inlineStr">
        <is>
          <t>United Kingdom</t>
        </is>
      </c>
      <c r="C3164" s="126" t="n">
        <v>363</v>
      </c>
      <c r="D3164" s="126" t="n">
        <v>1</v>
      </c>
      <c r="E3164" s="127" t="n">
        <v>135.4</v>
      </c>
      <c r="F3164" s="128">
        <f>IF(C3164&lt;=30,5,IF(C3164&lt;=60,4,IF(C3164&lt;=120,3,IF(C3164&lt;=200,2,1))))</f>
        <v/>
      </c>
      <c r="G3164" s="128">
        <f>IF(D3164&gt;=20,5,IF(D3164&gt;=10,4,IF(D3164&gt;=5,3,IF(D3164&gt;=2,2,1))))</f>
        <v/>
      </c>
      <c r="H3164" s="128">
        <f>IF(E3164&gt;=5000,5,IF(E3164&gt;=2000,4,IF(E3164&gt;=800,3,IF(E3164&gt;=300,2,1))))</f>
        <v/>
      </c>
      <c r="I3164" s="126">
        <f>TEXT(F3164,"0")&amp;TEXT(G3164,"0")&amp;TEXT(H3164,"0")</f>
        <v/>
      </c>
      <c r="J3164" s="126">
        <f>IFERROR(XLOOKUP(I3164,'Segment Map'!A:A,'Segment Map'!B:B,"Need Attention"),"Need Attention")</f>
        <v/>
      </c>
      <c r="K3164" s="126">
        <f>IF(E3164&gt;=5000,"🏆 Platinum",IF(E3164&gt;=2000,"🥇 Gold",IF(E3164&gt;=800,"🥈 Silver","🥉 Bronze")))</f>
        <v/>
      </c>
      <c r="L3164" s="129" t="n">
        <v>40524</v>
      </c>
    </row>
    <row r="3165">
      <c r="A3165" s="122" t="n">
        <v>16666</v>
      </c>
      <c r="B3165" s="122" t="inlineStr">
        <is>
          <t>United Kingdom</t>
        </is>
      </c>
      <c r="C3165" s="122" t="n">
        <v>20</v>
      </c>
      <c r="D3165" s="122" t="n">
        <v>1</v>
      </c>
      <c r="E3165" s="123" t="n">
        <v>118.98</v>
      </c>
      <c r="F3165" s="124">
        <f>IF(C3165&lt;=30,5,IF(C3165&lt;=60,4,IF(C3165&lt;=120,3,IF(C3165&lt;=200,2,1))))</f>
        <v/>
      </c>
      <c r="G3165" s="124">
        <f>IF(D3165&gt;=20,5,IF(D3165&gt;=10,4,IF(D3165&gt;=5,3,IF(D3165&gt;=2,2,1))))</f>
        <v/>
      </c>
      <c r="H3165" s="124">
        <f>IF(E3165&gt;=5000,5,IF(E3165&gt;=2000,4,IF(E3165&gt;=800,3,IF(E3165&gt;=300,2,1))))</f>
        <v/>
      </c>
      <c r="I3165" s="122">
        <f>TEXT(F3165,"0")&amp;TEXT(G3165,"0")&amp;TEXT(H3165,"0")</f>
        <v/>
      </c>
      <c r="J3165" s="122">
        <f>IFERROR(XLOOKUP(I3165,'Segment Map'!A:A,'Segment Map'!B:B,"Need Attention"),"Need Attention")</f>
        <v/>
      </c>
      <c r="K3165" s="122">
        <f>IF(E3165&gt;=5000,"🏆 Platinum",IF(E3165&gt;=2000,"🥇 Gold",IF(E3165&gt;=800,"🥈 Silver","🥉 Bronze")))</f>
        <v/>
      </c>
      <c r="L3165" s="125" t="n">
        <v>40867</v>
      </c>
    </row>
    <row r="3166">
      <c r="A3166" s="126" t="n">
        <v>16667</v>
      </c>
      <c r="B3166" s="126" t="inlineStr">
        <is>
          <t>United Kingdom</t>
        </is>
      </c>
      <c r="C3166" s="126" t="n">
        <v>69</v>
      </c>
      <c r="D3166" s="126" t="n">
        <v>2</v>
      </c>
      <c r="E3166" s="127" t="n">
        <v>570.13</v>
      </c>
      <c r="F3166" s="128">
        <f>IF(C3166&lt;=30,5,IF(C3166&lt;=60,4,IF(C3166&lt;=120,3,IF(C3166&lt;=200,2,1))))</f>
        <v/>
      </c>
      <c r="G3166" s="128">
        <f>IF(D3166&gt;=20,5,IF(D3166&gt;=10,4,IF(D3166&gt;=5,3,IF(D3166&gt;=2,2,1))))</f>
        <v/>
      </c>
      <c r="H3166" s="128">
        <f>IF(E3166&gt;=5000,5,IF(E3166&gt;=2000,4,IF(E3166&gt;=800,3,IF(E3166&gt;=300,2,1))))</f>
        <v/>
      </c>
      <c r="I3166" s="126">
        <f>TEXT(F3166,"0")&amp;TEXT(G3166,"0")&amp;TEXT(H3166,"0")</f>
        <v/>
      </c>
      <c r="J3166" s="126">
        <f>IFERROR(XLOOKUP(I3166,'Segment Map'!A:A,'Segment Map'!B:B,"Need Attention"),"Need Attention")</f>
        <v/>
      </c>
      <c r="K3166" s="126">
        <f>IF(E3166&gt;=5000,"🏆 Platinum",IF(E3166&gt;=2000,"🥇 Gold",IF(E3166&gt;=800,"🥈 Silver","🥉 Bronze")))</f>
        <v/>
      </c>
      <c r="L3166" s="129" t="n">
        <v>40818</v>
      </c>
    </row>
    <row r="3167">
      <c r="A3167" s="122" t="n">
        <v>16668</v>
      </c>
      <c r="B3167" s="122" t="inlineStr">
        <is>
          <t>United Kingdom</t>
        </is>
      </c>
      <c r="C3167" s="122" t="n">
        <v>16</v>
      </c>
      <c r="D3167" s="122" t="n">
        <v>6</v>
      </c>
      <c r="E3167" s="123" t="n">
        <v>306.72</v>
      </c>
      <c r="F3167" s="124">
        <f>IF(C3167&lt;=30,5,IF(C3167&lt;=60,4,IF(C3167&lt;=120,3,IF(C3167&lt;=200,2,1))))</f>
        <v/>
      </c>
      <c r="G3167" s="124">
        <f>IF(D3167&gt;=20,5,IF(D3167&gt;=10,4,IF(D3167&gt;=5,3,IF(D3167&gt;=2,2,1))))</f>
        <v/>
      </c>
      <c r="H3167" s="124">
        <f>IF(E3167&gt;=5000,5,IF(E3167&gt;=2000,4,IF(E3167&gt;=800,3,IF(E3167&gt;=300,2,1))))</f>
        <v/>
      </c>
      <c r="I3167" s="122">
        <f>TEXT(F3167,"0")&amp;TEXT(G3167,"0")&amp;TEXT(H3167,"0")</f>
        <v/>
      </c>
      <c r="J3167" s="122">
        <f>IFERROR(XLOOKUP(I3167,'Segment Map'!A:A,'Segment Map'!B:B,"Need Attention"),"Need Attention")</f>
        <v/>
      </c>
      <c r="K3167" s="122">
        <f>IF(E3167&gt;=5000,"🏆 Platinum",IF(E3167&gt;=2000,"🥇 Gold",IF(E3167&gt;=800,"🥈 Silver","🥉 Bronze")))</f>
        <v/>
      </c>
      <c r="L3167" s="125" t="n">
        <v>40871</v>
      </c>
    </row>
    <row r="3168">
      <c r="A3168" s="126" t="n">
        <v>16669</v>
      </c>
      <c r="B3168" s="126" t="inlineStr">
        <is>
          <t>United Kingdom</t>
        </is>
      </c>
      <c r="C3168" s="126" t="n">
        <v>24</v>
      </c>
      <c r="D3168" s="126" t="n">
        <v>3</v>
      </c>
      <c r="E3168" s="127" t="n">
        <v>1374.87</v>
      </c>
      <c r="F3168" s="128">
        <f>IF(C3168&lt;=30,5,IF(C3168&lt;=60,4,IF(C3168&lt;=120,3,IF(C3168&lt;=200,2,1))))</f>
        <v/>
      </c>
      <c r="G3168" s="128">
        <f>IF(D3168&gt;=20,5,IF(D3168&gt;=10,4,IF(D3168&gt;=5,3,IF(D3168&gt;=2,2,1))))</f>
        <v/>
      </c>
      <c r="H3168" s="128">
        <f>IF(E3168&gt;=5000,5,IF(E3168&gt;=2000,4,IF(E3168&gt;=800,3,IF(E3168&gt;=300,2,1))))</f>
        <v/>
      </c>
      <c r="I3168" s="126">
        <f>TEXT(F3168,"0")&amp;TEXT(G3168,"0")&amp;TEXT(H3168,"0")</f>
        <v/>
      </c>
      <c r="J3168" s="126">
        <f>IFERROR(XLOOKUP(I3168,'Segment Map'!A:A,'Segment Map'!B:B,"Need Attention"),"Need Attention")</f>
        <v/>
      </c>
      <c r="K3168" s="126">
        <f>IF(E3168&gt;=5000,"🏆 Platinum",IF(E3168&gt;=2000,"🥇 Gold",IF(E3168&gt;=800,"🥈 Silver","🥉 Bronze")))</f>
        <v/>
      </c>
      <c r="L3168" s="129" t="n">
        <v>40863</v>
      </c>
    </row>
    <row r="3169">
      <c r="A3169" s="122" t="n">
        <v>16670</v>
      </c>
      <c r="B3169" s="122" t="inlineStr">
        <is>
          <t>United Kingdom</t>
        </is>
      </c>
      <c r="C3169" s="122" t="n">
        <v>17</v>
      </c>
      <c r="D3169" s="122" t="n">
        <v>11</v>
      </c>
      <c r="E3169" s="123" t="n">
        <v>4095.9</v>
      </c>
      <c r="F3169" s="124">
        <f>IF(C3169&lt;=30,5,IF(C3169&lt;=60,4,IF(C3169&lt;=120,3,IF(C3169&lt;=200,2,1))))</f>
        <v/>
      </c>
      <c r="G3169" s="124">
        <f>IF(D3169&gt;=20,5,IF(D3169&gt;=10,4,IF(D3169&gt;=5,3,IF(D3169&gt;=2,2,1))))</f>
        <v/>
      </c>
      <c r="H3169" s="124">
        <f>IF(E3169&gt;=5000,5,IF(E3169&gt;=2000,4,IF(E3169&gt;=800,3,IF(E3169&gt;=300,2,1))))</f>
        <v/>
      </c>
      <c r="I3169" s="122">
        <f>TEXT(F3169,"0")&amp;TEXT(G3169,"0")&amp;TEXT(H3169,"0")</f>
        <v/>
      </c>
      <c r="J3169" s="122">
        <f>IFERROR(XLOOKUP(I3169,'Segment Map'!A:A,'Segment Map'!B:B,"Need Attention"),"Need Attention")</f>
        <v/>
      </c>
      <c r="K3169" s="122">
        <f>IF(E3169&gt;=5000,"🏆 Platinum",IF(E3169&gt;=2000,"🥇 Gold",IF(E3169&gt;=800,"🥈 Silver","🥉 Bronze")))</f>
        <v/>
      </c>
      <c r="L3169" s="125" t="n">
        <v>40870</v>
      </c>
    </row>
    <row r="3170">
      <c r="A3170" s="126" t="n">
        <v>16671</v>
      </c>
      <c r="B3170" s="126" t="inlineStr">
        <is>
          <t>United Kingdom</t>
        </is>
      </c>
      <c r="C3170" s="126" t="n">
        <v>29</v>
      </c>
      <c r="D3170" s="126" t="n">
        <v>3</v>
      </c>
      <c r="E3170" s="127" t="n">
        <v>1692.27</v>
      </c>
      <c r="F3170" s="128">
        <f>IF(C3170&lt;=30,5,IF(C3170&lt;=60,4,IF(C3170&lt;=120,3,IF(C3170&lt;=200,2,1))))</f>
        <v/>
      </c>
      <c r="G3170" s="128">
        <f>IF(D3170&gt;=20,5,IF(D3170&gt;=10,4,IF(D3170&gt;=5,3,IF(D3170&gt;=2,2,1))))</f>
        <v/>
      </c>
      <c r="H3170" s="128">
        <f>IF(E3170&gt;=5000,5,IF(E3170&gt;=2000,4,IF(E3170&gt;=800,3,IF(E3170&gt;=300,2,1))))</f>
        <v/>
      </c>
      <c r="I3170" s="126">
        <f>TEXT(F3170,"0")&amp;TEXT(G3170,"0")&amp;TEXT(H3170,"0")</f>
        <v/>
      </c>
      <c r="J3170" s="126">
        <f>IFERROR(XLOOKUP(I3170,'Segment Map'!A:A,'Segment Map'!B:B,"Need Attention"),"Need Attention")</f>
        <v/>
      </c>
      <c r="K3170" s="126">
        <f>IF(E3170&gt;=5000,"🏆 Platinum",IF(E3170&gt;=2000,"🥇 Gold",IF(E3170&gt;=800,"🥈 Silver","🥉 Bronze")))</f>
        <v/>
      </c>
      <c r="L3170" s="129" t="n">
        <v>40858</v>
      </c>
    </row>
    <row r="3171">
      <c r="A3171" s="122" t="n">
        <v>16672</v>
      </c>
      <c r="B3171" s="122" t="inlineStr">
        <is>
          <t>United Kingdom</t>
        </is>
      </c>
      <c r="C3171" s="122" t="n">
        <v>3</v>
      </c>
      <c r="D3171" s="122" t="n">
        <v>20</v>
      </c>
      <c r="E3171" s="123" t="n">
        <v>8134.94</v>
      </c>
      <c r="F3171" s="124">
        <f>IF(C3171&lt;=30,5,IF(C3171&lt;=60,4,IF(C3171&lt;=120,3,IF(C3171&lt;=200,2,1))))</f>
        <v/>
      </c>
      <c r="G3171" s="124">
        <f>IF(D3171&gt;=20,5,IF(D3171&gt;=10,4,IF(D3171&gt;=5,3,IF(D3171&gt;=2,2,1))))</f>
        <v/>
      </c>
      <c r="H3171" s="124">
        <f>IF(E3171&gt;=5000,5,IF(E3171&gt;=2000,4,IF(E3171&gt;=800,3,IF(E3171&gt;=300,2,1))))</f>
        <v/>
      </c>
      <c r="I3171" s="122">
        <f>TEXT(F3171,"0")&amp;TEXT(G3171,"0")&amp;TEXT(H3171,"0")</f>
        <v/>
      </c>
      <c r="J3171" s="122">
        <f>IFERROR(XLOOKUP(I3171,'Segment Map'!A:A,'Segment Map'!B:B,"Need Attention"),"Need Attention")</f>
        <v/>
      </c>
      <c r="K3171" s="122">
        <f>IF(E3171&gt;=5000,"🏆 Platinum",IF(E3171&gt;=2000,"🥇 Gold",IF(E3171&gt;=800,"🥈 Silver","🥉 Bronze")))</f>
        <v/>
      </c>
      <c r="L3171" s="125" t="n">
        <v>40884</v>
      </c>
    </row>
    <row r="3172">
      <c r="A3172" s="126" t="n">
        <v>16674</v>
      </c>
      <c r="B3172" s="126" t="inlineStr">
        <is>
          <t>United Kingdom</t>
        </is>
      </c>
      <c r="C3172" s="126" t="n">
        <v>55</v>
      </c>
      <c r="D3172" s="126" t="n">
        <v>2</v>
      </c>
      <c r="E3172" s="127" t="n">
        <v>319.61</v>
      </c>
      <c r="F3172" s="128">
        <f>IF(C3172&lt;=30,5,IF(C3172&lt;=60,4,IF(C3172&lt;=120,3,IF(C3172&lt;=200,2,1))))</f>
        <v/>
      </c>
      <c r="G3172" s="128">
        <f>IF(D3172&gt;=20,5,IF(D3172&gt;=10,4,IF(D3172&gt;=5,3,IF(D3172&gt;=2,2,1))))</f>
        <v/>
      </c>
      <c r="H3172" s="128">
        <f>IF(E3172&gt;=5000,5,IF(E3172&gt;=2000,4,IF(E3172&gt;=800,3,IF(E3172&gt;=300,2,1))))</f>
        <v/>
      </c>
      <c r="I3172" s="126">
        <f>TEXT(F3172,"0")&amp;TEXT(G3172,"0")&amp;TEXT(H3172,"0")</f>
        <v/>
      </c>
      <c r="J3172" s="126">
        <f>IFERROR(XLOOKUP(I3172,'Segment Map'!A:A,'Segment Map'!B:B,"Need Attention"),"Need Attention")</f>
        <v/>
      </c>
      <c r="K3172" s="126">
        <f>IF(E3172&gt;=5000,"🏆 Platinum",IF(E3172&gt;=2000,"🥇 Gold",IF(E3172&gt;=800,"🥈 Silver","🥉 Bronze")))</f>
        <v/>
      </c>
      <c r="L3172" s="129" t="n">
        <v>40832</v>
      </c>
    </row>
    <row r="3173">
      <c r="A3173" s="122" t="n">
        <v>16676</v>
      </c>
      <c r="B3173" s="122" t="inlineStr">
        <is>
          <t>United Kingdom</t>
        </is>
      </c>
      <c r="C3173" s="122" t="n">
        <v>34</v>
      </c>
      <c r="D3173" s="122" t="n">
        <v>4</v>
      </c>
      <c r="E3173" s="123" t="n">
        <v>1592.12</v>
      </c>
      <c r="F3173" s="124">
        <f>IF(C3173&lt;=30,5,IF(C3173&lt;=60,4,IF(C3173&lt;=120,3,IF(C3173&lt;=200,2,1))))</f>
        <v/>
      </c>
      <c r="G3173" s="124">
        <f>IF(D3173&gt;=20,5,IF(D3173&gt;=10,4,IF(D3173&gt;=5,3,IF(D3173&gt;=2,2,1))))</f>
        <v/>
      </c>
      <c r="H3173" s="124">
        <f>IF(E3173&gt;=5000,5,IF(E3173&gt;=2000,4,IF(E3173&gt;=800,3,IF(E3173&gt;=300,2,1))))</f>
        <v/>
      </c>
      <c r="I3173" s="122">
        <f>TEXT(F3173,"0")&amp;TEXT(G3173,"0")&amp;TEXT(H3173,"0")</f>
        <v/>
      </c>
      <c r="J3173" s="122">
        <f>IFERROR(XLOOKUP(I3173,'Segment Map'!A:A,'Segment Map'!B:B,"Need Attention"),"Need Attention")</f>
        <v/>
      </c>
      <c r="K3173" s="122">
        <f>IF(E3173&gt;=5000,"🏆 Platinum",IF(E3173&gt;=2000,"🥇 Gold",IF(E3173&gt;=800,"🥈 Silver","🥉 Bronze")))</f>
        <v/>
      </c>
      <c r="L3173" s="125" t="n">
        <v>40853</v>
      </c>
    </row>
    <row r="3174">
      <c r="A3174" s="126" t="n">
        <v>16678</v>
      </c>
      <c r="B3174" s="126" t="inlineStr">
        <is>
          <t>United Kingdom</t>
        </is>
      </c>
      <c r="C3174" s="126" t="n">
        <v>3</v>
      </c>
      <c r="D3174" s="126" t="n">
        <v>12</v>
      </c>
      <c r="E3174" s="127" t="n">
        <v>3109.99</v>
      </c>
      <c r="F3174" s="128">
        <f>IF(C3174&lt;=30,5,IF(C3174&lt;=60,4,IF(C3174&lt;=120,3,IF(C3174&lt;=200,2,1))))</f>
        <v/>
      </c>
      <c r="G3174" s="128">
        <f>IF(D3174&gt;=20,5,IF(D3174&gt;=10,4,IF(D3174&gt;=5,3,IF(D3174&gt;=2,2,1))))</f>
        <v/>
      </c>
      <c r="H3174" s="128">
        <f>IF(E3174&gt;=5000,5,IF(E3174&gt;=2000,4,IF(E3174&gt;=800,3,IF(E3174&gt;=300,2,1))))</f>
        <v/>
      </c>
      <c r="I3174" s="126">
        <f>TEXT(F3174,"0")&amp;TEXT(G3174,"0")&amp;TEXT(H3174,"0")</f>
        <v/>
      </c>
      <c r="J3174" s="126">
        <f>IFERROR(XLOOKUP(I3174,'Segment Map'!A:A,'Segment Map'!B:B,"Need Attention"),"Need Attention")</f>
        <v/>
      </c>
      <c r="K3174" s="126">
        <f>IF(E3174&gt;=5000,"🏆 Platinum",IF(E3174&gt;=2000,"🥇 Gold",IF(E3174&gt;=800,"🥈 Silver","🥉 Bronze")))</f>
        <v/>
      </c>
      <c r="L3174" s="129" t="n">
        <v>40884</v>
      </c>
    </row>
    <row r="3175">
      <c r="A3175" s="122" t="n">
        <v>16679</v>
      </c>
      <c r="B3175" s="122" t="inlineStr">
        <is>
          <t>United Kingdom</t>
        </is>
      </c>
      <c r="C3175" s="122" t="n">
        <v>367</v>
      </c>
      <c r="D3175" s="122" t="n">
        <v>1</v>
      </c>
      <c r="E3175" s="123" t="n">
        <v>129.75</v>
      </c>
      <c r="F3175" s="124">
        <f>IF(C3175&lt;=30,5,IF(C3175&lt;=60,4,IF(C3175&lt;=120,3,IF(C3175&lt;=200,2,1))))</f>
        <v/>
      </c>
      <c r="G3175" s="124">
        <f>IF(D3175&gt;=20,5,IF(D3175&gt;=10,4,IF(D3175&gt;=5,3,IF(D3175&gt;=2,2,1))))</f>
        <v/>
      </c>
      <c r="H3175" s="124">
        <f>IF(E3175&gt;=5000,5,IF(E3175&gt;=2000,4,IF(E3175&gt;=800,3,IF(E3175&gt;=300,2,1))))</f>
        <v/>
      </c>
      <c r="I3175" s="122">
        <f>TEXT(F3175,"0")&amp;TEXT(G3175,"0")&amp;TEXT(H3175,"0")</f>
        <v/>
      </c>
      <c r="J3175" s="122">
        <f>IFERROR(XLOOKUP(I3175,'Segment Map'!A:A,'Segment Map'!B:B,"Need Attention"),"Need Attention")</f>
        <v/>
      </c>
      <c r="K3175" s="122">
        <f>IF(E3175&gt;=5000,"🏆 Platinum",IF(E3175&gt;=2000,"🥇 Gold",IF(E3175&gt;=800,"🥈 Silver","🥉 Bronze")))</f>
        <v/>
      </c>
      <c r="L3175" s="125" t="n">
        <v>40520</v>
      </c>
    </row>
    <row r="3176">
      <c r="A3176" s="126" t="n">
        <v>16680</v>
      </c>
      <c r="B3176" s="126" t="inlineStr">
        <is>
          <t>United Kingdom</t>
        </is>
      </c>
      <c r="C3176" s="126" t="n">
        <v>44</v>
      </c>
      <c r="D3176" s="126" t="n">
        <v>1</v>
      </c>
      <c r="E3176" s="127" t="n">
        <v>183.7</v>
      </c>
      <c r="F3176" s="128">
        <f>IF(C3176&lt;=30,5,IF(C3176&lt;=60,4,IF(C3176&lt;=120,3,IF(C3176&lt;=200,2,1))))</f>
        <v/>
      </c>
      <c r="G3176" s="128">
        <f>IF(D3176&gt;=20,5,IF(D3176&gt;=10,4,IF(D3176&gt;=5,3,IF(D3176&gt;=2,2,1))))</f>
        <v/>
      </c>
      <c r="H3176" s="128">
        <f>IF(E3176&gt;=5000,5,IF(E3176&gt;=2000,4,IF(E3176&gt;=800,3,IF(E3176&gt;=300,2,1))))</f>
        <v/>
      </c>
      <c r="I3176" s="126">
        <f>TEXT(F3176,"0")&amp;TEXT(G3176,"0")&amp;TEXT(H3176,"0")</f>
        <v/>
      </c>
      <c r="J3176" s="126">
        <f>IFERROR(XLOOKUP(I3176,'Segment Map'!A:A,'Segment Map'!B:B,"Need Attention"),"Need Attention")</f>
        <v/>
      </c>
      <c r="K3176" s="126">
        <f>IF(E3176&gt;=5000,"🏆 Platinum",IF(E3176&gt;=2000,"🥇 Gold",IF(E3176&gt;=800,"🥈 Silver","🥉 Bronze")))</f>
        <v/>
      </c>
      <c r="L3176" s="129" t="n">
        <v>40843</v>
      </c>
    </row>
    <row r="3177">
      <c r="A3177" s="122" t="n">
        <v>16681</v>
      </c>
      <c r="B3177" s="122" t="inlineStr">
        <is>
          <t>United Kingdom</t>
        </is>
      </c>
      <c r="C3177" s="122" t="n">
        <v>73</v>
      </c>
      <c r="D3177" s="122" t="n">
        <v>6</v>
      </c>
      <c r="E3177" s="123" t="n">
        <v>1770.34</v>
      </c>
      <c r="F3177" s="124">
        <f>IF(C3177&lt;=30,5,IF(C3177&lt;=60,4,IF(C3177&lt;=120,3,IF(C3177&lt;=200,2,1))))</f>
        <v/>
      </c>
      <c r="G3177" s="124">
        <f>IF(D3177&gt;=20,5,IF(D3177&gt;=10,4,IF(D3177&gt;=5,3,IF(D3177&gt;=2,2,1))))</f>
        <v/>
      </c>
      <c r="H3177" s="124">
        <f>IF(E3177&gt;=5000,5,IF(E3177&gt;=2000,4,IF(E3177&gt;=800,3,IF(E3177&gt;=300,2,1))))</f>
        <v/>
      </c>
      <c r="I3177" s="122">
        <f>TEXT(F3177,"0")&amp;TEXT(G3177,"0")&amp;TEXT(H3177,"0")</f>
        <v/>
      </c>
      <c r="J3177" s="122">
        <f>IFERROR(XLOOKUP(I3177,'Segment Map'!A:A,'Segment Map'!B:B,"Need Attention"),"Need Attention")</f>
        <v/>
      </c>
      <c r="K3177" s="122">
        <f>IF(E3177&gt;=5000,"🏆 Platinum",IF(E3177&gt;=2000,"🥇 Gold",IF(E3177&gt;=800,"🥈 Silver","🥉 Bronze")))</f>
        <v/>
      </c>
      <c r="L3177" s="125" t="n">
        <v>40814</v>
      </c>
    </row>
    <row r="3178">
      <c r="A3178" s="126" t="n">
        <v>16682</v>
      </c>
      <c r="B3178" s="126" t="inlineStr">
        <is>
          <t>United Kingdom</t>
        </is>
      </c>
      <c r="C3178" s="126" t="n">
        <v>5</v>
      </c>
      <c r="D3178" s="126" t="n">
        <v>5</v>
      </c>
      <c r="E3178" s="127" t="n">
        <v>1028</v>
      </c>
      <c r="F3178" s="128">
        <f>IF(C3178&lt;=30,5,IF(C3178&lt;=60,4,IF(C3178&lt;=120,3,IF(C3178&lt;=200,2,1))))</f>
        <v/>
      </c>
      <c r="G3178" s="128">
        <f>IF(D3178&gt;=20,5,IF(D3178&gt;=10,4,IF(D3178&gt;=5,3,IF(D3178&gt;=2,2,1))))</f>
        <v/>
      </c>
      <c r="H3178" s="128">
        <f>IF(E3178&gt;=5000,5,IF(E3178&gt;=2000,4,IF(E3178&gt;=800,3,IF(E3178&gt;=300,2,1))))</f>
        <v/>
      </c>
      <c r="I3178" s="126">
        <f>TEXT(F3178,"0")&amp;TEXT(G3178,"0")&amp;TEXT(H3178,"0")</f>
        <v/>
      </c>
      <c r="J3178" s="126">
        <f>IFERROR(XLOOKUP(I3178,'Segment Map'!A:A,'Segment Map'!B:B,"Need Attention"),"Need Attention")</f>
        <v/>
      </c>
      <c r="K3178" s="126">
        <f>IF(E3178&gt;=5000,"🏆 Platinum",IF(E3178&gt;=2000,"🥇 Gold",IF(E3178&gt;=800,"🥈 Silver","🥉 Bronze")))</f>
        <v/>
      </c>
      <c r="L3178" s="129" t="n">
        <v>40882</v>
      </c>
    </row>
    <row r="3179">
      <c r="A3179" s="122" t="n">
        <v>16684</v>
      </c>
      <c r="B3179" s="122" t="inlineStr">
        <is>
          <t>United Kingdom</t>
        </is>
      </c>
      <c r="C3179" s="122" t="n">
        <v>5</v>
      </c>
      <c r="D3179" s="122" t="n">
        <v>28</v>
      </c>
      <c r="E3179" s="123" t="n">
        <v>66653.56</v>
      </c>
      <c r="F3179" s="124">
        <f>IF(C3179&lt;=30,5,IF(C3179&lt;=60,4,IF(C3179&lt;=120,3,IF(C3179&lt;=200,2,1))))</f>
        <v/>
      </c>
      <c r="G3179" s="124">
        <f>IF(D3179&gt;=20,5,IF(D3179&gt;=10,4,IF(D3179&gt;=5,3,IF(D3179&gt;=2,2,1))))</f>
        <v/>
      </c>
      <c r="H3179" s="124">
        <f>IF(E3179&gt;=5000,5,IF(E3179&gt;=2000,4,IF(E3179&gt;=800,3,IF(E3179&gt;=300,2,1))))</f>
        <v/>
      </c>
      <c r="I3179" s="122">
        <f>TEXT(F3179,"0")&amp;TEXT(G3179,"0")&amp;TEXT(H3179,"0")</f>
        <v/>
      </c>
      <c r="J3179" s="122">
        <f>IFERROR(XLOOKUP(I3179,'Segment Map'!A:A,'Segment Map'!B:B,"Need Attention"),"Need Attention")</f>
        <v/>
      </c>
      <c r="K3179" s="122">
        <f>IF(E3179&gt;=5000,"🏆 Platinum",IF(E3179&gt;=2000,"🥇 Gold",IF(E3179&gt;=800,"🥈 Silver","🥉 Bronze")))</f>
        <v/>
      </c>
      <c r="L3179" s="125" t="n">
        <v>40882</v>
      </c>
    </row>
    <row r="3180">
      <c r="A3180" s="126" t="n">
        <v>16685</v>
      </c>
      <c r="B3180" s="126" t="inlineStr">
        <is>
          <t>United Kingdom</t>
        </is>
      </c>
      <c r="C3180" s="126" t="n">
        <v>62</v>
      </c>
      <c r="D3180" s="126" t="n">
        <v>2</v>
      </c>
      <c r="E3180" s="127" t="n">
        <v>324.24</v>
      </c>
      <c r="F3180" s="128">
        <f>IF(C3180&lt;=30,5,IF(C3180&lt;=60,4,IF(C3180&lt;=120,3,IF(C3180&lt;=200,2,1))))</f>
        <v/>
      </c>
      <c r="G3180" s="128">
        <f>IF(D3180&gt;=20,5,IF(D3180&gt;=10,4,IF(D3180&gt;=5,3,IF(D3180&gt;=2,2,1))))</f>
        <v/>
      </c>
      <c r="H3180" s="128">
        <f>IF(E3180&gt;=5000,5,IF(E3180&gt;=2000,4,IF(E3180&gt;=800,3,IF(E3180&gt;=300,2,1))))</f>
        <v/>
      </c>
      <c r="I3180" s="126">
        <f>TEXT(F3180,"0")&amp;TEXT(G3180,"0")&amp;TEXT(H3180,"0")</f>
        <v/>
      </c>
      <c r="J3180" s="126">
        <f>IFERROR(XLOOKUP(I3180,'Segment Map'!A:A,'Segment Map'!B:B,"Need Attention"),"Need Attention")</f>
        <v/>
      </c>
      <c r="K3180" s="126">
        <f>IF(E3180&gt;=5000,"🏆 Platinum",IF(E3180&gt;=2000,"🥇 Gold",IF(E3180&gt;=800,"🥈 Silver","🥉 Bronze")))</f>
        <v/>
      </c>
      <c r="L3180" s="129" t="n">
        <v>40825</v>
      </c>
    </row>
    <row r="3181">
      <c r="A3181" s="122" t="n">
        <v>16686</v>
      </c>
      <c r="B3181" s="122" t="inlineStr">
        <is>
          <t>United Kingdom</t>
        </is>
      </c>
      <c r="C3181" s="122" t="n">
        <v>48</v>
      </c>
      <c r="D3181" s="122" t="n">
        <v>7</v>
      </c>
      <c r="E3181" s="123" t="n">
        <v>3062.83</v>
      </c>
      <c r="F3181" s="124">
        <f>IF(C3181&lt;=30,5,IF(C3181&lt;=60,4,IF(C3181&lt;=120,3,IF(C3181&lt;=200,2,1))))</f>
        <v/>
      </c>
      <c r="G3181" s="124">
        <f>IF(D3181&gt;=20,5,IF(D3181&gt;=10,4,IF(D3181&gt;=5,3,IF(D3181&gt;=2,2,1))))</f>
        <v/>
      </c>
      <c r="H3181" s="124">
        <f>IF(E3181&gt;=5000,5,IF(E3181&gt;=2000,4,IF(E3181&gt;=800,3,IF(E3181&gt;=300,2,1))))</f>
        <v/>
      </c>
      <c r="I3181" s="122">
        <f>TEXT(F3181,"0")&amp;TEXT(G3181,"0")&amp;TEXT(H3181,"0")</f>
        <v/>
      </c>
      <c r="J3181" s="122">
        <f>IFERROR(XLOOKUP(I3181,'Segment Map'!A:A,'Segment Map'!B:B,"Need Attention"),"Need Attention")</f>
        <v/>
      </c>
      <c r="K3181" s="122">
        <f>IF(E3181&gt;=5000,"🏆 Platinum",IF(E3181&gt;=2000,"🥇 Gold",IF(E3181&gt;=800,"🥈 Silver","🥉 Bronze")))</f>
        <v/>
      </c>
      <c r="L3181" s="125" t="n">
        <v>40839</v>
      </c>
    </row>
    <row r="3182">
      <c r="A3182" s="126" t="n">
        <v>16688</v>
      </c>
      <c r="B3182" s="126" t="inlineStr">
        <is>
          <t>United Kingdom</t>
        </is>
      </c>
      <c r="C3182" s="126" t="n">
        <v>2</v>
      </c>
      <c r="D3182" s="126" t="n">
        <v>4</v>
      </c>
      <c r="E3182" s="127" t="n">
        <v>1260.86</v>
      </c>
      <c r="F3182" s="128">
        <f>IF(C3182&lt;=30,5,IF(C3182&lt;=60,4,IF(C3182&lt;=120,3,IF(C3182&lt;=200,2,1))))</f>
        <v/>
      </c>
      <c r="G3182" s="128">
        <f>IF(D3182&gt;=20,5,IF(D3182&gt;=10,4,IF(D3182&gt;=5,3,IF(D3182&gt;=2,2,1))))</f>
        <v/>
      </c>
      <c r="H3182" s="128">
        <f>IF(E3182&gt;=5000,5,IF(E3182&gt;=2000,4,IF(E3182&gt;=800,3,IF(E3182&gt;=300,2,1))))</f>
        <v/>
      </c>
      <c r="I3182" s="126">
        <f>TEXT(F3182,"0")&amp;TEXT(G3182,"0")&amp;TEXT(H3182,"0")</f>
        <v/>
      </c>
      <c r="J3182" s="126">
        <f>IFERROR(XLOOKUP(I3182,'Segment Map'!A:A,'Segment Map'!B:B,"Need Attention"),"Need Attention")</f>
        <v/>
      </c>
      <c r="K3182" s="126">
        <f>IF(E3182&gt;=5000,"🏆 Platinum",IF(E3182&gt;=2000,"🥇 Gold",IF(E3182&gt;=800,"🥈 Silver","🥉 Bronze")))</f>
        <v/>
      </c>
      <c r="L3182" s="129" t="n">
        <v>40885</v>
      </c>
    </row>
    <row r="3183">
      <c r="A3183" s="122" t="n">
        <v>16689</v>
      </c>
      <c r="B3183" s="122" t="inlineStr">
        <is>
          <t>United Kingdom</t>
        </is>
      </c>
      <c r="C3183" s="122" t="n">
        <v>76</v>
      </c>
      <c r="D3183" s="122" t="n">
        <v>2</v>
      </c>
      <c r="E3183" s="123" t="n">
        <v>422.6</v>
      </c>
      <c r="F3183" s="124">
        <f>IF(C3183&lt;=30,5,IF(C3183&lt;=60,4,IF(C3183&lt;=120,3,IF(C3183&lt;=200,2,1))))</f>
        <v/>
      </c>
      <c r="G3183" s="124">
        <f>IF(D3183&gt;=20,5,IF(D3183&gt;=10,4,IF(D3183&gt;=5,3,IF(D3183&gt;=2,2,1))))</f>
        <v/>
      </c>
      <c r="H3183" s="124">
        <f>IF(E3183&gt;=5000,5,IF(E3183&gt;=2000,4,IF(E3183&gt;=800,3,IF(E3183&gt;=300,2,1))))</f>
        <v/>
      </c>
      <c r="I3183" s="122">
        <f>TEXT(F3183,"0")&amp;TEXT(G3183,"0")&amp;TEXT(H3183,"0")</f>
        <v/>
      </c>
      <c r="J3183" s="122">
        <f>IFERROR(XLOOKUP(I3183,'Segment Map'!A:A,'Segment Map'!B:B,"Need Attention"),"Need Attention")</f>
        <v/>
      </c>
      <c r="K3183" s="122">
        <f>IF(E3183&gt;=5000,"🏆 Platinum",IF(E3183&gt;=2000,"🥇 Gold",IF(E3183&gt;=800,"🥈 Silver","🥉 Bronze")))</f>
        <v/>
      </c>
      <c r="L3183" s="125" t="n">
        <v>40811</v>
      </c>
    </row>
    <row r="3184">
      <c r="A3184" s="126" t="n">
        <v>16690</v>
      </c>
      <c r="B3184" s="126" t="inlineStr">
        <is>
          <t>United Kingdom</t>
        </is>
      </c>
      <c r="C3184" s="126" t="n">
        <v>73</v>
      </c>
      <c r="D3184" s="126" t="n">
        <v>2</v>
      </c>
      <c r="E3184" s="127" t="n">
        <v>225.58</v>
      </c>
      <c r="F3184" s="128">
        <f>IF(C3184&lt;=30,5,IF(C3184&lt;=60,4,IF(C3184&lt;=120,3,IF(C3184&lt;=200,2,1))))</f>
        <v/>
      </c>
      <c r="G3184" s="128">
        <f>IF(D3184&gt;=20,5,IF(D3184&gt;=10,4,IF(D3184&gt;=5,3,IF(D3184&gt;=2,2,1))))</f>
        <v/>
      </c>
      <c r="H3184" s="128">
        <f>IF(E3184&gt;=5000,5,IF(E3184&gt;=2000,4,IF(E3184&gt;=800,3,IF(E3184&gt;=300,2,1))))</f>
        <v/>
      </c>
      <c r="I3184" s="126">
        <f>TEXT(F3184,"0")&amp;TEXT(G3184,"0")&amp;TEXT(H3184,"0")</f>
        <v/>
      </c>
      <c r="J3184" s="126">
        <f>IFERROR(XLOOKUP(I3184,'Segment Map'!A:A,'Segment Map'!B:B,"Need Attention"),"Need Attention")</f>
        <v/>
      </c>
      <c r="K3184" s="126">
        <f>IF(E3184&gt;=5000,"🏆 Platinum",IF(E3184&gt;=2000,"🥇 Gold",IF(E3184&gt;=800,"🥈 Silver","🥉 Bronze")))</f>
        <v/>
      </c>
      <c r="L3184" s="129" t="n">
        <v>40814</v>
      </c>
    </row>
    <row r="3185">
      <c r="A3185" s="122" t="n">
        <v>16692</v>
      </c>
      <c r="B3185" s="122" t="inlineStr">
        <is>
          <t>United Kingdom</t>
        </is>
      </c>
      <c r="C3185" s="122" t="n">
        <v>257</v>
      </c>
      <c r="D3185" s="122" t="n">
        <v>2</v>
      </c>
      <c r="E3185" s="123" t="n">
        <v>1276</v>
      </c>
      <c r="F3185" s="124">
        <f>IF(C3185&lt;=30,5,IF(C3185&lt;=60,4,IF(C3185&lt;=120,3,IF(C3185&lt;=200,2,1))))</f>
        <v/>
      </c>
      <c r="G3185" s="124">
        <f>IF(D3185&gt;=20,5,IF(D3185&gt;=10,4,IF(D3185&gt;=5,3,IF(D3185&gt;=2,2,1))))</f>
        <v/>
      </c>
      <c r="H3185" s="124">
        <f>IF(E3185&gt;=5000,5,IF(E3185&gt;=2000,4,IF(E3185&gt;=800,3,IF(E3185&gt;=300,2,1))))</f>
        <v/>
      </c>
      <c r="I3185" s="122">
        <f>TEXT(F3185,"0")&amp;TEXT(G3185,"0")&amp;TEXT(H3185,"0")</f>
        <v/>
      </c>
      <c r="J3185" s="122">
        <f>IFERROR(XLOOKUP(I3185,'Segment Map'!A:A,'Segment Map'!B:B,"Need Attention"),"Need Attention")</f>
        <v/>
      </c>
      <c r="K3185" s="122">
        <f>IF(E3185&gt;=5000,"🏆 Platinum",IF(E3185&gt;=2000,"🥇 Gold",IF(E3185&gt;=800,"🥈 Silver","🥉 Bronze")))</f>
        <v/>
      </c>
      <c r="L3185" s="125" t="n">
        <v>40630</v>
      </c>
    </row>
    <row r="3186">
      <c r="A3186" s="126" t="n">
        <v>16693</v>
      </c>
      <c r="B3186" s="126" t="inlineStr">
        <is>
          <t>United Kingdom</t>
        </is>
      </c>
      <c r="C3186" s="126" t="n">
        <v>69</v>
      </c>
      <c r="D3186" s="126" t="n">
        <v>2</v>
      </c>
      <c r="E3186" s="127" t="n">
        <v>482.01</v>
      </c>
      <c r="F3186" s="128">
        <f>IF(C3186&lt;=30,5,IF(C3186&lt;=60,4,IF(C3186&lt;=120,3,IF(C3186&lt;=200,2,1))))</f>
        <v/>
      </c>
      <c r="G3186" s="128">
        <f>IF(D3186&gt;=20,5,IF(D3186&gt;=10,4,IF(D3186&gt;=5,3,IF(D3186&gt;=2,2,1))))</f>
        <v/>
      </c>
      <c r="H3186" s="128">
        <f>IF(E3186&gt;=5000,5,IF(E3186&gt;=2000,4,IF(E3186&gt;=800,3,IF(E3186&gt;=300,2,1))))</f>
        <v/>
      </c>
      <c r="I3186" s="126">
        <f>TEXT(F3186,"0")&amp;TEXT(G3186,"0")&amp;TEXT(H3186,"0")</f>
        <v/>
      </c>
      <c r="J3186" s="126">
        <f>IFERROR(XLOOKUP(I3186,'Segment Map'!A:A,'Segment Map'!B:B,"Need Attention"),"Need Attention")</f>
        <v/>
      </c>
      <c r="K3186" s="126">
        <f>IF(E3186&gt;=5000,"🏆 Platinum",IF(E3186&gt;=2000,"🥇 Gold",IF(E3186&gt;=800,"🥈 Silver","🥉 Bronze")))</f>
        <v/>
      </c>
      <c r="L3186" s="129" t="n">
        <v>40818</v>
      </c>
    </row>
    <row r="3187">
      <c r="A3187" s="122" t="n">
        <v>16696</v>
      </c>
      <c r="B3187" s="122" t="inlineStr">
        <is>
          <t>United Kingdom</t>
        </is>
      </c>
      <c r="C3187" s="122" t="n">
        <v>136</v>
      </c>
      <c r="D3187" s="122" t="n">
        <v>4</v>
      </c>
      <c r="E3187" s="123" t="n">
        <v>657.9</v>
      </c>
      <c r="F3187" s="124">
        <f>IF(C3187&lt;=30,5,IF(C3187&lt;=60,4,IF(C3187&lt;=120,3,IF(C3187&lt;=200,2,1))))</f>
        <v/>
      </c>
      <c r="G3187" s="124">
        <f>IF(D3187&gt;=20,5,IF(D3187&gt;=10,4,IF(D3187&gt;=5,3,IF(D3187&gt;=2,2,1))))</f>
        <v/>
      </c>
      <c r="H3187" s="124">
        <f>IF(E3187&gt;=5000,5,IF(E3187&gt;=2000,4,IF(E3187&gt;=800,3,IF(E3187&gt;=300,2,1))))</f>
        <v/>
      </c>
      <c r="I3187" s="122">
        <f>TEXT(F3187,"0")&amp;TEXT(G3187,"0")&amp;TEXT(H3187,"0")</f>
        <v/>
      </c>
      <c r="J3187" s="122">
        <f>IFERROR(XLOOKUP(I3187,'Segment Map'!A:A,'Segment Map'!B:B,"Need Attention"),"Need Attention")</f>
        <v/>
      </c>
      <c r="K3187" s="122">
        <f>IF(E3187&gt;=5000,"🏆 Platinum",IF(E3187&gt;=2000,"🥇 Gold",IF(E3187&gt;=800,"🥈 Silver","🥉 Bronze")))</f>
        <v/>
      </c>
      <c r="L3187" s="125" t="n">
        <v>40751</v>
      </c>
    </row>
    <row r="3188">
      <c r="A3188" s="126" t="n">
        <v>16697</v>
      </c>
      <c r="B3188" s="126" t="inlineStr">
        <is>
          <t>United Kingdom</t>
        </is>
      </c>
      <c r="C3188" s="126" t="n">
        <v>242</v>
      </c>
      <c r="D3188" s="126" t="n">
        <v>1</v>
      </c>
      <c r="E3188" s="127" t="n">
        <v>112.75</v>
      </c>
      <c r="F3188" s="128">
        <f>IF(C3188&lt;=30,5,IF(C3188&lt;=60,4,IF(C3188&lt;=120,3,IF(C3188&lt;=200,2,1))))</f>
        <v/>
      </c>
      <c r="G3188" s="128">
        <f>IF(D3188&gt;=20,5,IF(D3188&gt;=10,4,IF(D3188&gt;=5,3,IF(D3188&gt;=2,2,1))))</f>
        <v/>
      </c>
      <c r="H3188" s="128">
        <f>IF(E3188&gt;=5000,5,IF(E3188&gt;=2000,4,IF(E3188&gt;=800,3,IF(E3188&gt;=300,2,1))))</f>
        <v/>
      </c>
      <c r="I3188" s="126">
        <f>TEXT(F3188,"0")&amp;TEXT(G3188,"0")&amp;TEXT(H3188,"0")</f>
        <v/>
      </c>
      <c r="J3188" s="126">
        <f>IFERROR(XLOOKUP(I3188,'Segment Map'!A:A,'Segment Map'!B:B,"Need Attention"),"Need Attention")</f>
        <v/>
      </c>
      <c r="K3188" s="126">
        <f>IF(E3188&gt;=5000,"🏆 Platinum",IF(E3188&gt;=2000,"🥇 Gold",IF(E3188&gt;=800,"🥈 Silver","🥉 Bronze")))</f>
        <v/>
      </c>
      <c r="L3188" s="129" t="n">
        <v>40645</v>
      </c>
    </row>
    <row r="3189">
      <c r="A3189" s="122" t="n">
        <v>16698</v>
      </c>
      <c r="B3189" s="122" t="inlineStr">
        <is>
          <t>United Kingdom</t>
        </is>
      </c>
      <c r="C3189" s="122" t="n">
        <v>227</v>
      </c>
      <c r="D3189" s="122" t="n">
        <v>2</v>
      </c>
      <c r="E3189" s="123" t="n">
        <v>1998</v>
      </c>
      <c r="F3189" s="124">
        <f>IF(C3189&lt;=30,5,IF(C3189&lt;=60,4,IF(C3189&lt;=120,3,IF(C3189&lt;=200,2,1))))</f>
        <v/>
      </c>
      <c r="G3189" s="124">
        <f>IF(D3189&gt;=20,5,IF(D3189&gt;=10,4,IF(D3189&gt;=5,3,IF(D3189&gt;=2,2,1))))</f>
        <v/>
      </c>
      <c r="H3189" s="124">
        <f>IF(E3189&gt;=5000,5,IF(E3189&gt;=2000,4,IF(E3189&gt;=800,3,IF(E3189&gt;=300,2,1))))</f>
        <v/>
      </c>
      <c r="I3189" s="122">
        <f>TEXT(F3189,"0")&amp;TEXT(G3189,"0")&amp;TEXT(H3189,"0")</f>
        <v/>
      </c>
      <c r="J3189" s="122">
        <f>IFERROR(XLOOKUP(I3189,'Segment Map'!A:A,'Segment Map'!B:B,"Need Attention"),"Need Attention")</f>
        <v/>
      </c>
      <c r="K3189" s="122">
        <f>IF(E3189&gt;=5000,"🏆 Platinum",IF(E3189&gt;=2000,"🥇 Gold",IF(E3189&gt;=800,"🥈 Silver","🥉 Bronze")))</f>
        <v/>
      </c>
      <c r="L3189" s="125" t="n">
        <v>40660</v>
      </c>
    </row>
    <row r="3190">
      <c r="A3190" s="126" t="n">
        <v>16700</v>
      </c>
      <c r="B3190" s="126" t="inlineStr">
        <is>
          <t>United Kingdom</t>
        </is>
      </c>
      <c r="C3190" s="126" t="n">
        <v>9</v>
      </c>
      <c r="D3190" s="126" t="n">
        <v>13</v>
      </c>
      <c r="E3190" s="127" t="n">
        <v>5076.55</v>
      </c>
      <c r="F3190" s="128">
        <f>IF(C3190&lt;=30,5,IF(C3190&lt;=60,4,IF(C3190&lt;=120,3,IF(C3190&lt;=200,2,1))))</f>
        <v/>
      </c>
      <c r="G3190" s="128">
        <f>IF(D3190&gt;=20,5,IF(D3190&gt;=10,4,IF(D3190&gt;=5,3,IF(D3190&gt;=2,2,1))))</f>
        <v/>
      </c>
      <c r="H3190" s="128">
        <f>IF(E3190&gt;=5000,5,IF(E3190&gt;=2000,4,IF(E3190&gt;=800,3,IF(E3190&gt;=300,2,1))))</f>
        <v/>
      </c>
      <c r="I3190" s="126">
        <f>TEXT(F3190,"0")&amp;TEXT(G3190,"0")&amp;TEXT(H3190,"0")</f>
        <v/>
      </c>
      <c r="J3190" s="126">
        <f>IFERROR(XLOOKUP(I3190,'Segment Map'!A:A,'Segment Map'!B:B,"Need Attention"),"Need Attention")</f>
        <v/>
      </c>
      <c r="K3190" s="126">
        <f>IF(E3190&gt;=5000,"🏆 Platinum",IF(E3190&gt;=2000,"🥇 Gold",IF(E3190&gt;=800,"🥈 Silver","🥉 Bronze")))</f>
        <v/>
      </c>
      <c r="L3190" s="129" t="n">
        <v>40878</v>
      </c>
    </row>
    <row r="3191">
      <c r="A3191" s="122" t="n">
        <v>16701</v>
      </c>
      <c r="B3191" s="122" t="inlineStr">
        <is>
          <t>United Kingdom</t>
        </is>
      </c>
      <c r="C3191" s="122" t="n">
        <v>9</v>
      </c>
      <c r="D3191" s="122" t="n">
        <v>13</v>
      </c>
      <c r="E3191" s="123" t="n">
        <v>5398.3</v>
      </c>
      <c r="F3191" s="124">
        <f>IF(C3191&lt;=30,5,IF(C3191&lt;=60,4,IF(C3191&lt;=120,3,IF(C3191&lt;=200,2,1))))</f>
        <v/>
      </c>
      <c r="G3191" s="124">
        <f>IF(D3191&gt;=20,5,IF(D3191&gt;=10,4,IF(D3191&gt;=5,3,IF(D3191&gt;=2,2,1))))</f>
        <v/>
      </c>
      <c r="H3191" s="124">
        <f>IF(E3191&gt;=5000,5,IF(E3191&gt;=2000,4,IF(E3191&gt;=800,3,IF(E3191&gt;=300,2,1))))</f>
        <v/>
      </c>
      <c r="I3191" s="122">
        <f>TEXT(F3191,"0")&amp;TEXT(G3191,"0")&amp;TEXT(H3191,"0")</f>
        <v/>
      </c>
      <c r="J3191" s="122">
        <f>IFERROR(XLOOKUP(I3191,'Segment Map'!A:A,'Segment Map'!B:B,"Need Attention"),"Need Attention")</f>
        <v/>
      </c>
      <c r="K3191" s="122">
        <f>IF(E3191&gt;=5000,"🏆 Platinum",IF(E3191&gt;=2000,"🥇 Gold",IF(E3191&gt;=800,"🥈 Silver","🥉 Bronze")))</f>
        <v/>
      </c>
      <c r="L3191" s="125" t="n">
        <v>40878</v>
      </c>
    </row>
    <row r="3192">
      <c r="A3192" s="126" t="n">
        <v>16705</v>
      </c>
      <c r="B3192" s="126" t="inlineStr">
        <is>
          <t>United Kingdom</t>
        </is>
      </c>
      <c r="C3192" s="126" t="n">
        <v>1</v>
      </c>
      <c r="D3192" s="126" t="n">
        <v>20</v>
      </c>
      <c r="E3192" s="127" t="n">
        <v>14034.99</v>
      </c>
      <c r="F3192" s="128">
        <f>IF(C3192&lt;=30,5,IF(C3192&lt;=60,4,IF(C3192&lt;=120,3,IF(C3192&lt;=200,2,1))))</f>
        <v/>
      </c>
      <c r="G3192" s="128">
        <f>IF(D3192&gt;=20,5,IF(D3192&gt;=10,4,IF(D3192&gt;=5,3,IF(D3192&gt;=2,2,1))))</f>
        <v/>
      </c>
      <c r="H3192" s="128">
        <f>IF(E3192&gt;=5000,5,IF(E3192&gt;=2000,4,IF(E3192&gt;=800,3,IF(E3192&gt;=300,2,1))))</f>
        <v/>
      </c>
      <c r="I3192" s="126">
        <f>TEXT(F3192,"0")&amp;TEXT(G3192,"0")&amp;TEXT(H3192,"0")</f>
        <v/>
      </c>
      <c r="J3192" s="126">
        <f>IFERROR(XLOOKUP(I3192,'Segment Map'!A:A,'Segment Map'!B:B,"Need Attention"),"Need Attention")</f>
        <v/>
      </c>
      <c r="K3192" s="126">
        <f>IF(E3192&gt;=5000,"🏆 Platinum",IF(E3192&gt;=2000,"🥇 Gold",IF(E3192&gt;=800,"🥈 Silver","🥉 Bronze")))</f>
        <v/>
      </c>
      <c r="L3192" s="129" t="n">
        <v>40886</v>
      </c>
    </row>
    <row r="3193">
      <c r="A3193" s="122" t="n">
        <v>16706</v>
      </c>
      <c r="B3193" s="122" t="inlineStr">
        <is>
          <t>United Kingdom</t>
        </is>
      </c>
      <c r="C3193" s="122" t="n">
        <v>38</v>
      </c>
      <c r="D3193" s="122" t="n">
        <v>3</v>
      </c>
      <c r="E3193" s="123" t="n">
        <v>531.35</v>
      </c>
      <c r="F3193" s="124">
        <f>IF(C3193&lt;=30,5,IF(C3193&lt;=60,4,IF(C3193&lt;=120,3,IF(C3193&lt;=200,2,1))))</f>
        <v/>
      </c>
      <c r="G3193" s="124">
        <f>IF(D3193&gt;=20,5,IF(D3193&gt;=10,4,IF(D3193&gt;=5,3,IF(D3193&gt;=2,2,1))))</f>
        <v/>
      </c>
      <c r="H3193" s="124">
        <f>IF(E3193&gt;=5000,5,IF(E3193&gt;=2000,4,IF(E3193&gt;=800,3,IF(E3193&gt;=300,2,1))))</f>
        <v/>
      </c>
      <c r="I3193" s="122">
        <f>TEXT(F3193,"0")&amp;TEXT(G3193,"0")&amp;TEXT(H3193,"0")</f>
        <v/>
      </c>
      <c r="J3193" s="122">
        <f>IFERROR(XLOOKUP(I3193,'Segment Map'!A:A,'Segment Map'!B:B,"Need Attention"),"Need Attention")</f>
        <v/>
      </c>
      <c r="K3193" s="122">
        <f>IF(E3193&gt;=5000,"🏆 Platinum",IF(E3193&gt;=2000,"🥇 Gold",IF(E3193&gt;=800,"🥈 Silver","🥉 Bronze")))</f>
        <v/>
      </c>
      <c r="L3193" s="125" t="n">
        <v>40849</v>
      </c>
    </row>
    <row r="3194">
      <c r="A3194" s="126" t="n">
        <v>16708</v>
      </c>
      <c r="B3194" s="126" t="inlineStr">
        <is>
          <t>United Kingdom</t>
        </is>
      </c>
      <c r="C3194" s="126" t="n">
        <v>46</v>
      </c>
      <c r="D3194" s="126" t="n">
        <v>1</v>
      </c>
      <c r="E3194" s="127" t="n">
        <v>656.63</v>
      </c>
      <c r="F3194" s="128">
        <f>IF(C3194&lt;=30,5,IF(C3194&lt;=60,4,IF(C3194&lt;=120,3,IF(C3194&lt;=200,2,1))))</f>
        <v/>
      </c>
      <c r="G3194" s="128">
        <f>IF(D3194&gt;=20,5,IF(D3194&gt;=10,4,IF(D3194&gt;=5,3,IF(D3194&gt;=2,2,1))))</f>
        <v/>
      </c>
      <c r="H3194" s="128">
        <f>IF(E3194&gt;=5000,5,IF(E3194&gt;=2000,4,IF(E3194&gt;=800,3,IF(E3194&gt;=300,2,1))))</f>
        <v/>
      </c>
      <c r="I3194" s="126">
        <f>TEXT(F3194,"0")&amp;TEXT(G3194,"0")&amp;TEXT(H3194,"0")</f>
        <v/>
      </c>
      <c r="J3194" s="126">
        <f>IFERROR(XLOOKUP(I3194,'Segment Map'!A:A,'Segment Map'!B:B,"Need Attention"),"Need Attention")</f>
        <v/>
      </c>
      <c r="K3194" s="126">
        <f>IF(E3194&gt;=5000,"🏆 Platinum",IF(E3194&gt;=2000,"🥇 Gold",IF(E3194&gt;=800,"🥈 Silver","🥉 Bronze")))</f>
        <v/>
      </c>
      <c r="L3194" s="129" t="n">
        <v>40841</v>
      </c>
    </row>
    <row r="3195">
      <c r="A3195" s="122" t="n">
        <v>16709</v>
      </c>
      <c r="B3195" s="122" t="inlineStr">
        <is>
          <t>United Kingdom</t>
        </is>
      </c>
      <c r="C3195" s="122" t="n">
        <v>85</v>
      </c>
      <c r="D3195" s="122" t="n">
        <v>5</v>
      </c>
      <c r="E3195" s="123" t="n">
        <v>3029.87</v>
      </c>
      <c r="F3195" s="124">
        <f>IF(C3195&lt;=30,5,IF(C3195&lt;=60,4,IF(C3195&lt;=120,3,IF(C3195&lt;=200,2,1))))</f>
        <v/>
      </c>
      <c r="G3195" s="124">
        <f>IF(D3195&gt;=20,5,IF(D3195&gt;=10,4,IF(D3195&gt;=5,3,IF(D3195&gt;=2,2,1))))</f>
        <v/>
      </c>
      <c r="H3195" s="124">
        <f>IF(E3195&gt;=5000,5,IF(E3195&gt;=2000,4,IF(E3195&gt;=800,3,IF(E3195&gt;=300,2,1))))</f>
        <v/>
      </c>
      <c r="I3195" s="122">
        <f>TEXT(F3195,"0")&amp;TEXT(G3195,"0")&amp;TEXT(H3195,"0")</f>
        <v/>
      </c>
      <c r="J3195" s="122">
        <f>IFERROR(XLOOKUP(I3195,'Segment Map'!A:A,'Segment Map'!B:B,"Need Attention"),"Need Attention")</f>
        <v/>
      </c>
      <c r="K3195" s="122">
        <f>IF(E3195&gt;=5000,"🏆 Platinum",IF(E3195&gt;=2000,"🥇 Gold",IF(E3195&gt;=800,"🥈 Silver","🥉 Bronze")))</f>
        <v/>
      </c>
      <c r="L3195" s="125" t="n">
        <v>40802</v>
      </c>
    </row>
    <row r="3196">
      <c r="A3196" s="126" t="n">
        <v>16710</v>
      </c>
      <c r="B3196" s="126" t="inlineStr">
        <is>
          <t>United Kingdom</t>
        </is>
      </c>
      <c r="C3196" s="126" t="n">
        <v>20</v>
      </c>
      <c r="D3196" s="126" t="n">
        <v>10</v>
      </c>
      <c r="E3196" s="127" t="n">
        <v>2483.04</v>
      </c>
      <c r="F3196" s="128">
        <f>IF(C3196&lt;=30,5,IF(C3196&lt;=60,4,IF(C3196&lt;=120,3,IF(C3196&lt;=200,2,1))))</f>
        <v/>
      </c>
      <c r="G3196" s="128">
        <f>IF(D3196&gt;=20,5,IF(D3196&gt;=10,4,IF(D3196&gt;=5,3,IF(D3196&gt;=2,2,1))))</f>
        <v/>
      </c>
      <c r="H3196" s="128">
        <f>IF(E3196&gt;=5000,5,IF(E3196&gt;=2000,4,IF(E3196&gt;=800,3,IF(E3196&gt;=300,2,1))))</f>
        <v/>
      </c>
      <c r="I3196" s="126">
        <f>TEXT(F3196,"0")&amp;TEXT(G3196,"0")&amp;TEXT(H3196,"0")</f>
        <v/>
      </c>
      <c r="J3196" s="126">
        <f>IFERROR(XLOOKUP(I3196,'Segment Map'!A:A,'Segment Map'!B:B,"Need Attention"),"Need Attention")</f>
        <v/>
      </c>
      <c r="K3196" s="126">
        <f>IF(E3196&gt;=5000,"🏆 Platinum",IF(E3196&gt;=2000,"🥇 Gold",IF(E3196&gt;=800,"🥈 Silver","🥉 Bronze")))</f>
        <v/>
      </c>
      <c r="L3196" s="129" t="n">
        <v>40867</v>
      </c>
    </row>
    <row r="3197">
      <c r="A3197" s="122" t="n">
        <v>16711</v>
      </c>
      <c r="B3197" s="122" t="inlineStr">
        <is>
          <t>United Kingdom</t>
        </is>
      </c>
      <c r="C3197" s="122" t="n">
        <v>4</v>
      </c>
      <c r="D3197" s="122" t="n">
        <v>5</v>
      </c>
      <c r="E3197" s="123" t="n">
        <v>1651.03</v>
      </c>
      <c r="F3197" s="124">
        <f>IF(C3197&lt;=30,5,IF(C3197&lt;=60,4,IF(C3197&lt;=120,3,IF(C3197&lt;=200,2,1))))</f>
        <v/>
      </c>
      <c r="G3197" s="124">
        <f>IF(D3197&gt;=20,5,IF(D3197&gt;=10,4,IF(D3197&gt;=5,3,IF(D3197&gt;=2,2,1))))</f>
        <v/>
      </c>
      <c r="H3197" s="124">
        <f>IF(E3197&gt;=5000,5,IF(E3197&gt;=2000,4,IF(E3197&gt;=800,3,IF(E3197&gt;=300,2,1))))</f>
        <v/>
      </c>
      <c r="I3197" s="122">
        <f>TEXT(F3197,"0")&amp;TEXT(G3197,"0")&amp;TEXT(H3197,"0")</f>
        <v/>
      </c>
      <c r="J3197" s="122">
        <f>IFERROR(XLOOKUP(I3197,'Segment Map'!A:A,'Segment Map'!B:B,"Need Attention"),"Need Attention")</f>
        <v/>
      </c>
      <c r="K3197" s="122">
        <f>IF(E3197&gt;=5000,"🏆 Platinum",IF(E3197&gt;=2000,"🥇 Gold",IF(E3197&gt;=800,"🥈 Silver","🥉 Bronze")))</f>
        <v/>
      </c>
      <c r="L3197" s="125" t="n">
        <v>40883</v>
      </c>
    </row>
    <row r="3198">
      <c r="A3198" s="126" t="n">
        <v>16712</v>
      </c>
      <c r="B3198" s="126" t="inlineStr">
        <is>
          <t>United Kingdom</t>
        </is>
      </c>
      <c r="C3198" s="126" t="n">
        <v>10</v>
      </c>
      <c r="D3198" s="126" t="n">
        <v>11</v>
      </c>
      <c r="E3198" s="127" t="n">
        <v>3645.43</v>
      </c>
      <c r="F3198" s="128">
        <f>IF(C3198&lt;=30,5,IF(C3198&lt;=60,4,IF(C3198&lt;=120,3,IF(C3198&lt;=200,2,1))))</f>
        <v/>
      </c>
      <c r="G3198" s="128">
        <f>IF(D3198&gt;=20,5,IF(D3198&gt;=10,4,IF(D3198&gt;=5,3,IF(D3198&gt;=2,2,1))))</f>
        <v/>
      </c>
      <c r="H3198" s="128">
        <f>IF(E3198&gt;=5000,5,IF(E3198&gt;=2000,4,IF(E3198&gt;=800,3,IF(E3198&gt;=300,2,1))))</f>
        <v/>
      </c>
      <c r="I3198" s="126">
        <f>TEXT(F3198,"0")&amp;TEXT(G3198,"0")&amp;TEXT(H3198,"0")</f>
        <v/>
      </c>
      <c r="J3198" s="126">
        <f>IFERROR(XLOOKUP(I3198,'Segment Map'!A:A,'Segment Map'!B:B,"Need Attention"),"Need Attention")</f>
        <v/>
      </c>
      <c r="K3198" s="126">
        <f>IF(E3198&gt;=5000,"🏆 Platinum",IF(E3198&gt;=2000,"🥇 Gold",IF(E3198&gt;=800,"🥈 Silver","🥉 Bronze")))</f>
        <v/>
      </c>
      <c r="L3198" s="129" t="n">
        <v>40877</v>
      </c>
    </row>
    <row r="3199">
      <c r="A3199" s="122" t="n">
        <v>16713</v>
      </c>
      <c r="B3199" s="122" t="inlineStr">
        <is>
          <t>United Kingdom</t>
        </is>
      </c>
      <c r="C3199" s="122" t="n">
        <v>19</v>
      </c>
      <c r="D3199" s="122" t="n">
        <v>15</v>
      </c>
      <c r="E3199" s="123" t="n">
        <v>6923.13</v>
      </c>
      <c r="F3199" s="124">
        <f>IF(C3199&lt;=30,5,IF(C3199&lt;=60,4,IF(C3199&lt;=120,3,IF(C3199&lt;=200,2,1))))</f>
        <v/>
      </c>
      <c r="G3199" s="124">
        <f>IF(D3199&gt;=20,5,IF(D3199&gt;=10,4,IF(D3199&gt;=5,3,IF(D3199&gt;=2,2,1))))</f>
        <v/>
      </c>
      <c r="H3199" s="124">
        <f>IF(E3199&gt;=5000,5,IF(E3199&gt;=2000,4,IF(E3199&gt;=800,3,IF(E3199&gt;=300,2,1))))</f>
        <v/>
      </c>
      <c r="I3199" s="122">
        <f>TEXT(F3199,"0")&amp;TEXT(G3199,"0")&amp;TEXT(H3199,"0")</f>
        <v/>
      </c>
      <c r="J3199" s="122">
        <f>IFERROR(XLOOKUP(I3199,'Segment Map'!A:A,'Segment Map'!B:B,"Need Attention"),"Need Attention")</f>
        <v/>
      </c>
      <c r="K3199" s="122">
        <f>IF(E3199&gt;=5000,"🏆 Platinum",IF(E3199&gt;=2000,"🥇 Gold",IF(E3199&gt;=800,"🥈 Silver","🥉 Bronze")))</f>
        <v/>
      </c>
      <c r="L3199" s="125" t="n">
        <v>40868</v>
      </c>
    </row>
    <row r="3200">
      <c r="A3200" s="126" t="n">
        <v>16714</v>
      </c>
      <c r="B3200" s="126" t="inlineStr">
        <is>
          <t>United Kingdom</t>
        </is>
      </c>
      <c r="C3200" s="126" t="n">
        <v>219</v>
      </c>
      <c r="D3200" s="126" t="n">
        <v>3</v>
      </c>
      <c r="E3200" s="127" t="n">
        <v>1161.53</v>
      </c>
      <c r="F3200" s="128">
        <f>IF(C3200&lt;=30,5,IF(C3200&lt;=60,4,IF(C3200&lt;=120,3,IF(C3200&lt;=200,2,1))))</f>
        <v/>
      </c>
      <c r="G3200" s="128">
        <f>IF(D3200&gt;=20,5,IF(D3200&gt;=10,4,IF(D3200&gt;=5,3,IF(D3200&gt;=2,2,1))))</f>
        <v/>
      </c>
      <c r="H3200" s="128">
        <f>IF(E3200&gt;=5000,5,IF(E3200&gt;=2000,4,IF(E3200&gt;=800,3,IF(E3200&gt;=300,2,1))))</f>
        <v/>
      </c>
      <c r="I3200" s="126">
        <f>TEXT(F3200,"0")&amp;TEXT(G3200,"0")&amp;TEXT(H3200,"0")</f>
        <v/>
      </c>
      <c r="J3200" s="126">
        <f>IFERROR(XLOOKUP(I3200,'Segment Map'!A:A,'Segment Map'!B:B,"Need Attention"),"Need Attention")</f>
        <v/>
      </c>
      <c r="K3200" s="126">
        <f>IF(E3200&gt;=5000,"🏆 Platinum",IF(E3200&gt;=2000,"🥇 Gold",IF(E3200&gt;=800,"🥈 Silver","🥉 Bronze")))</f>
        <v/>
      </c>
      <c r="L3200" s="129" t="n">
        <v>40668</v>
      </c>
    </row>
    <row r="3201">
      <c r="A3201" s="122" t="n">
        <v>16715</v>
      </c>
      <c r="B3201" s="122" t="inlineStr">
        <is>
          <t>United Kingdom</t>
        </is>
      </c>
      <c r="C3201" s="122" t="n">
        <v>79</v>
      </c>
      <c r="D3201" s="122" t="n">
        <v>1</v>
      </c>
      <c r="E3201" s="123" t="n">
        <v>301.72</v>
      </c>
      <c r="F3201" s="124">
        <f>IF(C3201&lt;=30,5,IF(C3201&lt;=60,4,IF(C3201&lt;=120,3,IF(C3201&lt;=200,2,1))))</f>
        <v/>
      </c>
      <c r="G3201" s="124">
        <f>IF(D3201&gt;=20,5,IF(D3201&gt;=10,4,IF(D3201&gt;=5,3,IF(D3201&gt;=2,2,1))))</f>
        <v/>
      </c>
      <c r="H3201" s="124">
        <f>IF(E3201&gt;=5000,5,IF(E3201&gt;=2000,4,IF(E3201&gt;=800,3,IF(E3201&gt;=300,2,1))))</f>
        <v/>
      </c>
      <c r="I3201" s="122">
        <f>TEXT(F3201,"0")&amp;TEXT(G3201,"0")&amp;TEXT(H3201,"0")</f>
        <v/>
      </c>
      <c r="J3201" s="122">
        <f>IFERROR(XLOOKUP(I3201,'Segment Map'!A:A,'Segment Map'!B:B,"Need Attention"),"Need Attention")</f>
        <v/>
      </c>
      <c r="K3201" s="122">
        <f>IF(E3201&gt;=5000,"🏆 Platinum",IF(E3201&gt;=2000,"🥇 Gold",IF(E3201&gt;=800,"🥈 Silver","🥉 Bronze")))</f>
        <v/>
      </c>
      <c r="L3201" s="125" t="n">
        <v>40808</v>
      </c>
    </row>
    <row r="3202">
      <c r="A3202" s="126" t="n">
        <v>16716</v>
      </c>
      <c r="B3202" s="126" t="inlineStr">
        <is>
          <t>United Kingdom</t>
        </is>
      </c>
      <c r="C3202" s="126" t="n">
        <v>267</v>
      </c>
      <c r="D3202" s="126" t="n">
        <v>2</v>
      </c>
      <c r="E3202" s="127" t="n">
        <v>901.2</v>
      </c>
      <c r="F3202" s="128">
        <f>IF(C3202&lt;=30,5,IF(C3202&lt;=60,4,IF(C3202&lt;=120,3,IF(C3202&lt;=200,2,1))))</f>
        <v/>
      </c>
      <c r="G3202" s="128">
        <f>IF(D3202&gt;=20,5,IF(D3202&gt;=10,4,IF(D3202&gt;=5,3,IF(D3202&gt;=2,2,1))))</f>
        <v/>
      </c>
      <c r="H3202" s="128">
        <f>IF(E3202&gt;=5000,5,IF(E3202&gt;=2000,4,IF(E3202&gt;=800,3,IF(E3202&gt;=300,2,1))))</f>
        <v/>
      </c>
      <c r="I3202" s="126">
        <f>TEXT(F3202,"0")&amp;TEXT(G3202,"0")&amp;TEXT(H3202,"0")</f>
        <v/>
      </c>
      <c r="J3202" s="126">
        <f>IFERROR(XLOOKUP(I3202,'Segment Map'!A:A,'Segment Map'!B:B,"Need Attention"),"Need Attention")</f>
        <v/>
      </c>
      <c r="K3202" s="126">
        <f>IF(E3202&gt;=5000,"🏆 Platinum",IF(E3202&gt;=2000,"🥇 Gold",IF(E3202&gt;=800,"🥈 Silver","🥉 Bronze")))</f>
        <v/>
      </c>
      <c r="L3202" s="129" t="n">
        <v>40620</v>
      </c>
    </row>
    <row r="3203">
      <c r="A3203" s="122" t="n">
        <v>16717</v>
      </c>
      <c r="B3203" s="122" t="inlineStr">
        <is>
          <t>United Kingdom</t>
        </is>
      </c>
      <c r="C3203" s="122" t="n">
        <v>24</v>
      </c>
      <c r="D3203" s="122" t="n">
        <v>6</v>
      </c>
      <c r="E3203" s="123" t="n">
        <v>3858.38</v>
      </c>
      <c r="F3203" s="124">
        <f>IF(C3203&lt;=30,5,IF(C3203&lt;=60,4,IF(C3203&lt;=120,3,IF(C3203&lt;=200,2,1))))</f>
        <v/>
      </c>
      <c r="G3203" s="124">
        <f>IF(D3203&gt;=20,5,IF(D3203&gt;=10,4,IF(D3203&gt;=5,3,IF(D3203&gt;=2,2,1))))</f>
        <v/>
      </c>
      <c r="H3203" s="124">
        <f>IF(E3203&gt;=5000,5,IF(E3203&gt;=2000,4,IF(E3203&gt;=800,3,IF(E3203&gt;=300,2,1))))</f>
        <v/>
      </c>
      <c r="I3203" s="122">
        <f>TEXT(F3203,"0")&amp;TEXT(G3203,"0")&amp;TEXT(H3203,"0")</f>
        <v/>
      </c>
      <c r="J3203" s="122">
        <f>IFERROR(XLOOKUP(I3203,'Segment Map'!A:A,'Segment Map'!B:B,"Need Attention"),"Need Attention")</f>
        <v/>
      </c>
      <c r="K3203" s="122">
        <f>IF(E3203&gt;=5000,"🏆 Platinum",IF(E3203&gt;=2000,"🥇 Gold",IF(E3203&gt;=800,"🥈 Silver","🥉 Bronze")))</f>
        <v/>
      </c>
      <c r="L3203" s="125" t="n">
        <v>40863</v>
      </c>
    </row>
    <row r="3204">
      <c r="A3204" s="126" t="n">
        <v>16718</v>
      </c>
      <c r="B3204" s="126" t="inlineStr">
        <is>
          <t>United Kingdom</t>
        </is>
      </c>
      <c r="C3204" s="126" t="n">
        <v>370</v>
      </c>
      <c r="D3204" s="126" t="n">
        <v>1</v>
      </c>
      <c r="E3204" s="127" t="n">
        <v>623.75</v>
      </c>
      <c r="F3204" s="128">
        <f>IF(C3204&lt;=30,5,IF(C3204&lt;=60,4,IF(C3204&lt;=120,3,IF(C3204&lt;=200,2,1))))</f>
        <v/>
      </c>
      <c r="G3204" s="128">
        <f>IF(D3204&gt;=20,5,IF(D3204&gt;=10,4,IF(D3204&gt;=5,3,IF(D3204&gt;=2,2,1))))</f>
        <v/>
      </c>
      <c r="H3204" s="128">
        <f>IF(E3204&gt;=5000,5,IF(E3204&gt;=2000,4,IF(E3204&gt;=800,3,IF(E3204&gt;=300,2,1))))</f>
        <v/>
      </c>
      <c r="I3204" s="126">
        <f>TEXT(F3204,"0")&amp;TEXT(G3204,"0")&amp;TEXT(H3204,"0")</f>
        <v/>
      </c>
      <c r="J3204" s="126">
        <f>IFERROR(XLOOKUP(I3204,'Segment Map'!A:A,'Segment Map'!B:B,"Need Attention"),"Need Attention")</f>
        <v/>
      </c>
      <c r="K3204" s="126">
        <f>IF(E3204&gt;=5000,"🏆 Platinum",IF(E3204&gt;=2000,"🥇 Gold",IF(E3204&gt;=800,"🥈 Silver","🥉 Bronze")))</f>
        <v/>
      </c>
      <c r="L3204" s="129" t="n">
        <v>40517</v>
      </c>
    </row>
    <row r="3205">
      <c r="A3205" s="122" t="n">
        <v>16719</v>
      </c>
      <c r="B3205" s="122" t="inlineStr">
        <is>
          <t>United Kingdom</t>
        </is>
      </c>
      <c r="C3205" s="122" t="n">
        <v>15</v>
      </c>
      <c r="D3205" s="122" t="n">
        <v>7</v>
      </c>
      <c r="E3205" s="123" t="n">
        <v>1790.42</v>
      </c>
      <c r="F3205" s="124">
        <f>IF(C3205&lt;=30,5,IF(C3205&lt;=60,4,IF(C3205&lt;=120,3,IF(C3205&lt;=200,2,1))))</f>
        <v/>
      </c>
      <c r="G3205" s="124">
        <f>IF(D3205&gt;=20,5,IF(D3205&gt;=10,4,IF(D3205&gt;=5,3,IF(D3205&gt;=2,2,1))))</f>
        <v/>
      </c>
      <c r="H3205" s="124">
        <f>IF(E3205&gt;=5000,5,IF(E3205&gt;=2000,4,IF(E3205&gt;=800,3,IF(E3205&gt;=300,2,1))))</f>
        <v/>
      </c>
      <c r="I3205" s="122">
        <f>TEXT(F3205,"0")&amp;TEXT(G3205,"0")&amp;TEXT(H3205,"0")</f>
        <v/>
      </c>
      <c r="J3205" s="122">
        <f>IFERROR(XLOOKUP(I3205,'Segment Map'!A:A,'Segment Map'!B:B,"Need Attention"),"Need Attention")</f>
        <v/>
      </c>
      <c r="K3205" s="122">
        <f>IF(E3205&gt;=5000,"🏆 Platinum",IF(E3205&gt;=2000,"🥇 Gold",IF(E3205&gt;=800,"🥈 Silver","🥉 Bronze")))</f>
        <v/>
      </c>
      <c r="L3205" s="125" t="n">
        <v>40872</v>
      </c>
    </row>
    <row r="3206">
      <c r="A3206" s="126" t="n">
        <v>16720</v>
      </c>
      <c r="B3206" s="126" t="inlineStr">
        <is>
          <t>United Kingdom</t>
        </is>
      </c>
      <c r="C3206" s="126" t="n">
        <v>27</v>
      </c>
      <c r="D3206" s="126" t="n">
        <v>1</v>
      </c>
      <c r="E3206" s="127" t="n">
        <v>155.24</v>
      </c>
      <c r="F3206" s="128">
        <f>IF(C3206&lt;=30,5,IF(C3206&lt;=60,4,IF(C3206&lt;=120,3,IF(C3206&lt;=200,2,1))))</f>
        <v/>
      </c>
      <c r="G3206" s="128">
        <f>IF(D3206&gt;=20,5,IF(D3206&gt;=10,4,IF(D3206&gt;=5,3,IF(D3206&gt;=2,2,1))))</f>
        <v/>
      </c>
      <c r="H3206" s="128">
        <f>IF(E3206&gt;=5000,5,IF(E3206&gt;=2000,4,IF(E3206&gt;=800,3,IF(E3206&gt;=300,2,1))))</f>
        <v/>
      </c>
      <c r="I3206" s="126">
        <f>TEXT(F3206,"0")&amp;TEXT(G3206,"0")&amp;TEXT(H3206,"0")</f>
        <v/>
      </c>
      <c r="J3206" s="126">
        <f>IFERROR(XLOOKUP(I3206,'Segment Map'!A:A,'Segment Map'!B:B,"Need Attention"),"Need Attention")</f>
        <v/>
      </c>
      <c r="K3206" s="126">
        <f>IF(E3206&gt;=5000,"🏆 Platinum",IF(E3206&gt;=2000,"🥇 Gold",IF(E3206&gt;=800,"🥈 Silver","🥉 Bronze")))</f>
        <v/>
      </c>
      <c r="L3206" s="129" t="n">
        <v>40860</v>
      </c>
    </row>
    <row r="3207">
      <c r="A3207" s="122" t="n">
        <v>16721</v>
      </c>
      <c r="B3207" s="122" t="inlineStr">
        <is>
          <t>United Kingdom</t>
        </is>
      </c>
      <c r="C3207" s="122" t="n">
        <v>263</v>
      </c>
      <c r="D3207" s="122" t="n">
        <v>1</v>
      </c>
      <c r="E3207" s="123" t="n">
        <v>292.47</v>
      </c>
      <c r="F3207" s="124">
        <f>IF(C3207&lt;=30,5,IF(C3207&lt;=60,4,IF(C3207&lt;=120,3,IF(C3207&lt;=200,2,1))))</f>
        <v/>
      </c>
      <c r="G3207" s="124">
        <f>IF(D3207&gt;=20,5,IF(D3207&gt;=10,4,IF(D3207&gt;=5,3,IF(D3207&gt;=2,2,1))))</f>
        <v/>
      </c>
      <c r="H3207" s="124">
        <f>IF(E3207&gt;=5000,5,IF(E3207&gt;=2000,4,IF(E3207&gt;=800,3,IF(E3207&gt;=300,2,1))))</f>
        <v/>
      </c>
      <c r="I3207" s="122">
        <f>TEXT(F3207,"0")&amp;TEXT(G3207,"0")&amp;TEXT(H3207,"0")</f>
        <v/>
      </c>
      <c r="J3207" s="122">
        <f>IFERROR(XLOOKUP(I3207,'Segment Map'!A:A,'Segment Map'!B:B,"Need Attention"),"Need Attention")</f>
        <v/>
      </c>
      <c r="K3207" s="122">
        <f>IF(E3207&gt;=5000,"🏆 Platinum",IF(E3207&gt;=2000,"🥇 Gold",IF(E3207&gt;=800,"🥈 Silver","🥉 Bronze")))</f>
        <v/>
      </c>
      <c r="L3207" s="125" t="n">
        <v>40624</v>
      </c>
    </row>
    <row r="3208">
      <c r="A3208" s="126" t="n">
        <v>16722</v>
      </c>
      <c r="B3208" s="126" t="inlineStr">
        <is>
          <t>United Kingdom</t>
        </is>
      </c>
      <c r="C3208" s="126" t="n">
        <v>18</v>
      </c>
      <c r="D3208" s="126" t="n">
        <v>13</v>
      </c>
      <c r="E3208" s="127" t="n">
        <v>4730.81</v>
      </c>
      <c r="F3208" s="128">
        <f>IF(C3208&lt;=30,5,IF(C3208&lt;=60,4,IF(C3208&lt;=120,3,IF(C3208&lt;=200,2,1))))</f>
        <v/>
      </c>
      <c r="G3208" s="128">
        <f>IF(D3208&gt;=20,5,IF(D3208&gt;=10,4,IF(D3208&gt;=5,3,IF(D3208&gt;=2,2,1))))</f>
        <v/>
      </c>
      <c r="H3208" s="128">
        <f>IF(E3208&gt;=5000,5,IF(E3208&gt;=2000,4,IF(E3208&gt;=800,3,IF(E3208&gt;=300,2,1))))</f>
        <v/>
      </c>
      <c r="I3208" s="126">
        <f>TEXT(F3208,"0")&amp;TEXT(G3208,"0")&amp;TEXT(H3208,"0")</f>
        <v/>
      </c>
      <c r="J3208" s="126">
        <f>IFERROR(XLOOKUP(I3208,'Segment Map'!A:A,'Segment Map'!B:B,"Need Attention"),"Need Attention")</f>
        <v/>
      </c>
      <c r="K3208" s="126">
        <f>IF(E3208&gt;=5000,"🏆 Platinum",IF(E3208&gt;=2000,"🥇 Gold",IF(E3208&gt;=800,"🥈 Silver","🥉 Bronze")))</f>
        <v/>
      </c>
      <c r="L3208" s="129" t="n">
        <v>40869</v>
      </c>
    </row>
    <row r="3209">
      <c r="A3209" s="122" t="n">
        <v>16723</v>
      </c>
      <c r="B3209" s="122" t="inlineStr">
        <is>
          <t>United Kingdom</t>
        </is>
      </c>
      <c r="C3209" s="122" t="n">
        <v>92</v>
      </c>
      <c r="D3209" s="122" t="n">
        <v>2</v>
      </c>
      <c r="E3209" s="123" t="n">
        <v>589.15</v>
      </c>
      <c r="F3209" s="124">
        <f>IF(C3209&lt;=30,5,IF(C3209&lt;=60,4,IF(C3209&lt;=120,3,IF(C3209&lt;=200,2,1))))</f>
        <v/>
      </c>
      <c r="G3209" s="124">
        <f>IF(D3209&gt;=20,5,IF(D3209&gt;=10,4,IF(D3209&gt;=5,3,IF(D3209&gt;=2,2,1))))</f>
        <v/>
      </c>
      <c r="H3209" s="124">
        <f>IF(E3209&gt;=5000,5,IF(E3209&gt;=2000,4,IF(E3209&gt;=800,3,IF(E3209&gt;=300,2,1))))</f>
        <v/>
      </c>
      <c r="I3209" s="122">
        <f>TEXT(F3209,"0")&amp;TEXT(G3209,"0")&amp;TEXT(H3209,"0")</f>
        <v/>
      </c>
      <c r="J3209" s="122">
        <f>IFERROR(XLOOKUP(I3209,'Segment Map'!A:A,'Segment Map'!B:B,"Need Attention"),"Need Attention")</f>
        <v/>
      </c>
      <c r="K3209" s="122">
        <f>IF(E3209&gt;=5000,"🏆 Platinum",IF(E3209&gt;=2000,"🥇 Gold",IF(E3209&gt;=800,"🥈 Silver","🥉 Bronze")))</f>
        <v/>
      </c>
      <c r="L3209" s="125" t="n">
        <v>40795</v>
      </c>
    </row>
    <row r="3210">
      <c r="A3210" s="126" t="n">
        <v>16725</v>
      </c>
      <c r="B3210" s="126" t="inlineStr">
        <is>
          <t>United Kingdom</t>
        </is>
      </c>
      <c r="C3210" s="126" t="n">
        <v>303</v>
      </c>
      <c r="D3210" s="126" t="n">
        <v>7</v>
      </c>
      <c r="E3210" s="127" t="n">
        <v>781.02</v>
      </c>
      <c r="F3210" s="128">
        <f>IF(C3210&lt;=30,5,IF(C3210&lt;=60,4,IF(C3210&lt;=120,3,IF(C3210&lt;=200,2,1))))</f>
        <v/>
      </c>
      <c r="G3210" s="128">
        <f>IF(D3210&gt;=20,5,IF(D3210&gt;=10,4,IF(D3210&gt;=5,3,IF(D3210&gt;=2,2,1))))</f>
        <v/>
      </c>
      <c r="H3210" s="128">
        <f>IF(E3210&gt;=5000,5,IF(E3210&gt;=2000,4,IF(E3210&gt;=800,3,IF(E3210&gt;=300,2,1))))</f>
        <v/>
      </c>
      <c r="I3210" s="126">
        <f>TEXT(F3210,"0")&amp;TEXT(G3210,"0")&amp;TEXT(H3210,"0")</f>
        <v/>
      </c>
      <c r="J3210" s="126">
        <f>IFERROR(XLOOKUP(I3210,'Segment Map'!A:A,'Segment Map'!B:B,"Need Attention"),"Need Attention")</f>
        <v/>
      </c>
      <c r="K3210" s="126">
        <f>IF(E3210&gt;=5000,"🏆 Platinum",IF(E3210&gt;=2000,"🥇 Gold",IF(E3210&gt;=800,"🥈 Silver","🥉 Bronze")))</f>
        <v/>
      </c>
      <c r="L3210" s="129" t="n">
        <v>40584</v>
      </c>
    </row>
    <row r="3211">
      <c r="A3211" s="122" t="n">
        <v>16726</v>
      </c>
      <c r="B3211" s="122" t="inlineStr">
        <is>
          <t>United Kingdom</t>
        </is>
      </c>
      <c r="C3211" s="122" t="n">
        <v>27</v>
      </c>
      <c r="D3211" s="122" t="n">
        <v>5</v>
      </c>
      <c r="E3211" s="123" t="n">
        <v>1382.02</v>
      </c>
      <c r="F3211" s="124">
        <f>IF(C3211&lt;=30,5,IF(C3211&lt;=60,4,IF(C3211&lt;=120,3,IF(C3211&lt;=200,2,1))))</f>
        <v/>
      </c>
      <c r="G3211" s="124">
        <f>IF(D3211&gt;=20,5,IF(D3211&gt;=10,4,IF(D3211&gt;=5,3,IF(D3211&gt;=2,2,1))))</f>
        <v/>
      </c>
      <c r="H3211" s="124">
        <f>IF(E3211&gt;=5000,5,IF(E3211&gt;=2000,4,IF(E3211&gt;=800,3,IF(E3211&gt;=300,2,1))))</f>
        <v/>
      </c>
      <c r="I3211" s="122">
        <f>TEXT(F3211,"0")&amp;TEXT(G3211,"0")&amp;TEXT(H3211,"0")</f>
        <v/>
      </c>
      <c r="J3211" s="122">
        <f>IFERROR(XLOOKUP(I3211,'Segment Map'!A:A,'Segment Map'!B:B,"Need Attention"),"Need Attention")</f>
        <v/>
      </c>
      <c r="K3211" s="122">
        <f>IF(E3211&gt;=5000,"🏆 Platinum",IF(E3211&gt;=2000,"🥇 Gold",IF(E3211&gt;=800,"🥈 Silver","🥉 Bronze")))</f>
        <v/>
      </c>
      <c r="L3211" s="125" t="n">
        <v>40860</v>
      </c>
    </row>
    <row r="3212">
      <c r="A3212" s="126" t="n">
        <v>16727</v>
      </c>
      <c r="B3212" s="126" t="inlineStr">
        <is>
          <t>United Kingdom</t>
        </is>
      </c>
      <c r="C3212" s="126" t="n">
        <v>365</v>
      </c>
      <c r="D3212" s="126" t="n">
        <v>1</v>
      </c>
      <c r="E3212" s="127" t="n">
        <v>272.82</v>
      </c>
      <c r="F3212" s="128">
        <f>IF(C3212&lt;=30,5,IF(C3212&lt;=60,4,IF(C3212&lt;=120,3,IF(C3212&lt;=200,2,1))))</f>
        <v/>
      </c>
      <c r="G3212" s="128">
        <f>IF(D3212&gt;=20,5,IF(D3212&gt;=10,4,IF(D3212&gt;=5,3,IF(D3212&gt;=2,2,1))))</f>
        <v/>
      </c>
      <c r="H3212" s="128">
        <f>IF(E3212&gt;=5000,5,IF(E3212&gt;=2000,4,IF(E3212&gt;=800,3,IF(E3212&gt;=300,2,1))))</f>
        <v/>
      </c>
      <c r="I3212" s="126">
        <f>TEXT(F3212,"0")&amp;TEXT(G3212,"0")&amp;TEXT(H3212,"0")</f>
        <v/>
      </c>
      <c r="J3212" s="126">
        <f>IFERROR(XLOOKUP(I3212,'Segment Map'!A:A,'Segment Map'!B:B,"Need Attention"),"Need Attention")</f>
        <v/>
      </c>
      <c r="K3212" s="126">
        <f>IF(E3212&gt;=5000,"🏆 Platinum",IF(E3212&gt;=2000,"🥇 Gold",IF(E3212&gt;=800,"🥈 Silver","🥉 Bronze")))</f>
        <v/>
      </c>
      <c r="L3212" s="129" t="n">
        <v>40522</v>
      </c>
    </row>
    <row r="3213">
      <c r="A3213" s="122" t="n">
        <v>16728</v>
      </c>
      <c r="B3213" s="122" t="inlineStr">
        <is>
          <t>United Kingdom</t>
        </is>
      </c>
      <c r="C3213" s="122" t="n">
        <v>47</v>
      </c>
      <c r="D3213" s="122" t="n">
        <v>4</v>
      </c>
      <c r="E3213" s="123" t="n">
        <v>1054.67</v>
      </c>
      <c r="F3213" s="124">
        <f>IF(C3213&lt;=30,5,IF(C3213&lt;=60,4,IF(C3213&lt;=120,3,IF(C3213&lt;=200,2,1))))</f>
        <v/>
      </c>
      <c r="G3213" s="124">
        <f>IF(D3213&gt;=20,5,IF(D3213&gt;=10,4,IF(D3213&gt;=5,3,IF(D3213&gt;=2,2,1))))</f>
        <v/>
      </c>
      <c r="H3213" s="124">
        <f>IF(E3213&gt;=5000,5,IF(E3213&gt;=2000,4,IF(E3213&gt;=800,3,IF(E3213&gt;=300,2,1))))</f>
        <v/>
      </c>
      <c r="I3213" s="122">
        <f>TEXT(F3213,"0")&amp;TEXT(G3213,"0")&amp;TEXT(H3213,"0")</f>
        <v/>
      </c>
      <c r="J3213" s="122">
        <f>IFERROR(XLOOKUP(I3213,'Segment Map'!A:A,'Segment Map'!B:B,"Need Attention"),"Need Attention")</f>
        <v/>
      </c>
      <c r="K3213" s="122">
        <f>IF(E3213&gt;=5000,"🏆 Platinum",IF(E3213&gt;=2000,"🥇 Gold",IF(E3213&gt;=800,"🥈 Silver","🥉 Bronze")))</f>
        <v/>
      </c>
      <c r="L3213" s="125" t="n">
        <v>40840</v>
      </c>
    </row>
    <row r="3214">
      <c r="A3214" s="126" t="n">
        <v>16729</v>
      </c>
      <c r="B3214" s="126" t="inlineStr">
        <is>
          <t>United Kingdom</t>
        </is>
      </c>
      <c r="C3214" s="126" t="n">
        <v>39</v>
      </c>
      <c r="D3214" s="126" t="n">
        <v>21</v>
      </c>
      <c r="E3214" s="127" t="n">
        <v>7239.92</v>
      </c>
      <c r="F3214" s="128">
        <f>IF(C3214&lt;=30,5,IF(C3214&lt;=60,4,IF(C3214&lt;=120,3,IF(C3214&lt;=200,2,1))))</f>
        <v/>
      </c>
      <c r="G3214" s="128">
        <f>IF(D3214&gt;=20,5,IF(D3214&gt;=10,4,IF(D3214&gt;=5,3,IF(D3214&gt;=2,2,1))))</f>
        <v/>
      </c>
      <c r="H3214" s="128">
        <f>IF(E3214&gt;=5000,5,IF(E3214&gt;=2000,4,IF(E3214&gt;=800,3,IF(E3214&gt;=300,2,1))))</f>
        <v/>
      </c>
      <c r="I3214" s="126">
        <f>TEXT(F3214,"0")&amp;TEXT(G3214,"0")&amp;TEXT(H3214,"0")</f>
        <v/>
      </c>
      <c r="J3214" s="126">
        <f>IFERROR(XLOOKUP(I3214,'Segment Map'!A:A,'Segment Map'!B:B,"Need Attention"),"Need Attention")</f>
        <v/>
      </c>
      <c r="K3214" s="126">
        <f>IF(E3214&gt;=5000,"🏆 Platinum",IF(E3214&gt;=2000,"🥇 Gold",IF(E3214&gt;=800,"🥈 Silver","🥉 Bronze")))</f>
        <v/>
      </c>
      <c r="L3214" s="129" t="n">
        <v>40848</v>
      </c>
    </row>
    <row r="3215">
      <c r="A3215" s="122" t="n">
        <v>16730</v>
      </c>
      <c r="B3215" s="122" t="inlineStr">
        <is>
          <t>United Kingdom</t>
        </is>
      </c>
      <c r="C3215" s="122" t="n">
        <v>53</v>
      </c>
      <c r="D3215" s="122" t="n">
        <v>3</v>
      </c>
      <c r="E3215" s="123" t="n">
        <v>743.11</v>
      </c>
      <c r="F3215" s="124">
        <f>IF(C3215&lt;=30,5,IF(C3215&lt;=60,4,IF(C3215&lt;=120,3,IF(C3215&lt;=200,2,1))))</f>
        <v/>
      </c>
      <c r="G3215" s="124">
        <f>IF(D3215&gt;=20,5,IF(D3215&gt;=10,4,IF(D3215&gt;=5,3,IF(D3215&gt;=2,2,1))))</f>
        <v/>
      </c>
      <c r="H3215" s="124">
        <f>IF(E3215&gt;=5000,5,IF(E3215&gt;=2000,4,IF(E3215&gt;=800,3,IF(E3215&gt;=300,2,1))))</f>
        <v/>
      </c>
      <c r="I3215" s="122">
        <f>TEXT(F3215,"0")&amp;TEXT(G3215,"0")&amp;TEXT(H3215,"0")</f>
        <v/>
      </c>
      <c r="J3215" s="122">
        <f>IFERROR(XLOOKUP(I3215,'Segment Map'!A:A,'Segment Map'!B:B,"Need Attention"),"Need Attention")</f>
        <v/>
      </c>
      <c r="K3215" s="122">
        <f>IF(E3215&gt;=5000,"🏆 Platinum",IF(E3215&gt;=2000,"🥇 Gold",IF(E3215&gt;=800,"🥈 Silver","🥉 Bronze")))</f>
        <v/>
      </c>
      <c r="L3215" s="125" t="n">
        <v>40834</v>
      </c>
    </row>
    <row r="3216">
      <c r="A3216" s="126" t="n">
        <v>16732</v>
      </c>
      <c r="B3216" s="126" t="inlineStr">
        <is>
          <t>United Kingdom</t>
        </is>
      </c>
      <c r="C3216" s="126" t="n">
        <v>32</v>
      </c>
      <c r="D3216" s="126" t="n">
        <v>1</v>
      </c>
      <c r="E3216" s="127" t="n">
        <v>603.75</v>
      </c>
      <c r="F3216" s="128">
        <f>IF(C3216&lt;=30,5,IF(C3216&lt;=60,4,IF(C3216&lt;=120,3,IF(C3216&lt;=200,2,1))))</f>
        <v/>
      </c>
      <c r="G3216" s="128">
        <f>IF(D3216&gt;=20,5,IF(D3216&gt;=10,4,IF(D3216&gt;=5,3,IF(D3216&gt;=2,2,1))))</f>
        <v/>
      </c>
      <c r="H3216" s="128">
        <f>IF(E3216&gt;=5000,5,IF(E3216&gt;=2000,4,IF(E3216&gt;=800,3,IF(E3216&gt;=300,2,1))))</f>
        <v/>
      </c>
      <c r="I3216" s="126">
        <f>TEXT(F3216,"0")&amp;TEXT(G3216,"0")&amp;TEXT(H3216,"0")</f>
        <v/>
      </c>
      <c r="J3216" s="126">
        <f>IFERROR(XLOOKUP(I3216,'Segment Map'!A:A,'Segment Map'!B:B,"Need Attention"),"Need Attention")</f>
        <v/>
      </c>
      <c r="K3216" s="126">
        <f>IF(E3216&gt;=5000,"🏆 Platinum",IF(E3216&gt;=2000,"🥇 Gold",IF(E3216&gt;=800,"🥈 Silver","🥉 Bronze")))</f>
        <v/>
      </c>
      <c r="L3216" s="129" t="n">
        <v>40855</v>
      </c>
    </row>
    <row r="3217">
      <c r="A3217" s="122" t="n">
        <v>16734</v>
      </c>
      <c r="B3217" s="122" t="inlineStr">
        <is>
          <t>United Kingdom</t>
        </is>
      </c>
      <c r="C3217" s="122" t="n">
        <v>53</v>
      </c>
      <c r="D3217" s="122" t="n">
        <v>3</v>
      </c>
      <c r="E3217" s="123" t="n">
        <v>650.51</v>
      </c>
      <c r="F3217" s="124">
        <f>IF(C3217&lt;=30,5,IF(C3217&lt;=60,4,IF(C3217&lt;=120,3,IF(C3217&lt;=200,2,1))))</f>
        <v/>
      </c>
      <c r="G3217" s="124">
        <f>IF(D3217&gt;=20,5,IF(D3217&gt;=10,4,IF(D3217&gt;=5,3,IF(D3217&gt;=2,2,1))))</f>
        <v/>
      </c>
      <c r="H3217" s="124">
        <f>IF(E3217&gt;=5000,5,IF(E3217&gt;=2000,4,IF(E3217&gt;=800,3,IF(E3217&gt;=300,2,1))))</f>
        <v/>
      </c>
      <c r="I3217" s="122">
        <f>TEXT(F3217,"0")&amp;TEXT(G3217,"0")&amp;TEXT(H3217,"0")</f>
        <v/>
      </c>
      <c r="J3217" s="122">
        <f>IFERROR(XLOOKUP(I3217,'Segment Map'!A:A,'Segment Map'!B:B,"Need Attention"),"Need Attention")</f>
        <v/>
      </c>
      <c r="K3217" s="122">
        <f>IF(E3217&gt;=5000,"🏆 Platinum",IF(E3217&gt;=2000,"🥇 Gold",IF(E3217&gt;=800,"🥈 Silver","🥉 Bronze")))</f>
        <v/>
      </c>
      <c r="L3217" s="125" t="n">
        <v>40834</v>
      </c>
    </row>
    <row r="3218">
      <c r="A3218" s="126" t="n">
        <v>16735</v>
      </c>
      <c r="B3218" s="126" t="inlineStr">
        <is>
          <t>United Kingdom</t>
        </is>
      </c>
      <c r="C3218" s="126" t="n">
        <v>79</v>
      </c>
      <c r="D3218" s="126" t="n">
        <v>5</v>
      </c>
      <c r="E3218" s="127" t="n">
        <v>2300.56</v>
      </c>
      <c r="F3218" s="128">
        <f>IF(C3218&lt;=30,5,IF(C3218&lt;=60,4,IF(C3218&lt;=120,3,IF(C3218&lt;=200,2,1))))</f>
        <v/>
      </c>
      <c r="G3218" s="128">
        <f>IF(D3218&gt;=20,5,IF(D3218&gt;=10,4,IF(D3218&gt;=5,3,IF(D3218&gt;=2,2,1))))</f>
        <v/>
      </c>
      <c r="H3218" s="128">
        <f>IF(E3218&gt;=5000,5,IF(E3218&gt;=2000,4,IF(E3218&gt;=800,3,IF(E3218&gt;=300,2,1))))</f>
        <v/>
      </c>
      <c r="I3218" s="126">
        <f>TEXT(F3218,"0")&amp;TEXT(G3218,"0")&amp;TEXT(H3218,"0")</f>
        <v/>
      </c>
      <c r="J3218" s="126">
        <f>IFERROR(XLOOKUP(I3218,'Segment Map'!A:A,'Segment Map'!B:B,"Need Attention"),"Need Attention")</f>
        <v/>
      </c>
      <c r="K3218" s="126">
        <f>IF(E3218&gt;=5000,"🏆 Platinum",IF(E3218&gt;=2000,"🥇 Gold",IF(E3218&gt;=800,"🥈 Silver","🥉 Bronze")))</f>
        <v/>
      </c>
      <c r="L3218" s="129" t="n">
        <v>40808</v>
      </c>
    </row>
    <row r="3219">
      <c r="A3219" s="122" t="n">
        <v>16737</v>
      </c>
      <c r="B3219" s="122" t="inlineStr">
        <is>
          <t>United Kingdom</t>
        </is>
      </c>
      <c r="C3219" s="122" t="n">
        <v>54</v>
      </c>
      <c r="D3219" s="122" t="n">
        <v>1</v>
      </c>
      <c r="E3219" s="123" t="n">
        <v>417.6</v>
      </c>
      <c r="F3219" s="124">
        <f>IF(C3219&lt;=30,5,IF(C3219&lt;=60,4,IF(C3219&lt;=120,3,IF(C3219&lt;=200,2,1))))</f>
        <v/>
      </c>
      <c r="G3219" s="124">
        <f>IF(D3219&gt;=20,5,IF(D3219&gt;=10,4,IF(D3219&gt;=5,3,IF(D3219&gt;=2,2,1))))</f>
        <v/>
      </c>
      <c r="H3219" s="124">
        <f>IF(E3219&gt;=5000,5,IF(E3219&gt;=2000,4,IF(E3219&gt;=800,3,IF(E3219&gt;=300,2,1))))</f>
        <v/>
      </c>
      <c r="I3219" s="122">
        <f>TEXT(F3219,"0")&amp;TEXT(G3219,"0")&amp;TEXT(H3219,"0")</f>
        <v/>
      </c>
      <c r="J3219" s="122">
        <f>IFERROR(XLOOKUP(I3219,'Segment Map'!A:A,'Segment Map'!B:B,"Need Attention"),"Need Attention")</f>
        <v/>
      </c>
      <c r="K3219" s="122">
        <f>IF(E3219&gt;=5000,"🏆 Platinum",IF(E3219&gt;=2000,"🥇 Gold",IF(E3219&gt;=800,"🥈 Silver","🥉 Bronze")))</f>
        <v/>
      </c>
      <c r="L3219" s="125" t="n">
        <v>40833</v>
      </c>
    </row>
    <row r="3220">
      <c r="A3220" s="126" t="n">
        <v>16738</v>
      </c>
      <c r="B3220" s="126" t="inlineStr">
        <is>
          <t>United Kingdom</t>
        </is>
      </c>
      <c r="C3220" s="126" t="n">
        <v>298</v>
      </c>
      <c r="D3220" s="126" t="n">
        <v>1</v>
      </c>
      <c r="E3220" s="127" t="n">
        <v>3.75</v>
      </c>
      <c r="F3220" s="128">
        <f>IF(C3220&lt;=30,5,IF(C3220&lt;=60,4,IF(C3220&lt;=120,3,IF(C3220&lt;=200,2,1))))</f>
        <v/>
      </c>
      <c r="G3220" s="128">
        <f>IF(D3220&gt;=20,5,IF(D3220&gt;=10,4,IF(D3220&gt;=5,3,IF(D3220&gt;=2,2,1))))</f>
        <v/>
      </c>
      <c r="H3220" s="128">
        <f>IF(E3220&gt;=5000,5,IF(E3220&gt;=2000,4,IF(E3220&gt;=800,3,IF(E3220&gt;=300,2,1))))</f>
        <v/>
      </c>
      <c r="I3220" s="126">
        <f>TEXT(F3220,"0")&amp;TEXT(G3220,"0")&amp;TEXT(H3220,"0")</f>
        <v/>
      </c>
      <c r="J3220" s="126">
        <f>IFERROR(XLOOKUP(I3220,'Segment Map'!A:A,'Segment Map'!B:B,"Need Attention"),"Need Attention")</f>
        <v/>
      </c>
      <c r="K3220" s="126">
        <f>IF(E3220&gt;=5000,"🏆 Platinum",IF(E3220&gt;=2000,"🥇 Gold",IF(E3220&gt;=800,"🥈 Silver","🥉 Bronze")))</f>
        <v/>
      </c>
      <c r="L3220" s="129" t="n">
        <v>40589</v>
      </c>
    </row>
    <row r="3221">
      <c r="A3221" s="122" t="n">
        <v>16739</v>
      </c>
      <c r="B3221" s="122" t="inlineStr">
        <is>
          <t>United Kingdom</t>
        </is>
      </c>
      <c r="C3221" s="122" t="n">
        <v>177</v>
      </c>
      <c r="D3221" s="122" t="n">
        <v>1</v>
      </c>
      <c r="E3221" s="123" t="n">
        <v>323</v>
      </c>
      <c r="F3221" s="124">
        <f>IF(C3221&lt;=30,5,IF(C3221&lt;=60,4,IF(C3221&lt;=120,3,IF(C3221&lt;=200,2,1))))</f>
        <v/>
      </c>
      <c r="G3221" s="124">
        <f>IF(D3221&gt;=20,5,IF(D3221&gt;=10,4,IF(D3221&gt;=5,3,IF(D3221&gt;=2,2,1))))</f>
        <v/>
      </c>
      <c r="H3221" s="124">
        <f>IF(E3221&gt;=5000,5,IF(E3221&gt;=2000,4,IF(E3221&gt;=800,3,IF(E3221&gt;=300,2,1))))</f>
        <v/>
      </c>
      <c r="I3221" s="122">
        <f>TEXT(F3221,"0")&amp;TEXT(G3221,"0")&amp;TEXT(H3221,"0")</f>
        <v/>
      </c>
      <c r="J3221" s="122">
        <f>IFERROR(XLOOKUP(I3221,'Segment Map'!A:A,'Segment Map'!B:B,"Need Attention"),"Need Attention")</f>
        <v/>
      </c>
      <c r="K3221" s="122">
        <f>IF(E3221&gt;=5000,"🏆 Platinum",IF(E3221&gt;=2000,"🥇 Gold",IF(E3221&gt;=800,"🥈 Silver","🥉 Bronze")))</f>
        <v/>
      </c>
      <c r="L3221" s="125" t="n">
        <v>40710</v>
      </c>
    </row>
    <row r="3222">
      <c r="A3222" s="126" t="n">
        <v>16742</v>
      </c>
      <c r="B3222" s="126" t="inlineStr">
        <is>
          <t>United Kingdom</t>
        </is>
      </c>
      <c r="C3222" s="126" t="n">
        <v>47</v>
      </c>
      <c r="D3222" s="126" t="n">
        <v>1</v>
      </c>
      <c r="E3222" s="127" t="n">
        <v>464.9</v>
      </c>
      <c r="F3222" s="128">
        <f>IF(C3222&lt;=30,5,IF(C3222&lt;=60,4,IF(C3222&lt;=120,3,IF(C3222&lt;=200,2,1))))</f>
        <v/>
      </c>
      <c r="G3222" s="128">
        <f>IF(D3222&gt;=20,5,IF(D3222&gt;=10,4,IF(D3222&gt;=5,3,IF(D3222&gt;=2,2,1))))</f>
        <v/>
      </c>
      <c r="H3222" s="128">
        <f>IF(E3222&gt;=5000,5,IF(E3222&gt;=2000,4,IF(E3222&gt;=800,3,IF(E3222&gt;=300,2,1))))</f>
        <v/>
      </c>
      <c r="I3222" s="126">
        <f>TEXT(F3222,"0")&amp;TEXT(G3222,"0")&amp;TEXT(H3222,"0")</f>
        <v/>
      </c>
      <c r="J3222" s="126">
        <f>IFERROR(XLOOKUP(I3222,'Segment Map'!A:A,'Segment Map'!B:B,"Need Attention"),"Need Attention")</f>
        <v/>
      </c>
      <c r="K3222" s="126">
        <f>IF(E3222&gt;=5000,"🏆 Platinum",IF(E3222&gt;=2000,"🥇 Gold",IF(E3222&gt;=800,"🥈 Silver","🥉 Bronze")))</f>
        <v/>
      </c>
      <c r="L3222" s="129" t="n">
        <v>40840</v>
      </c>
    </row>
    <row r="3223">
      <c r="A3223" s="122" t="n">
        <v>16743</v>
      </c>
      <c r="B3223" s="122" t="inlineStr">
        <is>
          <t>United Kingdom</t>
        </is>
      </c>
      <c r="C3223" s="122" t="n">
        <v>30</v>
      </c>
      <c r="D3223" s="122" t="n">
        <v>7</v>
      </c>
      <c r="E3223" s="123" t="n">
        <v>2238.09</v>
      </c>
      <c r="F3223" s="124">
        <f>IF(C3223&lt;=30,5,IF(C3223&lt;=60,4,IF(C3223&lt;=120,3,IF(C3223&lt;=200,2,1))))</f>
        <v/>
      </c>
      <c r="G3223" s="124">
        <f>IF(D3223&gt;=20,5,IF(D3223&gt;=10,4,IF(D3223&gt;=5,3,IF(D3223&gt;=2,2,1))))</f>
        <v/>
      </c>
      <c r="H3223" s="124">
        <f>IF(E3223&gt;=5000,5,IF(E3223&gt;=2000,4,IF(E3223&gt;=800,3,IF(E3223&gt;=300,2,1))))</f>
        <v/>
      </c>
      <c r="I3223" s="122">
        <f>TEXT(F3223,"0")&amp;TEXT(G3223,"0")&amp;TEXT(H3223,"0")</f>
        <v/>
      </c>
      <c r="J3223" s="122">
        <f>IFERROR(XLOOKUP(I3223,'Segment Map'!A:A,'Segment Map'!B:B,"Need Attention"),"Need Attention")</f>
        <v/>
      </c>
      <c r="K3223" s="122">
        <f>IF(E3223&gt;=5000,"🏆 Platinum",IF(E3223&gt;=2000,"🥇 Gold",IF(E3223&gt;=800,"🥈 Silver","🥉 Bronze")))</f>
        <v/>
      </c>
      <c r="L3223" s="125" t="n">
        <v>40857</v>
      </c>
    </row>
    <row r="3224">
      <c r="A3224" s="126" t="n">
        <v>16744</v>
      </c>
      <c r="B3224" s="126" t="inlineStr">
        <is>
          <t>United Kingdom</t>
        </is>
      </c>
      <c r="C3224" s="126" t="n">
        <v>12</v>
      </c>
      <c r="D3224" s="126" t="n">
        <v>7</v>
      </c>
      <c r="E3224" s="127" t="n">
        <v>1304.76</v>
      </c>
      <c r="F3224" s="128">
        <f>IF(C3224&lt;=30,5,IF(C3224&lt;=60,4,IF(C3224&lt;=120,3,IF(C3224&lt;=200,2,1))))</f>
        <v/>
      </c>
      <c r="G3224" s="128">
        <f>IF(D3224&gt;=20,5,IF(D3224&gt;=10,4,IF(D3224&gt;=5,3,IF(D3224&gt;=2,2,1))))</f>
        <v/>
      </c>
      <c r="H3224" s="128">
        <f>IF(E3224&gt;=5000,5,IF(E3224&gt;=2000,4,IF(E3224&gt;=800,3,IF(E3224&gt;=300,2,1))))</f>
        <v/>
      </c>
      <c r="I3224" s="126">
        <f>TEXT(F3224,"0")&amp;TEXT(G3224,"0")&amp;TEXT(H3224,"0")</f>
        <v/>
      </c>
      <c r="J3224" s="126">
        <f>IFERROR(XLOOKUP(I3224,'Segment Map'!A:A,'Segment Map'!B:B,"Need Attention"),"Need Attention")</f>
        <v/>
      </c>
      <c r="K3224" s="126">
        <f>IF(E3224&gt;=5000,"🏆 Platinum",IF(E3224&gt;=2000,"🥇 Gold",IF(E3224&gt;=800,"🥈 Silver","🥉 Bronze")))</f>
        <v/>
      </c>
      <c r="L3224" s="129" t="n">
        <v>40875</v>
      </c>
    </row>
    <row r="3225">
      <c r="A3225" s="122" t="n">
        <v>16745</v>
      </c>
      <c r="B3225" s="122" t="inlineStr">
        <is>
          <t>United Kingdom</t>
        </is>
      </c>
      <c r="C3225" s="122" t="n">
        <v>87</v>
      </c>
      <c r="D3225" s="122" t="n">
        <v>17</v>
      </c>
      <c r="E3225" s="123" t="n">
        <v>7194.3</v>
      </c>
      <c r="F3225" s="124">
        <f>IF(C3225&lt;=30,5,IF(C3225&lt;=60,4,IF(C3225&lt;=120,3,IF(C3225&lt;=200,2,1))))</f>
        <v/>
      </c>
      <c r="G3225" s="124">
        <f>IF(D3225&gt;=20,5,IF(D3225&gt;=10,4,IF(D3225&gt;=5,3,IF(D3225&gt;=2,2,1))))</f>
        <v/>
      </c>
      <c r="H3225" s="124">
        <f>IF(E3225&gt;=5000,5,IF(E3225&gt;=2000,4,IF(E3225&gt;=800,3,IF(E3225&gt;=300,2,1))))</f>
        <v/>
      </c>
      <c r="I3225" s="122">
        <f>TEXT(F3225,"0")&amp;TEXT(G3225,"0")&amp;TEXT(H3225,"0")</f>
        <v/>
      </c>
      <c r="J3225" s="122">
        <f>IFERROR(XLOOKUP(I3225,'Segment Map'!A:A,'Segment Map'!B:B,"Need Attention"),"Need Attention")</f>
        <v/>
      </c>
      <c r="K3225" s="122">
        <f>IF(E3225&gt;=5000,"🏆 Platinum",IF(E3225&gt;=2000,"🥇 Gold",IF(E3225&gt;=800,"🥈 Silver","🥉 Bronze")))</f>
        <v/>
      </c>
      <c r="L3225" s="125" t="n">
        <v>40800</v>
      </c>
    </row>
    <row r="3226">
      <c r="A3226" s="126" t="n">
        <v>16746</v>
      </c>
      <c r="B3226" s="126" t="inlineStr">
        <is>
          <t>United Kingdom</t>
        </is>
      </c>
      <c r="C3226" s="126" t="n">
        <v>5</v>
      </c>
      <c r="D3226" s="126" t="n">
        <v>18</v>
      </c>
      <c r="E3226" s="127" t="n">
        <v>6697.66</v>
      </c>
      <c r="F3226" s="128">
        <f>IF(C3226&lt;=30,5,IF(C3226&lt;=60,4,IF(C3226&lt;=120,3,IF(C3226&lt;=200,2,1))))</f>
        <v/>
      </c>
      <c r="G3226" s="128">
        <f>IF(D3226&gt;=20,5,IF(D3226&gt;=10,4,IF(D3226&gt;=5,3,IF(D3226&gt;=2,2,1))))</f>
        <v/>
      </c>
      <c r="H3226" s="128">
        <f>IF(E3226&gt;=5000,5,IF(E3226&gt;=2000,4,IF(E3226&gt;=800,3,IF(E3226&gt;=300,2,1))))</f>
        <v/>
      </c>
      <c r="I3226" s="126">
        <f>TEXT(F3226,"0")&amp;TEXT(G3226,"0")&amp;TEXT(H3226,"0")</f>
        <v/>
      </c>
      <c r="J3226" s="126">
        <f>IFERROR(XLOOKUP(I3226,'Segment Map'!A:A,'Segment Map'!B:B,"Need Attention"),"Need Attention")</f>
        <v/>
      </c>
      <c r="K3226" s="126">
        <f>IF(E3226&gt;=5000,"🏆 Platinum",IF(E3226&gt;=2000,"🥇 Gold",IF(E3226&gt;=800,"🥈 Silver","🥉 Bronze")))</f>
        <v/>
      </c>
      <c r="L3226" s="129" t="n">
        <v>40882</v>
      </c>
    </row>
    <row r="3227">
      <c r="A3227" s="122" t="n">
        <v>16747</v>
      </c>
      <c r="B3227" s="122" t="inlineStr">
        <is>
          <t>United Kingdom</t>
        </is>
      </c>
      <c r="C3227" s="122" t="n">
        <v>38</v>
      </c>
      <c r="D3227" s="122" t="n">
        <v>2</v>
      </c>
      <c r="E3227" s="123" t="n">
        <v>836.0599999999999</v>
      </c>
      <c r="F3227" s="124">
        <f>IF(C3227&lt;=30,5,IF(C3227&lt;=60,4,IF(C3227&lt;=120,3,IF(C3227&lt;=200,2,1))))</f>
        <v/>
      </c>
      <c r="G3227" s="124">
        <f>IF(D3227&gt;=20,5,IF(D3227&gt;=10,4,IF(D3227&gt;=5,3,IF(D3227&gt;=2,2,1))))</f>
        <v/>
      </c>
      <c r="H3227" s="124">
        <f>IF(E3227&gt;=5000,5,IF(E3227&gt;=2000,4,IF(E3227&gt;=800,3,IF(E3227&gt;=300,2,1))))</f>
        <v/>
      </c>
      <c r="I3227" s="122">
        <f>TEXT(F3227,"0")&amp;TEXT(G3227,"0")&amp;TEXT(H3227,"0")</f>
        <v/>
      </c>
      <c r="J3227" s="122">
        <f>IFERROR(XLOOKUP(I3227,'Segment Map'!A:A,'Segment Map'!B:B,"Need Attention"),"Need Attention")</f>
        <v/>
      </c>
      <c r="K3227" s="122">
        <f>IF(E3227&gt;=5000,"🏆 Platinum",IF(E3227&gt;=2000,"🥇 Gold",IF(E3227&gt;=800,"🥈 Silver","🥉 Bronze")))</f>
        <v/>
      </c>
      <c r="L3227" s="125" t="n">
        <v>40849</v>
      </c>
    </row>
    <row r="3228">
      <c r="A3228" s="126" t="n">
        <v>16748</v>
      </c>
      <c r="B3228" s="126" t="inlineStr">
        <is>
          <t>United Kingdom</t>
        </is>
      </c>
      <c r="C3228" s="126" t="n">
        <v>18</v>
      </c>
      <c r="D3228" s="126" t="n">
        <v>5</v>
      </c>
      <c r="E3228" s="127" t="n">
        <v>1515.9</v>
      </c>
      <c r="F3228" s="128">
        <f>IF(C3228&lt;=30,5,IF(C3228&lt;=60,4,IF(C3228&lt;=120,3,IF(C3228&lt;=200,2,1))))</f>
        <v/>
      </c>
      <c r="G3228" s="128">
        <f>IF(D3228&gt;=20,5,IF(D3228&gt;=10,4,IF(D3228&gt;=5,3,IF(D3228&gt;=2,2,1))))</f>
        <v/>
      </c>
      <c r="H3228" s="128">
        <f>IF(E3228&gt;=5000,5,IF(E3228&gt;=2000,4,IF(E3228&gt;=800,3,IF(E3228&gt;=300,2,1))))</f>
        <v/>
      </c>
      <c r="I3228" s="126">
        <f>TEXT(F3228,"0")&amp;TEXT(G3228,"0")&amp;TEXT(H3228,"0")</f>
        <v/>
      </c>
      <c r="J3228" s="126">
        <f>IFERROR(XLOOKUP(I3228,'Segment Map'!A:A,'Segment Map'!B:B,"Need Attention"),"Need Attention")</f>
        <v/>
      </c>
      <c r="K3228" s="126">
        <f>IF(E3228&gt;=5000,"🏆 Platinum",IF(E3228&gt;=2000,"🥇 Gold",IF(E3228&gt;=800,"🥈 Silver","🥉 Bronze")))</f>
        <v/>
      </c>
      <c r="L3228" s="129" t="n">
        <v>40869</v>
      </c>
    </row>
    <row r="3229">
      <c r="A3229" s="122" t="n">
        <v>16750</v>
      </c>
      <c r="B3229" s="122" t="inlineStr">
        <is>
          <t>United Kingdom</t>
        </is>
      </c>
      <c r="C3229" s="122" t="n">
        <v>45</v>
      </c>
      <c r="D3229" s="122" t="n">
        <v>5</v>
      </c>
      <c r="E3229" s="123" t="n">
        <v>623.9299999999999</v>
      </c>
      <c r="F3229" s="124">
        <f>IF(C3229&lt;=30,5,IF(C3229&lt;=60,4,IF(C3229&lt;=120,3,IF(C3229&lt;=200,2,1))))</f>
        <v/>
      </c>
      <c r="G3229" s="124">
        <f>IF(D3229&gt;=20,5,IF(D3229&gt;=10,4,IF(D3229&gt;=5,3,IF(D3229&gt;=2,2,1))))</f>
        <v/>
      </c>
      <c r="H3229" s="124">
        <f>IF(E3229&gt;=5000,5,IF(E3229&gt;=2000,4,IF(E3229&gt;=800,3,IF(E3229&gt;=300,2,1))))</f>
        <v/>
      </c>
      <c r="I3229" s="122">
        <f>TEXT(F3229,"0")&amp;TEXT(G3229,"0")&amp;TEXT(H3229,"0")</f>
        <v/>
      </c>
      <c r="J3229" s="122">
        <f>IFERROR(XLOOKUP(I3229,'Segment Map'!A:A,'Segment Map'!B:B,"Need Attention"),"Need Attention")</f>
        <v/>
      </c>
      <c r="K3229" s="122">
        <f>IF(E3229&gt;=5000,"🏆 Platinum",IF(E3229&gt;=2000,"🥇 Gold",IF(E3229&gt;=800,"🥈 Silver","🥉 Bronze")))</f>
        <v/>
      </c>
      <c r="L3229" s="125" t="n">
        <v>40842</v>
      </c>
    </row>
    <row r="3230">
      <c r="A3230" s="126" t="n">
        <v>16751</v>
      </c>
      <c r="B3230" s="126" t="inlineStr">
        <is>
          <t>United Kingdom</t>
        </is>
      </c>
      <c r="C3230" s="126" t="n">
        <v>31</v>
      </c>
      <c r="D3230" s="126" t="n">
        <v>1</v>
      </c>
      <c r="E3230" s="127" t="n">
        <v>1764.72</v>
      </c>
      <c r="F3230" s="128">
        <f>IF(C3230&lt;=30,5,IF(C3230&lt;=60,4,IF(C3230&lt;=120,3,IF(C3230&lt;=200,2,1))))</f>
        <v/>
      </c>
      <c r="G3230" s="128">
        <f>IF(D3230&gt;=20,5,IF(D3230&gt;=10,4,IF(D3230&gt;=5,3,IF(D3230&gt;=2,2,1))))</f>
        <v/>
      </c>
      <c r="H3230" s="128">
        <f>IF(E3230&gt;=5000,5,IF(E3230&gt;=2000,4,IF(E3230&gt;=800,3,IF(E3230&gt;=300,2,1))))</f>
        <v/>
      </c>
      <c r="I3230" s="126">
        <f>TEXT(F3230,"0")&amp;TEXT(G3230,"0")&amp;TEXT(H3230,"0")</f>
        <v/>
      </c>
      <c r="J3230" s="126">
        <f>IFERROR(XLOOKUP(I3230,'Segment Map'!A:A,'Segment Map'!B:B,"Need Attention"),"Need Attention")</f>
        <v/>
      </c>
      <c r="K3230" s="126">
        <f>IF(E3230&gt;=5000,"🏆 Platinum",IF(E3230&gt;=2000,"🥇 Gold",IF(E3230&gt;=800,"🥈 Silver","🥉 Bronze")))</f>
        <v/>
      </c>
      <c r="L3230" s="129" t="n">
        <v>40856</v>
      </c>
    </row>
    <row r="3231">
      <c r="A3231" s="122" t="n">
        <v>16752</v>
      </c>
      <c r="B3231" s="122" t="inlineStr">
        <is>
          <t>United Kingdom</t>
        </is>
      </c>
      <c r="C3231" s="122" t="n">
        <v>373</v>
      </c>
      <c r="D3231" s="122" t="n">
        <v>1</v>
      </c>
      <c r="E3231" s="123" t="n">
        <v>207.5</v>
      </c>
      <c r="F3231" s="124">
        <f>IF(C3231&lt;=30,5,IF(C3231&lt;=60,4,IF(C3231&lt;=120,3,IF(C3231&lt;=200,2,1))))</f>
        <v/>
      </c>
      <c r="G3231" s="124">
        <f>IF(D3231&gt;=20,5,IF(D3231&gt;=10,4,IF(D3231&gt;=5,3,IF(D3231&gt;=2,2,1))))</f>
        <v/>
      </c>
      <c r="H3231" s="124">
        <f>IF(E3231&gt;=5000,5,IF(E3231&gt;=2000,4,IF(E3231&gt;=800,3,IF(E3231&gt;=300,2,1))))</f>
        <v/>
      </c>
      <c r="I3231" s="122">
        <f>TEXT(F3231,"0")&amp;TEXT(G3231,"0")&amp;TEXT(H3231,"0")</f>
        <v/>
      </c>
      <c r="J3231" s="122">
        <f>IFERROR(XLOOKUP(I3231,'Segment Map'!A:A,'Segment Map'!B:B,"Need Attention"),"Need Attention")</f>
        <v/>
      </c>
      <c r="K3231" s="122">
        <f>IF(E3231&gt;=5000,"🏆 Platinum",IF(E3231&gt;=2000,"🥇 Gold",IF(E3231&gt;=800,"🥈 Silver","🥉 Bronze")))</f>
        <v/>
      </c>
      <c r="L3231" s="125" t="n">
        <v>40514</v>
      </c>
    </row>
    <row r="3232">
      <c r="A3232" s="126" t="n">
        <v>16753</v>
      </c>
      <c r="B3232" s="126" t="inlineStr">
        <is>
          <t>United Kingdom</t>
        </is>
      </c>
      <c r="C3232" s="126" t="n">
        <v>59</v>
      </c>
      <c r="D3232" s="126" t="n">
        <v>1</v>
      </c>
      <c r="E3232" s="127" t="n">
        <v>223.92</v>
      </c>
      <c r="F3232" s="128">
        <f>IF(C3232&lt;=30,5,IF(C3232&lt;=60,4,IF(C3232&lt;=120,3,IF(C3232&lt;=200,2,1))))</f>
        <v/>
      </c>
      <c r="G3232" s="128">
        <f>IF(D3232&gt;=20,5,IF(D3232&gt;=10,4,IF(D3232&gt;=5,3,IF(D3232&gt;=2,2,1))))</f>
        <v/>
      </c>
      <c r="H3232" s="128">
        <f>IF(E3232&gt;=5000,5,IF(E3232&gt;=2000,4,IF(E3232&gt;=800,3,IF(E3232&gt;=300,2,1))))</f>
        <v/>
      </c>
      <c r="I3232" s="126">
        <f>TEXT(F3232,"0")&amp;TEXT(G3232,"0")&amp;TEXT(H3232,"0")</f>
        <v/>
      </c>
      <c r="J3232" s="126">
        <f>IFERROR(XLOOKUP(I3232,'Segment Map'!A:A,'Segment Map'!B:B,"Need Attention"),"Need Attention")</f>
        <v/>
      </c>
      <c r="K3232" s="126">
        <f>IF(E3232&gt;=5000,"🏆 Platinum",IF(E3232&gt;=2000,"🥇 Gold",IF(E3232&gt;=800,"🥈 Silver","🥉 Bronze")))</f>
        <v/>
      </c>
      <c r="L3232" s="129" t="n">
        <v>40828</v>
      </c>
    </row>
    <row r="3233">
      <c r="A3233" s="122" t="n">
        <v>16754</v>
      </c>
      <c r="B3233" s="122" t="inlineStr">
        <is>
          <t>United Kingdom</t>
        </is>
      </c>
      <c r="C3233" s="122" t="n">
        <v>373</v>
      </c>
      <c r="D3233" s="122" t="n">
        <v>1</v>
      </c>
      <c r="E3233" s="123" t="n">
        <v>2002.4</v>
      </c>
      <c r="F3233" s="124">
        <f>IF(C3233&lt;=30,5,IF(C3233&lt;=60,4,IF(C3233&lt;=120,3,IF(C3233&lt;=200,2,1))))</f>
        <v/>
      </c>
      <c r="G3233" s="124">
        <f>IF(D3233&gt;=20,5,IF(D3233&gt;=10,4,IF(D3233&gt;=5,3,IF(D3233&gt;=2,2,1))))</f>
        <v/>
      </c>
      <c r="H3233" s="124">
        <f>IF(E3233&gt;=5000,5,IF(E3233&gt;=2000,4,IF(E3233&gt;=800,3,IF(E3233&gt;=300,2,1))))</f>
        <v/>
      </c>
      <c r="I3233" s="122">
        <f>TEXT(F3233,"0")&amp;TEXT(G3233,"0")&amp;TEXT(H3233,"0")</f>
        <v/>
      </c>
      <c r="J3233" s="122">
        <f>IFERROR(XLOOKUP(I3233,'Segment Map'!A:A,'Segment Map'!B:B,"Need Attention"),"Need Attention")</f>
        <v/>
      </c>
      <c r="K3233" s="122">
        <f>IF(E3233&gt;=5000,"🏆 Platinum",IF(E3233&gt;=2000,"🥇 Gold",IF(E3233&gt;=800,"🥈 Silver","🥉 Bronze")))</f>
        <v/>
      </c>
      <c r="L3233" s="125" t="n">
        <v>40514</v>
      </c>
    </row>
    <row r="3234">
      <c r="A3234" s="126" t="n">
        <v>16755</v>
      </c>
      <c r="B3234" s="126" t="inlineStr">
        <is>
          <t>United Kingdom</t>
        </is>
      </c>
      <c r="C3234" s="126" t="n">
        <v>115</v>
      </c>
      <c r="D3234" s="126" t="n">
        <v>3</v>
      </c>
      <c r="E3234" s="127" t="n">
        <v>1496.83</v>
      </c>
      <c r="F3234" s="128">
        <f>IF(C3234&lt;=30,5,IF(C3234&lt;=60,4,IF(C3234&lt;=120,3,IF(C3234&lt;=200,2,1))))</f>
        <v/>
      </c>
      <c r="G3234" s="128">
        <f>IF(D3234&gt;=20,5,IF(D3234&gt;=10,4,IF(D3234&gt;=5,3,IF(D3234&gt;=2,2,1))))</f>
        <v/>
      </c>
      <c r="H3234" s="128">
        <f>IF(E3234&gt;=5000,5,IF(E3234&gt;=2000,4,IF(E3234&gt;=800,3,IF(E3234&gt;=300,2,1))))</f>
        <v/>
      </c>
      <c r="I3234" s="126">
        <f>TEXT(F3234,"0")&amp;TEXT(G3234,"0")&amp;TEXT(H3234,"0")</f>
        <v/>
      </c>
      <c r="J3234" s="126">
        <f>IFERROR(XLOOKUP(I3234,'Segment Map'!A:A,'Segment Map'!B:B,"Need Attention"),"Need Attention")</f>
        <v/>
      </c>
      <c r="K3234" s="126">
        <f>IF(E3234&gt;=5000,"🏆 Platinum",IF(E3234&gt;=2000,"🥇 Gold",IF(E3234&gt;=800,"🥈 Silver","🥉 Bronze")))</f>
        <v/>
      </c>
      <c r="L3234" s="129" t="n">
        <v>40772</v>
      </c>
    </row>
    <row r="3235">
      <c r="A3235" s="122" t="n">
        <v>16756</v>
      </c>
      <c r="B3235" s="122" t="inlineStr">
        <is>
          <t>United Kingdom</t>
        </is>
      </c>
      <c r="C3235" s="122" t="n">
        <v>215</v>
      </c>
      <c r="D3235" s="122" t="n">
        <v>1</v>
      </c>
      <c r="E3235" s="123" t="n">
        <v>239.4</v>
      </c>
      <c r="F3235" s="124">
        <f>IF(C3235&lt;=30,5,IF(C3235&lt;=60,4,IF(C3235&lt;=120,3,IF(C3235&lt;=200,2,1))))</f>
        <v/>
      </c>
      <c r="G3235" s="124">
        <f>IF(D3235&gt;=20,5,IF(D3235&gt;=10,4,IF(D3235&gt;=5,3,IF(D3235&gt;=2,2,1))))</f>
        <v/>
      </c>
      <c r="H3235" s="124">
        <f>IF(E3235&gt;=5000,5,IF(E3235&gt;=2000,4,IF(E3235&gt;=800,3,IF(E3235&gt;=300,2,1))))</f>
        <v/>
      </c>
      <c r="I3235" s="122">
        <f>TEXT(F3235,"0")&amp;TEXT(G3235,"0")&amp;TEXT(H3235,"0")</f>
        <v/>
      </c>
      <c r="J3235" s="122">
        <f>IFERROR(XLOOKUP(I3235,'Segment Map'!A:A,'Segment Map'!B:B,"Need Attention"),"Need Attention")</f>
        <v/>
      </c>
      <c r="K3235" s="122">
        <f>IF(E3235&gt;=5000,"🏆 Platinum",IF(E3235&gt;=2000,"🥇 Gold",IF(E3235&gt;=800,"🥈 Silver","🥉 Bronze")))</f>
        <v/>
      </c>
      <c r="L3235" s="125" t="n">
        <v>40672</v>
      </c>
    </row>
    <row r="3236">
      <c r="A3236" s="126" t="n">
        <v>16757</v>
      </c>
      <c r="B3236" s="126" t="inlineStr">
        <is>
          <t>United Kingdom</t>
        </is>
      </c>
      <c r="C3236" s="126" t="n">
        <v>319</v>
      </c>
      <c r="D3236" s="126" t="n">
        <v>1</v>
      </c>
      <c r="E3236" s="127" t="n">
        <v>106.83</v>
      </c>
      <c r="F3236" s="128">
        <f>IF(C3236&lt;=30,5,IF(C3236&lt;=60,4,IF(C3236&lt;=120,3,IF(C3236&lt;=200,2,1))))</f>
        <v/>
      </c>
      <c r="G3236" s="128">
        <f>IF(D3236&gt;=20,5,IF(D3236&gt;=10,4,IF(D3236&gt;=5,3,IF(D3236&gt;=2,2,1))))</f>
        <v/>
      </c>
      <c r="H3236" s="128">
        <f>IF(E3236&gt;=5000,5,IF(E3236&gt;=2000,4,IF(E3236&gt;=800,3,IF(E3236&gt;=300,2,1))))</f>
        <v/>
      </c>
      <c r="I3236" s="126">
        <f>TEXT(F3236,"0")&amp;TEXT(G3236,"0")&amp;TEXT(H3236,"0")</f>
        <v/>
      </c>
      <c r="J3236" s="126">
        <f>IFERROR(XLOOKUP(I3236,'Segment Map'!A:A,'Segment Map'!B:B,"Need Attention"),"Need Attention")</f>
        <v/>
      </c>
      <c r="K3236" s="126">
        <f>IF(E3236&gt;=5000,"🏆 Platinum",IF(E3236&gt;=2000,"🥇 Gold",IF(E3236&gt;=800,"🥈 Silver","🥉 Bronze")))</f>
        <v/>
      </c>
      <c r="L3236" s="129" t="n">
        <v>40568</v>
      </c>
    </row>
    <row r="3237">
      <c r="A3237" s="122" t="n">
        <v>16758</v>
      </c>
      <c r="B3237" s="122" t="inlineStr">
        <is>
          <t>United Kingdom</t>
        </is>
      </c>
      <c r="C3237" s="122" t="n">
        <v>66</v>
      </c>
      <c r="D3237" s="122" t="n">
        <v>1</v>
      </c>
      <c r="E3237" s="123" t="n">
        <v>369.34</v>
      </c>
      <c r="F3237" s="124">
        <f>IF(C3237&lt;=30,5,IF(C3237&lt;=60,4,IF(C3237&lt;=120,3,IF(C3237&lt;=200,2,1))))</f>
        <v/>
      </c>
      <c r="G3237" s="124">
        <f>IF(D3237&gt;=20,5,IF(D3237&gt;=10,4,IF(D3237&gt;=5,3,IF(D3237&gt;=2,2,1))))</f>
        <v/>
      </c>
      <c r="H3237" s="124">
        <f>IF(E3237&gt;=5000,5,IF(E3237&gt;=2000,4,IF(E3237&gt;=800,3,IF(E3237&gt;=300,2,1))))</f>
        <v/>
      </c>
      <c r="I3237" s="122">
        <f>TEXT(F3237,"0")&amp;TEXT(G3237,"0")&amp;TEXT(H3237,"0")</f>
        <v/>
      </c>
      <c r="J3237" s="122">
        <f>IFERROR(XLOOKUP(I3237,'Segment Map'!A:A,'Segment Map'!B:B,"Need Attention"),"Need Attention")</f>
        <v/>
      </c>
      <c r="K3237" s="122">
        <f>IF(E3237&gt;=5000,"🏆 Platinum",IF(E3237&gt;=2000,"🥇 Gold",IF(E3237&gt;=800,"🥈 Silver","🥉 Bronze")))</f>
        <v/>
      </c>
      <c r="L3237" s="125" t="n">
        <v>40821</v>
      </c>
    </row>
    <row r="3238">
      <c r="A3238" s="126" t="n">
        <v>16759</v>
      </c>
      <c r="B3238" s="126" t="inlineStr">
        <is>
          <t>United Kingdom</t>
        </is>
      </c>
      <c r="C3238" s="126" t="n">
        <v>8</v>
      </c>
      <c r="D3238" s="126" t="n">
        <v>3</v>
      </c>
      <c r="E3238" s="127" t="n">
        <v>789.79</v>
      </c>
      <c r="F3238" s="128">
        <f>IF(C3238&lt;=30,5,IF(C3238&lt;=60,4,IF(C3238&lt;=120,3,IF(C3238&lt;=200,2,1))))</f>
        <v/>
      </c>
      <c r="G3238" s="128">
        <f>IF(D3238&gt;=20,5,IF(D3238&gt;=10,4,IF(D3238&gt;=5,3,IF(D3238&gt;=2,2,1))))</f>
        <v/>
      </c>
      <c r="H3238" s="128">
        <f>IF(E3238&gt;=5000,5,IF(E3238&gt;=2000,4,IF(E3238&gt;=800,3,IF(E3238&gt;=300,2,1))))</f>
        <v/>
      </c>
      <c r="I3238" s="126">
        <f>TEXT(F3238,"0")&amp;TEXT(G3238,"0")&amp;TEXT(H3238,"0")</f>
        <v/>
      </c>
      <c r="J3238" s="126">
        <f>IFERROR(XLOOKUP(I3238,'Segment Map'!A:A,'Segment Map'!B:B,"Need Attention"),"Need Attention")</f>
        <v/>
      </c>
      <c r="K3238" s="126">
        <f>IF(E3238&gt;=5000,"🏆 Platinum",IF(E3238&gt;=2000,"🥇 Gold",IF(E3238&gt;=800,"🥈 Silver","🥉 Bronze")))</f>
        <v/>
      </c>
      <c r="L3238" s="129" t="n">
        <v>40879</v>
      </c>
    </row>
    <row r="3239">
      <c r="A3239" s="122" t="n">
        <v>16761</v>
      </c>
      <c r="B3239" s="122" t="inlineStr">
        <is>
          <t>United Kingdom</t>
        </is>
      </c>
      <c r="C3239" s="122" t="n">
        <v>97</v>
      </c>
      <c r="D3239" s="122" t="n">
        <v>1</v>
      </c>
      <c r="E3239" s="123" t="n">
        <v>316.62</v>
      </c>
      <c r="F3239" s="124">
        <f>IF(C3239&lt;=30,5,IF(C3239&lt;=60,4,IF(C3239&lt;=120,3,IF(C3239&lt;=200,2,1))))</f>
        <v/>
      </c>
      <c r="G3239" s="124">
        <f>IF(D3239&gt;=20,5,IF(D3239&gt;=10,4,IF(D3239&gt;=5,3,IF(D3239&gt;=2,2,1))))</f>
        <v/>
      </c>
      <c r="H3239" s="124">
        <f>IF(E3239&gt;=5000,5,IF(E3239&gt;=2000,4,IF(E3239&gt;=800,3,IF(E3239&gt;=300,2,1))))</f>
        <v/>
      </c>
      <c r="I3239" s="122">
        <f>TEXT(F3239,"0")&amp;TEXT(G3239,"0")&amp;TEXT(H3239,"0")</f>
        <v/>
      </c>
      <c r="J3239" s="122">
        <f>IFERROR(XLOOKUP(I3239,'Segment Map'!A:A,'Segment Map'!B:B,"Need Attention"),"Need Attention")</f>
        <v/>
      </c>
      <c r="K3239" s="122">
        <f>IF(E3239&gt;=5000,"🏆 Platinum",IF(E3239&gt;=2000,"🥇 Gold",IF(E3239&gt;=800,"🥈 Silver","🥉 Bronze")))</f>
        <v/>
      </c>
      <c r="L3239" s="125" t="n">
        <v>40790</v>
      </c>
    </row>
    <row r="3240">
      <c r="A3240" s="126" t="n">
        <v>16762</v>
      </c>
      <c r="B3240" s="126" t="inlineStr">
        <is>
          <t>United Kingdom</t>
        </is>
      </c>
      <c r="C3240" s="126" t="n">
        <v>20</v>
      </c>
      <c r="D3240" s="126" t="n">
        <v>3</v>
      </c>
      <c r="E3240" s="127" t="n">
        <v>1501.38</v>
      </c>
      <c r="F3240" s="128">
        <f>IF(C3240&lt;=30,5,IF(C3240&lt;=60,4,IF(C3240&lt;=120,3,IF(C3240&lt;=200,2,1))))</f>
        <v/>
      </c>
      <c r="G3240" s="128">
        <f>IF(D3240&gt;=20,5,IF(D3240&gt;=10,4,IF(D3240&gt;=5,3,IF(D3240&gt;=2,2,1))))</f>
        <v/>
      </c>
      <c r="H3240" s="128">
        <f>IF(E3240&gt;=5000,5,IF(E3240&gt;=2000,4,IF(E3240&gt;=800,3,IF(E3240&gt;=300,2,1))))</f>
        <v/>
      </c>
      <c r="I3240" s="126">
        <f>TEXT(F3240,"0")&amp;TEXT(G3240,"0")&amp;TEXT(H3240,"0")</f>
        <v/>
      </c>
      <c r="J3240" s="126">
        <f>IFERROR(XLOOKUP(I3240,'Segment Map'!A:A,'Segment Map'!B:B,"Need Attention"),"Need Attention")</f>
        <v/>
      </c>
      <c r="K3240" s="126">
        <f>IF(E3240&gt;=5000,"🏆 Platinum",IF(E3240&gt;=2000,"🥇 Gold",IF(E3240&gt;=800,"🥈 Silver","🥉 Bronze")))</f>
        <v/>
      </c>
      <c r="L3240" s="129" t="n">
        <v>40867</v>
      </c>
    </row>
    <row r="3241">
      <c r="A3241" s="122" t="n">
        <v>16763</v>
      </c>
      <c r="B3241" s="122" t="inlineStr">
        <is>
          <t>United Kingdom</t>
        </is>
      </c>
      <c r="C3241" s="122" t="n">
        <v>199</v>
      </c>
      <c r="D3241" s="122" t="n">
        <v>1</v>
      </c>
      <c r="E3241" s="123" t="n">
        <v>611.85</v>
      </c>
      <c r="F3241" s="124">
        <f>IF(C3241&lt;=30,5,IF(C3241&lt;=60,4,IF(C3241&lt;=120,3,IF(C3241&lt;=200,2,1))))</f>
        <v/>
      </c>
      <c r="G3241" s="124">
        <f>IF(D3241&gt;=20,5,IF(D3241&gt;=10,4,IF(D3241&gt;=5,3,IF(D3241&gt;=2,2,1))))</f>
        <v/>
      </c>
      <c r="H3241" s="124">
        <f>IF(E3241&gt;=5000,5,IF(E3241&gt;=2000,4,IF(E3241&gt;=800,3,IF(E3241&gt;=300,2,1))))</f>
        <v/>
      </c>
      <c r="I3241" s="122">
        <f>TEXT(F3241,"0")&amp;TEXT(G3241,"0")&amp;TEXT(H3241,"0")</f>
        <v/>
      </c>
      <c r="J3241" s="122">
        <f>IFERROR(XLOOKUP(I3241,'Segment Map'!A:A,'Segment Map'!B:B,"Need Attention"),"Need Attention")</f>
        <v/>
      </c>
      <c r="K3241" s="122">
        <f>IF(E3241&gt;=5000,"🏆 Platinum",IF(E3241&gt;=2000,"🥇 Gold",IF(E3241&gt;=800,"🥈 Silver","🥉 Bronze")))</f>
        <v/>
      </c>
      <c r="L3241" s="125" t="n">
        <v>40688</v>
      </c>
    </row>
    <row r="3242">
      <c r="A3242" s="126" t="n">
        <v>16764</v>
      </c>
      <c r="B3242" s="126" t="inlineStr">
        <is>
          <t>United Kingdom</t>
        </is>
      </c>
      <c r="C3242" s="126" t="n">
        <v>4</v>
      </c>
      <c r="D3242" s="126" t="n">
        <v>13</v>
      </c>
      <c r="E3242" s="127" t="n">
        <v>2799.25</v>
      </c>
      <c r="F3242" s="128">
        <f>IF(C3242&lt;=30,5,IF(C3242&lt;=60,4,IF(C3242&lt;=120,3,IF(C3242&lt;=200,2,1))))</f>
        <v/>
      </c>
      <c r="G3242" s="128">
        <f>IF(D3242&gt;=20,5,IF(D3242&gt;=10,4,IF(D3242&gt;=5,3,IF(D3242&gt;=2,2,1))))</f>
        <v/>
      </c>
      <c r="H3242" s="128">
        <f>IF(E3242&gt;=5000,5,IF(E3242&gt;=2000,4,IF(E3242&gt;=800,3,IF(E3242&gt;=300,2,1))))</f>
        <v/>
      </c>
      <c r="I3242" s="126">
        <f>TEXT(F3242,"0")&amp;TEXT(G3242,"0")&amp;TEXT(H3242,"0")</f>
        <v/>
      </c>
      <c r="J3242" s="126">
        <f>IFERROR(XLOOKUP(I3242,'Segment Map'!A:A,'Segment Map'!B:B,"Need Attention"),"Need Attention")</f>
        <v/>
      </c>
      <c r="K3242" s="126">
        <f>IF(E3242&gt;=5000,"🏆 Platinum",IF(E3242&gt;=2000,"🥇 Gold",IF(E3242&gt;=800,"🥈 Silver","🥉 Bronze")))</f>
        <v/>
      </c>
      <c r="L3242" s="129" t="n">
        <v>40883</v>
      </c>
    </row>
    <row r="3243">
      <c r="A3243" s="122" t="n">
        <v>16765</v>
      </c>
      <c r="B3243" s="122" t="inlineStr">
        <is>
          <t>United Kingdom</t>
        </is>
      </c>
      <c r="C3243" s="122" t="n">
        <v>295</v>
      </c>
      <c r="D3243" s="122" t="n">
        <v>1</v>
      </c>
      <c r="E3243" s="123" t="n">
        <v>34</v>
      </c>
      <c r="F3243" s="124">
        <f>IF(C3243&lt;=30,5,IF(C3243&lt;=60,4,IF(C3243&lt;=120,3,IF(C3243&lt;=200,2,1))))</f>
        <v/>
      </c>
      <c r="G3243" s="124">
        <f>IF(D3243&gt;=20,5,IF(D3243&gt;=10,4,IF(D3243&gt;=5,3,IF(D3243&gt;=2,2,1))))</f>
        <v/>
      </c>
      <c r="H3243" s="124">
        <f>IF(E3243&gt;=5000,5,IF(E3243&gt;=2000,4,IF(E3243&gt;=800,3,IF(E3243&gt;=300,2,1))))</f>
        <v/>
      </c>
      <c r="I3243" s="122">
        <f>TEXT(F3243,"0")&amp;TEXT(G3243,"0")&amp;TEXT(H3243,"0")</f>
        <v/>
      </c>
      <c r="J3243" s="122">
        <f>IFERROR(XLOOKUP(I3243,'Segment Map'!A:A,'Segment Map'!B:B,"Need Attention"),"Need Attention")</f>
        <v/>
      </c>
      <c r="K3243" s="122">
        <f>IF(E3243&gt;=5000,"🏆 Platinum",IF(E3243&gt;=2000,"🥇 Gold",IF(E3243&gt;=800,"🥈 Silver","🥉 Bronze")))</f>
        <v/>
      </c>
      <c r="L3243" s="125" t="n">
        <v>40592</v>
      </c>
    </row>
    <row r="3244">
      <c r="A3244" s="126" t="n">
        <v>16766</v>
      </c>
      <c r="B3244" s="126" t="inlineStr">
        <is>
          <t>United Kingdom</t>
        </is>
      </c>
      <c r="C3244" s="126" t="n">
        <v>274</v>
      </c>
      <c r="D3244" s="126" t="n">
        <v>2</v>
      </c>
      <c r="E3244" s="127" t="n">
        <v>1145.6</v>
      </c>
      <c r="F3244" s="128">
        <f>IF(C3244&lt;=30,5,IF(C3244&lt;=60,4,IF(C3244&lt;=120,3,IF(C3244&lt;=200,2,1))))</f>
        <v/>
      </c>
      <c r="G3244" s="128">
        <f>IF(D3244&gt;=20,5,IF(D3244&gt;=10,4,IF(D3244&gt;=5,3,IF(D3244&gt;=2,2,1))))</f>
        <v/>
      </c>
      <c r="H3244" s="128">
        <f>IF(E3244&gt;=5000,5,IF(E3244&gt;=2000,4,IF(E3244&gt;=800,3,IF(E3244&gt;=300,2,1))))</f>
        <v/>
      </c>
      <c r="I3244" s="126">
        <f>TEXT(F3244,"0")&amp;TEXT(G3244,"0")&amp;TEXT(H3244,"0")</f>
        <v/>
      </c>
      <c r="J3244" s="126">
        <f>IFERROR(XLOOKUP(I3244,'Segment Map'!A:A,'Segment Map'!B:B,"Need Attention"),"Need Attention")</f>
        <v/>
      </c>
      <c r="K3244" s="126">
        <f>IF(E3244&gt;=5000,"🏆 Platinum",IF(E3244&gt;=2000,"🥇 Gold",IF(E3244&gt;=800,"🥈 Silver","🥉 Bronze")))</f>
        <v/>
      </c>
      <c r="L3244" s="129" t="n">
        <v>40613</v>
      </c>
    </row>
    <row r="3245">
      <c r="A3245" s="122" t="n">
        <v>16767</v>
      </c>
      <c r="B3245" s="122" t="inlineStr">
        <is>
          <t>United Kingdom</t>
        </is>
      </c>
      <c r="C3245" s="122" t="n">
        <v>31</v>
      </c>
      <c r="D3245" s="122" t="n">
        <v>11</v>
      </c>
      <c r="E3245" s="123" t="n">
        <v>5580.6</v>
      </c>
      <c r="F3245" s="124">
        <f>IF(C3245&lt;=30,5,IF(C3245&lt;=60,4,IF(C3245&lt;=120,3,IF(C3245&lt;=200,2,1))))</f>
        <v/>
      </c>
      <c r="G3245" s="124">
        <f>IF(D3245&gt;=20,5,IF(D3245&gt;=10,4,IF(D3245&gt;=5,3,IF(D3245&gt;=2,2,1))))</f>
        <v/>
      </c>
      <c r="H3245" s="124">
        <f>IF(E3245&gt;=5000,5,IF(E3245&gt;=2000,4,IF(E3245&gt;=800,3,IF(E3245&gt;=300,2,1))))</f>
        <v/>
      </c>
      <c r="I3245" s="122">
        <f>TEXT(F3245,"0")&amp;TEXT(G3245,"0")&amp;TEXT(H3245,"0")</f>
        <v/>
      </c>
      <c r="J3245" s="122">
        <f>IFERROR(XLOOKUP(I3245,'Segment Map'!A:A,'Segment Map'!B:B,"Need Attention"),"Need Attention")</f>
        <v/>
      </c>
      <c r="K3245" s="122">
        <f>IF(E3245&gt;=5000,"🏆 Platinum",IF(E3245&gt;=2000,"🥇 Gold",IF(E3245&gt;=800,"🥈 Silver","🥉 Bronze")))</f>
        <v/>
      </c>
      <c r="L3245" s="125" t="n">
        <v>40856</v>
      </c>
    </row>
    <row r="3246">
      <c r="A3246" s="126" t="n">
        <v>16768</v>
      </c>
      <c r="B3246" s="126" t="inlineStr">
        <is>
          <t>United Kingdom</t>
        </is>
      </c>
      <c r="C3246" s="126" t="n">
        <v>48</v>
      </c>
      <c r="D3246" s="126" t="n">
        <v>3</v>
      </c>
      <c r="E3246" s="127" t="n">
        <v>478.09</v>
      </c>
      <c r="F3246" s="128">
        <f>IF(C3246&lt;=30,5,IF(C3246&lt;=60,4,IF(C3246&lt;=120,3,IF(C3246&lt;=200,2,1))))</f>
        <v/>
      </c>
      <c r="G3246" s="128">
        <f>IF(D3246&gt;=20,5,IF(D3246&gt;=10,4,IF(D3246&gt;=5,3,IF(D3246&gt;=2,2,1))))</f>
        <v/>
      </c>
      <c r="H3246" s="128">
        <f>IF(E3246&gt;=5000,5,IF(E3246&gt;=2000,4,IF(E3246&gt;=800,3,IF(E3246&gt;=300,2,1))))</f>
        <v/>
      </c>
      <c r="I3246" s="126">
        <f>TEXT(F3246,"0")&amp;TEXT(G3246,"0")&amp;TEXT(H3246,"0")</f>
        <v/>
      </c>
      <c r="J3246" s="126">
        <f>IFERROR(XLOOKUP(I3246,'Segment Map'!A:A,'Segment Map'!B:B,"Need Attention"),"Need Attention")</f>
        <v/>
      </c>
      <c r="K3246" s="126">
        <f>IF(E3246&gt;=5000,"🏆 Platinum",IF(E3246&gt;=2000,"🥇 Gold",IF(E3246&gt;=800,"🥈 Silver","🥉 Bronze")))</f>
        <v/>
      </c>
      <c r="L3246" s="129" t="n">
        <v>40839</v>
      </c>
    </row>
    <row r="3247">
      <c r="A3247" s="122" t="n">
        <v>16769</v>
      </c>
      <c r="B3247" s="122" t="inlineStr">
        <is>
          <t>United Kingdom</t>
        </is>
      </c>
      <c r="C3247" s="122" t="n">
        <v>261</v>
      </c>
      <c r="D3247" s="122" t="n">
        <v>1</v>
      </c>
      <c r="E3247" s="123" t="n">
        <v>380.39</v>
      </c>
      <c r="F3247" s="124">
        <f>IF(C3247&lt;=30,5,IF(C3247&lt;=60,4,IF(C3247&lt;=120,3,IF(C3247&lt;=200,2,1))))</f>
        <v/>
      </c>
      <c r="G3247" s="124">
        <f>IF(D3247&gt;=20,5,IF(D3247&gt;=10,4,IF(D3247&gt;=5,3,IF(D3247&gt;=2,2,1))))</f>
        <v/>
      </c>
      <c r="H3247" s="124">
        <f>IF(E3247&gt;=5000,5,IF(E3247&gt;=2000,4,IF(E3247&gt;=800,3,IF(E3247&gt;=300,2,1))))</f>
        <v/>
      </c>
      <c r="I3247" s="122">
        <f>TEXT(F3247,"0")&amp;TEXT(G3247,"0")&amp;TEXT(H3247,"0")</f>
        <v/>
      </c>
      <c r="J3247" s="122">
        <f>IFERROR(XLOOKUP(I3247,'Segment Map'!A:A,'Segment Map'!B:B,"Need Attention"),"Need Attention")</f>
        <v/>
      </c>
      <c r="K3247" s="122">
        <f>IF(E3247&gt;=5000,"🏆 Platinum",IF(E3247&gt;=2000,"🥇 Gold",IF(E3247&gt;=800,"🥈 Silver","🥉 Bronze")))</f>
        <v/>
      </c>
      <c r="L3247" s="125" t="n">
        <v>40626</v>
      </c>
    </row>
    <row r="3248">
      <c r="A3248" s="126" t="n">
        <v>16770</v>
      </c>
      <c r="B3248" s="126" t="inlineStr">
        <is>
          <t>United Kingdom</t>
        </is>
      </c>
      <c r="C3248" s="126" t="n">
        <v>58</v>
      </c>
      <c r="D3248" s="126" t="n">
        <v>5</v>
      </c>
      <c r="E3248" s="127" t="n">
        <v>770.1</v>
      </c>
      <c r="F3248" s="128">
        <f>IF(C3248&lt;=30,5,IF(C3248&lt;=60,4,IF(C3248&lt;=120,3,IF(C3248&lt;=200,2,1))))</f>
        <v/>
      </c>
      <c r="G3248" s="128">
        <f>IF(D3248&gt;=20,5,IF(D3248&gt;=10,4,IF(D3248&gt;=5,3,IF(D3248&gt;=2,2,1))))</f>
        <v/>
      </c>
      <c r="H3248" s="128">
        <f>IF(E3248&gt;=5000,5,IF(E3248&gt;=2000,4,IF(E3248&gt;=800,3,IF(E3248&gt;=300,2,1))))</f>
        <v/>
      </c>
      <c r="I3248" s="126">
        <f>TEXT(F3248,"0")&amp;TEXT(G3248,"0")&amp;TEXT(H3248,"0")</f>
        <v/>
      </c>
      <c r="J3248" s="126">
        <f>IFERROR(XLOOKUP(I3248,'Segment Map'!A:A,'Segment Map'!B:B,"Need Attention"),"Need Attention")</f>
        <v/>
      </c>
      <c r="K3248" s="126">
        <f>IF(E3248&gt;=5000,"🏆 Platinum",IF(E3248&gt;=2000,"🥇 Gold",IF(E3248&gt;=800,"🥈 Silver","🥉 Bronze")))</f>
        <v/>
      </c>
      <c r="L3248" s="129" t="n">
        <v>40829</v>
      </c>
    </row>
    <row r="3249">
      <c r="A3249" s="122" t="n">
        <v>16771</v>
      </c>
      <c r="B3249" s="122" t="inlineStr">
        <is>
          <t>United Kingdom</t>
        </is>
      </c>
      <c r="C3249" s="122" t="n">
        <v>34</v>
      </c>
      <c r="D3249" s="122" t="n">
        <v>5</v>
      </c>
      <c r="E3249" s="123" t="n">
        <v>2246.81</v>
      </c>
      <c r="F3249" s="124">
        <f>IF(C3249&lt;=30,5,IF(C3249&lt;=60,4,IF(C3249&lt;=120,3,IF(C3249&lt;=200,2,1))))</f>
        <v/>
      </c>
      <c r="G3249" s="124">
        <f>IF(D3249&gt;=20,5,IF(D3249&gt;=10,4,IF(D3249&gt;=5,3,IF(D3249&gt;=2,2,1))))</f>
        <v/>
      </c>
      <c r="H3249" s="124">
        <f>IF(E3249&gt;=5000,5,IF(E3249&gt;=2000,4,IF(E3249&gt;=800,3,IF(E3249&gt;=300,2,1))))</f>
        <v/>
      </c>
      <c r="I3249" s="122">
        <f>TEXT(F3249,"0")&amp;TEXT(G3249,"0")&amp;TEXT(H3249,"0")</f>
        <v/>
      </c>
      <c r="J3249" s="122">
        <f>IFERROR(XLOOKUP(I3249,'Segment Map'!A:A,'Segment Map'!B:B,"Need Attention"),"Need Attention")</f>
        <v/>
      </c>
      <c r="K3249" s="122">
        <f>IF(E3249&gt;=5000,"🏆 Platinum",IF(E3249&gt;=2000,"🥇 Gold",IF(E3249&gt;=800,"🥈 Silver","🥉 Bronze")))</f>
        <v/>
      </c>
      <c r="L3249" s="125" t="n">
        <v>40853</v>
      </c>
    </row>
    <row r="3250">
      <c r="A3250" s="126" t="n">
        <v>16773</v>
      </c>
      <c r="B3250" s="126" t="inlineStr">
        <is>
          <t>United Kingdom</t>
        </is>
      </c>
      <c r="C3250" s="126" t="n">
        <v>58</v>
      </c>
      <c r="D3250" s="126" t="n">
        <v>1</v>
      </c>
      <c r="E3250" s="127" t="n">
        <v>171.59</v>
      </c>
      <c r="F3250" s="128">
        <f>IF(C3250&lt;=30,5,IF(C3250&lt;=60,4,IF(C3250&lt;=120,3,IF(C3250&lt;=200,2,1))))</f>
        <v/>
      </c>
      <c r="G3250" s="128">
        <f>IF(D3250&gt;=20,5,IF(D3250&gt;=10,4,IF(D3250&gt;=5,3,IF(D3250&gt;=2,2,1))))</f>
        <v/>
      </c>
      <c r="H3250" s="128">
        <f>IF(E3250&gt;=5000,5,IF(E3250&gt;=2000,4,IF(E3250&gt;=800,3,IF(E3250&gt;=300,2,1))))</f>
        <v/>
      </c>
      <c r="I3250" s="126">
        <f>TEXT(F3250,"0")&amp;TEXT(G3250,"0")&amp;TEXT(H3250,"0")</f>
        <v/>
      </c>
      <c r="J3250" s="126">
        <f>IFERROR(XLOOKUP(I3250,'Segment Map'!A:A,'Segment Map'!B:B,"Need Attention"),"Need Attention")</f>
        <v/>
      </c>
      <c r="K3250" s="126">
        <f>IF(E3250&gt;=5000,"🏆 Platinum",IF(E3250&gt;=2000,"🥇 Gold",IF(E3250&gt;=800,"🥈 Silver","🥉 Bronze")))</f>
        <v/>
      </c>
      <c r="L3250" s="129" t="n">
        <v>40829</v>
      </c>
    </row>
    <row r="3251">
      <c r="A3251" s="122" t="n">
        <v>16774</v>
      </c>
      <c r="B3251" s="122" t="inlineStr">
        <is>
          <t>United Kingdom</t>
        </is>
      </c>
      <c r="C3251" s="122" t="n">
        <v>68</v>
      </c>
      <c r="D3251" s="122" t="n">
        <v>4</v>
      </c>
      <c r="E3251" s="123" t="n">
        <v>661.52</v>
      </c>
      <c r="F3251" s="124">
        <f>IF(C3251&lt;=30,5,IF(C3251&lt;=60,4,IF(C3251&lt;=120,3,IF(C3251&lt;=200,2,1))))</f>
        <v/>
      </c>
      <c r="G3251" s="124">
        <f>IF(D3251&gt;=20,5,IF(D3251&gt;=10,4,IF(D3251&gt;=5,3,IF(D3251&gt;=2,2,1))))</f>
        <v/>
      </c>
      <c r="H3251" s="124">
        <f>IF(E3251&gt;=5000,5,IF(E3251&gt;=2000,4,IF(E3251&gt;=800,3,IF(E3251&gt;=300,2,1))))</f>
        <v/>
      </c>
      <c r="I3251" s="122">
        <f>TEXT(F3251,"0")&amp;TEXT(G3251,"0")&amp;TEXT(H3251,"0")</f>
        <v/>
      </c>
      <c r="J3251" s="122">
        <f>IFERROR(XLOOKUP(I3251,'Segment Map'!A:A,'Segment Map'!B:B,"Need Attention"),"Need Attention")</f>
        <v/>
      </c>
      <c r="K3251" s="122">
        <f>IF(E3251&gt;=5000,"🏆 Platinum",IF(E3251&gt;=2000,"🥇 Gold",IF(E3251&gt;=800,"🥈 Silver","🥉 Bronze")))</f>
        <v/>
      </c>
      <c r="L3251" s="125" t="n">
        <v>40819</v>
      </c>
    </row>
    <row r="3252">
      <c r="A3252" s="126" t="n">
        <v>16775</v>
      </c>
      <c r="B3252" s="126" t="inlineStr">
        <is>
          <t>United Kingdom</t>
        </is>
      </c>
      <c r="C3252" s="126" t="n">
        <v>11</v>
      </c>
      <c r="D3252" s="126" t="n">
        <v>11</v>
      </c>
      <c r="E3252" s="127" t="n">
        <v>1695.66</v>
      </c>
      <c r="F3252" s="128">
        <f>IF(C3252&lt;=30,5,IF(C3252&lt;=60,4,IF(C3252&lt;=120,3,IF(C3252&lt;=200,2,1))))</f>
        <v/>
      </c>
      <c r="G3252" s="128">
        <f>IF(D3252&gt;=20,5,IF(D3252&gt;=10,4,IF(D3252&gt;=5,3,IF(D3252&gt;=2,2,1))))</f>
        <v/>
      </c>
      <c r="H3252" s="128">
        <f>IF(E3252&gt;=5000,5,IF(E3252&gt;=2000,4,IF(E3252&gt;=800,3,IF(E3252&gt;=300,2,1))))</f>
        <v/>
      </c>
      <c r="I3252" s="126">
        <f>TEXT(F3252,"0")&amp;TEXT(G3252,"0")&amp;TEXT(H3252,"0")</f>
        <v/>
      </c>
      <c r="J3252" s="126">
        <f>IFERROR(XLOOKUP(I3252,'Segment Map'!A:A,'Segment Map'!B:B,"Need Attention"),"Need Attention")</f>
        <v/>
      </c>
      <c r="K3252" s="126">
        <f>IF(E3252&gt;=5000,"🏆 Platinum",IF(E3252&gt;=2000,"🥇 Gold",IF(E3252&gt;=800,"🥈 Silver","🥉 Bronze")))</f>
        <v/>
      </c>
      <c r="L3252" s="129" t="n">
        <v>40876</v>
      </c>
    </row>
    <row r="3253">
      <c r="A3253" s="122" t="n">
        <v>16776</v>
      </c>
      <c r="B3253" s="122" t="inlineStr">
        <is>
          <t>United Kingdom</t>
        </is>
      </c>
      <c r="C3253" s="122" t="n">
        <v>61</v>
      </c>
      <c r="D3253" s="122" t="n">
        <v>1</v>
      </c>
      <c r="E3253" s="123" t="n">
        <v>388.28</v>
      </c>
      <c r="F3253" s="124">
        <f>IF(C3253&lt;=30,5,IF(C3253&lt;=60,4,IF(C3253&lt;=120,3,IF(C3253&lt;=200,2,1))))</f>
        <v/>
      </c>
      <c r="G3253" s="124">
        <f>IF(D3253&gt;=20,5,IF(D3253&gt;=10,4,IF(D3253&gt;=5,3,IF(D3253&gt;=2,2,1))))</f>
        <v/>
      </c>
      <c r="H3253" s="124">
        <f>IF(E3253&gt;=5000,5,IF(E3253&gt;=2000,4,IF(E3253&gt;=800,3,IF(E3253&gt;=300,2,1))))</f>
        <v/>
      </c>
      <c r="I3253" s="122">
        <f>TEXT(F3253,"0")&amp;TEXT(G3253,"0")&amp;TEXT(H3253,"0")</f>
        <v/>
      </c>
      <c r="J3253" s="122">
        <f>IFERROR(XLOOKUP(I3253,'Segment Map'!A:A,'Segment Map'!B:B,"Need Attention"),"Need Attention")</f>
        <v/>
      </c>
      <c r="K3253" s="122">
        <f>IF(E3253&gt;=5000,"🏆 Platinum",IF(E3253&gt;=2000,"🥇 Gold",IF(E3253&gt;=800,"🥈 Silver","🥉 Bronze")))</f>
        <v/>
      </c>
      <c r="L3253" s="125" t="n">
        <v>40826</v>
      </c>
    </row>
    <row r="3254">
      <c r="A3254" s="126" t="n">
        <v>16777</v>
      </c>
      <c r="B3254" s="126" t="inlineStr">
        <is>
          <t>United Kingdom</t>
        </is>
      </c>
      <c r="C3254" s="126" t="n">
        <v>81</v>
      </c>
      <c r="D3254" s="126" t="n">
        <v>2</v>
      </c>
      <c r="E3254" s="127" t="n">
        <v>226.35</v>
      </c>
      <c r="F3254" s="128">
        <f>IF(C3254&lt;=30,5,IF(C3254&lt;=60,4,IF(C3254&lt;=120,3,IF(C3254&lt;=200,2,1))))</f>
        <v/>
      </c>
      <c r="G3254" s="128">
        <f>IF(D3254&gt;=20,5,IF(D3254&gt;=10,4,IF(D3254&gt;=5,3,IF(D3254&gt;=2,2,1))))</f>
        <v/>
      </c>
      <c r="H3254" s="128">
        <f>IF(E3254&gt;=5000,5,IF(E3254&gt;=2000,4,IF(E3254&gt;=800,3,IF(E3254&gt;=300,2,1))))</f>
        <v/>
      </c>
      <c r="I3254" s="126">
        <f>TEXT(F3254,"0")&amp;TEXT(G3254,"0")&amp;TEXT(H3254,"0")</f>
        <v/>
      </c>
      <c r="J3254" s="126">
        <f>IFERROR(XLOOKUP(I3254,'Segment Map'!A:A,'Segment Map'!B:B,"Need Attention"),"Need Attention")</f>
        <v/>
      </c>
      <c r="K3254" s="126">
        <f>IF(E3254&gt;=5000,"🏆 Platinum",IF(E3254&gt;=2000,"🥇 Gold",IF(E3254&gt;=800,"🥈 Silver","🥉 Bronze")))</f>
        <v/>
      </c>
      <c r="L3254" s="129" t="n">
        <v>40806</v>
      </c>
    </row>
    <row r="3255">
      <c r="A3255" s="122" t="n">
        <v>16778</v>
      </c>
      <c r="B3255" s="122" t="inlineStr">
        <is>
          <t>United Kingdom</t>
        </is>
      </c>
      <c r="C3255" s="122" t="n">
        <v>75</v>
      </c>
      <c r="D3255" s="122" t="n">
        <v>2</v>
      </c>
      <c r="E3255" s="123" t="n">
        <v>245.94</v>
      </c>
      <c r="F3255" s="124">
        <f>IF(C3255&lt;=30,5,IF(C3255&lt;=60,4,IF(C3255&lt;=120,3,IF(C3255&lt;=200,2,1))))</f>
        <v/>
      </c>
      <c r="G3255" s="124">
        <f>IF(D3255&gt;=20,5,IF(D3255&gt;=10,4,IF(D3255&gt;=5,3,IF(D3255&gt;=2,2,1))))</f>
        <v/>
      </c>
      <c r="H3255" s="124">
        <f>IF(E3255&gt;=5000,5,IF(E3255&gt;=2000,4,IF(E3255&gt;=800,3,IF(E3255&gt;=300,2,1))))</f>
        <v/>
      </c>
      <c r="I3255" s="122">
        <f>TEXT(F3255,"0")&amp;TEXT(G3255,"0")&amp;TEXT(H3255,"0")</f>
        <v/>
      </c>
      <c r="J3255" s="122">
        <f>IFERROR(XLOOKUP(I3255,'Segment Map'!A:A,'Segment Map'!B:B,"Need Attention"),"Need Attention")</f>
        <v/>
      </c>
      <c r="K3255" s="122">
        <f>IF(E3255&gt;=5000,"🏆 Platinum",IF(E3255&gt;=2000,"🥇 Gold",IF(E3255&gt;=800,"🥈 Silver","🥉 Bronze")))</f>
        <v/>
      </c>
      <c r="L3255" s="125" t="n">
        <v>40812</v>
      </c>
    </row>
    <row r="3256">
      <c r="A3256" s="126" t="n">
        <v>16779</v>
      </c>
      <c r="B3256" s="126" t="inlineStr">
        <is>
          <t>United Kingdom</t>
        </is>
      </c>
      <c r="C3256" s="126" t="n">
        <v>3</v>
      </c>
      <c r="D3256" s="126" t="n">
        <v>22</v>
      </c>
      <c r="E3256" s="127" t="n">
        <v>10629.72</v>
      </c>
      <c r="F3256" s="128">
        <f>IF(C3256&lt;=30,5,IF(C3256&lt;=60,4,IF(C3256&lt;=120,3,IF(C3256&lt;=200,2,1))))</f>
        <v/>
      </c>
      <c r="G3256" s="128">
        <f>IF(D3256&gt;=20,5,IF(D3256&gt;=10,4,IF(D3256&gt;=5,3,IF(D3256&gt;=2,2,1))))</f>
        <v/>
      </c>
      <c r="H3256" s="128">
        <f>IF(E3256&gt;=5000,5,IF(E3256&gt;=2000,4,IF(E3256&gt;=800,3,IF(E3256&gt;=300,2,1))))</f>
        <v/>
      </c>
      <c r="I3256" s="126">
        <f>TEXT(F3256,"0")&amp;TEXT(G3256,"0")&amp;TEXT(H3256,"0")</f>
        <v/>
      </c>
      <c r="J3256" s="126">
        <f>IFERROR(XLOOKUP(I3256,'Segment Map'!A:A,'Segment Map'!B:B,"Need Attention"),"Need Attention")</f>
        <v/>
      </c>
      <c r="K3256" s="126">
        <f>IF(E3256&gt;=5000,"🏆 Platinum",IF(E3256&gt;=2000,"🥇 Gold",IF(E3256&gt;=800,"🥈 Silver","🥉 Bronze")))</f>
        <v/>
      </c>
      <c r="L3256" s="129" t="n">
        <v>40884</v>
      </c>
    </row>
    <row r="3257">
      <c r="A3257" s="122" t="n">
        <v>16780</v>
      </c>
      <c r="B3257" s="122" t="inlineStr">
        <is>
          <t>United Kingdom</t>
        </is>
      </c>
      <c r="C3257" s="122" t="n">
        <v>101</v>
      </c>
      <c r="D3257" s="122" t="n">
        <v>2</v>
      </c>
      <c r="E3257" s="123" t="n">
        <v>425.19</v>
      </c>
      <c r="F3257" s="124">
        <f>IF(C3257&lt;=30,5,IF(C3257&lt;=60,4,IF(C3257&lt;=120,3,IF(C3257&lt;=200,2,1))))</f>
        <v/>
      </c>
      <c r="G3257" s="124">
        <f>IF(D3257&gt;=20,5,IF(D3257&gt;=10,4,IF(D3257&gt;=5,3,IF(D3257&gt;=2,2,1))))</f>
        <v/>
      </c>
      <c r="H3257" s="124">
        <f>IF(E3257&gt;=5000,5,IF(E3257&gt;=2000,4,IF(E3257&gt;=800,3,IF(E3257&gt;=300,2,1))))</f>
        <v/>
      </c>
      <c r="I3257" s="122">
        <f>TEXT(F3257,"0")&amp;TEXT(G3257,"0")&amp;TEXT(H3257,"0")</f>
        <v/>
      </c>
      <c r="J3257" s="122">
        <f>IFERROR(XLOOKUP(I3257,'Segment Map'!A:A,'Segment Map'!B:B,"Need Attention"),"Need Attention")</f>
        <v/>
      </c>
      <c r="K3257" s="122">
        <f>IF(E3257&gt;=5000,"🏆 Platinum",IF(E3257&gt;=2000,"🥇 Gold",IF(E3257&gt;=800,"🥈 Silver","🥉 Bronze")))</f>
        <v/>
      </c>
      <c r="L3257" s="125" t="n">
        <v>40786</v>
      </c>
    </row>
    <row r="3258">
      <c r="A3258" s="126" t="n">
        <v>16781</v>
      </c>
      <c r="B3258" s="126" t="inlineStr">
        <is>
          <t>United Kingdom</t>
        </is>
      </c>
      <c r="C3258" s="126" t="n">
        <v>373</v>
      </c>
      <c r="D3258" s="126" t="n">
        <v>1</v>
      </c>
      <c r="E3258" s="127" t="n">
        <v>311.25</v>
      </c>
      <c r="F3258" s="128">
        <f>IF(C3258&lt;=30,5,IF(C3258&lt;=60,4,IF(C3258&lt;=120,3,IF(C3258&lt;=200,2,1))))</f>
        <v/>
      </c>
      <c r="G3258" s="128">
        <f>IF(D3258&gt;=20,5,IF(D3258&gt;=10,4,IF(D3258&gt;=5,3,IF(D3258&gt;=2,2,1))))</f>
        <v/>
      </c>
      <c r="H3258" s="128">
        <f>IF(E3258&gt;=5000,5,IF(E3258&gt;=2000,4,IF(E3258&gt;=800,3,IF(E3258&gt;=300,2,1))))</f>
        <v/>
      </c>
      <c r="I3258" s="126">
        <f>TEXT(F3258,"0")&amp;TEXT(G3258,"0")&amp;TEXT(H3258,"0")</f>
        <v/>
      </c>
      <c r="J3258" s="126">
        <f>IFERROR(XLOOKUP(I3258,'Segment Map'!A:A,'Segment Map'!B:B,"Need Attention"),"Need Attention")</f>
        <v/>
      </c>
      <c r="K3258" s="126">
        <f>IF(E3258&gt;=5000,"🏆 Platinum",IF(E3258&gt;=2000,"🥇 Gold",IF(E3258&gt;=800,"🥈 Silver","🥉 Bronze")))</f>
        <v/>
      </c>
      <c r="L3258" s="129" t="n">
        <v>40514</v>
      </c>
    </row>
    <row r="3259">
      <c r="A3259" s="122" t="n">
        <v>16782</v>
      </c>
      <c r="B3259" s="122" t="inlineStr">
        <is>
          <t>United Kingdom</t>
        </is>
      </c>
      <c r="C3259" s="122" t="n">
        <v>11</v>
      </c>
      <c r="D3259" s="122" t="n">
        <v>13</v>
      </c>
      <c r="E3259" s="123" t="n">
        <v>2279.9</v>
      </c>
      <c r="F3259" s="124">
        <f>IF(C3259&lt;=30,5,IF(C3259&lt;=60,4,IF(C3259&lt;=120,3,IF(C3259&lt;=200,2,1))))</f>
        <v/>
      </c>
      <c r="G3259" s="124">
        <f>IF(D3259&gt;=20,5,IF(D3259&gt;=10,4,IF(D3259&gt;=5,3,IF(D3259&gt;=2,2,1))))</f>
        <v/>
      </c>
      <c r="H3259" s="124">
        <f>IF(E3259&gt;=5000,5,IF(E3259&gt;=2000,4,IF(E3259&gt;=800,3,IF(E3259&gt;=300,2,1))))</f>
        <v/>
      </c>
      <c r="I3259" s="122">
        <f>TEXT(F3259,"0")&amp;TEXT(G3259,"0")&amp;TEXT(H3259,"0")</f>
        <v/>
      </c>
      <c r="J3259" s="122">
        <f>IFERROR(XLOOKUP(I3259,'Segment Map'!A:A,'Segment Map'!B:B,"Need Attention"),"Need Attention")</f>
        <v/>
      </c>
      <c r="K3259" s="122">
        <f>IF(E3259&gt;=5000,"🏆 Platinum",IF(E3259&gt;=2000,"🥇 Gold",IF(E3259&gt;=800,"🥈 Silver","🥉 Bronze")))</f>
        <v/>
      </c>
      <c r="L3259" s="125" t="n">
        <v>40876</v>
      </c>
    </row>
    <row r="3260">
      <c r="A3260" s="126" t="n">
        <v>16784</v>
      </c>
      <c r="B3260" s="126" t="inlineStr">
        <is>
          <t>United Kingdom</t>
        </is>
      </c>
      <c r="C3260" s="126" t="n">
        <v>20</v>
      </c>
      <c r="D3260" s="126" t="n">
        <v>1</v>
      </c>
      <c r="E3260" s="127" t="n">
        <v>107.6</v>
      </c>
      <c r="F3260" s="128">
        <f>IF(C3260&lt;=30,5,IF(C3260&lt;=60,4,IF(C3260&lt;=120,3,IF(C3260&lt;=200,2,1))))</f>
        <v/>
      </c>
      <c r="G3260" s="128">
        <f>IF(D3260&gt;=20,5,IF(D3260&gt;=10,4,IF(D3260&gt;=5,3,IF(D3260&gt;=2,2,1))))</f>
        <v/>
      </c>
      <c r="H3260" s="128">
        <f>IF(E3260&gt;=5000,5,IF(E3260&gt;=2000,4,IF(E3260&gt;=800,3,IF(E3260&gt;=300,2,1))))</f>
        <v/>
      </c>
      <c r="I3260" s="126">
        <f>TEXT(F3260,"0")&amp;TEXT(G3260,"0")&amp;TEXT(H3260,"0")</f>
        <v/>
      </c>
      <c r="J3260" s="126">
        <f>IFERROR(XLOOKUP(I3260,'Segment Map'!A:A,'Segment Map'!B:B,"Need Attention"),"Need Attention")</f>
        <v/>
      </c>
      <c r="K3260" s="126">
        <f>IF(E3260&gt;=5000,"🏆 Platinum",IF(E3260&gt;=2000,"🥇 Gold",IF(E3260&gt;=800,"🥈 Silver","🥉 Bronze")))</f>
        <v/>
      </c>
      <c r="L3260" s="129" t="n">
        <v>40867</v>
      </c>
    </row>
    <row r="3261">
      <c r="A3261" s="122" t="n">
        <v>16788</v>
      </c>
      <c r="B3261" s="122" t="inlineStr">
        <is>
          <t>United Kingdom</t>
        </is>
      </c>
      <c r="C3261" s="122" t="n">
        <v>124</v>
      </c>
      <c r="D3261" s="122" t="n">
        <v>2</v>
      </c>
      <c r="E3261" s="123" t="n">
        <v>597.48</v>
      </c>
      <c r="F3261" s="124">
        <f>IF(C3261&lt;=30,5,IF(C3261&lt;=60,4,IF(C3261&lt;=120,3,IF(C3261&lt;=200,2,1))))</f>
        <v/>
      </c>
      <c r="G3261" s="124">
        <f>IF(D3261&gt;=20,5,IF(D3261&gt;=10,4,IF(D3261&gt;=5,3,IF(D3261&gt;=2,2,1))))</f>
        <v/>
      </c>
      <c r="H3261" s="124">
        <f>IF(E3261&gt;=5000,5,IF(E3261&gt;=2000,4,IF(E3261&gt;=800,3,IF(E3261&gt;=300,2,1))))</f>
        <v/>
      </c>
      <c r="I3261" s="122">
        <f>TEXT(F3261,"0")&amp;TEXT(G3261,"0")&amp;TEXT(H3261,"0")</f>
        <v/>
      </c>
      <c r="J3261" s="122">
        <f>IFERROR(XLOOKUP(I3261,'Segment Map'!A:A,'Segment Map'!B:B,"Need Attention"),"Need Attention")</f>
        <v/>
      </c>
      <c r="K3261" s="122">
        <f>IF(E3261&gt;=5000,"🏆 Platinum",IF(E3261&gt;=2000,"🥇 Gold",IF(E3261&gt;=800,"🥈 Silver","🥉 Bronze")))</f>
        <v/>
      </c>
      <c r="L3261" s="125" t="n">
        <v>40763</v>
      </c>
    </row>
    <row r="3262">
      <c r="A3262" s="126" t="n">
        <v>16789</v>
      </c>
      <c r="B3262" s="126" t="inlineStr">
        <is>
          <t>United Kingdom</t>
        </is>
      </c>
      <c r="C3262" s="126" t="n">
        <v>9</v>
      </c>
      <c r="D3262" s="126" t="n">
        <v>1</v>
      </c>
      <c r="E3262" s="127" t="n">
        <v>80.8</v>
      </c>
      <c r="F3262" s="128">
        <f>IF(C3262&lt;=30,5,IF(C3262&lt;=60,4,IF(C3262&lt;=120,3,IF(C3262&lt;=200,2,1))))</f>
        <v/>
      </c>
      <c r="G3262" s="128">
        <f>IF(D3262&gt;=20,5,IF(D3262&gt;=10,4,IF(D3262&gt;=5,3,IF(D3262&gt;=2,2,1))))</f>
        <v/>
      </c>
      <c r="H3262" s="128">
        <f>IF(E3262&gt;=5000,5,IF(E3262&gt;=2000,4,IF(E3262&gt;=800,3,IF(E3262&gt;=300,2,1))))</f>
        <v/>
      </c>
      <c r="I3262" s="126">
        <f>TEXT(F3262,"0")&amp;TEXT(G3262,"0")&amp;TEXT(H3262,"0")</f>
        <v/>
      </c>
      <c r="J3262" s="126">
        <f>IFERROR(XLOOKUP(I3262,'Segment Map'!A:A,'Segment Map'!B:B,"Need Attention"),"Need Attention")</f>
        <v/>
      </c>
      <c r="K3262" s="126">
        <f>IF(E3262&gt;=5000,"🏆 Platinum",IF(E3262&gt;=2000,"🥇 Gold",IF(E3262&gt;=800,"🥈 Silver","🥉 Bronze")))</f>
        <v/>
      </c>
      <c r="L3262" s="129" t="n">
        <v>40878</v>
      </c>
    </row>
    <row r="3263">
      <c r="A3263" s="122" t="n">
        <v>16790</v>
      </c>
      <c r="B3263" s="122" t="inlineStr">
        <is>
          <t>United Kingdom</t>
        </is>
      </c>
      <c r="C3263" s="122" t="n">
        <v>4</v>
      </c>
      <c r="D3263" s="122" t="n">
        <v>6</v>
      </c>
      <c r="E3263" s="123" t="n">
        <v>1545.62</v>
      </c>
      <c r="F3263" s="124">
        <f>IF(C3263&lt;=30,5,IF(C3263&lt;=60,4,IF(C3263&lt;=120,3,IF(C3263&lt;=200,2,1))))</f>
        <v/>
      </c>
      <c r="G3263" s="124">
        <f>IF(D3263&gt;=20,5,IF(D3263&gt;=10,4,IF(D3263&gt;=5,3,IF(D3263&gt;=2,2,1))))</f>
        <v/>
      </c>
      <c r="H3263" s="124">
        <f>IF(E3263&gt;=5000,5,IF(E3263&gt;=2000,4,IF(E3263&gt;=800,3,IF(E3263&gt;=300,2,1))))</f>
        <v/>
      </c>
      <c r="I3263" s="122">
        <f>TEXT(F3263,"0")&amp;TEXT(G3263,"0")&amp;TEXT(H3263,"0")</f>
        <v/>
      </c>
      <c r="J3263" s="122">
        <f>IFERROR(XLOOKUP(I3263,'Segment Map'!A:A,'Segment Map'!B:B,"Need Attention"),"Need Attention")</f>
        <v/>
      </c>
      <c r="K3263" s="122">
        <f>IF(E3263&gt;=5000,"🏆 Platinum",IF(E3263&gt;=2000,"🥇 Gold",IF(E3263&gt;=800,"🥈 Silver","🥉 Bronze")))</f>
        <v/>
      </c>
      <c r="L3263" s="125" t="n">
        <v>40883</v>
      </c>
    </row>
    <row r="3264">
      <c r="A3264" s="126" t="n">
        <v>16791</v>
      </c>
      <c r="B3264" s="126" t="inlineStr">
        <is>
          <t>United Kingdom</t>
        </is>
      </c>
      <c r="C3264" s="126" t="n">
        <v>30</v>
      </c>
      <c r="D3264" s="126" t="n">
        <v>7</v>
      </c>
      <c r="E3264" s="127" t="n">
        <v>1721.78</v>
      </c>
      <c r="F3264" s="128">
        <f>IF(C3264&lt;=30,5,IF(C3264&lt;=60,4,IF(C3264&lt;=120,3,IF(C3264&lt;=200,2,1))))</f>
        <v/>
      </c>
      <c r="G3264" s="128">
        <f>IF(D3264&gt;=20,5,IF(D3264&gt;=10,4,IF(D3264&gt;=5,3,IF(D3264&gt;=2,2,1))))</f>
        <v/>
      </c>
      <c r="H3264" s="128">
        <f>IF(E3264&gt;=5000,5,IF(E3264&gt;=2000,4,IF(E3264&gt;=800,3,IF(E3264&gt;=300,2,1))))</f>
        <v/>
      </c>
      <c r="I3264" s="126">
        <f>TEXT(F3264,"0")&amp;TEXT(G3264,"0")&amp;TEXT(H3264,"0")</f>
        <v/>
      </c>
      <c r="J3264" s="126">
        <f>IFERROR(XLOOKUP(I3264,'Segment Map'!A:A,'Segment Map'!B:B,"Need Attention"),"Need Attention")</f>
        <v/>
      </c>
      <c r="K3264" s="126">
        <f>IF(E3264&gt;=5000,"🏆 Platinum",IF(E3264&gt;=2000,"🥇 Gold",IF(E3264&gt;=800,"🥈 Silver","🥉 Bronze")))</f>
        <v/>
      </c>
      <c r="L3264" s="129" t="n">
        <v>40857</v>
      </c>
    </row>
    <row r="3265">
      <c r="A3265" s="122" t="n">
        <v>16792</v>
      </c>
      <c r="B3265" s="122" t="inlineStr">
        <is>
          <t>United Kingdom</t>
        </is>
      </c>
      <c r="C3265" s="122" t="n">
        <v>283</v>
      </c>
      <c r="D3265" s="122" t="n">
        <v>2</v>
      </c>
      <c r="E3265" s="123" t="n">
        <v>110.38</v>
      </c>
      <c r="F3265" s="124">
        <f>IF(C3265&lt;=30,5,IF(C3265&lt;=60,4,IF(C3265&lt;=120,3,IF(C3265&lt;=200,2,1))))</f>
        <v/>
      </c>
      <c r="G3265" s="124">
        <f>IF(D3265&gt;=20,5,IF(D3265&gt;=10,4,IF(D3265&gt;=5,3,IF(D3265&gt;=2,2,1))))</f>
        <v/>
      </c>
      <c r="H3265" s="124">
        <f>IF(E3265&gt;=5000,5,IF(E3265&gt;=2000,4,IF(E3265&gt;=800,3,IF(E3265&gt;=300,2,1))))</f>
        <v/>
      </c>
      <c r="I3265" s="122">
        <f>TEXT(F3265,"0")&amp;TEXT(G3265,"0")&amp;TEXT(H3265,"0")</f>
        <v/>
      </c>
      <c r="J3265" s="122">
        <f>IFERROR(XLOOKUP(I3265,'Segment Map'!A:A,'Segment Map'!B:B,"Need Attention"),"Need Attention")</f>
        <v/>
      </c>
      <c r="K3265" s="122">
        <f>IF(E3265&gt;=5000,"🏆 Platinum",IF(E3265&gt;=2000,"🥇 Gold",IF(E3265&gt;=800,"🥈 Silver","🥉 Bronze")))</f>
        <v/>
      </c>
      <c r="L3265" s="125" t="n">
        <v>40604</v>
      </c>
    </row>
    <row r="3266">
      <c r="A3266" s="126" t="n">
        <v>16793</v>
      </c>
      <c r="B3266" s="126" t="inlineStr">
        <is>
          <t>United Kingdom</t>
        </is>
      </c>
      <c r="C3266" s="126" t="n">
        <v>58</v>
      </c>
      <c r="D3266" s="126" t="n">
        <v>1</v>
      </c>
      <c r="E3266" s="127" t="n">
        <v>243.84</v>
      </c>
      <c r="F3266" s="128">
        <f>IF(C3266&lt;=30,5,IF(C3266&lt;=60,4,IF(C3266&lt;=120,3,IF(C3266&lt;=200,2,1))))</f>
        <v/>
      </c>
      <c r="G3266" s="128">
        <f>IF(D3266&gt;=20,5,IF(D3266&gt;=10,4,IF(D3266&gt;=5,3,IF(D3266&gt;=2,2,1))))</f>
        <v/>
      </c>
      <c r="H3266" s="128">
        <f>IF(E3266&gt;=5000,5,IF(E3266&gt;=2000,4,IF(E3266&gt;=800,3,IF(E3266&gt;=300,2,1))))</f>
        <v/>
      </c>
      <c r="I3266" s="126">
        <f>TEXT(F3266,"0")&amp;TEXT(G3266,"0")&amp;TEXT(H3266,"0")</f>
        <v/>
      </c>
      <c r="J3266" s="126">
        <f>IFERROR(XLOOKUP(I3266,'Segment Map'!A:A,'Segment Map'!B:B,"Need Attention"),"Need Attention")</f>
        <v/>
      </c>
      <c r="K3266" s="126">
        <f>IF(E3266&gt;=5000,"🏆 Platinum",IF(E3266&gt;=2000,"🥇 Gold",IF(E3266&gt;=800,"🥈 Silver","🥉 Bronze")))</f>
        <v/>
      </c>
      <c r="L3266" s="129" t="n">
        <v>40829</v>
      </c>
    </row>
    <row r="3267">
      <c r="A3267" s="122" t="n">
        <v>16794</v>
      </c>
      <c r="B3267" s="122" t="inlineStr">
        <is>
          <t>United Kingdom</t>
        </is>
      </c>
      <c r="C3267" s="122" t="n">
        <v>2</v>
      </c>
      <c r="D3267" s="122" t="n">
        <v>10</v>
      </c>
      <c r="E3267" s="123" t="n">
        <v>1222.71</v>
      </c>
      <c r="F3267" s="124">
        <f>IF(C3267&lt;=30,5,IF(C3267&lt;=60,4,IF(C3267&lt;=120,3,IF(C3267&lt;=200,2,1))))</f>
        <v/>
      </c>
      <c r="G3267" s="124">
        <f>IF(D3267&gt;=20,5,IF(D3267&gt;=10,4,IF(D3267&gt;=5,3,IF(D3267&gt;=2,2,1))))</f>
        <v/>
      </c>
      <c r="H3267" s="124">
        <f>IF(E3267&gt;=5000,5,IF(E3267&gt;=2000,4,IF(E3267&gt;=800,3,IF(E3267&gt;=300,2,1))))</f>
        <v/>
      </c>
      <c r="I3267" s="122">
        <f>TEXT(F3267,"0")&amp;TEXT(G3267,"0")&amp;TEXT(H3267,"0")</f>
        <v/>
      </c>
      <c r="J3267" s="122">
        <f>IFERROR(XLOOKUP(I3267,'Segment Map'!A:A,'Segment Map'!B:B,"Need Attention"),"Need Attention")</f>
        <v/>
      </c>
      <c r="K3267" s="122">
        <f>IF(E3267&gt;=5000,"🏆 Platinum",IF(E3267&gt;=2000,"🥇 Gold",IF(E3267&gt;=800,"🥈 Silver","🥉 Bronze")))</f>
        <v/>
      </c>
      <c r="L3267" s="125" t="n">
        <v>40885</v>
      </c>
    </row>
    <row r="3268">
      <c r="A3268" s="126" t="n">
        <v>16795</v>
      </c>
      <c r="B3268" s="126" t="inlineStr">
        <is>
          <t>United Kingdom</t>
        </is>
      </c>
      <c r="C3268" s="126" t="n">
        <v>366</v>
      </c>
      <c r="D3268" s="126" t="n">
        <v>1</v>
      </c>
      <c r="E3268" s="127" t="n">
        <v>414.88</v>
      </c>
      <c r="F3268" s="128">
        <f>IF(C3268&lt;=30,5,IF(C3268&lt;=60,4,IF(C3268&lt;=120,3,IF(C3268&lt;=200,2,1))))</f>
        <v/>
      </c>
      <c r="G3268" s="128">
        <f>IF(D3268&gt;=20,5,IF(D3268&gt;=10,4,IF(D3268&gt;=5,3,IF(D3268&gt;=2,2,1))))</f>
        <v/>
      </c>
      <c r="H3268" s="128">
        <f>IF(E3268&gt;=5000,5,IF(E3268&gt;=2000,4,IF(E3268&gt;=800,3,IF(E3268&gt;=300,2,1))))</f>
        <v/>
      </c>
      <c r="I3268" s="126">
        <f>TEXT(F3268,"0")&amp;TEXT(G3268,"0")&amp;TEXT(H3268,"0")</f>
        <v/>
      </c>
      <c r="J3268" s="126">
        <f>IFERROR(XLOOKUP(I3268,'Segment Map'!A:A,'Segment Map'!B:B,"Need Attention"),"Need Attention")</f>
        <v/>
      </c>
      <c r="K3268" s="126">
        <f>IF(E3268&gt;=5000,"🏆 Platinum",IF(E3268&gt;=2000,"🥇 Gold",IF(E3268&gt;=800,"🥈 Silver","🥉 Bronze")))</f>
        <v/>
      </c>
      <c r="L3268" s="129" t="n">
        <v>40521</v>
      </c>
    </row>
    <row r="3269">
      <c r="A3269" s="122" t="n">
        <v>16796</v>
      </c>
      <c r="B3269" s="122" t="inlineStr">
        <is>
          <t>United Kingdom</t>
        </is>
      </c>
      <c r="C3269" s="122" t="n">
        <v>90</v>
      </c>
      <c r="D3269" s="122" t="n">
        <v>1</v>
      </c>
      <c r="E3269" s="123" t="n">
        <v>305.62</v>
      </c>
      <c r="F3269" s="124">
        <f>IF(C3269&lt;=30,5,IF(C3269&lt;=60,4,IF(C3269&lt;=120,3,IF(C3269&lt;=200,2,1))))</f>
        <v/>
      </c>
      <c r="G3269" s="124">
        <f>IF(D3269&gt;=20,5,IF(D3269&gt;=10,4,IF(D3269&gt;=5,3,IF(D3269&gt;=2,2,1))))</f>
        <v/>
      </c>
      <c r="H3269" s="124">
        <f>IF(E3269&gt;=5000,5,IF(E3269&gt;=2000,4,IF(E3269&gt;=800,3,IF(E3269&gt;=300,2,1))))</f>
        <v/>
      </c>
      <c r="I3269" s="122">
        <f>TEXT(F3269,"0")&amp;TEXT(G3269,"0")&amp;TEXT(H3269,"0")</f>
        <v/>
      </c>
      <c r="J3269" s="122">
        <f>IFERROR(XLOOKUP(I3269,'Segment Map'!A:A,'Segment Map'!B:B,"Need Attention"),"Need Attention")</f>
        <v/>
      </c>
      <c r="K3269" s="122">
        <f>IF(E3269&gt;=5000,"🏆 Platinum",IF(E3269&gt;=2000,"🥇 Gold",IF(E3269&gt;=800,"🥈 Silver","🥉 Bronze")))</f>
        <v/>
      </c>
      <c r="L3269" s="125" t="n">
        <v>40797</v>
      </c>
    </row>
    <row r="3270">
      <c r="A3270" s="126" t="n">
        <v>16800</v>
      </c>
      <c r="B3270" s="126" t="inlineStr">
        <is>
          <t>United Kingdom</t>
        </is>
      </c>
      <c r="C3270" s="126" t="n">
        <v>12</v>
      </c>
      <c r="D3270" s="126" t="n">
        <v>1</v>
      </c>
      <c r="E3270" s="127" t="n">
        <v>1201.49</v>
      </c>
      <c r="F3270" s="128">
        <f>IF(C3270&lt;=30,5,IF(C3270&lt;=60,4,IF(C3270&lt;=120,3,IF(C3270&lt;=200,2,1))))</f>
        <v/>
      </c>
      <c r="G3270" s="128">
        <f>IF(D3270&gt;=20,5,IF(D3270&gt;=10,4,IF(D3270&gt;=5,3,IF(D3270&gt;=2,2,1))))</f>
        <v/>
      </c>
      <c r="H3270" s="128">
        <f>IF(E3270&gt;=5000,5,IF(E3270&gt;=2000,4,IF(E3270&gt;=800,3,IF(E3270&gt;=300,2,1))))</f>
        <v/>
      </c>
      <c r="I3270" s="126">
        <f>TEXT(F3270,"0")&amp;TEXT(G3270,"0")&amp;TEXT(H3270,"0")</f>
        <v/>
      </c>
      <c r="J3270" s="126">
        <f>IFERROR(XLOOKUP(I3270,'Segment Map'!A:A,'Segment Map'!B:B,"Need Attention"),"Need Attention")</f>
        <v/>
      </c>
      <c r="K3270" s="126">
        <f>IF(E3270&gt;=5000,"🏆 Platinum",IF(E3270&gt;=2000,"🥇 Gold",IF(E3270&gt;=800,"🥈 Silver","🥉 Bronze")))</f>
        <v/>
      </c>
      <c r="L3270" s="129" t="n">
        <v>40875</v>
      </c>
    </row>
    <row r="3271">
      <c r="A3271" s="122" t="n">
        <v>16801</v>
      </c>
      <c r="B3271" s="122" t="inlineStr">
        <is>
          <t>United Kingdom</t>
        </is>
      </c>
      <c r="C3271" s="122" t="n">
        <v>164</v>
      </c>
      <c r="D3271" s="122" t="n">
        <v>4</v>
      </c>
      <c r="E3271" s="123" t="n">
        <v>1619.73</v>
      </c>
      <c r="F3271" s="124">
        <f>IF(C3271&lt;=30,5,IF(C3271&lt;=60,4,IF(C3271&lt;=120,3,IF(C3271&lt;=200,2,1))))</f>
        <v/>
      </c>
      <c r="G3271" s="124">
        <f>IF(D3271&gt;=20,5,IF(D3271&gt;=10,4,IF(D3271&gt;=5,3,IF(D3271&gt;=2,2,1))))</f>
        <v/>
      </c>
      <c r="H3271" s="124">
        <f>IF(E3271&gt;=5000,5,IF(E3271&gt;=2000,4,IF(E3271&gt;=800,3,IF(E3271&gt;=300,2,1))))</f>
        <v/>
      </c>
      <c r="I3271" s="122">
        <f>TEXT(F3271,"0")&amp;TEXT(G3271,"0")&amp;TEXT(H3271,"0")</f>
        <v/>
      </c>
      <c r="J3271" s="122">
        <f>IFERROR(XLOOKUP(I3271,'Segment Map'!A:A,'Segment Map'!B:B,"Need Attention"),"Need Attention")</f>
        <v/>
      </c>
      <c r="K3271" s="122">
        <f>IF(E3271&gt;=5000,"🏆 Platinum",IF(E3271&gt;=2000,"🥇 Gold",IF(E3271&gt;=800,"🥈 Silver","🥉 Bronze")))</f>
        <v/>
      </c>
      <c r="L3271" s="125" t="n">
        <v>40723</v>
      </c>
    </row>
    <row r="3272">
      <c r="A3272" s="126" t="n">
        <v>16803</v>
      </c>
      <c r="B3272" s="126" t="inlineStr">
        <is>
          <t>United Kingdom</t>
        </is>
      </c>
      <c r="C3272" s="126" t="n">
        <v>66</v>
      </c>
      <c r="D3272" s="126" t="n">
        <v>1</v>
      </c>
      <c r="E3272" s="127" t="n">
        <v>332.3</v>
      </c>
      <c r="F3272" s="128">
        <f>IF(C3272&lt;=30,5,IF(C3272&lt;=60,4,IF(C3272&lt;=120,3,IF(C3272&lt;=200,2,1))))</f>
        <v/>
      </c>
      <c r="G3272" s="128">
        <f>IF(D3272&gt;=20,5,IF(D3272&gt;=10,4,IF(D3272&gt;=5,3,IF(D3272&gt;=2,2,1))))</f>
        <v/>
      </c>
      <c r="H3272" s="128">
        <f>IF(E3272&gt;=5000,5,IF(E3272&gt;=2000,4,IF(E3272&gt;=800,3,IF(E3272&gt;=300,2,1))))</f>
        <v/>
      </c>
      <c r="I3272" s="126">
        <f>TEXT(F3272,"0")&amp;TEXT(G3272,"0")&amp;TEXT(H3272,"0")</f>
        <v/>
      </c>
      <c r="J3272" s="126">
        <f>IFERROR(XLOOKUP(I3272,'Segment Map'!A:A,'Segment Map'!B:B,"Need Attention"),"Need Attention")</f>
        <v/>
      </c>
      <c r="K3272" s="126">
        <f>IF(E3272&gt;=5000,"🏆 Platinum",IF(E3272&gt;=2000,"🥇 Gold",IF(E3272&gt;=800,"🥈 Silver","🥉 Bronze")))</f>
        <v/>
      </c>
      <c r="L3272" s="129" t="n">
        <v>40821</v>
      </c>
    </row>
    <row r="3273">
      <c r="A3273" s="122" t="n">
        <v>16804</v>
      </c>
      <c r="B3273" s="122" t="inlineStr">
        <is>
          <t>United Kingdom</t>
        </is>
      </c>
      <c r="C3273" s="122" t="n">
        <v>24</v>
      </c>
      <c r="D3273" s="122" t="n">
        <v>3</v>
      </c>
      <c r="E3273" s="123" t="n">
        <v>536.99</v>
      </c>
      <c r="F3273" s="124">
        <f>IF(C3273&lt;=30,5,IF(C3273&lt;=60,4,IF(C3273&lt;=120,3,IF(C3273&lt;=200,2,1))))</f>
        <v/>
      </c>
      <c r="G3273" s="124">
        <f>IF(D3273&gt;=20,5,IF(D3273&gt;=10,4,IF(D3273&gt;=5,3,IF(D3273&gt;=2,2,1))))</f>
        <v/>
      </c>
      <c r="H3273" s="124">
        <f>IF(E3273&gt;=5000,5,IF(E3273&gt;=2000,4,IF(E3273&gt;=800,3,IF(E3273&gt;=300,2,1))))</f>
        <v/>
      </c>
      <c r="I3273" s="122">
        <f>TEXT(F3273,"0")&amp;TEXT(G3273,"0")&amp;TEXT(H3273,"0")</f>
        <v/>
      </c>
      <c r="J3273" s="122">
        <f>IFERROR(XLOOKUP(I3273,'Segment Map'!A:A,'Segment Map'!B:B,"Need Attention"),"Need Attention")</f>
        <v/>
      </c>
      <c r="K3273" s="122">
        <f>IF(E3273&gt;=5000,"🏆 Platinum",IF(E3273&gt;=2000,"🥇 Gold",IF(E3273&gt;=800,"🥈 Silver","🥉 Bronze")))</f>
        <v/>
      </c>
      <c r="L3273" s="125" t="n">
        <v>40863</v>
      </c>
    </row>
    <row r="3274">
      <c r="A3274" s="126" t="n">
        <v>16805</v>
      </c>
      <c r="B3274" s="126" t="inlineStr">
        <is>
          <t>United Kingdom</t>
        </is>
      </c>
      <c r="C3274" s="126" t="n">
        <v>174</v>
      </c>
      <c r="D3274" s="126" t="n">
        <v>2</v>
      </c>
      <c r="E3274" s="127" t="n">
        <v>460.59</v>
      </c>
      <c r="F3274" s="128">
        <f>IF(C3274&lt;=30,5,IF(C3274&lt;=60,4,IF(C3274&lt;=120,3,IF(C3274&lt;=200,2,1))))</f>
        <v/>
      </c>
      <c r="G3274" s="128">
        <f>IF(D3274&gt;=20,5,IF(D3274&gt;=10,4,IF(D3274&gt;=5,3,IF(D3274&gt;=2,2,1))))</f>
        <v/>
      </c>
      <c r="H3274" s="128">
        <f>IF(E3274&gt;=5000,5,IF(E3274&gt;=2000,4,IF(E3274&gt;=800,3,IF(E3274&gt;=300,2,1))))</f>
        <v/>
      </c>
      <c r="I3274" s="126">
        <f>TEXT(F3274,"0")&amp;TEXT(G3274,"0")&amp;TEXT(H3274,"0")</f>
        <v/>
      </c>
      <c r="J3274" s="126">
        <f>IFERROR(XLOOKUP(I3274,'Segment Map'!A:A,'Segment Map'!B:B,"Need Attention"),"Need Attention")</f>
        <v/>
      </c>
      <c r="K3274" s="126">
        <f>IF(E3274&gt;=5000,"🏆 Platinum",IF(E3274&gt;=2000,"🥇 Gold",IF(E3274&gt;=800,"🥈 Silver","🥉 Bronze")))</f>
        <v/>
      </c>
      <c r="L3274" s="129" t="n">
        <v>40713</v>
      </c>
    </row>
    <row r="3275">
      <c r="A3275" s="122" t="n">
        <v>16806</v>
      </c>
      <c r="B3275" s="122" t="inlineStr">
        <is>
          <t>United Kingdom</t>
        </is>
      </c>
      <c r="C3275" s="122" t="n">
        <v>104</v>
      </c>
      <c r="D3275" s="122" t="n">
        <v>4</v>
      </c>
      <c r="E3275" s="123" t="n">
        <v>801.49</v>
      </c>
      <c r="F3275" s="124">
        <f>IF(C3275&lt;=30,5,IF(C3275&lt;=60,4,IF(C3275&lt;=120,3,IF(C3275&lt;=200,2,1))))</f>
        <v/>
      </c>
      <c r="G3275" s="124">
        <f>IF(D3275&gt;=20,5,IF(D3275&gt;=10,4,IF(D3275&gt;=5,3,IF(D3275&gt;=2,2,1))))</f>
        <v/>
      </c>
      <c r="H3275" s="124">
        <f>IF(E3275&gt;=5000,5,IF(E3275&gt;=2000,4,IF(E3275&gt;=800,3,IF(E3275&gt;=300,2,1))))</f>
        <v/>
      </c>
      <c r="I3275" s="122">
        <f>TEXT(F3275,"0")&amp;TEXT(G3275,"0")&amp;TEXT(H3275,"0")</f>
        <v/>
      </c>
      <c r="J3275" s="122">
        <f>IFERROR(XLOOKUP(I3275,'Segment Map'!A:A,'Segment Map'!B:B,"Need Attention"),"Need Attention")</f>
        <v/>
      </c>
      <c r="K3275" s="122">
        <f>IF(E3275&gt;=5000,"🏆 Platinum",IF(E3275&gt;=2000,"🥇 Gold",IF(E3275&gt;=800,"🥈 Silver","🥉 Bronze")))</f>
        <v/>
      </c>
      <c r="L3275" s="125" t="n">
        <v>40783</v>
      </c>
    </row>
    <row r="3276">
      <c r="A3276" s="126" t="n">
        <v>16807</v>
      </c>
      <c r="B3276" s="126" t="inlineStr">
        <is>
          <t>United Kingdom</t>
        </is>
      </c>
      <c r="C3276" s="126" t="n">
        <v>143</v>
      </c>
      <c r="D3276" s="126" t="n">
        <v>3</v>
      </c>
      <c r="E3276" s="127" t="n">
        <v>1121.59</v>
      </c>
      <c r="F3276" s="128">
        <f>IF(C3276&lt;=30,5,IF(C3276&lt;=60,4,IF(C3276&lt;=120,3,IF(C3276&lt;=200,2,1))))</f>
        <v/>
      </c>
      <c r="G3276" s="128">
        <f>IF(D3276&gt;=20,5,IF(D3276&gt;=10,4,IF(D3276&gt;=5,3,IF(D3276&gt;=2,2,1))))</f>
        <v/>
      </c>
      <c r="H3276" s="128">
        <f>IF(E3276&gt;=5000,5,IF(E3276&gt;=2000,4,IF(E3276&gt;=800,3,IF(E3276&gt;=300,2,1))))</f>
        <v/>
      </c>
      <c r="I3276" s="126">
        <f>TEXT(F3276,"0")&amp;TEXT(G3276,"0")&amp;TEXT(H3276,"0")</f>
        <v/>
      </c>
      <c r="J3276" s="126">
        <f>IFERROR(XLOOKUP(I3276,'Segment Map'!A:A,'Segment Map'!B:B,"Need Attention"),"Need Attention")</f>
        <v/>
      </c>
      <c r="K3276" s="126">
        <f>IF(E3276&gt;=5000,"🏆 Platinum",IF(E3276&gt;=2000,"🥇 Gold",IF(E3276&gt;=800,"🥈 Silver","🥉 Bronze")))</f>
        <v/>
      </c>
      <c r="L3276" s="129" t="n">
        <v>40744</v>
      </c>
    </row>
    <row r="3277">
      <c r="A3277" s="122" t="n">
        <v>16808</v>
      </c>
      <c r="B3277" s="122" t="inlineStr">
        <is>
          <t>United Kingdom</t>
        </is>
      </c>
      <c r="C3277" s="122" t="n">
        <v>100</v>
      </c>
      <c r="D3277" s="122" t="n">
        <v>2</v>
      </c>
      <c r="E3277" s="123" t="n">
        <v>288.42</v>
      </c>
      <c r="F3277" s="124">
        <f>IF(C3277&lt;=30,5,IF(C3277&lt;=60,4,IF(C3277&lt;=120,3,IF(C3277&lt;=200,2,1))))</f>
        <v/>
      </c>
      <c r="G3277" s="124">
        <f>IF(D3277&gt;=20,5,IF(D3277&gt;=10,4,IF(D3277&gt;=5,3,IF(D3277&gt;=2,2,1))))</f>
        <v/>
      </c>
      <c r="H3277" s="124">
        <f>IF(E3277&gt;=5000,5,IF(E3277&gt;=2000,4,IF(E3277&gt;=800,3,IF(E3277&gt;=300,2,1))))</f>
        <v/>
      </c>
      <c r="I3277" s="122">
        <f>TEXT(F3277,"0")&amp;TEXT(G3277,"0")&amp;TEXT(H3277,"0")</f>
        <v/>
      </c>
      <c r="J3277" s="122">
        <f>IFERROR(XLOOKUP(I3277,'Segment Map'!A:A,'Segment Map'!B:B,"Need Attention"),"Need Attention")</f>
        <v/>
      </c>
      <c r="K3277" s="122">
        <f>IF(E3277&gt;=5000,"🏆 Platinum",IF(E3277&gt;=2000,"🥇 Gold",IF(E3277&gt;=800,"🥈 Silver","🥉 Bronze")))</f>
        <v/>
      </c>
      <c r="L3277" s="125" t="n">
        <v>40787</v>
      </c>
    </row>
    <row r="3278">
      <c r="A3278" s="126" t="n">
        <v>16809</v>
      </c>
      <c r="B3278" s="126" t="inlineStr">
        <is>
          <t>United Kingdom</t>
        </is>
      </c>
      <c r="C3278" s="126" t="n">
        <v>24</v>
      </c>
      <c r="D3278" s="126" t="n">
        <v>5</v>
      </c>
      <c r="E3278" s="127" t="n">
        <v>914.6900000000001</v>
      </c>
      <c r="F3278" s="128">
        <f>IF(C3278&lt;=30,5,IF(C3278&lt;=60,4,IF(C3278&lt;=120,3,IF(C3278&lt;=200,2,1))))</f>
        <v/>
      </c>
      <c r="G3278" s="128">
        <f>IF(D3278&gt;=20,5,IF(D3278&gt;=10,4,IF(D3278&gt;=5,3,IF(D3278&gt;=2,2,1))))</f>
        <v/>
      </c>
      <c r="H3278" s="128">
        <f>IF(E3278&gt;=5000,5,IF(E3278&gt;=2000,4,IF(E3278&gt;=800,3,IF(E3278&gt;=300,2,1))))</f>
        <v/>
      </c>
      <c r="I3278" s="126">
        <f>TEXT(F3278,"0")&amp;TEXT(G3278,"0")&amp;TEXT(H3278,"0")</f>
        <v/>
      </c>
      <c r="J3278" s="126">
        <f>IFERROR(XLOOKUP(I3278,'Segment Map'!A:A,'Segment Map'!B:B,"Need Attention"),"Need Attention")</f>
        <v/>
      </c>
      <c r="K3278" s="126">
        <f>IF(E3278&gt;=5000,"🏆 Platinum",IF(E3278&gt;=2000,"🥇 Gold",IF(E3278&gt;=800,"🥈 Silver","🥉 Bronze")))</f>
        <v/>
      </c>
      <c r="L3278" s="129" t="n">
        <v>40863</v>
      </c>
    </row>
    <row r="3279">
      <c r="A3279" s="122" t="n">
        <v>16810</v>
      </c>
      <c r="B3279" s="122" t="inlineStr">
        <is>
          <t>United Kingdom</t>
        </is>
      </c>
      <c r="C3279" s="122" t="n">
        <v>193</v>
      </c>
      <c r="D3279" s="122" t="n">
        <v>1</v>
      </c>
      <c r="E3279" s="123" t="n">
        <v>309.54</v>
      </c>
      <c r="F3279" s="124">
        <f>IF(C3279&lt;=30,5,IF(C3279&lt;=60,4,IF(C3279&lt;=120,3,IF(C3279&lt;=200,2,1))))</f>
        <v/>
      </c>
      <c r="G3279" s="124">
        <f>IF(D3279&gt;=20,5,IF(D3279&gt;=10,4,IF(D3279&gt;=5,3,IF(D3279&gt;=2,2,1))))</f>
        <v/>
      </c>
      <c r="H3279" s="124">
        <f>IF(E3279&gt;=5000,5,IF(E3279&gt;=2000,4,IF(E3279&gt;=800,3,IF(E3279&gt;=300,2,1))))</f>
        <v/>
      </c>
      <c r="I3279" s="122">
        <f>TEXT(F3279,"0")&amp;TEXT(G3279,"0")&amp;TEXT(H3279,"0")</f>
        <v/>
      </c>
      <c r="J3279" s="122">
        <f>IFERROR(XLOOKUP(I3279,'Segment Map'!A:A,'Segment Map'!B:B,"Need Attention"),"Need Attention")</f>
        <v/>
      </c>
      <c r="K3279" s="122">
        <f>IF(E3279&gt;=5000,"🏆 Platinum",IF(E3279&gt;=2000,"🥇 Gold",IF(E3279&gt;=800,"🥈 Silver","🥉 Bronze")))</f>
        <v/>
      </c>
      <c r="L3279" s="125" t="n">
        <v>40694</v>
      </c>
    </row>
    <row r="3280">
      <c r="A3280" s="126" t="n">
        <v>16811</v>
      </c>
      <c r="B3280" s="126" t="inlineStr">
        <is>
          <t>United Kingdom</t>
        </is>
      </c>
      <c r="C3280" s="126" t="n">
        <v>5</v>
      </c>
      <c r="D3280" s="126" t="n">
        <v>2</v>
      </c>
      <c r="E3280" s="127" t="n">
        <v>547.0700000000001</v>
      </c>
      <c r="F3280" s="128">
        <f>IF(C3280&lt;=30,5,IF(C3280&lt;=60,4,IF(C3280&lt;=120,3,IF(C3280&lt;=200,2,1))))</f>
        <v/>
      </c>
      <c r="G3280" s="128">
        <f>IF(D3280&gt;=20,5,IF(D3280&gt;=10,4,IF(D3280&gt;=5,3,IF(D3280&gt;=2,2,1))))</f>
        <v/>
      </c>
      <c r="H3280" s="128">
        <f>IF(E3280&gt;=5000,5,IF(E3280&gt;=2000,4,IF(E3280&gt;=800,3,IF(E3280&gt;=300,2,1))))</f>
        <v/>
      </c>
      <c r="I3280" s="126">
        <f>TEXT(F3280,"0")&amp;TEXT(G3280,"0")&amp;TEXT(H3280,"0")</f>
        <v/>
      </c>
      <c r="J3280" s="126">
        <f>IFERROR(XLOOKUP(I3280,'Segment Map'!A:A,'Segment Map'!B:B,"Need Attention"),"Need Attention")</f>
        <v/>
      </c>
      <c r="K3280" s="126">
        <f>IF(E3280&gt;=5000,"🏆 Platinum",IF(E3280&gt;=2000,"🥇 Gold",IF(E3280&gt;=800,"🥈 Silver","🥉 Bronze")))</f>
        <v/>
      </c>
      <c r="L3280" s="129" t="n">
        <v>40882</v>
      </c>
    </row>
    <row r="3281">
      <c r="A3281" s="122" t="n">
        <v>16812</v>
      </c>
      <c r="B3281" s="122" t="inlineStr">
        <is>
          <t>United Kingdom</t>
        </is>
      </c>
      <c r="C3281" s="122" t="n">
        <v>361</v>
      </c>
      <c r="D3281" s="122" t="n">
        <v>1</v>
      </c>
      <c r="E3281" s="123" t="n">
        <v>479.35</v>
      </c>
      <c r="F3281" s="124">
        <f>IF(C3281&lt;=30,5,IF(C3281&lt;=60,4,IF(C3281&lt;=120,3,IF(C3281&lt;=200,2,1))))</f>
        <v/>
      </c>
      <c r="G3281" s="124">
        <f>IF(D3281&gt;=20,5,IF(D3281&gt;=10,4,IF(D3281&gt;=5,3,IF(D3281&gt;=2,2,1))))</f>
        <v/>
      </c>
      <c r="H3281" s="124">
        <f>IF(E3281&gt;=5000,5,IF(E3281&gt;=2000,4,IF(E3281&gt;=800,3,IF(E3281&gt;=300,2,1))))</f>
        <v/>
      </c>
      <c r="I3281" s="122">
        <f>TEXT(F3281,"0")&amp;TEXT(G3281,"0")&amp;TEXT(H3281,"0")</f>
        <v/>
      </c>
      <c r="J3281" s="122">
        <f>IFERROR(XLOOKUP(I3281,'Segment Map'!A:A,'Segment Map'!B:B,"Need Attention"),"Need Attention")</f>
        <v/>
      </c>
      <c r="K3281" s="122">
        <f>IF(E3281&gt;=5000,"🏆 Platinum",IF(E3281&gt;=2000,"🥇 Gold",IF(E3281&gt;=800,"🥈 Silver","🥉 Bronze")))</f>
        <v/>
      </c>
      <c r="L3281" s="125" t="n">
        <v>40526</v>
      </c>
    </row>
    <row r="3282">
      <c r="A3282" s="126" t="n">
        <v>16813</v>
      </c>
      <c r="B3282" s="126" t="inlineStr">
        <is>
          <t>United Kingdom</t>
        </is>
      </c>
      <c r="C3282" s="126" t="n">
        <v>9</v>
      </c>
      <c r="D3282" s="126" t="n">
        <v>10</v>
      </c>
      <c r="E3282" s="127" t="n">
        <v>1692.98</v>
      </c>
      <c r="F3282" s="128">
        <f>IF(C3282&lt;=30,5,IF(C3282&lt;=60,4,IF(C3282&lt;=120,3,IF(C3282&lt;=200,2,1))))</f>
        <v/>
      </c>
      <c r="G3282" s="128">
        <f>IF(D3282&gt;=20,5,IF(D3282&gt;=10,4,IF(D3282&gt;=5,3,IF(D3282&gt;=2,2,1))))</f>
        <v/>
      </c>
      <c r="H3282" s="128">
        <f>IF(E3282&gt;=5000,5,IF(E3282&gt;=2000,4,IF(E3282&gt;=800,3,IF(E3282&gt;=300,2,1))))</f>
        <v/>
      </c>
      <c r="I3282" s="126">
        <f>TEXT(F3282,"0")&amp;TEXT(G3282,"0")&amp;TEXT(H3282,"0")</f>
        <v/>
      </c>
      <c r="J3282" s="126">
        <f>IFERROR(XLOOKUP(I3282,'Segment Map'!A:A,'Segment Map'!B:B,"Need Attention"),"Need Attention")</f>
        <v/>
      </c>
      <c r="K3282" s="126">
        <f>IF(E3282&gt;=5000,"🏆 Platinum",IF(E3282&gt;=2000,"🥇 Gold",IF(E3282&gt;=800,"🥈 Silver","🥉 Bronze")))</f>
        <v/>
      </c>
      <c r="L3282" s="129" t="n">
        <v>40878</v>
      </c>
    </row>
    <row r="3283">
      <c r="A3283" s="122" t="n">
        <v>16814</v>
      </c>
      <c r="B3283" s="122" t="inlineStr">
        <is>
          <t>United Kingdom</t>
        </is>
      </c>
      <c r="C3283" s="122" t="n">
        <v>15</v>
      </c>
      <c r="D3283" s="122" t="n">
        <v>21</v>
      </c>
      <c r="E3283" s="123" t="n">
        <v>6509.1</v>
      </c>
      <c r="F3283" s="124">
        <f>IF(C3283&lt;=30,5,IF(C3283&lt;=60,4,IF(C3283&lt;=120,3,IF(C3283&lt;=200,2,1))))</f>
        <v/>
      </c>
      <c r="G3283" s="124">
        <f>IF(D3283&gt;=20,5,IF(D3283&gt;=10,4,IF(D3283&gt;=5,3,IF(D3283&gt;=2,2,1))))</f>
        <v/>
      </c>
      <c r="H3283" s="124">
        <f>IF(E3283&gt;=5000,5,IF(E3283&gt;=2000,4,IF(E3283&gt;=800,3,IF(E3283&gt;=300,2,1))))</f>
        <v/>
      </c>
      <c r="I3283" s="122">
        <f>TEXT(F3283,"0")&amp;TEXT(G3283,"0")&amp;TEXT(H3283,"0")</f>
        <v/>
      </c>
      <c r="J3283" s="122">
        <f>IFERROR(XLOOKUP(I3283,'Segment Map'!A:A,'Segment Map'!B:B,"Need Attention"),"Need Attention")</f>
        <v/>
      </c>
      <c r="K3283" s="122">
        <f>IF(E3283&gt;=5000,"🏆 Platinum",IF(E3283&gt;=2000,"🥇 Gold",IF(E3283&gt;=800,"🥈 Silver","🥉 Bronze")))</f>
        <v/>
      </c>
      <c r="L3283" s="125" t="n">
        <v>40872</v>
      </c>
    </row>
    <row r="3284">
      <c r="A3284" s="126" t="n">
        <v>16816</v>
      </c>
      <c r="B3284" s="126" t="inlineStr">
        <is>
          <t>United Kingdom</t>
        </is>
      </c>
      <c r="C3284" s="126" t="n">
        <v>104</v>
      </c>
      <c r="D3284" s="126" t="n">
        <v>4</v>
      </c>
      <c r="E3284" s="127" t="n">
        <v>417.06</v>
      </c>
      <c r="F3284" s="128">
        <f>IF(C3284&lt;=30,5,IF(C3284&lt;=60,4,IF(C3284&lt;=120,3,IF(C3284&lt;=200,2,1))))</f>
        <v/>
      </c>
      <c r="G3284" s="128">
        <f>IF(D3284&gt;=20,5,IF(D3284&gt;=10,4,IF(D3284&gt;=5,3,IF(D3284&gt;=2,2,1))))</f>
        <v/>
      </c>
      <c r="H3284" s="128">
        <f>IF(E3284&gt;=5000,5,IF(E3284&gt;=2000,4,IF(E3284&gt;=800,3,IF(E3284&gt;=300,2,1))))</f>
        <v/>
      </c>
      <c r="I3284" s="126">
        <f>TEXT(F3284,"0")&amp;TEXT(G3284,"0")&amp;TEXT(H3284,"0")</f>
        <v/>
      </c>
      <c r="J3284" s="126">
        <f>IFERROR(XLOOKUP(I3284,'Segment Map'!A:A,'Segment Map'!B:B,"Need Attention"),"Need Attention")</f>
        <v/>
      </c>
      <c r="K3284" s="126">
        <f>IF(E3284&gt;=5000,"🏆 Platinum",IF(E3284&gt;=2000,"🥇 Gold",IF(E3284&gt;=800,"🥈 Silver","🥉 Bronze")))</f>
        <v/>
      </c>
      <c r="L3284" s="129" t="n">
        <v>40783</v>
      </c>
    </row>
    <row r="3285">
      <c r="A3285" s="122" t="n">
        <v>16817</v>
      </c>
      <c r="B3285" s="122" t="inlineStr">
        <is>
          <t>United Kingdom</t>
        </is>
      </c>
      <c r="C3285" s="122" t="n">
        <v>3</v>
      </c>
      <c r="D3285" s="122" t="n">
        <v>9</v>
      </c>
      <c r="E3285" s="123" t="n">
        <v>1604.75</v>
      </c>
      <c r="F3285" s="124">
        <f>IF(C3285&lt;=30,5,IF(C3285&lt;=60,4,IF(C3285&lt;=120,3,IF(C3285&lt;=200,2,1))))</f>
        <v/>
      </c>
      <c r="G3285" s="124">
        <f>IF(D3285&gt;=20,5,IF(D3285&gt;=10,4,IF(D3285&gt;=5,3,IF(D3285&gt;=2,2,1))))</f>
        <v/>
      </c>
      <c r="H3285" s="124">
        <f>IF(E3285&gt;=5000,5,IF(E3285&gt;=2000,4,IF(E3285&gt;=800,3,IF(E3285&gt;=300,2,1))))</f>
        <v/>
      </c>
      <c r="I3285" s="122">
        <f>TEXT(F3285,"0")&amp;TEXT(G3285,"0")&amp;TEXT(H3285,"0")</f>
        <v/>
      </c>
      <c r="J3285" s="122">
        <f>IFERROR(XLOOKUP(I3285,'Segment Map'!A:A,'Segment Map'!B:B,"Need Attention"),"Need Attention")</f>
        <v/>
      </c>
      <c r="K3285" s="122">
        <f>IF(E3285&gt;=5000,"🏆 Platinum",IF(E3285&gt;=2000,"🥇 Gold",IF(E3285&gt;=800,"🥈 Silver","🥉 Bronze")))</f>
        <v/>
      </c>
      <c r="L3285" s="125" t="n">
        <v>40884</v>
      </c>
    </row>
    <row r="3286">
      <c r="A3286" s="126" t="n">
        <v>16818</v>
      </c>
      <c r="B3286" s="126" t="inlineStr">
        <is>
          <t>United Kingdom</t>
        </is>
      </c>
      <c r="C3286" s="126" t="n">
        <v>11</v>
      </c>
      <c r="D3286" s="126" t="n">
        <v>11</v>
      </c>
      <c r="E3286" s="127" t="n">
        <v>3349.57</v>
      </c>
      <c r="F3286" s="128">
        <f>IF(C3286&lt;=30,5,IF(C3286&lt;=60,4,IF(C3286&lt;=120,3,IF(C3286&lt;=200,2,1))))</f>
        <v/>
      </c>
      <c r="G3286" s="128">
        <f>IF(D3286&gt;=20,5,IF(D3286&gt;=10,4,IF(D3286&gt;=5,3,IF(D3286&gt;=2,2,1))))</f>
        <v/>
      </c>
      <c r="H3286" s="128">
        <f>IF(E3286&gt;=5000,5,IF(E3286&gt;=2000,4,IF(E3286&gt;=800,3,IF(E3286&gt;=300,2,1))))</f>
        <v/>
      </c>
      <c r="I3286" s="126">
        <f>TEXT(F3286,"0")&amp;TEXT(G3286,"0")&amp;TEXT(H3286,"0")</f>
        <v/>
      </c>
      <c r="J3286" s="126">
        <f>IFERROR(XLOOKUP(I3286,'Segment Map'!A:A,'Segment Map'!B:B,"Need Attention"),"Need Attention")</f>
        <v/>
      </c>
      <c r="K3286" s="126">
        <f>IF(E3286&gt;=5000,"🏆 Platinum",IF(E3286&gt;=2000,"🥇 Gold",IF(E3286&gt;=800,"🥈 Silver","🥉 Bronze")))</f>
        <v/>
      </c>
      <c r="L3286" s="129" t="n">
        <v>40876</v>
      </c>
    </row>
    <row r="3287">
      <c r="A3287" s="122" t="n">
        <v>16820</v>
      </c>
      <c r="B3287" s="122" t="inlineStr">
        <is>
          <t>United Kingdom</t>
        </is>
      </c>
      <c r="C3287" s="122" t="n">
        <v>96</v>
      </c>
      <c r="D3287" s="122" t="n">
        <v>1</v>
      </c>
      <c r="E3287" s="123" t="n">
        <v>497.61</v>
      </c>
      <c r="F3287" s="124">
        <f>IF(C3287&lt;=30,5,IF(C3287&lt;=60,4,IF(C3287&lt;=120,3,IF(C3287&lt;=200,2,1))))</f>
        <v/>
      </c>
      <c r="G3287" s="124">
        <f>IF(D3287&gt;=20,5,IF(D3287&gt;=10,4,IF(D3287&gt;=5,3,IF(D3287&gt;=2,2,1))))</f>
        <v/>
      </c>
      <c r="H3287" s="124">
        <f>IF(E3287&gt;=5000,5,IF(E3287&gt;=2000,4,IF(E3287&gt;=800,3,IF(E3287&gt;=300,2,1))))</f>
        <v/>
      </c>
      <c r="I3287" s="122">
        <f>TEXT(F3287,"0")&amp;TEXT(G3287,"0")&amp;TEXT(H3287,"0")</f>
        <v/>
      </c>
      <c r="J3287" s="122">
        <f>IFERROR(XLOOKUP(I3287,'Segment Map'!A:A,'Segment Map'!B:B,"Need Attention"),"Need Attention")</f>
        <v/>
      </c>
      <c r="K3287" s="122">
        <f>IF(E3287&gt;=5000,"🏆 Platinum",IF(E3287&gt;=2000,"🥇 Gold",IF(E3287&gt;=800,"🥈 Silver","🥉 Bronze")))</f>
        <v/>
      </c>
      <c r="L3287" s="125" t="n">
        <v>40791</v>
      </c>
    </row>
    <row r="3288">
      <c r="A3288" s="126" t="n">
        <v>16823</v>
      </c>
      <c r="B3288" s="126" t="inlineStr">
        <is>
          <t>United Kingdom</t>
        </is>
      </c>
      <c r="C3288" s="126" t="n">
        <v>228</v>
      </c>
      <c r="D3288" s="126" t="n">
        <v>1</v>
      </c>
      <c r="E3288" s="127" t="n">
        <v>358.38</v>
      </c>
      <c r="F3288" s="128">
        <f>IF(C3288&lt;=30,5,IF(C3288&lt;=60,4,IF(C3288&lt;=120,3,IF(C3288&lt;=200,2,1))))</f>
        <v/>
      </c>
      <c r="G3288" s="128">
        <f>IF(D3288&gt;=20,5,IF(D3288&gt;=10,4,IF(D3288&gt;=5,3,IF(D3288&gt;=2,2,1))))</f>
        <v/>
      </c>
      <c r="H3288" s="128">
        <f>IF(E3288&gt;=5000,5,IF(E3288&gt;=2000,4,IF(E3288&gt;=800,3,IF(E3288&gt;=300,2,1))))</f>
        <v/>
      </c>
      <c r="I3288" s="126">
        <f>TEXT(F3288,"0")&amp;TEXT(G3288,"0")&amp;TEXT(H3288,"0")</f>
        <v/>
      </c>
      <c r="J3288" s="126">
        <f>IFERROR(XLOOKUP(I3288,'Segment Map'!A:A,'Segment Map'!B:B,"Need Attention"),"Need Attention")</f>
        <v/>
      </c>
      <c r="K3288" s="126">
        <f>IF(E3288&gt;=5000,"🏆 Platinum",IF(E3288&gt;=2000,"🥇 Gold",IF(E3288&gt;=800,"🥈 Silver","🥉 Bronze")))</f>
        <v/>
      </c>
      <c r="L3288" s="129" t="n">
        <v>40659</v>
      </c>
    </row>
    <row r="3289">
      <c r="A3289" s="122" t="n">
        <v>16824</v>
      </c>
      <c r="B3289" s="122" t="inlineStr">
        <is>
          <t>United Kingdom</t>
        </is>
      </c>
      <c r="C3289" s="122" t="n">
        <v>16</v>
      </c>
      <c r="D3289" s="122" t="n">
        <v>2</v>
      </c>
      <c r="E3289" s="123" t="n">
        <v>460.64</v>
      </c>
      <c r="F3289" s="124">
        <f>IF(C3289&lt;=30,5,IF(C3289&lt;=60,4,IF(C3289&lt;=120,3,IF(C3289&lt;=200,2,1))))</f>
        <v/>
      </c>
      <c r="G3289" s="124">
        <f>IF(D3289&gt;=20,5,IF(D3289&gt;=10,4,IF(D3289&gt;=5,3,IF(D3289&gt;=2,2,1))))</f>
        <v/>
      </c>
      <c r="H3289" s="124">
        <f>IF(E3289&gt;=5000,5,IF(E3289&gt;=2000,4,IF(E3289&gt;=800,3,IF(E3289&gt;=300,2,1))))</f>
        <v/>
      </c>
      <c r="I3289" s="122">
        <f>TEXT(F3289,"0")&amp;TEXT(G3289,"0")&amp;TEXT(H3289,"0")</f>
        <v/>
      </c>
      <c r="J3289" s="122">
        <f>IFERROR(XLOOKUP(I3289,'Segment Map'!A:A,'Segment Map'!B:B,"Need Attention"),"Need Attention")</f>
        <v/>
      </c>
      <c r="K3289" s="122">
        <f>IF(E3289&gt;=5000,"🏆 Platinum",IF(E3289&gt;=2000,"🥇 Gold",IF(E3289&gt;=800,"🥈 Silver","🥉 Bronze")))</f>
        <v/>
      </c>
      <c r="L3289" s="125" t="n">
        <v>40871</v>
      </c>
    </row>
    <row r="3290">
      <c r="A3290" s="126" t="n">
        <v>16825</v>
      </c>
      <c r="B3290" s="126" t="inlineStr">
        <is>
          <t>United Kingdom</t>
        </is>
      </c>
      <c r="C3290" s="126" t="n">
        <v>39</v>
      </c>
      <c r="D3290" s="126" t="n">
        <v>2</v>
      </c>
      <c r="E3290" s="127" t="n">
        <v>775.1799999999999</v>
      </c>
      <c r="F3290" s="128">
        <f>IF(C3290&lt;=30,5,IF(C3290&lt;=60,4,IF(C3290&lt;=120,3,IF(C3290&lt;=200,2,1))))</f>
        <v/>
      </c>
      <c r="G3290" s="128">
        <f>IF(D3290&gt;=20,5,IF(D3290&gt;=10,4,IF(D3290&gt;=5,3,IF(D3290&gt;=2,2,1))))</f>
        <v/>
      </c>
      <c r="H3290" s="128">
        <f>IF(E3290&gt;=5000,5,IF(E3290&gt;=2000,4,IF(E3290&gt;=800,3,IF(E3290&gt;=300,2,1))))</f>
        <v/>
      </c>
      <c r="I3290" s="126">
        <f>TEXT(F3290,"0")&amp;TEXT(G3290,"0")&amp;TEXT(H3290,"0")</f>
        <v/>
      </c>
      <c r="J3290" s="126">
        <f>IFERROR(XLOOKUP(I3290,'Segment Map'!A:A,'Segment Map'!B:B,"Need Attention"),"Need Attention")</f>
        <v/>
      </c>
      <c r="K3290" s="126">
        <f>IF(E3290&gt;=5000,"🏆 Platinum",IF(E3290&gt;=2000,"🥇 Gold",IF(E3290&gt;=800,"🥈 Silver","🥉 Bronze")))</f>
        <v/>
      </c>
      <c r="L3290" s="129" t="n">
        <v>40848</v>
      </c>
    </row>
    <row r="3291">
      <c r="A3291" s="122" t="n">
        <v>16826</v>
      </c>
      <c r="B3291" s="122" t="inlineStr">
        <is>
          <t>United Kingdom</t>
        </is>
      </c>
      <c r="C3291" s="122" t="n">
        <v>52</v>
      </c>
      <c r="D3291" s="122" t="n">
        <v>1</v>
      </c>
      <c r="E3291" s="123" t="n">
        <v>341.7</v>
      </c>
      <c r="F3291" s="124">
        <f>IF(C3291&lt;=30,5,IF(C3291&lt;=60,4,IF(C3291&lt;=120,3,IF(C3291&lt;=200,2,1))))</f>
        <v/>
      </c>
      <c r="G3291" s="124">
        <f>IF(D3291&gt;=20,5,IF(D3291&gt;=10,4,IF(D3291&gt;=5,3,IF(D3291&gt;=2,2,1))))</f>
        <v/>
      </c>
      <c r="H3291" s="124">
        <f>IF(E3291&gt;=5000,5,IF(E3291&gt;=2000,4,IF(E3291&gt;=800,3,IF(E3291&gt;=300,2,1))))</f>
        <v/>
      </c>
      <c r="I3291" s="122">
        <f>TEXT(F3291,"0")&amp;TEXT(G3291,"0")&amp;TEXT(H3291,"0")</f>
        <v/>
      </c>
      <c r="J3291" s="122">
        <f>IFERROR(XLOOKUP(I3291,'Segment Map'!A:A,'Segment Map'!B:B,"Need Attention"),"Need Attention")</f>
        <v/>
      </c>
      <c r="K3291" s="122">
        <f>IF(E3291&gt;=5000,"🏆 Platinum",IF(E3291&gt;=2000,"🥇 Gold",IF(E3291&gt;=800,"🥈 Silver","🥉 Bronze")))</f>
        <v/>
      </c>
      <c r="L3291" s="125" t="n">
        <v>40835</v>
      </c>
    </row>
    <row r="3292">
      <c r="A3292" s="126" t="n">
        <v>16828</v>
      </c>
      <c r="B3292" s="126" t="inlineStr">
        <is>
          <t>United Kingdom</t>
        </is>
      </c>
      <c r="C3292" s="126" t="n">
        <v>94</v>
      </c>
      <c r="D3292" s="126" t="n">
        <v>2</v>
      </c>
      <c r="E3292" s="127" t="n">
        <v>128.5</v>
      </c>
      <c r="F3292" s="128">
        <f>IF(C3292&lt;=30,5,IF(C3292&lt;=60,4,IF(C3292&lt;=120,3,IF(C3292&lt;=200,2,1))))</f>
        <v/>
      </c>
      <c r="G3292" s="128">
        <f>IF(D3292&gt;=20,5,IF(D3292&gt;=10,4,IF(D3292&gt;=5,3,IF(D3292&gt;=2,2,1))))</f>
        <v/>
      </c>
      <c r="H3292" s="128">
        <f>IF(E3292&gt;=5000,5,IF(E3292&gt;=2000,4,IF(E3292&gt;=800,3,IF(E3292&gt;=300,2,1))))</f>
        <v/>
      </c>
      <c r="I3292" s="126">
        <f>TEXT(F3292,"0")&amp;TEXT(G3292,"0")&amp;TEXT(H3292,"0")</f>
        <v/>
      </c>
      <c r="J3292" s="126">
        <f>IFERROR(XLOOKUP(I3292,'Segment Map'!A:A,'Segment Map'!B:B,"Need Attention"),"Need Attention")</f>
        <v/>
      </c>
      <c r="K3292" s="126">
        <f>IF(E3292&gt;=5000,"🏆 Platinum",IF(E3292&gt;=2000,"🥇 Gold",IF(E3292&gt;=800,"🥈 Silver","🥉 Bronze")))</f>
        <v/>
      </c>
      <c r="L3292" s="129" t="n">
        <v>40793</v>
      </c>
    </row>
    <row r="3293">
      <c r="A3293" s="122" t="n">
        <v>16829</v>
      </c>
      <c r="B3293" s="122" t="inlineStr">
        <is>
          <t>United Kingdom</t>
        </is>
      </c>
      <c r="C3293" s="122" t="n">
        <v>157</v>
      </c>
      <c r="D3293" s="122" t="n">
        <v>1</v>
      </c>
      <c r="E3293" s="123" t="n">
        <v>197.22</v>
      </c>
      <c r="F3293" s="124">
        <f>IF(C3293&lt;=30,5,IF(C3293&lt;=60,4,IF(C3293&lt;=120,3,IF(C3293&lt;=200,2,1))))</f>
        <v/>
      </c>
      <c r="G3293" s="124">
        <f>IF(D3293&gt;=20,5,IF(D3293&gt;=10,4,IF(D3293&gt;=5,3,IF(D3293&gt;=2,2,1))))</f>
        <v/>
      </c>
      <c r="H3293" s="124">
        <f>IF(E3293&gt;=5000,5,IF(E3293&gt;=2000,4,IF(E3293&gt;=800,3,IF(E3293&gt;=300,2,1))))</f>
        <v/>
      </c>
      <c r="I3293" s="122">
        <f>TEXT(F3293,"0")&amp;TEXT(G3293,"0")&amp;TEXT(H3293,"0")</f>
        <v/>
      </c>
      <c r="J3293" s="122">
        <f>IFERROR(XLOOKUP(I3293,'Segment Map'!A:A,'Segment Map'!B:B,"Need Attention"),"Need Attention")</f>
        <v/>
      </c>
      <c r="K3293" s="122">
        <f>IF(E3293&gt;=5000,"🏆 Platinum",IF(E3293&gt;=2000,"🥇 Gold",IF(E3293&gt;=800,"🥈 Silver","🥉 Bronze")))</f>
        <v/>
      </c>
      <c r="L3293" s="125" t="n">
        <v>40730</v>
      </c>
    </row>
    <row r="3294">
      <c r="A3294" s="126" t="n">
        <v>16830</v>
      </c>
      <c r="B3294" s="126" t="inlineStr">
        <is>
          <t>United Kingdom</t>
        </is>
      </c>
      <c r="C3294" s="126" t="n">
        <v>39</v>
      </c>
      <c r="D3294" s="126" t="n">
        <v>1</v>
      </c>
      <c r="E3294" s="127" t="n">
        <v>325.91</v>
      </c>
      <c r="F3294" s="128">
        <f>IF(C3294&lt;=30,5,IF(C3294&lt;=60,4,IF(C3294&lt;=120,3,IF(C3294&lt;=200,2,1))))</f>
        <v/>
      </c>
      <c r="G3294" s="128">
        <f>IF(D3294&gt;=20,5,IF(D3294&gt;=10,4,IF(D3294&gt;=5,3,IF(D3294&gt;=2,2,1))))</f>
        <v/>
      </c>
      <c r="H3294" s="128">
        <f>IF(E3294&gt;=5000,5,IF(E3294&gt;=2000,4,IF(E3294&gt;=800,3,IF(E3294&gt;=300,2,1))))</f>
        <v/>
      </c>
      <c r="I3294" s="126">
        <f>TEXT(F3294,"0")&amp;TEXT(G3294,"0")&amp;TEXT(H3294,"0")</f>
        <v/>
      </c>
      <c r="J3294" s="126">
        <f>IFERROR(XLOOKUP(I3294,'Segment Map'!A:A,'Segment Map'!B:B,"Need Attention"),"Need Attention")</f>
        <v/>
      </c>
      <c r="K3294" s="126">
        <f>IF(E3294&gt;=5000,"🏆 Platinum",IF(E3294&gt;=2000,"🥇 Gold",IF(E3294&gt;=800,"🥈 Silver","🥉 Bronze")))</f>
        <v/>
      </c>
      <c r="L3294" s="129" t="n">
        <v>40848</v>
      </c>
    </row>
    <row r="3295">
      <c r="A3295" s="122" t="n">
        <v>16832</v>
      </c>
      <c r="B3295" s="122" t="inlineStr">
        <is>
          <t>United Kingdom</t>
        </is>
      </c>
      <c r="C3295" s="122" t="n">
        <v>185</v>
      </c>
      <c r="D3295" s="122" t="n">
        <v>3</v>
      </c>
      <c r="E3295" s="123" t="n">
        <v>199.15</v>
      </c>
      <c r="F3295" s="124">
        <f>IF(C3295&lt;=30,5,IF(C3295&lt;=60,4,IF(C3295&lt;=120,3,IF(C3295&lt;=200,2,1))))</f>
        <v/>
      </c>
      <c r="G3295" s="124">
        <f>IF(D3295&gt;=20,5,IF(D3295&gt;=10,4,IF(D3295&gt;=5,3,IF(D3295&gt;=2,2,1))))</f>
        <v/>
      </c>
      <c r="H3295" s="124">
        <f>IF(E3295&gt;=5000,5,IF(E3295&gt;=2000,4,IF(E3295&gt;=800,3,IF(E3295&gt;=300,2,1))))</f>
        <v/>
      </c>
      <c r="I3295" s="122">
        <f>TEXT(F3295,"0")&amp;TEXT(G3295,"0")&amp;TEXT(H3295,"0")</f>
        <v/>
      </c>
      <c r="J3295" s="122">
        <f>IFERROR(XLOOKUP(I3295,'Segment Map'!A:A,'Segment Map'!B:B,"Need Attention"),"Need Attention")</f>
        <v/>
      </c>
      <c r="K3295" s="122">
        <f>IF(E3295&gt;=5000,"🏆 Platinum",IF(E3295&gt;=2000,"🥇 Gold",IF(E3295&gt;=800,"🥈 Silver","🥉 Bronze")))</f>
        <v/>
      </c>
      <c r="L3295" s="125" t="n">
        <v>40702</v>
      </c>
    </row>
    <row r="3296">
      <c r="A3296" s="126" t="n">
        <v>16833</v>
      </c>
      <c r="B3296" s="126" t="inlineStr">
        <is>
          <t>United Kingdom</t>
        </is>
      </c>
      <c r="C3296" s="126" t="n">
        <v>2</v>
      </c>
      <c r="D3296" s="126" t="n">
        <v>4</v>
      </c>
      <c r="E3296" s="127" t="n">
        <v>1106.53</v>
      </c>
      <c r="F3296" s="128">
        <f>IF(C3296&lt;=30,5,IF(C3296&lt;=60,4,IF(C3296&lt;=120,3,IF(C3296&lt;=200,2,1))))</f>
        <v/>
      </c>
      <c r="G3296" s="128">
        <f>IF(D3296&gt;=20,5,IF(D3296&gt;=10,4,IF(D3296&gt;=5,3,IF(D3296&gt;=2,2,1))))</f>
        <v/>
      </c>
      <c r="H3296" s="128">
        <f>IF(E3296&gt;=5000,5,IF(E3296&gt;=2000,4,IF(E3296&gt;=800,3,IF(E3296&gt;=300,2,1))))</f>
        <v/>
      </c>
      <c r="I3296" s="126">
        <f>TEXT(F3296,"0")&amp;TEXT(G3296,"0")&amp;TEXT(H3296,"0")</f>
        <v/>
      </c>
      <c r="J3296" s="126">
        <f>IFERROR(XLOOKUP(I3296,'Segment Map'!A:A,'Segment Map'!B:B,"Need Attention"),"Need Attention")</f>
        <v/>
      </c>
      <c r="K3296" s="126">
        <f>IF(E3296&gt;=5000,"🏆 Platinum",IF(E3296&gt;=2000,"🥇 Gold",IF(E3296&gt;=800,"🥈 Silver","🥉 Bronze")))</f>
        <v/>
      </c>
      <c r="L3296" s="129" t="n">
        <v>40885</v>
      </c>
    </row>
    <row r="3297">
      <c r="A3297" s="122" t="n">
        <v>16834</v>
      </c>
      <c r="B3297" s="122" t="inlineStr">
        <is>
          <t>United Kingdom</t>
        </is>
      </c>
      <c r="C3297" s="122" t="n">
        <v>228</v>
      </c>
      <c r="D3297" s="122" t="n">
        <v>1</v>
      </c>
      <c r="E3297" s="123" t="n">
        <v>413.46</v>
      </c>
      <c r="F3297" s="124">
        <f>IF(C3297&lt;=30,5,IF(C3297&lt;=60,4,IF(C3297&lt;=120,3,IF(C3297&lt;=200,2,1))))</f>
        <v/>
      </c>
      <c r="G3297" s="124">
        <f>IF(D3297&gt;=20,5,IF(D3297&gt;=10,4,IF(D3297&gt;=5,3,IF(D3297&gt;=2,2,1))))</f>
        <v/>
      </c>
      <c r="H3297" s="124">
        <f>IF(E3297&gt;=5000,5,IF(E3297&gt;=2000,4,IF(E3297&gt;=800,3,IF(E3297&gt;=300,2,1))))</f>
        <v/>
      </c>
      <c r="I3297" s="122">
        <f>TEXT(F3297,"0")&amp;TEXT(G3297,"0")&amp;TEXT(H3297,"0")</f>
        <v/>
      </c>
      <c r="J3297" s="122">
        <f>IFERROR(XLOOKUP(I3297,'Segment Map'!A:A,'Segment Map'!B:B,"Need Attention"),"Need Attention")</f>
        <v/>
      </c>
      <c r="K3297" s="122">
        <f>IF(E3297&gt;=5000,"🏆 Platinum",IF(E3297&gt;=2000,"🥇 Gold",IF(E3297&gt;=800,"🥈 Silver","🥉 Bronze")))</f>
        <v/>
      </c>
      <c r="L3297" s="125" t="n">
        <v>40659</v>
      </c>
    </row>
    <row r="3298">
      <c r="A3298" s="126" t="n">
        <v>16835</v>
      </c>
      <c r="B3298" s="126" t="inlineStr">
        <is>
          <t>United Kingdom</t>
        </is>
      </c>
      <c r="C3298" s="126" t="n">
        <v>129</v>
      </c>
      <c r="D3298" s="126" t="n">
        <v>2</v>
      </c>
      <c r="E3298" s="127" t="n">
        <v>180.85</v>
      </c>
      <c r="F3298" s="128">
        <f>IF(C3298&lt;=30,5,IF(C3298&lt;=60,4,IF(C3298&lt;=120,3,IF(C3298&lt;=200,2,1))))</f>
        <v/>
      </c>
      <c r="G3298" s="128">
        <f>IF(D3298&gt;=20,5,IF(D3298&gt;=10,4,IF(D3298&gt;=5,3,IF(D3298&gt;=2,2,1))))</f>
        <v/>
      </c>
      <c r="H3298" s="128">
        <f>IF(E3298&gt;=5000,5,IF(E3298&gt;=2000,4,IF(E3298&gt;=800,3,IF(E3298&gt;=300,2,1))))</f>
        <v/>
      </c>
      <c r="I3298" s="126">
        <f>TEXT(F3298,"0")&amp;TEXT(G3298,"0")&amp;TEXT(H3298,"0")</f>
        <v/>
      </c>
      <c r="J3298" s="126">
        <f>IFERROR(XLOOKUP(I3298,'Segment Map'!A:A,'Segment Map'!B:B,"Need Attention"),"Need Attention")</f>
        <v/>
      </c>
      <c r="K3298" s="126">
        <f>IF(E3298&gt;=5000,"🏆 Platinum",IF(E3298&gt;=2000,"🥇 Gold",IF(E3298&gt;=800,"🥈 Silver","🥉 Bronze")))</f>
        <v/>
      </c>
      <c r="L3298" s="129" t="n">
        <v>40758</v>
      </c>
    </row>
    <row r="3299">
      <c r="A3299" s="122" t="n">
        <v>16836</v>
      </c>
      <c r="B3299" s="122" t="inlineStr">
        <is>
          <t>United Kingdom</t>
        </is>
      </c>
      <c r="C3299" s="122" t="n">
        <v>40</v>
      </c>
      <c r="D3299" s="122" t="n">
        <v>2</v>
      </c>
      <c r="E3299" s="123" t="n">
        <v>251.87</v>
      </c>
      <c r="F3299" s="124">
        <f>IF(C3299&lt;=30,5,IF(C3299&lt;=60,4,IF(C3299&lt;=120,3,IF(C3299&lt;=200,2,1))))</f>
        <v/>
      </c>
      <c r="G3299" s="124">
        <f>IF(D3299&gt;=20,5,IF(D3299&gt;=10,4,IF(D3299&gt;=5,3,IF(D3299&gt;=2,2,1))))</f>
        <v/>
      </c>
      <c r="H3299" s="124">
        <f>IF(E3299&gt;=5000,5,IF(E3299&gt;=2000,4,IF(E3299&gt;=800,3,IF(E3299&gt;=300,2,1))))</f>
        <v/>
      </c>
      <c r="I3299" s="122">
        <f>TEXT(F3299,"0")&amp;TEXT(G3299,"0")&amp;TEXT(H3299,"0")</f>
        <v/>
      </c>
      <c r="J3299" s="122">
        <f>IFERROR(XLOOKUP(I3299,'Segment Map'!A:A,'Segment Map'!B:B,"Need Attention"),"Need Attention")</f>
        <v/>
      </c>
      <c r="K3299" s="122">
        <f>IF(E3299&gt;=5000,"🏆 Platinum",IF(E3299&gt;=2000,"🥇 Gold",IF(E3299&gt;=800,"🥈 Silver","🥉 Bronze")))</f>
        <v/>
      </c>
      <c r="L3299" s="125" t="n">
        <v>40847</v>
      </c>
    </row>
    <row r="3300">
      <c r="A3300" s="126" t="n">
        <v>16837</v>
      </c>
      <c r="B3300" s="126" t="inlineStr">
        <is>
          <t>United Kingdom</t>
        </is>
      </c>
      <c r="C3300" s="126" t="n">
        <v>32</v>
      </c>
      <c r="D3300" s="126" t="n">
        <v>11</v>
      </c>
      <c r="E3300" s="127" t="n">
        <v>3170.98</v>
      </c>
      <c r="F3300" s="128">
        <f>IF(C3300&lt;=30,5,IF(C3300&lt;=60,4,IF(C3300&lt;=120,3,IF(C3300&lt;=200,2,1))))</f>
        <v/>
      </c>
      <c r="G3300" s="128">
        <f>IF(D3300&gt;=20,5,IF(D3300&gt;=10,4,IF(D3300&gt;=5,3,IF(D3300&gt;=2,2,1))))</f>
        <v/>
      </c>
      <c r="H3300" s="128">
        <f>IF(E3300&gt;=5000,5,IF(E3300&gt;=2000,4,IF(E3300&gt;=800,3,IF(E3300&gt;=300,2,1))))</f>
        <v/>
      </c>
      <c r="I3300" s="126">
        <f>TEXT(F3300,"0")&amp;TEXT(G3300,"0")&amp;TEXT(H3300,"0")</f>
        <v/>
      </c>
      <c r="J3300" s="126">
        <f>IFERROR(XLOOKUP(I3300,'Segment Map'!A:A,'Segment Map'!B:B,"Need Attention"),"Need Attention")</f>
        <v/>
      </c>
      <c r="K3300" s="126">
        <f>IF(E3300&gt;=5000,"🏆 Platinum",IF(E3300&gt;=2000,"🥇 Gold",IF(E3300&gt;=800,"🥈 Silver","🥉 Bronze")))</f>
        <v/>
      </c>
      <c r="L3300" s="129" t="n">
        <v>40855</v>
      </c>
    </row>
    <row r="3301">
      <c r="A3301" s="122" t="n">
        <v>16838</v>
      </c>
      <c r="B3301" s="122" t="inlineStr">
        <is>
          <t>United Kingdom</t>
        </is>
      </c>
      <c r="C3301" s="122" t="n">
        <v>198</v>
      </c>
      <c r="D3301" s="122" t="n">
        <v>2</v>
      </c>
      <c r="E3301" s="123" t="n">
        <v>588.85</v>
      </c>
      <c r="F3301" s="124">
        <f>IF(C3301&lt;=30,5,IF(C3301&lt;=60,4,IF(C3301&lt;=120,3,IF(C3301&lt;=200,2,1))))</f>
        <v/>
      </c>
      <c r="G3301" s="124">
        <f>IF(D3301&gt;=20,5,IF(D3301&gt;=10,4,IF(D3301&gt;=5,3,IF(D3301&gt;=2,2,1))))</f>
        <v/>
      </c>
      <c r="H3301" s="124">
        <f>IF(E3301&gt;=5000,5,IF(E3301&gt;=2000,4,IF(E3301&gt;=800,3,IF(E3301&gt;=300,2,1))))</f>
        <v/>
      </c>
      <c r="I3301" s="122">
        <f>TEXT(F3301,"0")&amp;TEXT(G3301,"0")&amp;TEXT(H3301,"0")</f>
        <v/>
      </c>
      <c r="J3301" s="122">
        <f>IFERROR(XLOOKUP(I3301,'Segment Map'!A:A,'Segment Map'!B:B,"Need Attention"),"Need Attention")</f>
        <v/>
      </c>
      <c r="K3301" s="122">
        <f>IF(E3301&gt;=5000,"🏆 Platinum",IF(E3301&gt;=2000,"🥇 Gold",IF(E3301&gt;=800,"🥈 Silver","🥉 Bronze")))</f>
        <v/>
      </c>
      <c r="L3301" s="125" t="n">
        <v>40689</v>
      </c>
    </row>
    <row r="3302">
      <c r="A3302" s="126" t="n">
        <v>16839</v>
      </c>
      <c r="B3302" s="126" t="inlineStr">
        <is>
          <t>United Kingdom</t>
        </is>
      </c>
      <c r="C3302" s="126" t="n">
        <v>9</v>
      </c>
      <c r="D3302" s="126" t="n">
        <v>34</v>
      </c>
      <c r="E3302" s="127" t="n">
        <v>16594.35</v>
      </c>
      <c r="F3302" s="128">
        <f>IF(C3302&lt;=30,5,IF(C3302&lt;=60,4,IF(C3302&lt;=120,3,IF(C3302&lt;=200,2,1))))</f>
        <v/>
      </c>
      <c r="G3302" s="128">
        <f>IF(D3302&gt;=20,5,IF(D3302&gt;=10,4,IF(D3302&gt;=5,3,IF(D3302&gt;=2,2,1))))</f>
        <v/>
      </c>
      <c r="H3302" s="128">
        <f>IF(E3302&gt;=5000,5,IF(E3302&gt;=2000,4,IF(E3302&gt;=800,3,IF(E3302&gt;=300,2,1))))</f>
        <v/>
      </c>
      <c r="I3302" s="126">
        <f>TEXT(F3302,"0")&amp;TEXT(G3302,"0")&amp;TEXT(H3302,"0")</f>
        <v/>
      </c>
      <c r="J3302" s="126">
        <f>IFERROR(XLOOKUP(I3302,'Segment Map'!A:A,'Segment Map'!B:B,"Need Attention"),"Need Attention")</f>
        <v/>
      </c>
      <c r="K3302" s="126">
        <f>IF(E3302&gt;=5000,"🏆 Platinum",IF(E3302&gt;=2000,"🥇 Gold",IF(E3302&gt;=800,"🥈 Silver","🥉 Bronze")))</f>
        <v/>
      </c>
      <c r="L3302" s="129" t="n">
        <v>40878</v>
      </c>
    </row>
    <row r="3303">
      <c r="A3303" s="122" t="n">
        <v>16841</v>
      </c>
      <c r="B3303" s="122" t="inlineStr">
        <is>
          <t>United Kingdom</t>
        </is>
      </c>
      <c r="C3303" s="122" t="n">
        <v>37</v>
      </c>
      <c r="D3303" s="122" t="n">
        <v>6</v>
      </c>
      <c r="E3303" s="123" t="n">
        <v>1869.82</v>
      </c>
      <c r="F3303" s="124">
        <f>IF(C3303&lt;=30,5,IF(C3303&lt;=60,4,IF(C3303&lt;=120,3,IF(C3303&lt;=200,2,1))))</f>
        <v/>
      </c>
      <c r="G3303" s="124">
        <f>IF(D3303&gt;=20,5,IF(D3303&gt;=10,4,IF(D3303&gt;=5,3,IF(D3303&gt;=2,2,1))))</f>
        <v/>
      </c>
      <c r="H3303" s="124">
        <f>IF(E3303&gt;=5000,5,IF(E3303&gt;=2000,4,IF(E3303&gt;=800,3,IF(E3303&gt;=300,2,1))))</f>
        <v/>
      </c>
      <c r="I3303" s="122">
        <f>TEXT(F3303,"0")&amp;TEXT(G3303,"0")&amp;TEXT(H3303,"0")</f>
        <v/>
      </c>
      <c r="J3303" s="122">
        <f>IFERROR(XLOOKUP(I3303,'Segment Map'!A:A,'Segment Map'!B:B,"Need Attention"),"Need Attention")</f>
        <v/>
      </c>
      <c r="K3303" s="122">
        <f>IF(E3303&gt;=5000,"🏆 Platinum",IF(E3303&gt;=2000,"🥇 Gold",IF(E3303&gt;=800,"🥈 Silver","🥉 Bronze")))</f>
        <v/>
      </c>
      <c r="L3303" s="125" t="n">
        <v>40850</v>
      </c>
    </row>
    <row r="3304">
      <c r="A3304" s="126" t="n">
        <v>16842</v>
      </c>
      <c r="B3304" s="126" t="inlineStr">
        <is>
          <t>United Kingdom</t>
        </is>
      </c>
      <c r="C3304" s="126" t="n">
        <v>101</v>
      </c>
      <c r="D3304" s="126" t="n">
        <v>3</v>
      </c>
      <c r="E3304" s="127" t="n">
        <v>1264.19</v>
      </c>
      <c r="F3304" s="128">
        <f>IF(C3304&lt;=30,5,IF(C3304&lt;=60,4,IF(C3304&lt;=120,3,IF(C3304&lt;=200,2,1))))</f>
        <v/>
      </c>
      <c r="G3304" s="128">
        <f>IF(D3304&gt;=20,5,IF(D3304&gt;=10,4,IF(D3304&gt;=5,3,IF(D3304&gt;=2,2,1))))</f>
        <v/>
      </c>
      <c r="H3304" s="128">
        <f>IF(E3304&gt;=5000,5,IF(E3304&gt;=2000,4,IF(E3304&gt;=800,3,IF(E3304&gt;=300,2,1))))</f>
        <v/>
      </c>
      <c r="I3304" s="126">
        <f>TEXT(F3304,"0")&amp;TEXT(G3304,"0")&amp;TEXT(H3304,"0")</f>
        <v/>
      </c>
      <c r="J3304" s="126">
        <f>IFERROR(XLOOKUP(I3304,'Segment Map'!A:A,'Segment Map'!B:B,"Need Attention"),"Need Attention")</f>
        <v/>
      </c>
      <c r="K3304" s="126">
        <f>IF(E3304&gt;=5000,"🏆 Platinum",IF(E3304&gt;=2000,"🥇 Gold",IF(E3304&gt;=800,"🥈 Silver","🥉 Bronze")))</f>
        <v/>
      </c>
      <c r="L3304" s="129" t="n">
        <v>40786</v>
      </c>
    </row>
    <row r="3305">
      <c r="A3305" s="122" t="n">
        <v>16843</v>
      </c>
      <c r="B3305" s="122" t="inlineStr">
        <is>
          <t>United Kingdom</t>
        </is>
      </c>
      <c r="C3305" s="122" t="n">
        <v>43</v>
      </c>
      <c r="D3305" s="122" t="n">
        <v>16</v>
      </c>
      <c r="E3305" s="123" t="n">
        <v>10196.57</v>
      </c>
      <c r="F3305" s="124">
        <f>IF(C3305&lt;=30,5,IF(C3305&lt;=60,4,IF(C3305&lt;=120,3,IF(C3305&lt;=200,2,1))))</f>
        <v/>
      </c>
      <c r="G3305" s="124">
        <f>IF(D3305&gt;=20,5,IF(D3305&gt;=10,4,IF(D3305&gt;=5,3,IF(D3305&gt;=2,2,1))))</f>
        <v/>
      </c>
      <c r="H3305" s="124">
        <f>IF(E3305&gt;=5000,5,IF(E3305&gt;=2000,4,IF(E3305&gt;=800,3,IF(E3305&gt;=300,2,1))))</f>
        <v/>
      </c>
      <c r="I3305" s="122">
        <f>TEXT(F3305,"0")&amp;TEXT(G3305,"0")&amp;TEXT(H3305,"0")</f>
        <v/>
      </c>
      <c r="J3305" s="122">
        <f>IFERROR(XLOOKUP(I3305,'Segment Map'!A:A,'Segment Map'!B:B,"Need Attention"),"Need Attention")</f>
        <v/>
      </c>
      <c r="K3305" s="122">
        <f>IF(E3305&gt;=5000,"🏆 Platinum",IF(E3305&gt;=2000,"🥇 Gold",IF(E3305&gt;=800,"🥈 Silver","🥉 Bronze")))</f>
        <v/>
      </c>
      <c r="L3305" s="125" t="n">
        <v>40844</v>
      </c>
    </row>
    <row r="3306">
      <c r="A3306" s="126" t="n">
        <v>16846</v>
      </c>
      <c r="B3306" s="126" t="inlineStr">
        <is>
          <t>United Kingdom</t>
        </is>
      </c>
      <c r="C3306" s="126" t="n">
        <v>51</v>
      </c>
      <c r="D3306" s="126" t="n">
        <v>1</v>
      </c>
      <c r="E3306" s="127" t="n">
        <v>214.32</v>
      </c>
      <c r="F3306" s="128">
        <f>IF(C3306&lt;=30,5,IF(C3306&lt;=60,4,IF(C3306&lt;=120,3,IF(C3306&lt;=200,2,1))))</f>
        <v/>
      </c>
      <c r="G3306" s="128">
        <f>IF(D3306&gt;=20,5,IF(D3306&gt;=10,4,IF(D3306&gt;=5,3,IF(D3306&gt;=2,2,1))))</f>
        <v/>
      </c>
      <c r="H3306" s="128">
        <f>IF(E3306&gt;=5000,5,IF(E3306&gt;=2000,4,IF(E3306&gt;=800,3,IF(E3306&gt;=300,2,1))))</f>
        <v/>
      </c>
      <c r="I3306" s="126">
        <f>TEXT(F3306,"0")&amp;TEXT(G3306,"0")&amp;TEXT(H3306,"0")</f>
        <v/>
      </c>
      <c r="J3306" s="126">
        <f>IFERROR(XLOOKUP(I3306,'Segment Map'!A:A,'Segment Map'!B:B,"Need Attention"),"Need Attention")</f>
        <v/>
      </c>
      <c r="K3306" s="126">
        <f>IF(E3306&gt;=5000,"🏆 Platinum",IF(E3306&gt;=2000,"🥇 Gold",IF(E3306&gt;=800,"🥈 Silver","🥉 Bronze")))</f>
        <v/>
      </c>
      <c r="L3306" s="129" t="n">
        <v>40836</v>
      </c>
    </row>
    <row r="3307">
      <c r="A3307" s="122" t="n">
        <v>16847</v>
      </c>
      <c r="B3307" s="122" t="inlineStr">
        <is>
          <t>United Kingdom</t>
        </is>
      </c>
      <c r="C3307" s="122" t="n">
        <v>44</v>
      </c>
      <c r="D3307" s="122" t="n">
        <v>1</v>
      </c>
      <c r="E3307" s="123" t="n">
        <v>193.44</v>
      </c>
      <c r="F3307" s="124">
        <f>IF(C3307&lt;=30,5,IF(C3307&lt;=60,4,IF(C3307&lt;=120,3,IF(C3307&lt;=200,2,1))))</f>
        <v/>
      </c>
      <c r="G3307" s="124">
        <f>IF(D3307&gt;=20,5,IF(D3307&gt;=10,4,IF(D3307&gt;=5,3,IF(D3307&gt;=2,2,1))))</f>
        <v/>
      </c>
      <c r="H3307" s="124">
        <f>IF(E3307&gt;=5000,5,IF(E3307&gt;=2000,4,IF(E3307&gt;=800,3,IF(E3307&gt;=300,2,1))))</f>
        <v/>
      </c>
      <c r="I3307" s="122">
        <f>TEXT(F3307,"0")&amp;TEXT(G3307,"0")&amp;TEXT(H3307,"0")</f>
        <v/>
      </c>
      <c r="J3307" s="122">
        <f>IFERROR(XLOOKUP(I3307,'Segment Map'!A:A,'Segment Map'!B:B,"Need Attention"),"Need Attention")</f>
        <v/>
      </c>
      <c r="K3307" s="122">
        <f>IF(E3307&gt;=5000,"🏆 Platinum",IF(E3307&gt;=2000,"🥇 Gold",IF(E3307&gt;=800,"🥈 Silver","🥉 Bronze")))</f>
        <v/>
      </c>
      <c r="L3307" s="125" t="n">
        <v>40843</v>
      </c>
    </row>
    <row r="3308">
      <c r="A3308" s="126" t="n">
        <v>16848</v>
      </c>
      <c r="B3308" s="126" t="inlineStr">
        <is>
          <t>United Kingdom</t>
        </is>
      </c>
      <c r="C3308" s="126" t="n">
        <v>53</v>
      </c>
      <c r="D3308" s="126" t="n">
        <v>1</v>
      </c>
      <c r="E3308" s="127" t="n">
        <v>281.42</v>
      </c>
      <c r="F3308" s="128">
        <f>IF(C3308&lt;=30,5,IF(C3308&lt;=60,4,IF(C3308&lt;=120,3,IF(C3308&lt;=200,2,1))))</f>
        <v/>
      </c>
      <c r="G3308" s="128">
        <f>IF(D3308&gt;=20,5,IF(D3308&gt;=10,4,IF(D3308&gt;=5,3,IF(D3308&gt;=2,2,1))))</f>
        <v/>
      </c>
      <c r="H3308" s="128">
        <f>IF(E3308&gt;=5000,5,IF(E3308&gt;=2000,4,IF(E3308&gt;=800,3,IF(E3308&gt;=300,2,1))))</f>
        <v/>
      </c>
      <c r="I3308" s="126">
        <f>TEXT(F3308,"0")&amp;TEXT(G3308,"0")&amp;TEXT(H3308,"0")</f>
        <v/>
      </c>
      <c r="J3308" s="126">
        <f>IFERROR(XLOOKUP(I3308,'Segment Map'!A:A,'Segment Map'!B:B,"Need Attention"),"Need Attention")</f>
        <v/>
      </c>
      <c r="K3308" s="126">
        <f>IF(E3308&gt;=5000,"🏆 Platinum",IF(E3308&gt;=2000,"🥇 Gold",IF(E3308&gt;=800,"🥈 Silver","🥉 Bronze")))</f>
        <v/>
      </c>
      <c r="L3308" s="129" t="n">
        <v>40834</v>
      </c>
    </row>
    <row r="3309">
      <c r="A3309" s="122" t="n">
        <v>16849</v>
      </c>
      <c r="B3309" s="122" t="inlineStr">
        <is>
          <t>United Kingdom</t>
        </is>
      </c>
      <c r="C3309" s="122" t="n">
        <v>187</v>
      </c>
      <c r="D3309" s="122" t="n">
        <v>1</v>
      </c>
      <c r="E3309" s="123" t="n">
        <v>124.57</v>
      </c>
      <c r="F3309" s="124">
        <f>IF(C3309&lt;=30,5,IF(C3309&lt;=60,4,IF(C3309&lt;=120,3,IF(C3309&lt;=200,2,1))))</f>
        <v/>
      </c>
      <c r="G3309" s="124">
        <f>IF(D3309&gt;=20,5,IF(D3309&gt;=10,4,IF(D3309&gt;=5,3,IF(D3309&gt;=2,2,1))))</f>
        <v/>
      </c>
      <c r="H3309" s="124">
        <f>IF(E3309&gt;=5000,5,IF(E3309&gt;=2000,4,IF(E3309&gt;=800,3,IF(E3309&gt;=300,2,1))))</f>
        <v/>
      </c>
      <c r="I3309" s="122">
        <f>TEXT(F3309,"0")&amp;TEXT(G3309,"0")&amp;TEXT(H3309,"0")</f>
        <v/>
      </c>
      <c r="J3309" s="122">
        <f>IFERROR(XLOOKUP(I3309,'Segment Map'!A:A,'Segment Map'!B:B,"Need Attention"),"Need Attention")</f>
        <v/>
      </c>
      <c r="K3309" s="122">
        <f>IF(E3309&gt;=5000,"🏆 Platinum",IF(E3309&gt;=2000,"🥇 Gold",IF(E3309&gt;=800,"🥈 Silver","🥉 Bronze")))</f>
        <v/>
      </c>
      <c r="L3309" s="125" t="n">
        <v>40700</v>
      </c>
    </row>
    <row r="3310">
      <c r="A3310" s="126" t="n">
        <v>16850</v>
      </c>
      <c r="B3310" s="126" t="inlineStr">
        <is>
          <t>United Kingdom</t>
        </is>
      </c>
      <c r="C3310" s="126" t="n">
        <v>334</v>
      </c>
      <c r="D3310" s="126" t="n">
        <v>1</v>
      </c>
      <c r="E3310" s="127" t="n">
        <v>332.41</v>
      </c>
      <c r="F3310" s="128">
        <f>IF(C3310&lt;=30,5,IF(C3310&lt;=60,4,IF(C3310&lt;=120,3,IF(C3310&lt;=200,2,1))))</f>
        <v/>
      </c>
      <c r="G3310" s="128">
        <f>IF(D3310&gt;=20,5,IF(D3310&gt;=10,4,IF(D3310&gt;=5,3,IF(D3310&gt;=2,2,1))))</f>
        <v/>
      </c>
      <c r="H3310" s="128">
        <f>IF(E3310&gt;=5000,5,IF(E3310&gt;=2000,4,IF(E3310&gt;=800,3,IF(E3310&gt;=300,2,1))))</f>
        <v/>
      </c>
      <c r="I3310" s="126">
        <f>TEXT(F3310,"0")&amp;TEXT(G3310,"0")&amp;TEXT(H3310,"0")</f>
        <v/>
      </c>
      <c r="J3310" s="126">
        <f>IFERROR(XLOOKUP(I3310,'Segment Map'!A:A,'Segment Map'!B:B,"Need Attention"),"Need Attention")</f>
        <v/>
      </c>
      <c r="K3310" s="126">
        <f>IF(E3310&gt;=5000,"🏆 Platinum",IF(E3310&gt;=2000,"🥇 Gold",IF(E3310&gt;=800,"🥈 Silver","🥉 Bronze")))</f>
        <v/>
      </c>
      <c r="L3310" s="129" t="n">
        <v>40553</v>
      </c>
    </row>
    <row r="3311">
      <c r="A3311" s="122" t="n">
        <v>16851</v>
      </c>
      <c r="B3311" s="122" t="inlineStr">
        <is>
          <t>United Kingdom</t>
        </is>
      </c>
      <c r="C3311" s="122" t="n">
        <v>5</v>
      </c>
      <c r="D3311" s="122" t="n">
        <v>3</v>
      </c>
      <c r="E3311" s="123" t="n">
        <v>342.45</v>
      </c>
      <c r="F3311" s="124">
        <f>IF(C3311&lt;=30,5,IF(C3311&lt;=60,4,IF(C3311&lt;=120,3,IF(C3311&lt;=200,2,1))))</f>
        <v/>
      </c>
      <c r="G3311" s="124">
        <f>IF(D3311&gt;=20,5,IF(D3311&gt;=10,4,IF(D3311&gt;=5,3,IF(D3311&gt;=2,2,1))))</f>
        <v/>
      </c>
      <c r="H3311" s="124">
        <f>IF(E3311&gt;=5000,5,IF(E3311&gt;=2000,4,IF(E3311&gt;=800,3,IF(E3311&gt;=300,2,1))))</f>
        <v/>
      </c>
      <c r="I3311" s="122">
        <f>TEXT(F3311,"0")&amp;TEXT(G3311,"0")&amp;TEXT(H3311,"0")</f>
        <v/>
      </c>
      <c r="J3311" s="122">
        <f>IFERROR(XLOOKUP(I3311,'Segment Map'!A:A,'Segment Map'!B:B,"Need Attention"),"Need Attention")</f>
        <v/>
      </c>
      <c r="K3311" s="122">
        <f>IF(E3311&gt;=5000,"🏆 Platinum",IF(E3311&gt;=2000,"🥇 Gold",IF(E3311&gt;=800,"🥈 Silver","🥉 Bronze")))</f>
        <v/>
      </c>
      <c r="L3311" s="125" t="n">
        <v>40882</v>
      </c>
    </row>
    <row r="3312">
      <c r="A3312" s="126" t="n">
        <v>16852</v>
      </c>
      <c r="B3312" s="126" t="inlineStr">
        <is>
          <t>United Kingdom</t>
        </is>
      </c>
      <c r="C3312" s="126" t="n">
        <v>11</v>
      </c>
      <c r="D3312" s="126" t="n">
        <v>2</v>
      </c>
      <c r="E3312" s="127" t="n">
        <v>144.91</v>
      </c>
      <c r="F3312" s="128">
        <f>IF(C3312&lt;=30,5,IF(C3312&lt;=60,4,IF(C3312&lt;=120,3,IF(C3312&lt;=200,2,1))))</f>
        <v/>
      </c>
      <c r="G3312" s="128">
        <f>IF(D3312&gt;=20,5,IF(D3312&gt;=10,4,IF(D3312&gt;=5,3,IF(D3312&gt;=2,2,1))))</f>
        <v/>
      </c>
      <c r="H3312" s="128">
        <f>IF(E3312&gt;=5000,5,IF(E3312&gt;=2000,4,IF(E3312&gt;=800,3,IF(E3312&gt;=300,2,1))))</f>
        <v/>
      </c>
      <c r="I3312" s="126">
        <f>TEXT(F3312,"0")&amp;TEXT(G3312,"0")&amp;TEXT(H3312,"0")</f>
        <v/>
      </c>
      <c r="J3312" s="126">
        <f>IFERROR(XLOOKUP(I3312,'Segment Map'!A:A,'Segment Map'!B:B,"Need Attention"),"Need Attention")</f>
        <v/>
      </c>
      <c r="K3312" s="126">
        <f>IF(E3312&gt;=5000,"🏆 Platinum",IF(E3312&gt;=2000,"🥇 Gold",IF(E3312&gt;=800,"🥈 Silver","🥉 Bronze")))</f>
        <v/>
      </c>
      <c r="L3312" s="129" t="n">
        <v>40876</v>
      </c>
    </row>
    <row r="3313">
      <c r="A3313" s="122" t="n">
        <v>16855</v>
      </c>
      <c r="B3313" s="122" t="inlineStr">
        <is>
          <t>United Kingdom</t>
        </is>
      </c>
      <c r="C3313" s="122" t="n">
        <v>24</v>
      </c>
      <c r="D3313" s="122" t="n">
        <v>2</v>
      </c>
      <c r="E3313" s="123" t="n">
        <v>328.4</v>
      </c>
      <c r="F3313" s="124">
        <f>IF(C3313&lt;=30,5,IF(C3313&lt;=60,4,IF(C3313&lt;=120,3,IF(C3313&lt;=200,2,1))))</f>
        <v/>
      </c>
      <c r="G3313" s="124">
        <f>IF(D3313&gt;=20,5,IF(D3313&gt;=10,4,IF(D3313&gt;=5,3,IF(D3313&gt;=2,2,1))))</f>
        <v/>
      </c>
      <c r="H3313" s="124">
        <f>IF(E3313&gt;=5000,5,IF(E3313&gt;=2000,4,IF(E3313&gt;=800,3,IF(E3313&gt;=300,2,1))))</f>
        <v/>
      </c>
      <c r="I3313" s="122">
        <f>TEXT(F3313,"0")&amp;TEXT(G3313,"0")&amp;TEXT(H3313,"0")</f>
        <v/>
      </c>
      <c r="J3313" s="122">
        <f>IFERROR(XLOOKUP(I3313,'Segment Map'!A:A,'Segment Map'!B:B,"Need Attention"),"Need Attention")</f>
        <v/>
      </c>
      <c r="K3313" s="122">
        <f>IF(E3313&gt;=5000,"🏆 Platinum",IF(E3313&gt;=2000,"🥇 Gold",IF(E3313&gt;=800,"🥈 Silver","🥉 Bronze")))</f>
        <v/>
      </c>
      <c r="L3313" s="125" t="n">
        <v>40863</v>
      </c>
    </row>
    <row r="3314">
      <c r="A3314" s="126" t="n">
        <v>16856</v>
      </c>
      <c r="B3314" s="126" t="inlineStr">
        <is>
          <t>United Kingdom</t>
        </is>
      </c>
      <c r="C3314" s="126" t="n">
        <v>15</v>
      </c>
      <c r="D3314" s="126" t="n">
        <v>1</v>
      </c>
      <c r="E3314" s="127" t="n">
        <v>35.4</v>
      </c>
      <c r="F3314" s="128">
        <f>IF(C3314&lt;=30,5,IF(C3314&lt;=60,4,IF(C3314&lt;=120,3,IF(C3314&lt;=200,2,1))))</f>
        <v/>
      </c>
      <c r="G3314" s="128">
        <f>IF(D3314&gt;=20,5,IF(D3314&gt;=10,4,IF(D3314&gt;=5,3,IF(D3314&gt;=2,2,1))))</f>
        <v/>
      </c>
      <c r="H3314" s="128">
        <f>IF(E3314&gt;=5000,5,IF(E3314&gt;=2000,4,IF(E3314&gt;=800,3,IF(E3314&gt;=300,2,1))))</f>
        <v/>
      </c>
      <c r="I3314" s="126">
        <f>TEXT(F3314,"0")&amp;TEXT(G3314,"0")&amp;TEXT(H3314,"0")</f>
        <v/>
      </c>
      <c r="J3314" s="126">
        <f>IFERROR(XLOOKUP(I3314,'Segment Map'!A:A,'Segment Map'!B:B,"Need Attention"),"Need Attention")</f>
        <v/>
      </c>
      <c r="K3314" s="126">
        <f>IF(E3314&gt;=5000,"🏆 Platinum",IF(E3314&gt;=2000,"🥇 Gold",IF(E3314&gt;=800,"🥈 Silver","🥉 Bronze")))</f>
        <v/>
      </c>
      <c r="L3314" s="129" t="n">
        <v>40872</v>
      </c>
    </row>
    <row r="3315">
      <c r="A3315" s="122" t="n">
        <v>16858</v>
      </c>
      <c r="B3315" s="122" t="inlineStr">
        <is>
          <t>United Kingdom</t>
        </is>
      </c>
      <c r="C3315" s="122" t="n">
        <v>369</v>
      </c>
      <c r="D3315" s="122" t="n">
        <v>1</v>
      </c>
      <c r="E3315" s="123" t="n">
        <v>375.69</v>
      </c>
      <c r="F3315" s="124">
        <f>IF(C3315&lt;=30,5,IF(C3315&lt;=60,4,IF(C3315&lt;=120,3,IF(C3315&lt;=200,2,1))))</f>
        <v/>
      </c>
      <c r="G3315" s="124">
        <f>IF(D3315&gt;=20,5,IF(D3315&gt;=10,4,IF(D3315&gt;=5,3,IF(D3315&gt;=2,2,1))))</f>
        <v/>
      </c>
      <c r="H3315" s="124">
        <f>IF(E3315&gt;=5000,5,IF(E3315&gt;=2000,4,IF(E3315&gt;=800,3,IF(E3315&gt;=300,2,1))))</f>
        <v/>
      </c>
      <c r="I3315" s="122">
        <f>TEXT(F3315,"0")&amp;TEXT(G3315,"0")&amp;TEXT(H3315,"0")</f>
        <v/>
      </c>
      <c r="J3315" s="122">
        <f>IFERROR(XLOOKUP(I3315,'Segment Map'!A:A,'Segment Map'!B:B,"Need Attention"),"Need Attention")</f>
        <v/>
      </c>
      <c r="K3315" s="122">
        <f>IF(E3315&gt;=5000,"🏆 Platinum",IF(E3315&gt;=2000,"🥇 Gold",IF(E3315&gt;=800,"🥈 Silver","🥉 Bronze")))</f>
        <v/>
      </c>
      <c r="L3315" s="125" t="n">
        <v>40518</v>
      </c>
    </row>
    <row r="3316">
      <c r="A3316" s="126" t="n">
        <v>16859</v>
      </c>
      <c r="B3316" s="126" t="inlineStr">
        <is>
          <t>United Kingdom</t>
        </is>
      </c>
      <c r="C3316" s="126" t="n">
        <v>145</v>
      </c>
      <c r="D3316" s="126" t="n">
        <v>2</v>
      </c>
      <c r="E3316" s="127" t="n">
        <v>747.8099999999999</v>
      </c>
      <c r="F3316" s="128">
        <f>IF(C3316&lt;=30,5,IF(C3316&lt;=60,4,IF(C3316&lt;=120,3,IF(C3316&lt;=200,2,1))))</f>
        <v/>
      </c>
      <c r="G3316" s="128">
        <f>IF(D3316&gt;=20,5,IF(D3316&gt;=10,4,IF(D3316&gt;=5,3,IF(D3316&gt;=2,2,1))))</f>
        <v/>
      </c>
      <c r="H3316" s="128">
        <f>IF(E3316&gt;=5000,5,IF(E3316&gt;=2000,4,IF(E3316&gt;=800,3,IF(E3316&gt;=300,2,1))))</f>
        <v/>
      </c>
      <c r="I3316" s="126">
        <f>TEXT(F3316,"0")&amp;TEXT(G3316,"0")&amp;TEXT(H3316,"0")</f>
        <v/>
      </c>
      <c r="J3316" s="126">
        <f>IFERROR(XLOOKUP(I3316,'Segment Map'!A:A,'Segment Map'!B:B,"Need Attention"),"Need Attention")</f>
        <v/>
      </c>
      <c r="K3316" s="126">
        <f>IF(E3316&gt;=5000,"🏆 Platinum",IF(E3316&gt;=2000,"🥇 Gold",IF(E3316&gt;=800,"🥈 Silver","🥉 Bronze")))</f>
        <v/>
      </c>
      <c r="L3316" s="129" t="n">
        <v>40742</v>
      </c>
    </row>
    <row r="3317">
      <c r="A3317" s="122" t="n">
        <v>16861</v>
      </c>
      <c r="B3317" s="122" t="inlineStr">
        <is>
          <t>United Kingdom</t>
        </is>
      </c>
      <c r="C3317" s="122" t="n">
        <v>60</v>
      </c>
      <c r="D3317" s="122" t="n">
        <v>2</v>
      </c>
      <c r="E3317" s="123" t="n">
        <v>173.76</v>
      </c>
      <c r="F3317" s="124">
        <f>IF(C3317&lt;=30,5,IF(C3317&lt;=60,4,IF(C3317&lt;=120,3,IF(C3317&lt;=200,2,1))))</f>
        <v/>
      </c>
      <c r="G3317" s="124">
        <f>IF(D3317&gt;=20,5,IF(D3317&gt;=10,4,IF(D3317&gt;=5,3,IF(D3317&gt;=2,2,1))))</f>
        <v/>
      </c>
      <c r="H3317" s="124">
        <f>IF(E3317&gt;=5000,5,IF(E3317&gt;=2000,4,IF(E3317&gt;=800,3,IF(E3317&gt;=300,2,1))))</f>
        <v/>
      </c>
      <c r="I3317" s="122">
        <f>TEXT(F3317,"0")&amp;TEXT(G3317,"0")&amp;TEXT(H3317,"0")</f>
        <v/>
      </c>
      <c r="J3317" s="122">
        <f>IFERROR(XLOOKUP(I3317,'Segment Map'!A:A,'Segment Map'!B:B,"Need Attention"),"Need Attention")</f>
        <v/>
      </c>
      <c r="K3317" s="122">
        <f>IF(E3317&gt;=5000,"🏆 Platinum",IF(E3317&gt;=2000,"🥇 Gold",IF(E3317&gt;=800,"🥈 Silver","🥉 Bronze")))</f>
        <v/>
      </c>
      <c r="L3317" s="125" t="n">
        <v>40827</v>
      </c>
    </row>
    <row r="3318">
      <c r="A3318" s="126" t="n">
        <v>16863</v>
      </c>
      <c r="B3318" s="126" t="inlineStr">
        <is>
          <t>United Kingdom</t>
        </is>
      </c>
      <c r="C3318" s="126" t="n">
        <v>32</v>
      </c>
      <c r="D3318" s="126" t="n">
        <v>2</v>
      </c>
      <c r="E3318" s="127" t="n">
        <v>502.8</v>
      </c>
      <c r="F3318" s="128">
        <f>IF(C3318&lt;=30,5,IF(C3318&lt;=60,4,IF(C3318&lt;=120,3,IF(C3318&lt;=200,2,1))))</f>
        <v/>
      </c>
      <c r="G3318" s="128">
        <f>IF(D3318&gt;=20,5,IF(D3318&gt;=10,4,IF(D3318&gt;=5,3,IF(D3318&gt;=2,2,1))))</f>
        <v/>
      </c>
      <c r="H3318" s="128">
        <f>IF(E3318&gt;=5000,5,IF(E3318&gt;=2000,4,IF(E3318&gt;=800,3,IF(E3318&gt;=300,2,1))))</f>
        <v/>
      </c>
      <c r="I3318" s="126">
        <f>TEXT(F3318,"0")&amp;TEXT(G3318,"0")&amp;TEXT(H3318,"0")</f>
        <v/>
      </c>
      <c r="J3318" s="126">
        <f>IFERROR(XLOOKUP(I3318,'Segment Map'!A:A,'Segment Map'!B:B,"Need Attention"),"Need Attention")</f>
        <v/>
      </c>
      <c r="K3318" s="126">
        <f>IF(E3318&gt;=5000,"🏆 Platinum",IF(E3318&gt;=2000,"🥇 Gold",IF(E3318&gt;=800,"🥈 Silver","🥉 Bronze")))</f>
        <v/>
      </c>
      <c r="L3318" s="129" t="n">
        <v>40855</v>
      </c>
    </row>
    <row r="3319">
      <c r="A3319" s="122" t="n">
        <v>16866</v>
      </c>
      <c r="B3319" s="122" t="inlineStr">
        <is>
          <t>United Kingdom</t>
        </is>
      </c>
      <c r="C3319" s="122" t="n">
        <v>141</v>
      </c>
      <c r="D3319" s="122" t="n">
        <v>3</v>
      </c>
      <c r="E3319" s="123" t="n">
        <v>207.74</v>
      </c>
      <c r="F3319" s="124">
        <f>IF(C3319&lt;=30,5,IF(C3319&lt;=60,4,IF(C3319&lt;=120,3,IF(C3319&lt;=200,2,1))))</f>
        <v/>
      </c>
      <c r="G3319" s="124">
        <f>IF(D3319&gt;=20,5,IF(D3319&gt;=10,4,IF(D3319&gt;=5,3,IF(D3319&gt;=2,2,1))))</f>
        <v/>
      </c>
      <c r="H3319" s="124">
        <f>IF(E3319&gt;=5000,5,IF(E3319&gt;=2000,4,IF(E3319&gt;=800,3,IF(E3319&gt;=300,2,1))))</f>
        <v/>
      </c>
      <c r="I3319" s="122">
        <f>TEXT(F3319,"0")&amp;TEXT(G3319,"0")&amp;TEXT(H3319,"0")</f>
        <v/>
      </c>
      <c r="J3319" s="122">
        <f>IFERROR(XLOOKUP(I3319,'Segment Map'!A:A,'Segment Map'!B:B,"Need Attention"),"Need Attention")</f>
        <v/>
      </c>
      <c r="K3319" s="122">
        <f>IF(E3319&gt;=5000,"🏆 Platinum",IF(E3319&gt;=2000,"🥇 Gold",IF(E3319&gt;=800,"🥈 Silver","🥉 Bronze")))</f>
        <v/>
      </c>
      <c r="L3319" s="125" t="n">
        <v>40746</v>
      </c>
    </row>
    <row r="3320">
      <c r="A3320" s="126" t="n">
        <v>16869</v>
      </c>
      <c r="B3320" s="126" t="inlineStr">
        <is>
          <t>United Kingdom</t>
        </is>
      </c>
      <c r="C3320" s="126" t="n">
        <v>23</v>
      </c>
      <c r="D3320" s="126" t="n">
        <v>4</v>
      </c>
      <c r="E3320" s="127" t="n">
        <v>825.42</v>
      </c>
      <c r="F3320" s="128">
        <f>IF(C3320&lt;=30,5,IF(C3320&lt;=60,4,IF(C3320&lt;=120,3,IF(C3320&lt;=200,2,1))))</f>
        <v/>
      </c>
      <c r="G3320" s="128">
        <f>IF(D3320&gt;=20,5,IF(D3320&gt;=10,4,IF(D3320&gt;=5,3,IF(D3320&gt;=2,2,1))))</f>
        <v/>
      </c>
      <c r="H3320" s="128">
        <f>IF(E3320&gt;=5000,5,IF(E3320&gt;=2000,4,IF(E3320&gt;=800,3,IF(E3320&gt;=300,2,1))))</f>
        <v/>
      </c>
      <c r="I3320" s="126">
        <f>TEXT(F3320,"0")&amp;TEXT(G3320,"0")&amp;TEXT(H3320,"0")</f>
        <v/>
      </c>
      <c r="J3320" s="126">
        <f>IFERROR(XLOOKUP(I3320,'Segment Map'!A:A,'Segment Map'!B:B,"Need Attention"),"Need Attention")</f>
        <v/>
      </c>
      <c r="K3320" s="126">
        <f>IF(E3320&gt;=5000,"🏆 Platinum",IF(E3320&gt;=2000,"🥇 Gold",IF(E3320&gt;=800,"🥈 Silver","🥉 Bronze")))</f>
        <v/>
      </c>
      <c r="L3320" s="129" t="n">
        <v>40864</v>
      </c>
    </row>
    <row r="3321">
      <c r="A3321" s="122" t="n">
        <v>16871</v>
      </c>
      <c r="B3321" s="122" t="inlineStr">
        <is>
          <t>United Kingdom</t>
        </is>
      </c>
      <c r="C3321" s="122" t="n">
        <v>23</v>
      </c>
      <c r="D3321" s="122" t="n">
        <v>6</v>
      </c>
      <c r="E3321" s="123" t="n">
        <v>2812.34</v>
      </c>
      <c r="F3321" s="124">
        <f>IF(C3321&lt;=30,5,IF(C3321&lt;=60,4,IF(C3321&lt;=120,3,IF(C3321&lt;=200,2,1))))</f>
        <v/>
      </c>
      <c r="G3321" s="124">
        <f>IF(D3321&gt;=20,5,IF(D3321&gt;=10,4,IF(D3321&gt;=5,3,IF(D3321&gt;=2,2,1))))</f>
        <v/>
      </c>
      <c r="H3321" s="124">
        <f>IF(E3321&gt;=5000,5,IF(E3321&gt;=2000,4,IF(E3321&gt;=800,3,IF(E3321&gt;=300,2,1))))</f>
        <v/>
      </c>
      <c r="I3321" s="122">
        <f>TEXT(F3321,"0")&amp;TEXT(G3321,"0")&amp;TEXT(H3321,"0")</f>
        <v/>
      </c>
      <c r="J3321" s="122">
        <f>IFERROR(XLOOKUP(I3321,'Segment Map'!A:A,'Segment Map'!B:B,"Need Attention"),"Need Attention")</f>
        <v/>
      </c>
      <c r="K3321" s="122">
        <f>IF(E3321&gt;=5000,"🏆 Platinum",IF(E3321&gt;=2000,"🥇 Gold",IF(E3321&gt;=800,"🥈 Silver","🥉 Bronze")))</f>
        <v/>
      </c>
      <c r="L3321" s="125" t="n">
        <v>40864</v>
      </c>
    </row>
    <row r="3322">
      <c r="A3322" s="126" t="n">
        <v>16872</v>
      </c>
      <c r="B3322" s="126" t="inlineStr">
        <is>
          <t>United Kingdom</t>
        </is>
      </c>
      <c r="C3322" s="126" t="n">
        <v>78</v>
      </c>
      <c r="D3322" s="126" t="n">
        <v>3</v>
      </c>
      <c r="E3322" s="127" t="n">
        <v>680.02</v>
      </c>
      <c r="F3322" s="128">
        <f>IF(C3322&lt;=30,5,IF(C3322&lt;=60,4,IF(C3322&lt;=120,3,IF(C3322&lt;=200,2,1))))</f>
        <v/>
      </c>
      <c r="G3322" s="128">
        <f>IF(D3322&gt;=20,5,IF(D3322&gt;=10,4,IF(D3322&gt;=5,3,IF(D3322&gt;=2,2,1))))</f>
        <v/>
      </c>
      <c r="H3322" s="128">
        <f>IF(E3322&gt;=5000,5,IF(E3322&gt;=2000,4,IF(E3322&gt;=800,3,IF(E3322&gt;=300,2,1))))</f>
        <v/>
      </c>
      <c r="I3322" s="126">
        <f>TEXT(F3322,"0")&amp;TEXT(G3322,"0")&amp;TEXT(H3322,"0")</f>
        <v/>
      </c>
      <c r="J3322" s="126">
        <f>IFERROR(XLOOKUP(I3322,'Segment Map'!A:A,'Segment Map'!B:B,"Need Attention"),"Need Attention")</f>
        <v/>
      </c>
      <c r="K3322" s="126">
        <f>IF(E3322&gt;=5000,"🏆 Platinum",IF(E3322&gt;=2000,"🥇 Gold",IF(E3322&gt;=800,"🥈 Silver","🥉 Bronze")))</f>
        <v/>
      </c>
      <c r="L3322" s="129" t="n">
        <v>40809</v>
      </c>
    </row>
    <row r="3323">
      <c r="A3323" s="122" t="n">
        <v>16873</v>
      </c>
      <c r="B3323" s="122" t="inlineStr">
        <is>
          <t>United Kingdom</t>
        </is>
      </c>
      <c r="C3323" s="122" t="n">
        <v>5</v>
      </c>
      <c r="D3323" s="122" t="n">
        <v>6</v>
      </c>
      <c r="E3323" s="123" t="n">
        <v>7123.62</v>
      </c>
      <c r="F3323" s="124">
        <f>IF(C3323&lt;=30,5,IF(C3323&lt;=60,4,IF(C3323&lt;=120,3,IF(C3323&lt;=200,2,1))))</f>
        <v/>
      </c>
      <c r="G3323" s="124">
        <f>IF(D3323&gt;=20,5,IF(D3323&gt;=10,4,IF(D3323&gt;=5,3,IF(D3323&gt;=2,2,1))))</f>
        <v/>
      </c>
      <c r="H3323" s="124">
        <f>IF(E3323&gt;=5000,5,IF(E3323&gt;=2000,4,IF(E3323&gt;=800,3,IF(E3323&gt;=300,2,1))))</f>
        <v/>
      </c>
      <c r="I3323" s="122">
        <f>TEXT(F3323,"0")&amp;TEXT(G3323,"0")&amp;TEXT(H3323,"0")</f>
        <v/>
      </c>
      <c r="J3323" s="122">
        <f>IFERROR(XLOOKUP(I3323,'Segment Map'!A:A,'Segment Map'!B:B,"Need Attention"),"Need Attention")</f>
        <v/>
      </c>
      <c r="K3323" s="122">
        <f>IF(E3323&gt;=5000,"🏆 Platinum",IF(E3323&gt;=2000,"🥇 Gold",IF(E3323&gt;=800,"🥈 Silver","🥉 Bronze")))</f>
        <v/>
      </c>
      <c r="L3323" s="125" t="n">
        <v>40882</v>
      </c>
    </row>
    <row r="3324">
      <c r="A3324" s="126" t="n">
        <v>16875</v>
      </c>
      <c r="B3324" s="126" t="inlineStr">
        <is>
          <t>United Kingdom</t>
        </is>
      </c>
      <c r="C3324" s="126" t="n">
        <v>68</v>
      </c>
      <c r="D3324" s="126" t="n">
        <v>5</v>
      </c>
      <c r="E3324" s="127" t="n">
        <v>2095.53</v>
      </c>
      <c r="F3324" s="128">
        <f>IF(C3324&lt;=30,5,IF(C3324&lt;=60,4,IF(C3324&lt;=120,3,IF(C3324&lt;=200,2,1))))</f>
        <v/>
      </c>
      <c r="G3324" s="128">
        <f>IF(D3324&gt;=20,5,IF(D3324&gt;=10,4,IF(D3324&gt;=5,3,IF(D3324&gt;=2,2,1))))</f>
        <v/>
      </c>
      <c r="H3324" s="128">
        <f>IF(E3324&gt;=5000,5,IF(E3324&gt;=2000,4,IF(E3324&gt;=800,3,IF(E3324&gt;=300,2,1))))</f>
        <v/>
      </c>
      <c r="I3324" s="126">
        <f>TEXT(F3324,"0")&amp;TEXT(G3324,"0")&amp;TEXT(H3324,"0")</f>
        <v/>
      </c>
      <c r="J3324" s="126">
        <f>IFERROR(XLOOKUP(I3324,'Segment Map'!A:A,'Segment Map'!B:B,"Need Attention"),"Need Attention")</f>
        <v/>
      </c>
      <c r="K3324" s="126">
        <f>IF(E3324&gt;=5000,"🏆 Platinum",IF(E3324&gt;=2000,"🥇 Gold",IF(E3324&gt;=800,"🥈 Silver","🥉 Bronze")))</f>
        <v/>
      </c>
      <c r="L3324" s="129" t="n">
        <v>40819</v>
      </c>
    </row>
    <row r="3325">
      <c r="A3325" s="122" t="n">
        <v>16877</v>
      </c>
      <c r="B3325" s="122" t="inlineStr">
        <is>
          <t>United Kingdom</t>
        </is>
      </c>
      <c r="C3325" s="122" t="n">
        <v>13</v>
      </c>
      <c r="D3325" s="122" t="n">
        <v>6</v>
      </c>
      <c r="E3325" s="123" t="n">
        <v>853.72</v>
      </c>
      <c r="F3325" s="124">
        <f>IF(C3325&lt;=30,5,IF(C3325&lt;=60,4,IF(C3325&lt;=120,3,IF(C3325&lt;=200,2,1))))</f>
        <v/>
      </c>
      <c r="G3325" s="124">
        <f>IF(D3325&gt;=20,5,IF(D3325&gt;=10,4,IF(D3325&gt;=5,3,IF(D3325&gt;=2,2,1))))</f>
        <v/>
      </c>
      <c r="H3325" s="124">
        <f>IF(E3325&gt;=5000,5,IF(E3325&gt;=2000,4,IF(E3325&gt;=800,3,IF(E3325&gt;=300,2,1))))</f>
        <v/>
      </c>
      <c r="I3325" s="122">
        <f>TEXT(F3325,"0")&amp;TEXT(G3325,"0")&amp;TEXT(H3325,"0")</f>
        <v/>
      </c>
      <c r="J3325" s="122">
        <f>IFERROR(XLOOKUP(I3325,'Segment Map'!A:A,'Segment Map'!B:B,"Need Attention"),"Need Attention")</f>
        <v/>
      </c>
      <c r="K3325" s="122">
        <f>IF(E3325&gt;=5000,"🏆 Platinum",IF(E3325&gt;=2000,"🥇 Gold",IF(E3325&gt;=800,"🥈 Silver","🥉 Bronze")))</f>
        <v/>
      </c>
      <c r="L3325" s="125" t="n">
        <v>40874</v>
      </c>
    </row>
    <row r="3326">
      <c r="A3326" s="126" t="n">
        <v>16878</v>
      </c>
      <c r="B3326" s="126" t="inlineStr">
        <is>
          <t>United Kingdom</t>
        </is>
      </c>
      <c r="C3326" s="126" t="n">
        <v>85</v>
      </c>
      <c r="D3326" s="126" t="n">
        <v>1</v>
      </c>
      <c r="E3326" s="127" t="n">
        <v>13.3</v>
      </c>
      <c r="F3326" s="128">
        <f>IF(C3326&lt;=30,5,IF(C3326&lt;=60,4,IF(C3326&lt;=120,3,IF(C3326&lt;=200,2,1))))</f>
        <v/>
      </c>
      <c r="G3326" s="128">
        <f>IF(D3326&gt;=20,5,IF(D3326&gt;=10,4,IF(D3326&gt;=5,3,IF(D3326&gt;=2,2,1))))</f>
        <v/>
      </c>
      <c r="H3326" s="128">
        <f>IF(E3326&gt;=5000,5,IF(E3326&gt;=2000,4,IF(E3326&gt;=800,3,IF(E3326&gt;=300,2,1))))</f>
        <v/>
      </c>
      <c r="I3326" s="126">
        <f>TEXT(F3326,"0")&amp;TEXT(G3326,"0")&amp;TEXT(H3326,"0")</f>
        <v/>
      </c>
      <c r="J3326" s="126">
        <f>IFERROR(XLOOKUP(I3326,'Segment Map'!A:A,'Segment Map'!B:B,"Need Attention"),"Need Attention")</f>
        <v/>
      </c>
      <c r="K3326" s="126">
        <f>IF(E3326&gt;=5000,"🏆 Platinum",IF(E3326&gt;=2000,"🥇 Gold",IF(E3326&gt;=800,"🥈 Silver","🥉 Bronze")))</f>
        <v/>
      </c>
      <c r="L3326" s="129" t="n">
        <v>40802</v>
      </c>
    </row>
    <row r="3327">
      <c r="A3327" s="122" t="n">
        <v>16880</v>
      </c>
      <c r="B3327" s="122" t="inlineStr">
        <is>
          <t>United Kingdom</t>
        </is>
      </c>
      <c r="C3327" s="122" t="n">
        <v>31</v>
      </c>
      <c r="D3327" s="122" t="n">
        <v>7</v>
      </c>
      <c r="E3327" s="123" t="n">
        <v>1519.08</v>
      </c>
      <c r="F3327" s="124">
        <f>IF(C3327&lt;=30,5,IF(C3327&lt;=60,4,IF(C3327&lt;=120,3,IF(C3327&lt;=200,2,1))))</f>
        <v/>
      </c>
      <c r="G3327" s="124">
        <f>IF(D3327&gt;=20,5,IF(D3327&gt;=10,4,IF(D3327&gt;=5,3,IF(D3327&gt;=2,2,1))))</f>
        <v/>
      </c>
      <c r="H3327" s="124">
        <f>IF(E3327&gt;=5000,5,IF(E3327&gt;=2000,4,IF(E3327&gt;=800,3,IF(E3327&gt;=300,2,1))))</f>
        <v/>
      </c>
      <c r="I3327" s="122">
        <f>TEXT(F3327,"0")&amp;TEXT(G3327,"0")&amp;TEXT(H3327,"0")</f>
        <v/>
      </c>
      <c r="J3327" s="122">
        <f>IFERROR(XLOOKUP(I3327,'Segment Map'!A:A,'Segment Map'!B:B,"Need Attention"),"Need Attention")</f>
        <v/>
      </c>
      <c r="K3327" s="122">
        <f>IF(E3327&gt;=5000,"🏆 Platinum",IF(E3327&gt;=2000,"🥇 Gold",IF(E3327&gt;=800,"🥈 Silver","🥉 Bronze")))</f>
        <v/>
      </c>
      <c r="L3327" s="125" t="n">
        <v>40856</v>
      </c>
    </row>
    <row r="3328">
      <c r="A3328" s="126" t="n">
        <v>16881</v>
      </c>
      <c r="B3328" s="126" t="inlineStr">
        <is>
          <t>United Kingdom</t>
        </is>
      </c>
      <c r="C3328" s="126" t="n">
        <v>67</v>
      </c>
      <c r="D3328" s="126" t="n">
        <v>1</v>
      </c>
      <c r="E3328" s="127" t="n">
        <v>432</v>
      </c>
      <c r="F3328" s="128">
        <f>IF(C3328&lt;=30,5,IF(C3328&lt;=60,4,IF(C3328&lt;=120,3,IF(C3328&lt;=200,2,1))))</f>
        <v/>
      </c>
      <c r="G3328" s="128">
        <f>IF(D3328&gt;=20,5,IF(D3328&gt;=10,4,IF(D3328&gt;=5,3,IF(D3328&gt;=2,2,1))))</f>
        <v/>
      </c>
      <c r="H3328" s="128">
        <f>IF(E3328&gt;=5000,5,IF(E3328&gt;=2000,4,IF(E3328&gt;=800,3,IF(E3328&gt;=300,2,1))))</f>
        <v/>
      </c>
      <c r="I3328" s="126">
        <f>TEXT(F3328,"0")&amp;TEXT(G3328,"0")&amp;TEXT(H3328,"0")</f>
        <v/>
      </c>
      <c r="J3328" s="126">
        <f>IFERROR(XLOOKUP(I3328,'Segment Map'!A:A,'Segment Map'!B:B,"Need Attention"),"Need Attention")</f>
        <v/>
      </c>
      <c r="K3328" s="126">
        <f>IF(E3328&gt;=5000,"🏆 Platinum",IF(E3328&gt;=2000,"🥇 Gold",IF(E3328&gt;=800,"🥈 Silver","🥉 Bronze")))</f>
        <v/>
      </c>
      <c r="L3328" s="129" t="n">
        <v>40820</v>
      </c>
    </row>
    <row r="3329">
      <c r="A3329" s="122" t="n">
        <v>16882</v>
      </c>
      <c r="B3329" s="122" t="inlineStr">
        <is>
          <t>United Kingdom</t>
        </is>
      </c>
      <c r="C3329" s="122" t="n">
        <v>67</v>
      </c>
      <c r="D3329" s="122" t="n">
        <v>3</v>
      </c>
      <c r="E3329" s="123" t="n">
        <v>705.12</v>
      </c>
      <c r="F3329" s="124">
        <f>IF(C3329&lt;=30,5,IF(C3329&lt;=60,4,IF(C3329&lt;=120,3,IF(C3329&lt;=200,2,1))))</f>
        <v/>
      </c>
      <c r="G3329" s="124">
        <f>IF(D3329&gt;=20,5,IF(D3329&gt;=10,4,IF(D3329&gt;=5,3,IF(D3329&gt;=2,2,1))))</f>
        <v/>
      </c>
      <c r="H3329" s="124">
        <f>IF(E3329&gt;=5000,5,IF(E3329&gt;=2000,4,IF(E3329&gt;=800,3,IF(E3329&gt;=300,2,1))))</f>
        <v/>
      </c>
      <c r="I3329" s="122">
        <f>TEXT(F3329,"0")&amp;TEXT(G3329,"0")&amp;TEXT(H3329,"0")</f>
        <v/>
      </c>
      <c r="J3329" s="122">
        <f>IFERROR(XLOOKUP(I3329,'Segment Map'!A:A,'Segment Map'!B:B,"Need Attention"),"Need Attention")</f>
        <v/>
      </c>
      <c r="K3329" s="122">
        <f>IF(E3329&gt;=5000,"🏆 Platinum",IF(E3329&gt;=2000,"🥇 Gold",IF(E3329&gt;=800,"🥈 Silver","🥉 Bronze")))</f>
        <v/>
      </c>
      <c r="L3329" s="125" t="n">
        <v>40820</v>
      </c>
    </row>
    <row r="3330">
      <c r="A3330" s="126" t="n">
        <v>16883</v>
      </c>
      <c r="B3330" s="126" t="inlineStr">
        <is>
          <t>United Kingdom</t>
        </is>
      </c>
      <c r="C3330" s="126" t="n">
        <v>188</v>
      </c>
      <c r="D3330" s="126" t="n">
        <v>2</v>
      </c>
      <c r="E3330" s="127" t="n">
        <v>276.73</v>
      </c>
      <c r="F3330" s="128">
        <f>IF(C3330&lt;=30,5,IF(C3330&lt;=60,4,IF(C3330&lt;=120,3,IF(C3330&lt;=200,2,1))))</f>
        <v/>
      </c>
      <c r="G3330" s="128">
        <f>IF(D3330&gt;=20,5,IF(D3330&gt;=10,4,IF(D3330&gt;=5,3,IF(D3330&gt;=2,2,1))))</f>
        <v/>
      </c>
      <c r="H3330" s="128">
        <f>IF(E3330&gt;=5000,5,IF(E3330&gt;=2000,4,IF(E3330&gt;=800,3,IF(E3330&gt;=300,2,1))))</f>
        <v/>
      </c>
      <c r="I3330" s="126">
        <f>TEXT(F3330,"0")&amp;TEXT(G3330,"0")&amp;TEXT(H3330,"0")</f>
        <v/>
      </c>
      <c r="J3330" s="126">
        <f>IFERROR(XLOOKUP(I3330,'Segment Map'!A:A,'Segment Map'!B:B,"Need Attention"),"Need Attention")</f>
        <v/>
      </c>
      <c r="K3330" s="126">
        <f>IF(E3330&gt;=5000,"🏆 Platinum",IF(E3330&gt;=2000,"🥇 Gold",IF(E3330&gt;=800,"🥈 Silver","🥉 Bronze")))</f>
        <v/>
      </c>
      <c r="L3330" s="129" t="n">
        <v>40699</v>
      </c>
    </row>
    <row r="3331">
      <c r="A3331" s="122" t="n">
        <v>16884</v>
      </c>
      <c r="B3331" s="122" t="inlineStr">
        <is>
          <t>United Kingdom</t>
        </is>
      </c>
      <c r="C3331" s="122" t="n">
        <v>38</v>
      </c>
      <c r="D3331" s="122" t="n">
        <v>2</v>
      </c>
      <c r="E3331" s="123" t="n">
        <v>429.84</v>
      </c>
      <c r="F3331" s="124">
        <f>IF(C3331&lt;=30,5,IF(C3331&lt;=60,4,IF(C3331&lt;=120,3,IF(C3331&lt;=200,2,1))))</f>
        <v/>
      </c>
      <c r="G3331" s="124">
        <f>IF(D3331&gt;=20,5,IF(D3331&gt;=10,4,IF(D3331&gt;=5,3,IF(D3331&gt;=2,2,1))))</f>
        <v/>
      </c>
      <c r="H3331" s="124">
        <f>IF(E3331&gt;=5000,5,IF(E3331&gt;=2000,4,IF(E3331&gt;=800,3,IF(E3331&gt;=300,2,1))))</f>
        <v/>
      </c>
      <c r="I3331" s="122">
        <f>TEXT(F3331,"0")&amp;TEXT(G3331,"0")&amp;TEXT(H3331,"0")</f>
        <v/>
      </c>
      <c r="J3331" s="122">
        <f>IFERROR(XLOOKUP(I3331,'Segment Map'!A:A,'Segment Map'!B:B,"Need Attention"),"Need Attention")</f>
        <v/>
      </c>
      <c r="K3331" s="122">
        <f>IF(E3331&gt;=5000,"🏆 Platinum",IF(E3331&gt;=2000,"🥇 Gold",IF(E3331&gt;=800,"🥈 Silver","🥉 Bronze")))</f>
        <v/>
      </c>
      <c r="L3331" s="125" t="n">
        <v>40849</v>
      </c>
    </row>
    <row r="3332">
      <c r="A3332" s="126" t="n">
        <v>16885</v>
      </c>
      <c r="B3332" s="126" t="inlineStr">
        <is>
          <t>United Kingdom</t>
        </is>
      </c>
      <c r="C3332" s="126" t="n">
        <v>16</v>
      </c>
      <c r="D3332" s="126" t="n">
        <v>3</v>
      </c>
      <c r="E3332" s="127" t="n">
        <v>471.51</v>
      </c>
      <c r="F3332" s="128">
        <f>IF(C3332&lt;=30,5,IF(C3332&lt;=60,4,IF(C3332&lt;=120,3,IF(C3332&lt;=200,2,1))))</f>
        <v/>
      </c>
      <c r="G3332" s="128">
        <f>IF(D3332&gt;=20,5,IF(D3332&gt;=10,4,IF(D3332&gt;=5,3,IF(D3332&gt;=2,2,1))))</f>
        <v/>
      </c>
      <c r="H3332" s="128">
        <f>IF(E3332&gt;=5000,5,IF(E3332&gt;=2000,4,IF(E3332&gt;=800,3,IF(E3332&gt;=300,2,1))))</f>
        <v/>
      </c>
      <c r="I3332" s="126">
        <f>TEXT(F3332,"0")&amp;TEXT(G3332,"0")&amp;TEXT(H3332,"0")</f>
        <v/>
      </c>
      <c r="J3332" s="126">
        <f>IFERROR(XLOOKUP(I3332,'Segment Map'!A:A,'Segment Map'!B:B,"Need Attention"),"Need Attention")</f>
        <v/>
      </c>
      <c r="K3332" s="126">
        <f>IF(E3332&gt;=5000,"🏆 Platinum",IF(E3332&gt;=2000,"🥇 Gold",IF(E3332&gt;=800,"🥈 Silver","🥉 Bronze")))</f>
        <v/>
      </c>
      <c r="L3332" s="129" t="n">
        <v>40871</v>
      </c>
    </row>
    <row r="3333">
      <c r="A3333" s="122" t="n">
        <v>16887</v>
      </c>
      <c r="B3333" s="122" t="inlineStr">
        <is>
          <t>United Kingdom</t>
        </is>
      </c>
      <c r="C3333" s="122" t="n">
        <v>36</v>
      </c>
      <c r="D3333" s="122" t="n">
        <v>1</v>
      </c>
      <c r="E3333" s="123" t="n">
        <v>194.88</v>
      </c>
      <c r="F3333" s="124">
        <f>IF(C3333&lt;=30,5,IF(C3333&lt;=60,4,IF(C3333&lt;=120,3,IF(C3333&lt;=200,2,1))))</f>
        <v/>
      </c>
      <c r="G3333" s="124">
        <f>IF(D3333&gt;=20,5,IF(D3333&gt;=10,4,IF(D3333&gt;=5,3,IF(D3333&gt;=2,2,1))))</f>
        <v/>
      </c>
      <c r="H3333" s="124">
        <f>IF(E3333&gt;=5000,5,IF(E3333&gt;=2000,4,IF(E3333&gt;=800,3,IF(E3333&gt;=300,2,1))))</f>
        <v/>
      </c>
      <c r="I3333" s="122">
        <f>TEXT(F3333,"0")&amp;TEXT(G3333,"0")&amp;TEXT(H3333,"0")</f>
        <v/>
      </c>
      <c r="J3333" s="122">
        <f>IFERROR(XLOOKUP(I3333,'Segment Map'!A:A,'Segment Map'!B:B,"Need Attention"),"Need Attention")</f>
        <v/>
      </c>
      <c r="K3333" s="122">
        <f>IF(E3333&gt;=5000,"🏆 Platinum",IF(E3333&gt;=2000,"🥇 Gold",IF(E3333&gt;=800,"🥈 Silver","🥉 Bronze")))</f>
        <v/>
      </c>
      <c r="L3333" s="125" t="n">
        <v>40851</v>
      </c>
    </row>
    <row r="3334">
      <c r="A3334" s="126" t="n">
        <v>16889</v>
      </c>
      <c r="B3334" s="126" t="inlineStr">
        <is>
          <t>United Kingdom</t>
        </is>
      </c>
      <c r="C3334" s="126" t="n">
        <v>195</v>
      </c>
      <c r="D3334" s="126" t="n">
        <v>3</v>
      </c>
      <c r="E3334" s="127" t="n">
        <v>1578.67</v>
      </c>
      <c r="F3334" s="128">
        <f>IF(C3334&lt;=30,5,IF(C3334&lt;=60,4,IF(C3334&lt;=120,3,IF(C3334&lt;=200,2,1))))</f>
        <v/>
      </c>
      <c r="G3334" s="128">
        <f>IF(D3334&gt;=20,5,IF(D3334&gt;=10,4,IF(D3334&gt;=5,3,IF(D3334&gt;=2,2,1))))</f>
        <v/>
      </c>
      <c r="H3334" s="128">
        <f>IF(E3334&gt;=5000,5,IF(E3334&gt;=2000,4,IF(E3334&gt;=800,3,IF(E3334&gt;=300,2,1))))</f>
        <v/>
      </c>
      <c r="I3334" s="126">
        <f>TEXT(F3334,"0")&amp;TEXT(G3334,"0")&amp;TEXT(H3334,"0")</f>
        <v/>
      </c>
      <c r="J3334" s="126">
        <f>IFERROR(XLOOKUP(I3334,'Segment Map'!A:A,'Segment Map'!B:B,"Need Attention"),"Need Attention")</f>
        <v/>
      </c>
      <c r="K3334" s="126">
        <f>IF(E3334&gt;=5000,"🏆 Platinum",IF(E3334&gt;=2000,"🥇 Gold",IF(E3334&gt;=800,"🥈 Silver","🥉 Bronze")))</f>
        <v/>
      </c>
      <c r="L3334" s="129" t="n">
        <v>40692</v>
      </c>
    </row>
    <row r="3335">
      <c r="A3335" s="122" t="n">
        <v>16891</v>
      </c>
      <c r="B3335" s="122" t="inlineStr">
        <is>
          <t>United Kingdom</t>
        </is>
      </c>
      <c r="C3335" s="122" t="n">
        <v>2</v>
      </c>
      <c r="D3335" s="122" t="n">
        <v>5</v>
      </c>
      <c r="E3335" s="123" t="n">
        <v>809.7</v>
      </c>
      <c r="F3335" s="124">
        <f>IF(C3335&lt;=30,5,IF(C3335&lt;=60,4,IF(C3335&lt;=120,3,IF(C3335&lt;=200,2,1))))</f>
        <v/>
      </c>
      <c r="G3335" s="124">
        <f>IF(D3335&gt;=20,5,IF(D3335&gt;=10,4,IF(D3335&gt;=5,3,IF(D3335&gt;=2,2,1))))</f>
        <v/>
      </c>
      <c r="H3335" s="124">
        <f>IF(E3335&gt;=5000,5,IF(E3335&gt;=2000,4,IF(E3335&gt;=800,3,IF(E3335&gt;=300,2,1))))</f>
        <v/>
      </c>
      <c r="I3335" s="122">
        <f>TEXT(F3335,"0")&amp;TEXT(G3335,"0")&amp;TEXT(H3335,"0")</f>
        <v/>
      </c>
      <c r="J3335" s="122">
        <f>IFERROR(XLOOKUP(I3335,'Segment Map'!A:A,'Segment Map'!B:B,"Need Attention"),"Need Attention")</f>
        <v/>
      </c>
      <c r="K3335" s="122">
        <f>IF(E3335&gt;=5000,"🏆 Platinum",IF(E3335&gt;=2000,"🥇 Gold",IF(E3335&gt;=800,"🥈 Silver","🥉 Bronze")))</f>
        <v/>
      </c>
      <c r="L3335" s="125" t="n">
        <v>40885</v>
      </c>
    </row>
    <row r="3336">
      <c r="A3336" s="126" t="n">
        <v>16892</v>
      </c>
      <c r="B3336" s="126" t="inlineStr">
        <is>
          <t>United Kingdom</t>
        </is>
      </c>
      <c r="C3336" s="126" t="n">
        <v>2</v>
      </c>
      <c r="D3336" s="126" t="n">
        <v>5</v>
      </c>
      <c r="E3336" s="127" t="n">
        <v>525.54</v>
      </c>
      <c r="F3336" s="128">
        <f>IF(C3336&lt;=30,5,IF(C3336&lt;=60,4,IF(C3336&lt;=120,3,IF(C3336&lt;=200,2,1))))</f>
        <v/>
      </c>
      <c r="G3336" s="128">
        <f>IF(D3336&gt;=20,5,IF(D3336&gt;=10,4,IF(D3336&gt;=5,3,IF(D3336&gt;=2,2,1))))</f>
        <v/>
      </c>
      <c r="H3336" s="128">
        <f>IF(E3336&gt;=5000,5,IF(E3336&gt;=2000,4,IF(E3336&gt;=800,3,IF(E3336&gt;=300,2,1))))</f>
        <v/>
      </c>
      <c r="I3336" s="126">
        <f>TEXT(F3336,"0")&amp;TEXT(G3336,"0")&amp;TEXT(H3336,"0")</f>
        <v/>
      </c>
      <c r="J3336" s="126">
        <f>IFERROR(XLOOKUP(I3336,'Segment Map'!A:A,'Segment Map'!B:B,"Need Attention"),"Need Attention")</f>
        <v/>
      </c>
      <c r="K3336" s="126">
        <f>IF(E3336&gt;=5000,"🏆 Platinum",IF(E3336&gt;=2000,"🥇 Gold",IF(E3336&gt;=800,"🥈 Silver","🥉 Bronze")))</f>
        <v/>
      </c>
      <c r="L3336" s="129" t="n">
        <v>40885</v>
      </c>
    </row>
    <row r="3337">
      <c r="A3337" s="122" t="n">
        <v>16893</v>
      </c>
      <c r="B3337" s="122" t="inlineStr">
        <is>
          <t>United Kingdom</t>
        </is>
      </c>
      <c r="C3337" s="122" t="n">
        <v>367</v>
      </c>
      <c r="D3337" s="122" t="n">
        <v>1</v>
      </c>
      <c r="E3337" s="123" t="n">
        <v>145.93</v>
      </c>
      <c r="F3337" s="124">
        <f>IF(C3337&lt;=30,5,IF(C3337&lt;=60,4,IF(C3337&lt;=120,3,IF(C3337&lt;=200,2,1))))</f>
        <v/>
      </c>
      <c r="G3337" s="124">
        <f>IF(D3337&gt;=20,5,IF(D3337&gt;=10,4,IF(D3337&gt;=5,3,IF(D3337&gt;=2,2,1))))</f>
        <v/>
      </c>
      <c r="H3337" s="124">
        <f>IF(E3337&gt;=5000,5,IF(E3337&gt;=2000,4,IF(E3337&gt;=800,3,IF(E3337&gt;=300,2,1))))</f>
        <v/>
      </c>
      <c r="I3337" s="122">
        <f>TEXT(F3337,"0")&amp;TEXT(G3337,"0")&amp;TEXT(H3337,"0")</f>
        <v/>
      </c>
      <c r="J3337" s="122">
        <f>IFERROR(XLOOKUP(I3337,'Segment Map'!A:A,'Segment Map'!B:B,"Need Attention"),"Need Attention")</f>
        <v/>
      </c>
      <c r="K3337" s="122">
        <f>IF(E3337&gt;=5000,"🏆 Platinum",IF(E3337&gt;=2000,"🥇 Gold",IF(E3337&gt;=800,"🥈 Silver","🥉 Bronze")))</f>
        <v/>
      </c>
      <c r="L3337" s="125" t="n">
        <v>40520</v>
      </c>
    </row>
    <row r="3338">
      <c r="A3338" s="126" t="n">
        <v>16895</v>
      </c>
      <c r="B3338" s="126" t="inlineStr">
        <is>
          <t>United Kingdom</t>
        </is>
      </c>
      <c r="C3338" s="126" t="n">
        <v>65</v>
      </c>
      <c r="D3338" s="126" t="n">
        <v>1</v>
      </c>
      <c r="E3338" s="127" t="n">
        <v>219.14</v>
      </c>
      <c r="F3338" s="128">
        <f>IF(C3338&lt;=30,5,IF(C3338&lt;=60,4,IF(C3338&lt;=120,3,IF(C3338&lt;=200,2,1))))</f>
        <v/>
      </c>
      <c r="G3338" s="128">
        <f>IF(D3338&gt;=20,5,IF(D3338&gt;=10,4,IF(D3338&gt;=5,3,IF(D3338&gt;=2,2,1))))</f>
        <v/>
      </c>
      <c r="H3338" s="128">
        <f>IF(E3338&gt;=5000,5,IF(E3338&gt;=2000,4,IF(E3338&gt;=800,3,IF(E3338&gt;=300,2,1))))</f>
        <v/>
      </c>
      <c r="I3338" s="126">
        <f>TEXT(F3338,"0")&amp;TEXT(G3338,"0")&amp;TEXT(H3338,"0")</f>
        <v/>
      </c>
      <c r="J3338" s="126">
        <f>IFERROR(XLOOKUP(I3338,'Segment Map'!A:A,'Segment Map'!B:B,"Need Attention"),"Need Attention")</f>
        <v/>
      </c>
      <c r="K3338" s="126">
        <f>IF(E3338&gt;=5000,"🏆 Platinum",IF(E3338&gt;=2000,"🥇 Gold",IF(E3338&gt;=800,"🥈 Silver","🥉 Bronze")))</f>
        <v/>
      </c>
      <c r="L3338" s="129" t="n">
        <v>40822</v>
      </c>
    </row>
    <row r="3339">
      <c r="A3339" s="122" t="n">
        <v>16897</v>
      </c>
      <c r="B3339" s="122" t="inlineStr">
        <is>
          <t>United Kingdom</t>
        </is>
      </c>
      <c r="C3339" s="122" t="n">
        <v>300</v>
      </c>
      <c r="D3339" s="122" t="n">
        <v>2</v>
      </c>
      <c r="E3339" s="123" t="n">
        <v>289.78</v>
      </c>
      <c r="F3339" s="124">
        <f>IF(C3339&lt;=30,5,IF(C3339&lt;=60,4,IF(C3339&lt;=120,3,IF(C3339&lt;=200,2,1))))</f>
        <v/>
      </c>
      <c r="G3339" s="124">
        <f>IF(D3339&gt;=20,5,IF(D3339&gt;=10,4,IF(D3339&gt;=5,3,IF(D3339&gt;=2,2,1))))</f>
        <v/>
      </c>
      <c r="H3339" s="124">
        <f>IF(E3339&gt;=5000,5,IF(E3339&gt;=2000,4,IF(E3339&gt;=800,3,IF(E3339&gt;=300,2,1))))</f>
        <v/>
      </c>
      <c r="I3339" s="122">
        <f>TEXT(F3339,"0")&amp;TEXT(G3339,"0")&amp;TEXT(H3339,"0")</f>
        <v/>
      </c>
      <c r="J3339" s="122">
        <f>IFERROR(XLOOKUP(I3339,'Segment Map'!A:A,'Segment Map'!B:B,"Need Attention"),"Need Attention")</f>
        <v/>
      </c>
      <c r="K3339" s="122">
        <f>IF(E3339&gt;=5000,"🏆 Platinum",IF(E3339&gt;=2000,"🥇 Gold",IF(E3339&gt;=800,"🥈 Silver","🥉 Bronze")))</f>
        <v/>
      </c>
      <c r="L3339" s="125" t="n">
        <v>40587</v>
      </c>
    </row>
    <row r="3340">
      <c r="A3340" s="126" t="n">
        <v>16898</v>
      </c>
      <c r="B3340" s="126" t="inlineStr">
        <is>
          <t>United Kingdom</t>
        </is>
      </c>
      <c r="C3340" s="126" t="n">
        <v>27</v>
      </c>
      <c r="D3340" s="126" t="n">
        <v>3</v>
      </c>
      <c r="E3340" s="127" t="n">
        <v>508.81</v>
      </c>
      <c r="F3340" s="128">
        <f>IF(C3340&lt;=30,5,IF(C3340&lt;=60,4,IF(C3340&lt;=120,3,IF(C3340&lt;=200,2,1))))</f>
        <v/>
      </c>
      <c r="G3340" s="128">
        <f>IF(D3340&gt;=20,5,IF(D3340&gt;=10,4,IF(D3340&gt;=5,3,IF(D3340&gt;=2,2,1))))</f>
        <v/>
      </c>
      <c r="H3340" s="128">
        <f>IF(E3340&gt;=5000,5,IF(E3340&gt;=2000,4,IF(E3340&gt;=800,3,IF(E3340&gt;=300,2,1))))</f>
        <v/>
      </c>
      <c r="I3340" s="126">
        <f>TEXT(F3340,"0")&amp;TEXT(G3340,"0")&amp;TEXT(H3340,"0")</f>
        <v/>
      </c>
      <c r="J3340" s="126">
        <f>IFERROR(XLOOKUP(I3340,'Segment Map'!A:A,'Segment Map'!B:B,"Need Attention"),"Need Attention")</f>
        <v/>
      </c>
      <c r="K3340" s="126">
        <f>IF(E3340&gt;=5000,"🏆 Platinum",IF(E3340&gt;=2000,"🥇 Gold",IF(E3340&gt;=800,"🥈 Silver","🥉 Bronze")))</f>
        <v/>
      </c>
      <c r="L3340" s="129" t="n">
        <v>40860</v>
      </c>
    </row>
    <row r="3341">
      <c r="A3341" s="122" t="n">
        <v>16899</v>
      </c>
      <c r="B3341" s="122" t="inlineStr">
        <is>
          <t>United Kingdom</t>
        </is>
      </c>
      <c r="C3341" s="122" t="n">
        <v>8</v>
      </c>
      <c r="D3341" s="122" t="n">
        <v>6</v>
      </c>
      <c r="E3341" s="123" t="n">
        <v>1281.56</v>
      </c>
      <c r="F3341" s="124">
        <f>IF(C3341&lt;=30,5,IF(C3341&lt;=60,4,IF(C3341&lt;=120,3,IF(C3341&lt;=200,2,1))))</f>
        <v/>
      </c>
      <c r="G3341" s="124">
        <f>IF(D3341&gt;=20,5,IF(D3341&gt;=10,4,IF(D3341&gt;=5,3,IF(D3341&gt;=2,2,1))))</f>
        <v/>
      </c>
      <c r="H3341" s="124">
        <f>IF(E3341&gt;=5000,5,IF(E3341&gt;=2000,4,IF(E3341&gt;=800,3,IF(E3341&gt;=300,2,1))))</f>
        <v/>
      </c>
      <c r="I3341" s="122">
        <f>TEXT(F3341,"0")&amp;TEXT(G3341,"0")&amp;TEXT(H3341,"0")</f>
        <v/>
      </c>
      <c r="J3341" s="122">
        <f>IFERROR(XLOOKUP(I3341,'Segment Map'!A:A,'Segment Map'!B:B,"Need Attention"),"Need Attention")</f>
        <v/>
      </c>
      <c r="K3341" s="122">
        <f>IF(E3341&gt;=5000,"🏆 Platinum",IF(E3341&gt;=2000,"🥇 Gold",IF(E3341&gt;=800,"🥈 Silver","🥉 Bronze")))</f>
        <v/>
      </c>
      <c r="L3341" s="125" t="n">
        <v>40879</v>
      </c>
    </row>
    <row r="3342">
      <c r="A3342" s="126" t="n">
        <v>16900</v>
      </c>
      <c r="B3342" s="126" t="inlineStr">
        <is>
          <t>United Kingdom</t>
        </is>
      </c>
      <c r="C3342" s="126" t="n">
        <v>17</v>
      </c>
      <c r="D3342" s="126" t="n">
        <v>3</v>
      </c>
      <c r="E3342" s="127" t="n">
        <v>887.11</v>
      </c>
      <c r="F3342" s="128">
        <f>IF(C3342&lt;=30,5,IF(C3342&lt;=60,4,IF(C3342&lt;=120,3,IF(C3342&lt;=200,2,1))))</f>
        <v/>
      </c>
      <c r="G3342" s="128">
        <f>IF(D3342&gt;=20,5,IF(D3342&gt;=10,4,IF(D3342&gt;=5,3,IF(D3342&gt;=2,2,1))))</f>
        <v/>
      </c>
      <c r="H3342" s="128">
        <f>IF(E3342&gt;=5000,5,IF(E3342&gt;=2000,4,IF(E3342&gt;=800,3,IF(E3342&gt;=300,2,1))))</f>
        <v/>
      </c>
      <c r="I3342" s="126">
        <f>TEXT(F3342,"0")&amp;TEXT(G3342,"0")&amp;TEXT(H3342,"0")</f>
        <v/>
      </c>
      <c r="J3342" s="126">
        <f>IFERROR(XLOOKUP(I3342,'Segment Map'!A:A,'Segment Map'!B:B,"Need Attention"),"Need Attention")</f>
        <v/>
      </c>
      <c r="K3342" s="126">
        <f>IF(E3342&gt;=5000,"🏆 Platinum",IF(E3342&gt;=2000,"🥇 Gold",IF(E3342&gt;=800,"🥈 Silver","🥉 Bronze")))</f>
        <v/>
      </c>
      <c r="L3342" s="129" t="n">
        <v>40870</v>
      </c>
    </row>
    <row r="3343">
      <c r="A3343" s="122" t="n">
        <v>16902</v>
      </c>
      <c r="B3343" s="122" t="inlineStr">
        <is>
          <t>United Kingdom</t>
        </is>
      </c>
      <c r="C3343" s="122" t="n">
        <v>117</v>
      </c>
      <c r="D3343" s="122" t="n">
        <v>1</v>
      </c>
      <c r="E3343" s="123" t="n">
        <v>1706.88</v>
      </c>
      <c r="F3343" s="124">
        <f>IF(C3343&lt;=30,5,IF(C3343&lt;=60,4,IF(C3343&lt;=120,3,IF(C3343&lt;=200,2,1))))</f>
        <v/>
      </c>
      <c r="G3343" s="124">
        <f>IF(D3343&gt;=20,5,IF(D3343&gt;=10,4,IF(D3343&gt;=5,3,IF(D3343&gt;=2,2,1))))</f>
        <v/>
      </c>
      <c r="H3343" s="124">
        <f>IF(E3343&gt;=5000,5,IF(E3343&gt;=2000,4,IF(E3343&gt;=800,3,IF(E3343&gt;=300,2,1))))</f>
        <v/>
      </c>
      <c r="I3343" s="122">
        <f>TEXT(F3343,"0")&amp;TEXT(G3343,"0")&amp;TEXT(H3343,"0")</f>
        <v/>
      </c>
      <c r="J3343" s="122">
        <f>IFERROR(XLOOKUP(I3343,'Segment Map'!A:A,'Segment Map'!B:B,"Need Attention"),"Need Attention")</f>
        <v/>
      </c>
      <c r="K3343" s="122">
        <f>IF(E3343&gt;=5000,"🏆 Platinum",IF(E3343&gt;=2000,"🥇 Gold",IF(E3343&gt;=800,"🥈 Silver","🥉 Bronze")))</f>
        <v/>
      </c>
      <c r="L3343" s="125" t="n">
        <v>40770</v>
      </c>
    </row>
    <row r="3344">
      <c r="A3344" s="126" t="n">
        <v>16903</v>
      </c>
      <c r="B3344" s="126" t="inlineStr">
        <is>
          <t>United Kingdom</t>
        </is>
      </c>
      <c r="C3344" s="126" t="n">
        <v>30</v>
      </c>
      <c r="D3344" s="126" t="n">
        <v>1</v>
      </c>
      <c r="E3344" s="127" t="n">
        <v>373.24</v>
      </c>
      <c r="F3344" s="128">
        <f>IF(C3344&lt;=30,5,IF(C3344&lt;=60,4,IF(C3344&lt;=120,3,IF(C3344&lt;=200,2,1))))</f>
        <v/>
      </c>
      <c r="G3344" s="128">
        <f>IF(D3344&gt;=20,5,IF(D3344&gt;=10,4,IF(D3344&gt;=5,3,IF(D3344&gt;=2,2,1))))</f>
        <v/>
      </c>
      <c r="H3344" s="128">
        <f>IF(E3344&gt;=5000,5,IF(E3344&gt;=2000,4,IF(E3344&gt;=800,3,IF(E3344&gt;=300,2,1))))</f>
        <v/>
      </c>
      <c r="I3344" s="126">
        <f>TEXT(F3344,"0")&amp;TEXT(G3344,"0")&amp;TEXT(H3344,"0")</f>
        <v/>
      </c>
      <c r="J3344" s="126">
        <f>IFERROR(XLOOKUP(I3344,'Segment Map'!A:A,'Segment Map'!B:B,"Need Attention"),"Need Attention")</f>
        <v/>
      </c>
      <c r="K3344" s="126">
        <f>IF(E3344&gt;=5000,"🏆 Platinum",IF(E3344&gt;=2000,"🥇 Gold",IF(E3344&gt;=800,"🥈 Silver","🥉 Bronze")))</f>
        <v/>
      </c>
      <c r="L3344" s="129" t="n">
        <v>40857</v>
      </c>
    </row>
    <row r="3345">
      <c r="A3345" s="122" t="n">
        <v>16904</v>
      </c>
      <c r="B3345" s="122" t="inlineStr">
        <is>
          <t>United Kingdom</t>
        </is>
      </c>
      <c r="C3345" s="122" t="n">
        <v>5</v>
      </c>
      <c r="D3345" s="122" t="n">
        <v>16</v>
      </c>
      <c r="E3345" s="123" t="n">
        <v>3754.27</v>
      </c>
      <c r="F3345" s="124">
        <f>IF(C3345&lt;=30,5,IF(C3345&lt;=60,4,IF(C3345&lt;=120,3,IF(C3345&lt;=200,2,1))))</f>
        <v/>
      </c>
      <c r="G3345" s="124">
        <f>IF(D3345&gt;=20,5,IF(D3345&gt;=10,4,IF(D3345&gt;=5,3,IF(D3345&gt;=2,2,1))))</f>
        <v/>
      </c>
      <c r="H3345" s="124">
        <f>IF(E3345&gt;=5000,5,IF(E3345&gt;=2000,4,IF(E3345&gt;=800,3,IF(E3345&gt;=300,2,1))))</f>
        <v/>
      </c>
      <c r="I3345" s="122">
        <f>TEXT(F3345,"0")&amp;TEXT(G3345,"0")&amp;TEXT(H3345,"0")</f>
        <v/>
      </c>
      <c r="J3345" s="122">
        <f>IFERROR(XLOOKUP(I3345,'Segment Map'!A:A,'Segment Map'!B:B,"Need Attention"),"Need Attention")</f>
        <v/>
      </c>
      <c r="K3345" s="122">
        <f>IF(E3345&gt;=5000,"🏆 Platinum",IF(E3345&gt;=2000,"🥇 Gold",IF(E3345&gt;=800,"🥈 Silver","🥉 Bronze")))</f>
        <v/>
      </c>
      <c r="L3345" s="125" t="n">
        <v>40882</v>
      </c>
    </row>
    <row r="3346">
      <c r="A3346" s="126" t="n">
        <v>16905</v>
      </c>
      <c r="B3346" s="126" t="inlineStr">
        <is>
          <t>United Kingdom</t>
        </is>
      </c>
      <c r="C3346" s="126" t="n">
        <v>6</v>
      </c>
      <c r="D3346" s="126" t="n">
        <v>7</v>
      </c>
      <c r="E3346" s="127" t="n">
        <v>3102.43</v>
      </c>
      <c r="F3346" s="128">
        <f>IF(C3346&lt;=30,5,IF(C3346&lt;=60,4,IF(C3346&lt;=120,3,IF(C3346&lt;=200,2,1))))</f>
        <v/>
      </c>
      <c r="G3346" s="128">
        <f>IF(D3346&gt;=20,5,IF(D3346&gt;=10,4,IF(D3346&gt;=5,3,IF(D3346&gt;=2,2,1))))</f>
        <v/>
      </c>
      <c r="H3346" s="128">
        <f>IF(E3346&gt;=5000,5,IF(E3346&gt;=2000,4,IF(E3346&gt;=800,3,IF(E3346&gt;=300,2,1))))</f>
        <v/>
      </c>
      <c r="I3346" s="126">
        <f>TEXT(F3346,"0")&amp;TEXT(G3346,"0")&amp;TEXT(H3346,"0")</f>
        <v/>
      </c>
      <c r="J3346" s="126">
        <f>IFERROR(XLOOKUP(I3346,'Segment Map'!A:A,'Segment Map'!B:B,"Need Attention"),"Need Attention")</f>
        <v/>
      </c>
      <c r="K3346" s="126">
        <f>IF(E3346&gt;=5000,"🏆 Platinum",IF(E3346&gt;=2000,"🥇 Gold",IF(E3346&gt;=800,"🥈 Silver","🥉 Bronze")))</f>
        <v/>
      </c>
      <c r="L3346" s="129" t="n">
        <v>40881</v>
      </c>
    </row>
    <row r="3347">
      <c r="A3347" s="122" t="n">
        <v>16906</v>
      </c>
      <c r="B3347" s="122" t="inlineStr">
        <is>
          <t>United Kingdom</t>
        </is>
      </c>
      <c r="C3347" s="122" t="n">
        <v>82</v>
      </c>
      <c r="D3347" s="122" t="n">
        <v>4</v>
      </c>
      <c r="E3347" s="123" t="n">
        <v>579.77</v>
      </c>
      <c r="F3347" s="124">
        <f>IF(C3347&lt;=30,5,IF(C3347&lt;=60,4,IF(C3347&lt;=120,3,IF(C3347&lt;=200,2,1))))</f>
        <v/>
      </c>
      <c r="G3347" s="124">
        <f>IF(D3347&gt;=20,5,IF(D3347&gt;=10,4,IF(D3347&gt;=5,3,IF(D3347&gt;=2,2,1))))</f>
        <v/>
      </c>
      <c r="H3347" s="124">
        <f>IF(E3347&gt;=5000,5,IF(E3347&gt;=2000,4,IF(E3347&gt;=800,3,IF(E3347&gt;=300,2,1))))</f>
        <v/>
      </c>
      <c r="I3347" s="122">
        <f>TEXT(F3347,"0")&amp;TEXT(G3347,"0")&amp;TEXT(H3347,"0")</f>
        <v/>
      </c>
      <c r="J3347" s="122">
        <f>IFERROR(XLOOKUP(I3347,'Segment Map'!A:A,'Segment Map'!B:B,"Need Attention"),"Need Attention")</f>
        <v/>
      </c>
      <c r="K3347" s="122">
        <f>IF(E3347&gt;=5000,"🏆 Platinum",IF(E3347&gt;=2000,"🥇 Gold",IF(E3347&gt;=800,"🥈 Silver","🥉 Bronze")))</f>
        <v/>
      </c>
      <c r="L3347" s="125" t="n">
        <v>40805</v>
      </c>
    </row>
    <row r="3348">
      <c r="A3348" s="126" t="n">
        <v>16907</v>
      </c>
      <c r="B3348" s="126" t="inlineStr">
        <is>
          <t>United Kingdom</t>
        </is>
      </c>
      <c r="C3348" s="126" t="n">
        <v>30</v>
      </c>
      <c r="D3348" s="126" t="n">
        <v>5</v>
      </c>
      <c r="E3348" s="127" t="n">
        <v>981.65</v>
      </c>
      <c r="F3348" s="128">
        <f>IF(C3348&lt;=30,5,IF(C3348&lt;=60,4,IF(C3348&lt;=120,3,IF(C3348&lt;=200,2,1))))</f>
        <v/>
      </c>
      <c r="G3348" s="128">
        <f>IF(D3348&gt;=20,5,IF(D3348&gt;=10,4,IF(D3348&gt;=5,3,IF(D3348&gt;=2,2,1))))</f>
        <v/>
      </c>
      <c r="H3348" s="128">
        <f>IF(E3348&gt;=5000,5,IF(E3348&gt;=2000,4,IF(E3348&gt;=800,3,IF(E3348&gt;=300,2,1))))</f>
        <v/>
      </c>
      <c r="I3348" s="126">
        <f>TEXT(F3348,"0")&amp;TEXT(G3348,"0")&amp;TEXT(H3348,"0")</f>
        <v/>
      </c>
      <c r="J3348" s="126">
        <f>IFERROR(XLOOKUP(I3348,'Segment Map'!A:A,'Segment Map'!B:B,"Need Attention"),"Need Attention")</f>
        <v/>
      </c>
      <c r="K3348" s="126">
        <f>IF(E3348&gt;=5000,"🏆 Platinum",IF(E3348&gt;=2000,"🥇 Gold",IF(E3348&gt;=800,"🥈 Silver","🥉 Bronze")))</f>
        <v/>
      </c>
      <c r="L3348" s="129" t="n">
        <v>40857</v>
      </c>
    </row>
    <row r="3349">
      <c r="A3349" s="122" t="n">
        <v>16909</v>
      </c>
      <c r="B3349" s="122" t="inlineStr">
        <is>
          <t>United Kingdom</t>
        </is>
      </c>
      <c r="C3349" s="122" t="n">
        <v>73</v>
      </c>
      <c r="D3349" s="122" t="n">
        <v>1</v>
      </c>
      <c r="E3349" s="123" t="n">
        <v>379.14</v>
      </c>
      <c r="F3349" s="124">
        <f>IF(C3349&lt;=30,5,IF(C3349&lt;=60,4,IF(C3349&lt;=120,3,IF(C3349&lt;=200,2,1))))</f>
        <v/>
      </c>
      <c r="G3349" s="124">
        <f>IF(D3349&gt;=20,5,IF(D3349&gt;=10,4,IF(D3349&gt;=5,3,IF(D3349&gt;=2,2,1))))</f>
        <v/>
      </c>
      <c r="H3349" s="124">
        <f>IF(E3349&gt;=5000,5,IF(E3349&gt;=2000,4,IF(E3349&gt;=800,3,IF(E3349&gt;=300,2,1))))</f>
        <v/>
      </c>
      <c r="I3349" s="122">
        <f>TEXT(F3349,"0")&amp;TEXT(G3349,"0")&amp;TEXT(H3349,"0")</f>
        <v/>
      </c>
      <c r="J3349" s="122">
        <f>IFERROR(XLOOKUP(I3349,'Segment Map'!A:A,'Segment Map'!B:B,"Need Attention"),"Need Attention")</f>
        <v/>
      </c>
      <c r="K3349" s="122">
        <f>IF(E3349&gt;=5000,"🏆 Platinum",IF(E3349&gt;=2000,"🥇 Gold",IF(E3349&gt;=800,"🥈 Silver","🥉 Bronze")))</f>
        <v/>
      </c>
      <c r="L3349" s="125" t="n">
        <v>40814</v>
      </c>
    </row>
    <row r="3350">
      <c r="A3350" s="126" t="n">
        <v>16910</v>
      </c>
      <c r="B3350" s="126" t="inlineStr">
        <is>
          <t>United Kingdom</t>
        </is>
      </c>
      <c r="C3350" s="126" t="n">
        <v>5</v>
      </c>
      <c r="D3350" s="126" t="n">
        <v>8</v>
      </c>
      <c r="E3350" s="127" t="n">
        <v>1510.06</v>
      </c>
      <c r="F3350" s="128">
        <f>IF(C3350&lt;=30,5,IF(C3350&lt;=60,4,IF(C3350&lt;=120,3,IF(C3350&lt;=200,2,1))))</f>
        <v/>
      </c>
      <c r="G3350" s="128">
        <f>IF(D3350&gt;=20,5,IF(D3350&gt;=10,4,IF(D3350&gt;=5,3,IF(D3350&gt;=2,2,1))))</f>
        <v/>
      </c>
      <c r="H3350" s="128">
        <f>IF(E3350&gt;=5000,5,IF(E3350&gt;=2000,4,IF(E3350&gt;=800,3,IF(E3350&gt;=300,2,1))))</f>
        <v/>
      </c>
      <c r="I3350" s="126">
        <f>TEXT(F3350,"0")&amp;TEXT(G3350,"0")&amp;TEXT(H3350,"0")</f>
        <v/>
      </c>
      <c r="J3350" s="126">
        <f>IFERROR(XLOOKUP(I3350,'Segment Map'!A:A,'Segment Map'!B:B,"Need Attention"),"Need Attention")</f>
        <v/>
      </c>
      <c r="K3350" s="126">
        <f>IF(E3350&gt;=5000,"🏆 Platinum",IF(E3350&gt;=2000,"🥇 Gold",IF(E3350&gt;=800,"🥈 Silver","🥉 Bronze")))</f>
        <v/>
      </c>
      <c r="L3350" s="129" t="n">
        <v>40882</v>
      </c>
    </row>
    <row r="3351">
      <c r="A3351" s="122" t="n">
        <v>16912</v>
      </c>
      <c r="B3351" s="122" t="inlineStr">
        <is>
          <t>United Kingdom</t>
        </is>
      </c>
      <c r="C3351" s="122" t="n">
        <v>29</v>
      </c>
      <c r="D3351" s="122" t="n">
        <v>11</v>
      </c>
      <c r="E3351" s="123" t="n">
        <v>2575.38</v>
      </c>
      <c r="F3351" s="124">
        <f>IF(C3351&lt;=30,5,IF(C3351&lt;=60,4,IF(C3351&lt;=120,3,IF(C3351&lt;=200,2,1))))</f>
        <v/>
      </c>
      <c r="G3351" s="124">
        <f>IF(D3351&gt;=20,5,IF(D3351&gt;=10,4,IF(D3351&gt;=5,3,IF(D3351&gt;=2,2,1))))</f>
        <v/>
      </c>
      <c r="H3351" s="124">
        <f>IF(E3351&gt;=5000,5,IF(E3351&gt;=2000,4,IF(E3351&gt;=800,3,IF(E3351&gt;=300,2,1))))</f>
        <v/>
      </c>
      <c r="I3351" s="122">
        <f>TEXT(F3351,"0")&amp;TEXT(G3351,"0")&amp;TEXT(H3351,"0")</f>
        <v/>
      </c>
      <c r="J3351" s="122">
        <f>IFERROR(XLOOKUP(I3351,'Segment Map'!A:A,'Segment Map'!B:B,"Need Attention"),"Need Attention")</f>
        <v/>
      </c>
      <c r="K3351" s="122">
        <f>IF(E3351&gt;=5000,"🏆 Platinum",IF(E3351&gt;=2000,"🥇 Gold",IF(E3351&gt;=800,"🥈 Silver","🥉 Bronze")))</f>
        <v/>
      </c>
      <c r="L3351" s="125" t="n">
        <v>40858</v>
      </c>
    </row>
    <row r="3352">
      <c r="A3352" s="126" t="n">
        <v>16913</v>
      </c>
      <c r="B3352" s="126" t="inlineStr">
        <is>
          <t>United Kingdom</t>
        </is>
      </c>
      <c r="C3352" s="126" t="n">
        <v>291</v>
      </c>
      <c r="D3352" s="126" t="n">
        <v>1</v>
      </c>
      <c r="E3352" s="127" t="n">
        <v>113.44</v>
      </c>
      <c r="F3352" s="128">
        <f>IF(C3352&lt;=30,5,IF(C3352&lt;=60,4,IF(C3352&lt;=120,3,IF(C3352&lt;=200,2,1))))</f>
        <v/>
      </c>
      <c r="G3352" s="128">
        <f>IF(D3352&gt;=20,5,IF(D3352&gt;=10,4,IF(D3352&gt;=5,3,IF(D3352&gt;=2,2,1))))</f>
        <v/>
      </c>
      <c r="H3352" s="128">
        <f>IF(E3352&gt;=5000,5,IF(E3352&gt;=2000,4,IF(E3352&gt;=800,3,IF(E3352&gt;=300,2,1))))</f>
        <v/>
      </c>
      <c r="I3352" s="126">
        <f>TEXT(F3352,"0")&amp;TEXT(G3352,"0")&amp;TEXT(H3352,"0")</f>
        <v/>
      </c>
      <c r="J3352" s="126">
        <f>IFERROR(XLOOKUP(I3352,'Segment Map'!A:A,'Segment Map'!B:B,"Need Attention"),"Need Attention")</f>
        <v/>
      </c>
      <c r="K3352" s="126">
        <f>IF(E3352&gt;=5000,"🏆 Platinum",IF(E3352&gt;=2000,"🥇 Gold",IF(E3352&gt;=800,"🥈 Silver","🥉 Bronze")))</f>
        <v/>
      </c>
      <c r="L3352" s="129" t="n">
        <v>40596</v>
      </c>
    </row>
    <row r="3353">
      <c r="A3353" s="122" t="n">
        <v>16914</v>
      </c>
      <c r="B3353" s="122" t="inlineStr">
        <is>
          <t>United Kingdom</t>
        </is>
      </c>
      <c r="C3353" s="122" t="n">
        <v>37</v>
      </c>
      <c r="D3353" s="122" t="n">
        <v>1</v>
      </c>
      <c r="E3353" s="123" t="n">
        <v>208.46</v>
      </c>
      <c r="F3353" s="124">
        <f>IF(C3353&lt;=30,5,IF(C3353&lt;=60,4,IF(C3353&lt;=120,3,IF(C3353&lt;=200,2,1))))</f>
        <v/>
      </c>
      <c r="G3353" s="124">
        <f>IF(D3353&gt;=20,5,IF(D3353&gt;=10,4,IF(D3353&gt;=5,3,IF(D3353&gt;=2,2,1))))</f>
        <v/>
      </c>
      <c r="H3353" s="124">
        <f>IF(E3353&gt;=5000,5,IF(E3353&gt;=2000,4,IF(E3353&gt;=800,3,IF(E3353&gt;=300,2,1))))</f>
        <v/>
      </c>
      <c r="I3353" s="122">
        <f>TEXT(F3353,"0")&amp;TEXT(G3353,"0")&amp;TEXT(H3353,"0")</f>
        <v/>
      </c>
      <c r="J3353" s="122">
        <f>IFERROR(XLOOKUP(I3353,'Segment Map'!A:A,'Segment Map'!B:B,"Need Attention"),"Need Attention")</f>
        <v/>
      </c>
      <c r="K3353" s="122">
        <f>IF(E3353&gt;=5000,"🏆 Platinum",IF(E3353&gt;=2000,"🥇 Gold",IF(E3353&gt;=800,"🥈 Silver","🥉 Bronze")))</f>
        <v/>
      </c>
      <c r="L3353" s="125" t="n">
        <v>40850</v>
      </c>
    </row>
    <row r="3354">
      <c r="A3354" s="126" t="n">
        <v>16915</v>
      </c>
      <c r="B3354" s="126" t="inlineStr">
        <is>
          <t>United Kingdom</t>
        </is>
      </c>
      <c r="C3354" s="126" t="n">
        <v>10</v>
      </c>
      <c r="D3354" s="126" t="n">
        <v>6</v>
      </c>
      <c r="E3354" s="127" t="n">
        <v>621.6799999999999</v>
      </c>
      <c r="F3354" s="128">
        <f>IF(C3354&lt;=30,5,IF(C3354&lt;=60,4,IF(C3354&lt;=120,3,IF(C3354&lt;=200,2,1))))</f>
        <v/>
      </c>
      <c r="G3354" s="128">
        <f>IF(D3354&gt;=20,5,IF(D3354&gt;=10,4,IF(D3354&gt;=5,3,IF(D3354&gt;=2,2,1))))</f>
        <v/>
      </c>
      <c r="H3354" s="128">
        <f>IF(E3354&gt;=5000,5,IF(E3354&gt;=2000,4,IF(E3354&gt;=800,3,IF(E3354&gt;=300,2,1))))</f>
        <v/>
      </c>
      <c r="I3354" s="126">
        <f>TEXT(F3354,"0")&amp;TEXT(G3354,"0")&amp;TEXT(H3354,"0")</f>
        <v/>
      </c>
      <c r="J3354" s="126">
        <f>IFERROR(XLOOKUP(I3354,'Segment Map'!A:A,'Segment Map'!B:B,"Need Attention"),"Need Attention")</f>
        <v/>
      </c>
      <c r="K3354" s="126">
        <f>IF(E3354&gt;=5000,"🏆 Platinum",IF(E3354&gt;=2000,"🥇 Gold",IF(E3354&gt;=800,"🥈 Silver","🥉 Bronze")))</f>
        <v/>
      </c>
      <c r="L3354" s="129" t="n">
        <v>40877</v>
      </c>
    </row>
    <row r="3355">
      <c r="A3355" s="122" t="n">
        <v>16916</v>
      </c>
      <c r="B3355" s="122" t="inlineStr">
        <is>
          <t>United Kingdom</t>
        </is>
      </c>
      <c r="C3355" s="122" t="n">
        <v>24</v>
      </c>
      <c r="D3355" s="122" t="n">
        <v>2</v>
      </c>
      <c r="E3355" s="123" t="n">
        <v>576.26</v>
      </c>
      <c r="F3355" s="124">
        <f>IF(C3355&lt;=30,5,IF(C3355&lt;=60,4,IF(C3355&lt;=120,3,IF(C3355&lt;=200,2,1))))</f>
        <v/>
      </c>
      <c r="G3355" s="124">
        <f>IF(D3355&gt;=20,5,IF(D3355&gt;=10,4,IF(D3355&gt;=5,3,IF(D3355&gt;=2,2,1))))</f>
        <v/>
      </c>
      <c r="H3355" s="124">
        <f>IF(E3355&gt;=5000,5,IF(E3355&gt;=2000,4,IF(E3355&gt;=800,3,IF(E3355&gt;=300,2,1))))</f>
        <v/>
      </c>
      <c r="I3355" s="122">
        <f>TEXT(F3355,"0")&amp;TEXT(G3355,"0")&amp;TEXT(H3355,"0")</f>
        <v/>
      </c>
      <c r="J3355" s="122">
        <f>IFERROR(XLOOKUP(I3355,'Segment Map'!A:A,'Segment Map'!B:B,"Need Attention"),"Need Attention")</f>
        <v/>
      </c>
      <c r="K3355" s="122">
        <f>IF(E3355&gt;=5000,"🏆 Platinum",IF(E3355&gt;=2000,"🥇 Gold",IF(E3355&gt;=800,"🥈 Silver","🥉 Bronze")))</f>
        <v/>
      </c>
      <c r="L3355" s="125" t="n">
        <v>40863</v>
      </c>
    </row>
    <row r="3356">
      <c r="A3356" s="126" t="n">
        <v>16917</v>
      </c>
      <c r="B3356" s="126" t="inlineStr">
        <is>
          <t>United Kingdom</t>
        </is>
      </c>
      <c r="C3356" s="126" t="n">
        <v>277</v>
      </c>
      <c r="D3356" s="126" t="n">
        <v>1</v>
      </c>
      <c r="E3356" s="127" t="n">
        <v>391.52</v>
      </c>
      <c r="F3356" s="128">
        <f>IF(C3356&lt;=30,5,IF(C3356&lt;=60,4,IF(C3356&lt;=120,3,IF(C3356&lt;=200,2,1))))</f>
        <v/>
      </c>
      <c r="G3356" s="128">
        <f>IF(D3356&gt;=20,5,IF(D3356&gt;=10,4,IF(D3356&gt;=5,3,IF(D3356&gt;=2,2,1))))</f>
        <v/>
      </c>
      <c r="H3356" s="128">
        <f>IF(E3356&gt;=5000,5,IF(E3356&gt;=2000,4,IF(E3356&gt;=800,3,IF(E3356&gt;=300,2,1))))</f>
        <v/>
      </c>
      <c r="I3356" s="126">
        <f>TEXT(F3356,"0")&amp;TEXT(G3356,"0")&amp;TEXT(H3356,"0")</f>
        <v/>
      </c>
      <c r="J3356" s="126">
        <f>IFERROR(XLOOKUP(I3356,'Segment Map'!A:A,'Segment Map'!B:B,"Need Attention"),"Need Attention")</f>
        <v/>
      </c>
      <c r="K3356" s="126">
        <f>IF(E3356&gt;=5000,"🏆 Platinum",IF(E3356&gt;=2000,"🥇 Gold",IF(E3356&gt;=800,"🥈 Silver","🥉 Bronze")))</f>
        <v/>
      </c>
      <c r="L3356" s="129" t="n">
        <v>40610</v>
      </c>
    </row>
    <row r="3357">
      <c r="A3357" s="122" t="n">
        <v>16918</v>
      </c>
      <c r="B3357" s="122" t="inlineStr">
        <is>
          <t>United Kingdom</t>
        </is>
      </c>
      <c r="C3357" s="122" t="n">
        <v>50</v>
      </c>
      <c r="D3357" s="122" t="n">
        <v>6</v>
      </c>
      <c r="E3357" s="123" t="n">
        <v>1068.82</v>
      </c>
      <c r="F3357" s="124">
        <f>IF(C3357&lt;=30,5,IF(C3357&lt;=60,4,IF(C3357&lt;=120,3,IF(C3357&lt;=200,2,1))))</f>
        <v/>
      </c>
      <c r="G3357" s="124">
        <f>IF(D3357&gt;=20,5,IF(D3357&gt;=10,4,IF(D3357&gt;=5,3,IF(D3357&gt;=2,2,1))))</f>
        <v/>
      </c>
      <c r="H3357" s="124">
        <f>IF(E3357&gt;=5000,5,IF(E3357&gt;=2000,4,IF(E3357&gt;=800,3,IF(E3357&gt;=300,2,1))))</f>
        <v/>
      </c>
      <c r="I3357" s="122">
        <f>TEXT(F3357,"0")&amp;TEXT(G3357,"0")&amp;TEXT(H3357,"0")</f>
        <v/>
      </c>
      <c r="J3357" s="122">
        <f>IFERROR(XLOOKUP(I3357,'Segment Map'!A:A,'Segment Map'!B:B,"Need Attention"),"Need Attention")</f>
        <v/>
      </c>
      <c r="K3357" s="122">
        <f>IF(E3357&gt;=5000,"🏆 Platinum",IF(E3357&gt;=2000,"🥇 Gold",IF(E3357&gt;=800,"🥈 Silver","🥉 Bronze")))</f>
        <v/>
      </c>
      <c r="L3357" s="125" t="n">
        <v>40837</v>
      </c>
    </row>
    <row r="3358">
      <c r="A3358" s="126" t="n">
        <v>16919</v>
      </c>
      <c r="B3358" s="126" t="inlineStr">
        <is>
          <t>United Kingdom</t>
        </is>
      </c>
      <c r="C3358" s="126" t="n">
        <v>157</v>
      </c>
      <c r="D3358" s="126" t="n">
        <v>11</v>
      </c>
      <c r="E3358" s="127" t="n">
        <v>2596.45</v>
      </c>
      <c r="F3358" s="128">
        <f>IF(C3358&lt;=30,5,IF(C3358&lt;=60,4,IF(C3358&lt;=120,3,IF(C3358&lt;=200,2,1))))</f>
        <v/>
      </c>
      <c r="G3358" s="128">
        <f>IF(D3358&gt;=20,5,IF(D3358&gt;=10,4,IF(D3358&gt;=5,3,IF(D3358&gt;=2,2,1))))</f>
        <v/>
      </c>
      <c r="H3358" s="128">
        <f>IF(E3358&gt;=5000,5,IF(E3358&gt;=2000,4,IF(E3358&gt;=800,3,IF(E3358&gt;=300,2,1))))</f>
        <v/>
      </c>
      <c r="I3358" s="126">
        <f>TEXT(F3358,"0")&amp;TEXT(G3358,"0")&amp;TEXT(H3358,"0")</f>
        <v/>
      </c>
      <c r="J3358" s="126">
        <f>IFERROR(XLOOKUP(I3358,'Segment Map'!A:A,'Segment Map'!B:B,"Need Attention"),"Need Attention")</f>
        <v/>
      </c>
      <c r="K3358" s="126">
        <f>IF(E3358&gt;=5000,"🏆 Platinum",IF(E3358&gt;=2000,"🥇 Gold",IF(E3358&gt;=800,"🥈 Silver","🥉 Bronze")))</f>
        <v/>
      </c>
      <c r="L3358" s="129" t="n">
        <v>40730</v>
      </c>
    </row>
    <row r="3359">
      <c r="A3359" s="122" t="n">
        <v>16921</v>
      </c>
      <c r="B3359" s="122" t="inlineStr">
        <is>
          <t>United Kingdom</t>
        </is>
      </c>
      <c r="C3359" s="122" t="n">
        <v>62</v>
      </c>
      <c r="D3359" s="122" t="n">
        <v>1</v>
      </c>
      <c r="E3359" s="123" t="n">
        <v>169.79</v>
      </c>
      <c r="F3359" s="124">
        <f>IF(C3359&lt;=30,5,IF(C3359&lt;=60,4,IF(C3359&lt;=120,3,IF(C3359&lt;=200,2,1))))</f>
        <v/>
      </c>
      <c r="G3359" s="124">
        <f>IF(D3359&gt;=20,5,IF(D3359&gt;=10,4,IF(D3359&gt;=5,3,IF(D3359&gt;=2,2,1))))</f>
        <v/>
      </c>
      <c r="H3359" s="124">
        <f>IF(E3359&gt;=5000,5,IF(E3359&gt;=2000,4,IF(E3359&gt;=800,3,IF(E3359&gt;=300,2,1))))</f>
        <v/>
      </c>
      <c r="I3359" s="122">
        <f>TEXT(F3359,"0")&amp;TEXT(G3359,"0")&amp;TEXT(H3359,"0")</f>
        <v/>
      </c>
      <c r="J3359" s="122">
        <f>IFERROR(XLOOKUP(I3359,'Segment Map'!A:A,'Segment Map'!B:B,"Need Attention"),"Need Attention")</f>
        <v/>
      </c>
      <c r="K3359" s="122">
        <f>IF(E3359&gt;=5000,"🏆 Platinum",IF(E3359&gt;=2000,"🥇 Gold",IF(E3359&gt;=800,"🥈 Silver","🥉 Bronze")))</f>
        <v/>
      </c>
      <c r="L3359" s="125" t="n">
        <v>40825</v>
      </c>
    </row>
    <row r="3360">
      <c r="A3360" s="126" t="n">
        <v>16923</v>
      </c>
      <c r="B3360" s="126" t="inlineStr">
        <is>
          <t>United Kingdom</t>
        </is>
      </c>
      <c r="C3360" s="126" t="n">
        <v>13</v>
      </c>
      <c r="D3360" s="126" t="n">
        <v>19</v>
      </c>
      <c r="E3360" s="127" t="n">
        <v>7247.61</v>
      </c>
      <c r="F3360" s="128">
        <f>IF(C3360&lt;=30,5,IF(C3360&lt;=60,4,IF(C3360&lt;=120,3,IF(C3360&lt;=200,2,1))))</f>
        <v/>
      </c>
      <c r="G3360" s="128">
        <f>IF(D3360&gt;=20,5,IF(D3360&gt;=10,4,IF(D3360&gt;=5,3,IF(D3360&gt;=2,2,1))))</f>
        <v/>
      </c>
      <c r="H3360" s="128">
        <f>IF(E3360&gt;=5000,5,IF(E3360&gt;=2000,4,IF(E3360&gt;=800,3,IF(E3360&gt;=300,2,1))))</f>
        <v/>
      </c>
      <c r="I3360" s="126">
        <f>TEXT(F3360,"0")&amp;TEXT(G3360,"0")&amp;TEXT(H3360,"0")</f>
        <v/>
      </c>
      <c r="J3360" s="126">
        <f>IFERROR(XLOOKUP(I3360,'Segment Map'!A:A,'Segment Map'!B:B,"Need Attention"),"Need Attention")</f>
        <v/>
      </c>
      <c r="K3360" s="126">
        <f>IF(E3360&gt;=5000,"🏆 Platinum",IF(E3360&gt;=2000,"🥇 Gold",IF(E3360&gt;=800,"🥈 Silver","🥉 Bronze")))</f>
        <v/>
      </c>
      <c r="L3360" s="129" t="n">
        <v>40874</v>
      </c>
    </row>
    <row r="3361">
      <c r="A3361" s="122" t="n">
        <v>16924</v>
      </c>
      <c r="B3361" s="122" t="inlineStr">
        <is>
          <t>United Kingdom</t>
        </is>
      </c>
      <c r="C3361" s="122" t="n">
        <v>22</v>
      </c>
      <c r="D3361" s="122" t="n">
        <v>3</v>
      </c>
      <c r="E3361" s="123" t="n">
        <v>846.75</v>
      </c>
      <c r="F3361" s="124">
        <f>IF(C3361&lt;=30,5,IF(C3361&lt;=60,4,IF(C3361&lt;=120,3,IF(C3361&lt;=200,2,1))))</f>
        <v/>
      </c>
      <c r="G3361" s="124">
        <f>IF(D3361&gt;=20,5,IF(D3361&gt;=10,4,IF(D3361&gt;=5,3,IF(D3361&gt;=2,2,1))))</f>
        <v/>
      </c>
      <c r="H3361" s="124">
        <f>IF(E3361&gt;=5000,5,IF(E3361&gt;=2000,4,IF(E3361&gt;=800,3,IF(E3361&gt;=300,2,1))))</f>
        <v/>
      </c>
      <c r="I3361" s="122">
        <f>TEXT(F3361,"0")&amp;TEXT(G3361,"0")&amp;TEXT(H3361,"0")</f>
        <v/>
      </c>
      <c r="J3361" s="122">
        <f>IFERROR(XLOOKUP(I3361,'Segment Map'!A:A,'Segment Map'!B:B,"Need Attention"),"Need Attention")</f>
        <v/>
      </c>
      <c r="K3361" s="122">
        <f>IF(E3361&gt;=5000,"🏆 Platinum",IF(E3361&gt;=2000,"🥇 Gold",IF(E3361&gt;=800,"🥈 Silver","🥉 Bronze")))</f>
        <v/>
      </c>
      <c r="L3361" s="125" t="n">
        <v>40865</v>
      </c>
    </row>
    <row r="3362">
      <c r="A3362" s="126" t="n">
        <v>16926</v>
      </c>
      <c r="B3362" s="126" t="inlineStr">
        <is>
          <t>United Kingdom</t>
        </is>
      </c>
      <c r="C3362" s="126" t="n">
        <v>372</v>
      </c>
      <c r="D3362" s="126" t="n">
        <v>1</v>
      </c>
      <c r="E3362" s="127" t="n">
        <v>230.25</v>
      </c>
      <c r="F3362" s="128">
        <f>IF(C3362&lt;=30,5,IF(C3362&lt;=60,4,IF(C3362&lt;=120,3,IF(C3362&lt;=200,2,1))))</f>
        <v/>
      </c>
      <c r="G3362" s="128">
        <f>IF(D3362&gt;=20,5,IF(D3362&gt;=10,4,IF(D3362&gt;=5,3,IF(D3362&gt;=2,2,1))))</f>
        <v/>
      </c>
      <c r="H3362" s="128">
        <f>IF(E3362&gt;=5000,5,IF(E3362&gt;=2000,4,IF(E3362&gt;=800,3,IF(E3362&gt;=300,2,1))))</f>
        <v/>
      </c>
      <c r="I3362" s="126">
        <f>TEXT(F3362,"0")&amp;TEXT(G3362,"0")&amp;TEXT(H3362,"0")</f>
        <v/>
      </c>
      <c r="J3362" s="126">
        <f>IFERROR(XLOOKUP(I3362,'Segment Map'!A:A,'Segment Map'!B:B,"Need Attention"),"Need Attention")</f>
        <v/>
      </c>
      <c r="K3362" s="126">
        <f>IF(E3362&gt;=5000,"🏆 Platinum",IF(E3362&gt;=2000,"🥇 Gold",IF(E3362&gt;=800,"🥈 Silver","🥉 Bronze")))</f>
        <v/>
      </c>
      <c r="L3362" s="129" t="n">
        <v>40515</v>
      </c>
    </row>
    <row r="3363">
      <c r="A3363" s="122" t="n">
        <v>16927</v>
      </c>
      <c r="B3363" s="122" t="inlineStr">
        <is>
          <t>United Kingdom</t>
        </is>
      </c>
      <c r="C3363" s="122" t="n">
        <v>116</v>
      </c>
      <c r="D3363" s="122" t="n">
        <v>3</v>
      </c>
      <c r="E3363" s="123" t="n">
        <v>543.05</v>
      </c>
      <c r="F3363" s="124">
        <f>IF(C3363&lt;=30,5,IF(C3363&lt;=60,4,IF(C3363&lt;=120,3,IF(C3363&lt;=200,2,1))))</f>
        <v/>
      </c>
      <c r="G3363" s="124">
        <f>IF(D3363&gt;=20,5,IF(D3363&gt;=10,4,IF(D3363&gt;=5,3,IF(D3363&gt;=2,2,1))))</f>
        <v/>
      </c>
      <c r="H3363" s="124">
        <f>IF(E3363&gt;=5000,5,IF(E3363&gt;=2000,4,IF(E3363&gt;=800,3,IF(E3363&gt;=300,2,1))))</f>
        <v/>
      </c>
      <c r="I3363" s="122">
        <f>TEXT(F3363,"0")&amp;TEXT(G3363,"0")&amp;TEXT(H3363,"0")</f>
        <v/>
      </c>
      <c r="J3363" s="122">
        <f>IFERROR(XLOOKUP(I3363,'Segment Map'!A:A,'Segment Map'!B:B,"Need Attention"),"Need Attention")</f>
        <v/>
      </c>
      <c r="K3363" s="122">
        <f>IF(E3363&gt;=5000,"🏆 Platinum",IF(E3363&gt;=2000,"🥇 Gold",IF(E3363&gt;=800,"🥈 Silver","🥉 Bronze")))</f>
        <v/>
      </c>
      <c r="L3363" s="125" t="n">
        <v>40771</v>
      </c>
    </row>
    <row r="3364">
      <c r="A3364" s="126" t="n">
        <v>16928</v>
      </c>
      <c r="B3364" s="126" t="inlineStr">
        <is>
          <t>United Kingdom</t>
        </is>
      </c>
      <c r="C3364" s="126" t="n">
        <v>81</v>
      </c>
      <c r="D3364" s="126" t="n">
        <v>17</v>
      </c>
      <c r="E3364" s="127" t="n">
        <v>2847.6</v>
      </c>
      <c r="F3364" s="128">
        <f>IF(C3364&lt;=30,5,IF(C3364&lt;=60,4,IF(C3364&lt;=120,3,IF(C3364&lt;=200,2,1))))</f>
        <v/>
      </c>
      <c r="G3364" s="128">
        <f>IF(D3364&gt;=20,5,IF(D3364&gt;=10,4,IF(D3364&gt;=5,3,IF(D3364&gt;=2,2,1))))</f>
        <v/>
      </c>
      <c r="H3364" s="128">
        <f>IF(E3364&gt;=5000,5,IF(E3364&gt;=2000,4,IF(E3364&gt;=800,3,IF(E3364&gt;=300,2,1))))</f>
        <v/>
      </c>
      <c r="I3364" s="126">
        <f>TEXT(F3364,"0")&amp;TEXT(G3364,"0")&amp;TEXT(H3364,"0")</f>
        <v/>
      </c>
      <c r="J3364" s="126">
        <f>IFERROR(XLOOKUP(I3364,'Segment Map'!A:A,'Segment Map'!B:B,"Need Attention"),"Need Attention")</f>
        <v/>
      </c>
      <c r="K3364" s="126">
        <f>IF(E3364&gt;=5000,"🏆 Platinum",IF(E3364&gt;=2000,"🥇 Gold",IF(E3364&gt;=800,"🥈 Silver","🥉 Bronze")))</f>
        <v/>
      </c>
      <c r="L3364" s="129" t="n">
        <v>40806</v>
      </c>
    </row>
    <row r="3365">
      <c r="A3365" s="122" t="n">
        <v>16929</v>
      </c>
      <c r="B3365" s="122" t="inlineStr">
        <is>
          <t>United Kingdom</t>
        </is>
      </c>
      <c r="C3365" s="122" t="n">
        <v>4</v>
      </c>
      <c r="D3365" s="122" t="n">
        <v>7</v>
      </c>
      <c r="E3365" s="123" t="n">
        <v>1295.39</v>
      </c>
      <c r="F3365" s="124">
        <f>IF(C3365&lt;=30,5,IF(C3365&lt;=60,4,IF(C3365&lt;=120,3,IF(C3365&lt;=200,2,1))))</f>
        <v/>
      </c>
      <c r="G3365" s="124">
        <f>IF(D3365&gt;=20,5,IF(D3365&gt;=10,4,IF(D3365&gt;=5,3,IF(D3365&gt;=2,2,1))))</f>
        <v/>
      </c>
      <c r="H3365" s="124">
        <f>IF(E3365&gt;=5000,5,IF(E3365&gt;=2000,4,IF(E3365&gt;=800,3,IF(E3365&gt;=300,2,1))))</f>
        <v/>
      </c>
      <c r="I3365" s="122">
        <f>TEXT(F3365,"0")&amp;TEXT(G3365,"0")&amp;TEXT(H3365,"0")</f>
        <v/>
      </c>
      <c r="J3365" s="122">
        <f>IFERROR(XLOOKUP(I3365,'Segment Map'!A:A,'Segment Map'!B:B,"Need Attention"),"Need Attention")</f>
        <v/>
      </c>
      <c r="K3365" s="122">
        <f>IF(E3365&gt;=5000,"🏆 Platinum",IF(E3365&gt;=2000,"🥇 Gold",IF(E3365&gt;=800,"🥈 Silver","🥉 Bronze")))</f>
        <v/>
      </c>
      <c r="L3365" s="125" t="n">
        <v>40883</v>
      </c>
    </row>
    <row r="3366">
      <c r="A3366" s="126" t="n">
        <v>16930</v>
      </c>
      <c r="B3366" s="126" t="inlineStr">
        <is>
          <t>United Kingdom</t>
        </is>
      </c>
      <c r="C3366" s="126" t="n">
        <v>27</v>
      </c>
      <c r="D3366" s="126" t="n">
        <v>3</v>
      </c>
      <c r="E3366" s="127" t="n">
        <v>380.55</v>
      </c>
      <c r="F3366" s="128">
        <f>IF(C3366&lt;=30,5,IF(C3366&lt;=60,4,IF(C3366&lt;=120,3,IF(C3366&lt;=200,2,1))))</f>
        <v/>
      </c>
      <c r="G3366" s="128">
        <f>IF(D3366&gt;=20,5,IF(D3366&gt;=10,4,IF(D3366&gt;=5,3,IF(D3366&gt;=2,2,1))))</f>
        <v/>
      </c>
      <c r="H3366" s="128">
        <f>IF(E3366&gt;=5000,5,IF(E3366&gt;=2000,4,IF(E3366&gt;=800,3,IF(E3366&gt;=300,2,1))))</f>
        <v/>
      </c>
      <c r="I3366" s="126">
        <f>TEXT(F3366,"0")&amp;TEXT(G3366,"0")&amp;TEXT(H3366,"0")</f>
        <v/>
      </c>
      <c r="J3366" s="126">
        <f>IFERROR(XLOOKUP(I3366,'Segment Map'!A:A,'Segment Map'!B:B,"Need Attention"),"Need Attention")</f>
        <v/>
      </c>
      <c r="K3366" s="126">
        <f>IF(E3366&gt;=5000,"🏆 Platinum",IF(E3366&gt;=2000,"🥇 Gold",IF(E3366&gt;=800,"🥈 Silver","🥉 Bronze")))</f>
        <v/>
      </c>
      <c r="L3366" s="129" t="n">
        <v>40860</v>
      </c>
    </row>
    <row r="3367">
      <c r="A3367" s="122" t="n">
        <v>16931</v>
      </c>
      <c r="B3367" s="122" t="inlineStr">
        <is>
          <t>United Kingdom</t>
        </is>
      </c>
      <c r="C3367" s="122" t="n">
        <v>6</v>
      </c>
      <c r="D3367" s="122" t="n">
        <v>21</v>
      </c>
      <c r="E3367" s="123" t="n">
        <v>4604.22</v>
      </c>
      <c r="F3367" s="124">
        <f>IF(C3367&lt;=30,5,IF(C3367&lt;=60,4,IF(C3367&lt;=120,3,IF(C3367&lt;=200,2,1))))</f>
        <v/>
      </c>
      <c r="G3367" s="124">
        <f>IF(D3367&gt;=20,5,IF(D3367&gt;=10,4,IF(D3367&gt;=5,3,IF(D3367&gt;=2,2,1))))</f>
        <v/>
      </c>
      <c r="H3367" s="124">
        <f>IF(E3367&gt;=5000,5,IF(E3367&gt;=2000,4,IF(E3367&gt;=800,3,IF(E3367&gt;=300,2,1))))</f>
        <v/>
      </c>
      <c r="I3367" s="122">
        <f>TEXT(F3367,"0")&amp;TEXT(G3367,"0")&amp;TEXT(H3367,"0")</f>
        <v/>
      </c>
      <c r="J3367" s="122">
        <f>IFERROR(XLOOKUP(I3367,'Segment Map'!A:A,'Segment Map'!B:B,"Need Attention"),"Need Attention")</f>
        <v/>
      </c>
      <c r="K3367" s="122">
        <f>IF(E3367&gt;=5000,"🏆 Platinum",IF(E3367&gt;=2000,"🥇 Gold",IF(E3367&gt;=800,"🥈 Silver","🥉 Bronze")))</f>
        <v/>
      </c>
      <c r="L3367" s="125" t="n">
        <v>40881</v>
      </c>
    </row>
    <row r="3368">
      <c r="A3368" s="126" t="n">
        <v>16932</v>
      </c>
      <c r="B3368" s="126" t="inlineStr">
        <is>
          <t>United Kingdom</t>
        </is>
      </c>
      <c r="C3368" s="126" t="n">
        <v>54</v>
      </c>
      <c r="D3368" s="126" t="n">
        <v>1</v>
      </c>
      <c r="E3368" s="127" t="n">
        <v>161.94</v>
      </c>
      <c r="F3368" s="128">
        <f>IF(C3368&lt;=30,5,IF(C3368&lt;=60,4,IF(C3368&lt;=120,3,IF(C3368&lt;=200,2,1))))</f>
        <v/>
      </c>
      <c r="G3368" s="128">
        <f>IF(D3368&gt;=20,5,IF(D3368&gt;=10,4,IF(D3368&gt;=5,3,IF(D3368&gt;=2,2,1))))</f>
        <v/>
      </c>
      <c r="H3368" s="128">
        <f>IF(E3368&gt;=5000,5,IF(E3368&gt;=2000,4,IF(E3368&gt;=800,3,IF(E3368&gt;=300,2,1))))</f>
        <v/>
      </c>
      <c r="I3368" s="126">
        <f>TEXT(F3368,"0")&amp;TEXT(G3368,"0")&amp;TEXT(H3368,"0")</f>
        <v/>
      </c>
      <c r="J3368" s="126">
        <f>IFERROR(XLOOKUP(I3368,'Segment Map'!A:A,'Segment Map'!B:B,"Need Attention"),"Need Attention")</f>
        <v/>
      </c>
      <c r="K3368" s="126">
        <f>IF(E3368&gt;=5000,"🏆 Platinum",IF(E3368&gt;=2000,"🥇 Gold",IF(E3368&gt;=800,"🥈 Silver","🥉 Bronze")))</f>
        <v/>
      </c>
      <c r="L3368" s="129" t="n">
        <v>40833</v>
      </c>
    </row>
    <row r="3369">
      <c r="A3369" s="122" t="n">
        <v>16933</v>
      </c>
      <c r="B3369" s="122" t="inlineStr">
        <is>
          <t>United Kingdom</t>
        </is>
      </c>
      <c r="C3369" s="122" t="n">
        <v>2</v>
      </c>
      <c r="D3369" s="122" t="n">
        <v>2</v>
      </c>
      <c r="E3369" s="123" t="n">
        <v>563.23</v>
      </c>
      <c r="F3369" s="124">
        <f>IF(C3369&lt;=30,5,IF(C3369&lt;=60,4,IF(C3369&lt;=120,3,IF(C3369&lt;=200,2,1))))</f>
        <v/>
      </c>
      <c r="G3369" s="124">
        <f>IF(D3369&gt;=20,5,IF(D3369&gt;=10,4,IF(D3369&gt;=5,3,IF(D3369&gt;=2,2,1))))</f>
        <v/>
      </c>
      <c r="H3369" s="124">
        <f>IF(E3369&gt;=5000,5,IF(E3369&gt;=2000,4,IF(E3369&gt;=800,3,IF(E3369&gt;=300,2,1))))</f>
        <v/>
      </c>
      <c r="I3369" s="122">
        <f>TEXT(F3369,"0")&amp;TEXT(G3369,"0")&amp;TEXT(H3369,"0")</f>
        <v/>
      </c>
      <c r="J3369" s="122">
        <f>IFERROR(XLOOKUP(I3369,'Segment Map'!A:A,'Segment Map'!B:B,"Need Attention"),"Need Attention")</f>
        <v/>
      </c>
      <c r="K3369" s="122">
        <f>IF(E3369&gt;=5000,"🏆 Platinum",IF(E3369&gt;=2000,"🥇 Gold",IF(E3369&gt;=800,"🥈 Silver","🥉 Bronze")))</f>
        <v/>
      </c>
      <c r="L3369" s="125" t="n">
        <v>40885</v>
      </c>
    </row>
    <row r="3370">
      <c r="A3370" s="126" t="n">
        <v>16934</v>
      </c>
      <c r="B3370" s="126" t="inlineStr">
        <is>
          <t>United Kingdom</t>
        </is>
      </c>
      <c r="C3370" s="126" t="n">
        <v>55</v>
      </c>
      <c r="D3370" s="126" t="n">
        <v>2</v>
      </c>
      <c r="E3370" s="127" t="n">
        <v>950.9299999999999</v>
      </c>
      <c r="F3370" s="128">
        <f>IF(C3370&lt;=30,5,IF(C3370&lt;=60,4,IF(C3370&lt;=120,3,IF(C3370&lt;=200,2,1))))</f>
        <v/>
      </c>
      <c r="G3370" s="128">
        <f>IF(D3370&gt;=20,5,IF(D3370&gt;=10,4,IF(D3370&gt;=5,3,IF(D3370&gt;=2,2,1))))</f>
        <v/>
      </c>
      <c r="H3370" s="128">
        <f>IF(E3370&gt;=5000,5,IF(E3370&gt;=2000,4,IF(E3370&gt;=800,3,IF(E3370&gt;=300,2,1))))</f>
        <v/>
      </c>
      <c r="I3370" s="126">
        <f>TEXT(F3370,"0")&amp;TEXT(G3370,"0")&amp;TEXT(H3370,"0")</f>
        <v/>
      </c>
      <c r="J3370" s="126">
        <f>IFERROR(XLOOKUP(I3370,'Segment Map'!A:A,'Segment Map'!B:B,"Need Attention"),"Need Attention")</f>
        <v/>
      </c>
      <c r="K3370" s="126">
        <f>IF(E3370&gt;=5000,"🏆 Platinum",IF(E3370&gt;=2000,"🥇 Gold",IF(E3370&gt;=800,"🥈 Silver","🥉 Bronze")))</f>
        <v/>
      </c>
      <c r="L3370" s="129" t="n">
        <v>40832</v>
      </c>
    </row>
    <row r="3371">
      <c r="A3371" s="122" t="n">
        <v>16936</v>
      </c>
      <c r="B3371" s="122" t="inlineStr">
        <is>
          <t>United Kingdom</t>
        </is>
      </c>
      <c r="C3371" s="122" t="n">
        <v>26</v>
      </c>
      <c r="D3371" s="122" t="n">
        <v>1</v>
      </c>
      <c r="E3371" s="123" t="n">
        <v>262.68</v>
      </c>
      <c r="F3371" s="124">
        <f>IF(C3371&lt;=30,5,IF(C3371&lt;=60,4,IF(C3371&lt;=120,3,IF(C3371&lt;=200,2,1))))</f>
        <v/>
      </c>
      <c r="G3371" s="124">
        <f>IF(D3371&gt;=20,5,IF(D3371&gt;=10,4,IF(D3371&gt;=5,3,IF(D3371&gt;=2,2,1))))</f>
        <v/>
      </c>
      <c r="H3371" s="124">
        <f>IF(E3371&gt;=5000,5,IF(E3371&gt;=2000,4,IF(E3371&gt;=800,3,IF(E3371&gt;=300,2,1))))</f>
        <v/>
      </c>
      <c r="I3371" s="122">
        <f>TEXT(F3371,"0")&amp;TEXT(G3371,"0")&amp;TEXT(H3371,"0")</f>
        <v/>
      </c>
      <c r="J3371" s="122">
        <f>IFERROR(XLOOKUP(I3371,'Segment Map'!A:A,'Segment Map'!B:B,"Need Attention"),"Need Attention")</f>
        <v/>
      </c>
      <c r="K3371" s="122">
        <f>IF(E3371&gt;=5000,"🏆 Platinum",IF(E3371&gt;=2000,"🥇 Gold",IF(E3371&gt;=800,"🥈 Silver","🥉 Bronze")))</f>
        <v/>
      </c>
      <c r="L3371" s="125" t="n">
        <v>40861</v>
      </c>
    </row>
    <row r="3372">
      <c r="A3372" s="126" t="n">
        <v>16938</v>
      </c>
      <c r="B3372" s="126" t="inlineStr">
        <is>
          <t>United Kingdom</t>
        </is>
      </c>
      <c r="C3372" s="126" t="n">
        <v>9</v>
      </c>
      <c r="D3372" s="126" t="n">
        <v>4</v>
      </c>
      <c r="E3372" s="127" t="n">
        <v>2736.38</v>
      </c>
      <c r="F3372" s="128">
        <f>IF(C3372&lt;=30,5,IF(C3372&lt;=60,4,IF(C3372&lt;=120,3,IF(C3372&lt;=200,2,1))))</f>
        <v/>
      </c>
      <c r="G3372" s="128">
        <f>IF(D3372&gt;=20,5,IF(D3372&gt;=10,4,IF(D3372&gt;=5,3,IF(D3372&gt;=2,2,1))))</f>
        <v/>
      </c>
      <c r="H3372" s="128">
        <f>IF(E3372&gt;=5000,5,IF(E3372&gt;=2000,4,IF(E3372&gt;=800,3,IF(E3372&gt;=300,2,1))))</f>
        <v/>
      </c>
      <c r="I3372" s="126">
        <f>TEXT(F3372,"0")&amp;TEXT(G3372,"0")&amp;TEXT(H3372,"0")</f>
        <v/>
      </c>
      <c r="J3372" s="126">
        <f>IFERROR(XLOOKUP(I3372,'Segment Map'!A:A,'Segment Map'!B:B,"Need Attention"),"Need Attention")</f>
        <v/>
      </c>
      <c r="K3372" s="126">
        <f>IF(E3372&gt;=5000,"🏆 Platinum",IF(E3372&gt;=2000,"🥇 Gold",IF(E3372&gt;=800,"🥈 Silver","🥉 Bronze")))</f>
        <v/>
      </c>
      <c r="L3372" s="129" t="n">
        <v>40878</v>
      </c>
    </row>
    <row r="3373">
      <c r="A3373" s="122" t="n">
        <v>16940</v>
      </c>
      <c r="B3373" s="122" t="inlineStr">
        <is>
          <t>United Kingdom</t>
        </is>
      </c>
      <c r="C3373" s="122" t="n">
        <v>53</v>
      </c>
      <c r="D3373" s="122" t="n">
        <v>3</v>
      </c>
      <c r="E3373" s="123" t="n">
        <v>3049.88</v>
      </c>
      <c r="F3373" s="124">
        <f>IF(C3373&lt;=30,5,IF(C3373&lt;=60,4,IF(C3373&lt;=120,3,IF(C3373&lt;=200,2,1))))</f>
        <v/>
      </c>
      <c r="G3373" s="124">
        <f>IF(D3373&gt;=20,5,IF(D3373&gt;=10,4,IF(D3373&gt;=5,3,IF(D3373&gt;=2,2,1))))</f>
        <v/>
      </c>
      <c r="H3373" s="124">
        <f>IF(E3373&gt;=5000,5,IF(E3373&gt;=2000,4,IF(E3373&gt;=800,3,IF(E3373&gt;=300,2,1))))</f>
        <v/>
      </c>
      <c r="I3373" s="122">
        <f>TEXT(F3373,"0")&amp;TEXT(G3373,"0")&amp;TEXT(H3373,"0")</f>
        <v/>
      </c>
      <c r="J3373" s="122">
        <f>IFERROR(XLOOKUP(I3373,'Segment Map'!A:A,'Segment Map'!B:B,"Need Attention"),"Need Attention")</f>
        <v/>
      </c>
      <c r="K3373" s="122">
        <f>IF(E3373&gt;=5000,"🏆 Platinum",IF(E3373&gt;=2000,"🥇 Gold",IF(E3373&gt;=800,"🥈 Silver","🥉 Bronze")))</f>
        <v/>
      </c>
      <c r="L3373" s="125" t="n">
        <v>40834</v>
      </c>
    </row>
    <row r="3374">
      <c r="A3374" s="126" t="n">
        <v>16942</v>
      </c>
      <c r="B3374" s="126" t="inlineStr">
        <is>
          <t>United Kingdom</t>
        </is>
      </c>
      <c r="C3374" s="126" t="n">
        <v>13</v>
      </c>
      <c r="D3374" s="126" t="n">
        <v>9</v>
      </c>
      <c r="E3374" s="127" t="n">
        <v>1920.59</v>
      </c>
      <c r="F3374" s="128">
        <f>IF(C3374&lt;=30,5,IF(C3374&lt;=60,4,IF(C3374&lt;=120,3,IF(C3374&lt;=200,2,1))))</f>
        <v/>
      </c>
      <c r="G3374" s="128">
        <f>IF(D3374&gt;=20,5,IF(D3374&gt;=10,4,IF(D3374&gt;=5,3,IF(D3374&gt;=2,2,1))))</f>
        <v/>
      </c>
      <c r="H3374" s="128">
        <f>IF(E3374&gt;=5000,5,IF(E3374&gt;=2000,4,IF(E3374&gt;=800,3,IF(E3374&gt;=300,2,1))))</f>
        <v/>
      </c>
      <c r="I3374" s="126">
        <f>TEXT(F3374,"0")&amp;TEXT(G3374,"0")&amp;TEXT(H3374,"0")</f>
        <v/>
      </c>
      <c r="J3374" s="126">
        <f>IFERROR(XLOOKUP(I3374,'Segment Map'!A:A,'Segment Map'!B:B,"Need Attention"),"Need Attention")</f>
        <v/>
      </c>
      <c r="K3374" s="126">
        <f>IF(E3374&gt;=5000,"🏆 Platinum",IF(E3374&gt;=2000,"🥇 Gold",IF(E3374&gt;=800,"🥈 Silver","🥉 Bronze")))</f>
        <v/>
      </c>
      <c r="L3374" s="129" t="n">
        <v>40874</v>
      </c>
    </row>
    <row r="3375">
      <c r="A3375" s="122" t="n">
        <v>16943</v>
      </c>
      <c r="B3375" s="122" t="inlineStr">
        <is>
          <t>United Kingdom</t>
        </is>
      </c>
      <c r="C3375" s="122" t="n">
        <v>212</v>
      </c>
      <c r="D3375" s="122" t="n">
        <v>3</v>
      </c>
      <c r="E3375" s="123" t="n">
        <v>816.73</v>
      </c>
      <c r="F3375" s="124">
        <f>IF(C3375&lt;=30,5,IF(C3375&lt;=60,4,IF(C3375&lt;=120,3,IF(C3375&lt;=200,2,1))))</f>
        <v/>
      </c>
      <c r="G3375" s="124">
        <f>IF(D3375&gt;=20,5,IF(D3375&gt;=10,4,IF(D3375&gt;=5,3,IF(D3375&gt;=2,2,1))))</f>
        <v/>
      </c>
      <c r="H3375" s="124">
        <f>IF(E3375&gt;=5000,5,IF(E3375&gt;=2000,4,IF(E3375&gt;=800,3,IF(E3375&gt;=300,2,1))))</f>
        <v/>
      </c>
      <c r="I3375" s="122">
        <f>TEXT(F3375,"0")&amp;TEXT(G3375,"0")&amp;TEXT(H3375,"0")</f>
        <v/>
      </c>
      <c r="J3375" s="122">
        <f>IFERROR(XLOOKUP(I3375,'Segment Map'!A:A,'Segment Map'!B:B,"Need Attention"),"Need Attention")</f>
        <v/>
      </c>
      <c r="K3375" s="122">
        <f>IF(E3375&gt;=5000,"🏆 Platinum",IF(E3375&gt;=2000,"🥇 Gold",IF(E3375&gt;=800,"🥈 Silver","🥉 Bronze")))</f>
        <v/>
      </c>
      <c r="L3375" s="125" t="n">
        <v>40675</v>
      </c>
    </row>
    <row r="3376">
      <c r="A3376" s="126" t="n">
        <v>16945</v>
      </c>
      <c r="B3376" s="126" t="inlineStr">
        <is>
          <t>United Kingdom</t>
        </is>
      </c>
      <c r="C3376" s="126" t="n">
        <v>22</v>
      </c>
      <c r="D3376" s="126" t="n">
        <v>19</v>
      </c>
      <c r="E3376" s="127" t="n">
        <v>4345.5</v>
      </c>
      <c r="F3376" s="128">
        <f>IF(C3376&lt;=30,5,IF(C3376&lt;=60,4,IF(C3376&lt;=120,3,IF(C3376&lt;=200,2,1))))</f>
        <v/>
      </c>
      <c r="G3376" s="128">
        <f>IF(D3376&gt;=20,5,IF(D3376&gt;=10,4,IF(D3376&gt;=5,3,IF(D3376&gt;=2,2,1))))</f>
        <v/>
      </c>
      <c r="H3376" s="128">
        <f>IF(E3376&gt;=5000,5,IF(E3376&gt;=2000,4,IF(E3376&gt;=800,3,IF(E3376&gt;=300,2,1))))</f>
        <v/>
      </c>
      <c r="I3376" s="126">
        <f>TEXT(F3376,"0")&amp;TEXT(G3376,"0")&amp;TEXT(H3376,"0")</f>
        <v/>
      </c>
      <c r="J3376" s="126">
        <f>IFERROR(XLOOKUP(I3376,'Segment Map'!A:A,'Segment Map'!B:B,"Need Attention"),"Need Attention")</f>
        <v/>
      </c>
      <c r="K3376" s="126">
        <f>IF(E3376&gt;=5000,"🏆 Platinum",IF(E3376&gt;=2000,"🥇 Gold",IF(E3376&gt;=800,"🥈 Silver","🥉 Bronze")))</f>
        <v/>
      </c>
      <c r="L3376" s="129" t="n">
        <v>40865</v>
      </c>
    </row>
    <row r="3377">
      <c r="A3377" s="122" t="n">
        <v>16947</v>
      </c>
      <c r="B3377" s="122" t="inlineStr">
        <is>
          <t>United Kingdom</t>
        </is>
      </c>
      <c r="C3377" s="122" t="n">
        <v>236</v>
      </c>
      <c r="D3377" s="122" t="n">
        <v>1</v>
      </c>
      <c r="E3377" s="123" t="n">
        <v>406.48</v>
      </c>
      <c r="F3377" s="124">
        <f>IF(C3377&lt;=30,5,IF(C3377&lt;=60,4,IF(C3377&lt;=120,3,IF(C3377&lt;=200,2,1))))</f>
        <v/>
      </c>
      <c r="G3377" s="124">
        <f>IF(D3377&gt;=20,5,IF(D3377&gt;=10,4,IF(D3377&gt;=5,3,IF(D3377&gt;=2,2,1))))</f>
        <v/>
      </c>
      <c r="H3377" s="124">
        <f>IF(E3377&gt;=5000,5,IF(E3377&gt;=2000,4,IF(E3377&gt;=800,3,IF(E3377&gt;=300,2,1))))</f>
        <v/>
      </c>
      <c r="I3377" s="122">
        <f>TEXT(F3377,"0")&amp;TEXT(G3377,"0")&amp;TEXT(H3377,"0")</f>
        <v/>
      </c>
      <c r="J3377" s="122">
        <f>IFERROR(XLOOKUP(I3377,'Segment Map'!A:A,'Segment Map'!B:B,"Need Attention"),"Need Attention")</f>
        <v/>
      </c>
      <c r="K3377" s="122">
        <f>IF(E3377&gt;=5000,"🏆 Platinum",IF(E3377&gt;=2000,"🥇 Gold",IF(E3377&gt;=800,"🥈 Silver","🥉 Bronze")))</f>
        <v/>
      </c>
      <c r="L3377" s="125" t="n">
        <v>40651</v>
      </c>
    </row>
    <row r="3378">
      <c r="A3378" s="126" t="n">
        <v>16948</v>
      </c>
      <c r="B3378" s="126" t="inlineStr">
        <is>
          <t>United Kingdom</t>
        </is>
      </c>
      <c r="C3378" s="126" t="n">
        <v>139</v>
      </c>
      <c r="D3378" s="126" t="n">
        <v>3</v>
      </c>
      <c r="E3378" s="127" t="n">
        <v>435.02</v>
      </c>
      <c r="F3378" s="128">
        <f>IF(C3378&lt;=30,5,IF(C3378&lt;=60,4,IF(C3378&lt;=120,3,IF(C3378&lt;=200,2,1))))</f>
        <v/>
      </c>
      <c r="G3378" s="128">
        <f>IF(D3378&gt;=20,5,IF(D3378&gt;=10,4,IF(D3378&gt;=5,3,IF(D3378&gt;=2,2,1))))</f>
        <v/>
      </c>
      <c r="H3378" s="128">
        <f>IF(E3378&gt;=5000,5,IF(E3378&gt;=2000,4,IF(E3378&gt;=800,3,IF(E3378&gt;=300,2,1))))</f>
        <v/>
      </c>
      <c r="I3378" s="126">
        <f>TEXT(F3378,"0")&amp;TEXT(G3378,"0")&amp;TEXT(H3378,"0")</f>
        <v/>
      </c>
      <c r="J3378" s="126">
        <f>IFERROR(XLOOKUP(I3378,'Segment Map'!A:A,'Segment Map'!B:B,"Need Attention"),"Need Attention")</f>
        <v/>
      </c>
      <c r="K3378" s="126">
        <f>IF(E3378&gt;=5000,"🏆 Platinum",IF(E3378&gt;=2000,"🥇 Gold",IF(E3378&gt;=800,"🥈 Silver","🥉 Bronze")))</f>
        <v/>
      </c>
      <c r="L3378" s="129" t="n">
        <v>40748</v>
      </c>
    </row>
    <row r="3379">
      <c r="A3379" s="122" t="n">
        <v>16949</v>
      </c>
      <c r="B3379" s="122" t="inlineStr">
        <is>
          <t>United Kingdom</t>
        </is>
      </c>
      <c r="C3379" s="122" t="n">
        <v>4</v>
      </c>
      <c r="D3379" s="122" t="n">
        <v>6</v>
      </c>
      <c r="E3379" s="123" t="n">
        <v>1286.27</v>
      </c>
      <c r="F3379" s="124">
        <f>IF(C3379&lt;=30,5,IF(C3379&lt;=60,4,IF(C3379&lt;=120,3,IF(C3379&lt;=200,2,1))))</f>
        <v/>
      </c>
      <c r="G3379" s="124">
        <f>IF(D3379&gt;=20,5,IF(D3379&gt;=10,4,IF(D3379&gt;=5,3,IF(D3379&gt;=2,2,1))))</f>
        <v/>
      </c>
      <c r="H3379" s="124">
        <f>IF(E3379&gt;=5000,5,IF(E3379&gt;=2000,4,IF(E3379&gt;=800,3,IF(E3379&gt;=300,2,1))))</f>
        <v/>
      </c>
      <c r="I3379" s="122">
        <f>TEXT(F3379,"0")&amp;TEXT(G3379,"0")&amp;TEXT(H3379,"0")</f>
        <v/>
      </c>
      <c r="J3379" s="122">
        <f>IFERROR(XLOOKUP(I3379,'Segment Map'!A:A,'Segment Map'!B:B,"Need Attention"),"Need Attention")</f>
        <v/>
      </c>
      <c r="K3379" s="122">
        <f>IF(E3379&gt;=5000,"🏆 Platinum",IF(E3379&gt;=2000,"🥇 Gold",IF(E3379&gt;=800,"🥈 Silver","🥉 Bronze")))</f>
        <v/>
      </c>
      <c r="L3379" s="125" t="n">
        <v>40883</v>
      </c>
    </row>
    <row r="3380">
      <c r="A3380" s="126" t="n">
        <v>16950</v>
      </c>
      <c r="B3380" s="126" t="inlineStr">
        <is>
          <t>United Kingdom</t>
        </is>
      </c>
      <c r="C3380" s="126" t="n">
        <v>57</v>
      </c>
      <c r="D3380" s="126" t="n">
        <v>3</v>
      </c>
      <c r="E3380" s="127" t="n">
        <v>1178.56</v>
      </c>
      <c r="F3380" s="128">
        <f>IF(C3380&lt;=30,5,IF(C3380&lt;=60,4,IF(C3380&lt;=120,3,IF(C3380&lt;=200,2,1))))</f>
        <v/>
      </c>
      <c r="G3380" s="128">
        <f>IF(D3380&gt;=20,5,IF(D3380&gt;=10,4,IF(D3380&gt;=5,3,IF(D3380&gt;=2,2,1))))</f>
        <v/>
      </c>
      <c r="H3380" s="128">
        <f>IF(E3380&gt;=5000,5,IF(E3380&gt;=2000,4,IF(E3380&gt;=800,3,IF(E3380&gt;=300,2,1))))</f>
        <v/>
      </c>
      <c r="I3380" s="126">
        <f>TEXT(F3380,"0")&amp;TEXT(G3380,"0")&amp;TEXT(H3380,"0")</f>
        <v/>
      </c>
      <c r="J3380" s="126">
        <f>IFERROR(XLOOKUP(I3380,'Segment Map'!A:A,'Segment Map'!B:B,"Need Attention"),"Need Attention")</f>
        <v/>
      </c>
      <c r="K3380" s="126">
        <f>IF(E3380&gt;=5000,"🏆 Platinum",IF(E3380&gt;=2000,"🥇 Gold",IF(E3380&gt;=800,"🥈 Silver","🥉 Bronze")))</f>
        <v/>
      </c>
      <c r="L3380" s="129" t="n">
        <v>40830</v>
      </c>
    </row>
    <row r="3381">
      <c r="A3381" s="122" t="n">
        <v>16951</v>
      </c>
      <c r="B3381" s="122" t="inlineStr">
        <is>
          <t>United Kingdom</t>
        </is>
      </c>
      <c r="C3381" s="122" t="n">
        <v>135</v>
      </c>
      <c r="D3381" s="122" t="n">
        <v>3</v>
      </c>
      <c r="E3381" s="123" t="n">
        <v>1277.75</v>
      </c>
      <c r="F3381" s="124">
        <f>IF(C3381&lt;=30,5,IF(C3381&lt;=60,4,IF(C3381&lt;=120,3,IF(C3381&lt;=200,2,1))))</f>
        <v/>
      </c>
      <c r="G3381" s="124">
        <f>IF(D3381&gt;=20,5,IF(D3381&gt;=10,4,IF(D3381&gt;=5,3,IF(D3381&gt;=2,2,1))))</f>
        <v/>
      </c>
      <c r="H3381" s="124">
        <f>IF(E3381&gt;=5000,5,IF(E3381&gt;=2000,4,IF(E3381&gt;=800,3,IF(E3381&gt;=300,2,1))))</f>
        <v/>
      </c>
      <c r="I3381" s="122">
        <f>TEXT(F3381,"0")&amp;TEXT(G3381,"0")&amp;TEXT(H3381,"0")</f>
        <v/>
      </c>
      <c r="J3381" s="122">
        <f>IFERROR(XLOOKUP(I3381,'Segment Map'!A:A,'Segment Map'!B:B,"Need Attention"),"Need Attention")</f>
        <v/>
      </c>
      <c r="K3381" s="122">
        <f>IF(E3381&gt;=5000,"🏆 Platinum",IF(E3381&gt;=2000,"🥇 Gold",IF(E3381&gt;=800,"🥈 Silver","🥉 Bronze")))</f>
        <v/>
      </c>
      <c r="L3381" s="125" t="n">
        <v>40752</v>
      </c>
    </row>
    <row r="3382">
      <c r="A3382" s="126" t="n">
        <v>16952</v>
      </c>
      <c r="B3382" s="126" t="inlineStr">
        <is>
          <t>United Kingdom</t>
        </is>
      </c>
      <c r="C3382" s="126" t="n">
        <v>110</v>
      </c>
      <c r="D3382" s="126" t="n">
        <v>2</v>
      </c>
      <c r="E3382" s="127" t="n">
        <v>167.61</v>
      </c>
      <c r="F3382" s="128">
        <f>IF(C3382&lt;=30,5,IF(C3382&lt;=60,4,IF(C3382&lt;=120,3,IF(C3382&lt;=200,2,1))))</f>
        <v/>
      </c>
      <c r="G3382" s="128">
        <f>IF(D3382&gt;=20,5,IF(D3382&gt;=10,4,IF(D3382&gt;=5,3,IF(D3382&gt;=2,2,1))))</f>
        <v/>
      </c>
      <c r="H3382" s="128">
        <f>IF(E3382&gt;=5000,5,IF(E3382&gt;=2000,4,IF(E3382&gt;=800,3,IF(E3382&gt;=300,2,1))))</f>
        <v/>
      </c>
      <c r="I3382" s="126">
        <f>TEXT(F3382,"0")&amp;TEXT(G3382,"0")&amp;TEXT(H3382,"0")</f>
        <v/>
      </c>
      <c r="J3382" s="126">
        <f>IFERROR(XLOOKUP(I3382,'Segment Map'!A:A,'Segment Map'!B:B,"Need Attention"),"Need Attention")</f>
        <v/>
      </c>
      <c r="K3382" s="126">
        <f>IF(E3382&gt;=5000,"🏆 Platinum",IF(E3382&gt;=2000,"🥇 Gold",IF(E3382&gt;=800,"🥈 Silver","🥉 Bronze")))</f>
        <v/>
      </c>
      <c r="L3382" s="129" t="n">
        <v>40777</v>
      </c>
    </row>
    <row r="3383">
      <c r="A3383" s="122" t="n">
        <v>16953</v>
      </c>
      <c r="B3383" s="122" t="inlineStr">
        <is>
          <t>United Kingdom</t>
        </is>
      </c>
      <c r="C3383" s="122" t="n">
        <v>31</v>
      </c>
      <c r="D3383" s="122" t="n">
        <v>1</v>
      </c>
      <c r="E3383" s="123" t="n">
        <v>20.8</v>
      </c>
      <c r="F3383" s="124">
        <f>IF(C3383&lt;=30,5,IF(C3383&lt;=60,4,IF(C3383&lt;=120,3,IF(C3383&lt;=200,2,1))))</f>
        <v/>
      </c>
      <c r="G3383" s="124">
        <f>IF(D3383&gt;=20,5,IF(D3383&gt;=10,4,IF(D3383&gt;=5,3,IF(D3383&gt;=2,2,1))))</f>
        <v/>
      </c>
      <c r="H3383" s="124">
        <f>IF(E3383&gt;=5000,5,IF(E3383&gt;=2000,4,IF(E3383&gt;=800,3,IF(E3383&gt;=300,2,1))))</f>
        <v/>
      </c>
      <c r="I3383" s="122">
        <f>TEXT(F3383,"0")&amp;TEXT(G3383,"0")&amp;TEXT(H3383,"0")</f>
        <v/>
      </c>
      <c r="J3383" s="122">
        <f>IFERROR(XLOOKUP(I3383,'Segment Map'!A:A,'Segment Map'!B:B,"Need Attention"),"Need Attention")</f>
        <v/>
      </c>
      <c r="K3383" s="122">
        <f>IF(E3383&gt;=5000,"🏆 Platinum",IF(E3383&gt;=2000,"🥇 Gold",IF(E3383&gt;=800,"🥈 Silver","🥉 Bronze")))</f>
        <v/>
      </c>
      <c r="L3383" s="125" t="n">
        <v>40856</v>
      </c>
    </row>
    <row r="3384">
      <c r="A3384" s="126" t="n">
        <v>16954</v>
      </c>
      <c r="B3384" s="126" t="inlineStr">
        <is>
          <t>United Kingdom</t>
        </is>
      </c>
      <c r="C3384" s="126" t="n">
        <v>1</v>
      </c>
      <c r="D3384" s="126" t="n">
        <v>9</v>
      </c>
      <c r="E3384" s="127" t="n">
        <v>2085.08</v>
      </c>
      <c r="F3384" s="128">
        <f>IF(C3384&lt;=30,5,IF(C3384&lt;=60,4,IF(C3384&lt;=120,3,IF(C3384&lt;=200,2,1))))</f>
        <v/>
      </c>
      <c r="G3384" s="128">
        <f>IF(D3384&gt;=20,5,IF(D3384&gt;=10,4,IF(D3384&gt;=5,3,IF(D3384&gt;=2,2,1))))</f>
        <v/>
      </c>
      <c r="H3384" s="128">
        <f>IF(E3384&gt;=5000,5,IF(E3384&gt;=2000,4,IF(E3384&gt;=800,3,IF(E3384&gt;=300,2,1))))</f>
        <v/>
      </c>
      <c r="I3384" s="126">
        <f>TEXT(F3384,"0")&amp;TEXT(G3384,"0")&amp;TEXT(H3384,"0")</f>
        <v/>
      </c>
      <c r="J3384" s="126">
        <f>IFERROR(XLOOKUP(I3384,'Segment Map'!A:A,'Segment Map'!B:B,"Need Attention"),"Need Attention")</f>
        <v/>
      </c>
      <c r="K3384" s="126">
        <f>IF(E3384&gt;=5000,"🏆 Platinum",IF(E3384&gt;=2000,"🥇 Gold",IF(E3384&gt;=800,"🥈 Silver","🥉 Bronze")))</f>
        <v/>
      </c>
      <c r="L3384" s="129" t="n">
        <v>40886</v>
      </c>
    </row>
    <row r="3385">
      <c r="A3385" s="122" t="n">
        <v>16955</v>
      </c>
      <c r="B3385" s="122" t="inlineStr">
        <is>
          <t>United Kingdom</t>
        </is>
      </c>
      <c r="C3385" s="122" t="n">
        <v>185</v>
      </c>
      <c r="D3385" s="122" t="n">
        <v>4</v>
      </c>
      <c r="E3385" s="123" t="n">
        <v>518.67</v>
      </c>
      <c r="F3385" s="124">
        <f>IF(C3385&lt;=30,5,IF(C3385&lt;=60,4,IF(C3385&lt;=120,3,IF(C3385&lt;=200,2,1))))</f>
        <v/>
      </c>
      <c r="G3385" s="124">
        <f>IF(D3385&gt;=20,5,IF(D3385&gt;=10,4,IF(D3385&gt;=5,3,IF(D3385&gt;=2,2,1))))</f>
        <v/>
      </c>
      <c r="H3385" s="124">
        <f>IF(E3385&gt;=5000,5,IF(E3385&gt;=2000,4,IF(E3385&gt;=800,3,IF(E3385&gt;=300,2,1))))</f>
        <v/>
      </c>
      <c r="I3385" s="122">
        <f>TEXT(F3385,"0")&amp;TEXT(G3385,"0")&amp;TEXT(H3385,"0")</f>
        <v/>
      </c>
      <c r="J3385" s="122">
        <f>IFERROR(XLOOKUP(I3385,'Segment Map'!A:A,'Segment Map'!B:B,"Need Attention"),"Need Attention")</f>
        <v/>
      </c>
      <c r="K3385" s="122">
        <f>IF(E3385&gt;=5000,"🏆 Platinum",IF(E3385&gt;=2000,"🥇 Gold",IF(E3385&gt;=800,"🥈 Silver","🥉 Bronze")))</f>
        <v/>
      </c>
      <c r="L3385" s="125" t="n">
        <v>40702</v>
      </c>
    </row>
    <row r="3386">
      <c r="A3386" s="126" t="n">
        <v>16956</v>
      </c>
      <c r="B3386" s="126" t="inlineStr">
        <is>
          <t>United Kingdom</t>
        </is>
      </c>
      <c r="C3386" s="126" t="n">
        <v>18</v>
      </c>
      <c r="D3386" s="126" t="n">
        <v>1</v>
      </c>
      <c r="E3386" s="127" t="n">
        <v>308.74</v>
      </c>
      <c r="F3386" s="128">
        <f>IF(C3386&lt;=30,5,IF(C3386&lt;=60,4,IF(C3386&lt;=120,3,IF(C3386&lt;=200,2,1))))</f>
        <v/>
      </c>
      <c r="G3386" s="128">
        <f>IF(D3386&gt;=20,5,IF(D3386&gt;=10,4,IF(D3386&gt;=5,3,IF(D3386&gt;=2,2,1))))</f>
        <v/>
      </c>
      <c r="H3386" s="128">
        <f>IF(E3386&gt;=5000,5,IF(E3386&gt;=2000,4,IF(E3386&gt;=800,3,IF(E3386&gt;=300,2,1))))</f>
        <v/>
      </c>
      <c r="I3386" s="126">
        <f>TEXT(F3386,"0")&amp;TEXT(G3386,"0")&amp;TEXT(H3386,"0")</f>
        <v/>
      </c>
      <c r="J3386" s="126">
        <f>IFERROR(XLOOKUP(I3386,'Segment Map'!A:A,'Segment Map'!B:B,"Need Attention"),"Need Attention")</f>
        <v/>
      </c>
      <c r="K3386" s="126">
        <f>IF(E3386&gt;=5000,"🏆 Platinum",IF(E3386&gt;=2000,"🥇 Gold",IF(E3386&gt;=800,"🥈 Silver","🥉 Bronze")))</f>
        <v/>
      </c>
      <c r="L3386" s="129" t="n">
        <v>40869</v>
      </c>
    </row>
    <row r="3387">
      <c r="A3387" s="122" t="n">
        <v>16957</v>
      </c>
      <c r="B3387" s="122" t="inlineStr">
        <is>
          <t>United Kingdom</t>
        </is>
      </c>
      <c r="C3387" s="122" t="n">
        <v>240</v>
      </c>
      <c r="D3387" s="122" t="n">
        <v>2</v>
      </c>
      <c r="E3387" s="123" t="n">
        <v>416.64</v>
      </c>
      <c r="F3387" s="124">
        <f>IF(C3387&lt;=30,5,IF(C3387&lt;=60,4,IF(C3387&lt;=120,3,IF(C3387&lt;=200,2,1))))</f>
        <v/>
      </c>
      <c r="G3387" s="124">
        <f>IF(D3387&gt;=20,5,IF(D3387&gt;=10,4,IF(D3387&gt;=5,3,IF(D3387&gt;=2,2,1))))</f>
        <v/>
      </c>
      <c r="H3387" s="124">
        <f>IF(E3387&gt;=5000,5,IF(E3387&gt;=2000,4,IF(E3387&gt;=800,3,IF(E3387&gt;=300,2,1))))</f>
        <v/>
      </c>
      <c r="I3387" s="122">
        <f>TEXT(F3387,"0")&amp;TEXT(G3387,"0")&amp;TEXT(H3387,"0")</f>
        <v/>
      </c>
      <c r="J3387" s="122">
        <f>IFERROR(XLOOKUP(I3387,'Segment Map'!A:A,'Segment Map'!B:B,"Need Attention"),"Need Attention")</f>
        <v/>
      </c>
      <c r="K3387" s="122">
        <f>IF(E3387&gt;=5000,"🏆 Platinum",IF(E3387&gt;=2000,"🥇 Gold",IF(E3387&gt;=800,"🥈 Silver","🥉 Bronze")))</f>
        <v/>
      </c>
      <c r="L3387" s="125" t="n">
        <v>40647</v>
      </c>
    </row>
    <row r="3388">
      <c r="A3388" s="126" t="n">
        <v>16959</v>
      </c>
      <c r="B3388" s="126" t="inlineStr">
        <is>
          <t>United Kingdom</t>
        </is>
      </c>
      <c r="C3388" s="126" t="n">
        <v>88</v>
      </c>
      <c r="D3388" s="126" t="n">
        <v>1</v>
      </c>
      <c r="E3388" s="127" t="n">
        <v>117.35</v>
      </c>
      <c r="F3388" s="128">
        <f>IF(C3388&lt;=30,5,IF(C3388&lt;=60,4,IF(C3388&lt;=120,3,IF(C3388&lt;=200,2,1))))</f>
        <v/>
      </c>
      <c r="G3388" s="128">
        <f>IF(D3388&gt;=20,5,IF(D3388&gt;=10,4,IF(D3388&gt;=5,3,IF(D3388&gt;=2,2,1))))</f>
        <v/>
      </c>
      <c r="H3388" s="128">
        <f>IF(E3388&gt;=5000,5,IF(E3388&gt;=2000,4,IF(E3388&gt;=800,3,IF(E3388&gt;=300,2,1))))</f>
        <v/>
      </c>
      <c r="I3388" s="126">
        <f>TEXT(F3388,"0")&amp;TEXT(G3388,"0")&amp;TEXT(H3388,"0")</f>
        <v/>
      </c>
      <c r="J3388" s="126">
        <f>IFERROR(XLOOKUP(I3388,'Segment Map'!A:A,'Segment Map'!B:B,"Need Attention"),"Need Attention")</f>
        <v/>
      </c>
      <c r="K3388" s="126">
        <f>IF(E3388&gt;=5000,"🏆 Platinum",IF(E3388&gt;=2000,"🥇 Gold",IF(E3388&gt;=800,"🥈 Silver","🥉 Bronze")))</f>
        <v/>
      </c>
      <c r="L3388" s="129" t="n">
        <v>40799</v>
      </c>
    </row>
    <row r="3389">
      <c r="A3389" s="122" t="n">
        <v>16960</v>
      </c>
      <c r="B3389" s="122" t="inlineStr">
        <is>
          <t>United Kingdom</t>
        </is>
      </c>
      <c r="C3389" s="122" t="n">
        <v>39</v>
      </c>
      <c r="D3389" s="122" t="n">
        <v>3</v>
      </c>
      <c r="E3389" s="123" t="n">
        <v>507.05</v>
      </c>
      <c r="F3389" s="124">
        <f>IF(C3389&lt;=30,5,IF(C3389&lt;=60,4,IF(C3389&lt;=120,3,IF(C3389&lt;=200,2,1))))</f>
        <v/>
      </c>
      <c r="G3389" s="124">
        <f>IF(D3389&gt;=20,5,IF(D3389&gt;=10,4,IF(D3389&gt;=5,3,IF(D3389&gt;=2,2,1))))</f>
        <v/>
      </c>
      <c r="H3389" s="124">
        <f>IF(E3389&gt;=5000,5,IF(E3389&gt;=2000,4,IF(E3389&gt;=800,3,IF(E3389&gt;=300,2,1))))</f>
        <v/>
      </c>
      <c r="I3389" s="122">
        <f>TEXT(F3389,"0")&amp;TEXT(G3389,"0")&amp;TEXT(H3389,"0")</f>
        <v/>
      </c>
      <c r="J3389" s="122">
        <f>IFERROR(XLOOKUP(I3389,'Segment Map'!A:A,'Segment Map'!B:B,"Need Attention"),"Need Attention")</f>
        <v/>
      </c>
      <c r="K3389" s="122">
        <f>IF(E3389&gt;=5000,"🏆 Platinum",IF(E3389&gt;=2000,"🥇 Gold",IF(E3389&gt;=800,"🥈 Silver","🥉 Bronze")))</f>
        <v/>
      </c>
      <c r="L3389" s="125" t="n">
        <v>40848</v>
      </c>
    </row>
    <row r="3390">
      <c r="A3390" s="126" t="n">
        <v>16961</v>
      </c>
      <c r="B3390" s="126" t="inlineStr">
        <is>
          <t>United Kingdom</t>
        </is>
      </c>
      <c r="C3390" s="126" t="n">
        <v>117</v>
      </c>
      <c r="D3390" s="126" t="n">
        <v>1</v>
      </c>
      <c r="E3390" s="127" t="n">
        <v>234.17</v>
      </c>
      <c r="F3390" s="128">
        <f>IF(C3390&lt;=30,5,IF(C3390&lt;=60,4,IF(C3390&lt;=120,3,IF(C3390&lt;=200,2,1))))</f>
        <v/>
      </c>
      <c r="G3390" s="128">
        <f>IF(D3390&gt;=20,5,IF(D3390&gt;=10,4,IF(D3390&gt;=5,3,IF(D3390&gt;=2,2,1))))</f>
        <v/>
      </c>
      <c r="H3390" s="128">
        <f>IF(E3390&gt;=5000,5,IF(E3390&gt;=2000,4,IF(E3390&gt;=800,3,IF(E3390&gt;=300,2,1))))</f>
        <v/>
      </c>
      <c r="I3390" s="126">
        <f>TEXT(F3390,"0")&amp;TEXT(G3390,"0")&amp;TEXT(H3390,"0")</f>
        <v/>
      </c>
      <c r="J3390" s="126">
        <f>IFERROR(XLOOKUP(I3390,'Segment Map'!A:A,'Segment Map'!B:B,"Need Attention"),"Need Attention")</f>
        <v/>
      </c>
      <c r="K3390" s="126">
        <f>IF(E3390&gt;=5000,"🏆 Platinum",IF(E3390&gt;=2000,"🥇 Gold",IF(E3390&gt;=800,"🥈 Silver","🥉 Bronze")))</f>
        <v/>
      </c>
      <c r="L3390" s="129" t="n">
        <v>40770</v>
      </c>
    </row>
    <row r="3391">
      <c r="A3391" s="122" t="n">
        <v>16963</v>
      </c>
      <c r="B3391" s="122" t="inlineStr">
        <is>
          <t>United Kingdom</t>
        </is>
      </c>
      <c r="C3391" s="122" t="n">
        <v>188</v>
      </c>
      <c r="D3391" s="122" t="n">
        <v>1</v>
      </c>
      <c r="E3391" s="123" t="n">
        <v>110.55</v>
      </c>
      <c r="F3391" s="124">
        <f>IF(C3391&lt;=30,5,IF(C3391&lt;=60,4,IF(C3391&lt;=120,3,IF(C3391&lt;=200,2,1))))</f>
        <v/>
      </c>
      <c r="G3391" s="124">
        <f>IF(D3391&gt;=20,5,IF(D3391&gt;=10,4,IF(D3391&gt;=5,3,IF(D3391&gt;=2,2,1))))</f>
        <v/>
      </c>
      <c r="H3391" s="124">
        <f>IF(E3391&gt;=5000,5,IF(E3391&gt;=2000,4,IF(E3391&gt;=800,3,IF(E3391&gt;=300,2,1))))</f>
        <v/>
      </c>
      <c r="I3391" s="122">
        <f>TEXT(F3391,"0")&amp;TEXT(G3391,"0")&amp;TEXT(H3391,"0")</f>
        <v/>
      </c>
      <c r="J3391" s="122">
        <f>IFERROR(XLOOKUP(I3391,'Segment Map'!A:A,'Segment Map'!B:B,"Need Attention"),"Need Attention")</f>
        <v/>
      </c>
      <c r="K3391" s="122">
        <f>IF(E3391&gt;=5000,"🏆 Platinum",IF(E3391&gt;=2000,"🥇 Gold",IF(E3391&gt;=800,"🥈 Silver","🥉 Bronze")))</f>
        <v/>
      </c>
      <c r="L3391" s="125" t="n">
        <v>40699</v>
      </c>
    </row>
    <row r="3392">
      <c r="A3392" s="126" t="n">
        <v>16965</v>
      </c>
      <c r="B3392" s="126" t="inlineStr">
        <is>
          <t>United Kingdom</t>
        </is>
      </c>
      <c r="C3392" s="126" t="n">
        <v>227</v>
      </c>
      <c r="D3392" s="126" t="n">
        <v>1</v>
      </c>
      <c r="E3392" s="127" t="n">
        <v>201.19</v>
      </c>
      <c r="F3392" s="128">
        <f>IF(C3392&lt;=30,5,IF(C3392&lt;=60,4,IF(C3392&lt;=120,3,IF(C3392&lt;=200,2,1))))</f>
        <v/>
      </c>
      <c r="G3392" s="128">
        <f>IF(D3392&gt;=20,5,IF(D3392&gt;=10,4,IF(D3392&gt;=5,3,IF(D3392&gt;=2,2,1))))</f>
        <v/>
      </c>
      <c r="H3392" s="128">
        <f>IF(E3392&gt;=5000,5,IF(E3392&gt;=2000,4,IF(E3392&gt;=800,3,IF(E3392&gt;=300,2,1))))</f>
        <v/>
      </c>
      <c r="I3392" s="126">
        <f>TEXT(F3392,"0")&amp;TEXT(G3392,"0")&amp;TEXT(H3392,"0")</f>
        <v/>
      </c>
      <c r="J3392" s="126">
        <f>IFERROR(XLOOKUP(I3392,'Segment Map'!A:A,'Segment Map'!B:B,"Need Attention"),"Need Attention")</f>
        <v/>
      </c>
      <c r="K3392" s="126">
        <f>IF(E3392&gt;=5000,"🏆 Platinum",IF(E3392&gt;=2000,"🥇 Gold",IF(E3392&gt;=800,"🥈 Silver","🥉 Bronze")))</f>
        <v/>
      </c>
      <c r="L3392" s="129" t="n">
        <v>40660</v>
      </c>
    </row>
    <row r="3393">
      <c r="A3393" s="122" t="n">
        <v>16966</v>
      </c>
      <c r="B3393" s="122" t="inlineStr">
        <is>
          <t>United Kingdom</t>
        </is>
      </c>
      <c r="C3393" s="122" t="n">
        <v>9</v>
      </c>
      <c r="D3393" s="122" t="n">
        <v>7</v>
      </c>
      <c r="E3393" s="123" t="n">
        <v>2154.97</v>
      </c>
      <c r="F3393" s="124">
        <f>IF(C3393&lt;=30,5,IF(C3393&lt;=60,4,IF(C3393&lt;=120,3,IF(C3393&lt;=200,2,1))))</f>
        <v/>
      </c>
      <c r="G3393" s="124">
        <f>IF(D3393&gt;=20,5,IF(D3393&gt;=10,4,IF(D3393&gt;=5,3,IF(D3393&gt;=2,2,1))))</f>
        <v/>
      </c>
      <c r="H3393" s="124">
        <f>IF(E3393&gt;=5000,5,IF(E3393&gt;=2000,4,IF(E3393&gt;=800,3,IF(E3393&gt;=300,2,1))))</f>
        <v/>
      </c>
      <c r="I3393" s="122">
        <f>TEXT(F3393,"0")&amp;TEXT(G3393,"0")&amp;TEXT(H3393,"0")</f>
        <v/>
      </c>
      <c r="J3393" s="122">
        <f>IFERROR(XLOOKUP(I3393,'Segment Map'!A:A,'Segment Map'!B:B,"Need Attention"),"Need Attention")</f>
        <v/>
      </c>
      <c r="K3393" s="122">
        <f>IF(E3393&gt;=5000,"🏆 Platinum",IF(E3393&gt;=2000,"🥇 Gold",IF(E3393&gt;=800,"🥈 Silver","🥉 Bronze")))</f>
        <v/>
      </c>
      <c r="L3393" s="125" t="n">
        <v>40878</v>
      </c>
    </row>
    <row r="3394">
      <c r="A3394" s="126" t="n">
        <v>16967</v>
      </c>
      <c r="B3394" s="126" t="inlineStr">
        <is>
          <t>United Kingdom</t>
        </is>
      </c>
      <c r="C3394" s="126" t="n">
        <v>190</v>
      </c>
      <c r="D3394" s="126" t="n">
        <v>1</v>
      </c>
      <c r="E3394" s="127" t="n">
        <v>319.02</v>
      </c>
      <c r="F3394" s="128">
        <f>IF(C3394&lt;=30,5,IF(C3394&lt;=60,4,IF(C3394&lt;=120,3,IF(C3394&lt;=200,2,1))))</f>
        <v/>
      </c>
      <c r="G3394" s="128">
        <f>IF(D3394&gt;=20,5,IF(D3394&gt;=10,4,IF(D3394&gt;=5,3,IF(D3394&gt;=2,2,1))))</f>
        <v/>
      </c>
      <c r="H3394" s="128">
        <f>IF(E3394&gt;=5000,5,IF(E3394&gt;=2000,4,IF(E3394&gt;=800,3,IF(E3394&gt;=300,2,1))))</f>
        <v/>
      </c>
      <c r="I3394" s="126">
        <f>TEXT(F3394,"0")&amp;TEXT(G3394,"0")&amp;TEXT(H3394,"0")</f>
        <v/>
      </c>
      <c r="J3394" s="126">
        <f>IFERROR(XLOOKUP(I3394,'Segment Map'!A:A,'Segment Map'!B:B,"Need Attention"),"Need Attention")</f>
        <v/>
      </c>
      <c r="K3394" s="126">
        <f>IF(E3394&gt;=5000,"🏆 Platinum",IF(E3394&gt;=2000,"🥇 Gold",IF(E3394&gt;=800,"🥈 Silver","🥉 Bronze")))</f>
        <v/>
      </c>
      <c r="L3394" s="129" t="n">
        <v>40697</v>
      </c>
    </row>
    <row r="3395">
      <c r="A3395" s="122" t="n">
        <v>16968</v>
      </c>
      <c r="B3395" s="122" t="inlineStr">
        <is>
          <t>United Kingdom</t>
        </is>
      </c>
      <c r="C3395" s="122" t="n">
        <v>5</v>
      </c>
      <c r="D3395" s="122" t="n">
        <v>2</v>
      </c>
      <c r="E3395" s="123" t="n">
        <v>439.43</v>
      </c>
      <c r="F3395" s="124">
        <f>IF(C3395&lt;=30,5,IF(C3395&lt;=60,4,IF(C3395&lt;=120,3,IF(C3395&lt;=200,2,1))))</f>
        <v/>
      </c>
      <c r="G3395" s="124">
        <f>IF(D3395&gt;=20,5,IF(D3395&gt;=10,4,IF(D3395&gt;=5,3,IF(D3395&gt;=2,2,1))))</f>
        <v/>
      </c>
      <c r="H3395" s="124">
        <f>IF(E3395&gt;=5000,5,IF(E3395&gt;=2000,4,IF(E3395&gt;=800,3,IF(E3395&gt;=300,2,1))))</f>
        <v/>
      </c>
      <c r="I3395" s="122">
        <f>TEXT(F3395,"0")&amp;TEXT(G3395,"0")&amp;TEXT(H3395,"0")</f>
        <v/>
      </c>
      <c r="J3395" s="122">
        <f>IFERROR(XLOOKUP(I3395,'Segment Map'!A:A,'Segment Map'!B:B,"Need Attention"),"Need Attention")</f>
        <v/>
      </c>
      <c r="K3395" s="122">
        <f>IF(E3395&gt;=5000,"🏆 Platinum",IF(E3395&gt;=2000,"🥇 Gold",IF(E3395&gt;=800,"🥈 Silver","🥉 Bronze")))</f>
        <v/>
      </c>
      <c r="L3395" s="125" t="n">
        <v>40882</v>
      </c>
    </row>
    <row r="3396">
      <c r="A3396" s="126" t="n">
        <v>16969</v>
      </c>
      <c r="B3396" s="126" t="inlineStr">
        <is>
          <t>United Kingdom</t>
        </is>
      </c>
      <c r="C3396" s="126" t="n">
        <v>40</v>
      </c>
      <c r="D3396" s="126" t="n">
        <v>3</v>
      </c>
      <c r="E3396" s="127" t="n">
        <v>650.41</v>
      </c>
      <c r="F3396" s="128">
        <f>IF(C3396&lt;=30,5,IF(C3396&lt;=60,4,IF(C3396&lt;=120,3,IF(C3396&lt;=200,2,1))))</f>
        <v/>
      </c>
      <c r="G3396" s="128">
        <f>IF(D3396&gt;=20,5,IF(D3396&gt;=10,4,IF(D3396&gt;=5,3,IF(D3396&gt;=2,2,1))))</f>
        <v/>
      </c>
      <c r="H3396" s="128">
        <f>IF(E3396&gt;=5000,5,IF(E3396&gt;=2000,4,IF(E3396&gt;=800,3,IF(E3396&gt;=300,2,1))))</f>
        <v/>
      </c>
      <c r="I3396" s="126">
        <f>TEXT(F3396,"0")&amp;TEXT(G3396,"0")&amp;TEXT(H3396,"0")</f>
        <v/>
      </c>
      <c r="J3396" s="126">
        <f>IFERROR(XLOOKUP(I3396,'Segment Map'!A:A,'Segment Map'!B:B,"Need Attention"),"Need Attention")</f>
        <v/>
      </c>
      <c r="K3396" s="126">
        <f>IF(E3396&gt;=5000,"🏆 Platinum",IF(E3396&gt;=2000,"🥇 Gold",IF(E3396&gt;=800,"🥈 Silver","🥉 Bronze")))</f>
        <v/>
      </c>
      <c r="L3396" s="129" t="n">
        <v>40847</v>
      </c>
    </row>
    <row r="3397">
      <c r="A3397" s="122" t="n">
        <v>16971</v>
      </c>
      <c r="B3397" s="122" t="inlineStr">
        <is>
          <t>United Kingdom</t>
        </is>
      </c>
      <c r="C3397" s="122" t="n">
        <v>39</v>
      </c>
      <c r="D3397" s="122" t="n">
        <v>1</v>
      </c>
      <c r="E3397" s="123" t="n">
        <v>357.21</v>
      </c>
      <c r="F3397" s="124">
        <f>IF(C3397&lt;=30,5,IF(C3397&lt;=60,4,IF(C3397&lt;=120,3,IF(C3397&lt;=200,2,1))))</f>
        <v/>
      </c>
      <c r="G3397" s="124">
        <f>IF(D3397&gt;=20,5,IF(D3397&gt;=10,4,IF(D3397&gt;=5,3,IF(D3397&gt;=2,2,1))))</f>
        <v/>
      </c>
      <c r="H3397" s="124">
        <f>IF(E3397&gt;=5000,5,IF(E3397&gt;=2000,4,IF(E3397&gt;=800,3,IF(E3397&gt;=300,2,1))))</f>
        <v/>
      </c>
      <c r="I3397" s="122">
        <f>TEXT(F3397,"0")&amp;TEXT(G3397,"0")&amp;TEXT(H3397,"0")</f>
        <v/>
      </c>
      <c r="J3397" s="122">
        <f>IFERROR(XLOOKUP(I3397,'Segment Map'!A:A,'Segment Map'!B:B,"Need Attention"),"Need Attention")</f>
        <v/>
      </c>
      <c r="K3397" s="122">
        <f>IF(E3397&gt;=5000,"🏆 Platinum",IF(E3397&gt;=2000,"🥇 Gold",IF(E3397&gt;=800,"🥈 Silver","🥉 Bronze")))</f>
        <v/>
      </c>
      <c r="L3397" s="125" t="n">
        <v>40848</v>
      </c>
    </row>
    <row r="3398">
      <c r="A3398" s="126" t="n">
        <v>16976</v>
      </c>
      <c r="B3398" s="126" t="inlineStr">
        <is>
          <t>United Kingdom</t>
        </is>
      </c>
      <c r="C3398" s="126" t="n">
        <v>268</v>
      </c>
      <c r="D3398" s="126" t="n">
        <v>1</v>
      </c>
      <c r="E3398" s="127" t="n">
        <v>251.52</v>
      </c>
      <c r="F3398" s="128">
        <f>IF(C3398&lt;=30,5,IF(C3398&lt;=60,4,IF(C3398&lt;=120,3,IF(C3398&lt;=200,2,1))))</f>
        <v/>
      </c>
      <c r="G3398" s="128">
        <f>IF(D3398&gt;=20,5,IF(D3398&gt;=10,4,IF(D3398&gt;=5,3,IF(D3398&gt;=2,2,1))))</f>
        <v/>
      </c>
      <c r="H3398" s="128">
        <f>IF(E3398&gt;=5000,5,IF(E3398&gt;=2000,4,IF(E3398&gt;=800,3,IF(E3398&gt;=300,2,1))))</f>
        <v/>
      </c>
      <c r="I3398" s="126">
        <f>TEXT(F3398,"0")&amp;TEXT(G3398,"0")&amp;TEXT(H3398,"0")</f>
        <v/>
      </c>
      <c r="J3398" s="126">
        <f>IFERROR(XLOOKUP(I3398,'Segment Map'!A:A,'Segment Map'!B:B,"Need Attention"),"Need Attention")</f>
        <v/>
      </c>
      <c r="K3398" s="126">
        <f>IF(E3398&gt;=5000,"🏆 Platinum",IF(E3398&gt;=2000,"🥇 Gold",IF(E3398&gt;=800,"🥈 Silver","🥉 Bronze")))</f>
        <v/>
      </c>
      <c r="L3398" s="129" t="n">
        <v>40619</v>
      </c>
    </row>
    <row r="3399">
      <c r="A3399" s="122" t="n">
        <v>16978</v>
      </c>
      <c r="B3399" s="122" t="inlineStr">
        <is>
          <t>United Kingdom</t>
        </is>
      </c>
      <c r="C3399" s="122" t="n">
        <v>78</v>
      </c>
      <c r="D3399" s="122" t="n">
        <v>1</v>
      </c>
      <c r="E3399" s="123" t="n">
        <v>344.33</v>
      </c>
      <c r="F3399" s="124">
        <f>IF(C3399&lt;=30,5,IF(C3399&lt;=60,4,IF(C3399&lt;=120,3,IF(C3399&lt;=200,2,1))))</f>
        <v/>
      </c>
      <c r="G3399" s="124">
        <f>IF(D3399&gt;=20,5,IF(D3399&gt;=10,4,IF(D3399&gt;=5,3,IF(D3399&gt;=2,2,1))))</f>
        <v/>
      </c>
      <c r="H3399" s="124">
        <f>IF(E3399&gt;=5000,5,IF(E3399&gt;=2000,4,IF(E3399&gt;=800,3,IF(E3399&gt;=300,2,1))))</f>
        <v/>
      </c>
      <c r="I3399" s="122">
        <f>TEXT(F3399,"0")&amp;TEXT(G3399,"0")&amp;TEXT(H3399,"0")</f>
        <v/>
      </c>
      <c r="J3399" s="122">
        <f>IFERROR(XLOOKUP(I3399,'Segment Map'!A:A,'Segment Map'!B:B,"Need Attention"),"Need Attention")</f>
        <v/>
      </c>
      <c r="K3399" s="122">
        <f>IF(E3399&gt;=5000,"🏆 Platinum",IF(E3399&gt;=2000,"🥇 Gold",IF(E3399&gt;=800,"🥈 Silver","🥉 Bronze")))</f>
        <v/>
      </c>
      <c r="L3399" s="125" t="n">
        <v>40809</v>
      </c>
    </row>
    <row r="3400">
      <c r="A3400" s="126" t="n">
        <v>16979</v>
      </c>
      <c r="B3400" s="126" t="inlineStr">
        <is>
          <t>United Kingdom</t>
        </is>
      </c>
      <c r="C3400" s="126" t="n">
        <v>4</v>
      </c>
      <c r="D3400" s="126" t="n">
        <v>6</v>
      </c>
      <c r="E3400" s="127" t="n">
        <v>1852</v>
      </c>
      <c r="F3400" s="128">
        <f>IF(C3400&lt;=30,5,IF(C3400&lt;=60,4,IF(C3400&lt;=120,3,IF(C3400&lt;=200,2,1))))</f>
        <v/>
      </c>
      <c r="G3400" s="128">
        <f>IF(D3400&gt;=20,5,IF(D3400&gt;=10,4,IF(D3400&gt;=5,3,IF(D3400&gt;=2,2,1))))</f>
        <v/>
      </c>
      <c r="H3400" s="128">
        <f>IF(E3400&gt;=5000,5,IF(E3400&gt;=2000,4,IF(E3400&gt;=800,3,IF(E3400&gt;=300,2,1))))</f>
        <v/>
      </c>
      <c r="I3400" s="126">
        <f>TEXT(F3400,"0")&amp;TEXT(G3400,"0")&amp;TEXT(H3400,"0")</f>
        <v/>
      </c>
      <c r="J3400" s="126">
        <f>IFERROR(XLOOKUP(I3400,'Segment Map'!A:A,'Segment Map'!B:B,"Need Attention"),"Need Attention")</f>
        <v/>
      </c>
      <c r="K3400" s="126">
        <f>IF(E3400&gt;=5000,"🏆 Platinum",IF(E3400&gt;=2000,"🥇 Gold",IF(E3400&gt;=800,"🥈 Silver","🥉 Bronze")))</f>
        <v/>
      </c>
      <c r="L3400" s="129" t="n">
        <v>40883</v>
      </c>
    </row>
    <row r="3401">
      <c r="A3401" s="122" t="n">
        <v>16980</v>
      </c>
      <c r="B3401" s="122" t="inlineStr">
        <is>
          <t>United Kingdom</t>
        </is>
      </c>
      <c r="C3401" s="122" t="n">
        <v>256</v>
      </c>
      <c r="D3401" s="122" t="n">
        <v>2</v>
      </c>
      <c r="E3401" s="123" t="n">
        <v>1078.96</v>
      </c>
      <c r="F3401" s="124">
        <f>IF(C3401&lt;=30,5,IF(C3401&lt;=60,4,IF(C3401&lt;=120,3,IF(C3401&lt;=200,2,1))))</f>
        <v/>
      </c>
      <c r="G3401" s="124">
        <f>IF(D3401&gt;=20,5,IF(D3401&gt;=10,4,IF(D3401&gt;=5,3,IF(D3401&gt;=2,2,1))))</f>
        <v/>
      </c>
      <c r="H3401" s="124">
        <f>IF(E3401&gt;=5000,5,IF(E3401&gt;=2000,4,IF(E3401&gt;=800,3,IF(E3401&gt;=300,2,1))))</f>
        <v/>
      </c>
      <c r="I3401" s="122">
        <f>TEXT(F3401,"0")&amp;TEXT(G3401,"0")&amp;TEXT(H3401,"0")</f>
        <v/>
      </c>
      <c r="J3401" s="122">
        <f>IFERROR(XLOOKUP(I3401,'Segment Map'!A:A,'Segment Map'!B:B,"Need Attention"),"Need Attention")</f>
        <v/>
      </c>
      <c r="K3401" s="122">
        <f>IF(E3401&gt;=5000,"🏆 Platinum",IF(E3401&gt;=2000,"🥇 Gold",IF(E3401&gt;=800,"🥈 Silver","🥉 Bronze")))</f>
        <v/>
      </c>
      <c r="L3401" s="125" t="n">
        <v>40631</v>
      </c>
    </row>
    <row r="3402">
      <c r="A3402" s="126" t="n">
        <v>16982</v>
      </c>
      <c r="B3402" s="126" t="inlineStr">
        <is>
          <t>United Kingdom</t>
        </is>
      </c>
      <c r="C3402" s="126" t="n">
        <v>61</v>
      </c>
      <c r="D3402" s="126" t="n">
        <v>1</v>
      </c>
      <c r="E3402" s="127" t="n">
        <v>384.06</v>
      </c>
      <c r="F3402" s="128">
        <f>IF(C3402&lt;=30,5,IF(C3402&lt;=60,4,IF(C3402&lt;=120,3,IF(C3402&lt;=200,2,1))))</f>
        <v/>
      </c>
      <c r="G3402" s="128">
        <f>IF(D3402&gt;=20,5,IF(D3402&gt;=10,4,IF(D3402&gt;=5,3,IF(D3402&gt;=2,2,1))))</f>
        <v/>
      </c>
      <c r="H3402" s="128">
        <f>IF(E3402&gt;=5000,5,IF(E3402&gt;=2000,4,IF(E3402&gt;=800,3,IF(E3402&gt;=300,2,1))))</f>
        <v/>
      </c>
      <c r="I3402" s="126">
        <f>TEXT(F3402,"0")&amp;TEXT(G3402,"0")&amp;TEXT(H3402,"0")</f>
        <v/>
      </c>
      <c r="J3402" s="126">
        <f>IFERROR(XLOOKUP(I3402,'Segment Map'!A:A,'Segment Map'!B:B,"Need Attention"),"Need Attention")</f>
        <v/>
      </c>
      <c r="K3402" s="126">
        <f>IF(E3402&gt;=5000,"🏆 Platinum",IF(E3402&gt;=2000,"🥇 Gold",IF(E3402&gt;=800,"🥈 Silver","🥉 Bronze")))</f>
        <v/>
      </c>
      <c r="L3402" s="129" t="n">
        <v>40826</v>
      </c>
    </row>
    <row r="3403">
      <c r="A3403" s="122" t="n">
        <v>16983</v>
      </c>
      <c r="B3403" s="122" t="inlineStr">
        <is>
          <t>United Kingdom</t>
        </is>
      </c>
      <c r="C3403" s="122" t="n">
        <v>13</v>
      </c>
      <c r="D3403" s="122" t="n">
        <v>7</v>
      </c>
      <c r="E3403" s="123" t="n">
        <v>1931.25</v>
      </c>
      <c r="F3403" s="124">
        <f>IF(C3403&lt;=30,5,IF(C3403&lt;=60,4,IF(C3403&lt;=120,3,IF(C3403&lt;=200,2,1))))</f>
        <v/>
      </c>
      <c r="G3403" s="124">
        <f>IF(D3403&gt;=20,5,IF(D3403&gt;=10,4,IF(D3403&gt;=5,3,IF(D3403&gt;=2,2,1))))</f>
        <v/>
      </c>
      <c r="H3403" s="124">
        <f>IF(E3403&gt;=5000,5,IF(E3403&gt;=2000,4,IF(E3403&gt;=800,3,IF(E3403&gt;=300,2,1))))</f>
        <v/>
      </c>
      <c r="I3403" s="122">
        <f>TEXT(F3403,"0")&amp;TEXT(G3403,"0")&amp;TEXT(H3403,"0")</f>
        <v/>
      </c>
      <c r="J3403" s="122">
        <f>IFERROR(XLOOKUP(I3403,'Segment Map'!A:A,'Segment Map'!B:B,"Need Attention"),"Need Attention")</f>
        <v/>
      </c>
      <c r="K3403" s="122">
        <f>IF(E3403&gt;=5000,"🏆 Platinum",IF(E3403&gt;=2000,"🥇 Gold",IF(E3403&gt;=800,"🥈 Silver","🥉 Bronze")))</f>
        <v/>
      </c>
      <c r="L3403" s="125" t="n">
        <v>40874</v>
      </c>
    </row>
    <row r="3404">
      <c r="A3404" s="126" t="n">
        <v>16984</v>
      </c>
      <c r="B3404" s="126" t="inlineStr">
        <is>
          <t>United Kingdom</t>
        </is>
      </c>
      <c r="C3404" s="126" t="n">
        <v>89</v>
      </c>
      <c r="D3404" s="126" t="n">
        <v>2</v>
      </c>
      <c r="E3404" s="127" t="n">
        <v>4481.35</v>
      </c>
      <c r="F3404" s="128">
        <f>IF(C3404&lt;=30,5,IF(C3404&lt;=60,4,IF(C3404&lt;=120,3,IF(C3404&lt;=200,2,1))))</f>
        <v/>
      </c>
      <c r="G3404" s="128">
        <f>IF(D3404&gt;=20,5,IF(D3404&gt;=10,4,IF(D3404&gt;=5,3,IF(D3404&gt;=2,2,1))))</f>
        <v/>
      </c>
      <c r="H3404" s="128">
        <f>IF(E3404&gt;=5000,5,IF(E3404&gt;=2000,4,IF(E3404&gt;=800,3,IF(E3404&gt;=300,2,1))))</f>
        <v/>
      </c>
      <c r="I3404" s="126">
        <f>TEXT(F3404,"0")&amp;TEXT(G3404,"0")&amp;TEXT(H3404,"0")</f>
        <v/>
      </c>
      <c r="J3404" s="126">
        <f>IFERROR(XLOOKUP(I3404,'Segment Map'!A:A,'Segment Map'!B:B,"Need Attention"),"Need Attention")</f>
        <v/>
      </c>
      <c r="K3404" s="126">
        <f>IF(E3404&gt;=5000,"🏆 Platinum",IF(E3404&gt;=2000,"🥇 Gold",IF(E3404&gt;=800,"🥈 Silver","🥉 Bronze")))</f>
        <v/>
      </c>
      <c r="L3404" s="129" t="n">
        <v>40798</v>
      </c>
    </row>
    <row r="3405">
      <c r="A3405" s="122" t="n">
        <v>16985</v>
      </c>
      <c r="B3405" s="122" t="inlineStr">
        <is>
          <t>United Kingdom</t>
        </is>
      </c>
      <c r="C3405" s="122" t="n">
        <v>18</v>
      </c>
      <c r="D3405" s="122" t="n">
        <v>10</v>
      </c>
      <c r="E3405" s="123" t="n">
        <v>5464.12</v>
      </c>
      <c r="F3405" s="124">
        <f>IF(C3405&lt;=30,5,IF(C3405&lt;=60,4,IF(C3405&lt;=120,3,IF(C3405&lt;=200,2,1))))</f>
        <v/>
      </c>
      <c r="G3405" s="124">
        <f>IF(D3405&gt;=20,5,IF(D3405&gt;=10,4,IF(D3405&gt;=5,3,IF(D3405&gt;=2,2,1))))</f>
        <v/>
      </c>
      <c r="H3405" s="124">
        <f>IF(E3405&gt;=5000,5,IF(E3405&gt;=2000,4,IF(E3405&gt;=800,3,IF(E3405&gt;=300,2,1))))</f>
        <v/>
      </c>
      <c r="I3405" s="122">
        <f>TEXT(F3405,"0")&amp;TEXT(G3405,"0")&amp;TEXT(H3405,"0")</f>
        <v/>
      </c>
      <c r="J3405" s="122">
        <f>IFERROR(XLOOKUP(I3405,'Segment Map'!A:A,'Segment Map'!B:B,"Need Attention"),"Need Attention")</f>
        <v/>
      </c>
      <c r="K3405" s="122">
        <f>IF(E3405&gt;=5000,"🏆 Platinum",IF(E3405&gt;=2000,"🥇 Gold",IF(E3405&gt;=800,"🥈 Silver","🥉 Bronze")))</f>
        <v/>
      </c>
      <c r="L3405" s="125" t="n">
        <v>40869</v>
      </c>
    </row>
    <row r="3406">
      <c r="A3406" s="126" t="n">
        <v>16986</v>
      </c>
      <c r="B3406" s="126" t="inlineStr">
        <is>
          <t>United Kingdom</t>
        </is>
      </c>
      <c r="C3406" s="126" t="n">
        <v>30</v>
      </c>
      <c r="D3406" s="126" t="n">
        <v>2</v>
      </c>
      <c r="E3406" s="127" t="n">
        <v>1873.2</v>
      </c>
      <c r="F3406" s="128">
        <f>IF(C3406&lt;=30,5,IF(C3406&lt;=60,4,IF(C3406&lt;=120,3,IF(C3406&lt;=200,2,1))))</f>
        <v/>
      </c>
      <c r="G3406" s="128">
        <f>IF(D3406&gt;=20,5,IF(D3406&gt;=10,4,IF(D3406&gt;=5,3,IF(D3406&gt;=2,2,1))))</f>
        <v/>
      </c>
      <c r="H3406" s="128">
        <f>IF(E3406&gt;=5000,5,IF(E3406&gt;=2000,4,IF(E3406&gt;=800,3,IF(E3406&gt;=300,2,1))))</f>
        <v/>
      </c>
      <c r="I3406" s="126">
        <f>TEXT(F3406,"0")&amp;TEXT(G3406,"0")&amp;TEXT(H3406,"0")</f>
        <v/>
      </c>
      <c r="J3406" s="126">
        <f>IFERROR(XLOOKUP(I3406,'Segment Map'!A:A,'Segment Map'!B:B,"Need Attention"),"Need Attention")</f>
        <v/>
      </c>
      <c r="K3406" s="126">
        <f>IF(E3406&gt;=5000,"🏆 Platinum",IF(E3406&gt;=2000,"🥇 Gold",IF(E3406&gt;=800,"🥈 Silver","🥉 Bronze")))</f>
        <v/>
      </c>
      <c r="L3406" s="129" t="n">
        <v>40857</v>
      </c>
    </row>
    <row r="3407">
      <c r="A3407" s="122" t="n">
        <v>16987</v>
      </c>
      <c r="B3407" s="122" t="inlineStr">
        <is>
          <t>United Kingdom</t>
        </is>
      </c>
      <c r="C3407" s="122" t="n">
        <v>4</v>
      </c>
      <c r="D3407" s="122" t="n">
        <v>7</v>
      </c>
      <c r="E3407" s="123" t="n">
        <v>1625.05</v>
      </c>
      <c r="F3407" s="124">
        <f>IF(C3407&lt;=30,5,IF(C3407&lt;=60,4,IF(C3407&lt;=120,3,IF(C3407&lt;=200,2,1))))</f>
        <v/>
      </c>
      <c r="G3407" s="124">
        <f>IF(D3407&gt;=20,5,IF(D3407&gt;=10,4,IF(D3407&gt;=5,3,IF(D3407&gt;=2,2,1))))</f>
        <v/>
      </c>
      <c r="H3407" s="124">
        <f>IF(E3407&gt;=5000,5,IF(E3407&gt;=2000,4,IF(E3407&gt;=800,3,IF(E3407&gt;=300,2,1))))</f>
        <v/>
      </c>
      <c r="I3407" s="122">
        <f>TEXT(F3407,"0")&amp;TEXT(G3407,"0")&amp;TEXT(H3407,"0")</f>
        <v/>
      </c>
      <c r="J3407" s="122">
        <f>IFERROR(XLOOKUP(I3407,'Segment Map'!A:A,'Segment Map'!B:B,"Need Attention"),"Need Attention")</f>
        <v/>
      </c>
      <c r="K3407" s="122">
        <f>IF(E3407&gt;=5000,"🏆 Platinum",IF(E3407&gt;=2000,"🥇 Gold",IF(E3407&gt;=800,"🥈 Silver","🥉 Bronze")))</f>
        <v/>
      </c>
      <c r="L3407" s="125" t="n">
        <v>40883</v>
      </c>
    </row>
    <row r="3408">
      <c r="A3408" s="126" t="n">
        <v>16988</v>
      </c>
      <c r="B3408" s="126" t="inlineStr">
        <is>
          <t>United Kingdom</t>
        </is>
      </c>
      <c r="C3408" s="126" t="n">
        <v>6</v>
      </c>
      <c r="D3408" s="126" t="n">
        <v>1</v>
      </c>
      <c r="E3408" s="127" t="n">
        <v>126.12</v>
      </c>
      <c r="F3408" s="128">
        <f>IF(C3408&lt;=30,5,IF(C3408&lt;=60,4,IF(C3408&lt;=120,3,IF(C3408&lt;=200,2,1))))</f>
        <v/>
      </c>
      <c r="G3408" s="128">
        <f>IF(D3408&gt;=20,5,IF(D3408&gt;=10,4,IF(D3408&gt;=5,3,IF(D3408&gt;=2,2,1))))</f>
        <v/>
      </c>
      <c r="H3408" s="128">
        <f>IF(E3408&gt;=5000,5,IF(E3408&gt;=2000,4,IF(E3408&gt;=800,3,IF(E3408&gt;=300,2,1))))</f>
        <v/>
      </c>
      <c r="I3408" s="126">
        <f>TEXT(F3408,"0")&amp;TEXT(G3408,"0")&amp;TEXT(H3408,"0")</f>
        <v/>
      </c>
      <c r="J3408" s="126">
        <f>IFERROR(XLOOKUP(I3408,'Segment Map'!A:A,'Segment Map'!B:B,"Need Attention"),"Need Attention")</f>
        <v/>
      </c>
      <c r="K3408" s="126">
        <f>IF(E3408&gt;=5000,"🏆 Platinum",IF(E3408&gt;=2000,"🥇 Gold",IF(E3408&gt;=800,"🥈 Silver","🥉 Bronze")))</f>
        <v/>
      </c>
      <c r="L3408" s="129" t="n">
        <v>40881</v>
      </c>
    </row>
    <row r="3409">
      <c r="A3409" s="122" t="n">
        <v>16989</v>
      </c>
      <c r="B3409" s="122" t="inlineStr">
        <is>
          <t>United Kingdom</t>
        </is>
      </c>
      <c r="C3409" s="122" t="n">
        <v>8</v>
      </c>
      <c r="D3409" s="122" t="n">
        <v>6</v>
      </c>
      <c r="E3409" s="123" t="n">
        <v>1133.25</v>
      </c>
      <c r="F3409" s="124">
        <f>IF(C3409&lt;=30,5,IF(C3409&lt;=60,4,IF(C3409&lt;=120,3,IF(C3409&lt;=200,2,1))))</f>
        <v/>
      </c>
      <c r="G3409" s="124">
        <f>IF(D3409&gt;=20,5,IF(D3409&gt;=10,4,IF(D3409&gt;=5,3,IF(D3409&gt;=2,2,1))))</f>
        <v/>
      </c>
      <c r="H3409" s="124">
        <f>IF(E3409&gt;=5000,5,IF(E3409&gt;=2000,4,IF(E3409&gt;=800,3,IF(E3409&gt;=300,2,1))))</f>
        <v/>
      </c>
      <c r="I3409" s="122">
        <f>TEXT(F3409,"0")&amp;TEXT(G3409,"0")&amp;TEXT(H3409,"0")</f>
        <v/>
      </c>
      <c r="J3409" s="122">
        <f>IFERROR(XLOOKUP(I3409,'Segment Map'!A:A,'Segment Map'!B:B,"Need Attention"),"Need Attention")</f>
        <v/>
      </c>
      <c r="K3409" s="122">
        <f>IF(E3409&gt;=5000,"🏆 Platinum",IF(E3409&gt;=2000,"🥇 Gold",IF(E3409&gt;=800,"🥈 Silver","🥉 Bronze")))</f>
        <v/>
      </c>
      <c r="L3409" s="125" t="n">
        <v>40879</v>
      </c>
    </row>
    <row r="3410">
      <c r="A3410" s="126" t="n">
        <v>16990</v>
      </c>
      <c r="B3410" s="126" t="inlineStr">
        <is>
          <t>United Kingdom</t>
        </is>
      </c>
      <c r="C3410" s="126" t="n">
        <v>219</v>
      </c>
      <c r="D3410" s="126" t="n">
        <v>1</v>
      </c>
      <c r="E3410" s="127" t="n">
        <v>179</v>
      </c>
      <c r="F3410" s="128">
        <f>IF(C3410&lt;=30,5,IF(C3410&lt;=60,4,IF(C3410&lt;=120,3,IF(C3410&lt;=200,2,1))))</f>
        <v/>
      </c>
      <c r="G3410" s="128">
        <f>IF(D3410&gt;=20,5,IF(D3410&gt;=10,4,IF(D3410&gt;=5,3,IF(D3410&gt;=2,2,1))))</f>
        <v/>
      </c>
      <c r="H3410" s="128">
        <f>IF(E3410&gt;=5000,5,IF(E3410&gt;=2000,4,IF(E3410&gt;=800,3,IF(E3410&gt;=300,2,1))))</f>
        <v/>
      </c>
      <c r="I3410" s="126">
        <f>TEXT(F3410,"0")&amp;TEXT(G3410,"0")&amp;TEXT(H3410,"0")</f>
        <v/>
      </c>
      <c r="J3410" s="126">
        <f>IFERROR(XLOOKUP(I3410,'Segment Map'!A:A,'Segment Map'!B:B,"Need Attention"),"Need Attention")</f>
        <v/>
      </c>
      <c r="K3410" s="126">
        <f>IF(E3410&gt;=5000,"🏆 Platinum",IF(E3410&gt;=2000,"🥇 Gold",IF(E3410&gt;=800,"🥈 Silver","🥉 Bronze")))</f>
        <v/>
      </c>
      <c r="L3410" s="129" t="n">
        <v>40668</v>
      </c>
    </row>
    <row r="3411">
      <c r="A3411" s="122" t="n">
        <v>16992</v>
      </c>
      <c r="B3411" s="122" t="inlineStr">
        <is>
          <t>United Kingdom</t>
        </is>
      </c>
      <c r="C3411" s="122" t="n">
        <v>11</v>
      </c>
      <c r="D3411" s="122" t="n">
        <v>5</v>
      </c>
      <c r="E3411" s="123" t="n">
        <v>1614.31</v>
      </c>
      <c r="F3411" s="124">
        <f>IF(C3411&lt;=30,5,IF(C3411&lt;=60,4,IF(C3411&lt;=120,3,IF(C3411&lt;=200,2,1))))</f>
        <v/>
      </c>
      <c r="G3411" s="124">
        <f>IF(D3411&gt;=20,5,IF(D3411&gt;=10,4,IF(D3411&gt;=5,3,IF(D3411&gt;=2,2,1))))</f>
        <v/>
      </c>
      <c r="H3411" s="124">
        <f>IF(E3411&gt;=5000,5,IF(E3411&gt;=2000,4,IF(E3411&gt;=800,3,IF(E3411&gt;=300,2,1))))</f>
        <v/>
      </c>
      <c r="I3411" s="122">
        <f>TEXT(F3411,"0")&amp;TEXT(G3411,"0")&amp;TEXT(H3411,"0")</f>
        <v/>
      </c>
      <c r="J3411" s="122">
        <f>IFERROR(XLOOKUP(I3411,'Segment Map'!A:A,'Segment Map'!B:B,"Need Attention"),"Need Attention")</f>
        <v/>
      </c>
      <c r="K3411" s="122">
        <f>IF(E3411&gt;=5000,"🏆 Platinum",IF(E3411&gt;=2000,"🥇 Gold",IF(E3411&gt;=800,"🥈 Silver","🥉 Bronze")))</f>
        <v/>
      </c>
      <c r="L3411" s="125" t="n">
        <v>40876</v>
      </c>
    </row>
    <row r="3412">
      <c r="A3412" s="126" t="n">
        <v>16996</v>
      </c>
      <c r="B3412" s="126" t="inlineStr">
        <is>
          <t>United Kingdom</t>
        </is>
      </c>
      <c r="C3412" s="126" t="n">
        <v>31</v>
      </c>
      <c r="D3412" s="126" t="n">
        <v>6</v>
      </c>
      <c r="E3412" s="127" t="n">
        <v>1456.96</v>
      </c>
      <c r="F3412" s="128">
        <f>IF(C3412&lt;=30,5,IF(C3412&lt;=60,4,IF(C3412&lt;=120,3,IF(C3412&lt;=200,2,1))))</f>
        <v/>
      </c>
      <c r="G3412" s="128">
        <f>IF(D3412&gt;=20,5,IF(D3412&gt;=10,4,IF(D3412&gt;=5,3,IF(D3412&gt;=2,2,1))))</f>
        <v/>
      </c>
      <c r="H3412" s="128">
        <f>IF(E3412&gt;=5000,5,IF(E3412&gt;=2000,4,IF(E3412&gt;=800,3,IF(E3412&gt;=300,2,1))))</f>
        <v/>
      </c>
      <c r="I3412" s="126">
        <f>TEXT(F3412,"0")&amp;TEXT(G3412,"0")&amp;TEXT(H3412,"0")</f>
        <v/>
      </c>
      <c r="J3412" s="126">
        <f>IFERROR(XLOOKUP(I3412,'Segment Map'!A:A,'Segment Map'!B:B,"Need Attention"),"Need Attention")</f>
        <v/>
      </c>
      <c r="K3412" s="126">
        <f>IF(E3412&gt;=5000,"🏆 Platinum",IF(E3412&gt;=2000,"🥇 Gold",IF(E3412&gt;=800,"🥈 Silver","🥉 Bronze")))</f>
        <v/>
      </c>
      <c r="L3412" s="129" t="n">
        <v>40856</v>
      </c>
    </row>
    <row r="3413">
      <c r="A3413" s="122" t="n">
        <v>16997</v>
      </c>
      <c r="B3413" s="122" t="inlineStr">
        <is>
          <t>United Kingdom</t>
        </is>
      </c>
      <c r="C3413" s="122" t="n">
        <v>289</v>
      </c>
      <c r="D3413" s="122" t="n">
        <v>3</v>
      </c>
      <c r="E3413" s="123" t="n">
        <v>702</v>
      </c>
      <c r="F3413" s="124">
        <f>IF(C3413&lt;=30,5,IF(C3413&lt;=60,4,IF(C3413&lt;=120,3,IF(C3413&lt;=200,2,1))))</f>
        <v/>
      </c>
      <c r="G3413" s="124">
        <f>IF(D3413&gt;=20,5,IF(D3413&gt;=10,4,IF(D3413&gt;=5,3,IF(D3413&gt;=2,2,1))))</f>
        <v/>
      </c>
      <c r="H3413" s="124">
        <f>IF(E3413&gt;=5000,5,IF(E3413&gt;=2000,4,IF(E3413&gt;=800,3,IF(E3413&gt;=300,2,1))))</f>
        <v/>
      </c>
      <c r="I3413" s="122">
        <f>TEXT(F3413,"0")&amp;TEXT(G3413,"0")&amp;TEXT(H3413,"0")</f>
        <v/>
      </c>
      <c r="J3413" s="122">
        <f>IFERROR(XLOOKUP(I3413,'Segment Map'!A:A,'Segment Map'!B:B,"Need Attention"),"Need Attention")</f>
        <v/>
      </c>
      <c r="K3413" s="122">
        <f>IF(E3413&gt;=5000,"🏆 Platinum",IF(E3413&gt;=2000,"🥇 Gold",IF(E3413&gt;=800,"🥈 Silver","🥉 Bronze")))</f>
        <v/>
      </c>
      <c r="L3413" s="125" t="n">
        <v>40598</v>
      </c>
    </row>
    <row r="3414">
      <c r="A3414" s="126" t="n">
        <v>16998</v>
      </c>
      <c r="B3414" s="126" t="inlineStr">
        <is>
          <t>United Kingdom</t>
        </is>
      </c>
      <c r="C3414" s="126" t="n">
        <v>150</v>
      </c>
      <c r="D3414" s="126" t="n">
        <v>4</v>
      </c>
      <c r="E3414" s="127" t="n">
        <v>295</v>
      </c>
      <c r="F3414" s="128">
        <f>IF(C3414&lt;=30,5,IF(C3414&lt;=60,4,IF(C3414&lt;=120,3,IF(C3414&lt;=200,2,1))))</f>
        <v/>
      </c>
      <c r="G3414" s="128">
        <f>IF(D3414&gt;=20,5,IF(D3414&gt;=10,4,IF(D3414&gt;=5,3,IF(D3414&gt;=2,2,1))))</f>
        <v/>
      </c>
      <c r="H3414" s="128">
        <f>IF(E3414&gt;=5000,5,IF(E3414&gt;=2000,4,IF(E3414&gt;=800,3,IF(E3414&gt;=300,2,1))))</f>
        <v/>
      </c>
      <c r="I3414" s="126">
        <f>TEXT(F3414,"0")&amp;TEXT(G3414,"0")&amp;TEXT(H3414,"0")</f>
        <v/>
      </c>
      <c r="J3414" s="126">
        <f>IFERROR(XLOOKUP(I3414,'Segment Map'!A:A,'Segment Map'!B:B,"Need Attention"),"Need Attention")</f>
        <v/>
      </c>
      <c r="K3414" s="126">
        <f>IF(E3414&gt;=5000,"🏆 Platinum",IF(E3414&gt;=2000,"🥇 Gold",IF(E3414&gt;=800,"🥈 Silver","🥉 Bronze")))</f>
        <v/>
      </c>
      <c r="L3414" s="129" t="n">
        <v>40737</v>
      </c>
    </row>
    <row r="3415">
      <c r="A3415" s="122" t="n">
        <v>16999</v>
      </c>
      <c r="B3415" s="122" t="inlineStr">
        <is>
          <t>United Kingdom</t>
        </is>
      </c>
      <c r="C3415" s="122" t="n">
        <v>24</v>
      </c>
      <c r="D3415" s="122" t="n">
        <v>2</v>
      </c>
      <c r="E3415" s="123" t="n">
        <v>484.82</v>
      </c>
      <c r="F3415" s="124">
        <f>IF(C3415&lt;=30,5,IF(C3415&lt;=60,4,IF(C3415&lt;=120,3,IF(C3415&lt;=200,2,1))))</f>
        <v/>
      </c>
      <c r="G3415" s="124">
        <f>IF(D3415&gt;=20,5,IF(D3415&gt;=10,4,IF(D3415&gt;=5,3,IF(D3415&gt;=2,2,1))))</f>
        <v/>
      </c>
      <c r="H3415" s="124">
        <f>IF(E3415&gt;=5000,5,IF(E3415&gt;=2000,4,IF(E3415&gt;=800,3,IF(E3415&gt;=300,2,1))))</f>
        <v/>
      </c>
      <c r="I3415" s="122">
        <f>TEXT(F3415,"0")&amp;TEXT(G3415,"0")&amp;TEXT(H3415,"0")</f>
        <v/>
      </c>
      <c r="J3415" s="122">
        <f>IFERROR(XLOOKUP(I3415,'Segment Map'!A:A,'Segment Map'!B:B,"Need Attention"),"Need Attention")</f>
        <v/>
      </c>
      <c r="K3415" s="122">
        <f>IF(E3415&gt;=5000,"🏆 Platinum",IF(E3415&gt;=2000,"🥇 Gold",IF(E3415&gt;=800,"🥈 Silver","🥉 Bronze")))</f>
        <v/>
      </c>
      <c r="L3415" s="125" t="n">
        <v>40863</v>
      </c>
    </row>
    <row r="3416">
      <c r="A3416" s="126" t="n">
        <v>17001</v>
      </c>
      <c r="B3416" s="126" t="inlineStr">
        <is>
          <t>United Kingdom</t>
        </is>
      </c>
      <c r="C3416" s="126" t="n">
        <v>1</v>
      </c>
      <c r="D3416" s="126" t="n">
        <v>11</v>
      </c>
      <c r="E3416" s="127" t="n">
        <v>3989.57</v>
      </c>
      <c r="F3416" s="128">
        <f>IF(C3416&lt;=30,5,IF(C3416&lt;=60,4,IF(C3416&lt;=120,3,IF(C3416&lt;=200,2,1))))</f>
        <v/>
      </c>
      <c r="G3416" s="128">
        <f>IF(D3416&gt;=20,5,IF(D3416&gt;=10,4,IF(D3416&gt;=5,3,IF(D3416&gt;=2,2,1))))</f>
        <v/>
      </c>
      <c r="H3416" s="128">
        <f>IF(E3416&gt;=5000,5,IF(E3416&gt;=2000,4,IF(E3416&gt;=800,3,IF(E3416&gt;=300,2,1))))</f>
        <v/>
      </c>
      <c r="I3416" s="126">
        <f>TEXT(F3416,"0")&amp;TEXT(G3416,"0")&amp;TEXT(H3416,"0")</f>
        <v/>
      </c>
      <c r="J3416" s="126">
        <f>IFERROR(XLOOKUP(I3416,'Segment Map'!A:A,'Segment Map'!B:B,"Need Attention"),"Need Attention")</f>
        <v/>
      </c>
      <c r="K3416" s="126">
        <f>IF(E3416&gt;=5000,"🏆 Platinum",IF(E3416&gt;=2000,"🥇 Gold",IF(E3416&gt;=800,"🥈 Silver","🥉 Bronze")))</f>
        <v/>
      </c>
      <c r="L3416" s="129" t="n">
        <v>40886</v>
      </c>
    </row>
    <row r="3417">
      <c r="A3417" s="122" t="n">
        <v>17002</v>
      </c>
      <c r="B3417" s="122" t="inlineStr">
        <is>
          <t>United Kingdom</t>
        </is>
      </c>
      <c r="C3417" s="122" t="n">
        <v>86</v>
      </c>
      <c r="D3417" s="122" t="n">
        <v>3</v>
      </c>
      <c r="E3417" s="123" t="n">
        <v>1493.73</v>
      </c>
      <c r="F3417" s="124">
        <f>IF(C3417&lt;=30,5,IF(C3417&lt;=60,4,IF(C3417&lt;=120,3,IF(C3417&lt;=200,2,1))))</f>
        <v/>
      </c>
      <c r="G3417" s="124">
        <f>IF(D3417&gt;=20,5,IF(D3417&gt;=10,4,IF(D3417&gt;=5,3,IF(D3417&gt;=2,2,1))))</f>
        <v/>
      </c>
      <c r="H3417" s="124">
        <f>IF(E3417&gt;=5000,5,IF(E3417&gt;=2000,4,IF(E3417&gt;=800,3,IF(E3417&gt;=300,2,1))))</f>
        <v/>
      </c>
      <c r="I3417" s="122">
        <f>TEXT(F3417,"0")&amp;TEXT(G3417,"0")&amp;TEXT(H3417,"0")</f>
        <v/>
      </c>
      <c r="J3417" s="122">
        <f>IFERROR(XLOOKUP(I3417,'Segment Map'!A:A,'Segment Map'!B:B,"Need Attention"),"Need Attention")</f>
        <v/>
      </c>
      <c r="K3417" s="122">
        <f>IF(E3417&gt;=5000,"🏆 Platinum",IF(E3417&gt;=2000,"🥇 Gold",IF(E3417&gt;=800,"🥈 Silver","🥉 Bronze")))</f>
        <v/>
      </c>
      <c r="L3417" s="125" t="n">
        <v>40801</v>
      </c>
    </row>
    <row r="3418">
      <c r="A3418" s="126" t="n">
        <v>17004</v>
      </c>
      <c r="B3418" s="126" t="inlineStr">
        <is>
          <t>United Kingdom</t>
        </is>
      </c>
      <c r="C3418" s="126" t="n">
        <v>47</v>
      </c>
      <c r="D3418" s="126" t="n">
        <v>2</v>
      </c>
      <c r="E3418" s="127" t="n">
        <v>1412.94</v>
      </c>
      <c r="F3418" s="128">
        <f>IF(C3418&lt;=30,5,IF(C3418&lt;=60,4,IF(C3418&lt;=120,3,IF(C3418&lt;=200,2,1))))</f>
        <v/>
      </c>
      <c r="G3418" s="128">
        <f>IF(D3418&gt;=20,5,IF(D3418&gt;=10,4,IF(D3418&gt;=5,3,IF(D3418&gt;=2,2,1))))</f>
        <v/>
      </c>
      <c r="H3418" s="128">
        <f>IF(E3418&gt;=5000,5,IF(E3418&gt;=2000,4,IF(E3418&gt;=800,3,IF(E3418&gt;=300,2,1))))</f>
        <v/>
      </c>
      <c r="I3418" s="126">
        <f>TEXT(F3418,"0")&amp;TEXT(G3418,"0")&amp;TEXT(H3418,"0")</f>
        <v/>
      </c>
      <c r="J3418" s="126">
        <f>IFERROR(XLOOKUP(I3418,'Segment Map'!A:A,'Segment Map'!B:B,"Need Attention"),"Need Attention")</f>
        <v/>
      </c>
      <c r="K3418" s="126">
        <f>IF(E3418&gt;=5000,"🏆 Platinum",IF(E3418&gt;=2000,"🥇 Gold",IF(E3418&gt;=800,"🥈 Silver","🥉 Bronze")))</f>
        <v/>
      </c>
      <c r="L3418" s="129" t="n">
        <v>40840</v>
      </c>
    </row>
    <row r="3419">
      <c r="A3419" s="122" t="n">
        <v>17006</v>
      </c>
      <c r="B3419" s="122" t="inlineStr">
        <is>
          <t>United Kingdom</t>
        </is>
      </c>
      <c r="C3419" s="122" t="n">
        <v>5</v>
      </c>
      <c r="D3419" s="122" t="n">
        <v>4</v>
      </c>
      <c r="E3419" s="123" t="n">
        <v>781.78</v>
      </c>
      <c r="F3419" s="124">
        <f>IF(C3419&lt;=30,5,IF(C3419&lt;=60,4,IF(C3419&lt;=120,3,IF(C3419&lt;=200,2,1))))</f>
        <v/>
      </c>
      <c r="G3419" s="124">
        <f>IF(D3419&gt;=20,5,IF(D3419&gt;=10,4,IF(D3419&gt;=5,3,IF(D3419&gt;=2,2,1))))</f>
        <v/>
      </c>
      <c r="H3419" s="124">
        <f>IF(E3419&gt;=5000,5,IF(E3419&gt;=2000,4,IF(E3419&gt;=800,3,IF(E3419&gt;=300,2,1))))</f>
        <v/>
      </c>
      <c r="I3419" s="122">
        <f>TEXT(F3419,"0")&amp;TEXT(G3419,"0")&amp;TEXT(H3419,"0")</f>
        <v/>
      </c>
      <c r="J3419" s="122">
        <f>IFERROR(XLOOKUP(I3419,'Segment Map'!A:A,'Segment Map'!B:B,"Need Attention"),"Need Attention")</f>
        <v/>
      </c>
      <c r="K3419" s="122">
        <f>IF(E3419&gt;=5000,"🏆 Platinum",IF(E3419&gt;=2000,"🥇 Gold",IF(E3419&gt;=800,"🥈 Silver","🥉 Bronze")))</f>
        <v/>
      </c>
      <c r="L3419" s="125" t="n">
        <v>40882</v>
      </c>
    </row>
    <row r="3420">
      <c r="A3420" s="126" t="n">
        <v>17007</v>
      </c>
      <c r="B3420" s="126" t="inlineStr">
        <is>
          <t>United Kingdom</t>
        </is>
      </c>
      <c r="C3420" s="126" t="n">
        <v>51</v>
      </c>
      <c r="D3420" s="126" t="n">
        <v>6</v>
      </c>
      <c r="E3420" s="127" t="n">
        <v>889.9299999999999</v>
      </c>
      <c r="F3420" s="128">
        <f>IF(C3420&lt;=30,5,IF(C3420&lt;=60,4,IF(C3420&lt;=120,3,IF(C3420&lt;=200,2,1))))</f>
        <v/>
      </c>
      <c r="G3420" s="128">
        <f>IF(D3420&gt;=20,5,IF(D3420&gt;=10,4,IF(D3420&gt;=5,3,IF(D3420&gt;=2,2,1))))</f>
        <v/>
      </c>
      <c r="H3420" s="128">
        <f>IF(E3420&gt;=5000,5,IF(E3420&gt;=2000,4,IF(E3420&gt;=800,3,IF(E3420&gt;=300,2,1))))</f>
        <v/>
      </c>
      <c r="I3420" s="126">
        <f>TEXT(F3420,"0")&amp;TEXT(G3420,"0")&amp;TEXT(H3420,"0")</f>
        <v/>
      </c>
      <c r="J3420" s="126">
        <f>IFERROR(XLOOKUP(I3420,'Segment Map'!A:A,'Segment Map'!B:B,"Need Attention"),"Need Attention")</f>
        <v/>
      </c>
      <c r="K3420" s="126">
        <f>IF(E3420&gt;=5000,"🏆 Platinum",IF(E3420&gt;=2000,"🥇 Gold",IF(E3420&gt;=800,"🥈 Silver","🥉 Bronze")))</f>
        <v/>
      </c>
      <c r="L3420" s="129" t="n">
        <v>40836</v>
      </c>
    </row>
    <row r="3421">
      <c r="A3421" s="122" t="n">
        <v>17010</v>
      </c>
      <c r="B3421" s="122" t="inlineStr">
        <is>
          <t>United Kingdom</t>
        </is>
      </c>
      <c r="C3421" s="122" t="n">
        <v>19</v>
      </c>
      <c r="D3421" s="122" t="n">
        <v>1</v>
      </c>
      <c r="E3421" s="123" t="n">
        <v>195.36</v>
      </c>
      <c r="F3421" s="124">
        <f>IF(C3421&lt;=30,5,IF(C3421&lt;=60,4,IF(C3421&lt;=120,3,IF(C3421&lt;=200,2,1))))</f>
        <v/>
      </c>
      <c r="G3421" s="124">
        <f>IF(D3421&gt;=20,5,IF(D3421&gt;=10,4,IF(D3421&gt;=5,3,IF(D3421&gt;=2,2,1))))</f>
        <v/>
      </c>
      <c r="H3421" s="124">
        <f>IF(E3421&gt;=5000,5,IF(E3421&gt;=2000,4,IF(E3421&gt;=800,3,IF(E3421&gt;=300,2,1))))</f>
        <v/>
      </c>
      <c r="I3421" s="122">
        <f>TEXT(F3421,"0")&amp;TEXT(G3421,"0")&amp;TEXT(H3421,"0")</f>
        <v/>
      </c>
      <c r="J3421" s="122">
        <f>IFERROR(XLOOKUP(I3421,'Segment Map'!A:A,'Segment Map'!B:B,"Need Attention"),"Need Attention")</f>
        <v/>
      </c>
      <c r="K3421" s="122">
        <f>IF(E3421&gt;=5000,"🏆 Platinum",IF(E3421&gt;=2000,"🥇 Gold",IF(E3421&gt;=800,"🥈 Silver","🥉 Bronze")))</f>
        <v/>
      </c>
      <c r="L3421" s="125" t="n">
        <v>40868</v>
      </c>
    </row>
    <row r="3422">
      <c r="A3422" s="126" t="n">
        <v>17011</v>
      </c>
      <c r="B3422" s="126" t="inlineStr">
        <is>
          <t>United Kingdom</t>
        </is>
      </c>
      <c r="C3422" s="126" t="n">
        <v>31</v>
      </c>
      <c r="D3422" s="126" t="n">
        <v>1</v>
      </c>
      <c r="E3422" s="127" t="n">
        <v>270.9</v>
      </c>
      <c r="F3422" s="128">
        <f>IF(C3422&lt;=30,5,IF(C3422&lt;=60,4,IF(C3422&lt;=120,3,IF(C3422&lt;=200,2,1))))</f>
        <v/>
      </c>
      <c r="G3422" s="128">
        <f>IF(D3422&gt;=20,5,IF(D3422&gt;=10,4,IF(D3422&gt;=5,3,IF(D3422&gt;=2,2,1))))</f>
        <v/>
      </c>
      <c r="H3422" s="128">
        <f>IF(E3422&gt;=5000,5,IF(E3422&gt;=2000,4,IF(E3422&gt;=800,3,IF(E3422&gt;=300,2,1))))</f>
        <v/>
      </c>
      <c r="I3422" s="126">
        <f>TEXT(F3422,"0")&amp;TEXT(G3422,"0")&amp;TEXT(H3422,"0")</f>
        <v/>
      </c>
      <c r="J3422" s="126">
        <f>IFERROR(XLOOKUP(I3422,'Segment Map'!A:A,'Segment Map'!B:B,"Need Attention"),"Need Attention")</f>
        <v/>
      </c>
      <c r="K3422" s="126">
        <f>IF(E3422&gt;=5000,"🏆 Platinum",IF(E3422&gt;=2000,"🥇 Gold",IF(E3422&gt;=800,"🥈 Silver","🥉 Bronze")))</f>
        <v/>
      </c>
      <c r="L3422" s="129" t="n">
        <v>40856</v>
      </c>
    </row>
    <row r="3423">
      <c r="A3423" s="122" t="n">
        <v>17014</v>
      </c>
      <c r="B3423" s="122" t="inlineStr">
        <is>
          <t>United Kingdom</t>
        </is>
      </c>
      <c r="C3423" s="122" t="n">
        <v>9</v>
      </c>
      <c r="D3423" s="122" t="n">
        <v>3</v>
      </c>
      <c r="E3423" s="123" t="n">
        <v>586.33</v>
      </c>
      <c r="F3423" s="124">
        <f>IF(C3423&lt;=30,5,IF(C3423&lt;=60,4,IF(C3423&lt;=120,3,IF(C3423&lt;=200,2,1))))</f>
        <v/>
      </c>
      <c r="G3423" s="124">
        <f>IF(D3423&gt;=20,5,IF(D3423&gt;=10,4,IF(D3423&gt;=5,3,IF(D3423&gt;=2,2,1))))</f>
        <v/>
      </c>
      <c r="H3423" s="124">
        <f>IF(E3423&gt;=5000,5,IF(E3423&gt;=2000,4,IF(E3423&gt;=800,3,IF(E3423&gt;=300,2,1))))</f>
        <v/>
      </c>
      <c r="I3423" s="122">
        <f>TEXT(F3423,"0")&amp;TEXT(G3423,"0")&amp;TEXT(H3423,"0")</f>
        <v/>
      </c>
      <c r="J3423" s="122">
        <f>IFERROR(XLOOKUP(I3423,'Segment Map'!A:A,'Segment Map'!B:B,"Need Attention"),"Need Attention")</f>
        <v/>
      </c>
      <c r="K3423" s="122">
        <f>IF(E3423&gt;=5000,"🏆 Platinum",IF(E3423&gt;=2000,"🥇 Gold",IF(E3423&gt;=800,"🥈 Silver","🥉 Bronze")))</f>
        <v/>
      </c>
      <c r="L3423" s="125" t="n">
        <v>40878</v>
      </c>
    </row>
    <row r="3424">
      <c r="A3424" s="126" t="n">
        <v>17015</v>
      </c>
      <c r="B3424" s="126" t="inlineStr">
        <is>
          <t>United Kingdom</t>
        </is>
      </c>
      <c r="C3424" s="126" t="n">
        <v>29</v>
      </c>
      <c r="D3424" s="126" t="n">
        <v>3</v>
      </c>
      <c r="E3424" s="127" t="n">
        <v>1842.56</v>
      </c>
      <c r="F3424" s="128">
        <f>IF(C3424&lt;=30,5,IF(C3424&lt;=60,4,IF(C3424&lt;=120,3,IF(C3424&lt;=200,2,1))))</f>
        <v/>
      </c>
      <c r="G3424" s="128">
        <f>IF(D3424&gt;=20,5,IF(D3424&gt;=10,4,IF(D3424&gt;=5,3,IF(D3424&gt;=2,2,1))))</f>
        <v/>
      </c>
      <c r="H3424" s="128">
        <f>IF(E3424&gt;=5000,5,IF(E3424&gt;=2000,4,IF(E3424&gt;=800,3,IF(E3424&gt;=300,2,1))))</f>
        <v/>
      </c>
      <c r="I3424" s="126">
        <f>TEXT(F3424,"0")&amp;TEXT(G3424,"0")&amp;TEXT(H3424,"0")</f>
        <v/>
      </c>
      <c r="J3424" s="126">
        <f>IFERROR(XLOOKUP(I3424,'Segment Map'!A:A,'Segment Map'!B:B,"Need Attention"),"Need Attention")</f>
        <v/>
      </c>
      <c r="K3424" s="126">
        <f>IF(E3424&gt;=5000,"🏆 Platinum",IF(E3424&gt;=2000,"🥇 Gold",IF(E3424&gt;=800,"🥈 Silver","🥉 Bronze")))</f>
        <v/>
      </c>
      <c r="L3424" s="129" t="n">
        <v>40858</v>
      </c>
    </row>
    <row r="3425">
      <c r="A3425" s="122" t="n">
        <v>17017</v>
      </c>
      <c r="B3425" s="122" t="inlineStr">
        <is>
          <t>United Kingdom</t>
        </is>
      </c>
      <c r="C3425" s="122" t="n">
        <v>3</v>
      </c>
      <c r="D3425" s="122" t="n">
        <v>20</v>
      </c>
      <c r="E3425" s="123" t="n">
        <v>8694.26</v>
      </c>
      <c r="F3425" s="124">
        <f>IF(C3425&lt;=30,5,IF(C3425&lt;=60,4,IF(C3425&lt;=120,3,IF(C3425&lt;=200,2,1))))</f>
        <v/>
      </c>
      <c r="G3425" s="124">
        <f>IF(D3425&gt;=20,5,IF(D3425&gt;=10,4,IF(D3425&gt;=5,3,IF(D3425&gt;=2,2,1))))</f>
        <v/>
      </c>
      <c r="H3425" s="124">
        <f>IF(E3425&gt;=5000,5,IF(E3425&gt;=2000,4,IF(E3425&gt;=800,3,IF(E3425&gt;=300,2,1))))</f>
        <v/>
      </c>
      <c r="I3425" s="122">
        <f>TEXT(F3425,"0")&amp;TEXT(G3425,"0")&amp;TEXT(H3425,"0")</f>
        <v/>
      </c>
      <c r="J3425" s="122">
        <f>IFERROR(XLOOKUP(I3425,'Segment Map'!A:A,'Segment Map'!B:B,"Need Attention"),"Need Attention")</f>
        <v/>
      </c>
      <c r="K3425" s="122">
        <f>IF(E3425&gt;=5000,"🏆 Platinum",IF(E3425&gt;=2000,"🥇 Gold",IF(E3425&gt;=800,"🥈 Silver","🥉 Bronze")))</f>
        <v/>
      </c>
      <c r="L3425" s="125" t="n">
        <v>40884</v>
      </c>
    </row>
    <row r="3426">
      <c r="A3426" s="126" t="n">
        <v>17018</v>
      </c>
      <c r="B3426" s="126" t="inlineStr">
        <is>
          <t>United Kingdom</t>
        </is>
      </c>
      <c r="C3426" s="126" t="n">
        <v>41</v>
      </c>
      <c r="D3426" s="126" t="n">
        <v>2</v>
      </c>
      <c r="E3426" s="127" t="n">
        <v>920.1</v>
      </c>
      <c r="F3426" s="128">
        <f>IF(C3426&lt;=30,5,IF(C3426&lt;=60,4,IF(C3426&lt;=120,3,IF(C3426&lt;=200,2,1))))</f>
        <v/>
      </c>
      <c r="G3426" s="128">
        <f>IF(D3426&gt;=20,5,IF(D3426&gt;=10,4,IF(D3426&gt;=5,3,IF(D3426&gt;=2,2,1))))</f>
        <v/>
      </c>
      <c r="H3426" s="128">
        <f>IF(E3426&gt;=5000,5,IF(E3426&gt;=2000,4,IF(E3426&gt;=800,3,IF(E3426&gt;=300,2,1))))</f>
        <v/>
      </c>
      <c r="I3426" s="126">
        <f>TEXT(F3426,"0")&amp;TEXT(G3426,"0")&amp;TEXT(H3426,"0")</f>
        <v/>
      </c>
      <c r="J3426" s="126">
        <f>IFERROR(XLOOKUP(I3426,'Segment Map'!A:A,'Segment Map'!B:B,"Need Attention"),"Need Attention")</f>
        <v/>
      </c>
      <c r="K3426" s="126">
        <f>IF(E3426&gt;=5000,"🏆 Platinum",IF(E3426&gt;=2000,"🥇 Gold",IF(E3426&gt;=800,"🥈 Silver","🥉 Bronze")))</f>
        <v/>
      </c>
      <c r="L3426" s="129" t="n">
        <v>40846</v>
      </c>
    </row>
    <row r="3427">
      <c r="A3427" s="122" t="n">
        <v>17019</v>
      </c>
      <c r="B3427" s="122" t="inlineStr">
        <is>
          <t>United Kingdom</t>
        </is>
      </c>
      <c r="C3427" s="122" t="n">
        <v>12</v>
      </c>
      <c r="D3427" s="122" t="n">
        <v>4</v>
      </c>
      <c r="E3427" s="123" t="n">
        <v>1272.61</v>
      </c>
      <c r="F3427" s="124">
        <f>IF(C3427&lt;=30,5,IF(C3427&lt;=60,4,IF(C3427&lt;=120,3,IF(C3427&lt;=200,2,1))))</f>
        <v/>
      </c>
      <c r="G3427" s="124">
        <f>IF(D3427&gt;=20,5,IF(D3427&gt;=10,4,IF(D3427&gt;=5,3,IF(D3427&gt;=2,2,1))))</f>
        <v/>
      </c>
      <c r="H3427" s="124">
        <f>IF(E3427&gt;=5000,5,IF(E3427&gt;=2000,4,IF(E3427&gt;=800,3,IF(E3427&gt;=300,2,1))))</f>
        <v/>
      </c>
      <c r="I3427" s="122">
        <f>TEXT(F3427,"0")&amp;TEXT(G3427,"0")&amp;TEXT(H3427,"0")</f>
        <v/>
      </c>
      <c r="J3427" s="122">
        <f>IFERROR(XLOOKUP(I3427,'Segment Map'!A:A,'Segment Map'!B:B,"Need Attention"),"Need Attention")</f>
        <v/>
      </c>
      <c r="K3427" s="122">
        <f>IF(E3427&gt;=5000,"🏆 Platinum",IF(E3427&gt;=2000,"🥇 Gold",IF(E3427&gt;=800,"🥈 Silver","🥉 Bronze")))</f>
        <v/>
      </c>
      <c r="L3427" s="125" t="n">
        <v>40875</v>
      </c>
    </row>
    <row r="3428">
      <c r="A3428" s="126" t="n">
        <v>17022</v>
      </c>
      <c r="B3428" s="126" t="inlineStr">
        <is>
          <t>United Kingdom</t>
        </is>
      </c>
      <c r="C3428" s="126" t="n">
        <v>32</v>
      </c>
      <c r="D3428" s="126" t="n">
        <v>1</v>
      </c>
      <c r="E3428" s="127" t="n">
        <v>71</v>
      </c>
      <c r="F3428" s="128">
        <f>IF(C3428&lt;=30,5,IF(C3428&lt;=60,4,IF(C3428&lt;=120,3,IF(C3428&lt;=200,2,1))))</f>
        <v/>
      </c>
      <c r="G3428" s="128">
        <f>IF(D3428&gt;=20,5,IF(D3428&gt;=10,4,IF(D3428&gt;=5,3,IF(D3428&gt;=2,2,1))))</f>
        <v/>
      </c>
      <c r="H3428" s="128">
        <f>IF(E3428&gt;=5000,5,IF(E3428&gt;=2000,4,IF(E3428&gt;=800,3,IF(E3428&gt;=300,2,1))))</f>
        <v/>
      </c>
      <c r="I3428" s="126">
        <f>TEXT(F3428,"0")&amp;TEXT(G3428,"0")&amp;TEXT(H3428,"0")</f>
        <v/>
      </c>
      <c r="J3428" s="126">
        <f>IFERROR(XLOOKUP(I3428,'Segment Map'!A:A,'Segment Map'!B:B,"Need Attention"),"Need Attention")</f>
        <v/>
      </c>
      <c r="K3428" s="126">
        <f>IF(E3428&gt;=5000,"🏆 Platinum",IF(E3428&gt;=2000,"🥇 Gold",IF(E3428&gt;=800,"🥈 Silver","🥉 Bronze")))</f>
        <v/>
      </c>
      <c r="L3428" s="129" t="n">
        <v>40855</v>
      </c>
    </row>
    <row r="3429">
      <c r="A3429" s="122" t="n">
        <v>17024</v>
      </c>
      <c r="B3429" s="122" t="inlineStr">
        <is>
          <t>United Kingdom</t>
        </is>
      </c>
      <c r="C3429" s="122" t="n">
        <v>46</v>
      </c>
      <c r="D3429" s="122" t="n">
        <v>3</v>
      </c>
      <c r="E3429" s="123" t="n">
        <v>95.84999999999999</v>
      </c>
      <c r="F3429" s="124">
        <f>IF(C3429&lt;=30,5,IF(C3429&lt;=60,4,IF(C3429&lt;=120,3,IF(C3429&lt;=200,2,1))))</f>
        <v/>
      </c>
      <c r="G3429" s="124">
        <f>IF(D3429&gt;=20,5,IF(D3429&gt;=10,4,IF(D3429&gt;=5,3,IF(D3429&gt;=2,2,1))))</f>
        <v/>
      </c>
      <c r="H3429" s="124">
        <f>IF(E3429&gt;=5000,5,IF(E3429&gt;=2000,4,IF(E3429&gt;=800,3,IF(E3429&gt;=300,2,1))))</f>
        <v/>
      </c>
      <c r="I3429" s="122">
        <f>TEXT(F3429,"0")&amp;TEXT(G3429,"0")&amp;TEXT(H3429,"0")</f>
        <v/>
      </c>
      <c r="J3429" s="122">
        <f>IFERROR(XLOOKUP(I3429,'Segment Map'!A:A,'Segment Map'!B:B,"Need Attention"),"Need Attention")</f>
        <v/>
      </c>
      <c r="K3429" s="122">
        <f>IF(E3429&gt;=5000,"🏆 Platinum",IF(E3429&gt;=2000,"🥇 Gold",IF(E3429&gt;=800,"🥈 Silver","🥉 Bronze")))</f>
        <v/>
      </c>
      <c r="L3429" s="125" t="n">
        <v>40841</v>
      </c>
    </row>
    <row r="3430">
      <c r="A3430" s="126" t="n">
        <v>17025</v>
      </c>
      <c r="B3430" s="126" t="inlineStr">
        <is>
          <t>United Kingdom</t>
        </is>
      </c>
      <c r="C3430" s="126" t="n">
        <v>61</v>
      </c>
      <c r="D3430" s="126" t="n">
        <v>3</v>
      </c>
      <c r="E3430" s="127" t="n">
        <v>357.77</v>
      </c>
      <c r="F3430" s="128">
        <f>IF(C3430&lt;=30,5,IF(C3430&lt;=60,4,IF(C3430&lt;=120,3,IF(C3430&lt;=200,2,1))))</f>
        <v/>
      </c>
      <c r="G3430" s="128">
        <f>IF(D3430&gt;=20,5,IF(D3430&gt;=10,4,IF(D3430&gt;=5,3,IF(D3430&gt;=2,2,1))))</f>
        <v/>
      </c>
      <c r="H3430" s="128">
        <f>IF(E3430&gt;=5000,5,IF(E3430&gt;=2000,4,IF(E3430&gt;=800,3,IF(E3430&gt;=300,2,1))))</f>
        <v/>
      </c>
      <c r="I3430" s="126">
        <f>TEXT(F3430,"0")&amp;TEXT(G3430,"0")&amp;TEXT(H3430,"0")</f>
        <v/>
      </c>
      <c r="J3430" s="126">
        <f>IFERROR(XLOOKUP(I3430,'Segment Map'!A:A,'Segment Map'!B:B,"Need Attention"),"Need Attention")</f>
        <v/>
      </c>
      <c r="K3430" s="126">
        <f>IF(E3430&gt;=5000,"🏆 Platinum",IF(E3430&gt;=2000,"🥇 Gold",IF(E3430&gt;=800,"🥈 Silver","🥉 Bronze")))</f>
        <v/>
      </c>
      <c r="L3430" s="129" t="n">
        <v>40826</v>
      </c>
    </row>
    <row r="3431">
      <c r="A3431" s="122" t="n">
        <v>17026</v>
      </c>
      <c r="B3431" s="122" t="inlineStr">
        <is>
          <t>United Kingdom</t>
        </is>
      </c>
      <c r="C3431" s="122" t="n">
        <v>186</v>
      </c>
      <c r="D3431" s="122" t="n">
        <v>2</v>
      </c>
      <c r="E3431" s="123" t="n">
        <v>154.83</v>
      </c>
      <c r="F3431" s="124">
        <f>IF(C3431&lt;=30,5,IF(C3431&lt;=60,4,IF(C3431&lt;=120,3,IF(C3431&lt;=200,2,1))))</f>
        <v/>
      </c>
      <c r="G3431" s="124">
        <f>IF(D3431&gt;=20,5,IF(D3431&gt;=10,4,IF(D3431&gt;=5,3,IF(D3431&gt;=2,2,1))))</f>
        <v/>
      </c>
      <c r="H3431" s="124">
        <f>IF(E3431&gt;=5000,5,IF(E3431&gt;=2000,4,IF(E3431&gt;=800,3,IF(E3431&gt;=300,2,1))))</f>
        <v/>
      </c>
      <c r="I3431" s="122">
        <f>TEXT(F3431,"0")&amp;TEXT(G3431,"0")&amp;TEXT(H3431,"0")</f>
        <v/>
      </c>
      <c r="J3431" s="122">
        <f>IFERROR(XLOOKUP(I3431,'Segment Map'!A:A,'Segment Map'!B:B,"Need Attention"),"Need Attention")</f>
        <v/>
      </c>
      <c r="K3431" s="122">
        <f>IF(E3431&gt;=5000,"🏆 Platinum",IF(E3431&gt;=2000,"🥇 Gold",IF(E3431&gt;=800,"🥈 Silver","🥉 Bronze")))</f>
        <v/>
      </c>
      <c r="L3431" s="125" t="n">
        <v>40701</v>
      </c>
    </row>
    <row r="3432">
      <c r="A3432" s="126" t="n">
        <v>17027</v>
      </c>
      <c r="B3432" s="126" t="inlineStr">
        <is>
          <t>United Kingdom</t>
        </is>
      </c>
      <c r="C3432" s="126" t="n">
        <v>79</v>
      </c>
      <c r="D3432" s="126" t="n">
        <v>6</v>
      </c>
      <c r="E3432" s="127" t="n">
        <v>890.29</v>
      </c>
      <c r="F3432" s="128">
        <f>IF(C3432&lt;=30,5,IF(C3432&lt;=60,4,IF(C3432&lt;=120,3,IF(C3432&lt;=200,2,1))))</f>
        <v/>
      </c>
      <c r="G3432" s="128">
        <f>IF(D3432&gt;=20,5,IF(D3432&gt;=10,4,IF(D3432&gt;=5,3,IF(D3432&gt;=2,2,1))))</f>
        <v/>
      </c>
      <c r="H3432" s="128">
        <f>IF(E3432&gt;=5000,5,IF(E3432&gt;=2000,4,IF(E3432&gt;=800,3,IF(E3432&gt;=300,2,1))))</f>
        <v/>
      </c>
      <c r="I3432" s="126">
        <f>TEXT(F3432,"0")&amp;TEXT(G3432,"0")&amp;TEXT(H3432,"0")</f>
        <v/>
      </c>
      <c r="J3432" s="126">
        <f>IFERROR(XLOOKUP(I3432,'Segment Map'!A:A,'Segment Map'!B:B,"Need Attention"),"Need Attention")</f>
        <v/>
      </c>
      <c r="K3432" s="126">
        <f>IF(E3432&gt;=5000,"🏆 Platinum",IF(E3432&gt;=2000,"🥇 Gold",IF(E3432&gt;=800,"🥈 Silver","🥉 Bronze")))</f>
        <v/>
      </c>
      <c r="L3432" s="129" t="n">
        <v>40808</v>
      </c>
    </row>
    <row r="3433">
      <c r="A3433" s="122" t="n">
        <v>17029</v>
      </c>
      <c r="B3433" s="122" t="inlineStr">
        <is>
          <t>United Kingdom</t>
        </is>
      </c>
      <c r="C3433" s="122" t="n">
        <v>111</v>
      </c>
      <c r="D3433" s="122" t="n">
        <v>2</v>
      </c>
      <c r="E3433" s="123" t="n">
        <v>716</v>
      </c>
      <c r="F3433" s="124">
        <f>IF(C3433&lt;=30,5,IF(C3433&lt;=60,4,IF(C3433&lt;=120,3,IF(C3433&lt;=200,2,1))))</f>
        <v/>
      </c>
      <c r="G3433" s="124">
        <f>IF(D3433&gt;=20,5,IF(D3433&gt;=10,4,IF(D3433&gt;=5,3,IF(D3433&gt;=2,2,1))))</f>
        <v/>
      </c>
      <c r="H3433" s="124">
        <f>IF(E3433&gt;=5000,5,IF(E3433&gt;=2000,4,IF(E3433&gt;=800,3,IF(E3433&gt;=300,2,1))))</f>
        <v/>
      </c>
      <c r="I3433" s="122">
        <f>TEXT(F3433,"0")&amp;TEXT(G3433,"0")&amp;TEXT(H3433,"0")</f>
        <v/>
      </c>
      <c r="J3433" s="122">
        <f>IFERROR(XLOOKUP(I3433,'Segment Map'!A:A,'Segment Map'!B:B,"Need Attention"),"Need Attention")</f>
        <v/>
      </c>
      <c r="K3433" s="122">
        <f>IF(E3433&gt;=5000,"🏆 Platinum",IF(E3433&gt;=2000,"🥇 Gold",IF(E3433&gt;=800,"🥈 Silver","🥉 Bronze")))</f>
        <v/>
      </c>
      <c r="L3433" s="125" t="n">
        <v>40776</v>
      </c>
    </row>
    <row r="3434">
      <c r="A3434" s="126" t="n">
        <v>17030</v>
      </c>
      <c r="B3434" s="126" t="inlineStr">
        <is>
          <t>United Kingdom</t>
        </is>
      </c>
      <c r="C3434" s="126" t="n">
        <v>64</v>
      </c>
      <c r="D3434" s="126" t="n">
        <v>1</v>
      </c>
      <c r="E3434" s="127" t="n">
        <v>146.87</v>
      </c>
      <c r="F3434" s="128">
        <f>IF(C3434&lt;=30,5,IF(C3434&lt;=60,4,IF(C3434&lt;=120,3,IF(C3434&lt;=200,2,1))))</f>
        <v/>
      </c>
      <c r="G3434" s="128">
        <f>IF(D3434&gt;=20,5,IF(D3434&gt;=10,4,IF(D3434&gt;=5,3,IF(D3434&gt;=2,2,1))))</f>
        <v/>
      </c>
      <c r="H3434" s="128">
        <f>IF(E3434&gt;=5000,5,IF(E3434&gt;=2000,4,IF(E3434&gt;=800,3,IF(E3434&gt;=300,2,1))))</f>
        <v/>
      </c>
      <c r="I3434" s="126">
        <f>TEXT(F3434,"0")&amp;TEXT(G3434,"0")&amp;TEXT(H3434,"0")</f>
        <v/>
      </c>
      <c r="J3434" s="126">
        <f>IFERROR(XLOOKUP(I3434,'Segment Map'!A:A,'Segment Map'!B:B,"Need Attention"),"Need Attention")</f>
        <v/>
      </c>
      <c r="K3434" s="126">
        <f>IF(E3434&gt;=5000,"🏆 Platinum",IF(E3434&gt;=2000,"🥇 Gold",IF(E3434&gt;=800,"🥈 Silver","🥉 Bronze")))</f>
        <v/>
      </c>
      <c r="L3434" s="129" t="n">
        <v>40823</v>
      </c>
    </row>
    <row r="3435">
      <c r="A3435" s="122" t="n">
        <v>17031</v>
      </c>
      <c r="B3435" s="122" t="inlineStr">
        <is>
          <t>United Kingdom</t>
        </is>
      </c>
      <c r="C3435" s="122" t="n">
        <v>12</v>
      </c>
      <c r="D3435" s="122" t="n">
        <v>2</v>
      </c>
      <c r="E3435" s="123" t="n">
        <v>380.35</v>
      </c>
      <c r="F3435" s="124">
        <f>IF(C3435&lt;=30,5,IF(C3435&lt;=60,4,IF(C3435&lt;=120,3,IF(C3435&lt;=200,2,1))))</f>
        <v/>
      </c>
      <c r="G3435" s="124">
        <f>IF(D3435&gt;=20,5,IF(D3435&gt;=10,4,IF(D3435&gt;=5,3,IF(D3435&gt;=2,2,1))))</f>
        <v/>
      </c>
      <c r="H3435" s="124">
        <f>IF(E3435&gt;=5000,5,IF(E3435&gt;=2000,4,IF(E3435&gt;=800,3,IF(E3435&gt;=300,2,1))))</f>
        <v/>
      </c>
      <c r="I3435" s="122">
        <f>TEXT(F3435,"0")&amp;TEXT(G3435,"0")&amp;TEXT(H3435,"0")</f>
        <v/>
      </c>
      <c r="J3435" s="122">
        <f>IFERROR(XLOOKUP(I3435,'Segment Map'!A:A,'Segment Map'!B:B,"Need Attention"),"Need Attention")</f>
        <v/>
      </c>
      <c r="K3435" s="122">
        <f>IF(E3435&gt;=5000,"🏆 Platinum",IF(E3435&gt;=2000,"🥇 Gold",IF(E3435&gt;=800,"🥈 Silver","🥉 Bronze")))</f>
        <v/>
      </c>
      <c r="L3435" s="125" t="n">
        <v>40875</v>
      </c>
    </row>
    <row r="3436">
      <c r="A3436" s="126" t="n">
        <v>17033</v>
      </c>
      <c r="B3436" s="126" t="inlineStr">
        <is>
          <t>United Kingdom</t>
        </is>
      </c>
      <c r="C3436" s="126" t="n">
        <v>87</v>
      </c>
      <c r="D3436" s="126" t="n">
        <v>3</v>
      </c>
      <c r="E3436" s="127" t="n">
        <v>1030.14</v>
      </c>
      <c r="F3436" s="128">
        <f>IF(C3436&lt;=30,5,IF(C3436&lt;=60,4,IF(C3436&lt;=120,3,IF(C3436&lt;=200,2,1))))</f>
        <v/>
      </c>
      <c r="G3436" s="128">
        <f>IF(D3436&gt;=20,5,IF(D3436&gt;=10,4,IF(D3436&gt;=5,3,IF(D3436&gt;=2,2,1))))</f>
        <v/>
      </c>
      <c r="H3436" s="128">
        <f>IF(E3436&gt;=5000,5,IF(E3436&gt;=2000,4,IF(E3436&gt;=800,3,IF(E3436&gt;=300,2,1))))</f>
        <v/>
      </c>
      <c r="I3436" s="126">
        <f>TEXT(F3436,"0")&amp;TEXT(G3436,"0")&amp;TEXT(H3436,"0")</f>
        <v/>
      </c>
      <c r="J3436" s="126">
        <f>IFERROR(XLOOKUP(I3436,'Segment Map'!A:A,'Segment Map'!B:B,"Need Attention"),"Need Attention")</f>
        <v/>
      </c>
      <c r="K3436" s="126">
        <f>IF(E3436&gt;=5000,"🏆 Platinum",IF(E3436&gt;=2000,"🥇 Gold",IF(E3436&gt;=800,"🥈 Silver","🥉 Bronze")))</f>
        <v/>
      </c>
      <c r="L3436" s="129" t="n">
        <v>40800</v>
      </c>
    </row>
    <row r="3437">
      <c r="A3437" s="122" t="n">
        <v>17034</v>
      </c>
      <c r="B3437" s="122" t="inlineStr">
        <is>
          <t>United Kingdom</t>
        </is>
      </c>
      <c r="C3437" s="122" t="n">
        <v>17</v>
      </c>
      <c r="D3437" s="122" t="n">
        <v>3</v>
      </c>
      <c r="E3437" s="123" t="n">
        <v>745.52</v>
      </c>
      <c r="F3437" s="124">
        <f>IF(C3437&lt;=30,5,IF(C3437&lt;=60,4,IF(C3437&lt;=120,3,IF(C3437&lt;=200,2,1))))</f>
        <v/>
      </c>
      <c r="G3437" s="124">
        <f>IF(D3437&gt;=20,5,IF(D3437&gt;=10,4,IF(D3437&gt;=5,3,IF(D3437&gt;=2,2,1))))</f>
        <v/>
      </c>
      <c r="H3437" s="124">
        <f>IF(E3437&gt;=5000,5,IF(E3437&gt;=2000,4,IF(E3437&gt;=800,3,IF(E3437&gt;=300,2,1))))</f>
        <v/>
      </c>
      <c r="I3437" s="122">
        <f>TEXT(F3437,"0")&amp;TEXT(G3437,"0")&amp;TEXT(H3437,"0")</f>
        <v/>
      </c>
      <c r="J3437" s="122">
        <f>IFERROR(XLOOKUP(I3437,'Segment Map'!A:A,'Segment Map'!B:B,"Need Attention"),"Need Attention")</f>
        <v/>
      </c>
      <c r="K3437" s="122">
        <f>IF(E3437&gt;=5000,"🏆 Platinum",IF(E3437&gt;=2000,"🥇 Gold",IF(E3437&gt;=800,"🥈 Silver","🥉 Bronze")))</f>
        <v/>
      </c>
      <c r="L3437" s="125" t="n">
        <v>40870</v>
      </c>
    </row>
    <row r="3438">
      <c r="A3438" s="126" t="n">
        <v>17035</v>
      </c>
      <c r="B3438" s="126" t="inlineStr">
        <is>
          <t>United Kingdom</t>
        </is>
      </c>
      <c r="C3438" s="126" t="n">
        <v>246</v>
      </c>
      <c r="D3438" s="126" t="n">
        <v>2</v>
      </c>
      <c r="E3438" s="127" t="n">
        <v>433.53</v>
      </c>
      <c r="F3438" s="128">
        <f>IF(C3438&lt;=30,5,IF(C3438&lt;=60,4,IF(C3438&lt;=120,3,IF(C3438&lt;=200,2,1))))</f>
        <v/>
      </c>
      <c r="G3438" s="128">
        <f>IF(D3438&gt;=20,5,IF(D3438&gt;=10,4,IF(D3438&gt;=5,3,IF(D3438&gt;=2,2,1))))</f>
        <v/>
      </c>
      <c r="H3438" s="128">
        <f>IF(E3438&gt;=5000,5,IF(E3438&gt;=2000,4,IF(E3438&gt;=800,3,IF(E3438&gt;=300,2,1))))</f>
        <v/>
      </c>
      <c r="I3438" s="126">
        <f>TEXT(F3438,"0")&amp;TEXT(G3438,"0")&amp;TEXT(H3438,"0")</f>
        <v/>
      </c>
      <c r="J3438" s="126">
        <f>IFERROR(XLOOKUP(I3438,'Segment Map'!A:A,'Segment Map'!B:B,"Need Attention"),"Need Attention")</f>
        <v/>
      </c>
      <c r="K3438" s="126">
        <f>IF(E3438&gt;=5000,"🏆 Platinum",IF(E3438&gt;=2000,"🥇 Gold",IF(E3438&gt;=800,"🥈 Silver","🥉 Bronze")))</f>
        <v/>
      </c>
      <c r="L3438" s="129" t="n">
        <v>40641</v>
      </c>
    </row>
    <row r="3439">
      <c r="A3439" s="122" t="n">
        <v>17037</v>
      </c>
      <c r="B3439" s="122" t="inlineStr">
        <is>
          <t>United Kingdom</t>
        </is>
      </c>
      <c r="C3439" s="122" t="n">
        <v>88</v>
      </c>
      <c r="D3439" s="122" t="n">
        <v>1</v>
      </c>
      <c r="E3439" s="123" t="n">
        <v>1267.32</v>
      </c>
      <c r="F3439" s="124">
        <f>IF(C3439&lt;=30,5,IF(C3439&lt;=60,4,IF(C3439&lt;=120,3,IF(C3439&lt;=200,2,1))))</f>
        <v/>
      </c>
      <c r="G3439" s="124">
        <f>IF(D3439&gt;=20,5,IF(D3439&gt;=10,4,IF(D3439&gt;=5,3,IF(D3439&gt;=2,2,1))))</f>
        <v/>
      </c>
      <c r="H3439" s="124">
        <f>IF(E3439&gt;=5000,5,IF(E3439&gt;=2000,4,IF(E3439&gt;=800,3,IF(E3439&gt;=300,2,1))))</f>
        <v/>
      </c>
      <c r="I3439" s="122">
        <f>TEXT(F3439,"0")&amp;TEXT(G3439,"0")&amp;TEXT(H3439,"0")</f>
        <v/>
      </c>
      <c r="J3439" s="122">
        <f>IFERROR(XLOOKUP(I3439,'Segment Map'!A:A,'Segment Map'!B:B,"Need Attention"),"Need Attention")</f>
        <v/>
      </c>
      <c r="K3439" s="122">
        <f>IF(E3439&gt;=5000,"🏆 Platinum",IF(E3439&gt;=2000,"🥇 Gold",IF(E3439&gt;=800,"🥈 Silver","🥉 Bronze")))</f>
        <v/>
      </c>
      <c r="L3439" s="125" t="n">
        <v>40799</v>
      </c>
    </row>
    <row r="3440">
      <c r="A3440" s="126" t="n">
        <v>17038</v>
      </c>
      <c r="B3440" s="126" t="inlineStr">
        <is>
          <t>United Kingdom</t>
        </is>
      </c>
      <c r="C3440" s="126" t="n">
        <v>31</v>
      </c>
      <c r="D3440" s="126" t="n">
        <v>1</v>
      </c>
      <c r="E3440" s="127" t="n">
        <v>112.4</v>
      </c>
      <c r="F3440" s="128">
        <f>IF(C3440&lt;=30,5,IF(C3440&lt;=60,4,IF(C3440&lt;=120,3,IF(C3440&lt;=200,2,1))))</f>
        <v/>
      </c>
      <c r="G3440" s="128">
        <f>IF(D3440&gt;=20,5,IF(D3440&gt;=10,4,IF(D3440&gt;=5,3,IF(D3440&gt;=2,2,1))))</f>
        <v/>
      </c>
      <c r="H3440" s="128">
        <f>IF(E3440&gt;=5000,5,IF(E3440&gt;=2000,4,IF(E3440&gt;=800,3,IF(E3440&gt;=300,2,1))))</f>
        <v/>
      </c>
      <c r="I3440" s="126">
        <f>TEXT(F3440,"0")&amp;TEXT(G3440,"0")&amp;TEXT(H3440,"0")</f>
        <v/>
      </c>
      <c r="J3440" s="126">
        <f>IFERROR(XLOOKUP(I3440,'Segment Map'!A:A,'Segment Map'!B:B,"Need Attention"),"Need Attention")</f>
        <v/>
      </c>
      <c r="K3440" s="126">
        <f>IF(E3440&gt;=5000,"🏆 Platinum",IF(E3440&gt;=2000,"🥇 Gold",IF(E3440&gt;=800,"🥈 Silver","🥉 Bronze")))</f>
        <v/>
      </c>
      <c r="L3440" s="129" t="n">
        <v>40856</v>
      </c>
    </row>
    <row r="3441">
      <c r="A3441" s="122" t="n">
        <v>17040</v>
      </c>
      <c r="B3441" s="122" t="inlineStr">
        <is>
          <t>United Kingdom</t>
        </is>
      </c>
      <c r="C3441" s="122" t="n">
        <v>138</v>
      </c>
      <c r="D3441" s="122" t="n">
        <v>1</v>
      </c>
      <c r="E3441" s="123" t="n">
        <v>449.73</v>
      </c>
      <c r="F3441" s="124">
        <f>IF(C3441&lt;=30,5,IF(C3441&lt;=60,4,IF(C3441&lt;=120,3,IF(C3441&lt;=200,2,1))))</f>
        <v/>
      </c>
      <c r="G3441" s="124">
        <f>IF(D3441&gt;=20,5,IF(D3441&gt;=10,4,IF(D3441&gt;=5,3,IF(D3441&gt;=2,2,1))))</f>
        <v/>
      </c>
      <c r="H3441" s="124">
        <f>IF(E3441&gt;=5000,5,IF(E3441&gt;=2000,4,IF(E3441&gt;=800,3,IF(E3441&gt;=300,2,1))))</f>
        <v/>
      </c>
      <c r="I3441" s="122">
        <f>TEXT(F3441,"0")&amp;TEXT(G3441,"0")&amp;TEXT(H3441,"0")</f>
        <v/>
      </c>
      <c r="J3441" s="122">
        <f>IFERROR(XLOOKUP(I3441,'Segment Map'!A:A,'Segment Map'!B:B,"Need Attention"),"Need Attention")</f>
        <v/>
      </c>
      <c r="K3441" s="122">
        <f>IF(E3441&gt;=5000,"🏆 Platinum",IF(E3441&gt;=2000,"🥇 Gold",IF(E3441&gt;=800,"🥈 Silver","🥉 Bronze")))</f>
        <v/>
      </c>
      <c r="L3441" s="125" t="n">
        <v>40749</v>
      </c>
    </row>
    <row r="3442">
      <c r="A3442" s="126" t="n">
        <v>17041</v>
      </c>
      <c r="B3442" s="126" t="inlineStr">
        <is>
          <t>United Kingdom</t>
        </is>
      </c>
      <c r="C3442" s="126" t="n">
        <v>27</v>
      </c>
      <c r="D3442" s="126" t="n">
        <v>3</v>
      </c>
      <c r="E3442" s="127" t="n">
        <v>1081.57</v>
      </c>
      <c r="F3442" s="128">
        <f>IF(C3442&lt;=30,5,IF(C3442&lt;=60,4,IF(C3442&lt;=120,3,IF(C3442&lt;=200,2,1))))</f>
        <v/>
      </c>
      <c r="G3442" s="128">
        <f>IF(D3442&gt;=20,5,IF(D3442&gt;=10,4,IF(D3442&gt;=5,3,IF(D3442&gt;=2,2,1))))</f>
        <v/>
      </c>
      <c r="H3442" s="128">
        <f>IF(E3442&gt;=5000,5,IF(E3442&gt;=2000,4,IF(E3442&gt;=800,3,IF(E3442&gt;=300,2,1))))</f>
        <v/>
      </c>
      <c r="I3442" s="126">
        <f>TEXT(F3442,"0")&amp;TEXT(G3442,"0")&amp;TEXT(H3442,"0")</f>
        <v/>
      </c>
      <c r="J3442" s="126">
        <f>IFERROR(XLOOKUP(I3442,'Segment Map'!A:A,'Segment Map'!B:B,"Need Attention"),"Need Attention")</f>
        <v/>
      </c>
      <c r="K3442" s="126">
        <f>IF(E3442&gt;=5000,"🏆 Platinum",IF(E3442&gt;=2000,"🥇 Gold",IF(E3442&gt;=800,"🥈 Silver","🥉 Bronze")))</f>
        <v/>
      </c>
      <c r="L3442" s="129" t="n">
        <v>40860</v>
      </c>
    </row>
    <row r="3443">
      <c r="A3443" s="122" t="n">
        <v>17042</v>
      </c>
      <c r="B3443" s="122" t="inlineStr">
        <is>
          <t>United Kingdom</t>
        </is>
      </c>
      <c r="C3443" s="122" t="n">
        <v>3</v>
      </c>
      <c r="D3443" s="122" t="n">
        <v>5</v>
      </c>
      <c r="E3443" s="123" t="n">
        <v>1044.38</v>
      </c>
      <c r="F3443" s="124">
        <f>IF(C3443&lt;=30,5,IF(C3443&lt;=60,4,IF(C3443&lt;=120,3,IF(C3443&lt;=200,2,1))))</f>
        <v/>
      </c>
      <c r="G3443" s="124">
        <f>IF(D3443&gt;=20,5,IF(D3443&gt;=10,4,IF(D3443&gt;=5,3,IF(D3443&gt;=2,2,1))))</f>
        <v/>
      </c>
      <c r="H3443" s="124">
        <f>IF(E3443&gt;=5000,5,IF(E3443&gt;=2000,4,IF(E3443&gt;=800,3,IF(E3443&gt;=300,2,1))))</f>
        <v/>
      </c>
      <c r="I3443" s="122">
        <f>TEXT(F3443,"0")&amp;TEXT(G3443,"0")&amp;TEXT(H3443,"0")</f>
        <v/>
      </c>
      <c r="J3443" s="122">
        <f>IFERROR(XLOOKUP(I3443,'Segment Map'!A:A,'Segment Map'!B:B,"Need Attention"),"Need Attention")</f>
        <v/>
      </c>
      <c r="K3443" s="122">
        <f>IF(E3443&gt;=5000,"🏆 Platinum",IF(E3443&gt;=2000,"🥇 Gold",IF(E3443&gt;=800,"🥈 Silver","🥉 Bronze")))</f>
        <v/>
      </c>
      <c r="L3443" s="125" t="n">
        <v>40884</v>
      </c>
    </row>
    <row r="3444">
      <c r="A3444" s="126" t="n">
        <v>17043</v>
      </c>
      <c r="B3444" s="126" t="inlineStr">
        <is>
          <t>United Kingdom</t>
        </is>
      </c>
      <c r="C3444" s="126" t="n">
        <v>33</v>
      </c>
      <c r="D3444" s="126" t="n">
        <v>4</v>
      </c>
      <c r="E3444" s="127" t="n">
        <v>1735.18</v>
      </c>
      <c r="F3444" s="128">
        <f>IF(C3444&lt;=30,5,IF(C3444&lt;=60,4,IF(C3444&lt;=120,3,IF(C3444&lt;=200,2,1))))</f>
        <v/>
      </c>
      <c r="G3444" s="128">
        <f>IF(D3444&gt;=20,5,IF(D3444&gt;=10,4,IF(D3444&gt;=5,3,IF(D3444&gt;=2,2,1))))</f>
        <v/>
      </c>
      <c r="H3444" s="128">
        <f>IF(E3444&gt;=5000,5,IF(E3444&gt;=2000,4,IF(E3444&gt;=800,3,IF(E3444&gt;=300,2,1))))</f>
        <v/>
      </c>
      <c r="I3444" s="126">
        <f>TEXT(F3444,"0")&amp;TEXT(G3444,"0")&amp;TEXT(H3444,"0")</f>
        <v/>
      </c>
      <c r="J3444" s="126">
        <f>IFERROR(XLOOKUP(I3444,'Segment Map'!A:A,'Segment Map'!B:B,"Need Attention"),"Need Attention")</f>
        <v/>
      </c>
      <c r="K3444" s="126">
        <f>IF(E3444&gt;=5000,"🏆 Platinum",IF(E3444&gt;=2000,"🥇 Gold",IF(E3444&gt;=800,"🥈 Silver","🥉 Bronze")))</f>
        <v/>
      </c>
      <c r="L3444" s="129" t="n">
        <v>40854</v>
      </c>
    </row>
    <row r="3445">
      <c r="A3445" s="122" t="n">
        <v>17044</v>
      </c>
      <c r="B3445" s="122" t="inlineStr">
        <is>
          <t>United Kingdom</t>
        </is>
      </c>
      <c r="C3445" s="122" t="n">
        <v>26</v>
      </c>
      <c r="D3445" s="122" t="n">
        <v>1</v>
      </c>
      <c r="E3445" s="123" t="n">
        <v>948.48</v>
      </c>
      <c r="F3445" s="124">
        <f>IF(C3445&lt;=30,5,IF(C3445&lt;=60,4,IF(C3445&lt;=120,3,IF(C3445&lt;=200,2,1))))</f>
        <v/>
      </c>
      <c r="G3445" s="124">
        <f>IF(D3445&gt;=20,5,IF(D3445&gt;=10,4,IF(D3445&gt;=5,3,IF(D3445&gt;=2,2,1))))</f>
        <v/>
      </c>
      <c r="H3445" s="124">
        <f>IF(E3445&gt;=5000,5,IF(E3445&gt;=2000,4,IF(E3445&gt;=800,3,IF(E3445&gt;=300,2,1))))</f>
        <v/>
      </c>
      <c r="I3445" s="122">
        <f>TEXT(F3445,"0")&amp;TEXT(G3445,"0")&amp;TEXT(H3445,"0")</f>
        <v/>
      </c>
      <c r="J3445" s="122">
        <f>IFERROR(XLOOKUP(I3445,'Segment Map'!A:A,'Segment Map'!B:B,"Need Attention"),"Need Attention")</f>
        <v/>
      </c>
      <c r="K3445" s="122">
        <f>IF(E3445&gt;=5000,"🏆 Platinum",IF(E3445&gt;=2000,"🥇 Gold",IF(E3445&gt;=800,"🥈 Silver","🥉 Bronze")))</f>
        <v/>
      </c>
      <c r="L3445" s="125" t="n">
        <v>40861</v>
      </c>
    </row>
    <row r="3446">
      <c r="A3446" s="126" t="n">
        <v>17045</v>
      </c>
      <c r="B3446" s="126" t="inlineStr">
        <is>
          <t>United Kingdom</t>
        </is>
      </c>
      <c r="C3446" s="126" t="n">
        <v>114</v>
      </c>
      <c r="D3446" s="126" t="n">
        <v>3</v>
      </c>
      <c r="E3446" s="127" t="n">
        <v>339.44</v>
      </c>
      <c r="F3446" s="128">
        <f>IF(C3446&lt;=30,5,IF(C3446&lt;=60,4,IF(C3446&lt;=120,3,IF(C3446&lt;=200,2,1))))</f>
        <v/>
      </c>
      <c r="G3446" s="128">
        <f>IF(D3446&gt;=20,5,IF(D3446&gt;=10,4,IF(D3446&gt;=5,3,IF(D3446&gt;=2,2,1))))</f>
        <v/>
      </c>
      <c r="H3446" s="128">
        <f>IF(E3446&gt;=5000,5,IF(E3446&gt;=2000,4,IF(E3446&gt;=800,3,IF(E3446&gt;=300,2,1))))</f>
        <v/>
      </c>
      <c r="I3446" s="126">
        <f>TEXT(F3446,"0")&amp;TEXT(G3446,"0")&amp;TEXT(H3446,"0")</f>
        <v/>
      </c>
      <c r="J3446" s="126">
        <f>IFERROR(XLOOKUP(I3446,'Segment Map'!A:A,'Segment Map'!B:B,"Need Attention"),"Need Attention")</f>
        <v/>
      </c>
      <c r="K3446" s="126">
        <f>IF(E3446&gt;=5000,"🏆 Platinum",IF(E3446&gt;=2000,"🥇 Gold",IF(E3446&gt;=800,"🥈 Silver","🥉 Bronze")))</f>
        <v/>
      </c>
      <c r="L3446" s="129" t="n">
        <v>40773</v>
      </c>
    </row>
    <row r="3447">
      <c r="A3447" s="122" t="n">
        <v>17046</v>
      </c>
      <c r="B3447" s="122" t="inlineStr">
        <is>
          <t>United Kingdom</t>
        </is>
      </c>
      <c r="C3447" s="122" t="n">
        <v>158</v>
      </c>
      <c r="D3447" s="122" t="n">
        <v>1</v>
      </c>
      <c r="E3447" s="123" t="n">
        <v>642.02</v>
      </c>
      <c r="F3447" s="124">
        <f>IF(C3447&lt;=30,5,IF(C3447&lt;=60,4,IF(C3447&lt;=120,3,IF(C3447&lt;=200,2,1))))</f>
        <v/>
      </c>
      <c r="G3447" s="124">
        <f>IF(D3447&gt;=20,5,IF(D3447&gt;=10,4,IF(D3447&gt;=5,3,IF(D3447&gt;=2,2,1))))</f>
        <v/>
      </c>
      <c r="H3447" s="124">
        <f>IF(E3447&gt;=5000,5,IF(E3447&gt;=2000,4,IF(E3447&gt;=800,3,IF(E3447&gt;=300,2,1))))</f>
        <v/>
      </c>
      <c r="I3447" s="122">
        <f>TEXT(F3447,"0")&amp;TEXT(G3447,"0")&amp;TEXT(H3447,"0")</f>
        <v/>
      </c>
      <c r="J3447" s="122">
        <f>IFERROR(XLOOKUP(I3447,'Segment Map'!A:A,'Segment Map'!B:B,"Need Attention"),"Need Attention")</f>
        <v/>
      </c>
      <c r="K3447" s="122">
        <f>IF(E3447&gt;=5000,"🏆 Platinum",IF(E3447&gt;=2000,"🥇 Gold",IF(E3447&gt;=800,"🥈 Silver","🥉 Bronze")))</f>
        <v/>
      </c>
      <c r="L3447" s="125" t="n">
        <v>40729</v>
      </c>
    </row>
    <row r="3448">
      <c r="A3448" s="126" t="n">
        <v>17047</v>
      </c>
      <c r="B3448" s="126" t="inlineStr">
        <is>
          <t>United Kingdom</t>
        </is>
      </c>
      <c r="C3448" s="126" t="n">
        <v>86</v>
      </c>
      <c r="D3448" s="126" t="n">
        <v>3</v>
      </c>
      <c r="E3448" s="127" t="n">
        <v>1100.9</v>
      </c>
      <c r="F3448" s="128">
        <f>IF(C3448&lt;=30,5,IF(C3448&lt;=60,4,IF(C3448&lt;=120,3,IF(C3448&lt;=200,2,1))))</f>
        <v/>
      </c>
      <c r="G3448" s="128">
        <f>IF(D3448&gt;=20,5,IF(D3448&gt;=10,4,IF(D3448&gt;=5,3,IF(D3448&gt;=2,2,1))))</f>
        <v/>
      </c>
      <c r="H3448" s="128">
        <f>IF(E3448&gt;=5000,5,IF(E3448&gt;=2000,4,IF(E3448&gt;=800,3,IF(E3448&gt;=300,2,1))))</f>
        <v/>
      </c>
      <c r="I3448" s="126">
        <f>TEXT(F3448,"0")&amp;TEXT(G3448,"0")&amp;TEXT(H3448,"0")</f>
        <v/>
      </c>
      <c r="J3448" s="126">
        <f>IFERROR(XLOOKUP(I3448,'Segment Map'!A:A,'Segment Map'!B:B,"Need Attention"),"Need Attention")</f>
        <v/>
      </c>
      <c r="K3448" s="126">
        <f>IF(E3448&gt;=5000,"🏆 Platinum",IF(E3448&gt;=2000,"🥇 Gold",IF(E3448&gt;=800,"🥈 Silver","🥉 Bronze")))</f>
        <v/>
      </c>
      <c r="L3448" s="129" t="n">
        <v>40801</v>
      </c>
    </row>
    <row r="3449">
      <c r="A3449" s="122" t="n">
        <v>17048</v>
      </c>
      <c r="B3449" s="122" t="inlineStr">
        <is>
          <t>United Kingdom</t>
        </is>
      </c>
      <c r="C3449" s="122" t="n">
        <v>118</v>
      </c>
      <c r="D3449" s="122" t="n">
        <v>3</v>
      </c>
      <c r="E3449" s="123" t="n">
        <v>925.35</v>
      </c>
      <c r="F3449" s="124">
        <f>IF(C3449&lt;=30,5,IF(C3449&lt;=60,4,IF(C3449&lt;=120,3,IF(C3449&lt;=200,2,1))))</f>
        <v/>
      </c>
      <c r="G3449" s="124">
        <f>IF(D3449&gt;=20,5,IF(D3449&gt;=10,4,IF(D3449&gt;=5,3,IF(D3449&gt;=2,2,1))))</f>
        <v/>
      </c>
      <c r="H3449" s="124">
        <f>IF(E3449&gt;=5000,5,IF(E3449&gt;=2000,4,IF(E3449&gt;=800,3,IF(E3449&gt;=300,2,1))))</f>
        <v/>
      </c>
      <c r="I3449" s="122">
        <f>TEXT(F3449,"0")&amp;TEXT(G3449,"0")&amp;TEXT(H3449,"0")</f>
        <v/>
      </c>
      <c r="J3449" s="122">
        <f>IFERROR(XLOOKUP(I3449,'Segment Map'!A:A,'Segment Map'!B:B,"Need Attention"),"Need Attention")</f>
        <v/>
      </c>
      <c r="K3449" s="122">
        <f>IF(E3449&gt;=5000,"🏆 Platinum",IF(E3449&gt;=2000,"🥇 Gold",IF(E3449&gt;=800,"🥈 Silver","🥉 Bronze")))</f>
        <v/>
      </c>
      <c r="L3449" s="125" t="n">
        <v>40769</v>
      </c>
    </row>
    <row r="3450">
      <c r="A3450" s="126" t="n">
        <v>17049</v>
      </c>
      <c r="B3450" s="126" t="inlineStr">
        <is>
          <t>United Kingdom</t>
        </is>
      </c>
      <c r="C3450" s="126" t="n">
        <v>3</v>
      </c>
      <c r="D3450" s="126" t="n">
        <v>9</v>
      </c>
      <c r="E3450" s="127" t="n">
        <v>5659.98</v>
      </c>
      <c r="F3450" s="128">
        <f>IF(C3450&lt;=30,5,IF(C3450&lt;=60,4,IF(C3450&lt;=120,3,IF(C3450&lt;=200,2,1))))</f>
        <v/>
      </c>
      <c r="G3450" s="128">
        <f>IF(D3450&gt;=20,5,IF(D3450&gt;=10,4,IF(D3450&gt;=5,3,IF(D3450&gt;=2,2,1))))</f>
        <v/>
      </c>
      <c r="H3450" s="128">
        <f>IF(E3450&gt;=5000,5,IF(E3450&gt;=2000,4,IF(E3450&gt;=800,3,IF(E3450&gt;=300,2,1))))</f>
        <v/>
      </c>
      <c r="I3450" s="126">
        <f>TEXT(F3450,"0")&amp;TEXT(G3450,"0")&amp;TEXT(H3450,"0")</f>
        <v/>
      </c>
      <c r="J3450" s="126">
        <f>IFERROR(XLOOKUP(I3450,'Segment Map'!A:A,'Segment Map'!B:B,"Need Attention"),"Need Attention")</f>
        <v/>
      </c>
      <c r="K3450" s="126">
        <f>IF(E3450&gt;=5000,"🏆 Platinum",IF(E3450&gt;=2000,"🥇 Gold",IF(E3450&gt;=800,"🥈 Silver","🥉 Bronze")))</f>
        <v/>
      </c>
      <c r="L3450" s="129" t="n">
        <v>40884</v>
      </c>
    </row>
    <row r="3451">
      <c r="A3451" s="122" t="n">
        <v>17050</v>
      </c>
      <c r="B3451" s="122" t="inlineStr">
        <is>
          <t>United Kingdom</t>
        </is>
      </c>
      <c r="C3451" s="122" t="n">
        <v>97</v>
      </c>
      <c r="D3451" s="122" t="n">
        <v>6</v>
      </c>
      <c r="E3451" s="123" t="n">
        <v>3228.84</v>
      </c>
      <c r="F3451" s="124">
        <f>IF(C3451&lt;=30,5,IF(C3451&lt;=60,4,IF(C3451&lt;=120,3,IF(C3451&lt;=200,2,1))))</f>
        <v/>
      </c>
      <c r="G3451" s="124">
        <f>IF(D3451&gt;=20,5,IF(D3451&gt;=10,4,IF(D3451&gt;=5,3,IF(D3451&gt;=2,2,1))))</f>
        <v/>
      </c>
      <c r="H3451" s="124">
        <f>IF(E3451&gt;=5000,5,IF(E3451&gt;=2000,4,IF(E3451&gt;=800,3,IF(E3451&gt;=300,2,1))))</f>
        <v/>
      </c>
      <c r="I3451" s="122">
        <f>TEXT(F3451,"0")&amp;TEXT(G3451,"0")&amp;TEXT(H3451,"0")</f>
        <v/>
      </c>
      <c r="J3451" s="122">
        <f>IFERROR(XLOOKUP(I3451,'Segment Map'!A:A,'Segment Map'!B:B,"Need Attention"),"Need Attention")</f>
        <v/>
      </c>
      <c r="K3451" s="122">
        <f>IF(E3451&gt;=5000,"🏆 Platinum",IF(E3451&gt;=2000,"🥇 Gold",IF(E3451&gt;=800,"🥈 Silver","🥉 Bronze")))</f>
        <v/>
      </c>
      <c r="L3451" s="125" t="n">
        <v>40790</v>
      </c>
    </row>
    <row r="3452">
      <c r="A3452" s="126" t="n">
        <v>17051</v>
      </c>
      <c r="B3452" s="126" t="inlineStr">
        <is>
          <t>United Kingdom</t>
        </is>
      </c>
      <c r="C3452" s="126" t="n">
        <v>195</v>
      </c>
      <c r="D3452" s="126" t="n">
        <v>1</v>
      </c>
      <c r="E3452" s="127" t="n">
        <v>247.14</v>
      </c>
      <c r="F3452" s="128">
        <f>IF(C3452&lt;=30,5,IF(C3452&lt;=60,4,IF(C3452&lt;=120,3,IF(C3452&lt;=200,2,1))))</f>
        <v/>
      </c>
      <c r="G3452" s="128">
        <f>IF(D3452&gt;=20,5,IF(D3452&gt;=10,4,IF(D3452&gt;=5,3,IF(D3452&gt;=2,2,1))))</f>
        <v/>
      </c>
      <c r="H3452" s="128">
        <f>IF(E3452&gt;=5000,5,IF(E3452&gt;=2000,4,IF(E3452&gt;=800,3,IF(E3452&gt;=300,2,1))))</f>
        <v/>
      </c>
      <c r="I3452" s="126">
        <f>TEXT(F3452,"0")&amp;TEXT(G3452,"0")&amp;TEXT(H3452,"0")</f>
        <v/>
      </c>
      <c r="J3452" s="126">
        <f>IFERROR(XLOOKUP(I3452,'Segment Map'!A:A,'Segment Map'!B:B,"Need Attention"),"Need Attention")</f>
        <v/>
      </c>
      <c r="K3452" s="126">
        <f>IF(E3452&gt;=5000,"🏆 Platinum",IF(E3452&gt;=2000,"🥇 Gold",IF(E3452&gt;=800,"🥈 Silver","🥉 Bronze")))</f>
        <v/>
      </c>
      <c r="L3452" s="129" t="n">
        <v>40692</v>
      </c>
    </row>
    <row r="3453">
      <c r="A3453" s="122" t="n">
        <v>17052</v>
      </c>
      <c r="B3453" s="122" t="inlineStr">
        <is>
          <t>United Kingdom</t>
        </is>
      </c>
      <c r="C3453" s="122" t="n">
        <v>29</v>
      </c>
      <c r="D3453" s="122" t="n">
        <v>1</v>
      </c>
      <c r="E3453" s="123" t="n">
        <v>413.75</v>
      </c>
      <c r="F3453" s="124">
        <f>IF(C3453&lt;=30,5,IF(C3453&lt;=60,4,IF(C3453&lt;=120,3,IF(C3453&lt;=200,2,1))))</f>
        <v/>
      </c>
      <c r="G3453" s="124">
        <f>IF(D3453&gt;=20,5,IF(D3453&gt;=10,4,IF(D3453&gt;=5,3,IF(D3453&gt;=2,2,1))))</f>
        <v/>
      </c>
      <c r="H3453" s="124">
        <f>IF(E3453&gt;=5000,5,IF(E3453&gt;=2000,4,IF(E3453&gt;=800,3,IF(E3453&gt;=300,2,1))))</f>
        <v/>
      </c>
      <c r="I3453" s="122">
        <f>TEXT(F3453,"0")&amp;TEXT(G3453,"0")&amp;TEXT(H3453,"0")</f>
        <v/>
      </c>
      <c r="J3453" s="122">
        <f>IFERROR(XLOOKUP(I3453,'Segment Map'!A:A,'Segment Map'!B:B,"Need Attention"),"Need Attention")</f>
        <v/>
      </c>
      <c r="K3453" s="122">
        <f>IF(E3453&gt;=5000,"🏆 Platinum",IF(E3453&gt;=2000,"🥇 Gold",IF(E3453&gt;=800,"🥈 Silver","🥉 Bronze")))</f>
        <v/>
      </c>
      <c r="L3453" s="125" t="n">
        <v>40858</v>
      </c>
    </row>
    <row r="3454">
      <c r="A3454" s="126" t="n">
        <v>17053</v>
      </c>
      <c r="B3454" s="126" t="inlineStr">
        <is>
          <t>United Kingdom</t>
        </is>
      </c>
      <c r="C3454" s="126" t="n">
        <v>131</v>
      </c>
      <c r="D3454" s="126" t="n">
        <v>1</v>
      </c>
      <c r="E3454" s="127" t="n">
        <v>498.48</v>
      </c>
      <c r="F3454" s="128">
        <f>IF(C3454&lt;=30,5,IF(C3454&lt;=60,4,IF(C3454&lt;=120,3,IF(C3454&lt;=200,2,1))))</f>
        <v/>
      </c>
      <c r="G3454" s="128">
        <f>IF(D3454&gt;=20,5,IF(D3454&gt;=10,4,IF(D3454&gt;=5,3,IF(D3454&gt;=2,2,1))))</f>
        <v/>
      </c>
      <c r="H3454" s="128">
        <f>IF(E3454&gt;=5000,5,IF(E3454&gt;=2000,4,IF(E3454&gt;=800,3,IF(E3454&gt;=300,2,1))))</f>
        <v/>
      </c>
      <c r="I3454" s="126">
        <f>TEXT(F3454,"0")&amp;TEXT(G3454,"0")&amp;TEXT(H3454,"0")</f>
        <v/>
      </c>
      <c r="J3454" s="126">
        <f>IFERROR(XLOOKUP(I3454,'Segment Map'!A:A,'Segment Map'!B:B,"Need Attention"),"Need Attention")</f>
        <v/>
      </c>
      <c r="K3454" s="126">
        <f>IF(E3454&gt;=5000,"🏆 Platinum",IF(E3454&gt;=2000,"🥇 Gold",IF(E3454&gt;=800,"🥈 Silver","🥉 Bronze")))</f>
        <v/>
      </c>
      <c r="L3454" s="129" t="n">
        <v>40756</v>
      </c>
    </row>
    <row r="3455">
      <c r="A3455" s="122" t="n">
        <v>17054</v>
      </c>
      <c r="B3455" s="122" t="inlineStr">
        <is>
          <t>United Kingdom</t>
        </is>
      </c>
      <c r="C3455" s="122" t="n">
        <v>29</v>
      </c>
      <c r="D3455" s="122" t="n">
        <v>5</v>
      </c>
      <c r="E3455" s="123" t="n">
        <v>1356.33</v>
      </c>
      <c r="F3455" s="124">
        <f>IF(C3455&lt;=30,5,IF(C3455&lt;=60,4,IF(C3455&lt;=120,3,IF(C3455&lt;=200,2,1))))</f>
        <v/>
      </c>
      <c r="G3455" s="124">
        <f>IF(D3455&gt;=20,5,IF(D3455&gt;=10,4,IF(D3455&gt;=5,3,IF(D3455&gt;=2,2,1))))</f>
        <v/>
      </c>
      <c r="H3455" s="124">
        <f>IF(E3455&gt;=5000,5,IF(E3455&gt;=2000,4,IF(E3455&gt;=800,3,IF(E3455&gt;=300,2,1))))</f>
        <v/>
      </c>
      <c r="I3455" s="122">
        <f>TEXT(F3455,"0")&amp;TEXT(G3455,"0")&amp;TEXT(H3455,"0")</f>
        <v/>
      </c>
      <c r="J3455" s="122">
        <f>IFERROR(XLOOKUP(I3455,'Segment Map'!A:A,'Segment Map'!B:B,"Need Attention"),"Need Attention")</f>
        <v/>
      </c>
      <c r="K3455" s="122">
        <f>IF(E3455&gt;=5000,"🏆 Platinum",IF(E3455&gt;=2000,"🥇 Gold",IF(E3455&gt;=800,"🥈 Silver","🥉 Bronze")))</f>
        <v/>
      </c>
      <c r="L3455" s="125" t="n">
        <v>40858</v>
      </c>
    </row>
    <row r="3456">
      <c r="A3456" s="126" t="n">
        <v>17058</v>
      </c>
      <c r="B3456" s="126" t="inlineStr">
        <is>
          <t>United Kingdom</t>
        </is>
      </c>
      <c r="C3456" s="126" t="n">
        <v>82</v>
      </c>
      <c r="D3456" s="126" t="n">
        <v>3</v>
      </c>
      <c r="E3456" s="127" t="n">
        <v>1179.89</v>
      </c>
      <c r="F3456" s="128">
        <f>IF(C3456&lt;=30,5,IF(C3456&lt;=60,4,IF(C3456&lt;=120,3,IF(C3456&lt;=200,2,1))))</f>
        <v/>
      </c>
      <c r="G3456" s="128">
        <f>IF(D3456&gt;=20,5,IF(D3456&gt;=10,4,IF(D3456&gt;=5,3,IF(D3456&gt;=2,2,1))))</f>
        <v/>
      </c>
      <c r="H3456" s="128">
        <f>IF(E3456&gt;=5000,5,IF(E3456&gt;=2000,4,IF(E3456&gt;=800,3,IF(E3456&gt;=300,2,1))))</f>
        <v/>
      </c>
      <c r="I3456" s="126">
        <f>TEXT(F3456,"0")&amp;TEXT(G3456,"0")&amp;TEXT(H3456,"0")</f>
        <v/>
      </c>
      <c r="J3456" s="126">
        <f>IFERROR(XLOOKUP(I3456,'Segment Map'!A:A,'Segment Map'!B:B,"Need Attention"),"Need Attention")</f>
        <v/>
      </c>
      <c r="K3456" s="126">
        <f>IF(E3456&gt;=5000,"🏆 Platinum",IF(E3456&gt;=2000,"🥇 Gold",IF(E3456&gt;=800,"🥈 Silver","🥉 Bronze")))</f>
        <v/>
      </c>
      <c r="L3456" s="129" t="n">
        <v>40805</v>
      </c>
    </row>
    <row r="3457">
      <c r="A3457" s="122" t="n">
        <v>17059</v>
      </c>
      <c r="B3457" s="122" t="inlineStr">
        <is>
          <t>United Kingdom</t>
        </is>
      </c>
      <c r="C3457" s="122" t="n">
        <v>30</v>
      </c>
      <c r="D3457" s="122" t="n">
        <v>5</v>
      </c>
      <c r="E3457" s="123" t="n">
        <v>3095.04</v>
      </c>
      <c r="F3457" s="124">
        <f>IF(C3457&lt;=30,5,IF(C3457&lt;=60,4,IF(C3457&lt;=120,3,IF(C3457&lt;=200,2,1))))</f>
        <v/>
      </c>
      <c r="G3457" s="124">
        <f>IF(D3457&gt;=20,5,IF(D3457&gt;=10,4,IF(D3457&gt;=5,3,IF(D3457&gt;=2,2,1))))</f>
        <v/>
      </c>
      <c r="H3457" s="124">
        <f>IF(E3457&gt;=5000,5,IF(E3457&gt;=2000,4,IF(E3457&gt;=800,3,IF(E3457&gt;=300,2,1))))</f>
        <v/>
      </c>
      <c r="I3457" s="122">
        <f>TEXT(F3457,"0")&amp;TEXT(G3457,"0")&amp;TEXT(H3457,"0")</f>
        <v/>
      </c>
      <c r="J3457" s="122">
        <f>IFERROR(XLOOKUP(I3457,'Segment Map'!A:A,'Segment Map'!B:B,"Need Attention"),"Need Attention")</f>
        <v/>
      </c>
      <c r="K3457" s="122">
        <f>IF(E3457&gt;=5000,"🏆 Platinum",IF(E3457&gt;=2000,"🥇 Gold",IF(E3457&gt;=800,"🥈 Silver","🥉 Bronze")))</f>
        <v/>
      </c>
      <c r="L3457" s="125" t="n">
        <v>40857</v>
      </c>
    </row>
    <row r="3458">
      <c r="A3458" s="126" t="n">
        <v>17060</v>
      </c>
      <c r="B3458" s="126" t="inlineStr">
        <is>
          <t>United Kingdom</t>
        </is>
      </c>
      <c r="C3458" s="126" t="n">
        <v>267</v>
      </c>
      <c r="D3458" s="126" t="n">
        <v>1</v>
      </c>
      <c r="E3458" s="127" t="n">
        <v>234.24</v>
      </c>
      <c r="F3458" s="128">
        <f>IF(C3458&lt;=30,5,IF(C3458&lt;=60,4,IF(C3458&lt;=120,3,IF(C3458&lt;=200,2,1))))</f>
        <v/>
      </c>
      <c r="G3458" s="128">
        <f>IF(D3458&gt;=20,5,IF(D3458&gt;=10,4,IF(D3458&gt;=5,3,IF(D3458&gt;=2,2,1))))</f>
        <v/>
      </c>
      <c r="H3458" s="128">
        <f>IF(E3458&gt;=5000,5,IF(E3458&gt;=2000,4,IF(E3458&gt;=800,3,IF(E3458&gt;=300,2,1))))</f>
        <v/>
      </c>
      <c r="I3458" s="126">
        <f>TEXT(F3458,"0")&amp;TEXT(G3458,"0")&amp;TEXT(H3458,"0")</f>
        <v/>
      </c>
      <c r="J3458" s="126">
        <f>IFERROR(XLOOKUP(I3458,'Segment Map'!A:A,'Segment Map'!B:B,"Need Attention"),"Need Attention")</f>
        <v/>
      </c>
      <c r="K3458" s="126">
        <f>IF(E3458&gt;=5000,"🏆 Platinum",IF(E3458&gt;=2000,"🥇 Gold",IF(E3458&gt;=800,"🥈 Silver","🥉 Bronze")))</f>
        <v/>
      </c>
      <c r="L3458" s="129" t="n">
        <v>40620</v>
      </c>
    </row>
    <row r="3459">
      <c r="A3459" s="122" t="n">
        <v>17061</v>
      </c>
      <c r="B3459" s="122" t="inlineStr">
        <is>
          <t>United Kingdom</t>
        </is>
      </c>
      <c r="C3459" s="122" t="n">
        <v>74</v>
      </c>
      <c r="D3459" s="122" t="n">
        <v>11</v>
      </c>
      <c r="E3459" s="123" t="n">
        <v>5232.23</v>
      </c>
      <c r="F3459" s="124">
        <f>IF(C3459&lt;=30,5,IF(C3459&lt;=60,4,IF(C3459&lt;=120,3,IF(C3459&lt;=200,2,1))))</f>
        <v/>
      </c>
      <c r="G3459" s="124">
        <f>IF(D3459&gt;=20,5,IF(D3459&gt;=10,4,IF(D3459&gt;=5,3,IF(D3459&gt;=2,2,1))))</f>
        <v/>
      </c>
      <c r="H3459" s="124">
        <f>IF(E3459&gt;=5000,5,IF(E3459&gt;=2000,4,IF(E3459&gt;=800,3,IF(E3459&gt;=300,2,1))))</f>
        <v/>
      </c>
      <c r="I3459" s="122">
        <f>TEXT(F3459,"0")&amp;TEXT(G3459,"0")&amp;TEXT(H3459,"0")</f>
        <v/>
      </c>
      <c r="J3459" s="122">
        <f>IFERROR(XLOOKUP(I3459,'Segment Map'!A:A,'Segment Map'!B:B,"Need Attention"),"Need Attention")</f>
        <v/>
      </c>
      <c r="K3459" s="122">
        <f>IF(E3459&gt;=5000,"🏆 Platinum",IF(E3459&gt;=2000,"🥇 Gold",IF(E3459&gt;=800,"🥈 Silver","🥉 Bronze")))</f>
        <v/>
      </c>
      <c r="L3459" s="125" t="n">
        <v>40813</v>
      </c>
    </row>
    <row r="3460">
      <c r="A3460" s="126" t="n">
        <v>17062</v>
      </c>
      <c r="B3460" s="126" t="inlineStr">
        <is>
          <t>United Kingdom</t>
        </is>
      </c>
      <c r="C3460" s="126" t="n">
        <v>314</v>
      </c>
      <c r="D3460" s="126" t="n">
        <v>4</v>
      </c>
      <c r="E3460" s="127" t="n">
        <v>538.37</v>
      </c>
      <c r="F3460" s="128">
        <f>IF(C3460&lt;=30,5,IF(C3460&lt;=60,4,IF(C3460&lt;=120,3,IF(C3460&lt;=200,2,1))))</f>
        <v/>
      </c>
      <c r="G3460" s="128">
        <f>IF(D3460&gt;=20,5,IF(D3460&gt;=10,4,IF(D3460&gt;=5,3,IF(D3460&gt;=2,2,1))))</f>
        <v/>
      </c>
      <c r="H3460" s="128">
        <f>IF(E3460&gt;=5000,5,IF(E3460&gt;=2000,4,IF(E3460&gt;=800,3,IF(E3460&gt;=300,2,1))))</f>
        <v/>
      </c>
      <c r="I3460" s="126">
        <f>TEXT(F3460,"0")&amp;TEXT(G3460,"0")&amp;TEXT(H3460,"0")</f>
        <v/>
      </c>
      <c r="J3460" s="126">
        <f>IFERROR(XLOOKUP(I3460,'Segment Map'!A:A,'Segment Map'!B:B,"Need Attention"),"Need Attention")</f>
        <v/>
      </c>
      <c r="K3460" s="126">
        <f>IF(E3460&gt;=5000,"🏆 Platinum",IF(E3460&gt;=2000,"🥇 Gold",IF(E3460&gt;=800,"🥈 Silver","🥉 Bronze")))</f>
        <v/>
      </c>
      <c r="L3460" s="129" t="n">
        <v>40573</v>
      </c>
    </row>
    <row r="3461">
      <c r="A3461" s="122" t="n">
        <v>17063</v>
      </c>
      <c r="B3461" s="122" t="inlineStr">
        <is>
          <t>United Kingdom</t>
        </is>
      </c>
      <c r="C3461" s="122" t="n">
        <v>22</v>
      </c>
      <c r="D3461" s="122" t="n">
        <v>7</v>
      </c>
      <c r="E3461" s="123" t="n">
        <v>1461.14</v>
      </c>
      <c r="F3461" s="124">
        <f>IF(C3461&lt;=30,5,IF(C3461&lt;=60,4,IF(C3461&lt;=120,3,IF(C3461&lt;=200,2,1))))</f>
        <v/>
      </c>
      <c r="G3461" s="124">
        <f>IF(D3461&gt;=20,5,IF(D3461&gt;=10,4,IF(D3461&gt;=5,3,IF(D3461&gt;=2,2,1))))</f>
        <v/>
      </c>
      <c r="H3461" s="124">
        <f>IF(E3461&gt;=5000,5,IF(E3461&gt;=2000,4,IF(E3461&gt;=800,3,IF(E3461&gt;=300,2,1))))</f>
        <v/>
      </c>
      <c r="I3461" s="122">
        <f>TEXT(F3461,"0")&amp;TEXT(G3461,"0")&amp;TEXT(H3461,"0")</f>
        <v/>
      </c>
      <c r="J3461" s="122">
        <f>IFERROR(XLOOKUP(I3461,'Segment Map'!A:A,'Segment Map'!B:B,"Need Attention"),"Need Attention")</f>
        <v/>
      </c>
      <c r="K3461" s="122">
        <f>IF(E3461&gt;=5000,"🏆 Platinum",IF(E3461&gt;=2000,"🥇 Gold",IF(E3461&gt;=800,"🥈 Silver","🥉 Bronze")))</f>
        <v/>
      </c>
      <c r="L3461" s="125" t="n">
        <v>40865</v>
      </c>
    </row>
    <row r="3462">
      <c r="A3462" s="126" t="n">
        <v>17064</v>
      </c>
      <c r="B3462" s="126" t="inlineStr">
        <is>
          <t>United Kingdom</t>
        </is>
      </c>
      <c r="C3462" s="126" t="n">
        <v>59</v>
      </c>
      <c r="D3462" s="126" t="n">
        <v>3</v>
      </c>
      <c r="E3462" s="127" t="n">
        <v>859.35</v>
      </c>
      <c r="F3462" s="128">
        <f>IF(C3462&lt;=30,5,IF(C3462&lt;=60,4,IF(C3462&lt;=120,3,IF(C3462&lt;=200,2,1))))</f>
        <v/>
      </c>
      <c r="G3462" s="128">
        <f>IF(D3462&gt;=20,5,IF(D3462&gt;=10,4,IF(D3462&gt;=5,3,IF(D3462&gt;=2,2,1))))</f>
        <v/>
      </c>
      <c r="H3462" s="128">
        <f>IF(E3462&gt;=5000,5,IF(E3462&gt;=2000,4,IF(E3462&gt;=800,3,IF(E3462&gt;=300,2,1))))</f>
        <v/>
      </c>
      <c r="I3462" s="126">
        <f>TEXT(F3462,"0")&amp;TEXT(G3462,"0")&amp;TEXT(H3462,"0")</f>
        <v/>
      </c>
      <c r="J3462" s="126">
        <f>IFERROR(XLOOKUP(I3462,'Segment Map'!A:A,'Segment Map'!B:B,"Need Attention"),"Need Attention")</f>
        <v/>
      </c>
      <c r="K3462" s="126">
        <f>IF(E3462&gt;=5000,"🏆 Platinum",IF(E3462&gt;=2000,"🥇 Gold",IF(E3462&gt;=800,"🥈 Silver","🥉 Bronze")))</f>
        <v/>
      </c>
      <c r="L3462" s="129" t="n">
        <v>40828</v>
      </c>
    </row>
    <row r="3463">
      <c r="A3463" s="122" t="n">
        <v>17068</v>
      </c>
      <c r="B3463" s="122" t="inlineStr">
        <is>
          <t>United Kingdom</t>
        </is>
      </c>
      <c r="C3463" s="122" t="n">
        <v>13</v>
      </c>
      <c r="D3463" s="122" t="n">
        <v>21</v>
      </c>
      <c r="E3463" s="123" t="n">
        <v>4552.14</v>
      </c>
      <c r="F3463" s="124">
        <f>IF(C3463&lt;=30,5,IF(C3463&lt;=60,4,IF(C3463&lt;=120,3,IF(C3463&lt;=200,2,1))))</f>
        <v/>
      </c>
      <c r="G3463" s="124">
        <f>IF(D3463&gt;=20,5,IF(D3463&gt;=10,4,IF(D3463&gt;=5,3,IF(D3463&gt;=2,2,1))))</f>
        <v/>
      </c>
      <c r="H3463" s="124">
        <f>IF(E3463&gt;=5000,5,IF(E3463&gt;=2000,4,IF(E3463&gt;=800,3,IF(E3463&gt;=300,2,1))))</f>
        <v/>
      </c>
      <c r="I3463" s="122">
        <f>TEXT(F3463,"0")&amp;TEXT(G3463,"0")&amp;TEXT(H3463,"0")</f>
        <v/>
      </c>
      <c r="J3463" s="122">
        <f>IFERROR(XLOOKUP(I3463,'Segment Map'!A:A,'Segment Map'!B:B,"Need Attention"),"Need Attention")</f>
        <v/>
      </c>
      <c r="K3463" s="122">
        <f>IF(E3463&gt;=5000,"🏆 Platinum",IF(E3463&gt;=2000,"🥇 Gold",IF(E3463&gt;=800,"🥈 Silver","🥉 Bronze")))</f>
        <v/>
      </c>
      <c r="L3463" s="125" t="n">
        <v>40874</v>
      </c>
    </row>
    <row r="3464">
      <c r="A3464" s="126" t="n">
        <v>17069</v>
      </c>
      <c r="B3464" s="126" t="inlineStr">
        <is>
          <t>United Kingdom</t>
        </is>
      </c>
      <c r="C3464" s="126" t="n">
        <v>29</v>
      </c>
      <c r="D3464" s="126" t="n">
        <v>9</v>
      </c>
      <c r="E3464" s="127" t="n">
        <v>2709.7</v>
      </c>
      <c r="F3464" s="128">
        <f>IF(C3464&lt;=30,5,IF(C3464&lt;=60,4,IF(C3464&lt;=120,3,IF(C3464&lt;=200,2,1))))</f>
        <v/>
      </c>
      <c r="G3464" s="128">
        <f>IF(D3464&gt;=20,5,IF(D3464&gt;=10,4,IF(D3464&gt;=5,3,IF(D3464&gt;=2,2,1))))</f>
        <v/>
      </c>
      <c r="H3464" s="128">
        <f>IF(E3464&gt;=5000,5,IF(E3464&gt;=2000,4,IF(E3464&gt;=800,3,IF(E3464&gt;=300,2,1))))</f>
        <v/>
      </c>
      <c r="I3464" s="126">
        <f>TEXT(F3464,"0")&amp;TEXT(G3464,"0")&amp;TEXT(H3464,"0")</f>
        <v/>
      </c>
      <c r="J3464" s="126">
        <f>IFERROR(XLOOKUP(I3464,'Segment Map'!A:A,'Segment Map'!B:B,"Need Attention"),"Need Attention")</f>
        <v/>
      </c>
      <c r="K3464" s="126">
        <f>IF(E3464&gt;=5000,"🏆 Platinum",IF(E3464&gt;=2000,"🥇 Gold",IF(E3464&gt;=800,"🥈 Silver","🥉 Bronze")))</f>
        <v/>
      </c>
      <c r="L3464" s="129" t="n">
        <v>40858</v>
      </c>
    </row>
    <row r="3465">
      <c r="A3465" s="122" t="n">
        <v>17070</v>
      </c>
      <c r="B3465" s="122" t="inlineStr">
        <is>
          <t>United Kingdom</t>
        </is>
      </c>
      <c r="C3465" s="122" t="n">
        <v>115</v>
      </c>
      <c r="D3465" s="122" t="n">
        <v>1</v>
      </c>
      <c r="E3465" s="123" t="n">
        <v>312.14</v>
      </c>
      <c r="F3465" s="124">
        <f>IF(C3465&lt;=30,5,IF(C3465&lt;=60,4,IF(C3465&lt;=120,3,IF(C3465&lt;=200,2,1))))</f>
        <v/>
      </c>
      <c r="G3465" s="124">
        <f>IF(D3465&gt;=20,5,IF(D3465&gt;=10,4,IF(D3465&gt;=5,3,IF(D3465&gt;=2,2,1))))</f>
        <v/>
      </c>
      <c r="H3465" s="124">
        <f>IF(E3465&gt;=5000,5,IF(E3465&gt;=2000,4,IF(E3465&gt;=800,3,IF(E3465&gt;=300,2,1))))</f>
        <v/>
      </c>
      <c r="I3465" s="122">
        <f>TEXT(F3465,"0")&amp;TEXT(G3465,"0")&amp;TEXT(H3465,"0")</f>
        <v/>
      </c>
      <c r="J3465" s="122">
        <f>IFERROR(XLOOKUP(I3465,'Segment Map'!A:A,'Segment Map'!B:B,"Need Attention"),"Need Attention")</f>
        <v/>
      </c>
      <c r="K3465" s="122">
        <f>IF(E3465&gt;=5000,"🏆 Platinum",IF(E3465&gt;=2000,"🥇 Gold",IF(E3465&gt;=800,"🥈 Silver","🥉 Bronze")))</f>
        <v/>
      </c>
      <c r="L3465" s="125" t="n">
        <v>40772</v>
      </c>
    </row>
    <row r="3466">
      <c r="A3466" s="126" t="n">
        <v>17071</v>
      </c>
      <c r="B3466" s="126" t="inlineStr">
        <is>
          <t>United Kingdom</t>
        </is>
      </c>
      <c r="C3466" s="126" t="n">
        <v>29</v>
      </c>
      <c r="D3466" s="126" t="n">
        <v>9</v>
      </c>
      <c r="E3466" s="127" t="n">
        <v>2429.03</v>
      </c>
      <c r="F3466" s="128">
        <f>IF(C3466&lt;=30,5,IF(C3466&lt;=60,4,IF(C3466&lt;=120,3,IF(C3466&lt;=200,2,1))))</f>
        <v/>
      </c>
      <c r="G3466" s="128">
        <f>IF(D3466&gt;=20,5,IF(D3466&gt;=10,4,IF(D3466&gt;=5,3,IF(D3466&gt;=2,2,1))))</f>
        <v/>
      </c>
      <c r="H3466" s="128">
        <f>IF(E3466&gt;=5000,5,IF(E3466&gt;=2000,4,IF(E3466&gt;=800,3,IF(E3466&gt;=300,2,1))))</f>
        <v/>
      </c>
      <c r="I3466" s="126">
        <f>TEXT(F3466,"0")&amp;TEXT(G3466,"0")&amp;TEXT(H3466,"0")</f>
        <v/>
      </c>
      <c r="J3466" s="126">
        <f>IFERROR(XLOOKUP(I3466,'Segment Map'!A:A,'Segment Map'!B:B,"Need Attention"),"Need Attention")</f>
        <v/>
      </c>
      <c r="K3466" s="126">
        <f>IF(E3466&gt;=5000,"🏆 Platinum",IF(E3466&gt;=2000,"🥇 Gold",IF(E3466&gt;=800,"🥈 Silver","🥉 Bronze")))</f>
        <v/>
      </c>
      <c r="L3466" s="129" t="n">
        <v>40858</v>
      </c>
    </row>
    <row r="3467">
      <c r="A3467" s="122" t="n">
        <v>17073</v>
      </c>
      <c r="B3467" s="122" t="inlineStr">
        <is>
          <t>United Kingdom</t>
        </is>
      </c>
      <c r="C3467" s="122" t="n">
        <v>18</v>
      </c>
      <c r="D3467" s="122" t="n">
        <v>4</v>
      </c>
      <c r="E3467" s="123" t="n">
        <v>1446.09</v>
      </c>
      <c r="F3467" s="124">
        <f>IF(C3467&lt;=30,5,IF(C3467&lt;=60,4,IF(C3467&lt;=120,3,IF(C3467&lt;=200,2,1))))</f>
        <v/>
      </c>
      <c r="G3467" s="124">
        <f>IF(D3467&gt;=20,5,IF(D3467&gt;=10,4,IF(D3467&gt;=5,3,IF(D3467&gt;=2,2,1))))</f>
        <v/>
      </c>
      <c r="H3467" s="124">
        <f>IF(E3467&gt;=5000,5,IF(E3467&gt;=2000,4,IF(E3467&gt;=800,3,IF(E3467&gt;=300,2,1))))</f>
        <v/>
      </c>
      <c r="I3467" s="122">
        <f>TEXT(F3467,"0")&amp;TEXT(G3467,"0")&amp;TEXT(H3467,"0")</f>
        <v/>
      </c>
      <c r="J3467" s="122">
        <f>IFERROR(XLOOKUP(I3467,'Segment Map'!A:A,'Segment Map'!B:B,"Need Attention"),"Need Attention")</f>
        <v/>
      </c>
      <c r="K3467" s="122">
        <f>IF(E3467&gt;=5000,"🏆 Platinum",IF(E3467&gt;=2000,"🥇 Gold",IF(E3467&gt;=800,"🥈 Silver","🥉 Bronze")))</f>
        <v/>
      </c>
      <c r="L3467" s="125" t="n">
        <v>40869</v>
      </c>
    </row>
    <row r="3468">
      <c r="A3468" s="126" t="n">
        <v>17075</v>
      </c>
      <c r="B3468" s="126" t="inlineStr">
        <is>
          <t>United Kingdom</t>
        </is>
      </c>
      <c r="C3468" s="126" t="n">
        <v>18</v>
      </c>
      <c r="D3468" s="126" t="n">
        <v>4</v>
      </c>
      <c r="E3468" s="127" t="n">
        <v>834.12</v>
      </c>
      <c r="F3468" s="128">
        <f>IF(C3468&lt;=30,5,IF(C3468&lt;=60,4,IF(C3468&lt;=120,3,IF(C3468&lt;=200,2,1))))</f>
        <v/>
      </c>
      <c r="G3468" s="128">
        <f>IF(D3468&gt;=20,5,IF(D3468&gt;=10,4,IF(D3468&gt;=5,3,IF(D3468&gt;=2,2,1))))</f>
        <v/>
      </c>
      <c r="H3468" s="128">
        <f>IF(E3468&gt;=5000,5,IF(E3468&gt;=2000,4,IF(E3468&gt;=800,3,IF(E3468&gt;=300,2,1))))</f>
        <v/>
      </c>
      <c r="I3468" s="126">
        <f>TEXT(F3468,"0")&amp;TEXT(G3468,"0")&amp;TEXT(H3468,"0")</f>
        <v/>
      </c>
      <c r="J3468" s="126">
        <f>IFERROR(XLOOKUP(I3468,'Segment Map'!A:A,'Segment Map'!B:B,"Need Attention"),"Need Attention")</f>
        <v/>
      </c>
      <c r="K3468" s="126">
        <f>IF(E3468&gt;=5000,"🏆 Platinum",IF(E3468&gt;=2000,"🥇 Gold",IF(E3468&gt;=800,"🥈 Silver","🥉 Bronze")))</f>
        <v/>
      </c>
      <c r="L3468" s="129" t="n">
        <v>40869</v>
      </c>
    </row>
    <row r="3469">
      <c r="A3469" s="122" t="n">
        <v>17076</v>
      </c>
      <c r="B3469" s="122" t="inlineStr">
        <is>
          <t>United Kingdom</t>
        </is>
      </c>
      <c r="C3469" s="122" t="n">
        <v>37</v>
      </c>
      <c r="D3469" s="122" t="n">
        <v>3</v>
      </c>
      <c r="E3469" s="123" t="n">
        <v>841.08</v>
      </c>
      <c r="F3469" s="124">
        <f>IF(C3469&lt;=30,5,IF(C3469&lt;=60,4,IF(C3469&lt;=120,3,IF(C3469&lt;=200,2,1))))</f>
        <v/>
      </c>
      <c r="G3469" s="124">
        <f>IF(D3469&gt;=20,5,IF(D3469&gt;=10,4,IF(D3469&gt;=5,3,IF(D3469&gt;=2,2,1))))</f>
        <v/>
      </c>
      <c r="H3469" s="124">
        <f>IF(E3469&gt;=5000,5,IF(E3469&gt;=2000,4,IF(E3469&gt;=800,3,IF(E3469&gt;=300,2,1))))</f>
        <v/>
      </c>
      <c r="I3469" s="122">
        <f>TEXT(F3469,"0")&amp;TEXT(G3469,"0")&amp;TEXT(H3469,"0")</f>
        <v/>
      </c>
      <c r="J3469" s="122">
        <f>IFERROR(XLOOKUP(I3469,'Segment Map'!A:A,'Segment Map'!B:B,"Need Attention"),"Need Attention")</f>
        <v/>
      </c>
      <c r="K3469" s="122">
        <f>IF(E3469&gt;=5000,"🏆 Platinum",IF(E3469&gt;=2000,"🥇 Gold",IF(E3469&gt;=800,"🥈 Silver","🥉 Bronze")))</f>
        <v/>
      </c>
      <c r="L3469" s="125" t="n">
        <v>40850</v>
      </c>
    </row>
    <row r="3470">
      <c r="A3470" s="126" t="n">
        <v>17078</v>
      </c>
      <c r="B3470" s="126" t="inlineStr">
        <is>
          <t>United Kingdom</t>
        </is>
      </c>
      <c r="C3470" s="126" t="n">
        <v>37</v>
      </c>
      <c r="D3470" s="126" t="n">
        <v>2</v>
      </c>
      <c r="E3470" s="127" t="n">
        <v>378.2</v>
      </c>
      <c r="F3470" s="128">
        <f>IF(C3470&lt;=30,5,IF(C3470&lt;=60,4,IF(C3470&lt;=120,3,IF(C3470&lt;=200,2,1))))</f>
        <v/>
      </c>
      <c r="G3470" s="128">
        <f>IF(D3470&gt;=20,5,IF(D3470&gt;=10,4,IF(D3470&gt;=5,3,IF(D3470&gt;=2,2,1))))</f>
        <v/>
      </c>
      <c r="H3470" s="128">
        <f>IF(E3470&gt;=5000,5,IF(E3470&gt;=2000,4,IF(E3470&gt;=800,3,IF(E3470&gt;=300,2,1))))</f>
        <v/>
      </c>
      <c r="I3470" s="126">
        <f>TEXT(F3470,"0")&amp;TEXT(G3470,"0")&amp;TEXT(H3470,"0")</f>
        <v/>
      </c>
      <c r="J3470" s="126">
        <f>IFERROR(XLOOKUP(I3470,'Segment Map'!A:A,'Segment Map'!B:B,"Need Attention"),"Need Attention")</f>
        <v/>
      </c>
      <c r="K3470" s="126">
        <f>IF(E3470&gt;=5000,"🏆 Platinum",IF(E3470&gt;=2000,"🥇 Gold",IF(E3470&gt;=800,"🥈 Silver","🥉 Bronze")))</f>
        <v/>
      </c>
      <c r="L3470" s="129" t="n">
        <v>40850</v>
      </c>
    </row>
    <row r="3471">
      <c r="A3471" s="122" t="n">
        <v>17079</v>
      </c>
      <c r="B3471" s="122" t="inlineStr">
        <is>
          <t>United Kingdom</t>
        </is>
      </c>
      <c r="C3471" s="122" t="n">
        <v>79</v>
      </c>
      <c r="D3471" s="122" t="n">
        <v>1</v>
      </c>
      <c r="E3471" s="123" t="n">
        <v>118.8</v>
      </c>
      <c r="F3471" s="124">
        <f>IF(C3471&lt;=30,5,IF(C3471&lt;=60,4,IF(C3471&lt;=120,3,IF(C3471&lt;=200,2,1))))</f>
        <v/>
      </c>
      <c r="G3471" s="124">
        <f>IF(D3471&gt;=20,5,IF(D3471&gt;=10,4,IF(D3471&gt;=5,3,IF(D3471&gt;=2,2,1))))</f>
        <v/>
      </c>
      <c r="H3471" s="124">
        <f>IF(E3471&gt;=5000,5,IF(E3471&gt;=2000,4,IF(E3471&gt;=800,3,IF(E3471&gt;=300,2,1))))</f>
        <v/>
      </c>
      <c r="I3471" s="122">
        <f>TEXT(F3471,"0")&amp;TEXT(G3471,"0")&amp;TEXT(H3471,"0")</f>
        <v/>
      </c>
      <c r="J3471" s="122">
        <f>IFERROR(XLOOKUP(I3471,'Segment Map'!A:A,'Segment Map'!B:B,"Need Attention"),"Need Attention")</f>
        <v/>
      </c>
      <c r="K3471" s="122">
        <f>IF(E3471&gt;=5000,"🏆 Platinum",IF(E3471&gt;=2000,"🥇 Gold",IF(E3471&gt;=800,"🥈 Silver","🥉 Bronze")))</f>
        <v/>
      </c>
      <c r="L3471" s="125" t="n">
        <v>40808</v>
      </c>
    </row>
    <row r="3472">
      <c r="A3472" s="126" t="n">
        <v>17080</v>
      </c>
      <c r="B3472" s="126" t="inlineStr">
        <is>
          <t>United Kingdom</t>
        </is>
      </c>
      <c r="C3472" s="126" t="n">
        <v>23</v>
      </c>
      <c r="D3472" s="126" t="n">
        <v>2</v>
      </c>
      <c r="E3472" s="127" t="n">
        <v>287.62</v>
      </c>
      <c r="F3472" s="128">
        <f>IF(C3472&lt;=30,5,IF(C3472&lt;=60,4,IF(C3472&lt;=120,3,IF(C3472&lt;=200,2,1))))</f>
        <v/>
      </c>
      <c r="G3472" s="128">
        <f>IF(D3472&gt;=20,5,IF(D3472&gt;=10,4,IF(D3472&gt;=5,3,IF(D3472&gt;=2,2,1))))</f>
        <v/>
      </c>
      <c r="H3472" s="128">
        <f>IF(E3472&gt;=5000,5,IF(E3472&gt;=2000,4,IF(E3472&gt;=800,3,IF(E3472&gt;=300,2,1))))</f>
        <v/>
      </c>
      <c r="I3472" s="126">
        <f>TEXT(F3472,"0")&amp;TEXT(G3472,"0")&amp;TEXT(H3472,"0")</f>
        <v/>
      </c>
      <c r="J3472" s="126">
        <f>IFERROR(XLOOKUP(I3472,'Segment Map'!A:A,'Segment Map'!B:B,"Need Attention"),"Need Attention")</f>
        <v/>
      </c>
      <c r="K3472" s="126">
        <f>IF(E3472&gt;=5000,"🏆 Platinum",IF(E3472&gt;=2000,"🥇 Gold",IF(E3472&gt;=800,"🥈 Silver","🥉 Bronze")))</f>
        <v/>
      </c>
      <c r="L3472" s="129" t="n">
        <v>40864</v>
      </c>
    </row>
    <row r="3473">
      <c r="A3473" s="122" t="n">
        <v>17081</v>
      </c>
      <c r="B3473" s="122" t="inlineStr">
        <is>
          <t>United Kingdom</t>
        </is>
      </c>
      <c r="C3473" s="122" t="n">
        <v>26</v>
      </c>
      <c r="D3473" s="122" t="n">
        <v>2</v>
      </c>
      <c r="E3473" s="123" t="n">
        <v>290.16</v>
      </c>
      <c r="F3473" s="124">
        <f>IF(C3473&lt;=30,5,IF(C3473&lt;=60,4,IF(C3473&lt;=120,3,IF(C3473&lt;=200,2,1))))</f>
        <v/>
      </c>
      <c r="G3473" s="124">
        <f>IF(D3473&gt;=20,5,IF(D3473&gt;=10,4,IF(D3473&gt;=5,3,IF(D3473&gt;=2,2,1))))</f>
        <v/>
      </c>
      <c r="H3473" s="124">
        <f>IF(E3473&gt;=5000,5,IF(E3473&gt;=2000,4,IF(E3473&gt;=800,3,IF(E3473&gt;=300,2,1))))</f>
        <v/>
      </c>
      <c r="I3473" s="122">
        <f>TEXT(F3473,"0")&amp;TEXT(G3473,"0")&amp;TEXT(H3473,"0")</f>
        <v/>
      </c>
      <c r="J3473" s="122">
        <f>IFERROR(XLOOKUP(I3473,'Segment Map'!A:A,'Segment Map'!B:B,"Need Attention"),"Need Attention")</f>
        <v/>
      </c>
      <c r="K3473" s="122">
        <f>IF(E3473&gt;=5000,"🏆 Platinum",IF(E3473&gt;=2000,"🥇 Gold",IF(E3473&gt;=800,"🥈 Silver","🥉 Bronze")))</f>
        <v/>
      </c>
      <c r="L3473" s="125" t="n">
        <v>40861</v>
      </c>
    </row>
    <row r="3474">
      <c r="A3474" s="126" t="n">
        <v>17082</v>
      </c>
      <c r="B3474" s="126" t="inlineStr">
        <is>
          <t>United Kingdom</t>
        </is>
      </c>
      <c r="C3474" s="126" t="n">
        <v>34</v>
      </c>
      <c r="D3474" s="126" t="n">
        <v>2</v>
      </c>
      <c r="E3474" s="127" t="n">
        <v>2003.85</v>
      </c>
      <c r="F3474" s="128">
        <f>IF(C3474&lt;=30,5,IF(C3474&lt;=60,4,IF(C3474&lt;=120,3,IF(C3474&lt;=200,2,1))))</f>
        <v/>
      </c>
      <c r="G3474" s="128">
        <f>IF(D3474&gt;=20,5,IF(D3474&gt;=10,4,IF(D3474&gt;=5,3,IF(D3474&gt;=2,2,1))))</f>
        <v/>
      </c>
      <c r="H3474" s="128">
        <f>IF(E3474&gt;=5000,5,IF(E3474&gt;=2000,4,IF(E3474&gt;=800,3,IF(E3474&gt;=300,2,1))))</f>
        <v/>
      </c>
      <c r="I3474" s="126">
        <f>TEXT(F3474,"0")&amp;TEXT(G3474,"0")&amp;TEXT(H3474,"0")</f>
        <v/>
      </c>
      <c r="J3474" s="126">
        <f>IFERROR(XLOOKUP(I3474,'Segment Map'!A:A,'Segment Map'!B:B,"Need Attention"),"Need Attention")</f>
        <v/>
      </c>
      <c r="K3474" s="126">
        <f>IF(E3474&gt;=5000,"🏆 Platinum",IF(E3474&gt;=2000,"🥇 Gold",IF(E3474&gt;=800,"🥈 Silver","🥉 Bronze")))</f>
        <v/>
      </c>
      <c r="L3474" s="129" t="n">
        <v>40853</v>
      </c>
    </row>
    <row r="3475">
      <c r="A3475" s="122" t="n">
        <v>17083</v>
      </c>
      <c r="B3475" s="122" t="inlineStr">
        <is>
          <t>United Kingdom</t>
        </is>
      </c>
      <c r="C3475" s="122" t="n">
        <v>110</v>
      </c>
      <c r="D3475" s="122" t="n">
        <v>3</v>
      </c>
      <c r="E3475" s="123" t="n">
        <v>1405.78</v>
      </c>
      <c r="F3475" s="124">
        <f>IF(C3475&lt;=30,5,IF(C3475&lt;=60,4,IF(C3475&lt;=120,3,IF(C3475&lt;=200,2,1))))</f>
        <v/>
      </c>
      <c r="G3475" s="124">
        <f>IF(D3475&gt;=20,5,IF(D3475&gt;=10,4,IF(D3475&gt;=5,3,IF(D3475&gt;=2,2,1))))</f>
        <v/>
      </c>
      <c r="H3475" s="124">
        <f>IF(E3475&gt;=5000,5,IF(E3475&gt;=2000,4,IF(E3475&gt;=800,3,IF(E3475&gt;=300,2,1))))</f>
        <v/>
      </c>
      <c r="I3475" s="122">
        <f>TEXT(F3475,"0")&amp;TEXT(G3475,"0")&amp;TEXT(H3475,"0")</f>
        <v/>
      </c>
      <c r="J3475" s="122">
        <f>IFERROR(XLOOKUP(I3475,'Segment Map'!A:A,'Segment Map'!B:B,"Need Attention"),"Need Attention")</f>
        <v/>
      </c>
      <c r="K3475" s="122">
        <f>IF(E3475&gt;=5000,"🏆 Platinum",IF(E3475&gt;=2000,"🥇 Gold",IF(E3475&gt;=800,"🥈 Silver","🥉 Bronze")))</f>
        <v/>
      </c>
      <c r="L3475" s="125" t="n">
        <v>40777</v>
      </c>
    </row>
    <row r="3476">
      <c r="A3476" s="126" t="n">
        <v>17084</v>
      </c>
      <c r="B3476" s="126" t="inlineStr">
        <is>
          <t>United Kingdom</t>
        </is>
      </c>
      <c r="C3476" s="126" t="n">
        <v>36</v>
      </c>
      <c r="D3476" s="126" t="n">
        <v>2</v>
      </c>
      <c r="E3476" s="127" t="n">
        <v>2949.75</v>
      </c>
      <c r="F3476" s="128">
        <f>IF(C3476&lt;=30,5,IF(C3476&lt;=60,4,IF(C3476&lt;=120,3,IF(C3476&lt;=200,2,1))))</f>
        <v/>
      </c>
      <c r="G3476" s="128">
        <f>IF(D3476&gt;=20,5,IF(D3476&gt;=10,4,IF(D3476&gt;=5,3,IF(D3476&gt;=2,2,1))))</f>
        <v/>
      </c>
      <c r="H3476" s="128">
        <f>IF(E3476&gt;=5000,5,IF(E3476&gt;=2000,4,IF(E3476&gt;=800,3,IF(E3476&gt;=300,2,1))))</f>
        <v/>
      </c>
      <c r="I3476" s="126">
        <f>TEXT(F3476,"0")&amp;TEXT(G3476,"0")&amp;TEXT(H3476,"0")</f>
        <v/>
      </c>
      <c r="J3476" s="126">
        <f>IFERROR(XLOOKUP(I3476,'Segment Map'!A:A,'Segment Map'!B:B,"Need Attention"),"Need Attention")</f>
        <v/>
      </c>
      <c r="K3476" s="126">
        <f>IF(E3476&gt;=5000,"🏆 Platinum",IF(E3476&gt;=2000,"🥇 Gold",IF(E3476&gt;=800,"🥈 Silver","🥉 Bronze")))</f>
        <v/>
      </c>
      <c r="L3476" s="129" t="n">
        <v>40851</v>
      </c>
    </row>
    <row r="3477">
      <c r="A3477" s="122" t="n">
        <v>17085</v>
      </c>
      <c r="B3477" s="122" t="inlineStr">
        <is>
          <t>United Kingdom</t>
        </is>
      </c>
      <c r="C3477" s="122" t="n">
        <v>124</v>
      </c>
      <c r="D3477" s="122" t="n">
        <v>5</v>
      </c>
      <c r="E3477" s="123" t="n">
        <v>1566.65</v>
      </c>
      <c r="F3477" s="124">
        <f>IF(C3477&lt;=30,5,IF(C3477&lt;=60,4,IF(C3477&lt;=120,3,IF(C3477&lt;=200,2,1))))</f>
        <v/>
      </c>
      <c r="G3477" s="124">
        <f>IF(D3477&gt;=20,5,IF(D3477&gt;=10,4,IF(D3477&gt;=5,3,IF(D3477&gt;=2,2,1))))</f>
        <v/>
      </c>
      <c r="H3477" s="124">
        <f>IF(E3477&gt;=5000,5,IF(E3477&gt;=2000,4,IF(E3477&gt;=800,3,IF(E3477&gt;=300,2,1))))</f>
        <v/>
      </c>
      <c r="I3477" s="122">
        <f>TEXT(F3477,"0")&amp;TEXT(G3477,"0")&amp;TEXT(H3477,"0")</f>
        <v/>
      </c>
      <c r="J3477" s="122">
        <f>IFERROR(XLOOKUP(I3477,'Segment Map'!A:A,'Segment Map'!B:B,"Need Attention"),"Need Attention")</f>
        <v/>
      </c>
      <c r="K3477" s="122">
        <f>IF(E3477&gt;=5000,"🏆 Platinum",IF(E3477&gt;=2000,"🥇 Gold",IF(E3477&gt;=800,"🥈 Silver","🥉 Bronze")))</f>
        <v/>
      </c>
      <c r="L3477" s="125" t="n">
        <v>40763</v>
      </c>
    </row>
    <row r="3478">
      <c r="A3478" s="126" t="n">
        <v>17086</v>
      </c>
      <c r="B3478" s="126" t="inlineStr">
        <is>
          <t>United Kingdom</t>
        </is>
      </c>
      <c r="C3478" s="126" t="n">
        <v>8</v>
      </c>
      <c r="D3478" s="126" t="n">
        <v>6</v>
      </c>
      <c r="E3478" s="127" t="n">
        <v>2050.08</v>
      </c>
      <c r="F3478" s="128">
        <f>IF(C3478&lt;=30,5,IF(C3478&lt;=60,4,IF(C3478&lt;=120,3,IF(C3478&lt;=200,2,1))))</f>
        <v/>
      </c>
      <c r="G3478" s="128">
        <f>IF(D3478&gt;=20,5,IF(D3478&gt;=10,4,IF(D3478&gt;=5,3,IF(D3478&gt;=2,2,1))))</f>
        <v/>
      </c>
      <c r="H3478" s="128">
        <f>IF(E3478&gt;=5000,5,IF(E3478&gt;=2000,4,IF(E3478&gt;=800,3,IF(E3478&gt;=300,2,1))))</f>
        <v/>
      </c>
      <c r="I3478" s="126">
        <f>TEXT(F3478,"0")&amp;TEXT(G3478,"0")&amp;TEXT(H3478,"0")</f>
        <v/>
      </c>
      <c r="J3478" s="126">
        <f>IFERROR(XLOOKUP(I3478,'Segment Map'!A:A,'Segment Map'!B:B,"Need Attention"),"Need Attention")</f>
        <v/>
      </c>
      <c r="K3478" s="126">
        <f>IF(E3478&gt;=5000,"🏆 Platinum",IF(E3478&gt;=2000,"🥇 Gold",IF(E3478&gt;=800,"🥈 Silver","🥉 Bronze")))</f>
        <v/>
      </c>
      <c r="L3478" s="129" t="n">
        <v>40879</v>
      </c>
    </row>
    <row r="3479">
      <c r="A3479" s="122" t="n">
        <v>17088</v>
      </c>
      <c r="B3479" s="122" t="inlineStr">
        <is>
          <t>United Kingdom</t>
        </is>
      </c>
      <c r="C3479" s="122" t="n">
        <v>29</v>
      </c>
      <c r="D3479" s="122" t="n">
        <v>4</v>
      </c>
      <c r="E3479" s="123" t="n">
        <v>1991.01</v>
      </c>
      <c r="F3479" s="124">
        <f>IF(C3479&lt;=30,5,IF(C3479&lt;=60,4,IF(C3479&lt;=120,3,IF(C3479&lt;=200,2,1))))</f>
        <v/>
      </c>
      <c r="G3479" s="124">
        <f>IF(D3479&gt;=20,5,IF(D3479&gt;=10,4,IF(D3479&gt;=5,3,IF(D3479&gt;=2,2,1))))</f>
        <v/>
      </c>
      <c r="H3479" s="124">
        <f>IF(E3479&gt;=5000,5,IF(E3479&gt;=2000,4,IF(E3479&gt;=800,3,IF(E3479&gt;=300,2,1))))</f>
        <v/>
      </c>
      <c r="I3479" s="122">
        <f>TEXT(F3479,"0")&amp;TEXT(G3479,"0")&amp;TEXT(H3479,"0")</f>
        <v/>
      </c>
      <c r="J3479" s="122">
        <f>IFERROR(XLOOKUP(I3479,'Segment Map'!A:A,'Segment Map'!B:B,"Need Attention"),"Need Attention")</f>
        <v/>
      </c>
      <c r="K3479" s="122">
        <f>IF(E3479&gt;=5000,"🏆 Platinum",IF(E3479&gt;=2000,"🥇 Gold",IF(E3479&gt;=800,"🥈 Silver","🥉 Bronze")))</f>
        <v/>
      </c>
      <c r="L3479" s="125" t="n">
        <v>40858</v>
      </c>
    </row>
    <row r="3480">
      <c r="A3480" s="126" t="n">
        <v>17090</v>
      </c>
      <c r="B3480" s="126" t="inlineStr">
        <is>
          <t>United Kingdom</t>
        </is>
      </c>
      <c r="C3480" s="126" t="n">
        <v>5</v>
      </c>
      <c r="D3480" s="126" t="n">
        <v>7</v>
      </c>
      <c r="E3480" s="127" t="n">
        <v>2043.95</v>
      </c>
      <c r="F3480" s="128">
        <f>IF(C3480&lt;=30,5,IF(C3480&lt;=60,4,IF(C3480&lt;=120,3,IF(C3480&lt;=200,2,1))))</f>
        <v/>
      </c>
      <c r="G3480" s="128">
        <f>IF(D3480&gt;=20,5,IF(D3480&gt;=10,4,IF(D3480&gt;=5,3,IF(D3480&gt;=2,2,1))))</f>
        <v/>
      </c>
      <c r="H3480" s="128">
        <f>IF(E3480&gt;=5000,5,IF(E3480&gt;=2000,4,IF(E3480&gt;=800,3,IF(E3480&gt;=300,2,1))))</f>
        <v/>
      </c>
      <c r="I3480" s="126">
        <f>TEXT(F3480,"0")&amp;TEXT(G3480,"0")&amp;TEXT(H3480,"0")</f>
        <v/>
      </c>
      <c r="J3480" s="126">
        <f>IFERROR(XLOOKUP(I3480,'Segment Map'!A:A,'Segment Map'!B:B,"Need Attention"),"Need Attention")</f>
        <v/>
      </c>
      <c r="K3480" s="126">
        <f>IF(E3480&gt;=5000,"🏆 Platinum",IF(E3480&gt;=2000,"🥇 Gold",IF(E3480&gt;=800,"🥈 Silver","🥉 Bronze")))</f>
        <v/>
      </c>
      <c r="L3480" s="129" t="n">
        <v>40882</v>
      </c>
    </row>
    <row r="3481">
      <c r="A3481" s="122" t="n">
        <v>17091</v>
      </c>
      <c r="B3481" s="122" t="inlineStr">
        <is>
          <t>United Kingdom</t>
        </is>
      </c>
      <c r="C3481" s="122" t="n">
        <v>3</v>
      </c>
      <c r="D3481" s="122" t="n">
        <v>9</v>
      </c>
      <c r="E3481" s="123" t="n">
        <v>3827.76</v>
      </c>
      <c r="F3481" s="124">
        <f>IF(C3481&lt;=30,5,IF(C3481&lt;=60,4,IF(C3481&lt;=120,3,IF(C3481&lt;=200,2,1))))</f>
        <v/>
      </c>
      <c r="G3481" s="124">
        <f>IF(D3481&gt;=20,5,IF(D3481&gt;=10,4,IF(D3481&gt;=5,3,IF(D3481&gt;=2,2,1))))</f>
        <v/>
      </c>
      <c r="H3481" s="124">
        <f>IF(E3481&gt;=5000,5,IF(E3481&gt;=2000,4,IF(E3481&gt;=800,3,IF(E3481&gt;=300,2,1))))</f>
        <v/>
      </c>
      <c r="I3481" s="122">
        <f>TEXT(F3481,"0")&amp;TEXT(G3481,"0")&amp;TEXT(H3481,"0")</f>
        <v/>
      </c>
      <c r="J3481" s="122">
        <f>IFERROR(XLOOKUP(I3481,'Segment Map'!A:A,'Segment Map'!B:B,"Need Attention"),"Need Attention")</f>
        <v/>
      </c>
      <c r="K3481" s="122">
        <f>IF(E3481&gt;=5000,"🏆 Platinum",IF(E3481&gt;=2000,"🥇 Gold",IF(E3481&gt;=800,"🥈 Silver","🥉 Bronze")))</f>
        <v/>
      </c>
      <c r="L3481" s="125" t="n">
        <v>40884</v>
      </c>
    </row>
    <row r="3482">
      <c r="A3482" s="126" t="n">
        <v>17092</v>
      </c>
      <c r="B3482" s="126" t="inlineStr">
        <is>
          <t>United Kingdom</t>
        </is>
      </c>
      <c r="C3482" s="126" t="n">
        <v>51</v>
      </c>
      <c r="D3482" s="126" t="n">
        <v>4</v>
      </c>
      <c r="E3482" s="127" t="n">
        <v>1777.78</v>
      </c>
      <c r="F3482" s="128">
        <f>IF(C3482&lt;=30,5,IF(C3482&lt;=60,4,IF(C3482&lt;=120,3,IF(C3482&lt;=200,2,1))))</f>
        <v/>
      </c>
      <c r="G3482" s="128">
        <f>IF(D3482&gt;=20,5,IF(D3482&gt;=10,4,IF(D3482&gt;=5,3,IF(D3482&gt;=2,2,1))))</f>
        <v/>
      </c>
      <c r="H3482" s="128">
        <f>IF(E3482&gt;=5000,5,IF(E3482&gt;=2000,4,IF(E3482&gt;=800,3,IF(E3482&gt;=300,2,1))))</f>
        <v/>
      </c>
      <c r="I3482" s="126">
        <f>TEXT(F3482,"0")&amp;TEXT(G3482,"0")&amp;TEXT(H3482,"0")</f>
        <v/>
      </c>
      <c r="J3482" s="126">
        <f>IFERROR(XLOOKUP(I3482,'Segment Map'!A:A,'Segment Map'!B:B,"Need Attention"),"Need Attention")</f>
        <v/>
      </c>
      <c r="K3482" s="126">
        <f>IF(E3482&gt;=5000,"🏆 Platinum",IF(E3482&gt;=2000,"🥇 Gold",IF(E3482&gt;=800,"🥈 Silver","🥉 Bronze")))</f>
        <v/>
      </c>
      <c r="L3482" s="129" t="n">
        <v>40836</v>
      </c>
    </row>
    <row r="3483">
      <c r="A3483" s="122" t="n">
        <v>17094</v>
      </c>
      <c r="B3483" s="122" t="inlineStr">
        <is>
          <t>United Kingdom</t>
        </is>
      </c>
      <c r="C3483" s="122" t="n">
        <v>323</v>
      </c>
      <c r="D3483" s="122" t="n">
        <v>1</v>
      </c>
      <c r="E3483" s="123" t="n">
        <v>302</v>
      </c>
      <c r="F3483" s="124">
        <f>IF(C3483&lt;=30,5,IF(C3483&lt;=60,4,IF(C3483&lt;=120,3,IF(C3483&lt;=200,2,1))))</f>
        <v/>
      </c>
      <c r="G3483" s="124">
        <f>IF(D3483&gt;=20,5,IF(D3483&gt;=10,4,IF(D3483&gt;=5,3,IF(D3483&gt;=2,2,1))))</f>
        <v/>
      </c>
      <c r="H3483" s="124">
        <f>IF(E3483&gt;=5000,5,IF(E3483&gt;=2000,4,IF(E3483&gt;=800,3,IF(E3483&gt;=300,2,1))))</f>
        <v/>
      </c>
      <c r="I3483" s="122">
        <f>TEXT(F3483,"0")&amp;TEXT(G3483,"0")&amp;TEXT(H3483,"0")</f>
        <v/>
      </c>
      <c r="J3483" s="122">
        <f>IFERROR(XLOOKUP(I3483,'Segment Map'!A:A,'Segment Map'!B:B,"Need Attention"),"Need Attention")</f>
        <v/>
      </c>
      <c r="K3483" s="122">
        <f>IF(E3483&gt;=5000,"🏆 Platinum",IF(E3483&gt;=2000,"🥇 Gold",IF(E3483&gt;=800,"🥈 Silver","🥉 Bronze")))</f>
        <v/>
      </c>
      <c r="L3483" s="125" t="n">
        <v>40564</v>
      </c>
    </row>
    <row r="3484">
      <c r="A3484" s="126" t="n">
        <v>17095</v>
      </c>
      <c r="B3484" s="126" t="inlineStr">
        <is>
          <t>United Kingdom</t>
        </is>
      </c>
      <c r="C3484" s="126" t="n">
        <v>23</v>
      </c>
      <c r="D3484" s="126" t="n">
        <v>3</v>
      </c>
      <c r="E3484" s="127" t="n">
        <v>1324.16</v>
      </c>
      <c r="F3484" s="128">
        <f>IF(C3484&lt;=30,5,IF(C3484&lt;=60,4,IF(C3484&lt;=120,3,IF(C3484&lt;=200,2,1))))</f>
        <v/>
      </c>
      <c r="G3484" s="128">
        <f>IF(D3484&gt;=20,5,IF(D3484&gt;=10,4,IF(D3484&gt;=5,3,IF(D3484&gt;=2,2,1))))</f>
        <v/>
      </c>
      <c r="H3484" s="128">
        <f>IF(E3484&gt;=5000,5,IF(E3484&gt;=2000,4,IF(E3484&gt;=800,3,IF(E3484&gt;=300,2,1))))</f>
        <v/>
      </c>
      <c r="I3484" s="126">
        <f>TEXT(F3484,"0")&amp;TEXT(G3484,"0")&amp;TEXT(H3484,"0")</f>
        <v/>
      </c>
      <c r="J3484" s="126">
        <f>IFERROR(XLOOKUP(I3484,'Segment Map'!A:A,'Segment Map'!B:B,"Need Attention"),"Need Attention")</f>
        <v/>
      </c>
      <c r="K3484" s="126">
        <f>IF(E3484&gt;=5000,"🏆 Platinum",IF(E3484&gt;=2000,"🥇 Gold",IF(E3484&gt;=800,"🥈 Silver","🥉 Bronze")))</f>
        <v/>
      </c>
      <c r="L3484" s="129" t="n">
        <v>40864</v>
      </c>
    </row>
    <row r="3485">
      <c r="A3485" s="122" t="n">
        <v>17096</v>
      </c>
      <c r="B3485" s="122" t="inlineStr">
        <is>
          <t>United Kingdom</t>
        </is>
      </c>
      <c r="C3485" s="122" t="n">
        <v>16</v>
      </c>
      <c r="D3485" s="122" t="n">
        <v>4</v>
      </c>
      <c r="E3485" s="123" t="n">
        <v>1022.13</v>
      </c>
      <c r="F3485" s="124">
        <f>IF(C3485&lt;=30,5,IF(C3485&lt;=60,4,IF(C3485&lt;=120,3,IF(C3485&lt;=200,2,1))))</f>
        <v/>
      </c>
      <c r="G3485" s="124">
        <f>IF(D3485&gt;=20,5,IF(D3485&gt;=10,4,IF(D3485&gt;=5,3,IF(D3485&gt;=2,2,1))))</f>
        <v/>
      </c>
      <c r="H3485" s="124">
        <f>IF(E3485&gt;=5000,5,IF(E3485&gt;=2000,4,IF(E3485&gt;=800,3,IF(E3485&gt;=300,2,1))))</f>
        <v/>
      </c>
      <c r="I3485" s="122">
        <f>TEXT(F3485,"0")&amp;TEXT(G3485,"0")&amp;TEXT(H3485,"0")</f>
        <v/>
      </c>
      <c r="J3485" s="122">
        <f>IFERROR(XLOOKUP(I3485,'Segment Map'!A:A,'Segment Map'!B:B,"Need Attention"),"Need Attention")</f>
        <v/>
      </c>
      <c r="K3485" s="122">
        <f>IF(E3485&gt;=5000,"🏆 Platinum",IF(E3485&gt;=2000,"🥇 Gold",IF(E3485&gt;=800,"🥈 Silver","🥉 Bronze")))</f>
        <v/>
      </c>
      <c r="L3485" s="125" t="n">
        <v>40871</v>
      </c>
    </row>
    <row r="3486">
      <c r="A3486" s="126" t="n">
        <v>17097</v>
      </c>
      <c r="B3486" s="126" t="inlineStr">
        <is>
          <t>Spain</t>
        </is>
      </c>
      <c r="C3486" s="126" t="n">
        <v>3</v>
      </c>
      <c r="D3486" s="126" t="n">
        <v>8</v>
      </c>
      <c r="E3486" s="127" t="n">
        <v>954.42</v>
      </c>
      <c r="F3486" s="128">
        <f>IF(C3486&lt;=30,5,IF(C3486&lt;=60,4,IF(C3486&lt;=120,3,IF(C3486&lt;=200,2,1))))</f>
        <v/>
      </c>
      <c r="G3486" s="128">
        <f>IF(D3486&gt;=20,5,IF(D3486&gt;=10,4,IF(D3486&gt;=5,3,IF(D3486&gt;=2,2,1))))</f>
        <v/>
      </c>
      <c r="H3486" s="128">
        <f>IF(E3486&gt;=5000,5,IF(E3486&gt;=2000,4,IF(E3486&gt;=800,3,IF(E3486&gt;=300,2,1))))</f>
        <v/>
      </c>
      <c r="I3486" s="126">
        <f>TEXT(F3486,"0")&amp;TEXT(G3486,"0")&amp;TEXT(H3486,"0")</f>
        <v/>
      </c>
      <c r="J3486" s="126">
        <f>IFERROR(XLOOKUP(I3486,'Segment Map'!A:A,'Segment Map'!B:B,"Need Attention"),"Need Attention")</f>
        <v/>
      </c>
      <c r="K3486" s="126">
        <f>IF(E3486&gt;=5000,"🏆 Platinum",IF(E3486&gt;=2000,"🥇 Gold",IF(E3486&gt;=800,"🥈 Silver","🥉 Bronze")))</f>
        <v/>
      </c>
      <c r="L3486" s="129" t="n">
        <v>40884</v>
      </c>
    </row>
    <row r="3487">
      <c r="A3487" s="122" t="n">
        <v>17100</v>
      </c>
      <c r="B3487" s="122" t="inlineStr">
        <is>
          <t>United Kingdom</t>
        </is>
      </c>
      <c r="C3487" s="122" t="n">
        <v>19</v>
      </c>
      <c r="D3487" s="122" t="n">
        <v>2</v>
      </c>
      <c r="E3487" s="123" t="n">
        <v>971.74</v>
      </c>
      <c r="F3487" s="124">
        <f>IF(C3487&lt;=30,5,IF(C3487&lt;=60,4,IF(C3487&lt;=120,3,IF(C3487&lt;=200,2,1))))</f>
        <v/>
      </c>
      <c r="G3487" s="124">
        <f>IF(D3487&gt;=20,5,IF(D3487&gt;=10,4,IF(D3487&gt;=5,3,IF(D3487&gt;=2,2,1))))</f>
        <v/>
      </c>
      <c r="H3487" s="124">
        <f>IF(E3487&gt;=5000,5,IF(E3487&gt;=2000,4,IF(E3487&gt;=800,3,IF(E3487&gt;=300,2,1))))</f>
        <v/>
      </c>
      <c r="I3487" s="122">
        <f>TEXT(F3487,"0")&amp;TEXT(G3487,"0")&amp;TEXT(H3487,"0")</f>
        <v/>
      </c>
      <c r="J3487" s="122">
        <f>IFERROR(XLOOKUP(I3487,'Segment Map'!A:A,'Segment Map'!B:B,"Need Attention"),"Need Attention")</f>
        <v/>
      </c>
      <c r="K3487" s="122">
        <f>IF(E3487&gt;=5000,"🏆 Platinum",IF(E3487&gt;=2000,"🥇 Gold",IF(E3487&gt;=800,"🥈 Silver","🥉 Bronze")))</f>
        <v/>
      </c>
      <c r="L3487" s="125" t="n">
        <v>40868</v>
      </c>
    </row>
    <row r="3488">
      <c r="A3488" s="126" t="n">
        <v>17101</v>
      </c>
      <c r="B3488" s="126" t="inlineStr">
        <is>
          <t>United Kingdom</t>
        </is>
      </c>
      <c r="C3488" s="126" t="n">
        <v>11</v>
      </c>
      <c r="D3488" s="126" t="n">
        <v>4</v>
      </c>
      <c r="E3488" s="127" t="n">
        <v>1621.73</v>
      </c>
      <c r="F3488" s="128">
        <f>IF(C3488&lt;=30,5,IF(C3488&lt;=60,4,IF(C3488&lt;=120,3,IF(C3488&lt;=200,2,1))))</f>
        <v/>
      </c>
      <c r="G3488" s="128">
        <f>IF(D3488&gt;=20,5,IF(D3488&gt;=10,4,IF(D3488&gt;=5,3,IF(D3488&gt;=2,2,1))))</f>
        <v/>
      </c>
      <c r="H3488" s="128">
        <f>IF(E3488&gt;=5000,5,IF(E3488&gt;=2000,4,IF(E3488&gt;=800,3,IF(E3488&gt;=300,2,1))))</f>
        <v/>
      </c>
      <c r="I3488" s="126">
        <f>TEXT(F3488,"0")&amp;TEXT(G3488,"0")&amp;TEXT(H3488,"0")</f>
        <v/>
      </c>
      <c r="J3488" s="126">
        <f>IFERROR(XLOOKUP(I3488,'Segment Map'!A:A,'Segment Map'!B:B,"Need Attention"),"Need Attention")</f>
        <v/>
      </c>
      <c r="K3488" s="126">
        <f>IF(E3488&gt;=5000,"🏆 Platinum",IF(E3488&gt;=2000,"🥇 Gold",IF(E3488&gt;=800,"🥈 Silver","🥉 Bronze")))</f>
        <v/>
      </c>
      <c r="L3488" s="129" t="n">
        <v>40876</v>
      </c>
    </row>
    <row r="3489">
      <c r="A3489" s="122" t="n">
        <v>17102</v>
      </c>
      <c r="B3489" s="122" t="inlineStr">
        <is>
          <t>United Kingdom</t>
        </is>
      </c>
      <c r="C3489" s="122" t="n">
        <v>262</v>
      </c>
      <c r="D3489" s="122" t="n">
        <v>1</v>
      </c>
      <c r="E3489" s="123" t="n">
        <v>25.5</v>
      </c>
      <c r="F3489" s="124">
        <f>IF(C3489&lt;=30,5,IF(C3489&lt;=60,4,IF(C3489&lt;=120,3,IF(C3489&lt;=200,2,1))))</f>
        <v/>
      </c>
      <c r="G3489" s="124">
        <f>IF(D3489&gt;=20,5,IF(D3489&gt;=10,4,IF(D3489&gt;=5,3,IF(D3489&gt;=2,2,1))))</f>
        <v/>
      </c>
      <c r="H3489" s="124">
        <f>IF(E3489&gt;=5000,5,IF(E3489&gt;=2000,4,IF(E3489&gt;=800,3,IF(E3489&gt;=300,2,1))))</f>
        <v/>
      </c>
      <c r="I3489" s="122">
        <f>TEXT(F3489,"0")&amp;TEXT(G3489,"0")&amp;TEXT(H3489,"0")</f>
        <v/>
      </c>
      <c r="J3489" s="122">
        <f>IFERROR(XLOOKUP(I3489,'Segment Map'!A:A,'Segment Map'!B:B,"Need Attention"),"Need Attention")</f>
        <v/>
      </c>
      <c r="K3489" s="122">
        <f>IF(E3489&gt;=5000,"🏆 Platinum",IF(E3489&gt;=2000,"🥇 Gold",IF(E3489&gt;=800,"🥈 Silver","🥉 Bronze")))</f>
        <v/>
      </c>
      <c r="L3489" s="125" t="n">
        <v>40625</v>
      </c>
    </row>
    <row r="3490">
      <c r="A3490" s="126" t="n">
        <v>17105</v>
      </c>
      <c r="B3490" s="126" t="inlineStr">
        <is>
          <t>United Kingdom</t>
        </is>
      </c>
      <c r="C3490" s="126" t="n">
        <v>160</v>
      </c>
      <c r="D3490" s="126" t="n">
        <v>2</v>
      </c>
      <c r="E3490" s="127" t="n">
        <v>665.78</v>
      </c>
      <c r="F3490" s="128">
        <f>IF(C3490&lt;=30,5,IF(C3490&lt;=60,4,IF(C3490&lt;=120,3,IF(C3490&lt;=200,2,1))))</f>
        <v/>
      </c>
      <c r="G3490" s="128">
        <f>IF(D3490&gt;=20,5,IF(D3490&gt;=10,4,IF(D3490&gt;=5,3,IF(D3490&gt;=2,2,1))))</f>
        <v/>
      </c>
      <c r="H3490" s="128">
        <f>IF(E3490&gt;=5000,5,IF(E3490&gt;=2000,4,IF(E3490&gt;=800,3,IF(E3490&gt;=300,2,1))))</f>
        <v/>
      </c>
      <c r="I3490" s="126">
        <f>TEXT(F3490,"0")&amp;TEXT(G3490,"0")&amp;TEXT(H3490,"0")</f>
        <v/>
      </c>
      <c r="J3490" s="126">
        <f>IFERROR(XLOOKUP(I3490,'Segment Map'!A:A,'Segment Map'!B:B,"Need Attention"),"Need Attention")</f>
        <v/>
      </c>
      <c r="K3490" s="126">
        <f>IF(E3490&gt;=5000,"🏆 Platinum",IF(E3490&gt;=2000,"🥇 Gold",IF(E3490&gt;=800,"🥈 Silver","🥉 Bronze")))</f>
        <v/>
      </c>
      <c r="L3490" s="129" t="n">
        <v>40727</v>
      </c>
    </row>
    <row r="3491">
      <c r="A3491" s="122" t="n">
        <v>17107</v>
      </c>
      <c r="B3491" s="122" t="inlineStr">
        <is>
          <t>United Kingdom</t>
        </is>
      </c>
      <c r="C3491" s="122" t="n">
        <v>34</v>
      </c>
      <c r="D3491" s="122" t="n">
        <v>6</v>
      </c>
      <c r="E3491" s="123" t="n">
        <v>10815.43</v>
      </c>
      <c r="F3491" s="124">
        <f>IF(C3491&lt;=30,5,IF(C3491&lt;=60,4,IF(C3491&lt;=120,3,IF(C3491&lt;=200,2,1))))</f>
        <v/>
      </c>
      <c r="G3491" s="124">
        <f>IF(D3491&gt;=20,5,IF(D3491&gt;=10,4,IF(D3491&gt;=5,3,IF(D3491&gt;=2,2,1))))</f>
        <v/>
      </c>
      <c r="H3491" s="124">
        <f>IF(E3491&gt;=5000,5,IF(E3491&gt;=2000,4,IF(E3491&gt;=800,3,IF(E3491&gt;=300,2,1))))</f>
        <v/>
      </c>
      <c r="I3491" s="122">
        <f>TEXT(F3491,"0")&amp;TEXT(G3491,"0")&amp;TEXT(H3491,"0")</f>
        <v/>
      </c>
      <c r="J3491" s="122">
        <f>IFERROR(XLOOKUP(I3491,'Segment Map'!A:A,'Segment Map'!B:B,"Need Attention"),"Need Attention")</f>
        <v/>
      </c>
      <c r="K3491" s="122">
        <f>IF(E3491&gt;=5000,"🏆 Platinum",IF(E3491&gt;=2000,"🥇 Gold",IF(E3491&gt;=800,"🥈 Silver","🥉 Bronze")))</f>
        <v/>
      </c>
      <c r="L3491" s="125" t="n">
        <v>40853</v>
      </c>
    </row>
    <row r="3492">
      <c r="A3492" s="126" t="n">
        <v>17109</v>
      </c>
      <c r="B3492" s="126" t="inlineStr">
        <is>
          <t>United Kingdom</t>
        </is>
      </c>
      <c r="C3492" s="126" t="n">
        <v>30</v>
      </c>
      <c r="D3492" s="126" t="n">
        <v>6</v>
      </c>
      <c r="E3492" s="127" t="n">
        <v>885.04</v>
      </c>
      <c r="F3492" s="128">
        <f>IF(C3492&lt;=30,5,IF(C3492&lt;=60,4,IF(C3492&lt;=120,3,IF(C3492&lt;=200,2,1))))</f>
        <v/>
      </c>
      <c r="G3492" s="128">
        <f>IF(D3492&gt;=20,5,IF(D3492&gt;=10,4,IF(D3492&gt;=5,3,IF(D3492&gt;=2,2,1))))</f>
        <v/>
      </c>
      <c r="H3492" s="128">
        <f>IF(E3492&gt;=5000,5,IF(E3492&gt;=2000,4,IF(E3492&gt;=800,3,IF(E3492&gt;=300,2,1))))</f>
        <v/>
      </c>
      <c r="I3492" s="126">
        <f>TEXT(F3492,"0")&amp;TEXT(G3492,"0")&amp;TEXT(H3492,"0")</f>
        <v/>
      </c>
      <c r="J3492" s="126">
        <f>IFERROR(XLOOKUP(I3492,'Segment Map'!A:A,'Segment Map'!B:B,"Need Attention"),"Need Attention")</f>
        <v/>
      </c>
      <c r="K3492" s="126">
        <f>IF(E3492&gt;=5000,"🏆 Platinum",IF(E3492&gt;=2000,"🥇 Gold",IF(E3492&gt;=800,"🥈 Silver","🥉 Bronze")))</f>
        <v/>
      </c>
      <c r="L3492" s="129" t="n">
        <v>40857</v>
      </c>
    </row>
    <row r="3493">
      <c r="A3493" s="122" t="n">
        <v>17110</v>
      </c>
      <c r="B3493" s="122" t="inlineStr">
        <is>
          <t>United Kingdom</t>
        </is>
      </c>
      <c r="C3493" s="122" t="n">
        <v>166</v>
      </c>
      <c r="D3493" s="122" t="n">
        <v>1</v>
      </c>
      <c r="E3493" s="123" t="n">
        <v>163.3</v>
      </c>
      <c r="F3493" s="124">
        <f>IF(C3493&lt;=30,5,IF(C3493&lt;=60,4,IF(C3493&lt;=120,3,IF(C3493&lt;=200,2,1))))</f>
        <v/>
      </c>
      <c r="G3493" s="124">
        <f>IF(D3493&gt;=20,5,IF(D3493&gt;=10,4,IF(D3493&gt;=5,3,IF(D3493&gt;=2,2,1))))</f>
        <v/>
      </c>
      <c r="H3493" s="124">
        <f>IF(E3493&gt;=5000,5,IF(E3493&gt;=2000,4,IF(E3493&gt;=800,3,IF(E3493&gt;=300,2,1))))</f>
        <v/>
      </c>
      <c r="I3493" s="122">
        <f>TEXT(F3493,"0")&amp;TEXT(G3493,"0")&amp;TEXT(H3493,"0")</f>
        <v/>
      </c>
      <c r="J3493" s="122">
        <f>IFERROR(XLOOKUP(I3493,'Segment Map'!A:A,'Segment Map'!B:B,"Need Attention"),"Need Attention")</f>
        <v/>
      </c>
      <c r="K3493" s="122">
        <f>IF(E3493&gt;=5000,"🏆 Platinum",IF(E3493&gt;=2000,"🥇 Gold",IF(E3493&gt;=800,"🥈 Silver","🥉 Bronze")))</f>
        <v/>
      </c>
      <c r="L3493" s="125" t="n">
        <v>40721</v>
      </c>
    </row>
    <row r="3494">
      <c r="A3494" s="126" t="n">
        <v>17111</v>
      </c>
      <c r="B3494" s="126" t="inlineStr">
        <is>
          <t>United Kingdom</t>
        </is>
      </c>
      <c r="C3494" s="126" t="n">
        <v>48</v>
      </c>
      <c r="D3494" s="126" t="n">
        <v>1</v>
      </c>
      <c r="E3494" s="127" t="n">
        <v>248.61</v>
      </c>
      <c r="F3494" s="128">
        <f>IF(C3494&lt;=30,5,IF(C3494&lt;=60,4,IF(C3494&lt;=120,3,IF(C3494&lt;=200,2,1))))</f>
        <v/>
      </c>
      <c r="G3494" s="128">
        <f>IF(D3494&gt;=20,5,IF(D3494&gt;=10,4,IF(D3494&gt;=5,3,IF(D3494&gt;=2,2,1))))</f>
        <v/>
      </c>
      <c r="H3494" s="128">
        <f>IF(E3494&gt;=5000,5,IF(E3494&gt;=2000,4,IF(E3494&gt;=800,3,IF(E3494&gt;=300,2,1))))</f>
        <v/>
      </c>
      <c r="I3494" s="126">
        <f>TEXT(F3494,"0")&amp;TEXT(G3494,"0")&amp;TEXT(H3494,"0")</f>
        <v/>
      </c>
      <c r="J3494" s="126">
        <f>IFERROR(XLOOKUP(I3494,'Segment Map'!A:A,'Segment Map'!B:B,"Need Attention"),"Need Attention")</f>
        <v/>
      </c>
      <c r="K3494" s="126">
        <f>IF(E3494&gt;=5000,"🏆 Platinum",IF(E3494&gt;=2000,"🥇 Gold",IF(E3494&gt;=800,"🥈 Silver","🥉 Bronze")))</f>
        <v/>
      </c>
      <c r="L3494" s="129" t="n">
        <v>40839</v>
      </c>
    </row>
    <row r="3495">
      <c r="A3495" s="122" t="n">
        <v>17114</v>
      </c>
      <c r="B3495" s="122" t="inlineStr">
        <is>
          <t>United Kingdom</t>
        </is>
      </c>
      <c r="C3495" s="122" t="n">
        <v>6</v>
      </c>
      <c r="D3495" s="122" t="n">
        <v>8</v>
      </c>
      <c r="E3495" s="123" t="n">
        <v>808.62</v>
      </c>
      <c r="F3495" s="124">
        <f>IF(C3495&lt;=30,5,IF(C3495&lt;=60,4,IF(C3495&lt;=120,3,IF(C3495&lt;=200,2,1))))</f>
        <v/>
      </c>
      <c r="G3495" s="124">
        <f>IF(D3495&gt;=20,5,IF(D3495&gt;=10,4,IF(D3495&gt;=5,3,IF(D3495&gt;=2,2,1))))</f>
        <v/>
      </c>
      <c r="H3495" s="124">
        <f>IF(E3495&gt;=5000,5,IF(E3495&gt;=2000,4,IF(E3495&gt;=800,3,IF(E3495&gt;=300,2,1))))</f>
        <v/>
      </c>
      <c r="I3495" s="122">
        <f>TEXT(F3495,"0")&amp;TEXT(G3495,"0")&amp;TEXT(H3495,"0")</f>
        <v/>
      </c>
      <c r="J3495" s="122">
        <f>IFERROR(XLOOKUP(I3495,'Segment Map'!A:A,'Segment Map'!B:B,"Need Attention"),"Need Attention")</f>
        <v/>
      </c>
      <c r="K3495" s="122">
        <f>IF(E3495&gt;=5000,"🏆 Platinum",IF(E3495&gt;=2000,"🥇 Gold",IF(E3495&gt;=800,"🥈 Silver","🥉 Bronze")))</f>
        <v/>
      </c>
      <c r="L3495" s="125" t="n">
        <v>40881</v>
      </c>
    </row>
    <row r="3496">
      <c r="A3496" s="126" t="n">
        <v>17115</v>
      </c>
      <c r="B3496" s="126" t="inlineStr">
        <is>
          <t>United Kingdom</t>
        </is>
      </c>
      <c r="C3496" s="126" t="n">
        <v>9</v>
      </c>
      <c r="D3496" s="126" t="n">
        <v>3</v>
      </c>
      <c r="E3496" s="127" t="n">
        <v>837.5</v>
      </c>
      <c r="F3496" s="128">
        <f>IF(C3496&lt;=30,5,IF(C3496&lt;=60,4,IF(C3496&lt;=120,3,IF(C3496&lt;=200,2,1))))</f>
        <v/>
      </c>
      <c r="G3496" s="128">
        <f>IF(D3496&gt;=20,5,IF(D3496&gt;=10,4,IF(D3496&gt;=5,3,IF(D3496&gt;=2,2,1))))</f>
        <v/>
      </c>
      <c r="H3496" s="128">
        <f>IF(E3496&gt;=5000,5,IF(E3496&gt;=2000,4,IF(E3496&gt;=800,3,IF(E3496&gt;=300,2,1))))</f>
        <v/>
      </c>
      <c r="I3496" s="126">
        <f>TEXT(F3496,"0")&amp;TEXT(G3496,"0")&amp;TEXT(H3496,"0")</f>
        <v/>
      </c>
      <c r="J3496" s="126">
        <f>IFERROR(XLOOKUP(I3496,'Segment Map'!A:A,'Segment Map'!B:B,"Need Attention"),"Need Attention")</f>
        <v/>
      </c>
      <c r="K3496" s="126">
        <f>IF(E3496&gt;=5000,"🏆 Platinum",IF(E3496&gt;=2000,"🥇 Gold",IF(E3496&gt;=800,"🥈 Silver","🥉 Bronze")))</f>
        <v/>
      </c>
      <c r="L3496" s="129" t="n">
        <v>40878</v>
      </c>
    </row>
    <row r="3497">
      <c r="A3497" s="122" t="n">
        <v>17117</v>
      </c>
      <c r="B3497" s="122" t="inlineStr">
        <is>
          <t>United Kingdom</t>
        </is>
      </c>
      <c r="C3497" s="122" t="n">
        <v>289</v>
      </c>
      <c r="D3497" s="122" t="n">
        <v>1</v>
      </c>
      <c r="E3497" s="123" t="n">
        <v>116.2</v>
      </c>
      <c r="F3497" s="124">
        <f>IF(C3497&lt;=30,5,IF(C3497&lt;=60,4,IF(C3497&lt;=120,3,IF(C3497&lt;=200,2,1))))</f>
        <v/>
      </c>
      <c r="G3497" s="124">
        <f>IF(D3497&gt;=20,5,IF(D3497&gt;=10,4,IF(D3497&gt;=5,3,IF(D3497&gt;=2,2,1))))</f>
        <v/>
      </c>
      <c r="H3497" s="124">
        <f>IF(E3497&gt;=5000,5,IF(E3497&gt;=2000,4,IF(E3497&gt;=800,3,IF(E3497&gt;=300,2,1))))</f>
        <v/>
      </c>
      <c r="I3497" s="122">
        <f>TEXT(F3497,"0")&amp;TEXT(G3497,"0")&amp;TEXT(H3497,"0")</f>
        <v/>
      </c>
      <c r="J3497" s="122">
        <f>IFERROR(XLOOKUP(I3497,'Segment Map'!A:A,'Segment Map'!B:B,"Need Attention"),"Need Attention")</f>
        <v/>
      </c>
      <c r="K3497" s="122">
        <f>IF(E3497&gt;=5000,"🏆 Platinum",IF(E3497&gt;=2000,"🥇 Gold",IF(E3497&gt;=800,"🥈 Silver","🥉 Bronze")))</f>
        <v/>
      </c>
      <c r="L3497" s="125" t="n">
        <v>40598</v>
      </c>
    </row>
    <row r="3498">
      <c r="A3498" s="126" t="n">
        <v>17118</v>
      </c>
      <c r="B3498" s="126" t="inlineStr">
        <is>
          <t>United Kingdom</t>
        </is>
      </c>
      <c r="C3498" s="126" t="n">
        <v>318</v>
      </c>
      <c r="D3498" s="126" t="n">
        <v>1</v>
      </c>
      <c r="E3498" s="127" t="n">
        <v>157.02</v>
      </c>
      <c r="F3498" s="128">
        <f>IF(C3498&lt;=30,5,IF(C3498&lt;=60,4,IF(C3498&lt;=120,3,IF(C3498&lt;=200,2,1))))</f>
        <v/>
      </c>
      <c r="G3498" s="128">
        <f>IF(D3498&gt;=20,5,IF(D3498&gt;=10,4,IF(D3498&gt;=5,3,IF(D3498&gt;=2,2,1))))</f>
        <v/>
      </c>
      <c r="H3498" s="128">
        <f>IF(E3498&gt;=5000,5,IF(E3498&gt;=2000,4,IF(E3498&gt;=800,3,IF(E3498&gt;=300,2,1))))</f>
        <v/>
      </c>
      <c r="I3498" s="126">
        <f>TEXT(F3498,"0")&amp;TEXT(G3498,"0")&amp;TEXT(H3498,"0")</f>
        <v/>
      </c>
      <c r="J3498" s="126">
        <f>IFERROR(XLOOKUP(I3498,'Segment Map'!A:A,'Segment Map'!B:B,"Need Attention"),"Need Attention")</f>
        <v/>
      </c>
      <c r="K3498" s="126">
        <f>IF(E3498&gt;=5000,"🏆 Platinum",IF(E3498&gt;=2000,"🥇 Gold",IF(E3498&gt;=800,"🥈 Silver","🥉 Bronze")))</f>
        <v/>
      </c>
      <c r="L3498" s="129" t="n">
        <v>40569</v>
      </c>
    </row>
    <row r="3499">
      <c r="A3499" s="122" t="n">
        <v>17119</v>
      </c>
      <c r="B3499" s="122" t="inlineStr">
        <is>
          <t>United Kingdom</t>
        </is>
      </c>
      <c r="C3499" s="122" t="n">
        <v>4</v>
      </c>
      <c r="D3499" s="122" t="n">
        <v>2</v>
      </c>
      <c r="E3499" s="123" t="n">
        <v>606.91</v>
      </c>
      <c r="F3499" s="124">
        <f>IF(C3499&lt;=30,5,IF(C3499&lt;=60,4,IF(C3499&lt;=120,3,IF(C3499&lt;=200,2,1))))</f>
        <v/>
      </c>
      <c r="G3499" s="124">
        <f>IF(D3499&gt;=20,5,IF(D3499&gt;=10,4,IF(D3499&gt;=5,3,IF(D3499&gt;=2,2,1))))</f>
        <v/>
      </c>
      <c r="H3499" s="124">
        <f>IF(E3499&gt;=5000,5,IF(E3499&gt;=2000,4,IF(E3499&gt;=800,3,IF(E3499&gt;=300,2,1))))</f>
        <v/>
      </c>
      <c r="I3499" s="122">
        <f>TEXT(F3499,"0")&amp;TEXT(G3499,"0")&amp;TEXT(H3499,"0")</f>
        <v/>
      </c>
      <c r="J3499" s="122">
        <f>IFERROR(XLOOKUP(I3499,'Segment Map'!A:A,'Segment Map'!B:B,"Need Attention"),"Need Attention")</f>
        <v/>
      </c>
      <c r="K3499" s="122">
        <f>IF(E3499&gt;=5000,"🏆 Platinum",IF(E3499&gt;=2000,"🥇 Gold",IF(E3499&gt;=800,"🥈 Silver","🥉 Bronze")))</f>
        <v/>
      </c>
      <c r="L3499" s="125" t="n">
        <v>40883</v>
      </c>
    </row>
    <row r="3500">
      <c r="A3500" s="126" t="n">
        <v>17120</v>
      </c>
      <c r="B3500" s="126" t="inlineStr">
        <is>
          <t>United Kingdom</t>
        </is>
      </c>
      <c r="C3500" s="126" t="n">
        <v>234</v>
      </c>
      <c r="D3500" s="126" t="n">
        <v>1</v>
      </c>
      <c r="E3500" s="127" t="n">
        <v>307.46</v>
      </c>
      <c r="F3500" s="128">
        <f>IF(C3500&lt;=30,5,IF(C3500&lt;=60,4,IF(C3500&lt;=120,3,IF(C3500&lt;=200,2,1))))</f>
        <v/>
      </c>
      <c r="G3500" s="128">
        <f>IF(D3500&gt;=20,5,IF(D3500&gt;=10,4,IF(D3500&gt;=5,3,IF(D3500&gt;=2,2,1))))</f>
        <v/>
      </c>
      <c r="H3500" s="128">
        <f>IF(E3500&gt;=5000,5,IF(E3500&gt;=2000,4,IF(E3500&gt;=800,3,IF(E3500&gt;=300,2,1))))</f>
        <v/>
      </c>
      <c r="I3500" s="126">
        <f>TEXT(F3500,"0")&amp;TEXT(G3500,"0")&amp;TEXT(H3500,"0")</f>
        <v/>
      </c>
      <c r="J3500" s="126">
        <f>IFERROR(XLOOKUP(I3500,'Segment Map'!A:A,'Segment Map'!B:B,"Need Attention"),"Need Attention")</f>
        <v/>
      </c>
      <c r="K3500" s="126">
        <f>IF(E3500&gt;=5000,"🏆 Platinum",IF(E3500&gt;=2000,"🥇 Gold",IF(E3500&gt;=800,"🥈 Silver","🥉 Bronze")))</f>
        <v/>
      </c>
      <c r="L3500" s="129" t="n">
        <v>40653</v>
      </c>
    </row>
    <row r="3501">
      <c r="A3501" s="122" t="n">
        <v>17122</v>
      </c>
      <c r="B3501" s="122" t="inlineStr">
        <is>
          <t>United Kingdom</t>
        </is>
      </c>
      <c r="C3501" s="122" t="n">
        <v>120</v>
      </c>
      <c r="D3501" s="122" t="n">
        <v>1</v>
      </c>
      <c r="E3501" s="123" t="n">
        <v>138.32</v>
      </c>
      <c r="F3501" s="124">
        <f>IF(C3501&lt;=30,5,IF(C3501&lt;=60,4,IF(C3501&lt;=120,3,IF(C3501&lt;=200,2,1))))</f>
        <v/>
      </c>
      <c r="G3501" s="124">
        <f>IF(D3501&gt;=20,5,IF(D3501&gt;=10,4,IF(D3501&gt;=5,3,IF(D3501&gt;=2,2,1))))</f>
        <v/>
      </c>
      <c r="H3501" s="124">
        <f>IF(E3501&gt;=5000,5,IF(E3501&gt;=2000,4,IF(E3501&gt;=800,3,IF(E3501&gt;=300,2,1))))</f>
        <v/>
      </c>
      <c r="I3501" s="122">
        <f>TEXT(F3501,"0")&amp;TEXT(G3501,"0")&amp;TEXT(H3501,"0")</f>
        <v/>
      </c>
      <c r="J3501" s="122">
        <f>IFERROR(XLOOKUP(I3501,'Segment Map'!A:A,'Segment Map'!B:B,"Need Attention"),"Need Attention")</f>
        <v/>
      </c>
      <c r="K3501" s="122">
        <f>IF(E3501&gt;=5000,"🏆 Platinum",IF(E3501&gt;=2000,"🥇 Gold",IF(E3501&gt;=800,"🥈 Silver","🥉 Bronze")))</f>
        <v/>
      </c>
      <c r="L3501" s="125" t="n">
        <v>40767</v>
      </c>
    </row>
    <row r="3502">
      <c r="A3502" s="126" t="n">
        <v>17123</v>
      </c>
      <c r="B3502" s="126" t="inlineStr">
        <is>
          <t>United Kingdom</t>
        </is>
      </c>
      <c r="C3502" s="126" t="n">
        <v>162</v>
      </c>
      <c r="D3502" s="126" t="n">
        <v>1</v>
      </c>
      <c r="E3502" s="127" t="n">
        <v>345.3</v>
      </c>
      <c r="F3502" s="128">
        <f>IF(C3502&lt;=30,5,IF(C3502&lt;=60,4,IF(C3502&lt;=120,3,IF(C3502&lt;=200,2,1))))</f>
        <v/>
      </c>
      <c r="G3502" s="128">
        <f>IF(D3502&gt;=20,5,IF(D3502&gt;=10,4,IF(D3502&gt;=5,3,IF(D3502&gt;=2,2,1))))</f>
        <v/>
      </c>
      <c r="H3502" s="128">
        <f>IF(E3502&gt;=5000,5,IF(E3502&gt;=2000,4,IF(E3502&gt;=800,3,IF(E3502&gt;=300,2,1))))</f>
        <v/>
      </c>
      <c r="I3502" s="126">
        <f>TEXT(F3502,"0")&amp;TEXT(G3502,"0")&amp;TEXT(H3502,"0")</f>
        <v/>
      </c>
      <c r="J3502" s="126">
        <f>IFERROR(XLOOKUP(I3502,'Segment Map'!A:A,'Segment Map'!B:B,"Need Attention"),"Need Attention")</f>
        <v/>
      </c>
      <c r="K3502" s="126">
        <f>IF(E3502&gt;=5000,"🏆 Platinum",IF(E3502&gt;=2000,"🥇 Gold",IF(E3502&gt;=800,"🥈 Silver","🥉 Bronze")))</f>
        <v/>
      </c>
      <c r="L3502" s="129" t="n">
        <v>40725</v>
      </c>
    </row>
    <row r="3503">
      <c r="A3503" s="122" t="n">
        <v>17124</v>
      </c>
      <c r="B3503" s="122" t="inlineStr">
        <is>
          <t>United Kingdom</t>
        </is>
      </c>
      <c r="C3503" s="122" t="n">
        <v>186</v>
      </c>
      <c r="D3503" s="122" t="n">
        <v>1</v>
      </c>
      <c r="E3503" s="123" t="n">
        <v>298.89</v>
      </c>
      <c r="F3503" s="124">
        <f>IF(C3503&lt;=30,5,IF(C3503&lt;=60,4,IF(C3503&lt;=120,3,IF(C3503&lt;=200,2,1))))</f>
        <v/>
      </c>
      <c r="G3503" s="124">
        <f>IF(D3503&gt;=20,5,IF(D3503&gt;=10,4,IF(D3503&gt;=5,3,IF(D3503&gt;=2,2,1))))</f>
        <v/>
      </c>
      <c r="H3503" s="124">
        <f>IF(E3503&gt;=5000,5,IF(E3503&gt;=2000,4,IF(E3503&gt;=800,3,IF(E3503&gt;=300,2,1))))</f>
        <v/>
      </c>
      <c r="I3503" s="122">
        <f>TEXT(F3503,"0")&amp;TEXT(G3503,"0")&amp;TEXT(H3503,"0")</f>
        <v/>
      </c>
      <c r="J3503" s="122">
        <f>IFERROR(XLOOKUP(I3503,'Segment Map'!A:A,'Segment Map'!B:B,"Need Attention"),"Need Attention")</f>
        <v/>
      </c>
      <c r="K3503" s="122">
        <f>IF(E3503&gt;=5000,"🏆 Platinum",IF(E3503&gt;=2000,"🥇 Gold",IF(E3503&gt;=800,"🥈 Silver","🥉 Bronze")))</f>
        <v/>
      </c>
      <c r="L3503" s="125" t="n">
        <v>40701</v>
      </c>
    </row>
    <row r="3504">
      <c r="A3504" s="126" t="n">
        <v>17125</v>
      </c>
      <c r="B3504" s="126" t="inlineStr">
        <is>
          <t>United Kingdom</t>
        </is>
      </c>
      <c r="C3504" s="126" t="n">
        <v>51</v>
      </c>
      <c r="D3504" s="126" t="n">
        <v>1</v>
      </c>
      <c r="E3504" s="127" t="n">
        <v>259.35</v>
      </c>
      <c r="F3504" s="128">
        <f>IF(C3504&lt;=30,5,IF(C3504&lt;=60,4,IF(C3504&lt;=120,3,IF(C3504&lt;=200,2,1))))</f>
        <v/>
      </c>
      <c r="G3504" s="128">
        <f>IF(D3504&gt;=20,5,IF(D3504&gt;=10,4,IF(D3504&gt;=5,3,IF(D3504&gt;=2,2,1))))</f>
        <v/>
      </c>
      <c r="H3504" s="128">
        <f>IF(E3504&gt;=5000,5,IF(E3504&gt;=2000,4,IF(E3504&gt;=800,3,IF(E3504&gt;=300,2,1))))</f>
        <v/>
      </c>
      <c r="I3504" s="126">
        <f>TEXT(F3504,"0")&amp;TEXT(G3504,"0")&amp;TEXT(H3504,"0")</f>
        <v/>
      </c>
      <c r="J3504" s="126">
        <f>IFERROR(XLOOKUP(I3504,'Segment Map'!A:A,'Segment Map'!B:B,"Need Attention"),"Need Attention")</f>
        <v/>
      </c>
      <c r="K3504" s="126">
        <f>IF(E3504&gt;=5000,"🏆 Platinum",IF(E3504&gt;=2000,"🥇 Gold",IF(E3504&gt;=800,"🥈 Silver","🥉 Bronze")))</f>
        <v/>
      </c>
      <c r="L3504" s="129" t="n">
        <v>40836</v>
      </c>
    </row>
    <row r="3505">
      <c r="A3505" s="122" t="n">
        <v>17126</v>
      </c>
      <c r="B3505" s="122" t="inlineStr">
        <is>
          <t>United Kingdom</t>
        </is>
      </c>
      <c r="C3505" s="122" t="n">
        <v>153</v>
      </c>
      <c r="D3505" s="122" t="n">
        <v>5</v>
      </c>
      <c r="E3505" s="123" t="n">
        <v>1004.75</v>
      </c>
      <c r="F3505" s="124">
        <f>IF(C3505&lt;=30,5,IF(C3505&lt;=60,4,IF(C3505&lt;=120,3,IF(C3505&lt;=200,2,1))))</f>
        <v/>
      </c>
      <c r="G3505" s="124">
        <f>IF(D3505&gt;=20,5,IF(D3505&gt;=10,4,IF(D3505&gt;=5,3,IF(D3505&gt;=2,2,1))))</f>
        <v/>
      </c>
      <c r="H3505" s="124">
        <f>IF(E3505&gt;=5000,5,IF(E3505&gt;=2000,4,IF(E3505&gt;=800,3,IF(E3505&gt;=300,2,1))))</f>
        <v/>
      </c>
      <c r="I3505" s="122">
        <f>TEXT(F3505,"0")&amp;TEXT(G3505,"0")&amp;TEXT(H3505,"0")</f>
        <v/>
      </c>
      <c r="J3505" s="122">
        <f>IFERROR(XLOOKUP(I3505,'Segment Map'!A:A,'Segment Map'!B:B,"Need Attention"),"Need Attention")</f>
        <v/>
      </c>
      <c r="K3505" s="122">
        <f>IF(E3505&gt;=5000,"🏆 Platinum",IF(E3505&gt;=2000,"🥇 Gold",IF(E3505&gt;=800,"🥈 Silver","🥉 Bronze")))</f>
        <v/>
      </c>
      <c r="L3505" s="125" t="n">
        <v>40734</v>
      </c>
    </row>
    <row r="3506">
      <c r="A3506" s="126" t="n">
        <v>17128</v>
      </c>
      <c r="B3506" s="126" t="inlineStr">
        <is>
          <t>United Kingdom</t>
        </is>
      </c>
      <c r="C3506" s="126" t="n">
        <v>335</v>
      </c>
      <c r="D3506" s="126" t="n">
        <v>1</v>
      </c>
      <c r="E3506" s="127" t="n">
        <v>157.09</v>
      </c>
      <c r="F3506" s="128">
        <f>IF(C3506&lt;=30,5,IF(C3506&lt;=60,4,IF(C3506&lt;=120,3,IF(C3506&lt;=200,2,1))))</f>
        <v/>
      </c>
      <c r="G3506" s="128">
        <f>IF(D3506&gt;=20,5,IF(D3506&gt;=10,4,IF(D3506&gt;=5,3,IF(D3506&gt;=2,2,1))))</f>
        <v/>
      </c>
      <c r="H3506" s="128">
        <f>IF(E3506&gt;=5000,5,IF(E3506&gt;=2000,4,IF(E3506&gt;=800,3,IF(E3506&gt;=300,2,1))))</f>
        <v/>
      </c>
      <c r="I3506" s="126">
        <f>TEXT(F3506,"0")&amp;TEXT(G3506,"0")&amp;TEXT(H3506,"0")</f>
        <v/>
      </c>
      <c r="J3506" s="126">
        <f>IFERROR(XLOOKUP(I3506,'Segment Map'!A:A,'Segment Map'!B:B,"Need Attention"),"Need Attention")</f>
        <v/>
      </c>
      <c r="K3506" s="126">
        <f>IF(E3506&gt;=5000,"🏆 Platinum",IF(E3506&gt;=2000,"🥇 Gold",IF(E3506&gt;=800,"🥈 Silver","🥉 Bronze")))</f>
        <v/>
      </c>
      <c r="L3506" s="129" t="n">
        <v>40552</v>
      </c>
    </row>
    <row r="3507">
      <c r="A3507" s="122" t="n">
        <v>17131</v>
      </c>
      <c r="B3507" s="122" t="inlineStr">
        <is>
          <t>United Kingdom</t>
        </is>
      </c>
      <c r="C3507" s="122" t="n">
        <v>6</v>
      </c>
      <c r="D3507" s="122" t="n">
        <v>5</v>
      </c>
      <c r="E3507" s="123" t="n">
        <v>2463.17</v>
      </c>
      <c r="F3507" s="124">
        <f>IF(C3507&lt;=30,5,IF(C3507&lt;=60,4,IF(C3507&lt;=120,3,IF(C3507&lt;=200,2,1))))</f>
        <v/>
      </c>
      <c r="G3507" s="124">
        <f>IF(D3507&gt;=20,5,IF(D3507&gt;=10,4,IF(D3507&gt;=5,3,IF(D3507&gt;=2,2,1))))</f>
        <v/>
      </c>
      <c r="H3507" s="124">
        <f>IF(E3507&gt;=5000,5,IF(E3507&gt;=2000,4,IF(E3507&gt;=800,3,IF(E3507&gt;=300,2,1))))</f>
        <v/>
      </c>
      <c r="I3507" s="122">
        <f>TEXT(F3507,"0")&amp;TEXT(G3507,"0")&amp;TEXT(H3507,"0")</f>
        <v/>
      </c>
      <c r="J3507" s="122">
        <f>IFERROR(XLOOKUP(I3507,'Segment Map'!A:A,'Segment Map'!B:B,"Need Attention"),"Need Attention")</f>
        <v/>
      </c>
      <c r="K3507" s="122">
        <f>IF(E3507&gt;=5000,"🏆 Platinum",IF(E3507&gt;=2000,"🥇 Gold",IF(E3507&gt;=800,"🥈 Silver","🥉 Bronze")))</f>
        <v/>
      </c>
      <c r="L3507" s="125" t="n">
        <v>40881</v>
      </c>
    </row>
    <row r="3508">
      <c r="A3508" s="126" t="n">
        <v>17133</v>
      </c>
      <c r="B3508" s="126" t="inlineStr">
        <is>
          <t>United Kingdom</t>
        </is>
      </c>
      <c r="C3508" s="126" t="n">
        <v>16</v>
      </c>
      <c r="D3508" s="126" t="n">
        <v>7</v>
      </c>
      <c r="E3508" s="127" t="n">
        <v>4892.24</v>
      </c>
      <c r="F3508" s="128">
        <f>IF(C3508&lt;=30,5,IF(C3508&lt;=60,4,IF(C3508&lt;=120,3,IF(C3508&lt;=200,2,1))))</f>
        <v/>
      </c>
      <c r="G3508" s="128">
        <f>IF(D3508&gt;=20,5,IF(D3508&gt;=10,4,IF(D3508&gt;=5,3,IF(D3508&gt;=2,2,1))))</f>
        <v/>
      </c>
      <c r="H3508" s="128">
        <f>IF(E3508&gt;=5000,5,IF(E3508&gt;=2000,4,IF(E3508&gt;=800,3,IF(E3508&gt;=300,2,1))))</f>
        <v/>
      </c>
      <c r="I3508" s="126">
        <f>TEXT(F3508,"0")&amp;TEXT(G3508,"0")&amp;TEXT(H3508,"0")</f>
        <v/>
      </c>
      <c r="J3508" s="126">
        <f>IFERROR(XLOOKUP(I3508,'Segment Map'!A:A,'Segment Map'!B:B,"Need Attention"),"Need Attention")</f>
        <v/>
      </c>
      <c r="K3508" s="126">
        <f>IF(E3508&gt;=5000,"🏆 Platinum",IF(E3508&gt;=2000,"🥇 Gold",IF(E3508&gt;=800,"🥈 Silver","🥉 Bronze")))</f>
        <v/>
      </c>
      <c r="L3508" s="129" t="n">
        <v>40871</v>
      </c>
    </row>
    <row r="3509">
      <c r="A3509" s="122" t="n">
        <v>17134</v>
      </c>
      <c r="B3509" s="122" t="inlineStr">
        <is>
          <t>United Kingdom</t>
        </is>
      </c>
      <c r="C3509" s="122" t="n">
        <v>107</v>
      </c>
      <c r="D3509" s="122" t="n">
        <v>2</v>
      </c>
      <c r="E3509" s="123" t="n">
        <v>425</v>
      </c>
      <c r="F3509" s="124">
        <f>IF(C3509&lt;=30,5,IF(C3509&lt;=60,4,IF(C3509&lt;=120,3,IF(C3509&lt;=200,2,1))))</f>
        <v/>
      </c>
      <c r="G3509" s="124">
        <f>IF(D3509&gt;=20,5,IF(D3509&gt;=10,4,IF(D3509&gt;=5,3,IF(D3509&gt;=2,2,1))))</f>
        <v/>
      </c>
      <c r="H3509" s="124">
        <f>IF(E3509&gt;=5000,5,IF(E3509&gt;=2000,4,IF(E3509&gt;=800,3,IF(E3509&gt;=300,2,1))))</f>
        <v/>
      </c>
      <c r="I3509" s="122">
        <f>TEXT(F3509,"0")&amp;TEXT(G3509,"0")&amp;TEXT(H3509,"0")</f>
        <v/>
      </c>
      <c r="J3509" s="122">
        <f>IFERROR(XLOOKUP(I3509,'Segment Map'!A:A,'Segment Map'!B:B,"Need Attention"),"Need Attention")</f>
        <v/>
      </c>
      <c r="K3509" s="122">
        <f>IF(E3509&gt;=5000,"🏆 Platinum",IF(E3509&gt;=2000,"🥇 Gold",IF(E3509&gt;=800,"🥈 Silver","🥉 Bronze")))</f>
        <v/>
      </c>
      <c r="L3509" s="125" t="n">
        <v>40780</v>
      </c>
    </row>
    <row r="3510">
      <c r="A3510" s="126" t="n">
        <v>17135</v>
      </c>
      <c r="B3510" s="126" t="inlineStr">
        <is>
          <t>United Kingdom</t>
        </is>
      </c>
      <c r="C3510" s="126" t="n">
        <v>17</v>
      </c>
      <c r="D3510" s="126" t="n">
        <v>7</v>
      </c>
      <c r="E3510" s="127" t="n">
        <v>1139.73</v>
      </c>
      <c r="F3510" s="128">
        <f>IF(C3510&lt;=30,5,IF(C3510&lt;=60,4,IF(C3510&lt;=120,3,IF(C3510&lt;=200,2,1))))</f>
        <v/>
      </c>
      <c r="G3510" s="128">
        <f>IF(D3510&gt;=20,5,IF(D3510&gt;=10,4,IF(D3510&gt;=5,3,IF(D3510&gt;=2,2,1))))</f>
        <v/>
      </c>
      <c r="H3510" s="128">
        <f>IF(E3510&gt;=5000,5,IF(E3510&gt;=2000,4,IF(E3510&gt;=800,3,IF(E3510&gt;=300,2,1))))</f>
        <v/>
      </c>
      <c r="I3510" s="126">
        <f>TEXT(F3510,"0")&amp;TEXT(G3510,"0")&amp;TEXT(H3510,"0")</f>
        <v/>
      </c>
      <c r="J3510" s="126">
        <f>IFERROR(XLOOKUP(I3510,'Segment Map'!A:A,'Segment Map'!B:B,"Need Attention"),"Need Attention")</f>
        <v/>
      </c>
      <c r="K3510" s="126">
        <f>IF(E3510&gt;=5000,"🏆 Platinum",IF(E3510&gt;=2000,"🥇 Gold",IF(E3510&gt;=800,"🥈 Silver","🥉 Bronze")))</f>
        <v/>
      </c>
      <c r="L3510" s="129" t="n">
        <v>40870</v>
      </c>
    </row>
    <row r="3511">
      <c r="A3511" s="122" t="n">
        <v>17138</v>
      </c>
      <c r="B3511" s="122" t="inlineStr">
        <is>
          <t>United Kingdom</t>
        </is>
      </c>
      <c r="C3511" s="122" t="n">
        <v>276</v>
      </c>
      <c r="D3511" s="122" t="n">
        <v>1</v>
      </c>
      <c r="E3511" s="123" t="n">
        <v>380.5</v>
      </c>
      <c r="F3511" s="124">
        <f>IF(C3511&lt;=30,5,IF(C3511&lt;=60,4,IF(C3511&lt;=120,3,IF(C3511&lt;=200,2,1))))</f>
        <v/>
      </c>
      <c r="G3511" s="124">
        <f>IF(D3511&gt;=20,5,IF(D3511&gt;=10,4,IF(D3511&gt;=5,3,IF(D3511&gt;=2,2,1))))</f>
        <v/>
      </c>
      <c r="H3511" s="124">
        <f>IF(E3511&gt;=5000,5,IF(E3511&gt;=2000,4,IF(E3511&gt;=800,3,IF(E3511&gt;=300,2,1))))</f>
        <v/>
      </c>
      <c r="I3511" s="122">
        <f>TEXT(F3511,"0")&amp;TEXT(G3511,"0")&amp;TEXT(H3511,"0")</f>
        <v/>
      </c>
      <c r="J3511" s="122">
        <f>IFERROR(XLOOKUP(I3511,'Segment Map'!A:A,'Segment Map'!B:B,"Need Attention"),"Need Attention")</f>
        <v/>
      </c>
      <c r="K3511" s="122">
        <f>IF(E3511&gt;=5000,"🏆 Platinum",IF(E3511&gt;=2000,"🥇 Gold",IF(E3511&gt;=800,"🥈 Silver","🥉 Bronze")))</f>
        <v/>
      </c>
      <c r="L3511" s="125" t="n">
        <v>40611</v>
      </c>
    </row>
    <row r="3512">
      <c r="A3512" s="126" t="n">
        <v>17139</v>
      </c>
      <c r="B3512" s="126" t="inlineStr">
        <is>
          <t>United Kingdom</t>
        </is>
      </c>
      <c r="C3512" s="126" t="n">
        <v>16</v>
      </c>
      <c r="D3512" s="126" t="n">
        <v>12</v>
      </c>
      <c r="E3512" s="127" t="n">
        <v>10668.47</v>
      </c>
      <c r="F3512" s="128">
        <f>IF(C3512&lt;=30,5,IF(C3512&lt;=60,4,IF(C3512&lt;=120,3,IF(C3512&lt;=200,2,1))))</f>
        <v/>
      </c>
      <c r="G3512" s="128">
        <f>IF(D3512&gt;=20,5,IF(D3512&gt;=10,4,IF(D3512&gt;=5,3,IF(D3512&gt;=2,2,1))))</f>
        <v/>
      </c>
      <c r="H3512" s="128">
        <f>IF(E3512&gt;=5000,5,IF(E3512&gt;=2000,4,IF(E3512&gt;=800,3,IF(E3512&gt;=300,2,1))))</f>
        <v/>
      </c>
      <c r="I3512" s="126">
        <f>TEXT(F3512,"0")&amp;TEXT(G3512,"0")&amp;TEXT(H3512,"0")</f>
        <v/>
      </c>
      <c r="J3512" s="126">
        <f>IFERROR(XLOOKUP(I3512,'Segment Map'!A:A,'Segment Map'!B:B,"Need Attention"),"Need Attention")</f>
        <v/>
      </c>
      <c r="K3512" s="126">
        <f>IF(E3512&gt;=5000,"🏆 Platinum",IF(E3512&gt;=2000,"🥇 Gold",IF(E3512&gt;=800,"🥈 Silver","🥉 Bronze")))</f>
        <v/>
      </c>
      <c r="L3512" s="129" t="n">
        <v>40871</v>
      </c>
    </row>
    <row r="3513">
      <c r="A3513" s="122" t="n">
        <v>17140</v>
      </c>
      <c r="B3513" s="122" t="inlineStr">
        <is>
          <t>United Kingdom</t>
        </is>
      </c>
      <c r="C3513" s="122" t="n">
        <v>248</v>
      </c>
      <c r="D3513" s="122" t="n">
        <v>1</v>
      </c>
      <c r="E3513" s="123" t="n">
        <v>465.32</v>
      </c>
      <c r="F3513" s="124">
        <f>IF(C3513&lt;=30,5,IF(C3513&lt;=60,4,IF(C3513&lt;=120,3,IF(C3513&lt;=200,2,1))))</f>
        <v/>
      </c>
      <c r="G3513" s="124">
        <f>IF(D3513&gt;=20,5,IF(D3513&gt;=10,4,IF(D3513&gt;=5,3,IF(D3513&gt;=2,2,1))))</f>
        <v/>
      </c>
      <c r="H3513" s="124">
        <f>IF(E3513&gt;=5000,5,IF(E3513&gt;=2000,4,IF(E3513&gt;=800,3,IF(E3513&gt;=300,2,1))))</f>
        <v/>
      </c>
      <c r="I3513" s="122">
        <f>TEXT(F3513,"0")&amp;TEXT(G3513,"0")&amp;TEXT(H3513,"0")</f>
        <v/>
      </c>
      <c r="J3513" s="122">
        <f>IFERROR(XLOOKUP(I3513,'Segment Map'!A:A,'Segment Map'!B:B,"Need Attention"),"Need Attention")</f>
        <v/>
      </c>
      <c r="K3513" s="122">
        <f>IF(E3513&gt;=5000,"🏆 Platinum",IF(E3513&gt;=2000,"🥇 Gold",IF(E3513&gt;=800,"🥈 Silver","🥉 Bronze")))</f>
        <v/>
      </c>
      <c r="L3513" s="125" t="n">
        <v>40639</v>
      </c>
    </row>
    <row r="3514">
      <c r="A3514" s="126" t="n">
        <v>17142</v>
      </c>
      <c r="B3514" s="126" t="inlineStr">
        <is>
          <t>United Kingdom</t>
        </is>
      </c>
      <c r="C3514" s="126" t="n">
        <v>240</v>
      </c>
      <c r="D3514" s="126" t="n">
        <v>1</v>
      </c>
      <c r="E3514" s="127" t="n">
        <v>579</v>
      </c>
      <c r="F3514" s="128">
        <f>IF(C3514&lt;=30,5,IF(C3514&lt;=60,4,IF(C3514&lt;=120,3,IF(C3514&lt;=200,2,1))))</f>
        <v/>
      </c>
      <c r="G3514" s="128">
        <f>IF(D3514&gt;=20,5,IF(D3514&gt;=10,4,IF(D3514&gt;=5,3,IF(D3514&gt;=2,2,1))))</f>
        <v/>
      </c>
      <c r="H3514" s="128">
        <f>IF(E3514&gt;=5000,5,IF(E3514&gt;=2000,4,IF(E3514&gt;=800,3,IF(E3514&gt;=300,2,1))))</f>
        <v/>
      </c>
      <c r="I3514" s="126">
        <f>TEXT(F3514,"0")&amp;TEXT(G3514,"0")&amp;TEXT(H3514,"0")</f>
        <v/>
      </c>
      <c r="J3514" s="126">
        <f>IFERROR(XLOOKUP(I3514,'Segment Map'!A:A,'Segment Map'!B:B,"Need Attention"),"Need Attention")</f>
        <v/>
      </c>
      <c r="K3514" s="126">
        <f>IF(E3514&gt;=5000,"🏆 Platinum",IF(E3514&gt;=2000,"🥇 Gold",IF(E3514&gt;=800,"🥈 Silver","🥉 Bronze")))</f>
        <v/>
      </c>
      <c r="L3514" s="129" t="n">
        <v>40647</v>
      </c>
    </row>
    <row r="3515">
      <c r="A3515" s="122" t="n">
        <v>17144</v>
      </c>
      <c r="B3515" s="122" t="inlineStr">
        <is>
          <t>United Kingdom</t>
        </is>
      </c>
      <c r="C3515" s="122" t="n">
        <v>2</v>
      </c>
      <c r="D3515" s="122" t="n">
        <v>2</v>
      </c>
      <c r="E3515" s="123" t="n">
        <v>984.5700000000001</v>
      </c>
      <c r="F3515" s="124">
        <f>IF(C3515&lt;=30,5,IF(C3515&lt;=60,4,IF(C3515&lt;=120,3,IF(C3515&lt;=200,2,1))))</f>
        <v/>
      </c>
      <c r="G3515" s="124">
        <f>IF(D3515&gt;=20,5,IF(D3515&gt;=10,4,IF(D3515&gt;=5,3,IF(D3515&gt;=2,2,1))))</f>
        <v/>
      </c>
      <c r="H3515" s="124">
        <f>IF(E3515&gt;=5000,5,IF(E3515&gt;=2000,4,IF(E3515&gt;=800,3,IF(E3515&gt;=300,2,1))))</f>
        <v/>
      </c>
      <c r="I3515" s="122">
        <f>TEXT(F3515,"0")&amp;TEXT(G3515,"0")&amp;TEXT(H3515,"0")</f>
        <v/>
      </c>
      <c r="J3515" s="122">
        <f>IFERROR(XLOOKUP(I3515,'Segment Map'!A:A,'Segment Map'!B:B,"Need Attention"),"Need Attention")</f>
        <v/>
      </c>
      <c r="K3515" s="122">
        <f>IF(E3515&gt;=5000,"🏆 Platinum",IF(E3515&gt;=2000,"🥇 Gold",IF(E3515&gt;=800,"🥈 Silver","🥉 Bronze")))</f>
        <v/>
      </c>
      <c r="L3515" s="125" t="n">
        <v>40885</v>
      </c>
    </row>
    <row r="3516">
      <c r="A3516" s="126" t="n">
        <v>17146</v>
      </c>
      <c r="B3516" s="126" t="inlineStr">
        <is>
          <t>United Kingdom</t>
        </is>
      </c>
      <c r="C3516" s="126" t="n">
        <v>106</v>
      </c>
      <c r="D3516" s="126" t="n">
        <v>3</v>
      </c>
      <c r="E3516" s="127" t="n">
        <v>749.78</v>
      </c>
      <c r="F3516" s="128">
        <f>IF(C3516&lt;=30,5,IF(C3516&lt;=60,4,IF(C3516&lt;=120,3,IF(C3516&lt;=200,2,1))))</f>
        <v/>
      </c>
      <c r="G3516" s="128">
        <f>IF(D3516&gt;=20,5,IF(D3516&gt;=10,4,IF(D3516&gt;=5,3,IF(D3516&gt;=2,2,1))))</f>
        <v/>
      </c>
      <c r="H3516" s="128">
        <f>IF(E3516&gt;=5000,5,IF(E3516&gt;=2000,4,IF(E3516&gt;=800,3,IF(E3516&gt;=300,2,1))))</f>
        <v/>
      </c>
      <c r="I3516" s="126">
        <f>TEXT(F3516,"0")&amp;TEXT(G3516,"0")&amp;TEXT(H3516,"0")</f>
        <v/>
      </c>
      <c r="J3516" s="126">
        <f>IFERROR(XLOOKUP(I3516,'Segment Map'!A:A,'Segment Map'!B:B,"Need Attention"),"Need Attention")</f>
        <v/>
      </c>
      <c r="K3516" s="126">
        <f>IF(E3516&gt;=5000,"🏆 Platinum",IF(E3516&gt;=2000,"🥇 Gold",IF(E3516&gt;=800,"🥈 Silver","🥉 Bronze")))</f>
        <v/>
      </c>
      <c r="L3516" s="129" t="n">
        <v>40781</v>
      </c>
    </row>
    <row r="3517">
      <c r="A3517" s="122" t="n">
        <v>17147</v>
      </c>
      <c r="B3517" s="122" t="inlineStr">
        <is>
          <t>United Kingdom</t>
        </is>
      </c>
      <c r="C3517" s="122" t="n">
        <v>23</v>
      </c>
      <c r="D3517" s="122" t="n">
        <v>4</v>
      </c>
      <c r="E3517" s="123" t="n">
        <v>1714.59</v>
      </c>
      <c r="F3517" s="124">
        <f>IF(C3517&lt;=30,5,IF(C3517&lt;=60,4,IF(C3517&lt;=120,3,IF(C3517&lt;=200,2,1))))</f>
        <v/>
      </c>
      <c r="G3517" s="124">
        <f>IF(D3517&gt;=20,5,IF(D3517&gt;=10,4,IF(D3517&gt;=5,3,IF(D3517&gt;=2,2,1))))</f>
        <v/>
      </c>
      <c r="H3517" s="124">
        <f>IF(E3517&gt;=5000,5,IF(E3517&gt;=2000,4,IF(E3517&gt;=800,3,IF(E3517&gt;=300,2,1))))</f>
        <v/>
      </c>
      <c r="I3517" s="122">
        <f>TEXT(F3517,"0")&amp;TEXT(G3517,"0")&amp;TEXT(H3517,"0")</f>
        <v/>
      </c>
      <c r="J3517" s="122">
        <f>IFERROR(XLOOKUP(I3517,'Segment Map'!A:A,'Segment Map'!B:B,"Need Attention"),"Need Attention")</f>
        <v/>
      </c>
      <c r="K3517" s="122">
        <f>IF(E3517&gt;=5000,"🏆 Platinum",IF(E3517&gt;=2000,"🥇 Gold",IF(E3517&gt;=800,"🥈 Silver","🥉 Bronze")))</f>
        <v/>
      </c>
      <c r="L3517" s="125" t="n">
        <v>40864</v>
      </c>
    </row>
    <row r="3518">
      <c r="A3518" s="126" t="n">
        <v>17148</v>
      </c>
      <c r="B3518" s="126" t="inlineStr">
        <is>
          <t>United Kingdom</t>
        </is>
      </c>
      <c r="C3518" s="126" t="n">
        <v>52</v>
      </c>
      <c r="D3518" s="126" t="n">
        <v>1</v>
      </c>
      <c r="E3518" s="127" t="n">
        <v>124.88</v>
      </c>
      <c r="F3518" s="128">
        <f>IF(C3518&lt;=30,5,IF(C3518&lt;=60,4,IF(C3518&lt;=120,3,IF(C3518&lt;=200,2,1))))</f>
        <v/>
      </c>
      <c r="G3518" s="128">
        <f>IF(D3518&gt;=20,5,IF(D3518&gt;=10,4,IF(D3518&gt;=5,3,IF(D3518&gt;=2,2,1))))</f>
        <v/>
      </c>
      <c r="H3518" s="128">
        <f>IF(E3518&gt;=5000,5,IF(E3518&gt;=2000,4,IF(E3518&gt;=800,3,IF(E3518&gt;=300,2,1))))</f>
        <v/>
      </c>
      <c r="I3518" s="126">
        <f>TEXT(F3518,"0")&amp;TEXT(G3518,"0")&amp;TEXT(H3518,"0")</f>
        <v/>
      </c>
      <c r="J3518" s="126">
        <f>IFERROR(XLOOKUP(I3518,'Segment Map'!A:A,'Segment Map'!B:B,"Need Attention"),"Need Attention")</f>
        <v/>
      </c>
      <c r="K3518" s="126">
        <f>IF(E3518&gt;=5000,"🏆 Platinum",IF(E3518&gt;=2000,"🥇 Gold",IF(E3518&gt;=800,"🥈 Silver","🥉 Bronze")))</f>
        <v/>
      </c>
      <c r="L3518" s="129" t="n">
        <v>40835</v>
      </c>
    </row>
    <row r="3519">
      <c r="A3519" s="122" t="n">
        <v>17152</v>
      </c>
      <c r="B3519" s="122" t="inlineStr">
        <is>
          <t>United Kingdom</t>
        </is>
      </c>
      <c r="C3519" s="122" t="n">
        <v>195</v>
      </c>
      <c r="D3519" s="122" t="n">
        <v>3</v>
      </c>
      <c r="E3519" s="123" t="n">
        <v>1689.5</v>
      </c>
      <c r="F3519" s="124">
        <f>IF(C3519&lt;=30,5,IF(C3519&lt;=60,4,IF(C3519&lt;=120,3,IF(C3519&lt;=200,2,1))))</f>
        <v/>
      </c>
      <c r="G3519" s="124">
        <f>IF(D3519&gt;=20,5,IF(D3519&gt;=10,4,IF(D3519&gt;=5,3,IF(D3519&gt;=2,2,1))))</f>
        <v/>
      </c>
      <c r="H3519" s="124">
        <f>IF(E3519&gt;=5000,5,IF(E3519&gt;=2000,4,IF(E3519&gt;=800,3,IF(E3519&gt;=300,2,1))))</f>
        <v/>
      </c>
      <c r="I3519" s="122">
        <f>TEXT(F3519,"0")&amp;TEXT(G3519,"0")&amp;TEXT(H3519,"0")</f>
        <v/>
      </c>
      <c r="J3519" s="122">
        <f>IFERROR(XLOOKUP(I3519,'Segment Map'!A:A,'Segment Map'!B:B,"Need Attention"),"Need Attention")</f>
        <v/>
      </c>
      <c r="K3519" s="122">
        <f>IF(E3519&gt;=5000,"🏆 Platinum",IF(E3519&gt;=2000,"🥇 Gold",IF(E3519&gt;=800,"🥈 Silver","🥉 Bronze")))</f>
        <v/>
      </c>
      <c r="L3519" s="125" t="n">
        <v>40692</v>
      </c>
    </row>
    <row r="3520">
      <c r="A3520" s="126" t="n">
        <v>17153</v>
      </c>
      <c r="B3520" s="126" t="inlineStr">
        <is>
          <t>United Kingdom</t>
        </is>
      </c>
      <c r="C3520" s="126" t="n">
        <v>25</v>
      </c>
      <c r="D3520" s="126" t="n">
        <v>1</v>
      </c>
      <c r="E3520" s="127" t="n">
        <v>213.78</v>
      </c>
      <c r="F3520" s="128">
        <f>IF(C3520&lt;=30,5,IF(C3520&lt;=60,4,IF(C3520&lt;=120,3,IF(C3520&lt;=200,2,1))))</f>
        <v/>
      </c>
      <c r="G3520" s="128">
        <f>IF(D3520&gt;=20,5,IF(D3520&gt;=10,4,IF(D3520&gt;=5,3,IF(D3520&gt;=2,2,1))))</f>
        <v/>
      </c>
      <c r="H3520" s="128">
        <f>IF(E3520&gt;=5000,5,IF(E3520&gt;=2000,4,IF(E3520&gt;=800,3,IF(E3520&gt;=300,2,1))))</f>
        <v/>
      </c>
      <c r="I3520" s="126">
        <f>TEXT(F3520,"0")&amp;TEXT(G3520,"0")&amp;TEXT(H3520,"0")</f>
        <v/>
      </c>
      <c r="J3520" s="126">
        <f>IFERROR(XLOOKUP(I3520,'Segment Map'!A:A,'Segment Map'!B:B,"Need Attention"),"Need Attention")</f>
        <v/>
      </c>
      <c r="K3520" s="126">
        <f>IF(E3520&gt;=5000,"🏆 Platinum",IF(E3520&gt;=2000,"🥇 Gold",IF(E3520&gt;=800,"🥈 Silver","🥉 Bronze")))</f>
        <v/>
      </c>
      <c r="L3520" s="129" t="n">
        <v>40862</v>
      </c>
    </row>
    <row r="3521">
      <c r="A3521" s="122" t="n">
        <v>17154</v>
      </c>
      <c r="B3521" s="122" t="inlineStr">
        <is>
          <t>United Kingdom</t>
        </is>
      </c>
      <c r="C3521" s="122" t="n">
        <v>76</v>
      </c>
      <c r="D3521" s="122" t="n">
        <v>1</v>
      </c>
      <c r="E3521" s="123" t="n">
        <v>329.34</v>
      </c>
      <c r="F3521" s="124">
        <f>IF(C3521&lt;=30,5,IF(C3521&lt;=60,4,IF(C3521&lt;=120,3,IF(C3521&lt;=200,2,1))))</f>
        <v/>
      </c>
      <c r="G3521" s="124">
        <f>IF(D3521&gt;=20,5,IF(D3521&gt;=10,4,IF(D3521&gt;=5,3,IF(D3521&gt;=2,2,1))))</f>
        <v/>
      </c>
      <c r="H3521" s="124">
        <f>IF(E3521&gt;=5000,5,IF(E3521&gt;=2000,4,IF(E3521&gt;=800,3,IF(E3521&gt;=300,2,1))))</f>
        <v/>
      </c>
      <c r="I3521" s="122">
        <f>TEXT(F3521,"0")&amp;TEXT(G3521,"0")&amp;TEXT(H3521,"0")</f>
        <v/>
      </c>
      <c r="J3521" s="122">
        <f>IFERROR(XLOOKUP(I3521,'Segment Map'!A:A,'Segment Map'!B:B,"Need Attention"),"Need Attention")</f>
        <v/>
      </c>
      <c r="K3521" s="122">
        <f>IF(E3521&gt;=5000,"🏆 Platinum",IF(E3521&gt;=2000,"🥇 Gold",IF(E3521&gt;=800,"🥈 Silver","🥉 Bronze")))</f>
        <v/>
      </c>
      <c r="L3521" s="125" t="n">
        <v>40811</v>
      </c>
    </row>
    <row r="3522">
      <c r="A3522" s="126" t="n">
        <v>17155</v>
      </c>
      <c r="B3522" s="126" t="inlineStr">
        <is>
          <t>United Kingdom</t>
        </is>
      </c>
      <c r="C3522" s="126" t="n">
        <v>18</v>
      </c>
      <c r="D3522" s="126" t="n">
        <v>2</v>
      </c>
      <c r="E3522" s="127" t="n">
        <v>251.7</v>
      </c>
      <c r="F3522" s="128">
        <f>IF(C3522&lt;=30,5,IF(C3522&lt;=60,4,IF(C3522&lt;=120,3,IF(C3522&lt;=200,2,1))))</f>
        <v/>
      </c>
      <c r="G3522" s="128">
        <f>IF(D3522&gt;=20,5,IF(D3522&gt;=10,4,IF(D3522&gt;=5,3,IF(D3522&gt;=2,2,1))))</f>
        <v/>
      </c>
      <c r="H3522" s="128">
        <f>IF(E3522&gt;=5000,5,IF(E3522&gt;=2000,4,IF(E3522&gt;=800,3,IF(E3522&gt;=300,2,1))))</f>
        <v/>
      </c>
      <c r="I3522" s="126">
        <f>TEXT(F3522,"0")&amp;TEXT(G3522,"0")&amp;TEXT(H3522,"0")</f>
        <v/>
      </c>
      <c r="J3522" s="126">
        <f>IFERROR(XLOOKUP(I3522,'Segment Map'!A:A,'Segment Map'!B:B,"Need Attention"),"Need Attention")</f>
        <v/>
      </c>
      <c r="K3522" s="126">
        <f>IF(E3522&gt;=5000,"🏆 Platinum",IF(E3522&gt;=2000,"🥇 Gold",IF(E3522&gt;=800,"🥈 Silver","🥉 Bronze")))</f>
        <v/>
      </c>
      <c r="L3522" s="129" t="n">
        <v>40869</v>
      </c>
    </row>
    <row r="3523">
      <c r="A3523" s="122" t="n">
        <v>17157</v>
      </c>
      <c r="B3523" s="122" t="inlineStr">
        <is>
          <t>United Kingdom</t>
        </is>
      </c>
      <c r="C3523" s="122" t="n">
        <v>8</v>
      </c>
      <c r="D3523" s="122" t="n">
        <v>2</v>
      </c>
      <c r="E3523" s="123" t="n">
        <v>319</v>
      </c>
      <c r="F3523" s="124">
        <f>IF(C3523&lt;=30,5,IF(C3523&lt;=60,4,IF(C3523&lt;=120,3,IF(C3523&lt;=200,2,1))))</f>
        <v/>
      </c>
      <c r="G3523" s="124">
        <f>IF(D3523&gt;=20,5,IF(D3523&gt;=10,4,IF(D3523&gt;=5,3,IF(D3523&gt;=2,2,1))))</f>
        <v/>
      </c>
      <c r="H3523" s="124">
        <f>IF(E3523&gt;=5000,5,IF(E3523&gt;=2000,4,IF(E3523&gt;=800,3,IF(E3523&gt;=300,2,1))))</f>
        <v/>
      </c>
      <c r="I3523" s="122">
        <f>TEXT(F3523,"0")&amp;TEXT(G3523,"0")&amp;TEXT(H3523,"0")</f>
        <v/>
      </c>
      <c r="J3523" s="122">
        <f>IFERROR(XLOOKUP(I3523,'Segment Map'!A:A,'Segment Map'!B:B,"Need Attention"),"Need Attention")</f>
        <v/>
      </c>
      <c r="K3523" s="122">
        <f>IF(E3523&gt;=5000,"🏆 Platinum",IF(E3523&gt;=2000,"🥇 Gold",IF(E3523&gt;=800,"🥈 Silver","🥉 Bronze")))</f>
        <v/>
      </c>
      <c r="L3523" s="125" t="n">
        <v>40879</v>
      </c>
    </row>
    <row r="3524">
      <c r="A3524" s="126" t="n">
        <v>17158</v>
      </c>
      <c r="B3524" s="126" t="inlineStr">
        <is>
          <t>United Kingdom</t>
        </is>
      </c>
      <c r="C3524" s="126" t="n">
        <v>33</v>
      </c>
      <c r="D3524" s="126" t="n">
        <v>3</v>
      </c>
      <c r="E3524" s="127" t="n">
        <v>1266.97</v>
      </c>
      <c r="F3524" s="128">
        <f>IF(C3524&lt;=30,5,IF(C3524&lt;=60,4,IF(C3524&lt;=120,3,IF(C3524&lt;=200,2,1))))</f>
        <v/>
      </c>
      <c r="G3524" s="128">
        <f>IF(D3524&gt;=20,5,IF(D3524&gt;=10,4,IF(D3524&gt;=5,3,IF(D3524&gt;=2,2,1))))</f>
        <v/>
      </c>
      <c r="H3524" s="128">
        <f>IF(E3524&gt;=5000,5,IF(E3524&gt;=2000,4,IF(E3524&gt;=800,3,IF(E3524&gt;=300,2,1))))</f>
        <v/>
      </c>
      <c r="I3524" s="126">
        <f>TEXT(F3524,"0")&amp;TEXT(G3524,"0")&amp;TEXT(H3524,"0")</f>
        <v/>
      </c>
      <c r="J3524" s="126">
        <f>IFERROR(XLOOKUP(I3524,'Segment Map'!A:A,'Segment Map'!B:B,"Need Attention"),"Need Attention")</f>
        <v/>
      </c>
      <c r="K3524" s="126">
        <f>IF(E3524&gt;=5000,"🏆 Platinum",IF(E3524&gt;=2000,"🥇 Gold",IF(E3524&gt;=800,"🥈 Silver","🥉 Bronze")))</f>
        <v/>
      </c>
      <c r="L3524" s="129" t="n">
        <v>40854</v>
      </c>
    </row>
    <row r="3525">
      <c r="A3525" s="122" t="n">
        <v>17159</v>
      </c>
      <c r="B3525" s="122" t="inlineStr">
        <is>
          <t>United Kingdom</t>
        </is>
      </c>
      <c r="C3525" s="122" t="n">
        <v>22</v>
      </c>
      <c r="D3525" s="122" t="n">
        <v>3</v>
      </c>
      <c r="E3525" s="123" t="n">
        <v>1538.88</v>
      </c>
      <c r="F3525" s="124">
        <f>IF(C3525&lt;=30,5,IF(C3525&lt;=60,4,IF(C3525&lt;=120,3,IF(C3525&lt;=200,2,1))))</f>
        <v/>
      </c>
      <c r="G3525" s="124">
        <f>IF(D3525&gt;=20,5,IF(D3525&gt;=10,4,IF(D3525&gt;=5,3,IF(D3525&gt;=2,2,1))))</f>
        <v/>
      </c>
      <c r="H3525" s="124">
        <f>IF(E3525&gt;=5000,5,IF(E3525&gt;=2000,4,IF(E3525&gt;=800,3,IF(E3525&gt;=300,2,1))))</f>
        <v/>
      </c>
      <c r="I3525" s="122">
        <f>TEXT(F3525,"0")&amp;TEXT(G3525,"0")&amp;TEXT(H3525,"0")</f>
        <v/>
      </c>
      <c r="J3525" s="122">
        <f>IFERROR(XLOOKUP(I3525,'Segment Map'!A:A,'Segment Map'!B:B,"Need Attention"),"Need Attention")</f>
        <v/>
      </c>
      <c r="K3525" s="122">
        <f>IF(E3525&gt;=5000,"🏆 Platinum",IF(E3525&gt;=2000,"🥇 Gold",IF(E3525&gt;=800,"🥈 Silver","🥉 Bronze")))</f>
        <v/>
      </c>
      <c r="L3525" s="125" t="n">
        <v>40865</v>
      </c>
    </row>
    <row r="3526">
      <c r="A3526" s="126" t="n">
        <v>17160</v>
      </c>
      <c r="B3526" s="126" t="inlineStr">
        <is>
          <t>United Kingdom</t>
        </is>
      </c>
      <c r="C3526" s="126" t="n">
        <v>32</v>
      </c>
      <c r="D3526" s="126" t="n">
        <v>6</v>
      </c>
      <c r="E3526" s="127" t="n">
        <v>3518.03</v>
      </c>
      <c r="F3526" s="128">
        <f>IF(C3526&lt;=30,5,IF(C3526&lt;=60,4,IF(C3526&lt;=120,3,IF(C3526&lt;=200,2,1))))</f>
        <v/>
      </c>
      <c r="G3526" s="128">
        <f>IF(D3526&gt;=20,5,IF(D3526&gt;=10,4,IF(D3526&gt;=5,3,IF(D3526&gt;=2,2,1))))</f>
        <v/>
      </c>
      <c r="H3526" s="128">
        <f>IF(E3526&gt;=5000,5,IF(E3526&gt;=2000,4,IF(E3526&gt;=800,3,IF(E3526&gt;=300,2,1))))</f>
        <v/>
      </c>
      <c r="I3526" s="126">
        <f>TEXT(F3526,"0")&amp;TEXT(G3526,"0")&amp;TEXT(H3526,"0")</f>
        <v/>
      </c>
      <c r="J3526" s="126">
        <f>IFERROR(XLOOKUP(I3526,'Segment Map'!A:A,'Segment Map'!B:B,"Need Attention"),"Need Attention")</f>
        <v/>
      </c>
      <c r="K3526" s="126">
        <f>IF(E3526&gt;=5000,"🏆 Platinum",IF(E3526&gt;=2000,"🥇 Gold",IF(E3526&gt;=800,"🥈 Silver","🥉 Bronze")))</f>
        <v/>
      </c>
      <c r="L3526" s="129" t="n">
        <v>40855</v>
      </c>
    </row>
    <row r="3527">
      <c r="A3527" s="122" t="n">
        <v>17162</v>
      </c>
      <c r="B3527" s="122" t="inlineStr">
        <is>
          <t>United Kingdom</t>
        </is>
      </c>
      <c r="C3527" s="122" t="n">
        <v>29</v>
      </c>
      <c r="D3527" s="122" t="n">
        <v>10</v>
      </c>
      <c r="E3527" s="123" t="n">
        <v>1715.46</v>
      </c>
      <c r="F3527" s="124">
        <f>IF(C3527&lt;=30,5,IF(C3527&lt;=60,4,IF(C3527&lt;=120,3,IF(C3527&lt;=200,2,1))))</f>
        <v/>
      </c>
      <c r="G3527" s="124">
        <f>IF(D3527&gt;=20,5,IF(D3527&gt;=10,4,IF(D3527&gt;=5,3,IF(D3527&gt;=2,2,1))))</f>
        <v/>
      </c>
      <c r="H3527" s="124">
        <f>IF(E3527&gt;=5000,5,IF(E3527&gt;=2000,4,IF(E3527&gt;=800,3,IF(E3527&gt;=300,2,1))))</f>
        <v/>
      </c>
      <c r="I3527" s="122">
        <f>TEXT(F3527,"0")&amp;TEXT(G3527,"0")&amp;TEXT(H3527,"0")</f>
        <v/>
      </c>
      <c r="J3527" s="122">
        <f>IFERROR(XLOOKUP(I3527,'Segment Map'!A:A,'Segment Map'!B:B,"Need Attention"),"Need Attention")</f>
        <v/>
      </c>
      <c r="K3527" s="122">
        <f>IF(E3527&gt;=5000,"🏆 Platinum",IF(E3527&gt;=2000,"🥇 Gold",IF(E3527&gt;=800,"🥈 Silver","🥉 Bronze")))</f>
        <v/>
      </c>
      <c r="L3527" s="125" t="n">
        <v>40858</v>
      </c>
    </row>
    <row r="3528">
      <c r="A3528" s="126" t="n">
        <v>17163</v>
      </c>
      <c r="B3528" s="126" t="inlineStr">
        <is>
          <t>United Kingdom</t>
        </is>
      </c>
      <c r="C3528" s="126" t="n">
        <v>22</v>
      </c>
      <c r="D3528" s="126" t="n">
        <v>2</v>
      </c>
      <c r="E3528" s="127" t="n">
        <v>293.1</v>
      </c>
      <c r="F3528" s="128">
        <f>IF(C3528&lt;=30,5,IF(C3528&lt;=60,4,IF(C3528&lt;=120,3,IF(C3528&lt;=200,2,1))))</f>
        <v/>
      </c>
      <c r="G3528" s="128">
        <f>IF(D3528&gt;=20,5,IF(D3528&gt;=10,4,IF(D3528&gt;=5,3,IF(D3528&gt;=2,2,1))))</f>
        <v/>
      </c>
      <c r="H3528" s="128">
        <f>IF(E3528&gt;=5000,5,IF(E3528&gt;=2000,4,IF(E3528&gt;=800,3,IF(E3528&gt;=300,2,1))))</f>
        <v/>
      </c>
      <c r="I3528" s="126">
        <f>TEXT(F3528,"0")&amp;TEXT(G3528,"0")&amp;TEXT(H3528,"0")</f>
        <v/>
      </c>
      <c r="J3528" s="126">
        <f>IFERROR(XLOOKUP(I3528,'Segment Map'!A:A,'Segment Map'!B:B,"Need Attention"),"Need Attention")</f>
        <v/>
      </c>
      <c r="K3528" s="126">
        <f>IF(E3528&gt;=5000,"🏆 Platinum",IF(E3528&gt;=2000,"🥇 Gold",IF(E3528&gt;=800,"🥈 Silver","🥉 Bronze")))</f>
        <v/>
      </c>
      <c r="L3528" s="129" t="n">
        <v>40865</v>
      </c>
    </row>
    <row r="3529">
      <c r="A3529" s="122" t="n">
        <v>17164</v>
      </c>
      <c r="B3529" s="122" t="inlineStr">
        <is>
          <t>United Kingdom</t>
        </is>
      </c>
      <c r="C3529" s="122" t="n">
        <v>33</v>
      </c>
      <c r="D3529" s="122" t="n">
        <v>7</v>
      </c>
      <c r="E3529" s="123" t="n">
        <v>2467.35</v>
      </c>
      <c r="F3529" s="124">
        <f>IF(C3529&lt;=30,5,IF(C3529&lt;=60,4,IF(C3529&lt;=120,3,IF(C3529&lt;=200,2,1))))</f>
        <v/>
      </c>
      <c r="G3529" s="124">
        <f>IF(D3529&gt;=20,5,IF(D3529&gt;=10,4,IF(D3529&gt;=5,3,IF(D3529&gt;=2,2,1))))</f>
        <v/>
      </c>
      <c r="H3529" s="124">
        <f>IF(E3529&gt;=5000,5,IF(E3529&gt;=2000,4,IF(E3529&gt;=800,3,IF(E3529&gt;=300,2,1))))</f>
        <v/>
      </c>
      <c r="I3529" s="122">
        <f>TEXT(F3529,"0")&amp;TEXT(G3529,"0")&amp;TEXT(H3529,"0")</f>
        <v/>
      </c>
      <c r="J3529" s="122">
        <f>IFERROR(XLOOKUP(I3529,'Segment Map'!A:A,'Segment Map'!B:B,"Need Attention"),"Need Attention")</f>
        <v/>
      </c>
      <c r="K3529" s="122">
        <f>IF(E3529&gt;=5000,"🏆 Platinum",IF(E3529&gt;=2000,"🥇 Gold",IF(E3529&gt;=800,"🥈 Silver","🥉 Bronze")))</f>
        <v/>
      </c>
      <c r="L3529" s="125" t="n">
        <v>40854</v>
      </c>
    </row>
    <row r="3530">
      <c r="A3530" s="126" t="n">
        <v>17165</v>
      </c>
      <c r="B3530" s="126" t="inlineStr">
        <is>
          <t>United Kingdom</t>
        </is>
      </c>
      <c r="C3530" s="126" t="n">
        <v>285</v>
      </c>
      <c r="D3530" s="126" t="n">
        <v>1</v>
      </c>
      <c r="E3530" s="127" t="n">
        <v>158.68</v>
      </c>
      <c r="F3530" s="128">
        <f>IF(C3530&lt;=30,5,IF(C3530&lt;=60,4,IF(C3530&lt;=120,3,IF(C3530&lt;=200,2,1))))</f>
        <v/>
      </c>
      <c r="G3530" s="128">
        <f>IF(D3530&gt;=20,5,IF(D3530&gt;=10,4,IF(D3530&gt;=5,3,IF(D3530&gt;=2,2,1))))</f>
        <v/>
      </c>
      <c r="H3530" s="128">
        <f>IF(E3530&gt;=5000,5,IF(E3530&gt;=2000,4,IF(E3530&gt;=800,3,IF(E3530&gt;=300,2,1))))</f>
        <v/>
      </c>
      <c r="I3530" s="126">
        <f>TEXT(F3530,"0")&amp;TEXT(G3530,"0")&amp;TEXT(H3530,"0")</f>
        <v/>
      </c>
      <c r="J3530" s="126">
        <f>IFERROR(XLOOKUP(I3530,'Segment Map'!A:A,'Segment Map'!B:B,"Need Attention"),"Need Attention")</f>
        <v/>
      </c>
      <c r="K3530" s="126">
        <f>IF(E3530&gt;=5000,"🏆 Platinum",IF(E3530&gt;=2000,"🥇 Gold",IF(E3530&gt;=800,"🥈 Silver","🥉 Bronze")))</f>
        <v/>
      </c>
      <c r="L3530" s="129" t="n">
        <v>40602</v>
      </c>
    </row>
    <row r="3531">
      <c r="A3531" s="122" t="n">
        <v>17166</v>
      </c>
      <c r="B3531" s="122" t="inlineStr">
        <is>
          <t>United Kingdom</t>
        </is>
      </c>
      <c r="C3531" s="122" t="n">
        <v>39</v>
      </c>
      <c r="D3531" s="122" t="n">
        <v>2</v>
      </c>
      <c r="E3531" s="123" t="n">
        <v>206.34</v>
      </c>
      <c r="F3531" s="124">
        <f>IF(C3531&lt;=30,5,IF(C3531&lt;=60,4,IF(C3531&lt;=120,3,IF(C3531&lt;=200,2,1))))</f>
        <v/>
      </c>
      <c r="G3531" s="124">
        <f>IF(D3531&gt;=20,5,IF(D3531&gt;=10,4,IF(D3531&gt;=5,3,IF(D3531&gt;=2,2,1))))</f>
        <v/>
      </c>
      <c r="H3531" s="124">
        <f>IF(E3531&gt;=5000,5,IF(E3531&gt;=2000,4,IF(E3531&gt;=800,3,IF(E3531&gt;=300,2,1))))</f>
        <v/>
      </c>
      <c r="I3531" s="122">
        <f>TEXT(F3531,"0")&amp;TEXT(G3531,"0")&amp;TEXT(H3531,"0")</f>
        <v/>
      </c>
      <c r="J3531" s="122">
        <f>IFERROR(XLOOKUP(I3531,'Segment Map'!A:A,'Segment Map'!B:B,"Need Attention"),"Need Attention")</f>
        <v/>
      </c>
      <c r="K3531" s="122">
        <f>IF(E3531&gt;=5000,"🏆 Platinum",IF(E3531&gt;=2000,"🥇 Gold",IF(E3531&gt;=800,"🥈 Silver","🥉 Bronze")))</f>
        <v/>
      </c>
      <c r="L3531" s="125" t="n">
        <v>40848</v>
      </c>
    </row>
    <row r="3532">
      <c r="A3532" s="126" t="n">
        <v>17169</v>
      </c>
      <c r="B3532" s="126" t="inlineStr">
        <is>
          <t>United Kingdom</t>
        </is>
      </c>
      <c r="C3532" s="126" t="n">
        <v>58</v>
      </c>
      <c r="D3532" s="126" t="n">
        <v>2</v>
      </c>
      <c r="E3532" s="127" t="n">
        <v>835.78</v>
      </c>
      <c r="F3532" s="128">
        <f>IF(C3532&lt;=30,5,IF(C3532&lt;=60,4,IF(C3532&lt;=120,3,IF(C3532&lt;=200,2,1))))</f>
        <v/>
      </c>
      <c r="G3532" s="128">
        <f>IF(D3532&gt;=20,5,IF(D3532&gt;=10,4,IF(D3532&gt;=5,3,IF(D3532&gt;=2,2,1))))</f>
        <v/>
      </c>
      <c r="H3532" s="128">
        <f>IF(E3532&gt;=5000,5,IF(E3532&gt;=2000,4,IF(E3532&gt;=800,3,IF(E3532&gt;=300,2,1))))</f>
        <v/>
      </c>
      <c r="I3532" s="126">
        <f>TEXT(F3532,"0")&amp;TEXT(G3532,"0")&amp;TEXT(H3532,"0")</f>
        <v/>
      </c>
      <c r="J3532" s="126">
        <f>IFERROR(XLOOKUP(I3532,'Segment Map'!A:A,'Segment Map'!B:B,"Need Attention"),"Need Attention")</f>
        <v/>
      </c>
      <c r="K3532" s="126">
        <f>IF(E3532&gt;=5000,"🏆 Platinum",IF(E3532&gt;=2000,"🥇 Gold",IF(E3532&gt;=800,"🥈 Silver","🥉 Bronze")))</f>
        <v/>
      </c>
      <c r="L3532" s="129" t="n">
        <v>40829</v>
      </c>
    </row>
    <row r="3533">
      <c r="A3533" s="122" t="n">
        <v>17171</v>
      </c>
      <c r="B3533" s="122" t="inlineStr">
        <is>
          <t>United Kingdom</t>
        </is>
      </c>
      <c r="C3533" s="122" t="n">
        <v>290</v>
      </c>
      <c r="D3533" s="122" t="n">
        <v>1</v>
      </c>
      <c r="E3533" s="123" t="n">
        <v>224.91</v>
      </c>
      <c r="F3533" s="124">
        <f>IF(C3533&lt;=30,5,IF(C3533&lt;=60,4,IF(C3533&lt;=120,3,IF(C3533&lt;=200,2,1))))</f>
        <v/>
      </c>
      <c r="G3533" s="124">
        <f>IF(D3533&gt;=20,5,IF(D3533&gt;=10,4,IF(D3533&gt;=5,3,IF(D3533&gt;=2,2,1))))</f>
        <v/>
      </c>
      <c r="H3533" s="124">
        <f>IF(E3533&gt;=5000,5,IF(E3533&gt;=2000,4,IF(E3533&gt;=800,3,IF(E3533&gt;=300,2,1))))</f>
        <v/>
      </c>
      <c r="I3533" s="122">
        <f>TEXT(F3533,"0")&amp;TEXT(G3533,"0")&amp;TEXT(H3533,"0")</f>
        <v/>
      </c>
      <c r="J3533" s="122">
        <f>IFERROR(XLOOKUP(I3533,'Segment Map'!A:A,'Segment Map'!B:B,"Need Attention"),"Need Attention")</f>
        <v/>
      </c>
      <c r="K3533" s="122">
        <f>IF(E3533&gt;=5000,"🏆 Platinum",IF(E3533&gt;=2000,"🥇 Gold",IF(E3533&gt;=800,"🥈 Silver","🥉 Bronze")))</f>
        <v/>
      </c>
      <c r="L3533" s="125" t="n">
        <v>40597</v>
      </c>
    </row>
    <row r="3534">
      <c r="A3534" s="126" t="n">
        <v>17172</v>
      </c>
      <c r="B3534" s="126" t="inlineStr">
        <is>
          <t>United Kingdom</t>
        </is>
      </c>
      <c r="C3534" s="126" t="n">
        <v>79</v>
      </c>
      <c r="D3534" s="126" t="n">
        <v>1</v>
      </c>
      <c r="E3534" s="127" t="n">
        <v>317.76</v>
      </c>
      <c r="F3534" s="128">
        <f>IF(C3534&lt;=30,5,IF(C3534&lt;=60,4,IF(C3534&lt;=120,3,IF(C3534&lt;=200,2,1))))</f>
        <v/>
      </c>
      <c r="G3534" s="128">
        <f>IF(D3534&gt;=20,5,IF(D3534&gt;=10,4,IF(D3534&gt;=5,3,IF(D3534&gt;=2,2,1))))</f>
        <v/>
      </c>
      <c r="H3534" s="128">
        <f>IF(E3534&gt;=5000,5,IF(E3534&gt;=2000,4,IF(E3534&gt;=800,3,IF(E3534&gt;=300,2,1))))</f>
        <v/>
      </c>
      <c r="I3534" s="126">
        <f>TEXT(F3534,"0")&amp;TEXT(G3534,"0")&amp;TEXT(H3534,"0")</f>
        <v/>
      </c>
      <c r="J3534" s="126">
        <f>IFERROR(XLOOKUP(I3534,'Segment Map'!A:A,'Segment Map'!B:B,"Need Attention"),"Need Attention")</f>
        <v/>
      </c>
      <c r="K3534" s="126">
        <f>IF(E3534&gt;=5000,"🏆 Platinum",IF(E3534&gt;=2000,"🥇 Gold",IF(E3534&gt;=800,"🥈 Silver","🥉 Bronze")))</f>
        <v/>
      </c>
      <c r="L3534" s="129" t="n">
        <v>40808</v>
      </c>
    </row>
    <row r="3535">
      <c r="A3535" s="122" t="n">
        <v>17173</v>
      </c>
      <c r="B3535" s="122" t="inlineStr">
        <is>
          <t>United Kingdom</t>
        </is>
      </c>
      <c r="C3535" s="122" t="n">
        <v>6</v>
      </c>
      <c r="D3535" s="122" t="n">
        <v>8</v>
      </c>
      <c r="E3535" s="123" t="n">
        <v>3766.6</v>
      </c>
      <c r="F3535" s="124">
        <f>IF(C3535&lt;=30,5,IF(C3535&lt;=60,4,IF(C3535&lt;=120,3,IF(C3535&lt;=200,2,1))))</f>
        <v/>
      </c>
      <c r="G3535" s="124">
        <f>IF(D3535&gt;=20,5,IF(D3535&gt;=10,4,IF(D3535&gt;=5,3,IF(D3535&gt;=2,2,1))))</f>
        <v/>
      </c>
      <c r="H3535" s="124">
        <f>IF(E3535&gt;=5000,5,IF(E3535&gt;=2000,4,IF(E3535&gt;=800,3,IF(E3535&gt;=300,2,1))))</f>
        <v/>
      </c>
      <c r="I3535" s="122">
        <f>TEXT(F3535,"0")&amp;TEXT(G3535,"0")&amp;TEXT(H3535,"0")</f>
        <v/>
      </c>
      <c r="J3535" s="122">
        <f>IFERROR(XLOOKUP(I3535,'Segment Map'!A:A,'Segment Map'!B:B,"Need Attention"),"Need Attention")</f>
        <v/>
      </c>
      <c r="K3535" s="122">
        <f>IF(E3535&gt;=5000,"🏆 Platinum",IF(E3535&gt;=2000,"🥇 Gold",IF(E3535&gt;=800,"🥈 Silver","🥉 Bronze")))</f>
        <v/>
      </c>
      <c r="L3535" s="125" t="n">
        <v>40881</v>
      </c>
    </row>
    <row r="3536">
      <c r="A3536" s="126" t="n">
        <v>17174</v>
      </c>
      <c r="B3536" s="126" t="inlineStr">
        <is>
          <t>United Kingdom</t>
        </is>
      </c>
      <c r="C3536" s="126" t="n">
        <v>218</v>
      </c>
      <c r="D3536" s="126" t="n">
        <v>1</v>
      </c>
      <c r="E3536" s="127" t="n">
        <v>59.9</v>
      </c>
      <c r="F3536" s="128">
        <f>IF(C3536&lt;=30,5,IF(C3536&lt;=60,4,IF(C3536&lt;=120,3,IF(C3536&lt;=200,2,1))))</f>
        <v/>
      </c>
      <c r="G3536" s="128">
        <f>IF(D3536&gt;=20,5,IF(D3536&gt;=10,4,IF(D3536&gt;=5,3,IF(D3536&gt;=2,2,1))))</f>
        <v/>
      </c>
      <c r="H3536" s="128">
        <f>IF(E3536&gt;=5000,5,IF(E3536&gt;=2000,4,IF(E3536&gt;=800,3,IF(E3536&gt;=300,2,1))))</f>
        <v/>
      </c>
      <c r="I3536" s="126">
        <f>TEXT(F3536,"0")&amp;TEXT(G3536,"0")&amp;TEXT(H3536,"0")</f>
        <v/>
      </c>
      <c r="J3536" s="126">
        <f>IFERROR(XLOOKUP(I3536,'Segment Map'!A:A,'Segment Map'!B:B,"Need Attention"),"Need Attention")</f>
        <v/>
      </c>
      <c r="K3536" s="126">
        <f>IF(E3536&gt;=5000,"🏆 Platinum",IF(E3536&gt;=2000,"🥇 Gold",IF(E3536&gt;=800,"🥈 Silver","🥉 Bronze")))</f>
        <v/>
      </c>
      <c r="L3536" s="129" t="n">
        <v>40669</v>
      </c>
    </row>
    <row r="3537">
      <c r="A3537" s="122" t="n">
        <v>17175</v>
      </c>
      <c r="B3537" s="122" t="inlineStr">
        <is>
          <t>United Kingdom</t>
        </is>
      </c>
      <c r="C3537" s="122" t="n">
        <v>45</v>
      </c>
      <c r="D3537" s="122" t="n">
        <v>4</v>
      </c>
      <c r="E3537" s="123" t="n">
        <v>1443.69</v>
      </c>
      <c r="F3537" s="124">
        <f>IF(C3537&lt;=30,5,IF(C3537&lt;=60,4,IF(C3537&lt;=120,3,IF(C3537&lt;=200,2,1))))</f>
        <v/>
      </c>
      <c r="G3537" s="124">
        <f>IF(D3537&gt;=20,5,IF(D3537&gt;=10,4,IF(D3537&gt;=5,3,IF(D3537&gt;=2,2,1))))</f>
        <v/>
      </c>
      <c r="H3537" s="124">
        <f>IF(E3537&gt;=5000,5,IF(E3537&gt;=2000,4,IF(E3537&gt;=800,3,IF(E3537&gt;=300,2,1))))</f>
        <v/>
      </c>
      <c r="I3537" s="122">
        <f>TEXT(F3537,"0")&amp;TEXT(G3537,"0")&amp;TEXT(H3537,"0")</f>
        <v/>
      </c>
      <c r="J3537" s="122">
        <f>IFERROR(XLOOKUP(I3537,'Segment Map'!A:A,'Segment Map'!B:B,"Need Attention"),"Need Attention")</f>
        <v/>
      </c>
      <c r="K3537" s="122">
        <f>IF(E3537&gt;=5000,"🏆 Platinum",IF(E3537&gt;=2000,"🥇 Gold",IF(E3537&gt;=800,"🥈 Silver","🥉 Bronze")))</f>
        <v/>
      </c>
      <c r="L3537" s="125" t="n">
        <v>40842</v>
      </c>
    </row>
    <row r="3538">
      <c r="A3538" s="126" t="n">
        <v>17176</v>
      </c>
      <c r="B3538" s="126" t="inlineStr">
        <is>
          <t>United Kingdom</t>
        </is>
      </c>
      <c r="C3538" s="126" t="n">
        <v>202</v>
      </c>
      <c r="D3538" s="126" t="n">
        <v>1</v>
      </c>
      <c r="E3538" s="127" t="n">
        <v>306.13</v>
      </c>
      <c r="F3538" s="128">
        <f>IF(C3538&lt;=30,5,IF(C3538&lt;=60,4,IF(C3538&lt;=120,3,IF(C3538&lt;=200,2,1))))</f>
        <v/>
      </c>
      <c r="G3538" s="128">
        <f>IF(D3538&gt;=20,5,IF(D3538&gt;=10,4,IF(D3538&gt;=5,3,IF(D3538&gt;=2,2,1))))</f>
        <v/>
      </c>
      <c r="H3538" s="128">
        <f>IF(E3538&gt;=5000,5,IF(E3538&gt;=2000,4,IF(E3538&gt;=800,3,IF(E3538&gt;=300,2,1))))</f>
        <v/>
      </c>
      <c r="I3538" s="126">
        <f>TEXT(F3538,"0")&amp;TEXT(G3538,"0")&amp;TEXT(H3538,"0")</f>
        <v/>
      </c>
      <c r="J3538" s="126">
        <f>IFERROR(XLOOKUP(I3538,'Segment Map'!A:A,'Segment Map'!B:B,"Need Attention"),"Need Attention")</f>
        <v/>
      </c>
      <c r="K3538" s="126">
        <f>IF(E3538&gt;=5000,"🏆 Platinum",IF(E3538&gt;=2000,"🥇 Gold",IF(E3538&gt;=800,"🥈 Silver","🥉 Bronze")))</f>
        <v/>
      </c>
      <c r="L3538" s="129" t="n">
        <v>40685</v>
      </c>
    </row>
    <row r="3539">
      <c r="A3539" s="122" t="n">
        <v>17179</v>
      </c>
      <c r="B3539" s="122" t="inlineStr">
        <is>
          <t>United Kingdom</t>
        </is>
      </c>
      <c r="C3539" s="122" t="n">
        <v>179</v>
      </c>
      <c r="D3539" s="122" t="n">
        <v>3</v>
      </c>
      <c r="E3539" s="123" t="n">
        <v>711.79</v>
      </c>
      <c r="F3539" s="124">
        <f>IF(C3539&lt;=30,5,IF(C3539&lt;=60,4,IF(C3539&lt;=120,3,IF(C3539&lt;=200,2,1))))</f>
        <v/>
      </c>
      <c r="G3539" s="124">
        <f>IF(D3539&gt;=20,5,IF(D3539&gt;=10,4,IF(D3539&gt;=5,3,IF(D3539&gt;=2,2,1))))</f>
        <v/>
      </c>
      <c r="H3539" s="124">
        <f>IF(E3539&gt;=5000,5,IF(E3539&gt;=2000,4,IF(E3539&gt;=800,3,IF(E3539&gt;=300,2,1))))</f>
        <v/>
      </c>
      <c r="I3539" s="122">
        <f>TEXT(F3539,"0")&amp;TEXT(G3539,"0")&amp;TEXT(H3539,"0")</f>
        <v/>
      </c>
      <c r="J3539" s="122">
        <f>IFERROR(XLOOKUP(I3539,'Segment Map'!A:A,'Segment Map'!B:B,"Need Attention"),"Need Attention")</f>
        <v/>
      </c>
      <c r="K3539" s="122">
        <f>IF(E3539&gt;=5000,"🏆 Platinum",IF(E3539&gt;=2000,"🥇 Gold",IF(E3539&gt;=800,"🥈 Silver","🥉 Bronze")))</f>
        <v/>
      </c>
      <c r="L3539" s="125" t="n">
        <v>40708</v>
      </c>
    </row>
    <row r="3540">
      <c r="A3540" s="126" t="n">
        <v>17180</v>
      </c>
      <c r="B3540" s="126" t="inlineStr">
        <is>
          <t>United Kingdom</t>
        </is>
      </c>
      <c r="C3540" s="126" t="n">
        <v>57</v>
      </c>
      <c r="D3540" s="126" t="n">
        <v>4</v>
      </c>
      <c r="E3540" s="127" t="n">
        <v>796.03</v>
      </c>
      <c r="F3540" s="128">
        <f>IF(C3540&lt;=30,5,IF(C3540&lt;=60,4,IF(C3540&lt;=120,3,IF(C3540&lt;=200,2,1))))</f>
        <v/>
      </c>
      <c r="G3540" s="128">
        <f>IF(D3540&gt;=20,5,IF(D3540&gt;=10,4,IF(D3540&gt;=5,3,IF(D3540&gt;=2,2,1))))</f>
        <v/>
      </c>
      <c r="H3540" s="128">
        <f>IF(E3540&gt;=5000,5,IF(E3540&gt;=2000,4,IF(E3540&gt;=800,3,IF(E3540&gt;=300,2,1))))</f>
        <v/>
      </c>
      <c r="I3540" s="126">
        <f>TEXT(F3540,"0")&amp;TEXT(G3540,"0")&amp;TEXT(H3540,"0")</f>
        <v/>
      </c>
      <c r="J3540" s="126">
        <f>IFERROR(XLOOKUP(I3540,'Segment Map'!A:A,'Segment Map'!B:B,"Need Attention"),"Need Attention")</f>
        <v/>
      </c>
      <c r="K3540" s="126">
        <f>IF(E3540&gt;=5000,"🏆 Platinum",IF(E3540&gt;=2000,"🥇 Gold",IF(E3540&gt;=800,"🥈 Silver","🥉 Bronze")))</f>
        <v/>
      </c>
      <c r="L3540" s="129" t="n">
        <v>40830</v>
      </c>
    </row>
    <row r="3541">
      <c r="A3541" s="122" t="n">
        <v>17181</v>
      </c>
      <c r="B3541" s="122" t="inlineStr">
        <is>
          <t>United Kingdom</t>
        </is>
      </c>
      <c r="C3541" s="122" t="n">
        <v>58</v>
      </c>
      <c r="D3541" s="122" t="n">
        <v>2</v>
      </c>
      <c r="E3541" s="123" t="n">
        <v>239.92</v>
      </c>
      <c r="F3541" s="124">
        <f>IF(C3541&lt;=30,5,IF(C3541&lt;=60,4,IF(C3541&lt;=120,3,IF(C3541&lt;=200,2,1))))</f>
        <v/>
      </c>
      <c r="G3541" s="124">
        <f>IF(D3541&gt;=20,5,IF(D3541&gt;=10,4,IF(D3541&gt;=5,3,IF(D3541&gt;=2,2,1))))</f>
        <v/>
      </c>
      <c r="H3541" s="124">
        <f>IF(E3541&gt;=5000,5,IF(E3541&gt;=2000,4,IF(E3541&gt;=800,3,IF(E3541&gt;=300,2,1))))</f>
        <v/>
      </c>
      <c r="I3541" s="122">
        <f>TEXT(F3541,"0")&amp;TEXT(G3541,"0")&amp;TEXT(H3541,"0")</f>
        <v/>
      </c>
      <c r="J3541" s="122">
        <f>IFERROR(XLOOKUP(I3541,'Segment Map'!A:A,'Segment Map'!B:B,"Need Attention"),"Need Attention")</f>
        <v/>
      </c>
      <c r="K3541" s="122">
        <f>IF(E3541&gt;=5000,"🏆 Platinum",IF(E3541&gt;=2000,"🥇 Gold",IF(E3541&gt;=800,"🥈 Silver","🥉 Bronze")))</f>
        <v/>
      </c>
      <c r="L3541" s="125" t="n">
        <v>40829</v>
      </c>
    </row>
    <row r="3542">
      <c r="A3542" s="126" t="n">
        <v>17183</v>
      </c>
      <c r="B3542" s="126" t="inlineStr">
        <is>
          <t>United Kingdom</t>
        </is>
      </c>
      <c r="C3542" s="126" t="n">
        <v>8</v>
      </c>
      <c r="D3542" s="126" t="n">
        <v>6</v>
      </c>
      <c r="E3542" s="127" t="n">
        <v>3347.31</v>
      </c>
      <c r="F3542" s="128">
        <f>IF(C3542&lt;=30,5,IF(C3542&lt;=60,4,IF(C3542&lt;=120,3,IF(C3542&lt;=200,2,1))))</f>
        <v/>
      </c>
      <c r="G3542" s="128">
        <f>IF(D3542&gt;=20,5,IF(D3542&gt;=10,4,IF(D3542&gt;=5,3,IF(D3542&gt;=2,2,1))))</f>
        <v/>
      </c>
      <c r="H3542" s="128">
        <f>IF(E3542&gt;=5000,5,IF(E3542&gt;=2000,4,IF(E3542&gt;=800,3,IF(E3542&gt;=300,2,1))))</f>
        <v/>
      </c>
      <c r="I3542" s="126">
        <f>TEXT(F3542,"0")&amp;TEXT(G3542,"0")&amp;TEXT(H3542,"0")</f>
        <v/>
      </c>
      <c r="J3542" s="126">
        <f>IFERROR(XLOOKUP(I3542,'Segment Map'!A:A,'Segment Map'!B:B,"Need Attention"),"Need Attention")</f>
        <v/>
      </c>
      <c r="K3542" s="126">
        <f>IF(E3542&gt;=5000,"🏆 Platinum",IF(E3542&gt;=2000,"🥇 Gold",IF(E3542&gt;=800,"🥈 Silver","🥉 Bronze")))</f>
        <v/>
      </c>
      <c r="L3542" s="129" t="n">
        <v>40879</v>
      </c>
    </row>
    <row r="3543">
      <c r="A3543" s="122" t="n">
        <v>17186</v>
      </c>
      <c r="B3543" s="122" t="inlineStr">
        <is>
          <t>United Kingdom</t>
        </is>
      </c>
      <c r="C3543" s="122" t="n">
        <v>47</v>
      </c>
      <c r="D3543" s="122" t="n">
        <v>2</v>
      </c>
      <c r="E3543" s="123" t="n">
        <v>144</v>
      </c>
      <c r="F3543" s="124">
        <f>IF(C3543&lt;=30,5,IF(C3543&lt;=60,4,IF(C3543&lt;=120,3,IF(C3543&lt;=200,2,1))))</f>
        <v/>
      </c>
      <c r="G3543" s="124">
        <f>IF(D3543&gt;=20,5,IF(D3543&gt;=10,4,IF(D3543&gt;=5,3,IF(D3543&gt;=2,2,1))))</f>
        <v/>
      </c>
      <c r="H3543" s="124">
        <f>IF(E3543&gt;=5000,5,IF(E3543&gt;=2000,4,IF(E3543&gt;=800,3,IF(E3543&gt;=300,2,1))))</f>
        <v/>
      </c>
      <c r="I3543" s="122">
        <f>TEXT(F3543,"0")&amp;TEXT(G3543,"0")&amp;TEXT(H3543,"0")</f>
        <v/>
      </c>
      <c r="J3543" s="122">
        <f>IFERROR(XLOOKUP(I3543,'Segment Map'!A:A,'Segment Map'!B:B,"Need Attention"),"Need Attention")</f>
        <v/>
      </c>
      <c r="K3543" s="122">
        <f>IF(E3543&gt;=5000,"🏆 Platinum",IF(E3543&gt;=2000,"🥇 Gold",IF(E3543&gt;=800,"🥈 Silver","🥉 Bronze")))</f>
        <v/>
      </c>
      <c r="L3543" s="125" t="n">
        <v>40840</v>
      </c>
    </row>
    <row r="3544">
      <c r="A3544" s="126" t="n">
        <v>17187</v>
      </c>
      <c r="B3544" s="126" t="inlineStr">
        <is>
          <t>United Kingdom</t>
        </is>
      </c>
      <c r="C3544" s="126" t="n">
        <v>227</v>
      </c>
      <c r="D3544" s="126" t="n">
        <v>1</v>
      </c>
      <c r="E3544" s="127" t="n">
        <v>203.95</v>
      </c>
      <c r="F3544" s="128">
        <f>IF(C3544&lt;=30,5,IF(C3544&lt;=60,4,IF(C3544&lt;=120,3,IF(C3544&lt;=200,2,1))))</f>
        <v/>
      </c>
      <c r="G3544" s="128">
        <f>IF(D3544&gt;=20,5,IF(D3544&gt;=10,4,IF(D3544&gt;=5,3,IF(D3544&gt;=2,2,1))))</f>
        <v/>
      </c>
      <c r="H3544" s="128">
        <f>IF(E3544&gt;=5000,5,IF(E3544&gt;=2000,4,IF(E3544&gt;=800,3,IF(E3544&gt;=300,2,1))))</f>
        <v/>
      </c>
      <c r="I3544" s="126">
        <f>TEXT(F3544,"0")&amp;TEXT(G3544,"0")&amp;TEXT(H3544,"0")</f>
        <v/>
      </c>
      <c r="J3544" s="126">
        <f>IFERROR(XLOOKUP(I3544,'Segment Map'!A:A,'Segment Map'!B:B,"Need Attention"),"Need Attention")</f>
        <v/>
      </c>
      <c r="K3544" s="126">
        <f>IF(E3544&gt;=5000,"🏆 Platinum",IF(E3544&gt;=2000,"🥇 Gold",IF(E3544&gt;=800,"🥈 Silver","🥉 Bronze")))</f>
        <v/>
      </c>
      <c r="L3544" s="129" t="n">
        <v>40660</v>
      </c>
    </row>
    <row r="3545">
      <c r="A3545" s="122" t="n">
        <v>17188</v>
      </c>
      <c r="B3545" s="122" t="inlineStr">
        <is>
          <t>United Kingdom</t>
        </is>
      </c>
      <c r="C3545" s="122" t="n">
        <v>12</v>
      </c>
      <c r="D3545" s="122" t="n">
        <v>7</v>
      </c>
      <c r="E3545" s="123" t="n">
        <v>2474.23</v>
      </c>
      <c r="F3545" s="124">
        <f>IF(C3545&lt;=30,5,IF(C3545&lt;=60,4,IF(C3545&lt;=120,3,IF(C3545&lt;=200,2,1))))</f>
        <v/>
      </c>
      <c r="G3545" s="124">
        <f>IF(D3545&gt;=20,5,IF(D3545&gt;=10,4,IF(D3545&gt;=5,3,IF(D3545&gt;=2,2,1))))</f>
        <v/>
      </c>
      <c r="H3545" s="124">
        <f>IF(E3545&gt;=5000,5,IF(E3545&gt;=2000,4,IF(E3545&gt;=800,3,IF(E3545&gt;=300,2,1))))</f>
        <v/>
      </c>
      <c r="I3545" s="122">
        <f>TEXT(F3545,"0")&amp;TEXT(G3545,"0")&amp;TEXT(H3545,"0")</f>
        <v/>
      </c>
      <c r="J3545" s="122">
        <f>IFERROR(XLOOKUP(I3545,'Segment Map'!A:A,'Segment Map'!B:B,"Need Attention"),"Need Attention")</f>
        <v/>
      </c>
      <c r="K3545" s="122">
        <f>IF(E3545&gt;=5000,"🏆 Platinum",IF(E3545&gt;=2000,"🥇 Gold",IF(E3545&gt;=800,"🥈 Silver","🥉 Bronze")))</f>
        <v/>
      </c>
      <c r="L3545" s="125" t="n">
        <v>40875</v>
      </c>
    </row>
    <row r="3546">
      <c r="A3546" s="126" t="n">
        <v>17189</v>
      </c>
      <c r="B3546" s="126" t="inlineStr">
        <is>
          <t>United Kingdom</t>
        </is>
      </c>
      <c r="C3546" s="126" t="n">
        <v>107</v>
      </c>
      <c r="D3546" s="126" t="n">
        <v>2</v>
      </c>
      <c r="E3546" s="127" t="n">
        <v>384.4</v>
      </c>
      <c r="F3546" s="128">
        <f>IF(C3546&lt;=30,5,IF(C3546&lt;=60,4,IF(C3546&lt;=120,3,IF(C3546&lt;=200,2,1))))</f>
        <v/>
      </c>
      <c r="G3546" s="128">
        <f>IF(D3546&gt;=20,5,IF(D3546&gt;=10,4,IF(D3546&gt;=5,3,IF(D3546&gt;=2,2,1))))</f>
        <v/>
      </c>
      <c r="H3546" s="128">
        <f>IF(E3546&gt;=5000,5,IF(E3546&gt;=2000,4,IF(E3546&gt;=800,3,IF(E3546&gt;=300,2,1))))</f>
        <v/>
      </c>
      <c r="I3546" s="126">
        <f>TEXT(F3546,"0")&amp;TEXT(G3546,"0")&amp;TEXT(H3546,"0")</f>
        <v/>
      </c>
      <c r="J3546" s="126">
        <f>IFERROR(XLOOKUP(I3546,'Segment Map'!A:A,'Segment Map'!B:B,"Need Attention"),"Need Attention")</f>
        <v/>
      </c>
      <c r="K3546" s="126">
        <f>IF(E3546&gt;=5000,"🏆 Platinum",IF(E3546&gt;=2000,"🥇 Gold",IF(E3546&gt;=800,"🥈 Silver","🥉 Bronze")))</f>
        <v/>
      </c>
      <c r="L3546" s="129" t="n">
        <v>40780</v>
      </c>
    </row>
    <row r="3547">
      <c r="A3547" s="122" t="n">
        <v>17190</v>
      </c>
      <c r="B3547" s="122" t="inlineStr">
        <is>
          <t>United Kingdom</t>
        </is>
      </c>
      <c r="C3547" s="122" t="n">
        <v>59</v>
      </c>
      <c r="D3547" s="122" t="n">
        <v>2</v>
      </c>
      <c r="E3547" s="123" t="n">
        <v>444.74</v>
      </c>
      <c r="F3547" s="124">
        <f>IF(C3547&lt;=30,5,IF(C3547&lt;=60,4,IF(C3547&lt;=120,3,IF(C3547&lt;=200,2,1))))</f>
        <v/>
      </c>
      <c r="G3547" s="124">
        <f>IF(D3547&gt;=20,5,IF(D3547&gt;=10,4,IF(D3547&gt;=5,3,IF(D3547&gt;=2,2,1))))</f>
        <v/>
      </c>
      <c r="H3547" s="124">
        <f>IF(E3547&gt;=5000,5,IF(E3547&gt;=2000,4,IF(E3547&gt;=800,3,IF(E3547&gt;=300,2,1))))</f>
        <v/>
      </c>
      <c r="I3547" s="122">
        <f>TEXT(F3547,"0")&amp;TEXT(G3547,"0")&amp;TEXT(H3547,"0")</f>
        <v/>
      </c>
      <c r="J3547" s="122">
        <f>IFERROR(XLOOKUP(I3547,'Segment Map'!A:A,'Segment Map'!B:B,"Need Attention"),"Need Attention")</f>
        <v/>
      </c>
      <c r="K3547" s="122">
        <f>IF(E3547&gt;=5000,"🏆 Platinum",IF(E3547&gt;=2000,"🥇 Gold",IF(E3547&gt;=800,"🥈 Silver","🥉 Bronze")))</f>
        <v/>
      </c>
      <c r="L3547" s="125" t="n">
        <v>40828</v>
      </c>
    </row>
    <row r="3548">
      <c r="A3548" s="126" t="n">
        <v>17191</v>
      </c>
      <c r="B3548" s="126" t="inlineStr">
        <is>
          <t>United Kingdom</t>
        </is>
      </c>
      <c r="C3548" s="126" t="n">
        <v>29</v>
      </c>
      <c r="D3548" s="126" t="n">
        <v>7</v>
      </c>
      <c r="E3548" s="127" t="n">
        <v>2095.13</v>
      </c>
      <c r="F3548" s="128">
        <f>IF(C3548&lt;=30,5,IF(C3548&lt;=60,4,IF(C3548&lt;=120,3,IF(C3548&lt;=200,2,1))))</f>
        <v/>
      </c>
      <c r="G3548" s="128">
        <f>IF(D3548&gt;=20,5,IF(D3548&gt;=10,4,IF(D3548&gt;=5,3,IF(D3548&gt;=2,2,1))))</f>
        <v/>
      </c>
      <c r="H3548" s="128">
        <f>IF(E3548&gt;=5000,5,IF(E3548&gt;=2000,4,IF(E3548&gt;=800,3,IF(E3548&gt;=300,2,1))))</f>
        <v/>
      </c>
      <c r="I3548" s="126">
        <f>TEXT(F3548,"0")&amp;TEXT(G3548,"0")&amp;TEXT(H3548,"0")</f>
        <v/>
      </c>
      <c r="J3548" s="126">
        <f>IFERROR(XLOOKUP(I3548,'Segment Map'!A:A,'Segment Map'!B:B,"Need Attention"),"Need Attention")</f>
        <v/>
      </c>
      <c r="K3548" s="126">
        <f>IF(E3548&gt;=5000,"🏆 Platinum",IF(E3548&gt;=2000,"🥇 Gold",IF(E3548&gt;=800,"🥈 Silver","🥉 Bronze")))</f>
        <v/>
      </c>
      <c r="L3548" s="129" t="n">
        <v>40858</v>
      </c>
    </row>
    <row r="3549">
      <c r="A3549" s="122" t="n">
        <v>17193</v>
      </c>
      <c r="B3549" s="122" t="inlineStr">
        <is>
          <t>United Kingdom</t>
        </is>
      </c>
      <c r="C3549" s="122" t="n">
        <v>36</v>
      </c>
      <c r="D3549" s="122" t="n">
        <v>7</v>
      </c>
      <c r="E3549" s="123" t="n">
        <v>1699.3</v>
      </c>
      <c r="F3549" s="124">
        <f>IF(C3549&lt;=30,5,IF(C3549&lt;=60,4,IF(C3549&lt;=120,3,IF(C3549&lt;=200,2,1))))</f>
        <v/>
      </c>
      <c r="G3549" s="124">
        <f>IF(D3549&gt;=20,5,IF(D3549&gt;=10,4,IF(D3549&gt;=5,3,IF(D3549&gt;=2,2,1))))</f>
        <v/>
      </c>
      <c r="H3549" s="124">
        <f>IF(E3549&gt;=5000,5,IF(E3549&gt;=2000,4,IF(E3549&gt;=800,3,IF(E3549&gt;=300,2,1))))</f>
        <v/>
      </c>
      <c r="I3549" s="122">
        <f>TEXT(F3549,"0")&amp;TEXT(G3549,"0")&amp;TEXT(H3549,"0")</f>
        <v/>
      </c>
      <c r="J3549" s="122">
        <f>IFERROR(XLOOKUP(I3549,'Segment Map'!A:A,'Segment Map'!B:B,"Need Attention"),"Need Attention")</f>
        <v/>
      </c>
      <c r="K3549" s="122">
        <f>IF(E3549&gt;=5000,"🏆 Platinum",IF(E3549&gt;=2000,"🥇 Gold",IF(E3549&gt;=800,"🥈 Silver","🥉 Bronze")))</f>
        <v/>
      </c>
      <c r="L3549" s="125" t="n">
        <v>40851</v>
      </c>
    </row>
    <row r="3550">
      <c r="A3550" s="126" t="n">
        <v>17194</v>
      </c>
      <c r="B3550" s="126" t="inlineStr">
        <is>
          <t>United Kingdom</t>
        </is>
      </c>
      <c r="C3550" s="126" t="n">
        <v>274</v>
      </c>
      <c r="D3550" s="126" t="n">
        <v>2</v>
      </c>
      <c r="E3550" s="127" t="n">
        <v>262.62</v>
      </c>
      <c r="F3550" s="128">
        <f>IF(C3550&lt;=30,5,IF(C3550&lt;=60,4,IF(C3550&lt;=120,3,IF(C3550&lt;=200,2,1))))</f>
        <v/>
      </c>
      <c r="G3550" s="128">
        <f>IF(D3550&gt;=20,5,IF(D3550&gt;=10,4,IF(D3550&gt;=5,3,IF(D3550&gt;=2,2,1))))</f>
        <v/>
      </c>
      <c r="H3550" s="128">
        <f>IF(E3550&gt;=5000,5,IF(E3550&gt;=2000,4,IF(E3550&gt;=800,3,IF(E3550&gt;=300,2,1))))</f>
        <v/>
      </c>
      <c r="I3550" s="126">
        <f>TEXT(F3550,"0")&amp;TEXT(G3550,"0")&amp;TEXT(H3550,"0")</f>
        <v/>
      </c>
      <c r="J3550" s="126">
        <f>IFERROR(XLOOKUP(I3550,'Segment Map'!A:A,'Segment Map'!B:B,"Need Attention"),"Need Attention")</f>
        <v/>
      </c>
      <c r="K3550" s="126">
        <f>IF(E3550&gt;=5000,"🏆 Platinum",IF(E3550&gt;=2000,"🥇 Gold",IF(E3550&gt;=800,"🥈 Silver","🥉 Bronze")))</f>
        <v/>
      </c>
      <c r="L3550" s="129" t="n">
        <v>40613</v>
      </c>
    </row>
    <row r="3551">
      <c r="A3551" s="122" t="n">
        <v>17197</v>
      </c>
      <c r="B3551" s="122" t="inlineStr">
        <is>
          <t>United Kingdom</t>
        </is>
      </c>
      <c r="C3551" s="122" t="n">
        <v>30</v>
      </c>
      <c r="D3551" s="122" t="n">
        <v>1</v>
      </c>
      <c r="E3551" s="123" t="n">
        <v>1013.01</v>
      </c>
      <c r="F3551" s="124">
        <f>IF(C3551&lt;=30,5,IF(C3551&lt;=60,4,IF(C3551&lt;=120,3,IF(C3551&lt;=200,2,1))))</f>
        <v/>
      </c>
      <c r="G3551" s="124">
        <f>IF(D3551&gt;=20,5,IF(D3551&gt;=10,4,IF(D3551&gt;=5,3,IF(D3551&gt;=2,2,1))))</f>
        <v/>
      </c>
      <c r="H3551" s="124">
        <f>IF(E3551&gt;=5000,5,IF(E3551&gt;=2000,4,IF(E3551&gt;=800,3,IF(E3551&gt;=300,2,1))))</f>
        <v/>
      </c>
      <c r="I3551" s="122">
        <f>TEXT(F3551,"0")&amp;TEXT(G3551,"0")&amp;TEXT(H3551,"0")</f>
        <v/>
      </c>
      <c r="J3551" s="122">
        <f>IFERROR(XLOOKUP(I3551,'Segment Map'!A:A,'Segment Map'!B:B,"Need Attention"),"Need Attention")</f>
        <v/>
      </c>
      <c r="K3551" s="122">
        <f>IF(E3551&gt;=5000,"🏆 Platinum",IF(E3551&gt;=2000,"🥇 Gold",IF(E3551&gt;=800,"🥈 Silver","🥉 Bronze")))</f>
        <v/>
      </c>
      <c r="L3551" s="125" t="n">
        <v>40857</v>
      </c>
    </row>
    <row r="3552">
      <c r="A3552" s="126" t="n">
        <v>17198</v>
      </c>
      <c r="B3552" s="126" t="inlineStr">
        <is>
          <t>United Kingdom</t>
        </is>
      </c>
      <c r="C3552" s="126" t="n">
        <v>24</v>
      </c>
      <c r="D3552" s="126" t="n">
        <v>3</v>
      </c>
      <c r="E3552" s="127" t="n">
        <v>692.22</v>
      </c>
      <c r="F3552" s="128">
        <f>IF(C3552&lt;=30,5,IF(C3552&lt;=60,4,IF(C3552&lt;=120,3,IF(C3552&lt;=200,2,1))))</f>
        <v/>
      </c>
      <c r="G3552" s="128">
        <f>IF(D3552&gt;=20,5,IF(D3552&gt;=10,4,IF(D3552&gt;=5,3,IF(D3552&gt;=2,2,1))))</f>
        <v/>
      </c>
      <c r="H3552" s="128">
        <f>IF(E3552&gt;=5000,5,IF(E3552&gt;=2000,4,IF(E3552&gt;=800,3,IF(E3552&gt;=300,2,1))))</f>
        <v/>
      </c>
      <c r="I3552" s="126">
        <f>TEXT(F3552,"0")&amp;TEXT(G3552,"0")&amp;TEXT(H3552,"0")</f>
        <v/>
      </c>
      <c r="J3552" s="126">
        <f>IFERROR(XLOOKUP(I3552,'Segment Map'!A:A,'Segment Map'!B:B,"Need Attention"),"Need Attention")</f>
        <v/>
      </c>
      <c r="K3552" s="126">
        <f>IF(E3552&gt;=5000,"🏆 Platinum",IF(E3552&gt;=2000,"🥇 Gold",IF(E3552&gt;=800,"🥈 Silver","🥉 Bronze")))</f>
        <v/>
      </c>
      <c r="L3552" s="129" t="n">
        <v>40863</v>
      </c>
    </row>
    <row r="3553">
      <c r="A3553" s="122" t="n">
        <v>17201</v>
      </c>
      <c r="B3553" s="122" t="inlineStr">
        <is>
          <t>United Kingdom</t>
        </is>
      </c>
      <c r="C3553" s="122" t="n">
        <v>54</v>
      </c>
      <c r="D3553" s="122" t="n">
        <v>1</v>
      </c>
      <c r="E3553" s="123" t="n">
        <v>342.63</v>
      </c>
      <c r="F3553" s="124">
        <f>IF(C3553&lt;=30,5,IF(C3553&lt;=60,4,IF(C3553&lt;=120,3,IF(C3553&lt;=200,2,1))))</f>
        <v/>
      </c>
      <c r="G3553" s="124">
        <f>IF(D3553&gt;=20,5,IF(D3553&gt;=10,4,IF(D3553&gt;=5,3,IF(D3553&gt;=2,2,1))))</f>
        <v/>
      </c>
      <c r="H3553" s="124">
        <f>IF(E3553&gt;=5000,5,IF(E3553&gt;=2000,4,IF(E3553&gt;=800,3,IF(E3553&gt;=300,2,1))))</f>
        <v/>
      </c>
      <c r="I3553" s="122">
        <f>TEXT(F3553,"0")&amp;TEXT(G3553,"0")&amp;TEXT(H3553,"0")</f>
        <v/>
      </c>
      <c r="J3553" s="122">
        <f>IFERROR(XLOOKUP(I3553,'Segment Map'!A:A,'Segment Map'!B:B,"Need Attention"),"Need Attention")</f>
        <v/>
      </c>
      <c r="K3553" s="122">
        <f>IF(E3553&gt;=5000,"🏆 Platinum",IF(E3553&gt;=2000,"🥇 Gold",IF(E3553&gt;=800,"🥈 Silver","🥉 Bronze")))</f>
        <v/>
      </c>
      <c r="L3553" s="125" t="n">
        <v>40833</v>
      </c>
    </row>
    <row r="3554">
      <c r="A3554" s="126" t="n">
        <v>17203</v>
      </c>
      <c r="B3554" s="126" t="inlineStr">
        <is>
          <t>United Kingdom</t>
        </is>
      </c>
      <c r="C3554" s="126" t="n">
        <v>36</v>
      </c>
      <c r="D3554" s="126" t="n">
        <v>6</v>
      </c>
      <c r="E3554" s="127" t="n">
        <v>3563.85</v>
      </c>
      <c r="F3554" s="128">
        <f>IF(C3554&lt;=30,5,IF(C3554&lt;=60,4,IF(C3554&lt;=120,3,IF(C3554&lt;=200,2,1))))</f>
        <v/>
      </c>
      <c r="G3554" s="128">
        <f>IF(D3554&gt;=20,5,IF(D3554&gt;=10,4,IF(D3554&gt;=5,3,IF(D3554&gt;=2,2,1))))</f>
        <v/>
      </c>
      <c r="H3554" s="128">
        <f>IF(E3554&gt;=5000,5,IF(E3554&gt;=2000,4,IF(E3554&gt;=800,3,IF(E3554&gt;=300,2,1))))</f>
        <v/>
      </c>
      <c r="I3554" s="126">
        <f>TEXT(F3554,"0")&amp;TEXT(G3554,"0")&amp;TEXT(H3554,"0")</f>
        <v/>
      </c>
      <c r="J3554" s="126">
        <f>IFERROR(XLOOKUP(I3554,'Segment Map'!A:A,'Segment Map'!B:B,"Need Attention"),"Need Attention")</f>
        <v/>
      </c>
      <c r="K3554" s="126">
        <f>IF(E3554&gt;=5000,"🏆 Platinum",IF(E3554&gt;=2000,"🥇 Gold",IF(E3554&gt;=800,"🥈 Silver","🥉 Bronze")))</f>
        <v/>
      </c>
      <c r="L3554" s="129" t="n">
        <v>40851</v>
      </c>
    </row>
    <row r="3555">
      <c r="A3555" s="122" t="n">
        <v>17204</v>
      </c>
      <c r="B3555" s="122" t="inlineStr">
        <is>
          <t>United Kingdom</t>
        </is>
      </c>
      <c r="C3555" s="122" t="n">
        <v>176</v>
      </c>
      <c r="D3555" s="122" t="n">
        <v>4</v>
      </c>
      <c r="E3555" s="123" t="n">
        <v>1564.56</v>
      </c>
      <c r="F3555" s="124">
        <f>IF(C3555&lt;=30,5,IF(C3555&lt;=60,4,IF(C3555&lt;=120,3,IF(C3555&lt;=200,2,1))))</f>
        <v/>
      </c>
      <c r="G3555" s="124">
        <f>IF(D3555&gt;=20,5,IF(D3555&gt;=10,4,IF(D3555&gt;=5,3,IF(D3555&gt;=2,2,1))))</f>
        <v/>
      </c>
      <c r="H3555" s="124">
        <f>IF(E3555&gt;=5000,5,IF(E3555&gt;=2000,4,IF(E3555&gt;=800,3,IF(E3555&gt;=300,2,1))))</f>
        <v/>
      </c>
      <c r="I3555" s="122">
        <f>TEXT(F3555,"0")&amp;TEXT(G3555,"0")&amp;TEXT(H3555,"0")</f>
        <v/>
      </c>
      <c r="J3555" s="122">
        <f>IFERROR(XLOOKUP(I3555,'Segment Map'!A:A,'Segment Map'!B:B,"Need Attention"),"Need Attention")</f>
        <v/>
      </c>
      <c r="K3555" s="122">
        <f>IF(E3555&gt;=5000,"🏆 Platinum",IF(E3555&gt;=2000,"🥇 Gold",IF(E3555&gt;=800,"🥈 Silver","🥉 Bronze")))</f>
        <v/>
      </c>
      <c r="L3555" s="125" t="n">
        <v>40711</v>
      </c>
    </row>
    <row r="3556">
      <c r="A3556" s="126" t="n">
        <v>17205</v>
      </c>
      <c r="B3556" s="126" t="inlineStr">
        <is>
          <t>United Kingdom</t>
        </is>
      </c>
      <c r="C3556" s="126" t="n">
        <v>54</v>
      </c>
      <c r="D3556" s="126" t="n">
        <v>1</v>
      </c>
      <c r="E3556" s="127" t="n">
        <v>384.08</v>
      </c>
      <c r="F3556" s="128">
        <f>IF(C3556&lt;=30,5,IF(C3556&lt;=60,4,IF(C3556&lt;=120,3,IF(C3556&lt;=200,2,1))))</f>
        <v/>
      </c>
      <c r="G3556" s="128">
        <f>IF(D3556&gt;=20,5,IF(D3556&gt;=10,4,IF(D3556&gt;=5,3,IF(D3556&gt;=2,2,1))))</f>
        <v/>
      </c>
      <c r="H3556" s="128">
        <f>IF(E3556&gt;=5000,5,IF(E3556&gt;=2000,4,IF(E3556&gt;=800,3,IF(E3556&gt;=300,2,1))))</f>
        <v/>
      </c>
      <c r="I3556" s="126">
        <f>TEXT(F3556,"0")&amp;TEXT(G3556,"0")&amp;TEXT(H3556,"0")</f>
        <v/>
      </c>
      <c r="J3556" s="126">
        <f>IFERROR(XLOOKUP(I3556,'Segment Map'!A:A,'Segment Map'!B:B,"Need Attention"),"Need Attention")</f>
        <v/>
      </c>
      <c r="K3556" s="126">
        <f>IF(E3556&gt;=5000,"🏆 Platinum",IF(E3556&gt;=2000,"🥇 Gold",IF(E3556&gt;=800,"🥈 Silver","🥉 Bronze")))</f>
        <v/>
      </c>
      <c r="L3556" s="129" t="n">
        <v>40833</v>
      </c>
    </row>
    <row r="3557">
      <c r="A3557" s="122" t="n">
        <v>17206</v>
      </c>
      <c r="B3557" s="122" t="inlineStr">
        <is>
          <t>United Kingdom</t>
        </is>
      </c>
      <c r="C3557" s="122" t="n">
        <v>54</v>
      </c>
      <c r="D3557" s="122" t="n">
        <v>1</v>
      </c>
      <c r="E3557" s="123" t="n">
        <v>204.24</v>
      </c>
      <c r="F3557" s="124">
        <f>IF(C3557&lt;=30,5,IF(C3557&lt;=60,4,IF(C3557&lt;=120,3,IF(C3557&lt;=200,2,1))))</f>
        <v/>
      </c>
      <c r="G3557" s="124">
        <f>IF(D3557&gt;=20,5,IF(D3557&gt;=10,4,IF(D3557&gt;=5,3,IF(D3557&gt;=2,2,1))))</f>
        <v/>
      </c>
      <c r="H3557" s="124">
        <f>IF(E3557&gt;=5000,5,IF(E3557&gt;=2000,4,IF(E3557&gt;=800,3,IF(E3557&gt;=300,2,1))))</f>
        <v/>
      </c>
      <c r="I3557" s="122">
        <f>TEXT(F3557,"0")&amp;TEXT(G3557,"0")&amp;TEXT(H3557,"0")</f>
        <v/>
      </c>
      <c r="J3557" s="122">
        <f>IFERROR(XLOOKUP(I3557,'Segment Map'!A:A,'Segment Map'!B:B,"Need Attention"),"Need Attention")</f>
        <v/>
      </c>
      <c r="K3557" s="122">
        <f>IF(E3557&gt;=5000,"🏆 Platinum",IF(E3557&gt;=2000,"🥇 Gold",IF(E3557&gt;=800,"🥈 Silver","🥉 Bronze")))</f>
        <v/>
      </c>
      <c r="L3557" s="125" t="n">
        <v>40833</v>
      </c>
    </row>
    <row r="3558">
      <c r="A3558" s="126" t="n">
        <v>17211</v>
      </c>
      <c r="B3558" s="126" t="inlineStr">
        <is>
          <t>United Kingdom</t>
        </is>
      </c>
      <c r="C3558" s="126" t="n">
        <v>27</v>
      </c>
      <c r="D3558" s="126" t="n">
        <v>8</v>
      </c>
      <c r="E3558" s="127" t="n">
        <v>2317.22</v>
      </c>
      <c r="F3558" s="128">
        <f>IF(C3558&lt;=30,5,IF(C3558&lt;=60,4,IF(C3558&lt;=120,3,IF(C3558&lt;=200,2,1))))</f>
        <v/>
      </c>
      <c r="G3558" s="128">
        <f>IF(D3558&gt;=20,5,IF(D3558&gt;=10,4,IF(D3558&gt;=5,3,IF(D3558&gt;=2,2,1))))</f>
        <v/>
      </c>
      <c r="H3558" s="128">
        <f>IF(E3558&gt;=5000,5,IF(E3558&gt;=2000,4,IF(E3558&gt;=800,3,IF(E3558&gt;=300,2,1))))</f>
        <v/>
      </c>
      <c r="I3558" s="126">
        <f>TEXT(F3558,"0")&amp;TEXT(G3558,"0")&amp;TEXT(H3558,"0")</f>
        <v/>
      </c>
      <c r="J3558" s="126">
        <f>IFERROR(XLOOKUP(I3558,'Segment Map'!A:A,'Segment Map'!B:B,"Need Attention"),"Need Attention")</f>
        <v/>
      </c>
      <c r="K3558" s="126">
        <f>IF(E3558&gt;=5000,"🏆 Platinum",IF(E3558&gt;=2000,"🥇 Gold",IF(E3558&gt;=800,"🥈 Silver","🥉 Bronze")))</f>
        <v/>
      </c>
      <c r="L3558" s="129" t="n">
        <v>40860</v>
      </c>
    </row>
    <row r="3559">
      <c r="A3559" s="122" t="n">
        <v>17212</v>
      </c>
      <c r="B3559" s="122" t="inlineStr">
        <is>
          <t>United Kingdom</t>
        </is>
      </c>
      <c r="C3559" s="122" t="n">
        <v>254</v>
      </c>
      <c r="D3559" s="122" t="n">
        <v>1</v>
      </c>
      <c r="E3559" s="123" t="n">
        <v>226.85</v>
      </c>
      <c r="F3559" s="124">
        <f>IF(C3559&lt;=30,5,IF(C3559&lt;=60,4,IF(C3559&lt;=120,3,IF(C3559&lt;=200,2,1))))</f>
        <v/>
      </c>
      <c r="G3559" s="124">
        <f>IF(D3559&gt;=20,5,IF(D3559&gt;=10,4,IF(D3559&gt;=5,3,IF(D3559&gt;=2,2,1))))</f>
        <v/>
      </c>
      <c r="H3559" s="124">
        <f>IF(E3559&gt;=5000,5,IF(E3559&gt;=2000,4,IF(E3559&gt;=800,3,IF(E3559&gt;=300,2,1))))</f>
        <v/>
      </c>
      <c r="I3559" s="122">
        <f>TEXT(F3559,"0")&amp;TEXT(G3559,"0")&amp;TEXT(H3559,"0")</f>
        <v/>
      </c>
      <c r="J3559" s="122">
        <f>IFERROR(XLOOKUP(I3559,'Segment Map'!A:A,'Segment Map'!B:B,"Need Attention"),"Need Attention")</f>
        <v/>
      </c>
      <c r="K3559" s="122">
        <f>IF(E3559&gt;=5000,"🏆 Platinum",IF(E3559&gt;=2000,"🥇 Gold",IF(E3559&gt;=800,"🥈 Silver","🥉 Bronze")))</f>
        <v/>
      </c>
      <c r="L3559" s="125" t="n">
        <v>40633</v>
      </c>
    </row>
    <row r="3560">
      <c r="A3560" s="126" t="n">
        <v>17213</v>
      </c>
      <c r="B3560" s="126" t="inlineStr">
        <is>
          <t>United Kingdom</t>
        </is>
      </c>
      <c r="C3560" s="126" t="n">
        <v>41</v>
      </c>
      <c r="D3560" s="126" t="n">
        <v>7</v>
      </c>
      <c r="E3560" s="127" t="n">
        <v>2781.23</v>
      </c>
      <c r="F3560" s="128">
        <f>IF(C3560&lt;=30,5,IF(C3560&lt;=60,4,IF(C3560&lt;=120,3,IF(C3560&lt;=200,2,1))))</f>
        <v/>
      </c>
      <c r="G3560" s="128">
        <f>IF(D3560&gt;=20,5,IF(D3560&gt;=10,4,IF(D3560&gt;=5,3,IF(D3560&gt;=2,2,1))))</f>
        <v/>
      </c>
      <c r="H3560" s="128">
        <f>IF(E3560&gt;=5000,5,IF(E3560&gt;=2000,4,IF(E3560&gt;=800,3,IF(E3560&gt;=300,2,1))))</f>
        <v/>
      </c>
      <c r="I3560" s="126">
        <f>TEXT(F3560,"0")&amp;TEXT(G3560,"0")&amp;TEXT(H3560,"0")</f>
        <v/>
      </c>
      <c r="J3560" s="126">
        <f>IFERROR(XLOOKUP(I3560,'Segment Map'!A:A,'Segment Map'!B:B,"Need Attention"),"Need Attention")</f>
        <v/>
      </c>
      <c r="K3560" s="126">
        <f>IF(E3560&gt;=5000,"🏆 Platinum",IF(E3560&gt;=2000,"🥇 Gold",IF(E3560&gt;=800,"🥈 Silver","🥉 Bronze")))</f>
        <v/>
      </c>
      <c r="L3560" s="129" t="n">
        <v>40846</v>
      </c>
    </row>
    <row r="3561">
      <c r="A3561" s="122" t="n">
        <v>17214</v>
      </c>
      <c r="B3561" s="122" t="inlineStr">
        <is>
          <t>United Kingdom</t>
        </is>
      </c>
      <c r="C3561" s="122" t="n">
        <v>61</v>
      </c>
      <c r="D3561" s="122" t="n">
        <v>6</v>
      </c>
      <c r="E3561" s="123" t="n">
        <v>1069.12</v>
      </c>
      <c r="F3561" s="124">
        <f>IF(C3561&lt;=30,5,IF(C3561&lt;=60,4,IF(C3561&lt;=120,3,IF(C3561&lt;=200,2,1))))</f>
        <v/>
      </c>
      <c r="G3561" s="124">
        <f>IF(D3561&gt;=20,5,IF(D3561&gt;=10,4,IF(D3561&gt;=5,3,IF(D3561&gt;=2,2,1))))</f>
        <v/>
      </c>
      <c r="H3561" s="124">
        <f>IF(E3561&gt;=5000,5,IF(E3561&gt;=2000,4,IF(E3561&gt;=800,3,IF(E3561&gt;=300,2,1))))</f>
        <v/>
      </c>
      <c r="I3561" s="122">
        <f>TEXT(F3561,"0")&amp;TEXT(G3561,"0")&amp;TEXT(H3561,"0")</f>
        <v/>
      </c>
      <c r="J3561" s="122">
        <f>IFERROR(XLOOKUP(I3561,'Segment Map'!A:A,'Segment Map'!B:B,"Need Attention"),"Need Attention")</f>
        <v/>
      </c>
      <c r="K3561" s="122">
        <f>IF(E3561&gt;=5000,"🏆 Platinum",IF(E3561&gt;=2000,"🥇 Gold",IF(E3561&gt;=800,"🥈 Silver","🥉 Bronze")))</f>
        <v/>
      </c>
      <c r="L3561" s="125" t="n">
        <v>40826</v>
      </c>
    </row>
    <row r="3562">
      <c r="A3562" s="126" t="n">
        <v>17217</v>
      </c>
      <c r="B3562" s="126" t="inlineStr">
        <is>
          <t>United Kingdom</t>
        </is>
      </c>
      <c r="C3562" s="126" t="n">
        <v>235</v>
      </c>
      <c r="D3562" s="126" t="n">
        <v>1</v>
      </c>
      <c r="E3562" s="127" t="n">
        <v>113.5</v>
      </c>
      <c r="F3562" s="128">
        <f>IF(C3562&lt;=30,5,IF(C3562&lt;=60,4,IF(C3562&lt;=120,3,IF(C3562&lt;=200,2,1))))</f>
        <v/>
      </c>
      <c r="G3562" s="128">
        <f>IF(D3562&gt;=20,5,IF(D3562&gt;=10,4,IF(D3562&gt;=5,3,IF(D3562&gt;=2,2,1))))</f>
        <v/>
      </c>
      <c r="H3562" s="128">
        <f>IF(E3562&gt;=5000,5,IF(E3562&gt;=2000,4,IF(E3562&gt;=800,3,IF(E3562&gt;=300,2,1))))</f>
        <v/>
      </c>
      <c r="I3562" s="126">
        <f>TEXT(F3562,"0")&amp;TEXT(G3562,"0")&amp;TEXT(H3562,"0")</f>
        <v/>
      </c>
      <c r="J3562" s="126">
        <f>IFERROR(XLOOKUP(I3562,'Segment Map'!A:A,'Segment Map'!B:B,"Need Attention"),"Need Attention")</f>
        <v/>
      </c>
      <c r="K3562" s="126">
        <f>IF(E3562&gt;=5000,"🏆 Platinum",IF(E3562&gt;=2000,"🥇 Gold",IF(E3562&gt;=800,"🥈 Silver","🥉 Bronze")))</f>
        <v/>
      </c>
      <c r="L3562" s="129" t="n">
        <v>40652</v>
      </c>
    </row>
    <row r="3563">
      <c r="A3563" s="122" t="n">
        <v>17218</v>
      </c>
      <c r="B3563" s="122" t="inlineStr">
        <is>
          <t>United Kingdom</t>
        </is>
      </c>
      <c r="C3563" s="122" t="n">
        <v>5</v>
      </c>
      <c r="D3563" s="122" t="n">
        <v>10</v>
      </c>
      <c r="E3563" s="123" t="n">
        <v>1960.72</v>
      </c>
      <c r="F3563" s="124">
        <f>IF(C3563&lt;=30,5,IF(C3563&lt;=60,4,IF(C3563&lt;=120,3,IF(C3563&lt;=200,2,1))))</f>
        <v/>
      </c>
      <c r="G3563" s="124">
        <f>IF(D3563&gt;=20,5,IF(D3563&gt;=10,4,IF(D3563&gt;=5,3,IF(D3563&gt;=2,2,1))))</f>
        <v/>
      </c>
      <c r="H3563" s="124">
        <f>IF(E3563&gt;=5000,5,IF(E3563&gt;=2000,4,IF(E3563&gt;=800,3,IF(E3563&gt;=300,2,1))))</f>
        <v/>
      </c>
      <c r="I3563" s="122">
        <f>TEXT(F3563,"0")&amp;TEXT(G3563,"0")&amp;TEXT(H3563,"0")</f>
        <v/>
      </c>
      <c r="J3563" s="122">
        <f>IFERROR(XLOOKUP(I3563,'Segment Map'!A:A,'Segment Map'!B:B,"Need Attention"),"Need Attention")</f>
        <v/>
      </c>
      <c r="K3563" s="122">
        <f>IF(E3563&gt;=5000,"🏆 Platinum",IF(E3563&gt;=2000,"🥇 Gold",IF(E3563&gt;=800,"🥈 Silver","🥉 Bronze")))</f>
        <v/>
      </c>
      <c r="L3563" s="125" t="n">
        <v>40882</v>
      </c>
    </row>
    <row r="3564">
      <c r="A3564" s="126" t="n">
        <v>17219</v>
      </c>
      <c r="B3564" s="126" t="inlineStr">
        <is>
          <t>United Kingdom</t>
        </is>
      </c>
      <c r="C3564" s="126" t="n">
        <v>32</v>
      </c>
      <c r="D3564" s="126" t="n">
        <v>1</v>
      </c>
      <c r="E3564" s="127" t="n">
        <v>114.23</v>
      </c>
      <c r="F3564" s="128">
        <f>IF(C3564&lt;=30,5,IF(C3564&lt;=60,4,IF(C3564&lt;=120,3,IF(C3564&lt;=200,2,1))))</f>
        <v/>
      </c>
      <c r="G3564" s="128">
        <f>IF(D3564&gt;=20,5,IF(D3564&gt;=10,4,IF(D3564&gt;=5,3,IF(D3564&gt;=2,2,1))))</f>
        <v/>
      </c>
      <c r="H3564" s="128">
        <f>IF(E3564&gt;=5000,5,IF(E3564&gt;=2000,4,IF(E3564&gt;=800,3,IF(E3564&gt;=300,2,1))))</f>
        <v/>
      </c>
      <c r="I3564" s="126">
        <f>TEXT(F3564,"0")&amp;TEXT(G3564,"0")&amp;TEXT(H3564,"0")</f>
        <v/>
      </c>
      <c r="J3564" s="126">
        <f>IFERROR(XLOOKUP(I3564,'Segment Map'!A:A,'Segment Map'!B:B,"Need Attention"),"Need Attention")</f>
        <v/>
      </c>
      <c r="K3564" s="126">
        <f>IF(E3564&gt;=5000,"🏆 Platinum",IF(E3564&gt;=2000,"🥇 Gold",IF(E3564&gt;=800,"🥈 Silver","🥉 Bronze")))</f>
        <v/>
      </c>
      <c r="L3564" s="129" t="n">
        <v>40855</v>
      </c>
    </row>
    <row r="3565">
      <c r="A3565" s="122" t="n">
        <v>17220</v>
      </c>
      <c r="B3565" s="122" t="inlineStr">
        <is>
          <t>United Kingdom</t>
        </is>
      </c>
      <c r="C3565" s="122" t="n">
        <v>25</v>
      </c>
      <c r="D3565" s="122" t="n">
        <v>14</v>
      </c>
      <c r="E3565" s="123" t="n">
        <v>3198.25</v>
      </c>
      <c r="F3565" s="124">
        <f>IF(C3565&lt;=30,5,IF(C3565&lt;=60,4,IF(C3565&lt;=120,3,IF(C3565&lt;=200,2,1))))</f>
        <v/>
      </c>
      <c r="G3565" s="124">
        <f>IF(D3565&gt;=20,5,IF(D3565&gt;=10,4,IF(D3565&gt;=5,3,IF(D3565&gt;=2,2,1))))</f>
        <v/>
      </c>
      <c r="H3565" s="124">
        <f>IF(E3565&gt;=5000,5,IF(E3565&gt;=2000,4,IF(E3565&gt;=800,3,IF(E3565&gt;=300,2,1))))</f>
        <v/>
      </c>
      <c r="I3565" s="122">
        <f>TEXT(F3565,"0")&amp;TEXT(G3565,"0")&amp;TEXT(H3565,"0")</f>
        <v/>
      </c>
      <c r="J3565" s="122">
        <f>IFERROR(XLOOKUP(I3565,'Segment Map'!A:A,'Segment Map'!B:B,"Need Attention"),"Need Attention")</f>
        <v/>
      </c>
      <c r="K3565" s="122">
        <f>IF(E3565&gt;=5000,"🏆 Platinum",IF(E3565&gt;=2000,"🥇 Gold",IF(E3565&gt;=800,"🥈 Silver","🥉 Bronze")))</f>
        <v/>
      </c>
      <c r="L3565" s="125" t="n">
        <v>40862</v>
      </c>
    </row>
    <row r="3566">
      <c r="A3566" s="126" t="n">
        <v>17221</v>
      </c>
      <c r="B3566" s="126" t="inlineStr">
        <is>
          <t>United Kingdom</t>
        </is>
      </c>
      <c r="C3566" s="126" t="n">
        <v>8</v>
      </c>
      <c r="D3566" s="126" t="n">
        <v>2</v>
      </c>
      <c r="E3566" s="127" t="n">
        <v>335.13</v>
      </c>
      <c r="F3566" s="128">
        <f>IF(C3566&lt;=30,5,IF(C3566&lt;=60,4,IF(C3566&lt;=120,3,IF(C3566&lt;=200,2,1))))</f>
        <v/>
      </c>
      <c r="G3566" s="128">
        <f>IF(D3566&gt;=20,5,IF(D3566&gt;=10,4,IF(D3566&gt;=5,3,IF(D3566&gt;=2,2,1))))</f>
        <v/>
      </c>
      <c r="H3566" s="128">
        <f>IF(E3566&gt;=5000,5,IF(E3566&gt;=2000,4,IF(E3566&gt;=800,3,IF(E3566&gt;=300,2,1))))</f>
        <v/>
      </c>
      <c r="I3566" s="126">
        <f>TEXT(F3566,"0")&amp;TEXT(G3566,"0")&amp;TEXT(H3566,"0")</f>
        <v/>
      </c>
      <c r="J3566" s="126">
        <f>IFERROR(XLOOKUP(I3566,'Segment Map'!A:A,'Segment Map'!B:B,"Need Attention"),"Need Attention")</f>
        <v/>
      </c>
      <c r="K3566" s="126">
        <f>IF(E3566&gt;=5000,"🏆 Platinum",IF(E3566&gt;=2000,"🥇 Gold",IF(E3566&gt;=800,"🥈 Silver","🥉 Bronze")))</f>
        <v/>
      </c>
      <c r="L3566" s="129" t="n">
        <v>40879</v>
      </c>
    </row>
    <row r="3567">
      <c r="A3567" s="122" t="n">
        <v>17222</v>
      </c>
      <c r="B3567" s="122" t="inlineStr">
        <is>
          <t>United Kingdom</t>
        </is>
      </c>
      <c r="C3567" s="122" t="n">
        <v>66</v>
      </c>
      <c r="D3567" s="122" t="n">
        <v>1</v>
      </c>
      <c r="E3567" s="123" t="n">
        <v>354.15</v>
      </c>
      <c r="F3567" s="124">
        <f>IF(C3567&lt;=30,5,IF(C3567&lt;=60,4,IF(C3567&lt;=120,3,IF(C3567&lt;=200,2,1))))</f>
        <v/>
      </c>
      <c r="G3567" s="124">
        <f>IF(D3567&gt;=20,5,IF(D3567&gt;=10,4,IF(D3567&gt;=5,3,IF(D3567&gt;=2,2,1))))</f>
        <v/>
      </c>
      <c r="H3567" s="124">
        <f>IF(E3567&gt;=5000,5,IF(E3567&gt;=2000,4,IF(E3567&gt;=800,3,IF(E3567&gt;=300,2,1))))</f>
        <v/>
      </c>
      <c r="I3567" s="122">
        <f>TEXT(F3567,"0")&amp;TEXT(G3567,"0")&amp;TEXT(H3567,"0")</f>
        <v/>
      </c>
      <c r="J3567" s="122">
        <f>IFERROR(XLOOKUP(I3567,'Segment Map'!A:A,'Segment Map'!B:B,"Need Attention"),"Need Attention")</f>
        <v/>
      </c>
      <c r="K3567" s="122">
        <f>IF(E3567&gt;=5000,"🏆 Platinum",IF(E3567&gt;=2000,"🥇 Gold",IF(E3567&gt;=800,"🥈 Silver","🥉 Bronze")))</f>
        <v/>
      </c>
      <c r="L3567" s="125" t="n">
        <v>40821</v>
      </c>
    </row>
    <row r="3568">
      <c r="A3568" s="126" t="n">
        <v>17223</v>
      </c>
      <c r="B3568" s="126" t="inlineStr">
        <is>
          <t>United Kingdom</t>
        </is>
      </c>
      <c r="C3568" s="126" t="n">
        <v>311</v>
      </c>
      <c r="D3568" s="126" t="n">
        <v>2</v>
      </c>
      <c r="E3568" s="127" t="n">
        <v>426.79</v>
      </c>
      <c r="F3568" s="128">
        <f>IF(C3568&lt;=30,5,IF(C3568&lt;=60,4,IF(C3568&lt;=120,3,IF(C3568&lt;=200,2,1))))</f>
        <v/>
      </c>
      <c r="G3568" s="128">
        <f>IF(D3568&gt;=20,5,IF(D3568&gt;=10,4,IF(D3568&gt;=5,3,IF(D3568&gt;=2,2,1))))</f>
        <v/>
      </c>
      <c r="H3568" s="128">
        <f>IF(E3568&gt;=5000,5,IF(E3568&gt;=2000,4,IF(E3568&gt;=800,3,IF(E3568&gt;=300,2,1))))</f>
        <v/>
      </c>
      <c r="I3568" s="126">
        <f>TEXT(F3568,"0")&amp;TEXT(G3568,"0")&amp;TEXT(H3568,"0")</f>
        <v/>
      </c>
      <c r="J3568" s="126">
        <f>IFERROR(XLOOKUP(I3568,'Segment Map'!A:A,'Segment Map'!B:B,"Need Attention"),"Need Attention")</f>
        <v/>
      </c>
      <c r="K3568" s="126">
        <f>IF(E3568&gt;=5000,"🏆 Platinum",IF(E3568&gt;=2000,"🥇 Gold",IF(E3568&gt;=800,"🥈 Silver","🥉 Bronze")))</f>
        <v/>
      </c>
      <c r="L3568" s="129" t="n">
        <v>40576</v>
      </c>
    </row>
    <row r="3569">
      <c r="A3569" s="122" t="n">
        <v>17226</v>
      </c>
      <c r="B3569" s="122" t="inlineStr">
        <is>
          <t>United Kingdom</t>
        </is>
      </c>
      <c r="C3569" s="122" t="n">
        <v>309</v>
      </c>
      <c r="D3569" s="122" t="n">
        <v>1</v>
      </c>
      <c r="E3569" s="123" t="n">
        <v>393.49</v>
      </c>
      <c r="F3569" s="124">
        <f>IF(C3569&lt;=30,5,IF(C3569&lt;=60,4,IF(C3569&lt;=120,3,IF(C3569&lt;=200,2,1))))</f>
        <v/>
      </c>
      <c r="G3569" s="124">
        <f>IF(D3569&gt;=20,5,IF(D3569&gt;=10,4,IF(D3569&gt;=5,3,IF(D3569&gt;=2,2,1))))</f>
        <v/>
      </c>
      <c r="H3569" s="124">
        <f>IF(E3569&gt;=5000,5,IF(E3569&gt;=2000,4,IF(E3569&gt;=800,3,IF(E3569&gt;=300,2,1))))</f>
        <v/>
      </c>
      <c r="I3569" s="122">
        <f>TEXT(F3569,"0")&amp;TEXT(G3569,"0")&amp;TEXT(H3569,"0")</f>
        <v/>
      </c>
      <c r="J3569" s="122">
        <f>IFERROR(XLOOKUP(I3569,'Segment Map'!A:A,'Segment Map'!B:B,"Need Attention"),"Need Attention")</f>
        <v/>
      </c>
      <c r="K3569" s="122">
        <f>IF(E3569&gt;=5000,"🏆 Platinum",IF(E3569&gt;=2000,"🥇 Gold",IF(E3569&gt;=800,"🥈 Silver","🥉 Bronze")))</f>
        <v/>
      </c>
      <c r="L3569" s="125" t="n">
        <v>40578</v>
      </c>
    </row>
    <row r="3570">
      <c r="A3570" s="126" t="n">
        <v>17227</v>
      </c>
      <c r="B3570" s="126" t="inlineStr">
        <is>
          <t>United Kingdom</t>
        </is>
      </c>
      <c r="C3570" s="126" t="n">
        <v>19</v>
      </c>
      <c r="D3570" s="126" t="n">
        <v>6</v>
      </c>
      <c r="E3570" s="127" t="n">
        <v>939.3200000000001</v>
      </c>
      <c r="F3570" s="128">
        <f>IF(C3570&lt;=30,5,IF(C3570&lt;=60,4,IF(C3570&lt;=120,3,IF(C3570&lt;=200,2,1))))</f>
        <v/>
      </c>
      <c r="G3570" s="128">
        <f>IF(D3570&gt;=20,5,IF(D3570&gt;=10,4,IF(D3570&gt;=5,3,IF(D3570&gt;=2,2,1))))</f>
        <v/>
      </c>
      <c r="H3570" s="128">
        <f>IF(E3570&gt;=5000,5,IF(E3570&gt;=2000,4,IF(E3570&gt;=800,3,IF(E3570&gt;=300,2,1))))</f>
        <v/>
      </c>
      <c r="I3570" s="126">
        <f>TEXT(F3570,"0")&amp;TEXT(G3570,"0")&amp;TEXT(H3570,"0")</f>
        <v/>
      </c>
      <c r="J3570" s="126">
        <f>IFERROR(XLOOKUP(I3570,'Segment Map'!A:A,'Segment Map'!B:B,"Need Attention"),"Need Attention")</f>
        <v/>
      </c>
      <c r="K3570" s="126">
        <f>IF(E3570&gt;=5000,"🏆 Platinum",IF(E3570&gt;=2000,"🥇 Gold",IF(E3570&gt;=800,"🥈 Silver","🥉 Bronze")))</f>
        <v/>
      </c>
      <c r="L3570" s="129" t="n">
        <v>40868</v>
      </c>
    </row>
    <row r="3571">
      <c r="A3571" s="122" t="n">
        <v>17228</v>
      </c>
      <c r="B3571" s="122" t="inlineStr">
        <is>
          <t>United Kingdom</t>
        </is>
      </c>
      <c r="C3571" s="122" t="n">
        <v>16</v>
      </c>
      <c r="D3571" s="122" t="n">
        <v>8</v>
      </c>
      <c r="E3571" s="123" t="n">
        <v>1906.09</v>
      </c>
      <c r="F3571" s="124">
        <f>IF(C3571&lt;=30,5,IF(C3571&lt;=60,4,IF(C3571&lt;=120,3,IF(C3571&lt;=200,2,1))))</f>
        <v/>
      </c>
      <c r="G3571" s="124">
        <f>IF(D3571&gt;=20,5,IF(D3571&gt;=10,4,IF(D3571&gt;=5,3,IF(D3571&gt;=2,2,1))))</f>
        <v/>
      </c>
      <c r="H3571" s="124">
        <f>IF(E3571&gt;=5000,5,IF(E3571&gt;=2000,4,IF(E3571&gt;=800,3,IF(E3571&gt;=300,2,1))))</f>
        <v/>
      </c>
      <c r="I3571" s="122">
        <f>TEXT(F3571,"0")&amp;TEXT(G3571,"0")&amp;TEXT(H3571,"0")</f>
        <v/>
      </c>
      <c r="J3571" s="122">
        <f>IFERROR(XLOOKUP(I3571,'Segment Map'!A:A,'Segment Map'!B:B,"Need Attention"),"Need Attention")</f>
        <v/>
      </c>
      <c r="K3571" s="122">
        <f>IF(E3571&gt;=5000,"🏆 Platinum",IF(E3571&gt;=2000,"🥇 Gold",IF(E3571&gt;=800,"🥈 Silver","🥉 Bronze")))</f>
        <v/>
      </c>
      <c r="L3571" s="125" t="n">
        <v>40871</v>
      </c>
    </row>
    <row r="3572">
      <c r="A3572" s="126" t="n">
        <v>17229</v>
      </c>
      <c r="B3572" s="126" t="inlineStr">
        <is>
          <t>United Kingdom</t>
        </is>
      </c>
      <c r="C3572" s="126" t="n">
        <v>97</v>
      </c>
      <c r="D3572" s="126" t="n">
        <v>2</v>
      </c>
      <c r="E3572" s="127" t="n">
        <v>318.76</v>
      </c>
      <c r="F3572" s="128">
        <f>IF(C3572&lt;=30,5,IF(C3572&lt;=60,4,IF(C3572&lt;=120,3,IF(C3572&lt;=200,2,1))))</f>
        <v/>
      </c>
      <c r="G3572" s="128">
        <f>IF(D3572&gt;=20,5,IF(D3572&gt;=10,4,IF(D3572&gt;=5,3,IF(D3572&gt;=2,2,1))))</f>
        <v/>
      </c>
      <c r="H3572" s="128">
        <f>IF(E3572&gt;=5000,5,IF(E3572&gt;=2000,4,IF(E3572&gt;=800,3,IF(E3572&gt;=300,2,1))))</f>
        <v/>
      </c>
      <c r="I3572" s="126">
        <f>TEXT(F3572,"0")&amp;TEXT(G3572,"0")&amp;TEXT(H3572,"0")</f>
        <v/>
      </c>
      <c r="J3572" s="126">
        <f>IFERROR(XLOOKUP(I3572,'Segment Map'!A:A,'Segment Map'!B:B,"Need Attention"),"Need Attention")</f>
        <v/>
      </c>
      <c r="K3572" s="126">
        <f>IF(E3572&gt;=5000,"🏆 Platinum",IF(E3572&gt;=2000,"🥇 Gold",IF(E3572&gt;=800,"🥈 Silver","🥉 Bronze")))</f>
        <v/>
      </c>
      <c r="L3572" s="129" t="n">
        <v>40790</v>
      </c>
    </row>
    <row r="3573">
      <c r="A3573" s="122" t="n">
        <v>17230</v>
      </c>
      <c r="B3573" s="122" t="inlineStr">
        <is>
          <t>United Kingdom</t>
        </is>
      </c>
      <c r="C3573" s="122" t="n">
        <v>265</v>
      </c>
      <c r="D3573" s="122" t="n">
        <v>8</v>
      </c>
      <c r="E3573" s="123" t="n">
        <v>3638.41</v>
      </c>
      <c r="F3573" s="124">
        <f>IF(C3573&lt;=30,5,IF(C3573&lt;=60,4,IF(C3573&lt;=120,3,IF(C3573&lt;=200,2,1))))</f>
        <v/>
      </c>
      <c r="G3573" s="124">
        <f>IF(D3573&gt;=20,5,IF(D3573&gt;=10,4,IF(D3573&gt;=5,3,IF(D3573&gt;=2,2,1))))</f>
        <v/>
      </c>
      <c r="H3573" s="124">
        <f>IF(E3573&gt;=5000,5,IF(E3573&gt;=2000,4,IF(E3573&gt;=800,3,IF(E3573&gt;=300,2,1))))</f>
        <v/>
      </c>
      <c r="I3573" s="122">
        <f>TEXT(F3573,"0")&amp;TEXT(G3573,"0")&amp;TEXT(H3573,"0")</f>
        <v/>
      </c>
      <c r="J3573" s="122">
        <f>IFERROR(XLOOKUP(I3573,'Segment Map'!A:A,'Segment Map'!B:B,"Need Attention"),"Need Attention")</f>
        <v/>
      </c>
      <c r="K3573" s="122">
        <f>IF(E3573&gt;=5000,"🏆 Platinum",IF(E3573&gt;=2000,"🥇 Gold",IF(E3573&gt;=800,"🥈 Silver","🥉 Bronze")))</f>
        <v/>
      </c>
      <c r="L3573" s="125" t="n">
        <v>40622</v>
      </c>
    </row>
    <row r="3574">
      <c r="A3574" s="126" t="n">
        <v>17231</v>
      </c>
      <c r="B3574" s="126" t="inlineStr">
        <is>
          <t>United Kingdom</t>
        </is>
      </c>
      <c r="C3574" s="126" t="n">
        <v>13</v>
      </c>
      <c r="D3574" s="126" t="n">
        <v>10</v>
      </c>
      <c r="E3574" s="127" t="n">
        <v>3174.32</v>
      </c>
      <c r="F3574" s="128">
        <f>IF(C3574&lt;=30,5,IF(C3574&lt;=60,4,IF(C3574&lt;=120,3,IF(C3574&lt;=200,2,1))))</f>
        <v/>
      </c>
      <c r="G3574" s="128">
        <f>IF(D3574&gt;=20,5,IF(D3574&gt;=10,4,IF(D3574&gt;=5,3,IF(D3574&gt;=2,2,1))))</f>
        <v/>
      </c>
      <c r="H3574" s="128">
        <f>IF(E3574&gt;=5000,5,IF(E3574&gt;=2000,4,IF(E3574&gt;=800,3,IF(E3574&gt;=300,2,1))))</f>
        <v/>
      </c>
      <c r="I3574" s="126">
        <f>TEXT(F3574,"0")&amp;TEXT(G3574,"0")&amp;TEXT(H3574,"0")</f>
        <v/>
      </c>
      <c r="J3574" s="126">
        <f>IFERROR(XLOOKUP(I3574,'Segment Map'!A:A,'Segment Map'!B:B,"Need Attention"),"Need Attention")</f>
        <v/>
      </c>
      <c r="K3574" s="126">
        <f>IF(E3574&gt;=5000,"🏆 Platinum",IF(E3574&gt;=2000,"🥇 Gold",IF(E3574&gt;=800,"🥈 Silver","🥉 Bronze")))</f>
        <v/>
      </c>
      <c r="L3574" s="129" t="n">
        <v>40874</v>
      </c>
    </row>
    <row r="3575">
      <c r="A3575" s="122" t="n">
        <v>17232</v>
      </c>
      <c r="B3575" s="122" t="inlineStr">
        <is>
          <t>United Kingdom</t>
        </is>
      </c>
      <c r="C3575" s="122" t="n">
        <v>3</v>
      </c>
      <c r="D3575" s="122" t="n">
        <v>2</v>
      </c>
      <c r="E3575" s="123" t="n">
        <v>421.52</v>
      </c>
      <c r="F3575" s="124">
        <f>IF(C3575&lt;=30,5,IF(C3575&lt;=60,4,IF(C3575&lt;=120,3,IF(C3575&lt;=200,2,1))))</f>
        <v/>
      </c>
      <c r="G3575" s="124">
        <f>IF(D3575&gt;=20,5,IF(D3575&gt;=10,4,IF(D3575&gt;=5,3,IF(D3575&gt;=2,2,1))))</f>
        <v/>
      </c>
      <c r="H3575" s="124">
        <f>IF(E3575&gt;=5000,5,IF(E3575&gt;=2000,4,IF(E3575&gt;=800,3,IF(E3575&gt;=300,2,1))))</f>
        <v/>
      </c>
      <c r="I3575" s="122">
        <f>TEXT(F3575,"0")&amp;TEXT(G3575,"0")&amp;TEXT(H3575,"0")</f>
        <v/>
      </c>
      <c r="J3575" s="122">
        <f>IFERROR(XLOOKUP(I3575,'Segment Map'!A:A,'Segment Map'!B:B,"Need Attention"),"Need Attention")</f>
        <v/>
      </c>
      <c r="K3575" s="122">
        <f>IF(E3575&gt;=5000,"🏆 Platinum",IF(E3575&gt;=2000,"🥇 Gold",IF(E3575&gt;=800,"🥈 Silver","🥉 Bronze")))</f>
        <v/>
      </c>
      <c r="L3575" s="125" t="n">
        <v>40884</v>
      </c>
    </row>
    <row r="3576">
      <c r="A3576" s="126" t="n">
        <v>17233</v>
      </c>
      <c r="B3576" s="126" t="inlineStr">
        <is>
          <t>United Kingdom</t>
        </is>
      </c>
      <c r="C3576" s="126" t="n">
        <v>36</v>
      </c>
      <c r="D3576" s="126" t="n">
        <v>1</v>
      </c>
      <c r="E3576" s="127" t="n">
        <v>190.88</v>
      </c>
      <c r="F3576" s="128">
        <f>IF(C3576&lt;=30,5,IF(C3576&lt;=60,4,IF(C3576&lt;=120,3,IF(C3576&lt;=200,2,1))))</f>
        <v/>
      </c>
      <c r="G3576" s="128">
        <f>IF(D3576&gt;=20,5,IF(D3576&gt;=10,4,IF(D3576&gt;=5,3,IF(D3576&gt;=2,2,1))))</f>
        <v/>
      </c>
      <c r="H3576" s="128">
        <f>IF(E3576&gt;=5000,5,IF(E3576&gt;=2000,4,IF(E3576&gt;=800,3,IF(E3576&gt;=300,2,1))))</f>
        <v/>
      </c>
      <c r="I3576" s="126">
        <f>TEXT(F3576,"0")&amp;TEXT(G3576,"0")&amp;TEXT(H3576,"0")</f>
        <v/>
      </c>
      <c r="J3576" s="126">
        <f>IFERROR(XLOOKUP(I3576,'Segment Map'!A:A,'Segment Map'!B:B,"Need Attention"),"Need Attention")</f>
        <v/>
      </c>
      <c r="K3576" s="126">
        <f>IF(E3576&gt;=5000,"🏆 Platinum",IF(E3576&gt;=2000,"🥇 Gold",IF(E3576&gt;=800,"🥈 Silver","🥉 Bronze")))</f>
        <v/>
      </c>
      <c r="L3576" s="129" t="n">
        <v>40851</v>
      </c>
    </row>
    <row r="3577">
      <c r="A3577" s="122" t="n">
        <v>17234</v>
      </c>
      <c r="B3577" s="122" t="inlineStr">
        <is>
          <t>United Kingdom</t>
        </is>
      </c>
      <c r="C3577" s="122" t="n">
        <v>183</v>
      </c>
      <c r="D3577" s="122" t="n">
        <v>1</v>
      </c>
      <c r="E3577" s="123" t="n">
        <v>149.89</v>
      </c>
      <c r="F3577" s="124">
        <f>IF(C3577&lt;=30,5,IF(C3577&lt;=60,4,IF(C3577&lt;=120,3,IF(C3577&lt;=200,2,1))))</f>
        <v/>
      </c>
      <c r="G3577" s="124">
        <f>IF(D3577&gt;=20,5,IF(D3577&gt;=10,4,IF(D3577&gt;=5,3,IF(D3577&gt;=2,2,1))))</f>
        <v/>
      </c>
      <c r="H3577" s="124">
        <f>IF(E3577&gt;=5000,5,IF(E3577&gt;=2000,4,IF(E3577&gt;=800,3,IF(E3577&gt;=300,2,1))))</f>
        <v/>
      </c>
      <c r="I3577" s="122">
        <f>TEXT(F3577,"0")&amp;TEXT(G3577,"0")&amp;TEXT(H3577,"0")</f>
        <v/>
      </c>
      <c r="J3577" s="122">
        <f>IFERROR(XLOOKUP(I3577,'Segment Map'!A:A,'Segment Map'!B:B,"Need Attention"),"Need Attention")</f>
        <v/>
      </c>
      <c r="K3577" s="122">
        <f>IF(E3577&gt;=5000,"🏆 Platinum",IF(E3577&gt;=2000,"🥇 Gold",IF(E3577&gt;=800,"🥈 Silver","🥉 Bronze")))</f>
        <v/>
      </c>
      <c r="L3577" s="125" t="n">
        <v>40704</v>
      </c>
    </row>
    <row r="3578">
      <c r="A3578" s="126" t="n">
        <v>17235</v>
      </c>
      <c r="B3578" s="126" t="inlineStr">
        <is>
          <t>United Kingdom</t>
        </is>
      </c>
      <c r="C3578" s="126" t="n">
        <v>26</v>
      </c>
      <c r="D3578" s="126" t="n">
        <v>2</v>
      </c>
      <c r="E3578" s="127" t="n">
        <v>550.0599999999999</v>
      </c>
      <c r="F3578" s="128">
        <f>IF(C3578&lt;=30,5,IF(C3578&lt;=60,4,IF(C3578&lt;=120,3,IF(C3578&lt;=200,2,1))))</f>
        <v/>
      </c>
      <c r="G3578" s="128">
        <f>IF(D3578&gt;=20,5,IF(D3578&gt;=10,4,IF(D3578&gt;=5,3,IF(D3578&gt;=2,2,1))))</f>
        <v/>
      </c>
      <c r="H3578" s="128">
        <f>IF(E3578&gt;=5000,5,IF(E3578&gt;=2000,4,IF(E3578&gt;=800,3,IF(E3578&gt;=300,2,1))))</f>
        <v/>
      </c>
      <c r="I3578" s="126">
        <f>TEXT(F3578,"0")&amp;TEXT(G3578,"0")&amp;TEXT(H3578,"0")</f>
        <v/>
      </c>
      <c r="J3578" s="126">
        <f>IFERROR(XLOOKUP(I3578,'Segment Map'!A:A,'Segment Map'!B:B,"Need Attention"),"Need Attention")</f>
        <v/>
      </c>
      <c r="K3578" s="126">
        <f>IF(E3578&gt;=5000,"🏆 Platinum",IF(E3578&gt;=2000,"🥇 Gold",IF(E3578&gt;=800,"🥈 Silver","🥉 Bronze")))</f>
        <v/>
      </c>
      <c r="L3578" s="129" t="n">
        <v>40861</v>
      </c>
    </row>
    <row r="3579">
      <c r="A3579" s="122" t="n">
        <v>17236</v>
      </c>
      <c r="B3579" s="122" t="inlineStr">
        <is>
          <t>United Kingdom</t>
        </is>
      </c>
      <c r="C3579" s="122" t="n">
        <v>13</v>
      </c>
      <c r="D3579" s="122" t="n">
        <v>6</v>
      </c>
      <c r="E3579" s="123" t="n">
        <v>916.13</v>
      </c>
      <c r="F3579" s="124">
        <f>IF(C3579&lt;=30,5,IF(C3579&lt;=60,4,IF(C3579&lt;=120,3,IF(C3579&lt;=200,2,1))))</f>
        <v/>
      </c>
      <c r="G3579" s="124">
        <f>IF(D3579&gt;=20,5,IF(D3579&gt;=10,4,IF(D3579&gt;=5,3,IF(D3579&gt;=2,2,1))))</f>
        <v/>
      </c>
      <c r="H3579" s="124">
        <f>IF(E3579&gt;=5000,5,IF(E3579&gt;=2000,4,IF(E3579&gt;=800,3,IF(E3579&gt;=300,2,1))))</f>
        <v/>
      </c>
      <c r="I3579" s="122">
        <f>TEXT(F3579,"0")&amp;TEXT(G3579,"0")&amp;TEXT(H3579,"0")</f>
        <v/>
      </c>
      <c r="J3579" s="122">
        <f>IFERROR(XLOOKUP(I3579,'Segment Map'!A:A,'Segment Map'!B:B,"Need Attention"),"Need Attention")</f>
        <v/>
      </c>
      <c r="K3579" s="122">
        <f>IF(E3579&gt;=5000,"🏆 Platinum",IF(E3579&gt;=2000,"🥇 Gold",IF(E3579&gt;=800,"🥈 Silver","🥉 Bronze")))</f>
        <v/>
      </c>
      <c r="L3579" s="125" t="n">
        <v>40874</v>
      </c>
    </row>
    <row r="3580">
      <c r="A3580" s="126" t="n">
        <v>17237</v>
      </c>
      <c r="B3580" s="126" t="inlineStr">
        <is>
          <t>United Kingdom</t>
        </is>
      </c>
      <c r="C3580" s="126" t="n">
        <v>12</v>
      </c>
      <c r="D3580" s="126" t="n">
        <v>2</v>
      </c>
      <c r="E3580" s="127" t="n">
        <v>314.69</v>
      </c>
      <c r="F3580" s="128">
        <f>IF(C3580&lt;=30,5,IF(C3580&lt;=60,4,IF(C3580&lt;=120,3,IF(C3580&lt;=200,2,1))))</f>
        <v/>
      </c>
      <c r="G3580" s="128">
        <f>IF(D3580&gt;=20,5,IF(D3580&gt;=10,4,IF(D3580&gt;=5,3,IF(D3580&gt;=2,2,1))))</f>
        <v/>
      </c>
      <c r="H3580" s="128">
        <f>IF(E3580&gt;=5000,5,IF(E3580&gt;=2000,4,IF(E3580&gt;=800,3,IF(E3580&gt;=300,2,1))))</f>
        <v/>
      </c>
      <c r="I3580" s="126">
        <f>TEXT(F3580,"0")&amp;TEXT(G3580,"0")&amp;TEXT(H3580,"0")</f>
        <v/>
      </c>
      <c r="J3580" s="126">
        <f>IFERROR(XLOOKUP(I3580,'Segment Map'!A:A,'Segment Map'!B:B,"Need Attention"),"Need Attention")</f>
        <v/>
      </c>
      <c r="K3580" s="126">
        <f>IF(E3580&gt;=5000,"🏆 Platinum",IF(E3580&gt;=2000,"🥇 Gold",IF(E3580&gt;=800,"🥈 Silver","🥉 Bronze")))</f>
        <v/>
      </c>
      <c r="L3580" s="129" t="n">
        <v>40875</v>
      </c>
    </row>
    <row r="3581">
      <c r="A3581" s="122" t="n">
        <v>17238</v>
      </c>
      <c r="B3581" s="122" t="inlineStr">
        <is>
          <t>United Kingdom</t>
        </is>
      </c>
      <c r="C3581" s="122" t="n">
        <v>3</v>
      </c>
      <c r="D3581" s="122" t="n">
        <v>17</v>
      </c>
      <c r="E3581" s="123" t="n">
        <v>3744.65</v>
      </c>
      <c r="F3581" s="124">
        <f>IF(C3581&lt;=30,5,IF(C3581&lt;=60,4,IF(C3581&lt;=120,3,IF(C3581&lt;=200,2,1))))</f>
        <v/>
      </c>
      <c r="G3581" s="124">
        <f>IF(D3581&gt;=20,5,IF(D3581&gt;=10,4,IF(D3581&gt;=5,3,IF(D3581&gt;=2,2,1))))</f>
        <v/>
      </c>
      <c r="H3581" s="124">
        <f>IF(E3581&gt;=5000,5,IF(E3581&gt;=2000,4,IF(E3581&gt;=800,3,IF(E3581&gt;=300,2,1))))</f>
        <v/>
      </c>
      <c r="I3581" s="122">
        <f>TEXT(F3581,"0")&amp;TEXT(G3581,"0")&amp;TEXT(H3581,"0")</f>
        <v/>
      </c>
      <c r="J3581" s="122">
        <f>IFERROR(XLOOKUP(I3581,'Segment Map'!A:A,'Segment Map'!B:B,"Need Attention"),"Need Attention")</f>
        <v/>
      </c>
      <c r="K3581" s="122">
        <f>IF(E3581&gt;=5000,"🏆 Platinum",IF(E3581&gt;=2000,"🥇 Gold",IF(E3581&gt;=800,"🥈 Silver","🥉 Bronze")))</f>
        <v/>
      </c>
      <c r="L3581" s="125" t="n">
        <v>40884</v>
      </c>
    </row>
    <row r="3582">
      <c r="A3582" s="126" t="n">
        <v>17239</v>
      </c>
      <c r="B3582" s="126" t="inlineStr">
        <is>
          <t>United Kingdom</t>
        </is>
      </c>
      <c r="C3582" s="126" t="n">
        <v>313</v>
      </c>
      <c r="D3582" s="126" t="n">
        <v>1</v>
      </c>
      <c r="E3582" s="127" t="n">
        <v>382.5</v>
      </c>
      <c r="F3582" s="128">
        <f>IF(C3582&lt;=30,5,IF(C3582&lt;=60,4,IF(C3582&lt;=120,3,IF(C3582&lt;=200,2,1))))</f>
        <v/>
      </c>
      <c r="G3582" s="128">
        <f>IF(D3582&gt;=20,5,IF(D3582&gt;=10,4,IF(D3582&gt;=5,3,IF(D3582&gt;=2,2,1))))</f>
        <v/>
      </c>
      <c r="H3582" s="128">
        <f>IF(E3582&gt;=5000,5,IF(E3582&gt;=2000,4,IF(E3582&gt;=800,3,IF(E3582&gt;=300,2,1))))</f>
        <v/>
      </c>
      <c r="I3582" s="126">
        <f>TEXT(F3582,"0")&amp;TEXT(G3582,"0")&amp;TEXT(H3582,"0")</f>
        <v/>
      </c>
      <c r="J3582" s="126">
        <f>IFERROR(XLOOKUP(I3582,'Segment Map'!A:A,'Segment Map'!B:B,"Need Attention"),"Need Attention")</f>
        <v/>
      </c>
      <c r="K3582" s="126">
        <f>IF(E3582&gt;=5000,"🏆 Platinum",IF(E3582&gt;=2000,"🥇 Gold",IF(E3582&gt;=800,"🥈 Silver","🥉 Bronze")))</f>
        <v/>
      </c>
      <c r="L3582" s="129" t="n">
        <v>40574</v>
      </c>
    </row>
    <row r="3583">
      <c r="A3583" s="122" t="n">
        <v>17242</v>
      </c>
      <c r="B3583" s="122" t="inlineStr">
        <is>
          <t>United Kingdom</t>
        </is>
      </c>
      <c r="C3583" s="122" t="n">
        <v>109</v>
      </c>
      <c r="D3583" s="122" t="n">
        <v>2</v>
      </c>
      <c r="E3583" s="123" t="n">
        <v>1135.04</v>
      </c>
      <c r="F3583" s="124">
        <f>IF(C3583&lt;=30,5,IF(C3583&lt;=60,4,IF(C3583&lt;=120,3,IF(C3583&lt;=200,2,1))))</f>
        <v/>
      </c>
      <c r="G3583" s="124">
        <f>IF(D3583&gt;=20,5,IF(D3583&gt;=10,4,IF(D3583&gt;=5,3,IF(D3583&gt;=2,2,1))))</f>
        <v/>
      </c>
      <c r="H3583" s="124">
        <f>IF(E3583&gt;=5000,5,IF(E3583&gt;=2000,4,IF(E3583&gt;=800,3,IF(E3583&gt;=300,2,1))))</f>
        <v/>
      </c>
      <c r="I3583" s="122">
        <f>TEXT(F3583,"0")&amp;TEXT(G3583,"0")&amp;TEXT(H3583,"0")</f>
        <v/>
      </c>
      <c r="J3583" s="122">
        <f>IFERROR(XLOOKUP(I3583,'Segment Map'!A:A,'Segment Map'!B:B,"Need Attention"),"Need Attention")</f>
        <v/>
      </c>
      <c r="K3583" s="122">
        <f>IF(E3583&gt;=5000,"🏆 Platinum",IF(E3583&gt;=2000,"🥇 Gold",IF(E3583&gt;=800,"🥈 Silver","🥉 Bronze")))</f>
        <v/>
      </c>
      <c r="L3583" s="125" t="n">
        <v>40778</v>
      </c>
    </row>
    <row r="3584">
      <c r="A3584" s="126" t="n">
        <v>17243</v>
      </c>
      <c r="B3584" s="126" t="inlineStr">
        <is>
          <t>United Kingdom</t>
        </is>
      </c>
      <c r="C3584" s="126" t="n">
        <v>2</v>
      </c>
      <c r="D3584" s="126" t="n">
        <v>26</v>
      </c>
      <c r="E3584" s="127" t="n">
        <v>8676.85</v>
      </c>
      <c r="F3584" s="128">
        <f>IF(C3584&lt;=30,5,IF(C3584&lt;=60,4,IF(C3584&lt;=120,3,IF(C3584&lt;=200,2,1))))</f>
        <v/>
      </c>
      <c r="G3584" s="128">
        <f>IF(D3584&gt;=20,5,IF(D3584&gt;=10,4,IF(D3584&gt;=5,3,IF(D3584&gt;=2,2,1))))</f>
        <v/>
      </c>
      <c r="H3584" s="128">
        <f>IF(E3584&gt;=5000,5,IF(E3584&gt;=2000,4,IF(E3584&gt;=800,3,IF(E3584&gt;=300,2,1))))</f>
        <v/>
      </c>
      <c r="I3584" s="126">
        <f>TEXT(F3584,"0")&amp;TEXT(G3584,"0")&amp;TEXT(H3584,"0")</f>
        <v/>
      </c>
      <c r="J3584" s="126">
        <f>IFERROR(XLOOKUP(I3584,'Segment Map'!A:A,'Segment Map'!B:B,"Need Attention"),"Need Attention")</f>
        <v/>
      </c>
      <c r="K3584" s="126">
        <f>IF(E3584&gt;=5000,"🏆 Platinum",IF(E3584&gt;=2000,"🥇 Gold",IF(E3584&gt;=800,"🥈 Silver","🥉 Bronze")))</f>
        <v/>
      </c>
      <c r="L3584" s="129" t="n">
        <v>40885</v>
      </c>
    </row>
    <row r="3585">
      <c r="A3585" s="122" t="n">
        <v>17244</v>
      </c>
      <c r="B3585" s="122" t="inlineStr">
        <is>
          <t>United Kingdom</t>
        </is>
      </c>
      <c r="C3585" s="122" t="n">
        <v>54</v>
      </c>
      <c r="D3585" s="122" t="n">
        <v>1</v>
      </c>
      <c r="E3585" s="123" t="n">
        <v>954.9</v>
      </c>
      <c r="F3585" s="124">
        <f>IF(C3585&lt;=30,5,IF(C3585&lt;=60,4,IF(C3585&lt;=120,3,IF(C3585&lt;=200,2,1))))</f>
        <v/>
      </c>
      <c r="G3585" s="124">
        <f>IF(D3585&gt;=20,5,IF(D3585&gt;=10,4,IF(D3585&gt;=5,3,IF(D3585&gt;=2,2,1))))</f>
        <v/>
      </c>
      <c r="H3585" s="124">
        <f>IF(E3585&gt;=5000,5,IF(E3585&gt;=2000,4,IF(E3585&gt;=800,3,IF(E3585&gt;=300,2,1))))</f>
        <v/>
      </c>
      <c r="I3585" s="122">
        <f>TEXT(F3585,"0")&amp;TEXT(G3585,"0")&amp;TEXT(H3585,"0")</f>
        <v/>
      </c>
      <c r="J3585" s="122">
        <f>IFERROR(XLOOKUP(I3585,'Segment Map'!A:A,'Segment Map'!B:B,"Need Attention"),"Need Attention")</f>
        <v/>
      </c>
      <c r="K3585" s="122">
        <f>IF(E3585&gt;=5000,"🏆 Platinum",IF(E3585&gt;=2000,"🥇 Gold",IF(E3585&gt;=800,"🥈 Silver","🥉 Bronze")))</f>
        <v/>
      </c>
      <c r="L3585" s="125" t="n">
        <v>40833</v>
      </c>
    </row>
    <row r="3586">
      <c r="A3586" s="126" t="n">
        <v>17245</v>
      </c>
      <c r="B3586" s="126" t="inlineStr">
        <is>
          <t>United Kingdom</t>
        </is>
      </c>
      <c r="C3586" s="126" t="n">
        <v>205</v>
      </c>
      <c r="D3586" s="126" t="n">
        <v>1</v>
      </c>
      <c r="E3586" s="127" t="n">
        <v>171.45</v>
      </c>
      <c r="F3586" s="128">
        <f>IF(C3586&lt;=30,5,IF(C3586&lt;=60,4,IF(C3586&lt;=120,3,IF(C3586&lt;=200,2,1))))</f>
        <v/>
      </c>
      <c r="G3586" s="128">
        <f>IF(D3586&gt;=20,5,IF(D3586&gt;=10,4,IF(D3586&gt;=5,3,IF(D3586&gt;=2,2,1))))</f>
        <v/>
      </c>
      <c r="H3586" s="128">
        <f>IF(E3586&gt;=5000,5,IF(E3586&gt;=2000,4,IF(E3586&gt;=800,3,IF(E3586&gt;=300,2,1))))</f>
        <v/>
      </c>
      <c r="I3586" s="126">
        <f>TEXT(F3586,"0")&amp;TEXT(G3586,"0")&amp;TEXT(H3586,"0")</f>
        <v/>
      </c>
      <c r="J3586" s="126">
        <f>IFERROR(XLOOKUP(I3586,'Segment Map'!A:A,'Segment Map'!B:B,"Need Attention"),"Need Attention")</f>
        <v/>
      </c>
      <c r="K3586" s="126">
        <f>IF(E3586&gt;=5000,"🏆 Platinum",IF(E3586&gt;=2000,"🥇 Gold",IF(E3586&gt;=800,"🥈 Silver","🥉 Bronze")))</f>
        <v/>
      </c>
      <c r="L3586" s="129" t="n">
        <v>40682</v>
      </c>
    </row>
    <row r="3587">
      <c r="A3587" s="122" t="n">
        <v>17247</v>
      </c>
      <c r="B3587" s="122" t="inlineStr">
        <is>
          <t>United Kingdom</t>
        </is>
      </c>
      <c r="C3587" s="122" t="n">
        <v>16</v>
      </c>
      <c r="D3587" s="122" t="n">
        <v>1</v>
      </c>
      <c r="E3587" s="123" t="n">
        <v>282.19</v>
      </c>
      <c r="F3587" s="124">
        <f>IF(C3587&lt;=30,5,IF(C3587&lt;=60,4,IF(C3587&lt;=120,3,IF(C3587&lt;=200,2,1))))</f>
        <v/>
      </c>
      <c r="G3587" s="124">
        <f>IF(D3587&gt;=20,5,IF(D3587&gt;=10,4,IF(D3587&gt;=5,3,IF(D3587&gt;=2,2,1))))</f>
        <v/>
      </c>
      <c r="H3587" s="124">
        <f>IF(E3587&gt;=5000,5,IF(E3587&gt;=2000,4,IF(E3587&gt;=800,3,IF(E3587&gt;=300,2,1))))</f>
        <v/>
      </c>
      <c r="I3587" s="122">
        <f>TEXT(F3587,"0")&amp;TEXT(G3587,"0")&amp;TEXT(H3587,"0")</f>
        <v/>
      </c>
      <c r="J3587" s="122">
        <f>IFERROR(XLOOKUP(I3587,'Segment Map'!A:A,'Segment Map'!B:B,"Need Attention"),"Need Attention")</f>
        <v/>
      </c>
      <c r="K3587" s="122">
        <f>IF(E3587&gt;=5000,"🏆 Platinum",IF(E3587&gt;=2000,"🥇 Gold",IF(E3587&gt;=800,"🥈 Silver","🥉 Bronze")))</f>
        <v/>
      </c>
      <c r="L3587" s="125" t="n">
        <v>40871</v>
      </c>
    </row>
    <row r="3588">
      <c r="A3588" s="126" t="n">
        <v>17248</v>
      </c>
      <c r="B3588" s="126" t="inlineStr">
        <is>
          <t>United Kingdom</t>
        </is>
      </c>
      <c r="C3588" s="126" t="n">
        <v>121</v>
      </c>
      <c r="D3588" s="126" t="n">
        <v>1</v>
      </c>
      <c r="E3588" s="127" t="n">
        <v>318.65</v>
      </c>
      <c r="F3588" s="128">
        <f>IF(C3588&lt;=30,5,IF(C3588&lt;=60,4,IF(C3588&lt;=120,3,IF(C3588&lt;=200,2,1))))</f>
        <v/>
      </c>
      <c r="G3588" s="128">
        <f>IF(D3588&gt;=20,5,IF(D3588&gt;=10,4,IF(D3588&gt;=5,3,IF(D3588&gt;=2,2,1))))</f>
        <v/>
      </c>
      <c r="H3588" s="128">
        <f>IF(E3588&gt;=5000,5,IF(E3588&gt;=2000,4,IF(E3588&gt;=800,3,IF(E3588&gt;=300,2,1))))</f>
        <v/>
      </c>
      <c r="I3588" s="126">
        <f>TEXT(F3588,"0")&amp;TEXT(G3588,"0")&amp;TEXT(H3588,"0")</f>
        <v/>
      </c>
      <c r="J3588" s="126">
        <f>IFERROR(XLOOKUP(I3588,'Segment Map'!A:A,'Segment Map'!B:B,"Need Attention"),"Need Attention")</f>
        <v/>
      </c>
      <c r="K3588" s="126">
        <f>IF(E3588&gt;=5000,"🏆 Platinum",IF(E3588&gt;=2000,"🥇 Gold",IF(E3588&gt;=800,"🥈 Silver","🥉 Bronze")))</f>
        <v/>
      </c>
      <c r="L3588" s="129" t="n">
        <v>40766</v>
      </c>
    </row>
    <row r="3589">
      <c r="A3589" s="122" t="n">
        <v>17250</v>
      </c>
      <c r="B3589" s="122" t="inlineStr">
        <is>
          <t>United Kingdom</t>
        </is>
      </c>
      <c r="C3589" s="122" t="n">
        <v>4</v>
      </c>
      <c r="D3589" s="122" t="n">
        <v>2</v>
      </c>
      <c r="E3589" s="123" t="n">
        <v>384.52</v>
      </c>
      <c r="F3589" s="124">
        <f>IF(C3589&lt;=30,5,IF(C3589&lt;=60,4,IF(C3589&lt;=120,3,IF(C3589&lt;=200,2,1))))</f>
        <v/>
      </c>
      <c r="G3589" s="124">
        <f>IF(D3589&gt;=20,5,IF(D3589&gt;=10,4,IF(D3589&gt;=5,3,IF(D3589&gt;=2,2,1))))</f>
        <v/>
      </c>
      <c r="H3589" s="124">
        <f>IF(E3589&gt;=5000,5,IF(E3589&gt;=2000,4,IF(E3589&gt;=800,3,IF(E3589&gt;=300,2,1))))</f>
        <v/>
      </c>
      <c r="I3589" s="122">
        <f>TEXT(F3589,"0")&amp;TEXT(G3589,"0")&amp;TEXT(H3589,"0")</f>
        <v/>
      </c>
      <c r="J3589" s="122">
        <f>IFERROR(XLOOKUP(I3589,'Segment Map'!A:A,'Segment Map'!B:B,"Need Attention"),"Need Attention")</f>
        <v/>
      </c>
      <c r="K3589" s="122">
        <f>IF(E3589&gt;=5000,"🏆 Platinum",IF(E3589&gt;=2000,"🥇 Gold",IF(E3589&gt;=800,"🥈 Silver","🥉 Bronze")))</f>
        <v/>
      </c>
      <c r="L3589" s="125" t="n">
        <v>40883</v>
      </c>
    </row>
    <row r="3590">
      <c r="A3590" s="126" t="n">
        <v>17251</v>
      </c>
      <c r="B3590" s="126" t="inlineStr">
        <is>
          <t>United Kingdom</t>
        </is>
      </c>
      <c r="C3590" s="126" t="n">
        <v>363</v>
      </c>
      <c r="D3590" s="126" t="n">
        <v>1</v>
      </c>
      <c r="E3590" s="127" t="n">
        <v>283.28</v>
      </c>
      <c r="F3590" s="128">
        <f>IF(C3590&lt;=30,5,IF(C3590&lt;=60,4,IF(C3590&lt;=120,3,IF(C3590&lt;=200,2,1))))</f>
        <v/>
      </c>
      <c r="G3590" s="128">
        <f>IF(D3590&gt;=20,5,IF(D3590&gt;=10,4,IF(D3590&gt;=5,3,IF(D3590&gt;=2,2,1))))</f>
        <v/>
      </c>
      <c r="H3590" s="128">
        <f>IF(E3590&gt;=5000,5,IF(E3590&gt;=2000,4,IF(E3590&gt;=800,3,IF(E3590&gt;=300,2,1))))</f>
        <v/>
      </c>
      <c r="I3590" s="126">
        <f>TEXT(F3590,"0")&amp;TEXT(G3590,"0")&amp;TEXT(H3590,"0")</f>
        <v/>
      </c>
      <c r="J3590" s="126">
        <f>IFERROR(XLOOKUP(I3590,'Segment Map'!A:A,'Segment Map'!B:B,"Need Attention"),"Need Attention")</f>
        <v/>
      </c>
      <c r="K3590" s="126">
        <f>IF(E3590&gt;=5000,"🏆 Platinum",IF(E3590&gt;=2000,"🥇 Gold",IF(E3590&gt;=800,"🥈 Silver","🥉 Bronze")))</f>
        <v/>
      </c>
      <c r="L3590" s="129" t="n">
        <v>40524</v>
      </c>
    </row>
    <row r="3591">
      <c r="A3591" s="122" t="n">
        <v>17252</v>
      </c>
      <c r="B3591" s="122" t="inlineStr">
        <is>
          <t>United Kingdom</t>
        </is>
      </c>
      <c r="C3591" s="122" t="n">
        <v>117</v>
      </c>
      <c r="D3591" s="122" t="n">
        <v>2</v>
      </c>
      <c r="E3591" s="123" t="n">
        <v>353.86</v>
      </c>
      <c r="F3591" s="124">
        <f>IF(C3591&lt;=30,5,IF(C3591&lt;=60,4,IF(C3591&lt;=120,3,IF(C3591&lt;=200,2,1))))</f>
        <v/>
      </c>
      <c r="G3591" s="124">
        <f>IF(D3591&gt;=20,5,IF(D3591&gt;=10,4,IF(D3591&gt;=5,3,IF(D3591&gt;=2,2,1))))</f>
        <v/>
      </c>
      <c r="H3591" s="124">
        <f>IF(E3591&gt;=5000,5,IF(E3591&gt;=2000,4,IF(E3591&gt;=800,3,IF(E3591&gt;=300,2,1))))</f>
        <v/>
      </c>
      <c r="I3591" s="122">
        <f>TEXT(F3591,"0")&amp;TEXT(G3591,"0")&amp;TEXT(H3591,"0")</f>
        <v/>
      </c>
      <c r="J3591" s="122">
        <f>IFERROR(XLOOKUP(I3591,'Segment Map'!A:A,'Segment Map'!B:B,"Need Attention"),"Need Attention")</f>
        <v/>
      </c>
      <c r="K3591" s="122">
        <f>IF(E3591&gt;=5000,"🏆 Platinum",IF(E3591&gt;=2000,"🥇 Gold",IF(E3591&gt;=800,"🥈 Silver","🥉 Bronze")))</f>
        <v/>
      </c>
      <c r="L3591" s="125" t="n">
        <v>40770</v>
      </c>
    </row>
    <row r="3592">
      <c r="A3592" s="126" t="n">
        <v>17253</v>
      </c>
      <c r="B3592" s="126" t="inlineStr">
        <is>
          <t>United Kingdom</t>
        </is>
      </c>
      <c r="C3592" s="126" t="n">
        <v>19</v>
      </c>
      <c r="D3592" s="126" t="n">
        <v>1</v>
      </c>
      <c r="E3592" s="127" t="n">
        <v>178.26</v>
      </c>
      <c r="F3592" s="128">
        <f>IF(C3592&lt;=30,5,IF(C3592&lt;=60,4,IF(C3592&lt;=120,3,IF(C3592&lt;=200,2,1))))</f>
        <v/>
      </c>
      <c r="G3592" s="128">
        <f>IF(D3592&gt;=20,5,IF(D3592&gt;=10,4,IF(D3592&gt;=5,3,IF(D3592&gt;=2,2,1))))</f>
        <v/>
      </c>
      <c r="H3592" s="128">
        <f>IF(E3592&gt;=5000,5,IF(E3592&gt;=2000,4,IF(E3592&gt;=800,3,IF(E3592&gt;=300,2,1))))</f>
        <v/>
      </c>
      <c r="I3592" s="126">
        <f>TEXT(F3592,"0")&amp;TEXT(G3592,"0")&amp;TEXT(H3592,"0")</f>
        <v/>
      </c>
      <c r="J3592" s="126">
        <f>IFERROR(XLOOKUP(I3592,'Segment Map'!A:A,'Segment Map'!B:B,"Need Attention"),"Need Attention")</f>
        <v/>
      </c>
      <c r="K3592" s="126">
        <f>IF(E3592&gt;=5000,"🏆 Platinum",IF(E3592&gt;=2000,"🥇 Gold",IF(E3592&gt;=800,"🥈 Silver","🥉 Bronze")))</f>
        <v/>
      </c>
      <c r="L3592" s="129" t="n">
        <v>40868</v>
      </c>
    </row>
    <row r="3593">
      <c r="A3593" s="122" t="n">
        <v>17254</v>
      </c>
      <c r="B3593" s="122" t="inlineStr">
        <is>
          <t>United Kingdom</t>
        </is>
      </c>
      <c r="C3593" s="122" t="n">
        <v>5</v>
      </c>
      <c r="D3593" s="122" t="n">
        <v>2</v>
      </c>
      <c r="E3593" s="123" t="n">
        <v>272.44</v>
      </c>
      <c r="F3593" s="124">
        <f>IF(C3593&lt;=30,5,IF(C3593&lt;=60,4,IF(C3593&lt;=120,3,IF(C3593&lt;=200,2,1))))</f>
        <v/>
      </c>
      <c r="G3593" s="124">
        <f>IF(D3593&gt;=20,5,IF(D3593&gt;=10,4,IF(D3593&gt;=5,3,IF(D3593&gt;=2,2,1))))</f>
        <v/>
      </c>
      <c r="H3593" s="124">
        <f>IF(E3593&gt;=5000,5,IF(E3593&gt;=2000,4,IF(E3593&gt;=800,3,IF(E3593&gt;=300,2,1))))</f>
        <v/>
      </c>
      <c r="I3593" s="122">
        <f>TEXT(F3593,"0")&amp;TEXT(G3593,"0")&amp;TEXT(H3593,"0")</f>
        <v/>
      </c>
      <c r="J3593" s="122">
        <f>IFERROR(XLOOKUP(I3593,'Segment Map'!A:A,'Segment Map'!B:B,"Need Attention"),"Need Attention")</f>
        <v/>
      </c>
      <c r="K3593" s="122">
        <f>IF(E3593&gt;=5000,"🏆 Platinum",IF(E3593&gt;=2000,"🥇 Gold",IF(E3593&gt;=800,"🥈 Silver","🥉 Bronze")))</f>
        <v/>
      </c>
      <c r="L3593" s="125" t="n">
        <v>40882</v>
      </c>
    </row>
    <row r="3594">
      <c r="A3594" s="126" t="n">
        <v>17255</v>
      </c>
      <c r="B3594" s="126" t="inlineStr">
        <is>
          <t>United Kingdom</t>
        </is>
      </c>
      <c r="C3594" s="126" t="n">
        <v>41</v>
      </c>
      <c r="D3594" s="126" t="n">
        <v>2</v>
      </c>
      <c r="E3594" s="127" t="n">
        <v>298.41</v>
      </c>
      <c r="F3594" s="128">
        <f>IF(C3594&lt;=30,5,IF(C3594&lt;=60,4,IF(C3594&lt;=120,3,IF(C3594&lt;=200,2,1))))</f>
        <v/>
      </c>
      <c r="G3594" s="128">
        <f>IF(D3594&gt;=20,5,IF(D3594&gt;=10,4,IF(D3594&gt;=5,3,IF(D3594&gt;=2,2,1))))</f>
        <v/>
      </c>
      <c r="H3594" s="128">
        <f>IF(E3594&gt;=5000,5,IF(E3594&gt;=2000,4,IF(E3594&gt;=800,3,IF(E3594&gt;=300,2,1))))</f>
        <v/>
      </c>
      <c r="I3594" s="126">
        <f>TEXT(F3594,"0")&amp;TEXT(G3594,"0")&amp;TEXT(H3594,"0")</f>
        <v/>
      </c>
      <c r="J3594" s="126">
        <f>IFERROR(XLOOKUP(I3594,'Segment Map'!A:A,'Segment Map'!B:B,"Need Attention"),"Need Attention")</f>
        <v/>
      </c>
      <c r="K3594" s="126">
        <f>IF(E3594&gt;=5000,"🏆 Platinum",IF(E3594&gt;=2000,"🥇 Gold",IF(E3594&gt;=800,"🥈 Silver","🥉 Bronze")))</f>
        <v/>
      </c>
      <c r="L3594" s="129" t="n">
        <v>40846</v>
      </c>
    </row>
    <row r="3595">
      <c r="A3595" s="122" t="n">
        <v>17256</v>
      </c>
      <c r="B3595" s="122" t="inlineStr">
        <is>
          <t>United Kingdom</t>
        </is>
      </c>
      <c r="C3595" s="122" t="n">
        <v>108</v>
      </c>
      <c r="D3595" s="122" t="n">
        <v>2</v>
      </c>
      <c r="E3595" s="123" t="n">
        <v>240</v>
      </c>
      <c r="F3595" s="124">
        <f>IF(C3595&lt;=30,5,IF(C3595&lt;=60,4,IF(C3595&lt;=120,3,IF(C3595&lt;=200,2,1))))</f>
        <v/>
      </c>
      <c r="G3595" s="124">
        <f>IF(D3595&gt;=20,5,IF(D3595&gt;=10,4,IF(D3595&gt;=5,3,IF(D3595&gt;=2,2,1))))</f>
        <v/>
      </c>
      <c r="H3595" s="124">
        <f>IF(E3595&gt;=5000,5,IF(E3595&gt;=2000,4,IF(E3595&gt;=800,3,IF(E3595&gt;=300,2,1))))</f>
        <v/>
      </c>
      <c r="I3595" s="122">
        <f>TEXT(F3595,"0")&amp;TEXT(G3595,"0")&amp;TEXT(H3595,"0")</f>
        <v/>
      </c>
      <c r="J3595" s="122">
        <f>IFERROR(XLOOKUP(I3595,'Segment Map'!A:A,'Segment Map'!B:B,"Need Attention"),"Need Attention")</f>
        <v/>
      </c>
      <c r="K3595" s="122">
        <f>IF(E3595&gt;=5000,"🏆 Platinum",IF(E3595&gt;=2000,"🥇 Gold",IF(E3595&gt;=800,"🥈 Silver","🥉 Bronze")))</f>
        <v/>
      </c>
      <c r="L3595" s="125" t="n">
        <v>40779</v>
      </c>
    </row>
    <row r="3596">
      <c r="A3596" s="126" t="n">
        <v>17259</v>
      </c>
      <c r="B3596" s="126" t="inlineStr">
        <is>
          <t>United Kingdom</t>
        </is>
      </c>
      <c r="C3596" s="126" t="n">
        <v>149</v>
      </c>
      <c r="D3596" s="126" t="n">
        <v>2</v>
      </c>
      <c r="E3596" s="127" t="n">
        <v>603.37</v>
      </c>
      <c r="F3596" s="128">
        <f>IF(C3596&lt;=30,5,IF(C3596&lt;=60,4,IF(C3596&lt;=120,3,IF(C3596&lt;=200,2,1))))</f>
        <v/>
      </c>
      <c r="G3596" s="128">
        <f>IF(D3596&gt;=20,5,IF(D3596&gt;=10,4,IF(D3596&gt;=5,3,IF(D3596&gt;=2,2,1))))</f>
        <v/>
      </c>
      <c r="H3596" s="128">
        <f>IF(E3596&gt;=5000,5,IF(E3596&gt;=2000,4,IF(E3596&gt;=800,3,IF(E3596&gt;=300,2,1))))</f>
        <v/>
      </c>
      <c r="I3596" s="126">
        <f>TEXT(F3596,"0")&amp;TEXT(G3596,"0")&amp;TEXT(H3596,"0")</f>
        <v/>
      </c>
      <c r="J3596" s="126">
        <f>IFERROR(XLOOKUP(I3596,'Segment Map'!A:A,'Segment Map'!B:B,"Need Attention"),"Need Attention")</f>
        <v/>
      </c>
      <c r="K3596" s="126">
        <f>IF(E3596&gt;=5000,"🏆 Platinum",IF(E3596&gt;=2000,"🥇 Gold",IF(E3596&gt;=800,"🥈 Silver","🥉 Bronze")))</f>
        <v/>
      </c>
      <c r="L3596" s="129" t="n">
        <v>40738</v>
      </c>
    </row>
    <row r="3597">
      <c r="A3597" s="122" t="n">
        <v>17262</v>
      </c>
      <c r="B3597" s="122" t="inlineStr">
        <is>
          <t>United Kingdom</t>
        </is>
      </c>
      <c r="C3597" s="122" t="n">
        <v>53</v>
      </c>
      <c r="D3597" s="122" t="n">
        <v>5</v>
      </c>
      <c r="E3597" s="123" t="n">
        <v>1253.36</v>
      </c>
      <c r="F3597" s="124">
        <f>IF(C3597&lt;=30,5,IF(C3597&lt;=60,4,IF(C3597&lt;=120,3,IF(C3597&lt;=200,2,1))))</f>
        <v/>
      </c>
      <c r="G3597" s="124">
        <f>IF(D3597&gt;=20,5,IF(D3597&gt;=10,4,IF(D3597&gt;=5,3,IF(D3597&gt;=2,2,1))))</f>
        <v/>
      </c>
      <c r="H3597" s="124">
        <f>IF(E3597&gt;=5000,5,IF(E3597&gt;=2000,4,IF(E3597&gt;=800,3,IF(E3597&gt;=300,2,1))))</f>
        <v/>
      </c>
      <c r="I3597" s="122">
        <f>TEXT(F3597,"0")&amp;TEXT(G3597,"0")&amp;TEXT(H3597,"0")</f>
        <v/>
      </c>
      <c r="J3597" s="122">
        <f>IFERROR(XLOOKUP(I3597,'Segment Map'!A:A,'Segment Map'!B:B,"Need Attention"),"Need Attention")</f>
        <v/>
      </c>
      <c r="K3597" s="122">
        <f>IF(E3597&gt;=5000,"🏆 Platinum",IF(E3597&gt;=2000,"🥇 Gold",IF(E3597&gt;=800,"🥈 Silver","🥉 Bronze")))</f>
        <v/>
      </c>
      <c r="L3597" s="125" t="n">
        <v>40834</v>
      </c>
    </row>
    <row r="3598">
      <c r="A3598" s="126" t="n">
        <v>17263</v>
      </c>
      <c r="B3598" s="126" t="inlineStr">
        <is>
          <t>United Kingdom</t>
        </is>
      </c>
      <c r="C3598" s="126" t="n">
        <v>209</v>
      </c>
      <c r="D3598" s="126" t="n">
        <v>1</v>
      </c>
      <c r="E3598" s="127" t="n">
        <v>63.44</v>
      </c>
      <c r="F3598" s="128">
        <f>IF(C3598&lt;=30,5,IF(C3598&lt;=60,4,IF(C3598&lt;=120,3,IF(C3598&lt;=200,2,1))))</f>
        <v/>
      </c>
      <c r="G3598" s="128">
        <f>IF(D3598&gt;=20,5,IF(D3598&gt;=10,4,IF(D3598&gt;=5,3,IF(D3598&gt;=2,2,1))))</f>
        <v/>
      </c>
      <c r="H3598" s="128">
        <f>IF(E3598&gt;=5000,5,IF(E3598&gt;=2000,4,IF(E3598&gt;=800,3,IF(E3598&gt;=300,2,1))))</f>
        <v/>
      </c>
      <c r="I3598" s="126">
        <f>TEXT(F3598,"0")&amp;TEXT(G3598,"0")&amp;TEXT(H3598,"0")</f>
        <v/>
      </c>
      <c r="J3598" s="126">
        <f>IFERROR(XLOOKUP(I3598,'Segment Map'!A:A,'Segment Map'!B:B,"Need Attention"),"Need Attention")</f>
        <v/>
      </c>
      <c r="K3598" s="126">
        <f>IF(E3598&gt;=5000,"🏆 Platinum",IF(E3598&gt;=2000,"🥇 Gold",IF(E3598&gt;=800,"🥈 Silver","🥉 Bronze")))</f>
        <v/>
      </c>
      <c r="L3598" s="129" t="n">
        <v>40678</v>
      </c>
    </row>
    <row r="3599">
      <c r="A3599" s="122" t="n">
        <v>17265</v>
      </c>
      <c r="B3599" s="122" t="inlineStr">
        <is>
          <t>United Kingdom</t>
        </is>
      </c>
      <c r="C3599" s="122" t="n">
        <v>139</v>
      </c>
      <c r="D3599" s="122" t="n">
        <v>2</v>
      </c>
      <c r="E3599" s="123" t="n">
        <v>562.9</v>
      </c>
      <c r="F3599" s="124">
        <f>IF(C3599&lt;=30,5,IF(C3599&lt;=60,4,IF(C3599&lt;=120,3,IF(C3599&lt;=200,2,1))))</f>
        <v/>
      </c>
      <c r="G3599" s="124">
        <f>IF(D3599&gt;=20,5,IF(D3599&gt;=10,4,IF(D3599&gt;=5,3,IF(D3599&gt;=2,2,1))))</f>
        <v/>
      </c>
      <c r="H3599" s="124">
        <f>IF(E3599&gt;=5000,5,IF(E3599&gt;=2000,4,IF(E3599&gt;=800,3,IF(E3599&gt;=300,2,1))))</f>
        <v/>
      </c>
      <c r="I3599" s="122">
        <f>TEXT(F3599,"0")&amp;TEXT(G3599,"0")&amp;TEXT(H3599,"0")</f>
        <v/>
      </c>
      <c r="J3599" s="122">
        <f>IFERROR(XLOOKUP(I3599,'Segment Map'!A:A,'Segment Map'!B:B,"Need Attention"),"Need Attention")</f>
        <v/>
      </c>
      <c r="K3599" s="122">
        <f>IF(E3599&gt;=5000,"🏆 Platinum",IF(E3599&gt;=2000,"🥇 Gold",IF(E3599&gt;=800,"🥈 Silver","🥉 Bronze")))</f>
        <v/>
      </c>
      <c r="L3599" s="125" t="n">
        <v>40748</v>
      </c>
    </row>
    <row r="3600">
      <c r="A3600" s="126" t="n">
        <v>17266</v>
      </c>
      <c r="B3600" s="126" t="inlineStr">
        <is>
          <t>United Kingdom</t>
        </is>
      </c>
      <c r="C3600" s="126" t="n">
        <v>3</v>
      </c>
      <c r="D3600" s="126" t="n">
        <v>3</v>
      </c>
      <c r="E3600" s="127" t="n">
        <v>310.64</v>
      </c>
      <c r="F3600" s="128">
        <f>IF(C3600&lt;=30,5,IF(C3600&lt;=60,4,IF(C3600&lt;=120,3,IF(C3600&lt;=200,2,1))))</f>
        <v/>
      </c>
      <c r="G3600" s="128">
        <f>IF(D3600&gt;=20,5,IF(D3600&gt;=10,4,IF(D3600&gt;=5,3,IF(D3600&gt;=2,2,1))))</f>
        <v/>
      </c>
      <c r="H3600" s="128">
        <f>IF(E3600&gt;=5000,5,IF(E3600&gt;=2000,4,IF(E3600&gt;=800,3,IF(E3600&gt;=300,2,1))))</f>
        <v/>
      </c>
      <c r="I3600" s="126">
        <f>TEXT(F3600,"0")&amp;TEXT(G3600,"0")&amp;TEXT(H3600,"0")</f>
        <v/>
      </c>
      <c r="J3600" s="126">
        <f>IFERROR(XLOOKUP(I3600,'Segment Map'!A:A,'Segment Map'!B:B,"Need Attention"),"Need Attention")</f>
        <v/>
      </c>
      <c r="K3600" s="126">
        <f>IF(E3600&gt;=5000,"🏆 Platinum",IF(E3600&gt;=2000,"🥇 Gold",IF(E3600&gt;=800,"🥈 Silver","🥉 Bronze")))</f>
        <v/>
      </c>
      <c r="L3600" s="129" t="n">
        <v>40884</v>
      </c>
    </row>
    <row r="3601">
      <c r="A3601" s="122" t="n">
        <v>17267</v>
      </c>
      <c r="B3601" s="122" t="inlineStr">
        <is>
          <t>United Kingdom</t>
        </is>
      </c>
      <c r="C3601" s="122" t="n">
        <v>128</v>
      </c>
      <c r="D3601" s="122" t="n">
        <v>2</v>
      </c>
      <c r="E3601" s="123" t="n">
        <v>317.62</v>
      </c>
      <c r="F3601" s="124">
        <f>IF(C3601&lt;=30,5,IF(C3601&lt;=60,4,IF(C3601&lt;=120,3,IF(C3601&lt;=200,2,1))))</f>
        <v/>
      </c>
      <c r="G3601" s="124">
        <f>IF(D3601&gt;=20,5,IF(D3601&gt;=10,4,IF(D3601&gt;=5,3,IF(D3601&gt;=2,2,1))))</f>
        <v/>
      </c>
      <c r="H3601" s="124">
        <f>IF(E3601&gt;=5000,5,IF(E3601&gt;=2000,4,IF(E3601&gt;=800,3,IF(E3601&gt;=300,2,1))))</f>
        <v/>
      </c>
      <c r="I3601" s="122">
        <f>TEXT(F3601,"0")&amp;TEXT(G3601,"0")&amp;TEXT(H3601,"0")</f>
        <v/>
      </c>
      <c r="J3601" s="122">
        <f>IFERROR(XLOOKUP(I3601,'Segment Map'!A:A,'Segment Map'!B:B,"Need Attention"),"Need Attention")</f>
        <v/>
      </c>
      <c r="K3601" s="122">
        <f>IF(E3601&gt;=5000,"🏆 Platinum",IF(E3601&gt;=2000,"🥇 Gold",IF(E3601&gt;=800,"🥈 Silver","🥉 Bronze")))</f>
        <v/>
      </c>
      <c r="L3601" s="125" t="n">
        <v>40759</v>
      </c>
    </row>
    <row r="3602">
      <c r="A3602" s="126" t="n">
        <v>17268</v>
      </c>
      <c r="B3602" s="126" t="inlineStr">
        <is>
          <t>United Kingdom</t>
        </is>
      </c>
      <c r="C3602" s="126" t="n">
        <v>108</v>
      </c>
      <c r="D3602" s="126" t="n">
        <v>4</v>
      </c>
      <c r="E3602" s="127" t="n">
        <v>763.64</v>
      </c>
      <c r="F3602" s="128">
        <f>IF(C3602&lt;=30,5,IF(C3602&lt;=60,4,IF(C3602&lt;=120,3,IF(C3602&lt;=200,2,1))))</f>
        <v/>
      </c>
      <c r="G3602" s="128">
        <f>IF(D3602&gt;=20,5,IF(D3602&gt;=10,4,IF(D3602&gt;=5,3,IF(D3602&gt;=2,2,1))))</f>
        <v/>
      </c>
      <c r="H3602" s="128">
        <f>IF(E3602&gt;=5000,5,IF(E3602&gt;=2000,4,IF(E3602&gt;=800,3,IF(E3602&gt;=300,2,1))))</f>
        <v/>
      </c>
      <c r="I3602" s="126">
        <f>TEXT(F3602,"0")&amp;TEXT(G3602,"0")&amp;TEXT(H3602,"0")</f>
        <v/>
      </c>
      <c r="J3602" s="126">
        <f>IFERROR(XLOOKUP(I3602,'Segment Map'!A:A,'Segment Map'!B:B,"Need Attention"),"Need Attention")</f>
        <v/>
      </c>
      <c r="K3602" s="126">
        <f>IF(E3602&gt;=5000,"🏆 Platinum",IF(E3602&gt;=2000,"🥇 Gold",IF(E3602&gt;=800,"🥈 Silver","🥉 Bronze")))</f>
        <v/>
      </c>
      <c r="L3602" s="129" t="n">
        <v>40779</v>
      </c>
    </row>
    <row r="3603">
      <c r="A3603" s="122" t="n">
        <v>17272</v>
      </c>
      <c r="B3603" s="122" t="inlineStr">
        <is>
          <t>United Kingdom</t>
        </is>
      </c>
      <c r="C3603" s="122" t="n">
        <v>43</v>
      </c>
      <c r="D3603" s="122" t="n">
        <v>4</v>
      </c>
      <c r="E3603" s="123" t="n">
        <v>2148.63</v>
      </c>
      <c r="F3603" s="124">
        <f>IF(C3603&lt;=30,5,IF(C3603&lt;=60,4,IF(C3603&lt;=120,3,IF(C3603&lt;=200,2,1))))</f>
        <v/>
      </c>
      <c r="G3603" s="124">
        <f>IF(D3603&gt;=20,5,IF(D3603&gt;=10,4,IF(D3603&gt;=5,3,IF(D3603&gt;=2,2,1))))</f>
        <v/>
      </c>
      <c r="H3603" s="124">
        <f>IF(E3603&gt;=5000,5,IF(E3603&gt;=2000,4,IF(E3603&gt;=800,3,IF(E3603&gt;=300,2,1))))</f>
        <v/>
      </c>
      <c r="I3603" s="122">
        <f>TEXT(F3603,"0")&amp;TEXT(G3603,"0")&amp;TEXT(H3603,"0")</f>
        <v/>
      </c>
      <c r="J3603" s="122">
        <f>IFERROR(XLOOKUP(I3603,'Segment Map'!A:A,'Segment Map'!B:B,"Need Attention"),"Need Attention")</f>
        <v/>
      </c>
      <c r="K3603" s="122">
        <f>IF(E3603&gt;=5000,"🏆 Platinum",IF(E3603&gt;=2000,"🥇 Gold",IF(E3603&gt;=800,"🥈 Silver","🥉 Bronze")))</f>
        <v/>
      </c>
      <c r="L3603" s="125" t="n">
        <v>40844</v>
      </c>
    </row>
    <row r="3604">
      <c r="A3604" s="126" t="n">
        <v>17274</v>
      </c>
      <c r="B3604" s="126" t="inlineStr">
        <is>
          <t>United Kingdom</t>
        </is>
      </c>
      <c r="C3604" s="126" t="n">
        <v>36</v>
      </c>
      <c r="D3604" s="126" t="n">
        <v>1</v>
      </c>
      <c r="E3604" s="127" t="n">
        <v>111.98</v>
      </c>
      <c r="F3604" s="128">
        <f>IF(C3604&lt;=30,5,IF(C3604&lt;=60,4,IF(C3604&lt;=120,3,IF(C3604&lt;=200,2,1))))</f>
        <v/>
      </c>
      <c r="G3604" s="128">
        <f>IF(D3604&gt;=20,5,IF(D3604&gt;=10,4,IF(D3604&gt;=5,3,IF(D3604&gt;=2,2,1))))</f>
        <v/>
      </c>
      <c r="H3604" s="128">
        <f>IF(E3604&gt;=5000,5,IF(E3604&gt;=2000,4,IF(E3604&gt;=800,3,IF(E3604&gt;=300,2,1))))</f>
        <v/>
      </c>
      <c r="I3604" s="126">
        <f>TEXT(F3604,"0")&amp;TEXT(G3604,"0")&amp;TEXT(H3604,"0")</f>
        <v/>
      </c>
      <c r="J3604" s="126">
        <f>IFERROR(XLOOKUP(I3604,'Segment Map'!A:A,'Segment Map'!B:B,"Need Attention"),"Need Attention")</f>
        <v/>
      </c>
      <c r="K3604" s="126">
        <f>IF(E3604&gt;=5000,"🏆 Platinum",IF(E3604&gt;=2000,"🥇 Gold",IF(E3604&gt;=800,"🥈 Silver","🥉 Bronze")))</f>
        <v/>
      </c>
      <c r="L3604" s="129" t="n">
        <v>40851</v>
      </c>
    </row>
    <row r="3605">
      <c r="A3605" s="122" t="n">
        <v>17277</v>
      </c>
      <c r="B3605" s="122" t="inlineStr">
        <is>
          <t>United Kingdom</t>
        </is>
      </c>
      <c r="C3605" s="122" t="n">
        <v>228</v>
      </c>
      <c r="D3605" s="122" t="n">
        <v>2</v>
      </c>
      <c r="E3605" s="123" t="n">
        <v>1065.35</v>
      </c>
      <c r="F3605" s="124">
        <f>IF(C3605&lt;=30,5,IF(C3605&lt;=60,4,IF(C3605&lt;=120,3,IF(C3605&lt;=200,2,1))))</f>
        <v/>
      </c>
      <c r="G3605" s="124">
        <f>IF(D3605&gt;=20,5,IF(D3605&gt;=10,4,IF(D3605&gt;=5,3,IF(D3605&gt;=2,2,1))))</f>
        <v/>
      </c>
      <c r="H3605" s="124">
        <f>IF(E3605&gt;=5000,5,IF(E3605&gt;=2000,4,IF(E3605&gt;=800,3,IF(E3605&gt;=300,2,1))))</f>
        <v/>
      </c>
      <c r="I3605" s="122">
        <f>TEXT(F3605,"0")&amp;TEXT(G3605,"0")&amp;TEXT(H3605,"0")</f>
        <v/>
      </c>
      <c r="J3605" s="122">
        <f>IFERROR(XLOOKUP(I3605,'Segment Map'!A:A,'Segment Map'!B:B,"Need Attention"),"Need Attention")</f>
        <v/>
      </c>
      <c r="K3605" s="122">
        <f>IF(E3605&gt;=5000,"🏆 Platinum",IF(E3605&gt;=2000,"🥇 Gold",IF(E3605&gt;=800,"🥈 Silver","🥉 Bronze")))</f>
        <v/>
      </c>
      <c r="L3605" s="125" t="n">
        <v>40659</v>
      </c>
    </row>
    <row r="3606">
      <c r="A3606" s="126" t="n">
        <v>17278</v>
      </c>
      <c r="B3606" s="126" t="inlineStr">
        <is>
          <t>United Kingdom</t>
        </is>
      </c>
      <c r="C3606" s="126" t="n">
        <v>242</v>
      </c>
      <c r="D3606" s="126" t="n">
        <v>1</v>
      </c>
      <c r="E3606" s="127" t="n">
        <v>246.04</v>
      </c>
      <c r="F3606" s="128">
        <f>IF(C3606&lt;=30,5,IF(C3606&lt;=60,4,IF(C3606&lt;=120,3,IF(C3606&lt;=200,2,1))))</f>
        <v/>
      </c>
      <c r="G3606" s="128">
        <f>IF(D3606&gt;=20,5,IF(D3606&gt;=10,4,IF(D3606&gt;=5,3,IF(D3606&gt;=2,2,1))))</f>
        <v/>
      </c>
      <c r="H3606" s="128">
        <f>IF(E3606&gt;=5000,5,IF(E3606&gt;=2000,4,IF(E3606&gt;=800,3,IF(E3606&gt;=300,2,1))))</f>
        <v/>
      </c>
      <c r="I3606" s="126">
        <f>TEXT(F3606,"0")&amp;TEXT(G3606,"0")&amp;TEXT(H3606,"0")</f>
        <v/>
      </c>
      <c r="J3606" s="126">
        <f>IFERROR(XLOOKUP(I3606,'Segment Map'!A:A,'Segment Map'!B:B,"Need Attention"),"Need Attention")</f>
        <v/>
      </c>
      <c r="K3606" s="126">
        <f>IF(E3606&gt;=5000,"🏆 Platinum",IF(E3606&gt;=2000,"🥇 Gold",IF(E3606&gt;=800,"🥈 Silver","🥉 Bronze")))</f>
        <v/>
      </c>
      <c r="L3606" s="129" t="n">
        <v>40645</v>
      </c>
    </row>
    <row r="3607">
      <c r="A3607" s="122" t="n">
        <v>17279</v>
      </c>
      <c r="B3607" s="122" t="inlineStr">
        <is>
          <t>United Kingdom</t>
        </is>
      </c>
      <c r="C3607" s="122" t="n">
        <v>58</v>
      </c>
      <c r="D3607" s="122" t="n">
        <v>1</v>
      </c>
      <c r="E3607" s="123" t="n">
        <v>187.83</v>
      </c>
      <c r="F3607" s="124">
        <f>IF(C3607&lt;=30,5,IF(C3607&lt;=60,4,IF(C3607&lt;=120,3,IF(C3607&lt;=200,2,1))))</f>
        <v/>
      </c>
      <c r="G3607" s="124">
        <f>IF(D3607&gt;=20,5,IF(D3607&gt;=10,4,IF(D3607&gt;=5,3,IF(D3607&gt;=2,2,1))))</f>
        <v/>
      </c>
      <c r="H3607" s="124">
        <f>IF(E3607&gt;=5000,5,IF(E3607&gt;=2000,4,IF(E3607&gt;=800,3,IF(E3607&gt;=300,2,1))))</f>
        <v/>
      </c>
      <c r="I3607" s="122">
        <f>TEXT(F3607,"0")&amp;TEXT(G3607,"0")&amp;TEXT(H3607,"0")</f>
        <v/>
      </c>
      <c r="J3607" s="122">
        <f>IFERROR(XLOOKUP(I3607,'Segment Map'!A:A,'Segment Map'!B:B,"Need Attention"),"Need Attention")</f>
        <v/>
      </c>
      <c r="K3607" s="122">
        <f>IF(E3607&gt;=5000,"🏆 Platinum",IF(E3607&gt;=2000,"🥇 Gold",IF(E3607&gt;=800,"🥈 Silver","🥉 Bronze")))</f>
        <v/>
      </c>
      <c r="L3607" s="125" t="n">
        <v>40829</v>
      </c>
    </row>
    <row r="3608">
      <c r="A3608" s="126" t="n">
        <v>17282</v>
      </c>
      <c r="B3608" s="126" t="inlineStr">
        <is>
          <t>United Kingdom</t>
        </is>
      </c>
      <c r="C3608" s="126" t="n">
        <v>131</v>
      </c>
      <c r="D3608" s="126" t="n">
        <v>3</v>
      </c>
      <c r="E3608" s="127" t="n">
        <v>1703.41</v>
      </c>
      <c r="F3608" s="128">
        <f>IF(C3608&lt;=30,5,IF(C3608&lt;=60,4,IF(C3608&lt;=120,3,IF(C3608&lt;=200,2,1))))</f>
        <v/>
      </c>
      <c r="G3608" s="128">
        <f>IF(D3608&gt;=20,5,IF(D3608&gt;=10,4,IF(D3608&gt;=5,3,IF(D3608&gt;=2,2,1))))</f>
        <v/>
      </c>
      <c r="H3608" s="128">
        <f>IF(E3608&gt;=5000,5,IF(E3608&gt;=2000,4,IF(E3608&gt;=800,3,IF(E3608&gt;=300,2,1))))</f>
        <v/>
      </c>
      <c r="I3608" s="126">
        <f>TEXT(F3608,"0")&amp;TEXT(G3608,"0")&amp;TEXT(H3608,"0")</f>
        <v/>
      </c>
      <c r="J3608" s="126">
        <f>IFERROR(XLOOKUP(I3608,'Segment Map'!A:A,'Segment Map'!B:B,"Need Attention"),"Need Attention")</f>
        <v/>
      </c>
      <c r="K3608" s="126">
        <f>IF(E3608&gt;=5000,"🏆 Platinum",IF(E3608&gt;=2000,"🥇 Gold",IF(E3608&gt;=800,"🥈 Silver","🥉 Bronze")))</f>
        <v/>
      </c>
      <c r="L3608" s="129" t="n">
        <v>40756</v>
      </c>
    </row>
    <row r="3609">
      <c r="A3609" s="122" t="n">
        <v>17284</v>
      </c>
      <c r="B3609" s="122" t="inlineStr">
        <is>
          <t>United Kingdom</t>
        </is>
      </c>
      <c r="C3609" s="122" t="n">
        <v>61</v>
      </c>
      <c r="D3609" s="122" t="n">
        <v>6</v>
      </c>
      <c r="E3609" s="123" t="n">
        <v>1652.58</v>
      </c>
      <c r="F3609" s="124">
        <f>IF(C3609&lt;=30,5,IF(C3609&lt;=60,4,IF(C3609&lt;=120,3,IF(C3609&lt;=200,2,1))))</f>
        <v/>
      </c>
      <c r="G3609" s="124">
        <f>IF(D3609&gt;=20,5,IF(D3609&gt;=10,4,IF(D3609&gt;=5,3,IF(D3609&gt;=2,2,1))))</f>
        <v/>
      </c>
      <c r="H3609" s="124">
        <f>IF(E3609&gt;=5000,5,IF(E3609&gt;=2000,4,IF(E3609&gt;=800,3,IF(E3609&gt;=300,2,1))))</f>
        <v/>
      </c>
      <c r="I3609" s="122">
        <f>TEXT(F3609,"0")&amp;TEXT(G3609,"0")&amp;TEXT(H3609,"0")</f>
        <v/>
      </c>
      <c r="J3609" s="122">
        <f>IFERROR(XLOOKUP(I3609,'Segment Map'!A:A,'Segment Map'!B:B,"Need Attention"),"Need Attention")</f>
        <v/>
      </c>
      <c r="K3609" s="122">
        <f>IF(E3609&gt;=5000,"🏆 Platinum",IF(E3609&gt;=2000,"🥇 Gold",IF(E3609&gt;=800,"🥈 Silver","🥉 Bronze")))</f>
        <v/>
      </c>
      <c r="L3609" s="125" t="n">
        <v>40826</v>
      </c>
    </row>
    <row r="3610">
      <c r="A3610" s="126" t="n">
        <v>17286</v>
      </c>
      <c r="B3610" s="126" t="inlineStr">
        <is>
          <t>United Kingdom</t>
        </is>
      </c>
      <c r="C3610" s="126" t="n">
        <v>22</v>
      </c>
      <c r="D3610" s="126" t="n">
        <v>1</v>
      </c>
      <c r="E3610" s="127" t="n">
        <v>153.92</v>
      </c>
      <c r="F3610" s="128">
        <f>IF(C3610&lt;=30,5,IF(C3610&lt;=60,4,IF(C3610&lt;=120,3,IF(C3610&lt;=200,2,1))))</f>
        <v/>
      </c>
      <c r="G3610" s="128">
        <f>IF(D3610&gt;=20,5,IF(D3610&gt;=10,4,IF(D3610&gt;=5,3,IF(D3610&gt;=2,2,1))))</f>
        <v/>
      </c>
      <c r="H3610" s="128">
        <f>IF(E3610&gt;=5000,5,IF(E3610&gt;=2000,4,IF(E3610&gt;=800,3,IF(E3610&gt;=300,2,1))))</f>
        <v/>
      </c>
      <c r="I3610" s="126">
        <f>TEXT(F3610,"0")&amp;TEXT(G3610,"0")&amp;TEXT(H3610,"0")</f>
        <v/>
      </c>
      <c r="J3610" s="126">
        <f>IFERROR(XLOOKUP(I3610,'Segment Map'!A:A,'Segment Map'!B:B,"Need Attention"),"Need Attention")</f>
        <v/>
      </c>
      <c r="K3610" s="126">
        <f>IF(E3610&gt;=5000,"🏆 Platinum",IF(E3610&gt;=2000,"🥇 Gold",IF(E3610&gt;=800,"🥈 Silver","🥉 Bronze")))</f>
        <v/>
      </c>
      <c r="L3610" s="129" t="n">
        <v>40865</v>
      </c>
    </row>
    <row r="3611">
      <c r="A3611" s="122" t="n">
        <v>17287</v>
      </c>
      <c r="B3611" s="122" t="inlineStr">
        <is>
          <t>United Kingdom</t>
        </is>
      </c>
      <c r="C3611" s="122" t="n">
        <v>27</v>
      </c>
      <c r="D3611" s="122" t="n">
        <v>7</v>
      </c>
      <c r="E3611" s="123" t="n">
        <v>1064.11</v>
      </c>
      <c r="F3611" s="124">
        <f>IF(C3611&lt;=30,5,IF(C3611&lt;=60,4,IF(C3611&lt;=120,3,IF(C3611&lt;=200,2,1))))</f>
        <v/>
      </c>
      <c r="G3611" s="124">
        <f>IF(D3611&gt;=20,5,IF(D3611&gt;=10,4,IF(D3611&gt;=5,3,IF(D3611&gt;=2,2,1))))</f>
        <v/>
      </c>
      <c r="H3611" s="124">
        <f>IF(E3611&gt;=5000,5,IF(E3611&gt;=2000,4,IF(E3611&gt;=800,3,IF(E3611&gt;=300,2,1))))</f>
        <v/>
      </c>
      <c r="I3611" s="122">
        <f>TEXT(F3611,"0")&amp;TEXT(G3611,"0")&amp;TEXT(H3611,"0")</f>
        <v/>
      </c>
      <c r="J3611" s="122">
        <f>IFERROR(XLOOKUP(I3611,'Segment Map'!A:A,'Segment Map'!B:B,"Need Attention"),"Need Attention")</f>
        <v/>
      </c>
      <c r="K3611" s="122">
        <f>IF(E3611&gt;=5000,"🏆 Platinum",IF(E3611&gt;=2000,"🥇 Gold",IF(E3611&gt;=800,"🥈 Silver","🥉 Bronze")))</f>
        <v/>
      </c>
      <c r="L3611" s="125" t="n">
        <v>40860</v>
      </c>
    </row>
    <row r="3612">
      <c r="A3612" s="126" t="n">
        <v>17288</v>
      </c>
      <c r="B3612" s="126" t="inlineStr">
        <is>
          <t>United Kingdom</t>
        </is>
      </c>
      <c r="C3612" s="126" t="n">
        <v>10</v>
      </c>
      <c r="D3612" s="126" t="n">
        <v>7</v>
      </c>
      <c r="E3612" s="127" t="n">
        <v>1419.73</v>
      </c>
      <c r="F3612" s="128">
        <f>IF(C3612&lt;=30,5,IF(C3612&lt;=60,4,IF(C3612&lt;=120,3,IF(C3612&lt;=200,2,1))))</f>
        <v/>
      </c>
      <c r="G3612" s="128">
        <f>IF(D3612&gt;=20,5,IF(D3612&gt;=10,4,IF(D3612&gt;=5,3,IF(D3612&gt;=2,2,1))))</f>
        <v/>
      </c>
      <c r="H3612" s="128">
        <f>IF(E3612&gt;=5000,5,IF(E3612&gt;=2000,4,IF(E3612&gt;=800,3,IF(E3612&gt;=300,2,1))))</f>
        <v/>
      </c>
      <c r="I3612" s="126">
        <f>TEXT(F3612,"0")&amp;TEXT(G3612,"0")&amp;TEXT(H3612,"0")</f>
        <v/>
      </c>
      <c r="J3612" s="126">
        <f>IFERROR(XLOOKUP(I3612,'Segment Map'!A:A,'Segment Map'!B:B,"Need Attention"),"Need Attention")</f>
        <v/>
      </c>
      <c r="K3612" s="126">
        <f>IF(E3612&gt;=5000,"🏆 Platinum",IF(E3612&gt;=2000,"🥇 Gold",IF(E3612&gt;=800,"🥈 Silver","🥉 Bronze")))</f>
        <v/>
      </c>
      <c r="L3612" s="129" t="n">
        <v>40877</v>
      </c>
    </row>
    <row r="3613">
      <c r="A3613" s="122" t="n">
        <v>17289</v>
      </c>
      <c r="B3613" s="122" t="inlineStr">
        <is>
          <t>United Kingdom</t>
        </is>
      </c>
      <c r="C3613" s="122" t="n">
        <v>32</v>
      </c>
      <c r="D3613" s="122" t="n">
        <v>3</v>
      </c>
      <c r="E3613" s="123" t="n">
        <v>944.41</v>
      </c>
      <c r="F3613" s="124">
        <f>IF(C3613&lt;=30,5,IF(C3613&lt;=60,4,IF(C3613&lt;=120,3,IF(C3613&lt;=200,2,1))))</f>
        <v/>
      </c>
      <c r="G3613" s="124">
        <f>IF(D3613&gt;=20,5,IF(D3613&gt;=10,4,IF(D3613&gt;=5,3,IF(D3613&gt;=2,2,1))))</f>
        <v/>
      </c>
      <c r="H3613" s="124">
        <f>IF(E3613&gt;=5000,5,IF(E3613&gt;=2000,4,IF(E3613&gt;=800,3,IF(E3613&gt;=300,2,1))))</f>
        <v/>
      </c>
      <c r="I3613" s="122">
        <f>TEXT(F3613,"0")&amp;TEXT(G3613,"0")&amp;TEXT(H3613,"0")</f>
        <v/>
      </c>
      <c r="J3613" s="122">
        <f>IFERROR(XLOOKUP(I3613,'Segment Map'!A:A,'Segment Map'!B:B,"Need Attention"),"Need Attention")</f>
        <v/>
      </c>
      <c r="K3613" s="122">
        <f>IF(E3613&gt;=5000,"🏆 Platinum",IF(E3613&gt;=2000,"🥇 Gold",IF(E3613&gt;=800,"🥈 Silver","🥉 Bronze")))</f>
        <v/>
      </c>
      <c r="L3613" s="125" t="n">
        <v>40855</v>
      </c>
    </row>
    <row r="3614">
      <c r="A3614" s="126" t="n">
        <v>17290</v>
      </c>
      <c r="B3614" s="126" t="inlineStr">
        <is>
          <t>United Kingdom</t>
        </is>
      </c>
      <c r="C3614" s="126" t="n">
        <v>4</v>
      </c>
      <c r="D3614" s="126" t="n">
        <v>2</v>
      </c>
      <c r="E3614" s="127" t="n">
        <v>525.24</v>
      </c>
      <c r="F3614" s="128">
        <f>IF(C3614&lt;=30,5,IF(C3614&lt;=60,4,IF(C3614&lt;=120,3,IF(C3614&lt;=200,2,1))))</f>
        <v/>
      </c>
      <c r="G3614" s="128">
        <f>IF(D3614&gt;=20,5,IF(D3614&gt;=10,4,IF(D3614&gt;=5,3,IF(D3614&gt;=2,2,1))))</f>
        <v/>
      </c>
      <c r="H3614" s="128">
        <f>IF(E3614&gt;=5000,5,IF(E3614&gt;=2000,4,IF(E3614&gt;=800,3,IF(E3614&gt;=300,2,1))))</f>
        <v/>
      </c>
      <c r="I3614" s="126">
        <f>TEXT(F3614,"0")&amp;TEXT(G3614,"0")&amp;TEXT(H3614,"0")</f>
        <v/>
      </c>
      <c r="J3614" s="126">
        <f>IFERROR(XLOOKUP(I3614,'Segment Map'!A:A,'Segment Map'!B:B,"Need Attention"),"Need Attention")</f>
        <v/>
      </c>
      <c r="K3614" s="126">
        <f>IF(E3614&gt;=5000,"🏆 Platinum",IF(E3614&gt;=2000,"🥇 Gold",IF(E3614&gt;=800,"🥈 Silver","🥉 Bronze")))</f>
        <v/>
      </c>
      <c r="L3614" s="129" t="n">
        <v>40883</v>
      </c>
    </row>
    <row r="3615">
      <c r="A3615" s="122" t="n">
        <v>17291</v>
      </c>
      <c r="B3615" s="122" t="inlineStr">
        <is>
          <t>United Kingdom</t>
        </is>
      </c>
      <c r="C3615" s="122" t="n">
        <v>309</v>
      </c>
      <c r="D3615" s="122" t="n">
        <v>1</v>
      </c>
      <c r="E3615" s="123" t="n">
        <v>550.8</v>
      </c>
      <c r="F3615" s="124">
        <f>IF(C3615&lt;=30,5,IF(C3615&lt;=60,4,IF(C3615&lt;=120,3,IF(C3615&lt;=200,2,1))))</f>
        <v/>
      </c>
      <c r="G3615" s="124">
        <f>IF(D3615&gt;=20,5,IF(D3615&gt;=10,4,IF(D3615&gt;=5,3,IF(D3615&gt;=2,2,1))))</f>
        <v/>
      </c>
      <c r="H3615" s="124">
        <f>IF(E3615&gt;=5000,5,IF(E3615&gt;=2000,4,IF(E3615&gt;=800,3,IF(E3615&gt;=300,2,1))))</f>
        <v/>
      </c>
      <c r="I3615" s="122">
        <f>TEXT(F3615,"0")&amp;TEXT(G3615,"0")&amp;TEXT(H3615,"0")</f>
        <v/>
      </c>
      <c r="J3615" s="122">
        <f>IFERROR(XLOOKUP(I3615,'Segment Map'!A:A,'Segment Map'!B:B,"Need Attention"),"Need Attention")</f>
        <v/>
      </c>
      <c r="K3615" s="122">
        <f>IF(E3615&gt;=5000,"🏆 Platinum",IF(E3615&gt;=2000,"🥇 Gold",IF(E3615&gt;=800,"🥈 Silver","🥉 Bronze")))</f>
        <v/>
      </c>
      <c r="L3615" s="125" t="n">
        <v>40578</v>
      </c>
    </row>
    <row r="3616">
      <c r="A3616" s="126" t="n">
        <v>17293</v>
      </c>
      <c r="B3616" s="126" t="inlineStr">
        <is>
          <t>United Kingdom</t>
        </is>
      </c>
      <c r="C3616" s="126" t="n">
        <v>9</v>
      </c>
      <c r="D3616" s="126" t="n">
        <v>9</v>
      </c>
      <c r="E3616" s="127" t="n">
        <v>1875.11</v>
      </c>
      <c r="F3616" s="128">
        <f>IF(C3616&lt;=30,5,IF(C3616&lt;=60,4,IF(C3616&lt;=120,3,IF(C3616&lt;=200,2,1))))</f>
        <v/>
      </c>
      <c r="G3616" s="128">
        <f>IF(D3616&gt;=20,5,IF(D3616&gt;=10,4,IF(D3616&gt;=5,3,IF(D3616&gt;=2,2,1))))</f>
        <v/>
      </c>
      <c r="H3616" s="128">
        <f>IF(E3616&gt;=5000,5,IF(E3616&gt;=2000,4,IF(E3616&gt;=800,3,IF(E3616&gt;=300,2,1))))</f>
        <v/>
      </c>
      <c r="I3616" s="126">
        <f>TEXT(F3616,"0")&amp;TEXT(G3616,"0")&amp;TEXT(H3616,"0")</f>
        <v/>
      </c>
      <c r="J3616" s="126">
        <f>IFERROR(XLOOKUP(I3616,'Segment Map'!A:A,'Segment Map'!B:B,"Need Attention"),"Need Attention")</f>
        <v/>
      </c>
      <c r="K3616" s="126">
        <f>IF(E3616&gt;=5000,"🏆 Platinum",IF(E3616&gt;=2000,"🥇 Gold",IF(E3616&gt;=800,"🥈 Silver","🥉 Bronze")))</f>
        <v/>
      </c>
      <c r="L3616" s="129" t="n">
        <v>40878</v>
      </c>
    </row>
    <row r="3617">
      <c r="A3617" s="122" t="n">
        <v>17295</v>
      </c>
      <c r="B3617" s="122" t="inlineStr">
        <is>
          <t>United Kingdom</t>
        </is>
      </c>
      <c r="C3617" s="122" t="n">
        <v>29</v>
      </c>
      <c r="D3617" s="122" t="n">
        <v>3</v>
      </c>
      <c r="E3617" s="123" t="n">
        <v>556.95</v>
      </c>
      <c r="F3617" s="124">
        <f>IF(C3617&lt;=30,5,IF(C3617&lt;=60,4,IF(C3617&lt;=120,3,IF(C3617&lt;=200,2,1))))</f>
        <v/>
      </c>
      <c r="G3617" s="124">
        <f>IF(D3617&gt;=20,5,IF(D3617&gt;=10,4,IF(D3617&gt;=5,3,IF(D3617&gt;=2,2,1))))</f>
        <v/>
      </c>
      <c r="H3617" s="124">
        <f>IF(E3617&gt;=5000,5,IF(E3617&gt;=2000,4,IF(E3617&gt;=800,3,IF(E3617&gt;=300,2,1))))</f>
        <v/>
      </c>
      <c r="I3617" s="122">
        <f>TEXT(F3617,"0")&amp;TEXT(G3617,"0")&amp;TEXT(H3617,"0")</f>
        <v/>
      </c>
      <c r="J3617" s="122">
        <f>IFERROR(XLOOKUP(I3617,'Segment Map'!A:A,'Segment Map'!B:B,"Need Attention"),"Need Attention")</f>
        <v/>
      </c>
      <c r="K3617" s="122">
        <f>IF(E3617&gt;=5000,"🏆 Platinum",IF(E3617&gt;=2000,"🥇 Gold",IF(E3617&gt;=800,"🥈 Silver","🥉 Bronze")))</f>
        <v/>
      </c>
      <c r="L3617" s="125" t="n">
        <v>40858</v>
      </c>
    </row>
    <row r="3618">
      <c r="A3618" s="126" t="n">
        <v>17297</v>
      </c>
      <c r="B3618" s="126" t="inlineStr">
        <is>
          <t>United Kingdom</t>
        </is>
      </c>
      <c r="C3618" s="126" t="n">
        <v>18</v>
      </c>
      <c r="D3618" s="126" t="n">
        <v>1</v>
      </c>
      <c r="E3618" s="127" t="n">
        <v>131.78</v>
      </c>
      <c r="F3618" s="128">
        <f>IF(C3618&lt;=30,5,IF(C3618&lt;=60,4,IF(C3618&lt;=120,3,IF(C3618&lt;=200,2,1))))</f>
        <v/>
      </c>
      <c r="G3618" s="128">
        <f>IF(D3618&gt;=20,5,IF(D3618&gt;=10,4,IF(D3618&gt;=5,3,IF(D3618&gt;=2,2,1))))</f>
        <v/>
      </c>
      <c r="H3618" s="128">
        <f>IF(E3618&gt;=5000,5,IF(E3618&gt;=2000,4,IF(E3618&gt;=800,3,IF(E3618&gt;=300,2,1))))</f>
        <v/>
      </c>
      <c r="I3618" s="126">
        <f>TEXT(F3618,"0")&amp;TEXT(G3618,"0")&amp;TEXT(H3618,"0")</f>
        <v/>
      </c>
      <c r="J3618" s="126">
        <f>IFERROR(XLOOKUP(I3618,'Segment Map'!A:A,'Segment Map'!B:B,"Need Attention"),"Need Attention")</f>
        <v/>
      </c>
      <c r="K3618" s="126">
        <f>IF(E3618&gt;=5000,"🏆 Platinum",IF(E3618&gt;=2000,"🥇 Gold",IF(E3618&gt;=800,"🥈 Silver","🥉 Bronze")))</f>
        <v/>
      </c>
      <c r="L3618" s="129" t="n">
        <v>40869</v>
      </c>
    </row>
    <row r="3619">
      <c r="A3619" s="122" t="n">
        <v>17298</v>
      </c>
      <c r="B3619" s="122" t="inlineStr">
        <is>
          <t>United Kingdom</t>
        </is>
      </c>
      <c r="C3619" s="122" t="n">
        <v>102</v>
      </c>
      <c r="D3619" s="122" t="n">
        <v>2</v>
      </c>
      <c r="E3619" s="123" t="n">
        <v>498.42</v>
      </c>
      <c r="F3619" s="124">
        <f>IF(C3619&lt;=30,5,IF(C3619&lt;=60,4,IF(C3619&lt;=120,3,IF(C3619&lt;=200,2,1))))</f>
        <v/>
      </c>
      <c r="G3619" s="124">
        <f>IF(D3619&gt;=20,5,IF(D3619&gt;=10,4,IF(D3619&gt;=5,3,IF(D3619&gt;=2,2,1))))</f>
        <v/>
      </c>
      <c r="H3619" s="124">
        <f>IF(E3619&gt;=5000,5,IF(E3619&gt;=2000,4,IF(E3619&gt;=800,3,IF(E3619&gt;=300,2,1))))</f>
        <v/>
      </c>
      <c r="I3619" s="122">
        <f>TEXT(F3619,"0")&amp;TEXT(G3619,"0")&amp;TEXT(H3619,"0")</f>
        <v/>
      </c>
      <c r="J3619" s="122">
        <f>IFERROR(XLOOKUP(I3619,'Segment Map'!A:A,'Segment Map'!B:B,"Need Attention"),"Need Attention")</f>
        <v/>
      </c>
      <c r="K3619" s="122">
        <f>IF(E3619&gt;=5000,"🏆 Platinum",IF(E3619&gt;=2000,"🥇 Gold",IF(E3619&gt;=800,"🥈 Silver","🥉 Bronze")))</f>
        <v/>
      </c>
      <c r="L3619" s="125" t="n">
        <v>40785</v>
      </c>
    </row>
    <row r="3620">
      <c r="A3620" s="126" t="n">
        <v>17299</v>
      </c>
      <c r="B3620" s="126" t="inlineStr">
        <is>
          <t>United Kingdom</t>
        </is>
      </c>
      <c r="C3620" s="126" t="n">
        <v>12</v>
      </c>
      <c r="D3620" s="126" t="n">
        <v>4</v>
      </c>
      <c r="E3620" s="127" t="n">
        <v>669.11</v>
      </c>
      <c r="F3620" s="128">
        <f>IF(C3620&lt;=30,5,IF(C3620&lt;=60,4,IF(C3620&lt;=120,3,IF(C3620&lt;=200,2,1))))</f>
        <v/>
      </c>
      <c r="G3620" s="128">
        <f>IF(D3620&gt;=20,5,IF(D3620&gt;=10,4,IF(D3620&gt;=5,3,IF(D3620&gt;=2,2,1))))</f>
        <v/>
      </c>
      <c r="H3620" s="128">
        <f>IF(E3620&gt;=5000,5,IF(E3620&gt;=2000,4,IF(E3620&gt;=800,3,IF(E3620&gt;=300,2,1))))</f>
        <v/>
      </c>
      <c r="I3620" s="126">
        <f>TEXT(F3620,"0")&amp;TEXT(G3620,"0")&amp;TEXT(H3620,"0")</f>
        <v/>
      </c>
      <c r="J3620" s="126">
        <f>IFERROR(XLOOKUP(I3620,'Segment Map'!A:A,'Segment Map'!B:B,"Need Attention"),"Need Attention")</f>
        <v/>
      </c>
      <c r="K3620" s="126">
        <f>IF(E3620&gt;=5000,"🏆 Platinum",IF(E3620&gt;=2000,"🥇 Gold",IF(E3620&gt;=800,"🥈 Silver","🥉 Bronze")))</f>
        <v/>
      </c>
      <c r="L3620" s="129" t="n">
        <v>40875</v>
      </c>
    </row>
    <row r="3621">
      <c r="A3621" s="122" t="n">
        <v>17301</v>
      </c>
      <c r="B3621" s="122" t="inlineStr">
        <is>
          <t>United Kingdom</t>
        </is>
      </c>
      <c r="C3621" s="122" t="n">
        <v>22</v>
      </c>
      <c r="D3621" s="122" t="n">
        <v>1</v>
      </c>
      <c r="E3621" s="123" t="n">
        <v>197.63</v>
      </c>
      <c r="F3621" s="124">
        <f>IF(C3621&lt;=30,5,IF(C3621&lt;=60,4,IF(C3621&lt;=120,3,IF(C3621&lt;=200,2,1))))</f>
        <v/>
      </c>
      <c r="G3621" s="124">
        <f>IF(D3621&gt;=20,5,IF(D3621&gt;=10,4,IF(D3621&gt;=5,3,IF(D3621&gt;=2,2,1))))</f>
        <v/>
      </c>
      <c r="H3621" s="124">
        <f>IF(E3621&gt;=5000,5,IF(E3621&gt;=2000,4,IF(E3621&gt;=800,3,IF(E3621&gt;=300,2,1))))</f>
        <v/>
      </c>
      <c r="I3621" s="122">
        <f>TEXT(F3621,"0")&amp;TEXT(G3621,"0")&amp;TEXT(H3621,"0")</f>
        <v/>
      </c>
      <c r="J3621" s="122">
        <f>IFERROR(XLOOKUP(I3621,'Segment Map'!A:A,'Segment Map'!B:B,"Need Attention"),"Need Attention")</f>
        <v/>
      </c>
      <c r="K3621" s="122">
        <f>IF(E3621&gt;=5000,"🏆 Platinum",IF(E3621&gt;=2000,"🥇 Gold",IF(E3621&gt;=800,"🥈 Silver","🥉 Bronze")))</f>
        <v/>
      </c>
      <c r="L3621" s="125" t="n">
        <v>40865</v>
      </c>
    </row>
    <row r="3622">
      <c r="A3622" s="126" t="n">
        <v>17302</v>
      </c>
      <c r="B3622" s="126" t="inlineStr">
        <is>
          <t>United Kingdom</t>
        </is>
      </c>
      <c r="C3622" s="126" t="n">
        <v>15</v>
      </c>
      <c r="D3622" s="126" t="n">
        <v>5</v>
      </c>
      <c r="E3622" s="127" t="n">
        <v>1135.63</v>
      </c>
      <c r="F3622" s="128">
        <f>IF(C3622&lt;=30,5,IF(C3622&lt;=60,4,IF(C3622&lt;=120,3,IF(C3622&lt;=200,2,1))))</f>
        <v/>
      </c>
      <c r="G3622" s="128">
        <f>IF(D3622&gt;=20,5,IF(D3622&gt;=10,4,IF(D3622&gt;=5,3,IF(D3622&gt;=2,2,1))))</f>
        <v/>
      </c>
      <c r="H3622" s="128">
        <f>IF(E3622&gt;=5000,5,IF(E3622&gt;=2000,4,IF(E3622&gt;=800,3,IF(E3622&gt;=300,2,1))))</f>
        <v/>
      </c>
      <c r="I3622" s="126">
        <f>TEXT(F3622,"0")&amp;TEXT(G3622,"0")&amp;TEXT(H3622,"0")</f>
        <v/>
      </c>
      <c r="J3622" s="126">
        <f>IFERROR(XLOOKUP(I3622,'Segment Map'!A:A,'Segment Map'!B:B,"Need Attention"),"Need Attention")</f>
        <v/>
      </c>
      <c r="K3622" s="126">
        <f>IF(E3622&gt;=5000,"🏆 Platinum",IF(E3622&gt;=2000,"🥇 Gold",IF(E3622&gt;=800,"🥈 Silver","🥉 Bronze")))</f>
        <v/>
      </c>
      <c r="L3622" s="129" t="n">
        <v>40872</v>
      </c>
    </row>
    <row r="3623">
      <c r="A3623" s="122" t="n">
        <v>17303</v>
      </c>
      <c r="B3623" s="122" t="inlineStr">
        <is>
          <t>United Kingdom</t>
        </is>
      </c>
      <c r="C3623" s="122" t="n">
        <v>362</v>
      </c>
      <c r="D3623" s="122" t="n">
        <v>1</v>
      </c>
      <c r="E3623" s="123" t="n">
        <v>250.04</v>
      </c>
      <c r="F3623" s="124">
        <f>IF(C3623&lt;=30,5,IF(C3623&lt;=60,4,IF(C3623&lt;=120,3,IF(C3623&lt;=200,2,1))))</f>
        <v/>
      </c>
      <c r="G3623" s="124">
        <f>IF(D3623&gt;=20,5,IF(D3623&gt;=10,4,IF(D3623&gt;=5,3,IF(D3623&gt;=2,2,1))))</f>
        <v/>
      </c>
      <c r="H3623" s="124">
        <f>IF(E3623&gt;=5000,5,IF(E3623&gt;=2000,4,IF(E3623&gt;=800,3,IF(E3623&gt;=300,2,1))))</f>
        <v/>
      </c>
      <c r="I3623" s="122">
        <f>TEXT(F3623,"0")&amp;TEXT(G3623,"0")&amp;TEXT(H3623,"0")</f>
        <v/>
      </c>
      <c r="J3623" s="122">
        <f>IFERROR(XLOOKUP(I3623,'Segment Map'!A:A,'Segment Map'!B:B,"Need Attention"),"Need Attention")</f>
        <v/>
      </c>
      <c r="K3623" s="122">
        <f>IF(E3623&gt;=5000,"🏆 Platinum",IF(E3623&gt;=2000,"🥇 Gold",IF(E3623&gt;=800,"🥈 Silver","🥉 Bronze")))</f>
        <v/>
      </c>
      <c r="L3623" s="125" t="n">
        <v>40525</v>
      </c>
    </row>
    <row r="3624">
      <c r="A3624" s="126" t="n">
        <v>17306</v>
      </c>
      <c r="B3624" s="126" t="inlineStr">
        <is>
          <t>United Kingdom</t>
        </is>
      </c>
      <c r="C3624" s="126" t="n">
        <v>11</v>
      </c>
      <c r="D3624" s="126" t="n">
        <v>19</v>
      </c>
      <c r="E3624" s="127" t="n">
        <v>8631.309999999999</v>
      </c>
      <c r="F3624" s="128">
        <f>IF(C3624&lt;=30,5,IF(C3624&lt;=60,4,IF(C3624&lt;=120,3,IF(C3624&lt;=200,2,1))))</f>
        <v/>
      </c>
      <c r="G3624" s="128">
        <f>IF(D3624&gt;=20,5,IF(D3624&gt;=10,4,IF(D3624&gt;=5,3,IF(D3624&gt;=2,2,1))))</f>
        <v/>
      </c>
      <c r="H3624" s="128">
        <f>IF(E3624&gt;=5000,5,IF(E3624&gt;=2000,4,IF(E3624&gt;=800,3,IF(E3624&gt;=300,2,1))))</f>
        <v/>
      </c>
      <c r="I3624" s="126">
        <f>TEXT(F3624,"0")&amp;TEXT(G3624,"0")&amp;TEXT(H3624,"0")</f>
        <v/>
      </c>
      <c r="J3624" s="126">
        <f>IFERROR(XLOOKUP(I3624,'Segment Map'!A:A,'Segment Map'!B:B,"Need Attention"),"Need Attention")</f>
        <v/>
      </c>
      <c r="K3624" s="126">
        <f>IF(E3624&gt;=5000,"🏆 Platinum",IF(E3624&gt;=2000,"🥇 Gold",IF(E3624&gt;=800,"🥈 Silver","🥉 Bronze")))</f>
        <v/>
      </c>
      <c r="L3624" s="129" t="n">
        <v>40876</v>
      </c>
    </row>
    <row r="3625">
      <c r="A3625" s="122" t="n">
        <v>17309</v>
      </c>
      <c r="B3625" s="122" t="inlineStr">
        <is>
          <t>United Kingdom</t>
        </is>
      </c>
      <c r="C3625" s="122" t="n">
        <v>96</v>
      </c>
      <c r="D3625" s="122" t="n">
        <v>1</v>
      </c>
      <c r="E3625" s="123" t="n">
        <v>82.75</v>
      </c>
      <c r="F3625" s="124">
        <f>IF(C3625&lt;=30,5,IF(C3625&lt;=60,4,IF(C3625&lt;=120,3,IF(C3625&lt;=200,2,1))))</f>
        <v/>
      </c>
      <c r="G3625" s="124">
        <f>IF(D3625&gt;=20,5,IF(D3625&gt;=10,4,IF(D3625&gt;=5,3,IF(D3625&gt;=2,2,1))))</f>
        <v/>
      </c>
      <c r="H3625" s="124">
        <f>IF(E3625&gt;=5000,5,IF(E3625&gt;=2000,4,IF(E3625&gt;=800,3,IF(E3625&gt;=300,2,1))))</f>
        <v/>
      </c>
      <c r="I3625" s="122">
        <f>TEXT(F3625,"0")&amp;TEXT(G3625,"0")&amp;TEXT(H3625,"0")</f>
        <v/>
      </c>
      <c r="J3625" s="122">
        <f>IFERROR(XLOOKUP(I3625,'Segment Map'!A:A,'Segment Map'!B:B,"Need Attention"),"Need Attention")</f>
        <v/>
      </c>
      <c r="K3625" s="122">
        <f>IF(E3625&gt;=5000,"🏆 Platinum",IF(E3625&gt;=2000,"🥇 Gold",IF(E3625&gt;=800,"🥈 Silver","🥉 Bronze")))</f>
        <v/>
      </c>
      <c r="L3625" s="125" t="n">
        <v>40791</v>
      </c>
    </row>
    <row r="3626">
      <c r="A3626" s="126" t="n">
        <v>17311</v>
      </c>
      <c r="B3626" s="126" t="inlineStr">
        <is>
          <t>United Kingdom</t>
        </is>
      </c>
      <c r="C3626" s="126" t="n">
        <v>79</v>
      </c>
      <c r="D3626" s="126" t="n">
        <v>2</v>
      </c>
      <c r="E3626" s="127" t="n">
        <v>1384.85</v>
      </c>
      <c r="F3626" s="128">
        <f>IF(C3626&lt;=30,5,IF(C3626&lt;=60,4,IF(C3626&lt;=120,3,IF(C3626&lt;=200,2,1))))</f>
        <v/>
      </c>
      <c r="G3626" s="128">
        <f>IF(D3626&gt;=20,5,IF(D3626&gt;=10,4,IF(D3626&gt;=5,3,IF(D3626&gt;=2,2,1))))</f>
        <v/>
      </c>
      <c r="H3626" s="128">
        <f>IF(E3626&gt;=5000,5,IF(E3626&gt;=2000,4,IF(E3626&gt;=800,3,IF(E3626&gt;=300,2,1))))</f>
        <v/>
      </c>
      <c r="I3626" s="126">
        <f>TEXT(F3626,"0")&amp;TEXT(G3626,"0")&amp;TEXT(H3626,"0")</f>
        <v/>
      </c>
      <c r="J3626" s="126">
        <f>IFERROR(XLOOKUP(I3626,'Segment Map'!A:A,'Segment Map'!B:B,"Need Attention"),"Need Attention")</f>
        <v/>
      </c>
      <c r="K3626" s="126">
        <f>IF(E3626&gt;=5000,"🏆 Platinum",IF(E3626&gt;=2000,"🥇 Gold",IF(E3626&gt;=800,"🥈 Silver","🥉 Bronze")))</f>
        <v/>
      </c>
      <c r="L3626" s="129" t="n">
        <v>40808</v>
      </c>
    </row>
    <row r="3627">
      <c r="A3627" s="122" t="n">
        <v>17312</v>
      </c>
      <c r="B3627" s="122" t="inlineStr">
        <is>
          <t>United Kingdom</t>
        </is>
      </c>
      <c r="C3627" s="122" t="n">
        <v>139</v>
      </c>
      <c r="D3627" s="122" t="n">
        <v>3</v>
      </c>
      <c r="E3627" s="123" t="n">
        <v>644.3</v>
      </c>
      <c r="F3627" s="124">
        <f>IF(C3627&lt;=30,5,IF(C3627&lt;=60,4,IF(C3627&lt;=120,3,IF(C3627&lt;=200,2,1))))</f>
        <v/>
      </c>
      <c r="G3627" s="124">
        <f>IF(D3627&gt;=20,5,IF(D3627&gt;=10,4,IF(D3627&gt;=5,3,IF(D3627&gt;=2,2,1))))</f>
        <v/>
      </c>
      <c r="H3627" s="124">
        <f>IF(E3627&gt;=5000,5,IF(E3627&gt;=2000,4,IF(E3627&gt;=800,3,IF(E3627&gt;=300,2,1))))</f>
        <v/>
      </c>
      <c r="I3627" s="122">
        <f>TEXT(F3627,"0")&amp;TEXT(G3627,"0")&amp;TEXT(H3627,"0")</f>
        <v/>
      </c>
      <c r="J3627" s="122">
        <f>IFERROR(XLOOKUP(I3627,'Segment Map'!A:A,'Segment Map'!B:B,"Need Attention"),"Need Attention")</f>
        <v/>
      </c>
      <c r="K3627" s="122">
        <f>IF(E3627&gt;=5000,"🏆 Platinum",IF(E3627&gt;=2000,"🥇 Gold",IF(E3627&gt;=800,"🥈 Silver","🥉 Bronze")))</f>
        <v/>
      </c>
      <c r="L3627" s="125" t="n">
        <v>40748</v>
      </c>
    </row>
    <row r="3628">
      <c r="A3628" s="126" t="n">
        <v>17313</v>
      </c>
      <c r="B3628" s="126" t="inlineStr">
        <is>
          <t>United Kingdom</t>
        </is>
      </c>
      <c r="C3628" s="126" t="n">
        <v>32</v>
      </c>
      <c r="D3628" s="126" t="n">
        <v>1</v>
      </c>
      <c r="E3628" s="127" t="n">
        <v>2328.84</v>
      </c>
      <c r="F3628" s="128">
        <f>IF(C3628&lt;=30,5,IF(C3628&lt;=60,4,IF(C3628&lt;=120,3,IF(C3628&lt;=200,2,1))))</f>
        <v/>
      </c>
      <c r="G3628" s="128">
        <f>IF(D3628&gt;=20,5,IF(D3628&gt;=10,4,IF(D3628&gt;=5,3,IF(D3628&gt;=2,2,1))))</f>
        <v/>
      </c>
      <c r="H3628" s="128">
        <f>IF(E3628&gt;=5000,5,IF(E3628&gt;=2000,4,IF(E3628&gt;=800,3,IF(E3628&gt;=300,2,1))))</f>
        <v/>
      </c>
      <c r="I3628" s="126">
        <f>TEXT(F3628,"0")&amp;TEXT(G3628,"0")&amp;TEXT(H3628,"0")</f>
        <v/>
      </c>
      <c r="J3628" s="126">
        <f>IFERROR(XLOOKUP(I3628,'Segment Map'!A:A,'Segment Map'!B:B,"Need Attention"),"Need Attention")</f>
        <v/>
      </c>
      <c r="K3628" s="126">
        <f>IF(E3628&gt;=5000,"🏆 Platinum",IF(E3628&gt;=2000,"🥇 Gold",IF(E3628&gt;=800,"🥈 Silver","🥉 Bronze")))</f>
        <v/>
      </c>
      <c r="L3628" s="129" t="n">
        <v>40855</v>
      </c>
    </row>
    <row r="3629">
      <c r="A3629" s="122" t="n">
        <v>17314</v>
      </c>
      <c r="B3629" s="122" t="inlineStr">
        <is>
          <t>United Kingdom</t>
        </is>
      </c>
      <c r="C3629" s="122" t="n">
        <v>25</v>
      </c>
      <c r="D3629" s="122" t="n">
        <v>8</v>
      </c>
      <c r="E3629" s="123" t="n">
        <v>2527.92</v>
      </c>
      <c r="F3629" s="124">
        <f>IF(C3629&lt;=30,5,IF(C3629&lt;=60,4,IF(C3629&lt;=120,3,IF(C3629&lt;=200,2,1))))</f>
        <v/>
      </c>
      <c r="G3629" s="124">
        <f>IF(D3629&gt;=20,5,IF(D3629&gt;=10,4,IF(D3629&gt;=5,3,IF(D3629&gt;=2,2,1))))</f>
        <v/>
      </c>
      <c r="H3629" s="124">
        <f>IF(E3629&gt;=5000,5,IF(E3629&gt;=2000,4,IF(E3629&gt;=800,3,IF(E3629&gt;=300,2,1))))</f>
        <v/>
      </c>
      <c r="I3629" s="122">
        <f>TEXT(F3629,"0")&amp;TEXT(G3629,"0")&amp;TEXT(H3629,"0")</f>
        <v/>
      </c>
      <c r="J3629" s="122">
        <f>IFERROR(XLOOKUP(I3629,'Segment Map'!A:A,'Segment Map'!B:B,"Need Attention"),"Need Attention")</f>
        <v/>
      </c>
      <c r="K3629" s="122">
        <f>IF(E3629&gt;=5000,"🏆 Platinum",IF(E3629&gt;=2000,"🥇 Gold",IF(E3629&gt;=800,"🥈 Silver","🥉 Bronze")))</f>
        <v/>
      </c>
      <c r="L3629" s="125" t="n">
        <v>40862</v>
      </c>
    </row>
    <row r="3630">
      <c r="A3630" s="126" t="n">
        <v>17315</v>
      </c>
      <c r="B3630" s="126" t="inlineStr">
        <is>
          <t>United Kingdom</t>
        </is>
      </c>
      <c r="C3630" s="126" t="n">
        <v>2</v>
      </c>
      <c r="D3630" s="126" t="n">
        <v>38</v>
      </c>
      <c r="E3630" s="127" t="n">
        <v>6292.26</v>
      </c>
      <c r="F3630" s="128">
        <f>IF(C3630&lt;=30,5,IF(C3630&lt;=60,4,IF(C3630&lt;=120,3,IF(C3630&lt;=200,2,1))))</f>
        <v/>
      </c>
      <c r="G3630" s="128">
        <f>IF(D3630&gt;=20,5,IF(D3630&gt;=10,4,IF(D3630&gt;=5,3,IF(D3630&gt;=2,2,1))))</f>
        <v/>
      </c>
      <c r="H3630" s="128">
        <f>IF(E3630&gt;=5000,5,IF(E3630&gt;=2000,4,IF(E3630&gt;=800,3,IF(E3630&gt;=300,2,1))))</f>
        <v/>
      </c>
      <c r="I3630" s="126">
        <f>TEXT(F3630,"0")&amp;TEXT(G3630,"0")&amp;TEXT(H3630,"0")</f>
        <v/>
      </c>
      <c r="J3630" s="126">
        <f>IFERROR(XLOOKUP(I3630,'Segment Map'!A:A,'Segment Map'!B:B,"Need Attention"),"Need Attention")</f>
        <v/>
      </c>
      <c r="K3630" s="126">
        <f>IF(E3630&gt;=5000,"🏆 Platinum",IF(E3630&gt;=2000,"🥇 Gold",IF(E3630&gt;=800,"🥈 Silver","🥉 Bronze")))</f>
        <v/>
      </c>
      <c r="L3630" s="129" t="n">
        <v>40885</v>
      </c>
    </row>
    <row r="3631">
      <c r="A3631" s="122" t="n">
        <v>17317</v>
      </c>
      <c r="B3631" s="122" t="inlineStr">
        <is>
          <t>United Kingdom</t>
        </is>
      </c>
      <c r="C3631" s="122" t="n">
        <v>47</v>
      </c>
      <c r="D3631" s="122" t="n">
        <v>3</v>
      </c>
      <c r="E3631" s="123" t="n">
        <v>2600.34</v>
      </c>
      <c r="F3631" s="124">
        <f>IF(C3631&lt;=30,5,IF(C3631&lt;=60,4,IF(C3631&lt;=120,3,IF(C3631&lt;=200,2,1))))</f>
        <v/>
      </c>
      <c r="G3631" s="124">
        <f>IF(D3631&gt;=20,5,IF(D3631&gt;=10,4,IF(D3631&gt;=5,3,IF(D3631&gt;=2,2,1))))</f>
        <v/>
      </c>
      <c r="H3631" s="124">
        <f>IF(E3631&gt;=5000,5,IF(E3631&gt;=2000,4,IF(E3631&gt;=800,3,IF(E3631&gt;=300,2,1))))</f>
        <v/>
      </c>
      <c r="I3631" s="122">
        <f>TEXT(F3631,"0")&amp;TEXT(G3631,"0")&amp;TEXT(H3631,"0")</f>
        <v/>
      </c>
      <c r="J3631" s="122">
        <f>IFERROR(XLOOKUP(I3631,'Segment Map'!A:A,'Segment Map'!B:B,"Need Attention"),"Need Attention")</f>
        <v/>
      </c>
      <c r="K3631" s="122">
        <f>IF(E3631&gt;=5000,"🏆 Platinum",IF(E3631&gt;=2000,"🥇 Gold",IF(E3631&gt;=800,"🥈 Silver","🥉 Bronze")))</f>
        <v/>
      </c>
      <c r="L3631" s="125" t="n">
        <v>40840</v>
      </c>
    </row>
    <row r="3632">
      <c r="A3632" s="126" t="n">
        <v>17320</v>
      </c>
      <c r="B3632" s="126" t="inlineStr">
        <is>
          <t>United Kingdom</t>
        </is>
      </c>
      <c r="C3632" s="126" t="n">
        <v>101</v>
      </c>
      <c r="D3632" s="126" t="n">
        <v>3</v>
      </c>
      <c r="E3632" s="127" t="n">
        <v>1200.62</v>
      </c>
      <c r="F3632" s="128">
        <f>IF(C3632&lt;=30,5,IF(C3632&lt;=60,4,IF(C3632&lt;=120,3,IF(C3632&lt;=200,2,1))))</f>
        <v/>
      </c>
      <c r="G3632" s="128">
        <f>IF(D3632&gt;=20,5,IF(D3632&gt;=10,4,IF(D3632&gt;=5,3,IF(D3632&gt;=2,2,1))))</f>
        <v/>
      </c>
      <c r="H3632" s="128">
        <f>IF(E3632&gt;=5000,5,IF(E3632&gt;=2000,4,IF(E3632&gt;=800,3,IF(E3632&gt;=300,2,1))))</f>
        <v/>
      </c>
      <c r="I3632" s="126">
        <f>TEXT(F3632,"0")&amp;TEXT(G3632,"0")&amp;TEXT(H3632,"0")</f>
        <v/>
      </c>
      <c r="J3632" s="126">
        <f>IFERROR(XLOOKUP(I3632,'Segment Map'!A:A,'Segment Map'!B:B,"Need Attention"),"Need Attention")</f>
        <v/>
      </c>
      <c r="K3632" s="126">
        <f>IF(E3632&gt;=5000,"🏆 Platinum",IF(E3632&gt;=2000,"🥇 Gold",IF(E3632&gt;=800,"🥈 Silver","🥉 Bronze")))</f>
        <v/>
      </c>
      <c r="L3632" s="129" t="n">
        <v>40786</v>
      </c>
    </row>
    <row r="3633">
      <c r="A3633" s="122" t="n">
        <v>17321</v>
      </c>
      <c r="B3633" s="122" t="inlineStr">
        <is>
          <t>United Kingdom</t>
        </is>
      </c>
      <c r="C3633" s="122" t="n">
        <v>9</v>
      </c>
      <c r="D3633" s="122" t="n">
        <v>2</v>
      </c>
      <c r="E3633" s="123" t="n">
        <v>700.86</v>
      </c>
      <c r="F3633" s="124">
        <f>IF(C3633&lt;=30,5,IF(C3633&lt;=60,4,IF(C3633&lt;=120,3,IF(C3633&lt;=200,2,1))))</f>
        <v/>
      </c>
      <c r="G3633" s="124">
        <f>IF(D3633&gt;=20,5,IF(D3633&gt;=10,4,IF(D3633&gt;=5,3,IF(D3633&gt;=2,2,1))))</f>
        <v/>
      </c>
      <c r="H3633" s="124">
        <f>IF(E3633&gt;=5000,5,IF(E3633&gt;=2000,4,IF(E3633&gt;=800,3,IF(E3633&gt;=300,2,1))))</f>
        <v/>
      </c>
      <c r="I3633" s="122">
        <f>TEXT(F3633,"0")&amp;TEXT(G3633,"0")&amp;TEXT(H3633,"0")</f>
        <v/>
      </c>
      <c r="J3633" s="122">
        <f>IFERROR(XLOOKUP(I3633,'Segment Map'!A:A,'Segment Map'!B:B,"Need Attention"),"Need Attention")</f>
        <v/>
      </c>
      <c r="K3633" s="122">
        <f>IF(E3633&gt;=5000,"🏆 Platinum",IF(E3633&gt;=2000,"🥇 Gold",IF(E3633&gt;=800,"🥈 Silver","🥉 Bronze")))</f>
        <v/>
      </c>
      <c r="L3633" s="125" t="n">
        <v>40878</v>
      </c>
    </row>
    <row r="3634">
      <c r="A3634" s="126" t="n">
        <v>17323</v>
      </c>
      <c r="B3634" s="126" t="inlineStr">
        <is>
          <t>United Kingdom</t>
        </is>
      </c>
      <c r="C3634" s="126" t="n">
        <v>16</v>
      </c>
      <c r="D3634" s="126" t="n">
        <v>7</v>
      </c>
      <c r="E3634" s="127" t="n">
        <v>921.0700000000001</v>
      </c>
      <c r="F3634" s="128">
        <f>IF(C3634&lt;=30,5,IF(C3634&lt;=60,4,IF(C3634&lt;=120,3,IF(C3634&lt;=200,2,1))))</f>
        <v/>
      </c>
      <c r="G3634" s="128">
        <f>IF(D3634&gt;=20,5,IF(D3634&gt;=10,4,IF(D3634&gt;=5,3,IF(D3634&gt;=2,2,1))))</f>
        <v/>
      </c>
      <c r="H3634" s="128">
        <f>IF(E3634&gt;=5000,5,IF(E3634&gt;=2000,4,IF(E3634&gt;=800,3,IF(E3634&gt;=300,2,1))))</f>
        <v/>
      </c>
      <c r="I3634" s="126">
        <f>TEXT(F3634,"0")&amp;TEXT(G3634,"0")&amp;TEXT(H3634,"0")</f>
        <v/>
      </c>
      <c r="J3634" s="126">
        <f>IFERROR(XLOOKUP(I3634,'Segment Map'!A:A,'Segment Map'!B:B,"Need Attention"),"Need Attention")</f>
        <v/>
      </c>
      <c r="K3634" s="126">
        <f>IF(E3634&gt;=5000,"🏆 Platinum",IF(E3634&gt;=2000,"🥇 Gold",IF(E3634&gt;=800,"🥈 Silver","🥉 Bronze")))</f>
        <v/>
      </c>
      <c r="L3634" s="129" t="n">
        <v>40871</v>
      </c>
    </row>
    <row r="3635">
      <c r="A3635" s="122" t="n">
        <v>17324</v>
      </c>
      <c r="B3635" s="122" t="inlineStr">
        <is>
          <t>United Kingdom</t>
        </is>
      </c>
      <c r="C3635" s="122" t="n">
        <v>18</v>
      </c>
      <c r="D3635" s="122" t="n">
        <v>4</v>
      </c>
      <c r="E3635" s="123" t="n">
        <v>990.23</v>
      </c>
      <c r="F3635" s="124">
        <f>IF(C3635&lt;=30,5,IF(C3635&lt;=60,4,IF(C3635&lt;=120,3,IF(C3635&lt;=200,2,1))))</f>
        <v/>
      </c>
      <c r="G3635" s="124">
        <f>IF(D3635&gt;=20,5,IF(D3635&gt;=10,4,IF(D3635&gt;=5,3,IF(D3635&gt;=2,2,1))))</f>
        <v/>
      </c>
      <c r="H3635" s="124">
        <f>IF(E3635&gt;=5000,5,IF(E3635&gt;=2000,4,IF(E3635&gt;=800,3,IF(E3635&gt;=300,2,1))))</f>
        <v/>
      </c>
      <c r="I3635" s="122">
        <f>TEXT(F3635,"0")&amp;TEXT(G3635,"0")&amp;TEXT(H3635,"0")</f>
        <v/>
      </c>
      <c r="J3635" s="122">
        <f>IFERROR(XLOOKUP(I3635,'Segment Map'!A:A,'Segment Map'!B:B,"Need Attention"),"Need Attention")</f>
        <v/>
      </c>
      <c r="K3635" s="122">
        <f>IF(E3635&gt;=5000,"🏆 Platinum",IF(E3635&gt;=2000,"🥇 Gold",IF(E3635&gt;=800,"🥈 Silver","🥉 Bronze")))</f>
        <v/>
      </c>
      <c r="L3635" s="125" t="n">
        <v>40869</v>
      </c>
    </row>
    <row r="3636">
      <c r="A3636" s="126" t="n">
        <v>17325</v>
      </c>
      <c r="B3636" s="126" t="inlineStr">
        <is>
          <t>United Kingdom</t>
        </is>
      </c>
      <c r="C3636" s="126" t="n">
        <v>281</v>
      </c>
      <c r="D3636" s="126" t="n">
        <v>1</v>
      </c>
      <c r="E3636" s="127" t="n">
        <v>96.8</v>
      </c>
      <c r="F3636" s="128">
        <f>IF(C3636&lt;=30,5,IF(C3636&lt;=60,4,IF(C3636&lt;=120,3,IF(C3636&lt;=200,2,1))))</f>
        <v/>
      </c>
      <c r="G3636" s="128">
        <f>IF(D3636&gt;=20,5,IF(D3636&gt;=10,4,IF(D3636&gt;=5,3,IF(D3636&gt;=2,2,1))))</f>
        <v/>
      </c>
      <c r="H3636" s="128">
        <f>IF(E3636&gt;=5000,5,IF(E3636&gt;=2000,4,IF(E3636&gt;=800,3,IF(E3636&gt;=300,2,1))))</f>
        <v/>
      </c>
      <c r="I3636" s="126">
        <f>TEXT(F3636,"0")&amp;TEXT(G3636,"0")&amp;TEXT(H3636,"0")</f>
        <v/>
      </c>
      <c r="J3636" s="126">
        <f>IFERROR(XLOOKUP(I3636,'Segment Map'!A:A,'Segment Map'!B:B,"Need Attention"),"Need Attention")</f>
        <v/>
      </c>
      <c r="K3636" s="126">
        <f>IF(E3636&gt;=5000,"🏆 Platinum",IF(E3636&gt;=2000,"🥇 Gold",IF(E3636&gt;=800,"🥈 Silver","🥉 Bronze")))</f>
        <v/>
      </c>
      <c r="L3636" s="129" t="n">
        <v>40606</v>
      </c>
    </row>
    <row r="3637">
      <c r="A3637" s="122" t="n">
        <v>17329</v>
      </c>
      <c r="B3637" s="122" t="inlineStr">
        <is>
          <t>United Kingdom</t>
        </is>
      </c>
      <c r="C3637" s="122" t="n">
        <v>15</v>
      </c>
      <c r="D3637" s="122" t="n">
        <v>2</v>
      </c>
      <c r="E3637" s="123" t="n">
        <v>523.11</v>
      </c>
      <c r="F3637" s="124">
        <f>IF(C3637&lt;=30,5,IF(C3637&lt;=60,4,IF(C3637&lt;=120,3,IF(C3637&lt;=200,2,1))))</f>
        <v/>
      </c>
      <c r="G3637" s="124">
        <f>IF(D3637&gt;=20,5,IF(D3637&gt;=10,4,IF(D3637&gt;=5,3,IF(D3637&gt;=2,2,1))))</f>
        <v/>
      </c>
      <c r="H3637" s="124">
        <f>IF(E3637&gt;=5000,5,IF(E3637&gt;=2000,4,IF(E3637&gt;=800,3,IF(E3637&gt;=300,2,1))))</f>
        <v/>
      </c>
      <c r="I3637" s="122">
        <f>TEXT(F3637,"0")&amp;TEXT(G3637,"0")&amp;TEXT(H3637,"0")</f>
        <v/>
      </c>
      <c r="J3637" s="122">
        <f>IFERROR(XLOOKUP(I3637,'Segment Map'!A:A,'Segment Map'!B:B,"Need Attention"),"Need Attention")</f>
        <v/>
      </c>
      <c r="K3637" s="122">
        <f>IF(E3637&gt;=5000,"🏆 Platinum",IF(E3637&gt;=2000,"🥇 Gold",IF(E3637&gt;=800,"🥈 Silver","🥉 Bronze")))</f>
        <v/>
      </c>
      <c r="L3637" s="125" t="n">
        <v>40872</v>
      </c>
    </row>
    <row r="3638">
      <c r="A3638" s="126" t="n">
        <v>17330</v>
      </c>
      <c r="B3638" s="126" t="inlineStr">
        <is>
          <t>United Kingdom</t>
        </is>
      </c>
      <c r="C3638" s="126" t="n">
        <v>23</v>
      </c>
      <c r="D3638" s="126" t="n">
        <v>2</v>
      </c>
      <c r="E3638" s="127" t="n">
        <v>363.9</v>
      </c>
      <c r="F3638" s="128">
        <f>IF(C3638&lt;=30,5,IF(C3638&lt;=60,4,IF(C3638&lt;=120,3,IF(C3638&lt;=200,2,1))))</f>
        <v/>
      </c>
      <c r="G3638" s="128">
        <f>IF(D3638&gt;=20,5,IF(D3638&gt;=10,4,IF(D3638&gt;=5,3,IF(D3638&gt;=2,2,1))))</f>
        <v/>
      </c>
      <c r="H3638" s="128">
        <f>IF(E3638&gt;=5000,5,IF(E3638&gt;=2000,4,IF(E3638&gt;=800,3,IF(E3638&gt;=300,2,1))))</f>
        <v/>
      </c>
      <c r="I3638" s="126">
        <f>TEXT(F3638,"0")&amp;TEXT(G3638,"0")&amp;TEXT(H3638,"0")</f>
        <v/>
      </c>
      <c r="J3638" s="126">
        <f>IFERROR(XLOOKUP(I3638,'Segment Map'!A:A,'Segment Map'!B:B,"Need Attention"),"Need Attention")</f>
        <v/>
      </c>
      <c r="K3638" s="126">
        <f>IF(E3638&gt;=5000,"🏆 Platinum",IF(E3638&gt;=2000,"🥇 Gold",IF(E3638&gt;=800,"🥈 Silver","🥉 Bronze")))</f>
        <v/>
      </c>
      <c r="L3638" s="129" t="n">
        <v>40864</v>
      </c>
    </row>
    <row r="3639">
      <c r="A3639" s="122" t="n">
        <v>17331</v>
      </c>
      <c r="B3639" s="122" t="inlineStr">
        <is>
          <t>United Kingdom</t>
        </is>
      </c>
      <c r="C3639" s="122" t="n">
        <v>124</v>
      </c>
      <c r="D3639" s="122" t="n">
        <v>1</v>
      </c>
      <c r="E3639" s="123" t="n">
        <v>175.2</v>
      </c>
      <c r="F3639" s="124">
        <f>IF(C3639&lt;=30,5,IF(C3639&lt;=60,4,IF(C3639&lt;=120,3,IF(C3639&lt;=200,2,1))))</f>
        <v/>
      </c>
      <c r="G3639" s="124">
        <f>IF(D3639&gt;=20,5,IF(D3639&gt;=10,4,IF(D3639&gt;=5,3,IF(D3639&gt;=2,2,1))))</f>
        <v/>
      </c>
      <c r="H3639" s="124">
        <f>IF(E3639&gt;=5000,5,IF(E3639&gt;=2000,4,IF(E3639&gt;=800,3,IF(E3639&gt;=300,2,1))))</f>
        <v/>
      </c>
      <c r="I3639" s="122">
        <f>TEXT(F3639,"0")&amp;TEXT(G3639,"0")&amp;TEXT(H3639,"0")</f>
        <v/>
      </c>
      <c r="J3639" s="122">
        <f>IFERROR(XLOOKUP(I3639,'Segment Map'!A:A,'Segment Map'!B:B,"Need Attention"),"Need Attention")</f>
        <v/>
      </c>
      <c r="K3639" s="122">
        <f>IF(E3639&gt;=5000,"🏆 Platinum",IF(E3639&gt;=2000,"🥇 Gold",IF(E3639&gt;=800,"🥈 Silver","🥉 Bronze")))</f>
        <v/>
      </c>
      <c r="L3639" s="125" t="n">
        <v>40763</v>
      </c>
    </row>
    <row r="3640">
      <c r="A3640" s="126" t="n">
        <v>17333</v>
      </c>
      <c r="B3640" s="126" t="inlineStr">
        <is>
          <t>United Kingdom</t>
        </is>
      </c>
      <c r="C3640" s="126" t="n">
        <v>86</v>
      </c>
      <c r="D3640" s="126" t="n">
        <v>1</v>
      </c>
      <c r="E3640" s="127" t="n">
        <v>494.25</v>
      </c>
      <c r="F3640" s="128">
        <f>IF(C3640&lt;=30,5,IF(C3640&lt;=60,4,IF(C3640&lt;=120,3,IF(C3640&lt;=200,2,1))))</f>
        <v/>
      </c>
      <c r="G3640" s="128">
        <f>IF(D3640&gt;=20,5,IF(D3640&gt;=10,4,IF(D3640&gt;=5,3,IF(D3640&gt;=2,2,1))))</f>
        <v/>
      </c>
      <c r="H3640" s="128">
        <f>IF(E3640&gt;=5000,5,IF(E3640&gt;=2000,4,IF(E3640&gt;=800,3,IF(E3640&gt;=300,2,1))))</f>
        <v/>
      </c>
      <c r="I3640" s="126">
        <f>TEXT(F3640,"0")&amp;TEXT(G3640,"0")&amp;TEXT(H3640,"0")</f>
        <v/>
      </c>
      <c r="J3640" s="126">
        <f>IFERROR(XLOOKUP(I3640,'Segment Map'!A:A,'Segment Map'!B:B,"Need Attention"),"Need Attention")</f>
        <v/>
      </c>
      <c r="K3640" s="126">
        <f>IF(E3640&gt;=5000,"🏆 Platinum",IF(E3640&gt;=2000,"🥇 Gold",IF(E3640&gt;=800,"🥈 Silver","🥉 Bronze")))</f>
        <v/>
      </c>
      <c r="L3640" s="129" t="n">
        <v>40801</v>
      </c>
    </row>
    <row r="3641">
      <c r="A3641" s="122" t="n">
        <v>17334</v>
      </c>
      <c r="B3641" s="122" t="inlineStr">
        <is>
          <t>United Kingdom</t>
        </is>
      </c>
      <c r="C3641" s="122" t="n">
        <v>303</v>
      </c>
      <c r="D3641" s="122" t="n">
        <v>2</v>
      </c>
      <c r="E3641" s="123" t="n">
        <v>307.02</v>
      </c>
      <c r="F3641" s="124">
        <f>IF(C3641&lt;=30,5,IF(C3641&lt;=60,4,IF(C3641&lt;=120,3,IF(C3641&lt;=200,2,1))))</f>
        <v/>
      </c>
      <c r="G3641" s="124">
        <f>IF(D3641&gt;=20,5,IF(D3641&gt;=10,4,IF(D3641&gt;=5,3,IF(D3641&gt;=2,2,1))))</f>
        <v/>
      </c>
      <c r="H3641" s="124">
        <f>IF(E3641&gt;=5000,5,IF(E3641&gt;=2000,4,IF(E3641&gt;=800,3,IF(E3641&gt;=300,2,1))))</f>
        <v/>
      </c>
      <c r="I3641" s="122">
        <f>TEXT(F3641,"0")&amp;TEXT(G3641,"0")&amp;TEXT(H3641,"0")</f>
        <v/>
      </c>
      <c r="J3641" s="122">
        <f>IFERROR(XLOOKUP(I3641,'Segment Map'!A:A,'Segment Map'!B:B,"Need Attention"),"Need Attention")</f>
        <v/>
      </c>
      <c r="K3641" s="122">
        <f>IF(E3641&gt;=5000,"🏆 Platinum",IF(E3641&gt;=2000,"🥇 Gold",IF(E3641&gt;=800,"🥈 Silver","🥉 Bronze")))</f>
        <v/>
      </c>
      <c r="L3641" s="125" t="n">
        <v>40584</v>
      </c>
    </row>
    <row r="3642">
      <c r="A3642" s="126" t="n">
        <v>17337</v>
      </c>
      <c r="B3642" s="126" t="inlineStr">
        <is>
          <t>United Kingdom</t>
        </is>
      </c>
      <c r="C3642" s="126" t="n">
        <v>152</v>
      </c>
      <c r="D3642" s="126" t="n">
        <v>4</v>
      </c>
      <c r="E3642" s="127" t="n">
        <v>2027.87</v>
      </c>
      <c r="F3642" s="128">
        <f>IF(C3642&lt;=30,5,IF(C3642&lt;=60,4,IF(C3642&lt;=120,3,IF(C3642&lt;=200,2,1))))</f>
        <v/>
      </c>
      <c r="G3642" s="128">
        <f>IF(D3642&gt;=20,5,IF(D3642&gt;=10,4,IF(D3642&gt;=5,3,IF(D3642&gt;=2,2,1))))</f>
        <v/>
      </c>
      <c r="H3642" s="128">
        <f>IF(E3642&gt;=5000,5,IF(E3642&gt;=2000,4,IF(E3642&gt;=800,3,IF(E3642&gt;=300,2,1))))</f>
        <v/>
      </c>
      <c r="I3642" s="126">
        <f>TEXT(F3642,"0")&amp;TEXT(G3642,"0")&amp;TEXT(H3642,"0")</f>
        <v/>
      </c>
      <c r="J3642" s="126">
        <f>IFERROR(XLOOKUP(I3642,'Segment Map'!A:A,'Segment Map'!B:B,"Need Attention"),"Need Attention")</f>
        <v/>
      </c>
      <c r="K3642" s="126">
        <f>IF(E3642&gt;=5000,"🏆 Platinum",IF(E3642&gt;=2000,"🥇 Gold",IF(E3642&gt;=800,"🥈 Silver","🥉 Bronze")))</f>
        <v/>
      </c>
      <c r="L3642" s="129" t="n">
        <v>40735</v>
      </c>
    </row>
    <row r="3643">
      <c r="A3643" s="122" t="n">
        <v>17338</v>
      </c>
      <c r="B3643" s="122" t="inlineStr">
        <is>
          <t>United Kingdom</t>
        </is>
      </c>
      <c r="C3643" s="122" t="n">
        <v>18</v>
      </c>
      <c r="D3643" s="122" t="n">
        <v>8</v>
      </c>
      <c r="E3643" s="123" t="n">
        <v>6643.93</v>
      </c>
      <c r="F3643" s="124">
        <f>IF(C3643&lt;=30,5,IF(C3643&lt;=60,4,IF(C3643&lt;=120,3,IF(C3643&lt;=200,2,1))))</f>
        <v/>
      </c>
      <c r="G3643" s="124">
        <f>IF(D3643&gt;=20,5,IF(D3643&gt;=10,4,IF(D3643&gt;=5,3,IF(D3643&gt;=2,2,1))))</f>
        <v/>
      </c>
      <c r="H3643" s="124">
        <f>IF(E3643&gt;=5000,5,IF(E3643&gt;=2000,4,IF(E3643&gt;=800,3,IF(E3643&gt;=300,2,1))))</f>
        <v/>
      </c>
      <c r="I3643" s="122">
        <f>TEXT(F3643,"0")&amp;TEXT(G3643,"0")&amp;TEXT(H3643,"0")</f>
        <v/>
      </c>
      <c r="J3643" s="122">
        <f>IFERROR(XLOOKUP(I3643,'Segment Map'!A:A,'Segment Map'!B:B,"Need Attention"),"Need Attention")</f>
        <v/>
      </c>
      <c r="K3643" s="122">
        <f>IF(E3643&gt;=5000,"🏆 Platinum",IF(E3643&gt;=2000,"🥇 Gold",IF(E3643&gt;=800,"🥈 Silver","🥉 Bronze")))</f>
        <v/>
      </c>
      <c r="L3643" s="125" t="n">
        <v>40869</v>
      </c>
    </row>
    <row r="3644">
      <c r="A3644" s="126" t="n">
        <v>17339</v>
      </c>
      <c r="B3644" s="126" t="inlineStr">
        <is>
          <t>United Kingdom</t>
        </is>
      </c>
      <c r="C3644" s="126" t="n">
        <v>95</v>
      </c>
      <c r="D3644" s="126" t="n">
        <v>2</v>
      </c>
      <c r="E3644" s="127" t="n">
        <v>243.36</v>
      </c>
      <c r="F3644" s="128">
        <f>IF(C3644&lt;=30,5,IF(C3644&lt;=60,4,IF(C3644&lt;=120,3,IF(C3644&lt;=200,2,1))))</f>
        <v/>
      </c>
      <c r="G3644" s="128">
        <f>IF(D3644&gt;=20,5,IF(D3644&gt;=10,4,IF(D3644&gt;=5,3,IF(D3644&gt;=2,2,1))))</f>
        <v/>
      </c>
      <c r="H3644" s="128">
        <f>IF(E3644&gt;=5000,5,IF(E3644&gt;=2000,4,IF(E3644&gt;=800,3,IF(E3644&gt;=300,2,1))))</f>
        <v/>
      </c>
      <c r="I3644" s="126">
        <f>TEXT(F3644,"0")&amp;TEXT(G3644,"0")&amp;TEXT(H3644,"0")</f>
        <v/>
      </c>
      <c r="J3644" s="126">
        <f>IFERROR(XLOOKUP(I3644,'Segment Map'!A:A,'Segment Map'!B:B,"Need Attention"),"Need Attention")</f>
        <v/>
      </c>
      <c r="K3644" s="126">
        <f>IF(E3644&gt;=5000,"🏆 Platinum",IF(E3644&gt;=2000,"🥇 Gold",IF(E3644&gt;=800,"🥈 Silver","🥉 Bronze")))</f>
        <v/>
      </c>
      <c r="L3644" s="129" t="n">
        <v>40792</v>
      </c>
    </row>
    <row r="3645">
      <c r="A3645" s="122" t="n">
        <v>17340</v>
      </c>
      <c r="B3645" s="122" t="inlineStr">
        <is>
          <t>United Kingdom</t>
        </is>
      </c>
      <c r="C3645" s="122" t="n">
        <v>30</v>
      </c>
      <c r="D3645" s="122" t="n">
        <v>11</v>
      </c>
      <c r="E3645" s="123" t="n">
        <v>12353.29</v>
      </c>
      <c r="F3645" s="124">
        <f>IF(C3645&lt;=30,5,IF(C3645&lt;=60,4,IF(C3645&lt;=120,3,IF(C3645&lt;=200,2,1))))</f>
        <v/>
      </c>
      <c r="G3645" s="124">
        <f>IF(D3645&gt;=20,5,IF(D3645&gt;=10,4,IF(D3645&gt;=5,3,IF(D3645&gt;=2,2,1))))</f>
        <v/>
      </c>
      <c r="H3645" s="124">
        <f>IF(E3645&gt;=5000,5,IF(E3645&gt;=2000,4,IF(E3645&gt;=800,3,IF(E3645&gt;=300,2,1))))</f>
        <v/>
      </c>
      <c r="I3645" s="122">
        <f>TEXT(F3645,"0")&amp;TEXT(G3645,"0")&amp;TEXT(H3645,"0")</f>
        <v/>
      </c>
      <c r="J3645" s="122">
        <f>IFERROR(XLOOKUP(I3645,'Segment Map'!A:A,'Segment Map'!B:B,"Need Attention"),"Need Attention")</f>
        <v/>
      </c>
      <c r="K3645" s="122">
        <f>IF(E3645&gt;=5000,"🏆 Platinum",IF(E3645&gt;=2000,"🥇 Gold",IF(E3645&gt;=800,"🥈 Silver","🥉 Bronze")))</f>
        <v/>
      </c>
      <c r="L3645" s="125" t="n">
        <v>40857</v>
      </c>
    </row>
    <row r="3646">
      <c r="A3646" s="126" t="n">
        <v>17341</v>
      </c>
      <c r="B3646" s="126" t="inlineStr">
        <is>
          <t>United Kingdom</t>
        </is>
      </c>
      <c r="C3646" s="126" t="n">
        <v>157</v>
      </c>
      <c r="D3646" s="126" t="n">
        <v>3</v>
      </c>
      <c r="E3646" s="127" t="n">
        <v>781.36</v>
      </c>
      <c r="F3646" s="128">
        <f>IF(C3646&lt;=30,5,IF(C3646&lt;=60,4,IF(C3646&lt;=120,3,IF(C3646&lt;=200,2,1))))</f>
        <v/>
      </c>
      <c r="G3646" s="128">
        <f>IF(D3646&gt;=20,5,IF(D3646&gt;=10,4,IF(D3646&gt;=5,3,IF(D3646&gt;=2,2,1))))</f>
        <v/>
      </c>
      <c r="H3646" s="128">
        <f>IF(E3646&gt;=5000,5,IF(E3646&gt;=2000,4,IF(E3646&gt;=800,3,IF(E3646&gt;=300,2,1))))</f>
        <v/>
      </c>
      <c r="I3646" s="126">
        <f>TEXT(F3646,"0")&amp;TEXT(G3646,"0")&amp;TEXT(H3646,"0")</f>
        <v/>
      </c>
      <c r="J3646" s="126">
        <f>IFERROR(XLOOKUP(I3646,'Segment Map'!A:A,'Segment Map'!B:B,"Need Attention"),"Need Attention")</f>
        <v/>
      </c>
      <c r="K3646" s="126">
        <f>IF(E3646&gt;=5000,"🏆 Platinum",IF(E3646&gt;=2000,"🥇 Gold",IF(E3646&gt;=800,"🥈 Silver","🥉 Bronze")))</f>
        <v/>
      </c>
      <c r="L3646" s="129" t="n">
        <v>40730</v>
      </c>
    </row>
    <row r="3647">
      <c r="A3647" s="122" t="n">
        <v>17343</v>
      </c>
      <c r="B3647" s="122" t="inlineStr">
        <is>
          <t>United Kingdom</t>
        </is>
      </c>
      <c r="C3647" s="122" t="n">
        <v>356</v>
      </c>
      <c r="D3647" s="122" t="n">
        <v>1</v>
      </c>
      <c r="E3647" s="123" t="n">
        <v>193.64</v>
      </c>
      <c r="F3647" s="124">
        <f>IF(C3647&lt;=30,5,IF(C3647&lt;=60,4,IF(C3647&lt;=120,3,IF(C3647&lt;=200,2,1))))</f>
        <v/>
      </c>
      <c r="G3647" s="124">
        <f>IF(D3647&gt;=20,5,IF(D3647&gt;=10,4,IF(D3647&gt;=5,3,IF(D3647&gt;=2,2,1))))</f>
        <v/>
      </c>
      <c r="H3647" s="124">
        <f>IF(E3647&gt;=5000,5,IF(E3647&gt;=2000,4,IF(E3647&gt;=800,3,IF(E3647&gt;=300,2,1))))</f>
        <v/>
      </c>
      <c r="I3647" s="122">
        <f>TEXT(F3647,"0")&amp;TEXT(G3647,"0")&amp;TEXT(H3647,"0")</f>
        <v/>
      </c>
      <c r="J3647" s="122">
        <f>IFERROR(XLOOKUP(I3647,'Segment Map'!A:A,'Segment Map'!B:B,"Need Attention"),"Need Attention")</f>
        <v/>
      </c>
      <c r="K3647" s="122">
        <f>IF(E3647&gt;=5000,"🏆 Platinum",IF(E3647&gt;=2000,"🥇 Gold",IF(E3647&gt;=800,"🥈 Silver","🥉 Bronze")))</f>
        <v/>
      </c>
      <c r="L3647" s="125" t="n">
        <v>40531</v>
      </c>
    </row>
    <row r="3648">
      <c r="A3648" s="126" t="n">
        <v>17344</v>
      </c>
      <c r="B3648" s="126" t="inlineStr">
        <is>
          <t>United Kingdom</t>
        </is>
      </c>
      <c r="C3648" s="126" t="n">
        <v>47</v>
      </c>
      <c r="D3648" s="126" t="n">
        <v>1</v>
      </c>
      <c r="E3648" s="127" t="n">
        <v>160.57</v>
      </c>
      <c r="F3648" s="128">
        <f>IF(C3648&lt;=30,5,IF(C3648&lt;=60,4,IF(C3648&lt;=120,3,IF(C3648&lt;=200,2,1))))</f>
        <v/>
      </c>
      <c r="G3648" s="128">
        <f>IF(D3648&gt;=20,5,IF(D3648&gt;=10,4,IF(D3648&gt;=5,3,IF(D3648&gt;=2,2,1))))</f>
        <v/>
      </c>
      <c r="H3648" s="128">
        <f>IF(E3648&gt;=5000,5,IF(E3648&gt;=2000,4,IF(E3648&gt;=800,3,IF(E3648&gt;=300,2,1))))</f>
        <v/>
      </c>
      <c r="I3648" s="126">
        <f>TEXT(F3648,"0")&amp;TEXT(G3648,"0")&amp;TEXT(H3648,"0")</f>
        <v/>
      </c>
      <c r="J3648" s="126">
        <f>IFERROR(XLOOKUP(I3648,'Segment Map'!A:A,'Segment Map'!B:B,"Need Attention"),"Need Attention")</f>
        <v/>
      </c>
      <c r="K3648" s="126">
        <f>IF(E3648&gt;=5000,"🏆 Platinum",IF(E3648&gt;=2000,"🥇 Gold",IF(E3648&gt;=800,"🥈 Silver","🥉 Bronze")))</f>
        <v/>
      </c>
      <c r="L3648" s="129" t="n">
        <v>40840</v>
      </c>
    </row>
    <row r="3649">
      <c r="A3649" s="122" t="n">
        <v>17345</v>
      </c>
      <c r="B3649" s="122" t="inlineStr">
        <is>
          <t>United Kingdom</t>
        </is>
      </c>
      <c r="C3649" s="122" t="n">
        <v>16</v>
      </c>
      <c r="D3649" s="122" t="n">
        <v>4</v>
      </c>
      <c r="E3649" s="123" t="n">
        <v>537.74</v>
      </c>
      <c r="F3649" s="124">
        <f>IF(C3649&lt;=30,5,IF(C3649&lt;=60,4,IF(C3649&lt;=120,3,IF(C3649&lt;=200,2,1))))</f>
        <v/>
      </c>
      <c r="G3649" s="124">
        <f>IF(D3649&gt;=20,5,IF(D3649&gt;=10,4,IF(D3649&gt;=5,3,IF(D3649&gt;=2,2,1))))</f>
        <v/>
      </c>
      <c r="H3649" s="124">
        <f>IF(E3649&gt;=5000,5,IF(E3649&gt;=2000,4,IF(E3649&gt;=800,3,IF(E3649&gt;=300,2,1))))</f>
        <v/>
      </c>
      <c r="I3649" s="122">
        <f>TEXT(F3649,"0")&amp;TEXT(G3649,"0")&amp;TEXT(H3649,"0")</f>
        <v/>
      </c>
      <c r="J3649" s="122">
        <f>IFERROR(XLOOKUP(I3649,'Segment Map'!A:A,'Segment Map'!B:B,"Need Attention"),"Need Attention")</f>
        <v/>
      </c>
      <c r="K3649" s="122">
        <f>IF(E3649&gt;=5000,"🏆 Platinum",IF(E3649&gt;=2000,"🥇 Gold",IF(E3649&gt;=800,"🥈 Silver","🥉 Bronze")))</f>
        <v/>
      </c>
      <c r="L3649" s="125" t="n">
        <v>40871</v>
      </c>
    </row>
    <row r="3650">
      <c r="A3650" s="126" t="n">
        <v>17346</v>
      </c>
      <c r="B3650" s="126" t="inlineStr">
        <is>
          <t>United Kingdom</t>
        </is>
      </c>
      <c r="C3650" s="126" t="n">
        <v>4</v>
      </c>
      <c r="D3650" s="126" t="n">
        <v>15</v>
      </c>
      <c r="E3650" s="127" t="n">
        <v>2676.56</v>
      </c>
      <c r="F3650" s="128">
        <f>IF(C3650&lt;=30,5,IF(C3650&lt;=60,4,IF(C3650&lt;=120,3,IF(C3650&lt;=200,2,1))))</f>
        <v/>
      </c>
      <c r="G3650" s="128">
        <f>IF(D3650&gt;=20,5,IF(D3650&gt;=10,4,IF(D3650&gt;=5,3,IF(D3650&gt;=2,2,1))))</f>
        <v/>
      </c>
      <c r="H3650" s="128">
        <f>IF(E3650&gt;=5000,5,IF(E3650&gt;=2000,4,IF(E3650&gt;=800,3,IF(E3650&gt;=300,2,1))))</f>
        <v/>
      </c>
      <c r="I3650" s="126">
        <f>TEXT(F3650,"0")&amp;TEXT(G3650,"0")&amp;TEXT(H3650,"0")</f>
        <v/>
      </c>
      <c r="J3650" s="126">
        <f>IFERROR(XLOOKUP(I3650,'Segment Map'!A:A,'Segment Map'!B:B,"Need Attention"),"Need Attention")</f>
        <v/>
      </c>
      <c r="K3650" s="126">
        <f>IF(E3650&gt;=5000,"🏆 Platinum",IF(E3650&gt;=2000,"🥇 Gold",IF(E3650&gt;=800,"🥈 Silver","🥉 Bronze")))</f>
        <v/>
      </c>
      <c r="L3650" s="129" t="n">
        <v>40883</v>
      </c>
    </row>
    <row r="3651">
      <c r="A3651" s="122" t="n">
        <v>17347</v>
      </c>
      <c r="B3651" s="122" t="inlineStr">
        <is>
          <t>United Kingdom</t>
        </is>
      </c>
      <c r="C3651" s="122" t="n">
        <v>87</v>
      </c>
      <c r="D3651" s="122" t="n">
        <v>1</v>
      </c>
      <c r="E3651" s="123" t="n">
        <v>228.96</v>
      </c>
      <c r="F3651" s="124">
        <f>IF(C3651&lt;=30,5,IF(C3651&lt;=60,4,IF(C3651&lt;=120,3,IF(C3651&lt;=200,2,1))))</f>
        <v/>
      </c>
      <c r="G3651" s="124">
        <f>IF(D3651&gt;=20,5,IF(D3651&gt;=10,4,IF(D3651&gt;=5,3,IF(D3651&gt;=2,2,1))))</f>
        <v/>
      </c>
      <c r="H3651" s="124">
        <f>IF(E3651&gt;=5000,5,IF(E3651&gt;=2000,4,IF(E3651&gt;=800,3,IF(E3651&gt;=300,2,1))))</f>
        <v/>
      </c>
      <c r="I3651" s="122">
        <f>TEXT(F3651,"0")&amp;TEXT(G3651,"0")&amp;TEXT(H3651,"0")</f>
        <v/>
      </c>
      <c r="J3651" s="122">
        <f>IFERROR(XLOOKUP(I3651,'Segment Map'!A:A,'Segment Map'!B:B,"Need Attention"),"Need Attention")</f>
        <v/>
      </c>
      <c r="K3651" s="122">
        <f>IF(E3651&gt;=5000,"🏆 Platinum",IF(E3651&gt;=2000,"🥇 Gold",IF(E3651&gt;=800,"🥈 Silver","🥉 Bronze")))</f>
        <v/>
      </c>
      <c r="L3651" s="125" t="n">
        <v>40800</v>
      </c>
    </row>
    <row r="3652">
      <c r="A3652" s="126" t="n">
        <v>17348</v>
      </c>
      <c r="B3652" s="126" t="inlineStr">
        <is>
          <t>United Kingdom</t>
        </is>
      </c>
      <c r="C3652" s="126" t="n">
        <v>15</v>
      </c>
      <c r="D3652" s="126" t="n">
        <v>5</v>
      </c>
      <c r="E3652" s="127" t="n">
        <v>1159.52</v>
      </c>
      <c r="F3652" s="128">
        <f>IF(C3652&lt;=30,5,IF(C3652&lt;=60,4,IF(C3652&lt;=120,3,IF(C3652&lt;=200,2,1))))</f>
        <v/>
      </c>
      <c r="G3652" s="128">
        <f>IF(D3652&gt;=20,5,IF(D3652&gt;=10,4,IF(D3652&gt;=5,3,IF(D3652&gt;=2,2,1))))</f>
        <v/>
      </c>
      <c r="H3652" s="128">
        <f>IF(E3652&gt;=5000,5,IF(E3652&gt;=2000,4,IF(E3652&gt;=800,3,IF(E3652&gt;=300,2,1))))</f>
        <v/>
      </c>
      <c r="I3652" s="126">
        <f>TEXT(F3652,"0")&amp;TEXT(G3652,"0")&amp;TEXT(H3652,"0")</f>
        <v/>
      </c>
      <c r="J3652" s="126">
        <f>IFERROR(XLOOKUP(I3652,'Segment Map'!A:A,'Segment Map'!B:B,"Need Attention"),"Need Attention")</f>
        <v/>
      </c>
      <c r="K3652" s="126">
        <f>IF(E3652&gt;=5000,"🏆 Platinum",IF(E3652&gt;=2000,"🥇 Gold",IF(E3652&gt;=800,"🥈 Silver","🥉 Bronze")))</f>
        <v/>
      </c>
      <c r="L3652" s="129" t="n">
        <v>40872</v>
      </c>
    </row>
    <row r="3653">
      <c r="A3653" s="122" t="n">
        <v>17349</v>
      </c>
      <c r="B3653" s="122" t="inlineStr">
        <is>
          <t>United Kingdom</t>
        </is>
      </c>
      <c r="C3653" s="122" t="n">
        <v>180</v>
      </c>
      <c r="D3653" s="122" t="n">
        <v>1</v>
      </c>
      <c r="E3653" s="123" t="n">
        <v>110.75</v>
      </c>
      <c r="F3653" s="124">
        <f>IF(C3653&lt;=30,5,IF(C3653&lt;=60,4,IF(C3653&lt;=120,3,IF(C3653&lt;=200,2,1))))</f>
        <v/>
      </c>
      <c r="G3653" s="124">
        <f>IF(D3653&gt;=20,5,IF(D3653&gt;=10,4,IF(D3653&gt;=5,3,IF(D3653&gt;=2,2,1))))</f>
        <v/>
      </c>
      <c r="H3653" s="124">
        <f>IF(E3653&gt;=5000,5,IF(E3653&gt;=2000,4,IF(E3653&gt;=800,3,IF(E3653&gt;=300,2,1))))</f>
        <v/>
      </c>
      <c r="I3653" s="122">
        <f>TEXT(F3653,"0")&amp;TEXT(G3653,"0")&amp;TEXT(H3653,"0")</f>
        <v/>
      </c>
      <c r="J3653" s="122">
        <f>IFERROR(XLOOKUP(I3653,'Segment Map'!A:A,'Segment Map'!B:B,"Need Attention"),"Need Attention")</f>
        <v/>
      </c>
      <c r="K3653" s="122">
        <f>IF(E3653&gt;=5000,"🏆 Platinum",IF(E3653&gt;=2000,"🥇 Gold",IF(E3653&gt;=800,"🥈 Silver","🥉 Bronze")))</f>
        <v/>
      </c>
      <c r="L3653" s="125" t="n">
        <v>40707</v>
      </c>
    </row>
    <row r="3654">
      <c r="A3654" s="126" t="n">
        <v>17350</v>
      </c>
      <c r="B3654" s="126" t="inlineStr">
        <is>
          <t>United Kingdom</t>
        </is>
      </c>
      <c r="C3654" s="126" t="n">
        <v>9</v>
      </c>
      <c r="D3654" s="126" t="n">
        <v>4</v>
      </c>
      <c r="E3654" s="127" t="n">
        <v>1286.07</v>
      </c>
      <c r="F3654" s="128">
        <f>IF(C3654&lt;=30,5,IF(C3654&lt;=60,4,IF(C3654&lt;=120,3,IF(C3654&lt;=200,2,1))))</f>
        <v/>
      </c>
      <c r="G3654" s="128">
        <f>IF(D3654&gt;=20,5,IF(D3654&gt;=10,4,IF(D3654&gt;=5,3,IF(D3654&gt;=2,2,1))))</f>
        <v/>
      </c>
      <c r="H3654" s="128">
        <f>IF(E3654&gt;=5000,5,IF(E3654&gt;=2000,4,IF(E3654&gt;=800,3,IF(E3654&gt;=300,2,1))))</f>
        <v/>
      </c>
      <c r="I3654" s="126">
        <f>TEXT(F3654,"0")&amp;TEXT(G3654,"0")&amp;TEXT(H3654,"0")</f>
        <v/>
      </c>
      <c r="J3654" s="126">
        <f>IFERROR(XLOOKUP(I3654,'Segment Map'!A:A,'Segment Map'!B:B,"Need Attention"),"Need Attention")</f>
        <v/>
      </c>
      <c r="K3654" s="126">
        <f>IF(E3654&gt;=5000,"🏆 Platinum",IF(E3654&gt;=2000,"🥇 Gold",IF(E3654&gt;=800,"🥈 Silver","🥉 Bronze")))</f>
        <v/>
      </c>
      <c r="L3654" s="129" t="n">
        <v>40878</v>
      </c>
    </row>
    <row r="3655">
      <c r="A3655" s="122" t="n">
        <v>17351</v>
      </c>
      <c r="B3655" s="122" t="inlineStr">
        <is>
          <t>United Kingdom</t>
        </is>
      </c>
      <c r="C3655" s="122" t="n">
        <v>37</v>
      </c>
      <c r="D3655" s="122" t="n">
        <v>3</v>
      </c>
      <c r="E3655" s="123" t="n">
        <v>587.15</v>
      </c>
      <c r="F3655" s="124">
        <f>IF(C3655&lt;=30,5,IF(C3655&lt;=60,4,IF(C3655&lt;=120,3,IF(C3655&lt;=200,2,1))))</f>
        <v/>
      </c>
      <c r="G3655" s="124">
        <f>IF(D3655&gt;=20,5,IF(D3655&gt;=10,4,IF(D3655&gt;=5,3,IF(D3655&gt;=2,2,1))))</f>
        <v/>
      </c>
      <c r="H3655" s="124">
        <f>IF(E3655&gt;=5000,5,IF(E3655&gt;=2000,4,IF(E3655&gt;=800,3,IF(E3655&gt;=300,2,1))))</f>
        <v/>
      </c>
      <c r="I3655" s="122">
        <f>TEXT(F3655,"0")&amp;TEXT(G3655,"0")&amp;TEXT(H3655,"0")</f>
        <v/>
      </c>
      <c r="J3655" s="122">
        <f>IFERROR(XLOOKUP(I3655,'Segment Map'!A:A,'Segment Map'!B:B,"Need Attention"),"Need Attention")</f>
        <v/>
      </c>
      <c r="K3655" s="122">
        <f>IF(E3655&gt;=5000,"🏆 Platinum",IF(E3655&gt;=2000,"🥇 Gold",IF(E3655&gt;=800,"🥈 Silver","🥉 Bronze")))</f>
        <v/>
      </c>
      <c r="L3655" s="125" t="n">
        <v>40850</v>
      </c>
    </row>
    <row r="3656">
      <c r="A3656" s="126" t="n">
        <v>17353</v>
      </c>
      <c r="B3656" s="126" t="inlineStr">
        <is>
          <t>United Kingdom</t>
        </is>
      </c>
      <c r="C3656" s="126" t="n">
        <v>130</v>
      </c>
      <c r="D3656" s="126" t="n">
        <v>2</v>
      </c>
      <c r="E3656" s="127" t="n">
        <v>1740</v>
      </c>
      <c r="F3656" s="128">
        <f>IF(C3656&lt;=30,5,IF(C3656&lt;=60,4,IF(C3656&lt;=120,3,IF(C3656&lt;=200,2,1))))</f>
        <v/>
      </c>
      <c r="G3656" s="128">
        <f>IF(D3656&gt;=20,5,IF(D3656&gt;=10,4,IF(D3656&gt;=5,3,IF(D3656&gt;=2,2,1))))</f>
        <v/>
      </c>
      <c r="H3656" s="128">
        <f>IF(E3656&gt;=5000,5,IF(E3656&gt;=2000,4,IF(E3656&gt;=800,3,IF(E3656&gt;=300,2,1))))</f>
        <v/>
      </c>
      <c r="I3656" s="126">
        <f>TEXT(F3656,"0")&amp;TEXT(G3656,"0")&amp;TEXT(H3656,"0")</f>
        <v/>
      </c>
      <c r="J3656" s="126">
        <f>IFERROR(XLOOKUP(I3656,'Segment Map'!A:A,'Segment Map'!B:B,"Need Attention"),"Need Attention")</f>
        <v/>
      </c>
      <c r="K3656" s="126">
        <f>IF(E3656&gt;=5000,"🏆 Platinum",IF(E3656&gt;=2000,"🥇 Gold",IF(E3656&gt;=800,"🥈 Silver","🥉 Bronze")))</f>
        <v/>
      </c>
      <c r="L3656" s="129" t="n">
        <v>40757</v>
      </c>
    </row>
    <row r="3657">
      <c r="A3657" s="122" t="n">
        <v>17354</v>
      </c>
      <c r="B3657" s="122" t="inlineStr">
        <is>
          <t>United Kingdom</t>
        </is>
      </c>
      <c r="C3657" s="122" t="n">
        <v>51</v>
      </c>
      <c r="D3657" s="122" t="n">
        <v>1</v>
      </c>
      <c r="E3657" s="123" t="n">
        <v>1393.06</v>
      </c>
      <c r="F3657" s="124">
        <f>IF(C3657&lt;=30,5,IF(C3657&lt;=60,4,IF(C3657&lt;=120,3,IF(C3657&lt;=200,2,1))))</f>
        <v/>
      </c>
      <c r="G3657" s="124">
        <f>IF(D3657&gt;=20,5,IF(D3657&gt;=10,4,IF(D3657&gt;=5,3,IF(D3657&gt;=2,2,1))))</f>
        <v/>
      </c>
      <c r="H3657" s="124">
        <f>IF(E3657&gt;=5000,5,IF(E3657&gt;=2000,4,IF(E3657&gt;=800,3,IF(E3657&gt;=300,2,1))))</f>
        <v/>
      </c>
      <c r="I3657" s="122">
        <f>TEXT(F3657,"0")&amp;TEXT(G3657,"0")&amp;TEXT(H3657,"0")</f>
        <v/>
      </c>
      <c r="J3657" s="122">
        <f>IFERROR(XLOOKUP(I3657,'Segment Map'!A:A,'Segment Map'!B:B,"Need Attention"),"Need Attention")</f>
        <v/>
      </c>
      <c r="K3657" s="122">
        <f>IF(E3657&gt;=5000,"🏆 Platinum",IF(E3657&gt;=2000,"🥇 Gold",IF(E3657&gt;=800,"🥈 Silver","🥉 Bronze")))</f>
        <v/>
      </c>
      <c r="L3657" s="125" t="n">
        <v>40836</v>
      </c>
    </row>
    <row r="3658">
      <c r="A3658" s="126" t="n">
        <v>17356</v>
      </c>
      <c r="B3658" s="126" t="inlineStr">
        <is>
          <t>United Kingdom</t>
        </is>
      </c>
      <c r="C3658" s="126" t="n">
        <v>312</v>
      </c>
      <c r="D3658" s="126" t="n">
        <v>1</v>
      </c>
      <c r="E3658" s="127" t="n">
        <v>178.22</v>
      </c>
      <c r="F3658" s="128">
        <f>IF(C3658&lt;=30,5,IF(C3658&lt;=60,4,IF(C3658&lt;=120,3,IF(C3658&lt;=200,2,1))))</f>
        <v/>
      </c>
      <c r="G3658" s="128">
        <f>IF(D3658&gt;=20,5,IF(D3658&gt;=10,4,IF(D3658&gt;=5,3,IF(D3658&gt;=2,2,1))))</f>
        <v/>
      </c>
      <c r="H3658" s="128">
        <f>IF(E3658&gt;=5000,5,IF(E3658&gt;=2000,4,IF(E3658&gt;=800,3,IF(E3658&gt;=300,2,1))))</f>
        <v/>
      </c>
      <c r="I3658" s="126">
        <f>TEXT(F3658,"0")&amp;TEXT(G3658,"0")&amp;TEXT(H3658,"0")</f>
        <v/>
      </c>
      <c r="J3658" s="126">
        <f>IFERROR(XLOOKUP(I3658,'Segment Map'!A:A,'Segment Map'!B:B,"Need Attention"),"Need Attention")</f>
        <v/>
      </c>
      <c r="K3658" s="126">
        <f>IF(E3658&gt;=5000,"🏆 Platinum",IF(E3658&gt;=2000,"🥇 Gold",IF(E3658&gt;=800,"🥈 Silver","🥉 Bronze")))</f>
        <v/>
      </c>
      <c r="L3658" s="129" t="n">
        <v>40575</v>
      </c>
    </row>
    <row r="3659">
      <c r="A3659" s="122" t="n">
        <v>17357</v>
      </c>
      <c r="B3659" s="122" t="inlineStr">
        <is>
          <t>United Kingdom</t>
        </is>
      </c>
      <c r="C3659" s="122" t="n">
        <v>25</v>
      </c>
      <c r="D3659" s="122" t="n">
        <v>2</v>
      </c>
      <c r="E3659" s="123" t="n">
        <v>388.14</v>
      </c>
      <c r="F3659" s="124">
        <f>IF(C3659&lt;=30,5,IF(C3659&lt;=60,4,IF(C3659&lt;=120,3,IF(C3659&lt;=200,2,1))))</f>
        <v/>
      </c>
      <c r="G3659" s="124">
        <f>IF(D3659&gt;=20,5,IF(D3659&gt;=10,4,IF(D3659&gt;=5,3,IF(D3659&gt;=2,2,1))))</f>
        <v/>
      </c>
      <c r="H3659" s="124">
        <f>IF(E3659&gt;=5000,5,IF(E3659&gt;=2000,4,IF(E3659&gt;=800,3,IF(E3659&gt;=300,2,1))))</f>
        <v/>
      </c>
      <c r="I3659" s="122">
        <f>TEXT(F3659,"0")&amp;TEXT(G3659,"0")&amp;TEXT(H3659,"0")</f>
        <v/>
      </c>
      <c r="J3659" s="122">
        <f>IFERROR(XLOOKUP(I3659,'Segment Map'!A:A,'Segment Map'!B:B,"Need Attention"),"Need Attention")</f>
        <v/>
      </c>
      <c r="K3659" s="122">
        <f>IF(E3659&gt;=5000,"🏆 Platinum",IF(E3659&gt;=2000,"🥇 Gold",IF(E3659&gt;=800,"🥈 Silver","🥉 Bronze")))</f>
        <v/>
      </c>
      <c r="L3659" s="125" t="n">
        <v>40862</v>
      </c>
    </row>
    <row r="3660">
      <c r="A3660" s="126" t="n">
        <v>17358</v>
      </c>
      <c r="B3660" s="126" t="inlineStr">
        <is>
          <t>United Kingdom</t>
        </is>
      </c>
      <c r="C3660" s="126" t="n">
        <v>304</v>
      </c>
      <c r="D3660" s="126" t="n">
        <v>2</v>
      </c>
      <c r="E3660" s="127" t="n">
        <v>365.85</v>
      </c>
      <c r="F3660" s="128">
        <f>IF(C3660&lt;=30,5,IF(C3660&lt;=60,4,IF(C3660&lt;=120,3,IF(C3660&lt;=200,2,1))))</f>
        <v/>
      </c>
      <c r="G3660" s="128">
        <f>IF(D3660&gt;=20,5,IF(D3660&gt;=10,4,IF(D3660&gt;=5,3,IF(D3660&gt;=2,2,1))))</f>
        <v/>
      </c>
      <c r="H3660" s="128">
        <f>IF(E3660&gt;=5000,5,IF(E3660&gt;=2000,4,IF(E3660&gt;=800,3,IF(E3660&gt;=300,2,1))))</f>
        <v/>
      </c>
      <c r="I3660" s="126">
        <f>TEXT(F3660,"0")&amp;TEXT(G3660,"0")&amp;TEXT(H3660,"0")</f>
        <v/>
      </c>
      <c r="J3660" s="126">
        <f>IFERROR(XLOOKUP(I3660,'Segment Map'!A:A,'Segment Map'!B:B,"Need Attention"),"Need Attention")</f>
        <v/>
      </c>
      <c r="K3660" s="126">
        <f>IF(E3660&gt;=5000,"🏆 Platinum",IF(E3660&gt;=2000,"🥇 Gold",IF(E3660&gt;=800,"🥈 Silver","🥉 Bronze")))</f>
        <v/>
      </c>
      <c r="L3660" s="129" t="n">
        <v>40583</v>
      </c>
    </row>
    <row r="3661">
      <c r="A3661" s="122" t="n">
        <v>17359</v>
      </c>
      <c r="B3661" s="122" t="inlineStr">
        <is>
          <t>United Kingdom</t>
        </is>
      </c>
      <c r="C3661" s="122" t="n">
        <v>12</v>
      </c>
      <c r="D3661" s="122" t="n">
        <v>1</v>
      </c>
      <c r="E3661" s="123" t="n">
        <v>127.86</v>
      </c>
      <c r="F3661" s="124">
        <f>IF(C3661&lt;=30,5,IF(C3661&lt;=60,4,IF(C3661&lt;=120,3,IF(C3661&lt;=200,2,1))))</f>
        <v/>
      </c>
      <c r="G3661" s="124">
        <f>IF(D3661&gt;=20,5,IF(D3661&gt;=10,4,IF(D3661&gt;=5,3,IF(D3661&gt;=2,2,1))))</f>
        <v/>
      </c>
      <c r="H3661" s="124">
        <f>IF(E3661&gt;=5000,5,IF(E3661&gt;=2000,4,IF(E3661&gt;=800,3,IF(E3661&gt;=300,2,1))))</f>
        <v/>
      </c>
      <c r="I3661" s="122">
        <f>TEXT(F3661,"0")&amp;TEXT(G3661,"0")&amp;TEXT(H3661,"0")</f>
        <v/>
      </c>
      <c r="J3661" s="122">
        <f>IFERROR(XLOOKUP(I3661,'Segment Map'!A:A,'Segment Map'!B:B,"Need Attention"),"Need Attention")</f>
        <v/>
      </c>
      <c r="K3661" s="122">
        <f>IF(E3661&gt;=5000,"🏆 Platinum",IF(E3661&gt;=2000,"🥇 Gold",IF(E3661&gt;=800,"🥈 Silver","🥉 Bronze")))</f>
        <v/>
      </c>
      <c r="L3661" s="125" t="n">
        <v>40875</v>
      </c>
    </row>
    <row r="3662">
      <c r="A3662" s="126" t="n">
        <v>17360</v>
      </c>
      <c r="B3662" s="126" t="inlineStr">
        <is>
          <t>United Kingdom</t>
        </is>
      </c>
      <c r="C3662" s="126" t="n">
        <v>18</v>
      </c>
      <c r="D3662" s="126" t="n">
        <v>3</v>
      </c>
      <c r="E3662" s="127" t="n">
        <v>585.79</v>
      </c>
      <c r="F3662" s="128">
        <f>IF(C3662&lt;=30,5,IF(C3662&lt;=60,4,IF(C3662&lt;=120,3,IF(C3662&lt;=200,2,1))))</f>
        <v/>
      </c>
      <c r="G3662" s="128">
        <f>IF(D3662&gt;=20,5,IF(D3662&gt;=10,4,IF(D3662&gt;=5,3,IF(D3662&gt;=2,2,1))))</f>
        <v/>
      </c>
      <c r="H3662" s="128">
        <f>IF(E3662&gt;=5000,5,IF(E3662&gt;=2000,4,IF(E3662&gt;=800,3,IF(E3662&gt;=300,2,1))))</f>
        <v/>
      </c>
      <c r="I3662" s="126">
        <f>TEXT(F3662,"0")&amp;TEXT(G3662,"0")&amp;TEXT(H3662,"0")</f>
        <v/>
      </c>
      <c r="J3662" s="126">
        <f>IFERROR(XLOOKUP(I3662,'Segment Map'!A:A,'Segment Map'!B:B,"Need Attention"),"Need Attention")</f>
        <v/>
      </c>
      <c r="K3662" s="126">
        <f>IF(E3662&gt;=5000,"🏆 Platinum",IF(E3662&gt;=2000,"🥇 Gold",IF(E3662&gt;=800,"🥈 Silver","🥉 Bronze")))</f>
        <v/>
      </c>
      <c r="L3662" s="129" t="n">
        <v>40869</v>
      </c>
    </row>
    <row r="3663">
      <c r="A3663" s="122" t="n">
        <v>17361</v>
      </c>
      <c r="B3663" s="122" t="inlineStr">
        <is>
          <t>United Kingdom</t>
        </is>
      </c>
      <c r="C3663" s="122" t="n">
        <v>50</v>
      </c>
      <c r="D3663" s="122" t="n">
        <v>3</v>
      </c>
      <c r="E3663" s="123" t="n">
        <v>488.2</v>
      </c>
      <c r="F3663" s="124">
        <f>IF(C3663&lt;=30,5,IF(C3663&lt;=60,4,IF(C3663&lt;=120,3,IF(C3663&lt;=200,2,1))))</f>
        <v/>
      </c>
      <c r="G3663" s="124">
        <f>IF(D3663&gt;=20,5,IF(D3663&gt;=10,4,IF(D3663&gt;=5,3,IF(D3663&gt;=2,2,1))))</f>
        <v/>
      </c>
      <c r="H3663" s="124">
        <f>IF(E3663&gt;=5000,5,IF(E3663&gt;=2000,4,IF(E3663&gt;=800,3,IF(E3663&gt;=300,2,1))))</f>
        <v/>
      </c>
      <c r="I3663" s="122">
        <f>TEXT(F3663,"0")&amp;TEXT(G3663,"0")&amp;TEXT(H3663,"0")</f>
        <v/>
      </c>
      <c r="J3663" s="122">
        <f>IFERROR(XLOOKUP(I3663,'Segment Map'!A:A,'Segment Map'!B:B,"Need Attention"),"Need Attention")</f>
        <v/>
      </c>
      <c r="K3663" s="122">
        <f>IF(E3663&gt;=5000,"🏆 Platinum",IF(E3663&gt;=2000,"🥇 Gold",IF(E3663&gt;=800,"🥈 Silver","🥉 Bronze")))</f>
        <v/>
      </c>
      <c r="L3663" s="125" t="n">
        <v>40837</v>
      </c>
    </row>
    <row r="3664">
      <c r="A3664" s="126" t="n">
        <v>17362</v>
      </c>
      <c r="B3664" s="126" t="inlineStr">
        <is>
          <t>United Kingdom</t>
        </is>
      </c>
      <c r="C3664" s="126" t="n">
        <v>240</v>
      </c>
      <c r="D3664" s="126" t="n">
        <v>2</v>
      </c>
      <c r="E3664" s="127" t="n">
        <v>312.23</v>
      </c>
      <c r="F3664" s="128">
        <f>IF(C3664&lt;=30,5,IF(C3664&lt;=60,4,IF(C3664&lt;=120,3,IF(C3664&lt;=200,2,1))))</f>
        <v/>
      </c>
      <c r="G3664" s="128">
        <f>IF(D3664&gt;=20,5,IF(D3664&gt;=10,4,IF(D3664&gt;=5,3,IF(D3664&gt;=2,2,1))))</f>
        <v/>
      </c>
      <c r="H3664" s="128">
        <f>IF(E3664&gt;=5000,5,IF(E3664&gt;=2000,4,IF(E3664&gt;=800,3,IF(E3664&gt;=300,2,1))))</f>
        <v/>
      </c>
      <c r="I3664" s="126">
        <f>TEXT(F3664,"0")&amp;TEXT(G3664,"0")&amp;TEXT(H3664,"0")</f>
        <v/>
      </c>
      <c r="J3664" s="126">
        <f>IFERROR(XLOOKUP(I3664,'Segment Map'!A:A,'Segment Map'!B:B,"Need Attention"),"Need Attention")</f>
        <v/>
      </c>
      <c r="K3664" s="126">
        <f>IF(E3664&gt;=5000,"🏆 Platinum",IF(E3664&gt;=2000,"🥇 Gold",IF(E3664&gt;=800,"🥈 Silver","🥉 Bronze")))</f>
        <v/>
      </c>
      <c r="L3664" s="129" t="n">
        <v>40647</v>
      </c>
    </row>
    <row r="3665">
      <c r="A3665" s="122" t="n">
        <v>17364</v>
      </c>
      <c r="B3665" s="122" t="inlineStr">
        <is>
          <t>United Kingdom</t>
        </is>
      </c>
      <c r="C3665" s="122" t="n">
        <v>1</v>
      </c>
      <c r="D3665" s="122" t="n">
        <v>11</v>
      </c>
      <c r="E3665" s="123" t="n">
        <v>4481.18</v>
      </c>
      <c r="F3665" s="124">
        <f>IF(C3665&lt;=30,5,IF(C3665&lt;=60,4,IF(C3665&lt;=120,3,IF(C3665&lt;=200,2,1))))</f>
        <v/>
      </c>
      <c r="G3665" s="124">
        <f>IF(D3665&gt;=20,5,IF(D3665&gt;=10,4,IF(D3665&gt;=5,3,IF(D3665&gt;=2,2,1))))</f>
        <v/>
      </c>
      <c r="H3665" s="124">
        <f>IF(E3665&gt;=5000,5,IF(E3665&gt;=2000,4,IF(E3665&gt;=800,3,IF(E3665&gt;=300,2,1))))</f>
        <v/>
      </c>
      <c r="I3665" s="122">
        <f>TEXT(F3665,"0")&amp;TEXT(G3665,"0")&amp;TEXT(H3665,"0")</f>
        <v/>
      </c>
      <c r="J3665" s="122">
        <f>IFERROR(XLOOKUP(I3665,'Segment Map'!A:A,'Segment Map'!B:B,"Need Attention"),"Need Attention")</f>
        <v/>
      </c>
      <c r="K3665" s="122">
        <f>IF(E3665&gt;=5000,"🏆 Platinum",IF(E3665&gt;=2000,"🥇 Gold",IF(E3665&gt;=800,"🥈 Silver","🥉 Bronze")))</f>
        <v/>
      </c>
      <c r="L3665" s="125" t="n">
        <v>40886</v>
      </c>
    </row>
    <row r="3666">
      <c r="A3666" s="126" t="n">
        <v>17365</v>
      </c>
      <c r="B3666" s="126" t="inlineStr">
        <is>
          <t>United Kingdom</t>
        </is>
      </c>
      <c r="C3666" s="126" t="n">
        <v>13</v>
      </c>
      <c r="D3666" s="126" t="n">
        <v>8</v>
      </c>
      <c r="E3666" s="127" t="n">
        <v>4801.56</v>
      </c>
      <c r="F3666" s="128">
        <f>IF(C3666&lt;=30,5,IF(C3666&lt;=60,4,IF(C3666&lt;=120,3,IF(C3666&lt;=200,2,1))))</f>
        <v/>
      </c>
      <c r="G3666" s="128">
        <f>IF(D3666&gt;=20,5,IF(D3666&gt;=10,4,IF(D3666&gt;=5,3,IF(D3666&gt;=2,2,1))))</f>
        <v/>
      </c>
      <c r="H3666" s="128">
        <f>IF(E3666&gt;=5000,5,IF(E3666&gt;=2000,4,IF(E3666&gt;=800,3,IF(E3666&gt;=300,2,1))))</f>
        <v/>
      </c>
      <c r="I3666" s="126">
        <f>TEXT(F3666,"0")&amp;TEXT(G3666,"0")&amp;TEXT(H3666,"0")</f>
        <v/>
      </c>
      <c r="J3666" s="126">
        <f>IFERROR(XLOOKUP(I3666,'Segment Map'!A:A,'Segment Map'!B:B,"Need Attention"),"Need Attention")</f>
        <v/>
      </c>
      <c r="K3666" s="126">
        <f>IF(E3666&gt;=5000,"🏆 Platinum",IF(E3666&gt;=2000,"🥇 Gold",IF(E3666&gt;=800,"🥈 Silver","🥉 Bronze")))</f>
        <v/>
      </c>
      <c r="L3666" s="129" t="n">
        <v>40874</v>
      </c>
    </row>
    <row r="3667">
      <c r="A3667" s="122" t="n">
        <v>17367</v>
      </c>
      <c r="B3667" s="122" t="inlineStr">
        <is>
          <t>United Kingdom</t>
        </is>
      </c>
      <c r="C3667" s="122" t="n">
        <v>239</v>
      </c>
      <c r="D3667" s="122" t="n">
        <v>1</v>
      </c>
      <c r="E3667" s="123" t="n">
        <v>168.4</v>
      </c>
      <c r="F3667" s="124">
        <f>IF(C3667&lt;=30,5,IF(C3667&lt;=60,4,IF(C3667&lt;=120,3,IF(C3667&lt;=200,2,1))))</f>
        <v/>
      </c>
      <c r="G3667" s="124">
        <f>IF(D3667&gt;=20,5,IF(D3667&gt;=10,4,IF(D3667&gt;=5,3,IF(D3667&gt;=2,2,1))))</f>
        <v/>
      </c>
      <c r="H3667" s="124">
        <f>IF(E3667&gt;=5000,5,IF(E3667&gt;=2000,4,IF(E3667&gt;=800,3,IF(E3667&gt;=300,2,1))))</f>
        <v/>
      </c>
      <c r="I3667" s="122">
        <f>TEXT(F3667,"0")&amp;TEXT(G3667,"0")&amp;TEXT(H3667,"0")</f>
        <v/>
      </c>
      <c r="J3667" s="122">
        <f>IFERROR(XLOOKUP(I3667,'Segment Map'!A:A,'Segment Map'!B:B,"Need Attention"),"Need Attention")</f>
        <v/>
      </c>
      <c r="K3667" s="122">
        <f>IF(E3667&gt;=5000,"🏆 Platinum",IF(E3667&gt;=2000,"🥇 Gold",IF(E3667&gt;=800,"🥈 Silver","🥉 Bronze")))</f>
        <v/>
      </c>
      <c r="L3667" s="125" t="n">
        <v>40648</v>
      </c>
    </row>
    <row r="3668">
      <c r="A3668" s="126" t="n">
        <v>17368</v>
      </c>
      <c r="B3668" s="126" t="inlineStr">
        <is>
          <t>United Kingdom</t>
        </is>
      </c>
      <c r="C3668" s="126" t="n">
        <v>24</v>
      </c>
      <c r="D3668" s="126" t="n">
        <v>8</v>
      </c>
      <c r="E3668" s="127" t="n">
        <v>1912.67</v>
      </c>
      <c r="F3668" s="128">
        <f>IF(C3668&lt;=30,5,IF(C3668&lt;=60,4,IF(C3668&lt;=120,3,IF(C3668&lt;=200,2,1))))</f>
        <v/>
      </c>
      <c r="G3668" s="128">
        <f>IF(D3668&gt;=20,5,IF(D3668&gt;=10,4,IF(D3668&gt;=5,3,IF(D3668&gt;=2,2,1))))</f>
        <v/>
      </c>
      <c r="H3668" s="128">
        <f>IF(E3668&gt;=5000,5,IF(E3668&gt;=2000,4,IF(E3668&gt;=800,3,IF(E3668&gt;=300,2,1))))</f>
        <v/>
      </c>
      <c r="I3668" s="126">
        <f>TEXT(F3668,"0")&amp;TEXT(G3668,"0")&amp;TEXT(H3668,"0")</f>
        <v/>
      </c>
      <c r="J3668" s="126">
        <f>IFERROR(XLOOKUP(I3668,'Segment Map'!A:A,'Segment Map'!B:B,"Need Attention"),"Need Attention")</f>
        <v/>
      </c>
      <c r="K3668" s="126">
        <f>IF(E3668&gt;=5000,"🏆 Platinum",IF(E3668&gt;=2000,"🥇 Gold",IF(E3668&gt;=800,"🥈 Silver","🥉 Bronze")))</f>
        <v/>
      </c>
      <c r="L3668" s="129" t="n">
        <v>40863</v>
      </c>
    </row>
    <row r="3669">
      <c r="A3669" s="122" t="n">
        <v>17370</v>
      </c>
      <c r="B3669" s="122" t="inlineStr">
        <is>
          <t>United Kingdom</t>
        </is>
      </c>
      <c r="C3669" s="122" t="n">
        <v>73</v>
      </c>
      <c r="D3669" s="122" t="n">
        <v>4</v>
      </c>
      <c r="E3669" s="123" t="n">
        <v>446.18</v>
      </c>
      <c r="F3669" s="124">
        <f>IF(C3669&lt;=30,5,IF(C3669&lt;=60,4,IF(C3669&lt;=120,3,IF(C3669&lt;=200,2,1))))</f>
        <v/>
      </c>
      <c r="G3669" s="124">
        <f>IF(D3669&gt;=20,5,IF(D3669&gt;=10,4,IF(D3669&gt;=5,3,IF(D3669&gt;=2,2,1))))</f>
        <v/>
      </c>
      <c r="H3669" s="124">
        <f>IF(E3669&gt;=5000,5,IF(E3669&gt;=2000,4,IF(E3669&gt;=800,3,IF(E3669&gt;=300,2,1))))</f>
        <v/>
      </c>
      <c r="I3669" s="122">
        <f>TEXT(F3669,"0")&amp;TEXT(G3669,"0")&amp;TEXT(H3669,"0")</f>
        <v/>
      </c>
      <c r="J3669" s="122">
        <f>IFERROR(XLOOKUP(I3669,'Segment Map'!A:A,'Segment Map'!B:B,"Need Attention"),"Need Attention")</f>
        <v/>
      </c>
      <c r="K3669" s="122">
        <f>IF(E3669&gt;=5000,"🏆 Platinum",IF(E3669&gt;=2000,"🥇 Gold",IF(E3669&gt;=800,"🥈 Silver","🥉 Bronze")))</f>
        <v/>
      </c>
      <c r="L3669" s="125" t="n">
        <v>40814</v>
      </c>
    </row>
    <row r="3670">
      <c r="A3670" s="126" t="n">
        <v>17371</v>
      </c>
      <c r="B3670" s="126" t="inlineStr">
        <is>
          <t>United Kingdom</t>
        </is>
      </c>
      <c r="C3670" s="126" t="n">
        <v>18</v>
      </c>
      <c r="D3670" s="126" t="n">
        <v>3</v>
      </c>
      <c r="E3670" s="127" t="n">
        <v>423.89</v>
      </c>
      <c r="F3670" s="128">
        <f>IF(C3670&lt;=30,5,IF(C3670&lt;=60,4,IF(C3670&lt;=120,3,IF(C3670&lt;=200,2,1))))</f>
        <v/>
      </c>
      <c r="G3670" s="128">
        <f>IF(D3670&gt;=20,5,IF(D3670&gt;=10,4,IF(D3670&gt;=5,3,IF(D3670&gt;=2,2,1))))</f>
        <v/>
      </c>
      <c r="H3670" s="128">
        <f>IF(E3670&gt;=5000,5,IF(E3670&gt;=2000,4,IF(E3670&gt;=800,3,IF(E3670&gt;=300,2,1))))</f>
        <v/>
      </c>
      <c r="I3670" s="126">
        <f>TEXT(F3670,"0")&amp;TEXT(G3670,"0")&amp;TEXT(H3670,"0")</f>
        <v/>
      </c>
      <c r="J3670" s="126">
        <f>IFERROR(XLOOKUP(I3670,'Segment Map'!A:A,'Segment Map'!B:B,"Need Attention"),"Need Attention")</f>
        <v/>
      </c>
      <c r="K3670" s="126">
        <f>IF(E3670&gt;=5000,"🏆 Platinum",IF(E3670&gt;=2000,"🥇 Gold",IF(E3670&gt;=800,"🥈 Silver","🥉 Bronze")))</f>
        <v/>
      </c>
      <c r="L3670" s="129" t="n">
        <v>40869</v>
      </c>
    </row>
    <row r="3671">
      <c r="A3671" s="122" t="n">
        <v>17372</v>
      </c>
      <c r="B3671" s="122" t="inlineStr">
        <is>
          <t>United Kingdom</t>
        </is>
      </c>
      <c r="C3671" s="122" t="n">
        <v>41</v>
      </c>
      <c r="D3671" s="122" t="n">
        <v>8</v>
      </c>
      <c r="E3671" s="123" t="n">
        <v>1342.68</v>
      </c>
      <c r="F3671" s="124">
        <f>IF(C3671&lt;=30,5,IF(C3671&lt;=60,4,IF(C3671&lt;=120,3,IF(C3671&lt;=200,2,1))))</f>
        <v/>
      </c>
      <c r="G3671" s="124">
        <f>IF(D3671&gt;=20,5,IF(D3671&gt;=10,4,IF(D3671&gt;=5,3,IF(D3671&gt;=2,2,1))))</f>
        <v/>
      </c>
      <c r="H3671" s="124">
        <f>IF(E3671&gt;=5000,5,IF(E3671&gt;=2000,4,IF(E3671&gt;=800,3,IF(E3671&gt;=300,2,1))))</f>
        <v/>
      </c>
      <c r="I3671" s="122">
        <f>TEXT(F3671,"0")&amp;TEXT(G3671,"0")&amp;TEXT(H3671,"0")</f>
        <v/>
      </c>
      <c r="J3671" s="122">
        <f>IFERROR(XLOOKUP(I3671,'Segment Map'!A:A,'Segment Map'!B:B,"Need Attention"),"Need Attention")</f>
        <v/>
      </c>
      <c r="K3671" s="122">
        <f>IF(E3671&gt;=5000,"🏆 Platinum",IF(E3671&gt;=2000,"🥇 Gold",IF(E3671&gt;=800,"🥈 Silver","🥉 Bronze")))</f>
        <v/>
      </c>
      <c r="L3671" s="125" t="n">
        <v>40846</v>
      </c>
    </row>
    <row r="3672">
      <c r="A3672" s="126" t="n">
        <v>17373</v>
      </c>
      <c r="B3672" s="126" t="inlineStr">
        <is>
          <t>United Kingdom</t>
        </is>
      </c>
      <c r="C3672" s="126" t="n">
        <v>41</v>
      </c>
      <c r="D3672" s="126" t="n">
        <v>4</v>
      </c>
      <c r="E3672" s="127" t="n">
        <v>646.92</v>
      </c>
      <c r="F3672" s="128">
        <f>IF(C3672&lt;=30,5,IF(C3672&lt;=60,4,IF(C3672&lt;=120,3,IF(C3672&lt;=200,2,1))))</f>
        <v/>
      </c>
      <c r="G3672" s="128">
        <f>IF(D3672&gt;=20,5,IF(D3672&gt;=10,4,IF(D3672&gt;=5,3,IF(D3672&gt;=2,2,1))))</f>
        <v/>
      </c>
      <c r="H3672" s="128">
        <f>IF(E3672&gt;=5000,5,IF(E3672&gt;=2000,4,IF(E3672&gt;=800,3,IF(E3672&gt;=300,2,1))))</f>
        <v/>
      </c>
      <c r="I3672" s="126">
        <f>TEXT(F3672,"0")&amp;TEXT(G3672,"0")&amp;TEXT(H3672,"0")</f>
        <v/>
      </c>
      <c r="J3672" s="126">
        <f>IFERROR(XLOOKUP(I3672,'Segment Map'!A:A,'Segment Map'!B:B,"Need Attention"),"Need Attention")</f>
        <v/>
      </c>
      <c r="K3672" s="126">
        <f>IF(E3672&gt;=5000,"🏆 Platinum",IF(E3672&gt;=2000,"🥇 Gold",IF(E3672&gt;=800,"🥈 Silver","🥉 Bronze")))</f>
        <v/>
      </c>
      <c r="L3672" s="129" t="n">
        <v>40846</v>
      </c>
    </row>
    <row r="3673">
      <c r="A3673" s="122" t="n">
        <v>17374</v>
      </c>
      <c r="B3673" s="122" t="inlineStr">
        <is>
          <t>United Kingdom</t>
        </is>
      </c>
      <c r="C3673" s="122" t="n">
        <v>219</v>
      </c>
      <c r="D3673" s="122" t="n">
        <v>2</v>
      </c>
      <c r="E3673" s="123" t="n">
        <v>495.77</v>
      </c>
      <c r="F3673" s="124">
        <f>IF(C3673&lt;=30,5,IF(C3673&lt;=60,4,IF(C3673&lt;=120,3,IF(C3673&lt;=200,2,1))))</f>
        <v/>
      </c>
      <c r="G3673" s="124">
        <f>IF(D3673&gt;=20,5,IF(D3673&gt;=10,4,IF(D3673&gt;=5,3,IF(D3673&gt;=2,2,1))))</f>
        <v/>
      </c>
      <c r="H3673" s="124">
        <f>IF(E3673&gt;=5000,5,IF(E3673&gt;=2000,4,IF(E3673&gt;=800,3,IF(E3673&gt;=300,2,1))))</f>
        <v/>
      </c>
      <c r="I3673" s="122">
        <f>TEXT(F3673,"0")&amp;TEXT(G3673,"0")&amp;TEXT(H3673,"0")</f>
        <v/>
      </c>
      <c r="J3673" s="122">
        <f>IFERROR(XLOOKUP(I3673,'Segment Map'!A:A,'Segment Map'!B:B,"Need Attention"),"Need Attention")</f>
        <v/>
      </c>
      <c r="K3673" s="122">
        <f>IF(E3673&gt;=5000,"🏆 Platinum",IF(E3673&gt;=2000,"🥇 Gold",IF(E3673&gt;=800,"🥈 Silver","🥉 Bronze")))</f>
        <v/>
      </c>
      <c r="L3673" s="125" t="n">
        <v>40668</v>
      </c>
    </row>
    <row r="3674">
      <c r="A3674" s="126" t="n">
        <v>17375</v>
      </c>
      <c r="B3674" s="126" t="inlineStr">
        <is>
          <t>United Kingdom</t>
        </is>
      </c>
      <c r="C3674" s="126" t="n">
        <v>200</v>
      </c>
      <c r="D3674" s="126" t="n">
        <v>3</v>
      </c>
      <c r="E3674" s="127" t="n">
        <v>400.1</v>
      </c>
      <c r="F3674" s="128">
        <f>IF(C3674&lt;=30,5,IF(C3674&lt;=60,4,IF(C3674&lt;=120,3,IF(C3674&lt;=200,2,1))))</f>
        <v/>
      </c>
      <c r="G3674" s="128">
        <f>IF(D3674&gt;=20,5,IF(D3674&gt;=10,4,IF(D3674&gt;=5,3,IF(D3674&gt;=2,2,1))))</f>
        <v/>
      </c>
      <c r="H3674" s="128">
        <f>IF(E3674&gt;=5000,5,IF(E3674&gt;=2000,4,IF(E3674&gt;=800,3,IF(E3674&gt;=300,2,1))))</f>
        <v/>
      </c>
      <c r="I3674" s="126">
        <f>TEXT(F3674,"0")&amp;TEXT(G3674,"0")&amp;TEXT(H3674,"0")</f>
        <v/>
      </c>
      <c r="J3674" s="126">
        <f>IFERROR(XLOOKUP(I3674,'Segment Map'!A:A,'Segment Map'!B:B,"Need Attention"),"Need Attention")</f>
        <v/>
      </c>
      <c r="K3674" s="126">
        <f>IF(E3674&gt;=5000,"🏆 Platinum",IF(E3674&gt;=2000,"🥇 Gold",IF(E3674&gt;=800,"🥈 Silver","🥉 Bronze")))</f>
        <v/>
      </c>
      <c r="L3674" s="129" t="n">
        <v>40687</v>
      </c>
    </row>
    <row r="3675">
      <c r="A3675" s="122" t="n">
        <v>17376</v>
      </c>
      <c r="B3675" s="122" t="inlineStr">
        <is>
          <t>United Kingdom</t>
        </is>
      </c>
      <c r="C3675" s="122" t="n">
        <v>71</v>
      </c>
      <c r="D3675" s="122" t="n">
        <v>2</v>
      </c>
      <c r="E3675" s="123" t="n">
        <v>203.2</v>
      </c>
      <c r="F3675" s="124">
        <f>IF(C3675&lt;=30,5,IF(C3675&lt;=60,4,IF(C3675&lt;=120,3,IF(C3675&lt;=200,2,1))))</f>
        <v/>
      </c>
      <c r="G3675" s="124">
        <f>IF(D3675&gt;=20,5,IF(D3675&gt;=10,4,IF(D3675&gt;=5,3,IF(D3675&gt;=2,2,1))))</f>
        <v/>
      </c>
      <c r="H3675" s="124">
        <f>IF(E3675&gt;=5000,5,IF(E3675&gt;=2000,4,IF(E3675&gt;=800,3,IF(E3675&gt;=300,2,1))))</f>
        <v/>
      </c>
      <c r="I3675" s="122">
        <f>TEXT(F3675,"0")&amp;TEXT(G3675,"0")&amp;TEXT(H3675,"0")</f>
        <v/>
      </c>
      <c r="J3675" s="122">
        <f>IFERROR(XLOOKUP(I3675,'Segment Map'!A:A,'Segment Map'!B:B,"Need Attention"),"Need Attention")</f>
        <v/>
      </c>
      <c r="K3675" s="122">
        <f>IF(E3675&gt;=5000,"🏆 Platinum",IF(E3675&gt;=2000,"🥇 Gold",IF(E3675&gt;=800,"🥈 Silver","🥉 Bronze")))</f>
        <v/>
      </c>
      <c r="L3675" s="125" t="n">
        <v>40816</v>
      </c>
    </row>
    <row r="3676">
      <c r="A3676" s="126" t="n">
        <v>17377</v>
      </c>
      <c r="B3676" s="126" t="inlineStr">
        <is>
          <t>United Kingdom</t>
        </is>
      </c>
      <c r="C3676" s="126" t="n">
        <v>24</v>
      </c>
      <c r="D3676" s="126" t="n">
        <v>20</v>
      </c>
      <c r="E3676" s="127" t="n">
        <v>4100.92</v>
      </c>
      <c r="F3676" s="128">
        <f>IF(C3676&lt;=30,5,IF(C3676&lt;=60,4,IF(C3676&lt;=120,3,IF(C3676&lt;=200,2,1))))</f>
        <v/>
      </c>
      <c r="G3676" s="128">
        <f>IF(D3676&gt;=20,5,IF(D3676&gt;=10,4,IF(D3676&gt;=5,3,IF(D3676&gt;=2,2,1))))</f>
        <v/>
      </c>
      <c r="H3676" s="128">
        <f>IF(E3676&gt;=5000,5,IF(E3676&gt;=2000,4,IF(E3676&gt;=800,3,IF(E3676&gt;=300,2,1))))</f>
        <v/>
      </c>
      <c r="I3676" s="126">
        <f>TEXT(F3676,"0")&amp;TEXT(G3676,"0")&amp;TEXT(H3676,"0")</f>
        <v/>
      </c>
      <c r="J3676" s="126">
        <f>IFERROR(XLOOKUP(I3676,'Segment Map'!A:A,'Segment Map'!B:B,"Need Attention"),"Need Attention")</f>
        <v/>
      </c>
      <c r="K3676" s="126">
        <f>IF(E3676&gt;=5000,"🏆 Platinum",IF(E3676&gt;=2000,"🥇 Gold",IF(E3676&gt;=800,"🥈 Silver","🥉 Bronze")))</f>
        <v/>
      </c>
      <c r="L3676" s="129" t="n">
        <v>40863</v>
      </c>
    </row>
    <row r="3677">
      <c r="A3677" s="122" t="n">
        <v>17379</v>
      </c>
      <c r="B3677" s="122" t="inlineStr">
        <is>
          <t>United Kingdom</t>
        </is>
      </c>
      <c r="C3677" s="122" t="n">
        <v>12</v>
      </c>
      <c r="D3677" s="122" t="n">
        <v>1</v>
      </c>
      <c r="E3677" s="123" t="n">
        <v>404.66</v>
      </c>
      <c r="F3677" s="124">
        <f>IF(C3677&lt;=30,5,IF(C3677&lt;=60,4,IF(C3677&lt;=120,3,IF(C3677&lt;=200,2,1))))</f>
        <v/>
      </c>
      <c r="G3677" s="124">
        <f>IF(D3677&gt;=20,5,IF(D3677&gt;=10,4,IF(D3677&gt;=5,3,IF(D3677&gt;=2,2,1))))</f>
        <v/>
      </c>
      <c r="H3677" s="124">
        <f>IF(E3677&gt;=5000,5,IF(E3677&gt;=2000,4,IF(E3677&gt;=800,3,IF(E3677&gt;=300,2,1))))</f>
        <v/>
      </c>
      <c r="I3677" s="122">
        <f>TEXT(F3677,"0")&amp;TEXT(G3677,"0")&amp;TEXT(H3677,"0")</f>
        <v/>
      </c>
      <c r="J3677" s="122">
        <f>IFERROR(XLOOKUP(I3677,'Segment Map'!A:A,'Segment Map'!B:B,"Need Attention"),"Need Attention")</f>
        <v/>
      </c>
      <c r="K3677" s="122">
        <f>IF(E3677&gt;=5000,"🏆 Platinum",IF(E3677&gt;=2000,"🥇 Gold",IF(E3677&gt;=800,"🥈 Silver","🥉 Bronze")))</f>
        <v/>
      </c>
      <c r="L3677" s="125" t="n">
        <v>40875</v>
      </c>
    </row>
    <row r="3678">
      <c r="A3678" s="126" t="n">
        <v>17381</v>
      </c>
      <c r="B3678" s="126" t="inlineStr">
        <is>
          <t>United Kingdom</t>
        </is>
      </c>
      <c r="C3678" s="126" t="n">
        <v>9</v>
      </c>
      <c r="D3678" s="126" t="n">
        <v>29</v>
      </c>
      <c r="E3678" s="127" t="n">
        <v>20275.61</v>
      </c>
      <c r="F3678" s="128">
        <f>IF(C3678&lt;=30,5,IF(C3678&lt;=60,4,IF(C3678&lt;=120,3,IF(C3678&lt;=200,2,1))))</f>
        <v/>
      </c>
      <c r="G3678" s="128">
        <f>IF(D3678&gt;=20,5,IF(D3678&gt;=10,4,IF(D3678&gt;=5,3,IF(D3678&gt;=2,2,1))))</f>
        <v/>
      </c>
      <c r="H3678" s="128">
        <f>IF(E3678&gt;=5000,5,IF(E3678&gt;=2000,4,IF(E3678&gt;=800,3,IF(E3678&gt;=300,2,1))))</f>
        <v/>
      </c>
      <c r="I3678" s="126">
        <f>TEXT(F3678,"0")&amp;TEXT(G3678,"0")&amp;TEXT(H3678,"0")</f>
        <v/>
      </c>
      <c r="J3678" s="126">
        <f>IFERROR(XLOOKUP(I3678,'Segment Map'!A:A,'Segment Map'!B:B,"Need Attention"),"Need Attention")</f>
        <v/>
      </c>
      <c r="K3678" s="126">
        <f>IF(E3678&gt;=5000,"🏆 Platinum",IF(E3678&gt;=2000,"🥇 Gold",IF(E3678&gt;=800,"🥈 Silver","🥉 Bronze")))</f>
        <v/>
      </c>
      <c r="L3678" s="129" t="n">
        <v>40878</v>
      </c>
    </row>
    <row r="3679">
      <c r="A3679" s="122" t="n">
        <v>17382</v>
      </c>
      <c r="B3679" s="122" t="inlineStr">
        <is>
          <t>United Kingdom</t>
        </is>
      </c>
      <c r="C3679" s="122" t="n">
        <v>66</v>
      </c>
      <c r="D3679" s="122" t="n">
        <v>1</v>
      </c>
      <c r="E3679" s="123" t="n">
        <v>65.40000000000001</v>
      </c>
      <c r="F3679" s="124">
        <f>IF(C3679&lt;=30,5,IF(C3679&lt;=60,4,IF(C3679&lt;=120,3,IF(C3679&lt;=200,2,1))))</f>
        <v/>
      </c>
      <c r="G3679" s="124">
        <f>IF(D3679&gt;=20,5,IF(D3679&gt;=10,4,IF(D3679&gt;=5,3,IF(D3679&gt;=2,2,1))))</f>
        <v/>
      </c>
      <c r="H3679" s="124">
        <f>IF(E3679&gt;=5000,5,IF(E3679&gt;=2000,4,IF(E3679&gt;=800,3,IF(E3679&gt;=300,2,1))))</f>
        <v/>
      </c>
      <c r="I3679" s="122">
        <f>TEXT(F3679,"0")&amp;TEXT(G3679,"0")&amp;TEXT(H3679,"0")</f>
        <v/>
      </c>
      <c r="J3679" s="122">
        <f>IFERROR(XLOOKUP(I3679,'Segment Map'!A:A,'Segment Map'!B:B,"Need Attention"),"Need Attention")</f>
        <v/>
      </c>
      <c r="K3679" s="122">
        <f>IF(E3679&gt;=5000,"🏆 Platinum",IF(E3679&gt;=2000,"🥇 Gold",IF(E3679&gt;=800,"🥈 Silver","🥉 Bronze")))</f>
        <v/>
      </c>
      <c r="L3679" s="125" t="n">
        <v>40821</v>
      </c>
    </row>
    <row r="3680">
      <c r="A3680" s="126" t="n">
        <v>17383</v>
      </c>
      <c r="B3680" s="126" t="inlineStr">
        <is>
          <t>United Kingdom</t>
        </is>
      </c>
      <c r="C3680" s="126" t="n">
        <v>5</v>
      </c>
      <c r="D3680" s="126" t="n">
        <v>1</v>
      </c>
      <c r="E3680" s="127" t="n">
        <v>199.29</v>
      </c>
      <c r="F3680" s="128">
        <f>IF(C3680&lt;=30,5,IF(C3680&lt;=60,4,IF(C3680&lt;=120,3,IF(C3680&lt;=200,2,1))))</f>
        <v/>
      </c>
      <c r="G3680" s="128">
        <f>IF(D3680&gt;=20,5,IF(D3680&gt;=10,4,IF(D3680&gt;=5,3,IF(D3680&gt;=2,2,1))))</f>
        <v/>
      </c>
      <c r="H3680" s="128">
        <f>IF(E3680&gt;=5000,5,IF(E3680&gt;=2000,4,IF(E3680&gt;=800,3,IF(E3680&gt;=300,2,1))))</f>
        <v/>
      </c>
      <c r="I3680" s="126">
        <f>TEXT(F3680,"0")&amp;TEXT(G3680,"0")&amp;TEXT(H3680,"0")</f>
        <v/>
      </c>
      <c r="J3680" s="126">
        <f>IFERROR(XLOOKUP(I3680,'Segment Map'!A:A,'Segment Map'!B:B,"Need Attention"),"Need Attention")</f>
        <v/>
      </c>
      <c r="K3680" s="126">
        <f>IF(E3680&gt;=5000,"🏆 Platinum",IF(E3680&gt;=2000,"🥇 Gold",IF(E3680&gt;=800,"🥈 Silver","🥉 Bronze")))</f>
        <v/>
      </c>
      <c r="L3680" s="129" t="n">
        <v>40882</v>
      </c>
    </row>
    <row r="3681">
      <c r="A3681" s="122" t="n">
        <v>17384</v>
      </c>
      <c r="B3681" s="122" t="inlineStr">
        <is>
          <t>United Kingdom</t>
        </is>
      </c>
      <c r="C3681" s="122" t="n">
        <v>20</v>
      </c>
      <c r="D3681" s="122" t="n">
        <v>2</v>
      </c>
      <c r="E3681" s="123" t="n">
        <v>336.4</v>
      </c>
      <c r="F3681" s="124">
        <f>IF(C3681&lt;=30,5,IF(C3681&lt;=60,4,IF(C3681&lt;=120,3,IF(C3681&lt;=200,2,1))))</f>
        <v/>
      </c>
      <c r="G3681" s="124">
        <f>IF(D3681&gt;=20,5,IF(D3681&gt;=10,4,IF(D3681&gt;=5,3,IF(D3681&gt;=2,2,1))))</f>
        <v/>
      </c>
      <c r="H3681" s="124">
        <f>IF(E3681&gt;=5000,5,IF(E3681&gt;=2000,4,IF(E3681&gt;=800,3,IF(E3681&gt;=300,2,1))))</f>
        <v/>
      </c>
      <c r="I3681" s="122">
        <f>TEXT(F3681,"0")&amp;TEXT(G3681,"0")&amp;TEXT(H3681,"0")</f>
        <v/>
      </c>
      <c r="J3681" s="122">
        <f>IFERROR(XLOOKUP(I3681,'Segment Map'!A:A,'Segment Map'!B:B,"Need Attention"),"Need Attention")</f>
        <v/>
      </c>
      <c r="K3681" s="122">
        <f>IF(E3681&gt;=5000,"🏆 Platinum",IF(E3681&gt;=2000,"🥇 Gold",IF(E3681&gt;=800,"🥈 Silver","🥉 Bronze")))</f>
        <v/>
      </c>
      <c r="L3681" s="125" t="n">
        <v>40867</v>
      </c>
    </row>
    <row r="3682">
      <c r="A3682" s="126" t="n">
        <v>17385</v>
      </c>
      <c r="B3682" s="126" t="inlineStr">
        <is>
          <t>United Kingdom</t>
        </is>
      </c>
      <c r="C3682" s="126" t="n">
        <v>15</v>
      </c>
      <c r="D3682" s="126" t="n">
        <v>1</v>
      </c>
      <c r="E3682" s="127" t="n">
        <v>261.11</v>
      </c>
      <c r="F3682" s="128">
        <f>IF(C3682&lt;=30,5,IF(C3682&lt;=60,4,IF(C3682&lt;=120,3,IF(C3682&lt;=200,2,1))))</f>
        <v/>
      </c>
      <c r="G3682" s="128">
        <f>IF(D3682&gt;=20,5,IF(D3682&gt;=10,4,IF(D3682&gt;=5,3,IF(D3682&gt;=2,2,1))))</f>
        <v/>
      </c>
      <c r="H3682" s="128">
        <f>IF(E3682&gt;=5000,5,IF(E3682&gt;=2000,4,IF(E3682&gt;=800,3,IF(E3682&gt;=300,2,1))))</f>
        <v/>
      </c>
      <c r="I3682" s="126">
        <f>TEXT(F3682,"0")&amp;TEXT(G3682,"0")&amp;TEXT(H3682,"0")</f>
        <v/>
      </c>
      <c r="J3682" s="126">
        <f>IFERROR(XLOOKUP(I3682,'Segment Map'!A:A,'Segment Map'!B:B,"Need Attention"),"Need Attention")</f>
        <v/>
      </c>
      <c r="K3682" s="126">
        <f>IF(E3682&gt;=5000,"🏆 Platinum",IF(E3682&gt;=2000,"🥇 Gold",IF(E3682&gt;=800,"🥈 Silver","🥉 Bronze")))</f>
        <v/>
      </c>
      <c r="L3682" s="129" t="n">
        <v>40872</v>
      </c>
    </row>
    <row r="3683">
      <c r="A3683" s="122" t="n">
        <v>17386</v>
      </c>
      <c r="B3683" s="122" t="inlineStr">
        <is>
          <t>United Kingdom</t>
        </is>
      </c>
      <c r="C3683" s="122" t="n">
        <v>8</v>
      </c>
      <c r="D3683" s="122" t="n">
        <v>6</v>
      </c>
      <c r="E3683" s="123" t="n">
        <v>2686.42</v>
      </c>
      <c r="F3683" s="124">
        <f>IF(C3683&lt;=30,5,IF(C3683&lt;=60,4,IF(C3683&lt;=120,3,IF(C3683&lt;=200,2,1))))</f>
        <v/>
      </c>
      <c r="G3683" s="124">
        <f>IF(D3683&gt;=20,5,IF(D3683&gt;=10,4,IF(D3683&gt;=5,3,IF(D3683&gt;=2,2,1))))</f>
        <v/>
      </c>
      <c r="H3683" s="124">
        <f>IF(E3683&gt;=5000,5,IF(E3683&gt;=2000,4,IF(E3683&gt;=800,3,IF(E3683&gt;=300,2,1))))</f>
        <v/>
      </c>
      <c r="I3683" s="122">
        <f>TEXT(F3683,"0")&amp;TEXT(G3683,"0")&amp;TEXT(H3683,"0")</f>
        <v/>
      </c>
      <c r="J3683" s="122">
        <f>IFERROR(XLOOKUP(I3683,'Segment Map'!A:A,'Segment Map'!B:B,"Need Attention"),"Need Attention")</f>
        <v/>
      </c>
      <c r="K3683" s="122">
        <f>IF(E3683&gt;=5000,"🏆 Platinum",IF(E3683&gt;=2000,"🥇 Gold",IF(E3683&gt;=800,"🥈 Silver","🥉 Bronze")))</f>
        <v/>
      </c>
      <c r="L3683" s="125" t="n">
        <v>40879</v>
      </c>
    </row>
    <row r="3684">
      <c r="A3684" s="126" t="n">
        <v>17387</v>
      </c>
      <c r="B3684" s="126" t="inlineStr">
        <is>
          <t>United Kingdom</t>
        </is>
      </c>
      <c r="C3684" s="126" t="n">
        <v>20</v>
      </c>
      <c r="D3684" s="126" t="n">
        <v>2</v>
      </c>
      <c r="E3684" s="127" t="n">
        <v>784.11</v>
      </c>
      <c r="F3684" s="128">
        <f>IF(C3684&lt;=30,5,IF(C3684&lt;=60,4,IF(C3684&lt;=120,3,IF(C3684&lt;=200,2,1))))</f>
        <v/>
      </c>
      <c r="G3684" s="128">
        <f>IF(D3684&gt;=20,5,IF(D3684&gt;=10,4,IF(D3684&gt;=5,3,IF(D3684&gt;=2,2,1))))</f>
        <v/>
      </c>
      <c r="H3684" s="128">
        <f>IF(E3684&gt;=5000,5,IF(E3684&gt;=2000,4,IF(E3684&gt;=800,3,IF(E3684&gt;=300,2,1))))</f>
        <v/>
      </c>
      <c r="I3684" s="126">
        <f>TEXT(F3684,"0")&amp;TEXT(G3684,"0")&amp;TEXT(H3684,"0")</f>
        <v/>
      </c>
      <c r="J3684" s="126">
        <f>IFERROR(XLOOKUP(I3684,'Segment Map'!A:A,'Segment Map'!B:B,"Need Attention"),"Need Attention")</f>
        <v/>
      </c>
      <c r="K3684" s="126">
        <f>IF(E3684&gt;=5000,"🏆 Platinum",IF(E3684&gt;=2000,"🥇 Gold",IF(E3684&gt;=800,"🥈 Silver","🥉 Bronze")))</f>
        <v/>
      </c>
      <c r="L3684" s="129" t="n">
        <v>40867</v>
      </c>
    </row>
    <row r="3685">
      <c r="A3685" s="122" t="n">
        <v>17388</v>
      </c>
      <c r="B3685" s="122" t="inlineStr">
        <is>
          <t>United Kingdom</t>
        </is>
      </c>
      <c r="C3685" s="122" t="n">
        <v>78</v>
      </c>
      <c r="D3685" s="122" t="n">
        <v>4</v>
      </c>
      <c r="E3685" s="123" t="n">
        <v>1259.56</v>
      </c>
      <c r="F3685" s="124">
        <f>IF(C3685&lt;=30,5,IF(C3685&lt;=60,4,IF(C3685&lt;=120,3,IF(C3685&lt;=200,2,1))))</f>
        <v/>
      </c>
      <c r="G3685" s="124">
        <f>IF(D3685&gt;=20,5,IF(D3685&gt;=10,4,IF(D3685&gt;=5,3,IF(D3685&gt;=2,2,1))))</f>
        <v/>
      </c>
      <c r="H3685" s="124">
        <f>IF(E3685&gt;=5000,5,IF(E3685&gt;=2000,4,IF(E3685&gt;=800,3,IF(E3685&gt;=300,2,1))))</f>
        <v/>
      </c>
      <c r="I3685" s="122">
        <f>TEXT(F3685,"0")&amp;TEXT(G3685,"0")&amp;TEXT(H3685,"0")</f>
        <v/>
      </c>
      <c r="J3685" s="122">
        <f>IFERROR(XLOOKUP(I3685,'Segment Map'!A:A,'Segment Map'!B:B,"Need Attention"),"Need Attention")</f>
        <v/>
      </c>
      <c r="K3685" s="122">
        <f>IF(E3685&gt;=5000,"🏆 Platinum",IF(E3685&gt;=2000,"🥇 Gold",IF(E3685&gt;=800,"🥈 Silver","🥉 Bronze")))</f>
        <v/>
      </c>
      <c r="L3685" s="125" t="n">
        <v>40809</v>
      </c>
    </row>
    <row r="3686">
      <c r="A3686" s="126" t="n">
        <v>17389</v>
      </c>
      <c r="B3686" s="126" t="inlineStr">
        <is>
          <t>United Kingdom</t>
        </is>
      </c>
      <c r="C3686" s="126" t="n">
        <v>1</v>
      </c>
      <c r="D3686" s="126" t="n">
        <v>34</v>
      </c>
      <c r="E3686" s="127" t="n">
        <v>31833.68</v>
      </c>
      <c r="F3686" s="128">
        <f>IF(C3686&lt;=30,5,IF(C3686&lt;=60,4,IF(C3686&lt;=120,3,IF(C3686&lt;=200,2,1))))</f>
        <v/>
      </c>
      <c r="G3686" s="128">
        <f>IF(D3686&gt;=20,5,IF(D3686&gt;=10,4,IF(D3686&gt;=5,3,IF(D3686&gt;=2,2,1))))</f>
        <v/>
      </c>
      <c r="H3686" s="128">
        <f>IF(E3686&gt;=5000,5,IF(E3686&gt;=2000,4,IF(E3686&gt;=800,3,IF(E3686&gt;=300,2,1))))</f>
        <v/>
      </c>
      <c r="I3686" s="126">
        <f>TEXT(F3686,"0")&amp;TEXT(G3686,"0")&amp;TEXT(H3686,"0")</f>
        <v/>
      </c>
      <c r="J3686" s="126">
        <f>IFERROR(XLOOKUP(I3686,'Segment Map'!A:A,'Segment Map'!B:B,"Need Attention"),"Need Attention")</f>
        <v/>
      </c>
      <c r="K3686" s="126">
        <f>IF(E3686&gt;=5000,"🏆 Platinum",IF(E3686&gt;=2000,"🥇 Gold",IF(E3686&gt;=800,"🥈 Silver","🥉 Bronze")))</f>
        <v/>
      </c>
      <c r="L3686" s="129" t="n">
        <v>40886</v>
      </c>
    </row>
    <row r="3687">
      <c r="A3687" s="122" t="n">
        <v>17391</v>
      </c>
      <c r="B3687" s="122" t="inlineStr">
        <is>
          <t>United Kingdom</t>
        </is>
      </c>
      <c r="C3687" s="122" t="n">
        <v>164</v>
      </c>
      <c r="D3687" s="122" t="n">
        <v>2</v>
      </c>
      <c r="E3687" s="123" t="n">
        <v>508.8</v>
      </c>
      <c r="F3687" s="124">
        <f>IF(C3687&lt;=30,5,IF(C3687&lt;=60,4,IF(C3687&lt;=120,3,IF(C3687&lt;=200,2,1))))</f>
        <v/>
      </c>
      <c r="G3687" s="124">
        <f>IF(D3687&gt;=20,5,IF(D3687&gt;=10,4,IF(D3687&gt;=5,3,IF(D3687&gt;=2,2,1))))</f>
        <v/>
      </c>
      <c r="H3687" s="124">
        <f>IF(E3687&gt;=5000,5,IF(E3687&gt;=2000,4,IF(E3687&gt;=800,3,IF(E3687&gt;=300,2,1))))</f>
        <v/>
      </c>
      <c r="I3687" s="122">
        <f>TEXT(F3687,"0")&amp;TEXT(G3687,"0")&amp;TEXT(H3687,"0")</f>
        <v/>
      </c>
      <c r="J3687" s="122">
        <f>IFERROR(XLOOKUP(I3687,'Segment Map'!A:A,'Segment Map'!B:B,"Need Attention"),"Need Attention")</f>
        <v/>
      </c>
      <c r="K3687" s="122">
        <f>IF(E3687&gt;=5000,"🏆 Platinum",IF(E3687&gt;=2000,"🥇 Gold",IF(E3687&gt;=800,"🥈 Silver","🥉 Bronze")))</f>
        <v/>
      </c>
      <c r="L3687" s="125" t="n">
        <v>40723</v>
      </c>
    </row>
    <row r="3688">
      <c r="A3688" s="126" t="n">
        <v>17392</v>
      </c>
      <c r="B3688" s="126" t="inlineStr">
        <is>
          <t>United Kingdom</t>
        </is>
      </c>
      <c r="C3688" s="126" t="n">
        <v>307</v>
      </c>
      <c r="D3688" s="126" t="n">
        <v>2</v>
      </c>
      <c r="E3688" s="127" t="n">
        <v>457.91</v>
      </c>
      <c r="F3688" s="128">
        <f>IF(C3688&lt;=30,5,IF(C3688&lt;=60,4,IF(C3688&lt;=120,3,IF(C3688&lt;=200,2,1))))</f>
        <v/>
      </c>
      <c r="G3688" s="128">
        <f>IF(D3688&gt;=20,5,IF(D3688&gt;=10,4,IF(D3688&gt;=5,3,IF(D3688&gt;=2,2,1))))</f>
        <v/>
      </c>
      <c r="H3688" s="128">
        <f>IF(E3688&gt;=5000,5,IF(E3688&gt;=2000,4,IF(E3688&gt;=800,3,IF(E3688&gt;=300,2,1))))</f>
        <v/>
      </c>
      <c r="I3688" s="126">
        <f>TEXT(F3688,"0")&amp;TEXT(G3688,"0")&amp;TEXT(H3688,"0")</f>
        <v/>
      </c>
      <c r="J3688" s="126">
        <f>IFERROR(XLOOKUP(I3688,'Segment Map'!A:A,'Segment Map'!B:B,"Need Attention"),"Need Attention")</f>
        <v/>
      </c>
      <c r="K3688" s="126">
        <f>IF(E3688&gt;=5000,"🏆 Platinum",IF(E3688&gt;=2000,"🥇 Gold",IF(E3688&gt;=800,"🥈 Silver","🥉 Bronze")))</f>
        <v/>
      </c>
      <c r="L3688" s="129" t="n">
        <v>40580</v>
      </c>
    </row>
    <row r="3689">
      <c r="A3689" s="122" t="n">
        <v>17394</v>
      </c>
      <c r="B3689" s="122" t="inlineStr">
        <is>
          <t>United Kingdom</t>
        </is>
      </c>
      <c r="C3689" s="122" t="n">
        <v>220</v>
      </c>
      <c r="D3689" s="122" t="n">
        <v>1</v>
      </c>
      <c r="E3689" s="123" t="n">
        <v>203.87</v>
      </c>
      <c r="F3689" s="124">
        <f>IF(C3689&lt;=30,5,IF(C3689&lt;=60,4,IF(C3689&lt;=120,3,IF(C3689&lt;=200,2,1))))</f>
        <v/>
      </c>
      <c r="G3689" s="124">
        <f>IF(D3689&gt;=20,5,IF(D3689&gt;=10,4,IF(D3689&gt;=5,3,IF(D3689&gt;=2,2,1))))</f>
        <v/>
      </c>
      <c r="H3689" s="124">
        <f>IF(E3689&gt;=5000,5,IF(E3689&gt;=2000,4,IF(E3689&gt;=800,3,IF(E3689&gt;=300,2,1))))</f>
        <v/>
      </c>
      <c r="I3689" s="122">
        <f>TEXT(F3689,"0")&amp;TEXT(G3689,"0")&amp;TEXT(H3689,"0")</f>
        <v/>
      </c>
      <c r="J3689" s="122">
        <f>IFERROR(XLOOKUP(I3689,'Segment Map'!A:A,'Segment Map'!B:B,"Need Attention"),"Need Attention")</f>
        <v/>
      </c>
      <c r="K3689" s="122">
        <f>IF(E3689&gt;=5000,"🏆 Platinum",IF(E3689&gt;=2000,"🥇 Gold",IF(E3689&gt;=800,"🥈 Silver","🥉 Bronze")))</f>
        <v/>
      </c>
      <c r="L3689" s="125" t="n">
        <v>40667</v>
      </c>
    </row>
    <row r="3690">
      <c r="A3690" s="126" t="n">
        <v>17396</v>
      </c>
      <c r="B3690" s="126" t="inlineStr">
        <is>
          <t>United Kingdom</t>
        </is>
      </c>
      <c r="C3690" s="126" t="n">
        <v>40</v>
      </c>
      <c r="D3690" s="126" t="n">
        <v>8</v>
      </c>
      <c r="E3690" s="127" t="n">
        <v>7330.8</v>
      </c>
      <c r="F3690" s="128">
        <f>IF(C3690&lt;=30,5,IF(C3690&lt;=60,4,IF(C3690&lt;=120,3,IF(C3690&lt;=200,2,1))))</f>
        <v/>
      </c>
      <c r="G3690" s="128">
        <f>IF(D3690&gt;=20,5,IF(D3690&gt;=10,4,IF(D3690&gt;=5,3,IF(D3690&gt;=2,2,1))))</f>
        <v/>
      </c>
      <c r="H3690" s="128">
        <f>IF(E3690&gt;=5000,5,IF(E3690&gt;=2000,4,IF(E3690&gt;=800,3,IF(E3690&gt;=300,2,1))))</f>
        <v/>
      </c>
      <c r="I3690" s="126">
        <f>TEXT(F3690,"0")&amp;TEXT(G3690,"0")&amp;TEXT(H3690,"0")</f>
        <v/>
      </c>
      <c r="J3690" s="126">
        <f>IFERROR(XLOOKUP(I3690,'Segment Map'!A:A,'Segment Map'!B:B,"Need Attention"),"Need Attention")</f>
        <v/>
      </c>
      <c r="K3690" s="126">
        <f>IF(E3690&gt;=5000,"🏆 Platinum",IF(E3690&gt;=2000,"🥇 Gold",IF(E3690&gt;=800,"🥈 Silver","🥉 Bronze")))</f>
        <v/>
      </c>
      <c r="L3690" s="129" t="n">
        <v>40847</v>
      </c>
    </row>
    <row r="3691">
      <c r="A3691" s="122" t="n">
        <v>17397</v>
      </c>
      <c r="B3691" s="122" t="inlineStr">
        <is>
          <t>United Kingdom</t>
        </is>
      </c>
      <c r="C3691" s="122" t="n">
        <v>23</v>
      </c>
      <c r="D3691" s="122" t="n">
        <v>2</v>
      </c>
      <c r="E3691" s="123" t="n">
        <v>696.41</v>
      </c>
      <c r="F3691" s="124">
        <f>IF(C3691&lt;=30,5,IF(C3691&lt;=60,4,IF(C3691&lt;=120,3,IF(C3691&lt;=200,2,1))))</f>
        <v/>
      </c>
      <c r="G3691" s="124">
        <f>IF(D3691&gt;=20,5,IF(D3691&gt;=10,4,IF(D3691&gt;=5,3,IF(D3691&gt;=2,2,1))))</f>
        <v/>
      </c>
      <c r="H3691" s="124">
        <f>IF(E3691&gt;=5000,5,IF(E3691&gt;=2000,4,IF(E3691&gt;=800,3,IF(E3691&gt;=300,2,1))))</f>
        <v/>
      </c>
      <c r="I3691" s="122">
        <f>TEXT(F3691,"0")&amp;TEXT(G3691,"0")&amp;TEXT(H3691,"0")</f>
        <v/>
      </c>
      <c r="J3691" s="122">
        <f>IFERROR(XLOOKUP(I3691,'Segment Map'!A:A,'Segment Map'!B:B,"Need Attention"),"Need Attention")</f>
        <v/>
      </c>
      <c r="K3691" s="122">
        <f>IF(E3691&gt;=5000,"🏆 Platinum",IF(E3691&gt;=2000,"🥇 Gold",IF(E3691&gt;=800,"🥈 Silver","🥉 Bronze")))</f>
        <v/>
      </c>
      <c r="L3691" s="125" t="n">
        <v>40864</v>
      </c>
    </row>
    <row r="3692">
      <c r="A3692" s="126" t="n">
        <v>17398</v>
      </c>
      <c r="B3692" s="126" t="inlineStr">
        <is>
          <t>United Kingdom</t>
        </is>
      </c>
      <c r="C3692" s="126" t="n">
        <v>115</v>
      </c>
      <c r="D3692" s="126" t="n">
        <v>3</v>
      </c>
      <c r="E3692" s="127" t="n">
        <v>653.38</v>
      </c>
      <c r="F3692" s="128">
        <f>IF(C3692&lt;=30,5,IF(C3692&lt;=60,4,IF(C3692&lt;=120,3,IF(C3692&lt;=200,2,1))))</f>
        <v/>
      </c>
      <c r="G3692" s="128">
        <f>IF(D3692&gt;=20,5,IF(D3692&gt;=10,4,IF(D3692&gt;=5,3,IF(D3692&gt;=2,2,1))))</f>
        <v/>
      </c>
      <c r="H3692" s="128">
        <f>IF(E3692&gt;=5000,5,IF(E3692&gt;=2000,4,IF(E3692&gt;=800,3,IF(E3692&gt;=300,2,1))))</f>
        <v/>
      </c>
      <c r="I3692" s="126">
        <f>TEXT(F3692,"0")&amp;TEXT(G3692,"0")&amp;TEXT(H3692,"0")</f>
        <v/>
      </c>
      <c r="J3692" s="126">
        <f>IFERROR(XLOOKUP(I3692,'Segment Map'!A:A,'Segment Map'!B:B,"Need Attention"),"Need Attention")</f>
        <v/>
      </c>
      <c r="K3692" s="126">
        <f>IF(E3692&gt;=5000,"🏆 Platinum",IF(E3692&gt;=2000,"🥇 Gold",IF(E3692&gt;=800,"🥈 Silver","🥉 Bronze")))</f>
        <v/>
      </c>
      <c r="L3692" s="129" t="n">
        <v>40772</v>
      </c>
    </row>
    <row r="3693">
      <c r="A3693" s="122" t="n">
        <v>17400</v>
      </c>
      <c r="B3693" s="122" t="inlineStr">
        <is>
          <t>United Kingdom</t>
        </is>
      </c>
      <c r="C3693" s="122" t="n">
        <v>127</v>
      </c>
      <c r="D3693" s="122" t="n">
        <v>5</v>
      </c>
      <c r="E3693" s="123" t="n">
        <v>2129.96</v>
      </c>
      <c r="F3693" s="124">
        <f>IF(C3693&lt;=30,5,IF(C3693&lt;=60,4,IF(C3693&lt;=120,3,IF(C3693&lt;=200,2,1))))</f>
        <v/>
      </c>
      <c r="G3693" s="124">
        <f>IF(D3693&gt;=20,5,IF(D3693&gt;=10,4,IF(D3693&gt;=5,3,IF(D3693&gt;=2,2,1))))</f>
        <v/>
      </c>
      <c r="H3693" s="124">
        <f>IF(E3693&gt;=5000,5,IF(E3693&gt;=2000,4,IF(E3693&gt;=800,3,IF(E3693&gt;=300,2,1))))</f>
        <v/>
      </c>
      <c r="I3693" s="122">
        <f>TEXT(F3693,"0")&amp;TEXT(G3693,"0")&amp;TEXT(H3693,"0")</f>
        <v/>
      </c>
      <c r="J3693" s="122">
        <f>IFERROR(XLOOKUP(I3693,'Segment Map'!A:A,'Segment Map'!B:B,"Need Attention"),"Need Attention")</f>
        <v/>
      </c>
      <c r="K3693" s="122">
        <f>IF(E3693&gt;=5000,"🏆 Platinum",IF(E3693&gt;=2000,"🥇 Gold",IF(E3693&gt;=800,"🥈 Silver","🥉 Bronze")))</f>
        <v/>
      </c>
      <c r="L3693" s="125" t="n">
        <v>40760</v>
      </c>
    </row>
    <row r="3694">
      <c r="A3694" s="126" t="n">
        <v>17402</v>
      </c>
      <c r="B3694" s="126" t="inlineStr">
        <is>
          <t>United Kingdom</t>
        </is>
      </c>
      <c r="C3694" s="126" t="n">
        <v>5</v>
      </c>
      <c r="D3694" s="126" t="n">
        <v>13</v>
      </c>
      <c r="E3694" s="127" t="n">
        <v>2633.85</v>
      </c>
      <c r="F3694" s="128">
        <f>IF(C3694&lt;=30,5,IF(C3694&lt;=60,4,IF(C3694&lt;=120,3,IF(C3694&lt;=200,2,1))))</f>
        <v/>
      </c>
      <c r="G3694" s="128">
        <f>IF(D3694&gt;=20,5,IF(D3694&gt;=10,4,IF(D3694&gt;=5,3,IF(D3694&gt;=2,2,1))))</f>
        <v/>
      </c>
      <c r="H3694" s="128">
        <f>IF(E3694&gt;=5000,5,IF(E3694&gt;=2000,4,IF(E3694&gt;=800,3,IF(E3694&gt;=300,2,1))))</f>
        <v/>
      </c>
      <c r="I3694" s="126">
        <f>TEXT(F3694,"0")&amp;TEXT(G3694,"0")&amp;TEXT(H3694,"0")</f>
        <v/>
      </c>
      <c r="J3694" s="126">
        <f>IFERROR(XLOOKUP(I3694,'Segment Map'!A:A,'Segment Map'!B:B,"Need Attention"),"Need Attention")</f>
        <v/>
      </c>
      <c r="K3694" s="126">
        <f>IF(E3694&gt;=5000,"🏆 Platinum",IF(E3694&gt;=2000,"🥇 Gold",IF(E3694&gt;=800,"🥈 Silver","🥉 Bronze")))</f>
        <v/>
      </c>
      <c r="L3694" s="129" t="n">
        <v>40882</v>
      </c>
    </row>
    <row r="3695">
      <c r="A3695" s="122" t="n">
        <v>17403</v>
      </c>
      <c r="B3695" s="122" t="inlineStr">
        <is>
          <t>United Kingdom</t>
        </is>
      </c>
      <c r="C3695" s="122" t="n">
        <v>37</v>
      </c>
      <c r="D3695" s="122" t="n">
        <v>1</v>
      </c>
      <c r="E3695" s="123" t="n">
        <v>281.62</v>
      </c>
      <c r="F3695" s="124">
        <f>IF(C3695&lt;=30,5,IF(C3695&lt;=60,4,IF(C3695&lt;=120,3,IF(C3695&lt;=200,2,1))))</f>
        <v/>
      </c>
      <c r="G3695" s="124">
        <f>IF(D3695&gt;=20,5,IF(D3695&gt;=10,4,IF(D3695&gt;=5,3,IF(D3695&gt;=2,2,1))))</f>
        <v/>
      </c>
      <c r="H3695" s="124">
        <f>IF(E3695&gt;=5000,5,IF(E3695&gt;=2000,4,IF(E3695&gt;=800,3,IF(E3695&gt;=300,2,1))))</f>
        <v/>
      </c>
      <c r="I3695" s="122">
        <f>TEXT(F3695,"0")&amp;TEXT(G3695,"0")&amp;TEXT(H3695,"0")</f>
        <v/>
      </c>
      <c r="J3695" s="122">
        <f>IFERROR(XLOOKUP(I3695,'Segment Map'!A:A,'Segment Map'!B:B,"Need Attention"),"Need Attention")</f>
        <v/>
      </c>
      <c r="K3695" s="122">
        <f>IF(E3695&gt;=5000,"🏆 Platinum",IF(E3695&gt;=2000,"🥇 Gold",IF(E3695&gt;=800,"🥈 Silver","🥉 Bronze")))</f>
        <v/>
      </c>
      <c r="L3695" s="125" t="n">
        <v>40850</v>
      </c>
    </row>
    <row r="3696">
      <c r="A3696" s="126" t="n">
        <v>17404</v>
      </c>
      <c r="B3696" s="126" t="inlineStr">
        <is>
          <t>Sweden</t>
        </is>
      </c>
      <c r="C3696" s="126" t="n">
        <v>5</v>
      </c>
      <c r="D3696" s="126" t="n">
        <v>15</v>
      </c>
      <c r="E3696" s="127" t="n">
        <v>31906.82</v>
      </c>
      <c r="F3696" s="128">
        <f>IF(C3696&lt;=30,5,IF(C3696&lt;=60,4,IF(C3696&lt;=120,3,IF(C3696&lt;=200,2,1))))</f>
        <v/>
      </c>
      <c r="G3696" s="128">
        <f>IF(D3696&gt;=20,5,IF(D3696&gt;=10,4,IF(D3696&gt;=5,3,IF(D3696&gt;=2,2,1))))</f>
        <v/>
      </c>
      <c r="H3696" s="128">
        <f>IF(E3696&gt;=5000,5,IF(E3696&gt;=2000,4,IF(E3696&gt;=800,3,IF(E3696&gt;=300,2,1))))</f>
        <v/>
      </c>
      <c r="I3696" s="126">
        <f>TEXT(F3696,"0")&amp;TEXT(G3696,"0")&amp;TEXT(H3696,"0")</f>
        <v/>
      </c>
      <c r="J3696" s="126">
        <f>IFERROR(XLOOKUP(I3696,'Segment Map'!A:A,'Segment Map'!B:B,"Need Attention"),"Need Attention")</f>
        <v/>
      </c>
      <c r="K3696" s="126">
        <f>IF(E3696&gt;=5000,"🏆 Platinum",IF(E3696&gt;=2000,"🥇 Gold",IF(E3696&gt;=800,"🥈 Silver","🥉 Bronze")))</f>
        <v/>
      </c>
      <c r="L3696" s="129" t="n">
        <v>40882</v>
      </c>
    </row>
    <row r="3697">
      <c r="A3697" s="122" t="n">
        <v>17405</v>
      </c>
      <c r="B3697" s="122" t="inlineStr">
        <is>
          <t>United Kingdom</t>
        </is>
      </c>
      <c r="C3697" s="122" t="n">
        <v>2</v>
      </c>
      <c r="D3697" s="122" t="n">
        <v>3</v>
      </c>
      <c r="E3697" s="123" t="n">
        <v>1031.41</v>
      </c>
      <c r="F3697" s="124">
        <f>IF(C3697&lt;=30,5,IF(C3697&lt;=60,4,IF(C3697&lt;=120,3,IF(C3697&lt;=200,2,1))))</f>
        <v/>
      </c>
      <c r="G3697" s="124">
        <f>IF(D3697&gt;=20,5,IF(D3697&gt;=10,4,IF(D3697&gt;=5,3,IF(D3697&gt;=2,2,1))))</f>
        <v/>
      </c>
      <c r="H3697" s="124">
        <f>IF(E3697&gt;=5000,5,IF(E3697&gt;=2000,4,IF(E3697&gt;=800,3,IF(E3697&gt;=300,2,1))))</f>
        <v/>
      </c>
      <c r="I3697" s="122">
        <f>TEXT(F3697,"0")&amp;TEXT(G3697,"0")&amp;TEXT(H3697,"0")</f>
        <v/>
      </c>
      <c r="J3697" s="122">
        <f>IFERROR(XLOOKUP(I3697,'Segment Map'!A:A,'Segment Map'!B:B,"Need Attention"),"Need Attention")</f>
        <v/>
      </c>
      <c r="K3697" s="122">
        <f>IF(E3697&gt;=5000,"🏆 Platinum",IF(E3697&gt;=2000,"🥇 Gold",IF(E3697&gt;=800,"🥈 Silver","🥉 Bronze")))</f>
        <v/>
      </c>
      <c r="L3697" s="125" t="n">
        <v>40885</v>
      </c>
    </row>
    <row r="3698">
      <c r="A3698" s="126" t="n">
        <v>17406</v>
      </c>
      <c r="B3698" s="126" t="inlineStr">
        <is>
          <t>United Kingdom</t>
        </is>
      </c>
      <c r="C3698" s="126" t="n">
        <v>334</v>
      </c>
      <c r="D3698" s="126" t="n">
        <v>3</v>
      </c>
      <c r="E3698" s="127" t="n">
        <v>2200.42</v>
      </c>
      <c r="F3698" s="128">
        <f>IF(C3698&lt;=30,5,IF(C3698&lt;=60,4,IF(C3698&lt;=120,3,IF(C3698&lt;=200,2,1))))</f>
        <v/>
      </c>
      <c r="G3698" s="128">
        <f>IF(D3698&gt;=20,5,IF(D3698&gt;=10,4,IF(D3698&gt;=5,3,IF(D3698&gt;=2,2,1))))</f>
        <v/>
      </c>
      <c r="H3698" s="128">
        <f>IF(E3698&gt;=5000,5,IF(E3698&gt;=2000,4,IF(E3698&gt;=800,3,IF(E3698&gt;=300,2,1))))</f>
        <v/>
      </c>
      <c r="I3698" s="126">
        <f>TEXT(F3698,"0")&amp;TEXT(G3698,"0")&amp;TEXT(H3698,"0")</f>
        <v/>
      </c>
      <c r="J3698" s="126">
        <f>IFERROR(XLOOKUP(I3698,'Segment Map'!A:A,'Segment Map'!B:B,"Need Attention"),"Need Attention")</f>
        <v/>
      </c>
      <c r="K3698" s="126">
        <f>IF(E3698&gt;=5000,"🏆 Platinum",IF(E3698&gt;=2000,"🥇 Gold",IF(E3698&gt;=800,"🥈 Silver","🥉 Bronze")))</f>
        <v/>
      </c>
      <c r="L3698" s="129" t="n">
        <v>40553</v>
      </c>
    </row>
    <row r="3699">
      <c r="A3699" s="122" t="n">
        <v>17408</v>
      </c>
      <c r="B3699" s="122" t="inlineStr">
        <is>
          <t>United Kingdom</t>
        </is>
      </c>
      <c r="C3699" s="122" t="n">
        <v>164</v>
      </c>
      <c r="D3699" s="122" t="n">
        <v>1</v>
      </c>
      <c r="E3699" s="123" t="n">
        <v>32.65</v>
      </c>
      <c r="F3699" s="124">
        <f>IF(C3699&lt;=30,5,IF(C3699&lt;=60,4,IF(C3699&lt;=120,3,IF(C3699&lt;=200,2,1))))</f>
        <v/>
      </c>
      <c r="G3699" s="124">
        <f>IF(D3699&gt;=20,5,IF(D3699&gt;=10,4,IF(D3699&gt;=5,3,IF(D3699&gt;=2,2,1))))</f>
        <v/>
      </c>
      <c r="H3699" s="124">
        <f>IF(E3699&gt;=5000,5,IF(E3699&gt;=2000,4,IF(E3699&gt;=800,3,IF(E3699&gt;=300,2,1))))</f>
        <v/>
      </c>
      <c r="I3699" s="122">
        <f>TEXT(F3699,"0")&amp;TEXT(G3699,"0")&amp;TEXT(H3699,"0")</f>
        <v/>
      </c>
      <c r="J3699" s="122">
        <f>IFERROR(XLOOKUP(I3699,'Segment Map'!A:A,'Segment Map'!B:B,"Need Attention"),"Need Attention")</f>
        <v/>
      </c>
      <c r="K3699" s="122">
        <f>IF(E3699&gt;=5000,"🏆 Platinum",IF(E3699&gt;=2000,"🥇 Gold",IF(E3699&gt;=800,"🥈 Silver","🥉 Bronze")))</f>
        <v/>
      </c>
      <c r="L3699" s="125" t="n">
        <v>40723</v>
      </c>
    </row>
    <row r="3700">
      <c r="A3700" s="126" t="n">
        <v>17409</v>
      </c>
      <c r="B3700" s="126" t="inlineStr">
        <is>
          <t>United Kingdom</t>
        </is>
      </c>
      <c r="C3700" s="126" t="n">
        <v>185</v>
      </c>
      <c r="D3700" s="126" t="n">
        <v>2</v>
      </c>
      <c r="E3700" s="127" t="n">
        <v>771.85</v>
      </c>
      <c r="F3700" s="128">
        <f>IF(C3700&lt;=30,5,IF(C3700&lt;=60,4,IF(C3700&lt;=120,3,IF(C3700&lt;=200,2,1))))</f>
        <v/>
      </c>
      <c r="G3700" s="128">
        <f>IF(D3700&gt;=20,5,IF(D3700&gt;=10,4,IF(D3700&gt;=5,3,IF(D3700&gt;=2,2,1))))</f>
        <v/>
      </c>
      <c r="H3700" s="128">
        <f>IF(E3700&gt;=5000,5,IF(E3700&gt;=2000,4,IF(E3700&gt;=800,3,IF(E3700&gt;=300,2,1))))</f>
        <v/>
      </c>
      <c r="I3700" s="126">
        <f>TEXT(F3700,"0")&amp;TEXT(G3700,"0")&amp;TEXT(H3700,"0")</f>
        <v/>
      </c>
      <c r="J3700" s="126">
        <f>IFERROR(XLOOKUP(I3700,'Segment Map'!A:A,'Segment Map'!B:B,"Need Attention"),"Need Attention")</f>
        <v/>
      </c>
      <c r="K3700" s="126">
        <f>IF(E3700&gt;=5000,"🏆 Platinum",IF(E3700&gt;=2000,"🥇 Gold",IF(E3700&gt;=800,"🥈 Silver","🥉 Bronze")))</f>
        <v/>
      </c>
      <c r="L3700" s="129" t="n">
        <v>40702</v>
      </c>
    </row>
    <row r="3701">
      <c r="A3701" s="122" t="n">
        <v>17410</v>
      </c>
      <c r="B3701" s="122" t="inlineStr">
        <is>
          <t>United Kingdom</t>
        </is>
      </c>
      <c r="C3701" s="122" t="n">
        <v>17</v>
      </c>
      <c r="D3701" s="122" t="n">
        <v>5</v>
      </c>
      <c r="E3701" s="123" t="n">
        <v>1214.72</v>
      </c>
      <c r="F3701" s="124">
        <f>IF(C3701&lt;=30,5,IF(C3701&lt;=60,4,IF(C3701&lt;=120,3,IF(C3701&lt;=200,2,1))))</f>
        <v/>
      </c>
      <c r="G3701" s="124">
        <f>IF(D3701&gt;=20,5,IF(D3701&gt;=10,4,IF(D3701&gt;=5,3,IF(D3701&gt;=2,2,1))))</f>
        <v/>
      </c>
      <c r="H3701" s="124">
        <f>IF(E3701&gt;=5000,5,IF(E3701&gt;=2000,4,IF(E3701&gt;=800,3,IF(E3701&gt;=300,2,1))))</f>
        <v/>
      </c>
      <c r="I3701" s="122">
        <f>TEXT(F3701,"0")&amp;TEXT(G3701,"0")&amp;TEXT(H3701,"0")</f>
        <v/>
      </c>
      <c r="J3701" s="122">
        <f>IFERROR(XLOOKUP(I3701,'Segment Map'!A:A,'Segment Map'!B:B,"Need Attention"),"Need Attention")</f>
        <v/>
      </c>
      <c r="K3701" s="122">
        <f>IF(E3701&gt;=5000,"🏆 Platinum",IF(E3701&gt;=2000,"🥇 Gold",IF(E3701&gt;=800,"🥈 Silver","🥉 Bronze")))</f>
        <v/>
      </c>
      <c r="L3701" s="125" t="n">
        <v>40870</v>
      </c>
    </row>
    <row r="3702">
      <c r="A3702" s="126" t="n">
        <v>17411</v>
      </c>
      <c r="B3702" s="126" t="inlineStr">
        <is>
          <t>United Kingdom</t>
        </is>
      </c>
      <c r="C3702" s="126" t="n">
        <v>13</v>
      </c>
      <c r="D3702" s="126" t="n">
        <v>3</v>
      </c>
      <c r="E3702" s="127" t="n">
        <v>778.9400000000001</v>
      </c>
      <c r="F3702" s="128">
        <f>IF(C3702&lt;=30,5,IF(C3702&lt;=60,4,IF(C3702&lt;=120,3,IF(C3702&lt;=200,2,1))))</f>
        <v/>
      </c>
      <c r="G3702" s="128">
        <f>IF(D3702&gt;=20,5,IF(D3702&gt;=10,4,IF(D3702&gt;=5,3,IF(D3702&gt;=2,2,1))))</f>
        <v/>
      </c>
      <c r="H3702" s="128">
        <f>IF(E3702&gt;=5000,5,IF(E3702&gt;=2000,4,IF(E3702&gt;=800,3,IF(E3702&gt;=300,2,1))))</f>
        <v/>
      </c>
      <c r="I3702" s="126">
        <f>TEXT(F3702,"0")&amp;TEXT(G3702,"0")&amp;TEXT(H3702,"0")</f>
        <v/>
      </c>
      <c r="J3702" s="126">
        <f>IFERROR(XLOOKUP(I3702,'Segment Map'!A:A,'Segment Map'!B:B,"Need Attention"),"Need Attention")</f>
        <v/>
      </c>
      <c r="K3702" s="126">
        <f>IF(E3702&gt;=5000,"🏆 Platinum",IF(E3702&gt;=2000,"🥇 Gold",IF(E3702&gt;=800,"🥈 Silver","🥉 Bronze")))</f>
        <v/>
      </c>
      <c r="L3702" s="129" t="n">
        <v>40874</v>
      </c>
    </row>
    <row r="3703">
      <c r="A3703" s="122" t="n">
        <v>17412</v>
      </c>
      <c r="B3703" s="122" t="inlineStr">
        <is>
          <t>United Kingdom</t>
        </is>
      </c>
      <c r="C3703" s="122" t="n">
        <v>3</v>
      </c>
      <c r="D3703" s="122" t="n">
        <v>7</v>
      </c>
      <c r="E3703" s="123" t="n">
        <v>1258.06</v>
      </c>
      <c r="F3703" s="124">
        <f>IF(C3703&lt;=30,5,IF(C3703&lt;=60,4,IF(C3703&lt;=120,3,IF(C3703&lt;=200,2,1))))</f>
        <v/>
      </c>
      <c r="G3703" s="124">
        <f>IF(D3703&gt;=20,5,IF(D3703&gt;=10,4,IF(D3703&gt;=5,3,IF(D3703&gt;=2,2,1))))</f>
        <v/>
      </c>
      <c r="H3703" s="124">
        <f>IF(E3703&gt;=5000,5,IF(E3703&gt;=2000,4,IF(E3703&gt;=800,3,IF(E3703&gt;=300,2,1))))</f>
        <v/>
      </c>
      <c r="I3703" s="122">
        <f>TEXT(F3703,"0")&amp;TEXT(G3703,"0")&amp;TEXT(H3703,"0")</f>
        <v/>
      </c>
      <c r="J3703" s="122">
        <f>IFERROR(XLOOKUP(I3703,'Segment Map'!A:A,'Segment Map'!B:B,"Need Attention"),"Need Attention")</f>
        <v/>
      </c>
      <c r="K3703" s="122">
        <f>IF(E3703&gt;=5000,"🏆 Platinum",IF(E3703&gt;=2000,"🥇 Gold",IF(E3703&gt;=800,"🥈 Silver","🥉 Bronze")))</f>
        <v/>
      </c>
      <c r="L3703" s="125" t="n">
        <v>40884</v>
      </c>
    </row>
    <row r="3704">
      <c r="A3704" s="126" t="n">
        <v>17414</v>
      </c>
      <c r="B3704" s="126" t="inlineStr">
        <is>
          <t>United Kingdom</t>
        </is>
      </c>
      <c r="C3704" s="126" t="n">
        <v>44</v>
      </c>
      <c r="D3704" s="126" t="n">
        <v>2</v>
      </c>
      <c r="E3704" s="127" t="n">
        <v>778</v>
      </c>
      <c r="F3704" s="128">
        <f>IF(C3704&lt;=30,5,IF(C3704&lt;=60,4,IF(C3704&lt;=120,3,IF(C3704&lt;=200,2,1))))</f>
        <v/>
      </c>
      <c r="G3704" s="128">
        <f>IF(D3704&gt;=20,5,IF(D3704&gt;=10,4,IF(D3704&gt;=5,3,IF(D3704&gt;=2,2,1))))</f>
        <v/>
      </c>
      <c r="H3704" s="128">
        <f>IF(E3704&gt;=5000,5,IF(E3704&gt;=2000,4,IF(E3704&gt;=800,3,IF(E3704&gt;=300,2,1))))</f>
        <v/>
      </c>
      <c r="I3704" s="126">
        <f>TEXT(F3704,"0")&amp;TEXT(G3704,"0")&amp;TEXT(H3704,"0")</f>
        <v/>
      </c>
      <c r="J3704" s="126">
        <f>IFERROR(XLOOKUP(I3704,'Segment Map'!A:A,'Segment Map'!B:B,"Need Attention"),"Need Attention")</f>
        <v/>
      </c>
      <c r="K3704" s="126">
        <f>IF(E3704&gt;=5000,"🏆 Platinum",IF(E3704&gt;=2000,"🥇 Gold",IF(E3704&gt;=800,"🥈 Silver","🥉 Bronze")))</f>
        <v/>
      </c>
      <c r="L3704" s="129" t="n">
        <v>40843</v>
      </c>
    </row>
    <row r="3705">
      <c r="A3705" s="122" t="n">
        <v>17415</v>
      </c>
      <c r="B3705" s="122" t="inlineStr">
        <is>
          <t>United Kingdom</t>
        </is>
      </c>
      <c r="C3705" s="122" t="n">
        <v>80</v>
      </c>
      <c r="D3705" s="122" t="n">
        <v>1</v>
      </c>
      <c r="E3705" s="123" t="n">
        <v>507.84</v>
      </c>
      <c r="F3705" s="124">
        <f>IF(C3705&lt;=30,5,IF(C3705&lt;=60,4,IF(C3705&lt;=120,3,IF(C3705&lt;=200,2,1))))</f>
        <v/>
      </c>
      <c r="G3705" s="124">
        <f>IF(D3705&gt;=20,5,IF(D3705&gt;=10,4,IF(D3705&gt;=5,3,IF(D3705&gt;=2,2,1))))</f>
        <v/>
      </c>
      <c r="H3705" s="124">
        <f>IF(E3705&gt;=5000,5,IF(E3705&gt;=2000,4,IF(E3705&gt;=800,3,IF(E3705&gt;=300,2,1))))</f>
        <v/>
      </c>
      <c r="I3705" s="122">
        <f>TEXT(F3705,"0")&amp;TEXT(G3705,"0")&amp;TEXT(H3705,"0")</f>
        <v/>
      </c>
      <c r="J3705" s="122">
        <f>IFERROR(XLOOKUP(I3705,'Segment Map'!A:A,'Segment Map'!B:B,"Need Attention"),"Need Attention")</f>
        <v/>
      </c>
      <c r="K3705" s="122">
        <f>IF(E3705&gt;=5000,"🏆 Platinum",IF(E3705&gt;=2000,"🥇 Gold",IF(E3705&gt;=800,"🥈 Silver","🥉 Bronze")))</f>
        <v/>
      </c>
      <c r="L3705" s="125" t="n">
        <v>40807</v>
      </c>
    </row>
    <row r="3706">
      <c r="A3706" s="126" t="n">
        <v>17416</v>
      </c>
      <c r="B3706" s="126" t="inlineStr">
        <is>
          <t>United Kingdom</t>
        </is>
      </c>
      <c r="C3706" s="126" t="n">
        <v>30</v>
      </c>
      <c r="D3706" s="126" t="n">
        <v>7</v>
      </c>
      <c r="E3706" s="127" t="n">
        <v>6893.42</v>
      </c>
      <c r="F3706" s="128">
        <f>IF(C3706&lt;=30,5,IF(C3706&lt;=60,4,IF(C3706&lt;=120,3,IF(C3706&lt;=200,2,1))))</f>
        <v/>
      </c>
      <c r="G3706" s="128">
        <f>IF(D3706&gt;=20,5,IF(D3706&gt;=10,4,IF(D3706&gt;=5,3,IF(D3706&gt;=2,2,1))))</f>
        <v/>
      </c>
      <c r="H3706" s="128">
        <f>IF(E3706&gt;=5000,5,IF(E3706&gt;=2000,4,IF(E3706&gt;=800,3,IF(E3706&gt;=300,2,1))))</f>
        <v/>
      </c>
      <c r="I3706" s="126">
        <f>TEXT(F3706,"0")&amp;TEXT(G3706,"0")&amp;TEXT(H3706,"0")</f>
        <v/>
      </c>
      <c r="J3706" s="126">
        <f>IFERROR(XLOOKUP(I3706,'Segment Map'!A:A,'Segment Map'!B:B,"Need Attention"),"Need Attention")</f>
        <v/>
      </c>
      <c r="K3706" s="126">
        <f>IF(E3706&gt;=5000,"🏆 Platinum",IF(E3706&gt;=2000,"🥇 Gold",IF(E3706&gt;=800,"🥈 Silver","🥉 Bronze")))</f>
        <v/>
      </c>
      <c r="L3706" s="129" t="n">
        <v>40857</v>
      </c>
    </row>
    <row r="3707">
      <c r="A3707" s="122" t="n">
        <v>17418</v>
      </c>
      <c r="B3707" s="122" t="inlineStr">
        <is>
          <t>United Kingdom</t>
        </is>
      </c>
      <c r="C3707" s="122" t="n">
        <v>43</v>
      </c>
      <c r="D3707" s="122" t="n">
        <v>2</v>
      </c>
      <c r="E3707" s="123" t="n">
        <v>463.46</v>
      </c>
      <c r="F3707" s="124">
        <f>IF(C3707&lt;=30,5,IF(C3707&lt;=60,4,IF(C3707&lt;=120,3,IF(C3707&lt;=200,2,1))))</f>
        <v/>
      </c>
      <c r="G3707" s="124">
        <f>IF(D3707&gt;=20,5,IF(D3707&gt;=10,4,IF(D3707&gt;=5,3,IF(D3707&gt;=2,2,1))))</f>
        <v/>
      </c>
      <c r="H3707" s="124">
        <f>IF(E3707&gt;=5000,5,IF(E3707&gt;=2000,4,IF(E3707&gt;=800,3,IF(E3707&gt;=300,2,1))))</f>
        <v/>
      </c>
      <c r="I3707" s="122">
        <f>TEXT(F3707,"0")&amp;TEXT(G3707,"0")&amp;TEXT(H3707,"0")</f>
        <v/>
      </c>
      <c r="J3707" s="122">
        <f>IFERROR(XLOOKUP(I3707,'Segment Map'!A:A,'Segment Map'!B:B,"Need Attention"),"Need Attention")</f>
        <v/>
      </c>
      <c r="K3707" s="122">
        <f>IF(E3707&gt;=5000,"🏆 Platinum",IF(E3707&gt;=2000,"🥇 Gold",IF(E3707&gt;=800,"🥈 Silver","🥉 Bronze")))</f>
        <v/>
      </c>
      <c r="L3707" s="125" t="n">
        <v>40844</v>
      </c>
    </row>
    <row r="3708">
      <c r="A3708" s="126" t="n">
        <v>17419</v>
      </c>
      <c r="B3708" s="126" t="inlineStr">
        <is>
          <t>United Kingdom</t>
        </is>
      </c>
      <c r="C3708" s="126" t="n">
        <v>12</v>
      </c>
      <c r="D3708" s="126" t="n">
        <v>12</v>
      </c>
      <c r="E3708" s="127" t="n">
        <v>4226.57</v>
      </c>
      <c r="F3708" s="128">
        <f>IF(C3708&lt;=30,5,IF(C3708&lt;=60,4,IF(C3708&lt;=120,3,IF(C3708&lt;=200,2,1))))</f>
        <v/>
      </c>
      <c r="G3708" s="128">
        <f>IF(D3708&gt;=20,5,IF(D3708&gt;=10,4,IF(D3708&gt;=5,3,IF(D3708&gt;=2,2,1))))</f>
        <v/>
      </c>
      <c r="H3708" s="128">
        <f>IF(E3708&gt;=5000,5,IF(E3708&gt;=2000,4,IF(E3708&gt;=800,3,IF(E3708&gt;=300,2,1))))</f>
        <v/>
      </c>
      <c r="I3708" s="126">
        <f>TEXT(F3708,"0")&amp;TEXT(G3708,"0")&amp;TEXT(H3708,"0")</f>
        <v/>
      </c>
      <c r="J3708" s="126">
        <f>IFERROR(XLOOKUP(I3708,'Segment Map'!A:A,'Segment Map'!B:B,"Need Attention"),"Need Attention")</f>
        <v/>
      </c>
      <c r="K3708" s="126">
        <f>IF(E3708&gt;=5000,"🏆 Platinum",IF(E3708&gt;=2000,"🥇 Gold",IF(E3708&gt;=800,"🥈 Silver","🥉 Bronze")))</f>
        <v/>
      </c>
      <c r="L3708" s="129" t="n">
        <v>40875</v>
      </c>
    </row>
    <row r="3709">
      <c r="A3709" s="122" t="n">
        <v>17420</v>
      </c>
      <c r="B3709" s="122" t="inlineStr">
        <is>
          <t>United Kingdom</t>
        </is>
      </c>
      <c r="C3709" s="122" t="n">
        <v>51</v>
      </c>
      <c r="D3709" s="122" t="n">
        <v>3</v>
      </c>
      <c r="E3709" s="123" t="n">
        <v>598.83</v>
      </c>
      <c r="F3709" s="124">
        <f>IF(C3709&lt;=30,5,IF(C3709&lt;=60,4,IF(C3709&lt;=120,3,IF(C3709&lt;=200,2,1))))</f>
        <v/>
      </c>
      <c r="G3709" s="124">
        <f>IF(D3709&gt;=20,5,IF(D3709&gt;=10,4,IF(D3709&gt;=5,3,IF(D3709&gt;=2,2,1))))</f>
        <v/>
      </c>
      <c r="H3709" s="124">
        <f>IF(E3709&gt;=5000,5,IF(E3709&gt;=2000,4,IF(E3709&gt;=800,3,IF(E3709&gt;=300,2,1))))</f>
        <v/>
      </c>
      <c r="I3709" s="122">
        <f>TEXT(F3709,"0")&amp;TEXT(G3709,"0")&amp;TEXT(H3709,"0")</f>
        <v/>
      </c>
      <c r="J3709" s="122">
        <f>IFERROR(XLOOKUP(I3709,'Segment Map'!A:A,'Segment Map'!B:B,"Need Attention"),"Need Attention")</f>
        <v/>
      </c>
      <c r="K3709" s="122">
        <f>IF(E3709&gt;=5000,"🏆 Platinum",IF(E3709&gt;=2000,"🥇 Gold",IF(E3709&gt;=800,"🥈 Silver","🥉 Bronze")))</f>
        <v/>
      </c>
      <c r="L3709" s="125" t="n">
        <v>40836</v>
      </c>
    </row>
    <row r="3710">
      <c r="A3710" s="126" t="n">
        <v>17422</v>
      </c>
      <c r="B3710" s="126" t="inlineStr">
        <is>
          <t>United Kingdom</t>
        </is>
      </c>
      <c r="C3710" s="126" t="n">
        <v>17</v>
      </c>
      <c r="D3710" s="126" t="n">
        <v>6</v>
      </c>
      <c r="E3710" s="127" t="n">
        <v>1979.37</v>
      </c>
      <c r="F3710" s="128">
        <f>IF(C3710&lt;=30,5,IF(C3710&lt;=60,4,IF(C3710&lt;=120,3,IF(C3710&lt;=200,2,1))))</f>
        <v/>
      </c>
      <c r="G3710" s="128">
        <f>IF(D3710&gt;=20,5,IF(D3710&gt;=10,4,IF(D3710&gt;=5,3,IF(D3710&gt;=2,2,1))))</f>
        <v/>
      </c>
      <c r="H3710" s="128">
        <f>IF(E3710&gt;=5000,5,IF(E3710&gt;=2000,4,IF(E3710&gt;=800,3,IF(E3710&gt;=300,2,1))))</f>
        <v/>
      </c>
      <c r="I3710" s="126">
        <f>TEXT(F3710,"0")&amp;TEXT(G3710,"0")&amp;TEXT(H3710,"0")</f>
        <v/>
      </c>
      <c r="J3710" s="126">
        <f>IFERROR(XLOOKUP(I3710,'Segment Map'!A:A,'Segment Map'!B:B,"Need Attention"),"Need Attention")</f>
        <v/>
      </c>
      <c r="K3710" s="126">
        <f>IF(E3710&gt;=5000,"🏆 Platinum",IF(E3710&gt;=2000,"🥇 Gold",IF(E3710&gt;=800,"🥈 Silver","🥉 Bronze")))</f>
        <v/>
      </c>
      <c r="L3710" s="129" t="n">
        <v>40870</v>
      </c>
    </row>
    <row r="3711">
      <c r="A3711" s="122" t="n">
        <v>17423</v>
      </c>
      <c r="B3711" s="122" t="inlineStr">
        <is>
          <t>United Kingdom</t>
        </is>
      </c>
      <c r="C3711" s="122" t="n">
        <v>47</v>
      </c>
      <c r="D3711" s="122" t="n">
        <v>2</v>
      </c>
      <c r="E3711" s="123" t="n">
        <v>698.41</v>
      </c>
      <c r="F3711" s="124">
        <f>IF(C3711&lt;=30,5,IF(C3711&lt;=60,4,IF(C3711&lt;=120,3,IF(C3711&lt;=200,2,1))))</f>
        <v/>
      </c>
      <c r="G3711" s="124">
        <f>IF(D3711&gt;=20,5,IF(D3711&gt;=10,4,IF(D3711&gt;=5,3,IF(D3711&gt;=2,2,1))))</f>
        <v/>
      </c>
      <c r="H3711" s="124">
        <f>IF(E3711&gt;=5000,5,IF(E3711&gt;=2000,4,IF(E3711&gt;=800,3,IF(E3711&gt;=300,2,1))))</f>
        <v/>
      </c>
      <c r="I3711" s="122">
        <f>TEXT(F3711,"0")&amp;TEXT(G3711,"0")&amp;TEXT(H3711,"0")</f>
        <v/>
      </c>
      <c r="J3711" s="122">
        <f>IFERROR(XLOOKUP(I3711,'Segment Map'!A:A,'Segment Map'!B:B,"Need Attention"),"Need Attention")</f>
        <v/>
      </c>
      <c r="K3711" s="122">
        <f>IF(E3711&gt;=5000,"🏆 Platinum",IF(E3711&gt;=2000,"🥇 Gold",IF(E3711&gt;=800,"🥈 Silver","🥉 Bronze")))</f>
        <v/>
      </c>
      <c r="L3711" s="125" t="n">
        <v>40840</v>
      </c>
    </row>
    <row r="3712">
      <c r="A3712" s="126" t="n">
        <v>17425</v>
      </c>
      <c r="B3712" s="126" t="inlineStr">
        <is>
          <t>United Kingdom</t>
        </is>
      </c>
      <c r="C3712" s="126" t="n">
        <v>20</v>
      </c>
      <c r="D3712" s="126" t="n">
        <v>2</v>
      </c>
      <c r="E3712" s="127" t="n">
        <v>759.17</v>
      </c>
      <c r="F3712" s="128">
        <f>IF(C3712&lt;=30,5,IF(C3712&lt;=60,4,IF(C3712&lt;=120,3,IF(C3712&lt;=200,2,1))))</f>
        <v/>
      </c>
      <c r="G3712" s="128">
        <f>IF(D3712&gt;=20,5,IF(D3712&gt;=10,4,IF(D3712&gt;=5,3,IF(D3712&gt;=2,2,1))))</f>
        <v/>
      </c>
      <c r="H3712" s="128">
        <f>IF(E3712&gt;=5000,5,IF(E3712&gt;=2000,4,IF(E3712&gt;=800,3,IF(E3712&gt;=300,2,1))))</f>
        <v/>
      </c>
      <c r="I3712" s="126">
        <f>TEXT(F3712,"0")&amp;TEXT(G3712,"0")&amp;TEXT(H3712,"0")</f>
        <v/>
      </c>
      <c r="J3712" s="126">
        <f>IFERROR(XLOOKUP(I3712,'Segment Map'!A:A,'Segment Map'!B:B,"Need Attention"),"Need Attention")</f>
        <v/>
      </c>
      <c r="K3712" s="126">
        <f>IF(E3712&gt;=5000,"🏆 Platinum",IF(E3712&gt;=2000,"🥇 Gold",IF(E3712&gt;=800,"🥈 Silver","🥉 Bronze")))</f>
        <v/>
      </c>
      <c r="L3712" s="129" t="n">
        <v>40867</v>
      </c>
    </row>
    <row r="3713">
      <c r="A3713" s="122" t="n">
        <v>17426</v>
      </c>
      <c r="B3713" s="122" t="inlineStr">
        <is>
          <t>United Kingdom</t>
        </is>
      </c>
      <c r="C3713" s="122" t="n">
        <v>9</v>
      </c>
      <c r="D3713" s="122" t="n">
        <v>6</v>
      </c>
      <c r="E3713" s="123" t="n">
        <v>5037.26</v>
      </c>
      <c r="F3713" s="124">
        <f>IF(C3713&lt;=30,5,IF(C3713&lt;=60,4,IF(C3713&lt;=120,3,IF(C3713&lt;=200,2,1))))</f>
        <v/>
      </c>
      <c r="G3713" s="124">
        <f>IF(D3713&gt;=20,5,IF(D3713&gt;=10,4,IF(D3713&gt;=5,3,IF(D3713&gt;=2,2,1))))</f>
        <v/>
      </c>
      <c r="H3713" s="124">
        <f>IF(E3713&gt;=5000,5,IF(E3713&gt;=2000,4,IF(E3713&gt;=800,3,IF(E3713&gt;=300,2,1))))</f>
        <v/>
      </c>
      <c r="I3713" s="122">
        <f>TEXT(F3713,"0")&amp;TEXT(G3713,"0")&amp;TEXT(H3713,"0")</f>
        <v/>
      </c>
      <c r="J3713" s="122">
        <f>IFERROR(XLOOKUP(I3713,'Segment Map'!A:A,'Segment Map'!B:B,"Need Attention"),"Need Attention")</f>
        <v/>
      </c>
      <c r="K3713" s="122">
        <f>IF(E3713&gt;=5000,"🏆 Platinum",IF(E3713&gt;=2000,"🥇 Gold",IF(E3713&gt;=800,"🥈 Silver","🥉 Bronze")))</f>
        <v/>
      </c>
      <c r="L3713" s="125" t="n">
        <v>40878</v>
      </c>
    </row>
    <row r="3714">
      <c r="A3714" s="126" t="n">
        <v>17427</v>
      </c>
      <c r="B3714" s="126" t="inlineStr">
        <is>
          <t>United Kingdom</t>
        </is>
      </c>
      <c r="C3714" s="126" t="n">
        <v>72</v>
      </c>
      <c r="D3714" s="126" t="n">
        <v>1</v>
      </c>
      <c r="E3714" s="127" t="n">
        <v>100.8</v>
      </c>
      <c r="F3714" s="128">
        <f>IF(C3714&lt;=30,5,IF(C3714&lt;=60,4,IF(C3714&lt;=120,3,IF(C3714&lt;=200,2,1))))</f>
        <v/>
      </c>
      <c r="G3714" s="128">
        <f>IF(D3714&gt;=20,5,IF(D3714&gt;=10,4,IF(D3714&gt;=5,3,IF(D3714&gt;=2,2,1))))</f>
        <v/>
      </c>
      <c r="H3714" s="128">
        <f>IF(E3714&gt;=5000,5,IF(E3714&gt;=2000,4,IF(E3714&gt;=800,3,IF(E3714&gt;=300,2,1))))</f>
        <v/>
      </c>
      <c r="I3714" s="126">
        <f>TEXT(F3714,"0")&amp;TEXT(G3714,"0")&amp;TEXT(H3714,"0")</f>
        <v/>
      </c>
      <c r="J3714" s="126">
        <f>IFERROR(XLOOKUP(I3714,'Segment Map'!A:A,'Segment Map'!B:B,"Need Attention"),"Need Attention")</f>
        <v/>
      </c>
      <c r="K3714" s="126">
        <f>IF(E3714&gt;=5000,"🏆 Platinum",IF(E3714&gt;=2000,"🥇 Gold",IF(E3714&gt;=800,"🥈 Silver","🥉 Bronze")))</f>
        <v/>
      </c>
      <c r="L3714" s="129" t="n">
        <v>40815</v>
      </c>
    </row>
    <row r="3715">
      <c r="A3715" s="122" t="n">
        <v>17428</v>
      </c>
      <c r="B3715" s="122" t="inlineStr">
        <is>
          <t>United Kingdom</t>
        </is>
      </c>
      <c r="C3715" s="122" t="n">
        <v>1</v>
      </c>
      <c r="D3715" s="122" t="n">
        <v>28</v>
      </c>
      <c r="E3715" s="123" t="n">
        <v>17256.85</v>
      </c>
      <c r="F3715" s="124">
        <f>IF(C3715&lt;=30,5,IF(C3715&lt;=60,4,IF(C3715&lt;=120,3,IF(C3715&lt;=200,2,1))))</f>
        <v/>
      </c>
      <c r="G3715" s="124">
        <f>IF(D3715&gt;=20,5,IF(D3715&gt;=10,4,IF(D3715&gt;=5,3,IF(D3715&gt;=2,2,1))))</f>
        <v/>
      </c>
      <c r="H3715" s="124">
        <f>IF(E3715&gt;=5000,5,IF(E3715&gt;=2000,4,IF(E3715&gt;=800,3,IF(E3715&gt;=300,2,1))))</f>
        <v/>
      </c>
      <c r="I3715" s="122">
        <f>TEXT(F3715,"0")&amp;TEXT(G3715,"0")&amp;TEXT(H3715,"0")</f>
        <v/>
      </c>
      <c r="J3715" s="122">
        <f>IFERROR(XLOOKUP(I3715,'Segment Map'!A:A,'Segment Map'!B:B,"Need Attention"),"Need Attention")</f>
        <v/>
      </c>
      <c r="K3715" s="122">
        <f>IF(E3715&gt;=5000,"🏆 Platinum",IF(E3715&gt;=2000,"🥇 Gold",IF(E3715&gt;=800,"🥈 Silver","🥉 Bronze")))</f>
        <v/>
      </c>
      <c r="L3715" s="125" t="n">
        <v>40886</v>
      </c>
    </row>
    <row r="3716">
      <c r="A3716" s="126" t="n">
        <v>17429</v>
      </c>
      <c r="B3716" s="126" t="inlineStr">
        <is>
          <t>United Kingdom</t>
        </is>
      </c>
      <c r="C3716" s="126" t="n">
        <v>129</v>
      </c>
      <c r="D3716" s="126" t="n">
        <v>3</v>
      </c>
      <c r="E3716" s="127" t="n">
        <v>524.92</v>
      </c>
      <c r="F3716" s="128">
        <f>IF(C3716&lt;=30,5,IF(C3716&lt;=60,4,IF(C3716&lt;=120,3,IF(C3716&lt;=200,2,1))))</f>
        <v/>
      </c>
      <c r="G3716" s="128">
        <f>IF(D3716&gt;=20,5,IF(D3716&gt;=10,4,IF(D3716&gt;=5,3,IF(D3716&gt;=2,2,1))))</f>
        <v/>
      </c>
      <c r="H3716" s="128">
        <f>IF(E3716&gt;=5000,5,IF(E3716&gt;=2000,4,IF(E3716&gt;=800,3,IF(E3716&gt;=300,2,1))))</f>
        <v/>
      </c>
      <c r="I3716" s="126">
        <f>TEXT(F3716,"0")&amp;TEXT(G3716,"0")&amp;TEXT(H3716,"0")</f>
        <v/>
      </c>
      <c r="J3716" s="126">
        <f>IFERROR(XLOOKUP(I3716,'Segment Map'!A:A,'Segment Map'!B:B,"Need Attention"),"Need Attention")</f>
        <v/>
      </c>
      <c r="K3716" s="126">
        <f>IF(E3716&gt;=5000,"🏆 Platinum",IF(E3716&gt;=2000,"🥇 Gold",IF(E3716&gt;=800,"🥈 Silver","🥉 Bronze")))</f>
        <v/>
      </c>
      <c r="L3716" s="129" t="n">
        <v>40758</v>
      </c>
    </row>
    <row r="3717">
      <c r="A3717" s="122" t="n">
        <v>17430</v>
      </c>
      <c r="B3717" s="122" t="inlineStr">
        <is>
          <t>United Kingdom</t>
        </is>
      </c>
      <c r="C3717" s="122" t="n">
        <v>33</v>
      </c>
      <c r="D3717" s="122" t="n">
        <v>2</v>
      </c>
      <c r="E3717" s="123" t="n">
        <v>265.76</v>
      </c>
      <c r="F3717" s="124">
        <f>IF(C3717&lt;=30,5,IF(C3717&lt;=60,4,IF(C3717&lt;=120,3,IF(C3717&lt;=200,2,1))))</f>
        <v/>
      </c>
      <c r="G3717" s="124">
        <f>IF(D3717&gt;=20,5,IF(D3717&gt;=10,4,IF(D3717&gt;=5,3,IF(D3717&gt;=2,2,1))))</f>
        <v/>
      </c>
      <c r="H3717" s="124">
        <f>IF(E3717&gt;=5000,5,IF(E3717&gt;=2000,4,IF(E3717&gt;=800,3,IF(E3717&gt;=300,2,1))))</f>
        <v/>
      </c>
      <c r="I3717" s="122">
        <f>TEXT(F3717,"0")&amp;TEXT(G3717,"0")&amp;TEXT(H3717,"0")</f>
        <v/>
      </c>
      <c r="J3717" s="122">
        <f>IFERROR(XLOOKUP(I3717,'Segment Map'!A:A,'Segment Map'!B:B,"Need Attention"),"Need Attention")</f>
        <v/>
      </c>
      <c r="K3717" s="122">
        <f>IF(E3717&gt;=5000,"🏆 Platinum",IF(E3717&gt;=2000,"🥇 Gold",IF(E3717&gt;=800,"🥈 Silver","🥉 Bronze")))</f>
        <v/>
      </c>
      <c r="L3717" s="125" t="n">
        <v>40854</v>
      </c>
    </row>
    <row r="3718">
      <c r="A3718" s="126" t="n">
        <v>17431</v>
      </c>
      <c r="B3718" s="126" t="inlineStr">
        <is>
          <t>United Kingdom</t>
        </is>
      </c>
      <c r="C3718" s="126" t="n">
        <v>314</v>
      </c>
      <c r="D3718" s="126" t="n">
        <v>1</v>
      </c>
      <c r="E3718" s="127" t="n">
        <v>403.3</v>
      </c>
      <c r="F3718" s="128">
        <f>IF(C3718&lt;=30,5,IF(C3718&lt;=60,4,IF(C3718&lt;=120,3,IF(C3718&lt;=200,2,1))))</f>
        <v/>
      </c>
      <c r="G3718" s="128">
        <f>IF(D3718&gt;=20,5,IF(D3718&gt;=10,4,IF(D3718&gt;=5,3,IF(D3718&gt;=2,2,1))))</f>
        <v/>
      </c>
      <c r="H3718" s="128">
        <f>IF(E3718&gt;=5000,5,IF(E3718&gt;=2000,4,IF(E3718&gt;=800,3,IF(E3718&gt;=300,2,1))))</f>
        <v/>
      </c>
      <c r="I3718" s="126">
        <f>TEXT(F3718,"0")&amp;TEXT(G3718,"0")&amp;TEXT(H3718,"0")</f>
        <v/>
      </c>
      <c r="J3718" s="126">
        <f>IFERROR(XLOOKUP(I3718,'Segment Map'!A:A,'Segment Map'!B:B,"Need Attention"),"Need Attention")</f>
        <v/>
      </c>
      <c r="K3718" s="126">
        <f>IF(E3718&gt;=5000,"🏆 Platinum",IF(E3718&gt;=2000,"🥇 Gold",IF(E3718&gt;=800,"🥈 Silver","🥉 Bronze")))</f>
        <v/>
      </c>
      <c r="L3718" s="129" t="n">
        <v>40573</v>
      </c>
    </row>
    <row r="3719">
      <c r="A3719" s="122" t="n">
        <v>17432</v>
      </c>
      <c r="B3719" s="122" t="inlineStr">
        <is>
          <t>United Kingdom</t>
        </is>
      </c>
      <c r="C3719" s="122" t="n">
        <v>19</v>
      </c>
      <c r="D3719" s="122" t="n">
        <v>2</v>
      </c>
      <c r="E3719" s="123" t="n">
        <v>365.76</v>
      </c>
      <c r="F3719" s="124">
        <f>IF(C3719&lt;=30,5,IF(C3719&lt;=60,4,IF(C3719&lt;=120,3,IF(C3719&lt;=200,2,1))))</f>
        <v/>
      </c>
      <c r="G3719" s="124">
        <f>IF(D3719&gt;=20,5,IF(D3719&gt;=10,4,IF(D3719&gt;=5,3,IF(D3719&gt;=2,2,1))))</f>
        <v/>
      </c>
      <c r="H3719" s="124">
        <f>IF(E3719&gt;=5000,5,IF(E3719&gt;=2000,4,IF(E3719&gt;=800,3,IF(E3719&gt;=300,2,1))))</f>
        <v/>
      </c>
      <c r="I3719" s="122">
        <f>TEXT(F3719,"0")&amp;TEXT(G3719,"0")&amp;TEXT(H3719,"0")</f>
        <v/>
      </c>
      <c r="J3719" s="122">
        <f>IFERROR(XLOOKUP(I3719,'Segment Map'!A:A,'Segment Map'!B:B,"Need Attention"),"Need Attention")</f>
        <v/>
      </c>
      <c r="K3719" s="122">
        <f>IF(E3719&gt;=5000,"🏆 Platinum",IF(E3719&gt;=2000,"🥇 Gold",IF(E3719&gt;=800,"🥈 Silver","🥉 Bronze")))</f>
        <v/>
      </c>
      <c r="L3719" s="125" t="n">
        <v>40868</v>
      </c>
    </row>
    <row r="3720">
      <c r="A3720" s="126" t="n">
        <v>17433</v>
      </c>
      <c r="B3720" s="126" t="inlineStr">
        <is>
          <t>United Kingdom</t>
        </is>
      </c>
      <c r="C3720" s="126" t="n">
        <v>89</v>
      </c>
      <c r="D3720" s="126" t="n">
        <v>1</v>
      </c>
      <c r="E3720" s="127" t="n">
        <v>303.16</v>
      </c>
      <c r="F3720" s="128">
        <f>IF(C3720&lt;=30,5,IF(C3720&lt;=60,4,IF(C3720&lt;=120,3,IF(C3720&lt;=200,2,1))))</f>
        <v/>
      </c>
      <c r="G3720" s="128">
        <f>IF(D3720&gt;=20,5,IF(D3720&gt;=10,4,IF(D3720&gt;=5,3,IF(D3720&gt;=2,2,1))))</f>
        <v/>
      </c>
      <c r="H3720" s="128">
        <f>IF(E3720&gt;=5000,5,IF(E3720&gt;=2000,4,IF(E3720&gt;=800,3,IF(E3720&gt;=300,2,1))))</f>
        <v/>
      </c>
      <c r="I3720" s="126">
        <f>TEXT(F3720,"0")&amp;TEXT(G3720,"0")&amp;TEXT(H3720,"0")</f>
        <v/>
      </c>
      <c r="J3720" s="126">
        <f>IFERROR(XLOOKUP(I3720,'Segment Map'!A:A,'Segment Map'!B:B,"Need Attention"),"Need Attention")</f>
        <v/>
      </c>
      <c r="K3720" s="126">
        <f>IF(E3720&gt;=5000,"🏆 Platinum",IF(E3720&gt;=2000,"🥇 Gold",IF(E3720&gt;=800,"🥈 Silver","🥉 Bronze")))</f>
        <v/>
      </c>
      <c r="L3720" s="129" t="n">
        <v>40798</v>
      </c>
    </row>
    <row r="3721">
      <c r="A3721" s="122" t="n">
        <v>17434</v>
      </c>
      <c r="B3721" s="122" t="inlineStr">
        <is>
          <t>United Kingdom</t>
        </is>
      </c>
      <c r="C3721" s="122" t="n">
        <v>3</v>
      </c>
      <c r="D3721" s="122" t="n">
        <v>7</v>
      </c>
      <c r="E3721" s="123" t="n">
        <v>2373.82</v>
      </c>
      <c r="F3721" s="124">
        <f>IF(C3721&lt;=30,5,IF(C3721&lt;=60,4,IF(C3721&lt;=120,3,IF(C3721&lt;=200,2,1))))</f>
        <v/>
      </c>
      <c r="G3721" s="124">
        <f>IF(D3721&gt;=20,5,IF(D3721&gt;=10,4,IF(D3721&gt;=5,3,IF(D3721&gt;=2,2,1))))</f>
        <v/>
      </c>
      <c r="H3721" s="124">
        <f>IF(E3721&gt;=5000,5,IF(E3721&gt;=2000,4,IF(E3721&gt;=800,3,IF(E3721&gt;=300,2,1))))</f>
        <v/>
      </c>
      <c r="I3721" s="122">
        <f>TEXT(F3721,"0")&amp;TEXT(G3721,"0")&amp;TEXT(H3721,"0")</f>
        <v/>
      </c>
      <c r="J3721" s="122">
        <f>IFERROR(XLOOKUP(I3721,'Segment Map'!A:A,'Segment Map'!B:B,"Need Attention"),"Need Attention")</f>
        <v/>
      </c>
      <c r="K3721" s="122">
        <f>IF(E3721&gt;=5000,"🏆 Platinum",IF(E3721&gt;=2000,"🥇 Gold",IF(E3721&gt;=800,"🥈 Silver","🥉 Bronze")))</f>
        <v/>
      </c>
      <c r="L3721" s="125" t="n">
        <v>40884</v>
      </c>
    </row>
    <row r="3722">
      <c r="A3722" s="126" t="n">
        <v>17436</v>
      </c>
      <c r="B3722" s="126" t="inlineStr">
        <is>
          <t>United Kingdom</t>
        </is>
      </c>
      <c r="C3722" s="126" t="n">
        <v>2</v>
      </c>
      <c r="D3722" s="126" t="n">
        <v>2</v>
      </c>
      <c r="E3722" s="127" t="n">
        <v>216.3</v>
      </c>
      <c r="F3722" s="128">
        <f>IF(C3722&lt;=30,5,IF(C3722&lt;=60,4,IF(C3722&lt;=120,3,IF(C3722&lt;=200,2,1))))</f>
        <v/>
      </c>
      <c r="G3722" s="128">
        <f>IF(D3722&gt;=20,5,IF(D3722&gt;=10,4,IF(D3722&gt;=5,3,IF(D3722&gt;=2,2,1))))</f>
        <v/>
      </c>
      <c r="H3722" s="128">
        <f>IF(E3722&gt;=5000,5,IF(E3722&gt;=2000,4,IF(E3722&gt;=800,3,IF(E3722&gt;=300,2,1))))</f>
        <v/>
      </c>
      <c r="I3722" s="126">
        <f>TEXT(F3722,"0")&amp;TEXT(G3722,"0")&amp;TEXT(H3722,"0")</f>
        <v/>
      </c>
      <c r="J3722" s="126">
        <f>IFERROR(XLOOKUP(I3722,'Segment Map'!A:A,'Segment Map'!B:B,"Need Attention"),"Need Attention")</f>
        <v/>
      </c>
      <c r="K3722" s="126">
        <f>IF(E3722&gt;=5000,"🏆 Platinum",IF(E3722&gt;=2000,"🥇 Gold",IF(E3722&gt;=800,"🥈 Silver","🥉 Bronze")))</f>
        <v/>
      </c>
      <c r="L3722" s="129" t="n">
        <v>40885</v>
      </c>
    </row>
    <row r="3723">
      <c r="A3723" s="122" t="n">
        <v>17438</v>
      </c>
      <c r="B3723" s="122" t="inlineStr">
        <is>
          <t>United Kingdom</t>
        </is>
      </c>
      <c r="C3723" s="122" t="n">
        <v>254</v>
      </c>
      <c r="D3723" s="122" t="n">
        <v>1</v>
      </c>
      <c r="E3723" s="123" t="n">
        <v>388.45</v>
      </c>
      <c r="F3723" s="124">
        <f>IF(C3723&lt;=30,5,IF(C3723&lt;=60,4,IF(C3723&lt;=120,3,IF(C3723&lt;=200,2,1))))</f>
        <v/>
      </c>
      <c r="G3723" s="124">
        <f>IF(D3723&gt;=20,5,IF(D3723&gt;=10,4,IF(D3723&gt;=5,3,IF(D3723&gt;=2,2,1))))</f>
        <v/>
      </c>
      <c r="H3723" s="124">
        <f>IF(E3723&gt;=5000,5,IF(E3723&gt;=2000,4,IF(E3723&gt;=800,3,IF(E3723&gt;=300,2,1))))</f>
        <v/>
      </c>
      <c r="I3723" s="122">
        <f>TEXT(F3723,"0")&amp;TEXT(G3723,"0")&amp;TEXT(H3723,"0")</f>
        <v/>
      </c>
      <c r="J3723" s="122">
        <f>IFERROR(XLOOKUP(I3723,'Segment Map'!A:A,'Segment Map'!B:B,"Need Attention"),"Need Attention")</f>
        <v/>
      </c>
      <c r="K3723" s="122">
        <f>IF(E3723&gt;=5000,"🏆 Platinum",IF(E3723&gt;=2000,"🥇 Gold",IF(E3723&gt;=800,"🥈 Silver","🥉 Bronze")))</f>
        <v/>
      </c>
      <c r="L3723" s="125" t="n">
        <v>40633</v>
      </c>
    </row>
    <row r="3724">
      <c r="A3724" s="126" t="n">
        <v>17440</v>
      </c>
      <c r="B3724" s="126" t="inlineStr">
        <is>
          <t>United Kingdom</t>
        </is>
      </c>
      <c r="C3724" s="126" t="n">
        <v>157</v>
      </c>
      <c r="D3724" s="126" t="n">
        <v>3</v>
      </c>
      <c r="E3724" s="127" t="n">
        <v>186.42</v>
      </c>
      <c r="F3724" s="128">
        <f>IF(C3724&lt;=30,5,IF(C3724&lt;=60,4,IF(C3724&lt;=120,3,IF(C3724&lt;=200,2,1))))</f>
        <v/>
      </c>
      <c r="G3724" s="128">
        <f>IF(D3724&gt;=20,5,IF(D3724&gt;=10,4,IF(D3724&gt;=5,3,IF(D3724&gt;=2,2,1))))</f>
        <v/>
      </c>
      <c r="H3724" s="128">
        <f>IF(E3724&gt;=5000,5,IF(E3724&gt;=2000,4,IF(E3724&gt;=800,3,IF(E3724&gt;=300,2,1))))</f>
        <v/>
      </c>
      <c r="I3724" s="126">
        <f>TEXT(F3724,"0")&amp;TEXT(G3724,"0")&amp;TEXT(H3724,"0")</f>
        <v/>
      </c>
      <c r="J3724" s="126">
        <f>IFERROR(XLOOKUP(I3724,'Segment Map'!A:A,'Segment Map'!B:B,"Need Attention"),"Need Attention")</f>
        <v/>
      </c>
      <c r="K3724" s="126">
        <f>IF(E3724&gt;=5000,"🏆 Platinum",IF(E3724&gt;=2000,"🥇 Gold",IF(E3724&gt;=800,"🥈 Silver","🥉 Bronze")))</f>
        <v/>
      </c>
      <c r="L3724" s="129" t="n">
        <v>40730</v>
      </c>
    </row>
    <row r="3725">
      <c r="A3725" s="122" t="n">
        <v>17442</v>
      </c>
      <c r="B3725" s="122" t="inlineStr">
        <is>
          <t>United Kingdom</t>
        </is>
      </c>
      <c r="C3725" s="122" t="n">
        <v>37</v>
      </c>
      <c r="D3725" s="122" t="n">
        <v>6</v>
      </c>
      <c r="E3725" s="123" t="n">
        <v>2248.56</v>
      </c>
      <c r="F3725" s="124">
        <f>IF(C3725&lt;=30,5,IF(C3725&lt;=60,4,IF(C3725&lt;=120,3,IF(C3725&lt;=200,2,1))))</f>
        <v/>
      </c>
      <c r="G3725" s="124">
        <f>IF(D3725&gt;=20,5,IF(D3725&gt;=10,4,IF(D3725&gt;=5,3,IF(D3725&gt;=2,2,1))))</f>
        <v/>
      </c>
      <c r="H3725" s="124">
        <f>IF(E3725&gt;=5000,5,IF(E3725&gt;=2000,4,IF(E3725&gt;=800,3,IF(E3725&gt;=300,2,1))))</f>
        <v/>
      </c>
      <c r="I3725" s="122">
        <f>TEXT(F3725,"0")&amp;TEXT(G3725,"0")&amp;TEXT(H3725,"0")</f>
        <v/>
      </c>
      <c r="J3725" s="122">
        <f>IFERROR(XLOOKUP(I3725,'Segment Map'!A:A,'Segment Map'!B:B,"Need Attention"),"Need Attention")</f>
        <v/>
      </c>
      <c r="K3725" s="122">
        <f>IF(E3725&gt;=5000,"🏆 Platinum",IF(E3725&gt;=2000,"🥇 Gold",IF(E3725&gt;=800,"🥈 Silver","🥉 Bronze")))</f>
        <v/>
      </c>
      <c r="L3725" s="125" t="n">
        <v>40850</v>
      </c>
    </row>
    <row r="3726">
      <c r="A3726" s="126" t="n">
        <v>17443</v>
      </c>
      <c r="B3726" s="126" t="inlineStr">
        <is>
          <t>Canada</t>
        </is>
      </c>
      <c r="C3726" s="126" t="n">
        <v>220</v>
      </c>
      <c r="D3726" s="126" t="n">
        <v>1</v>
      </c>
      <c r="E3726" s="127" t="n">
        <v>534.24</v>
      </c>
      <c r="F3726" s="128">
        <f>IF(C3726&lt;=30,5,IF(C3726&lt;=60,4,IF(C3726&lt;=120,3,IF(C3726&lt;=200,2,1))))</f>
        <v/>
      </c>
      <c r="G3726" s="128">
        <f>IF(D3726&gt;=20,5,IF(D3726&gt;=10,4,IF(D3726&gt;=5,3,IF(D3726&gt;=2,2,1))))</f>
        <v/>
      </c>
      <c r="H3726" s="128">
        <f>IF(E3726&gt;=5000,5,IF(E3726&gt;=2000,4,IF(E3726&gt;=800,3,IF(E3726&gt;=300,2,1))))</f>
        <v/>
      </c>
      <c r="I3726" s="126">
        <f>TEXT(F3726,"0")&amp;TEXT(G3726,"0")&amp;TEXT(H3726,"0")</f>
        <v/>
      </c>
      <c r="J3726" s="126">
        <f>IFERROR(XLOOKUP(I3726,'Segment Map'!A:A,'Segment Map'!B:B,"Need Attention"),"Need Attention")</f>
        <v/>
      </c>
      <c r="K3726" s="126">
        <f>IF(E3726&gt;=5000,"🏆 Platinum",IF(E3726&gt;=2000,"🥇 Gold",IF(E3726&gt;=800,"🥈 Silver","🥉 Bronze")))</f>
        <v/>
      </c>
      <c r="L3726" s="129" t="n">
        <v>40667</v>
      </c>
    </row>
    <row r="3727">
      <c r="A3727" s="122" t="n">
        <v>17444</v>
      </c>
      <c r="B3727" s="122" t="inlineStr">
        <is>
          <t>Canada</t>
        </is>
      </c>
      <c r="C3727" s="122" t="n">
        <v>148</v>
      </c>
      <c r="D3727" s="122" t="n">
        <v>3</v>
      </c>
      <c r="E3727" s="123" t="n">
        <v>2940.04</v>
      </c>
      <c r="F3727" s="124">
        <f>IF(C3727&lt;=30,5,IF(C3727&lt;=60,4,IF(C3727&lt;=120,3,IF(C3727&lt;=200,2,1))))</f>
        <v/>
      </c>
      <c r="G3727" s="124">
        <f>IF(D3727&gt;=20,5,IF(D3727&gt;=10,4,IF(D3727&gt;=5,3,IF(D3727&gt;=2,2,1))))</f>
        <v/>
      </c>
      <c r="H3727" s="124">
        <f>IF(E3727&gt;=5000,5,IF(E3727&gt;=2000,4,IF(E3727&gt;=800,3,IF(E3727&gt;=300,2,1))))</f>
        <v/>
      </c>
      <c r="I3727" s="122">
        <f>TEXT(F3727,"0")&amp;TEXT(G3727,"0")&amp;TEXT(H3727,"0")</f>
        <v/>
      </c>
      <c r="J3727" s="122">
        <f>IFERROR(XLOOKUP(I3727,'Segment Map'!A:A,'Segment Map'!B:B,"Need Attention"),"Need Attention")</f>
        <v/>
      </c>
      <c r="K3727" s="122">
        <f>IF(E3727&gt;=5000,"🏆 Platinum",IF(E3727&gt;=2000,"🥇 Gold",IF(E3727&gt;=800,"🥈 Silver","🥉 Bronze")))</f>
        <v/>
      </c>
      <c r="L3727" s="125" t="n">
        <v>40739</v>
      </c>
    </row>
    <row r="3728">
      <c r="A3728" s="126" t="n">
        <v>17446</v>
      </c>
      <c r="B3728" s="126" t="inlineStr">
        <is>
          <t>United Kingdom</t>
        </is>
      </c>
      <c r="C3728" s="126" t="n">
        <v>177</v>
      </c>
      <c r="D3728" s="126" t="n">
        <v>2</v>
      </c>
      <c r="E3728" s="127" t="n">
        <v>120.9</v>
      </c>
      <c r="F3728" s="128">
        <f>IF(C3728&lt;=30,5,IF(C3728&lt;=60,4,IF(C3728&lt;=120,3,IF(C3728&lt;=200,2,1))))</f>
        <v/>
      </c>
      <c r="G3728" s="128">
        <f>IF(D3728&gt;=20,5,IF(D3728&gt;=10,4,IF(D3728&gt;=5,3,IF(D3728&gt;=2,2,1))))</f>
        <v/>
      </c>
      <c r="H3728" s="128">
        <f>IF(E3728&gt;=5000,5,IF(E3728&gt;=2000,4,IF(E3728&gt;=800,3,IF(E3728&gt;=300,2,1))))</f>
        <v/>
      </c>
      <c r="I3728" s="126">
        <f>TEXT(F3728,"0")&amp;TEXT(G3728,"0")&amp;TEXT(H3728,"0")</f>
        <v/>
      </c>
      <c r="J3728" s="126">
        <f>IFERROR(XLOOKUP(I3728,'Segment Map'!A:A,'Segment Map'!B:B,"Need Attention"),"Need Attention")</f>
        <v/>
      </c>
      <c r="K3728" s="126">
        <f>IF(E3728&gt;=5000,"🏆 Platinum",IF(E3728&gt;=2000,"🥇 Gold",IF(E3728&gt;=800,"🥈 Silver","🥉 Bronze")))</f>
        <v/>
      </c>
      <c r="L3728" s="129" t="n">
        <v>40710</v>
      </c>
    </row>
    <row r="3729">
      <c r="A3729" s="122" t="n">
        <v>17447</v>
      </c>
      <c r="B3729" s="122" t="inlineStr">
        <is>
          <t>United Kingdom</t>
        </is>
      </c>
      <c r="C3729" s="122" t="n">
        <v>41</v>
      </c>
      <c r="D3729" s="122" t="n">
        <v>2</v>
      </c>
      <c r="E3729" s="123" t="n">
        <v>541.53</v>
      </c>
      <c r="F3729" s="124">
        <f>IF(C3729&lt;=30,5,IF(C3729&lt;=60,4,IF(C3729&lt;=120,3,IF(C3729&lt;=200,2,1))))</f>
        <v/>
      </c>
      <c r="G3729" s="124">
        <f>IF(D3729&gt;=20,5,IF(D3729&gt;=10,4,IF(D3729&gt;=5,3,IF(D3729&gt;=2,2,1))))</f>
        <v/>
      </c>
      <c r="H3729" s="124">
        <f>IF(E3729&gt;=5000,5,IF(E3729&gt;=2000,4,IF(E3729&gt;=800,3,IF(E3729&gt;=300,2,1))))</f>
        <v/>
      </c>
      <c r="I3729" s="122">
        <f>TEXT(F3729,"0")&amp;TEXT(G3729,"0")&amp;TEXT(H3729,"0")</f>
        <v/>
      </c>
      <c r="J3729" s="122">
        <f>IFERROR(XLOOKUP(I3729,'Segment Map'!A:A,'Segment Map'!B:B,"Need Attention"),"Need Attention")</f>
        <v/>
      </c>
      <c r="K3729" s="122">
        <f>IF(E3729&gt;=5000,"🏆 Platinum",IF(E3729&gt;=2000,"🥇 Gold",IF(E3729&gt;=800,"🥈 Silver","🥉 Bronze")))</f>
        <v/>
      </c>
      <c r="L3729" s="125" t="n">
        <v>40846</v>
      </c>
    </row>
    <row r="3730">
      <c r="A3730" s="126" t="n">
        <v>17449</v>
      </c>
      <c r="B3730" s="126" t="inlineStr">
        <is>
          <t>United Kingdom</t>
        </is>
      </c>
      <c r="C3730" s="126" t="n">
        <v>3</v>
      </c>
      <c r="D3730" s="126" t="n">
        <v>7</v>
      </c>
      <c r="E3730" s="127" t="n">
        <v>2520.86</v>
      </c>
      <c r="F3730" s="128">
        <f>IF(C3730&lt;=30,5,IF(C3730&lt;=60,4,IF(C3730&lt;=120,3,IF(C3730&lt;=200,2,1))))</f>
        <v/>
      </c>
      <c r="G3730" s="128">
        <f>IF(D3730&gt;=20,5,IF(D3730&gt;=10,4,IF(D3730&gt;=5,3,IF(D3730&gt;=2,2,1))))</f>
        <v/>
      </c>
      <c r="H3730" s="128">
        <f>IF(E3730&gt;=5000,5,IF(E3730&gt;=2000,4,IF(E3730&gt;=800,3,IF(E3730&gt;=300,2,1))))</f>
        <v/>
      </c>
      <c r="I3730" s="126">
        <f>TEXT(F3730,"0")&amp;TEXT(G3730,"0")&amp;TEXT(H3730,"0")</f>
        <v/>
      </c>
      <c r="J3730" s="126">
        <f>IFERROR(XLOOKUP(I3730,'Segment Map'!A:A,'Segment Map'!B:B,"Need Attention"),"Need Attention")</f>
        <v/>
      </c>
      <c r="K3730" s="126">
        <f>IF(E3730&gt;=5000,"🏆 Platinum",IF(E3730&gt;=2000,"🥇 Gold",IF(E3730&gt;=800,"🥈 Silver","🥉 Bronze")))</f>
        <v/>
      </c>
      <c r="L3730" s="129" t="n">
        <v>40884</v>
      </c>
    </row>
    <row r="3731">
      <c r="A3731" s="122" t="n">
        <v>17450</v>
      </c>
      <c r="B3731" s="122" t="inlineStr">
        <is>
          <t>United Kingdom</t>
        </is>
      </c>
      <c r="C3731" s="122" t="n">
        <v>9</v>
      </c>
      <c r="D3731" s="122" t="n">
        <v>46</v>
      </c>
      <c r="E3731" s="123" t="n">
        <v>194550.79</v>
      </c>
      <c r="F3731" s="124">
        <f>IF(C3731&lt;=30,5,IF(C3731&lt;=60,4,IF(C3731&lt;=120,3,IF(C3731&lt;=200,2,1))))</f>
        <v/>
      </c>
      <c r="G3731" s="124">
        <f>IF(D3731&gt;=20,5,IF(D3731&gt;=10,4,IF(D3731&gt;=5,3,IF(D3731&gt;=2,2,1))))</f>
        <v/>
      </c>
      <c r="H3731" s="124">
        <f>IF(E3731&gt;=5000,5,IF(E3731&gt;=2000,4,IF(E3731&gt;=800,3,IF(E3731&gt;=300,2,1))))</f>
        <v/>
      </c>
      <c r="I3731" s="122">
        <f>TEXT(F3731,"0")&amp;TEXT(G3731,"0")&amp;TEXT(H3731,"0")</f>
        <v/>
      </c>
      <c r="J3731" s="122">
        <f>IFERROR(XLOOKUP(I3731,'Segment Map'!A:A,'Segment Map'!B:B,"Need Attention"),"Need Attention")</f>
        <v/>
      </c>
      <c r="K3731" s="122">
        <f>IF(E3731&gt;=5000,"🏆 Platinum",IF(E3731&gt;=2000,"🥇 Gold",IF(E3731&gt;=800,"🥈 Silver","🥉 Bronze")))</f>
        <v/>
      </c>
      <c r="L3731" s="125" t="n">
        <v>40878</v>
      </c>
    </row>
    <row r="3732">
      <c r="A3732" s="126" t="n">
        <v>17451</v>
      </c>
      <c r="B3732" s="126" t="inlineStr">
        <is>
          <t>United Kingdom</t>
        </is>
      </c>
      <c r="C3732" s="126" t="n">
        <v>2</v>
      </c>
      <c r="D3732" s="126" t="n">
        <v>7</v>
      </c>
      <c r="E3732" s="127" t="n">
        <v>1721.4</v>
      </c>
      <c r="F3732" s="128">
        <f>IF(C3732&lt;=30,5,IF(C3732&lt;=60,4,IF(C3732&lt;=120,3,IF(C3732&lt;=200,2,1))))</f>
        <v/>
      </c>
      <c r="G3732" s="128">
        <f>IF(D3732&gt;=20,5,IF(D3732&gt;=10,4,IF(D3732&gt;=5,3,IF(D3732&gt;=2,2,1))))</f>
        <v/>
      </c>
      <c r="H3732" s="128">
        <f>IF(E3732&gt;=5000,5,IF(E3732&gt;=2000,4,IF(E3732&gt;=800,3,IF(E3732&gt;=300,2,1))))</f>
        <v/>
      </c>
      <c r="I3732" s="126">
        <f>TEXT(F3732,"0")&amp;TEXT(G3732,"0")&amp;TEXT(H3732,"0")</f>
        <v/>
      </c>
      <c r="J3732" s="126">
        <f>IFERROR(XLOOKUP(I3732,'Segment Map'!A:A,'Segment Map'!B:B,"Need Attention"),"Need Attention")</f>
        <v/>
      </c>
      <c r="K3732" s="126">
        <f>IF(E3732&gt;=5000,"🏆 Platinum",IF(E3732&gt;=2000,"🥇 Gold",IF(E3732&gt;=800,"🥈 Silver","🥉 Bronze")))</f>
        <v/>
      </c>
      <c r="L3732" s="129" t="n">
        <v>40885</v>
      </c>
    </row>
    <row r="3733">
      <c r="A3733" s="122" t="n">
        <v>17453</v>
      </c>
      <c r="B3733" s="122" t="inlineStr">
        <is>
          <t>United Kingdom</t>
        </is>
      </c>
      <c r="C3733" s="122" t="n">
        <v>18</v>
      </c>
      <c r="D3733" s="122" t="n">
        <v>2</v>
      </c>
      <c r="E3733" s="123" t="n">
        <v>486.72</v>
      </c>
      <c r="F3733" s="124">
        <f>IF(C3733&lt;=30,5,IF(C3733&lt;=60,4,IF(C3733&lt;=120,3,IF(C3733&lt;=200,2,1))))</f>
        <v/>
      </c>
      <c r="G3733" s="124">
        <f>IF(D3733&gt;=20,5,IF(D3733&gt;=10,4,IF(D3733&gt;=5,3,IF(D3733&gt;=2,2,1))))</f>
        <v/>
      </c>
      <c r="H3733" s="124">
        <f>IF(E3733&gt;=5000,5,IF(E3733&gt;=2000,4,IF(E3733&gt;=800,3,IF(E3733&gt;=300,2,1))))</f>
        <v/>
      </c>
      <c r="I3733" s="122">
        <f>TEXT(F3733,"0")&amp;TEXT(G3733,"0")&amp;TEXT(H3733,"0")</f>
        <v/>
      </c>
      <c r="J3733" s="122">
        <f>IFERROR(XLOOKUP(I3733,'Segment Map'!A:A,'Segment Map'!B:B,"Need Attention"),"Need Attention")</f>
        <v/>
      </c>
      <c r="K3733" s="122">
        <f>IF(E3733&gt;=5000,"🏆 Platinum",IF(E3733&gt;=2000,"🥇 Gold",IF(E3733&gt;=800,"🥈 Silver","🥉 Bronze")))</f>
        <v/>
      </c>
      <c r="L3733" s="125" t="n">
        <v>40869</v>
      </c>
    </row>
    <row r="3734">
      <c r="A3734" s="126" t="n">
        <v>17454</v>
      </c>
      <c r="B3734" s="126" t="inlineStr">
        <is>
          <t>United Kingdom</t>
        </is>
      </c>
      <c r="C3734" s="126" t="n">
        <v>193</v>
      </c>
      <c r="D3734" s="126" t="n">
        <v>4</v>
      </c>
      <c r="E3734" s="127" t="n">
        <v>517.53</v>
      </c>
      <c r="F3734" s="128">
        <f>IF(C3734&lt;=30,5,IF(C3734&lt;=60,4,IF(C3734&lt;=120,3,IF(C3734&lt;=200,2,1))))</f>
        <v/>
      </c>
      <c r="G3734" s="128">
        <f>IF(D3734&gt;=20,5,IF(D3734&gt;=10,4,IF(D3734&gt;=5,3,IF(D3734&gt;=2,2,1))))</f>
        <v/>
      </c>
      <c r="H3734" s="128">
        <f>IF(E3734&gt;=5000,5,IF(E3734&gt;=2000,4,IF(E3734&gt;=800,3,IF(E3734&gt;=300,2,1))))</f>
        <v/>
      </c>
      <c r="I3734" s="126">
        <f>TEXT(F3734,"0")&amp;TEXT(G3734,"0")&amp;TEXT(H3734,"0")</f>
        <v/>
      </c>
      <c r="J3734" s="126">
        <f>IFERROR(XLOOKUP(I3734,'Segment Map'!A:A,'Segment Map'!B:B,"Need Attention"),"Need Attention")</f>
        <v/>
      </c>
      <c r="K3734" s="126">
        <f>IF(E3734&gt;=5000,"🏆 Platinum",IF(E3734&gt;=2000,"🥇 Gold",IF(E3734&gt;=800,"🥈 Silver","🥉 Bronze")))</f>
        <v/>
      </c>
      <c r="L3734" s="129" t="n">
        <v>40694</v>
      </c>
    </row>
    <row r="3735">
      <c r="A3735" s="122" t="n">
        <v>17455</v>
      </c>
      <c r="B3735" s="122" t="inlineStr">
        <is>
          <t>United Kingdom</t>
        </is>
      </c>
      <c r="C3735" s="122" t="n">
        <v>204</v>
      </c>
      <c r="D3735" s="122" t="n">
        <v>1</v>
      </c>
      <c r="E3735" s="123" t="n">
        <v>131.7</v>
      </c>
      <c r="F3735" s="124">
        <f>IF(C3735&lt;=30,5,IF(C3735&lt;=60,4,IF(C3735&lt;=120,3,IF(C3735&lt;=200,2,1))))</f>
        <v/>
      </c>
      <c r="G3735" s="124">
        <f>IF(D3735&gt;=20,5,IF(D3735&gt;=10,4,IF(D3735&gt;=5,3,IF(D3735&gt;=2,2,1))))</f>
        <v/>
      </c>
      <c r="H3735" s="124">
        <f>IF(E3735&gt;=5000,5,IF(E3735&gt;=2000,4,IF(E3735&gt;=800,3,IF(E3735&gt;=300,2,1))))</f>
        <v/>
      </c>
      <c r="I3735" s="122">
        <f>TEXT(F3735,"0")&amp;TEXT(G3735,"0")&amp;TEXT(H3735,"0")</f>
        <v/>
      </c>
      <c r="J3735" s="122">
        <f>IFERROR(XLOOKUP(I3735,'Segment Map'!A:A,'Segment Map'!B:B,"Need Attention"),"Need Attention")</f>
        <v/>
      </c>
      <c r="K3735" s="122">
        <f>IF(E3735&gt;=5000,"🏆 Platinum",IF(E3735&gt;=2000,"🥇 Gold",IF(E3735&gt;=800,"🥈 Silver","🥉 Bronze")))</f>
        <v/>
      </c>
      <c r="L3735" s="125" t="n">
        <v>40683</v>
      </c>
    </row>
    <row r="3736">
      <c r="A3736" s="126" t="n">
        <v>17456</v>
      </c>
      <c r="B3736" s="126" t="inlineStr">
        <is>
          <t>United Kingdom</t>
        </is>
      </c>
      <c r="C3736" s="126" t="n">
        <v>366</v>
      </c>
      <c r="D3736" s="126" t="n">
        <v>1</v>
      </c>
      <c r="E3736" s="127" t="n">
        <v>249.86</v>
      </c>
      <c r="F3736" s="128">
        <f>IF(C3736&lt;=30,5,IF(C3736&lt;=60,4,IF(C3736&lt;=120,3,IF(C3736&lt;=200,2,1))))</f>
        <v/>
      </c>
      <c r="G3736" s="128">
        <f>IF(D3736&gt;=20,5,IF(D3736&gt;=10,4,IF(D3736&gt;=5,3,IF(D3736&gt;=2,2,1))))</f>
        <v/>
      </c>
      <c r="H3736" s="128">
        <f>IF(E3736&gt;=5000,5,IF(E3736&gt;=2000,4,IF(E3736&gt;=800,3,IF(E3736&gt;=300,2,1))))</f>
        <v/>
      </c>
      <c r="I3736" s="126">
        <f>TEXT(F3736,"0")&amp;TEXT(G3736,"0")&amp;TEXT(H3736,"0")</f>
        <v/>
      </c>
      <c r="J3736" s="126">
        <f>IFERROR(XLOOKUP(I3736,'Segment Map'!A:A,'Segment Map'!B:B,"Need Attention"),"Need Attention")</f>
        <v/>
      </c>
      <c r="K3736" s="126">
        <f>IF(E3736&gt;=5000,"🏆 Platinum",IF(E3736&gt;=2000,"🥇 Gold",IF(E3736&gt;=800,"🥈 Silver","🥉 Bronze")))</f>
        <v/>
      </c>
      <c r="L3736" s="129" t="n">
        <v>40521</v>
      </c>
    </row>
    <row r="3737">
      <c r="A3737" s="122" t="n">
        <v>17457</v>
      </c>
      <c r="B3737" s="122" t="inlineStr">
        <is>
          <t>United Kingdom</t>
        </is>
      </c>
      <c r="C3737" s="122" t="n">
        <v>127</v>
      </c>
      <c r="D3737" s="122" t="n">
        <v>5</v>
      </c>
      <c r="E3737" s="123" t="n">
        <v>1737.7</v>
      </c>
      <c r="F3737" s="124">
        <f>IF(C3737&lt;=30,5,IF(C3737&lt;=60,4,IF(C3737&lt;=120,3,IF(C3737&lt;=200,2,1))))</f>
        <v/>
      </c>
      <c r="G3737" s="124">
        <f>IF(D3737&gt;=20,5,IF(D3737&gt;=10,4,IF(D3737&gt;=5,3,IF(D3737&gt;=2,2,1))))</f>
        <v/>
      </c>
      <c r="H3737" s="124">
        <f>IF(E3737&gt;=5000,5,IF(E3737&gt;=2000,4,IF(E3737&gt;=800,3,IF(E3737&gt;=300,2,1))))</f>
        <v/>
      </c>
      <c r="I3737" s="122">
        <f>TEXT(F3737,"0")&amp;TEXT(G3737,"0")&amp;TEXT(H3737,"0")</f>
        <v/>
      </c>
      <c r="J3737" s="122">
        <f>IFERROR(XLOOKUP(I3737,'Segment Map'!A:A,'Segment Map'!B:B,"Need Attention"),"Need Attention")</f>
        <v/>
      </c>
      <c r="K3737" s="122">
        <f>IF(E3737&gt;=5000,"🏆 Platinum",IF(E3737&gt;=2000,"🥇 Gold",IF(E3737&gt;=800,"🥈 Silver","🥉 Bronze")))</f>
        <v/>
      </c>
      <c r="L3737" s="125" t="n">
        <v>40760</v>
      </c>
    </row>
    <row r="3738">
      <c r="A3738" s="126" t="n">
        <v>17458</v>
      </c>
      <c r="B3738" s="126" t="inlineStr">
        <is>
          <t>United Kingdom</t>
        </is>
      </c>
      <c r="C3738" s="126" t="n">
        <v>16</v>
      </c>
      <c r="D3738" s="126" t="n">
        <v>1</v>
      </c>
      <c r="E3738" s="127" t="n">
        <v>316.5</v>
      </c>
      <c r="F3738" s="128">
        <f>IF(C3738&lt;=30,5,IF(C3738&lt;=60,4,IF(C3738&lt;=120,3,IF(C3738&lt;=200,2,1))))</f>
        <v/>
      </c>
      <c r="G3738" s="128">
        <f>IF(D3738&gt;=20,5,IF(D3738&gt;=10,4,IF(D3738&gt;=5,3,IF(D3738&gt;=2,2,1))))</f>
        <v/>
      </c>
      <c r="H3738" s="128">
        <f>IF(E3738&gt;=5000,5,IF(E3738&gt;=2000,4,IF(E3738&gt;=800,3,IF(E3738&gt;=300,2,1))))</f>
        <v/>
      </c>
      <c r="I3738" s="126">
        <f>TEXT(F3738,"0")&amp;TEXT(G3738,"0")&amp;TEXT(H3738,"0")</f>
        <v/>
      </c>
      <c r="J3738" s="126">
        <f>IFERROR(XLOOKUP(I3738,'Segment Map'!A:A,'Segment Map'!B:B,"Need Attention"),"Need Attention")</f>
        <v/>
      </c>
      <c r="K3738" s="126">
        <f>IF(E3738&gt;=5000,"🏆 Platinum",IF(E3738&gt;=2000,"🥇 Gold",IF(E3738&gt;=800,"🥈 Silver","🥉 Bronze")))</f>
        <v/>
      </c>
      <c r="L3738" s="129" t="n">
        <v>40871</v>
      </c>
    </row>
    <row r="3739">
      <c r="A3739" s="122" t="n">
        <v>17459</v>
      </c>
      <c r="B3739" s="122" t="inlineStr">
        <is>
          <t>United Kingdom</t>
        </is>
      </c>
      <c r="C3739" s="122" t="n">
        <v>44</v>
      </c>
      <c r="D3739" s="122" t="n">
        <v>2</v>
      </c>
      <c r="E3739" s="123" t="n">
        <v>657.3</v>
      </c>
      <c r="F3739" s="124">
        <f>IF(C3739&lt;=30,5,IF(C3739&lt;=60,4,IF(C3739&lt;=120,3,IF(C3739&lt;=200,2,1))))</f>
        <v/>
      </c>
      <c r="G3739" s="124">
        <f>IF(D3739&gt;=20,5,IF(D3739&gt;=10,4,IF(D3739&gt;=5,3,IF(D3739&gt;=2,2,1))))</f>
        <v/>
      </c>
      <c r="H3739" s="124">
        <f>IF(E3739&gt;=5000,5,IF(E3739&gt;=2000,4,IF(E3739&gt;=800,3,IF(E3739&gt;=300,2,1))))</f>
        <v/>
      </c>
      <c r="I3739" s="122">
        <f>TEXT(F3739,"0")&amp;TEXT(G3739,"0")&amp;TEXT(H3739,"0")</f>
        <v/>
      </c>
      <c r="J3739" s="122">
        <f>IFERROR(XLOOKUP(I3739,'Segment Map'!A:A,'Segment Map'!B:B,"Need Attention"),"Need Attention")</f>
        <v/>
      </c>
      <c r="K3739" s="122">
        <f>IF(E3739&gt;=5000,"🏆 Platinum",IF(E3739&gt;=2000,"🥇 Gold",IF(E3739&gt;=800,"🥈 Silver","🥉 Bronze")))</f>
        <v/>
      </c>
      <c r="L3739" s="125" t="n">
        <v>40843</v>
      </c>
    </row>
    <row r="3740">
      <c r="A3740" s="126" t="n">
        <v>17460</v>
      </c>
      <c r="B3740" s="126" t="inlineStr">
        <is>
          <t>United Kingdom</t>
        </is>
      </c>
      <c r="C3740" s="126" t="n">
        <v>95</v>
      </c>
      <c r="D3740" s="126" t="n">
        <v>6</v>
      </c>
      <c r="E3740" s="127" t="n">
        <v>622.4299999999999</v>
      </c>
      <c r="F3740" s="128">
        <f>IF(C3740&lt;=30,5,IF(C3740&lt;=60,4,IF(C3740&lt;=120,3,IF(C3740&lt;=200,2,1))))</f>
        <v/>
      </c>
      <c r="G3740" s="128">
        <f>IF(D3740&gt;=20,5,IF(D3740&gt;=10,4,IF(D3740&gt;=5,3,IF(D3740&gt;=2,2,1))))</f>
        <v/>
      </c>
      <c r="H3740" s="128">
        <f>IF(E3740&gt;=5000,5,IF(E3740&gt;=2000,4,IF(E3740&gt;=800,3,IF(E3740&gt;=300,2,1))))</f>
        <v/>
      </c>
      <c r="I3740" s="126">
        <f>TEXT(F3740,"0")&amp;TEXT(G3740,"0")&amp;TEXT(H3740,"0")</f>
        <v/>
      </c>
      <c r="J3740" s="126">
        <f>IFERROR(XLOOKUP(I3740,'Segment Map'!A:A,'Segment Map'!B:B,"Need Attention"),"Need Attention")</f>
        <v/>
      </c>
      <c r="K3740" s="126">
        <f>IF(E3740&gt;=5000,"🏆 Platinum",IF(E3740&gt;=2000,"🥇 Gold",IF(E3740&gt;=800,"🥈 Silver","🥉 Bronze")))</f>
        <v/>
      </c>
      <c r="L3740" s="129" t="n">
        <v>40792</v>
      </c>
    </row>
    <row r="3741">
      <c r="A3741" s="122" t="n">
        <v>17461</v>
      </c>
      <c r="B3741" s="122" t="inlineStr">
        <is>
          <t>United Kingdom</t>
        </is>
      </c>
      <c r="C3741" s="122" t="n">
        <v>23</v>
      </c>
      <c r="D3741" s="122" t="n">
        <v>3</v>
      </c>
      <c r="E3741" s="123" t="n">
        <v>757.46</v>
      </c>
      <c r="F3741" s="124">
        <f>IF(C3741&lt;=30,5,IF(C3741&lt;=60,4,IF(C3741&lt;=120,3,IF(C3741&lt;=200,2,1))))</f>
        <v/>
      </c>
      <c r="G3741" s="124">
        <f>IF(D3741&gt;=20,5,IF(D3741&gt;=10,4,IF(D3741&gt;=5,3,IF(D3741&gt;=2,2,1))))</f>
        <v/>
      </c>
      <c r="H3741" s="124">
        <f>IF(E3741&gt;=5000,5,IF(E3741&gt;=2000,4,IF(E3741&gt;=800,3,IF(E3741&gt;=300,2,1))))</f>
        <v/>
      </c>
      <c r="I3741" s="122">
        <f>TEXT(F3741,"0")&amp;TEXT(G3741,"0")&amp;TEXT(H3741,"0")</f>
        <v/>
      </c>
      <c r="J3741" s="122">
        <f>IFERROR(XLOOKUP(I3741,'Segment Map'!A:A,'Segment Map'!B:B,"Need Attention"),"Need Attention")</f>
        <v/>
      </c>
      <c r="K3741" s="122">
        <f>IF(E3741&gt;=5000,"🏆 Platinum",IF(E3741&gt;=2000,"🥇 Gold",IF(E3741&gt;=800,"🥈 Silver","🥉 Bronze")))</f>
        <v/>
      </c>
      <c r="L3741" s="125" t="n">
        <v>40864</v>
      </c>
    </row>
    <row r="3742">
      <c r="A3742" s="126" t="n">
        <v>17462</v>
      </c>
      <c r="B3742" s="126" t="inlineStr">
        <is>
          <t>United Kingdom</t>
        </is>
      </c>
      <c r="C3742" s="126" t="n">
        <v>61</v>
      </c>
      <c r="D3742" s="126" t="n">
        <v>2</v>
      </c>
      <c r="E3742" s="127" t="n">
        <v>675.6900000000001</v>
      </c>
      <c r="F3742" s="128">
        <f>IF(C3742&lt;=30,5,IF(C3742&lt;=60,4,IF(C3742&lt;=120,3,IF(C3742&lt;=200,2,1))))</f>
        <v/>
      </c>
      <c r="G3742" s="128">
        <f>IF(D3742&gt;=20,5,IF(D3742&gt;=10,4,IF(D3742&gt;=5,3,IF(D3742&gt;=2,2,1))))</f>
        <v/>
      </c>
      <c r="H3742" s="128">
        <f>IF(E3742&gt;=5000,5,IF(E3742&gt;=2000,4,IF(E3742&gt;=800,3,IF(E3742&gt;=300,2,1))))</f>
        <v/>
      </c>
      <c r="I3742" s="126">
        <f>TEXT(F3742,"0")&amp;TEXT(G3742,"0")&amp;TEXT(H3742,"0")</f>
        <v/>
      </c>
      <c r="J3742" s="126">
        <f>IFERROR(XLOOKUP(I3742,'Segment Map'!A:A,'Segment Map'!B:B,"Need Attention"),"Need Attention")</f>
        <v/>
      </c>
      <c r="K3742" s="126">
        <f>IF(E3742&gt;=5000,"🏆 Platinum",IF(E3742&gt;=2000,"🥇 Gold",IF(E3742&gt;=800,"🥈 Silver","🥉 Bronze")))</f>
        <v/>
      </c>
      <c r="L3742" s="129" t="n">
        <v>40826</v>
      </c>
    </row>
    <row r="3743">
      <c r="A3743" s="122" t="n">
        <v>17463</v>
      </c>
      <c r="B3743" s="122" t="inlineStr">
        <is>
          <t>United Kingdom</t>
        </is>
      </c>
      <c r="C3743" s="122" t="n">
        <v>17</v>
      </c>
      <c r="D3743" s="122" t="n">
        <v>5</v>
      </c>
      <c r="E3743" s="123" t="n">
        <v>1896.41</v>
      </c>
      <c r="F3743" s="124">
        <f>IF(C3743&lt;=30,5,IF(C3743&lt;=60,4,IF(C3743&lt;=120,3,IF(C3743&lt;=200,2,1))))</f>
        <v/>
      </c>
      <c r="G3743" s="124">
        <f>IF(D3743&gt;=20,5,IF(D3743&gt;=10,4,IF(D3743&gt;=5,3,IF(D3743&gt;=2,2,1))))</f>
        <v/>
      </c>
      <c r="H3743" s="124">
        <f>IF(E3743&gt;=5000,5,IF(E3743&gt;=2000,4,IF(E3743&gt;=800,3,IF(E3743&gt;=300,2,1))))</f>
        <v/>
      </c>
      <c r="I3743" s="122">
        <f>TEXT(F3743,"0")&amp;TEXT(G3743,"0")&amp;TEXT(H3743,"0")</f>
        <v/>
      </c>
      <c r="J3743" s="122">
        <f>IFERROR(XLOOKUP(I3743,'Segment Map'!A:A,'Segment Map'!B:B,"Need Attention"),"Need Attention")</f>
        <v/>
      </c>
      <c r="K3743" s="122">
        <f>IF(E3743&gt;=5000,"🏆 Platinum",IF(E3743&gt;=2000,"🥇 Gold",IF(E3743&gt;=800,"🥈 Silver","🥉 Bronze")))</f>
        <v/>
      </c>
      <c r="L3743" s="125" t="n">
        <v>40870</v>
      </c>
    </row>
    <row r="3744">
      <c r="A3744" s="126" t="n">
        <v>17464</v>
      </c>
      <c r="B3744" s="126" t="inlineStr">
        <is>
          <t>United Kingdom</t>
        </is>
      </c>
      <c r="C3744" s="126" t="n">
        <v>159</v>
      </c>
      <c r="D3744" s="126" t="n">
        <v>1</v>
      </c>
      <c r="E3744" s="127" t="n">
        <v>289.96</v>
      </c>
      <c r="F3744" s="128">
        <f>IF(C3744&lt;=30,5,IF(C3744&lt;=60,4,IF(C3744&lt;=120,3,IF(C3744&lt;=200,2,1))))</f>
        <v/>
      </c>
      <c r="G3744" s="128">
        <f>IF(D3744&gt;=20,5,IF(D3744&gt;=10,4,IF(D3744&gt;=5,3,IF(D3744&gt;=2,2,1))))</f>
        <v/>
      </c>
      <c r="H3744" s="128">
        <f>IF(E3744&gt;=5000,5,IF(E3744&gt;=2000,4,IF(E3744&gt;=800,3,IF(E3744&gt;=300,2,1))))</f>
        <v/>
      </c>
      <c r="I3744" s="126">
        <f>TEXT(F3744,"0")&amp;TEXT(G3744,"0")&amp;TEXT(H3744,"0")</f>
        <v/>
      </c>
      <c r="J3744" s="126">
        <f>IFERROR(XLOOKUP(I3744,'Segment Map'!A:A,'Segment Map'!B:B,"Need Attention"),"Need Attention")</f>
        <v/>
      </c>
      <c r="K3744" s="126">
        <f>IF(E3744&gt;=5000,"🏆 Platinum",IF(E3744&gt;=2000,"🥇 Gold",IF(E3744&gt;=800,"🥈 Silver","🥉 Bronze")))</f>
        <v/>
      </c>
      <c r="L3744" s="129" t="n">
        <v>40728</v>
      </c>
    </row>
    <row r="3745">
      <c r="A3745" s="122" t="n">
        <v>17466</v>
      </c>
      <c r="B3745" s="122" t="inlineStr">
        <is>
          <t>United Kingdom</t>
        </is>
      </c>
      <c r="C3745" s="122" t="n">
        <v>11</v>
      </c>
      <c r="D3745" s="122" t="n">
        <v>2</v>
      </c>
      <c r="E3745" s="123" t="n">
        <v>763.28</v>
      </c>
      <c r="F3745" s="124">
        <f>IF(C3745&lt;=30,5,IF(C3745&lt;=60,4,IF(C3745&lt;=120,3,IF(C3745&lt;=200,2,1))))</f>
        <v/>
      </c>
      <c r="G3745" s="124">
        <f>IF(D3745&gt;=20,5,IF(D3745&gt;=10,4,IF(D3745&gt;=5,3,IF(D3745&gt;=2,2,1))))</f>
        <v/>
      </c>
      <c r="H3745" s="124">
        <f>IF(E3745&gt;=5000,5,IF(E3745&gt;=2000,4,IF(E3745&gt;=800,3,IF(E3745&gt;=300,2,1))))</f>
        <v/>
      </c>
      <c r="I3745" s="122">
        <f>TEXT(F3745,"0")&amp;TEXT(G3745,"0")&amp;TEXT(H3745,"0")</f>
        <v/>
      </c>
      <c r="J3745" s="122">
        <f>IFERROR(XLOOKUP(I3745,'Segment Map'!A:A,'Segment Map'!B:B,"Need Attention"),"Need Attention")</f>
        <v/>
      </c>
      <c r="K3745" s="122">
        <f>IF(E3745&gt;=5000,"🏆 Platinum",IF(E3745&gt;=2000,"🥇 Gold",IF(E3745&gt;=800,"🥈 Silver","🥉 Bronze")))</f>
        <v/>
      </c>
      <c r="L3745" s="125" t="n">
        <v>40876</v>
      </c>
    </row>
    <row r="3746">
      <c r="A3746" s="126" t="n">
        <v>17468</v>
      </c>
      <c r="B3746" s="126" t="inlineStr">
        <is>
          <t>United Kingdom</t>
        </is>
      </c>
      <c r="C3746" s="126" t="n">
        <v>11</v>
      </c>
      <c r="D3746" s="126" t="n">
        <v>2</v>
      </c>
      <c r="E3746" s="127" t="n">
        <v>137</v>
      </c>
      <c r="F3746" s="128">
        <f>IF(C3746&lt;=30,5,IF(C3746&lt;=60,4,IF(C3746&lt;=120,3,IF(C3746&lt;=200,2,1))))</f>
        <v/>
      </c>
      <c r="G3746" s="128">
        <f>IF(D3746&gt;=20,5,IF(D3746&gt;=10,4,IF(D3746&gt;=5,3,IF(D3746&gt;=2,2,1))))</f>
        <v/>
      </c>
      <c r="H3746" s="128">
        <f>IF(E3746&gt;=5000,5,IF(E3746&gt;=2000,4,IF(E3746&gt;=800,3,IF(E3746&gt;=300,2,1))))</f>
        <v/>
      </c>
      <c r="I3746" s="126">
        <f>TEXT(F3746,"0")&amp;TEXT(G3746,"0")&amp;TEXT(H3746,"0")</f>
        <v/>
      </c>
      <c r="J3746" s="126">
        <f>IFERROR(XLOOKUP(I3746,'Segment Map'!A:A,'Segment Map'!B:B,"Need Attention"),"Need Attention")</f>
        <v/>
      </c>
      <c r="K3746" s="126">
        <f>IF(E3746&gt;=5000,"🏆 Platinum",IF(E3746&gt;=2000,"🥇 Gold",IF(E3746&gt;=800,"🥈 Silver","🥉 Bronze")))</f>
        <v/>
      </c>
      <c r="L3746" s="129" t="n">
        <v>40876</v>
      </c>
    </row>
    <row r="3747">
      <c r="A3747" s="122" t="n">
        <v>17469</v>
      </c>
      <c r="B3747" s="122" t="inlineStr">
        <is>
          <t>United Kingdom</t>
        </is>
      </c>
      <c r="C3747" s="122" t="n">
        <v>17</v>
      </c>
      <c r="D3747" s="122" t="n">
        <v>5</v>
      </c>
      <c r="E3747" s="123" t="n">
        <v>1870.97</v>
      </c>
      <c r="F3747" s="124">
        <f>IF(C3747&lt;=30,5,IF(C3747&lt;=60,4,IF(C3747&lt;=120,3,IF(C3747&lt;=200,2,1))))</f>
        <v/>
      </c>
      <c r="G3747" s="124">
        <f>IF(D3747&gt;=20,5,IF(D3747&gt;=10,4,IF(D3747&gt;=5,3,IF(D3747&gt;=2,2,1))))</f>
        <v/>
      </c>
      <c r="H3747" s="124">
        <f>IF(E3747&gt;=5000,5,IF(E3747&gt;=2000,4,IF(E3747&gt;=800,3,IF(E3747&gt;=300,2,1))))</f>
        <v/>
      </c>
      <c r="I3747" s="122">
        <f>TEXT(F3747,"0")&amp;TEXT(G3747,"0")&amp;TEXT(H3747,"0")</f>
        <v/>
      </c>
      <c r="J3747" s="122">
        <f>IFERROR(XLOOKUP(I3747,'Segment Map'!A:A,'Segment Map'!B:B,"Need Attention"),"Need Attention")</f>
        <v/>
      </c>
      <c r="K3747" s="122">
        <f>IF(E3747&gt;=5000,"🏆 Platinum",IF(E3747&gt;=2000,"🥇 Gold",IF(E3747&gt;=800,"🥈 Silver","🥉 Bronze")))</f>
        <v/>
      </c>
      <c r="L3747" s="125" t="n">
        <v>40870</v>
      </c>
    </row>
    <row r="3748">
      <c r="A3748" s="126" t="n">
        <v>17470</v>
      </c>
      <c r="B3748" s="126" t="inlineStr">
        <is>
          <t>United Kingdom</t>
        </is>
      </c>
      <c r="C3748" s="126" t="n">
        <v>45</v>
      </c>
      <c r="D3748" s="126" t="n">
        <v>5</v>
      </c>
      <c r="E3748" s="127" t="n">
        <v>1125.07</v>
      </c>
      <c r="F3748" s="128">
        <f>IF(C3748&lt;=30,5,IF(C3748&lt;=60,4,IF(C3748&lt;=120,3,IF(C3748&lt;=200,2,1))))</f>
        <v/>
      </c>
      <c r="G3748" s="128">
        <f>IF(D3748&gt;=20,5,IF(D3748&gt;=10,4,IF(D3748&gt;=5,3,IF(D3748&gt;=2,2,1))))</f>
        <v/>
      </c>
      <c r="H3748" s="128">
        <f>IF(E3748&gt;=5000,5,IF(E3748&gt;=2000,4,IF(E3748&gt;=800,3,IF(E3748&gt;=300,2,1))))</f>
        <v/>
      </c>
      <c r="I3748" s="126">
        <f>TEXT(F3748,"0")&amp;TEXT(G3748,"0")&amp;TEXT(H3748,"0")</f>
        <v/>
      </c>
      <c r="J3748" s="126">
        <f>IFERROR(XLOOKUP(I3748,'Segment Map'!A:A,'Segment Map'!B:B,"Need Attention"),"Need Attention")</f>
        <v/>
      </c>
      <c r="K3748" s="126">
        <f>IF(E3748&gt;=5000,"🏆 Platinum",IF(E3748&gt;=2000,"🥇 Gold",IF(E3748&gt;=800,"🥈 Silver","🥉 Bronze")))</f>
        <v/>
      </c>
      <c r="L3748" s="129" t="n">
        <v>40842</v>
      </c>
    </row>
    <row r="3749">
      <c r="A3749" s="122" t="n">
        <v>17472</v>
      </c>
      <c r="B3749" s="122" t="inlineStr">
        <is>
          <t>United Kingdom</t>
        </is>
      </c>
      <c r="C3749" s="122" t="n">
        <v>192</v>
      </c>
      <c r="D3749" s="122" t="n">
        <v>3</v>
      </c>
      <c r="E3749" s="123" t="n">
        <v>710.29</v>
      </c>
      <c r="F3749" s="124">
        <f>IF(C3749&lt;=30,5,IF(C3749&lt;=60,4,IF(C3749&lt;=120,3,IF(C3749&lt;=200,2,1))))</f>
        <v/>
      </c>
      <c r="G3749" s="124">
        <f>IF(D3749&gt;=20,5,IF(D3749&gt;=10,4,IF(D3749&gt;=5,3,IF(D3749&gt;=2,2,1))))</f>
        <v/>
      </c>
      <c r="H3749" s="124">
        <f>IF(E3749&gt;=5000,5,IF(E3749&gt;=2000,4,IF(E3749&gt;=800,3,IF(E3749&gt;=300,2,1))))</f>
        <v/>
      </c>
      <c r="I3749" s="122">
        <f>TEXT(F3749,"0")&amp;TEXT(G3749,"0")&amp;TEXT(H3749,"0")</f>
        <v/>
      </c>
      <c r="J3749" s="122">
        <f>IFERROR(XLOOKUP(I3749,'Segment Map'!A:A,'Segment Map'!B:B,"Need Attention"),"Need Attention")</f>
        <v/>
      </c>
      <c r="K3749" s="122">
        <f>IF(E3749&gt;=5000,"🏆 Platinum",IF(E3749&gt;=2000,"🥇 Gold",IF(E3749&gt;=800,"🥈 Silver","🥉 Bronze")))</f>
        <v/>
      </c>
      <c r="L3749" s="125" t="n">
        <v>40695</v>
      </c>
    </row>
    <row r="3750">
      <c r="A3750" s="126" t="n">
        <v>17475</v>
      </c>
      <c r="B3750" s="126" t="inlineStr">
        <is>
          <t>United Kingdom</t>
        </is>
      </c>
      <c r="C3750" s="126" t="n">
        <v>80</v>
      </c>
      <c r="D3750" s="126" t="n">
        <v>1</v>
      </c>
      <c r="E3750" s="127" t="n">
        <v>194.37</v>
      </c>
      <c r="F3750" s="128">
        <f>IF(C3750&lt;=30,5,IF(C3750&lt;=60,4,IF(C3750&lt;=120,3,IF(C3750&lt;=200,2,1))))</f>
        <v/>
      </c>
      <c r="G3750" s="128">
        <f>IF(D3750&gt;=20,5,IF(D3750&gt;=10,4,IF(D3750&gt;=5,3,IF(D3750&gt;=2,2,1))))</f>
        <v/>
      </c>
      <c r="H3750" s="128">
        <f>IF(E3750&gt;=5000,5,IF(E3750&gt;=2000,4,IF(E3750&gt;=800,3,IF(E3750&gt;=300,2,1))))</f>
        <v/>
      </c>
      <c r="I3750" s="126">
        <f>TEXT(F3750,"0")&amp;TEXT(G3750,"0")&amp;TEXT(H3750,"0")</f>
        <v/>
      </c>
      <c r="J3750" s="126">
        <f>IFERROR(XLOOKUP(I3750,'Segment Map'!A:A,'Segment Map'!B:B,"Need Attention"),"Need Attention")</f>
        <v/>
      </c>
      <c r="K3750" s="126">
        <f>IF(E3750&gt;=5000,"🏆 Platinum",IF(E3750&gt;=2000,"🥇 Gold",IF(E3750&gt;=800,"🥈 Silver","🥉 Bronze")))</f>
        <v/>
      </c>
      <c r="L3750" s="129" t="n">
        <v>40807</v>
      </c>
    </row>
    <row r="3751">
      <c r="A3751" s="122" t="n">
        <v>17480</v>
      </c>
      <c r="B3751" s="122" t="inlineStr">
        <is>
          <t>United Kingdom</t>
        </is>
      </c>
      <c r="C3751" s="122" t="n">
        <v>78</v>
      </c>
      <c r="D3751" s="122" t="n">
        <v>1</v>
      </c>
      <c r="E3751" s="123" t="n">
        <v>511.82</v>
      </c>
      <c r="F3751" s="124">
        <f>IF(C3751&lt;=30,5,IF(C3751&lt;=60,4,IF(C3751&lt;=120,3,IF(C3751&lt;=200,2,1))))</f>
        <v/>
      </c>
      <c r="G3751" s="124">
        <f>IF(D3751&gt;=20,5,IF(D3751&gt;=10,4,IF(D3751&gt;=5,3,IF(D3751&gt;=2,2,1))))</f>
        <v/>
      </c>
      <c r="H3751" s="124">
        <f>IF(E3751&gt;=5000,5,IF(E3751&gt;=2000,4,IF(E3751&gt;=800,3,IF(E3751&gt;=300,2,1))))</f>
        <v/>
      </c>
      <c r="I3751" s="122">
        <f>TEXT(F3751,"0")&amp;TEXT(G3751,"0")&amp;TEXT(H3751,"0")</f>
        <v/>
      </c>
      <c r="J3751" s="122">
        <f>IFERROR(XLOOKUP(I3751,'Segment Map'!A:A,'Segment Map'!B:B,"Need Attention"),"Need Attention")</f>
        <v/>
      </c>
      <c r="K3751" s="122">
        <f>IF(E3751&gt;=5000,"🏆 Platinum",IF(E3751&gt;=2000,"🥇 Gold",IF(E3751&gt;=800,"🥈 Silver","🥉 Bronze")))</f>
        <v/>
      </c>
      <c r="L3751" s="125" t="n">
        <v>40809</v>
      </c>
    </row>
    <row r="3752">
      <c r="A3752" s="126" t="n">
        <v>17481</v>
      </c>
      <c r="B3752" s="126" t="inlineStr">
        <is>
          <t>United Kingdom</t>
        </is>
      </c>
      <c r="C3752" s="126" t="n">
        <v>4</v>
      </c>
      <c r="D3752" s="126" t="n">
        <v>4</v>
      </c>
      <c r="E3752" s="127" t="n">
        <v>1255.59</v>
      </c>
      <c r="F3752" s="128">
        <f>IF(C3752&lt;=30,5,IF(C3752&lt;=60,4,IF(C3752&lt;=120,3,IF(C3752&lt;=200,2,1))))</f>
        <v/>
      </c>
      <c r="G3752" s="128">
        <f>IF(D3752&gt;=20,5,IF(D3752&gt;=10,4,IF(D3752&gt;=5,3,IF(D3752&gt;=2,2,1))))</f>
        <v/>
      </c>
      <c r="H3752" s="128">
        <f>IF(E3752&gt;=5000,5,IF(E3752&gt;=2000,4,IF(E3752&gt;=800,3,IF(E3752&gt;=300,2,1))))</f>
        <v/>
      </c>
      <c r="I3752" s="126">
        <f>TEXT(F3752,"0")&amp;TEXT(G3752,"0")&amp;TEXT(H3752,"0")</f>
        <v/>
      </c>
      <c r="J3752" s="126">
        <f>IFERROR(XLOOKUP(I3752,'Segment Map'!A:A,'Segment Map'!B:B,"Need Attention"),"Need Attention")</f>
        <v/>
      </c>
      <c r="K3752" s="126">
        <f>IF(E3752&gt;=5000,"🏆 Platinum",IF(E3752&gt;=2000,"🥇 Gold",IF(E3752&gt;=800,"🥈 Silver","🥉 Bronze")))</f>
        <v/>
      </c>
      <c r="L3752" s="129" t="n">
        <v>40883</v>
      </c>
    </row>
    <row r="3753">
      <c r="A3753" s="122" t="n">
        <v>17483</v>
      </c>
      <c r="B3753" s="122" t="inlineStr">
        <is>
          <t>United Kingdom</t>
        </is>
      </c>
      <c r="C3753" s="122" t="n">
        <v>66</v>
      </c>
      <c r="D3753" s="122" t="n">
        <v>3</v>
      </c>
      <c r="E3753" s="123" t="n">
        <v>414.04</v>
      </c>
      <c r="F3753" s="124">
        <f>IF(C3753&lt;=30,5,IF(C3753&lt;=60,4,IF(C3753&lt;=120,3,IF(C3753&lt;=200,2,1))))</f>
        <v/>
      </c>
      <c r="G3753" s="124">
        <f>IF(D3753&gt;=20,5,IF(D3753&gt;=10,4,IF(D3753&gt;=5,3,IF(D3753&gt;=2,2,1))))</f>
        <v/>
      </c>
      <c r="H3753" s="124">
        <f>IF(E3753&gt;=5000,5,IF(E3753&gt;=2000,4,IF(E3753&gt;=800,3,IF(E3753&gt;=300,2,1))))</f>
        <v/>
      </c>
      <c r="I3753" s="122">
        <f>TEXT(F3753,"0")&amp;TEXT(G3753,"0")&amp;TEXT(H3753,"0")</f>
        <v/>
      </c>
      <c r="J3753" s="122">
        <f>IFERROR(XLOOKUP(I3753,'Segment Map'!A:A,'Segment Map'!B:B,"Need Attention"),"Need Attention")</f>
        <v/>
      </c>
      <c r="K3753" s="122">
        <f>IF(E3753&gt;=5000,"🏆 Platinum",IF(E3753&gt;=2000,"🥇 Gold",IF(E3753&gt;=800,"🥈 Silver","🥉 Bronze")))</f>
        <v/>
      </c>
      <c r="L3753" s="125" t="n">
        <v>40821</v>
      </c>
    </row>
    <row r="3754">
      <c r="A3754" s="126" t="n">
        <v>17486</v>
      </c>
      <c r="B3754" s="126" t="inlineStr">
        <is>
          <t>United Kingdom</t>
        </is>
      </c>
      <c r="C3754" s="126" t="n">
        <v>262</v>
      </c>
      <c r="D3754" s="126" t="n">
        <v>1</v>
      </c>
      <c r="E3754" s="127" t="n">
        <v>396.87</v>
      </c>
      <c r="F3754" s="128">
        <f>IF(C3754&lt;=30,5,IF(C3754&lt;=60,4,IF(C3754&lt;=120,3,IF(C3754&lt;=200,2,1))))</f>
        <v/>
      </c>
      <c r="G3754" s="128">
        <f>IF(D3754&gt;=20,5,IF(D3754&gt;=10,4,IF(D3754&gt;=5,3,IF(D3754&gt;=2,2,1))))</f>
        <v/>
      </c>
      <c r="H3754" s="128">
        <f>IF(E3754&gt;=5000,5,IF(E3754&gt;=2000,4,IF(E3754&gt;=800,3,IF(E3754&gt;=300,2,1))))</f>
        <v/>
      </c>
      <c r="I3754" s="126">
        <f>TEXT(F3754,"0")&amp;TEXT(G3754,"0")&amp;TEXT(H3754,"0")</f>
        <v/>
      </c>
      <c r="J3754" s="126">
        <f>IFERROR(XLOOKUP(I3754,'Segment Map'!A:A,'Segment Map'!B:B,"Need Attention"),"Need Attention")</f>
        <v/>
      </c>
      <c r="K3754" s="126">
        <f>IF(E3754&gt;=5000,"🏆 Platinum",IF(E3754&gt;=2000,"🥇 Gold",IF(E3754&gt;=800,"🥈 Silver","🥉 Bronze")))</f>
        <v/>
      </c>
      <c r="L3754" s="129" t="n">
        <v>40625</v>
      </c>
    </row>
    <row r="3755">
      <c r="A3755" s="122" t="n">
        <v>17489</v>
      </c>
      <c r="B3755" s="122" t="inlineStr">
        <is>
          <t>United Kingdom</t>
        </is>
      </c>
      <c r="C3755" s="122" t="n">
        <v>59</v>
      </c>
      <c r="D3755" s="122" t="n">
        <v>2</v>
      </c>
      <c r="E3755" s="123" t="n">
        <v>376.64</v>
      </c>
      <c r="F3755" s="124">
        <f>IF(C3755&lt;=30,5,IF(C3755&lt;=60,4,IF(C3755&lt;=120,3,IF(C3755&lt;=200,2,1))))</f>
        <v/>
      </c>
      <c r="G3755" s="124">
        <f>IF(D3755&gt;=20,5,IF(D3755&gt;=10,4,IF(D3755&gt;=5,3,IF(D3755&gt;=2,2,1))))</f>
        <v/>
      </c>
      <c r="H3755" s="124">
        <f>IF(E3755&gt;=5000,5,IF(E3755&gt;=2000,4,IF(E3755&gt;=800,3,IF(E3755&gt;=300,2,1))))</f>
        <v/>
      </c>
      <c r="I3755" s="122">
        <f>TEXT(F3755,"0")&amp;TEXT(G3755,"0")&amp;TEXT(H3755,"0")</f>
        <v/>
      </c>
      <c r="J3755" s="122">
        <f>IFERROR(XLOOKUP(I3755,'Segment Map'!A:A,'Segment Map'!B:B,"Need Attention"),"Need Attention")</f>
        <v/>
      </c>
      <c r="K3755" s="122">
        <f>IF(E3755&gt;=5000,"🏆 Platinum",IF(E3755&gt;=2000,"🥇 Gold",IF(E3755&gt;=800,"🥈 Silver","🥉 Bronze")))</f>
        <v/>
      </c>
      <c r="L3755" s="125" t="n">
        <v>40828</v>
      </c>
    </row>
    <row r="3756">
      <c r="A3756" s="126" t="n">
        <v>17490</v>
      </c>
      <c r="B3756" s="126" t="inlineStr">
        <is>
          <t>United Kingdom</t>
        </is>
      </c>
      <c r="C3756" s="126" t="n">
        <v>1</v>
      </c>
      <c r="D3756" s="126" t="n">
        <v>7</v>
      </c>
      <c r="E3756" s="127" t="n">
        <v>2092.32</v>
      </c>
      <c r="F3756" s="128">
        <f>IF(C3756&lt;=30,5,IF(C3756&lt;=60,4,IF(C3756&lt;=120,3,IF(C3756&lt;=200,2,1))))</f>
        <v/>
      </c>
      <c r="G3756" s="128">
        <f>IF(D3756&gt;=20,5,IF(D3756&gt;=10,4,IF(D3756&gt;=5,3,IF(D3756&gt;=2,2,1))))</f>
        <v/>
      </c>
      <c r="H3756" s="128">
        <f>IF(E3756&gt;=5000,5,IF(E3756&gt;=2000,4,IF(E3756&gt;=800,3,IF(E3756&gt;=300,2,1))))</f>
        <v/>
      </c>
      <c r="I3756" s="126">
        <f>TEXT(F3756,"0")&amp;TEXT(G3756,"0")&amp;TEXT(H3756,"0")</f>
        <v/>
      </c>
      <c r="J3756" s="126">
        <f>IFERROR(XLOOKUP(I3756,'Segment Map'!A:A,'Segment Map'!B:B,"Need Attention"),"Need Attention")</f>
        <v/>
      </c>
      <c r="K3756" s="126">
        <f>IF(E3756&gt;=5000,"🏆 Platinum",IF(E3756&gt;=2000,"🥇 Gold",IF(E3756&gt;=800,"🥈 Silver","🥉 Bronze")))</f>
        <v/>
      </c>
      <c r="L3756" s="129" t="n">
        <v>40886</v>
      </c>
    </row>
    <row r="3757">
      <c r="A3757" s="122" t="n">
        <v>17491</v>
      </c>
      <c r="B3757" s="122" t="inlineStr">
        <is>
          <t>United Kingdom</t>
        </is>
      </c>
      <c r="C3757" s="122" t="n">
        <v>2</v>
      </c>
      <c r="D3757" s="122" t="n">
        <v>10</v>
      </c>
      <c r="E3757" s="123" t="n">
        <v>3558.87</v>
      </c>
      <c r="F3757" s="124">
        <f>IF(C3757&lt;=30,5,IF(C3757&lt;=60,4,IF(C3757&lt;=120,3,IF(C3757&lt;=200,2,1))))</f>
        <v/>
      </c>
      <c r="G3757" s="124">
        <f>IF(D3757&gt;=20,5,IF(D3757&gt;=10,4,IF(D3757&gt;=5,3,IF(D3757&gt;=2,2,1))))</f>
        <v/>
      </c>
      <c r="H3757" s="124">
        <f>IF(E3757&gt;=5000,5,IF(E3757&gt;=2000,4,IF(E3757&gt;=800,3,IF(E3757&gt;=300,2,1))))</f>
        <v/>
      </c>
      <c r="I3757" s="122">
        <f>TEXT(F3757,"0")&amp;TEXT(G3757,"0")&amp;TEXT(H3757,"0")</f>
        <v/>
      </c>
      <c r="J3757" s="122">
        <f>IFERROR(XLOOKUP(I3757,'Segment Map'!A:A,'Segment Map'!B:B,"Need Attention"),"Need Attention")</f>
        <v/>
      </c>
      <c r="K3757" s="122">
        <f>IF(E3757&gt;=5000,"🏆 Platinum",IF(E3757&gt;=2000,"🥇 Gold",IF(E3757&gt;=800,"🥈 Silver","🥉 Bronze")))</f>
        <v/>
      </c>
      <c r="L3757" s="125" t="n">
        <v>40885</v>
      </c>
    </row>
    <row r="3758">
      <c r="A3758" s="126" t="n">
        <v>17492</v>
      </c>
      <c r="B3758" s="126" t="inlineStr">
        <is>
          <t>United Kingdom</t>
        </is>
      </c>
      <c r="C3758" s="126" t="n">
        <v>249</v>
      </c>
      <c r="D3758" s="126" t="n">
        <v>1</v>
      </c>
      <c r="E3758" s="127" t="n">
        <v>374.57</v>
      </c>
      <c r="F3758" s="128">
        <f>IF(C3758&lt;=30,5,IF(C3758&lt;=60,4,IF(C3758&lt;=120,3,IF(C3758&lt;=200,2,1))))</f>
        <v/>
      </c>
      <c r="G3758" s="128">
        <f>IF(D3758&gt;=20,5,IF(D3758&gt;=10,4,IF(D3758&gt;=5,3,IF(D3758&gt;=2,2,1))))</f>
        <v/>
      </c>
      <c r="H3758" s="128">
        <f>IF(E3758&gt;=5000,5,IF(E3758&gt;=2000,4,IF(E3758&gt;=800,3,IF(E3758&gt;=300,2,1))))</f>
        <v/>
      </c>
      <c r="I3758" s="126">
        <f>TEXT(F3758,"0")&amp;TEXT(G3758,"0")&amp;TEXT(H3758,"0")</f>
        <v/>
      </c>
      <c r="J3758" s="126">
        <f>IFERROR(XLOOKUP(I3758,'Segment Map'!A:A,'Segment Map'!B:B,"Need Attention"),"Need Attention")</f>
        <v/>
      </c>
      <c r="K3758" s="126">
        <f>IF(E3758&gt;=5000,"🏆 Platinum",IF(E3758&gt;=2000,"🥇 Gold",IF(E3758&gt;=800,"🥈 Silver","🥉 Bronze")))</f>
        <v/>
      </c>
      <c r="L3758" s="129" t="n">
        <v>40638</v>
      </c>
    </row>
    <row r="3759">
      <c r="A3759" s="122" t="n">
        <v>17495</v>
      </c>
      <c r="B3759" s="122" t="inlineStr">
        <is>
          <t>United Kingdom</t>
        </is>
      </c>
      <c r="C3759" s="122" t="n">
        <v>8</v>
      </c>
      <c r="D3759" s="122" t="n">
        <v>2</v>
      </c>
      <c r="E3759" s="123" t="n">
        <v>497.56</v>
      </c>
      <c r="F3759" s="124">
        <f>IF(C3759&lt;=30,5,IF(C3759&lt;=60,4,IF(C3759&lt;=120,3,IF(C3759&lt;=200,2,1))))</f>
        <v/>
      </c>
      <c r="G3759" s="124">
        <f>IF(D3759&gt;=20,5,IF(D3759&gt;=10,4,IF(D3759&gt;=5,3,IF(D3759&gt;=2,2,1))))</f>
        <v/>
      </c>
      <c r="H3759" s="124">
        <f>IF(E3759&gt;=5000,5,IF(E3759&gt;=2000,4,IF(E3759&gt;=800,3,IF(E3759&gt;=300,2,1))))</f>
        <v/>
      </c>
      <c r="I3759" s="122">
        <f>TEXT(F3759,"0")&amp;TEXT(G3759,"0")&amp;TEXT(H3759,"0")</f>
        <v/>
      </c>
      <c r="J3759" s="122">
        <f>IFERROR(XLOOKUP(I3759,'Segment Map'!A:A,'Segment Map'!B:B,"Need Attention"),"Need Attention")</f>
        <v/>
      </c>
      <c r="K3759" s="122">
        <f>IF(E3759&gt;=5000,"🏆 Platinum",IF(E3759&gt;=2000,"🥇 Gold",IF(E3759&gt;=800,"🥈 Silver","🥉 Bronze")))</f>
        <v/>
      </c>
      <c r="L3759" s="125" t="n">
        <v>40879</v>
      </c>
    </row>
    <row r="3760">
      <c r="A3760" s="126" t="n">
        <v>17496</v>
      </c>
      <c r="B3760" s="126" t="inlineStr">
        <is>
          <t>United Kingdom</t>
        </is>
      </c>
      <c r="C3760" s="126" t="n">
        <v>359</v>
      </c>
      <c r="D3760" s="126" t="n">
        <v>1</v>
      </c>
      <c r="E3760" s="127" t="n">
        <v>271.05</v>
      </c>
      <c r="F3760" s="128">
        <f>IF(C3760&lt;=30,5,IF(C3760&lt;=60,4,IF(C3760&lt;=120,3,IF(C3760&lt;=200,2,1))))</f>
        <v/>
      </c>
      <c r="G3760" s="128">
        <f>IF(D3760&gt;=20,5,IF(D3760&gt;=10,4,IF(D3760&gt;=5,3,IF(D3760&gt;=2,2,1))))</f>
        <v/>
      </c>
      <c r="H3760" s="128">
        <f>IF(E3760&gt;=5000,5,IF(E3760&gt;=2000,4,IF(E3760&gt;=800,3,IF(E3760&gt;=300,2,1))))</f>
        <v/>
      </c>
      <c r="I3760" s="126">
        <f>TEXT(F3760,"0")&amp;TEXT(G3760,"0")&amp;TEXT(H3760,"0")</f>
        <v/>
      </c>
      <c r="J3760" s="126">
        <f>IFERROR(XLOOKUP(I3760,'Segment Map'!A:A,'Segment Map'!B:B,"Need Attention"),"Need Attention")</f>
        <v/>
      </c>
      <c r="K3760" s="126">
        <f>IF(E3760&gt;=5000,"🏆 Platinum",IF(E3760&gt;=2000,"🥇 Gold",IF(E3760&gt;=800,"🥈 Silver","🥉 Bronze")))</f>
        <v/>
      </c>
      <c r="L3760" s="129" t="n">
        <v>40528</v>
      </c>
    </row>
    <row r="3761">
      <c r="A3761" s="122" t="n">
        <v>17498</v>
      </c>
      <c r="B3761" s="122" t="inlineStr">
        <is>
          <t>United Kingdom</t>
        </is>
      </c>
      <c r="C3761" s="122" t="n">
        <v>76</v>
      </c>
      <c r="D3761" s="122" t="n">
        <v>1</v>
      </c>
      <c r="E3761" s="123" t="n">
        <v>272.22</v>
      </c>
      <c r="F3761" s="124">
        <f>IF(C3761&lt;=30,5,IF(C3761&lt;=60,4,IF(C3761&lt;=120,3,IF(C3761&lt;=200,2,1))))</f>
        <v/>
      </c>
      <c r="G3761" s="124">
        <f>IF(D3761&gt;=20,5,IF(D3761&gt;=10,4,IF(D3761&gt;=5,3,IF(D3761&gt;=2,2,1))))</f>
        <v/>
      </c>
      <c r="H3761" s="124">
        <f>IF(E3761&gt;=5000,5,IF(E3761&gt;=2000,4,IF(E3761&gt;=800,3,IF(E3761&gt;=300,2,1))))</f>
        <v/>
      </c>
      <c r="I3761" s="122">
        <f>TEXT(F3761,"0")&amp;TEXT(G3761,"0")&amp;TEXT(H3761,"0")</f>
        <v/>
      </c>
      <c r="J3761" s="122">
        <f>IFERROR(XLOOKUP(I3761,'Segment Map'!A:A,'Segment Map'!B:B,"Need Attention"),"Need Attention")</f>
        <v/>
      </c>
      <c r="K3761" s="122">
        <f>IF(E3761&gt;=5000,"🏆 Platinum",IF(E3761&gt;=2000,"🥇 Gold",IF(E3761&gt;=800,"🥈 Silver","🥉 Bronze")))</f>
        <v/>
      </c>
      <c r="L3761" s="125" t="n">
        <v>40811</v>
      </c>
    </row>
    <row r="3762">
      <c r="A3762" s="126" t="n">
        <v>17499</v>
      </c>
      <c r="B3762" s="126" t="inlineStr">
        <is>
          <t>United Kingdom</t>
        </is>
      </c>
      <c r="C3762" s="126" t="n">
        <v>290</v>
      </c>
      <c r="D3762" s="126" t="n">
        <v>1</v>
      </c>
      <c r="E3762" s="127" t="n">
        <v>622.88</v>
      </c>
      <c r="F3762" s="128">
        <f>IF(C3762&lt;=30,5,IF(C3762&lt;=60,4,IF(C3762&lt;=120,3,IF(C3762&lt;=200,2,1))))</f>
        <v/>
      </c>
      <c r="G3762" s="128">
        <f>IF(D3762&gt;=20,5,IF(D3762&gt;=10,4,IF(D3762&gt;=5,3,IF(D3762&gt;=2,2,1))))</f>
        <v/>
      </c>
      <c r="H3762" s="128">
        <f>IF(E3762&gt;=5000,5,IF(E3762&gt;=2000,4,IF(E3762&gt;=800,3,IF(E3762&gt;=300,2,1))))</f>
        <v/>
      </c>
      <c r="I3762" s="126">
        <f>TEXT(F3762,"0")&amp;TEXT(G3762,"0")&amp;TEXT(H3762,"0")</f>
        <v/>
      </c>
      <c r="J3762" s="126">
        <f>IFERROR(XLOOKUP(I3762,'Segment Map'!A:A,'Segment Map'!B:B,"Need Attention"),"Need Attention")</f>
        <v/>
      </c>
      <c r="K3762" s="126">
        <f>IF(E3762&gt;=5000,"🏆 Platinum",IF(E3762&gt;=2000,"🥇 Gold",IF(E3762&gt;=800,"🥈 Silver","🥉 Bronze")))</f>
        <v/>
      </c>
      <c r="L3762" s="129" t="n">
        <v>40597</v>
      </c>
    </row>
    <row r="3763">
      <c r="A3763" s="122" t="n">
        <v>17500</v>
      </c>
      <c r="B3763" s="122" t="inlineStr">
        <is>
          <t>United Kingdom</t>
        </is>
      </c>
      <c r="C3763" s="122" t="n">
        <v>18</v>
      </c>
      <c r="D3763" s="122" t="n">
        <v>3</v>
      </c>
      <c r="E3763" s="123" t="n">
        <v>1138</v>
      </c>
      <c r="F3763" s="124">
        <f>IF(C3763&lt;=30,5,IF(C3763&lt;=60,4,IF(C3763&lt;=120,3,IF(C3763&lt;=200,2,1))))</f>
        <v/>
      </c>
      <c r="G3763" s="124">
        <f>IF(D3763&gt;=20,5,IF(D3763&gt;=10,4,IF(D3763&gt;=5,3,IF(D3763&gt;=2,2,1))))</f>
        <v/>
      </c>
      <c r="H3763" s="124">
        <f>IF(E3763&gt;=5000,5,IF(E3763&gt;=2000,4,IF(E3763&gt;=800,3,IF(E3763&gt;=300,2,1))))</f>
        <v/>
      </c>
      <c r="I3763" s="122">
        <f>TEXT(F3763,"0")&amp;TEXT(G3763,"0")&amp;TEXT(H3763,"0")</f>
        <v/>
      </c>
      <c r="J3763" s="122">
        <f>IFERROR(XLOOKUP(I3763,'Segment Map'!A:A,'Segment Map'!B:B,"Need Attention"),"Need Attention")</f>
        <v/>
      </c>
      <c r="K3763" s="122">
        <f>IF(E3763&gt;=5000,"🏆 Platinum",IF(E3763&gt;=2000,"🥇 Gold",IF(E3763&gt;=800,"🥈 Silver","🥉 Bronze")))</f>
        <v/>
      </c>
      <c r="L3763" s="125" t="n">
        <v>40869</v>
      </c>
    </row>
    <row r="3764">
      <c r="A3764" s="126" t="n">
        <v>17501</v>
      </c>
      <c r="B3764" s="126" t="inlineStr">
        <is>
          <t>United Kingdom</t>
        </is>
      </c>
      <c r="C3764" s="126" t="n">
        <v>221</v>
      </c>
      <c r="D3764" s="126" t="n">
        <v>2</v>
      </c>
      <c r="E3764" s="127" t="n">
        <v>288.6</v>
      </c>
      <c r="F3764" s="128">
        <f>IF(C3764&lt;=30,5,IF(C3764&lt;=60,4,IF(C3764&lt;=120,3,IF(C3764&lt;=200,2,1))))</f>
        <v/>
      </c>
      <c r="G3764" s="128">
        <f>IF(D3764&gt;=20,5,IF(D3764&gt;=10,4,IF(D3764&gt;=5,3,IF(D3764&gt;=2,2,1))))</f>
        <v/>
      </c>
      <c r="H3764" s="128">
        <f>IF(E3764&gt;=5000,5,IF(E3764&gt;=2000,4,IF(E3764&gt;=800,3,IF(E3764&gt;=300,2,1))))</f>
        <v/>
      </c>
      <c r="I3764" s="126">
        <f>TEXT(F3764,"0")&amp;TEXT(G3764,"0")&amp;TEXT(H3764,"0")</f>
        <v/>
      </c>
      <c r="J3764" s="126">
        <f>IFERROR(XLOOKUP(I3764,'Segment Map'!A:A,'Segment Map'!B:B,"Need Attention"),"Need Attention")</f>
        <v/>
      </c>
      <c r="K3764" s="126">
        <f>IF(E3764&gt;=5000,"🏆 Platinum",IF(E3764&gt;=2000,"🥇 Gold",IF(E3764&gt;=800,"🥈 Silver","🥉 Bronze")))</f>
        <v/>
      </c>
      <c r="L3764" s="129" t="n">
        <v>40666</v>
      </c>
    </row>
    <row r="3765">
      <c r="A3765" s="122" t="n">
        <v>17502</v>
      </c>
      <c r="B3765" s="122" t="inlineStr">
        <is>
          <t>United Kingdom</t>
        </is>
      </c>
      <c r="C3765" s="122" t="n">
        <v>10</v>
      </c>
      <c r="D3765" s="122" t="n">
        <v>4</v>
      </c>
      <c r="E3765" s="123" t="n">
        <v>689.1</v>
      </c>
      <c r="F3765" s="124">
        <f>IF(C3765&lt;=30,5,IF(C3765&lt;=60,4,IF(C3765&lt;=120,3,IF(C3765&lt;=200,2,1))))</f>
        <v/>
      </c>
      <c r="G3765" s="124">
        <f>IF(D3765&gt;=20,5,IF(D3765&gt;=10,4,IF(D3765&gt;=5,3,IF(D3765&gt;=2,2,1))))</f>
        <v/>
      </c>
      <c r="H3765" s="124">
        <f>IF(E3765&gt;=5000,5,IF(E3765&gt;=2000,4,IF(E3765&gt;=800,3,IF(E3765&gt;=300,2,1))))</f>
        <v/>
      </c>
      <c r="I3765" s="122">
        <f>TEXT(F3765,"0")&amp;TEXT(G3765,"0")&amp;TEXT(H3765,"0")</f>
        <v/>
      </c>
      <c r="J3765" s="122">
        <f>IFERROR(XLOOKUP(I3765,'Segment Map'!A:A,'Segment Map'!B:B,"Need Attention"),"Need Attention")</f>
        <v/>
      </c>
      <c r="K3765" s="122">
        <f>IF(E3765&gt;=5000,"🏆 Platinum",IF(E3765&gt;=2000,"🥇 Gold",IF(E3765&gt;=800,"🥈 Silver","🥉 Bronze")))</f>
        <v/>
      </c>
      <c r="L3765" s="125" t="n">
        <v>40877</v>
      </c>
    </row>
    <row r="3766">
      <c r="A3766" s="126" t="n">
        <v>17503</v>
      </c>
      <c r="B3766" s="126" t="inlineStr">
        <is>
          <t>United Kingdom</t>
        </is>
      </c>
      <c r="C3766" s="126" t="n">
        <v>3</v>
      </c>
      <c r="D3766" s="126" t="n">
        <v>2</v>
      </c>
      <c r="E3766" s="127" t="n">
        <v>558.96</v>
      </c>
      <c r="F3766" s="128">
        <f>IF(C3766&lt;=30,5,IF(C3766&lt;=60,4,IF(C3766&lt;=120,3,IF(C3766&lt;=200,2,1))))</f>
        <v/>
      </c>
      <c r="G3766" s="128">
        <f>IF(D3766&gt;=20,5,IF(D3766&gt;=10,4,IF(D3766&gt;=5,3,IF(D3766&gt;=2,2,1))))</f>
        <v/>
      </c>
      <c r="H3766" s="128">
        <f>IF(E3766&gt;=5000,5,IF(E3766&gt;=2000,4,IF(E3766&gt;=800,3,IF(E3766&gt;=300,2,1))))</f>
        <v/>
      </c>
      <c r="I3766" s="126">
        <f>TEXT(F3766,"0")&amp;TEXT(G3766,"0")&amp;TEXT(H3766,"0")</f>
        <v/>
      </c>
      <c r="J3766" s="126">
        <f>IFERROR(XLOOKUP(I3766,'Segment Map'!A:A,'Segment Map'!B:B,"Need Attention"),"Need Attention")</f>
        <v/>
      </c>
      <c r="K3766" s="126">
        <f>IF(E3766&gt;=5000,"🏆 Platinum",IF(E3766&gt;=2000,"🥇 Gold",IF(E3766&gt;=800,"🥈 Silver","🥉 Bronze")))</f>
        <v/>
      </c>
      <c r="L3766" s="129" t="n">
        <v>40884</v>
      </c>
    </row>
    <row r="3767">
      <c r="A3767" s="122" t="n">
        <v>17504</v>
      </c>
      <c r="B3767" s="122" t="inlineStr">
        <is>
          <t>United Kingdom</t>
        </is>
      </c>
      <c r="C3767" s="122" t="n">
        <v>207</v>
      </c>
      <c r="D3767" s="122" t="n">
        <v>9</v>
      </c>
      <c r="E3767" s="123" t="n">
        <v>2997.03</v>
      </c>
      <c r="F3767" s="124">
        <f>IF(C3767&lt;=30,5,IF(C3767&lt;=60,4,IF(C3767&lt;=120,3,IF(C3767&lt;=200,2,1))))</f>
        <v/>
      </c>
      <c r="G3767" s="124">
        <f>IF(D3767&gt;=20,5,IF(D3767&gt;=10,4,IF(D3767&gt;=5,3,IF(D3767&gt;=2,2,1))))</f>
        <v/>
      </c>
      <c r="H3767" s="124">
        <f>IF(E3767&gt;=5000,5,IF(E3767&gt;=2000,4,IF(E3767&gt;=800,3,IF(E3767&gt;=300,2,1))))</f>
        <v/>
      </c>
      <c r="I3767" s="122">
        <f>TEXT(F3767,"0")&amp;TEXT(G3767,"0")&amp;TEXT(H3767,"0")</f>
        <v/>
      </c>
      <c r="J3767" s="122">
        <f>IFERROR(XLOOKUP(I3767,'Segment Map'!A:A,'Segment Map'!B:B,"Need Attention"),"Need Attention")</f>
        <v/>
      </c>
      <c r="K3767" s="122">
        <f>IF(E3767&gt;=5000,"🏆 Platinum",IF(E3767&gt;=2000,"🥇 Gold",IF(E3767&gt;=800,"🥈 Silver","🥉 Bronze")))</f>
        <v/>
      </c>
      <c r="L3767" s="125" t="n">
        <v>40680</v>
      </c>
    </row>
    <row r="3768">
      <c r="A3768" s="126" t="n">
        <v>17505</v>
      </c>
      <c r="B3768" s="126" t="inlineStr">
        <is>
          <t>United Kingdom</t>
        </is>
      </c>
      <c r="C3768" s="126" t="n">
        <v>162</v>
      </c>
      <c r="D3768" s="126" t="n">
        <v>2</v>
      </c>
      <c r="E3768" s="127" t="n">
        <v>1145.84</v>
      </c>
      <c r="F3768" s="128">
        <f>IF(C3768&lt;=30,5,IF(C3768&lt;=60,4,IF(C3768&lt;=120,3,IF(C3768&lt;=200,2,1))))</f>
        <v/>
      </c>
      <c r="G3768" s="128">
        <f>IF(D3768&gt;=20,5,IF(D3768&gt;=10,4,IF(D3768&gt;=5,3,IF(D3768&gt;=2,2,1))))</f>
        <v/>
      </c>
      <c r="H3768" s="128">
        <f>IF(E3768&gt;=5000,5,IF(E3768&gt;=2000,4,IF(E3768&gt;=800,3,IF(E3768&gt;=300,2,1))))</f>
        <v/>
      </c>
      <c r="I3768" s="126">
        <f>TEXT(F3768,"0")&amp;TEXT(G3768,"0")&amp;TEXT(H3768,"0")</f>
        <v/>
      </c>
      <c r="J3768" s="126">
        <f>IFERROR(XLOOKUP(I3768,'Segment Map'!A:A,'Segment Map'!B:B,"Need Attention"),"Need Attention")</f>
        <v/>
      </c>
      <c r="K3768" s="126">
        <f>IF(E3768&gt;=5000,"🏆 Platinum",IF(E3768&gt;=2000,"🥇 Gold",IF(E3768&gt;=800,"🥈 Silver","🥉 Bronze")))</f>
        <v/>
      </c>
      <c r="L3768" s="129" t="n">
        <v>40725</v>
      </c>
    </row>
    <row r="3769">
      <c r="A3769" s="122" t="n">
        <v>17506</v>
      </c>
      <c r="B3769" s="122" t="inlineStr">
        <is>
          <t>United Kingdom</t>
        </is>
      </c>
      <c r="C3769" s="122" t="n">
        <v>76</v>
      </c>
      <c r="D3769" s="122" t="n">
        <v>1</v>
      </c>
      <c r="E3769" s="123" t="n">
        <v>302.2</v>
      </c>
      <c r="F3769" s="124">
        <f>IF(C3769&lt;=30,5,IF(C3769&lt;=60,4,IF(C3769&lt;=120,3,IF(C3769&lt;=200,2,1))))</f>
        <v/>
      </c>
      <c r="G3769" s="124">
        <f>IF(D3769&gt;=20,5,IF(D3769&gt;=10,4,IF(D3769&gt;=5,3,IF(D3769&gt;=2,2,1))))</f>
        <v/>
      </c>
      <c r="H3769" s="124">
        <f>IF(E3769&gt;=5000,5,IF(E3769&gt;=2000,4,IF(E3769&gt;=800,3,IF(E3769&gt;=300,2,1))))</f>
        <v/>
      </c>
      <c r="I3769" s="122">
        <f>TEXT(F3769,"0")&amp;TEXT(G3769,"0")&amp;TEXT(H3769,"0")</f>
        <v/>
      </c>
      <c r="J3769" s="122">
        <f>IFERROR(XLOOKUP(I3769,'Segment Map'!A:A,'Segment Map'!B:B,"Need Attention"),"Need Attention")</f>
        <v/>
      </c>
      <c r="K3769" s="122">
        <f>IF(E3769&gt;=5000,"🏆 Platinum",IF(E3769&gt;=2000,"🥇 Gold",IF(E3769&gt;=800,"🥈 Silver","🥉 Bronze")))</f>
        <v/>
      </c>
      <c r="L3769" s="125" t="n">
        <v>40811</v>
      </c>
    </row>
    <row r="3770">
      <c r="A3770" s="126" t="n">
        <v>17507</v>
      </c>
      <c r="B3770" s="126" t="inlineStr">
        <is>
          <t>United Kingdom</t>
        </is>
      </c>
      <c r="C3770" s="126" t="n">
        <v>262</v>
      </c>
      <c r="D3770" s="126" t="n">
        <v>2</v>
      </c>
      <c r="E3770" s="127" t="n">
        <v>605.58</v>
      </c>
      <c r="F3770" s="128">
        <f>IF(C3770&lt;=30,5,IF(C3770&lt;=60,4,IF(C3770&lt;=120,3,IF(C3770&lt;=200,2,1))))</f>
        <v/>
      </c>
      <c r="G3770" s="128">
        <f>IF(D3770&gt;=20,5,IF(D3770&gt;=10,4,IF(D3770&gt;=5,3,IF(D3770&gt;=2,2,1))))</f>
        <v/>
      </c>
      <c r="H3770" s="128">
        <f>IF(E3770&gt;=5000,5,IF(E3770&gt;=2000,4,IF(E3770&gt;=800,3,IF(E3770&gt;=300,2,1))))</f>
        <v/>
      </c>
      <c r="I3770" s="126">
        <f>TEXT(F3770,"0")&amp;TEXT(G3770,"0")&amp;TEXT(H3770,"0")</f>
        <v/>
      </c>
      <c r="J3770" s="126">
        <f>IFERROR(XLOOKUP(I3770,'Segment Map'!A:A,'Segment Map'!B:B,"Need Attention"),"Need Attention")</f>
        <v/>
      </c>
      <c r="K3770" s="126">
        <f>IF(E3770&gt;=5000,"🏆 Platinum",IF(E3770&gt;=2000,"🥇 Gold",IF(E3770&gt;=800,"🥈 Silver","🥉 Bronze")))</f>
        <v/>
      </c>
      <c r="L3770" s="129" t="n">
        <v>40625</v>
      </c>
    </row>
    <row r="3771">
      <c r="A3771" s="122" t="n">
        <v>17508</v>
      </c>
      <c r="B3771" s="122" t="inlineStr">
        <is>
          <t>Greece</t>
        </is>
      </c>
      <c r="C3771" s="122" t="n">
        <v>281</v>
      </c>
      <c r="D3771" s="122" t="n">
        <v>1</v>
      </c>
      <c r="E3771" s="123" t="n">
        <v>387.31</v>
      </c>
      <c r="F3771" s="124">
        <f>IF(C3771&lt;=30,5,IF(C3771&lt;=60,4,IF(C3771&lt;=120,3,IF(C3771&lt;=200,2,1))))</f>
        <v/>
      </c>
      <c r="G3771" s="124">
        <f>IF(D3771&gt;=20,5,IF(D3771&gt;=10,4,IF(D3771&gt;=5,3,IF(D3771&gt;=2,2,1))))</f>
        <v/>
      </c>
      <c r="H3771" s="124">
        <f>IF(E3771&gt;=5000,5,IF(E3771&gt;=2000,4,IF(E3771&gt;=800,3,IF(E3771&gt;=300,2,1))))</f>
        <v/>
      </c>
      <c r="I3771" s="122">
        <f>TEXT(F3771,"0")&amp;TEXT(G3771,"0")&amp;TEXT(H3771,"0")</f>
        <v/>
      </c>
      <c r="J3771" s="122">
        <f>IFERROR(XLOOKUP(I3771,'Segment Map'!A:A,'Segment Map'!B:B,"Need Attention"),"Need Attention")</f>
        <v/>
      </c>
      <c r="K3771" s="122">
        <f>IF(E3771&gt;=5000,"🏆 Platinum",IF(E3771&gt;=2000,"🥇 Gold",IF(E3771&gt;=800,"🥈 Silver","🥉 Bronze")))</f>
        <v/>
      </c>
      <c r="L3771" s="125" t="n">
        <v>40606</v>
      </c>
    </row>
    <row r="3772">
      <c r="A3772" s="126" t="n">
        <v>17509</v>
      </c>
      <c r="B3772" s="126" t="inlineStr">
        <is>
          <t>United Kingdom</t>
        </is>
      </c>
      <c r="C3772" s="126" t="n">
        <v>58</v>
      </c>
      <c r="D3772" s="126" t="n">
        <v>8</v>
      </c>
      <c r="E3772" s="127" t="n">
        <v>6115.14</v>
      </c>
      <c r="F3772" s="128">
        <f>IF(C3772&lt;=30,5,IF(C3772&lt;=60,4,IF(C3772&lt;=120,3,IF(C3772&lt;=200,2,1))))</f>
        <v/>
      </c>
      <c r="G3772" s="128">
        <f>IF(D3772&gt;=20,5,IF(D3772&gt;=10,4,IF(D3772&gt;=5,3,IF(D3772&gt;=2,2,1))))</f>
        <v/>
      </c>
      <c r="H3772" s="128">
        <f>IF(E3772&gt;=5000,5,IF(E3772&gt;=2000,4,IF(E3772&gt;=800,3,IF(E3772&gt;=300,2,1))))</f>
        <v/>
      </c>
      <c r="I3772" s="126">
        <f>TEXT(F3772,"0")&amp;TEXT(G3772,"0")&amp;TEXT(H3772,"0")</f>
        <v/>
      </c>
      <c r="J3772" s="126">
        <f>IFERROR(XLOOKUP(I3772,'Segment Map'!A:A,'Segment Map'!B:B,"Need Attention"),"Need Attention")</f>
        <v/>
      </c>
      <c r="K3772" s="126">
        <f>IF(E3772&gt;=5000,"🏆 Platinum",IF(E3772&gt;=2000,"🥇 Gold",IF(E3772&gt;=800,"🥈 Silver","🥉 Bronze")))</f>
        <v/>
      </c>
      <c r="L3772" s="129" t="n">
        <v>40829</v>
      </c>
    </row>
    <row r="3773">
      <c r="A3773" s="122" t="n">
        <v>17510</v>
      </c>
      <c r="B3773" s="122" t="inlineStr">
        <is>
          <t>United Kingdom</t>
        </is>
      </c>
      <c r="C3773" s="122" t="n">
        <v>25</v>
      </c>
      <c r="D3773" s="122" t="n">
        <v>1</v>
      </c>
      <c r="E3773" s="123" t="n">
        <v>308.48</v>
      </c>
      <c r="F3773" s="124">
        <f>IF(C3773&lt;=30,5,IF(C3773&lt;=60,4,IF(C3773&lt;=120,3,IF(C3773&lt;=200,2,1))))</f>
        <v/>
      </c>
      <c r="G3773" s="124">
        <f>IF(D3773&gt;=20,5,IF(D3773&gt;=10,4,IF(D3773&gt;=5,3,IF(D3773&gt;=2,2,1))))</f>
        <v/>
      </c>
      <c r="H3773" s="124">
        <f>IF(E3773&gt;=5000,5,IF(E3773&gt;=2000,4,IF(E3773&gt;=800,3,IF(E3773&gt;=300,2,1))))</f>
        <v/>
      </c>
      <c r="I3773" s="122">
        <f>TEXT(F3773,"0")&amp;TEXT(G3773,"0")&amp;TEXT(H3773,"0")</f>
        <v/>
      </c>
      <c r="J3773" s="122">
        <f>IFERROR(XLOOKUP(I3773,'Segment Map'!A:A,'Segment Map'!B:B,"Need Attention"),"Need Attention")</f>
        <v/>
      </c>
      <c r="K3773" s="122">
        <f>IF(E3773&gt;=5000,"🏆 Platinum",IF(E3773&gt;=2000,"🥇 Gold",IF(E3773&gt;=800,"🥈 Silver","🥉 Bronze")))</f>
        <v/>
      </c>
      <c r="L3773" s="125" t="n">
        <v>40862</v>
      </c>
    </row>
    <row r="3774">
      <c r="A3774" s="126" t="n">
        <v>17511</v>
      </c>
      <c r="B3774" s="126" t="inlineStr">
        <is>
          <t>United Kingdom</t>
        </is>
      </c>
      <c r="C3774" s="126" t="n">
        <v>3</v>
      </c>
      <c r="D3774" s="126" t="n">
        <v>31</v>
      </c>
      <c r="E3774" s="127" t="n">
        <v>91062.38</v>
      </c>
      <c r="F3774" s="128">
        <f>IF(C3774&lt;=30,5,IF(C3774&lt;=60,4,IF(C3774&lt;=120,3,IF(C3774&lt;=200,2,1))))</f>
        <v/>
      </c>
      <c r="G3774" s="128">
        <f>IF(D3774&gt;=20,5,IF(D3774&gt;=10,4,IF(D3774&gt;=5,3,IF(D3774&gt;=2,2,1))))</f>
        <v/>
      </c>
      <c r="H3774" s="128">
        <f>IF(E3774&gt;=5000,5,IF(E3774&gt;=2000,4,IF(E3774&gt;=800,3,IF(E3774&gt;=300,2,1))))</f>
        <v/>
      </c>
      <c r="I3774" s="126">
        <f>TEXT(F3774,"0")&amp;TEXT(G3774,"0")&amp;TEXT(H3774,"0")</f>
        <v/>
      </c>
      <c r="J3774" s="126">
        <f>IFERROR(XLOOKUP(I3774,'Segment Map'!A:A,'Segment Map'!B:B,"Need Attention"),"Need Attention")</f>
        <v/>
      </c>
      <c r="K3774" s="126">
        <f>IF(E3774&gt;=5000,"🏆 Platinum",IF(E3774&gt;=2000,"🥇 Gold",IF(E3774&gt;=800,"🥈 Silver","🥉 Bronze")))</f>
        <v/>
      </c>
      <c r="L3774" s="129" t="n">
        <v>40884</v>
      </c>
    </row>
    <row r="3775">
      <c r="A3775" s="122" t="n">
        <v>17512</v>
      </c>
      <c r="B3775" s="122" t="inlineStr">
        <is>
          <t>United Kingdom</t>
        </is>
      </c>
      <c r="C3775" s="122" t="n">
        <v>29</v>
      </c>
      <c r="D3775" s="122" t="n">
        <v>10</v>
      </c>
      <c r="E3775" s="123" t="n">
        <v>2924.99</v>
      </c>
      <c r="F3775" s="124">
        <f>IF(C3775&lt;=30,5,IF(C3775&lt;=60,4,IF(C3775&lt;=120,3,IF(C3775&lt;=200,2,1))))</f>
        <v/>
      </c>
      <c r="G3775" s="124">
        <f>IF(D3775&gt;=20,5,IF(D3775&gt;=10,4,IF(D3775&gt;=5,3,IF(D3775&gt;=2,2,1))))</f>
        <v/>
      </c>
      <c r="H3775" s="124">
        <f>IF(E3775&gt;=5000,5,IF(E3775&gt;=2000,4,IF(E3775&gt;=800,3,IF(E3775&gt;=300,2,1))))</f>
        <v/>
      </c>
      <c r="I3775" s="122">
        <f>TEXT(F3775,"0")&amp;TEXT(G3775,"0")&amp;TEXT(H3775,"0")</f>
        <v/>
      </c>
      <c r="J3775" s="122">
        <f>IFERROR(XLOOKUP(I3775,'Segment Map'!A:A,'Segment Map'!B:B,"Need Attention"),"Need Attention")</f>
        <v/>
      </c>
      <c r="K3775" s="122">
        <f>IF(E3775&gt;=5000,"🏆 Platinum",IF(E3775&gt;=2000,"🥇 Gold",IF(E3775&gt;=800,"🥈 Silver","🥉 Bronze")))</f>
        <v/>
      </c>
      <c r="L3775" s="125" t="n">
        <v>40858</v>
      </c>
    </row>
    <row r="3776">
      <c r="A3776" s="126" t="n">
        <v>17513</v>
      </c>
      <c r="B3776" s="126" t="inlineStr">
        <is>
          <t>United Kingdom</t>
        </is>
      </c>
      <c r="C3776" s="126" t="n">
        <v>73</v>
      </c>
      <c r="D3776" s="126" t="n">
        <v>1</v>
      </c>
      <c r="E3776" s="127" t="n">
        <v>513.2</v>
      </c>
      <c r="F3776" s="128">
        <f>IF(C3776&lt;=30,5,IF(C3776&lt;=60,4,IF(C3776&lt;=120,3,IF(C3776&lt;=200,2,1))))</f>
        <v/>
      </c>
      <c r="G3776" s="128">
        <f>IF(D3776&gt;=20,5,IF(D3776&gt;=10,4,IF(D3776&gt;=5,3,IF(D3776&gt;=2,2,1))))</f>
        <v/>
      </c>
      <c r="H3776" s="128">
        <f>IF(E3776&gt;=5000,5,IF(E3776&gt;=2000,4,IF(E3776&gt;=800,3,IF(E3776&gt;=300,2,1))))</f>
        <v/>
      </c>
      <c r="I3776" s="126">
        <f>TEXT(F3776,"0")&amp;TEXT(G3776,"0")&amp;TEXT(H3776,"0")</f>
        <v/>
      </c>
      <c r="J3776" s="126">
        <f>IFERROR(XLOOKUP(I3776,'Segment Map'!A:A,'Segment Map'!B:B,"Need Attention"),"Need Attention")</f>
        <v/>
      </c>
      <c r="K3776" s="126">
        <f>IF(E3776&gt;=5000,"🏆 Platinum",IF(E3776&gt;=2000,"🥇 Gold",IF(E3776&gt;=800,"🥈 Silver","🥉 Bronze")))</f>
        <v/>
      </c>
      <c r="L3776" s="129" t="n">
        <v>40814</v>
      </c>
    </row>
    <row r="3777">
      <c r="A3777" s="122" t="n">
        <v>17514</v>
      </c>
      <c r="B3777" s="122" t="inlineStr">
        <is>
          <t>United Kingdom</t>
        </is>
      </c>
      <c r="C3777" s="122" t="n">
        <v>129</v>
      </c>
      <c r="D3777" s="122" t="n">
        <v>1</v>
      </c>
      <c r="E3777" s="123" t="n">
        <v>208.65</v>
      </c>
      <c r="F3777" s="124">
        <f>IF(C3777&lt;=30,5,IF(C3777&lt;=60,4,IF(C3777&lt;=120,3,IF(C3777&lt;=200,2,1))))</f>
        <v/>
      </c>
      <c r="G3777" s="124">
        <f>IF(D3777&gt;=20,5,IF(D3777&gt;=10,4,IF(D3777&gt;=5,3,IF(D3777&gt;=2,2,1))))</f>
        <v/>
      </c>
      <c r="H3777" s="124">
        <f>IF(E3777&gt;=5000,5,IF(E3777&gt;=2000,4,IF(E3777&gt;=800,3,IF(E3777&gt;=300,2,1))))</f>
        <v/>
      </c>
      <c r="I3777" s="122">
        <f>TEXT(F3777,"0")&amp;TEXT(G3777,"0")&amp;TEXT(H3777,"0")</f>
        <v/>
      </c>
      <c r="J3777" s="122">
        <f>IFERROR(XLOOKUP(I3777,'Segment Map'!A:A,'Segment Map'!B:B,"Need Attention"),"Need Attention")</f>
        <v/>
      </c>
      <c r="K3777" s="122">
        <f>IF(E3777&gt;=5000,"🏆 Platinum",IF(E3777&gt;=2000,"🥇 Gold",IF(E3777&gt;=800,"🥈 Silver","🥉 Bronze")))</f>
        <v/>
      </c>
      <c r="L3777" s="125" t="n">
        <v>40758</v>
      </c>
    </row>
    <row r="3778">
      <c r="A3778" s="126" t="n">
        <v>17515</v>
      </c>
      <c r="B3778" s="126" t="inlineStr">
        <is>
          <t>United Kingdom</t>
        </is>
      </c>
      <c r="C3778" s="126" t="n">
        <v>32</v>
      </c>
      <c r="D3778" s="126" t="n">
        <v>4</v>
      </c>
      <c r="E3778" s="127" t="n">
        <v>639.02</v>
      </c>
      <c r="F3778" s="128">
        <f>IF(C3778&lt;=30,5,IF(C3778&lt;=60,4,IF(C3778&lt;=120,3,IF(C3778&lt;=200,2,1))))</f>
        <v/>
      </c>
      <c r="G3778" s="128">
        <f>IF(D3778&gt;=20,5,IF(D3778&gt;=10,4,IF(D3778&gt;=5,3,IF(D3778&gt;=2,2,1))))</f>
        <v/>
      </c>
      <c r="H3778" s="128">
        <f>IF(E3778&gt;=5000,5,IF(E3778&gt;=2000,4,IF(E3778&gt;=800,3,IF(E3778&gt;=300,2,1))))</f>
        <v/>
      </c>
      <c r="I3778" s="126">
        <f>TEXT(F3778,"0")&amp;TEXT(G3778,"0")&amp;TEXT(H3778,"0")</f>
        <v/>
      </c>
      <c r="J3778" s="126">
        <f>IFERROR(XLOOKUP(I3778,'Segment Map'!A:A,'Segment Map'!B:B,"Need Attention"),"Need Attention")</f>
        <v/>
      </c>
      <c r="K3778" s="126">
        <f>IF(E3778&gt;=5000,"🏆 Platinum",IF(E3778&gt;=2000,"🥇 Gold",IF(E3778&gt;=800,"🥈 Silver","🥉 Bronze")))</f>
        <v/>
      </c>
      <c r="L3778" s="129" t="n">
        <v>40855</v>
      </c>
    </row>
    <row r="3779">
      <c r="A3779" s="122" t="n">
        <v>17516</v>
      </c>
      <c r="B3779" s="122" t="inlineStr">
        <is>
          <t>United Kingdom</t>
        </is>
      </c>
      <c r="C3779" s="122" t="n">
        <v>16</v>
      </c>
      <c r="D3779" s="122" t="n">
        <v>5</v>
      </c>
      <c r="E3779" s="123" t="n">
        <v>768.08</v>
      </c>
      <c r="F3779" s="124">
        <f>IF(C3779&lt;=30,5,IF(C3779&lt;=60,4,IF(C3779&lt;=120,3,IF(C3779&lt;=200,2,1))))</f>
        <v/>
      </c>
      <c r="G3779" s="124">
        <f>IF(D3779&gt;=20,5,IF(D3779&gt;=10,4,IF(D3779&gt;=5,3,IF(D3779&gt;=2,2,1))))</f>
        <v/>
      </c>
      <c r="H3779" s="124">
        <f>IF(E3779&gt;=5000,5,IF(E3779&gt;=2000,4,IF(E3779&gt;=800,3,IF(E3779&gt;=300,2,1))))</f>
        <v/>
      </c>
      <c r="I3779" s="122">
        <f>TEXT(F3779,"0")&amp;TEXT(G3779,"0")&amp;TEXT(H3779,"0")</f>
        <v/>
      </c>
      <c r="J3779" s="122">
        <f>IFERROR(XLOOKUP(I3779,'Segment Map'!A:A,'Segment Map'!B:B,"Need Attention"),"Need Attention")</f>
        <v/>
      </c>
      <c r="K3779" s="122">
        <f>IF(E3779&gt;=5000,"🏆 Platinum",IF(E3779&gt;=2000,"🥇 Gold",IF(E3779&gt;=800,"🥈 Silver","🥉 Bronze")))</f>
        <v/>
      </c>
      <c r="L3779" s="125" t="n">
        <v>40871</v>
      </c>
    </row>
    <row r="3780">
      <c r="A3780" s="126" t="n">
        <v>17517</v>
      </c>
      <c r="B3780" s="126" t="inlineStr">
        <is>
          <t>United Kingdom</t>
        </is>
      </c>
      <c r="C3780" s="126" t="n">
        <v>309</v>
      </c>
      <c r="D3780" s="126" t="n">
        <v>1</v>
      </c>
      <c r="E3780" s="127" t="n">
        <v>153.94</v>
      </c>
      <c r="F3780" s="128">
        <f>IF(C3780&lt;=30,5,IF(C3780&lt;=60,4,IF(C3780&lt;=120,3,IF(C3780&lt;=200,2,1))))</f>
        <v/>
      </c>
      <c r="G3780" s="128">
        <f>IF(D3780&gt;=20,5,IF(D3780&gt;=10,4,IF(D3780&gt;=5,3,IF(D3780&gt;=2,2,1))))</f>
        <v/>
      </c>
      <c r="H3780" s="128">
        <f>IF(E3780&gt;=5000,5,IF(E3780&gt;=2000,4,IF(E3780&gt;=800,3,IF(E3780&gt;=300,2,1))))</f>
        <v/>
      </c>
      <c r="I3780" s="126">
        <f>TEXT(F3780,"0")&amp;TEXT(G3780,"0")&amp;TEXT(H3780,"0")</f>
        <v/>
      </c>
      <c r="J3780" s="126">
        <f>IFERROR(XLOOKUP(I3780,'Segment Map'!A:A,'Segment Map'!B:B,"Need Attention"),"Need Attention")</f>
        <v/>
      </c>
      <c r="K3780" s="126">
        <f>IF(E3780&gt;=5000,"🏆 Platinum",IF(E3780&gt;=2000,"🥇 Gold",IF(E3780&gt;=800,"🥈 Silver","🥉 Bronze")))</f>
        <v/>
      </c>
      <c r="L3780" s="129" t="n">
        <v>40578</v>
      </c>
    </row>
    <row r="3781">
      <c r="A3781" s="122" t="n">
        <v>17519</v>
      </c>
      <c r="B3781" s="122" t="inlineStr">
        <is>
          <t>United Kingdom</t>
        </is>
      </c>
      <c r="C3781" s="122" t="n">
        <v>18</v>
      </c>
      <c r="D3781" s="122" t="n">
        <v>6</v>
      </c>
      <c r="E3781" s="123" t="n">
        <v>1844.02</v>
      </c>
      <c r="F3781" s="124">
        <f>IF(C3781&lt;=30,5,IF(C3781&lt;=60,4,IF(C3781&lt;=120,3,IF(C3781&lt;=200,2,1))))</f>
        <v/>
      </c>
      <c r="G3781" s="124">
        <f>IF(D3781&gt;=20,5,IF(D3781&gt;=10,4,IF(D3781&gt;=5,3,IF(D3781&gt;=2,2,1))))</f>
        <v/>
      </c>
      <c r="H3781" s="124">
        <f>IF(E3781&gt;=5000,5,IF(E3781&gt;=2000,4,IF(E3781&gt;=800,3,IF(E3781&gt;=300,2,1))))</f>
        <v/>
      </c>
      <c r="I3781" s="122">
        <f>TEXT(F3781,"0")&amp;TEXT(G3781,"0")&amp;TEXT(H3781,"0")</f>
        <v/>
      </c>
      <c r="J3781" s="122">
        <f>IFERROR(XLOOKUP(I3781,'Segment Map'!A:A,'Segment Map'!B:B,"Need Attention"),"Need Attention")</f>
        <v/>
      </c>
      <c r="K3781" s="122">
        <f>IF(E3781&gt;=5000,"🏆 Platinum",IF(E3781&gt;=2000,"🥇 Gold",IF(E3781&gt;=800,"🥈 Silver","🥉 Bronze")))</f>
        <v/>
      </c>
      <c r="L3781" s="125" t="n">
        <v>40869</v>
      </c>
    </row>
    <row r="3782">
      <c r="A3782" s="126" t="n">
        <v>17520</v>
      </c>
      <c r="B3782" s="126" t="inlineStr">
        <is>
          <t>United Kingdom</t>
        </is>
      </c>
      <c r="C3782" s="126" t="n">
        <v>54</v>
      </c>
      <c r="D3782" s="126" t="n">
        <v>1</v>
      </c>
      <c r="E3782" s="127" t="n">
        <v>546.8099999999999</v>
      </c>
      <c r="F3782" s="128">
        <f>IF(C3782&lt;=30,5,IF(C3782&lt;=60,4,IF(C3782&lt;=120,3,IF(C3782&lt;=200,2,1))))</f>
        <v/>
      </c>
      <c r="G3782" s="128">
        <f>IF(D3782&gt;=20,5,IF(D3782&gt;=10,4,IF(D3782&gt;=5,3,IF(D3782&gt;=2,2,1))))</f>
        <v/>
      </c>
      <c r="H3782" s="128">
        <f>IF(E3782&gt;=5000,5,IF(E3782&gt;=2000,4,IF(E3782&gt;=800,3,IF(E3782&gt;=300,2,1))))</f>
        <v/>
      </c>
      <c r="I3782" s="126">
        <f>TEXT(F3782,"0")&amp;TEXT(G3782,"0")&amp;TEXT(H3782,"0")</f>
        <v/>
      </c>
      <c r="J3782" s="126">
        <f>IFERROR(XLOOKUP(I3782,'Segment Map'!A:A,'Segment Map'!B:B,"Need Attention"),"Need Attention")</f>
        <v/>
      </c>
      <c r="K3782" s="126">
        <f>IF(E3782&gt;=5000,"🏆 Platinum",IF(E3782&gt;=2000,"🥇 Gold",IF(E3782&gt;=800,"🥈 Silver","🥉 Bronze")))</f>
        <v/>
      </c>
      <c r="L3782" s="129" t="n">
        <v>40833</v>
      </c>
    </row>
    <row r="3783">
      <c r="A3783" s="122" t="n">
        <v>17521</v>
      </c>
      <c r="B3783" s="122" t="inlineStr">
        <is>
          <t>United Kingdom</t>
        </is>
      </c>
      <c r="C3783" s="122" t="n">
        <v>30</v>
      </c>
      <c r="D3783" s="122" t="n">
        <v>3</v>
      </c>
      <c r="E3783" s="123" t="n">
        <v>723.21</v>
      </c>
      <c r="F3783" s="124">
        <f>IF(C3783&lt;=30,5,IF(C3783&lt;=60,4,IF(C3783&lt;=120,3,IF(C3783&lt;=200,2,1))))</f>
        <v/>
      </c>
      <c r="G3783" s="124">
        <f>IF(D3783&gt;=20,5,IF(D3783&gt;=10,4,IF(D3783&gt;=5,3,IF(D3783&gt;=2,2,1))))</f>
        <v/>
      </c>
      <c r="H3783" s="124">
        <f>IF(E3783&gt;=5000,5,IF(E3783&gt;=2000,4,IF(E3783&gt;=800,3,IF(E3783&gt;=300,2,1))))</f>
        <v/>
      </c>
      <c r="I3783" s="122">
        <f>TEXT(F3783,"0")&amp;TEXT(G3783,"0")&amp;TEXT(H3783,"0")</f>
        <v/>
      </c>
      <c r="J3783" s="122">
        <f>IFERROR(XLOOKUP(I3783,'Segment Map'!A:A,'Segment Map'!B:B,"Need Attention"),"Need Attention")</f>
        <v/>
      </c>
      <c r="K3783" s="122">
        <f>IF(E3783&gt;=5000,"🏆 Platinum",IF(E3783&gt;=2000,"🥇 Gold",IF(E3783&gt;=800,"🥈 Silver","🥉 Bronze")))</f>
        <v/>
      </c>
      <c r="L3783" s="125" t="n">
        <v>40857</v>
      </c>
    </row>
    <row r="3784">
      <c r="A3784" s="126" t="n">
        <v>17522</v>
      </c>
      <c r="B3784" s="126" t="inlineStr">
        <is>
          <t>United Kingdom</t>
        </is>
      </c>
      <c r="C3784" s="126" t="n">
        <v>2</v>
      </c>
      <c r="D3784" s="126" t="n">
        <v>5</v>
      </c>
      <c r="E3784" s="127" t="n">
        <v>1070.71</v>
      </c>
      <c r="F3784" s="128">
        <f>IF(C3784&lt;=30,5,IF(C3784&lt;=60,4,IF(C3784&lt;=120,3,IF(C3784&lt;=200,2,1))))</f>
        <v/>
      </c>
      <c r="G3784" s="128">
        <f>IF(D3784&gt;=20,5,IF(D3784&gt;=10,4,IF(D3784&gt;=5,3,IF(D3784&gt;=2,2,1))))</f>
        <v/>
      </c>
      <c r="H3784" s="128">
        <f>IF(E3784&gt;=5000,5,IF(E3784&gt;=2000,4,IF(E3784&gt;=800,3,IF(E3784&gt;=300,2,1))))</f>
        <v/>
      </c>
      <c r="I3784" s="126">
        <f>TEXT(F3784,"0")&amp;TEXT(G3784,"0")&amp;TEXT(H3784,"0")</f>
        <v/>
      </c>
      <c r="J3784" s="126">
        <f>IFERROR(XLOOKUP(I3784,'Segment Map'!A:A,'Segment Map'!B:B,"Need Attention"),"Need Attention")</f>
        <v/>
      </c>
      <c r="K3784" s="126">
        <f>IF(E3784&gt;=5000,"🏆 Platinum",IF(E3784&gt;=2000,"🥇 Gold",IF(E3784&gt;=800,"🥈 Silver","🥉 Bronze")))</f>
        <v/>
      </c>
      <c r="L3784" s="129" t="n">
        <v>40885</v>
      </c>
    </row>
    <row r="3785">
      <c r="A3785" s="122" t="n">
        <v>17523</v>
      </c>
      <c r="B3785" s="122" t="inlineStr">
        <is>
          <t>United Kingdom</t>
        </is>
      </c>
      <c r="C3785" s="122" t="n">
        <v>12</v>
      </c>
      <c r="D3785" s="122" t="n">
        <v>4</v>
      </c>
      <c r="E3785" s="123" t="n">
        <v>652.74</v>
      </c>
      <c r="F3785" s="124">
        <f>IF(C3785&lt;=30,5,IF(C3785&lt;=60,4,IF(C3785&lt;=120,3,IF(C3785&lt;=200,2,1))))</f>
        <v/>
      </c>
      <c r="G3785" s="124">
        <f>IF(D3785&gt;=20,5,IF(D3785&gt;=10,4,IF(D3785&gt;=5,3,IF(D3785&gt;=2,2,1))))</f>
        <v/>
      </c>
      <c r="H3785" s="124">
        <f>IF(E3785&gt;=5000,5,IF(E3785&gt;=2000,4,IF(E3785&gt;=800,3,IF(E3785&gt;=300,2,1))))</f>
        <v/>
      </c>
      <c r="I3785" s="122">
        <f>TEXT(F3785,"0")&amp;TEXT(G3785,"0")&amp;TEXT(H3785,"0")</f>
        <v/>
      </c>
      <c r="J3785" s="122">
        <f>IFERROR(XLOOKUP(I3785,'Segment Map'!A:A,'Segment Map'!B:B,"Need Attention"),"Need Attention")</f>
        <v/>
      </c>
      <c r="K3785" s="122">
        <f>IF(E3785&gt;=5000,"🏆 Platinum",IF(E3785&gt;=2000,"🥇 Gold",IF(E3785&gt;=800,"🥈 Silver","🥉 Bronze")))</f>
        <v/>
      </c>
      <c r="L3785" s="125" t="n">
        <v>40875</v>
      </c>
    </row>
    <row r="3786">
      <c r="A3786" s="126" t="n">
        <v>17524</v>
      </c>
      <c r="B3786" s="126" t="inlineStr">
        <is>
          <t>United Kingdom</t>
        </is>
      </c>
      <c r="C3786" s="126" t="n">
        <v>362</v>
      </c>
      <c r="D3786" s="126" t="n">
        <v>1</v>
      </c>
      <c r="E3786" s="127" t="n">
        <v>145</v>
      </c>
      <c r="F3786" s="128">
        <f>IF(C3786&lt;=30,5,IF(C3786&lt;=60,4,IF(C3786&lt;=120,3,IF(C3786&lt;=200,2,1))))</f>
        <v/>
      </c>
      <c r="G3786" s="128">
        <f>IF(D3786&gt;=20,5,IF(D3786&gt;=10,4,IF(D3786&gt;=5,3,IF(D3786&gt;=2,2,1))))</f>
        <v/>
      </c>
      <c r="H3786" s="128">
        <f>IF(E3786&gt;=5000,5,IF(E3786&gt;=2000,4,IF(E3786&gt;=800,3,IF(E3786&gt;=300,2,1))))</f>
        <v/>
      </c>
      <c r="I3786" s="126">
        <f>TEXT(F3786,"0")&amp;TEXT(G3786,"0")&amp;TEXT(H3786,"0")</f>
        <v/>
      </c>
      <c r="J3786" s="126">
        <f>IFERROR(XLOOKUP(I3786,'Segment Map'!A:A,'Segment Map'!B:B,"Need Attention"),"Need Attention")</f>
        <v/>
      </c>
      <c r="K3786" s="126">
        <f>IF(E3786&gt;=5000,"🏆 Platinum",IF(E3786&gt;=2000,"🥇 Gold",IF(E3786&gt;=800,"🥈 Silver","🥉 Bronze")))</f>
        <v/>
      </c>
      <c r="L3786" s="129" t="n">
        <v>40525</v>
      </c>
    </row>
    <row r="3787">
      <c r="A3787" s="122" t="n">
        <v>17525</v>
      </c>
      <c r="B3787" s="122" t="inlineStr">
        <is>
          <t>United Kingdom</t>
        </is>
      </c>
      <c r="C3787" s="122" t="n">
        <v>360</v>
      </c>
      <c r="D3787" s="122" t="n">
        <v>1</v>
      </c>
      <c r="E3787" s="123" t="n">
        <v>422.7</v>
      </c>
      <c r="F3787" s="124">
        <f>IF(C3787&lt;=30,5,IF(C3787&lt;=60,4,IF(C3787&lt;=120,3,IF(C3787&lt;=200,2,1))))</f>
        <v/>
      </c>
      <c r="G3787" s="124">
        <f>IF(D3787&gt;=20,5,IF(D3787&gt;=10,4,IF(D3787&gt;=5,3,IF(D3787&gt;=2,2,1))))</f>
        <v/>
      </c>
      <c r="H3787" s="124">
        <f>IF(E3787&gt;=5000,5,IF(E3787&gt;=2000,4,IF(E3787&gt;=800,3,IF(E3787&gt;=300,2,1))))</f>
        <v/>
      </c>
      <c r="I3787" s="122">
        <f>TEXT(F3787,"0")&amp;TEXT(G3787,"0")&amp;TEXT(H3787,"0")</f>
        <v/>
      </c>
      <c r="J3787" s="122">
        <f>IFERROR(XLOOKUP(I3787,'Segment Map'!A:A,'Segment Map'!B:B,"Need Attention"),"Need Attention")</f>
        <v/>
      </c>
      <c r="K3787" s="122">
        <f>IF(E3787&gt;=5000,"🏆 Platinum",IF(E3787&gt;=2000,"🥇 Gold",IF(E3787&gt;=800,"🥈 Silver","🥉 Bronze")))</f>
        <v/>
      </c>
      <c r="L3787" s="125" t="n">
        <v>40527</v>
      </c>
    </row>
    <row r="3788">
      <c r="A3788" s="126" t="n">
        <v>17526</v>
      </c>
      <c r="B3788" s="126" t="inlineStr">
        <is>
          <t>United Kingdom</t>
        </is>
      </c>
      <c r="C3788" s="126" t="n">
        <v>5</v>
      </c>
      <c r="D3788" s="126" t="n">
        <v>4</v>
      </c>
      <c r="E3788" s="127" t="n">
        <v>1195.9</v>
      </c>
      <c r="F3788" s="128">
        <f>IF(C3788&lt;=30,5,IF(C3788&lt;=60,4,IF(C3788&lt;=120,3,IF(C3788&lt;=200,2,1))))</f>
        <v/>
      </c>
      <c r="G3788" s="128">
        <f>IF(D3788&gt;=20,5,IF(D3788&gt;=10,4,IF(D3788&gt;=5,3,IF(D3788&gt;=2,2,1))))</f>
        <v/>
      </c>
      <c r="H3788" s="128">
        <f>IF(E3788&gt;=5000,5,IF(E3788&gt;=2000,4,IF(E3788&gt;=800,3,IF(E3788&gt;=300,2,1))))</f>
        <v/>
      </c>
      <c r="I3788" s="126">
        <f>TEXT(F3788,"0")&amp;TEXT(G3788,"0")&amp;TEXT(H3788,"0")</f>
        <v/>
      </c>
      <c r="J3788" s="126">
        <f>IFERROR(XLOOKUP(I3788,'Segment Map'!A:A,'Segment Map'!B:B,"Need Attention"),"Need Attention")</f>
        <v/>
      </c>
      <c r="K3788" s="126">
        <f>IF(E3788&gt;=5000,"🏆 Platinum",IF(E3788&gt;=2000,"🥇 Gold",IF(E3788&gt;=800,"🥈 Silver","🥉 Bronze")))</f>
        <v/>
      </c>
      <c r="L3788" s="129" t="n">
        <v>40882</v>
      </c>
    </row>
    <row r="3789">
      <c r="A3789" s="122" t="n">
        <v>17527</v>
      </c>
      <c r="B3789" s="122" t="inlineStr">
        <is>
          <t>United Kingdom</t>
        </is>
      </c>
      <c r="C3789" s="122" t="n">
        <v>54</v>
      </c>
      <c r="D3789" s="122" t="n">
        <v>4</v>
      </c>
      <c r="E3789" s="123" t="n">
        <v>939.37</v>
      </c>
      <c r="F3789" s="124">
        <f>IF(C3789&lt;=30,5,IF(C3789&lt;=60,4,IF(C3789&lt;=120,3,IF(C3789&lt;=200,2,1))))</f>
        <v/>
      </c>
      <c r="G3789" s="124">
        <f>IF(D3789&gt;=20,5,IF(D3789&gt;=10,4,IF(D3789&gt;=5,3,IF(D3789&gt;=2,2,1))))</f>
        <v/>
      </c>
      <c r="H3789" s="124">
        <f>IF(E3789&gt;=5000,5,IF(E3789&gt;=2000,4,IF(E3789&gt;=800,3,IF(E3789&gt;=300,2,1))))</f>
        <v/>
      </c>
      <c r="I3789" s="122">
        <f>TEXT(F3789,"0")&amp;TEXT(G3789,"0")&amp;TEXT(H3789,"0")</f>
        <v/>
      </c>
      <c r="J3789" s="122">
        <f>IFERROR(XLOOKUP(I3789,'Segment Map'!A:A,'Segment Map'!B:B,"Need Attention"),"Need Attention")</f>
        <v/>
      </c>
      <c r="K3789" s="122">
        <f>IF(E3789&gt;=5000,"🏆 Platinum",IF(E3789&gt;=2000,"🥇 Gold",IF(E3789&gt;=800,"🥈 Silver","🥉 Bronze")))</f>
        <v/>
      </c>
      <c r="L3789" s="125" t="n">
        <v>40833</v>
      </c>
    </row>
    <row r="3790">
      <c r="A3790" s="126" t="n">
        <v>17528</v>
      </c>
      <c r="B3790" s="126" t="inlineStr">
        <is>
          <t>United Kingdom</t>
        </is>
      </c>
      <c r="C3790" s="126" t="n">
        <v>2</v>
      </c>
      <c r="D3790" s="126" t="n">
        <v>8</v>
      </c>
      <c r="E3790" s="127" t="n">
        <v>3628.5</v>
      </c>
      <c r="F3790" s="128">
        <f>IF(C3790&lt;=30,5,IF(C3790&lt;=60,4,IF(C3790&lt;=120,3,IF(C3790&lt;=200,2,1))))</f>
        <v/>
      </c>
      <c r="G3790" s="128">
        <f>IF(D3790&gt;=20,5,IF(D3790&gt;=10,4,IF(D3790&gt;=5,3,IF(D3790&gt;=2,2,1))))</f>
        <v/>
      </c>
      <c r="H3790" s="128">
        <f>IF(E3790&gt;=5000,5,IF(E3790&gt;=2000,4,IF(E3790&gt;=800,3,IF(E3790&gt;=300,2,1))))</f>
        <v/>
      </c>
      <c r="I3790" s="126">
        <f>TEXT(F3790,"0")&amp;TEXT(G3790,"0")&amp;TEXT(H3790,"0")</f>
        <v/>
      </c>
      <c r="J3790" s="126">
        <f>IFERROR(XLOOKUP(I3790,'Segment Map'!A:A,'Segment Map'!B:B,"Need Attention"),"Need Attention")</f>
        <v/>
      </c>
      <c r="K3790" s="126">
        <f>IF(E3790&gt;=5000,"🏆 Platinum",IF(E3790&gt;=2000,"🥇 Gold",IF(E3790&gt;=800,"🥈 Silver","🥉 Bronze")))</f>
        <v/>
      </c>
      <c r="L3790" s="129" t="n">
        <v>40885</v>
      </c>
    </row>
    <row r="3791">
      <c r="A3791" s="122" t="n">
        <v>17530</v>
      </c>
      <c r="B3791" s="122" t="inlineStr">
        <is>
          <t>United Kingdom</t>
        </is>
      </c>
      <c r="C3791" s="122" t="n">
        <v>2</v>
      </c>
      <c r="D3791" s="122" t="n">
        <v>10</v>
      </c>
      <c r="E3791" s="123" t="n">
        <v>2385</v>
      </c>
      <c r="F3791" s="124">
        <f>IF(C3791&lt;=30,5,IF(C3791&lt;=60,4,IF(C3791&lt;=120,3,IF(C3791&lt;=200,2,1))))</f>
        <v/>
      </c>
      <c r="G3791" s="124">
        <f>IF(D3791&gt;=20,5,IF(D3791&gt;=10,4,IF(D3791&gt;=5,3,IF(D3791&gt;=2,2,1))))</f>
        <v/>
      </c>
      <c r="H3791" s="124">
        <f>IF(E3791&gt;=5000,5,IF(E3791&gt;=2000,4,IF(E3791&gt;=800,3,IF(E3791&gt;=300,2,1))))</f>
        <v/>
      </c>
      <c r="I3791" s="122">
        <f>TEXT(F3791,"0")&amp;TEXT(G3791,"0")&amp;TEXT(H3791,"0")</f>
        <v/>
      </c>
      <c r="J3791" s="122">
        <f>IFERROR(XLOOKUP(I3791,'Segment Map'!A:A,'Segment Map'!B:B,"Need Attention"),"Need Attention")</f>
        <v/>
      </c>
      <c r="K3791" s="122">
        <f>IF(E3791&gt;=5000,"🏆 Platinum",IF(E3791&gt;=2000,"🥇 Gold",IF(E3791&gt;=800,"🥈 Silver","🥉 Bronze")))</f>
        <v/>
      </c>
      <c r="L3791" s="125" t="n">
        <v>40885</v>
      </c>
    </row>
    <row r="3792">
      <c r="A3792" s="126" t="n">
        <v>17531</v>
      </c>
      <c r="B3792" s="126" t="inlineStr">
        <is>
          <t>United Kingdom</t>
        </is>
      </c>
      <c r="C3792" s="126" t="n">
        <v>191</v>
      </c>
      <c r="D3792" s="126" t="n">
        <v>1</v>
      </c>
      <c r="E3792" s="127" t="n">
        <v>296.7</v>
      </c>
      <c r="F3792" s="128">
        <f>IF(C3792&lt;=30,5,IF(C3792&lt;=60,4,IF(C3792&lt;=120,3,IF(C3792&lt;=200,2,1))))</f>
        <v/>
      </c>
      <c r="G3792" s="128">
        <f>IF(D3792&gt;=20,5,IF(D3792&gt;=10,4,IF(D3792&gt;=5,3,IF(D3792&gt;=2,2,1))))</f>
        <v/>
      </c>
      <c r="H3792" s="128">
        <f>IF(E3792&gt;=5000,5,IF(E3792&gt;=2000,4,IF(E3792&gt;=800,3,IF(E3792&gt;=300,2,1))))</f>
        <v/>
      </c>
      <c r="I3792" s="126">
        <f>TEXT(F3792,"0")&amp;TEXT(G3792,"0")&amp;TEXT(H3792,"0")</f>
        <v/>
      </c>
      <c r="J3792" s="126">
        <f>IFERROR(XLOOKUP(I3792,'Segment Map'!A:A,'Segment Map'!B:B,"Need Attention"),"Need Attention")</f>
        <v/>
      </c>
      <c r="K3792" s="126">
        <f>IF(E3792&gt;=5000,"🏆 Platinum",IF(E3792&gt;=2000,"🥇 Gold",IF(E3792&gt;=800,"🥈 Silver","🥉 Bronze")))</f>
        <v/>
      </c>
      <c r="L3792" s="129" t="n">
        <v>40696</v>
      </c>
    </row>
    <row r="3793">
      <c r="A3793" s="122" t="n">
        <v>17534</v>
      </c>
      <c r="B3793" s="122" t="inlineStr">
        <is>
          <t>United Kingdom</t>
        </is>
      </c>
      <c r="C3793" s="122" t="n">
        <v>54</v>
      </c>
      <c r="D3793" s="122" t="n">
        <v>1</v>
      </c>
      <c r="E3793" s="123" t="n">
        <v>223.36</v>
      </c>
      <c r="F3793" s="124">
        <f>IF(C3793&lt;=30,5,IF(C3793&lt;=60,4,IF(C3793&lt;=120,3,IF(C3793&lt;=200,2,1))))</f>
        <v/>
      </c>
      <c r="G3793" s="124">
        <f>IF(D3793&gt;=20,5,IF(D3793&gt;=10,4,IF(D3793&gt;=5,3,IF(D3793&gt;=2,2,1))))</f>
        <v/>
      </c>
      <c r="H3793" s="124">
        <f>IF(E3793&gt;=5000,5,IF(E3793&gt;=2000,4,IF(E3793&gt;=800,3,IF(E3793&gt;=300,2,1))))</f>
        <v/>
      </c>
      <c r="I3793" s="122">
        <f>TEXT(F3793,"0")&amp;TEXT(G3793,"0")&amp;TEXT(H3793,"0")</f>
        <v/>
      </c>
      <c r="J3793" s="122">
        <f>IFERROR(XLOOKUP(I3793,'Segment Map'!A:A,'Segment Map'!B:B,"Need Attention"),"Need Attention")</f>
        <v/>
      </c>
      <c r="K3793" s="122">
        <f>IF(E3793&gt;=5000,"🏆 Platinum",IF(E3793&gt;=2000,"🥇 Gold",IF(E3793&gt;=800,"🥈 Silver","🥉 Bronze")))</f>
        <v/>
      </c>
      <c r="L3793" s="125" t="n">
        <v>40833</v>
      </c>
    </row>
    <row r="3794">
      <c r="A3794" s="126" t="n">
        <v>17535</v>
      </c>
      <c r="B3794" s="126" t="inlineStr">
        <is>
          <t>United Kingdom</t>
        </is>
      </c>
      <c r="C3794" s="126" t="n">
        <v>281</v>
      </c>
      <c r="D3794" s="126" t="n">
        <v>1</v>
      </c>
      <c r="E3794" s="127" t="n">
        <v>164.4</v>
      </c>
      <c r="F3794" s="128">
        <f>IF(C3794&lt;=30,5,IF(C3794&lt;=60,4,IF(C3794&lt;=120,3,IF(C3794&lt;=200,2,1))))</f>
        <v/>
      </c>
      <c r="G3794" s="128">
        <f>IF(D3794&gt;=20,5,IF(D3794&gt;=10,4,IF(D3794&gt;=5,3,IF(D3794&gt;=2,2,1))))</f>
        <v/>
      </c>
      <c r="H3794" s="128">
        <f>IF(E3794&gt;=5000,5,IF(E3794&gt;=2000,4,IF(E3794&gt;=800,3,IF(E3794&gt;=300,2,1))))</f>
        <v/>
      </c>
      <c r="I3794" s="126">
        <f>TEXT(F3794,"0")&amp;TEXT(G3794,"0")&amp;TEXT(H3794,"0")</f>
        <v/>
      </c>
      <c r="J3794" s="126">
        <f>IFERROR(XLOOKUP(I3794,'Segment Map'!A:A,'Segment Map'!B:B,"Need Attention"),"Need Attention")</f>
        <v/>
      </c>
      <c r="K3794" s="126">
        <f>IF(E3794&gt;=5000,"🏆 Platinum",IF(E3794&gt;=2000,"🥇 Gold",IF(E3794&gt;=800,"🥈 Silver","🥉 Bronze")))</f>
        <v/>
      </c>
      <c r="L3794" s="129" t="n">
        <v>40606</v>
      </c>
    </row>
    <row r="3795">
      <c r="A3795" s="122" t="n">
        <v>17536</v>
      </c>
      <c r="B3795" s="122" t="inlineStr">
        <is>
          <t>United Kingdom</t>
        </is>
      </c>
      <c r="C3795" s="122" t="n">
        <v>178</v>
      </c>
      <c r="D3795" s="122" t="n">
        <v>1</v>
      </c>
      <c r="E3795" s="123" t="n">
        <v>76.5</v>
      </c>
      <c r="F3795" s="124">
        <f>IF(C3795&lt;=30,5,IF(C3795&lt;=60,4,IF(C3795&lt;=120,3,IF(C3795&lt;=200,2,1))))</f>
        <v/>
      </c>
      <c r="G3795" s="124">
        <f>IF(D3795&gt;=20,5,IF(D3795&gt;=10,4,IF(D3795&gt;=5,3,IF(D3795&gt;=2,2,1))))</f>
        <v/>
      </c>
      <c r="H3795" s="124">
        <f>IF(E3795&gt;=5000,5,IF(E3795&gt;=2000,4,IF(E3795&gt;=800,3,IF(E3795&gt;=300,2,1))))</f>
        <v/>
      </c>
      <c r="I3795" s="122">
        <f>TEXT(F3795,"0")&amp;TEXT(G3795,"0")&amp;TEXT(H3795,"0")</f>
        <v/>
      </c>
      <c r="J3795" s="122">
        <f>IFERROR(XLOOKUP(I3795,'Segment Map'!A:A,'Segment Map'!B:B,"Need Attention"),"Need Attention")</f>
        <v/>
      </c>
      <c r="K3795" s="122">
        <f>IF(E3795&gt;=5000,"🏆 Platinum",IF(E3795&gt;=2000,"🥇 Gold",IF(E3795&gt;=800,"🥈 Silver","🥉 Bronze")))</f>
        <v/>
      </c>
      <c r="L3795" s="125" t="n">
        <v>40709</v>
      </c>
    </row>
    <row r="3796">
      <c r="A3796" s="126" t="n">
        <v>17537</v>
      </c>
      <c r="B3796" s="126" t="inlineStr">
        <is>
          <t>United Kingdom</t>
        </is>
      </c>
      <c r="C3796" s="126" t="n">
        <v>30</v>
      </c>
      <c r="D3796" s="126" t="n">
        <v>2</v>
      </c>
      <c r="E3796" s="127" t="n">
        <v>897.62</v>
      </c>
      <c r="F3796" s="128">
        <f>IF(C3796&lt;=30,5,IF(C3796&lt;=60,4,IF(C3796&lt;=120,3,IF(C3796&lt;=200,2,1))))</f>
        <v/>
      </c>
      <c r="G3796" s="128">
        <f>IF(D3796&gt;=20,5,IF(D3796&gt;=10,4,IF(D3796&gt;=5,3,IF(D3796&gt;=2,2,1))))</f>
        <v/>
      </c>
      <c r="H3796" s="128">
        <f>IF(E3796&gt;=5000,5,IF(E3796&gt;=2000,4,IF(E3796&gt;=800,3,IF(E3796&gt;=300,2,1))))</f>
        <v/>
      </c>
      <c r="I3796" s="126">
        <f>TEXT(F3796,"0")&amp;TEXT(G3796,"0")&amp;TEXT(H3796,"0")</f>
        <v/>
      </c>
      <c r="J3796" s="126">
        <f>IFERROR(XLOOKUP(I3796,'Segment Map'!A:A,'Segment Map'!B:B,"Need Attention"),"Need Attention")</f>
        <v/>
      </c>
      <c r="K3796" s="126">
        <f>IF(E3796&gt;=5000,"🏆 Platinum",IF(E3796&gt;=2000,"🥇 Gold",IF(E3796&gt;=800,"🥈 Silver","🥉 Bronze")))</f>
        <v/>
      </c>
      <c r="L3796" s="129" t="n">
        <v>40857</v>
      </c>
    </row>
    <row r="3797">
      <c r="A3797" s="122" t="n">
        <v>17538</v>
      </c>
      <c r="B3797" s="122" t="inlineStr">
        <is>
          <t>United Kingdom</t>
        </is>
      </c>
      <c r="C3797" s="122" t="n">
        <v>26</v>
      </c>
      <c r="D3797" s="122" t="n">
        <v>1</v>
      </c>
      <c r="E3797" s="123" t="n">
        <v>98.42</v>
      </c>
      <c r="F3797" s="124">
        <f>IF(C3797&lt;=30,5,IF(C3797&lt;=60,4,IF(C3797&lt;=120,3,IF(C3797&lt;=200,2,1))))</f>
        <v/>
      </c>
      <c r="G3797" s="124">
        <f>IF(D3797&gt;=20,5,IF(D3797&gt;=10,4,IF(D3797&gt;=5,3,IF(D3797&gt;=2,2,1))))</f>
        <v/>
      </c>
      <c r="H3797" s="124">
        <f>IF(E3797&gt;=5000,5,IF(E3797&gt;=2000,4,IF(E3797&gt;=800,3,IF(E3797&gt;=300,2,1))))</f>
        <v/>
      </c>
      <c r="I3797" s="122">
        <f>TEXT(F3797,"0")&amp;TEXT(G3797,"0")&amp;TEXT(H3797,"0")</f>
        <v/>
      </c>
      <c r="J3797" s="122">
        <f>IFERROR(XLOOKUP(I3797,'Segment Map'!A:A,'Segment Map'!B:B,"Need Attention"),"Need Attention")</f>
        <v/>
      </c>
      <c r="K3797" s="122">
        <f>IF(E3797&gt;=5000,"🏆 Platinum",IF(E3797&gt;=2000,"🥇 Gold",IF(E3797&gt;=800,"🥈 Silver","🥉 Bronze")))</f>
        <v/>
      </c>
      <c r="L3797" s="125" t="n">
        <v>40861</v>
      </c>
    </row>
    <row r="3798">
      <c r="A3798" s="126" t="n">
        <v>17540</v>
      </c>
      <c r="B3798" s="126" t="inlineStr">
        <is>
          <t>United Kingdom</t>
        </is>
      </c>
      <c r="C3798" s="126" t="n">
        <v>25</v>
      </c>
      <c r="D3798" s="126" t="n">
        <v>2</v>
      </c>
      <c r="E3798" s="127" t="n">
        <v>578.9</v>
      </c>
      <c r="F3798" s="128">
        <f>IF(C3798&lt;=30,5,IF(C3798&lt;=60,4,IF(C3798&lt;=120,3,IF(C3798&lt;=200,2,1))))</f>
        <v/>
      </c>
      <c r="G3798" s="128">
        <f>IF(D3798&gt;=20,5,IF(D3798&gt;=10,4,IF(D3798&gt;=5,3,IF(D3798&gt;=2,2,1))))</f>
        <v/>
      </c>
      <c r="H3798" s="128">
        <f>IF(E3798&gt;=5000,5,IF(E3798&gt;=2000,4,IF(E3798&gt;=800,3,IF(E3798&gt;=300,2,1))))</f>
        <v/>
      </c>
      <c r="I3798" s="126">
        <f>TEXT(F3798,"0")&amp;TEXT(G3798,"0")&amp;TEXT(H3798,"0")</f>
        <v/>
      </c>
      <c r="J3798" s="126">
        <f>IFERROR(XLOOKUP(I3798,'Segment Map'!A:A,'Segment Map'!B:B,"Need Attention"),"Need Attention")</f>
        <v/>
      </c>
      <c r="K3798" s="126">
        <f>IF(E3798&gt;=5000,"🏆 Platinum",IF(E3798&gt;=2000,"🥇 Gold",IF(E3798&gt;=800,"🥈 Silver","🥉 Bronze")))</f>
        <v/>
      </c>
      <c r="L3798" s="129" t="n">
        <v>40862</v>
      </c>
    </row>
    <row r="3799">
      <c r="A3799" s="122" t="n">
        <v>17542</v>
      </c>
      <c r="B3799" s="122" t="inlineStr">
        <is>
          <t>United Kingdom</t>
        </is>
      </c>
      <c r="C3799" s="122" t="n">
        <v>270</v>
      </c>
      <c r="D3799" s="122" t="n">
        <v>1</v>
      </c>
      <c r="E3799" s="123" t="n">
        <v>170.75</v>
      </c>
      <c r="F3799" s="124">
        <f>IF(C3799&lt;=30,5,IF(C3799&lt;=60,4,IF(C3799&lt;=120,3,IF(C3799&lt;=200,2,1))))</f>
        <v/>
      </c>
      <c r="G3799" s="124">
        <f>IF(D3799&gt;=20,5,IF(D3799&gt;=10,4,IF(D3799&gt;=5,3,IF(D3799&gt;=2,2,1))))</f>
        <v/>
      </c>
      <c r="H3799" s="124">
        <f>IF(E3799&gt;=5000,5,IF(E3799&gt;=2000,4,IF(E3799&gt;=800,3,IF(E3799&gt;=300,2,1))))</f>
        <v/>
      </c>
      <c r="I3799" s="122">
        <f>TEXT(F3799,"0")&amp;TEXT(G3799,"0")&amp;TEXT(H3799,"0")</f>
        <v/>
      </c>
      <c r="J3799" s="122">
        <f>IFERROR(XLOOKUP(I3799,'Segment Map'!A:A,'Segment Map'!B:B,"Need Attention"),"Need Attention")</f>
        <v/>
      </c>
      <c r="K3799" s="122">
        <f>IF(E3799&gt;=5000,"🏆 Platinum",IF(E3799&gt;=2000,"🥇 Gold",IF(E3799&gt;=800,"🥈 Silver","🥉 Bronze")))</f>
        <v/>
      </c>
      <c r="L3799" s="125" t="n">
        <v>40617</v>
      </c>
    </row>
    <row r="3800">
      <c r="A3800" s="126" t="n">
        <v>17545</v>
      </c>
      <c r="B3800" s="126" t="inlineStr">
        <is>
          <t>United Kingdom</t>
        </is>
      </c>
      <c r="C3800" s="126" t="n">
        <v>44</v>
      </c>
      <c r="D3800" s="126" t="n">
        <v>3</v>
      </c>
      <c r="E3800" s="127" t="n">
        <v>645.96</v>
      </c>
      <c r="F3800" s="128">
        <f>IF(C3800&lt;=30,5,IF(C3800&lt;=60,4,IF(C3800&lt;=120,3,IF(C3800&lt;=200,2,1))))</f>
        <v/>
      </c>
      <c r="G3800" s="128">
        <f>IF(D3800&gt;=20,5,IF(D3800&gt;=10,4,IF(D3800&gt;=5,3,IF(D3800&gt;=2,2,1))))</f>
        <v/>
      </c>
      <c r="H3800" s="128">
        <f>IF(E3800&gt;=5000,5,IF(E3800&gt;=2000,4,IF(E3800&gt;=800,3,IF(E3800&gt;=300,2,1))))</f>
        <v/>
      </c>
      <c r="I3800" s="126">
        <f>TEXT(F3800,"0")&amp;TEXT(G3800,"0")&amp;TEXT(H3800,"0")</f>
        <v/>
      </c>
      <c r="J3800" s="126">
        <f>IFERROR(XLOOKUP(I3800,'Segment Map'!A:A,'Segment Map'!B:B,"Need Attention"),"Need Attention")</f>
        <v/>
      </c>
      <c r="K3800" s="126">
        <f>IF(E3800&gt;=5000,"🏆 Platinum",IF(E3800&gt;=2000,"🥇 Gold",IF(E3800&gt;=800,"🥈 Silver","🥉 Bronze")))</f>
        <v/>
      </c>
      <c r="L3800" s="129" t="n">
        <v>40843</v>
      </c>
    </row>
    <row r="3801">
      <c r="A3801" s="122" t="n">
        <v>17548</v>
      </c>
      <c r="B3801" s="122" t="inlineStr">
        <is>
          <t>United Kingdom</t>
        </is>
      </c>
      <c r="C3801" s="122" t="n">
        <v>234</v>
      </c>
      <c r="D3801" s="122" t="n">
        <v>1</v>
      </c>
      <c r="E3801" s="123" t="n">
        <v>103.3</v>
      </c>
      <c r="F3801" s="124">
        <f>IF(C3801&lt;=30,5,IF(C3801&lt;=60,4,IF(C3801&lt;=120,3,IF(C3801&lt;=200,2,1))))</f>
        <v/>
      </c>
      <c r="G3801" s="124">
        <f>IF(D3801&gt;=20,5,IF(D3801&gt;=10,4,IF(D3801&gt;=5,3,IF(D3801&gt;=2,2,1))))</f>
        <v/>
      </c>
      <c r="H3801" s="124">
        <f>IF(E3801&gt;=5000,5,IF(E3801&gt;=2000,4,IF(E3801&gt;=800,3,IF(E3801&gt;=300,2,1))))</f>
        <v/>
      </c>
      <c r="I3801" s="122">
        <f>TEXT(F3801,"0")&amp;TEXT(G3801,"0")&amp;TEXT(H3801,"0")</f>
        <v/>
      </c>
      <c r="J3801" s="122">
        <f>IFERROR(XLOOKUP(I3801,'Segment Map'!A:A,'Segment Map'!B:B,"Need Attention"),"Need Attention")</f>
        <v/>
      </c>
      <c r="K3801" s="122">
        <f>IF(E3801&gt;=5000,"🏆 Platinum",IF(E3801&gt;=2000,"🥇 Gold",IF(E3801&gt;=800,"🥈 Silver","🥉 Bronze")))</f>
        <v/>
      </c>
      <c r="L3801" s="125" t="n">
        <v>40653</v>
      </c>
    </row>
    <row r="3802">
      <c r="A3802" s="126" t="n">
        <v>17549</v>
      </c>
      <c r="B3802" s="126" t="inlineStr">
        <is>
          <t>United Kingdom</t>
        </is>
      </c>
      <c r="C3802" s="126" t="n">
        <v>24</v>
      </c>
      <c r="D3802" s="126" t="n">
        <v>2</v>
      </c>
      <c r="E3802" s="127" t="n">
        <v>148.86</v>
      </c>
      <c r="F3802" s="128">
        <f>IF(C3802&lt;=30,5,IF(C3802&lt;=60,4,IF(C3802&lt;=120,3,IF(C3802&lt;=200,2,1))))</f>
        <v/>
      </c>
      <c r="G3802" s="128">
        <f>IF(D3802&gt;=20,5,IF(D3802&gt;=10,4,IF(D3802&gt;=5,3,IF(D3802&gt;=2,2,1))))</f>
        <v/>
      </c>
      <c r="H3802" s="128">
        <f>IF(E3802&gt;=5000,5,IF(E3802&gt;=2000,4,IF(E3802&gt;=800,3,IF(E3802&gt;=300,2,1))))</f>
        <v/>
      </c>
      <c r="I3802" s="126">
        <f>TEXT(F3802,"0")&amp;TEXT(G3802,"0")&amp;TEXT(H3802,"0")</f>
        <v/>
      </c>
      <c r="J3802" s="126">
        <f>IFERROR(XLOOKUP(I3802,'Segment Map'!A:A,'Segment Map'!B:B,"Need Attention"),"Need Attention")</f>
        <v/>
      </c>
      <c r="K3802" s="126">
        <f>IF(E3802&gt;=5000,"🏆 Platinum",IF(E3802&gt;=2000,"🥇 Gold",IF(E3802&gt;=800,"🥈 Silver","🥉 Bronze")))</f>
        <v/>
      </c>
      <c r="L3802" s="129" t="n">
        <v>40863</v>
      </c>
    </row>
    <row r="3803">
      <c r="A3803" s="122" t="n">
        <v>17550</v>
      </c>
      <c r="B3803" s="122" t="inlineStr">
        <is>
          <t>United Kingdom</t>
        </is>
      </c>
      <c r="C3803" s="122" t="n">
        <v>198</v>
      </c>
      <c r="D3803" s="122" t="n">
        <v>3</v>
      </c>
      <c r="E3803" s="123" t="n">
        <v>267.16</v>
      </c>
      <c r="F3803" s="124">
        <f>IF(C3803&lt;=30,5,IF(C3803&lt;=60,4,IF(C3803&lt;=120,3,IF(C3803&lt;=200,2,1))))</f>
        <v/>
      </c>
      <c r="G3803" s="124">
        <f>IF(D3803&gt;=20,5,IF(D3803&gt;=10,4,IF(D3803&gt;=5,3,IF(D3803&gt;=2,2,1))))</f>
        <v/>
      </c>
      <c r="H3803" s="124">
        <f>IF(E3803&gt;=5000,5,IF(E3803&gt;=2000,4,IF(E3803&gt;=800,3,IF(E3803&gt;=300,2,1))))</f>
        <v/>
      </c>
      <c r="I3803" s="122">
        <f>TEXT(F3803,"0")&amp;TEXT(G3803,"0")&amp;TEXT(H3803,"0")</f>
        <v/>
      </c>
      <c r="J3803" s="122">
        <f>IFERROR(XLOOKUP(I3803,'Segment Map'!A:A,'Segment Map'!B:B,"Need Attention"),"Need Attention")</f>
        <v/>
      </c>
      <c r="K3803" s="122">
        <f>IF(E3803&gt;=5000,"🏆 Platinum",IF(E3803&gt;=2000,"🥇 Gold",IF(E3803&gt;=800,"🥈 Silver","🥉 Bronze")))</f>
        <v/>
      </c>
      <c r="L3803" s="125" t="n">
        <v>40689</v>
      </c>
    </row>
    <row r="3804">
      <c r="A3804" s="126" t="n">
        <v>17551</v>
      </c>
      <c r="B3804" s="126" t="inlineStr">
        <is>
          <t>United Kingdom</t>
        </is>
      </c>
      <c r="C3804" s="126" t="n">
        <v>360</v>
      </c>
      <c r="D3804" s="126" t="n">
        <v>1</v>
      </c>
      <c r="E3804" s="127" t="n">
        <v>306.84</v>
      </c>
      <c r="F3804" s="128">
        <f>IF(C3804&lt;=30,5,IF(C3804&lt;=60,4,IF(C3804&lt;=120,3,IF(C3804&lt;=200,2,1))))</f>
        <v/>
      </c>
      <c r="G3804" s="128">
        <f>IF(D3804&gt;=20,5,IF(D3804&gt;=10,4,IF(D3804&gt;=5,3,IF(D3804&gt;=2,2,1))))</f>
        <v/>
      </c>
      <c r="H3804" s="128">
        <f>IF(E3804&gt;=5000,5,IF(E3804&gt;=2000,4,IF(E3804&gt;=800,3,IF(E3804&gt;=300,2,1))))</f>
        <v/>
      </c>
      <c r="I3804" s="126">
        <f>TEXT(F3804,"0")&amp;TEXT(G3804,"0")&amp;TEXT(H3804,"0")</f>
        <v/>
      </c>
      <c r="J3804" s="126">
        <f>IFERROR(XLOOKUP(I3804,'Segment Map'!A:A,'Segment Map'!B:B,"Need Attention"),"Need Attention")</f>
        <v/>
      </c>
      <c r="K3804" s="126">
        <f>IF(E3804&gt;=5000,"🏆 Platinum",IF(E3804&gt;=2000,"🥇 Gold",IF(E3804&gt;=800,"🥈 Silver","🥉 Bronze")))</f>
        <v/>
      </c>
      <c r="L3804" s="129" t="n">
        <v>40527</v>
      </c>
    </row>
    <row r="3805">
      <c r="A3805" s="122" t="n">
        <v>17552</v>
      </c>
      <c r="B3805" s="122" t="inlineStr">
        <is>
          <t>United Kingdom</t>
        </is>
      </c>
      <c r="C3805" s="122" t="n">
        <v>61</v>
      </c>
      <c r="D3805" s="122" t="n">
        <v>4</v>
      </c>
      <c r="E3805" s="123" t="n">
        <v>930.41</v>
      </c>
      <c r="F3805" s="124">
        <f>IF(C3805&lt;=30,5,IF(C3805&lt;=60,4,IF(C3805&lt;=120,3,IF(C3805&lt;=200,2,1))))</f>
        <v/>
      </c>
      <c r="G3805" s="124">
        <f>IF(D3805&gt;=20,5,IF(D3805&gt;=10,4,IF(D3805&gt;=5,3,IF(D3805&gt;=2,2,1))))</f>
        <v/>
      </c>
      <c r="H3805" s="124">
        <f>IF(E3805&gt;=5000,5,IF(E3805&gt;=2000,4,IF(E3805&gt;=800,3,IF(E3805&gt;=300,2,1))))</f>
        <v/>
      </c>
      <c r="I3805" s="122">
        <f>TEXT(F3805,"0")&amp;TEXT(G3805,"0")&amp;TEXT(H3805,"0")</f>
        <v/>
      </c>
      <c r="J3805" s="122">
        <f>IFERROR(XLOOKUP(I3805,'Segment Map'!A:A,'Segment Map'!B:B,"Need Attention"),"Need Attention")</f>
        <v/>
      </c>
      <c r="K3805" s="122">
        <f>IF(E3805&gt;=5000,"🏆 Platinum",IF(E3805&gt;=2000,"🥇 Gold",IF(E3805&gt;=800,"🥈 Silver","🥉 Bronze")))</f>
        <v/>
      </c>
      <c r="L3805" s="125" t="n">
        <v>40826</v>
      </c>
    </row>
    <row r="3806">
      <c r="A3806" s="126" t="n">
        <v>17553</v>
      </c>
      <c r="B3806" s="126" t="inlineStr">
        <is>
          <t>United Kingdom</t>
        </is>
      </c>
      <c r="C3806" s="126" t="n">
        <v>130</v>
      </c>
      <c r="D3806" s="126" t="n">
        <v>1</v>
      </c>
      <c r="E3806" s="127" t="n">
        <v>1487.6</v>
      </c>
      <c r="F3806" s="128">
        <f>IF(C3806&lt;=30,5,IF(C3806&lt;=60,4,IF(C3806&lt;=120,3,IF(C3806&lt;=200,2,1))))</f>
        <v/>
      </c>
      <c r="G3806" s="128">
        <f>IF(D3806&gt;=20,5,IF(D3806&gt;=10,4,IF(D3806&gt;=5,3,IF(D3806&gt;=2,2,1))))</f>
        <v/>
      </c>
      <c r="H3806" s="128">
        <f>IF(E3806&gt;=5000,5,IF(E3806&gt;=2000,4,IF(E3806&gt;=800,3,IF(E3806&gt;=300,2,1))))</f>
        <v/>
      </c>
      <c r="I3806" s="126">
        <f>TEXT(F3806,"0")&amp;TEXT(G3806,"0")&amp;TEXT(H3806,"0")</f>
        <v/>
      </c>
      <c r="J3806" s="126">
        <f>IFERROR(XLOOKUP(I3806,'Segment Map'!A:A,'Segment Map'!B:B,"Need Attention"),"Need Attention")</f>
        <v/>
      </c>
      <c r="K3806" s="126">
        <f>IF(E3806&gt;=5000,"🏆 Platinum",IF(E3806&gt;=2000,"🥇 Gold",IF(E3806&gt;=800,"🥈 Silver","🥉 Bronze")))</f>
        <v/>
      </c>
      <c r="L3806" s="129" t="n">
        <v>40757</v>
      </c>
    </row>
    <row r="3807">
      <c r="A3807" s="122" t="n">
        <v>17554</v>
      </c>
      <c r="B3807" s="122" t="inlineStr">
        <is>
          <t>United Kingdom</t>
        </is>
      </c>
      <c r="C3807" s="122" t="n">
        <v>2</v>
      </c>
      <c r="D3807" s="122" t="n">
        <v>5</v>
      </c>
      <c r="E3807" s="123" t="n">
        <v>1952.45</v>
      </c>
      <c r="F3807" s="124">
        <f>IF(C3807&lt;=30,5,IF(C3807&lt;=60,4,IF(C3807&lt;=120,3,IF(C3807&lt;=200,2,1))))</f>
        <v/>
      </c>
      <c r="G3807" s="124">
        <f>IF(D3807&gt;=20,5,IF(D3807&gt;=10,4,IF(D3807&gt;=5,3,IF(D3807&gt;=2,2,1))))</f>
        <v/>
      </c>
      <c r="H3807" s="124">
        <f>IF(E3807&gt;=5000,5,IF(E3807&gt;=2000,4,IF(E3807&gt;=800,3,IF(E3807&gt;=300,2,1))))</f>
        <v/>
      </c>
      <c r="I3807" s="122">
        <f>TEXT(F3807,"0")&amp;TEXT(G3807,"0")&amp;TEXT(H3807,"0")</f>
        <v/>
      </c>
      <c r="J3807" s="122">
        <f>IFERROR(XLOOKUP(I3807,'Segment Map'!A:A,'Segment Map'!B:B,"Need Attention"),"Need Attention")</f>
        <v/>
      </c>
      <c r="K3807" s="122">
        <f>IF(E3807&gt;=5000,"🏆 Platinum",IF(E3807&gt;=2000,"🥇 Gold",IF(E3807&gt;=800,"🥈 Silver","🥉 Bronze")))</f>
        <v/>
      </c>
      <c r="L3807" s="125" t="n">
        <v>40885</v>
      </c>
    </row>
    <row r="3808">
      <c r="A3808" s="126" t="n">
        <v>17555</v>
      </c>
      <c r="B3808" s="126" t="inlineStr">
        <is>
          <t>United Kingdom</t>
        </is>
      </c>
      <c r="C3808" s="126" t="n">
        <v>20</v>
      </c>
      <c r="D3808" s="126" t="n">
        <v>2</v>
      </c>
      <c r="E3808" s="127" t="n">
        <v>483.26</v>
      </c>
      <c r="F3808" s="128">
        <f>IF(C3808&lt;=30,5,IF(C3808&lt;=60,4,IF(C3808&lt;=120,3,IF(C3808&lt;=200,2,1))))</f>
        <v/>
      </c>
      <c r="G3808" s="128">
        <f>IF(D3808&gt;=20,5,IF(D3808&gt;=10,4,IF(D3808&gt;=5,3,IF(D3808&gt;=2,2,1))))</f>
        <v/>
      </c>
      <c r="H3808" s="128">
        <f>IF(E3808&gt;=5000,5,IF(E3808&gt;=2000,4,IF(E3808&gt;=800,3,IF(E3808&gt;=300,2,1))))</f>
        <v/>
      </c>
      <c r="I3808" s="126">
        <f>TEXT(F3808,"0")&amp;TEXT(G3808,"0")&amp;TEXT(H3808,"0")</f>
        <v/>
      </c>
      <c r="J3808" s="126">
        <f>IFERROR(XLOOKUP(I3808,'Segment Map'!A:A,'Segment Map'!B:B,"Need Attention"),"Need Attention")</f>
        <v/>
      </c>
      <c r="K3808" s="126">
        <f>IF(E3808&gt;=5000,"🏆 Platinum",IF(E3808&gt;=2000,"🥇 Gold",IF(E3808&gt;=800,"🥈 Silver","🥉 Bronze")))</f>
        <v/>
      </c>
      <c r="L3808" s="129" t="n">
        <v>40867</v>
      </c>
    </row>
    <row r="3809">
      <c r="A3809" s="122" t="n">
        <v>17556</v>
      </c>
      <c r="B3809" s="122" t="inlineStr">
        <is>
          <t>United Kingdom</t>
        </is>
      </c>
      <c r="C3809" s="122" t="n">
        <v>206</v>
      </c>
      <c r="D3809" s="122" t="n">
        <v>1</v>
      </c>
      <c r="E3809" s="123" t="n">
        <v>157.9</v>
      </c>
      <c r="F3809" s="124">
        <f>IF(C3809&lt;=30,5,IF(C3809&lt;=60,4,IF(C3809&lt;=120,3,IF(C3809&lt;=200,2,1))))</f>
        <v/>
      </c>
      <c r="G3809" s="124">
        <f>IF(D3809&gt;=20,5,IF(D3809&gt;=10,4,IF(D3809&gt;=5,3,IF(D3809&gt;=2,2,1))))</f>
        <v/>
      </c>
      <c r="H3809" s="124">
        <f>IF(E3809&gt;=5000,5,IF(E3809&gt;=2000,4,IF(E3809&gt;=800,3,IF(E3809&gt;=300,2,1))))</f>
        <v/>
      </c>
      <c r="I3809" s="122">
        <f>TEXT(F3809,"0")&amp;TEXT(G3809,"0")&amp;TEXT(H3809,"0")</f>
        <v/>
      </c>
      <c r="J3809" s="122">
        <f>IFERROR(XLOOKUP(I3809,'Segment Map'!A:A,'Segment Map'!B:B,"Need Attention"),"Need Attention")</f>
        <v/>
      </c>
      <c r="K3809" s="122">
        <f>IF(E3809&gt;=5000,"🏆 Platinum",IF(E3809&gt;=2000,"🥇 Gold",IF(E3809&gt;=800,"🥈 Silver","🥉 Bronze")))</f>
        <v/>
      </c>
      <c r="L3809" s="125" t="n">
        <v>40681</v>
      </c>
    </row>
    <row r="3810">
      <c r="A3810" s="126" t="n">
        <v>17557</v>
      </c>
      <c r="B3810" s="126" t="inlineStr">
        <is>
          <t>United Kingdom</t>
        </is>
      </c>
      <c r="C3810" s="126" t="n">
        <v>15</v>
      </c>
      <c r="D3810" s="126" t="n">
        <v>3</v>
      </c>
      <c r="E3810" s="127" t="n">
        <v>541.46</v>
      </c>
      <c r="F3810" s="128">
        <f>IF(C3810&lt;=30,5,IF(C3810&lt;=60,4,IF(C3810&lt;=120,3,IF(C3810&lt;=200,2,1))))</f>
        <v/>
      </c>
      <c r="G3810" s="128">
        <f>IF(D3810&gt;=20,5,IF(D3810&gt;=10,4,IF(D3810&gt;=5,3,IF(D3810&gt;=2,2,1))))</f>
        <v/>
      </c>
      <c r="H3810" s="128">
        <f>IF(E3810&gt;=5000,5,IF(E3810&gt;=2000,4,IF(E3810&gt;=800,3,IF(E3810&gt;=300,2,1))))</f>
        <v/>
      </c>
      <c r="I3810" s="126">
        <f>TEXT(F3810,"0")&amp;TEXT(G3810,"0")&amp;TEXT(H3810,"0")</f>
        <v/>
      </c>
      <c r="J3810" s="126">
        <f>IFERROR(XLOOKUP(I3810,'Segment Map'!A:A,'Segment Map'!B:B,"Need Attention"),"Need Attention")</f>
        <v/>
      </c>
      <c r="K3810" s="126">
        <f>IF(E3810&gt;=5000,"🏆 Platinum",IF(E3810&gt;=2000,"🥇 Gold",IF(E3810&gt;=800,"🥈 Silver","🥉 Bronze")))</f>
        <v/>
      </c>
      <c r="L3810" s="129" t="n">
        <v>40872</v>
      </c>
    </row>
    <row r="3811">
      <c r="A3811" s="122" t="n">
        <v>17560</v>
      </c>
      <c r="B3811" s="122" t="inlineStr">
        <is>
          <t>United Kingdom</t>
        </is>
      </c>
      <c r="C3811" s="122" t="n">
        <v>95</v>
      </c>
      <c r="D3811" s="122" t="n">
        <v>4</v>
      </c>
      <c r="E3811" s="123" t="n">
        <v>854.95</v>
      </c>
      <c r="F3811" s="124">
        <f>IF(C3811&lt;=30,5,IF(C3811&lt;=60,4,IF(C3811&lt;=120,3,IF(C3811&lt;=200,2,1))))</f>
        <v/>
      </c>
      <c r="G3811" s="124">
        <f>IF(D3811&gt;=20,5,IF(D3811&gt;=10,4,IF(D3811&gt;=5,3,IF(D3811&gt;=2,2,1))))</f>
        <v/>
      </c>
      <c r="H3811" s="124">
        <f>IF(E3811&gt;=5000,5,IF(E3811&gt;=2000,4,IF(E3811&gt;=800,3,IF(E3811&gt;=300,2,1))))</f>
        <v/>
      </c>
      <c r="I3811" s="122">
        <f>TEXT(F3811,"0")&amp;TEXT(G3811,"0")&amp;TEXT(H3811,"0")</f>
        <v/>
      </c>
      <c r="J3811" s="122">
        <f>IFERROR(XLOOKUP(I3811,'Segment Map'!A:A,'Segment Map'!B:B,"Need Attention"),"Need Attention")</f>
        <v/>
      </c>
      <c r="K3811" s="122">
        <f>IF(E3811&gt;=5000,"🏆 Platinum",IF(E3811&gt;=2000,"🥇 Gold",IF(E3811&gt;=800,"🥈 Silver","🥉 Bronze")))</f>
        <v/>
      </c>
      <c r="L3811" s="125" t="n">
        <v>40792</v>
      </c>
    </row>
    <row r="3812">
      <c r="A3812" s="126" t="n">
        <v>17561</v>
      </c>
      <c r="B3812" s="126" t="inlineStr">
        <is>
          <t>United Kingdom</t>
        </is>
      </c>
      <c r="C3812" s="126" t="n">
        <v>20</v>
      </c>
      <c r="D3812" s="126" t="n">
        <v>1</v>
      </c>
      <c r="E3812" s="127" t="n">
        <v>167.62</v>
      </c>
      <c r="F3812" s="128">
        <f>IF(C3812&lt;=30,5,IF(C3812&lt;=60,4,IF(C3812&lt;=120,3,IF(C3812&lt;=200,2,1))))</f>
        <v/>
      </c>
      <c r="G3812" s="128">
        <f>IF(D3812&gt;=20,5,IF(D3812&gt;=10,4,IF(D3812&gt;=5,3,IF(D3812&gt;=2,2,1))))</f>
        <v/>
      </c>
      <c r="H3812" s="128">
        <f>IF(E3812&gt;=5000,5,IF(E3812&gt;=2000,4,IF(E3812&gt;=800,3,IF(E3812&gt;=300,2,1))))</f>
        <v/>
      </c>
      <c r="I3812" s="126">
        <f>TEXT(F3812,"0")&amp;TEXT(G3812,"0")&amp;TEXT(H3812,"0")</f>
        <v/>
      </c>
      <c r="J3812" s="126">
        <f>IFERROR(XLOOKUP(I3812,'Segment Map'!A:A,'Segment Map'!B:B,"Need Attention"),"Need Attention")</f>
        <v/>
      </c>
      <c r="K3812" s="126">
        <f>IF(E3812&gt;=5000,"🏆 Platinum",IF(E3812&gt;=2000,"🥇 Gold",IF(E3812&gt;=800,"🥈 Silver","🥉 Bronze")))</f>
        <v/>
      </c>
      <c r="L3812" s="129" t="n">
        <v>40867</v>
      </c>
    </row>
    <row r="3813">
      <c r="A3813" s="122" t="n">
        <v>17562</v>
      </c>
      <c r="B3813" s="122" t="inlineStr">
        <is>
          <t>United Kingdom</t>
        </is>
      </c>
      <c r="C3813" s="122" t="n">
        <v>15</v>
      </c>
      <c r="D3813" s="122" t="n">
        <v>7</v>
      </c>
      <c r="E3813" s="123" t="n">
        <v>1122.38</v>
      </c>
      <c r="F3813" s="124">
        <f>IF(C3813&lt;=30,5,IF(C3813&lt;=60,4,IF(C3813&lt;=120,3,IF(C3813&lt;=200,2,1))))</f>
        <v/>
      </c>
      <c r="G3813" s="124">
        <f>IF(D3813&gt;=20,5,IF(D3813&gt;=10,4,IF(D3813&gt;=5,3,IF(D3813&gt;=2,2,1))))</f>
        <v/>
      </c>
      <c r="H3813" s="124">
        <f>IF(E3813&gt;=5000,5,IF(E3813&gt;=2000,4,IF(E3813&gt;=800,3,IF(E3813&gt;=300,2,1))))</f>
        <v/>
      </c>
      <c r="I3813" s="122">
        <f>TEXT(F3813,"0")&amp;TEXT(G3813,"0")&amp;TEXT(H3813,"0")</f>
        <v/>
      </c>
      <c r="J3813" s="122">
        <f>IFERROR(XLOOKUP(I3813,'Segment Map'!A:A,'Segment Map'!B:B,"Need Attention"),"Need Attention")</f>
        <v/>
      </c>
      <c r="K3813" s="122">
        <f>IF(E3813&gt;=5000,"🏆 Platinum",IF(E3813&gt;=2000,"🥇 Gold",IF(E3813&gt;=800,"🥈 Silver","🥉 Bronze")))</f>
        <v/>
      </c>
      <c r="L3813" s="125" t="n">
        <v>40872</v>
      </c>
    </row>
    <row r="3814">
      <c r="A3814" s="126" t="n">
        <v>17564</v>
      </c>
      <c r="B3814" s="126" t="inlineStr">
        <is>
          <t>United Kingdom</t>
        </is>
      </c>
      <c r="C3814" s="126" t="n">
        <v>25</v>
      </c>
      <c r="D3814" s="126" t="n">
        <v>3</v>
      </c>
      <c r="E3814" s="127" t="n">
        <v>454.01</v>
      </c>
      <c r="F3814" s="128">
        <f>IF(C3814&lt;=30,5,IF(C3814&lt;=60,4,IF(C3814&lt;=120,3,IF(C3814&lt;=200,2,1))))</f>
        <v/>
      </c>
      <c r="G3814" s="128">
        <f>IF(D3814&gt;=20,5,IF(D3814&gt;=10,4,IF(D3814&gt;=5,3,IF(D3814&gt;=2,2,1))))</f>
        <v/>
      </c>
      <c r="H3814" s="128">
        <f>IF(E3814&gt;=5000,5,IF(E3814&gt;=2000,4,IF(E3814&gt;=800,3,IF(E3814&gt;=300,2,1))))</f>
        <v/>
      </c>
      <c r="I3814" s="126">
        <f>TEXT(F3814,"0")&amp;TEXT(G3814,"0")&amp;TEXT(H3814,"0")</f>
        <v/>
      </c>
      <c r="J3814" s="126">
        <f>IFERROR(XLOOKUP(I3814,'Segment Map'!A:A,'Segment Map'!B:B,"Need Attention"),"Need Attention")</f>
        <v/>
      </c>
      <c r="K3814" s="126">
        <f>IF(E3814&gt;=5000,"🏆 Platinum",IF(E3814&gt;=2000,"🥇 Gold",IF(E3814&gt;=800,"🥈 Silver","🥉 Bronze")))</f>
        <v/>
      </c>
      <c r="L3814" s="129" t="n">
        <v>40862</v>
      </c>
    </row>
    <row r="3815">
      <c r="A3815" s="122" t="n">
        <v>17566</v>
      </c>
      <c r="B3815" s="122" t="inlineStr">
        <is>
          <t>United Kingdom</t>
        </is>
      </c>
      <c r="C3815" s="122" t="n">
        <v>9</v>
      </c>
      <c r="D3815" s="122" t="n">
        <v>2</v>
      </c>
      <c r="E3815" s="123" t="n">
        <v>901.21</v>
      </c>
      <c r="F3815" s="124">
        <f>IF(C3815&lt;=30,5,IF(C3815&lt;=60,4,IF(C3815&lt;=120,3,IF(C3815&lt;=200,2,1))))</f>
        <v/>
      </c>
      <c r="G3815" s="124">
        <f>IF(D3815&gt;=20,5,IF(D3815&gt;=10,4,IF(D3815&gt;=5,3,IF(D3815&gt;=2,2,1))))</f>
        <v/>
      </c>
      <c r="H3815" s="124">
        <f>IF(E3815&gt;=5000,5,IF(E3815&gt;=2000,4,IF(E3815&gt;=800,3,IF(E3815&gt;=300,2,1))))</f>
        <v/>
      </c>
      <c r="I3815" s="122">
        <f>TEXT(F3815,"0")&amp;TEXT(G3815,"0")&amp;TEXT(H3815,"0")</f>
        <v/>
      </c>
      <c r="J3815" s="122">
        <f>IFERROR(XLOOKUP(I3815,'Segment Map'!A:A,'Segment Map'!B:B,"Need Attention"),"Need Attention")</f>
        <v/>
      </c>
      <c r="K3815" s="122">
        <f>IF(E3815&gt;=5000,"🏆 Platinum",IF(E3815&gt;=2000,"🥇 Gold",IF(E3815&gt;=800,"🥈 Silver","🥉 Bronze")))</f>
        <v/>
      </c>
      <c r="L3815" s="125" t="n">
        <v>40878</v>
      </c>
    </row>
    <row r="3816">
      <c r="A3816" s="126" t="n">
        <v>17567</v>
      </c>
      <c r="B3816" s="126" t="inlineStr">
        <is>
          <t>United Kingdom</t>
        </is>
      </c>
      <c r="C3816" s="126" t="n">
        <v>8</v>
      </c>
      <c r="D3816" s="126" t="n">
        <v>8</v>
      </c>
      <c r="E3816" s="127" t="n">
        <v>4331.48</v>
      </c>
      <c r="F3816" s="128">
        <f>IF(C3816&lt;=30,5,IF(C3816&lt;=60,4,IF(C3816&lt;=120,3,IF(C3816&lt;=200,2,1))))</f>
        <v/>
      </c>
      <c r="G3816" s="128">
        <f>IF(D3816&gt;=20,5,IF(D3816&gt;=10,4,IF(D3816&gt;=5,3,IF(D3816&gt;=2,2,1))))</f>
        <v/>
      </c>
      <c r="H3816" s="128">
        <f>IF(E3816&gt;=5000,5,IF(E3816&gt;=2000,4,IF(E3816&gt;=800,3,IF(E3816&gt;=300,2,1))))</f>
        <v/>
      </c>
      <c r="I3816" s="126">
        <f>TEXT(F3816,"0")&amp;TEXT(G3816,"0")&amp;TEXT(H3816,"0")</f>
        <v/>
      </c>
      <c r="J3816" s="126">
        <f>IFERROR(XLOOKUP(I3816,'Segment Map'!A:A,'Segment Map'!B:B,"Need Attention"),"Need Attention")</f>
        <v/>
      </c>
      <c r="K3816" s="126">
        <f>IF(E3816&gt;=5000,"🏆 Platinum",IF(E3816&gt;=2000,"🥇 Gold",IF(E3816&gt;=800,"🥈 Silver","🥉 Bronze")))</f>
        <v/>
      </c>
      <c r="L3816" s="129" t="n">
        <v>40879</v>
      </c>
    </row>
    <row r="3817">
      <c r="A3817" s="122" t="n">
        <v>17569</v>
      </c>
      <c r="B3817" s="122" t="inlineStr">
        <is>
          <t>United Kingdom</t>
        </is>
      </c>
      <c r="C3817" s="122" t="n">
        <v>333</v>
      </c>
      <c r="D3817" s="122" t="n">
        <v>1</v>
      </c>
      <c r="E3817" s="123" t="n">
        <v>344.14</v>
      </c>
      <c r="F3817" s="124">
        <f>IF(C3817&lt;=30,5,IF(C3817&lt;=60,4,IF(C3817&lt;=120,3,IF(C3817&lt;=200,2,1))))</f>
        <v/>
      </c>
      <c r="G3817" s="124">
        <f>IF(D3817&gt;=20,5,IF(D3817&gt;=10,4,IF(D3817&gt;=5,3,IF(D3817&gt;=2,2,1))))</f>
        <v/>
      </c>
      <c r="H3817" s="124">
        <f>IF(E3817&gt;=5000,5,IF(E3817&gt;=2000,4,IF(E3817&gt;=800,3,IF(E3817&gt;=300,2,1))))</f>
        <v/>
      </c>
      <c r="I3817" s="122">
        <f>TEXT(F3817,"0")&amp;TEXT(G3817,"0")&amp;TEXT(H3817,"0")</f>
        <v/>
      </c>
      <c r="J3817" s="122">
        <f>IFERROR(XLOOKUP(I3817,'Segment Map'!A:A,'Segment Map'!B:B,"Need Attention"),"Need Attention")</f>
        <v/>
      </c>
      <c r="K3817" s="122">
        <f>IF(E3817&gt;=5000,"🏆 Platinum",IF(E3817&gt;=2000,"🥇 Gold",IF(E3817&gt;=800,"🥈 Silver","🥉 Bronze")))</f>
        <v/>
      </c>
      <c r="L3817" s="125" t="n">
        <v>40554</v>
      </c>
    </row>
    <row r="3818">
      <c r="A3818" s="126" t="n">
        <v>17571</v>
      </c>
      <c r="B3818" s="126" t="inlineStr">
        <is>
          <t>United Kingdom</t>
        </is>
      </c>
      <c r="C3818" s="126" t="n">
        <v>51</v>
      </c>
      <c r="D3818" s="126" t="n">
        <v>4</v>
      </c>
      <c r="E3818" s="127" t="n">
        <v>1498.51</v>
      </c>
      <c r="F3818" s="128">
        <f>IF(C3818&lt;=30,5,IF(C3818&lt;=60,4,IF(C3818&lt;=120,3,IF(C3818&lt;=200,2,1))))</f>
        <v/>
      </c>
      <c r="G3818" s="128">
        <f>IF(D3818&gt;=20,5,IF(D3818&gt;=10,4,IF(D3818&gt;=5,3,IF(D3818&gt;=2,2,1))))</f>
        <v/>
      </c>
      <c r="H3818" s="128">
        <f>IF(E3818&gt;=5000,5,IF(E3818&gt;=2000,4,IF(E3818&gt;=800,3,IF(E3818&gt;=300,2,1))))</f>
        <v/>
      </c>
      <c r="I3818" s="126">
        <f>TEXT(F3818,"0")&amp;TEXT(G3818,"0")&amp;TEXT(H3818,"0")</f>
        <v/>
      </c>
      <c r="J3818" s="126">
        <f>IFERROR(XLOOKUP(I3818,'Segment Map'!A:A,'Segment Map'!B:B,"Need Attention"),"Need Attention")</f>
        <v/>
      </c>
      <c r="K3818" s="126">
        <f>IF(E3818&gt;=5000,"🏆 Platinum",IF(E3818&gt;=2000,"🥇 Gold",IF(E3818&gt;=800,"🥈 Silver","🥉 Bronze")))</f>
        <v/>
      </c>
      <c r="L3818" s="129" t="n">
        <v>40836</v>
      </c>
    </row>
    <row r="3819">
      <c r="A3819" s="122" t="n">
        <v>17572</v>
      </c>
      <c r="B3819" s="122" t="inlineStr">
        <is>
          <t>United Kingdom</t>
        </is>
      </c>
      <c r="C3819" s="122" t="n">
        <v>72</v>
      </c>
      <c r="D3819" s="122" t="n">
        <v>4</v>
      </c>
      <c r="E3819" s="123" t="n">
        <v>226.75</v>
      </c>
      <c r="F3819" s="124">
        <f>IF(C3819&lt;=30,5,IF(C3819&lt;=60,4,IF(C3819&lt;=120,3,IF(C3819&lt;=200,2,1))))</f>
        <v/>
      </c>
      <c r="G3819" s="124">
        <f>IF(D3819&gt;=20,5,IF(D3819&gt;=10,4,IF(D3819&gt;=5,3,IF(D3819&gt;=2,2,1))))</f>
        <v/>
      </c>
      <c r="H3819" s="124">
        <f>IF(E3819&gt;=5000,5,IF(E3819&gt;=2000,4,IF(E3819&gt;=800,3,IF(E3819&gt;=300,2,1))))</f>
        <v/>
      </c>
      <c r="I3819" s="122">
        <f>TEXT(F3819,"0")&amp;TEXT(G3819,"0")&amp;TEXT(H3819,"0")</f>
        <v/>
      </c>
      <c r="J3819" s="122">
        <f>IFERROR(XLOOKUP(I3819,'Segment Map'!A:A,'Segment Map'!B:B,"Need Attention"),"Need Attention")</f>
        <v/>
      </c>
      <c r="K3819" s="122">
        <f>IF(E3819&gt;=5000,"🏆 Platinum",IF(E3819&gt;=2000,"🥇 Gold",IF(E3819&gt;=800,"🥈 Silver","🥉 Bronze")))</f>
        <v/>
      </c>
      <c r="L3819" s="125" t="n">
        <v>40815</v>
      </c>
    </row>
    <row r="3820">
      <c r="A3820" s="126" t="n">
        <v>17573</v>
      </c>
      <c r="B3820" s="126" t="inlineStr">
        <is>
          <t>United Kingdom</t>
        </is>
      </c>
      <c r="C3820" s="126" t="n">
        <v>30</v>
      </c>
      <c r="D3820" s="126" t="n">
        <v>3</v>
      </c>
      <c r="E3820" s="127" t="n">
        <v>380.6</v>
      </c>
      <c r="F3820" s="128">
        <f>IF(C3820&lt;=30,5,IF(C3820&lt;=60,4,IF(C3820&lt;=120,3,IF(C3820&lt;=200,2,1))))</f>
        <v/>
      </c>
      <c r="G3820" s="128">
        <f>IF(D3820&gt;=20,5,IF(D3820&gt;=10,4,IF(D3820&gt;=5,3,IF(D3820&gt;=2,2,1))))</f>
        <v/>
      </c>
      <c r="H3820" s="128">
        <f>IF(E3820&gt;=5000,5,IF(E3820&gt;=2000,4,IF(E3820&gt;=800,3,IF(E3820&gt;=300,2,1))))</f>
        <v/>
      </c>
      <c r="I3820" s="126">
        <f>TEXT(F3820,"0")&amp;TEXT(G3820,"0")&amp;TEXT(H3820,"0")</f>
        <v/>
      </c>
      <c r="J3820" s="126">
        <f>IFERROR(XLOOKUP(I3820,'Segment Map'!A:A,'Segment Map'!B:B,"Need Attention"),"Need Attention")</f>
        <v/>
      </c>
      <c r="K3820" s="126">
        <f>IF(E3820&gt;=5000,"🏆 Platinum",IF(E3820&gt;=2000,"🥇 Gold",IF(E3820&gt;=800,"🥈 Silver","🥉 Bronze")))</f>
        <v/>
      </c>
      <c r="L3820" s="129" t="n">
        <v>40857</v>
      </c>
    </row>
    <row r="3821">
      <c r="A3821" s="122" t="n">
        <v>17574</v>
      </c>
      <c r="B3821" s="122" t="inlineStr">
        <is>
          <t>United Kingdom</t>
        </is>
      </c>
      <c r="C3821" s="122" t="n">
        <v>243</v>
      </c>
      <c r="D3821" s="122" t="n">
        <v>1</v>
      </c>
      <c r="E3821" s="123" t="n">
        <v>185.65</v>
      </c>
      <c r="F3821" s="124">
        <f>IF(C3821&lt;=30,5,IF(C3821&lt;=60,4,IF(C3821&lt;=120,3,IF(C3821&lt;=200,2,1))))</f>
        <v/>
      </c>
      <c r="G3821" s="124">
        <f>IF(D3821&gt;=20,5,IF(D3821&gt;=10,4,IF(D3821&gt;=5,3,IF(D3821&gt;=2,2,1))))</f>
        <v/>
      </c>
      <c r="H3821" s="124">
        <f>IF(E3821&gt;=5000,5,IF(E3821&gt;=2000,4,IF(E3821&gt;=800,3,IF(E3821&gt;=300,2,1))))</f>
        <v/>
      </c>
      <c r="I3821" s="122">
        <f>TEXT(F3821,"0")&amp;TEXT(G3821,"0")&amp;TEXT(H3821,"0")</f>
        <v/>
      </c>
      <c r="J3821" s="122">
        <f>IFERROR(XLOOKUP(I3821,'Segment Map'!A:A,'Segment Map'!B:B,"Need Attention"),"Need Attention")</f>
        <v/>
      </c>
      <c r="K3821" s="122">
        <f>IF(E3821&gt;=5000,"🏆 Platinum",IF(E3821&gt;=2000,"🥇 Gold",IF(E3821&gt;=800,"🥈 Silver","🥉 Bronze")))</f>
        <v/>
      </c>
      <c r="L3821" s="125" t="n">
        <v>40644</v>
      </c>
    </row>
    <row r="3822">
      <c r="A3822" s="126" t="n">
        <v>17576</v>
      </c>
      <c r="B3822" s="126" t="inlineStr">
        <is>
          <t>United Kingdom</t>
        </is>
      </c>
      <c r="C3822" s="126" t="n">
        <v>9</v>
      </c>
      <c r="D3822" s="126" t="n">
        <v>19</v>
      </c>
      <c r="E3822" s="127" t="n">
        <v>3622.68</v>
      </c>
      <c r="F3822" s="128">
        <f>IF(C3822&lt;=30,5,IF(C3822&lt;=60,4,IF(C3822&lt;=120,3,IF(C3822&lt;=200,2,1))))</f>
        <v/>
      </c>
      <c r="G3822" s="128">
        <f>IF(D3822&gt;=20,5,IF(D3822&gt;=10,4,IF(D3822&gt;=5,3,IF(D3822&gt;=2,2,1))))</f>
        <v/>
      </c>
      <c r="H3822" s="128">
        <f>IF(E3822&gt;=5000,5,IF(E3822&gt;=2000,4,IF(E3822&gt;=800,3,IF(E3822&gt;=300,2,1))))</f>
        <v/>
      </c>
      <c r="I3822" s="126">
        <f>TEXT(F3822,"0")&amp;TEXT(G3822,"0")&amp;TEXT(H3822,"0")</f>
        <v/>
      </c>
      <c r="J3822" s="126">
        <f>IFERROR(XLOOKUP(I3822,'Segment Map'!A:A,'Segment Map'!B:B,"Need Attention"),"Need Attention")</f>
        <v/>
      </c>
      <c r="K3822" s="126">
        <f>IF(E3822&gt;=5000,"🏆 Platinum",IF(E3822&gt;=2000,"🥇 Gold",IF(E3822&gt;=800,"🥈 Silver","🥉 Bronze")))</f>
        <v/>
      </c>
      <c r="L3822" s="129" t="n">
        <v>40878</v>
      </c>
    </row>
    <row r="3823">
      <c r="A3823" s="122" t="n">
        <v>17578</v>
      </c>
      <c r="B3823" s="122" t="inlineStr">
        <is>
          <t>United Kingdom</t>
        </is>
      </c>
      <c r="C3823" s="122" t="n">
        <v>219</v>
      </c>
      <c r="D3823" s="122" t="n">
        <v>1</v>
      </c>
      <c r="E3823" s="123" t="n">
        <v>143.46</v>
      </c>
      <c r="F3823" s="124">
        <f>IF(C3823&lt;=30,5,IF(C3823&lt;=60,4,IF(C3823&lt;=120,3,IF(C3823&lt;=200,2,1))))</f>
        <v/>
      </c>
      <c r="G3823" s="124">
        <f>IF(D3823&gt;=20,5,IF(D3823&gt;=10,4,IF(D3823&gt;=5,3,IF(D3823&gt;=2,2,1))))</f>
        <v/>
      </c>
      <c r="H3823" s="124">
        <f>IF(E3823&gt;=5000,5,IF(E3823&gt;=2000,4,IF(E3823&gt;=800,3,IF(E3823&gt;=300,2,1))))</f>
        <v/>
      </c>
      <c r="I3823" s="122">
        <f>TEXT(F3823,"0")&amp;TEXT(G3823,"0")&amp;TEXT(H3823,"0")</f>
        <v/>
      </c>
      <c r="J3823" s="122">
        <f>IFERROR(XLOOKUP(I3823,'Segment Map'!A:A,'Segment Map'!B:B,"Need Attention"),"Need Attention")</f>
        <v/>
      </c>
      <c r="K3823" s="122">
        <f>IF(E3823&gt;=5000,"🏆 Platinum",IF(E3823&gt;=2000,"🥇 Gold",IF(E3823&gt;=800,"🥈 Silver","🥉 Bronze")))</f>
        <v/>
      </c>
      <c r="L3823" s="125" t="n">
        <v>40668</v>
      </c>
    </row>
    <row r="3824">
      <c r="A3824" s="126" t="n">
        <v>17579</v>
      </c>
      <c r="B3824" s="126" t="inlineStr">
        <is>
          <t>United Kingdom</t>
        </is>
      </c>
      <c r="C3824" s="126" t="n">
        <v>5</v>
      </c>
      <c r="D3824" s="126" t="n">
        <v>3</v>
      </c>
      <c r="E3824" s="127" t="n">
        <v>448.9</v>
      </c>
      <c r="F3824" s="128">
        <f>IF(C3824&lt;=30,5,IF(C3824&lt;=60,4,IF(C3824&lt;=120,3,IF(C3824&lt;=200,2,1))))</f>
        <v/>
      </c>
      <c r="G3824" s="128">
        <f>IF(D3824&gt;=20,5,IF(D3824&gt;=10,4,IF(D3824&gt;=5,3,IF(D3824&gt;=2,2,1))))</f>
        <v/>
      </c>
      <c r="H3824" s="128">
        <f>IF(E3824&gt;=5000,5,IF(E3824&gt;=2000,4,IF(E3824&gt;=800,3,IF(E3824&gt;=300,2,1))))</f>
        <v/>
      </c>
      <c r="I3824" s="126">
        <f>TEXT(F3824,"0")&amp;TEXT(G3824,"0")&amp;TEXT(H3824,"0")</f>
        <v/>
      </c>
      <c r="J3824" s="126">
        <f>IFERROR(XLOOKUP(I3824,'Segment Map'!A:A,'Segment Map'!B:B,"Need Attention"),"Need Attention")</f>
        <v/>
      </c>
      <c r="K3824" s="126">
        <f>IF(E3824&gt;=5000,"🏆 Platinum",IF(E3824&gt;=2000,"🥇 Gold",IF(E3824&gt;=800,"🥈 Silver","🥉 Bronze")))</f>
        <v/>
      </c>
      <c r="L3824" s="129" t="n">
        <v>40882</v>
      </c>
    </row>
    <row r="3825">
      <c r="A3825" s="122" t="n">
        <v>17580</v>
      </c>
      <c r="B3825" s="122" t="inlineStr">
        <is>
          <t>United Kingdom</t>
        </is>
      </c>
      <c r="C3825" s="122" t="n">
        <v>253</v>
      </c>
      <c r="D3825" s="122" t="n">
        <v>3</v>
      </c>
      <c r="E3825" s="123" t="n">
        <v>215.72</v>
      </c>
      <c r="F3825" s="124">
        <f>IF(C3825&lt;=30,5,IF(C3825&lt;=60,4,IF(C3825&lt;=120,3,IF(C3825&lt;=200,2,1))))</f>
        <v/>
      </c>
      <c r="G3825" s="124">
        <f>IF(D3825&gt;=20,5,IF(D3825&gt;=10,4,IF(D3825&gt;=5,3,IF(D3825&gt;=2,2,1))))</f>
        <v/>
      </c>
      <c r="H3825" s="124">
        <f>IF(E3825&gt;=5000,5,IF(E3825&gt;=2000,4,IF(E3825&gt;=800,3,IF(E3825&gt;=300,2,1))))</f>
        <v/>
      </c>
      <c r="I3825" s="122">
        <f>TEXT(F3825,"0")&amp;TEXT(G3825,"0")&amp;TEXT(H3825,"0")</f>
        <v/>
      </c>
      <c r="J3825" s="122">
        <f>IFERROR(XLOOKUP(I3825,'Segment Map'!A:A,'Segment Map'!B:B,"Need Attention"),"Need Attention")</f>
        <v/>
      </c>
      <c r="K3825" s="122">
        <f>IF(E3825&gt;=5000,"🏆 Platinum",IF(E3825&gt;=2000,"🥇 Gold",IF(E3825&gt;=800,"🥈 Silver","🥉 Bronze")))</f>
        <v/>
      </c>
      <c r="L3825" s="125" t="n">
        <v>40634</v>
      </c>
    </row>
    <row r="3826">
      <c r="A3826" s="126" t="n">
        <v>17581</v>
      </c>
      <c r="B3826" s="126" t="inlineStr">
        <is>
          <t>United Kingdom</t>
        </is>
      </c>
      <c r="C3826" s="126" t="n">
        <v>1</v>
      </c>
      <c r="D3826" s="126" t="n">
        <v>25</v>
      </c>
      <c r="E3826" s="127" t="n">
        <v>11045.04</v>
      </c>
      <c r="F3826" s="128">
        <f>IF(C3826&lt;=30,5,IF(C3826&lt;=60,4,IF(C3826&lt;=120,3,IF(C3826&lt;=200,2,1))))</f>
        <v/>
      </c>
      <c r="G3826" s="128">
        <f>IF(D3826&gt;=20,5,IF(D3826&gt;=10,4,IF(D3826&gt;=5,3,IF(D3826&gt;=2,2,1))))</f>
        <v/>
      </c>
      <c r="H3826" s="128">
        <f>IF(E3826&gt;=5000,5,IF(E3826&gt;=2000,4,IF(E3826&gt;=800,3,IF(E3826&gt;=300,2,1))))</f>
        <v/>
      </c>
      <c r="I3826" s="126">
        <f>TEXT(F3826,"0")&amp;TEXT(G3826,"0")&amp;TEXT(H3826,"0")</f>
        <v/>
      </c>
      <c r="J3826" s="126">
        <f>IFERROR(XLOOKUP(I3826,'Segment Map'!A:A,'Segment Map'!B:B,"Need Attention"),"Need Attention")</f>
        <v/>
      </c>
      <c r="K3826" s="126">
        <f>IF(E3826&gt;=5000,"🏆 Platinum",IF(E3826&gt;=2000,"🥇 Gold",IF(E3826&gt;=800,"🥈 Silver","🥉 Bronze")))</f>
        <v/>
      </c>
      <c r="L3826" s="129" t="n">
        <v>40886</v>
      </c>
    </row>
    <row r="3827">
      <c r="A3827" s="122" t="n">
        <v>17582</v>
      </c>
      <c r="B3827" s="122" t="inlineStr">
        <is>
          <t>United Kingdom</t>
        </is>
      </c>
      <c r="C3827" s="122" t="n">
        <v>237</v>
      </c>
      <c r="D3827" s="122" t="n">
        <v>1</v>
      </c>
      <c r="E3827" s="123" t="n">
        <v>175.27</v>
      </c>
      <c r="F3827" s="124">
        <f>IF(C3827&lt;=30,5,IF(C3827&lt;=60,4,IF(C3827&lt;=120,3,IF(C3827&lt;=200,2,1))))</f>
        <v/>
      </c>
      <c r="G3827" s="124">
        <f>IF(D3827&gt;=20,5,IF(D3827&gt;=10,4,IF(D3827&gt;=5,3,IF(D3827&gt;=2,2,1))))</f>
        <v/>
      </c>
      <c r="H3827" s="124">
        <f>IF(E3827&gt;=5000,5,IF(E3827&gt;=2000,4,IF(E3827&gt;=800,3,IF(E3827&gt;=300,2,1))))</f>
        <v/>
      </c>
      <c r="I3827" s="122">
        <f>TEXT(F3827,"0")&amp;TEXT(G3827,"0")&amp;TEXT(H3827,"0")</f>
        <v/>
      </c>
      <c r="J3827" s="122">
        <f>IFERROR(XLOOKUP(I3827,'Segment Map'!A:A,'Segment Map'!B:B,"Need Attention"),"Need Attention")</f>
        <v/>
      </c>
      <c r="K3827" s="122">
        <f>IF(E3827&gt;=5000,"🏆 Platinum",IF(E3827&gt;=2000,"🥇 Gold",IF(E3827&gt;=800,"🥈 Silver","🥉 Bronze")))</f>
        <v/>
      </c>
      <c r="L3827" s="125" t="n">
        <v>40650</v>
      </c>
    </row>
    <row r="3828">
      <c r="A3828" s="126" t="n">
        <v>17584</v>
      </c>
      <c r="B3828" s="126" t="inlineStr">
        <is>
          <t>United Kingdom</t>
        </is>
      </c>
      <c r="C3828" s="126" t="n">
        <v>8</v>
      </c>
      <c r="D3828" s="126" t="n">
        <v>2</v>
      </c>
      <c r="E3828" s="127" t="n">
        <v>1242.3</v>
      </c>
      <c r="F3828" s="128">
        <f>IF(C3828&lt;=30,5,IF(C3828&lt;=60,4,IF(C3828&lt;=120,3,IF(C3828&lt;=200,2,1))))</f>
        <v/>
      </c>
      <c r="G3828" s="128">
        <f>IF(D3828&gt;=20,5,IF(D3828&gt;=10,4,IF(D3828&gt;=5,3,IF(D3828&gt;=2,2,1))))</f>
        <v/>
      </c>
      <c r="H3828" s="128">
        <f>IF(E3828&gt;=5000,5,IF(E3828&gt;=2000,4,IF(E3828&gt;=800,3,IF(E3828&gt;=300,2,1))))</f>
        <v/>
      </c>
      <c r="I3828" s="126">
        <f>TEXT(F3828,"0")&amp;TEXT(G3828,"0")&amp;TEXT(H3828,"0")</f>
        <v/>
      </c>
      <c r="J3828" s="126">
        <f>IFERROR(XLOOKUP(I3828,'Segment Map'!A:A,'Segment Map'!B:B,"Need Attention"),"Need Attention")</f>
        <v/>
      </c>
      <c r="K3828" s="126">
        <f>IF(E3828&gt;=5000,"🏆 Platinum",IF(E3828&gt;=2000,"🥇 Gold",IF(E3828&gt;=800,"🥈 Silver","🥉 Bronze")))</f>
        <v/>
      </c>
      <c r="L3828" s="129" t="n">
        <v>40879</v>
      </c>
    </row>
    <row r="3829">
      <c r="A3829" s="122" t="n">
        <v>17585</v>
      </c>
      <c r="B3829" s="122" t="inlineStr">
        <is>
          <t>United Kingdom</t>
        </is>
      </c>
      <c r="C3829" s="122" t="n">
        <v>110</v>
      </c>
      <c r="D3829" s="122" t="n">
        <v>4</v>
      </c>
      <c r="E3829" s="123" t="n">
        <v>1133.07</v>
      </c>
      <c r="F3829" s="124">
        <f>IF(C3829&lt;=30,5,IF(C3829&lt;=60,4,IF(C3829&lt;=120,3,IF(C3829&lt;=200,2,1))))</f>
        <v/>
      </c>
      <c r="G3829" s="124">
        <f>IF(D3829&gt;=20,5,IF(D3829&gt;=10,4,IF(D3829&gt;=5,3,IF(D3829&gt;=2,2,1))))</f>
        <v/>
      </c>
      <c r="H3829" s="124">
        <f>IF(E3829&gt;=5000,5,IF(E3829&gt;=2000,4,IF(E3829&gt;=800,3,IF(E3829&gt;=300,2,1))))</f>
        <v/>
      </c>
      <c r="I3829" s="122">
        <f>TEXT(F3829,"0")&amp;TEXT(G3829,"0")&amp;TEXT(H3829,"0")</f>
        <v/>
      </c>
      <c r="J3829" s="122">
        <f>IFERROR(XLOOKUP(I3829,'Segment Map'!A:A,'Segment Map'!B:B,"Need Attention"),"Need Attention")</f>
        <v/>
      </c>
      <c r="K3829" s="122">
        <f>IF(E3829&gt;=5000,"🏆 Platinum",IF(E3829&gt;=2000,"🥇 Gold",IF(E3829&gt;=800,"🥈 Silver","🥉 Bronze")))</f>
        <v/>
      </c>
      <c r="L3829" s="125" t="n">
        <v>40777</v>
      </c>
    </row>
    <row r="3830">
      <c r="A3830" s="126" t="n">
        <v>17588</v>
      </c>
      <c r="B3830" s="126" t="inlineStr">
        <is>
          <t>United Kingdom</t>
        </is>
      </c>
      <c r="C3830" s="126" t="n">
        <v>101</v>
      </c>
      <c r="D3830" s="126" t="n">
        <v>3</v>
      </c>
      <c r="E3830" s="127" t="n">
        <v>1240.2</v>
      </c>
      <c r="F3830" s="128">
        <f>IF(C3830&lt;=30,5,IF(C3830&lt;=60,4,IF(C3830&lt;=120,3,IF(C3830&lt;=200,2,1))))</f>
        <v/>
      </c>
      <c r="G3830" s="128">
        <f>IF(D3830&gt;=20,5,IF(D3830&gt;=10,4,IF(D3830&gt;=5,3,IF(D3830&gt;=2,2,1))))</f>
        <v/>
      </c>
      <c r="H3830" s="128">
        <f>IF(E3830&gt;=5000,5,IF(E3830&gt;=2000,4,IF(E3830&gt;=800,3,IF(E3830&gt;=300,2,1))))</f>
        <v/>
      </c>
      <c r="I3830" s="126">
        <f>TEXT(F3830,"0")&amp;TEXT(G3830,"0")&amp;TEXT(H3830,"0")</f>
        <v/>
      </c>
      <c r="J3830" s="126">
        <f>IFERROR(XLOOKUP(I3830,'Segment Map'!A:A,'Segment Map'!B:B,"Need Attention"),"Need Attention")</f>
        <v/>
      </c>
      <c r="K3830" s="126">
        <f>IF(E3830&gt;=5000,"🏆 Platinum",IF(E3830&gt;=2000,"🥇 Gold",IF(E3830&gt;=800,"🥈 Silver","🥉 Bronze")))</f>
        <v/>
      </c>
      <c r="L3830" s="129" t="n">
        <v>40786</v>
      </c>
    </row>
    <row r="3831">
      <c r="A3831" s="122" t="n">
        <v>17589</v>
      </c>
      <c r="B3831" s="122" t="inlineStr">
        <is>
          <t>United Kingdom</t>
        </is>
      </c>
      <c r="C3831" s="122" t="n">
        <v>61</v>
      </c>
      <c r="D3831" s="122" t="n">
        <v>4</v>
      </c>
      <c r="E3831" s="123" t="n">
        <v>2404.17</v>
      </c>
      <c r="F3831" s="124">
        <f>IF(C3831&lt;=30,5,IF(C3831&lt;=60,4,IF(C3831&lt;=120,3,IF(C3831&lt;=200,2,1))))</f>
        <v/>
      </c>
      <c r="G3831" s="124">
        <f>IF(D3831&gt;=20,5,IF(D3831&gt;=10,4,IF(D3831&gt;=5,3,IF(D3831&gt;=2,2,1))))</f>
        <v/>
      </c>
      <c r="H3831" s="124">
        <f>IF(E3831&gt;=5000,5,IF(E3831&gt;=2000,4,IF(E3831&gt;=800,3,IF(E3831&gt;=300,2,1))))</f>
        <v/>
      </c>
      <c r="I3831" s="122">
        <f>TEXT(F3831,"0")&amp;TEXT(G3831,"0")&amp;TEXT(H3831,"0")</f>
        <v/>
      </c>
      <c r="J3831" s="122">
        <f>IFERROR(XLOOKUP(I3831,'Segment Map'!A:A,'Segment Map'!B:B,"Need Attention"),"Need Attention")</f>
        <v/>
      </c>
      <c r="K3831" s="122">
        <f>IF(E3831&gt;=5000,"🏆 Platinum",IF(E3831&gt;=2000,"🥇 Gold",IF(E3831&gt;=800,"🥈 Silver","🥉 Bronze")))</f>
        <v/>
      </c>
      <c r="L3831" s="125" t="n">
        <v>40826</v>
      </c>
    </row>
    <row r="3832">
      <c r="A3832" s="126" t="n">
        <v>17590</v>
      </c>
      <c r="B3832" s="126" t="inlineStr">
        <is>
          <t>United Kingdom</t>
        </is>
      </c>
      <c r="C3832" s="126" t="n">
        <v>3</v>
      </c>
      <c r="D3832" s="126" t="n">
        <v>3</v>
      </c>
      <c r="E3832" s="127" t="n">
        <v>1479.22</v>
      </c>
      <c r="F3832" s="128">
        <f>IF(C3832&lt;=30,5,IF(C3832&lt;=60,4,IF(C3832&lt;=120,3,IF(C3832&lt;=200,2,1))))</f>
        <v/>
      </c>
      <c r="G3832" s="128">
        <f>IF(D3832&gt;=20,5,IF(D3832&gt;=10,4,IF(D3832&gt;=5,3,IF(D3832&gt;=2,2,1))))</f>
        <v/>
      </c>
      <c r="H3832" s="128">
        <f>IF(E3832&gt;=5000,5,IF(E3832&gt;=2000,4,IF(E3832&gt;=800,3,IF(E3832&gt;=300,2,1))))</f>
        <v/>
      </c>
      <c r="I3832" s="126">
        <f>TEXT(F3832,"0")&amp;TEXT(G3832,"0")&amp;TEXT(H3832,"0")</f>
        <v/>
      </c>
      <c r="J3832" s="126">
        <f>IFERROR(XLOOKUP(I3832,'Segment Map'!A:A,'Segment Map'!B:B,"Need Attention"),"Need Attention")</f>
        <v/>
      </c>
      <c r="K3832" s="126">
        <f>IF(E3832&gt;=5000,"🏆 Platinum",IF(E3832&gt;=2000,"🥇 Gold",IF(E3832&gt;=800,"🥈 Silver","🥉 Bronze")))</f>
        <v/>
      </c>
      <c r="L3832" s="129" t="n">
        <v>40884</v>
      </c>
    </row>
    <row r="3833">
      <c r="A3833" s="122" t="n">
        <v>17591</v>
      </c>
      <c r="B3833" s="122" t="inlineStr">
        <is>
          <t>United Kingdom</t>
        </is>
      </c>
      <c r="C3833" s="122" t="n">
        <v>74</v>
      </c>
      <c r="D3833" s="122" t="n">
        <v>7</v>
      </c>
      <c r="E3833" s="123" t="n">
        <v>2225.97</v>
      </c>
      <c r="F3833" s="124">
        <f>IF(C3833&lt;=30,5,IF(C3833&lt;=60,4,IF(C3833&lt;=120,3,IF(C3833&lt;=200,2,1))))</f>
        <v/>
      </c>
      <c r="G3833" s="124">
        <f>IF(D3833&gt;=20,5,IF(D3833&gt;=10,4,IF(D3833&gt;=5,3,IF(D3833&gt;=2,2,1))))</f>
        <v/>
      </c>
      <c r="H3833" s="124">
        <f>IF(E3833&gt;=5000,5,IF(E3833&gt;=2000,4,IF(E3833&gt;=800,3,IF(E3833&gt;=300,2,1))))</f>
        <v/>
      </c>
      <c r="I3833" s="122">
        <f>TEXT(F3833,"0")&amp;TEXT(G3833,"0")&amp;TEXT(H3833,"0")</f>
        <v/>
      </c>
      <c r="J3833" s="122">
        <f>IFERROR(XLOOKUP(I3833,'Segment Map'!A:A,'Segment Map'!B:B,"Need Attention"),"Need Attention")</f>
        <v/>
      </c>
      <c r="K3833" s="122">
        <f>IF(E3833&gt;=5000,"🏆 Platinum",IF(E3833&gt;=2000,"🥇 Gold",IF(E3833&gt;=800,"🥈 Silver","🥉 Bronze")))</f>
        <v/>
      </c>
      <c r="L3833" s="125" t="n">
        <v>40813</v>
      </c>
    </row>
    <row r="3834">
      <c r="A3834" s="126" t="n">
        <v>17593</v>
      </c>
      <c r="B3834" s="126" t="inlineStr">
        <is>
          <t>United Kingdom</t>
        </is>
      </c>
      <c r="C3834" s="126" t="n">
        <v>4</v>
      </c>
      <c r="D3834" s="126" t="n">
        <v>5</v>
      </c>
      <c r="E3834" s="127" t="n">
        <v>3927.34</v>
      </c>
      <c r="F3834" s="128">
        <f>IF(C3834&lt;=30,5,IF(C3834&lt;=60,4,IF(C3834&lt;=120,3,IF(C3834&lt;=200,2,1))))</f>
        <v/>
      </c>
      <c r="G3834" s="128">
        <f>IF(D3834&gt;=20,5,IF(D3834&gt;=10,4,IF(D3834&gt;=5,3,IF(D3834&gt;=2,2,1))))</f>
        <v/>
      </c>
      <c r="H3834" s="128">
        <f>IF(E3834&gt;=5000,5,IF(E3834&gt;=2000,4,IF(E3834&gt;=800,3,IF(E3834&gt;=300,2,1))))</f>
        <v/>
      </c>
      <c r="I3834" s="126">
        <f>TEXT(F3834,"0")&amp;TEXT(G3834,"0")&amp;TEXT(H3834,"0")</f>
        <v/>
      </c>
      <c r="J3834" s="126">
        <f>IFERROR(XLOOKUP(I3834,'Segment Map'!A:A,'Segment Map'!B:B,"Need Attention"),"Need Attention")</f>
        <v/>
      </c>
      <c r="K3834" s="126">
        <f>IF(E3834&gt;=5000,"🏆 Platinum",IF(E3834&gt;=2000,"🥇 Gold",IF(E3834&gt;=800,"🥈 Silver","🥉 Bronze")))</f>
        <v/>
      </c>
      <c r="L3834" s="129" t="n">
        <v>40883</v>
      </c>
    </row>
    <row r="3835">
      <c r="A3835" s="122" t="n">
        <v>17594</v>
      </c>
      <c r="B3835" s="122" t="inlineStr">
        <is>
          <t>United Kingdom</t>
        </is>
      </c>
      <c r="C3835" s="122" t="n">
        <v>86</v>
      </c>
      <c r="D3835" s="122" t="n">
        <v>2</v>
      </c>
      <c r="E3835" s="123" t="n">
        <v>993.1799999999999</v>
      </c>
      <c r="F3835" s="124">
        <f>IF(C3835&lt;=30,5,IF(C3835&lt;=60,4,IF(C3835&lt;=120,3,IF(C3835&lt;=200,2,1))))</f>
        <v/>
      </c>
      <c r="G3835" s="124">
        <f>IF(D3835&gt;=20,5,IF(D3835&gt;=10,4,IF(D3835&gt;=5,3,IF(D3835&gt;=2,2,1))))</f>
        <v/>
      </c>
      <c r="H3835" s="124">
        <f>IF(E3835&gt;=5000,5,IF(E3835&gt;=2000,4,IF(E3835&gt;=800,3,IF(E3835&gt;=300,2,1))))</f>
        <v/>
      </c>
      <c r="I3835" s="122">
        <f>TEXT(F3835,"0")&amp;TEXT(G3835,"0")&amp;TEXT(H3835,"0")</f>
        <v/>
      </c>
      <c r="J3835" s="122">
        <f>IFERROR(XLOOKUP(I3835,'Segment Map'!A:A,'Segment Map'!B:B,"Need Attention"),"Need Attention")</f>
        <v/>
      </c>
      <c r="K3835" s="122">
        <f>IF(E3835&gt;=5000,"🏆 Platinum",IF(E3835&gt;=2000,"🥇 Gold",IF(E3835&gt;=800,"🥈 Silver","🥉 Bronze")))</f>
        <v/>
      </c>
      <c r="L3835" s="125" t="n">
        <v>40801</v>
      </c>
    </row>
    <row r="3836">
      <c r="A3836" s="126" t="n">
        <v>17595</v>
      </c>
      <c r="B3836" s="126" t="inlineStr">
        <is>
          <t>United Kingdom</t>
        </is>
      </c>
      <c r="C3836" s="126" t="n">
        <v>13</v>
      </c>
      <c r="D3836" s="126" t="n">
        <v>2</v>
      </c>
      <c r="E3836" s="127" t="n">
        <v>388.79</v>
      </c>
      <c r="F3836" s="128">
        <f>IF(C3836&lt;=30,5,IF(C3836&lt;=60,4,IF(C3836&lt;=120,3,IF(C3836&lt;=200,2,1))))</f>
        <v/>
      </c>
      <c r="G3836" s="128">
        <f>IF(D3836&gt;=20,5,IF(D3836&gt;=10,4,IF(D3836&gt;=5,3,IF(D3836&gt;=2,2,1))))</f>
        <v/>
      </c>
      <c r="H3836" s="128">
        <f>IF(E3836&gt;=5000,5,IF(E3836&gt;=2000,4,IF(E3836&gt;=800,3,IF(E3836&gt;=300,2,1))))</f>
        <v/>
      </c>
      <c r="I3836" s="126">
        <f>TEXT(F3836,"0")&amp;TEXT(G3836,"0")&amp;TEXT(H3836,"0")</f>
        <v/>
      </c>
      <c r="J3836" s="126">
        <f>IFERROR(XLOOKUP(I3836,'Segment Map'!A:A,'Segment Map'!B:B,"Need Attention"),"Need Attention")</f>
        <v/>
      </c>
      <c r="K3836" s="126">
        <f>IF(E3836&gt;=5000,"🏆 Platinum",IF(E3836&gt;=2000,"🥇 Gold",IF(E3836&gt;=800,"🥈 Silver","🥉 Bronze")))</f>
        <v/>
      </c>
      <c r="L3836" s="129" t="n">
        <v>40874</v>
      </c>
    </row>
    <row r="3837">
      <c r="A3837" s="122" t="n">
        <v>17596</v>
      </c>
      <c r="B3837" s="122" t="inlineStr">
        <is>
          <t>United Kingdom</t>
        </is>
      </c>
      <c r="C3837" s="122" t="n">
        <v>24</v>
      </c>
      <c r="D3837" s="122" t="n">
        <v>7</v>
      </c>
      <c r="E3837" s="123" t="n">
        <v>2827.93</v>
      </c>
      <c r="F3837" s="124">
        <f>IF(C3837&lt;=30,5,IF(C3837&lt;=60,4,IF(C3837&lt;=120,3,IF(C3837&lt;=200,2,1))))</f>
        <v/>
      </c>
      <c r="G3837" s="124">
        <f>IF(D3837&gt;=20,5,IF(D3837&gt;=10,4,IF(D3837&gt;=5,3,IF(D3837&gt;=2,2,1))))</f>
        <v/>
      </c>
      <c r="H3837" s="124">
        <f>IF(E3837&gt;=5000,5,IF(E3837&gt;=2000,4,IF(E3837&gt;=800,3,IF(E3837&gt;=300,2,1))))</f>
        <v/>
      </c>
      <c r="I3837" s="122">
        <f>TEXT(F3837,"0")&amp;TEXT(G3837,"0")&amp;TEXT(H3837,"0")</f>
        <v/>
      </c>
      <c r="J3837" s="122">
        <f>IFERROR(XLOOKUP(I3837,'Segment Map'!A:A,'Segment Map'!B:B,"Need Attention"),"Need Attention")</f>
        <v/>
      </c>
      <c r="K3837" s="122">
        <f>IF(E3837&gt;=5000,"🏆 Platinum",IF(E3837&gt;=2000,"🥇 Gold",IF(E3837&gt;=800,"🥈 Silver","🥉 Bronze")))</f>
        <v/>
      </c>
      <c r="L3837" s="125" t="n">
        <v>40863</v>
      </c>
    </row>
    <row r="3838">
      <c r="A3838" s="126" t="n">
        <v>17597</v>
      </c>
      <c r="B3838" s="126" t="inlineStr">
        <is>
          <t>United Kingdom</t>
        </is>
      </c>
      <c r="C3838" s="126" t="n">
        <v>214</v>
      </c>
      <c r="D3838" s="126" t="n">
        <v>1</v>
      </c>
      <c r="E3838" s="127" t="n">
        <v>2044.37</v>
      </c>
      <c r="F3838" s="128">
        <f>IF(C3838&lt;=30,5,IF(C3838&lt;=60,4,IF(C3838&lt;=120,3,IF(C3838&lt;=200,2,1))))</f>
        <v/>
      </c>
      <c r="G3838" s="128">
        <f>IF(D3838&gt;=20,5,IF(D3838&gt;=10,4,IF(D3838&gt;=5,3,IF(D3838&gt;=2,2,1))))</f>
        <v/>
      </c>
      <c r="H3838" s="128">
        <f>IF(E3838&gt;=5000,5,IF(E3838&gt;=2000,4,IF(E3838&gt;=800,3,IF(E3838&gt;=300,2,1))))</f>
        <v/>
      </c>
      <c r="I3838" s="126">
        <f>TEXT(F3838,"0")&amp;TEXT(G3838,"0")&amp;TEXT(H3838,"0")</f>
        <v/>
      </c>
      <c r="J3838" s="126">
        <f>IFERROR(XLOOKUP(I3838,'Segment Map'!A:A,'Segment Map'!B:B,"Need Attention"),"Need Attention")</f>
        <v/>
      </c>
      <c r="K3838" s="126">
        <f>IF(E3838&gt;=5000,"🏆 Platinum",IF(E3838&gt;=2000,"🥇 Gold",IF(E3838&gt;=800,"🥈 Silver","🥉 Bronze")))</f>
        <v/>
      </c>
      <c r="L3838" s="129" t="n">
        <v>40673</v>
      </c>
    </row>
    <row r="3839">
      <c r="A3839" s="122" t="n">
        <v>17600</v>
      </c>
      <c r="B3839" s="122" t="inlineStr">
        <is>
          <t>United Kingdom</t>
        </is>
      </c>
      <c r="C3839" s="122" t="n">
        <v>18</v>
      </c>
      <c r="D3839" s="122" t="n">
        <v>1</v>
      </c>
      <c r="E3839" s="123" t="n">
        <v>161.67</v>
      </c>
      <c r="F3839" s="124">
        <f>IF(C3839&lt;=30,5,IF(C3839&lt;=60,4,IF(C3839&lt;=120,3,IF(C3839&lt;=200,2,1))))</f>
        <v/>
      </c>
      <c r="G3839" s="124">
        <f>IF(D3839&gt;=20,5,IF(D3839&gt;=10,4,IF(D3839&gt;=5,3,IF(D3839&gt;=2,2,1))))</f>
        <v/>
      </c>
      <c r="H3839" s="124">
        <f>IF(E3839&gt;=5000,5,IF(E3839&gt;=2000,4,IF(E3839&gt;=800,3,IF(E3839&gt;=300,2,1))))</f>
        <v/>
      </c>
      <c r="I3839" s="122">
        <f>TEXT(F3839,"0")&amp;TEXT(G3839,"0")&amp;TEXT(H3839,"0")</f>
        <v/>
      </c>
      <c r="J3839" s="122">
        <f>IFERROR(XLOOKUP(I3839,'Segment Map'!A:A,'Segment Map'!B:B,"Need Attention"),"Need Attention")</f>
        <v/>
      </c>
      <c r="K3839" s="122">
        <f>IF(E3839&gt;=5000,"🏆 Platinum",IF(E3839&gt;=2000,"🥇 Gold",IF(E3839&gt;=800,"🥈 Silver","🥉 Bronze")))</f>
        <v/>
      </c>
      <c r="L3839" s="125" t="n">
        <v>40869</v>
      </c>
    </row>
    <row r="3840">
      <c r="A3840" s="126" t="n">
        <v>17601</v>
      </c>
      <c r="B3840" s="126" t="inlineStr">
        <is>
          <t>United Kingdom</t>
        </is>
      </c>
      <c r="C3840" s="126" t="n">
        <v>240</v>
      </c>
      <c r="D3840" s="126" t="n">
        <v>1</v>
      </c>
      <c r="E3840" s="127" t="n">
        <v>116.01</v>
      </c>
      <c r="F3840" s="128">
        <f>IF(C3840&lt;=30,5,IF(C3840&lt;=60,4,IF(C3840&lt;=120,3,IF(C3840&lt;=200,2,1))))</f>
        <v/>
      </c>
      <c r="G3840" s="128">
        <f>IF(D3840&gt;=20,5,IF(D3840&gt;=10,4,IF(D3840&gt;=5,3,IF(D3840&gt;=2,2,1))))</f>
        <v/>
      </c>
      <c r="H3840" s="128">
        <f>IF(E3840&gt;=5000,5,IF(E3840&gt;=2000,4,IF(E3840&gt;=800,3,IF(E3840&gt;=300,2,1))))</f>
        <v/>
      </c>
      <c r="I3840" s="126">
        <f>TEXT(F3840,"0")&amp;TEXT(G3840,"0")&amp;TEXT(H3840,"0")</f>
        <v/>
      </c>
      <c r="J3840" s="126">
        <f>IFERROR(XLOOKUP(I3840,'Segment Map'!A:A,'Segment Map'!B:B,"Need Attention"),"Need Attention")</f>
        <v/>
      </c>
      <c r="K3840" s="126">
        <f>IF(E3840&gt;=5000,"🏆 Platinum",IF(E3840&gt;=2000,"🥇 Gold",IF(E3840&gt;=800,"🥈 Silver","🥉 Bronze")))</f>
        <v/>
      </c>
      <c r="L3840" s="129" t="n">
        <v>40647</v>
      </c>
    </row>
    <row r="3841">
      <c r="A3841" s="122" t="n">
        <v>17602</v>
      </c>
      <c r="B3841" s="122" t="inlineStr">
        <is>
          <t>United Kingdom</t>
        </is>
      </c>
      <c r="C3841" s="122" t="n">
        <v>3</v>
      </c>
      <c r="D3841" s="122" t="n">
        <v>6</v>
      </c>
      <c r="E3841" s="123" t="n">
        <v>5102.97</v>
      </c>
      <c r="F3841" s="124">
        <f>IF(C3841&lt;=30,5,IF(C3841&lt;=60,4,IF(C3841&lt;=120,3,IF(C3841&lt;=200,2,1))))</f>
        <v/>
      </c>
      <c r="G3841" s="124">
        <f>IF(D3841&gt;=20,5,IF(D3841&gt;=10,4,IF(D3841&gt;=5,3,IF(D3841&gt;=2,2,1))))</f>
        <v/>
      </c>
      <c r="H3841" s="124">
        <f>IF(E3841&gt;=5000,5,IF(E3841&gt;=2000,4,IF(E3841&gt;=800,3,IF(E3841&gt;=300,2,1))))</f>
        <v/>
      </c>
      <c r="I3841" s="122">
        <f>TEXT(F3841,"0")&amp;TEXT(G3841,"0")&amp;TEXT(H3841,"0")</f>
        <v/>
      </c>
      <c r="J3841" s="122">
        <f>IFERROR(XLOOKUP(I3841,'Segment Map'!A:A,'Segment Map'!B:B,"Need Attention"),"Need Attention")</f>
        <v/>
      </c>
      <c r="K3841" s="122">
        <f>IF(E3841&gt;=5000,"🏆 Platinum",IF(E3841&gt;=2000,"🥇 Gold",IF(E3841&gt;=800,"🥈 Silver","🥉 Bronze")))</f>
        <v/>
      </c>
      <c r="L3841" s="125" t="n">
        <v>40884</v>
      </c>
    </row>
    <row r="3842">
      <c r="A3842" s="126" t="n">
        <v>17603</v>
      </c>
      <c r="B3842" s="126" t="inlineStr">
        <is>
          <t>United Kingdom</t>
        </is>
      </c>
      <c r="C3842" s="126" t="n">
        <v>79</v>
      </c>
      <c r="D3842" s="126" t="n">
        <v>1</v>
      </c>
      <c r="E3842" s="127" t="n">
        <v>394.72</v>
      </c>
      <c r="F3842" s="128">
        <f>IF(C3842&lt;=30,5,IF(C3842&lt;=60,4,IF(C3842&lt;=120,3,IF(C3842&lt;=200,2,1))))</f>
        <v/>
      </c>
      <c r="G3842" s="128">
        <f>IF(D3842&gt;=20,5,IF(D3842&gt;=10,4,IF(D3842&gt;=5,3,IF(D3842&gt;=2,2,1))))</f>
        <v/>
      </c>
      <c r="H3842" s="128">
        <f>IF(E3842&gt;=5000,5,IF(E3842&gt;=2000,4,IF(E3842&gt;=800,3,IF(E3842&gt;=300,2,1))))</f>
        <v/>
      </c>
      <c r="I3842" s="126">
        <f>TEXT(F3842,"0")&amp;TEXT(G3842,"0")&amp;TEXT(H3842,"0")</f>
        <v/>
      </c>
      <c r="J3842" s="126">
        <f>IFERROR(XLOOKUP(I3842,'Segment Map'!A:A,'Segment Map'!B:B,"Need Attention"),"Need Attention")</f>
        <v/>
      </c>
      <c r="K3842" s="126">
        <f>IF(E3842&gt;=5000,"🏆 Platinum",IF(E3842&gt;=2000,"🥇 Gold",IF(E3842&gt;=800,"🥈 Silver","🥉 Bronze")))</f>
        <v/>
      </c>
      <c r="L3842" s="129" t="n">
        <v>40808</v>
      </c>
    </row>
    <row r="3843">
      <c r="A3843" s="122" t="n">
        <v>17604</v>
      </c>
      <c r="B3843" s="122" t="inlineStr">
        <is>
          <t>United Kingdom</t>
        </is>
      </c>
      <c r="C3843" s="122" t="n">
        <v>218</v>
      </c>
      <c r="D3843" s="122" t="n">
        <v>2</v>
      </c>
      <c r="E3843" s="123" t="n">
        <v>309.36</v>
      </c>
      <c r="F3843" s="124">
        <f>IF(C3843&lt;=30,5,IF(C3843&lt;=60,4,IF(C3843&lt;=120,3,IF(C3843&lt;=200,2,1))))</f>
        <v/>
      </c>
      <c r="G3843" s="124">
        <f>IF(D3843&gt;=20,5,IF(D3843&gt;=10,4,IF(D3843&gt;=5,3,IF(D3843&gt;=2,2,1))))</f>
        <v/>
      </c>
      <c r="H3843" s="124">
        <f>IF(E3843&gt;=5000,5,IF(E3843&gt;=2000,4,IF(E3843&gt;=800,3,IF(E3843&gt;=300,2,1))))</f>
        <v/>
      </c>
      <c r="I3843" s="122">
        <f>TEXT(F3843,"0")&amp;TEXT(G3843,"0")&amp;TEXT(H3843,"0")</f>
        <v/>
      </c>
      <c r="J3843" s="122">
        <f>IFERROR(XLOOKUP(I3843,'Segment Map'!A:A,'Segment Map'!B:B,"Need Attention"),"Need Attention")</f>
        <v/>
      </c>
      <c r="K3843" s="122">
        <f>IF(E3843&gt;=5000,"🏆 Platinum",IF(E3843&gt;=2000,"🥇 Gold",IF(E3843&gt;=800,"🥈 Silver","🥉 Bronze")))</f>
        <v/>
      </c>
      <c r="L3843" s="125" t="n">
        <v>40669</v>
      </c>
    </row>
    <row r="3844">
      <c r="A3844" s="126" t="n">
        <v>17608</v>
      </c>
      <c r="B3844" s="126" t="inlineStr">
        <is>
          <t>United Kingdom</t>
        </is>
      </c>
      <c r="C3844" s="126" t="n">
        <v>34</v>
      </c>
      <c r="D3844" s="126" t="n">
        <v>2</v>
      </c>
      <c r="E3844" s="127" t="n">
        <v>193.42</v>
      </c>
      <c r="F3844" s="128">
        <f>IF(C3844&lt;=30,5,IF(C3844&lt;=60,4,IF(C3844&lt;=120,3,IF(C3844&lt;=200,2,1))))</f>
        <v/>
      </c>
      <c r="G3844" s="128">
        <f>IF(D3844&gt;=20,5,IF(D3844&gt;=10,4,IF(D3844&gt;=5,3,IF(D3844&gt;=2,2,1))))</f>
        <v/>
      </c>
      <c r="H3844" s="128">
        <f>IF(E3844&gt;=5000,5,IF(E3844&gt;=2000,4,IF(E3844&gt;=800,3,IF(E3844&gt;=300,2,1))))</f>
        <v/>
      </c>
      <c r="I3844" s="126">
        <f>TEXT(F3844,"0")&amp;TEXT(G3844,"0")&amp;TEXT(H3844,"0")</f>
        <v/>
      </c>
      <c r="J3844" s="126">
        <f>IFERROR(XLOOKUP(I3844,'Segment Map'!A:A,'Segment Map'!B:B,"Need Attention"),"Need Attention")</f>
        <v/>
      </c>
      <c r="K3844" s="126">
        <f>IF(E3844&gt;=5000,"🏆 Platinum",IF(E3844&gt;=2000,"🥇 Gold",IF(E3844&gt;=800,"🥈 Silver","🥉 Bronze")))</f>
        <v/>
      </c>
      <c r="L3844" s="129" t="n">
        <v>40853</v>
      </c>
    </row>
    <row r="3845">
      <c r="A3845" s="122" t="n">
        <v>17609</v>
      </c>
      <c r="B3845" s="122" t="inlineStr">
        <is>
          <t>United Kingdom</t>
        </is>
      </c>
      <c r="C3845" s="122" t="n">
        <v>41</v>
      </c>
      <c r="D3845" s="122" t="n">
        <v>5</v>
      </c>
      <c r="E3845" s="123" t="n">
        <v>1112.22</v>
      </c>
      <c r="F3845" s="124">
        <f>IF(C3845&lt;=30,5,IF(C3845&lt;=60,4,IF(C3845&lt;=120,3,IF(C3845&lt;=200,2,1))))</f>
        <v/>
      </c>
      <c r="G3845" s="124">
        <f>IF(D3845&gt;=20,5,IF(D3845&gt;=10,4,IF(D3845&gt;=5,3,IF(D3845&gt;=2,2,1))))</f>
        <v/>
      </c>
      <c r="H3845" s="124">
        <f>IF(E3845&gt;=5000,5,IF(E3845&gt;=2000,4,IF(E3845&gt;=800,3,IF(E3845&gt;=300,2,1))))</f>
        <v/>
      </c>
      <c r="I3845" s="122">
        <f>TEXT(F3845,"0")&amp;TEXT(G3845,"0")&amp;TEXT(H3845,"0")</f>
        <v/>
      </c>
      <c r="J3845" s="122">
        <f>IFERROR(XLOOKUP(I3845,'Segment Map'!A:A,'Segment Map'!B:B,"Need Attention"),"Need Attention")</f>
        <v/>
      </c>
      <c r="K3845" s="122">
        <f>IF(E3845&gt;=5000,"🏆 Platinum",IF(E3845&gt;=2000,"🥇 Gold",IF(E3845&gt;=800,"🥈 Silver","🥉 Bronze")))</f>
        <v/>
      </c>
      <c r="L3845" s="125" t="n">
        <v>40846</v>
      </c>
    </row>
    <row r="3846">
      <c r="A3846" s="126" t="n">
        <v>17611</v>
      </c>
      <c r="B3846" s="126" t="inlineStr">
        <is>
          <t>United Kingdom</t>
        </is>
      </c>
      <c r="C3846" s="126" t="n">
        <v>8</v>
      </c>
      <c r="D3846" s="126" t="n">
        <v>15</v>
      </c>
      <c r="E3846" s="127" t="n">
        <v>3984.22</v>
      </c>
      <c r="F3846" s="128">
        <f>IF(C3846&lt;=30,5,IF(C3846&lt;=60,4,IF(C3846&lt;=120,3,IF(C3846&lt;=200,2,1))))</f>
        <v/>
      </c>
      <c r="G3846" s="128">
        <f>IF(D3846&gt;=20,5,IF(D3846&gt;=10,4,IF(D3846&gt;=5,3,IF(D3846&gt;=2,2,1))))</f>
        <v/>
      </c>
      <c r="H3846" s="128">
        <f>IF(E3846&gt;=5000,5,IF(E3846&gt;=2000,4,IF(E3846&gt;=800,3,IF(E3846&gt;=300,2,1))))</f>
        <v/>
      </c>
      <c r="I3846" s="126">
        <f>TEXT(F3846,"0")&amp;TEXT(G3846,"0")&amp;TEXT(H3846,"0")</f>
        <v/>
      </c>
      <c r="J3846" s="126">
        <f>IFERROR(XLOOKUP(I3846,'Segment Map'!A:A,'Segment Map'!B:B,"Need Attention"),"Need Attention")</f>
        <v/>
      </c>
      <c r="K3846" s="126">
        <f>IF(E3846&gt;=5000,"🏆 Platinum",IF(E3846&gt;=2000,"🥇 Gold",IF(E3846&gt;=800,"🥈 Silver","🥉 Bronze")))</f>
        <v/>
      </c>
      <c r="L3846" s="129" t="n">
        <v>40879</v>
      </c>
    </row>
    <row r="3847">
      <c r="A3847" s="122" t="n">
        <v>17612</v>
      </c>
      <c r="B3847" s="122" t="inlineStr">
        <is>
          <t>United Kingdom</t>
        </is>
      </c>
      <c r="C3847" s="122" t="n">
        <v>54</v>
      </c>
      <c r="D3847" s="122" t="n">
        <v>6</v>
      </c>
      <c r="E3847" s="123" t="n">
        <v>2048.45</v>
      </c>
      <c r="F3847" s="124">
        <f>IF(C3847&lt;=30,5,IF(C3847&lt;=60,4,IF(C3847&lt;=120,3,IF(C3847&lt;=200,2,1))))</f>
        <v/>
      </c>
      <c r="G3847" s="124">
        <f>IF(D3847&gt;=20,5,IF(D3847&gt;=10,4,IF(D3847&gt;=5,3,IF(D3847&gt;=2,2,1))))</f>
        <v/>
      </c>
      <c r="H3847" s="124">
        <f>IF(E3847&gt;=5000,5,IF(E3847&gt;=2000,4,IF(E3847&gt;=800,3,IF(E3847&gt;=300,2,1))))</f>
        <v/>
      </c>
      <c r="I3847" s="122">
        <f>TEXT(F3847,"0")&amp;TEXT(G3847,"0")&amp;TEXT(H3847,"0")</f>
        <v/>
      </c>
      <c r="J3847" s="122">
        <f>IFERROR(XLOOKUP(I3847,'Segment Map'!A:A,'Segment Map'!B:B,"Need Attention"),"Need Attention")</f>
        <v/>
      </c>
      <c r="K3847" s="122">
        <f>IF(E3847&gt;=5000,"🏆 Platinum",IF(E3847&gt;=2000,"🥇 Gold",IF(E3847&gt;=800,"🥈 Silver","🥉 Bronze")))</f>
        <v/>
      </c>
      <c r="L3847" s="125" t="n">
        <v>40833</v>
      </c>
    </row>
    <row r="3848">
      <c r="A3848" s="126" t="n">
        <v>17613</v>
      </c>
      <c r="B3848" s="126" t="inlineStr">
        <is>
          <t>United Kingdom</t>
        </is>
      </c>
      <c r="C3848" s="126" t="n">
        <v>23</v>
      </c>
      <c r="D3848" s="126" t="n">
        <v>14</v>
      </c>
      <c r="E3848" s="127" t="n">
        <v>4559.15</v>
      </c>
      <c r="F3848" s="128">
        <f>IF(C3848&lt;=30,5,IF(C3848&lt;=60,4,IF(C3848&lt;=120,3,IF(C3848&lt;=200,2,1))))</f>
        <v/>
      </c>
      <c r="G3848" s="128">
        <f>IF(D3848&gt;=20,5,IF(D3848&gt;=10,4,IF(D3848&gt;=5,3,IF(D3848&gt;=2,2,1))))</f>
        <v/>
      </c>
      <c r="H3848" s="128">
        <f>IF(E3848&gt;=5000,5,IF(E3848&gt;=2000,4,IF(E3848&gt;=800,3,IF(E3848&gt;=300,2,1))))</f>
        <v/>
      </c>
      <c r="I3848" s="126">
        <f>TEXT(F3848,"0")&amp;TEXT(G3848,"0")&amp;TEXT(H3848,"0")</f>
        <v/>
      </c>
      <c r="J3848" s="126">
        <f>IFERROR(XLOOKUP(I3848,'Segment Map'!A:A,'Segment Map'!B:B,"Need Attention"),"Need Attention")</f>
        <v/>
      </c>
      <c r="K3848" s="126">
        <f>IF(E3848&gt;=5000,"🏆 Platinum",IF(E3848&gt;=2000,"🥇 Gold",IF(E3848&gt;=800,"🥈 Silver","🥉 Bronze")))</f>
        <v/>
      </c>
      <c r="L3848" s="129" t="n">
        <v>40864</v>
      </c>
    </row>
    <row r="3849">
      <c r="A3849" s="122" t="n">
        <v>17614</v>
      </c>
      <c r="B3849" s="122" t="inlineStr">
        <is>
          <t>United Kingdom</t>
        </is>
      </c>
      <c r="C3849" s="122" t="n">
        <v>58</v>
      </c>
      <c r="D3849" s="122" t="n">
        <v>1</v>
      </c>
      <c r="E3849" s="123" t="n">
        <v>390.07</v>
      </c>
      <c r="F3849" s="124">
        <f>IF(C3849&lt;=30,5,IF(C3849&lt;=60,4,IF(C3849&lt;=120,3,IF(C3849&lt;=200,2,1))))</f>
        <v/>
      </c>
      <c r="G3849" s="124">
        <f>IF(D3849&gt;=20,5,IF(D3849&gt;=10,4,IF(D3849&gt;=5,3,IF(D3849&gt;=2,2,1))))</f>
        <v/>
      </c>
      <c r="H3849" s="124">
        <f>IF(E3849&gt;=5000,5,IF(E3849&gt;=2000,4,IF(E3849&gt;=800,3,IF(E3849&gt;=300,2,1))))</f>
        <v/>
      </c>
      <c r="I3849" s="122">
        <f>TEXT(F3849,"0")&amp;TEXT(G3849,"0")&amp;TEXT(H3849,"0")</f>
        <v/>
      </c>
      <c r="J3849" s="122">
        <f>IFERROR(XLOOKUP(I3849,'Segment Map'!A:A,'Segment Map'!B:B,"Need Attention"),"Need Attention")</f>
        <v/>
      </c>
      <c r="K3849" s="122">
        <f>IF(E3849&gt;=5000,"🏆 Platinum",IF(E3849&gt;=2000,"🥇 Gold",IF(E3849&gt;=800,"🥈 Silver","🥉 Bronze")))</f>
        <v/>
      </c>
      <c r="L3849" s="125" t="n">
        <v>40829</v>
      </c>
    </row>
    <row r="3850">
      <c r="A3850" s="126" t="n">
        <v>17615</v>
      </c>
      <c r="B3850" s="126" t="inlineStr">
        <is>
          <t>United Kingdom</t>
        </is>
      </c>
      <c r="C3850" s="126" t="n">
        <v>131</v>
      </c>
      <c r="D3850" s="126" t="n">
        <v>3</v>
      </c>
      <c r="E3850" s="127" t="n">
        <v>329.6</v>
      </c>
      <c r="F3850" s="128">
        <f>IF(C3850&lt;=30,5,IF(C3850&lt;=60,4,IF(C3850&lt;=120,3,IF(C3850&lt;=200,2,1))))</f>
        <v/>
      </c>
      <c r="G3850" s="128">
        <f>IF(D3850&gt;=20,5,IF(D3850&gt;=10,4,IF(D3850&gt;=5,3,IF(D3850&gt;=2,2,1))))</f>
        <v/>
      </c>
      <c r="H3850" s="128">
        <f>IF(E3850&gt;=5000,5,IF(E3850&gt;=2000,4,IF(E3850&gt;=800,3,IF(E3850&gt;=300,2,1))))</f>
        <v/>
      </c>
      <c r="I3850" s="126">
        <f>TEXT(F3850,"0")&amp;TEXT(G3850,"0")&amp;TEXT(H3850,"0")</f>
        <v/>
      </c>
      <c r="J3850" s="126">
        <f>IFERROR(XLOOKUP(I3850,'Segment Map'!A:A,'Segment Map'!B:B,"Need Attention"),"Need Attention")</f>
        <v/>
      </c>
      <c r="K3850" s="126">
        <f>IF(E3850&gt;=5000,"🏆 Platinum",IF(E3850&gt;=2000,"🥇 Gold",IF(E3850&gt;=800,"🥈 Silver","🥉 Bronze")))</f>
        <v/>
      </c>
      <c r="L3850" s="129" t="n">
        <v>40756</v>
      </c>
    </row>
    <row r="3851">
      <c r="A3851" s="122" t="n">
        <v>17616</v>
      </c>
      <c r="B3851" s="122" t="inlineStr">
        <is>
          <t>United Kingdom</t>
        </is>
      </c>
      <c r="C3851" s="122" t="n">
        <v>174</v>
      </c>
      <c r="D3851" s="122" t="n">
        <v>3</v>
      </c>
      <c r="E3851" s="123" t="n">
        <v>571.2</v>
      </c>
      <c r="F3851" s="124">
        <f>IF(C3851&lt;=30,5,IF(C3851&lt;=60,4,IF(C3851&lt;=120,3,IF(C3851&lt;=200,2,1))))</f>
        <v/>
      </c>
      <c r="G3851" s="124">
        <f>IF(D3851&gt;=20,5,IF(D3851&gt;=10,4,IF(D3851&gt;=5,3,IF(D3851&gt;=2,2,1))))</f>
        <v/>
      </c>
      <c r="H3851" s="124">
        <f>IF(E3851&gt;=5000,5,IF(E3851&gt;=2000,4,IF(E3851&gt;=800,3,IF(E3851&gt;=300,2,1))))</f>
        <v/>
      </c>
      <c r="I3851" s="122">
        <f>TEXT(F3851,"0")&amp;TEXT(G3851,"0")&amp;TEXT(H3851,"0")</f>
        <v/>
      </c>
      <c r="J3851" s="122">
        <f>IFERROR(XLOOKUP(I3851,'Segment Map'!A:A,'Segment Map'!B:B,"Need Attention"),"Need Attention")</f>
        <v/>
      </c>
      <c r="K3851" s="122">
        <f>IF(E3851&gt;=5000,"🏆 Platinum",IF(E3851&gt;=2000,"🥇 Gold",IF(E3851&gt;=800,"🥈 Silver","🥉 Bronze")))</f>
        <v/>
      </c>
      <c r="L3851" s="125" t="n">
        <v>40713</v>
      </c>
    </row>
    <row r="3852">
      <c r="A3852" s="126" t="n">
        <v>17618</v>
      </c>
      <c r="B3852" s="126" t="inlineStr">
        <is>
          <t>United Kingdom</t>
        </is>
      </c>
      <c r="C3852" s="126" t="n">
        <v>6</v>
      </c>
      <c r="D3852" s="126" t="n">
        <v>3</v>
      </c>
      <c r="E3852" s="127" t="n">
        <v>971.58</v>
      </c>
      <c r="F3852" s="128">
        <f>IF(C3852&lt;=30,5,IF(C3852&lt;=60,4,IF(C3852&lt;=120,3,IF(C3852&lt;=200,2,1))))</f>
        <v/>
      </c>
      <c r="G3852" s="128">
        <f>IF(D3852&gt;=20,5,IF(D3852&gt;=10,4,IF(D3852&gt;=5,3,IF(D3852&gt;=2,2,1))))</f>
        <v/>
      </c>
      <c r="H3852" s="128">
        <f>IF(E3852&gt;=5000,5,IF(E3852&gt;=2000,4,IF(E3852&gt;=800,3,IF(E3852&gt;=300,2,1))))</f>
        <v/>
      </c>
      <c r="I3852" s="126">
        <f>TEXT(F3852,"0")&amp;TEXT(G3852,"0")&amp;TEXT(H3852,"0")</f>
        <v/>
      </c>
      <c r="J3852" s="126">
        <f>IFERROR(XLOOKUP(I3852,'Segment Map'!A:A,'Segment Map'!B:B,"Need Attention"),"Need Attention")</f>
        <v/>
      </c>
      <c r="K3852" s="126">
        <f>IF(E3852&gt;=5000,"🏆 Platinum",IF(E3852&gt;=2000,"🥇 Gold",IF(E3852&gt;=800,"🥈 Silver","🥉 Bronze")))</f>
        <v/>
      </c>
      <c r="L3852" s="129" t="n">
        <v>40881</v>
      </c>
    </row>
    <row r="3853">
      <c r="A3853" s="122" t="n">
        <v>17619</v>
      </c>
      <c r="B3853" s="122" t="inlineStr">
        <is>
          <t>United Kingdom</t>
        </is>
      </c>
      <c r="C3853" s="122" t="n">
        <v>313</v>
      </c>
      <c r="D3853" s="122" t="n">
        <v>1</v>
      </c>
      <c r="E3853" s="123" t="n">
        <v>218.52</v>
      </c>
      <c r="F3853" s="124">
        <f>IF(C3853&lt;=30,5,IF(C3853&lt;=60,4,IF(C3853&lt;=120,3,IF(C3853&lt;=200,2,1))))</f>
        <v/>
      </c>
      <c r="G3853" s="124">
        <f>IF(D3853&gt;=20,5,IF(D3853&gt;=10,4,IF(D3853&gt;=5,3,IF(D3853&gt;=2,2,1))))</f>
        <v/>
      </c>
      <c r="H3853" s="124">
        <f>IF(E3853&gt;=5000,5,IF(E3853&gt;=2000,4,IF(E3853&gt;=800,3,IF(E3853&gt;=300,2,1))))</f>
        <v/>
      </c>
      <c r="I3853" s="122">
        <f>TEXT(F3853,"0")&amp;TEXT(G3853,"0")&amp;TEXT(H3853,"0")</f>
        <v/>
      </c>
      <c r="J3853" s="122">
        <f>IFERROR(XLOOKUP(I3853,'Segment Map'!A:A,'Segment Map'!B:B,"Need Attention"),"Need Attention")</f>
        <v/>
      </c>
      <c r="K3853" s="122">
        <f>IF(E3853&gt;=5000,"🏆 Platinum",IF(E3853&gt;=2000,"🥇 Gold",IF(E3853&gt;=800,"🥈 Silver","🥉 Bronze")))</f>
        <v/>
      </c>
      <c r="L3853" s="125" t="n">
        <v>40574</v>
      </c>
    </row>
    <row r="3854">
      <c r="A3854" s="126" t="n">
        <v>17620</v>
      </c>
      <c r="B3854" s="126" t="inlineStr">
        <is>
          <t>United Kingdom</t>
        </is>
      </c>
      <c r="C3854" s="126" t="n">
        <v>60</v>
      </c>
      <c r="D3854" s="126" t="n">
        <v>1</v>
      </c>
      <c r="E3854" s="127" t="n">
        <v>81.44</v>
      </c>
      <c r="F3854" s="128">
        <f>IF(C3854&lt;=30,5,IF(C3854&lt;=60,4,IF(C3854&lt;=120,3,IF(C3854&lt;=200,2,1))))</f>
        <v/>
      </c>
      <c r="G3854" s="128">
        <f>IF(D3854&gt;=20,5,IF(D3854&gt;=10,4,IF(D3854&gt;=5,3,IF(D3854&gt;=2,2,1))))</f>
        <v/>
      </c>
      <c r="H3854" s="128">
        <f>IF(E3854&gt;=5000,5,IF(E3854&gt;=2000,4,IF(E3854&gt;=800,3,IF(E3854&gt;=300,2,1))))</f>
        <v/>
      </c>
      <c r="I3854" s="126">
        <f>TEXT(F3854,"0")&amp;TEXT(G3854,"0")&amp;TEXT(H3854,"0")</f>
        <v/>
      </c>
      <c r="J3854" s="126">
        <f>IFERROR(XLOOKUP(I3854,'Segment Map'!A:A,'Segment Map'!B:B,"Need Attention"),"Need Attention")</f>
        <v/>
      </c>
      <c r="K3854" s="126">
        <f>IF(E3854&gt;=5000,"🏆 Platinum",IF(E3854&gt;=2000,"🥇 Gold",IF(E3854&gt;=800,"🥈 Silver","🥉 Bronze")))</f>
        <v/>
      </c>
      <c r="L3854" s="129" t="n">
        <v>40827</v>
      </c>
    </row>
    <row r="3855">
      <c r="A3855" s="122" t="n">
        <v>17621</v>
      </c>
      <c r="B3855" s="122" t="inlineStr">
        <is>
          <t>United Kingdom</t>
        </is>
      </c>
      <c r="C3855" s="122" t="n">
        <v>22</v>
      </c>
      <c r="D3855" s="122" t="n">
        <v>3</v>
      </c>
      <c r="E3855" s="123" t="n">
        <v>1379.9</v>
      </c>
      <c r="F3855" s="124">
        <f>IF(C3855&lt;=30,5,IF(C3855&lt;=60,4,IF(C3855&lt;=120,3,IF(C3855&lt;=200,2,1))))</f>
        <v/>
      </c>
      <c r="G3855" s="124">
        <f>IF(D3855&gt;=20,5,IF(D3855&gt;=10,4,IF(D3855&gt;=5,3,IF(D3855&gt;=2,2,1))))</f>
        <v/>
      </c>
      <c r="H3855" s="124">
        <f>IF(E3855&gt;=5000,5,IF(E3855&gt;=2000,4,IF(E3855&gt;=800,3,IF(E3855&gt;=300,2,1))))</f>
        <v/>
      </c>
      <c r="I3855" s="122">
        <f>TEXT(F3855,"0")&amp;TEXT(G3855,"0")&amp;TEXT(H3855,"0")</f>
        <v/>
      </c>
      <c r="J3855" s="122">
        <f>IFERROR(XLOOKUP(I3855,'Segment Map'!A:A,'Segment Map'!B:B,"Need Attention"),"Need Attention")</f>
        <v/>
      </c>
      <c r="K3855" s="122">
        <f>IF(E3855&gt;=5000,"🏆 Platinum",IF(E3855&gt;=2000,"🥇 Gold",IF(E3855&gt;=800,"🥈 Silver","🥉 Bronze")))</f>
        <v/>
      </c>
      <c r="L3855" s="125" t="n">
        <v>40865</v>
      </c>
    </row>
    <row r="3856">
      <c r="A3856" s="126" t="n">
        <v>17623</v>
      </c>
      <c r="B3856" s="126" t="inlineStr">
        <is>
          <t>United Kingdom</t>
        </is>
      </c>
      <c r="C3856" s="126" t="n">
        <v>33</v>
      </c>
      <c r="D3856" s="126" t="n">
        <v>1</v>
      </c>
      <c r="E3856" s="127" t="n">
        <v>527.05</v>
      </c>
      <c r="F3856" s="128">
        <f>IF(C3856&lt;=30,5,IF(C3856&lt;=60,4,IF(C3856&lt;=120,3,IF(C3856&lt;=200,2,1))))</f>
        <v/>
      </c>
      <c r="G3856" s="128">
        <f>IF(D3856&gt;=20,5,IF(D3856&gt;=10,4,IF(D3856&gt;=5,3,IF(D3856&gt;=2,2,1))))</f>
        <v/>
      </c>
      <c r="H3856" s="128">
        <f>IF(E3856&gt;=5000,5,IF(E3856&gt;=2000,4,IF(E3856&gt;=800,3,IF(E3856&gt;=300,2,1))))</f>
        <v/>
      </c>
      <c r="I3856" s="126">
        <f>TEXT(F3856,"0")&amp;TEXT(G3856,"0")&amp;TEXT(H3856,"0")</f>
        <v/>
      </c>
      <c r="J3856" s="126">
        <f>IFERROR(XLOOKUP(I3856,'Segment Map'!A:A,'Segment Map'!B:B,"Need Attention"),"Need Attention")</f>
        <v/>
      </c>
      <c r="K3856" s="126">
        <f>IF(E3856&gt;=5000,"🏆 Platinum",IF(E3856&gt;=2000,"🥇 Gold",IF(E3856&gt;=800,"🥈 Silver","🥉 Bronze")))</f>
        <v/>
      </c>
      <c r="L3856" s="129" t="n">
        <v>40854</v>
      </c>
    </row>
    <row r="3857">
      <c r="A3857" s="122" t="n">
        <v>17624</v>
      </c>
      <c r="B3857" s="122" t="inlineStr">
        <is>
          <t>United Kingdom</t>
        </is>
      </c>
      <c r="C3857" s="122" t="n">
        <v>15</v>
      </c>
      <c r="D3857" s="122" t="n">
        <v>2</v>
      </c>
      <c r="E3857" s="123" t="n">
        <v>843.48</v>
      </c>
      <c r="F3857" s="124">
        <f>IF(C3857&lt;=30,5,IF(C3857&lt;=60,4,IF(C3857&lt;=120,3,IF(C3857&lt;=200,2,1))))</f>
        <v/>
      </c>
      <c r="G3857" s="124">
        <f>IF(D3857&gt;=20,5,IF(D3857&gt;=10,4,IF(D3857&gt;=5,3,IF(D3857&gt;=2,2,1))))</f>
        <v/>
      </c>
      <c r="H3857" s="124">
        <f>IF(E3857&gt;=5000,5,IF(E3857&gt;=2000,4,IF(E3857&gt;=800,3,IF(E3857&gt;=300,2,1))))</f>
        <v/>
      </c>
      <c r="I3857" s="122">
        <f>TEXT(F3857,"0")&amp;TEXT(G3857,"0")&amp;TEXT(H3857,"0")</f>
        <v/>
      </c>
      <c r="J3857" s="122">
        <f>IFERROR(XLOOKUP(I3857,'Segment Map'!A:A,'Segment Map'!B:B,"Need Attention"),"Need Attention")</f>
        <v/>
      </c>
      <c r="K3857" s="122">
        <f>IF(E3857&gt;=5000,"🏆 Platinum",IF(E3857&gt;=2000,"🥇 Gold",IF(E3857&gt;=800,"🥈 Silver","🥉 Bronze")))</f>
        <v/>
      </c>
      <c r="L3857" s="125" t="n">
        <v>40872</v>
      </c>
    </row>
    <row r="3858">
      <c r="A3858" s="126" t="n">
        <v>17625</v>
      </c>
      <c r="B3858" s="126" t="inlineStr">
        <is>
          <t>United Kingdom</t>
        </is>
      </c>
      <c r="C3858" s="126" t="n">
        <v>19</v>
      </c>
      <c r="D3858" s="126" t="n">
        <v>4</v>
      </c>
      <c r="E3858" s="127" t="n">
        <v>2047</v>
      </c>
      <c r="F3858" s="128">
        <f>IF(C3858&lt;=30,5,IF(C3858&lt;=60,4,IF(C3858&lt;=120,3,IF(C3858&lt;=200,2,1))))</f>
        <v/>
      </c>
      <c r="G3858" s="128">
        <f>IF(D3858&gt;=20,5,IF(D3858&gt;=10,4,IF(D3858&gt;=5,3,IF(D3858&gt;=2,2,1))))</f>
        <v/>
      </c>
      <c r="H3858" s="128">
        <f>IF(E3858&gt;=5000,5,IF(E3858&gt;=2000,4,IF(E3858&gt;=800,3,IF(E3858&gt;=300,2,1))))</f>
        <v/>
      </c>
      <c r="I3858" s="126">
        <f>TEXT(F3858,"0")&amp;TEXT(G3858,"0")&amp;TEXT(H3858,"0")</f>
        <v/>
      </c>
      <c r="J3858" s="126">
        <f>IFERROR(XLOOKUP(I3858,'Segment Map'!A:A,'Segment Map'!B:B,"Need Attention"),"Need Attention")</f>
        <v/>
      </c>
      <c r="K3858" s="126">
        <f>IF(E3858&gt;=5000,"🏆 Platinum",IF(E3858&gt;=2000,"🥇 Gold",IF(E3858&gt;=800,"🥈 Silver","🥉 Bronze")))</f>
        <v/>
      </c>
      <c r="L3858" s="129" t="n">
        <v>40868</v>
      </c>
    </row>
    <row r="3859">
      <c r="A3859" s="122" t="n">
        <v>17628</v>
      </c>
      <c r="B3859" s="122" t="inlineStr">
        <is>
          <t>United Kingdom</t>
        </is>
      </c>
      <c r="C3859" s="122" t="n">
        <v>82</v>
      </c>
      <c r="D3859" s="122" t="n">
        <v>1</v>
      </c>
      <c r="E3859" s="123" t="n">
        <v>75.75</v>
      </c>
      <c r="F3859" s="124">
        <f>IF(C3859&lt;=30,5,IF(C3859&lt;=60,4,IF(C3859&lt;=120,3,IF(C3859&lt;=200,2,1))))</f>
        <v/>
      </c>
      <c r="G3859" s="124">
        <f>IF(D3859&gt;=20,5,IF(D3859&gt;=10,4,IF(D3859&gt;=5,3,IF(D3859&gt;=2,2,1))))</f>
        <v/>
      </c>
      <c r="H3859" s="124">
        <f>IF(E3859&gt;=5000,5,IF(E3859&gt;=2000,4,IF(E3859&gt;=800,3,IF(E3859&gt;=300,2,1))))</f>
        <v/>
      </c>
      <c r="I3859" s="122">
        <f>TEXT(F3859,"0")&amp;TEXT(G3859,"0")&amp;TEXT(H3859,"0")</f>
        <v/>
      </c>
      <c r="J3859" s="122">
        <f>IFERROR(XLOOKUP(I3859,'Segment Map'!A:A,'Segment Map'!B:B,"Need Attention"),"Need Attention")</f>
        <v/>
      </c>
      <c r="K3859" s="122">
        <f>IF(E3859&gt;=5000,"🏆 Platinum",IF(E3859&gt;=2000,"🥇 Gold",IF(E3859&gt;=800,"🥈 Silver","🥉 Bronze")))</f>
        <v/>
      </c>
      <c r="L3859" s="125" t="n">
        <v>40805</v>
      </c>
    </row>
    <row r="3860">
      <c r="A3860" s="126" t="n">
        <v>17629</v>
      </c>
      <c r="B3860" s="126" t="inlineStr">
        <is>
          <t>United Kingdom</t>
        </is>
      </c>
      <c r="C3860" s="126" t="n">
        <v>6</v>
      </c>
      <c r="D3860" s="126" t="n">
        <v>8</v>
      </c>
      <c r="E3860" s="127" t="n">
        <v>1814.12</v>
      </c>
      <c r="F3860" s="128">
        <f>IF(C3860&lt;=30,5,IF(C3860&lt;=60,4,IF(C3860&lt;=120,3,IF(C3860&lt;=200,2,1))))</f>
        <v/>
      </c>
      <c r="G3860" s="128">
        <f>IF(D3860&gt;=20,5,IF(D3860&gt;=10,4,IF(D3860&gt;=5,3,IF(D3860&gt;=2,2,1))))</f>
        <v/>
      </c>
      <c r="H3860" s="128">
        <f>IF(E3860&gt;=5000,5,IF(E3860&gt;=2000,4,IF(E3860&gt;=800,3,IF(E3860&gt;=300,2,1))))</f>
        <v/>
      </c>
      <c r="I3860" s="126">
        <f>TEXT(F3860,"0")&amp;TEXT(G3860,"0")&amp;TEXT(H3860,"0")</f>
        <v/>
      </c>
      <c r="J3860" s="126">
        <f>IFERROR(XLOOKUP(I3860,'Segment Map'!A:A,'Segment Map'!B:B,"Need Attention"),"Need Attention")</f>
        <v/>
      </c>
      <c r="K3860" s="126">
        <f>IF(E3860&gt;=5000,"🏆 Platinum",IF(E3860&gt;=2000,"🥇 Gold",IF(E3860&gt;=800,"🥈 Silver","🥉 Bronze")))</f>
        <v/>
      </c>
      <c r="L3860" s="129" t="n">
        <v>40881</v>
      </c>
    </row>
    <row r="3861">
      <c r="A3861" s="122" t="n">
        <v>17630</v>
      </c>
      <c r="B3861" s="122" t="inlineStr">
        <is>
          <t>United Kingdom</t>
        </is>
      </c>
      <c r="C3861" s="122" t="n">
        <v>170</v>
      </c>
      <c r="D3861" s="122" t="n">
        <v>2</v>
      </c>
      <c r="E3861" s="123" t="n">
        <v>503.6</v>
      </c>
      <c r="F3861" s="124">
        <f>IF(C3861&lt;=30,5,IF(C3861&lt;=60,4,IF(C3861&lt;=120,3,IF(C3861&lt;=200,2,1))))</f>
        <v/>
      </c>
      <c r="G3861" s="124">
        <f>IF(D3861&gt;=20,5,IF(D3861&gt;=10,4,IF(D3861&gt;=5,3,IF(D3861&gt;=2,2,1))))</f>
        <v/>
      </c>
      <c r="H3861" s="124">
        <f>IF(E3861&gt;=5000,5,IF(E3861&gt;=2000,4,IF(E3861&gt;=800,3,IF(E3861&gt;=300,2,1))))</f>
        <v/>
      </c>
      <c r="I3861" s="122">
        <f>TEXT(F3861,"0")&amp;TEXT(G3861,"0")&amp;TEXT(H3861,"0")</f>
        <v/>
      </c>
      <c r="J3861" s="122">
        <f>IFERROR(XLOOKUP(I3861,'Segment Map'!A:A,'Segment Map'!B:B,"Need Attention"),"Need Attention")</f>
        <v/>
      </c>
      <c r="K3861" s="122">
        <f>IF(E3861&gt;=5000,"🏆 Platinum",IF(E3861&gt;=2000,"🥇 Gold",IF(E3861&gt;=800,"🥈 Silver","🥉 Bronze")))</f>
        <v/>
      </c>
      <c r="L3861" s="125" t="n">
        <v>40717</v>
      </c>
    </row>
    <row r="3862">
      <c r="A3862" s="126" t="n">
        <v>17631</v>
      </c>
      <c r="B3862" s="126" t="inlineStr">
        <is>
          <t>United Kingdom</t>
        </is>
      </c>
      <c r="C3862" s="126" t="n">
        <v>2</v>
      </c>
      <c r="D3862" s="126" t="n">
        <v>3</v>
      </c>
      <c r="E3862" s="127" t="n">
        <v>528.33</v>
      </c>
      <c r="F3862" s="128">
        <f>IF(C3862&lt;=30,5,IF(C3862&lt;=60,4,IF(C3862&lt;=120,3,IF(C3862&lt;=200,2,1))))</f>
        <v/>
      </c>
      <c r="G3862" s="128">
        <f>IF(D3862&gt;=20,5,IF(D3862&gt;=10,4,IF(D3862&gt;=5,3,IF(D3862&gt;=2,2,1))))</f>
        <v/>
      </c>
      <c r="H3862" s="128">
        <f>IF(E3862&gt;=5000,5,IF(E3862&gt;=2000,4,IF(E3862&gt;=800,3,IF(E3862&gt;=300,2,1))))</f>
        <v/>
      </c>
      <c r="I3862" s="126">
        <f>TEXT(F3862,"0")&amp;TEXT(G3862,"0")&amp;TEXT(H3862,"0")</f>
        <v/>
      </c>
      <c r="J3862" s="126">
        <f>IFERROR(XLOOKUP(I3862,'Segment Map'!A:A,'Segment Map'!B:B,"Need Attention"),"Need Attention")</f>
        <v/>
      </c>
      <c r="K3862" s="126">
        <f>IF(E3862&gt;=5000,"🏆 Platinum",IF(E3862&gt;=2000,"🥇 Gold",IF(E3862&gt;=800,"🥈 Silver","🥉 Bronze")))</f>
        <v/>
      </c>
      <c r="L3862" s="129" t="n">
        <v>40885</v>
      </c>
    </row>
    <row r="3863">
      <c r="A3863" s="122" t="n">
        <v>17633</v>
      </c>
      <c r="B3863" s="122" t="inlineStr">
        <is>
          <t>United Kingdom</t>
        </is>
      </c>
      <c r="C3863" s="122" t="n">
        <v>32</v>
      </c>
      <c r="D3863" s="122" t="n">
        <v>4</v>
      </c>
      <c r="E3863" s="123" t="n">
        <v>1324.84</v>
      </c>
      <c r="F3863" s="124">
        <f>IF(C3863&lt;=30,5,IF(C3863&lt;=60,4,IF(C3863&lt;=120,3,IF(C3863&lt;=200,2,1))))</f>
        <v/>
      </c>
      <c r="G3863" s="124">
        <f>IF(D3863&gt;=20,5,IF(D3863&gt;=10,4,IF(D3863&gt;=5,3,IF(D3863&gt;=2,2,1))))</f>
        <v/>
      </c>
      <c r="H3863" s="124">
        <f>IF(E3863&gt;=5000,5,IF(E3863&gt;=2000,4,IF(E3863&gt;=800,3,IF(E3863&gt;=300,2,1))))</f>
        <v/>
      </c>
      <c r="I3863" s="122">
        <f>TEXT(F3863,"0")&amp;TEXT(G3863,"0")&amp;TEXT(H3863,"0")</f>
        <v/>
      </c>
      <c r="J3863" s="122">
        <f>IFERROR(XLOOKUP(I3863,'Segment Map'!A:A,'Segment Map'!B:B,"Need Attention"),"Need Attention")</f>
        <v/>
      </c>
      <c r="K3863" s="122">
        <f>IF(E3863&gt;=5000,"🏆 Platinum",IF(E3863&gt;=2000,"🥇 Gold",IF(E3863&gt;=800,"🥈 Silver","🥉 Bronze")))</f>
        <v/>
      </c>
      <c r="L3863" s="125" t="n">
        <v>40855</v>
      </c>
    </row>
    <row r="3864">
      <c r="A3864" s="126" t="n">
        <v>17634</v>
      </c>
      <c r="B3864" s="126" t="inlineStr">
        <is>
          <t>United Kingdom</t>
        </is>
      </c>
      <c r="C3864" s="126" t="n">
        <v>37</v>
      </c>
      <c r="D3864" s="126" t="n">
        <v>9</v>
      </c>
      <c r="E3864" s="127" t="n">
        <v>2361.97</v>
      </c>
      <c r="F3864" s="128">
        <f>IF(C3864&lt;=30,5,IF(C3864&lt;=60,4,IF(C3864&lt;=120,3,IF(C3864&lt;=200,2,1))))</f>
        <v/>
      </c>
      <c r="G3864" s="128">
        <f>IF(D3864&gt;=20,5,IF(D3864&gt;=10,4,IF(D3864&gt;=5,3,IF(D3864&gt;=2,2,1))))</f>
        <v/>
      </c>
      <c r="H3864" s="128">
        <f>IF(E3864&gt;=5000,5,IF(E3864&gt;=2000,4,IF(E3864&gt;=800,3,IF(E3864&gt;=300,2,1))))</f>
        <v/>
      </c>
      <c r="I3864" s="126">
        <f>TEXT(F3864,"0")&amp;TEXT(G3864,"0")&amp;TEXT(H3864,"0")</f>
        <v/>
      </c>
      <c r="J3864" s="126">
        <f>IFERROR(XLOOKUP(I3864,'Segment Map'!A:A,'Segment Map'!B:B,"Need Attention"),"Need Attention")</f>
        <v/>
      </c>
      <c r="K3864" s="126">
        <f>IF(E3864&gt;=5000,"🏆 Platinum",IF(E3864&gt;=2000,"🥇 Gold",IF(E3864&gt;=800,"🥈 Silver","🥉 Bronze")))</f>
        <v/>
      </c>
      <c r="L3864" s="129" t="n">
        <v>40850</v>
      </c>
    </row>
    <row r="3865">
      <c r="A3865" s="122" t="n">
        <v>17636</v>
      </c>
      <c r="B3865" s="122" t="inlineStr">
        <is>
          <t>United Kingdom</t>
        </is>
      </c>
      <c r="C3865" s="122" t="n">
        <v>20</v>
      </c>
      <c r="D3865" s="122" t="n">
        <v>1</v>
      </c>
      <c r="E3865" s="123" t="n">
        <v>285.56</v>
      </c>
      <c r="F3865" s="124">
        <f>IF(C3865&lt;=30,5,IF(C3865&lt;=60,4,IF(C3865&lt;=120,3,IF(C3865&lt;=200,2,1))))</f>
        <v/>
      </c>
      <c r="G3865" s="124">
        <f>IF(D3865&gt;=20,5,IF(D3865&gt;=10,4,IF(D3865&gt;=5,3,IF(D3865&gt;=2,2,1))))</f>
        <v/>
      </c>
      <c r="H3865" s="124">
        <f>IF(E3865&gt;=5000,5,IF(E3865&gt;=2000,4,IF(E3865&gt;=800,3,IF(E3865&gt;=300,2,1))))</f>
        <v/>
      </c>
      <c r="I3865" s="122">
        <f>TEXT(F3865,"0")&amp;TEXT(G3865,"0")&amp;TEXT(H3865,"0")</f>
        <v/>
      </c>
      <c r="J3865" s="122">
        <f>IFERROR(XLOOKUP(I3865,'Segment Map'!A:A,'Segment Map'!B:B,"Need Attention"),"Need Attention")</f>
        <v/>
      </c>
      <c r="K3865" s="122">
        <f>IF(E3865&gt;=5000,"🏆 Platinum",IF(E3865&gt;=2000,"🥇 Gold",IF(E3865&gt;=800,"🥈 Silver","🥉 Bronze")))</f>
        <v/>
      </c>
      <c r="L3865" s="125" t="n">
        <v>40867</v>
      </c>
    </row>
    <row r="3866">
      <c r="A3866" s="126" t="n">
        <v>17637</v>
      </c>
      <c r="B3866" s="126" t="inlineStr">
        <is>
          <t>United Kingdom</t>
        </is>
      </c>
      <c r="C3866" s="126" t="n">
        <v>32</v>
      </c>
      <c r="D3866" s="126" t="n">
        <v>2</v>
      </c>
      <c r="E3866" s="127" t="n">
        <v>547.0599999999999</v>
      </c>
      <c r="F3866" s="128">
        <f>IF(C3866&lt;=30,5,IF(C3866&lt;=60,4,IF(C3866&lt;=120,3,IF(C3866&lt;=200,2,1))))</f>
        <v/>
      </c>
      <c r="G3866" s="128">
        <f>IF(D3866&gt;=20,5,IF(D3866&gt;=10,4,IF(D3866&gt;=5,3,IF(D3866&gt;=2,2,1))))</f>
        <v/>
      </c>
      <c r="H3866" s="128">
        <f>IF(E3866&gt;=5000,5,IF(E3866&gt;=2000,4,IF(E3866&gt;=800,3,IF(E3866&gt;=300,2,1))))</f>
        <v/>
      </c>
      <c r="I3866" s="126">
        <f>TEXT(F3866,"0")&amp;TEXT(G3866,"0")&amp;TEXT(H3866,"0")</f>
        <v/>
      </c>
      <c r="J3866" s="126">
        <f>IFERROR(XLOOKUP(I3866,'Segment Map'!A:A,'Segment Map'!B:B,"Need Attention"),"Need Attention")</f>
        <v/>
      </c>
      <c r="K3866" s="126">
        <f>IF(E3866&gt;=5000,"🏆 Platinum",IF(E3866&gt;=2000,"🥇 Gold",IF(E3866&gt;=800,"🥈 Silver","🥉 Bronze")))</f>
        <v/>
      </c>
      <c r="L3866" s="129" t="n">
        <v>40855</v>
      </c>
    </row>
    <row r="3867">
      <c r="A3867" s="122" t="n">
        <v>17639</v>
      </c>
      <c r="B3867" s="122" t="inlineStr">
        <is>
          <t>United Kingdom</t>
        </is>
      </c>
      <c r="C3867" s="122" t="n">
        <v>277</v>
      </c>
      <c r="D3867" s="122" t="n">
        <v>1</v>
      </c>
      <c r="E3867" s="123" t="n">
        <v>108.5</v>
      </c>
      <c r="F3867" s="124">
        <f>IF(C3867&lt;=30,5,IF(C3867&lt;=60,4,IF(C3867&lt;=120,3,IF(C3867&lt;=200,2,1))))</f>
        <v/>
      </c>
      <c r="G3867" s="124">
        <f>IF(D3867&gt;=20,5,IF(D3867&gt;=10,4,IF(D3867&gt;=5,3,IF(D3867&gt;=2,2,1))))</f>
        <v/>
      </c>
      <c r="H3867" s="124">
        <f>IF(E3867&gt;=5000,5,IF(E3867&gt;=2000,4,IF(E3867&gt;=800,3,IF(E3867&gt;=300,2,1))))</f>
        <v/>
      </c>
      <c r="I3867" s="122">
        <f>TEXT(F3867,"0")&amp;TEXT(G3867,"0")&amp;TEXT(H3867,"0")</f>
        <v/>
      </c>
      <c r="J3867" s="122">
        <f>IFERROR(XLOOKUP(I3867,'Segment Map'!A:A,'Segment Map'!B:B,"Need Attention"),"Need Attention")</f>
        <v/>
      </c>
      <c r="K3867" s="122">
        <f>IF(E3867&gt;=5000,"🏆 Platinum",IF(E3867&gt;=2000,"🥇 Gold",IF(E3867&gt;=800,"🥈 Silver","🥉 Bronze")))</f>
        <v/>
      </c>
      <c r="L3867" s="125" t="n">
        <v>40610</v>
      </c>
    </row>
    <row r="3868">
      <c r="A3868" s="126" t="n">
        <v>17640</v>
      </c>
      <c r="B3868" s="126" t="inlineStr">
        <is>
          <t>United Kingdom</t>
        </is>
      </c>
      <c r="C3868" s="126" t="n">
        <v>87</v>
      </c>
      <c r="D3868" s="126" t="n">
        <v>1</v>
      </c>
      <c r="E3868" s="127" t="n">
        <v>621.66</v>
      </c>
      <c r="F3868" s="128">
        <f>IF(C3868&lt;=30,5,IF(C3868&lt;=60,4,IF(C3868&lt;=120,3,IF(C3868&lt;=200,2,1))))</f>
        <v/>
      </c>
      <c r="G3868" s="128">
        <f>IF(D3868&gt;=20,5,IF(D3868&gt;=10,4,IF(D3868&gt;=5,3,IF(D3868&gt;=2,2,1))))</f>
        <v/>
      </c>
      <c r="H3868" s="128">
        <f>IF(E3868&gt;=5000,5,IF(E3868&gt;=2000,4,IF(E3868&gt;=800,3,IF(E3868&gt;=300,2,1))))</f>
        <v/>
      </c>
      <c r="I3868" s="126">
        <f>TEXT(F3868,"0")&amp;TEXT(G3868,"0")&amp;TEXT(H3868,"0")</f>
        <v/>
      </c>
      <c r="J3868" s="126">
        <f>IFERROR(XLOOKUP(I3868,'Segment Map'!A:A,'Segment Map'!B:B,"Need Attention"),"Need Attention")</f>
        <v/>
      </c>
      <c r="K3868" s="126">
        <f>IF(E3868&gt;=5000,"🏆 Platinum",IF(E3868&gt;=2000,"🥇 Gold",IF(E3868&gt;=800,"🥈 Silver","🥉 Bronze")))</f>
        <v/>
      </c>
      <c r="L3868" s="129" t="n">
        <v>40800</v>
      </c>
    </row>
    <row r="3869">
      <c r="A3869" s="122" t="n">
        <v>17642</v>
      </c>
      <c r="B3869" s="122" t="inlineStr">
        <is>
          <t>United Kingdom</t>
        </is>
      </c>
      <c r="C3869" s="122" t="n">
        <v>120</v>
      </c>
      <c r="D3869" s="122" t="n">
        <v>2</v>
      </c>
      <c r="E3869" s="123" t="n">
        <v>712.29</v>
      </c>
      <c r="F3869" s="124">
        <f>IF(C3869&lt;=30,5,IF(C3869&lt;=60,4,IF(C3869&lt;=120,3,IF(C3869&lt;=200,2,1))))</f>
        <v/>
      </c>
      <c r="G3869" s="124">
        <f>IF(D3869&gt;=20,5,IF(D3869&gt;=10,4,IF(D3869&gt;=5,3,IF(D3869&gt;=2,2,1))))</f>
        <v/>
      </c>
      <c r="H3869" s="124">
        <f>IF(E3869&gt;=5000,5,IF(E3869&gt;=2000,4,IF(E3869&gt;=800,3,IF(E3869&gt;=300,2,1))))</f>
        <v/>
      </c>
      <c r="I3869" s="122">
        <f>TEXT(F3869,"0")&amp;TEXT(G3869,"0")&amp;TEXT(H3869,"0")</f>
        <v/>
      </c>
      <c r="J3869" s="122">
        <f>IFERROR(XLOOKUP(I3869,'Segment Map'!A:A,'Segment Map'!B:B,"Need Attention"),"Need Attention")</f>
        <v/>
      </c>
      <c r="K3869" s="122">
        <f>IF(E3869&gt;=5000,"🏆 Platinum",IF(E3869&gt;=2000,"🥇 Gold",IF(E3869&gt;=800,"🥈 Silver","🥉 Bronze")))</f>
        <v/>
      </c>
      <c r="L3869" s="125" t="n">
        <v>40767</v>
      </c>
    </row>
    <row r="3870">
      <c r="A3870" s="126" t="n">
        <v>17643</v>
      </c>
      <c r="B3870" s="126" t="inlineStr">
        <is>
          <t>United Kingdom</t>
        </is>
      </c>
      <c r="C3870" s="126" t="n">
        <v>374</v>
      </c>
      <c r="D3870" s="126" t="n">
        <v>1</v>
      </c>
      <c r="E3870" s="127" t="n">
        <v>101.55</v>
      </c>
      <c r="F3870" s="128">
        <f>IF(C3870&lt;=30,5,IF(C3870&lt;=60,4,IF(C3870&lt;=120,3,IF(C3870&lt;=200,2,1))))</f>
        <v/>
      </c>
      <c r="G3870" s="128">
        <f>IF(D3870&gt;=20,5,IF(D3870&gt;=10,4,IF(D3870&gt;=5,3,IF(D3870&gt;=2,2,1))))</f>
        <v/>
      </c>
      <c r="H3870" s="128">
        <f>IF(E3870&gt;=5000,5,IF(E3870&gt;=2000,4,IF(E3870&gt;=800,3,IF(E3870&gt;=300,2,1))))</f>
        <v/>
      </c>
      <c r="I3870" s="126">
        <f>TEXT(F3870,"0")&amp;TEXT(G3870,"0")&amp;TEXT(H3870,"0")</f>
        <v/>
      </c>
      <c r="J3870" s="126">
        <f>IFERROR(XLOOKUP(I3870,'Segment Map'!A:A,'Segment Map'!B:B,"Need Attention"),"Need Attention")</f>
        <v/>
      </c>
      <c r="K3870" s="126">
        <f>IF(E3870&gt;=5000,"🏆 Platinum",IF(E3870&gt;=2000,"🥇 Gold",IF(E3870&gt;=800,"🥈 Silver","🥉 Bronze")))</f>
        <v/>
      </c>
      <c r="L3870" s="129" t="n">
        <v>40513</v>
      </c>
    </row>
    <row r="3871">
      <c r="A3871" s="122" t="n">
        <v>17644</v>
      </c>
      <c r="B3871" s="122" t="inlineStr">
        <is>
          <t>United Kingdom</t>
        </is>
      </c>
      <c r="C3871" s="122" t="n">
        <v>2</v>
      </c>
      <c r="D3871" s="122" t="n">
        <v>11</v>
      </c>
      <c r="E3871" s="123" t="n">
        <v>2895.64</v>
      </c>
      <c r="F3871" s="124">
        <f>IF(C3871&lt;=30,5,IF(C3871&lt;=60,4,IF(C3871&lt;=120,3,IF(C3871&lt;=200,2,1))))</f>
        <v/>
      </c>
      <c r="G3871" s="124">
        <f>IF(D3871&gt;=20,5,IF(D3871&gt;=10,4,IF(D3871&gt;=5,3,IF(D3871&gt;=2,2,1))))</f>
        <v/>
      </c>
      <c r="H3871" s="124">
        <f>IF(E3871&gt;=5000,5,IF(E3871&gt;=2000,4,IF(E3871&gt;=800,3,IF(E3871&gt;=300,2,1))))</f>
        <v/>
      </c>
      <c r="I3871" s="122">
        <f>TEXT(F3871,"0")&amp;TEXT(G3871,"0")&amp;TEXT(H3871,"0")</f>
        <v/>
      </c>
      <c r="J3871" s="122">
        <f>IFERROR(XLOOKUP(I3871,'Segment Map'!A:A,'Segment Map'!B:B,"Need Attention"),"Need Attention")</f>
        <v/>
      </c>
      <c r="K3871" s="122">
        <f>IF(E3871&gt;=5000,"🏆 Platinum",IF(E3871&gt;=2000,"🥇 Gold",IF(E3871&gt;=800,"🥈 Silver","🥉 Bronze")))</f>
        <v/>
      </c>
      <c r="L3871" s="125" t="n">
        <v>40885</v>
      </c>
    </row>
    <row r="3872">
      <c r="A3872" s="126" t="n">
        <v>17646</v>
      </c>
      <c r="B3872" s="126" t="inlineStr">
        <is>
          <t>United Kingdom</t>
        </is>
      </c>
      <c r="C3872" s="126" t="n">
        <v>220</v>
      </c>
      <c r="D3872" s="126" t="n">
        <v>3</v>
      </c>
      <c r="E3872" s="127" t="n">
        <v>1008.39</v>
      </c>
      <c r="F3872" s="128">
        <f>IF(C3872&lt;=30,5,IF(C3872&lt;=60,4,IF(C3872&lt;=120,3,IF(C3872&lt;=200,2,1))))</f>
        <v/>
      </c>
      <c r="G3872" s="128">
        <f>IF(D3872&gt;=20,5,IF(D3872&gt;=10,4,IF(D3872&gt;=5,3,IF(D3872&gt;=2,2,1))))</f>
        <v/>
      </c>
      <c r="H3872" s="128">
        <f>IF(E3872&gt;=5000,5,IF(E3872&gt;=2000,4,IF(E3872&gt;=800,3,IF(E3872&gt;=300,2,1))))</f>
        <v/>
      </c>
      <c r="I3872" s="126">
        <f>TEXT(F3872,"0")&amp;TEXT(G3872,"0")&amp;TEXT(H3872,"0")</f>
        <v/>
      </c>
      <c r="J3872" s="126">
        <f>IFERROR(XLOOKUP(I3872,'Segment Map'!A:A,'Segment Map'!B:B,"Need Attention"),"Need Attention")</f>
        <v/>
      </c>
      <c r="K3872" s="126">
        <f>IF(E3872&gt;=5000,"🏆 Platinum",IF(E3872&gt;=2000,"🥇 Gold",IF(E3872&gt;=800,"🥈 Silver","🥉 Bronze")))</f>
        <v/>
      </c>
      <c r="L3872" s="129" t="n">
        <v>40667</v>
      </c>
    </row>
    <row r="3873">
      <c r="A3873" s="122" t="n">
        <v>17647</v>
      </c>
      <c r="B3873" s="122" t="inlineStr">
        <is>
          <t>United Kingdom</t>
        </is>
      </c>
      <c r="C3873" s="122" t="n">
        <v>66</v>
      </c>
      <c r="D3873" s="122" t="n">
        <v>1</v>
      </c>
      <c r="E3873" s="123" t="n">
        <v>133.06</v>
      </c>
      <c r="F3873" s="124">
        <f>IF(C3873&lt;=30,5,IF(C3873&lt;=60,4,IF(C3873&lt;=120,3,IF(C3873&lt;=200,2,1))))</f>
        <v/>
      </c>
      <c r="G3873" s="124">
        <f>IF(D3873&gt;=20,5,IF(D3873&gt;=10,4,IF(D3873&gt;=5,3,IF(D3873&gt;=2,2,1))))</f>
        <v/>
      </c>
      <c r="H3873" s="124">
        <f>IF(E3873&gt;=5000,5,IF(E3873&gt;=2000,4,IF(E3873&gt;=800,3,IF(E3873&gt;=300,2,1))))</f>
        <v/>
      </c>
      <c r="I3873" s="122">
        <f>TEXT(F3873,"0")&amp;TEXT(G3873,"0")&amp;TEXT(H3873,"0")</f>
        <v/>
      </c>
      <c r="J3873" s="122">
        <f>IFERROR(XLOOKUP(I3873,'Segment Map'!A:A,'Segment Map'!B:B,"Need Attention"),"Need Attention")</f>
        <v/>
      </c>
      <c r="K3873" s="122">
        <f>IF(E3873&gt;=5000,"🏆 Platinum",IF(E3873&gt;=2000,"🥇 Gold",IF(E3873&gt;=800,"🥈 Silver","🥉 Bronze")))</f>
        <v/>
      </c>
      <c r="L3873" s="125" t="n">
        <v>40821</v>
      </c>
    </row>
    <row r="3874">
      <c r="A3874" s="126" t="n">
        <v>17648</v>
      </c>
      <c r="B3874" s="126" t="inlineStr">
        <is>
          <t>United Kingdom</t>
        </is>
      </c>
      <c r="C3874" s="126" t="n">
        <v>61</v>
      </c>
      <c r="D3874" s="126" t="n">
        <v>4</v>
      </c>
      <c r="E3874" s="127" t="n">
        <v>1797.5</v>
      </c>
      <c r="F3874" s="128">
        <f>IF(C3874&lt;=30,5,IF(C3874&lt;=60,4,IF(C3874&lt;=120,3,IF(C3874&lt;=200,2,1))))</f>
        <v/>
      </c>
      <c r="G3874" s="128">
        <f>IF(D3874&gt;=20,5,IF(D3874&gt;=10,4,IF(D3874&gt;=5,3,IF(D3874&gt;=2,2,1))))</f>
        <v/>
      </c>
      <c r="H3874" s="128">
        <f>IF(E3874&gt;=5000,5,IF(E3874&gt;=2000,4,IF(E3874&gt;=800,3,IF(E3874&gt;=300,2,1))))</f>
        <v/>
      </c>
      <c r="I3874" s="126">
        <f>TEXT(F3874,"0")&amp;TEXT(G3874,"0")&amp;TEXT(H3874,"0")</f>
        <v/>
      </c>
      <c r="J3874" s="126">
        <f>IFERROR(XLOOKUP(I3874,'Segment Map'!A:A,'Segment Map'!B:B,"Need Attention"),"Need Attention")</f>
        <v/>
      </c>
      <c r="K3874" s="126">
        <f>IF(E3874&gt;=5000,"🏆 Platinum",IF(E3874&gt;=2000,"🥇 Gold",IF(E3874&gt;=800,"🥈 Silver","🥉 Bronze")))</f>
        <v/>
      </c>
      <c r="L3874" s="129" t="n">
        <v>40826</v>
      </c>
    </row>
    <row r="3875">
      <c r="A3875" s="122" t="n">
        <v>17649</v>
      </c>
      <c r="B3875" s="122" t="inlineStr">
        <is>
          <t>United Kingdom</t>
        </is>
      </c>
      <c r="C3875" s="122" t="n">
        <v>139</v>
      </c>
      <c r="D3875" s="122" t="n">
        <v>1</v>
      </c>
      <c r="E3875" s="123" t="n">
        <v>868.49</v>
      </c>
      <c r="F3875" s="124">
        <f>IF(C3875&lt;=30,5,IF(C3875&lt;=60,4,IF(C3875&lt;=120,3,IF(C3875&lt;=200,2,1))))</f>
        <v/>
      </c>
      <c r="G3875" s="124">
        <f>IF(D3875&gt;=20,5,IF(D3875&gt;=10,4,IF(D3875&gt;=5,3,IF(D3875&gt;=2,2,1))))</f>
        <v/>
      </c>
      <c r="H3875" s="124">
        <f>IF(E3875&gt;=5000,5,IF(E3875&gt;=2000,4,IF(E3875&gt;=800,3,IF(E3875&gt;=300,2,1))))</f>
        <v/>
      </c>
      <c r="I3875" s="122">
        <f>TEXT(F3875,"0")&amp;TEXT(G3875,"0")&amp;TEXT(H3875,"0")</f>
        <v/>
      </c>
      <c r="J3875" s="122">
        <f>IFERROR(XLOOKUP(I3875,'Segment Map'!A:A,'Segment Map'!B:B,"Need Attention"),"Need Attention")</f>
        <v/>
      </c>
      <c r="K3875" s="122">
        <f>IF(E3875&gt;=5000,"🏆 Platinum",IF(E3875&gt;=2000,"🥇 Gold",IF(E3875&gt;=800,"🥈 Silver","🥉 Bronze")))</f>
        <v/>
      </c>
      <c r="L3875" s="125" t="n">
        <v>40748</v>
      </c>
    </row>
    <row r="3876">
      <c r="A3876" s="126" t="n">
        <v>17650</v>
      </c>
      <c r="B3876" s="126" t="inlineStr">
        <is>
          <t>United Kingdom</t>
        </is>
      </c>
      <c r="C3876" s="126" t="n">
        <v>22</v>
      </c>
      <c r="D3876" s="126" t="n">
        <v>1</v>
      </c>
      <c r="E3876" s="127" t="n">
        <v>166.08</v>
      </c>
      <c r="F3876" s="128">
        <f>IF(C3876&lt;=30,5,IF(C3876&lt;=60,4,IF(C3876&lt;=120,3,IF(C3876&lt;=200,2,1))))</f>
        <v/>
      </c>
      <c r="G3876" s="128">
        <f>IF(D3876&gt;=20,5,IF(D3876&gt;=10,4,IF(D3876&gt;=5,3,IF(D3876&gt;=2,2,1))))</f>
        <v/>
      </c>
      <c r="H3876" s="128">
        <f>IF(E3876&gt;=5000,5,IF(E3876&gt;=2000,4,IF(E3876&gt;=800,3,IF(E3876&gt;=300,2,1))))</f>
        <v/>
      </c>
      <c r="I3876" s="126">
        <f>TEXT(F3876,"0")&amp;TEXT(G3876,"0")&amp;TEXT(H3876,"0")</f>
        <v/>
      </c>
      <c r="J3876" s="126">
        <f>IFERROR(XLOOKUP(I3876,'Segment Map'!A:A,'Segment Map'!B:B,"Need Attention"),"Need Attention")</f>
        <v/>
      </c>
      <c r="K3876" s="126">
        <f>IF(E3876&gt;=5000,"🏆 Platinum",IF(E3876&gt;=2000,"🥇 Gold",IF(E3876&gt;=800,"🥈 Silver","🥉 Bronze")))</f>
        <v/>
      </c>
      <c r="L3876" s="129" t="n">
        <v>40865</v>
      </c>
    </row>
    <row r="3877">
      <c r="A3877" s="122" t="n">
        <v>17651</v>
      </c>
      <c r="B3877" s="122" t="inlineStr">
        <is>
          <t>United Kingdom</t>
        </is>
      </c>
      <c r="C3877" s="122" t="n">
        <v>12</v>
      </c>
      <c r="D3877" s="122" t="n">
        <v>10</v>
      </c>
      <c r="E3877" s="123" t="n">
        <v>3945</v>
      </c>
      <c r="F3877" s="124">
        <f>IF(C3877&lt;=30,5,IF(C3877&lt;=60,4,IF(C3877&lt;=120,3,IF(C3877&lt;=200,2,1))))</f>
        <v/>
      </c>
      <c r="G3877" s="124">
        <f>IF(D3877&gt;=20,5,IF(D3877&gt;=10,4,IF(D3877&gt;=5,3,IF(D3877&gt;=2,2,1))))</f>
        <v/>
      </c>
      <c r="H3877" s="124">
        <f>IF(E3877&gt;=5000,5,IF(E3877&gt;=2000,4,IF(E3877&gt;=800,3,IF(E3877&gt;=300,2,1))))</f>
        <v/>
      </c>
      <c r="I3877" s="122">
        <f>TEXT(F3877,"0")&amp;TEXT(G3877,"0")&amp;TEXT(H3877,"0")</f>
        <v/>
      </c>
      <c r="J3877" s="122">
        <f>IFERROR(XLOOKUP(I3877,'Segment Map'!A:A,'Segment Map'!B:B,"Need Attention"),"Need Attention")</f>
        <v/>
      </c>
      <c r="K3877" s="122">
        <f>IF(E3877&gt;=5000,"🏆 Platinum",IF(E3877&gt;=2000,"🥇 Gold",IF(E3877&gt;=800,"🥈 Silver","🥉 Bronze")))</f>
        <v/>
      </c>
      <c r="L3877" s="125" t="n">
        <v>40875</v>
      </c>
    </row>
    <row r="3878">
      <c r="A3878" s="126" t="n">
        <v>17652</v>
      </c>
      <c r="B3878" s="126" t="inlineStr">
        <is>
          <t>United Kingdom</t>
        </is>
      </c>
      <c r="C3878" s="126" t="n">
        <v>26</v>
      </c>
      <c r="D3878" s="126" t="n">
        <v>12</v>
      </c>
      <c r="E3878" s="127" t="n">
        <v>4867.72</v>
      </c>
      <c r="F3878" s="128">
        <f>IF(C3878&lt;=30,5,IF(C3878&lt;=60,4,IF(C3878&lt;=120,3,IF(C3878&lt;=200,2,1))))</f>
        <v/>
      </c>
      <c r="G3878" s="128">
        <f>IF(D3878&gt;=20,5,IF(D3878&gt;=10,4,IF(D3878&gt;=5,3,IF(D3878&gt;=2,2,1))))</f>
        <v/>
      </c>
      <c r="H3878" s="128">
        <f>IF(E3878&gt;=5000,5,IF(E3878&gt;=2000,4,IF(E3878&gt;=800,3,IF(E3878&gt;=300,2,1))))</f>
        <v/>
      </c>
      <c r="I3878" s="126">
        <f>TEXT(F3878,"0")&amp;TEXT(G3878,"0")&amp;TEXT(H3878,"0")</f>
        <v/>
      </c>
      <c r="J3878" s="126">
        <f>IFERROR(XLOOKUP(I3878,'Segment Map'!A:A,'Segment Map'!B:B,"Need Attention"),"Need Attention")</f>
        <v/>
      </c>
      <c r="K3878" s="126">
        <f>IF(E3878&gt;=5000,"🏆 Platinum",IF(E3878&gt;=2000,"🥇 Gold",IF(E3878&gt;=800,"🥈 Silver","🥉 Bronze")))</f>
        <v/>
      </c>
      <c r="L3878" s="129" t="n">
        <v>40861</v>
      </c>
    </row>
    <row r="3879">
      <c r="A3879" s="122" t="n">
        <v>17653</v>
      </c>
      <c r="B3879" s="122" t="inlineStr">
        <is>
          <t>United Kingdom</t>
        </is>
      </c>
      <c r="C3879" s="122" t="n">
        <v>37</v>
      </c>
      <c r="D3879" s="122" t="n">
        <v>4</v>
      </c>
      <c r="E3879" s="123" t="n">
        <v>1207.56</v>
      </c>
      <c r="F3879" s="124">
        <f>IF(C3879&lt;=30,5,IF(C3879&lt;=60,4,IF(C3879&lt;=120,3,IF(C3879&lt;=200,2,1))))</f>
        <v/>
      </c>
      <c r="G3879" s="124">
        <f>IF(D3879&gt;=20,5,IF(D3879&gt;=10,4,IF(D3879&gt;=5,3,IF(D3879&gt;=2,2,1))))</f>
        <v/>
      </c>
      <c r="H3879" s="124">
        <f>IF(E3879&gt;=5000,5,IF(E3879&gt;=2000,4,IF(E3879&gt;=800,3,IF(E3879&gt;=300,2,1))))</f>
        <v/>
      </c>
      <c r="I3879" s="122">
        <f>TEXT(F3879,"0")&amp;TEXT(G3879,"0")&amp;TEXT(H3879,"0")</f>
        <v/>
      </c>
      <c r="J3879" s="122">
        <f>IFERROR(XLOOKUP(I3879,'Segment Map'!A:A,'Segment Map'!B:B,"Need Attention"),"Need Attention")</f>
        <v/>
      </c>
      <c r="K3879" s="122">
        <f>IF(E3879&gt;=5000,"🏆 Platinum",IF(E3879&gt;=2000,"🥇 Gold",IF(E3879&gt;=800,"🥈 Silver","🥉 Bronze")))</f>
        <v/>
      </c>
      <c r="L3879" s="125" t="n">
        <v>40850</v>
      </c>
    </row>
    <row r="3880">
      <c r="A3880" s="126" t="n">
        <v>17654</v>
      </c>
      <c r="B3880" s="126" t="inlineStr">
        <is>
          <t>United Kingdom</t>
        </is>
      </c>
      <c r="C3880" s="126" t="n">
        <v>278</v>
      </c>
      <c r="D3880" s="126" t="n">
        <v>1</v>
      </c>
      <c r="E3880" s="127" t="n">
        <v>117.55</v>
      </c>
      <c r="F3880" s="128">
        <f>IF(C3880&lt;=30,5,IF(C3880&lt;=60,4,IF(C3880&lt;=120,3,IF(C3880&lt;=200,2,1))))</f>
        <v/>
      </c>
      <c r="G3880" s="128">
        <f>IF(D3880&gt;=20,5,IF(D3880&gt;=10,4,IF(D3880&gt;=5,3,IF(D3880&gt;=2,2,1))))</f>
        <v/>
      </c>
      <c r="H3880" s="128">
        <f>IF(E3880&gt;=5000,5,IF(E3880&gt;=2000,4,IF(E3880&gt;=800,3,IF(E3880&gt;=300,2,1))))</f>
        <v/>
      </c>
      <c r="I3880" s="126">
        <f>TEXT(F3880,"0")&amp;TEXT(G3880,"0")&amp;TEXT(H3880,"0")</f>
        <v/>
      </c>
      <c r="J3880" s="126">
        <f>IFERROR(XLOOKUP(I3880,'Segment Map'!A:A,'Segment Map'!B:B,"Need Attention"),"Need Attention")</f>
        <v/>
      </c>
      <c r="K3880" s="126">
        <f>IF(E3880&gt;=5000,"🏆 Platinum",IF(E3880&gt;=2000,"🥇 Gold",IF(E3880&gt;=800,"🥈 Silver","🥉 Bronze")))</f>
        <v/>
      </c>
      <c r="L3880" s="129" t="n">
        <v>40609</v>
      </c>
    </row>
    <row r="3881">
      <c r="A3881" s="122" t="n">
        <v>17655</v>
      </c>
      <c r="B3881" s="122" t="inlineStr">
        <is>
          <t>United Kingdom</t>
        </is>
      </c>
      <c r="C3881" s="122" t="n">
        <v>11</v>
      </c>
      <c r="D3881" s="122" t="n">
        <v>7</v>
      </c>
      <c r="E3881" s="123" t="n">
        <v>2638.94</v>
      </c>
      <c r="F3881" s="124">
        <f>IF(C3881&lt;=30,5,IF(C3881&lt;=60,4,IF(C3881&lt;=120,3,IF(C3881&lt;=200,2,1))))</f>
        <v/>
      </c>
      <c r="G3881" s="124">
        <f>IF(D3881&gt;=20,5,IF(D3881&gt;=10,4,IF(D3881&gt;=5,3,IF(D3881&gt;=2,2,1))))</f>
        <v/>
      </c>
      <c r="H3881" s="124">
        <f>IF(E3881&gt;=5000,5,IF(E3881&gt;=2000,4,IF(E3881&gt;=800,3,IF(E3881&gt;=300,2,1))))</f>
        <v/>
      </c>
      <c r="I3881" s="122">
        <f>TEXT(F3881,"0")&amp;TEXT(G3881,"0")&amp;TEXT(H3881,"0")</f>
        <v/>
      </c>
      <c r="J3881" s="122">
        <f>IFERROR(XLOOKUP(I3881,'Segment Map'!A:A,'Segment Map'!B:B,"Need Attention"),"Need Attention")</f>
        <v/>
      </c>
      <c r="K3881" s="122">
        <f>IF(E3881&gt;=5000,"🏆 Platinum",IF(E3881&gt;=2000,"🥇 Gold",IF(E3881&gt;=800,"🥈 Silver","🥉 Bronze")))</f>
        <v/>
      </c>
      <c r="L3881" s="125" t="n">
        <v>40876</v>
      </c>
    </row>
    <row r="3882">
      <c r="A3882" s="126" t="n">
        <v>17656</v>
      </c>
      <c r="B3882" s="126" t="inlineStr">
        <is>
          <t>United Kingdom</t>
        </is>
      </c>
      <c r="C3882" s="126" t="n">
        <v>74</v>
      </c>
      <c r="D3882" s="126" t="n">
        <v>5</v>
      </c>
      <c r="E3882" s="127" t="n">
        <v>1674.69</v>
      </c>
      <c r="F3882" s="128">
        <f>IF(C3882&lt;=30,5,IF(C3882&lt;=60,4,IF(C3882&lt;=120,3,IF(C3882&lt;=200,2,1))))</f>
        <v/>
      </c>
      <c r="G3882" s="128">
        <f>IF(D3882&gt;=20,5,IF(D3882&gt;=10,4,IF(D3882&gt;=5,3,IF(D3882&gt;=2,2,1))))</f>
        <v/>
      </c>
      <c r="H3882" s="128">
        <f>IF(E3882&gt;=5000,5,IF(E3882&gt;=2000,4,IF(E3882&gt;=800,3,IF(E3882&gt;=300,2,1))))</f>
        <v/>
      </c>
      <c r="I3882" s="126">
        <f>TEXT(F3882,"0")&amp;TEXT(G3882,"0")&amp;TEXT(H3882,"0")</f>
        <v/>
      </c>
      <c r="J3882" s="126">
        <f>IFERROR(XLOOKUP(I3882,'Segment Map'!A:A,'Segment Map'!B:B,"Need Attention"),"Need Attention")</f>
        <v/>
      </c>
      <c r="K3882" s="126">
        <f>IF(E3882&gt;=5000,"🏆 Platinum",IF(E3882&gt;=2000,"🥇 Gold",IF(E3882&gt;=800,"🥈 Silver","🥉 Bronze")))</f>
        <v/>
      </c>
      <c r="L3882" s="129" t="n">
        <v>40813</v>
      </c>
    </row>
    <row r="3883">
      <c r="A3883" s="122" t="n">
        <v>17658</v>
      </c>
      <c r="B3883" s="122" t="inlineStr">
        <is>
          <t>United Kingdom</t>
        </is>
      </c>
      <c r="C3883" s="122" t="n">
        <v>26</v>
      </c>
      <c r="D3883" s="122" t="n">
        <v>2</v>
      </c>
      <c r="E3883" s="123" t="n">
        <v>595.42</v>
      </c>
      <c r="F3883" s="124">
        <f>IF(C3883&lt;=30,5,IF(C3883&lt;=60,4,IF(C3883&lt;=120,3,IF(C3883&lt;=200,2,1))))</f>
        <v/>
      </c>
      <c r="G3883" s="124">
        <f>IF(D3883&gt;=20,5,IF(D3883&gt;=10,4,IF(D3883&gt;=5,3,IF(D3883&gt;=2,2,1))))</f>
        <v/>
      </c>
      <c r="H3883" s="124">
        <f>IF(E3883&gt;=5000,5,IF(E3883&gt;=2000,4,IF(E3883&gt;=800,3,IF(E3883&gt;=300,2,1))))</f>
        <v/>
      </c>
      <c r="I3883" s="122">
        <f>TEXT(F3883,"0")&amp;TEXT(G3883,"0")&amp;TEXT(H3883,"0")</f>
        <v/>
      </c>
      <c r="J3883" s="122">
        <f>IFERROR(XLOOKUP(I3883,'Segment Map'!A:A,'Segment Map'!B:B,"Need Attention"),"Need Attention")</f>
        <v/>
      </c>
      <c r="K3883" s="122">
        <f>IF(E3883&gt;=5000,"🏆 Platinum",IF(E3883&gt;=2000,"🥇 Gold",IF(E3883&gt;=800,"🥈 Silver","🥉 Bronze")))</f>
        <v/>
      </c>
      <c r="L3883" s="125" t="n">
        <v>40861</v>
      </c>
    </row>
    <row r="3884">
      <c r="A3884" s="126" t="n">
        <v>17659</v>
      </c>
      <c r="B3884" s="126" t="inlineStr">
        <is>
          <t>United Kingdom</t>
        </is>
      </c>
      <c r="C3884" s="126" t="n">
        <v>18</v>
      </c>
      <c r="D3884" s="126" t="n">
        <v>12</v>
      </c>
      <c r="E3884" s="127" t="n">
        <v>2999.46</v>
      </c>
      <c r="F3884" s="128">
        <f>IF(C3884&lt;=30,5,IF(C3884&lt;=60,4,IF(C3884&lt;=120,3,IF(C3884&lt;=200,2,1))))</f>
        <v/>
      </c>
      <c r="G3884" s="128">
        <f>IF(D3884&gt;=20,5,IF(D3884&gt;=10,4,IF(D3884&gt;=5,3,IF(D3884&gt;=2,2,1))))</f>
        <v/>
      </c>
      <c r="H3884" s="128">
        <f>IF(E3884&gt;=5000,5,IF(E3884&gt;=2000,4,IF(E3884&gt;=800,3,IF(E3884&gt;=300,2,1))))</f>
        <v/>
      </c>
      <c r="I3884" s="126">
        <f>TEXT(F3884,"0")&amp;TEXT(G3884,"0")&amp;TEXT(H3884,"0")</f>
        <v/>
      </c>
      <c r="J3884" s="126">
        <f>IFERROR(XLOOKUP(I3884,'Segment Map'!A:A,'Segment Map'!B:B,"Need Attention"),"Need Attention")</f>
        <v/>
      </c>
      <c r="K3884" s="126">
        <f>IF(E3884&gt;=5000,"🏆 Platinum",IF(E3884&gt;=2000,"🥇 Gold",IF(E3884&gt;=800,"🥈 Silver","🥉 Bronze")))</f>
        <v/>
      </c>
      <c r="L3884" s="129" t="n">
        <v>40869</v>
      </c>
    </row>
    <row r="3885">
      <c r="A3885" s="122" t="n">
        <v>17660</v>
      </c>
      <c r="B3885" s="122" t="inlineStr">
        <is>
          <t>United Kingdom</t>
        </is>
      </c>
      <c r="C3885" s="122" t="n">
        <v>142</v>
      </c>
      <c r="D3885" s="122" t="n">
        <v>1</v>
      </c>
      <c r="E3885" s="123" t="n">
        <v>196</v>
      </c>
      <c r="F3885" s="124">
        <f>IF(C3885&lt;=30,5,IF(C3885&lt;=60,4,IF(C3885&lt;=120,3,IF(C3885&lt;=200,2,1))))</f>
        <v/>
      </c>
      <c r="G3885" s="124">
        <f>IF(D3885&gt;=20,5,IF(D3885&gt;=10,4,IF(D3885&gt;=5,3,IF(D3885&gt;=2,2,1))))</f>
        <v/>
      </c>
      <c r="H3885" s="124">
        <f>IF(E3885&gt;=5000,5,IF(E3885&gt;=2000,4,IF(E3885&gt;=800,3,IF(E3885&gt;=300,2,1))))</f>
        <v/>
      </c>
      <c r="I3885" s="122">
        <f>TEXT(F3885,"0")&amp;TEXT(G3885,"0")&amp;TEXT(H3885,"0")</f>
        <v/>
      </c>
      <c r="J3885" s="122">
        <f>IFERROR(XLOOKUP(I3885,'Segment Map'!A:A,'Segment Map'!B:B,"Need Attention"),"Need Attention")</f>
        <v/>
      </c>
      <c r="K3885" s="122">
        <f>IF(E3885&gt;=5000,"🏆 Platinum",IF(E3885&gt;=2000,"🥇 Gold",IF(E3885&gt;=800,"🥈 Silver","🥉 Bronze")))</f>
        <v/>
      </c>
      <c r="L3885" s="125" t="n">
        <v>40745</v>
      </c>
    </row>
    <row r="3886">
      <c r="A3886" s="126" t="n">
        <v>17663</v>
      </c>
      <c r="B3886" s="126" t="inlineStr">
        <is>
          <t>United Kingdom</t>
        </is>
      </c>
      <c r="C3886" s="126" t="n">
        <v>26</v>
      </c>
      <c r="D3886" s="126" t="n">
        <v>7</v>
      </c>
      <c r="E3886" s="127" t="n">
        <v>1802.91</v>
      </c>
      <c r="F3886" s="128">
        <f>IF(C3886&lt;=30,5,IF(C3886&lt;=60,4,IF(C3886&lt;=120,3,IF(C3886&lt;=200,2,1))))</f>
        <v/>
      </c>
      <c r="G3886" s="128">
        <f>IF(D3886&gt;=20,5,IF(D3886&gt;=10,4,IF(D3886&gt;=5,3,IF(D3886&gt;=2,2,1))))</f>
        <v/>
      </c>
      <c r="H3886" s="128">
        <f>IF(E3886&gt;=5000,5,IF(E3886&gt;=2000,4,IF(E3886&gt;=800,3,IF(E3886&gt;=300,2,1))))</f>
        <v/>
      </c>
      <c r="I3886" s="126">
        <f>TEXT(F3886,"0")&amp;TEXT(G3886,"0")&amp;TEXT(H3886,"0")</f>
        <v/>
      </c>
      <c r="J3886" s="126">
        <f>IFERROR(XLOOKUP(I3886,'Segment Map'!A:A,'Segment Map'!B:B,"Need Attention"),"Need Attention")</f>
        <v/>
      </c>
      <c r="K3886" s="126">
        <f>IF(E3886&gt;=5000,"🏆 Platinum",IF(E3886&gt;=2000,"🥇 Gold",IF(E3886&gt;=800,"🥈 Silver","🥉 Bronze")))</f>
        <v/>
      </c>
      <c r="L3886" s="129" t="n">
        <v>40861</v>
      </c>
    </row>
    <row r="3887">
      <c r="A3887" s="122" t="n">
        <v>17664</v>
      </c>
      <c r="B3887" s="122" t="inlineStr">
        <is>
          <t>United Kingdom</t>
        </is>
      </c>
      <c r="C3887" s="122" t="n">
        <v>19</v>
      </c>
      <c r="D3887" s="122" t="n">
        <v>2</v>
      </c>
      <c r="E3887" s="123" t="n">
        <v>604.64</v>
      </c>
      <c r="F3887" s="124">
        <f>IF(C3887&lt;=30,5,IF(C3887&lt;=60,4,IF(C3887&lt;=120,3,IF(C3887&lt;=200,2,1))))</f>
        <v/>
      </c>
      <c r="G3887" s="124">
        <f>IF(D3887&gt;=20,5,IF(D3887&gt;=10,4,IF(D3887&gt;=5,3,IF(D3887&gt;=2,2,1))))</f>
        <v/>
      </c>
      <c r="H3887" s="124">
        <f>IF(E3887&gt;=5000,5,IF(E3887&gt;=2000,4,IF(E3887&gt;=800,3,IF(E3887&gt;=300,2,1))))</f>
        <v/>
      </c>
      <c r="I3887" s="122">
        <f>TEXT(F3887,"0")&amp;TEXT(G3887,"0")&amp;TEXT(H3887,"0")</f>
        <v/>
      </c>
      <c r="J3887" s="122">
        <f>IFERROR(XLOOKUP(I3887,'Segment Map'!A:A,'Segment Map'!B:B,"Need Attention"),"Need Attention")</f>
        <v/>
      </c>
      <c r="K3887" s="122">
        <f>IF(E3887&gt;=5000,"🏆 Platinum",IF(E3887&gt;=2000,"🥇 Gold",IF(E3887&gt;=800,"🥈 Silver","🥉 Bronze")))</f>
        <v/>
      </c>
      <c r="L3887" s="125" t="n">
        <v>40868</v>
      </c>
    </row>
    <row r="3888">
      <c r="A3888" s="126" t="n">
        <v>17666</v>
      </c>
      <c r="B3888" s="126" t="inlineStr">
        <is>
          <t>United Kingdom</t>
        </is>
      </c>
      <c r="C3888" s="126" t="n">
        <v>4</v>
      </c>
      <c r="D3888" s="126" t="n">
        <v>2</v>
      </c>
      <c r="E3888" s="127" t="n">
        <v>728.16</v>
      </c>
      <c r="F3888" s="128">
        <f>IF(C3888&lt;=30,5,IF(C3888&lt;=60,4,IF(C3888&lt;=120,3,IF(C3888&lt;=200,2,1))))</f>
        <v/>
      </c>
      <c r="G3888" s="128">
        <f>IF(D3888&gt;=20,5,IF(D3888&gt;=10,4,IF(D3888&gt;=5,3,IF(D3888&gt;=2,2,1))))</f>
        <v/>
      </c>
      <c r="H3888" s="128">
        <f>IF(E3888&gt;=5000,5,IF(E3888&gt;=2000,4,IF(E3888&gt;=800,3,IF(E3888&gt;=300,2,1))))</f>
        <v/>
      </c>
      <c r="I3888" s="126">
        <f>TEXT(F3888,"0")&amp;TEXT(G3888,"0")&amp;TEXT(H3888,"0")</f>
        <v/>
      </c>
      <c r="J3888" s="126">
        <f>IFERROR(XLOOKUP(I3888,'Segment Map'!A:A,'Segment Map'!B:B,"Need Attention"),"Need Attention")</f>
        <v/>
      </c>
      <c r="K3888" s="126">
        <f>IF(E3888&gt;=5000,"🏆 Platinum",IF(E3888&gt;=2000,"🥇 Gold",IF(E3888&gt;=800,"🥈 Silver","🥉 Bronze")))</f>
        <v/>
      </c>
      <c r="L3888" s="129" t="n">
        <v>40883</v>
      </c>
    </row>
    <row r="3889">
      <c r="A3889" s="122" t="n">
        <v>17667</v>
      </c>
      <c r="B3889" s="122" t="inlineStr">
        <is>
          <t>United Kingdom</t>
        </is>
      </c>
      <c r="C3889" s="122" t="n">
        <v>67</v>
      </c>
      <c r="D3889" s="122" t="n">
        <v>5</v>
      </c>
      <c r="E3889" s="123" t="n">
        <v>2055.51</v>
      </c>
      <c r="F3889" s="124">
        <f>IF(C3889&lt;=30,5,IF(C3889&lt;=60,4,IF(C3889&lt;=120,3,IF(C3889&lt;=200,2,1))))</f>
        <v/>
      </c>
      <c r="G3889" s="124">
        <f>IF(D3889&gt;=20,5,IF(D3889&gt;=10,4,IF(D3889&gt;=5,3,IF(D3889&gt;=2,2,1))))</f>
        <v/>
      </c>
      <c r="H3889" s="124">
        <f>IF(E3889&gt;=5000,5,IF(E3889&gt;=2000,4,IF(E3889&gt;=800,3,IF(E3889&gt;=300,2,1))))</f>
        <v/>
      </c>
      <c r="I3889" s="122">
        <f>TEXT(F3889,"0")&amp;TEXT(G3889,"0")&amp;TEXT(H3889,"0")</f>
        <v/>
      </c>
      <c r="J3889" s="122">
        <f>IFERROR(XLOOKUP(I3889,'Segment Map'!A:A,'Segment Map'!B:B,"Need Attention"),"Need Attention")</f>
        <v/>
      </c>
      <c r="K3889" s="122">
        <f>IF(E3889&gt;=5000,"🏆 Platinum",IF(E3889&gt;=2000,"🥇 Gold",IF(E3889&gt;=800,"🥈 Silver","🥉 Bronze")))</f>
        <v/>
      </c>
      <c r="L3889" s="125" t="n">
        <v>40820</v>
      </c>
    </row>
    <row r="3890">
      <c r="A3890" s="126" t="n">
        <v>17668</v>
      </c>
      <c r="B3890" s="126" t="inlineStr">
        <is>
          <t>United Kingdom</t>
        </is>
      </c>
      <c r="C3890" s="126" t="n">
        <v>2</v>
      </c>
      <c r="D3890" s="126" t="n">
        <v>2</v>
      </c>
      <c r="E3890" s="127" t="n">
        <v>347.75</v>
      </c>
      <c r="F3890" s="128">
        <f>IF(C3890&lt;=30,5,IF(C3890&lt;=60,4,IF(C3890&lt;=120,3,IF(C3890&lt;=200,2,1))))</f>
        <v/>
      </c>
      <c r="G3890" s="128">
        <f>IF(D3890&gt;=20,5,IF(D3890&gt;=10,4,IF(D3890&gt;=5,3,IF(D3890&gt;=2,2,1))))</f>
        <v/>
      </c>
      <c r="H3890" s="128">
        <f>IF(E3890&gt;=5000,5,IF(E3890&gt;=2000,4,IF(E3890&gt;=800,3,IF(E3890&gt;=300,2,1))))</f>
        <v/>
      </c>
      <c r="I3890" s="126">
        <f>TEXT(F3890,"0")&amp;TEXT(G3890,"0")&amp;TEXT(H3890,"0")</f>
        <v/>
      </c>
      <c r="J3890" s="126">
        <f>IFERROR(XLOOKUP(I3890,'Segment Map'!A:A,'Segment Map'!B:B,"Need Attention"),"Need Attention")</f>
        <v/>
      </c>
      <c r="K3890" s="126">
        <f>IF(E3890&gt;=5000,"🏆 Platinum",IF(E3890&gt;=2000,"🥇 Gold",IF(E3890&gt;=800,"🥈 Silver","🥉 Bronze")))</f>
        <v/>
      </c>
      <c r="L3890" s="129" t="n">
        <v>40885</v>
      </c>
    </row>
    <row r="3891">
      <c r="A3891" s="122" t="n">
        <v>17669</v>
      </c>
      <c r="B3891" s="122" t="inlineStr">
        <is>
          <t>United Kingdom</t>
        </is>
      </c>
      <c r="C3891" s="122" t="n">
        <v>43</v>
      </c>
      <c r="D3891" s="122" t="n">
        <v>7</v>
      </c>
      <c r="E3891" s="123" t="n">
        <v>3406.72</v>
      </c>
      <c r="F3891" s="124">
        <f>IF(C3891&lt;=30,5,IF(C3891&lt;=60,4,IF(C3891&lt;=120,3,IF(C3891&lt;=200,2,1))))</f>
        <v/>
      </c>
      <c r="G3891" s="124">
        <f>IF(D3891&gt;=20,5,IF(D3891&gt;=10,4,IF(D3891&gt;=5,3,IF(D3891&gt;=2,2,1))))</f>
        <v/>
      </c>
      <c r="H3891" s="124">
        <f>IF(E3891&gt;=5000,5,IF(E3891&gt;=2000,4,IF(E3891&gt;=800,3,IF(E3891&gt;=300,2,1))))</f>
        <v/>
      </c>
      <c r="I3891" s="122">
        <f>TEXT(F3891,"0")&amp;TEXT(G3891,"0")&amp;TEXT(H3891,"0")</f>
        <v/>
      </c>
      <c r="J3891" s="122">
        <f>IFERROR(XLOOKUP(I3891,'Segment Map'!A:A,'Segment Map'!B:B,"Need Attention"),"Need Attention")</f>
        <v/>
      </c>
      <c r="K3891" s="122">
        <f>IF(E3891&gt;=5000,"🏆 Platinum",IF(E3891&gt;=2000,"🥇 Gold",IF(E3891&gt;=800,"🥈 Silver","🥉 Bronze")))</f>
        <v/>
      </c>
      <c r="L3891" s="125" t="n">
        <v>40844</v>
      </c>
    </row>
    <row r="3892">
      <c r="A3892" s="126" t="n">
        <v>17670</v>
      </c>
      <c r="B3892" s="126" t="inlineStr">
        <is>
          <t>United Kingdom</t>
        </is>
      </c>
      <c r="C3892" s="126" t="n">
        <v>228</v>
      </c>
      <c r="D3892" s="126" t="n">
        <v>1</v>
      </c>
      <c r="E3892" s="127" t="n">
        <v>205.7</v>
      </c>
      <c r="F3892" s="128">
        <f>IF(C3892&lt;=30,5,IF(C3892&lt;=60,4,IF(C3892&lt;=120,3,IF(C3892&lt;=200,2,1))))</f>
        <v/>
      </c>
      <c r="G3892" s="128">
        <f>IF(D3892&gt;=20,5,IF(D3892&gt;=10,4,IF(D3892&gt;=5,3,IF(D3892&gt;=2,2,1))))</f>
        <v/>
      </c>
      <c r="H3892" s="128">
        <f>IF(E3892&gt;=5000,5,IF(E3892&gt;=2000,4,IF(E3892&gt;=800,3,IF(E3892&gt;=300,2,1))))</f>
        <v/>
      </c>
      <c r="I3892" s="126">
        <f>TEXT(F3892,"0")&amp;TEXT(G3892,"0")&amp;TEXT(H3892,"0")</f>
        <v/>
      </c>
      <c r="J3892" s="126">
        <f>IFERROR(XLOOKUP(I3892,'Segment Map'!A:A,'Segment Map'!B:B,"Need Attention"),"Need Attention")</f>
        <v/>
      </c>
      <c r="K3892" s="126">
        <f>IF(E3892&gt;=5000,"🏆 Platinum",IF(E3892&gt;=2000,"🥇 Gold",IF(E3892&gt;=800,"🥈 Silver","🥉 Bronze")))</f>
        <v/>
      </c>
      <c r="L3892" s="129" t="n">
        <v>40659</v>
      </c>
    </row>
    <row r="3893">
      <c r="A3893" s="122" t="n">
        <v>17671</v>
      </c>
      <c r="B3893" s="122" t="inlineStr">
        <is>
          <t>United Kingdom</t>
        </is>
      </c>
      <c r="C3893" s="122" t="n">
        <v>16</v>
      </c>
      <c r="D3893" s="122" t="n">
        <v>4</v>
      </c>
      <c r="E3893" s="123" t="n">
        <v>1572.71</v>
      </c>
      <c r="F3893" s="124">
        <f>IF(C3893&lt;=30,5,IF(C3893&lt;=60,4,IF(C3893&lt;=120,3,IF(C3893&lt;=200,2,1))))</f>
        <v/>
      </c>
      <c r="G3893" s="124">
        <f>IF(D3893&gt;=20,5,IF(D3893&gt;=10,4,IF(D3893&gt;=5,3,IF(D3893&gt;=2,2,1))))</f>
        <v/>
      </c>
      <c r="H3893" s="124">
        <f>IF(E3893&gt;=5000,5,IF(E3893&gt;=2000,4,IF(E3893&gt;=800,3,IF(E3893&gt;=300,2,1))))</f>
        <v/>
      </c>
      <c r="I3893" s="122">
        <f>TEXT(F3893,"0")&amp;TEXT(G3893,"0")&amp;TEXT(H3893,"0")</f>
        <v/>
      </c>
      <c r="J3893" s="122">
        <f>IFERROR(XLOOKUP(I3893,'Segment Map'!A:A,'Segment Map'!B:B,"Need Attention"),"Need Attention")</f>
        <v/>
      </c>
      <c r="K3893" s="122">
        <f>IF(E3893&gt;=5000,"🏆 Platinum",IF(E3893&gt;=2000,"🥇 Gold",IF(E3893&gt;=800,"🥈 Silver","🥉 Bronze")))</f>
        <v/>
      </c>
      <c r="L3893" s="125" t="n">
        <v>40871</v>
      </c>
    </row>
    <row r="3894">
      <c r="A3894" s="126" t="n">
        <v>17672</v>
      </c>
      <c r="B3894" s="126" t="inlineStr">
        <is>
          <t>United Kingdom</t>
        </is>
      </c>
      <c r="C3894" s="126" t="n">
        <v>51</v>
      </c>
      <c r="D3894" s="126" t="n">
        <v>2</v>
      </c>
      <c r="E3894" s="127" t="n">
        <v>3178.17</v>
      </c>
      <c r="F3894" s="128">
        <f>IF(C3894&lt;=30,5,IF(C3894&lt;=60,4,IF(C3894&lt;=120,3,IF(C3894&lt;=200,2,1))))</f>
        <v/>
      </c>
      <c r="G3894" s="128">
        <f>IF(D3894&gt;=20,5,IF(D3894&gt;=10,4,IF(D3894&gt;=5,3,IF(D3894&gt;=2,2,1))))</f>
        <v/>
      </c>
      <c r="H3894" s="128">
        <f>IF(E3894&gt;=5000,5,IF(E3894&gt;=2000,4,IF(E3894&gt;=800,3,IF(E3894&gt;=300,2,1))))</f>
        <v/>
      </c>
      <c r="I3894" s="126">
        <f>TEXT(F3894,"0")&amp;TEXT(G3894,"0")&amp;TEXT(H3894,"0")</f>
        <v/>
      </c>
      <c r="J3894" s="126">
        <f>IFERROR(XLOOKUP(I3894,'Segment Map'!A:A,'Segment Map'!B:B,"Need Attention"),"Need Attention")</f>
        <v/>
      </c>
      <c r="K3894" s="126">
        <f>IF(E3894&gt;=5000,"🏆 Platinum",IF(E3894&gt;=2000,"🥇 Gold",IF(E3894&gt;=800,"🥈 Silver","🥉 Bronze")))</f>
        <v/>
      </c>
      <c r="L3894" s="129" t="n">
        <v>40836</v>
      </c>
    </row>
    <row r="3895">
      <c r="A3895" s="122" t="n">
        <v>17673</v>
      </c>
      <c r="B3895" s="122" t="inlineStr">
        <is>
          <t>United Kingdom</t>
        </is>
      </c>
      <c r="C3895" s="122" t="n">
        <v>2</v>
      </c>
      <c r="D3895" s="122" t="n">
        <v>6</v>
      </c>
      <c r="E3895" s="123" t="n">
        <v>1629.12</v>
      </c>
      <c r="F3895" s="124">
        <f>IF(C3895&lt;=30,5,IF(C3895&lt;=60,4,IF(C3895&lt;=120,3,IF(C3895&lt;=200,2,1))))</f>
        <v/>
      </c>
      <c r="G3895" s="124">
        <f>IF(D3895&gt;=20,5,IF(D3895&gt;=10,4,IF(D3895&gt;=5,3,IF(D3895&gt;=2,2,1))))</f>
        <v/>
      </c>
      <c r="H3895" s="124">
        <f>IF(E3895&gt;=5000,5,IF(E3895&gt;=2000,4,IF(E3895&gt;=800,3,IF(E3895&gt;=300,2,1))))</f>
        <v/>
      </c>
      <c r="I3895" s="122">
        <f>TEXT(F3895,"0")&amp;TEXT(G3895,"0")&amp;TEXT(H3895,"0")</f>
        <v/>
      </c>
      <c r="J3895" s="122">
        <f>IFERROR(XLOOKUP(I3895,'Segment Map'!A:A,'Segment Map'!B:B,"Need Attention"),"Need Attention")</f>
        <v/>
      </c>
      <c r="K3895" s="122">
        <f>IF(E3895&gt;=5000,"🏆 Platinum",IF(E3895&gt;=2000,"🥇 Gold",IF(E3895&gt;=800,"🥈 Silver","🥉 Bronze")))</f>
        <v/>
      </c>
      <c r="L3895" s="125" t="n">
        <v>40885</v>
      </c>
    </row>
    <row r="3896">
      <c r="A3896" s="126" t="n">
        <v>17674</v>
      </c>
      <c r="B3896" s="126" t="inlineStr">
        <is>
          <t>United Kingdom</t>
        </is>
      </c>
      <c r="C3896" s="126" t="n">
        <v>75</v>
      </c>
      <c r="D3896" s="126" t="n">
        <v>2</v>
      </c>
      <c r="E3896" s="127" t="n">
        <v>551.04</v>
      </c>
      <c r="F3896" s="128">
        <f>IF(C3896&lt;=30,5,IF(C3896&lt;=60,4,IF(C3896&lt;=120,3,IF(C3896&lt;=200,2,1))))</f>
        <v/>
      </c>
      <c r="G3896" s="128">
        <f>IF(D3896&gt;=20,5,IF(D3896&gt;=10,4,IF(D3896&gt;=5,3,IF(D3896&gt;=2,2,1))))</f>
        <v/>
      </c>
      <c r="H3896" s="128">
        <f>IF(E3896&gt;=5000,5,IF(E3896&gt;=2000,4,IF(E3896&gt;=800,3,IF(E3896&gt;=300,2,1))))</f>
        <v/>
      </c>
      <c r="I3896" s="126">
        <f>TEXT(F3896,"0")&amp;TEXT(G3896,"0")&amp;TEXT(H3896,"0")</f>
        <v/>
      </c>
      <c r="J3896" s="126">
        <f>IFERROR(XLOOKUP(I3896,'Segment Map'!A:A,'Segment Map'!B:B,"Need Attention"),"Need Attention")</f>
        <v/>
      </c>
      <c r="K3896" s="126">
        <f>IF(E3896&gt;=5000,"🏆 Platinum",IF(E3896&gt;=2000,"🥇 Gold",IF(E3896&gt;=800,"🥈 Silver","🥉 Bronze")))</f>
        <v/>
      </c>
      <c r="L3896" s="129" t="n">
        <v>40812</v>
      </c>
    </row>
    <row r="3897">
      <c r="A3897" s="122" t="n">
        <v>17675</v>
      </c>
      <c r="B3897" s="122" t="inlineStr">
        <is>
          <t>United Kingdom</t>
        </is>
      </c>
      <c r="C3897" s="122" t="n">
        <v>2</v>
      </c>
      <c r="D3897" s="122" t="n">
        <v>31</v>
      </c>
      <c r="E3897" s="123" t="n">
        <v>20374.28</v>
      </c>
      <c r="F3897" s="124">
        <f>IF(C3897&lt;=30,5,IF(C3897&lt;=60,4,IF(C3897&lt;=120,3,IF(C3897&lt;=200,2,1))))</f>
        <v/>
      </c>
      <c r="G3897" s="124">
        <f>IF(D3897&gt;=20,5,IF(D3897&gt;=10,4,IF(D3897&gt;=5,3,IF(D3897&gt;=2,2,1))))</f>
        <v/>
      </c>
      <c r="H3897" s="124">
        <f>IF(E3897&gt;=5000,5,IF(E3897&gt;=2000,4,IF(E3897&gt;=800,3,IF(E3897&gt;=300,2,1))))</f>
        <v/>
      </c>
      <c r="I3897" s="122">
        <f>TEXT(F3897,"0")&amp;TEXT(G3897,"0")&amp;TEXT(H3897,"0")</f>
        <v/>
      </c>
      <c r="J3897" s="122">
        <f>IFERROR(XLOOKUP(I3897,'Segment Map'!A:A,'Segment Map'!B:B,"Need Attention"),"Need Attention")</f>
        <v/>
      </c>
      <c r="K3897" s="122">
        <f>IF(E3897&gt;=5000,"🏆 Platinum",IF(E3897&gt;=2000,"🥇 Gold",IF(E3897&gt;=800,"🥈 Silver","🥉 Bronze")))</f>
        <v/>
      </c>
      <c r="L3897" s="125" t="n">
        <v>40885</v>
      </c>
    </row>
    <row r="3898">
      <c r="A3898" s="126" t="n">
        <v>17676</v>
      </c>
      <c r="B3898" s="126" t="inlineStr">
        <is>
          <t>United Kingdom</t>
        </is>
      </c>
      <c r="C3898" s="126" t="n">
        <v>5</v>
      </c>
      <c r="D3898" s="126" t="n">
        <v>6</v>
      </c>
      <c r="E3898" s="127" t="n">
        <v>1387.68</v>
      </c>
      <c r="F3898" s="128">
        <f>IF(C3898&lt;=30,5,IF(C3898&lt;=60,4,IF(C3898&lt;=120,3,IF(C3898&lt;=200,2,1))))</f>
        <v/>
      </c>
      <c r="G3898" s="128">
        <f>IF(D3898&gt;=20,5,IF(D3898&gt;=10,4,IF(D3898&gt;=5,3,IF(D3898&gt;=2,2,1))))</f>
        <v/>
      </c>
      <c r="H3898" s="128">
        <f>IF(E3898&gt;=5000,5,IF(E3898&gt;=2000,4,IF(E3898&gt;=800,3,IF(E3898&gt;=300,2,1))))</f>
        <v/>
      </c>
      <c r="I3898" s="126">
        <f>TEXT(F3898,"0")&amp;TEXT(G3898,"0")&amp;TEXT(H3898,"0")</f>
        <v/>
      </c>
      <c r="J3898" s="126">
        <f>IFERROR(XLOOKUP(I3898,'Segment Map'!A:A,'Segment Map'!B:B,"Need Attention"),"Need Attention")</f>
        <v/>
      </c>
      <c r="K3898" s="126">
        <f>IF(E3898&gt;=5000,"🏆 Platinum",IF(E3898&gt;=2000,"🥇 Gold",IF(E3898&gt;=800,"🥈 Silver","🥉 Bronze")))</f>
        <v/>
      </c>
      <c r="L3898" s="129" t="n">
        <v>40882</v>
      </c>
    </row>
    <row r="3899">
      <c r="A3899" s="122" t="n">
        <v>17677</v>
      </c>
      <c r="B3899" s="122" t="inlineStr">
        <is>
          <t>United Kingdom</t>
        </is>
      </c>
      <c r="C3899" s="122" t="n">
        <v>2</v>
      </c>
      <c r="D3899" s="122" t="n">
        <v>30</v>
      </c>
      <c r="E3899" s="123" t="n">
        <v>16363.23</v>
      </c>
      <c r="F3899" s="124">
        <f>IF(C3899&lt;=30,5,IF(C3899&lt;=60,4,IF(C3899&lt;=120,3,IF(C3899&lt;=200,2,1))))</f>
        <v/>
      </c>
      <c r="G3899" s="124">
        <f>IF(D3899&gt;=20,5,IF(D3899&gt;=10,4,IF(D3899&gt;=5,3,IF(D3899&gt;=2,2,1))))</f>
        <v/>
      </c>
      <c r="H3899" s="124">
        <f>IF(E3899&gt;=5000,5,IF(E3899&gt;=2000,4,IF(E3899&gt;=800,3,IF(E3899&gt;=300,2,1))))</f>
        <v/>
      </c>
      <c r="I3899" s="122">
        <f>TEXT(F3899,"0")&amp;TEXT(G3899,"0")&amp;TEXT(H3899,"0")</f>
        <v/>
      </c>
      <c r="J3899" s="122">
        <f>IFERROR(XLOOKUP(I3899,'Segment Map'!A:A,'Segment Map'!B:B,"Need Attention"),"Need Attention")</f>
        <v/>
      </c>
      <c r="K3899" s="122">
        <f>IF(E3899&gt;=5000,"🏆 Platinum",IF(E3899&gt;=2000,"🥇 Gold",IF(E3899&gt;=800,"🥈 Silver","🥉 Bronze")))</f>
        <v/>
      </c>
      <c r="L3899" s="125" t="n">
        <v>40885</v>
      </c>
    </row>
    <row r="3900">
      <c r="A3900" s="126" t="n">
        <v>17678</v>
      </c>
      <c r="B3900" s="126" t="inlineStr">
        <is>
          <t>United Kingdom</t>
        </is>
      </c>
      <c r="C3900" s="126" t="n">
        <v>264</v>
      </c>
      <c r="D3900" s="126" t="n">
        <v>1</v>
      </c>
      <c r="E3900" s="127" t="n">
        <v>298.11</v>
      </c>
      <c r="F3900" s="128">
        <f>IF(C3900&lt;=30,5,IF(C3900&lt;=60,4,IF(C3900&lt;=120,3,IF(C3900&lt;=200,2,1))))</f>
        <v/>
      </c>
      <c r="G3900" s="128">
        <f>IF(D3900&gt;=20,5,IF(D3900&gt;=10,4,IF(D3900&gt;=5,3,IF(D3900&gt;=2,2,1))))</f>
        <v/>
      </c>
      <c r="H3900" s="128">
        <f>IF(E3900&gt;=5000,5,IF(E3900&gt;=2000,4,IF(E3900&gt;=800,3,IF(E3900&gt;=300,2,1))))</f>
        <v/>
      </c>
      <c r="I3900" s="126">
        <f>TEXT(F3900,"0")&amp;TEXT(G3900,"0")&amp;TEXT(H3900,"0")</f>
        <v/>
      </c>
      <c r="J3900" s="126">
        <f>IFERROR(XLOOKUP(I3900,'Segment Map'!A:A,'Segment Map'!B:B,"Need Attention"),"Need Attention")</f>
        <v/>
      </c>
      <c r="K3900" s="126">
        <f>IF(E3900&gt;=5000,"🏆 Platinum",IF(E3900&gt;=2000,"🥇 Gold",IF(E3900&gt;=800,"🥈 Silver","🥉 Bronze")))</f>
        <v/>
      </c>
      <c r="L3900" s="129" t="n">
        <v>40623</v>
      </c>
    </row>
    <row r="3901">
      <c r="A3901" s="122" t="n">
        <v>17679</v>
      </c>
      <c r="B3901" s="122" t="inlineStr">
        <is>
          <t>United Kingdom</t>
        </is>
      </c>
      <c r="C3901" s="122" t="n">
        <v>53</v>
      </c>
      <c r="D3901" s="122" t="n">
        <v>2</v>
      </c>
      <c r="E3901" s="123" t="n">
        <v>1992.11</v>
      </c>
      <c r="F3901" s="124">
        <f>IF(C3901&lt;=30,5,IF(C3901&lt;=60,4,IF(C3901&lt;=120,3,IF(C3901&lt;=200,2,1))))</f>
        <v/>
      </c>
      <c r="G3901" s="124">
        <f>IF(D3901&gt;=20,5,IF(D3901&gt;=10,4,IF(D3901&gt;=5,3,IF(D3901&gt;=2,2,1))))</f>
        <v/>
      </c>
      <c r="H3901" s="124">
        <f>IF(E3901&gt;=5000,5,IF(E3901&gt;=2000,4,IF(E3901&gt;=800,3,IF(E3901&gt;=300,2,1))))</f>
        <v/>
      </c>
      <c r="I3901" s="122">
        <f>TEXT(F3901,"0")&amp;TEXT(G3901,"0")&amp;TEXT(H3901,"0")</f>
        <v/>
      </c>
      <c r="J3901" s="122">
        <f>IFERROR(XLOOKUP(I3901,'Segment Map'!A:A,'Segment Map'!B:B,"Need Attention"),"Need Attention")</f>
        <v/>
      </c>
      <c r="K3901" s="122">
        <f>IF(E3901&gt;=5000,"🏆 Platinum",IF(E3901&gt;=2000,"🥇 Gold",IF(E3901&gt;=800,"🥈 Silver","🥉 Bronze")))</f>
        <v/>
      </c>
      <c r="L3901" s="125" t="n">
        <v>40834</v>
      </c>
    </row>
    <row r="3902">
      <c r="A3902" s="126" t="n">
        <v>17680</v>
      </c>
      <c r="B3902" s="126" t="inlineStr">
        <is>
          <t>United Kingdom</t>
        </is>
      </c>
      <c r="C3902" s="126" t="n">
        <v>24</v>
      </c>
      <c r="D3902" s="126" t="n">
        <v>1</v>
      </c>
      <c r="E3902" s="127" t="n">
        <v>184.4</v>
      </c>
      <c r="F3902" s="128">
        <f>IF(C3902&lt;=30,5,IF(C3902&lt;=60,4,IF(C3902&lt;=120,3,IF(C3902&lt;=200,2,1))))</f>
        <v/>
      </c>
      <c r="G3902" s="128">
        <f>IF(D3902&gt;=20,5,IF(D3902&gt;=10,4,IF(D3902&gt;=5,3,IF(D3902&gt;=2,2,1))))</f>
        <v/>
      </c>
      <c r="H3902" s="128">
        <f>IF(E3902&gt;=5000,5,IF(E3902&gt;=2000,4,IF(E3902&gt;=800,3,IF(E3902&gt;=300,2,1))))</f>
        <v/>
      </c>
      <c r="I3902" s="126">
        <f>TEXT(F3902,"0")&amp;TEXT(G3902,"0")&amp;TEXT(H3902,"0")</f>
        <v/>
      </c>
      <c r="J3902" s="126">
        <f>IFERROR(XLOOKUP(I3902,'Segment Map'!A:A,'Segment Map'!B:B,"Need Attention"),"Need Attention")</f>
        <v/>
      </c>
      <c r="K3902" s="126">
        <f>IF(E3902&gt;=5000,"🏆 Platinum",IF(E3902&gt;=2000,"🥇 Gold",IF(E3902&gt;=800,"🥈 Silver","🥉 Bronze")))</f>
        <v/>
      </c>
      <c r="L3902" s="129" t="n">
        <v>40863</v>
      </c>
    </row>
    <row r="3903">
      <c r="A3903" s="122" t="n">
        <v>17682</v>
      </c>
      <c r="B3903" s="122" t="inlineStr">
        <is>
          <t>United Kingdom</t>
        </is>
      </c>
      <c r="C3903" s="122" t="n">
        <v>11</v>
      </c>
      <c r="D3903" s="122" t="n">
        <v>6</v>
      </c>
      <c r="E3903" s="123" t="n">
        <v>2474.33</v>
      </c>
      <c r="F3903" s="124">
        <f>IF(C3903&lt;=30,5,IF(C3903&lt;=60,4,IF(C3903&lt;=120,3,IF(C3903&lt;=200,2,1))))</f>
        <v/>
      </c>
      <c r="G3903" s="124">
        <f>IF(D3903&gt;=20,5,IF(D3903&gt;=10,4,IF(D3903&gt;=5,3,IF(D3903&gt;=2,2,1))))</f>
        <v/>
      </c>
      <c r="H3903" s="124">
        <f>IF(E3903&gt;=5000,5,IF(E3903&gt;=2000,4,IF(E3903&gt;=800,3,IF(E3903&gt;=300,2,1))))</f>
        <v/>
      </c>
      <c r="I3903" s="122">
        <f>TEXT(F3903,"0")&amp;TEXT(G3903,"0")&amp;TEXT(H3903,"0")</f>
        <v/>
      </c>
      <c r="J3903" s="122">
        <f>IFERROR(XLOOKUP(I3903,'Segment Map'!A:A,'Segment Map'!B:B,"Need Attention"),"Need Attention")</f>
        <v/>
      </c>
      <c r="K3903" s="122">
        <f>IF(E3903&gt;=5000,"🏆 Platinum",IF(E3903&gt;=2000,"🥇 Gold",IF(E3903&gt;=800,"🥈 Silver","🥉 Bronze")))</f>
        <v/>
      </c>
      <c r="L3903" s="125" t="n">
        <v>40876</v>
      </c>
    </row>
    <row r="3904">
      <c r="A3904" s="126" t="n">
        <v>17684</v>
      </c>
      <c r="B3904" s="126" t="inlineStr">
        <is>
          <t>United Kingdom</t>
        </is>
      </c>
      <c r="C3904" s="126" t="n">
        <v>44</v>
      </c>
      <c r="D3904" s="126" t="n">
        <v>1</v>
      </c>
      <c r="E3904" s="127" t="n">
        <v>239.41</v>
      </c>
      <c r="F3904" s="128">
        <f>IF(C3904&lt;=30,5,IF(C3904&lt;=60,4,IF(C3904&lt;=120,3,IF(C3904&lt;=200,2,1))))</f>
        <v/>
      </c>
      <c r="G3904" s="128">
        <f>IF(D3904&gt;=20,5,IF(D3904&gt;=10,4,IF(D3904&gt;=5,3,IF(D3904&gt;=2,2,1))))</f>
        <v/>
      </c>
      <c r="H3904" s="128">
        <f>IF(E3904&gt;=5000,5,IF(E3904&gt;=2000,4,IF(E3904&gt;=800,3,IF(E3904&gt;=300,2,1))))</f>
        <v/>
      </c>
      <c r="I3904" s="126">
        <f>TEXT(F3904,"0")&amp;TEXT(G3904,"0")&amp;TEXT(H3904,"0")</f>
        <v/>
      </c>
      <c r="J3904" s="126">
        <f>IFERROR(XLOOKUP(I3904,'Segment Map'!A:A,'Segment Map'!B:B,"Need Attention"),"Need Attention")</f>
        <v/>
      </c>
      <c r="K3904" s="126">
        <f>IF(E3904&gt;=5000,"🏆 Platinum",IF(E3904&gt;=2000,"🥇 Gold",IF(E3904&gt;=800,"🥈 Silver","🥉 Bronze")))</f>
        <v/>
      </c>
      <c r="L3904" s="129" t="n">
        <v>40843</v>
      </c>
    </row>
    <row r="3905">
      <c r="A3905" s="122" t="n">
        <v>17685</v>
      </c>
      <c r="B3905" s="122" t="inlineStr">
        <is>
          <t>United Kingdom</t>
        </is>
      </c>
      <c r="C3905" s="122" t="n">
        <v>17</v>
      </c>
      <c r="D3905" s="122" t="n">
        <v>7</v>
      </c>
      <c r="E3905" s="123" t="n">
        <v>3191.53</v>
      </c>
      <c r="F3905" s="124">
        <f>IF(C3905&lt;=30,5,IF(C3905&lt;=60,4,IF(C3905&lt;=120,3,IF(C3905&lt;=200,2,1))))</f>
        <v/>
      </c>
      <c r="G3905" s="124">
        <f>IF(D3905&gt;=20,5,IF(D3905&gt;=10,4,IF(D3905&gt;=5,3,IF(D3905&gt;=2,2,1))))</f>
        <v/>
      </c>
      <c r="H3905" s="124">
        <f>IF(E3905&gt;=5000,5,IF(E3905&gt;=2000,4,IF(E3905&gt;=800,3,IF(E3905&gt;=300,2,1))))</f>
        <v/>
      </c>
      <c r="I3905" s="122">
        <f>TEXT(F3905,"0")&amp;TEXT(G3905,"0")&amp;TEXT(H3905,"0")</f>
        <v/>
      </c>
      <c r="J3905" s="122">
        <f>IFERROR(XLOOKUP(I3905,'Segment Map'!A:A,'Segment Map'!B:B,"Need Attention"),"Need Attention")</f>
        <v/>
      </c>
      <c r="K3905" s="122">
        <f>IF(E3905&gt;=5000,"🏆 Platinum",IF(E3905&gt;=2000,"🥇 Gold",IF(E3905&gt;=800,"🥈 Silver","🥉 Bronze")))</f>
        <v/>
      </c>
      <c r="L3905" s="125" t="n">
        <v>40870</v>
      </c>
    </row>
    <row r="3906">
      <c r="A3906" s="126" t="n">
        <v>17686</v>
      </c>
      <c r="B3906" s="126" t="inlineStr">
        <is>
          <t>United Kingdom</t>
        </is>
      </c>
      <c r="C3906" s="126" t="n">
        <v>8</v>
      </c>
      <c r="D3906" s="126" t="n">
        <v>7</v>
      </c>
      <c r="E3906" s="127" t="n">
        <v>5739.46</v>
      </c>
      <c r="F3906" s="128">
        <f>IF(C3906&lt;=30,5,IF(C3906&lt;=60,4,IF(C3906&lt;=120,3,IF(C3906&lt;=200,2,1))))</f>
        <v/>
      </c>
      <c r="G3906" s="128">
        <f>IF(D3906&gt;=20,5,IF(D3906&gt;=10,4,IF(D3906&gt;=5,3,IF(D3906&gt;=2,2,1))))</f>
        <v/>
      </c>
      <c r="H3906" s="128">
        <f>IF(E3906&gt;=5000,5,IF(E3906&gt;=2000,4,IF(E3906&gt;=800,3,IF(E3906&gt;=300,2,1))))</f>
        <v/>
      </c>
      <c r="I3906" s="126">
        <f>TEXT(F3906,"0")&amp;TEXT(G3906,"0")&amp;TEXT(H3906,"0")</f>
        <v/>
      </c>
      <c r="J3906" s="126">
        <f>IFERROR(XLOOKUP(I3906,'Segment Map'!A:A,'Segment Map'!B:B,"Need Attention"),"Need Attention")</f>
        <v/>
      </c>
      <c r="K3906" s="126">
        <f>IF(E3906&gt;=5000,"🏆 Platinum",IF(E3906&gt;=2000,"🥇 Gold",IF(E3906&gt;=800,"🥈 Silver","🥉 Bronze")))</f>
        <v/>
      </c>
      <c r="L3906" s="129" t="n">
        <v>40879</v>
      </c>
    </row>
    <row r="3907">
      <c r="A3907" s="122" t="n">
        <v>17690</v>
      </c>
      <c r="B3907" s="122" t="inlineStr">
        <is>
          <t>United Kingdom</t>
        </is>
      </c>
      <c r="C3907" s="122" t="n">
        <v>31</v>
      </c>
      <c r="D3907" s="122" t="n">
        <v>15</v>
      </c>
      <c r="E3907" s="123" t="n">
        <v>4757.95</v>
      </c>
      <c r="F3907" s="124">
        <f>IF(C3907&lt;=30,5,IF(C3907&lt;=60,4,IF(C3907&lt;=120,3,IF(C3907&lt;=200,2,1))))</f>
        <v/>
      </c>
      <c r="G3907" s="124">
        <f>IF(D3907&gt;=20,5,IF(D3907&gt;=10,4,IF(D3907&gt;=5,3,IF(D3907&gt;=2,2,1))))</f>
        <v/>
      </c>
      <c r="H3907" s="124">
        <f>IF(E3907&gt;=5000,5,IF(E3907&gt;=2000,4,IF(E3907&gt;=800,3,IF(E3907&gt;=300,2,1))))</f>
        <v/>
      </c>
      <c r="I3907" s="122">
        <f>TEXT(F3907,"0")&amp;TEXT(G3907,"0")&amp;TEXT(H3907,"0")</f>
        <v/>
      </c>
      <c r="J3907" s="122">
        <f>IFERROR(XLOOKUP(I3907,'Segment Map'!A:A,'Segment Map'!B:B,"Need Attention"),"Need Attention")</f>
        <v/>
      </c>
      <c r="K3907" s="122">
        <f>IF(E3907&gt;=5000,"🏆 Platinum",IF(E3907&gt;=2000,"🥇 Gold",IF(E3907&gt;=800,"🥈 Silver","🥉 Bronze")))</f>
        <v/>
      </c>
      <c r="L3907" s="125" t="n">
        <v>40856</v>
      </c>
    </row>
    <row r="3908">
      <c r="A3908" s="126" t="n">
        <v>17691</v>
      </c>
      <c r="B3908" s="126" t="inlineStr">
        <is>
          <t>United Kingdom</t>
        </is>
      </c>
      <c r="C3908" s="126" t="n">
        <v>359</v>
      </c>
      <c r="D3908" s="126" t="n">
        <v>2</v>
      </c>
      <c r="E3908" s="127" t="n">
        <v>290.4</v>
      </c>
      <c r="F3908" s="128">
        <f>IF(C3908&lt;=30,5,IF(C3908&lt;=60,4,IF(C3908&lt;=120,3,IF(C3908&lt;=200,2,1))))</f>
        <v/>
      </c>
      <c r="G3908" s="128">
        <f>IF(D3908&gt;=20,5,IF(D3908&gt;=10,4,IF(D3908&gt;=5,3,IF(D3908&gt;=2,2,1))))</f>
        <v/>
      </c>
      <c r="H3908" s="128">
        <f>IF(E3908&gt;=5000,5,IF(E3908&gt;=2000,4,IF(E3908&gt;=800,3,IF(E3908&gt;=300,2,1))))</f>
        <v/>
      </c>
      <c r="I3908" s="126">
        <f>TEXT(F3908,"0")&amp;TEXT(G3908,"0")&amp;TEXT(H3908,"0")</f>
        <v/>
      </c>
      <c r="J3908" s="126">
        <f>IFERROR(XLOOKUP(I3908,'Segment Map'!A:A,'Segment Map'!B:B,"Need Attention"),"Need Attention")</f>
        <v/>
      </c>
      <c r="K3908" s="126">
        <f>IF(E3908&gt;=5000,"🏆 Platinum",IF(E3908&gt;=2000,"🥇 Gold",IF(E3908&gt;=800,"🥈 Silver","🥉 Bronze")))</f>
        <v/>
      </c>
      <c r="L3908" s="129" t="n">
        <v>40528</v>
      </c>
    </row>
    <row r="3909">
      <c r="A3909" s="122" t="n">
        <v>17692</v>
      </c>
      <c r="B3909" s="122" t="inlineStr">
        <is>
          <t>United Kingdom</t>
        </is>
      </c>
      <c r="C3909" s="122" t="n">
        <v>128</v>
      </c>
      <c r="D3909" s="122" t="n">
        <v>4</v>
      </c>
      <c r="E3909" s="123" t="n">
        <v>740.9400000000001</v>
      </c>
      <c r="F3909" s="124">
        <f>IF(C3909&lt;=30,5,IF(C3909&lt;=60,4,IF(C3909&lt;=120,3,IF(C3909&lt;=200,2,1))))</f>
        <v/>
      </c>
      <c r="G3909" s="124">
        <f>IF(D3909&gt;=20,5,IF(D3909&gt;=10,4,IF(D3909&gt;=5,3,IF(D3909&gt;=2,2,1))))</f>
        <v/>
      </c>
      <c r="H3909" s="124">
        <f>IF(E3909&gt;=5000,5,IF(E3909&gt;=2000,4,IF(E3909&gt;=800,3,IF(E3909&gt;=300,2,1))))</f>
        <v/>
      </c>
      <c r="I3909" s="122">
        <f>TEXT(F3909,"0")&amp;TEXT(G3909,"0")&amp;TEXT(H3909,"0")</f>
        <v/>
      </c>
      <c r="J3909" s="122">
        <f>IFERROR(XLOOKUP(I3909,'Segment Map'!A:A,'Segment Map'!B:B,"Need Attention"),"Need Attention")</f>
        <v/>
      </c>
      <c r="K3909" s="122">
        <f>IF(E3909&gt;=5000,"🏆 Platinum",IF(E3909&gt;=2000,"🥇 Gold",IF(E3909&gt;=800,"🥈 Silver","🥉 Bronze")))</f>
        <v/>
      </c>
      <c r="L3909" s="125" t="n">
        <v>40759</v>
      </c>
    </row>
    <row r="3910">
      <c r="A3910" s="126" t="n">
        <v>17693</v>
      </c>
      <c r="B3910" s="126" t="inlineStr">
        <is>
          <t>United Kingdom</t>
        </is>
      </c>
      <c r="C3910" s="126" t="n">
        <v>138</v>
      </c>
      <c r="D3910" s="126" t="n">
        <v>1</v>
      </c>
      <c r="E3910" s="127" t="n">
        <v>200.47</v>
      </c>
      <c r="F3910" s="128">
        <f>IF(C3910&lt;=30,5,IF(C3910&lt;=60,4,IF(C3910&lt;=120,3,IF(C3910&lt;=200,2,1))))</f>
        <v/>
      </c>
      <c r="G3910" s="128">
        <f>IF(D3910&gt;=20,5,IF(D3910&gt;=10,4,IF(D3910&gt;=5,3,IF(D3910&gt;=2,2,1))))</f>
        <v/>
      </c>
      <c r="H3910" s="128">
        <f>IF(E3910&gt;=5000,5,IF(E3910&gt;=2000,4,IF(E3910&gt;=800,3,IF(E3910&gt;=300,2,1))))</f>
        <v/>
      </c>
      <c r="I3910" s="126">
        <f>TEXT(F3910,"0")&amp;TEXT(G3910,"0")&amp;TEXT(H3910,"0")</f>
        <v/>
      </c>
      <c r="J3910" s="126">
        <f>IFERROR(XLOOKUP(I3910,'Segment Map'!A:A,'Segment Map'!B:B,"Need Attention"),"Need Attention")</f>
        <v/>
      </c>
      <c r="K3910" s="126">
        <f>IF(E3910&gt;=5000,"🏆 Platinum",IF(E3910&gt;=2000,"🥇 Gold",IF(E3910&gt;=800,"🥈 Silver","🥉 Bronze")))</f>
        <v/>
      </c>
      <c r="L3910" s="129" t="n">
        <v>40749</v>
      </c>
    </row>
    <row r="3911">
      <c r="A3911" s="122" t="n">
        <v>17694</v>
      </c>
      <c r="B3911" s="122" t="inlineStr">
        <is>
          <t>United Kingdom</t>
        </is>
      </c>
      <c r="C3911" s="122" t="n">
        <v>142</v>
      </c>
      <c r="D3911" s="122" t="n">
        <v>1</v>
      </c>
      <c r="E3911" s="123" t="n">
        <v>283.12</v>
      </c>
      <c r="F3911" s="124">
        <f>IF(C3911&lt;=30,5,IF(C3911&lt;=60,4,IF(C3911&lt;=120,3,IF(C3911&lt;=200,2,1))))</f>
        <v/>
      </c>
      <c r="G3911" s="124">
        <f>IF(D3911&gt;=20,5,IF(D3911&gt;=10,4,IF(D3911&gt;=5,3,IF(D3911&gt;=2,2,1))))</f>
        <v/>
      </c>
      <c r="H3911" s="124">
        <f>IF(E3911&gt;=5000,5,IF(E3911&gt;=2000,4,IF(E3911&gt;=800,3,IF(E3911&gt;=300,2,1))))</f>
        <v/>
      </c>
      <c r="I3911" s="122">
        <f>TEXT(F3911,"0")&amp;TEXT(G3911,"0")&amp;TEXT(H3911,"0")</f>
        <v/>
      </c>
      <c r="J3911" s="122">
        <f>IFERROR(XLOOKUP(I3911,'Segment Map'!A:A,'Segment Map'!B:B,"Need Attention"),"Need Attention")</f>
        <v/>
      </c>
      <c r="K3911" s="122">
        <f>IF(E3911&gt;=5000,"🏆 Platinum",IF(E3911&gt;=2000,"🥇 Gold",IF(E3911&gt;=800,"🥈 Silver","🥉 Bronze")))</f>
        <v/>
      </c>
      <c r="L3911" s="125" t="n">
        <v>40745</v>
      </c>
    </row>
    <row r="3912">
      <c r="A3912" s="126" t="n">
        <v>17695</v>
      </c>
      <c r="B3912" s="126" t="inlineStr">
        <is>
          <t>United Kingdom</t>
        </is>
      </c>
      <c r="C3912" s="126" t="n">
        <v>132</v>
      </c>
      <c r="D3912" s="126" t="n">
        <v>2</v>
      </c>
      <c r="E3912" s="127" t="n">
        <v>765.34</v>
      </c>
      <c r="F3912" s="128">
        <f>IF(C3912&lt;=30,5,IF(C3912&lt;=60,4,IF(C3912&lt;=120,3,IF(C3912&lt;=200,2,1))))</f>
        <v/>
      </c>
      <c r="G3912" s="128">
        <f>IF(D3912&gt;=20,5,IF(D3912&gt;=10,4,IF(D3912&gt;=5,3,IF(D3912&gt;=2,2,1))))</f>
        <v/>
      </c>
      <c r="H3912" s="128">
        <f>IF(E3912&gt;=5000,5,IF(E3912&gt;=2000,4,IF(E3912&gt;=800,3,IF(E3912&gt;=300,2,1))))</f>
        <v/>
      </c>
      <c r="I3912" s="126">
        <f>TEXT(F3912,"0")&amp;TEXT(G3912,"0")&amp;TEXT(H3912,"0")</f>
        <v/>
      </c>
      <c r="J3912" s="126">
        <f>IFERROR(XLOOKUP(I3912,'Segment Map'!A:A,'Segment Map'!B:B,"Need Attention"),"Need Attention")</f>
        <v/>
      </c>
      <c r="K3912" s="126">
        <f>IF(E3912&gt;=5000,"🏆 Platinum",IF(E3912&gt;=2000,"🥇 Gold",IF(E3912&gt;=800,"🥈 Silver","🥉 Bronze")))</f>
        <v/>
      </c>
      <c r="L3912" s="129" t="n">
        <v>40755</v>
      </c>
    </row>
    <row r="3913">
      <c r="A3913" s="122" t="n">
        <v>17696</v>
      </c>
      <c r="B3913" s="122" t="inlineStr">
        <is>
          <t>United Kingdom</t>
        </is>
      </c>
      <c r="C3913" s="122" t="n">
        <v>39</v>
      </c>
      <c r="D3913" s="122" t="n">
        <v>8</v>
      </c>
      <c r="E3913" s="123" t="n">
        <v>2285.71</v>
      </c>
      <c r="F3913" s="124">
        <f>IF(C3913&lt;=30,5,IF(C3913&lt;=60,4,IF(C3913&lt;=120,3,IF(C3913&lt;=200,2,1))))</f>
        <v/>
      </c>
      <c r="G3913" s="124">
        <f>IF(D3913&gt;=20,5,IF(D3913&gt;=10,4,IF(D3913&gt;=5,3,IF(D3913&gt;=2,2,1))))</f>
        <v/>
      </c>
      <c r="H3913" s="124">
        <f>IF(E3913&gt;=5000,5,IF(E3913&gt;=2000,4,IF(E3913&gt;=800,3,IF(E3913&gt;=300,2,1))))</f>
        <v/>
      </c>
      <c r="I3913" s="122">
        <f>TEXT(F3913,"0")&amp;TEXT(G3913,"0")&amp;TEXT(H3913,"0")</f>
        <v/>
      </c>
      <c r="J3913" s="122">
        <f>IFERROR(XLOOKUP(I3913,'Segment Map'!A:A,'Segment Map'!B:B,"Need Attention"),"Need Attention")</f>
        <v/>
      </c>
      <c r="K3913" s="122">
        <f>IF(E3913&gt;=5000,"🏆 Platinum",IF(E3913&gt;=2000,"🥇 Gold",IF(E3913&gt;=800,"🥈 Silver","🥉 Bronze")))</f>
        <v/>
      </c>
      <c r="L3913" s="125" t="n">
        <v>40848</v>
      </c>
    </row>
    <row r="3914">
      <c r="A3914" s="126" t="n">
        <v>17697</v>
      </c>
      <c r="B3914" s="126" t="inlineStr">
        <is>
          <t>United Kingdom</t>
        </is>
      </c>
      <c r="C3914" s="126" t="n">
        <v>237</v>
      </c>
      <c r="D3914" s="126" t="n">
        <v>1</v>
      </c>
      <c r="E3914" s="127" t="n">
        <v>338.95</v>
      </c>
      <c r="F3914" s="128">
        <f>IF(C3914&lt;=30,5,IF(C3914&lt;=60,4,IF(C3914&lt;=120,3,IF(C3914&lt;=200,2,1))))</f>
        <v/>
      </c>
      <c r="G3914" s="128">
        <f>IF(D3914&gt;=20,5,IF(D3914&gt;=10,4,IF(D3914&gt;=5,3,IF(D3914&gt;=2,2,1))))</f>
        <v/>
      </c>
      <c r="H3914" s="128">
        <f>IF(E3914&gt;=5000,5,IF(E3914&gt;=2000,4,IF(E3914&gt;=800,3,IF(E3914&gt;=300,2,1))))</f>
        <v/>
      </c>
      <c r="I3914" s="126">
        <f>TEXT(F3914,"0")&amp;TEXT(G3914,"0")&amp;TEXT(H3914,"0")</f>
        <v/>
      </c>
      <c r="J3914" s="126">
        <f>IFERROR(XLOOKUP(I3914,'Segment Map'!A:A,'Segment Map'!B:B,"Need Attention"),"Need Attention")</f>
        <v/>
      </c>
      <c r="K3914" s="126">
        <f>IF(E3914&gt;=5000,"🏆 Platinum",IF(E3914&gt;=2000,"🥇 Gold",IF(E3914&gt;=800,"🥈 Silver","🥉 Bronze")))</f>
        <v/>
      </c>
      <c r="L3914" s="129" t="n">
        <v>40650</v>
      </c>
    </row>
    <row r="3915">
      <c r="A3915" s="122" t="n">
        <v>17698</v>
      </c>
      <c r="B3915" s="122" t="inlineStr">
        <is>
          <t>United Kingdom</t>
        </is>
      </c>
      <c r="C3915" s="122" t="n">
        <v>261</v>
      </c>
      <c r="D3915" s="122" t="n">
        <v>1</v>
      </c>
      <c r="E3915" s="123" t="n">
        <v>154.95</v>
      </c>
      <c r="F3915" s="124">
        <f>IF(C3915&lt;=30,5,IF(C3915&lt;=60,4,IF(C3915&lt;=120,3,IF(C3915&lt;=200,2,1))))</f>
        <v/>
      </c>
      <c r="G3915" s="124">
        <f>IF(D3915&gt;=20,5,IF(D3915&gt;=10,4,IF(D3915&gt;=5,3,IF(D3915&gt;=2,2,1))))</f>
        <v/>
      </c>
      <c r="H3915" s="124">
        <f>IF(E3915&gt;=5000,5,IF(E3915&gt;=2000,4,IF(E3915&gt;=800,3,IF(E3915&gt;=300,2,1))))</f>
        <v/>
      </c>
      <c r="I3915" s="122">
        <f>TEXT(F3915,"0")&amp;TEXT(G3915,"0")&amp;TEXT(H3915,"0")</f>
        <v/>
      </c>
      <c r="J3915" s="122">
        <f>IFERROR(XLOOKUP(I3915,'Segment Map'!A:A,'Segment Map'!B:B,"Need Attention"),"Need Attention")</f>
        <v/>
      </c>
      <c r="K3915" s="122">
        <f>IF(E3915&gt;=5000,"🏆 Platinum",IF(E3915&gt;=2000,"🥇 Gold",IF(E3915&gt;=800,"🥈 Silver","🥉 Bronze")))</f>
        <v/>
      </c>
      <c r="L3915" s="125" t="n">
        <v>40626</v>
      </c>
    </row>
    <row r="3916">
      <c r="A3916" s="126" t="n">
        <v>17700</v>
      </c>
      <c r="B3916" s="126" t="inlineStr">
        <is>
          <t>United Kingdom</t>
        </is>
      </c>
      <c r="C3916" s="126" t="n">
        <v>17</v>
      </c>
      <c r="D3916" s="126" t="n">
        <v>4</v>
      </c>
      <c r="E3916" s="127" t="n">
        <v>2534.64</v>
      </c>
      <c r="F3916" s="128">
        <f>IF(C3916&lt;=30,5,IF(C3916&lt;=60,4,IF(C3916&lt;=120,3,IF(C3916&lt;=200,2,1))))</f>
        <v/>
      </c>
      <c r="G3916" s="128">
        <f>IF(D3916&gt;=20,5,IF(D3916&gt;=10,4,IF(D3916&gt;=5,3,IF(D3916&gt;=2,2,1))))</f>
        <v/>
      </c>
      <c r="H3916" s="128">
        <f>IF(E3916&gt;=5000,5,IF(E3916&gt;=2000,4,IF(E3916&gt;=800,3,IF(E3916&gt;=300,2,1))))</f>
        <v/>
      </c>
      <c r="I3916" s="126">
        <f>TEXT(F3916,"0")&amp;TEXT(G3916,"0")&amp;TEXT(H3916,"0")</f>
        <v/>
      </c>
      <c r="J3916" s="126">
        <f>IFERROR(XLOOKUP(I3916,'Segment Map'!A:A,'Segment Map'!B:B,"Need Attention"),"Need Attention")</f>
        <v/>
      </c>
      <c r="K3916" s="126">
        <f>IF(E3916&gt;=5000,"🏆 Platinum",IF(E3916&gt;=2000,"🥇 Gold",IF(E3916&gt;=800,"🥈 Silver","🥉 Bronze")))</f>
        <v/>
      </c>
      <c r="L3916" s="129" t="n">
        <v>40870</v>
      </c>
    </row>
    <row r="3917">
      <c r="A3917" s="122" t="n">
        <v>17701</v>
      </c>
      <c r="B3917" s="122" t="inlineStr">
        <is>
          <t>United Kingdom</t>
        </is>
      </c>
      <c r="C3917" s="122" t="n">
        <v>253</v>
      </c>
      <c r="D3917" s="122" t="n">
        <v>1</v>
      </c>
      <c r="E3917" s="123" t="n">
        <v>417.95</v>
      </c>
      <c r="F3917" s="124">
        <f>IF(C3917&lt;=30,5,IF(C3917&lt;=60,4,IF(C3917&lt;=120,3,IF(C3917&lt;=200,2,1))))</f>
        <v/>
      </c>
      <c r="G3917" s="124">
        <f>IF(D3917&gt;=20,5,IF(D3917&gt;=10,4,IF(D3917&gt;=5,3,IF(D3917&gt;=2,2,1))))</f>
        <v/>
      </c>
      <c r="H3917" s="124">
        <f>IF(E3917&gt;=5000,5,IF(E3917&gt;=2000,4,IF(E3917&gt;=800,3,IF(E3917&gt;=300,2,1))))</f>
        <v/>
      </c>
      <c r="I3917" s="122">
        <f>TEXT(F3917,"0")&amp;TEXT(G3917,"0")&amp;TEXT(H3917,"0")</f>
        <v/>
      </c>
      <c r="J3917" s="122">
        <f>IFERROR(XLOOKUP(I3917,'Segment Map'!A:A,'Segment Map'!B:B,"Need Attention"),"Need Attention")</f>
        <v/>
      </c>
      <c r="K3917" s="122">
        <f>IF(E3917&gt;=5000,"🏆 Platinum",IF(E3917&gt;=2000,"🥇 Gold",IF(E3917&gt;=800,"🥈 Silver","🥉 Bronze")))</f>
        <v/>
      </c>
      <c r="L3917" s="125" t="n">
        <v>40634</v>
      </c>
    </row>
    <row r="3918">
      <c r="A3918" s="126" t="n">
        <v>17702</v>
      </c>
      <c r="B3918" s="126" t="inlineStr">
        <is>
          <t>United Kingdom</t>
        </is>
      </c>
      <c r="C3918" s="126" t="n">
        <v>31</v>
      </c>
      <c r="D3918" s="126" t="n">
        <v>4</v>
      </c>
      <c r="E3918" s="127" t="n">
        <v>1824.37</v>
      </c>
      <c r="F3918" s="128">
        <f>IF(C3918&lt;=30,5,IF(C3918&lt;=60,4,IF(C3918&lt;=120,3,IF(C3918&lt;=200,2,1))))</f>
        <v/>
      </c>
      <c r="G3918" s="128">
        <f>IF(D3918&gt;=20,5,IF(D3918&gt;=10,4,IF(D3918&gt;=5,3,IF(D3918&gt;=2,2,1))))</f>
        <v/>
      </c>
      <c r="H3918" s="128">
        <f>IF(E3918&gt;=5000,5,IF(E3918&gt;=2000,4,IF(E3918&gt;=800,3,IF(E3918&gt;=300,2,1))))</f>
        <v/>
      </c>
      <c r="I3918" s="126">
        <f>TEXT(F3918,"0")&amp;TEXT(G3918,"0")&amp;TEXT(H3918,"0")</f>
        <v/>
      </c>
      <c r="J3918" s="126">
        <f>IFERROR(XLOOKUP(I3918,'Segment Map'!A:A,'Segment Map'!B:B,"Need Attention"),"Need Attention")</f>
        <v/>
      </c>
      <c r="K3918" s="126">
        <f>IF(E3918&gt;=5000,"🏆 Platinum",IF(E3918&gt;=2000,"🥇 Gold",IF(E3918&gt;=800,"🥈 Silver","🥉 Bronze")))</f>
        <v/>
      </c>
      <c r="L3918" s="129" t="n">
        <v>40856</v>
      </c>
    </row>
    <row r="3919">
      <c r="A3919" s="122" t="n">
        <v>17703</v>
      </c>
      <c r="B3919" s="122" t="inlineStr">
        <is>
          <t>United Kingdom</t>
        </is>
      </c>
      <c r="C3919" s="122" t="n">
        <v>36</v>
      </c>
      <c r="D3919" s="122" t="n">
        <v>3</v>
      </c>
      <c r="E3919" s="123" t="n">
        <v>798.74</v>
      </c>
      <c r="F3919" s="124">
        <f>IF(C3919&lt;=30,5,IF(C3919&lt;=60,4,IF(C3919&lt;=120,3,IF(C3919&lt;=200,2,1))))</f>
        <v/>
      </c>
      <c r="G3919" s="124">
        <f>IF(D3919&gt;=20,5,IF(D3919&gt;=10,4,IF(D3919&gt;=5,3,IF(D3919&gt;=2,2,1))))</f>
        <v/>
      </c>
      <c r="H3919" s="124">
        <f>IF(E3919&gt;=5000,5,IF(E3919&gt;=2000,4,IF(E3919&gt;=800,3,IF(E3919&gt;=300,2,1))))</f>
        <v/>
      </c>
      <c r="I3919" s="122">
        <f>TEXT(F3919,"0")&amp;TEXT(G3919,"0")&amp;TEXT(H3919,"0")</f>
        <v/>
      </c>
      <c r="J3919" s="122">
        <f>IFERROR(XLOOKUP(I3919,'Segment Map'!A:A,'Segment Map'!B:B,"Need Attention"),"Need Attention")</f>
        <v/>
      </c>
      <c r="K3919" s="122">
        <f>IF(E3919&gt;=5000,"🏆 Platinum",IF(E3919&gt;=2000,"🥇 Gold",IF(E3919&gt;=800,"🥈 Silver","🥉 Bronze")))</f>
        <v/>
      </c>
      <c r="L3919" s="125" t="n">
        <v>40851</v>
      </c>
    </row>
    <row r="3920">
      <c r="A3920" s="126" t="n">
        <v>17704</v>
      </c>
      <c r="B3920" s="126" t="inlineStr">
        <is>
          <t>United Kingdom</t>
        </is>
      </c>
      <c r="C3920" s="126" t="n">
        <v>169</v>
      </c>
      <c r="D3920" s="126" t="n">
        <v>2</v>
      </c>
      <c r="E3920" s="127" t="n">
        <v>885.1900000000001</v>
      </c>
      <c r="F3920" s="128">
        <f>IF(C3920&lt;=30,5,IF(C3920&lt;=60,4,IF(C3920&lt;=120,3,IF(C3920&lt;=200,2,1))))</f>
        <v/>
      </c>
      <c r="G3920" s="128">
        <f>IF(D3920&gt;=20,5,IF(D3920&gt;=10,4,IF(D3920&gt;=5,3,IF(D3920&gt;=2,2,1))))</f>
        <v/>
      </c>
      <c r="H3920" s="128">
        <f>IF(E3920&gt;=5000,5,IF(E3920&gt;=2000,4,IF(E3920&gt;=800,3,IF(E3920&gt;=300,2,1))))</f>
        <v/>
      </c>
      <c r="I3920" s="126">
        <f>TEXT(F3920,"0")&amp;TEXT(G3920,"0")&amp;TEXT(H3920,"0")</f>
        <v/>
      </c>
      <c r="J3920" s="126">
        <f>IFERROR(XLOOKUP(I3920,'Segment Map'!A:A,'Segment Map'!B:B,"Need Attention"),"Need Attention")</f>
        <v/>
      </c>
      <c r="K3920" s="126">
        <f>IF(E3920&gt;=5000,"🏆 Platinum",IF(E3920&gt;=2000,"🥇 Gold",IF(E3920&gt;=800,"🥈 Silver","🥉 Bronze")))</f>
        <v/>
      </c>
      <c r="L3920" s="129" t="n">
        <v>40718</v>
      </c>
    </row>
    <row r="3921">
      <c r="A3921" s="122" t="n">
        <v>17705</v>
      </c>
      <c r="B3921" s="122" t="inlineStr">
        <is>
          <t>United Kingdom</t>
        </is>
      </c>
      <c r="C3921" s="122" t="n">
        <v>4</v>
      </c>
      <c r="D3921" s="122" t="n">
        <v>9</v>
      </c>
      <c r="E3921" s="123" t="n">
        <v>1823.52</v>
      </c>
      <c r="F3921" s="124">
        <f>IF(C3921&lt;=30,5,IF(C3921&lt;=60,4,IF(C3921&lt;=120,3,IF(C3921&lt;=200,2,1))))</f>
        <v/>
      </c>
      <c r="G3921" s="124">
        <f>IF(D3921&gt;=20,5,IF(D3921&gt;=10,4,IF(D3921&gt;=5,3,IF(D3921&gt;=2,2,1))))</f>
        <v/>
      </c>
      <c r="H3921" s="124">
        <f>IF(E3921&gt;=5000,5,IF(E3921&gt;=2000,4,IF(E3921&gt;=800,3,IF(E3921&gt;=300,2,1))))</f>
        <v/>
      </c>
      <c r="I3921" s="122">
        <f>TEXT(F3921,"0")&amp;TEXT(G3921,"0")&amp;TEXT(H3921,"0")</f>
        <v/>
      </c>
      <c r="J3921" s="122">
        <f>IFERROR(XLOOKUP(I3921,'Segment Map'!A:A,'Segment Map'!B:B,"Need Attention"),"Need Attention")</f>
        <v/>
      </c>
      <c r="K3921" s="122">
        <f>IF(E3921&gt;=5000,"🏆 Platinum",IF(E3921&gt;=2000,"🥇 Gold",IF(E3921&gt;=800,"🥈 Silver","🥉 Bronze")))</f>
        <v/>
      </c>
      <c r="L3921" s="125" t="n">
        <v>40883</v>
      </c>
    </row>
    <row r="3922">
      <c r="A3922" s="126" t="n">
        <v>17706</v>
      </c>
      <c r="B3922" s="126" t="inlineStr">
        <is>
          <t>United Kingdom</t>
        </is>
      </c>
      <c r="C3922" s="126" t="n">
        <v>5</v>
      </c>
      <c r="D3922" s="126" t="n">
        <v>17</v>
      </c>
      <c r="E3922" s="127" t="n">
        <v>10504.49</v>
      </c>
      <c r="F3922" s="128">
        <f>IF(C3922&lt;=30,5,IF(C3922&lt;=60,4,IF(C3922&lt;=120,3,IF(C3922&lt;=200,2,1))))</f>
        <v/>
      </c>
      <c r="G3922" s="128">
        <f>IF(D3922&gt;=20,5,IF(D3922&gt;=10,4,IF(D3922&gt;=5,3,IF(D3922&gt;=2,2,1))))</f>
        <v/>
      </c>
      <c r="H3922" s="128">
        <f>IF(E3922&gt;=5000,5,IF(E3922&gt;=2000,4,IF(E3922&gt;=800,3,IF(E3922&gt;=300,2,1))))</f>
        <v/>
      </c>
      <c r="I3922" s="126">
        <f>TEXT(F3922,"0")&amp;TEXT(G3922,"0")&amp;TEXT(H3922,"0")</f>
        <v/>
      </c>
      <c r="J3922" s="126">
        <f>IFERROR(XLOOKUP(I3922,'Segment Map'!A:A,'Segment Map'!B:B,"Need Attention"),"Need Attention")</f>
        <v/>
      </c>
      <c r="K3922" s="126">
        <f>IF(E3922&gt;=5000,"🏆 Platinum",IF(E3922&gt;=2000,"🥇 Gold",IF(E3922&gt;=800,"🥈 Silver","🥉 Bronze")))</f>
        <v/>
      </c>
      <c r="L3922" s="129" t="n">
        <v>40882</v>
      </c>
    </row>
    <row r="3923">
      <c r="A3923" s="122" t="n">
        <v>17707</v>
      </c>
      <c r="B3923" s="122" t="inlineStr">
        <is>
          <t>United Kingdom</t>
        </is>
      </c>
      <c r="C3923" s="122" t="n">
        <v>186</v>
      </c>
      <c r="D3923" s="122" t="n">
        <v>2</v>
      </c>
      <c r="E3923" s="123" t="n">
        <v>152.4</v>
      </c>
      <c r="F3923" s="124">
        <f>IF(C3923&lt;=30,5,IF(C3923&lt;=60,4,IF(C3923&lt;=120,3,IF(C3923&lt;=200,2,1))))</f>
        <v/>
      </c>
      <c r="G3923" s="124">
        <f>IF(D3923&gt;=20,5,IF(D3923&gt;=10,4,IF(D3923&gt;=5,3,IF(D3923&gt;=2,2,1))))</f>
        <v/>
      </c>
      <c r="H3923" s="124">
        <f>IF(E3923&gt;=5000,5,IF(E3923&gt;=2000,4,IF(E3923&gt;=800,3,IF(E3923&gt;=300,2,1))))</f>
        <v/>
      </c>
      <c r="I3923" s="122">
        <f>TEXT(F3923,"0")&amp;TEXT(G3923,"0")&amp;TEXT(H3923,"0")</f>
        <v/>
      </c>
      <c r="J3923" s="122">
        <f>IFERROR(XLOOKUP(I3923,'Segment Map'!A:A,'Segment Map'!B:B,"Need Attention"),"Need Attention")</f>
        <v/>
      </c>
      <c r="K3923" s="122">
        <f>IF(E3923&gt;=5000,"🏆 Platinum",IF(E3923&gt;=2000,"🥇 Gold",IF(E3923&gt;=800,"🥈 Silver","🥉 Bronze")))</f>
        <v/>
      </c>
      <c r="L3923" s="125" t="n">
        <v>40701</v>
      </c>
    </row>
    <row r="3924">
      <c r="A3924" s="126" t="n">
        <v>17708</v>
      </c>
      <c r="B3924" s="126" t="inlineStr">
        <is>
          <t>United Kingdom</t>
        </is>
      </c>
      <c r="C3924" s="126" t="n">
        <v>188</v>
      </c>
      <c r="D3924" s="126" t="n">
        <v>2</v>
      </c>
      <c r="E3924" s="127" t="n">
        <v>267.08</v>
      </c>
      <c r="F3924" s="128">
        <f>IF(C3924&lt;=30,5,IF(C3924&lt;=60,4,IF(C3924&lt;=120,3,IF(C3924&lt;=200,2,1))))</f>
        <v/>
      </c>
      <c r="G3924" s="128">
        <f>IF(D3924&gt;=20,5,IF(D3924&gt;=10,4,IF(D3924&gt;=5,3,IF(D3924&gt;=2,2,1))))</f>
        <v/>
      </c>
      <c r="H3924" s="128">
        <f>IF(E3924&gt;=5000,5,IF(E3924&gt;=2000,4,IF(E3924&gt;=800,3,IF(E3924&gt;=300,2,1))))</f>
        <v/>
      </c>
      <c r="I3924" s="126">
        <f>TEXT(F3924,"0")&amp;TEXT(G3924,"0")&amp;TEXT(H3924,"0")</f>
        <v/>
      </c>
      <c r="J3924" s="126">
        <f>IFERROR(XLOOKUP(I3924,'Segment Map'!A:A,'Segment Map'!B:B,"Need Attention"),"Need Attention")</f>
        <v/>
      </c>
      <c r="K3924" s="126">
        <f>IF(E3924&gt;=5000,"🏆 Platinum",IF(E3924&gt;=2000,"🥇 Gold",IF(E3924&gt;=800,"🥈 Silver","🥉 Bronze")))</f>
        <v/>
      </c>
      <c r="L3924" s="129" t="n">
        <v>40699</v>
      </c>
    </row>
    <row r="3925">
      <c r="A3925" s="122" t="n">
        <v>17709</v>
      </c>
      <c r="B3925" s="122" t="inlineStr">
        <is>
          <t>United Kingdom</t>
        </is>
      </c>
      <c r="C3925" s="122" t="n">
        <v>170</v>
      </c>
      <c r="D3925" s="122" t="n">
        <v>1</v>
      </c>
      <c r="E3925" s="123" t="n">
        <v>137.45</v>
      </c>
      <c r="F3925" s="124">
        <f>IF(C3925&lt;=30,5,IF(C3925&lt;=60,4,IF(C3925&lt;=120,3,IF(C3925&lt;=200,2,1))))</f>
        <v/>
      </c>
      <c r="G3925" s="124">
        <f>IF(D3925&gt;=20,5,IF(D3925&gt;=10,4,IF(D3925&gt;=5,3,IF(D3925&gt;=2,2,1))))</f>
        <v/>
      </c>
      <c r="H3925" s="124">
        <f>IF(E3925&gt;=5000,5,IF(E3925&gt;=2000,4,IF(E3925&gt;=800,3,IF(E3925&gt;=300,2,1))))</f>
        <v/>
      </c>
      <c r="I3925" s="122">
        <f>TEXT(F3925,"0")&amp;TEXT(G3925,"0")&amp;TEXT(H3925,"0")</f>
        <v/>
      </c>
      <c r="J3925" s="122">
        <f>IFERROR(XLOOKUP(I3925,'Segment Map'!A:A,'Segment Map'!B:B,"Need Attention"),"Need Attention")</f>
        <v/>
      </c>
      <c r="K3925" s="122">
        <f>IF(E3925&gt;=5000,"🏆 Platinum",IF(E3925&gt;=2000,"🥇 Gold",IF(E3925&gt;=800,"🥈 Silver","🥉 Bronze")))</f>
        <v/>
      </c>
      <c r="L3925" s="125" t="n">
        <v>40717</v>
      </c>
    </row>
    <row r="3926">
      <c r="A3926" s="126" t="n">
        <v>17711</v>
      </c>
      <c r="B3926" s="126" t="inlineStr">
        <is>
          <t>United Kingdom</t>
        </is>
      </c>
      <c r="C3926" s="126" t="n">
        <v>11</v>
      </c>
      <c r="D3926" s="126" t="n">
        <v>2</v>
      </c>
      <c r="E3926" s="127" t="n">
        <v>385.1</v>
      </c>
      <c r="F3926" s="128">
        <f>IF(C3926&lt;=30,5,IF(C3926&lt;=60,4,IF(C3926&lt;=120,3,IF(C3926&lt;=200,2,1))))</f>
        <v/>
      </c>
      <c r="G3926" s="128">
        <f>IF(D3926&gt;=20,5,IF(D3926&gt;=10,4,IF(D3926&gt;=5,3,IF(D3926&gt;=2,2,1))))</f>
        <v/>
      </c>
      <c r="H3926" s="128">
        <f>IF(E3926&gt;=5000,5,IF(E3926&gt;=2000,4,IF(E3926&gt;=800,3,IF(E3926&gt;=300,2,1))))</f>
        <v/>
      </c>
      <c r="I3926" s="126">
        <f>TEXT(F3926,"0")&amp;TEXT(G3926,"0")&amp;TEXT(H3926,"0")</f>
        <v/>
      </c>
      <c r="J3926" s="126">
        <f>IFERROR(XLOOKUP(I3926,'Segment Map'!A:A,'Segment Map'!B:B,"Need Attention"),"Need Attention")</f>
        <v/>
      </c>
      <c r="K3926" s="126">
        <f>IF(E3926&gt;=5000,"🏆 Platinum",IF(E3926&gt;=2000,"🥇 Gold",IF(E3926&gt;=800,"🥈 Silver","🥉 Bronze")))</f>
        <v/>
      </c>
      <c r="L3926" s="129" t="n">
        <v>40876</v>
      </c>
    </row>
    <row r="3927">
      <c r="A3927" s="122" t="n">
        <v>17712</v>
      </c>
      <c r="B3927" s="122" t="inlineStr">
        <is>
          <t>United Kingdom</t>
        </is>
      </c>
      <c r="C3927" s="122" t="n">
        <v>45</v>
      </c>
      <c r="D3927" s="122" t="n">
        <v>1</v>
      </c>
      <c r="E3927" s="123" t="n">
        <v>522.91</v>
      </c>
      <c r="F3927" s="124">
        <f>IF(C3927&lt;=30,5,IF(C3927&lt;=60,4,IF(C3927&lt;=120,3,IF(C3927&lt;=200,2,1))))</f>
        <v/>
      </c>
      <c r="G3927" s="124">
        <f>IF(D3927&gt;=20,5,IF(D3927&gt;=10,4,IF(D3927&gt;=5,3,IF(D3927&gt;=2,2,1))))</f>
        <v/>
      </c>
      <c r="H3927" s="124">
        <f>IF(E3927&gt;=5000,5,IF(E3927&gt;=2000,4,IF(E3927&gt;=800,3,IF(E3927&gt;=300,2,1))))</f>
        <v/>
      </c>
      <c r="I3927" s="122">
        <f>TEXT(F3927,"0")&amp;TEXT(G3927,"0")&amp;TEXT(H3927,"0")</f>
        <v/>
      </c>
      <c r="J3927" s="122">
        <f>IFERROR(XLOOKUP(I3927,'Segment Map'!A:A,'Segment Map'!B:B,"Need Attention"),"Need Attention")</f>
        <v/>
      </c>
      <c r="K3927" s="122">
        <f>IF(E3927&gt;=5000,"🏆 Platinum",IF(E3927&gt;=2000,"🥇 Gold",IF(E3927&gt;=800,"🥈 Silver","🥉 Bronze")))</f>
        <v/>
      </c>
      <c r="L3927" s="125" t="n">
        <v>40842</v>
      </c>
    </row>
    <row r="3928">
      <c r="A3928" s="126" t="n">
        <v>17714</v>
      </c>
      <c r="B3928" s="126" t="inlineStr">
        <is>
          <t>United Kingdom</t>
        </is>
      </c>
      <c r="C3928" s="126" t="n">
        <v>321</v>
      </c>
      <c r="D3928" s="126" t="n">
        <v>1</v>
      </c>
      <c r="E3928" s="127" t="n">
        <v>153</v>
      </c>
      <c r="F3928" s="128">
        <f>IF(C3928&lt;=30,5,IF(C3928&lt;=60,4,IF(C3928&lt;=120,3,IF(C3928&lt;=200,2,1))))</f>
        <v/>
      </c>
      <c r="G3928" s="128">
        <f>IF(D3928&gt;=20,5,IF(D3928&gt;=10,4,IF(D3928&gt;=5,3,IF(D3928&gt;=2,2,1))))</f>
        <v/>
      </c>
      <c r="H3928" s="128">
        <f>IF(E3928&gt;=5000,5,IF(E3928&gt;=2000,4,IF(E3928&gt;=800,3,IF(E3928&gt;=300,2,1))))</f>
        <v/>
      </c>
      <c r="I3928" s="126">
        <f>TEXT(F3928,"0")&amp;TEXT(G3928,"0")&amp;TEXT(H3928,"0")</f>
        <v/>
      </c>
      <c r="J3928" s="126">
        <f>IFERROR(XLOOKUP(I3928,'Segment Map'!A:A,'Segment Map'!B:B,"Need Attention"),"Need Attention")</f>
        <v/>
      </c>
      <c r="K3928" s="126">
        <f>IF(E3928&gt;=5000,"🏆 Platinum",IF(E3928&gt;=2000,"🥇 Gold",IF(E3928&gt;=800,"🥈 Silver","🥉 Bronze")))</f>
        <v/>
      </c>
      <c r="L3928" s="129" t="n">
        <v>40566</v>
      </c>
    </row>
    <row r="3929">
      <c r="A3929" s="122" t="n">
        <v>17715</v>
      </c>
      <c r="B3929" s="122" t="inlineStr">
        <is>
          <t>United Kingdom</t>
        </is>
      </c>
      <c r="C3929" s="122" t="n">
        <v>201</v>
      </c>
      <c r="D3929" s="122" t="n">
        <v>1</v>
      </c>
      <c r="E3929" s="123" t="n">
        <v>326.4</v>
      </c>
      <c r="F3929" s="124">
        <f>IF(C3929&lt;=30,5,IF(C3929&lt;=60,4,IF(C3929&lt;=120,3,IF(C3929&lt;=200,2,1))))</f>
        <v/>
      </c>
      <c r="G3929" s="124">
        <f>IF(D3929&gt;=20,5,IF(D3929&gt;=10,4,IF(D3929&gt;=5,3,IF(D3929&gt;=2,2,1))))</f>
        <v/>
      </c>
      <c r="H3929" s="124">
        <f>IF(E3929&gt;=5000,5,IF(E3929&gt;=2000,4,IF(E3929&gt;=800,3,IF(E3929&gt;=300,2,1))))</f>
        <v/>
      </c>
      <c r="I3929" s="122">
        <f>TEXT(F3929,"0")&amp;TEXT(G3929,"0")&amp;TEXT(H3929,"0")</f>
        <v/>
      </c>
      <c r="J3929" s="122">
        <f>IFERROR(XLOOKUP(I3929,'Segment Map'!A:A,'Segment Map'!B:B,"Need Attention"),"Need Attention")</f>
        <v/>
      </c>
      <c r="K3929" s="122">
        <f>IF(E3929&gt;=5000,"🏆 Platinum",IF(E3929&gt;=2000,"🥇 Gold",IF(E3929&gt;=800,"🥈 Silver","🥉 Bronze")))</f>
        <v/>
      </c>
      <c r="L3929" s="125" t="n">
        <v>40686</v>
      </c>
    </row>
    <row r="3930">
      <c r="A3930" s="126" t="n">
        <v>17716</v>
      </c>
      <c r="B3930" s="126" t="inlineStr">
        <is>
          <t>United Kingdom</t>
        </is>
      </c>
      <c r="C3930" s="126" t="n">
        <v>23</v>
      </c>
      <c r="D3930" s="126" t="n">
        <v>11</v>
      </c>
      <c r="E3930" s="127" t="n">
        <v>5655.99</v>
      </c>
      <c r="F3930" s="128">
        <f>IF(C3930&lt;=30,5,IF(C3930&lt;=60,4,IF(C3930&lt;=120,3,IF(C3930&lt;=200,2,1))))</f>
        <v/>
      </c>
      <c r="G3930" s="128">
        <f>IF(D3930&gt;=20,5,IF(D3930&gt;=10,4,IF(D3930&gt;=5,3,IF(D3930&gt;=2,2,1))))</f>
        <v/>
      </c>
      <c r="H3930" s="128">
        <f>IF(E3930&gt;=5000,5,IF(E3930&gt;=2000,4,IF(E3930&gt;=800,3,IF(E3930&gt;=300,2,1))))</f>
        <v/>
      </c>
      <c r="I3930" s="126">
        <f>TEXT(F3930,"0")&amp;TEXT(G3930,"0")&amp;TEXT(H3930,"0")</f>
        <v/>
      </c>
      <c r="J3930" s="126">
        <f>IFERROR(XLOOKUP(I3930,'Segment Map'!A:A,'Segment Map'!B:B,"Need Attention"),"Need Attention")</f>
        <v/>
      </c>
      <c r="K3930" s="126">
        <f>IF(E3930&gt;=5000,"🏆 Platinum",IF(E3930&gt;=2000,"🥇 Gold",IF(E3930&gt;=800,"🥈 Silver","🥉 Bronze")))</f>
        <v/>
      </c>
      <c r="L3930" s="129" t="n">
        <v>40864</v>
      </c>
    </row>
    <row r="3931">
      <c r="A3931" s="122" t="n">
        <v>17718</v>
      </c>
      <c r="B3931" s="122" t="inlineStr">
        <is>
          <t>United Kingdom</t>
        </is>
      </c>
      <c r="C3931" s="122" t="n">
        <v>233</v>
      </c>
      <c r="D3931" s="122" t="n">
        <v>1</v>
      </c>
      <c r="E3931" s="123" t="n">
        <v>139.35</v>
      </c>
      <c r="F3931" s="124">
        <f>IF(C3931&lt;=30,5,IF(C3931&lt;=60,4,IF(C3931&lt;=120,3,IF(C3931&lt;=200,2,1))))</f>
        <v/>
      </c>
      <c r="G3931" s="124">
        <f>IF(D3931&gt;=20,5,IF(D3931&gt;=10,4,IF(D3931&gt;=5,3,IF(D3931&gt;=2,2,1))))</f>
        <v/>
      </c>
      <c r="H3931" s="124">
        <f>IF(E3931&gt;=5000,5,IF(E3931&gt;=2000,4,IF(E3931&gt;=800,3,IF(E3931&gt;=300,2,1))))</f>
        <v/>
      </c>
      <c r="I3931" s="122">
        <f>TEXT(F3931,"0")&amp;TEXT(G3931,"0")&amp;TEXT(H3931,"0")</f>
        <v/>
      </c>
      <c r="J3931" s="122">
        <f>IFERROR(XLOOKUP(I3931,'Segment Map'!A:A,'Segment Map'!B:B,"Need Attention"),"Need Attention")</f>
        <v/>
      </c>
      <c r="K3931" s="122">
        <f>IF(E3931&gt;=5000,"🏆 Platinum",IF(E3931&gt;=2000,"🥇 Gold",IF(E3931&gt;=800,"🥈 Silver","🥉 Bronze")))</f>
        <v/>
      </c>
      <c r="L3931" s="125" t="n">
        <v>40654</v>
      </c>
    </row>
    <row r="3932">
      <c r="A3932" s="126" t="n">
        <v>17719</v>
      </c>
      <c r="B3932" s="126" t="inlineStr">
        <is>
          <t>United Kingdom</t>
        </is>
      </c>
      <c r="C3932" s="126" t="n">
        <v>38</v>
      </c>
      <c r="D3932" s="126" t="n">
        <v>15</v>
      </c>
      <c r="E3932" s="127" t="n">
        <v>5396.04</v>
      </c>
      <c r="F3932" s="128">
        <f>IF(C3932&lt;=30,5,IF(C3932&lt;=60,4,IF(C3932&lt;=120,3,IF(C3932&lt;=200,2,1))))</f>
        <v/>
      </c>
      <c r="G3932" s="128">
        <f>IF(D3932&gt;=20,5,IF(D3932&gt;=10,4,IF(D3932&gt;=5,3,IF(D3932&gt;=2,2,1))))</f>
        <v/>
      </c>
      <c r="H3932" s="128">
        <f>IF(E3932&gt;=5000,5,IF(E3932&gt;=2000,4,IF(E3932&gt;=800,3,IF(E3932&gt;=300,2,1))))</f>
        <v/>
      </c>
      <c r="I3932" s="126">
        <f>TEXT(F3932,"0")&amp;TEXT(G3932,"0")&amp;TEXT(H3932,"0")</f>
        <v/>
      </c>
      <c r="J3932" s="126">
        <f>IFERROR(XLOOKUP(I3932,'Segment Map'!A:A,'Segment Map'!B:B,"Need Attention"),"Need Attention")</f>
        <v/>
      </c>
      <c r="K3932" s="126">
        <f>IF(E3932&gt;=5000,"🏆 Platinum",IF(E3932&gt;=2000,"🥇 Gold",IF(E3932&gt;=800,"🥈 Silver","🥉 Bronze")))</f>
        <v/>
      </c>
      <c r="L3932" s="129" t="n">
        <v>40849</v>
      </c>
    </row>
    <row r="3933">
      <c r="A3933" s="122" t="n">
        <v>17720</v>
      </c>
      <c r="B3933" s="122" t="inlineStr">
        <is>
          <t>United Kingdom</t>
        </is>
      </c>
      <c r="C3933" s="122" t="n">
        <v>27</v>
      </c>
      <c r="D3933" s="122" t="n">
        <v>4</v>
      </c>
      <c r="E3933" s="123" t="n">
        <v>1195.94</v>
      </c>
      <c r="F3933" s="124">
        <f>IF(C3933&lt;=30,5,IF(C3933&lt;=60,4,IF(C3933&lt;=120,3,IF(C3933&lt;=200,2,1))))</f>
        <v/>
      </c>
      <c r="G3933" s="124">
        <f>IF(D3933&gt;=20,5,IF(D3933&gt;=10,4,IF(D3933&gt;=5,3,IF(D3933&gt;=2,2,1))))</f>
        <v/>
      </c>
      <c r="H3933" s="124">
        <f>IF(E3933&gt;=5000,5,IF(E3933&gt;=2000,4,IF(E3933&gt;=800,3,IF(E3933&gt;=300,2,1))))</f>
        <v/>
      </c>
      <c r="I3933" s="122">
        <f>TEXT(F3933,"0")&amp;TEXT(G3933,"0")&amp;TEXT(H3933,"0")</f>
        <v/>
      </c>
      <c r="J3933" s="122">
        <f>IFERROR(XLOOKUP(I3933,'Segment Map'!A:A,'Segment Map'!B:B,"Need Attention"),"Need Attention")</f>
        <v/>
      </c>
      <c r="K3933" s="122">
        <f>IF(E3933&gt;=5000,"🏆 Platinum",IF(E3933&gt;=2000,"🥇 Gold",IF(E3933&gt;=800,"🥈 Silver","🥉 Bronze")))</f>
        <v/>
      </c>
      <c r="L3933" s="125" t="n">
        <v>40860</v>
      </c>
    </row>
    <row r="3934">
      <c r="A3934" s="126" t="n">
        <v>17722</v>
      </c>
      <c r="B3934" s="126" t="inlineStr">
        <is>
          <t>United Kingdom</t>
        </is>
      </c>
      <c r="C3934" s="126" t="n">
        <v>97</v>
      </c>
      <c r="D3934" s="126" t="n">
        <v>4</v>
      </c>
      <c r="E3934" s="127" t="n">
        <v>2424.04</v>
      </c>
      <c r="F3934" s="128">
        <f>IF(C3934&lt;=30,5,IF(C3934&lt;=60,4,IF(C3934&lt;=120,3,IF(C3934&lt;=200,2,1))))</f>
        <v/>
      </c>
      <c r="G3934" s="128">
        <f>IF(D3934&gt;=20,5,IF(D3934&gt;=10,4,IF(D3934&gt;=5,3,IF(D3934&gt;=2,2,1))))</f>
        <v/>
      </c>
      <c r="H3934" s="128">
        <f>IF(E3934&gt;=5000,5,IF(E3934&gt;=2000,4,IF(E3934&gt;=800,3,IF(E3934&gt;=300,2,1))))</f>
        <v/>
      </c>
      <c r="I3934" s="126">
        <f>TEXT(F3934,"0")&amp;TEXT(G3934,"0")&amp;TEXT(H3934,"0")</f>
        <v/>
      </c>
      <c r="J3934" s="126">
        <f>IFERROR(XLOOKUP(I3934,'Segment Map'!A:A,'Segment Map'!B:B,"Need Attention"),"Need Attention")</f>
        <v/>
      </c>
      <c r="K3934" s="126">
        <f>IF(E3934&gt;=5000,"🏆 Platinum",IF(E3934&gt;=2000,"🥇 Gold",IF(E3934&gt;=800,"🥈 Silver","🥉 Bronze")))</f>
        <v/>
      </c>
      <c r="L3934" s="129" t="n">
        <v>40790</v>
      </c>
    </row>
    <row r="3935">
      <c r="A3935" s="122" t="n">
        <v>17723</v>
      </c>
      <c r="B3935" s="122" t="inlineStr">
        <is>
          <t>United Kingdom</t>
        </is>
      </c>
      <c r="C3935" s="122" t="n">
        <v>128</v>
      </c>
      <c r="D3935" s="122" t="n">
        <v>6</v>
      </c>
      <c r="E3935" s="123" t="n">
        <v>3276.4</v>
      </c>
      <c r="F3935" s="124">
        <f>IF(C3935&lt;=30,5,IF(C3935&lt;=60,4,IF(C3935&lt;=120,3,IF(C3935&lt;=200,2,1))))</f>
        <v/>
      </c>
      <c r="G3935" s="124">
        <f>IF(D3935&gt;=20,5,IF(D3935&gt;=10,4,IF(D3935&gt;=5,3,IF(D3935&gt;=2,2,1))))</f>
        <v/>
      </c>
      <c r="H3935" s="124">
        <f>IF(E3935&gt;=5000,5,IF(E3935&gt;=2000,4,IF(E3935&gt;=800,3,IF(E3935&gt;=300,2,1))))</f>
        <v/>
      </c>
      <c r="I3935" s="122">
        <f>TEXT(F3935,"0")&amp;TEXT(G3935,"0")&amp;TEXT(H3935,"0")</f>
        <v/>
      </c>
      <c r="J3935" s="122">
        <f>IFERROR(XLOOKUP(I3935,'Segment Map'!A:A,'Segment Map'!B:B,"Need Attention"),"Need Attention")</f>
        <v/>
      </c>
      <c r="K3935" s="122">
        <f>IF(E3935&gt;=5000,"🏆 Platinum",IF(E3935&gt;=2000,"🥇 Gold",IF(E3935&gt;=800,"🥈 Silver","🥉 Bronze")))</f>
        <v/>
      </c>
      <c r="L3935" s="125" t="n">
        <v>40759</v>
      </c>
    </row>
    <row r="3936">
      <c r="A3936" s="126" t="n">
        <v>17724</v>
      </c>
      <c r="B3936" s="126" t="inlineStr">
        <is>
          <t>United Kingdom</t>
        </is>
      </c>
      <c r="C3936" s="126" t="n">
        <v>72</v>
      </c>
      <c r="D3936" s="126" t="n">
        <v>3</v>
      </c>
      <c r="E3936" s="127" t="n">
        <v>1033</v>
      </c>
      <c r="F3936" s="128">
        <f>IF(C3936&lt;=30,5,IF(C3936&lt;=60,4,IF(C3936&lt;=120,3,IF(C3936&lt;=200,2,1))))</f>
        <v/>
      </c>
      <c r="G3936" s="128">
        <f>IF(D3936&gt;=20,5,IF(D3936&gt;=10,4,IF(D3936&gt;=5,3,IF(D3936&gt;=2,2,1))))</f>
        <v/>
      </c>
      <c r="H3936" s="128">
        <f>IF(E3936&gt;=5000,5,IF(E3936&gt;=2000,4,IF(E3936&gt;=800,3,IF(E3936&gt;=300,2,1))))</f>
        <v/>
      </c>
      <c r="I3936" s="126">
        <f>TEXT(F3936,"0")&amp;TEXT(G3936,"0")&amp;TEXT(H3936,"0")</f>
        <v/>
      </c>
      <c r="J3936" s="126">
        <f>IFERROR(XLOOKUP(I3936,'Segment Map'!A:A,'Segment Map'!B:B,"Need Attention"),"Need Attention")</f>
        <v/>
      </c>
      <c r="K3936" s="126">
        <f>IF(E3936&gt;=5000,"🏆 Platinum",IF(E3936&gt;=2000,"🥇 Gold",IF(E3936&gt;=800,"🥈 Silver","🥉 Bronze")))</f>
        <v/>
      </c>
      <c r="L3936" s="129" t="n">
        <v>40815</v>
      </c>
    </row>
    <row r="3937">
      <c r="A3937" s="122" t="n">
        <v>17725</v>
      </c>
      <c r="B3937" s="122" t="inlineStr">
        <is>
          <t>United Kingdom</t>
        </is>
      </c>
      <c r="C3937" s="122" t="n">
        <v>17</v>
      </c>
      <c r="D3937" s="122" t="n">
        <v>11</v>
      </c>
      <c r="E3937" s="123" t="n">
        <v>3439.08</v>
      </c>
      <c r="F3937" s="124">
        <f>IF(C3937&lt;=30,5,IF(C3937&lt;=60,4,IF(C3937&lt;=120,3,IF(C3937&lt;=200,2,1))))</f>
        <v/>
      </c>
      <c r="G3937" s="124">
        <f>IF(D3937&gt;=20,5,IF(D3937&gt;=10,4,IF(D3937&gt;=5,3,IF(D3937&gt;=2,2,1))))</f>
        <v/>
      </c>
      <c r="H3937" s="124">
        <f>IF(E3937&gt;=5000,5,IF(E3937&gt;=2000,4,IF(E3937&gt;=800,3,IF(E3937&gt;=300,2,1))))</f>
        <v/>
      </c>
      <c r="I3937" s="122">
        <f>TEXT(F3937,"0")&amp;TEXT(G3937,"0")&amp;TEXT(H3937,"0")</f>
        <v/>
      </c>
      <c r="J3937" s="122">
        <f>IFERROR(XLOOKUP(I3937,'Segment Map'!A:A,'Segment Map'!B:B,"Need Attention"),"Need Attention")</f>
        <v/>
      </c>
      <c r="K3937" s="122">
        <f>IF(E3937&gt;=5000,"🏆 Platinum",IF(E3937&gt;=2000,"🥇 Gold",IF(E3937&gt;=800,"🥈 Silver","🥉 Bronze")))</f>
        <v/>
      </c>
      <c r="L3937" s="125" t="n">
        <v>40870</v>
      </c>
    </row>
    <row r="3938">
      <c r="A3938" s="126" t="n">
        <v>17727</v>
      </c>
      <c r="B3938" s="126" t="inlineStr">
        <is>
          <t>United Kingdom</t>
        </is>
      </c>
      <c r="C3938" s="126" t="n">
        <v>16</v>
      </c>
      <c r="D3938" s="126" t="n">
        <v>1</v>
      </c>
      <c r="E3938" s="127" t="n">
        <v>1060.25</v>
      </c>
      <c r="F3938" s="128">
        <f>IF(C3938&lt;=30,5,IF(C3938&lt;=60,4,IF(C3938&lt;=120,3,IF(C3938&lt;=200,2,1))))</f>
        <v/>
      </c>
      <c r="G3938" s="128">
        <f>IF(D3938&gt;=20,5,IF(D3938&gt;=10,4,IF(D3938&gt;=5,3,IF(D3938&gt;=2,2,1))))</f>
        <v/>
      </c>
      <c r="H3938" s="128">
        <f>IF(E3938&gt;=5000,5,IF(E3938&gt;=2000,4,IF(E3938&gt;=800,3,IF(E3938&gt;=300,2,1))))</f>
        <v/>
      </c>
      <c r="I3938" s="126">
        <f>TEXT(F3938,"0")&amp;TEXT(G3938,"0")&amp;TEXT(H3938,"0")</f>
        <v/>
      </c>
      <c r="J3938" s="126">
        <f>IFERROR(XLOOKUP(I3938,'Segment Map'!A:A,'Segment Map'!B:B,"Need Attention"),"Need Attention")</f>
        <v/>
      </c>
      <c r="K3938" s="126">
        <f>IF(E3938&gt;=5000,"🏆 Platinum",IF(E3938&gt;=2000,"🥇 Gold",IF(E3938&gt;=800,"🥈 Silver","🥉 Bronze")))</f>
        <v/>
      </c>
      <c r="L3938" s="129" t="n">
        <v>40871</v>
      </c>
    </row>
    <row r="3939">
      <c r="A3939" s="122" t="n">
        <v>17728</v>
      </c>
      <c r="B3939" s="122" t="inlineStr">
        <is>
          <t>United Kingdom</t>
        </is>
      </c>
      <c r="C3939" s="122" t="n">
        <v>4</v>
      </c>
      <c r="D3939" s="122" t="n">
        <v>3</v>
      </c>
      <c r="E3939" s="123" t="n">
        <v>2876.01</v>
      </c>
      <c r="F3939" s="124">
        <f>IF(C3939&lt;=30,5,IF(C3939&lt;=60,4,IF(C3939&lt;=120,3,IF(C3939&lt;=200,2,1))))</f>
        <v/>
      </c>
      <c r="G3939" s="124">
        <f>IF(D3939&gt;=20,5,IF(D3939&gt;=10,4,IF(D3939&gt;=5,3,IF(D3939&gt;=2,2,1))))</f>
        <v/>
      </c>
      <c r="H3939" s="124">
        <f>IF(E3939&gt;=5000,5,IF(E3939&gt;=2000,4,IF(E3939&gt;=800,3,IF(E3939&gt;=300,2,1))))</f>
        <v/>
      </c>
      <c r="I3939" s="122">
        <f>TEXT(F3939,"0")&amp;TEXT(G3939,"0")&amp;TEXT(H3939,"0")</f>
        <v/>
      </c>
      <c r="J3939" s="122">
        <f>IFERROR(XLOOKUP(I3939,'Segment Map'!A:A,'Segment Map'!B:B,"Need Attention"),"Need Attention")</f>
        <v/>
      </c>
      <c r="K3939" s="122">
        <f>IF(E3939&gt;=5000,"🏆 Platinum",IF(E3939&gt;=2000,"🥇 Gold",IF(E3939&gt;=800,"🥈 Silver","🥉 Bronze")))</f>
        <v/>
      </c>
      <c r="L3939" s="125" t="n">
        <v>40883</v>
      </c>
    </row>
    <row r="3940">
      <c r="A3940" s="126" t="n">
        <v>17730</v>
      </c>
      <c r="B3940" s="126" t="inlineStr">
        <is>
          <t>United Kingdom</t>
        </is>
      </c>
      <c r="C3940" s="126" t="n">
        <v>4</v>
      </c>
      <c r="D3940" s="126" t="n">
        <v>13</v>
      </c>
      <c r="E3940" s="127" t="n">
        <v>5298.48</v>
      </c>
      <c r="F3940" s="128">
        <f>IF(C3940&lt;=30,5,IF(C3940&lt;=60,4,IF(C3940&lt;=120,3,IF(C3940&lt;=200,2,1))))</f>
        <v/>
      </c>
      <c r="G3940" s="128">
        <f>IF(D3940&gt;=20,5,IF(D3940&gt;=10,4,IF(D3940&gt;=5,3,IF(D3940&gt;=2,2,1))))</f>
        <v/>
      </c>
      <c r="H3940" s="128">
        <f>IF(E3940&gt;=5000,5,IF(E3940&gt;=2000,4,IF(E3940&gt;=800,3,IF(E3940&gt;=300,2,1))))</f>
        <v/>
      </c>
      <c r="I3940" s="126">
        <f>TEXT(F3940,"0")&amp;TEXT(G3940,"0")&amp;TEXT(H3940,"0")</f>
        <v/>
      </c>
      <c r="J3940" s="126">
        <f>IFERROR(XLOOKUP(I3940,'Segment Map'!A:A,'Segment Map'!B:B,"Need Attention"),"Need Attention")</f>
        <v/>
      </c>
      <c r="K3940" s="126">
        <f>IF(E3940&gt;=5000,"🏆 Platinum",IF(E3940&gt;=2000,"🥇 Gold",IF(E3940&gt;=800,"🥈 Silver","🥉 Bronze")))</f>
        <v/>
      </c>
      <c r="L3940" s="129" t="n">
        <v>40883</v>
      </c>
    </row>
    <row r="3941">
      <c r="A3941" s="122" t="n">
        <v>17731</v>
      </c>
      <c r="B3941" s="122" t="inlineStr">
        <is>
          <t>United Kingdom</t>
        </is>
      </c>
      <c r="C3941" s="122" t="n">
        <v>80</v>
      </c>
      <c r="D3941" s="122" t="n">
        <v>4</v>
      </c>
      <c r="E3941" s="123" t="n">
        <v>1240.11</v>
      </c>
      <c r="F3941" s="124">
        <f>IF(C3941&lt;=30,5,IF(C3941&lt;=60,4,IF(C3941&lt;=120,3,IF(C3941&lt;=200,2,1))))</f>
        <v/>
      </c>
      <c r="G3941" s="124">
        <f>IF(D3941&gt;=20,5,IF(D3941&gt;=10,4,IF(D3941&gt;=5,3,IF(D3941&gt;=2,2,1))))</f>
        <v/>
      </c>
      <c r="H3941" s="124">
        <f>IF(E3941&gt;=5000,5,IF(E3941&gt;=2000,4,IF(E3941&gt;=800,3,IF(E3941&gt;=300,2,1))))</f>
        <v/>
      </c>
      <c r="I3941" s="122">
        <f>TEXT(F3941,"0")&amp;TEXT(G3941,"0")&amp;TEXT(H3941,"0")</f>
        <v/>
      </c>
      <c r="J3941" s="122">
        <f>IFERROR(XLOOKUP(I3941,'Segment Map'!A:A,'Segment Map'!B:B,"Need Attention"),"Need Attention")</f>
        <v/>
      </c>
      <c r="K3941" s="122">
        <f>IF(E3941&gt;=5000,"🏆 Platinum",IF(E3941&gt;=2000,"🥇 Gold",IF(E3941&gt;=800,"🥈 Silver","🥉 Bronze")))</f>
        <v/>
      </c>
      <c r="L3941" s="125" t="n">
        <v>40807</v>
      </c>
    </row>
    <row r="3942">
      <c r="A3942" s="126" t="n">
        <v>17732</v>
      </c>
      <c r="B3942" s="126" t="inlineStr">
        <is>
          <t>United Kingdom</t>
        </is>
      </c>
      <c r="C3942" s="126" t="n">
        <v>373</v>
      </c>
      <c r="D3942" s="126" t="n">
        <v>1</v>
      </c>
      <c r="E3942" s="127" t="n">
        <v>303.97</v>
      </c>
      <c r="F3942" s="128">
        <f>IF(C3942&lt;=30,5,IF(C3942&lt;=60,4,IF(C3942&lt;=120,3,IF(C3942&lt;=200,2,1))))</f>
        <v/>
      </c>
      <c r="G3942" s="128">
        <f>IF(D3942&gt;=20,5,IF(D3942&gt;=10,4,IF(D3942&gt;=5,3,IF(D3942&gt;=2,2,1))))</f>
        <v/>
      </c>
      <c r="H3942" s="128">
        <f>IF(E3942&gt;=5000,5,IF(E3942&gt;=2000,4,IF(E3942&gt;=800,3,IF(E3942&gt;=300,2,1))))</f>
        <v/>
      </c>
      <c r="I3942" s="126">
        <f>TEXT(F3942,"0")&amp;TEXT(G3942,"0")&amp;TEXT(H3942,"0")</f>
        <v/>
      </c>
      <c r="J3942" s="126">
        <f>IFERROR(XLOOKUP(I3942,'Segment Map'!A:A,'Segment Map'!B:B,"Need Attention"),"Need Attention")</f>
        <v/>
      </c>
      <c r="K3942" s="126">
        <f>IF(E3942&gt;=5000,"🏆 Platinum",IF(E3942&gt;=2000,"🥇 Gold",IF(E3942&gt;=800,"🥈 Silver","🥉 Bronze")))</f>
        <v/>
      </c>
      <c r="L3942" s="129" t="n">
        <v>40514</v>
      </c>
    </row>
    <row r="3943">
      <c r="A3943" s="122" t="n">
        <v>17733</v>
      </c>
      <c r="B3943" s="122" t="inlineStr">
        <is>
          <t>United Kingdom</t>
        </is>
      </c>
      <c r="C3943" s="122" t="n">
        <v>39</v>
      </c>
      <c r="D3943" s="122" t="n">
        <v>2</v>
      </c>
      <c r="E3943" s="123" t="n">
        <v>692.1900000000001</v>
      </c>
      <c r="F3943" s="124">
        <f>IF(C3943&lt;=30,5,IF(C3943&lt;=60,4,IF(C3943&lt;=120,3,IF(C3943&lt;=200,2,1))))</f>
        <v/>
      </c>
      <c r="G3943" s="124">
        <f>IF(D3943&gt;=20,5,IF(D3943&gt;=10,4,IF(D3943&gt;=5,3,IF(D3943&gt;=2,2,1))))</f>
        <v/>
      </c>
      <c r="H3943" s="124">
        <f>IF(E3943&gt;=5000,5,IF(E3943&gt;=2000,4,IF(E3943&gt;=800,3,IF(E3943&gt;=300,2,1))))</f>
        <v/>
      </c>
      <c r="I3943" s="122">
        <f>TEXT(F3943,"0")&amp;TEXT(G3943,"0")&amp;TEXT(H3943,"0")</f>
        <v/>
      </c>
      <c r="J3943" s="122">
        <f>IFERROR(XLOOKUP(I3943,'Segment Map'!A:A,'Segment Map'!B:B,"Need Attention"),"Need Attention")</f>
        <v/>
      </c>
      <c r="K3943" s="122">
        <f>IF(E3943&gt;=5000,"🏆 Platinum",IF(E3943&gt;=2000,"🥇 Gold",IF(E3943&gt;=800,"🥈 Silver","🥉 Bronze")))</f>
        <v/>
      </c>
      <c r="L3943" s="125" t="n">
        <v>40848</v>
      </c>
    </row>
    <row r="3944">
      <c r="A3944" s="126" t="n">
        <v>17734</v>
      </c>
      <c r="B3944" s="126" t="inlineStr">
        <is>
          <t>United Kingdom</t>
        </is>
      </c>
      <c r="C3944" s="126" t="n">
        <v>54</v>
      </c>
      <c r="D3944" s="126" t="n">
        <v>3</v>
      </c>
      <c r="E3944" s="127" t="n">
        <v>700.63</v>
      </c>
      <c r="F3944" s="128">
        <f>IF(C3944&lt;=30,5,IF(C3944&lt;=60,4,IF(C3944&lt;=120,3,IF(C3944&lt;=200,2,1))))</f>
        <v/>
      </c>
      <c r="G3944" s="128">
        <f>IF(D3944&gt;=20,5,IF(D3944&gt;=10,4,IF(D3944&gt;=5,3,IF(D3944&gt;=2,2,1))))</f>
        <v/>
      </c>
      <c r="H3944" s="128">
        <f>IF(E3944&gt;=5000,5,IF(E3944&gt;=2000,4,IF(E3944&gt;=800,3,IF(E3944&gt;=300,2,1))))</f>
        <v/>
      </c>
      <c r="I3944" s="126">
        <f>TEXT(F3944,"0")&amp;TEXT(G3944,"0")&amp;TEXT(H3944,"0")</f>
        <v/>
      </c>
      <c r="J3944" s="126">
        <f>IFERROR(XLOOKUP(I3944,'Segment Map'!A:A,'Segment Map'!B:B,"Need Attention"),"Need Attention")</f>
        <v/>
      </c>
      <c r="K3944" s="126">
        <f>IF(E3944&gt;=5000,"🏆 Platinum",IF(E3944&gt;=2000,"🥇 Gold",IF(E3944&gt;=800,"🥈 Silver","🥉 Bronze")))</f>
        <v/>
      </c>
      <c r="L3944" s="129" t="n">
        <v>40833</v>
      </c>
    </row>
    <row r="3945">
      <c r="A3945" s="122" t="n">
        <v>17735</v>
      </c>
      <c r="B3945" s="122" t="inlineStr">
        <is>
          <t>United Kingdom</t>
        </is>
      </c>
      <c r="C3945" s="122" t="n">
        <v>3</v>
      </c>
      <c r="D3945" s="122" t="n">
        <v>19</v>
      </c>
      <c r="E3945" s="123" t="n">
        <v>13110.02</v>
      </c>
      <c r="F3945" s="124">
        <f>IF(C3945&lt;=30,5,IF(C3945&lt;=60,4,IF(C3945&lt;=120,3,IF(C3945&lt;=200,2,1))))</f>
        <v/>
      </c>
      <c r="G3945" s="124">
        <f>IF(D3945&gt;=20,5,IF(D3945&gt;=10,4,IF(D3945&gt;=5,3,IF(D3945&gt;=2,2,1))))</f>
        <v/>
      </c>
      <c r="H3945" s="124">
        <f>IF(E3945&gt;=5000,5,IF(E3945&gt;=2000,4,IF(E3945&gt;=800,3,IF(E3945&gt;=300,2,1))))</f>
        <v/>
      </c>
      <c r="I3945" s="122">
        <f>TEXT(F3945,"0")&amp;TEXT(G3945,"0")&amp;TEXT(H3945,"0")</f>
        <v/>
      </c>
      <c r="J3945" s="122">
        <f>IFERROR(XLOOKUP(I3945,'Segment Map'!A:A,'Segment Map'!B:B,"Need Attention"),"Need Attention")</f>
        <v/>
      </c>
      <c r="K3945" s="122">
        <f>IF(E3945&gt;=5000,"🏆 Platinum",IF(E3945&gt;=2000,"🥇 Gold",IF(E3945&gt;=800,"🥈 Silver","🥉 Bronze")))</f>
        <v/>
      </c>
      <c r="L3945" s="125" t="n">
        <v>40884</v>
      </c>
    </row>
    <row r="3946">
      <c r="A3946" s="126" t="n">
        <v>17736</v>
      </c>
      <c r="B3946" s="126" t="inlineStr">
        <is>
          <t>United Kingdom</t>
        </is>
      </c>
      <c r="C3946" s="126" t="n">
        <v>10</v>
      </c>
      <c r="D3946" s="126" t="n">
        <v>3</v>
      </c>
      <c r="E3946" s="127" t="n">
        <v>377.44</v>
      </c>
      <c r="F3946" s="128">
        <f>IF(C3946&lt;=30,5,IF(C3946&lt;=60,4,IF(C3946&lt;=120,3,IF(C3946&lt;=200,2,1))))</f>
        <v/>
      </c>
      <c r="G3946" s="128">
        <f>IF(D3946&gt;=20,5,IF(D3946&gt;=10,4,IF(D3946&gt;=5,3,IF(D3946&gt;=2,2,1))))</f>
        <v/>
      </c>
      <c r="H3946" s="128">
        <f>IF(E3946&gt;=5000,5,IF(E3946&gt;=2000,4,IF(E3946&gt;=800,3,IF(E3946&gt;=300,2,1))))</f>
        <v/>
      </c>
      <c r="I3946" s="126">
        <f>TEXT(F3946,"0")&amp;TEXT(G3946,"0")&amp;TEXT(H3946,"0")</f>
        <v/>
      </c>
      <c r="J3946" s="126">
        <f>IFERROR(XLOOKUP(I3946,'Segment Map'!A:A,'Segment Map'!B:B,"Need Attention"),"Need Attention")</f>
        <v/>
      </c>
      <c r="K3946" s="126">
        <f>IF(E3946&gt;=5000,"🏆 Platinum",IF(E3946&gt;=2000,"🥇 Gold",IF(E3946&gt;=800,"🥈 Silver","🥉 Bronze")))</f>
        <v/>
      </c>
      <c r="L3946" s="129" t="n">
        <v>40877</v>
      </c>
    </row>
    <row r="3947">
      <c r="A3947" s="122" t="n">
        <v>17737</v>
      </c>
      <c r="B3947" s="122" t="inlineStr">
        <is>
          <t>United Kingdom</t>
        </is>
      </c>
      <c r="C3947" s="122" t="n">
        <v>10</v>
      </c>
      <c r="D3947" s="122" t="n">
        <v>2</v>
      </c>
      <c r="E3947" s="123" t="n">
        <v>168.24</v>
      </c>
      <c r="F3947" s="124">
        <f>IF(C3947&lt;=30,5,IF(C3947&lt;=60,4,IF(C3947&lt;=120,3,IF(C3947&lt;=200,2,1))))</f>
        <v/>
      </c>
      <c r="G3947" s="124">
        <f>IF(D3947&gt;=20,5,IF(D3947&gt;=10,4,IF(D3947&gt;=5,3,IF(D3947&gt;=2,2,1))))</f>
        <v/>
      </c>
      <c r="H3947" s="124">
        <f>IF(E3947&gt;=5000,5,IF(E3947&gt;=2000,4,IF(E3947&gt;=800,3,IF(E3947&gt;=300,2,1))))</f>
        <v/>
      </c>
      <c r="I3947" s="122">
        <f>TEXT(F3947,"0")&amp;TEXT(G3947,"0")&amp;TEXT(H3947,"0")</f>
        <v/>
      </c>
      <c r="J3947" s="122">
        <f>IFERROR(XLOOKUP(I3947,'Segment Map'!A:A,'Segment Map'!B:B,"Need Attention"),"Need Attention")</f>
        <v/>
      </c>
      <c r="K3947" s="122">
        <f>IF(E3947&gt;=5000,"🏆 Platinum",IF(E3947&gt;=2000,"🥇 Gold",IF(E3947&gt;=800,"🥈 Silver","🥉 Bronze")))</f>
        <v/>
      </c>
      <c r="L3947" s="125" t="n">
        <v>40877</v>
      </c>
    </row>
    <row r="3948">
      <c r="A3948" s="126" t="n">
        <v>17738</v>
      </c>
      <c r="B3948" s="126" t="inlineStr">
        <is>
          <t>United Kingdom</t>
        </is>
      </c>
      <c r="C3948" s="126" t="n">
        <v>20</v>
      </c>
      <c r="D3948" s="126" t="n">
        <v>4</v>
      </c>
      <c r="E3948" s="127" t="n">
        <v>1879.05</v>
      </c>
      <c r="F3948" s="128">
        <f>IF(C3948&lt;=30,5,IF(C3948&lt;=60,4,IF(C3948&lt;=120,3,IF(C3948&lt;=200,2,1))))</f>
        <v/>
      </c>
      <c r="G3948" s="128">
        <f>IF(D3948&gt;=20,5,IF(D3948&gt;=10,4,IF(D3948&gt;=5,3,IF(D3948&gt;=2,2,1))))</f>
        <v/>
      </c>
      <c r="H3948" s="128">
        <f>IF(E3948&gt;=5000,5,IF(E3948&gt;=2000,4,IF(E3948&gt;=800,3,IF(E3948&gt;=300,2,1))))</f>
        <v/>
      </c>
      <c r="I3948" s="126">
        <f>TEXT(F3948,"0")&amp;TEXT(G3948,"0")&amp;TEXT(H3948,"0")</f>
        <v/>
      </c>
      <c r="J3948" s="126">
        <f>IFERROR(XLOOKUP(I3948,'Segment Map'!A:A,'Segment Map'!B:B,"Need Attention"),"Need Attention")</f>
        <v/>
      </c>
      <c r="K3948" s="126">
        <f>IF(E3948&gt;=5000,"🏆 Platinum",IF(E3948&gt;=2000,"🥇 Gold",IF(E3948&gt;=800,"🥈 Silver","🥉 Bronze")))</f>
        <v/>
      </c>
      <c r="L3948" s="129" t="n">
        <v>40867</v>
      </c>
    </row>
    <row r="3949">
      <c r="A3949" s="122" t="n">
        <v>17739</v>
      </c>
      <c r="B3949" s="122" t="inlineStr">
        <is>
          <t>United Kingdom</t>
        </is>
      </c>
      <c r="C3949" s="122" t="n">
        <v>12</v>
      </c>
      <c r="D3949" s="122" t="n">
        <v>7</v>
      </c>
      <c r="E3949" s="123" t="n">
        <v>2791.35</v>
      </c>
      <c r="F3949" s="124">
        <f>IF(C3949&lt;=30,5,IF(C3949&lt;=60,4,IF(C3949&lt;=120,3,IF(C3949&lt;=200,2,1))))</f>
        <v/>
      </c>
      <c r="G3949" s="124">
        <f>IF(D3949&gt;=20,5,IF(D3949&gt;=10,4,IF(D3949&gt;=5,3,IF(D3949&gt;=2,2,1))))</f>
        <v/>
      </c>
      <c r="H3949" s="124">
        <f>IF(E3949&gt;=5000,5,IF(E3949&gt;=2000,4,IF(E3949&gt;=800,3,IF(E3949&gt;=300,2,1))))</f>
        <v/>
      </c>
      <c r="I3949" s="122">
        <f>TEXT(F3949,"0")&amp;TEXT(G3949,"0")&amp;TEXT(H3949,"0")</f>
        <v/>
      </c>
      <c r="J3949" s="122">
        <f>IFERROR(XLOOKUP(I3949,'Segment Map'!A:A,'Segment Map'!B:B,"Need Attention"),"Need Attention")</f>
        <v/>
      </c>
      <c r="K3949" s="122">
        <f>IF(E3949&gt;=5000,"🏆 Platinum",IF(E3949&gt;=2000,"🥇 Gold",IF(E3949&gt;=800,"🥈 Silver","🥉 Bronze")))</f>
        <v/>
      </c>
      <c r="L3949" s="125" t="n">
        <v>40875</v>
      </c>
    </row>
    <row r="3950">
      <c r="A3950" s="126" t="n">
        <v>17742</v>
      </c>
      <c r="B3950" s="126" t="inlineStr">
        <is>
          <t>United Kingdom</t>
        </is>
      </c>
      <c r="C3950" s="126" t="n">
        <v>114</v>
      </c>
      <c r="D3950" s="126" t="n">
        <v>2</v>
      </c>
      <c r="E3950" s="127" t="n">
        <v>355.11</v>
      </c>
      <c r="F3950" s="128">
        <f>IF(C3950&lt;=30,5,IF(C3950&lt;=60,4,IF(C3950&lt;=120,3,IF(C3950&lt;=200,2,1))))</f>
        <v/>
      </c>
      <c r="G3950" s="128">
        <f>IF(D3950&gt;=20,5,IF(D3950&gt;=10,4,IF(D3950&gt;=5,3,IF(D3950&gt;=2,2,1))))</f>
        <v/>
      </c>
      <c r="H3950" s="128">
        <f>IF(E3950&gt;=5000,5,IF(E3950&gt;=2000,4,IF(E3950&gt;=800,3,IF(E3950&gt;=300,2,1))))</f>
        <v/>
      </c>
      <c r="I3950" s="126">
        <f>TEXT(F3950,"0")&amp;TEXT(G3950,"0")&amp;TEXT(H3950,"0")</f>
        <v/>
      </c>
      <c r="J3950" s="126">
        <f>IFERROR(XLOOKUP(I3950,'Segment Map'!A:A,'Segment Map'!B:B,"Need Attention"),"Need Attention")</f>
        <v/>
      </c>
      <c r="K3950" s="126">
        <f>IF(E3950&gt;=5000,"🏆 Platinum",IF(E3950&gt;=2000,"🥇 Gold",IF(E3950&gt;=800,"🥈 Silver","🥉 Bronze")))</f>
        <v/>
      </c>
      <c r="L3950" s="129" t="n">
        <v>40773</v>
      </c>
    </row>
    <row r="3951">
      <c r="A3951" s="122" t="n">
        <v>17744</v>
      </c>
      <c r="B3951" s="122" t="inlineStr">
        <is>
          <t>United Kingdom</t>
        </is>
      </c>
      <c r="C3951" s="122" t="n">
        <v>4</v>
      </c>
      <c r="D3951" s="122" t="n">
        <v>6</v>
      </c>
      <c r="E3951" s="123" t="n">
        <v>2322.4</v>
      </c>
      <c r="F3951" s="124">
        <f>IF(C3951&lt;=30,5,IF(C3951&lt;=60,4,IF(C3951&lt;=120,3,IF(C3951&lt;=200,2,1))))</f>
        <v/>
      </c>
      <c r="G3951" s="124">
        <f>IF(D3951&gt;=20,5,IF(D3951&gt;=10,4,IF(D3951&gt;=5,3,IF(D3951&gt;=2,2,1))))</f>
        <v/>
      </c>
      <c r="H3951" s="124">
        <f>IF(E3951&gt;=5000,5,IF(E3951&gt;=2000,4,IF(E3951&gt;=800,3,IF(E3951&gt;=300,2,1))))</f>
        <v/>
      </c>
      <c r="I3951" s="122">
        <f>TEXT(F3951,"0")&amp;TEXT(G3951,"0")&amp;TEXT(H3951,"0")</f>
        <v/>
      </c>
      <c r="J3951" s="122">
        <f>IFERROR(XLOOKUP(I3951,'Segment Map'!A:A,'Segment Map'!B:B,"Need Attention"),"Need Attention")</f>
        <v/>
      </c>
      <c r="K3951" s="122">
        <f>IF(E3951&gt;=5000,"🏆 Platinum",IF(E3951&gt;=2000,"🥇 Gold",IF(E3951&gt;=800,"🥈 Silver","🥉 Bronze")))</f>
        <v/>
      </c>
      <c r="L3951" s="125" t="n">
        <v>40883</v>
      </c>
    </row>
    <row r="3952">
      <c r="A3952" s="126" t="n">
        <v>17746</v>
      </c>
      <c r="B3952" s="126" t="inlineStr">
        <is>
          <t>United Kingdom</t>
        </is>
      </c>
      <c r="C3952" s="126" t="n">
        <v>241</v>
      </c>
      <c r="D3952" s="126" t="n">
        <v>1</v>
      </c>
      <c r="E3952" s="127" t="n">
        <v>110.25</v>
      </c>
      <c r="F3952" s="128">
        <f>IF(C3952&lt;=30,5,IF(C3952&lt;=60,4,IF(C3952&lt;=120,3,IF(C3952&lt;=200,2,1))))</f>
        <v/>
      </c>
      <c r="G3952" s="128">
        <f>IF(D3952&gt;=20,5,IF(D3952&gt;=10,4,IF(D3952&gt;=5,3,IF(D3952&gt;=2,2,1))))</f>
        <v/>
      </c>
      <c r="H3952" s="128">
        <f>IF(E3952&gt;=5000,5,IF(E3952&gt;=2000,4,IF(E3952&gt;=800,3,IF(E3952&gt;=300,2,1))))</f>
        <v/>
      </c>
      <c r="I3952" s="126">
        <f>TEXT(F3952,"0")&amp;TEXT(G3952,"0")&amp;TEXT(H3952,"0")</f>
        <v/>
      </c>
      <c r="J3952" s="126">
        <f>IFERROR(XLOOKUP(I3952,'Segment Map'!A:A,'Segment Map'!B:B,"Need Attention"),"Need Attention")</f>
        <v/>
      </c>
      <c r="K3952" s="126">
        <f>IF(E3952&gt;=5000,"🏆 Platinum",IF(E3952&gt;=2000,"🥇 Gold",IF(E3952&gt;=800,"🥈 Silver","🥉 Bronze")))</f>
        <v/>
      </c>
      <c r="L3952" s="129" t="n">
        <v>40646</v>
      </c>
    </row>
    <row r="3953">
      <c r="A3953" s="122" t="n">
        <v>17747</v>
      </c>
      <c r="B3953" s="122" t="inlineStr">
        <is>
          <t>United Kingdom</t>
        </is>
      </c>
      <c r="C3953" s="122" t="n">
        <v>113</v>
      </c>
      <c r="D3953" s="122" t="n">
        <v>1</v>
      </c>
      <c r="E3953" s="123" t="n">
        <v>71.40000000000001</v>
      </c>
      <c r="F3953" s="124">
        <f>IF(C3953&lt;=30,5,IF(C3953&lt;=60,4,IF(C3953&lt;=120,3,IF(C3953&lt;=200,2,1))))</f>
        <v/>
      </c>
      <c r="G3953" s="124">
        <f>IF(D3953&gt;=20,5,IF(D3953&gt;=10,4,IF(D3953&gt;=5,3,IF(D3953&gt;=2,2,1))))</f>
        <v/>
      </c>
      <c r="H3953" s="124">
        <f>IF(E3953&gt;=5000,5,IF(E3953&gt;=2000,4,IF(E3953&gt;=800,3,IF(E3953&gt;=300,2,1))))</f>
        <v/>
      </c>
      <c r="I3953" s="122">
        <f>TEXT(F3953,"0")&amp;TEXT(G3953,"0")&amp;TEXT(H3953,"0")</f>
        <v/>
      </c>
      <c r="J3953" s="122">
        <f>IFERROR(XLOOKUP(I3953,'Segment Map'!A:A,'Segment Map'!B:B,"Need Attention"),"Need Attention")</f>
        <v/>
      </c>
      <c r="K3953" s="122">
        <f>IF(E3953&gt;=5000,"🏆 Platinum",IF(E3953&gt;=2000,"🥇 Gold",IF(E3953&gt;=800,"🥈 Silver","🥉 Bronze")))</f>
        <v/>
      </c>
      <c r="L3953" s="125" t="n">
        <v>40774</v>
      </c>
    </row>
    <row r="3954">
      <c r="A3954" s="126" t="n">
        <v>17749</v>
      </c>
      <c r="B3954" s="126" t="inlineStr">
        <is>
          <t>United Kingdom</t>
        </is>
      </c>
      <c r="C3954" s="126" t="n">
        <v>179</v>
      </c>
      <c r="D3954" s="126" t="n">
        <v>2</v>
      </c>
      <c r="E3954" s="127" t="n">
        <v>674.52</v>
      </c>
      <c r="F3954" s="128">
        <f>IF(C3954&lt;=30,5,IF(C3954&lt;=60,4,IF(C3954&lt;=120,3,IF(C3954&lt;=200,2,1))))</f>
        <v/>
      </c>
      <c r="G3954" s="128">
        <f>IF(D3954&gt;=20,5,IF(D3954&gt;=10,4,IF(D3954&gt;=5,3,IF(D3954&gt;=2,2,1))))</f>
        <v/>
      </c>
      <c r="H3954" s="128">
        <f>IF(E3954&gt;=5000,5,IF(E3954&gt;=2000,4,IF(E3954&gt;=800,3,IF(E3954&gt;=300,2,1))))</f>
        <v/>
      </c>
      <c r="I3954" s="126">
        <f>TEXT(F3954,"0")&amp;TEXT(G3954,"0")&amp;TEXT(H3954,"0")</f>
        <v/>
      </c>
      <c r="J3954" s="126">
        <f>IFERROR(XLOOKUP(I3954,'Segment Map'!A:A,'Segment Map'!B:B,"Need Attention"),"Need Attention")</f>
        <v/>
      </c>
      <c r="K3954" s="126">
        <f>IF(E3954&gt;=5000,"🏆 Platinum",IF(E3954&gt;=2000,"🥇 Gold",IF(E3954&gt;=800,"🥈 Silver","🥉 Bronze")))</f>
        <v/>
      </c>
      <c r="L3954" s="129" t="n">
        <v>40708</v>
      </c>
    </row>
    <row r="3955">
      <c r="A3955" s="122" t="n">
        <v>17750</v>
      </c>
      <c r="B3955" s="122" t="inlineStr">
        <is>
          <t>United Kingdom</t>
        </is>
      </c>
      <c r="C3955" s="122" t="n">
        <v>6</v>
      </c>
      <c r="D3955" s="122" t="n">
        <v>9</v>
      </c>
      <c r="E3955" s="123" t="n">
        <v>1797.57</v>
      </c>
      <c r="F3955" s="124">
        <f>IF(C3955&lt;=30,5,IF(C3955&lt;=60,4,IF(C3955&lt;=120,3,IF(C3955&lt;=200,2,1))))</f>
        <v/>
      </c>
      <c r="G3955" s="124">
        <f>IF(D3955&gt;=20,5,IF(D3955&gt;=10,4,IF(D3955&gt;=5,3,IF(D3955&gt;=2,2,1))))</f>
        <v/>
      </c>
      <c r="H3955" s="124">
        <f>IF(E3955&gt;=5000,5,IF(E3955&gt;=2000,4,IF(E3955&gt;=800,3,IF(E3955&gt;=300,2,1))))</f>
        <v/>
      </c>
      <c r="I3955" s="122">
        <f>TEXT(F3955,"0")&amp;TEXT(G3955,"0")&amp;TEXT(H3955,"0")</f>
        <v/>
      </c>
      <c r="J3955" s="122">
        <f>IFERROR(XLOOKUP(I3955,'Segment Map'!A:A,'Segment Map'!B:B,"Need Attention"),"Need Attention")</f>
        <v/>
      </c>
      <c r="K3955" s="122">
        <f>IF(E3955&gt;=5000,"🏆 Platinum",IF(E3955&gt;=2000,"🥇 Gold",IF(E3955&gt;=800,"🥈 Silver","🥉 Bronze")))</f>
        <v/>
      </c>
      <c r="L3955" s="125" t="n">
        <v>40881</v>
      </c>
    </row>
    <row r="3956">
      <c r="A3956" s="126" t="n">
        <v>17752</v>
      </c>
      <c r="B3956" s="126" t="inlineStr">
        <is>
          <t>United Kingdom</t>
        </is>
      </c>
      <c r="C3956" s="126" t="n">
        <v>360</v>
      </c>
      <c r="D3956" s="126" t="n">
        <v>1</v>
      </c>
      <c r="E3956" s="127" t="n">
        <v>80.64</v>
      </c>
      <c r="F3956" s="128">
        <f>IF(C3956&lt;=30,5,IF(C3956&lt;=60,4,IF(C3956&lt;=120,3,IF(C3956&lt;=200,2,1))))</f>
        <v/>
      </c>
      <c r="G3956" s="128">
        <f>IF(D3956&gt;=20,5,IF(D3956&gt;=10,4,IF(D3956&gt;=5,3,IF(D3956&gt;=2,2,1))))</f>
        <v/>
      </c>
      <c r="H3956" s="128">
        <f>IF(E3956&gt;=5000,5,IF(E3956&gt;=2000,4,IF(E3956&gt;=800,3,IF(E3956&gt;=300,2,1))))</f>
        <v/>
      </c>
      <c r="I3956" s="126">
        <f>TEXT(F3956,"0")&amp;TEXT(G3956,"0")&amp;TEXT(H3956,"0")</f>
        <v/>
      </c>
      <c r="J3956" s="126">
        <f>IFERROR(XLOOKUP(I3956,'Segment Map'!A:A,'Segment Map'!B:B,"Need Attention"),"Need Attention")</f>
        <v/>
      </c>
      <c r="K3956" s="126">
        <f>IF(E3956&gt;=5000,"🏆 Platinum",IF(E3956&gt;=2000,"🥇 Gold",IF(E3956&gt;=800,"🥈 Silver","🥉 Bronze")))</f>
        <v/>
      </c>
      <c r="L3956" s="129" t="n">
        <v>40527</v>
      </c>
    </row>
    <row r="3957">
      <c r="A3957" s="122" t="n">
        <v>17754</v>
      </c>
      <c r="B3957" s="122" t="inlineStr">
        <is>
          <t>United Kingdom</t>
        </is>
      </c>
      <c r="C3957" s="122" t="n">
        <v>1</v>
      </c>
      <c r="D3957" s="122" t="n">
        <v>5</v>
      </c>
      <c r="E3957" s="123" t="n">
        <v>1772.26</v>
      </c>
      <c r="F3957" s="124">
        <f>IF(C3957&lt;=30,5,IF(C3957&lt;=60,4,IF(C3957&lt;=120,3,IF(C3957&lt;=200,2,1))))</f>
        <v/>
      </c>
      <c r="G3957" s="124">
        <f>IF(D3957&gt;=20,5,IF(D3957&gt;=10,4,IF(D3957&gt;=5,3,IF(D3957&gt;=2,2,1))))</f>
        <v/>
      </c>
      <c r="H3957" s="124">
        <f>IF(E3957&gt;=5000,5,IF(E3957&gt;=2000,4,IF(E3957&gt;=800,3,IF(E3957&gt;=300,2,1))))</f>
        <v/>
      </c>
      <c r="I3957" s="122">
        <f>TEXT(F3957,"0")&amp;TEXT(G3957,"0")&amp;TEXT(H3957,"0")</f>
        <v/>
      </c>
      <c r="J3957" s="122">
        <f>IFERROR(XLOOKUP(I3957,'Segment Map'!A:A,'Segment Map'!B:B,"Need Attention"),"Need Attention")</f>
        <v/>
      </c>
      <c r="K3957" s="122">
        <f>IF(E3957&gt;=5000,"🏆 Platinum",IF(E3957&gt;=2000,"🥇 Gold",IF(E3957&gt;=800,"🥈 Silver","🥉 Bronze")))</f>
        <v/>
      </c>
      <c r="L3957" s="125" t="n">
        <v>40886</v>
      </c>
    </row>
    <row r="3958">
      <c r="A3958" s="126" t="n">
        <v>17757</v>
      </c>
      <c r="B3958" s="126" t="inlineStr">
        <is>
          <t>United Kingdom</t>
        </is>
      </c>
      <c r="C3958" s="126" t="n">
        <v>2</v>
      </c>
      <c r="D3958" s="126" t="n">
        <v>30</v>
      </c>
      <c r="E3958" s="127" t="n">
        <v>5605.29</v>
      </c>
      <c r="F3958" s="128">
        <f>IF(C3958&lt;=30,5,IF(C3958&lt;=60,4,IF(C3958&lt;=120,3,IF(C3958&lt;=200,2,1))))</f>
        <v/>
      </c>
      <c r="G3958" s="128">
        <f>IF(D3958&gt;=20,5,IF(D3958&gt;=10,4,IF(D3958&gt;=5,3,IF(D3958&gt;=2,2,1))))</f>
        <v/>
      </c>
      <c r="H3958" s="128">
        <f>IF(E3958&gt;=5000,5,IF(E3958&gt;=2000,4,IF(E3958&gt;=800,3,IF(E3958&gt;=300,2,1))))</f>
        <v/>
      </c>
      <c r="I3958" s="126">
        <f>TEXT(F3958,"0")&amp;TEXT(G3958,"0")&amp;TEXT(H3958,"0")</f>
        <v/>
      </c>
      <c r="J3958" s="126">
        <f>IFERROR(XLOOKUP(I3958,'Segment Map'!A:A,'Segment Map'!B:B,"Need Attention"),"Need Attention")</f>
        <v/>
      </c>
      <c r="K3958" s="126">
        <f>IF(E3958&gt;=5000,"🏆 Platinum",IF(E3958&gt;=2000,"🥇 Gold",IF(E3958&gt;=800,"🥈 Silver","🥉 Bronze")))</f>
        <v/>
      </c>
      <c r="L3958" s="129" t="n">
        <v>40885</v>
      </c>
    </row>
    <row r="3959">
      <c r="A3959" s="122" t="n">
        <v>17758</v>
      </c>
      <c r="B3959" s="122" t="inlineStr">
        <is>
          <t>United Kingdom</t>
        </is>
      </c>
      <c r="C3959" s="122" t="n">
        <v>20</v>
      </c>
      <c r="D3959" s="122" t="n">
        <v>8</v>
      </c>
      <c r="E3959" s="123" t="n">
        <v>3456.7</v>
      </c>
      <c r="F3959" s="124">
        <f>IF(C3959&lt;=30,5,IF(C3959&lt;=60,4,IF(C3959&lt;=120,3,IF(C3959&lt;=200,2,1))))</f>
        <v/>
      </c>
      <c r="G3959" s="124">
        <f>IF(D3959&gt;=20,5,IF(D3959&gt;=10,4,IF(D3959&gt;=5,3,IF(D3959&gt;=2,2,1))))</f>
        <v/>
      </c>
      <c r="H3959" s="124">
        <f>IF(E3959&gt;=5000,5,IF(E3959&gt;=2000,4,IF(E3959&gt;=800,3,IF(E3959&gt;=300,2,1))))</f>
        <v/>
      </c>
      <c r="I3959" s="122">
        <f>TEXT(F3959,"0")&amp;TEXT(G3959,"0")&amp;TEXT(H3959,"0")</f>
        <v/>
      </c>
      <c r="J3959" s="122">
        <f>IFERROR(XLOOKUP(I3959,'Segment Map'!A:A,'Segment Map'!B:B,"Need Attention"),"Need Attention")</f>
        <v/>
      </c>
      <c r="K3959" s="122">
        <f>IF(E3959&gt;=5000,"🏆 Platinum",IF(E3959&gt;=2000,"🥇 Gold",IF(E3959&gt;=800,"🥈 Silver","🥉 Bronze")))</f>
        <v/>
      </c>
      <c r="L3959" s="125" t="n">
        <v>40867</v>
      </c>
    </row>
    <row r="3960">
      <c r="A3960" s="126" t="n">
        <v>17759</v>
      </c>
      <c r="B3960" s="126" t="inlineStr">
        <is>
          <t>United Kingdom</t>
        </is>
      </c>
      <c r="C3960" s="126" t="n">
        <v>18</v>
      </c>
      <c r="D3960" s="126" t="n">
        <v>3</v>
      </c>
      <c r="E3960" s="127" t="n">
        <v>834.99</v>
      </c>
      <c r="F3960" s="128">
        <f>IF(C3960&lt;=30,5,IF(C3960&lt;=60,4,IF(C3960&lt;=120,3,IF(C3960&lt;=200,2,1))))</f>
        <v/>
      </c>
      <c r="G3960" s="128">
        <f>IF(D3960&gt;=20,5,IF(D3960&gt;=10,4,IF(D3960&gt;=5,3,IF(D3960&gt;=2,2,1))))</f>
        <v/>
      </c>
      <c r="H3960" s="128">
        <f>IF(E3960&gt;=5000,5,IF(E3960&gt;=2000,4,IF(E3960&gt;=800,3,IF(E3960&gt;=300,2,1))))</f>
        <v/>
      </c>
      <c r="I3960" s="126">
        <f>TEXT(F3960,"0")&amp;TEXT(G3960,"0")&amp;TEXT(H3960,"0")</f>
        <v/>
      </c>
      <c r="J3960" s="126">
        <f>IFERROR(XLOOKUP(I3960,'Segment Map'!A:A,'Segment Map'!B:B,"Need Attention"),"Need Attention")</f>
        <v/>
      </c>
      <c r="K3960" s="126">
        <f>IF(E3960&gt;=5000,"🏆 Platinum",IF(E3960&gt;=2000,"🥇 Gold",IF(E3960&gt;=800,"🥈 Silver","🥉 Bronze")))</f>
        <v/>
      </c>
      <c r="L3960" s="129" t="n">
        <v>40869</v>
      </c>
    </row>
    <row r="3961">
      <c r="A3961" s="122" t="n">
        <v>17760</v>
      </c>
      <c r="B3961" s="122" t="inlineStr">
        <is>
          <t>United Kingdom</t>
        </is>
      </c>
      <c r="C3961" s="122" t="n">
        <v>22</v>
      </c>
      <c r="D3961" s="122" t="n">
        <v>2</v>
      </c>
      <c r="E3961" s="123" t="n">
        <v>287.59</v>
      </c>
      <c r="F3961" s="124">
        <f>IF(C3961&lt;=30,5,IF(C3961&lt;=60,4,IF(C3961&lt;=120,3,IF(C3961&lt;=200,2,1))))</f>
        <v/>
      </c>
      <c r="G3961" s="124">
        <f>IF(D3961&gt;=20,5,IF(D3961&gt;=10,4,IF(D3961&gt;=5,3,IF(D3961&gt;=2,2,1))))</f>
        <v/>
      </c>
      <c r="H3961" s="124">
        <f>IF(E3961&gt;=5000,5,IF(E3961&gt;=2000,4,IF(E3961&gt;=800,3,IF(E3961&gt;=300,2,1))))</f>
        <v/>
      </c>
      <c r="I3961" s="122">
        <f>TEXT(F3961,"0")&amp;TEXT(G3961,"0")&amp;TEXT(H3961,"0")</f>
        <v/>
      </c>
      <c r="J3961" s="122">
        <f>IFERROR(XLOOKUP(I3961,'Segment Map'!A:A,'Segment Map'!B:B,"Need Attention"),"Need Attention")</f>
        <v/>
      </c>
      <c r="K3961" s="122">
        <f>IF(E3961&gt;=5000,"🏆 Platinum",IF(E3961&gt;=2000,"🥇 Gold",IF(E3961&gt;=800,"🥈 Silver","🥉 Bronze")))</f>
        <v/>
      </c>
      <c r="L3961" s="125" t="n">
        <v>40865</v>
      </c>
    </row>
    <row r="3962">
      <c r="A3962" s="126" t="n">
        <v>17761</v>
      </c>
      <c r="B3962" s="126" t="inlineStr">
        <is>
          <t>United Kingdom</t>
        </is>
      </c>
      <c r="C3962" s="126" t="n">
        <v>33</v>
      </c>
      <c r="D3962" s="126" t="n">
        <v>1</v>
      </c>
      <c r="E3962" s="127" t="n">
        <v>712.78</v>
      </c>
      <c r="F3962" s="128">
        <f>IF(C3962&lt;=30,5,IF(C3962&lt;=60,4,IF(C3962&lt;=120,3,IF(C3962&lt;=200,2,1))))</f>
        <v/>
      </c>
      <c r="G3962" s="128">
        <f>IF(D3962&gt;=20,5,IF(D3962&gt;=10,4,IF(D3962&gt;=5,3,IF(D3962&gt;=2,2,1))))</f>
        <v/>
      </c>
      <c r="H3962" s="128">
        <f>IF(E3962&gt;=5000,5,IF(E3962&gt;=2000,4,IF(E3962&gt;=800,3,IF(E3962&gt;=300,2,1))))</f>
        <v/>
      </c>
      <c r="I3962" s="126">
        <f>TEXT(F3962,"0")&amp;TEXT(G3962,"0")&amp;TEXT(H3962,"0")</f>
        <v/>
      </c>
      <c r="J3962" s="126">
        <f>IFERROR(XLOOKUP(I3962,'Segment Map'!A:A,'Segment Map'!B:B,"Need Attention"),"Need Attention")</f>
        <v/>
      </c>
      <c r="K3962" s="126">
        <f>IF(E3962&gt;=5000,"🏆 Platinum",IF(E3962&gt;=2000,"🥇 Gold",IF(E3962&gt;=800,"🥈 Silver","🥉 Bronze")))</f>
        <v/>
      </c>
      <c r="L3962" s="129" t="n">
        <v>40854</v>
      </c>
    </row>
    <row r="3963">
      <c r="A3963" s="122" t="n">
        <v>17763</v>
      </c>
      <c r="B3963" s="122" t="inlineStr">
        <is>
          <t>United Kingdom</t>
        </is>
      </c>
      <c r="C3963" s="122" t="n">
        <v>264</v>
      </c>
      <c r="D3963" s="122" t="n">
        <v>1</v>
      </c>
      <c r="E3963" s="123" t="n">
        <v>15</v>
      </c>
      <c r="F3963" s="124">
        <f>IF(C3963&lt;=30,5,IF(C3963&lt;=60,4,IF(C3963&lt;=120,3,IF(C3963&lt;=200,2,1))))</f>
        <v/>
      </c>
      <c r="G3963" s="124">
        <f>IF(D3963&gt;=20,5,IF(D3963&gt;=10,4,IF(D3963&gt;=5,3,IF(D3963&gt;=2,2,1))))</f>
        <v/>
      </c>
      <c r="H3963" s="124">
        <f>IF(E3963&gt;=5000,5,IF(E3963&gt;=2000,4,IF(E3963&gt;=800,3,IF(E3963&gt;=300,2,1))))</f>
        <v/>
      </c>
      <c r="I3963" s="122">
        <f>TEXT(F3963,"0")&amp;TEXT(G3963,"0")&amp;TEXT(H3963,"0")</f>
        <v/>
      </c>
      <c r="J3963" s="122">
        <f>IFERROR(XLOOKUP(I3963,'Segment Map'!A:A,'Segment Map'!B:B,"Need Attention"),"Need Attention")</f>
        <v/>
      </c>
      <c r="K3963" s="122">
        <f>IF(E3963&gt;=5000,"🏆 Platinum",IF(E3963&gt;=2000,"🥇 Gold",IF(E3963&gt;=800,"🥈 Silver","🥉 Bronze")))</f>
        <v/>
      </c>
      <c r="L3963" s="125" t="n">
        <v>40623</v>
      </c>
    </row>
    <row r="3964">
      <c r="A3964" s="126" t="n">
        <v>17764</v>
      </c>
      <c r="B3964" s="126" t="inlineStr">
        <is>
          <t>United Kingdom</t>
        </is>
      </c>
      <c r="C3964" s="126" t="n">
        <v>51</v>
      </c>
      <c r="D3964" s="126" t="n">
        <v>2</v>
      </c>
      <c r="E3964" s="127" t="n">
        <v>818.8200000000001</v>
      </c>
      <c r="F3964" s="128">
        <f>IF(C3964&lt;=30,5,IF(C3964&lt;=60,4,IF(C3964&lt;=120,3,IF(C3964&lt;=200,2,1))))</f>
        <v/>
      </c>
      <c r="G3964" s="128">
        <f>IF(D3964&gt;=20,5,IF(D3964&gt;=10,4,IF(D3964&gt;=5,3,IF(D3964&gt;=2,2,1))))</f>
        <v/>
      </c>
      <c r="H3964" s="128">
        <f>IF(E3964&gt;=5000,5,IF(E3964&gt;=2000,4,IF(E3964&gt;=800,3,IF(E3964&gt;=300,2,1))))</f>
        <v/>
      </c>
      <c r="I3964" s="126">
        <f>TEXT(F3964,"0")&amp;TEXT(G3964,"0")&amp;TEXT(H3964,"0")</f>
        <v/>
      </c>
      <c r="J3964" s="126">
        <f>IFERROR(XLOOKUP(I3964,'Segment Map'!A:A,'Segment Map'!B:B,"Need Attention"),"Need Attention")</f>
        <v/>
      </c>
      <c r="K3964" s="126">
        <f>IF(E3964&gt;=5000,"🏆 Platinum",IF(E3964&gt;=2000,"🥇 Gold",IF(E3964&gt;=800,"🥈 Silver","🥉 Bronze")))</f>
        <v/>
      </c>
      <c r="L3964" s="129" t="n">
        <v>40836</v>
      </c>
    </row>
    <row r="3965">
      <c r="A3965" s="122" t="n">
        <v>17765</v>
      </c>
      <c r="B3965" s="122" t="inlineStr">
        <is>
          <t>United Kingdom</t>
        </is>
      </c>
      <c r="C3965" s="122" t="n">
        <v>159</v>
      </c>
      <c r="D3965" s="122" t="n">
        <v>3</v>
      </c>
      <c r="E3965" s="123" t="n">
        <v>371.88</v>
      </c>
      <c r="F3965" s="124">
        <f>IF(C3965&lt;=30,5,IF(C3965&lt;=60,4,IF(C3965&lt;=120,3,IF(C3965&lt;=200,2,1))))</f>
        <v/>
      </c>
      <c r="G3965" s="124">
        <f>IF(D3965&gt;=20,5,IF(D3965&gt;=10,4,IF(D3965&gt;=5,3,IF(D3965&gt;=2,2,1))))</f>
        <v/>
      </c>
      <c r="H3965" s="124">
        <f>IF(E3965&gt;=5000,5,IF(E3965&gt;=2000,4,IF(E3965&gt;=800,3,IF(E3965&gt;=300,2,1))))</f>
        <v/>
      </c>
      <c r="I3965" s="122">
        <f>TEXT(F3965,"0")&amp;TEXT(G3965,"0")&amp;TEXT(H3965,"0")</f>
        <v/>
      </c>
      <c r="J3965" s="122">
        <f>IFERROR(XLOOKUP(I3965,'Segment Map'!A:A,'Segment Map'!B:B,"Need Attention"),"Need Attention")</f>
        <v/>
      </c>
      <c r="K3965" s="122">
        <f>IF(E3965&gt;=5000,"🏆 Platinum",IF(E3965&gt;=2000,"🥇 Gold",IF(E3965&gt;=800,"🥈 Silver","🥉 Bronze")))</f>
        <v/>
      </c>
      <c r="L3965" s="125" t="n">
        <v>40728</v>
      </c>
    </row>
    <row r="3966">
      <c r="A3966" s="126" t="n">
        <v>17767</v>
      </c>
      <c r="B3966" s="126" t="inlineStr">
        <is>
          <t>United Kingdom</t>
        </is>
      </c>
      <c r="C3966" s="126" t="n">
        <v>16</v>
      </c>
      <c r="D3966" s="126" t="n">
        <v>1</v>
      </c>
      <c r="E3966" s="127" t="n">
        <v>271.2</v>
      </c>
      <c r="F3966" s="128">
        <f>IF(C3966&lt;=30,5,IF(C3966&lt;=60,4,IF(C3966&lt;=120,3,IF(C3966&lt;=200,2,1))))</f>
        <v/>
      </c>
      <c r="G3966" s="128">
        <f>IF(D3966&gt;=20,5,IF(D3966&gt;=10,4,IF(D3966&gt;=5,3,IF(D3966&gt;=2,2,1))))</f>
        <v/>
      </c>
      <c r="H3966" s="128">
        <f>IF(E3966&gt;=5000,5,IF(E3966&gt;=2000,4,IF(E3966&gt;=800,3,IF(E3966&gt;=300,2,1))))</f>
        <v/>
      </c>
      <c r="I3966" s="126">
        <f>TEXT(F3966,"0")&amp;TEXT(G3966,"0")&amp;TEXT(H3966,"0")</f>
        <v/>
      </c>
      <c r="J3966" s="126">
        <f>IFERROR(XLOOKUP(I3966,'Segment Map'!A:A,'Segment Map'!B:B,"Need Attention"),"Need Attention")</f>
        <v/>
      </c>
      <c r="K3966" s="126">
        <f>IF(E3966&gt;=5000,"🏆 Platinum",IF(E3966&gt;=2000,"🥇 Gold",IF(E3966&gt;=800,"🥈 Silver","🥉 Bronze")))</f>
        <v/>
      </c>
      <c r="L3966" s="129" t="n">
        <v>40871</v>
      </c>
    </row>
    <row r="3967">
      <c r="A3967" s="122" t="n">
        <v>17768</v>
      </c>
      <c r="B3967" s="122" t="inlineStr">
        <is>
          <t>United Kingdom</t>
        </is>
      </c>
      <c r="C3967" s="122" t="n">
        <v>9</v>
      </c>
      <c r="D3967" s="122" t="n">
        <v>3</v>
      </c>
      <c r="E3967" s="123" t="n">
        <v>2273.18</v>
      </c>
      <c r="F3967" s="124">
        <f>IF(C3967&lt;=30,5,IF(C3967&lt;=60,4,IF(C3967&lt;=120,3,IF(C3967&lt;=200,2,1))))</f>
        <v/>
      </c>
      <c r="G3967" s="124">
        <f>IF(D3967&gt;=20,5,IF(D3967&gt;=10,4,IF(D3967&gt;=5,3,IF(D3967&gt;=2,2,1))))</f>
        <v/>
      </c>
      <c r="H3967" s="124">
        <f>IF(E3967&gt;=5000,5,IF(E3967&gt;=2000,4,IF(E3967&gt;=800,3,IF(E3967&gt;=300,2,1))))</f>
        <v/>
      </c>
      <c r="I3967" s="122">
        <f>TEXT(F3967,"0")&amp;TEXT(G3967,"0")&amp;TEXT(H3967,"0")</f>
        <v/>
      </c>
      <c r="J3967" s="122">
        <f>IFERROR(XLOOKUP(I3967,'Segment Map'!A:A,'Segment Map'!B:B,"Need Attention"),"Need Attention")</f>
        <v/>
      </c>
      <c r="K3967" s="122">
        <f>IF(E3967&gt;=5000,"🏆 Platinum",IF(E3967&gt;=2000,"🥇 Gold",IF(E3967&gt;=800,"🥈 Silver","🥉 Bronze")))</f>
        <v/>
      </c>
      <c r="L3967" s="125" t="n">
        <v>40878</v>
      </c>
    </row>
    <row r="3968">
      <c r="A3968" s="126" t="n">
        <v>17769</v>
      </c>
      <c r="B3968" s="126" t="inlineStr">
        <is>
          <t>United Kingdom</t>
        </is>
      </c>
      <c r="C3968" s="126" t="n">
        <v>13</v>
      </c>
      <c r="D3968" s="126" t="n">
        <v>10</v>
      </c>
      <c r="E3968" s="127" t="n">
        <v>3997.98</v>
      </c>
      <c r="F3968" s="128">
        <f>IF(C3968&lt;=30,5,IF(C3968&lt;=60,4,IF(C3968&lt;=120,3,IF(C3968&lt;=200,2,1))))</f>
        <v/>
      </c>
      <c r="G3968" s="128">
        <f>IF(D3968&gt;=20,5,IF(D3968&gt;=10,4,IF(D3968&gt;=5,3,IF(D3968&gt;=2,2,1))))</f>
        <v/>
      </c>
      <c r="H3968" s="128">
        <f>IF(E3968&gt;=5000,5,IF(E3968&gt;=2000,4,IF(E3968&gt;=800,3,IF(E3968&gt;=300,2,1))))</f>
        <v/>
      </c>
      <c r="I3968" s="126">
        <f>TEXT(F3968,"0")&amp;TEXT(G3968,"0")&amp;TEXT(H3968,"0")</f>
        <v/>
      </c>
      <c r="J3968" s="126">
        <f>IFERROR(XLOOKUP(I3968,'Segment Map'!A:A,'Segment Map'!B:B,"Need Attention"),"Need Attention")</f>
        <v/>
      </c>
      <c r="K3968" s="126">
        <f>IF(E3968&gt;=5000,"🏆 Platinum",IF(E3968&gt;=2000,"🥇 Gold",IF(E3968&gt;=800,"🥈 Silver","🥉 Bronze")))</f>
        <v/>
      </c>
      <c r="L3968" s="129" t="n">
        <v>40874</v>
      </c>
    </row>
    <row r="3969">
      <c r="A3969" s="122" t="n">
        <v>17770</v>
      </c>
      <c r="B3969" s="122" t="inlineStr">
        <is>
          <t>United Kingdom</t>
        </is>
      </c>
      <c r="C3969" s="122" t="n">
        <v>199</v>
      </c>
      <c r="D3969" s="122" t="n">
        <v>5</v>
      </c>
      <c r="E3969" s="123" t="n">
        <v>1143.27</v>
      </c>
      <c r="F3969" s="124">
        <f>IF(C3969&lt;=30,5,IF(C3969&lt;=60,4,IF(C3969&lt;=120,3,IF(C3969&lt;=200,2,1))))</f>
        <v/>
      </c>
      <c r="G3969" s="124">
        <f>IF(D3969&gt;=20,5,IF(D3969&gt;=10,4,IF(D3969&gt;=5,3,IF(D3969&gt;=2,2,1))))</f>
        <v/>
      </c>
      <c r="H3969" s="124">
        <f>IF(E3969&gt;=5000,5,IF(E3969&gt;=2000,4,IF(E3969&gt;=800,3,IF(E3969&gt;=300,2,1))))</f>
        <v/>
      </c>
      <c r="I3969" s="122">
        <f>TEXT(F3969,"0")&amp;TEXT(G3969,"0")&amp;TEXT(H3969,"0")</f>
        <v/>
      </c>
      <c r="J3969" s="122">
        <f>IFERROR(XLOOKUP(I3969,'Segment Map'!A:A,'Segment Map'!B:B,"Need Attention"),"Need Attention")</f>
        <v/>
      </c>
      <c r="K3969" s="122">
        <f>IF(E3969&gt;=5000,"🏆 Platinum",IF(E3969&gt;=2000,"🥇 Gold",IF(E3969&gt;=800,"🥈 Silver","🥉 Bronze")))</f>
        <v/>
      </c>
      <c r="L3969" s="125" t="n">
        <v>40688</v>
      </c>
    </row>
    <row r="3970">
      <c r="A3970" s="126" t="n">
        <v>17771</v>
      </c>
      <c r="B3970" s="126" t="inlineStr">
        <is>
          <t>United Kingdom</t>
        </is>
      </c>
      <c r="C3970" s="126" t="n">
        <v>57</v>
      </c>
      <c r="D3970" s="126" t="n">
        <v>2</v>
      </c>
      <c r="E3970" s="127" t="n">
        <v>245.81</v>
      </c>
      <c r="F3970" s="128">
        <f>IF(C3970&lt;=30,5,IF(C3970&lt;=60,4,IF(C3970&lt;=120,3,IF(C3970&lt;=200,2,1))))</f>
        <v/>
      </c>
      <c r="G3970" s="128">
        <f>IF(D3970&gt;=20,5,IF(D3970&gt;=10,4,IF(D3970&gt;=5,3,IF(D3970&gt;=2,2,1))))</f>
        <v/>
      </c>
      <c r="H3970" s="128">
        <f>IF(E3970&gt;=5000,5,IF(E3970&gt;=2000,4,IF(E3970&gt;=800,3,IF(E3970&gt;=300,2,1))))</f>
        <v/>
      </c>
      <c r="I3970" s="126">
        <f>TEXT(F3970,"0")&amp;TEXT(G3970,"0")&amp;TEXT(H3970,"0")</f>
        <v/>
      </c>
      <c r="J3970" s="126">
        <f>IFERROR(XLOOKUP(I3970,'Segment Map'!A:A,'Segment Map'!B:B,"Need Attention"),"Need Attention")</f>
        <v/>
      </c>
      <c r="K3970" s="126">
        <f>IF(E3970&gt;=5000,"🏆 Platinum",IF(E3970&gt;=2000,"🥇 Gold",IF(E3970&gt;=800,"🥈 Silver","🥉 Bronze")))</f>
        <v/>
      </c>
      <c r="L3970" s="129" t="n">
        <v>40830</v>
      </c>
    </row>
    <row r="3971">
      <c r="A3971" s="122" t="n">
        <v>17772</v>
      </c>
      <c r="B3971" s="122" t="inlineStr">
        <is>
          <t>United Kingdom</t>
        </is>
      </c>
      <c r="C3971" s="122" t="n">
        <v>11</v>
      </c>
      <c r="D3971" s="122" t="n">
        <v>2</v>
      </c>
      <c r="E3971" s="123" t="n">
        <v>182.77</v>
      </c>
      <c r="F3971" s="124">
        <f>IF(C3971&lt;=30,5,IF(C3971&lt;=60,4,IF(C3971&lt;=120,3,IF(C3971&lt;=200,2,1))))</f>
        <v/>
      </c>
      <c r="G3971" s="124">
        <f>IF(D3971&gt;=20,5,IF(D3971&gt;=10,4,IF(D3971&gt;=5,3,IF(D3971&gt;=2,2,1))))</f>
        <v/>
      </c>
      <c r="H3971" s="124">
        <f>IF(E3971&gt;=5000,5,IF(E3971&gt;=2000,4,IF(E3971&gt;=800,3,IF(E3971&gt;=300,2,1))))</f>
        <v/>
      </c>
      <c r="I3971" s="122">
        <f>TEXT(F3971,"0")&amp;TEXT(G3971,"0")&amp;TEXT(H3971,"0")</f>
        <v/>
      </c>
      <c r="J3971" s="122">
        <f>IFERROR(XLOOKUP(I3971,'Segment Map'!A:A,'Segment Map'!B:B,"Need Attention"),"Need Attention")</f>
        <v/>
      </c>
      <c r="K3971" s="122">
        <f>IF(E3971&gt;=5000,"🏆 Platinum",IF(E3971&gt;=2000,"🥇 Gold",IF(E3971&gt;=800,"🥈 Silver","🥉 Bronze")))</f>
        <v/>
      </c>
      <c r="L3971" s="125" t="n">
        <v>40876</v>
      </c>
    </row>
    <row r="3972">
      <c r="A3972" s="126" t="n">
        <v>17774</v>
      </c>
      <c r="B3972" s="126" t="inlineStr">
        <is>
          <t>United Kingdom</t>
        </is>
      </c>
      <c r="C3972" s="126" t="n">
        <v>97</v>
      </c>
      <c r="D3972" s="126" t="n">
        <v>4</v>
      </c>
      <c r="E3972" s="127" t="n">
        <v>1225.41</v>
      </c>
      <c r="F3972" s="128">
        <f>IF(C3972&lt;=30,5,IF(C3972&lt;=60,4,IF(C3972&lt;=120,3,IF(C3972&lt;=200,2,1))))</f>
        <v/>
      </c>
      <c r="G3972" s="128">
        <f>IF(D3972&gt;=20,5,IF(D3972&gt;=10,4,IF(D3972&gt;=5,3,IF(D3972&gt;=2,2,1))))</f>
        <v/>
      </c>
      <c r="H3972" s="128">
        <f>IF(E3972&gt;=5000,5,IF(E3972&gt;=2000,4,IF(E3972&gt;=800,3,IF(E3972&gt;=300,2,1))))</f>
        <v/>
      </c>
      <c r="I3972" s="126">
        <f>TEXT(F3972,"0")&amp;TEXT(G3972,"0")&amp;TEXT(H3972,"0")</f>
        <v/>
      </c>
      <c r="J3972" s="126">
        <f>IFERROR(XLOOKUP(I3972,'Segment Map'!A:A,'Segment Map'!B:B,"Need Attention"),"Need Attention")</f>
        <v/>
      </c>
      <c r="K3972" s="126">
        <f>IF(E3972&gt;=5000,"🏆 Platinum",IF(E3972&gt;=2000,"🥇 Gold",IF(E3972&gt;=800,"🥈 Silver","🥉 Bronze")))</f>
        <v/>
      </c>
      <c r="L3972" s="129" t="n">
        <v>40790</v>
      </c>
    </row>
    <row r="3973">
      <c r="A3973" s="122" t="n">
        <v>17775</v>
      </c>
      <c r="B3973" s="122" t="inlineStr">
        <is>
          <t>United Kingdom</t>
        </is>
      </c>
      <c r="C3973" s="122" t="n">
        <v>255</v>
      </c>
      <c r="D3973" s="122" t="n">
        <v>1</v>
      </c>
      <c r="E3973" s="123" t="n">
        <v>56.4</v>
      </c>
      <c r="F3973" s="124">
        <f>IF(C3973&lt;=30,5,IF(C3973&lt;=60,4,IF(C3973&lt;=120,3,IF(C3973&lt;=200,2,1))))</f>
        <v/>
      </c>
      <c r="G3973" s="124">
        <f>IF(D3973&gt;=20,5,IF(D3973&gt;=10,4,IF(D3973&gt;=5,3,IF(D3973&gt;=2,2,1))))</f>
        <v/>
      </c>
      <c r="H3973" s="124">
        <f>IF(E3973&gt;=5000,5,IF(E3973&gt;=2000,4,IF(E3973&gt;=800,3,IF(E3973&gt;=300,2,1))))</f>
        <v/>
      </c>
      <c r="I3973" s="122">
        <f>TEXT(F3973,"0")&amp;TEXT(G3973,"0")&amp;TEXT(H3973,"0")</f>
        <v/>
      </c>
      <c r="J3973" s="122">
        <f>IFERROR(XLOOKUP(I3973,'Segment Map'!A:A,'Segment Map'!B:B,"Need Attention"),"Need Attention")</f>
        <v/>
      </c>
      <c r="K3973" s="122">
        <f>IF(E3973&gt;=5000,"🏆 Platinum",IF(E3973&gt;=2000,"🥇 Gold",IF(E3973&gt;=800,"🥈 Silver","🥉 Bronze")))</f>
        <v/>
      </c>
      <c r="L3973" s="125" t="n">
        <v>40632</v>
      </c>
    </row>
    <row r="3974">
      <c r="A3974" s="126" t="n">
        <v>17777</v>
      </c>
      <c r="B3974" s="126" t="inlineStr">
        <is>
          <t>United Kingdom</t>
        </is>
      </c>
      <c r="C3974" s="126" t="n">
        <v>25</v>
      </c>
      <c r="D3974" s="126" t="n">
        <v>3</v>
      </c>
      <c r="E3974" s="127" t="n">
        <v>665.86</v>
      </c>
      <c r="F3974" s="128">
        <f>IF(C3974&lt;=30,5,IF(C3974&lt;=60,4,IF(C3974&lt;=120,3,IF(C3974&lt;=200,2,1))))</f>
        <v/>
      </c>
      <c r="G3974" s="128">
        <f>IF(D3974&gt;=20,5,IF(D3974&gt;=10,4,IF(D3974&gt;=5,3,IF(D3974&gt;=2,2,1))))</f>
        <v/>
      </c>
      <c r="H3974" s="128">
        <f>IF(E3974&gt;=5000,5,IF(E3974&gt;=2000,4,IF(E3974&gt;=800,3,IF(E3974&gt;=300,2,1))))</f>
        <v/>
      </c>
      <c r="I3974" s="126">
        <f>TEXT(F3974,"0")&amp;TEXT(G3974,"0")&amp;TEXT(H3974,"0")</f>
        <v/>
      </c>
      <c r="J3974" s="126">
        <f>IFERROR(XLOOKUP(I3974,'Segment Map'!A:A,'Segment Map'!B:B,"Need Attention"),"Need Attention")</f>
        <v/>
      </c>
      <c r="K3974" s="126">
        <f>IF(E3974&gt;=5000,"🏆 Platinum",IF(E3974&gt;=2000,"🥇 Gold",IF(E3974&gt;=800,"🥈 Silver","🥉 Bronze")))</f>
        <v/>
      </c>
      <c r="L3974" s="129" t="n">
        <v>40862</v>
      </c>
    </row>
    <row r="3975">
      <c r="A3975" s="122" t="n">
        <v>17779</v>
      </c>
      <c r="B3975" s="122" t="inlineStr">
        <is>
          <t>United Kingdom</t>
        </is>
      </c>
      <c r="C3975" s="122" t="n">
        <v>22</v>
      </c>
      <c r="D3975" s="122" t="n">
        <v>3</v>
      </c>
      <c r="E3975" s="123" t="n">
        <v>658.5700000000001</v>
      </c>
      <c r="F3975" s="124">
        <f>IF(C3975&lt;=30,5,IF(C3975&lt;=60,4,IF(C3975&lt;=120,3,IF(C3975&lt;=200,2,1))))</f>
        <v/>
      </c>
      <c r="G3975" s="124">
        <f>IF(D3975&gt;=20,5,IF(D3975&gt;=10,4,IF(D3975&gt;=5,3,IF(D3975&gt;=2,2,1))))</f>
        <v/>
      </c>
      <c r="H3975" s="124">
        <f>IF(E3975&gt;=5000,5,IF(E3975&gt;=2000,4,IF(E3975&gt;=800,3,IF(E3975&gt;=300,2,1))))</f>
        <v/>
      </c>
      <c r="I3975" s="122">
        <f>TEXT(F3975,"0")&amp;TEXT(G3975,"0")&amp;TEXT(H3975,"0")</f>
        <v/>
      </c>
      <c r="J3975" s="122">
        <f>IFERROR(XLOOKUP(I3975,'Segment Map'!A:A,'Segment Map'!B:B,"Need Attention"),"Need Attention")</f>
        <v/>
      </c>
      <c r="K3975" s="122">
        <f>IF(E3975&gt;=5000,"🏆 Platinum",IF(E3975&gt;=2000,"🥇 Gold",IF(E3975&gt;=800,"🥈 Silver","🥉 Bronze")))</f>
        <v/>
      </c>
      <c r="L3975" s="125" t="n">
        <v>40865</v>
      </c>
    </row>
    <row r="3976">
      <c r="A3976" s="126" t="n">
        <v>17781</v>
      </c>
      <c r="B3976" s="126" t="inlineStr">
        <is>
          <t>United Kingdom</t>
        </is>
      </c>
      <c r="C3976" s="126" t="n">
        <v>160</v>
      </c>
      <c r="D3976" s="126" t="n">
        <v>2</v>
      </c>
      <c r="E3976" s="127" t="n">
        <v>188.02</v>
      </c>
      <c r="F3976" s="128">
        <f>IF(C3976&lt;=30,5,IF(C3976&lt;=60,4,IF(C3976&lt;=120,3,IF(C3976&lt;=200,2,1))))</f>
        <v/>
      </c>
      <c r="G3976" s="128">
        <f>IF(D3976&gt;=20,5,IF(D3976&gt;=10,4,IF(D3976&gt;=5,3,IF(D3976&gt;=2,2,1))))</f>
        <v/>
      </c>
      <c r="H3976" s="128">
        <f>IF(E3976&gt;=5000,5,IF(E3976&gt;=2000,4,IF(E3976&gt;=800,3,IF(E3976&gt;=300,2,1))))</f>
        <v/>
      </c>
      <c r="I3976" s="126">
        <f>TEXT(F3976,"0")&amp;TEXT(G3976,"0")&amp;TEXT(H3976,"0")</f>
        <v/>
      </c>
      <c r="J3976" s="126">
        <f>IFERROR(XLOOKUP(I3976,'Segment Map'!A:A,'Segment Map'!B:B,"Need Attention"),"Need Attention")</f>
        <v/>
      </c>
      <c r="K3976" s="126">
        <f>IF(E3976&gt;=5000,"🏆 Platinum",IF(E3976&gt;=2000,"🥇 Gold",IF(E3976&gt;=800,"🥈 Silver","🥉 Bronze")))</f>
        <v/>
      </c>
      <c r="L3976" s="129" t="n">
        <v>40727</v>
      </c>
    </row>
    <row r="3977">
      <c r="A3977" s="122" t="n">
        <v>17783</v>
      </c>
      <c r="B3977" s="122" t="inlineStr">
        <is>
          <t>United Kingdom</t>
        </is>
      </c>
      <c r="C3977" s="122" t="n">
        <v>73</v>
      </c>
      <c r="D3977" s="122" t="n">
        <v>2</v>
      </c>
      <c r="E3977" s="123" t="n">
        <v>283.47</v>
      </c>
      <c r="F3977" s="124">
        <f>IF(C3977&lt;=30,5,IF(C3977&lt;=60,4,IF(C3977&lt;=120,3,IF(C3977&lt;=200,2,1))))</f>
        <v/>
      </c>
      <c r="G3977" s="124">
        <f>IF(D3977&gt;=20,5,IF(D3977&gt;=10,4,IF(D3977&gt;=5,3,IF(D3977&gt;=2,2,1))))</f>
        <v/>
      </c>
      <c r="H3977" s="124">
        <f>IF(E3977&gt;=5000,5,IF(E3977&gt;=2000,4,IF(E3977&gt;=800,3,IF(E3977&gt;=300,2,1))))</f>
        <v/>
      </c>
      <c r="I3977" s="122">
        <f>TEXT(F3977,"0")&amp;TEXT(G3977,"0")&amp;TEXT(H3977,"0")</f>
        <v/>
      </c>
      <c r="J3977" s="122">
        <f>IFERROR(XLOOKUP(I3977,'Segment Map'!A:A,'Segment Map'!B:B,"Need Attention"),"Need Attention")</f>
        <v/>
      </c>
      <c r="K3977" s="122">
        <f>IF(E3977&gt;=5000,"🏆 Platinum",IF(E3977&gt;=2000,"🥇 Gold",IF(E3977&gt;=800,"🥈 Silver","🥉 Bronze")))</f>
        <v/>
      </c>
      <c r="L3977" s="125" t="n">
        <v>40814</v>
      </c>
    </row>
    <row r="3978">
      <c r="A3978" s="126" t="n">
        <v>17785</v>
      </c>
      <c r="B3978" s="126" t="inlineStr">
        <is>
          <t>United Kingdom</t>
        </is>
      </c>
      <c r="C3978" s="126" t="n">
        <v>54</v>
      </c>
      <c r="D3978" s="126" t="n">
        <v>1</v>
      </c>
      <c r="E3978" s="127" t="n">
        <v>131.94</v>
      </c>
      <c r="F3978" s="128">
        <f>IF(C3978&lt;=30,5,IF(C3978&lt;=60,4,IF(C3978&lt;=120,3,IF(C3978&lt;=200,2,1))))</f>
        <v/>
      </c>
      <c r="G3978" s="128">
        <f>IF(D3978&gt;=20,5,IF(D3978&gt;=10,4,IF(D3978&gt;=5,3,IF(D3978&gt;=2,2,1))))</f>
        <v/>
      </c>
      <c r="H3978" s="128">
        <f>IF(E3978&gt;=5000,5,IF(E3978&gt;=2000,4,IF(E3978&gt;=800,3,IF(E3978&gt;=300,2,1))))</f>
        <v/>
      </c>
      <c r="I3978" s="126">
        <f>TEXT(F3978,"0")&amp;TEXT(G3978,"0")&amp;TEXT(H3978,"0")</f>
        <v/>
      </c>
      <c r="J3978" s="126">
        <f>IFERROR(XLOOKUP(I3978,'Segment Map'!A:A,'Segment Map'!B:B,"Need Attention"),"Need Attention")</f>
        <v/>
      </c>
      <c r="K3978" s="126">
        <f>IF(E3978&gt;=5000,"🏆 Platinum",IF(E3978&gt;=2000,"🥇 Gold",IF(E3978&gt;=800,"🥈 Silver","🥉 Bronze")))</f>
        <v/>
      </c>
      <c r="L3978" s="129" t="n">
        <v>40833</v>
      </c>
    </row>
    <row r="3979">
      <c r="A3979" s="122" t="n">
        <v>17786</v>
      </c>
      <c r="B3979" s="122" t="inlineStr">
        <is>
          <t>United Kingdom</t>
        </is>
      </c>
      <c r="C3979" s="122" t="n">
        <v>86</v>
      </c>
      <c r="D3979" s="122" t="n">
        <v>2</v>
      </c>
      <c r="E3979" s="123" t="n">
        <v>278.74</v>
      </c>
      <c r="F3979" s="124">
        <f>IF(C3979&lt;=30,5,IF(C3979&lt;=60,4,IF(C3979&lt;=120,3,IF(C3979&lt;=200,2,1))))</f>
        <v/>
      </c>
      <c r="G3979" s="124">
        <f>IF(D3979&gt;=20,5,IF(D3979&gt;=10,4,IF(D3979&gt;=5,3,IF(D3979&gt;=2,2,1))))</f>
        <v/>
      </c>
      <c r="H3979" s="124">
        <f>IF(E3979&gt;=5000,5,IF(E3979&gt;=2000,4,IF(E3979&gt;=800,3,IF(E3979&gt;=300,2,1))))</f>
        <v/>
      </c>
      <c r="I3979" s="122">
        <f>TEXT(F3979,"0")&amp;TEXT(G3979,"0")&amp;TEXT(H3979,"0")</f>
        <v/>
      </c>
      <c r="J3979" s="122">
        <f>IFERROR(XLOOKUP(I3979,'Segment Map'!A:A,'Segment Map'!B:B,"Need Attention"),"Need Attention")</f>
        <v/>
      </c>
      <c r="K3979" s="122">
        <f>IF(E3979&gt;=5000,"🏆 Platinum",IF(E3979&gt;=2000,"🥇 Gold",IF(E3979&gt;=800,"🥈 Silver","🥉 Bronze")))</f>
        <v/>
      </c>
      <c r="L3979" s="125" t="n">
        <v>40801</v>
      </c>
    </row>
    <row r="3980">
      <c r="A3980" s="126" t="n">
        <v>17787</v>
      </c>
      <c r="B3980" s="126" t="inlineStr">
        <is>
          <t>United Kingdom</t>
        </is>
      </c>
      <c r="C3980" s="126" t="n">
        <v>153</v>
      </c>
      <c r="D3980" s="126" t="n">
        <v>4</v>
      </c>
      <c r="E3980" s="127" t="n">
        <v>1865.19</v>
      </c>
      <c r="F3980" s="128">
        <f>IF(C3980&lt;=30,5,IF(C3980&lt;=60,4,IF(C3980&lt;=120,3,IF(C3980&lt;=200,2,1))))</f>
        <v/>
      </c>
      <c r="G3980" s="128">
        <f>IF(D3980&gt;=20,5,IF(D3980&gt;=10,4,IF(D3980&gt;=5,3,IF(D3980&gt;=2,2,1))))</f>
        <v/>
      </c>
      <c r="H3980" s="128">
        <f>IF(E3980&gt;=5000,5,IF(E3980&gt;=2000,4,IF(E3980&gt;=800,3,IF(E3980&gt;=300,2,1))))</f>
        <v/>
      </c>
      <c r="I3980" s="126">
        <f>TEXT(F3980,"0")&amp;TEXT(G3980,"0")&amp;TEXT(H3980,"0")</f>
        <v/>
      </c>
      <c r="J3980" s="126">
        <f>IFERROR(XLOOKUP(I3980,'Segment Map'!A:A,'Segment Map'!B:B,"Need Attention"),"Need Attention")</f>
        <v/>
      </c>
      <c r="K3980" s="126">
        <f>IF(E3980&gt;=5000,"🏆 Platinum",IF(E3980&gt;=2000,"🥇 Gold",IF(E3980&gt;=800,"🥈 Silver","🥉 Bronze")))</f>
        <v/>
      </c>
      <c r="L3980" s="129" t="n">
        <v>40734</v>
      </c>
    </row>
    <row r="3981">
      <c r="A3981" s="122" t="n">
        <v>17788</v>
      </c>
      <c r="B3981" s="122" t="inlineStr">
        <is>
          <t>United Kingdom</t>
        </is>
      </c>
      <c r="C3981" s="122" t="n">
        <v>74</v>
      </c>
      <c r="D3981" s="122" t="n">
        <v>2</v>
      </c>
      <c r="E3981" s="123" t="n">
        <v>1117.9</v>
      </c>
      <c r="F3981" s="124">
        <f>IF(C3981&lt;=30,5,IF(C3981&lt;=60,4,IF(C3981&lt;=120,3,IF(C3981&lt;=200,2,1))))</f>
        <v/>
      </c>
      <c r="G3981" s="124">
        <f>IF(D3981&gt;=20,5,IF(D3981&gt;=10,4,IF(D3981&gt;=5,3,IF(D3981&gt;=2,2,1))))</f>
        <v/>
      </c>
      <c r="H3981" s="124">
        <f>IF(E3981&gt;=5000,5,IF(E3981&gt;=2000,4,IF(E3981&gt;=800,3,IF(E3981&gt;=300,2,1))))</f>
        <v/>
      </c>
      <c r="I3981" s="122">
        <f>TEXT(F3981,"0")&amp;TEXT(G3981,"0")&amp;TEXT(H3981,"0")</f>
        <v/>
      </c>
      <c r="J3981" s="122">
        <f>IFERROR(XLOOKUP(I3981,'Segment Map'!A:A,'Segment Map'!B:B,"Need Attention"),"Need Attention")</f>
        <v/>
      </c>
      <c r="K3981" s="122">
        <f>IF(E3981&gt;=5000,"🏆 Platinum",IF(E3981&gt;=2000,"🥇 Gold",IF(E3981&gt;=800,"🥈 Silver","🥉 Bronze")))</f>
        <v/>
      </c>
      <c r="L3981" s="125" t="n">
        <v>40813</v>
      </c>
    </row>
    <row r="3982">
      <c r="A3982" s="126" t="n">
        <v>17789</v>
      </c>
      <c r="B3982" s="126" t="inlineStr">
        <is>
          <t>United Kingdom</t>
        </is>
      </c>
      <c r="C3982" s="126" t="n">
        <v>282</v>
      </c>
      <c r="D3982" s="126" t="n">
        <v>1</v>
      </c>
      <c r="E3982" s="127" t="n">
        <v>225.9</v>
      </c>
      <c r="F3982" s="128">
        <f>IF(C3982&lt;=30,5,IF(C3982&lt;=60,4,IF(C3982&lt;=120,3,IF(C3982&lt;=200,2,1))))</f>
        <v/>
      </c>
      <c r="G3982" s="128">
        <f>IF(D3982&gt;=20,5,IF(D3982&gt;=10,4,IF(D3982&gt;=5,3,IF(D3982&gt;=2,2,1))))</f>
        <v/>
      </c>
      <c r="H3982" s="128">
        <f>IF(E3982&gt;=5000,5,IF(E3982&gt;=2000,4,IF(E3982&gt;=800,3,IF(E3982&gt;=300,2,1))))</f>
        <v/>
      </c>
      <c r="I3982" s="126">
        <f>TEXT(F3982,"0")&amp;TEXT(G3982,"0")&amp;TEXT(H3982,"0")</f>
        <v/>
      </c>
      <c r="J3982" s="126">
        <f>IFERROR(XLOOKUP(I3982,'Segment Map'!A:A,'Segment Map'!B:B,"Need Attention"),"Need Attention")</f>
        <v/>
      </c>
      <c r="K3982" s="126">
        <f>IF(E3982&gt;=5000,"🏆 Platinum",IF(E3982&gt;=2000,"🥇 Gold",IF(E3982&gt;=800,"🥈 Silver","🥉 Bronze")))</f>
        <v/>
      </c>
      <c r="L3982" s="129" t="n">
        <v>40605</v>
      </c>
    </row>
    <row r="3983">
      <c r="A3983" s="122" t="n">
        <v>17790</v>
      </c>
      <c r="B3983" s="122" t="inlineStr">
        <is>
          <t>United Kingdom</t>
        </is>
      </c>
      <c r="C3983" s="122" t="n">
        <v>27</v>
      </c>
      <c r="D3983" s="122" t="n">
        <v>14</v>
      </c>
      <c r="E3983" s="123" t="n">
        <v>1965.55</v>
      </c>
      <c r="F3983" s="124">
        <f>IF(C3983&lt;=30,5,IF(C3983&lt;=60,4,IF(C3983&lt;=120,3,IF(C3983&lt;=200,2,1))))</f>
        <v/>
      </c>
      <c r="G3983" s="124">
        <f>IF(D3983&gt;=20,5,IF(D3983&gt;=10,4,IF(D3983&gt;=5,3,IF(D3983&gt;=2,2,1))))</f>
        <v/>
      </c>
      <c r="H3983" s="124">
        <f>IF(E3983&gt;=5000,5,IF(E3983&gt;=2000,4,IF(E3983&gt;=800,3,IF(E3983&gt;=300,2,1))))</f>
        <v/>
      </c>
      <c r="I3983" s="122">
        <f>TEXT(F3983,"0")&amp;TEXT(G3983,"0")&amp;TEXT(H3983,"0")</f>
        <v/>
      </c>
      <c r="J3983" s="122">
        <f>IFERROR(XLOOKUP(I3983,'Segment Map'!A:A,'Segment Map'!B:B,"Need Attention"),"Need Attention")</f>
        <v/>
      </c>
      <c r="K3983" s="122">
        <f>IF(E3983&gt;=5000,"🏆 Platinum",IF(E3983&gt;=2000,"🥇 Gold",IF(E3983&gt;=800,"🥈 Silver","🥉 Bronze")))</f>
        <v/>
      </c>
      <c r="L3983" s="125" t="n">
        <v>40860</v>
      </c>
    </row>
    <row r="3984">
      <c r="A3984" s="126" t="n">
        <v>17791</v>
      </c>
      <c r="B3984" s="126" t="inlineStr">
        <is>
          <t>United Kingdom</t>
        </is>
      </c>
      <c r="C3984" s="126" t="n">
        <v>30</v>
      </c>
      <c r="D3984" s="126" t="n">
        <v>1</v>
      </c>
      <c r="E3984" s="127" t="n">
        <v>106.1</v>
      </c>
      <c r="F3984" s="128">
        <f>IF(C3984&lt;=30,5,IF(C3984&lt;=60,4,IF(C3984&lt;=120,3,IF(C3984&lt;=200,2,1))))</f>
        <v/>
      </c>
      <c r="G3984" s="128">
        <f>IF(D3984&gt;=20,5,IF(D3984&gt;=10,4,IF(D3984&gt;=5,3,IF(D3984&gt;=2,2,1))))</f>
        <v/>
      </c>
      <c r="H3984" s="128">
        <f>IF(E3984&gt;=5000,5,IF(E3984&gt;=2000,4,IF(E3984&gt;=800,3,IF(E3984&gt;=300,2,1))))</f>
        <v/>
      </c>
      <c r="I3984" s="126">
        <f>TEXT(F3984,"0")&amp;TEXT(G3984,"0")&amp;TEXT(H3984,"0")</f>
        <v/>
      </c>
      <c r="J3984" s="126">
        <f>IFERROR(XLOOKUP(I3984,'Segment Map'!A:A,'Segment Map'!B:B,"Need Attention"),"Need Attention")</f>
        <v/>
      </c>
      <c r="K3984" s="126">
        <f>IF(E3984&gt;=5000,"🏆 Platinum",IF(E3984&gt;=2000,"🥇 Gold",IF(E3984&gt;=800,"🥈 Silver","🥉 Bronze")))</f>
        <v/>
      </c>
      <c r="L3984" s="129" t="n">
        <v>40857</v>
      </c>
    </row>
    <row r="3985">
      <c r="A3985" s="122" t="n">
        <v>17793</v>
      </c>
      <c r="B3985" s="122" t="inlineStr">
        <is>
          <t>United Kingdom</t>
        </is>
      </c>
      <c r="C3985" s="122" t="n">
        <v>26</v>
      </c>
      <c r="D3985" s="122" t="n">
        <v>1</v>
      </c>
      <c r="E3985" s="123" t="n">
        <v>323.04</v>
      </c>
      <c r="F3985" s="124">
        <f>IF(C3985&lt;=30,5,IF(C3985&lt;=60,4,IF(C3985&lt;=120,3,IF(C3985&lt;=200,2,1))))</f>
        <v/>
      </c>
      <c r="G3985" s="124">
        <f>IF(D3985&gt;=20,5,IF(D3985&gt;=10,4,IF(D3985&gt;=5,3,IF(D3985&gt;=2,2,1))))</f>
        <v/>
      </c>
      <c r="H3985" s="124">
        <f>IF(E3985&gt;=5000,5,IF(E3985&gt;=2000,4,IF(E3985&gt;=800,3,IF(E3985&gt;=300,2,1))))</f>
        <v/>
      </c>
      <c r="I3985" s="122">
        <f>TEXT(F3985,"0")&amp;TEXT(G3985,"0")&amp;TEXT(H3985,"0")</f>
        <v/>
      </c>
      <c r="J3985" s="122">
        <f>IFERROR(XLOOKUP(I3985,'Segment Map'!A:A,'Segment Map'!B:B,"Need Attention"),"Need Attention")</f>
        <v/>
      </c>
      <c r="K3985" s="122">
        <f>IF(E3985&gt;=5000,"🏆 Platinum",IF(E3985&gt;=2000,"🥇 Gold",IF(E3985&gt;=800,"🥈 Silver","🥉 Bronze")))</f>
        <v/>
      </c>
      <c r="L3985" s="125" t="n">
        <v>40861</v>
      </c>
    </row>
    <row r="3986">
      <c r="A3986" s="126" t="n">
        <v>17795</v>
      </c>
      <c r="B3986" s="126" t="inlineStr">
        <is>
          <t>United Kingdom</t>
        </is>
      </c>
      <c r="C3986" s="126" t="n">
        <v>180</v>
      </c>
      <c r="D3986" s="126" t="n">
        <v>2</v>
      </c>
      <c r="E3986" s="127" t="n">
        <v>350.39</v>
      </c>
      <c r="F3986" s="128">
        <f>IF(C3986&lt;=30,5,IF(C3986&lt;=60,4,IF(C3986&lt;=120,3,IF(C3986&lt;=200,2,1))))</f>
        <v/>
      </c>
      <c r="G3986" s="128">
        <f>IF(D3986&gt;=20,5,IF(D3986&gt;=10,4,IF(D3986&gt;=5,3,IF(D3986&gt;=2,2,1))))</f>
        <v/>
      </c>
      <c r="H3986" s="128">
        <f>IF(E3986&gt;=5000,5,IF(E3986&gt;=2000,4,IF(E3986&gt;=800,3,IF(E3986&gt;=300,2,1))))</f>
        <v/>
      </c>
      <c r="I3986" s="126">
        <f>TEXT(F3986,"0")&amp;TEXT(G3986,"0")&amp;TEXT(H3986,"0")</f>
        <v/>
      </c>
      <c r="J3986" s="126">
        <f>IFERROR(XLOOKUP(I3986,'Segment Map'!A:A,'Segment Map'!B:B,"Need Attention"),"Need Attention")</f>
        <v/>
      </c>
      <c r="K3986" s="126">
        <f>IF(E3986&gt;=5000,"🏆 Platinum",IF(E3986&gt;=2000,"🥇 Gold",IF(E3986&gt;=800,"🥈 Silver","🥉 Bronze")))</f>
        <v/>
      </c>
      <c r="L3986" s="129" t="n">
        <v>40707</v>
      </c>
    </row>
    <row r="3987">
      <c r="A3987" s="122" t="n">
        <v>17796</v>
      </c>
      <c r="B3987" s="122" t="inlineStr">
        <is>
          <t>United Kingdom</t>
        </is>
      </c>
      <c r="C3987" s="122" t="n">
        <v>41</v>
      </c>
      <c r="D3987" s="122" t="n">
        <v>4</v>
      </c>
      <c r="E3987" s="123" t="n">
        <v>697.9</v>
      </c>
      <c r="F3987" s="124">
        <f>IF(C3987&lt;=30,5,IF(C3987&lt;=60,4,IF(C3987&lt;=120,3,IF(C3987&lt;=200,2,1))))</f>
        <v/>
      </c>
      <c r="G3987" s="124">
        <f>IF(D3987&gt;=20,5,IF(D3987&gt;=10,4,IF(D3987&gt;=5,3,IF(D3987&gt;=2,2,1))))</f>
        <v/>
      </c>
      <c r="H3987" s="124">
        <f>IF(E3987&gt;=5000,5,IF(E3987&gt;=2000,4,IF(E3987&gt;=800,3,IF(E3987&gt;=300,2,1))))</f>
        <v/>
      </c>
      <c r="I3987" s="122">
        <f>TEXT(F3987,"0")&amp;TEXT(G3987,"0")&amp;TEXT(H3987,"0")</f>
        <v/>
      </c>
      <c r="J3987" s="122">
        <f>IFERROR(XLOOKUP(I3987,'Segment Map'!A:A,'Segment Map'!B:B,"Need Attention"),"Need Attention")</f>
        <v/>
      </c>
      <c r="K3987" s="122">
        <f>IF(E3987&gt;=5000,"🏆 Platinum",IF(E3987&gt;=2000,"🥇 Gold",IF(E3987&gt;=800,"🥈 Silver","🥉 Bronze")))</f>
        <v/>
      </c>
      <c r="L3987" s="125" t="n">
        <v>40846</v>
      </c>
    </row>
    <row r="3988">
      <c r="A3988" s="126" t="n">
        <v>17797</v>
      </c>
      <c r="B3988" s="126" t="inlineStr">
        <is>
          <t>United Kingdom</t>
        </is>
      </c>
      <c r="C3988" s="126" t="n">
        <v>23</v>
      </c>
      <c r="D3988" s="126" t="n">
        <v>3</v>
      </c>
      <c r="E3988" s="127" t="n">
        <v>780.4299999999999</v>
      </c>
      <c r="F3988" s="128">
        <f>IF(C3988&lt;=30,5,IF(C3988&lt;=60,4,IF(C3988&lt;=120,3,IF(C3988&lt;=200,2,1))))</f>
        <v/>
      </c>
      <c r="G3988" s="128">
        <f>IF(D3988&gt;=20,5,IF(D3988&gt;=10,4,IF(D3988&gt;=5,3,IF(D3988&gt;=2,2,1))))</f>
        <v/>
      </c>
      <c r="H3988" s="128">
        <f>IF(E3988&gt;=5000,5,IF(E3988&gt;=2000,4,IF(E3988&gt;=800,3,IF(E3988&gt;=300,2,1))))</f>
        <v/>
      </c>
      <c r="I3988" s="126">
        <f>TEXT(F3988,"0")&amp;TEXT(G3988,"0")&amp;TEXT(H3988,"0")</f>
        <v/>
      </c>
      <c r="J3988" s="126">
        <f>IFERROR(XLOOKUP(I3988,'Segment Map'!A:A,'Segment Map'!B:B,"Need Attention"),"Need Attention")</f>
        <v/>
      </c>
      <c r="K3988" s="126">
        <f>IF(E3988&gt;=5000,"🏆 Platinum",IF(E3988&gt;=2000,"🥇 Gold",IF(E3988&gt;=800,"🥈 Silver","🥉 Bronze")))</f>
        <v/>
      </c>
      <c r="L3988" s="129" t="n">
        <v>40864</v>
      </c>
    </row>
    <row r="3989">
      <c r="A3989" s="122" t="n">
        <v>17799</v>
      </c>
      <c r="B3989" s="122" t="inlineStr">
        <is>
          <t>United Kingdom</t>
        </is>
      </c>
      <c r="C3989" s="122" t="n">
        <v>23</v>
      </c>
      <c r="D3989" s="122" t="n">
        <v>10</v>
      </c>
      <c r="E3989" s="123" t="n">
        <v>3055.93</v>
      </c>
      <c r="F3989" s="124">
        <f>IF(C3989&lt;=30,5,IF(C3989&lt;=60,4,IF(C3989&lt;=120,3,IF(C3989&lt;=200,2,1))))</f>
        <v/>
      </c>
      <c r="G3989" s="124">
        <f>IF(D3989&gt;=20,5,IF(D3989&gt;=10,4,IF(D3989&gt;=5,3,IF(D3989&gt;=2,2,1))))</f>
        <v/>
      </c>
      <c r="H3989" s="124">
        <f>IF(E3989&gt;=5000,5,IF(E3989&gt;=2000,4,IF(E3989&gt;=800,3,IF(E3989&gt;=300,2,1))))</f>
        <v/>
      </c>
      <c r="I3989" s="122">
        <f>TEXT(F3989,"0")&amp;TEXT(G3989,"0")&amp;TEXT(H3989,"0")</f>
        <v/>
      </c>
      <c r="J3989" s="122">
        <f>IFERROR(XLOOKUP(I3989,'Segment Map'!A:A,'Segment Map'!B:B,"Need Attention"),"Need Attention")</f>
        <v/>
      </c>
      <c r="K3989" s="122">
        <f>IF(E3989&gt;=5000,"🏆 Platinum",IF(E3989&gt;=2000,"🥇 Gold",IF(E3989&gt;=800,"🥈 Silver","🥉 Bronze")))</f>
        <v/>
      </c>
      <c r="L3989" s="125" t="n">
        <v>40864</v>
      </c>
    </row>
    <row r="3990">
      <c r="A3990" s="126" t="n">
        <v>17800</v>
      </c>
      <c r="B3990" s="126" t="inlineStr">
        <is>
          <t>United Kingdom</t>
        </is>
      </c>
      <c r="C3990" s="126" t="n">
        <v>38</v>
      </c>
      <c r="D3990" s="126" t="n">
        <v>9</v>
      </c>
      <c r="E3990" s="127" t="n">
        <v>1199.01</v>
      </c>
      <c r="F3990" s="128">
        <f>IF(C3990&lt;=30,5,IF(C3990&lt;=60,4,IF(C3990&lt;=120,3,IF(C3990&lt;=200,2,1))))</f>
        <v/>
      </c>
      <c r="G3990" s="128">
        <f>IF(D3990&gt;=20,5,IF(D3990&gt;=10,4,IF(D3990&gt;=5,3,IF(D3990&gt;=2,2,1))))</f>
        <v/>
      </c>
      <c r="H3990" s="128">
        <f>IF(E3990&gt;=5000,5,IF(E3990&gt;=2000,4,IF(E3990&gt;=800,3,IF(E3990&gt;=300,2,1))))</f>
        <v/>
      </c>
      <c r="I3990" s="126">
        <f>TEXT(F3990,"0")&amp;TEXT(G3990,"0")&amp;TEXT(H3990,"0")</f>
        <v/>
      </c>
      <c r="J3990" s="126">
        <f>IFERROR(XLOOKUP(I3990,'Segment Map'!A:A,'Segment Map'!B:B,"Need Attention"),"Need Attention")</f>
        <v/>
      </c>
      <c r="K3990" s="126">
        <f>IF(E3990&gt;=5000,"🏆 Platinum",IF(E3990&gt;=2000,"🥇 Gold",IF(E3990&gt;=800,"🥈 Silver","🥉 Bronze")))</f>
        <v/>
      </c>
      <c r="L3990" s="129" t="n">
        <v>40849</v>
      </c>
    </row>
    <row r="3991">
      <c r="A3991" s="122" t="n">
        <v>17802</v>
      </c>
      <c r="B3991" s="122" t="inlineStr">
        <is>
          <t>United Kingdom</t>
        </is>
      </c>
      <c r="C3991" s="122" t="n">
        <v>83</v>
      </c>
      <c r="D3991" s="122" t="n">
        <v>3</v>
      </c>
      <c r="E3991" s="123" t="n">
        <v>1285.04</v>
      </c>
      <c r="F3991" s="124">
        <f>IF(C3991&lt;=30,5,IF(C3991&lt;=60,4,IF(C3991&lt;=120,3,IF(C3991&lt;=200,2,1))))</f>
        <v/>
      </c>
      <c r="G3991" s="124">
        <f>IF(D3991&gt;=20,5,IF(D3991&gt;=10,4,IF(D3991&gt;=5,3,IF(D3991&gt;=2,2,1))))</f>
        <v/>
      </c>
      <c r="H3991" s="124">
        <f>IF(E3991&gt;=5000,5,IF(E3991&gt;=2000,4,IF(E3991&gt;=800,3,IF(E3991&gt;=300,2,1))))</f>
        <v/>
      </c>
      <c r="I3991" s="122">
        <f>TEXT(F3991,"0")&amp;TEXT(G3991,"0")&amp;TEXT(H3991,"0")</f>
        <v/>
      </c>
      <c r="J3991" s="122">
        <f>IFERROR(XLOOKUP(I3991,'Segment Map'!A:A,'Segment Map'!B:B,"Need Attention"),"Need Attention")</f>
        <v/>
      </c>
      <c r="K3991" s="122">
        <f>IF(E3991&gt;=5000,"🏆 Platinum",IF(E3991&gt;=2000,"🥇 Gold",IF(E3991&gt;=800,"🥈 Silver","🥉 Bronze")))</f>
        <v/>
      </c>
      <c r="L3991" s="125" t="n">
        <v>40804</v>
      </c>
    </row>
    <row r="3992">
      <c r="A3992" s="126" t="n">
        <v>17805</v>
      </c>
      <c r="B3992" s="126" t="inlineStr">
        <is>
          <t>United Kingdom</t>
        </is>
      </c>
      <c r="C3992" s="126" t="n">
        <v>74</v>
      </c>
      <c r="D3992" s="126" t="n">
        <v>1</v>
      </c>
      <c r="E3992" s="127" t="n">
        <v>512.3099999999999</v>
      </c>
      <c r="F3992" s="128">
        <f>IF(C3992&lt;=30,5,IF(C3992&lt;=60,4,IF(C3992&lt;=120,3,IF(C3992&lt;=200,2,1))))</f>
        <v/>
      </c>
      <c r="G3992" s="128">
        <f>IF(D3992&gt;=20,5,IF(D3992&gt;=10,4,IF(D3992&gt;=5,3,IF(D3992&gt;=2,2,1))))</f>
        <v/>
      </c>
      <c r="H3992" s="128">
        <f>IF(E3992&gt;=5000,5,IF(E3992&gt;=2000,4,IF(E3992&gt;=800,3,IF(E3992&gt;=300,2,1))))</f>
        <v/>
      </c>
      <c r="I3992" s="126">
        <f>TEXT(F3992,"0")&amp;TEXT(G3992,"0")&amp;TEXT(H3992,"0")</f>
        <v/>
      </c>
      <c r="J3992" s="126">
        <f>IFERROR(XLOOKUP(I3992,'Segment Map'!A:A,'Segment Map'!B:B,"Need Attention"),"Need Attention")</f>
        <v/>
      </c>
      <c r="K3992" s="126">
        <f>IF(E3992&gt;=5000,"🏆 Platinum",IF(E3992&gt;=2000,"🥇 Gold",IF(E3992&gt;=800,"🥈 Silver","🥉 Bronze")))</f>
        <v/>
      </c>
      <c r="L3992" s="129" t="n">
        <v>40813</v>
      </c>
    </row>
    <row r="3993">
      <c r="A3993" s="122" t="n">
        <v>17806</v>
      </c>
      <c r="B3993" s="122" t="inlineStr">
        <is>
          <t>United Kingdom</t>
        </is>
      </c>
      <c r="C3993" s="122" t="n">
        <v>12</v>
      </c>
      <c r="D3993" s="122" t="n">
        <v>1</v>
      </c>
      <c r="E3993" s="123" t="n">
        <v>546.04</v>
      </c>
      <c r="F3993" s="124">
        <f>IF(C3993&lt;=30,5,IF(C3993&lt;=60,4,IF(C3993&lt;=120,3,IF(C3993&lt;=200,2,1))))</f>
        <v/>
      </c>
      <c r="G3993" s="124">
        <f>IF(D3993&gt;=20,5,IF(D3993&gt;=10,4,IF(D3993&gt;=5,3,IF(D3993&gt;=2,2,1))))</f>
        <v/>
      </c>
      <c r="H3993" s="124">
        <f>IF(E3993&gt;=5000,5,IF(E3993&gt;=2000,4,IF(E3993&gt;=800,3,IF(E3993&gt;=300,2,1))))</f>
        <v/>
      </c>
      <c r="I3993" s="122">
        <f>TEXT(F3993,"0")&amp;TEXT(G3993,"0")&amp;TEXT(H3993,"0")</f>
        <v/>
      </c>
      <c r="J3993" s="122">
        <f>IFERROR(XLOOKUP(I3993,'Segment Map'!A:A,'Segment Map'!B:B,"Need Attention"),"Need Attention")</f>
        <v/>
      </c>
      <c r="K3993" s="122">
        <f>IF(E3993&gt;=5000,"🏆 Platinum",IF(E3993&gt;=2000,"🥇 Gold",IF(E3993&gt;=800,"🥈 Silver","🥉 Bronze")))</f>
        <v/>
      </c>
      <c r="L3993" s="125" t="n">
        <v>40875</v>
      </c>
    </row>
    <row r="3994">
      <c r="A3994" s="126" t="n">
        <v>17809</v>
      </c>
      <c r="B3994" s="126" t="inlineStr">
        <is>
          <t>United Kingdom</t>
        </is>
      </c>
      <c r="C3994" s="126" t="n">
        <v>17</v>
      </c>
      <c r="D3994" s="126" t="n">
        <v>12</v>
      </c>
      <c r="E3994" s="127" t="n">
        <v>5411.91</v>
      </c>
      <c r="F3994" s="128">
        <f>IF(C3994&lt;=30,5,IF(C3994&lt;=60,4,IF(C3994&lt;=120,3,IF(C3994&lt;=200,2,1))))</f>
        <v/>
      </c>
      <c r="G3994" s="128">
        <f>IF(D3994&gt;=20,5,IF(D3994&gt;=10,4,IF(D3994&gt;=5,3,IF(D3994&gt;=2,2,1))))</f>
        <v/>
      </c>
      <c r="H3994" s="128">
        <f>IF(E3994&gt;=5000,5,IF(E3994&gt;=2000,4,IF(E3994&gt;=800,3,IF(E3994&gt;=300,2,1))))</f>
        <v/>
      </c>
      <c r="I3994" s="126">
        <f>TEXT(F3994,"0")&amp;TEXT(G3994,"0")&amp;TEXT(H3994,"0")</f>
        <v/>
      </c>
      <c r="J3994" s="126">
        <f>IFERROR(XLOOKUP(I3994,'Segment Map'!A:A,'Segment Map'!B:B,"Need Attention"),"Need Attention")</f>
        <v/>
      </c>
      <c r="K3994" s="126">
        <f>IF(E3994&gt;=5000,"🏆 Platinum",IF(E3994&gt;=2000,"🥇 Gold",IF(E3994&gt;=800,"🥈 Silver","🥉 Bronze")))</f>
        <v/>
      </c>
      <c r="L3994" s="129" t="n">
        <v>40870</v>
      </c>
    </row>
    <row r="3995">
      <c r="A3995" s="122" t="n">
        <v>17811</v>
      </c>
      <c r="B3995" s="122" t="inlineStr">
        <is>
          <t>United Kingdom</t>
        </is>
      </c>
      <c r="C3995" s="122" t="n">
        <v>5</v>
      </c>
      <c r="D3995" s="122" t="n">
        <v>39</v>
      </c>
      <c r="E3995" s="123" t="n">
        <v>7837.73</v>
      </c>
      <c r="F3995" s="124">
        <f>IF(C3995&lt;=30,5,IF(C3995&lt;=60,4,IF(C3995&lt;=120,3,IF(C3995&lt;=200,2,1))))</f>
        <v/>
      </c>
      <c r="G3995" s="124">
        <f>IF(D3995&gt;=20,5,IF(D3995&gt;=10,4,IF(D3995&gt;=5,3,IF(D3995&gt;=2,2,1))))</f>
        <v/>
      </c>
      <c r="H3995" s="124">
        <f>IF(E3995&gt;=5000,5,IF(E3995&gt;=2000,4,IF(E3995&gt;=800,3,IF(E3995&gt;=300,2,1))))</f>
        <v/>
      </c>
      <c r="I3995" s="122">
        <f>TEXT(F3995,"0")&amp;TEXT(G3995,"0")&amp;TEXT(H3995,"0")</f>
        <v/>
      </c>
      <c r="J3995" s="122">
        <f>IFERROR(XLOOKUP(I3995,'Segment Map'!A:A,'Segment Map'!B:B,"Need Attention"),"Need Attention")</f>
        <v/>
      </c>
      <c r="K3995" s="122">
        <f>IF(E3995&gt;=5000,"🏆 Platinum",IF(E3995&gt;=2000,"🥇 Gold",IF(E3995&gt;=800,"🥈 Silver","🥉 Bronze")))</f>
        <v/>
      </c>
      <c r="L3995" s="125" t="n">
        <v>40882</v>
      </c>
    </row>
    <row r="3996">
      <c r="A3996" s="126" t="n">
        <v>17812</v>
      </c>
      <c r="B3996" s="126" t="inlineStr">
        <is>
          <t>United Kingdom</t>
        </is>
      </c>
      <c r="C3996" s="126" t="n">
        <v>13</v>
      </c>
      <c r="D3996" s="126" t="n">
        <v>4</v>
      </c>
      <c r="E3996" s="127" t="n">
        <v>732.16</v>
      </c>
      <c r="F3996" s="128">
        <f>IF(C3996&lt;=30,5,IF(C3996&lt;=60,4,IF(C3996&lt;=120,3,IF(C3996&lt;=200,2,1))))</f>
        <v/>
      </c>
      <c r="G3996" s="128">
        <f>IF(D3996&gt;=20,5,IF(D3996&gt;=10,4,IF(D3996&gt;=5,3,IF(D3996&gt;=2,2,1))))</f>
        <v/>
      </c>
      <c r="H3996" s="128">
        <f>IF(E3996&gt;=5000,5,IF(E3996&gt;=2000,4,IF(E3996&gt;=800,3,IF(E3996&gt;=300,2,1))))</f>
        <v/>
      </c>
      <c r="I3996" s="126">
        <f>TEXT(F3996,"0")&amp;TEXT(G3996,"0")&amp;TEXT(H3996,"0")</f>
        <v/>
      </c>
      <c r="J3996" s="126">
        <f>IFERROR(XLOOKUP(I3996,'Segment Map'!A:A,'Segment Map'!B:B,"Need Attention"),"Need Attention")</f>
        <v/>
      </c>
      <c r="K3996" s="126">
        <f>IF(E3996&gt;=5000,"🏆 Platinum",IF(E3996&gt;=2000,"🥇 Gold",IF(E3996&gt;=800,"🥈 Silver","🥉 Bronze")))</f>
        <v/>
      </c>
      <c r="L3996" s="129" t="n">
        <v>40874</v>
      </c>
    </row>
    <row r="3997">
      <c r="A3997" s="122" t="n">
        <v>17813</v>
      </c>
      <c r="B3997" s="122" t="inlineStr">
        <is>
          <t>United Kingdom</t>
        </is>
      </c>
      <c r="C3997" s="122" t="n">
        <v>15</v>
      </c>
      <c r="D3997" s="122" t="n">
        <v>5</v>
      </c>
      <c r="E3997" s="123" t="n">
        <v>1770.88</v>
      </c>
      <c r="F3997" s="124">
        <f>IF(C3997&lt;=30,5,IF(C3997&lt;=60,4,IF(C3997&lt;=120,3,IF(C3997&lt;=200,2,1))))</f>
        <v/>
      </c>
      <c r="G3997" s="124">
        <f>IF(D3997&gt;=20,5,IF(D3997&gt;=10,4,IF(D3997&gt;=5,3,IF(D3997&gt;=2,2,1))))</f>
        <v/>
      </c>
      <c r="H3997" s="124">
        <f>IF(E3997&gt;=5000,5,IF(E3997&gt;=2000,4,IF(E3997&gt;=800,3,IF(E3997&gt;=300,2,1))))</f>
        <v/>
      </c>
      <c r="I3997" s="122">
        <f>TEXT(F3997,"0")&amp;TEXT(G3997,"0")&amp;TEXT(H3997,"0")</f>
        <v/>
      </c>
      <c r="J3997" s="122">
        <f>IFERROR(XLOOKUP(I3997,'Segment Map'!A:A,'Segment Map'!B:B,"Need Attention"),"Need Attention")</f>
        <v/>
      </c>
      <c r="K3997" s="122">
        <f>IF(E3997&gt;=5000,"🏆 Platinum",IF(E3997&gt;=2000,"🥇 Gold",IF(E3997&gt;=800,"🥈 Silver","🥉 Bronze")))</f>
        <v/>
      </c>
      <c r="L3997" s="125" t="n">
        <v>40872</v>
      </c>
    </row>
    <row r="3998">
      <c r="A3998" s="126" t="n">
        <v>17816</v>
      </c>
      <c r="B3998" s="126" t="inlineStr">
        <is>
          <t>United Kingdom</t>
        </is>
      </c>
      <c r="C3998" s="126" t="n">
        <v>37</v>
      </c>
      <c r="D3998" s="126" t="n">
        <v>4</v>
      </c>
      <c r="E3998" s="127" t="n">
        <v>36.56</v>
      </c>
      <c r="F3998" s="128">
        <f>IF(C3998&lt;=30,5,IF(C3998&lt;=60,4,IF(C3998&lt;=120,3,IF(C3998&lt;=200,2,1))))</f>
        <v/>
      </c>
      <c r="G3998" s="128">
        <f>IF(D3998&gt;=20,5,IF(D3998&gt;=10,4,IF(D3998&gt;=5,3,IF(D3998&gt;=2,2,1))))</f>
        <v/>
      </c>
      <c r="H3998" s="128">
        <f>IF(E3998&gt;=5000,5,IF(E3998&gt;=2000,4,IF(E3998&gt;=800,3,IF(E3998&gt;=300,2,1))))</f>
        <v/>
      </c>
      <c r="I3998" s="126">
        <f>TEXT(F3998,"0")&amp;TEXT(G3998,"0")&amp;TEXT(H3998,"0")</f>
        <v/>
      </c>
      <c r="J3998" s="126">
        <f>IFERROR(XLOOKUP(I3998,'Segment Map'!A:A,'Segment Map'!B:B,"Need Attention"),"Need Attention")</f>
        <v/>
      </c>
      <c r="K3998" s="126">
        <f>IF(E3998&gt;=5000,"🏆 Platinum",IF(E3998&gt;=2000,"🥇 Gold",IF(E3998&gt;=800,"🥈 Silver","🥉 Bronze")))</f>
        <v/>
      </c>
      <c r="L3998" s="129" t="n">
        <v>40850</v>
      </c>
    </row>
    <row r="3999">
      <c r="A3999" s="122" t="n">
        <v>17817</v>
      </c>
      <c r="B3999" s="122" t="inlineStr">
        <is>
          <t>United Kingdom</t>
        </is>
      </c>
      <c r="C3999" s="122" t="n">
        <v>5</v>
      </c>
      <c r="D3999" s="122" t="n">
        <v>3</v>
      </c>
      <c r="E3999" s="123" t="n">
        <v>387.68</v>
      </c>
      <c r="F3999" s="124">
        <f>IF(C3999&lt;=30,5,IF(C3999&lt;=60,4,IF(C3999&lt;=120,3,IF(C3999&lt;=200,2,1))))</f>
        <v/>
      </c>
      <c r="G3999" s="124">
        <f>IF(D3999&gt;=20,5,IF(D3999&gt;=10,4,IF(D3999&gt;=5,3,IF(D3999&gt;=2,2,1))))</f>
        <v/>
      </c>
      <c r="H3999" s="124">
        <f>IF(E3999&gt;=5000,5,IF(E3999&gt;=2000,4,IF(E3999&gt;=800,3,IF(E3999&gt;=300,2,1))))</f>
        <v/>
      </c>
      <c r="I3999" s="122">
        <f>TEXT(F3999,"0")&amp;TEXT(G3999,"0")&amp;TEXT(H3999,"0")</f>
        <v/>
      </c>
      <c r="J3999" s="122">
        <f>IFERROR(XLOOKUP(I3999,'Segment Map'!A:A,'Segment Map'!B:B,"Need Attention"),"Need Attention")</f>
        <v/>
      </c>
      <c r="K3999" s="122">
        <f>IF(E3999&gt;=5000,"🏆 Platinum",IF(E3999&gt;=2000,"🥇 Gold",IF(E3999&gt;=800,"🥈 Silver","🥉 Bronze")))</f>
        <v/>
      </c>
      <c r="L3999" s="125" t="n">
        <v>40882</v>
      </c>
    </row>
    <row r="4000">
      <c r="A4000" s="126" t="n">
        <v>17819</v>
      </c>
      <c r="B4000" s="126" t="inlineStr">
        <is>
          <t>United Kingdom</t>
        </is>
      </c>
      <c r="C4000" s="126" t="n">
        <v>72</v>
      </c>
      <c r="D4000" s="126" t="n">
        <v>7</v>
      </c>
      <c r="E4000" s="127" t="n">
        <v>3704.87</v>
      </c>
      <c r="F4000" s="128">
        <f>IF(C4000&lt;=30,5,IF(C4000&lt;=60,4,IF(C4000&lt;=120,3,IF(C4000&lt;=200,2,1))))</f>
        <v/>
      </c>
      <c r="G4000" s="128">
        <f>IF(D4000&gt;=20,5,IF(D4000&gt;=10,4,IF(D4000&gt;=5,3,IF(D4000&gt;=2,2,1))))</f>
        <v/>
      </c>
      <c r="H4000" s="128">
        <f>IF(E4000&gt;=5000,5,IF(E4000&gt;=2000,4,IF(E4000&gt;=800,3,IF(E4000&gt;=300,2,1))))</f>
        <v/>
      </c>
      <c r="I4000" s="126">
        <f>TEXT(F4000,"0")&amp;TEXT(G4000,"0")&amp;TEXT(H4000,"0")</f>
        <v/>
      </c>
      <c r="J4000" s="126">
        <f>IFERROR(XLOOKUP(I4000,'Segment Map'!A:A,'Segment Map'!B:B,"Need Attention"),"Need Attention")</f>
        <v/>
      </c>
      <c r="K4000" s="126">
        <f>IF(E4000&gt;=5000,"🏆 Platinum",IF(E4000&gt;=2000,"🥇 Gold",IF(E4000&gt;=800,"🥈 Silver","🥉 Bronze")))</f>
        <v/>
      </c>
      <c r="L4000" s="129" t="n">
        <v>40815</v>
      </c>
    </row>
    <row r="4001">
      <c r="A4001" s="122" t="n">
        <v>17824</v>
      </c>
      <c r="B4001" s="122" t="inlineStr">
        <is>
          <t>United Kingdom</t>
        </is>
      </c>
      <c r="C4001" s="122" t="n">
        <v>52</v>
      </c>
      <c r="D4001" s="122" t="n">
        <v>1</v>
      </c>
      <c r="E4001" s="123" t="n">
        <v>298.4</v>
      </c>
      <c r="F4001" s="124">
        <f>IF(C4001&lt;=30,5,IF(C4001&lt;=60,4,IF(C4001&lt;=120,3,IF(C4001&lt;=200,2,1))))</f>
        <v/>
      </c>
      <c r="G4001" s="124">
        <f>IF(D4001&gt;=20,5,IF(D4001&gt;=10,4,IF(D4001&gt;=5,3,IF(D4001&gt;=2,2,1))))</f>
        <v/>
      </c>
      <c r="H4001" s="124">
        <f>IF(E4001&gt;=5000,5,IF(E4001&gt;=2000,4,IF(E4001&gt;=800,3,IF(E4001&gt;=300,2,1))))</f>
        <v/>
      </c>
      <c r="I4001" s="122">
        <f>TEXT(F4001,"0")&amp;TEXT(G4001,"0")&amp;TEXT(H4001,"0")</f>
        <v/>
      </c>
      <c r="J4001" s="122">
        <f>IFERROR(XLOOKUP(I4001,'Segment Map'!A:A,'Segment Map'!B:B,"Need Attention"),"Need Attention")</f>
        <v/>
      </c>
      <c r="K4001" s="122">
        <f>IF(E4001&gt;=5000,"🏆 Platinum",IF(E4001&gt;=2000,"🥇 Gold",IF(E4001&gt;=800,"🥈 Silver","🥉 Bronze")))</f>
        <v/>
      </c>
      <c r="L4001" s="125" t="n">
        <v>40835</v>
      </c>
    </row>
    <row r="4002">
      <c r="A4002" s="126" t="n">
        <v>17827</v>
      </c>
      <c r="B4002" s="126" t="inlineStr">
        <is>
          <t>United Kingdom</t>
        </is>
      </c>
      <c r="C4002" s="126" t="n">
        <v>6</v>
      </c>
      <c r="D4002" s="126" t="n">
        <v>5</v>
      </c>
      <c r="E4002" s="127" t="n">
        <v>1995.46</v>
      </c>
      <c r="F4002" s="128">
        <f>IF(C4002&lt;=30,5,IF(C4002&lt;=60,4,IF(C4002&lt;=120,3,IF(C4002&lt;=200,2,1))))</f>
        <v/>
      </c>
      <c r="G4002" s="128">
        <f>IF(D4002&gt;=20,5,IF(D4002&gt;=10,4,IF(D4002&gt;=5,3,IF(D4002&gt;=2,2,1))))</f>
        <v/>
      </c>
      <c r="H4002" s="128">
        <f>IF(E4002&gt;=5000,5,IF(E4002&gt;=2000,4,IF(E4002&gt;=800,3,IF(E4002&gt;=300,2,1))))</f>
        <v/>
      </c>
      <c r="I4002" s="126">
        <f>TEXT(F4002,"0")&amp;TEXT(G4002,"0")&amp;TEXT(H4002,"0")</f>
        <v/>
      </c>
      <c r="J4002" s="126">
        <f>IFERROR(XLOOKUP(I4002,'Segment Map'!A:A,'Segment Map'!B:B,"Need Attention"),"Need Attention")</f>
        <v/>
      </c>
      <c r="K4002" s="126">
        <f>IF(E4002&gt;=5000,"🏆 Platinum",IF(E4002&gt;=2000,"🥇 Gold",IF(E4002&gt;=800,"🥈 Silver","🥉 Bronze")))</f>
        <v/>
      </c>
      <c r="L4002" s="129" t="n">
        <v>40881</v>
      </c>
    </row>
    <row r="4003">
      <c r="A4003" s="122" t="n">
        <v>17828</v>
      </c>
      <c r="B4003" s="122" t="inlineStr">
        <is>
          <t>Malta</t>
        </is>
      </c>
      <c r="C4003" s="122" t="n">
        <v>23</v>
      </c>
      <c r="D4003" s="122" t="n">
        <v>4</v>
      </c>
      <c r="E4003" s="123" t="n">
        <v>1820.09</v>
      </c>
      <c r="F4003" s="124">
        <f>IF(C4003&lt;=30,5,IF(C4003&lt;=60,4,IF(C4003&lt;=120,3,IF(C4003&lt;=200,2,1))))</f>
        <v/>
      </c>
      <c r="G4003" s="124">
        <f>IF(D4003&gt;=20,5,IF(D4003&gt;=10,4,IF(D4003&gt;=5,3,IF(D4003&gt;=2,2,1))))</f>
        <v/>
      </c>
      <c r="H4003" s="124">
        <f>IF(E4003&gt;=5000,5,IF(E4003&gt;=2000,4,IF(E4003&gt;=800,3,IF(E4003&gt;=300,2,1))))</f>
        <v/>
      </c>
      <c r="I4003" s="122">
        <f>TEXT(F4003,"0")&amp;TEXT(G4003,"0")&amp;TEXT(H4003,"0")</f>
        <v/>
      </c>
      <c r="J4003" s="122">
        <f>IFERROR(XLOOKUP(I4003,'Segment Map'!A:A,'Segment Map'!B:B,"Need Attention"),"Need Attention")</f>
        <v/>
      </c>
      <c r="K4003" s="122">
        <f>IF(E4003&gt;=5000,"🏆 Platinum",IF(E4003&gt;=2000,"🥇 Gold",IF(E4003&gt;=800,"🥈 Silver","🥉 Bronze")))</f>
        <v/>
      </c>
      <c r="L4003" s="125" t="n">
        <v>40864</v>
      </c>
    </row>
    <row r="4004">
      <c r="A4004" s="126" t="n">
        <v>17829</v>
      </c>
      <c r="B4004" s="126" t="inlineStr">
        <is>
          <t>United Arab Emirates</t>
        </is>
      </c>
      <c r="C4004" s="126" t="n">
        <v>299</v>
      </c>
      <c r="D4004" s="126" t="n">
        <v>1</v>
      </c>
      <c r="E4004" s="127" t="n">
        <v>889.24</v>
      </c>
      <c r="F4004" s="128">
        <f>IF(C4004&lt;=30,5,IF(C4004&lt;=60,4,IF(C4004&lt;=120,3,IF(C4004&lt;=200,2,1))))</f>
        <v/>
      </c>
      <c r="G4004" s="128">
        <f>IF(D4004&gt;=20,5,IF(D4004&gt;=10,4,IF(D4004&gt;=5,3,IF(D4004&gt;=2,2,1))))</f>
        <v/>
      </c>
      <c r="H4004" s="128">
        <f>IF(E4004&gt;=5000,5,IF(E4004&gt;=2000,4,IF(E4004&gt;=800,3,IF(E4004&gt;=300,2,1))))</f>
        <v/>
      </c>
      <c r="I4004" s="126">
        <f>TEXT(F4004,"0")&amp;TEXT(G4004,"0")&amp;TEXT(H4004,"0")</f>
        <v/>
      </c>
      <c r="J4004" s="126">
        <f>IFERROR(XLOOKUP(I4004,'Segment Map'!A:A,'Segment Map'!B:B,"Need Attention"),"Need Attention")</f>
        <v/>
      </c>
      <c r="K4004" s="126">
        <f>IF(E4004&gt;=5000,"🏆 Platinum",IF(E4004&gt;=2000,"🥇 Gold",IF(E4004&gt;=800,"🥈 Silver","🥉 Bronze")))</f>
        <v/>
      </c>
      <c r="L4004" s="129" t="n">
        <v>40588</v>
      </c>
    </row>
    <row r="4005">
      <c r="A4005" s="122" t="n">
        <v>17830</v>
      </c>
      <c r="B4005" s="122" t="inlineStr">
        <is>
          <t>United Kingdom</t>
        </is>
      </c>
      <c r="C4005" s="122" t="n">
        <v>2</v>
      </c>
      <c r="D4005" s="122" t="n">
        <v>3</v>
      </c>
      <c r="E4005" s="123" t="n">
        <v>398.7</v>
      </c>
      <c r="F4005" s="124">
        <f>IF(C4005&lt;=30,5,IF(C4005&lt;=60,4,IF(C4005&lt;=120,3,IF(C4005&lt;=200,2,1))))</f>
        <v/>
      </c>
      <c r="G4005" s="124">
        <f>IF(D4005&gt;=20,5,IF(D4005&gt;=10,4,IF(D4005&gt;=5,3,IF(D4005&gt;=2,2,1))))</f>
        <v/>
      </c>
      <c r="H4005" s="124">
        <f>IF(E4005&gt;=5000,5,IF(E4005&gt;=2000,4,IF(E4005&gt;=800,3,IF(E4005&gt;=300,2,1))))</f>
        <v/>
      </c>
      <c r="I4005" s="122">
        <f>TEXT(F4005,"0")&amp;TEXT(G4005,"0")&amp;TEXT(H4005,"0")</f>
        <v/>
      </c>
      <c r="J4005" s="122">
        <f>IFERROR(XLOOKUP(I4005,'Segment Map'!A:A,'Segment Map'!B:B,"Need Attention"),"Need Attention")</f>
        <v/>
      </c>
      <c r="K4005" s="122">
        <f>IF(E4005&gt;=5000,"🏆 Platinum",IF(E4005&gt;=2000,"🥇 Gold",IF(E4005&gt;=800,"🥈 Silver","🥉 Bronze")))</f>
        <v/>
      </c>
      <c r="L4005" s="125" t="n">
        <v>40885</v>
      </c>
    </row>
    <row r="4006">
      <c r="A4006" s="126" t="n">
        <v>17831</v>
      </c>
      <c r="B4006" s="126" t="inlineStr">
        <is>
          <t>United Kingdom</t>
        </is>
      </c>
      <c r="C4006" s="126" t="n">
        <v>34</v>
      </c>
      <c r="D4006" s="126" t="n">
        <v>1</v>
      </c>
      <c r="E4006" s="127" t="n">
        <v>35.4</v>
      </c>
      <c r="F4006" s="128">
        <f>IF(C4006&lt;=30,5,IF(C4006&lt;=60,4,IF(C4006&lt;=120,3,IF(C4006&lt;=200,2,1))))</f>
        <v/>
      </c>
      <c r="G4006" s="128">
        <f>IF(D4006&gt;=20,5,IF(D4006&gt;=10,4,IF(D4006&gt;=5,3,IF(D4006&gt;=2,2,1))))</f>
        <v/>
      </c>
      <c r="H4006" s="128">
        <f>IF(E4006&gt;=5000,5,IF(E4006&gt;=2000,4,IF(E4006&gt;=800,3,IF(E4006&gt;=300,2,1))))</f>
        <v/>
      </c>
      <c r="I4006" s="126">
        <f>TEXT(F4006,"0")&amp;TEXT(G4006,"0")&amp;TEXT(H4006,"0")</f>
        <v/>
      </c>
      <c r="J4006" s="126">
        <f>IFERROR(XLOOKUP(I4006,'Segment Map'!A:A,'Segment Map'!B:B,"Need Attention"),"Need Attention")</f>
        <v/>
      </c>
      <c r="K4006" s="126">
        <f>IF(E4006&gt;=5000,"🏆 Platinum",IF(E4006&gt;=2000,"🥇 Gold",IF(E4006&gt;=800,"🥈 Silver","🥉 Bronze")))</f>
        <v/>
      </c>
      <c r="L4006" s="129" t="n">
        <v>40853</v>
      </c>
    </row>
    <row r="4007">
      <c r="A4007" s="122" t="n">
        <v>17832</v>
      </c>
      <c r="B4007" s="122" t="inlineStr">
        <is>
          <t>United Kingdom</t>
        </is>
      </c>
      <c r="C4007" s="122" t="n">
        <v>50</v>
      </c>
      <c r="D4007" s="122" t="n">
        <v>1</v>
      </c>
      <c r="E4007" s="123" t="n">
        <v>155.37</v>
      </c>
      <c r="F4007" s="124">
        <f>IF(C4007&lt;=30,5,IF(C4007&lt;=60,4,IF(C4007&lt;=120,3,IF(C4007&lt;=200,2,1))))</f>
        <v/>
      </c>
      <c r="G4007" s="124">
        <f>IF(D4007&gt;=20,5,IF(D4007&gt;=10,4,IF(D4007&gt;=5,3,IF(D4007&gt;=2,2,1))))</f>
        <v/>
      </c>
      <c r="H4007" s="124">
        <f>IF(E4007&gt;=5000,5,IF(E4007&gt;=2000,4,IF(E4007&gt;=800,3,IF(E4007&gt;=300,2,1))))</f>
        <v/>
      </c>
      <c r="I4007" s="122">
        <f>TEXT(F4007,"0")&amp;TEXT(G4007,"0")&amp;TEXT(H4007,"0")</f>
        <v/>
      </c>
      <c r="J4007" s="122">
        <f>IFERROR(XLOOKUP(I4007,'Segment Map'!A:A,'Segment Map'!B:B,"Need Attention"),"Need Attention")</f>
        <v/>
      </c>
      <c r="K4007" s="122">
        <f>IF(E4007&gt;=5000,"🏆 Platinum",IF(E4007&gt;=2000,"🥇 Gold",IF(E4007&gt;=800,"🥈 Silver","🥉 Bronze")))</f>
        <v/>
      </c>
      <c r="L4007" s="125" t="n">
        <v>40837</v>
      </c>
    </row>
    <row r="4008">
      <c r="A4008" s="126" t="n">
        <v>17835</v>
      </c>
      <c r="B4008" s="126" t="inlineStr">
        <is>
          <t>United Kingdom</t>
        </is>
      </c>
      <c r="C4008" s="126" t="n">
        <v>3</v>
      </c>
      <c r="D4008" s="126" t="n">
        <v>3</v>
      </c>
      <c r="E4008" s="127" t="n">
        <v>350.64</v>
      </c>
      <c r="F4008" s="128">
        <f>IF(C4008&lt;=30,5,IF(C4008&lt;=60,4,IF(C4008&lt;=120,3,IF(C4008&lt;=200,2,1))))</f>
        <v/>
      </c>
      <c r="G4008" s="128">
        <f>IF(D4008&gt;=20,5,IF(D4008&gt;=10,4,IF(D4008&gt;=5,3,IF(D4008&gt;=2,2,1))))</f>
        <v/>
      </c>
      <c r="H4008" s="128">
        <f>IF(E4008&gt;=5000,5,IF(E4008&gt;=2000,4,IF(E4008&gt;=800,3,IF(E4008&gt;=300,2,1))))</f>
        <v/>
      </c>
      <c r="I4008" s="126">
        <f>TEXT(F4008,"0")&amp;TEXT(G4008,"0")&amp;TEXT(H4008,"0")</f>
        <v/>
      </c>
      <c r="J4008" s="126">
        <f>IFERROR(XLOOKUP(I4008,'Segment Map'!A:A,'Segment Map'!B:B,"Need Attention"),"Need Attention")</f>
        <v/>
      </c>
      <c r="K4008" s="126">
        <f>IF(E4008&gt;=5000,"🏆 Platinum",IF(E4008&gt;=2000,"🥇 Gold",IF(E4008&gt;=800,"🥈 Silver","🥉 Bronze")))</f>
        <v/>
      </c>
      <c r="L4008" s="129" t="n">
        <v>40884</v>
      </c>
    </row>
    <row r="4009">
      <c r="A4009" s="122" t="n">
        <v>17836</v>
      </c>
      <c r="B4009" s="122" t="inlineStr">
        <is>
          <t>United Kingdom</t>
        </is>
      </c>
      <c r="C4009" s="122" t="n">
        <v>48</v>
      </c>
      <c r="D4009" s="122" t="n">
        <v>1</v>
      </c>
      <c r="E4009" s="123" t="n">
        <v>110.21</v>
      </c>
      <c r="F4009" s="124">
        <f>IF(C4009&lt;=30,5,IF(C4009&lt;=60,4,IF(C4009&lt;=120,3,IF(C4009&lt;=200,2,1))))</f>
        <v/>
      </c>
      <c r="G4009" s="124">
        <f>IF(D4009&gt;=20,5,IF(D4009&gt;=10,4,IF(D4009&gt;=5,3,IF(D4009&gt;=2,2,1))))</f>
        <v/>
      </c>
      <c r="H4009" s="124">
        <f>IF(E4009&gt;=5000,5,IF(E4009&gt;=2000,4,IF(E4009&gt;=800,3,IF(E4009&gt;=300,2,1))))</f>
        <v/>
      </c>
      <c r="I4009" s="122">
        <f>TEXT(F4009,"0")&amp;TEXT(G4009,"0")&amp;TEXT(H4009,"0")</f>
        <v/>
      </c>
      <c r="J4009" s="122">
        <f>IFERROR(XLOOKUP(I4009,'Segment Map'!A:A,'Segment Map'!B:B,"Need Attention"),"Need Attention")</f>
        <v/>
      </c>
      <c r="K4009" s="122">
        <f>IF(E4009&gt;=5000,"🏆 Platinum",IF(E4009&gt;=2000,"🥇 Gold",IF(E4009&gt;=800,"🥈 Silver","🥉 Bronze")))</f>
        <v/>
      </c>
      <c r="L4009" s="125" t="n">
        <v>40839</v>
      </c>
    </row>
    <row r="4010">
      <c r="A4010" s="126" t="n">
        <v>17837</v>
      </c>
      <c r="B4010" s="126" t="inlineStr">
        <is>
          <t>United Kingdom</t>
        </is>
      </c>
      <c r="C4010" s="126" t="n">
        <v>43</v>
      </c>
      <c r="D4010" s="126" t="n">
        <v>8</v>
      </c>
      <c r="E4010" s="127" t="n">
        <v>1593.38</v>
      </c>
      <c r="F4010" s="128">
        <f>IF(C4010&lt;=30,5,IF(C4010&lt;=60,4,IF(C4010&lt;=120,3,IF(C4010&lt;=200,2,1))))</f>
        <v/>
      </c>
      <c r="G4010" s="128">
        <f>IF(D4010&gt;=20,5,IF(D4010&gt;=10,4,IF(D4010&gt;=5,3,IF(D4010&gt;=2,2,1))))</f>
        <v/>
      </c>
      <c r="H4010" s="128">
        <f>IF(E4010&gt;=5000,5,IF(E4010&gt;=2000,4,IF(E4010&gt;=800,3,IF(E4010&gt;=300,2,1))))</f>
        <v/>
      </c>
      <c r="I4010" s="126">
        <f>TEXT(F4010,"0")&amp;TEXT(G4010,"0")&amp;TEXT(H4010,"0")</f>
        <v/>
      </c>
      <c r="J4010" s="126">
        <f>IFERROR(XLOOKUP(I4010,'Segment Map'!A:A,'Segment Map'!B:B,"Need Attention"),"Need Attention")</f>
        <v/>
      </c>
      <c r="K4010" s="126">
        <f>IF(E4010&gt;=5000,"🏆 Platinum",IF(E4010&gt;=2000,"🥇 Gold",IF(E4010&gt;=800,"🥈 Silver","🥉 Bronze")))</f>
        <v/>
      </c>
      <c r="L4010" s="129" t="n">
        <v>40844</v>
      </c>
    </row>
    <row r="4011">
      <c r="A4011" s="122" t="n">
        <v>17838</v>
      </c>
      <c r="B4011" s="122" t="inlineStr">
        <is>
          <t>United Kingdom</t>
        </is>
      </c>
      <c r="C4011" s="122" t="n">
        <v>27</v>
      </c>
      <c r="D4011" s="122" t="n">
        <v>5</v>
      </c>
      <c r="E4011" s="123" t="n">
        <v>2779.3</v>
      </c>
      <c r="F4011" s="124">
        <f>IF(C4011&lt;=30,5,IF(C4011&lt;=60,4,IF(C4011&lt;=120,3,IF(C4011&lt;=200,2,1))))</f>
        <v/>
      </c>
      <c r="G4011" s="124">
        <f>IF(D4011&gt;=20,5,IF(D4011&gt;=10,4,IF(D4011&gt;=5,3,IF(D4011&gt;=2,2,1))))</f>
        <v/>
      </c>
      <c r="H4011" s="124">
        <f>IF(E4011&gt;=5000,5,IF(E4011&gt;=2000,4,IF(E4011&gt;=800,3,IF(E4011&gt;=300,2,1))))</f>
        <v/>
      </c>
      <c r="I4011" s="122">
        <f>TEXT(F4011,"0")&amp;TEXT(G4011,"0")&amp;TEXT(H4011,"0")</f>
        <v/>
      </c>
      <c r="J4011" s="122">
        <f>IFERROR(XLOOKUP(I4011,'Segment Map'!A:A,'Segment Map'!B:B,"Need Attention"),"Need Attention")</f>
        <v/>
      </c>
      <c r="K4011" s="122">
        <f>IF(E4011&gt;=5000,"🏆 Platinum",IF(E4011&gt;=2000,"🥇 Gold",IF(E4011&gt;=800,"🥈 Silver","🥉 Bronze")))</f>
        <v/>
      </c>
      <c r="L4011" s="125" t="n">
        <v>40860</v>
      </c>
    </row>
    <row r="4012">
      <c r="A4012" s="126" t="n">
        <v>17839</v>
      </c>
      <c r="B4012" s="126" t="inlineStr">
        <is>
          <t>United Kingdom</t>
        </is>
      </c>
      <c r="C4012" s="126" t="n">
        <v>43</v>
      </c>
      <c r="D4012" s="126" t="n">
        <v>1</v>
      </c>
      <c r="E4012" s="127" t="n">
        <v>338.8</v>
      </c>
      <c r="F4012" s="128">
        <f>IF(C4012&lt;=30,5,IF(C4012&lt;=60,4,IF(C4012&lt;=120,3,IF(C4012&lt;=200,2,1))))</f>
        <v/>
      </c>
      <c r="G4012" s="128">
        <f>IF(D4012&gt;=20,5,IF(D4012&gt;=10,4,IF(D4012&gt;=5,3,IF(D4012&gt;=2,2,1))))</f>
        <v/>
      </c>
      <c r="H4012" s="128">
        <f>IF(E4012&gt;=5000,5,IF(E4012&gt;=2000,4,IF(E4012&gt;=800,3,IF(E4012&gt;=300,2,1))))</f>
        <v/>
      </c>
      <c r="I4012" s="126">
        <f>TEXT(F4012,"0")&amp;TEXT(G4012,"0")&amp;TEXT(H4012,"0")</f>
        <v/>
      </c>
      <c r="J4012" s="126">
        <f>IFERROR(XLOOKUP(I4012,'Segment Map'!A:A,'Segment Map'!B:B,"Need Attention"),"Need Attention")</f>
        <v/>
      </c>
      <c r="K4012" s="126">
        <f>IF(E4012&gt;=5000,"🏆 Platinum",IF(E4012&gt;=2000,"🥇 Gold",IF(E4012&gt;=800,"🥈 Silver","🥉 Bronze")))</f>
        <v/>
      </c>
      <c r="L4012" s="129" t="n">
        <v>40844</v>
      </c>
    </row>
    <row r="4013">
      <c r="A4013" s="122" t="n">
        <v>17841</v>
      </c>
      <c r="B4013" s="122" t="inlineStr">
        <is>
          <t>United Kingdom</t>
        </is>
      </c>
      <c r="C4013" s="122" t="n">
        <v>2</v>
      </c>
      <c r="D4013" s="122" t="n">
        <v>124</v>
      </c>
      <c r="E4013" s="123" t="n">
        <v>40991.57</v>
      </c>
      <c r="F4013" s="124">
        <f>IF(C4013&lt;=30,5,IF(C4013&lt;=60,4,IF(C4013&lt;=120,3,IF(C4013&lt;=200,2,1))))</f>
        <v/>
      </c>
      <c r="G4013" s="124">
        <f>IF(D4013&gt;=20,5,IF(D4013&gt;=10,4,IF(D4013&gt;=5,3,IF(D4013&gt;=2,2,1))))</f>
        <v/>
      </c>
      <c r="H4013" s="124">
        <f>IF(E4013&gt;=5000,5,IF(E4013&gt;=2000,4,IF(E4013&gt;=800,3,IF(E4013&gt;=300,2,1))))</f>
        <v/>
      </c>
      <c r="I4013" s="122">
        <f>TEXT(F4013,"0")&amp;TEXT(G4013,"0")&amp;TEXT(H4013,"0")</f>
        <v/>
      </c>
      <c r="J4013" s="122">
        <f>IFERROR(XLOOKUP(I4013,'Segment Map'!A:A,'Segment Map'!B:B,"Need Attention"),"Need Attention")</f>
        <v/>
      </c>
      <c r="K4013" s="122">
        <f>IF(E4013&gt;=5000,"🏆 Platinum",IF(E4013&gt;=2000,"🥇 Gold",IF(E4013&gt;=800,"🥈 Silver","🥉 Bronze")))</f>
        <v/>
      </c>
      <c r="L4013" s="125" t="n">
        <v>40885</v>
      </c>
    </row>
    <row r="4014">
      <c r="A4014" s="126" t="n">
        <v>17843</v>
      </c>
      <c r="B4014" s="126" t="inlineStr">
        <is>
          <t>United Kingdom</t>
        </is>
      </c>
      <c r="C4014" s="126" t="n">
        <v>304</v>
      </c>
      <c r="D4014" s="126" t="n">
        <v>1</v>
      </c>
      <c r="E4014" s="127" t="n">
        <v>205.48</v>
      </c>
      <c r="F4014" s="128">
        <f>IF(C4014&lt;=30,5,IF(C4014&lt;=60,4,IF(C4014&lt;=120,3,IF(C4014&lt;=200,2,1))))</f>
        <v/>
      </c>
      <c r="G4014" s="128">
        <f>IF(D4014&gt;=20,5,IF(D4014&gt;=10,4,IF(D4014&gt;=5,3,IF(D4014&gt;=2,2,1))))</f>
        <v/>
      </c>
      <c r="H4014" s="128">
        <f>IF(E4014&gt;=5000,5,IF(E4014&gt;=2000,4,IF(E4014&gt;=800,3,IF(E4014&gt;=300,2,1))))</f>
        <v/>
      </c>
      <c r="I4014" s="126">
        <f>TEXT(F4014,"0")&amp;TEXT(G4014,"0")&amp;TEXT(H4014,"0")</f>
        <v/>
      </c>
      <c r="J4014" s="126">
        <f>IFERROR(XLOOKUP(I4014,'Segment Map'!A:A,'Segment Map'!B:B,"Need Attention"),"Need Attention")</f>
        <v/>
      </c>
      <c r="K4014" s="126">
        <f>IF(E4014&gt;=5000,"🏆 Platinum",IF(E4014&gt;=2000,"🥇 Gold",IF(E4014&gt;=800,"🥈 Silver","🥉 Bronze")))</f>
        <v/>
      </c>
      <c r="L4014" s="129" t="n">
        <v>40583</v>
      </c>
    </row>
    <row r="4015">
      <c r="A4015" s="122" t="n">
        <v>17844</v>
      </c>
      <c r="B4015" s="122" t="inlineStr">
        <is>
          <t>Canada</t>
        </is>
      </c>
      <c r="C4015" s="122" t="n">
        <v>107</v>
      </c>
      <c r="D4015" s="122" t="n">
        <v>1</v>
      </c>
      <c r="E4015" s="123" t="n">
        <v>51.56</v>
      </c>
      <c r="F4015" s="124">
        <f>IF(C4015&lt;=30,5,IF(C4015&lt;=60,4,IF(C4015&lt;=120,3,IF(C4015&lt;=200,2,1))))</f>
        <v/>
      </c>
      <c r="G4015" s="124">
        <f>IF(D4015&gt;=20,5,IF(D4015&gt;=10,4,IF(D4015&gt;=5,3,IF(D4015&gt;=2,2,1))))</f>
        <v/>
      </c>
      <c r="H4015" s="124">
        <f>IF(E4015&gt;=5000,5,IF(E4015&gt;=2000,4,IF(E4015&gt;=800,3,IF(E4015&gt;=300,2,1))))</f>
        <v/>
      </c>
      <c r="I4015" s="122">
        <f>TEXT(F4015,"0")&amp;TEXT(G4015,"0")&amp;TEXT(H4015,"0")</f>
        <v/>
      </c>
      <c r="J4015" s="122">
        <f>IFERROR(XLOOKUP(I4015,'Segment Map'!A:A,'Segment Map'!B:B,"Need Attention"),"Need Attention")</f>
        <v/>
      </c>
      <c r="K4015" s="122">
        <f>IF(E4015&gt;=5000,"🏆 Platinum",IF(E4015&gt;=2000,"🥇 Gold",IF(E4015&gt;=800,"🥈 Silver","🥉 Bronze")))</f>
        <v/>
      </c>
      <c r="L4015" s="125" t="n">
        <v>40780</v>
      </c>
    </row>
    <row r="4016">
      <c r="A4016" s="126" t="n">
        <v>17846</v>
      </c>
      <c r="B4016" s="126" t="inlineStr">
        <is>
          <t>United Kingdom</t>
        </is>
      </c>
      <c r="C4016" s="126" t="n">
        <v>86</v>
      </c>
      <c r="D4016" s="126" t="n">
        <v>1</v>
      </c>
      <c r="E4016" s="127" t="n">
        <v>2033.1</v>
      </c>
      <c r="F4016" s="128">
        <f>IF(C4016&lt;=30,5,IF(C4016&lt;=60,4,IF(C4016&lt;=120,3,IF(C4016&lt;=200,2,1))))</f>
        <v/>
      </c>
      <c r="G4016" s="128">
        <f>IF(D4016&gt;=20,5,IF(D4016&gt;=10,4,IF(D4016&gt;=5,3,IF(D4016&gt;=2,2,1))))</f>
        <v/>
      </c>
      <c r="H4016" s="128">
        <f>IF(E4016&gt;=5000,5,IF(E4016&gt;=2000,4,IF(E4016&gt;=800,3,IF(E4016&gt;=300,2,1))))</f>
        <v/>
      </c>
      <c r="I4016" s="126">
        <f>TEXT(F4016,"0")&amp;TEXT(G4016,"0")&amp;TEXT(H4016,"0")</f>
        <v/>
      </c>
      <c r="J4016" s="126">
        <f>IFERROR(XLOOKUP(I4016,'Segment Map'!A:A,'Segment Map'!B:B,"Need Attention"),"Need Attention")</f>
        <v/>
      </c>
      <c r="K4016" s="126">
        <f>IF(E4016&gt;=5000,"🏆 Platinum",IF(E4016&gt;=2000,"🥇 Gold",IF(E4016&gt;=800,"🥈 Silver","🥉 Bronze")))</f>
        <v/>
      </c>
      <c r="L4016" s="129" t="n">
        <v>40801</v>
      </c>
    </row>
    <row r="4017">
      <c r="A4017" s="122" t="n">
        <v>17848</v>
      </c>
      <c r="B4017" s="122" t="inlineStr">
        <is>
          <t>United Kingdom</t>
        </is>
      </c>
      <c r="C4017" s="122" t="n">
        <v>82</v>
      </c>
      <c r="D4017" s="122" t="n">
        <v>9</v>
      </c>
      <c r="E4017" s="123" t="n">
        <v>901.2</v>
      </c>
      <c r="F4017" s="124">
        <f>IF(C4017&lt;=30,5,IF(C4017&lt;=60,4,IF(C4017&lt;=120,3,IF(C4017&lt;=200,2,1))))</f>
        <v/>
      </c>
      <c r="G4017" s="124">
        <f>IF(D4017&gt;=20,5,IF(D4017&gt;=10,4,IF(D4017&gt;=5,3,IF(D4017&gt;=2,2,1))))</f>
        <v/>
      </c>
      <c r="H4017" s="124">
        <f>IF(E4017&gt;=5000,5,IF(E4017&gt;=2000,4,IF(E4017&gt;=800,3,IF(E4017&gt;=300,2,1))))</f>
        <v/>
      </c>
      <c r="I4017" s="122">
        <f>TEXT(F4017,"0")&amp;TEXT(G4017,"0")&amp;TEXT(H4017,"0")</f>
        <v/>
      </c>
      <c r="J4017" s="122">
        <f>IFERROR(XLOOKUP(I4017,'Segment Map'!A:A,'Segment Map'!B:B,"Need Attention"),"Need Attention")</f>
        <v/>
      </c>
      <c r="K4017" s="122">
        <f>IF(E4017&gt;=5000,"🏆 Platinum",IF(E4017&gt;=2000,"🥇 Gold",IF(E4017&gt;=800,"🥈 Silver","🥉 Bronze")))</f>
        <v/>
      </c>
      <c r="L4017" s="125" t="n">
        <v>40805</v>
      </c>
    </row>
    <row r="4018">
      <c r="A4018" s="126" t="n">
        <v>17849</v>
      </c>
      <c r="B4018" s="126" t="inlineStr">
        <is>
          <t>United Kingdom</t>
        </is>
      </c>
      <c r="C4018" s="126" t="n">
        <v>219</v>
      </c>
      <c r="D4018" s="126" t="n">
        <v>4</v>
      </c>
      <c r="E4018" s="127" t="n">
        <v>605.8</v>
      </c>
      <c r="F4018" s="128">
        <f>IF(C4018&lt;=30,5,IF(C4018&lt;=60,4,IF(C4018&lt;=120,3,IF(C4018&lt;=200,2,1))))</f>
        <v/>
      </c>
      <c r="G4018" s="128">
        <f>IF(D4018&gt;=20,5,IF(D4018&gt;=10,4,IF(D4018&gt;=5,3,IF(D4018&gt;=2,2,1))))</f>
        <v/>
      </c>
      <c r="H4018" s="128">
        <f>IF(E4018&gt;=5000,5,IF(E4018&gt;=2000,4,IF(E4018&gt;=800,3,IF(E4018&gt;=300,2,1))))</f>
        <v/>
      </c>
      <c r="I4018" s="126">
        <f>TEXT(F4018,"0")&amp;TEXT(G4018,"0")&amp;TEXT(H4018,"0")</f>
        <v/>
      </c>
      <c r="J4018" s="126">
        <f>IFERROR(XLOOKUP(I4018,'Segment Map'!A:A,'Segment Map'!B:B,"Need Attention"),"Need Attention")</f>
        <v/>
      </c>
      <c r="K4018" s="126">
        <f>IF(E4018&gt;=5000,"🏆 Platinum",IF(E4018&gt;=2000,"🥇 Gold",IF(E4018&gt;=800,"🥈 Silver","🥉 Bronze")))</f>
        <v/>
      </c>
      <c r="L4018" s="129" t="n">
        <v>40668</v>
      </c>
    </row>
    <row r="4019">
      <c r="A4019" s="122" t="n">
        <v>17850</v>
      </c>
      <c r="B4019" s="122" t="inlineStr">
        <is>
          <t>United Kingdom</t>
        </is>
      </c>
      <c r="C4019" s="122" t="n">
        <v>373</v>
      </c>
      <c r="D4019" s="122" t="n">
        <v>34</v>
      </c>
      <c r="E4019" s="123" t="n">
        <v>5391.21</v>
      </c>
      <c r="F4019" s="124">
        <f>IF(C4019&lt;=30,5,IF(C4019&lt;=60,4,IF(C4019&lt;=120,3,IF(C4019&lt;=200,2,1))))</f>
        <v/>
      </c>
      <c r="G4019" s="124">
        <f>IF(D4019&gt;=20,5,IF(D4019&gt;=10,4,IF(D4019&gt;=5,3,IF(D4019&gt;=2,2,1))))</f>
        <v/>
      </c>
      <c r="H4019" s="124">
        <f>IF(E4019&gt;=5000,5,IF(E4019&gt;=2000,4,IF(E4019&gt;=800,3,IF(E4019&gt;=300,2,1))))</f>
        <v/>
      </c>
      <c r="I4019" s="122">
        <f>TEXT(F4019,"0")&amp;TEXT(G4019,"0")&amp;TEXT(H4019,"0")</f>
        <v/>
      </c>
      <c r="J4019" s="122">
        <f>IFERROR(XLOOKUP(I4019,'Segment Map'!A:A,'Segment Map'!B:B,"Need Attention"),"Need Attention")</f>
        <v/>
      </c>
      <c r="K4019" s="122">
        <f>IF(E4019&gt;=5000,"🏆 Platinum",IF(E4019&gt;=2000,"🥇 Gold",IF(E4019&gt;=800,"🥈 Silver","🥉 Bronze")))</f>
        <v/>
      </c>
      <c r="L4019" s="125" t="n">
        <v>40514</v>
      </c>
    </row>
    <row r="4020">
      <c r="A4020" s="126" t="n">
        <v>17852</v>
      </c>
      <c r="B4020" s="126" t="inlineStr">
        <is>
          <t>United Kingdom</t>
        </is>
      </c>
      <c r="C4020" s="126" t="n">
        <v>12</v>
      </c>
      <c r="D4020" s="126" t="n">
        <v>2</v>
      </c>
      <c r="E4020" s="127" t="n">
        <v>114.34</v>
      </c>
      <c r="F4020" s="128">
        <f>IF(C4020&lt;=30,5,IF(C4020&lt;=60,4,IF(C4020&lt;=120,3,IF(C4020&lt;=200,2,1))))</f>
        <v/>
      </c>
      <c r="G4020" s="128">
        <f>IF(D4020&gt;=20,5,IF(D4020&gt;=10,4,IF(D4020&gt;=5,3,IF(D4020&gt;=2,2,1))))</f>
        <v/>
      </c>
      <c r="H4020" s="128">
        <f>IF(E4020&gt;=5000,5,IF(E4020&gt;=2000,4,IF(E4020&gt;=800,3,IF(E4020&gt;=300,2,1))))</f>
        <v/>
      </c>
      <c r="I4020" s="126">
        <f>TEXT(F4020,"0")&amp;TEXT(G4020,"0")&amp;TEXT(H4020,"0")</f>
        <v/>
      </c>
      <c r="J4020" s="126">
        <f>IFERROR(XLOOKUP(I4020,'Segment Map'!A:A,'Segment Map'!B:B,"Need Attention"),"Need Attention")</f>
        <v/>
      </c>
      <c r="K4020" s="126">
        <f>IF(E4020&gt;=5000,"🏆 Platinum",IF(E4020&gt;=2000,"🥇 Gold",IF(E4020&gt;=800,"🥈 Silver","🥉 Bronze")))</f>
        <v/>
      </c>
      <c r="L4020" s="129" t="n">
        <v>40875</v>
      </c>
    </row>
    <row r="4021">
      <c r="A4021" s="122" t="n">
        <v>17854</v>
      </c>
      <c r="B4021" s="122" t="inlineStr">
        <is>
          <t>United Kingdom</t>
        </is>
      </c>
      <c r="C4021" s="122" t="n">
        <v>186</v>
      </c>
      <c r="D4021" s="122" t="n">
        <v>2</v>
      </c>
      <c r="E4021" s="123" t="n">
        <v>311.26</v>
      </c>
      <c r="F4021" s="124">
        <f>IF(C4021&lt;=30,5,IF(C4021&lt;=60,4,IF(C4021&lt;=120,3,IF(C4021&lt;=200,2,1))))</f>
        <v/>
      </c>
      <c r="G4021" s="124">
        <f>IF(D4021&gt;=20,5,IF(D4021&gt;=10,4,IF(D4021&gt;=5,3,IF(D4021&gt;=2,2,1))))</f>
        <v/>
      </c>
      <c r="H4021" s="124">
        <f>IF(E4021&gt;=5000,5,IF(E4021&gt;=2000,4,IF(E4021&gt;=800,3,IF(E4021&gt;=300,2,1))))</f>
        <v/>
      </c>
      <c r="I4021" s="122">
        <f>TEXT(F4021,"0")&amp;TEXT(G4021,"0")&amp;TEXT(H4021,"0")</f>
        <v/>
      </c>
      <c r="J4021" s="122">
        <f>IFERROR(XLOOKUP(I4021,'Segment Map'!A:A,'Segment Map'!B:B,"Need Attention"),"Need Attention")</f>
        <v/>
      </c>
      <c r="K4021" s="122">
        <f>IF(E4021&gt;=5000,"🏆 Platinum",IF(E4021&gt;=2000,"🥇 Gold",IF(E4021&gt;=800,"🥈 Silver","🥉 Bronze")))</f>
        <v/>
      </c>
      <c r="L4021" s="125" t="n">
        <v>40701</v>
      </c>
    </row>
    <row r="4022">
      <c r="A4022" s="126" t="n">
        <v>17855</v>
      </c>
      <c r="B4022" s="126" t="inlineStr">
        <is>
          <t>United Kingdom</t>
        </is>
      </c>
      <c r="C4022" s="126" t="n">
        <v>373</v>
      </c>
      <c r="D4022" s="126" t="n">
        <v>1</v>
      </c>
      <c r="E4022" s="127" t="n">
        <v>208.97</v>
      </c>
      <c r="F4022" s="128">
        <f>IF(C4022&lt;=30,5,IF(C4022&lt;=60,4,IF(C4022&lt;=120,3,IF(C4022&lt;=200,2,1))))</f>
        <v/>
      </c>
      <c r="G4022" s="128">
        <f>IF(D4022&gt;=20,5,IF(D4022&gt;=10,4,IF(D4022&gt;=5,3,IF(D4022&gt;=2,2,1))))</f>
        <v/>
      </c>
      <c r="H4022" s="128">
        <f>IF(E4022&gt;=5000,5,IF(E4022&gt;=2000,4,IF(E4022&gt;=800,3,IF(E4022&gt;=300,2,1))))</f>
        <v/>
      </c>
      <c r="I4022" s="126">
        <f>TEXT(F4022,"0")&amp;TEXT(G4022,"0")&amp;TEXT(H4022,"0")</f>
        <v/>
      </c>
      <c r="J4022" s="126">
        <f>IFERROR(XLOOKUP(I4022,'Segment Map'!A:A,'Segment Map'!B:B,"Need Attention"),"Need Attention")</f>
        <v/>
      </c>
      <c r="K4022" s="126">
        <f>IF(E4022&gt;=5000,"🏆 Platinum",IF(E4022&gt;=2000,"🥇 Gold",IF(E4022&gt;=800,"🥈 Silver","🥉 Bronze")))</f>
        <v/>
      </c>
      <c r="L4022" s="129" t="n">
        <v>40514</v>
      </c>
    </row>
    <row r="4023">
      <c r="A4023" s="122" t="n">
        <v>17856</v>
      </c>
      <c r="B4023" s="122" t="inlineStr">
        <is>
          <t>United Kingdom</t>
        </is>
      </c>
      <c r="C4023" s="122" t="n">
        <v>2</v>
      </c>
      <c r="D4023" s="122" t="n">
        <v>4</v>
      </c>
      <c r="E4023" s="123" t="n">
        <v>1418.03</v>
      </c>
      <c r="F4023" s="124">
        <f>IF(C4023&lt;=30,5,IF(C4023&lt;=60,4,IF(C4023&lt;=120,3,IF(C4023&lt;=200,2,1))))</f>
        <v/>
      </c>
      <c r="G4023" s="124">
        <f>IF(D4023&gt;=20,5,IF(D4023&gt;=10,4,IF(D4023&gt;=5,3,IF(D4023&gt;=2,2,1))))</f>
        <v/>
      </c>
      <c r="H4023" s="124">
        <f>IF(E4023&gt;=5000,5,IF(E4023&gt;=2000,4,IF(E4023&gt;=800,3,IF(E4023&gt;=300,2,1))))</f>
        <v/>
      </c>
      <c r="I4023" s="122">
        <f>TEXT(F4023,"0")&amp;TEXT(G4023,"0")&amp;TEXT(H4023,"0")</f>
        <v/>
      </c>
      <c r="J4023" s="122">
        <f>IFERROR(XLOOKUP(I4023,'Segment Map'!A:A,'Segment Map'!B:B,"Need Attention"),"Need Attention")</f>
        <v/>
      </c>
      <c r="K4023" s="122">
        <f>IF(E4023&gt;=5000,"🏆 Platinum",IF(E4023&gt;=2000,"🥇 Gold",IF(E4023&gt;=800,"🥈 Silver","🥉 Bronze")))</f>
        <v/>
      </c>
      <c r="L4023" s="125" t="n">
        <v>40885</v>
      </c>
    </row>
    <row r="4024">
      <c r="A4024" s="126" t="n">
        <v>17857</v>
      </c>
      <c r="B4024" s="126" t="inlineStr">
        <is>
          <t>United Kingdom</t>
        </is>
      </c>
      <c r="C4024" s="126" t="n">
        <v>5</v>
      </c>
      <c r="D4024" s="126" t="n">
        <v>23</v>
      </c>
      <c r="E4024" s="127" t="n">
        <v>26879.04</v>
      </c>
      <c r="F4024" s="128">
        <f>IF(C4024&lt;=30,5,IF(C4024&lt;=60,4,IF(C4024&lt;=120,3,IF(C4024&lt;=200,2,1))))</f>
        <v/>
      </c>
      <c r="G4024" s="128">
        <f>IF(D4024&gt;=20,5,IF(D4024&gt;=10,4,IF(D4024&gt;=5,3,IF(D4024&gt;=2,2,1))))</f>
        <v/>
      </c>
      <c r="H4024" s="128">
        <f>IF(E4024&gt;=5000,5,IF(E4024&gt;=2000,4,IF(E4024&gt;=800,3,IF(E4024&gt;=300,2,1))))</f>
        <v/>
      </c>
      <c r="I4024" s="126">
        <f>TEXT(F4024,"0")&amp;TEXT(G4024,"0")&amp;TEXT(H4024,"0")</f>
        <v/>
      </c>
      <c r="J4024" s="126">
        <f>IFERROR(XLOOKUP(I4024,'Segment Map'!A:A,'Segment Map'!B:B,"Need Attention"),"Need Attention")</f>
        <v/>
      </c>
      <c r="K4024" s="126">
        <f>IF(E4024&gt;=5000,"🏆 Platinum",IF(E4024&gt;=2000,"🥇 Gold",IF(E4024&gt;=800,"🥈 Silver","🥉 Bronze")))</f>
        <v/>
      </c>
      <c r="L4024" s="129" t="n">
        <v>40882</v>
      </c>
    </row>
    <row r="4025">
      <c r="A4025" s="122" t="n">
        <v>17858</v>
      </c>
      <c r="B4025" s="122" t="inlineStr">
        <is>
          <t>United Kingdom</t>
        </is>
      </c>
      <c r="C4025" s="122" t="n">
        <v>6</v>
      </c>
      <c r="D4025" s="122" t="n">
        <v>12</v>
      </c>
      <c r="E4025" s="123" t="n">
        <v>5155.66</v>
      </c>
      <c r="F4025" s="124">
        <f>IF(C4025&lt;=30,5,IF(C4025&lt;=60,4,IF(C4025&lt;=120,3,IF(C4025&lt;=200,2,1))))</f>
        <v/>
      </c>
      <c r="G4025" s="124">
        <f>IF(D4025&gt;=20,5,IF(D4025&gt;=10,4,IF(D4025&gt;=5,3,IF(D4025&gt;=2,2,1))))</f>
        <v/>
      </c>
      <c r="H4025" s="124">
        <f>IF(E4025&gt;=5000,5,IF(E4025&gt;=2000,4,IF(E4025&gt;=800,3,IF(E4025&gt;=300,2,1))))</f>
        <v/>
      </c>
      <c r="I4025" s="122">
        <f>TEXT(F4025,"0")&amp;TEXT(G4025,"0")&amp;TEXT(H4025,"0")</f>
        <v/>
      </c>
      <c r="J4025" s="122">
        <f>IFERROR(XLOOKUP(I4025,'Segment Map'!A:A,'Segment Map'!B:B,"Need Attention"),"Need Attention")</f>
        <v/>
      </c>
      <c r="K4025" s="122">
        <f>IF(E4025&gt;=5000,"🏆 Platinum",IF(E4025&gt;=2000,"🥇 Gold",IF(E4025&gt;=800,"🥈 Silver","🥉 Bronze")))</f>
        <v/>
      </c>
      <c r="L4025" s="125" t="n">
        <v>40881</v>
      </c>
    </row>
    <row r="4026">
      <c r="A4026" s="126" t="n">
        <v>17859</v>
      </c>
      <c r="B4026" s="126" t="inlineStr">
        <is>
          <t>United Kingdom</t>
        </is>
      </c>
      <c r="C4026" s="126" t="n">
        <v>305</v>
      </c>
      <c r="D4026" s="126" t="n">
        <v>1</v>
      </c>
      <c r="E4026" s="127" t="n">
        <v>148.21</v>
      </c>
      <c r="F4026" s="128">
        <f>IF(C4026&lt;=30,5,IF(C4026&lt;=60,4,IF(C4026&lt;=120,3,IF(C4026&lt;=200,2,1))))</f>
        <v/>
      </c>
      <c r="G4026" s="128">
        <f>IF(D4026&gt;=20,5,IF(D4026&gt;=10,4,IF(D4026&gt;=5,3,IF(D4026&gt;=2,2,1))))</f>
        <v/>
      </c>
      <c r="H4026" s="128">
        <f>IF(E4026&gt;=5000,5,IF(E4026&gt;=2000,4,IF(E4026&gt;=800,3,IF(E4026&gt;=300,2,1))))</f>
        <v/>
      </c>
      <c r="I4026" s="126">
        <f>TEXT(F4026,"0")&amp;TEXT(G4026,"0")&amp;TEXT(H4026,"0")</f>
        <v/>
      </c>
      <c r="J4026" s="126">
        <f>IFERROR(XLOOKUP(I4026,'Segment Map'!A:A,'Segment Map'!B:B,"Need Attention"),"Need Attention")</f>
        <v/>
      </c>
      <c r="K4026" s="126">
        <f>IF(E4026&gt;=5000,"🏆 Platinum",IF(E4026&gt;=2000,"🥇 Gold",IF(E4026&gt;=800,"🥈 Silver","🥉 Bronze")))</f>
        <v/>
      </c>
      <c r="L4026" s="129" t="n">
        <v>40582</v>
      </c>
    </row>
    <row r="4027">
      <c r="A4027" s="122" t="n">
        <v>17860</v>
      </c>
      <c r="B4027" s="122" t="inlineStr">
        <is>
          <t>United Kingdom</t>
        </is>
      </c>
      <c r="C4027" s="122" t="n">
        <v>369</v>
      </c>
      <c r="D4027" s="122" t="n">
        <v>1</v>
      </c>
      <c r="E4027" s="123" t="n">
        <v>252.8</v>
      </c>
      <c r="F4027" s="124">
        <f>IF(C4027&lt;=30,5,IF(C4027&lt;=60,4,IF(C4027&lt;=120,3,IF(C4027&lt;=200,2,1))))</f>
        <v/>
      </c>
      <c r="G4027" s="124">
        <f>IF(D4027&gt;=20,5,IF(D4027&gt;=10,4,IF(D4027&gt;=5,3,IF(D4027&gt;=2,2,1))))</f>
        <v/>
      </c>
      <c r="H4027" s="124">
        <f>IF(E4027&gt;=5000,5,IF(E4027&gt;=2000,4,IF(E4027&gt;=800,3,IF(E4027&gt;=300,2,1))))</f>
        <v/>
      </c>
      <c r="I4027" s="122">
        <f>TEXT(F4027,"0")&amp;TEXT(G4027,"0")&amp;TEXT(H4027,"0")</f>
        <v/>
      </c>
      <c r="J4027" s="122">
        <f>IFERROR(XLOOKUP(I4027,'Segment Map'!A:A,'Segment Map'!B:B,"Need Attention"),"Need Attention")</f>
        <v/>
      </c>
      <c r="K4027" s="122">
        <f>IF(E4027&gt;=5000,"🏆 Platinum",IF(E4027&gt;=2000,"🥇 Gold",IF(E4027&gt;=800,"🥈 Silver","🥉 Bronze")))</f>
        <v/>
      </c>
      <c r="L4027" s="125" t="n">
        <v>40518</v>
      </c>
    </row>
    <row r="4028">
      <c r="A4028" s="126" t="n">
        <v>17861</v>
      </c>
      <c r="B4028" s="126" t="inlineStr">
        <is>
          <t>United Kingdom</t>
        </is>
      </c>
      <c r="C4028" s="126" t="n">
        <v>4</v>
      </c>
      <c r="D4028" s="126" t="n">
        <v>8</v>
      </c>
      <c r="E4028" s="127" t="n">
        <v>2100.8</v>
      </c>
      <c r="F4028" s="128">
        <f>IF(C4028&lt;=30,5,IF(C4028&lt;=60,4,IF(C4028&lt;=120,3,IF(C4028&lt;=200,2,1))))</f>
        <v/>
      </c>
      <c r="G4028" s="128">
        <f>IF(D4028&gt;=20,5,IF(D4028&gt;=10,4,IF(D4028&gt;=5,3,IF(D4028&gt;=2,2,1))))</f>
        <v/>
      </c>
      <c r="H4028" s="128">
        <f>IF(E4028&gt;=5000,5,IF(E4028&gt;=2000,4,IF(E4028&gt;=800,3,IF(E4028&gt;=300,2,1))))</f>
        <v/>
      </c>
      <c r="I4028" s="126">
        <f>TEXT(F4028,"0")&amp;TEXT(G4028,"0")&amp;TEXT(H4028,"0")</f>
        <v/>
      </c>
      <c r="J4028" s="126">
        <f>IFERROR(XLOOKUP(I4028,'Segment Map'!A:A,'Segment Map'!B:B,"Need Attention"),"Need Attention")</f>
        <v/>
      </c>
      <c r="K4028" s="126">
        <f>IF(E4028&gt;=5000,"🏆 Platinum",IF(E4028&gt;=2000,"🥇 Gold",IF(E4028&gt;=800,"🥈 Silver","🥉 Bronze")))</f>
        <v/>
      </c>
      <c r="L4028" s="129" t="n">
        <v>40883</v>
      </c>
    </row>
    <row r="4029">
      <c r="A4029" s="122" t="n">
        <v>17862</v>
      </c>
      <c r="B4029" s="122" t="inlineStr">
        <is>
          <t>United Kingdom</t>
        </is>
      </c>
      <c r="C4029" s="122" t="n">
        <v>324</v>
      </c>
      <c r="D4029" s="122" t="n">
        <v>1</v>
      </c>
      <c r="E4029" s="123" t="n">
        <v>330.9</v>
      </c>
      <c r="F4029" s="124">
        <f>IF(C4029&lt;=30,5,IF(C4029&lt;=60,4,IF(C4029&lt;=120,3,IF(C4029&lt;=200,2,1))))</f>
        <v/>
      </c>
      <c r="G4029" s="124">
        <f>IF(D4029&gt;=20,5,IF(D4029&gt;=10,4,IF(D4029&gt;=5,3,IF(D4029&gt;=2,2,1))))</f>
        <v/>
      </c>
      <c r="H4029" s="124">
        <f>IF(E4029&gt;=5000,5,IF(E4029&gt;=2000,4,IF(E4029&gt;=800,3,IF(E4029&gt;=300,2,1))))</f>
        <v/>
      </c>
      <c r="I4029" s="122">
        <f>TEXT(F4029,"0")&amp;TEXT(G4029,"0")&amp;TEXT(H4029,"0")</f>
        <v/>
      </c>
      <c r="J4029" s="122">
        <f>IFERROR(XLOOKUP(I4029,'Segment Map'!A:A,'Segment Map'!B:B,"Need Attention"),"Need Attention")</f>
        <v/>
      </c>
      <c r="K4029" s="122">
        <f>IF(E4029&gt;=5000,"🏆 Platinum",IF(E4029&gt;=2000,"🥇 Gold",IF(E4029&gt;=800,"🥈 Silver","🥉 Bronze")))</f>
        <v/>
      </c>
      <c r="L4029" s="125" t="n">
        <v>40563</v>
      </c>
    </row>
    <row r="4030">
      <c r="A4030" s="126" t="n">
        <v>17863</v>
      </c>
      <c r="B4030" s="126" t="inlineStr">
        <is>
          <t>United Kingdom</t>
        </is>
      </c>
      <c r="C4030" s="126" t="n">
        <v>60</v>
      </c>
      <c r="D4030" s="126" t="n">
        <v>6</v>
      </c>
      <c r="E4030" s="127" t="n">
        <v>3160</v>
      </c>
      <c r="F4030" s="128">
        <f>IF(C4030&lt;=30,5,IF(C4030&lt;=60,4,IF(C4030&lt;=120,3,IF(C4030&lt;=200,2,1))))</f>
        <v/>
      </c>
      <c r="G4030" s="128">
        <f>IF(D4030&gt;=20,5,IF(D4030&gt;=10,4,IF(D4030&gt;=5,3,IF(D4030&gt;=2,2,1))))</f>
        <v/>
      </c>
      <c r="H4030" s="128">
        <f>IF(E4030&gt;=5000,5,IF(E4030&gt;=2000,4,IF(E4030&gt;=800,3,IF(E4030&gt;=300,2,1))))</f>
        <v/>
      </c>
      <c r="I4030" s="126">
        <f>TEXT(F4030,"0")&amp;TEXT(G4030,"0")&amp;TEXT(H4030,"0")</f>
        <v/>
      </c>
      <c r="J4030" s="126">
        <f>IFERROR(XLOOKUP(I4030,'Segment Map'!A:A,'Segment Map'!B:B,"Need Attention"),"Need Attention")</f>
        <v/>
      </c>
      <c r="K4030" s="126">
        <f>IF(E4030&gt;=5000,"🏆 Platinum",IF(E4030&gt;=2000,"🥇 Gold",IF(E4030&gt;=800,"🥈 Silver","🥉 Bronze")))</f>
        <v/>
      </c>
      <c r="L4030" s="129" t="n">
        <v>40827</v>
      </c>
    </row>
    <row r="4031">
      <c r="A4031" s="122" t="n">
        <v>17864</v>
      </c>
      <c r="B4031" s="122" t="inlineStr">
        <is>
          <t>United Kingdom</t>
        </is>
      </c>
      <c r="C4031" s="122" t="n">
        <v>13</v>
      </c>
      <c r="D4031" s="122" t="n">
        <v>3</v>
      </c>
      <c r="E4031" s="123" t="n">
        <v>597.5</v>
      </c>
      <c r="F4031" s="124">
        <f>IF(C4031&lt;=30,5,IF(C4031&lt;=60,4,IF(C4031&lt;=120,3,IF(C4031&lt;=200,2,1))))</f>
        <v/>
      </c>
      <c r="G4031" s="124">
        <f>IF(D4031&gt;=20,5,IF(D4031&gt;=10,4,IF(D4031&gt;=5,3,IF(D4031&gt;=2,2,1))))</f>
        <v/>
      </c>
      <c r="H4031" s="124">
        <f>IF(E4031&gt;=5000,5,IF(E4031&gt;=2000,4,IF(E4031&gt;=800,3,IF(E4031&gt;=300,2,1))))</f>
        <v/>
      </c>
      <c r="I4031" s="122">
        <f>TEXT(F4031,"0")&amp;TEXT(G4031,"0")&amp;TEXT(H4031,"0")</f>
        <v/>
      </c>
      <c r="J4031" s="122">
        <f>IFERROR(XLOOKUP(I4031,'Segment Map'!A:A,'Segment Map'!B:B,"Need Attention"),"Need Attention")</f>
        <v/>
      </c>
      <c r="K4031" s="122">
        <f>IF(E4031&gt;=5000,"🏆 Platinum",IF(E4031&gt;=2000,"🥇 Gold",IF(E4031&gt;=800,"🥈 Silver","🥉 Bronze")))</f>
        <v/>
      </c>
      <c r="L4031" s="125" t="n">
        <v>40874</v>
      </c>
    </row>
    <row r="4032">
      <c r="A4032" s="126" t="n">
        <v>17865</v>
      </c>
      <c r="B4032" s="126" t="inlineStr">
        <is>
          <t>United Kingdom</t>
        </is>
      </c>
      <c r="C4032" s="126" t="n">
        <v>31</v>
      </c>
      <c r="D4032" s="126" t="n">
        <v>20</v>
      </c>
      <c r="E4032" s="127" t="n">
        <v>10526.32</v>
      </c>
      <c r="F4032" s="128">
        <f>IF(C4032&lt;=30,5,IF(C4032&lt;=60,4,IF(C4032&lt;=120,3,IF(C4032&lt;=200,2,1))))</f>
        <v/>
      </c>
      <c r="G4032" s="128">
        <f>IF(D4032&gt;=20,5,IF(D4032&gt;=10,4,IF(D4032&gt;=5,3,IF(D4032&gt;=2,2,1))))</f>
        <v/>
      </c>
      <c r="H4032" s="128">
        <f>IF(E4032&gt;=5000,5,IF(E4032&gt;=2000,4,IF(E4032&gt;=800,3,IF(E4032&gt;=300,2,1))))</f>
        <v/>
      </c>
      <c r="I4032" s="126">
        <f>TEXT(F4032,"0")&amp;TEXT(G4032,"0")&amp;TEXT(H4032,"0")</f>
        <v/>
      </c>
      <c r="J4032" s="126">
        <f>IFERROR(XLOOKUP(I4032,'Segment Map'!A:A,'Segment Map'!B:B,"Need Attention"),"Need Attention")</f>
        <v/>
      </c>
      <c r="K4032" s="126">
        <f>IF(E4032&gt;=5000,"🏆 Platinum",IF(E4032&gt;=2000,"🥇 Gold",IF(E4032&gt;=800,"🥈 Silver","🥉 Bronze")))</f>
        <v/>
      </c>
      <c r="L4032" s="129" t="n">
        <v>40856</v>
      </c>
    </row>
    <row r="4033">
      <c r="A4033" s="122" t="n">
        <v>17866</v>
      </c>
      <c r="B4033" s="122" t="inlineStr">
        <is>
          <t>United Kingdom</t>
        </is>
      </c>
      <c r="C4033" s="122" t="n">
        <v>143</v>
      </c>
      <c r="D4033" s="122" t="n">
        <v>1</v>
      </c>
      <c r="E4033" s="123" t="n">
        <v>329.65</v>
      </c>
      <c r="F4033" s="124">
        <f>IF(C4033&lt;=30,5,IF(C4033&lt;=60,4,IF(C4033&lt;=120,3,IF(C4033&lt;=200,2,1))))</f>
        <v/>
      </c>
      <c r="G4033" s="124">
        <f>IF(D4033&gt;=20,5,IF(D4033&gt;=10,4,IF(D4033&gt;=5,3,IF(D4033&gt;=2,2,1))))</f>
        <v/>
      </c>
      <c r="H4033" s="124">
        <f>IF(E4033&gt;=5000,5,IF(E4033&gt;=2000,4,IF(E4033&gt;=800,3,IF(E4033&gt;=300,2,1))))</f>
        <v/>
      </c>
      <c r="I4033" s="122">
        <f>TEXT(F4033,"0")&amp;TEXT(G4033,"0")&amp;TEXT(H4033,"0")</f>
        <v/>
      </c>
      <c r="J4033" s="122">
        <f>IFERROR(XLOOKUP(I4033,'Segment Map'!A:A,'Segment Map'!B:B,"Need Attention"),"Need Attention")</f>
        <v/>
      </c>
      <c r="K4033" s="122">
        <f>IF(E4033&gt;=5000,"🏆 Platinum",IF(E4033&gt;=2000,"🥇 Gold",IF(E4033&gt;=800,"🥈 Silver","🥉 Bronze")))</f>
        <v/>
      </c>
      <c r="L4033" s="125" t="n">
        <v>40744</v>
      </c>
    </row>
    <row r="4034">
      <c r="A4034" s="126" t="n">
        <v>17867</v>
      </c>
      <c r="B4034" s="126" t="inlineStr">
        <is>
          <t>United Kingdom</t>
        </is>
      </c>
      <c r="C4034" s="126" t="n">
        <v>31</v>
      </c>
      <c r="D4034" s="126" t="n">
        <v>6</v>
      </c>
      <c r="E4034" s="127" t="n">
        <v>1197.1</v>
      </c>
      <c r="F4034" s="128">
        <f>IF(C4034&lt;=30,5,IF(C4034&lt;=60,4,IF(C4034&lt;=120,3,IF(C4034&lt;=200,2,1))))</f>
        <v/>
      </c>
      <c r="G4034" s="128">
        <f>IF(D4034&gt;=20,5,IF(D4034&gt;=10,4,IF(D4034&gt;=5,3,IF(D4034&gt;=2,2,1))))</f>
        <v/>
      </c>
      <c r="H4034" s="128">
        <f>IF(E4034&gt;=5000,5,IF(E4034&gt;=2000,4,IF(E4034&gt;=800,3,IF(E4034&gt;=300,2,1))))</f>
        <v/>
      </c>
      <c r="I4034" s="126">
        <f>TEXT(F4034,"0")&amp;TEXT(G4034,"0")&amp;TEXT(H4034,"0")</f>
        <v/>
      </c>
      <c r="J4034" s="126">
        <f>IFERROR(XLOOKUP(I4034,'Segment Map'!A:A,'Segment Map'!B:B,"Need Attention"),"Need Attention")</f>
        <v/>
      </c>
      <c r="K4034" s="126">
        <f>IF(E4034&gt;=5000,"🏆 Platinum",IF(E4034&gt;=2000,"🥇 Gold",IF(E4034&gt;=800,"🥈 Silver","🥉 Bronze")))</f>
        <v/>
      </c>
      <c r="L4034" s="129" t="n">
        <v>40856</v>
      </c>
    </row>
    <row r="4035">
      <c r="A4035" s="122" t="n">
        <v>17869</v>
      </c>
      <c r="B4035" s="122" t="inlineStr">
        <is>
          <t>United Kingdom</t>
        </is>
      </c>
      <c r="C4035" s="122" t="n">
        <v>108</v>
      </c>
      <c r="D4035" s="122" t="n">
        <v>5</v>
      </c>
      <c r="E4035" s="123" t="n">
        <v>428.18</v>
      </c>
      <c r="F4035" s="124">
        <f>IF(C4035&lt;=30,5,IF(C4035&lt;=60,4,IF(C4035&lt;=120,3,IF(C4035&lt;=200,2,1))))</f>
        <v/>
      </c>
      <c r="G4035" s="124">
        <f>IF(D4035&gt;=20,5,IF(D4035&gt;=10,4,IF(D4035&gt;=5,3,IF(D4035&gt;=2,2,1))))</f>
        <v/>
      </c>
      <c r="H4035" s="124">
        <f>IF(E4035&gt;=5000,5,IF(E4035&gt;=2000,4,IF(E4035&gt;=800,3,IF(E4035&gt;=300,2,1))))</f>
        <v/>
      </c>
      <c r="I4035" s="122">
        <f>TEXT(F4035,"0")&amp;TEXT(G4035,"0")&amp;TEXT(H4035,"0")</f>
        <v/>
      </c>
      <c r="J4035" s="122">
        <f>IFERROR(XLOOKUP(I4035,'Segment Map'!A:A,'Segment Map'!B:B,"Need Attention"),"Need Attention")</f>
        <v/>
      </c>
      <c r="K4035" s="122">
        <f>IF(E4035&gt;=5000,"🏆 Platinum",IF(E4035&gt;=2000,"🥇 Gold",IF(E4035&gt;=800,"🥈 Silver","🥉 Bronze")))</f>
        <v/>
      </c>
      <c r="L4035" s="125" t="n">
        <v>40779</v>
      </c>
    </row>
    <row r="4036">
      <c r="A4036" s="126" t="n">
        <v>17870</v>
      </c>
      <c r="B4036" s="126" t="inlineStr">
        <is>
          <t>United Kingdom</t>
        </is>
      </c>
      <c r="C4036" s="126" t="n">
        <v>3</v>
      </c>
      <c r="D4036" s="126" t="n">
        <v>12</v>
      </c>
      <c r="E4036" s="127" t="n">
        <v>1894.35</v>
      </c>
      <c r="F4036" s="128">
        <f>IF(C4036&lt;=30,5,IF(C4036&lt;=60,4,IF(C4036&lt;=120,3,IF(C4036&lt;=200,2,1))))</f>
        <v/>
      </c>
      <c r="G4036" s="128">
        <f>IF(D4036&gt;=20,5,IF(D4036&gt;=10,4,IF(D4036&gt;=5,3,IF(D4036&gt;=2,2,1))))</f>
        <v/>
      </c>
      <c r="H4036" s="128">
        <f>IF(E4036&gt;=5000,5,IF(E4036&gt;=2000,4,IF(E4036&gt;=800,3,IF(E4036&gt;=300,2,1))))</f>
        <v/>
      </c>
      <c r="I4036" s="126">
        <f>TEXT(F4036,"0")&amp;TEXT(G4036,"0")&amp;TEXT(H4036,"0")</f>
        <v/>
      </c>
      <c r="J4036" s="126">
        <f>IFERROR(XLOOKUP(I4036,'Segment Map'!A:A,'Segment Map'!B:B,"Need Attention"),"Need Attention")</f>
        <v/>
      </c>
      <c r="K4036" s="126">
        <f>IF(E4036&gt;=5000,"🏆 Platinum",IF(E4036&gt;=2000,"🥇 Gold",IF(E4036&gt;=800,"🥈 Silver","🥉 Bronze")))</f>
        <v/>
      </c>
      <c r="L4036" s="129" t="n">
        <v>40884</v>
      </c>
    </row>
    <row r="4037">
      <c r="A4037" s="122" t="n">
        <v>17871</v>
      </c>
      <c r="B4037" s="122" t="inlineStr">
        <is>
          <t>United Kingdom</t>
        </is>
      </c>
      <c r="C4037" s="122" t="n">
        <v>205</v>
      </c>
      <c r="D4037" s="122" t="n">
        <v>1</v>
      </c>
      <c r="E4037" s="123" t="n">
        <v>155.9</v>
      </c>
      <c r="F4037" s="124">
        <f>IF(C4037&lt;=30,5,IF(C4037&lt;=60,4,IF(C4037&lt;=120,3,IF(C4037&lt;=200,2,1))))</f>
        <v/>
      </c>
      <c r="G4037" s="124">
        <f>IF(D4037&gt;=20,5,IF(D4037&gt;=10,4,IF(D4037&gt;=5,3,IF(D4037&gt;=2,2,1))))</f>
        <v/>
      </c>
      <c r="H4037" s="124">
        <f>IF(E4037&gt;=5000,5,IF(E4037&gt;=2000,4,IF(E4037&gt;=800,3,IF(E4037&gt;=300,2,1))))</f>
        <v/>
      </c>
      <c r="I4037" s="122">
        <f>TEXT(F4037,"0")&amp;TEXT(G4037,"0")&amp;TEXT(H4037,"0")</f>
        <v/>
      </c>
      <c r="J4037" s="122">
        <f>IFERROR(XLOOKUP(I4037,'Segment Map'!A:A,'Segment Map'!B:B,"Need Attention"),"Need Attention")</f>
        <v/>
      </c>
      <c r="K4037" s="122">
        <f>IF(E4037&gt;=5000,"🏆 Platinum",IF(E4037&gt;=2000,"🥇 Gold",IF(E4037&gt;=800,"🥈 Silver","🥉 Bronze")))</f>
        <v/>
      </c>
      <c r="L4037" s="125" t="n">
        <v>40682</v>
      </c>
    </row>
    <row r="4038">
      <c r="A4038" s="126" t="n">
        <v>17873</v>
      </c>
      <c r="B4038" s="126" t="inlineStr">
        <is>
          <t>United Kingdom</t>
        </is>
      </c>
      <c r="C4038" s="126" t="n">
        <v>81</v>
      </c>
      <c r="D4038" s="126" t="n">
        <v>5</v>
      </c>
      <c r="E4038" s="127" t="n">
        <v>1859.16</v>
      </c>
      <c r="F4038" s="128">
        <f>IF(C4038&lt;=30,5,IF(C4038&lt;=60,4,IF(C4038&lt;=120,3,IF(C4038&lt;=200,2,1))))</f>
        <v/>
      </c>
      <c r="G4038" s="128">
        <f>IF(D4038&gt;=20,5,IF(D4038&gt;=10,4,IF(D4038&gt;=5,3,IF(D4038&gt;=2,2,1))))</f>
        <v/>
      </c>
      <c r="H4038" s="128">
        <f>IF(E4038&gt;=5000,5,IF(E4038&gt;=2000,4,IF(E4038&gt;=800,3,IF(E4038&gt;=300,2,1))))</f>
        <v/>
      </c>
      <c r="I4038" s="126">
        <f>TEXT(F4038,"0")&amp;TEXT(G4038,"0")&amp;TEXT(H4038,"0")</f>
        <v/>
      </c>
      <c r="J4038" s="126">
        <f>IFERROR(XLOOKUP(I4038,'Segment Map'!A:A,'Segment Map'!B:B,"Need Attention"),"Need Attention")</f>
        <v/>
      </c>
      <c r="K4038" s="126">
        <f>IF(E4038&gt;=5000,"🏆 Platinum",IF(E4038&gt;=2000,"🥇 Gold",IF(E4038&gt;=800,"🥈 Silver","🥉 Bronze")))</f>
        <v/>
      </c>
      <c r="L4038" s="129" t="n">
        <v>40806</v>
      </c>
    </row>
    <row r="4039">
      <c r="A4039" s="122" t="n">
        <v>17874</v>
      </c>
      <c r="B4039" s="122" t="inlineStr">
        <is>
          <t>United Kingdom</t>
        </is>
      </c>
      <c r="C4039" s="122" t="n">
        <v>186</v>
      </c>
      <c r="D4039" s="122" t="n">
        <v>6</v>
      </c>
      <c r="E4039" s="123" t="n">
        <v>683.46</v>
      </c>
      <c r="F4039" s="124">
        <f>IF(C4039&lt;=30,5,IF(C4039&lt;=60,4,IF(C4039&lt;=120,3,IF(C4039&lt;=200,2,1))))</f>
        <v/>
      </c>
      <c r="G4039" s="124">
        <f>IF(D4039&gt;=20,5,IF(D4039&gt;=10,4,IF(D4039&gt;=5,3,IF(D4039&gt;=2,2,1))))</f>
        <v/>
      </c>
      <c r="H4039" s="124">
        <f>IF(E4039&gt;=5000,5,IF(E4039&gt;=2000,4,IF(E4039&gt;=800,3,IF(E4039&gt;=300,2,1))))</f>
        <v/>
      </c>
      <c r="I4039" s="122">
        <f>TEXT(F4039,"0")&amp;TEXT(G4039,"0")&amp;TEXT(H4039,"0")</f>
        <v/>
      </c>
      <c r="J4039" s="122">
        <f>IFERROR(XLOOKUP(I4039,'Segment Map'!A:A,'Segment Map'!B:B,"Need Attention"),"Need Attention")</f>
        <v/>
      </c>
      <c r="K4039" s="122">
        <f>IF(E4039&gt;=5000,"🏆 Platinum",IF(E4039&gt;=2000,"🥇 Gold",IF(E4039&gt;=800,"🥈 Silver","🥉 Bronze")))</f>
        <v/>
      </c>
      <c r="L4039" s="125" t="n">
        <v>40701</v>
      </c>
    </row>
    <row r="4040">
      <c r="A4040" s="126" t="n">
        <v>17877</v>
      </c>
      <c r="B4040" s="126" t="inlineStr">
        <is>
          <t>United Kingdom</t>
        </is>
      </c>
      <c r="C4040" s="126" t="n">
        <v>171</v>
      </c>
      <c r="D4040" s="126" t="n">
        <v>1</v>
      </c>
      <c r="E4040" s="127" t="n">
        <v>237.61</v>
      </c>
      <c r="F4040" s="128">
        <f>IF(C4040&lt;=30,5,IF(C4040&lt;=60,4,IF(C4040&lt;=120,3,IF(C4040&lt;=200,2,1))))</f>
        <v/>
      </c>
      <c r="G4040" s="128">
        <f>IF(D4040&gt;=20,5,IF(D4040&gt;=10,4,IF(D4040&gt;=5,3,IF(D4040&gt;=2,2,1))))</f>
        <v/>
      </c>
      <c r="H4040" s="128">
        <f>IF(E4040&gt;=5000,5,IF(E4040&gt;=2000,4,IF(E4040&gt;=800,3,IF(E4040&gt;=300,2,1))))</f>
        <v/>
      </c>
      <c r="I4040" s="126">
        <f>TEXT(F4040,"0")&amp;TEXT(G4040,"0")&amp;TEXT(H4040,"0")</f>
        <v/>
      </c>
      <c r="J4040" s="126">
        <f>IFERROR(XLOOKUP(I4040,'Segment Map'!A:A,'Segment Map'!B:B,"Need Attention"),"Need Attention")</f>
        <v/>
      </c>
      <c r="K4040" s="126">
        <f>IF(E4040&gt;=5000,"🏆 Platinum",IF(E4040&gt;=2000,"🥇 Gold",IF(E4040&gt;=800,"🥈 Silver","🥉 Bronze")))</f>
        <v/>
      </c>
      <c r="L4040" s="129" t="n">
        <v>40716</v>
      </c>
    </row>
    <row r="4041">
      <c r="A4041" s="122" t="n">
        <v>17878</v>
      </c>
      <c r="B4041" s="122" t="inlineStr">
        <is>
          <t>United Kingdom</t>
        </is>
      </c>
      <c r="C4041" s="122" t="n">
        <v>44</v>
      </c>
      <c r="D4041" s="122" t="n">
        <v>1</v>
      </c>
      <c r="E4041" s="123" t="n">
        <v>379.45</v>
      </c>
      <c r="F4041" s="124">
        <f>IF(C4041&lt;=30,5,IF(C4041&lt;=60,4,IF(C4041&lt;=120,3,IF(C4041&lt;=200,2,1))))</f>
        <v/>
      </c>
      <c r="G4041" s="124">
        <f>IF(D4041&gt;=20,5,IF(D4041&gt;=10,4,IF(D4041&gt;=5,3,IF(D4041&gt;=2,2,1))))</f>
        <v/>
      </c>
      <c r="H4041" s="124">
        <f>IF(E4041&gt;=5000,5,IF(E4041&gt;=2000,4,IF(E4041&gt;=800,3,IF(E4041&gt;=300,2,1))))</f>
        <v/>
      </c>
      <c r="I4041" s="122">
        <f>TEXT(F4041,"0")&amp;TEXT(G4041,"0")&amp;TEXT(H4041,"0")</f>
        <v/>
      </c>
      <c r="J4041" s="122">
        <f>IFERROR(XLOOKUP(I4041,'Segment Map'!A:A,'Segment Map'!B:B,"Need Attention"),"Need Attention")</f>
        <v/>
      </c>
      <c r="K4041" s="122">
        <f>IF(E4041&gt;=5000,"🏆 Platinum",IF(E4041&gt;=2000,"🥇 Gold",IF(E4041&gt;=800,"🥈 Silver","🥉 Bronze")))</f>
        <v/>
      </c>
      <c r="L4041" s="125" t="n">
        <v>40843</v>
      </c>
    </row>
    <row r="4042">
      <c r="A4042" s="126" t="n">
        <v>17879</v>
      </c>
      <c r="B4042" s="126" t="inlineStr">
        <is>
          <t>United Kingdom</t>
        </is>
      </c>
      <c r="C4042" s="126" t="n">
        <v>174</v>
      </c>
      <c r="D4042" s="126" t="n">
        <v>1</v>
      </c>
      <c r="E4042" s="127" t="n">
        <v>178.52</v>
      </c>
      <c r="F4042" s="128">
        <f>IF(C4042&lt;=30,5,IF(C4042&lt;=60,4,IF(C4042&lt;=120,3,IF(C4042&lt;=200,2,1))))</f>
        <v/>
      </c>
      <c r="G4042" s="128">
        <f>IF(D4042&gt;=20,5,IF(D4042&gt;=10,4,IF(D4042&gt;=5,3,IF(D4042&gt;=2,2,1))))</f>
        <v/>
      </c>
      <c r="H4042" s="128">
        <f>IF(E4042&gt;=5000,5,IF(E4042&gt;=2000,4,IF(E4042&gt;=800,3,IF(E4042&gt;=300,2,1))))</f>
        <v/>
      </c>
      <c r="I4042" s="126">
        <f>TEXT(F4042,"0")&amp;TEXT(G4042,"0")&amp;TEXT(H4042,"0")</f>
        <v/>
      </c>
      <c r="J4042" s="126">
        <f>IFERROR(XLOOKUP(I4042,'Segment Map'!A:A,'Segment Map'!B:B,"Need Attention"),"Need Attention")</f>
        <v/>
      </c>
      <c r="K4042" s="126">
        <f>IF(E4042&gt;=5000,"🏆 Platinum",IF(E4042&gt;=2000,"🥇 Gold",IF(E4042&gt;=800,"🥈 Silver","🥉 Bronze")))</f>
        <v/>
      </c>
      <c r="L4042" s="129" t="n">
        <v>40713</v>
      </c>
    </row>
    <row r="4043">
      <c r="A4043" s="122" t="n">
        <v>17880</v>
      </c>
      <c r="B4043" s="122" t="inlineStr">
        <is>
          <t>United Kingdom</t>
        </is>
      </c>
      <c r="C4043" s="122" t="n">
        <v>365</v>
      </c>
      <c r="D4043" s="122" t="n">
        <v>1</v>
      </c>
      <c r="E4043" s="123" t="n">
        <v>458.92</v>
      </c>
      <c r="F4043" s="124">
        <f>IF(C4043&lt;=30,5,IF(C4043&lt;=60,4,IF(C4043&lt;=120,3,IF(C4043&lt;=200,2,1))))</f>
        <v/>
      </c>
      <c r="G4043" s="124">
        <f>IF(D4043&gt;=20,5,IF(D4043&gt;=10,4,IF(D4043&gt;=5,3,IF(D4043&gt;=2,2,1))))</f>
        <v/>
      </c>
      <c r="H4043" s="124">
        <f>IF(E4043&gt;=5000,5,IF(E4043&gt;=2000,4,IF(E4043&gt;=800,3,IF(E4043&gt;=300,2,1))))</f>
        <v/>
      </c>
      <c r="I4043" s="122">
        <f>TEXT(F4043,"0")&amp;TEXT(G4043,"0")&amp;TEXT(H4043,"0")</f>
        <v/>
      </c>
      <c r="J4043" s="122">
        <f>IFERROR(XLOOKUP(I4043,'Segment Map'!A:A,'Segment Map'!B:B,"Need Attention"),"Need Attention")</f>
        <v/>
      </c>
      <c r="K4043" s="122">
        <f>IF(E4043&gt;=5000,"🏆 Platinum",IF(E4043&gt;=2000,"🥇 Gold",IF(E4043&gt;=800,"🥈 Silver","🥉 Bronze")))</f>
        <v/>
      </c>
      <c r="L4043" s="125" t="n">
        <v>40522</v>
      </c>
    </row>
    <row r="4044">
      <c r="A4044" s="126" t="n">
        <v>17881</v>
      </c>
      <c r="B4044" s="126" t="inlineStr">
        <is>
          <t>United Kingdom</t>
        </is>
      </c>
      <c r="C4044" s="126" t="n">
        <v>305</v>
      </c>
      <c r="D4044" s="126" t="n">
        <v>1</v>
      </c>
      <c r="E4044" s="127" t="n">
        <v>133.35</v>
      </c>
      <c r="F4044" s="128">
        <f>IF(C4044&lt;=30,5,IF(C4044&lt;=60,4,IF(C4044&lt;=120,3,IF(C4044&lt;=200,2,1))))</f>
        <v/>
      </c>
      <c r="G4044" s="128">
        <f>IF(D4044&gt;=20,5,IF(D4044&gt;=10,4,IF(D4044&gt;=5,3,IF(D4044&gt;=2,2,1))))</f>
        <v/>
      </c>
      <c r="H4044" s="128">
        <f>IF(E4044&gt;=5000,5,IF(E4044&gt;=2000,4,IF(E4044&gt;=800,3,IF(E4044&gt;=300,2,1))))</f>
        <v/>
      </c>
      <c r="I4044" s="126">
        <f>TEXT(F4044,"0")&amp;TEXT(G4044,"0")&amp;TEXT(H4044,"0")</f>
        <v/>
      </c>
      <c r="J4044" s="126">
        <f>IFERROR(XLOOKUP(I4044,'Segment Map'!A:A,'Segment Map'!B:B,"Need Attention"),"Need Attention")</f>
        <v/>
      </c>
      <c r="K4044" s="126">
        <f>IF(E4044&gt;=5000,"🏆 Platinum",IF(E4044&gt;=2000,"🥇 Gold",IF(E4044&gt;=800,"🥈 Silver","🥉 Bronze")))</f>
        <v/>
      </c>
      <c r="L4044" s="129" t="n">
        <v>40582</v>
      </c>
    </row>
    <row r="4045">
      <c r="A4045" s="122" t="n">
        <v>17883</v>
      </c>
      <c r="B4045" s="122" t="inlineStr">
        <is>
          <t>United Kingdom</t>
        </is>
      </c>
      <c r="C4045" s="122" t="n">
        <v>4</v>
      </c>
      <c r="D4045" s="122" t="n">
        <v>4</v>
      </c>
      <c r="E4045" s="123" t="n">
        <v>671.77</v>
      </c>
      <c r="F4045" s="124">
        <f>IF(C4045&lt;=30,5,IF(C4045&lt;=60,4,IF(C4045&lt;=120,3,IF(C4045&lt;=200,2,1))))</f>
        <v/>
      </c>
      <c r="G4045" s="124">
        <f>IF(D4045&gt;=20,5,IF(D4045&gt;=10,4,IF(D4045&gt;=5,3,IF(D4045&gt;=2,2,1))))</f>
        <v/>
      </c>
      <c r="H4045" s="124">
        <f>IF(E4045&gt;=5000,5,IF(E4045&gt;=2000,4,IF(E4045&gt;=800,3,IF(E4045&gt;=300,2,1))))</f>
        <v/>
      </c>
      <c r="I4045" s="122">
        <f>TEXT(F4045,"0")&amp;TEXT(G4045,"0")&amp;TEXT(H4045,"0")</f>
        <v/>
      </c>
      <c r="J4045" s="122">
        <f>IFERROR(XLOOKUP(I4045,'Segment Map'!A:A,'Segment Map'!B:B,"Need Attention"),"Need Attention")</f>
        <v/>
      </c>
      <c r="K4045" s="122">
        <f>IF(E4045&gt;=5000,"🏆 Platinum",IF(E4045&gt;=2000,"🥇 Gold",IF(E4045&gt;=800,"🥈 Silver","🥉 Bronze")))</f>
        <v/>
      </c>
      <c r="L4045" s="125" t="n">
        <v>40883</v>
      </c>
    </row>
    <row r="4046">
      <c r="A4046" s="126" t="n">
        <v>17884</v>
      </c>
      <c r="B4046" s="126" t="inlineStr">
        <is>
          <t>United Kingdom</t>
        </is>
      </c>
      <c r="C4046" s="126" t="n">
        <v>4</v>
      </c>
      <c r="D4046" s="126" t="n">
        <v>4</v>
      </c>
      <c r="E4046" s="127" t="n">
        <v>717.45</v>
      </c>
      <c r="F4046" s="128">
        <f>IF(C4046&lt;=30,5,IF(C4046&lt;=60,4,IF(C4046&lt;=120,3,IF(C4046&lt;=200,2,1))))</f>
        <v/>
      </c>
      <c r="G4046" s="128">
        <f>IF(D4046&gt;=20,5,IF(D4046&gt;=10,4,IF(D4046&gt;=5,3,IF(D4046&gt;=2,2,1))))</f>
        <v/>
      </c>
      <c r="H4046" s="128">
        <f>IF(E4046&gt;=5000,5,IF(E4046&gt;=2000,4,IF(E4046&gt;=800,3,IF(E4046&gt;=300,2,1))))</f>
        <v/>
      </c>
      <c r="I4046" s="126">
        <f>TEXT(F4046,"0")&amp;TEXT(G4046,"0")&amp;TEXT(H4046,"0")</f>
        <v/>
      </c>
      <c r="J4046" s="126">
        <f>IFERROR(XLOOKUP(I4046,'Segment Map'!A:A,'Segment Map'!B:B,"Need Attention"),"Need Attention")</f>
        <v/>
      </c>
      <c r="K4046" s="126">
        <f>IF(E4046&gt;=5000,"🏆 Platinum",IF(E4046&gt;=2000,"🥇 Gold",IF(E4046&gt;=800,"🥈 Silver","🥉 Bronze")))</f>
        <v/>
      </c>
      <c r="L4046" s="129" t="n">
        <v>40883</v>
      </c>
    </row>
    <row r="4047">
      <c r="A4047" s="122" t="n">
        <v>17885</v>
      </c>
      <c r="B4047" s="122" t="inlineStr">
        <is>
          <t>United Kingdom</t>
        </is>
      </c>
      <c r="C4047" s="122" t="n">
        <v>13</v>
      </c>
      <c r="D4047" s="122" t="n">
        <v>1</v>
      </c>
      <c r="E4047" s="123" t="n">
        <v>190.19</v>
      </c>
      <c r="F4047" s="124">
        <f>IF(C4047&lt;=30,5,IF(C4047&lt;=60,4,IF(C4047&lt;=120,3,IF(C4047&lt;=200,2,1))))</f>
        <v/>
      </c>
      <c r="G4047" s="124">
        <f>IF(D4047&gt;=20,5,IF(D4047&gt;=10,4,IF(D4047&gt;=5,3,IF(D4047&gt;=2,2,1))))</f>
        <v/>
      </c>
      <c r="H4047" s="124">
        <f>IF(E4047&gt;=5000,5,IF(E4047&gt;=2000,4,IF(E4047&gt;=800,3,IF(E4047&gt;=300,2,1))))</f>
        <v/>
      </c>
      <c r="I4047" s="122">
        <f>TEXT(F4047,"0")&amp;TEXT(G4047,"0")&amp;TEXT(H4047,"0")</f>
        <v/>
      </c>
      <c r="J4047" s="122">
        <f>IFERROR(XLOOKUP(I4047,'Segment Map'!A:A,'Segment Map'!B:B,"Need Attention"),"Need Attention")</f>
        <v/>
      </c>
      <c r="K4047" s="122">
        <f>IF(E4047&gt;=5000,"🏆 Platinum",IF(E4047&gt;=2000,"🥇 Gold",IF(E4047&gt;=800,"🥈 Silver","🥉 Bronze")))</f>
        <v/>
      </c>
      <c r="L4047" s="125" t="n">
        <v>40874</v>
      </c>
    </row>
    <row r="4048">
      <c r="A4048" s="126" t="n">
        <v>17886</v>
      </c>
      <c r="B4048" s="126" t="inlineStr">
        <is>
          <t>United Kingdom</t>
        </is>
      </c>
      <c r="C4048" s="126" t="n">
        <v>32</v>
      </c>
      <c r="D4048" s="126" t="n">
        <v>3</v>
      </c>
      <c r="E4048" s="127" t="n">
        <v>899.61</v>
      </c>
      <c r="F4048" s="128">
        <f>IF(C4048&lt;=30,5,IF(C4048&lt;=60,4,IF(C4048&lt;=120,3,IF(C4048&lt;=200,2,1))))</f>
        <v/>
      </c>
      <c r="G4048" s="128">
        <f>IF(D4048&gt;=20,5,IF(D4048&gt;=10,4,IF(D4048&gt;=5,3,IF(D4048&gt;=2,2,1))))</f>
        <v/>
      </c>
      <c r="H4048" s="128">
        <f>IF(E4048&gt;=5000,5,IF(E4048&gt;=2000,4,IF(E4048&gt;=800,3,IF(E4048&gt;=300,2,1))))</f>
        <v/>
      </c>
      <c r="I4048" s="126">
        <f>TEXT(F4048,"0")&amp;TEXT(G4048,"0")&amp;TEXT(H4048,"0")</f>
        <v/>
      </c>
      <c r="J4048" s="126">
        <f>IFERROR(XLOOKUP(I4048,'Segment Map'!A:A,'Segment Map'!B:B,"Need Attention"),"Need Attention")</f>
        <v/>
      </c>
      <c r="K4048" s="126">
        <f>IF(E4048&gt;=5000,"🏆 Platinum",IF(E4048&gt;=2000,"🥇 Gold",IF(E4048&gt;=800,"🥈 Silver","🥉 Bronze")))</f>
        <v/>
      </c>
      <c r="L4048" s="129" t="n">
        <v>40855</v>
      </c>
    </row>
    <row r="4049">
      <c r="A4049" s="122" t="n">
        <v>17887</v>
      </c>
      <c r="B4049" s="122" t="inlineStr">
        <is>
          <t>United Kingdom</t>
        </is>
      </c>
      <c r="C4049" s="122" t="n">
        <v>130</v>
      </c>
      <c r="D4049" s="122" t="n">
        <v>1</v>
      </c>
      <c r="E4049" s="123" t="n">
        <v>111.35</v>
      </c>
      <c r="F4049" s="124">
        <f>IF(C4049&lt;=30,5,IF(C4049&lt;=60,4,IF(C4049&lt;=120,3,IF(C4049&lt;=200,2,1))))</f>
        <v/>
      </c>
      <c r="G4049" s="124">
        <f>IF(D4049&gt;=20,5,IF(D4049&gt;=10,4,IF(D4049&gt;=5,3,IF(D4049&gt;=2,2,1))))</f>
        <v/>
      </c>
      <c r="H4049" s="124">
        <f>IF(E4049&gt;=5000,5,IF(E4049&gt;=2000,4,IF(E4049&gt;=800,3,IF(E4049&gt;=300,2,1))))</f>
        <v/>
      </c>
      <c r="I4049" s="122">
        <f>TEXT(F4049,"0")&amp;TEXT(G4049,"0")&amp;TEXT(H4049,"0")</f>
        <v/>
      </c>
      <c r="J4049" s="122">
        <f>IFERROR(XLOOKUP(I4049,'Segment Map'!A:A,'Segment Map'!B:B,"Need Attention"),"Need Attention")</f>
        <v/>
      </c>
      <c r="K4049" s="122">
        <f>IF(E4049&gt;=5000,"🏆 Platinum",IF(E4049&gt;=2000,"🥇 Gold",IF(E4049&gt;=800,"🥈 Silver","🥉 Bronze")))</f>
        <v/>
      </c>
      <c r="L4049" s="125" t="n">
        <v>40757</v>
      </c>
    </row>
    <row r="4050">
      <c r="A4050" s="126" t="n">
        <v>17888</v>
      </c>
      <c r="B4050" s="126" t="inlineStr">
        <is>
          <t>United Kingdom</t>
        </is>
      </c>
      <c r="C4050" s="126" t="n">
        <v>22</v>
      </c>
      <c r="D4050" s="126" t="n">
        <v>8</v>
      </c>
      <c r="E4050" s="127" t="n">
        <v>726.05</v>
      </c>
      <c r="F4050" s="128">
        <f>IF(C4050&lt;=30,5,IF(C4050&lt;=60,4,IF(C4050&lt;=120,3,IF(C4050&lt;=200,2,1))))</f>
        <v/>
      </c>
      <c r="G4050" s="128">
        <f>IF(D4050&gt;=20,5,IF(D4050&gt;=10,4,IF(D4050&gt;=5,3,IF(D4050&gt;=2,2,1))))</f>
        <v/>
      </c>
      <c r="H4050" s="128">
        <f>IF(E4050&gt;=5000,5,IF(E4050&gt;=2000,4,IF(E4050&gt;=800,3,IF(E4050&gt;=300,2,1))))</f>
        <v/>
      </c>
      <c r="I4050" s="126">
        <f>TEXT(F4050,"0")&amp;TEXT(G4050,"0")&amp;TEXT(H4050,"0")</f>
        <v/>
      </c>
      <c r="J4050" s="126">
        <f>IFERROR(XLOOKUP(I4050,'Segment Map'!A:A,'Segment Map'!B:B,"Need Attention"),"Need Attention")</f>
        <v/>
      </c>
      <c r="K4050" s="126">
        <f>IF(E4050&gt;=5000,"🏆 Platinum",IF(E4050&gt;=2000,"🥇 Gold",IF(E4050&gt;=800,"🥈 Silver","🥉 Bronze")))</f>
        <v/>
      </c>
      <c r="L4050" s="129" t="n">
        <v>40865</v>
      </c>
    </row>
    <row r="4051">
      <c r="A4051" s="122" t="n">
        <v>17889</v>
      </c>
      <c r="B4051" s="122" t="inlineStr">
        <is>
          <t>United Kingdom</t>
        </is>
      </c>
      <c r="C4051" s="122" t="n">
        <v>213</v>
      </c>
      <c r="D4051" s="122" t="n">
        <v>2</v>
      </c>
      <c r="E4051" s="123" t="n">
        <v>203.87</v>
      </c>
      <c r="F4051" s="124">
        <f>IF(C4051&lt;=30,5,IF(C4051&lt;=60,4,IF(C4051&lt;=120,3,IF(C4051&lt;=200,2,1))))</f>
        <v/>
      </c>
      <c r="G4051" s="124">
        <f>IF(D4051&gt;=20,5,IF(D4051&gt;=10,4,IF(D4051&gt;=5,3,IF(D4051&gt;=2,2,1))))</f>
        <v/>
      </c>
      <c r="H4051" s="124">
        <f>IF(E4051&gt;=5000,5,IF(E4051&gt;=2000,4,IF(E4051&gt;=800,3,IF(E4051&gt;=300,2,1))))</f>
        <v/>
      </c>
      <c r="I4051" s="122">
        <f>TEXT(F4051,"0")&amp;TEXT(G4051,"0")&amp;TEXT(H4051,"0")</f>
        <v/>
      </c>
      <c r="J4051" s="122">
        <f>IFERROR(XLOOKUP(I4051,'Segment Map'!A:A,'Segment Map'!B:B,"Need Attention"),"Need Attention")</f>
        <v/>
      </c>
      <c r="K4051" s="122">
        <f>IF(E4051&gt;=5000,"🏆 Platinum",IF(E4051&gt;=2000,"🥇 Gold",IF(E4051&gt;=800,"🥈 Silver","🥉 Bronze")))</f>
        <v/>
      </c>
      <c r="L4051" s="125" t="n">
        <v>40674</v>
      </c>
    </row>
    <row r="4052">
      <c r="A4052" s="126" t="n">
        <v>17890</v>
      </c>
      <c r="B4052" s="126" t="inlineStr">
        <is>
          <t>United Kingdom</t>
        </is>
      </c>
      <c r="C4052" s="126" t="n">
        <v>323</v>
      </c>
      <c r="D4052" s="126" t="n">
        <v>2</v>
      </c>
      <c r="E4052" s="127" t="n">
        <v>602.09</v>
      </c>
      <c r="F4052" s="128">
        <f>IF(C4052&lt;=30,5,IF(C4052&lt;=60,4,IF(C4052&lt;=120,3,IF(C4052&lt;=200,2,1))))</f>
        <v/>
      </c>
      <c r="G4052" s="128">
        <f>IF(D4052&gt;=20,5,IF(D4052&gt;=10,4,IF(D4052&gt;=5,3,IF(D4052&gt;=2,2,1))))</f>
        <v/>
      </c>
      <c r="H4052" s="128">
        <f>IF(E4052&gt;=5000,5,IF(E4052&gt;=2000,4,IF(E4052&gt;=800,3,IF(E4052&gt;=300,2,1))))</f>
        <v/>
      </c>
      <c r="I4052" s="126">
        <f>TEXT(F4052,"0")&amp;TEXT(G4052,"0")&amp;TEXT(H4052,"0")</f>
        <v/>
      </c>
      <c r="J4052" s="126">
        <f>IFERROR(XLOOKUP(I4052,'Segment Map'!A:A,'Segment Map'!B:B,"Need Attention"),"Need Attention")</f>
        <v/>
      </c>
      <c r="K4052" s="126">
        <f>IF(E4052&gt;=5000,"🏆 Platinum",IF(E4052&gt;=2000,"🥇 Gold",IF(E4052&gt;=800,"🥈 Silver","🥉 Bronze")))</f>
        <v/>
      </c>
      <c r="L4052" s="129" t="n">
        <v>40564</v>
      </c>
    </row>
    <row r="4053">
      <c r="A4053" s="122" t="n">
        <v>17891</v>
      </c>
      <c r="B4053" s="122" t="inlineStr">
        <is>
          <t>United Kingdom</t>
        </is>
      </c>
      <c r="C4053" s="122" t="n">
        <v>163</v>
      </c>
      <c r="D4053" s="122" t="n">
        <v>1</v>
      </c>
      <c r="E4053" s="123" t="n">
        <v>203.86</v>
      </c>
      <c r="F4053" s="124">
        <f>IF(C4053&lt;=30,5,IF(C4053&lt;=60,4,IF(C4053&lt;=120,3,IF(C4053&lt;=200,2,1))))</f>
        <v/>
      </c>
      <c r="G4053" s="124">
        <f>IF(D4053&gt;=20,5,IF(D4053&gt;=10,4,IF(D4053&gt;=5,3,IF(D4053&gt;=2,2,1))))</f>
        <v/>
      </c>
      <c r="H4053" s="124">
        <f>IF(E4053&gt;=5000,5,IF(E4053&gt;=2000,4,IF(E4053&gt;=800,3,IF(E4053&gt;=300,2,1))))</f>
        <v/>
      </c>
      <c r="I4053" s="122">
        <f>TEXT(F4053,"0")&amp;TEXT(G4053,"0")&amp;TEXT(H4053,"0")</f>
        <v/>
      </c>
      <c r="J4053" s="122">
        <f>IFERROR(XLOOKUP(I4053,'Segment Map'!A:A,'Segment Map'!B:B,"Need Attention"),"Need Attention")</f>
        <v/>
      </c>
      <c r="K4053" s="122">
        <f>IF(E4053&gt;=5000,"🏆 Platinum",IF(E4053&gt;=2000,"🥇 Gold",IF(E4053&gt;=800,"🥈 Silver","🥉 Bronze")))</f>
        <v/>
      </c>
      <c r="L4053" s="125" t="n">
        <v>40724</v>
      </c>
    </row>
    <row r="4054">
      <c r="A4054" s="126" t="n">
        <v>17892</v>
      </c>
      <c r="B4054" s="126" t="inlineStr">
        <is>
          <t>United Kingdom</t>
        </is>
      </c>
      <c r="C4054" s="126" t="n">
        <v>57</v>
      </c>
      <c r="D4054" s="126" t="n">
        <v>3</v>
      </c>
      <c r="E4054" s="127" t="n">
        <v>244.1</v>
      </c>
      <c r="F4054" s="128">
        <f>IF(C4054&lt;=30,5,IF(C4054&lt;=60,4,IF(C4054&lt;=120,3,IF(C4054&lt;=200,2,1))))</f>
        <v/>
      </c>
      <c r="G4054" s="128">
        <f>IF(D4054&gt;=20,5,IF(D4054&gt;=10,4,IF(D4054&gt;=5,3,IF(D4054&gt;=2,2,1))))</f>
        <v/>
      </c>
      <c r="H4054" s="128">
        <f>IF(E4054&gt;=5000,5,IF(E4054&gt;=2000,4,IF(E4054&gt;=800,3,IF(E4054&gt;=300,2,1))))</f>
        <v/>
      </c>
      <c r="I4054" s="126">
        <f>TEXT(F4054,"0")&amp;TEXT(G4054,"0")&amp;TEXT(H4054,"0")</f>
        <v/>
      </c>
      <c r="J4054" s="126">
        <f>IFERROR(XLOOKUP(I4054,'Segment Map'!A:A,'Segment Map'!B:B,"Need Attention"),"Need Attention")</f>
        <v/>
      </c>
      <c r="K4054" s="126">
        <f>IF(E4054&gt;=5000,"🏆 Platinum",IF(E4054&gt;=2000,"🥇 Gold",IF(E4054&gt;=800,"🥈 Silver","🥉 Bronze")))</f>
        <v/>
      </c>
      <c r="L4054" s="129" t="n">
        <v>40830</v>
      </c>
    </row>
    <row r="4055">
      <c r="A4055" s="122" t="n">
        <v>17893</v>
      </c>
      <c r="B4055" s="122" t="inlineStr">
        <is>
          <t>United Kingdom</t>
        </is>
      </c>
      <c r="C4055" s="122" t="n">
        <v>226</v>
      </c>
      <c r="D4055" s="122" t="n">
        <v>1</v>
      </c>
      <c r="E4055" s="123" t="n">
        <v>112.25</v>
      </c>
      <c r="F4055" s="124">
        <f>IF(C4055&lt;=30,5,IF(C4055&lt;=60,4,IF(C4055&lt;=120,3,IF(C4055&lt;=200,2,1))))</f>
        <v/>
      </c>
      <c r="G4055" s="124">
        <f>IF(D4055&gt;=20,5,IF(D4055&gt;=10,4,IF(D4055&gt;=5,3,IF(D4055&gt;=2,2,1))))</f>
        <v/>
      </c>
      <c r="H4055" s="124">
        <f>IF(E4055&gt;=5000,5,IF(E4055&gt;=2000,4,IF(E4055&gt;=800,3,IF(E4055&gt;=300,2,1))))</f>
        <v/>
      </c>
      <c r="I4055" s="122">
        <f>TEXT(F4055,"0")&amp;TEXT(G4055,"0")&amp;TEXT(H4055,"0")</f>
        <v/>
      </c>
      <c r="J4055" s="122">
        <f>IFERROR(XLOOKUP(I4055,'Segment Map'!A:A,'Segment Map'!B:B,"Need Attention"),"Need Attention")</f>
        <v/>
      </c>
      <c r="K4055" s="122">
        <f>IF(E4055&gt;=5000,"🏆 Platinum",IF(E4055&gt;=2000,"🥇 Gold",IF(E4055&gt;=800,"🥈 Silver","🥉 Bronze")))</f>
        <v/>
      </c>
      <c r="L4055" s="125" t="n">
        <v>40661</v>
      </c>
    </row>
    <row r="4056">
      <c r="A4056" s="126" t="n">
        <v>17894</v>
      </c>
      <c r="B4056" s="126" t="inlineStr">
        <is>
          <t>United Kingdom</t>
        </is>
      </c>
      <c r="C4056" s="126" t="n">
        <v>72</v>
      </c>
      <c r="D4056" s="126" t="n">
        <v>8</v>
      </c>
      <c r="E4056" s="127" t="n">
        <v>1119.81</v>
      </c>
      <c r="F4056" s="128">
        <f>IF(C4056&lt;=30,5,IF(C4056&lt;=60,4,IF(C4056&lt;=120,3,IF(C4056&lt;=200,2,1))))</f>
        <v/>
      </c>
      <c r="G4056" s="128">
        <f>IF(D4056&gt;=20,5,IF(D4056&gt;=10,4,IF(D4056&gt;=5,3,IF(D4056&gt;=2,2,1))))</f>
        <v/>
      </c>
      <c r="H4056" s="128">
        <f>IF(E4056&gt;=5000,5,IF(E4056&gt;=2000,4,IF(E4056&gt;=800,3,IF(E4056&gt;=300,2,1))))</f>
        <v/>
      </c>
      <c r="I4056" s="126">
        <f>TEXT(F4056,"0")&amp;TEXT(G4056,"0")&amp;TEXT(H4056,"0")</f>
        <v/>
      </c>
      <c r="J4056" s="126">
        <f>IFERROR(XLOOKUP(I4056,'Segment Map'!A:A,'Segment Map'!B:B,"Need Attention"),"Need Attention")</f>
        <v/>
      </c>
      <c r="K4056" s="126">
        <f>IF(E4056&gt;=5000,"🏆 Platinum",IF(E4056&gt;=2000,"🥇 Gold",IF(E4056&gt;=800,"🥈 Silver","🥉 Bronze")))</f>
        <v/>
      </c>
      <c r="L4056" s="129" t="n">
        <v>40815</v>
      </c>
    </row>
    <row r="4057">
      <c r="A4057" s="122" t="n">
        <v>17895</v>
      </c>
      <c r="B4057" s="122" t="inlineStr">
        <is>
          <t>United Kingdom</t>
        </is>
      </c>
      <c r="C4057" s="122" t="n">
        <v>45</v>
      </c>
      <c r="D4057" s="122" t="n">
        <v>1</v>
      </c>
      <c r="E4057" s="123" t="n">
        <v>98</v>
      </c>
      <c r="F4057" s="124">
        <f>IF(C4057&lt;=30,5,IF(C4057&lt;=60,4,IF(C4057&lt;=120,3,IF(C4057&lt;=200,2,1))))</f>
        <v/>
      </c>
      <c r="G4057" s="124">
        <f>IF(D4057&gt;=20,5,IF(D4057&gt;=10,4,IF(D4057&gt;=5,3,IF(D4057&gt;=2,2,1))))</f>
        <v/>
      </c>
      <c r="H4057" s="124">
        <f>IF(E4057&gt;=5000,5,IF(E4057&gt;=2000,4,IF(E4057&gt;=800,3,IF(E4057&gt;=300,2,1))))</f>
        <v/>
      </c>
      <c r="I4057" s="122">
        <f>TEXT(F4057,"0")&amp;TEXT(G4057,"0")&amp;TEXT(H4057,"0")</f>
        <v/>
      </c>
      <c r="J4057" s="122">
        <f>IFERROR(XLOOKUP(I4057,'Segment Map'!A:A,'Segment Map'!B:B,"Need Attention"),"Need Attention")</f>
        <v/>
      </c>
      <c r="K4057" s="122">
        <f>IF(E4057&gt;=5000,"🏆 Platinum",IF(E4057&gt;=2000,"🥇 Gold",IF(E4057&gt;=800,"🥈 Silver","🥉 Bronze")))</f>
        <v/>
      </c>
      <c r="L4057" s="125" t="n">
        <v>40842</v>
      </c>
    </row>
    <row r="4058">
      <c r="A4058" s="126" t="n">
        <v>17896</v>
      </c>
      <c r="B4058" s="126" t="inlineStr">
        <is>
          <t>United Kingdom</t>
        </is>
      </c>
      <c r="C4058" s="126" t="n">
        <v>24</v>
      </c>
      <c r="D4058" s="126" t="n">
        <v>1</v>
      </c>
      <c r="E4058" s="127" t="n">
        <v>256.32</v>
      </c>
      <c r="F4058" s="128">
        <f>IF(C4058&lt;=30,5,IF(C4058&lt;=60,4,IF(C4058&lt;=120,3,IF(C4058&lt;=200,2,1))))</f>
        <v/>
      </c>
      <c r="G4058" s="128">
        <f>IF(D4058&gt;=20,5,IF(D4058&gt;=10,4,IF(D4058&gt;=5,3,IF(D4058&gt;=2,2,1))))</f>
        <v/>
      </c>
      <c r="H4058" s="128">
        <f>IF(E4058&gt;=5000,5,IF(E4058&gt;=2000,4,IF(E4058&gt;=800,3,IF(E4058&gt;=300,2,1))))</f>
        <v/>
      </c>
      <c r="I4058" s="126">
        <f>TEXT(F4058,"0")&amp;TEXT(G4058,"0")&amp;TEXT(H4058,"0")</f>
        <v/>
      </c>
      <c r="J4058" s="126">
        <f>IFERROR(XLOOKUP(I4058,'Segment Map'!A:A,'Segment Map'!B:B,"Need Attention"),"Need Attention")</f>
        <v/>
      </c>
      <c r="K4058" s="126">
        <f>IF(E4058&gt;=5000,"🏆 Platinum",IF(E4058&gt;=2000,"🥇 Gold",IF(E4058&gt;=800,"🥈 Silver","🥉 Bronze")))</f>
        <v/>
      </c>
      <c r="L4058" s="129" t="n">
        <v>40863</v>
      </c>
    </row>
    <row r="4059">
      <c r="A4059" s="122" t="n">
        <v>17897</v>
      </c>
      <c r="B4059" s="122" t="inlineStr">
        <is>
          <t>United Kingdom</t>
        </is>
      </c>
      <c r="C4059" s="122" t="n">
        <v>173</v>
      </c>
      <c r="D4059" s="122" t="n">
        <v>3</v>
      </c>
      <c r="E4059" s="123" t="n">
        <v>566.6</v>
      </c>
      <c r="F4059" s="124">
        <f>IF(C4059&lt;=30,5,IF(C4059&lt;=60,4,IF(C4059&lt;=120,3,IF(C4059&lt;=200,2,1))))</f>
        <v/>
      </c>
      <c r="G4059" s="124">
        <f>IF(D4059&gt;=20,5,IF(D4059&gt;=10,4,IF(D4059&gt;=5,3,IF(D4059&gt;=2,2,1))))</f>
        <v/>
      </c>
      <c r="H4059" s="124">
        <f>IF(E4059&gt;=5000,5,IF(E4059&gt;=2000,4,IF(E4059&gt;=800,3,IF(E4059&gt;=300,2,1))))</f>
        <v/>
      </c>
      <c r="I4059" s="122">
        <f>TEXT(F4059,"0")&amp;TEXT(G4059,"0")&amp;TEXT(H4059,"0")</f>
        <v/>
      </c>
      <c r="J4059" s="122">
        <f>IFERROR(XLOOKUP(I4059,'Segment Map'!A:A,'Segment Map'!B:B,"Need Attention"),"Need Attention")</f>
        <v/>
      </c>
      <c r="K4059" s="122">
        <f>IF(E4059&gt;=5000,"🏆 Platinum",IF(E4059&gt;=2000,"🥇 Gold",IF(E4059&gt;=800,"🥈 Silver","🥉 Bronze")))</f>
        <v/>
      </c>
      <c r="L4059" s="125" t="n">
        <v>40714</v>
      </c>
    </row>
    <row r="4060">
      <c r="A4060" s="126" t="n">
        <v>17898</v>
      </c>
      <c r="B4060" s="126" t="inlineStr">
        <is>
          <t>United Kingdom</t>
        </is>
      </c>
      <c r="C4060" s="126" t="n">
        <v>86</v>
      </c>
      <c r="D4060" s="126" t="n">
        <v>2</v>
      </c>
      <c r="E4060" s="127" t="n">
        <v>152.06</v>
      </c>
      <c r="F4060" s="128">
        <f>IF(C4060&lt;=30,5,IF(C4060&lt;=60,4,IF(C4060&lt;=120,3,IF(C4060&lt;=200,2,1))))</f>
        <v/>
      </c>
      <c r="G4060" s="128">
        <f>IF(D4060&gt;=20,5,IF(D4060&gt;=10,4,IF(D4060&gt;=5,3,IF(D4060&gt;=2,2,1))))</f>
        <v/>
      </c>
      <c r="H4060" s="128">
        <f>IF(E4060&gt;=5000,5,IF(E4060&gt;=2000,4,IF(E4060&gt;=800,3,IF(E4060&gt;=300,2,1))))</f>
        <v/>
      </c>
      <c r="I4060" s="126">
        <f>TEXT(F4060,"0")&amp;TEXT(G4060,"0")&amp;TEXT(H4060,"0")</f>
        <v/>
      </c>
      <c r="J4060" s="126">
        <f>IFERROR(XLOOKUP(I4060,'Segment Map'!A:A,'Segment Map'!B:B,"Need Attention"),"Need Attention")</f>
        <v/>
      </c>
      <c r="K4060" s="126">
        <f>IF(E4060&gt;=5000,"🏆 Platinum",IF(E4060&gt;=2000,"🥇 Gold",IF(E4060&gt;=800,"🥈 Silver","🥉 Bronze")))</f>
        <v/>
      </c>
      <c r="L4060" s="129" t="n">
        <v>40801</v>
      </c>
    </row>
    <row r="4061">
      <c r="A4061" s="122" t="n">
        <v>17899</v>
      </c>
      <c r="B4061" s="122" t="inlineStr">
        <is>
          <t>United Kingdom</t>
        </is>
      </c>
      <c r="C4061" s="122" t="n">
        <v>160</v>
      </c>
      <c r="D4061" s="122" t="n">
        <v>1</v>
      </c>
      <c r="E4061" s="123" t="n">
        <v>155.8</v>
      </c>
      <c r="F4061" s="124">
        <f>IF(C4061&lt;=30,5,IF(C4061&lt;=60,4,IF(C4061&lt;=120,3,IF(C4061&lt;=200,2,1))))</f>
        <v/>
      </c>
      <c r="G4061" s="124">
        <f>IF(D4061&gt;=20,5,IF(D4061&gt;=10,4,IF(D4061&gt;=5,3,IF(D4061&gt;=2,2,1))))</f>
        <v/>
      </c>
      <c r="H4061" s="124">
        <f>IF(E4061&gt;=5000,5,IF(E4061&gt;=2000,4,IF(E4061&gt;=800,3,IF(E4061&gt;=300,2,1))))</f>
        <v/>
      </c>
      <c r="I4061" s="122">
        <f>TEXT(F4061,"0")&amp;TEXT(G4061,"0")&amp;TEXT(H4061,"0")</f>
        <v/>
      </c>
      <c r="J4061" s="122">
        <f>IFERROR(XLOOKUP(I4061,'Segment Map'!A:A,'Segment Map'!B:B,"Need Attention"),"Need Attention")</f>
        <v/>
      </c>
      <c r="K4061" s="122">
        <f>IF(E4061&gt;=5000,"🏆 Platinum",IF(E4061&gt;=2000,"🥇 Gold",IF(E4061&gt;=800,"🥈 Silver","🥉 Bronze")))</f>
        <v/>
      </c>
      <c r="L4061" s="125" t="n">
        <v>40727</v>
      </c>
    </row>
    <row r="4062">
      <c r="A4062" s="126" t="n">
        <v>17900</v>
      </c>
      <c r="B4062" s="126" t="inlineStr">
        <is>
          <t>United Kingdom</t>
        </is>
      </c>
      <c r="C4062" s="126" t="n">
        <v>191</v>
      </c>
      <c r="D4062" s="126" t="n">
        <v>2</v>
      </c>
      <c r="E4062" s="127" t="n">
        <v>112.2</v>
      </c>
      <c r="F4062" s="128">
        <f>IF(C4062&lt;=30,5,IF(C4062&lt;=60,4,IF(C4062&lt;=120,3,IF(C4062&lt;=200,2,1))))</f>
        <v/>
      </c>
      <c r="G4062" s="128">
        <f>IF(D4062&gt;=20,5,IF(D4062&gt;=10,4,IF(D4062&gt;=5,3,IF(D4062&gt;=2,2,1))))</f>
        <v/>
      </c>
      <c r="H4062" s="128">
        <f>IF(E4062&gt;=5000,5,IF(E4062&gt;=2000,4,IF(E4062&gt;=800,3,IF(E4062&gt;=300,2,1))))</f>
        <v/>
      </c>
      <c r="I4062" s="126">
        <f>TEXT(F4062,"0")&amp;TEXT(G4062,"0")&amp;TEXT(H4062,"0")</f>
        <v/>
      </c>
      <c r="J4062" s="126">
        <f>IFERROR(XLOOKUP(I4062,'Segment Map'!A:A,'Segment Map'!B:B,"Need Attention"),"Need Attention")</f>
        <v/>
      </c>
      <c r="K4062" s="126">
        <f>IF(E4062&gt;=5000,"🏆 Platinum",IF(E4062&gt;=2000,"🥇 Gold",IF(E4062&gt;=800,"🥈 Silver","🥉 Bronze")))</f>
        <v/>
      </c>
      <c r="L4062" s="129" t="n">
        <v>40696</v>
      </c>
    </row>
    <row r="4063">
      <c r="A4063" s="122" t="n">
        <v>17901</v>
      </c>
      <c r="B4063" s="122" t="inlineStr">
        <is>
          <t>United Kingdom</t>
        </is>
      </c>
      <c r="C4063" s="122" t="n">
        <v>30</v>
      </c>
      <c r="D4063" s="122" t="n">
        <v>1</v>
      </c>
      <c r="E4063" s="123" t="n">
        <v>110.38</v>
      </c>
      <c r="F4063" s="124">
        <f>IF(C4063&lt;=30,5,IF(C4063&lt;=60,4,IF(C4063&lt;=120,3,IF(C4063&lt;=200,2,1))))</f>
        <v/>
      </c>
      <c r="G4063" s="124">
        <f>IF(D4063&gt;=20,5,IF(D4063&gt;=10,4,IF(D4063&gt;=5,3,IF(D4063&gt;=2,2,1))))</f>
        <v/>
      </c>
      <c r="H4063" s="124">
        <f>IF(E4063&gt;=5000,5,IF(E4063&gt;=2000,4,IF(E4063&gt;=800,3,IF(E4063&gt;=300,2,1))))</f>
        <v/>
      </c>
      <c r="I4063" s="122">
        <f>TEXT(F4063,"0")&amp;TEXT(G4063,"0")&amp;TEXT(H4063,"0")</f>
        <v/>
      </c>
      <c r="J4063" s="122">
        <f>IFERROR(XLOOKUP(I4063,'Segment Map'!A:A,'Segment Map'!B:B,"Need Attention"),"Need Attention")</f>
        <v/>
      </c>
      <c r="K4063" s="122">
        <f>IF(E4063&gt;=5000,"🏆 Platinum",IF(E4063&gt;=2000,"🥇 Gold",IF(E4063&gt;=800,"🥈 Silver","🥉 Bronze")))</f>
        <v/>
      </c>
      <c r="L4063" s="125" t="n">
        <v>40857</v>
      </c>
    </row>
    <row r="4064">
      <c r="A4064" s="126" t="n">
        <v>17904</v>
      </c>
      <c r="B4064" s="126" t="inlineStr">
        <is>
          <t>United Kingdom</t>
        </is>
      </c>
      <c r="C4064" s="126" t="n">
        <v>22</v>
      </c>
      <c r="D4064" s="126" t="n">
        <v>1</v>
      </c>
      <c r="E4064" s="127" t="n">
        <v>191.67</v>
      </c>
      <c r="F4064" s="128">
        <f>IF(C4064&lt;=30,5,IF(C4064&lt;=60,4,IF(C4064&lt;=120,3,IF(C4064&lt;=200,2,1))))</f>
        <v/>
      </c>
      <c r="G4064" s="128">
        <f>IF(D4064&gt;=20,5,IF(D4064&gt;=10,4,IF(D4064&gt;=5,3,IF(D4064&gt;=2,2,1))))</f>
        <v/>
      </c>
      <c r="H4064" s="128">
        <f>IF(E4064&gt;=5000,5,IF(E4064&gt;=2000,4,IF(E4064&gt;=800,3,IF(E4064&gt;=300,2,1))))</f>
        <v/>
      </c>
      <c r="I4064" s="126">
        <f>TEXT(F4064,"0")&amp;TEXT(G4064,"0")&amp;TEXT(H4064,"0")</f>
        <v/>
      </c>
      <c r="J4064" s="126">
        <f>IFERROR(XLOOKUP(I4064,'Segment Map'!A:A,'Segment Map'!B:B,"Need Attention"),"Need Attention")</f>
        <v/>
      </c>
      <c r="K4064" s="126">
        <f>IF(E4064&gt;=5000,"🏆 Platinum",IF(E4064&gt;=2000,"🥇 Gold",IF(E4064&gt;=800,"🥈 Silver","🥉 Bronze")))</f>
        <v/>
      </c>
      <c r="L4064" s="129" t="n">
        <v>40865</v>
      </c>
    </row>
    <row r="4065">
      <c r="A4065" s="122" t="n">
        <v>17905</v>
      </c>
      <c r="B4065" s="122" t="inlineStr">
        <is>
          <t>United Kingdom</t>
        </is>
      </c>
      <c r="C4065" s="122" t="n">
        <v>72</v>
      </c>
      <c r="D4065" s="122" t="n">
        <v>4</v>
      </c>
      <c r="E4065" s="123" t="n">
        <v>800.24</v>
      </c>
      <c r="F4065" s="124">
        <f>IF(C4065&lt;=30,5,IF(C4065&lt;=60,4,IF(C4065&lt;=120,3,IF(C4065&lt;=200,2,1))))</f>
        <v/>
      </c>
      <c r="G4065" s="124">
        <f>IF(D4065&gt;=20,5,IF(D4065&gt;=10,4,IF(D4065&gt;=5,3,IF(D4065&gt;=2,2,1))))</f>
        <v/>
      </c>
      <c r="H4065" s="124">
        <f>IF(E4065&gt;=5000,5,IF(E4065&gt;=2000,4,IF(E4065&gt;=800,3,IF(E4065&gt;=300,2,1))))</f>
        <v/>
      </c>
      <c r="I4065" s="122">
        <f>TEXT(F4065,"0")&amp;TEXT(G4065,"0")&amp;TEXT(H4065,"0")</f>
        <v/>
      </c>
      <c r="J4065" s="122">
        <f>IFERROR(XLOOKUP(I4065,'Segment Map'!A:A,'Segment Map'!B:B,"Need Attention"),"Need Attention")</f>
        <v/>
      </c>
      <c r="K4065" s="122">
        <f>IF(E4065&gt;=5000,"🏆 Platinum",IF(E4065&gt;=2000,"🥇 Gold",IF(E4065&gt;=800,"🥈 Silver","🥉 Bronze")))</f>
        <v/>
      </c>
      <c r="L4065" s="125" t="n">
        <v>40815</v>
      </c>
    </row>
    <row r="4066">
      <c r="A4066" s="126" t="n">
        <v>17906</v>
      </c>
      <c r="B4066" s="126" t="inlineStr">
        <is>
          <t>United Kingdom</t>
        </is>
      </c>
      <c r="C4066" s="126" t="n">
        <v>248</v>
      </c>
      <c r="D4066" s="126" t="n">
        <v>1</v>
      </c>
      <c r="E4066" s="127" t="n">
        <v>72.90000000000001</v>
      </c>
      <c r="F4066" s="128">
        <f>IF(C4066&lt;=30,5,IF(C4066&lt;=60,4,IF(C4066&lt;=120,3,IF(C4066&lt;=200,2,1))))</f>
        <v/>
      </c>
      <c r="G4066" s="128">
        <f>IF(D4066&gt;=20,5,IF(D4066&gt;=10,4,IF(D4066&gt;=5,3,IF(D4066&gt;=2,2,1))))</f>
        <v/>
      </c>
      <c r="H4066" s="128">
        <f>IF(E4066&gt;=5000,5,IF(E4066&gt;=2000,4,IF(E4066&gt;=800,3,IF(E4066&gt;=300,2,1))))</f>
        <v/>
      </c>
      <c r="I4066" s="126">
        <f>TEXT(F4066,"0")&amp;TEXT(G4066,"0")&amp;TEXT(H4066,"0")</f>
        <v/>
      </c>
      <c r="J4066" s="126">
        <f>IFERROR(XLOOKUP(I4066,'Segment Map'!A:A,'Segment Map'!B:B,"Need Attention"),"Need Attention")</f>
        <v/>
      </c>
      <c r="K4066" s="126">
        <f>IF(E4066&gt;=5000,"🏆 Platinum",IF(E4066&gt;=2000,"🥇 Gold",IF(E4066&gt;=800,"🥈 Silver","🥉 Bronze")))</f>
        <v/>
      </c>
      <c r="L4066" s="129" t="n">
        <v>40639</v>
      </c>
    </row>
    <row r="4067">
      <c r="A4067" s="122" t="n">
        <v>17908</v>
      </c>
      <c r="B4067" s="122" t="inlineStr">
        <is>
          <t>United Kingdom</t>
        </is>
      </c>
      <c r="C4067" s="122" t="n">
        <v>374</v>
      </c>
      <c r="D4067" s="122" t="n">
        <v>1</v>
      </c>
      <c r="E4067" s="123" t="n">
        <v>243.28</v>
      </c>
      <c r="F4067" s="124">
        <f>IF(C4067&lt;=30,5,IF(C4067&lt;=60,4,IF(C4067&lt;=120,3,IF(C4067&lt;=200,2,1))))</f>
        <v/>
      </c>
      <c r="G4067" s="124">
        <f>IF(D4067&gt;=20,5,IF(D4067&gt;=10,4,IF(D4067&gt;=5,3,IF(D4067&gt;=2,2,1))))</f>
        <v/>
      </c>
      <c r="H4067" s="124">
        <f>IF(E4067&gt;=5000,5,IF(E4067&gt;=2000,4,IF(E4067&gt;=800,3,IF(E4067&gt;=300,2,1))))</f>
        <v/>
      </c>
      <c r="I4067" s="122">
        <f>TEXT(F4067,"0")&amp;TEXT(G4067,"0")&amp;TEXT(H4067,"0")</f>
        <v/>
      </c>
      <c r="J4067" s="122">
        <f>IFERROR(XLOOKUP(I4067,'Segment Map'!A:A,'Segment Map'!B:B,"Need Attention"),"Need Attention")</f>
        <v/>
      </c>
      <c r="K4067" s="122">
        <f>IF(E4067&gt;=5000,"🏆 Platinum",IF(E4067&gt;=2000,"🥇 Gold",IF(E4067&gt;=800,"🥈 Silver","🥉 Bronze")))</f>
        <v/>
      </c>
      <c r="L4067" s="125" t="n">
        <v>40513</v>
      </c>
    </row>
    <row r="4068">
      <c r="A4068" s="126" t="n">
        <v>17911</v>
      </c>
      <c r="B4068" s="126" t="inlineStr">
        <is>
          <t>United Kingdom</t>
        </is>
      </c>
      <c r="C4068" s="126" t="n">
        <v>10</v>
      </c>
      <c r="D4068" s="126" t="n">
        <v>1</v>
      </c>
      <c r="E4068" s="127" t="n">
        <v>366.23</v>
      </c>
      <c r="F4068" s="128">
        <f>IF(C4068&lt;=30,5,IF(C4068&lt;=60,4,IF(C4068&lt;=120,3,IF(C4068&lt;=200,2,1))))</f>
        <v/>
      </c>
      <c r="G4068" s="128">
        <f>IF(D4068&gt;=20,5,IF(D4068&gt;=10,4,IF(D4068&gt;=5,3,IF(D4068&gt;=2,2,1))))</f>
        <v/>
      </c>
      <c r="H4068" s="128">
        <f>IF(E4068&gt;=5000,5,IF(E4068&gt;=2000,4,IF(E4068&gt;=800,3,IF(E4068&gt;=300,2,1))))</f>
        <v/>
      </c>
      <c r="I4068" s="126">
        <f>TEXT(F4068,"0")&amp;TEXT(G4068,"0")&amp;TEXT(H4068,"0")</f>
        <v/>
      </c>
      <c r="J4068" s="126">
        <f>IFERROR(XLOOKUP(I4068,'Segment Map'!A:A,'Segment Map'!B:B,"Need Attention"),"Need Attention")</f>
        <v/>
      </c>
      <c r="K4068" s="126">
        <f>IF(E4068&gt;=5000,"🏆 Platinum",IF(E4068&gt;=2000,"🥇 Gold",IF(E4068&gt;=800,"🥈 Silver","🥉 Bronze")))</f>
        <v/>
      </c>
      <c r="L4068" s="129" t="n">
        <v>40877</v>
      </c>
    </row>
    <row r="4069">
      <c r="A4069" s="122" t="n">
        <v>17912</v>
      </c>
      <c r="B4069" s="122" t="inlineStr">
        <is>
          <t>United Kingdom</t>
        </is>
      </c>
      <c r="C4069" s="122" t="n">
        <v>311</v>
      </c>
      <c r="D4069" s="122" t="n">
        <v>5</v>
      </c>
      <c r="E4069" s="123" t="n">
        <v>311.01</v>
      </c>
      <c r="F4069" s="124">
        <f>IF(C4069&lt;=30,5,IF(C4069&lt;=60,4,IF(C4069&lt;=120,3,IF(C4069&lt;=200,2,1))))</f>
        <v/>
      </c>
      <c r="G4069" s="124">
        <f>IF(D4069&gt;=20,5,IF(D4069&gt;=10,4,IF(D4069&gt;=5,3,IF(D4069&gt;=2,2,1))))</f>
        <v/>
      </c>
      <c r="H4069" s="124">
        <f>IF(E4069&gt;=5000,5,IF(E4069&gt;=2000,4,IF(E4069&gt;=800,3,IF(E4069&gt;=300,2,1))))</f>
        <v/>
      </c>
      <c r="I4069" s="122">
        <f>TEXT(F4069,"0")&amp;TEXT(G4069,"0")&amp;TEXT(H4069,"0")</f>
        <v/>
      </c>
      <c r="J4069" s="122">
        <f>IFERROR(XLOOKUP(I4069,'Segment Map'!A:A,'Segment Map'!B:B,"Need Attention"),"Need Attention")</f>
        <v/>
      </c>
      <c r="K4069" s="122">
        <f>IF(E4069&gt;=5000,"🏆 Platinum",IF(E4069&gt;=2000,"🥇 Gold",IF(E4069&gt;=800,"🥈 Silver","🥉 Bronze")))</f>
        <v/>
      </c>
      <c r="L4069" s="125" t="n">
        <v>40576</v>
      </c>
    </row>
    <row r="4070">
      <c r="A4070" s="126" t="n">
        <v>17913</v>
      </c>
      <c r="B4070" s="126" t="inlineStr">
        <is>
          <t>United Kingdom</t>
        </is>
      </c>
      <c r="C4070" s="126" t="n">
        <v>59</v>
      </c>
      <c r="D4070" s="126" t="n">
        <v>2</v>
      </c>
      <c r="E4070" s="127" t="n">
        <v>411.6</v>
      </c>
      <c r="F4070" s="128">
        <f>IF(C4070&lt;=30,5,IF(C4070&lt;=60,4,IF(C4070&lt;=120,3,IF(C4070&lt;=200,2,1))))</f>
        <v/>
      </c>
      <c r="G4070" s="128">
        <f>IF(D4070&gt;=20,5,IF(D4070&gt;=10,4,IF(D4070&gt;=5,3,IF(D4070&gt;=2,2,1))))</f>
        <v/>
      </c>
      <c r="H4070" s="128">
        <f>IF(E4070&gt;=5000,5,IF(E4070&gt;=2000,4,IF(E4070&gt;=800,3,IF(E4070&gt;=300,2,1))))</f>
        <v/>
      </c>
      <c r="I4070" s="126">
        <f>TEXT(F4070,"0")&amp;TEXT(G4070,"0")&amp;TEXT(H4070,"0")</f>
        <v/>
      </c>
      <c r="J4070" s="126">
        <f>IFERROR(XLOOKUP(I4070,'Segment Map'!A:A,'Segment Map'!B:B,"Need Attention"),"Need Attention")</f>
        <v/>
      </c>
      <c r="K4070" s="126">
        <f>IF(E4070&gt;=5000,"🏆 Platinum",IF(E4070&gt;=2000,"🥇 Gold",IF(E4070&gt;=800,"🥈 Silver","🥉 Bronze")))</f>
        <v/>
      </c>
      <c r="L4070" s="129" t="n">
        <v>40828</v>
      </c>
    </row>
    <row r="4071">
      <c r="A4071" s="122" t="n">
        <v>17914</v>
      </c>
      <c r="B4071" s="122" t="inlineStr">
        <is>
          <t>United Kingdom</t>
        </is>
      </c>
      <c r="C4071" s="122" t="n">
        <v>4</v>
      </c>
      <c r="D4071" s="122" t="n">
        <v>1</v>
      </c>
      <c r="E4071" s="123" t="n">
        <v>336.43</v>
      </c>
      <c r="F4071" s="124">
        <f>IF(C4071&lt;=30,5,IF(C4071&lt;=60,4,IF(C4071&lt;=120,3,IF(C4071&lt;=200,2,1))))</f>
        <v/>
      </c>
      <c r="G4071" s="124">
        <f>IF(D4071&gt;=20,5,IF(D4071&gt;=10,4,IF(D4071&gt;=5,3,IF(D4071&gt;=2,2,1))))</f>
        <v/>
      </c>
      <c r="H4071" s="124">
        <f>IF(E4071&gt;=5000,5,IF(E4071&gt;=2000,4,IF(E4071&gt;=800,3,IF(E4071&gt;=300,2,1))))</f>
        <v/>
      </c>
      <c r="I4071" s="122">
        <f>TEXT(F4071,"0")&amp;TEXT(G4071,"0")&amp;TEXT(H4071,"0")</f>
        <v/>
      </c>
      <c r="J4071" s="122">
        <f>IFERROR(XLOOKUP(I4071,'Segment Map'!A:A,'Segment Map'!B:B,"Need Attention"),"Need Attention")</f>
        <v/>
      </c>
      <c r="K4071" s="122">
        <f>IF(E4071&gt;=5000,"🏆 Platinum",IF(E4071&gt;=2000,"🥇 Gold",IF(E4071&gt;=800,"🥈 Silver","🥉 Bronze")))</f>
        <v/>
      </c>
      <c r="L4071" s="125" t="n">
        <v>40883</v>
      </c>
    </row>
    <row r="4072">
      <c r="A4072" s="126" t="n">
        <v>17917</v>
      </c>
      <c r="B4072" s="126" t="inlineStr">
        <is>
          <t>United Kingdom</t>
        </is>
      </c>
      <c r="C4072" s="126" t="n">
        <v>46</v>
      </c>
      <c r="D4072" s="126" t="n">
        <v>3</v>
      </c>
      <c r="E4072" s="127" t="n">
        <v>341.28</v>
      </c>
      <c r="F4072" s="128">
        <f>IF(C4072&lt;=30,5,IF(C4072&lt;=60,4,IF(C4072&lt;=120,3,IF(C4072&lt;=200,2,1))))</f>
        <v/>
      </c>
      <c r="G4072" s="128">
        <f>IF(D4072&gt;=20,5,IF(D4072&gt;=10,4,IF(D4072&gt;=5,3,IF(D4072&gt;=2,2,1))))</f>
        <v/>
      </c>
      <c r="H4072" s="128">
        <f>IF(E4072&gt;=5000,5,IF(E4072&gt;=2000,4,IF(E4072&gt;=800,3,IF(E4072&gt;=300,2,1))))</f>
        <v/>
      </c>
      <c r="I4072" s="126">
        <f>TEXT(F4072,"0")&amp;TEXT(G4072,"0")&amp;TEXT(H4072,"0")</f>
        <v/>
      </c>
      <c r="J4072" s="126">
        <f>IFERROR(XLOOKUP(I4072,'Segment Map'!A:A,'Segment Map'!B:B,"Need Attention"),"Need Attention")</f>
        <v/>
      </c>
      <c r="K4072" s="126">
        <f>IF(E4072&gt;=5000,"🏆 Platinum",IF(E4072&gt;=2000,"🥇 Gold",IF(E4072&gt;=800,"🥈 Silver","🥉 Bronze")))</f>
        <v/>
      </c>
      <c r="L4072" s="129" t="n">
        <v>40841</v>
      </c>
    </row>
    <row r="4073">
      <c r="A4073" s="122" t="n">
        <v>17919</v>
      </c>
      <c r="B4073" s="122" t="inlineStr">
        <is>
          <t>United Kingdom</t>
        </is>
      </c>
      <c r="C4073" s="122" t="n">
        <v>89</v>
      </c>
      <c r="D4073" s="122" t="n">
        <v>1</v>
      </c>
      <c r="E4073" s="123" t="n">
        <v>1304.04</v>
      </c>
      <c r="F4073" s="124">
        <f>IF(C4073&lt;=30,5,IF(C4073&lt;=60,4,IF(C4073&lt;=120,3,IF(C4073&lt;=200,2,1))))</f>
        <v/>
      </c>
      <c r="G4073" s="124">
        <f>IF(D4073&gt;=20,5,IF(D4073&gt;=10,4,IF(D4073&gt;=5,3,IF(D4073&gt;=2,2,1))))</f>
        <v/>
      </c>
      <c r="H4073" s="124">
        <f>IF(E4073&gt;=5000,5,IF(E4073&gt;=2000,4,IF(E4073&gt;=800,3,IF(E4073&gt;=300,2,1))))</f>
        <v/>
      </c>
      <c r="I4073" s="122">
        <f>TEXT(F4073,"0")&amp;TEXT(G4073,"0")&amp;TEXT(H4073,"0")</f>
        <v/>
      </c>
      <c r="J4073" s="122">
        <f>IFERROR(XLOOKUP(I4073,'Segment Map'!A:A,'Segment Map'!B:B,"Need Attention"),"Need Attention")</f>
        <v/>
      </c>
      <c r="K4073" s="122">
        <f>IF(E4073&gt;=5000,"🏆 Platinum",IF(E4073&gt;=2000,"🥇 Gold",IF(E4073&gt;=800,"🥈 Silver","🥉 Bronze")))</f>
        <v/>
      </c>
      <c r="L4073" s="125" t="n">
        <v>40798</v>
      </c>
    </row>
    <row r="4074">
      <c r="A4074" s="126" t="n">
        <v>17920</v>
      </c>
      <c r="B4074" s="126" t="inlineStr">
        <is>
          <t>United Kingdom</t>
        </is>
      </c>
      <c r="C4074" s="126" t="n">
        <v>5</v>
      </c>
      <c r="D4074" s="126" t="n">
        <v>17</v>
      </c>
      <c r="E4074" s="127" t="n">
        <v>4204.1</v>
      </c>
      <c r="F4074" s="128">
        <f>IF(C4074&lt;=30,5,IF(C4074&lt;=60,4,IF(C4074&lt;=120,3,IF(C4074&lt;=200,2,1))))</f>
        <v/>
      </c>
      <c r="G4074" s="128">
        <f>IF(D4074&gt;=20,5,IF(D4074&gt;=10,4,IF(D4074&gt;=5,3,IF(D4074&gt;=2,2,1))))</f>
        <v/>
      </c>
      <c r="H4074" s="128">
        <f>IF(E4074&gt;=5000,5,IF(E4074&gt;=2000,4,IF(E4074&gt;=800,3,IF(E4074&gt;=300,2,1))))</f>
        <v/>
      </c>
      <c r="I4074" s="126">
        <f>TEXT(F4074,"0")&amp;TEXT(G4074,"0")&amp;TEXT(H4074,"0")</f>
        <v/>
      </c>
      <c r="J4074" s="126">
        <f>IFERROR(XLOOKUP(I4074,'Segment Map'!A:A,'Segment Map'!B:B,"Need Attention"),"Need Attention")</f>
        <v/>
      </c>
      <c r="K4074" s="126">
        <f>IF(E4074&gt;=5000,"🏆 Platinum",IF(E4074&gt;=2000,"🥇 Gold",IF(E4074&gt;=800,"🥈 Silver","🥉 Bronze")))</f>
        <v/>
      </c>
      <c r="L4074" s="129" t="n">
        <v>40882</v>
      </c>
    </row>
    <row r="4075">
      <c r="A4075" s="122" t="n">
        <v>17921</v>
      </c>
      <c r="B4075" s="122" t="inlineStr">
        <is>
          <t>United Kingdom</t>
        </is>
      </c>
      <c r="C4075" s="122" t="n">
        <v>65</v>
      </c>
      <c r="D4075" s="122" t="n">
        <v>4</v>
      </c>
      <c r="E4075" s="123" t="n">
        <v>826.52</v>
      </c>
      <c r="F4075" s="124">
        <f>IF(C4075&lt;=30,5,IF(C4075&lt;=60,4,IF(C4075&lt;=120,3,IF(C4075&lt;=200,2,1))))</f>
        <v/>
      </c>
      <c r="G4075" s="124">
        <f>IF(D4075&gt;=20,5,IF(D4075&gt;=10,4,IF(D4075&gt;=5,3,IF(D4075&gt;=2,2,1))))</f>
        <v/>
      </c>
      <c r="H4075" s="124">
        <f>IF(E4075&gt;=5000,5,IF(E4075&gt;=2000,4,IF(E4075&gt;=800,3,IF(E4075&gt;=300,2,1))))</f>
        <v/>
      </c>
      <c r="I4075" s="122">
        <f>TEXT(F4075,"0")&amp;TEXT(G4075,"0")&amp;TEXT(H4075,"0")</f>
        <v/>
      </c>
      <c r="J4075" s="122">
        <f>IFERROR(XLOOKUP(I4075,'Segment Map'!A:A,'Segment Map'!B:B,"Need Attention"),"Need Attention")</f>
        <v/>
      </c>
      <c r="K4075" s="122">
        <f>IF(E4075&gt;=5000,"🏆 Platinum",IF(E4075&gt;=2000,"🥇 Gold",IF(E4075&gt;=800,"🥈 Silver","🥉 Bronze")))</f>
        <v/>
      </c>
      <c r="L4075" s="125" t="n">
        <v>40822</v>
      </c>
    </row>
    <row r="4076">
      <c r="A4076" s="126" t="n">
        <v>17923</v>
      </c>
      <c r="B4076" s="126" t="inlineStr">
        <is>
          <t>United Kingdom</t>
        </is>
      </c>
      <c r="C4076" s="126" t="n">
        <v>283</v>
      </c>
      <c r="D4076" s="126" t="n">
        <v>1</v>
      </c>
      <c r="E4076" s="127" t="n">
        <v>207.5</v>
      </c>
      <c r="F4076" s="128">
        <f>IF(C4076&lt;=30,5,IF(C4076&lt;=60,4,IF(C4076&lt;=120,3,IF(C4076&lt;=200,2,1))))</f>
        <v/>
      </c>
      <c r="G4076" s="128">
        <f>IF(D4076&gt;=20,5,IF(D4076&gt;=10,4,IF(D4076&gt;=5,3,IF(D4076&gt;=2,2,1))))</f>
        <v/>
      </c>
      <c r="H4076" s="128">
        <f>IF(E4076&gt;=5000,5,IF(E4076&gt;=2000,4,IF(E4076&gt;=800,3,IF(E4076&gt;=300,2,1))))</f>
        <v/>
      </c>
      <c r="I4076" s="126">
        <f>TEXT(F4076,"0")&amp;TEXT(G4076,"0")&amp;TEXT(H4076,"0")</f>
        <v/>
      </c>
      <c r="J4076" s="126">
        <f>IFERROR(XLOOKUP(I4076,'Segment Map'!A:A,'Segment Map'!B:B,"Need Attention"),"Need Attention")</f>
        <v/>
      </c>
      <c r="K4076" s="126">
        <f>IF(E4076&gt;=5000,"🏆 Platinum",IF(E4076&gt;=2000,"🥇 Gold",IF(E4076&gt;=800,"🥈 Silver","🥉 Bronze")))</f>
        <v/>
      </c>
      <c r="L4076" s="129" t="n">
        <v>40604</v>
      </c>
    </row>
    <row r="4077">
      <c r="A4077" s="122" t="n">
        <v>17924</v>
      </c>
      <c r="B4077" s="122" t="inlineStr">
        <is>
          <t>United Kingdom</t>
        </is>
      </c>
      <c r="C4077" s="122" t="n">
        <v>12</v>
      </c>
      <c r="D4077" s="122" t="n">
        <v>7</v>
      </c>
      <c r="E4077" s="123" t="n">
        <v>2962.5</v>
      </c>
      <c r="F4077" s="124">
        <f>IF(C4077&lt;=30,5,IF(C4077&lt;=60,4,IF(C4077&lt;=120,3,IF(C4077&lt;=200,2,1))))</f>
        <v/>
      </c>
      <c r="G4077" s="124">
        <f>IF(D4077&gt;=20,5,IF(D4077&gt;=10,4,IF(D4077&gt;=5,3,IF(D4077&gt;=2,2,1))))</f>
        <v/>
      </c>
      <c r="H4077" s="124">
        <f>IF(E4077&gt;=5000,5,IF(E4077&gt;=2000,4,IF(E4077&gt;=800,3,IF(E4077&gt;=300,2,1))))</f>
        <v/>
      </c>
      <c r="I4077" s="122">
        <f>TEXT(F4077,"0")&amp;TEXT(G4077,"0")&amp;TEXT(H4077,"0")</f>
        <v/>
      </c>
      <c r="J4077" s="122">
        <f>IFERROR(XLOOKUP(I4077,'Segment Map'!A:A,'Segment Map'!B:B,"Need Attention"),"Need Attention")</f>
        <v/>
      </c>
      <c r="K4077" s="122">
        <f>IF(E4077&gt;=5000,"🏆 Platinum",IF(E4077&gt;=2000,"🥇 Gold",IF(E4077&gt;=800,"🥈 Silver","🥉 Bronze")))</f>
        <v/>
      </c>
      <c r="L4077" s="125" t="n">
        <v>40875</v>
      </c>
    </row>
    <row r="4078">
      <c r="A4078" s="126" t="n">
        <v>17925</v>
      </c>
      <c r="B4078" s="126" t="inlineStr">
        <is>
          <t>United Kingdom</t>
        </is>
      </c>
      <c r="C4078" s="126" t="n">
        <v>373</v>
      </c>
      <c r="D4078" s="126" t="n">
        <v>1</v>
      </c>
      <c r="E4078" s="127" t="n">
        <v>244.08</v>
      </c>
      <c r="F4078" s="128">
        <f>IF(C4078&lt;=30,5,IF(C4078&lt;=60,4,IF(C4078&lt;=120,3,IF(C4078&lt;=200,2,1))))</f>
        <v/>
      </c>
      <c r="G4078" s="128">
        <f>IF(D4078&gt;=20,5,IF(D4078&gt;=10,4,IF(D4078&gt;=5,3,IF(D4078&gt;=2,2,1))))</f>
        <v/>
      </c>
      <c r="H4078" s="128">
        <f>IF(E4078&gt;=5000,5,IF(E4078&gt;=2000,4,IF(E4078&gt;=800,3,IF(E4078&gt;=300,2,1))))</f>
        <v/>
      </c>
      <c r="I4078" s="126">
        <f>TEXT(F4078,"0")&amp;TEXT(G4078,"0")&amp;TEXT(H4078,"0")</f>
        <v/>
      </c>
      <c r="J4078" s="126">
        <f>IFERROR(XLOOKUP(I4078,'Segment Map'!A:A,'Segment Map'!B:B,"Need Attention"),"Need Attention")</f>
        <v/>
      </c>
      <c r="K4078" s="126">
        <f>IF(E4078&gt;=5000,"🏆 Platinum",IF(E4078&gt;=2000,"🥇 Gold",IF(E4078&gt;=800,"🥈 Silver","🥉 Bronze")))</f>
        <v/>
      </c>
      <c r="L4078" s="129" t="n">
        <v>40514</v>
      </c>
    </row>
    <row r="4079">
      <c r="A4079" s="122" t="n">
        <v>17926</v>
      </c>
      <c r="B4079" s="122" t="inlineStr">
        <is>
          <t>United Kingdom</t>
        </is>
      </c>
      <c r="C4079" s="122" t="n">
        <v>134</v>
      </c>
      <c r="D4079" s="122" t="n">
        <v>2</v>
      </c>
      <c r="E4079" s="123" t="n">
        <v>397.29</v>
      </c>
      <c r="F4079" s="124">
        <f>IF(C4079&lt;=30,5,IF(C4079&lt;=60,4,IF(C4079&lt;=120,3,IF(C4079&lt;=200,2,1))))</f>
        <v/>
      </c>
      <c r="G4079" s="124">
        <f>IF(D4079&gt;=20,5,IF(D4079&gt;=10,4,IF(D4079&gt;=5,3,IF(D4079&gt;=2,2,1))))</f>
        <v/>
      </c>
      <c r="H4079" s="124">
        <f>IF(E4079&gt;=5000,5,IF(E4079&gt;=2000,4,IF(E4079&gt;=800,3,IF(E4079&gt;=300,2,1))))</f>
        <v/>
      </c>
      <c r="I4079" s="122">
        <f>TEXT(F4079,"0")&amp;TEXT(G4079,"0")&amp;TEXT(H4079,"0")</f>
        <v/>
      </c>
      <c r="J4079" s="122">
        <f>IFERROR(XLOOKUP(I4079,'Segment Map'!A:A,'Segment Map'!B:B,"Need Attention"),"Need Attention")</f>
        <v/>
      </c>
      <c r="K4079" s="122">
        <f>IF(E4079&gt;=5000,"🏆 Platinum",IF(E4079&gt;=2000,"🥇 Gold",IF(E4079&gt;=800,"🥈 Silver","🥉 Bronze")))</f>
        <v/>
      </c>
      <c r="L4079" s="125" t="n">
        <v>40753</v>
      </c>
    </row>
    <row r="4080">
      <c r="A4080" s="126" t="n">
        <v>17928</v>
      </c>
      <c r="B4080" s="126" t="inlineStr">
        <is>
          <t>United Kingdom</t>
        </is>
      </c>
      <c r="C4080" s="126" t="n">
        <v>46</v>
      </c>
      <c r="D4080" s="126" t="n">
        <v>2</v>
      </c>
      <c r="E4080" s="127" t="n">
        <v>212.54</v>
      </c>
      <c r="F4080" s="128">
        <f>IF(C4080&lt;=30,5,IF(C4080&lt;=60,4,IF(C4080&lt;=120,3,IF(C4080&lt;=200,2,1))))</f>
        <v/>
      </c>
      <c r="G4080" s="128">
        <f>IF(D4080&gt;=20,5,IF(D4080&gt;=10,4,IF(D4080&gt;=5,3,IF(D4080&gt;=2,2,1))))</f>
        <v/>
      </c>
      <c r="H4080" s="128">
        <f>IF(E4080&gt;=5000,5,IF(E4080&gt;=2000,4,IF(E4080&gt;=800,3,IF(E4080&gt;=300,2,1))))</f>
        <v/>
      </c>
      <c r="I4080" s="126">
        <f>TEXT(F4080,"0")&amp;TEXT(G4080,"0")&amp;TEXT(H4080,"0")</f>
        <v/>
      </c>
      <c r="J4080" s="126">
        <f>IFERROR(XLOOKUP(I4080,'Segment Map'!A:A,'Segment Map'!B:B,"Need Attention"),"Need Attention")</f>
        <v/>
      </c>
      <c r="K4080" s="126">
        <f>IF(E4080&gt;=5000,"🏆 Platinum",IF(E4080&gt;=2000,"🥇 Gold",IF(E4080&gt;=800,"🥈 Silver","🥉 Bronze")))</f>
        <v/>
      </c>
      <c r="L4080" s="129" t="n">
        <v>40841</v>
      </c>
    </row>
    <row r="4081">
      <c r="A4081" s="122" t="n">
        <v>17929</v>
      </c>
      <c r="B4081" s="122" t="inlineStr">
        <is>
          <t>United Kingdom</t>
        </is>
      </c>
      <c r="C4081" s="122" t="n">
        <v>12</v>
      </c>
      <c r="D4081" s="122" t="n">
        <v>4</v>
      </c>
      <c r="E4081" s="123" t="n">
        <v>843</v>
      </c>
      <c r="F4081" s="124">
        <f>IF(C4081&lt;=30,5,IF(C4081&lt;=60,4,IF(C4081&lt;=120,3,IF(C4081&lt;=200,2,1))))</f>
        <v/>
      </c>
      <c r="G4081" s="124">
        <f>IF(D4081&gt;=20,5,IF(D4081&gt;=10,4,IF(D4081&gt;=5,3,IF(D4081&gt;=2,2,1))))</f>
        <v/>
      </c>
      <c r="H4081" s="124">
        <f>IF(E4081&gt;=5000,5,IF(E4081&gt;=2000,4,IF(E4081&gt;=800,3,IF(E4081&gt;=300,2,1))))</f>
        <v/>
      </c>
      <c r="I4081" s="122">
        <f>TEXT(F4081,"0")&amp;TEXT(G4081,"0")&amp;TEXT(H4081,"0")</f>
        <v/>
      </c>
      <c r="J4081" s="122">
        <f>IFERROR(XLOOKUP(I4081,'Segment Map'!A:A,'Segment Map'!B:B,"Need Attention"),"Need Attention")</f>
        <v/>
      </c>
      <c r="K4081" s="122">
        <f>IF(E4081&gt;=5000,"🏆 Platinum",IF(E4081&gt;=2000,"🥇 Gold",IF(E4081&gt;=800,"🥈 Silver","🥉 Bronze")))</f>
        <v/>
      </c>
      <c r="L4081" s="125" t="n">
        <v>40875</v>
      </c>
    </row>
    <row r="4082">
      <c r="A4082" s="126" t="n">
        <v>17930</v>
      </c>
      <c r="B4082" s="126" t="inlineStr">
        <is>
          <t>United Kingdom</t>
        </is>
      </c>
      <c r="C4082" s="126" t="n">
        <v>36</v>
      </c>
      <c r="D4082" s="126" t="n">
        <v>5</v>
      </c>
      <c r="E4082" s="127" t="n">
        <v>1740.48</v>
      </c>
      <c r="F4082" s="128">
        <f>IF(C4082&lt;=30,5,IF(C4082&lt;=60,4,IF(C4082&lt;=120,3,IF(C4082&lt;=200,2,1))))</f>
        <v/>
      </c>
      <c r="G4082" s="128">
        <f>IF(D4082&gt;=20,5,IF(D4082&gt;=10,4,IF(D4082&gt;=5,3,IF(D4082&gt;=2,2,1))))</f>
        <v/>
      </c>
      <c r="H4082" s="128">
        <f>IF(E4082&gt;=5000,5,IF(E4082&gt;=2000,4,IF(E4082&gt;=800,3,IF(E4082&gt;=300,2,1))))</f>
        <v/>
      </c>
      <c r="I4082" s="126">
        <f>TEXT(F4082,"0")&amp;TEXT(G4082,"0")&amp;TEXT(H4082,"0")</f>
        <v/>
      </c>
      <c r="J4082" s="126">
        <f>IFERROR(XLOOKUP(I4082,'Segment Map'!A:A,'Segment Map'!B:B,"Need Attention"),"Need Attention")</f>
        <v/>
      </c>
      <c r="K4082" s="126">
        <f>IF(E4082&gt;=5000,"🏆 Platinum",IF(E4082&gt;=2000,"🥇 Gold",IF(E4082&gt;=800,"🥈 Silver","🥉 Bronze")))</f>
        <v/>
      </c>
      <c r="L4082" s="129" t="n">
        <v>40851</v>
      </c>
    </row>
    <row r="4083">
      <c r="A4083" s="122" t="n">
        <v>17931</v>
      </c>
      <c r="B4083" s="122" t="inlineStr">
        <is>
          <t>United Kingdom</t>
        </is>
      </c>
      <c r="C4083" s="122" t="n">
        <v>135</v>
      </c>
      <c r="D4083" s="122" t="n">
        <v>2</v>
      </c>
      <c r="E4083" s="123" t="n">
        <v>408.36</v>
      </c>
      <c r="F4083" s="124">
        <f>IF(C4083&lt;=30,5,IF(C4083&lt;=60,4,IF(C4083&lt;=120,3,IF(C4083&lt;=200,2,1))))</f>
        <v/>
      </c>
      <c r="G4083" s="124">
        <f>IF(D4083&gt;=20,5,IF(D4083&gt;=10,4,IF(D4083&gt;=5,3,IF(D4083&gt;=2,2,1))))</f>
        <v/>
      </c>
      <c r="H4083" s="124">
        <f>IF(E4083&gt;=5000,5,IF(E4083&gt;=2000,4,IF(E4083&gt;=800,3,IF(E4083&gt;=300,2,1))))</f>
        <v/>
      </c>
      <c r="I4083" s="122">
        <f>TEXT(F4083,"0")&amp;TEXT(G4083,"0")&amp;TEXT(H4083,"0")</f>
        <v/>
      </c>
      <c r="J4083" s="122">
        <f>IFERROR(XLOOKUP(I4083,'Segment Map'!A:A,'Segment Map'!B:B,"Need Attention"),"Need Attention")</f>
        <v/>
      </c>
      <c r="K4083" s="122">
        <f>IF(E4083&gt;=5000,"🏆 Platinum",IF(E4083&gt;=2000,"🥇 Gold",IF(E4083&gt;=800,"🥈 Silver","🥉 Bronze")))</f>
        <v/>
      </c>
      <c r="L4083" s="125" t="n">
        <v>40752</v>
      </c>
    </row>
    <row r="4084">
      <c r="A4084" s="126" t="n">
        <v>17932</v>
      </c>
      <c r="B4084" s="126" t="inlineStr">
        <is>
          <t>United Kingdom</t>
        </is>
      </c>
      <c r="C4084" s="126" t="n">
        <v>30</v>
      </c>
      <c r="D4084" s="126" t="n">
        <v>3</v>
      </c>
      <c r="E4084" s="127" t="n">
        <v>1331.57</v>
      </c>
      <c r="F4084" s="128">
        <f>IF(C4084&lt;=30,5,IF(C4084&lt;=60,4,IF(C4084&lt;=120,3,IF(C4084&lt;=200,2,1))))</f>
        <v/>
      </c>
      <c r="G4084" s="128">
        <f>IF(D4084&gt;=20,5,IF(D4084&gt;=10,4,IF(D4084&gt;=5,3,IF(D4084&gt;=2,2,1))))</f>
        <v/>
      </c>
      <c r="H4084" s="128">
        <f>IF(E4084&gt;=5000,5,IF(E4084&gt;=2000,4,IF(E4084&gt;=800,3,IF(E4084&gt;=300,2,1))))</f>
        <v/>
      </c>
      <c r="I4084" s="126">
        <f>TEXT(F4084,"0")&amp;TEXT(G4084,"0")&amp;TEXT(H4084,"0")</f>
        <v/>
      </c>
      <c r="J4084" s="126">
        <f>IFERROR(XLOOKUP(I4084,'Segment Map'!A:A,'Segment Map'!B:B,"Need Attention"),"Need Attention")</f>
        <v/>
      </c>
      <c r="K4084" s="126">
        <f>IF(E4084&gt;=5000,"🏆 Platinum",IF(E4084&gt;=2000,"🥇 Gold",IF(E4084&gt;=800,"🥈 Silver","🥉 Bronze")))</f>
        <v/>
      </c>
      <c r="L4084" s="129" t="n">
        <v>40857</v>
      </c>
    </row>
    <row r="4085">
      <c r="A4085" s="122" t="n">
        <v>17934</v>
      </c>
      <c r="B4085" s="122" t="inlineStr">
        <is>
          <t>United Kingdom</t>
        </is>
      </c>
      <c r="C4085" s="122" t="n">
        <v>52</v>
      </c>
      <c r="D4085" s="122" t="n">
        <v>2</v>
      </c>
      <c r="E4085" s="123" t="n">
        <v>704.25</v>
      </c>
      <c r="F4085" s="124">
        <f>IF(C4085&lt;=30,5,IF(C4085&lt;=60,4,IF(C4085&lt;=120,3,IF(C4085&lt;=200,2,1))))</f>
        <v/>
      </c>
      <c r="G4085" s="124">
        <f>IF(D4085&gt;=20,5,IF(D4085&gt;=10,4,IF(D4085&gt;=5,3,IF(D4085&gt;=2,2,1))))</f>
        <v/>
      </c>
      <c r="H4085" s="124">
        <f>IF(E4085&gt;=5000,5,IF(E4085&gt;=2000,4,IF(E4085&gt;=800,3,IF(E4085&gt;=300,2,1))))</f>
        <v/>
      </c>
      <c r="I4085" s="122">
        <f>TEXT(F4085,"0")&amp;TEXT(G4085,"0")&amp;TEXT(H4085,"0")</f>
        <v/>
      </c>
      <c r="J4085" s="122">
        <f>IFERROR(XLOOKUP(I4085,'Segment Map'!A:A,'Segment Map'!B:B,"Need Attention"),"Need Attention")</f>
        <v/>
      </c>
      <c r="K4085" s="122">
        <f>IF(E4085&gt;=5000,"🏆 Platinum",IF(E4085&gt;=2000,"🥇 Gold",IF(E4085&gt;=800,"🥈 Silver","🥉 Bronze")))</f>
        <v/>
      </c>
      <c r="L4085" s="125" t="n">
        <v>40835</v>
      </c>
    </row>
    <row r="4086">
      <c r="A4086" s="126" t="n">
        <v>17935</v>
      </c>
      <c r="B4086" s="126" t="inlineStr">
        <is>
          <t>United Kingdom</t>
        </is>
      </c>
      <c r="C4086" s="126" t="n">
        <v>139</v>
      </c>
      <c r="D4086" s="126" t="n">
        <v>2</v>
      </c>
      <c r="E4086" s="127" t="n">
        <v>145.79</v>
      </c>
      <c r="F4086" s="128">
        <f>IF(C4086&lt;=30,5,IF(C4086&lt;=60,4,IF(C4086&lt;=120,3,IF(C4086&lt;=200,2,1))))</f>
        <v/>
      </c>
      <c r="G4086" s="128">
        <f>IF(D4086&gt;=20,5,IF(D4086&gt;=10,4,IF(D4086&gt;=5,3,IF(D4086&gt;=2,2,1))))</f>
        <v/>
      </c>
      <c r="H4086" s="128">
        <f>IF(E4086&gt;=5000,5,IF(E4086&gt;=2000,4,IF(E4086&gt;=800,3,IF(E4086&gt;=300,2,1))))</f>
        <v/>
      </c>
      <c r="I4086" s="126">
        <f>TEXT(F4086,"0")&amp;TEXT(G4086,"0")&amp;TEXT(H4086,"0")</f>
        <v/>
      </c>
      <c r="J4086" s="126">
        <f>IFERROR(XLOOKUP(I4086,'Segment Map'!A:A,'Segment Map'!B:B,"Need Attention"),"Need Attention")</f>
        <v/>
      </c>
      <c r="K4086" s="126">
        <f>IF(E4086&gt;=5000,"🏆 Platinum",IF(E4086&gt;=2000,"🥇 Gold",IF(E4086&gt;=800,"🥈 Silver","🥉 Bronze")))</f>
        <v/>
      </c>
      <c r="L4086" s="129" t="n">
        <v>40748</v>
      </c>
    </row>
    <row r="4087">
      <c r="A4087" s="122" t="n">
        <v>17936</v>
      </c>
      <c r="B4087" s="122" t="inlineStr">
        <is>
          <t>United Kingdom</t>
        </is>
      </c>
      <c r="C4087" s="122" t="n">
        <v>6</v>
      </c>
      <c r="D4087" s="122" t="n">
        <v>1</v>
      </c>
      <c r="E4087" s="123" t="n">
        <v>389.84</v>
      </c>
      <c r="F4087" s="124">
        <f>IF(C4087&lt;=30,5,IF(C4087&lt;=60,4,IF(C4087&lt;=120,3,IF(C4087&lt;=200,2,1))))</f>
        <v/>
      </c>
      <c r="G4087" s="124">
        <f>IF(D4087&gt;=20,5,IF(D4087&gt;=10,4,IF(D4087&gt;=5,3,IF(D4087&gt;=2,2,1))))</f>
        <v/>
      </c>
      <c r="H4087" s="124">
        <f>IF(E4087&gt;=5000,5,IF(E4087&gt;=2000,4,IF(E4087&gt;=800,3,IF(E4087&gt;=300,2,1))))</f>
        <v/>
      </c>
      <c r="I4087" s="122">
        <f>TEXT(F4087,"0")&amp;TEXT(G4087,"0")&amp;TEXT(H4087,"0")</f>
        <v/>
      </c>
      <c r="J4087" s="122">
        <f>IFERROR(XLOOKUP(I4087,'Segment Map'!A:A,'Segment Map'!B:B,"Need Attention"),"Need Attention")</f>
        <v/>
      </c>
      <c r="K4087" s="122">
        <f>IF(E4087&gt;=5000,"🏆 Platinum",IF(E4087&gt;=2000,"🥇 Gold",IF(E4087&gt;=800,"🥈 Silver","🥉 Bronze")))</f>
        <v/>
      </c>
      <c r="L4087" s="125" t="n">
        <v>40881</v>
      </c>
    </row>
    <row r="4088">
      <c r="A4088" s="126" t="n">
        <v>17937</v>
      </c>
      <c r="B4088" s="126" t="inlineStr">
        <is>
          <t>United Kingdom</t>
        </is>
      </c>
      <c r="C4088" s="126" t="n">
        <v>9</v>
      </c>
      <c r="D4088" s="126" t="n">
        <v>7</v>
      </c>
      <c r="E4088" s="127" t="n">
        <v>4301.22</v>
      </c>
      <c r="F4088" s="128">
        <f>IF(C4088&lt;=30,5,IF(C4088&lt;=60,4,IF(C4088&lt;=120,3,IF(C4088&lt;=200,2,1))))</f>
        <v/>
      </c>
      <c r="G4088" s="128">
        <f>IF(D4088&gt;=20,5,IF(D4088&gt;=10,4,IF(D4088&gt;=5,3,IF(D4088&gt;=2,2,1))))</f>
        <v/>
      </c>
      <c r="H4088" s="128">
        <f>IF(E4088&gt;=5000,5,IF(E4088&gt;=2000,4,IF(E4088&gt;=800,3,IF(E4088&gt;=300,2,1))))</f>
        <v/>
      </c>
      <c r="I4088" s="126">
        <f>TEXT(F4088,"0")&amp;TEXT(G4088,"0")&amp;TEXT(H4088,"0")</f>
        <v/>
      </c>
      <c r="J4088" s="126">
        <f>IFERROR(XLOOKUP(I4088,'Segment Map'!A:A,'Segment Map'!B:B,"Need Attention"),"Need Attention")</f>
        <v/>
      </c>
      <c r="K4088" s="126">
        <f>IF(E4088&gt;=5000,"🏆 Platinum",IF(E4088&gt;=2000,"🥇 Gold",IF(E4088&gt;=800,"🥈 Silver","🥉 Bronze")))</f>
        <v/>
      </c>
      <c r="L4088" s="129" t="n">
        <v>40878</v>
      </c>
    </row>
    <row r="4089">
      <c r="A4089" s="122" t="n">
        <v>17939</v>
      </c>
      <c r="B4089" s="122" t="inlineStr">
        <is>
          <t>United Kingdom</t>
        </is>
      </c>
      <c r="C4089" s="122" t="n">
        <v>160</v>
      </c>
      <c r="D4089" s="122" t="n">
        <v>1</v>
      </c>
      <c r="E4089" s="123" t="n">
        <v>99.14</v>
      </c>
      <c r="F4089" s="124">
        <f>IF(C4089&lt;=30,5,IF(C4089&lt;=60,4,IF(C4089&lt;=120,3,IF(C4089&lt;=200,2,1))))</f>
        <v/>
      </c>
      <c r="G4089" s="124">
        <f>IF(D4089&gt;=20,5,IF(D4089&gt;=10,4,IF(D4089&gt;=5,3,IF(D4089&gt;=2,2,1))))</f>
        <v/>
      </c>
      <c r="H4089" s="124">
        <f>IF(E4089&gt;=5000,5,IF(E4089&gt;=2000,4,IF(E4089&gt;=800,3,IF(E4089&gt;=300,2,1))))</f>
        <v/>
      </c>
      <c r="I4089" s="122">
        <f>TEXT(F4089,"0")&amp;TEXT(G4089,"0")&amp;TEXT(H4089,"0")</f>
        <v/>
      </c>
      <c r="J4089" s="122">
        <f>IFERROR(XLOOKUP(I4089,'Segment Map'!A:A,'Segment Map'!B:B,"Need Attention"),"Need Attention")</f>
        <v/>
      </c>
      <c r="K4089" s="122">
        <f>IF(E4089&gt;=5000,"🏆 Platinum",IF(E4089&gt;=2000,"🥇 Gold",IF(E4089&gt;=800,"🥈 Silver","🥉 Bronze")))</f>
        <v/>
      </c>
      <c r="L4089" s="125" t="n">
        <v>40727</v>
      </c>
    </row>
    <row r="4090">
      <c r="A4090" s="126" t="n">
        <v>17940</v>
      </c>
      <c r="B4090" s="126" t="inlineStr">
        <is>
          <t>United Kingdom</t>
        </is>
      </c>
      <c r="C4090" s="126" t="n">
        <v>50</v>
      </c>
      <c r="D4090" s="126" t="n">
        <v>10</v>
      </c>
      <c r="E4090" s="127" t="n">
        <v>4106.44</v>
      </c>
      <c r="F4090" s="128">
        <f>IF(C4090&lt;=30,5,IF(C4090&lt;=60,4,IF(C4090&lt;=120,3,IF(C4090&lt;=200,2,1))))</f>
        <v/>
      </c>
      <c r="G4090" s="128">
        <f>IF(D4090&gt;=20,5,IF(D4090&gt;=10,4,IF(D4090&gt;=5,3,IF(D4090&gt;=2,2,1))))</f>
        <v/>
      </c>
      <c r="H4090" s="128">
        <f>IF(E4090&gt;=5000,5,IF(E4090&gt;=2000,4,IF(E4090&gt;=800,3,IF(E4090&gt;=300,2,1))))</f>
        <v/>
      </c>
      <c r="I4090" s="126">
        <f>TEXT(F4090,"0")&amp;TEXT(G4090,"0")&amp;TEXT(H4090,"0")</f>
        <v/>
      </c>
      <c r="J4090" s="126">
        <f>IFERROR(XLOOKUP(I4090,'Segment Map'!A:A,'Segment Map'!B:B,"Need Attention"),"Need Attention")</f>
        <v/>
      </c>
      <c r="K4090" s="126">
        <f>IF(E4090&gt;=5000,"🏆 Platinum",IF(E4090&gt;=2000,"🥇 Gold",IF(E4090&gt;=800,"🥈 Silver","🥉 Bronze")))</f>
        <v/>
      </c>
      <c r="L4090" s="129" t="n">
        <v>40837</v>
      </c>
    </row>
    <row r="4091">
      <c r="A4091" s="122" t="n">
        <v>17941</v>
      </c>
      <c r="B4091" s="122" t="inlineStr">
        <is>
          <t>United Kingdom</t>
        </is>
      </c>
      <c r="C4091" s="122" t="n">
        <v>131</v>
      </c>
      <c r="D4091" s="122" t="n">
        <v>1</v>
      </c>
      <c r="E4091" s="123" t="n">
        <v>304.56</v>
      </c>
      <c r="F4091" s="124">
        <f>IF(C4091&lt;=30,5,IF(C4091&lt;=60,4,IF(C4091&lt;=120,3,IF(C4091&lt;=200,2,1))))</f>
        <v/>
      </c>
      <c r="G4091" s="124">
        <f>IF(D4091&gt;=20,5,IF(D4091&gt;=10,4,IF(D4091&gt;=5,3,IF(D4091&gt;=2,2,1))))</f>
        <v/>
      </c>
      <c r="H4091" s="124">
        <f>IF(E4091&gt;=5000,5,IF(E4091&gt;=2000,4,IF(E4091&gt;=800,3,IF(E4091&gt;=300,2,1))))</f>
        <v/>
      </c>
      <c r="I4091" s="122">
        <f>TEXT(F4091,"0")&amp;TEXT(G4091,"0")&amp;TEXT(H4091,"0")</f>
        <v/>
      </c>
      <c r="J4091" s="122">
        <f>IFERROR(XLOOKUP(I4091,'Segment Map'!A:A,'Segment Map'!B:B,"Need Attention"),"Need Attention")</f>
        <v/>
      </c>
      <c r="K4091" s="122">
        <f>IF(E4091&gt;=5000,"🏆 Platinum",IF(E4091&gt;=2000,"🥇 Gold",IF(E4091&gt;=800,"🥈 Silver","🥉 Bronze")))</f>
        <v/>
      </c>
      <c r="L4091" s="125" t="n">
        <v>40756</v>
      </c>
    </row>
    <row r="4092">
      <c r="A4092" s="126" t="n">
        <v>17942</v>
      </c>
      <c r="B4092" s="126" t="inlineStr">
        <is>
          <t>United Kingdom</t>
        </is>
      </c>
      <c r="C4092" s="126" t="n">
        <v>8</v>
      </c>
      <c r="D4092" s="126" t="n">
        <v>1</v>
      </c>
      <c r="E4092" s="127" t="n">
        <v>77.5</v>
      </c>
      <c r="F4092" s="128">
        <f>IF(C4092&lt;=30,5,IF(C4092&lt;=60,4,IF(C4092&lt;=120,3,IF(C4092&lt;=200,2,1))))</f>
        <v/>
      </c>
      <c r="G4092" s="128">
        <f>IF(D4092&gt;=20,5,IF(D4092&gt;=10,4,IF(D4092&gt;=5,3,IF(D4092&gt;=2,2,1))))</f>
        <v/>
      </c>
      <c r="H4092" s="128">
        <f>IF(E4092&gt;=5000,5,IF(E4092&gt;=2000,4,IF(E4092&gt;=800,3,IF(E4092&gt;=300,2,1))))</f>
        <v/>
      </c>
      <c r="I4092" s="126">
        <f>TEXT(F4092,"0")&amp;TEXT(G4092,"0")&amp;TEXT(H4092,"0")</f>
        <v/>
      </c>
      <c r="J4092" s="126">
        <f>IFERROR(XLOOKUP(I4092,'Segment Map'!A:A,'Segment Map'!B:B,"Need Attention"),"Need Attention")</f>
        <v/>
      </c>
      <c r="K4092" s="126">
        <f>IF(E4092&gt;=5000,"🏆 Platinum",IF(E4092&gt;=2000,"🥇 Gold",IF(E4092&gt;=800,"🥈 Silver","🥉 Bronze")))</f>
        <v/>
      </c>
      <c r="L4092" s="129" t="n">
        <v>40879</v>
      </c>
    </row>
    <row r="4093">
      <c r="A4093" s="122" t="n">
        <v>17946</v>
      </c>
      <c r="B4093" s="122" t="inlineStr">
        <is>
          <t>United Kingdom</t>
        </is>
      </c>
      <c r="C4093" s="122" t="n">
        <v>234</v>
      </c>
      <c r="D4093" s="122" t="n">
        <v>2</v>
      </c>
      <c r="E4093" s="123" t="n">
        <v>149.58</v>
      </c>
      <c r="F4093" s="124">
        <f>IF(C4093&lt;=30,5,IF(C4093&lt;=60,4,IF(C4093&lt;=120,3,IF(C4093&lt;=200,2,1))))</f>
        <v/>
      </c>
      <c r="G4093" s="124">
        <f>IF(D4093&gt;=20,5,IF(D4093&gt;=10,4,IF(D4093&gt;=5,3,IF(D4093&gt;=2,2,1))))</f>
        <v/>
      </c>
      <c r="H4093" s="124">
        <f>IF(E4093&gt;=5000,5,IF(E4093&gt;=2000,4,IF(E4093&gt;=800,3,IF(E4093&gt;=300,2,1))))</f>
        <v/>
      </c>
      <c r="I4093" s="122">
        <f>TEXT(F4093,"0")&amp;TEXT(G4093,"0")&amp;TEXT(H4093,"0")</f>
        <v/>
      </c>
      <c r="J4093" s="122">
        <f>IFERROR(XLOOKUP(I4093,'Segment Map'!A:A,'Segment Map'!B:B,"Need Attention"),"Need Attention")</f>
        <v/>
      </c>
      <c r="K4093" s="122">
        <f>IF(E4093&gt;=5000,"🏆 Platinum",IF(E4093&gt;=2000,"🥇 Gold",IF(E4093&gt;=800,"🥈 Silver","🥉 Bronze")))</f>
        <v/>
      </c>
      <c r="L4093" s="125" t="n">
        <v>40653</v>
      </c>
    </row>
    <row r="4094">
      <c r="A4094" s="126" t="n">
        <v>17947</v>
      </c>
      <c r="B4094" s="126" t="inlineStr">
        <is>
          <t>United Kingdom</t>
        </is>
      </c>
      <c r="C4094" s="126" t="n">
        <v>38</v>
      </c>
      <c r="D4094" s="126" t="n">
        <v>1</v>
      </c>
      <c r="E4094" s="127" t="n">
        <v>176.68</v>
      </c>
      <c r="F4094" s="128">
        <f>IF(C4094&lt;=30,5,IF(C4094&lt;=60,4,IF(C4094&lt;=120,3,IF(C4094&lt;=200,2,1))))</f>
        <v/>
      </c>
      <c r="G4094" s="128">
        <f>IF(D4094&gt;=20,5,IF(D4094&gt;=10,4,IF(D4094&gt;=5,3,IF(D4094&gt;=2,2,1))))</f>
        <v/>
      </c>
      <c r="H4094" s="128">
        <f>IF(E4094&gt;=5000,5,IF(E4094&gt;=2000,4,IF(E4094&gt;=800,3,IF(E4094&gt;=300,2,1))))</f>
        <v/>
      </c>
      <c r="I4094" s="126">
        <f>TEXT(F4094,"0")&amp;TEXT(G4094,"0")&amp;TEXT(H4094,"0")</f>
        <v/>
      </c>
      <c r="J4094" s="126">
        <f>IFERROR(XLOOKUP(I4094,'Segment Map'!A:A,'Segment Map'!B:B,"Need Attention"),"Need Attention")</f>
        <v/>
      </c>
      <c r="K4094" s="126">
        <f>IF(E4094&gt;=5000,"🏆 Platinum",IF(E4094&gt;=2000,"🥇 Gold",IF(E4094&gt;=800,"🥈 Silver","🥉 Bronze")))</f>
        <v/>
      </c>
      <c r="L4094" s="129" t="n">
        <v>40849</v>
      </c>
    </row>
    <row r="4095">
      <c r="A4095" s="122" t="n">
        <v>17948</v>
      </c>
      <c r="B4095" s="122" t="inlineStr">
        <is>
          <t>United Kingdom</t>
        </is>
      </c>
      <c r="C4095" s="122" t="n">
        <v>148</v>
      </c>
      <c r="D4095" s="122" t="n">
        <v>1</v>
      </c>
      <c r="E4095" s="123" t="n">
        <v>358.56</v>
      </c>
      <c r="F4095" s="124">
        <f>IF(C4095&lt;=30,5,IF(C4095&lt;=60,4,IF(C4095&lt;=120,3,IF(C4095&lt;=200,2,1))))</f>
        <v/>
      </c>
      <c r="G4095" s="124">
        <f>IF(D4095&gt;=20,5,IF(D4095&gt;=10,4,IF(D4095&gt;=5,3,IF(D4095&gt;=2,2,1))))</f>
        <v/>
      </c>
      <c r="H4095" s="124">
        <f>IF(E4095&gt;=5000,5,IF(E4095&gt;=2000,4,IF(E4095&gt;=800,3,IF(E4095&gt;=300,2,1))))</f>
        <v/>
      </c>
      <c r="I4095" s="122">
        <f>TEXT(F4095,"0")&amp;TEXT(G4095,"0")&amp;TEXT(H4095,"0")</f>
        <v/>
      </c>
      <c r="J4095" s="122">
        <f>IFERROR(XLOOKUP(I4095,'Segment Map'!A:A,'Segment Map'!B:B,"Need Attention"),"Need Attention")</f>
        <v/>
      </c>
      <c r="K4095" s="122">
        <f>IF(E4095&gt;=5000,"🏆 Platinum",IF(E4095&gt;=2000,"🥇 Gold",IF(E4095&gt;=800,"🥈 Silver","🥉 Bronze")))</f>
        <v/>
      </c>
      <c r="L4095" s="125" t="n">
        <v>40739</v>
      </c>
    </row>
    <row r="4096">
      <c r="A4096" s="126" t="n">
        <v>17949</v>
      </c>
      <c r="B4096" s="126" t="inlineStr">
        <is>
          <t>United Kingdom</t>
        </is>
      </c>
      <c r="C4096" s="126" t="n">
        <v>2</v>
      </c>
      <c r="D4096" s="126" t="n">
        <v>45</v>
      </c>
      <c r="E4096" s="127" t="n">
        <v>58510.48</v>
      </c>
      <c r="F4096" s="128">
        <f>IF(C4096&lt;=30,5,IF(C4096&lt;=60,4,IF(C4096&lt;=120,3,IF(C4096&lt;=200,2,1))))</f>
        <v/>
      </c>
      <c r="G4096" s="128">
        <f>IF(D4096&gt;=20,5,IF(D4096&gt;=10,4,IF(D4096&gt;=5,3,IF(D4096&gt;=2,2,1))))</f>
        <v/>
      </c>
      <c r="H4096" s="128">
        <f>IF(E4096&gt;=5000,5,IF(E4096&gt;=2000,4,IF(E4096&gt;=800,3,IF(E4096&gt;=300,2,1))))</f>
        <v/>
      </c>
      <c r="I4096" s="126">
        <f>TEXT(F4096,"0")&amp;TEXT(G4096,"0")&amp;TEXT(H4096,"0")</f>
        <v/>
      </c>
      <c r="J4096" s="126">
        <f>IFERROR(XLOOKUP(I4096,'Segment Map'!A:A,'Segment Map'!B:B,"Need Attention"),"Need Attention")</f>
        <v/>
      </c>
      <c r="K4096" s="126">
        <f>IF(E4096&gt;=5000,"🏆 Platinum",IF(E4096&gt;=2000,"🥇 Gold",IF(E4096&gt;=800,"🥈 Silver","🥉 Bronze")))</f>
        <v/>
      </c>
      <c r="L4096" s="129" t="n">
        <v>40885</v>
      </c>
    </row>
    <row r="4097">
      <c r="A4097" s="122" t="n">
        <v>17950</v>
      </c>
      <c r="B4097" s="122" t="inlineStr">
        <is>
          <t>United Kingdom</t>
        </is>
      </c>
      <c r="C4097" s="122" t="n">
        <v>73</v>
      </c>
      <c r="D4097" s="122" t="n">
        <v>3</v>
      </c>
      <c r="E4097" s="123" t="n">
        <v>482.2</v>
      </c>
      <c r="F4097" s="124">
        <f>IF(C4097&lt;=30,5,IF(C4097&lt;=60,4,IF(C4097&lt;=120,3,IF(C4097&lt;=200,2,1))))</f>
        <v/>
      </c>
      <c r="G4097" s="124">
        <f>IF(D4097&gt;=20,5,IF(D4097&gt;=10,4,IF(D4097&gt;=5,3,IF(D4097&gt;=2,2,1))))</f>
        <v/>
      </c>
      <c r="H4097" s="124">
        <f>IF(E4097&gt;=5000,5,IF(E4097&gt;=2000,4,IF(E4097&gt;=800,3,IF(E4097&gt;=300,2,1))))</f>
        <v/>
      </c>
      <c r="I4097" s="122">
        <f>TEXT(F4097,"0")&amp;TEXT(G4097,"0")&amp;TEXT(H4097,"0")</f>
        <v/>
      </c>
      <c r="J4097" s="122">
        <f>IFERROR(XLOOKUP(I4097,'Segment Map'!A:A,'Segment Map'!B:B,"Need Attention"),"Need Attention")</f>
        <v/>
      </c>
      <c r="K4097" s="122">
        <f>IF(E4097&gt;=5000,"🏆 Platinum",IF(E4097&gt;=2000,"🥇 Gold",IF(E4097&gt;=800,"🥈 Silver","🥉 Bronze")))</f>
        <v/>
      </c>
      <c r="L4097" s="125" t="n">
        <v>40814</v>
      </c>
    </row>
    <row r="4098">
      <c r="A4098" s="126" t="n">
        <v>17951</v>
      </c>
      <c r="B4098" s="126" t="inlineStr">
        <is>
          <t>United Kingdom</t>
        </is>
      </c>
      <c r="C4098" s="126" t="n">
        <v>40</v>
      </c>
      <c r="D4098" s="126" t="n">
        <v>3</v>
      </c>
      <c r="E4098" s="127" t="n">
        <v>1008.54</v>
      </c>
      <c r="F4098" s="128">
        <f>IF(C4098&lt;=30,5,IF(C4098&lt;=60,4,IF(C4098&lt;=120,3,IF(C4098&lt;=200,2,1))))</f>
        <v/>
      </c>
      <c r="G4098" s="128">
        <f>IF(D4098&gt;=20,5,IF(D4098&gt;=10,4,IF(D4098&gt;=5,3,IF(D4098&gt;=2,2,1))))</f>
        <v/>
      </c>
      <c r="H4098" s="128">
        <f>IF(E4098&gt;=5000,5,IF(E4098&gt;=2000,4,IF(E4098&gt;=800,3,IF(E4098&gt;=300,2,1))))</f>
        <v/>
      </c>
      <c r="I4098" s="126">
        <f>TEXT(F4098,"0")&amp;TEXT(G4098,"0")&amp;TEXT(H4098,"0")</f>
        <v/>
      </c>
      <c r="J4098" s="126">
        <f>IFERROR(XLOOKUP(I4098,'Segment Map'!A:A,'Segment Map'!B:B,"Need Attention"),"Need Attention")</f>
        <v/>
      </c>
      <c r="K4098" s="126">
        <f>IF(E4098&gt;=5000,"🏆 Platinum",IF(E4098&gt;=2000,"🥇 Gold",IF(E4098&gt;=800,"🥈 Silver","🥉 Bronze")))</f>
        <v/>
      </c>
      <c r="L4098" s="129" t="n">
        <v>40847</v>
      </c>
    </row>
    <row r="4099">
      <c r="A4099" s="122" t="n">
        <v>17954</v>
      </c>
      <c r="B4099" s="122" t="inlineStr">
        <is>
          <t>United Kingdom</t>
        </is>
      </c>
      <c r="C4099" s="122" t="n">
        <v>6</v>
      </c>
      <c r="D4099" s="122" t="n">
        <v>12</v>
      </c>
      <c r="E4099" s="123" t="n">
        <v>2332.72</v>
      </c>
      <c r="F4099" s="124">
        <f>IF(C4099&lt;=30,5,IF(C4099&lt;=60,4,IF(C4099&lt;=120,3,IF(C4099&lt;=200,2,1))))</f>
        <v/>
      </c>
      <c r="G4099" s="124">
        <f>IF(D4099&gt;=20,5,IF(D4099&gt;=10,4,IF(D4099&gt;=5,3,IF(D4099&gt;=2,2,1))))</f>
        <v/>
      </c>
      <c r="H4099" s="124">
        <f>IF(E4099&gt;=5000,5,IF(E4099&gt;=2000,4,IF(E4099&gt;=800,3,IF(E4099&gt;=300,2,1))))</f>
        <v/>
      </c>
      <c r="I4099" s="122">
        <f>TEXT(F4099,"0")&amp;TEXT(G4099,"0")&amp;TEXT(H4099,"0")</f>
        <v/>
      </c>
      <c r="J4099" s="122">
        <f>IFERROR(XLOOKUP(I4099,'Segment Map'!A:A,'Segment Map'!B:B,"Need Attention"),"Need Attention")</f>
        <v/>
      </c>
      <c r="K4099" s="122">
        <f>IF(E4099&gt;=5000,"🏆 Platinum",IF(E4099&gt;=2000,"🥇 Gold",IF(E4099&gt;=800,"🥈 Silver","🥉 Bronze")))</f>
        <v/>
      </c>
      <c r="L4099" s="125" t="n">
        <v>40881</v>
      </c>
    </row>
    <row r="4100">
      <c r="A4100" s="126" t="n">
        <v>17955</v>
      </c>
      <c r="B4100" s="126" t="inlineStr">
        <is>
          <t>United Kingdom</t>
        </is>
      </c>
      <c r="C4100" s="126" t="n">
        <v>199</v>
      </c>
      <c r="D4100" s="126" t="n">
        <v>4</v>
      </c>
      <c r="E4100" s="127" t="n">
        <v>557.3</v>
      </c>
      <c r="F4100" s="128">
        <f>IF(C4100&lt;=30,5,IF(C4100&lt;=60,4,IF(C4100&lt;=120,3,IF(C4100&lt;=200,2,1))))</f>
        <v/>
      </c>
      <c r="G4100" s="128">
        <f>IF(D4100&gt;=20,5,IF(D4100&gt;=10,4,IF(D4100&gt;=5,3,IF(D4100&gt;=2,2,1))))</f>
        <v/>
      </c>
      <c r="H4100" s="128">
        <f>IF(E4100&gt;=5000,5,IF(E4100&gt;=2000,4,IF(E4100&gt;=800,3,IF(E4100&gt;=300,2,1))))</f>
        <v/>
      </c>
      <c r="I4100" s="126">
        <f>TEXT(F4100,"0")&amp;TEXT(G4100,"0")&amp;TEXT(H4100,"0")</f>
        <v/>
      </c>
      <c r="J4100" s="126">
        <f>IFERROR(XLOOKUP(I4100,'Segment Map'!A:A,'Segment Map'!B:B,"Need Attention"),"Need Attention")</f>
        <v/>
      </c>
      <c r="K4100" s="126">
        <f>IF(E4100&gt;=5000,"🏆 Platinum",IF(E4100&gt;=2000,"🥇 Gold",IF(E4100&gt;=800,"🥈 Silver","🥉 Bronze")))</f>
        <v/>
      </c>
      <c r="L4100" s="129" t="n">
        <v>40688</v>
      </c>
    </row>
    <row r="4101">
      <c r="A4101" s="122" t="n">
        <v>17956</v>
      </c>
      <c r="B4101" s="122" t="inlineStr">
        <is>
          <t>United Kingdom</t>
        </is>
      </c>
      <c r="C4101" s="122" t="n">
        <v>250</v>
      </c>
      <c r="D4101" s="122" t="n">
        <v>1</v>
      </c>
      <c r="E4101" s="123" t="n">
        <v>12.75</v>
      </c>
      <c r="F4101" s="124">
        <f>IF(C4101&lt;=30,5,IF(C4101&lt;=60,4,IF(C4101&lt;=120,3,IF(C4101&lt;=200,2,1))))</f>
        <v/>
      </c>
      <c r="G4101" s="124">
        <f>IF(D4101&gt;=20,5,IF(D4101&gt;=10,4,IF(D4101&gt;=5,3,IF(D4101&gt;=2,2,1))))</f>
        <v/>
      </c>
      <c r="H4101" s="124">
        <f>IF(E4101&gt;=5000,5,IF(E4101&gt;=2000,4,IF(E4101&gt;=800,3,IF(E4101&gt;=300,2,1))))</f>
        <v/>
      </c>
      <c r="I4101" s="122">
        <f>TEXT(F4101,"0")&amp;TEXT(G4101,"0")&amp;TEXT(H4101,"0")</f>
        <v/>
      </c>
      <c r="J4101" s="122">
        <f>IFERROR(XLOOKUP(I4101,'Segment Map'!A:A,'Segment Map'!B:B,"Need Attention"),"Need Attention")</f>
        <v/>
      </c>
      <c r="K4101" s="122">
        <f>IF(E4101&gt;=5000,"🏆 Platinum",IF(E4101&gt;=2000,"🥇 Gold",IF(E4101&gt;=800,"🥈 Silver","🥉 Bronze")))</f>
        <v/>
      </c>
      <c r="L4101" s="125" t="n">
        <v>40637</v>
      </c>
    </row>
    <row r="4102">
      <c r="A4102" s="126" t="n">
        <v>17957</v>
      </c>
      <c r="B4102" s="126" t="inlineStr">
        <is>
          <t>United Kingdom</t>
        </is>
      </c>
      <c r="C4102" s="126" t="n">
        <v>67</v>
      </c>
      <c r="D4102" s="126" t="n">
        <v>1</v>
      </c>
      <c r="E4102" s="127" t="n">
        <v>111.68</v>
      </c>
      <c r="F4102" s="128">
        <f>IF(C4102&lt;=30,5,IF(C4102&lt;=60,4,IF(C4102&lt;=120,3,IF(C4102&lt;=200,2,1))))</f>
        <v/>
      </c>
      <c r="G4102" s="128">
        <f>IF(D4102&gt;=20,5,IF(D4102&gt;=10,4,IF(D4102&gt;=5,3,IF(D4102&gt;=2,2,1))))</f>
        <v/>
      </c>
      <c r="H4102" s="128">
        <f>IF(E4102&gt;=5000,5,IF(E4102&gt;=2000,4,IF(E4102&gt;=800,3,IF(E4102&gt;=300,2,1))))</f>
        <v/>
      </c>
      <c r="I4102" s="126">
        <f>TEXT(F4102,"0")&amp;TEXT(G4102,"0")&amp;TEXT(H4102,"0")</f>
        <v/>
      </c>
      <c r="J4102" s="126">
        <f>IFERROR(XLOOKUP(I4102,'Segment Map'!A:A,'Segment Map'!B:B,"Need Attention"),"Need Attention")</f>
        <v/>
      </c>
      <c r="K4102" s="126">
        <f>IF(E4102&gt;=5000,"🏆 Platinum",IF(E4102&gt;=2000,"🥇 Gold",IF(E4102&gt;=800,"🥈 Silver","🥉 Bronze")))</f>
        <v/>
      </c>
      <c r="L4102" s="129" t="n">
        <v>40820</v>
      </c>
    </row>
    <row r="4103">
      <c r="A4103" s="122" t="n">
        <v>17958</v>
      </c>
      <c r="B4103" s="122" t="inlineStr">
        <is>
          <t>United Kingdom</t>
        </is>
      </c>
      <c r="C4103" s="122" t="n">
        <v>117</v>
      </c>
      <c r="D4103" s="122" t="n">
        <v>1</v>
      </c>
      <c r="E4103" s="123" t="n">
        <v>508.46</v>
      </c>
      <c r="F4103" s="124">
        <f>IF(C4103&lt;=30,5,IF(C4103&lt;=60,4,IF(C4103&lt;=120,3,IF(C4103&lt;=200,2,1))))</f>
        <v/>
      </c>
      <c r="G4103" s="124">
        <f>IF(D4103&gt;=20,5,IF(D4103&gt;=10,4,IF(D4103&gt;=5,3,IF(D4103&gt;=2,2,1))))</f>
        <v/>
      </c>
      <c r="H4103" s="124">
        <f>IF(E4103&gt;=5000,5,IF(E4103&gt;=2000,4,IF(E4103&gt;=800,3,IF(E4103&gt;=300,2,1))))</f>
        <v/>
      </c>
      <c r="I4103" s="122">
        <f>TEXT(F4103,"0")&amp;TEXT(G4103,"0")&amp;TEXT(H4103,"0")</f>
        <v/>
      </c>
      <c r="J4103" s="122">
        <f>IFERROR(XLOOKUP(I4103,'Segment Map'!A:A,'Segment Map'!B:B,"Need Attention"),"Need Attention")</f>
        <v/>
      </c>
      <c r="K4103" s="122">
        <f>IF(E4103&gt;=5000,"🏆 Platinum",IF(E4103&gt;=2000,"🥇 Gold",IF(E4103&gt;=800,"🥈 Silver","🥉 Bronze")))</f>
        <v/>
      </c>
      <c r="L4103" s="125" t="n">
        <v>40770</v>
      </c>
    </row>
    <row r="4104">
      <c r="A4104" s="126" t="n">
        <v>17960</v>
      </c>
      <c r="B4104" s="126" t="inlineStr">
        <is>
          <t>United Kingdom</t>
        </is>
      </c>
      <c r="C4104" s="126" t="n">
        <v>172</v>
      </c>
      <c r="D4104" s="126" t="n">
        <v>1</v>
      </c>
      <c r="E4104" s="127" t="n">
        <v>73.78</v>
      </c>
      <c r="F4104" s="128">
        <f>IF(C4104&lt;=30,5,IF(C4104&lt;=60,4,IF(C4104&lt;=120,3,IF(C4104&lt;=200,2,1))))</f>
        <v/>
      </c>
      <c r="G4104" s="128">
        <f>IF(D4104&gt;=20,5,IF(D4104&gt;=10,4,IF(D4104&gt;=5,3,IF(D4104&gt;=2,2,1))))</f>
        <v/>
      </c>
      <c r="H4104" s="128">
        <f>IF(E4104&gt;=5000,5,IF(E4104&gt;=2000,4,IF(E4104&gt;=800,3,IF(E4104&gt;=300,2,1))))</f>
        <v/>
      </c>
      <c r="I4104" s="126">
        <f>TEXT(F4104,"0")&amp;TEXT(G4104,"0")&amp;TEXT(H4104,"0")</f>
        <v/>
      </c>
      <c r="J4104" s="126">
        <f>IFERROR(XLOOKUP(I4104,'Segment Map'!A:A,'Segment Map'!B:B,"Need Attention"),"Need Attention")</f>
        <v/>
      </c>
      <c r="K4104" s="126">
        <f>IF(E4104&gt;=5000,"🏆 Platinum",IF(E4104&gt;=2000,"🥇 Gold",IF(E4104&gt;=800,"🥈 Silver","🥉 Bronze")))</f>
        <v/>
      </c>
      <c r="L4104" s="129" t="n">
        <v>40715</v>
      </c>
    </row>
    <row r="4105">
      <c r="A4105" s="122" t="n">
        <v>17961</v>
      </c>
      <c r="B4105" s="122" t="inlineStr">
        <is>
          <t>United Kingdom</t>
        </is>
      </c>
      <c r="C4105" s="122" t="n">
        <v>22</v>
      </c>
      <c r="D4105" s="122" t="n">
        <v>39</v>
      </c>
      <c r="E4105" s="123" t="n">
        <v>1296.44</v>
      </c>
      <c r="F4105" s="124">
        <f>IF(C4105&lt;=30,5,IF(C4105&lt;=60,4,IF(C4105&lt;=120,3,IF(C4105&lt;=200,2,1))))</f>
        <v/>
      </c>
      <c r="G4105" s="124">
        <f>IF(D4105&gt;=20,5,IF(D4105&gt;=10,4,IF(D4105&gt;=5,3,IF(D4105&gt;=2,2,1))))</f>
        <v/>
      </c>
      <c r="H4105" s="124">
        <f>IF(E4105&gt;=5000,5,IF(E4105&gt;=2000,4,IF(E4105&gt;=800,3,IF(E4105&gt;=300,2,1))))</f>
        <v/>
      </c>
      <c r="I4105" s="122">
        <f>TEXT(F4105,"0")&amp;TEXT(G4105,"0")&amp;TEXT(H4105,"0")</f>
        <v/>
      </c>
      <c r="J4105" s="122">
        <f>IFERROR(XLOOKUP(I4105,'Segment Map'!A:A,'Segment Map'!B:B,"Need Attention"),"Need Attention")</f>
        <v/>
      </c>
      <c r="K4105" s="122">
        <f>IF(E4105&gt;=5000,"🏆 Platinum",IF(E4105&gt;=2000,"🥇 Gold",IF(E4105&gt;=800,"🥈 Silver","🥉 Bronze")))</f>
        <v/>
      </c>
      <c r="L4105" s="125" t="n">
        <v>40865</v>
      </c>
    </row>
    <row r="4106">
      <c r="A4106" s="126" t="n">
        <v>17962</v>
      </c>
      <c r="B4106" s="126" t="inlineStr">
        <is>
          <t>United Kingdom</t>
        </is>
      </c>
      <c r="C4106" s="126" t="n">
        <v>143</v>
      </c>
      <c r="D4106" s="126" t="n">
        <v>1</v>
      </c>
      <c r="E4106" s="127" t="n">
        <v>102.83</v>
      </c>
      <c r="F4106" s="128">
        <f>IF(C4106&lt;=30,5,IF(C4106&lt;=60,4,IF(C4106&lt;=120,3,IF(C4106&lt;=200,2,1))))</f>
        <v/>
      </c>
      <c r="G4106" s="128">
        <f>IF(D4106&gt;=20,5,IF(D4106&gt;=10,4,IF(D4106&gt;=5,3,IF(D4106&gt;=2,2,1))))</f>
        <v/>
      </c>
      <c r="H4106" s="128">
        <f>IF(E4106&gt;=5000,5,IF(E4106&gt;=2000,4,IF(E4106&gt;=800,3,IF(E4106&gt;=300,2,1))))</f>
        <v/>
      </c>
      <c r="I4106" s="126">
        <f>TEXT(F4106,"0")&amp;TEXT(G4106,"0")&amp;TEXT(H4106,"0")</f>
        <v/>
      </c>
      <c r="J4106" s="126">
        <f>IFERROR(XLOOKUP(I4106,'Segment Map'!A:A,'Segment Map'!B:B,"Need Attention"),"Need Attention")</f>
        <v/>
      </c>
      <c r="K4106" s="126">
        <f>IF(E4106&gt;=5000,"🏆 Platinum",IF(E4106&gt;=2000,"🥇 Gold",IF(E4106&gt;=800,"🥈 Silver","🥉 Bronze")))</f>
        <v/>
      </c>
      <c r="L4106" s="129" t="n">
        <v>40744</v>
      </c>
    </row>
    <row r="4107">
      <c r="A4107" s="122" t="n">
        <v>17964</v>
      </c>
      <c r="B4107" s="122" t="inlineStr">
        <is>
          <t>United Kingdom</t>
        </is>
      </c>
      <c r="C4107" s="122" t="n">
        <v>32</v>
      </c>
      <c r="D4107" s="122" t="n">
        <v>2</v>
      </c>
      <c r="E4107" s="123" t="n">
        <v>471.7</v>
      </c>
      <c r="F4107" s="124">
        <f>IF(C4107&lt;=30,5,IF(C4107&lt;=60,4,IF(C4107&lt;=120,3,IF(C4107&lt;=200,2,1))))</f>
        <v/>
      </c>
      <c r="G4107" s="124">
        <f>IF(D4107&gt;=20,5,IF(D4107&gt;=10,4,IF(D4107&gt;=5,3,IF(D4107&gt;=2,2,1))))</f>
        <v/>
      </c>
      <c r="H4107" s="124">
        <f>IF(E4107&gt;=5000,5,IF(E4107&gt;=2000,4,IF(E4107&gt;=800,3,IF(E4107&gt;=300,2,1))))</f>
        <v/>
      </c>
      <c r="I4107" s="122">
        <f>TEXT(F4107,"0")&amp;TEXT(G4107,"0")&amp;TEXT(H4107,"0")</f>
        <v/>
      </c>
      <c r="J4107" s="122">
        <f>IFERROR(XLOOKUP(I4107,'Segment Map'!A:A,'Segment Map'!B:B,"Need Attention"),"Need Attention")</f>
        <v/>
      </c>
      <c r="K4107" s="122">
        <f>IF(E4107&gt;=5000,"🏆 Platinum",IF(E4107&gt;=2000,"🥇 Gold",IF(E4107&gt;=800,"🥈 Silver","🥉 Bronze")))</f>
        <v/>
      </c>
      <c r="L4107" s="125" t="n">
        <v>40855</v>
      </c>
    </row>
    <row r="4108">
      <c r="A4108" s="126" t="n">
        <v>17965</v>
      </c>
      <c r="B4108" s="126" t="inlineStr">
        <is>
          <t>United Kingdom</t>
        </is>
      </c>
      <c r="C4108" s="126" t="n">
        <v>38</v>
      </c>
      <c r="D4108" s="126" t="n">
        <v>14</v>
      </c>
      <c r="E4108" s="127" t="n">
        <v>2622.57</v>
      </c>
      <c r="F4108" s="128">
        <f>IF(C4108&lt;=30,5,IF(C4108&lt;=60,4,IF(C4108&lt;=120,3,IF(C4108&lt;=200,2,1))))</f>
        <v/>
      </c>
      <c r="G4108" s="128">
        <f>IF(D4108&gt;=20,5,IF(D4108&gt;=10,4,IF(D4108&gt;=5,3,IF(D4108&gt;=2,2,1))))</f>
        <v/>
      </c>
      <c r="H4108" s="128">
        <f>IF(E4108&gt;=5000,5,IF(E4108&gt;=2000,4,IF(E4108&gt;=800,3,IF(E4108&gt;=300,2,1))))</f>
        <v/>
      </c>
      <c r="I4108" s="126">
        <f>TEXT(F4108,"0")&amp;TEXT(G4108,"0")&amp;TEXT(H4108,"0")</f>
        <v/>
      </c>
      <c r="J4108" s="126">
        <f>IFERROR(XLOOKUP(I4108,'Segment Map'!A:A,'Segment Map'!B:B,"Need Attention"),"Need Attention")</f>
        <v/>
      </c>
      <c r="K4108" s="126">
        <f>IF(E4108&gt;=5000,"🏆 Platinum",IF(E4108&gt;=2000,"🥇 Gold",IF(E4108&gt;=800,"🥈 Silver","🥉 Bronze")))</f>
        <v/>
      </c>
      <c r="L4108" s="129" t="n">
        <v>40849</v>
      </c>
    </row>
    <row r="4109">
      <c r="A4109" s="122" t="n">
        <v>17966</v>
      </c>
      <c r="B4109" s="122" t="inlineStr">
        <is>
          <t>United Kingdom</t>
        </is>
      </c>
      <c r="C4109" s="122" t="n">
        <v>38</v>
      </c>
      <c r="D4109" s="122" t="n">
        <v>5</v>
      </c>
      <c r="E4109" s="123" t="n">
        <v>1098.43</v>
      </c>
      <c r="F4109" s="124">
        <f>IF(C4109&lt;=30,5,IF(C4109&lt;=60,4,IF(C4109&lt;=120,3,IF(C4109&lt;=200,2,1))))</f>
        <v/>
      </c>
      <c r="G4109" s="124">
        <f>IF(D4109&gt;=20,5,IF(D4109&gt;=10,4,IF(D4109&gt;=5,3,IF(D4109&gt;=2,2,1))))</f>
        <v/>
      </c>
      <c r="H4109" s="124">
        <f>IF(E4109&gt;=5000,5,IF(E4109&gt;=2000,4,IF(E4109&gt;=800,3,IF(E4109&gt;=300,2,1))))</f>
        <v/>
      </c>
      <c r="I4109" s="122">
        <f>TEXT(F4109,"0")&amp;TEXT(G4109,"0")&amp;TEXT(H4109,"0")</f>
        <v/>
      </c>
      <c r="J4109" s="122">
        <f>IFERROR(XLOOKUP(I4109,'Segment Map'!A:A,'Segment Map'!B:B,"Need Attention"),"Need Attention")</f>
        <v/>
      </c>
      <c r="K4109" s="122">
        <f>IF(E4109&gt;=5000,"🏆 Platinum",IF(E4109&gt;=2000,"🥇 Gold",IF(E4109&gt;=800,"🥈 Silver","🥉 Bronze")))</f>
        <v/>
      </c>
      <c r="L4109" s="125" t="n">
        <v>40849</v>
      </c>
    </row>
    <row r="4110">
      <c r="A4110" s="126" t="n">
        <v>17967</v>
      </c>
      <c r="B4110" s="126" t="inlineStr">
        <is>
          <t>United Kingdom</t>
        </is>
      </c>
      <c r="C4110" s="126" t="n">
        <v>372</v>
      </c>
      <c r="D4110" s="126" t="n">
        <v>1</v>
      </c>
      <c r="E4110" s="127" t="n">
        <v>123.07</v>
      </c>
      <c r="F4110" s="128">
        <f>IF(C4110&lt;=30,5,IF(C4110&lt;=60,4,IF(C4110&lt;=120,3,IF(C4110&lt;=200,2,1))))</f>
        <v/>
      </c>
      <c r="G4110" s="128">
        <f>IF(D4110&gt;=20,5,IF(D4110&gt;=10,4,IF(D4110&gt;=5,3,IF(D4110&gt;=2,2,1))))</f>
        <v/>
      </c>
      <c r="H4110" s="128">
        <f>IF(E4110&gt;=5000,5,IF(E4110&gt;=2000,4,IF(E4110&gt;=800,3,IF(E4110&gt;=300,2,1))))</f>
        <v/>
      </c>
      <c r="I4110" s="126">
        <f>TEXT(F4110,"0")&amp;TEXT(G4110,"0")&amp;TEXT(H4110,"0")</f>
        <v/>
      </c>
      <c r="J4110" s="126">
        <f>IFERROR(XLOOKUP(I4110,'Segment Map'!A:A,'Segment Map'!B:B,"Need Attention"),"Need Attention")</f>
        <v/>
      </c>
      <c r="K4110" s="126">
        <f>IF(E4110&gt;=5000,"🏆 Platinum",IF(E4110&gt;=2000,"🥇 Gold",IF(E4110&gt;=800,"🥈 Silver","🥉 Bronze")))</f>
        <v/>
      </c>
      <c r="L4110" s="129" t="n">
        <v>40515</v>
      </c>
    </row>
    <row r="4111">
      <c r="A4111" s="122" t="n">
        <v>17968</v>
      </c>
      <c r="B4111" s="122" t="inlineStr">
        <is>
          <t>United Kingdom</t>
        </is>
      </c>
      <c r="C4111" s="122" t="n">
        <v>374</v>
      </c>
      <c r="D4111" s="122" t="n">
        <v>1</v>
      </c>
      <c r="E4111" s="123" t="n">
        <v>277.35</v>
      </c>
      <c r="F4111" s="124">
        <f>IF(C4111&lt;=30,5,IF(C4111&lt;=60,4,IF(C4111&lt;=120,3,IF(C4111&lt;=200,2,1))))</f>
        <v/>
      </c>
      <c r="G4111" s="124">
        <f>IF(D4111&gt;=20,5,IF(D4111&gt;=10,4,IF(D4111&gt;=5,3,IF(D4111&gt;=2,2,1))))</f>
        <v/>
      </c>
      <c r="H4111" s="124">
        <f>IF(E4111&gt;=5000,5,IF(E4111&gt;=2000,4,IF(E4111&gt;=800,3,IF(E4111&gt;=300,2,1))))</f>
        <v/>
      </c>
      <c r="I4111" s="122">
        <f>TEXT(F4111,"0")&amp;TEXT(G4111,"0")&amp;TEXT(H4111,"0")</f>
        <v/>
      </c>
      <c r="J4111" s="122">
        <f>IFERROR(XLOOKUP(I4111,'Segment Map'!A:A,'Segment Map'!B:B,"Need Attention"),"Need Attention")</f>
        <v/>
      </c>
      <c r="K4111" s="122">
        <f>IF(E4111&gt;=5000,"🏆 Platinum",IF(E4111&gt;=2000,"🥇 Gold",IF(E4111&gt;=800,"🥈 Silver","🥉 Bronze")))</f>
        <v/>
      </c>
      <c r="L4111" s="125" t="n">
        <v>40513</v>
      </c>
    </row>
    <row r="4112">
      <c r="A4112" s="126" t="n">
        <v>17969</v>
      </c>
      <c r="B4112" s="126" t="inlineStr">
        <is>
          <t>United Kingdom</t>
        </is>
      </c>
      <c r="C4112" s="126" t="n">
        <v>167</v>
      </c>
      <c r="D4112" s="126" t="n">
        <v>2</v>
      </c>
      <c r="E4112" s="127" t="n">
        <v>228.2</v>
      </c>
      <c r="F4112" s="128">
        <f>IF(C4112&lt;=30,5,IF(C4112&lt;=60,4,IF(C4112&lt;=120,3,IF(C4112&lt;=200,2,1))))</f>
        <v/>
      </c>
      <c r="G4112" s="128">
        <f>IF(D4112&gt;=20,5,IF(D4112&gt;=10,4,IF(D4112&gt;=5,3,IF(D4112&gt;=2,2,1))))</f>
        <v/>
      </c>
      <c r="H4112" s="128">
        <f>IF(E4112&gt;=5000,5,IF(E4112&gt;=2000,4,IF(E4112&gt;=800,3,IF(E4112&gt;=300,2,1))))</f>
        <v/>
      </c>
      <c r="I4112" s="126">
        <f>TEXT(F4112,"0")&amp;TEXT(G4112,"0")&amp;TEXT(H4112,"0")</f>
        <v/>
      </c>
      <c r="J4112" s="126">
        <f>IFERROR(XLOOKUP(I4112,'Segment Map'!A:A,'Segment Map'!B:B,"Need Attention"),"Need Attention")</f>
        <v/>
      </c>
      <c r="K4112" s="126">
        <f>IF(E4112&gt;=5000,"🏆 Platinum",IF(E4112&gt;=2000,"🥇 Gold",IF(E4112&gt;=800,"🥈 Silver","🥉 Bronze")))</f>
        <v/>
      </c>
      <c r="L4112" s="129" t="n">
        <v>40720</v>
      </c>
    </row>
    <row r="4113">
      <c r="A4113" s="122" t="n">
        <v>17970</v>
      </c>
      <c r="B4113" s="122" t="inlineStr">
        <is>
          <t>United Kingdom</t>
        </is>
      </c>
      <c r="C4113" s="122" t="n">
        <v>212</v>
      </c>
      <c r="D4113" s="122" t="n">
        <v>1</v>
      </c>
      <c r="E4113" s="123" t="n">
        <v>582.59</v>
      </c>
      <c r="F4113" s="124">
        <f>IF(C4113&lt;=30,5,IF(C4113&lt;=60,4,IF(C4113&lt;=120,3,IF(C4113&lt;=200,2,1))))</f>
        <v/>
      </c>
      <c r="G4113" s="124">
        <f>IF(D4113&gt;=20,5,IF(D4113&gt;=10,4,IF(D4113&gt;=5,3,IF(D4113&gt;=2,2,1))))</f>
        <v/>
      </c>
      <c r="H4113" s="124">
        <f>IF(E4113&gt;=5000,5,IF(E4113&gt;=2000,4,IF(E4113&gt;=800,3,IF(E4113&gt;=300,2,1))))</f>
        <v/>
      </c>
      <c r="I4113" s="122">
        <f>TEXT(F4113,"0")&amp;TEXT(G4113,"0")&amp;TEXT(H4113,"0")</f>
        <v/>
      </c>
      <c r="J4113" s="122">
        <f>IFERROR(XLOOKUP(I4113,'Segment Map'!A:A,'Segment Map'!B:B,"Need Attention"),"Need Attention")</f>
        <v/>
      </c>
      <c r="K4113" s="122">
        <f>IF(E4113&gt;=5000,"🏆 Platinum",IF(E4113&gt;=2000,"🥇 Gold",IF(E4113&gt;=800,"🥈 Silver","🥉 Bronze")))</f>
        <v/>
      </c>
      <c r="L4113" s="125" t="n">
        <v>40675</v>
      </c>
    </row>
    <row r="4114">
      <c r="A4114" s="126" t="n">
        <v>17972</v>
      </c>
      <c r="B4114" s="126" t="inlineStr">
        <is>
          <t>United Kingdom</t>
        </is>
      </c>
      <c r="C4114" s="126" t="n">
        <v>242</v>
      </c>
      <c r="D4114" s="126" t="n">
        <v>1</v>
      </c>
      <c r="E4114" s="127" t="n">
        <v>136.04</v>
      </c>
      <c r="F4114" s="128">
        <f>IF(C4114&lt;=30,5,IF(C4114&lt;=60,4,IF(C4114&lt;=120,3,IF(C4114&lt;=200,2,1))))</f>
        <v/>
      </c>
      <c r="G4114" s="128">
        <f>IF(D4114&gt;=20,5,IF(D4114&gt;=10,4,IF(D4114&gt;=5,3,IF(D4114&gt;=2,2,1))))</f>
        <v/>
      </c>
      <c r="H4114" s="128">
        <f>IF(E4114&gt;=5000,5,IF(E4114&gt;=2000,4,IF(E4114&gt;=800,3,IF(E4114&gt;=300,2,1))))</f>
        <v/>
      </c>
      <c r="I4114" s="126">
        <f>TEXT(F4114,"0")&amp;TEXT(G4114,"0")&amp;TEXT(H4114,"0")</f>
        <v/>
      </c>
      <c r="J4114" s="126">
        <f>IFERROR(XLOOKUP(I4114,'Segment Map'!A:A,'Segment Map'!B:B,"Need Attention"),"Need Attention")</f>
        <v/>
      </c>
      <c r="K4114" s="126">
        <f>IF(E4114&gt;=5000,"🏆 Platinum",IF(E4114&gt;=2000,"🥇 Gold",IF(E4114&gt;=800,"🥈 Silver","🥉 Bronze")))</f>
        <v/>
      </c>
      <c r="L4114" s="129" t="n">
        <v>40645</v>
      </c>
    </row>
    <row r="4115">
      <c r="A4115" s="122" t="n">
        <v>17973</v>
      </c>
      <c r="B4115" s="122" t="inlineStr">
        <is>
          <t>United Kingdom</t>
        </is>
      </c>
      <c r="C4115" s="122" t="n">
        <v>52</v>
      </c>
      <c r="D4115" s="122" t="n">
        <v>1</v>
      </c>
      <c r="E4115" s="123" t="n">
        <v>337.04</v>
      </c>
      <c r="F4115" s="124">
        <f>IF(C4115&lt;=30,5,IF(C4115&lt;=60,4,IF(C4115&lt;=120,3,IF(C4115&lt;=200,2,1))))</f>
        <v/>
      </c>
      <c r="G4115" s="124">
        <f>IF(D4115&gt;=20,5,IF(D4115&gt;=10,4,IF(D4115&gt;=5,3,IF(D4115&gt;=2,2,1))))</f>
        <v/>
      </c>
      <c r="H4115" s="124">
        <f>IF(E4115&gt;=5000,5,IF(E4115&gt;=2000,4,IF(E4115&gt;=800,3,IF(E4115&gt;=300,2,1))))</f>
        <v/>
      </c>
      <c r="I4115" s="122">
        <f>TEXT(F4115,"0")&amp;TEXT(G4115,"0")&amp;TEXT(H4115,"0")</f>
        <v/>
      </c>
      <c r="J4115" s="122">
        <f>IFERROR(XLOOKUP(I4115,'Segment Map'!A:A,'Segment Map'!B:B,"Need Attention"),"Need Attention")</f>
        <v/>
      </c>
      <c r="K4115" s="122">
        <f>IF(E4115&gt;=5000,"🏆 Platinum",IF(E4115&gt;=2000,"🥇 Gold",IF(E4115&gt;=800,"🥈 Silver","🥉 Bronze")))</f>
        <v/>
      </c>
      <c r="L4115" s="125" t="n">
        <v>40835</v>
      </c>
    </row>
    <row r="4116">
      <c r="A4116" s="126" t="n">
        <v>17974</v>
      </c>
      <c r="B4116" s="126" t="inlineStr">
        <is>
          <t>United Kingdom</t>
        </is>
      </c>
      <c r="C4116" s="126" t="n">
        <v>25</v>
      </c>
      <c r="D4116" s="126" t="n">
        <v>3</v>
      </c>
      <c r="E4116" s="127" t="n">
        <v>740.79</v>
      </c>
      <c r="F4116" s="128">
        <f>IF(C4116&lt;=30,5,IF(C4116&lt;=60,4,IF(C4116&lt;=120,3,IF(C4116&lt;=200,2,1))))</f>
        <v/>
      </c>
      <c r="G4116" s="128">
        <f>IF(D4116&gt;=20,5,IF(D4116&gt;=10,4,IF(D4116&gt;=5,3,IF(D4116&gt;=2,2,1))))</f>
        <v/>
      </c>
      <c r="H4116" s="128">
        <f>IF(E4116&gt;=5000,5,IF(E4116&gt;=2000,4,IF(E4116&gt;=800,3,IF(E4116&gt;=300,2,1))))</f>
        <v/>
      </c>
      <c r="I4116" s="126">
        <f>TEXT(F4116,"0")&amp;TEXT(G4116,"0")&amp;TEXT(H4116,"0")</f>
        <v/>
      </c>
      <c r="J4116" s="126">
        <f>IFERROR(XLOOKUP(I4116,'Segment Map'!A:A,'Segment Map'!B:B,"Need Attention"),"Need Attention")</f>
        <v/>
      </c>
      <c r="K4116" s="126">
        <f>IF(E4116&gt;=5000,"🏆 Platinum",IF(E4116&gt;=2000,"🥇 Gold",IF(E4116&gt;=800,"🥈 Silver","🥉 Bronze")))</f>
        <v/>
      </c>
      <c r="L4116" s="129" t="n">
        <v>40862</v>
      </c>
    </row>
    <row r="4117">
      <c r="A4117" s="122" t="n">
        <v>17975</v>
      </c>
      <c r="B4117" s="122" t="inlineStr">
        <is>
          <t>United Kingdom</t>
        </is>
      </c>
      <c r="C4117" s="122" t="n">
        <v>16</v>
      </c>
      <c r="D4117" s="122" t="n">
        <v>13</v>
      </c>
      <c r="E4117" s="123" t="n">
        <v>4488.81</v>
      </c>
      <c r="F4117" s="124">
        <f>IF(C4117&lt;=30,5,IF(C4117&lt;=60,4,IF(C4117&lt;=120,3,IF(C4117&lt;=200,2,1))))</f>
        <v/>
      </c>
      <c r="G4117" s="124">
        <f>IF(D4117&gt;=20,5,IF(D4117&gt;=10,4,IF(D4117&gt;=5,3,IF(D4117&gt;=2,2,1))))</f>
        <v/>
      </c>
      <c r="H4117" s="124">
        <f>IF(E4117&gt;=5000,5,IF(E4117&gt;=2000,4,IF(E4117&gt;=800,3,IF(E4117&gt;=300,2,1))))</f>
        <v/>
      </c>
      <c r="I4117" s="122">
        <f>TEXT(F4117,"0")&amp;TEXT(G4117,"0")&amp;TEXT(H4117,"0")</f>
        <v/>
      </c>
      <c r="J4117" s="122">
        <f>IFERROR(XLOOKUP(I4117,'Segment Map'!A:A,'Segment Map'!B:B,"Need Attention"),"Need Attention")</f>
        <v/>
      </c>
      <c r="K4117" s="122">
        <f>IF(E4117&gt;=5000,"🏆 Platinum",IF(E4117&gt;=2000,"🥇 Gold",IF(E4117&gt;=800,"🥈 Silver","🥉 Bronze")))</f>
        <v/>
      </c>
      <c r="L4117" s="125" t="n">
        <v>40871</v>
      </c>
    </row>
    <row r="4118">
      <c r="A4118" s="126" t="n">
        <v>17976</v>
      </c>
      <c r="B4118" s="126" t="inlineStr">
        <is>
          <t>United Kingdom</t>
        </is>
      </c>
      <c r="C4118" s="126" t="n">
        <v>373</v>
      </c>
      <c r="D4118" s="126" t="n">
        <v>1</v>
      </c>
      <c r="E4118" s="127" t="n">
        <v>353.19</v>
      </c>
      <c r="F4118" s="128">
        <f>IF(C4118&lt;=30,5,IF(C4118&lt;=60,4,IF(C4118&lt;=120,3,IF(C4118&lt;=200,2,1))))</f>
        <v/>
      </c>
      <c r="G4118" s="128">
        <f>IF(D4118&gt;=20,5,IF(D4118&gt;=10,4,IF(D4118&gt;=5,3,IF(D4118&gt;=2,2,1))))</f>
        <v/>
      </c>
      <c r="H4118" s="128">
        <f>IF(E4118&gt;=5000,5,IF(E4118&gt;=2000,4,IF(E4118&gt;=800,3,IF(E4118&gt;=300,2,1))))</f>
        <v/>
      </c>
      <c r="I4118" s="126">
        <f>TEXT(F4118,"0")&amp;TEXT(G4118,"0")&amp;TEXT(H4118,"0")</f>
        <v/>
      </c>
      <c r="J4118" s="126">
        <f>IFERROR(XLOOKUP(I4118,'Segment Map'!A:A,'Segment Map'!B:B,"Need Attention"),"Need Attention")</f>
        <v/>
      </c>
      <c r="K4118" s="126">
        <f>IF(E4118&gt;=5000,"🏆 Platinum",IF(E4118&gt;=2000,"🥇 Gold",IF(E4118&gt;=800,"🥈 Silver","🥉 Bronze")))</f>
        <v/>
      </c>
      <c r="L4118" s="129" t="n">
        <v>40514</v>
      </c>
    </row>
    <row r="4119">
      <c r="A4119" s="122" t="n">
        <v>17977</v>
      </c>
      <c r="B4119" s="122" t="inlineStr">
        <is>
          <t>United Kingdom</t>
        </is>
      </c>
      <c r="C4119" s="122" t="n">
        <v>30</v>
      </c>
      <c r="D4119" s="122" t="n">
        <v>1</v>
      </c>
      <c r="E4119" s="123" t="n">
        <v>288.14</v>
      </c>
      <c r="F4119" s="124">
        <f>IF(C4119&lt;=30,5,IF(C4119&lt;=60,4,IF(C4119&lt;=120,3,IF(C4119&lt;=200,2,1))))</f>
        <v/>
      </c>
      <c r="G4119" s="124">
        <f>IF(D4119&gt;=20,5,IF(D4119&gt;=10,4,IF(D4119&gt;=5,3,IF(D4119&gt;=2,2,1))))</f>
        <v/>
      </c>
      <c r="H4119" s="124">
        <f>IF(E4119&gt;=5000,5,IF(E4119&gt;=2000,4,IF(E4119&gt;=800,3,IF(E4119&gt;=300,2,1))))</f>
        <v/>
      </c>
      <c r="I4119" s="122">
        <f>TEXT(F4119,"0")&amp;TEXT(G4119,"0")&amp;TEXT(H4119,"0")</f>
        <v/>
      </c>
      <c r="J4119" s="122">
        <f>IFERROR(XLOOKUP(I4119,'Segment Map'!A:A,'Segment Map'!B:B,"Need Attention"),"Need Attention")</f>
        <v/>
      </c>
      <c r="K4119" s="122">
        <f>IF(E4119&gt;=5000,"🏆 Platinum",IF(E4119&gt;=2000,"🥇 Gold",IF(E4119&gt;=800,"🥈 Silver","🥉 Bronze")))</f>
        <v/>
      </c>
      <c r="L4119" s="125" t="n">
        <v>40857</v>
      </c>
    </row>
    <row r="4120">
      <c r="A4120" s="126" t="n">
        <v>17978</v>
      </c>
      <c r="B4120" s="126" t="inlineStr">
        <is>
          <t>United Kingdom</t>
        </is>
      </c>
      <c r="C4120" s="126" t="n">
        <v>366</v>
      </c>
      <c r="D4120" s="126" t="n">
        <v>1</v>
      </c>
      <c r="E4120" s="127" t="n">
        <v>300.92</v>
      </c>
      <c r="F4120" s="128">
        <f>IF(C4120&lt;=30,5,IF(C4120&lt;=60,4,IF(C4120&lt;=120,3,IF(C4120&lt;=200,2,1))))</f>
        <v/>
      </c>
      <c r="G4120" s="128">
        <f>IF(D4120&gt;=20,5,IF(D4120&gt;=10,4,IF(D4120&gt;=5,3,IF(D4120&gt;=2,2,1))))</f>
        <v/>
      </c>
      <c r="H4120" s="128">
        <f>IF(E4120&gt;=5000,5,IF(E4120&gt;=2000,4,IF(E4120&gt;=800,3,IF(E4120&gt;=300,2,1))))</f>
        <v/>
      </c>
      <c r="I4120" s="126">
        <f>TEXT(F4120,"0")&amp;TEXT(G4120,"0")&amp;TEXT(H4120,"0")</f>
        <v/>
      </c>
      <c r="J4120" s="126">
        <f>IFERROR(XLOOKUP(I4120,'Segment Map'!A:A,'Segment Map'!B:B,"Need Attention"),"Need Attention")</f>
        <v/>
      </c>
      <c r="K4120" s="126">
        <f>IF(E4120&gt;=5000,"🏆 Platinum",IF(E4120&gt;=2000,"🥇 Gold",IF(E4120&gt;=800,"🥈 Silver","🥉 Bronze")))</f>
        <v/>
      </c>
      <c r="L4120" s="129" t="n">
        <v>40521</v>
      </c>
    </row>
    <row r="4121">
      <c r="A4121" s="122" t="n">
        <v>17979</v>
      </c>
      <c r="B4121" s="122" t="inlineStr">
        <is>
          <t>United Kingdom</t>
        </is>
      </c>
      <c r="C4121" s="122" t="n">
        <v>36</v>
      </c>
      <c r="D4121" s="122" t="n">
        <v>4</v>
      </c>
      <c r="E4121" s="123" t="n">
        <v>757.71</v>
      </c>
      <c r="F4121" s="124">
        <f>IF(C4121&lt;=30,5,IF(C4121&lt;=60,4,IF(C4121&lt;=120,3,IF(C4121&lt;=200,2,1))))</f>
        <v/>
      </c>
      <c r="G4121" s="124">
        <f>IF(D4121&gt;=20,5,IF(D4121&gt;=10,4,IF(D4121&gt;=5,3,IF(D4121&gt;=2,2,1))))</f>
        <v/>
      </c>
      <c r="H4121" s="124">
        <f>IF(E4121&gt;=5000,5,IF(E4121&gt;=2000,4,IF(E4121&gt;=800,3,IF(E4121&gt;=300,2,1))))</f>
        <v/>
      </c>
      <c r="I4121" s="122">
        <f>TEXT(F4121,"0")&amp;TEXT(G4121,"0")&amp;TEXT(H4121,"0")</f>
        <v/>
      </c>
      <c r="J4121" s="122">
        <f>IFERROR(XLOOKUP(I4121,'Segment Map'!A:A,'Segment Map'!B:B,"Need Attention"),"Need Attention")</f>
        <v/>
      </c>
      <c r="K4121" s="122">
        <f>IF(E4121&gt;=5000,"🏆 Platinum",IF(E4121&gt;=2000,"🥇 Gold",IF(E4121&gt;=800,"🥈 Silver","🥉 Bronze")))</f>
        <v/>
      </c>
      <c r="L4121" s="125" t="n">
        <v>40851</v>
      </c>
    </row>
    <row r="4122">
      <c r="A4122" s="126" t="n">
        <v>17980</v>
      </c>
      <c r="B4122" s="126" t="inlineStr">
        <is>
          <t>United Kingdom</t>
        </is>
      </c>
      <c r="C4122" s="126" t="n">
        <v>166</v>
      </c>
      <c r="D4122" s="126" t="n">
        <v>3</v>
      </c>
      <c r="E4122" s="127" t="n">
        <v>811.45</v>
      </c>
      <c r="F4122" s="128">
        <f>IF(C4122&lt;=30,5,IF(C4122&lt;=60,4,IF(C4122&lt;=120,3,IF(C4122&lt;=200,2,1))))</f>
        <v/>
      </c>
      <c r="G4122" s="128">
        <f>IF(D4122&gt;=20,5,IF(D4122&gt;=10,4,IF(D4122&gt;=5,3,IF(D4122&gt;=2,2,1))))</f>
        <v/>
      </c>
      <c r="H4122" s="128">
        <f>IF(E4122&gt;=5000,5,IF(E4122&gt;=2000,4,IF(E4122&gt;=800,3,IF(E4122&gt;=300,2,1))))</f>
        <v/>
      </c>
      <c r="I4122" s="126">
        <f>TEXT(F4122,"0")&amp;TEXT(G4122,"0")&amp;TEXT(H4122,"0")</f>
        <v/>
      </c>
      <c r="J4122" s="126">
        <f>IFERROR(XLOOKUP(I4122,'Segment Map'!A:A,'Segment Map'!B:B,"Need Attention"),"Need Attention")</f>
        <v/>
      </c>
      <c r="K4122" s="126">
        <f>IF(E4122&gt;=5000,"🏆 Platinum",IF(E4122&gt;=2000,"🥇 Gold",IF(E4122&gt;=800,"🥈 Silver","🥉 Bronze")))</f>
        <v/>
      </c>
      <c r="L4122" s="129" t="n">
        <v>40721</v>
      </c>
    </row>
    <row r="4123">
      <c r="A4123" s="122" t="n">
        <v>17984</v>
      </c>
      <c r="B4123" s="122" t="inlineStr">
        <is>
          <t>United Kingdom</t>
        </is>
      </c>
      <c r="C4123" s="122" t="n">
        <v>146</v>
      </c>
      <c r="D4123" s="122" t="n">
        <v>1</v>
      </c>
      <c r="E4123" s="123" t="n">
        <v>152.68</v>
      </c>
      <c r="F4123" s="124">
        <f>IF(C4123&lt;=30,5,IF(C4123&lt;=60,4,IF(C4123&lt;=120,3,IF(C4123&lt;=200,2,1))))</f>
        <v/>
      </c>
      <c r="G4123" s="124">
        <f>IF(D4123&gt;=20,5,IF(D4123&gt;=10,4,IF(D4123&gt;=5,3,IF(D4123&gt;=2,2,1))))</f>
        <v/>
      </c>
      <c r="H4123" s="124">
        <f>IF(E4123&gt;=5000,5,IF(E4123&gt;=2000,4,IF(E4123&gt;=800,3,IF(E4123&gt;=300,2,1))))</f>
        <v/>
      </c>
      <c r="I4123" s="122">
        <f>TEXT(F4123,"0")&amp;TEXT(G4123,"0")&amp;TEXT(H4123,"0")</f>
        <v/>
      </c>
      <c r="J4123" s="122">
        <f>IFERROR(XLOOKUP(I4123,'Segment Map'!A:A,'Segment Map'!B:B,"Need Attention"),"Need Attention")</f>
        <v/>
      </c>
      <c r="K4123" s="122">
        <f>IF(E4123&gt;=5000,"🏆 Platinum",IF(E4123&gt;=2000,"🥇 Gold",IF(E4123&gt;=800,"🥈 Silver","🥉 Bronze")))</f>
        <v/>
      </c>
      <c r="L4123" s="125" t="n">
        <v>40741</v>
      </c>
    </row>
    <row r="4124">
      <c r="A4124" s="126" t="n">
        <v>17985</v>
      </c>
      <c r="B4124" s="126" t="inlineStr">
        <is>
          <t>United Kingdom</t>
        </is>
      </c>
      <c r="C4124" s="126" t="n">
        <v>23</v>
      </c>
      <c r="D4124" s="126" t="n">
        <v>1</v>
      </c>
      <c r="E4124" s="127" t="n">
        <v>634.95</v>
      </c>
      <c r="F4124" s="128">
        <f>IF(C4124&lt;=30,5,IF(C4124&lt;=60,4,IF(C4124&lt;=120,3,IF(C4124&lt;=200,2,1))))</f>
        <v/>
      </c>
      <c r="G4124" s="128">
        <f>IF(D4124&gt;=20,5,IF(D4124&gt;=10,4,IF(D4124&gt;=5,3,IF(D4124&gt;=2,2,1))))</f>
        <v/>
      </c>
      <c r="H4124" s="128">
        <f>IF(E4124&gt;=5000,5,IF(E4124&gt;=2000,4,IF(E4124&gt;=800,3,IF(E4124&gt;=300,2,1))))</f>
        <v/>
      </c>
      <c r="I4124" s="126">
        <f>TEXT(F4124,"0")&amp;TEXT(G4124,"0")&amp;TEXT(H4124,"0")</f>
        <v/>
      </c>
      <c r="J4124" s="126">
        <f>IFERROR(XLOOKUP(I4124,'Segment Map'!A:A,'Segment Map'!B:B,"Need Attention"),"Need Attention")</f>
        <v/>
      </c>
      <c r="K4124" s="126">
        <f>IF(E4124&gt;=5000,"🏆 Platinum",IF(E4124&gt;=2000,"🥇 Gold",IF(E4124&gt;=800,"🥈 Silver","🥉 Bronze")))</f>
        <v/>
      </c>
      <c r="L4124" s="129" t="n">
        <v>40864</v>
      </c>
    </row>
    <row r="4125">
      <c r="A4125" s="122" t="n">
        <v>17986</v>
      </c>
      <c r="B4125" s="122" t="inlineStr">
        <is>
          <t>United Kingdom</t>
        </is>
      </c>
      <c r="C4125" s="122" t="n">
        <v>57</v>
      </c>
      <c r="D4125" s="122" t="n">
        <v>1</v>
      </c>
      <c r="E4125" s="123" t="n">
        <v>20.8</v>
      </c>
      <c r="F4125" s="124">
        <f>IF(C4125&lt;=30,5,IF(C4125&lt;=60,4,IF(C4125&lt;=120,3,IF(C4125&lt;=200,2,1))))</f>
        <v/>
      </c>
      <c r="G4125" s="124">
        <f>IF(D4125&gt;=20,5,IF(D4125&gt;=10,4,IF(D4125&gt;=5,3,IF(D4125&gt;=2,2,1))))</f>
        <v/>
      </c>
      <c r="H4125" s="124">
        <f>IF(E4125&gt;=5000,5,IF(E4125&gt;=2000,4,IF(E4125&gt;=800,3,IF(E4125&gt;=300,2,1))))</f>
        <v/>
      </c>
      <c r="I4125" s="122">
        <f>TEXT(F4125,"0")&amp;TEXT(G4125,"0")&amp;TEXT(H4125,"0")</f>
        <v/>
      </c>
      <c r="J4125" s="122">
        <f>IFERROR(XLOOKUP(I4125,'Segment Map'!A:A,'Segment Map'!B:B,"Need Attention"),"Need Attention")</f>
        <v/>
      </c>
      <c r="K4125" s="122">
        <f>IF(E4125&gt;=5000,"🏆 Platinum",IF(E4125&gt;=2000,"🥇 Gold",IF(E4125&gt;=800,"🥈 Silver","🥉 Bronze")))</f>
        <v/>
      </c>
      <c r="L4125" s="125" t="n">
        <v>40830</v>
      </c>
    </row>
    <row r="4126">
      <c r="A4126" s="126" t="n">
        <v>17987</v>
      </c>
      <c r="B4126" s="126" t="inlineStr">
        <is>
          <t>United Kingdom</t>
        </is>
      </c>
      <c r="C4126" s="126" t="n">
        <v>186</v>
      </c>
      <c r="D4126" s="126" t="n">
        <v>1</v>
      </c>
      <c r="E4126" s="127" t="n">
        <v>198.57</v>
      </c>
      <c r="F4126" s="128">
        <f>IF(C4126&lt;=30,5,IF(C4126&lt;=60,4,IF(C4126&lt;=120,3,IF(C4126&lt;=200,2,1))))</f>
        <v/>
      </c>
      <c r="G4126" s="128">
        <f>IF(D4126&gt;=20,5,IF(D4126&gt;=10,4,IF(D4126&gt;=5,3,IF(D4126&gt;=2,2,1))))</f>
        <v/>
      </c>
      <c r="H4126" s="128">
        <f>IF(E4126&gt;=5000,5,IF(E4126&gt;=2000,4,IF(E4126&gt;=800,3,IF(E4126&gt;=300,2,1))))</f>
        <v/>
      </c>
      <c r="I4126" s="126">
        <f>TEXT(F4126,"0")&amp;TEXT(G4126,"0")&amp;TEXT(H4126,"0")</f>
        <v/>
      </c>
      <c r="J4126" s="126">
        <f>IFERROR(XLOOKUP(I4126,'Segment Map'!A:A,'Segment Map'!B:B,"Need Attention"),"Need Attention")</f>
        <v/>
      </c>
      <c r="K4126" s="126">
        <f>IF(E4126&gt;=5000,"🏆 Platinum",IF(E4126&gt;=2000,"🥇 Gold",IF(E4126&gt;=800,"🥈 Silver","🥉 Bronze")))</f>
        <v/>
      </c>
      <c r="L4126" s="129" t="n">
        <v>40701</v>
      </c>
    </row>
    <row r="4127">
      <c r="A4127" s="122" t="n">
        <v>17988</v>
      </c>
      <c r="B4127" s="122" t="inlineStr">
        <is>
          <t>United Kingdom</t>
        </is>
      </c>
      <c r="C4127" s="122" t="n">
        <v>12</v>
      </c>
      <c r="D4127" s="122" t="n">
        <v>7</v>
      </c>
      <c r="E4127" s="123" t="n">
        <v>201.12</v>
      </c>
      <c r="F4127" s="124">
        <f>IF(C4127&lt;=30,5,IF(C4127&lt;=60,4,IF(C4127&lt;=120,3,IF(C4127&lt;=200,2,1))))</f>
        <v/>
      </c>
      <c r="G4127" s="124">
        <f>IF(D4127&gt;=20,5,IF(D4127&gt;=10,4,IF(D4127&gt;=5,3,IF(D4127&gt;=2,2,1))))</f>
        <v/>
      </c>
      <c r="H4127" s="124">
        <f>IF(E4127&gt;=5000,5,IF(E4127&gt;=2000,4,IF(E4127&gt;=800,3,IF(E4127&gt;=300,2,1))))</f>
        <v/>
      </c>
      <c r="I4127" s="122">
        <f>TEXT(F4127,"0")&amp;TEXT(G4127,"0")&amp;TEXT(H4127,"0")</f>
        <v/>
      </c>
      <c r="J4127" s="122">
        <f>IFERROR(XLOOKUP(I4127,'Segment Map'!A:A,'Segment Map'!B:B,"Need Attention"),"Need Attention")</f>
        <v/>
      </c>
      <c r="K4127" s="122">
        <f>IF(E4127&gt;=5000,"🏆 Platinum",IF(E4127&gt;=2000,"🥇 Gold",IF(E4127&gt;=800,"🥈 Silver","🥉 Bronze")))</f>
        <v/>
      </c>
      <c r="L4127" s="125" t="n">
        <v>40875</v>
      </c>
    </row>
    <row r="4128">
      <c r="A4128" s="126" t="n">
        <v>17990</v>
      </c>
      <c r="B4128" s="126" t="inlineStr">
        <is>
          <t>United Kingdom</t>
        </is>
      </c>
      <c r="C4128" s="126" t="n">
        <v>237</v>
      </c>
      <c r="D4128" s="126" t="n">
        <v>3</v>
      </c>
      <c r="E4128" s="127" t="n">
        <v>630.84</v>
      </c>
      <c r="F4128" s="128">
        <f>IF(C4128&lt;=30,5,IF(C4128&lt;=60,4,IF(C4128&lt;=120,3,IF(C4128&lt;=200,2,1))))</f>
        <v/>
      </c>
      <c r="G4128" s="128">
        <f>IF(D4128&gt;=20,5,IF(D4128&gt;=10,4,IF(D4128&gt;=5,3,IF(D4128&gt;=2,2,1))))</f>
        <v/>
      </c>
      <c r="H4128" s="128">
        <f>IF(E4128&gt;=5000,5,IF(E4128&gt;=2000,4,IF(E4128&gt;=800,3,IF(E4128&gt;=300,2,1))))</f>
        <v/>
      </c>
      <c r="I4128" s="126">
        <f>TEXT(F4128,"0")&amp;TEXT(G4128,"0")&amp;TEXT(H4128,"0")</f>
        <v/>
      </c>
      <c r="J4128" s="126">
        <f>IFERROR(XLOOKUP(I4128,'Segment Map'!A:A,'Segment Map'!B:B,"Need Attention"),"Need Attention")</f>
        <v/>
      </c>
      <c r="K4128" s="126">
        <f>IF(E4128&gt;=5000,"🏆 Platinum",IF(E4128&gt;=2000,"🥇 Gold",IF(E4128&gt;=800,"🥈 Silver","🥉 Bronze")))</f>
        <v/>
      </c>
      <c r="L4128" s="129" t="n">
        <v>40650</v>
      </c>
    </row>
    <row r="4129">
      <c r="A4129" s="122" t="n">
        <v>17991</v>
      </c>
      <c r="B4129" s="122" t="inlineStr">
        <is>
          <t>United Kingdom</t>
        </is>
      </c>
      <c r="C4129" s="122" t="n">
        <v>226</v>
      </c>
      <c r="D4129" s="122" t="n">
        <v>2</v>
      </c>
      <c r="E4129" s="123" t="n">
        <v>93.34999999999999</v>
      </c>
      <c r="F4129" s="124">
        <f>IF(C4129&lt;=30,5,IF(C4129&lt;=60,4,IF(C4129&lt;=120,3,IF(C4129&lt;=200,2,1))))</f>
        <v/>
      </c>
      <c r="G4129" s="124">
        <f>IF(D4129&gt;=20,5,IF(D4129&gt;=10,4,IF(D4129&gt;=5,3,IF(D4129&gt;=2,2,1))))</f>
        <v/>
      </c>
      <c r="H4129" s="124">
        <f>IF(E4129&gt;=5000,5,IF(E4129&gt;=2000,4,IF(E4129&gt;=800,3,IF(E4129&gt;=300,2,1))))</f>
        <v/>
      </c>
      <c r="I4129" s="122">
        <f>TEXT(F4129,"0")&amp;TEXT(G4129,"0")&amp;TEXT(H4129,"0")</f>
        <v/>
      </c>
      <c r="J4129" s="122">
        <f>IFERROR(XLOOKUP(I4129,'Segment Map'!A:A,'Segment Map'!B:B,"Need Attention"),"Need Attention")</f>
        <v/>
      </c>
      <c r="K4129" s="122">
        <f>IF(E4129&gt;=5000,"🏆 Platinum",IF(E4129&gt;=2000,"🥇 Gold",IF(E4129&gt;=800,"🥈 Silver","🥉 Bronze")))</f>
        <v/>
      </c>
      <c r="L4129" s="125" t="n">
        <v>40661</v>
      </c>
    </row>
    <row r="4130">
      <c r="A4130" s="126" t="n">
        <v>17994</v>
      </c>
      <c r="B4130" s="126" t="inlineStr">
        <is>
          <t>United Kingdom</t>
        </is>
      </c>
      <c r="C4130" s="126" t="n">
        <v>122</v>
      </c>
      <c r="D4130" s="126" t="n">
        <v>4</v>
      </c>
      <c r="E4130" s="127" t="n">
        <v>678.49</v>
      </c>
      <c r="F4130" s="128">
        <f>IF(C4130&lt;=30,5,IF(C4130&lt;=60,4,IF(C4130&lt;=120,3,IF(C4130&lt;=200,2,1))))</f>
        <v/>
      </c>
      <c r="G4130" s="128">
        <f>IF(D4130&gt;=20,5,IF(D4130&gt;=10,4,IF(D4130&gt;=5,3,IF(D4130&gt;=2,2,1))))</f>
        <v/>
      </c>
      <c r="H4130" s="128">
        <f>IF(E4130&gt;=5000,5,IF(E4130&gt;=2000,4,IF(E4130&gt;=800,3,IF(E4130&gt;=300,2,1))))</f>
        <v/>
      </c>
      <c r="I4130" s="126">
        <f>TEXT(F4130,"0")&amp;TEXT(G4130,"0")&amp;TEXT(H4130,"0")</f>
        <v/>
      </c>
      <c r="J4130" s="126">
        <f>IFERROR(XLOOKUP(I4130,'Segment Map'!A:A,'Segment Map'!B:B,"Need Attention"),"Need Attention")</f>
        <v/>
      </c>
      <c r="K4130" s="126">
        <f>IF(E4130&gt;=5000,"🏆 Platinum",IF(E4130&gt;=2000,"🥇 Gold",IF(E4130&gt;=800,"🥈 Silver","🥉 Bronze")))</f>
        <v/>
      </c>
      <c r="L4130" s="129" t="n">
        <v>40765</v>
      </c>
    </row>
    <row r="4131">
      <c r="A4131" s="122" t="n">
        <v>17995</v>
      </c>
      <c r="B4131" s="122" t="inlineStr">
        <is>
          <t>United Kingdom</t>
        </is>
      </c>
      <c r="C4131" s="122" t="n">
        <v>282</v>
      </c>
      <c r="D4131" s="122" t="n">
        <v>1</v>
      </c>
      <c r="E4131" s="123" t="n">
        <v>76.09999999999999</v>
      </c>
      <c r="F4131" s="124">
        <f>IF(C4131&lt;=30,5,IF(C4131&lt;=60,4,IF(C4131&lt;=120,3,IF(C4131&lt;=200,2,1))))</f>
        <v/>
      </c>
      <c r="G4131" s="124">
        <f>IF(D4131&gt;=20,5,IF(D4131&gt;=10,4,IF(D4131&gt;=5,3,IF(D4131&gt;=2,2,1))))</f>
        <v/>
      </c>
      <c r="H4131" s="124">
        <f>IF(E4131&gt;=5000,5,IF(E4131&gt;=2000,4,IF(E4131&gt;=800,3,IF(E4131&gt;=300,2,1))))</f>
        <v/>
      </c>
      <c r="I4131" s="122">
        <f>TEXT(F4131,"0")&amp;TEXT(G4131,"0")&amp;TEXT(H4131,"0")</f>
        <v/>
      </c>
      <c r="J4131" s="122">
        <f>IFERROR(XLOOKUP(I4131,'Segment Map'!A:A,'Segment Map'!B:B,"Need Attention"),"Need Attention")</f>
        <v/>
      </c>
      <c r="K4131" s="122">
        <f>IF(E4131&gt;=5000,"🏆 Platinum",IF(E4131&gt;=2000,"🥇 Gold",IF(E4131&gt;=800,"🥈 Silver","🥉 Bronze")))</f>
        <v/>
      </c>
      <c r="L4131" s="125" t="n">
        <v>40605</v>
      </c>
    </row>
    <row r="4132">
      <c r="A4132" s="126" t="n">
        <v>17997</v>
      </c>
      <c r="B4132" s="126" t="inlineStr">
        <is>
          <t>United Kingdom</t>
        </is>
      </c>
      <c r="C4132" s="126" t="n">
        <v>75</v>
      </c>
      <c r="D4132" s="126" t="n">
        <v>8</v>
      </c>
      <c r="E4132" s="127" t="n">
        <v>1970.67</v>
      </c>
      <c r="F4132" s="128">
        <f>IF(C4132&lt;=30,5,IF(C4132&lt;=60,4,IF(C4132&lt;=120,3,IF(C4132&lt;=200,2,1))))</f>
        <v/>
      </c>
      <c r="G4132" s="128">
        <f>IF(D4132&gt;=20,5,IF(D4132&gt;=10,4,IF(D4132&gt;=5,3,IF(D4132&gt;=2,2,1))))</f>
        <v/>
      </c>
      <c r="H4132" s="128">
        <f>IF(E4132&gt;=5000,5,IF(E4132&gt;=2000,4,IF(E4132&gt;=800,3,IF(E4132&gt;=300,2,1))))</f>
        <v/>
      </c>
      <c r="I4132" s="126">
        <f>TEXT(F4132,"0")&amp;TEXT(G4132,"0")&amp;TEXT(H4132,"0")</f>
        <v/>
      </c>
      <c r="J4132" s="126">
        <f>IFERROR(XLOOKUP(I4132,'Segment Map'!A:A,'Segment Map'!B:B,"Need Attention"),"Need Attention")</f>
        <v/>
      </c>
      <c r="K4132" s="126">
        <f>IF(E4132&gt;=5000,"🏆 Platinum",IF(E4132&gt;=2000,"🥇 Gold",IF(E4132&gt;=800,"🥈 Silver","🥉 Bronze")))</f>
        <v/>
      </c>
      <c r="L4132" s="129" t="n">
        <v>40812</v>
      </c>
    </row>
    <row r="4133">
      <c r="A4133" s="122" t="n">
        <v>17999</v>
      </c>
      <c r="B4133" s="122" t="inlineStr">
        <is>
          <t>United Kingdom</t>
        </is>
      </c>
      <c r="C4133" s="122" t="n">
        <v>38</v>
      </c>
      <c r="D4133" s="122" t="n">
        <v>2</v>
      </c>
      <c r="E4133" s="123" t="n">
        <v>382.06</v>
      </c>
      <c r="F4133" s="124">
        <f>IF(C4133&lt;=30,5,IF(C4133&lt;=60,4,IF(C4133&lt;=120,3,IF(C4133&lt;=200,2,1))))</f>
        <v/>
      </c>
      <c r="G4133" s="124">
        <f>IF(D4133&gt;=20,5,IF(D4133&gt;=10,4,IF(D4133&gt;=5,3,IF(D4133&gt;=2,2,1))))</f>
        <v/>
      </c>
      <c r="H4133" s="124">
        <f>IF(E4133&gt;=5000,5,IF(E4133&gt;=2000,4,IF(E4133&gt;=800,3,IF(E4133&gt;=300,2,1))))</f>
        <v/>
      </c>
      <c r="I4133" s="122">
        <f>TEXT(F4133,"0")&amp;TEXT(G4133,"0")&amp;TEXT(H4133,"0")</f>
        <v/>
      </c>
      <c r="J4133" s="122">
        <f>IFERROR(XLOOKUP(I4133,'Segment Map'!A:A,'Segment Map'!B:B,"Need Attention"),"Need Attention")</f>
        <v/>
      </c>
      <c r="K4133" s="122">
        <f>IF(E4133&gt;=5000,"🏆 Platinum",IF(E4133&gt;=2000,"🥇 Gold",IF(E4133&gt;=800,"🥈 Silver","🥉 Bronze")))</f>
        <v/>
      </c>
      <c r="L4133" s="125" t="n">
        <v>40849</v>
      </c>
    </row>
    <row r="4134">
      <c r="A4134" s="126" t="n">
        <v>18001</v>
      </c>
      <c r="B4134" s="126" t="inlineStr">
        <is>
          <t>United Kingdom</t>
        </is>
      </c>
      <c r="C4134" s="126" t="n">
        <v>13</v>
      </c>
      <c r="D4134" s="126" t="n">
        <v>2</v>
      </c>
      <c r="E4134" s="127" t="n">
        <v>417.23</v>
      </c>
      <c r="F4134" s="128">
        <f>IF(C4134&lt;=30,5,IF(C4134&lt;=60,4,IF(C4134&lt;=120,3,IF(C4134&lt;=200,2,1))))</f>
        <v/>
      </c>
      <c r="G4134" s="128">
        <f>IF(D4134&gt;=20,5,IF(D4134&gt;=10,4,IF(D4134&gt;=5,3,IF(D4134&gt;=2,2,1))))</f>
        <v/>
      </c>
      <c r="H4134" s="128">
        <f>IF(E4134&gt;=5000,5,IF(E4134&gt;=2000,4,IF(E4134&gt;=800,3,IF(E4134&gt;=300,2,1))))</f>
        <v/>
      </c>
      <c r="I4134" s="126">
        <f>TEXT(F4134,"0")&amp;TEXT(G4134,"0")&amp;TEXT(H4134,"0")</f>
        <v/>
      </c>
      <c r="J4134" s="126">
        <f>IFERROR(XLOOKUP(I4134,'Segment Map'!A:A,'Segment Map'!B:B,"Need Attention"),"Need Attention")</f>
        <v/>
      </c>
      <c r="K4134" s="126">
        <f>IF(E4134&gt;=5000,"🏆 Platinum",IF(E4134&gt;=2000,"🥇 Gold",IF(E4134&gt;=800,"🥈 Silver","🥉 Bronze")))</f>
        <v/>
      </c>
      <c r="L4134" s="129" t="n">
        <v>40874</v>
      </c>
    </row>
    <row r="4135">
      <c r="A4135" s="122" t="n">
        <v>18004</v>
      </c>
      <c r="B4135" s="122" t="inlineStr">
        <is>
          <t>United Kingdom</t>
        </is>
      </c>
      <c r="C4135" s="122" t="n">
        <v>363</v>
      </c>
      <c r="D4135" s="122" t="n">
        <v>1</v>
      </c>
      <c r="E4135" s="123" t="n">
        <v>169.47</v>
      </c>
      <c r="F4135" s="124">
        <f>IF(C4135&lt;=30,5,IF(C4135&lt;=60,4,IF(C4135&lt;=120,3,IF(C4135&lt;=200,2,1))))</f>
        <v/>
      </c>
      <c r="G4135" s="124">
        <f>IF(D4135&gt;=20,5,IF(D4135&gt;=10,4,IF(D4135&gt;=5,3,IF(D4135&gt;=2,2,1))))</f>
        <v/>
      </c>
      <c r="H4135" s="124">
        <f>IF(E4135&gt;=5000,5,IF(E4135&gt;=2000,4,IF(E4135&gt;=800,3,IF(E4135&gt;=300,2,1))))</f>
        <v/>
      </c>
      <c r="I4135" s="122">
        <f>TEXT(F4135,"0")&amp;TEXT(G4135,"0")&amp;TEXT(H4135,"0")</f>
        <v/>
      </c>
      <c r="J4135" s="122">
        <f>IFERROR(XLOOKUP(I4135,'Segment Map'!A:A,'Segment Map'!B:B,"Need Attention"),"Need Attention")</f>
        <v/>
      </c>
      <c r="K4135" s="122">
        <f>IF(E4135&gt;=5000,"🏆 Platinum",IF(E4135&gt;=2000,"🥇 Gold",IF(E4135&gt;=800,"🥈 Silver","🥉 Bronze")))</f>
        <v/>
      </c>
      <c r="L4135" s="125" t="n">
        <v>40524</v>
      </c>
    </row>
    <row r="4136">
      <c r="A4136" s="126" t="n">
        <v>18005</v>
      </c>
      <c r="B4136" s="126" t="inlineStr">
        <is>
          <t>United Kingdom</t>
        </is>
      </c>
      <c r="C4136" s="126" t="n">
        <v>4</v>
      </c>
      <c r="D4136" s="126" t="n">
        <v>2</v>
      </c>
      <c r="E4136" s="127" t="n">
        <v>249.72</v>
      </c>
      <c r="F4136" s="128">
        <f>IF(C4136&lt;=30,5,IF(C4136&lt;=60,4,IF(C4136&lt;=120,3,IF(C4136&lt;=200,2,1))))</f>
        <v/>
      </c>
      <c r="G4136" s="128">
        <f>IF(D4136&gt;=20,5,IF(D4136&gt;=10,4,IF(D4136&gt;=5,3,IF(D4136&gt;=2,2,1))))</f>
        <v/>
      </c>
      <c r="H4136" s="128">
        <f>IF(E4136&gt;=5000,5,IF(E4136&gt;=2000,4,IF(E4136&gt;=800,3,IF(E4136&gt;=300,2,1))))</f>
        <v/>
      </c>
      <c r="I4136" s="126">
        <f>TEXT(F4136,"0")&amp;TEXT(G4136,"0")&amp;TEXT(H4136,"0")</f>
        <v/>
      </c>
      <c r="J4136" s="126">
        <f>IFERROR(XLOOKUP(I4136,'Segment Map'!A:A,'Segment Map'!B:B,"Need Attention"),"Need Attention")</f>
        <v/>
      </c>
      <c r="K4136" s="126">
        <f>IF(E4136&gt;=5000,"🏆 Platinum",IF(E4136&gt;=2000,"🥇 Gold",IF(E4136&gt;=800,"🥈 Silver","🥉 Bronze")))</f>
        <v/>
      </c>
      <c r="L4136" s="129" t="n">
        <v>40883</v>
      </c>
    </row>
    <row r="4137">
      <c r="A4137" s="122" t="n">
        <v>18006</v>
      </c>
      <c r="B4137" s="122" t="inlineStr">
        <is>
          <t>United Kingdom</t>
        </is>
      </c>
      <c r="C4137" s="122" t="n">
        <v>24</v>
      </c>
      <c r="D4137" s="122" t="n">
        <v>1</v>
      </c>
      <c r="E4137" s="123" t="n">
        <v>444.68</v>
      </c>
      <c r="F4137" s="124">
        <f>IF(C4137&lt;=30,5,IF(C4137&lt;=60,4,IF(C4137&lt;=120,3,IF(C4137&lt;=200,2,1))))</f>
        <v/>
      </c>
      <c r="G4137" s="124">
        <f>IF(D4137&gt;=20,5,IF(D4137&gt;=10,4,IF(D4137&gt;=5,3,IF(D4137&gt;=2,2,1))))</f>
        <v/>
      </c>
      <c r="H4137" s="124">
        <f>IF(E4137&gt;=5000,5,IF(E4137&gt;=2000,4,IF(E4137&gt;=800,3,IF(E4137&gt;=300,2,1))))</f>
        <v/>
      </c>
      <c r="I4137" s="122">
        <f>TEXT(F4137,"0")&amp;TEXT(G4137,"0")&amp;TEXT(H4137,"0")</f>
        <v/>
      </c>
      <c r="J4137" s="122">
        <f>IFERROR(XLOOKUP(I4137,'Segment Map'!A:A,'Segment Map'!B:B,"Need Attention"),"Need Attention")</f>
        <v/>
      </c>
      <c r="K4137" s="122">
        <f>IF(E4137&gt;=5000,"🏆 Platinum",IF(E4137&gt;=2000,"🥇 Gold",IF(E4137&gt;=800,"🥈 Silver","🥉 Bronze")))</f>
        <v/>
      </c>
      <c r="L4137" s="125" t="n">
        <v>40863</v>
      </c>
    </row>
    <row r="4138">
      <c r="A4138" s="126" t="n">
        <v>18008</v>
      </c>
      <c r="B4138" s="126" t="inlineStr">
        <is>
          <t>United Kingdom</t>
        </is>
      </c>
      <c r="C4138" s="126" t="n">
        <v>71</v>
      </c>
      <c r="D4138" s="126" t="n">
        <v>9</v>
      </c>
      <c r="E4138" s="127" t="n">
        <v>2116.19</v>
      </c>
      <c r="F4138" s="128">
        <f>IF(C4138&lt;=30,5,IF(C4138&lt;=60,4,IF(C4138&lt;=120,3,IF(C4138&lt;=200,2,1))))</f>
        <v/>
      </c>
      <c r="G4138" s="128">
        <f>IF(D4138&gt;=20,5,IF(D4138&gt;=10,4,IF(D4138&gt;=5,3,IF(D4138&gt;=2,2,1))))</f>
        <v/>
      </c>
      <c r="H4138" s="128">
        <f>IF(E4138&gt;=5000,5,IF(E4138&gt;=2000,4,IF(E4138&gt;=800,3,IF(E4138&gt;=300,2,1))))</f>
        <v/>
      </c>
      <c r="I4138" s="126">
        <f>TEXT(F4138,"0")&amp;TEXT(G4138,"0")&amp;TEXT(H4138,"0")</f>
        <v/>
      </c>
      <c r="J4138" s="126">
        <f>IFERROR(XLOOKUP(I4138,'Segment Map'!A:A,'Segment Map'!B:B,"Need Attention"),"Need Attention")</f>
        <v/>
      </c>
      <c r="K4138" s="126">
        <f>IF(E4138&gt;=5000,"🏆 Platinum",IF(E4138&gt;=2000,"🥇 Gold",IF(E4138&gt;=800,"🥈 Silver","🥉 Bronze")))</f>
        <v/>
      </c>
      <c r="L4138" s="129" t="n">
        <v>40816</v>
      </c>
    </row>
    <row r="4139">
      <c r="A4139" s="122" t="n">
        <v>18009</v>
      </c>
      <c r="B4139" s="122" t="inlineStr">
        <is>
          <t>United Kingdom</t>
        </is>
      </c>
      <c r="C4139" s="122" t="n">
        <v>236</v>
      </c>
      <c r="D4139" s="122" t="n">
        <v>1</v>
      </c>
      <c r="E4139" s="123" t="n">
        <v>257.34</v>
      </c>
      <c r="F4139" s="124">
        <f>IF(C4139&lt;=30,5,IF(C4139&lt;=60,4,IF(C4139&lt;=120,3,IF(C4139&lt;=200,2,1))))</f>
        <v/>
      </c>
      <c r="G4139" s="124">
        <f>IF(D4139&gt;=20,5,IF(D4139&gt;=10,4,IF(D4139&gt;=5,3,IF(D4139&gt;=2,2,1))))</f>
        <v/>
      </c>
      <c r="H4139" s="124">
        <f>IF(E4139&gt;=5000,5,IF(E4139&gt;=2000,4,IF(E4139&gt;=800,3,IF(E4139&gt;=300,2,1))))</f>
        <v/>
      </c>
      <c r="I4139" s="122">
        <f>TEXT(F4139,"0")&amp;TEXT(G4139,"0")&amp;TEXT(H4139,"0")</f>
        <v/>
      </c>
      <c r="J4139" s="122">
        <f>IFERROR(XLOOKUP(I4139,'Segment Map'!A:A,'Segment Map'!B:B,"Need Attention"),"Need Attention")</f>
        <v/>
      </c>
      <c r="K4139" s="122">
        <f>IF(E4139&gt;=5000,"🏆 Platinum",IF(E4139&gt;=2000,"🥇 Gold",IF(E4139&gt;=800,"🥈 Silver","🥉 Bronze")))</f>
        <v/>
      </c>
      <c r="L4139" s="125" t="n">
        <v>40651</v>
      </c>
    </row>
    <row r="4140">
      <c r="A4140" s="126" t="n">
        <v>18010</v>
      </c>
      <c r="B4140" s="126" t="inlineStr">
        <is>
          <t>United Kingdom</t>
        </is>
      </c>
      <c r="C4140" s="126" t="n">
        <v>257</v>
      </c>
      <c r="D4140" s="126" t="n">
        <v>1</v>
      </c>
      <c r="E4140" s="127" t="n">
        <v>174.8</v>
      </c>
      <c r="F4140" s="128">
        <f>IF(C4140&lt;=30,5,IF(C4140&lt;=60,4,IF(C4140&lt;=120,3,IF(C4140&lt;=200,2,1))))</f>
        <v/>
      </c>
      <c r="G4140" s="128">
        <f>IF(D4140&gt;=20,5,IF(D4140&gt;=10,4,IF(D4140&gt;=5,3,IF(D4140&gt;=2,2,1))))</f>
        <v/>
      </c>
      <c r="H4140" s="128">
        <f>IF(E4140&gt;=5000,5,IF(E4140&gt;=2000,4,IF(E4140&gt;=800,3,IF(E4140&gt;=300,2,1))))</f>
        <v/>
      </c>
      <c r="I4140" s="126">
        <f>TEXT(F4140,"0")&amp;TEXT(G4140,"0")&amp;TEXT(H4140,"0")</f>
        <v/>
      </c>
      <c r="J4140" s="126">
        <f>IFERROR(XLOOKUP(I4140,'Segment Map'!A:A,'Segment Map'!B:B,"Need Attention"),"Need Attention")</f>
        <v/>
      </c>
      <c r="K4140" s="126">
        <f>IF(E4140&gt;=5000,"🏆 Platinum",IF(E4140&gt;=2000,"🥇 Gold",IF(E4140&gt;=800,"🥈 Silver","🥉 Bronze")))</f>
        <v/>
      </c>
      <c r="L4140" s="129" t="n">
        <v>40630</v>
      </c>
    </row>
    <row r="4141">
      <c r="A4141" s="122" t="n">
        <v>18011</v>
      </c>
      <c r="B4141" s="122" t="inlineStr">
        <is>
          <t>United Kingdom</t>
        </is>
      </c>
      <c r="C4141" s="122" t="n">
        <v>374</v>
      </c>
      <c r="D4141" s="122" t="n">
        <v>1</v>
      </c>
      <c r="E4141" s="123" t="n">
        <v>102.79</v>
      </c>
      <c r="F4141" s="124">
        <f>IF(C4141&lt;=30,5,IF(C4141&lt;=60,4,IF(C4141&lt;=120,3,IF(C4141&lt;=200,2,1))))</f>
        <v/>
      </c>
      <c r="G4141" s="124">
        <f>IF(D4141&gt;=20,5,IF(D4141&gt;=10,4,IF(D4141&gt;=5,3,IF(D4141&gt;=2,2,1))))</f>
        <v/>
      </c>
      <c r="H4141" s="124">
        <f>IF(E4141&gt;=5000,5,IF(E4141&gt;=2000,4,IF(E4141&gt;=800,3,IF(E4141&gt;=300,2,1))))</f>
        <v/>
      </c>
      <c r="I4141" s="122">
        <f>TEXT(F4141,"0")&amp;TEXT(G4141,"0")&amp;TEXT(H4141,"0")</f>
        <v/>
      </c>
      <c r="J4141" s="122">
        <f>IFERROR(XLOOKUP(I4141,'Segment Map'!A:A,'Segment Map'!B:B,"Need Attention"),"Need Attention")</f>
        <v/>
      </c>
      <c r="K4141" s="122">
        <f>IF(E4141&gt;=5000,"🏆 Platinum",IF(E4141&gt;=2000,"🥇 Gold",IF(E4141&gt;=800,"🥈 Silver","🥉 Bronze")))</f>
        <v/>
      </c>
      <c r="L4141" s="125" t="n">
        <v>40513</v>
      </c>
    </row>
    <row r="4142">
      <c r="A4142" s="126" t="n">
        <v>18013</v>
      </c>
      <c r="B4142" s="126" t="inlineStr">
        <is>
          <t>United Kingdom</t>
        </is>
      </c>
      <c r="C4142" s="126" t="n">
        <v>156</v>
      </c>
      <c r="D4142" s="126" t="n">
        <v>2</v>
      </c>
      <c r="E4142" s="127" t="n">
        <v>187.29</v>
      </c>
      <c r="F4142" s="128">
        <f>IF(C4142&lt;=30,5,IF(C4142&lt;=60,4,IF(C4142&lt;=120,3,IF(C4142&lt;=200,2,1))))</f>
        <v/>
      </c>
      <c r="G4142" s="128">
        <f>IF(D4142&gt;=20,5,IF(D4142&gt;=10,4,IF(D4142&gt;=5,3,IF(D4142&gt;=2,2,1))))</f>
        <v/>
      </c>
      <c r="H4142" s="128">
        <f>IF(E4142&gt;=5000,5,IF(E4142&gt;=2000,4,IF(E4142&gt;=800,3,IF(E4142&gt;=300,2,1))))</f>
        <v/>
      </c>
      <c r="I4142" s="126">
        <f>TEXT(F4142,"0")&amp;TEXT(G4142,"0")&amp;TEXT(H4142,"0")</f>
        <v/>
      </c>
      <c r="J4142" s="126">
        <f>IFERROR(XLOOKUP(I4142,'Segment Map'!A:A,'Segment Map'!B:B,"Need Attention"),"Need Attention")</f>
        <v/>
      </c>
      <c r="K4142" s="126">
        <f>IF(E4142&gt;=5000,"🏆 Platinum",IF(E4142&gt;=2000,"🥇 Gold",IF(E4142&gt;=800,"🥈 Silver","🥉 Bronze")))</f>
        <v/>
      </c>
      <c r="L4142" s="129" t="n">
        <v>40731</v>
      </c>
    </row>
    <row r="4143">
      <c r="A4143" s="122" t="n">
        <v>18014</v>
      </c>
      <c r="B4143" s="122" t="inlineStr">
        <is>
          <t>United Kingdom</t>
        </is>
      </c>
      <c r="C4143" s="122" t="n">
        <v>29</v>
      </c>
      <c r="D4143" s="122" t="n">
        <v>1</v>
      </c>
      <c r="E4143" s="123" t="n">
        <v>166.42</v>
      </c>
      <c r="F4143" s="124">
        <f>IF(C4143&lt;=30,5,IF(C4143&lt;=60,4,IF(C4143&lt;=120,3,IF(C4143&lt;=200,2,1))))</f>
        <v/>
      </c>
      <c r="G4143" s="124">
        <f>IF(D4143&gt;=20,5,IF(D4143&gt;=10,4,IF(D4143&gt;=5,3,IF(D4143&gt;=2,2,1))))</f>
        <v/>
      </c>
      <c r="H4143" s="124">
        <f>IF(E4143&gt;=5000,5,IF(E4143&gt;=2000,4,IF(E4143&gt;=800,3,IF(E4143&gt;=300,2,1))))</f>
        <v/>
      </c>
      <c r="I4143" s="122">
        <f>TEXT(F4143,"0")&amp;TEXT(G4143,"0")&amp;TEXT(H4143,"0")</f>
        <v/>
      </c>
      <c r="J4143" s="122">
        <f>IFERROR(XLOOKUP(I4143,'Segment Map'!A:A,'Segment Map'!B:B,"Need Attention"),"Need Attention")</f>
        <v/>
      </c>
      <c r="K4143" s="122">
        <f>IF(E4143&gt;=5000,"🏆 Platinum",IF(E4143&gt;=2000,"🥇 Gold",IF(E4143&gt;=800,"🥈 Silver","🥉 Bronze")))</f>
        <v/>
      </c>
      <c r="L4143" s="125" t="n">
        <v>40858</v>
      </c>
    </row>
    <row r="4144">
      <c r="A4144" s="126" t="n">
        <v>18015</v>
      </c>
      <c r="B4144" s="126" t="inlineStr">
        <is>
          <t>United Kingdom</t>
        </is>
      </c>
      <c r="C4144" s="126" t="n">
        <v>5</v>
      </c>
      <c r="D4144" s="126" t="n">
        <v>1</v>
      </c>
      <c r="E4144" s="127" t="n">
        <v>120.03</v>
      </c>
      <c r="F4144" s="128">
        <f>IF(C4144&lt;=30,5,IF(C4144&lt;=60,4,IF(C4144&lt;=120,3,IF(C4144&lt;=200,2,1))))</f>
        <v/>
      </c>
      <c r="G4144" s="128">
        <f>IF(D4144&gt;=20,5,IF(D4144&gt;=10,4,IF(D4144&gt;=5,3,IF(D4144&gt;=2,2,1))))</f>
        <v/>
      </c>
      <c r="H4144" s="128">
        <f>IF(E4144&gt;=5000,5,IF(E4144&gt;=2000,4,IF(E4144&gt;=800,3,IF(E4144&gt;=300,2,1))))</f>
        <v/>
      </c>
      <c r="I4144" s="126">
        <f>TEXT(F4144,"0")&amp;TEXT(G4144,"0")&amp;TEXT(H4144,"0")</f>
        <v/>
      </c>
      <c r="J4144" s="126">
        <f>IFERROR(XLOOKUP(I4144,'Segment Map'!A:A,'Segment Map'!B:B,"Need Attention"),"Need Attention")</f>
        <v/>
      </c>
      <c r="K4144" s="126">
        <f>IF(E4144&gt;=5000,"🏆 Platinum",IF(E4144&gt;=2000,"🥇 Gold",IF(E4144&gt;=800,"🥈 Silver","🥉 Bronze")))</f>
        <v/>
      </c>
      <c r="L4144" s="129" t="n">
        <v>40882</v>
      </c>
    </row>
    <row r="4145">
      <c r="A4145" s="122" t="n">
        <v>18016</v>
      </c>
      <c r="B4145" s="122" t="inlineStr">
        <is>
          <t>United Kingdom</t>
        </is>
      </c>
      <c r="C4145" s="122" t="n">
        <v>33</v>
      </c>
      <c r="D4145" s="122" t="n">
        <v>5</v>
      </c>
      <c r="E4145" s="123" t="n">
        <v>1483.56</v>
      </c>
      <c r="F4145" s="124">
        <f>IF(C4145&lt;=30,5,IF(C4145&lt;=60,4,IF(C4145&lt;=120,3,IF(C4145&lt;=200,2,1))))</f>
        <v/>
      </c>
      <c r="G4145" s="124">
        <f>IF(D4145&gt;=20,5,IF(D4145&gt;=10,4,IF(D4145&gt;=5,3,IF(D4145&gt;=2,2,1))))</f>
        <v/>
      </c>
      <c r="H4145" s="124">
        <f>IF(E4145&gt;=5000,5,IF(E4145&gt;=2000,4,IF(E4145&gt;=800,3,IF(E4145&gt;=300,2,1))))</f>
        <v/>
      </c>
      <c r="I4145" s="122">
        <f>TEXT(F4145,"0")&amp;TEXT(G4145,"0")&amp;TEXT(H4145,"0")</f>
        <v/>
      </c>
      <c r="J4145" s="122">
        <f>IFERROR(XLOOKUP(I4145,'Segment Map'!A:A,'Segment Map'!B:B,"Need Attention"),"Need Attention")</f>
        <v/>
      </c>
      <c r="K4145" s="122">
        <f>IF(E4145&gt;=5000,"🏆 Platinum",IF(E4145&gt;=2000,"🥇 Gold",IF(E4145&gt;=800,"🥈 Silver","🥉 Bronze")))</f>
        <v/>
      </c>
      <c r="L4145" s="125" t="n">
        <v>40854</v>
      </c>
    </row>
    <row r="4146">
      <c r="A4146" s="126" t="n">
        <v>18017</v>
      </c>
      <c r="B4146" s="126" t="inlineStr">
        <is>
          <t>United Kingdom</t>
        </is>
      </c>
      <c r="C4146" s="126" t="n">
        <v>82</v>
      </c>
      <c r="D4146" s="126" t="n">
        <v>3</v>
      </c>
      <c r="E4146" s="127" t="n">
        <v>523</v>
      </c>
      <c r="F4146" s="128">
        <f>IF(C4146&lt;=30,5,IF(C4146&lt;=60,4,IF(C4146&lt;=120,3,IF(C4146&lt;=200,2,1))))</f>
        <v/>
      </c>
      <c r="G4146" s="128">
        <f>IF(D4146&gt;=20,5,IF(D4146&gt;=10,4,IF(D4146&gt;=5,3,IF(D4146&gt;=2,2,1))))</f>
        <v/>
      </c>
      <c r="H4146" s="128">
        <f>IF(E4146&gt;=5000,5,IF(E4146&gt;=2000,4,IF(E4146&gt;=800,3,IF(E4146&gt;=300,2,1))))</f>
        <v/>
      </c>
      <c r="I4146" s="126">
        <f>TEXT(F4146,"0")&amp;TEXT(G4146,"0")&amp;TEXT(H4146,"0")</f>
        <v/>
      </c>
      <c r="J4146" s="126">
        <f>IFERROR(XLOOKUP(I4146,'Segment Map'!A:A,'Segment Map'!B:B,"Need Attention"),"Need Attention")</f>
        <v/>
      </c>
      <c r="K4146" s="126">
        <f>IF(E4146&gt;=5000,"🏆 Platinum",IF(E4146&gt;=2000,"🥇 Gold",IF(E4146&gt;=800,"🥈 Silver","🥉 Bronze")))</f>
        <v/>
      </c>
      <c r="L4146" s="129" t="n">
        <v>40805</v>
      </c>
    </row>
    <row r="4147">
      <c r="A4147" s="122" t="n">
        <v>18018</v>
      </c>
      <c r="B4147" s="122" t="inlineStr">
        <is>
          <t>United Kingdom</t>
        </is>
      </c>
      <c r="C4147" s="122" t="n">
        <v>109</v>
      </c>
      <c r="D4147" s="122" t="n">
        <v>2</v>
      </c>
      <c r="E4147" s="123" t="n">
        <v>122.14</v>
      </c>
      <c r="F4147" s="124">
        <f>IF(C4147&lt;=30,5,IF(C4147&lt;=60,4,IF(C4147&lt;=120,3,IF(C4147&lt;=200,2,1))))</f>
        <v/>
      </c>
      <c r="G4147" s="124">
        <f>IF(D4147&gt;=20,5,IF(D4147&gt;=10,4,IF(D4147&gt;=5,3,IF(D4147&gt;=2,2,1))))</f>
        <v/>
      </c>
      <c r="H4147" s="124">
        <f>IF(E4147&gt;=5000,5,IF(E4147&gt;=2000,4,IF(E4147&gt;=800,3,IF(E4147&gt;=300,2,1))))</f>
        <v/>
      </c>
      <c r="I4147" s="122">
        <f>TEXT(F4147,"0")&amp;TEXT(G4147,"0")&amp;TEXT(H4147,"0")</f>
        <v/>
      </c>
      <c r="J4147" s="122">
        <f>IFERROR(XLOOKUP(I4147,'Segment Map'!A:A,'Segment Map'!B:B,"Need Attention"),"Need Attention")</f>
        <v/>
      </c>
      <c r="K4147" s="122">
        <f>IF(E4147&gt;=5000,"🏆 Platinum",IF(E4147&gt;=2000,"🥇 Gold",IF(E4147&gt;=800,"🥈 Silver","🥉 Bronze")))</f>
        <v/>
      </c>
      <c r="L4147" s="125" t="n">
        <v>40778</v>
      </c>
    </row>
    <row r="4148">
      <c r="A4148" s="126" t="n">
        <v>18019</v>
      </c>
      <c r="B4148" s="126" t="inlineStr">
        <is>
          <t>United Kingdom</t>
        </is>
      </c>
      <c r="C4148" s="126" t="n">
        <v>52</v>
      </c>
      <c r="D4148" s="126" t="n">
        <v>1</v>
      </c>
      <c r="E4148" s="127" t="n">
        <v>38.45</v>
      </c>
      <c r="F4148" s="128">
        <f>IF(C4148&lt;=30,5,IF(C4148&lt;=60,4,IF(C4148&lt;=120,3,IF(C4148&lt;=200,2,1))))</f>
        <v/>
      </c>
      <c r="G4148" s="128">
        <f>IF(D4148&gt;=20,5,IF(D4148&gt;=10,4,IF(D4148&gt;=5,3,IF(D4148&gt;=2,2,1))))</f>
        <v/>
      </c>
      <c r="H4148" s="128">
        <f>IF(E4148&gt;=5000,5,IF(E4148&gt;=2000,4,IF(E4148&gt;=800,3,IF(E4148&gt;=300,2,1))))</f>
        <v/>
      </c>
      <c r="I4148" s="126">
        <f>TEXT(F4148,"0")&amp;TEXT(G4148,"0")&amp;TEXT(H4148,"0")</f>
        <v/>
      </c>
      <c r="J4148" s="126">
        <f>IFERROR(XLOOKUP(I4148,'Segment Map'!A:A,'Segment Map'!B:B,"Need Attention"),"Need Attention")</f>
        <v/>
      </c>
      <c r="K4148" s="126">
        <f>IF(E4148&gt;=5000,"🏆 Platinum",IF(E4148&gt;=2000,"🥇 Gold",IF(E4148&gt;=800,"🥈 Silver","🥉 Bronze")))</f>
        <v/>
      </c>
      <c r="L4148" s="129" t="n">
        <v>40835</v>
      </c>
    </row>
    <row r="4149">
      <c r="A4149" s="122" t="n">
        <v>18022</v>
      </c>
      <c r="B4149" s="122" t="inlineStr">
        <is>
          <t>United Kingdom</t>
        </is>
      </c>
      <c r="C4149" s="122" t="n">
        <v>36</v>
      </c>
      <c r="D4149" s="122" t="n">
        <v>1</v>
      </c>
      <c r="E4149" s="123" t="n">
        <v>668.11</v>
      </c>
      <c r="F4149" s="124">
        <f>IF(C4149&lt;=30,5,IF(C4149&lt;=60,4,IF(C4149&lt;=120,3,IF(C4149&lt;=200,2,1))))</f>
        <v/>
      </c>
      <c r="G4149" s="124">
        <f>IF(D4149&gt;=20,5,IF(D4149&gt;=10,4,IF(D4149&gt;=5,3,IF(D4149&gt;=2,2,1))))</f>
        <v/>
      </c>
      <c r="H4149" s="124">
        <f>IF(E4149&gt;=5000,5,IF(E4149&gt;=2000,4,IF(E4149&gt;=800,3,IF(E4149&gt;=300,2,1))))</f>
        <v/>
      </c>
      <c r="I4149" s="122">
        <f>TEXT(F4149,"0")&amp;TEXT(G4149,"0")&amp;TEXT(H4149,"0")</f>
        <v/>
      </c>
      <c r="J4149" s="122">
        <f>IFERROR(XLOOKUP(I4149,'Segment Map'!A:A,'Segment Map'!B:B,"Need Attention"),"Need Attention")</f>
        <v/>
      </c>
      <c r="K4149" s="122">
        <f>IF(E4149&gt;=5000,"🏆 Platinum",IF(E4149&gt;=2000,"🥇 Gold",IF(E4149&gt;=800,"🥈 Silver","🥉 Bronze")))</f>
        <v/>
      </c>
      <c r="L4149" s="125" t="n">
        <v>40851</v>
      </c>
    </row>
    <row r="4150">
      <c r="A4150" s="126" t="n">
        <v>18024</v>
      </c>
      <c r="B4150" s="126" t="inlineStr">
        <is>
          <t>United Kingdom</t>
        </is>
      </c>
      <c r="C4150" s="126" t="n">
        <v>153</v>
      </c>
      <c r="D4150" s="126" t="n">
        <v>2</v>
      </c>
      <c r="E4150" s="127" t="n">
        <v>389.78</v>
      </c>
      <c r="F4150" s="128">
        <f>IF(C4150&lt;=30,5,IF(C4150&lt;=60,4,IF(C4150&lt;=120,3,IF(C4150&lt;=200,2,1))))</f>
        <v/>
      </c>
      <c r="G4150" s="128">
        <f>IF(D4150&gt;=20,5,IF(D4150&gt;=10,4,IF(D4150&gt;=5,3,IF(D4150&gt;=2,2,1))))</f>
        <v/>
      </c>
      <c r="H4150" s="128">
        <f>IF(E4150&gt;=5000,5,IF(E4150&gt;=2000,4,IF(E4150&gt;=800,3,IF(E4150&gt;=300,2,1))))</f>
        <v/>
      </c>
      <c r="I4150" s="126">
        <f>TEXT(F4150,"0")&amp;TEXT(G4150,"0")&amp;TEXT(H4150,"0")</f>
        <v/>
      </c>
      <c r="J4150" s="126">
        <f>IFERROR(XLOOKUP(I4150,'Segment Map'!A:A,'Segment Map'!B:B,"Need Attention"),"Need Attention")</f>
        <v/>
      </c>
      <c r="K4150" s="126">
        <f>IF(E4150&gt;=5000,"🏆 Platinum",IF(E4150&gt;=2000,"🥇 Gold",IF(E4150&gt;=800,"🥈 Silver","🥉 Bronze")))</f>
        <v/>
      </c>
      <c r="L4150" s="129" t="n">
        <v>40734</v>
      </c>
    </row>
    <row r="4151">
      <c r="A4151" s="122" t="n">
        <v>18027</v>
      </c>
      <c r="B4151" s="122" t="inlineStr">
        <is>
          <t>United Kingdom</t>
        </is>
      </c>
      <c r="C4151" s="122" t="n">
        <v>99</v>
      </c>
      <c r="D4151" s="122" t="n">
        <v>1</v>
      </c>
      <c r="E4151" s="123" t="n">
        <v>115.31</v>
      </c>
      <c r="F4151" s="124">
        <f>IF(C4151&lt;=30,5,IF(C4151&lt;=60,4,IF(C4151&lt;=120,3,IF(C4151&lt;=200,2,1))))</f>
        <v/>
      </c>
      <c r="G4151" s="124">
        <f>IF(D4151&gt;=20,5,IF(D4151&gt;=10,4,IF(D4151&gt;=5,3,IF(D4151&gt;=2,2,1))))</f>
        <v/>
      </c>
      <c r="H4151" s="124">
        <f>IF(E4151&gt;=5000,5,IF(E4151&gt;=2000,4,IF(E4151&gt;=800,3,IF(E4151&gt;=300,2,1))))</f>
        <v/>
      </c>
      <c r="I4151" s="122">
        <f>TEXT(F4151,"0")&amp;TEXT(G4151,"0")&amp;TEXT(H4151,"0")</f>
        <v/>
      </c>
      <c r="J4151" s="122">
        <f>IFERROR(XLOOKUP(I4151,'Segment Map'!A:A,'Segment Map'!B:B,"Need Attention"),"Need Attention")</f>
        <v/>
      </c>
      <c r="K4151" s="122">
        <f>IF(E4151&gt;=5000,"🏆 Platinum",IF(E4151&gt;=2000,"🥇 Gold",IF(E4151&gt;=800,"🥈 Silver","🥉 Bronze")))</f>
        <v/>
      </c>
      <c r="L4151" s="125" t="n">
        <v>40788</v>
      </c>
    </row>
    <row r="4152">
      <c r="A4152" s="126" t="n">
        <v>18030</v>
      </c>
      <c r="B4152" s="126" t="inlineStr">
        <is>
          <t>United Kingdom</t>
        </is>
      </c>
      <c r="C4152" s="126" t="n">
        <v>5</v>
      </c>
      <c r="D4152" s="126" t="n">
        <v>2</v>
      </c>
      <c r="E4152" s="127" t="n">
        <v>230.65</v>
      </c>
      <c r="F4152" s="128">
        <f>IF(C4152&lt;=30,5,IF(C4152&lt;=60,4,IF(C4152&lt;=120,3,IF(C4152&lt;=200,2,1))))</f>
        <v/>
      </c>
      <c r="G4152" s="128">
        <f>IF(D4152&gt;=20,5,IF(D4152&gt;=10,4,IF(D4152&gt;=5,3,IF(D4152&gt;=2,2,1))))</f>
        <v/>
      </c>
      <c r="H4152" s="128">
        <f>IF(E4152&gt;=5000,5,IF(E4152&gt;=2000,4,IF(E4152&gt;=800,3,IF(E4152&gt;=300,2,1))))</f>
        <v/>
      </c>
      <c r="I4152" s="126">
        <f>TEXT(F4152,"0")&amp;TEXT(G4152,"0")&amp;TEXT(H4152,"0")</f>
        <v/>
      </c>
      <c r="J4152" s="126">
        <f>IFERROR(XLOOKUP(I4152,'Segment Map'!A:A,'Segment Map'!B:B,"Need Attention"),"Need Attention")</f>
        <v/>
      </c>
      <c r="K4152" s="126">
        <f>IF(E4152&gt;=5000,"🏆 Platinum",IF(E4152&gt;=2000,"🥇 Gold",IF(E4152&gt;=800,"🥈 Silver","🥉 Bronze")))</f>
        <v/>
      </c>
      <c r="L4152" s="129" t="n">
        <v>40882</v>
      </c>
    </row>
    <row r="4153">
      <c r="A4153" s="122" t="n">
        <v>18032</v>
      </c>
      <c r="B4153" s="122" t="inlineStr">
        <is>
          <t>United Kingdom</t>
        </is>
      </c>
      <c r="C4153" s="122" t="n">
        <v>335</v>
      </c>
      <c r="D4153" s="122" t="n">
        <v>1</v>
      </c>
      <c r="E4153" s="123" t="n">
        <v>73.5</v>
      </c>
      <c r="F4153" s="124">
        <f>IF(C4153&lt;=30,5,IF(C4153&lt;=60,4,IF(C4153&lt;=120,3,IF(C4153&lt;=200,2,1))))</f>
        <v/>
      </c>
      <c r="G4153" s="124">
        <f>IF(D4153&gt;=20,5,IF(D4153&gt;=10,4,IF(D4153&gt;=5,3,IF(D4153&gt;=2,2,1))))</f>
        <v/>
      </c>
      <c r="H4153" s="124">
        <f>IF(E4153&gt;=5000,5,IF(E4153&gt;=2000,4,IF(E4153&gt;=800,3,IF(E4153&gt;=300,2,1))))</f>
        <v/>
      </c>
      <c r="I4153" s="122">
        <f>TEXT(F4153,"0")&amp;TEXT(G4153,"0")&amp;TEXT(H4153,"0")</f>
        <v/>
      </c>
      <c r="J4153" s="122">
        <f>IFERROR(XLOOKUP(I4153,'Segment Map'!A:A,'Segment Map'!B:B,"Need Attention"),"Need Attention")</f>
        <v/>
      </c>
      <c r="K4153" s="122">
        <f>IF(E4153&gt;=5000,"🏆 Platinum",IF(E4153&gt;=2000,"🥇 Gold",IF(E4153&gt;=800,"🥈 Silver","🥉 Bronze")))</f>
        <v/>
      </c>
      <c r="L4153" s="125" t="n">
        <v>40552</v>
      </c>
    </row>
    <row r="4154">
      <c r="A4154" s="126" t="n">
        <v>18033</v>
      </c>
      <c r="B4154" s="126" t="inlineStr">
        <is>
          <t>United Kingdom</t>
        </is>
      </c>
      <c r="C4154" s="126" t="n">
        <v>66</v>
      </c>
      <c r="D4154" s="126" t="n">
        <v>1</v>
      </c>
      <c r="E4154" s="127" t="n">
        <v>97.97</v>
      </c>
      <c r="F4154" s="128">
        <f>IF(C4154&lt;=30,5,IF(C4154&lt;=60,4,IF(C4154&lt;=120,3,IF(C4154&lt;=200,2,1))))</f>
        <v/>
      </c>
      <c r="G4154" s="128">
        <f>IF(D4154&gt;=20,5,IF(D4154&gt;=10,4,IF(D4154&gt;=5,3,IF(D4154&gt;=2,2,1))))</f>
        <v/>
      </c>
      <c r="H4154" s="128">
        <f>IF(E4154&gt;=5000,5,IF(E4154&gt;=2000,4,IF(E4154&gt;=800,3,IF(E4154&gt;=300,2,1))))</f>
        <v/>
      </c>
      <c r="I4154" s="126">
        <f>TEXT(F4154,"0")&amp;TEXT(G4154,"0")&amp;TEXT(H4154,"0")</f>
        <v/>
      </c>
      <c r="J4154" s="126">
        <f>IFERROR(XLOOKUP(I4154,'Segment Map'!A:A,'Segment Map'!B:B,"Need Attention"),"Need Attention")</f>
        <v/>
      </c>
      <c r="K4154" s="126">
        <f>IF(E4154&gt;=5000,"🏆 Platinum",IF(E4154&gt;=2000,"🥇 Gold",IF(E4154&gt;=800,"🥈 Silver","🥉 Bronze")))</f>
        <v/>
      </c>
      <c r="L4154" s="129" t="n">
        <v>40821</v>
      </c>
    </row>
    <row r="4155">
      <c r="A4155" s="122" t="n">
        <v>18034</v>
      </c>
      <c r="B4155" s="122" t="inlineStr">
        <is>
          <t>United Kingdom</t>
        </is>
      </c>
      <c r="C4155" s="122" t="n">
        <v>22</v>
      </c>
      <c r="D4155" s="122" t="n">
        <v>2</v>
      </c>
      <c r="E4155" s="123" t="n">
        <v>422.88</v>
      </c>
      <c r="F4155" s="124">
        <f>IF(C4155&lt;=30,5,IF(C4155&lt;=60,4,IF(C4155&lt;=120,3,IF(C4155&lt;=200,2,1))))</f>
        <v/>
      </c>
      <c r="G4155" s="124">
        <f>IF(D4155&gt;=20,5,IF(D4155&gt;=10,4,IF(D4155&gt;=5,3,IF(D4155&gt;=2,2,1))))</f>
        <v/>
      </c>
      <c r="H4155" s="124">
        <f>IF(E4155&gt;=5000,5,IF(E4155&gt;=2000,4,IF(E4155&gt;=800,3,IF(E4155&gt;=300,2,1))))</f>
        <v/>
      </c>
      <c r="I4155" s="122">
        <f>TEXT(F4155,"0")&amp;TEXT(G4155,"0")&amp;TEXT(H4155,"0")</f>
        <v/>
      </c>
      <c r="J4155" s="122">
        <f>IFERROR(XLOOKUP(I4155,'Segment Map'!A:A,'Segment Map'!B:B,"Need Attention"),"Need Attention")</f>
        <v/>
      </c>
      <c r="K4155" s="122">
        <f>IF(E4155&gt;=5000,"🏆 Platinum",IF(E4155&gt;=2000,"🥇 Gold",IF(E4155&gt;=800,"🥈 Silver","🥉 Bronze")))</f>
        <v/>
      </c>
      <c r="L4155" s="125" t="n">
        <v>40865</v>
      </c>
    </row>
    <row r="4156">
      <c r="A4156" s="126" t="n">
        <v>18035</v>
      </c>
      <c r="B4156" s="126" t="inlineStr">
        <is>
          <t>United Kingdom</t>
        </is>
      </c>
      <c r="C4156" s="126" t="n">
        <v>36</v>
      </c>
      <c r="D4156" s="126" t="n">
        <v>3</v>
      </c>
      <c r="E4156" s="127" t="n">
        <v>730.4</v>
      </c>
      <c r="F4156" s="128">
        <f>IF(C4156&lt;=30,5,IF(C4156&lt;=60,4,IF(C4156&lt;=120,3,IF(C4156&lt;=200,2,1))))</f>
        <v/>
      </c>
      <c r="G4156" s="128">
        <f>IF(D4156&gt;=20,5,IF(D4156&gt;=10,4,IF(D4156&gt;=5,3,IF(D4156&gt;=2,2,1))))</f>
        <v/>
      </c>
      <c r="H4156" s="128">
        <f>IF(E4156&gt;=5000,5,IF(E4156&gt;=2000,4,IF(E4156&gt;=800,3,IF(E4156&gt;=300,2,1))))</f>
        <v/>
      </c>
      <c r="I4156" s="126">
        <f>TEXT(F4156,"0")&amp;TEXT(G4156,"0")&amp;TEXT(H4156,"0")</f>
        <v/>
      </c>
      <c r="J4156" s="126">
        <f>IFERROR(XLOOKUP(I4156,'Segment Map'!A:A,'Segment Map'!B:B,"Need Attention"),"Need Attention")</f>
        <v/>
      </c>
      <c r="K4156" s="126">
        <f>IF(E4156&gt;=5000,"🏆 Platinum",IF(E4156&gt;=2000,"🥇 Gold",IF(E4156&gt;=800,"🥈 Silver","🥉 Bronze")))</f>
        <v/>
      </c>
      <c r="L4156" s="129" t="n">
        <v>40851</v>
      </c>
    </row>
    <row r="4157">
      <c r="A4157" s="122" t="n">
        <v>18036</v>
      </c>
      <c r="B4157" s="122" t="inlineStr">
        <is>
          <t>United Kingdom</t>
        </is>
      </c>
      <c r="C4157" s="122" t="n">
        <v>33</v>
      </c>
      <c r="D4157" s="122" t="n">
        <v>3</v>
      </c>
      <c r="E4157" s="123" t="n">
        <v>405.62</v>
      </c>
      <c r="F4157" s="124">
        <f>IF(C4157&lt;=30,5,IF(C4157&lt;=60,4,IF(C4157&lt;=120,3,IF(C4157&lt;=200,2,1))))</f>
        <v/>
      </c>
      <c r="G4157" s="124">
        <f>IF(D4157&gt;=20,5,IF(D4157&gt;=10,4,IF(D4157&gt;=5,3,IF(D4157&gt;=2,2,1))))</f>
        <v/>
      </c>
      <c r="H4157" s="124">
        <f>IF(E4157&gt;=5000,5,IF(E4157&gt;=2000,4,IF(E4157&gt;=800,3,IF(E4157&gt;=300,2,1))))</f>
        <v/>
      </c>
      <c r="I4157" s="122">
        <f>TEXT(F4157,"0")&amp;TEXT(G4157,"0")&amp;TEXT(H4157,"0")</f>
        <v/>
      </c>
      <c r="J4157" s="122">
        <f>IFERROR(XLOOKUP(I4157,'Segment Map'!A:A,'Segment Map'!B:B,"Need Attention"),"Need Attention")</f>
        <v/>
      </c>
      <c r="K4157" s="122">
        <f>IF(E4157&gt;=5000,"🏆 Platinum",IF(E4157&gt;=2000,"🥇 Gold",IF(E4157&gt;=800,"🥈 Silver","🥉 Bronze")))</f>
        <v/>
      </c>
      <c r="L4157" s="125" t="n">
        <v>40854</v>
      </c>
    </row>
    <row r="4158">
      <c r="A4158" s="126" t="n">
        <v>18037</v>
      </c>
      <c r="B4158" s="126" t="inlineStr">
        <is>
          <t>United Kingdom</t>
        </is>
      </c>
      <c r="C4158" s="126" t="n">
        <v>155</v>
      </c>
      <c r="D4158" s="126" t="n">
        <v>6</v>
      </c>
      <c r="E4158" s="127" t="n">
        <v>70.02</v>
      </c>
      <c r="F4158" s="128">
        <f>IF(C4158&lt;=30,5,IF(C4158&lt;=60,4,IF(C4158&lt;=120,3,IF(C4158&lt;=200,2,1))))</f>
        <v/>
      </c>
      <c r="G4158" s="128">
        <f>IF(D4158&gt;=20,5,IF(D4158&gt;=10,4,IF(D4158&gt;=5,3,IF(D4158&gt;=2,2,1))))</f>
        <v/>
      </c>
      <c r="H4158" s="128">
        <f>IF(E4158&gt;=5000,5,IF(E4158&gt;=2000,4,IF(E4158&gt;=800,3,IF(E4158&gt;=300,2,1))))</f>
        <v/>
      </c>
      <c r="I4158" s="126">
        <f>TEXT(F4158,"0")&amp;TEXT(G4158,"0")&amp;TEXT(H4158,"0")</f>
        <v/>
      </c>
      <c r="J4158" s="126">
        <f>IFERROR(XLOOKUP(I4158,'Segment Map'!A:A,'Segment Map'!B:B,"Need Attention"),"Need Attention")</f>
        <v/>
      </c>
      <c r="K4158" s="126">
        <f>IF(E4158&gt;=5000,"🏆 Platinum",IF(E4158&gt;=2000,"🥇 Gold",IF(E4158&gt;=800,"🥈 Silver","🥉 Bronze")))</f>
        <v/>
      </c>
      <c r="L4158" s="129" t="n">
        <v>40732</v>
      </c>
    </row>
    <row r="4159">
      <c r="A4159" s="122" t="n">
        <v>18040</v>
      </c>
      <c r="B4159" s="122" t="inlineStr">
        <is>
          <t>United Kingdom</t>
        </is>
      </c>
      <c r="C4159" s="122" t="n">
        <v>20</v>
      </c>
      <c r="D4159" s="122" t="n">
        <v>2</v>
      </c>
      <c r="E4159" s="123" t="n">
        <v>357.2</v>
      </c>
      <c r="F4159" s="124">
        <f>IF(C4159&lt;=30,5,IF(C4159&lt;=60,4,IF(C4159&lt;=120,3,IF(C4159&lt;=200,2,1))))</f>
        <v/>
      </c>
      <c r="G4159" s="124">
        <f>IF(D4159&gt;=20,5,IF(D4159&gt;=10,4,IF(D4159&gt;=5,3,IF(D4159&gt;=2,2,1))))</f>
        <v/>
      </c>
      <c r="H4159" s="124">
        <f>IF(E4159&gt;=5000,5,IF(E4159&gt;=2000,4,IF(E4159&gt;=800,3,IF(E4159&gt;=300,2,1))))</f>
        <v/>
      </c>
      <c r="I4159" s="122">
        <f>TEXT(F4159,"0")&amp;TEXT(G4159,"0")&amp;TEXT(H4159,"0")</f>
        <v/>
      </c>
      <c r="J4159" s="122">
        <f>IFERROR(XLOOKUP(I4159,'Segment Map'!A:A,'Segment Map'!B:B,"Need Attention"),"Need Attention")</f>
        <v/>
      </c>
      <c r="K4159" s="122">
        <f>IF(E4159&gt;=5000,"🏆 Platinum",IF(E4159&gt;=2000,"🥇 Gold",IF(E4159&gt;=800,"🥈 Silver","🥉 Bronze")))</f>
        <v/>
      </c>
      <c r="L4159" s="125" t="n">
        <v>40867</v>
      </c>
    </row>
    <row r="4160">
      <c r="A4160" s="126" t="n">
        <v>18041</v>
      </c>
      <c r="B4160" s="126" t="inlineStr">
        <is>
          <t>United Kingdom</t>
        </is>
      </c>
      <c r="C4160" s="126" t="n">
        <v>12</v>
      </c>
      <c r="D4160" s="126" t="n">
        <v>21</v>
      </c>
      <c r="E4160" s="127" t="n">
        <v>4183.39</v>
      </c>
      <c r="F4160" s="128">
        <f>IF(C4160&lt;=30,5,IF(C4160&lt;=60,4,IF(C4160&lt;=120,3,IF(C4160&lt;=200,2,1))))</f>
        <v/>
      </c>
      <c r="G4160" s="128">
        <f>IF(D4160&gt;=20,5,IF(D4160&gt;=10,4,IF(D4160&gt;=5,3,IF(D4160&gt;=2,2,1))))</f>
        <v/>
      </c>
      <c r="H4160" s="128">
        <f>IF(E4160&gt;=5000,5,IF(E4160&gt;=2000,4,IF(E4160&gt;=800,3,IF(E4160&gt;=300,2,1))))</f>
        <v/>
      </c>
      <c r="I4160" s="126">
        <f>TEXT(F4160,"0")&amp;TEXT(G4160,"0")&amp;TEXT(H4160,"0")</f>
        <v/>
      </c>
      <c r="J4160" s="126">
        <f>IFERROR(XLOOKUP(I4160,'Segment Map'!A:A,'Segment Map'!B:B,"Need Attention"),"Need Attention")</f>
        <v/>
      </c>
      <c r="K4160" s="126">
        <f>IF(E4160&gt;=5000,"🏆 Platinum",IF(E4160&gt;=2000,"🥇 Gold",IF(E4160&gt;=800,"🥈 Silver","🥉 Bronze")))</f>
        <v/>
      </c>
      <c r="L4160" s="129" t="n">
        <v>40875</v>
      </c>
    </row>
    <row r="4161">
      <c r="A4161" s="122" t="n">
        <v>18042</v>
      </c>
      <c r="B4161" s="122" t="inlineStr">
        <is>
          <t>United Kingdom</t>
        </is>
      </c>
      <c r="C4161" s="122" t="n">
        <v>54</v>
      </c>
      <c r="D4161" s="122" t="n">
        <v>1</v>
      </c>
      <c r="E4161" s="123" t="n">
        <v>165.05</v>
      </c>
      <c r="F4161" s="124">
        <f>IF(C4161&lt;=30,5,IF(C4161&lt;=60,4,IF(C4161&lt;=120,3,IF(C4161&lt;=200,2,1))))</f>
        <v/>
      </c>
      <c r="G4161" s="124">
        <f>IF(D4161&gt;=20,5,IF(D4161&gt;=10,4,IF(D4161&gt;=5,3,IF(D4161&gt;=2,2,1))))</f>
        <v/>
      </c>
      <c r="H4161" s="124">
        <f>IF(E4161&gt;=5000,5,IF(E4161&gt;=2000,4,IF(E4161&gt;=800,3,IF(E4161&gt;=300,2,1))))</f>
        <v/>
      </c>
      <c r="I4161" s="122">
        <f>TEXT(F4161,"0")&amp;TEXT(G4161,"0")&amp;TEXT(H4161,"0")</f>
        <v/>
      </c>
      <c r="J4161" s="122">
        <f>IFERROR(XLOOKUP(I4161,'Segment Map'!A:A,'Segment Map'!B:B,"Need Attention"),"Need Attention")</f>
        <v/>
      </c>
      <c r="K4161" s="122">
        <f>IF(E4161&gt;=5000,"🏆 Platinum",IF(E4161&gt;=2000,"🥇 Gold",IF(E4161&gt;=800,"🥈 Silver","🥉 Bronze")))</f>
        <v/>
      </c>
      <c r="L4161" s="125" t="n">
        <v>40833</v>
      </c>
    </row>
    <row r="4162">
      <c r="A4162" s="126" t="n">
        <v>18043</v>
      </c>
      <c r="B4162" s="126" t="inlineStr">
        <is>
          <t>United Kingdom</t>
        </is>
      </c>
      <c r="C4162" s="126" t="n">
        <v>25</v>
      </c>
      <c r="D4162" s="126" t="n">
        <v>3</v>
      </c>
      <c r="E4162" s="127" t="n">
        <v>559.51</v>
      </c>
      <c r="F4162" s="128">
        <f>IF(C4162&lt;=30,5,IF(C4162&lt;=60,4,IF(C4162&lt;=120,3,IF(C4162&lt;=200,2,1))))</f>
        <v/>
      </c>
      <c r="G4162" s="128">
        <f>IF(D4162&gt;=20,5,IF(D4162&gt;=10,4,IF(D4162&gt;=5,3,IF(D4162&gt;=2,2,1))))</f>
        <v/>
      </c>
      <c r="H4162" s="128">
        <f>IF(E4162&gt;=5000,5,IF(E4162&gt;=2000,4,IF(E4162&gt;=800,3,IF(E4162&gt;=300,2,1))))</f>
        <v/>
      </c>
      <c r="I4162" s="126">
        <f>TEXT(F4162,"0")&amp;TEXT(G4162,"0")&amp;TEXT(H4162,"0")</f>
        <v/>
      </c>
      <c r="J4162" s="126">
        <f>IFERROR(XLOOKUP(I4162,'Segment Map'!A:A,'Segment Map'!B:B,"Need Attention"),"Need Attention")</f>
        <v/>
      </c>
      <c r="K4162" s="126">
        <f>IF(E4162&gt;=5000,"🏆 Platinum",IF(E4162&gt;=2000,"🥇 Gold",IF(E4162&gt;=800,"🥈 Silver","🥉 Bronze")))</f>
        <v/>
      </c>
      <c r="L4162" s="129" t="n">
        <v>40862</v>
      </c>
    </row>
    <row r="4163">
      <c r="A4163" s="122" t="n">
        <v>18044</v>
      </c>
      <c r="B4163" s="122" t="inlineStr">
        <is>
          <t>United Kingdom</t>
        </is>
      </c>
      <c r="C4163" s="122" t="n">
        <v>5</v>
      </c>
      <c r="D4163" s="122" t="n">
        <v>10</v>
      </c>
      <c r="E4163" s="123" t="n">
        <v>2088.6</v>
      </c>
      <c r="F4163" s="124">
        <f>IF(C4163&lt;=30,5,IF(C4163&lt;=60,4,IF(C4163&lt;=120,3,IF(C4163&lt;=200,2,1))))</f>
        <v/>
      </c>
      <c r="G4163" s="124">
        <f>IF(D4163&gt;=20,5,IF(D4163&gt;=10,4,IF(D4163&gt;=5,3,IF(D4163&gt;=2,2,1))))</f>
        <v/>
      </c>
      <c r="H4163" s="124">
        <f>IF(E4163&gt;=5000,5,IF(E4163&gt;=2000,4,IF(E4163&gt;=800,3,IF(E4163&gt;=300,2,1))))</f>
        <v/>
      </c>
      <c r="I4163" s="122">
        <f>TEXT(F4163,"0")&amp;TEXT(G4163,"0")&amp;TEXT(H4163,"0")</f>
        <v/>
      </c>
      <c r="J4163" s="122">
        <f>IFERROR(XLOOKUP(I4163,'Segment Map'!A:A,'Segment Map'!B:B,"Need Attention"),"Need Attention")</f>
        <v/>
      </c>
      <c r="K4163" s="122">
        <f>IF(E4163&gt;=5000,"🏆 Platinum",IF(E4163&gt;=2000,"🥇 Gold",IF(E4163&gt;=800,"🥈 Silver","🥉 Bronze")))</f>
        <v/>
      </c>
      <c r="L4163" s="125" t="n">
        <v>40882</v>
      </c>
    </row>
    <row r="4164">
      <c r="A4164" s="126" t="n">
        <v>18045</v>
      </c>
      <c r="B4164" s="126" t="inlineStr">
        <is>
          <t>United Kingdom</t>
        </is>
      </c>
      <c r="C4164" s="126" t="n">
        <v>46</v>
      </c>
      <c r="D4164" s="126" t="n">
        <v>1</v>
      </c>
      <c r="E4164" s="127" t="n">
        <v>189.4</v>
      </c>
      <c r="F4164" s="128">
        <f>IF(C4164&lt;=30,5,IF(C4164&lt;=60,4,IF(C4164&lt;=120,3,IF(C4164&lt;=200,2,1))))</f>
        <v/>
      </c>
      <c r="G4164" s="128">
        <f>IF(D4164&gt;=20,5,IF(D4164&gt;=10,4,IF(D4164&gt;=5,3,IF(D4164&gt;=2,2,1))))</f>
        <v/>
      </c>
      <c r="H4164" s="128">
        <f>IF(E4164&gt;=5000,5,IF(E4164&gt;=2000,4,IF(E4164&gt;=800,3,IF(E4164&gt;=300,2,1))))</f>
        <v/>
      </c>
      <c r="I4164" s="126">
        <f>TEXT(F4164,"0")&amp;TEXT(G4164,"0")&amp;TEXT(H4164,"0")</f>
        <v/>
      </c>
      <c r="J4164" s="126">
        <f>IFERROR(XLOOKUP(I4164,'Segment Map'!A:A,'Segment Map'!B:B,"Need Attention"),"Need Attention")</f>
        <v/>
      </c>
      <c r="K4164" s="126">
        <f>IF(E4164&gt;=5000,"🏆 Platinum",IF(E4164&gt;=2000,"🥇 Gold",IF(E4164&gt;=800,"🥈 Silver","🥉 Bronze")))</f>
        <v/>
      </c>
      <c r="L4164" s="129" t="n">
        <v>40841</v>
      </c>
    </row>
    <row r="4165">
      <c r="A4165" s="122" t="n">
        <v>18048</v>
      </c>
      <c r="B4165" s="122" t="inlineStr">
        <is>
          <t>United Kingdom</t>
        </is>
      </c>
      <c r="C4165" s="122" t="n">
        <v>204</v>
      </c>
      <c r="D4165" s="122" t="n">
        <v>2</v>
      </c>
      <c r="E4165" s="123" t="n">
        <v>172.29</v>
      </c>
      <c r="F4165" s="124">
        <f>IF(C4165&lt;=30,5,IF(C4165&lt;=60,4,IF(C4165&lt;=120,3,IF(C4165&lt;=200,2,1))))</f>
        <v/>
      </c>
      <c r="G4165" s="124">
        <f>IF(D4165&gt;=20,5,IF(D4165&gt;=10,4,IF(D4165&gt;=5,3,IF(D4165&gt;=2,2,1))))</f>
        <v/>
      </c>
      <c r="H4165" s="124">
        <f>IF(E4165&gt;=5000,5,IF(E4165&gt;=2000,4,IF(E4165&gt;=800,3,IF(E4165&gt;=300,2,1))))</f>
        <v/>
      </c>
      <c r="I4165" s="122">
        <f>TEXT(F4165,"0")&amp;TEXT(G4165,"0")&amp;TEXT(H4165,"0")</f>
        <v/>
      </c>
      <c r="J4165" s="122">
        <f>IFERROR(XLOOKUP(I4165,'Segment Map'!A:A,'Segment Map'!B:B,"Need Attention"),"Need Attention")</f>
        <v/>
      </c>
      <c r="K4165" s="122">
        <f>IF(E4165&gt;=5000,"🏆 Platinum",IF(E4165&gt;=2000,"🥇 Gold",IF(E4165&gt;=800,"🥈 Silver","🥉 Bronze")))</f>
        <v/>
      </c>
      <c r="L4165" s="125" t="n">
        <v>40683</v>
      </c>
    </row>
    <row r="4166">
      <c r="A4166" s="126" t="n">
        <v>18050</v>
      </c>
      <c r="B4166" s="126" t="inlineStr">
        <is>
          <t>United Kingdom</t>
        </is>
      </c>
      <c r="C4166" s="126" t="n">
        <v>360</v>
      </c>
      <c r="D4166" s="126" t="n">
        <v>1</v>
      </c>
      <c r="E4166" s="127" t="n">
        <v>74.40000000000001</v>
      </c>
      <c r="F4166" s="128">
        <f>IF(C4166&lt;=30,5,IF(C4166&lt;=60,4,IF(C4166&lt;=120,3,IF(C4166&lt;=200,2,1))))</f>
        <v/>
      </c>
      <c r="G4166" s="128">
        <f>IF(D4166&gt;=20,5,IF(D4166&gt;=10,4,IF(D4166&gt;=5,3,IF(D4166&gt;=2,2,1))))</f>
        <v/>
      </c>
      <c r="H4166" s="128">
        <f>IF(E4166&gt;=5000,5,IF(E4166&gt;=2000,4,IF(E4166&gt;=800,3,IF(E4166&gt;=300,2,1))))</f>
        <v/>
      </c>
      <c r="I4166" s="126">
        <f>TEXT(F4166,"0")&amp;TEXT(G4166,"0")&amp;TEXT(H4166,"0")</f>
        <v/>
      </c>
      <c r="J4166" s="126">
        <f>IFERROR(XLOOKUP(I4166,'Segment Map'!A:A,'Segment Map'!B:B,"Need Attention"),"Need Attention")</f>
        <v/>
      </c>
      <c r="K4166" s="126">
        <f>IF(E4166&gt;=5000,"🏆 Platinum",IF(E4166&gt;=2000,"🥇 Gold",IF(E4166&gt;=800,"🥈 Silver","🥉 Bronze")))</f>
        <v/>
      </c>
      <c r="L4166" s="129" t="n">
        <v>40527</v>
      </c>
    </row>
    <row r="4167">
      <c r="A4167" s="122" t="n">
        <v>18053</v>
      </c>
      <c r="B4167" s="122" t="inlineStr">
        <is>
          <t>United Kingdom</t>
        </is>
      </c>
      <c r="C4167" s="122" t="n">
        <v>71</v>
      </c>
      <c r="D4167" s="122" t="n">
        <v>1</v>
      </c>
      <c r="E4167" s="123" t="n">
        <v>300.02</v>
      </c>
      <c r="F4167" s="124">
        <f>IF(C4167&lt;=30,5,IF(C4167&lt;=60,4,IF(C4167&lt;=120,3,IF(C4167&lt;=200,2,1))))</f>
        <v/>
      </c>
      <c r="G4167" s="124">
        <f>IF(D4167&gt;=20,5,IF(D4167&gt;=10,4,IF(D4167&gt;=5,3,IF(D4167&gt;=2,2,1))))</f>
        <v/>
      </c>
      <c r="H4167" s="124">
        <f>IF(E4167&gt;=5000,5,IF(E4167&gt;=2000,4,IF(E4167&gt;=800,3,IF(E4167&gt;=300,2,1))))</f>
        <v/>
      </c>
      <c r="I4167" s="122">
        <f>TEXT(F4167,"0")&amp;TEXT(G4167,"0")&amp;TEXT(H4167,"0")</f>
        <v/>
      </c>
      <c r="J4167" s="122">
        <f>IFERROR(XLOOKUP(I4167,'Segment Map'!A:A,'Segment Map'!B:B,"Need Attention"),"Need Attention")</f>
        <v/>
      </c>
      <c r="K4167" s="122">
        <f>IF(E4167&gt;=5000,"🏆 Platinum",IF(E4167&gt;=2000,"🥇 Gold",IF(E4167&gt;=800,"🥈 Silver","🥉 Bronze")))</f>
        <v/>
      </c>
      <c r="L4167" s="125" t="n">
        <v>40816</v>
      </c>
    </row>
    <row r="4168">
      <c r="A4168" s="126" t="n">
        <v>18055</v>
      </c>
      <c r="B4168" s="126" t="inlineStr">
        <is>
          <t>United Kingdom</t>
        </is>
      </c>
      <c r="C4168" s="126" t="n">
        <v>8</v>
      </c>
      <c r="D4168" s="126" t="n">
        <v>10</v>
      </c>
      <c r="E4168" s="127" t="n">
        <v>6784.19</v>
      </c>
      <c r="F4168" s="128">
        <f>IF(C4168&lt;=30,5,IF(C4168&lt;=60,4,IF(C4168&lt;=120,3,IF(C4168&lt;=200,2,1))))</f>
        <v/>
      </c>
      <c r="G4168" s="128">
        <f>IF(D4168&gt;=20,5,IF(D4168&gt;=10,4,IF(D4168&gt;=5,3,IF(D4168&gt;=2,2,1))))</f>
        <v/>
      </c>
      <c r="H4168" s="128">
        <f>IF(E4168&gt;=5000,5,IF(E4168&gt;=2000,4,IF(E4168&gt;=800,3,IF(E4168&gt;=300,2,1))))</f>
        <v/>
      </c>
      <c r="I4168" s="126">
        <f>TEXT(F4168,"0")&amp;TEXT(G4168,"0")&amp;TEXT(H4168,"0")</f>
        <v/>
      </c>
      <c r="J4168" s="126">
        <f>IFERROR(XLOOKUP(I4168,'Segment Map'!A:A,'Segment Map'!B:B,"Need Attention"),"Need Attention")</f>
        <v/>
      </c>
      <c r="K4168" s="126">
        <f>IF(E4168&gt;=5000,"🏆 Platinum",IF(E4168&gt;=2000,"🥇 Gold",IF(E4168&gt;=800,"🥈 Silver","🥉 Bronze")))</f>
        <v/>
      </c>
      <c r="L4168" s="129" t="n">
        <v>40879</v>
      </c>
    </row>
    <row r="4169">
      <c r="A4169" s="122" t="n">
        <v>18056</v>
      </c>
      <c r="B4169" s="122" t="inlineStr">
        <is>
          <t>United Kingdom</t>
        </is>
      </c>
      <c r="C4169" s="122" t="n">
        <v>289</v>
      </c>
      <c r="D4169" s="122" t="n">
        <v>1</v>
      </c>
      <c r="E4169" s="123" t="n">
        <v>363.65</v>
      </c>
      <c r="F4169" s="124">
        <f>IF(C4169&lt;=30,5,IF(C4169&lt;=60,4,IF(C4169&lt;=120,3,IF(C4169&lt;=200,2,1))))</f>
        <v/>
      </c>
      <c r="G4169" s="124">
        <f>IF(D4169&gt;=20,5,IF(D4169&gt;=10,4,IF(D4169&gt;=5,3,IF(D4169&gt;=2,2,1))))</f>
        <v/>
      </c>
      <c r="H4169" s="124">
        <f>IF(E4169&gt;=5000,5,IF(E4169&gt;=2000,4,IF(E4169&gt;=800,3,IF(E4169&gt;=300,2,1))))</f>
        <v/>
      </c>
      <c r="I4169" s="122">
        <f>TEXT(F4169,"0")&amp;TEXT(G4169,"0")&amp;TEXT(H4169,"0")</f>
        <v/>
      </c>
      <c r="J4169" s="122">
        <f>IFERROR(XLOOKUP(I4169,'Segment Map'!A:A,'Segment Map'!B:B,"Need Attention"),"Need Attention")</f>
        <v/>
      </c>
      <c r="K4169" s="122">
        <f>IF(E4169&gt;=5000,"🏆 Platinum",IF(E4169&gt;=2000,"🥇 Gold",IF(E4169&gt;=800,"🥈 Silver","🥉 Bronze")))</f>
        <v/>
      </c>
      <c r="L4169" s="125" t="n">
        <v>40598</v>
      </c>
    </row>
    <row r="4170">
      <c r="A4170" s="126" t="n">
        <v>18058</v>
      </c>
      <c r="B4170" s="126" t="inlineStr">
        <is>
          <t>United Kingdom</t>
        </is>
      </c>
      <c r="C4170" s="126" t="n">
        <v>10</v>
      </c>
      <c r="D4170" s="126" t="n">
        <v>1</v>
      </c>
      <c r="E4170" s="127" t="n">
        <v>170.16</v>
      </c>
      <c r="F4170" s="128">
        <f>IF(C4170&lt;=30,5,IF(C4170&lt;=60,4,IF(C4170&lt;=120,3,IF(C4170&lt;=200,2,1))))</f>
        <v/>
      </c>
      <c r="G4170" s="128">
        <f>IF(D4170&gt;=20,5,IF(D4170&gt;=10,4,IF(D4170&gt;=5,3,IF(D4170&gt;=2,2,1))))</f>
        <v/>
      </c>
      <c r="H4170" s="128">
        <f>IF(E4170&gt;=5000,5,IF(E4170&gt;=2000,4,IF(E4170&gt;=800,3,IF(E4170&gt;=300,2,1))))</f>
        <v/>
      </c>
      <c r="I4170" s="126">
        <f>TEXT(F4170,"0")&amp;TEXT(G4170,"0")&amp;TEXT(H4170,"0")</f>
        <v/>
      </c>
      <c r="J4170" s="126">
        <f>IFERROR(XLOOKUP(I4170,'Segment Map'!A:A,'Segment Map'!B:B,"Need Attention"),"Need Attention")</f>
        <v/>
      </c>
      <c r="K4170" s="126">
        <f>IF(E4170&gt;=5000,"🏆 Platinum",IF(E4170&gt;=2000,"🥇 Gold",IF(E4170&gt;=800,"🥈 Silver","🥉 Bronze")))</f>
        <v/>
      </c>
      <c r="L4170" s="129" t="n">
        <v>40877</v>
      </c>
    </row>
    <row r="4171">
      <c r="A4171" s="122" t="n">
        <v>18059</v>
      </c>
      <c r="B4171" s="122" t="inlineStr">
        <is>
          <t>United Kingdom</t>
        </is>
      </c>
      <c r="C4171" s="122" t="n">
        <v>24</v>
      </c>
      <c r="D4171" s="122" t="n">
        <v>3</v>
      </c>
      <c r="E4171" s="123" t="n">
        <v>306.46</v>
      </c>
      <c r="F4171" s="124">
        <f>IF(C4171&lt;=30,5,IF(C4171&lt;=60,4,IF(C4171&lt;=120,3,IF(C4171&lt;=200,2,1))))</f>
        <v/>
      </c>
      <c r="G4171" s="124">
        <f>IF(D4171&gt;=20,5,IF(D4171&gt;=10,4,IF(D4171&gt;=5,3,IF(D4171&gt;=2,2,1))))</f>
        <v/>
      </c>
      <c r="H4171" s="124">
        <f>IF(E4171&gt;=5000,5,IF(E4171&gt;=2000,4,IF(E4171&gt;=800,3,IF(E4171&gt;=300,2,1))))</f>
        <v/>
      </c>
      <c r="I4171" s="122">
        <f>TEXT(F4171,"0")&amp;TEXT(G4171,"0")&amp;TEXT(H4171,"0")</f>
        <v/>
      </c>
      <c r="J4171" s="122">
        <f>IFERROR(XLOOKUP(I4171,'Segment Map'!A:A,'Segment Map'!B:B,"Need Attention"),"Need Attention")</f>
        <v/>
      </c>
      <c r="K4171" s="122">
        <f>IF(E4171&gt;=5000,"🏆 Platinum",IF(E4171&gt;=2000,"🥇 Gold",IF(E4171&gt;=800,"🥈 Silver","🥉 Bronze")))</f>
        <v/>
      </c>
      <c r="L4171" s="125" t="n">
        <v>40863</v>
      </c>
    </row>
    <row r="4172">
      <c r="A4172" s="126" t="n">
        <v>18061</v>
      </c>
      <c r="B4172" s="126" t="inlineStr">
        <is>
          <t>United Kingdom</t>
        </is>
      </c>
      <c r="C4172" s="126" t="n">
        <v>22</v>
      </c>
      <c r="D4172" s="126" t="n">
        <v>10</v>
      </c>
      <c r="E4172" s="127" t="n">
        <v>2119.41</v>
      </c>
      <c r="F4172" s="128">
        <f>IF(C4172&lt;=30,5,IF(C4172&lt;=60,4,IF(C4172&lt;=120,3,IF(C4172&lt;=200,2,1))))</f>
        <v/>
      </c>
      <c r="G4172" s="128">
        <f>IF(D4172&gt;=20,5,IF(D4172&gt;=10,4,IF(D4172&gt;=5,3,IF(D4172&gt;=2,2,1))))</f>
        <v/>
      </c>
      <c r="H4172" s="128">
        <f>IF(E4172&gt;=5000,5,IF(E4172&gt;=2000,4,IF(E4172&gt;=800,3,IF(E4172&gt;=300,2,1))))</f>
        <v/>
      </c>
      <c r="I4172" s="126">
        <f>TEXT(F4172,"0")&amp;TEXT(G4172,"0")&amp;TEXT(H4172,"0")</f>
        <v/>
      </c>
      <c r="J4172" s="126">
        <f>IFERROR(XLOOKUP(I4172,'Segment Map'!A:A,'Segment Map'!B:B,"Need Attention"),"Need Attention")</f>
        <v/>
      </c>
      <c r="K4172" s="126">
        <f>IF(E4172&gt;=5000,"🏆 Platinum",IF(E4172&gt;=2000,"🥇 Gold",IF(E4172&gt;=800,"🥈 Silver","🥉 Bronze")))</f>
        <v/>
      </c>
      <c r="L4172" s="129" t="n">
        <v>40865</v>
      </c>
    </row>
    <row r="4173">
      <c r="A4173" s="122" t="n">
        <v>18062</v>
      </c>
      <c r="B4173" s="122" t="inlineStr">
        <is>
          <t>United Kingdom</t>
        </is>
      </c>
      <c r="C4173" s="122" t="n">
        <v>174</v>
      </c>
      <c r="D4173" s="122" t="n">
        <v>3</v>
      </c>
      <c r="E4173" s="123" t="n">
        <v>720.52</v>
      </c>
      <c r="F4173" s="124">
        <f>IF(C4173&lt;=30,5,IF(C4173&lt;=60,4,IF(C4173&lt;=120,3,IF(C4173&lt;=200,2,1))))</f>
        <v/>
      </c>
      <c r="G4173" s="124">
        <f>IF(D4173&gt;=20,5,IF(D4173&gt;=10,4,IF(D4173&gt;=5,3,IF(D4173&gt;=2,2,1))))</f>
        <v/>
      </c>
      <c r="H4173" s="124">
        <f>IF(E4173&gt;=5000,5,IF(E4173&gt;=2000,4,IF(E4173&gt;=800,3,IF(E4173&gt;=300,2,1))))</f>
        <v/>
      </c>
      <c r="I4173" s="122">
        <f>TEXT(F4173,"0")&amp;TEXT(G4173,"0")&amp;TEXT(H4173,"0")</f>
        <v/>
      </c>
      <c r="J4173" s="122">
        <f>IFERROR(XLOOKUP(I4173,'Segment Map'!A:A,'Segment Map'!B:B,"Need Attention"),"Need Attention")</f>
        <v/>
      </c>
      <c r="K4173" s="122">
        <f>IF(E4173&gt;=5000,"🏆 Platinum",IF(E4173&gt;=2000,"🥇 Gold",IF(E4173&gt;=800,"🥈 Silver","🥉 Bronze")))</f>
        <v/>
      </c>
      <c r="L4173" s="125" t="n">
        <v>40713</v>
      </c>
    </row>
    <row r="4174">
      <c r="A4174" s="126" t="n">
        <v>18064</v>
      </c>
      <c r="B4174" s="126" t="inlineStr">
        <is>
          <t>United Kingdom</t>
        </is>
      </c>
      <c r="C4174" s="126" t="n">
        <v>134</v>
      </c>
      <c r="D4174" s="126" t="n">
        <v>2</v>
      </c>
      <c r="E4174" s="127" t="n">
        <v>814</v>
      </c>
      <c r="F4174" s="128">
        <f>IF(C4174&lt;=30,5,IF(C4174&lt;=60,4,IF(C4174&lt;=120,3,IF(C4174&lt;=200,2,1))))</f>
        <v/>
      </c>
      <c r="G4174" s="128">
        <f>IF(D4174&gt;=20,5,IF(D4174&gt;=10,4,IF(D4174&gt;=5,3,IF(D4174&gt;=2,2,1))))</f>
        <v/>
      </c>
      <c r="H4174" s="128">
        <f>IF(E4174&gt;=5000,5,IF(E4174&gt;=2000,4,IF(E4174&gt;=800,3,IF(E4174&gt;=300,2,1))))</f>
        <v/>
      </c>
      <c r="I4174" s="126">
        <f>TEXT(F4174,"0")&amp;TEXT(G4174,"0")&amp;TEXT(H4174,"0")</f>
        <v/>
      </c>
      <c r="J4174" s="126">
        <f>IFERROR(XLOOKUP(I4174,'Segment Map'!A:A,'Segment Map'!B:B,"Need Attention"),"Need Attention")</f>
        <v/>
      </c>
      <c r="K4174" s="126">
        <f>IF(E4174&gt;=5000,"🏆 Platinum",IF(E4174&gt;=2000,"🥇 Gold",IF(E4174&gt;=800,"🥈 Silver","🥉 Bronze")))</f>
        <v/>
      </c>
      <c r="L4174" s="129" t="n">
        <v>40753</v>
      </c>
    </row>
    <row r="4175">
      <c r="A4175" s="122" t="n">
        <v>18065</v>
      </c>
      <c r="B4175" s="122" t="inlineStr">
        <is>
          <t>United Kingdom</t>
        </is>
      </c>
      <c r="C4175" s="122" t="n">
        <v>6</v>
      </c>
      <c r="D4175" s="122" t="n">
        <v>14</v>
      </c>
      <c r="E4175" s="123" t="n">
        <v>2392.83</v>
      </c>
      <c r="F4175" s="124">
        <f>IF(C4175&lt;=30,5,IF(C4175&lt;=60,4,IF(C4175&lt;=120,3,IF(C4175&lt;=200,2,1))))</f>
        <v/>
      </c>
      <c r="G4175" s="124">
        <f>IF(D4175&gt;=20,5,IF(D4175&gt;=10,4,IF(D4175&gt;=5,3,IF(D4175&gt;=2,2,1))))</f>
        <v/>
      </c>
      <c r="H4175" s="124">
        <f>IF(E4175&gt;=5000,5,IF(E4175&gt;=2000,4,IF(E4175&gt;=800,3,IF(E4175&gt;=300,2,1))))</f>
        <v/>
      </c>
      <c r="I4175" s="122">
        <f>TEXT(F4175,"0")&amp;TEXT(G4175,"0")&amp;TEXT(H4175,"0")</f>
        <v/>
      </c>
      <c r="J4175" s="122">
        <f>IFERROR(XLOOKUP(I4175,'Segment Map'!A:A,'Segment Map'!B:B,"Need Attention"),"Need Attention")</f>
        <v/>
      </c>
      <c r="K4175" s="122">
        <f>IF(E4175&gt;=5000,"🏆 Platinum",IF(E4175&gt;=2000,"🥇 Gold",IF(E4175&gt;=800,"🥈 Silver","🥉 Bronze")))</f>
        <v/>
      </c>
      <c r="L4175" s="125" t="n">
        <v>40881</v>
      </c>
    </row>
    <row r="4176">
      <c r="A4176" s="126" t="n">
        <v>18066</v>
      </c>
      <c r="B4176" s="126" t="inlineStr">
        <is>
          <t>United Kingdom</t>
        </is>
      </c>
      <c r="C4176" s="126" t="n">
        <v>76</v>
      </c>
      <c r="D4176" s="126" t="n">
        <v>1</v>
      </c>
      <c r="E4176" s="127" t="n">
        <v>318</v>
      </c>
      <c r="F4176" s="128">
        <f>IF(C4176&lt;=30,5,IF(C4176&lt;=60,4,IF(C4176&lt;=120,3,IF(C4176&lt;=200,2,1))))</f>
        <v/>
      </c>
      <c r="G4176" s="128">
        <f>IF(D4176&gt;=20,5,IF(D4176&gt;=10,4,IF(D4176&gt;=5,3,IF(D4176&gt;=2,2,1))))</f>
        <v/>
      </c>
      <c r="H4176" s="128">
        <f>IF(E4176&gt;=5000,5,IF(E4176&gt;=2000,4,IF(E4176&gt;=800,3,IF(E4176&gt;=300,2,1))))</f>
        <v/>
      </c>
      <c r="I4176" s="126">
        <f>TEXT(F4176,"0")&amp;TEXT(G4176,"0")&amp;TEXT(H4176,"0")</f>
        <v/>
      </c>
      <c r="J4176" s="126">
        <f>IFERROR(XLOOKUP(I4176,'Segment Map'!A:A,'Segment Map'!B:B,"Need Attention"),"Need Attention")</f>
        <v/>
      </c>
      <c r="K4176" s="126">
        <f>IF(E4176&gt;=5000,"🏆 Platinum",IF(E4176&gt;=2000,"🥇 Gold",IF(E4176&gt;=800,"🥈 Silver","🥉 Bronze")))</f>
        <v/>
      </c>
      <c r="L4176" s="129" t="n">
        <v>40811</v>
      </c>
    </row>
    <row r="4177">
      <c r="A4177" s="122" t="n">
        <v>18067</v>
      </c>
      <c r="B4177" s="122" t="inlineStr">
        <is>
          <t>United Kingdom</t>
        </is>
      </c>
      <c r="C4177" s="122" t="n">
        <v>41</v>
      </c>
      <c r="D4177" s="122" t="n">
        <v>1</v>
      </c>
      <c r="E4177" s="123" t="n">
        <v>396.33</v>
      </c>
      <c r="F4177" s="124">
        <f>IF(C4177&lt;=30,5,IF(C4177&lt;=60,4,IF(C4177&lt;=120,3,IF(C4177&lt;=200,2,1))))</f>
        <v/>
      </c>
      <c r="G4177" s="124">
        <f>IF(D4177&gt;=20,5,IF(D4177&gt;=10,4,IF(D4177&gt;=5,3,IF(D4177&gt;=2,2,1))))</f>
        <v/>
      </c>
      <c r="H4177" s="124">
        <f>IF(E4177&gt;=5000,5,IF(E4177&gt;=2000,4,IF(E4177&gt;=800,3,IF(E4177&gt;=300,2,1))))</f>
        <v/>
      </c>
      <c r="I4177" s="122">
        <f>TEXT(F4177,"0")&amp;TEXT(G4177,"0")&amp;TEXT(H4177,"0")</f>
        <v/>
      </c>
      <c r="J4177" s="122">
        <f>IFERROR(XLOOKUP(I4177,'Segment Map'!A:A,'Segment Map'!B:B,"Need Attention"),"Need Attention")</f>
        <v/>
      </c>
      <c r="K4177" s="122">
        <f>IF(E4177&gt;=5000,"🏆 Platinum",IF(E4177&gt;=2000,"🥇 Gold",IF(E4177&gt;=800,"🥈 Silver","🥉 Bronze")))</f>
        <v/>
      </c>
      <c r="L4177" s="125" t="n">
        <v>40846</v>
      </c>
    </row>
    <row r="4178">
      <c r="A4178" s="126" t="n">
        <v>18068</v>
      </c>
      <c r="B4178" s="126" t="inlineStr">
        <is>
          <t>United Kingdom</t>
        </is>
      </c>
      <c r="C4178" s="126" t="n">
        <v>290</v>
      </c>
      <c r="D4178" s="126" t="n">
        <v>1</v>
      </c>
      <c r="E4178" s="127" t="n">
        <v>101.7</v>
      </c>
      <c r="F4178" s="128">
        <f>IF(C4178&lt;=30,5,IF(C4178&lt;=60,4,IF(C4178&lt;=120,3,IF(C4178&lt;=200,2,1))))</f>
        <v/>
      </c>
      <c r="G4178" s="128">
        <f>IF(D4178&gt;=20,5,IF(D4178&gt;=10,4,IF(D4178&gt;=5,3,IF(D4178&gt;=2,2,1))))</f>
        <v/>
      </c>
      <c r="H4178" s="128">
        <f>IF(E4178&gt;=5000,5,IF(E4178&gt;=2000,4,IF(E4178&gt;=800,3,IF(E4178&gt;=300,2,1))))</f>
        <v/>
      </c>
      <c r="I4178" s="126">
        <f>TEXT(F4178,"0")&amp;TEXT(G4178,"0")&amp;TEXT(H4178,"0")</f>
        <v/>
      </c>
      <c r="J4178" s="126">
        <f>IFERROR(XLOOKUP(I4178,'Segment Map'!A:A,'Segment Map'!B:B,"Need Attention"),"Need Attention")</f>
        <v/>
      </c>
      <c r="K4178" s="126">
        <f>IF(E4178&gt;=5000,"🏆 Platinum",IF(E4178&gt;=2000,"🥇 Gold",IF(E4178&gt;=800,"🥈 Silver","🥉 Bronze")))</f>
        <v/>
      </c>
      <c r="L4178" s="129" t="n">
        <v>40597</v>
      </c>
    </row>
    <row r="4179">
      <c r="A4179" s="122" t="n">
        <v>18069</v>
      </c>
      <c r="B4179" s="122" t="inlineStr">
        <is>
          <t>United Kingdom</t>
        </is>
      </c>
      <c r="C4179" s="122" t="n">
        <v>27</v>
      </c>
      <c r="D4179" s="122" t="n">
        <v>5</v>
      </c>
      <c r="E4179" s="123" t="n">
        <v>2036.67</v>
      </c>
      <c r="F4179" s="124">
        <f>IF(C4179&lt;=30,5,IF(C4179&lt;=60,4,IF(C4179&lt;=120,3,IF(C4179&lt;=200,2,1))))</f>
        <v/>
      </c>
      <c r="G4179" s="124">
        <f>IF(D4179&gt;=20,5,IF(D4179&gt;=10,4,IF(D4179&gt;=5,3,IF(D4179&gt;=2,2,1))))</f>
        <v/>
      </c>
      <c r="H4179" s="124">
        <f>IF(E4179&gt;=5000,5,IF(E4179&gt;=2000,4,IF(E4179&gt;=800,3,IF(E4179&gt;=300,2,1))))</f>
        <v/>
      </c>
      <c r="I4179" s="122">
        <f>TEXT(F4179,"0")&amp;TEXT(G4179,"0")&amp;TEXT(H4179,"0")</f>
        <v/>
      </c>
      <c r="J4179" s="122">
        <f>IFERROR(XLOOKUP(I4179,'Segment Map'!A:A,'Segment Map'!B:B,"Need Attention"),"Need Attention")</f>
        <v/>
      </c>
      <c r="K4179" s="122">
        <f>IF(E4179&gt;=5000,"🏆 Platinum",IF(E4179&gt;=2000,"🥇 Gold",IF(E4179&gt;=800,"🥈 Silver","🥉 Bronze")))</f>
        <v/>
      </c>
      <c r="L4179" s="125" t="n">
        <v>40860</v>
      </c>
    </row>
    <row r="4180">
      <c r="A4180" s="126" t="n">
        <v>18071</v>
      </c>
      <c r="B4180" s="126" t="inlineStr">
        <is>
          <t>United Kingdom</t>
        </is>
      </c>
      <c r="C4180" s="126" t="n">
        <v>258</v>
      </c>
      <c r="D4180" s="126" t="n">
        <v>2</v>
      </c>
      <c r="E4180" s="127" t="n">
        <v>453</v>
      </c>
      <c r="F4180" s="128">
        <f>IF(C4180&lt;=30,5,IF(C4180&lt;=60,4,IF(C4180&lt;=120,3,IF(C4180&lt;=200,2,1))))</f>
        <v/>
      </c>
      <c r="G4180" s="128">
        <f>IF(D4180&gt;=20,5,IF(D4180&gt;=10,4,IF(D4180&gt;=5,3,IF(D4180&gt;=2,2,1))))</f>
        <v/>
      </c>
      <c r="H4180" s="128">
        <f>IF(E4180&gt;=5000,5,IF(E4180&gt;=2000,4,IF(E4180&gt;=800,3,IF(E4180&gt;=300,2,1))))</f>
        <v/>
      </c>
      <c r="I4180" s="126">
        <f>TEXT(F4180,"0")&amp;TEXT(G4180,"0")&amp;TEXT(H4180,"0")</f>
        <v/>
      </c>
      <c r="J4180" s="126">
        <f>IFERROR(XLOOKUP(I4180,'Segment Map'!A:A,'Segment Map'!B:B,"Need Attention"),"Need Attention")</f>
        <v/>
      </c>
      <c r="K4180" s="126">
        <f>IF(E4180&gt;=5000,"🏆 Platinum",IF(E4180&gt;=2000,"🥇 Gold",IF(E4180&gt;=800,"🥈 Silver","🥉 Bronze")))</f>
        <v/>
      </c>
      <c r="L4180" s="129" t="n">
        <v>40629</v>
      </c>
    </row>
    <row r="4181">
      <c r="A4181" s="122" t="n">
        <v>18072</v>
      </c>
      <c r="B4181" s="122" t="inlineStr">
        <is>
          <t>United Kingdom</t>
        </is>
      </c>
      <c r="C4181" s="122" t="n">
        <v>186</v>
      </c>
      <c r="D4181" s="122" t="n">
        <v>1</v>
      </c>
      <c r="E4181" s="123" t="n">
        <v>247.44</v>
      </c>
      <c r="F4181" s="124">
        <f>IF(C4181&lt;=30,5,IF(C4181&lt;=60,4,IF(C4181&lt;=120,3,IF(C4181&lt;=200,2,1))))</f>
        <v/>
      </c>
      <c r="G4181" s="124">
        <f>IF(D4181&gt;=20,5,IF(D4181&gt;=10,4,IF(D4181&gt;=5,3,IF(D4181&gt;=2,2,1))))</f>
        <v/>
      </c>
      <c r="H4181" s="124">
        <f>IF(E4181&gt;=5000,5,IF(E4181&gt;=2000,4,IF(E4181&gt;=800,3,IF(E4181&gt;=300,2,1))))</f>
        <v/>
      </c>
      <c r="I4181" s="122">
        <f>TEXT(F4181,"0")&amp;TEXT(G4181,"0")&amp;TEXT(H4181,"0")</f>
        <v/>
      </c>
      <c r="J4181" s="122">
        <f>IFERROR(XLOOKUP(I4181,'Segment Map'!A:A,'Segment Map'!B:B,"Need Attention"),"Need Attention")</f>
        <v/>
      </c>
      <c r="K4181" s="122">
        <f>IF(E4181&gt;=5000,"🏆 Platinum",IF(E4181&gt;=2000,"🥇 Gold",IF(E4181&gt;=800,"🥈 Silver","🥉 Bronze")))</f>
        <v/>
      </c>
      <c r="L4181" s="125" t="n">
        <v>40701</v>
      </c>
    </row>
    <row r="4182">
      <c r="A4182" s="126" t="n">
        <v>18073</v>
      </c>
      <c r="B4182" s="126" t="inlineStr">
        <is>
          <t>United Kingdom</t>
        </is>
      </c>
      <c r="C4182" s="126" t="n">
        <v>115</v>
      </c>
      <c r="D4182" s="126" t="n">
        <v>12</v>
      </c>
      <c r="E4182" s="127" t="n">
        <v>3877.52</v>
      </c>
      <c r="F4182" s="128">
        <f>IF(C4182&lt;=30,5,IF(C4182&lt;=60,4,IF(C4182&lt;=120,3,IF(C4182&lt;=200,2,1))))</f>
        <v/>
      </c>
      <c r="G4182" s="128">
        <f>IF(D4182&gt;=20,5,IF(D4182&gt;=10,4,IF(D4182&gt;=5,3,IF(D4182&gt;=2,2,1))))</f>
        <v/>
      </c>
      <c r="H4182" s="128">
        <f>IF(E4182&gt;=5000,5,IF(E4182&gt;=2000,4,IF(E4182&gt;=800,3,IF(E4182&gt;=300,2,1))))</f>
        <v/>
      </c>
      <c r="I4182" s="126">
        <f>TEXT(F4182,"0")&amp;TEXT(G4182,"0")&amp;TEXT(H4182,"0")</f>
        <v/>
      </c>
      <c r="J4182" s="126">
        <f>IFERROR(XLOOKUP(I4182,'Segment Map'!A:A,'Segment Map'!B:B,"Need Attention"),"Need Attention")</f>
        <v/>
      </c>
      <c r="K4182" s="126">
        <f>IF(E4182&gt;=5000,"🏆 Platinum",IF(E4182&gt;=2000,"🥇 Gold",IF(E4182&gt;=800,"🥈 Silver","🥉 Bronze")))</f>
        <v/>
      </c>
      <c r="L4182" s="129" t="n">
        <v>40772</v>
      </c>
    </row>
    <row r="4183">
      <c r="A4183" s="122" t="n">
        <v>18074</v>
      </c>
      <c r="B4183" s="122" t="inlineStr">
        <is>
          <t>United Kingdom</t>
        </is>
      </c>
      <c r="C4183" s="122" t="n">
        <v>374</v>
      </c>
      <c r="D4183" s="122" t="n">
        <v>1</v>
      </c>
      <c r="E4183" s="123" t="n">
        <v>489.6</v>
      </c>
      <c r="F4183" s="124">
        <f>IF(C4183&lt;=30,5,IF(C4183&lt;=60,4,IF(C4183&lt;=120,3,IF(C4183&lt;=200,2,1))))</f>
        <v/>
      </c>
      <c r="G4183" s="124">
        <f>IF(D4183&gt;=20,5,IF(D4183&gt;=10,4,IF(D4183&gt;=5,3,IF(D4183&gt;=2,2,1))))</f>
        <v/>
      </c>
      <c r="H4183" s="124">
        <f>IF(E4183&gt;=5000,5,IF(E4183&gt;=2000,4,IF(E4183&gt;=800,3,IF(E4183&gt;=300,2,1))))</f>
        <v/>
      </c>
      <c r="I4183" s="122">
        <f>TEXT(F4183,"0")&amp;TEXT(G4183,"0")&amp;TEXT(H4183,"0")</f>
        <v/>
      </c>
      <c r="J4183" s="122">
        <f>IFERROR(XLOOKUP(I4183,'Segment Map'!A:A,'Segment Map'!B:B,"Need Attention"),"Need Attention")</f>
        <v/>
      </c>
      <c r="K4183" s="122">
        <f>IF(E4183&gt;=5000,"🏆 Platinum",IF(E4183&gt;=2000,"🥇 Gold",IF(E4183&gt;=800,"🥈 Silver","🥉 Bronze")))</f>
        <v/>
      </c>
      <c r="L4183" s="125" t="n">
        <v>40513</v>
      </c>
    </row>
    <row r="4184">
      <c r="A4184" s="126" t="n">
        <v>18075</v>
      </c>
      <c r="B4184" s="126" t="inlineStr">
        <is>
          <t>United Kingdom</t>
        </is>
      </c>
      <c r="C4184" s="126" t="n">
        <v>24</v>
      </c>
      <c r="D4184" s="126" t="n">
        <v>10</v>
      </c>
      <c r="E4184" s="127" t="n">
        <v>2611.75</v>
      </c>
      <c r="F4184" s="128">
        <f>IF(C4184&lt;=30,5,IF(C4184&lt;=60,4,IF(C4184&lt;=120,3,IF(C4184&lt;=200,2,1))))</f>
        <v/>
      </c>
      <c r="G4184" s="128">
        <f>IF(D4184&gt;=20,5,IF(D4184&gt;=10,4,IF(D4184&gt;=5,3,IF(D4184&gt;=2,2,1))))</f>
        <v/>
      </c>
      <c r="H4184" s="128">
        <f>IF(E4184&gt;=5000,5,IF(E4184&gt;=2000,4,IF(E4184&gt;=800,3,IF(E4184&gt;=300,2,1))))</f>
        <v/>
      </c>
      <c r="I4184" s="126">
        <f>TEXT(F4184,"0")&amp;TEXT(G4184,"0")&amp;TEXT(H4184,"0")</f>
        <v/>
      </c>
      <c r="J4184" s="126">
        <f>IFERROR(XLOOKUP(I4184,'Segment Map'!A:A,'Segment Map'!B:B,"Need Attention"),"Need Attention")</f>
        <v/>
      </c>
      <c r="K4184" s="126">
        <f>IF(E4184&gt;=5000,"🏆 Platinum",IF(E4184&gt;=2000,"🥇 Gold",IF(E4184&gt;=800,"🥈 Silver","🥉 Bronze")))</f>
        <v/>
      </c>
      <c r="L4184" s="129" t="n">
        <v>40863</v>
      </c>
    </row>
    <row r="4185">
      <c r="A4185" s="122" t="n">
        <v>18077</v>
      </c>
      <c r="B4185" s="122" t="inlineStr">
        <is>
          <t>United Kingdom</t>
        </is>
      </c>
      <c r="C4185" s="122" t="n">
        <v>9</v>
      </c>
      <c r="D4185" s="122" t="n">
        <v>11</v>
      </c>
      <c r="E4185" s="123" t="n">
        <v>2633.01</v>
      </c>
      <c r="F4185" s="124">
        <f>IF(C4185&lt;=30,5,IF(C4185&lt;=60,4,IF(C4185&lt;=120,3,IF(C4185&lt;=200,2,1))))</f>
        <v/>
      </c>
      <c r="G4185" s="124">
        <f>IF(D4185&gt;=20,5,IF(D4185&gt;=10,4,IF(D4185&gt;=5,3,IF(D4185&gt;=2,2,1))))</f>
        <v/>
      </c>
      <c r="H4185" s="124">
        <f>IF(E4185&gt;=5000,5,IF(E4185&gt;=2000,4,IF(E4185&gt;=800,3,IF(E4185&gt;=300,2,1))))</f>
        <v/>
      </c>
      <c r="I4185" s="122">
        <f>TEXT(F4185,"0")&amp;TEXT(G4185,"0")&amp;TEXT(H4185,"0")</f>
        <v/>
      </c>
      <c r="J4185" s="122">
        <f>IFERROR(XLOOKUP(I4185,'Segment Map'!A:A,'Segment Map'!B:B,"Need Attention"),"Need Attention")</f>
        <v/>
      </c>
      <c r="K4185" s="122">
        <f>IF(E4185&gt;=5000,"🏆 Platinum",IF(E4185&gt;=2000,"🥇 Gold",IF(E4185&gt;=800,"🥈 Silver","🥉 Bronze")))</f>
        <v/>
      </c>
      <c r="L4185" s="125" t="n">
        <v>40878</v>
      </c>
    </row>
    <row r="4186">
      <c r="A4186" s="126" t="n">
        <v>18078</v>
      </c>
      <c r="B4186" s="126" t="inlineStr">
        <is>
          <t>United Kingdom</t>
        </is>
      </c>
      <c r="C4186" s="126" t="n">
        <v>218</v>
      </c>
      <c r="D4186" s="126" t="n">
        <v>2</v>
      </c>
      <c r="E4186" s="127" t="n">
        <v>336.13</v>
      </c>
      <c r="F4186" s="128">
        <f>IF(C4186&lt;=30,5,IF(C4186&lt;=60,4,IF(C4186&lt;=120,3,IF(C4186&lt;=200,2,1))))</f>
        <v/>
      </c>
      <c r="G4186" s="128">
        <f>IF(D4186&gt;=20,5,IF(D4186&gt;=10,4,IF(D4186&gt;=5,3,IF(D4186&gt;=2,2,1))))</f>
        <v/>
      </c>
      <c r="H4186" s="128">
        <f>IF(E4186&gt;=5000,5,IF(E4186&gt;=2000,4,IF(E4186&gt;=800,3,IF(E4186&gt;=300,2,1))))</f>
        <v/>
      </c>
      <c r="I4186" s="126">
        <f>TEXT(F4186,"0")&amp;TEXT(G4186,"0")&amp;TEXT(H4186,"0")</f>
        <v/>
      </c>
      <c r="J4186" s="126">
        <f>IFERROR(XLOOKUP(I4186,'Segment Map'!A:A,'Segment Map'!B:B,"Need Attention"),"Need Attention")</f>
        <v/>
      </c>
      <c r="K4186" s="126">
        <f>IF(E4186&gt;=5000,"🏆 Platinum",IF(E4186&gt;=2000,"🥇 Gold",IF(E4186&gt;=800,"🥈 Silver","🥉 Bronze")))</f>
        <v/>
      </c>
      <c r="L4186" s="129" t="n">
        <v>40669</v>
      </c>
    </row>
    <row r="4187">
      <c r="A4187" s="122" t="n">
        <v>18079</v>
      </c>
      <c r="B4187" s="122" t="inlineStr">
        <is>
          <t>United Kingdom</t>
        </is>
      </c>
      <c r="C4187" s="122" t="n">
        <v>46</v>
      </c>
      <c r="D4187" s="122" t="n">
        <v>4</v>
      </c>
      <c r="E4187" s="123" t="n">
        <v>3651.97</v>
      </c>
      <c r="F4187" s="124">
        <f>IF(C4187&lt;=30,5,IF(C4187&lt;=60,4,IF(C4187&lt;=120,3,IF(C4187&lt;=200,2,1))))</f>
        <v/>
      </c>
      <c r="G4187" s="124">
        <f>IF(D4187&gt;=20,5,IF(D4187&gt;=10,4,IF(D4187&gt;=5,3,IF(D4187&gt;=2,2,1))))</f>
        <v/>
      </c>
      <c r="H4187" s="124">
        <f>IF(E4187&gt;=5000,5,IF(E4187&gt;=2000,4,IF(E4187&gt;=800,3,IF(E4187&gt;=300,2,1))))</f>
        <v/>
      </c>
      <c r="I4187" s="122">
        <f>TEXT(F4187,"0")&amp;TEXT(G4187,"0")&amp;TEXT(H4187,"0")</f>
        <v/>
      </c>
      <c r="J4187" s="122">
        <f>IFERROR(XLOOKUP(I4187,'Segment Map'!A:A,'Segment Map'!B:B,"Need Attention"),"Need Attention")</f>
        <v/>
      </c>
      <c r="K4187" s="122">
        <f>IF(E4187&gt;=5000,"🏆 Platinum",IF(E4187&gt;=2000,"🥇 Gold",IF(E4187&gt;=800,"🥈 Silver","🥉 Bronze")))</f>
        <v/>
      </c>
      <c r="L4187" s="125" t="n">
        <v>40841</v>
      </c>
    </row>
    <row r="4188">
      <c r="A4188" s="126" t="n">
        <v>18080</v>
      </c>
      <c r="B4188" s="126" t="inlineStr">
        <is>
          <t>United Kingdom</t>
        </is>
      </c>
      <c r="C4188" s="126" t="n">
        <v>19</v>
      </c>
      <c r="D4188" s="126" t="n">
        <v>2</v>
      </c>
      <c r="E4188" s="127" t="n">
        <v>1231.5</v>
      </c>
      <c r="F4188" s="128">
        <f>IF(C4188&lt;=30,5,IF(C4188&lt;=60,4,IF(C4188&lt;=120,3,IF(C4188&lt;=200,2,1))))</f>
        <v/>
      </c>
      <c r="G4188" s="128">
        <f>IF(D4188&gt;=20,5,IF(D4188&gt;=10,4,IF(D4188&gt;=5,3,IF(D4188&gt;=2,2,1))))</f>
        <v/>
      </c>
      <c r="H4188" s="128">
        <f>IF(E4188&gt;=5000,5,IF(E4188&gt;=2000,4,IF(E4188&gt;=800,3,IF(E4188&gt;=300,2,1))))</f>
        <v/>
      </c>
      <c r="I4188" s="126">
        <f>TEXT(F4188,"0")&amp;TEXT(G4188,"0")&amp;TEXT(H4188,"0")</f>
        <v/>
      </c>
      <c r="J4188" s="126">
        <f>IFERROR(XLOOKUP(I4188,'Segment Map'!A:A,'Segment Map'!B:B,"Need Attention"),"Need Attention")</f>
        <v/>
      </c>
      <c r="K4188" s="126">
        <f>IF(E4188&gt;=5000,"🏆 Platinum",IF(E4188&gt;=2000,"🥇 Gold",IF(E4188&gt;=800,"🥈 Silver","🥉 Bronze")))</f>
        <v/>
      </c>
      <c r="L4188" s="129" t="n">
        <v>40868</v>
      </c>
    </row>
    <row r="4189">
      <c r="A4189" s="122" t="n">
        <v>18081</v>
      </c>
      <c r="B4189" s="122" t="inlineStr">
        <is>
          <t>United Kingdom</t>
        </is>
      </c>
      <c r="C4189" s="122" t="n">
        <v>37</v>
      </c>
      <c r="D4189" s="122" t="n">
        <v>3</v>
      </c>
      <c r="E4189" s="123" t="n">
        <v>343.45</v>
      </c>
      <c r="F4189" s="124">
        <f>IF(C4189&lt;=30,5,IF(C4189&lt;=60,4,IF(C4189&lt;=120,3,IF(C4189&lt;=200,2,1))))</f>
        <v/>
      </c>
      <c r="G4189" s="124">
        <f>IF(D4189&gt;=20,5,IF(D4189&gt;=10,4,IF(D4189&gt;=5,3,IF(D4189&gt;=2,2,1))))</f>
        <v/>
      </c>
      <c r="H4189" s="124">
        <f>IF(E4189&gt;=5000,5,IF(E4189&gt;=2000,4,IF(E4189&gt;=800,3,IF(E4189&gt;=300,2,1))))</f>
        <v/>
      </c>
      <c r="I4189" s="122">
        <f>TEXT(F4189,"0")&amp;TEXT(G4189,"0")&amp;TEXT(H4189,"0")</f>
        <v/>
      </c>
      <c r="J4189" s="122">
        <f>IFERROR(XLOOKUP(I4189,'Segment Map'!A:A,'Segment Map'!B:B,"Need Attention"),"Need Attention")</f>
        <v/>
      </c>
      <c r="K4189" s="122">
        <f>IF(E4189&gt;=5000,"🏆 Platinum",IF(E4189&gt;=2000,"🥇 Gold",IF(E4189&gt;=800,"🥈 Silver","🥉 Bronze")))</f>
        <v/>
      </c>
      <c r="L4189" s="125" t="n">
        <v>40850</v>
      </c>
    </row>
    <row r="4190">
      <c r="A4190" s="126" t="n">
        <v>18082</v>
      </c>
      <c r="B4190" s="126" t="inlineStr">
        <is>
          <t>United Kingdom</t>
        </is>
      </c>
      <c r="C4190" s="126" t="n">
        <v>26</v>
      </c>
      <c r="D4190" s="126" t="n">
        <v>1</v>
      </c>
      <c r="E4190" s="127" t="n">
        <v>703.37</v>
      </c>
      <c r="F4190" s="128">
        <f>IF(C4190&lt;=30,5,IF(C4190&lt;=60,4,IF(C4190&lt;=120,3,IF(C4190&lt;=200,2,1))))</f>
        <v/>
      </c>
      <c r="G4190" s="128">
        <f>IF(D4190&gt;=20,5,IF(D4190&gt;=10,4,IF(D4190&gt;=5,3,IF(D4190&gt;=2,2,1))))</f>
        <v/>
      </c>
      <c r="H4190" s="128">
        <f>IF(E4190&gt;=5000,5,IF(E4190&gt;=2000,4,IF(E4190&gt;=800,3,IF(E4190&gt;=300,2,1))))</f>
        <v/>
      </c>
      <c r="I4190" s="126">
        <f>TEXT(F4190,"0")&amp;TEXT(G4190,"0")&amp;TEXT(H4190,"0")</f>
        <v/>
      </c>
      <c r="J4190" s="126">
        <f>IFERROR(XLOOKUP(I4190,'Segment Map'!A:A,'Segment Map'!B:B,"Need Attention"),"Need Attention")</f>
        <v/>
      </c>
      <c r="K4190" s="126">
        <f>IF(E4190&gt;=5000,"🏆 Platinum",IF(E4190&gt;=2000,"🥇 Gold",IF(E4190&gt;=800,"🥈 Silver","🥉 Bronze")))</f>
        <v/>
      </c>
      <c r="L4190" s="129" t="n">
        <v>40861</v>
      </c>
    </row>
    <row r="4191">
      <c r="A4191" s="122" t="n">
        <v>18084</v>
      </c>
      <c r="B4191" s="122" t="inlineStr">
        <is>
          <t>United Kingdom</t>
        </is>
      </c>
      <c r="C4191" s="122" t="n">
        <v>17</v>
      </c>
      <c r="D4191" s="122" t="n">
        <v>1</v>
      </c>
      <c r="E4191" s="123" t="n">
        <v>90.48</v>
      </c>
      <c r="F4191" s="124">
        <f>IF(C4191&lt;=30,5,IF(C4191&lt;=60,4,IF(C4191&lt;=120,3,IF(C4191&lt;=200,2,1))))</f>
        <v/>
      </c>
      <c r="G4191" s="124">
        <f>IF(D4191&gt;=20,5,IF(D4191&gt;=10,4,IF(D4191&gt;=5,3,IF(D4191&gt;=2,2,1))))</f>
        <v/>
      </c>
      <c r="H4191" s="124">
        <f>IF(E4191&gt;=5000,5,IF(E4191&gt;=2000,4,IF(E4191&gt;=800,3,IF(E4191&gt;=300,2,1))))</f>
        <v/>
      </c>
      <c r="I4191" s="122">
        <f>TEXT(F4191,"0")&amp;TEXT(G4191,"0")&amp;TEXT(H4191,"0")</f>
        <v/>
      </c>
      <c r="J4191" s="122">
        <f>IFERROR(XLOOKUP(I4191,'Segment Map'!A:A,'Segment Map'!B:B,"Need Attention"),"Need Attention")</f>
        <v/>
      </c>
      <c r="K4191" s="122">
        <f>IF(E4191&gt;=5000,"🏆 Platinum",IF(E4191&gt;=2000,"🥇 Gold",IF(E4191&gt;=800,"🥈 Silver","🥉 Bronze")))</f>
        <v/>
      </c>
      <c r="L4191" s="125" t="n">
        <v>40870</v>
      </c>
    </row>
    <row r="4192">
      <c r="A4192" s="126" t="n">
        <v>18085</v>
      </c>
      <c r="B4192" s="126" t="inlineStr">
        <is>
          <t>United Kingdom</t>
        </is>
      </c>
      <c r="C4192" s="126" t="n">
        <v>331</v>
      </c>
      <c r="D4192" s="126" t="n">
        <v>2</v>
      </c>
      <c r="E4192" s="127" t="n">
        <v>689.95</v>
      </c>
      <c r="F4192" s="128">
        <f>IF(C4192&lt;=30,5,IF(C4192&lt;=60,4,IF(C4192&lt;=120,3,IF(C4192&lt;=200,2,1))))</f>
        <v/>
      </c>
      <c r="G4192" s="128">
        <f>IF(D4192&gt;=20,5,IF(D4192&gt;=10,4,IF(D4192&gt;=5,3,IF(D4192&gt;=2,2,1))))</f>
        <v/>
      </c>
      <c r="H4192" s="128">
        <f>IF(E4192&gt;=5000,5,IF(E4192&gt;=2000,4,IF(E4192&gt;=800,3,IF(E4192&gt;=300,2,1))))</f>
        <v/>
      </c>
      <c r="I4192" s="126">
        <f>TEXT(F4192,"0")&amp;TEXT(G4192,"0")&amp;TEXT(H4192,"0")</f>
        <v/>
      </c>
      <c r="J4192" s="126">
        <f>IFERROR(XLOOKUP(I4192,'Segment Map'!A:A,'Segment Map'!B:B,"Need Attention"),"Need Attention")</f>
        <v/>
      </c>
      <c r="K4192" s="126">
        <f>IF(E4192&gt;=5000,"🏆 Platinum",IF(E4192&gt;=2000,"🥇 Gold",IF(E4192&gt;=800,"🥈 Silver","🥉 Bronze")))</f>
        <v/>
      </c>
      <c r="L4192" s="129" t="n">
        <v>40556</v>
      </c>
    </row>
    <row r="4193">
      <c r="A4193" s="122" t="n">
        <v>18086</v>
      </c>
      <c r="B4193" s="122" t="inlineStr">
        <is>
          <t>United Kingdom</t>
        </is>
      </c>
      <c r="C4193" s="122" t="n">
        <v>275</v>
      </c>
      <c r="D4193" s="122" t="n">
        <v>1</v>
      </c>
      <c r="E4193" s="123" t="n">
        <v>101.34</v>
      </c>
      <c r="F4193" s="124">
        <f>IF(C4193&lt;=30,5,IF(C4193&lt;=60,4,IF(C4193&lt;=120,3,IF(C4193&lt;=200,2,1))))</f>
        <v/>
      </c>
      <c r="G4193" s="124">
        <f>IF(D4193&gt;=20,5,IF(D4193&gt;=10,4,IF(D4193&gt;=5,3,IF(D4193&gt;=2,2,1))))</f>
        <v/>
      </c>
      <c r="H4193" s="124">
        <f>IF(E4193&gt;=5000,5,IF(E4193&gt;=2000,4,IF(E4193&gt;=800,3,IF(E4193&gt;=300,2,1))))</f>
        <v/>
      </c>
      <c r="I4193" s="122">
        <f>TEXT(F4193,"0")&amp;TEXT(G4193,"0")&amp;TEXT(H4193,"0")</f>
        <v/>
      </c>
      <c r="J4193" s="122">
        <f>IFERROR(XLOOKUP(I4193,'Segment Map'!A:A,'Segment Map'!B:B,"Need Attention"),"Need Attention")</f>
        <v/>
      </c>
      <c r="K4193" s="122">
        <f>IF(E4193&gt;=5000,"🏆 Platinum",IF(E4193&gt;=2000,"🥇 Gold",IF(E4193&gt;=800,"🥈 Silver","🥉 Bronze")))</f>
        <v/>
      </c>
      <c r="L4193" s="125" t="n">
        <v>40612</v>
      </c>
    </row>
    <row r="4194">
      <c r="A4194" s="126" t="n">
        <v>18087</v>
      </c>
      <c r="B4194" s="126" t="inlineStr">
        <is>
          <t>United Kingdom</t>
        </is>
      </c>
      <c r="C4194" s="126" t="n">
        <v>99</v>
      </c>
      <c r="D4194" s="126" t="n">
        <v>2</v>
      </c>
      <c r="E4194" s="127" t="n">
        <v>4055.72</v>
      </c>
      <c r="F4194" s="128">
        <f>IF(C4194&lt;=30,5,IF(C4194&lt;=60,4,IF(C4194&lt;=120,3,IF(C4194&lt;=200,2,1))))</f>
        <v/>
      </c>
      <c r="G4194" s="128">
        <f>IF(D4194&gt;=20,5,IF(D4194&gt;=10,4,IF(D4194&gt;=5,3,IF(D4194&gt;=2,2,1))))</f>
        <v/>
      </c>
      <c r="H4194" s="128">
        <f>IF(E4194&gt;=5000,5,IF(E4194&gt;=2000,4,IF(E4194&gt;=800,3,IF(E4194&gt;=300,2,1))))</f>
        <v/>
      </c>
      <c r="I4194" s="126">
        <f>TEXT(F4194,"0")&amp;TEXT(G4194,"0")&amp;TEXT(H4194,"0")</f>
        <v/>
      </c>
      <c r="J4194" s="126">
        <f>IFERROR(XLOOKUP(I4194,'Segment Map'!A:A,'Segment Map'!B:B,"Need Attention"),"Need Attention")</f>
        <v/>
      </c>
      <c r="K4194" s="126">
        <f>IF(E4194&gt;=5000,"🏆 Platinum",IF(E4194&gt;=2000,"🥇 Gold",IF(E4194&gt;=800,"🥈 Silver","🥉 Bronze")))</f>
        <v/>
      </c>
      <c r="L4194" s="129" t="n">
        <v>40788</v>
      </c>
    </row>
    <row r="4195">
      <c r="A4195" s="122" t="n">
        <v>18088</v>
      </c>
      <c r="B4195" s="122" t="inlineStr">
        <is>
          <t>United Kingdom</t>
        </is>
      </c>
      <c r="C4195" s="122" t="n">
        <v>62</v>
      </c>
      <c r="D4195" s="122" t="n">
        <v>1</v>
      </c>
      <c r="E4195" s="123" t="n">
        <v>167.67</v>
      </c>
      <c r="F4195" s="124">
        <f>IF(C4195&lt;=30,5,IF(C4195&lt;=60,4,IF(C4195&lt;=120,3,IF(C4195&lt;=200,2,1))))</f>
        <v/>
      </c>
      <c r="G4195" s="124">
        <f>IF(D4195&gt;=20,5,IF(D4195&gt;=10,4,IF(D4195&gt;=5,3,IF(D4195&gt;=2,2,1))))</f>
        <v/>
      </c>
      <c r="H4195" s="124">
        <f>IF(E4195&gt;=5000,5,IF(E4195&gt;=2000,4,IF(E4195&gt;=800,3,IF(E4195&gt;=300,2,1))))</f>
        <v/>
      </c>
      <c r="I4195" s="122">
        <f>TEXT(F4195,"0")&amp;TEXT(G4195,"0")&amp;TEXT(H4195,"0")</f>
        <v/>
      </c>
      <c r="J4195" s="122">
        <f>IFERROR(XLOOKUP(I4195,'Segment Map'!A:A,'Segment Map'!B:B,"Need Attention"),"Need Attention")</f>
        <v/>
      </c>
      <c r="K4195" s="122">
        <f>IF(E4195&gt;=5000,"🏆 Platinum",IF(E4195&gt;=2000,"🥇 Gold",IF(E4195&gt;=800,"🥈 Silver","🥉 Bronze")))</f>
        <v/>
      </c>
      <c r="L4195" s="125" t="n">
        <v>40825</v>
      </c>
    </row>
    <row r="4196">
      <c r="A4196" s="126" t="n">
        <v>18092</v>
      </c>
      <c r="B4196" s="126" t="inlineStr">
        <is>
          <t>United Kingdom</t>
        </is>
      </c>
      <c r="C4196" s="126" t="n">
        <v>3</v>
      </c>
      <c r="D4196" s="126" t="n">
        <v>11</v>
      </c>
      <c r="E4196" s="127" t="n">
        <v>9068.26</v>
      </c>
      <c r="F4196" s="128">
        <f>IF(C4196&lt;=30,5,IF(C4196&lt;=60,4,IF(C4196&lt;=120,3,IF(C4196&lt;=200,2,1))))</f>
        <v/>
      </c>
      <c r="G4196" s="128">
        <f>IF(D4196&gt;=20,5,IF(D4196&gt;=10,4,IF(D4196&gt;=5,3,IF(D4196&gt;=2,2,1))))</f>
        <v/>
      </c>
      <c r="H4196" s="128">
        <f>IF(E4196&gt;=5000,5,IF(E4196&gt;=2000,4,IF(E4196&gt;=800,3,IF(E4196&gt;=300,2,1))))</f>
        <v/>
      </c>
      <c r="I4196" s="126">
        <f>TEXT(F4196,"0")&amp;TEXT(G4196,"0")&amp;TEXT(H4196,"0")</f>
        <v/>
      </c>
      <c r="J4196" s="126">
        <f>IFERROR(XLOOKUP(I4196,'Segment Map'!A:A,'Segment Map'!B:B,"Need Attention"),"Need Attention")</f>
        <v/>
      </c>
      <c r="K4196" s="126">
        <f>IF(E4196&gt;=5000,"🏆 Platinum",IF(E4196&gt;=2000,"🥇 Gold",IF(E4196&gt;=800,"🥈 Silver","🥉 Bronze")))</f>
        <v/>
      </c>
      <c r="L4196" s="129" t="n">
        <v>40884</v>
      </c>
    </row>
    <row r="4197">
      <c r="A4197" s="122" t="n">
        <v>18093</v>
      </c>
      <c r="B4197" s="122" t="inlineStr">
        <is>
          <t>United Kingdom</t>
        </is>
      </c>
      <c r="C4197" s="122" t="n">
        <v>94</v>
      </c>
      <c r="D4197" s="122" t="n">
        <v>4</v>
      </c>
      <c r="E4197" s="123" t="n">
        <v>2106.52</v>
      </c>
      <c r="F4197" s="124">
        <f>IF(C4197&lt;=30,5,IF(C4197&lt;=60,4,IF(C4197&lt;=120,3,IF(C4197&lt;=200,2,1))))</f>
        <v/>
      </c>
      <c r="G4197" s="124">
        <f>IF(D4197&gt;=20,5,IF(D4197&gt;=10,4,IF(D4197&gt;=5,3,IF(D4197&gt;=2,2,1))))</f>
        <v/>
      </c>
      <c r="H4197" s="124">
        <f>IF(E4197&gt;=5000,5,IF(E4197&gt;=2000,4,IF(E4197&gt;=800,3,IF(E4197&gt;=300,2,1))))</f>
        <v/>
      </c>
      <c r="I4197" s="122">
        <f>TEXT(F4197,"0")&amp;TEXT(G4197,"0")&amp;TEXT(H4197,"0")</f>
        <v/>
      </c>
      <c r="J4197" s="122">
        <f>IFERROR(XLOOKUP(I4197,'Segment Map'!A:A,'Segment Map'!B:B,"Need Attention"),"Need Attention")</f>
        <v/>
      </c>
      <c r="K4197" s="122">
        <f>IF(E4197&gt;=5000,"🏆 Platinum",IF(E4197&gt;=2000,"🥇 Gold",IF(E4197&gt;=800,"🥈 Silver","🥉 Bronze")))</f>
        <v/>
      </c>
      <c r="L4197" s="125" t="n">
        <v>40793</v>
      </c>
    </row>
    <row r="4198">
      <c r="A4198" s="126" t="n">
        <v>18094</v>
      </c>
      <c r="B4198" s="126" t="inlineStr">
        <is>
          <t>United Kingdom</t>
        </is>
      </c>
      <c r="C4198" s="126" t="n">
        <v>82</v>
      </c>
      <c r="D4198" s="126" t="n">
        <v>7</v>
      </c>
      <c r="E4198" s="127" t="n">
        <v>3017.3</v>
      </c>
      <c r="F4198" s="128">
        <f>IF(C4198&lt;=30,5,IF(C4198&lt;=60,4,IF(C4198&lt;=120,3,IF(C4198&lt;=200,2,1))))</f>
        <v/>
      </c>
      <c r="G4198" s="128">
        <f>IF(D4198&gt;=20,5,IF(D4198&gt;=10,4,IF(D4198&gt;=5,3,IF(D4198&gt;=2,2,1))))</f>
        <v/>
      </c>
      <c r="H4198" s="128">
        <f>IF(E4198&gt;=5000,5,IF(E4198&gt;=2000,4,IF(E4198&gt;=800,3,IF(E4198&gt;=300,2,1))))</f>
        <v/>
      </c>
      <c r="I4198" s="126">
        <f>TEXT(F4198,"0")&amp;TEXT(G4198,"0")&amp;TEXT(H4198,"0")</f>
        <v/>
      </c>
      <c r="J4198" s="126">
        <f>IFERROR(XLOOKUP(I4198,'Segment Map'!A:A,'Segment Map'!B:B,"Need Attention"),"Need Attention")</f>
        <v/>
      </c>
      <c r="K4198" s="126">
        <f>IF(E4198&gt;=5000,"🏆 Platinum",IF(E4198&gt;=2000,"🥇 Gold",IF(E4198&gt;=800,"🥈 Silver","🥉 Bronze")))</f>
        <v/>
      </c>
      <c r="L4198" s="129" t="n">
        <v>40805</v>
      </c>
    </row>
    <row r="4199">
      <c r="A4199" s="122" t="n">
        <v>18095</v>
      </c>
      <c r="B4199" s="122" t="inlineStr">
        <is>
          <t>United Kingdom</t>
        </is>
      </c>
      <c r="C4199" s="122" t="n">
        <v>313</v>
      </c>
      <c r="D4199" s="122" t="n">
        <v>2</v>
      </c>
      <c r="E4199" s="123" t="n">
        <v>580.05</v>
      </c>
      <c r="F4199" s="124">
        <f>IF(C4199&lt;=30,5,IF(C4199&lt;=60,4,IF(C4199&lt;=120,3,IF(C4199&lt;=200,2,1))))</f>
        <v/>
      </c>
      <c r="G4199" s="124">
        <f>IF(D4199&gt;=20,5,IF(D4199&gt;=10,4,IF(D4199&gt;=5,3,IF(D4199&gt;=2,2,1))))</f>
        <v/>
      </c>
      <c r="H4199" s="124">
        <f>IF(E4199&gt;=5000,5,IF(E4199&gt;=2000,4,IF(E4199&gt;=800,3,IF(E4199&gt;=300,2,1))))</f>
        <v/>
      </c>
      <c r="I4199" s="122">
        <f>TEXT(F4199,"0")&amp;TEXT(G4199,"0")&amp;TEXT(H4199,"0")</f>
        <v/>
      </c>
      <c r="J4199" s="122">
        <f>IFERROR(XLOOKUP(I4199,'Segment Map'!A:A,'Segment Map'!B:B,"Need Attention"),"Need Attention")</f>
        <v/>
      </c>
      <c r="K4199" s="122">
        <f>IF(E4199&gt;=5000,"🏆 Platinum",IF(E4199&gt;=2000,"🥇 Gold",IF(E4199&gt;=800,"🥈 Silver","🥉 Bronze")))</f>
        <v/>
      </c>
      <c r="L4199" s="125" t="n">
        <v>40574</v>
      </c>
    </row>
    <row r="4200">
      <c r="A4200" s="126" t="n">
        <v>18096</v>
      </c>
      <c r="B4200" s="126" t="inlineStr">
        <is>
          <t>United Kingdom</t>
        </is>
      </c>
      <c r="C4200" s="126" t="n">
        <v>12</v>
      </c>
      <c r="D4200" s="126" t="n">
        <v>3</v>
      </c>
      <c r="E4200" s="127" t="n">
        <v>911.15</v>
      </c>
      <c r="F4200" s="128">
        <f>IF(C4200&lt;=30,5,IF(C4200&lt;=60,4,IF(C4200&lt;=120,3,IF(C4200&lt;=200,2,1))))</f>
        <v/>
      </c>
      <c r="G4200" s="128">
        <f>IF(D4200&gt;=20,5,IF(D4200&gt;=10,4,IF(D4200&gt;=5,3,IF(D4200&gt;=2,2,1))))</f>
        <v/>
      </c>
      <c r="H4200" s="128">
        <f>IF(E4200&gt;=5000,5,IF(E4200&gt;=2000,4,IF(E4200&gt;=800,3,IF(E4200&gt;=300,2,1))))</f>
        <v/>
      </c>
      <c r="I4200" s="126">
        <f>TEXT(F4200,"0")&amp;TEXT(G4200,"0")&amp;TEXT(H4200,"0")</f>
        <v/>
      </c>
      <c r="J4200" s="126">
        <f>IFERROR(XLOOKUP(I4200,'Segment Map'!A:A,'Segment Map'!B:B,"Need Attention"),"Need Attention")</f>
        <v/>
      </c>
      <c r="K4200" s="126">
        <f>IF(E4200&gt;=5000,"🏆 Platinum",IF(E4200&gt;=2000,"🥇 Gold",IF(E4200&gt;=800,"🥈 Silver","🥉 Bronze")))</f>
        <v/>
      </c>
      <c r="L4200" s="129" t="n">
        <v>40875</v>
      </c>
    </row>
    <row r="4201">
      <c r="A4201" s="122" t="n">
        <v>18097</v>
      </c>
      <c r="B4201" s="122" t="inlineStr">
        <is>
          <t>United Kingdom</t>
        </is>
      </c>
      <c r="C4201" s="122" t="n">
        <v>8</v>
      </c>
      <c r="D4201" s="122" t="n">
        <v>6</v>
      </c>
      <c r="E4201" s="123" t="n">
        <v>2697.8</v>
      </c>
      <c r="F4201" s="124">
        <f>IF(C4201&lt;=30,5,IF(C4201&lt;=60,4,IF(C4201&lt;=120,3,IF(C4201&lt;=200,2,1))))</f>
        <v/>
      </c>
      <c r="G4201" s="124">
        <f>IF(D4201&gt;=20,5,IF(D4201&gt;=10,4,IF(D4201&gt;=5,3,IF(D4201&gt;=2,2,1))))</f>
        <v/>
      </c>
      <c r="H4201" s="124">
        <f>IF(E4201&gt;=5000,5,IF(E4201&gt;=2000,4,IF(E4201&gt;=800,3,IF(E4201&gt;=300,2,1))))</f>
        <v/>
      </c>
      <c r="I4201" s="122">
        <f>TEXT(F4201,"0")&amp;TEXT(G4201,"0")&amp;TEXT(H4201,"0")</f>
        <v/>
      </c>
      <c r="J4201" s="122">
        <f>IFERROR(XLOOKUP(I4201,'Segment Map'!A:A,'Segment Map'!B:B,"Need Attention"),"Need Attention")</f>
        <v/>
      </c>
      <c r="K4201" s="122">
        <f>IF(E4201&gt;=5000,"🏆 Platinum",IF(E4201&gt;=2000,"🥇 Gold",IF(E4201&gt;=800,"🥈 Silver","🥉 Bronze")))</f>
        <v/>
      </c>
      <c r="L4201" s="125" t="n">
        <v>40879</v>
      </c>
    </row>
    <row r="4202">
      <c r="A4202" s="126" t="n">
        <v>18099</v>
      </c>
      <c r="B4202" s="126" t="inlineStr">
        <is>
          <t>United Kingdom</t>
        </is>
      </c>
      <c r="C4202" s="126" t="n">
        <v>128</v>
      </c>
      <c r="D4202" s="126" t="n">
        <v>1</v>
      </c>
      <c r="E4202" s="127" t="n">
        <v>168.31</v>
      </c>
      <c r="F4202" s="128">
        <f>IF(C4202&lt;=30,5,IF(C4202&lt;=60,4,IF(C4202&lt;=120,3,IF(C4202&lt;=200,2,1))))</f>
        <v/>
      </c>
      <c r="G4202" s="128">
        <f>IF(D4202&gt;=20,5,IF(D4202&gt;=10,4,IF(D4202&gt;=5,3,IF(D4202&gt;=2,2,1))))</f>
        <v/>
      </c>
      <c r="H4202" s="128">
        <f>IF(E4202&gt;=5000,5,IF(E4202&gt;=2000,4,IF(E4202&gt;=800,3,IF(E4202&gt;=300,2,1))))</f>
        <v/>
      </c>
      <c r="I4202" s="126">
        <f>TEXT(F4202,"0")&amp;TEXT(G4202,"0")&amp;TEXT(H4202,"0")</f>
        <v/>
      </c>
      <c r="J4202" s="126">
        <f>IFERROR(XLOOKUP(I4202,'Segment Map'!A:A,'Segment Map'!B:B,"Need Attention"),"Need Attention")</f>
        <v/>
      </c>
      <c r="K4202" s="126">
        <f>IF(E4202&gt;=5000,"🏆 Platinum",IF(E4202&gt;=2000,"🥇 Gold",IF(E4202&gt;=800,"🥈 Silver","🥉 Bronze")))</f>
        <v/>
      </c>
      <c r="L4202" s="129" t="n">
        <v>40759</v>
      </c>
    </row>
    <row r="4203">
      <c r="A4203" s="122" t="n">
        <v>18101</v>
      </c>
      <c r="B4203" s="122" t="inlineStr">
        <is>
          <t>United Kingdom</t>
        </is>
      </c>
      <c r="C4203" s="122" t="n">
        <v>12</v>
      </c>
      <c r="D4203" s="122" t="n">
        <v>2</v>
      </c>
      <c r="E4203" s="123" t="n">
        <v>223.65</v>
      </c>
      <c r="F4203" s="124">
        <f>IF(C4203&lt;=30,5,IF(C4203&lt;=60,4,IF(C4203&lt;=120,3,IF(C4203&lt;=200,2,1))))</f>
        <v/>
      </c>
      <c r="G4203" s="124">
        <f>IF(D4203&gt;=20,5,IF(D4203&gt;=10,4,IF(D4203&gt;=5,3,IF(D4203&gt;=2,2,1))))</f>
        <v/>
      </c>
      <c r="H4203" s="124">
        <f>IF(E4203&gt;=5000,5,IF(E4203&gt;=2000,4,IF(E4203&gt;=800,3,IF(E4203&gt;=300,2,1))))</f>
        <v/>
      </c>
      <c r="I4203" s="122">
        <f>TEXT(F4203,"0")&amp;TEXT(G4203,"0")&amp;TEXT(H4203,"0")</f>
        <v/>
      </c>
      <c r="J4203" s="122">
        <f>IFERROR(XLOOKUP(I4203,'Segment Map'!A:A,'Segment Map'!B:B,"Need Attention"),"Need Attention")</f>
        <v/>
      </c>
      <c r="K4203" s="122">
        <f>IF(E4203&gt;=5000,"🏆 Platinum",IF(E4203&gt;=2000,"🥇 Gold",IF(E4203&gt;=800,"🥈 Silver","🥉 Bronze")))</f>
        <v/>
      </c>
      <c r="L4203" s="125" t="n">
        <v>40875</v>
      </c>
    </row>
    <row r="4204">
      <c r="A4204" s="126" t="n">
        <v>18102</v>
      </c>
      <c r="B4204" s="126" t="inlineStr">
        <is>
          <t>United Kingdom</t>
        </is>
      </c>
      <c r="C4204" s="126" t="n">
        <v>1</v>
      </c>
      <c r="D4204" s="126" t="n">
        <v>60</v>
      </c>
      <c r="E4204" s="127" t="n">
        <v>259657.3</v>
      </c>
      <c r="F4204" s="128">
        <f>IF(C4204&lt;=30,5,IF(C4204&lt;=60,4,IF(C4204&lt;=120,3,IF(C4204&lt;=200,2,1))))</f>
        <v/>
      </c>
      <c r="G4204" s="128">
        <f>IF(D4204&gt;=20,5,IF(D4204&gt;=10,4,IF(D4204&gt;=5,3,IF(D4204&gt;=2,2,1))))</f>
        <v/>
      </c>
      <c r="H4204" s="128">
        <f>IF(E4204&gt;=5000,5,IF(E4204&gt;=2000,4,IF(E4204&gt;=800,3,IF(E4204&gt;=300,2,1))))</f>
        <v/>
      </c>
      <c r="I4204" s="126">
        <f>TEXT(F4204,"0")&amp;TEXT(G4204,"0")&amp;TEXT(H4204,"0")</f>
        <v/>
      </c>
      <c r="J4204" s="126">
        <f>IFERROR(XLOOKUP(I4204,'Segment Map'!A:A,'Segment Map'!B:B,"Need Attention"),"Need Attention")</f>
        <v/>
      </c>
      <c r="K4204" s="126">
        <f>IF(E4204&gt;=5000,"🏆 Platinum",IF(E4204&gt;=2000,"🥇 Gold",IF(E4204&gt;=800,"🥈 Silver","🥉 Bronze")))</f>
        <v/>
      </c>
      <c r="L4204" s="129" t="n">
        <v>40886</v>
      </c>
    </row>
    <row r="4205">
      <c r="A4205" s="122" t="n">
        <v>18104</v>
      </c>
      <c r="B4205" s="122" t="inlineStr">
        <is>
          <t>United Kingdom</t>
        </is>
      </c>
      <c r="C4205" s="122" t="n">
        <v>38</v>
      </c>
      <c r="D4205" s="122" t="n">
        <v>1</v>
      </c>
      <c r="E4205" s="123" t="n">
        <v>754.64</v>
      </c>
      <c r="F4205" s="124">
        <f>IF(C4205&lt;=30,5,IF(C4205&lt;=60,4,IF(C4205&lt;=120,3,IF(C4205&lt;=200,2,1))))</f>
        <v/>
      </c>
      <c r="G4205" s="124">
        <f>IF(D4205&gt;=20,5,IF(D4205&gt;=10,4,IF(D4205&gt;=5,3,IF(D4205&gt;=2,2,1))))</f>
        <v/>
      </c>
      <c r="H4205" s="124">
        <f>IF(E4205&gt;=5000,5,IF(E4205&gt;=2000,4,IF(E4205&gt;=800,3,IF(E4205&gt;=300,2,1))))</f>
        <v/>
      </c>
      <c r="I4205" s="122">
        <f>TEXT(F4205,"0")&amp;TEXT(G4205,"0")&amp;TEXT(H4205,"0")</f>
        <v/>
      </c>
      <c r="J4205" s="122">
        <f>IFERROR(XLOOKUP(I4205,'Segment Map'!A:A,'Segment Map'!B:B,"Need Attention"),"Need Attention")</f>
        <v/>
      </c>
      <c r="K4205" s="122">
        <f>IF(E4205&gt;=5000,"🏆 Platinum",IF(E4205&gt;=2000,"🥇 Gold",IF(E4205&gt;=800,"🥈 Silver","🥉 Bronze")))</f>
        <v/>
      </c>
      <c r="L4205" s="125" t="n">
        <v>40849</v>
      </c>
    </row>
    <row r="4206">
      <c r="A4206" s="126" t="n">
        <v>18105</v>
      </c>
      <c r="B4206" s="126" t="inlineStr">
        <is>
          <t>United Kingdom</t>
        </is>
      </c>
      <c r="C4206" s="126" t="n">
        <v>38</v>
      </c>
      <c r="D4206" s="126" t="n">
        <v>1</v>
      </c>
      <c r="E4206" s="127" t="n">
        <v>113.48</v>
      </c>
      <c r="F4206" s="128">
        <f>IF(C4206&lt;=30,5,IF(C4206&lt;=60,4,IF(C4206&lt;=120,3,IF(C4206&lt;=200,2,1))))</f>
        <v/>
      </c>
      <c r="G4206" s="128">
        <f>IF(D4206&gt;=20,5,IF(D4206&gt;=10,4,IF(D4206&gt;=5,3,IF(D4206&gt;=2,2,1))))</f>
        <v/>
      </c>
      <c r="H4206" s="128">
        <f>IF(E4206&gt;=5000,5,IF(E4206&gt;=2000,4,IF(E4206&gt;=800,3,IF(E4206&gt;=300,2,1))))</f>
        <v/>
      </c>
      <c r="I4206" s="126">
        <f>TEXT(F4206,"0")&amp;TEXT(G4206,"0")&amp;TEXT(H4206,"0")</f>
        <v/>
      </c>
      <c r="J4206" s="126">
        <f>IFERROR(XLOOKUP(I4206,'Segment Map'!A:A,'Segment Map'!B:B,"Need Attention"),"Need Attention")</f>
        <v/>
      </c>
      <c r="K4206" s="126">
        <f>IF(E4206&gt;=5000,"🏆 Platinum",IF(E4206&gt;=2000,"🥇 Gold",IF(E4206&gt;=800,"🥈 Silver","🥉 Bronze")))</f>
        <v/>
      </c>
      <c r="L4206" s="129" t="n">
        <v>40849</v>
      </c>
    </row>
    <row r="4207">
      <c r="A4207" s="122" t="n">
        <v>18106</v>
      </c>
      <c r="B4207" s="122" t="inlineStr">
        <is>
          <t>United Kingdom</t>
        </is>
      </c>
      <c r="C4207" s="122" t="n">
        <v>330</v>
      </c>
      <c r="D4207" s="122" t="n">
        <v>1</v>
      </c>
      <c r="E4207" s="123" t="n">
        <v>430.7</v>
      </c>
      <c r="F4207" s="124">
        <f>IF(C4207&lt;=30,5,IF(C4207&lt;=60,4,IF(C4207&lt;=120,3,IF(C4207&lt;=200,2,1))))</f>
        <v/>
      </c>
      <c r="G4207" s="124">
        <f>IF(D4207&gt;=20,5,IF(D4207&gt;=10,4,IF(D4207&gt;=5,3,IF(D4207&gt;=2,2,1))))</f>
        <v/>
      </c>
      <c r="H4207" s="124">
        <f>IF(E4207&gt;=5000,5,IF(E4207&gt;=2000,4,IF(E4207&gt;=800,3,IF(E4207&gt;=300,2,1))))</f>
        <v/>
      </c>
      <c r="I4207" s="122">
        <f>TEXT(F4207,"0")&amp;TEXT(G4207,"0")&amp;TEXT(H4207,"0")</f>
        <v/>
      </c>
      <c r="J4207" s="122">
        <f>IFERROR(XLOOKUP(I4207,'Segment Map'!A:A,'Segment Map'!B:B,"Need Attention"),"Need Attention")</f>
        <v/>
      </c>
      <c r="K4207" s="122">
        <f>IF(E4207&gt;=5000,"🏆 Platinum",IF(E4207&gt;=2000,"🥇 Gold",IF(E4207&gt;=800,"🥈 Silver","🥉 Bronze")))</f>
        <v/>
      </c>
      <c r="L4207" s="125" t="n">
        <v>40557</v>
      </c>
    </row>
    <row r="4208">
      <c r="A4208" s="126" t="n">
        <v>18108</v>
      </c>
      <c r="B4208" s="126" t="inlineStr">
        <is>
          <t>United Kingdom</t>
        </is>
      </c>
      <c r="C4208" s="126" t="n">
        <v>255</v>
      </c>
      <c r="D4208" s="126" t="n">
        <v>1</v>
      </c>
      <c r="E4208" s="127" t="n">
        <v>271</v>
      </c>
      <c r="F4208" s="128">
        <f>IF(C4208&lt;=30,5,IF(C4208&lt;=60,4,IF(C4208&lt;=120,3,IF(C4208&lt;=200,2,1))))</f>
        <v/>
      </c>
      <c r="G4208" s="128">
        <f>IF(D4208&gt;=20,5,IF(D4208&gt;=10,4,IF(D4208&gt;=5,3,IF(D4208&gt;=2,2,1))))</f>
        <v/>
      </c>
      <c r="H4208" s="128">
        <f>IF(E4208&gt;=5000,5,IF(E4208&gt;=2000,4,IF(E4208&gt;=800,3,IF(E4208&gt;=300,2,1))))</f>
        <v/>
      </c>
      <c r="I4208" s="126">
        <f>TEXT(F4208,"0")&amp;TEXT(G4208,"0")&amp;TEXT(H4208,"0")</f>
        <v/>
      </c>
      <c r="J4208" s="126">
        <f>IFERROR(XLOOKUP(I4208,'Segment Map'!A:A,'Segment Map'!B:B,"Need Attention"),"Need Attention")</f>
        <v/>
      </c>
      <c r="K4208" s="126">
        <f>IF(E4208&gt;=5000,"🏆 Platinum",IF(E4208&gt;=2000,"🥇 Gold",IF(E4208&gt;=800,"🥈 Silver","🥉 Bronze")))</f>
        <v/>
      </c>
      <c r="L4208" s="129" t="n">
        <v>40632</v>
      </c>
    </row>
    <row r="4209">
      <c r="A4209" s="122" t="n">
        <v>18109</v>
      </c>
      <c r="B4209" s="122" t="inlineStr">
        <is>
          <t>United Kingdom</t>
        </is>
      </c>
      <c r="C4209" s="122" t="n">
        <v>2</v>
      </c>
      <c r="D4209" s="122" t="n">
        <v>26</v>
      </c>
      <c r="E4209" s="123" t="n">
        <v>8052.97</v>
      </c>
      <c r="F4209" s="124">
        <f>IF(C4209&lt;=30,5,IF(C4209&lt;=60,4,IF(C4209&lt;=120,3,IF(C4209&lt;=200,2,1))))</f>
        <v/>
      </c>
      <c r="G4209" s="124">
        <f>IF(D4209&gt;=20,5,IF(D4209&gt;=10,4,IF(D4209&gt;=5,3,IF(D4209&gt;=2,2,1))))</f>
        <v/>
      </c>
      <c r="H4209" s="124">
        <f>IF(E4209&gt;=5000,5,IF(E4209&gt;=2000,4,IF(E4209&gt;=800,3,IF(E4209&gt;=300,2,1))))</f>
        <v/>
      </c>
      <c r="I4209" s="122">
        <f>TEXT(F4209,"0")&amp;TEXT(G4209,"0")&amp;TEXT(H4209,"0")</f>
        <v/>
      </c>
      <c r="J4209" s="122">
        <f>IFERROR(XLOOKUP(I4209,'Segment Map'!A:A,'Segment Map'!B:B,"Need Attention"),"Need Attention")</f>
        <v/>
      </c>
      <c r="K4209" s="122">
        <f>IF(E4209&gt;=5000,"🏆 Platinum",IF(E4209&gt;=2000,"🥇 Gold",IF(E4209&gt;=800,"🥈 Silver","🥉 Bronze")))</f>
        <v/>
      </c>
      <c r="L4209" s="125" t="n">
        <v>40885</v>
      </c>
    </row>
    <row r="4210">
      <c r="A4210" s="126" t="n">
        <v>18110</v>
      </c>
      <c r="B4210" s="126" t="inlineStr">
        <is>
          <t>United Kingdom</t>
        </is>
      </c>
      <c r="C4210" s="126" t="n">
        <v>20</v>
      </c>
      <c r="D4210" s="126" t="n">
        <v>1</v>
      </c>
      <c r="E4210" s="127" t="n">
        <v>236.3</v>
      </c>
      <c r="F4210" s="128">
        <f>IF(C4210&lt;=30,5,IF(C4210&lt;=60,4,IF(C4210&lt;=120,3,IF(C4210&lt;=200,2,1))))</f>
        <v/>
      </c>
      <c r="G4210" s="128">
        <f>IF(D4210&gt;=20,5,IF(D4210&gt;=10,4,IF(D4210&gt;=5,3,IF(D4210&gt;=2,2,1))))</f>
        <v/>
      </c>
      <c r="H4210" s="128">
        <f>IF(E4210&gt;=5000,5,IF(E4210&gt;=2000,4,IF(E4210&gt;=800,3,IF(E4210&gt;=300,2,1))))</f>
        <v/>
      </c>
      <c r="I4210" s="126">
        <f>TEXT(F4210,"0")&amp;TEXT(G4210,"0")&amp;TEXT(H4210,"0")</f>
        <v/>
      </c>
      <c r="J4210" s="126">
        <f>IFERROR(XLOOKUP(I4210,'Segment Map'!A:A,'Segment Map'!B:B,"Need Attention"),"Need Attention")</f>
        <v/>
      </c>
      <c r="K4210" s="126">
        <f>IF(E4210&gt;=5000,"🏆 Platinum",IF(E4210&gt;=2000,"🥇 Gold",IF(E4210&gt;=800,"🥈 Silver","🥉 Bronze")))</f>
        <v/>
      </c>
      <c r="L4210" s="129" t="n">
        <v>40867</v>
      </c>
    </row>
    <row r="4211">
      <c r="A4211" s="122" t="n">
        <v>18112</v>
      </c>
      <c r="B4211" s="122" t="inlineStr">
        <is>
          <t>United Kingdom</t>
        </is>
      </c>
      <c r="C4211" s="122" t="n">
        <v>13</v>
      </c>
      <c r="D4211" s="122" t="n">
        <v>2</v>
      </c>
      <c r="E4211" s="123" t="n">
        <v>352.69</v>
      </c>
      <c r="F4211" s="124">
        <f>IF(C4211&lt;=30,5,IF(C4211&lt;=60,4,IF(C4211&lt;=120,3,IF(C4211&lt;=200,2,1))))</f>
        <v/>
      </c>
      <c r="G4211" s="124">
        <f>IF(D4211&gt;=20,5,IF(D4211&gt;=10,4,IF(D4211&gt;=5,3,IF(D4211&gt;=2,2,1))))</f>
        <v/>
      </c>
      <c r="H4211" s="124">
        <f>IF(E4211&gt;=5000,5,IF(E4211&gt;=2000,4,IF(E4211&gt;=800,3,IF(E4211&gt;=300,2,1))))</f>
        <v/>
      </c>
      <c r="I4211" s="122">
        <f>TEXT(F4211,"0")&amp;TEXT(G4211,"0")&amp;TEXT(H4211,"0")</f>
        <v/>
      </c>
      <c r="J4211" s="122">
        <f>IFERROR(XLOOKUP(I4211,'Segment Map'!A:A,'Segment Map'!B:B,"Need Attention"),"Need Attention")</f>
        <v/>
      </c>
      <c r="K4211" s="122">
        <f>IF(E4211&gt;=5000,"🏆 Platinum",IF(E4211&gt;=2000,"🥇 Gold",IF(E4211&gt;=800,"🥈 Silver","🥉 Bronze")))</f>
        <v/>
      </c>
      <c r="L4211" s="125" t="n">
        <v>40874</v>
      </c>
    </row>
    <row r="4212">
      <c r="A4212" s="126" t="n">
        <v>18113</v>
      </c>
      <c r="B4212" s="126" t="inlineStr">
        <is>
          <t>United Kingdom</t>
        </is>
      </c>
      <c r="C4212" s="126" t="n">
        <v>369</v>
      </c>
      <c r="D4212" s="126" t="n">
        <v>1</v>
      </c>
      <c r="E4212" s="127" t="n">
        <v>76.31999999999999</v>
      </c>
      <c r="F4212" s="128">
        <f>IF(C4212&lt;=30,5,IF(C4212&lt;=60,4,IF(C4212&lt;=120,3,IF(C4212&lt;=200,2,1))))</f>
        <v/>
      </c>
      <c r="G4212" s="128">
        <f>IF(D4212&gt;=20,5,IF(D4212&gt;=10,4,IF(D4212&gt;=5,3,IF(D4212&gt;=2,2,1))))</f>
        <v/>
      </c>
      <c r="H4212" s="128">
        <f>IF(E4212&gt;=5000,5,IF(E4212&gt;=2000,4,IF(E4212&gt;=800,3,IF(E4212&gt;=300,2,1))))</f>
        <v/>
      </c>
      <c r="I4212" s="126">
        <f>TEXT(F4212,"0")&amp;TEXT(G4212,"0")&amp;TEXT(H4212,"0")</f>
        <v/>
      </c>
      <c r="J4212" s="126">
        <f>IFERROR(XLOOKUP(I4212,'Segment Map'!A:A,'Segment Map'!B:B,"Need Attention"),"Need Attention")</f>
        <v/>
      </c>
      <c r="K4212" s="126">
        <f>IF(E4212&gt;=5000,"🏆 Platinum",IF(E4212&gt;=2000,"🥇 Gold",IF(E4212&gt;=800,"🥈 Silver","🥉 Bronze")))</f>
        <v/>
      </c>
      <c r="L4212" s="129" t="n">
        <v>40518</v>
      </c>
    </row>
    <row r="4213">
      <c r="A4213" s="122" t="n">
        <v>18114</v>
      </c>
      <c r="B4213" s="122" t="inlineStr">
        <is>
          <t>United Kingdom</t>
        </is>
      </c>
      <c r="C4213" s="122" t="n">
        <v>291</v>
      </c>
      <c r="D4213" s="122" t="n">
        <v>1</v>
      </c>
      <c r="E4213" s="123" t="n">
        <v>220.1</v>
      </c>
      <c r="F4213" s="124">
        <f>IF(C4213&lt;=30,5,IF(C4213&lt;=60,4,IF(C4213&lt;=120,3,IF(C4213&lt;=200,2,1))))</f>
        <v/>
      </c>
      <c r="G4213" s="124">
        <f>IF(D4213&gt;=20,5,IF(D4213&gt;=10,4,IF(D4213&gt;=5,3,IF(D4213&gt;=2,2,1))))</f>
        <v/>
      </c>
      <c r="H4213" s="124">
        <f>IF(E4213&gt;=5000,5,IF(E4213&gt;=2000,4,IF(E4213&gt;=800,3,IF(E4213&gt;=300,2,1))))</f>
        <v/>
      </c>
      <c r="I4213" s="122">
        <f>TEXT(F4213,"0")&amp;TEXT(G4213,"0")&amp;TEXT(H4213,"0")</f>
        <v/>
      </c>
      <c r="J4213" s="122">
        <f>IFERROR(XLOOKUP(I4213,'Segment Map'!A:A,'Segment Map'!B:B,"Need Attention"),"Need Attention")</f>
        <v/>
      </c>
      <c r="K4213" s="122">
        <f>IF(E4213&gt;=5000,"🏆 Platinum",IF(E4213&gt;=2000,"🥇 Gold",IF(E4213&gt;=800,"🥈 Silver","🥉 Bronze")))</f>
        <v/>
      </c>
      <c r="L4213" s="125" t="n">
        <v>40596</v>
      </c>
    </row>
    <row r="4214">
      <c r="A4214" s="126" t="n">
        <v>18116</v>
      </c>
      <c r="B4214" s="126" t="inlineStr">
        <is>
          <t>United Kingdom</t>
        </is>
      </c>
      <c r="C4214" s="126" t="n">
        <v>68</v>
      </c>
      <c r="D4214" s="126" t="n">
        <v>8</v>
      </c>
      <c r="E4214" s="127" t="n">
        <v>1418.03</v>
      </c>
      <c r="F4214" s="128">
        <f>IF(C4214&lt;=30,5,IF(C4214&lt;=60,4,IF(C4214&lt;=120,3,IF(C4214&lt;=200,2,1))))</f>
        <v/>
      </c>
      <c r="G4214" s="128">
        <f>IF(D4214&gt;=20,5,IF(D4214&gt;=10,4,IF(D4214&gt;=5,3,IF(D4214&gt;=2,2,1))))</f>
        <v/>
      </c>
      <c r="H4214" s="128">
        <f>IF(E4214&gt;=5000,5,IF(E4214&gt;=2000,4,IF(E4214&gt;=800,3,IF(E4214&gt;=300,2,1))))</f>
        <v/>
      </c>
      <c r="I4214" s="126">
        <f>TEXT(F4214,"0")&amp;TEXT(G4214,"0")&amp;TEXT(H4214,"0")</f>
        <v/>
      </c>
      <c r="J4214" s="126">
        <f>IFERROR(XLOOKUP(I4214,'Segment Map'!A:A,'Segment Map'!B:B,"Need Attention"),"Need Attention")</f>
        <v/>
      </c>
      <c r="K4214" s="126">
        <f>IF(E4214&gt;=5000,"🏆 Platinum",IF(E4214&gt;=2000,"🥇 Gold",IF(E4214&gt;=800,"🥈 Silver","🥉 Bronze")))</f>
        <v/>
      </c>
      <c r="L4214" s="129" t="n">
        <v>40819</v>
      </c>
    </row>
    <row r="4215">
      <c r="A4215" s="122" t="n">
        <v>18117</v>
      </c>
      <c r="B4215" s="122" t="inlineStr">
        <is>
          <t>United Kingdom</t>
        </is>
      </c>
      <c r="C4215" s="122" t="n">
        <v>26</v>
      </c>
      <c r="D4215" s="122" t="n">
        <v>1</v>
      </c>
      <c r="E4215" s="123" t="n">
        <v>320.72</v>
      </c>
      <c r="F4215" s="124">
        <f>IF(C4215&lt;=30,5,IF(C4215&lt;=60,4,IF(C4215&lt;=120,3,IF(C4215&lt;=200,2,1))))</f>
        <v/>
      </c>
      <c r="G4215" s="124">
        <f>IF(D4215&gt;=20,5,IF(D4215&gt;=10,4,IF(D4215&gt;=5,3,IF(D4215&gt;=2,2,1))))</f>
        <v/>
      </c>
      <c r="H4215" s="124">
        <f>IF(E4215&gt;=5000,5,IF(E4215&gt;=2000,4,IF(E4215&gt;=800,3,IF(E4215&gt;=300,2,1))))</f>
        <v/>
      </c>
      <c r="I4215" s="122">
        <f>TEXT(F4215,"0")&amp;TEXT(G4215,"0")&amp;TEXT(H4215,"0")</f>
        <v/>
      </c>
      <c r="J4215" s="122">
        <f>IFERROR(XLOOKUP(I4215,'Segment Map'!A:A,'Segment Map'!B:B,"Need Attention"),"Need Attention")</f>
        <v/>
      </c>
      <c r="K4215" s="122">
        <f>IF(E4215&gt;=5000,"🏆 Platinum",IF(E4215&gt;=2000,"🥇 Gold",IF(E4215&gt;=800,"🥈 Silver","🥉 Bronze")))</f>
        <v/>
      </c>
      <c r="L4215" s="125" t="n">
        <v>40861</v>
      </c>
    </row>
    <row r="4216">
      <c r="A4216" s="126" t="n">
        <v>18118</v>
      </c>
      <c r="B4216" s="126" t="inlineStr">
        <is>
          <t>United Kingdom</t>
        </is>
      </c>
      <c r="C4216" s="126" t="n">
        <v>11</v>
      </c>
      <c r="D4216" s="126" t="n">
        <v>26</v>
      </c>
      <c r="E4216" s="127" t="n">
        <v>5653.82</v>
      </c>
      <c r="F4216" s="128">
        <f>IF(C4216&lt;=30,5,IF(C4216&lt;=60,4,IF(C4216&lt;=120,3,IF(C4216&lt;=200,2,1))))</f>
        <v/>
      </c>
      <c r="G4216" s="128">
        <f>IF(D4216&gt;=20,5,IF(D4216&gt;=10,4,IF(D4216&gt;=5,3,IF(D4216&gt;=2,2,1))))</f>
        <v/>
      </c>
      <c r="H4216" s="128">
        <f>IF(E4216&gt;=5000,5,IF(E4216&gt;=2000,4,IF(E4216&gt;=800,3,IF(E4216&gt;=300,2,1))))</f>
        <v/>
      </c>
      <c r="I4216" s="126">
        <f>TEXT(F4216,"0")&amp;TEXT(G4216,"0")&amp;TEXT(H4216,"0")</f>
        <v/>
      </c>
      <c r="J4216" s="126">
        <f>IFERROR(XLOOKUP(I4216,'Segment Map'!A:A,'Segment Map'!B:B,"Need Attention"),"Need Attention")</f>
        <v/>
      </c>
      <c r="K4216" s="126">
        <f>IF(E4216&gt;=5000,"🏆 Platinum",IF(E4216&gt;=2000,"🥇 Gold",IF(E4216&gt;=800,"🥈 Silver","🥉 Bronze")))</f>
        <v/>
      </c>
      <c r="L4216" s="129" t="n">
        <v>40876</v>
      </c>
    </row>
    <row r="4217">
      <c r="A4217" s="122" t="n">
        <v>18119</v>
      </c>
      <c r="B4217" s="122" t="inlineStr">
        <is>
          <t>United Kingdom</t>
        </is>
      </c>
      <c r="C4217" s="122" t="n">
        <v>368</v>
      </c>
      <c r="D4217" s="122" t="n">
        <v>1</v>
      </c>
      <c r="E4217" s="123" t="n">
        <v>181.12</v>
      </c>
      <c r="F4217" s="124">
        <f>IF(C4217&lt;=30,5,IF(C4217&lt;=60,4,IF(C4217&lt;=120,3,IF(C4217&lt;=200,2,1))))</f>
        <v/>
      </c>
      <c r="G4217" s="124">
        <f>IF(D4217&gt;=20,5,IF(D4217&gt;=10,4,IF(D4217&gt;=5,3,IF(D4217&gt;=2,2,1))))</f>
        <v/>
      </c>
      <c r="H4217" s="124">
        <f>IF(E4217&gt;=5000,5,IF(E4217&gt;=2000,4,IF(E4217&gt;=800,3,IF(E4217&gt;=300,2,1))))</f>
        <v/>
      </c>
      <c r="I4217" s="122">
        <f>TEXT(F4217,"0")&amp;TEXT(G4217,"0")&amp;TEXT(H4217,"0")</f>
        <v/>
      </c>
      <c r="J4217" s="122">
        <f>IFERROR(XLOOKUP(I4217,'Segment Map'!A:A,'Segment Map'!B:B,"Need Attention"),"Need Attention")</f>
        <v/>
      </c>
      <c r="K4217" s="122">
        <f>IF(E4217&gt;=5000,"🏆 Platinum",IF(E4217&gt;=2000,"🥇 Gold",IF(E4217&gt;=800,"🥈 Silver","🥉 Bronze")))</f>
        <v/>
      </c>
      <c r="L4217" s="125" t="n">
        <v>40519</v>
      </c>
    </row>
    <row r="4218">
      <c r="A4218" s="126" t="n">
        <v>18120</v>
      </c>
      <c r="B4218" s="126" t="inlineStr">
        <is>
          <t>United Kingdom</t>
        </is>
      </c>
      <c r="C4218" s="126" t="n">
        <v>215</v>
      </c>
      <c r="D4218" s="126" t="n">
        <v>1</v>
      </c>
      <c r="E4218" s="127" t="n">
        <v>111.15</v>
      </c>
      <c r="F4218" s="128">
        <f>IF(C4218&lt;=30,5,IF(C4218&lt;=60,4,IF(C4218&lt;=120,3,IF(C4218&lt;=200,2,1))))</f>
        <v/>
      </c>
      <c r="G4218" s="128">
        <f>IF(D4218&gt;=20,5,IF(D4218&gt;=10,4,IF(D4218&gt;=5,3,IF(D4218&gt;=2,2,1))))</f>
        <v/>
      </c>
      <c r="H4218" s="128">
        <f>IF(E4218&gt;=5000,5,IF(E4218&gt;=2000,4,IF(E4218&gt;=800,3,IF(E4218&gt;=300,2,1))))</f>
        <v/>
      </c>
      <c r="I4218" s="126">
        <f>TEXT(F4218,"0")&amp;TEXT(G4218,"0")&amp;TEXT(H4218,"0")</f>
        <v/>
      </c>
      <c r="J4218" s="126">
        <f>IFERROR(XLOOKUP(I4218,'Segment Map'!A:A,'Segment Map'!B:B,"Need Attention"),"Need Attention")</f>
        <v/>
      </c>
      <c r="K4218" s="126">
        <f>IF(E4218&gt;=5000,"🏆 Platinum",IF(E4218&gt;=2000,"🥇 Gold",IF(E4218&gt;=800,"🥈 Silver","🥉 Bronze")))</f>
        <v/>
      </c>
      <c r="L4218" s="129" t="n">
        <v>40672</v>
      </c>
    </row>
    <row r="4219">
      <c r="A4219" s="122" t="n">
        <v>18121</v>
      </c>
      <c r="B4219" s="122" t="inlineStr">
        <is>
          <t>United Kingdom</t>
        </is>
      </c>
      <c r="C4219" s="122" t="n">
        <v>150</v>
      </c>
      <c r="D4219" s="122" t="n">
        <v>2</v>
      </c>
      <c r="E4219" s="123" t="n">
        <v>673.1</v>
      </c>
      <c r="F4219" s="124">
        <f>IF(C4219&lt;=30,5,IF(C4219&lt;=60,4,IF(C4219&lt;=120,3,IF(C4219&lt;=200,2,1))))</f>
        <v/>
      </c>
      <c r="G4219" s="124">
        <f>IF(D4219&gt;=20,5,IF(D4219&gt;=10,4,IF(D4219&gt;=5,3,IF(D4219&gt;=2,2,1))))</f>
        <v/>
      </c>
      <c r="H4219" s="124">
        <f>IF(E4219&gt;=5000,5,IF(E4219&gt;=2000,4,IF(E4219&gt;=800,3,IF(E4219&gt;=300,2,1))))</f>
        <v/>
      </c>
      <c r="I4219" s="122">
        <f>TEXT(F4219,"0")&amp;TEXT(G4219,"0")&amp;TEXT(H4219,"0")</f>
        <v/>
      </c>
      <c r="J4219" s="122">
        <f>IFERROR(XLOOKUP(I4219,'Segment Map'!A:A,'Segment Map'!B:B,"Need Attention"),"Need Attention")</f>
        <v/>
      </c>
      <c r="K4219" s="122">
        <f>IF(E4219&gt;=5000,"🏆 Platinum",IF(E4219&gt;=2000,"🥇 Gold",IF(E4219&gt;=800,"🥈 Silver","🥉 Bronze")))</f>
        <v/>
      </c>
      <c r="L4219" s="125" t="n">
        <v>40737</v>
      </c>
    </row>
    <row r="4220">
      <c r="A4220" s="126" t="n">
        <v>18122</v>
      </c>
      <c r="B4220" s="126" t="inlineStr">
        <is>
          <t>United Kingdom</t>
        </is>
      </c>
      <c r="C4220" s="126" t="n">
        <v>9</v>
      </c>
      <c r="D4220" s="126" t="n">
        <v>6</v>
      </c>
      <c r="E4220" s="127" t="n">
        <v>1826.21</v>
      </c>
      <c r="F4220" s="128">
        <f>IF(C4220&lt;=30,5,IF(C4220&lt;=60,4,IF(C4220&lt;=120,3,IF(C4220&lt;=200,2,1))))</f>
        <v/>
      </c>
      <c r="G4220" s="128">
        <f>IF(D4220&gt;=20,5,IF(D4220&gt;=10,4,IF(D4220&gt;=5,3,IF(D4220&gt;=2,2,1))))</f>
        <v/>
      </c>
      <c r="H4220" s="128">
        <f>IF(E4220&gt;=5000,5,IF(E4220&gt;=2000,4,IF(E4220&gt;=800,3,IF(E4220&gt;=300,2,1))))</f>
        <v/>
      </c>
      <c r="I4220" s="126">
        <f>TEXT(F4220,"0")&amp;TEXT(G4220,"0")&amp;TEXT(H4220,"0")</f>
        <v/>
      </c>
      <c r="J4220" s="126">
        <f>IFERROR(XLOOKUP(I4220,'Segment Map'!A:A,'Segment Map'!B:B,"Need Attention"),"Need Attention")</f>
        <v/>
      </c>
      <c r="K4220" s="126">
        <f>IF(E4220&gt;=5000,"🏆 Platinum",IF(E4220&gt;=2000,"🥇 Gold",IF(E4220&gt;=800,"🥈 Silver","🥉 Bronze")))</f>
        <v/>
      </c>
      <c r="L4220" s="129" t="n">
        <v>40878</v>
      </c>
    </row>
    <row r="4221">
      <c r="A4221" s="122" t="n">
        <v>18123</v>
      </c>
      <c r="B4221" s="122" t="inlineStr">
        <is>
          <t>United Kingdom</t>
        </is>
      </c>
      <c r="C4221" s="122" t="n">
        <v>25</v>
      </c>
      <c r="D4221" s="122" t="n">
        <v>2</v>
      </c>
      <c r="E4221" s="123" t="n">
        <v>589.4400000000001</v>
      </c>
      <c r="F4221" s="124">
        <f>IF(C4221&lt;=30,5,IF(C4221&lt;=60,4,IF(C4221&lt;=120,3,IF(C4221&lt;=200,2,1))))</f>
        <v/>
      </c>
      <c r="G4221" s="124">
        <f>IF(D4221&gt;=20,5,IF(D4221&gt;=10,4,IF(D4221&gt;=5,3,IF(D4221&gt;=2,2,1))))</f>
        <v/>
      </c>
      <c r="H4221" s="124">
        <f>IF(E4221&gt;=5000,5,IF(E4221&gt;=2000,4,IF(E4221&gt;=800,3,IF(E4221&gt;=300,2,1))))</f>
        <v/>
      </c>
      <c r="I4221" s="122">
        <f>TEXT(F4221,"0")&amp;TEXT(G4221,"0")&amp;TEXT(H4221,"0")</f>
        <v/>
      </c>
      <c r="J4221" s="122">
        <f>IFERROR(XLOOKUP(I4221,'Segment Map'!A:A,'Segment Map'!B:B,"Need Attention"),"Need Attention")</f>
        <v/>
      </c>
      <c r="K4221" s="122">
        <f>IF(E4221&gt;=5000,"🏆 Platinum",IF(E4221&gt;=2000,"🥇 Gold",IF(E4221&gt;=800,"🥈 Silver","🥉 Bronze")))</f>
        <v/>
      </c>
      <c r="L4221" s="125" t="n">
        <v>40862</v>
      </c>
    </row>
    <row r="4222">
      <c r="A4222" s="126" t="n">
        <v>18125</v>
      </c>
      <c r="B4222" s="126" t="inlineStr">
        <is>
          <t>United Kingdom</t>
        </is>
      </c>
      <c r="C4222" s="126" t="n">
        <v>30</v>
      </c>
      <c r="D4222" s="126" t="n">
        <v>4</v>
      </c>
      <c r="E4222" s="127" t="n">
        <v>1142.99</v>
      </c>
      <c r="F4222" s="128">
        <f>IF(C4222&lt;=30,5,IF(C4222&lt;=60,4,IF(C4222&lt;=120,3,IF(C4222&lt;=200,2,1))))</f>
        <v/>
      </c>
      <c r="G4222" s="128">
        <f>IF(D4222&gt;=20,5,IF(D4222&gt;=10,4,IF(D4222&gt;=5,3,IF(D4222&gt;=2,2,1))))</f>
        <v/>
      </c>
      <c r="H4222" s="128">
        <f>IF(E4222&gt;=5000,5,IF(E4222&gt;=2000,4,IF(E4222&gt;=800,3,IF(E4222&gt;=300,2,1))))</f>
        <v/>
      </c>
      <c r="I4222" s="126">
        <f>TEXT(F4222,"0")&amp;TEXT(G4222,"0")&amp;TEXT(H4222,"0")</f>
        <v/>
      </c>
      <c r="J4222" s="126">
        <f>IFERROR(XLOOKUP(I4222,'Segment Map'!A:A,'Segment Map'!B:B,"Need Attention"),"Need Attention")</f>
        <v/>
      </c>
      <c r="K4222" s="126">
        <f>IF(E4222&gt;=5000,"🏆 Platinum",IF(E4222&gt;=2000,"🥇 Gold",IF(E4222&gt;=800,"🥈 Silver","🥉 Bronze")))</f>
        <v/>
      </c>
      <c r="L4222" s="129" t="n">
        <v>40857</v>
      </c>
    </row>
    <row r="4223">
      <c r="A4223" s="122" t="n">
        <v>18126</v>
      </c>
      <c r="B4223" s="122" t="inlineStr">
        <is>
          <t>United Kingdom</t>
        </is>
      </c>
      <c r="C4223" s="122" t="n">
        <v>61</v>
      </c>
      <c r="D4223" s="122" t="n">
        <v>1</v>
      </c>
      <c r="E4223" s="123" t="n">
        <v>206.83</v>
      </c>
      <c r="F4223" s="124">
        <f>IF(C4223&lt;=30,5,IF(C4223&lt;=60,4,IF(C4223&lt;=120,3,IF(C4223&lt;=200,2,1))))</f>
        <v/>
      </c>
      <c r="G4223" s="124">
        <f>IF(D4223&gt;=20,5,IF(D4223&gt;=10,4,IF(D4223&gt;=5,3,IF(D4223&gt;=2,2,1))))</f>
        <v/>
      </c>
      <c r="H4223" s="124">
        <f>IF(E4223&gt;=5000,5,IF(E4223&gt;=2000,4,IF(E4223&gt;=800,3,IF(E4223&gt;=300,2,1))))</f>
        <v/>
      </c>
      <c r="I4223" s="122">
        <f>TEXT(F4223,"0")&amp;TEXT(G4223,"0")&amp;TEXT(H4223,"0")</f>
        <v/>
      </c>
      <c r="J4223" s="122">
        <f>IFERROR(XLOOKUP(I4223,'Segment Map'!A:A,'Segment Map'!B:B,"Need Attention"),"Need Attention")</f>
        <v/>
      </c>
      <c r="K4223" s="122">
        <f>IF(E4223&gt;=5000,"🏆 Platinum",IF(E4223&gt;=2000,"🥇 Gold",IF(E4223&gt;=800,"🥈 Silver","🥉 Bronze")))</f>
        <v/>
      </c>
      <c r="L4223" s="125" t="n">
        <v>40826</v>
      </c>
    </row>
    <row r="4224">
      <c r="A4224" s="126" t="n">
        <v>18127</v>
      </c>
      <c r="B4224" s="126" t="inlineStr">
        <is>
          <t>United Kingdom</t>
        </is>
      </c>
      <c r="C4224" s="126" t="n">
        <v>20</v>
      </c>
      <c r="D4224" s="126" t="n">
        <v>3</v>
      </c>
      <c r="E4224" s="127" t="n">
        <v>348.73</v>
      </c>
      <c r="F4224" s="128">
        <f>IF(C4224&lt;=30,5,IF(C4224&lt;=60,4,IF(C4224&lt;=120,3,IF(C4224&lt;=200,2,1))))</f>
        <v/>
      </c>
      <c r="G4224" s="128">
        <f>IF(D4224&gt;=20,5,IF(D4224&gt;=10,4,IF(D4224&gt;=5,3,IF(D4224&gt;=2,2,1))))</f>
        <v/>
      </c>
      <c r="H4224" s="128">
        <f>IF(E4224&gt;=5000,5,IF(E4224&gt;=2000,4,IF(E4224&gt;=800,3,IF(E4224&gt;=300,2,1))))</f>
        <v/>
      </c>
      <c r="I4224" s="126">
        <f>TEXT(F4224,"0")&amp;TEXT(G4224,"0")&amp;TEXT(H4224,"0")</f>
        <v/>
      </c>
      <c r="J4224" s="126">
        <f>IFERROR(XLOOKUP(I4224,'Segment Map'!A:A,'Segment Map'!B:B,"Need Attention"),"Need Attention")</f>
        <v/>
      </c>
      <c r="K4224" s="126">
        <f>IF(E4224&gt;=5000,"🏆 Platinum",IF(E4224&gt;=2000,"🥇 Gold",IF(E4224&gt;=800,"🥈 Silver","🥉 Bronze")))</f>
        <v/>
      </c>
      <c r="L4224" s="129" t="n">
        <v>40867</v>
      </c>
    </row>
    <row r="4225">
      <c r="A4225" s="122" t="n">
        <v>18129</v>
      </c>
      <c r="B4225" s="122" t="inlineStr">
        <is>
          <t>United Kingdom</t>
        </is>
      </c>
      <c r="C4225" s="122" t="n">
        <v>244</v>
      </c>
      <c r="D4225" s="122" t="n">
        <v>1</v>
      </c>
      <c r="E4225" s="123" t="n">
        <v>112.55</v>
      </c>
      <c r="F4225" s="124">
        <f>IF(C4225&lt;=30,5,IF(C4225&lt;=60,4,IF(C4225&lt;=120,3,IF(C4225&lt;=200,2,1))))</f>
        <v/>
      </c>
      <c r="G4225" s="124">
        <f>IF(D4225&gt;=20,5,IF(D4225&gt;=10,4,IF(D4225&gt;=5,3,IF(D4225&gt;=2,2,1))))</f>
        <v/>
      </c>
      <c r="H4225" s="124">
        <f>IF(E4225&gt;=5000,5,IF(E4225&gt;=2000,4,IF(E4225&gt;=800,3,IF(E4225&gt;=300,2,1))))</f>
        <v/>
      </c>
      <c r="I4225" s="122">
        <f>TEXT(F4225,"0")&amp;TEXT(G4225,"0")&amp;TEXT(H4225,"0")</f>
        <v/>
      </c>
      <c r="J4225" s="122">
        <f>IFERROR(XLOOKUP(I4225,'Segment Map'!A:A,'Segment Map'!B:B,"Need Attention"),"Need Attention")</f>
        <v/>
      </c>
      <c r="K4225" s="122">
        <f>IF(E4225&gt;=5000,"🏆 Platinum",IF(E4225&gt;=2000,"🥇 Gold",IF(E4225&gt;=800,"🥈 Silver","🥉 Bronze")))</f>
        <v/>
      </c>
      <c r="L4225" s="125" t="n">
        <v>40643</v>
      </c>
    </row>
    <row r="4226">
      <c r="A4226" s="126" t="n">
        <v>18130</v>
      </c>
      <c r="B4226" s="126" t="inlineStr">
        <is>
          <t>United Kingdom</t>
        </is>
      </c>
      <c r="C4226" s="126" t="n">
        <v>16</v>
      </c>
      <c r="D4226" s="126" t="n">
        <v>3</v>
      </c>
      <c r="E4226" s="127" t="n">
        <v>1059.39</v>
      </c>
      <c r="F4226" s="128">
        <f>IF(C4226&lt;=30,5,IF(C4226&lt;=60,4,IF(C4226&lt;=120,3,IF(C4226&lt;=200,2,1))))</f>
        <v/>
      </c>
      <c r="G4226" s="128">
        <f>IF(D4226&gt;=20,5,IF(D4226&gt;=10,4,IF(D4226&gt;=5,3,IF(D4226&gt;=2,2,1))))</f>
        <v/>
      </c>
      <c r="H4226" s="128">
        <f>IF(E4226&gt;=5000,5,IF(E4226&gt;=2000,4,IF(E4226&gt;=800,3,IF(E4226&gt;=300,2,1))))</f>
        <v/>
      </c>
      <c r="I4226" s="126">
        <f>TEXT(F4226,"0")&amp;TEXT(G4226,"0")&amp;TEXT(H4226,"0")</f>
        <v/>
      </c>
      <c r="J4226" s="126">
        <f>IFERROR(XLOOKUP(I4226,'Segment Map'!A:A,'Segment Map'!B:B,"Need Attention"),"Need Attention")</f>
        <v/>
      </c>
      <c r="K4226" s="126">
        <f>IF(E4226&gt;=5000,"🏆 Platinum",IF(E4226&gt;=2000,"🥇 Gold",IF(E4226&gt;=800,"🥈 Silver","🥉 Bronze")))</f>
        <v/>
      </c>
      <c r="L4226" s="129" t="n">
        <v>40871</v>
      </c>
    </row>
    <row r="4227">
      <c r="A4227" s="122" t="n">
        <v>18133</v>
      </c>
      <c r="B4227" s="122" t="inlineStr">
        <is>
          <t>United Kingdom</t>
        </is>
      </c>
      <c r="C4227" s="122" t="n">
        <v>213</v>
      </c>
      <c r="D4227" s="122" t="n">
        <v>1</v>
      </c>
      <c r="E4227" s="123" t="n">
        <v>931.5</v>
      </c>
      <c r="F4227" s="124">
        <f>IF(C4227&lt;=30,5,IF(C4227&lt;=60,4,IF(C4227&lt;=120,3,IF(C4227&lt;=200,2,1))))</f>
        <v/>
      </c>
      <c r="G4227" s="124">
        <f>IF(D4227&gt;=20,5,IF(D4227&gt;=10,4,IF(D4227&gt;=5,3,IF(D4227&gt;=2,2,1))))</f>
        <v/>
      </c>
      <c r="H4227" s="124">
        <f>IF(E4227&gt;=5000,5,IF(E4227&gt;=2000,4,IF(E4227&gt;=800,3,IF(E4227&gt;=300,2,1))))</f>
        <v/>
      </c>
      <c r="I4227" s="122">
        <f>TEXT(F4227,"0")&amp;TEXT(G4227,"0")&amp;TEXT(H4227,"0")</f>
        <v/>
      </c>
      <c r="J4227" s="122">
        <f>IFERROR(XLOOKUP(I4227,'Segment Map'!A:A,'Segment Map'!B:B,"Need Attention"),"Need Attention")</f>
        <v/>
      </c>
      <c r="K4227" s="122">
        <f>IF(E4227&gt;=5000,"🏆 Platinum",IF(E4227&gt;=2000,"🥇 Gold",IF(E4227&gt;=800,"🥈 Silver","🥉 Bronze")))</f>
        <v/>
      </c>
      <c r="L4227" s="125" t="n">
        <v>40674</v>
      </c>
    </row>
    <row r="4228">
      <c r="A4228" s="126" t="n">
        <v>18135</v>
      </c>
      <c r="B4228" s="126" t="inlineStr">
        <is>
          <t>United Kingdom</t>
        </is>
      </c>
      <c r="C4228" s="126" t="n">
        <v>30</v>
      </c>
      <c r="D4228" s="126" t="n">
        <v>5</v>
      </c>
      <c r="E4228" s="127" t="n">
        <v>681.91</v>
      </c>
      <c r="F4228" s="128">
        <f>IF(C4228&lt;=30,5,IF(C4228&lt;=60,4,IF(C4228&lt;=120,3,IF(C4228&lt;=200,2,1))))</f>
        <v/>
      </c>
      <c r="G4228" s="128">
        <f>IF(D4228&gt;=20,5,IF(D4228&gt;=10,4,IF(D4228&gt;=5,3,IF(D4228&gt;=2,2,1))))</f>
        <v/>
      </c>
      <c r="H4228" s="128">
        <f>IF(E4228&gt;=5000,5,IF(E4228&gt;=2000,4,IF(E4228&gt;=800,3,IF(E4228&gt;=300,2,1))))</f>
        <v/>
      </c>
      <c r="I4228" s="126">
        <f>TEXT(F4228,"0")&amp;TEXT(G4228,"0")&amp;TEXT(H4228,"0")</f>
        <v/>
      </c>
      <c r="J4228" s="126">
        <f>IFERROR(XLOOKUP(I4228,'Segment Map'!A:A,'Segment Map'!B:B,"Need Attention"),"Need Attention")</f>
        <v/>
      </c>
      <c r="K4228" s="126">
        <f>IF(E4228&gt;=5000,"🏆 Platinum",IF(E4228&gt;=2000,"🥇 Gold",IF(E4228&gt;=800,"🥈 Silver","🥉 Bronze")))</f>
        <v/>
      </c>
      <c r="L4228" s="129" t="n">
        <v>40857</v>
      </c>
    </row>
    <row r="4229">
      <c r="A4229" s="122" t="n">
        <v>18136</v>
      </c>
      <c r="B4229" s="122" t="inlineStr">
        <is>
          <t>United Kingdom</t>
        </is>
      </c>
      <c r="C4229" s="122" t="n">
        <v>64</v>
      </c>
      <c r="D4229" s="122" t="n">
        <v>3</v>
      </c>
      <c r="E4229" s="123" t="n">
        <v>784.33</v>
      </c>
      <c r="F4229" s="124">
        <f>IF(C4229&lt;=30,5,IF(C4229&lt;=60,4,IF(C4229&lt;=120,3,IF(C4229&lt;=200,2,1))))</f>
        <v/>
      </c>
      <c r="G4229" s="124">
        <f>IF(D4229&gt;=20,5,IF(D4229&gt;=10,4,IF(D4229&gt;=5,3,IF(D4229&gt;=2,2,1))))</f>
        <v/>
      </c>
      <c r="H4229" s="124">
        <f>IF(E4229&gt;=5000,5,IF(E4229&gt;=2000,4,IF(E4229&gt;=800,3,IF(E4229&gt;=300,2,1))))</f>
        <v/>
      </c>
      <c r="I4229" s="122">
        <f>TEXT(F4229,"0")&amp;TEXT(G4229,"0")&amp;TEXT(H4229,"0")</f>
        <v/>
      </c>
      <c r="J4229" s="122">
        <f>IFERROR(XLOOKUP(I4229,'Segment Map'!A:A,'Segment Map'!B:B,"Need Attention"),"Need Attention")</f>
        <v/>
      </c>
      <c r="K4229" s="122">
        <f>IF(E4229&gt;=5000,"🏆 Platinum",IF(E4229&gt;=2000,"🥇 Gold",IF(E4229&gt;=800,"🥈 Silver","🥉 Bronze")))</f>
        <v/>
      </c>
      <c r="L4229" s="125" t="n">
        <v>40823</v>
      </c>
    </row>
    <row r="4230">
      <c r="A4230" s="126" t="n">
        <v>18138</v>
      </c>
      <c r="B4230" s="126" t="inlineStr">
        <is>
          <t>United Kingdom</t>
        </is>
      </c>
      <c r="C4230" s="126" t="n">
        <v>296</v>
      </c>
      <c r="D4230" s="126" t="n">
        <v>1</v>
      </c>
      <c r="E4230" s="127" t="n">
        <v>152.65</v>
      </c>
      <c r="F4230" s="128">
        <f>IF(C4230&lt;=30,5,IF(C4230&lt;=60,4,IF(C4230&lt;=120,3,IF(C4230&lt;=200,2,1))))</f>
        <v/>
      </c>
      <c r="G4230" s="128">
        <f>IF(D4230&gt;=20,5,IF(D4230&gt;=10,4,IF(D4230&gt;=5,3,IF(D4230&gt;=2,2,1))))</f>
        <v/>
      </c>
      <c r="H4230" s="128">
        <f>IF(E4230&gt;=5000,5,IF(E4230&gt;=2000,4,IF(E4230&gt;=800,3,IF(E4230&gt;=300,2,1))))</f>
        <v/>
      </c>
      <c r="I4230" s="126">
        <f>TEXT(F4230,"0")&amp;TEXT(G4230,"0")&amp;TEXT(H4230,"0")</f>
        <v/>
      </c>
      <c r="J4230" s="126">
        <f>IFERROR(XLOOKUP(I4230,'Segment Map'!A:A,'Segment Map'!B:B,"Need Attention"),"Need Attention")</f>
        <v/>
      </c>
      <c r="K4230" s="126">
        <f>IF(E4230&gt;=5000,"🏆 Platinum",IF(E4230&gt;=2000,"🥇 Gold",IF(E4230&gt;=800,"🥈 Silver","🥉 Bronze")))</f>
        <v/>
      </c>
      <c r="L4230" s="129" t="n">
        <v>40591</v>
      </c>
    </row>
    <row r="4231">
      <c r="A4231" s="122" t="n">
        <v>18139</v>
      </c>
      <c r="B4231" s="122" t="inlineStr">
        <is>
          <t>United Kingdom</t>
        </is>
      </c>
      <c r="C4231" s="122" t="n">
        <v>18</v>
      </c>
      <c r="D4231" s="122" t="n">
        <v>6</v>
      </c>
      <c r="E4231" s="123" t="n">
        <v>8438.34</v>
      </c>
      <c r="F4231" s="124">
        <f>IF(C4231&lt;=30,5,IF(C4231&lt;=60,4,IF(C4231&lt;=120,3,IF(C4231&lt;=200,2,1))))</f>
        <v/>
      </c>
      <c r="G4231" s="124">
        <f>IF(D4231&gt;=20,5,IF(D4231&gt;=10,4,IF(D4231&gt;=5,3,IF(D4231&gt;=2,2,1))))</f>
        <v/>
      </c>
      <c r="H4231" s="124">
        <f>IF(E4231&gt;=5000,5,IF(E4231&gt;=2000,4,IF(E4231&gt;=800,3,IF(E4231&gt;=300,2,1))))</f>
        <v/>
      </c>
      <c r="I4231" s="122">
        <f>TEXT(F4231,"0")&amp;TEXT(G4231,"0")&amp;TEXT(H4231,"0")</f>
        <v/>
      </c>
      <c r="J4231" s="122">
        <f>IFERROR(XLOOKUP(I4231,'Segment Map'!A:A,'Segment Map'!B:B,"Need Attention"),"Need Attention")</f>
        <v/>
      </c>
      <c r="K4231" s="122">
        <f>IF(E4231&gt;=5000,"🏆 Platinum",IF(E4231&gt;=2000,"🥇 Gold",IF(E4231&gt;=800,"🥈 Silver","🥉 Bronze")))</f>
        <v/>
      </c>
      <c r="L4231" s="125" t="n">
        <v>40869</v>
      </c>
    </row>
    <row r="4232">
      <c r="A4232" s="126" t="n">
        <v>18142</v>
      </c>
      <c r="B4232" s="126" t="inlineStr">
        <is>
          <t>United Kingdom</t>
        </is>
      </c>
      <c r="C4232" s="126" t="n">
        <v>158</v>
      </c>
      <c r="D4232" s="126" t="n">
        <v>2</v>
      </c>
      <c r="E4232" s="127" t="n">
        <v>1019.52</v>
      </c>
      <c r="F4232" s="128">
        <f>IF(C4232&lt;=30,5,IF(C4232&lt;=60,4,IF(C4232&lt;=120,3,IF(C4232&lt;=200,2,1))))</f>
        <v/>
      </c>
      <c r="G4232" s="128">
        <f>IF(D4232&gt;=20,5,IF(D4232&gt;=10,4,IF(D4232&gt;=5,3,IF(D4232&gt;=2,2,1))))</f>
        <v/>
      </c>
      <c r="H4232" s="128">
        <f>IF(E4232&gt;=5000,5,IF(E4232&gt;=2000,4,IF(E4232&gt;=800,3,IF(E4232&gt;=300,2,1))))</f>
        <v/>
      </c>
      <c r="I4232" s="126">
        <f>TEXT(F4232,"0")&amp;TEXT(G4232,"0")&amp;TEXT(H4232,"0")</f>
        <v/>
      </c>
      <c r="J4232" s="126">
        <f>IFERROR(XLOOKUP(I4232,'Segment Map'!A:A,'Segment Map'!B:B,"Need Attention"),"Need Attention")</f>
        <v/>
      </c>
      <c r="K4232" s="126">
        <f>IF(E4232&gt;=5000,"🏆 Platinum",IF(E4232&gt;=2000,"🥇 Gold",IF(E4232&gt;=800,"🥈 Silver","🥉 Bronze")))</f>
        <v/>
      </c>
      <c r="L4232" s="129" t="n">
        <v>40729</v>
      </c>
    </row>
    <row r="4233">
      <c r="A4233" s="122" t="n">
        <v>18143</v>
      </c>
      <c r="B4233" s="122" t="inlineStr">
        <is>
          <t>United Kingdom</t>
        </is>
      </c>
      <c r="C4233" s="122" t="n">
        <v>117</v>
      </c>
      <c r="D4233" s="122" t="n">
        <v>2</v>
      </c>
      <c r="E4233" s="123" t="n">
        <v>1000.16</v>
      </c>
      <c r="F4233" s="124">
        <f>IF(C4233&lt;=30,5,IF(C4233&lt;=60,4,IF(C4233&lt;=120,3,IF(C4233&lt;=200,2,1))))</f>
        <v/>
      </c>
      <c r="G4233" s="124">
        <f>IF(D4233&gt;=20,5,IF(D4233&gt;=10,4,IF(D4233&gt;=5,3,IF(D4233&gt;=2,2,1))))</f>
        <v/>
      </c>
      <c r="H4233" s="124">
        <f>IF(E4233&gt;=5000,5,IF(E4233&gt;=2000,4,IF(E4233&gt;=800,3,IF(E4233&gt;=300,2,1))))</f>
        <v/>
      </c>
      <c r="I4233" s="122">
        <f>TEXT(F4233,"0")&amp;TEXT(G4233,"0")&amp;TEXT(H4233,"0")</f>
        <v/>
      </c>
      <c r="J4233" s="122">
        <f>IFERROR(XLOOKUP(I4233,'Segment Map'!A:A,'Segment Map'!B:B,"Need Attention"),"Need Attention")</f>
        <v/>
      </c>
      <c r="K4233" s="122">
        <f>IF(E4233&gt;=5000,"🏆 Platinum",IF(E4233&gt;=2000,"🥇 Gold",IF(E4233&gt;=800,"🥈 Silver","🥉 Bronze")))</f>
        <v/>
      </c>
      <c r="L4233" s="125" t="n">
        <v>40770</v>
      </c>
    </row>
    <row r="4234">
      <c r="A4234" s="126" t="n">
        <v>18144</v>
      </c>
      <c r="B4234" s="126" t="inlineStr">
        <is>
          <t>United Kingdom</t>
        </is>
      </c>
      <c r="C4234" s="126" t="n">
        <v>8</v>
      </c>
      <c r="D4234" s="126" t="n">
        <v>12</v>
      </c>
      <c r="E4234" s="127" t="n">
        <v>2888.75</v>
      </c>
      <c r="F4234" s="128">
        <f>IF(C4234&lt;=30,5,IF(C4234&lt;=60,4,IF(C4234&lt;=120,3,IF(C4234&lt;=200,2,1))))</f>
        <v/>
      </c>
      <c r="G4234" s="128">
        <f>IF(D4234&gt;=20,5,IF(D4234&gt;=10,4,IF(D4234&gt;=5,3,IF(D4234&gt;=2,2,1))))</f>
        <v/>
      </c>
      <c r="H4234" s="128">
        <f>IF(E4234&gt;=5000,5,IF(E4234&gt;=2000,4,IF(E4234&gt;=800,3,IF(E4234&gt;=300,2,1))))</f>
        <v/>
      </c>
      <c r="I4234" s="126">
        <f>TEXT(F4234,"0")&amp;TEXT(G4234,"0")&amp;TEXT(H4234,"0")</f>
        <v/>
      </c>
      <c r="J4234" s="126">
        <f>IFERROR(XLOOKUP(I4234,'Segment Map'!A:A,'Segment Map'!B:B,"Need Attention"),"Need Attention")</f>
        <v/>
      </c>
      <c r="K4234" s="126">
        <f>IF(E4234&gt;=5000,"🏆 Platinum",IF(E4234&gt;=2000,"🥇 Gold",IF(E4234&gt;=800,"🥈 Silver","🥉 Bronze")))</f>
        <v/>
      </c>
      <c r="L4234" s="129" t="n">
        <v>40879</v>
      </c>
    </row>
    <row r="4235">
      <c r="A4235" s="122" t="n">
        <v>18145</v>
      </c>
      <c r="B4235" s="122" t="inlineStr">
        <is>
          <t>United Kingdom</t>
        </is>
      </c>
      <c r="C4235" s="122" t="n">
        <v>13</v>
      </c>
      <c r="D4235" s="122" t="n">
        <v>4</v>
      </c>
      <c r="E4235" s="123" t="n">
        <v>2861.55</v>
      </c>
      <c r="F4235" s="124">
        <f>IF(C4235&lt;=30,5,IF(C4235&lt;=60,4,IF(C4235&lt;=120,3,IF(C4235&lt;=200,2,1))))</f>
        <v/>
      </c>
      <c r="G4235" s="124">
        <f>IF(D4235&gt;=20,5,IF(D4235&gt;=10,4,IF(D4235&gt;=5,3,IF(D4235&gt;=2,2,1))))</f>
        <v/>
      </c>
      <c r="H4235" s="124">
        <f>IF(E4235&gt;=5000,5,IF(E4235&gt;=2000,4,IF(E4235&gt;=800,3,IF(E4235&gt;=300,2,1))))</f>
        <v/>
      </c>
      <c r="I4235" s="122">
        <f>TEXT(F4235,"0")&amp;TEXT(G4235,"0")&amp;TEXT(H4235,"0")</f>
        <v/>
      </c>
      <c r="J4235" s="122">
        <f>IFERROR(XLOOKUP(I4235,'Segment Map'!A:A,'Segment Map'!B:B,"Need Attention"),"Need Attention")</f>
        <v/>
      </c>
      <c r="K4235" s="122">
        <f>IF(E4235&gt;=5000,"🏆 Platinum",IF(E4235&gt;=2000,"🥇 Gold",IF(E4235&gt;=800,"🥈 Silver","🥉 Bronze")))</f>
        <v/>
      </c>
      <c r="L4235" s="125" t="n">
        <v>40874</v>
      </c>
    </row>
    <row r="4236">
      <c r="A4236" s="126" t="n">
        <v>18146</v>
      </c>
      <c r="B4236" s="126" t="inlineStr">
        <is>
          <t>United Kingdom</t>
        </is>
      </c>
      <c r="C4236" s="126" t="n">
        <v>141</v>
      </c>
      <c r="D4236" s="126" t="n">
        <v>2</v>
      </c>
      <c r="E4236" s="127" t="n">
        <v>160.35</v>
      </c>
      <c r="F4236" s="128">
        <f>IF(C4236&lt;=30,5,IF(C4236&lt;=60,4,IF(C4236&lt;=120,3,IF(C4236&lt;=200,2,1))))</f>
        <v/>
      </c>
      <c r="G4236" s="128">
        <f>IF(D4236&gt;=20,5,IF(D4236&gt;=10,4,IF(D4236&gt;=5,3,IF(D4236&gt;=2,2,1))))</f>
        <v/>
      </c>
      <c r="H4236" s="128">
        <f>IF(E4236&gt;=5000,5,IF(E4236&gt;=2000,4,IF(E4236&gt;=800,3,IF(E4236&gt;=300,2,1))))</f>
        <v/>
      </c>
      <c r="I4236" s="126">
        <f>TEXT(F4236,"0")&amp;TEXT(G4236,"0")&amp;TEXT(H4236,"0")</f>
        <v/>
      </c>
      <c r="J4236" s="126">
        <f>IFERROR(XLOOKUP(I4236,'Segment Map'!A:A,'Segment Map'!B:B,"Need Attention"),"Need Attention")</f>
        <v/>
      </c>
      <c r="K4236" s="126">
        <f>IF(E4236&gt;=5000,"🏆 Platinum",IF(E4236&gt;=2000,"🥇 Gold",IF(E4236&gt;=800,"🥈 Silver","🥉 Bronze")))</f>
        <v/>
      </c>
      <c r="L4236" s="129" t="n">
        <v>40746</v>
      </c>
    </row>
    <row r="4237">
      <c r="A4237" s="122" t="n">
        <v>18147</v>
      </c>
      <c r="B4237" s="122" t="inlineStr">
        <is>
          <t>United Kingdom</t>
        </is>
      </c>
      <c r="C4237" s="122" t="n">
        <v>46</v>
      </c>
      <c r="D4237" s="122" t="n">
        <v>2</v>
      </c>
      <c r="E4237" s="123" t="n">
        <v>179.34</v>
      </c>
      <c r="F4237" s="124">
        <f>IF(C4237&lt;=30,5,IF(C4237&lt;=60,4,IF(C4237&lt;=120,3,IF(C4237&lt;=200,2,1))))</f>
        <v/>
      </c>
      <c r="G4237" s="124">
        <f>IF(D4237&gt;=20,5,IF(D4237&gt;=10,4,IF(D4237&gt;=5,3,IF(D4237&gt;=2,2,1))))</f>
        <v/>
      </c>
      <c r="H4237" s="124">
        <f>IF(E4237&gt;=5000,5,IF(E4237&gt;=2000,4,IF(E4237&gt;=800,3,IF(E4237&gt;=300,2,1))))</f>
        <v/>
      </c>
      <c r="I4237" s="122">
        <f>TEXT(F4237,"0")&amp;TEXT(G4237,"0")&amp;TEXT(H4237,"0")</f>
        <v/>
      </c>
      <c r="J4237" s="122">
        <f>IFERROR(XLOOKUP(I4237,'Segment Map'!A:A,'Segment Map'!B:B,"Need Attention"),"Need Attention")</f>
        <v/>
      </c>
      <c r="K4237" s="122">
        <f>IF(E4237&gt;=5000,"🏆 Platinum",IF(E4237&gt;=2000,"🥇 Gold",IF(E4237&gt;=800,"🥈 Silver","🥉 Bronze")))</f>
        <v/>
      </c>
      <c r="L4237" s="125" t="n">
        <v>40841</v>
      </c>
    </row>
    <row r="4238">
      <c r="A4238" s="126" t="n">
        <v>18149</v>
      </c>
      <c r="B4238" s="126" t="inlineStr">
        <is>
          <t>United Kingdom</t>
        </is>
      </c>
      <c r="C4238" s="126" t="n">
        <v>51</v>
      </c>
      <c r="D4238" s="126" t="n">
        <v>3</v>
      </c>
      <c r="E4238" s="127" t="n">
        <v>612.08</v>
      </c>
      <c r="F4238" s="128">
        <f>IF(C4238&lt;=30,5,IF(C4238&lt;=60,4,IF(C4238&lt;=120,3,IF(C4238&lt;=200,2,1))))</f>
        <v/>
      </c>
      <c r="G4238" s="128">
        <f>IF(D4238&gt;=20,5,IF(D4238&gt;=10,4,IF(D4238&gt;=5,3,IF(D4238&gt;=2,2,1))))</f>
        <v/>
      </c>
      <c r="H4238" s="128">
        <f>IF(E4238&gt;=5000,5,IF(E4238&gt;=2000,4,IF(E4238&gt;=800,3,IF(E4238&gt;=300,2,1))))</f>
        <v/>
      </c>
      <c r="I4238" s="126">
        <f>TEXT(F4238,"0")&amp;TEXT(G4238,"0")&amp;TEXT(H4238,"0")</f>
        <v/>
      </c>
      <c r="J4238" s="126">
        <f>IFERROR(XLOOKUP(I4238,'Segment Map'!A:A,'Segment Map'!B:B,"Need Attention"),"Need Attention")</f>
        <v/>
      </c>
      <c r="K4238" s="126">
        <f>IF(E4238&gt;=5000,"🏆 Platinum",IF(E4238&gt;=2000,"🥇 Gold",IF(E4238&gt;=800,"🥈 Silver","🥉 Bronze")))</f>
        <v/>
      </c>
      <c r="L4238" s="129" t="n">
        <v>40836</v>
      </c>
    </row>
    <row r="4239">
      <c r="A4239" s="122" t="n">
        <v>18150</v>
      </c>
      <c r="B4239" s="122" t="inlineStr">
        <is>
          <t>United Kingdom</t>
        </is>
      </c>
      <c r="C4239" s="122" t="n">
        <v>33</v>
      </c>
      <c r="D4239" s="122" t="n">
        <v>3</v>
      </c>
      <c r="E4239" s="123" t="n">
        <v>566.58</v>
      </c>
      <c r="F4239" s="124">
        <f>IF(C4239&lt;=30,5,IF(C4239&lt;=60,4,IF(C4239&lt;=120,3,IF(C4239&lt;=200,2,1))))</f>
        <v/>
      </c>
      <c r="G4239" s="124">
        <f>IF(D4239&gt;=20,5,IF(D4239&gt;=10,4,IF(D4239&gt;=5,3,IF(D4239&gt;=2,2,1))))</f>
        <v/>
      </c>
      <c r="H4239" s="124">
        <f>IF(E4239&gt;=5000,5,IF(E4239&gt;=2000,4,IF(E4239&gt;=800,3,IF(E4239&gt;=300,2,1))))</f>
        <v/>
      </c>
      <c r="I4239" s="122">
        <f>TEXT(F4239,"0")&amp;TEXT(G4239,"0")&amp;TEXT(H4239,"0")</f>
        <v/>
      </c>
      <c r="J4239" s="122">
        <f>IFERROR(XLOOKUP(I4239,'Segment Map'!A:A,'Segment Map'!B:B,"Need Attention"),"Need Attention")</f>
        <v/>
      </c>
      <c r="K4239" s="122">
        <f>IF(E4239&gt;=5000,"🏆 Platinum",IF(E4239&gt;=2000,"🥇 Gold",IF(E4239&gt;=800,"🥈 Silver","🥉 Bronze")))</f>
        <v/>
      </c>
      <c r="L4239" s="125" t="n">
        <v>40854</v>
      </c>
    </row>
    <row r="4240">
      <c r="A4240" s="126" t="n">
        <v>18151</v>
      </c>
      <c r="B4240" s="126" t="inlineStr">
        <is>
          <t>United Kingdom</t>
        </is>
      </c>
      <c r="C4240" s="126" t="n">
        <v>135</v>
      </c>
      <c r="D4240" s="126" t="n">
        <v>2</v>
      </c>
      <c r="E4240" s="127" t="n">
        <v>653.35</v>
      </c>
      <c r="F4240" s="128">
        <f>IF(C4240&lt;=30,5,IF(C4240&lt;=60,4,IF(C4240&lt;=120,3,IF(C4240&lt;=200,2,1))))</f>
        <v/>
      </c>
      <c r="G4240" s="128">
        <f>IF(D4240&gt;=20,5,IF(D4240&gt;=10,4,IF(D4240&gt;=5,3,IF(D4240&gt;=2,2,1))))</f>
        <v/>
      </c>
      <c r="H4240" s="128">
        <f>IF(E4240&gt;=5000,5,IF(E4240&gt;=2000,4,IF(E4240&gt;=800,3,IF(E4240&gt;=300,2,1))))</f>
        <v/>
      </c>
      <c r="I4240" s="126">
        <f>TEXT(F4240,"0")&amp;TEXT(G4240,"0")&amp;TEXT(H4240,"0")</f>
        <v/>
      </c>
      <c r="J4240" s="126">
        <f>IFERROR(XLOOKUP(I4240,'Segment Map'!A:A,'Segment Map'!B:B,"Need Attention"),"Need Attention")</f>
        <v/>
      </c>
      <c r="K4240" s="126">
        <f>IF(E4240&gt;=5000,"🏆 Platinum",IF(E4240&gt;=2000,"🥇 Gold",IF(E4240&gt;=800,"🥈 Silver","🥉 Bronze")))</f>
        <v/>
      </c>
      <c r="L4240" s="129" t="n">
        <v>40752</v>
      </c>
    </row>
    <row r="4241">
      <c r="A4241" s="122" t="n">
        <v>18154</v>
      </c>
      <c r="B4241" s="122" t="inlineStr">
        <is>
          <t>United Kingdom</t>
        </is>
      </c>
      <c r="C4241" s="122" t="n">
        <v>4</v>
      </c>
      <c r="D4241" s="122" t="n">
        <v>2</v>
      </c>
      <c r="E4241" s="123" t="n">
        <v>399.19</v>
      </c>
      <c r="F4241" s="124">
        <f>IF(C4241&lt;=30,5,IF(C4241&lt;=60,4,IF(C4241&lt;=120,3,IF(C4241&lt;=200,2,1))))</f>
        <v/>
      </c>
      <c r="G4241" s="124">
        <f>IF(D4241&gt;=20,5,IF(D4241&gt;=10,4,IF(D4241&gt;=5,3,IF(D4241&gt;=2,2,1))))</f>
        <v/>
      </c>
      <c r="H4241" s="124">
        <f>IF(E4241&gt;=5000,5,IF(E4241&gt;=2000,4,IF(E4241&gt;=800,3,IF(E4241&gt;=300,2,1))))</f>
        <v/>
      </c>
      <c r="I4241" s="122">
        <f>TEXT(F4241,"0")&amp;TEXT(G4241,"0")&amp;TEXT(H4241,"0")</f>
        <v/>
      </c>
      <c r="J4241" s="122">
        <f>IFERROR(XLOOKUP(I4241,'Segment Map'!A:A,'Segment Map'!B:B,"Need Attention"),"Need Attention")</f>
        <v/>
      </c>
      <c r="K4241" s="122">
        <f>IF(E4241&gt;=5000,"🏆 Platinum",IF(E4241&gt;=2000,"🥇 Gold",IF(E4241&gt;=800,"🥈 Silver","🥉 Bronze")))</f>
        <v/>
      </c>
      <c r="L4241" s="125" t="n">
        <v>40883</v>
      </c>
    </row>
    <row r="4242">
      <c r="A4242" s="126" t="n">
        <v>18155</v>
      </c>
      <c r="B4242" s="126" t="inlineStr">
        <is>
          <t>United Kingdom</t>
        </is>
      </c>
      <c r="C4242" s="126" t="n">
        <v>76</v>
      </c>
      <c r="D4242" s="126" t="n">
        <v>3</v>
      </c>
      <c r="E4242" s="127" t="n">
        <v>371.62</v>
      </c>
      <c r="F4242" s="128">
        <f>IF(C4242&lt;=30,5,IF(C4242&lt;=60,4,IF(C4242&lt;=120,3,IF(C4242&lt;=200,2,1))))</f>
        <v/>
      </c>
      <c r="G4242" s="128">
        <f>IF(D4242&gt;=20,5,IF(D4242&gt;=10,4,IF(D4242&gt;=5,3,IF(D4242&gt;=2,2,1))))</f>
        <v/>
      </c>
      <c r="H4242" s="128">
        <f>IF(E4242&gt;=5000,5,IF(E4242&gt;=2000,4,IF(E4242&gt;=800,3,IF(E4242&gt;=300,2,1))))</f>
        <v/>
      </c>
      <c r="I4242" s="126">
        <f>TEXT(F4242,"0")&amp;TEXT(G4242,"0")&amp;TEXT(H4242,"0")</f>
        <v/>
      </c>
      <c r="J4242" s="126">
        <f>IFERROR(XLOOKUP(I4242,'Segment Map'!A:A,'Segment Map'!B:B,"Need Attention"),"Need Attention")</f>
        <v/>
      </c>
      <c r="K4242" s="126">
        <f>IF(E4242&gt;=5000,"🏆 Platinum",IF(E4242&gt;=2000,"🥇 Gold",IF(E4242&gt;=800,"🥈 Silver","🥉 Bronze")))</f>
        <v/>
      </c>
      <c r="L4242" s="129" t="n">
        <v>40811</v>
      </c>
    </row>
    <row r="4243">
      <c r="A4243" s="122" t="n">
        <v>18156</v>
      </c>
      <c r="B4243" s="122" t="inlineStr">
        <is>
          <t>United Kingdom</t>
        </is>
      </c>
      <c r="C4243" s="122" t="n">
        <v>13</v>
      </c>
      <c r="D4243" s="122" t="n">
        <v>2</v>
      </c>
      <c r="E4243" s="123" t="n">
        <v>734.9400000000001</v>
      </c>
      <c r="F4243" s="124">
        <f>IF(C4243&lt;=30,5,IF(C4243&lt;=60,4,IF(C4243&lt;=120,3,IF(C4243&lt;=200,2,1))))</f>
        <v/>
      </c>
      <c r="G4243" s="124">
        <f>IF(D4243&gt;=20,5,IF(D4243&gt;=10,4,IF(D4243&gt;=5,3,IF(D4243&gt;=2,2,1))))</f>
        <v/>
      </c>
      <c r="H4243" s="124">
        <f>IF(E4243&gt;=5000,5,IF(E4243&gt;=2000,4,IF(E4243&gt;=800,3,IF(E4243&gt;=300,2,1))))</f>
        <v/>
      </c>
      <c r="I4243" s="122">
        <f>TEXT(F4243,"0")&amp;TEXT(G4243,"0")&amp;TEXT(H4243,"0")</f>
        <v/>
      </c>
      <c r="J4243" s="122">
        <f>IFERROR(XLOOKUP(I4243,'Segment Map'!A:A,'Segment Map'!B:B,"Need Attention"),"Need Attention")</f>
        <v/>
      </c>
      <c r="K4243" s="122">
        <f>IF(E4243&gt;=5000,"🏆 Platinum",IF(E4243&gt;=2000,"🥇 Gold",IF(E4243&gt;=800,"🥈 Silver","🥉 Bronze")))</f>
        <v/>
      </c>
      <c r="L4243" s="125" t="n">
        <v>40874</v>
      </c>
    </row>
    <row r="4244">
      <c r="A4244" s="126" t="n">
        <v>18158</v>
      </c>
      <c r="B4244" s="126" t="inlineStr">
        <is>
          <t>United Kingdom</t>
        </is>
      </c>
      <c r="C4244" s="126" t="n">
        <v>10</v>
      </c>
      <c r="D4244" s="126" t="n">
        <v>2</v>
      </c>
      <c r="E4244" s="127" t="n">
        <v>453.4</v>
      </c>
      <c r="F4244" s="128">
        <f>IF(C4244&lt;=30,5,IF(C4244&lt;=60,4,IF(C4244&lt;=120,3,IF(C4244&lt;=200,2,1))))</f>
        <v/>
      </c>
      <c r="G4244" s="128">
        <f>IF(D4244&gt;=20,5,IF(D4244&gt;=10,4,IF(D4244&gt;=5,3,IF(D4244&gt;=2,2,1))))</f>
        <v/>
      </c>
      <c r="H4244" s="128">
        <f>IF(E4244&gt;=5000,5,IF(E4244&gt;=2000,4,IF(E4244&gt;=800,3,IF(E4244&gt;=300,2,1))))</f>
        <v/>
      </c>
      <c r="I4244" s="126">
        <f>TEXT(F4244,"0")&amp;TEXT(G4244,"0")&amp;TEXT(H4244,"0")</f>
        <v/>
      </c>
      <c r="J4244" s="126">
        <f>IFERROR(XLOOKUP(I4244,'Segment Map'!A:A,'Segment Map'!B:B,"Need Attention"),"Need Attention")</f>
        <v/>
      </c>
      <c r="K4244" s="126">
        <f>IF(E4244&gt;=5000,"🏆 Platinum",IF(E4244&gt;=2000,"🥇 Gold",IF(E4244&gt;=800,"🥈 Silver","🥉 Bronze")))</f>
        <v/>
      </c>
      <c r="L4244" s="129" t="n">
        <v>40877</v>
      </c>
    </row>
    <row r="4245">
      <c r="A4245" s="122" t="n">
        <v>18159</v>
      </c>
      <c r="B4245" s="122" t="inlineStr">
        <is>
          <t>United Kingdom</t>
        </is>
      </c>
      <c r="C4245" s="122" t="n">
        <v>302</v>
      </c>
      <c r="D4245" s="122" t="n">
        <v>1</v>
      </c>
      <c r="E4245" s="123" t="n">
        <v>530.15</v>
      </c>
      <c r="F4245" s="124">
        <f>IF(C4245&lt;=30,5,IF(C4245&lt;=60,4,IF(C4245&lt;=120,3,IF(C4245&lt;=200,2,1))))</f>
        <v/>
      </c>
      <c r="G4245" s="124">
        <f>IF(D4245&gt;=20,5,IF(D4245&gt;=10,4,IF(D4245&gt;=5,3,IF(D4245&gt;=2,2,1))))</f>
        <v/>
      </c>
      <c r="H4245" s="124">
        <f>IF(E4245&gt;=5000,5,IF(E4245&gt;=2000,4,IF(E4245&gt;=800,3,IF(E4245&gt;=300,2,1))))</f>
        <v/>
      </c>
      <c r="I4245" s="122">
        <f>TEXT(F4245,"0")&amp;TEXT(G4245,"0")&amp;TEXT(H4245,"0")</f>
        <v/>
      </c>
      <c r="J4245" s="122">
        <f>IFERROR(XLOOKUP(I4245,'Segment Map'!A:A,'Segment Map'!B:B,"Need Attention"),"Need Attention")</f>
        <v/>
      </c>
      <c r="K4245" s="122">
        <f>IF(E4245&gt;=5000,"🏆 Platinum",IF(E4245&gt;=2000,"🥇 Gold",IF(E4245&gt;=800,"🥈 Silver","🥉 Bronze")))</f>
        <v/>
      </c>
      <c r="L4245" s="125" t="n">
        <v>40585</v>
      </c>
    </row>
    <row r="4246">
      <c r="A4246" s="126" t="n">
        <v>18160</v>
      </c>
      <c r="B4246" s="126" t="inlineStr">
        <is>
          <t>United Kingdom</t>
        </is>
      </c>
      <c r="C4246" s="126" t="n">
        <v>58</v>
      </c>
      <c r="D4246" s="126" t="n">
        <v>2</v>
      </c>
      <c r="E4246" s="127" t="n">
        <v>638.0599999999999</v>
      </c>
      <c r="F4246" s="128">
        <f>IF(C4246&lt;=30,5,IF(C4246&lt;=60,4,IF(C4246&lt;=120,3,IF(C4246&lt;=200,2,1))))</f>
        <v/>
      </c>
      <c r="G4246" s="128">
        <f>IF(D4246&gt;=20,5,IF(D4246&gt;=10,4,IF(D4246&gt;=5,3,IF(D4246&gt;=2,2,1))))</f>
        <v/>
      </c>
      <c r="H4246" s="128">
        <f>IF(E4246&gt;=5000,5,IF(E4246&gt;=2000,4,IF(E4246&gt;=800,3,IF(E4246&gt;=300,2,1))))</f>
        <v/>
      </c>
      <c r="I4246" s="126">
        <f>TEXT(F4246,"0")&amp;TEXT(G4246,"0")&amp;TEXT(H4246,"0")</f>
        <v/>
      </c>
      <c r="J4246" s="126">
        <f>IFERROR(XLOOKUP(I4246,'Segment Map'!A:A,'Segment Map'!B:B,"Need Attention"),"Need Attention")</f>
        <v/>
      </c>
      <c r="K4246" s="126">
        <f>IF(E4246&gt;=5000,"🏆 Platinum",IF(E4246&gt;=2000,"🥇 Gold",IF(E4246&gt;=800,"🥈 Silver","🥉 Bronze")))</f>
        <v/>
      </c>
      <c r="L4246" s="129" t="n">
        <v>40829</v>
      </c>
    </row>
    <row r="4247">
      <c r="A4247" s="122" t="n">
        <v>18161</v>
      </c>
      <c r="B4247" s="122" t="inlineStr">
        <is>
          <t>United Kingdom</t>
        </is>
      </c>
      <c r="C4247" s="122" t="n">
        <v>16</v>
      </c>
      <c r="D4247" s="122" t="n">
        <v>5</v>
      </c>
      <c r="E4247" s="123" t="n">
        <v>1618.69</v>
      </c>
      <c r="F4247" s="124">
        <f>IF(C4247&lt;=30,5,IF(C4247&lt;=60,4,IF(C4247&lt;=120,3,IF(C4247&lt;=200,2,1))))</f>
        <v/>
      </c>
      <c r="G4247" s="124">
        <f>IF(D4247&gt;=20,5,IF(D4247&gt;=10,4,IF(D4247&gt;=5,3,IF(D4247&gt;=2,2,1))))</f>
        <v/>
      </c>
      <c r="H4247" s="124">
        <f>IF(E4247&gt;=5000,5,IF(E4247&gt;=2000,4,IF(E4247&gt;=800,3,IF(E4247&gt;=300,2,1))))</f>
        <v/>
      </c>
      <c r="I4247" s="122">
        <f>TEXT(F4247,"0")&amp;TEXT(G4247,"0")&amp;TEXT(H4247,"0")</f>
        <v/>
      </c>
      <c r="J4247" s="122">
        <f>IFERROR(XLOOKUP(I4247,'Segment Map'!A:A,'Segment Map'!B:B,"Need Attention"),"Need Attention")</f>
        <v/>
      </c>
      <c r="K4247" s="122">
        <f>IF(E4247&gt;=5000,"🏆 Platinum",IF(E4247&gt;=2000,"🥇 Gold",IF(E4247&gt;=800,"🥈 Silver","🥉 Bronze")))</f>
        <v/>
      </c>
      <c r="L4247" s="125" t="n">
        <v>40871</v>
      </c>
    </row>
    <row r="4248">
      <c r="A4248" s="126" t="n">
        <v>18164</v>
      </c>
      <c r="B4248" s="126" t="inlineStr">
        <is>
          <t>United Kingdom</t>
        </is>
      </c>
      <c r="C4248" s="126" t="n">
        <v>38</v>
      </c>
      <c r="D4248" s="126" t="n">
        <v>1</v>
      </c>
      <c r="E4248" s="127" t="n">
        <v>399.65</v>
      </c>
      <c r="F4248" s="128">
        <f>IF(C4248&lt;=30,5,IF(C4248&lt;=60,4,IF(C4248&lt;=120,3,IF(C4248&lt;=200,2,1))))</f>
        <v/>
      </c>
      <c r="G4248" s="128">
        <f>IF(D4248&gt;=20,5,IF(D4248&gt;=10,4,IF(D4248&gt;=5,3,IF(D4248&gt;=2,2,1))))</f>
        <v/>
      </c>
      <c r="H4248" s="128">
        <f>IF(E4248&gt;=5000,5,IF(E4248&gt;=2000,4,IF(E4248&gt;=800,3,IF(E4248&gt;=300,2,1))))</f>
        <v/>
      </c>
      <c r="I4248" s="126">
        <f>TEXT(F4248,"0")&amp;TEXT(G4248,"0")&amp;TEXT(H4248,"0")</f>
        <v/>
      </c>
      <c r="J4248" s="126">
        <f>IFERROR(XLOOKUP(I4248,'Segment Map'!A:A,'Segment Map'!B:B,"Need Attention"),"Need Attention")</f>
        <v/>
      </c>
      <c r="K4248" s="126">
        <f>IF(E4248&gt;=5000,"🏆 Platinum",IF(E4248&gt;=2000,"🥇 Gold",IF(E4248&gt;=800,"🥈 Silver","🥉 Bronze")))</f>
        <v/>
      </c>
      <c r="L4248" s="129" t="n">
        <v>40849</v>
      </c>
    </row>
    <row r="4249">
      <c r="A4249" s="122" t="n">
        <v>18165</v>
      </c>
      <c r="B4249" s="122" t="inlineStr">
        <is>
          <t>United Kingdom</t>
        </is>
      </c>
      <c r="C4249" s="122" t="n">
        <v>178</v>
      </c>
      <c r="D4249" s="122" t="n">
        <v>1</v>
      </c>
      <c r="E4249" s="123" t="n">
        <v>302.46</v>
      </c>
      <c r="F4249" s="124">
        <f>IF(C4249&lt;=30,5,IF(C4249&lt;=60,4,IF(C4249&lt;=120,3,IF(C4249&lt;=200,2,1))))</f>
        <v/>
      </c>
      <c r="G4249" s="124">
        <f>IF(D4249&gt;=20,5,IF(D4249&gt;=10,4,IF(D4249&gt;=5,3,IF(D4249&gt;=2,2,1))))</f>
        <v/>
      </c>
      <c r="H4249" s="124">
        <f>IF(E4249&gt;=5000,5,IF(E4249&gt;=2000,4,IF(E4249&gt;=800,3,IF(E4249&gt;=300,2,1))))</f>
        <v/>
      </c>
      <c r="I4249" s="122">
        <f>TEXT(F4249,"0")&amp;TEXT(G4249,"0")&amp;TEXT(H4249,"0")</f>
        <v/>
      </c>
      <c r="J4249" s="122">
        <f>IFERROR(XLOOKUP(I4249,'Segment Map'!A:A,'Segment Map'!B:B,"Need Attention"),"Need Attention")</f>
        <v/>
      </c>
      <c r="K4249" s="122">
        <f>IF(E4249&gt;=5000,"🏆 Platinum",IF(E4249&gt;=2000,"🥇 Gold",IF(E4249&gt;=800,"🥈 Silver","🥉 Bronze")))</f>
        <v/>
      </c>
      <c r="L4249" s="125" t="n">
        <v>40709</v>
      </c>
    </row>
    <row r="4250">
      <c r="A4250" s="126" t="n">
        <v>18167</v>
      </c>
      <c r="B4250" s="126" t="inlineStr">
        <is>
          <t>United Kingdom</t>
        </is>
      </c>
      <c r="C4250" s="126" t="n">
        <v>24</v>
      </c>
      <c r="D4250" s="126" t="n">
        <v>3</v>
      </c>
      <c r="E4250" s="127" t="n">
        <v>1384.86</v>
      </c>
      <c r="F4250" s="128">
        <f>IF(C4250&lt;=30,5,IF(C4250&lt;=60,4,IF(C4250&lt;=120,3,IF(C4250&lt;=200,2,1))))</f>
        <v/>
      </c>
      <c r="G4250" s="128">
        <f>IF(D4250&gt;=20,5,IF(D4250&gt;=10,4,IF(D4250&gt;=5,3,IF(D4250&gt;=2,2,1))))</f>
        <v/>
      </c>
      <c r="H4250" s="128">
        <f>IF(E4250&gt;=5000,5,IF(E4250&gt;=2000,4,IF(E4250&gt;=800,3,IF(E4250&gt;=300,2,1))))</f>
        <v/>
      </c>
      <c r="I4250" s="126">
        <f>TEXT(F4250,"0")&amp;TEXT(G4250,"0")&amp;TEXT(H4250,"0")</f>
        <v/>
      </c>
      <c r="J4250" s="126">
        <f>IFERROR(XLOOKUP(I4250,'Segment Map'!A:A,'Segment Map'!B:B,"Need Attention"),"Need Attention")</f>
        <v/>
      </c>
      <c r="K4250" s="126">
        <f>IF(E4250&gt;=5000,"🏆 Platinum",IF(E4250&gt;=2000,"🥇 Gold",IF(E4250&gt;=800,"🥈 Silver","🥉 Bronze")))</f>
        <v/>
      </c>
      <c r="L4250" s="129" t="n">
        <v>40863</v>
      </c>
    </row>
    <row r="4251">
      <c r="A4251" s="122" t="n">
        <v>18168</v>
      </c>
      <c r="B4251" s="122" t="inlineStr">
        <is>
          <t>United Kingdom</t>
        </is>
      </c>
      <c r="C4251" s="122" t="n">
        <v>177</v>
      </c>
      <c r="D4251" s="122" t="n">
        <v>6</v>
      </c>
      <c r="E4251" s="123" t="n">
        <v>1169.94</v>
      </c>
      <c r="F4251" s="124">
        <f>IF(C4251&lt;=30,5,IF(C4251&lt;=60,4,IF(C4251&lt;=120,3,IF(C4251&lt;=200,2,1))))</f>
        <v/>
      </c>
      <c r="G4251" s="124">
        <f>IF(D4251&gt;=20,5,IF(D4251&gt;=10,4,IF(D4251&gt;=5,3,IF(D4251&gt;=2,2,1))))</f>
        <v/>
      </c>
      <c r="H4251" s="124">
        <f>IF(E4251&gt;=5000,5,IF(E4251&gt;=2000,4,IF(E4251&gt;=800,3,IF(E4251&gt;=300,2,1))))</f>
        <v/>
      </c>
      <c r="I4251" s="122">
        <f>TEXT(F4251,"0")&amp;TEXT(G4251,"0")&amp;TEXT(H4251,"0")</f>
        <v/>
      </c>
      <c r="J4251" s="122">
        <f>IFERROR(XLOOKUP(I4251,'Segment Map'!A:A,'Segment Map'!B:B,"Need Attention"),"Need Attention")</f>
        <v/>
      </c>
      <c r="K4251" s="122">
        <f>IF(E4251&gt;=5000,"🏆 Platinum",IF(E4251&gt;=2000,"🥇 Gold",IF(E4251&gt;=800,"🥈 Silver","🥉 Bronze")))</f>
        <v/>
      </c>
      <c r="L4251" s="125" t="n">
        <v>40710</v>
      </c>
    </row>
    <row r="4252">
      <c r="A4252" s="126" t="n">
        <v>18169</v>
      </c>
      <c r="B4252" s="126" t="inlineStr">
        <is>
          <t>United Kingdom</t>
        </is>
      </c>
      <c r="C4252" s="126" t="n">
        <v>61</v>
      </c>
      <c r="D4252" s="126" t="n">
        <v>1</v>
      </c>
      <c r="E4252" s="127" t="n">
        <v>202.65</v>
      </c>
      <c r="F4252" s="128">
        <f>IF(C4252&lt;=30,5,IF(C4252&lt;=60,4,IF(C4252&lt;=120,3,IF(C4252&lt;=200,2,1))))</f>
        <v/>
      </c>
      <c r="G4252" s="128">
        <f>IF(D4252&gt;=20,5,IF(D4252&gt;=10,4,IF(D4252&gt;=5,3,IF(D4252&gt;=2,2,1))))</f>
        <v/>
      </c>
      <c r="H4252" s="128">
        <f>IF(E4252&gt;=5000,5,IF(E4252&gt;=2000,4,IF(E4252&gt;=800,3,IF(E4252&gt;=300,2,1))))</f>
        <v/>
      </c>
      <c r="I4252" s="126">
        <f>TEXT(F4252,"0")&amp;TEXT(G4252,"0")&amp;TEXT(H4252,"0")</f>
        <v/>
      </c>
      <c r="J4252" s="126">
        <f>IFERROR(XLOOKUP(I4252,'Segment Map'!A:A,'Segment Map'!B:B,"Need Attention"),"Need Attention")</f>
        <v/>
      </c>
      <c r="K4252" s="126">
        <f>IF(E4252&gt;=5000,"🏆 Platinum",IF(E4252&gt;=2000,"🥇 Gold",IF(E4252&gt;=800,"🥈 Silver","🥉 Bronze")))</f>
        <v/>
      </c>
      <c r="L4252" s="129" t="n">
        <v>40826</v>
      </c>
    </row>
    <row r="4253">
      <c r="A4253" s="122" t="n">
        <v>18170</v>
      </c>
      <c r="B4253" s="122" t="inlineStr">
        <is>
          <t>United Kingdom</t>
        </is>
      </c>
      <c r="C4253" s="122" t="n">
        <v>34</v>
      </c>
      <c r="D4253" s="122" t="n">
        <v>3</v>
      </c>
      <c r="E4253" s="123" t="n">
        <v>980.3099999999999</v>
      </c>
      <c r="F4253" s="124">
        <f>IF(C4253&lt;=30,5,IF(C4253&lt;=60,4,IF(C4253&lt;=120,3,IF(C4253&lt;=200,2,1))))</f>
        <v/>
      </c>
      <c r="G4253" s="124">
        <f>IF(D4253&gt;=20,5,IF(D4253&gt;=10,4,IF(D4253&gt;=5,3,IF(D4253&gt;=2,2,1))))</f>
        <v/>
      </c>
      <c r="H4253" s="124">
        <f>IF(E4253&gt;=5000,5,IF(E4253&gt;=2000,4,IF(E4253&gt;=800,3,IF(E4253&gt;=300,2,1))))</f>
        <v/>
      </c>
      <c r="I4253" s="122">
        <f>TEXT(F4253,"0")&amp;TEXT(G4253,"0")&amp;TEXT(H4253,"0")</f>
        <v/>
      </c>
      <c r="J4253" s="122">
        <f>IFERROR(XLOOKUP(I4253,'Segment Map'!A:A,'Segment Map'!B:B,"Need Attention"),"Need Attention")</f>
        <v/>
      </c>
      <c r="K4253" s="122">
        <f>IF(E4253&gt;=5000,"🏆 Platinum",IF(E4253&gt;=2000,"🥇 Gold",IF(E4253&gt;=800,"🥈 Silver","🥉 Bronze")))</f>
        <v/>
      </c>
      <c r="L4253" s="125" t="n">
        <v>40853</v>
      </c>
    </row>
    <row r="4254">
      <c r="A4254" s="126" t="n">
        <v>18171</v>
      </c>
      <c r="B4254" s="126" t="inlineStr">
        <is>
          <t>United Kingdom</t>
        </is>
      </c>
      <c r="C4254" s="126" t="n">
        <v>59</v>
      </c>
      <c r="D4254" s="126" t="n">
        <v>5</v>
      </c>
      <c r="E4254" s="127" t="n">
        <v>1231.31</v>
      </c>
      <c r="F4254" s="128">
        <f>IF(C4254&lt;=30,5,IF(C4254&lt;=60,4,IF(C4254&lt;=120,3,IF(C4254&lt;=200,2,1))))</f>
        <v/>
      </c>
      <c r="G4254" s="128">
        <f>IF(D4254&gt;=20,5,IF(D4254&gt;=10,4,IF(D4254&gt;=5,3,IF(D4254&gt;=2,2,1))))</f>
        <v/>
      </c>
      <c r="H4254" s="128">
        <f>IF(E4254&gt;=5000,5,IF(E4254&gt;=2000,4,IF(E4254&gt;=800,3,IF(E4254&gt;=300,2,1))))</f>
        <v/>
      </c>
      <c r="I4254" s="126">
        <f>TEXT(F4254,"0")&amp;TEXT(G4254,"0")&amp;TEXT(H4254,"0")</f>
        <v/>
      </c>
      <c r="J4254" s="126">
        <f>IFERROR(XLOOKUP(I4254,'Segment Map'!A:A,'Segment Map'!B:B,"Need Attention"),"Need Attention")</f>
        <v/>
      </c>
      <c r="K4254" s="126">
        <f>IF(E4254&gt;=5000,"🏆 Platinum",IF(E4254&gt;=2000,"🥇 Gold",IF(E4254&gt;=800,"🥈 Silver","🥉 Bronze")))</f>
        <v/>
      </c>
      <c r="L4254" s="129" t="n">
        <v>40828</v>
      </c>
    </row>
    <row r="4255">
      <c r="A4255" s="122" t="n">
        <v>18172</v>
      </c>
      <c r="B4255" s="122" t="inlineStr">
        <is>
          <t>United Kingdom</t>
        </is>
      </c>
      <c r="C4255" s="122" t="n">
        <v>15</v>
      </c>
      <c r="D4255" s="122" t="n">
        <v>20</v>
      </c>
      <c r="E4255" s="123" t="n">
        <v>7561.68</v>
      </c>
      <c r="F4255" s="124">
        <f>IF(C4255&lt;=30,5,IF(C4255&lt;=60,4,IF(C4255&lt;=120,3,IF(C4255&lt;=200,2,1))))</f>
        <v/>
      </c>
      <c r="G4255" s="124">
        <f>IF(D4255&gt;=20,5,IF(D4255&gt;=10,4,IF(D4255&gt;=5,3,IF(D4255&gt;=2,2,1))))</f>
        <v/>
      </c>
      <c r="H4255" s="124">
        <f>IF(E4255&gt;=5000,5,IF(E4255&gt;=2000,4,IF(E4255&gt;=800,3,IF(E4255&gt;=300,2,1))))</f>
        <v/>
      </c>
      <c r="I4255" s="122">
        <f>TEXT(F4255,"0")&amp;TEXT(G4255,"0")&amp;TEXT(H4255,"0")</f>
        <v/>
      </c>
      <c r="J4255" s="122">
        <f>IFERROR(XLOOKUP(I4255,'Segment Map'!A:A,'Segment Map'!B:B,"Need Attention"),"Need Attention")</f>
        <v/>
      </c>
      <c r="K4255" s="122">
        <f>IF(E4255&gt;=5000,"🏆 Platinum",IF(E4255&gt;=2000,"🥇 Gold",IF(E4255&gt;=800,"🥈 Silver","🥉 Bronze")))</f>
        <v/>
      </c>
      <c r="L4255" s="125" t="n">
        <v>40872</v>
      </c>
    </row>
    <row r="4256">
      <c r="A4256" s="126" t="n">
        <v>18173</v>
      </c>
      <c r="B4256" s="126" t="inlineStr">
        <is>
          <t>United Kingdom</t>
        </is>
      </c>
      <c r="C4256" s="126" t="n">
        <v>87</v>
      </c>
      <c r="D4256" s="126" t="n">
        <v>4</v>
      </c>
      <c r="E4256" s="127" t="n">
        <v>2106.84</v>
      </c>
      <c r="F4256" s="128">
        <f>IF(C4256&lt;=30,5,IF(C4256&lt;=60,4,IF(C4256&lt;=120,3,IF(C4256&lt;=200,2,1))))</f>
        <v/>
      </c>
      <c r="G4256" s="128">
        <f>IF(D4256&gt;=20,5,IF(D4256&gt;=10,4,IF(D4256&gt;=5,3,IF(D4256&gt;=2,2,1))))</f>
        <v/>
      </c>
      <c r="H4256" s="128">
        <f>IF(E4256&gt;=5000,5,IF(E4256&gt;=2000,4,IF(E4256&gt;=800,3,IF(E4256&gt;=300,2,1))))</f>
        <v/>
      </c>
      <c r="I4256" s="126">
        <f>TEXT(F4256,"0")&amp;TEXT(G4256,"0")&amp;TEXT(H4256,"0")</f>
        <v/>
      </c>
      <c r="J4256" s="126">
        <f>IFERROR(XLOOKUP(I4256,'Segment Map'!A:A,'Segment Map'!B:B,"Need Attention"),"Need Attention")</f>
        <v/>
      </c>
      <c r="K4256" s="126">
        <f>IF(E4256&gt;=5000,"🏆 Platinum",IF(E4256&gt;=2000,"🥇 Gold",IF(E4256&gt;=800,"🥈 Silver","🥉 Bronze")))</f>
        <v/>
      </c>
      <c r="L4256" s="129" t="n">
        <v>40800</v>
      </c>
    </row>
    <row r="4257">
      <c r="A4257" s="122" t="n">
        <v>18174</v>
      </c>
      <c r="B4257" s="122" t="inlineStr">
        <is>
          <t>United Kingdom</t>
        </is>
      </c>
      <c r="C4257" s="122" t="n">
        <v>8</v>
      </c>
      <c r="D4257" s="122" t="n">
        <v>1</v>
      </c>
      <c r="E4257" s="123" t="n">
        <v>104</v>
      </c>
      <c r="F4257" s="124">
        <f>IF(C4257&lt;=30,5,IF(C4257&lt;=60,4,IF(C4257&lt;=120,3,IF(C4257&lt;=200,2,1))))</f>
        <v/>
      </c>
      <c r="G4257" s="124">
        <f>IF(D4257&gt;=20,5,IF(D4257&gt;=10,4,IF(D4257&gt;=5,3,IF(D4257&gt;=2,2,1))))</f>
        <v/>
      </c>
      <c r="H4257" s="124">
        <f>IF(E4257&gt;=5000,5,IF(E4257&gt;=2000,4,IF(E4257&gt;=800,3,IF(E4257&gt;=300,2,1))))</f>
        <v/>
      </c>
      <c r="I4257" s="122">
        <f>TEXT(F4257,"0")&amp;TEXT(G4257,"0")&amp;TEXT(H4257,"0")</f>
        <v/>
      </c>
      <c r="J4257" s="122">
        <f>IFERROR(XLOOKUP(I4257,'Segment Map'!A:A,'Segment Map'!B:B,"Need Attention"),"Need Attention")</f>
        <v/>
      </c>
      <c r="K4257" s="122">
        <f>IF(E4257&gt;=5000,"🏆 Platinum",IF(E4257&gt;=2000,"🥇 Gold",IF(E4257&gt;=800,"🥈 Silver","🥉 Bronze")))</f>
        <v/>
      </c>
      <c r="L4257" s="125" t="n">
        <v>40879</v>
      </c>
    </row>
    <row r="4258">
      <c r="A4258" s="126" t="n">
        <v>18176</v>
      </c>
      <c r="B4258" s="126" t="inlineStr">
        <is>
          <t>United Kingdom</t>
        </is>
      </c>
      <c r="C4258" s="126" t="n">
        <v>359</v>
      </c>
      <c r="D4258" s="126" t="n">
        <v>1</v>
      </c>
      <c r="E4258" s="127" t="n">
        <v>476.35</v>
      </c>
      <c r="F4258" s="128">
        <f>IF(C4258&lt;=30,5,IF(C4258&lt;=60,4,IF(C4258&lt;=120,3,IF(C4258&lt;=200,2,1))))</f>
        <v/>
      </c>
      <c r="G4258" s="128">
        <f>IF(D4258&gt;=20,5,IF(D4258&gt;=10,4,IF(D4258&gt;=5,3,IF(D4258&gt;=2,2,1))))</f>
        <v/>
      </c>
      <c r="H4258" s="128">
        <f>IF(E4258&gt;=5000,5,IF(E4258&gt;=2000,4,IF(E4258&gt;=800,3,IF(E4258&gt;=300,2,1))))</f>
        <v/>
      </c>
      <c r="I4258" s="126">
        <f>TEXT(F4258,"0")&amp;TEXT(G4258,"0")&amp;TEXT(H4258,"0")</f>
        <v/>
      </c>
      <c r="J4258" s="126">
        <f>IFERROR(XLOOKUP(I4258,'Segment Map'!A:A,'Segment Map'!B:B,"Need Attention"),"Need Attention")</f>
        <v/>
      </c>
      <c r="K4258" s="126">
        <f>IF(E4258&gt;=5000,"🏆 Platinum",IF(E4258&gt;=2000,"🥇 Gold",IF(E4258&gt;=800,"🥈 Silver","🥉 Bronze")))</f>
        <v/>
      </c>
      <c r="L4258" s="129" t="n">
        <v>40528</v>
      </c>
    </row>
    <row r="4259">
      <c r="A4259" s="122" t="n">
        <v>18177</v>
      </c>
      <c r="B4259" s="122" t="inlineStr">
        <is>
          <t>United Kingdom</t>
        </is>
      </c>
      <c r="C4259" s="122" t="n">
        <v>32</v>
      </c>
      <c r="D4259" s="122" t="n">
        <v>6</v>
      </c>
      <c r="E4259" s="123" t="n">
        <v>1341.42</v>
      </c>
      <c r="F4259" s="124">
        <f>IF(C4259&lt;=30,5,IF(C4259&lt;=60,4,IF(C4259&lt;=120,3,IF(C4259&lt;=200,2,1))))</f>
        <v/>
      </c>
      <c r="G4259" s="124">
        <f>IF(D4259&gt;=20,5,IF(D4259&gt;=10,4,IF(D4259&gt;=5,3,IF(D4259&gt;=2,2,1))))</f>
        <v/>
      </c>
      <c r="H4259" s="124">
        <f>IF(E4259&gt;=5000,5,IF(E4259&gt;=2000,4,IF(E4259&gt;=800,3,IF(E4259&gt;=300,2,1))))</f>
        <v/>
      </c>
      <c r="I4259" s="122">
        <f>TEXT(F4259,"0")&amp;TEXT(G4259,"0")&amp;TEXT(H4259,"0")</f>
        <v/>
      </c>
      <c r="J4259" s="122">
        <f>IFERROR(XLOOKUP(I4259,'Segment Map'!A:A,'Segment Map'!B:B,"Need Attention"),"Need Attention")</f>
        <v/>
      </c>
      <c r="K4259" s="122">
        <f>IF(E4259&gt;=5000,"🏆 Platinum",IF(E4259&gt;=2000,"🥇 Gold",IF(E4259&gt;=800,"🥈 Silver","🥉 Bronze")))</f>
        <v/>
      </c>
      <c r="L4259" s="125" t="n">
        <v>40855</v>
      </c>
    </row>
    <row r="4260">
      <c r="A4260" s="126" t="n">
        <v>18178</v>
      </c>
      <c r="B4260" s="126" t="inlineStr">
        <is>
          <t>United Kingdom</t>
        </is>
      </c>
      <c r="C4260" s="126" t="n">
        <v>129</v>
      </c>
      <c r="D4260" s="126" t="n">
        <v>4</v>
      </c>
      <c r="E4260" s="127" t="n">
        <v>1590.81</v>
      </c>
      <c r="F4260" s="128">
        <f>IF(C4260&lt;=30,5,IF(C4260&lt;=60,4,IF(C4260&lt;=120,3,IF(C4260&lt;=200,2,1))))</f>
        <v/>
      </c>
      <c r="G4260" s="128">
        <f>IF(D4260&gt;=20,5,IF(D4260&gt;=10,4,IF(D4260&gt;=5,3,IF(D4260&gt;=2,2,1))))</f>
        <v/>
      </c>
      <c r="H4260" s="128">
        <f>IF(E4260&gt;=5000,5,IF(E4260&gt;=2000,4,IF(E4260&gt;=800,3,IF(E4260&gt;=300,2,1))))</f>
        <v/>
      </c>
      <c r="I4260" s="126">
        <f>TEXT(F4260,"0")&amp;TEXT(G4260,"0")&amp;TEXT(H4260,"0")</f>
        <v/>
      </c>
      <c r="J4260" s="126">
        <f>IFERROR(XLOOKUP(I4260,'Segment Map'!A:A,'Segment Map'!B:B,"Need Attention"),"Need Attention")</f>
        <v/>
      </c>
      <c r="K4260" s="126">
        <f>IF(E4260&gt;=5000,"🏆 Platinum",IF(E4260&gt;=2000,"🥇 Gold",IF(E4260&gt;=800,"🥈 Silver","🥉 Bronze")))</f>
        <v/>
      </c>
      <c r="L4260" s="129" t="n">
        <v>40758</v>
      </c>
    </row>
    <row r="4261">
      <c r="A4261" s="122" t="n">
        <v>18179</v>
      </c>
      <c r="B4261" s="122" t="inlineStr">
        <is>
          <t>United Kingdom</t>
        </is>
      </c>
      <c r="C4261" s="122" t="n">
        <v>10</v>
      </c>
      <c r="D4261" s="122" t="n">
        <v>6</v>
      </c>
      <c r="E4261" s="123" t="n">
        <v>1793.17</v>
      </c>
      <c r="F4261" s="124">
        <f>IF(C4261&lt;=30,5,IF(C4261&lt;=60,4,IF(C4261&lt;=120,3,IF(C4261&lt;=200,2,1))))</f>
        <v/>
      </c>
      <c r="G4261" s="124">
        <f>IF(D4261&gt;=20,5,IF(D4261&gt;=10,4,IF(D4261&gt;=5,3,IF(D4261&gt;=2,2,1))))</f>
        <v/>
      </c>
      <c r="H4261" s="124">
        <f>IF(E4261&gt;=5000,5,IF(E4261&gt;=2000,4,IF(E4261&gt;=800,3,IF(E4261&gt;=300,2,1))))</f>
        <v/>
      </c>
      <c r="I4261" s="122">
        <f>TEXT(F4261,"0")&amp;TEXT(G4261,"0")&amp;TEXT(H4261,"0")</f>
        <v/>
      </c>
      <c r="J4261" s="122">
        <f>IFERROR(XLOOKUP(I4261,'Segment Map'!A:A,'Segment Map'!B:B,"Need Attention"),"Need Attention")</f>
        <v/>
      </c>
      <c r="K4261" s="122">
        <f>IF(E4261&gt;=5000,"🏆 Platinum",IF(E4261&gt;=2000,"🥇 Gold",IF(E4261&gt;=800,"🥈 Silver","🥉 Bronze")))</f>
        <v/>
      </c>
      <c r="L4261" s="125" t="n">
        <v>40877</v>
      </c>
    </row>
    <row r="4262">
      <c r="A4262" s="126" t="n">
        <v>18180</v>
      </c>
      <c r="B4262" s="126" t="inlineStr">
        <is>
          <t>United Kingdom</t>
        </is>
      </c>
      <c r="C4262" s="126" t="n">
        <v>5</v>
      </c>
      <c r="D4262" s="126" t="n">
        <v>6</v>
      </c>
      <c r="E4262" s="127" t="n">
        <v>1843.75</v>
      </c>
      <c r="F4262" s="128">
        <f>IF(C4262&lt;=30,5,IF(C4262&lt;=60,4,IF(C4262&lt;=120,3,IF(C4262&lt;=200,2,1))))</f>
        <v/>
      </c>
      <c r="G4262" s="128">
        <f>IF(D4262&gt;=20,5,IF(D4262&gt;=10,4,IF(D4262&gt;=5,3,IF(D4262&gt;=2,2,1))))</f>
        <v/>
      </c>
      <c r="H4262" s="128">
        <f>IF(E4262&gt;=5000,5,IF(E4262&gt;=2000,4,IF(E4262&gt;=800,3,IF(E4262&gt;=300,2,1))))</f>
        <v/>
      </c>
      <c r="I4262" s="126">
        <f>TEXT(F4262,"0")&amp;TEXT(G4262,"0")&amp;TEXT(H4262,"0")</f>
        <v/>
      </c>
      <c r="J4262" s="126">
        <f>IFERROR(XLOOKUP(I4262,'Segment Map'!A:A,'Segment Map'!B:B,"Need Attention"),"Need Attention")</f>
        <v/>
      </c>
      <c r="K4262" s="126">
        <f>IF(E4262&gt;=5000,"🏆 Platinum",IF(E4262&gt;=2000,"🥇 Gold",IF(E4262&gt;=800,"🥈 Silver","🥉 Bronze")))</f>
        <v/>
      </c>
      <c r="L4262" s="129" t="n">
        <v>40882</v>
      </c>
    </row>
    <row r="4263">
      <c r="A4263" s="122" t="n">
        <v>18181</v>
      </c>
      <c r="B4263" s="122" t="inlineStr">
        <is>
          <t>United Kingdom</t>
        </is>
      </c>
      <c r="C4263" s="122" t="n">
        <v>25</v>
      </c>
      <c r="D4263" s="122" t="n">
        <v>1</v>
      </c>
      <c r="E4263" s="123" t="n">
        <v>382.8</v>
      </c>
      <c r="F4263" s="124">
        <f>IF(C4263&lt;=30,5,IF(C4263&lt;=60,4,IF(C4263&lt;=120,3,IF(C4263&lt;=200,2,1))))</f>
        <v/>
      </c>
      <c r="G4263" s="124">
        <f>IF(D4263&gt;=20,5,IF(D4263&gt;=10,4,IF(D4263&gt;=5,3,IF(D4263&gt;=2,2,1))))</f>
        <v/>
      </c>
      <c r="H4263" s="124">
        <f>IF(E4263&gt;=5000,5,IF(E4263&gt;=2000,4,IF(E4263&gt;=800,3,IF(E4263&gt;=300,2,1))))</f>
        <v/>
      </c>
      <c r="I4263" s="122">
        <f>TEXT(F4263,"0")&amp;TEXT(G4263,"0")&amp;TEXT(H4263,"0")</f>
        <v/>
      </c>
      <c r="J4263" s="122">
        <f>IFERROR(XLOOKUP(I4263,'Segment Map'!A:A,'Segment Map'!B:B,"Need Attention"),"Need Attention")</f>
        <v/>
      </c>
      <c r="K4263" s="122">
        <f>IF(E4263&gt;=5000,"🏆 Platinum",IF(E4263&gt;=2000,"🥇 Gold",IF(E4263&gt;=800,"🥈 Silver","🥉 Bronze")))</f>
        <v/>
      </c>
      <c r="L4263" s="125" t="n">
        <v>40862</v>
      </c>
    </row>
    <row r="4264">
      <c r="A4264" s="126" t="n">
        <v>18183</v>
      </c>
      <c r="B4264" s="126" t="inlineStr">
        <is>
          <t>United Kingdom</t>
        </is>
      </c>
      <c r="C4264" s="126" t="n">
        <v>228</v>
      </c>
      <c r="D4264" s="126" t="n">
        <v>2</v>
      </c>
      <c r="E4264" s="127" t="n">
        <v>632.0700000000001</v>
      </c>
      <c r="F4264" s="128">
        <f>IF(C4264&lt;=30,5,IF(C4264&lt;=60,4,IF(C4264&lt;=120,3,IF(C4264&lt;=200,2,1))))</f>
        <v/>
      </c>
      <c r="G4264" s="128">
        <f>IF(D4264&gt;=20,5,IF(D4264&gt;=10,4,IF(D4264&gt;=5,3,IF(D4264&gt;=2,2,1))))</f>
        <v/>
      </c>
      <c r="H4264" s="128">
        <f>IF(E4264&gt;=5000,5,IF(E4264&gt;=2000,4,IF(E4264&gt;=800,3,IF(E4264&gt;=300,2,1))))</f>
        <v/>
      </c>
      <c r="I4264" s="126">
        <f>TEXT(F4264,"0")&amp;TEXT(G4264,"0")&amp;TEXT(H4264,"0")</f>
        <v/>
      </c>
      <c r="J4264" s="126">
        <f>IFERROR(XLOOKUP(I4264,'Segment Map'!A:A,'Segment Map'!B:B,"Need Attention"),"Need Attention")</f>
        <v/>
      </c>
      <c r="K4264" s="126">
        <f>IF(E4264&gt;=5000,"🏆 Platinum",IF(E4264&gt;=2000,"🥇 Gold",IF(E4264&gt;=800,"🥈 Silver","🥉 Bronze")))</f>
        <v/>
      </c>
      <c r="L4264" s="129" t="n">
        <v>40659</v>
      </c>
    </row>
    <row r="4265">
      <c r="A4265" s="122" t="n">
        <v>18184</v>
      </c>
      <c r="B4265" s="122" t="inlineStr">
        <is>
          <t>United Kingdom</t>
        </is>
      </c>
      <c r="C4265" s="122" t="n">
        <v>16</v>
      </c>
      <c r="D4265" s="122" t="n">
        <v>1</v>
      </c>
      <c r="E4265" s="123" t="n">
        <v>49.8</v>
      </c>
      <c r="F4265" s="124">
        <f>IF(C4265&lt;=30,5,IF(C4265&lt;=60,4,IF(C4265&lt;=120,3,IF(C4265&lt;=200,2,1))))</f>
        <v/>
      </c>
      <c r="G4265" s="124">
        <f>IF(D4265&gt;=20,5,IF(D4265&gt;=10,4,IF(D4265&gt;=5,3,IF(D4265&gt;=2,2,1))))</f>
        <v/>
      </c>
      <c r="H4265" s="124">
        <f>IF(E4265&gt;=5000,5,IF(E4265&gt;=2000,4,IF(E4265&gt;=800,3,IF(E4265&gt;=300,2,1))))</f>
        <v/>
      </c>
      <c r="I4265" s="122">
        <f>TEXT(F4265,"0")&amp;TEXT(G4265,"0")&amp;TEXT(H4265,"0")</f>
        <v/>
      </c>
      <c r="J4265" s="122">
        <f>IFERROR(XLOOKUP(I4265,'Segment Map'!A:A,'Segment Map'!B:B,"Need Attention"),"Need Attention")</f>
        <v/>
      </c>
      <c r="K4265" s="122">
        <f>IF(E4265&gt;=5000,"🏆 Platinum",IF(E4265&gt;=2000,"🥇 Gold",IF(E4265&gt;=800,"🥈 Silver","🥉 Bronze")))</f>
        <v/>
      </c>
      <c r="L4265" s="125" t="n">
        <v>40871</v>
      </c>
    </row>
    <row r="4266">
      <c r="A4266" s="126" t="n">
        <v>18185</v>
      </c>
      <c r="B4266" s="126" t="inlineStr">
        <is>
          <t>United Kingdom</t>
        </is>
      </c>
      <c r="C4266" s="126" t="n">
        <v>250</v>
      </c>
      <c r="D4266" s="126" t="n">
        <v>1</v>
      </c>
      <c r="E4266" s="127" t="n">
        <v>304.25</v>
      </c>
      <c r="F4266" s="128">
        <f>IF(C4266&lt;=30,5,IF(C4266&lt;=60,4,IF(C4266&lt;=120,3,IF(C4266&lt;=200,2,1))))</f>
        <v/>
      </c>
      <c r="G4266" s="128">
        <f>IF(D4266&gt;=20,5,IF(D4266&gt;=10,4,IF(D4266&gt;=5,3,IF(D4266&gt;=2,2,1))))</f>
        <v/>
      </c>
      <c r="H4266" s="128">
        <f>IF(E4266&gt;=5000,5,IF(E4266&gt;=2000,4,IF(E4266&gt;=800,3,IF(E4266&gt;=300,2,1))))</f>
        <v/>
      </c>
      <c r="I4266" s="126">
        <f>TEXT(F4266,"0")&amp;TEXT(G4266,"0")&amp;TEXT(H4266,"0")</f>
        <v/>
      </c>
      <c r="J4266" s="126">
        <f>IFERROR(XLOOKUP(I4266,'Segment Map'!A:A,'Segment Map'!B:B,"Need Attention"),"Need Attention")</f>
        <v/>
      </c>
      <c r="K4266" s="126">
        <f>IF(E4266&gt;=5000,"🏆 Platinum",IF(E4266&gt;=2000,"🥇 Gold",IF(E4266&gt;=800,"🥈 Silver","🥉 Bronze")))</f>
        <v/>
      </c>
      <c r="L4266" s="129" t="n">
        <v>40637</v>
      </c>
    </row>
    <row r="4267">
      <c r="A4267" s="122" t="n">
        <v>18188</v>
      </c>
      <c r="B4267" s="122" t="inlineStr">
        <is>
          <t>United Kingdom</t>
        </is>
      </c>
      <c r="C4267" s="122" t="n">
        <v>16</v>
      </c>
      <c r="D4267" s="122" t="n">
        <v>3</v>
      </c>
      <c r="E4267" s="123" t="n">
        <v>2001.04</v>
      </c>
      <c r="F4267" s="124">
        <f>IF(C4267&lt;=30,5,IF(C4267&lt;=60,4,IF(C4267&lt;=120,3,IF(C4267&lt;=200,2,1))))</f>
        <v/>
      </c>
      <c r="G4267" s="124">
        <f>IF(D4267&gt;=20,5,IF(D4267&gt;=10,4,IF(D4267&gt;=5,3,IF(D4267&gt;=2,2,1))))</f>
        <v/>
      </c>
      <c r="H4267" s="124">
        <f>IF(E4267&gt;=5000,5,IF(E4267&gt;=2000,4,IF(E4267&gt;=800,3,IF(E4267&gt;=300,2,1))))</f>
        <v/>
      </c>
      <c r="I4267" s="122">
        <f>TEXT(F4267,"0")&amp;TEXT(G4267,"0")&amp;TEXT(H4267,"0")</f>
        <v/>
      </c>
      <c r="J4267" s="122">
        <f>IFERROR(XLOOKUP(I4267,'Segment Map'!A:A,'Segment Map'!B:B,"Need Attention"),"Need Attention")</f>
        <v/>
      </c>
      <c r="K4267" s="122">
        <f>IF(E4267&gt;=5000,"🏆 Platinum",IF(E4267&gt;=2000,"🥇 Gold",IF(E4267&gt;=800,"🥈 Silver","🥉 Bronze")))</f>
        <v/>
      </c>
      <c r="L4267" s="125" t="n">
        <v>40871</v>
      </c>
    </row>
    <row r="4268">
      <c r="A4268" s="126" t="n">
        <v>18189</v>
      </c>
      <c r="B4268" s="126" t="inlineStr">
        <is>
          <t>United Kingdom</t>
        </is>
      </c>
      <c r="C4268" s="126" t="n">
        <v>78</v>
      </c>
      <c r="D4268" s="126" t="n">
        <v>2</v>
      </c>
      <c r="E4268" s="127" t="n">
        <v>1090.24</v>
      </c>
      <c r="F4268" s="128">
        <f>IF(C4268&lt;=30,5,IF(C4268&lt;=60,4,IF(C4268&lt;=120,3,IF(C4268&lt;=200,2,1))))</f>
        <v/>
      </c>
      <c r="G4268" s="128">
        <f>IF(D4268&gt;=20,5,IF(D4268&gt;=10,4,IF(D4268&gt;=5,3,IF(D4268&gt;=2,2,1))))</f>
        <v/>
      </c>
      <c r="H4268" s="128">
        <f>IF(E4268&gt;=5000,5,IF(E4268&gt;=2000,4,IF(E4268&gt;=800,3,IF(E4268&gt;=300,2,1))))</f>
        <v/>
      </c>
      <c r="I4268" s="126">
        <f>TEXT(F4268,"0")&amp;TEXT(G4268,"0")&amp;TEXT(H4268,"0")</f>
        <v/>
      </c>
      <c r="J4268" s="126">
        <f>IFERROR(XLOOKUP(I4268,'Segment Map'!A:A,'Segment Map'!B:B,"Need Attention"),"Need Attention")</f>
        <v/>
      </c>
      <c r="K4268" s="126">
        <f>IF(E4268&gt;=5000,"🏆 Platinum",IF(E4268&gt;=2000,"🥇 Gold",IF(E4268&gt;=800,"🥈 Silver","🥉 Bronze")))</f>
        <v/>
      </c>
      <c r="L4268" s="129" t="n">
        <v>40809</v>
      </c>
    </row>
    <row r="4269">
      <c r="A4269" s="122" t="n">
        <v>18190</v>
      </c>
      <c r="B4269" s="122" t="inlineStr">
        <is>
          <t>United Kingdom</t>
        </is>
      </c>
      <c r="C4269" s="122" t="n">
        <v>193</v>
      </c>
      <c r="D4269" s="122" t="n">
        <v>2</v>
      </c>
      <c r="E4269" s="123" t="n">
        <v>284.46</v>
      </c>
      <c r="F4269" s="124">
        <f>IF(C4269&lt;=30,5,IF(C4269&lt;=60,4,IF(C4269&lt;=120,3,IF(C4269&lt;=200,2,1))))</f>
        <v/>
      </c>
      <c r="G4269" s="124">
        <f>IF(D4269&gt;=20,5,IF(D4269&gt;=10,4,IF(D4269&gt;=5,3,IF(D4269&gt;=2,2,1))))</f>
        <v/>
      </c>
      <c r="H4269" s="124">
        <f>IF(E4269&gt;=5000,5,IF(E4269&gt;=2000,4,IF(E4269&gt;=800,3,IF(E4269&gt;=300,2,1))))</f>
        <v/>
      </c>
      <c r="I4269" s="122">
        <f>TEXT(F4269,"0")&amp;TEXT(G4269,"0")&amp;TEXT(H4269,"0")</f>
        <v/>
      </c>
      <c r="J4269" s="122">
        <f>IFERROR(XLOOKUP(I4269,'Segment Map'!A:A,'Segment Map'!B:B,"Need Attention"),"Need Attention")</f>
        <v/>
      </c>
      <c r="K4269" s="122">
        <f>IF(E4269&gt;=5000,"🏆 Platinum",IF(E4269&gt;=2000,"🥇 Gold",IF(E4269&gt;=800,"🥈 Silver","🥉 Bronze")))</f>
        <v/>
      </c>
      <c r="L4269" s="125" t="n">
        <v>40694</v>
      </c>
    </row>
    <row r="4270">
      <c r="A4270" s="126" t="n">
        <v>18191</v>
      </c>
      <c r="B4270" s="126" t="inlineStr">
        <is>
          <t>United Kingdom</t>
        </is>
      </c>
      <c r="C4270" s="126" t="n">
        <v>262</v>
      </c>
      <c r="D4270" s="126" t="n">
        <v>1</v>
      </c>
      <c r="E4270" s="127" t="n">
        <v>207.8</v>
      </c>
      <c r="F4270" s="128">
        <f>IF(C4270&lt;=30,5,IF(C4270&lt;=60,4,IF(C4270&lt;=120,3,IF(C4270&lt;=200,2,1))))</f>
        <v/>
      </c>
      <c r="G4270" s="128">
        <f>IF(D4270&gt;=20,5,IF(D4270&gt;=10,4,IF(D4270&gt;=5,3,IF(D4270&gt;=2,2,1))))</f>
        <v/>
      </c>
      <c r="H4270" s="128">
        <f>IF(E4270&gt;=5000,5,IF(E4270&gt;=2000,4,IF(E4270&gt;=800,3,IF(E4270&gt;=300,2,1))))</f>
        <v/>
      </c>
      <c r="I4270" s="126">
        <f>TEXT(F4270,"0")&amp;TEXT(G4270,"0")&amp;TEXT(H4270,"0")</f>
        <v/>
      </c>
      <c r="J4270" s="126">
        <f>IFERROR(XLOOKUP(I4270,'Segment Map'!A:A,'Segment Map'!B:B,"Need Attention"),"Need Attention")</f>
        <v/>
      </c>
      <c r="K4270" s="126">
        <f>IF(E4270&gt;=5000,"🏆 Platinum",IF(E4270&gt;=2000,"🥇 Gold",IF(E4270&gt;=800,"🥈 Silver","🥉 Bronze")))</f>
        <v/>
      </c>
      <c r="L4270" s="129" t="n">
        <v>40625</v>
      </c>
    </row>
    <row r="4271">
      <c r="A4271" s="122" t="n">
        <v>18192</v>
      </c>
      <c r="B4271" s="122" t="inlineStr">
        <is>
          <t>United Kingdom</t>
        </is>
      </c>
      <c r="C4271" s="122" t="n">
        <v>72</v>
      </c>
      <c r="D4271" s="122" t="n">
        <v>1</v>
      </c>
      <c r="E4271" s="123" t="n">
        <v>957.97</v>
      </c>
      <c r="F4271" s="124">
        <f>IF(C4271&lt;=30,5,IF(C4271&lt;=60,4,IF(C4271&lt;=120,3,IF(C4271&lt;=200,2,1))))</f>
        <v/>
      </c>
      <c r="G4271" s="124">
        <f>IF(D4271&gt;=20,5,IF(D4271&gt;=10,4,IF(D4271&gt;=5,3,IF(D4271&gt;=2,2,1))))</f>
        <v/>
      </c>
      <c r="H4271" s="124">
        <f>IF(E4271&gt;=5000,5,IF(E4271&gt;=2000,4,IF(E4271&gt;=800,3,IF(E4271&gt;=300,2,1))))</f>
        <v/>
      </c>
      <c r="I4271" s="122">
        <f>TEXT(F4271,"0")&amp;TEXT(G4271,"0")&amp;TEXT(H4271,"0")</f>
        <v/>
      </c>
      <c r="J4271" s="122">
        <f>IFERROR(XLOOKUP(I4271,'Segment Map'!A:A,'Segment Map'!B:B,"Need Attention"),"Need Attention")</f>
        <v/>
      </c>
      <c r="K4271" s="122">
        <f>IF(E4271&gt;=5000,"🏆 Platinum",IF(E4271&gt;=2000,"🥇 Gold",IF(E4271&gt;=800,"🥈 Silver","🥉 Bronze")))</f>
        <v/>
      </c>
      <c r="L4271" s="125" t="n">
        <v>40815</v>
      </c>
    </row>
    <row r="4272">
      <c r="A4272" s="126" t="n">
        <v>18193</v>
      </c>
      <c r="B4272" s="126" t="inlineStr">
        <is>
          <t>United Kingdom</t>
        </is>
      </c>
      <c r="C4272" s="126" t="n">
        <v>166</v>
      </c>
      <c r="D4272" s="126" t="n">
        <v>1</v>
      </c>
      <c r="E4272" s="127" t="n">
        <v>243.76</v>
      </c>
      <c r="F4272" s="128">
        <f>IF(C4272&lt;=30,5,IF(C4272&lt;=60,4,IF(C4272&lt;=120,3,IF(C4272&lt;=200,2,1))))</f>
        <v/>
      </c>
      <c r="G4272" s="128">
        <f>IF(D4272&gt;=20,5,IF(D4272&gt;=10,4,IF(D4272&gt;=5,3,IF(D4272&gt;=2,2,1))))</f>
        <v/>
      </c>
      <c r="H4272" s="128">
        <f>IF(E4272&gt;=5000,5,IF(E4272&gt;=2000,4,IF(E4272&gt;=800,3,IF(E4272&gt;=300,2,1))))</f>
        <v/>
      </c>
      <c r="I4272" s="126">
        <f>TEXT(F4272,"0")&amp;TEXT(G4272,"0")&amp;TEXT(H4272,"0")</f>
        <v/>
      </c>
      <c r="J4272" s="126">
        <f>IFERROR(XLOOKUP(I4272,'Segment Map'!A:A,'Segment Map'!B:B,"Need Attention"),"Need Attention")</f>
        <v/>
      </c>
      <c r="K4272" s="126">
        <f>IF(E4272&gt;=5000,"🏆 Platinum",IF(E4272&gt;=2000,"🥇 Gold",IF(E4272&gt;=800,"🥈 Silver","🥉 Bronze")))</f>
        <v/>
      </c>
      <c r="L4272" s="129" t="n">
        <v>40721</v>
      </c>
    </row>
    <row r="4273">
      <c r="A4273" s="122" t="n">
        <v>18194</v>
      </c>
      <c r="B4273" s="122" t="inlineStr">
        <is>
          <t>United Kingdom</t>
        </is>
      </c>
      <c r="C4273" s="122" t="n">
        <v>83</v>
      </c>
      <c r="D4273" s="122" t="n">
        <v>1</v>
      </c>
      <c r="E4273" s="123" t="n">
        <v>973.84</v>
      </c>
      <c r="F4273" s="124">
        <f>IF(C4273&lt;=30,5,IF(C4273&lt;=60,4,IF(C4273&lt;=120,3,IF(C4273&lt;=200,2,1))))</f>
        <v/>
      </c>
      <c r="G4273" s="124">
        <f>IF(D4273&gt;=20,5,IF(D4273&gt;=10,4,IF(D4273&gt;=5,3,IF(D4273&gt;=2,2,1))))</f>
        <v/>
      </c>
      <c r="H4273" s="124">
        <f>IF(E4273&gt;=5000,5,IF(E4273&gt;=2000,4,IF(E4273&gt;=800,3,IF(E4273&gt;=300,2,1))))</f>
        <v/>
      </c>
      <c r="I4273" s="122">
        <f>TEXT(F4273,"0")&amp;TEXT(G4273,"0")&amp;TEXT(H4273,"0")</f>
        <v/>
      </c>
      <c r="J4273" s="122">
        <f>IFERROR(XLOOKUP(I4273,'Segment Map'!A:A,'Segment Map'!B:B,"Need Attention"),"Need Attention")</f>
        <v/>
      </c>
      <c r="K4273" s="122">
        <f>IF(E4273&gt;=5000,"🏆 Platinum",IF(E4273&gt;=2000,"🥇 Gold",IF(E4273&gt;=800,"🥈 Silver","🥉 Bronze")))</f>
        <v/>
      </c>
      <c r="L4273" s="125" t="n">
        <v>40804</v>
      </c>
    </row>
    <row r="4274">
      <c r="A4274" s="126" t="n">
        <v>18196</v>
      </c>
      <c r="B4274" s="126" t="inlineStr">
        <is>
          <t>United Kingdom</t>
        </is>
      </c>
      <c r="C4274" s="126" t="n">
        <v>96</v>
      </c>
      <c r="D4274" s="126" t="n">
        <v>2</v>
      </c>
      <c r="E4274" s="127" t="n">
        <v>689.13</v>
      </c>
      <c r="F4274" s="128">
        <f>IF(C4274&lt;=30,5,IF(C4274&lt;=60,4,IF(C4274&lt;=120,3,IF(C4274&lt;=200,2,1))))</f>
        <v/>
      </c>
      <c r="G4274" s="128">
        <f>IF(D4274&gt;=20,5,IF(D4274&gt;=10,4,IF(D4274&gt;=5,3,IF(D4274&gt;=2,2,1))))</f>
        <v/>
      </c>
      <c r="H4274" s="128">
        <f>IF(E4274&gt;=5000,5,IF(E4274&gt;=2000,4,IF(E4274&gt;=800,3,IF(E4274&gt;=300,2,1))))</f>
        <v/>
      </c>
      <c r="I4274" s="126">
        <f>TEXT(F4274,"0")&amp;TEXT(G4274,"0")&amp;TEXT(H4274,"0")</f>
        <v/>
      </c>
      <c r="J4274" s="126">
        <f>IFERROR(XLOOKUP(I4274,'Segment Map'!A:A,'Segment Map'!B:B,"Need Attention"),"Need Attention")</f>
        <v/>
      </c>
      <c r="K4274" s="126">
        <f>IF(E4274&gt;=5000,"🏆 Platinum",IF(E4274&gt;=2000,"🥇 Gold",IF(E4274&gt;=800,"🥈 Silver","🥉 Bronze")))</f>
        <v/>
      </c>
      <c r="L4274" s="129" t="n">
        <v>40791</v>
      </c>
    </row>
    <row r="4275">
      <c r="A4275" s="122" t="n">
        <v>18198</v>
      </c>
      <c r="B4275" s="122" t="inlineStr">
        <is>
          <t>United Kingdom</t>
        </is>
      </c>
      <c r="C4275" s="122" t="n">
        <v>5</v>
      </c>
      <c r="D4275" s="122" t="n">
        <v>17</v>
      </c>
      <c r="E4275" s="123" t="n">
        <v>5425.56</v>
      </c>
      <c r="F4275" s="124">
        <f>IF(C4275&lt;=30,5,IF(C4275&lt;=60,4,IF(C4275&lt;=120,3,IF(C4275&lt;=200,2,1))))</f>
        <v/>
      </c>
      <c r="G4275" s="124">
        <f>IF(D4275&gt;=20,5,IF(D4275&gt;=10,4,IF(D4275&gt;=5,3,IF(D4275&gt;=2,2,1))))</f>
        <v/>
      </c>
      <c r="H4275" s="124">
        <f>IF(E4275&gt;=5000,5,IF(E4275&gt;=2000,4,IF(E4275&gt;=800,3,IF(E4275&gt;=300,2,1))))</f>
        <v/>
      </c>
      <c r="I4275" s="122">
        <f>TEXT(F4275,"0")&amp;TEXT(G4275,"0")&amp;TEXT(H4275,"0")</f>
        <v/>
      </c>
      <c r="J4275" s="122">
        <f>IFERROR(XLOOKUP(I4275,'Segment Map'!A:A,'Segment Map'!B:B,"Need Attention"),"Need Attention")</f>
        <v/>
      </c>
      <c r="K4275" s="122">
        <f>IF(E4275&gt;=5000,"🏆 Platinum",IF(E4275&gt;=2000,"🥇 Gold",IF(E4275&gt;=800,"🥈 Silver","🥉 Bronze")))</f>
        <v/>
      </c>
      <c r="L4275" s="125" t="n">
        <v>40882</v>
      </c>
    </row>
    <row r="4276">
      <c r="A4276" s="126" t="n">
        <v>18200</v>
      </c>
      <c r="B4276" s="126" t="inlineStr">
        <is>
          <t>United Kingdom</t>
        </is>
      </c>
      <c r="C4276" s="126" t="n">
        <v>107</v>
      </c>
      <c r="D4276" s="126" t="n">
        <v>1</v>
      </c>
      <c r="E4276" s="127" t="n">
        <v>163.8</v>
      </c>
      <c r="F4276" s="128">
        <f>IF(C4276&lt;=30,5,IF(C4276&lt;=60,4,IF(C4276&lt;=120,3,IF(C4276&lt;=200,2,1))))</f>
        <v/>
      </c>
      <c r="G4276" s="128">
        <f>IF(D4276&gt;=20,5,IF(D4276&gt;=10,4,IF(D4276&gt;=5,3,IF(D4276&gt;=2,2,1))))</f>
        <v/>
      </c>
      <c r="H4276" s="128">
        <f>IF(E4276&gt;=5000,5,IF(E4276&gt;=2000,4,IF(E4276&gt;=800,3,IF(E4276&gt;=300,2,1))))</f>
        <v/>
      </c>
      <c r="I4276" s="126">
        <f>TEXT(F4276,"0")&amp;TEXT(G4276,"0")&amp;TEXT(H4276,"0")</f>
        <v/>
      </c>
      <c r="J4276" s="126">
        <f>IFERROR(XLOOKUP(I4276,'Segment Map'!A:A,'Segment Map'!B:B,"Need Attention"),"Need Attention")</f>
        <v/>
      </c>
      <c r="K4276" s="126">
        <f>IF(E4276&gt;=5000,"🏆 Platinum",IF(E4276&gt;=2000,"🥇 Gold",IF(E4276&gt;=800,"🥈 Silver","🥉 Bronze")))</f>
        <v/>
      </c>
      <c r="L4276" s="129" t="n">
        <v>40780</v>
      </c>
    </row>
    <row r="4277">
      <c r="A4277" s="122" t="n">
        <v>18202</v>
      </c>
      <c r="B4277" s="122" t="inlineStr">
        <is>
          <t>United Kingdom</t>
        </is>
      </c>
      <c r="C4277" s="122" t="n">
        <v>200</v>
      </c>
      <c r="D4277" s="122" t="n">
        <v>3</v>
      </c>
      <c r="E4277" s="123" t="n">
        <v>1396.99</v>
      </c>
      <c r="F4277" s="124">
        <f>IF(C4277&lt;=30,5,IF(C4277&lt;=60,4,IF(C4277&lt;=120,3,IF(C4277&lt;=200,2,1))))</f>
        <v/>
      </c>
      <c r="G4277" s="124">
        <f>IF(D4277&gt;=20,5,IF(D4277&gt;=10,4,IF(D4277&gt;=5,3,IF(D4277&gt;=2,2,1))))</f>
        <v/>
      </c>
      <c r="H4277" s="124">
        <f>IF(E4277&gt;=5000,5,IF(E4277&gt;=2000,4,IF(E4277&gt;=800,3,IF(E4277&gt;=300,2,1))))</f>
        <v/>
      </c>
      <c r="I4277" s="122">
        <f>TEXT(F4277,"0")&amp;TEXT(G4277,"0")&amp;TEXT(H4277,"0")</f>
        <v/>
      </c>
      <c r="J4277" s="122">
        <f>IFERROR(XLOOKUP(I4277,'Segment Map'!A:A,'Segment Map'!B:B,"Need Attention"),"Need Attention")</f>
        <v/>
      </c>
      <c r="K4277" s="122">
        <f>IF(E4277&gt;=5000,"🏆 Platinum",IF(E4277&gt;=2000,"🥇 Gold",IF(E4277&gt;=800,"🥈 Silver","🥉 Bronze")))</f>
        <v/>
      </c>
      <c r="L4277" s="125" t="n">
        <v>40687</v>
      </c>
    </row>
    <row r="4278">
      <c r="A4278" s="126" t="n">
        <v>18203</v>
      </c>
      <c r="B4278" s="126" t="inlineStr">
        <is>
          <t>United Kingdom</t>
        </is>
      </c>
      <c r="C4278" s="126" t="n">
        <v>158</v>
      </c>
      <c r="D4278" s="126" t="n">
        <v>1</v>
      </c>
      <c r="E4278" s="127" t="n">
        <v>160.42</v>
      </c>
      <c r="F4278" s="128">
        <f>IF(C4278&lt;=30,5,IF(C4278&lt;=60,4,IF(C4278&lt;=120,3,IF(C4278&lt;=200,2,1))))</f>
        <v/>
      </c>
      <c r="G4278" s="128">
        <f>IF(D4278&gt;=20,5,IF(D4278&gt;=10,4,IF(D4278&gt;=5,3,IF(D4278&gt;=2,2,1))))</f>
        <v/>
      </c>
      <c r="H4278" s="128">
        <f>IF(E4278&gt;=5000,5,IF(E4278&gt;=2000,4,IF(E4278&gt;=800,3,IF(E4278&gt;=300,2,1))))</f>
        <v/>
      </c>
      <c r="I4278" s="126">
        <f>TEXT(F4278,"0")&amp;TEXT(G4278,"0")&amp;TEXT(H4278,"0")</f>
        <v/>
      </c>
      <c r="J4278" s="126">
        <f>IFERROR(XLOOKUP(I4278,'Segment Map'!A:A,'Segment Map'!B:B,"Need Attention"),"Need Attention")</f>
        <v/>
      </c>
      <c r="K4278" s="126">
        <f>IF(E4278&gt;=5000,"🏆 Platinum",IF(E4278&gt;=2000,"🥇 Gold",IF(E4278&gt;=800,"🥈 Silver","🥉 Bronze")))</f>
        <v/>
      </c>
      <c r="L4278" s="129" t="n">
        <v>40729</v>
      </c>
    </row>
    <row r="4279">
      <c r="A4279" s="122" t="n">
        <v>18204</v>
      </c>
      <c r="B4279" s="122" t="inlineStr">
        <is>
          <t>United Kingdom</t>
        </is>
      </c>
      <c r="C4279" s="122" t="n">
        <v>72</v>
      </c>
      <c r="D4279" s="122" t="n">
        <v>3</v>
      </c>
      <c r="E4279" s="123" t="n">
        <v>1993.7</v>
      </c>
      <c r="F4279" s="124">
        <f>IF(C4279&lt;=30,5,IF(C4279&lt;=60,4,IF(C4279&lt;=120,3,IF(C4279&lt;=200,2,1))))</f>
        <v/>
      </c>
      <c r="G4279" s="124">
        <f>IF(D4279&gt;=20,5,IF(D4279&gt;=10,4,IF(D4279&gt;=5,3,IF(D4279&gt;=2,2,1))))</f>
        <v/>
      </c>
      <c r="H4279" s="124">
        <f>IF(E4279&gt;=5000,5,IF(E4279&gt;=2000,4,IF(E4279&gt;=800,3,IF(E4279&gt;=300,2,1))))</f>
        <v/>
      </c>
      <c r="I4279" s="122">
        <f>TEXT(F4279,"0")&amp;TEXT(G4279,"0")&amp;TEXT(H4279,"0")</f>
        <v/>
      </c>
      <c r="J4279" s="122">
        <f>IFERROR(XLOOKUP(I4279,'Segment Map'!A:A,'Segment Map'!B:B,"Need Attention"),"Need Attention")</f>
        <v/>
      </c>
      <c r="K4279" s="122">
        <f>IF(E4279&gt;=5000,"🏆 Platinum",IF(E4279&gt;=2000,"🥇 Gold",IF(E4279&gt;=800,"🥈 Silver","🥉 Bronze")))</f>
        <v/>
      </c>
      <c r="L4279" s="125" t="n">
        <v>40815</v>
      </c>
    </row>
    <row r="4280">
      <c r="A4280" s="126" t="n">
        <v>18205</v>
      </c>
      <c r="B4280" s="126" t="inlineStr">
        <is>
          <t>United Kingdom</t>
        </is>
      </c>
      <c r="C4280" s="126" t="n">
        <v>37</v>
      </c>
      <c r="D4280" s="126" t="n">
        <v>2</v>
      </c>
      <c r="E4280" s="127" t="n">
        <v>517.36</v>
      </c>
      <c r="F4280" s="128">
        <f>IF(C4280&lt;=30,5,IF(C4280&lt;=60,4,IF(C4280&lt;=120,3,IF(C4280&lt;=200,2,1))))</f>
        <v/>
      </c>
      <c r="G4280" s="128">
        <f>IF(D4280&gt;=20,5,IF(D4280&gt;=10,4,IF(D4280&gt;=5,3,IF(D4280&gt;=2,2,1))))</f>
        <v/>
      </c>
      <c r="H4280" s="128">
        <f>IF(E4280&gt;=5000,5,IF(E4280&gt;=2000,4,IF(E4280&gt;=800,3,IF(E4280&gt;=300,2,1))))</f>
        <v/>
      </c>
      <c r="I4280" s="126">
        <f>TEXT(F4280,"0")&amp;TEXT(G4280,"0")&amp;TEXT(H4280,"0")</f>
        <v/>
      </c>
      <c r="J4280" s="126">
        <f>IFERROR(XLOOKUP(I4280,'Segment Map'!A:A,'Segment Map'!B:B,"Need Attention"),"Need Attention")</f>
        <v/>
      </c>
      <c r="K4280" s="126">
        <f>IF(E4280&gt;=5000,"🏆 Platinum",IF(E4280&gt;=2000,"🥇 Gold",IF(E4280&gt;=800,"🥈 Silver","🥉 Bronze")))</f>
        <v/>
      </c>
      <c r="L4280" s="129" t="n">
        <v>40850</v>
      </c>
    </row>
    <row r="4281">
      <c r="A4281" s="122" t="n">
        <v>18209</v>
      </c>
      <c r="B4281" s="122" t="inlineStr">
        <is>
          <t>United Kingdom</t>
        </is>
      </c>
      <c r="C4281" s="122" t="n">
        <v>29</v>
      </c>
      <c r="D4281" s="122" t="n">
        <v>1</v>
      </c>
      <c r="E4281" s="123" t="n">
        <v>139.1</v>
      </c>
      <c r="F4281" s="124">
        <f>IF(C4281&lt;=30,5,IF(C4281&lt;=60,4,IF(C4281&lt;=120,3,IF(C4281&lt;=200,2,1))))</f>
        <v/>
      </c>
      <c r="G4281" s="124">
        <f>IF(D4281&gt;=20,5,IF(D4281&gt;=10,4,IF(D4281&gt;=5,3,IF(D4281&gt;=2,2,1))))</f>
        <v/>
      </c>
      <c r="H4281" s="124">
        <f>IF(E4281&gt;=5000,5,IF(E4281&gt;=2000,4,IF(E4281&gt;=800,3,IF(E4281&gt;=300,2,1))))</f>
        <v/>
      </c>
      <c r="I4281" s="122">
        <f>TEXT(F4281,"0")&amp;TEXT(G4281,"0")&amp;TEXT(H4281,"0")</f>
        <v/>
      </c>
      <c r="J4281" s="122">
        <f>IFERROR(XLOOKUP(I4281,'Segment Map'!A:A,'Segment Map'!B:B,"Need Attention"),"Need Attention")</f>
        <v/>
      </c>
      <c r="K4281" s="122">
        <f>IF(E4281&gt;=5000,"🏆 Platinum",IF(E4281&gt;=2000,"🥇 Gold",IF(E4281&gt;=800,"🥈 Silver","🥉 Bronze")))</f>
        <v/>
      </c>
      <c r="L4281" s="125" t="n">
        <v>40858</v>
      </c>
    </row>
    <row r="4282">
      <c r="A4282" s="126" t="n">
        <v>18210</v>
      </c>
      <c r="B4282" s="126" t="inlineStr">
        <is>
          <t>United Kingdom</t>
        </is>
      </c>
      <c r="C4282" s="126" t="n">
        <v>2</v>
      </c>
      <c r="D4282" s="126" t="n">
        <v>6</v>
      </c>
      <c r="E4282" s="127" t="n">
        <v>2621.38</v>
      </c>
      <c r="F4282" s="128">
        <f>IF(C4282&lt;=30,5,IF(C4282&lt;=60,4,IF(C4282&lt;=120,3,IF(C4282&lt;=200,2,1))))</f>
        <v/>
      </c>
      <c r="G4282" s="128">
        <f>IF(D4282&gt;=20,5,IF(D4282&gt;=10,4,IF(D4282&gt;=5,3,IF(D4282&gt;=2,2,1))))</f>
        <v/>
      </c>
      <c r="H4282" s="128">
        <f>IF(E4282&gt;=5000,5,IF(E4282&gt;=2000,4,IF(E4282&gt;=800,3,IF(E4282&gt;=300,2,1))))</f>
        <v/>
      </c>
      <c r="I4282" s="126">
        <f>TEXT(F4282,"0")&amp;TEXT(G4282,"0")&amp;TEXT(H4282,"0")</f>
        <v/>
      </c>
      <c r="J4282" s="126">
        <f>IFERROR(XLOOKUP(I4282,'Segment Map'!A:A,'Segment Map'!B:B,"Need Attention"),"Need Attention")</f>
        <v/>
      </c>
      <c r="K4282" s="126">
        <f>IF(E4282&gt;=5000,"🏆 Platinum",IF(E4282&gt;=2000,"🥇 Gold",IF(E4282&gt;=800,"🥈 Silver","🥉 Bronze")))</f>
        <v/>
      </c>
      <c r="L4282" s="129" t="n">
        <v>40885</v>
      </c>
    </row>
    <row r="4283">
      <c r="A4283" s="122" t="n">
        <v>18211</v>
      </c>
      <c r="B4283" s="122" t="inlineStr">
        <is>
          <t>United Kingdom</t>
        </is>
      </c>
      <c r="C4283" s="122" t="n">
        <v>26</v>
      </c>
      <c r="D4283" s="122" t="n">
        <v>5</v>
      </c>
      <c r="E4283" s="123" t="n">
        <v>600.0700000000001</v>
      </c>
      <c r="F4283" s="124">
        <f>IF(C4283&lt;=30,5,IF(C4283&lt;=60,4,IF(C4283&lt;=120,3,IF(C4283&lt;=200,2,1))))</f>
        <v/>
      </c>
      <c r="G4283" s="124">
        <f>IF(D4283&gt;=20,5,IF(D4283&gt;=10,4,IF(D4283&gt;=5,3,IF(D4283&gt;=2,2,1))))</f>
        <v/>
      </c>
      <c r="H4283" s="124">
        <f>IF(E4283&gt;=5000,5,IF(E4283&gt;=2000,4,IF(E4283&gt;=800,3,IF(E4283&gt;=300,2,1))))</f>
        <v/>
      </c>
      <c r="I4283" s="122">
        <f>TEXT(F4283,"0")&amp;TEXT(G4283,"0")&amp;TEXT(H4283,"0")</f>
        <v/>
      </c>
      <c r="J4283" s="122">
        <f>IFERROR(XLOOKUP(I4283,'Segment Map'!A:A,'Segment Map'!B:B,"Need Attention"),"Need Attention")</f>
        <v/>
      </c>
      <c r="K4283" s="122">
        <f>IF(E4283&gt;=5000,"🏆 Platinum",IF(E4283&gt;=2000,"🥇 Gold",IF(E4283&gt;=800,"🥈 Silver","🥉 Bronze")))</f>
        <v/>
      </c>
      <c r="L4283" s="125" t="n">
        <v>40861</v>
      </c>
    </row>
    <row r="4284">
      <c r="A4284" s="126" t="n">
        <v>18212</v>
      </c>
      <c r="B4284" s="126" t="inlineStr">
        <is>
          <t>United Kingdom</t>
        </is>
      </c>
      <c r="C4284" s="126" t="n">
        <v>327</v>
      </c>
      <c r="D4284" s="126" t="n">
        <v>1</v>
      </c>
      <c r="E4284" s="127" t="n">
        <v>248.42</v>
      </c>
      <c r="F4284" s="128">
        <f>IF(C4284&lt;=30,5,IF(C4284&lt;=60,4,IF(C4284&lt;=120,3,IF(C4284&lt;=200,2,1))))</f>
        <v/>
      </c>
      <c r="G4284" s="128">
        <f>IF(D4284&gt;=20,5,IF(D4284&gt;=10,4,IF(D4284&gt;=5,3,IF(D4284&gt;=2,2,1))))</f>
        <v/>
      </c>
      <c r="H4284" s="128">
        <f>IF(E4284&gt;=5000,5,IF(E4284&gt;=2000,4,IF(E4284&gt;=800,3,IF(E4284&gt;=300,2,1))))</f>
        <v/>
      </c>
      <c r="I4284" s="126">
        <f>TEXT(F4284,"0")&amp;TEXT(G4284,"0")&amp;TEXT(H4284,"0")</f>
        <v/>
      </c>
      <c r="J4284" s="126">
        <f>IFERROR(XLOOKUP(I4284,'Segment Map'!A:A,'Segment Map'!B:B,"Need Attention"),"Need Attention")</f>
        <v/>
      </c>
      <c r="K4284" s="126">
        <f>IF(E4284&gt;=5000,"🏆 Platinum",IF(E4284&gt;=2000,"🥇 Gold",IF(E4284&gt;=800,"🥈 Silver","🥉 Bronze")))</f>
        <v/>
      </c>
      <c r="L4284" s="129" t="n">
        <v>40560</v>
      </c>
    </row>
    <row r="4285">
      <c r="A4285" s="122" t="n">
        <v>18213</v>
      </c>
      <c r="B4285" s="122" t="inlineStr">
        <is>
          <t>United Kingdom</t>
        </is>
      </c>
      <c r="C4285" s="122" t="n">
        <v>237</v>
      </c>
      <c r="D4285" s="122" t="n">
        <v>1</v>
      </c>
      <c r="E4285" s="123" t="n">
        <v>232.48</v>
      </c>
      <c r="F4285" s="124">
        <f>IF(C4285&lt;=30,5,IF(C4285&lt;=60,4,IF(C4285&lt;=120,3,IF(C4285&lt;=200,2,1))))</f>
        <v/>
      </c>
      <c r="G4285" s="124">
        <f>IF(D4285&gt;=20,5,IF(D4285&gt;=10,4,IF(D4285&gt;=5,3,IF(D4285&gt;=2,2,1))))</f>
        <v/>
      </c>
      <c r="H4285" s="124">
        <f>IF(E4285&gt;=5000,5,IF(E4285&gt;=2000,4,IF(E4285&gt;=800,3,IF(E4285&gt;=300,2,1))))</f>
        <v/>
      </c>
      <c r="I4285" s="122">
        <f>TEXT(F4285,"0")&amp;TEXT(G4285,"0")&amp;TEXT(H4285,"0")</f>
        <v/>
      </c>
      <c r="J4285" s="122">
        <f>IFERROR(XLOOKUP(I4285,'Segment Map'!A:A,'Segment Map'!B:B,"Need Attention"),"Need Attention")</f>
        <v/>
      </c>
      <c r="K4285" s="122">
        <f>IF(E4285&gt;=5000,"🏆 Platinum",IF(E4285&gt;=2000,"🥇 Gold",IF(E4285&gt;=800,"🥈 Silver","🥉 Bronze")))</f>
        <v/>
      </c>
      <c r="L4285" s="125" t="n">
        <v>40650</v>
      </c>
    </row>
    <row r="4286">
      <c r="A4286" s="126" t="n">
        <v>18215</v>
      </c>
      <c r="B4286" s="126" t="inlineStr">
        <is>
          <t>United Kingdom</t>
        </is>
      </c>
      <c r="C4286" s="126" t="n">
        <v>90</v>
      </c>
      <c r="D4286" s="126" t="n">
        <v>1</v>
      </c>
      <c r="E4286" s="127" t="n">
        <v>299.34</v>
      </c>
      <c r="F4286" s="128">
        <f>IF(C4286&lt;=30,5,IF(C4286&lt;=60,4,IF(C4286&lt;=120,3,IF(C4286&lt;=200,2,1))))</f>
        <v/>
      </c>
      <c r="G4286" s="128">
        <f>IF(D4286&gt;=20,5,IF(D4286&gt;=10,4,IF(D4286&gt;=5,3,IF(D4286&gt;=2,2,1))))</f>
        <v/>
      </c>
      <c r="H4286" s="128">
        <f>IF(E4286&gt;=5000,5,IF(E4286&gt;=2000,4,IF(E4286&gt;=800,3,IF(E4286&gt;=300,2,1))))</f>
        <v/>
      </c>
      <c r="I4286" s="126">
        <f>TEXT(F4286,"0")&amp;TEXT(G4286,"0")&amp;TEXT(H4286,"0")</f>
        <v/>
      </c>
      <c r="J4286" s="126">
        <f>IFERROR(XLOOKUP(I4286,'Segment Map'!A:A,'Segment Map'!B:B,"Need Attention"),"Need Attention")</f>
        <v/>
      </c>
      <c r="K4286" s="126">
        <f>IF(E4286&gt;=5000,"🏆 Platinum",IF(E4286&gt;=2000,"🥇 Gold",IF(E4286&gt;=800,"🥈 Silver","🥉 Bronze")))</f>
        <v/>
      </c>
      <c r="L4286" s="129" t="n">
        <v>40797</v>
      </c>
    </row>
    <row r="4287">
      <c r="A4287" s="122" t="n">
        <v>18216</v>
      </c>
      <c r="B4287" s="122" t="inlineStr">
        <is>
          <t>United Kingdom</t>
        </is>
      </c>
      <c r="C4287" s="122" t="n">
        <v>32</v>
      </c>
      <c r="D4287" s="122" t="n">
        <v>1</v>
      </c>
      <c r="E4287" s="123" t="n">
        <v>481.75</v>
      </c>
      <c r="F4287" s="124">
        <f>IF(C4287&lt;=30,5,IF(C4287&lt;=60,4,IF(C4287&lt;=120,3,IF(C4287&lt;=200,2,1))))</f>
        <v/>
      </c>
      <c r="G4287" s="124">
        <f>IF(D4287&gt;=20,5,IF(D4287&gt;=10,4,IF(D4287&gt;=5,3,IF(D4287&gt;=2,2,1))))</f>
        <v/>
      </c>
      <c r="H4287" s="124">
        <f>IF(E4287&gt;=5000,5,IF(E4287&gt;=2000,4,IF(E4287&gt;=800,3,IF(E4287&gt;=300,2,1))))</f>
        <v/>
      </c>
      <c r="I4287" s="122">
        <f>TEXT(F4287,"0")&amp;TEXT(G4287,"0")&amp;TEXT(H4287,"0")</f>
        <v/>
      </c>
      <c r="J4287" s="122">
        <f>IFERROR(XLOOKUP(I4287,'Segment Map'!A:A,'Segment Map'!B:B,"Need Attention"),"Need Attention")</f>
        <v/>
      </c>
      <c r="K4287" s="122">
        <f>IF(E4287&gt;=5000,"🏆 Platinum",IF(E4287&gt;=2000,"🥇 Gold",IF(E4287&gt;=800,"🥈 Silver","🥉 Bronze")))</f>
        <v/>
      </c>
      <c r="L4287" s="125" t="n">
        <v>40855</v>
      </c>
    </row>
    <row r="4288">
      <c r="A4288" s="126" t="n">
        <v>18217</v>
      </c>
      <c r="B4288" s="126" t="inlineStr">
        <is>
          <t>United Kingdom</t>
        </is>
      </c>
      <c r="C4288" s="126" t="n">
        <v>30</v>
      </c>
      <c r="D4288" s="126" t="n">
        <v>2</v>
      </c>
      <c r="E4288" s="127" t="n">
        <v>621.75</v>
      </c>
      <c r="F4288" s="128">
        <f>IF(C4288&lt;=30,5,IF(C4288&lt;=60,4,IF(C4288&lt;=120,3,IF(C4288&lt;=200,2,1))))</f>
        <v/>
      </c>
      <c r="G4288" s="128">
        <f>IF(D4288&gt;=20,5,IF(D4288&gt;=10,4,IF(D4288&gt;=5,3,IF(D4288&gt;=2,2,1))))</f>
        <v/>
      </c>
      <c r="H4288" s="128">
        <f>IF(E4288&gt;=5000,5,IF(E4288&gt;=2000,4,IF(E4288&gt;=800,3,IF(E4288&gt;=300,2,1))))</f>
        <v/>
      </c>
      <c r="I4288" s="126">
        <f>TEXT(F4288,"0")&amp;TEXT(G4288,"0")&amp;TEXT(H4288,"0")</f>
        <v/>
      </c>
      <c r="J4288" s="126">
        <f>IFERROR(XLOOKUP(I4288,'Segment Map'!A:A,'Segment Map'!B:B,"Need Attention"),"Need Attention")</f>
        <v/>
      </c>
      <c r="K4288" s="126">
        <f>IF(E4288&gt;=5000,"🏆 Platinum",IF(E4288&gt;=2000,"🥇 Gold",IF(E4288&gt;=800,"🥈 Silver","🥉 Bronze")))</f>
        <v/>
      </c>
      <c r="L4288" s="129" t="n">
        <v>40857</v>
      </c>
    </row>
    <row r="4289">
      <c r="A4289" s="122" t="n">
        <v>18218</v>
      </c>
      <c r="B4289" s="122" t="inlineStr">
        <is>
          <t>United Kingdom</t>
        </is>
      </c>
      <c r="C4289" s="122" t="n">
        <v>212</v>
      </c>
      <c r="D4289" s="122" t="n">
        <v>2</v>
      </c>
      <c r="E4289" s="123" t="n">
        <v>662.08</v>
      </c>
      <c r="F4289" s="124">
        <f>IF(C4289&lt;=30,5,IF(C4289&lt;=60,4,IF(C4289&lt;=120,3,IF(C4289&lt;=200,2,1))))</f>
        <v/>
      </c>
      <c r="G4289" s="124">
        <f>IF(D4289&gt;=20,5,IF(D4289&gt;=10,4,IF(D4289&gt;=5,3,IF(D4289&gt;=2,2,1))))</f>
        <v/>
      </c>
      <c r="H4289" s="124">
        <f>IF(E4289&gt;=5000,5,IF(E4289&gt;=2000,4,IF(E4289&gt;=800,3,IF(E4289&gt;=300,2,1))))</f>
        <v/>
      </c>
      <c r="I4289" s="122">
        <f>TEXT(F4289,"0")&amp;TEXT(G4289,"0")&amp;TEXT(H4289,"0")</f>
        <v/>
      </c>
      <c r="J4289" s="122">
        <f>IFERROR(XLOOKUP(I4289,'Segment Map'!A:A,'Segment Map'!B:B,"Need Attention"),"Need Attention")</f>
        <v/>
      </c>
      <c r="K4289" s="122">
        <f>IF(E4289&gt;=5000,"🏆 Platinum",IF(E4289&gt;=2000,"🥇 Gold",IF(E4289&gt;=800,"🥈 Silver","🥉 Bronze")))</f>
        <v/>
      </c>
      <c r="L4289" s="125" t="n">
        <v>40675</v>
      </c>
    </row>
    <row r="4290">
      <c r="A4290" s="126" t="n">
        <v>18219</v>
      </c>
      <c r="B4290" s="126" t="inlineStr">
        <is>
          <t>United Kingdom</t>
        </is>
      </c>
      <c r="C4290" s="126" t="n">
        <v>3</v>
      </c>
      <c r="D4290" s="126" t="n">
        <v>10</v>
      </c>
      <c r="E4290" s="127" t="n">
        <v>2069.77</v>
      </c>
      <c r="F4290" s="128">
        <f>IF(C4290&lt;=30,5,IF(C4290&lt;=60,4,IF(C4290&lt;=120,3,IF(C4290&lt;=200,2,1))))</f>
        <v/>
      </c>
      <c r="G4290" s="128">
        <f>IF(D4290&gt;=20,5,IF(D4290&gt;=10,4,IF(D4290&gt;=5,3,IF(D4290&gt;=2,2,1))))</f>
        <v/>
      </c>
      <c r="H4290" s="128">
        <f>IF(E4290&gt;=5000,5,IF(E4290&gt;=2000,4,IF(E4290&gt;=800,3,IF(E4290&gt;=300,2,1))))</f>
        <v/>
      </c>
      <c r="I4290" s="126">
        <f>TEXT(F4290,"0")&amp;TEXT(G4290,"0")&amp;TEXT(H4290,"0")</f>
        <v/>
      </c>
      <c r="J4290" s="126">
        <f>IFERROR(XLOOKUP(I4290,'Segment Map'!A:A,'Segment Map'!B:B,"Need Attention"),"Need Attention")</f>
        <v/>
      </c>
      <c r="K4290" s="126">
        <f>IF(E4290&gt;=5000,"🏆 Platinum",IF(E4290&gt;=2000,"🥇 Gold",IF(E4290&gt;=800,"🥈 Silver","🥉 Bronze")))</f>
        <v/>
      </c>
      <c r="L4290" s="129" t="n">
        <v>40884</v>
      </c>
    </row>
    <row r="4291">
      <c r="A4291" s="122" t="n">
        <v>18220</v>
      </c>
      <c r="B4291" s="122" t="inlineStr">
        <is>
          <t>United Kingdom</t>
        </is>
      </c>
      <c r="C4291" s="122" t="n">
        <v>227</v>
      </c>
      <c r="D4291" s="122" t="n">
        <v>1</v>
      </c>
      <c r="E4291" s="123" t="n">
        <v>305.28</v>
      </c>
      <c r="F4291" s="124">
        <f>IF(C4291&lt;=30,5,IF(C4291&lt;=60,4,IF(C4291&lt;=120,3,IF(C4291&lt;=200,2,1))))</f>
        <v/>
      </c>
      <c r="G4291" s="124">
        <f>IF(D4291&gt;=20,5,IF(D4291&gt;=10,4,IF(D4291&gt;=5,3,IF(D4291&gt;=2,2,1))))</f>
        <v/>
      </c>
      <c r="H4291" s="124">
        <f>IF(E4291&gt;=5000,5,IF(E4291&gt;=2000,4,IF(E4291&gt;=800,3,IF(E4291&gt;=300,2,1))))</f>
        <v/>
      </c>
      <c r="I4291" s="122">
        <f>TEXT(F4291,"0")&amp;TEXT(G4291,"0")&amp;TEXT(H4291,"0")</f>
        <v/>
      </c>
      <c r="J4291" s="122">
        <f>IFERROR(XLOOKUP(I4291,'Segment Map'!A:A,'Segment Map'!B:B,"Need Attention"),"Need Attention")</f>
        <v/>
      </c>
      <c r="K4291" s="122">
        <f>IF(E4291&gt;=5000,"🏆 Platinum",IF(E4291&gt;=2000,"🥇 Gold",IF(E4291&gt;=800,"🥈 Silver","🥉 Bronze")))</f>
        <v/>
      </c>
      <c r="L4291" s="125" t="n">
        <v>40660</v>
      </c>
    </row>
    <row r="4292">
      <c r="A4292" s="126" t="n">
        <v>18221</v>
      </c>
      <c r="B4292" s="126" t="inlineStr">
        <is>
          <t>United Kingdom</t>
        </is>
      </c>
      <c r="C4292" s="126" t="n">
        <v>23</v>
      </c>
      <c r="D4292" s="126" t="n">
        <v>5</v>
      </c>
      <c r="E4292" s="127" t="n">
        <v>1041.61</v>
      </c>
      <c r="F4292" s="128">
        <f>IF(C4292&lt;=30,5,IF(C4292&lt;=60,4,IF(C4292&lt;=120,3,IF(C4292&lt;=200,2,1))))</f>
        <v/>
      </c>
      <c r="G4292" s="128">
        <f>IF(D4292&gt;=20,5,IF(D4292&gt;=10,4,IF(D4292&gt;=5,3,IF(D4292&gt;=2,2,1))))</f>
        <v/>
      </c>
      <c r="H4292" s="128">
        <f>IF(E4292&gt;=5000,5,IF(E4292&gt;=2000,4,IF(E4292&gt;=800,3,IF(E4292&gt;=300,2,1))))</f>
        <v/>
      </c>
      <c r="I4292" s="126">
        <f>TEXT(F4292,"0")&amp;TEXT(G4292,"0")&amp;TEXT(H4292,"0")</f>
        <v/>
      </c>
      <c r="J4292" s="126">
        <f>IFERROR(XLOOKUP(I4292,'Segment Map'!A:A,'Segment Map'!B:B,"Need Attention"),"Need Attention")</f>
        <v/>
      </c>
      <c r="K4292" s="126">
        <f>IF(E4292&gt;=5000,"🏆 Platinum",IF(E4292&gt;=2000,"🥇 Gold",IF(E4292&gt;=800,"🥈 Silver","🥉 Bronze")))</f>
        <v/>
      </c>
      <c r="L4292" s="129" t="n">
        <v>40864</v>
      </c>
    </row>
    <row r="4293">
      <c r="A4293" s="122" t="n">
        <v>18222</v>
      </c>
      <c r="B4293" s="122" t="inlineStr">
        <is>
          <t>United Kingdom</t>
        </is>
      </c>
      <c r="C4293" s="122" t="n">
        <v>93</v>
      </c>
      <c r="D4293" s="122" t="n">
        <v>1</v>
      </c>
      <c r="E4293" s="123" t="n">
        <v>443</v>
      </c>
      <c r="F4293" s="124">
        <f>IF(C4293&lt;=30,5,IF(C4293&lt;=60,4,IF(C4293&lt;=120,3,IF(C4293&lt;=200,2,1))))</f>
        <v/>
      </c>
      <c r="G4293" s="124">
        <f>IF(D4293&gt;=20,5,IF(D4293&gt;=10,4,IF(D4293&gt;=5,3,IF(D4293&gt;=2,2,1))))</f>
        <v/>
      </c>
      <c r="H4293" s="124">
        <f>IF(E4293&gt;=5000,5,IF(E4293&gt;=2000,4,IF(E4293&gt;=800,3,IF(E4293&gt;=300,2,1))))</f>
        <v/>
      </c>
      <c r="I4293" s="122">
        <f>TEXT(F4293,"0")&amp;TEXT(G4293,"0")&amp;TEXT(H4293,"0")</f>
        <v/>
      </c>
      <c r="J4293" s="122">
        <f>IFERROR(XLOOKUP(I4293,'Segment Map'!A:A,'Segment Map'!B:B,"Need Attention"),"Need Attention")</f>
        <v/>
      </c>
      <c r="K4293" s="122">
        <f>IF(E4293&gt;=5000,"🏆 Platinum",IF(E4293&gt;=2000,"🥇 Gold",IF(E4293&gt;=800,"🥈 Silver","🥉 Bronze")))</f>
        <v/>
      </c>
      <c r="L4293" s="125" t="n">
        <v>40794</v>
      </c>
    </row>
    <row r="4294">
      <c r="A4294" s="126" t="n">
        <v>18223</v>
      </c>
      <c r="B4294" s="126" t="inlineStr">
        <is>
          <t>United Kingdom</t>
        </is>
      </c>
      <c r="C4294" s="126" t="n">
        <v>5</v>
      </c>
      <c r="D4294" s="126" t="n">
        <v>14</v>
      </c>
      <c r="E4294" s="127" t="n">
        <v>6484.54</v>
      </c>
      <c r="F4294" s="128">
        <f>IF(C4294&lt;=30,5,IF(C4294&lt;=60,4,IF(C4294&lt;=120,3,IF(C4294&lt;=200,2,1))))</f>
        <v/>
      </c>
      <c r="G4294" s="128">
        <f>IF(D4294&gt;=20,5,IF(D4294&gt;=10,4,IF(D4294&gt;=5,3,IF(D4294&gt;=2,2,1))))</f>
        <v/>
      </c>
      <c r="H4294" s="128">
        <f>IF(E4294&gt;=5000,5,IF(E4294&gt;=2000,4,IF(E4294&gt;=800,3,IF(E4294&gt;=300,2,1))))</f>
        <v/>
      </c>
      <c r="I4294" s="126">
        <f>TEXT(F4294,"0")&amp;TEXT(G4294,"0")&amp;TEXT(H4294,"0")</f>
        <v/>
      </c>
      <c r="J4294" s="126">
        <f>IFERROR(XLOOKUP(I4294,'Segment Map'!A:A,'Segment Map'!B:B,"Need Attention"),"Need Attention")</f>
        <v/>
      </c>
      <c r="K4294" s="126">
        <f>IF(E4294&gt;=5000,"🏆 Platinum",IF(E4294&gt;=2000,"🥇 Gold",IF(E4294&gt;=800,"🥈 Silver","🥉 Bronze")))</f>
        <v/>
      </c>
      <c r="L4294" s="129" t="n">
        <v>40882</v>
      </c>
    </row>
    <row r="4295">
      <c r="A4295" s="122" t="n">
        <v>18224</v>
      </c>
      <c r="B4295" s="122" t="inlineStr">
        <is>
          <t>United Kingdom</t>
        </is>
      </c>
      <c r="C4295" s="122" t="n">
        <v>264</v>
      </c>
      <c r="D4295" s="122" t="n">
        <v>1</v>
      </c>
      <c r="E4295" s="123" t="n">
        <v>158.95</v>
      </c>
      <c r="F4295" s="124">
        <f>IF(C4295&lt;=30,5,IF(C4295&lt;=60,4,IF(C4295&lt;=120,3,IF(C4295&lt;=200,2,1))))</f>
        <v/>
      </c>
      <c r="G4295" s="124">
        <f>IF(D4295&gt;=20,5,IF(D4295&gt;=10,4,IF(D4295&gt;=5,3,IF(D4295&gt;=2,2,1))))</f>
        <v/>
      </c>
      <c r="H4295" s="124">
        <f>IF(E4295&gt;=5000,5,IF(E4295&gt;=2000,4,IF(E4295&gt;=800,3,IF(E4295&gt;=300,2,1))))</f>
        <v/>
      </c>
      <c r="I4295" s="122">
        <f>TEXT(F4295,"0")&amp;TEXT(G4295,"0")&amp;TEXT(H4295,"0")</f>
        <v/>
      </c>
      <c r="J4295" s="122">
        <f>IFERROR(XLOOKUP(I4295,'Segment Map'!A:A,'Segment Map'!B:B,"Need Attention"),"Need Attention")</f>
        <v/>
      </c>
      <c r="K4295" s="122">
        <f>IF(E4295&gt;=5000,"🏆 Platinum",IF(E4295&gt;=2000,"🥇 Gold",IF(E4295&gt;=800,"🥈 Silver","🥉 Bronze")))</f>
        <v/>
      </c>
      <c r="L4295" s="125" t="n">
        <v>40623</v>
      </c>
    </row>
    <row r="4296">
      <c r="A4296" s="126" t="n">
        <v>18225</v>
      </c>
      <c r="B4296" s="126" t="inlineStr">
        <is>
          <t>United Kingdom</t>
        </is>
      </c>
      <c r="C4296" s="126" t="n">
        <v>4</v>
      </c>
      <c r="D4296" s="126" t="n">
        <v>12</v>
      </c>
      <c r="E4296" s="127" t="n">
        <v>5509.12</v>
      </c>
      <c r="F4296" s="128">
        <f>IF(C4296&lt;=30,5,IF(C4296&lt;=60,4,IF(C4296&lt;=120,3,IF(C4296&lt;=200,2,1))))</f>
        <v/>
      </c>
      <c r="G4296" s="128">
        <f>IF(D4296&gt;=20,5,IF(D4296&gt;=10,4,IF(D4296&gt;=5,3,IF(D4296&gt;=2,2,1))))</f>
        <v/>
      </c>
      <c r="H4296" s="128">
        <f>IF(E4296&gt;=5000,5,IF(E4296&gt;=2000,4,IF(E4296&gt;=800,3,IF(E4296&gt;=300,2,1))))</f>
        <v/>
      </c>
      <c r="I4296" s="126">
        <f>TEXT(F4296,"0")&amp;TEXT(G4296,"0")&amp;TEXT(H4296,"0")</f>
        <v/>
      </c>
      <c r="J4296" s="126">
        <f>IFERROR(XLOOKUP(I4296,'Segment Map'!A:A,'Segment Map'!B:B,"Need Attention"),"Need Attention")</f>
        <v/>
      </c>
      <c r="K4296" s="126">
        <f>IF(E4296&gt;=5000,"🏆 Platinum",IF(E4296&gt;=2000,"🥇 Gold",IF(E4296&gt;=800,"🥈 Silver","🥉 Bronze")))</f>
        <v/>
      </c>
      <c r="L4296" s="129" t="n">
        <v>40883</v>
      </c>
    </row>
    <row r="4297">
      <c r="A4297" s="122" t="n">
        <v>18226</v>
      </c>
      <c r="B4297" s="122" t="inlineStr">
        <is>
          <t>United Kingdom</t>
        </is>
      </c>
      <c r="C4297" s="122" t="n">
        <v>45</v>
      </c>
      <c r="D4297" s="122" t="n">
        <v>11</v>
      </c>
      <c r="E4297" s="123" t="n">
        <v>5228.05</v>
      </c>
      <c r="F4297" s="124">
        <f>IF(C4297&lt;=30,5,IF(C4297&lt;=60,4,IF(C4297&lt;=120,3,IF(C4297&lt;=200,2,1))))</f>
        <v/>
      </c>
      <c r="G4297" s="124">
        <f>IF(D4297&gt;=20,5,IF(D4297&gt;=10,4,IF(D4297&gt;=5,3,IF(D4297&gt;=2,2,1))))</f>
        <v/>
      </c>
      <c r="H4297" s="124">
        <f>IF(E4297&gt;=5000,5,IF(E4297&gt;=2000,4,IF(E4297&gt;=800,3,IF(E4297&gt;=300,2,1))))</f>
        <v/>
      </c>
      <c r="I4297" s="122">
        <f>TEXT(F4297,"0")&amp;TEXT(G4297,"0")&amp;TEXT(H4297,"0")</f>
        <v/>
      </c>
      <c r="J4297" s="122">
        <f>IFERROR(XLOOKUP(I4297,'Segment Map'!A:A,'Segment Map'!B:B,"Need Attention"),"Need Attention")</f>
        <v/>
      </c>
      <c r="K4297" s="122">
        <f>IF(E4297&gt;=5000,"🏆 Platinum",IF(E4297&gt;=2000,"🥇 Gold",IF(E4297&gt;=800,"🥈 Silver","🥉 Bronze")))</f>
        <v/>
      </c>
      <c r="L4297" s="125" t="n">
        <v>40842</v>
      </c>
    </row>
    <row r="4298">
      <c r="A4298" s="126" t="n">
        <v>18227</v>
      </c>
      <c r="B4298" s="126" t="inlineStr">
        <is>
          <t>United Kingdom</t>
        </is>
      </c>
      <c r="C4298" s="126" t="n">
        <v>218</v>
      </c>
      <c r="D4298" s="126" t="n">
        <v>1</v>
      </c>
      <c r="E4298" s="127" t="n">
        <v>93.75</v>
      </c>
      <c r="F4298" s="128">
        <f>IF(C4298&lt;=30,5,IF(C4298&lt;=60,4,IF(C4298&lt;=120,3,IF(C4298&lt;=200,2,1))))</f>
        <v/>
      </c>
      <c r="G4298" s="128">
        <f>IF(D4298&gt;=20,5,IF(D4298&gt;=10,4,IF(D4298&gt;=5,3,IF(D4298&gt;=2,2,1))))</f>
        <v/>
      </c>
      <c r="H4298" s="128">
        <f>IF(E4298&gt;=5000,5,IF(E4298&gt;=2000,4,IF(E4298&gt;=800,3,IF(E4298&gt;=300,2,1))))</f>
        <v/>
      </c>
      <c r="I4298" s="126">
        <f>TEXT(F4298,"0")&amp;TEXT(G4298,"0")&amp;TEXT(H4298,"0")</f>
        <v/>
      </c>
      <c r="J4298" s="126">
        <f>IFERROR(XLOOKUP(I4298,'Segment Map'!A:A,'Segment Map'!B:B,"Need Attention"),"Need Attention")</f>
        <v/>
      </c>
      <c r="K4298" s="126">
        <f>IF(E4298&gt;=5000,"🏆 Platinum",IF(E4298&gt;=2000,"🥇 Gold",IF(E4298&gt;=800,"🥈 Silver","🥉 Bronze")))</f>
        <v/>
      </c>
      <c r="L4298" s="129" t="n">
        <v>40669</v>
      </c>
    </row>
    <row r="4299">
      <c r="A4299" s="122" t="n">
        <v>18228</v>
      </c>
      <c r="B4299" s="122" t="inlineStr">
        <is>
          <t>United Kingdom</t>
        </is>
      </c>
      <c r="C4299" s="122" t="n">
        <v>57</v>
      </c>
      <c r="D4299" s="122" t="n">
        <v>2</v>
      </c>
      <c r="E4299" s="123" t="n">
        <v>779.9</v>
      </c>
      <c r="F4299" s="124">
        <f>IF(C4299&lt;=30,5,IF(C4299&lt;=60,4,IF(C4299&lt;=120,3,IF(C4299&lt;=200,2,1))))</f>
        <v/>
      </c>
      <c r="G4299" s="124">
        <f>IF(D4299&gt;=20,5,IF(D4299&gt;=10,4,IF(D4299&gt;=5,3,IF(D4299&gt;=2,2,1))))</f>
        <v/>
      </c>
      <c r="H4299" s="124">
        <f>IF(E4299&gt;=5000,5,IF(E4299&gt;=2000,4,IF(E4299&gt;=800,3,IF(E4299&gt;=300,2,1))))</f>
        <v/>
      </c>
      <c r="I4299" s="122">
        <f>TEXT(F4299,"0")&amp;TEXT(G4299,"0")&amp;TEXT(H4299,"0")</f>
        <v/>
      </c>
      <c r="J4299" s="122">
        <f>IFERROR(XLOOKUP(I4299,'Segment Map'!A:A,'Segment Map'!B:B,"Need Attention"),"Need Attention")</f>
        <v/>
      </c>
      <c r="K4299" s="122">
        <f>IF(E4299&gt;=5000,"🏆 Platinum",IF(E4299&gt;=2000,"🥇 Gold",IF(E4299&gt;=800,"🥈 Silver","🥉 Bronze")))</f>
        <v/>
      </c>
      <c r="L4299" s="125" t="n">
        <v>40830</v>
      </c>
    </row>
    <row r="4300">
      <c r="A4300" s="126" t="n">
        <v>18229</v>
      </c>
      <c r="B4300" s="126" t="inlineStr">
        <is>
          <t>United Kingdom</t>
        </is>
      </c>
      <c r="C4300" s="126" t="n">
        <v>12</v>
      </c>
      <c r="D4300" s="126" t="n">
        <v>20</v>
      </c>
      <c r="E4300" s="127" t="n">
        <v>7276.9</v>
      </c>
      <c r="F4300" s="128">
        <f>IF(C4300&lt;=30,5,IF(C4300&lt;=60,4,IF(C4300&lt;=120,3,IF(C4300&lt;=200,2,1))))</f>
        <v/>
      </c>
      <c r="G4300" s="128">
        <f>IF(D4300&gt;=20,5,IF(D4300&gt;=10,4,IF(D4300&gt;=5,3,IF(D4300&gt;=2,2,1))))</f>
        <v/>
      </c>
      <c r="H4300" s="128">
        <f>IF(E4300&gt;=5000,5,IF(E4300&gt;=2000,4,IF(E4300&gt;=800,3,IF(E4300&gt;=300,2,1))))</f>
        <v/>
      </c>
      <c r="I4300" s="126">
        <f>TEXT(F4300,"0")&amp;TEXT(G4300,"0")&amp;TEXT(H4300,"0")</f>
        <v/>
      </c>
      <c r="J4300" s="126">
        <f>IFERROR(XLOOKUP(I4300,'Segment Map'!A:A,'Segment Map'!B:B,"Need Attention"),"Need Attention")</f>
        <v/>
      </c>
      <c r="K4300" s="126">
        <f>IF(E4300&gt;=5000,"🏆 Platinum",IF(E4300&gt;=2000,"🥇 Gold",IF(E4300&gt;=800,"🥈 Silver","🥉 Bronze")))</f>
        <v/>
      </c>
      <c r="L4300" s="129" t="n">
        <v>40875</v>
      </c>
    </row>
    <row r="4301">
      <c r="A4301" s="122" t="n">
        <v>18230</v>
      </c>
      <c r="B4301" s="122" t="inlineStr">
        <is>
          <t>United Kingdom</t>
        </is>
      </c>
      <c r="C4301" s="122" t="n">
        <v>10</v>
      </c>
      <c r="D4301" s="122" t="n">
        <v>7</v>
      </c>
      <c r="E4301" s="123" t="n">
        <v>2810.2</v>
      </c>
      <c r="F4301" s="124">
        <f>IF(C4301&lt;=30,5,IF(C4301&lt;=60,4,IF(C4301&lt;=120,3,IF(C4301&lt;=200,2,1))))</f>
        <v/>
      </c>
      <c r="G4301" s="124">
        <f>IF(D4301&gt;=20,5,IF(D4301&gt;=10,4,IF(D4301&gt;=5,3,IF(D4301&gt;=2,2,1))))</f>
        <v/>
      </c>
      <c r="H4301" s="124">
        <f>IF(E4301&gt;=5000,5,IF(E4301&gt;=2000,4,IF(E4301&gt;=800,3,IF(E4301&gt;=300,2,1))))</f>
        <v/>
      </c>
      <c r="I4301" s="122">
        <f>TEXT(F4301,"0")&amp;TEXT(G4301,"0")&amp;TEXT(H4301,"0")</f>
        <v/>
      </c>
      <c r="J4301" s="122">
        <f>IFERROR(XLOOKUP(I4301,'Segment Map'!A:A,'Segment Map'!B:B,"Need Attention"),"Need Attention")</f>
        <v/>
      </c>
      <c r="K4301" s="122">
        <f>IF(E4301&gt;=5000,"🏆 Platinum",IF(E4301&gt;=2000,"🥇 Gold",IF(E4301&gt;=800,"🥈 Silver","🥉 Bronze")))</f>
        <v/>
      </c>
      <c r="L4301" s="125" t="n">
        <v>40877</v>
      </c>
    </row>
    <row r="4302">
      <c r="A4302" s="126" t="n">
        <v>18231</v>
      </c>
      <c r="B4302" s="126" t="inlineStr">
        <is>
          <t>United Kingdom</t>
        </is>
      </c>
      <c r="C4302" s="126" t="n">
        <v>193</v>
      </c>
      <c r="D4302" s="126" t="n">
        <v>5</v>
      </c>
      <c r="E4302" s="127" t="n">
        <v>2083.27</v>
      </c>
      <c r="F4302" s="128">
        <f>IF(C4302&lt;=30,5,IF(C4302&lt;=60,4,IF(C4302&lt;=120,3,IF(C4302&lt;=200,2,1))))</f>
        <v/>
      </c>
      <c r="G4302" s="128">
        <f>IF(D4302&gt;=20,5,IF(D4302&gt;=10,4,IF(D4302&gt;=5,3,IF(D4302&gt;=2,2,1))))</f>
        <v/>
      </c>
      <c r="H4302" s="128">
        <f>IF(E4302&gt;=5000,5,IF(E4302&gt;=2000,4,IF(E4302&gt;=800,3,IF(E4302&gt;=300,2,1))))</f>
        <v/>
      </c>
      <c r="I4302" s="126">
        <f>TEXT(F4302,"0")&amp;TEXT(G4302,"0")&amp;TEXT(H4302,"0")</f>
        <v/>
      </c>
      <c r="J4302" s="126">
        <f>IFERROR(XLOOKUP(I4302,'Segment Map'!A:A,'Segment Map'!B:B,"Need Attention"),"Need Attention")</f>
        <v/>
      </c>
      <c r="K4302" s="126">
        <f>IF(E4302&gt;=5000,"🏆 Platinum",IF(E4302&gt;=2000,"🥇 Gold",IF(E4302&gt;=800,"🥈 Silver","🥉 Bronze")))</f>
        <v/>
      </c>
      <c r="L4302" s="129" t="n">
        <v>40694</v>
      </c>
    </row>
    <row r="4303">
      <c r="A4303" s="122" t="n">
        <v>18232</v>
      </c>
      <c r="B4303" s="122" t="inlineStr">
        <is>
          <t>United Kingdom</t>
        </is>
      </c>
      <c r="C4303" s="122" t="n">
        <v>82</v>
      </c>
      <c r="D4303" s="122" t="n">
        <v>4</v>
      </c>
      <c r="E4303" s="123" t="n">
        <v>592.97</v>
      </c>
      <c r="F4303" s="124">
        <f>IF(C4303&lt;=30,5,IF(C4303&lt;=60,4,IF(C4303&lt;=120,3,IF(C4303&lt;=200,2,1))))</f>
        <v/>
      </c>
      <c r="G4303" s="124">
        <f>IF(D4303&gt;=20,5,IF(D4303&gt;=10,4,IF(D4303&gt;=5,3,IF(D4303&gt;=2,2,1))))</f>
        <v/>
      </c>
      <c r="H4303" s="124">
        <f>IF(E4303&gt;=5000,5,IF(E4303&gt;=2000,4,IF(E4303&gt;=800,3,IF(E4303&gt;=300,2,1))))</f>
        <v/>
      </c>
      <c r="I4303" s="122">
        <f>TEXT(F4303,"0")&amp;TEXT(G4303,"0")&amp;TEXT(H4303,"0")</f>
        <v/>
      </c>
      <c r="J4303" s="122">
        <f>IFERROR(XLOOKUP(I4303,'Segment Map'!A:A,'Segment Map'!B:B,"Need Attention"),"Need Attention")</f>
        <v/>
      </c>
      <c r="K4303" s="122">
        <f>IF(E4303&gt;=5000,"🏆 Platinum",IF(E4303&gt;=2000,"🥇 Gold",IF(E4303&gt;=800,"🥈 Silver","🥉 Bronze")))</f>
        <v/>
      </c>
      <c r="L4303" s="125" t="n">
        <v>40805</v>
      </c>
    </row>
    <row r="4304">
      <c r="A4304" s="126" t="n">
        <v>18233</v>
      </c>
      <c r="B4304" s="126" t="inlineStr">
        <is>
          <t>United Kingdom</t>
        </is>
      </c>
      <c r="C4304" s="126" t="n">
        <v>326</v>
      </c>
      <c r="D4304" s="126" t="n">
        <v>1</v>
      </c>
      <c r="E4304" s="127" t="n">
        <v>440</v>
      </c>
      <c r="F4304" s="128">
        <f>IF(C4304&lt;=30,5,IF(C4304&lt;=60,4,IF(C4304&lt;=120,3,IF(C4304&lt;=200,2,1))))</f>
        <v/>
      </c>
      <c r="G4304" s="128">
        <f>IF(D4304&gt;=20,5,IF(D4304&gt;=10,4,IF(D4304&gt;=5,3,IF(D4304&gt;=2,2,1))))</f>
        <v/>
      </c>
      <c r="H4304" s="128">
        <f>IF(E4304&gt;=5000,5,IF(E4304&gt;=2000,4,IF(E4304&gt;=800,3,IF(E4304&gt;=300,2,1))))</f>
        <v/>
      </c>
      <c r="I4304" s="126">
        <f>TEXT(F4304,"0")&amp;TEXT(G4304,"0")&amp;TEXT(H4304,"0")</f>
        <v/>
      </c>
      <c r="J4304" s="126">
        <f>IFERROR(XLOOKUP(I4304,'Segment Map'!A:A,'Segment Map'!B:B,"Need Attention"),"Need Attention")</f>
        <v/>
      </c>
      <c r="K4304" s="126">
        <f>IF(E4304&gt;=5000,"🏆 Platinum",IF(E4304&gt;=2000,"🥇 Gold",IF(E4304&gt;=800,"🥈 Silver","🥉 Bronze")))</f>
        <v/>
      </c>
      <c r="L4304" s="129" t="n">
        <v>40561</v>
      </c>
    </row>
    <row r="4305">
      <c r="A4305" s="122" t="n">
        <v>18235</v>
      </c>
      <c r="B4305" s="122" t="inlineStr">
        <is>
          <t>United Kingdom</t>
        </is>
      </c>
      <c r="C4305" s="122" t="n">
        <v>72</v>
      </c>
      <c r="D4305" s="122" t="n">
        <v>3</v>
      </c>
      <c r="E4305" s="123" t="n">
        <v>1796.48</v>
      </c>
      <c r="F4305" s="124">
        <f>IF(C4305&lt;=30,5,IF(C4305&lt;=60,4,IF(C4305&lt;=120,3,IF(C4305&lt;=200,2,1))))</f>
        <v/>
      </c>
      <c r="G4305" s="124">
        <f>IF(D4305&gt;=20,5,IF(D4305&gt;=10,4,IF(D4305&gt;=5,3,IF(D4305&gt;=2,2,1))))</f>
        <v/>
      </c>
      <c r="H4305" s="124">
        <f>IF(E4305&gt;=5000,5,IF(E4305&gt;=2000,4,IF(E4305&gt;=800,3,IF(E4305&gt;=300,2,1))))</f>
        <v/>
      </c>
      <c r="I4305" s="122">
        <f>TEXT(F4305,"0")&amp;TEXT(G4305,"0")&amp;TEXT(H4305,"0")</f>
        <v/>
      </c>
      <c r="J4305" s="122">
        <f>IFERROR(XLOOKUP(I4305,'Segment Map'!A:A,'Segment Map'!B:B,"Need Attention"),"Need Attention")</f>
        <v/>
      </c>
      <c r="K4305" s="122">
        <f>IF(E4305&gt;=5000,"🏆 Platinum",IF(E4305&gt;=2000,"🥇 Gold",IF(E4305&gt;=800,"🥈 Silver","🥉 Bronze")))</f>
        <v/>
      </c>
      <c r="L4305" s="125" t="n">
        <v>40815</v>
      </c>
    </row>
    <row r="4306">
      <c r="A4306" s="126" t="n">
        <v>18236</v>
      </c>
      <c r="B4306" s="126" t="inlineStr">
        <is>
          <t>United Kingdom</t>
        </is>
      </c>
      <c r="C4306" s="126" t="n">
        <v>30</v>
      </c>
      <c r="D4306" s="126" t="n">
        <v>6</v>
      </c>
      <c r="E4306" s="127" t="n">
        <v>882.24</v>
      </c>
      <c r="F4306" s="128">
        <f>IF(C4306&lt;=30,5,IF(C4306&lt;=60,4,IF(C4306&lt;=120,3,IF(C4306&lt;=200,2,1))))</f>
        <v/>
      </c>
      <c r="G4306" s="128">
        <f>IF(D4306&gt;=20,5,IF(D4306&gt;=10,4,IF(D4306&gt;=5,3,IF(D4306&gt;=2,2,1))))</f>
        <v/>
      </c>
      <c r="H4306" s="128">
        <f>IF(E4306&gt;=5000,5,IF(E4306&gt;=2000,4,IF(E4306&gt;=800,3,IF(E4306&gt;=300,2,1))))</f>
        <v/>
      </c>
      <c r="I4306" s="126">
        <f>TEXT(F4306,"0")&amp;TEXT(G4306,"0")&amp;TEXT(H4306,"0")</f>
        <v/>
      </c>
      <c r="J4306" s="126">
        <f>IFERROR(XLOOKUP(I4306,'Segment Map'!A:A,'Segment Map'!B:B,"Need Attention"),"Need Attention")</f>
        <v/>
      </c>
      <c r="K4306" s="126">
        <f>IF(E4306&gt;=5000,"🏆 Platinum",IF(E4306&gt;=2000,"🥇 Gold",IF(E4306&gt;=800,"🥈 Silver","🥉 Bronze")))</f>
        <v/>
      </c>
      <c r="L4306" s="129" t="n">
        <v>40857</v>
      </c>
    </row>
    <row r="4307">
      <c r="A4307" s="122" t="n">
        <v>18237</v>
      </c>
      <c r="B4307" s="122" t="inlineStr">
        <is>
          <t>United Kingdom</t>
        </is>
      </c>
      <c r="C4307" s="122" t="n">
        <v>3</v>
      </c>
      <c r="D4307" s="122" t="n">
        <v>5</v>
      </c>
      <c r="E4307" s="123" t="n">
        <v>987.1</v>
      </c>
      <c r="F4307" s="124">
        <f>IF(C4307&lt;=30,5,IF(C4307&lt;=60,4,IF(C4307&lt;=120,3,IF(C4307&lt;=200,2,1))))</f>
        <v/>
      </c>
      <c r="G4307" s="124">
        <f>IF(D4307&gt;=20,5,IF(D4307&gt;=10,4,IF(D4307&gt;=5,3,IF(D4307&gt;=2,2,1))))</f>
        <v/>
      </c>
      <c r="H4307" s="124">
        <f>IF(E4307&gt;=5000,5,IF(E4307&gt;=2000,4,IF(E4307&gt;=800,3,IF(E4307&gt;=300,2,1))))</f>
        <v/>
      </c>
      <c r="I4307" s="122">
        <f>TEXT(F4307,"0")&amp;TEXT(G4307,"0")&amp;TEXT(H4307,"0")</f>
        <v/>
      </c>
      <c r="J4307" s="122">
        <f>IFERROR(XLOOKUP(I4307,'Segment Map'!A:A,'Segment Map'!B:B,"Need Attention"),"Need Attention")</f>
        <v/>
      </c>
      <c r="K4307" s="122">
        <f>IF(E4307&gt;=5000,"🏆 Platinum",IF(E4307&gt;=2000,"🥇 Gold",IF(E4307&gt;=800,"🥈 Silver","🥉 Bronze")))</f>
        <v/>
      </c>
      <c r="L4307" s="125" t="n">
        <v>40884</v>
      </c>
    </row>
    <row r="4308">
      <c r="A4308" s="126" t="n">
        <v>18239</v>
      </c>
      <c r="B4308" s="126" t="inlineStr">
        <is>
          <t>United Kingdom</t>
        </is>
      </c>
      <c r="C4308" s="126" t="n">
        <v>219</v>
      </c>
      <c r="D4308" s="126" t="n">
        <v>5</v>
      </c>
      <c r="E4308" s="127" t="n">
        <v>1561.61</v>
      </c>
      <c r="F4308" s="128">
        <f>IF(C4308&lt;=30,5,IF(C4308&lt;=60,4,IF(C4308&lt;=120,3,IF(C4308&lt;=200,2,1))))</f>
        <v/>
      </c>
      <c r="G4308" s="128">
        <f>IF(D4308&gt;=20,5,IF(D4308&gt;=10,4,IF(D4308&gt;=5,3,IF(D4308&gt;=2,2,1))))</f>
        <v/>
      </c>
      <c r="H4308" s="128">
        <f>IF(E4308&gt;=5000,5,IF(E4308&gt;=2000,4,IF(E4308&gt;=800,3,IF(E4308&gt;=300,2,1))))</f>
        <v/>
      </c>
      <c r="I4308" s="126">
        <f>TEXT(F4308,"0")&amp;TEXT(G4308,"0")&amp;TEXT(H4308,"0")</f>
        <v/>
      </c>
      <c r="J4308" s="126">
        <f>IFERROR(XLOOKUP(I4308,'Segment Map'!A:A,'Segment Map'!B:B,"Need Attention"),"Need Attention")</f>
        <v/>
      </c>
      <c r="K4308" s="126">
        <f>IF(E4308&gt;=5000,"🏆 Platinum",IF(E4308&gt;=2000,"🥇 Gold",IF(E4308&gt;=800,"🥈 Silver","🥉 Bronze")))</f>
        <v/>
      </c>
      <c r="L4308" s="129" t="n">
        <v>40668</v>
      </c>
    </row>
    <row r="4309">
      <c r="A4309" s="122" t="n">
        <v>18240</v>
      </c>
      <c r="B4309" s="122" t="inlineStr">
        <is>
          <t>United Kingdom</t>
        </is>
      </c>
      <c r="C4309" s="122" t="n">
        <v>47</v>
      </c>
      <c r="D4309" s="122" t="n">
        <v>1</v>
      </c>
      <c r="E4309" s="123" t="n">
        <v>422.58</v>
      </c>
      <c r="F4309" s="124">
        <f>IF(C4309&lt;=30,5,IF(C4309&lt;=60,4,IF(C4309&lt;=120,3,IF(C4309&lt;=200,2,1))))</f>
        <v/>
      </c>
      <c r="G4309" s="124">
        <f>IF(D4309&gt;=20,5,IF(D4309&gt;=10,4,IF(D4309&gt;=5,3,IF(D4309&gt;=2,2,1))))</f>
        <v/>
      </c>
      <c r="H4309" s="124">
        <f>IF(E4309&gt;=5000,5,IF(E4309&gt;=2000,4,IF(E4309&gt;=800,3,IF(E4309&gt;=300,2,1))))</f>
        <v/>
      </c>
      <c r="I4309" s="122">
        <f>TEXT(F4309,"0")&amp;TEXT(G4309,"0")&amp;TEXT(H4309,"0")</f>
        <v/>
      </c>
      <c r="J4309" s="122">
        <f>IFERROR(XLOOKUP(I4309,'Segment Map'!A:A,'Segment Map'!B:B,"Need Attention"),"Need Attention")</f>
        <v/>
      </c>
      <c r="K4309" s="122">
        <f>IF(E4309&gt;=5000,"🏆 Platinum",IF(E4309&gt;=2000,"🥇 Gold",IF(E4309&gt;=800,"🥈 Silver","🥉 Bronze")))</f>
        <v/>
      </c>
      <c r="L4309" s="125" t="n">
        <v>40840</v>
      </c>
    </row>
    <row r="4310">
      <c r="A4310" s="126" t="n">
        <v>18241</v>
      </c>
      <c r="B4310" s="126" t="inlineStr">
        <is>
          <t>United Kingdom</t>
        </is>
      </c>
      <c r="C4310" s="126" t="n">
        <v>10</v>
      </c>
      <c r="D4310" s="126" t="n">
        <v>17</v>
      </c>
      <c r="E4310" s="127" t="n">
        <v>2073.09</v>
      </c>
      <c r="F4310" s="128">
        <f>IF(C4310&lt;=30,5,IF(C4310&lt;=60,4,IF(C4310&lt;=120,3,IF(C4310&lt;=200,2,1))))</f>
        <v/>
      </c>
      <c r="G4310" s="128">
        <f>IF(D4310&gt;=20,5,IF(D4310&gt;=10,4,IF(D4310&gt;=5,3,IF(D4310&gt;=2,2,1))))</f>
        <v/>
      </c>
      <c r="H4310" s="128">
        <f>IF(E4310&gt;=5000,5,IF(E4310&gt;=2000,4,IF(E4310&gt;=800,3,IF(E4310&gt;=300,2,1))))</f>
        <v/>
      </c>
      <c r="I4310" s="126">
        <f>TEXT(F4310,"0")&amp;TEXT(G4310,"0")&amp;TEXT(H4310,"0")</f>
        <v/>
      </c>
      <c r="J4310" s="126">
        <f>IFERROR(XLOOKUP(I4310,'Segment Map'!A:A,'Segment Map'!B:B,"Need Attention"),"Need Attention")</f>
        <v/>
      </c>
      <c r="K4310" s="126">
        <f>IF(E4310&gt;=5000,"🏆 Platinum",IF(E4310&gt;=2000,"🥇 Gold",IF(E4310&gt;=800,"🥈 Silver","🥉 Bronze")))</f>
        <v/>
      </c>
      <c r="L4310" s="129" t="n">
        <v>40877</v>
      </c>
    </row>
    <row r="4311">
      <c r="A4311" s="122" t="n">
        <v>18242</v>
      </c>
      <c r="B4311" s="122" t="inlineStr">
        <is>
          <t>United Kingdom</t>
        </is>
      </c>
      <c r="C4311" s="122" t="n">
        <v>73</v>
      </c>
      <c r="D4311" s="122" t="n">
        <v>4</v>
      </c>
      <c r="E4311" s="123" t="n">
        <v>2232.49</v>
      </c>
      <c r="F4311" s="124">
        <f>IF(C4311&lt;=30,5,IF(C4311&lt;=60,4,IF(C4311&lt;=120,3,IF(C4311&lt;=200,2,1))))</f>
        <v/>
      </c>
      <c r="G4311" s="124">
        <f>IF(D4311&gt;=20,5,IF(D4311&gt;=10,4,IF(D4311&gt;=5,3,IF(D4311&gt;=2,2,1))))</f>
        <v/>
      </c>
      <c r="H4311" s="124">
        <f>IF(E4311&gt;=5000,5,IF(E4311&gt;=2000,4,IF(E4311&gt;=800,3,IF(E4311&gt;=300,2,1))))</f>
        <v/>
      </c>
      <c r="I4311" s="122">
        <f>TEXT(F4311,"0")&amp;TEXT(G4311,"0")&amp;TEXT(H4311,"0")</f>
        <v/>
      </c>
      <c r="J4311" s="122">
        <f>IFERROR(XLOOKUP(I4311,'Segment Map'!A:A,'Segment Map'!B:B,"Need Attention"),"Need Attention")</f>
        <v/>
      </c>
      <c r="K4311" s="122">
        <f>IF(E4311&gt;=5000,"🏆 Platinum",IF(E4311&gt;=2000,"🥇 Gold",IF(E4311&gt;=800,"🥈 Silver","🥉 Bronze")))</f>
        <v/>
      </c>
      <c r="L4311" s="125" t="n">
        <v>40814</v>
      </c>
    </row>
    <row r="4312">
      <c r="A4312" s="126" t="n">
        <v>18245</v>
      </c>
      <c r="B4312" s="126" t="inlineStr">
        <is>
          <t>United Kingdom</t>
        </is>
      </c>
      <c r="C4312" s="126" t="n">
        <v>8</v>
      </c>
      <c r="D4312" s="126" t="n">
        <v>7</v>
      </c>
      <c r="E4312" s="127" t="n">
        <v>2567.06</v>
      </c>
      <c r="F4312" s="128">
        <f>IF(C4312&lt;=30,5,IF(C4312&lt;=60,4,IF(C4312&lt;=120,3,IF(C4312&lt;=200,2,1))))</f>
        <v/>
      </c>
      <c r="G4312" s="128">
        <f>IF(D4312&gt;=20,5,IF(D4312&gt;=10,4,IF(D4312&gt;=5,3,IF(D4312&gt;=2,2,1))))</f>
        <v/>
      </c>
      <c r="H4312" s="128">
        <f>IF(E4312&gt;=5000,5,IF(E4312&gt;=2000,4,IF(E4312&gt;=800,3,IF(E4312&gt;=300,2,1))))</f>
        <v/>
      </c>
      <c r="I4312" s="126">
        <f>TEXT(F4312,"0")&amp;TEXT(G4312,"0")&amp;TEXT(H4312,"0")</f>
        <v/>
      </c>
      <c r="J4312" s="126">
        <f>IFERROR(XLOOKUP(I4312,'Segment Map'!A:A,'Segment Map'!B:B,"Need Attention"),"Need Attention")</f>
        <v/>
      </c>
      <c r="K4312" s="126">
        <f>IF(E4312&gt;=5000,"🏆 Platinum",IF(E4312&gt;=2000,"🥇 Gold",IF(E4312&gt;=800,"🥈 Silver","🥉 Bronze")))</f>
        <v/>
      </c>
      <c r="L4312" s="129" t="n">
        <v>40879</v>
      </c>
    </row>
    <row r="4313">
      <c r="A4313" s="122" t="n">
        <v>18246</v>
      </c>
      <c r="B4313" s="122" t="inlineStr">
        <is>
          <t>United Kingdom</t>
        </is>
      </c>
      <c r="C4313" s="122" t="n">
        <v>24</v>
      </c>
      <c r="D4313" s="122" t="n">
        <v>2</v>
      </c>
      <c r="E4313" s="123" t="n">
        <v>596.1</v>
      </c>
      <c r="F4313" s="124">
        <f>IF(C4313&lt;=30,5,IF(C4313&lt;=60,4,IF(C4313&lt;=120,3,IF(C4313&lt;=200,2,1))))</f>
        <v/>
      </c>
      <c r="G4313" s="124">
        <f>IF(D4313&gt;=20,5,IF(D4313&gt;=10,4,IF(D4313&gt;=5,3,IF(D4313&gt;=2,2,1))))</f>
        <v/>
      </c>
      <c r="H4313" s="124">
        <f>IF(E4313&gt;=5000,5,IF(E4313&gt;=2000,4,IF(E4313&gt;=800,3,IF(E4313&gt;=300,2,1))))</f>
        <v/>
      </c>
      <c r="I4313" s="122">
        <f>TEXT(F4313,"0")&amp;TEXT(G4313,"0")&amp;TEXT(H4313,"0")</f>
        <v/>
      </c>
      <c r="J4313" s="122">
        <f>IFERROR(XLOOKUP(I4313,'Segment Map'!A:A,'Segment Map'!B:B,"Need Attention"),"Need Attention")</f>
        <v/>
      </c>
      <c r="K4313" s="122">
        <f>IF(E4313&gt;=5000,"🏆 Platinum",IF(E4313&gt;=2000,"🥇 Gold",IF(E4313&gt;=800,"🥈 Silver","🥉 Bronze")))</f>
        <v/>
      </c>
      <c r="L4313" s="125" t="n">
        <v>40863</v>
      </c>
    </row>
    <row r="4314">
      <c r="A4314" s="126" t="n">
        <v>18248</v>
      </c>
      <c r="B4314" s="126" t="inlineStr">
        <is>
          <t>United Kingdom</t>
        </is>
      </c>
      <c r="C4314" s="126" t="n">
        <v>123</v>
      </c>
      <c r="D4314" s="126" t="n">
        <v>2</v>
      </c>
      <c r="E4314" s="127" t="n">
        <v>804.02</v>
      </c>
      <c r="F4314" s="128">
        <f>IF(C4314&lt;=30,5,IF(C4314&lt;=60,4,IF(C4314&lt;=120,3,IF(C4314&lt;=200,2,1))))</f>
        <v/>
      </c>
      <c r="G4314" s="128">
        <f>IF(D4314&gt;=20,5,IF(D4314&gt;=10,4,IF(D4314&gt;=5,3,IF(D4314&gt;=2,2,1))))</f>
        <v/>
      </c>
      <c r="H4314" s="128">
        <f>IF(E4314&gt;=5000,5,IF(E4314&gt;=2000,4,IF(E4314&gt;=800,3,IF(E4314&gt;=300,2,1))))</f>
        <v/>
      </c>
      <c r="I4314" s="126">
        <f>TEXT(F4314,"0")&amp;TEXT(G4314,"0")&amp;TEXT(H4314,"0")</f>
        <v/>
      </c>
      <c r="J4314" s="126">
        <f>IFERROR(XLOOKUP(I4314,'Segment Map'!A:A,'Segment Map'!B:B,"Need Attention"),"Need Attention")</f>
        <v/>
      </c>
      <c r="K4314" s="126">
        <f>IF(E4314&gt;=5000,"🏆 Platinum",IF(E4314&gt;=2000,"🥇 Gold",IF(E4314&gt;=800,"🥈 Silver","🥉 Bronze")))</f>
        <v/>
      </c>
      <c r="L4314" s="129" t="n">
        <v>40764</v>
      </c>
    </row>
    <row r="4315">
      <c r="A4315" s="122" t="n">
        <v>18249</v>
      </c>
      <c r="B4315" s="122" t="inlineStr">
        <is>
          <t>United Kingdom</t>
        </is>
      </c>
      <c r="C4315" s="122" t="n">
        <v>18</v>
      </c>
      <c r="D4315" s="122" t="n">
        <v>1</v>
      </c>
      <c r="E4315" s="123" t="n">
        <v>95.34</v>
      </c>
      <c r="F4315" s="124">
        <f>IF(C4315&lt;=30,5,IF(C4315&lt;=60,4,IF(C4315&lt;=120,3,IF(C4315&lt;=200,2,1))))</f>
        <v/>
      </c>
      <c r="G4315" s="124">
        <f>IF(D4315&gt;=20,5,IF(D4315&gt;=10,4,IF(D4315&gt;=5,3,IF(D4315&gt;=2,2,1))))</f>
        <v/>
      </c>
      <c r="H4315" s="124">
        <f>IF(E4315&gt;=5000,5,IF(E4315&gt;=2000,4,IF(E4315&gt;=800,3,IF(E4315&gt;=300,2,1))))</f>
        <v/>
      </c>
      <c r="I4315" s="122">
        <f>TEXT(F4315,"0")&amp;TEXT(G4315,"0")&amp;TEXT(H4315,"0")</f>
        <v/>
      </c>
      <c r="J4315" s="122">
        <f>IFERROR(XLOOKUP(I4315,'Segment Map'!A:A,'Segment Map'!B:B,"Need Attention"),"Need Attention")</f>
        <v/>
      </c>
      <c r="K4315" s="122">
        <f>IF(E4315&gt;=5000,"🏆 Platinum",IF(E4315&gt;=2000,"🥇 Gold",IF(E4315&gt;=800,"🥈 Silver","🥉 Bronze")))</f>
        <v/>
      </c>
      <c r="L4315" s="125" t="n">
        <v>40869</v>
      </c>
    </row>
    <row r="4316">
      <c r="A4316" s="126" t="n">
        <v>18250</v>
      </c>
      <c r="B4316" s="126" t="inlineStr">
        <is>
          <t>United Kingdom</t>
        </is>
      </c>
      <c r="C4316" s="126" t="n">
        <v>311</v>
      </c>
      <c r="D4316" s="126" t="n">
        <v>1</v>
      </c>
      <c r="E4316" s="127" t="n">
        <v>349.27</v>
      </c>
      <c r="F4316" s="128">
        <f>IF(C4316&lt;=30,5,IF(C4316&lt;=60,4,IF(C4316&lt;=120,3,IF(C4316&lt;=200,2,1))))</f>
        <v/>
      </c>
      <c r="G4316" s="128">
        <f>IF(D4316&gt;=20,5,IF(D4316&gt;=10,4,IF(D4316&gt;=5,3,IF(D4316&gt;=2,2,1))))</f>
        <v/>
      </c>
      <c r="H4316" s="128">
        <f>IF(E4316&gt;=5000,5,IF(E4316&gt;=2000,4,IF(E4316&gt;=800,3,IF(E4316&gt;=300,2,1))))</f>
        <v/>
      </c>
      <c r="I4316" s="126">
        <f>TEXT(F4316,"0")&amp;TEXT(G4316,"0")&amp;TEXT(H4316,"0")</f>
        <v/>
      </c>
      <c r="J4316" s="126">
        <f>IFERROR(XLOOKUP(I4316,'Segment Map'!A:A,'Segment Map'!B:B,"Need Attention"),"Need Attention")</f>
        <v/>
      </c>
      <c r="K4316" s="126">
        <f>IF(E4316&gt;=5000,"🏆 Platinum",IF(E4316&gt;=2000,"🥇 Gold",IF(E4316&gt;=800,"🥈 Silver","🥉 Bronze")))</f>
        <v/>
      </c>
      <c r="L4316" s="129" t="n">
        <v>40576</v>
      </c>
    </row>
    <row r="4317">
      <c r="A4317" s="122" t="n">
        <v>18251</v>
      </c>
      <c r="B4317" s="122" t="inlineStr">
        <is>
          <t>United Kingdom</t>
        </is>
      </c>
      <c r="C4317" s="122" t="n">
        <v>88</v>
      </c>
      <c r="D4317" s="122" t="n">
        <v>1</v>
      </c>
      <c r="E4317" s="123" t="n">
        <v>4314.72</v>
      </c>
      <c r="F4317" s="124">
        <f>IF(C4317&lt;=30,5,IF(C4317&lt;=60,4,IF(C4317&lt;=120,3,IF(C4317&lt;=200,2,1))))</f>
        <v/>
      </c>
      <c r="G4317" s="124">
        <f>IF(D4317&gt;=20,5,IF(D4317&gt;=10,4,IF(D4317&gt;=5,3,IF(D4317&gt;=2,2,1))))</f>
        <v/>
      </c>
      <c r="H4317" s="124">
        <f>IF(E4317&gt;=5000,5,IF(E4317&gt;=2000,4,IF(E4317&gt;=800,3,IF(E4317&gt;=300,2,1))))</f>
        <v/>
      </c>
      <c r="I4317" s="122">
        <f>TEXT(F4317,"0")&amp;TEXT(G4317,"0")&amp;TEXT(H4317,"0")</f>
        <v/>
      </c>
      <c r="J4317" s="122">
        <f>IFERROR(XLOOKUP(I4317,'Segment Map'!A:A,'Segment Map'!B:B,"Need Attention"),"Need Attention")</f>
        <v/>
      </c>
      <c r="K4317" s="122">
        <f>IF(E4317&gt;=5000,"🏆 Platinum",IF(E4317&gt;=2000,"🥇 Gold",IF(E4317&gt;=800,"🥈 Silver","🥉 Bronze")))</f>
        <v/>
      </c>
      <c r="L4317" s="125" t="n">
        <v>40799</v>
      </c>
    </row>
    <row r="4318">
      <c r="A4318" s="126" t="n">
        <v>18252</v>
      </c>
      <c r="B4318" s="126" t="inlineStr">
        <is>
          <t>United Kingdom</t>
        </is>
      </c>
      <c r="C4318" s="126" t="n">
        <v>51</v>
      </c>
      <c r="D4318" s="126" t="n">
        <v>2</v>
      </c>
      <c r="E4318" s="127" t="n">
        <v>526.67</v>
      </c>
      <c r="F4318" s="128">
        <f>IF(C4318&lt;=30,5,IF(C4318&lt;=60,4,IF(C4318&lt;=120,3,IF(C4318&lt;=200,2,1))))</f>
        <v/>
      </c>
      <c r="G4318" s="128">
        <f>IF(D4318&gt;=20,5,IF(D4318&gt;=10,4,IF(D4318&gt;=5,3,IF(D4318&gt;=2,2,1))))</f>
        <v/>
      </c>
      <c r="H4318" s="128">
        <f>IF(E4318&gt;=5000,5,IF(E4318&gt;=2000,4,IF(E4318&gt;=800,3,IF(E4318&gt;=300,2,1))))</f>
        <v/>
      </c>
      <c r="I4318" s="126">
        <f>TEXT(F4318,"0")&amp;TEXT(G4318,"0")&amp;TEXT(H4318,"0")</f>
        <v/>
      </c>
      <c r="J4318" s="126">
        <f>IFERROR(XLOOKUP(I4318,'Segment Map'!A:A,'Segment Map'!B:B,"Need Attention"),"Need Attention")</f>
        <v/>
      </c>
      <c r="K4318" s="126">
        <f>IF(E4318&gt;=5000,"🏆 Platinum",IF(E4318&gt;=2000,"🥇 Gold",IF(E4318&gt;=800,"🥈 Silver","🥉 Bronze")))</f>
        <v/>
      </c>
      <c r="L4318" s="129" t="n">
        <v>40836</v>
      </c>
    </row>
    <row r="4319">
      <c r="A4319" s="122" t="n">
        <v>18255</v>
      </c>
      <c r="B4319" s="122" t="inlineStr">
        <is>
          <t>United Kingdom</t>
        </is>
      </c>
      <c r="C4319" s="122" t="n">
        <v>90</v>
      </c>
      <c r="D4319" s="122" t="n">
        <v>1</v>
      </c>
      <c r="E4319" s="123" t="n">
        <v>103.3</v>
      </c>
      <c r="F4319" s="124">
        <f>IF(C4319&lt;=30,5,IF(C4319&lt;=60,4,IF(C4319&lt;=120,3,IF(C4319&lt;=200,2,1))))</f>
        <v/>
      </c>
      <c r="G4319" s="124">
        <f>IF(D4319&gt;=20,5,IF(D4319&gt;=10,4,IF(D4319&gt;=5,3,IF(D4319&gt;=2,2,1))))</f>
        <v/>
      </c>
      <c r="H4319" s="124">
        <f>IF(E4319&gt;=5000,5,IF(E4319&gt;=2000,4,IF(E4319&gt;=800,3,IF(E4319&gt;=300,2,1))))</f>
        <v/>
      </c>
      <c r="I4319" s="122">
        <f>TEXT(F4319,"0")&amp;TEXT(G4319,"0")&amp;TEXT(H4319,"0")</f>
        <v/>
      </c>
      <c r="J4319" s="122">
        <f>IFERROR(XLOOKUP(I4319,'Segment Map'!A:A,'Segment Map'!B:B,"Need Attention"),"Need Attention")</f>
        <v/>
      </c>
      <c r="K4319" s="122">
        <f>IF(E4319&gt;=5000,"🏆 Platinum",IF(E4319&gt;=2000,"🥇 Gold",IF(E4319&gt;=800,"🥈 Silver","🥉 Bronze")))</f>
        <v/>
      </c>
      <c r="L4319" s="125" t="n">
        <v>40797</v>
      </c>
    </row>
    <row r="4320">
      <c r="A4320" s="126" t="n">
        <v>18257</v>
      </c>
      <c r="B4320" s="126" t="inlineStr">
        <is>
          <t>United Kingdom</t>
        </is>
      </c>
      <c r="C4320" s="126" t="n">
        <v>40</v>
      </c>
      <c r="D4320" s="126" t="n">
        <v>8</v>
      </c>
      <c r="E4320" s="127" t="n">
        <v>2337.63</v>
      </c>
      <c r="F4320" s="128">
        <f>IF(C4320&lt;=30,5,IF(C4320&lt;=60,4,IF(C4320&lt;=120,3,IF(C4320&lt;=200,2,1))))</f>
        <v/>
      </c>
      <c r="G4320" s="128">
        <f>IF(D4320&gt;=20,5,IF(D4320&gt;=10,4,IF(D4320&gt;=5,3,IF(D4320&gt;=2,2,1))))</f>
        <v/>
      </c>
      <c r="H4320" s="128">
        <f>IF(E4320&gt;=5000,5,IF(E4320&gt;=2000,4,IF(E4320&gt;=800,3,IF(E4320&gt;=300,2,1))))</f>
        <v/>
      </c>
      <c r="I4320" s="126">
        <f>TEXT(F4320,"0")&amp;TEXT(G4320,"0")&amp;TEXT(H4320,"0")</f>
        <v/>
      </c>
      <c r="J4320" s="126">
        <f>IFERROR(XLOOKUP(I4320,'Segment Map'!A:A,'Segment Map'!B:B,"Need Attention"),"Need Attention")</f>
        <v/>
      </c>
      <c r="K4320" s="126">
        <f>IF(E4320&gt;=5000,"🏆 Platinum",IF(E4320&gt;=2000,"🥇 Gold",IF(E4320&gt;=800,"🥈 Silver","🥉 Bronze")))</f>
        <v/>
      </c>
      <c r="L4320" s="129" t="n">
        <v>40847</v>
      </c>
    </row>
    <row r="4321">
      <c r="A4321" s="122" t="n">
        <v>18259</v>
      </c>
      <c r="B4321" s="122" t="inlineStr">
        <is>
          <t>United Kingdom</t>
        </is>
      </c>
      <c r="C4321" s="122" t="n">
        <v>25</v>
      </c>
      <c r="D4321" s="122" t="n">
        <v>3</v>
      </c>
      <c r="E4321" s="123" t="n">
        <v>2338.6</v>
      </c>
      <c r="F4321" s="124">
        <f>IF(C4321&lt;=30,5,IF(C4321&lt;=60,4,IF(C4321&lt;=120,3,IF(C4321&lt;=200,2,1))))</f>
        <v/>
      </c>
      <c r="G4321" s="124">
        <f>IF(D4321&gt;=20,5,IF(D4321&gt;=10,4,IF(D4321&gt;=5,3,IF(D4321&gt;=2,2,1))))</f>
        <v/>
      </c>
      <c r="H4321" s="124">
        <f>IF(E4321&gt;=5000,5,IF(E4321&gt;=2000,4,IF(E4321&gt;=800,3,IF(E4321&gt;=300,2,1))))</f>
        <v/>
      </c>
      <c r="I4321" s="122">
        <f>TEXT(F4321,"0")&amp;TEXT(G4321,"0")&amp;TEXT(H4321,"0")</f>
        <v/>
      </c>
      <c r="J4321" s="122">
        <f>IFERROR(XLOOKUP(I4321,'Segment Map'!A:A,'Segment Map'!B:B,"Need Attention"),"Need Attention")</f>
        <v/>
      </c>
      <c r="K4321" s="122">
        <f>IF(E4321&gt;=5000,"🏆 Platinum",IF(E4321&gt;=2000,"🥇 Gold",IF(E4321&gt;=800,"🥈 Silver","🥉 Bronze")))</f>
        <v/>
      </c>
      <c r="L4321" s="125" t="n">
        <v>40862</v>
      </c>
    </row>
    <row r="4322">
      <c r="A4322" s="126" t="n">
        <v>18260</v>
      </c>
      <c r="B4322" s="126" t="inlineStr">
        <is>
          <t>United Kingdom</t>
        </is>
      </c>
      <c r="C4322" s="126" t="n">
        <v>173</v>
      </c>
      <c r="D4322" s="126" t="n">
        <v>6</v>
      </c>
      <c r="E4322" s="127" t="n">
        <v>2643.2</v>
      </c>
      <c r="F4322" s="128">
        <f>IF(C4322&lt;=30,5,IF(C4322&lt;=60,4,IF(C4322&lt;=120,3,IF(C4322&lt;=200,2,1))))</f>
        <v/>
      </c>
      <c r="G4322" s="128">
        <f>IF(D4322&gt;=20,5,IF(D4322&gt;=10,4,IF(D4322&gt;=5,3,IF(D4322&gt;=2,2,1))))</f>
        <v/>
      </c>
      <c r="H4322" s="128">
        <f>IF(E4322&gt;=5000,5,IF(E4322&gt;=2000,4,IF(E4322&gt;=800,3,IF(E4322&gt;=300,2,1))))</f>
        <v/>
      </c>
      <c r="I4322" s="126">
        <f>TEXT(F4322,"0")&amp;TEXT(G4322,"0")&amp;TEXT(H4322,"0")</f>
        <v/>
      </c>
      <c r="J4322" s="126">
        <f>IFERROR(XLOOKUP(I4322,'Segment Map'!A:A,'Segment Map'!B:B,"Need Attention"),"Need Attention")</f>
        <v/>
      </c>
      <c r="K4322" s="126">
        <f>IF(E4322&gt;=5000,"🏆 Platinum",IF(E4322&gt;=2000,"🥇 Gold",IF(E4322&gt;=800,"🥈 Silver","🥉 Bronze")))</f>
        <v/>
      </c>
      <c r="L4322" s="129" t="n">
        <v>40714</v>
      </c>
    </row>
    <row r="4323">
      <c r="A4323" s="122" t="n">
        <v>18261</v>
      </c>
      <c r="B4323" s="122" t="inlineStr">
        <is>
          <t>United Kingdom</t>
        </is>
      </c>
      <c r="C4323" s="122" t="n">
        <v>44</v>
      </c>
      <c r="D4323" s="122" t="n">
        <v>2</v>
      </c>
      <c r="E4323" s="123" t="n">
        <v>324.24</v>
      </c>
      <c r="F4323" s="124">
        <f>IF(C4323&lt;=30,5,IF(C4323&lt;=60,4,IF(C4323&lt;=120,3,IF(C4323&lt;=200,2,1))))</f>
        <v/>
      </c>
      <c r="G4323" s="124">
        <f>IF(D4323&gt;=20,5,IF(D4323&gt;=10,4,IF(D4323&gt;=5,3,IF(D4323&gt;=2,2,1))))</f>
        <v/>
      </c>
      <c r="H4323" s="124">
        <f>IF(E4323&gt;=5000,5,IF(E4323&gt;=2000,4,IF(E4323&gt;=800,3,IF(E4323&gt;=300,2,1))))</f>
        <v/>
      </c>
      <c r="I4323" s="122">
        <f>TEXT(F4323,"0")&amp;TEXT(G4323,"0")&amp;TEXT(H4323,"0")</f>
        <v/>
      </c>
      <c r="J4323" s="122">
        <f>IFERROR(XLOOKUP(I4323,'Segment Map'!A:A,'Segment Map'!B:B,"Need Attention"),"Need Attention")</f>
        <v/>
      </c>
      <c r="K4323" s="122">
        <f>IF(E4323&gt;=5000,"🏆 Platinum",IF(E4323&gt;=2000,"🥇 Gold",IF(E4323&gt;=800,"🥈 Silver","🥉 Bronze")))</f>
        <v/>
      </c>
      <c r="L4323" s="125" t="n">
        <v>40843</v>
      </c>
    </row>
    <row r="4324">
      <c r="A4324" s="126" t="n">
        <v>18262</v>
      </c>
      <c r="B4324" s="126" t="inlineStr">
        <is>
          <t>United Kingdom</t>
        </is>
      </c>
      <c r="C4324" s="126" t="n">
        <v>141</v>
      </c>
      <c r="D4324" s="126" t="n">
        <v>1</v>
      </c>
      <c r="E4324" s="127" t="n">
        <v>149.48</v>
      </c>
      <c r="F4324" s="128">
        <f>IF(C4324&lt;=30,5,IF(C4324&lt;=60,4,IF(C4324&lt;=120,3,IF(C4324&lt;=200,2,1))))</f>
        <v/>
      </c>
      <c r="G4324" s="128">
        <f>IF(D4324&gt;=20,5,IF(D4324&gt;=10,4,IF(D4324&gt;=5,3,IF(D4324&gt;=2,2,1))))</f>
        <v/>
      </c>
      <c r="H4324" s="128">
        <f>IF(E4324&gt;=5000,5,IF(E4324&gt;=2000,4,IF(E4324&gt;=800,3,IF(E4324&gt;=300,2,1))))</f>
        <v/>
      </c>
      <c r="I4324" s="126">
        <f>TEXT(F4324,"0")&amp;TEXT(G4324,"0")&amp;TEXT(H4324,"0")</f>
        <v/>
      </c>
      <c r="J4324" s="126">
        <f>IFERROR(XLOOKUP(I4324,'Segment Map'!A:A,'Segment Map'!B:B,"Need Attention"),"Need Attention")</f>
        <v/>
      </c>
      <c r="K4324" s="126">
        <f>IF(E4324&gt;=5000,"🏆 Platinum",IF(E4324&gt;=2000,"🥇 Gold",IF(E4324&gt;=800,"🥈 Silver","🥉 Bronze")))</f>
        <v/>
      </c>
      <c r="L4324" s="129" t="n">
        <v>40746</v>
      </c>
    </row>
    <row r="4325">
      <c r="A4325" s="122" t="n">
        <v>18263</v>
      </c>
      <c r="B4325" s="122" t="inlineStr">
        <is>
          <t>United Kingdom</t>
        </is>
      </c>
      <c r="C4325" s="122" t="n">
        <v>26</v>
      </c>
      <c r="D4325" s="122" t="n">
        <v>3</v>
      </c>
      <c r="E4325" s="123" t="n">
        <v>1213.16</v>
      </c>
      <c r="F4325" s="124">
        <f>IF(C4325&lt;=30,5,IF(C4325&lt;=60,4,IF(C4325&lt;=120,3,IF(C4325&lt;=200,2,1))))</f>
        <v/>
      </c>
      <c r="G4325" s="124">
        <f>IF(D4325&gt;=20,5,IF(D4325&gt;=10,4,IF(D4325&gt;=5,3,IF(D4325&gt;=2,2,1))))</f>
        <v/>
      </c>
      <c r="H4325" s="124">
        <f>IF(E4325&gt;=5000,5,IF(E4325&gt;=2000,4,IF(E4325&gt;=800,3,IF(E4325&gt;=300,2,1))))</f>
        <v/>
      </c>
      <c r="I4325" s="122">
        <f>TEXT(F4325,"0")&amp;TEXT(G4325,"0")&amp;TEXT(H4325,"0")</f>
        <v/>
      </c>
      <c r="J4325" s="122">
        <f>IFERROR(XLOOKUP(I4325,'Segment Map'!A:A,'Segment Map'!B:B,"Need Attention"),"Need Attention")</f>
        <v/>
      </c>
      <c r="K4325" s="122">
        <f>IF(E4325&gt;=5000,"🏆 Platinum",IF(E4325&gt;=2000,"🥇 Gold",IF(E4325&gt;=800,"🥈 Silver","🥉 Bronze")))</f>
        <v/>
      </c>
      <c r="L4325" s="125" t="n">
        <v>40861</v>
      </c>
    </row>
    <row r="4326">
      <c r="A4326" s="126" t="n">
        <v>18265</v>
      </c>
      <c r="B4326" s="126" t="inlineStr">
        <is>
          <t>United Kingdom</t>
        </is>
      </c>
      <c r="C4326" s="126" t="n">
        <v>73</v>
      </c>
      <c r="D4326" s="126" t="n">
        <v>2</v>
      </c>
      <c r="E4326" s="127" t="n">
        <v>801.51</v>
      </c>
      <c r="F4326" s="128">
        <f>IF(C4326&lt;=30,5,IF(C4326&lt;=60,4,IF(C4326&lt;=120,3,IF(C4326&lt;=200,2,1))))</f>
        <v/>
      </c>
      <c r="G4326" s="128">
        <f>IF(D4326&gt;=20,5,IF(D4326&gt;=10,4,IF(D4326&gt;=5,3,IF(D4326&gt;=2,2,1))))</f>
        <v/>
      </c>
      <c r="H4326" s="128">
        <f>IF(E4326&gt;=5000,5,IF(E4326&gt;=2000,4,IF(E4326&gt;=800,3,IF(E4326&gt;=300,2,1))))</f>
        <v/>
      </c>
      <c r="I4326" s="126">
        <f>TEXT(F4326,"0")&amp;TEXT(G4326,"0")&amp;TEXT(H4326,"0")</f>
        <v/>
      </c>
      <c r="J4326" s="126">
        <f>IFERROR(XLOOKUP(I4326,'Segment Map'!A:A,'Segment Map'!B:B,"Need Attention"),"Need Attention")</f>
        <v/>
      </c>
      <c r="K4326" s="126">
        <f>IF(E4326&gt;=5000,"🏆 Platinum",IF(E4326&gt;=2000,"🥇 Gold",IF(E4326&gt;=800,"🥈 Silver","🥉 Bronze")))</f>
        <v/>
      </c>
      <c r="L4326" s="129" t="n">
        <v>40814</v>
      </c>
    </row>
    <row r="4327">
      <c r="A4327" s="122" t="n">
        <v>18268</v>
      </c>
      <c r="B4327" s="122" t="inlineStr">
        <is>
          <t>United Kingdom</t>
        </is>
      </c>
      <c r="C4327" s="122" t="n">
        <v>135</v>
      </c>
      <c r="D4327" s="122" t="n">
        <v>1</v>
      </c>
      <c r="E4327" s="123" t="n">
        <v>25.5</v>
      </c>
      <c r="F4327" s="124">
        <f>IF(C4327&lt;=30,5,IF(C4327&lt;=60,4,IF(C4327&lt;=120,3,IF(C4327&lt;=200,2,1))))</f>
        <v/>
      </c>
      <c r="G4327" s="124">
        <f>IF(D4327&gt;=20,5,IF(D4327&gt;=10,4,IF(D4327&gt;=5,3,IF(D4327&gt;=2,2,1))))</f>
        <v/>
      </c>
      <c r="H4327" s="124">
        <f>IF(E4327&gt;=5000,5,IF(E4327&gt;=2000,4,IF(E4327&gt;=800,3,IF(E4327&gt;=300,2,1))))</f>
        <v/>
      </c>
      <c r="I4327" s="122">
        <f>TEXT(F4327,"0")&amp;TEXT(G4327,"0")&amp;TEXT(H4327,"0")</f>
        <v/>
      </c>
      <c r="J4327" s="122">
        <f>IFERROR(XLOOKUP(I4327,'Segment Map'!A:A,'Segment Map'!B:B,"Need Attention"),"Need Attention")</f>
        <v/>
      </c>
      <c r="K4327" s="122">
        <f>IF(E4327&gt;=5000,"🏆 Platinum",IF(E4327&gt;=2000,"🥇 Gold",IF(E4327&gt;=800,"🥈 Silver","🥉 Bronze")))</f>
        <v/>
      </c>
      <c r="L4327" s="125" t="n">
        <v>40752</v>
      </c>
    </row>
    <row r="4328">
      <c r="A4328" s="126" t="n">
        <v>18269</v>
      </c>
      <c r="B4328" s="126" t="inlineStr">
        <is>
          <t>United Kingdom</t>
        </is>
      </c>
      <c r="C4328" s="126" t="n">
        <v>367</v>
      </c>
      <c r="D4328" s="126" t="n">
        <v>1</v>
      </c>
      <c r="E4328" s="127" t="n">
        <v>168.6</v>
      </c>
      <c r="F4328" s="128">
        <f>IF(C4328&lt;=30,5,IF(C4328&lt;=60,4,IF(C4328&lt;=120,3,IF(C4328&lt;=200,2,1))))</f>
        <v/>
      </c>
      <c r="G4328" s="128">
        <f>IF(D4328&gt;=20,5,IF(D4328&gt;=10,4,IF(D4328&gt;=5,3,IF(D4328&gt;=2,2,1))))</f>
        <v/>
      </c>
      <c r="H4328" s="128">
        <f>IF(E4328&gt;=5000,5,IF(E4328&gt;=2000,4,IF(E4328&gt;=800,3,IF(E4328&gt;=300,2,1))))</f>
        <v/>
      </c>
      <c r="I4328" s="126">
        <f>TEXT(F4328,"0")&amp;TEXT(G4328,"0")&amp;TEXT(H4328,"0")</f>
        <v/>
      </c>
      <c r="J4328" s="126">
        <f>IFERROR(XLOOKUP(I4328,'Segment Map'!A:A,'Segment Map'!B:B,"Need Attention"),"Need Attention")</f>
        <v/>
      </c>
      <c r="K4328" s="126">
        <f>IF(E4328&gt;=5000,"🏆 Platinum",IF(E4328&gt;=2000,"🥇 Gold",IF(E4328&gt;=800,"🥈 Silver","🥉 Bronze")))</f>
        <v/>
      </c>
      <c r="L4328" s="129" t="n">
        <v>40520</v>
      </c>
    </row>
    <row r="4329">
      <c r="A4329" s="122" t="n">
        <v>18270</v>
      </c>
      <c r="B4329" s="122" t="inlineStr">
        <is>
          <t>United Kingdom</t>
        </is>
      </c>
      <c r="C4329" s="122" t="n">
        <v>39</v>
      </c>
      <c r="D4329" s="122" t="n">
        <v>2</v>
      </c>
      <c r="E4329" s="123" t="n">
        <v>283.15</v>
      </c>
      <c r="F4329" s="124">
        <f>IF(C4329&lt;=30,5,IF(C4329&lt;=60,4,IF(C4329&lt;=120,3,IF(C4329&lt;=200,2,1))))</f>
        <v/>
      </c>
      <c r="G4329" s="124">
        <f>IF(D4329&gt;=20,5,IF(D4329&gt;=10,4,IF(D4329&gt;=5,3,IF(D4329&gt;=2,2,1))))</f>
        <v/>
      </c>
      <c r="H4329" s="124">
        <f>IF(E4329&gt;=5000,5,IF(E4329&gt;=2000,4,IF(E4329&gt;=800,3,IF(E4329&gt;=300,2,1))))</f>
        <v/>
      </c>
      <c r="I4329" s="122">
        <f>TEXT(F4329,"0")&amp;TEXT(G4329,"0")&amp;TEXT(H4329,"0")</f>
        <v/>
      </c>
      <c r="J4329" s="122">
        <f>IFERROR(XLOOKUP(I4329,'Segment Map'!A:A,'Segment Map'!B:B,"Need Attention"),"Need Attention")</f>
        <v/>
      </c>
      <c r="K4329" s="122">
        <f>IF(E4329&gt;=5000,"🏆 Platinum",IF(E4329&gt;=2000,"🥇 Gold",IF(E4329&gt;=800,"🥈 Silver","🥉 Bronze")))</f>
        <v/>
      </c>
      <c r="L4329" s="125" t="n">
        <v>40848</v>
      </c>
    </row>
    <row r="4330">
      <c r="A4330" s="126" t="n">
        <v>18272</v>
      </c>
      <c r="B4330" s="126" t="inlineStr">
        <is>
          <t>United Kingdom</t>
        </is>
      </c>
      <c r="C4330" s="126" t="n">
        <v>3</v>
      </c>
      <c r="D4330" s="126" t="n">
        <v>6</v>
      </c>
      <c r="E4330" s="127" t="n">
        <v>3078.58</v>
      </c>
      <c r="F4330" s="128">
        <f>IF(C4330&lt;=30,5,IF(C4330&lt;=60,4,IF(C4330&lt;=120,3,IF(C4330&lt;=200,2,1))))</f>
        <v/>
      </c>
      <c r="G4330" s="128">
        <f>IF(D4330&gt;=20,5,IF(D4330&gt;=10,4,IF(D4330&gt;=5,3,IF(D4330&gt;=2,2,1))))</f>
        <v/>
      </c>
      <c r="H4330" s="128">
        <f>IF(E4330&gt;=5000,5,IF(E4330&gt;=2000,4,IF(E4330&gt;=800,3,IF(E4330&gt;=300,2,1))))</f>
        <v/>
      </c>
      <c r="I4330" s="126">
        <f>TEXT(F4330,"0")&amp;TEXT(G4330,"0")&amp;TEXT(H4330,"0")</f>
        <v/>
      </c>
      <c r="J4330" s="126">
        <f>IFERROR(XLOOKUP(I4330,'Segment Map'!A:A,'Segment Map'!B:B,"Need Attention"),"Need Attention")</f>
        <v/>
      </c>
      <c r="K4330" s="126">
        <f>IF(E4330&gt;=5000,"🏆 Platinum",IF(E4330&gt;=2000,"🥇 Gold",IF(E4330&gt;=800,"🥈 Silver","🥉 Bronze")))</f>
        <v/>
      </c>
      <c r="L4330" s="129" t="n">
        <v>40884</v>
      </c>
    </row>
    <row r="4331">
      <c r="A4331" s="122" t="n">
        <v>18273</v>
      </c>
      <c r="B4331" s="122" t="inlineStr">
        <is>
          <t>United Kingdom</t>
        </is>
      </c>
      <c r="C4331" s="122" t="n">
        <v>3</v>
      </c>
      <c r="D4331" s="122" t="n">
        <v>3</v>
      </c>
      <c r="E4331" s="123" t="n">
        <v>204</v>
      </c>
      <c r="F4331" s="124">
        <f>IF(C4331&lt;=30,5,IF(C4331&lt;=60,4,IF(C4331&lt;=120,3,IF(C4331&lt;=200,2,1))))</f>
        <v/>
      </c>
      <c r="G4331" s="124">
        <f>IF(D4331&gt;=20,5,IF(D4331&gt;=10,4,IF(D4331&gt;=5,3,IF(D4331&gt;=2,2,1))))</f>
        <v/>
      </c>
      <c r="H4331" s="124">
        <f>IF(E4331&gt;=5000,5,IF(E4331&gt;=2000,4,IF(E4331&gt;=800,3,IF(E4331&gt;=300,2,1))))</f>
        <v/>
      </c>
      <c r="I4331" s="122">
        <f>TEXT(F4331,"0")&amp;TEXT(G4331,"0")&amp;TEXT(H4331,"0")</f>
        <v/>
      </c>
      <c r="J4331" s="122">
        <f>IFERROR(XLOOKUP(I4331,'Segment Map'!A:A,'Segment Map'!B:B,"Need Attention"),"Need Attention")</f>
        <v/>
      </c>
      <c r="K4331" s="122">
        <f>IF(E4331&gt;=5000,"🏆 Platinum",IF(E4331&gt;=2000,"🥇 Gold",IF(E4331&gt;=800,"🥈 Silver","🥉 Bronze")))</f>
        <v/>
      </c>
      <c r="L4331" s="125" t="n">
        <v>40884</v>
      </c>
    </row>
    <row r="4332">
      <c r="A4332" s="126" t="n">
        <v>18274</v>
      </c>
      <c r="B4332" s="126" t="inlineStr">
        <is>
          <t>United Kingdom</t>
        </is>
      </c>
      <c r="C4332" s="126" t="n">
        <v>31</v>
      </c>
      <c r="D4332" s="126" t="n">
        <v>1</v>
      </c>
      <c r="E4332" s="127" t="n">
        <v>175.92</v>
      </c>
      <c r="F4332" s="128">
        <f>IF(C4332&lt;=30,5,IF(C4332&lt;=60,4,IF(C4332&lt;=120,3,IF(C4332&lt;=200,2,1))))</f>
        <v/>
      </c>
      <c r="G4332" s="128">
        <f>IF(D4332&gt;=20,5,IF(D4332&gt;=10,4,IF(D4332&gt;=5,3,IF(D4332&gt;=2,2,1))))</f>
        <v/>
      </c>
      <c r="H4332" s="128">
        <f>IF(E4332&gt;=5000,5,IF(E4332&gt;=2000,4,IF(E4332&gt;=800,3,IF(E4332&gt;=300,2,1))))</f>
        <v/>
      </c>
      <c r="I4332" s="126">
        <f>TEXT(F4332,"0")&amp;TEXT(G4332,"0")&amp;TEXT(H4332,"0")</f>
        <v/>
      </c>
      <c r="J4332" s="126">
        <f>IFERROR(XLOOKUP(I4332,'Segment Map'!A:A,'Segment Map'!B:B,"Need Attention"),"Need Attention")</f>
        <v/>
      </c>
      <c r="K4332" s="126">
        <f>IF(E4332&gt;=5000,"🏆 Platinum",IF(E4332&gt;=2000,"🥇 Gold",IF(E4332&gt;=800,"🥈 Silver","🥉 Bronze")))</f>
        <v/>
      </c>
      <c r="L4332" s="129" t="n">
        <v>40856</v>
      </c>
    </row>
    <row r="4333">
      <c r="A4333" s="122" t="n">
        <v>18276</v>
      </c>
      <c r="B4333" s="122" t="inlineStr">
        <is>
          <t>United Kingdom</t>
        </is>
      </c>
      <c r="C4333" s="122" t="n">
        <v>44</v>
      </c>
      <c r="D4333" s="122" t="n">
        <v>1</v>
      </c>
      <c r="E4333" s="123" t="n">
        <v>335.86</v>
      </c>
      <c r="F4333" s="124">
        <f>IF(C4333&lt;=30,5,IF(C4333&lt;=60,4,IF(C4333&lt;=120,3,IF(C4333&lt;=200,2,1))))</f>
        <v/>
      </c>
      <c r="G4333" s="124">
        <f>IF(D4333&gt;=20,5,IF(D4333&gt;=10,4,IF(D4333&gt;=5,3,IF(D4333&gt;=2,2,1))))</f>
        <v/>
      </c>
      <c r="H4333" s="124">
        <f>IF(E4333&gt;=5000,5,IF(E4333&gt;=2000,4,IF(E4333&gt;=800,3,IF(E4333&gt;=300,2,1))))</f>
        <v/>
      </c>
      <c r="I4333" s="122">
        <f>TEXT(F4333,"0")&amp;TEXT(G4333,"0")&amp;TEXT(H4333,"0")</f>
        <v/>
      </c>
      <c r="J4333" s="122">
        <f>IFERROR(XLOOKUP(I4333,'Segment Map'!A:A,'Segment Map'!B:B,"Need Attention"),"Need Attention")</f>
        <v/>
      </c>
      <c r="K4333" s="122">
        <f>IF(E4333&gt;=5000,"🏆 Platinum",IF(E4333&gt;=2000,"🥇 Gold",IF(E4333&gt;=800,"🥈 Silver","🥉 Bronze")))</f>
        <v/>
      </c>
      <c r="L4333" s="125" t="n">
        <v>40843</v>
      </c>
    </row>
    <row r="4334">
      <c r="A4334" s="126" t="n">
        <v>18277</v>
      </c>
      <c r="B4334" s="126" t="inlineStr">
        <is>
          <t>United Kingdom</t>
        </is>
      </c>
      <c r="C4334" s="126" t="n">
        <v>59</v>
      </c>
      <c r="D4334" s="126" t="n">
        <v>1</v>
      </c>
      <c r="E4334" s="127" t="n">
        <v>110.38</v>
      </c>
      <c r="F4334" s="128">
        <f>IF(C4334&lt;=30,5,IF(C4334&lt;=60,4,IF(C4334&lt;=120,3,IF(C4334&lt;=200,2,1))))</f>
        <v/>
      </c>
      <c r="G4334" s="128">
        <f>IF(D4334&gt;=20,5,IF(D4334&gt;=10,4,IF(D4334&gt;=5,3,IF(D4334&gt;=2,2,1))))</f>
        <v/>
      </c>
      <c r="H4334" s="128">
        <f>IF(E4334&gt;=5000,5,IF(E4334&gt;=2000,4,IF(E4334&gt;=800,3,IF(E4334&gt;=300,2,1))))</f>
        <v/>
      </c>
      <c r="I4334" s="126">
        <f>TEXT(F4334,"0")&amp;TEXT(G4334,"0")&amp;TEXT(H4334,"0")</f>
        <v/>
      </c>
      <c r="J4334" s="126">
        <f>IFERROR(XLOOKUP(I4334,'Segment Map'!A:A,'Segment Map'!B:B,"Need Attention"),"Need Attention")</f>
        <v/>
      </c>
      <c r="K4334" s="126">
        <f>IF(E4334&gt;=5000,"🏆 Platinum",IF(E4334&gt;=2000,"🥇 Gold",IF(E4334&gt;=800,"🥈 Silver","🥉 Bronze")))</f>
        <v/>
      </c>
      <c r="L4334" s="129" t="n">
        <v>40828</v>
      </c>
    </row>
    <row r="4335">
      <c r="A4335" s="122" t="n">
        <v>18278</v>
      </c>
      <c r="B4335" s="122" t="inlineStr">
        <is>
          <t>United Kingdom</t>
        </is>
      </c>
      <c r="C4335" s="122" t="n">
        <v>74</v>
      </c>
      <c r="D4335" s="122" t="n">
        <v>1</v>
      </c>
      <c r="E4335" s="123" t="n">
        <v>173.9</v>
      </c>
      <c r="F4335" s="124">
        <f>IF(C4335&lt;=30,5,IF(C4335&lt;=60,4,IF(C4335&lt;=120,3,IF(C4335&lt;=200,2,1))))</f>
        <v/>
      </c>
      <c r="G4335" s="124">
        <f>IF(D4335&gt;=20,5,IF(D4335&gt;=10,4,IF(D4335&gt;=5,3,IF(D4335&gt;=2,2,1))))</f>
        <v/>
      </c>
      <c r="H4335" s="124">
        <f>IF(E4335&gt;=5000,5,IF(E4335&gt;=2000,4,IF(E4335&gt;=800,3,IF(E4335&gt;=300,2,1))))</f>
        <v/>
      </c>
      <c r="I4335" s="122">
        <f>TEXT(F4335,"0")&amp;TEXT(G4335,"0")&amp;TEXT(H4335,"0")</f>
        <v/>
      </c>
      <c r="J4335" s="122">
        <f>IFERROR(XLOOKUP(I4335,'Segment Map'!A:A,'Segment Map'!B:B,"Need Attention"),"Need Attention")</f>
        <v/>
      </c>
      <c r="K4335" s="122">
        <f>IF(E4335&gt;=5000,"🏆 Platinum",IF(E4335&gt;=2000,"🥇 Gold",IF(E4335&gt;=800,"🥈 Silver","🥉 Bronze")))</f>
        <v/>
      </c>
      <c r="L4335" s="125" t="n">
        <v>40813</v>
      </c>
    </row>
    <row r="4336">
      <c r="A4336" s="126" t="n">
        <v>18280</v>
      </c>
      <c r="B4336" s="126" t="inlineStr">
        <is>
          <t>United Kingdom</t>
        </is>
      </c>
      <c r="C4336" s="126" t="n">
        <v>278</v>
      </c>
      <c r="D4336" s="126" t="n">
        <v>1</v>
      </c>
      <c r="E4336" s="127" t="n">
        <v>180.6</v>
      </c>
      <c r="F4336" s="128">
        <f>IF(C4336&lt;=30,5,IF(C4336&lt;=60,4,IF(C4336&lt;=120,3,IF(C4336&lt;=200,2,1))))</f>
        <v/>
      </c>
      <c r="G4336" s="128">
        <f>IF(D4336&gt;=20,5,IF(D4336&gt;=10,4,IF(D4336&gt;=5,3,IF(D4336&gt;=2,2,1))))</f>
        <v/>
      </c>
      <c r="H4336" s="128">
        <f>IF(E4336&gt;=5000,5,IF(E4336&gt;=2000,4,IF(E4336&gt;=800,3,IF(E4336&gt;=300,2,1))))</f>
        <v/>
      </c>
      <c r="I4336" s="126">
        <f>TEXT(F4336,"0")&amp;TEXT(G4336,"0")&amp;TEXT(H4336,"0")</f>
        <v/>
      </c>
      <c r="J4336" s="126">
        <f>IFERROR(XLOOKUP(I4336,'Segment Map'!A:A,'Segment Map'!B:B,"Need Attention"),"Need Attention")</f>
        <v/>
      </c>
      <c r="K4336" s="126">
        <f>IF(E4336&gt;=5000,"🏆 Platinum",IF(E4336&gt;=2000,"🥇 Gold",IF(E4336&gt;=800,"🥈 Silver","🥉 Bronze")))</f>
        <v/>
      </c>
      <c r="L4336" s="129" t="n">
        <v>40609</v>
      </c>
    </row>
    <row r="4337">
      <c r="A4337" s="122" t="n">
        <v>18281</v>
      </c>
      <c r="B4337" s="122" t="inlineStr">
        <is>
          <t>United Kingdom</t>
        </is>
      </c>
      <c r="C4337" s="122" t="n">
        <v>181</v>
      </c>
      <c r="D4337" s="122" t="n">
        <v>1</v>
      </c>
      <c r="E4337" s="123" t="n">
        <v>80.81999999999999</v>
      </c>
      <c r="F4337" s="124">
        <f>IF(C4337&lt;=30,5,IF(C4337&lt;=60,4,IF(C4337&lt;=120,3,IF(C4337&lt;=200,2,1))))</f>
        <v/>
      </c>
      <c r="G4337" s="124">
        <f>IF(D4337&gt;=20,5,IF(D4337&gt;=10,4,IF(D4337&gt;=5,3,IF(D4337&gt;=2,2,1))))</f>
        <v/>
      </c>
      <c r="H4337" s="124">
        <f>IF(E4337&gt;=5000,5,IF(E4337&gt;=2000,4,IF(E4337&gt;=800,3,IF(E4337&gt;=300,2,1))))</f>
        <v/>
      </c>
      <c r="I4337" s="122">
        <f>TEXT(F4337,"0")&amp;TEXT(G4337,"0")&amp;TEXT(H4337,"0")</f>
        <v/>
      </c>
      <c r="J4337" s="122">
        <f>IFERROR(XLOOKUP(I4337,'Segment Map'!A:A,'Segment Map'!B:B,"Need Attention"),"Need Attention")</f>
        <v/>
      </c>
      <c r="K4337" s="122">
        <f>IF(E4337&gt;=5000,"🏆 Platinum",IF(E4337&gt;=2000,"🥇 Gold",IF(E4337&gt;=800,"🥈 Silver","🥉 Bronze")))</f>
        <v/>
      </c>
      <c r="L4337" s="125" t="n">
        <v>40706</v>
      </c>
    </row>
    <row r="4338">
      <c r="A4338" s="126" t="n">
        <v>18282</v>
      </c>
      <c r="B4338" s="126" t="inlineStr">
        <is>
          <t>United Kingdom</t>
        </is>
      </c>
      <c r="C4338" s="126" t="n">
        <v>8</v>
      </c>
      <c r="D4338" s="126" t="n">
        <v>2</v>
      </c>
      <c r="E4338" s="127" t="n">
        <v>178.05</v>
      </c>
      <c r="F4338" s="128">
        <f>IF(C4338&lt;=30,5,IF(C4338&lt;=60,4,IF(C4338&lt;=120,3,IF(C4338&lt;=200,2,1))))</f>
        <v/>
      </c>
      <c r="G4338" s="128">
        <f>IF(D4338&gt;=20,5,IF(D4338&gt;=10,4,IF(D4338&gt;=5,3,IF(D4338&gt;=2,2,1))))</f>
        <v/>
      </c>
      <c r="H4338" s="128">
        <f>IF(E4338&gt;=5000,5,IF(E4338&gt;=2000,4,IF(E4338&gt;=800,3,IF(E4338&gt;=300,2,1))))</f>
        <v/>
      </c>
      <c r="I4338" s="126">
        <f>TEXT(F4338,"0")&amp;TEXT(G4338,"0")&amp;TEXT(H4338,"0")</f>
        <v/>
      </c>
      <c r="J4338" s="126">
        <f>IFERROR(XLOOKUP(I4338,'Segment Map'!A:A,'Segment Map'!B:B,"Need Attention"),"Need Attention")</f>
        <v/>
      </c>
      <c r="K4338" s="126">
        <f>IF(E4338&gt;=5000,"🏆 Platinum",IF(E4338&gt;=2000,"🥇 Gold",IF(E4338&gt;=800,"🥈 Silver","🥉 Bronze")))</f>
        <v/>
      </c>
      <c r="L4338" s="129" t="n">
        <v>40879</v>
      </c>
    </row>
    <row r="4339">
      <c r="A4339" s="122" t="n">
        <v>18283</v>
      </c>
      <c r="B4339" s="122" t="inlineStr">
        <is>
          <t>United Kingdom</t>
        </is>
      </c>
      <c r="C4339" s="122" t="n">
        <v>4</v>
      </c>
      <c r="D4339" s="122" t="n">
        <v>16</v>
      </c>
      <c r="E4339" s="123" t="n">
        <v>2094.88</v>
      </c>
      <c r="F4339" s="124">
        <f>IF(C4339&lt;=30,5,IF(C4339&lt;=60,4,IF(C4339&lt;=120,3,IF(C4339&lt;=200,2,1))))</f>
        <v/>
      </c>
      <c r="G4339" s="124">
        <f>IF(D4339&gt;=20,5,IF(D4339&gt;=10,4,IF(D4339&gt;=5,3,IF(D4339&gt;=2,2,1))))</f>
        <v/>
      </c>
      <c r="H4339" s="124">
        <f>IF(E4339&gt;=5000,5,IF(E4339&gt;=2000,4,IF(E4339&gt;=800,3,IF(E4339&gt;=300,2,1))))</f>
        <v/>
      </c>
      <c r="I4339" s="122">
        <f>TEXT(F4339,"0")&amp;TEXT(G4339,"0")&amp;TEXT(H4339,"0")</f>
        <v/>
      </c>
      <c r="J4339" s="122">
        <f>IFERROR(XLOOKUP(I4339,'Segment Map'!A:A,'Segment Map'!B:B,"Need Attention"),"Need Attention")</f>
        <v/>
      </c>
      <c r="K4339" s="122">
        <f>IF(E4339&gt;=5000,"🏆 Platinum",IF(E4339&gt;=2000,"🥇 Gold",IF(E4339&gt;=800,"🥈 Silver","🥉 Bronze")))</f>
        <v/>
      </c>
      <c r="L4339" s="125" t="n">
        <v>40883</v>
      </c>
    </row>
    <row r="4340">
      <c r="A4340" s="126" t="n">
        <v>18287</v>
      </c>
      <c r="B4340" s="126" t="inlineStr">
        <is>
          <t>United Kingdom</t>
        </is>
      </c>
      <c r="C4340" s="126" t="n">
        <v>43</v>
      </c>
      <c r="D4340" s="126" t="n">
        <v>3</v>
      </c>
      <c r="E4340" s="127" t="n">
        <v>1837.28</v>
      </c>
      <c r="F4340" s="128">
        <f>IF(C4340&lt;=30,5,IF(C4340&lt;=60,4,IF(C4340&lt;=120,3,IF(C4340&lt;=200,2,1))))</f>
        <v/>
      </c>
      <c r="G4340" s="128">
        <f>IF(D4340&gt;=20,5,IF(D4340&gt;=10,4,IF(D4340&gt;=5,3,IF(D4340&gt;=2,2,1))))</f>
        <v/>
      </c>
      <c r="H4340" s="128">
        <f>IF(E4340&gt;=5000,5,IF(E4340&gt;=2000,4,IF(E4340&gt;=800,3,IF(E4340&gt;=300,2,1))))</f>
        <v/>
      </c>
      <c r="I4340" s="126">
        <f>TEXT(F4340,"0")&amp;TEXT(G4340,"0")&amp;TEXT(H4340,"0")</f>
        <v/>
      </c>
      <c r="J4340" s="126">
        <f>IFERROR(XLOOKUP(I4340,'Segment Map'!A:A,'Segment Map'!B:B,"Need Attention"),"Need Attention")</f>
        <v/>
      </c>
      <c r="K4340" s="126">
        <f>IF(E4340&gt;=5000,"🏆 Platinum",IF(E4340&gt;=2000,"🥇 Gold",IF(E4340&gt;=800,"🥈 Silver","🥉 Bronze")))</f>
        <v/>
      </c>
      <c r="L4340" s="129" t="n">
        <v>40844</v>
      </c>
    </row>
  </sheetData>
  <mergeCells count="1">
    <mergeCell ref="A1:L1"/>
  </mergeCells>
  <conditionalFormatting sqref="E3:E4340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13" customWidth="1" min="4" max="4"/>
    <col width="45" customWidth="1" min="5" max="5"/>
  </cols>
  <sheetData>
    <row r="1" ht="30" customHeight="1">
      <c r="A1" s="130" t="inlineStr">
        <is>
          <t>🗺️  RFM Segment Lookup Table</t>
        </is>
      </c>
    </row>
    <row r="2" ht="20" customHeight="1">
      <c r="A2" s="62" t="inlineStr">
        <is>
          <t>RFM Combo</t>
        </is>
      </c>
      <c r="B2" s="62" t="inlineStr">
        <is>
          <t>Segment</t>
        </is>
      </c>
      <c r="C2" s="62" t="inlineStr">
        <is>
          <t>Recommended Action</t>
        </is>
      </c>
      <c r="D2" s="62" t="inlineStr">
        <is>
          <t>Priority</t>
        </is>
      </c>
      <c r="E2" s="62" t="inlineStr">
        <is>
          <t>Description</t>
        </is>
      </c>
    </row>
    <row r="3" ht="18" customHeight="1">
      <c r="A3" s="131" t="inlineStr">
        <is>
          <t>555</t>
        </is>
      </c>
      <c r="B3" s="132" t="inlineStr">
        <is>
          <t>Champions</t>
        </is>
      </c>
      <c r="C3" s="131" t="inlineStr">
        <is>
          <t>VIP reward + referral program</t>
        </is>
      </c>
      <c r="D3" s="131" t="inlineStr">
        <is>
          <t>🔴 Critical</t>
        </is>
      </c>
      <c r="E3" s="97" t="inlineStr">
        <is>
          <t>Perfect RFM — protect at all costs</t>
        </is>
      </c>
    </row>
    <row r="4" ht="18" customHeight="1">
      <c r="A4" s="133" t="inlineStr">
        <is>
          <t>554</t>
        </is>
      </c>
      <c r="B4" s="132" t="inlineStr">
        <is>
          <t>Champions</t>
        </is>
      </c>
      <c r="C4" s="133" t="inlineStr">
        <is>
          <t>VIP reward + referral program</t>
        </is>
      </c>
      <c r="D4" s="133" t="inlineStr">
        <is>
          <t>🔴 Critical</t>
        </is>
      </c>
      <c r="E4" s="134" t="inlineStr">
        <is>
          <t>Near-perfect — treat like Champions</t>
        </is>
      </c>
    </row>
    <row r="5" ht="18" customHeight="1">
      <c r="A5" s="131" t="inlineStr">
        <is>
          <t>545</t>
        </is>
      </c>
      <c r="B5" s="132" t="inlineStr">
        <is>
          <t>Champions</t>
        </is>
      </c>
      <c r="C5" s="131" t="inlineStr">
        <is>
          <t>Exclusive early access + gift</t>
        </is>
      </c>
      <c r="D5" s="131" t="inlineStr">
        <is>
          <t>🔴 Critical</t>
        </is>
      </c>
      <c r="E5" s="97" t="inlineStr">
        <is>
          <t>Very high frequency &amp; spend</t>
        </is>
      </c>
    </row>
    <row r="6" ht="18" customHeight="1">
      <c r="A6" s="133" t="inlineStr">
        <is>
          <t>544</t>
        </is>
      </c>
      <c r="B6" s="132" t="inlineStr">
        <is>
          <t>Champions</t>
        </is>
      </c>
      <c r="C6" s="133" t="inlineStr">
        <is>
          <t>Exclusive early access</t>
        </is>
      </c>
      <c r="D6" s="133" t="inlineStr">
        <is>
          <t>🔴 Critical</t>
        </is>
      </c>
      <c r="E6" s="134" t="inlineStr">
        <is>
          <t>Strong all-round performers</t>
        </is>
      </c>
    </row>
    <row r="7" ht="18" customHeight="1">
      <c r="A7" s="131" t="inlineStr">
        <is>
          <t>553</t>
        </is>
      </c>
      <c r="B7" s="132" t="inlineStr">
        <is>
          <t>Champions</t>
        </is>
      </c>
      <c r="C7" s="131" t="inlineStr">
        <is>
          <t>VIP tier upgrade</t>
        </is>
      </c>
      <c r="D7" s="131" t="inlineStr">
        <is>
          <t>🔴 Critical</t>
        </is>
      </c>
      <c r="E7" s="97" t="inlineStr">
        <is>
          <t>High R &amp; F, solid M</t>
        </is>
      </c>
    </row>
    <row r="8" ht="18" customHeight="1">
      <c r="A8" s="135" t="inlineStr">
        <is>
          <t>455</t>
        </is>
      </c>
      <c r="B8" s="136" t="inlineStr">
        <is>
          <t>Loyal Customers</t>
        </is>
      </c>
      <c r="C8" s="135" t="inlineStr">
        <is>
          <t>Loyalty points + upsell higher ticket</t>
        </is>
      </c>
      <c r="D8" s="135" t="inlineStr">
        <is>
          <t>🟠 High</t>
        </is>
      </c>
      <c r="E8" s="137" t="inlineStr">
        <is>
          <t>Recent, frequent, big spenders</t>
        </is>
      </c>
    </row>
    <row r="9" ht="18" customHeight="1">
      <c r="A9" s="131" t="inlineStr">
        <is>
          <t>454</t>
        </is>
      </c>
      <c r="B9" s="136" t="inlineStr">
        <is>
          <t>Loyal Customers</t>
        </is>
      </c>
      <c r="C9" s="131" t="inlineStr">
        <is>
          <t>Loyalty points + upsell</t>
        </is>
      </c>
      <c r="D9" s="131" t="inlineStr">
        <is>
          <t>🟠 High</t>
        </is>
      </c>
      <c r="E9" s="97" t="inlineStr">
        <is>
          <t>Consistent repeat buyers</t>
        </is>
      </c>
    </row>
    <row r="10" ht="18" customHeight="1">
      <c r="A10" s="135" t="inlineStr">
        <is>
          <t>445</t>
        </is>
      </c>
      <c r="B10" s="136" t="inlineStr">
        <is>
          <t>Loyal Customers</t>
        </is>
      </c>
      <c r="C10" s="135" t="inlineStr">
        <is>
          <t>Loyalty points + upsell</t>
        </is>
      </c>
      <c r="D10" s="135" t="inlineStr">
        <is>
          <t>🟠 High</t>
        </is>
      </c>
      <c r="E10" s="137" t="inlineStr">
        <is>
          <t>Loyal with high monetary value</t>
        </is>
      </c>
    </row>
    <row r="11" ht="18" customHeight="1">
      <c r="A11" s="131" t="inlineStr">
        <is>
          <t>444</t>
        </is>
      </c>
      <c r="B11" s="136" t="inlineStr">
        <is>
          <t>Loyal Customers</t>
        </is>
      </c>
      <c r="C11" s="131" t="inlineStr">
        <is>
          <t>Personalised recommendations</t>
        </is>
      </c>
      <c r="D11" s="131" t="inlineStr">
        <is>
          <t>🟠 High</t>
        </is>
      </c>
      <c r="E11" s="97" t="inlineStr">
        <is>
          <t>Solid, reliable customer base</t>
        </is>
      </c>
    </row>
    <row r="12" ht="18" customHeight="1">
      <c r="A12" s="135" t="inlineStr">
        <is>
          <t>453</t>
        </is>
      </c>
      <c r="B12" s="136" t="inlineStr">
        <is>
          <t>Loyal Customers</t>
        </is>
      </c>
      <c r="C12" s="135" t="inlineStr">
        <is>
          <t>Category expansion offers</t>
        </is>
      </c>
      <c r="D12" s="135" t="inlineStr">
        <is>
          <t>🟠 High</t>
        </is>
      </c>
      <c r="E12" s="137" t="inlineStr">
        <is>
          <t>Loyal with moderate monetary</t>
        </is>
      </c>
    </row>
    <row r="13" ht="18" customHeight="1">
      <c r="A13" s="131" t="inlineStr">
        <is>
          <t>355</t>
        </is>
      </c>
      <c r="B13" s="138" t="inlineStr">
        <is>
          <t>Potential Loyalist</t>
        </is>
      </c>
      <c r="C13" s="131" t="inlineStr">
        <is>
          <t>Onboarding + engagement email series</t>
        </is>
      </c>
      <c r="D13" s="131" t="inlineStr">
        <is>
          <t>🟡 Medium</t>
        </is>
      </c>
      <c r="E13" s="97" t="inlineStr">
        <is>
          <t>Recent with good F&amp;M — nurture</t>
        </is>
      </c>
    </row>
    <row r="14" ht="18" customHeight="1">
      <c r="A14" s="139" t="inlineStr">
        <is>
          <t>354</t>
        </is>
      </c>
      <c r="B14" s="138" t="inlineStr">
        <is>
          <t>Potential Loyalist</t>
        </is>
      </c>
      <c r="C14" s="139" t="inlineStr">
        <is>
          <t>Onboarding + engagement email</t>
        </is>
      </c>
      <c r="D14" s="139" t="inlineStr">
        <is>
          <t>🟡 Medium</t>
        </is>
      </c>
      <c r="E14" s="140" t="inlineStr">
        <is>
          <t>Growing customer — keep engaged</t>
        </is>
      </c>
    </row>
    <row r="15" ht="18" customHeight="1">
      <c r="A15" s="131" t="inlineStr">
        <is>
          <t>345</t>
        </is>
      </c>
      <c r="B15" s="138" t="inlineStr">
        <is>
          <t>Potential Loyalist</t>
        </is>
      </c>
      <c r="C15" s="131" t="inlineStr">
        <is>
          <t>Category-specific offers</t>
        </is>
      </c>
      <c r="D15" s="131" t="inlineStr">
        <is>
          <t>🟡 Medium</t>
        </is>
      </c>
      <c r="E15" s="97" t="inlineStr">
        <is>
          <t>High spend, moderate recency</t>
        </is>
      </c>
    </row>
    <row r="16" ht="18" customHeight="1">
      <c r="A16" s="139" t="inlineStr">
        <is>
          <t>344</t>
        </is>
      </c>
      <c r="B16" s="138" t="inlineStr">
        <is>
          <t>Potential Loyalist</t>
        </is>
      </c>
      <c r="C16" s="139" t="inlineStr">
        <is>
          <t>Category-specific offers</t>
        </is>
      </c>
      <c r="D16" s="139" t="inlineStr">
        <is>
          <t>🟡 Medium</t>
        </is>
      </c>
      <c r="E16" s="140" t="inlineStr">
        <is>
          <t>Moderate across the board</t>
        </is>
      </c>
    </row>
    <row r="17" ht="18" customHeight="1">
      <c r="A17" s="131" t="inlineStr">
        <is>
          <t>353</t>
        </is>
      </c>
      <c r="B17" s="138" t="inlineStr">
        <is>
          <t>Potential Loyalist</t>
        </is>
      </c>
      <c r="C17" s="131" t="inlineStr">
        <is>
          <t>Nurture with product recommendations</t>
        </is>
      </c>
      <c r="D17" s="131" t="inlineStr">
        <is>
          <t>🟡 Medium</t>
        </is>
      </c>
      <c r="E17" s="97" t="inlineStr">
        <is>
          <t>Promising trajectory</t>
        </is>
      </c>
    </row>
    <row r="18" ht="18" customHeight="1">
      <c r="A18" s="141" t="inlineStr">
        <is>
          <t>155</t>
        </is>
      </c>
      <c r="B18" s="142" t="inlineStr">
        <is>
          <t>At Risk</t>
        </is>
      </c>
      <c r="C18" s="141" t="inlineStr">
        <is>
          <t>🚨 Win-back email + discount offer</t>
        </is>
      </c>
      <c r="D18" s="141" t="inlineStr">
        <is>
          <t>🔴 Critical</t>
        </is>
      </c>
      <c r="E18" s="143" t="inlineStr">
        <is>
          <t>Big spenders going quiet</t>
        </is>
      </c>
    </row>
    <row r="19" ht="18" customHeight="1">
      <c r="A19" s="131" t="inlineStr">
        <is>
          <t>154</t>
        </is>
      </c>
      <c r="B19" s="142" t="inlineStr">
        <is>
          <t>At Risk</t>
        </is>
      </c>
      <c r="C19" s="131" t="inlineStr">
        <is>
          <t>🚨 Win-back email + discount offer</t>
        </is>
      </c>
      <c r="D19" s="131" t="inlineStr">
        <is>
          <t>🔴 Critical</t>
        </is>
      </c>
      <c r="E19" s="97" t="inlineStr">
        <is>
          <t>Frequent buyers becoming inactive</t>
        </is>
      </c>
    </row>
    <row r="20" ht="18" customHeight="1">
      <c r="A20" s="141" t="inlineStr">
        <is>
          <t>145</t>
        </is>
      </c>
      <c r="B20" s="142" t="inlineStr">
        <is>
          <t>At Risk</t>
        </is>
      </c>
      <c r="C20" s="141" t="inlineStr">
        <is>
          <t>🚨 Urgent re-engagement campaign</t>
        </is>
      </c>
      <c r="D20" s="141" t="inlineStr">
        <is>
          <t>🔴 Critical</t>
        </is>
      </c>
      <c r="E20" s="143" t="inlineStr">
        <is>
          <t>High value — drifting away</t>
        </is>
      </c>
    </row>
    <row r="21" ht="18" customHeight="1">
      <c r="A21" s="131" t="inlineStr">
        <is>
          <t>144</t>
        </is>
      </c>
      <c r="B21" s="142" t="inlineStr">
        <is>
          <t>At Risk</t>
        </is>
      </c>
      <c r="C21" s="131" t="inlineStr">
        <is>
          <t>🚨 Urgent re-engagement campaign</t>
        </is>
      </c>
      <c r="D21" s="131" t="inlineStr">
        <is>
          <t>🔴 Critical</t>
        </is>
      </c>
      <c r="E21" s="97" t="inlineStr">
        <is>
          <t>At risk of churning</t>
        </is>
      </c>
    </row>
    <row r="22" ht="18" customHeight="1">
      <c r="A22" s="141" t="inlineStr">
        <is>
          <t>255</t>
        </is>
      </c>
      <c r="B22" s="142" t="inlineStr">
        <is>
          <t>At Risk</t>
        </is>
      </c>
      <c r="C22" s="141" t="inlineStr">
        <is>
          <t>Re-engagement with personalised deal</t>
        </is>
      </c>
      <c r="D22" s="141" t="inlineStr">
        <is>
          <t>🔴 Critical</t>
        </is>
      </c>
      <c r="E22" s="143" t="inlineStr">
        <is>
          <t>Slipping away — still spends well</t>
        </is>
      </c>
    </row>
    <row r="23" ht="18" customHeight="1">
      <c r="A23" s="131" t="inlineStr">
        <is>
          <t>111</t>
        </is>
      </c>
      <c r="B23" s="144" t="inlineStr">
        <is>
          <t>Lost</t>
        </is>
      </c>
      <c r="C23" s="131" t="inlineStr">
        <is>
          <t>Reactivation offer or sunset</t>
        </is>
      </c>
      <c r="D23" s="131" t="inlineStr">
        <is>
          <t>⚪ Low</t>
        </is>
      </c>
      <c r="E23" s="97" t="inlineStr">
        <is>
          <t>Low R,F,M — likely churned</t>
        </is>
      </c>
    </row>
    <row r="24" ht="18" customHeight="1">
      <c r="A24" s="145" t="inlineStr">
        <is>
          <t>112</t>
        </is>
      </c>
      <c r="B24" s="144" t="inlineStr">
        <is>
          <t>Lost</t>
        </is>
      </c>
      <c r="C24" s="145" t="inlineStr">
        <is>
          <t>Reactivation offer or sunset</t>
        </is>
      </c>
      <c r="D24" s="145" t="inlineStr">
        <is>
          <t>⚪ Low</t>
        </is>
      </c>
      <c r="E24" s="146" t="inlineStr">
        <is>
          <t>Minimal engagement, very old</t>
        </is>
      </c>
    </row>
    <row r="25" ht="18" customHeight="1">
      <c r="A25" s="131" t="inlineStr">
        <is>
          <t>121</t>
        </is>
      </c>
      <c r="B25" s="144" t="inlineStr">
        <is>
          <t>Lost</t>
        </is>
      </c>
      <c r="C25" s="131" t="inlineStr">
        <is>
          <t>Last-chance win-back</t>
        </is>
      </c>
      <c r="D25" s="131" t="inlineStr">
        <is>
          <t>⚪ Low</t>
        </is>
      </c>
      <c r="E25" s="97" t="inlineStr">
        <is>
          <t>Infrequent, long gone</t>
        </is>
      </c>
    </row>
    <row r="26" ht="18" customHeight="1">
      <c r="A26" s="145" t="inlineStr">
        <is>
          <t>211</t>
        </is>
      </c>
      <c r="B26" s="144" t="inlineStr">
        <is>
          <t>Lost</t>
        </is>
      </c>
      <c r="C26" s="145" t="inlineStr">
        <is>
          <t>Last-chance win-back</t>
        </is>
      </c>
      <c r="D26" s="145" t="inlineStr">
        <is>
          <t>⚪ Low</t>
        </is>
      </c>
      <c r="E26" s="146" t="inlineStr">
        <is>
          <t>Slightly more recent but still lost</t>
        </is>
      </c>
    </row>
    <row r="27" ht="18" customHeight="1">
      <c r="A27" s="131" t="inlineStr">
        <is>
          <t>122</t>
        </is>
      </c>
      <c r="B27" s="144" t="inlineStr">
        <is>
          <t>Lost</t>
        </is>
      </c>
      <c r="C27" s="131" t="inlineStr">
        <is>
          <t>Sunset with final offer</t>
        </is>
      </c>
      <c r="D27" s="131" t="inlineStr">
        <is>
          <t>⚪ Low</t>
        </is>
      </c>
      <c r="E27" s="97" t="inlineStr">
        <is>
          <t>Very low value, very old</t>
        </is>
      </c>
    </row>
    <row r="28" ht="18" customHeight="1">
      <c r="A28" s="147" t="inlineStr">
        <is>
          <t>511</t>
        </is>
      </c>
      <c r="B28" s="148" t="inlineStr">
        <is>
          <t>New Customers</t>
        </is>
      </c>
      <c r="C28" s="147" t="inlineStr">
        <is>
          <t>Welcome series + first repeat purchase</t>
        </is>
      </c>
      <c r="D28" s="147" t="inlineStr">
        <is>
          <t>🟢 Positive</t>
        </is>
      </c>
      <c r="E28" s="149" t="inlineStr">
        <is>
          <t>Very recent, first-time buyer</t>
        </is>
      </c>
    </row>
    <row r="29" ht="18" customHeight="1">
      <c r="A29" s="131" t="inlineStr">
        <is>
          <t>512</t>
        </is>
      </c>
      <c r="B29" s="148" t="inlineStr">
        <is>
          <t>New Customers</t>
        </is>
      </c>
      <c r="C29" s="131" t="inlineStr">
        <is>
          <t>Welcome series + category guide</t>
        </is>
      </c>
      <c r="D29" s="131" t="inlineStr">
        <is>
          <t>🟢 Positive</t>
        </is>
      </c>
      <c r="E29" s="97" t="inlineStr">
        <is>
          <t>New and showing early interest</t>
        </is>
      </c>
    </row>
    <row r="30" ht="18" customHeight="1">
      <c r="A30" s="147" t="inlineStr">
        <is>
          <t>521</t>
        </is>
      </c>
      <c r="B30" s="148" t="inlineStr">
        <is>
          <t>New Customers</t>
        </is>
      </c>
      <c r="C30" s="147" t="inlineStr">
        <is>
          <t>Nurture with personalised content</t>
        </is>
      </c>
      <c r="D30" s="147" t="inlineStr">
        <is>
          <t>🟢 Positive</t>
        </is>
      </c>
      <c r="E30" s="149" t="inlineStr">
        <is>
          <t>New with decent order count</t>
        </is>
      </c>
    </row>
    <row r="31" ht="18" customHeight="1">
      <c r="A31" s="131" t="inlineStr">
        <is>
          <t>522</t>
        </is>
      </c>
      <c r="B31" s="148" t="inlineStr">
        <is>
          <t>New Customers</t>
        </is>
      </c>
      <c r="C31" s="131" t="inlineStr">
        <is>
          <t>Second purchase incentive</t>
        </is>
      </c>
      <c r="D31" s="131" t="inlineStr">
        <is>
          <t>🟢 Positive</t>
        </is>
      </c>
      <c r="E31" s="97" t="inlineStr">
        <is>
          <t>Recent new buyer showing promise</t>
        </is>
      </c>
    </row>
    <row r="32" ht="18" customHeight="1">
      <c r="A32" s="150" t="inlineStr">
        <is>
          <t>411</t>
        </is>
      </c>
      <c r="B32" s="151" t="inlineStr">
        <is>
          <t>Promising</t>
        </is>
      </c>
      <c r="C32" s="150" t="inlineStr">
        <is>
          <t>Educational content + incentive</t>
        </is>
      </c>
      <c r="D32" s="150" t="inlineStr">
        <is>
          <t>🟡 Medium</t>
        </is>
      </c>
      <c r="E32" s="152" t="inlineStr">
        <is>
          <t>Recent but low F&amp;M — show value</t>
        </is>
      </c>
    </row>
    <row r="33" ht="18" customHeight="1">
      <c r="A33" s="131" t="inlineStr">
        <is>
          <t>412</t>
        </is>
      </c>
      <c r="B33" s="151" t="inlineStr">
        <is>
          <t>Promising</t>
        </is>
      </c>
      <c r="C33" s="131" t="inlineStr">
        <is>
          <t>Second purchase incentive</t>
        </is>
      </c>
      <c r="D33" s="131" t="inlineStr">
        <is>
          <t>🟡 Medium</t>
        </is>
      </c>
      <c r="E33" s="97" t="inlineStr">
        <is>
          <t>Recent, slightly more engaged</t>
        </is>
      </c>
    </row>
    <row r="34" ht="18" customHeight="1">
      <c r="A34" s="150" t="inlineStr">
        <is>
          <t>421</t>
        </is>
      </c>
      <c r="B34" s="151" t="inlineStr">
        <is>
          <t>Promising</t>
        </is>
      </c>
      <c r="C34" s="150" t="inlineStr">
        <is>
          <t>Bundle deals + cross-sell</t>
        </is>
      </c>
      <c r="D34" s="150" t="inlineStr">
        <is>
          <t>🟡 Medium</t>
        </is>
      </c>
      <c r="E34" s="152" t="inlineStr">
        <is>
          <t>Growing but needs nudge</t>
        </is>
      </c>
    </row>
    <row r="35" ht="18" customHeight="1">
      <c r="A35" s="131" t="inlineStr">
        <is>
          <t>422</t>
        </is>
      </c>
      <c r="B35" s="151" t="inlineStr">
        <is>
          <t>Promising</t>
        </is>
      </c>
      <c r="C35" s="131" t="inlineStr">
        <is>
          <t>Bundle deals + cross-sell</t>
        </is>
      </c>
      <c r="D35" s="131" t="inlineStr">
        <is>
          <t>🟡 Medium</t>
        </is>
      </c>
      <c r="E35" s="97" t="inlineStr">
        <is>
          <t>Moderate — watch this space</t>
        </is>
      </c>
    </row>
    <row r="36" ht="18" customHeight="1">
      <c r="A36" s="153" t="inlineStr">
        <is>
          <t>311</t>
        </is>
      </c>
      <c r="B36" s="154" t="inlineStr">
        <is>
          <t>Need Attention</t>
        </is>
      </c>
      <c r="C36" s="153" t="inlineStr">
        <is>
          <t>Re-engagement + feedback survey</t>
        </is>
      </c>
      <c r="D36" s="153" t="inlineStr">
        <is>
          <t>🟡 Medium</t>
        </is>
      </c>
      <c r="E36" s="155" t="inlineStr">
        <is>
          <t>Moderate recency, weak F&amp;M</t>
        </is>
      </c>
    </row>
    <row r="37" ht="18" customHeight="1">
      <c r="A37" s="131" t="inlineStr">
        <is>
          <t>312</t>
        </is>
      </c>
      <c r="B37" s="154" t="inlineStr">
        <is>
          <t>Need Attention</t>
        </is>
      </c>
      <c r="C37" s="131" t="inlineStr">
        <is>
          <t>Personalised reactivation</t>
        </is>
      </c>
      <c r="D37" s="131" t="inlineStr">
        <is>
          <t>🟡 Medium</t>
        </is>
      </c>
      <c r="E37" s="97" t="inlineStr">
        <is>
          <t>Some history but fading</t>
        </is>
      </c>
    </row>
    <row r="38" ht="18" customHeight="1">
      <c r="A38" s="153" t="inlineStr">
        <is>
          <t>321</t>
        </is>
      </c>
      <c r="B38" s="154" t="inlineStr">
        <is>
          <t>Need Attention</t>
        </is>
      </c>
      <c r="C38" s="153" t="inlineStr">
        <is>
          <t>Remind of past favourites</t>
        </is>
      </c>
      <c r="D38" s="153" t="inlineStr">
        <is>
          <t>🟡 Medium</t>
        </is>
      </c>
      <c r="E38" s="155" t="inlineStr">
        <is>
          <t>Moderate across the board</t>
        </is>
      </c>
    </row>
    <row r="39" ht="18" customHeight="1">
      <c r="A39" s="131" t="inlineStr">
        <is>
          <t>322</t>
        </is>
      </c>
      <c r="B39" s="154" t="inlineStr">
        <is>
          <t>Need Attention</t>
        </is>
      </c>
      <c r="C39" s="131" t="inlineStr">
        <is>
          <t>Remind of past favourites</t>
        </is>
      </c>
      <c r="D39" s="131" t="inlineStr">
        <is>
          <t>🟡 Medium</t>
        </is>
      </c>
      <c r="E39" s="97" t="inlineStr">
        <is>
          <t>Needs a nudge to re-engage</t>
        </is>
      </c>
    </row>
    <row r="40" ht="18" customHeight="1">
      <c r="A40" s="153" t="inlineStr">
        <is>
          <t>Need Attention</t>
        </is>
      </c>
      <c r="B40" s="154" t="inlineStr">
        <is>
          <t>Need Attention</t>
        </is>
      </c>
      <c r="C40" s="153" t="inlineStr">
        <is>
          <t>General nurture campaign</t>
        </is>
      </c>
      <c r="D40" s="153" t="inlineStr">
        <is>
          <t>🟡 Medium</t>
        </is>
      </c>
      <c r="E40" s="155" t="inlineStr">
        <is>
          <t>Catch-all for unmapped combos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2026-06-23T18:53:01Z</dcterms:created>
  <dcterms:modified xmlns:dcterms="http://purl.org/dc/terms/" xmlns:xsi="http://www.w3.org/2001/XMLSchema-instance" xsi:type="dcterms:W3CDTF">2026-06-23T18:53:19Z</dcterms:modified>
</cp:coreProperties>
</file>